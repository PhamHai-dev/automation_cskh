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HT01.Báo cáo" sheetId="1" r:id="rId5"/>
    <sheet state="visible" name="1.Chăm sóc" sheetId="2" r:id="rId6"/>
    <sheet state="visible" name="3.Chấm buổi" sheetId="3" r:id="rId7"/>
    <sheet state="visible" name="5. Ca ngày bàn giao" sheetId="4" r:id="rId8"/>
    <sheet state="visible" name="4.Tái tục " sheetId="5" r:id="rId9"/>
    <sheet state="visible" name="6.Nhật ký ca tối" sheetId="6" r:id="rId10"/>
    <sheet state="visible" name="Timeline công việc" sheetId="7" r:id="rId11"/>
    <sheet state="visible" name="Setting" sheetId="8" r:id="rId12"/>
    <sheet state="visible" name="7.Báo cáo tháng.CVHT01" sheetId="9" r:id="rId13"/>
    <sheet state="visible" name="Danh sách GV" sheetId="10" r:id="rId14"/>
    <sheet state="visible" name="9.Link Báo Cáo" sheetId="11" r:id="rId15"/>
    <sheet state="visible" name="Tái tục V2.0 T12"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9">
      <text>
        <t xml:space="preserve">Có bao nhiêu hv có buổi học năm nay là 1,3,10,15,20...</t>
      </text>
    </comment>
    <comment authorId="0" ref="B21">
      <text>
        <t xml:space="preserve">Có bao nhiêu hv có buổi học năm nay là 1,3,10,15,20...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743">
      <text>
        <t xml:space="preserve">Dạ ngày đầu e thấy thầy dạy v e theo kịp</t>
      </text>
    </comment>
    <comment authorId="0" ref="AO710">
      <text>
        <t xml:space="preserve">13:04 Giau Bui Da co Yến có hướng dẫn em rô 
13:06 Giau Bui Cô muốn truoc mỗi bài học, em gửi BTVN cho cô trước. </t>
      </text>
    </comment>
    <comment authorId="0" ref="AO677">
      <text>
        <t xml:space="preserve">Da ổn ạ , e cam on ạ</t>
      </text>
    </comment>
    <comment authorId="0" ref="AP710">
      <text>
        <t xml:space="preserve">Da em cũng cố gắng làm quen vs phương pháp of nha trương</t>
      </text>
    </comment>
    <comment authorId="0" ref="AP677">
      <text>
        <t xml:space="preserve">Da ko ạ
Ss Huong dan nhiệt tình ạ</t>
      </text>
    </comment>
    <comment authorId="0" ref="AQ677">
      <text>
        <t xml:space="preserve">Da e hoc ổn ss ạ</t>
      </text>
    </comment>
    <comment authorId="0" ref="AQ644">
      <text>
        <t xml:space="preserve">dạ cx squen quen r ạ</t>
      </text>
    </comment>
    <comment authorId="0" ref="AR644">
      <text>
        <t xml:space="preserve">@Chika Sensei dạ ko s ạ</t>
      </text>
    </comment>
    <comment authorId="0" ref="AS611">
      <text>
        <t xml:space="preserve">E thấy quen với cách dạy học này rồi  ạ. Cô dạy cũng dễ hiểu cũng bám sát thực tế. Chỉ là e vẫn hơi k chủ động được cách nói. Lối diễn đạt cũng chưa đc thực sự trôi chảy nếu đc e mong cô sửa nhiều hơn</t>
      </text>
    </comment>
    <comment authorId="0" ref="AU644">
      <text>
        <t xml:space="preserve"> e thấy nếu nói chuyện cơ bản thì có thể nói đc ạ còn ví dụ như hôm nay nói về thuế các thứ... mà từ vựng ch biết thì khó nói ạ
</t>
      </text>
    </comment>
    <comment authorId="0" ref="AW545">
      <text>
        <t xml:space="preserve">Dạ k ạ ss huyền nhiệt tình chỉ bảo nên e k vấn đề gì ạ</t>
      </text>
    </comment>
    <comment authorId="0" ref="AO727">
      <text>
        <t xml:space="preserve">Dạ cô dậy ok ạ</t>
      </text>
    </comment>
    <comment authorId="0" ref="AO694">
      <text>
        <t xml:space="preserve">Dạ oke ss ạ</t>
      </text>
    </comment>
    <comment authorId="0" ref="AP727">
      <text>
        <t xml:space="preserve">Dạ rồi ạ</t>
      </text>
    </comment>
    <comment authorId="0" ref="AO661">
      <text>
        <t xml:space="preserve">E thấy tốc độ vừa phải phù hợp với e ạ</t>
      </text>
    </comment>
    <comment authorId="0" ref="AP694">
      <text>
        <t xml:space="preserve">dạ ổn a</t>
      </text>
    </comment>
    <comment authorId="0" ref="AP661">
      <text>
        <t xml:space="preserve">E quen rồi ạ</t>
      </text>
    </comment>
    <comment authorId="0" ref="AQ661">
      <text>
        <t xml:space="preserve">E thấy học vs Huyền ss và hệ thống học tập của trung đều ổn và tốt ạ</t>
      </text>
    </comment>
    <comment authorId="0" ref="AO744">
      <text>
        <t xml:space="preserve">Dạ ngày đầu tiên và cũng lần đầu tiên học theo phương pháp này nên có hơi bị đơ ạ
Nhưng sau 30’ học hôm qua thì mình cũng hiểu phương pháp học của trung tâm rồi
Mình sẽ cố gắng chuẩn bị bài kỹ trước khi bắt đầu giờ học ạ</t>
      </text>
    </comment>
    <comment authorId="0" ref="AO711">
      <text>
        <t xml:space="preserve">Dạ tốt sensei ạ</t>
      </text>
    </comment>
    <comment authorId="0" ref="AO678">
      <text>
        <t xml:space="preserve">Da tốt ạ</t>
      </text>
    </comment>
    <comment authorId="0" ref="AP711">
      <text>
        <t xml:space="preserve">Dạ vâng e quen rồi sênsei ạ</t>
      </text>
    </comment>
    <comment authorId="0" ref="AP678">
      <text>
        <t xml:space="preserve">E quen ạ nhưng thời gian e làm nông nghiệp nặng vs tối về làm ở xưởng</t>
      </text>
    </comment>
    <comment authorId="0" ref="AP645">
      <text>
        <t xml:space="preserve">dạ vẫn ổn </t>
      </text>
    </comment>
    <comment authorId="0" ref="AQ678">
      <text>
        <t xml:space="preserve">Dạ cũng hơi quen ss 
Linh ss nhiệt tình ạ</t>
      </text>
    </comment>
    <comment authorId="0" ref="AS612">
      <text>
        <t xml:space="preserve">Dạ r ạ, học xong e cũng thấy lấy lại được kiến thức với giao tiếp thoải mái hơn r ạ</t>
      </text>
    </comment>
    <comment authorId="0" ref="AO728">
      <text>
        <t xml:space="preserve">Buổi đầu còn bỡ ngỡ quá! Mong sei Linh giúp đỡ e các buổi tiếp theo ạ!
E đi làm bận quá nên ko chuẩn bị bài ko tốt
Mong các sei thông cảm cho e ạ</t>
      </text>
    </comment>
    <comment authorId="0" ref="AO695">
      <text>
        <t xml:space="preserve">@Chika Sensei dạ tốt ạ
Mới vào bài 1 nên tốc độ đó OK ạ</t>
      </text>
    </comment>
    <comment authorId="0" ref="AP728">
      <text>
        <t xml:space="preserve">@Chika Sensei dạ e cũng quen hơn và biết cách chuẩn bị bài,hay làm bài tập rồi ạ</t>
      </text>
    </comment>
    <comment authorId="0" ref="AO662">
      <text>
        <t xml:space="preserve">e thấy tiết hk có 30p nên dạy lướt lướt rất nhanh
Thầy nói chuyện thì e nghe vẫn bình thường
kh quá nhanh ạ
Chỗ nào e nói chưa đúng thầy có sửa lại
nhưng mà có một số chỗ lúc e nói có vẻ chưa truyền đạt đúng thì khi đó mong thầy sẽ sửa ngay luôn cho e thì tốt ạ</t>
      </text>
    </comment>
    <comment authorId="0" ref="AP695">
      <text>
        <t xml:space="preserve">Oi ngại quá ạ 
Vì e lâu quá không ôn nên đã quên hết ngữ pháp rồi ạ
Giờ ss muốn kaiwa còn pải đợi e ngữ pháp nữa ạ
Này là pải hỏi ss hạnh còn kiên nhẫn dạy e không thoi</t>
      </text>
    </comment>
    <comment authorId="0" ref="AP662">
      <text>
        <t xml:space="preserve">Vâng e thấy cũng ổn ạ</t>
      </text>
    </comment>
    <comment authorId="0" ref="AQ662">
      <text>
        <t xml:space="preserve">Dạ e thấy cũng ổn ạ</t>
      </text>
    </comment>
    <comment authorId="0" ref="AQ629">
      <text>
        <t xml:space="preserve">@Chika Sensei lúc trước khi vào học e còn chậm chưa theo kịp tiến độ của buổi học giờ thì em dần quen với nhịp độ và cũng cố gắng để theo kịp rồi ạ, ss dạy học rất dễ thương và nhiệt tình hỗ trợ e rất nhiều ạ.</t>
      </text>
    </comment>
    <comment authorId="0" ref="AQ596">
      <text>
        <t xml:space="preserve">Em xin lỗi vì phản hồi chậm trễ . Trong quá trình học em vẫn ổn và chưa gặp khó khăn gì ạ
Em cảm ơn sự hỗ trợ từ phía giáo viên ạ</t>
      </text>
    </comment>
    <comment authorId="0" ref="AS662">
      <text>
        <t xml:space="preserve">Dạ e vẫn cbi như bình thg ạ
Có cái phần tự vựng chỉ dịch nghĩa tiếng nhật chứ kh có tiếng việt</t>
      </text>
    </comment>
    <comment authorId="0" ref="AR596">
      <text>
        <t xml:space="preserve">Dạ em đang học là mẫu câu giao tiếp thường ngày là chủ yếu . Em đang làm trong môi trường vp nên k thể sử dụng nhiều ạ</t>
      </text>
    </comment>
    <comment authorId="0" ref="AS596">
      <text>
        <t xml:space="preserve">Dạ em đang học là mẫu câu giao tiếp thường ngày là chủ yếu . Em đang làm trong môi trường vp nên k thể sử dụng nhiều ạ</t>
      </text>
    </comment>
    <comment authorId="0" ref="AT629">
      <text>
        <t xml:space="preserve">@Chika Sensei những buỗi học gần đây với cô quỳnh anh ss vẫn tốt nha ss ơi</t>
      </text>
    </comment>
    <comment authorId="0" ref="AT596">
      <text>
        <t xml:space="preserve">Dạ . Em cảm ơn đã hỗ trợ ạ . Các buổi học vẫn tốt ạ.</t>
      </text>
    </comment>
    <comment authorId="0" ref="AU596">
      <text>
        <t xml:space="preserve">dạ ổn a </t>
      </text>
    </comment>
    <comment authorId="0" ref="AW662">
      <text>
        <t xml:space="preserve">Dạ e hk vẫn chưa thấy cải thiện nhiều
Khả năng nói phản xạ của e còn chậm</t>
      </text>
    </comment>
    <comment authorId="0" ref="AO745">
      <text>
        <t xml:space="preserve">Dạ ss dạy ổn ạ
Chỉ là hôm đầu nên chưa học gì mấy ạ</t>
      </text>
    </comment>
    <comment authorId="0" ref="AO712">
      <text>
        <t xml:space="preserve">Em thấy ss dạy ổn ạ nhưng mà chắc trước giờ do em ít kaiwa nên khi học em k nói được nhiều ạ</t>
      </text>
    </comment>
    <comment authorId="0" ref="AO679">
      <text>
        <t xml:space="preserve">Dạ ngày đầu vẫn ổn ạ</t>
      </text>
    </comment>
    <comment authorId="0" ref="AP712">
      <text>
        <t xml:space="preserve">Dạ rồi ạ
Vừa sức với em ạ
</t>
      </text>
    </comment>
    <comment authorId="0" ref="AP679">
      <text>
        <t xml:space="preserve">Dạ vẫn ổn ạ</t>
      </text>
    </comment>
    <comment authorId="0" ref="AS646">
      <text>
        <t xml:space="preserve">Dạ vẫn tốt ạ. Em cảm ơn sensei</t>
      </text>
    </comment>
    <comment authorId="0" ref="AT646">
      <text>
        <t xml:space="preserve">Dạ ổn hơn rất nhìu so lúc mới test ạ, với tự tin giao tiếp hơn trước ạ, cảm ơn sensei</t>
      </text>
    </comment>
    <comment authorId="0" ref="AV580">
      <text>
        <t xml:space="preserve">học ổn </t>
      </text>
    </comment>
    <comment authorId="0" ref="AO729">
      <text>
        <t xml:space="preserve">Buổi đầu nên hơi bị khớp chút ạ, mà đã ổn hơn rồi a</t>
      </text>
    </comment>
    <comment authorId="0" ref="AO696">
      <text>
        <t xml:space="preserve">E thấy ổn ạ</t>
      </text>
    </comment>
    <comment authorId="0" ref="AP729">
      <text>
        <t xml:space="preserve">Quen thì  e chưa quen lắm ,còn quy trình thì e nắm được rồi</t>
      </text>
    </comment>
    <comment authorId="0" ref="AO663">
      <text>
        <t xml:space="preserve">Học được ạ</t>
      </text>
    </comment>
    <comment authorId="0" ref="AP696">
      <text>
        <t xml:space="preserve">Cũng ok r chị</t>
      </text>
    </comment>
    <comment authorId="0" ref="AS597">
      <text>
        <t xml:space="preserve">không có khó khăn gì ạ</t>
      </text>
    </comment>
    <comment authorId="0" ref="AU597">
      <text>
        <t xml:space="preserve">không có khó khăn gì ạ</t>
      </text>
    </comment>
    <comment authorId="0" ref="AW597">
      <text>
        <t xml:space="preserve">vẫn ổn ạ</t>
      </text>
    </comment>
    <comment authorId="0" ref="AO746">
      <text>
        <t xml:space="preserve">dạ e thấy ss Anh dạy tốc độ vừa phải với e ạ</t>
      </text>
    </comment>
    <comment authorId="0" ref="AO713">
      <text>
        <t xml:space="preserve">Dạ ổn ạ, e nghe hiểu đc nhưng bị bí lời nên nhiều cái nói k đc</t>
      </text>
    </comment>
    <comment authorId="0" ref="AO680">
      <text>
        <t xml:space="preserve">dạ. giáo viên nhẹ nhàng, hỗ trợ em  luyện nói, chỉ ra điểm cần cải thiện trong bài học.</t>
      </text>
    </comment>
    <comment authorId="0" ref="AP713">
      <text>
        <t xml:space="preserve">Dạ e mới học 4 buổi nên củng chưa hiểu hết phương phương pháp, nhưng e củng dần dần hiểu một ít rồi</t>
      </text>
    </comment>
    <comment authorId="0" ref="AZ498">
      <text>
        <t xml:space="preserve">Dạ em cảm ơn
Hiện tại 2 thầy trò đang tốt ạ</t>
      </text>
    </comment>
    <comment authorId="0" ref="AP680">
      <text>
        <t xml:space="preserve">Vâng, Chắc cũng tốt hơn lúc đầu đó ạ, Tuy nhiên, em vẫn gặp khó khăn khi diễn đạt ý tưởng một cách tự nhiên và thường cần thêm thời gian để suy nghĩ.</t>
      </text>
    </comment>
    <comment authorId="0" ref="AQ680">
      <text>
        <t xml:space="preserve">@Phòng Đào Tạo Edura Gv Chuyên Môn dạ. Sensei giảng dạy dễ hiểu ạ. Kiên nhẫn nghe e nói lắm. Rất cảm ơn Tiên sênsei ạ.</t>
      </text>
    </comment>
    <comment authorId="0" ref="AS680">
      <text>
        <t xml:space="preserve">Cũng tự tin nói hơn chút ạ.</t>
      </text>
    </comment>
    <comment authorId="0" ref="AT581">
      <text>
        <t xml:space="preserve">@Chika Sensei Dạ vẫn tốt ạ</t>
      </text>
    </comment>
    <comment authorId="0" ref="AO730">
      <text>
        <t xml:space="preserve">Ok ạ</t>
      </text>
    </comment>
    <comment authorId="0" ref="AO697">
      <text>
        <t xml:space="preserve">Dạ chắc do e học chậm , nên ss nói nhanh em loát k kịp 🤣( mặc dù học tốt)</t>
      </text>
    </comment>
    <comment authorId="0" ref="AP730">
      <text>
        <t xml:space="preserve">19:57 ディンヒォ Vâng buổi học rất tốt .
19:59 ディンヒォ Uyên ss dạy dễ hiểu , tốc độ vừa phải</t>
      </text>
    </comment>
    <comment authorId="0" ref="AO664">
      <text>
        <t xml:space="preserve">e chậm hiểu thôi còn cô vẫn dạy tốt
mà chỗ làm bài tập ở đâu thế ss</t>
      </text>
    </comment>
    <comment authorId="0" ref="AP697">
      <text>
        <t xml:space="preserve">Dạ không ạ . Trên lớp được sense hỗ trợ nên em làm bài được ạ</t>
      </text>
    </comment>
    <comment authorId="0" ref="AP664">
      <text>
        <t xml:space="preserve">@Chika Sensei cũng quen rùi ss</t>
      </text>
    </comment>
    <comment authorId="0" ref="AQ697">
      <text>
        <t xml:space="preserve">Dạ em quen rồi ạ</t>
      </text>
    </comment>
    <comment authorId="0" ref="AR664">
      <text>
        <t xml:space="preserve">vẫn tốt ss</t>
      </text>
    </comment>
    <comment authorId="0" ref="AQ598">
      <text>
        <t xml:space="preserve">Dạ ss 
E học vẫn bình thường ạ</t>
      </text>
    </comment>
    <comment authorId="0" ref="AS664">
      <text>
        <t xml:space="preserve">vẫn hướng dẫn tốt ạ
cũng áp dụng đk chút ss</t>
      </text>
    </comment>
    <comment authorId="0" ref="AS631">
      <text>
        <t xml:space="preserve">E thấy mình tự tin hơn khi nói tiếng nhật 
Bt đc thêm từ vững và ngữ pháp ạ</t>
      </text>
    </comment>
    <comment authorId="0" ref="AT598">
      <text>
        <t xml:space="preserve">Dạ. Vẫn tốt ss ạ</t>
      </text>
    </comment>
    <comment authorId="0" ref="AW598">
      <text>
        <t xml:space="preserve">Dạ, e thấy vẫn bình thường ạ, khả năng giao tiếp có hơn 1 chút ạ</t>
      </text>
    </comment>
    <comment authorId="0" ref="AO714">
      <text>
        <t xml:space="preserve">Dạ hôm qua e học với thanh ss tốt ạ
Thanh ss nói dễ nghe ạ</t>
      </text>
    </comment>
    <comment authorId="0" ref="AO681">
      <text>
        <t xml:space="preserve">học ổn a</t>
      </text>
    </comment>
    <comment authorId="0" ref="AQ648">
      <text>
        <t xml:space="preserve">Dạ rồi á ss
</t>
      </text>
    </comment>
    <comment authorId="0" ref="AR648">
      <text>
        <t xml:space="preserve">còn chưa quen cách học lắm </t>
      </text>
    </comment>
    <comment authorId="0" ref="AR615">
      <text>
        <t xml:space="preserve">Dạ ổn ạ</t>
      </text>
    </comment>
    <comment authorId="0" ref="AO731">
      <text>
        <t xml:space="preserve">dạ vâng ạ, với lại em cũng muốn trong giờ học được chỉnh phát âm, xem mình nên đọc từ đó như nào, rồi là các từ mà người nhật hay dùng kiểu âm nối như なんか、て言うか。。。thế ạ. Trong tiết em cũng muốn kaiwa nhiều hơn với giáo viên, áp dụng các từ trong tiết hôm đó nhiều rồi ss sẽ sửa cho em nên dùng như nào thì đúng ạ. Còn tốc độ thì cũng bình thường kh quá chậm ạ.</t>
      </text>
    </comment>
    <comment authorId="0" ref="AO698">
      <text>
        <t xml:space="preserve">Để thêm 1 vài buổi nữa mới cảm nhận rõ được ạ</t>
      </text>
    </comment>
    <comment authorId="0" ref="AP731">
      <text>
        <t xml:space="preserve">@Chika Sensei Dạ em quen với phương pháp rồi ạ. Chắc do thời gian học từ tuần đầu sang tuần 2 nghỉ do chững lại nên em vẫn chưa thấy tiến bộ lắm thoi ạ.</t>
      </text>
    </comment>
    <comment authorId="0" ref="AO665">
      <text>
        <t xml:space="preserve">Dạ ổn ạ tốc độ dạy vừa phải ạ</t>
      </text>
    </comment>
    <comment authorId="0" ref="AP698">
      <text>
        <t xml:space="preserve">Tạm thời là e đang thấy ổn ạ</t>
      </text>
    </comment>
    <comment authorId="0" ref="AQ698">
      <text>
        <t xml:space="preserve">Em thấy cô phát âm chuẩn. Ngữ điệu cũng hay. Nên tạm thời em khá hài lòng với cách cô dậy ạ</t>
      </text>
    </comment>
    <comment authorId="0" ref="AQ665">
      <text>
        <t xml:space="preserve">Dạ ok ạ</t>
      </text>
    </comment>
    <comment authorId="0" ref="AS665">
      <text>
        <t xml:space="preserve">ổn ạ</t>
      </text>
    </comment>
    <comment authorId="0" ref="AR599">
      <text>
        <t xml:space="preserve">dạ vẫn ổn ss a</t>
      </text>
    </comment>
    <comment authorId="0" ref="AW665">
      <text>
        <t xml:space="preserve">Dạ tốc độ ổn bình thường ạ</t>
      </text>
    </comment>
    <comment authorId="0" ref="AO748">
      <text>
        <t xml:space="preserve">Dạ tốt ạ
Không có vẫn đề bị chững lại trong lúc học ạ</t>
      </text>
    </comment>
    <comment authorId="0" ref="AO682">
      <text>
        <t xml:space="preserve">Dạ hôm qua đang học mà phía em đường truyền bỗng kém dẫn tới chập chờn tín hiệu giữa cô trò một vài khoảng ạ, buổi đầu cũng còn nhiều bỡ ngỡ nhưng cũng tạm ổn ạ, ss Huyên rất năng lượng tạo không khí buổi học thoải mái ạ.</t>
      </text>
    </comment>
    <comment authorId="0" ref="AP715">
      <text>
        <t xml:space="preserve">Mới đầu học e có chút lo lắng đc cái ss dạy kũng nhiệt tình và hòa đồng nên giờ e kũng quen rồi ạ</t>
      </text>
    </comment>
    <comment authorId="0" ref="AP682">
      <text>
        <t xml:space="preserve">Em đã làm quen được với phương pháp của trung tâm rồi ạ,
Dạ,  e cũng được Huyên ss chỉnh sửa ngay mỗi lần nói nên e nghĩ ít nhiều cũng sẽ có cải thiện được á ss. E cũng hy vọng khi kết thúc khoá học khả năng kaiwa của bản thân sẽ tiến bộ hơn ạ. Em cảm ơn ss.</t>
      </text>
    </comment>
    <comment authorId="0" ref="AQ715">
      <text>
        <t xml:space="preserve">E cũng cố gắng nhưng vẫn còn kém lắm ss ạ</t>
      </text>
    </comment>
    <comment authorId="0" ref="AQ682">
      <text>
        <t xml:space="preserve">Dạ,  e cũng được Huyên ss chỉnh sửa ngay mỗi lần nói nên e nghĩ ít nhiều cũng sẽ có cải thiện được á ss. E cũng hy vọng khi kết thúc khoá học khả năng kaiwa của bản thân sẽ tiến bộ hơn ạ. Em cảm ơn ss.</t>
      </text>
    </comment>
    <comment authorId="0" ref="AQ649">
      <text>
        <t xml:space="preserve">@Chika Sensei hiện tại chưa thấy khó khăn gì ss ạ</t>
      </text>
    </comment>
    <comment authorId="0" ref="AR682">
      <text>
        <t xml:space="preserve">Dạ vẫn ổn ạ</t>
      </text>
    </comment>
    <comment authorId="0" ref="AR649">
      <text>
        <t xml:space="preserve">@Chika Sensei em đã quen dần rồi ss ạ</t>
      </text>
    </comment>
    <comment authorId="0" ref="AS682">
      <text>
        <t xml:space="preserve">Dạ tự bản thân e nhận thấy thì cũng có sự thay đổi, có phản xạ lại được nhưng chưa tiến bộ rõ rệt lắm ạ.  Có lắm lúc tối nay học xong hôm sau phải ôn lại thì đi làm về muộn cái e không ôn là lại quên mất ạ :~</t>
      </text>
    </comment>
    <comment authorId="0" ref="AS649">
      <text>
        <t xml:space="preserve">@Chika Sensei Vâng em vẫn ổn ạ</t>
      </text>
    </comment>
    <comment authorId="0" ref="AT583">
      <text>
        <t xml:space="preserve">Dạ vẫn tốt ạ.</t>
      </text>
    </comment>
    <comment authorId="0" ref="AO732">
      <text>
        <t xml:space="preserve">dạ vừa ạ. hôm qua buổi đầu học em chưa rõ cách học nên chuẩn bị bài chưa kỹ lắm, hôm sau em sẽ cố gắng chuẩn bị kỹ hơn (pleading Moon)</t>
      </text>
    </comment>
    <comment authorId="0" ref="AO699">
      <text>
        <t xml:space="preserve">Dạ lớp học bình thường Sensei ạ.
Em cứ tưởng mình sẽ được học cô  Yoko sakagami</t>
      </text>
    </comment>
    <comment authorId="0" ref="AP732">
      <text>
        <t xml:space="preserve">dạ rồi ạ ss ơi
dạ em thấy phù hợp với em ạ</t>
      </text>
    </comment>
    <comment authorId="0" ref="AO666">
      <text>
        <t xml:space="preserve">Dạ em thấy phù hợp ạ</t>
      </text>
    </comment>
    <comment authorId="0" ref="AP699">
      <text>
        <t xml:space="preserve">Dạ cũng tạm quen rồi ạ</t>
      </text>
    </comment>
    <comment authorId="0" ref="AP666">
      <text>
        <t xml:space="preserve">Về bên ngữ pháp và từ vựng thì hẫu hết là em đã học qua và biết rồi ạ
Còn về kaiwa thì vừa với em ạ</t>
      </text>
    </comment>
    <comment authorId="0" ref="AQ633">
      <text>
        <t xml:space="preserve">Dạ em ổn ạ, em không gặp gì khó khăn ạ</t>
      </text>
    </comment>
    <comment authorId="0" ref="AS666">
      <text>
        <t xml:space="preserve">Dạ em thấy tốt ạ</t>
      </text>
    </comment>
    <comment authorId="0" ref="AR600">
      <text>
        <t xml:space="preserve">Dạ ổn ạ</t>
      </text>
    </comment>
    <comment authorId="0" ref="AS633">
      <text>
        <t xml:space="preserve">Dạ em cảm thấy bản thân cũng đã tiến bộ hơn rồi ạ, tuy không nhiều nhưng em cũng đã hài lòng ạ
Không phải do nội dung bài học hay giáo viên ạ, do bản thân em không đủ ý tưởng để đưa ra câu trả lời phong phú, nhưng em đã đc giáo viên gợi ý và cũng đã dịch được câu hoàn chỉnh ạ</t>
      </text>
    </comment>
    <comment authorId="0" ref="AT666">
      <text>
        <t xml:space="preserve">ạ em thấy phản xạ được nhanh hơn trước và có thể nói nhiều hơn trước được rồi ạ</t>
      </text>
    </comment>
    <comment authorId="0" ref="AO749">
      <text>
        <t xml:space="preserve">E học vs lam ss tốt ạ tốc độ vừa ổn phù hợp với em ạ</t>
      </text>
    </comment>
    <comment authorId="0" ref="AO716">
      <text>
        <t xml:space="preserve">Dạ ổn chị</t>
      </text>
    </comment>
    <comment authorId="0" ref="AO683">
      <text>
        <t xml:space="preserve">Dạ ss dạy dễ hiểu ạ</t>
      </text>
    </comment>
    <comment authorId="0" ref="AP716">
      <text>
        <t xml:space="preserve">Dạ quen rồi ạ sensei</t>
      </text>
    </comment>
    <comment authorId="0" ref="AP683">
      <text>
        <t xml:space="preserve">Dạ e cũng đang dần quen oy ss ạ</t>
      </text>
    </comment>
    <comment authorId="0" ref="AQ683">
      <text>
        <t xml:space="preserve">Dạ cũng quen rồi ss ạ mỗi tội là e k nhớ dk từ vựng thôi ạ</t>
      </text>
    </comment>
    <comment authorId="0" ref="AR650">
      <text>
        <t xml:space="preserve">はい。せんせいこんにちは
Dạ e cũng dần dần quen rồi ạDạ rất nhiệt tình ạ.
</t>
      </text>
    </comment>
    <comment authorId="0" ref="AS650">
      <text>
        <t xml:space="preserve">😅dạ cũng biết nói sao với ss nữa
Nói chung là trong quá trình học thì biết thêm đc nhiều thứ
Nhưng mà chắc do bản thân em còn yếu quá với lại cũng hk đc giao tiếp nhiều nên cũng đỡ đỡ hà chứ chưa đc tốt lắm</t>
      </text>
    </comment>
    <comment authorId="0" ref="AT650">
      <text>
        <t xml:space="preserve">Bữa h e học quài mà jk có vô.cứ quên quên sao á ss ơi.với lại nay e cung có bắt đầu làm đêm rồi nên cũng hơi thiếu tập trung</t>
      </text>
    </comment>
    <comment authorId="0" ref="AU650">
      <text>
        <t xml:space="preserve">Dạ e cung đỡ đỡ rồi ss</t>
      </text>
    </comment>
    <comment authorId="0" ref="AO733">
      <text>
        <t xml:space="preserve">10:32 Liên(リエン) Dạ em thấy hơi chậm ạ 
10:33 Liên(リエン) Ngữ pháp và từ vựng em có thể tự học trên lớp chỉ kaiwa thôi được không ạ 
10:36 Liên(リエン) Hqua em cũng có trao đổi đổi với cô Trang rồi ạ </t>
      </text>
    </comment>
    <comment authorId="0" ref="AY485">
      <text>
        <t xml:space="preserve">Em tự tin nói chuyện với người nhật hơn rồi ạ, giao tiếp tiếng nhật hiện tại thì em cảm thấy tự nhiên hơn trước nhiều ạ, việc nghe hiểu cũng khá tốt ạ</t>
      </text>
    </comment>
    <comment authorId="0" ref="AO667">
      <text>
        <t xml:space="preserve">Dạ ok ss ạ
Do mạng wifi e lag nên học hơi mất tgian
</t>
      </text>
    </comment>
    <comment authorId="0" ref="AP700">
      <text>
        <t xml:space="preserve">em quen rồi ạ</t>
      </text>
    </comment>
    <comment authorId="0" ref="AP667">
      <text>
        <t xml:space="preserve">Tại vì trong kaiwa hằng hằng e vẫn ch học được nhiều ý</t>
      </text>
    </comment>
    <comment authorId="0" ref="AQ700">
      <text>
        <t xml:space="preserve">dạ em cảm ơn cô ạ. em sẽ cố gắng hơn</t>
      </text>
    </comment>
    <comment authorId="0" ref="AQ634">
      <text>
        <t xml:space="preserve">Em quen rồi ạ</t>
      </text>
    </comment>
    <comment authorId="0" ref="AR634">
      <text>
        <t xml:space="preserve">Các buổi học gần đây của em vẫn ổn ạ</t>
      </text>
    </comment>
    <comment authorId="0" ref="AS634">
      <text>
        <t xml:space="preserve">Tốt hơn nhiều rồi ạ</t>
      </text>
    </comment>
    <comment authorId="0" ref="AT634">
      <text>
        <t xml:space="preserve">Em thấy mình nói tốt hơi
Trôi chảy hơn với tự tin nói hơn rồi ạ</t>
      </text>
    </comment>
    <comment authorId="0" ref="AO717">
      <text>
        <t xml:space="preserve">10:16 ホアン Không có gì ạ 
10:17 ホアン Buổi đầu tiên nên em hơi chưa quen thôi </t>
      </text>
    </comment>
    <comment authorId="0" ref="AO684">
      <text>
        <t xml:space="preserve">14:00 Thảo Dạ
Nếu có thể thì nói vs e nhiều hơn 1 chút ạ, câu trả lời của e còn chưa đúng cấu trúc và chưa diễn đạt được đủ ý, e nói sai thì sửa lại giùm e ạ 
14:00 Thảo E nghe hiểu nhưng phản xạ nói thì ko ổn ạ</t>
      </text>
    </comment>
    <comment authorId="0" ref="AP684">
      <text>
        <t xml:space="preserve">Dạ quen r ạ</t>
      </text>
    </comment>
    <comment authorId="0" ref="AQ717">
      <text>
        <t xml:space="preserve">10:06 ホアン Cũng dần dần cải thiện hơn rồi ạ
10:07 ホアン Giờ nói tuy vẫn còn sai nhiều nhưng mà không còn từ đơn như trước bữay</t>
      </text>
    </comment>
    <comment authorId="0" ref="AQ684">
      <text>
        <t xml:space="preserve">16:31 Thảo Kiến thức trong bài học e đều nắm đc r ạ nhưng kaiwa thực tế thì vẫn chưa ổn chút nào ạ, e cảm giác vẫn như ngày đầu tiên luôn ạ
16:31 Thảo Có thể là do e ko có phản xạ nói 
16:32 Thảo Với cả kaiwa thực tế khi gặp đồng nghiệp trong cty thì e vẫn ko nói đc ạ, chỉ nghe và hiểu thôi ạ</t>
      </text>
    </comment>
    <comment authorId="0" ref="AQ651">
      <text>
        <t xml:space="preserve">Dạ e cũng dần quen rồi ạ</t>
      </text>
    </comment>
    <comment authorId="0" ref="AQ618">
      <text>
        <t xml:space="preserve">Dạ tốt ạ, cô hỗ trợ nhiệt tình a</t>
      </text>
    </comment>
    <comment authorId="0" ref="AO734">
      <text>
        <t xml:space="preserve">@Chika Sensei dạ ổn ạ
Dạ phù hợp ạ</t>
      </text>
    </comment>
    <comment authorId="0" ref="AO701">
      <text>
        <t xml:space="preserve">Dạ em cảm thấy ổn ạ</t>
      </text>
    </comment>
    <comment authorId="0" ref="AP734">
      <text>
        <t xml:space="preserve">@Chika Sensei dạ cũng tương đối rồi ạ</t>
      </text>
    </comment>
    <comment authorId="0" ref="AO668">
      <text>
        <t xml:space="preserve">Dạ cô giáo tốt ạ giảng em cũng hiểu nữa ạ
Dạ tốc độ vậy là phù hợp rồi ạ</t>
      </text>
    </comment>
    <comment authorId="0" ref="AP701">
      <text>
        <t xml:space="preserve">Dạ em cũng quen quen rồi á Ss</t>
      </text>
    </comment>
    <comment authorId="0" ref="AQ701">
      <text>
        <t xml:space="preserve">Cũng tạm ổn ạ Ss</t>
      </text>
    </comment>
    <comment authorId="0" ref="AR701">
      <text>
        <t xml:space="preserve">17:36 チァン Dạ học thì ok ạ 
17:36 チァン Nhưng chắc thời gian học ít 
17:36 チァン Mà em yếu nên em chưa tốt lắm ạ</t>
      </text>
    </comment>
    <comment authorId="0" ref="AR635">
      <text>
        <t xml:space="preserve">dạ hiện tại e cũng đã có tiến bộ hơn trong việc ngắt âm khi nói chuyện và nắm bắt được nhiều câu sử dụng trong nhưng tính huống phù hợp. có 1 điều là trước đó e đã trao đổi với cô giao trên lớp rồi. giờ e trao đổi lại thêm có gì cô cũng nói chuyện với cố giáo giúp e nhá ạ. e mong là trong quá trình cô và e nói chuyện có nhưng lúc e nói có thể cô bắt được ý và ý cô vẫn hiểu nhưng cách dùng từ hay văn phong câu văn xắp xép hoặc dùng chưa đúng. e muốn cô sữa và chỉ luôn cho e. kiểu nếu muốn nói như thế thì phải nói như này mới đúng. e nghĩ học và được sửa trực tiếp sẽ giúp e nhớ lâu hơn. và áp dụng cho những lần sau nói chuyện ấy a</t>
      </text>
    </comment>
    <comment authorId="0" ref="AT635">
      <text>
        <t xml:space="preserve">dạ các buổi học của e gần đây đều ok a</t>
      </text>
    </comment>
    <comment authorId="0" ref="AO751">
      <text>
        <t xml:space="preserve">Dạ SS nhiệt tình ạ , em còn hơi kém nên cần cố gắng hơn nữa</t>
      </text>
    </comment>
    <comment authorId="0" ref="AO718">
      <text>
        <t xml:space="preserve">Dạ ổn ss ạ</t>
      </text>
    </comment>
    <comment authorId="0" ref="AO685">
      <text>
        <t xml:space="preserve">Hiện tại mới học ngày đầu nên e thấy ổn</t>
      </text>
    </comment>
    <comment authorId="0" ref="AP685">
      <text>
        <t xml:space="preserve">Dạ ko. E thấy đang cân bằng. E đọc văn bản thì e sẽ hiểu. Còn phần nghe thì e hơi yếu tí, nên nói về phần e đọc đoạn hội thoại thì là dễ đối với e. Còn để e nghe hiểu đoạn hội thoại thì chưa chuẩn 100% đc. Nên e nghĩ là hiện tại học thế này là ổn</t>
      </text>
    </comment>
    <comment authorId="0" ref="AP652">
      <text>
        <t xml:space="preserve">Em cũng dần quen rồi ss  
Nhưng đường truyền hay bị chập chờn quá ss .</t>
      </text>
    </comment>
    <comment authorId="0" ref="AP619">
      <text>
        <t xml:space="preserve">E thấy tốc độ giảng của Thanh ss phù hợp với em ạ. Ss hướng dẫn em kaiwa cũng dễ hiểu ạ.</t>
      </text>
    </comment>
    <comment authorId="0" ref="AQ652">
      <text>
        <t xml:space="preserve">Vâng tốc độ hợp lý ss ah . Với lại cô dạy giao tiếp bán sát công việc em làm nên rất thiết thực với công việc của em ạ</t>
      </text>
    </comment>
    <comment authorId="0" ref="AR685">
      <text>
        <t xml:space="preserve">Dạ vẫn ổn</t>
      </text>
    </comment>
    <comment authorId="0" ref="AQ619">
      <text>
        <t xml:space="preserve">Học đến bây giờ e thấy nói tiếng Nhật ít cứng miệng hơn, ít ngắt ngứ và ít phát âm sai hơn ạ.</t>
      </text>
    </comment>
    <comment authorId="0" ref="AS685">
      <text>
        <t xml:space="preserve">E thấy Thầy dạy nhiệt tình, với Thầy sửa lỗi tiếng Nhật cho e rất nhiều nên e rất thích. E cảm ơn Thầy vs trung tâm nhiều!</t>
      </text>
    </comment>
    <comment authorId="0" ref="AR619">
      <text>
        <t xml:space="preserve">E thấy học với Thanh ss vẫn ổn ạ.</t>
      </text>
    </comment>
    <comment authorId="0" ref="AS619">
      <text>
        <t xml:space="preserve">E thấy nói đỡ vấp, trôi chảy hơn trước ạ</t>
      </text>
    </comment>
    <comment authorId="0" ref="AR553">
      <text>
        <t xml:space="preserve">học K3 bị kém nên là đổi xuống k2
</t>
      </text>
    </comment>
    <comment authorId="0" ref="AV619">
      <text>
        <t xml:space="preserve">So với trước thì e nói được câu dài hơn. Nhưng mỗi lần nói thì vẫn cần một lúc ngồi dịch trong đầu ạ.</t>
      </text>
    </comment>
    <comment authorId="0" ref="AO735">
      <text>
        <t xml:space="preserve">Dạ buổi đầu e thấy ss dễ thương ạ.... e cx đỡ sợ, với ss cx nói e nghe ko kịp thì hỏi ss nhắc lại. Nhưng mà hôm qua e học quá 30p rồi ss ơi..có sao không ạ?</t>
      </text>
    </comment>
    <comment authorId="0" ref="AO702">
      <text>
        <t xml:space="preserve">Dạ mà e thấy tgian học hơi ngắn ạ</t>
      </text>
    </comment>
    <comment authorId="0" ref="AP735">
      <text>
        <t xml:space="preserve">Dạ hiện tại e cx quen rồi ạ! Nhưng mà không biết là e học hết khoảng nửa khoá thì em có tự tin hơn không ss? Hiện tại e vẫn còn rất ngại và không thể chủ động bắt chuyện với người nhật ạ</t>
      </text>
    </comment>
    <comment authorId="0" ref="AO669">
      <text>
        <t xml:space="preserve">Em tạm ổn. Học qua rồi em mới biết cách mình đi bài như nào</t>
      </text>
    </comment>
    <comment authorId="0" ref="AP669">
      <text>
        <t xml:space="preserve">Em ổn ss ạ</t>
      </text>
    </comment>
    <comment authorId="0" ref="AQ669">
      <text>
        <t xml:space="preserve">Dạ ổn ạ. Rất ok ạ</t>
      </text>
    </comment>
    <comment authorId="0" ref="AQ636">
      <text>
        <t xml:space="preserve">@Chika Sensei  vâng e học vẫn bình thường ạ .. do e học trc bài lên khi lên lớp cũng dễ hiểu..e đã học đến bài 8 nhưng e thấy trình độ kaiwa vẫn chưa tiến triển nhìu..</t>
      </text>
    </comment>
    <comment authorId="0" ref="AR636">
      <text>
        <t xml:space="preserve">@Chika Sensei ở nhà e cugnx lên yutobe để luyên nghe luyện nói.. cũng lên cty để kaiwa với người nhật nhưng k ăn thua ạ
E cũng cố gắng học để có thể thay đổi bản thân .. kiếm đc công việc tốt có mức lương ổn hơn</t>
      </text>
    </comment>
    <comment authorId="0" ref="AS669">
      <text>
        <t xml:space="preserve">Em thấy em không bở ngỡ như trước á ss. Giờ đọc chữ cũng ổn hơn. Cũng chạy chữ hơn trước nhiều ạ</t>
      </text>
    </comment>
    <comment authorId="0" ref="AO752">
      <text>
        <t xml:space="preserve">Dạ em thấy cũm bình thường ạ
Buổi học cũng ok ạ
Sei ơi cho em hỏi cách làm btvn với ạ</t>
      </text>
    </comment>
    <comment authorId="0" ref="AO719">
      <text>
        <t xml:space="preserve">Buổi đầu e chưa bắt dc tốc độ ss ạ</t>
      </text>
    </comment>
    <comment authorId="0" ref="AO686">
      <text>
        <t xml:space="preserve">02:38 ヒエン Mới hoc chưa quen cách học ạ
02:38 ヒエン Vs bài tập ko ghi âm đc ss </t>
      </text>
    </comment>
    <comment authorId="0" ref="AP719">
      <text>
        <t xml:space="preserve">học bị khó nên đổi xuống k1</t>
      </text>
    </comment>
    <comment authorId="0" ref="AO653">
      <text>
        <t xml:space="preserve">dạ ổn a</t>
      </text>
    </comment>
    <comment authorId="0" ref="AP686">
      <text>
        <t xml:space="preserve">Dạ rồi, ổn ạ 
Dạ ko. E thấy đang cân bằng. E đọc văn bản thì e sẽ hiểu. Còn phần nghe thì e hơi yếu tí, nên nói về phần e đọc đoạn hội thoại thì là dễ đối với e. Còn để e nghe hiểu đoạn hội thoại thì chưa chuẩn 100% đc. Nên e nghĩ là hiện tại học thế này là ổn</t>
      </text>
    </comment>
    <comment authorId="0" ref="AP653">
      <text>
        <t xml:space="preserve">Em cũng đang dần quen ạ
Vâng rất nhiệt tình ạ
</t>
      </text>
    </comment>
    <comment authorId="0" ref="AQ653">
      <text>
        <t xml:space="preserve">Quen dần rồi ạ</t>
      </text>
    </comment>
    <comment authorId="0" ref="AR653">
      <text>
        <t xml:space="preserve">em vẫn ổn ạ</t>
      </text>
    </comment>
    <comment authorId="0" ref="AS620">
      <text>
        <t xml:space="preserve">Dạ em cảm ơn cô rất nhiều ạ. Em rất vui vì nhận được những nhận xét và góp ý của cô. Em sẽ cố gắng luyện tập chăm chỉ hơn, đặc biệt là phần từ vựng và giao tiếp để tiến bộ nhanh hơn.</t>
      </text>
    </comment>
    <comment authorId="0" ref="AT620">
      <text>
        <t xml:space="preserve">dạ vẫn ổn a</t>
      </text>
    </comment>
    <comment authorId="0" ref="AU620">
      <text>
        <t xml:space="preserve">Các buổi học gần đây vẫn tốt ạ</t>
      </text>
    </comment>
    <comment authorId="0" ref="AO736">
      <text>
        <t xml:space="preserve">09:30 フォン Ok ạ e chưa cbi bài tốt lắm thôi ạ 
09:30 フォン Ss OK ạ</t>
      </text>
    </comment>
    <comment authorId="0" ref="AO703">
      <text>
        <t xml:space="preserve">Dạ e thấy ss dạy phù hợp với mức độ của e ạ</t>
      </text>
    </comment>
    <comment authorId="0" ref="AO670">
      <text>
        <t xml:space="preserve">Vốn từ vựng của e rất ít nên là khi kaiwa với ss rất khó</t>
      </text>
    </comment>
    <comment authorId="0" ref="AP703">
      <text>
        <t xml:space="preserve">Dạ e thấy phù hợp rồi ss ạ
@Chika Sensei dạ ss e đã quen rồi ạ</t>
      </text>
    </comment>
    <comment authorId="0" ref="AQ703">
      <text>
        <t xml:space="preserve">@Chika Sensei dạ e cũng đang quen dần rồi ạ</t>
      </text>
    </comment>
    <comment authorId="0" ref="AR703">
      <text>
        <t xml:space="preserve">Dạ e thấy phù hợp ạ
@Chika Sensei dạ e cũng đang quen dần rồi ạ</t>
      </text>
    </comment>
    <comment authorId="0" ref="AQ637">
      <text>
        <t xml:space="preserve">học viên lười chuẩn bị bài nên tiếp thu chậm 
</t>
      </text>
    </comment>
    <comment authorId="0" ref="AS604">
      <text>
        <t xml:space="preserve">Dạ e cảm thấy e vẫn chưa nói được nhiều lắm như e mong đợi 😭 kiểu nhiều lúc nói e vẫn bị tâm lý nên thành ra k được tự nhiên xong cái trong đầu e kiểu bị quên hết luôn</t>
      </text>
    </comment>
    <comment authorId="0" ref="AU604">
      <text>
        <t xml:space="preserve">Dạ đợt này e đang bận quá để đợt tới rảnh hơn e dki học cho hiệu quả nha ss</t>
      </text>
    </comment>
    <comment authorId="0" ref="AW538">
      <text>
        <t xml:space="preserve">Rất tốt luôn ai
Rất tốt luôn ạ,ss dạy kỹ lắm ạ</t>
      </text>
    </comment>
    <comment authorId="0" ref="AO753">
      <text>
        <t xml:space="preserve">dạ hiện tại thì chưa có vấn đề j ạ , vậy tạo giúp e file đượck ạ</t>
      </text>
    </comment>
    <comment authorId="0" ref="AO720">
      <text>
        <t xml:space="preserve">em thấy thgian hơi nhanh th ạ</t>
      </text>
    </comment>
    <comment authorId="0" ref="AO687">
      <text>
        <t xml:space="preserve">@Chika Sensei da tốt ạ . Không có vấn đề gì ạ</t>
      </text>
    </comment>
    <comment authorId="0" ref="AP687">
      <text>
        <t xml:space="preserve">@Chika Sensei da e quen rồi ạ . Có quên học một lần thui ạ --B</t>
      </text>
    </comment>
    <comment authorId="0" ref="AQ687">
      <text>
        <t xml:space="preserve">@Chika Sensei da e quen dần r ạ</t>
      </text>
    </comment>
    <comment authorId="0" ref="AR687">
      <text>
        <t xml:space="preserve">Da k ạ e học vui với học được nhiều điều mới lắm ạ</t>
      </text>
    </comment>
    <comment authorId="0" ref="AS687">
      <text>
        <t xml:space="preserve">@Chika Sensei dạ e có thể nghe đc ss và trả lời đỡ hơn lúc đầu học rồi ạ . Vốn từ e còn ít nên đôi lúc chưa biết nói gì .</t>
      </text>
    </comment>
    <comment authorId="0" ref="AS621">
      <text>
        <t xml:space="preserve">thời điểm nay nhớ ra được ngữ pháp từ vựng cũng mạnh dặn hơn tư tin hơn chút khi nói chuyện với người nhật</t>
      </text>
    </comment>
    <comment authorId="0" ref="AW522">
      <text>
        <t xml:space="preserve">dạ tốt a </t>
      </text>
    </comment>
    <comment authorId="0" ref="AO737">
      <text>
        <t xml:space="preserve">Em ko biết do app hay do mạng mà học hơi bị lag, lúc cuối nghe đoạn văn bị out ra ạ</t>
      </text>
    </comment>
    <comment authorId="0" ref="AY522">
      <text>
        <t xml:space="preserve">Dạ ss dạy rất tốt ạ , cô hướng dấn rất cẩn thận nhiệt tình , e rất thích ạ .</t>
      </text>
    </comment>
    <comment authorId="0" ref="AO704">
      <text>
        <t xml:space="preserve">30' học kaiwa ít
</t>
      </text>
    </comment>
    <comment authorId="0" ref="AP737">
      <text>
        <t xml:space="preserve">11:29 ミンダット Học qua ứng dụng bên e bị lag ss ạ 
11:29 ミンダット Mình chuyển qua nền tảng khác dc ko ạ </t>
      </text>
    </comment>
    <comment authorId="0" ref="AO671">
      <text>
        <t xml:space="preserve">Hôm nay với ss không có vấn đề gì . Tốc độ của ss phù hợp với em ạ 
Vâng, cô cũng nói thêm nhiều chủ đề ngoài bài giảng nữa nên em cảm thấy rất thích và không mấy căng thẳng khi học cùng cô^^</t>
      </text>
    </comment>
    <comment authorId="0" ref="AP704">
      <text>
        <t xml:space="preserve">Dạ cũng tạm quen rồi ạ</t>
      </text>
    </comment>
    <comment authorId="0" ref="AP671">
      <text>
        <t xml:space="preserve">Em cũng dần quen rồi ạ. Xem mấy video cũng giúp em khá nhiều về việc luyện nghe và shadowing
Em thấy việc nói chuyện ngoài bài học với ss giúp em phản xạ tốt hơn ấy ss
</t>
      </text>
    </comment>
    <comment authorId="0" ref="AQ704">
      <text>
        <t xml:space="preserve">dạ hiện tại vẫn ổn ạ</t>
      </text>
    </comment>
    <comment authorId="0" ref="AQ671">
      <text>
        <t xml:space="preserve">先生、こんにちは。
Hiện tại em thấy phản xạ của em nhanh hơn hồi mới bắt đầu rồi ạ. Vì mới học được 1/3 nên em vẫn chưa kỳ vọng  ban thân đạt trình độ trôi chảy hay dùng từ tự nhiên như ngừoi Nhật. Nhưng em sẽ cố gắng, và mong rằng khi hoàn thành khoá học, em sẽ đạt được mục tiêu mình đề ra. 🩵</t>
      </text>
    </comment>
    <comment authorId="0" ref="AS605">
      <text>
        <t xml:space="preserve">@Phòng Đào Tạo Edura Gv Chuyên Môn dạ không ạ em thấy tiến bộ nhiều lắm thoãi mái nói chuyện nữa hihi💪</t>
      </text>
    </comment>
    <comment authorId="0" ref="AS572">
      <text>
        <t xml:space="preserve">Dạ. Em cũng dạn nói hơn rồi ạ. Nhưng vẫn còn chưa dùng đúng cấu trúc tiếng Nhật để kaiwa ạ.</t>
      </text>
    </comment>
    <comment authorId="0" ref="AT506">
      <text>
        <t xml:space="preserve">14:05 テ－ちゃん ss ơi còn mấy buổi nữa là hoàn thành khoá học kaiwa rồi
nhưng em xin kết thúc sớm vì lịch trình có chút thay đổi để kịp tiến độ cho t12 này ạ.
14:05 テ－ちゃん cảm ơn các ss đã luôn đồng hành hướng dẫn
14:05 テ－ちゃん cảm ơn Ss trang giúp em ạ,Ss dạy rất hay,vui vẻ,thoải mái,em rất thích Cô.
14:06 テ－ちゃん sau khoá học này e tự tin hơn về kaiwa rồi ạ😍
14:07 テ－ちゃん trung tâm nhiệt tình,rất tạo cô hội cho học viên,bận có cơ hội bảo lưu ..
cảm ơn TT nhiều ạ</t>
      </text>
    </comment>
    <comment authorId="0" ref="AO721">
      <text>
        <t xml:space="preserve">học 30 phút nên lo lắng </t>
      </text>
    </comment>
    <comment authorId="0" ref="AO688">
      <text>
        <t xml:space="preserve">Em thấy cũng ổn cô ạ</t>
      </text>
    </comment>
    <comment authorId="0" ref="AP721">
      <text>
        <t xml:space="preserve">Em cũng quen rồi ạ</t>
      </text>
    </comment>
    <comment authorId="0" ref="AP688">
      <text>
        <t xml:space="preserve">dạ ổn a</t>
      </text>
    </comment>
    <comment authorId="0" ref="AP655">
      <text>
        <t xml:space="preserve">E cũng đã dần quen với phương pháp học rồi ạ
Có phần bài tập về nhà e hơi lơ là 1 chút</t>
      </text>
    </comment>
    <comment authorId="0" ref="AR688">
      <text>
        <t xml:space="preserve">Em cảm thấy mình học được thêm các từ vựng về business và  cô sato cũng nhiệt tình ạ</t>
      </text>
    </comment>
    <comment authorId="0" ref="AR655">
      <text>
        <t xml:space="preserve">@Chika Sensei dạ vẫn tốt ss ạ</t>
      </text>
    </comment>
    <comment authorId="0" ref="AS688">
      <text>
        <t xml:space="preserve">Em mới học với cô 1 buổi thấy cũng ổn ạ</t>
      </text>
    </comment>
    <comment authorId="0" ref="AS655">
      <text>
        <t xml:space="preserve">@Chika Sensei e thấy r đã cải thiện khá nhiều r ạ từ phát âm đến cách nói chuyện ạ</t>
      </text>
    </comment>
    <comment authorId="0" ref="AS589">
      <text>
        <t xml:space="preserve">Dạ tốc độ vừa đủ ạ</t>
      </text>
    </comment>
    <comment authorId="0" ref="AU655">
      <text>
        <t xml:space="preserve">@Chika Sensei dạ e cố gắng ôn kĩ ạ nếu có j khó e nhắn ạ</t>
      </text>
    </comment>
    <comment authorId="0" ref="AT589">
      <text>
        <t xml:space="preserve">Dạ tốc độ vừa đủ ạ</t>
      </text>
    </comment>
    <comment authorId="0" ref="AO738">
      <text>
        <t xml:space="preserve">Vâng có khó khăn e sẽ báo</t>
      </text>
    </comment>
    <comment authorId="0" ref="AO705">
      <text>
        <t xml:space="preserve">Dạ tốt ạ. Tốc độ ok ạ</t>
      </text>
    </comment>
    <comment authorId="0" ref="AO672">
      <text>
        <t xml:space="preserve">Dạ em ổn</t>
      </text>
    </comment>
    <comment authorId="0" ref="AP705">
      <text>
        <t xml:space="preserve">Dạ quen rồi ạ
Dạ phù hợp ạ</t>
      </text>
    </comment>
    <comment authorId="0" ref="AP672">
      <text>
        <t xml:space="preserve">Dạ ổn</t>
      </text>
    </comment>
    <comment authorId="0" ref="AQ672">
      <text>
        <t xml:space="preserve">Dạ quen r ạ</t>
      </text>
    </comment>
    <comment authorId="0" ref="AS573">
      <text>
        <t xml:space="preserve">Dạ em học với ss rất tốt ạ</t>
      </text>
    </comment>
    <comment authorId="0" ref="AT573">
      <text>
        <t xml:space="preserve">Dạ em học thấy có tốt lên ạ. Cô Arita dạy rất nhiệt tình ạ 🥰</t>
      </text>
    </comment>
    <comment authorId="0" ref="AU573">
      <text>
        <t xml:space="preserve">Dạ em học thấy có tốt lên ạ. Cô Arita dạy rất nhiệt tình ạ 🥰</t>
      </text>
    </comment>
    <comment authorId="0" ref="AO755">
      <text>
        <t xml:space="preserve">dạ được ạ</t>
      </text>
    </comment>
    <comment authorId="0" ref="AO722">
      <text>
        <t xml:space="preserve">kém quá đổi xuống bài 1 K1</t>
      </text>
    </comment>
    <comment authorId="0" ref="AO689">
      <text>
        <t xml:space="preserve">gv nhiệt tình hoc tốt 
</t>
      </text>
    </comment>
    <comment authorId="0" ref="AP722">
      <text>
        <t xml:space="preserve">E chưa quen ss mới 4bài thui ss</t>
      </text>
    </comment>
    <comment authorId="0" ref="AO656">
      <text>
        <t xml:space="preserve">@Chika Sensei hôm qua e học bình thường ạ</t>
      </text>
    </comment>
    <comment authorId="0" ref="AP689">
      <text>
        <t xml:space="preserve">Dạ rồi ss ạ</t>
      </text>
    </comment>
    <comment authorId="0" ref="AQ656">
      <text>
        <t xml:space="preserve">@Phòng Đào Tạo Edura Gv Chuyên Môn bài tập về nhà dạo này e bận quá lên chưa làm được ạ</t>
      </text>
    </comment>
    <comment authorId="0" ref="AR623">
      <text>
        <t xml:space="preserve">こんにちは
Sang tuần cty em có lịch đi công tác khoảng 1 tuần ạ ,vậy nên em xin phép cho em được nghỉ hết tuần sau có dk ko ạ よろしくおねがいします🙇</t>
      </text>
    </comment>
    <comment authorId="0" ref="AT623">
      <text>
        <t xml:space="preserve">@Chika Sensei dạ đến thời điểm hiện tại thì vẫn tốt ạ ,nếu cần hộ trợ e sẽ chia sẻ vs ss ạ</t>
      </text>
    </comment>
    <comment authorId="0" ref="AW557">
      <text>
        <t xml:space="preserve">Dạ có ạ em thích cách dạy của ss quyên hơn ạ
Vì ss kaiwa với e nhiều hơn ạ
Nên e thấy thích hơn ạ</t>
      </text>
    </comment>
    <comment authorId="0" ref="AY557">
      <text>
        <t xml:space="preserve">@Chika Sensei có tiến bộ ạ</t>
      </text>
    </comment>
    <comment authorId="0" ref="AO739">
      <text>
        <t xml:space="preserve">buổi đầu em thấy như vậy là ổn rồi ạ ss không nhanh quá hay chậm quá em có thể theo kịp và ss sửa sai ngay tại chỗ luôn ạ</t>
      </text>
    </comment>
    <comment authorId="0" ref="AO706">
      <text>
        <t xml:space="preserve">Dạ em học ổn ạ.</t>
      </text>
    </comment>
    <comment authorId="0" ref="AP739">
      <text>
        <t xml:space="preserve">vì em cũng đang chậm trong phần phản xạ lại ý nên em thấy kh dễ hay khó quá đâu em thấy ổn rồi ạ</t>
      </text>
    </comment>
    <comment authorId="0" ref="AO673">
      <text>
        <t xml:space="preserve">@Phòng Đào Tạo Edura Gv Chuyên Môn dạ e thấy ổn chỉ là hơi nhanh một xíu thôi ạ</t>
      </text>
    </comment>
    <comment authorId="0" ref="AP673">
      <text>
        <t xml:space="preserve">dạ rùi ạaa</t>
      </text>
    </comment>
    <comment authorId="0" ref="AQ706">
      <text>
        <t xml:space="preserve">Dạ em cũng ổn rồi ạ.</t>
      </text>
    </comment>
    <comment authorId="0" ref="AQ673">
      <text>
        <t xml:space="preserve">@Chika Sensei hic nói thật với ss là em thấy kaiwa em chưa được tiến bộ lắm, chắc do một phần là em chưa có chịu khó nói tiếng nhật ấy. Với trên trường em dạo này cũng phải học sau giờ nhiều nên em không biết có đảm bảo chất lượng học được không ạ</t>
      </text>
    </comment>
    <comment authorId="0" ref="AR706">
      <text>
        <t xml:space="preserve">dạ tốt a</t>
      </text>
    </comment>
    <comment authorId="0" ref="AX508">
      <text>
        <t xml:space="preserve">Dạ Quí Ss rất là oki ạ</t>
      </text>
    </comment>
    <comment authorId="0" ref="AO723">
      <text>
        <t xml:space="preserve">Ss giảng cũng ko nhanh lắm ạ</t>
      </text>
    </comment>
    <comment authorId="0" ref="AY508">
      <text>
        <t xml:space="preserve">dạ em thấy có tiến bộ hơn trước ss ạ</t>
      </text>
    </comment>
    <comment authorId="0" ref="AO690">
      <text>
        <t xml:space="preserve">Dạ tốt ạ. Tốc độ của Ss em thấy ổn ạ</t>
      </text>
    </comment>
    <comment authorId="0" ref="AP723">
      <text>
        <t xml:space="preserve">Dạ quen r ạ
Dạ hiện tại mấy cái ngữ pháp vs từ vựng thì e đã học đối vs e thì ko khó có điều lúc kaiwa e bị yếu thôi ạ</t>
      </text>
    </comment>
    <comment authorId="0" ref="AO657">
      <text>
        <t xml:space="preserve">Dạ cô Yến rất hiền nhưng có lẽ do em chưa chuẩn bị bài kaiwa tốt nên không nói dc nhiều ạ</t>
      </text>
    </comment>
    <comment authorId="0" ref="AP690">
      <text>
        <t xml:space="preserve">Dạ em quen rồi ạ</t>
      </text>
    </comment>
    <comment authorId="0" ref="AP657">
      <text>
        <t xml:space="preserve">muốn học GV nam
</t>
      </text>
    </comment>
    <comment authorId="0" ref="AQ690">
      <text>
        <t xml:space="preserve">dạ em cảm thấy tốt hơn trước một chút, em đã nói chuyện với người công ty tuy không nhiều nhưng rõ ý hơn lúc chưa học ạ</t>
      </text>
    </comment>
    <comment authorId="0" ref="AR657">
      <text>
        <t xml:space="preserve">Dạ xong rồi ạ ss rất nhiệt tình ạ</t>
      </text>
    </comment>
    <comment authorId="0" ref="AS657">
      <text>
        <t xml:space="preserve">Dạ tốt ạ</t>
      </text>
    </comment>
    <comment authorId="0" ref="AS624">
      <text>
        <t xml:space="preserve">SS ơi các buổi học có đc quay video lại ko ạ, nếu muốn xem lại có đc ko ạ</t>
      </text>
    </comment>
    <comment authorId="0" ref="AT657">
      <text>
        <t xml:space="preserve">Cô giáo thì nói tốt lắm ạ thấy am hiểu nhiệt tình hơn so với giáo viên trước đó</t>
      </text>
    </comment>
    <comment authorId="0" ref="AO707">
      <text>
        <t xml:space="preserve">tốc độ của ss hơi chậm so với em ạ 🥹 e muốn nhanh hơn xíu nx ạ</t>
      </text>
    </comment>
    <comment authorId="0" ref="AO674">
      <text>
        <t xml:space="preserve">Dạ ok ạ</t>
      </text>
    </comment>
    <comment authorId="0" ref="AP707">
      <text>
        <t xml:space="preserve"> e cảm thấy mỗi tiết học nó hơi bị nhàm thế nào í ạ hic
kiểu bị giới hạn về mặt tgian
nên nhiều cái e muốn nói dài dài để ss sửa cho nma kiểu ss cx vội đẩy nhanh theo bài cho xong nên e cx k có cơ hội nói mấy ạ</t>
      </text>
    </comment>
    <comment authorId="0" ref="AP674">
      <text>
        <t xml:space="preserve">15:52 I'm Ngan🇻🇳 E thấy lớp học khá đều, ban đầu e chỉ lo là đầu vào k đều nhau sợ e k theo kịp
15:53 I'm Ngan🇻🇳 Nhưng thấy tt xếp lớp khá ok </t>
      </text>
    </comment>
    <comment authorId="0" ref="AQ707">
      <text>
        <t xml:space="preserve">@Chika Sensei dạ e cx đỡ đỡ r ạ nma vx nói loạn lắm ạ ss
nói vx bị khó hiểu ạ</t>
      </text>
    </comment>
    <comment authorId="0" ref="AQ641">
      <text>
        <t xml:space="preserve">Em đã quan với nhịp học và chuẩn bị bài rồi ạ. Có một cái em thấy có thể cải thiện thêm là phần từ vựng em thấy đang hơi bị rời rạc vì các từ vựng không phải lúc nào cũng có trong bài nghe và không liên quan nhiều đến chủ đề bài nói. trên lớp cô và em có đi qua các từ nhưng cũng chỉ đủ thời gian để tạo câu với 1-2 từ thôi ạ.</t>
      </text>
    </comment>
    <comment authorId="0" ref="AO724">
      <text>
        <t xml:space="preserve">Dạ cũng dễ hiểu</t>
      </text>
    </comment>
    <comment authorId="0" ref="AO691">
      <text>
        <t xml:space="preserve">Buổi học đầu tiên em chưa nắm rõ được hình thức học bên trung tâm nên vẫn chưa quen lắm. Cũng chưa gọi là ổn ss ạ, vì em hay bị quên vs hay nói nhầm😅 ss giảng kh có vấn đề gì ạ</t>
      </text>
    </comment>
    <comment authorId="0" ref="AP724">
      <text>
        <t xml:space="preserve">Dạ em cũng quen rồi</t>
      </text>
    </comment>
    <comment authorId="0" ref="AO658">
      <text>
        <t xml:space="preserve">E thấy ổn ạ</t>
      </text>
    </comment>
    <comment authorId="0" ref="AP691">
      <text>
        <t xml:space="preserve">Dạ em quen với phương pháp học của trung tâm rồi ạ. Ss dạy dễ hiểu và vui tính lắm ạ</t>
      </text>
    </comment>
    <comment authorId="0" ref="AQ724">
      <text>
        <t xml:space="preserve">Mấy phần cuối của bài mấy phần mà chọn ngử cảnh kaiwa phần đó em còn yếu</t>
      </text>
    </comment>
    <comment authorId="0" ref="AO625">
      <text>
        <t xml:space="preserve">Dạ học bình thường ss ơi, nhưng vì ít thời gian quá nên lợi ss dạy hơi nhanh ạ nên e với lợi ss không kaiwa được nhiều hơn ạ</t>
      </text>
    </comment>
    <comment authorId="0" ref="AR691">
      <text>
        <t xml:space="preserve">Em có thể vận dụng vào khi đi mua sắm ss ạ. Với công việc thì em vẫn chưa giao tiếp được nhiều với người nhật, em chỉ nghe ngta nói chuyện và hiểu nôm na cuộc nói chuyện của họ thôi ạ. Em thấy em có nghe hiểu hơn 1 chút so với trước kia, nhưng mà khi nói lại với người nhật thì vẫn chưa nói được nhiều ss ạ</t>
      </text>
    </comment>
    <comment authorId="0" ref="AS691">
      <text>
        <t xml:space="preserve">こんにちは. Dạ không có vấn đề gì cả ss ạ. Em học với Trúc ss tốt lắm ạ, ss dạy dễ hiểu và vui tính lắm ạ</t>
      </text>
    </comment>
    <comment authorId="0" ref="AR493">
      <text>
        <t xml:space="preserve">Dạ cũng ổn ạ ss</t>
      </text>
    </comment>
    <comment authorId="0" ref="AS493">
      <text>
        <t xml:space="preserve">Dạ vẫn oki ạ</t>
      </text>
    </comment>
    <comment authorId="0" ref="AU493">
      <text>
        <t xml:space="preserve">Dạ cũng ổn hơn hồi trc 1 chút rồi ạ</t>
      </text>
    </comment>
    <comment authorId="0" ref="AO741">
      <text>
        <t xml:space="preserve">Dạ em bình thường ạ em theo kịp ss ạ</t>
      </text>
    </comment>
    <comment authorId="0" ref="AO708">
      <text>
        <t xml:space="preserve">Dạa tốt k vấn de gì ss ạ</t>
      </text>
    </comment>
    <comment authorId="0" ref="AO675">
      <text>
        <t xml:space="preserve">@Phòng Đào Tạo Edura Gv Chuyên Môn  sensei dạy ổn lắm ạh</t>
      </text>
    </comment>
    <comment authorId="0" ref="AP708">
      <text>
        <t xml:space="preserve">Em quen rồi ss ạ</t>
      </text>
    </comment>
    <comment authorId="0" ref="AP675">
      <text>
        <t xml:space="preserve">vâng cũg ổn ạh &amp;-(</t>
      </text>
    </comment>
    <comment authorId="0" ref="AQ708">
      <text>
        <t xml:space="preserve">aj ss dậy toot ạ</t>
      </text>
    </comment>
    <comment authorId="0" ref="AP642">
      <text>
        <t xml:space="preserve">học hơi dễ nên đổi lên học từ bài 6
</t>
      </text>
    </comment>
    <comment authorId="0" ref="AQ675">
      <text>
        <t xml:space="preserve">à do e lười học thui ạh
chứ sensei dạy ổn lắm</t>
      </text>
    </comment>
    <comment authorId="0" ref="AR708">
      <text>
        <t xml:space="preserve">19:00 Nga Daj ss dậy toot ạ 
19:01 Nga Daj phu hợp ạ </t>
      </text>
    </comment>
    <comment authorId="0" ref="AS708">
      <text>
        <t xml:space="preserve">Daj k vấn đề gì ss ạ</t>
      </text>
    </comment>
    <comment authorId="0" ref="AR642">
      <text>
        <t xml:space="preserve">Vẫn tốt ạ</t>
      </text>
    </comment>
    <comment authorId="0" ref="AS510">
      <text>
        <t xml:space="preserve">Dạ em đã quen việc chuẩn bị bài r ạ em vẫn theo kịp tốc độ học ạ</t>
      </text>
    </comment>
    <comment authorId="0" ref="AV576">
      <text>
        <t xml:space="preserve">Dạ vẫn tốt sensei ạ. Em cảm ơn ss ạ</t>
      </text>
    </comment>
    <comment authorId="0" ref="AW576">
      <text>
        <t xml:space="preserve">Dạ em ko thấy có vấn đề gì hết ạ 😁</t>
      </text>
    </comment>
    <comment authorId="0" ref="AY576">
      <text>
        <t xml:space="preserve">Em cảm 先生rất nhiều vì những nhận xét và góp ý trong suốt khóa học ạ. Em rất vui khi biết khả năng giao tiếp của em đã có tiến bộ. Những góp ý của cô về cách nói lịch sự em sẽ chú ý và cố gắng cải thiện hơn, đặc biệt là trong những tình huống giao tiếp với người Nhật trong công việc. Em cảm ơn cô đã luôn hướng dẫn và hỗ trợ em trong thời gian qua ạ! 🙇‍♂️</t>
      </text>
    </comment>
    <comment authorId="0" ref="AO725">
      <text>
        <t xml:space="preserve">Dạ tuyệt vời luôn ss ơi mặc dù ss nói nhanh nhưng mà em hiểu được hết chỉ là em không nói được giống ss thôi....</t>
      </text>
    </comment>
    <comment authorId="0" ref="BA576">
      <text>
        <t xml:space="preserve">Em cảm 先生rất nhiều vì những nhận xét và góp ý trong suốt khóa học ạ. Em rất vui khi biết khả năng giao tiếp của em đã có tiến bộ. Những góp ý của cô về cách nói lịch sự em sẽ chú ý và cố gắng cải thiện hơn, đặc biệt là trong những tình huống giao tiếp với người Nhật trong công việc. Em cảm ơn cô đã luôn hướng dẫn và hỗ trợ em trong thời gian qua ạ! 🙇‍♂️</t>
      </text>
    </comment>
    <comment authorId="0" ref="AO692">
      <text>
        <t xml:space="preserve">Cũng tạm ạ. Tốc độ hơi chậm 1 tí ạ. Em muốn được đặt câu hỏi nhiều để luyện phản xạ nhanh hơn ạ</t>
      </text>
    </comment>
    <comment authorId="0" ref="AP725">
      <text>
        <t xml:space="preserve">Dạ hiện tại là mọi thứ đều ổn ạ</t>
      </text>
    </comment>
    <comment authorId="0" ref="AO659">
      <text>
        <t xml:space="preserve">@Chika Sensei hiện vẫn chưa hiểu cách làm bài tập dạng này ạ
Trước e học thì kiểu đưa hình ảnh tình huống mình viết dựa theo hình ảnh</t>
      </text>
    </comment>
    <comment authorId="0" ref="AP692">
      <text>
        <t xml:space="preserve">Dạ. E cũng quen dần rồi ạ. Có điều e vẫn chưa chủ động tạo ví dụ, tình huống được ạ</t>
      </text>
    </comment>
    <comment authorId="0" ref="AQ725">
      <text>
        <t xml:space="preserve">Dạ em đang dần quen rồi nha ss</t>
      </text>
    </comment>
    <comment authorId="0" ref="AP659">
      <text>
        <t xml:space="preserve">@Chika Sensei dạ tốt ss</t>
      </text>
    </comment>
    <comment authorId="0" ref="AQ692">
      <text>
        <t xml:space="preserve">E cảm ơn ạ. E sẽ cố gắng ạ</t>
      </text>
    </comment>
    <comment authorId="0" ref="AR692">
      <text>
        <t xml:space="preserve">E thấy ổn ạ. Cùng cô luyện kaiwa tình huống e thấy giúp e phản xạ nhanh hơn ạ</t>
      </text>
    </comment>
    <comment authorId="0" ref="AR659">
      <text>
        <t xml:space="preserve">Dạ học xong r ss</t>
      </text>
    </comment>
    <comment authorId="0" ref="AT659">
      <text>
        <t xml:space="preserve">@Chika Sensei dạ ok ss cô biết 1 ít tiếng việt nên nhiều cái giải thích không hiểu cô dùng được tiếng việt</t>
      </text>
    </comment>
    <comment authorId="0" ref="AW527">
      <text>
        <t xml:space="preserve">Dạ vẫn oki ạ</t>
      </text>
    </comment>
    <comment authorId="0" ref="AO709">
      <text>
        <t xml:space="preserve">Vâng hiện tại thì kịp ạ</t>
      </text>
    </comment>
    <comment authorId="0" ref="AO676">
      <text>
        <t xml:space="preserve">10:13 ラン　フオン　❤️ Buổi đầu em thấy qua bài hơi nhanh 
10:14 ラン　フオン　❤️ Hôm qua học hai phần đầu là từ vựng và nghe hiểu em thấy ss lướt bài hai phần đó hơi nhanh 
10:14 ラン　フオン　❤️ Còn kaiwwa em thấy oke </t>
      </text>
    </comment>
    <comment authorId="0" ref="AP709">
      <text>
        <t xml:space="preserve">Ổn sensei ạ</t>
      </text>
    </comment>
    <comment authorId="0" ref="AP676">
      <text>
        <t xml:space="preserve">Em quen r ạ</t>
      </text>
    </comment>
    <comment authorId="0" ref="AQ709">
      <text>
        <t xml:space="preserve">Ok rồi ạ
Linh ss ok ạ</t>
      </text>
    </comment>
    <comment authorId="0" ref="AQ676">
      <text>
        <t xml:space="preserve">E r ạ
dạ vẫn ổn a</t>
      </text>
    </comment>
    <comment authorId="0" ref="AO726">
      <text>
        <t xml:space="preserve">Dạ ss dạy nhiệt tình và kỹ ạ
Do em chưa chuẩn bị tốt bài và em còn phát âm kém ạ</t>
      </text>
    </comment>
    <comment authorId="0" ref="AO693">
      <text>
        <t xml:space="preserve">dạ cũng tốt và vui nữa ạ</t>
      </text>
    </comment>
    <comment authorId="0" ref="AO660">
      <text>
        <t xml:space="preserve">Dạ ổn SS ạ 🍀 
E cảm ơn SS ạ</t>
      </text>
    </comment>
    <comment authorId="0" ref="AP660">
      <text>
        <t xml:space="preserve">@Chika Sensei SS ! こんばんは
Dạ e cũng quen quen rồi SS ạ 
E cảm ơn SS ạ 🍀</t>
      </text>
    </comment>
    <comment authorId="0" ref="AQ627">
      <text>
        <t xml:space="preserve">14:46 Hoang Huyen Dạ vâng ạ. Em cảm nhận là so với trước đây em đã kaiwa tốt hơn nhiều rồi ạ
14:46 Hoang Huyen Em cảm ơn Sensei đã quan tâm ạ</t>
      </text>
    </comment>
    <comment authorId="0" ref="AS627">
      <text>
        <t xml:space="preserve">Dạ em thấy ổn ạ
Dạ phù hợp ạ. Khi nào không hiểu hay Sensei nói nhanh em sẽ hỏi lại ạ.</t>
      </text>
    </comment>
    <comment authorId="0" ref="AT627">
      <text>
        <t xml:space="preserve">Dạ vâng ạ. Cô dạy nhiệt tình lắm ạ</t>
      </text>
    </comment>
    <comment authorId="0" ref="AU627">
      <text>
        <t xml:space="preserve">Dạ em cảm ơn Sensei đã hỗ trợ cũng như động viên em trong suốt thời gian qua ạ. Và cũng nhờ có Lợi Ss và Ueno Ss chỉ bảo mà em nhận ra em còn nhiều điều thiếu sót lắm ạ. Trong thời gian tới không được tiếp tục học tại trung tâm em cũng tiếc lắm ạ. Nhưng hong sao, em sẽ tiếp tục cố gắng ạ. Xin cảm ơn Sensei ạ</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12">
      <text>
        <t xml:space="preserve">30b</t>
      </text>
    </comment>
    <comment authorId="0" ref="E608">
      <text>
        <t xml:space="preserve">30</t>
      </text>
    </comment>
    <comment authorId="0" ref="W721">
      <text>
        <t xml:space="preserve">1/2k1 1/2k2</t>
      </text>
    </comment>
    <comment authorId="0" ref="W752">
      <text>
        <t xml:space="preserve">nữ</t>
      </text>
    </comment>
    <comment authorId="0" ref="E701">
      <text>
        <t xml:space="preserve">60b</t>
      </text>
    </comment>
    <comment authorId="0" ref="W715">
      <text>
        <t xml:space="preserve">1/2k1-k2- 45b </t>
      </text>
    </comment>
    <comment authorId="0" ref="E664">
      <text>
        <t xml:space="preserve">60</t>
      </text>
    </comment>
    <comment authorId="0" ref="E534">
      <text>
        <t xml:space="preserve">32b, 2b pv
</t>
      </text>
    </comment>
    <comment authorId="0" ref="E565">
      <text>
        <t xml:space="preserve">30</t>
      </text>
    </comment>
    <comment authorId="0" ref="W742">
      <text>
        <t xml:space="preserve">1/2 Kaiwa 3 + Kiawa 4</t>
      </text>
    </comment>
    <comment authorId="0" ref="E689">
      <text>
        <t xml:space="preserve">32 buổi</t>
      </text>
    </comment>
    <comment authorId="0" ref="E751">
      <text>
        <t xml:space="preserve">30b</t>
      </text>
    </comment>
    <comment authorId="0" ref="E749">
      <text>
        <t xml:space="preserve">17b</t>
      </text>
    </comment>
    <comment authorId="0" ref="E716">
      <text>
        <t xml:space="preserve">60</t>
      </text>
    </comment>
    <comment authorId="0" ref="W734">
      <text>
        <t xml:space="preserve">15 buổi giáo viên Việt + 15 buổi giáo viên Nhật</t>
      </text>
    </comment>
    <comment authorId="0" ref="E617">
      <text>
        <t xml:space="preserve">45b</t>
      </text>
    </comment>
    <comment authorId="0" ref="W699">
      <text>
        <t xml:space="preserve">Combo 1/2 Kaiwa 1 + Kaiwa 2( 45 BUỔI)</t>
      </text>
    </comment>
    <comment authorId="0" ref="E745">
      <text>
        <t xml:space="preserve">15b</t>
      </text>
    </comment>
    <comment authorId="0" ref="W730">
      <text>
        <t xml:space="preserve">1/2 Kaiwa 3 + Kaiwa 4 Gv Nhật (45 buổi) </t>
      </text>
    </comment>
    <comment authorId="0" ref="E679">
      <text>
        <t xml:space="preserve">30</t>
      </text>
    </comment>
    <comment authorId="0" ref="W761">
      <text>
        <t xml:space="preserve">1/2k2 1/2k3 vn</t>
      </text>
    </comment>
    <comment authorId="0" ref="E710">
      <text>
        <t xml:space="preserve">45
</t>
      </text>
    </comment>
    <comment authorId="0" ref="E741">
      <text>
        <t xml:space="preserve">13b</t>
      </text>
    </comment>
    <comment authorId="0" ref="W753">
      <text>
        <t xml:space="preserve">1/2K1-K2 </t>
      </text>
    </comment>
    <comment authorId="0" ref="W720">
      <text>
        <t xml:space="preserve">1/2K2-K3</t>
      </text>
    </comment>
    <comment authorId="0" ref="W751">
      <text>
        <t xml:space="preserve">25b gv VN và 5b  Gv Nhật </t>
      </text>
    </comment>
    <comment authorId="0" ref="K642">
      <text>
        <t xml:space="preserve">lùi lịch học</t>
      </text>
    </comment>
    <comment authorId="0" ref="D731">
      <text>
        <t xml:space="preserve">IT</t>
      </text>
    </comment>
    <comment authorId="0" ref="W685">
      <text>
        <t xml:space="preserve">1/2 Kaiwa 2 + Kaiwa 3 Gv Việt (45 buổi)</t>
      </text>
    </comment>
    <comment authorId="0" ref="E630">
      <text>
        <t xml:space="preserve">30</t>
      </text>
    </comment>
    <comment authorId="0" ref="E564">
      <text>
        <t xml:space="preserve">30b
</t>
      </text>
    </comment>
    <comment authorId="0" ref="E628">
      <text>
        <t xml:space="preserve">30
</t>
      </text>
    </comment>
    <comment authorId="0" ref="W741">
      <text>
        <t xml:space="preserve">1/2k2-k3</t>
      </text>
    </comment>
    <comment authorId="0" ref="E626">
      <text>
        <t xml:space="preserve">30
</t>
      </text>
    </comment>
    <comment authorId="0" ref="E721">
      <text>
        <t xml:space="preserve">30b
</t>
      </text>
    </comment>
    <comment authorId="0" ref="E591">
      <text>
        <t xml:space="preserve">30</t>
      </text>
    </comment>
    <comment authorId="0" ref="E719">
      <text>
        <t xml:space="preserve">30</t>
      </text>
    </comment>
    <comment authorId="0" ref="W737">
      <text>
        <t xml:space="preserve">pre kaiwa 2 + 1/2 Kaiwa 1 (Giáo viên Việt)</t>
      </text>
    </comment>
    <comment authorId="0" ref="W671">
      <text>
        <t xml:space="preserve">1/2k2+1/2k3</t>
      </text>
    </comment>
    <comment authorId="0" ref="E717">
      <text>
        <t xml:space="preserve">11b</t>
      </text>
    </comment>
    <comment authorId="0" ref="W731">
      <text>
        <t xml:space="preserve">1/2k1-k2 IT </t>
      </text>
    </comment>
    <comment authorId="0" ref="U760">
      <text>
        <t xml:space="preserve">15b VIệt + 15b Nhật</t>
      </text>
    </comment>
    <comment authorId="0" ref="W696">
      <text>
        <t xml:space="preserve">1/2 Kaiwa 2 + Kaiwa 3</t>
      </text>
    </comment>
    <comment authorId="0" ref="E742">
      <text>
        <t xml:space="preserve">19b</t>
      </text>
    </comment>
  </commentList>
</comments>
</file>

<file path=xl/sharedStrings.xml><?xml version="1.0" encoding="utf-8"?>
<sst xmlns="http://schemas.openxmlformats.org/spreadsheetml/2006/main" count="10138" uniqueCount="3795">
  <si>
    <t>Ngày bàn giao</t>
  </si>
  <si>
    <t>Ngày</t>
  </si>
  <si>
    <t>ID HV</t>
  </si>
  <si>
    <t>Tên HV</t>
  </si>
  <si>
    <t>Vấn đề</t>
  </si>
  <si>
    <t>CVHT</t>
  </si>
  <si>
    <t>BC sản phẩm Kaiwa</t>
  </si>
  <si>
    <t>Từ ngày</t>
  </si>
  <si>
    <t>Trần Thị Ngọc Nhi</t>
  </si>
  <si>
    <t>18h30 KG</t>
  </si>
  <si>
    <t>CVHT01</t>
  </si>
  <si>
    <t>Tới ngày</t>
  </si>
  <si>
    <t>Mạnh Thị Thế</t>
  </si>
  <si>
    <t>Lê Tuấn Khôi</t>
  </si>
  <si>
    <t>19hKG</t>
  </si>
  <si>
    <t>Đinh Thị Minh Hiếu</t>
  </si>
  <si>
    <t>19h30KG</t>
  </si>
  <si>
    <t>Nguyễn Thị Lan Anh</t>
  </si>
  <si>
    <t>A.Số lượng học viên</t>
  </si>
  <si>
    <t>Lê Thị Xuân Mai</t>
  </si>
  <si>
    <t>Triệu Văn Vĩ</t>
  </si>
  <si>
    <t xml:space="preserve">Hồ Ngọc Lưu </t>
  </si>
  <si>
    <t>20h30KG</t>
  </si>
  <si>
    <t>Tổng</t>
  </si>
  <si>
    <t>K345014 - 001</t>
  </si>
  <si>
    <t>19h00KG trên hệ thống</t>
  </si>
  <si>
    <t>18h30KG</t>
  </si>
  <si>
    <t xml:space="preserve">Lý Thị Thảo </t>
  </si>
  <si>
    <t>19h00KG</t>
  </si>
  <si>
    <t>Đoàn Hải Yến</t>
  </si>
  <si>
    <t>20h00KG</t>
  </si>
  <si>
    <t>Sắp học</t>
  </si>
  <si>
    <t>Nguyễn Việt Tân</t>
  </si>
  <si>
    <t>Nguyễn Thị Hồng Nhung</t>
  </si>
  <si>
    <t>Võ Thanh Triều</t>
  </si>
  <si>
    <t>Từ Thị Quế Linh</t>
  </si>
  <si>
    <t xml:space="preserve">Nguyễn Thị Toán </t>
  </si>
  <si>
    <t>Phạm Nguyễn Mỹ Dung</t>
  </si>
  <si>
    <t xml:space="preserve">                                                                                                                                                                                                                                                                                                                                                                                                                                                                                                                                                                                                                                                                                                                                                                                                                                                                                                                                                                                                                                                                                                                                                                                                                                                                                                                                                                                                                                                                                                                                                                                                                                                                                                                                                                                                                                                                                                                                                                                                                                                                                                                                                                                                                                                                                                                                                                                                     </t>
  </si>
  <si>
    <t>Nguyễn Thị Yến Nhi</t>
  </si>
  <si>
    <t>Nguyễn Văn Cường</t>
  </si>
  <si>
    <t>Danh Quý</t>
  </si>
  <si>
    <t>Chưa học</t>
  </si>
  <si>
    <t>Ngân Thanh Phụng</t>
  </si>
  <si>
    <t>Nguyễn Thị Mỹ Nhung</t>
  </si>
  <si>
    <t>K145029</t>
  </si>
  <si>
    <t>N3VIP110012 - Lớp Phương 先生</t>
  </si>
  <si>
    <t>19h00KG trên daymai</t>
  </si>
  <si>
    <t>Đang học</t>
  </si>
  <si>
    <t>Bùi Vi Lâm</t>
  </si>
  <si>
    <t>Hồ Thị Kim Duyên</t>
  </si>
  <si>
    <t>Nguyễn Cảnh Hiển</t>
  </si>
  <si>
    <t>N3VIP110013 - Lớp Hải 先生</t>
  </si>
  <si>
    <t>Bảo lưu</t>
  </si>
  <si>
    <t xml:space="preserve">Nguyễn Thị Thảo </t>
  </si>
  <si>
    <t>Đỗ Xuân Trường</t>
  </si>
  <si>
    <t>Tháng 1</t>
  </si>
  <si>
    <t>Nguyễn Thị Mỹ Duyên</t>
  </si>
  <si>
    <t>ff</t>
  </si>
  <si>
    <t>Đoàn Thị Cẩm Thúy</t>
  </si>
  <si>
    <t>LÊ THỊ THANH</t>
  </si>
  <si>
    <t>Kết thúc</t>
  </si>
  <si>
    <t>Lê Hồng Xuân</t>
  </si>
  <si>
    <t>Nguyễn Văn Tiến</t>
  </si>
  <si>
    <t xml:space="preserve">Lí Tuệ Anh </t>
  </si>
  <si>
    <t xml:space="preserve">Nguyễn Ngọc Toàn </t>
  </si>
  <si>
    <t>Tháng 2</t>
  </si>
  <si>
    <t>Nguyễn Thị Thanh</t>
  </si>
  <si>
    <t>Tỷ trọng</t>
  </si>
  <si>
    <t>Note</t>
  </si>
  <si>
    <t>N4VIP11034 - Lớp Phước 先生</t>
  </si>
  <si>
    <t>19h00KG trên edura</t>
  </si>
  <si>
    <t>N3VIP110014 - Lớp Vui 先生</t>
  </si>
  <si>
    <t>19h00KG trên dạymai</t>
  </si>
  <si>
    <t>N2VIP16006 - Lớp cô Tuyết</t>
  </si>
  <si>
    <t>Trần Thảo Ý</t>
  </si>
  <si>
    <t>Ưu tiên xếp lớp, làm bạn</t>
  </si>
  <si>
    <t xml:space="preserve">N5VIP12002 - lớp Thủy </t>
  </si>
  <si>
    <t>20h15KG trên hệ thống</t>
  </si>
  <si>
    <t>Đinh Cao Trí</t>
  </si>
  <si>
    <t>Tháng 3</t>
  </si>
  <si>
    <t>Trần Thị Thùy Nhung</t>
  </si>
  <si>
    <t>THÔNG TIN KHOÁ HỌC</t>
  </si>
  <si>
    <t>Nguyễn Trần Duy Anh</t>
  </si>
  <si>
    <t>Tạo nhóm</t>
  </si>
  <si>
    <t>Ưu tiên chăm sóc, tái tục</t>
  </si>
  <si>
    <t xml:space="preserve">Bùi Minh Nghĩa </t>
  </si>
  <si>
    <t>Phạm Thị Anh Thư</t>
  </si>
  <si>
    <t>Hẹn lịch nhắc hv bắt đầu học</t>
  </si>
  <si>
    <t>19h00 test hệ thống</t>
  </si>
  <si>
    <t>N4VIP110023 - Lớp cô Vang</t>
  </si>
  <si>
    <t>Hỏi thăm ,kết nối 3 tháng 1 lần</t>
  </si>
  <si>
    <t>Trịnh Ngọc Long</t>
  </si>
  <si>
    <t>Nguyễn Đình Cơ</t>
  </si>
  <si>
    <t>N3VIP110015 - Lớp Vui 先生 N3</t>
  </si>
  <si>
    <t xml:space="preserve">Nguyễn Phước Lộc </t>
  </si>
  <si>
    <t>ID</t>
  </si>
  <si>
    <t>B.Tình hình chăm sóc - Số HV</t>
  </si>
  <si>
    <t>A1</t>
  </si>
  <si>
    <t>A2</t>
  </si>
  <si>
    <t>A3</t>
  </si>
  <si>
    <t>A4</t>
  </si>
  <si>
    <t>A5</t>
  </si>
  <si>
    <t>A6</t>
  </si>
  <si>
    <t>A7</t>
  </si>
  <si>
    <t>Lương Thị Lê</t>
  </si>
  <si>
    <t>A8</t>
  </si>
  <si>
    <t>19h00</t>
  </si>
  <si>
    <t>Chọn trạng thái học viên</t>
  </si>
  <si>
    <t>Ngày nộp học phí</t>
  </si>
  <si>
    <t>Lương Thủy Tiên</t>
  </si>
  <si>
    <t>20hKG</t>
  </si>
  <si>
    <t>Nguyễn Văn Hoàn</t>
  </si>
  <si>
    <t xml:space="preserve">20h00KG </t>
  </si>
  <si>
    <t>Sale</t>
  </si>
  <si>
    <t xml:space="preserve">SL HV </t>
  </si>
  <si>
    <t>Trạng thái HV</t>
  </si>
  <si>
    <t>Họ tên HV</t>
  </si>
  <si>
    <t>Giới tính</t>
  </si>
  <si>
    <t>SĐT</t>
  </si>
  <si>
    <t>Phản hồi tích cực</t>
  </si>
  <si>
    <t>Email</t>
  </si>
  <si>
    <t>Cần hỗ trợ về hệ thống</t>
  </si>
  <si>
    <t>Phản hồi tạm,học thêm rồi báo</t>
  </si>
  <si>
    <t>Cần hỗ trợ về chương trình học</t>
  </si>
  <si>
    <t>Nội dung khoá</t>
  </si>
  <si>
    <t>Cần hỗ trợ về điểm yếu của chính học viên</t>
  </si>
  <si>
    <t>Cần hỗ trợ về giáo viên</t>
  </si>
  <si>
    <t>Phản hồi tiêu cực, muốn dừng</t>
  </si>
  <si>
    <t>Chưa phản hồi</t>
  </si>
  <si>
    <t>Nội dung chăm sóc sau buổi 1</t>
  </si>
  <si>
    <t>Trạng thái thanh toán</t>
  </si>
  <si>
    <t>Nguyễn Thị Phương</t>
  </si>
  <si>
    <t>Lê Thị Ngọc Hân</t>
  </si>
  <si>
    <t>Gói học</t>
  </si>
  <si>
    <t>Khoá học</t>
  </si>
  <si>
    <t>Trình độ</t>
  </si>
  <si>
    <t>Phạm Thị Diệu</t>
  </si>
  <si>
    <t>Tổng số buổi</t>
  </si>
  <si>
    <t>Mô hình lớp</t>
  </si>
  <si>
    <t>Chướng Mỹ Bình</t>
  </si>
  <si>
    <t>Ghi chú sale</t>
  </si>
  <si>
    <t>DOB</t>
  </si>
  <si>
    <t>Nghề nghiệp</t>
  </si>
  <si>
    <t xml:space="preserve">Trần Thị Thùy Dương </t>
  </si>
  <si>
    <t>Mô hình</t>
  </si>
  <si>
    <t>Lê Thị Mỹ Duyên</t>
  </si>
  <si>
    <t>Số buổi còn lại</t>
  </si>
  <si>
    <t>Ngày bắt đầu học</t>
  </si>
  <si>
    <t xml:space="preserve">Nguyễn Quang Sơn </t>
  </si>
  <si>
    <t>Trạng thái</t>
  </si>
  <si>
    <t>Ngày kết thúc/Bảo lưu</t>
  </si>
  <si>
    <t>Lã Thị Kim Ngân</t>
  </si>
  <si>
    <t>Giờ học (1)</t>
  </si>
  <si>
    <t>Lịch học (1)</t>
  </si>
  <si>
    <t>Thời lượng buổi học (1)</t>
  </si>
  <si>
    <t>Giờ học (2)</t>
  </si>
  <si>
    <t>PHAN NGỌC NHI</t>
  </si>
  <si>
    <t>Lịch học (2)</t>
  </si>
  <si>
    <t>Thời lượng buổi học (2)</t>
  </si>
  <si>
    <t>Vòng lặp</t>
  </si>
  <si>
    <t>Ngày học</t>
  </si>
  <si>
    <t>Giáo viên</t>
  </si>
  <si>
    <t xml:space="preserve">Ngô Văn Tuyển </t>
  </si>
  <si>
    <t>21h00 test lớp trên hệ thống</t>
  </si>
  <si>
    <t>Mã GV</t>
  </si>
  <si>
    <t>Tên lớp</t>
  </si>
  <si>
    <t>Tổng số buổi đã học năm trước</t>
  </si>
  <si>
    <t>N4VIP11039</t>
  </si>
  <si>
    <t>Tổng số buổi đã học 2026</t>
  </si>
  <si>
    <t xml:space="preserve">Giang Mỹ Nhàn </t>
  </si>
  <si>
    <t>Nguyễn Thị Thuỳ Dung</t>
  </si>
  <si>
    <t>19h40</t>
  </si>
  <si>
    <t xml:space="preserve">Nguyễn Thị Kim Diệu </t>
  </si>
  <si>
    <t>Vũ Đình Bính</t>
  </si>
  <si>
    <t>N4VIP110028 - Lớp Sự 先生</t>
  </si>
  <si>
    <t>Báo cáo học tập</t>
  </si>
  <si>
    <t>Thông tin trao đổi với HV</t>
  </si>
  <si>
    <t>Lịch hẹn gọi</t>
  </si>
  <si>
    <t xml:space="preserve">Điểm nóng 
</t>
  </si>
  <si>
    <t>N3VIP110016 - Lớp Hạnh 先生</t>
  </si>
  <si>
    <t>Nội dung chăm sóc sau buổi 3</t>
  </si>
  <si>
    <t>Nội dung chăm sóc sau buổi 10</t>
  </si>
  <si>
    <t>Nội dung chăm sóc sau buổi 15</t>
  </si>
  <si>
    <t>Nội dung chăm sóc sau buổi 20</t>
  </si>
  <si>
    <t>Nội dung chăm sóc sau buổi 25</t>
  </si>
  <si>
    <t>K360013 - Lớp Tài 先生</t>
  </si>
  <si>
    <t>Nội dung chăm sóc sau buổi 29</t>
  </si>
  <si>
    <t>Nội dung chăm sóc sau buổi 30</t>
  </si>
  <si>
    <t>Nội dung chăm sóc sau buổi 35</t>
  </si>
  <si>
    <t>Nội dung chăm sóc sau buổi 45</t>
  </si>
  <si>
    <t>Nội dung chăm sóc sau buổi 55</t>
  </si>
  <si>
    <t>Lương Huệ Ngân</t>
  </si>
  <si>
    <t>Nội dung chăm sóc sau buổi 59</t>
  </si>
  <si>
    <t>21h test lớp mở lớp rồi test trên hệ thống</t>
  </si>
  <si>
    <t>Nội dung chăm sóc sau buổi 60</t>
  </si>
  <si>
    <t>Nội dung chăm sóc sau buổi 89</t>
  </si>
  <si>
    <t>Nội dung chăm sóc sau buổi 90</t>
  </si>
  <si>
    <t>Chăm sóc sau kết thúc</t>
  </si>
  <si>
    <t>Nguyễn Công Kỳ</t>
  </si>
  <si>
    <t xml:space="preserve">Nguyễn Duy Thưởng </t>
  </si>
  <si>
    <t>N3A110004 - Lớp N3CS Anh 先生</t>
  </si>
  <si>
    <t>19h00KG trên dạy mãi</t>
  </si>
  <si>
    <t>Trần Thị Thúy</t>
  </si>
  <si>
    <t>Tháng nộp học phí</t>
  </si>
  <si>
    <t>Ngày tạo tài khoản</t>
  </si>
  <si>
    <t>N4VIP110030 - Lớp Trang 先生</t>
  </si>
  <si>
    <t>18h30KG trên dạy mãi</t>
  </si>
  <si>
    <t>Đoàn Trọng Bắc</t>
  </si>
  <si>
    <t>DuyenLT</t>
  </si>
  <si>
    <t>HV mới</t>
  </si>
  <si>
    <t>Đặng Văn Thạch</t>
  </si>
  <si>
    <t>Nữ</t>
  </si>
  <si>
    <t>Kim Đa Ri</t>
  </si>
  <si>
    <t>thachcd111cg2@gmail.com</t>
  </si>
  <si>
    <t>Thường</t>
  </si>
  <si>
    <t>Full phí</t>
  </si>
  <si>
    <t>SKAI231030VN</t>
  </si>
  <si>
    <t>GV Việt Nam</t>
  </si>
  <si>
    <t>Kaiwa 2</t>
  </si>
  <si>
    <t>Mai Duy Tân</t>
  </si>
  <si>
    <t>Lớp 1-1</t>
  </si>
  <si>
    <t>- Liên hệ zalo: 7012519244
- tặng video jlptN3
- Lịch học: 246, giờ 21-21h30 (giờ nhật)
- sn 91, cả gia đình qua nhật, muốn học để làm giấy tờ cho con.</t>
  </si>
  <si>
    <t>Lê Thị Thanh Vân</t>
  </si>
  <si>
    <t>công nghiệp chế tạo</t>
  </si>
  <si>
    <t>Hoàng Hoa Phượng</t>
  </si>
  <si>
    <t>Hoàng Văn Hoàn</t>
  </si>
  <si>
    <t>20h30</t>
  </si>
  <si>
    <t>20h00</t>
  </si>
  <si>
    <t>kojima/thaodtt</t>
  </si>
  <si>
    <t>GV33</t>
  </si>
  <si>
    <t>Đặng Văn Thạch - kaiwa 2 ( 22/01/2025) - 001</t>
  </si>
  <si>
    <t xml:space="preserve"> Ngô Phạm Tuệ An Kids 1</t>
  </si>
  <si>
    <t>Nguyễn Đình Tuyến</t>
  </si>
  <si>
    <t xml:space="preserve">Nguyễn Văn Thức </t>
  </si>
  <si>
    <t>Nguyễn Công Dũng</t>
  </si>
  <si>
    <t>Hoàng Trọng Phú</t>
  </si>
  <si>
    <t>Hoàng Thị Linh</t>
  </si>
  <si>
    <t xml:space="preserve">Nguyễn Thị Trọng </t>
  </si>
  <si>
    <t>Phạm Thị Hồng</t>
  </si>
  <si>
    <t>N2VIP16007 - Lớp Tuyết 先生</t>
  </si>
  <si>
    <t>19h KG trên dạy mãi</t>
  </si>
  <si>
    <t>Nguyễn Hương Lan</t>
  </si>
  <si>
    <t xml:space="preserve">
- sn 91, cả gia đình qua nhật, muốn học để làm giấy tờ cho con.</t>
  </si>
  <si>
    <t>11/02/2025 E cảm nhận ss dạy hơi nhanh
Và đây là lớp học luyện kaiwa nên tập trung luyện nói</t>
  </si>
  <si>
    <t>20/02/2025 E cũng quen với phương pháp dạy của Trung tâm rồi ạ</t>
  </si>
  <si>
    <t>Đỗ Văn Đồng</t>
  </si>
  <si>
    <t xml:space="preserve">Nguyễn Huỳnh Bảo Châu </t>
  </si>
  <si>
    <t>Hẹn test hệ thống lúc 20h VN</t>
  </si>
  <si>
    <t>Hẹn test hệ thống lúc 18h30 VN</t>
  </si>
  <si>
    <t>N4VIP110033 - Lớp cô Vang N4</t>
  </si>
  <si>
    <t>19h00KG dạy mãi</t>
  </si>
  <si>
    <t>Nguyễn Tấn Bình</t>
  </si>
  <si>
    <t>18h00KG</t>
  </si>
  <si>
    <t>Nguyễn Thị Lan</t>
  </si>
  <si>
    <t>Võ Thị Vi</t>
  </si>
  <si>
    <t>ThuNH</t>
  </si>
  <si>
    <t>20h00KG trên zoom của GV</t>
  </si>
  <si>
    <t>Phan Ngọc Khánh Linh</t>
  </si>
  <si>
    <t>10.phanngockhanhlinh11a2@gmail.com</t>
  </si>
  <si>
    <t>Nguyễn Huyền Trang</t>
  </si>
  <si>
    <t>SKAI11030VN</t>
  </si>
  <si>
    <t>Kaiwa 1</t>
  </si>
  <si>
    <t>Trịnh Anh Tuấn</t>
  </si>
  <si>
    <t>Phan Ngọc Khánh Linh
04/04/2005
0399669820
10.phanngockhanhlinh11a2@gmail.com
khóa học kaiwa 1
Lịch học, thứ 246, học buổi tối ( tháng 4 qua Nhật, mong muốn khai giảng sớm)
ưu đãi tặng khóa luyện thi JLPT N3 dưới dạng video bài giảng thời hạn 12 tháng</t>
  </si>
  <si>
    <t>tháng 4 bay sang Nhật xklđ</t>
  </si>
  <si>
    <t>Lê Ngọc Phương Khanh</t>
  </si>
  <si>
    <t>9h00</t>
  </si>
  <si>
    <t>canhnt/chiaki,arita, maivt</t>
  </si>
  <si>
    <t>GV426</t>
  </si>
  <si>
    <t>Phan Ngọc Khánh Linh - Kaiwa 1 (11/03/2024) - 001
Phan Ngọc Khánh Linh - Kaiwa 2 (07/08/2024) - 001
Phan Ngọc Khánh Linh - kaiwa 3 ( 05/04/2025) - 001</t>
  </si>
  <si>
    <t>N3VIP110019 - Lớp cô Hải N3</t>
  </si>
  <si>
    <t>18h30 KG trên dạy mãi</t>
  </si>
  <si>
    <t>Nguyễn Bảo Trung</t>
  </si>
  <si>
    <t xml:space="preserve">Thái Văn Hai Ngàn </t>
  </si>
  <si>
    <t>Tổng số buổi đã học</t>
  </si>
  <si>
    <t>Nguyễn Thị Lan Hương</t>
  </si>
  <si>
    <t>Tổng số buổi HV nghỉ có phép</t>
  </si>
  <si>
    <t>Tổng số buổi HV nghỉ không phép</t>
  </si>
  <si>
    <t>Tổng số buổi GV nghỉ</t>
  </si>
  <si>
    <t>Phan Thị Phương Dung</t>
  </si>
  <si>
    <t>Số buổi đã học</t>
  </si>
  <si>
    <t>Số buổi xin nghỉ có phép
A</t>
  </si>
  <si>
    <t>Quách Thị Trang</t>
  </si>
  <si>
    <t>Số buổi bảo lưu
B</t>
  </si>
  <si>
    <t>Số buổi nghỉ sai quy định
C</t>
  </si>
  <si>
    <t>Số buổi GV xin nghỉ
D</t>
  </si>
  <si>
    <t>Số buổi lỗi kĩ thuật 
E</t>
  </si>
  <si>
    <t xml:space="preserve">Dương Thị Thảo </t>
  </si>
  <si>
    <t>11/09/2024Dạ e thấy hợp vs e hơn í ạ</t>
  </si>
  <si>
    <t>N5VIP11033 - Lớp cô Hằng combo N5N4 ( 1:1)</t>
  </si>
  <si>
    <t>Phạm Thị Thiên Nhi</t>
  </si>
  <si>
    <t>Nguyễn Thị Hà</t>
  </si>
  <si>
    <t>N5VIP11032 - Lớp Xuân 先生 N5 ( 1:1)</t>
  </si>
  <si>
    <t>19h45VN</t>
  </si>
  <si>
    <t>N3VIP110020 - Lớp Tiến 先生 N3</t>
  </si>
  <si>
    <t>Phan Thị Diễm Hằng</t>
  </si>
  <si>
    <t>Phạm Thị Thương</t>
  </si>
  <si>
    <t>Hồ Vũ Thanh</t>
  </si>
  <si>
    <t>phamthithuongnb93@gmail.com</t>
  </si>
  <si>
    <t>CKAI121030VN</t>
  </si>
  <si>
    <t>Trần Thị Lan</t>
  </si>
  <si>
    <t xml:space="preserve">- Liên hệ zalo: 976691294
- tặng jlpt N5,N4
- Lịch học: 246, giờ: chưa chốt
- HV sn 93, sợ học chậm, muốn ss nữ, nhiệt tình, vui tính hỗ trợ. Muốn học sớm để hỗ trợ luyện pv 1-2 hôm. (đã trao đổi là luyện sẽ tính vào buổi học)
</t>
  </si>
  <si>
    <t>tts nông nghiệp</t>
  </si>
  <si>
    <t>Nguyễn Thị Anh Phương</t>
  </si>
  <si>
    <t>quyentn/diempvk</t>
  </si>
  <si>
    <t>K145030 - 001</t>
  </si>
  <si>
    <t>GV396</t>
  </si>
  <si>
    <t>Phạm Thị Thương - kaiwa 1 ( 12/03/2025 ) - 001
Phạm Thị Thương - kaiwa 2 ( 10/12/2025 ) - 001</t>
  </si>
  <si>
    <t>19h00KG hệ thống</t>
  </si>
  <si>
    <t>Nguyễn Thị Thu Thương</t>
  </si>
  <si>
    <t>Hoàng Cầm Thiên</t>
  </si>
  <si>
    <t>18h45KG</t>
  </si>
  <si>
    <t>Nguyễn Thị Sự</t>
  </si>
  <si>
    <t>Lê Ngọc Hiệp</t>
  </si>
  <si>
    <t xml:space="preserve">Trần Thị Hưng </t>
  </si>
  <si>
    <t>Nguyễn Thị Kiều Loan</t>
  </si>
  <si>
    <t>N3VIP110022 - Lớp Sự 先生 N3</t>
  </si>
  <si>
    <t>- Mục tiêu học: muốn học kaiwa phục vụ công việc</t>
  </si>
  <si>
    <t>20/03/2025 Diễm ss rất nhiệt tình ah</t>
  </si>
  <si>
    <t>26/03/2025Học 30p trôi nhah lắm ss</t>
  </si>
  <si>
    <t>N5VIP110021 -  Lớp cô Xuân N5</t>
  </si>
  <si>
    <t>Hoàng Nguyễn Hải Ly</t>
  </si>
  <si>
    <t>Nguyễn Thị Nga</t>
  </si>
  <si>
    <t>K160031</t>
  </si>
  <si>
    <t>19h KG trên daymai</t>
  </si>
  <si>
    <t>Nguyễn Phương Linh</t>
  </si>
  <si>
    <t>20h KG</t>
  </si>
  <si>
    <t>Bùi Phạm Ngọc Giàu</t>
  </si>
  <si>
    <t>LienQTM</t>
  </si>
  <si>
    <t>Trần Tế Hanh</t>
  </si>
  <si>
    <t>Nam</t>
  </si>
  <si>
    <t>has2107@gmail.com</t>
  </si>
  <si>
    <t>CKAI231030VN</t>
  </si>
  <si>
    <t>Bùi Văn Sĩ</t>
  </si>
  <si>
    <t>Trần Văn Hoàng</t>
  </si>
  <si>
    <t xml:space="preserve">- Zalo: 901629888
- Lớp combokaiwa 23 , lớp 1:1, giáo viên Việt(15b k3 Gv Nhật), Gv nam ,60%
- Lịch học : thứ 2-4-6 ,  thời gian 17h Nhật
- Họ và tên, năm sinh: Trần Tế Hanh, 1985
- Email: has2107@gmail.com
- Tăng JLPT video N4
- Mục tiêu học: học để kaiwa với sếp Nhật và đồng </t>
  </si>
  <si>
    <t>đang làm công ty Nhật ở VN</t>
  </si>
  <si>
    <t>Mai Phương</t>
  </si>
  <si>
    <t>19h05</t>
  </si>
  <si>
    <t>Đào Vân Anh</t>
  </si>
  <si>
    <t>17h10</t>
  </si>
  <si>
    <t>Lưu Lê Hoàng Minh</t>
  </si>
  <si>
    <t>huylt</t>
  </si>
  <si>
    <t>GV265</t>
  </si>
  <si>
    <t>Trần Tế Hanh - kaiwa 2 ( 21/03/2025) - 001
Trần Tế Hanh - kaiwa 3 ( 15/09/2025 ) - 001</t>
  </si>
  <si>
    <t>Bế Tấn Lộc</t>
  </si>
  <si>
    <t xml:space="preserve"> Vũ Lý Hùng Anh </t>
  </si>
  <si>
    <t>18h30</t>
  </si>
  <si>
    <t>Đỗ Thu Trang</t>
  </si>
  <si>
    <t>Phan Huy Kỷ</t>
  </si>
  <si>
    <t>N4A11006 - Lớp Lài 先生 N4 CS ( 1:1)</t>
  </si>
  <si>
    <t>Đinh Văn Hiếu</t>
  </si>
  <si>
    <t>N2VIP16008 - Lớp Việt 先生 N2</t>
  </si>
  <si>
    <t xml:space="preserve">- Mục tiêu học: học để kaiwa với sếp Nhật và đồng </t>
  </si>
  <si>
    <t>20/03/2025Buổi đầu như vậy là tốt ss ạ</t>
  </si>
  <si>
    <t>01/04/2025Dạ cũng quen hơn rồi SS</t>
  </si>
  <si>
    <t>Trần Xuân Quỳnh Phương</t>
  </si>
  <si>
    <t>21/05/2025 Thầy Huy dạy rất thú vị, khóa sau anh vẫn muốn học tiếp với thầy</t>
  </si>
  <si>
    <t>28/10/2025 Huy ss dạy thú vị lắm ạ, nhiều kiến thức mở rộng hơn giáo trình ạ
Nhiều ss ạ, hàng ngày tiếp xúc với người Nhật nên cũng được các bạn chỉ thêm cho tự nhiên hơn ạ</t>
  </si>
  <si>
    <t>N3VIP110024 - Lớp Sự 先生 N3</t>
  </si>
  <si>
    <t>18h30KG trên daymai</t>
  </si>
  <si>
    <t>11/12/2025 đợi ph</t>
  </si>
  <si>
    <t>Lê Thị Kim Ngân</t>
  </si>
  <si>
    <t>Lê Thị Phương</t>
  </si>
  <si>
    <t>Nguyễn Văn Trọng</t>
  </si>
  <si>
    <t>ba.trong.photo@gmail.com</t>
  </si>
  <si>
    <t>SKAI31030VN</t>
  </si>
  <si>
    <t>Kaiwa 3</t>
  </si>
  <si>
    <t>Nguyễn Thị Thu Huyền</t>
  </si>
  <si>
    <t>Hướng dẫn và dặn bạn chuẩn bị bài từ bài 16</t>
  </si>
  <si>
    <t xml:space="preserve">LH line: https://drive.google.com/file/d/12e5-peziVXLqz2QZGOVot2NK1FInf1S_/view?usp=drive_link
Họ tên: Nguyễn Văn Trọng
Ngày sinh: 5/7/1999
Email: ba.trong.photo@gmail.com
khóa học kaiwa 3 gv Việt
lịch học học được sau 20h Nhật  thứ 246
ưu đãi tặng khóa luyện thi JLPT N2 </t>
  </si>
  <si>
    <t>văn phòng</t>
  </si>
  <si>
    <t>Hồ Đình Minh Đạt</t>
  </si>
  <si>
    <t>2024-12-12
2024-07-17</t>
  </si>
  <si>
    <t>2024-11-09
2025-10-04</t>
  </si>
  <si>
    <t>18h30/19h00</t>
  </si>
  <si>
    <t>7/246</t>
  </si>
  <si>
    <t>Lê Thị Trúc</t>
  </si>
  <si>
    <t>21h30KG</t>
  </si>
  <si>
    <t>matsuo/ hienntt</t>
  </si>
  <si>
    <t>Nguyễn Văn Trọng - kaiwa 4 ( 12/12/2024) - 001
Nguyễn Văn Trọng - Kaiwa 3 (17/07/2024) - 001
Nguyễn Văn Trọng - kaiwa 5 ( 05/07/2025 ) - 001</t>
  </si>
  <si>
    <t>18h30 mở lớp check</t>
  </si>
  <si>
    <t xml:space="preserve">Lê Thị Bích Ngân </t>
  </si>
  <si>
    <t>Phạm Thanh Nam</t>
  </si>
  <si>
    <t>20h10KG</t>
  </si>
  <si>
    <t xml:space="preserve">Ngô Nguyễn Tiểu Phụng </t>
  </si>
  <si>
    <t>16/09/2024: BTVN : 5/5 nhắc nhở</t>
  </si>
  <si>
    <t>Nguyễn Xuân Huy</t>
  </si>
  <si>
    <t>17/05/2025
10:43 Nguyen Van Trong Dạ vâng ah, cũng có áp dụng vào cuộc sống
10:43 Nguyen Van Trong Và duy trì được tiếng Nhật ah</t>
  </si>
  <si>
    <t>N4VIP110044 - Lớp cô Vang N4</t>
  </si>
  <si>
    <t xml:space="preserve">19hKG trên dạy mãi </t>
  </si>
  <si>
    <t>Trịnh Hoàng Kỳ</t>
  </si>
  <si>
    <t>Nguyễn Duy Đắc</t>
  </si>
  <si>
    <t>duydac94@gmail.com</t>
  </si>
  <si>
    <t>CKAI341030JP</t>
  </si>
  <si>
    <t>GV Nhật Bản</t>
  </si>
  <si>
    <t>- Line: 080 8190 0816
- Lớp kaiwa 3+4, giáo viên Nhật: Thầy Matsto
- Lịch học : thứ  2-4-6,  thời gian 21h Nhật
- Nguyễn Duy Đắc , 08/09/1994
- Email: duydac94@gmail.com
- Tăng JLPT video N2
- Mục tiêu học: kĩ sư sang Nhật 3 năm, giờ sống với vợ và con nhỏ, muốn học kaiwa để nói chuyện được lưu loát hơn, để chuyển việc có mức lương cao hơn vì phải nuôi vợ con</t>
  </si>
  <si>
    <t>kĩ sư</t>
  </si>
  <si>
    <t>2024-10-11
2025-07-14</t>
  </si>
  <si>
    <t>18h00</t>
  </si>
  <si>
    <t>Nguyễn Thị Mỵ</t>
  </si>
  <si>
    <t>matsuo</t>
  </si>
  <si>
    <t xml:space="preserve">Nguyễn Duy Đắc - kaiwa 3 ( 11/10/2024) - 001
Nguyễn Duy Đắc - kaiwa 4 ( 13/01/2025) - 001
Nguyễn Duy Đắc - kaiwa 5 ( 10/04/2025 ) - 001
</t>
  </si>
  <si>
    <t xml:space="preserve">kĩ sư sang Nhật 3 năm, giờ sống với vợ và con nhỏ, muốn học kaiwa để nói </t>
  </si>
  <si>
    <t>14/10/2024
Dạ
Hiện tại đang bình thường ạ.
Mấy hôm nay em bận nên chưa kịp trả lời cô ạ.
BTVN: 1/30</t>
  </si>
  <si>
    <t>19/10/2024
BTVN: 2/30Dạ em quen rồi ạ.</t>
  </si>
  <si>
    <t>05/11/2024Em vẫn đang học bình thường ạ.</t>
  </si>
  <si>
    <t>13/12/2024Dạ. Em có vận dụng được ạ. Nhưng cần thêm thời gian để nhuần nhuyễn hơn Cô ạ.</t>
  </si>
  <si>
    <t>11/02/2025Mấy hôm nay em hơi bận
Em có đọc tin nhắn rồi mà em chưa kịp trả lời ạ. Phần 4 khó hơn ạ. Kiến thức cũng nhiều hơn ạ. Nhưng em nghĩ là em học được ạ.</t>
  </si>
  <si>
    <t>17/03/2025Em áp dụng được vào đời sống rồi ạ.
Tiếp tục luyện tập là ổn Cô ạ.</t>
  </si>
  <si>
    <t>22/03/2025Dạ không có vấn đề gì ạ.</t>
  </si>
  <si>
    <t>24/03/2025 Em tính đăng kí nốt Kaiwa 5,6 luôn ạ</t>
  </si>
  <si>
    <t>nhắc nhở ôn tập để test</t>
  </si>
  <si>
    <t>09/04/2025 Dạ, không sao ạ. Em cảm ơn ạ.</t>
  </si>
  <si>
    <t>Dạ tốt Cô ạ.
Học rất vui ạ.</t>
  </si>
  <si>
    <t>17/7 Dạ. Em thấy được làm quen với tiếng Nhật business nhiều hơn ạ. Có những câu chưa từng nghe và sử dụng bao giờ ạ.</t>
  </si>
  <si>
    <t>Nguyễn Thị Hạnh</t>
  </si>
  <si>
    <t>nguyenhanh150197@gmail.com</t>
  </si>
  <si>
    <t>SKAI51030JP</t>
  </si>
  <si>
    <t>Kaiwa 5</t>
  </si>
  <si>
    <t>Mục tiêu học tập: muốn học nói chuyện trôi chảy hơn, làm trong ngành dịch vụ, giao tiếp nhiều
LH line: 8068456930
Nguyễn Thị Hạnh 
ngày tháng năm sinh:15/01/1997
sdt:080-6845-6930
Địa chỉ email:nguyenhanh150197@gmail.co
Lộ trình kaiwa 5 - NHKS
GV Nhật: Thầy Matsuo 
lịch học: học tuần 2 buổi vào ngày học viên nghỉ - thống nhất giờ học vào ngày nghỉ với giáo viên - báo lại lịch học bắt đầu sau ngày 18/11
Ưu đãi: tặng khóa luyện thi JLPT N2</t>
  </si>
  <si>
    <t>làm tại cửa hàng</t>
  </si>
  <si>
    <t>09h30</t>
  </si>
  <si>
    <t>LKCD</t>
  </si>
  <si>
    <t>Nguyễn Thị Hạnh - kaiwa 5 ( 20/11/2024) - 001</t>
  </si>
  <si>
    <t>Mục tiêu học tập: muốn học nói chuyện trôi chảy hơn, làm trong ngành dịch vụ, giao tiếp nhiều</t>
  </si>
  <si>
    <t>24/11/2024 Dạ,sensei e thấy ổn ạ</t>
  </si>
  <si>
    <t>8/03/2025 dạo này công việc bận rộn, em học thì vẫn ổn ạ, nhưng không có nhiều time học nhiều như trước thôi ạ</t>
  </si>
  <si>
    <t>Nguyễn Thị Thuỷ</t>
  </si>
  <si>
    <t>tamthuyan1991@gmail.com</t>
  </si>
  <si>
    <t>- Liên hệ line: https://drive.google.com/file/d/1Q6tFq2Mn1ErYO7jr7h_7MaV1a01WXUjq/view?usp=sharing
- tặng jlpt video N4+ N3
- Lịch học: 246, giờ: 21h-21h30 (giờ nhật)
- sn 92, học tiếp thu chậm sợ k nhớ được, yêu cầu SS nữ, vui tính nhiệt tình. Hỗ trợ học sớm</t>
  </si>
  <si>
    <t>tts thực phẩm</t>
  </si>
  <si>
    <t>2025-02-26
2025-06-26</t>
  </si>
  <si>
    <t>28/02/2025
2025-11-08</t>
  </si>
  <si>
    <t>19h30</t>
  </si>
  <si>
    <t>nunt/thaodtt</t>
  </si>
  <si>
    <t>Nguyễn Thị Thuỷ - kaiwa 2 ( 14/02/2025) - 001</t>
  </si>
  <si>
    <t>27/02/2025 chưa có chuẩn bị bài</t>
  </si>
  <si>
    <t>11/07/2025 15:28 ThuyTam E cũng hơi hơi quen oy ss😊
15:28 ThuyTam Trắc phải học hết khoá mới quen hoàn toàn ạ
15:28 ThuyTam 😊😊</t>
  </si>
  <si>
    <t>Lê Thị Kim Duyên</t>
  </si>
  <si>
    <t>ngocle080885@gmail.com</t>
  </si>
  <si>
    <t>SKAI61030JP</t>
  </si>
  <si>
    <t>Kaiwa 6</t>
  </si>
  <si>
    <t>- Zalo: 8095570808
- Lớp kaiwa 6, lớp 1:1, giáo viên Nhật , full phí
- Lịch học : bổ sung sau
- Họ và tên, năm sinh: Lê Thị Kim Duyên,1985
- Email: ngocle080885@gmail.com
- Tăng JLPT video N2
- Mục tiêu học: muốn học kaiwa cao cấp</t>
  </si>
  <si>
    <t>Viza Vĩnh trú, làm tự do</t>
  </si>
  <si>
    <t>19h00
9h00(5)</t>
  </si>
  <si>
    <t>joji</t>
  </si>
  <si>
    <t>Lê Thị Kim Duyên - Kaiwa 6 - 001
Lê Thị Kim Duyên - kaiwa 3 ( 07/05/2025 ) - 001</t>
  </si>
  <si>
    <t>08/05/2025 Dạ tốt lắm ạ
E biết thêm được những điều bản thân mình thiếu sót
Rất hay
ất đúng với những gì e cần</t>
  </si>
  <si>
    <t>15/05/2025 Dạ quen
Thích lắm ạ
Thầy dạy hay
E hiểu ạ</t>
  </si>
  <si>
    <t>TrangNL</t>
  </si>
  <si>
    <t>Vũ Thi Anh</t>
  </si>
  <si>
    <t>anhvu40006@gmail.com</t>
  </si>
  <si>
    <t>SKAI41030JP</t>
  </si>
  <si>
    <t>Kaiwa 4</t>
  </si>
  <si>
    <t>"""- Line: https://drive.google.com/drive/home
- Tặng video JLPT N2
- Lịch học: 246, giờ: 20h00 Nhật
- Khoá học: kaiwa 4
- Sắp xếp SS cứng và nhiệt tình, vui vẻ
- Học để cải thiện kaiwa phục vụ trong công việc</t>
  </si>
  <si>
    <t>Thực phẩm</t>
  </si>
  <si>
    <t>Ueno/kojima</t>
  </si>
  <si>
    <t>Vũ Thi Anh - kaiwa 4 ( 28/03/2025 ) - 001</t>
  </si>
  <si>
    <t>- Mục tiêu học: học kaiwa để phục vụ công việc</t>
  </si>
  <si>
    <t>01/04/2025 Dạ k có vấn đề gì ạ</t>
  </si>
  <si>
    <t xml:space="preserve">29/05/2025 11:03 アイン Dạ cô hướng dẫn e tốt lắm ạ 
11:03 アイン E sai ở đâu là cô chỉnh cho e luôn ạ </t>
  </si>
  <si>
    <t>Vilambui1818@gmail.com</t>
  </si>
  <si>
    <t>SKAI21030VN</t>
  </si>
  <si>
    <t xml:space="preserve">- Liên hệ zalo: 0339713299
- Tặng video jlpt N3
- Lịch học: 22h-22h30 (giờ nhật)  thứ 4,7 và CN
- hv dhs sn 2006, đi làm quán kaiwa nhiều. </t>
  </si>
  <si>
    <t>du học sinh</t>
  </si>
  <si>
    <t>7CN</t>
  </si>
  <si>
    <t>hangktt/thanhnn</t>
  </si>
  <si>
    <t>GV350</t>
  </si>
  <si>
    <t>Bùi Vi Lâm - kaiwa 2 ( 19/03/2025 ) - 001</t>
  </si>
  <si>
    <t xml:space="preserve">- Mục tiêu học: muốn học kaiwa phục vụ công việc
</t>
  </si>
  <si>
    <t>20/03/2025Dạ không ạaa , buổi đầu học nên chưa quen thôi ạ</t>
  </si>
  <si>
    <t>26/03/2025Dạ ss , em quen rồi ạaa
BTVN: 3/3</t>
  </si>
  <si>
    <t>11/04/2025 Em đã kaiwa tự tin hơn bà vốn tìe vưngk cũng phong phú hơn r ạ</t>
  </si>
  <si>
    <t>25/04/2025 Dạ không ạ , em cảm ơn ss</t>
  </si>
  <si>
    <t>05/05/2025 Ss vẫn hướng dẫn e tốt ạ , em kaiwa cũng tốt hơn nhiều r ạ</t>
  </si>
  <si>
    <t>21/05/2025 dạ ổn ss ạ</t>
  </si>
  <si>
    <t>15/11/2025 So với các bạn sang Nhật cùng thời điểm thì em cảm thấy mình kaiwa có tự tin hơn ạ . Được khen khá nhiều ạ .</t>
  </si>
  <si>
    <t>Trần Văn Ta</t>
  </si>
  <si>
    <t xml:space="preserve">Không liên lạc dk, đã cọc kaiwa 4 nhưng k phản hồi </t>
  </si>
  <si>
    <t>10/04/2025Dạ tốt ạ không có vần đề gì hết ạ
Chỉ có điều thời gian hơi ít 
Nếu được 45 hay 60p thì tuyệt vời ạ</t>
  </si>
  <si>
    <t>18/04/2025 đã quen rồi ạ
Dạ rất tốt ạ</t>
  </si>
  <si>
    <t>09/05/2025 dạ e cảm thấy tiếng nhật của mình ổn hơn ạ</t>
  </si>
  <si>
    <t>12/06/2025 Dạ e đã vẫn dụng rồi ạ
Hơi chưa quen miệng nhưng e cố gắn ạ</t>
  </si>
  <si>
    <t>24/07/2025 Dạ mong sensei chỉ e với ạ</t>
  </si>
  <si>
    <t>08/09/2025 @Phòng Đào Tạo Edura Gv Chuyên Môn dạ tốt ạ 
Hiện tại thì không có khó khăn gì ạ</t>
  </si>
  <si>
    <t>03/11/2025 Dạ nếu có gì không hiểu mong ss chỉ e với ạ
Dạ cô ngọc chỉ e rất nhiệt tình ạ</t>
  </si>
  <si>
    <t>Phạm Hồng Sơn</t>
  </si>
  <si>
    <t xml:space="preserve">04/6/2026 đã hỏi han </t>
  </si>
  <si>
    <t>15/04/2025 10:03 Son Vâng tốt ạ 
10:03 Son Ko có vấn đề gì ạ</t>
  </si>
  <si>
    <t>22/04/2025 Quen rồi ạ
Vâng ổn ạ
07:33 Son Diễm ss cũng nhiệt tình ạ
07:33 Son Nói chung tạm thời là ổn ạ</t>
  </si>
  <si>
    <t>27/05/2025 Vâng có tốt hơn rồi ạ, Vâng , có tự tin hơn ạ</t>
  </si>
  <si>
    <t>13/06/2025 Vẫn tốt , ko có vấn đề gì ạ</t>
  </si>
  <si>
    <t>29/07/2025 17:48 Son Vâng
17:48 Son Không cần hỗ trợ gì đâu ạ</t>
  </si>
  <si>
    <t>Nguyễn Thành Tây</t>
  </si>
  <si>
    <t>bảo lưu nhắn tin lại k được nên kết thúc khóa</t>
  </si>
  <si>
    <t>17/04/2025dạ vâng ạ cảm ơn ss đã luôn hỗ trợ em nhiệt tình ạ...tại do cv mà em không trả lời tn của ss nhưng lúc nào cũng luôn quan tâm</t>
  </si>
  <si>
    <t>07/05/2025dần dần quen ạ
dạ không ss ạ...ss linh nhiệt tình lắm ạ</t>
  </si>
  <si>
    <t xml:space="preserve">21/05/2025 dạ vẫn bình thường và rất tốt ạ...chỉ là dạo này cv của em nó hơi nhiều một chút nên em cũng ít thời gian lại ạ
</t>
  </si>
  <si>
    <t>canhnt/quyentn/diempvk</t>
  </si>
  <si>
    <t>Hà Đức Quân</t>
  </si>
  <si>
    <t>không thấy liên lạc</t>
  </si>
  <si>
    <t>17/04/2025 Dạ cô dạy vui lắm ạ, 11:15 ハ　ドック　クァン Đc ạ , cô cũng đang dạy trg tiếng 
11:15 ハ　ドック　クァン Nên k có khó khăn gì</t>
  </si>
  <si>
    <t>22/04/2025 Dạ cũng hòm hòm r ạ</t>
  </si>
  <si>
    <t>07/05/2025 dạ ss vẫn ổn ạ</t>
  </si>
  <si>
    <t>11/06/2025 Dạ ổn ạ</t>
  </si>
  <si>
    <t>16/07/2025 Dạ ổn ạ</t>
  </si>
  <si>
    <t>29/07/2025 đợi ph</t>
  </si>
  <si>
    <t>Đỗ Văn Thiện</t>
  </si>
  <si>
    <t>12/04/2025 em học ổn ạ</t>
  </si>
  <si>
    <t>19/05/2025 Ko có vấn đề j ss ạ</t>
  </si>
  <si>
    <t>Dương Thuý Vy</t>
  </si>
  <si>
    <t>đợi ph 4/6</t>
  </si>
  <si>
    <t>2025-03-24
2026-05-08</t>
  </si>
  <si>
    <t>16/04/2025 Dạ không có vấn đề gì ạ.</t>
  </si>
  <si>
    <t>22/04/2025 
Dạ em cũng quen rồi ạ
Sensei cũng dạy  tận tình nữa ạ</t>
  </si>
  <si>
    <t>09/05/2025 Dạ em cảm thấy mình tự tin nói chuyện hơn trước một chút rồi ạ.
Trong buổi học cùng cô giáo cũng rất là vui,cô cũng chỉ dậy giải thích từ chi tiết, và sửa lỗi phát âm cho em ạ</t>
  </si>
  <si>
    <t>22/05/2025 Dạ không có vấn đề gì ạ</t>
  </si>
  <si>
    <t>11/06/2025 dạ em cảm thấy khi em nói chuyện với đồng nghiệp nơi làm việc thì tự tin hơn trước với sử dụng được nhiều mẫu câu trong hội thoại để ứng dụng trong cuộc sống r ạ</t>
  </si>
  <si>
    <t>14/07/2025 Dạ cũng bình thường ạ
Có cái bài về thể thao thì hơi khó thôi ạ</t>
  </si>
  <si>
    <t>/quyentn/diempvk</t>
  </si>
  <si>
    <t>Võ Cẩm Nhung</t>
  </si>
  <si>
    <t xml:space="preserve">quá hạn bảo lưu =&gt; kết thúc </t>
  </si>
  <si>
    <t>17/04/2025 Dạ ngày đầu nên em chưa theo kịp</t>
  </si>
  <si>
    <t>21/10/2025 18:01 ニュン Dạ ss mình học có nữa tiếng thôi hả ss . Cô giáo giỏi và xinh đó ss ơi 😆
18:02 ニュン Lâu rồi em k học nên em còn yếu nhiều mong ss nói cô giáo hổ trợ em nha</t>
  </si>
  <si>
    <t>Trần Đức Biển</t>
  </si>
  <si>
    <t xml:space="preserve">17/04/2025  vâng hôm nay học rất tốt ạ. Hiện tại đang ở mức bình thường nên chưa khó khăn, có thể hướng em kaiwa cao hơn 1 chút của N3, em đang tính chuyển công việc yêu cầu N3 nak.
</t>
  </si>
  <si>
    <t>22/04/2025 Cũng quen rồi ss ạ. Tuy chưa thể ns đc nhiều</t>
  </si>
  <si>
    <t>09/05/2025 vâng, học vừa tốt vừa vui ss ạ, nhưng thời gian học có 30p ko ns được nhiều lúc nào cũng trong tình trạng chảy cho kịp thời gian cả giáo viên lẫn trò</t>
  </si>
  <si>
    <t>22/05/2025 Hiện tại thì không vẫn đề gì ss</t>
  </si>
  <si>
    <t>05/06/2025 không vấn đề gì ss ạ, học vẫn cứ học thôi ss, học ổn đk tiếp</t>
  </si>
  <si>
    <t>11/06/2025 @Chika Sensei vâng, nếu có thể giúp em tốt hơn thì cũng đáng đầu tư dài thôi Ss.</t>
  </si>
  <si>
    <t>23/06/2025 nhắc test</t>
  </si>
  <si>
    <t>11/07/2025 dạ không Sense, cứ duy trì đều vậy thôi ạ, nay học ít nên có thời gian chuẩn bị tốt và đỡ mệt hơn</t>
  </si>
  <si>
    <t>Nguyễn Thanh Xuân</t>
  </si>
  <si>
    <t>22/04/2025 Ko có gì ak</t>
  </si>
  <si>
    <t>Lê Thị Kim Hoàng</t>
  </si>
  <si>
    <t>không thấy liên hệ</t>
  </si>
  <si>
    <t>19/04/2025
Ok lắm ạ
Chỉ có bài nghe e ko nghe được</t>
  </si>
  <si>
    <t>25/04/2025
Dạ . Ok ạ
Một số từ vựng và ngữ pháp e học rồi nhưng ko kaiwa được. Cô giáo đang kèm e kaiw
Nên thấy khá ok ạ</t>
  </si>
  <si>
    <t>19/06/2025 Vâng ạ
Có gì ko hiểu e sẽ hỏi Thảo 先生ạ</t>
  </si>
  <si>
    <t>18/07/2025 E tự tin hơn một chút rồi ạ
Lúc trước nghe được nhưng ko nói lại được
Nay nói được câu ngắn
Và phản xạ nhanh hơn</t>
  </si>
  <si>
    <t>Nguyễn Ngọc Dung</t>
  </si>
  <si>
    <t>không thấy liên hệ (màu vàng)</t>
  </si>
  <si>
    <t>20/04/2025Dạ em cũng chưa biết nữa chị mới học 1 buổi a chi</t>
  </si>
  <si>
    <t>24/04/2025 Dạ cũng hơi quen mà thời gian ít quá nên em thấy học không có duoc nhiều</t>
  </si>
  <si>
    <t>22/05/2025 Em cảm nhận em chua nói được suôn cau chị oi ( gửi thêm tài liệu nghe luyện)</t>
  </si>
  <si>
    <t>13/06/2025 Em cũng vậy a chi, học vẫn ổn a</t>
  </si>
  <si>
    <t>Hoàng Thị Lý</t>
  </si>
  <si>
    <t>21/04/2025 dạ tốt ạ
jo s gửi e ít bài e lm ạ</t>
  </si>
  <si>
    <t>05/05/2025 đã quen rồi a
GV nhiệt tình</t>
  </si>
  <si>
    <t>Không gặp khó khăn gì a</t>
  </si>
  <si>
    <t>Trần Văn Long</t>
  </si>
  <si>
    <t>21/04/2025 Dạ,tốt ss ơi</t>
  </si>
  <si>
    <t>05/05/2025 10:35 Trần Long Có ss ơi
10:36 Trần Long Ko vấn đề gì đâu ss ạ</t>
  </si>
  <si>
    <t>11/06/2026 @Phòng Đào Tạo Edura Gv Chuyên Môn dạ vẫn tốt ss</t>
  </si>
  <si>
    <t>Trịnh Thị Kiều Trang</t>
  </si>
  <si>
    <t>25/04/2025 học ổn ạ</t>
  </si>
  <si>
    <t>16/05/2025 E cũng quen dần rồi nhưng e cungx chia sex thật là kết nối e kém và công việc của e khá bận nên e k tập trung dc nhiều lắm ạ! Nên e cũng đang có ý định học hết số buổi e đóng tiền thì nghỉ ss ah! Mong ss thông cảm ạ!</t>
  </si>
  <si>
    <t>15h30</t>
  </si>
  <si>
    <t>Phan Thị Thu Cúc</t>
  </si>
  <si>
    <t>Ueno</t>
  </si>
  <si>
    <t>GV363</t>
  </si>
  <si>
    <t>21/04/2025
Dạ tốt ạ,nếu cần gì e sẽ nhắn ạ😊😊
Vâng,ss nhiệt tình ạ🥰🥰</t>
  </si>
  <si>
    <t>26/04/2025 Dạ quen r ạ</t>
  </si>
  <si>
    <t>16/05/2025 E Đã được ôn lại một vài kiến thức,củng học thêm vài từ vựng,có vẻ phần nghe ổn hơn trước một chút ạ</t>
  </si>
  <si>
    <t>30/05/2025 Vẫn tốt ạ</t>
  </si>
  <si>
    <t>05/06/2025 Vâng củng dần quen r ạ, gv hd tốt</t>
  </si>
  <si>
    <t>14/06/2025 E định học chắc từ vựng ngữ pháp đã ss ạ</t>
  </si>
  <si>
    <t>02/07/2025 nhắc nhờ test</t>
  </si>
  <si>
    <t>11/07/2025 dạ em học vẫn tốt a</t>
  </si>
  <si>
    <t>Đặng Văn Lý</t>
  </si>
  <si>
    <t>23/04/2025Dạ cũng ổn , mới học nên cũng hơi bỡ ngỡ ss ạ</t>
  </si>
  <si>
    <t>05/05/2025 Dạ em quen r ạ
Em thấy phù hợp ạ</t>
  </si>
  <si>
    <t>05/06/2025 Dạ tự tin giao tiếp hơn rồi ạ</t>
  </si>
  <si>
    <t>19/06/2025 Dạ tốt ạ</t>
  </si>
  <si>
    <t>29/07/2025 Dạ tốt ạ</t>
  </si>
  <si>
    <t>25/08/2025 đợiph</t>
  </si>
  <si>
    <t>Trần Văn Giang</t>
  </si>
  <si>
    <t>satou</t>
  </si>
  <si>
    <t>GV458</t>
  </si>
  <si>
    <t>Nguyễn Duy Đắc - kaiwa 7 ( 17/05/2026 ) - 001</t>
  </si>
  <si>
    <t>16/05/2025 học ổn a</t>
  </si>
  <si>
    <t>21/05/2025 16:10 Giang Vâng
16:10 Giang Em thấy quen rồi ạ</t>
  </si>
  <si>
    <t>13/06/2025 18:43 Giang Em chào chị ạ 
18:43 Giang Dạo này em học vẫn ổn chị ạ</t>
  </si>
  <si>
    <t>Lê Thị Giang</t>
  </si>
  <si>
    <t>02/05/2025
dạ không có vấn đề gì ạ</t>
  </si>
  <si>
    <t>14/05/2025 dạ rồi ạ</t>
  </si>
  <si>
    <t>23/06/2025 dạ em tốt hơn nhiều rồi ạ</t>
  </si>
  <si>
    <t>10/07/2025 đợi ph</t>
  </si>
  <si>
    <t>Nguyễn Đình Tuấn</t>
  </si>
  <si>
    <t>10/05/2025 dạ tốt ạ
mới buổi đầu tiên bài đang dễ nên em thấy tốc độ bth ạ</t>
  </si>
  <si>
    <t>14/05/2025Dạ cũng ok rồi ạ, cũng quen quen rồi ss ạ</t>
  </si>
  <si>
    <t>13/06/2025 học ổn a</t>
  </si>
  <si>
    <t>17/09/2025 đợi ph</t>
  </si>
  <si>
    <t>Huỳnh Minh Châu</t>
  </si>
  <si>
    <t>Huỳnh Văn Quyến</t>
  </si>
  <si>
    <t>10/05/2025 Dạa có ạa vấn đề anh thanh ạ khi ss bật đoạn băng cho em thì sau đó em hong còn nghe thấy ss nói gì nữa
Phải thoát ra vào lại thì mới có thể nghe lại bình thường ạ
Còn vấn để học thì ổn ạa</t>
  </si>
  <si>
    <t>24/05/2025Dạa em đã quen rồi ss ạa, Dạa có ss ạa</t>
  </si>
  <si>
    <t>15/11/2025 đợi ph</t>
  </si>
  <si>
    <t>Nguyễn Văn Hồng</t>
  </si>
  <si>
    <t>29/04/2025 Dạ ổn ạ</t>
  </si>
  <si>
    <t>09/05/2025 Dạ rồi ạ</t>
  </si>
  <si>
    <t>22/10/2025Dạ quen rồi ạ.mà từ vựng ít ỏi với quên ngữ pháp nên nc bập bẹ ạ(pleading Moon)</t>
  </si>
  <si>
    <t>Leo Trúc Mai</t>
  </si>
  <si>
    <t>14/05/2025 Dạ ổn ss ơi</t>
  </si>
  <si>
    <t>19/06/2025 em học vẫn ổn ạ</t>
  </si>
  <si>
    <t>Lý Thị Châm</t>
  </si>
  <si>
    <t>out nhóm zl</t>
  </si>
  <si>
    <t>09/05/2025 Ui.lần đầu tiên học nên hồi hộp quá
Quên luôn các mẫu câu cbi sẵn ở nhà
🥲🥲🥲
K nhớ ra đc gì cả ss ạ</t>
  </si>
  <si>
    <t>19/05/2025 ổn ạ</t>
  </si>
  <si>
    <t>Nguyễn Trần Thị Mỹ Duyên</t>
  </si>
  <si>
    <t>GV32</t>
  </si>
  <si>
    <t>k liên lạc được nên kết thúc</t>
  </si>
  <si>
    <t>03/05/2025 Dạ tốt lắm ạ</t>
  </si>
  <si>
    <t xml:space="preserve">16/05/2025
Dạ e cũng đã quen rồi ạ 
Dạ Sinh ss hướng dẫn e tốt lắm ạ </t>
  </si>
  <si>
    <t>19/06/2025 Dạ e thấy tiếng Nhật cũng khá lên nhiều ạ
Vâng ạ Sinh ss vẫn đang hướng dẫn e tốt ạ</t>
  </si>
  <si>
    <t>Phùng Thị Phượng</t>
  </si>
  <si>
    <t>10/05/2025 dạ tạm thời không có vấn đề gì ạ</t>
  </si>
  <si>
    <t>19/05/2025 vâng, e bắt đầu quen dần r ạ</t>
  </si>
  <si>
    <t>23/06/2025 e thấy đã ổn hơn chút r ạ, nhưng chưa thể nói là tốt đc ạ😅</t>
  </si>
  <si>
    <t>31/07/2025 vào buổi kiểm tra hôm trc thì e thấy các ngữ pháp sensei hỏi thì e đều nhớ ạ, nhưng phần kính ngữ và thực hành tình huống thì e cảm thấy mình vẫn chưa làm tốt lắm</t>
  </si>
  <si>
    <t>Phạm Thị Tân</t>
  </si>
  <si>
    <t>c</t>
  </si>
  <si>
    <t>10/05/2025 Dạ buổi đầu tiên nên chưa có vấn đề gì ss ạ
Em cảm ơn ss nha</t>
  </si>
  <si>
    <t>Nguyễn Khắc Huy</t>
  </si>
  <si>
    <t>14/05/2025 Hôm qua học thì phần chuẩn bị bài của em chưa được tốt tại bị nhầm phần nghe, lần đầu nên chưa có kinh nghiệm về cách học, nhưng hôm qua học thì em đã rõ rồi ạ. Hiện tại cũng không có gì ạ.</t>
  </si>
  <si>
    <t>19/05/2025 Sensei,こんにちは。
Vâng em đã quen với phương pháp học của Nhà trường rồi ạ.
Em cám ơn sensei đã hỏi thăm.</t>
  </si>
  <si>
    <t>13/06/2025 先生、こんにちは。
Em cảm thấy tự tin hơn trong giao tiếp rồi ạ.</t>
  </si>
  <si>
    <t>13/08/2025Dạ vâng ạ, để e ôn lại bài xem nếu có phần nào cần hỗ trợ em sẽ báo ạ.</t>
  </si>
  <si>
    <t>19/09/2025 Vâng ạ, em cám ơn tất cả sensei đã hỗ trợ em rất nhiều trong khoá học của em, từng đánh giá của sensei giúp em nhận ra điểm thiếu sót của mình sẽ cố gắng nhiều hơn để giỏi hơn trong tương lai.</t>
  </si>
  <si>
    <t>Bùi Thị Trúc</t>
  </si>
  <si>
    <t>15/05/2025 Dạ em thấy bth ạ</t>
  </si>
  <si>
    <t>22/05/2025 dạ ss, đã quen rồi a</t>
  </si>
  <si>
    <t>17/07/2025 đợi ph</t>
  </si>
  <si>
    <t>Phan Thị Anh Thư</t>
  </si>
  <si>
    <t>16/05/2025 Dạ hôm nay e học xong rồi ạ! E chuẩn bị bài chưa kĩ lắm nên chưa theo kịp phần cô dạy.</t>
  </si>
  <si>
    <t>24/05/2025 Dạ e cũng quen dần với phương pháp học của trường rồi ạ! Dạ ss dạy rất nhiệt tình và dễ hiểu ạ!</t>
  </si>
  <si>
    <t>12/06/2025 Dạ hiện tại tiếng Nhật của e cũng thấy tự tin hơn 1 chút về phát âm và ngữ pháp ạ!</t>
  </si>
  <si>
    <t>Trần Anh Luân</t>
  </si>
  <si>
    <t>Ueno/hangktt/thanhnn</t>
  </si>
  <si>
    <t>Bùi Vi Lâm - kaiwa 2 ( 19/03/2025 ) - 001
Bùi Vi Lâm - kaiwa 3 ( 11/02/2026 ) - 001</t>
  </si>
  <si>
    <t>16/05/2025 nhắn k phản hồi</t>
  </si>
  <si>
    <t>21/05/2025 kêu gặp vấn đề học k ổn ( đã hd chuẩn bị bài, phân tích cách học)</t>
  </si>
  <si>
    <t>Lê Trọng Vỹ</t>
  </si>
  <si>
    <t>B.Tình hình chăm sóc - Tỷ lệ</t>
  </si>
  <si>
    <t>k liên lạc lại dk nên kết thúc</t>
  </si>
  <si>
    <t>03/06/2025 hôm qua e có học với ss uyên buổi đầu tiên đag hơi lo lắng và hồi hộp 1 chút ạ</t>
  </si>
  <si>
    <t>12/06/2025 e thấy mh chưa nắm chắc đc ngữ pháp để ghép câu ss ạ ( kém quá đổi xuống khóa pre 2)</t>
  </si>
  <si>
    <t>16/06/2025 e thấy học xuống prekaiwa 2 ổn hơn ss ạ</t>
  </si>
  <si>
    <t>23/07/2025 đợi ph</t>
  </si>
  <si>
    <t>Trần Long</t>
  </si>
  <si>
    <t>ngocttb/minhpt</t>
  </si>
  <si>
    <t>GV370</t>
  </si>
  <si>
    <t>Trần Văn Ta - kaiwa 1 ( 07/04/2025 ) - 001
Trần Văn Ta - kaiwa 2 ( 28/07/2025 ) - 001
Trần Văn Ta - kaiwa 3 ( 03/11/2025 ) - 001</t>
  </si>
  <si>
    <t>19/05/2025 dạ ổn ạ 
Dạ có ạ, dạ phù hợp ạ</t>
  </si>
  <si>
    <t>28/05/2025 Dạ rồi ạ</t>
  </si>
  <si>
    <t>20/07/2025 Dạ em phải cảm ơn trung tâm ạ em học dc nhiều lắm ạ</t>
  </si>
  <si>
    <t>11/10/2025 Dạ em muốn học tiếp ạ</t>
  </si>
  <si>
    <t>Lê Nguyễn Linh</t>
  </si>
  <si>
    <t>20/05/2025 Dạ cũng ok ạh</t>
  </si>
  <si>
    <t>28/05/2025 Dạ e cũng dần quen rồi ạh ☺️</t>
  </si>
  <si>
    <t>Hoàng Thị Nga</t>
  </si>
  <si>
    <t>diempvk</t>
  </si>
  <si>
    <t>Phạm Hồng Sơn - kaiwa 2 ( 11/04/2025 ) - 001</t>
  </si>
  <si>
    <t>24/05/2025 dạ học ổn a</t>
  </si>
  <si>
    <t>04/06/2025 11:18 HOANG THI NGA Dạ ss
11:18 HOANG THI NGA Em đang làm quen ak
Tạm thời cũng khá là ổn ak</t>
  </si>
  <si>
    <t>13/06/2025 Gv dậy khá ổn ak</t>
  </si>
  <si>
    <t>Lê Văn Minh</t>
  </si>
  <si>
    <t>22/05/2025 Buổi đầu tiên em chưa quen. Chuẩn bị em chưa tốt lắm buổi sau em sẽ cố gắng.</t>
  </si>
  <si>
    <t>04/06/2025 Dạ em cũng quen dần dần rồi ạ
Em thành thạo rồi ạ</t>
  </si>
  <si>
    <t>12/06/2025 Em cũng cải thiện được phần nào rồi
@Chika Sensei rất tốt ạ</t>
  </si>
  <si>
    <t>23/07/2025 @Chika Sensei dạ vâng cảm ơn ss. em cũng nói được nhiều câu dài, trước chưa học thì chủ yếu nói tư đơn, cộc lốc.</t>
  </si>
  <si>
    <t>Nguyễn Thị Thu Hương</t>
  </si>
  <si>
    <t>linhntm</t>
  </si>
  <si>
    <t>Nguyễn Thành Tây - kaiwa 1 ( 10/04/2025 ) - 001</t>
  </si>
  <si>
    <t>24/05/2025 dạ cô dậy rất dễ hiểu ạ</t>
  </si>
  <si>
    <t>11/06/2025 dạ cũng bắt đầu ạ</t>
  </si>
  <si>
    <t>27/06/2025 vâng em sẽ cố gắng nói nhiều hơn để ghép ko bị sai ngữ pháp</t>
  </si>
  <si>
    <t>23/07/2025 bình thường ạ.</t>
  </si>
  <si>
    <t>Nguyễn Thị Thu Thảo</t>
  </si>
  <si>
    <t>17h30
17h00</t>
  </si>
  <si>
    <t>26/05/2025 e thấy ổn ạ</t>
  </si>
  <si>
    <t>kojima</t>
  </si>
  <si>
    <t>04/06/2025 e đã quen r ạ</t>
  </si>
  <si>
    <t>Hà Đức Quân - kaiwa 4 ( 12/04/2025 ) - 001</t>
  </si>
  <si>
    <t>19/06/2025 e đã biết đc nhiều r ạ 
e cũng đang dần dần tiếp thu ạ</t>
  </si>
  <si>
    <t>18/07/2025 e cũng biết nhiều r ạ, nhg e nói vẫn hơi chậm chút ạ</t>
  </si>
  <si>
    <t xml:space="preserve">Lê Thị Huệ </t>
  </si>
  <si>
    <t xml:space="preserve">23/05/2025 16:41 hạ vũ Buổi học đầu tiên thấy cũng ok ạ
16:41 hạ vũ Chưa thấy gặp khó khăn gì ạ. Ss yên tâm </t>
  </si>
  <si>
    <t>03/06/2025 Quen rồi ss ạ, Dạ ok ạ. Ss dạy ổn ạ</t>
  </si>
  <si>
    <t>19/06/2025 Phần kaiwa trực chiến e còn kém ạ, còn lúng túng  khi nói ( đã gửi tài liệu)</t>
  </si>
  <si>
    <t>23/07/2025 08:42 hạ vũ Dạ
08:42 hạ vũ Quen rồi ss ạ
08:42 hạ vũ Cũng tạm ổn trong khi nói chuyện với các cụ</t>
  </si>
  <si>
    <t>14/08/2025 Vẫn bình thường thôi ss  ạ</t>
  </si>
  <si>
    <t>Trương Văn Tùng</t>
  </si>
  <si>
    <t>14h00</t>
  </si>
  <si>
    <t>7Cn</t>
  </si>
  <si>
    <t>izumi/matsuo</t>
  </si>
  <si>
    <t>Đỗ Văn Thiện - kaiwa 5 NHKS ( 14/04/2025 ) - 001</t>
  </si>
  <si>
    <t>24/05/2025 Dạ ngày đầu em hơi bở ngở ạ bài tập em chửng bị chưa tốt ạ!</t>
  </si>
  <si>
    <t>Lê Thị Hồng Hạnh</t>
  </si>
  <si>
    <t>02/06/2025 E thấy tốt ss a</t>
  </si>
  <si>
    <t xml:space="preserve">06/06/2025 Cũng hơi wen rồi ạ. 10:05 hanh Wen rồi ạ 
10:06 hanh Học châm mà chắc </t>
  </si>
  <si>
    <t>Nguyễn Ngọc Quế Trân</t>
  </si>
  <si>
    <t>Dương Thuý Vy - kaiwa 4 kaigo ( 12/04/2025 ) - 001
Dương Thuý Vy - kaiwa 5 kaigo ( 13/07/2025 ) - 001</t>
  </si>
  <si>
    <t>4/6 đợi ph</t>
  </si>
  <si>
    <t>07/06/2025 dạ em học bình thường ạ</t>
  </si>
  <si>
    <t>12/06/2025 dạ rồi ạ
dạ ổn cả rồi ss</t>
  </si>
  <si>
    <t>Lê Văn Tây</t>
  </si>
  <si>
    <t>02/06/2025 Dạ buổi học rất tốt ạ</t>
  </si>
  <si>
    <t>11/06/2025 Dạ em quen rồi ạ, em đi làm bận quá nên hổmg để í tin nhắn sensei ạ</t>
  </si>
  <si>
    <t>17h30</t>
  </si>
  <si>
    <t>23/06/2025 Dạ em cũng hơi quen quen ạ</t>
  </si>
  <si>
    <t>quyentn/nunt</t>
  </si>
  <si>
    <t>Tống Phước Lĩnh</t>
  </si>
  <si>
    <t>02/06/2025 Dạ có ạ, gv nhiệt tình ạ</t>
  </si>
  <si>
    <t>12/06/2025 Dạ qen rồi  ạ</t>
  </si>
  <si>
    <t>27/06/2025 Tại thời gian gần đây công việc của em bắt đầu làm nhiều trỡ lại ạ nên là e làm về rất muộn ko có thời gian để ôn lại bài hặc học thêm từ vựng mới ạ</t>
  </si>
  <si>
    <t>Nguyễn Hoàng</t>
  </si>
  <si>
    <t>14h30</t>
  </si>
  <si>
    <t>sinhnt</t>
  </si>
  <si>
    <t>GV377</t>
  </si>
  <si>
    <t>Trần Đức Biển - kaiwa 1 ( 14/04/2025 ) - 001
Trần Đức Biển - kaiwa 2 ( 01/07/2025 ) - 001</t>
  </si>
  <si>
    <t>30/05/2025 Không ss à mọi thứ điều bình thường, Giáo viên nhiệt tình nên ko có gì hết ss</t>
  </si>
  <si>
    <t>11/06/2025 Cũng Quen r chị
Ok hết r chị</t>
  </si>
  <si>
    <t>Phạm Văn Nga</t>
  </si>
  <si>
    <t>02/06/2025 @Chika Sensei dạ ss dạy nhiệt tình lắm ạ</t>
  </si>
  <si>
    <t>10/06/2025 chê học 30 phút ít quá, đã hỗ trợ</t>
  </si>
  <si>
    <t>23/06/2025 Dạ ss dạy rất nhiệt tình ạ</t>
  </si>
  <si>
    <t>Nguyễn Hoàng Thái</t>
  </si>
  <si>
    <t>hiềntt</t>
  </si>
  <si>
    <t>GV382</t>
  </si>
  <si>
    <t>Nguyễn Thanh Xuân - kaiwa 3 ( 15/04/2025 ) - 001</t>
  </si>
  <si>
    <t>02/06/2025 Dạ tốt ss
Dạ cũng nhiệt tình ss</t>
  </si>
  <si>
    <t>19/06/2025 
BTVN: 2/5 e cũng dần dần quen rồi
nhưng trợ từ ( が　に　で　へ　を ) e chưa nói đúng được</t>
  </si>
  <si>
    <t>Lê Thị Hường</t>
  </si>
  <si>
    <t>30/05/2025 Cũng được ạ. Thầy nói dễ nghe. Nhưng thời gian ngắn quá</t>
  </si>
  <si>
    <t>11/06/2025 先生、こんにちは
Xin lỗi cô vì bị trôi tn nên em ko biết
Em học cũng đang quen dần rồi
Cảm ơn cô ạ</t>
  </si>
  <si>
    <t>23/06/2025 Cam on co a
Ban than em tu cam nhan thi chua thay thay doi gi a
co gang het khoa hoc xem nhu the nao</t>
  </si>
  <si>
    <t>ĐỖ THỊ XUÂN MAI</t>
  </si>
  <si>
    <t>Họ tên</t>
  </si>
  <si>
    <t>2025-05-19
2025-08-29</t>
  </si>
  <si>
    <t>TRẠNG THÁI</t>
  </si>
  <si>
    <t>LẦN TÁI TỤC</t>
  </si>
  <si>
    <t>thaodtt</t>
  </si>
  <si>
    <t>Lê Thị Kim Hoàng - kaiwa 1 ( 16/04/2025 ) - 001
 Lê Thị Kim Hoàng - kaiwa 2 ( 27/06/2025 ) - 001</t>
  </si>
  <si>
    <t>12/06/2025 Dạ buổi đầu cũng ổn ạ .</t>
  </si>
  <si>
    <t>Tháng</t>
  </si>
  <si>
    <t xml:space="preserve">Định hướng
Tái tục/ Upsales </t>
  </si>
  <si>
    <t>Tình trạng học sinh</t>
  </si>
  <si>
    <t>Định hướng tái tục</t>
  </si>
  <si>
    <t>Trạng Thái</t>
  </si>
  <si>
    <t>Lí do từ chối (nếu có)</t>
  </si>
  <si>
    <t>Nội dung tái tục L1</t>
  </si>
  <si>
    <t>Nội dung tái tục L2</t>
  </si>
  <si>
    <t>Nội dung tái tục L3</t>
  </si>
  <si>
    <t>Dự kiến sẽ học ra tết</t>
  </si>
  <si>
    <t>Võ Thị Yến Nhi</t>
  </si>
  <si>
    <t>Nguyễn Thái Châu</t>
  </si>
  <si>
    <t>18h20</t>
  </si>
  <si>
    <t>05/06/2025 Dạ em làm phần bài tập không được ạ</t>
  </si>
  <si>
    <t>19/06/2025 Dạ em đã quen rồi ạ</t>
  </si>
  <si>
    <t>quynhpt</t>
  </si>
  <si>
    <t>Nguyễn Ngọc Dung - Kaiwa 2 (18/04/2025) - 001</t>
  </si>
  <si>
    <t>Tăng Thúy Ngân</t>
  </si>
  <si>
    <t>Tái tục đúng sản phẩm</t>
  </si>
  <si>
    <t>Đợi hết khóa sẽ ck</t>
  </si>
  <si>
    <t>Đặng Thu Uyên</t>
  </si>
  <si>
    <t xml:space="preserve">Trần Thị Tuyết </t>
  </si>
  <si>
    <t>03/06/2025 Không ạ, Dạ có ạ
Nhưng thời gian ngắn quá ạ</t>
  </si>
  <si>
    <t>11/06/2025 Cũng ổn r ạ</t>
  </si>
  <si>
    <t>27/06/2025 đợi ph</t>
  </si>
  <si>
    <t>Hoàng Thị Lý - kaiwa 1 ( 18/04/2025 ) - 001</t>
  </si>
  <si>
    <t>Nguyễn Văn Nhật</t>
  </si>
  <si>
    <t>Ma Ngọc Hiệp</t>
  </si>
  <si>
    <t>X</t>
  </si>
  <si>
    <t>công việc quá bận k có thời gian cố hết khóa thôi a</t>
  </si>
  <si>
    <t>Cao Thị Ánh Nguyệt</t>
  </si>
  <si>
    <t>03/06/2025 Hôm qua học cũng tạm tạm ss ạ. Chắc là vẫn theo được. Ss joji nói dễ nghe với cũng giảng dạy dễ hiểu lắm ss</t>
  </si>
  <si>
    <t>Hiện tại mới sang nhật nên chưa đi thi jlpt chưa có ý đinh</t>
  </si>
  <si>
    <t>Trịnh Phúc Hảo</t>
  </si>
  <si>
    <t>11/06/2025 Trước hết thì em rất ấn tượng và rất cảm kích vì sự quan tâm tận tình của trung tâm đến em như vậy, luôn phản hồi mỗi khi em có khúc mắc, và luôn sát sao từng tiến độ của em. 
Lúc đầu nhận lớp thì em cũng khá phân vân vì hạn chế của em là mặc dù có thể nghe hiểu được đa số giáo viên nói gì nhưng phản hồi rất chậm và không thể diễn đạt ý mình mong muốn 1 cách trọn vẹn nhất thì lại được nhận lớp với giáo viên là người Nhật, điều đó làm em có phần hơi thiếu tự tin và lo lắng liệu có thể theo được lớp này hay không. Nhưng qua những buổi đầu tiên thì em thấy những lời ss tư vấn tâm sự với em thì đúng là có cơ sở, thầy Joji dạy rất dễ hiểu và rất kiên nhẫn với em, chỉ em từng lỗi sai cũng như góp ý nhiệt tình cho em rất nhiều thứ đáng giá. Trước khi nhập học em cứ nghĩ là với chừng đó thời gian học của một buổi chắc với người trầm tính ít nói như em sẽ làm ss cháy giáo án hay bị nhiều khoảng thời gian trống trong buổi học vì khả năng thẩm thấu ngôn ngữ của em có phần hạn chế. Nhưng dần dà rồi quen dần với cách dạy của thầy. 
Trước lúc vào buổi học thì em cố nghĩ ra được nhiều câu hỏi mà thầy có thể hỏi liên quan đến bài học nhất có thể, để đến lúc vào buổi học có thể thẩm thấu bài học nhiều nhất có thể. Thực sự là trước giờ em hơi lười suy nghĩ, lười phản xạ nên cứ nghe yêu cầu mà hiểu thì cứ ừ đại rồi làm chứ cũng chẳng phản xạ hay gì nhiều. Giờ may mắn có được môi trường như thế này cũng hạn chế được cái tính xấu đó của em phần nào, tuy là chưa có thực sự thay đổi nhiều lắm đâu nhưng cái gì chẳng phải có điểm bắt đầu.. Em cũng mong là em sẽ giữ được lửa như thế này cho đến hết khóa học để xem lúc đó bản thân của mình sẽ thay đổi được như thế nào, với lại giờ chỉ mới mấy bài đầu kiến thức còn có phần dễ thở, sau chắc ngày càng khó hơn chưa biết chắc là còn giữ được nhịp độ như thế này cho đến cuối hay không, vì mong muốn được chuyển sang công việc mình yêu thích hơn nên còn cố được thì em sẽ cố đến cùng. 
Em mong là sẽ đồng hành cùng trung tâm mình đến cuối khóa, hoặc có thể xa hơn nữa là cả khóa sau nữa. Cảm ơn ss cùng đội ngũ phòng đào tạo rất nhiều ạ.</t>
  </si>
  <si>
    <t>Hiện tại bận nên chưa sắp xếp được, đã hook cọc mà k rep</t>
  </si>
  <si>
    <t>Đào Văn Thạo</t>
  </si>
  <si>
    <t>Phan Thị Kim Soa</t>
  </si>
  <si>
    <t>hiepth</t>
  </si>
  <si>
    <t>Trần Văn Long - kaiwa 2 ( 19/04/2025 ) - 001</t>
  </si>
  <si>
    <t>Huỳnh Lệ Yến</t>
  </si>
  <si>
    <t>12/06/2025 Dạ cũng ổn ạ ss cũng khá nhiệt tình ạ</t>
  </si>
  <si>
    <t>Võ Chí Lập</t>
  </si>
  <si>
    <t>19/06/2025 
BTVN: 0  Dạ quen r ss ạ</t>
  </si>
  <si>
    <t>30/07/2025 đợi ph</t>
  </si>
  <si>
    <t>Phạm Văn Trung</t>
  </si>
  <si>
    <t>TẠ THỊ HOA</t>
  </si>
  <si>
    <t>Hoàng Minh</t>
  </si>
  <si>
    <t>hỏi han và mở lời nhưng k rep</t>
  </si>
  <si>
    <t>12/06/2025 mới đầu e thấy ổn ạ</t>
  </si>
  <si>
    <t>Nguyễn Tro Tnics</t>
  </si>
  <si>
    <t>17/06/2025 e hiểu ạ
nhưng e ko biết cách xắp xếp câu á
nên cứ bị loạn</t>
  </si>
  <si>
    <t>chiaki</t>
  </si>
  <si>
    <t>Trịnh Thị Kiều Trang - kaiwa 4 ( 28/04/2025 ) - 001</t>
  </si>
  <si>
    <t>Lê Quang Đình</t>
  </si>
  <si>
    <t>Bảo lưu vì qua bận rộn</t>
  </si>
  <si>
    <t>12/06/2025 Vâg ss, k vấn đề gì a</t>
  </si>
  <si>
    <t>Phạm Văn Hoàng</t>
  </si>
  <si>
    <t>Nguyễn Trọng Nghĩa</t>
  </si>
  <si>
    <t>Phan Hữu Sang</t>
  </si>
  <si>
    <t xml:space="preserve">Đang cân nhắc là học GV nhật/ Việt
Đã ok nhưng lại báo cần cân nhắc thêm vì có việc cá nhân </t>
  </si>
  <si>
    <t>gia đình ly hôn nhiều vấn đề nên k muốn học nữa</t>
  </si>
  <si>
    <t>Nguyễn Minh Toàn</t>
  </si>
  <si>
    <t>10h00
18h00</t>
  </si>
  <si>
    <t>19/06/2025 Vâng e ơn ss ạ
Sau mỗi buổi học thì phần bài tập làm như nào ss ạ</t>
  </si>
  <si>
    <t>23/07/2025 Dạ tốt ạ
Nhưng do e hỏng kiến thức hơi nhiều nên kawa chưa mượt ạ
Trang Ss phải hổ trợ nhiều ạ</t>
  </si>
  <si>
    <t>Phan Thị Thu Cúc - kaiwa 2 ( 21/04/2025 ) - 001</t>
  </si>
  <si>
    <t>Phạm Văn Lương</t>
  </si>
  <si>
    <t>Nguyễn Thị Hồng Nở</t>
  </si>
  <si>
    <t>Học xong mới tính đến việc học tiếp , hiện tại muốn ôn tập nên chưa muốn hoc tiếp</t>
  </si>
  <si>
    <t>Trần Thị Ánh Minh</t>
  </si>
  <si>
    <t xml:space="preserve">Hiện tại dự án IT công việc quá bận </t>
  </si>
  <si>
    <t>Hà Mai Thy</t>
  </si>
  <si>
    <t>05/06/2025 Dạ SS dạy rất nhiệt tình và hết lòng giúp đỡ em SS nhưng do em  không biết một số từ vựng và đôi khi em đọc nhầm và không đúng là do lỗi của em ý SS , dạ em xin lỗi</t>
  </si>
  <si>
    <t>17/06/2025 Dạ rồi SS dạ em cảm ơn SS dạ nhờ SS giúp đỡ dùm nha SS</t>
  </si>
  <si>
    <t>Phạm Văn Quyết</t>
  </si>
  <si>
    <t>Hiện tại chưa có dự định học thêm</t>
  </si>
  <si>
    <t>13h00
20h30</t>
  </si>
  <si>
    <t>3CN</t>
  </si>
  <si>
    <t>Đặng Văn Lý - kaiwa 3 ( 22/04/2025 ) - 001</t>
  </si>
  <si>
    <t>Lê Quỳnh Giao</t>
  </si>
  <si>
    <t>12/06/2025 Dạ tốt ạ
Hiện tại chưa có gì khó khăn ss ạ</t>
  </si>
  <si>
    <t>19/06/2025 
BTVN: 1/4 E cũng quen r mà e xem qua hết ngữ pháp khoá kaiwa 2 này e đều học r</t>
  </si>
  <si>
    <t>30/07/2025 Dạ e cũng quen dần r ạ
Dạ cũng đc đôi chút ạ</t>
  </si>
  <si>
    <t>Nguyễn Thị Trường</t>
  </si>
  <si>
    <t>Nguyễn Văn Nam</t>
  </si>
  <si>
    <t>Nguyễn Thị An Phường</t>
  </si>
  <si>
    <t>đã tv 1 lần lớp N3 nhsom và 1:1 rồi học phí cao nên lăn tăn</t>
  </si>
  <si>
    <t>4/6 chưa có dự định</t>
  </si>
  <si>
    <t>Nguyễn Thành An</t>
  </si>
  <si>
    <t>16/06/2025 Dạ cũng bình thường ss à</t>
  </si>
  <si>
    <t>SKAI2N045VN</t>
  </si>
  <si>
    <t>19/06/2025 Vag
E cũng quen r ss</t>
  </si>
  <si>
    <t>30/07/2025 E quen r ss
Sa こんにちは</t>
  </si>
  <si>
    <t xml:space="preserve">Trần Huỳnh Yến </t>
  </si>
  <si>
    <t>SKAI31030JP</t>
  </si>
  <si>
    <t xml:space="preserve">Nguyễn Thị Bạch Tuyết </t>
  </si>
  <si>
    <t>arita</t>
  </si>
  <si>
    <t>Trần Văn Giang - kaiwa 4 ( 23/04/2025 ) - 001</t>
  </si>
  <si>
    <t>Trịnh Khởi Công</t>
  </si>
  <si>
    <t>Nguyễn Thị Ngọc Thảo</t>
  </si>
  <si>
    <t>12/06/2025 Dạ mới ngày đầu nhưng em học thì thấy bình thường chưa thấy gì khó khăn lắm ạ</t>
  </si>
  <si>
    <t>19/06/2025
BTVN: 3/4 Dạ ss Dũng ko những tôt mà còn hiền nữa ss</t>
  </si>
  <si>
    <t>hỏi han học tập</t>
  </si>
  <si>
    <t>Lê Chí Đạt</t>
  </si>
  <si>
    <t>Nguyễn Thị Phương Mai</t>
  </si>
  <si>
    <t>11/06/2025 Dạ không có vấn đề gì ạ</t>
  </si>
  <si>
    <t>Nguyễn Duy Thụ</t>
  </si>
  <si>
    <t>19/06/2025 Dạ rồi ạ</t>
  </si>
  <si>
    <t>07/07/2025 Những bài học này em học từ 7 năm trước rồi cô ạ</t>
  </si>
  <si>
    <t>Lê Thị Giang - Kaiwa 2 (25/04/2025) - 001</t>
  </si>
  <si>
    <t>Hồ Thị Anh Hoa</t>
  </si>
  <si>
    <t>Lương Thị Cúc</t>
  </si>
  <si>
    <t>SKAIP21030VN</t>
  </si>
  <si>
    <t>CKAIP211030VN</t>
  </si>
  <si>
    <t>Mai Toan</t>
  </si>
  <si>
    <t>SKAI2N045V</t>
  </si>
  <si>
    <t>12/07/2025 Không ạ,buổi học diễn ra rất thuận lợi</t>
  </si>
  <si>
    <t>21/08/2025 đợi ph</t>
  </si>
  <si>
    <t xml:space="preserve">Công Thu Hằng </t>
  </si>
  <si>
    <t xml:space="preserve">Bàn Thị Ly </t>
  </si>
  <si>
    <t>Nguyễn Duy Khang</t>
  </si>
  <si>
    <t>CTV</t>
  </si>
  <si>
    <t>SKAI2N060VN</t>
  </si>
  <si>
    <t>Vũ Thị Phương</t>
  </si>
  <si>
    <t>14h30
20h00</t>
  </si>
  <si>
    <t>12/06/2025 30p vào tí hết giờ rồi, và k nghe được -&gt; hỗ trợ xử lý r</t>
  </si>
  <si>
    <t>trangnth/sinhnt</t>
  </si>
  <si>
    <t>Nguyễn Đình Tuấn - kaiwa 1 ( 26/04/2025 ) - 001</t>
  </si>
  <si>
    <t>Nguyễn Anh Tài</t>
  </si>
  <si>
    <t>Kết quả</t>
  </si>
  <si>
    <t>Xử lý</t>
  </si>
  <si>
    <t>Dự kiến thời gian xử lý</t>
  </si>
  <si>
    <t>Lê Hải Định</t>
  </si>
  <si>
    <t>Nông Văn An</t>
  </si>
  <si>
    <t>Trang Thị Thư</t>
  </si>
  <si>
    <t>20/06/2025 Dạ mới học 1buoi nên cũng chưa rõ ạ hjhjhjj</t>
  </si>
  <si>
    <t xml:space="preserve">Trần Đức Cường </t>
  </si>
  <si>
    <t>K2</t>
  </si>
  <si>
    <t>Nguyễn Hoàng Nam</t>
  </si>
  <si>
    <t>Trần Thái Thu Ngân</t>
  </si>
  <si>
    <t xml:space="preserve">SKAI21030VN </t>
  </si>
  <si>
    <t>Nguyễn Thị Bạch Tuyết</t>
  </si>
  <si>
    <t>Đã xử lý</t>
  </si>
  <si>
    <t>12/06/2025 Học e thấy thầy nhiệt tình</t>
  </si>
  <si>
    <t>19/06/2025
BTVN: 3/4  Quen dần rồi ss ak.</t>
  </si>
  <si>
    <t>Phan Ngọc Quin</t>
  </si>
  <si>
    <t>Nguyễn Ngọc Anh-</t>
  </si>
  <si>
    <t>Bàn Tôn Pu</t>
  </si>
  <si>
    <t>Nguyễn Thị Mỹ Huyền</t>
  </si>
  <si>
    <t>Nguyễn Quốc Cường</t>
  </si>
  <si>
    <t>10/06/2025 Không sao ss ạ
Có ss ạ</t>
  </si>
  <si>
    <t>02/07/2025 Không ss ạ</t>
  </si>
  <si>
    <t>Nguyễn Thị Mỹ Hằng</t>
  </si>
  <si>
    <t>Nguyễn Thu Thủy</t>
  </si>
  <si>
    <t>Thạch Sơn Hoàng Mi</t>
  </si>
  <si>
    <t>Phạm Thị Chi</t>
  </si>
  <si>
    <t>21h15
21h00
18h30</t>
  </si>
  <si>
    <t>joji/izumi</t>
  </si>
  <si>
    <t>GV381</t>
  </si>
  <si>
    <t>Huỳnh Văn Quyến - kaiwa 3 ( 26/04/2025 ) - 001</t>
  </si>
  <si>
    <t>Hà Bích Liên</t>
  </si>
  <si>
    <t>12/06/2025 Buổi đầu cũng ổn ạ.mà chắc tại e chưa quen nên k tự tin lắm</t>
  </si>
  <si>
    <t>19/06/2025 Nói với kaiwa ạ.e thấy e nói vẫn kém .cũng chưa tự tin lắm</t>
  </si>
  <si>
    <t xml:space="preserve">Nguyễn Thị Nhã Trang </t>
  </si>
  <si>
    <t xml:space="preserve"> Nguyễn Thị Tuyết Nhung</t>
  </si>
  <si>
    <t>Nguyễn Thị Hường</t>
  </si>
  <si>
    <t>19/06/2025 Bữa đầu học nên e lu bu quá. Nhưng vẫn ổn ạ! Ss hướng dẫn e cách làm bt về nhà nhé.</t>
  </si>
  <si>
    <t xml:space="preserve">02/07/2025  e học wifi dây ạ. Vẫn nghe gọi nc coi cam với gđ bình thường ạ. Chỉ có lúc ss mở File nghe là e lag luôn, hay bị đẩy khỏi phòng ạ
</t>
  </si>
  <si>
    <t>N3VIP110011</t>
  </si>
  <si>
    <t>10b</t>
  </si>
  <si>
    <t>Huỳnh Trần Hoàng Kha</t>
  </si>
  <si>
    <t>6CN</t>
  </si>
  <si>
    <t>thuypt/minhdt</t>
  </si>
  <si>
    <t>GV329</t>
  </si>
  <si>
    <t>Nguyễn Văn Hồng - kaiwa 1 ( 28/04/2025 ) - 001</t>
  </si>
  <si>
    <t>Nguyễn Mỹ Linh</t>
  </si>
  <si>
    <t>trước định học lên N2 nhưng hiện tại chưa có ý định tiếp xin tạm nghỉ</t>
  </si>
  <si>
    <t>HV mất zalo nên là k liên hệ dk nữa</t>
  </si>
  <si>
    <t>16/06/2025 SS cũng vui tính và cũng vui vẻ giải đáp thắc mắc của em ạ</t>
  </si>
  <si>
    <t>19/06/2025 Em cũng quen dần dần rồi ạ</t>
  </si>
  <si>
    <t>17/07/2025 @Chika Sensei em thấy cũng có chút tiếng bộ hơn xưa</t>
  </si>
  <si>
    <t>Trần Ngọc Như Anh</t>
  </si>
  <si>
    <t>HV nghỉ rất nhiều học không đều, không duy trì</t>
  </si>
  <si>
    <t>Hồ Thị Kim Ngân</t>
  </si>
  <si>
    <t>Lê Tiến Trường</t>
  </si>
  <si>
    <t xml:space="preserve">Trần Thị Cẩm </t>
  </si>
  <si>
    <t xml:space="preserve">
17h00</t>
  </si>
  <si>
    <t>GV378</t>
  </si>
  <si>
    <t>Leo Trúc Mai - kaiwa 2 kaigo ( 30/04/2025 ) - 001</t>
  </si>
  <si>
    <t>đã tái tục nhưng hiện tại bận chưa có ý định</t>
  </si>
  <si>
    <t>17/06/2025 Dạ tốt ss ạ
hiện tại ch có j khó khăn ạ ss</t>
  </si>
  <si>
    <t>27/06/2025 
BTVN: 3/3 Dạ r ạ</t>
  </si>
  <si>
    <t>17/07/2025 Dạ e thấy ổn ss ạ nhg mà e chắc hơi ngọng ss pát âm e nghĩ k đúng</t>
  </si>
  <si>
    <t>Phan Thị Thanh Phương</t>
  </si>
  <si>
    <t>CKAI561030JP</t>
  </si>
  <si>
    <t>Đinh Thị Khánh Linh</t>
  </si>
  <si>
    <t xml:space="preserve">đã đăng ký lên K4 </t>
  </si>
  <si>
    <t>Vũ Thị Cúc Hoa</t>
  </si>
  <si>
    <t>C</t>
  </si>
  <si>
    <t xml:space="preserve">Nguyễn Văn Hải </t>
  </si>
  <si>
    <t>11/06/2025 Dạ htai buổi đầu e thấy khá suôn sẻ ạ
Cô giúp e những chỗ e ko nghe dc ạ</t>
  </si>
  <si>
    <t>19/06/2025 dạ e cũng đang quen r ạ</t>
  </si>
  <si>
    <t>Đỗ Thị Ngọc Yến</t>
  </si>
  <si>
    <t>Phan Công Châu</t>
  </si>
  <si>
    <t xml:space="preserve">Trần Thị Lan Anh </t>
  </si>
  <si>
    <t>vì công việc cũng đang bận nên vẫn e vẫn chưa sắp xếp được lịch để học tiếp nên em sẽ cân nhắc ạ</t>
  </si>
  <si>
    <t>ueno</t>
  </si>
  <si>
    <t>Lý Thị Châm - kaiwa 4 ( 01/05/2025 ) - 001</t>
  </si>
  <si>
    <t>HV nhắn nhiều lần k rep</t>
  </si>
  <si>
    <t>Hà Cẩm Tú</t>
  </si>
  <si>
    <t>14/06/2025 19:13 Lan Anh Buổi đầu hơi trục trắc với e cbi bài chưa tốt nên chưa thấy hiệu quả lắm 
19:14 Lan Anh Lần sau e sẽ cbi tốt hơn</t>
  </si>
  <si>
    <t>23/06/2025 Cx quen r Ss ạ</t>
  </si>
  <si>
    <t>Vi Yến Hoa</t>
  </si>
  <si>
    <t xml:space="preserve">17/07/2025 Chắc cũng khá lên đc 1 ít r ss ạ
14:06 Lan Anh Có thể đó e chưa nắm chắc ngữ pháp nên Kaiwa chưa đc liu loát lắm ạ 
14:06 Lan Anh E sẽ cố gắng thêm ạ </t>
  </si>
  <si>
    <t>22108/2025 đợi ph</t>
  </si>
  <si>
    <t>HV bận rộn công việc nên chưa học</t>
  </si>
  <si>
    <t>Lộc Thị Ba</t>
  </si>
  <si>
    <t>CK241030VN</t>
  </si>
  <si>
    <t>Hà Tuấn Anh</t>
  </si>
  <si>
    <t>out zl ròi</t>
  </si>
  <si>
    <t>17/06/2025 Đc ak ss
Hk với cô dễ hiểu ak</t>
  </si>
  <si>
    <t xml:space="preserve">HV tạm thời dừng </t>
  </si>
  <si>
    <t>23/06/2025 
btvn: 2/3 Cũng quen r ss ak
Thành thạo hết r ss ak</t>
  </si>
  <si>
    <t>17/07/2025  Khá lên hơn nhiều so vs trc đây ss ak
H e tự tin kaiwa hơn r ak</t>
  </si>
  <si>
    <t>Hoắc Thanh Huệ</t>
  </si>
  <si>
    <t>Nguyễn Trần Thị Mỹ Duyên - kaiwa 2 ( 03/05/2025 ) - 001</t>
  </si>
  <si>
    <t>Bùi Thu Thủy</t>
  </si>
  <si>
    <t>Nguyễn Lương Vũ</t>
  </si>
  <si>
    <t>14/06/2025 k có vấn đề gì a</t>
  </si>
  <si>
    <t>Mai Thị Cẩm Vân</t>
  </si>
  <si>
    <t>19/06/2025 こんにちは　せんせい
Em đã quen rồi, cảm ơn ss</t>
  </si>
  <si>
    <t>Ngô Thị Thùy Linh</t>
  </si>
  <si>
    <t>Phạm Quốc Lĩnh</t>
  </si>
  <si>
    <t>HV bận nên tạm thời dừng</t>
  </si>
  <si>
    <t>Nguyễn Huy Hoàng</t>
  </si>
  <si>
    <t>HV bảo lưu</t>
  </si>
  <si>
    <t xml:space="preserve">13/06/2025  dạ bài đầu dễ nên không có khó khăn ạ. Cách dạy của Thắm Ss cũng dễ tiếp thu ạ.
</t>
  </si>
  <si>
    <t>19/06/2025 hiện tại mấy bài đầu đơn giản do e đã học rồi nên k khó dễ tiếp thu ạ. Có khó khăn e sẽ nhắn gr ạ.</t>
  </si>
  <si>
    <t>Học viên k hoàn thiện hp lần 2, về nước</t>
  </si>
  <si>
    <t xml:space="preserve">23/07/2025 @Chika Sensei dạ sẽ vẫn chưa cải thiện nhiều ạ. Cơ bản chắc do e tiếp thu chưa nhanh. SS vẫn nhiệt tình hết mức. Khá năng về phản xạ nghe của e còn rất chậm. </t>
  </si>
  <si>
    <t>Lại Hoàng Phương Trâm</t>
  </si>
  <si>
    <t>nunt</t>
  </si>
  <si>
    <t>HV muốn ôn tập nên k học tiếp</t>
  </si>
  <si>
    <t>Phùng Thị Phượng - kaiwa 3 ( 07/05/2025 ) - 001</t>
  </si>
  <si>
    <t>Nguyễn Trần Anh Thư</t>
  </si>
  <si>
    <t>Nguyễn Lê Minh</t>
  </si>
  <si>
    <t>CKAI33441030</t>
  </si>
  <si>
    <t>Tháng 8</t>
  </si>
  <si>
    <t>21/06/2025 Ok hết ss ơi, mạng mà mạnh nửa thì cô trò nói được nhiều cái hơn rồi 😂</t>
  </si>
  <si>
    <t>đã tái tục 1/2 kaiwa 2
Nhờ GV tác động hỏi lên học K3</t>
  </si>
  <si>
    <t>Đoàn Thị Hằng</t>
  </si>
  <si>
    <t>Dương Thị Giang</t>
  </si>
  <si>
    <t xml:space="preserve">hỏi han </t>
  </si>
  <si>
    <t>Vũ Minh Hùng</t>
  </si>
  <si>
    <t>Kaiwa 7</t>
  </si>
  <si>
    <t>Không liên lạc dk</t>
  </si>
  <si>
    <t>lanntt</t>
  </si>
  <si>
    <t>GV327</t>
  </si>
  <si>
    <t>Phạm Thị Tân - kaiwa 1 ( 07/05/2025 ) - 001</t>
  </si>
  <si>
    <t>Nguyễn Thị Kiều Trang</t>
  </si>
  <si>
    <t>17/06/2025 Dạ buổi học đã diễn ra rất tốt ạ, ko có khó khăn gì ạ</t>
  </si>
  <si>
    <t>23/06/2025 
BTVN: 5/5
Dạ e quen rồi ạ
Vâng ah, ss rất nhiệt tình, dạy dễ hiểu ạ</t>
  </si>
  <si>
    <t>23/07/2025 E có thể tự tin giao tiếp hơn với người nhật ạ,nắm được thêm các mẫu ngữ pháp và từ vựng mới vận dụng vào kaiwa hàng ngày, chỉ có phần kanji e bị yếu không đọc được ạ</t>
  </si>
  <si>
    <t>HV k học nữa do bận cv ở trường học</t>
  </si>
  <si>
    <t>Phan Thị Ái Nhiên</t>
  </si>
  <si>
    <t>Nguyễn Thị Oanh</t>
  </si>
  <si>
    <t xml:space="preserve">HV k học nữa do bận cv ở trường học, xin dừng sớm </t>
  </si>
  <si>
    <t xml:space="preserve">Lê Thị Trà My </t>
  </si>
  <si>
    <t>HV bận nên xin phép dừng khóa sớm</t>
  </si>
  <si>
    <t xml:space="preserve">Huỳnh Thị Kim Quý </t>
  </si>
  <si>
    <t>đã thi N3</t>
  </si>
  <si>
    <t xml:space="preserve">GV đã hỏi thì chưa đang có dự định </t>
  </si>
  <si>
    <t xml:space="preserve">Đào Xuân Trường </t>
  </si>
  <si>
    <t>18/06/2025 dạ. mới bài đầu tiên nên e cũng chưa thấy khó khăn gì ss ạ. tương tác khá là tốt ạ</t>
  </si>
  <si>
    <t>23/06/2025 ok rồi ss ạ.</t>
  </si>
  <si>
    <t xml:space="preserve">đã thi N3, kaiwa 2 học xong thì các buổi còn lại đang học freetalk </t>
  </si>
  <si>
    <t xml:space="preserve">đã tư vấn </t>
  </si>
  <si>
    <t>Đoàn Thị Ngọc Bích</t>
  </si>
  <si>
    <t>ttừchoosi do hiện tại cv bận nên chưa có ý định</t>
  </si>
  <si>
    <t xml:space="preserve">k liên lạc dk, đã nhắn rất nhiều lần vào học k vào </t>
  </si>
  <si>
    <t>Nguyễn Khắc Huy - Kaiwa 4 ( 08/05/2025) - 001</t>
  </si>
  <si>
    <t xml:space="preserve">đã tư vấn combo giảm 15% đưa ưu đãi tới 3/9 đọc k rep 
</t>
  </si>
  <si>
    <t>29/11 học bằng lái xe xong mới muốn đk kaiwa 6</t>
  </si>
  <si>
    <t>19/06/2025 Dạ buổi học đầu tiên e thấy ổn ạ! Cũng chưa có vấn đề gì ạ</t>
  </si>
  <si>
    <t>25/11/2025 đơiph</t>
  </si>
  <si>
    <t>Vũ Thị Phượng</t>
  </si>
  <si>
    <t xml:space="preserve">Lưu Thanh Thùy </t>
  </si>
  <si>
    <t xml:space="preserve">Môi trg k có chưa có dự định vì toàn ng việt k dùng tới </t>
  </si>
  <si>
    <t xml:space="preserve">Nhắn hỏi nhiều lần k rep </t>
  </si>
  <si>
    <t>Trần Thị Ngọc Duyên</t>
  </si>
  <si>
    <t xml:space="preserve">đã tư vấn kaiwa 4 GV nhật đưa ưu đãi 15% </t>
  </si>
  <si>
    <t>23/06/2025 Dạ em thấy đc ạ. Ko có gì nè ss.</t>
  </si>
  <si>
    <t>Nguyễn Thị Luyến</t>
  </si>
  <si>
    <t>hiện tại chưa có nhu cầu</t>
  </si>
  <si>
    <t>Bùi Thị Trúc - kaiwa 4 ( 12/05/2025 ) - 001</t>
  </si>
  <si>
    <t xml:space="preserve">hhỏihan, đang có ý thi N3 nhưng nhắn k rep </t>
  </si>
  <si>
    <t>đã tái tục 1/2 kaiwa 4</t>
  </si>
  <si>
    <t xml:space="preserve">Hỏi học lên K5 không thì k rep lại </t>
  </si>
  <si>
    <t>19/06/2025 học viên trình độ kém, nên cho xuống prekaiwa 2</t>
  </si>
  <si>
    <t xml:space="preserve">Nguyễn Đình Tâm </t>
  </si>
  <si>
    <t xml:space="preserve">HV bảo lưu do gia đình có việc </t>
  </si>
  <si>
    <t>Nguyễn Thành Vinh</t>
  </si>
  <si>
    <t>Trần Nguyên Thị Thanh Thúy</t>
  </si>
  <si>
    <t xml:space="preserve">đã tư vấn, hướng cọc mà chưua rep kêu cv bận </t>
  </si>
  <si>
    <t>18/06/2025 Bữa đầu tiên còn chút rắc rối nhưng giờ đã hiểu cách chuẩn bị bài rồi ss
Bữa sau chắc sẽ tốt hơn</t>
  </si>
  <si>
    <t>08/07/2025 Dạ e quen rồi ạ</t>
  </si>
  <si>
    <t>Phạm Ngọc Nhật Tuyền</t>
  </si>
  <si>
    <t>23/07/2025 @Chika Sensei thấy cũng đỡ 1 hơn 1 chút ạ</t>
  </si>
  <si>
    <t>Phan Thị Anh Thư - kaiwa 3 kaigo ( 14/05/2025 ) - 001</t>
  </si>
  <si>
    <t>Nguyễn Thị Phượng</t>
  </si>
  <si>
    <t xml:space="preserve">HV chưa có nhu cầu </t>
  </si>
  <si>
    <t>Hà Kiều Trang</t>
  </si>
  <si>
    <t xml:space="preserve">Nguyễn Anh Thơ </t>
  </si>
  <si>
    <t xml:space="preserve">18/06/2025 dạ GV ổn ạ, còn chuẩn bi bài hơi chưa tốt </t>
  </si>
  <si>
    <t xml:space="preserve">23/06/2025 Giờ e cuzng quên dần rồi ss ạ </t>
  </si>
  <si>
    <t>Vũ Đình Thành</t>
  </si>
  <si>
    <t xml:space="preserve">HV nhắn nhiều lần k rep </t>
  </si>
  <si>
    <t>Trần Tuấn Việt</t>
  </si>
  <si>
    <t>Phan Thị Thu Ngân</t>
  </si>
  <si>
    <t xml:space="preserve">HV bận </t>
  </si>
  <si>
    <t>Hoàng Xuân Hiếu</t>
  </si>
  <si>
    <t>đã tư vấn chỉ thả tim</t>
  </si>
  <si>
    <t xml:space="preserve">bận nên là chưa có ý định </t>
  </si>
  <si>
    <t>05h30</t>
  </si>
  <si>
    <t>myht</t>
  </si>
  <si>
    <t xml:space="preserve">hỏi han đã hỏi nhưng chưa rep </t>
  </si>
  <si>
    <t>Trần Anh Luân - kaiwa 3 ( 14/05/2025 ) - 001</t>
  </si>
  <si>
    <t>Trịnh Phương Uyên</t>
  </si>
  <si>
    <t xml:space="preserve">18/06/2025 Dạ tốt ạ , tạm thời chưa có gặp khó khăn gì ạ  , thấy giảng dễ hiểu nói vừa đủ nghe ạ
</t>
  </si>
  <si>
    <t>23/06/2025 Dạ em quen dần rồi ạ
Em cảm ơn SS ạ</t>
  </si>
  <si>
    <t>11/07/2025 Dạ em thấy tiến bộ một chút rồi ạ , thầy sửa cho em từng chút một để tiếng nhật trở nên tự nhiên hơn , tuy rằng em chưa thuần thục được nhưng cứ tiếp tục học và luyện tập em nghĩ chắc chắn sẽ được ạ</t>
  </si>
  <si>
    <t>Nguyễn Ngọc Phiến</t>
  </si>
  <si>
    <t>Ngô Thị Chiên</t>
  </si>
  <si>
    <t>Vũ Hoàng Hà</t>
  </si>
  <si>
    <t xml:space="preserve">đọc k trả lời chưa thể tư vấn thêm </t>
  </si>
  <si>
    <t>Nguyễn Thị Kim Đào</t>
  </si>
  <si>
    <t>HV từ chối do cv bận và dự định khác</t>
  </si>
  <si>
    <t xml:space="preserve">mất liên lạc </t>
  </si>
  <si>
    <t>11/07/2025 đợi ph</t>
  </si>
  <si>
    <t>23/07/2025 tốt ạ</t>
  </si>
  <si>
    <t>Huỳnh Yến Thu</t>
  </si>
  <si>
    <t xml:space="preserve">đã hỏi han mà k có nhu cầu </t>
  </si>
  <si>
    <t>Nguyễn Lê Bích Quyên</t>
  </si>
  <si>
    <t>uyenltt</t>
  </si>
  <si>
    <t>GV322</t>
  </si>
  <si>
    <t>bảo lưu</t>
  </si>
  <si>
    <t>Lê Trọng Vỹ - kaiwa 1 ( 02/06/2025 ) - 001
Lê Trọng Vỹ - prekaiwa 2 ( 13/06/2025 ) - 001</t>
  </si>
  <si>
    <t>dạo này e cx bận nên chắc kết thúc khoa  e sẽ nghỉ 1 thời gian ạ</t>
  </si>
  <si>
    <t>20/06/2025 e thấy SS nc dễ nghe ah, tốc độ cũng vừa phải</t>
  </si>
  <si>
    <t>27/06/2025 
1/3 dạ rồi ạ</t>
  </si>
  <si>
    <t xml:space="preserve">Bận nên là xin phép dừng </t>
  </si>
  <si>
    <t>Phan Thành Long</t>
  </si>
  <si>
    <t>Cao Trần Anh Quân</t>
  </si>
  <si>
    <t xml:space="preserve">đã tư vấn ưu đãi 15%  
đăng ký học lên K4 </t>
  </si>
  <si>
    <t>Hà Phương Chi</t>
  </si>
  <si>
    <t xml:space="preserve">đã nhắn nhưng mà k phản hồi </t>
  </si>
  <si>
    <t>Lường Tuyết Ngân</t>
  </si>
  <si>
    <t>giangnth/sinhnt</t>
  </si>
  <si>
    <t>bảo lưu tới tháng 9 đóng phí bảo lưu 500k</t>
  </si>
  <si>
    <t>GV386</t>
  </si>
  <si>
    <t>5/6 đang ôn thi n3</t>
  </si>
  <si>
    <t>Trần Long - prekaiwa 2 ( 17/05/2025 ) - 001
Trần Long - kaiwa 1 ( 12/07/2025 ) - 001
Trần Long - kaiwa 2 ( 03/02/2026) - 001</t>
  </si>
  <si>
    <t>20/06/2025 Dạ ko ạ 
Nm Huy ss có bảo em lên khoá kaiwa 2 ạ  ( cần 1-2 b cân nhắc) Em thấy ss hướng dẫn tốt ạ</t>
  </si>
  <si>
    <t>11/07/2025 @Chika Sensei dạ cũng quen quen roi ạ</t>
  </si>
  <si>
    <t>học viên bận nên bảo lưu</t>
  </si>
  <si>
    <t xml:space="preserve">Nguyễn Thị Tuyền </t>
  </si>
  <si>
    <t>Lê Trần Cát Lâm</t>
  </si>
  <si>
    <t xml:space="preserve">bảo lưu </t>
  </si>
  <si>
    <t>Hồ Nguyễn Thu My</t>
  </si>
  <si>
    <t xml:space="preserve">HV k liên lạc được, đã nhờ sale liên hệ </t>
  </si>
  <si>
    <t>21/06/2025 tốt ạ , tuy nhiên thì mỗi thời lượng kaiwa hơi ít ấy ạ , có thể tăng lên 1 tiếng không ạ</t>
  </si>
  <si>
    <t>27/06/2025 
2/3 
dạ rồi ạ</t>
  </si>
  <si>
    <t xml:space="preserve">1. Đã gửi tài liệu thêm để luyện học nghe thêm tạo phản xạ( do hay quên) </t>
  </si>
  <si>
    <t>Nguyễn Huỳnh Bảo Ngân</t>
  </si>
  <si>
    <t xml:space="preserve">chưa đóng lần 2 kêu ngày 11/9 ms có lương </t>
  </si>
  <si>
    <t>bận nên là k đóng thêm phí nữa</t>
  </si>
  <si>
    <t>Huỳnh Thị Thúy Lan</t>
  </si>
  <si>
    <t>Ngày 19/1/2026 bảo quay lại học xong ngày 22/1 lại báo k học được nữa, cảm ơn và out nhóm</t>
  </si>
  <si>
    <t>19/06/2025 Dạ cũng ổn ạ ss</t>
  </si>
  <si>
    <t>Tháng 9</t>
  </si>
  <si>
    <t>12/07/2025 Dạ đc ạ
GV nhiệt tình</t>
  </si>
  <si>
    <t>15h00</t>
  </si>
  <si>
    <t>trangnth</t>
  </si>
  <si>
    <t>Lê Nguyễn Linh - prekaiwa 2 ( 14/05/2025 ) - 001</t>
  </si>
  <si>
    <t xml:space="preserve">Lê Gia Hân </t>
  </si>
  <si>
    <t>HV báo bận k học dk nữa</t>
  </si>
  <si>
    <t>29/06/2025 Dạ tốt</t>
  </si>
  <si>
    <t>12/07/2025 dạ e quen rồi ss
Gv nhiệt tình lém ạ</t>
  </si>
  <si>
    <t>Ngô Duy Lợi</t>
  </si>
  <si>
    <t>16h30</t>
  </si>
  <si>
    <t>23/06/2025 Dạ e học với sensei ko có vấn đề gì cả ạ^^
vấn đề lớn nhất của e là e cần phải cố gắng nhìu hơn để tiến bộ trong tương lai ạ^^</t>
  </si>
  <si>
    <t>trangpt</t>
  </si>
  <si>
    <t>14/07/2025 Dạ cũng hiểu đc chút về ngữ pháp tiếng nhật ss ạ^^</t>
  </si>
  <si>
    <t>Hoàng Thị Nga - Prekaiwa 2 (23/05/2025) - 001</t>
  </si>
  <si>
    <t>14/08/2025 đợi ph</t>
  </si>
  <si>
    <t>24/06/2025 Tốt ss ơi</t>
  </si>
  <si>
    <t>23/07/2025 Em thấy ổn ss ạ</t>
  </si>
  <si>
    <t>Lê Đức Hoàng</t>
  </si>
  <si>
    <t>minhdt</t>
  </si>
  <si>
    <t>Lê Văn Minh - Kaiwa 1 (23/05/2025) - 001</t>
  </si>
  <si>
    <t>21/06/2025 Em thấy học hơi nhanh
Buổi đầu em chưa có cảm nhận được gì nhiều =&gt; hiểu nhầm về giờ đã giải thích</t>
  </si>
  <si>
    <t>27/06/2025 
3/3
đợi ph</t>
  </si>
  <si>
    <t>12/07/2025 Vâng em sẽ cố gắng ạ</t>
  </si>
  <si>
    <t>13/08/2025 @Chika Sensei dạ em kaiwa thấy ổn rồi ss ạ</t>
  </si>
  <si>
    <t xml:space="preserve">Nguyễn Đức Tài </t>
  </si>
  <si>
    <t>28/06/2025
Mới học buổi đầu nên cũng hơi bở ngỡ ạ</t>
  </si>
  <si>
    <t>08/06/2026 đợi ph</t>
  </si>
  <si>
    <t xml:space="preserve">Chi An </t>
  </si>
  <si>
    <t>17h00</t>
  </si>
  <si>
    <t>Nguyễn Thị Thu Hương - Kaiwa 1 (23/05/2025) - 001</t>
  </si>
  <si>
    <t>21/06/2025 Dạ tốt ạ</t>
  </si>
  <si>
    <t>07/07/2025 Dạ mình chưa quen với cách học này ạ 
Mình đang cố gắng theo hy vọng sẽ tốt hơn</t>
  </si>
  <si>
    <t>Phạm Viết Lợi</t>
  </si>
  <si>
    <t>dạ em học ổn ạ</t>
  </si>
  <si>
    <t>11/07/2025 Dạ cụng quen2 rồi ạ
Dạ nhiệt tình ạ</t>
  </si>
  <si>
    <t>23/07/2025 Dạ . Có khá lên tí ạ</t>
  </si>
  <si>
    <t xml:space="preserve">Đỗ Văn Tiến </t>
  </si>
  <si>
    <t>Nguyễn Thị Thu Thảo - Kaiwa 1 (24/05/2025) - 001</t>
  </si>
  <si>
    <t>23/06/2025 Dạ e học tốt ss ạ , e hiểu về cách học rồi ss ạ.</t>
  </si>
  <si>
    <t>01/07/2025 Dạ e quen rồi ss ạ.
Dạ vâng ss ạ, Giang ss hướng dẫn rất dễ hiểu ạ (Grin)</t>
  </si>
  <si>
    <t>23/07/2025 Dạ e qua 12 tuổi vừa học luyện tập cùng ss , thì e  ghi nhớ lại được từ vựng, ngữ pháp cũng như cách dùng ạ , với cũng tự tin Kaiwa hơn ạ :)</t>
  </si>
  <si>
    <t>14/10/2025 Dạ sau khoá học e tự tin nói chuyện hơn rồi ss ạ :D cảm ơn trung tâm mang đến cho e một khoá học rất hữu ích ạ 😀</t>
  </si>
  <si>
    <t>Ngô Thị Thanh</t>
  </si>
  <si>
    <t>oanhnt</t>
  </si>
  <si>
    <t>Lê Thị Huệ - kaiwa 2 ( 24/05/2025 ) - 001</t>
  </si>
  <si>
    <t>29/07/2025 Dạ cũng ko khó khăn j mấy ạ 
Có nay qua hơi sát lên e chuyển bị chưa kịp thôi ạ</t>
  </si>
  <si>
    <t>07/07/2025 Dạ e thành thạo rồi ạ 
Dạ vâng lâm ss nhiệt tình ạ</t>
  </si>
  <si>
    <t>23/07/2025 Dạ cảm nhận của em tự tin hơn nói tiếng nhật 1 chút rồi ạ</t>
  </si>
  <si>
    <t>Lê Thị Hoàng Mỹ</t>
  </si>
  <si>
    <t>25/06/2025 Dạ không ạ
SS ơi buổi học ngày mai cho e đổi giờ sớm một chút có được không ạ</t>
  </si>
  <si>
    <t>23/07/2025  e bị quên ngữ pháp khá nhiều ạ
Em cũng đã có một chút xíu tự tin khi nói chuyện với mn trong xưởng</t>
  </si>
  <si>
    <t>Kiều Minh Hà</t>
  </si>
  <si>
    <t>Trương Văn Tùng - kaiwa 2 ( 23/05/2025 ) - 001</t>
  </si>
  <si>
    <t>20/06/2025 cũng ok ss à
Hiện tại ko ss à</t>
  </si>
  <si>
    <t>22/07/2025 Học ok ss ạ
Cứ theo lịch hiện tại em thấy ok ạ</t>
  </si>
  <si>
    <t>24/06/2025 @Chika Sensei buổi đầu tiên tốt đẹp ạ.</t>
  </si>
  <si>
    <t>23/07/2025 Dạ cũng chưa đâu vào đâu, nhưng thấy tự tin và phản xạ tốt hơn ạ</t>
  </si>
  <si>
    <t>16/20/2025 Hi Sensei, Chắc tại em chưa cố gắng lắm, tiếng Nhật của em còn kém lắm ạ</t>
  </si>
  <si>
    <t>Nguyễn Duy Minh</t>
  </si>
  <si>
    <t>Lê Thị Hồng Hạnh - kaiwa 1 ( 26/05/2025 ) - 001</t>
  </si>
  <si>
    <t>26/06/2025 Dạ không có vấn đề gì ạ</t>
  </si>
  <si>
    <t>Nguyễn Thị Nhung</t>
  </si>
  <si>
    <t>26/06/2025 Dạ k ạ, k vấn đề gì a</t>
  </si>
  <si>
    <t>23/07/2025 Dạ. E cũng quen r ạ</t>
  </si>
  <si>
    <t>26/09/2025 ạ. E học với ss ok ạ</t>
  </si>
  <si>
    <t>07/10/2025 Dạ cũng ổn ạ</t>
  </si>
  <si>
    <t>minami</t>
  </si>
  <si>
    <t>Nguyễn Ngọc Quế Trân - kaiwa 3 ( 03/06/2025 ) - 001</t>
  </si>
  <si>
    <t>Lê Thị Ánh Tuyết</t>
  </si>
  <si>
    <t>28/06/205 Em học với cô Thảo rất tốt ạ</t>
  </si>
  <si>
    <t>lamdt</t>
  </si>
  <si>
    <t>24/07/2025 Em đã sequence rồi ạ</t>
  </si>
  <si>
    <t>Lê Văn Tây - kaiwa 2 ( 28/05/2025 ) - 001</t>
  </si>
  <si>
    <t>19/03/2026 Em thấy so với lúc bắt đầu học thì cải thiện hơn nhiều rồi ạ . Bây h em nói chuyện cảm giác không bị ngượng so với lúc trước nữa ạ</t>
  </si>
  <si>
    <t>Trần Trường Giang</t>
  </si>
  <si>
    <t>07/07/2025 Em không nhé ss, btvn bao giờ phải nộp ạ</t>
  </si>
  <si>
    <t>21/10/2025 đợi ph</t>
  </si>
  <si>
    <t>Nguyễn Thanh Việt</t>
  </si>
  <si>
    <t>binhnnt</t>
  </si>
  <si>
    <t>GV376</t>
  </si>
  <si>
    <t>Tống Phước Lĩnh - kaiwa 1 ( 28/05/2025 ) - 001</t>
  </si>
  <si>
    <t>29/06/2025 Trung tâm ơi, sau buổi học hôm qua e muốn có nguyện vọng là đổi ss khác giúp e có được không ạ, bản thân e thấy hơi khó tiếp thu ạ. Lý do là vì e muốn ss có kinh nghiệm, khả năng truyền đạt và kỹ năng chuyên môn trong giảng dạy ạ. ( đã đổi GV), vẫn phàn nàn thắc mắc về vấn đề giờ học ngay từ đầu mặc dù đã giải thích</t>
  </si>
  <si>
    <t>01/07/2025 @Chika Sensei Dạ e thấy ổn ss ơi</t>
  </si>
  <si>
    <t>23/07/2025 e chưa ss ơi, e nghĩ là cần luyện tập nhiều thêm nữa ( học viên học tốt nhưng k tự tin)</t>
  </si>
  <si>
    <t>Ngô văn Tuấn</t>
  </si>
  <si>
    <t xml:space="preserve">Về Vn 1 tháng nên đang tạm thời chưa học được, đang sắp xếp để tầm đầu tháng 2 học </t>
  </si>
  <si>
    <t>28/06/2025 Gặp truc trặc ở tín hiệu máy tính .tạm thời chuyển sang học ở điện thoại.trung tâm mình có áp hổ trợ học trên điện thoại không ah</t>
  </si>
  <si>
    <t>truongot/hangktt</t>
  </si>
  <si>
    <t>GV397</t>
  </si>
  <si>
    <t>Nguyễn Hoàng - kaiwa 3 ( 29/05/2025 ) - 001</t>
  </si>
  <si>
    <t>28/06/2025 Buổi học OK
Em muốn xem và nghe lại phần hoi thoại</t>
  </si>
  <si>
    <t>Tiêu Quốc Vinh</t>
  </si>
  <si>
    <t>28/06/2025
Dạ tốt ss ạ</t>
  </si>
  <si>
    <t>22806/2025 Dạ tốt ss ạ
Dạ cũng dễ hiểu ạ. Vì mới buổi đầu nên cũng chưa xác định đc rõ ạ</t>
  </si>
  <si>
    <t>21/08/2025 Dạ đã quen ạ. Nhưng phản xạ thì còn chậm ạ</t>
  </si>
  <si>
    <t>22/09/2025 Dạ hiện tại e muốn nghĩ một thời gian ạ. Có gì e sẽ liên lạc lại ss ạ. E cảm ơn</t>
  </si>
  <si>
    <t>Nguyễn Ngọc Bảo Uyên</t>
  </si>
  <si>
    <t>anhpt</t>
  </si>
  <si>
    <t>Phạm Văn Nga - kaiwa 1 ( 29/05/2025 ) - 001</t>
  </si>
  <si>
    <t>05/07/2025 dạ được ạ
ss nhiệt tình dethuong ạ:))</t>
  </si>
  <si>
    <t>Vũ Đình Hai</t>
  </si>
  <si>
    <t xml:space="preserve">12/07/2025 Không ạ em không cần hỗ trợ gì ạ . </t>
  </si>
  <si>
    <t>huongtt</t>
  </si>
  <si>
    <t>Nguyễn Hoàng Thái - kaiwa 1 ( 30/05/2025 ) - 001
Nguyễn Hoàng Thái - prekaiwa 2 ( 04/06/2025 ) - 001</t>
  </si>
  <si>
    <t>Trần Thị Thúy Oanh</t>
  </si>
  <si>
    <t>03/07/2025 Dạ thầy nhiệt tình lắm</t>
  </si>
  <si>
    <t>Nguyễn Văn An</t>
  </si>
  <si>
    <t>17h30
08h00</t>
  </si>
  <si>
    <t>03/07/2025 Dạ nhiệt tình ạ</t>
  </si>
  <si>
    <t>Lê Thị Hường - kaiwa 3 ( 30/05/2025 ) - 001</t>
  </si>
  <si>
    <t>Đỗ Anh Thư</t>
  </si>
  <si>
    <t>01/07/2025 Dạ tốt lắm ạ ss tuy buổi đầu cũng chưa qen lắm e cx chưa chuẩn bị kĩ nhìu cái để nói nhưng mà tổng qan thì em thấy oke ạ</t>
  </si>
  <si>
    <t>11/07/2025 Dạ rồi ạ</t>
  </si>
  <si>
    <t xml:space="preserve">Nguyễn Thị Phượng </t>
  </si>
  <si>
    <t>11h30</t>
  </si>
  <si>
    <t>chiph</t>
  </si>
  <si>
    <t>GV289</t>
  </si>
  <si>
    <t>ĐỖ THỊ XUÂN MAI - kaiwa 2 ( 31/05/2025 ) - 001</t>
  </si>
  <si>
    <t>01/07/2025 Dạ học ổn ạ 
Buổi đầu tiên nên có những thiếu xót về phần cb bài trc thoi ạ
BH quen rùi nên lần sau e nghĩ sẽ tốt hơn ạ</t>
  </si>
  <si>
    <t>11/07/2025 Dạ em đã quen rồi ạ 
Việc cb bài cũng ổn r ah
Cb ổn nên lên lớp học hiệu quả hơn r ah</t>
  </si>
  <si>
    <t>Phạm Thị Thanh Thủy</t>
  </si>
  <si>
    <t>03/07/2025 Dạ e thấy tín hiệu hơi kém ạ
Khi học bị mất thời gian để nhận tín hiệu</t>
  </si>
  <si>
    <t>vytd/hientt</t>
  </si>
  <si>
    <t>Võ Thị Yến Nhi - kaiwa 2 ( 02/06/2025 ) - 001</t>
  </si>
  <si>
    <t>mạng kém nên chỉ học trên gg meet được 
-CV bận làm đêm nên tuần chỉ học/ buổi
- Hiện tại đang về Vn chữa bệnh nên thời gian càng ít 
đợi ph 4/6</t>
  </si>
  <si>
    <t>03/07/2025 dạ mới buổi đầu còn bỡ ngơ</t>
  </si>
  <si>
    <t>Nguyễn Thị Thùy Linh</t>
  </si>
  <si>
    <t>- HV báo k sắp xếp học dk nữa, hướng bảo lưu tự nhiên rời nhóm k rõ lúc nào</t>
  </si>
  <si>
    <t>03/07/2025 Dạ cũng ổn ss ạ. Học như này em cảm thấy mình biết mình sai ở đâu và ss cũng sửa ngay nên em thấy Oke ss ạ😅</t>
  </si>
  <si>
    <t>08/07/2025 Dạ em cũng dần quen với phương pháp học trực tuyến của nhà trường rồi ạ, ss dạy cũng dễ hiểu và vui tính nữa ạ :d</t>
  </si>
  <si>
    <t>hientt</t>
  </si>
  <si>
    <t>29/07/2025Kiểm tra cuối khoá là kiểm tra những phần gì ạ Ss</t>
  </si>
  <si>
    <t>Đặng Thu Uyên - kaiwa 2 ( 02/06/2025 ) - 001</t>
  </si>
  <si>
    <t xml:space="preserve">Vũ Đức Đạt </t>
  </si>
  <si>
    <t>02/07/2025 Buổi học oke lắm ạ
Không có khó khăn j đâu ạ</t>
  </si>
  <si>
    <t>28/07/2025 @Chika Sensei em thấy học cũng oke ạ, tiếng Nhật giao tiếp của mình cũng ổn hơn xíu, áo dụng vào công việc hàng ngày oke ạ</t>
  </si>
  <si>
    <t>11/10/2025 @Chika Sensei em thấy học với thầy ok ạ, cũng dễ hiểu, không khó lắm như mình nghĩ</t>
  </si>
  <si>
    <t>22/10/2025 đợi ph</t>
  </si>
  <si>
    <t>Đỗ Xuân Hương</t>
  </si>
  <si>
    <t>Nguyễn Văn Nhật - kaiwa 4 IT( 02/06/2025 ) - 001</t>
  </si>
  <si>
    <t>03/07/2025 rất tốt</t>
  </si>
  <si>
    <t>11/07/2025 mình quen rồi nhé</t>
  </si>
  <si>
    <t>29/07/2025 mình quen rồi</t>
  </si>
  <si>
    <t>Hà Thị Minh Hợp</t>
  </si>
  <si>
    <t>10/07/2025 E thấy về cơ bản dậy theo cách truyền thống
E muốn theo một hai buổi học nữa e sẽ đánh giá về chất lượng buổi học</t>
  </si>
  <si>
    <t>Trương Tấn Đạt</t>
  </si>
  <si>
    <t>dungha</t>
  </si>
  <si>
    <t>08/07/2025 Ngày kế tiếp mình cần chuẩn bị gì sensei
Giáo viên hiện tại nhiệt tình sensei</t>
  </si>
  <si>
    <t>K260018 - 001</t>
  </si>
  <si>
    <t>Vũ Thu Uyên</t>
  </si>
  <si>
    <t>08/07/2025 e k có wifi dùng 5g mà đường truyền k đc ok lắm ss ạ</t>
  </si>
  <si>
    <t>25/07/2025 E muốn tăng thêm thời lượng và khi kaiwa với cô em muốn được chỉnh để nói hoàn chỉnh câu chứ k phải là nói được một nửa r cô đoán ý r henji lại ạ</t>
  </si>
  <si>
    <t xml:space="preserve">Bùi Thị Thương </t>
  </si>
  <si>
    <t>trangpt/minami</t>
  </si>
  <si>
    <t>TẠ THỊ HOA - kaiwa 2 kaigo ( 04/06/2025 ) - 001</t>
  </si>
  <si>
    <t>04/07/2025 dạ tốt ạ, dạ có ạ</t>
  </si>
  <si>
    <t>25/07/2025 ạ e cũng quen dần rồi ạ</t>
  </si>
  <si>
    <t xml:space="preserve">Trần Văn Nhật </t>
  </si>
  <si>
    <t>09/07/2025 @Chika Sensei dạ có ạ, tốc độ dậy  dễ hiểu lắm ạ</t>
  </si>
  <si>
    <t>30/07/2025 đợi  ph</t>
  </si>
  <si>
    <t>Định Văn Phong</t>
  </si>
  <si>
    <t>08/07/2025 Dạ hiện tại thì chưa ạ
Thời gian ngắn mà hôm đầu tiên e chưa biết kiểu học nên cũng chưa có vấn đề gì ạ</t>
  </si>
  <si>
    <t>25/07/2025 Dạ e nắm bắt đc cách học của trung tâm rồi ạ</t>
  </si>
  <si>
    <t>Nguyễn Thị Như</t>
  </si>
  <si>
    <t>11/07/2025 Dạ cũng ổn ah</t>
  </si>
  <si>
    <t>Hà Trầm Xuân</t>
  </si>
  <si>
    <r>
      <rPr>
        <rFont val="Arial"/>
        <color theme="1"/>
      </rPr>
      <t>15h30</t>
    </r>
    <r>
      <rPr>
        <rFont val="Arial"/>
        <color theme="1"/>
      </rPr>
      <t xml:space="preserve">
19h30</t>
    </r>
  </si>
  <si>
    <t>GV323</t>
  </si>
  <si>
    <t>Nguyễn Trọng Nghĩa - Kaiwa 2 (06/06/2025) - 001</t>
  </si>
  <si>
    <t>15/08/2025 đợi ph</t>
  </si>
  <si>
    <t>Trần Thị Hoài Hạ</t>
  </si>
  <si>
    <t>11/07/2025 Dạ em học ổn ạ..hiện tại thì chx có khó khăn gì ạ</t>
  </si>
  <si>
    <t>30/07/2025 Dạ em quen rồi ạ</t>
  </si>
  <si>
    <t>Lê Đức Hậu</t>
  </si>
  <si>
    <t>Nguyễn Thị Hồng Nở - prekaiwa 2 ( 04/06/2025 ) - 001
Nguyễn Thị Hồng Nở - kaiwa 1 ( 21/07/2025) - 001</t>
  </si>
  <si>
    <t>30/07/2025 Dạ e ổn ạ</t>
  </si>
  <si>
    <t>Phạm Thị Duyên</t>
  </si>
  <si>
    <t>11/07/2025 Ngày đầu e có hơi bỡ.
Nay e mới xem đc tài liệu. Để cbi cho ngày tiếp theo, kaiwa tốt hơn
Line tài liệu e k xem á. E chỉ xem clip sẵn. Nên tương tác cũng ít</t>
  </si>
  <si>
    <t>25/07/2025 Dạ e đã quen r ạ. 
Sei ơi, hnay cho e luyện pv nha sei</t>
  </si>
  <si>
    <t xml:space="preserve">Thạch Bình Long </t>
  </si>
  <si>
    <t>12/07/2025 Thời gian chỉ 30p em học không kịp
Kaiwa không được nhiều ạ</t>
  </si>
  <si>
    <t xml:space="preserve">Phan Văn Cường </t>
  </si>
  <si>
    <t>12/07/2025 học k2 quá sức điều chỉnh xống k1</t>
  </si>
  <si>
    <t>25/07/2025 đợi ph</t>
  </si>
  <si>
    <t>K145016 - 001</t>
  </si>
  <si>
    <t xml:space="preserve">Nguyễn Thị Thắm </t>
  </si>
  <si>
    <t>17/07/2025 Dạ mới ngày đầu nên e cũng chưa thể nói trước ddC ạ nhưng mà e thấy qua buổi hôm nay ss cũng có nhiệt tình ạ cũng tốt ạ</t>
  </si>
  <si>
    <t>30/07/2025 E cũng có chút chút quen với việc học trực tuyến r ạ chỉ là đôi khi có chút trục trặc về vấn đề mạng ạ</t>
  </si>
  <si>
    <t>Phan Công Trường</t>
  </si>
  <si>
    <t>16/07/2025 10:31 Ｔｒｕｏｎｇ Học kaiwa 30phút thời gian qua ít 
10:32 Ｔｒｕｏｎｇ Vào nc được mấy câu thì đả hết giờ rồi  =&gt; đã giải thích</t>
  </si>
  <si>
    <t>Nguyễn Lan Trinh</t>
  </si>
  <si>
    <t>16/07/2025 Tốt ạ
cô nhiệt tình a</t>
  </si>
  <si>
    <t>23/07/2025 Dạ e quen r an
17:35 ランチン Dạ cô dạy dễ hiểu lắm ạ
17:35 ランチン Với cũng chỉ ra lỗi sai cho bọn e nữa ah</t>
  </si>
  <si>
    <t>Nguyễn Diễm Quỳnh</t>
  </si>
  <si>
    <t>16/07/2025 Tốt ạ
dạ ổn a</t>
  </si>
  <si>
    <t>GV90</t>
  </si>
  <si>
    <t>23/07/2025 Dạ e quen rồi ạ
cô cũng nhiệt tình ạ</t>
  </si>
  <si>
    <t>Lê Chí Đạt - kaiwa 3 ( 06/06/2025 ) - 001</t>
  </si>
  <si>
    <t>Nguyễn Tuấn Kiệt</t>
  </si>
  <si>
    <t>12/07/2025 Dạ oke ạ
Mà tụi em muốn học vs ng Nhật để kaiwa tốt hơn ấy ạ( đã giải thích)</t>
  </si>
  <si>
    <t>23/07/2025 Dạ r ạ
Dạ bây h oke hết r ạ</t>
  </si>
  <si>
    <t>Phạm Văn Nghĩa</t>
  </si>
  <si>
    <t>hanhntn</t>
  </si>
  <si>
    <t>K145019 - 001</t>
  </si>
  <si>
    <t>12/07/2025 đợi ph ( hai bạn học cùng nhau, nên Nghĩa hầu như k phản hồi)</t>
  </si>
  <si>
    <t xml:space="preserve">Nguyễn Văn Hải        </t>
  </si>
  <si>
    <t>10/07/2025 Dạ k ss
Nếu có khó khăn và thắc mắc gì e sẽ hỏi ss</t>
  </si>
  <si>
    <t>23/07/2025 Dạ quen r ss</t>
  </si>
  <si>
    <t>Võ Sinh Cung</t>
  </si>
  <si>
    <t>nhunglnt</t>
  </si>
  <si>
    <t>Bàn Thị Ly - kaiwa 1 ( 09/06/2025 ) - 001</t>
  </si>
  <si>
    <t>10/07/2025 @Chika Sensei dạ k có gì khó khăn đâu ạ</t>
  </si>
  <si>
    <t>23/07/2025 dạ em quen rồi ạ</t>
  </si>
  <si>
    <t xml:space="preserve">Lê Đình Thu </t>
  </si>
  <si>
    <t>12/072/2025 dạ tốt ạ</t>
  </si>
  <si>
    <t>16/07/2025 vì em học cùng Diễm ss thì ổn rồi</t>
  </si>
  <si>
    <t>Lê Hải Định - kaiwa 1 ( 10/06/2025 ) - 001</t>
  </si>
  <si>
    <t>01/08/2025 @Phòng Đào Tạo Edura Gv Chuyên Môn hiện tại thì chưa ạ
GV nhiệt tình</t>
  </si>
  <si>
    <t>THỜI GIAN</t>
  </si>
  <si>
    <t>Trần Trọng Đạt</t>
  </si>
  <si>
    <t>Công việc</t>
  </si>
  <si>
    <t>Kết quả cần đạt</t>
  </si>
  <si>
    <t>Lưu ý</t>
  </si>
  <si>
    <t>14/07/2025 dạ thầy nhiệt tình ạ
tụi em mới học nên cũng chưa quen
chuẩn bị bài kỹ thì ổn ạ
e nói sai hoặc ko hiểu đoạn nào thầy đều giải thích rõ</t>
  </si>
  <si>
    <t>SÁNG</t>
  </si>
  <si>
    <t>30/07/2025 tuyết với ss cũng chỉ cách e học với e nhớ trong lúc học nữa nên cũng cải thiện dần</t>
  </si>
  <si>
    <t>23/10/2025 đợi ph</t>
  </si>
  <si>
    <t>Trần Minh Tiến</t>
  </si>
  <si>
    <t>8:30 - 8:45</t>
  </si>
  <si>
    <t>Kiểm tra nhận ký ca tối</t>
  </si>
  <si>
    <t>Năm tình hình lớp, vấn đề phát sinh
Note ưu tiên xử lý để không bị miss
Nếu CTV ca tối xử lý thiếu thì báo các bạn điều chỉnh</t>
  </si>
  <si>
    <t>19/07/2025 dạ không ạ
em cần hỏi phần bài tập mình làm ở đâu thế ạ</t>
  </si>
  <si>
    <t>8:45 - 9:30</t>
  </si>
  <si>
    <t>30/07/2025 dạ rồi ạ, học tốt ạ</t>
  </si>
  <si>
    <t>Kiểm tra tin nhắn Zalo và Line</t>
  </si>
  <si>
    <t>100% HV được phản hồi kịp thời 
- Tiếp nhận trong 15p
- Căn cứ vào vấn đề thì phản hồi xử lý trong vòng ngày T hoặc T+1 
- Các trường hợp khó xin ý kiến trainner luôn</t>
  </si>
  <si>
    <t xml:space="preserve">- Nếu không có mảng nghiệp vụ đó của ngày T thì chuyển nghiệp vụ tiếp theo.
</t>
  </si>
  <si>
    <t>Lê Thị Cẩm Ly</t>
  </si>
  <si>
    <t>9:30 - 10:00</t>
  </si>
  <si>
    <t xml:space="preserve">Tiếp nhận học viên mới ( nếu có)
</t>
  </si>
  <si>
    <t>HV mới được tiếp nhận tạo nhóm trong 24h bàn giao</t>
  </si>
  <si>
    <t>Bàn Tôn Pu - kaiwa 2 ( 09/06/2025 ) - 001
Bàn Tôn Pu - kaiwa 3 ( 30/06/2025 ) - 001</t>
  </si>
  <si>
    <t>10:00 - 11:00</t>
  </si>
  <si>
    <t>1. Khai giảng:Hoàn thành chuẩn bị khai giảng cho lớp sắp KG
2.Chăm sóc: Check tình hình chăm sóc buổi 1</t>
  </si>
  <si>
    <t>1. Các HV khai giảng buổi 1 trong vòng 7 ngày tối đa sau khi tiếp nhận
2. Đảm bảo các học viên học buổi 1-3 ở trạng thái học tốt hoặc ở trạng thái hoàn thành, tích cực, tạm ổn.</t>
  </si>
  <si>
    <t>11:00- 11:30</t>
  </si>
  <si>
    <t>1. Chăm sóc: Các HV theo lịch chăm sóc (sau buổi 1)</t>
  </si>
  <si>
    <t xml:space="preserve">17/07/2025 Dạ hôm nay e mới đi làm về nên không có thơi gian trả lời ạ . Dạ e vẫn thấy cô thắng dạy tốt ạ
</t>
  </si>
  <si>
    <t>30/07/2025 học ổn ạ</t>
  </si>
  <si>
    <t>11:30 - 12:00</t>
  </si>
  <si>
    <t>1. Chuẩn bị cho các lớp chưa khai giảng 
2. Tìm học liệu thêm cho Học viên/ GV</t>
  </si>
  <si>
    <t>Trịnh Thị Nhung</t>
  </si>
  <si>
    <t>CHIỀU</t>
  </si>
  <si>
    <t>13:30 - 14:00</t>
  </si>
  <si>
    <t>- Chăm sóc:Trả lời tin nhắn zalo/line</t>
  </si>
  <si>
    <t>Cập nhật và xử lý nhanh các yêu cầu, phản hồi HV trong ngày T
Tiếp nhận thông tin trong 15p " SS đã nhận thông tin rồi nhé"</t>
  </si>
  <si>
    <t>22/07/2025 Nói chung là em vs bạn mới học buổi đầu thì chưa quen lắm, cách phát âm cũng hơi khác so vs bên ngoài mà em nghe nên chưa quen lắm ạ
Hơn nữa là mạng hơi kém nên đôi lúc k nghe rõ lắm</t>
  </si>
  <si>
    <t>30/07/2035 Em quen zùi ạ
Em cảm ơn ss
Em sử dụng thành thạo zui</t>
  </si>
  <si>
    <t>14:00 - 14:30</t>
  </si>
  <si>
    <t>25/09/2025 đợi ph</t>
  </si>
  <si>
    <t>- Khai giảng:Check Sales tiếp nhận HV mới → mở lớp, add khóa video (nếu có), kết bạn Zalo, tạo nhóm, tạo BCHT</t>
  </si>
  <si>
    <t>Đảm bảo quy trình mở lớp hoàn chỉnh, HV được thêm vào hệ thống đúng hạn.</t>
  </si>
  <si>
    <t>thanhnn</t>
  </si>
  <si>
    <t>Nguyễn Thu Thủy - kaiwa 2 ( 11/06/2025 ) - 001</t>
  </si>
  <si>
    <t>14:30 - 15:00</t>
  </si>
  <si>
    <t>Nguyễn Anh Tuấn</t>
  </si>
  <si>
    <t xml:space="preserve">- Chăm sóc: Lọc HV chăm sóc theo các buổi 1,3,5,10... </t>
  </si>
  <si>
    <t>Chăm sóc định kỳ, theo dõi tiến độ học, động viên và duy trì tương tác đầy đủ tạo nền tảng tái tục
Các vấn đề phát sinh cần báo cho giáo viên để điều chỉnh cho phù hợp 
Tìm hiểu vấn đề các HV ko làm BT/ nghỉ 2 buổi liên tiếp</t>
  </si>
  <si>
    <t>70% HV học tốt do giáo viên nên cần phối hợp nhiều với GV để GV dạy học viên</t>
  </si>
  <si>
    <t>15:00 - 15:15</t>
  </si>
  <si>
    <t>Lấy Record lớp nhóm, lớp 1:1 ( nếu cần)</t>
  </si>
  <si>
    <t>Để học viên có thể coi lại video và ôn tập kiến thức đã học</t>
  </si>
  <si>
    <t>15:15 - 16:30</t>
  </si>
  <si>
    <t>Xem record GV =&gt; nhận xét tổng quan
Rà soát chất lượng – đề xuất cải tiến GV</t>
  </si>
  <si>
    <t>Đánh giá phong cách giảng dạy, tích cách, sự phù hợp giữa GV và HV.
→ Ghi note lưu ý cho việc sắp lớp sau.
Dựa trên note đã có, tổng hợp xem GV nào có phản hồi tốt / chưa tốt 
→ Đề xuất training hoặc hỗ trợ (ví dụ: cách tương tác, tốc độ giảng, từ vựng dùng sai, v.v.)</t>
  </si>
  <si>
    <t>21/07/2025 dạ con nắm được cách chuẩn bị bài rồi a</t>
  </si>
  <si>
    <t>16:30- 17:30</t>
  </si>
  <si>
    <t>Hook tái tục</t>
  </si>
  <si>
    <t>- Lọc danh sách HV còn khoảng 10 buổi/ upsale, crosssale đối với HV học tốt
- Soạn nội dung nhắc / offer ưu đãi tái tục
- Nhắn vòng 1, follow-up vòng 2 (ngày T+1)
- Ghi kết quả vào sheet “Tái tục”
- Mỗi ngày cần hook tối thiểu 2 HV tái tục ( với các CVHT chính thức )
Vì 2* 24* 10% thì tối thiểu mới ra 5 HV ( doanh thu trung bình 25-30tr)
Còn tùy từng CVHT sẽ có ARPU/ L8 tái tục cao hơn =&gt; tăng thu nhập, phát triển</t>
  </si>
  <si>
    <t xml:space="preserve">Bùi Nhựt Tân </t>
  </si>
  <si>
    <t>17:30 - 18:00</t>
  </si>
  <si>
    <t>Rep tin nhắn cuối ngày / Bàn giao ca tối</t>
  </si>
  <si>
    <t>Tổng hợp tiến độ xử lý trong ngày, note các vấn đề tồn để ca tối tiếp nhận.</t>
  </si>
  <si>
    <t>Nguyễn Thị Tuyết Nhung - kaiwa 3 ( 13/06/2025 ) - 001</t>
  </si>
  <si>
    <t>17/07/2025 Dạ tạm ổn ạ, kiểu e chưa quen vs phần スピーチ nên là còn hơi chậm ạ</t>
  </si>
  <si>
    <t>30/07/2025 @Chika Sensei hiện tại em đang quen dần dần ạ
Cô thắng nhiệt tình lắm</t>
  </si>
  <si>
    <t>15/08/2025 @Chika Sensei em cảm giác có thể nghe và nói hơn được hơn 1 xíu rồi ạ</t>
  </si>
  <si>
    <t>Nguyễn Thị Thu Hoài</t>
  </si>
  <si>
    <t>17/07/2025 Dạ, sênsei
@Chika Sensei hôm bữa học đều tốt hết ạ</t>
  </si>
  <si>
    <t>25/07/2025 @Chika Sensei dạ r ạ.</t>
  </si>
  <si>
    <t>Nguyễn Thị Hồng Ngọc</t>
  </si>
  <si>
    <t>Huỳnh Trần Hoàng Kha - kaiwa 2 ( 11/06/2025 ) - 001</t>
  </si>
  <si>
    <t>- Tháng 12 học viên học 1b vì sức khỏe k cho phép dừng lại 3 tuần để nghỉ ngơi tĩnh dưỡng
- Tháng 1 đã quay trở lại học</t>
  </si>
  <si>
    <t>17/07/2025 kaiwa 3 khó nên đổi sang kaiwa 2</t>
  </si>
  <si>
    <t>25/07/2025 Dạ phù hợp hơn ạ, em nghĩ từng chút một sẽ cải thiện được ạ</t>
  </si>
  <si>
    <t>29/07/2025 Đã quen với cách học ạ,mong muốn sắp tới em mong muốn cải thiện hơn kĩ năng phản xạ, ứng biến tình huống nhanh hơn,e nghĩ cần nhiều thời gian để em cải thiện ạ, thời gian sắp tới mong các cô hỗ trợ em ạ</t>
  </si>
  <si>
    <t>19/09/2025 Dạ e đang cố gắng áp dụng vào công việc để giao tiếp ạ,e nghĩ kaiwa giỏi cần có nhiều thời gian và rèn luyện ạ,e sẽ cố gắng từng chút một để cải thiện ạ.</t>
  </si>
  <si>
    <t>Đào Công Tuấn</t>
  </si>
  <si>
    <t>18/07/2025 @Chika Sensei dạ khó khăn là em phản xạ còn yếu thôi ss em sẽ cố gắng luyện thêm và chuẩn bị bài tốt sau vài hôm học nếu có khó khăn gì em báo ạ</t>
  </si>
  <si>
    <t>25/07/2025 À em đã đại khái nắm được rồi ạ</t>
  </si>
  <si>
    <t>Hồ Thị Kim Ngân - kaiwa 3 ( 11/06/2025 ) - 001</t>
  </si>
  <si>
    <t>Nguyễn Thị Ngọc Trâm</t>
  </si>
  <si>
    <t>30/07/2025 Kiểu như học kaiwa thì sẽ thiên về pháp âm ,luyện nói đúng không ạ , nhưng trong buổi học ngoại trừ phần giới thiệu mở đầu là mn tự gt thôi và sau thì chỉ đi đc phần từ vựng và phần ngữ pháp thôi ấy ạ.e thấy khá giống như các trung tâm dạy tiếng chứ k hẳn là kaiwa ạ
Nhưng mà e sẽ cố gắng</t>
  </si>
  <si>
    <t>Bùi Thị Lương</t>
  </si>
  <si>
    <t>08h30</t>
  </si>
  <si>
    <t>Đinh Thị Khánh Linh - kaiwa 4 ( 11/06/2025 ) - 001</t>
  </si>
  <si>
    <t>06/08/2025 đợi ph</t>
  </si>
  <si>
    <t>Vũ Thị Ngọc</t>
  </si>
  <si>
    <t>19/07/2025 Dạ BH e chx cần hộ trợ j đâu ạ ( khi nào cần hỗ trợ e sẽ ns vs SS ạ ) e cảm ơn ạ</t>
  </si>
  <si>
    <t>25/07/2025 Dạ e dần dần quen r ạ</t>
  </si>
  <si>
    <t>21/08/2025 dạ ổn ạ</t>
  </si>
  <si>
    <t>02/10/2025 Dạ có thay đổi so vs trc khi hok ạ . Trong quá trình hok thì e bt thêm đc nhiều tự vựng ms . Ngữ pháp và cách chia từ đc SS hướng dẫn và lấy VD lm mk dễ hiểu hơn ạ</t>
  </si>
  <si>
    <t>Bùi Thị Tươi</t>
  </si>
  <si>
    <t>18h35</t>
  </si>
  <si>
    <t>Trần Thị Lan Anh - kaiwa 2 ( (13/06/2025 ) - 001</t>
  </si>
  <si>
    <t>4/6 đang học để thi kaigo</t>
  </si>
  <si>
    <t>24/07/2025 @Chika Sensei e k ạ
gv nhiệt tình a</t>
  </si>
  <si>
    <t>Nông Thị Hải Yến</t>
  </si>
  <si>
    <t>đợi ph</t>
  </si>
  <si>
    <t>21/07/2025 Dạ tốt ss ạ nhưng tại vì internet của em nó hơi yếu nên mất xíu thời gian ạ</t>
  </si>
  <si>
    <t>28/07/2025 Dạ em quen rồi ss ạ</t>
  </si>
  <si>
    <t>14/08/2025 Dạ tốt ạ
Dạ có ss ạ dễ hiểu nữa ạ</t>
  </si>
  <si>
    <t>19/09/2025 Dạ e quen rồi ạ
Dạ e áp dụng được một chút rồi ạ</t>
  </si>
  <si>
    <t>Nguyễn Thị Cám</t>
  </si>
  <si>
    <t>Hà Tuấn Ánh - kaiwa 2 ( 13/06/2025 ) - 001</t>
  </si>
  <si>
    <t>21/07/2025 ko ạ tại bữa  đàu e chưa quen cách học nên là học thêm thời gian nữa là được ạ. có gì ko hỉu e sẽ hỏi lại</t>
  </si>
  <si>
    <t>30/07/2025 e cũng dần quen cách học rồi ạ
phần ngữ pháp e cũng còn quên nhiều chắc phải thêm thời  ôn lại nữa là được ạ</t>
  </si>
  <si>
    <t xml:space="preserve">Hồ Yến Nhi </t>
  </si>
  <si>
    <t>22/07/2025 09:43 Ho Yen Nhi dạ buổi học ổn ạ
Ueno SS có vẻ hiểu tiếng việt nên những trường hợp khó có thể trao đổi tiếng việt 
09:43 Ho Yen Nhi ban đầu nghe giọng ss em cứ tưởng người vn 
10:19 Ho Yen Nhi dạ em bất ngờ
vì em nói nhanh cô vẫn hiểu ạ
10:19 Ho Yen Nhi em cảm ơn ss đã hỗ trợ</t>
  </si>
  <si>
    <t>30/07/2025 dạ em quen rồi ạ</t>
  </si>
  <si>
    <t>02/10/2025 đợi ph</t>
  </si>
  <si>
    <t xml:space="preserve">Trương Thị Thùy Trang </t>
  </si>
  <si>
    <t>19/07/2025 Dạ không sao, do em cũng chưa chuẩn bị kỹ nữa
Có nhiều thứ em muốn nói nhưng lại quên tiếng nhật nên nói lung tung
Dạ, để em học thêm nhiều từ vựng và tập nói nhiều</t>
  </si>
  <si>
    <t>25/07/2025 Dạ em cũng thành thạo hơn tí rồi ạ, mà mình học xong buổi nào thì mới làm bài tập về nhà buổi đó phải không ạ. Mà buổi học hôm qua ss có nói gì không ạ.</t>
  </si>
  <si>
    <t>02/10/2025 Dạ em cảm thấy mình yêu thích tiếng nhật nhiều hơn. Nghe cũng tốt hơn nhưng có vẻ do em chưa cố gắng nói nhiều nên phản xạ còn yếu. Mà em rất biết ơn sensei Hiro đã luôn giúp đỡ và lắng nghe em nói</t>
  </si>
  <si>
    <t xml:space="preserve">Dương Thuận Ý </t>
  </si>
  <si>
    <r>
      <rPr>
        <rFont val="arial"/>
        <color rgb="FFFF0000"/>
      </rPr>
      <t>11h00</t>
    </r>
    <r>
      <rPr>
        <rFont val="arial"/>
        <color theme="1"/>
      </rPr>
      <t xml:space="preserve">
18h00</t>
    </r>
  </si>
  <si>
    <t>thamtt</t>
  </si>
  <si>
    <t>Phạm Quốc Lĩnh - kaiwa 1 ( 17/06/2025 ) - 001</t>
  </si>
  <si>
    <t>22/07/2025 Hôm qua ss vạo bài 1 luôn ạ, buổi sau luyện pv</t>
  </si>
  <si>
    <t xml:space="preserve">Trương Quỳnh Hương </t>
  </si>
  <si>
    <t xml:space="preserve">Nguyễn Văn Toàn </t>
  </si>
  <si>
    <t>2025-06-20
2025-10-06</t>
  </si>
  <si>
    <t>thoatt/giangdth</t>
  </si>
  <si>
    <t>Nguyễn Trần Anh Thư - kaiwa 1 ( 16/06/2025 ) - 001</t>
  </si>
  <si>
    <t>Lê Thị Phượng</t>
  </si>
  <si>
    <t>20/08/2025 đợi ph</t>
  </si>
  <si>
    <t>Nguyễn Lê Hồng Anh</t>
  </si>
  <si>
    <t>Dương Thị Giang - kaiwa 2 ( 16/06/2025 ) - 001</t>
  </si>
  <si>
    <t>31/07/2025 Do e vào trễ nên k nói chuyện đc nhiều th sei. Ngoài ra mọi thứ vẫn ổn</t>
  </si>
  <si>
    <t>Trần Hoàng Trinh</t>
  </si>
  <si>
    <t>22/07/2025 đợi ph</t>
  </si>
  <si>
    <t>30/07/2025 dạ e cũng đang thích nghi ạ 
mà dạo này e tăng ca về trễ quá 
nên cũng chưanr bị bài ko kịp ạ</t>
  </si>
  <si>
    <t>Nguyễn Quang Trung</t>
  </si>
  <si>
    <t>K145017 - 001</t>
  </si>
  <si>
    <t>24/07/2025 dạ k có vấn đề gì đâu ạ</t>
  </si>
  <si>
    <t>Nguyễn Ngọc Tuyết Nhi</t>
  </si>
  <si>
    <t>26/07/2025 Cô nói chuyện dễ tiếp thu ạ</t>
  </si>
  <si>
    <t>13h30</t>
  </si>
  <si>
    <t>26/8/2026 Dạ cũng quen rồi ạ</t>
  </si>
  <si>
    <t>Đoàn Thị Ngọc Bích - kaiwa 3 ( 16/06/2025 ) - 001</t>
  </si>
  <si>
    <t>9/9/2026: Dạ em thấy ổn ạ tăng tính tự học theo chủ đề kaiwa thực tế chuẩn bị bài trước cũng như vốn từ để học cùng ss thì khá ổn ạ</t>
  </si>
  <si>
    <t>Nguyễn Thảo Nhi</t>
  </si>
  <si>
    <t>25/07/2025 Dạ ko ạ em thấy tốt ạ</t>
  </si>
  <si>
    <t xml:space="preserve">Đinh Thị My </t>
  </si>
  <si>
    <t>Lưu Thanh Thùy - kaiwa 3 ( 16/06/2025) - 001</t>
  </si>
  <si>
    <t>01/08/2025 Sin lỗi ss e ko để  ý tin nhắn ạ 
Dạ buổi đầu hới bỡ ngỡ nhưng ss  đã hướng dẫn   cách học nên e cũng nắm đc ạ</t>
  </si>
  <si>
    <t>Dương Ngọc Hân</t>
  </si>
  <si>
    <t>25/07/2025 Dạ giáo viên dạy rất nhiệt tình ss ạ ☺️</t>
  </si>
  <si>
    <t>30/07/2025 Dạ em đã rõ hết rồi ạ, nếu có gì không hiểu em sẽ hỏi lại ạ.</t>
  </si>
  <si>
    <t>Nguyễn Thị Luyến - kaiwa 1 ( 16/06/2025) - 001
Nguyễn Thị Luyến - prekaiwa 2 ( 20/06/2025 ) - 001</t>
  </si>
  <si>
    <t>25/07/2025 Ko có vấn đề j ạ</t>
  </si>
  <si>
    <t>Nguyễn Văn Khang</t>
  </si>
  <si>
    <t>09/08/2025 @Chika Sensei dạ học được</t>
  </si>
  <si>
    <t>GV367</t>
  </si>
  <si>
    <t>Nguyễn Thành Vinh - kaiwa 1 ( 17/06/2025 ) - 001</t>
  </si>
  <si>
    <t>Tô Văn Luân</t>
  </si>
  <si>
    <t>26/07/2025 rất nhiệt tình ạ</t>
  </si>
  <si>
    <t>Trần Khánh Lâm</t>
  </si>
  <si>
    <t>28/07/2025 Dạ không có gì</t>
  </si>
  <si>
    <t>21/08/2025 Dạ hiện tại thì vẫn đang ổn ạ</t>
  </si>
  <si>
    <t>26/07/2025 @Phòng Đào Tạo Edura Gv Chuyên Môn cũng chưa có vấn đề gì ss ạ.
:))) vâng ss thì nhiệt tình. Quan trọng là đầu óc học viên có tiếp thu được không thôi ss. :))</t>
  </si>
  <si>
    <t>21/08/2025 Vâng e cũng ổn ạ.</t>
  </si>
  <si>
    <t>Nguyễn Đức Thuần</t>
  </si>
  <si>
    <t>17h00
21h00</t>
  </si>
  <si>
    <t>Trần Tuấn Việt - kaiwa 4 ( 16/06/2025 ) - 001
Trần Tuấn Việt - kaiwa 5 ( 17/06/2025 ) - 001</t>
  </si>
  <si>
    <t>28/07/2025 không có gì đâu ạ</t>
  </si>
  <si>
    <t>26/07/2025 ss ơi, em muốn học kiểu để tăng phản xạ, tăng giao tiếp và nghe hiểu người nhật nói
Và trong quá trình học thì em nói sai ở đâu thì giáo viên sửa giải thích chỗ đó
Chứ học thế nào thấy sách vơe quá, và chuẩn bị bài xong, lên lớp giáo viên cứ bảo đọc theo, và rập khuôn vậy</t>
  </si>
  <si>
    <t>Ngô Thị Chiên - kaiwa 2 ( 16/06/2025 ) - 001</t>
  </si>
  <si>
    <t>09/08/2025 Dạ, buổi đầu khá nhanh, vì em chưa xem bài trx, nhưng may cũng bắt kịp được, 
Để em học thêm ít buổi nữa rồi có gì khó khăn em sẽ nhắn ạ.
Còn giáo trình của giáo viên em thấy khá phù hợp rồi ạ.</t>
  </si>
  <si>
    <t>21/08/2025 Hiện tại thì giáo trình ổn ah
Nhưng thời gian kaiwa phản xạ còn ít, nếu có thể tăng thời lượng để nói chuyện phản xạ thì tốt ạ
nửa tiếng chỉ đủ học giáo trình thôi</t>
  </si>
  <si>
    <t>Trần Lê Nguyễn Thuý Ngọc</t>
  </si>
  <si>
    <t>05/08/2025 Nay đang đi làm ạ
Để chiều về học k hiểu gì e nói ạ</t>
  </si>
  <si>
    <t>21/08/2025 Ss Quyên dạy rất ok ạ
Nên e k thấy khó khăn gì</t>
  </si>
  <si>
    <t>Hồ Diện</t>
  </si>
  <si>
    <t>Nguyễn Lê Bích Quyên - kaiwa 5 ( 17/06/2025 ) - 001</t>
  </si>
  <si>
    <t>04/08/2025 Dạ hôm đâu mới học cũng thấy run Ss ạ</t>
  </si>
  <si>
    <t>21/08/2025 Phần nghe với dịch em ko biết gì luôn ạ
Phát âm  nữa em áp lực quá</t>
  </si>
  <si>
    <t xml:space="preserve">NGUYỄN VĂN TIỆP </t>
  </si>
  <si>
    <t>29/07/2025 Dạ trước mắt thì em thấy cũng ổn ạ ! Cảm ơn SS nhiều ạ</t>
  </si>
  <si>
    <t>21/08/2025 Dạ cũng cải thiện được một ít rồi ạ</t>
  </si>
  <si>
    <t>Lê Ngọc Ánh</t>
  </si>
  <si>
    <t>Phan Thành Long - kaiwa 1 ( 17/06/2025 ) - 001</t>
  </si>
  <si>
    <t>29/07/2025 Dạ k ạ chỉ khi mới vô bị gặp trục trặc về micaro thôi ạ</t>
  </si>
  <si>
    <t>21/08/2025 Dạ Ss My dạy e rất tốt ạ dễ hiểu ạ</t>
  </si>
  <si>
    <t>10/12/2025 E thấy mik đã nói đc nhiều hơn nhưng nhiều khi vẫn còn ns sai ngữ pháp 
E còn kém phần nghe ạ</t>
  </si>
  <si>
    <t>Phan Thanh Hạ</t>
  </si>
  <si>
    <t xml:space="preserve">26/07/2025 dạ e sensei dạy ok ạ </t>
  </si>
  <si>
    <t>21/08/2025 dạ thầy dạy nhiệt tình lắm ạ.
thầy đg dạy cho e phần chuyên về kaigo công việc e đang làm á,</t>
  </si>
  <si>
    <t>16/102/2025 dạ e thấy ổn hơn trc ạ
dạ có ạ, thầy dậy cho e đa số là kaiwa trong kaigo công việc e đg lm ạ</t>
  </si>
  <si>
    <t xml:space="preserve">Lê Tiến Cường </t>
  </si>
  <si>
    <t>Lê Trần Cát Lâm - kaiwa 3 ( 18/06/2025 ) - 001</t>
  </si>
  <si>
    <t>31/07/2025 Qua học đường truyền không được ổn định nên tương tác giữa em và ss có độ trễ ạ</t>
  </si>
  <si>
    <t>Trương Như Linh</t>
  </si>
  <si>
    <t>30/07/2025 Dạ e thấy ổn ai
Ạ</t>
  </si>
  <si>
    <t>Bá Thị Thanh Bình</t>
  </si>
  <si>
    <t>31/07/2025 Ok roii ah</t>
  </si>
  <si>
    <t>Trần Quốc Đông</t>
  </si>
  <si>
    <t>30/07/2025 Dạ không vấn đề gì ạ,</t>
  </si>
  <si>
    <t>19/09/2025 @Chika Sensei E cx quen dần r ạ</t>
  </si>
  <si>
    <t>14/10/2025 đợi ph</t>
  </si>
  <si>
    <t>16/10/2025 đơi ph</t>
  </si>
  <si>
    <t>Phan Thị Thảo</t>
  </si>
  <si>
    <t>Tienbtt</t>
  </si>
  <si>
    <t>GV433</t>
  </si>
  <si>
    <t>07/08/2025 Buổi đầu cũng tạm ổn ạ</t>
  </si>
  <si>
    <t>K245014 - 001</t>
  </si>
  <si>
    <t>Nguyễn Thành Tài</t>
  </si>
  <si>
    <t>04/08/2025 @Phòng Đào Tạo Edura Gv Chuyên Môn vẫn bt ạ. Tuy nhiên chưa có giải thích rõ hơn về mặt ngữ pháp và vận dụng từ vựng</t>
  </si>
  <si>
    <t>21/08/2025 @Chika Sensei e cũng quen dần r ak</t>
  </si>
  <si>
    <t>Võ Thành Phước</t>
  </si>
  <si>
    <t>04/08/2025 @Phòng Đào Tạo Edura Gv Chuyên Môn da học ok ạ. Htai chưa gặ kho khăn j</t>
  </si>
  <si>
    <t>21/08/2025 dạ k sao ạ</t>
  </si>
  <si>
    <t>14/11/2025 đợi ph</t>
  </si>
  <si>
    <t>LÊ VĂN ANH ĐỨC</t>
  </si>
  <si>
    <t>04/08/2025 Dạ, không sao đâu ạ</t>
  </si>
  <si>
    <t>18/08/2025 Ah không sao đâu ạ</t>
  </si>
  <si>
    <t>19/09/2025 Dạo này ok ạ</t>
  </si>
  <si>
    <t>Ngô Việt Hoàng</t>
  </si>
  <si>
    <t>K245015 - 001</t>
  </si>
  <si>
    <t>01/08/2025 Tạm thời không ạ</t>
  </si>
  <si>
    <t>21/08/2025 皆さん　こんにちは
Em cũng quen với phương pháp học rồi ạ. Mà e thấy 30p hơi ít cho mỗi bài học ấy. Nếu thêm một chút thời gian nữa thì tốt ạ</t>
  </si>
  <si>
    <t>21/08/2025 học ok ạ</t>
  </si>
  <si>
    <t>09/08/2025 dạ tốt a</t>
  </si>
  <si>
    <t>21/08/2025 Dạ rồi ạ</t>
  </si>
  <si>
    <t>12/6 dạo này không vào học</t>
  </si>
  <si>
    <t>Ngô Duy Lợi - Kaiwa 1 (20/06/2025) - 001</t>
  </si>
  <si>
    <t xml:space="preserve">Nguyễn Thị Ly </t>
  </si>
  <si>
    <t>30/07/2025 10:08 Ly Dạ buổi đầu e thấy vậy là dc ạ
10:09 Ly Buổi sau nếu có gì thiếu hay phát sinh gì thì lúc đấy e xin phép ss hỗ trợ ạ</t>
  </si>
  <si>
    <t>Đặng Văn Thái</t>
  </si>
  <si>
    <t>19/08/2025 Thầy dạy nhiệt tình. Hiện tại e thấy chưa có vấn đề gì ạ</t>
  </si>
  <si>
    <t>16/10/2025 E thấy mình siêng bắt chuyện với người nhật hơn. Lúc giao tiếp cũng đỡ bị khựng hơn trước, có cải thiện hơn so với trước khi tham gia khoá học ạ</t>
  </si>
  <si>
    <t>Vâng. Thầy dạy nhiệt tình lắm ạ</t>
  </si>
  <si>
    <t>14/11/2025 E cảm thấy cải thiện nhiều phần phản xạ, giao tiếp cũng trôi chảy hơn. Riêng phần nội dung, cần nói gì để triển khai câu chuyện thì chắc là vấn đề k phải nằm ở tiếng nhật nên là ... 😅. Cảm ơn các ss thời gian qua đã giúp đỡ ạ. お世話になりすましてありがとうございました。</t>
  </si>
  <si>
    <t xml:space="preserve">TRẦN NGỌC HẢI </t>
  </si>
  <si>
    <t>dunglp</t>
  </si>
  <si>
    <t>GV190</t>
  </si>
  <si>
    <t>Phạm Văn Hoàng - kaiwa 3 NHKS ( 21/06/2025 ) - 001</t>
  </si>
  <si>
    <t>06/08/2025 Dạ không ạ em ít  kaiwa buổi đầu em hơi rối tí ạ ,nhưng  em nghĩ dần dần sẽ ổn ạ</t>
  </si>
  <si>
    <t>17/09/2025 Dạ cũng đỡ hơn rồi sense HK còn ngại nói Sài nữa HK nói được nhiều nhưng cũng ổn hơn</t>
  </si>
  <si>
    <t>21/10/2025 Em cũng không biết như thế nào nữa em vẫn chưa cảm thấy tự tin nói chắc là vốn từ và ngữ pháp em HK có ạ,,, nhưng so với trước đây thì ổn hơn rồi ạ</t>
  </si>
  <si>
    <t>Nguyễn Bảo Trân</t>
  </si>
  <si>
    <t>31/07/2025 dạ cũng oki ấy chị</t>
  </si>
  <si>
    <t xml:space="preserve">dạ tốt lắm ạ, </t>
  </si>
  <si>
    <t>22/10/2025 dạ em cảm thấy ok hơn tự tin hơn tí ạ</t>
  </si>
  <si>
    <t>Lương Cao Sơn</t>
  </si>
  <si>
    <t xml:space="preserve">23/08/2025 Dạ em thấy học được ạ </t>
  </si>
  <si>
    <t xml:space="preserve">Bùi Thị Mỹ Hương </t>
  </si>
  <si>
    <t>04/08/2025 dạ rất ổn ạ. mạng yếu vì bão nên em vs SS nch với nhau có hơi khó khăn xíu ạ.</t>
  </si>
  <si>
    <t>07/11/2025 ô My dạy e dễ học dô hơn nên nếu đc em cũng mong là em đc cô My dạy lại.</t>
  </si>
  <si>
    <t xml:space="preserve">02/06/2026 Dạ em học vẫn ổn ạ. </t>
  </si>
  <si>
    <t xml:space="preserve">Phạm Văn Nam </t>
  </si>
  <si>
    <t>05/08/2025 dạ ổn ạ
GV nhiệt tình</t>
  </si>
  <si>
    <t>Lê Đức Hoàng - kaiwa 2 ( 21/06/2025 ) - 001</t>
  </si>
  <si>
    <t>08/08/2025 em chào trung tâm, 
sau buổi học đầu với ss Ngân thì e cảm nhận bản thân chưa phù hợp với phong cách dạy của ss (vì ss chuyên biên phiên dịch nên đối với e hơi khó để theo kịp). Về nội dung bài giảng của trung tâm thì e thấy khá sát sườn với trình độ của e rồi. Em có nguyện vọng đổi GV Việt Nam hỗ trợ e trong 14 buổi đầu còn lại. Ko biết trung tâm có hỗ trợ được ko ạ?</t>
  </si>
  <si>
    <t>118/08/2025 Hằng ss giảng dễ hiểu lắm ạ. e ko có khó khăn gì</t>
  </si>
  <si>
    <t>27/11/2025 dạ ok ạ
nhờ tt sếp lịch buổi học ngày mai lên sớm 30p, bắt đầu từ 3h thì có đc ko ạ?</t>
  </si>
  <si>
    <t>14/11/2025em cảm nhận là mức độ nghe hiểu tăng lên đc khoảng 30%, nhưng nói thì chưa có gì thay đổi lắm. em có thể phản hồi cơ bản nhưng để nói đc ý của bản thân thành 1 câu dài thì chưa được ạ</t>
  </si>
  <si>
    <t>Nguyễn Đình Nam</t>
  </si>
  <si>
    <t xml:space="preserve">Trần Thị Thảo Vân </t>
  </si>
  <si>
    <t>18/08/2025 dạ không có vấn đề gì ạ học cũng ổn lắm ạ</t>
  </si>
  <si>
    <t>15/10/2025 ui em thấy ss hương dạy ổn lắm chỉnh sửa xong gợi ý để em thêm ý kaiwa
em thấy siêu ok lun á ss</t>
  </si>
  <si>
    <t xml:space="preserve">Nguyễn Văn Tuấn </t>
  </si>
  <si>
    <t>2025-06-27
2026-06-08</t>
  </si>
  <si>
    <t>13/08/2025 hôm qua e học tốt ạ, my ss dạy dễ hiểu ạ
nhưng d thấy 30 phút ngắn quá ạ, kiểu vừa vào lớp loay hoay chút hết giờ luôn ạ</t>
  </si>
  <si>
    <t>11/02/2206 đợi ph</t>
  </si>
  <si>
    <t>chiaki/kojima</t>
  </si>
  <si>
    <t>GV171</t>
  </si>
  <si>
    <t>Hoàng Thị Ngọc Huyền</t>
  </si>
  <si>
    <t>Nguyễn Đức Tài - kaiwa 4 NHKS ( 23/06/2025 ) - 001</t>
  </si>
  <si>
    <t>05/08/2025 @Chika Sensei Dạ buổi học diễn ra suôn sẻ và không có vấn đề gì ạ</t>
  </si>
  <si>
    <t>09/08/2025 Dạ em hiện đã quen với phương pháp học rồi ạ</t>
  </si>
  <si>
    <t>21/08/2025 @Chika Sensei hehe, có chạy chạy một chút nhưng vẫn không vấn đề gì ss ạ^^</t>
  </si>
  <si>
    <t>09/12/2025 đợi ph</t>
  </si>
  <si>
    <t xml:space="preserve">ÔN BẢO THÀNH DANH </t>
  </si>
  <si>
    <t>14/08/2025 Dạ em học thấy ổn ạ</t>
  </si>
  <si>
    <t>22/08/2025 Dạ vâng, e quen rùi ạ. Mấy bài đầu này cũng còn đang dễ nên e chưa gặp khó khăn gì ạ</t>
  </si>
  <si>
    <t>19/09/2025 dạ ổn ạ</t>
  </si>
  <si>
    <t>08/08/2025 Do là buổi học đầu tiên nên chưa quen và có vài từ vựng em chưa hiểu nghĩa ss ơi</t>
  </si>
  <si>
    <t>Cơ bản em đã năm được rồi ạ, nếu có gì không hiểu em sẽ hỏi lại ss nha</t>
  </si>
  <si>
    <t>19/01/2026 Hiện tại thì k có vấn đề gì ss, chỉ là lúc này về VN chơi nên thời gian hơi bị xáo trộn xíu. E học với Nguyên ss vẫn tốt ss</t>
  </si>
  <si>
    <t>Phan Thị Thúy Phượng</t>
  </si>
  <si>
    <t>đã bảo lưu ngày 13/4/2026 nhắn lại sắp xếp lịch học thì HV kêu k tiếp tục dk nữa nên dừng khóa</t>
  </si>
  <si>
    <t>Đoàn Thị Yến Nhi</t>
  </si>
  <si>
    <t>09/08/2025 Mới học buổi đầu nên thấy ss dạy có hơi nhanh ạ</t>
  </si>
  <si>
    <t>21/08/2025 @Chika Sensei dạ. Hiện tại vẫn ổn ạ</t>
  </si>
  <si>
    <t>13/10/2025 @Chika Sensei vẫn đang học bth k có vấn đề gì ạ</t>
  </si>
  <si>
    <t>Mai Thị Kiều Trinh</t>
  </si>
  <si>
    <t>13/08/2025 Dạ ss hỗ trợ e rất nhiệt tình ạ</t>
  </si>
  <si>
    <t>21/08/2025 Dạ em đã quen r ạ</t>
  </si>
  <si>
    <t xml:space="preserve">Vương Thị Như Quỳnh </t>
  </si>
  <si>
    <t xml:space="preserve">tài khoản bị khoá </t>
  </si>
  <si>
    <t>04/08/2025 Mọi thứ đều ổn ạ</t>
  </si>
  <si>
    <t>21/08/2025 Dạ e đã quen rồi ạ</t>
  </si>
  <si>
    <t>dạ học tốt lắm ạ</t>
  </si>
  <si>
    <t>Vẫn tốt ạ</t>
  </si>
  <si>
    <t xml:space="preserve">Hán Hoàng Sơn </t>
  </si>
  <si>
    <t>29/08/2025 Tốc độ hơi nhanh cô ạ</t>
  </si>
  <si>
    <t>Vang e biết oy ạ</t>
  </si>
  <si>
    <t>Trương Thị Tuyết Nhung</t>
  </si>
  <si>
    <t>21/08/2025 Dạ bình thường ạ. Khó khăn lớn nhất là đi làm về e hơi buồn ngủ vs mệt thôi ạ.</t>
  </si>
  <si>
    <t>Nguyễn Đức Minh</t>
  </si>
  <si>
    <t>07/08/2025 Buổi trc ss huy có bảo là tt sẽ cho bài rồi bọn e ghi âm lại rồi gửi cho tt ạ
E cx kbt là btvn ở chỗ nào ạ</t>
  </si>
  <si>
    <t>Hà Thị Nguyệt</t>
  </si>
  <si>
    <t>GV38</t>
  </si>
  <si>
    <t>Chi An - kaiwa 4 ( 20/06/2025 ) - 001</t>
  </si>
  <si>
    <t>14/08/2025 dạ ổn ạ</t>
  </si>
  <si>
    <t>Nguyễn Thị Thanh Thiên</t>
  </si>
  <si>
    <t>07/08/2025 Dạ ko ạ , rất dễ hiểu ạ 
Chỉ là máy em nó bị gì í cái bài nghe em nghe được một đoạn là nó bị out ra í ạ</t>
  </si>
  <si>
    <t>Từ Mỹ Hoa</t>
  </si>
  <si>
    <t>07/08/2025 dạ tốt ạ</t>
  </si>
  <si>
    <t>15/08/2025 dạ quen rồi a</t>
  </si>
  <si>
    <r>
      <rPr>
        <rFont val="arial"/>
        <color theme="1"/>
      </rPr>
      <t xml:space="preserve">08h00
</t>
    </r>
    <r>
      <rPr>
        <rFont val="arial"/>
        <color rgb="FFFF0000"/>
      </rPr>
      <t>19h00</t>
    </r>
  </si>
  <si>
    <t>Nguyễn Thị Thanh Tâm</t>
  </si>
  <si>
    <t>thamttt</t>
  </si>
  <si>
    <t>Phạm Viết Lợi - kaiwa 3 ( 23/06/2025 ) - 001</t>
  </si>
  <si>
    <t>13/08/2025 @Chika Sensei mới đầu em chưa quen thôi ạ
Còn Lan Ss dạy ổn ạ</t>
  </si>
  <si>
    <t>NGUYỄN BÁ HOÀNG THÁI</t>
  </si>
  <si>
    <t>19/08/2025 đợi ph</t>
  </si>
  <si>
    <t>Đoàn Thị Hương</t>
  </si>
  <si>
    <t>Đinh Kiều Tú Oanh</t>
  </si>
  <si>
    <r>
      <rPr>
        <rFont val="arial"/>
        <color rgb="FFFF0000"/>
      </rPr>
      <t>13h00</t>
    </r>
    <r>
      <rPr>
        <rFont val="arial"/>
        <color theme="1"/>
      </rPr>
      <t xml:space="preserve">
19h30</t>
    </r>
  </si>
  <si>
    <t>giangdth</t>
  </si>
  <si>
    <t>Đỗ Văn Tiến - kaiwa 3 ( 23/06/2025 ) - 001</t>
  </si>
  <si>
    <t>09/08/2025 Dạ em thấy cũng ổn ạ cô dạy với tốc độ vừa phải với cũng dễ hiểu nữa ạ</t>
  </si>
  <si>
    <t>22/08/2025 Dạ đúng rồi Sensei ạ cô sửa phát âm với giúp hoàn chỉnh câu em chưa tốt nữa ạ</t>
  </si>
  <si>
    <t>22/10/2025 Dạ để em tự ôn rồi nếu em hông hiểu sẽ nhờ Sensei nhé</t>
  </si>
  <si>
    <t>Nguyễn Đình Tới</t>
  </si>
  <si>
    <t>đợi ph 5/6</t>
  </si>
  <si>
    <t>12/08/2025 Em cảm ơn ss huy nhé hôm nay đã nhiệt tình giảng dạy cho em ạ</t>
  </si>
  <si>
    <t>11/12/2025 Dạ học ss huyền có thêm kiến thức mới đó ạ
Không vấn đề gì ss nhe</t>
  </si>
  <si>
    <t>Nguyễn Thị Ngọc Huyền</t>
  </si>
  <si>
    <t>09/08/2025 Dạ ngày đầu tiên e ko gặp vấn đề gì hết ạ. Buổi học diễn ra suôn sẻ ạ</t>
  </si>
  <si>
    <t>16/10/2025 Dạ. Sau một thời gian đồng hành với bên mình thì e thấy e học được rất nhiều luôn ạ. Trước e chưa tìm được cách học nào phù hợp với em, nhưng e thấy giáo án bên mình rất phù hợp với e ạ. E học dễ vào hơn ạ. Trước e cũng sợ học ngữ pháp lắm. Nhưng bây giờ e lại thích học ngữ pháp nhất 🤭🤭</t>
  </si>
  <si>
    <t>Hồ Thị Lương</t>
  </si>
  <si>
    <t>Ngô Thị Thanh - kaiwa 1 ( 23/06/2025 ) - 001</t>
  </si>
  <si>
    <t>12/08/2025 dạ em muốn học GV nữ</t>
  </si>
  <si>
    <t>20/08/2025 VG ạ</t>
  </si>
  <si>
    <t>Nguyễn Văn Hưng</t>
  </si>
  <si>
    <t>14/08/2025 Dạ trước mắt chưa có gì nha sensei</t>
  </si>
  <si>
    <t xml:space="preserve">Đào Thị Yên </t>
  </si>
  <si>
    <t>12/08/2025 Dạ! Em có đc ss chỉ cho cách trả lời nhưng nó hơi dài nên chắc em phải cố gắng để học thuộc thôi</t>
  </si>
  <si>
    <t xml:space="preserve">21/08/2025 Dạ!! Ss hiền có giải thích cho e rồi. Mỗi tội e chưa có tg để lm ạ
</t>
  </si>
  <si>
    <t>Nguyễn Thị Thanh Trang</t>
  </si>
  <si>
    <t>15h00
19h00</t>
  </si>
  <si>
    <t>Lê Thị Hoàng Mỹ - kaiwa 2 ( 24/06/2025 ) - 001</t>
  </si>
  <si>
    <t>Quách Đỗ Vân Nhi</t>
  </si>
  <si>
    <t>13/08/2025 Dạ hôm nay em học với ss tốt với vui ạ. Dạ nhưng em cũng mong ss nói bằng tiếng Nhật với em nhiều hơn ấy ạ. Chắc lúc giảng em nghĩ ss muốn giảng bằng tiếng Việt cho em hiểu rõ ấy ạ nhưng em mong ss giảng bằng tiếng Nhật do phần nghe của em khá yếu ấy ạ. Rồi đoạn nào nghe chưa hiểu thì em sẽ nhờ ss giảng bằng tiếng Việt  ạ. Với nếu đoạn nào em nói tiếng Nhật chưa rành mạch hết câu em cũng mong ss chỉnh lại liền luôn ạ
Ngoài điều đó thì ss giảng cho em rõ với dễ hiểu và còn nói cho em biết thêm nhiều điều lắm ạ😁</t>
  </si>
  <si>
    <t xml:space="preserve">Huỳnh Thị Kim Sen </t>
  </si>
  <si>
    <t>học viên học ổn, chăm chỉ 
15/9/2026: bệnh tụ máu não, ... nên xin bảo lưu</t>
  </si>
  <si>
    <t>27/08/2025 Dạ OK lắm ạ
Dạ nhiệt tình ạ</t>
  </si>
  <si>
    <t>Dạ vâng ok ạ</t>
  </si>
  <si>
    <t xml:space="preserve">03/06/2026 Dạ
Có 1 chút thôi ạ ( do bận k chuẩn bị bài được) </t>
  </si>
  <si>
    <t>Nguyễn Văn Phước</t>
  </si>
  <si>
    <t>10h00</t>
  </si>
  <si>
    <t>joji
miyata</t>
  </si>
  <si>
    <t>GV102</t>
  </si>
  <si>
    <t>Kiều Minh Hà - kaiwa 5 IT ( 23/06/2025 ) - 001</t>
  </si>
  <si>
    <t>14/08/2025 @Chika Sensei cảm ơn ss buổi học tốt ạ</t>
  </si>
  <si>
    <t>NGUYỄN VĂN CHUNG</t>
  </si>
  <si>
    <t>15/08/2025 Nói chung là mới buổi đầu thì bài khá dễ vs ss cũng nhiệt tình sửa lỗi sai,hiện tại e thấy cũng ổn ạ</t>
  </si>
  <si>
    <t>27/08/2025 E cũng quen rồi ạ</t>
  </si>
  <si>
    <t>02/10/2025 Vâng,ss nhiệt tình lắm ạ
Có ạ,bây h cũng tự tin nói chuyện hơn rồi ạ</t>
  </si>
  <si>
    <t>30/10/2025 Ss ơi,nay vừa kiểm tra cuối khoá xong ạ
Mặc dù không trôi chảy lắm nhưng so vs trước thì e cảm thấy tự tin hơn nhiều rồi ạ,e cảm ơn các ss đã chỉ dạy nhiệt tình ạ</t>
  </si>
  <si>
    <t>Nguyễn Thị Thùy Dương</t>
  </si>
  <si>
    <t>23/08/2025  chắc do đường truyền không ổn định hay sao mà nghe tiếng giáo viên nói rất nhỏ ạ</t>
  </si>
  <si>
    <t>Trần Thu Hà</t>
  </si>
  <si>
    <t>Phan Hữu Sang - kaiwa 1 ( 23/06/2025 ) - 001
Phan Hữu Sang - kaiwa 2 ( 22/09/2025 ) - 001
Phan Hữu Sang - kaiwa 3 ( 24/02/2026 ) - 001</t>
  </si>
  <si>
    <t>19/08/2025 Dạ e học đc ạ ss
Ss chỉ e tận tình ạ</t>
  </si>
  <si>
    <t xml:space="preserve">Phan văn Hiệp </t>
  </si>
  <si>
    <t>22/08/2025 Dạ hiện tại thì tốt ạ 
ss Trường vui vẽ và nhiệt tình ạ</t>
  </si>
  <si>
    <t>14/11/2025  sau khoá học thì em đã tự tin nói chuyện với người nhật hơn rồi ạ 
tiếng nhật của em hiện tại thì vẫn chưa thể nói chuyện lưu loát với người nhật được ạ</t>
  </si>
  <si>
    <t>Ngô Thị Lan Hương</t>
  </si>
  <si>
    <t>19/08/2025 Dạ, học ổn ạ, cô dạy dễ hiểu</t>
  </si>
  <si>
    <t>16/10/2025 Dạ, E kaiwa ổn hơn lúc đầu rồi ạ
Cũng tự tin nói chuyện vs cô Quyên hơn
Mặc dù e hay ns sai ngữ pháp</t>
  </si>
  <si>
    <t>14/11/2025 Dạ, giao tiếp của e ổn hơn so với lúc ms vào học hơn r ạ</t>
  </si>
  <si>
    <t xml:space="preserve">Đặng Thị Vân Anh </t>
  </si>
  <si>
    <t>21/08/2025 ss hướng dẫn nhiệt tình</t>
  </si>
  <si>
    <t>19/09/2025 Dạ ko ạ
E quen cách học r ạ
Nhưng ch tự tin lắm</t>
  </si>
  <si>
    <t>31/10/2025 @Chika Sensei e đã thấy quen hơn nhưng chưa tự tin lắm</t>
  </si>
  <si>
    <t>Nguyễn Quốc Dinh</t>
  </si>
  <si>
    <t>25/08/2025 Dạ hôm trước mạng em hơi yếu nên chắc cũng hơi phiền sensei ạ, còn lại em thấy sensei dạy dễ hiểu ạ</t>
  </si>
  <si>
    <t>27/11/2025 đợi ph</t>
  </si>
  <si>
    <t>Ngô Thị Ngọc Oanh</t>
  </si>
  <si>
    <t>08h00</t>
  </si>
  <si>
    <t>ngocttb/hattp</t>
  </si>
  <si>
    <t>Nguyễn Duy Minh - kaiwa 3 ( 24/06/2025 ) - 001</t>
  </si>
  <si>
    <t>20/08/2025 13:53 NGO THI NGOC OANH E đã xem trước bài ở nhà rồi nên em muốn trong giờ học 
13:53 NGO THI NGOC OANH Ss sửa lỗi phát âm giúp e ạ
13:53 NGO THI NGOC OANH E nghĩ bên phần mềm không nghe rõ tiếng em hay sao ấy ạ</t>
  </si>
  <si>
    <t>16/10/2025 Phát âm vẫn chưa trôi chảy được ạ
Dạ chút thôi ạ</t>
  </si>
  <si>
    <t>19/11/2025 dạ đã cải thiện hơn so với trước rồi a, phát âm còn cần luyện thêm</t>
  </si>
  <si>
    <t>NGUYỄN PHƯƠNG MÂY</t>
  </si>
  <si>
    <t>22/08/2025 gặp trục trặc hệ thống nên học được ít=&gt; đã dạy bù</t>
  </si>
  <si>
    <t>23/10/2025 dạ học vẫn ổn a</t>
  </si>
  <si>
    <t>Dương Thị Thủy</t>
  </si>
  <si>
    <t>23/08/2025 Dạ. Tốt ạ</t>
  </si>
  <si>
    <t>27/11/2025 Dạ. E cx khá là quen vs việc kaiwa r ạ
Dạ. Vẫn tốt ạ</t>
  </si>
  <si>
    <t>NGuyễn Mai Thi</t>
  </si>
  <si>
    <t>ninhlt/lamdt</t>
  </si>
  <si>
    <t>Nguyễn Thị Nhung - kaiwa 3 ( 23/06/2025 ) - 001</t>
  </si>
  <si>
    <t>26/08/2025 Dạ em thấy bth tới giờ học thì dạy thôi ạ vs lại em cx ko hỏi gì nhiều hết ạ</t>
  </si>
  <si>
    <t>02/10/2025 Dạ cx tạm tạm ạ</t>
  </si>
  <si>
    <t xml:space="preserve">Võ Thành Thương </t>
  </si>
  <si>
    <t>22/08/2025 Thời gian ngắn đủ để phần chuẩn bị bài trước , rồi lên bài giảng ss hộ trợ chỉnh lại phần chưa đúng với phát âm . Em Thấy hơi nhanh .</t>
  </si>
  <si>
    <t>17/11/2025 đợi ph</t>
  </si>
  <si>
    <t>22/08/2025 dạ trc mắt là em thấy tốt ạ, chưa gặp khó khăn gì.
Thời gian có nửa tiếng học nên hơi nhanh ạ</t>
  </si>
  <si>
    <t>Nguyễn Thị Mai</t>
  </si>
  <si>
    <t>03/10/2025 Dạ , em chào ss , hiện tại mình chưa cần hỗ trợ gì , với sự giảng dạy của ss Vy.  Mình thấy dễ hiểu và tiếp thu bài tốt ak</t>
  </si>
  <si>
    <t>06/11/2025 Sau đó ss Vy đã bảo cho e và buổi học diễn ra bình thuoengf ss ak</t>
  </si>
  <si>
    <t>GV348</t>
  </si>
  <si>
    <t>Nguyễn Thị Phương - prekaiwa 2 ( 25/06/2025 ) - 001</t>
  </si>
  <si>
    <t>Ngô Minh Quân</t>
  </si>
  <si>
    <t>21/08/2025 Vâng. Tốt lắm ss ạ
Chi ss giảng dạy nhiệt tình lắm ss
Chi ss dạy phù hợp với e lắm ss . E có vấn đề gì không hiểu chi ss giảng chi tiết luôn ss</t>
  </si>
  <si>
    <t>Phạm Thị Lê</t>
  </si>
  <si>
    <t>25/08/2025 dạ hôm đầu tiên đã diễn ra rất tốt ss ah, hiện tại em chưa có vấn đề gì phải lo lắng ah, tối em sẽ ghi âm và gửi ss nhé</t>
  </si>
  <si>
    <t>02/10/2025 Em cảm thấy tiếng nhật của mình đã khá hơn trước ạ, em được kaiwa nhiều hơn nên nói chuyện cũng thấy tự tin hơn ạ. em cảm ơn ạ</t>
  </si>
  <si>
    <t>10/11/2025 Dạ em cảm ơn sê nhưng sê không cần giữ chỗ cho em đâu ah, khi nào em sẵn sàng thì em sẽ liên hệ với sê sau ạ. Em cảm ơn sê nhiều</t>
  </si>
  <si>
    <t xml:space="preserve">Nguyễn Thị Thùy Linh </t>
  </si>
  <si>
    <t>25/08/2025 Vì thời gian học rất ngắn nên chỗ nào e sai thì ss sửa giúp e chỗ đó luôn với ạ  , với lại mới hôm đầu học e chưa quen với cách học nên còn hơi bỡ ngỡ , nên có gì k đúng ss chỉ giùm e ạ</t>
  </si>
  <si>
    <t xml:space="preserve">Vũ Văn Dũng </t>
  </si>
  <si>
    <t>21h00</t>
  </si>
  <si>
    <t>hientt/thaodtt</t>
  </si>
  <si>
    <t>Lê Thị Ánh Tuyết - Kaiwa 2 (06/12/2025) - 001
Lê Thị Ánh Tuyết - kaiwa 1 ( 26/06/2025 ) - 001</t>
  </si>
  <si>
    <t>26/08/2025 em thi blx bảo lưu 1 tháng</t>
  </si>
  <si>
    <t xml:space="preserve">Bùi Ngọc Hà </t>
  </si>
  <si>
    <t>26/08/2025 Dạ không ạ
GV nhiệt tình</t>
  </si>
  <si>
    <t xml:space="preserve">Lã Hoài Nam </t>
  </si>
  <si>
    <t>27/08/2025 SS nói hơi nhanh nên e ko phản ứng kịp
Câu hội thoại cũng khá dài nên e ko kịp nhớ</t>
  </si>
  <si>
    <t>14/11/2025 Dạ e cảm thấy đã có thể cải thiện đc phần phát âm và tốc độ nói so với lúc đầu ạ</t>
  </si>
  <si>
    <t>22/12/2025 học ổn a, k có khó khăn</t>
  </si>
  <si>
    <t>16/01/2026 đợi ph</t>
  </si>
  <si>
    <t>Nguyễn Thị Như Quỳnh</t>
  </si>
  <si>
    <t>takeda/matsuo</t>
  </si>
  <si>
    <t>GV402</t>
  </si>
  <si>
    <t>Trần Trường Giang - kaiwa 5 ( 01/07/2025 ) - 001</t>
  </si>
  <si>
    <t>dạ em ổn ạ</t>
  </si>
  <si>
    <t>22/10/2025 Dạ em đã dần quen r ạ
dạ tốt ạ</t>
  </si>
  <si>
    <t xml:space="preserve">14/11/2025 15:53 Nguyễn Thị Như Quỳnh Dạ bây giờ em có thể nói chuyện tương đối rồi ạ 
15:53 Nguyễn Thị Như Quỳnh Vốn từ vựng cũng đã thêm được nhiều lắm ạ </t>
  </si>
  <si>
    <t>Đặng Thị Lương</t>
  </si>
  <si>
    <t>25/08/2025 dạ buổi đầu tiên nên e còn bỡ ngỡ với cách dạy và thời gian dạy 30p (nó ít nên e cảm giác e kaiwa dc ít ạ). Với do đường truyền thiết bị và e chưa chuẩn bị taiphone nên k dc thuận lợi cho phần nghe hội thoại ạ.
Để e học xong buổi 2, 3 quen rồi. lúc đó có gì khó khăn e sẽ trao đổi với ss ạ</t>
  </si>
  <si>
    <t>16/10/2025 @Chika Sensei dạ e thấy mình mạnh dạn nói chuyện với người nhật hơn. nghe tốt hơn trước. nhưng ngữ pháp thì e vẫn phải cố gắng dành thời gian để nhớ, luyện nhiều hơn chứ vẫn chưa nhớ dc nhiều ạ
nhung ss thì dạy rất nhiệt tình, cách truyền đạt kiến thức cho e rất dễ hiểu ạ</t>
  </si>
  <si>
    <t>Tiêu Thị Hoàng Anh</t>
  </si>
  <si>
    <t>27/08/2025 À cũng có ạ, lúc học e thấy gv nói nhanh hơn slide chạy, nói xong lúc sau e mới thấy chuyển đến bài trên màn hình 🤔</t>
  </si>
  <si>
    <t xml:space="preserve">16/10/2025 Cũng tạm rùi ạ </t>
  </si>
  <si>
    <t>21/01/2026 đợi ph</t>
  </si>
  <si>
    <t>minhdt/dungha</t>
  </si>
  <si>
    <t>Nguyễn Thanh Việt - kaiwa 2 ( 25/06/2025 ) - 001</t>
  </si>
  <si>
    <t>29/08/2025 Buổi học đầu tiên e cũng khá hồi hộp và lo lắng. Trong giờ học có bị mất kết nối 2 lần và phải vào lại khá mất tgian không biết do đâu ạ</t>
  </si>
  <si>
    <t>14/11/2025 @Chika Sensei tiếng Nhật hiện tại của e sau khi học xong 16 buổi học cũng đã khá lên một chút ss ạ. E biết cách nói đúng ngữ pháp, mẫu câu dài hơn áp dụng vào thực tế. Nhưng chưa thành thạo lắm còn phải suy nghĩ để chuyển câu từ sang tiếng Nhật- Việt ạ. E sẽ tiếp tục cố gắng luyện nghe nói nhiều hơn nữa mong các ss chỉ dạy e ạ.</t>
  </si>
  <si>
    <t>17/04/2026 Dạ. E xin lỗi giờ mới phản hồi ạ.
2 buổi e học cùng ss Nhung thấy khá thoải mái, chỗ nào phát âm chưa đúng ss chỉnh lại giúp e, ss còn bổ sung thêm ít ngữ pháp nữa ạ. Hiện tại e thấy khá ổn ạ</t>
  </si>
  <si>
    <t>dạ test ổn ạ</t>
  </si>
  <si>
    <t>21/01/2026 Dạ. E xin lỗi giờ mới phản hồi ạ.
2 buổi e học cùng ss Nhung thấy khá thoải mái, chỗ nào phát âm chưa đúng ss chỉnh lại giúp e, ss còn bổ sung thêm ít ngữ pháp nữa ạ. Hiện tại e thấy khá ổn ạ</t>
  </si>
  <si>
    <t>22/05/206 Dạ. Học đến bây giờ cùng cô giáo Nhung e thấy cũng tiến bộ hơn trong cách dùng văn nói tiếng Nhật và ngữ pháp tốt hơn rùi nhưng bản thân chưa có nhiều tgian để luyện tập nên cũng bị hạn chế khi hội thoại tiếng nhật ạ</t>
  </si>
  <si>
    <t>Phan Văn Kiên</t>
  </si>
  <si>
    <t>28/08/2025 Em học ổn không vấn đề gì an</t>
  </si>
  <si>
    <t>16/102/2025 Em xin lỗi trả lời muộn ạ. 
Trong quá trình học thì em thấy phản xạ nói đúng ngữ pháp và nói tự nhiên giống người bản xứ hơn ạ. Cách tư duy khi nói chuyện cung. tốt hơn ạ</t>
  </si>
  <si>
    <t>Lý Thị Hoàng Linh</t>
  </si>
  <si>
    <t>tramht</t>
  </si>
  <si>
    <t>10/09/2025 Da đó gio kanji e chua học nên giờ học nên chưa quen ạ</t>
  </si>
  <si>
    <t>GV326</t>
  </si>
  <si>
    <t>Ngô văn Tuấn - kaiwa 1 ( 25/06/2025 ) - 001</t>
  </si>
  <si>
    <t>Chu Văn Lộc</t>
  </si>
  <si>
    <t>27/08/2025 Dạ em thấy mọi thứ ổn ạ, sensei rất nhiệt tình ạ..</t>
  </si>
  <si>
    <t>28/10/2025 Dạ, do hiện tại cty e đang nhiều việc phải tăng ca nhiều , cảm ơn các sensei đã cùng đồng hành với em trong khoảng thời gian vừa qua, trong khoá học em cũng đã cải thiện khả năng giao tiếp được nhiều rồi ạ, nên từ giờ em sẽ cố gắng học lúc rảnh ạ..</t>
  </si>
  <si>
    <t>Nguyễn Thị Thanh Bình</t>
  </si>
  <si>
    <t>30/08/2025 E chưa quen nên thấy thời gian hơi ngắn nên cũng tiếp thu không được nhiều ấy ạ</t>
  </si>
  <si>
    <t>17/10/2025 E thấy cũng tự tin hơn trước 1 ít ạ</t>
  </si>
  <si>
    <t xml:space="preserve">Cao Thị Minh Thảo </t>
  </si>
  <si>
    <t>03/09/2025 Dạ em nghe Hiền sensei nói là sau mỗi buổi học sẽ có record để mình xem lại. 
Cho em hỏi là mình xem lại record ở đâu ạ</t>
  </si>
  <si>
    <t>16/10/2025 @Chika Sensei Dạ sensei em thấy khả năng kaiwa của em cải thiện hơn trước rồi ạ, về phản xạ, từ vựng có tiến bộ hơn trước ạ</t>
  </si>
  <si>
    <t>Trần Văn Thơm</t>
  </si>
  <si>
    <t>tainh/lannt</t>
  </si>
  <si>
    <t>GV374</t>
  </si>
  <si>
    <t>Nguyễn Thị Nga - kaiwa 1 kaigo ( 21/06/2025 ) - 001</t>
  </si>
  <si>
    <t>10/09/2025 Ổn ss</t>
  </si>
  <si>
    <t>Nguyễn Trần Anh Vũ</t>
  </si>
  <si>
    <t>học trên gg meet</t>
  </si>
  <si>
    <t>Bùi Trọng Thắng</t>
  </si>
  <si>
    <t>03/09/2025 @Chika Sensei dạ,e thì yếu kanji với e chưa chuẩn bị bài kỹ ạh</t>
  </si>
  <si>
    <t>Hoàng Thị Hảo</t>
  </si>
  <si>
    <t>chitnl</t>
  </si>
  <si>
    <t>Tiêu Quốc Vinh - kaiwa 2 ( 25/06/2025 ) - 001</t>
  </si>
  <si>
    <t>05/09/2025 Dạ ko tốt lắm ạ! Ss dạy nhiệt tình nhưng mà từ vựng em quên nhiều í</t>
  </si>
  <si>
    <t>05/09/2025 Nhiệt tình ss</t>
  </si>
  <si>
    <t>02/10/2025 Cũng quen ạ</t>
  </si>
  <si>
    <t>13/102/2025 Dạ không ạ, GV nhiệt tình</t>
  </si>
  <si>
    <t>Tạ Thị Phương Lan</t>
  </si>
  <si>
    <t>30/08/2025  Dạ ổn ạ</t>
  </si>
  <si>
    <t>22/09/2025 Dạ có ạ
Rất tốt luôn ạ
Vui lắm ạ</t>
  </si>
  <si>
    <t>thangnt/giangdth</t>
  </si>
  <si>
    <t>GV388</t>
  </si>
  <si>
    <t>Nguyễn Ngọc Bảo Uyên - kaiwa 1 ( 28/06/2025 ) - 001</t>
  </si>
  <si>
    <t>Trần Quyết Thắng</t>
  </si>
  <si>
    <t>06/09/2025 Vì e k phải làm công xưởng, tiếng nhất phải dùng nhiều, môi trường 100% ng nhật có e là ng duy nhất ng nước ngoài, e muốn diễn giải dc ạ. Chứ hiện tại chỉ giao tiếp thông thường dc thôi ạ</t>
  </si>
  <si>
    <t>28/10/2025 @Chika Sensei khá ổn ạ, đúng mục tiêu e hơn</t>
  </si>
  <si>
    <t>Văn Viết Trung</t>
  </si>
  <si>
    <t>03/09/2025 10:12 Trung Ss trao đổi giùm em. 
10:12 Trung Cũng như việc bổ sung từ vựng theo từng mục của giáo trình</t>
  </si>
  <si>
    <t>12/09/2025 16:34 Trung Đúng là giáo viên em đang cần. Cần người mở vấn đề để tập nói và chỉnh sửa phát âm. Rất tự nhiên 
16:34 Trung Đánh giá buổi học đầu tốt</t>
  </si>
  <si>
    <t>25/09/2025 19:30 Trung Hôm nay tự dưng giáo viên nhật dạy tốt ghê
19:30 Trung Tự dưng ghi điểm lại 
19:30 Trung Tiếp tục theo dõi nhé ss</t>
  </si>
  <si>
    <t>15/12/2025 đơi ph</t>
  </si>
  <si>
    <t>Nguyễn Ngọc Gấm</t>
  </si>
  <si>
    <t>10/09/2025 Dạ buổi đầu em chưa có gì khó khăn ss ạ. E cám ơn ss ạ
Buổi đầu ss Ngọc nhiệt tình ạ</t>
  </si>
  <si>
    <t>25/09/2025 dạ k sao a</t>
  </si>
  <si>
    <t>Lê Quang Anh</t>
  </si>
  <si>
    <t>truongot/nampd</t>
  </si>
  <si>
    <t>08/09/2025 Chắc k có vấn đề gì đâu Á</t>
  </si>
  <si>
    <t>25/09/2025 dạ em ổn ạ</t>
  </si>
  <si>
    <t xml:space="preserve">Liêu Hoàng Nhân </t>
  </si>
  <si>
    <t>08/09/2025 Dạ vâng ss. Có một điều em tâm đắc nhất trong buổi học là có phần ミス trong công việc. Ở đó em được trình bày, được nói ra những khó khăn khi làm việc ở Nhật, giống như phần để trút tâm sự mà những thực tập sinh như em có nhiều bạn chắc cũng chất chứa trong lòng không biết tâm sự cùng ai. Cảm ơn edura, dù chỉ là buổi học đầu tiên ạ.</t>
  </si>
  <si>
    <t>22/10/2025 Em đã dần quen rồi ạ. Lúc trước nhút nhát không nói được, nhưng giờ em cũng cảm thấy tự tin hơn, mặc dù phát âm và phản xạ còn chậm ạ</t>
  </si>
  <si>
    <t>24/12/2025  Tới thời điểm hiện tại, em cảm thấy bản thân đã mạnh dạn giao tiếp bằng tiếng Nhật hơn với đồng nghiệp. Công việc cũng suôn sẻ hơn, ít bị sếp Nhật mắng và ăn hiếp như lúc trước.</t>
  </si>
  <si>
    <t>Phạm Thị Mỹ Hạnh</t>
  </si>
  <si>
    <t xml:space="preserve">Nguyễn Minh Chánh </t>
  </si>
  <si>
    <t xml:space="preserve">Học ổn nhưng hôm 9/1/2026 báo là k phù hợp out nhóm </t>
  </si>
  <si>
    <t>10/09/2025 Dạ bủi đầu còn bỡ ngỡ xí ss, k có khó khăn gì ạ.</t>
  </si>
  <si>
    <t xml:space="preserve">Huỳnh Kim Ngân </t>
  </si>
  <si>
    <t>K245016 - 001</t>
  </si>
  <si>
    <t>08/09/2025 Dạ tốt ss ạ
Ngày đầu e chưa quen nhưng mà ss đã day e tốt lắm ạ</t>
  </si>
  <si>
    <t xml:space="preserve">Hồng Yến </t>
  </si>
  <si>
    <t xml:space="preserve">10/09/2025  mình học xong rồi ạ
</t>
  </si>
  <si>
    <t>19/09/2025 Ssこんばんは
Hiện tại mình đã dần dần thích nghi dc rồi ạ</t>
  </si>
  <si>
    <t>13/10/2025 Ss rất nhiệt tình ạ</t>
  </si>
  <si>
    <t xml:space="preserve">Bùi Cẩm Tú </t>
  </si>
  <si>
    <t>11/09/2025 Dạ không ạ. Nếu có phần nào chưa hiểu thì em sẽ nhắn vào đây nhờ ss hỗ trợ giúp em được không ạ??</t>
  </si>
  <si>
    <t>02/10/2025 Dạ em cũng đã dần quen rồi ạ. Và trình kaiwa cũng tiến bộ hơn trước 1 chút ạ!</t>
  </si>
  <si>
    <t>16/10/2025 Hiện tại thì tiếng của em ổn hơn trước 1 chút rồi tuy nhiên phản xạ và nghe của em vẫn còn chưa tốt nên em sẽ cố gắng luyện tập thêm ạ</t>
  </si>
  <si>
    <t>11/11/2025 Dạ vẫn hỗ trợ em nhiệt tình ạ</t>
  </si>
  <si>
    <t>Tăng Quế Hải</t>
  </si>
  <si>
    <t>08/09/2025 Mọi thứ đều ổn nha ss</t>
  </si>
  <si>
    <t>02/10/2025 Cũng cũng hà sensei 😅
Khá thành thạo rồi nha sensei
Dạ ok nha Sensei</t>
  </si>
  <si>
    <t>Huỳnh Văn Dương</t>
  </si>
  <si>
    <t>Phạm Thị Thanh Thủy - Kaiwa 3 (30/06/2025) - 001</t>
  </si>
  <si>
    <t>17/09/2025 Em ổn ss
Ss cho e hỏi cách làm bài tập</t>
  </si>
  <si>
    <t xml:space="preserve">Lê Minh Quang </t>
  </si>
  <si>
    <t>17/09/2025 @Chika Sensei k ss
Thầy vui vẽ lắm</t>
  </si>
  <si>
    <t>Mai Công Thương</t>
  </si>
  <si>
    <r>
      <rPr>
        <rFont val="arial"/>
        <color theme="1"/>
      </rPr>
      <t xml:space="preserve">13h30
</t>
    </r>
    <r>
      <rPr>
        <rFont val="arial"/>
        <color rgb="FFFF0000"/>
      </rPr>
      <t>19h00</t>
    </r>
  </si>
  <si>
    <t>quyentn/giangdth</t>
  </si>
  <si>
    <t>Nguyễn Minh Toàn - kaiwa 2 ( 02/07/2025 ) - 001</t>
  </si>
  <si>
    <t>08/09/2025 dạ rất tốt ạ</t>
  </si>
  <si>
    <t>19/09/2025 Em cũng quen quen r ạ , nhưng chưa nói dc nhiều ạ</t>
  </si>
  <si>
    <t>16/10/2025 Em thấy tốt hơn trước ạ</t>
  </si>
  <si>
    <t>09/09/2025 dạ em thấy ổn ss ạ , có gì khó khăn em báo ss ạ</t>
  </si>
  <si>
    <t>19/09/2025 先生、こんにちは
E quen rồi ss ạ</t>
  </si>
  <si>
    <t>25/03/2026 e thấy ổn ss ạ</t>
  </si>
  <si>
    <t>Phùng Thị Sự</t>
  </si>
  <si>
    <t>ngocttb</t>
  </si>
  <si>
    <t>Nguyễn Thị Thùy Linh - kaiwa 2 ( 02/07/2025 ) - 001
Nguyễn Thị Thùy Linh - kaiwa 3 ( 06/08/2025 ) - 001</t>
  </si>
  <si>
    <t>10/09/2025 Tại em cũng kém nên ngày đầu cũng chưa nắm bắt đc ạ
Ss quyên cũng nhiệt tình lắm rồi ạ</t>
  </si>
  <si>
    <t>16/10/2025 Ss こんにちは
Em vẫn kém lắm ss ạ
Chưa nói đc</t>
  </si>
  <si>
    <t>Nguyễn Thị Hồng Phúc</t>
  </si>
  <si>
    <t>11/09/2025 Dạ không ạ ss
Ss dạy nhiệt tình dễ hiểu điều em vẫn chưa theo kịp tiến độ của trung tâm lắm</t>
  </si>
  <si>
    <t>Đỗ Thị Thu Thủy</t>
  </si>
  <si>
    <t>10h45</t>
  </si>
  <si>
    <t>joji/sinhnt</t>
  </si>
  <si>
    <t>Vũ Đức Đạt - Kaiwa 3 (02/07/2025) - 001
Vũ Đức Đạt - kaiwa 4 ( 29/09/2025 ) - 001</t>
  </si>
  <si>
    <t>11/09/2025 Hôm qua buổi đầu cũng thuận lợi ạ
Hiện tại thì e chưa có gì thắc mắc ạ.</t>
  </si>
  <si>
    <t>16/10/2025 Dạ ss こんにちわ
Hiện tại e thấy mình nhỉnh hơn một chút thôi ạ
Phản xạ khi giao tiếp với người Nhật cũng khá hơn chút thôi ạ</t>
  </si>
  <si>
    <t>26/10/2025 Ss ơi. Dạo này e giao tiếp với tiếng nhật e thấy tốt hơn trước 1chút. E nói được câu dài hơn. Nhưng nghe hiểu kém quá ss. Nhiều lúc mình nói chuyện xong người Nhật nói lại thì k nghe rõ nói gì. Phải hỏi lại nhiều lần</t>
  </si>
  <si>
    <t>Hà Thị Viên</t>
  </si>
  <si>
    <t>quyentn/sinhnt</t>
  </si>
  <si>
    <t>Đỗ Xuân Hương - Kaiwa 2 (08/11/2025) - 001
Đỗ Xuân Hương - Kaiwa 1 (02/07/2025) - 001</t>
  </si>
  <si>
    <t>10/09/2025 buổi sau em rút kinh nghiệm chuẩn bị bài kĩ  hơn</t>
  </si>
  <si>
    <t>16/10/2025 dạ cũng ổn hơn r a</t>
  </si>
  <si>
    <t>11/09/2025 dạ vâng em học tốt ạ
dạ hông có vấn đề gì ạ
dạ khi nào có vấn đề em sẽ báo sensei ạ</t>
  </si>
  <si>
    <t>22/10/2025 dạ vâng em cảm thấy tiếng nhật của em tốt hơn trước 1 chút rồi ạ</t>
  </si>
  <si>
    <t xml:space="preserve">Nguyễn Mỹ Linh </t>
  </si>
  <si>
    <t>12/09/2025 Dạ không ss ạ</t>
  </si>
  <si>
    <t>16/10/2025 Vâng, lúc đầu thì em cũng thấy khó khăn trong việc sử dụng ngữ pháp với lại cách phát âm nhưng mà đến thời điểm hiện tại thì đôi khi cũng còn sai xót nhưng cũng đỡ hơn trước nhiều ạ  ,e có thể hiểu được và nói những câu giao tiếp cơ bản ạ.</t>
  </si>
  <si>
    <t>Trần Thị Trà</t>
  </si>
  <si>
    <t>Hà Thị Minh Hợp - kaiwa 3 NHKS ( 04/07/2025 ) - 001</t>
  </si>
  <si>
    <t>11/09/2025 @Chika Sensei hiện tại nội dung đối với e cũng bình thường ạ</t>
  </si>
  <si>
    <t>02/10/2025 @Chika Sensei dạ e cảm thấy rất mong chờ khi có tiết học cô giáo dạy rất dễ thương luôn cổ vũ làm e tự tin hơn về phát âm của bản thân</t>
  </si>
  <si>
    <t>28/10/2025 @Chika Sensei dạ e cảm thấy học với cô vui vẻ e cũng thích trò chuyện với cô</t>
  </si>
  <si>
    <t>Hồ Văn Thông</t>
  </si>
  <si>
    <t>GV339</t>
  </si>
  <si>
    <t>Trương Tấn Đạt - kaiwa 3 ( 04/07/2025 ) - 001</t>
  </si>
  <si>
    <t>10/09/2025 Đỡ rồi ạ nhưng mà hết giờ nên k học được thêm gì ạ</t>
  </si>
  <si>
    <t>16/10/2025 Có cải thiện hơn trước chút ạ nhưng mà em vẫn chưa phản xạ nhanh về cách sử dụng ngữ pháp mới được ạ</t>
  </si>
  <si>
    <t>Trần Hữu Lâm</t>
  </si>
  <si>
    <t>Vũ Thu Uyên - kaiwa 4 ( 04/07/2025 ) - 001</t>
  </si>
  <si>
    <t>11/09/2025 Dạ ok ạ</t>
  </si>
  <si>
    <t>Nguyễn Thị Dung</t>
  </si>
  <si>
    <t>12/09/2025 Mới bài đầu em thấy hơi lạ chưa quen lắm để buổi thứ 2 rồi em phản hồi lại sau ạ</t>
  </si>
  <si>
    <t>Đỗ Thị Thùy Linh</t>
  </si>
  <si>
    <t>Bùi Thị Thương - kaiwa 2 ( 04/07/2025 ) - 001</t>
  </si>
  <si>
    <t>17/09/2025 @Phòng Đào Tạo Edura Gv Chuyên Môn tại trình độ của e kém quá nên e học chậm ak . Chứ ss dạy ok lắm</t>
  </si>
  <si>
    <t xml:space="preserve">Huỳnh Ngọc Kim Ngân </t>
  </si>
  <si>
    <t xml:space="preserve">18/09/2025  cô dạy nhiệt tình , cô sửa phát âm với ngữ pháp ngay lúc nói luôn ạ. Tốc độ này đối với em cũng ổn ạ.
</t>
  </si>
  <si>
    <t>22/10/2025 @Chika Sensei Dạ em chưa nói được nhiều ạ</t>
  </si>
  <si>
    <t>Nguyễn Văn Toàn</t>
  </si>
  <si>
    <t>Trần Văn Nhật - kaiwa 1 ( 05/07/2025 ) - 001</t>
  </si>
  <si>
    <t>11/09/2025 @Chika Sensei dạ vâng e ở phòng riêng nhưng k cách âm nên nó bị ồn</t>
  </si>
  <si>
    <t xml:space="preserve">16/10/2025 Dạ e cx quen quen hơn r ạ </t>
  </si>
  <si>
    <t>15/11/2025 Dạ e cx quen hơn lúc mới r ạ</t>
  </si>
  <si>
    <t>11/12/2025 Dạ h e cx tự tin kaiwa hơn 1 tý nhưng có lẽ là do thiếu từ vựng vs kém ngữ pháp nên còn ngập ngừng ấp úng ạ
Vs phần nghe e vẫn còn tệ ạ</t>
  </si>
  <si>
    <t>Bùi Thị Ngọc Anh</t>
  </si>
  <si>
    <t>15/09/2025 Dạ vâng ạ 
E muoons nắm chắc kiến thức thì mới kaiwa dk ấy ạ</t>
  </si>
  <si>
    <t xml:space="preserve"> Lại Vũ Nhật Hạ</t>
  </si>
  <si>
    <t>Định Văn Phong - kaiwa 2 ( 07/07/2025 ) - 001</t>
  </si>
  <si>
    <t xml:space="preserve">20/09/2025 Sau buổi học e giao bài luôn giúp chị nha
Là hôm sau học thjf phải cb trc ạ
</t>
  </si>
  <si>
    <t>Nguyễn Thị Lê</t>
  </si>
  <si>
    <t>12/09/2025 ちょっと大変だけど、今から一生懸命がんばります😊😊</t>
  </si>
  <si>
    <r>
      <rPr>
        <rFont val="arial"/>
        <color theme="1"/>
      </rPr>
      <t xml:space="preserve">15h30
</t>
    </r>
    <r>
      <rPr>
        <rFont val="arial"/>
        <color rgb="FFFF0000"/>
      </rPr>
      <t xml:space="preserve">18h30
</t>
    </r>
    <r>
      <rPr>
        <rFont val="arial"/>
        <color theme="1"/>
      </rPr>
      <t>16h30(7)</t>
    </r>
  </si>
  <si>
    <t>Nguyễn Thị Như - kaiwa 2 ( 10/07/2025 ) - 001</t>
  </si>
  <si>
    <t>17/09/2025 Quyên Ss vui vẻ, hỗ trợ em nhiệt tình nhé Ss</t>
  </si>
  <si>
    <t>Nguyễn Hồng Phương Nguyên</t>
  </si>
  <si>
    <t>17/09/2025 dạ phù hợp ạ ko có vấn đề gì hết ạ</t>
  </si>
  <si>
    <t>28/11/2025 đợi ph</t>
  </si>
  <si>
    <t>2025-08-06
2026-07-29</t>
  </si>
  <si>
    <t>Lê Hồng Phúc</t>
  </si>
  <si>
    <t>trangnth/ quyentn</t>
  </si>
  <si>
    <t>Hà Trầm Xuân - kaiwa 1 ( 10/07/2025 ) - 001</t>
  </si>
  <si>
    <t>24/09/2025 Dạ . Thời gian hơi ít ss ạ
Em muốn thêm thời gian lên có được k ss</t>
  </si>
  <si>
    <r>
      <rPr>
        <rFont val="Arial"/>
        <color rgb="FF1155CC"/>
        <u/>
      </rPr>
      <t>Huỳnh Văn Đức</t>
    </r>
    <r>
      <rPr>
        <rFont val="Arial"/>
      </rPr>
      <t xml:space="preserve"> </t>
    </r>
  </si>
  <si>
    <t>17/09/2025 Tốt ạ</t>
  </si>
  <si>
    <t>Nguyễn Thị Thủy</t>
  </si>
  <si>
    <t>thangnt</t>
  </si>
  <si>
    <t>Trần Thị Hoài Hạ - kaiwa 1 ( 10/07/2025 ) - 001</t>
  </si>
  <si>
    <t>18/09/2025 
Dạ ổn ạ ss. Buổi đầu thì e thấy kịp với tiến độ của em
Ss hỗ trợ nhiệt tình lm ạ</t>
  </si>
  <si>
    <t xml:space="preserve">Nguyễn Thị Sương Em </t>
  </si>
  <si>
    <t>18/09/2025 dạ k ạ, học tốt ạ</t>
  </si>
  <si>
    <t xml:space="preserve">29/10/2025 Ok hơn se học ổn r </t>
  </si>
  <si>
    <t>13/11/2025 Dạ ok hơn chút rồi a
Nhờ se Ngọc em kai wa nhiều hơn
Học từ vựng cấu trúc rồi áp dụng cấu trúc và dạy cách sử dụng thực tế</t>
  </si>
  <si>
    <t>Nguyễn Thị Huỳnh Như</t>
  </si>
  <si>
    <t>hiepth/ngocnt</t>
  </si>
  <si>
    <t>GV106</t>
  </si>
  <si>
    <t>K3600011 - 001</t>
  </si>
  <si>
    <t>20/09/2025 học tốt a</t>
  </si>
  <si>
    <t>18/03/2026 Dạ không sao đâu ạ , nếu không có vấn đề gì thì tốt quá ạ còn nếu có gì sai SS cứ nhắn tin chỉ bảo em sẽ sửa ạ ^^</t>
  </si>
  <si>
    <t xml:space="preserve">Trần Văn Quý  </t>
  </si>
  <si>
    <t>20/09/2025 k vấn đề a</t>
  </si>
  <si>
    <t xml:space="preserve">Hà Văn Lợi </t>
  </si>
  <si>
    <t>GV385</t>
  </si>
  <si>
    <t>Phạm Thị Duyên - kaiwa 2 kaigo ( 09/07/2025 ) - 001</t>
  </si>
  <si>
    <t>24/09/2025 Dạ tốt ạ
Ss ơi gửi thêm cho e vd kaiwa vs ạ</t>
  </si>
  <si>
    <t xml:space="preserve">Trần Văn Đạt </t>
  </si>
  <si>
    <t>12h00</t>
  </si>
  <si>
    <t>5/6 khó giao tiếp trong cv</t>
  </si>
  <si>
    <t>23/09/2025 phần bài tập về nhà ở mục này có đúng k chị?</t>
  </si>
  <si>
    <t>16/10/2025 @Chika Sensei vẫn đều sensei ạ. Đường truyền hơi lag xíu thui. K biết do mạng của em hay do nền tảng học trữ tuyến nữa
Trực tuyến</t>
  </si>
  <si>
    <t>Thạch Bình Long - kaiwa 2 ( 09/07/2025 ) - 001
Thạch Bình Long - kaiwa 3 ( 20/08/2025) - 001</t>
  </si>
  <si>
    <t>Đinh Hồng Quân</t>
  </si>
  <si>
    <t>24/09/2025 học buổi đầu vẫn đang ổn ạ, chỉ là thời gian học hơi ngắn thôi ss</t>
  </si>
  <si>
    <t>16/10/2025 em chưa, kaiwa khó quá ss ơi, kiểu nói câu dài em chưa nói thành thạo được á</t>
  </si>
  <si>
    <t>Nguyễn Minh Khang</t>
  </si>
  <si>
    <t>Phan Văn Cường - kaiwa 2 ( 09/07/2025 ) - 001
Phan Văn Cường - kaiwa 1 ( 12/07/2025 ) - 001</t>
  </si>
  <si>
    <t>25/09/2025 Dạ không ss ơi</t>
  </si>
  <si>
    <t xml:space="preserve">Trần Anh Tuấn </t>
  </si>
  <si>
    <t>25/09/2025 dạ tốt ss ạ</t>
  </si>
  <si>
    <t xml:space="preserve">Nguyễn Lương Quỳnh </t>
  </si>
  <si>
    <t>24/09/2025 K có vấn đề gì
Ok ạ</t>
  </si>
  <si>
    <t>16/10/2025 @Chika Sensei hiện tại e đã quen với cách học này và chưa gặp khó khăn gì ạ. Ss nhiệt tình</t>
  </si>
  <si>
    <t xml:space="preserve">05/12/2025 Cảm ơn ss và mọi người đã support e trong suốt thời gian học qua. Chúc mọi người có nhiều sức khoẻ và nhiều niềm vui trong cuộc sống </t>
  </si>
  <si>
    <t xml:space="preserve">Trần Văn Minh </t>
  </si>
  <si>
    <t>24/09/2025 dạ k ạ</t>
  </si>
  <si>
    <t>16/10/2025 đợi ph</t>
  </si>
  <si>
    <t xml:space="preserve">Nguyễn Diệu Linh </t>
  </si>
  <si>
    <t>Nguyễn Thị Thắm - Kaiwa 2 (09/07/2025) - 001</t>
  </si>
  <si>
    <t>24/09/2025 @Chika Sensei  Buổi học đầu tiên khá suôn sẻ, ss Uyên dạy với tốc độ phù hợp với khả năng tiếp thu bài ạ</t>
  </si>
  <si>
    <t>16/10/2025 với những cấu trúc thường dùng hàng ngày thì e có thể kaiwa được. Em nghĩ em còn đang gặp vấn đề khi dùng tôn kính- khiêm nhường ngữ</t>
  </si>
  <si>
    <t>20/10/2025 @Chika Sensei Ss Ueno giảng bài dễ hiểu , ss còn có thể nói được tiếng việt rất rõ nữa ạ.</t>
  </si>
  <si>
    <t>29/10/2025 @Chika Sensei Ss Ueno giảng bài dễ hiểu , ss còn có thể nói được tiếng việt rất rõ nữa ạ.</t>
  </si>
  <si>
    <t>21/11/2025 @Chika Sensei @Phòng Đào Tạo Edura Gv Chuyên Môn Em cảm ơn các ss đã hỗ trợ nhiệt tình trong suốt khoá học.</t>
  </si>
  <si>
    <t>Nguyễn Thị Huế</t>
  </si>
  <si>
    <t>24/09/2025 @Chika Sensei dạ rất tốt ạ. Ss xinh lắm ạ</t>
  </si>
  <si>
    <t>17/11/2025 Dạ có ạ</t>
  </si>
  <si>
    <t>12/12/2025 đợi ph</t>
  </si>
  <si>
    <t>Lê Thị Trúc Linh</t>
  </si>
  <si>
    <t>Phan Công Trường - kaiwa 2 ( 11/07/2025 ) - 001</t>
  </si>
  <si>
    <t>24/09/2025 Dạ tốt</t>
  </si>
  <si>
    <t>16/10/2025 Cũng dần quen rồi ạ</t>
  </si>
  <si>
    <t>29/10/2025 đợi ph</t>
  </si>
  <si>
    <t>28/11/2025 Vâng em học xong rồi ạ
cô nhiệt tình học tốt ạ</t>
  </si>
  <si>
    <t xml:space="preserve">Nguyễn Duy Anh </t>
  </si>
  <si>
    <t>20/09/2025 Hiện tại là chưa có vấn đề gì ạ</t>
  </si>
  <si>
    <t>28/11/2025 @Chika Sensei em thấy mình cần phải cải thiện và học thêm nhiều ạ, cảm ơn sensei đã đồng hành cùng bọn e trong suốt thời gian qua ạ. Trong thời gian học e đã học thêm được nhiều kiến thức ạ, em cảm ơn mọi người ạ</t>
  </si>
  <si>
    <t>Lê Thị Ngọc Huyền</t>
  </si>
  <si>
    <t>K345006 - 001</t>
  </si>
  <si>
    <t>24/09/2025 Dạ ổn ạ. Buổi đầu mạng hơi lỗi 1 chút thôi ạ</t>
  </si>
  <si>
    <t>1/10/2025 Dạ e quen rồi ạ
Em làm được hết r ạ</t>
  </si>
  <si>
    <t>01/11/2025 Dạ
@Chika Sensei tốt lắm ạ</t>
  </si>
  <si>
    <t xml:space="preserve">Đặng Thị Huệ </t>
  </si>
  <si>
    <t>26/09/2025 18:14 Đặng Thị Huệ Giờ em muốn học sang lớp của ss người Nhật được không ạ
19:30 Edura.CVHT01 cảm ơn em đã chia sẻ mong muốn nhé ^^ Tuy nhiên ss cũng nói thêm để em nắm rõ: khóa em đăng ký hiện tại là lớp với GV Việt, nên học phí tính theo mức đó. Nếu em muốn đổi sang lớp GV Nhật thì sẽ áp dụng theo mức học phí của GV Nhật (cao hơn). Em cân nhắc giúp ss nha, nếu mình thật sự muốn học với GV Nhật thì ss sẽ hỗ trợ làm thủ tục đổi cho em liền
19:47 Đặng Thị Huệ Em không đổi lớp nữa ạ</t>
  </si>
  <si>
    <t>11/11/2025 Em thấy thời gian học hơi ngắn  nên e chưa kaiwa đc nhiều và e chưa biết cách mở rộng chủ đề hội thoại</t>
  </si>
  <si>
    <t xml:space="preserve">Nguyễn Truyết Côn </t>
  </si>
  <si>
    <t>24/09/2025 @Chika Sensei dạ ss Thắm nói hơi nhanh ạ ss</t>
  </si>
  <si>
    <t>4/11/2025 Tiếng Nhật của em ở thời điểm hiện tại thì cũng ổn hơn trước đây ạ</t>
  </si>
  <si>
    <t>12/12/2025 dạ tốt ss</t>
  </si>
  <si>
    <t>Phạm Thanh Bình</t>
  </si>
  <si>
    <t>5/6 đang ôn thi kaigo</t>
  </si>
  <si>
    <t>29/09/2025 @Chika Sensei dạ buổi đầu OK k gì ạ</t>
  </si>
  <si>
    <t xml:space="preserve">Hà Ái Phương </t>
  </si>
  <si>
    <t>tainh/nampd</t>
  </si>
  <si>
    <t>K345007 - 001</t>
  </si>
  <si>
    <t>25/09/2025 @Chika Sensei dạ k chị
Chị ơi</t>
  </si>
  <si>
    <t>Mai Thị Kim Oanh</t>
  </si>
  <si>
    <t xml:space="preserve">học viên không phản hồi </t>
  </si>
  <si>
    <t>25/09/2025 E k ạ</t>
  </si>
  <si>
    <t>14/11/2025 Sau 18 buổi học e cảm thấy tiếng Nhật của bản thân mình ở thời điểm hiện tại là chưa cải thiện được kĩ năng kaiwa nhiều ạ</t>
  </si>
  <si>
    <t>Nguyễn Văn Dũ</t>
  </si>
  <si>
    <t>25/09/2025 ss ơi có nhờ ss nói lại với ss ninh có thể cải thiện mic thoại được k ạ
e k biết do đường truyền e hay ss ninh nhưng đôi khi không nghe ạ</t>
  </si>
  <si>
    <t>29/09/2025 Dạ tốt ss ạ
Hôm chủ nhật em nhầm giờ vào học mà Thảo ss vẫn nhiệt tình chờ em vào học ạ</t>
  </si>
  <si>
    <t>22/10/2025 Dạ e cũng đang làm quen dần ạ
Với thời gian 30p cũng thật sự quá ngắn ss ạ.Hầu hết mỗi bài ngữ pháp rất ít nên e không sử dụng được rộng rãi hơn ạ
Ss có thể nào tăng thêm mẫu ngữ pháp mẫu câu hỏi để e vận dụng nhiều hơn trong thực tế không ạ</t>
  </si>
  <si>
    <t>27/11/2025 Dạ em thấy e tiếp thu tốt hơn ạ
LỘ TRÌNH NÀY EM DỄ HIỂU HƠN RẤT NHIỀU Ạ</t>
  </si>
  <si>
    <t>23/12/2025 đợi ph</t>
  </si>
  <si>
    <t>Đặng Hà Kiều Oanh</t>
  </si>
  <si>
    <t xml:space="preserve">26/09/2025 09:56 オアン Chưa có vđ gì ạ, sáng e vào hơi muộn vs chưa cbi bài kĩ
09:56 オアン Buổi sau em rút kinh nghiệm </t>
  </si>
  <si>
    <t>22/10/2025 Dạ rồi ss ạ</t>
  </si>
  <si>
    <t>29/09/2025 Cám ơn sensei đã điều tiết lại giùm em. Em cảm thấy buổi học hôm nay có phần phù hợp hơn rồi.</t>
  </si>
  <si>
    <t>15/12/2025 đợi ph</t>
  </si>
  <si>
    <t>K145018 - 001</t>
  </si>
  <si>
    <t>03/10/2025 @Chika Sensei dạ ổn Ss ạ</t>
  </si>
  <si>
    <t>20/04/2026 Dạ Ss dạy dể hiểu, tốc độ vừa phải, e theo kịp Ss ạ</t>
  </si>
  <si>
    <t>Trần Thị Ngọc Huệ</t>
  </si>
  <si>
    <t>01/10/2025 dạ do e chưa chuẩn bị bài tốt nên thứ5 mới bắt đầu học lại 🤪</t>
  </si>
  <si>
    <t>16/10/2025 dạ cũng tạm được ss</t>
  </si>
  <si>
    <t>Nguyễn Tiến Lượng</t>
  </si>
  <si>
    <t>24/10/2025 Chất lượng kết nối hơi kém a thỉng thoảng bị gián đoạn</t>
  </si>
  <si>
    <t>14/11/2025 em quen r ạ</t>
  </si>
  <si>
    <t>09/03/2026 SS dạy tốt lắm a giải thích chi tiết a 10₫</t>
  </si>
  <si>
    <t>Nguyễn Văn Phong</t>
  </si>
  <si>
    <t>CV đang bận nên hiện tại k học tiếp</t>
  </si>
  <si>
    <t>02/10/2025 hiện tại em mới học được buổi đầu tiên lên cũng chưa có j khó khăn lắm ss ạ
nếu các buổi tiếp theo em có gặp vấn đề j khó khăn thì rất mong được sự giúp đỡ của ss ạ</t>
  </si>
  <si>
    <t>Em cảm ơn ss
Tại vì hôm qua em bị sốt nên trong quá trình học em hơi mệt 
Buổi học tới chắc sẽ ko vấn đề j ss ạ</t>
  </si>
  <si>
    <t>15/05/2026 Em cảm ơn ss ạ
Hiện tại cũng ko có vấn đề j ss à
Dạ tạm thời em học hết khoá này rồi em ổn định lại cv đã ạ
Hiện tại công việc của em đang có chút thay đổi
Nếu em tiếp tục học lên khoá tiếp thì em sẽ đăng ký sau ạ</t>
  </si>
  <si>
    <t>02/10/2025 Dạ tốt ạ
Dạ cái này để em trải nghiệm thêm thì mới biết được ạ</t>
  </si>
  <si>
    <t>14/11/2025 @Chika Sensei vâng, em đã có thể kaiwa được những kiểu câu ngắn rồi ạ
Việc có thể nói mượt mà thì em nghĩ sẽ phải học thêm nhiều ạ hhh</t>
  </si>
  <si>
    <t>05/02/2026 Dạ em cảm ơn các sensei đã đồng hành cùng hành cùng em đến cuối khoá ạ. Khoá tiếp theo em sẽ cố gắng hơn ạ. Sensei giúp em gửi lời cảm ơn của em đến cô Nhiệm vì đã giảng dạy và cho em những kiến thức thú vị trong cuộc sống hội thoại ở Nhật ạ.</t>
  </si>
  <si>
    <t>13/04/2026 Dạ buổi học cùng với Hằng sensei hôm qua thực sự thú vụ ạ. Nhưng có một điều đối với bản thân em đang gặp phải là em đang khá là lạ lẫm với cấp độ N3, khác hoàn toàn với chương trình N4 một trời một vực luôn ạ.</t>
  </si>
  <si>
    <t>22/05/2026 Dạ ổn ạ sensei. Em học với cô Hằng vui lắm ạ</t>
  </si>
  <si>
    <t>24/06/2026 Dạ những buổi học gần đây của em với ss Hằng vẫn tốt cô ạ. Hiện tại em vẫn chưa gặp khó khăn gì sensei nèeee
Em cảm ơn sensei đã quan tâm nhaaaa</t>
  </si>
  <si>
    <t>Lê Thị Thái</t>
  </si>
  <si>
    <t>21/10/2025 Ss hướng dẫn e với ạ</t>
  </si>
  <si>
    <t>28/10/2025 đợi ph</t>
  </si>
  <si>
    <t>Võ Phước Khang</t>
  </si>
  <si>
    <t>Lê Đình Thu - kaiwa 3 ( 16/07/2025) - 001</t>
  </si>
  <si>
    <t>03/10/2025 mọi thứ có hơi nhanh
Nhưng mà chung quy thì đủ nội dung ạ.</t>
  </si>
  <si>
    <t>22/10/2025 Da quen roi a</t>
  </si>
  <si>
    <t>Thái Thị Phương Trang</t>
  </si>
  <si>
    <t>04/10/2025 Ss dạy dễ hiểu với nhiệt tình lắm ạ
Cũng phù hợp ạ, có nhiều chỗ k hiểu gv giải thích cho e rồi ạ</t>
  </si>
  <si>
    <t>28/10/2025 Dạ e cũng quen rồi ạ
@Chika Sensei đúng rồi ạ, ss nhiệt tình lắm ạ</t>
  </si>
  <si>
    <t>H Dên Êban</t>
  </si>
  <si>
    <t>09/10/2025 Dạ không ạ! Ss rất nhiệt tình ạ</t>
  </si>
  <si>
    <t>22/10/2025 Dạ cơ bản thì em cũng hiểu rồi, nhưng mà về phần áp dụng gợi ý để làm bài thì em thấy còn hơi yếu.</t>
  </si>
  <si>
    <t>28/11/2025 Mặc dù là em chưa nói được 1 cách tự nhiên và phản xạ vẫn chưa tốt, nhưng mà em cảm thấy tự tin nói chuyện hơn ạ.</t>
  </si>
  <si>
    <t>uyenltt/nguyenndh</t>
  </si>
  <si>
    <t>Lê Ngọc Thanh Vy</t>
  </si>
  <si>
    <t>Gv322</t>
  </si>
  <si>
    <t>Nguyễn Duy Thụ - kaiwa 2 ( 29/07/2025 ) - 001</t>
  </si>
  <si>
    <t>04/10/2025 09:53 レヴィ Dạ buổi học hôm qua khá tốt ạ. Vì là buổi đầu nên em cảm thấy chưa có vấn đề gì ạ
09:53 レヴィ Em cám ơn ss
Dạ có ạ. Cô hỏi em về khó khăn của em khi giao tiếp. Muốn cải thiện những gì. Cô lắng nghe từng vấn đề của em. Em thấy bản thân đỡ rụt rè hơn xíu r ạ</t>
  </si>
  <si>
    <t>28/10/2025 Dạ thật sự em thấy là có cải thiện nhưng nó k nhiều lắm Á ss. Trình độ em tự cảm thấy nó cũng k có gì thây đổi nhiều ạ</t>
  </si>
  <si>
    <t>Tô Quang Hà</t>
  </si>
  <si>
    <t>07/10/2025 Tốt ss ạ k có vấn đề j đâu ss ơi</t>
  </si>
  <si>
    <t>26/11/2025 Mới học ss mới tạm thời em cũng hơi bỡ ngỡ chắc đang học thảo ss quen rồi</t>
  </si>
  <si>
    <t>10/01/2026 đợi ph</t>
  </si>
  <si>
    <t>06/10/2025 Không có khó khăn gì đâu ah</t>
  </si>
  <si>
    <t>22/10/2025 13:19 チュン Phần ghi âm để nộp bài tập về nhà nó cứ bị lỗi k ghi âm đc ah
13:20 チュン Với lại có bài tập nghe đoạn hội thoại rồi nói lại là mk nghe xong tự ghi nhớ rồi đọc lại hay lm như thế nào ah</t>
  </si>
  <si>
    <t>Nguyễn Thị Trang</t>
  </si>
  <si>
    <t>18/10/2025 Dạ tốt ss ak</t>
  </si>
  <si>
    <t>11/02/2026 đợi ph</t>
  </si>
  <si>
    <t>Phạm Thế Hoàng Long</t>
  </si>
  <si>
    <t>K345008 - 001</t>
  </si>
  <si>
    <t>08/10/2025 Cũng bt ss ạ k có gì khó khăn</t>
  </si>
  <si>
    <t>17/10/2025 vâng em thấy ổn</t>
  </si>
  <si>
    <t>dạ học ổn k có vấn đề gì a, lâu lâu đường truyền kém</t>
  </si>
  <si>
    <t>30/6 Tốc độ cũng ổn rồi ạ
Dạ ổn ss ạ</t>
  </si>
  <si>
    <t>07/08/2026 dạ học tốt a</t>
  </si>
  <si>
    <t>Nguyễn Ngọc Thảo</t>
  </si>
  <si>
    <t>08/10/2025 Dạ kh gặp khó khăn ạ</t>
  </si>
  <si>
    <t>22./10/2025 Dạ rồi ạ</t>
  </si>
  <si>
    <t>Trần Minh Tiến - kaiwa 1 ( 17/07/2025 ) - 001</t>
  </si>
  <si>
    <t>Tống Thị Hảo</t>
  </si>
  <si>
    <t>07/10/2025 dạ k ạ</t>
  </si>
  <si>
    <t>Nguyễn Huỳnh Ngọc Như</t>
  </si>
  <si>
    <t>đổi sang khóa jlpt n4</t>
  </si>
  <si>
    <t>06/10/2025 dạ ssNga nhiệt tình , nói cũng ok , có khó khăn là em chưa nắm rõ ngữ pháp nên theo lớp học hơi chậm, em sẽ cố gắng hơn</t>
  </si>
  <si>
    <t>29/10/2025 dạ, xin lỗi ss vì công việc bận rộn quá , cũng ráng dành thời gian nhưng vẫn còn chậm mong ss Nga thông cả và giúp đỡ thêm 🙇‍♀️🙇‍♀️</t>
  </si>
  <si>
    <t>Lê Thị Cẩm Ly - kaiwa 2 ( 16/07/2025 ) - 001</t>
  </si>
  <si>
    <t>Trần Thụy Thảo My</t>
  </si>
  <si>
    <t>06/10/2025 09:57 　チャン・トゥい・タオ・ミー Dạ không ạ, 
09:57 　チャン・トゥい・タオ・ミー Thoa ss dạy dễ hiểu ạ</t>
  </si>
  <si>
    <t>31/10/2025 15:03 　チャン・トゥい・タオ・ミー Em cũng bắt đầu nghe hiểu được đại ý rồi ạ.
15:04 　チャン・トゥい・タオ・ミー Nhưng mà câu nói của em vẫn chưa chọn vẹn được ạ.</t>
  </si>
  <si>
    <t>Trương Thị Hằng</t>
  </si>
  <si>
    <t>dạ học ổn ạ</t>
  </si>
  <si>
    <t>22/10/2025 4g ah
Wf yếu vào ko nghe đc cái j</t>
  </si>
  <si>
    <t>anhnnt</t>
  </si>
  <si>
    <t>K245017 - 001</t>
  </si>
  <si>
    <t>09/10/2025 Bài hôm qua cũng dễ hiểu nên cũng không có gì cần hỏi ss ạ</t>
  </si>
  <si>
    <t>31/10/2025 Chào ss. Mấy bữa đầu còn chưa nắm rõ. Bây giờ cũng tậm tạm rồi ạ</t>
  </si>
  <si>
    <t>13/11/2025 dạ ổn a</t>
  </si>
  <si>
    <t>12/12/2025 Học vs ss mới cũng ko có khó khăn j ss ạ
Chỉ khó khăn về phần bài tập ạ</t>
  </si>
  <si>
    <t xml:space="preserve">15/10/2025 10:55 Phúc Hảo Dạ có ạ 
10:55 Phúc Hảo Nhưng do thời gian ít quá 
10:56 Phúc Hảo Nên cũng chưa học đc nhiều sensei </t>
  </si>
  <si>
    <t>dạ học ổn ss ơi</t>
  </si>
  <si>
    <t>28/11/2025 m thấy khá hơn một chút rồi á sensei</t>
  </si>
  <si>
    <t>15/12/2025 Dạ vẫn tốt sensei ơi</t>
  </si>
  <si>
    <t>15/01/2025 đợi ph</t>
  </si>
  <si>
    <t>nhiemvk/lamdt</t>
  </si>
  <si>
    <t>Nguyễn Anh Tuấn - kaiwa 2 ( 17/07/2025 ) - 001</t>
  </si>
  <si>
    <t>HV bảo lưu quay lại xong lại kêu khó không muốn học nữa đã thuyết phục</t>
  </si>
  <si>
    <t>14/10/2025 Mới học cũng dễ ak
Ko hiểu ji e hỏi sau ak</t>
  </si>
  <si>
    <t>24/01/2026 đợi ph</t>
  </si>
  <si>
    <t xml:space="preserve">Nguyễn Thị Tuyết Đào </t>
  </si>
  <si>
    <t xml:space="preserve">20/10/2025 em khó khăn quá nhiều Kanji ,ss </t>
  </si>
  <si>
    <t>Nguyễn Thiên Kim</t>
  </si>
  <si>
    <t>đang học mà 5/6</t>
  </si>
  <si>
    <t>14/10/2025 Dạ cũng được nhưng còn hơi chậm</t>
  </si>
  <si>
    <t>28/10/2025 Dạ cũng hơi quen rồi ss</t>
  </si>
  <si>
    <r>
      <rPr>
        <rFont val="arial"/>
        <color theme="1"/>
      </rPr>
      <t xml:space="preserve">11h00
</t>
    </r>
    <r>
      <rPr>
        <rFont val="arial"/>
        <color rgb="FFFF0000"/>
      </rPr>
      <t>17h00</t>
    </r>
  </si>
  <si>
    <t>Nguyễn Thùy Trang</t>
  </si>
  <si>
    <t>Bùi Nhựt Tân - kaiwa 2 ( 18/07/2025 ) - 001</t>
  </si>
  <si>
    <t xml:space="preserve">11/10/2025 18:08 グエン Buổi đầu bị vào muộn thành za e bị tâm lý ý ss
18:08 グエン Cứ luống cuống 
18:09 グエン Cơ mà vẫn ổn ss ạ
18:09 グエン Buổi sau chắc sẽ ổn hơn </t>
  </si>
  <si>
    <t>22/10/202516:14 グエン Dạ e quen hơn r ạ 
16:15 グエン Vs dần dần thì cbi bài lúc hơn nên cũng có time kaiwa nhiều hơn vs GV ạ</t>
  </si>
  <si>
    <t>13/11/2025 Dạ e cũng quen hơn r ạ . Tại cũng luyện phần shadowing theo đoạn hội thoại nhiều nên NC cũng ít bị dở giữa chừng hơn ạ</t>
  </si>
  <si>
    <t>21/10/2025 @Chika Sensei em tự soạn có nhiều câu và ngữ pháp chưa ổn lắm
Em soạn sai có gì sensei chữa dùm em ạ</t>
  </si>
  <si>
    <t>28/10/2025 Em học quen rồi sensei ạ có anh chị nữa nên là em cũng nghe và học thêm được nhiều hơn</t>
  </si>
  <si>
    <t>30/12/2025 đợi ph</t>
  </si>
  <si>
    <t>21h05</t>
  </si>
  <si>
    <t>Nguyễn Thị Thu Hoài - kaiwa 3 ( 16/07/2025 ) - 001</t>
  </si>
  <si>
    <t>Báo là có chuyện gia đình hình như là ly dị nên tạm thờ i xin bảo lưu</t>
  </si>
  <si>
    <t>13/10/2025 om nay khong gap kho khan gi ca ,ss giai thich cung de hieu</t>
  </si>
  <si>
    <t>20/10/2025 đã chuẩn bị bài tốt hơn rồi ạ, học cũng ổn hơn a</t>
  </si>
  <si>
    <t xml:space="preserve">17/11/2025 Cung khong kho lam ak
</t>
  </si>
  <si>
    <t>Đào Thị Thu Huyền</t>
  </si>
  <si>
    <t>23/10/2025 Thời gian trôi qua nhanh quá e giật mình luôn á ss</t>
  </si>
  <si>
    <t>09/12/2025 @Chika Sensei dạ ổn ạ</t>
  </si>
  <si>
    <t>03/03/2026 đợi ph</t>
  </si>
  <si>
    <t xml:space="preserve">12/6 dạo này nghỉ </t>
  </si>
  <si>
    <t>9/9/2026 Dạ ổn ạ</t>
  </si>
  <si>
    <t>4/9 đợi ph</t>
  </si>
  <si>
    <t>Tạ Văn Thắng</t>
  </si>
  <si>
    <t>Buổi học</t>
  </si>
  <si>
    <t>Giáo Viên</t>
  </si>
  <si>
    <t>Trạng thái GV</t>
  </si>
  <si>
    <t>Tình trạng feeback</t>
  </si>
  <si>
    <t>Tình trạng feeback - chăm sóc -2026</t>
  </si>
  <si>
    <t>myht/sinhnt</t>
  </si>
  <si>
    <t>Chờ lớp</t>
  </si>
  <si>
    <t>GV143</t>
  </si>
  <si>
    <t>T2-T6</t>
  </si>
  <si>
    <t>VN</t>
  </si>
  <si>
    <t>Nguyễn Thị Hồng Ngọc - kaiwa 3 ( 17/07/2025 ) - 001
Nguyễn Thị Hồng Ngọc - kaiwa 2 ( 17/07/2025 ) - 001
Nguyễn Thị Hồng Ngọc - kaiwa 4 ( 08/04/2026 ) - 001</t>
  </si>
  <si>
    <t>Đang dạy</t>
  </si>
  <si>
    <t>Tích cực</t>
  </si>
  <si>
    <t>T2-T4-T6</t>
  </si>
  <si>
    <t>Nhật</t>
  </si>
  <si>
    <t>Đã nghỉ</t>
  </si>
  <si>
    <t>Cần hỗ trợ</t>
  </si>
  <si>
    <t>21/10/2025 Vâng ạ
Cố gắng hoà nhập với lớp kkk</t>
  </si>
  <si>
    <t>28/10/2025 Cũng quen cách học rồi sensei ạ</t>
  </si>
  <si>
    <t>T3-T5-T7</t>
  </si>
  <si>
    <t>Hiro</t>
  </si>
  <si>
    <t>Tạm nghỉ</t>
  </si>
  <si>
    <t>Không ý kiến</t>
  </si>
  <si>
    <t>Yuuta</t>
  </si>
  <si>
    <t>Dừng giao lớp</t>
  </si>
  <si>
    <t>Phản hồi chưa tốt</t>
  </si>
  <si>
    <t>Nakao</t>
  </si>
  <si>
    <t>Phạm Thị Kiều Trang</t>
  </si>
  <si>
    <t>Ichinose</t>
  </si>
  <si>
    <t>Akari</t>
  </si>
  <si>
    <t>Matsuda</t>
  </si>
  <si>
    <t>Mana</t>
  </si>
  <si>
    <t>Kentaro</t>
  </si>
  <si>
    <t>Hoangdv</t>
  </si>
  <si>
    <t>21/10/2025 @Chika Sensei vâng ss hướng dẫn giúp e an</t>
  </si>
  <si>
    <t>28/10/2025 E quen rồi ạ.
Nhưng thời gian 1 tiếng ít quá
Lên ko kaiwa đc nhiều ạ</t>
  </si>
  <si>
    <t>Phùng Minh Thúy</t>
  </si>
  <si>
    <t>20/10/2025 Dạ , mọi thứ ổn ạ. Khi nào cần giúp đỡ e nhờ ss nhé.</t>
  </si>
  <si>
    <t>Nguyễn Thị Loan</t>
  </si>
  <si>
    <t>24/10/2025 Vâng. Bài đầu học có mất thời gian vì vấn đề kĩ thuật nên ss có dạy bù giờ cho e</t>
  </si>
  <si>
    <t>31/10/2025 Cũng dần quen r a</t>
  </si>
  <si>
    <t>25/11/2025 Dạ buổi đầu tiên thì k ạ</t>
  </si>
  <si>
    <t>23/10/2025 Dạ tốt ss ạ... Có khó khăn gì e báo ss ạ</t>
  </si>
  <si>
    <t>31/10/2025 Em quen rồi ss</t>
  </si>
  <si>
    <t>27/11/2025 dạ vẫn ổn</t>
  </si>
  <si>
    <t>Nguyễn Kiên Trung</t>
  </si>
  <si>
    <t>tomizuka</t>
  </si>
  <si>
    <t>Đào Công Tuấn - kaiwa 2 ( 17/07/2025 ) - 001</t>
  </si>
  <si>
    <t>22/10/2025 thầy bảo e ngữ pháp kém ko đáp ứng đc cái mình đang học ạ, cần ôn lại từ trung cấp
e cũng thấy vậy :-((
e diễn đạt khó hiểu quá</t>
  </si>
  <si>
    <t>28/10/2025 @Chika Sensei vâng em quen rồi ạ
E học ôn phần chuukyuu cùng thầy
Chứ ko học phần như trong giáo trình hiện tại ạ</t>
  </si>
  <si>
    <t>27/11/2025 @Chika Sensei vâng e thấy có cải thiện rồi ạ
học khá hợp với e ạ</t>
  </si>
  <si>
    <t>25/10/2025 mạng kém học app lag ạ</t>
  </si>
  <si>
    <t>31/10/2025 học vẫn ổn a</t>
  </si>
  <si>
    <t>Thân Nhân Hoàng</t>
  </si>
  <si>
    <t>23/10/2025 Dạ mội thứ đều tốt ạ</t>
  </si>
  <si>
    <t>28/10/2025 10:14 N.Hoang Dạ e đã quen rồi ạ
10:14 N.Hoang Không có vấn đề gì ss ạ</t>
  </si>
  <si>
    <t>14/11/2025 Sau 10 buổi đã giúp e có thêm phần tự tin khi kaiwa rồi ạ
Hằng ss vẫn hướng dẫn tốt ạ</t>
  </si>
  <si>
    <t>12/12/2025 16:54 N.Hoang Dạ vâng ss được ạ
16:54 N.Hoang Em thấy ổn ss ạ</t>
  </si>
  <si>
    <t>hieppt</t>
  </si>
  <si>
    <t>Nguyễn Thị Yến Ngọc</t>
  </si>
  <si>
    <t>24/10/2025 để học vài  buổi nữa em thế nào nhá ss. vì em cũng còn yếu tiếng nên chưa bắt nhịp đc. có gì em  góp ý sau nhà ss</t>
  </si>
  <si>
    <t xml:space="preserve">quy đổi 9 buổi cuối sang học GV Nhật </t>
  </si>
  <si>
    <t>27/10/2025 @Phòng Đào Tạo Edura Gv Chuyên Môn dạ tốt k có vấn đề gì ạ</t>
  </si>
  <si>
    <t>15/7 Dạ tốt ạ chỉ trừ cái khoản mạng yếu ra thì mọi thứ ok ạ</t>
  </si>
  <si>
    <t>Phan Thị Nhật Linh</t>
  </si>
  <si>
    <t>27/10/2025 15:11 リン Dạ k ạ
15:11 リン Cho e hỏi chút bài tậo về nhà làm ở đâu v ạ</t>
  </si>
  <si>
    <t>11/11/2025 dạ vẫn ổn a</t>
  </si>
  <si>
    <t>Hoàng Đình Tuấn</t>
  </si>
  <si>
    <t>CN</t>
  </si>
  <si>
    <t>hangktt/dunglp</t>
  </si>
  <si>
    <t>Bùi Thị Lương - kaiwa 2 ( 19/07/2025 ) - 001</t>
  </si>
  <si>
    <t>29/10/2025 tu vung cua e nho it.va chia the cua e chua duoc.voi lai xap xep cau van chua duoc ạ.kan j e chua  hoc ss ạ.</t>
  </si>
  <si>
    <t xml:space="preserve">Tái tục </t>
  </si>
  <si>
    <t>Đến ngày</t>
  </si>
  <si>
    <t>Tổng học viên offer</t>
  </si>
  <si>
    <t>T8 thực tế</t>
  </si>
  <si>
    <t>T8 dự kiến</t>
  </si>
  <si>
    <t>T8/T1</t>
  </si>
  <si>
    <t>Tổng HV mới</t>
  </si>
  <si>
    <t xml:space="preserve">25/11/2025 Dạ mới buổi đầu thì e thấy cũng bình thường ạ 
Để vài buổi học sau có gì e sẽ nhắn ss ạ
</t>
  </si>
  <si>
    <t>Ghi chú</t>
  </si>
  <si>
    <t>Nội quy 1</t>
  </si>
  <si>
    <t>Upsales</t>
  </si>
  <si>
    <t>28/10/2025 10:29 YM(ハン) Mạng qua app hơi kém nên câu nghe được câu không
10:29 YM(ハン) Mất 10p đầu k nghe được gì
10:29 YM(ハン) nên học được có nửa bài</t>
  </si>
  <si>
    <t>14/11/2025 Cũng quen dần rồi ạ. Nhưng e hay quên quá nên chưa thấy sự thay đổi rõ rệt</t>
  </si>
  <si>
    <t>16/01/2026 Cũng quen dần dần rồi ạ. Nhưng vẫn chưa thành thạo được lắm</t>
  </si>
  <si>
    <t>Nội quy 2</t>
  </si>
  <si>
    <t>Nội quy 3.1</t>
  </si>
  <si>
    <t>Nội quy 3.2</t>
  </si>
  <si>
    <t>Nội quy 4</t>
  </si>
  <si>
    <t>Nội quy 5</t>
  </si>
  <si>
    <t>Nội quy 6</t>
  </si>
  <si>
    <t>Nội quy 7</t>
  </si>
  <si>
    <t>Nội quy 8</t>
  </si>
  <si>
    <t>Nội quy 9</t>
  </si>
  <si>
    <t>ID GV</t>
  </si>
  <si>
    <t>Gv315</t>
  </si>
  <si>
    <t>Vũ Thị Ngọc - kaiwa 1 ( 18/07/2025 ) - 001</t>
  </si>
  <si>
    <t>31/10/2025 Em học thấy ổn ss
Cô dạy nhiệt tình
Vs thoải mái</t>
  </si>
  <si>
    <t>14/11/2025 Mọi thứ tốt ss
Chương trình học hiện tại phù hợp</t>
  </si>
  <si>
    <t>Namecode</t>
  </si>
  <si>
    <t>09/12/2025 Em cũng ko biết như nào nữa
Nhưng chắc là tiến bộ hơn lúc chưa học</t>
  </si>
  <si>
    <t>Họ và tên giáo viên</t>
  </si>
  <si>
    <t>17/12/2025 Vẫn tốt ss
Tiên ss vẫn hướng dẫn e nhiệt tinhg</t>
  </si>
  <si>
    <t>Số điện thoại</t>
  </si>
  <si>
    <t>09/1/2026 Vẫn ổn ss</t>
  </si>
  <si>
    <t>Quốc tịch</t>
  </si>
  <si>
    <t>Địa điểm sống</t>
  </si>
  <si>
    <t xml:space="preserve">Dinh Văn Tuấn </t>
  </si>
  <si>
    <t>Rank lương</t>
  </si>
  <si>
    <t>Đăng ký lịch dạy</t>
  </si>
  <si>
    <t>Tk ngân hàng</t>
  </si>
  <si>
    <t>Link lịch dạy</t>
  </si>
  <si>
    <t>01/11/2025 Ok ss ơi hôm nay ss hương dậy quá hay</t>
  </si>
  <si>
    <t>Tình trạng làm việc</t>
  </si>
  <si>
    <t>Bùi Thị Lan</t>
  </si>
  <si>
    <t>Ngày bắt đầu dạy</t>
  </si>
  <si>
    <t>Ngày kết thúc</t>
  </si>
  <si>
    <t>Ranking</t>
  </si>
  <si>
    <t>Rank lương hiện tại</t>
  </si>
  <si>
    <t>Lần 1</t>
  </si>
  <si>
    <t>Lần 2</t>
  </si>
  <si>
    <t>Lần 3</t>
  </si>
  <si>
    <t>Tái tục chéo sản phẩm</t>
  </si>
  <si>
    <t>11/11/2025 Thời gian học hơi ngắn nên có 1 số chỗ e vẫn chưa hiểu rõ lắm</t>
  </si>
  <si>
    <t>Bùi Thị Tươi - kaiwa 2 ( 19/07/2025 ) - 001</t>
  </si>
  <si>
    <t>Nguyễn Đăng Bắc</t>
  </si>
  <si>
    <t>11/11/2025 @Chika Sensei kanji e k hk nên cũng hơi khớp. Nhưng khi hk có ss giải thik rồi ạ!</t>
  </si>
  <si>
    <t>03/11/2025 10:37 Loanシオ Dạ buổi đầu cũng thấy ổn ạ
10:37 Loanシオ  Có vấn để gì e sẽ ll ạ</t>
  </si>
  <si>
    <t>27/11/2025 Dạ cũng quen quen ạ đc cái kiểu  e dùng từ với phát âm đang sai nhiều ạ</t>
  </si>
  <si>
    <t>T8</t>
  </si>
  <si>
    <t>Thạch Thùy Linh</t>
  </si>
  <si>
    <t>sinhnt/giangdth</t>
  </si>
  <si>
    <t>Nông Thị Hải Yến - kaiwa 3 ( 18/07/2025 ) - 001</t>
  </si>
  <si>
    <t>04/11/2025 Dạ 
Mới bắt đau cug còn hơi cấn cấn ạ</t>
  </si>
  <si>
    <t>14/11/2025 先生
こんにちは
Dạ e quen roi ạ
Tai e cung co hoc qua roi ss a
Kiểu e thấy cung dễ a
Mà có cai là e không thể noi duoc ạ
Kieu e k biet nên nói từ nào truoc từ nào sau á ss</t>
  </si>
  <si>
    <t xml:space="preserve">Thái Văn Dưỡng </t>
  </si>
  <si>
    <t>5/6 yếu tiếng nhật</t>
  </si>
  <si>
    <t>06/11/2025 Buổi đầu nên đang đơ ạ
Với lại mất gốc nên chưa bắt nhịp được</t>
  </si>
  <si>
    <t>T3.2025</t>
  </si>
  <si>
    <t>27/11/2025 Dạ e vẫn chưa ss ạ
Vấp suốt</t>
  </si>
  <si>
    <t>15/12/2025 Đang va vấp nhiều
Với lại nay cty làm nhiều quá. Nên thời gian tự học ít nên chưa tốt được ss à</t>
  </si>
  <si>
    <r>
      <rPr>
        <rFont val="arial"/>
        <color theme="1"/>
      </rPr>
      <t>11h00</t>
    </r>
    <r>
      <rPr>
        <rFont val="arial"/>
        <color theme="1"/>
      </rPr>
      <t xml:space="preserve">
16h00</t>
    </r>
  </si>
  <si>
    <t>Nguyễn Thị Cám - kaiwa 2 ( 18/07/2025 ) - 001</t>
  </si>
  <si>
    <t xml:space="preserve">Trương Nhật Thảo </t>
  </si>
  <si>
    <t>10/11/2025 dạ học tốt a</t>
  </si>
  <si>
    <t>27/11/2025 19:13 Trương Nhật Thảo dạ phù hợp ạ
19:13 Trương Nhật Thảo ss xinh dạy dễ hiểu ạ</t>
  </si>
  <si>
    <t>09/12/2025 dạ học tốt ạ</t>
  </si>
  <si>
    <t>Nguyễn Thanh Hà My</t>
  </si>
  <si>
    <t>24/10/2019</t>
  </si>
  <si>
    <t>05/11/2025 Mới buổi đầu e thấy cx ổn ạ</t>
  </si>
  <si>
    <t>14/11/2025 16:57 ミ- Hiện e thấy vẫn ổn ạ 
16:57 ミ- Nếu có vấn đề j e báo lun ạ 
E thấy ss dậy rất tốt ạ nhưng vẫn quan trọng là e hơn do e công việc dạo ni cx bận nên tg lm bài lúc lúc k ạ</t>
  </si>
  <si>
    <t>15/12/2025 Dạ cx cx hơn trc một xíu ss ạ</t>
  </si>
  <si>
    <t>31/12/2021</t>
  </si>
  <si>
    <t>Hồ Yến Nhi - kaiwa 5 ( 18/07/2025 ) - 001</t>
  </si>
  <si>
    <t>25/12/2025 @Phòng Đào Tạo Edura Gv Chuyên Môn Dạ em thấy là bình thường ạ
Cho e hỏi là bài tập スビチ　 nộp sao ạ</t>
  </si>
  <si>
    <t>11/02/22026 đợi ph</t>
  </si>
  <si>
    <t>Huỳnh Ngọc Huân</t>
  </si>
  <si>
    <t>07/11/2025 Này xem và học từ vựng fai k ss
Đã học rồi</t>
  </si>
  <si>
    <t>04/11/2025 Ổn lắm ạ hihi chỉ có điều e thấy thời gian hoie ngắn thoai ạ</t>
  </si>
  <si>
    <t>05/11/2025 Dạ đr ạ, em đã nắm thông tin ạ học xong em sẽ làm bài tập ạ.</t>
  </si>
  <si>
    <t>27/11/2025 Dạ em cám ơn ạ
Em bắt nhịp được cách thầy dạy rồi ạ, đến giờ vẫn ổn chưa có vấn đề gì ạ.</t>
  </si>
  <si>
    <t>19h10</t>
  </si>
  <si>
    <t>T2.2025</t>
  </si>
  <si>
    <t>06/06/2026 Dạ oke lắm ạ, cô dễ thương ạ</t>
  </si>
  <si>
    <t>Trương Thị Thùy Trang - kaiwa 4 ( 19/07/2025 ) - 001</t>
  </si>
  <si>
    <t>Dương Thị Mười</t>
  </si>
  <si>
    <t>13/02/2020</t>
  </si>
  <si>
    <t>Chu Văn Tiến</t>
  </si>
  <si>
    <t>15/11/2025 Mới đầu lquen vậy đã thôi ss</t>
  </si>
  <si>
    <t>07/11/2025 Hiện tại thì vẫn ổn ạ. Nếu có vấn đề gì k ổn thì e báo trong group nhé</t>
  </si>
  <si>
    <t>27/11/2025 @Chika Sensei đã qen rồi ss ạ
 GV nhiệt tình</t>
  </si>
  <si>
    <t>Dương Thuận Ý - kaiwa 2 ( 21/07/2025 ) - 001</t>
  </si>
  <si>
    <t>Đinh ÁI Phi</t>
  </si>
  <si>
    <t xml:space="preserve">12/11/2025 11:09 アイフィ Dạ vẫn bình thường ss ạ 
11:11 アイフィ Ss nhiệt tình lắm ạ </t>
  </si>
  <si>
    <t>27/11/2025 E quen rồi ạ
Dạ e thấy cũng ổn ss ạ
Dạ ss Sương hỗ trợ e nhiệt tình lắm ạ</t>
  </si>
  <si>
    <t xml:space="preserve">15/12/2025 16:10 アイフィ Phương pháp học thì e quen rồi còn kaiwa thì e còn hơi mơ hồ ss ạ 
16:11 アイフィ E chưa tự tin để kaiwa </t>
  </si>
  <si>
    <t>13/3/2020</t>
  </si>
  <si>
    <t>21/01/2026 Dạ ổn ss ạ ..ss Sương vẫn hỗ trợ e nhiệt tình ạ</t>
  </si>
  <si>
    <t>T1.2025</t>
  </si>
  <si>
    <t>11/11/2025 Vâng ạ
Mai bắt đầu hok bài ạ
Ss chỉ em cách chuẩn bị bài với ạ</t>
  </si>
  <si>
    <t>27/11/2025 Em quen rồi ạ
dạ k có gì a</t>
  </si>
  <si>
    <t>E cảm thấy ổn hơn trước 1 chút nhưng vì đi làm k đc giao tiếp lên cx vẫn có chút chưa phản xạ tốt ạ</t>
  </si>
  <si>
    <t>27/03/2020</t>
  </si>
  <si>
    <t>Trương Quỳnh Hương - kaiwa 1 ( 19/07/2025 ) - 001</t>
  </si>
  <si>
    <t>10/11/2025 Dạ em không gặp khó khăn gì ạ
Dạ vâng phù hợp ạ</t>
  </si>
  <si>
    <t>27/11/2025 
Dạ em quen rồi ạ
dạ phù hợp ạ</t>
  </si>
  <si>
    <t>19/12/2025 Dạ em dần dần quen rồi ạ
dạ cô hướng dẫn cho em rất nhiệt tình ạ</t>
  </si>
  <si>
    <t>02/03/2026 đợi ph</t>
  </si>
  <si>
    <t>12/05 dạ vâng em dần dần quen rồi ạ
dạ mà có điều là phần chuẩn bị từ vựng trước buổi học, phần giải thích từ vựng nó còn khó hơn từ vựng nữa ạ
cơ mà như vậy em biết được nhiều từ mới hơn ạ</t>
  </si>
  <si>
    <t>07/08/2026 đợi ph</t>
  </si>
  <si>
    <t>16/11/2025 @Chika Sensei dạ ban đầu do kết nối mạng em ko ổn định nên có hơi mất tgian một xí nma sau ổn ss ạ</t>
  </si>
  <si>
    <t>23/12/2025 dạ vẫn ổn a</t>
  </si>
  <si>
    <t>Nguyễn Thị Huyền</t>
  </si>
  <si>
    <t>13/11/2025 Em mới học 1 buổi đầu tiên thì e thấy tốt ạ, hiện tại thì không có j khó khăn, khi nào có e sẽ báo ạ</t>
  </si>
  <si>
    <t>thuypt</t>
  </si>
  <si>
    <t>Nguyễn Văn Toàn - kaiwa 1 ( 22/07/2025 ) - 001</t>
  </si>
  <si>
    <t>25/11/2025 Dạ mới buổi đầu thì e thấy cũng bình thường ạ 
Để vài buổi học sau có gì e sẽ nhắn ss ạ</t>
  </si>
  <si>
    <t>Nguyễn Trung Hạnh</t>
  </si>
  <si>
    <t>24/11/2025 12:09 Nguyễn Trung Hạnh Dạ
12:09 Nguyễn Trung Hạnh E cảm ơn ss
12:10 Nguyễn Trung Hạnh K khó khăn gì đâu ạ</t>
  </si>
  <si>
    <t>Vũ Văn Tấn</t>
  </si>
  <si>
    <t>15/11/2025 @Phòng Đào Tạo Edura Gv Chuyên Môn Dạ e ok ạ , tốc độ phù hợp</t>
  </si>
  <si>
    <t>Nguyễn Trọng Huỳnh</t>
  </si>
  <si>
    <t>Lê Thị Phượng - kaiwa 3 ( 15/08/2025 ) - 001</t>
  </si>
  <si>
    <t>16/11/2025 Dạ e đang làm quen ss ạ.</t>
  </si>
  <si>
    <t>15/12/2025 Dạ e cũng quen dần nhưng vì đợt này công việc e hơi bận nên ko dành được nhiều thời gian để học và ôn lại bài ss ạ.</t>
  </si>
  <si>
    <t>19/11/2025 @Chika Sensei mới học buổi đầu nên e chưa có ý kiến gì ạ</t>
  </si>
  <si>
    <t>15/12/2025 k phản hồi</t>
  </si>
  <si>
    <t>16/01/2026 @Chika Sensei e cảm thấy có tiến bộ hơn nhưng mà vẫn còn yếu lắm ạ</t>
  </si>
  <si>
    <t>19/11/2025  @Chika Sensei vâng .e cảm ơn ạ. lâu rồi e ko học nên vẫn chưa nhớ lại bài á ss nên cũng cảm thấy ko được tốt cho lắm.</t>
  </si>
  <si>
    <t>15/12/2025 @Chika Sensei e thấy vẫn chưa tiếng bộ ss ạ
time học ngắn quá á ( định hướng lại)</t>
  </si>
  <si>
    <t>10/01/2026 vẫn tốt ạ
chinh ss rất nhiệt tình ạ</t>
  </si>
  <si>
    <r>
      <rPr>
        <rFont val="arial"/>
        <color theme="1"/>
      </rPr>
      <t xml:space="preserve">15h00 
</t>
    </r>
    <r>
      <rPr>
        <rFont val="arial"/>
        <color rgb="FFFF0000"/>
      </rPr>
      <t>17h00</t>
    </r>
  </si>
  <si>
    <t>giangnth</t>
  </si>
  <si>
    <t>Nguyễn Lê Hồng Anh - kaiwa 2 ( 21/07/2025 ) - 001</t>
  </si>
  <si>
    <t>Trần Thị Hồng Thu</t>
  </si>
  <si>
    <t>25/11/2025 Dạ buổi  học đầu tiên em cảm thấy rất tốt .ss hướng dẫn nhiệt tình.không có khó khăn gì đâu ạ</t>
  </si>
  <si>
    <t xml:space="preserve">Hồ Công Bình </t>
  </si>
  <si>
    <t xml:space="preserve">Bảo lưu 2 lần
- Lần 1: từ 2025-12-08
- Lần 2: 2026-03-31
Sang nước khác </t>
  </si>
  <si>
    <t>25/11/2025 vâng ạ. từ vựng e kém lắm nên đang cố gắng học từ vựng đây ạ.
e làm về củng muộn nên thời gian củng hơi ít
chỉ tranh thủ học lúc giải lao đc thôi ạ
e làm xây dựng nên ít có thời gian ạ.
e củng đang muốn cố gắng để học cho bản thân mình khá lên đây ạ</t>
  </si>
  <si>
    <t>Cao Thị Thanh Nhàn</t>
  </si>
  <si>
    <t>anhntt</t>
  </si>
  <si>
    <t>GV393</t>
  </si>
  <si>
    <t xml:space="preserve">Trần Thanh Tùng </t>
  </si>
  <si>
    <t>10/12/2025 E học với tuyết ss tốt ss ơi
E vừa kết thúc buổi học xong</t>
  </si>
  <si>
    <t>25/11/2025 @Chika Sensei tốc độ em nghe kịp ạ. Có nhiều từ vựng  không hiểu rõ nghĩa lắm nên có chút hơi khó thôi ạ</t>
  </si>
  <si>
    <t>09/12/2025 Em thấy cũng phù hợp ạ.
Ok ss ạ
Mấy bài gần đây cũng dễ hiểu nên cũng không có gì ạ</t>
  </si>
  <si>
    <t xml:space="preserve">Vũ Văn Lam </t>
  </si>
  <si>
    <t>tainh</t>
  </si>
  <si>
    <t>Nguyễn Quang Trung - kaiwa 3 ( 25/07/2025 ) - 001</t>
  </si>
  <si>
    <t>26/11/2025 @Chika Sensei vâng, em cảm ơn ạ.
Hiện tại thì em thấy ổn Ss ạ, chưa gặp khó khăn gì.
Để em học thêm vài buổi tới xem tnao ạ</t>
  </si>
  <si>
    <t>09/12/2025 @Chika Sensei Chinh Ss có nhiệt tình ạ</t>
  </si>
  <si>
    <t xml:space="preserve">Nguyễn Thị Nhiên </t>
  </si>
  <si>
    <t>26/11/2025 Dạ em với Tiên ss học vui lắm</t>
  </si>
  <si>
    <t>09/12/2025 Dạ giáo trình hiện tại em thấy ổn rồi ạ
Dạ quen rồi cô phương pháp học dễ hiểu lắm</t>
  </si>
  <si>
    <t>23/12/2025 Dạ em nói ít sai hơn lúc trước rồi
tốt a</t>
  </si>
  <si>
    <t>Phan Thành Nhã</t>
  </si>
  <si>
    <t>28/11/2025 Dạ tốt ạ</t>
  </si>
  <si>
    <t>2025-07-25
2026-08-07</t>
  </si>
  <si>
    <t>kojima/hiềntt</t>
  </si>
  <si>
    <t>Nguyễn Ngọc Tuyết Nhi - kaiwa 3 ( 23/07/2025 ) - 001
Nguyễn Ngọc Tuyết Nhi - kaiwa 4 (7/8/2026) - 001</t>
  </si>
  <si>
    <t>29/11/2025 @Phòng Đào Tạo Edura Gv Chuyên Môn ss nay em bận quá giờ nới trả lời ss được 
Tốc độ vừa phải ạ
Phương tháp với em thì ổn ạ</t>
  </si>
  <si>
    <t>23/11/2025 Em đã quen với việc kaiwa mặc dù không nói được câu dài nhưng bản thân thấy có sự tiến bộ ạ</t>
  </si>
  <si>
    <t>Dạ ok ạ
Dạ sensei Diễm phì hợp vs e ạ</t>
  </si>
  <si>
    <t>17/12/2025 Có quen nhưng e cải thiện được cần phải nỗ lực hơn ạ</t>
  </si>
  <si>
    <t>Nguyễn Hữu Nhẫn</t>
  </si>
  <si>
    <t>30/11/2025 dạ có ss ạ
Ss nhiệt tình lắm</t>
  </si>
  <si>
    <t>09/12/2025 Dạ rồi ss ạ
Phù hợp ạ</t>
  </si>
  <si>
    <t>Đỗ Thị Thu Phương</t>
  </si>
  <si>
    <t>Nguyễn Thảo Nhi - kaiwa 1 ( 24/07/2025 ) - 001</t>
  </si>
  <si>
    <t>05/12/2025 Dạ , buổi đầu em thấy ổn ss ạ . Kojima ss rất nhiệt tình và không khí học thoải mái vui vẻ  ạ  
Em sẽ chuẩn bị bài tốt hơn để có thể học nhiều hơn phần ロールプレイ　ạ
Ss nói cũng rất dễ hiểu ạ</t>
  </si>
  <si>
    <t>17/12/2025 Dạ em đã quen rồi ss ạ</t>
  </si>
  <si>
    <t>19/03/2026 Dạ em thấy cũng  tốt hơn 1 chút ạ</t>
  </si>
  <si>
    <t>02/12/2025 Em thấy ổn ạ . Có những chỗ ko hiểu ss giải thích cho em dễ hiểu ạ
Phát âm cũng dễ nghe ạ</t>
  </si>
  <si>
    <t>09/12/2025 Dạ hiện tại thì em thấy rất hợp với khả năng học của mình ạ . Những chỗ em ko hiểu ss Tuyết cũng giải thích và chỉ ra lỗi giúp e cải thiện hơn ạ</t>
  </si>
  <si>
    <t>30/12/2025 Dạ có ạ
Cô hướng dẫn giải thích cho em cặn kẽ ạ
Nhờ ss Tuyết mà em tư duy với học nói đc 1 câu hoàn chỉnh luôn ạ</t>
  </si>
  <si>
    <t>@Chika Sensei em đậu ngay hôm đó luôn ạ 😍 nhờ tham gia lớp kaiwa và động viên của ss Tuyết nay e tự tin nc lắm ạ nên bài kiểm tra trôi qua rất trôi chảy ạ 🤭🤭🤭
Và nhờ vậy mới vô làm chưa có 1 tháng mà viện đã ok cho em 1 mình đi làm việc chăm sóc các cụ r ạ 💪💪💪💪💪</t>
  </si>
  <si>
    <t xml:space="preserve">Hoàng Thị Ngọc Lan </t>
  </si>
  <si>
    <t>02/12/2025 14:21 ホアン　テイ　ゴック　ラン Mới buổi đầu với lại hôm qua lỗi mic hơi mất thời gian nên muộn r 
14:22 ホアン　テイ　ゴック　ラン E chưa thấy gì ạ</t>
  </si>
  <si>
    <t>Mai Thị Mỹ Ngọc</t>
  </si>
  <si>
    <t>27/12/2022</t>
  </si>
  <si>
    <t>GV324</t>
  </si>
  <si>
    <t>Đinh Thị My - kaiwa 2 ( 25/07/2025 ) - 001</t>
  </si>
  <si>
    <t>29/11/2025 Dạ mới ngày đầu nên là em chưa quen lắm 😢</t>
  </si>
  <si>
    <t>09/12/2025 Dạ em bắt đầu làm quen rồi ạk
GV Nhiệt tình</t>
  </si>
  <si>
    <t>22512/2025 Dạ được hơn rồi ạk</t>
  </si>
  <si>
    <t>Đặng Quốc Điệp</t>
  </si>
  <si>
    <t>02/12/2025 Dạ giáo viên nhiệt tình thân thiện lắm ạ phương pháp dạy tốt ạ tại e hơi dốt tí nên e đang cố gắng thêm ạ</t>
  </si>
  <si>
    <t>Văn Công Bảo</t>
  </si>
  <si>
    <t>03/12/2025 dạ trải nghiệm học với Trường ss rất tốt ạ mặc dù bữa đầu nhưng chia sẽ rất nhiều kĩ năng bổ ích ạ</t>
  </si>
  <si>
    <t xml:space="preserve">25/12/2025 đã quen ạ </t>
  </si>
  <si>
    <t>07/01/2026 Dạ em thấy cách dạy của Tuyết ss cũng hay ạ. Có lẽ em thích hợp với cách của Tuyết ss hơn ạ.</t>
  </si>
  <si>
    <t>Dương Ngọc Hân - kaiwa 1 ( 24/07/2025 ) - 001</t>
  </si>
  <si>
    <t>02/12/2025 Dạ ổn ạ
Học kaiwa phát âm của ss hay qớ</t>
  </si>
  <si>
    <t>09/12/2025 Dạ có, khúc nào e chưa load kịp ss nói lại từ từ
Toàn bộ đều nói bằng tiếng nhật hết mà ss nói rất dễ hiểu
Nhìu khi e cảm nhận ss sợ e chưa rõ kĩ nên ss nói từ từ, còn e nói qá nhanh 🤣🤣🤣
Nói chug là rất chi là thú vị
Tuyết ss が可愛いんだよ🥰</t>
  </si>
  <si>
    <t>25/12/2025 Qa 10buoi học e thấy e thắc mắc nhìu hơn
Tuyết ss giải thích cho e cũng quằn lắm ss ạ
Tại e mắc hỏi</t>
  </si>
  <si>
    <t>10/01/2026 rồi vấn đề vẫn là cái hàng chữ sa shi su se so
e bị qài chỗ này lun
@Phòng Đào Tạo Edura Gv Chuyên Môn cảm ơn Tuyết ss nhìu lắm ạ, nhận xét " đúng nhận sai tự sửa lỗi " :)</t>
  </si>
  <si>
    <t>07/02/2026 Dạ vẫn bth ạ
Tuyết ss rất là 可愛い</t>
  </si>
  <si>
    <t xml:space="preserve">24/02/2026 Mỗi khi e nói e đều nhớ lại cách phát âm của Tuyết ss xong cái e nhái lại y vậy. Tuyết ss phát âm hay qớ 😍
E xin cảm ơn ss và Tuyết ss đã hỗ trợ e rất nhiều. Nhờ Tuyết ss chỉnh sửa phát âm cho e mà h e đã đỡ hơn rất nhiều.
</t>
  </si>
  <si>
    <t>Trần Thị Khỏe</t>
  </si>
  <si>
    <t>Sau khi dạy nốt Hv Hậu sẽ nghỉ</t>
  </si>
  <si>
    <t>12/12/2025 Tốc độ và pp ok ạ
Còn phù hợp hay ko em học thêm vài buổi nữa sẽ phản hồi ạ</t>
  </si>
  <si>
    <t>17/12/2025 Tuyết ss nhiệt tình lắm luôn ạ</t>
  </si>
  <si>
    <t>25/12/2025 sau khi điều chỉnh thì ok hơn ạ</t>
  </si>
  <si>
    <t>Nguyễn Thị Ngọc Bích</t>
  </si>
  <si>
    <t>05/12/2025 Dạ mới học 1 buổi nên thời gian có hơi ít, ko nói được nhiều</t>
  </si>
  <si>
    <t>Nguyễn Thị Thùy Linh - kaiwa 2 ( 24/07/2025 ) - 001</t>
  </si>
  <si>
    <t>Bùi Thị Oanh</t>
  </si>
  <si>
    <t>Từ ngày 17/5 sau 2 tuần sẽ nghỉ chính thức</t>
  </si>
  <si>
    <t>08/12/2025Em vẫn nghe được ạ</t>
  </si>
  <si>
    <t>17/12/2025 dợi ph</t>
  </si>
  <si>
    <t>19/03/2026 @Chika Sensei dạ em cũng học thêm được kiến thức hơn ạ</t>
  </si>
  <si>
    <t>8/12/2025 Dạ được ạ</t>
  </si>
  <si>
    <t>Nguyễn Văn Khang - Kaiwa 2 (23/07/2025) - 001</t>
  </si>
  <si>
    <t xml:space="preserve">Nguyễn Thành Tới </t>
  </si>
  <si>
    <t>dạ học ổn a</t>
  </si>
  <si>
    <t>sau khi sang 1:1 thì em được kaiwa nhiều hơn</t>
  </si>
  <si>
    <t>Dạ em sẽ tự luyện tập thêm ạ
Em cảm ơn thầy cô đã hỗ trợ trong tg qua
Các ss rất nhiệt tình ạ</t>
  </si>
  <si>
    <t>08/12/2025 Dạ ok á ss . Thầy ns dễ nghe lắm
Phù hợp á ss</t>
  </si>
  <si>
    <t>GV321</t>
  </si>
  <si>
    <t>Tô Văn Luân - kaiwa 1 ( 26/07/2025 ) - 001</t>
  </si>
  <si>
    <t>15/12/2025 dạ ổn a</t>
  </si>
  <si>
    <t>25/12/2025 Dạ vâng, hiện tại thì học tốt nhé ss. Nhưng nhanh hết thời gian quá ạ. Mới học xíu là xong rồi 😂</t>
  </si>
  <si>
    <t>11/12/2025 Mới 1 buổi em cũng chưa đánh giá được ạ, hôm qua em cũng không biết là học từ bài 16, học thêm vài buổi nữa mới nhận định được.</t>
  </si>
  <si>
    <t>20/12/2025 30p trôi qua rất nhanh, em cũng dần quen rồi SS
Em có thể xem lại video bài học ở đâu SS</t>
  </si>
  <si>
    <t>Trần Thị Khả Vi</t>
  </si>
  <si>
    <t>Trần Khánh Lâm - kaiwa 2 ( 26/07/2025 ) - 001</t>
  </si>
  <si>
    <t>11/12/2025 Dạ phu hợp ạ</t>
  </si>
  <si>
    <t xml:space="preserve">HV còn 2 buổi mà mãi không học nốt </t>
  </si>
  <si>
    <t>11/12/2025 Buổi đầu nên cũng chưa biết ss ạ
ss hướng dẫn dễ hiểu</t>
  </si>
  <si>
    <t>17/12/2025 Quen rồi ss ạ</t>
  </si>
  <si>
    <t>10/01/2026 Dạ cũng vừa sức ss ạ
Học với Ss chinh vẫn ổn ạ
Các bài mới chưa làm khó được em lắm ạ. Còn 5 bài nữa ạ</t>
  </si>
  <si>
    <t>06h00</t>
  </si>
  <si>
    <t>canhnt/thaodtt</t>
  </si>
  <si>
    <t>Nguyễn Thái Vũ</t>
  </si>
  <si>
    <t>Phạm Văn Lương - kaiwa 1 ( 26/07/2025 ) - 001</t>
  </si>
  <si>
    <t>12/12/2025 @Chika Sensei vâng ạ em cũng đang cố gắng học ạ</t>
  </si>
  <si>
    <t>25/12/2025 Em cũng quen rồi ạ</t>
  </si>
  <si>
    <t>Nguyễn Ngọc Anh</t>
  </si>
  <si>
    <t>11/12/2025 Dạ ok lắm ss ơi, tốc độ với phương pháp dạy em thấy được ạ</t>
  </si>
  <si>
    <t>19/12/2025 E thấy ổn, phù hợp để luyện nói. Huyền ss rất nhiệt tình hỗ trợ tụi em á ss</t>
  </si>
  <si>
    <t>10/01/2025 đợi ph</t>
  </si>
  <si>
    <t>18/03/2026 Dạ ổn ss ơi, sau khoá học em thấy kỹ năng nghe tốt hơn, nghe được nhiều hơn với tự tin để nói hơn ạ. Tuy là con hơi bộp chộp, chưa sắp xếp câu chuẩn, đôi khi không rõ ý nhưng mà đã dạng hơn, có thể nói nhiều hơn.</t>
  </si>
  <si>
    <t>GV315</t>
  </si>
  <si>
    <t>Nguyễn Đức Thuần - kaiwa 2 ( 25/07/2025 ) - 001</t>
  </si>
  <si>
    <t>11/12/2025 Dạ được lắm ạ
Dạ nhiệt tình lắm ạ</t>
  </si>
  <si>
    <t>19/12/2025 Dạ rồi ạ
Dạ có phù hợp ạ</t>
  </si>
  <si>
    <t>11/12/2025  dạ Huyền ss dạy tốt ạ e thấy phù hợp với e ạ
dạ buổi đầu e còn hơi ngại buổi sau e sẽ cố gắng hơn ạ</t>
  </si>
  <si>
    <t>19/12/2025 Dạ e thấy phù hợp với e ạ giáo viên hỗ trợ nhiệt tình</t>
  </si>
  <si>
    <t>18/03/2026 dạ em thấy kaiwa e tốt hơn với tự tin hơn xíuu ạ</t>
  </si>
  <si>
    <t>joji/matsuo</t>
  </si>
  <si>
    <t>Trần Thị Ánh Minh - kaiwa 5 ( 26/07/2025 ) - 001
Trần Thị Ánh Minh - kaiwa 6 ( 28/07/2025 ) - 001</t>
  </si>
  <si>
    <t>11/12/2025  dạ tốt ạ
cô vui vẻ nên e thấy học thoải mái lắm ạ
GV nhiệt tình</t>
  </si>
  <si>
    <t>19/12/2025 dạ e đã quen rồi ạ</t>
  </si>
  <si>
    <t>Danh Trí Thẩm</t>
  </si>
  <si>
    <t>16/12/2025 Ss nói dễ hiểu, do buổi đầu nên chưa mượt lắm ạ</t>
  </si>
  <si>
    <t>25/12/2025 Quen r ss</t>
  </si>
  <si>
    <t>16/01/2026 @Chika Sensei Dạ bình thường ạ
Ss kaiwa nhìu, dễ hiểu ạ</t>
  </si>
  <si>
    <t>02/02/2026 Ss dạy dễ hiểu ạ</t>
  </si>
  <si>
    <t>Phó Thị Trà My</t>
  </si>
  <si>
    <t>16/12/2025 dạ không ạ ss dạy tận tình dễ hiểu ạ</t>
  </si>
  <si>
    <t>quyentn</t>
  </si>
  <si>
    <t>Trần Lê Nguyễn Thuý Ngọc - kaiwa 2 ( 26/07/2025 ) - 001</t>
  </si>
  <si>
    <t>16/12/2025 16:40 Little Dạ e thấy mình chưa theo kịp tốc độ của buổi học hôm qua ạ 
16:41 Little E sẽ cố gắng học thêm nhiều ở nhà để vào lớp có thể nói được nhiều hơn ạ
16:42 Little Buổi đầu e chưa quen với cũng chưa biết gì để kaiwa nhiều ạ</t>
  </si>
  <si>
    <t>16/01/2026 15:41 Little Dạ e cũng tạm thôi ạ 
15:41 Little Trên giấy thì được còn tự suy nghĩ rồi nói thì e vẫn chưa ổn ạ</t>
  </si>
  <si>
    <t>24/01/2026 19:06 Little Dạ em cảm nhận về trình độ của em vẫn chưa ổn
19:07 Little Chưa dùng nói được nhiều ạ</t>
  </si>
  <si>
    <t>Trương Thị Hồng Ánh</t>
  </si>
  <si>
    <t>05/01/2026 Dạ buổi đầu tạm ổn ss ạ</t>
  </si>
  <si>
    <t>16/01/2026 dạ quen r a</t>
  </si>
  <si>
    <t xml:space="preserve">Trần Thị Hà </t>
  </si>
  <si>
    <t>buổi đầu học ổn , Hôm qua thì e cũng sử dụng những gì mình có để kaiwa với ss. E mong là trung tâm cũng như ss sẽ cho e nhiều từ vựng để e nói đc nhiều hơn</t>
  </si>
  <si>
    <t xml:space="preserve">Huỳnh Ngọc Thuận </t>
  </si>
  <si>
    <t>20/12/2025 @Chika Sensei ok ss !!
dễ hiểu ss</t>
  </si>
  <si>
    <t>21/01/2026 cũng ok rồi ss!</t>
  </si>
  <si>
    <t>19/03/2026 đợi ph</t>
  </si>
  <si>
    <t>Hồ Diện - prekaiwa 1 ( 28/07/2025 ) - 001
Hồ Diện - kaiwa 1 ( 19/09/2025 ) - 001
Hồ Diện - kaiwa 2 ( 15/12/2025 ) - 001</t>
  </si>
  <si>
    <t>Nguyễn Duy Anh</t>
  </si>
  <si>
    <t>07/01/2026 E đây ạ
E bận nên ít cầm đth
Buổi đầu e chưa quen lắm do e chậm nhưng e sẽ cố găng hơn
Còn ss dạy rất ok ạ</t>
  </si>
  <si>
    <t>21/01/2026 Dạ e cũng đag bắt đc nhịp dần r ss ạ</t>
  </si>
  <si>
    <t>18/12/2025Dạ mới có học 1 buổi đầu tiên nên e nghĩ học thêm vài buổi nữa rồi e sẽ nêu cảm nhận của e ak 😂😂😂😂😂</t>
  </si>
  <si>
    <t>dạ học tốt lắm a</t>
  </si>
  <si>
    <t>10/06/2026 Dạ Giang ss dạy rất dễ hiểu và rất nhiệt tình ạ, hiện e cảm thấy bản thân mình tự tin giao tiếp hơn trc ạ</t>
  </si>
  <si>
    <t>13/7 Dạ e cảm thấy tự tin giao tiếp hơn ss ạ, và phản xạ nghe và trả lời cũng nhanh hơn ạ, e cảm ơn Giang ss đã dạy và hỗ trợ e nhiệt tình, vui vẻ và giúp e kaiwa tự nhiên hơn trong đời sống cũng như trong công việc ạ, e cũng cảm ơn ss bên phòng đào tạo đã  tạo điều kiện linh động trong giờ học cho e ạ, e cảm ơn ss rất nhiều ạ ❤️❤️❤️</t>
  </si>
  <si>
    <t>Dạ ss, e cũng cảm ơn ss và bên trung tâm đã luôn luôn tạo điều kiện xếp lịch học cũng như luôn lắng nghe và động viên e trong thời gian qua, thật sự e rất cảm ơn ạ, và e cũng gửi lời cảm ơn đến Giang ss luôn ạ, học với Giang giúp ích rất nhiều trong kaiwa đời sống và làm e tự tin hơn rất nhiều, học với Giang ss rất vui ạ, ss luôn nhẹ nhàng chỉnh từng lỗi nhỏ phát âm của e, cũng như luôn luôn động viên e trong lúc e học, e chúc các ss thật nhiều sức khoẻ ạ ❤️❤️❤️</t>
  </si>
  <si>
    <t xml:space="preserve">Nguyễn Thị Như Quỳnh </t>
  </si>
  <si>
    <t>24/12/2025 Học 30 phút nên chua kịp cảm nhận j hết ss ak</t>
  </si>
  <si>
    <t>19/03/2026 tiếng nhật hiện tại của e có tiến triển hơn trước nhưng những câu dài thì vẫn chưa nói được nhiều ak</t>
  </si>
  <si>
    <t xml:space="preserve">Võ Thị Nhung </t>
  </si>
  <si>
    <t>20/12/2025 Dạ học vs ss tiên dạy dễ hiểu ạ</t>
  </si>
  <si>
    <t>07h30
16h30</t>
  </si>
  <si>
    <t>NGUYỄN VĂN TIỆP - kaiwa 1 ( 28/07/2025 ) - 001</t>
  </si>
  <si>
    <t>25/12/2025 em thấy nói cũng dễ hiểu và ss đọc chậm và rõ ạ</t>
  </si>
  <si>
    <t>16/01/2026 Dạ rồi ạ</t>
  </si>
  <si>
    <t>11/02/2026 đơi ph</t>
  </si>
  <si>
    <t xml:space="preserve"> Nguyễn Xuân Hoàng Nhật</t>
  </si>
  <si>
    <t>22/12/2025 Dạ ổn ss ạ</t>
  </si>
  <si>
    <t>myntd</t>
  </si>
  <si>
    <t>GV394</t>
  </si>
  <si>
    <t>Lê Ngọc Ánh - kaiwa 1 ( 29/07/2025 ) - 001
Lê Ngọc Ánh - kaiwa 2 ( 22/10/2025 ) - 001</t>
  </si>
  <si>
    <t>Đinh Trọng Sỹ</t>
  </si>
  <si>
    <t>dạ ok a</t>
  </si>
  <si>
    <t>13/01/2026 Phù hợp so với em ạ</t>
  </si>
  <si>
    <t>16/04/2026 Em thấy em nghe cũng tốt hơn và nói cũng tốt hơn trước ạ</t>
  </si>
  <si>
    <t>Cao Thị Quỳnh Nga</t>
  </si>
  <si>
    <t>Hv bận quá muốn dừng khóa luôn</t>
  </si>
  <si>
    <t>09/01/2026 Dạ ổn ạ</t>
  </si>
  <si>
    <t>03/03/2026 @Chika Sensei e ns đc nhiêu  hơn ở công vc r ạ</t>
  </si>
  <si>
    <t>25/12/2025 Dạ hôm qua e học được ạ.
E cảm ơn ss ạ</t>
  </si>
  <si>
    <t>Phan Thanh Hạ - kaiwa 4 kaigo ( 25/07/2025 ) - 001</t>
  </si>
  <si>
    <t>22/12/2025 Dạ , em thấy tốt ạ
Tốc độ như vậy em cũng thấy ổn ạ
[Tin nhắn đã thu hồi]
Cũng mong ss thông cảm ạ , do nhiều khi cái đầu em nó thuộc hệ điều hành năm 2000 nên nhiều lúc rất dễ mà tự dưng quên ngang thôi ạ</t>
  </si>
  <si>
    <t>30/12/2025 Dạ e quen rồi ạ</t>
  </si>
  <si>
    <t>10/01/2026 Dạ , cũng có cải thiện
Có điều em vẫn chưa áp dụng vào phần ngữ pháp được nhiều ạ</t>
  </si>
  <si>
    <t>Dạ vâng, em cũng cảm ơn trung tâm và Tuyết ss nhiều ạ</t>
  </si>
  <si>
    <t>Lộc Thị Mỹ Anh</t>
  </si>
  <si>
    <t>30/1/2024
11/1/2022</t>
  </si>
  <si>
    <t>nguyenndh</t>
  </si>
  <si>
    <t>GV297</t>
  </si>
  <si>
    <t>Lê Tiến Cường - kaiwa 3 ( 28/07/2025 ) - 001</t>
  </si>
  <si>
    <t>22/12/2025 Dạ tốc độ của giáo viên phù hợp với em ạ.
Dạ có ạ, cô dạy nhiệt tình ạ</t>
  </si>
  <si>
    <t>26/12/2025 Dạ Huyền ss rất nhiệt tình ạ. Ss dạy rất kĩ ạ.
Dạ em thấy phù hợp rồi ạ</t>
  </si>
  <si>
    <t>10/01/2026 Dạ em học với Huyền sensei tốt ạ. Dạ em có áp dụng được kiến thức em đã học ạ.</t>
  </si>
  <si>
    <t>11/02/2026 Dạ em thấy em có tiến bộ hơn ạ. Em nói được nhiều câu hoàn chỉnh hơn. Nhớ được ngữ pháp tốt hơn ạ.</t>
  </si>
  <si>
    <t>19/03/2026 Dạ em đã vận dụng được rồi ạ. Điểm thi kaiwa của em đã cao hơn nhiều ạ.</t>
  </si>
  <si>
    <t>25/12/2025 Dạ ổn ạ mà SS cho em hỏi là học 4 người lận ạ</t>
  </si>
  <si>
    <t xml:space="preserve">Huỳnh Thị Ngọc Hồng </t>
  </si>
  <si>
    <t>30/12/2025 Dạ vẫn ổn ạ.</t>
  </si>
  <si>
    <t>14/01/2026 Dạ rồi ạ, cũng quen hơn ồi</t>
  </si>
  <si>
    <t>12/03/2026 Dạ vâng ạ vẫn bình thường ạ</t>
  </si>
  <si>
    <t xml:space="preserve">Bùi Hoàng Minh Lợi </t>
  </si>
  <si>
    <t>27/12/2025 Dạ bth ss ạ không vấn đề ss</t>
  </si>
  <si>
    <t>21/01/2026 Dạ quen rồi cô ạ...chỉ có điều cần thời gian để kaiwa lưu loát và kết nối câu từ thôi ss ah</t>
  </si>
  <si>
    <t xml:space="preserve">Nguyễn Thị Luyên </t>
  </si>
  <si>
    <t>30/12/2025 Đối với em thì em thấy nhanh ạ</t>
  </si>
  <si>
    <t>21/01/2026 @Chika Sensei Dạ em cũng quen r ạ</t>
  </si>
  <si>
    <r>
      <rPr>
        <rFont val="arial"/>
        <color theme="1"/>
      </rPr>
      <t xml:space="preserve">11h30
</t>
    </r>
    <r>
      <rPr>
        <rFont val="arial"/>
        <color rgb="FFFF0000"/>
      </rPr>
      <t>20h30</t>
    </r>
  </si>
  <si>
    <t>Bá Thị Thanh Bình - kaiwa 2 ( 31/07/2025 ) - 001</t>
  </si>
  <si>
    <t>25/12/2025 Dạ tốc độ bình thường ss ạ,nhưng em vẫn chưa quen với cách học này</t>
  </si>
  <si>
    <t xml:space="preserve">Đặng Bảo Linh </t>
  </si>
  <si>
    <t xml:space="preserve">HV k đóng thêm phí để bảo lưu lấy lý do bận quá không học dk </t>
  </si>
  <si>
    <t>30/12/2025 ới ngày đầu thì e thấy ổn ss ơi</t>
  </si>
  <si>
    <t>Lê Văn Thơm</t>
  </si>
  <si>
    <t>30/12/2025 Hết tuần rồi e trao đổi lại sau ạ . 1 buổi đầu thì chưa ạ .</t>
  </si>
  <si>
    <t>10/01/2026 今は大丈夫ですが、授業の進み方が少し早い気がします。</t>
  </si>
  <si>
    <t xml:space="preserve"> Phạm Minh Phú</t>
  </si>
  <si>
    <r>
      <rPr>
        <rFont val="arial"/>
        <color rgb="FFFF0000"/>
      </rPr>
      <t>10h30</t>
    </r>
    <r>
      <rPr>
        <rFont val="arial"/>
        <color theme="1"/>
      </rPr>
      <t xml:space="preserve">
17h30</t>
    </r>
  </si>
  <si>
    <t>08/01/2026 @Chika dạ tốt ạ
Hiền sa dạy vừa phải ạ</t>
  </si>
  <si>
    <t>21/01/2026 @Chika Sensei dạ, em quen rồi ah</t>
  </si>
  <si>
    <t>Trần Quốc Đông - kaiwa 2 ( 30/07/2025 ) - 001</t>
  </si>
  <si>
    <t>19/03/2026 Dạ e thấy tốt hơn rồi ạ</t>
  </si>
  <si>
    <t>Trương Văn Ngọc Chơn</t>
  </si>
  <si>
    <t>08/01/2026 E thấy như vậy là được rồi ạ.</t>
  </si>
  <si>
    <t>Lê Thị Phương Mai</t>
  </si>
  <si>
    <t>31/12/2025 E thấy ổn ạ
Phù hợp vs e ạ</t>
  </si>
  <si>
    <t>05/01/2026 E muốn đổi lộ trình học từ bài 16 luôn ạ</t>
  </si>
  <si>
    <t>14/7 Dạ ổn Ss ạ tốc độ vừa phải vs e ạ</t>
  </si>
  <si>
    <t>Phạm Nguyễn Nhật Anh</t>
  </si>
  <si>
    <t>05/01/2025 @Chika Sensei dạ ổn ạ</t>
  </si>
  <si>
    <t>14/01/2026 Dạ vâng, cx dần dần quen rồi ạ
Các bài đầu khá đơn giản nhưng, sau khi em xem sơ qua các ngữ pháp của các bài càng về sau thì... em cảm nhận được, có lẽ đang tăng dần độ khó đối với em, nên chắc có thể lộ trình này đang hợp hoặc có lẽ đang ổn với em ạ.</t>
  </si>
  <si>
    <t>Chu Thị Minh Châu</t>
  </si>
  <si>
    <t>huylq</t>
  </si>
  <si>
    <t>GV347</t>
  </si>
  <si>
    <t>K245018 - 001</t>
  </si>
  <si>
    <t xml:space="preserve">09/01/2026 Xin lỗi vì bây giờ em mới hồi âm.
Hôm qua e phải tăng ca đến 8h mới về.nên quên trả lời mất tiêu.Nhưng mà hôm nay cũng phải tăng ca đến 8 giờ ạ.nên có thể dời qua thứ 7 dc k ss
Về buổi học thì e thấy ok ạ.có thể học 1 tiếng dc k nhỉ,vì e thấy học 30p ít quá 🥹
</t>
  </si>
  <si>
    <t>Phùng Văn Trọng</t>
  </si>
  <si>
    <t>08/01/2026 Dạ cũng ổn,ss nhiệt tình vui tính,chỉ là lần đầu e học khóa học này nên hơi bỡ ngỡ và về phần kaiwa của e thì còn yếu nên chưa thể giao tiếp tốt với ss</t>
  </si>
  <si>
    <t>Nguyễn Chúc</t>
  </si>
  <si>
    <t>diemvk</t>
  </si>
  <si>
    <t>Nguyễn Thành Tài - kaiwa 3 NHKS ( 02/08/2025 ) - 001</t>
  </si>
  <si>
    <t>05/01/2025 Dạ ss giảng bài e dễ hiểu lắm ạ
E thấy thoải mái khi giao tiếp cùng với ss ạ</t>
  </si>
  <si>
    <t>14/01/2026 @Chika Sensei e chào ss 
Hiện tại e đã quen với phương pháp học trực tuyến của nhà trường rồi ạ . 
E cảm ơn ss</t>
  </si>
  <si>
    <t>jlpt n5, n4 cho em trên app thì em hoặc bạn em có thể tự học nhé( thời hạn là trong năm 2026)</t>
  </si>
  <si>
    <t xml:space="preserve">Đỗ Thị Lệ Nga </t>
  </si>
  <si>
    <r>
      <rPr>
        <rFont val="arial"/>
        <color theme="1"/>
      </rPr>
      <t xml:space="preserve">10h50
</t>
    </r>
    <r>
      <rPr>
        <rFont val="arial"/>
        <color rgb="FFFF0000"/>
      </rPr>
      <t>19h40</t>
    </r>
  </si>
  <si>
    <t>Võ Thành Phước - kaiwa 2 ( 31/07/2025 ) - 001</t>
  </si>
  <si>
    <t>14/01/2026 dạ ổn ss a</t>
  </si>
  <si>
    <t>22/05/2026 đợi ph</t>
  </si>
  <si>
    <t>Trần Thị Nhung</t>
  </si>
  <si>
    <t>06/01/2026 Dạ GV thì dạy kh có vấn đề
Nhưng mà e muốn là khi e kaiwa ,thì ss sửa ngữ pháp khi e nói bị sai á ss</t>
  </si>
  <si>
    <t>Phản Hồi CSKH_PDT</t>
  </si>
  <si>
    <t>Link</t>
  </si>
  <si>
    <t>Nguyễn Trọng Lợi</t>
  </si>
  <si>
    <t>Báo cáo chăm sóc học viên theo buổi</t>
  </si>
  <si>
    <t>Sinhnt/nunt</t>
  </si>
  <si>
    <t>LÊ VĂN ANH ĐỨC - kaiwa 3 ( 01/08/2025 ) - 001</t>
  </si>
  <si>
    <t>List video youtube của Edura</t>
  </si>
  <si>
    <t>Video lớp dạy mẫu</t>
  </si>
  <si>
    <t>Báo cáo đầu tuần</t>
  </si>
  <si>
    <t>Vũ Bùi Công Minh</t>
  </si>
  <si>
    <t>Báo cáo tuần điền sl</t>
  </si>
  <si>
    <t>LInk</t>
  </si>
  <si>
    <t>Tổng HV</t>
  </si>
  <si>
    <t>Ngô Việt Hoàng - kaiwa 1 ( 01/08/2025 ) - 001
Ngô Việt Hoàng - kaiwa 2 ( 17/09/2025 ) - 001</t>
  </si>
  <si>
    <t>Test đầu vào Kaiwa</t>
  </si>
  <si>
    <t>Lương Văn Tài</t>
  </si>
  <si>
    <t>Kaiwa 3 - script</t>
  </si>
  <si>
    <t>Lộ trình</t>
  </si>
  <si>
    <t>2025-08-09
2026-03-28</t>
  </si>
  <si>
    <t>Chấm điểm BTVN</t>
  </si>
  <si>
    <t>09h00
19h00</t>
  </si>
  <si>
    <t>hanhlth/chiph</t>
  </si>
  <si>
    <t>GV478</t>
  </si>
  <si>
    <t>Lương Thị Lê - kaiwa 2 ( 31/07/2025 ) - 001
Lương Thị Lê - kaiwa 1 ( 07/04/2026 ) - 001</t>
  </si>
  <si>
    <t>Bàn giao HV chuyển nhượng Kaiwa</t>
  </si>
  <si>
    <t>Bàn giao HV chuyển nhượng JLPT</t>
  </si>
  <si>
    <t>Đặng Minh Đức</t>
  </si>
  <si>
    <t>Check BTVN</t>
  </si>
  <si>
    <t>Test đầu vào JLPT</t>
  </si>
  <si>
    <t>Doãn Thị Hương</t>
  </si>
  <si>
    <t>Submit HV hoàn thiện học phí</t>
  </si>
  <si>
    <t>2025-08-08
2026-01-10</t>
  </si>
  <si>
    <t>Bài test Kanji</t>
  </si>
  <si>
    <t>huyennt</t>
  </si>
  <si>
    <t>Trần Ngọc Như Anh - kaiwa 1 ( 01/08/2025 ) - 001</t>
  </si>
  <si>
    <t>Nguyễn Thái Hoàng</t>
  </si>
  <si>
    <t>Nguyễn Công Bình</t>
  </si>
  <si>
    <t>học dk 2 buổi sau đó k liên lạc dk nữa</t>
  </si>
  <si>
    <t>Nguyễn Văn Linh</t>
  </si>
  <si>
    <t>Trần Quang Vinh</t>
  </si>
  <si>
    <t>Danh Hoàng Thủ</t>
  </si>
  <si>
    <t>CVHT Copy từ sheet chăm sóc từ cột A=&gt;0
Bước 1: Lọc trạng thái đang học &amp; số buổi còn lại 
Bước 2: Paste vào file này</t>
  </si>
  <si>
    <t>Đặng Văn Thái - kaiwa 5 ( 01/08/2025 ) - 001</t>
  </si>
  <si>
    <t>Tái tục</t>
  </si>
  <si>
    <t>Note nội dung &amp; tình trạng tái tục các lần</t>
  </si>
  <si>
    <r>
      <rPr>
        <rFont val="arial"/>
        <color rgb="FFFF0000"/>
      </rPr>
      <t>19h30</t>
    </r>
    <r>
      <rPr>
        <rFont val="arial"/>
        <color theme="1"/>
      </rPr>
      <t xml:space="preserve">
19h00</t>
    </r>
  </si>
  <si>
    <t xml:space="preserve">Tháng
</t>
  </si>
  <si>
    <t>GV361</t>
  </si>
  <si>
    <t>TRẦN NGỌC HẢI - kaiwa 2 ( 04/08/2025 ) - 001</t>
  </si>
  <si>
    <t>Hoàng Đăng Đạt</t>
  </si>
  <si>
    <t>Hv bận quá xin bảo lưu</t>
  </si>
  <si>
    <t xml:space="preserve">Võ Thị Hồng Nhung </t>
  </si>
  <si>
    <t>Nguyễn Bảo Trân - kaiwa 3 ( 04/08/2025 ) - 001
Nguyễn Bảo Trân - kaiwa 4 ( 29/10/2025 ) - 001</t>
  </si>
  <si>
    <t>Tòng Thị Mai</t>
  </si>
  <si>
    <t>nhungptc</t>
  </si>
  <si>
    <t>Đỗ Thị Ngọc</t>
  </si>
  <si>
    <t>GV04</t>
  </si>
  <si>
    <t>K145021 - 001</t>
  </si>
  <si>
    <t>Nhút nhát ngại nói</t>
  </si>
  <si>
    <t>Bùi Thị Mỹ Hương - kaiwa 3 ( 04/08/2025 ) - 001</t>
  </si>
  <si>
    <t>k liên lạc dk cho kết thúc</t>
  </si>
  <si>
    <t>Phạm Văn Nam - kaiwa 2 ( 05/08/2025 ) - 001
Phạm Văn Nam - kaiwa 3 ( 13/11/2025) - 001</t>
  </si>
  <si>
    <t>Nguyễn Hoàng Tuấn</t>
  </si>
  <si>
    <t>Nguyễn Thị An</t>
  </si>
  <si>
    <t>izumi/hangktt/ngantlk</t>
  </si>
  <si>
    <t>Hà Mai Thy - Kaiwa 3 - NHKS (01/08/2025) - 001
Hà Mai Thy - kaiwa 4 NHKS ( 18/10/2025 ) - 001</t>
  </si>
  <si>
    <t>Nguyễn Văn Dũng</t>
  </si>
  <si>
    <t>K145020 - 001</t>
  </si>
  <si>
    <t>huongtt/thupt</t>
  </si>
  <si>
    <t>GV313</t>
  </si>
  <si>
    <t>Trần Thị Thảo Vân - kaiwa 2 ( 06/08/2025 ) - 001</t>
  </si>
  <si>
    <t>đổi khóa kaiwa 4 sang học JLPT N3 nhóm  đã học)</t>
  </si>
  <si>
    <t>Lữ Thị Thu Hiền</t>
  </si>
  <si>
    <t>Nguyễn Văn Tuấn - kaiwa 2 ( 07/08/2025 ) - 001
Nguyễn Văn Tuấn - kaiwa 3 ( 01/11/2025 ) - 001</t>
  </si>
  <si>
    <t>Hoàng Thị Ngọc Huyền - kaiwa 2 ( 04/08/2025 ) - 001
Hoàng Thị Ngọc Huyền - kaiwa 3 ( 08/10/2025 ) - 001</t>
  </si>
  <si>
    <t>ÔN BẢO THÀNH DANH - kaiwa 3 ( 06/08/2025 ) - 001
ÔN BẢO THÀNH DANH - kaiwa 4 ( 01/10/2025 ) - 001</t>
  </si>
  <si>
    <t>Dương Thị Như Quỳnh</t>
  </si>
  <si>
    <t>Nguyễn Tro Tnics - kaiwa 2 ( 07/08/2025 ) - 001</t>
  </si>
  <si>
    <t>Nguyễn Anh Thiện</t>
  </si>
  <si>
    <t>Nguyễn Thị Thuận</t>
  </si>
  <si>
    <t>Học viên thái độ k tốt lắm có tiến bộ nhưng phản hồi k hay lắm</t>
  </si>
  <si>
    <t>Phan Thị Thúy Phượng - kaiwa 3 ( 06/08/2025 ) - 001</t>
  </si>
  <si>
    <t>HV bận nên chỉ học nốt số buổi</t>
  </si>
  <si>
    <t>Đoàn Thị Yến Nhi - kaiwa 1 ( 07/08/2025 ) - 001</t>
  </si>
  <si>
    <t>GV392</t>
  </si>
  <si>
    <t>Mai Thị Kiều Trinh - kaiwa 2 ( 06/08/2025 ) - 001</t>
  </si>
  <si>
    <t>Vương Thị Như Quỳnh - kaiwa 1 ( 06/08/2025) - 001
Vương Thị Như Quỳnh - kaiwa 2 ( 15/10/2025 ) - 001</t>
  </si>
  <si>
    <t>Nguyễn Thương Đạt</t>
  </si>
  <si>
    <t>dungnt</t>
  </si>
  <si>
    <t>Hán Hoàng Sơn - kaiwa 2 ( 21/08/2025 ) - 001</t>
  </si>
  <si>
    <t>Dương Như Thảo</t>
  </si>
  <si>
    <t>Mẹ bị ốm về Vn nên là quy đổi số tiền còn lại là 3.750k quy đổi ra khóa video N5-&gt; N2 ( 3 năm)</t>
  </si>
  <si>
    <r>
      <rPr>
        <rFont val="arial"/>
        <color rgb="FFFF0000"/>
      </rPr>
      <t>08h00</t>
    </r>
    <r>
      <rPr>
        <rFont val="arial"/>
        <color theme="1"/>
      </rPr>
      <t xml:space="preserve">
20h00</t>
    </r>
  </si>
  <si>
    <t>Trương Thị Tuyết Nhung - kaiwa 2(18/08/2025) - 001</t>
  </si>
  <si>
    <t>Đỗ Xuân Lãm</t>
  </si>
  <si>
    <t>Nguyễn Văn Bảo</t>
  </si>
  <si>
    <t>nguyenndh/nunt</t>
  </si>
  <si>
    <t>Hà Thị Nguyệt - kaiwa 3 ( 07/08/2025) - 001</t>
  </si>
  <si>
    <t>Bùi Xuân Tỉnh</t>
  </si>
  <si>
    <t>Nguyễn Thị Thanh Thiên - Kaiwa 3 (08/08/2025) - 001</t>
  </si>
  <si>
    <t>Học 5g nên là bị kém</t>
  </si>
  <si>
    <t>Từ Mỹ Hoa - Kaiwa 3 (08/08/2025) - 001</t>
  </si>
  <si>
    <t>Nguyễn Thị Thúy An</t>
  </si>
  <si>
    <t>lanntn</t>
  </si>
  <si>
    <t>Nguyễn Thị Thanh Tâm - Kaiwa 1 (08/08/2025) - 001</t>
  </si>
  <si>
    <t>Nguyễn Ngân</t>
  </si>
  <si>
    <t>NGUYỄN BÁ HOÀNG THÁI - Kaiwa 2 (08/08/2025) - 001</t>
  </si>
  <si>
    <t>Trịnh Thị Hồng Quyên</t>
  </si>
  <si>
    <t>nhungpth</t>
  </si>
  <si>
    <t>Đoàn Thị Hương - Kaiwa 1 (08/08/2025) - 001</t>
  </si>
  <si>
    <r>
      <rPr>
        <rFont val="arial"/>
        <color theme="1"/>
      </rPr>
      <t xml:space="preserve">14h00
</t>
    </r>
    <r>
      <rPr>
        <rFont val="arial"/>
        <color rgb="FFFF0000"/>
      </rPr>
      <t>18h00</t>
    </r>
  </si>
  <si>
    <t>Đinh Kiều Tú Oanh - Kaiwa 4 (09/08/2026) - 001</t>
  </si>
  <si>
    <t>Lê Thị Trúc Ly</t>
  </si>
  <si>
    <r>
      <rPr>
        <rFont val="arial"/>
        <color theme="1"/>
      </rPr>
      <t xml:space="preserve">10h30
</t>
    </r>
    <r>
      <rPr>
        <rFont val="arial"/>
        <color rgb="FFFF0000"/>
      </rPr>
      <t>19h00</t>
    </r>
  </si>
  <si>
    <t>Nguyễn Đình Tới - kaiwa 2 ( 08/08/2025 ) - 001
Nguyễn Đình Tới - kaiwa 3 ( 01/12/2025 ) - 001</t>
  </si>
  <si>
    <t xml:space="preserve">học đều ổn k có vấn đề gì
bé chăm chỉ chịu khó </t>
  </si>
  <si>
    <t>Lê Quang Tín</t>
  </si>
  <si>
    <t>HV bận nên xem qua record
Buổi 1 đã vắng và chỉ vào có 1 chút 
Liên hệ thì kêu bận nên là sẽ học record</t>
  </si>
  <si>
    <t>Nguyễn Thị Ngọc Huyền - kaiwa 2 ( 08/08/2025 ) - 001</t>
  </si>
  <si>
    <t>Võ Thị Kim Nhung</t>
  </si>
  <si>
    <t>K liên lạc dk tạm thời dừng lớp</t>
  </si>
  <si>
    <t>myntd/truôngt</t>
  </si>
  <si>
    <t>Hồ Thị Lương - kaiwa 3 ( 09/08/2025 ) - 001</t>
  </si>
  <si>
    <t>fukuda</t>
  </si>
  <si>
    <t>Nguyễn Văn Hưng - kaiwa 4 ( 09/08/2025) - 001</t>
  </si>
  <si>
    <t>Lê Thị Hồng Ngân</t>
  </si>
  <si>
    <t xml:space="preserve">buổi 1 bận không vào học dk 
Hv về Vn phẫu thuật tay nên là buổi học buổi không </t>
  </si>
  <si>
    <t>19h35</t>
  </si>
  <si>
    <t>Đào Thị Yên - kaiwa 3 ( 09/08/2025 ) - 001</t>
  </si>
  <si>
    <t>10h30</t>
  </si>
  <si>
    <t>Nguyễn Thị Thanh Trang - kaiwa 2 ( 12/08/2025 ) - 001</t>
  </si>
  <si>
    <t>Quách Đỗ Vân Nhi - kaiwa 3 ( 12/08/2025 ) - 001</t>
  </si>
  <si>
    <t>Lê Thị Bích Vân</t>
  </si>
  <si>
    <t>2025-11-08
2026-09-15</t>
  </si>
  <si>
    <t>Huỳnh Thị Kim Sen - kaiwa 2 ( 12/08/2025 ) - 001
Huỳnh Thị Kim Sen - kaiwa 3 ( 26/05/2026 ) - 001
Huỳnh Thị Kim Sen - kaiwa 4 ( 11/09/2026 ) - 001</t>
  </si>
  <si>
    <t>zalo mất kết nối tk k tồn tại, đã nhờ mkt liên hệ 
30/6/2026</t>
  </si>
  <si>
    <t xml:space="preserve">Nguyễn Chánh Phước </t>
  </si>
  <si>
    <t>Võ Thuyên Trúc</t>
  </si>
  <si>
    <t xml:space="preserve">Hv đi nước khác nên muốn ngừng </t>
  </si>
  <si>
    <t>Nguyễn Thị Phuong</t>
  </si>
  <si>
    <t>Nguyễn Dương Thuận</t>
  </si>
  <si>
    <t xml:space="preserve">Liên lạc k phản hồi cho dừng khóa đã nhờ sale liên hệ cũng không được </t>
  </si>
  <si>
    <t>NGUYỄN VĂN CHUNG - kaiwa 4 ( 14/08/2025 ) - 001</t>
  </si>
  <si>
    <t>hv yếu hay phải nhắc nhửo chuẩn bị bài</t>
  </si>
  <si>
    <t xml:space="preserve">Nguyễn Thị Hoa </t>
  </si>
  <si>
    <t>07h00</t>
  </si>
  <si>
    <t>thamtt/quyentn/dungnt</t>
  </si>
  <si>
    <t>Trần Thu Hà - kaiwa 1 ( 13/08/2025 ) - 001
Trần Thu Hà - kaiwa 2 ( 03/11/2025 ) - 001</t>
  </si>
  <si>
    <t>truongot</t>
  </si>
  <si>
    <t>Phan văn Hiệp - kaiwa 2 ( 14/08/2025 ) - 001</t>
  </si>
  <si>
    <t>đang có ý chuyển cho em gái sang khóa N5 nhóm</t>
  </si>
  <si>
    <t>Hv muốn bảo lưu nhưng ms hoàn thiện lần 1 nhắn k phản hồi</t>
  </si>
  <si>
    <t>Ngô Thị Lan Hương - kaiwa 2 ( 18/08/2025 ) - 001</t>
  </si>
  <si>
    <t>Phạm Thị Tho</t>
  </si>
  <si>
    <t>đổi sang khóa combo N4N5</t>
  </si>
  <si>
    <t>thoatt</t>
  </si>
  <si>
    <t>GV37</t>
  </si>
  <si>
    <t>Đặng Thị Vân Anh - kaiwa 2 ( 18/08/2025 ) - 001</t>
  </si>
  <si>
    <t>đã lên k2</t>
  </si>
  <si>
    <t>Nguyễn Quốc Dinh - kaiwa 3 ( 16/08/2025 ) - 001</t>
  </si>
  <si>
    <t>08h30
15h30</t>
  </si>
  <si>
    <t>Ngô Thị Ngọc Oanh - kaiwa 4 kaigo ( 18/08/2025 ) - 001</t>
  </si>
  <si>
    <t>Bùi Nguyễn Tố Trinh</t>
  </si>
  <si>
    <t>đang nghỉ đến 18/6</t>
  </si>
  <si>
    <t>huyenct/ngaltt</t>
  </si>
  <si>
    <t>GV429</t>
  </si>
  <si>
    <t>NGUYỄN PHƯƠNG MÂY - kaiwa 3 ( 19/08/2025 ) - 001</t>
  </si>
  <si>
    <t>bận quá xin bảo lưu T7 về nước rồi học
24/8: đóng phí bảo lưu 500k</t>
  </si>
  <si>
    <t>Hoàng Đức Văn</t>
  </si>
  <si>
    <t>05h00</t>
  </si>
  <si>
    <t>Ueno/hattt</t>
  </si>
  <si>
    <t>Dương Thị Thủy - kaiwa 3 ( 20/08/2025 ) - 001
Dương Thị Thủy - kaiwa 4 ( 14/09/2026 ) - 001</t>
  </si>
  <si>
    <t>Trương Khánh Hoàng</t>
  </si>
  <si>
    <t>Hv rất ít khi tương tác lại mặc dù nhắn rất nhiêuuf lần</t>
  </si>
  <si>
    <t>hcoj viên thấy học 30' ít quá nên đòi hoàn phí. Đã gọi hỗ trợ hướng dẫn tạm thời dừng học, chuyển nhượng ng khác</t>
  </si>
  <si>
    <t>NGuyễn Mai Thi - kaiwa 1 ( 20/08/2025 ) - 001</t>
  </si>
  <si>
    <t>Đỗ Hữu Thi</t>
  </si>
  <si>
    <t>GV398</t>
  </si>
  <si>
    <t>Võ Thành Thương - kaiwa 2 ( 21/08/2025 ) - 001</t>
  </si>
  <si>
    <t>Hv nhắn nhiều lần k rep</t>
  </si>
  <si>
    <t>Nguyễn Thị Hạnh - kaiwa 2 ( 21/08/2025 ) - 001</t>
  </si>
  <si>
    <t xml:space="preserve">Lê Thành Đạt </t>
  </si>
  <si>
    <t>vytd</t>
  </si>
  <si>
    <t>GV405</t>
  </si>
  <si>
    <t>Nguyễn Thị Mai - kaiwa 1 ( 22/08/2025 ) - 001</t>
  </si>
  <si>
    <t>Phạm Thị Hà</t>
  </si>
  <si>
    <t>08h30
19h00</t>
  </si>
  <si>
    <t>chiqh</t>
  </si>
  <si>
    <t>Ngô Minh Quân - kaiwa 2 ( 20/08/2025 ) - 001</t>
  </si>
  <si>
    <t>học K2 khó nên đổi xuống K1 học từ bài 1</t>
  </si>
  <si>
    <t>Phạm Thị Lê - Kaiwa 2 (16/08/2025) - 001</t>
  </si>
  <si>
    <t>Nguyễn Văn Truyền</t>
  </si>
  <si>
    <t>HV dùng đt android tiếng bé không nghe được đã chuyển meet</t>
  </si>
  <si>
    <t>ngaltt</t>
  </si>
  <si>
    <t>Nguyễn Thị Thùy Linh - Kaiwa 2 (16/08/2025) - 001</t>
  </si>
  <si>
    <t xml:space="preserve">Nguyễn Phương Trà </t>
  </si>
  <si>
    <t>Trần Quốc Huy</t>
  </si>
  <si>
    <t>Vũ Văn Dũng - kaiwa 2 ( 22/08/2025 ) - 001</t>
  </si>
  <si>
    <t>hv học chậm nên sẽ học từ từ 2 buổi/ bài</t>
  </si>
  <si>
    <t>Hồ Thị Lý</t>
  </si>
  <si>
    <t>Bùi Ngọc Hà - kaiwa 2 ( 25/08/2025 ) - 001</t>
  </si>
  <si>
    <t>Hoàng Xuân Hưng</t>
  </si>
  <si>
    <t>Vũ Thị Tâm</t>
  </si>
  <si>
    <t>huyenct/hientt</t>
  </si>
  <si>
    <t>Lã Hoài Nam - kaiwa 1 ( 23/08/2025 ) - 001
Lã Hoài Nam - kaiwa 2 ( 20/12/2025 ) - 001</t>
  </si>
  <si>
    <t xml:space="preserve">học viên chỉ học ngày nghỉ nên rất ít tham gia học </t>
  </si>
  <si>
    <t xml:space="preserve">Hồ Thị Anh Thư </t>
  </si>
  <si>
    <t xml:space="preserve">Hv lớn tuổi, chậm tiếp thu </t>
  </si>
  <si>
    <t xml:space="preserve">Nguyễn Thu Trang </t>
  </si>
  <si>
    <t>09h00</t>
  </si>
  <si>
    <t>Nguyễn Thị Như Quỳnh - kaiwa 2 ( 25/08/2025 ) - 001</t>
  </si>
  <si>
    <t>lên k4 rùi chưa học</t>
  </si>
  <si>
    <t>Dạ tốc độ của cô em nghe đơn giản dễ hiểu, bài học e cũng dễ nhưng e nói chuyện hơi bị gượng, không biết cô có cảm nhận thế không. E vẫn mong muốn cô góp ý cho e cách em nch, câu văn cho mạnh lạc hơn ạ.</t>
  </si>
  <si>
    <t>13h15</t>
  </si>
  <si>
    <t>47Cn</t>
  </si>
  <si>
    <t>GV395</t>
  </si>
  <si>
    <t>Đặng Thị Lương - kaiwa 2 ( 23/08/2025 ) - 001</t>
  </si>
  <si>
    <t>Nguyễn Nhật Trịnh</t>
  </si>
  <si>
    <t>Hv muốn học theo kaiwa tự do thay vì dựa giáotrn trung tâm đã thống nhất</t>
  </si>
  <si>
    <t>Tiêu Thị Hoàng Anh - kaiwa 4 ( 25/08/2025 ) - 001</t>
  </si>
  <si>
    <t xml:space="preserve">học 4b K1 thấy dễ nên đổi lên K2 bài 1 học tới bài 7 K3 </t>
  </si>
  <si>
    <t xml:space="preserve">Đỗ Phương Thảo </t>
  </si>
  <si>
    <t>Đào Thu Hăng</t>
  </si>
  <si>
    <t>2025-08-28
2026-13-04</t>
  </si>
  <si>
    <t>bận quá muốn bảo lưu</t>
  </si>
  <si>
    <t>nhunglnt/myht</t>
  </si>
  <si>
    <t>Đoàn Thị Hằng - kaiwa 1 ( 25/08/2025 ) - 001
Đoàn Thị Hằng - kaiwa 2 ( 15/01/2026 ) - 001
Đoàn Thị Hằng - kaiwa 3 ( 20/06/2026 ) - 001</t>
  </si>
  <si>
    <t>Lữ Thi Ngọc Trầm</t>
  </si>
  <si>
    <t>Phan Văn Kiên - kaiwa 6 ( 27/08/2025 ) - 001</t>
  </si>
  <si>
    <t>học dk 2 buổi đòi đổi khóa JLPT, đã hướng đổi Gv trc học thử</t>
  </si>
  <si>
    <t xml:space="preserve">Đào Thị Lệ </t>
  </si>
  <si>
    <t>Hoàng Nguyễn Thu Huyền</t>
  </si>
  <si>
    <t>GV400</t>
  </si>
  <si>
    <t>K345009 - 001</t>
  </si>
  <si>
    <t>Vương Quốc Khánh</t>
  </si>
  <si>
    <r>
      <rPr>
        <rFont val="arial"/>
        <color rgb="FFFF0000"/>
      </rPr>
      <t>08h30</t>
    </r>
    <r>
      <rPr>
        <rFont val="arial"/>
        <color theme="1"/>
      </rPr>
      <t xml:space="preserve">
16h00</t>
    </r>
  </si>
  <si>
    <t>Chu Văn Lộc - kaiwa 2 ( 27/08/2025 ) - 001</t>
  </si>
  <si>
    <t>nt nhiều làn k rep, hv k phản hồi đã nhờ sale liên hệ vì k vào học</t>
  </si>
  <si>
    <t xml:space="preserve">Lê Bảo Minh </t>
  </si>
  <si>
    <t>18h25</t>
  </si>
  <si>
    <t>Nguyễn Thị Thanh Bình - kaiwa 3 ( 27/08/2025 ) - 001</t>
  </si>
  <si>
    <t>21h30</t>
  </si>
  <si>
    <t xml:space="preserve">Trần Thúy Hằng </t>
  </si>
  <si>
    <t>Cao Thị Minh Thảo - kaiwa 2 ( 28/08/2025 ) - 001</t>
  </si>
  <si>
    <t>Nguyễn Trần Anh Vũ - prekaiwa 2 ( 30/08/2025) - 001
Nguyễn Trần Anh Vũ - kaiwa 1 ( 03/11/2025 ) - 001</t>
  </si>
  <si>
    <t>K345011 - 001</t>
  </si>
  <si>
    <t>cv bận quá nên là muốn xin bảo lưu 1 thời gain</t>
  </si>
  <si>
    <t>Học viên lười học, rất hay xin nghỉ</t>
  </si>
  <si>
    <t>Hoàng Thị Hảo - kaiwa 3 ( 30/08/2025 ) - 001</t>
  </si>
  <si>
    <t xml:space="preserve">HV out nhóm kết thúc học </t>
  </si>
  <si>
    <t>Nguyễn Văn Hưng - Kaiwa 1 (25/08/2025) - 001</t>
  </si>
  <si>
    <t>Nguyễn Thị Bích Trân</t>
  </si>
  <si>
    <t>anhnt/chiqh</t>
  </si>
  <si>
    <t>GV410</t>
  </si>
  <si>
    <t xml:space="preserve">bận chưa học dk </t>
  </si>
  <si>
    <r>
      <rPr>
        <rFont val="arial"/>
        <color theme="1"/>
      </rPr>
      <t xml:space="preserve">13h00
</t>
    </r>
    <r>
      <rPr>
        <rFont val="arial"/>
        <color rgb="FFFF0000"/>
      </rPr>
      <t>20h00</t>
    </r>
  </si>
  <si>
    <t>hattp/chiph</t>
  </si>
  <si>
    <t>GV277</t>
  </si>
  <si>
    <t>Trần Quyết Thắng - kaiwa 3 ( 29/08/2025 ) - 001</t>
  </si>
  <si>
    <t xml:space="preserve">hv đang báo đòi học cô yoko như quảng cáo báo k dạy nữa, thfi đòi tiền. Đã nhắn gọi giải thích thì lâu lâu lại lên để nhắn </t>
  </si>
  <si>
    <t>tomizuka/joji</t>
  </si>
  <si>
    <t>GV74</t>
  </si>
  <si>
    <t>Văn Viết Trung - kaiwa 5 ( 04/09/2025 ) - 001
Văn Viết Trung - kaiwa 6 ( 09/09/2025 ) - 001</t>
  </si>
  <si>
    <t>Nguyễn Thị Trọng</t>
  </si>
  <si>
    <t>Lê Xuân Cường</t>
  </si>
  <si>
    <t>Nguyễn Ngọc Gấm - kaiwa 2 ( 04/09/2025 ) - 001</t>
  </si>
  <si>
    <t>Lê Quang Anh - kaiwa 2 ( 04/09/2025 ) - 001</t>
  </si>
  <si>
    <t xml:space="preserve">Vũ Trọng Giang </t>
  </si>
  <si>
    <t>Liêu Hoàng Nhân - kaiwa 2 ( 05/09/2025 ) - 001
 Liêu Hoàng Nhân - kaiwa 3 ( 24/11/2025 ) - 001</t>
  </si>
  <si>
    <t>chuyển JLPT</t>
  </si>
  <si>
    <t xml:space="preserve">Nguyễn Quốc Phố </t>
  </si>
  <si>
    <t>12h30
19h30</t>
  </si>
  <si>
    <t>Phạm Thị Mỹ Hạnh - kaiwa 2 ( 05/09/2025 ) - 001
Phạm Thị Mỹ Hạnh - kaiwa 1 ( 05/09/2025 ) - 001</t>
  </si>
  <si>
    <t xml:space="preserve">Bùi Sỹ Thoại </t>
  </si>
  <si>
    <t>Nguyễn Minh Chánh - kaiwa 2 ( 06/09/2025) - 001
Nguyễn Minh Chánh - kaiwa 3 ( 27/12/2025 ) - 001</t>
  </si>
  <si>
    <r>
      <rPr>
        <rFont val="arial"/>
        <color theme="1"/>
      </rPr>
      <t xml:space="preserve">13h00
</t>
    </r>
    <r>
      <rPr>
        <rFont val="arial"/>
        <color rgb="FFFF0000"/>
      </rPr>
      <t>19h30</t>
    </r>
  </si>
  <si>
    <t>Huỳnh Kim Ngân - kaiwa 1 ( 06/09/2025 ) - 001
Huỳnh Kim Ngân - kaiwa 2 ( 06/01/2026) - 001</t>
  </si>
  <si>
    <t>Dương Thị Quỳnh Như</t>
  </si>
  <si>
    <t>học viên 1 buổi k vào học, sale thông báo muốn dừng học hỏi lý do k phản hồi</t>
  </si>
  <si>
    <t>Hồng Yến - kaiwa 2 ( 05/09/2025 ) - 001</t>
  </si>
  <si>
    <t>Bùi Cẩm Tú - kaiwa 2 ( 05/09/2025 ) - 001</t>
  </si>
  <si>
    <t>học viên tiến bộ tốt, nhưng rất tự ti hỏi lúc nào cũng em vẫn còn kém :))</t>
  </si>
  <si>
    <t>Tăng Quế Hải - Kaiwa 1 (30/08/2025) - 001
Tăng Quế Hải - kaiwa 2 ( 03/12/2025 ) - 001</t>
  </si>
  <si>
    <t>Nguyễn Gia Ngọc</t>
  </si>
  <si>
    <t>GV307</t>
  </si>
  <si>
    <t>K145023 - 001
K245026 - 001</t>
  </si>
  <si>
    <t>đóng 500k bảo lưuu</t>
  </si>
  <si>
    <t>Vy Ngọc Kiều</t>
  </si>
  <si>
    <t>ốm đi viện nên bảo lưu</t>
  </si>
  <si>
    <r>
      <rPr>
        <rFont val="arial"/>
        <color theme="1"/>
      </rPr>
      <t xml:space="preserve">06h00
</t>
    </r>
    <r>
      <rPr>
        <rFont val="arial"/>
        <color rgb="FFFF0000"/>
      </rPr>
      <t>16h00</t>
    </r>
  </si>
  <si>
    <t>Mai Công Thương - Kaiwa 2 (30/08/2025) - 001</t>
  </si>
  <si>
    <t xml:space="preserve">3/7: bận quá nên xin bảo lưu </t>
  </si>
  <si>
    <t>2025-09-08
2026-03-23</t>
  </si>
  <si>
    <t>hanhlth</t>
  </si>
  <si>
    <t>Bùi Minh Nghĩa - Kaiwa 2 (30/08/2025) - 001</t>
  </si>
  <si>
    <t>Hồ Lý Tường Vy</t>
  </si>
  <si>
    <t>Quyết định dừng lại không học nữa do bận rộn</t>
  </si>
  <si>
    <t>Phùng Thị Sự - Kaiwa 2 (30/08/2025) - 001</t>
  </si>
  <si>
    <t>Ngô Mỹ Uyên</t>
  </si>
  <si>
    <t>Trần Thị Thúy Ngần</t>
  </si>
  <si>
    <t>huyenntt</t>
  </si>
  <si>
    <t>GV409</t>
  </si>
  <si>
    <t>Nguyễn Thị Hồng Phúc - Kaiwa 3 (30/08/2025) - 001</t>
  </si>
  <si>
    <t>Trần Công Huy</t>
  </si>
  <si>
    <t>Đỗ Thị Thu Thủy - Kaiwa 2 (30/08/2025) - 001</t>
  </si>
  <si>
    <t>Huỳnh Anh Uyên Vy</t>
  </si>
  <si>
    <t>16h50</t>
  </si>
  <si>
    <t>Hà Thị Viên - kaiwa 2 ( 10/09/2025 ) - 001</t>
  </si>
  <si>
    <t>Bùi Thị Tiến Lộc</t>
  </si>
  <si>
    <t>longvn</t>
  </si>
  <si>
    <t>GV256</t>
  </si>
  <si>
    <t>Võ Chí Lập - kaiwa 2 ( 10/09/2025 ) - 001</t>
  </si>
  <si>
    <t>k liên lạc được nên đang cho bảo lưu</t>
  </si>
  <si>
    <t>Trần Thị Hải Ly</t>
  </si>
  <si>
    <t>Nguyễn Mỹ Linh - kaiwa 2 ( 11/09/2025 ) - 001</t>
  </si>
  <si>
    <t>Lê Thị Oanh</t>
  </si>
  <si>
    <t>GV128</t>
  </si>
  <si>
    <t>Trần Thị Trà - kaiwa 3 ( 10/09/2025 ) - 001</t>
  </si>
  <si>
    <t>Hồ Văn Thông - kaiwa 3 ( 11/09/2025 ) - 001
Hồ Văn Thông - kaiwa 4 ( 09/09/2025 ) - 001</t>
  </si>
  <si>
    <t>Nguyễn Thị Thu Huyền - kaiwa 3 ( 11/09/2025 ) - 001</t>
  </si>
  <si>
    <t>Nguyễn Hồng Thu Trúc</t>
  </si>
  <si>
    <t>takeda</t>
  </si>
  <si>
    <t>Trần Hữu Lâm - kaiwa 4 ( 10/09/2025 ) - 001</t>
  </si>
  <si>
    <t xml:space="preserve">Đoàn Thị Thu Hiền </t>
  </si>
  <si>
    <t>học viên xin bảo lưu thi kaigo tới tháng 1/2027</t>
  </si>
  <si>
    <t>Nguyễn Thị Dung - kaiwa 2 ( 13/09/2025 ) - 001</t>
  </si>
  <si>
    <t>Đỗ Thị Thùy Linh - kaiwa 2 ( 10/09/2025 ) - 001</t>
  </si>
  <si>
    <t>Huỳnh Ngọc Kim Ngân - kaiwa 3 ( 10/09/2025 ) - 001
Huỳnh Ngọc Kim Ngân - kaiwa 4 ( 24/12/2025 ) - 001</t>
  </si>
  <si>
    <t>Nguyễn Văn Toàn - kaiwa 2 ( 11/09/2025 ) - 001
Nguyễn Văn Toàn - kaiwa 3 ( 14/01/2026 ) - 001</t>
  </si>
  <si>
    <t>Đặng Đức Duy</t>
  </si>
  <si>
    <t>anhltn</t>
  </si>
  <si>
    <t>GV406</t>
  </si>
  <si>
    <t>Bùi Thị Ngọc Anh - kaiwa 2 ( 13/09/2025 ) - 001</t>
  </si>
  <si>
    <t>Đặng Văn Thắng</t>
  </si>
  <si>
    <t>Lại Vũ Nhật Hà - kaiwa 3 ( 16/09/2025 ) - 001</t>
  </si>
  <si>
    <t>06h30</t>
  </si>
  <si>
    <t>Nguyễn Thị Lê - kaiwa 3 ( 12/09/2025 ) - 001</t>
  </si>
  <si>
    <t>Lê Tiến Trường - kaiwa 2 ( 13/09/2025 ) - 001</t>
  </si>
  <si>
    <t xml:space="preserve">Ngô Nguyễn Bích Trân </t>
  </si>
  <si>
    <t xml:space="preserve">Trần Thị Lê </t>
  </si>
  <si>
    <t>Lê Bảo Thạch</t>
  </si>
  <si>
    <t xml:space="preserve">Phan Thành Danh </t>
  </si>
  <si>
    <t>Nguyễn Hồng Phương Nguyên - kaiwa 4 ( 16/09/2025 ) - 001</t>
  </si>
  <si>
    <t>học viên bận ôn thi nên là xin bảo lưu</t>
  </si>
  <si>
    <t>nhiemvk/myht</t>
  </si>
  <si>
    <t>Lê Hồng Phúc -prekaiwa 2 ( 15/09/2025 ) - 001</t>
  </si>
  <si>
    <t xml:space="preserve">học viên về nước nên là xin nghỉ </t>
  </si>
  <si>
    <t>Vũ Đức Huy</t>
  </si>
  <si>
    <t>Huỳnh Văn Đức - kaiwa 2 ( 16/09/2025 ) - 001</t>
  </si>
  <si>
    <t xml:space="preserve">Phạm Thị Hoài Thương </t>
  </si>
  <si>
    <t>ánhltn</t>
  </si>
  <si>
    <t>Nguyễn Thị Thủy - kaiwa 1 ( 15/09/2025 ) - 001</t>
  </si>
  <si>
    <t>Lê Thành Nguyên</t>
  </si>
  <si>
    <t>ngocttb/linhlt</t>
  </si>
  <si>
    <t>Nguyễn Thị Sương Em - kaiwa 1 ( 17/09/2025 ) - 001</t>
  </si>
  <si>
    <t>Hoàng Minh Tuấn</t>
  </si>
  <si>
    <t>trucntt/linhlt</t>
  </si>
  <si>
    <t>GV457</t>
  </si>
  <si>
    <t>Nguyễn Thị Huỳnh Như - kaiwa 2 ( 17/09/2025 ) - 001</t>
  </si>
  <si>
    <t>Đinh Thị Hằng</t>
  </si>
  <si>
    <t>canhnt/truongot</t>
  </si>
  <si>
    <t>Trần Văn Quý - kaiwa 2 ( 18/09/2025 ) - 001
Trần Văn Quý - kaiwa 3 ( 15/11/2025 ) - 001</t>
  </si>
  <si>
    <t>học dk 1 buổi xong bận quá k học dk, nên cho kết thúc ( vì hẹn lên hẹn xuống rất nhiều lần). Đã gửi tài liệu cho học ở nhà</t>
  </si>
  <si>
    <t>Đỗ Văn Vinh</t>
  </si>
  <si>
    <t>Hà Văn Lợi - kaiwa 1 ( 23/09/2025 ) - 001</t>
  </si>
  <si>
    <t xml:space="preserve">hv học khó nên đổi xuống K1 bài 16 </t>
  </si>
  <si>
    <t>Lê Thị Hương</t>
  </si>
  <si>
    <t xml:space="preserve">kkiếnthuwcs N5 k có nên là đk thêm JLPT N5 học </t>
  </si>
  <si>
    <t>linhlt</t>
  </si>
  <si>
    <t>GV408</t>
  </si>
  <si>
    <t>K245021 - 001</t>
  </si>
  <si>
    <t>Học kém quá đổi xuống K1 bài 1
( học viên học kém lớn tuổi, tiếp thu siêu chậm)</t>
  </si>
  <si>
    <t>K245019 - 001</t>
  </si>
  <si>
    <t>K245020 - 001</t>
  </si>
  <si>
    <t>Nguyễn Thị Thúy Lanh</t>
  </si>
  <si>
    <t>Đỗ Thị Vân Anh</t>
  </si>
  <si>
    <t>Trần Thị Huệ Linh</t>
  </si>
  <si>
    <t>Ueno/Uyenltt</t>
  </si>
  <si>
    <t>Nguyễn Diệu Linh - kaiwa 3 ( 16/09/2025 ) - 001
Nguyễn Diệu Linh - kaiwa 4 ( 18/10/2025 ) - 001</t>
  </si>
  <si>
    <t>Đinh Thị Liên</t>
  </si>
  <si>
    <t>chiaki/huyenntt</t>
  </si>
  <si>
    <t>Nguyễn Thị Huế - kaiwa 3 ( 19/09/2025 ) - 001
Nguyễn Thị Huế - kaiwa 4 ( 26/11/2025 ) - 001</t>
  </si>
  <si>
    <t>Nguyễn Hồng Đức</t>
  </si>
  <si>
    <t>Lê Thị Trúc Linh - kaiwa 2 ( 20/09/2025 ) - 001
Lê Thị Trúc Linh - kaiwa 3 ( 22/01/2026 ) - 001</t>
  </si>
  <si>
    <t>anhnt</t>
  </si>
  <si>
    <t>uyenltt/linhntm</t>
  </si>
  <si>
    <t>Lê Thị Ngọc Huyền - kaiwa 2 (16/09/2025) - 001</t>
  </si>
  <si>
    <t>Nguyễn Văn Minh Vương</t>
  </si>
  <si>
    <t>Nguyễn Minh Ánh</t>
  </si>
  <si>
    <t>hangktt</t>
  </si>
  <si>
    <t>Đặng Thị Huệ - kaiwa 3 ( 23/09/2025 ) - 001</t>
  </si>
  <si>
    <t>Bùi Thị Hồng Nga</t>
  </si>
  <si>
    <r>
      <rPr>
        <rFont val="arial"/>
        <color theme="1"/>
      </rPr>
      <t xml:space="preserve">10h00
</t>
    </r>
    <r>
      <rPr>
        <rFont val="arial"/>
        <color rgb="FFFF0000"/>
      </rPr>
      <t>17h30</t>
    </r>
  </si>
  <si>
    <t>Nguyễn Truyết Côn - kaiwa 2 ( 23/09/2025 ) - 001</t>
  </si>
  <si>
    <t>Phạm Thanh Bình - kaiwa 3 ( 24/09/2025 ) - 001</t>
  </si>
  <si>
    <t>học xong 1 buổi kaiwa kêu định hướng đổi nên chuyển sang JLPT n3</t>
  </si>
  <si>
    <t>Hà Ái Phương - prekaiwa 2 ( 25/09/2025 ) - 001
Hà Ái Phương - kaiwa 1 ( 25/12/2025 ) - 001</t>
  </si>
  <si>
    <t>Nguyễn Phương Thảo Nguyên</t>
  </si>
  <si>
    <r>
      <rPr>
        <rFont val="arial"/>
        <color theme="1"/>
      </rPr>
      <t xml:space="preserve">14h00
</t>
    </r>
    <r>
      <rPr>
        <rFont val="arial"/>
        <color rgb="FFFF0000"/>
      </rPr>
      <t>19h30</t>
    </r>
  </si>
  <si>
    <t>nhiemvk</t>
  </si>
  <si>
    <t>GV411</t>
  </si>
  <si>
    <t>Mai Thị Kim Oanh - kaiwa 3 NHKS ( 24/09/2025 ) - 001</t>
  </si>
  <si>
    <t>Cao Thị Thùy Dương</t>
  </si>
  <si>
    <t>Trần Vũ Thị Cẩm Bình</t>
  </si>
  <si>
    <t>ninhlt</t>
  </si>
  <si>
    <t>GV94</t>
  </si>
  <si>
    <t>Nguyễn Văn Dũ - kaiwa 2 ( 26/09/2025 ) - 001</t>
  </si>
  <si>
    <t>ttienttb/haodtt</t>
  </si>
  <si>
    <t>Phan Thị Kim Soa - kaiwa 1 ( 27/09/2025 ) - 001</t>
  </si>
  <si>
    <t>Nguyễn Văn Thành</t>
  </si>
  <si>
    <t>Đặng Hà Kiều Oanh - kaiwa 3 ( 25/09/2025 ) - 001</t>
  </si>
  <si>
    <t>Nịnh Thị Huyền Thương</t>
  </si>
  <si>
    <t>Huỳnh Lệ Yến - kaiwa 5 ( 27/09/2025 ) - 001</t>
  </si>
  <si>
    <t>Phan Thị Kiều Oanh</t>
  </si>
  <si>
    <t>2025-10-02
2026-03-28</t>
  </si>
  <si>
    <t>tuyettta/dunglp</t>
  </si>
  <si>
    <t>Trần Thị Cẩm - kaiwa 3 ( 27/09/2025 ) - 001
Trần Thị Cẩm - kaiwa 4 ( 18/04/2026 ) - 001</t>
  </si>
  <si>
    <t>Trần Thị Ngọc Huệ - kaiwa 2 ( 30/09/2025 ) - 001
Trần Thị Ngọc Huệ - kaiwa 1 ( 03/10/2025 ) - 001</t>
  </si>
  <si>
    <t>Ngyễn Xuân Huy</t>
  </si>
  <si>
    <t>huyenct/hattp</t>
  </si>
  <si>
    <t>Nguyễn Tiến Lượng - kaiwa 3 NHKS ( 18/10/2025 ) - 001</t>
  </si>
  <si>
    <t>Nguyễn Yến Nhi</t>
  </si>
  <si>
    <t>2025-10-01
2026-05-08</t>
  </si>
  <si>
    <t>Joji/hangktt</t>
  </si>
  <si>
    <t>Nguyễn Văn Phong - kaiwa 2 ( 29/09/2025 ) - 001
Nguyễn Văn Phong - kaiwa 3 ( 19/12/2025 ) - 001</t>
  </si>
  <si>
    <t>Nguyễn Thị Thy</t>
  </si>
  <si>
    <t>2025-10-02
2026-04-12</t>
  </si>
  <si>
    <t>hangktt/nhiemvk</t>
  </si>
  <si>
    <t>GV351</t>
  </si>
  <si>
    <t>Vũ Minh Hùng - kaiwa 2 ( 26/09/2025 ) - 001
Vũ Minh Hùng - kaiwa 3 ( 11/04/2026 ) - 001</t>
  </si>
  <si>
    <t>Võ Thị Tâm</t>
  </si>
  <si>
    <t>Nguyễn Thị Xuân Mai</t>
  </si>
  <si>
    <t xml:space="preserve">Nguyễn Thị Diễm Ngọc </t>
  </si>
  <si>
    <t>Hồ Thị Mộng Tiền</t>
  </si>
  <si>
    <t>K260022 - 001</t>
  </si>
  <si>
    <t xml:space="preserve">Nguyễn Trần Hải Đăng </t>
  </si>
  <si>
    <t>Đinh Văn Lê</t>
  </si>
  <si>
    <t>Võ Phước Khang - kaiwa 3 ( 02/10/2025 ) - 001</t>
  </si>
  <si>
    <t>Lê Thị Dung</t>
  </si>
  <si>
    <t>Thái Thị Phương Trang - Kaiwa 1 NHKS (27/09/2025) - 001</t>
  </si>
  <si>
    <t>GV414</t>
  </si>
  <si>
    <t>H Dên Êban - Kaiwa 3 (29/09/2025) - 001</t>
  </si>
  <si>
    <t>Lê Ngọc Thanh Vy - kaiwa 6 ( 03/10/2025 ) - 001</t>
  </si>
  <si>
    <t>huent/thaodtt</t>
  </si>
  <si>
    <t>GV443</t>
  </si>
  <si>
    <t>Tô Quang Hà - kaiwa 1 ( 03/10/2025 ) - 001
Tô Quang Hà - kaiwa 2 ( 26/12/2025 ) - 001</t>
  </si>
  <si>
    <t>Phạm Văn Trung - kaiwa 2 ( 04/10/2025 ) - 001</t>
  </si>
  <si>
    <t>2025-11-28
2026-04-07</t>
  </si>
  <si>
    <t>Nguyễn Thị Trang - kaiwa 1 ( 04/10/2025 ) - 001</t>
  </si>
  <si>
    <t>Phạm Thế Hoàng Long - kaiwa 4 ( 04/10/2025) - 001</t>
  </si>
  <si>
    <t>2025-10-16
2026-06-29</t>
  </si>
  <si>
    <t>sato/izumi/arita</t>
  </si>
  <si>
    <t>Nguyễn Bảo Trung - kaiwa 7 ( 03/10/2025 ) - 001</t>
  </si>
  <si>
    <t>11h45
12h00</t>
  </si>
  <si>
    <t>miyata</t>
  </si>
  <si>
    <t>Nguyễn Ngọc Thảo - kaiwa 5 ( 08/10/2025 ) - 001</t>
  </si>
  <si>
    <t>Kojima/chiaki</t>
  </si>
  <si>
    <t>Tống Thị Hảo - kaiwa 3 ( 08/10/2025 ) - 001</t>
  </si>
  <si>
    <t>ngach</t>
  </si>
  <si>
    <t>GV417</t>
  </si>
  <si>
    <t>Nguyễn Huỳnh Như Ngọc - kaiwa 2 ( 09/10/2025 ) - 001</t>
  </si>
  <si>
    <t>hieudtn</t>
  </si>
  <si>
    <t>GV453</t>
  </si>
  <si>
    <t>Trần Thụy Thảo My - kaiwa 1 ( 09/10/2025 ) - 001
Trần Thụy Thảo My - kaiwa 2 ( 06/0012026) - 001</t>
  </si>
  <si>
    <t>Trương Thị Hằng - kaiwa 3 ( 08/10/2025 ) - 001</t>
  </si>
  <si>
    <t>Chiaki/trinhnt</t>
  </si>
  <si>
    <t>GV170</t>
  </si>
  <si>
    <t>Hoàng Minh - kaiwa 3 ( 08/10/2025 ) - 001</t>
  </si>
  <si>
    <t>thupta</t>
  </si>
  <si>
    <t>GV413</t>
  </si>
  <si>
    <t>Trịnh Phúc Hảo - kaiwa 2 ( 08/10/2025 ) - 001</t>
  </si>
  <si>
    <t>Hồ Thị Anh Hoa - prekaiwa 2 ( 10/10/2025 ) - 001
Hồ Thị Anh Hoa - kaiwa 1 ( 10/12/2025 ) - 001</t>
  </si>
  <si>
    <t>GV292</t>
  </si>
  <si>
    <t>Nguyễn Thị Tuyết Đào - kaiwa 2 ( 11/10/2025 ) - 001</t>
  </si>
  <si>
    <t>trinhnt</t>
  </si>
  <si>
    <t>GV418</t>
  </si>
  <si>
    <t>Nguyễn Thiên Kim - kaiwa 1 ( 06/10/2025 ) - 001
Nguyễn Thiên Kim - kaiwa 2 ( 14/12/2025 ) - 001</t>
  </si>
  <si>
    <t>Nguyễn Thùy Trang - kaiwa 4 NHKS ( 11/10/2025 ) - 001</t>
  </si>
  <si>
    <t>2025-10-13
2026-04-06</t>
  </si>
  <si>
    <t>2026-01-29
2026-05-25</t>
  </si>
  <si>
    <t>hangbtt/hoadt</t>
  </si>
  <si>
    <t>GV424</t>
  </si>
  <si>
    <t>Chướng Mỹ Bình - prekaiwa 2 ( 13/10/2025 ) - 001
Chướng Mỹ Bình - kaiwa 1 ( 15/11/2025 ) - 001</t>
  </si>
  <si>
    <t>quyentn/hientt/huyennt</t>
  </si>
  <si>
    <t>Đào Thị Thu Huyền - kaiwa 3 ( 14/10/2025 ) - 001
Đào Thị Thu Huyền - kaiwa 4 ( 04/08/2026 ) - 001</t>
  </si>
  <si>
    <t>hattt</t>
  </si>
  <si>
    <t>Phùng Minh Thúy - kaiwa 3 ( 15/10/2025 ) - 001</t>
  </si>
  <si>
    <t>07h30</t>
  </si>
  <si>
    <t>huyenct/hanhttm</t>
  </si>
  <si>
    <t>Nguyễn Thị Loan - kaiwa 2 ( 18/10/2025 ) - 001
Nguyễn Thị Loan - kaiwa 3 ( 02/12/2025 ) - 001</t>
  </si>
  <si>
    <t>hangbtt</t>
  </si>
  <si>
    <t>Ma Ngọc Hiệp - kaiwa 1 ( 22/10/2025 ) - 001</t>
  </si>
  <si>
    <t>12h30</t>
  </si>
  <si>
    <t>Nguyễn Kiên Trung - kaiwa 5 ( 20/10/2025) - 001</t>
  </si>
  <si>
    <t>ngandtt/hoadt</t>
  </si>
  <si>
    <t>GV445</t>
  </si>
  <si>
    <t>Trần Thị Tuyết - kaiwa 2 ( 24/10/2025 ) - 001</t>
  </si>
  <si>
    <t>Thân Nhân Hoàng - kaiwa 2 ( 22/10/2025 ) - 001</t>
  </si>
  <si>
    <t>quynhnt</t>
  </si>
  <si>
    <t>GV407</t>
  </si>
  <si>
    <t>Nguyễn Thị Yến Ngọc - kaiwa 1 ( 23/10/2025 ) - 001</t>
  </si>
  <si>
    <t>2025-10-24
2026-07-14</t>
  </si>
  <si>
    <t>2025-12-19
2026-08-12</t>
  </si>
  <si>
    <t>11h00</t>
  </si>
  <si>
    <t>Nguyễn Thị Kiều Trang - Kaiwa 3 (18?10/2025) - 001</t>
  </si>
  <si>
    <t>Ueno/hangktt</t>
  </si>
  <si>
    <t>Phan Thị Nhật Linh - Kaiwa 3 (18/10/2025) - 001</t>
  </si>
  <si>
    <t>Hoàng Đình Tuấn - kaiwa 2 ( 25/10/2025 ) - 001
Hoàng Đình Tuấn - kaiwa 1 ( 30/10/2025 ) - 001</t>
  </si>
  <si>
    <t>18h45</t>
  </si>
  <si>
    <t>huyenvk</t>
  </si>
  <si>
    <t>K245024 - 001</t>
  </si>
  <si>
    <t>hattp</t>
  </si>
  <si>
    <t>Công Thu Hằng - kaiwa 3 ( 27/10/2025 ) - 001</t>
  </si>
  <si>
    <t>tienbtt</t>
  </si>
  <si>
    <t>Tăng Thúy Ngân - kaiwa 1 ( 28/10/2025 ) - 001
Tăng Thúy Ngân - kaiwa 2 ( 05/02/2026 ) - 001</t>
  </si>
  <si>
    <t>Dinh Văn Tuấn - kaiwa 1 ( 27/10/2025 ) - 001</t>
  </si>
  <si>
    <t>dungktp</t>
  </si>
  <si>
    <t>GV427</t>
  </si>
  <si>
    <t>K345012 - 001</t>
  </si>
  <si>
    <t>canhnt</t>
  </si>
  <si>
    <t>Nguyễn Thị Loan - kaiwa 1 ( 01/11/2025 ) - 001</t>
  </si>
  <si>
    <t>thuyttn</t>
  </si>
  <si>
    <t>GV425</t>
  </si>
  <si>
    <t>Thạch Thùy Linh - kaiwa 2 ( 31/10/2025) - 001</t>
  </si>
  <si>
    <t>quyenntt</t>
  </si>
  <si>
    <t>GV420</t>
  </si>
  <si>
    <t>Thái Văn Dưỡng - kaiwa 2 ( 03/11/2025 ) - 001</t>
  </si>
  <si>
    <t>Trương Nhật Thảo - kaiwa 2 ( 05/11/2025 ) - 001</t>
  </si>
  <si>
    <t>huyenct</t>
  </si>
  <si>
    <t>Nguyễn Thanh Hà My - kaiwa 1 ( 06/11/2025 ) - 001
Nguyễn Thanh Hà My - kaiwa 2 ( 03/02/2026 ) - 001</t>
  </si>
  <si>
    <t>K260023 - 001</t>
  </si>
  <si>
    <t>handtn</t>
  </si>
  <si>
    <t>GV437</t>
  </si>
  <si>
    <t>Huỳnh Ngọc Huân - prekaiwa 2 ( 05/11/2025 ) - 001</t>
  </si>
  <si>
    <t>sato/joji/ chiaki</t>
  </si>
  <si>
    <t>Phan Thị Thanh Phương - kaiwa 5 ( 05/11/2025 ) - 001
Phan Thị Thanh Phương - kaiwa 6 ( 24/02/2026 ) - 001</t>
  </si>
  <si>
    <t>12h00
18h30</t>
  </si>
  <si>
    <t>Chu Văn Tiến - kaiwa 1 ( 06/11/2025 ) - 001</t>
  </si>
  <si>
    <t>Nguyễn Thái Châu - kaiwa 2 ( 06/11/2025 ) - 001</t>
  </si>
  <si>
    <t>suongnth</t>
  </si>
  <si>
    <t>GV432</t>
  </si>
  <si>
    <t>Đinh ÁI Phi - kaiwa 2 ( 08/11/2025 ) - 001</t>
  </si>
  <si>
    <t>quihtn</t>
  </si>
  <si>
    <t>GV316</t>
  </si>
  <si>
    <t>Vũ Thị Phương - kaiwa 2 ( 07/11/2025 ) - 001</t>
  </si>
  <si>
    <t>izumi/huyenct</t>
  </si>
  <si>
    <t>Nguyễn Anh Tài - kaiwa 3 IT ( 08/11/2025 ) - 001
Nguyễn Anh Tài - kaiwa 4 IT ( 11/04/2026 ) - 001</t>
  </si>
  <si>
    <t>Lê Quỳnh Giao - kaiwa 2 NHKS ( 12/11/2025 ) - 001</t>
  </si>
  <si>
    <t>Nguyễn Thị Huyền - kaiwa 3 kaigo ( 12/11/2025 ) - 001</t>
  </si>
  <si>
    <t>chinhmtv/lentn</t>
  </si>
  <si>
    <t>GV440</t>
  </si>
  <si>
    <t xml:space="preserve">Nông Văn An - kaiwa 2 ( 10/12/2025 ) </t>
  </si>
  <si>
    <t>huyenct/hiepth</t>
  </si>
  <si>
    <t>Nguyễn Trung Hạnh - kaiwa 2 ( 15/11/2025) - 001
Nguyễn Trung Hạnh - kaiwa 3 ( 23/01/2026 ) - 001</t>
  </si>
  <si>
    <t>linhpt</t>
  </si>
  <si>
    <t>GV438</t>
  </si>
  <si>
    <t>Vũ Văn Tấn - kaiwa 1 ( 14/11/2025 ) - 001
Vũ Văn Tấn - kaiwa 2 ( 19/12/2025 ) - 001</t>
  </si>
  <si>
    <r>
      <rPr>
        <rFont val="arial"/>
        <color theme="1"/>
      </rPr>
      <t xml:space="preserve">13h00
</t>
    </r>
    <r>
      <rPr>
        <rFont val="arial"/>
        <color rgb="FFFF0000"/>
      </rPr>
      <t>18h30</t>
    </r>
  </si>
  <si>
    <t>Nguyễn Trọng Huỳnh - kaiwa 1 ( 14/11/2025 ) - 001</t>
  </si>
  <si>
    <t>Vynt/suongnth</t>
  </si>
  <si>
    <t>GV461</t>
  </si>
  <si>
    <t>Nguyễn Thị Trường - kaiwa 2 ( 19/11/2025 ) - 001</t>
  </si>
  <si>
    <t>Chinhmtv</t>
  </si>
  <si>
    <t>Nguyễn Thị An Phường - kaiwa 2 ( 20/11/2025 ) - 001</t>
  </si>
  <si>
    <t>tuyettta</t>
  </si>
  <si>
    <t>GV441</t>
  </si>
  <si>
    <t>Trần Thị Hồng Thu - kaiwa 2 ( 21/11/2025 ) - 001</t>
  </si>
  <si>
    <t>18h15</t>
  </si>
  <si>
    <t>Hồ Công Bình - kaiwa 1 ( 21/11/2025 ) - 001</t>
  </si>
  <si>
    <t>duyenltm</t>
  </si>
  <si>
    <t>GV446</t>
  </si>
  <si>
    <t>Cao Thị Thanh Nhàn - kaiwa 2 ( 22/11/2025 ) - 001</t>
  </si>
  <si>
    <t>tuyetta</t>
  </si>
  <si>
    <t>Trần Thanh Tùng - kaiwa 1 ( 24/11/2025 ) - 001</t>
  </si>
  <si>
    <t>chinhmtv</t>
  </si>
  <si>
    <t>Vũ Văn Lam - kaiwa 1 ( 25/11/2025 ) - 001</t>
  </si>
  <si>
    <r>
      <rPr>
        <rFont val="arial"/>
        <color rgb="FFFF0000"/>
      </rPr>
      <t>10h00</t>
    </r>
    <r>
      <rPr>
        <rFont val="arial"/>
        <color theme="1"/>
      </rPr>
      <t xml:space="preserve">
19h30</t>
    </r>
  </si>
  <si>
    <t>Nguyễn Thị Nhiên - kaiwa 2 ( 24/11/2025 ) - 001</t>
  </si>
  <si>
    <t>hanglt</t>
  </si>
  <si>
    <t>GV428</t>
  </si>
  <si>
    <t>Phan Thành Nhã - kaiwa 1 ( 24/11/2025 ) - 001</t>
  </si>
  <si>
    <t>Trần Đức Cường - kaiwa 2 ( 26/11/2025 ) - 001</t>
  </si>
  <si>
    <t>Trần Thái Thu Ngân - kaiwa 2 ( 29/11/2025 ) - 001</t>
  </si>
  <si>
    <t>Nguyễn Hữu Nhẫn - kaiwa 1 ( 29/11/2025) - 001</t>
  </si>
  <si>
    <t>Đỗ Thị Thu Phương - kaiwa 4 NHKS ( 10/12/2025 ) - 001</t>
  </si>
  <si>
    <t>Vũ Thị Cúc Hoa - kaiwa 1 ( 29/11/2025 ) - 001
Vũ Thị Cúc Hoa - kaiwa 2 ( 16/01/2026 ) - 001</t>
  </si>
  <si>
    <t>huongtl</t>
  </si>
  <si>
    <t>GV444</t>
  </si>
  <si>
    <t>Hoàng Thị Ngọc Lan - kaiwa 1 ( 28/11/2025 ) - 001 
Hoàng Thị Ngọc Lan - kaiwa 2 ( 13/01/2026 ) - 001</t>
  </si>
  <si>
    <t>19h45</t>
  </si>
  <si>
    <t>Mai Thị Mỹ Ngọc - kaiwa 1 ( 01/12/2025 ) - 001
Mai Thị Mỹ Ngọc - kaiwa 2 ( 05/02/2026 ) - 001</t>
  </si>
  <si>
    <t>ngandtt</t>
  </si>
  <si>
    <t>Đặng Quốc Điệp - kaiwa 1 ( 01/12/2025 ) - 001</t>
  </si>
  <si>
    <r>
      <rPr>
        <rFont val="arial"/>
        <color rgb="FFFF0000"/>
      </rPr>
      <t>14h00</t>
    </r>
    <r>
      <rPr>
        <rFont val="arial"/>
        <color theme="1"/>
      </rPr>
      <t xml:space="preserve">
19h30</t>
    </r>
  </si>
  <si>
    <t>tuyettta/truongot</t>
  </si>
  <si>
    <t>Văn Công Bảo - kaiwa 3 ( 02/12/2025 ) - 001</t>
  </si>
  <si>
    <t>Nguyễn Thị Phương Mai - kaiwa 2 NHKS ( 03/12/2025 ) - 001</t>
  </si>
  <si>
    <t>Trần Thị Khỏe - kaiwa 3 ( 08/12/2025 ) - 001</t>
  </si>
  <si>
    <t>Nguyễn Thị Ngọc Bích - kaiwa 4 ( 04/12/2025 ) - 001</t>
  </si>
  <si>
    <t>Bùi Thị Oanh - kaiwa 2 ( 04/12/2025 ) - 001</t>
  </si>
  <si>
    <t>Nguyễn Thị Phương - kaiwa 1 ( 06/12/2025 ) - 001</t>
  </si>
  <si>
    <t>thanhnt/truongot</t>
  </si>
  <si>
    <t>GV462</t>
  </si>
  <si>
    <t>Nguyễn Thành Tới - kaiwa 3 ( 15/12/2025 ) -001</t>
  </si>
  <si>
    <t>08h00
21h05</t>
  </si>
  <si>
    <t>Joji</t>
  </si>
  <si>
    <t>Trần Huỳnh Yến - kaiwa 3 ( 06/12/2025 ) - 001</t>
  </si>
  <si>
    <t>Anhnt</t>
  </si>
  <si>
    <t>Nguyễn Thị Bạch Tuyết - kaiwa 3 ( 10/12/2025 ) - 001</t>
  </si>
  <si>
    <t>Trịnh Khởi Công - kaiwa 2 ( 10/12/2025 ) - 001
Trịnh Khởi Công - kaiwa 3 ( 26/01/2026 ) - 001</t>
  </si>
  <si>
    <t>Vanlp</t>
  </si>
  <si>
    <t>GV435</t>
  </si>
  <si>
    <t>Trần Thị Khả Vi - kaiwa 1 ( 10/12/2025 ) - 001</t>
  </si>
  <si>
    <t>Phan Ngọc Quin - Kaiwa 2 (06/12/2025) - 001
Phan Ngọc Quin - kaiwa 3 ( 26/01/2026 ) - 001</t>
  </si>
  <si>
    <r>
      <rPr>
        <rFont val="arial"/>
        <color rgb="FFFF0000"/>
      </rPr>
      <t>08h00</t>
    </r>
    <r>
      <rPr>
        <rFont val="arial"/>
        <color theme="1"/>
      </rPr>
      <t xml:space="preserve">
20h00</t>
    </r>
  </si>
  <si>
    <t>Nguyễn Thái Vũ - Kaiwa 2 (12/06/2025) - 001</t>
  </si>
  <si>
    <t>Huyenct</t>
  </si>
  <si>
    <t>K190001 - 001</t>
  </si>
  <si>
    <t>kojima/myntd/truongot</t>
  </si>
  <si>
    <t>Danh Trí Thẩm - kaiwa 3 ( 15/12/2025 ) - 001
Danh Trí Thẩm - kaiwa 4 ( 13/03/2026 ) - 001</t>
  </si>
  <si>
    <t>Phó Thị Trà My - kaiwa 2 ( 15/12/2025 ) - 001</t>
  </si>
  <si>
    <t>Nguyễn Thị Ngọc Thảo - kaiwa 2 ( 15/12/2025 ) - 001</t>
  </si>
  <si>
    <t>Trương Thị Hồng Ánh - kaiwa 2 ( 17/12/2025 ) - 001</t>
  </si>
  <si>
    <t>K345013 - 001</t>
  </si>
  <si>
    <t>Huỳnh Ngọc Thuận - kaiwa 1 ( 16/12/2025 ) - 001</t>
  </si>
  <si>
    <t>Myht</t>
  </si>
  <si>
    <t>Nguyễn Duy Anh - kaiwa 2 ( 05/01/2025 ) - 001</t>
  </si>
  <si>
    <t>16h00</t>
  </si>
  <si>
    <t>duyenntm</t>
  </si>
  <si>
    <t>Phan Thị Ái Nhiên - kaiwa 3 kaigo ( 16/12/2025 ) - 001</t>
  </si>
  <si>
    <t>Nguyễn Thị Như Quỳnh - kaiwa 3 ( 19/12/2025 ) - 001</t>
  </si>
  <si>
    <t>Võ Thị Nhung - kaiwa 1 ( 20/12/2025 ) - 001
Võ Thị Nhung - kaiwa 2 ( 10/02/2026 ) - 001</t>
  </si>
  <si>
    <t>nhiemvk/thamtt</t>
  </si>
  <si>
    <t>Nguyễn Xuân Hoàng Nhật - kaiwa 2 ( 20/12/2025 ) - 001</t>
  </si>
  <si>
    <t>hattp/oanhnt</t>
  </si>
  <si>
    <t>Đinh Trọng Sỹ - kaiwa 3 ( 22/12/2025 ) - 001</t>
  </si>
  <si>
    <t>dungltt</t>
  </si>
  <si>
    <t>GV280</t>
  </si>
  <si>
    <t>Nguyễn Văn Hải - kaiwa 1 ( 12/01/2025 ) - 001</t>
  </si>
  <si>
    <t>Huyennt</t>
  </si>
  <si>
    <t>Cao Thị Quỳnh Nga - kaiwa 3 ( 20/12/2025 ) - 001</t>
  </si>
  <si>
    <t>Tuyettta</t>
  </si>
  <si>
    <t>Hà Bích Liên - kaiwa 2 kaigo ( 22/12/2025 ) - 001
Hà Bích Liên - kaiwa 3 ( 27/01/2026 ) - 001</t>
  </si>
  <si>
    <t>Lộc Thị Mỹ Anh - kaiwa 2 ( 22/12/2025 ) - 001</t>
  </si>
  <si>
    <t>thanhtt/oanhnt</t>
  </si>
  <si>
    <t>Huỳnh Thị Ngọc Hồng - kaiwa 3 ( 27/11/2025 ) - 001</t>
  </si>
  <si>
    <r>
      <rPr>
        <rFont val="arial"/>
        <color theme="1"/>
      </rPr>
      <t xml:space="preserve">08h00
</t>
    </r>
    <r>
      <rPr>
        <rFont val="arial"/>
        <color rgb="FFFF0000"/>
      </rPr>
      <t>19h00</t>
    </r>
  </si>
  <si>
    <t>Tienttb/ngocttb</t>
  </si>
  <si>
    <t>Bùi Hoàng Minh Lợi - kaiwa 2 ( 26/12/2025 ) - 001</t>
  </si>
  <si>
    <t>Nguyễn Thị Luyên - kaiwa 2 ( 28/12/2025 ) - 001
Nguyễn Thị Luyên - kaiwa 3 ( 11/03/2026 ) - 001</t>
  </si>
  <si>
    <t>chidt</t>
  </si>
  <si>
    <t>GV415</t>
  </si>
  <si>
    <t>Đặng Bảo Linh - kaiwa 1 ( 29/12/2025 ) - 001
Đặng Bảo Linh - kaiwa 2 ( 09/03/2026 ) - 001</t>
  </si>
  <si>
    <t>2025-12-29
2026-03-16</t>
  </si>
  <si>
    <t>2026-01-19
2026-05-20</t>
  </si>
  <si>
    <t>namtp/huent</t>
  </si>
  <si>
    <t>GV487</t>
  </si>
  <si>
    <t>Lê Văn Thơm - kaiwa 2 ( 31/12/2025 ) - 001
Lê Văn Thơm - kaiwa 3 ( 31/12/2025 ) - 001</t>
  </si>
  <si>
    <t>Phạm Minh Phú - kaiwa 3 ( 31/12/2025 ) - 001</t>
  </si>
  <si>
    <t>Linhntm</t>
  </si>
  <si>
    <t>Trương Văn Ngọc Chơn - kaiwa 3 ( 06/01/2026) - 001</t>
  </si>
  <si>
    <t>2025-12-31
2026-07-13</t>
  </si>
  <si>
    <t>chammt/hanhttm/hoadt</t>
  </si>
  <si>
    <t>GV480</t>
  </si>
  <si>
    <t>Lê Thị Phương Mai - kaiwa 1 ( 29/12/2025 ) - 001
Lê Thị Phương Mai - kaiwa 2 ( 23/03/2026 ) - 001</t>
  </si>
  <si>
    <t>Phạm Nguyễn Nhật Anh - kaiwa 1 ( 02/01/2026 ) - 001</t>
  </si>
  <si>
    <t>Chu Thị Minh Châu - kaiwa 1 ( 02/01/2026 ) - 001
Chu Thị Minh Châu - kaiwa 2 ( 06/04/2026) - 001</t>
  </si>
  <si>
    <t>Phùng Văn Trọng - kaiwa 2 ( 02/01/2026 ) - 001
Phùng Văn Trọng - kaiwa 3 ( 27/02/2026 ) - 001</t>
  </si>
  <si>
    <t>24CN</t>
  </si>
  <si>
    <t>Nguyễn Chúc - kaiwa 2 ( 04/01/2025 ) - 001
Nguyễn Chúc - kaiwa 3 ( 10/02/2026 ) - 001</t>
  </si>
  <si>
    <t>Thanhtt</t>
  </si>
  <si>
    <t>K145029 - 001</t>
  </si>
  <si>
    <t>hangkt/Huyennt</t>
  </si>
  <si>
    <t>Đỗ Thị Lệ Nga - kaiwa 2 kaigo ( 05/01/2026) - 001</t>
  </si>
  <si>
    <t>Uyenltt</t>
  </si>
  <si>
    <t>Trần Thị Nhung - kaiwa 3 ( 07/01/2026 ) - 001</t>
  </si>
  <si>
    <t>Nguyễn Trọng Lợi - Kaiwa 2 (03/01/2025) - 001
Nguyễn Trọng Lợi - kaiwa 3 ( 13/02/2026 ) - 001</t>
  </si>
  <si>
    <t>Vũ Bùi Công Minh - Kaiwa 3(21/03/2026) - 001
Vũ Bùi Công Minh - kaiwa 2 ( 03/01/2026) - 001</t>
  </si>
  <si>
    <t>Hiepth</t>
  </si>
  <si>
    <t>Dungltt</t>
  </si>
  <si>
    <t>Lê Thị Trà My - kaiwa 2 ( 09/01/2026 ) - 001
 Lê Thị Trà My - kaiwa 3 ( 15/05/2026 ) - 001</t>
  </si>
  <si>
    <t>Quyenntt</t>
  </si>
  <si>
    <t>Đặng Minh Đức - kaiwa 1 ( 10/01/2026) - 001</t>
  </si>
  <si>
    <t>Hieudtn</t>
  </si>
  <si>
    <t>Doãn Thị Hương - kaiwa 2 ( 13/01/2026 ) - 001</t>
  </si>
  <si>
    <t>35CN</t>
  </si>
  <si>
    <t>Hangktt</t>
  </si>
  <si>
    <t>Nguyễn Thái Hoàng - kaiwa 3 ( 13/01/2026 ) - 001</t>
  </si>
  <si>
    <t>Nguyễn Công Bình - kaiwa 1 ( 15/01/2026 ) - 001</t>
  </si>
  <si>
    <t>Huent</t>
  </si>
  <si>
    <t>Nguyễn Văn Linh - kaiwa 3 ( 14/01/2026 ) - 001</t>
  </si>
  <si>
    <t>246CN</t>
  </si>
  <si>
    <t>Trần Quang Vinh - prekaiwa 2 ( 14/01/2026) - 001
Trần Quang Vinh - kaiwa 1 ( 06/03/2026 ) - 001</t>
  </si>
  <si>
    <t>Duyenntm</t>
  </si>
  <si>
    <t>Danh Hoàng Thủ - kaiwa 1 ( 15/01/2026 ) - 001
Danh Hoàng Thủ - kaiwa 2 ( 16/03/2026 ) - 001</t>
  </si>
  <si>
    <t>Huỳnh Thị Kim Quý - kaiwa 2 ( 14/01/2026 ) - 001</t>
  </si>
  <si>
    <t>Hoàng Đăng Đạt - kaiwa 1 ( 17/01/2026 ) - 001
Hoàng Đăng Đạt - Kaiwa 2 ( 07/03/2026) - 001</t>
  </si>
  <si>
    <t>Gv143</t>
  </si>
  <si>
    <t>Võ Thị Hồng Nhung - kaiwa 1 ( 17/01/2026 ) - 001</t>
  </si>
  <si>
    <t>Quihtn</t>
  </si>
  <si>
    <t>Tòng Thị Mai - kaiwa 2 ( 16/01/2026) - 001</t>
  </si>
  <si>
    <t>Đỗ Thị Ngọc - kaiwa 2 ( 16/01/2026 ) - 001
Đỗ Thị Ngọc - kaiwa 3 ( 08/04/2026 ) - 001</t>
  </si>
  <si>
    <t>anhht/vytab</t>
  </si>
  <si>
    <t>GV168</t>
  </si>
  <si>
    <t>Đào Xuân Trường - kaiwa 1 ( 17/01/2026 ) - 001
Đào Xuân Trường - kaiwa 2 ( 13/03/2026 ) - 001</t>
  </si>
  <si>
    <r>
      <rPr>
        <rFont val="arial"/>
        <color rgb="FFFF0000"/>
      </rPr>
      <t>09h00</t>
    </r>
    <r>
      <rPr>
        <rFont val="arial"/>
        <color theme="1"/>
      </rPr>
      <t xml:space="preserve">
17h00</t>
    </r>
  </si>
  <si>
    <t>23CN</t>
  </si>
  <si>
    <t>Đỗ Thị Ngọc Yến - kaiwa 2 ( 18/01/2026 ) - 001</t>
  </si>
  <si>
    <t>huent</t>
  </si>
  <si>
    <t>Nguyễn Hoàng Tuấn - kaiwa 3 ( 20/01/2026 ) - 001</t>
  </si>
  <si>
    <t>Nguyễn Thị An - kaiwa 2 ( 19/01/2026 ) - 001</t>
  </si>
  <si>
    <t>Nguyễn Văn Dũng - kaiwa 2 ( 21/01/2026 ) - 001</t>
  </si>
  <si>
    <t>thinhbd</t>
  </si>
  <si>
    <t>GV447</t>
  </si>
  <si>
    <t>Phan Công Châu - kaiwa 3 ( 22/01/2026 ) - 001</t>
  </si>
  <si>
    <t>vytab</t>
  </si>
  <si>
    <t>GV456</t>
  </si>
  <si>
    <t>Trần Thị Ngọc Nhi - kaiwa 2 ( 21/01/2026 ) - 001
Trần Thị Ngọc Nhi - kaiwa 3 ( 23/03/2026 ) - 001</t>
  </si>
  <si>
    <t>E</t>
  </si>
  <si>
    <t>Kojima</t>
  </si>
  <si>
    <t>Lê Tuấn Khôi - kaiwa 5 ( 21/01/2026 ) - 001</t>
  </si>
  <si>
    <t>2026-01-21
2026-07-18</t>
  </si>
  <si>
    <t>trangntb/duyenltm</t>
  </si>
  <si>
    <t>GV123</t>
  </si>
  <si>
    <t>Mạnh Thị Thế - kaiwa 3 ( 17/01/2026) - 001</t>
  </si>
  <si>
    <t>Lữ Thị Thu Hiền - kaiwa 2 ( 17/01/2026) - 001
Lữ Thị Thu Hiền - kaiwa 3 ( 24/03/2026 ) - 001</t>
  </si>
  <si>
    <t>hieudtn/Trangpt</t>
  </si>
  <si>
    <t>Đinh Thị Minh Hiếu - kaiwa 1 ( 22/01/2026 ) - 001
Đinh Thị Minh Hiếu - kaiwa 2 ( 26/04/2026 ) - 001</t>
  </si>
  <si>
    <t>Arita/Huent</t>
  </si>
  <si>
    <t>Nguyễn Thị Lan Anh - kaiwa 3 ( 24/01/2026 ) - 001
Nguyễn Thị Lan Anh - kaiwa 4 ( 20/03/2026 ) - 001</t>
  </si>
  <si>
    <t>Diempvk</t>
  </si>
  <si>
    <t>Triệu Văn Vĩ - kaiwa 3 ( 26/01/2026 ) - 001</t>
  </si>
  <si>
    <t>2026-01-27
2026-08-04</t>
  </si>
  <si>
    <t>2026-02-25
2026-09-17</t>
  </si>
  <si>
    <r>
      <rPr>
        <rFont val="arial"/>
        <color theme="1"/>
      </rPr>
      <t xml:space="preserve">08h00
</t>
    </r>
    <r>
      <rPr>
        <rFont val="arial"/>
        <b/>
        <color rgb="FFFF0000"/>
      </rPr>
      <t>20h30</t>
    </r>
  </si>
  <si>
    <t>tienbtt/yenlth/huyennt</t>
  </si>
  <si>
    <t>Hồ Ngọc Lưu - kaiwa 1 ( 24/01/2026 ) - 001</t>
  </si>
  <si>
    <t>trucntt</t>
  </si>
  <si>
    <t>Lê Thị Xuân Mai - kaiwa 1 ( 28/01/2026 ) - 001
Lê Thị Xuân Mai - kaiwa 2 ( 18/04/2026 ) - 001</t>
  </si>
  <si>
    <r>
      <rPr>
        <rFont val="Arial"/>
        <b/>
        <color theme="1"/>
      </rPr>
      <t>13h00</t>
    </r>
    <r>
      <rPr>
        <rFont val="Arial"/>
        <color theme="1"/>
      </rPr>
      <t xml:space="preserve">
17h00</t>
    </r>
  </si>
  <si>
    <t>Dương Thị Như Quỳnh - kaiwa 2 ( 27/01/2026 ) - 001</t>
  </si>
  <si>
    <t>Lý Thị Thảo - kaiwa 2 ( 28/01/2026 ) - 001
Lý Thị Thảo - kaiwa 3 ( 18/04/2026 ) - 001</t>
  </si>
  <si>
    <t>Nguyễn Thị Thuận - kaiwa 2 ( 30/01/2026 ) - 001</t>
  </si>
  <si>
    <t>Đoàn Hải Yến - kaiwa 2 ( 31/01/2026 ) - 001</t>
  </si>
  <si>
    <t>huyennt/Ngandtt</t>
  </si>
  <si>
    <t>GV442</t>
  </si>
  <si>
    <t>Nguyễn Cảnh Hiển - kaiwa 1 ( 30/01/2026 ) - 001</t>
  </si>
  <si>
    <t>anhnq/anhth</t>
  </si>
  <si>
    <t>GV436</t>
  </si>
  <si>
    <t>Nguyễn Việt Tân - kaiwa 1 ( 30/01/2026 ) - 001</t>
  </si>
  <si>
    <t>Sinhtt</t>
  </si>
  <si>
    <t>GV459</t>
  </si>
  <si>
    <t>Từ Thị Quế Linh - kaiwa 2 ( 02/02/2026 ) - 001</t>
  </si>
  <si>
    <t>Midori</t>
  </si>
  <si>
    <t>Võ Thanh Triều - kaiwa 5 ( 02/02/2026 ) - 001</t>
  </si>
  <si>
    <t>satokojima/huyenct</t>
  </si>
  <si>
    <t>GV468</t>
  </si>
  <si>
    <t>Phạm Nguyễn Mỹ Dung - kaiwa 3 ( 04/02/2026) - 001
Phạm Nguyễn Mỹ Dung - kaiwa 4 ( 20/03/2026 ) - 001
Phạm Nguyễn Mỹ Dung - kaiwa 5 ( 12/06/2026 ) - 001</t>
  </si>
  <si>
    <t>Vynt</t>
  </si>
  <si>
    <t>Nguyễn Thị Hồng Nhung - kaiwa 1 ( 04/02/2026 ) - 001</t>
  </si>
  <si>
    <t>Nguyễn Thị Yến Nhi - Kaiwa 3 (08/02/2026) - 001</t>
  </si>
  <si>
    <t>Nguyễn Thương Đạt - kaiwa 2 ( 06/02/2026 ) - 001</t>
  </si>
  <si>
    <t>2026-02-10
2026-09-15</t>
  </si>
  <si>
    <t>hattp/namnp/quyentn</t>
  </si>
  <si>
    <t>Nguyễn Văn Cường - kaiwa 2 ( 07/02/2026 ) - 001</t>
  </si>
  <si>
    <t>myntd/Trangltt</t>
  </si>
  <si>
    <t>Đoàn Thị Cẩm Thúy - kaiwa 2 ( 28/02/2026 ) - 001
Đoàn Thị Cẩm Thúy - kaiwa 3 ( 04/05/2026 ) - 001</t>
  </si>
  <si>
    <t>hanhttm</t>
  </si>
  <si>
    <t>GV416</t>
  </si>
  <si>
    <t>Dương Như Thảo - kaiwa 2 ( 07/02/2026 ) - 001</t>
  </si>
  <si>
    <t>Binhdp</t>
  </si>
  <si>
    <t>GV463</t>
  </si>
  <si>
    <t>Đỗ Xuân Lãm - kaiwa 1 ( 06/02/2026 ) - 001</t>
  </si>
  <si>
    <t>Danh Quý - kaiwa 3 ( 07/02/2026 ) - 001</t>
  </si>
  <si>
    <r>
      <rPr>
        <rFont val="Arial"/>
        <color theme="1"/>
      </rPr>
      <t xml:space="preserve">14h00
</t>
    </r>
    <r>
      <rPr>
        <rFont val="Arial"/>
        <color rgb="FFFF0000"/>
      </rPr>
      <t>19h00</t>
    </r>
  </si>
  <si>
    <t>Ngân Thanh Phụng - kaiwa 3 ( 09/02/2026 ) - 001</t>
  </si>
  <si>
    <t>Nguyễn Thị Mỹ Nhung - kaiwa 2 ( 11/02/2026 ) - 001
Nguyễn Thị Mỹ Nhung - kaiwa 1 ( 25/02/2026 ) - 001</t>
  </si>
  <si>
    <t>Hà Cẩm Tú - kaiwa 2 ( 13/02/2026 ) - 001</t>
  </si>
  <si>
    <t>Vi Yến Hoa - kaiwa 3 ( 13/02/2026 ) - 001</t>
  </si>
  <si>
    <t>Lộc Thị Ba - kaiwa 2 ( 13/02/2026 ) - 001</t>
  </si>
  <si>
    <t>nguyenbvt/hattp</t>
  </si>
  <si>
    <t>GV472</t>
  </si>
  <si>
    <t>Nguyễn Thị Thúy An - kaiwa 2 ( 24/02/2026 ) - 001
Nguyễn Thị Thúy An - kaiwa 3 ( 15/04/2026 ) - 001</t>
  </si>
  <si>
    <t>Trangnh</t>
  </si>
  <si>
    <t>GV471</t>
  </si>
  <si>
    <t>LÊ THỊ THANH - kaiwa 2 ( 24/02/2026 ) - 001</t>
  </si>
  <si>
    <t>Nguyễn Ngân - kaiwa 2 ( 25/02/2026 ) - 001
Nguyễn Ngân - kaiwa 3 ( 01/04/2026 ) - 001</t>
  </si>
  <si>
    <t>trangnh</t>
  </si>
  <si>
    <t>Hồ Thị Kim Duyên - Kaiwa 2 ( 14/02/2026) - 001</t>
  </si>
  <si>
    <t>Trịnh Thị Hồng Quyên - kaiwa 3 ( 27/02/2026 ) - 001</t>
  </si>
  <si>
    <t>Huyenvk</t>
  </si>
  <si>
    <t>Đỗ Xuân Trường - kaiwa 2 ( 04/03/2026 ) - 001</t>
  </si>
  <si>
    <t>kojima/anhnt</t>
  </si>
  <si>
    <t>Lê Hồng Xuân - kaiwa 2 ( 03/03/2026 ) - 001
Lê Hồng Xuân - kaiwa 3 ( 16/04/2026 ) - 001</t>
  </si>
  <si>
    <t>Vũ Thị Phượng - kaiwa 2 ( 03/03/2026 ) - 001
Vũ Thị Phượng - kaiwa 3 ( 28/04/2026 ) - 001</t>
  </si>
  <si>
    <t>vynt/ tienbtt</t>
  </si>
  <si>
    <t>Nguyễn Thị Mỹ Duyên - kaiwa 1 ( 02/03/2026 ) - 001</t>
  </si>
  <si>
    <t>nguyenntt</t>
  </si>
  <si>
    <t>GV304</t>
  </si>
  <si>
    <t>Lê Thị Trúc Ly - prekaiwa 1 ( 04/02/2026 ) - 001</t>
  </si>
  <si>
    <t>BS1_ 1002 - 001</t>
  </si>
  <si>
    <t>2026-03-04
2026-05-11</t>
  </si>
  <si>
    <t>Lê Quang Tín - kaiwa 4 ( 04/03/2026 ) - 001</t>
  </si>
  <si>
    <t>K360013 - 001</t>
  </si>
  <si>
    <t>Nguyễn Thị Thanh - kaiwa 2 ( 05/03/2026 ) - 001
Nguyễn Thị Thanh - kaiwa 3 ( 21/04/2026 ) - 001</t>
  </si>
  <si>
    <t>Anhnq</t>
  </si>
  <si>
    <t>Võ Thị Kim Nhung - kaiwa 1 ( 07/03/2026 ) - 001</t>
  </si>
  <si>
    <t>2026-03-11
2026-08-17</t>
  </si>
  <si>
    <r>
      <rPr>
        <rFont val="Arial"/>
        <b/>
        <color theme="1"/>
      </rPr>
      <t xml:space="preserve">12h30
</t>
    </r>
    <r>
      <rPr>
        <rFont val="Arial"/>
        <b/>
        <color rgb="FFFF0000"/>
      </rPr>
      <t>20h30</t>
    </r>
  </si>
  <si>
    <t>thamtt/yenlth/quyentn</t>
  </si>
  <si>
    <t>Nguyễn Thị Thanh - kaiwa 3 ( 06/03/2026) - 001
Nguyễn Thị Thanh - kaiwa 2 ( 04/08/2026 ) - 001</t>
  </si>
  <si>
    <t>hoabx/Uyenntm</t>
  </si>
  <si>
    <t>GV489</t>
  </si>
  <si>
    <t>Nguyễn Văn Tiến - kaiwa 2 ( 06/03/2026 ) - 001</t>
  </si>
  <si>
    <t>Nguyễn Ngọc Toàn - kaiwa 4 ( 07/03/2026) - 001</t>
  </si>
  <si>
    <t>56CN</t>
  </si>
  <si>
    <t>thanhlt</t>
  </si>
  <si>
    <t>Trần Thị Thùy Nhung - kaiwa 1 ( 12/03/2026 ) - 001
Trần Thị Thùy Nhung - kaiwa 2 ( 12/05/2026 ) - 001</t>
  </si>
  <si>
    <t>47CN</t>
  </si>
  <si>
    <t xml:space="preserve">Nguyênbvt </t>
  </si>
  <si>
    <t>Trần Thị Ngọc Duyên - Kaiwa 2 (12/03/2026) - 001
Trần Thị Ngọc Duyên - kaiwa 3 ( 18/04/2026 ) - 001</t>
  </si>
  <si>
    <t>Bùi Thu Thủy - kaiwa 2 ( 13/03/2026 ) - 001</t>
  </si>
  <si>
    <t>Nguyễn Lương Vũ - kaiwa 1 ( 16/03/2026 ) - 001
Nguyễn Lương Vũ - kaiwa 2 ( 23/04/2026 ) - 001</t>
  </si>
  <si>
    <t>Lê Thị Bích Vân - kaiwa 2 ( 17/03/2026 ) - 001</t>
  </si>
  <si>
    <t>sinhtt</t>
  </si>
  <si>
    <t>Trần Thảo Ý -Kaiwa 2 (16-03-2026) - 001
Trần Thảo Ý - kaiwa 3 ( 24/06/2026 ) - 001</t>
  </si>
  <si>
    <t>anhnt/Uyenntm</t>
  </si>
  <si>
    <t>GV486</t>
  </si>
  <si>
    <t>Mai Thị Cẩm Vân - kaiwa 1 ( 16/03/2026 ) - 001</t>
  </si>
  <si>
    <t>Minhnh</t>
  </si>
  <si>
    <t>GV477</t>
  </si>
  <si>
    <t>Nguyễn Chánh Phước - kaiwa 2 ( 18/03/2026 ) - 001</t>
  </si>
  <si>
    <t>Ngô Thị Thùy Linh - kaiwa 1 ( 17/03/2026 ) - 001</t>
  </si>
  <si>
    <t>Đinh Cao Trí - kaiwa 1 ( 18/03/026 ) - 001</t>
  </si>
  <si>
    <r>
      <rPr>
        <rFont val="Arial"/>
        <b/>
        <color rgb="FFFF0000"/>
      </rPr>
      <t>13h00</t>
    </r>
    <r>
      <rPr>
        <rFont val="Arial"/>
        <color theme="1"/>
      </rPr>
      <t xml:space="preserve">
18h00</t>
    </r>
  </si>
  <si>
    <t>Võ Thuyên Trúc - kaiwa 2 ( 18/03/2026 ) - 001</t>
  </si>
  <si>
    <t>Nguyễn Huy Hoàng - kaiwa 1 ( 20/03/2026 ) - 001</t>
  </si>
  <si>
    <t>Nguyễn Thị Phuong - kaiwa 2 ( 20/03/2026 ) - 001
Nguyễn Thị Phương - kaiwa 3 ( 08/09/2026 ) - 001</t>
  </si>
  <si>
    <t>thanhtt</t>
  </si>
  <si>
    <t>Nguyễn Trần Duy Anh - kaiwa 2 ( 23/03/2026 ) - 001</t>
  </si>
  <si>
    <t>tienttb</t>
  </si>
  <si>
    <t>Nguyễn Dương Thuận - kaiwa 1 ( 24/03/2026 ) - 001</t>
  </si>
  <si>
    <t>Lại Hoàng Phương Trâm - kaiwa 4 ( 01/04/2026 ) - 001</t>
  </si>
  <si>
    <t>arita/hattt</t>
  </si>
  <si>
    <t>Phạm Thị Anh Thư - kaiwa 3 ( 27/03/2026 ) - 001
Phạm Thị Anh Thư - kaiwa 4 ( 16/06/2026 ) - 001</t>
  </si>
  <si>
    <t>haolt</t>
  </si>
  <si>
    <t>GV482</t>
  </si>
  <si>
    <t>Trịnh Ngọc Long - kaiwa 1 ( 27/03/2026 ) - 001</t>
  </si>
  <si>
    <t>Nguyễn Thị Hoa - kaiwa 1 kaigo ( 27/03/2026 ) - 001</t>
  </si>
  <si>
    <t>bài16</t>
  </si>
  <si>
    <t>kojima/thanhtt</t>
  </si>
  <si>
    <t>Nguyễn Đình Cơ - kaiwa 3 ( 30/03/2026 ) - 001
Nguyễn Đình Cơ - kaiwa 4 ( 05/05/2026 ) - 001</t>
  </si>
  <si>
    <r>
      <rPr>
        <rFont val="Arial"/>
        <color theme="1"/>
      </rPr>
      <t xml:space="preserve">18h30
</t>
    </r>
    <r>
      <rPr>
        <rFont val="Arial"/>
        <b/>
        <color rgb="FFFF0000"/>
      </rPr>
      <t>20h30</t>
    </r>
  </si>
  <si>
    <t>Nguyễn Phước Lộc - kaiwa 3 ( 28/03/2026 ) - 001</t>
  </si>
  <si>
    <t>19h30
20h00</t>
  </si>
  <si>
    <t>chamnt</t>
  </si>
  <si>
    <t>Lương Thủy Tiên - kaiwa 2 ( 28/03/2026 ) - 001</t>
  </si>
  <si>
    <t>linhtth</t>
  </si>
  <si>
    <t>GV282</t>
  </si>
  <si>
    <t>Phạm Thị Tho - kaiwa 1 ( 31/03/2026 ) - 001</t>
  </si>
  <si>
    <t xml:space="preserve">
20h00</t>
  </si>
  <si>
    <t>Izumi</t>
  </si>
  <si>
    <t>Nguyễn Quang Sơn - kaiwa 3 ( 31/03/2026 ) - 001
Nguyễn Quang Sơn - kaiwa 4 ( 25/05/2026 ) - 001</t>
  </si>
  <si>
    <t>GV439</t>
  </si>
  <si>
    <t>Nguyễn Thị Diệu - kaiwa 1 ( 04/04/2026 ) - 001
Phạm Thị Diệu - kaiwa 2 ( 13/06/2026 ) - 001</t>
  </si>
  <si>
    <t>Nguyễn Văn Hoàn - kaiwa 2 ( 01/04/2026 ) - 001</t>
  </si>
  <si>
    <t>kojima/chamnt</t>
  </si>
  <si>
    <t>Lê Thị Ngọc Hân - kaiwa 3 ( 01/04/2026 ) - 001
Lê Thị Ngọc Hân - kaiwa 4 ( 25/05/2026 ) - 001</t>
  </si>
  <si>
    <t>thuyntt</t>
  </si>
  <si>
    <t>GV460</t>
  </si>
  <si>
    <t>Bùi Nguyễn Tố Trinh - kaiwa 2 ( 04/04/2026 ) - 001</t>
  </si>
  <si>
    <t>Nguyễn Lê Minh - kaiwa 3 ( 04/04/2026 ) - 001</t>
  </si>
  <si>
    <t>2026-04-06
2026-07-21</t>
  </si>
  <si>
    <t>2026-04-16
2026-08-24</t>
  </si>
  <si>
    <t>hientt/thanhnt</t>
  </si>
  <si>
    <t>Trần Thị Thùy Dương - kaiwa 3 ( 04/04/2026 ) - 001</t>
  </si>
  <si>
    <t>anhnn</t>
  </si>
  <si>
    <t>Hoàng Đức Văn - kaiwa 1 ( 06/04/2026 ) - 001</t>
  </si>
  <si>
    <t>myltm</t>
  </si>
  <si>
    <t>Trương Khánh Hoàng - kaiwa 2 ( 07/04/2026 ) - 001</t>
  </si>
  <si>
    <t>vanlp</t>
  </si>
  <si>
    <t>Nguyễn Đình Tâm - kaiwa 1 ( 07/04/2026 ) - 001
Nguyễn Đình Tâm - kaiwa 2 (08/06/2026) - 001</t>
  </si>
  <si>
    <t>Lê Thị Mỹ Duyên - kaiwa 4 kaigo ( 07/04/2026 ) - 001</t>
  </si>
  <si>
    <t>08h00
18h30</t>
  </si>
  <si>
    <t>Lã Thị Kim Ngân - kaiwa 4 ( 09/04/2026) - 001</t>
  </si>
  <si>
    <t>PHAN NGỌC NHI - kaiwa 3 ( 09/04/2026 ) - 001</t>
  </si>
  <si>
    <r>
      <rPr>
        <rFont val="Arial"/>
        <b/>
        <color rgb="FFFF0000"/>
      </rPr>
      <t>08h00</t>
    </r>
    <r>
      <rPr>
        <rFont val="Arial"/>
        <color theme="1"/>
      </rPr>
      <t xml:space="preserve">
20h00</t>
    </r>
  </si>
  <si>
    <t>anhnq</t>
  </si>
  <si>
    <t>Đỗ Hữu Thi - kaiwa 2 ( 11/04/2026 ) - 001</t>
  </si>
  <si>
    <t>Trần Nguyên Thị Thanh Thúy - kaiwa 1 ( 14/04/2026 ) - 001
Trần Nguyên Thị Thanh Thúy - kaiwa 2 ( 28/05/2026 ) - 001</t>
  </si>
  <si>
    <t>08h00
20h00</t>
  </si>
  <si>
    <t>Ngô Văn Tuyển - kaiwa 3 ( 11/4/2026) - 001</t>
  </si>
  <si>
    <t>Giang Mỹ Nhàn - kaiwa 5 ( 21/04/2026 ) - 001</t>
  </si>
  <si>
    <t>34CN</t>
  </si>
  <si>
    <t>Lê Thành Đạt - kaiwa 4 ( 21/04/2026 ) - 001
Lê Thành Đạt - kaiwa 5 ( 05/08/2026 ) - 001</t>
  </si>
  <si>
    <t>Nguyễn Thị Thuỳ Dung - kaiwa 1 ( 22/04/2026 ) - 001
Nguyễn Thị Thuỳ Dung - kaiwa 2 ( 10/06/2026 ) - 001</t>
  </si>
  <si>
    <t>08h30
10h30</t>
  </si>
  <si>
    <t>Phạm Thị Hà - kaiwa 3 ( 24/04/2026 ) - 001
Phạm Thị Hà - kaiwa 4 ( 29/04/2026 ) - 001</t>
  </si>
  <si>
    <t>09h15</t>
  </si>
  <si>
    <t>Phạm Ngọc Nhật Tuyền - kaiwa 2 ( 23/04/2026 ) - 001
Phạm Ngọc Nhật Tuyền - kaiwa 3 ( 05/07/2026 ) - 001</t>
  </si>
  <si>
    <t>08h40</t>
  </si>
  <si>
    <t>Nguyễn Thị Trang - kaiwa 2 ( 22/04/2026 ) - 001
Nguyễn Thị Trang - kaiwa 1 ( 04/05/2026 ) - 001</t>
  </si>
  <si>
    <t>Nguyễn Văn Truyền - kaiwa 1 ( 24/04/2026 ) - 001</t>
  </si>
  <si>
    <t>Hant</t>
  </si>
  <si>
    <t>GV490</t>
  </si>
  <si>
    <t>Nguyễn Thị Kim Diệu - kaiwa 2 ( 28/04/2026 ) - 001</t>
  </si>
  <si>
    <t>Nguyễn Phương Trà - kaiwa 3 ( 28/04/2026 ) - 001</t>
  </si>
  <si>
    <t>ngocnt</t>
  </si>
  <si>
    <t>GV419</t>
  </si>
  <si>
    <t>Trần Quốc Huy - kaiwa 3 ( 29/04/2026 ) - 001</t>
  </si>
  <si>
    <t>Hồ Thị Lý - kaiwa 1 ( 04/05/2026 ) - 001</t>
  </si>
  <si>
    <t>Vũ Thị Tâm - kaiwa 1 ( 06/05/2026 ) - 001</t>
  </si>
  <si>
    <t>Hồ Thị Anh Thư - kaiwa 1 kaigo ( 05/05/2026 ) - 001</t>
  </si>
  <si>
    <t>thuannm</t>
  </si>
  <si>
    <t>GV491</t>
  </si>
  <si>
    <t>Vũ Đình Bính - kaiwa 1 ( 06/05/2026 ) - 001
Vũ Đình Bính - prekaiwa 2 ( 13/05/2026 ) - 001</t>
  </si>
  <si>
    <t>sato</t>
  </si>
  <si>
    <t>Nguyễn Thu Trang - kaiwa 3 ( 06/05/2026 ) - 001
Nguyễn Thu Trang - kaiwa 4 ( 09/06/2026) - 001</t>
  </si>
  <si>
    <t>Lương Huệ Ngân - kaiwa 2 ( 05/05/2026 ) - 001</t>
  </si>
  <si>
    <r>
      <rPr>
        <rFont val="Arial"/>
        <b/>
        <color rgb="FFFF0000"/>
      </rPr>
      <t>13h00</t>
    </r>
    <r>
      <rPr>
        <rFont val="Arial"/>
        <b/>
        <color theme="1"/>
      </rPr>
      <t xml:space="preserve">
</t>
    </r>
    <r>
      <rPr>
        <rFont val="Arial"/>
        <b/>
        <color theme="1"/>
      </rPr>
      <t>17h30</t>
    </r>
  </si>
  <si>
    <t>Nguyễn Nhật Trịnh - prekaiwa 2 ( 07/05/2026 ) - 001
Nguyễn Nhật Trịnh - kaiwa 1 ( 11/07/2026 ) - 001</t>
  </si>
  <si>
    <t>Nguyễn Duy Thưởng - kaiwa 1 ( 12/05/2026 ) - 001
Nguyễn Duy Thưởng - kaiwa 2 ( 17/06/2026 ) - 001</t>
  </si>
  <si>
    <t>Nguyễn Công Kỳ - kaiwa 1 ( 11/05/2026 ) - 001
Nguyễn Công Kỳ - kaiwa 2 ( 18/05/2026 ) - 001
Nguyễn Công Kỳ - kaiwa 3 ( 12/08/2026 ) - 001</t>
  </si>
  <si>
    <t>Đào Thu Hăng - kaiwa 3 ( 12/05/2026 ) - 001</t>
  </si>
  <si>
    <t>13h30
15h00</t>
  </si>
  <si>
    <t>Hà Kiều Trang - kaiwa 2 ( 11/05/2026) - 001
Hà Kiều Trang - kaiwa 3 ( 02/07/2026 ) - 001</t>
  </si>
  <si>
    <t>thanhnt</t>
  </si>
  <si>
    <t>Nguyễn Anh Thơ - kaiwa 3 ( 13/05/2026 ) - 001</t>
  </si>
  <si>
    <t>lamdtt</t>
  </si>
  <si>
    <t>GV496</t>
  </si>
  <si>
    <t>Nguyễn Thị Thảo - kaiwa 1 ( 13/05/2026 ) - 001
Nguyễn Thị Thảo - kaiwa 2 ( 22/06/2026 ) - 001</t>
  </si>
  <si>
    <t>yenlth/hinhbd</t>
  </si>
  <si>
    <t>GV500</t>
  </si>
  <si>
    <t>Đoàn Trọng Bắc - kaiwa 2 ( 14/05/2026 ) - 001</t>
  </si>
  <si>
    <t>hoabx</t>
  </si>
  <si>
    <t>Lữ Thi Ngọc Trầm - kaiwa 2 kaigo ( 16/05/2026 ) - 001</t>
  </si>
  <si>
    <t>Vũ Đình Thành - kaiwa 3 ( 15/05/2026 ) - 001</t>
  </si>
  <si>
    <t>hanv</t>
  </si>
  <si>
    <t>Trần Thị Thúy - kaiwa 3 kaigo ( 16/05/2026 ) - 001</t>
  </si>
  <si>
    <t>uyenltt/loinp</t>
  </si>
  <si>
    <t>Kim Đa Ri - kaiwa 2 ( 19/05/2026 ) - 001</t>
  </si>
  <si>
    <t>Đào Thị Lệ - kaiwa 3 ( 19/05/2026 ) - 001</t>
  </si>
  <si>
    <t>lueno/oinp</t>
  </si>
  <si>
    <t>Hoàng Nguyễn Thu Huyền - kaiwa 3 ( 19/05/2026 ) - 001</t>
  </si>
  <si>
    <t>Vương Quốc Khánh - kaiwa 1 ( 20/05/2026 ) - 001</t>
  </si>
  <si>
    <r>
      <rPr>
        <rFont val="Arial"/>
        <color rgb="FFFF0000"/>
      </rPr>
      <t>14h00</t>
    </r>
    <r>
      <rPr>
        <rFont val="Arial"/>
        <color theme="1"/>
      </rPr>
      <t xml:space="preserve">
19h00</t>
    </r>
  </si>
  <si>
    <t>Lê Bảo Minh - kaiwa 1 ( 22/05/2026 ) - 001</t>
  </si>
  <si>
    <t>namtp</t>
  </si>
  <si>
    <t>Mai Duy Tân - kaiwa 1 ( 23/05/2026 ) - 001</t>
  </si>
  <si>
    <t>hangntt</t>
  </si>
  <si>
    <t>GV473</t>
  </si>
  <si>
    <t>Lê Thị Thanh Vân - kaiwa 1 ( 25/05/2026 ) - 001</t>
  </si>
  <si>
    <t>Trần Thúy Hằng - kaiwa 2 ( 26/05/2026 ) - 001</t>
  </si>
  <si>
    <r>
      <rPr>
        <rFont val="Arial"/>
        <color theme="1"/>
      </rPr>
      <t xml:space="preserve">11h15
</t>
    </r>
    <r>
      <rPr>
        <rFont val="Arial"/>
        <b/>
        <color rgb="FFFF0000"/>
      </rPr>
      <t>18h00</t>
    </r>
  </si>
  <si>
    <t>yenlth</t>
  </si>
  <si>
    <t>Phan Thị Thu Ngân - kaiwa 2 ( 25/05/2026 ) - 001</t>
  </si>
  <si>
    <t>nguyenlh</t>
  </si>
  <si>
    <t>GV336</t>
  </si>
  <si>
    <t>Hoàng Xuân Hiếu - kaiwa 1 ( 27/05/2026) - 001</t>
  </si>
  <si>
    <t>sato/nguyenndh</t>
  </si>
  <si>
    <t>Hoàng Hoa Phượng - kaiwa 3 ( 28/05/2026 ) - 001</t>
  </si>
  <si>
    <t>dungdq</t>
  </si>
  <si>
    <t>GV505</t>
  </si>
  <si>
    <t>Hoàng Văn Hoàn - Kaiwa 1 ( 23/05/2026) - 001</t>
  </si>
  <si>
    <t>07h30
19h30</t>
  </si>
  <si>
    <t>Nguyễn Quang Trung-kaiwa 1(26/5/2026) - 001
Nguyễn Quang Trung - Kaiwa 2 (11/07/2026) - 001</t>
  </si>
  <si>
    <t>Nguyễn Đình Tuyến - kaiwa 1 ( 01/06/2026 ) - 001</t>
  </si>
  <si>
    <t>hienntn</t>
  </si>
  <si>
    <t>GV501</t>
  </si>
  <si>
    <t>Nguyễn Công Dũng - Kaiwa 2 (20/5/2026) - 001</t>
  </si>
  <si>
    <t>loinp/chinhmtv</t>
  </si>
  <si>
    <t>GV499</t>
  </si>
  <si>
    <t>Nguyễn Văn Thức - Kaiwa 1(29/5/2026) - 001</t>
  </si>
  <si>
    <t>13h00
14h00</t>
  </si>
  <si>
    <t>Trịnh Phương Uyên - Kaiwa 4 (30//05/2026) - 001</t>
  </si>
  <si>
    <t>thuynnt</t>
  </si>
  <si>
    <t>Nguyễn Ngọc Phiến - Kaiwa 2 (30/05/2026) - 001</t>
  </si>
  <si>
    <t>67CN</t>
  </si>
  <si>
    <t>Vũ Hoàng Hà - Kaiwa 2 (06/06/2026) - 001</t>
  </si>
  <si>
    <t>bài 16</t>
  </si>
  <si>
    <t>Hoàng Trọng Phú - kaiwa 3 ( 10/06/2026 ) - 001</t>
  </si>
  <si>
    <t>nnguyelh</t>
  </si>
  <si>
    <t>Nguyễn Thị Kim Đào - kaiwa 1 ( 11/06/2026 ) - 001
Nguyễn Thị Kim Đào - kaiwa 2 ( 23/07/2026 ) - 001</t>
  </si>
  <si>
    <t>huyenvt</t>
  </si>
  <si>
    <t>GV488</t>
  </si>
  <si>
    <t>Hoàng Thị Linh - kaiwa 1 ( 11/06/2026 ) - 001</t>
  </si>
  <si>
    <t>oanhltk</t>
  </si>
  <si>
    <t>GV506</t>
  </si>
  <si>
    <t>Nguyễn Thị Trọng - Kaiwa 2 (11/06/2026) - 001</t>
  </si>
  <si>
    <t>Lê Xuân Cường - kaiwa 2 ( 11/06/2026 ) - 001
Lê Xuân Cường - kaiwa 1 ( 26/06/2026 ) - 001</t>
  </si>
  <si>
    <t>Huỳnh Yến Thu - kaiwa 2 ( 11/06/2026 ) - 001</t>
  </si>
  <si>
    <t>Phạm Thị Hồng - kaiwa 3 NHKS ( 12/06/2026 ) - 001</t>
  </si>
  <si>
    <t>Vũ Trọng Giang - kaiwa 2 ( 15/06/2026 ) - 001</t>
  </si>
  <si>
    <t>Nguyễn Hương Lan - Kaiwa 1 (20/06/2026) - 001
Nguyễn Hương Lan - kaiwa 2 ( 16/07/2026 ) - 001</t>
  </si>
  <si>
    <t>Nguyễn Quốc Phố - Kaiwa 1 (19/06/2026) - 001</t>
  </si>
  <si>
    <t>Đỗ Văn Đồng - Kaiwa 3 (19/06/2026) - 001</t>
  </si>
  <si>
    <t>Bùi Sỹ Thoại - Kaiwa 2 (13/06/2026) - 001</t>
  </si>
  <si>
    <t>yenltt</t>
  </si>
  <si>
    <t>Nguyễn Huỳnh Bảo Châu - Kaiwa 2 (13/06/2026) - 001</t>
  </si>
  <si>
    <t>Dương Thị Quỳnh Như - Kaiwa 2 (13/06/2026) - 001</t>
  </si>
  <si>
    <t>bài 16
K3 GV Nhật</t>
  </si>
  <si>
    <t>ueno/lamvth</t>
  </si>
  <si>
    <t>Nguyễn Tấn Bình - Kaiwa 2 ( 13/06/2026) - 001
Nguyễn Tấn Bình - kaiwa 3 ( 04/08/2026 ) - 001</t>
  </si>
  <si>
    <t>Nguyễn Thị Lan - kaiwa 3 ( 20/06/2026 ) - 001</t>
  </si>
  <si>
    <t>Nguyễn Huyền Trang - kaiwa 2 ( 19/06/2026 ) - 001</t>
  </si>
  <si>
    <t>sato/isass</t>
  </si>
  <si>
    <t>Võ Thị Vi - kaiwa 3 kaigo ( 10/06/2026 ) - 001
Võ Thị Vi - kaiwa 4 kaigo ( 31/07/2026 ) - 001</t>
  </si>
  <si>
    <t>Nguyễn Gia Ngọc - kaiwa 1 ( 24/06/2026 ) - 001</t>
  </si>
  <si>
    <t>Trịnh Anh Tuấn - kaiwa 2 ( 25/06/2026 ) - 001</t>
  </si>
  <si>
    <t>kojima/yenlth</t>
  </si>
  <si>
    <t>Cao Trần Anh Quân - kaiwa 3 NHKS ( 24/06/2026 ) - 001
Cao Trần Anh Quân - kaiwa 4 NHKS ( 07/09/2026 ) - 001</t>
  </si>
  <si>
    <t>Hà Phương Chi - kaiwa 2 ( 25/06/2026 ) - 001</t>
  </si>
  <si>
    <t>loinp</t>
  </si>
  <si>
    <t>Lường Tuyết Ngân - kaiwa 2 ( 26/06/2026 ) - 001</t>
  </si>
  <si>
    <t>Vy Ngọc Kiều - kaiwa 2 ( 26/06/2026 ) - 001</t>
  </si>
  <si>
    <t>Lê Ngọc Phương Khanh - kaiwa 3 ( 26/06/2026 ) - 001</t>
  </si>
  <si>
    <t>Thái Văn Hai Ngàn - kaiwa 2 ( 30/06/2026 ) - 001</t>
  </si>
  <si>
    <t>08h30
09h30</t>
  </si>
  <si>
    <t>Miyata</t>
  </si>
  <si>
    <t>Nguyễn Thị Tuyền - kaiwa 5 ( 30/06/2026 ) - 001</t>
  </si>
  <si>
    <t>Hồ Lý Tường Vy - Kaiwa 3 (10/08/2026) - 001
Hồ Lý Tường Vy - kaiwa 2 ( 01/07/2026 ) - 001</t>
  </si>
  <si>
    <t>Ngô Mỹ Uyên - kaiwa 3 ( 30/06/2026 ) - 001</t>
  </si>
  <si>
    <t>K160031 - 001</t>
  </si>
  <si>
    <r>
      <rPr>
        <rFont val="Arial"/>
        <b/>
        <color theme="1"/>
      </rPr>
      <t xml:space="preserve">09h00
</t>
    </r>
    <r>
      <rPr>
        <rFont val="Arial"/>
        <b/>
        <color rgb="FFFF0000"/>
      </rPr>
      <t>16h30</t>
    </r>
  </si>
  <si>
    <t>Trần Công Huy - Kaiwa 1 (27/06/2026) - 001
Trần Công Huy - kaiwa 2 (10/8/2026) - 001</t>
  </si>
  <si>
    <t>Nguyễn Thị Lan Hương - kaiwa 3 ( 04/07/2026 ) - 001</t>
  </si>
  <si>
    <r>
      <rPr>
        <rFont val="Arial"/>
        <b/>
        <color rgb="FFFF0000"/>
      </rPr>
      <t>09h00</t>
    </r>
    <r>
      <rPr>
        <rFont val="Arial"/>
        <color theme="1"/>
      </rPr>
      <t xml:space="preserve">
18h30</t>
    </r>
  </si>
  <si>
    <t>Huỳnh Anh Uyên Vy - kaiwa 2 ( 06/07/2026 ) - 001</t>
  </si>
  <si>
    <t>Hồ Nguyễn Thu My - kaiwa 3 ( 09/07/2026 ) - 001</t>
  </si>
  <si>
    <t>Trần Thị Hải Ly - kaiwa 2 ( 08/07/2026 ) - 001</t>
  </si>
  <si>
    <t>yenltth</t>
  </si>
  <si>
    <t>Lê Thị Oanh - kaiwa 3 ( 7/7/2026 ) - 001</t>
  </si>
  <si>
    <t>huyenvv</t>
  </si>
  <si>
    <t>Phan Thị Phương Dung - kaiwa 2 ( 10/07/2026 ) - 001</t>
  </si>
  <si>
    <t>Quách Thị Trang - kaiwa 1 ( 11/07/2026 ) - 001</t>
  </si>
  <si>
    <t>Dương Thị Thảo - kaiwa 3 ( 10/07/2026 ) - 001</t>
  </si>
  <si>
    <t>Nguyễn Hồng Thu Trúc - kaiwa 3 NHKS ( 13/07/2026 ) - 001</t>
  </si>
  <si>
    <t>Đoàn Thị Thu Hiền - kaiwa 2 ( 15/07/2026 ) - 001</t>
  </si>
  <si>
    <t>Phạm Thị Thiên Nhi - kaiwa 3 ( 15/07/2026 ) - 001</t>
  </si>
  <si>
    <t>izumi</t>
  </si>
  <si>
    <t>Nguyễn Thị Hà - kaiwa 7 ( 15/07/2026 ) - 001</t>
  </si>
  <si>
    <t>Trần Thị Lan - Kawia 2 ( 11/7/2026) - 001</t>
  </si>
  <si>
    <t>xuanbh</t>
  </si>
  <si>
    <t>Hồ Vũ Thanh - kaiwa 2 (11/07/2026) - 001</t>
  </si>
  <si>
    <t>Phan Thị Diễm Hằng - kaiwa 2 (18/7/2026) - 001</t>
  </si>
  <si>
    <t>sato/hangktt</t>
  </si>
  <si>
    <t>Nguyễn Thị Anh Phương - kaiwa 3 (18/7/2026) - 001
Nguyễn Thị Anh Phương - kaiwa 4 ( 24/08/2026 ) - 001</t>
  </si>
  <si>
    <t>hanlth</t>
  </si>
  <si>
    <t>Hoàng Cầm Thiên - kaiwa 1 ( 21/07/2026 ) - 001</t>
  </si>
  <si>
    <t>Nguyễn Thị Thu Thương - kaiwa 2 ( 23/07/2026 ) - 001
Nguyễn Thị Thu Thương - kaiwa 3 ( 26/08/2026 ) - 001</t>
  </si>
  <si>
    <t>Nguyễn Thị Sự - kaiwa 3 ( 23/07/2026 ) - 001</t>
  </si>
  <si>
    <t>Lê Ngọc Hiệp - kaiwa 5 (25/7/2026) - 001</t>
  </si>
  <si>
    <t>uyenltt/nguyenbvt</t>
  </si>
  <si>
    <t>Ngô Nguyễn Bích Trân - kaiwa 1 ( 22/07/2026) - 001
Ngô Nguyễn Bích Trân - kaiwa 2 ( 07/09/2026 ) - 001</t>
  </si>
  <si>
    <t>Trần Thị Hưng - kaiwa 2 ( 25/07/2026 ) - 001</t>
  </si>
  <si>
    <t>Trần Thị Lê - kaiwa 2 ( 25/07/2026 ) - 001</t>
  </si>
  <si>
    <t>Nguyễn Thị Kiều Loan - kaiwa 1 ( 27/07/2026 ) - 001</t>
  </si>
  <si>
    <t>11h00
19h00</t>
  </si>
  <si>
    <t>Hoàng Nguyễn Hải Ly - kaiwa 4 ( 28/07/2026 ) - 001</t>
  </si>
  <si>
    <r>
      <rPr>
        <rFont val="Arial"/>
        <color rgb="FFFF0000"/>
      </rPr>
      <t>14h45</t>
    </r>
    <r>
      <rPr>
        <rFont val="Arial"/>
        <color theme="1"/>
      </rPr>
      <t xml:space="preserve">
19h30</t>
    </r>
  </si>
  <si>
    <t>trangntb</t>
  </si>
  <si>
    <t>Lê Bảo Thạch - kaiwa 3 ( 30/07/2026 ) - 001</t>
  </si>
  <si>
    <t>15h00
13h30
12h00</t>
  </si>
  <si>
    <t>Phan Thành Danh - kaiwa 2 ( 03/08/2026 ) - 001
Phan Thành Danh - kaiwa 3 ( 08/09/2026 ) - 001</t>
  </si>
  <si>
    <t>linhntp</t>
  </si>
  <si>
    <t>GV513</t>
  </si>
  <si>
    <t>Nguyễn Phương Linh - Kaiwa 3 (25/07/2026) - 001</t>
  </si>
  <si>
    <t>Nguyễn Thị Nga - Kaiwa 1 )25/07/2026) - 001</t>
  </si>
  <si>
    <t>Bùi Phạm Ngọc Giàu - kaiwa 3 ( 03/08/2026 ) - 001</t>
  </si>
  <si>
    <t>bài16
7/8 t3 lúc 13hVn</t>
  </si>
  <si>
    <t>10h00
15h00
19h00</t>
  </si>
  <si>
    <t xml:space="preserve">trangntb </t>
  </si>
  <si>
    <t>Phạm Thị Hoài Thương - kaiwa 2 ( 03/08/2026 ) - 001</t>
  </si>
  <si>
    <t>5CN</t>
  </si>
  <si>
    <t>Lê Thành Nguyên - kaiwa 2 ( 06/08/2026 ) - 001</t>
  </si>
  <si>
    <t>Hoàng Minh Tuấn - kaiwa 2 ( 05/08/2026 ) - 001</t>
  </si>
  <si>
    <t>Bùi Văn Sĩ - Kaiwa 2 (31/07/2026) - 001</t>
  </si>
  <si>
    <t>Nguyễn Thị Trang - kaiwa 1 ( 11/08/2026 ) - 001</t>
  </si>
  <si>
    <t>Trần Văn Hoàng - kaiwa 3 ( 11/08/2026 ) - 001</t>
  </si>
  <si>
    <t>Đào Vân Anh - kaiwa 2 ( 10/08/2026 ) - 001</t>
  </si>
  <si>
    <t>Đỗ Văn Vinh - kaiwa 2 ( 11/08/2026 ) - 001
Đỗ Văn Vinh - kaiwa 1 ( 10/09/2026 ) - 001</t>
  </si>
  <si>
    <t>lamvtl</t>
  </si>
  <si>
    <t>Lê Thị Hương - kaiwa 1 ( 11/08/2026 ) - 001</t>
  </si>
  <si>
    <t>Mai Phương - kaiwa 2 ( 12/08/2026 ) - 001</t>
  </si>
  <si>
    <t>mylt</t>
  </si>
  <si>
    <t>GV430</t>
  </si>
  <si>
    <t>Bùi Thị Lan - kaiwa 1 ( 13/08/2026 ) - 001</t>
  </si>
  <si>
    <t>Lưu Lê Hoàng Minh - kaiwa 2 ( 19/08/2026 ) - 001</t>
  </si>
  <si>
    <t>Bế Tấn Lộc - kaiwa 5 ( 19/08/2026 ) - 001</t>
  </si>
  <si>
    <t>Vũ Lý Hùng Anh - kaiwa 3 ( 18/08/2026 ) - 001</t>
  </si>
  <si>
    <t>Nguyễn Thị Thúy Lanh - kaiwa 1 ( 19/08/2026 ) - 001</t>
  </si>
  <si>
    <t>lent</t>
  </si>
  <si>
    <t>GV483</t>
  </si>
  <si>
    <t>Đỗ Thị Vân Anh - kaiwa 2 ( 19/08/2026 ) - 001</t>
  </si>
  <si>
    <t>linhpnt</t>
  </si>
  <si>
    <t>GV520</t>
  </si>
  <si>
    <t>Đỗ Thu Trang - kaiwa 3 ( 21/08/2026 ) - 001</t>
  </si>
  <si>
    <t>anhhtk</t>
  </si>
  <si>
    <t>GV521</t>
  </si>
  <si>
    <t>Phan Huy Kỷ - kaiwa 2 ( 21/08/2026 ) - 001</t>
  </si>
  <si>
    <t xml:space="preserve">
19h30</t>
  </si>
  <si>
    <t>Đinh Văn Hiếu - kaiwa 2 ( 22/08/2026 ) - 001</t>
  </si>
  <si>
    <t xml:space="preserve">07h00
</t>
  </si>
  <si>
    <t>sano</t>
  </si>
  <si>
    <t>GV508</t>
  </si>
  <si>
    <t>Trần Thị Huệ Linh - kaiwa 3 ( 25/08/2026 ) - 001</t>
  </si>
  <si>
    <t>Trần Xuân Quỳnh Phương - kaiwa 1 IT ( 26/08/2026 ) - 001</t>
  </si>
  <si>
    <t>13h00</t>
  </si>
  <si>
    <t>Đinh Thị Liên - kaiwa 3 ( 25/08/2026 ) - 001</t>
  </si>
  <si>
    <r>
      <rPr>
        <rFont val="Arial"/>
        <b/>
        <color theme="1"/>
      </rPr>
      <t>10h00</t>
    </r>
    <r>
      <rPr>
        <rFont val="Arial"/>
        <color theme="1"/>
      </rPr>
      <t xml:space="preserve">
18h00</t>
    </r>
  </si>
  <si>
    <t>linhnm</t>
  </si>
  <si>
    <t>GV517</t>
  </si>
  <si>
    <t>Nguyễn Hồng Đức - kaiwa 2 ( 27/08/2026 ) - 001</t>
  </si>
  <si>
    <t>Lê Thị Kim Ngân - kaiwa 3 ( 29/08/2026 ) - 001</t>
  </si>
  <si>
    <t>Lê Thị Phương - kaiwa 2 ( 07/09/2026 ) - 001</t>
  </si>
  <si>
    <t>Hồ Đình Minh Đạt - kaiwa 3 ( 03/09/2026 ) - 001</t>
  </si>
  <si>
    <t>từ bài 3</t>
  </si>
  <si>
    <t>Nguyễn Văn Minh Vương - prekaiwa 2 ( 04/09/2026 ) - 001</t>
  </si>
  <si>
    <t>Nguyễn Minh Ánh - kaiwa 2 ( 04/09/2026 ) - 001</t>
  </si>
  <si>
    <t>12h45</t>
  </si>
  <si>
    <t>Bùi Thị Hồng Nga - kaiwa 4 ( 04/09/2026 ) - 001</t>
  </si>
  <si>
    <r>
      <rPr>
        <rFont val="Arial"/>
        <color theme="1"/>
      </rPr>
      <t xml:space="preserve">08h30
</t>
    </r>
    <r>
      <rPr>
        <rFont val="Arial"/>
        <b/>
        <color rgb="FFFF0000"/>
      </rPr>
      <t>19h00</t>
    </r>
  </si>
  <si>
    <t>Lê Thị Bích Ngân - Kaiwa 2 (3/9/2026) - 001</t>
  </si>
  <si>
    <t>Nguyễn Thị Thu Huyền - kaiwa 2 ( 04/09/2026 ) - 001</t>
  </si>
  <si>
    <t>Lê Thị Trúc - Kaiwa 3 (4/9/2026) - 001</t>
  </si>
  <si>
    <t>Nguyễn Phương Thảo Nguyên - Kaiwa 4 (5/9/2026) - 001</t>
  </si>
  <si>
    <t>Cao Thị Thùy Dương - kaiwa 3 ( 08/09/2026 ) - 001</t>
  </si>
  <si>
    <t>17h00
14h00</t>
  </si>
  <si>
    <t>Trần Vũ Thị Cẩm Bình - prekaiwa 2 ( 10/09/2026 ) - 001</t>
  </si>
  <si>
    <t>Nguyễn Thị Mỵ - kaiwa 1 ( 10/09/2026 ) - 001</t>
  </si>
  <si>
    <t>Nguyễn Văn Thành - kaiwa 2 ( 11/09/2026 ) - 001</t>
  </si>
  <si>
    <t xml:space="preserve">17h00 </t>
  </si>
  <si>
    <t>lamvtt</t>
  </si>
  <si>
    <t>Nịnh Thị Huyền Thương - kaiwa 1 ( 11/09/2026 ) - 001</t>
  </si>
  <si>
    <r>
      <rPr>
        <rFont val="Arial"/>
        <color theme="1"/>
      </rPr>
      <t xml:space="preserve">
</t>
    </r>
    <r>
      <rPr>
        <rFont val="Arial"/>
        <b/>
        <color rgb="FFFF0000"/>
      </rPr>
      <t>16h20</t>
    </r>
    <r>
      <rPr>
        <rFont val="Arial"/>
        <color theme="1"/>
      </rPr>
      <t xml:space="preserve">
09h00</t>
    </r>
  </si>
  <si>
    <t>Phan Thị Kiều Oanh - kaiwa 5 ( 10/09/2026 ) - 001
Phan Thị Kiều Oanh - kaiwa 4 ( 16/09/2026 ) - 001</t>
  </si>
  <si>
    <t>20h10</t>
  </si>
  <si>
    <t>Phạm Thanh Nam - kaiwa 2 ( 10/09/2026 ) - 001</t>
  </si>
  <si>
    <t xml:space="preserve">25v, 5NB </t>
  </si>
  <si>
    <t>Ngô Nguyễn Tiểu Phụng - kaiwa 2 ( 12/09/2026 ) - 001</t>
  </si>
  <si>
    <t>Nguyễn Xuân Huy - kaiwa 3 ( 12/09/2026 ) - 001</t>
  </si>
  <si>
    <t>anhntl</t>
  </si>
  <si>
    <t>GV511</t>
  </si>
  <si>
    <t>Nguyễn Yến Nhi - kaiwa 1 ( 14/09/2026 ) - 001</t>
  </si>
  <si>
    <t>Trịnh Hoàng Kỳ - kaiwa 2 ( 12/09/2026 ) - 001</t>
  </si>
  <si>
    <t>nữ</t>
  </si>
  <si>
    <t>Nguyễn Thị Thy - kaiwa 2 ( 18/09/2026 ) - 001</t>
  </si>
  <si>
    <r>
      <rPr>
        <rFont val="Arial"/>
        <b/>
        <color rgb="FFFF0000"/>
      </rPr>
      <t>08h30</t>
    </r>
    <r>
      <rPr>
        <rFont val="Arial"/>
        <b/>
        <color theme="1"/>
      </rPr>
      <t xml:space="preserve"> 
19h30</t>
    </r>
  </si>
  <si>
    <t>Võ Thị Tâm - kaiwa 2 ( 17/09/2026 ) - 001</t>
  </si>
  <si>
    <t>18h00
19h00</t>
  </si>
  <si>
    <t>Nguyễn Thị Xuân Mai - kaiwa 1 ( 18/09/2026 ) - 001</t>
  </si>
  <si>
    <t>09h00
13h00</t>
  </si>
  <si>
    <t>Nguyễn Thị Diễm Ngọc - kaiwa 4 ( 18/09/2026 ) - 001</t>
  </si>
  <si>
    <t>Hồ Thị Mộng Tiền - kaiwa 1 ( 21/09/2026 ) - 001</t>
  </si>
  <si>
    <t>15 buổi Nhật</t>
  </si>
  <si>
    <t>Nguyễn Trần Hải Đăng - Kaiwa 3 ( 16/09/2026) - 001</t>
  </si>
  <si>
    <t>Đinh Văn Lê - Kaiwa 2 ( 16/09/2026) - 001</t>
  </si>
  <si>
    <t>từ tháng 10</t>
  </si>
  <si>
    <t>Lê Thị Dung - Kaiwa 2 ( 16/09/2026) - 001</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</si>
</sst>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mm/yyyy"/>
    <numFmt numFmtId="165" formatCode="yyyy-mm-dd"/>
    <numFmt numFmtId="166" formatCode="yyyy&quot;-&quot;mm&quot;-&quot;dd"/>
    <numFmt numFmtId="167" formatCode="&quot;THÁNG &quot;mm/yyyy"/>
    <numFmt numFmtId="168" formatCode="M/d/yyyy H:mm:ss"/>
    <numFmt numFmtId="169" formatCode="dd/MM/yyyy"/>
    <numFmt numFmtId="170" formatCode="dd/MM/yyyy H:mm:ss"/>
    <numFmt numFmtId="171" formatCode="d/m/yyyy"/>
    <numFmt numFmtId="172" formatCode="&quot;THÁNG &quot;m/yyyy"/>
    <numFmt numFmtId="173" formatCode="M/d/yyyy"/>
    <numFmt numFmtId="174" formatCode="m/d"/>
    <numFmt numFmtId="175" formatCode="0.0%"/>
    <numFmt numFmtId="176" formatCode="d/m"/>
    <numFmt numFmtId="177" formatCode="mm/dd"/>
  </numFmts>
  <fonts count="45">
    <font>
      <sz val="10.0"/>
      <color rgb="FF000000"/>
      <name val="Arial"/>
      <scheme val="minor"/>
    </font>
    <font>
      <color theme="1"/>
      <name val="Arial"/>
      <scheme val="minor"/>
    </font>
    <font>
      <b/>
      <color theme="1"/>
      <name val="Arial"/>
    </font>
    <font>
      <color theme="1"/>
      <name val="Arial"/>
    </font>
    <font>
      <b/>
      <color theme="1"/>
      <name val="Arial"/>
      <scheme val="minor"/>
    </font>
    <font>
      <color rgb="FFFFFFFF"/>
      <name val="Arial"/>
    </font>
    <font>
      <color rgb="FFFFFFFF"/>
      <name val="Arial"/>
      <scheme val="minor"/>
    </font>
    <font>
      <sz val="11.0"/>
      <color theme="1"/>
      <name val="OpenSans-Semibold"/>
    </font>
    <font>
      <sz val="11.0"/>
      <color theme="1"/>
      <name val="Arial"/>
    </font>
    <font>
      <b/>
      <sz val="9.0"/>
      <color theme="1"/>
      <name val="Arial"/>
    </font>
    <font>
      <b/>
      <color rgb="FF000000"/>
      <name val="Arial"/>
      <scheme val="minor"/>
    </font>
    <font>
      <b/>
      <color rgb="FF000000"/>
      <name val="Arial"/>
    </font>
    <font>
      <sz val="11.0"/>
      <color rgb="FF000000"/>
      <name val="OpenSans-Semibold"/>
    </font>
    <font>
      <color rgb="FF000000"/>
      <name val="Arial"/>
      <scheme val="minor"/>
    </font>
    <font>
      <u/>
      <color rgb="FF1155CC"/>
      <name val="Arial"/>
    </font>
    <font>
      <b/>
      <sz val="11.0"/>
      <color rgb="FF000000"/>
      <name val="Arial"/>
    </font>
    <font>
      <sz val="11.0"/>
      <color rgb="FF081B3A"/>
      <name val="SegoeuiPc"/>
    </font>
    <font>
      <sz val="10.0"/>
      <color rgb="FF000000"/>
      <name val="Arial"/>
    </font>
    <font>
      <sz val="9.0"/>
      <color theme="1"/>
      <name val="Arial"/>
    </font>
    <font>
      <sz val="11.0"/>
      <color rgb="FF000000"/>
      <name val="Arial"/>
    </font>
    <font>
      <sz val="11.0"/>
      <color theme="1"/>
      <name val="Arial"/>
      <scheme val="minor"/>
    </font>
    <font>
      <b/>
      <sz val="12.0"/>
      <color theme="1"/>
      <name val="Times New Roman"/>
    </font>
    <font/>
    <font>
      <b/>
      <sz val="13.0"/>
      <color rgb="FFFFFFFF"/>
      <name val="Arial"/>
    </font>
    <font>
      <sz val="13.0"/>
      <color rgb="FFFFFFFF"/>
      <name val="Arial"/>
    </font>
    <font>
      <sz val="13.0"/>
      <color theme="1"/>
      <name val="Arial"/>
    </font>
    <font>
      <u/>
      <color rgb="FF1155CC"/>
      <name val="Arial"/>
    </font>
    <font>
      <u/>
      <color rgb="FF0000FF"/>
      <name val="Arial"/>
    </font>
    <font>
      <u/>
      <color rgb="FF1155CC"/>
      <name val="Arial"/>
    </font>
    <font>
      <b/>
      <color rgb="FFFFFFFF"/>
      <name val="Arial"/>
    </font>
    <font>
      <u/>
      <color rgb="FF1155CC"/>
      <name val="Arial"/>
    </font>
    <font>
      <u/>
      <color rgb="FF1155CC"/>
    </font>
    <font>
      <u/>
      <color rgb="FF0000FF"/>
    </font>
    <font>
      <b/>
      <i/>
      <color theme="1"/>
      <name val="Arial"/>
    </font>
    <font>
      <u/>
      <color rgb="FF0000FF"/>
      <name val="Arial"/>
    </font>
    <font>
      <u/>
      <color rgb="FF0000FF"/>
    </font>
    <font>
      <sz val="11.0"/>
      <color rgb="FF1F1F1F"/>
      <name val="&quot;Google Sans&quot;"/>
    </font>
    <font>
      <strike/>
      <color theme="1"/>
      <name val="Arial"/>
      <scheme val="minor"/>
    </font>
    <font>
      <b/>
      <strike/>
      <color theme="1"/>
      <name val="Arial"/>
    </font>
    <font>
      <sz val="11.0"/>
      <color rgb="FF081B3A"/>
      <name val="Arial"/>
    </font>
    <font>
      <strike/>
      <color theme="1"/>
      <name val="Arial"/>
    </font>
    <font>
      <strike/>
      <sz val="11.0"/>
      <color theme="1"/>
      <name val="OpenSans-Semibold"/>
    </font>
    <font>
      <strike/>
      <sz val="11.0"/>
      <color theme="1"/>
      <name val="Arial"/>
    </font>
    <font>
      <color theme="1"/>
      <name val="OpenSans-Semibold"/>
    </font>
    <font>
      <b/>
      <sz val="11.0"/>
      <color rgb="FF000000"/>
      <name val="OpenSans-Semibold"/>
    </font>
  </fonts>
  <fills count="48">
    <fill>
      <patternFill patternType="none"/>
    </fill>
    <fill>
      <patternFill patternType="lightGray"/>
    </fill>
    <fill>
      <patternFill patternType="solid">
        <fgColor rgb="FF93C47D"/>
        <bgColor rgb="FF93C47D"/>
      </patternFill>
    </fill>
    <fill>
      <patternFill patternType="solid">
        <fgColor rgb="FF4A86E8"/>
        <bgColor rgb="FF4A86E8"/>
      </patternFill>
    </fill>
    <fill>
      <patternFill patternType="solid">
        <fgColor rgb="FFFF0000"/>
        <bgColor rgb="FFFF0000"/>
      </patternFill>
    </fill>
    <fill>
      <patternFill patternType="solid">
        <fgColor rgb="FF38761D"/>
        <bgColor rgb="FF38761D"/>
      </patternFill>
    </fill>
    <fill>
      <patternFill patternType="solid">
        <fgColor rgb="FFEAD1DC"/>
        <bgColor rgb="FFEAD1DC"/>
      </patternFill>
    </fill>
    <fill>
      <patternFill patternType="solid">
        <fgColor rgb="FFB6D7A8"/>
        <bgColor rgb="FFB6D7A8"/>
      </patternFill>
    </fill>
    <fill>
      <patternFill patternType="solid">
        <fgColor rgb="FFFFFFFF"/>
        <bgColor rgb="FFFFFFFF"/>
      </patternFill>
    </fill>
    <fill>
      <patternFill patternType="solid">
        <fgColor rgb="FFF3F3F3"/>
        <bgColor rgb="FFF3F3F3"/>
      </patternFill>
    </fill>
    <fill>
      <patternFill patternType="solid">
        <fgColor rgb="FFD9D9D9"/>
        <bgColor rgb="FFD9D9D9"/>
      </patternFill>
    </fill>
    <fill>
      <patternFill patternType="solid">
        <fgColor rgb="FFB7B7B7"/>
        <bgColor rgb="FFB7B7B7"/>
      </patternFill>
    </fill>
    <fill>
      <patternFill patternType="solid">
        <fgColor rgb="FFFFFF00"/>
        <bgColor rgb="FFFFFF00"/>
      </patternFill>
    </fill>
    <fill>
      <patternFill patternType="solid">
        <fgColor rgb="FFEFEFEF"/>
        <bgColor rgb="FFEFEFEF"/>
      </patternFill>
    </fill>
    <fill>
      <patternFill patternType="solid">
        <fgColor rgb="FFEA9999"/>
        <bgColor rgb="FFEA9999"/>
      </patternFill>
    </fill>
    <fill>
      <patternFill patternType="solid">
        <fgColor rgb="FF6AA84F"/>
        <bgColor rgb="FF6AA84F"/>
      </patternFill>
    </fill>
    <fill>
      <patternFill patternType="solid">
        <fgColor rgb="FFF1C232"/>
        <bgColor rgb="FFF1C232"/>
      </patternFill>
    </fill>
    <fill>
      <patternFill patternType="solid">
        <fgColor rgb="FF76A5AF"/>
        <bgColor rgb="FF76A5AF"/>
      </patternFill>
    </fill>
    <fill>
      <patternFill patternType="solid">
        <fgColor rgb="FFDCF3CD"/>
        <bgColor rgb="FFDCF3CD"/>
      </patternFill>
    </fill>
    <fill>
      <patternFill patternType="solid">
        <fgColor rgb="FFC9DAF8"/>
        <bgColor rgb="FFC9DAF8"/>
      </patternFill>
    </fill>
    <fill>
      <patternFill patternType="solid">
        <fgColor rgb="FFFFE599"/>
        <bgColor rgb="FFFFE599"/>
      </patternFill>
    </fill>
    <fill>
      <patternFill patternType="solid">
        <fgColor rgb="FFFF9900"/>
        <bgColor rgb="FFFF9900"/>
      </patternFill>
    </fill>
    <fill>
      <patternFill patternType="solid">
        <fgColor rgb="FFF4F4F4"/>
        <bgColor rgb="FFF4F4F4"/>
      </patternFill>
    </fill>
    <fill>
      <patternFill patternType="solid">
        <fgColor rgb="FF6D9EEB"/>
        <bgColor rgb="FF6D9EEB"/>
      </patternFill>
    </fill>
    <fill>
      <patternFill patternType="solid">
        <fgColor rgb="FF6FA8DC"/>
        <bgColor rgb="FF6FA8DC"/>
      </patternFill>
    </fill>
    <fill>
      <patternFill patternType="solid">
        <fgColor rgb="FFFF6D01"/>
        <bgColor rgb="FFFF6D01"/>
      </patternFill>
    </fill>
    <fill>
      <patternFill patternType="solid">
        <fgColor rgb="FF0C343D"/>
        <bgColor rgb="FF0C343D"/>
      </patternFill>
    </fill>
    <fill>
      <patternFill patternType="solid">
        <fgColor rgb="FFE69138"/>
        <bgColor rgb="FFE69138"/>
      </patternFill>
    </fill>
    <fill>
      <patternFill patternType="solid">
        <fgColor rgb="FF9FC5E8"/>
        <bgColor rgb="FF9FC5E8"/>
      </patternFill>
    </fill>
    <fill>
      <patternFill patternType="solid">
        <fgColor rgb="FFA64D79"/>
        <bgColor rgb="FFA64D79"/>
      </patternFill>
    </fill>
    <fill>
      <patternFill patternType="solid">
        <fgColor rgb="FFC27BA0"/>
        <bgColor rgb="FFC27BA0"/>
      </patternFill>
    </fill>
    <fill>
      <patternFill patternType="solid">
        <fgColor rgb="FFDD7E6B"/>
        <bgColor rgb="FFDD7E6B"/>
      </patternFill>
    </fill>
    <fill>
      <patternFill patternType="solid">
        <fgColor rgb="FFB4A7D6"/>
        <bgColor rgb="FFB4A7D6"/>
      </patternFill>
    </fill>
    <fill>
      <patternFill patternType="solid">
        <fgColor rgb="FFF4CCCC"/>
        <bgColor rgb="FFF4CCCC"/>
      </patternFill>
    </fill>
    <fill>
      <patternFill patternType="solid">
        <fgColor rgb="FFF9CB9C"/>
        <bgColor rgb="FFF9CB9C"/>
      </patternFill>
    </fill>
    <fill>
      <patternFill patternType="solid">
        <fgColor rgb="FFCCCCCC"/>
        <bgColor rgb="FFCCCCCC"/>
      </patternFill>
    </fill>
    <fill>
      <patternFill patternType="solid">
        <fgColor rgb="FF00FF00"/>
        <bgColor rgb="FF00FF00"/>
      </patternFill>
    </fill>
    <fill>
      <patternFill patternType="solid">
        <fgColor rgb="FFCC4125"/>
        <bgColor rgb="FFCC4125"/>
      </patternFill>
    </fill>
    <fill>
      <patternFill patternType="solid">
        <fgColor rgb="FFFCE5CD"/>
        <bgColor rgb="FFFCE5CD"/>
      </patternFill>
    </fill>
    <fill>
      <patternFill patternType="solid">
        <fgColor rgb="FFE06666"/>
        <bgColor rgb="FFE06666"/>
      </patternFill>
    </fill>
    <fill>
      <patternFill patternType="solid">
        <fgColor rgb="FFCC0000"/>
        <bgColor rgb="FFCC0000"/>
      </patternFill>
    </fill>
    <fill>
      <patternFill patternType="solid">
        <fgColor rgb="FFE6B8AF"/>
        <bgColor rgb="FFE6B8AF"/>
      </patternFill>
    </fill>
    <fill>
      <patternFill patternType="solid">
        <fgColor rgb="FF8E7CC3"/>
        <bgColor rgb="FF8E7CC3"/>
      </patternFill>
    </fill>
    <fill>
      <patternFill patternType="solid">
        <fgColor rgb="FFA4C2F4"/>
        <bgColor rgb="FFA4C2F4"/>
      </patternFill>
    </fill>
    <fill>
      <patternFill patternType="solid">
        <fgColor rgb="FFCFE2F3"/>
        <bgColor rgb="FFCFE2F3"/>
      </patternFill>
    </fill>
    <fill>
      <patternFill patternType="solid">
        <fgColor rgb="FFD5A6BD"/>
        <bgColor rgb="FFD5A6BD"/>
      </patternFill>
    </fill>
    <fill>
      <patternFill patternType="solid">
        <fgColor rgb="FF00FFFF"/>
        <bgColor rgb="FF00FFFF"/>
      </patternFill>
    </fill>
    <fill>
      <patternFill patternType="solid">
        <fgColor rgb="FFD9EAD3"/>
        <bgColor rgb="FFD9EAD3"/>
      </patternFill>
    </fill>
  </fills>
  <borders count="26">
    <border/>
    <border>
      <left style="thin">
        <color rgb="FFD9EAD3"/>
      </left>
      <right style="thin">
        <color rgb="FFD9EAD3"/>
      </right>
      <top style="thin">
        <color rgb="FFD9EAD3"/>
      </top>
      <bottom style="thin">
        <color rgb="FFD9EAD3"/>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C9DAF8"/>
      </left>
      <right style="thin">
        <color rgb="FFC9DAF8"/>
      </right>
      <top style="thin">
        <color rgb="FFC9DAF8"/>
      </top>
      <bottom style="thin">
        <color rgb="FFC9DAF8"/>
      </bottom>
    </border>
    <border>
      <left style="thin">
        <color rgb="FFC9DAF8"/>
      </left>
      <right style="thin">
        <color rgb="FFC9DAF8"/>
      </right>
      <top style="thin">
        <color rgb="FFC9DAF8"/>
      </top>
    </border>
    <border>
      <left style="thin">
        <color rgb="FFC9DAF8"/>
      </left>
      <top style="thin">
        <color rgb="FFC9DAF8"/>
      </top>
      <bottom style="thin">
        <color rgb="FFC9DAF8"/>
      </bottom>
    </border>
    <border>
      <right style="thin">
        <color rgb="FFC9DAF8"/>
      </right>
      <top style="thin">
        <color rgb="FFC9DAF8"/>
      </top>
      <bottom style="thin">
        <color rgb="FFC9DAF8"/>
      </bottom>
    </border>
    <border>
      <top style="thin">
        <color rgb="FFC9DAF8"/>
      </top>
      <bottom style="thin">
        <color rgb="FFC9DAF8"/>
      </bottom>
    </border>
    <border>
      <left style="thin">
        <color rgb="FFC9DAF8"/>
      </left>
      <right style="thin">
        <color rgb="FFC9DAF8"/>
      </right>
      <bottom style="thin">
        <color rgb="FFC9DAF8"/>
      </bottom>
    </border>
    <border>
      <left style="thin">
        <color rgb="FFD9EAD3"/>
      </left>
      <top style="thin">
        <color rgb="FFD9EAD3"/>
      </top>
      <bottom style="thin">
        <color rgb="FFD9EAD3"/>
      </bottom>
    </border>
    <border>
      <right style="thin">
        <color rgb="FFD9EAD3"/>
      </right>
      <top style="thin">
        <color rgb="FFD9EAD3"/>
      </top>
      <bottom style="thin">
        <color rgb="FFD9EAD3"/>
      </bottom>
    </border>
    <border>
      <left style="thin">
        <color rgb="FFF4CCCC"/>
      </left>
      <right style="thin">
        <color rgb="FFF4CCCC"/>
      </right>
      <top style="thin">
        <color rgb="FFF4CCCC"/>
      </top>
      <bottom style="thin">
        <color rgb="FFF4CCCC"/>
      </bottom>
    </border>
    <border>
      <left style="thin">
        <color rgb="FF000000"/>
      </left>
      <top style="thin">
        <color rgb="FF000000"/>
      </top>
      <bottom style="thin">
        <color rgb="FF000000"/>
      </bottom>
    </border>
    <border>
      <left style="thin">
        <color rgb="FFF4CCCC"/>
      </left>
      <top style="thin">
        <color rgb="FFF4CCCC"/>
      </top>
      <bottom style="thin">
        <color rgb="FFF4CCCC"/>
      </bottom>
    </border>
    <border>
      <top style="thin">
        <color rgb="FFF4CCCC"/>
      </top>
      <bottom style="thin">
        <color rgb="FFF4CCCC"/>
      </bottom>
    </border>
    <border>
      <right style="thin">
        <color rgb="FFF4CCCC"/>
      </right>
      <top style="thin">
        <color rgb="FFF4CCCC"/>
      </top>
      <bottom style="thin">
        <color rgb="FFF4CCCC"/>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637">
    <xf borderId="0" fillId="0" fontId="0" numFmtId="0" xfId="0" applyAlignment="1" applyFont="1">
      <alignment readingOrder="0" shrinkToFit="0" vertical="bottom" wrapText="0"/>
    </xf>
    <xf borderId="1" fillId="0" fontId="1" numFmtId="0" xfId="0" applyAlignment="1" applyBorder="1" applyFont="1">
      <alignment readingOrder="0" vertical="top"/>
    </xf>
    <xf borderId="0" fillId="2" fontId="2" numFmtId="0" xfId="0" applyAlignment="1" applyFill="1" applyFont="1">
      <alignment horizontal="center" vertical="bottom"/>
    </xf>
    <xf borderId="1" fillId="0" fontId="1" numFmtId="0" xfId="0" applyAlignment="1" applyBorder="1" applyFont="1">
      <alignment vertical="top"/>
    </xf>
    <xf borderId="0" fillId="2" fontId="2" numFmtId="0" xfId="0" applyAlignment="1" applyFill="1" applyFont="1">
      <alignment horizontal="left" vertical="bottom"/>
    </xf>
    <xf borderId="0" fillId="3" fontId="3" numFmtId="0" xfId="0" applyAlignment="1" applyFill="1" applyFont="1">
      <alignment vertical="bottom"/>
    </xf>
    <xf borderId="1" fillId="0" fontId="4" numFmtId="0" xfId="0" applyAlignment="1" applyBorder="1" applyFont="1">
      <alignment readingOrder="0" vertical="top"/>
    </xf>
    <xf borderId="0" fillId="0" fontId="1" numFmtId="164" xfId="0" applyAlignment="1" applyFont="1" applyNumberFormat="1">
      <alignment horizontal="center" readingOrder="0"/>
    </xf>
    <xf borderId="1" fillId="4" fontId="5" numFmtId="165" xfId="0" applyAlignment="1" applyBorder="1" applyFill="1" applyFont="1" applyNumberFormat="1">
      <alignment horizontal="right" readingOrder="0" vertical="top"/>
    </xf>
    <xf borderId="0" fillId="0" fontId="1" numFmtId="0" xfId="0" applyAlignment="1" applyFont="1">
      <alignment horizontal="left"/>
    </xf>
    <xf borderId="0" fillId="0" fontId="1" numFmtId="0" xfId="0" applyAlignment="1" applyFont="1">
      <alignment horizontal="left" readingOrder="0"/>
    </xf>
    <xf borderId="0" fillId="0" fontId="1" numFmtId="0" xfId="0" applyAlignment="1" applyFont="1">
      <alignment horizontal="center" readingOrder="0"/>
    </xf>
    <xf borderId="0" fillId="0" fontId="1" numFmtId="0" xfId="0" applyFont="1"/>
    <xf borderId="1" fillId="5" fontId="6" numFmtId="0" xfId="0" applyAlignment="1" applyBorder="1" applyFill="1" applyFont="1">
      <alignment readingOrder="0" vertical="top"/>
    </xf>
    <xf borderId="1" fillId="5" fontId="6" numFmtId="0" xfId="0" applyAlignment="1" applyBorder="1" applyFill="1" applyFont="1">
      <alignment vertical="top"/>
    </xf>
    <xf borderId="1" fillId="0" fontId="1" numFmtId="0" xfId="0" applyAlignment="1" applyBorder="1" applyFont="1">
      <alignment readingOrder="0" shrinkToFit="0" vertical="top" wrapText="0"/>
    </xf>
    <xf borderId="0" fillId="6" fontId="7" numFmtId="0" xfId="0" applyAlignment="1" applyFill="1" applyFont="1">
      <alignment vertical="bottom"/>
    </xf>
    <xf borderId="1" fillId="0" fontId="4" numFmtId="0" xfId="0" applyAlignment="1" applyBorder="1" applyFont="1">
      <alignment vertical="top"/>
    </xf>
    <xf borderId="1" fillId="0" fontId="1" numFmtId="0" xfId="0" applyAlignment="1" applyBorder="1" applyFont="1">
      <alignment shrinkToFit="0" vertical="top" wrapText="0"/>
    </xf>
    <xf borderId="0" fillId="0" fontId="1" numFmtId="14" xfId="0" applyAlignment="1" applyFont="1" applyNumberFormat="1">
      <alignment horizontal="center" readingOrder="0"/>
    </xf>
    <xf borderId="0" fillId="0" fontId="3" numFmtId="0" xfId="0" applyAlignment="1" applyFont="1">
      <alignment readingOrder="0" vertical="bottom"/>
    </xf>
    <xf borderId="0" fillId="0" fontId="3" numFmtId="0" xfId="0" applyAlignment="1" applyFont="1">
      <alignment vertical="bottom"/>
    </xf>
    <xf borderId="0" fillId="7" fontId="8" numFmtId="0" xfId="0" applyAlignment="1" applyFill="1" applyFont="1">
      <alignment readingOrder="0" vertical="bottom"/>
    </xf>
    <xf borderId="0" fillId="0" fontId="1" numFmtId="166" xfId="0" applyAlignment="1" applyFont="1" applyNumberFormat="1">
      <alignment readingOrder="0"/>
    </xf>
    <xf borderId="0" fillId="0" fontId="3" numFmtId="166" xfId="0" applyAlignment="1" applyFont="1" applyNumberFormat="1">
      <alignment vertical="bottom"/>
    </xf>
    <xf borderId="0" fillId="8" fontId="1" numFmtId="0" xfId="0" applyFill="1" applyFont="1"/>
    <xf borderId="0" fillId="8" fontId="3" numFmtId="0" xfId="0" applyAlignment="1" applyFill="1" applyFont="1">
      <alignment vertical="bottom"/>
    </xf>
    <xf borderId="2" fillId="8" fontId="3" numFmtId="3" xfId="0" applyAlignment="1" applyBorder="1" applyFill="1" applyFont="1" applyNumberFormat="1">
      <alignment vertical="bottom"/>
    </xf>
    <xf borderId="2" fillId="0" fontId="3" numFmtId="3" xfId="0" applyAlignment="1" applyBorder="1" applyFont="1" applyNumberFormat="1">
      <alignment horizontal="center" vertical="bottom"/>
    </xf>
    <xf borderId="0" fillId="0" fontId="3" numFmtId="0" xfId="0" applyAlignment="1" applyFont="1">
      <alignment shrinkToFit="0" vertical="bottom" wrapText="0"/>
    </xf>
    <xf borderId="2" fillId="8" fontId="3" numFmtId="3" xfId="0" applyAlignment="1" applyBorder="1" applyFill="1" applyFont="1" applyNumberFormat="1">
      <alignment horizontal="right" vertical="bottom"/>
    </xf>
    <xf borderId="0" fillId="4" fontId="3" numFmtId="0" xfId="0" applyAlignment="1" applyFill="1" applyFont="1">
      <alignment horizontal="center" vertical="bottom"/>
    </xf>
    <xf borderId="0" fillId="0" fontId="2" numFmtId="0" xfId="0" applyAlignment="1" applyFont="1">
      <alignment horizontal="center" readingOrder="0" vertical="bottom"/>
    </xf>
    <xf borderId="2" fillId="0" fontId="3" numFmtId="3" xfId="0" applyAlignment="1" applyBorder="1" applyFont="1" applyNumberFormat="1">
      <alignment horizontal="center" shrinkToFit="0" vertical="bottom" wrapText="0"/>
    </xf>
    <xf borderId="0" fillId="0" fontId="2" numFmtId="0" xfId="0" applyAlignment="1" applyFont="1">
      <alignment vertical="bottom"/>
    </xf>
    <xf borderId="2" fillId="0" fontId="3" numFmtId="3" xfId="0" applyAlignment="1" applyBorder="1" applyFont="1" applyNumberFormat="1">
      <alignment horizontal="center" readingOrder="0" vertical="bottom"/>
    </xf>
    <xf borderId="0" fillId="0" fontId="3" numFmtId="3" xfId="0" applyAlignment="1" applyFont="1" applyNumberFormat="1">
      <alignment horizontal="center" readingOrder="0" shrinkToFit="0" vertical="bottom" wrapText="1"/>
    </xf>
    <xf borderId="2" fillId="8" fontId="3" numFmtId="3" xfId="0" applyAlignment="1" applyBorder="1" applyFill="1" applyFont="1" applyNumberFormat="1">
      <alignment horizontal="center" vertical="bottom"/>
    </xf>
    <xf borderId="2" fillId="0" fontId="3" numFmtId="3" xfId="0" applyAlignment="1" applyBorder="1" applyFont="1" applyNumberFormat="1">
      <alignment horizontal="center" shrinkToFit="0" vertical="bottom" wrapText="1"/>
    </xf>
    <xf borderId="3" fillId="0" fontId="2" numFmtId="0" xfId="0" applyAlignment="1" applyBorder="1" applyFont="1">
      <alignment vertical="bottom"/>
    </xf>
    <xf borderId="3" fillId="0" fontId="3" numFmtId="0" xfId="0" applyAlignment="1" applyBorder="1" applyFont="1">
      <alignment vertical="bottom"/>
    </xf>
    <xf borderId="1" fillId="0" fontId="4" numFmtId="9" xfId="0" applyAlignment="1" applyBorder="1" applyFont="1" applyNumberFormat="1">
      <alignment vertical="top"/>
    </xf>
    <xf borderId="0" fillId="6" fontId="3" numFmtId="0" xfId="0" applyAlignment="1" applyFill="1" applyFont="1">
      <alignment vertical="bottom"/>
    </xf>
    <xf borderId="1" fillId="0" fontId="1" numFmtId="0" xfId="0" applyAlignment="1" applyBorder="1" applyFont="1">
      <alignment readingOrder="0" shrinkToFit="0" vertical="top" wrapText="1"/>
    </xf>
    <xf borderId="4" fillId="0" fontId="2" numFmtId="49" xfId="0" applyAlignment="1" applyBorder="1" applyFont="1" applyNumberFormat="1">
      <alignment vertical="bottom"/>
    </xf>
    <xf borderId="0" fillId="0" fontId="3" numFmtId="0" xfId="0" applyAlignment="1" applyFont="1">
      <alignment horizontal="right" vertical="bottom"/>
    </xf>
    <xf borderId="4" fillId="0" fontId="3" numFmtId="49" xfId="0" applyAlignment="1" applyBorder="1" applyFont="1" applyNumberFormat="1">
      <alignment vertical="bottom"/>
    </xf>
    <xf borderId="0" fillId="9" fontId="3" numFmtId="0" xfId="0" applyAlignment="1" applyFill="1" applyFont="1">
      <alignment vertical="bottom"/>
    </xf>
    <xf borderId="4" fillId="0" fontId="3" numFmtId="0" xfId="0" applyAlignment="1" applyBorder="1" applyFont="1">
      <alignment vertical="bottom"/>
    </xf>
    <xf borderId="0" fillId="8" fontId="3" numFmtId="0" xfId="0" applyAlignment="1" applyFill="1" applyFont="1">
      <alignment readingOrder="0" vertical="bottom"/>
    </xf>
    <xf borderId="4" fillId="0" fontId="3" numFmtId="1" xfId="0" applyAlignment="1" applyBorder="1" applyFont="1" applyNumberFormat="1">
      <alignment vertical="bottom"/>
    </xf>
    <xf borderId="0" fillId="10" fontId="3" numFmtId="0" xfId="0" applyAlignment="1" applyFill="1" applyFont="1">
      <alignment vertical="bottom"/>
    </xf>
    <xf borderId="5" fillId="0" fontId="3" numFmtId="0" xfId="0" applyAlignment="1" applyBorder="1" applyFont="1">
      <alignment shrinkToFit="0" vertical="bottom" wrapText="0"/>
    </xf>
    <xf borderId="0" fillId="0" fontId="3" numFmtId="0" xfId="0" applyAlignment="1" applyFont="1">
      <alignment shrinkToFit="0" vertical="bottom" wrapText="1"/>
    </xf>
    <xf borderId="0" fillId="8" fontId="9" numFmtId="167" xfId="0" applyAlignment="1" applyFill="1" applyFont="1" applyNumberFormat="1">
      <alignment shrinkToFit="0" vertical="bottom" wrapText="1"/>
    </xf>
    <xf borderId="0" fillId="0" fontId="3" numFmtId="3" xfId="0" applyAlignment="1" applyFont="1" applyNumberFormat="1">
      <alignment vertical="bottom"/>
    </xf>
    <xf borderId="1" fillId="4" fontId="5" numFmtId="165" xfId="0" applyAlignment="1" applyBorder="1" applyFill="1" applyFont="1" applyNumberFormat="1">
      <alignment horizontal="right" vertical="top"/>
    </xf>
    <xf borderId="0" fillId="11" fontId="3" numFmtId="0" xfId="0" applyAlignment="1" applyFill="1" applyFont="1">
      <alignment vertical="bottom"/>
    </xf>
    <xf borderId="0" fillId="12" fontId="1" numFmtId="0" xfId="0" applyFill="1" applyFont="1"/>
    <xf borderId="0" fillId="7" fontId="2" numFmtId="0" xfId="0" applyAlignment="1" applyFill="1" applyFont="1">
      <alignment horizontal="center" vertical="bottom"/>
    </xf>
    <xf borderId="0" fillId="13" fontId="3" numFmtId="0" xfId="0" applyAlignment="1" applyFill="1" applyFont="1">
      <alignment vertical="bottom"/>
    </xf>
    <xf borderId="1" fillId="2" fontId="10" numFmtId="0" xfId="0" applyAlignment="1" applyBorder="1" applyFill="1" applyFont="1">
      <alignment readingOrder="0" shrinkToFit="0" vertical="top" wrapText="1"/>
    </xf>
    <xf borderId="3" fillId="7" fontId="2" numFmtId="168" xfId="0" applyAlignment="1" applyBorder="1" applyFill="1" applyFont="1" applyNumberFormat="1">
      <alignment horizontal="center" shrinkToFit="0" vertical="bottom" wrapText="1"/>
    </xf>
    <xf borderId="0" fillId="0" fontId="2" numFmtId="167" xfId="0" applyAlignment="1" applyFont="1" applyNumberFormat="1">
      <alignment horizontal="right" readingOrder="0" vertical="bottom"/>
    </xf>
    <xf borderId="3" fillId="7" fontId="2" numFmtId="0" xfId="0" applyAlignment="1" applyBorder="1" applyFill="1" applyFont="1">
      <alignment horizontal="center" shrinkToFit="0" vertical="bottom" wrapText="1"/>
    </xf>
    <xf borderId="1" fillId="2" fontId="11" numFmtId="0" xfId="0" applyAlignment="1" applyBorder="1" applyFill="1" applyFont="1">
      <alignment readingOrder="0" shrinkToFit="0" vertical="top" wrapText="1"/>
    </xf>
    <xf borderId="3" fillId="7" fontId="2" numFmtId="0" xfId="0" applyAlignment="1" applyBorder="1" applyFill="1" applyFont="1">
      <alignment horizontal="center" vertical="bottom"/>
    </xf>
    <xf borderId="0" fillId="10" fontId="3" numFmtId="0" xfId="0" applyAlignment="1" applyFill="1" applyFont="1">
      <alignment horizontal="right" vertical="bottom"/>
    </xf>
    <xf borderId="3" fillId="7" fontId="2" numFmtId="4" xfId="0" applyAlignment="1" applyBorder="1" applyFill="1" applyFont="1" applyNumberFormat="1">
      <alignment horizontal="center" shrinkToFit="0" vertical="bottom" wrapText="1"/>
    </xf>
    <xf borderId="0" fillId="13" fontId="3" numFmtId="0" xfId="0" applyAlignment="1" applyFill="1" applyFont="1">
      <alignment horizontal="right" vertical="bottom"/>
    </xf>
    <xf borderId="3" fillId="14" fontId="2" numFmtId="0" xfId="0" applyAlignment="1" applyBorder="1" applyFill="1" applyFont="1">
      <alignment horizontal="center" shrinkToFit="0" vertical="bottom" wrapText="1"/>
    </xf>
    <xf borderId="0" fillId="8" fontId="3" numFmtId="0" xfId="0" applyAlignment="1" applyFill="1" applyFont="1">
      <alignment horizontal="right" vertical="bottom"/>
    </xf>
    <xf borderId="3" fillId="14" fontId="2" numFmtId="1" xfId="0" applyAlignment="1" applyBorder="1" applyFill="1" applyFont="1" applyNumberFormat="1">
      <alignment horizontal="center" shrinkToFit="0" vertical="bottom" wrapText="1"/>
    </xf>
    <xf borderId="3" fillId="14" fontId="2" numFmtId="0" xfId="0" applyAlignment="1" applyBorder="1" applyFill="1" applyFont="1">
      <alignment horizontal="center" shrinkToFit="0" vertical="bottom" wrapText="0"/>
    </xf>
    <xf borderId="0" fillId="15" fontId="2" numFmtId="0" xfId="0" applyAlignment="1" applyFill="1" applyFont="1">
      <alignment horizontal="center"/>
    </xf>
    <xf borderId="0" fillId="16" fontId="2" numFmtId="0" xfId="0" applyAlignment="1" applyFill="1" applyFont="1">
      <alignment horizontal="center" shrinkToFit="0" wrapText="1"/>
    </xf>
    <xf borderId="0" fillId="17" fontId="2" numFmtId="0" xfId="0" applyAlignment="1" applyFill="1" applyFont="1">
      <alignment horizontal="center" shrinkToFit="0" wrapText="1"/>
    </xf>
    <xf borderId="3" fillId="0" fontId="2" numFmtId="167" xfId="0" applyAlignment="1" applyBorder="1" applyFont="1" applyNumberFormat="1">
      <alignment readingOrder="0" shrinkToFit="0" vertical="bottom" wrapText="1"/>
    </xf>
    <xf borderId="0" fillId="17" fontId="2" numFmtId="169" xfId="0" applyAlignment="1" applyFill="1" applyFont="1" applyNumberFormat="1">
      <alignment horizontal="center" shrinkToFit="0" wrapText="1"/>
    </xf>
    <xf borderId="1" fillId="0" fontId="1" numFmtId="4" xfId="0" applyAlignment="1" applyBorder="1" applyFont="1" applyNumberFormat="1">
      <alignment vertical="top"/>
    </xf>
    <xf borderId="0" fillId="17" fontId="2" numFmtId="0" xfId="0" applyAlignment="1" applyFill="1" applyFont="1">
      <alignment horizontal="center"/>
    </xf>
    <xf borderId="0" fillId="17" fontId="2" numFmtId="0" xfId="0" applyAlignment="1" applyFill="1" applyFont="1">
      <alignment readingOrder="0"/>
    </xf>
    <xf borderId="0" fillId="16" fontId="2" numFmtId="0" xfId="0" applyAlignment="1" applyFill="1" applyFont="1">
      <alignment horizontal="center" shrinkToFit="0" vertical="bottom" wrapText="1"/>
    </xf>
    <xf borderId="0" fillId="18" fontId="12" numFmtId="0" xfId="0" applyAlignment="1" applyFill="1" applyFont="1">
      <alignment horizontal="left" readingOrder="0" shrinkToFit="0" wrapText="0"/>
    </xf>
    <xf borderId="6" fillId="0" fontId="2" numFmtId="167" xfId="0" applyAlignment="1" applyBorder="1" applyFont="1" applyNumberFormat="1">
      <alignment horizontal="right" readingOrder="0" vertical="bottom"/>
    </xf>
    <xf borderId="0" fillId="16" fontId="2" numFmtId="0" xfId="0" applyAlignment="1" applyFill="1" applyFont="1">
      <alignment horizontal="center" readingOrder="0" shrinkToFit="0" vertical="bottom" wrapText="1"/>
    </xf>
    <xf borderId="0" fillId="0" fontId="1" numFmtId="0" xfId="0" applyAlignment="1" applyFont="1">
      <alignment readingOrder="0"/>
    </xf>
    <xf borderId="3" fillId="19" fontId="2" numFmtId="0" xfId="0" applyAlignment="1" applyBorder="1" applyFill="1" applyFont="1">
      <alignment horizontal="center" shrinkToFit="0" vertical="bottom" wrapText="1"/>
    </xf>
    <xf borderId="7" fillId="0" fontId="3" numFmtId="0" xfId="0" applyAlignment="1" applyBorder="1" applyFont="1">
      <alignment vertical="bottom"/>
    </xf>
    <xf borderId="1" fillId="0" fontId="13" numFmtId="4" xfId="0" applyAlignment="1" applyBorder="1" applyFont="1" applyNumberFormat="1">
      <alignment vertical="top"/>
    </xf>
    <xf borderId="8" fillId="0" fontId="3" numFmtId="0" xfId="0" applyAlignment="1" applyBorder="1" applyFont="1">
      <alignment vertical="bottom"/>
    </xf>
    <xf borderId="0" fillId="0" fontId="2" numFmtId="169" xfId="0" applyAlignment="1" applyFont="1" applyNumberFormat="1">
      <alignment shrinkToFit="0" vertical="bottom" wrapText="1"/>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3" numFmtId="170" xfId="0" applyAlignment="1" applyFont="1" applyNumberFormat="1">
      <alignment horizontal="right" vertical="bottom"/>
    </xf>
    <xf borderId="0" fillId="0" fontId="3" numFmtId="1" xfId="0" applyAlignment="1" applyFont="1" applyNumberFormat="1">
      <alignment horizontal="center" vertical="bottom"/>
    </xf>
    <xf borderId="0" fillId="0" fontId="1" numFmtId="171" xfId="0" applyAlignment="1" applyFont="1" applyNumberFormat="1">
      <alignment horizontal="center" readingOrder="0"/>
    </xf>
    <xf borderId="0" fillId="0" fontId="3" numFmtId="169" xfId="0" applyAlignment="1" applyFont="1" applyNumberFormat="1">
      <alignment horizontal="right" vertical="bottom"/>
    </xf>
    <xf borderId="0" fillId="15" fontId="3" numFmtId="0" xfId="0" applyAlignment="1" applyFill="1" applyFont="1">
      <alignment vertical="bottom"/>
    </xf>
    <xf borderId="0" fillId="0" fontId="3" numFmtId="1" xfId="0" applyAlignment="1" applyFont="1" applyNumberFormat="1">
      <alignment horizontal="right" vertical="bottom"/>
    </xf>
    <xf borderId="0" fillId="0" fontId="3" numFmtId="165" xfId="0" applyAlignment="1" applyFont="1" applyNumberFormat="1">
      <alignment horizontal="right" vertical="bottom"/>
    </xf>
    <xf borderId="0" fillId="0" fontId="3" numFmtId="166" xfId="0" applyAlignment="1" applyFont="1" applyNumberFormat="1">
      <alignment horizontal="right" vertical="bottom"/>
    </xf>
    <xf borderId="0" fillId="0" fontId="1" numFmtId="0" xfId="0" applyAlignment="1" applyFont="1">
      <alignment shrinkToFit="0" wrapText="1"/>
    </xf>
    <xf borderId="0" fillId="0" fontId="2" numFmtId="172" xfId="0" applyAlignment="1" applyFont="1" applyNumberFormat="1">
      <alignment horizontal="right" readingOrder="0" vertical="bottom"/>
    </xf>
    <xf borderId="3" fillId="0" fontId="10" numFmtId="0" xfId="0" applyAlignment="1" applyBorder="1" applyFont="1">
      <alignment horizontal="left" readingOrder="0"/>
    </xf>
    <xf borderId="0" fillId="0" fontId="14" numFmtId="0" xfId="0" applyAlignment="1" applyFont="1">
      <alignment horizontal="center" vertical="bottom"/>
    </xf>
    <xf borderId="0" fillId="0" fontId="2" numFmtId="173" xfId="0" applyAlignment="1" applyFont="1" applyNumberFormat="1">
      <alignment horizontal="right" shrinkToFit="0" vertical="bottom" wrapText="1"/>
    </xf>
    <xf borderId="0" fillId="17" fontId="2" numFmtId="173" xfId="0" applyAlignment="1" applyFill="1" applyFont="1" applyNumberFormat="1">
      <alignment horizontal="center"/>
    </xf>
    <xf borderId="0" fillId="0" fontId="1" numFmtId="166" xfId="0" applyFont="1" applyNumberFormat="1"/>
    <xf borderId="0" fillId="8" fontId="3" numFmtId="164" xfId="0" applyAlignment="1" applyFill="1" applyFont="1" applyNumberFormat="1">
      <alignment horizontal="center" vertical="bottom"/>
    </xf>
    <xf borderId="0" fillId="15" fontId="2" numFmtId="49" xfId="0" applyAlignment="1" applyFill="1" applyFont="1" applyNumberFormat="1">
      <alignment horizontal="center" shrinkToFit="0" wrapText="1"/>
    </xf>
    <xf borderId="0" fillId="15" fontId="2" numFmtId="0" xfId="0" applyAlignment="1" applyFill="1" applyFont="1">
      <alignment horizontal="center" shrinkToFit="0" wrapText="1"/>
    </xf>
    <xf borderId="0" fillId="15" fontId="2" numFmtId="0" xfId="0" applyAlignment="1" applyFill="1" applyFont="1">
      <alignment horizontal="center" shrinkToFit="0" wrapText="0"/>
    </xf>
    <xf borderId="0" fillId="20" fontId="2" numFmtId="0" xfId="0" applyAlignment="1" applyFill="1" applyFont="1">
      <alignment horizontal="center" shrinkToFit="0" wrapText="1"/>
    </xf>
    <xf borderId="0" fillId="17" fontId="2" numFmtId="166" xfId="0" applyAlignment="1" applyFill="1" applyFont="1" applyNumberFormat="1">
      <alignment horizontal="center" shrinkToFit="0" wrapText="1"/>
    </xf>
    <xf borderId="0" fillId="17" fontId="2" numFmtId="0" xfId="0" applyAlignment="1" applyFill="1" applyFont="1">
      <alignment shrinkToFit="0" wrapText="0"/>
    </xf>
    <xf borderId="0" fillId="13" fontId="2" numFmtId="0" xfId="0" applyAlignment="1" applyFill="1" applyFont="1">
      <alignment horizontal="center" shrinkToFit="0" vertical="bottom" wrapText="1"/>
    </xf>
    <xf borderId="0" fillId="15" fontId="2" numFmtId="174" xfId="0" applyAlignment="1" applyFill="1" applyFont="1" applyNumberFormat="1">
      <alignment horizontal="center" shrinkToFit="0" vertical="bottom" wrapText="1"/>
    </xf>
    <xf borderId="0" fillId="0" fontId="2" numFmtId="174" xfId="0" applyAlignment="1" applyFont="1" applyNumberFormat="1">
      <alignment horizontal="center" readingOrder="0" shrinkToFit="0" wrapText="1"/>
    </xf>
    <xf borderId="0" fillId="0" fontId="3" numFmtId="0" xfId="0" applyAlignment="1" applyFont="1">
      <alignment shrinkToFit="0" vertical="bottom" wrapText="1"/>
    </xf>
    <xf borderId="0" fillId="0" fontId="2" numFmtId="174" xfId="0" applyAlignment="1" applyFont="1" applyNumberFormat="1">
      <alignment horizontal="center" shrinkToFit="0" wrapText="1"/>
    </xf>
    <xf borderId="0" fillId="0" fontId="3" numFmtId="164" xfId="0" applyAlignment="1" applyFont="1" applyNumberFormat="1">
      <alignment horizontal="right" vertical="bottom"/>
    </xf>
    <xf borderId="0" fillId="0" fontId="1" numFmtId="0" xfId="0" applyAlignment="1" applyFont="1">
      <alignment horizontal="left" readingOrder="0" shrinkToFit="0" wrapText="1"/>
    </xf>
    <xf borderId="0" fillId="0" fontId="3" numFmtId="164" xfId="0" applyAlignment="1" applyFont="1" applyNumberFormat="1">
      <alignment vertical="bottom"/>
    </xf>
    <xf borderId="3" fillId="15" fontId="2" numFmtId="174" xfId="0" applyAlignment="1" applyBorder="1" applyFill="1" applyFont="1" applyNumberFormat="1">
      <alignment horizontal="center" shrinkToFit="0" vertical="bottom" wrapText="1"/>
    </xf>
    <xf borderId="0" fillId="8" fontId="12" numFmtId="0" xfId="0" applyAlignment="1" applyFill="1" applyFont="1">
      <alignment horizontal="left" readingOrder="0"/>
    </xf>
    <xf borderId="0" fillId="21" fontId="1" numFmtId="0" xfId="0" applyFill="1" applyFont="1"/>
    <xf borderId="0" fillId="0" fontId="2" numFmtId="174" xfId="0" applyAlignment="1" applyFont="1" applyNumberFormat="1">
      <alignment horizontal="right" readingOrder="0" shrinkToFit="0" wrapText="1"/>
    </xf>
    <xf borderId="0" fillId="0" fontId="2" numFmtId="174" xfId="0" applyAlignment="1" applyFont="1" applyNumberFormat="1">
      <alignment horizontal="right" shrinkToFit="0" wrapText="1"/>
    </xf>
    <xf borderId="0" fillId="8" fontId="15" numFmtId="0" xfId="0" applyAlignment="1" applyFill="1" applyFont="1">
      <alignment horizontal="left" readingOrder="0"/>
    </xf>
    <xf borderId="0" fillId="8" fontId="2" numFmtId="174" xfId="0" applyAlignment="1" applyFill="1" applyFont="1" applyNumberFormat="1">
      <alignment horizontal="right" shrinkToFit="0" wrapText="1"/>
    </xf>
    <xf borderId="0" fillId="8" fontId="3" numFmtId="164" xfId="0" applyAlignment="1" applyFill="1" applyFont="1" applyNumberFormat="1">
      <alignment vertical="bottom"/>
    </xf>
    <xf borderId="0" fillId="0" fontId="3" numFmtId="1" xfId="0" applyAlignment="1" applyFont="1" applyNumberFormat="1">
      <alignment horizontal="center" readingOrder="0" vertical="bottom"/>
    </xf>
    <xf borderId="0" fillId="0" fontId="3" numFmtId="166" xfId="0" applyAlignment="1" applyFont="1" applyNumberFormat="1">
      <alignment vertical="bottom"/>
    </xf>
    <xf borderId="9" fillId="15" fontId="2" numFmtId="174" xfId="0" applyAlignment="1" applyBorder="1" applyFill="1" applyFont="1" applyNumberFormat="1">
      <alignment horizontal="center" shrinkToFit="0" vertical="bottom" wrapText="1"/>
    </xf>
    <xf borderId="10" fillId="15" fontId="2" numFmtId="174" xfId="0" applyAlignment="1" applyBorder="1" applyFill="1" applyFont="1" applyNumberFormat="1">
      <alignment horizontal="center" shrinkToFit="0" vertical="bottom" wrapText="1"/>
    </xf>
    <xf borderId="0" fillId="8" fontId="2" numFmtId="174" xfId="0" applyAlignment="1" applyFill="1" applyFont="1" applyNumberFormat="1">
      <alignment horizontal="center" shrinkToFit="0" wrapText="1"/>
    </xf>
    <xf borderId="0" fillId="15" fontId="2" numFmtId="174" xfId="0" applyAlignment="1" applyFill="1" applyFont="1" applyNumberFormat="1">
      <alignment horizontal="center" shrinkToFit="0" wrapText="1"/>
    </xf>
    <xf borderId="0" fillId="8" fontId="16" numFmtId="0" xfId="0" applyAlignment="1" applyFill="1" applyFont="1">
      <alignment readingOrder="0"/>
    </xf>
    <xf borderId="0" fillId="0" fontId="3" numFmtId="0" xfId="0" applyAlignment="1" applyFont="1">
      <alignment readingOrder="0" shrinkToFit="0" vertical="bottom" wrapText="1"/>
    </xf>
    <xf borderId="0" fillId="0" fontId="1" numFmtId="0" xfId="0" applyAlignment="1" applyFont="1">
      <alignment horizontal="center"/>
    </xf>
    <xf borderId="0" fillId="17" fontId="2" numFmtId="173" xfId="0" applyAlignment="1" applyFill="1" applyFont="1" applyNumberFormat="1">
      <alignment horizontal="center" shrinkToFit="0" vertical="top" wrapText="1"/>
    </xf>
    <xf borderId="0" fillId="0" fontId="1" numFmtId="1" xfId="0" applyFont="1" applyNumberFormat="1"/>
    <xf borderId="0" fillId="8" fontId="3" numFmtId="1" xfId="0" applyAlignment="1" applyFill="1" applyFont="1" applyNumberFormat="1">
      <alignment horizontal="center" vertical="bottom"/>
    </xf>
    <xf borderId="0" fillId="8" fontId="3" numFmtId="166" xfId="0" applyAlignment="1" applyFill="1" applyFont="1" applyNumberFormat="1">
      <alignment horizontal="right" vertical="bottom"/>
    </xf>
    <xf borderId="0" fillId="0" fontId="3" numFmtId="166" xfId="0" applyAlignment="1" applyFont="1" applyNumberFormat="1">
      <alignment readingOrder="0" vertical="bottom"/>
    </xf>
    <xf borderId="0" fillId="8" fontId="3" numFmtId="166" xfId="0" applyAlignment="1" applyFill="1" applyFont="1" applyNumberFormat="1">
      <alignment vertical="bottom"/>
    </xf>
    <xf borderId="0" fillId="8" fontId="3" numFmtId="0" xfId="0" applyAlignment="1" applyFill="1" applyFont="1">
      <alignment vertical="bottom"/>
    </xf>
    <xf borderId="0" fillId="8" fontId="3" numFmtId="0" xfId="0" applyAlignment="1" applyFill="1" applyFont="1">
      <alignment horizontal="right" vertical="bottom"/>
    </xf>
    <xf borderId="0" fillId="8" fontId="3" numFmtId="0" xfId="0" applyAlignment="1" applyFill="1" applyFont="1">
      <alignment shrinkToFit="0" vertical="bottom" wrapText="0"/>
    </xf>
    <xf borderId="0" fillId="8" fontId="8" numFmtId="0" xfId="0" applyAlignment="1" applyFill="1" applyFont="1">
      <alignment vertical="bottom"/>
    </xf>
    <xf borderId="0" fillId="8" fontId="3" numFmtId="1" xfId="0" applyAlignment="1" applyFill="1" applyFont="1" applyNumberFormat="1">
      <alignment horizontal="center" vertical="bottom"/>
    </xf>
    <xf borderId="0" fillId="8" fontId="17" numFmtId="1" xfId="0" applyAlignment="1" applyFill="1" applyFont="1" applyNumberFormat="1">
      <alignment horizontal="center"/>
    </xf>
    <xf borderId="0" fillId="4" fontId="3" numFmtId="0" xfId="0" applyAlignment="1" applyFill="1" applyFont="1">
      <alignment horizontal="right" vertical="bottom"/>
    </xf>
    <xf borderId="0" fillId="4" fontId="18" numFmtId="0" xfId="0" applyAlignment="1" applyFill="1" applyFont="1">
      <alignment vertical="bottom"/>
    </xf>
    <xf borderId="3" fillId="0" fontId="3" numFmtId="0" xfId="0" applyAlignment="1" applyBorder="1" applyFont="1">
      <alignment horizontal="center" vertical="bottom"/>
    </xf>
    <xf borderId="0" fillId="0" fontId="3" numFmtId="0" xfId="0" applyAlignment="1" applyFont="1">
      <alignment horizontal="center" vertical="bottom"/>
    </xf>
    <xf borderId="0" fillId="0" fontId="1" numFmtId="0" xfId="0" applyAlignment="1" applyFont="1">
      <alignment horizontal="right"/>
    </xf>
    <xf borderId="0" fillId="8" fontId="1" numFmtId="0" xfId="0" applyAlignment="1" applyFill="1" applyFont="1">
      <alignment horizontal="right"/>
    </xf>
    <xf borderId="9" fillId="0" fontId="3" numFmtId="0" xfId="0" applyAlignment="1" applyBorder="1" applyFont="1">
      <alignment horizontal="center" vertical="bottom"/>
    </xf>
    <xf borderId="10" fillId="0" fontId="3" numFmtId="0" xfId="0" applyAlignment="1" applyBorder="1" applyFont="1">
      <alignment horizontal="center" vertical="bottom"/>
    </xf>
    <xf borderId="0" fillId="0" fontId="1" numFmtId="0" xfId="0" applyAlignment="1" applyFont="1">
      <alignment shrinkToFit="0" wrapText="0"/>
    </xf>
    <xf borderId="0" fillId="8" fontId="1" numFmtId="0" xfId="0" applyAlignment="1" applyFill="1" applyFont="1">
      <alignment readingOrder="0"/>
    </xf>
    <xf borderId="0" fillId="17" fontId="2" numFmtId="164" xfId="0" applyAlignment="1" applyFill="1" applyFont="1" applyNumberFormat="1">
      <alignment horizontal="center" vertical="bottom"/>
    </xf>
    <xf borderId="0" fillId="8" fontId="3" numFmtId="0" xfId="0" applyAlignment="1" applyFill="1" applyFont="1">
      <alignment readingOrder="0" vertical="bottom"/>
    </xf>
    <xf borderId="0" fillId="8" fontId="3" numFmtId="0" xfId="0" applyAlignment="1" applyFill="1" applyFont="1">
      <alignment readingOrder="0" shrinkToFit="0" vertical="bottom" wrapText="0"/>
    </xf>
    <xf borderId="0" fillId="8" fontId="17" numFmtId="0" xfId="0" applyAlignment="1" applyFill="1" applyFont="1">
      <alignment horizontal="center"/>
    </xf>
    <xf borderId="0" fillId="8" fontId="3" numFmtId="0" xfId="0" applyAlignment="1" applyFill="1" applyFont="1">
      <alignment horizontal="center" vertical="bottom"/>
    </xf>
    <xf borderId="0" fillId="8" fontId="3" numFmtId="0" xfId="0" applyAlignment="1" applyFill="1" applyFont="1">
      <alignment horizontal="center" readingOrder="0" vertical="bottom"/>
    </xf>
    <xf borderId="0" fillId="12" fontId="1" numFmtId="0" xfId="0" applyAlignment="1" applyFill="1" applyFont="1">
      <alignment readingOrder="0"/>
    </xf>
    <xf borderId="0" fillId="8" fontId="3" numFmtId="0" xfId="0" applyAlignment="1" applyFill="1" applyFont="1">
      <alignment horizontal="right" readingOrder="0" vertical="bottom"/>
    </xf>
    <xf borderId="0" fillId="8" fontId="3" numFmtId="166" xfId="0" applyAlignment="1" applyFill="1" applyFont="1" applyNumberFormat="1">
      <alignment readingOrder="0" vertical="bottom"/>
    </xf>
    <xf borderId="0" fillId="0" fontId="3" numFmtId="0" xfId="0" applyAlignment="1" applyFont="1">
      <alignment horizontal="right" readingOrder="0" vertical="bottom"/>
    </xf>
    <xf borderId="0" fillId="0" fontId="3" numFmtId="166" xfId="0" applyAlignment="1" applyFont="1" applyNumberFormat="1">
      <alignment vertical="bottom"/>
    </xf>
    <xf borderId="0" fillId="0" fontId="3" numFmtId="0" xfId="0" applyAlignment="1" applyFont="1">
      <alignment horizontal="right" vertical="top"/>
    </xf>
    <xf borderId="0" fillId="0" fontId="3" numFmtId="0" xfId="0" applyAlignment="1" applyFont="1">
      <alignment horizontal="right" readingOrder="0" vertical="top"/>
    </xf>
    <xf borderId="0" fillId="8" fontId="3" numFmtId="0" xfId="0" applyAlignment="1" applyFill="1" applyFont="1">
      <alignment horizontal="right" readingOrder="0" vertical="top"/>
    </xf>
    <xf borderId="0" fillId="8" fontId="3" numFmtId="0" xfId="0" applyAlignment="1" applyFill="1" applyFont="1">
      <alignment horizontal="right" vertical="top"/>
    </xf>
    <xf borderId="0" fillId="15" fontId="1" numFmtId="0" xfId="0" applyFill="1" applyFont="1"/>
    <xf borderId="0" fillId="8" fontId="3" numFmtId="166" xfId="0" applyAlignment="1" applyFill="1" applyFont="1" applyNumberFormat="1">
      <alignment horizontal="right" readingOrder="0" vertical="bottom"/>
    </xf>
    <xf borderId="0" fillId="8" fontId="3" numFmtId="166" xfId="0" applyAlignment="1" applyFill="1" applyFont="1" applyNumberFormat="1">
      <alignment readingOrder="0" vertical="bottom"/>
    </xf>
    <xf borderId="0" fillId="8" fontId="3" numFmtId="0" xfId="0" applyAlignment="1" applyFill="1" applyFont="1">
      <alignment horizontal="center" readingOrder="0" vertical="bottom"/>
    </xf>
    <xf borderId="0" fillId="9" fontId="3" numFmtId="1" xfId="0" applyAlignment="1" applyFill="1" applyFont="1" applyNumberFormat="1">
      <alignment horizontal="center" vertical="bottom"/>
    </xf>
    <xf borderId="0" fillId="9" fontId="3" numFmtId="166" xfId="0" applyAlignment="1" applyFill="1" applyFont="1" applyNumberFormat="1">
      <alignment horizontal="right" readingOrder="0" vertical="bottom"/>
    </xf>
    <xf borderId="0" fillId="12" fontId="3" numFmtId="166" xfId="0" applyAlignment="1" applyFill="1" applyFont="1" applyNumberFormat="1">
      <alignment readingOrder="0" vertical="bottom"/>
    </xf>
    <xf borderId="0" fillId="8" fontId="19" numFmtId="0" xfId="0" applyAlignment="1" applyFill="1" applyFont="1">
      <alignment horizontal="left" readingOrder="0"/>
    </xf>
    <xf borderId="0" fillId="15" fontId="3" numFmtId="0" xfId="0" applyAlignment="1" applyFill="1" applyFont="1">
      <alignment horizontal="right" readingOrder="0" vertical="top"/>
    </xf>
    <xf borderId="0" fillId="0" fontId="8" numFmtId="0" xfId="0" applyAlignment="1" applyFont="1">
      <alignment horizontal="right" readingOrder="0" vertical="top"/>
    </xf>
    <xf borderId="0" fillId="0" fontId="1" numFmtId="0" xfId="0" applyAlignment="1" applyFont="1">
      <alignment horizontal="right" readingOrder="0"/>
    </xf>
    <xf borderId="0" fillId="0" fontId="20" numFmtId="0" xfId="0" applyAlignment="1" applyFont="1">
      <alignment readingOrder="0"/>
    </xf>
    <xf borderId="0" fillId="8" fontId="17" numFmtId="0" xfId="0" applyAlignment="1" applyFill="1" applyFont="1">
      <alignment horizontal="center" readingOrder="0"/>
    </xf>
    <xf borderId="0" fillId="8" fontId="1" numFmtId="1" xfId="0" applyFill="1" applyFont="1" applyNumberFormat="1"/>
    <xf borderId="0" fillId="8" fontId="3" numFmtId="165" xfId="0" applyAlignment="1" applyFill="1" applyFont="1" applyNumberFormat="1">
      <alignment horizontal="right" readingOrder="0" vertical="bottom"/>
    </xf>
    <xf borderId="0" fillId="8" fontId="3" numFmtId="166" xfId="0" applyAlignment="1" applyFill="1" applyFont="1" applyNumberFormat="1">
      <alignment horizontal="right" vertical="bottom"/>
    </xf>
    <xf borderId="0" fillId="4" fontId="1" numFmtId="0" xfId="0" applyFill="1" applyFont="1"/>
    <xf borderId="0" fillId="0" fontId="3" numFmtId="0" xfId="0" applyAlignment="1" applyFont="1">
      <alignment readingOrder="0" vertical="bottom"/>
    </xf>
    <xf borderId="1" fillId="0" fontId="13" numFmtId="175" xfId="0" applyAlignment="1" applyBorder="1" applyFont="1" applyNumberFormat="1">
      <alignment vertical="top"/>
    </xf>
    <xf borderId="0" fillId="8" fontId="3" numFmtId="0" xfId="0" applyAlignment="1" applyFill="1" applyFont="1">
      <alignment shrinkToFit="0" vertical="bottom" wrapText="0"/>
    </xf>
    <xf borderId="0" fillId="8" fontId="7" numFmtId="0" xfId="0" applyAlignment="1" applyFill="1" applyFont="1">
      <alignment vertical="bottom"/>
    </xf>
    <xf borderId="11" fillId="7" fontId="3" numFmtId="0" xfId="0" applyAlignment="1" applyBorder="1" applyFill="1" applyFont="1">
      <alignment vertical="bottom"/>
    </xf>
    <xf borderId="0" fillId="22" fontId="3" numFmtId="1" xfId="0" applyAlignment="1" applyFill="1" applyFont="1" applyNumberFormat="1">
      <alignment horizontal="center" vertical="bottom"/>
    </xf>
    <xf borderId="12" fillId="7" fontId="21" numFmtId="0" xfId="0" applyAlignment="1" applyBorder="1" applyFill="1" applyFont="1">
      <alignment horizontal="center" shrinkToFit="0" vertical="bottom" wrapText="1"/>
    </xf>
    <xf borderId="0" fillId="22" fontId="3" numFmtId="166" xfId="0" applyAlignment="1" applyFill="1" applyFont="1" applyNumberFormat="1">
      <alignment horizontal="right" vertical="bottom"/>
    </xf>
    <xf borderId="0" fillId="8" fontId="3" numFmtId="166" xfId="0" applyAlignment="1" applyFill="1" applyFont="1" applyNumberFormat="1">
      <alignment vertical="bottom"/>
    </xf>
    <xf borderId="0" fillId="22" fontId="3" numFmtId="0" xfId="0" applyAlignment="1" applyFill="1" applyFont="1">
      <alignment vertical="bottom"/>
    </xf>
    <xf borderId="13" fillId="7" fontId="21" numFmtId="0" xfId="0" applyAlignment="1" applyBorder="1" applyFill="1" applyFont="1">
      <alignment horizontal="center" shrinkToFit="0" vertical="bottom" wrapText="1"/>
    </xf>
    <xf borderId="0" fillId="22" fontId="3" numFmtId="0" xfId="0" applyAlignment="1" applyFill="1" applyFont="1">
      <alignment horizontal="right" vertical="bottom"/>
    </xf>
    <xf borderId="14" fillId="0" fontId="22" numFmtId="0" xfId="0" applyBorder="1" applyFont="1"/>
    <xf borderId="0" fillId="22" fontId="3" numFmtId="0" xfId="0" applyAlignment="1" applyFill="1" applyFont="1">
      <alignment vertical="bottom"/>
    </xf>
    <xf borderId="0" fillId="22" fontId="3" numFmtId="0" xfId="0" applyAlignment="1" applyFill="1" applyFont="1">
      <alignment shrinkToFit="0" vertical="bottom" wrapText="0"/>
    </xf>
    <xf borderId="15" fillId="0" fontId="22" numFmtId="0" xfId="0" applyBorder="1" applyFont="1"/>
    <xf borderId="0" fillId="22" fontId="8" numFmtId="0" xfId="0" applyAlignment="1" applyFill="1" applyFont="1">
      <alignment vertical="bottom"/>
    </xf>
    <xf borderId="0" fillId="22" fontId="3" numFmtId="0" xfId="0" applyAlignment="1" applyFill="1" applyFont="1">
      <alignment horizontal="center" readingOrder="0" vertical="bottom"/>
    </xf>
    <xf borderId="11" fillId="7" fontId="21" numFmtId="0" xfId="0" applyAlignment="1" applyBorder="1" applyFill="1" applyFont="1">
      <alignment horizontal="center" shrinkToFit="0" vertical="bottom" wrapText="1"/>
    </xf>
    <xf borderId="16" fillId="0" fontId="22" numFmtId="0" xfId="0" applyBorder="1" applyFont="1"/>
    <xf borderId="0" fillId="8" fontId="3" numFmtId="1" xfId="0" applyAlignment="1" applyFill="1" applyFont="1" applyNumberFormat="1">
      <alignment horizontal="right" readingOrder="0" vertical="bottom"/>
    </xf>
    <xf borderId="0" fillId="9" fontId="3" numFmtId="166" xfId="0" applyAlignment="1" applyFill="1" applyFont="1" applyNumberFormat="1">
      <alignment horizontal="right" vertical="bottom"/>
    </xf>
    <xf borderId="11" fillId="8" fontId="3" numFmtId="0" xfId="0" applyAlignment="1" applyBorder="1" applyFill="1" applyFont="1">
      <alignment vertical="bottom"/>
    </xf>
    <xf borderId="11" fillId="8" fontId="3" numFmtId="0" xfId="0" applyAlignment="1" applyBorder="1" applyFill="1" applyFont="1">
      <alignment shrinkToFit="0" vertical="bottom" wrapText="1"/>
    </xf>
    <xf borderId="0" fillId="4" fontId="3" numFmtId="1" xfId="0" applyAlignment="1" applyFill="1" applyFont="1" applyNumberFormat="1">
      <alignment horizontal="center" vertical="bottom"/>
    </xf>
    <xf borderId="0" fillId="8" fontId="3" numFmtId="1" xfId="0" applyAlignment="1" applyFill="1" applyFont="1" applyNumberFormat="1">
      <alignment horizontal="right" vertical="bottom"/>
    </xf>
    <xf borderId="0" fillId="8" fontId="3" numFmtId="0" xfId="0" applyAlignment="1" applyFill="1" applyFont="1">
      <alignment horizontal="center" vertical="bottom"/>
    </xf>
    <xf borderId="0" fillId="8" fontId="3" numFmtId="170" xfId="0" applyAlignment="1" applyFill="1" applyFont="1" applyNumberFormat="1">
      <alignment vertical="bottom"/>
    </xf>
    <xf borderId="0" fillId="0" fontId="3" numFmtId="0" xfId="0" applyAlignment="1" applyFont="1">
      <alignment shrinkToFit="0" vertical="bottom" wrapText="0"/>
    </xf>
    <xf borderId="0" fillId="8" fontId="3" numFmtId="0" xfId="0" applyAlignment="1" applyFill="1" applyFont="1">
      <alignment shrinkToFit="0" vertical="bottom" wrapText="1"/>
    </xf>
    <xf borderId="0" fillId="8" fontId="3" numFmtId="1" xfId="0" applyAlignment="1" applyFill="1" applyFont="1" applyNumberFormat="1">
      <alignment vertical="bottom"/>
    </xf>
    <xf borderId="11" fillId="8" fontId="3" numFmtId="0" xfId="0" applyAlignment="1" applyBorder="1" applyFill="1" applyFont="1">
      <alignment horizontal="right" vertical="bottom"/>
    </xf>
    <xf borderId="11" fillId="8" fontId="3" numFmtId="0" xfId="0" applyAlignment="1" applyBorder="1" applyFill="1" applyFont="1">
      <alignment readingOrder="0" vertical="bottom"/>
    </xf>
    <xf borderId="11" fillId="8" fontId="3" numFmtId="0" xfId="0" applyAlignment="1" applyBorder="1" applyFill="1" applyFont="1">
      <alignment readingOrder="0" shrinkToFit="0" vertical="bottom" wrapText="1"/>
    </xf>
    <xf borderId="11" fillId="8" fontId="3" numFmtId="0" xfId="0" applyAlignment="1" applyBorder="1" applyFill="1" applyFont="1">
      <alignment horizontal="right" readingOrder="0" vertical="bottom"/>
    </xf>
    <xf borderId="0" fillId="8" fontId="3" numFmtId="49" xfId="0" applyAlignment="1" applyFill="1" applyFont="1" applyNumberFormat="1">
      <alignment horizontal="center" vertical="bottom"/>
    </xf>
    <xf borderId="0" fillId="8" fontId="3" numFmtId="0" xfId="0" applyAlignment="1" applyFill="1" applyFont="1">
      <alignment horizontal="center" vertical="bottom"/>
    </xf>
    <xf borderId="0" fillId="8" fontId="3" numFmtId="0" xfId="0" applyAlignment="1" applyFill="1" applyFont="1">
      <alignment horizontal="right" readingOrder="0" vertical="bottom"/>
    </xf>
    <xf borderId="0" fillId="15" fontId="2" numFmtId="0" xfId="0" applyAlignment="1" applyFill="1" applyFont="1">
      <alignment horizontal="center" vertical="bottom"/>
    </xf>
    <xf borderId="0" fillId="15" fontId="2" numFmtId="49" xfId="0" applyAlignment="1" applyFill="1" applyFont="1" applyNumberFormat="1">
      <alignment horizontal="center" vertical="bottom"/>
    </xf>
    <xf borderId="0" fillId="15" fontId="2" numFmtId="0" xfId="0" applyAlignment="1" applyFill="1" applyFont="1">
      <alignment horizontal="center" shrinkToFit="0" vertical="bottom" wrapText="1"/>
    </xf>
    <xf borderId="0" fillId="23" fontId="3" numFmtId="166" xfId="0" applyAlignment="1" applyFill="1" applyFont="1" applyNumberFormat="1">
      <alignment vertical="bottom"/>
    </xf>
    <xf borderId="0" fillId="8" fontId="3" numFmtId="0" xfId="0" applyAlignment="1" applyFill="1" applyFont="1">
      <alignment horizontal="right" readingOrder="0" vertical="bottom"/>
    </xf>
    <xf borderId="0" fillId="23" fontId="3" numFmtId="0" xfId="0" applyAlignment="1" applyFill="1" applyFont="1">
      <alignment vertical="bottom"/>
    </xf>
    <xf borderId="0" fillId="23" fontId="3" numFmtId="0" xfId="0" applyAlignment="1" applyFill="1" applyFont="1">
      <alignment horizontal="right" vertical="bottom"/>
    </xf>
    <xf borderId="0" fillId="23" fontId="3" numFmtId="0" xfId="0" applyAlignment="1" applyFill="1" applyFont="1">
      <alignment vertical="bottom"/>
    </xf>
    <xf borderId="0" fillId="0" fontId="1" numFmtId="173" xfId="0" applyFont="1" applyNumberFormat="1"/>
    <xf borderId="0" fillId="8" fontId="3" numFmtId="0" xfId="0" applyAlignment="1" applyFill="1" applyFont="1">
      <alignment vertical="bottom"/>
    </xf>
    <xf borderId="0" fillId="8" fontId="2" numFmtId="0" xfId="0" applyAlignment="1" applyFill="1" applyFont="1">
      <alignment horizontal="right" readingOrder="0" vertical="bottom"/>
    </xf>
    <xf borderId="0" fillId="8" fontId="2" numFmtId="0" xfId="0" applyAlignment="1" applyFill="1" applyFont="1">
      <alignment readingOrder="0" vertical="bottom"/>
    </xf>
    <xf borderId="0" fillId="8" fontId="3" numFmtId="0" xfId="0" applyAlignment="1" applyFill="1" applyFont="1">
      <alignment horizontal="center" vertical="top"/>
    </xf>
    <xf borderId="0" fillId="0" fontId="1" numFmtId="0" xfId="0" applyAlignment="1" applyFont="1">
      <alignment readingOrder="0" shrinkToFit="0" wrapText="1"/>
    </xf>
    <xf borderId="0" fillId="8" fontId="1" numFmtId="0" xfId="0" applyAlignment="1" applyFill="1" applyFont="1">
      <alignment readingOrder="0" shrinkToFit="0" wrapText="1"/>
    </xf>
    <xf borderId="0" fillId="8" fontId="8" numFmtId="0" xfId="0" applyAlignment="1" applyFill="1" applyFont="1">
      <alignment readingOrder="0" vertical="bottom"/>
    </xf>
    <xf borderId="0" fillId="21" fontId="4" numFmtId="0" xfId="0" applyAlignment="1" applyFill="1" applyFont="1">
      <alignment readingOrder="0"/>
    </xf>
    <xf borderId="0" fillId="12" fontId="1" numFmtId="0" xfId="0" applyAlignment="1" applyFill="1" applyFont="1">
      <alignment readingOrder="0" shrinkToFit="0" wrapText="1"/>
    </xf>
    <xf borderId="0" fillId="0" fontId="1" numFmtId="176" xfId="0" applyAlignment="1" applyFont="1" applyNumberFormat="1">
      <alignment readingOrder="0"/>
    </xf>
    <xf borderId="0" fillId="0" fontId="1" numFmtId="14" xfId="0" applyAlignment="1" applyFont="1" applyNumberFormat="1">
      <alignment readingOrder="0"/>
    </xf>
    <xf borderId="0" fillId="22" fontId="3" numFmtId="0" xfId="0" applyAlignment="1" applyFill="1" applyFont="1">
      <alignment horizontal="right" vertical="bottom"/>
    </xf>
    <xf borderId="0" fillId="22" fontId="3" numFmtId="0" xfId="0" applyAlignment="1" applyFill="1" applyFont="1">
      <alignment shrinkToFit="0" vertical="bottom" wrapText="0"/>
    </xf>
    <xf borderId="0" fillId="12" fontId="4" numFmtId="0" xfId="0" applyAlignment="1" applyFill="1" applyFont="1">
      <alignment readingOrder="0"/>
    </xf>
    <xf borderId="0" fillId="22" fontId="7" numFmtId="0" xfId="0" applyAlignment="1" applyFill="1" applyFont="1">
      <alignment vertical="bottom"/>
    </xf>
    <xf borderId="0" fillId="24" fontId="3" numFmtId="0" xfId="0" applyAlignment="1" applyFill="1" applyFont="1">
      <alignment vertical="bottom"/>
    </xf>
    <xf borderId="0" fillId="24" fontId="3" numFmtId="0" xfId="0" applyAlignment="1" applyFill="1" applyFont="1">
      <alignment horizontal="right" vertical="bottom"/>
    </xf>
    <xf borderId="0" fillId="24" fontId="3" numFmtId="0" xfId="0" applyAlignment="1" applyFill="1" applyFont="1">
      <alignment vertical="bottom"/>
    </xf>
    <xf borderId="0" fillId="24" fontId="3" numFmtId="0" xfId="0" applyAlignment="1" applyFill="1" applyFont="1">
      <alignment shrinkToFit="0" vertical="bottom" wrapText="0"/>
    </xf>
    <xf borderId="0" fillId="24" fontId="7" numFmtId="0" xfId="0" applyAlignment="1" applyFill="1" applyFont="1">
      <alignment vertical="bottom"/>
    </xf>
    <xf borderId="0" fillId="25" fontId="3" numFmtId="0" xfId="0" applyAlignment="1" applyFill="1" applyFont="1">
      <alignment vertical="bottom"/>
    </xf>
    <xf borderId="0" fillId="25" fontId="3" numFmtId="0" xfId="0" applyAlignment="1" applyFill="1" applyFont="1">
      <alignment horizontal="right" vertical="bottom"/>
    </xf>
    <xf borderId="0" fillId="25" fontId="3" numFmtId="0" xfId="0" applyAlignment="1" applyFill="1" applyFont="1">
      <alignment vertical="bottom"/>
    </xf>
    <xf borderId="0" fillId="25" fontId="3" numFmtId="0" xfId="0" applyAlignment="1" applyFill="1" applyFont="1">
      <alignment shrinkToFit="0" vertical="bottom" wrapText="0"/>
    </xf>
    <xf borderId="0" fillId="25" fontId="7" numFmtId="0" xfId="0" applyAlignment="1" applyFill="1" applyFont="1">
      <alignment vertical="bottom"/>
    </xf>
    <xf borderId="0" fillId="15" fontId="3" numFmtId="0" xfId="0" applyAlignment="1" applyFill="1" applyFont="1">
      <alignment vertical="bottom"/>
    </xf>
    <xf borderId="0" fillId="15" fontId="3" numFmtId="0" xfId="0" applyAlignment="1" applyFill="1" applyFont="1">
      <alignment horizontal="right" vertical="bottom"/>
    </xf>
    <xf borderId="0" fillId="15" fontId="3" numFmtId="0" xfId="0" applyAlignment="1" applyFill="1" applyFont="1">
      <alignment shrinkToFit="0" vertical="bottom" wrapText="0"/>
    </xf>
    <xf borderId="0" fillId="15" fontId="7" numFmtId="0" xfId="0" applyAlignment="1" applyFill="1" applyFont="1">
      <alignment vertical="bottom"/>
    </xf>
    <xf borderId="1" fillId="26" fontId="23" numFmtId="0" xfId="0" applyAlignment="1" applyBorder="1" applyFill="1" applyFont="1">
      <alignment shrinkToFit="0" vertical="top" wrapText="1"/>
    </xf>
    <xf borderId="1" fillId="26" fontId="24" numFmtId="0" xfId="0" applyAlignment="1" applyBorder="1" applyFill="1" applyFont="1">
      <alignment shrinkToFit="0" vertical="top" wrapText="1"/>
    </xf>
    <xf borderId="1" fillId="26" fontId="24" numFmtId="0" xfId="0" applyAlignment="1" applyBorder="1" applyFill="1" applyFont="1">
      <alignment vertical="top"/>
    </xf>
    <xf borderId="1" fillId="2" fontId="23" numFmtId="0" xfId="0" applyAlignment="1" applyBorder="1" applyFill="1" applyFont="1">
      <alignment horizontal="center" shrinkToFit="0" vertical="top" wrapText="1"/>
    </xf>
    <xf borderId="1" fillId="2" fontId="3" numFmtId="0" xfId="0" applyAlignment="1" applyBorder="1" applyFill="1" applyFont="1">
      <alignment vertical="top"/>
    </xf>
    <xf borderId="1" fillId="0" fontId="25" numFmtId="0" xfId="0" applyAlignment="1" applyBorder="1" applyFont="1">
      <alignment shrinkToFit="0" vertical="top" wrapText="1"/>
    </xf>
    <xf borderId="1" fillId="0" fontId="3" numFmtId="0" xfId="0" applyAlignment="1" applyBorder="1" applyFont="1">
      <alignment vertical="top"/>
    </xf>
    <xf borderId="1" fillId="0" fontId="25" numFmtId="0" xfId="0" applyAlignment="1" applyBorder="1" applyFont="1">
      <alignment vertical="top"/>
    </xf>
    <xf borderId="17" fillId="2" fontId="23" numFmtId="0" xfId="0" applyAlignment="1" applyBorder="1" applyFill="1" applyFont="1">
      <alignment horizontal="center" shrinkToFit="0" vertical="top" wrapText="1"/>
    </xf>
    <xf borderId="18" fillId="0" fontId="22" numFmtId="0" xfId="0" applyBorder="1" applyFont="1"/>
    <xf borderId="0" fillId="27" fontId="3" numFmtId="0" xfId="0" applyAlignment="1" applyFill="1" applyFont="1">
      <alignment vertical="bottom"/>
    </xf>
    <xf borderId="0" fillId="27" fontId="3" numFmtId="0" xfId="0" applyAlignment="1" applyFill="1" applyFont="1">
      <alignment horizontal="right" vertical="bottom"/>
    </xf>
    <xf borderId="0" fillId="27" fontId="3" numFmtId="0" xfId="0" applyAlignment="1" applyFill="1" applyFont="1">
      <alignment vertical="bottom"/>
    </xf>
    <xf borderId="0" fillId="27" fontId="3" numFmtId="0" xfId="0" applyAlignment="1" applyFill="1" applyFont="1">
      <alignment shrinkToFit="0" vertical="bottom" wrapText="0"/>
    </xf>
    <xf borderId="0" fillId="27" fontId="7" numFmtId="0" xfId="0" applyAlignment="1" applyFill="1" applyFont="1">
      <alignment vertical="bottom"/>
    </xf>
    <xf borderId="0" fillId="0" fontId="1" numFmtId="173" xfId="0" applyAlignment="1" applyFont="1" applyNumberFormat="1">
      <alignment readingOrder="0"/>
    </xf>
    <xf borderId="0" fillId="28" fontId="3" numFmtId="0" xfId="0" applyAlignment="1" applyFill="1" applyFont="1">
      <alignment vertical="bottom"/>
    </xf>
    <xf borderId="0" fillId="28" fontId="3" numFmtId="0" xfId="0" applyAlignment="1" applyFill="1" applyFont="1">
      <alignment horizontal="right" vertical="bottom"/>
    </xf>
    <xf borderId="0" fillId="28" fontId="3" numFmtId="0" xfId="0" applyAlignment="1" applyFill="1" applyFont="1">
      <alignment vertical="bottom"/>
    </xf>
    <xf borderId="0" fillId="28" fontId="3" numFmtId="0" xfId="0" applyAlignment="1" applyFill="1" applyFont="1">
      <alignment shrinkToFit="0" vertical="bottom" wrapText="0"/>
    </xf>
    <xf borderId="0" fillId="28" fontId="8" numFmtId="0" xfId="0" applyAlignment="1" applyFill="1" applyFont="1">
      <alignment vertical="bottom"/>
    </xf>
    <xf borderId="0" fillId="28" fontId="7" numFmtId="0" xfId="0" applyAlignment="1" applyFill="1" applyFont="1">
      <alignment vertical="bottom"/>
    </xf>
    <xf borderId="0" fillId="0" fontId="3" numFmtId="176" xfId="0" applyAlignment="1" applyFont="1" applyNumberFormat="1">
      <alignment readingOrder="0" vertical="bottom"/>
    </xf>
    <xf borderId="0" fillId="12" fontId="3" numFmtId="0" xfId="0" applyAlignment="1" applyFill="1" applyFont="1">
      <alignment readingOrder="0" vertical="bottom"/>
    </xf>
    <xf borderId="0" fillId="12" fontId="3" numFmtId="166" xfId="0" applyAlignment="1" applyFill="1" applyFont="1" applyNumberFormat="1">
      <alignment horizontal="right" vertical="bottom"/>
    </xf>
    <xf borderId="0" fillId="8" fontId="26" numFmtId="0" xfId="0" applyAlignment="1" applyFill="1" applyFont="1">
      <alignment horizontal="center" vertical="bottom"/>
    </xf>
    <xf borderId="0" fillId="12" fontId="3" numFmtId="166" xfId="0" applyAlignment="1" applyFill="1" applyFont="1" applyNumberFormat="1">
      <alignment readingOrder="0" vertical="bottom"/>
    </xf>
    <xf borderId="0" fillId="29" fontId="3" numFmtId="0" xfId="0" applyAlignment="1" applyFill="1" applyFont="1">
      <alignment vertical="bottom"/>
    </xf>
    <xf borderId="0" fillId="29" fontId="3" numFmtId="0" xfId="0" applyAlignment="1" applyFill="1" applyFont="1">
      <alignment horizontal="right" vertical="bottom"/>
    </xf>
    <xf borderId="0" fillId="29" fontId="3" numFmtId="0" xfId="0" applyAlignment="1" applyFill="1" applyFont="1">
      <alignment vertical="bottom"/>
    </xf>
    <xf borderId="0" fillId="29" fontId="3" numFmtId="0" xfId="0" applyAlignment="1" applyFill="1" applyFont="1">
      <alignment shrinkToFit="0" vertical="bottom" wrapText="0"/>
    </xf>
    <xf borderId="0" fillId="29" fontId="8" numFmtId="0" xfId="0" applyAlignment="1" applyFill="1" applyFont="1">
      <alignment vertical="bottom"/>
    </xf>
    <xf borderId="0" fillId="29" fontId="7" numFmtId="0" xfId="0" applyAlignment="1" applyFill="1" applyFont="1">
      <alignment vertical="bottom"/>
    </xf>
    <xf borderId="0" fillId="28" fontId="3" numFmtId="0" xfId="0" applyAlignment="1" applyFill="1" applyFont="1">
      <alignment shrinkToFit="0" vertical="bottom" wrapText="0"/>
    </xf>
    <xf borderId="0" fillId="12" fontId="3" numFmtId="0" xfId="0" applyAlignment="1" applyFill="1" applyFont="1">
      <alignment horizontal="right" readingOrder="0" vertical="bottom"/>
    </xf>
    <xf borderId="0" fillId="0" fontId="27" numFmtId="0" xfId="0" applyAlignment="1" applyFont="1">
      <alignment horizontal="center" vertical="bottom"/>
    </xf>
    <xf borderId="0" fillId="7" fontId="3" numFmtId="0" xfId="0" applyAlignment="1" applyFill="1" applyFont="1">
      <alignment vertical="bottom"/>
    </xf>
    <xf borderId="0" fillId="7" fontId="3" numFmtId="0" xfId="0" applyAlignment="1" applyFill="1" applyFont="1">
      <alignment horizontal="right" vertical="bottom"/>
    </xf>
    <xf borderId="0" fillId="7" fontId="3" numFmtId="0" xfId="0" applyAlignment="1" applyFill="1" applyFont="1">
      <alignment vertical="bottom"/>
    </xf>
    <xf borderId="0" fillId="7" fontId="3" numFmtId="0" xfId="0" applyAlignment="1" applyFill="1" applyFont="1">
      <alignment shrinkToFit="0" vertical="bottom" wrapText="0"/>
    </xf>
    <xf borderId="0" fillId="7" fontId="7" numFmtId="0" xfId="0" applyAlignment="1" applyFill="1" applyFont="1">
      <alignment vertical="bottom"/>
    </xf>
    <xf borderId="0" fillId="30" fontId="3" numFmtId="0" xfId="0" applyAlignment="1" applyFill="1" applyFont="1">
      <alignment vertical="bottom"/>
    </xf>
    <xf borderId="0" fillId="30" fontId="3" numFmtId="0" xfId="0" applyAlignment="1" applyFill="1" applyFont="1">
      <alignment horizontal="right" vertical="bottom"/>
    </xf>
    <xf borderId="0" fillId="30" fontId="3" numFmtId="0" xfId="0" applyAlignment="1" applyFill="1" applyFont="1">
      <alignment vertical="bottom"/>
    </xf>
    <xf borderId="0" fillId="30" fontId="3" numFmtId="0" xfId="0" applyAlignment="1" applyFill="1" applyFont="1">
      <alignment shrinkToFit="0" vertical="bottom" wrapText="0"/>
    </xf>
    <xf borderId="0" fillId="30" fontId="7" numFmtId="0" xfId="0" applyAlignment="1" applyFill="1" applyFont="1">
      <alignment vertical="bottom"/>
    </xf>
    <xf borderId="0" fillId="16" fontId="3" numFmtId="0" xfId="0" applyAlignment="1" applyFill="1" applyFont="1">
      <alignment vertical="bottom"/>
    </xf>
    <xf borderId="0" fillId="16" fontId="3" numFmtId="0" xfId="0" applyAlignment="1" applyFill="1" applyFont="1">
      <alignment horizontal="right" vertical="bottom"/>
    </xf>
    <xf borderId="0" fillId="16" fontId="3" numFmtId="0" xfId="0" applyAlignment="1" applyFill="1" applyFont="1">
      <alignment vertical="bottom"/>
    </xf>
    <xf borderId="0" fillId="16" fontId="3" numFmtId="0" xfId="0" applyAlignment="1" applyFill="1" applyFont="1">
      <alignment shrinkToFit="0" vertical="bottom" wrapText="0"/>
    </xf>
    <xf borderId="0" fillId="16" fontId="7" numFmtId="0" xfId="0" applyAlignment="1" applyFill="1" applyFont="1">
      <alignment vertical="bottom"/>
    </xf>
    <xf borderId="0" fillId="31" fontId="3" numFmtId="0" xfId="0" applyAlignment="1" applyFill="1" applyFont="1">
      <alignment vertical="bottom"/>
    </xf>
    <xf borderId="0" fillId="31" fontId="3" numFmtId="0" xfId="0" applyAlignment="1" applyFill="1" applyFont="1">
      <alignment horizontal="right" vertical="bottom"/>
    </xf>
    <xf borderId="0" fillId="31" fontId="3" numFmtId="0" xfId="0" applyAlignment="1" applyFill="1" applyFont="1">
      <alignment vertical="bottom"/>
    </xf>
    <xf borderId="0" fillId="31" fontId="3" numFmtId="0" xfId="0" applyAlignment="1" applyFill="1" applyFont="1">
      <alignment shrinkToFit="0" vertical="bottom" wrapText="0"/>
    </xf>
    <xf borderId="0" fillId="31" fontId="7" numFmtId="0" xfId="0" applyAlignment="1" applyFill="1" applyFont="1">
      <alignment vertical="bottom"/>
    </xf>
    <xf borderId="0" fillId="32" fontId="3" numFmtId="0" xfId="0" applyAlignment="1" applyFill="1" applyFont="1">
      <alignment vertical="bottom"/>
    </xf>
    <xf borderId="0" fillId="32" fontId="3" numFmtId="0" xfId="0" applyAlignment="1" applyFill="1" applyFont="1">
      <alignment horizontal="right" vertical="bottom"/>
    </xf>
    <xf borderId="0" fillId="32" fontId="3" numFmtId="0" xfId="0" applyAlignment="1" applyFill="1" applyFont="1">
      <alignment vertical="bottom"/>
    </xf>
    <xf borderId="0" fillId="32" fontId="3" numFmtId="0" xfId="0" applyAlignment="1" applyFill="1" applyFont="1">
      <alignment shrinkToFit="0" vertical="bottom" wrapText="0"/>
    </xf>
    <xf borderId="0" fillId="32" fontId="7" numFmtId="0" xfId="0" applyAlignment="1" applyFill="1" applyFont="1">
      <alignment vertical="bottom"/>
    </xf>
    <xf borderId="0" fillId="21" fontId="2" numFmtId="0" xfId="0" applyAlignment="1" applyFill="1" applyFont="1">
      <alignment readingOrder="0" vertical="bottom"/>
    </xf>
    <xf borderId="0" fillId="4" fontId="5" numFmtId="0" xfId="0" applyAlignment="1" applyFill="1" applyFont="1">
      <alignment vertical="bottom"/>
    </xf>
    <xf borderId="0" fillId="4" fontId="5" numFmtId="165" xfId="0" applyAlignment="1" applyFill="1" applyFont="1" applyNumberFormat="1">
      <alignment horizontal="right" readingOrder="0" vertical="bottom"/>
    </xf>
    <xf borderId="0" fillId="0" fontId="3" numFmtId="0" xfId="0" applyAlignment="1" applyFont="1">
      <alignment vertical="bottom"/>
    </xf>
    <xf borderId="0" fillId="0" fontId="3" numFmtId="0" xfId="0" applyAlignment="1" applyFont="1">
      <alignment readingOrder="0" vertical="bottom"/>
    </xf>
    <xf borderId="0" fillId="4" fontId="5" numFmtId="0" xfId="0" applyAlignment="1" applyFill="1" applyFont="1">
      <alignment vertical="bottom"/>
    </xf>
    <xf borderId="19" fillId="0" fontId="3" numFmtId="0" xfId="0" applyAlignment="1" applyBorder="1" applyFont="1">
      <alignment vertical="bottom"/>
    </xf>
    <xf borderId="0" fillId="0" fontId="3" numFmtId="49" xfId="0" applyAlignment="1" applyFont="1" applyNumberFormat="1">
      <alignment vertical="bottom"/>
    </xf>
    <xf borderId="0" fillId="33" fontId="2" numFmtId="0" xfId="0" applyAlignment="1" applyFill="1" applyFont="1">
      <alignment horizontal="center" vertical="bottom"/>
    </xf>
    <xf borderId="19" fillId="0" fontId="3" numFmtId="0" xfId="0" applyAlignment="1" applyBorder="1" applyFont="1">
      <alignment horizontal="center" vertical="bottom"/>
    </xf>
    <xf borderId="0" fillId="34" fontId="2" numFmtId="0" xfId="0" applyAlignment="1" applyFill="1" applyFont="1">
      <alignment horizontal="center" shrinkToFit="0" vertical="bottom" wrapText="1"/>
    </xf>
    <xf borderId="0" fillId="34" fontId="2" numFmtId="0" xfId="0" applyAlignment="1" applyFill="1" applyFont="1">
      <alignment horizontal="center" vertical="bottom"/>
    </xf>
    <xf borderId="3" fillId="21" fontId="3" numFmtId="0" xfId="0" applyAlignment="1" applyBorder="1" applyFill="1" applyFont="1">
      <alignment vertical="bottom"/>
    </xf>
    <xf borderId="0" fillId="0" fontId="3" numFmtId="10" xfId="0" applyAlignment="1" applyFont="1" applyNumberFormat="1">
      <alignment vertical="bottom"/>
    </xf>
    <xf borderId="3" fillId="21" fontId="2" numFmtId="0" xfId="0" applyAlignment="1" applyBorder="1" applyFill="1" applyFont="1">
      <alignment horizontal="center" shrinkToFit="0" vertical="bottom" wrapText="1"/>
    </xf>
    <xf borderId="3" fillId="21" fontId="2" numFmtId="0" xfId="0" applyAlignment="1" applyBorder="1" applyFill="1" applyFont="1">
      <alignment horizontal="center" shrinkToFit="0" vertical="bottom" wrapText="0"/>
    </xf>
    <xf borderId="20" fillId="21" fontId="2" numFmtId="0" xfId="0" applyAlignment="1" applyBorder="1" applyFill="1" applyFont="1">
      <alignment horizontal="center" shrinkToFit="0" vertical="bottom" wrapText="1"/>
    </xf>
    <xf borderId="19" fillId="0" fontId="3" numFmtId="9" xfId="0" applyAlignment="1" applyBorder="1" applyFont="1" applyNumberFormat="1">
      <alignment horizontal="center" vertical="bottom"/>
    </xf>
    <xf borderId="0" fillId="21" fontId="2" numFmtId="0" xfId="0" applyAlignment="1" applyFill="1" applyFont="1">
      <alignment horizontal="center" shrinkToFit="0" vertical="bottom" wrapText="1"/>
    </xf>
    <xf borderId="0" fillId="21" fontId="2" numFmtId="49" xfId="0" applyAlignment="1" applyFill="1" applyFont="1" applyNumberFormat="1">
      <alignment horizontal="center" shrinkToFit="0" vertical="bottom" wrapText="1"/>
    </xf>
    <xf borderId="0" fillId="0" fontId="3" numFmtId="0" xfId="0" applyAlignment="1" applyFont="1">
      <alignment horizontal="right" shrinkToFit="0" vertical="bottom" wrapText="1"/>
    </xf>
    <xf borderId="0" fillId="0" fontId="3" numFmtId="0" xfId="0" applyAlignment="1" applyFont="1">
      <alignment horizontal="right" shrinkToFit="0" vertical="bottom" wrapText="0"/>
    </xf>
    <xf borderId="0" fillId="0" fontId="28" numFmtId="0" xfId="0" applyAlignment="1" applyFont="1">
      <alignment shrinkToFit="0" vertical="bottom" wrapText="0"/>
    </xf>
    <xf borderId="0" fillId="0" fontId="3" numFmtId="173" xfId="0" applyAlignment="1" applyFont="1" applyNumberFormat="1">
      <alignment horizontal="center" vertical="bottom"/>
    </xf>
    <xf borderId="0" fillId="0" fontId="3" numFmtId="173" xfId="0" applyAlignment="1" applyFont="1" applyNumberFormat="1">
      <alignment vertical="bottom"/>
    </xf>
    <xf borderId="0" fillId="0" fontId="3" numFmtId="3" xfId="0" applyAlignment="1" applyFont="1" applyNumberFormat="1">
      <alignment horizontal="right" vertical="bottom"/>
    </xf>
    <xf borderId="19" fillId="0" fontId="3" numFmtId="0" xfId="0" applyAlignment="1" applyBorder="1" applyFont="1">
      <alignment readingOrder="0" vertical="bottom"/>
    </xf>
    <xf borderId="0" fillId="35" fontId="3" numFmtId="0" xfId="0" applyAlignment="1" applyFill="1" applyFont="1">
      <alignment vertical="bottom"/>
    </xf>
    <xf borderId="0" fillId="33" fontId="3" numFmtId="0" xfId="0" applyAlignment="1" applyFill="1" applyFont="1">
      <alignment vertical="bottom"/>
    </xf>
    <xf borderId="0" fillId="0" fontId="4" numFmtId="174" xfId="0" applyAlignment="1" applyFont="1" applyNumberFormat="1">
      <alignment horizontal="center" readingOrder="0" shrinkToFit="0" vertical="center" wrapText="1"/>
    </xf>
    <xf borderId="0" fillId="2" fontId="5" numFmtId="0" xfId="0" applyAlignment="1" applyFill="1" applyFont="1">
      <alignment readingOrder="0" vertical="bottom"/>
    </xf>
    <xf borderId="0" fillId="8" fontId="4" numFmtId="174" xfId="0" applyAlignment="1" applyFill="1" applyFont="1" applyNumberFormat="1">
      <alignment horizontal="center" readingOrder="0" shrinkToFit="0" vertical="center" wrapText="1"/>
    </xf>
    <xf borderId="0" fillId="0" fontId="3" numFmtId="0" xfId="0" applyAlignment="1" applyFont="1">
      <alignment horizontal="right" vertical="bottom"/>
    </xf>
    <xf borderId="0" fillId="8" fontId="3" numFmtId="0" xfId="0" applyAlignment="1" applyFill="1" applyFont="1">
      <alignment horizontal="right" vertical="bottom"/>
    </xf>
    <xf borderId="0" fillId="0" fontId="3" numFmtId="173" xfId="0" applyAlignment="1" applyFont="1" applyNumberFormat="1">
      <alignment horizontal="right" vertical="bottom"/>
    </xf>
    <xf borderId="0" fillId="8" fontId="3" numFmtId="0" xfId="0" applyAlignment="1" applyFill="1" applyFont="1">
      <alignment vertical="bottom"/>
    </xf>
    <xf borderId="0" fillId="8" fontId="29" numFmtId="0" xfId="0" applyAlignment="1" applyFill="1" applyFont="1">
      <alignment horizontal="center" readingOrder="0" shrinkToFit="0" wrapText="1"/>
    </xf>
    <xf borderId="0" fillId="0" fontId="1" numFmtId="0" xfId="0" applyAlignment="1" applyFont="1">
      <alignment readingOrder="0" shrinkToFit="0" wrapText="0"/>
    </xf>
    <xf borderId="0" fillId="0" fontId="3" numFmtId="165" xfId="0" applyAlignment="1" applyFont="1" applyNumberFormat="1">
      <alignment horizontal="right" shrinkToFit="0" vertical="bottom" wrapText="0"/>
    </xf>
    <xf borderId="0" fillId="12" fontId="3" numFmtId="0" xfId="0" applyAlignment="1" applyFill="1" applyFont="1">
      <alignment vertical="bottom"/>
    </xf>
    <xf borderId="0" fillId="12" fontId="3" numFmtId="173" xfId="0" applyAlignment="1" applyFill="1" applyFont="1" applyNumberFormat="1">
      <alignment horizontal="center" vertical="bottom"/>
    </xf>
    <xf borderId="0" fillId="8" fontId="3" numFmtId="173" xfId="0" applyAlignment="1" applyFill="1" applyFont="1" applyNumberFormat="1">
      <alignment horizontal="right" vertical="bottom"/>
    </xf>
    <xf borderId="0" fillId="8" fontId="3" numFmtId="174" xfId="0" applyAlignment="1" applyFill="1" applyFont="1" applyNumberFormat="1">
      <alignment horizontal="center" shrinkToFit="0" wrapText="1"/>
    </xf>
    <xf borderId="0" fillId="8" fontId="3" numFmtId="166" xfId="0" applyAlignment="1" applyFill="1" applyFont="1" applyNumberFormat="1">
      <alignment horizontal="right" shrinkToFit="0" vertical="bottom" wrapText="1"/>
    </xf>
    <xf borderId="0" fillId="32" fontId="3" numFmtId="0" xfId="0" applyAlignment="1" applyFill="1" applyFont="1">
      <alignment shrinkToFit="0" vertical="bottom" wrapText="0"/>
    </xf>
    <xf borderId="0" fillId="36" fontId="3" numFmtId="0" xfId="0" applyAlignment="1" applyFill="1" applyFont="1">
      <alignment vertical="bottom"/>
    </xf>
    <xf borderId="0" fillId="15" fontId="1" numFmtId="0" xfId="0" applyAlignment="1" applyFill="1" applyFont="1">
      <alignment readingOrder="0"/>
    </xf>
    <xf borderId="0" fillId="0" fontId="3" numFmtId="171" xfId="0" applyAlignment="1" applyFont="1" applyNumberFormat="1">
      <alignment horizontal="right" vertical="bottom"/>
    </xf>
    <xf borderId="0" fillId="0" fontId="3" numFmtId="177" xfId="0" applyAlignment="1" applyFont="1" applyNumberFormat="1">
      <alignment horizontal="right" vertical="bottom"/>
    </xf>
    <xf borderId="0" fillId="8" fontId="1" numFmtId="0" xfId="0" applyAlignment="1" applyFill="1" applyFont="1">
      <alignment horizontal="right" readingOrder="0"/>
    </xf>
    <xf borderId="0" fillId="0" fontId="30" numFmtId="0" xfId="0" applyAlignment="1" applyFont="1">
      <alignment vertical="bottom"/>
    </xf>
    <xf borderId="0" fillId="0" fontId="3" numFmtId="173" xfId="0" applyAlignment="1" applyFont="1" applyNumberFormat="1">
      <alignment horizontal="right" shrinkToFit="0" vertical="bottom" wrapText="1"/>
    </xf>
    <xf borderId="0" fillId="8" fontId="3" numFmtId="166" xfId="0" applyAlignment="1" applyFill="1" applyFont="1" applyNumberFormat="1">
      <alignment horizontal="right" vertical="bottom"/>
    </xf>
    <xf borderId="0" fillId="4" fontId="3" numFmtId="166" xfId="0" applyAlignment="1" applyFill="1" applyFont="1" applyNumberFormat="1">
      <alignment vertical="bottom"/>
    </xf>
    <xf borderId="0" fillId="37" fontId="3" numFmtId="0" xfId="0" applyAlignment="1" applyFill="1" applyFont="1">
      <alignment vertical="bottom"/>
    </xf>
    <xf borderId="0" fillId="37" fontId="3" numFmtId="0" xfId="0" applyAlignment="1" applyFill="1" applyFont="1">
      <alignment horizontal="right" vertical="bottom"/>
    </xf>
    <xf borderId="0" fillId="37" fontId="3" numFmtId="0" xfId="0" applyAlignment="1" applyFill="1" applyFont="1">
      <alignment vertical="bottom"/>
    </xf>
    <xf borderId="0" fillId="37" fontId="3" numFmtId="0" xfId="0" applyAlignment="1" applyFill="1" applyFont="1">
      <alignment shrinkToFit="0" vertical="bottom" wrapText="0"/>
    </xf>
    <xf borderId="0" fillId="37" fontId="7" numFmtId="0" xfId="0" applyAlignment="1" applyFill="1" applyFont="1">
      <alignment vertical="bottom"/>
    </xf>
    <xf borderId="0" fillId="33" fontId="1" numFmtId="0" xfId="0" applyFill="1" applyFont="1"/>
    <xf borderId="0" fillId="0" fontId="31" numFmtId="0" xfId="0" applyAlignment="1" applyFont="1">
      <alignment readingOrder="0"/>
    </xf>
    <xf borderId="0" fillId="0" fontId="32" numFmtId="0" xfId="0" applyAlignment="1" applyFont="1">
      <alignment readingOrder="0"/>
    </xf>
    <xf borderId="0" fillId="8" fontId="3" numFmtId="0" xfId="0" applyAlignment="1" applyFill="1" applyFont="1">
      <alignment readingOrder="0" shrinkToFit="0" vertical="bottom" wrapText="0"/>
    </xf>
    <xf borderId="0" fillId="0" fontId="3" numFmtId="0" xfId="0" applyAlignment="1" applyFont="1">
      <alignment horizontal="center" readingOrder="0" vertical="bottom"/>
    </xf>
    <xf borderId="0" fillId="7" fontId="8" numFmtId="0" xfId="0" applyAlignment="1" applyFill="1" applyFont="1">
      <alignment vertical="bottom"/>
    </xf>
    <xf borderId="19" fillId="2" fontId="33" numFmtId="0" xfId="0" applyAlignment="1" applyBorder="1" applyFill="1" applyFont="1">
      <alignment horizontal="left" readingOrder="0" shrinkToFit="0" vertical="top" wrapText="0"/>
    </xf>
    <xf borderId="19" fillId="2" fontId="2" numFmtId="168" xfId="0" applyAlignment="1" applyBorder="1" applyFill="1" applyFont="1" applyNumberFormat="1">
      <alignment horizontal="left" shrinkToFit="0" vertical="top" wrapText="0"/>
    </xf>
    <xf borderId="19" fillId="2" fontId="2" numFmtId="0" xfId="0" applyAlignment="1" applyBorder="1" applyFill="1" applyFont="1">
      <alignment horizontal="left" shrinkToFit="0" vertical="top" wrapText="0"/>
    </xf>
    <xf borderId="19" fillId="2" fontId="2" numFmtId="4" xfId="0" applyAlignment="1" applyBorder="1" applyFill="1" applyFont="1" applyNumberFormat="1">
      <alignment horizontal="left" shrinkToFit="0" vertical="top" wrapText="0"/>
    </xf>
    <xf borderId="19" fillId="2" fontId="2" numFmtId="1" xfId="0" applyAlignment="1" applyBorder="1" applyFill="1" applyFont="1" applyNumberFormat="1">
      <alignment horizontal="left" shrinkToFit="0" vertical="top" wrapText="0"/>
    </xf>
    <xf borderId="21" fillId="33" fontId="2" numFmtId="0" xfId="0" applyAlignment="1" applyBorder="1" applyFill="1" applyFont="1">
      <alignment horizontal="center" readingOrder="0" shrinkToFit="0" vertical="top" wrapText="1"/>
    </xf>
    <xf borderId="22" fillId="0" fontId="22" numFmtId="0" xfId="0" applyBorder="1" applyFont="1"/>
    <xf borderId="23" fillId="0" fontId="22" numFmtId="0" xfId="0" applyBorder="1" applyFont="1"/>
    <xf borderId="19" fillId="2" fontId="2" numFmtId="0" xfId="0" applyAlignment="1" applyBorder="1" applyFill="1" applyFont="1">
      <alignment horizontal="left" shrinkToFit="0" vertical="top" wrapText="1"/>
    </xf>
    <xf borderId="19" fillId="2" fontId="2" numFmtId="168" xfId="0" applyAlignment="1" applyBorder="1" applyFill="1" applyFont="1" applyNumberFormat="1">
      <alignment horizontal="left" shrinkToFit="0" vertical="top" wrapText="1"/>
    </xf>
    <xf borderId="19" fillId="2" fontId="2" numFmtId="4" xfId="0" applyAlignment="1" applyBorder="1" applyFill="1" applyFont="1" applyNumberFormat="1">
      <alignment horizontal="left" shrinkToFit="0" vertical="top" wrapText="1"/>
    </xf>
    <xf borderId="19" fillId="2" fontId="2" numFmtId="1" xfId="0" applyAlignment="1" applyBorder="1" applyFill="1" applyFont="1" applyNumberFormat="1">
      <alignment horizontal="left" readingOrder="0" shrinkToFit="0" vertical="top" wrapText="1"/>
    </xf>
    <xf borderId="19" fillId="38" fontId="2" numFmtId="0" xfId="0" applyAlignment="1" applyBorder="1" applyFill="1" applyFont="1">
      <alignment horizontal="center" readingOrder="0" shrinkToFit="0" vertical="top" wrapText="1"/>
    </xf>
    <xf borderId="19" fillId="39" fontId="2" numFmtId="0" xfId="0" applyAlignment="1" applyBorder="1" applyFill="1" applyFont="1">
      <alignment horizontal="center" shrinkToFit="0" vertical="top" wrapText="1"/>
    </xf>
    <xf borderId="19" fillId="39" fontId="2" numFmtId="0" xfId="0" applyAlignment="1" applyBorder="1" applyFill="1" applyFont="1">
      <alignment horizontal="center" readingOrder="0" shrinkToFit="0" vertical="top" wrapText="1"/>
    </xf>
    <xf borderId="19" fillId="40" fontId="2" numFmtId="0" xfId="0" applyAlignment="1" applyBorder="1" applyFill="1" applyFont="1">
      <alignment horizontal="center" shrinkToFit="0" vertical="top" wrapText="1"/>
    </xf>
    <xf borderId="19" fillId="40" fontId="2" numFmtId="0" xfId="0" applyAlignment="1" applyBorder="1" applyFill="1" applyFont="1">
      <alignment horizontal="center" readingOrder="0" shrinkToFit="0" vertical="top" wrapText="1"/>
    </xf>
    <xf borderId="19" fillId="0" fontId="3" numFmtId="0" xfId="0" applyAlignment="1" applyBorder="1" applyFont="1">
      <alignment vertical="top"/>
    </xf>
    <xf borderId="0" fillId="21" fontId="3" numFmtId="0" xfId="0" applyAlignment="1" applyFill="1" applyFont="1">
      <alignment vertical="bottom"/>
    </xf>
    <xf borderId="0" fillId="21" fontId="3" numFmtId="0" xfId="0" applyAlignment="1" applyFill="1" applyFont="1">
      <alignment horizontal="right" vertical="bottom"/>
    </xf>
    <xf borderId="0" fillId="21" fontId="3" numFmtId="0" xfId="0" applyAlignment="1" applyFill="1" applyFont="1">
      <alignment vertical="bottom"/>
    </xf>
    <xf borderId="0" fillId="21" fontId="3" numFmtId="0" xfId="0" applyAlignment="1" applyFill="1" applyFont="1">
      <alignment shrinkToFit="0" vertical="bottom" wrapText="0"/>
    </xf>
    <xf borderId="0" fillId="21" fontId="7" numFmtId="0" xfId="0" applyAlignment="1" applyFill="1" applyFont="1">
      <alignment vertical="bottom"/>
    </xf>
    <xf borderId="0" fillId="0" fontId="1" numFmtId="0" xfId="0" applyAlignment="1" applyFont="1">
      <alignment readingOrder="0" vertical="center"/>
    </xf>
    <xf borderId="3" fillId="0" fontId="3" numFmtId="0" xfId="0" applyAlignment="1" applyBorder="1" applyFont="1">
      <alignment horizontal="center" readingOrder="0" vertical="bottom"/>
    </xf>
    <xf borderId="0" fillId="41" fontId="3" numFmtId="0" xfId="0" applyAlignment="1" applyFill="1" applyFont="1">
      <alignment vertical="bottom"/>
    </xf>
    <xf borderId="0" fillId="41" fontId="3" numFmtId="0" xfId="0" applyAlignment="1" applyFill="1" applyFont="1">
      <alignment horizontal="right" vertical="bottom"/>
    </xf>
    <xf borderId="0" fillId="41" fontId="3" numFmtId="0" xfId="0" applyAlignment="1" applyFill="1" applyFont="1">
      <alignment vertical="bottom"/>
    </xf>
    <xf borderId="0" fillId="41" fontId="3" numFmtId="0" xfId="0" applyAlignment="1" applyFill="1" applyFont="1">
      <alignment shrinkToFit="0" vertical="bottom" wrapText="0"/>
    </xf>
    <xf borderId="0" fillId="41" fontId="7" numFmtId="0" xfId="0" applyAlignment="1" applyFill="1" applyFont="1">
      <alignment vertical="bottom"/>
    </xf>
    <xf borderId="0" fillId="0" fontId="34" numFmtId="0" xfId="0" applyAlignment="1" applyFont="1">
      <alignment horizontal="center" readingOrder="0" vertical="bottom"/>
    </xf>
    <xf borderId="0" fillId="0" fontId="35" numFmtId="0" xfId="0" applyAlignment="1" applyFont="1">
      <alignment horizontal="center" readingOrder="0"/>
    </xf>
    <xf borderId="0" fillId="8" fontId="36" numFmtId="0" xfId="0" applyAlignment="1" applyFill="1" applyFont="1">
      <alignment readingOrder="0" shrinkToFit="0" wrapText="1"/>
    </xf>
    <xf borderId="0" fillId="8" fontId="8" numFmtId="0" xfId="0" applyAlignment="1" applyFill="1" applyFont="1">
      <alignment horizontal="right" vertical="bottom"/>
    </xf>
    <xf borderId="0" fillId="0" fontId="1" numFmtId="0" xfId="0" applyAlignment="1" applyFont="1">
      <alignment readingOrder="0" shrinkToFit="0" wrapText="0"/>
    </xf>
    <xf borderId="0" fillId="15" fontId="3" numFmtId="0" xfId="0" applyAlignment="1" applyFill="1" applyFont="1">
      <alignment horizontal="right" readingOrder="0" vertical="bottom"/>
    </xf>
    <xf borderId="0" fillId="0" fontId="37" numFmtId="0" xfId="0" applyFont="1"/>
    <xf borderId="0" fillId="0" fontId="37" numFmtId="0" xfId="0" applyAlignment="1" applyFont="1">
      <alignment shrinkToFit="0" wrapText="0"/>
    </xf>
    <xf borderId="0" fillId="0" fontId="37" numFmtId="0" xfId="0" applyAlignment="1" applyFont="1">
      <alignment shrinkToFit="0" wrapText="1"/>
    </xf>
    <xf borderId="0" fillId="0" fontId="37" numFmtId="0" xfId="0" applyAlignment="1" applyFont="1">
      <alignment horizontal="center"/>
    </xf>
    <xf borderId="0" fillId="0" fontId="37" numFmtId="0" xfId="0" applyAlignment="1" applyFont="1">
      <alignment readingOrder="0"/>
    </xf>
    <xf borderId="0" fillId="0" fontId="4" numFmtId="0" xfId="0" applyAlignment="1" applyFont="1">
      <alignment readingOrder="0" shrinkToFit="0" wrapText="1"/>
    </xf>
    <xf borderId="0" fillId="12" fontId="3" numFmtId="166" xfId="0" applyAlignment="1" applyFill="1" applyFont="1" applyNumberFormat="1">
      <alignment vertical="bottom"/>
    </xf>
    <xf borderId="0" fillId="17" fontId="38" numFmtId="173" xfId="0" applyAlignment="1" applyFill="1" applyFont="1" applyNumberFormat="1">
      <alignment horizontal="center"/>
    </xf>
    <xf borderId="0" fillId="8" fontId="39" numFmtId="0" xfId="0" applyAlignment="1" applyFill="1" applyFont="1">
      <alignment readingOrder="0"/>
    </xf>
    <xf borderId="0" fillId="42" fontId="3" numFmtId="0" xfId="0" applyAlignment="1" applyFill="1" applyFont="1">
      <alignment vertical="bottom"/>
    </xf>
    <xf borderId="0" fillId="42" fontId="3" numFmtId="0" xfId="0" applyAlignment="1" applyFill="1" applyFont="1">
      <alignment horizontal="right" vertical="bottom"/>
    </xf>
    <xf borderId="0" fillId="42" fontId="3" numFmtId="0" xfId="0" applyAlignment="1" applyFill="1" applyFont="1">
      <alignment vertical="bottom"/>
    </xf>
    <xf borderId="0" fillId="42" fontId="3" numFmtId="0" xfId="0" applyAlignment="1" applyFill="1" applyFont="1">
      <alignment shrinkToFit="0" vertical="bottom" wrapText="0"/>
    </xf>
    <xf borderId="0" fillId="42" fontId="7" numFmtId="0" xfId="0" applyAlignment="1" applyFill="1" applyFont="1">
      <alignment vertical="bottom"/>
    </xf>
    <xf borderId="0" fillId="8" fontId="40" numFmtId="1" xfId="0" applyAlignment="1" applyFill="1" applyFont="1" applyNumberFormat="1">
      <alignment horizontal="center" vertical="bottom"/>
    </xf>
    <xf borderId="0" fillId="8" fontId="40" numFmtId="166" xfId="0" applyAlignment="1" applyFill="1" applyFont="1" applyNumberFormat="1">
      <alignment horizontal="right" vertical="bottom"/>
    </xf>
    <xf borderId="0" fillId="0" fontId="40" numFmtId="166" xfId="0" applyAlignment="1" applyFont="1" applyNumberFormat="1">
      <alignment vertical="bottom"/>
    </xf>
    <xf borderId="0" fillId="2" fontId="40" numFmtId="0" xfId="0" applyAlignment="1" applyFill="1" applyFont="1">
      <alignment vertical="bottom"/>
    </xf>
    <xf borderId="0" fillId="2" fontId="40" numFmtId="0" xfId="0" applyAlignment="1" applyFill="1" applyFont="1">
      <alignment horizontal="right" vertical="bottom"/>
    </xf>
    <xf borderId="0" fillId="2" fontId="3" numFmtId="0" xfId="0" applyAlignment="1" applyFill="1" applyFont="1">
      <alignment vertical="bottom"/>
    </xf>
    <xf borderId="0" fillId="2" fontId="3" numFmtId="0" xfId="0" applyAlignment="1" applyFill="1" applyFont="1">
      <alignment shrinkToFit="0" vertical="bottom" wrapText="0"/>
    </xf>
    <xf borderId="0" fillId="2" fontId="41" numFmtId="0" xfId="0" applyAlignment="1" applyFill="1" applyFont="1">
      <alignment vertical="bottom"/>
    </xf>
    <xf borderId="0" fillId="8" fontId="40" numFmtId="0" xfId="0" applyAlignment="1" applyFill="1" applyFont="1">
      <alignment vertical="bottom"/>
    </xf>
    <xf borderId="0" fillId="2" fontId="3" numFmtId="0" xfId="0" applyAlignment="1" applyFill="1" applyFont="1">
      <alignment vertical="bottom"/>
    </xf>
    <xf borderId="0" fillId="2" fontId="3" numFmtId="0" xfId="0" applyAlignment="1" applyFill="1" applyFont="1">
      <alignment horizontal="right" vertical="bottom"/>
    </xf>
    <xf borderId="0" fillId="2" fontId="3" numFmtId="0" xfId="0" applyAlignment="1" applyFill="1" applyFont="1">
      <alignment shrinkToFit="0" vertical="bottom" wrapText="0"/>
    </xf>
    <xf borderId="0" fillId="2" fontId="7" numFmtId="0" xfId="0" applyAlignment="1" applyFill="1" applyFont="1">
      <alignment vertical="bottom"/>
    </xf>
    <xf borderId="0" fillId="8" fontId="40" numFmtId="166" xfId="0" applyAlignment="1" applyFill="1" applyFont="1" applyNumberFormat="1">
      <alignment vertical="bottom"/>
    </xf>
    <xf borderId="0" fillId="8" fontId="40" numFmtId="0" xfId="0" applyAlignment="1" applyFill="1" applyFont="1">
      <alignment vertical="bottom"/>
    </xf>
    <xf borderId="0" fillId="8" fontId="40" numFmtId="0" xfId="0" applyAlignment="1" applyFill="1" applyFont="1">
      <alignment horizontal="right" vertical="bottom"/>
    </xf>
    <xf borderId="0" fillId="8" fontId="42" numFmtId="0" xfId="0" applyAlignment="1" applyFill="1" applyFont="1">
      <alignment vertical="bottom"/>
    </xf>
    <xf borderId="0" fillId="43" fontId="3" numFmtId="166" xfId="0" applyAlignment="1" applyFill="1" applyFont="1" applyNumberFormat="1">
      <alignment horizontal="right" vertical="bottom"/>
    </xf>
    <xf borderId="0" fillId="23" fontId="3" numFmtId="0" xfId="0" applyAlignment="1" applyFill="1" applyFont="1">
      <alignment shrinkToFit="0" vertical="bottom" wrapText="0"/>
    </xf>
    <xf borderId="0" fillId="23" fontId="8" numFmtId="0" xfId="0" applyAlignment="1" applyFill="1" applyFont="1">
      <alignment vertical="bottom"/>
    </xf>
    <xf borderId="0" fillId="9" fontId="3" numFmtId="0" xfId="0" applyAlignment="1" applyFill="1" applyFont="1">
      <alignment vertical="bottom"/>
    </xf>
    <xf borderId="0" fillId="0" fontId="4" numFmtId="0" xfId="0" applyAlignment="1" applyFont="1">
      <alignment readingOrder="0"/>
    </xf>
    <xf borderId="0" fillId="12" fontId="3" numFmtId="166" xfId="0" applyAlignment="1" applyFill="1" applyFont="1" applyNumberFormat="1">
      <alignment horizontal="right" readingOrder="0" vertical="bottom"/>
    </xf>
    <xf borderId="0" fillId="21" fontId="3" numFmtId="166" xfId="0" applyAlignment="1" applyFill="1" applyFont="1" applyNumberFormat="1">
      <alignment horizontal="right" vertical="bottom"/>
    </xf>
    <xf borderId="0" fillId="21" fontId="3" numFmtId="166" xfId="0" applyAlignment="1" applyFill="1" applyFont="1" applyNumberFormat="1">
      <alignment vertical="bottom"/>
    </xf>
    <xf borderId="0" fillId="15" fontId="3" numFmtId="0" xfId="0" applyAlignment="1" applyFill="1" applyFont="1">
      <alignment horizontal="right" vertical="top"/>
    </xf>
    <xf borderId="0" fillId="0" fontId="1" numFmtId="0" xfId="0" applyAlignment="1" applyFont="1">
      <alignment readingOrder="0"/>
    </xf>
    <xf borderId="0" fillId="44" fontId="3" numFmtId="0" xfId="0" applyAlignment="1" applyFill="1" applyFont="1">
      <alignment vertical="bottom"/>
    </xf>
    <xf borderId="0" fillId="44" fontId="3" numFmtId="0" xfId="0" applyAlignment="1" applyFill="1" applyFont="1">
      <alignment horizontal="right" vertical="bottom"/>
    </xf>
    <xf borderId="0" fillId="44" fontId="3" numFmtId="0" xfId="0" applyAlignment="1" applyFill="1" applyFont="1">
      <alignment vertical="bottom"/>
    </xf>
    <xf borderId="0" fillId="44" fontId="3" numFmtId="0" xfId="0" applyAlignment="1" applyFill="1" applyFont="1">
      <alignment shrinkToFit="0" vertical="bottom" wrapText="0"/>
    </xf>
    <xf borderId="0" fillId="44" fontId="7" numFmtId="0" xfId="0" applyAlignment="1" applyFill="1" applyFont="1">
      <alignment vertical="bottom"/>
    </xf>
    <xf borderId="0" fillId="14" fontId="3" numFmtId="0" xfId="0" applyAlignment="1" applyFill="1" applyFont="1">
      <alignment vertical="bottom"/>
    </xf>
    <xf borderId="0" fillId="14" fontId="3" numFmtId="0" xfId="0" applyAlignment="1" applyFill="1" applyFont="1">
      <alignment horizontal="right" vertical="bottom"/>
    </xf>
    <xf borderId="0" fillId="14" fontId="3" numFmtId="0" xfId="0" applyAlignment="1" applyFill="1" applyFont="1">
      <alignment vertical="bottom"/>
    </xf>
    <xf borderId="0" fillId="14" fontId="3" numFmtId="0" xfId="0" applyAlignment="1" applyFill="1" applyFont="1">
      <alignment shrinkToFit="0" vertical="bottom" wrapText="0"/>
    </xf>
    <xf borderId="0" fillId="14" fontId="7" numFmtId="0" xfId="0" applyAlignment="1" applyFill="1" applyFont="1">
      <alignment vertical="bottom"/>
    </xf>
    <xf borderId="0" fillId="19" fontId="3" numFmtId="0" xfId="0" applyAlignment="1" applyFill="1" applyFont="1">
      <alignment vertical="bottom"/>
    </xf>
    <xf borderId="0" fillId="19" fontId="3" numFmtId="0" xfId="0" applyAlignment="1" applyFill="1" applyFont="1">
      <alignment horizontal="right" vertical="bottom"/>
    </xf>
    <xf borderId="0" fillId="19" fontId="3" numFmtId="0" xfId="0" applyAlignment="1" applyFill="1" applyFont="1">
      <alignment vertical="bottom"/>
    </xf>
    <xf borderId="0" fillId="19" fontId="3" numFmtId="0" xfId="0" applyAlignment="1" applyFill="1" applyFont="1">
      <alignment shrinkToFit="0" vertical="bottom" wrapText="0"/>
    </xf>
    <xf borderId="0" fillId="15" fontId="3" numFmtId="0" xfId="0" applyAlignment="1" applyFill="1" applyFont="1">
      <alignment shrinkToFit="0" vertical="bottom" wrapText="0"/>
    </xf>
    <xf borderId="0" fillId="2" fontId="8" numFmtId="0" xfId="0" applyAlignment="1" applyFill="1" applyFont="1">
      <alignment vertical="bottom"/>
    </xf>
    <xf borderId="0" fillId="30" fontId="3" numFmtId="166" xfId="0" applyAlignment="1" applyFill="1" applyFont="1" applyNumberFormat="1">
      <alignment readingOrder="0" vertical="bottom"/>
    </xf>
    <xf borderId="0" fillId="30" fontId="3" numFmtId="0" xfId="0" applyAlignment="1" applyFill="1" applyFont="1">
      <alignment shrinkToFit="0" vertical="bottom" wrapText="0"/>
    </xf>
    <xf borderId="0" fillId="30" fontId="8" numFmtId="0" xfId="0" applyAlignment="1" applyFill="1" applyFont="1">
      <alignment vertical="bottom"/>
    </xf>
    <xf borderId="0" fillId="8" fontId="43" numFmtId="0" xfId="0" applyAlignment="1" applyFill="1" applyFont="1">
      <alignment vertical="bottom"/>
    </xf>
    <xf borderId="0" fillId="14" fontId="1" numFmtId="0" xfId="0" applyFill="1" applyFont="1"/>
    <xf borderId="0" fillId="8" fontId="3" numFmtId="0" xfId="0" applyAlignment="1" applyFill="1" applyFont="1">
      <alignment shrinkToFit="0" vertical="bottom" wrapText="1"/>
    </xf>
    <xf borderId="3" fillId="8" fontId="3" numFmtId="0" xfId="0" applyAlignment="1" applyBorder="1" applyFill="1" applyFont="1">
      <alignment horizontal="center" vertical="bottom"/>
    </xf>
    <xf borderId="9" fillId="8" fontId="3" numFmtId="0" xfId="0" applyAlignment="1" applyBorder="1" applyFill="1" applyFont="1">
      <alignment horizontal="center" vertical="bottom"/>
    </xf>
    <xf borderId="10" fillId="8" fontId="3" numFmtId="0" xfId="0" applyAlignment="1" applyBorder="1" applyFill="1" applyFont="1">
      <alignment horizontal="center" vertical="bottom"/>
    </xf>
    <xf borderId="0" fillId="8" fontId="2" numFmtId="173" xfId="0" applyAlignment="1" applyFill="1" applyFont="1" applyNumberFormat="1">
      <alignment horizontal="center"/>
    </xf>
    <xf borderId="0" fillId="45" fontId="3" numFmtId="166" xfId="0" applyAlignment="1" applyFill="1" applyFont="1" applyNumberFormat="1">
      <alignment horizontal="right" vertical="bottom"/>
    </xf>
    <xf borderId="0" fillId="45" fontId="3" numFmtId="166" xfId="0" applyAlignment="1" applyFill="1" applyFont="1" applyNumberFormat="1">
      <alignment readingOrder="0" vertical="bottom"/>
    </xf>
    <xf borderId="0" fillId="45" fontId="3" numFmtId="0" xfId="0" applyAlignment="1" applyFill="1" applyFont="1">
      <alignment vertical="bottom"/>
    </xf>
    <xf borderId="0" fillId="45" fontId="3" numFmtId="0" xfId="0" applyAlignment="1" applyFill="1" applyFont="1">
      <alignment horizontal="right" vertical="bottom"/>
    </xf>
    <xf borderId="0" fillId="45" fontId="3" numFmtId="0" xfId="0" applyAlignment="1" applyFill="1" applyFont="1">
      <alignment vertical="bottom"/>
    </xf>
    <xf borderId="0" fillId="45" fontId="3" numFmtId="0" xfId="0" applyAlignment="1" applyFill="1" applyFont="1">
      <alignment shrinkToFit="0" vertical="bottom" wrapText="0"/>
    </xf>
    <xf borderId="0" fillId="45" fontId="7" numFmtId="0" xfId="0" applyAlignment="1" applyFill="1" applyFont="1">
      <alignment vertical="bottom"/>
    </xf>
    <xf borderId="0" fillId="21" fontId="8" numFmtId="0" xfId="0" applyAlignment="1" applyFill="1" applyFont="1">
      <alignment vertical="bottom"/>
    </xf>
    <xf borderId="0" fillId="43" fontId="3" numFmtId="166" xfId="0" applyAlignment="1" applyFill="1" applyFont="1" applyNumberFormat="1">
      <alignment readingOrder="0" vertical="bottom"/>
    </xf>
    <xf borderId="0" fillId="43" fontId="3" numFmtId="0" xfId="0" applyAlignment="1" applyFill="1" applyFont="1">
      <alignment vertical="bottom"/>
    </xf>
    <xf borderId="0" fillId="43" fontId="3" numFmtId="0" xfId="0" applyAlignment="1" applyFill="1" applyFont="1">
      <alignment horizontal="right" vertical="bottom"/>
    </xf>
    <xf borderId="0" fillId="43" fontId="3" numFmtId="0" xfId="0" applyAlignment="1" applyFill="1" applyFont="1">
      <alignment vertical="bottom"/>
    </xf>
    <xf borderId="0" fillId="43" fontId="3" numFmtId="0" xfId="0" applyAlignment="1" applyFill="1" applyFont="1">
      <alignment shrinkToFit="0" vertical="bottom" wrapText="0"/>
    </xf>
    <xf borderId="0" fillId="43" fontId="7" numFmtId="0" xfId="0" applyAlignment="1" applyFill="1" applyFont="1">
      <alignment vertical="bottom"/>
    </xf>
    <xf borderId="0" fillId="43" fontId="8" numFmtId="0" xfId="0" applyAlignment="1" applyFill="1" applyFont="1">
      <alignment readingOrder="0" vertical="bottom"/>
    </xf>
    <xf borderId="0" fillId="8" fontId="3" numFmtId="166" xfId="0" applyAlignment="1" applyFill="1" applyFont="1" applyNumberFormat="1">
      <alignment horizontal="right" readingOrder="0" shrinkToFit="0" vertical="bottom" wrapText="1"/>
    </xf>
    <xf borderId="0" fillId="45" fontId="3" numFmtId="0" xfId="0" applyAlignment="1" applyFill="1" applyFont="1">
      <alignment shrinkToFit="0" vertical="bottom" wrapText="0"/>
    </xf>
    <xf borderId="0" fillId="45" fontId="8" numFmtId="0" xfId="0" applyAlignment="1" applyFill="1" applyFont="1">
      <alignment vertical="bottom"/>
    </xf>
    <xf borderId="0" fillId="43" fontId="3" numFmtId="0" xfId="0" applyAlignment="1" applyFill="1" applyFont="1">
      <alignment shrinkToFit="0" vertical="bottom" wrapText="0"/>
    </xf>
    <xf borderId="0" fillId="21" fontId="3" numFmtId="166" xfId="0" applyAlignment="1" applyFill="1" applyFont="1" applyNumberFormat="1">
      <alignment readingOrder="0" vertical="bottom"/>
    </xf>
    <xf borderId="0" fillId="7" fontId="3" numFmtId="166" xfId="0" applyAlignment="1" applyFill="1" applyFont="1" applyNumberFormat="1">
      <alignment readingOrder="0" vertical="bottom"/>
    </xf>
    <xf borderId="0" fillId="7" fontId="43" numFmtId="0" xfId="0" applyAlignment="1" applyFill="1" applyFont="1">
      <alignment vertical="bottom"/>
    </xf>
    <xf borderId="0" fillId="9" fontId="3" numFmtId="0" xfId="0" applyAlignment="1" applyFill="1" applyFont="1">
      <alignment shrinkToFit="0" vertical="bottom" wrapText="0"/>
    </xf>
    <xf borderId="0" fillId="4" fontId="3" numFmtId="166" xfId="0" applyAlignment="1" applyFill="1" applyFont="1" applyNumberFormat="1">
      <alignment readingOrder="0" vertical="bottom"/>
    </xf>
    <xf borderId="0" fillId="9" fontId="3" numFmtId="0" xfId="0" applyAlignment="1" applyFill="1" applyFont="1">
      <alignment shrinkToFit="0" vertical="bottom" wrapText="0"/>
    </xf>
    <xf borderId="0" fillId="15" fontId="3" numFmtId="166" xfId="0" applyAlignment="1" applyFill="1" applyFont="1" applyNumberFormat="1">
      <alignment readingOrder="0" vertical="bottom"/>
    </xf>
    <xf borderId="0" fillId="46" fontId="3" numFmtId="166" xfId="0" applyAlignment="1" applyFill="1" applyFont="1" applyNumberFormat="1">
      <alignment readingOrder="0" vertical="bottom"/>
    </xf>
    <xf borderId="0" fillId="4" fontId="3" numFmtId="0" xfId="0" applyAlignment="1" applyFill="1" applyFont="1">
      <alignment readingOrder="0" vertical="bottom"/>
    </xf>
    <xf borderId="0" fillId="7" fontId="3" numFmtId="0" xfId="0" applyAlignment="1" applyFill="1" applyFont="1">
      <alignment horizontal="right" readingOrder="0" vertical="bottom"/>
    </xf>
    <xf borderId="0" fillId="7" fontId="3" numFmtId="0" xfId="0" applyAlignment="1" applyFill="1" applyFont="1">
      <alignment readingOrder="0" vertical="bottom"/>
    </xf>
    <xf borderId="0" fillId="7" fontId="3" numFmtId="0" xfId="0" applyAlignment="1" applyFill="1" applyFont="1">
      <alignment readingOrder="0" shrinkToFit="0" vertical="bottom" wrapText="0"/>
    </xf>
    <xf borderId="0" fillId="21" fontId="3" numFmtId="1" xfId="0" applyAlignment="1" applyFill="1" applyFont="1" applyNumberFormat="1">
      <alignment horizontal="center" vertical="bottom"/>
    </xf>
    <xf borderId="0" fillId="6" fontId="3" numFmtId="166" xfId="0" applyAlignment="1" applyFill="1" applyFont="1" applyNumberFormat="1">
      <alignment readingOrder="0" vertical="bottom"/>
    </xf>
    <xf borderId="0" fillId="6" fontId="3" numFmtId="0" xfId="0" applyAlignment="1" applyFill="1" applyFont="1">
      <alignment vertical="bottom"/>
    </xf>
    <xf borderId="0" fillId="6" fontId="3" numFmtId="0" xfId="0" applyAlignment="1" applyFill="1" applyFont="1">
      <alignment horizontal="right" vertical="bottom"/>
    </xf>
    <xf borderId="0" fillId="6" fontId="3" numFmtId="0" xfId="0" applyAlignment="1" applyFill="1" applyFont="1">
      <alignment shrinkToFit="0" vertical="bottom" wrapText="0"/>
    </xf>
    <xf borderId="0" fillId="8" fontId="3" numFmtId="0" xfId="0" applyAlignment="1" applyFill="1" applyFont="1">
      <alignment horizontal="left" readingOrder="0" vertical="bottom"/>
    </xf>
    <xf borderId="0" fillId="8" fontId="1" numFmtId="166" xfId="0" applyAlignment="1" applyFill="1" applyFont="1" applyNumberFormat="1">
      <alignment readingOrder="0"/>
    </xf>
    <xf borderId="0" fillId="8" fontId="1" numFmtId="0" xfId="0" applyAlignment="1" applyFill="1" applyFont="1">
      <alignment readingOrder="0" shrinkToFit="0" wrapText="0"/>
    </xf>
    <xf borderId="0" fillId="17" fontId="2" numFmtId="173" xfId="0" applyAlignment="1" applyFill="1" applyFont="1" applyNumberFormat="1">
      <alignment horizontal="center" readingOrder="0"/>
    </xf>
    <xf borderId="0" fillId="6" fontId="8" numFmtId="0" xfId="0" applyAlignment="1" applyFill="1" applyFont="1">
      <alignment readingOrder="0" vertical="bottom"/>
    </xf>
    <xf borderId="0" fillId="21" fontId="1" numFmtId="166" xfId="0" applyAlignment="1" applyFill="1" applyFont="1" applyNumberFormat="1">
      <alignment readingOrder="0"/>
    </xf>
    <xf borderId="0" fillId="21" fontId="3" numFmtId="0" xfId="0" applyAlignment="1" applyFill="1" applyFont="1">
      <alignment readingOrder="0" vertical="bottom"/>
    </xf>
    <xf borderId="0" fillId="21" fontId="1" numFmtId="0" xfId="0" applyAlignment="1" applyFill="1" applyFont="1">
      <alignment readingOrder="0"/>
    </xf>
    <xf borderId="0" fillId="21" fontId="1" numFmtId="0" xfId="0" applyAlignment="1" applyFill="1" applyFont="1">
      <alignment horizontal="right" readingOrder="0"/>
    </xf>
    <xf borderId="0" fillId="9" fontId="1" numFmtId="0" xfId="0" applyAlignment="1" applyFill="1" applyFont="1">
      <alignment readingOrder="0"/>
    </xf>
    <xf borderId="0" fillId="9" fontId="1" numFmtId="0" xfId="0" applyAlignment="1" applyFill="1" applyFont="1">
      <alignment readingOrder="0" shrinkToFit="0" wrapText="0"/>
    </xf>
    <xf borderId="0" fillId="8" fontId="1" numFmtId="166" xfId="0" applyAlignment="1" applyFill="1" applyFont="1" applyNumberFormat="1">
      <alignment readingOrder="0" shrinkToFit="0" wrapText="1"/>
    </xf>
    <xf borderId="0" fillId="8" fontId="3" numFmtId="0" xfId="0" applyAlignment="1" applyFill="1" applyFont="1">
      <alignment vertical="top"/>
    </xf>
    <xf borderId="0" fillId="8" fontId="7" numFmtId="0" xfId="0" applyAlignment="1" applyFill="1" applyFont="1">
      <alignment shrinkToFit="0" vertical="bottom" wrapText="0"/>
    </xf>
    <xf borderId="0" fillId="12" fontId="3" numFmtId="1" xfId="0" applyAlignment="1" applyFill="1" applyFont="1" applyNumberFormat="1">
      <alignment horizontal="center" vertical="bottom"/>
    </xf>
    <xf borderId="0" fillId="12" fontId="1" numFmtId="166" xfId="0" applyAlignment="1" applyFill="1" applyFont="1" applyNumberFormat="1">
      <alignment readingOrder="0"/>
    </xf>
    <xf borderId="0" fillId="47" fontId="3" numFmtId="166" xfId="0" applyAlignment="1" applyFill="1" applyFont="1" applyNumberFormat="1">
      <alignment readingOrder="0" vertical="bottom"/>
    </xf>
    <xf borderId="0" fillId="47" fontId="1" numFmtId="166" xfId="0" applyFill="1" applyFont="1" applyNumberFormat="1"/>
    <xf borderId="0" fillId="47" fontId="1" numFmtId="0" xfId="0" applyAlignment="1" applyFill="1" applyFont="1">
      <alignment readingOrder="0"/>
    </xf>
    <xf borderId="0" fillId="47" fontId="1" numFmtId="0" xfId="0" applyAlignment="1" applyFill="1" applyFont="1">
      <alignment horizontal="right" readingOrder="0"/>
    </xf>
    <xf borderId="0" fillId="47" fontId="1" numFmtId="0" xfId="0" applyFill="1" applyFont="1"/>
    <xf borderId="0" fillId="47" fontId="1" numFmtId="0" xfId="0" applyAlignment="1" applyFill="1" applyFont="1">
      <alignment readingOrder="0" shrinkToFit="0" wrapText="0"/>
    </xf>
    <xf borderId="0" fillId="47" fontId="12" numFmtId="0" xfId="0" applyAlignment="1" applyFill="1" applyFont="1">
      <alignment horizontal="left" readingOrder="0" shrinkToFit="0" wrapText="0"/>
    </xf>
    <xf borderId="0" fillId="0" fontId="1" numFmtId="166" xfId="0" applyAlignment="1" applyFont="1" applyNumberFormat="1">
      <alignment readingOrder="0" shrinkToFit="0" wrapText="1"/>
    </xf>
    <xf borderId="0" fillId="17" fontId="4" numFmtId="14" xfId="0" applyAlignment="1" applyFill="1" applyFont="1" applyNumberFormat="1">
      <alignment horizontal="center" readingOrder="0"/>
    </xf>
    <xf borderId="0" fillId="8" fontId="40" numFmtId="1" xfId="0" applyAlignment="1" applyFill="1" applyFont="1" applyNumberFormat="1">
      <alignment horizontal="center" vertical="bottom"/>
    </xf>
    <xf borderId="0" fillId="0" fontId="37" numFmtId="166" xfId="0" applyFont="1" applyNumberFormat="1"/>
    <xf borderId="0" fillId="12" fontId="40" numFmtId="166" xfId="0" applyAlignment="1" applyFill="1" applyFont="1" applyNumberFormat="1">
      <alignment readingOrder="0" vertical="bottom"/>
    </xf>
    <xf borderId="0" fillId="12" fontId="37" numFmtId="0" xfId="0" applyAlignment="1" applyFill="1" applyFont="1">
      <alignment readingOrder="0"/>
    </xf>
    <xf borderId="0" fillId="12" fontId="37" numFmtId="0" xfId="0" applyAlignment="1" applyFill="1" applyFont="1">
      <alignment readingOrder="0" shrinkToFit="0" wrapText="0"/>
    </xf>
    <xf borderId="0" fillId="7" fontId="19" numFmtId="0" xfId="0" applyAlignment="1" applyFill="1" applyFont="1">
      <alignment horizontal="left" readingOrder="0"/>
    </xf>
    <xf borderId="0" fillId="47" fontId="3" numFmtId="0" xfId="0" applyAlignment="1" applyFill="1" applyFont="1">
      <alignment readingOrder="0" vertical="bottom"/>
    </xf>
    <xf borderId="0" fillId="47" fontId="19" numFmtId="0" xfId="0" applyAlignment="1" applyFill="1" applyFont="1">
      <alignment horizontal="left" readingOrder="0" shrinkToFit="0" wrapText="0"/>
    </xf>
    <xf borderId="0" fillId="8" fontId="4" numFmtId="0" xfId="0" applyAlignment="1" applyFill="1" applyFont="1">
      <alignment readingOrder="0"/>
    </xf>
    <xf borderId="10" fillId="8" fontId="1" numFmtId="0" xfId="0" applyAlignment="1" applyBorder="1" applyFill="1" applyFont="1">
      <alignment horizontal="left" vertical="center"/>
    </xf>
    <xf borderId="0" fillId="17" fontId="4" numFmtId="164" xfId="0" applyAlignment="1" applyFill="1" applyFont="1" applyNumberFormat="1">
      <alignment horizontal="center" readingOrder="0"/>
    </xf>
    <xf borderId="0" fillId="8" fontId="37" numFmtId="0" xfId="0" applyFill="1" applyFont="1"/>
    <xf borderId="0" fillId="8" fontId="37" numFmtId="166" xfId="0" applyFill="1" applyFont="1" applyNumberFormat="1"/>
    <xf borderId="0" fillId="8" fontId="40" numFmtId="166" xfId="0" applyAlignment="1" applyFill="1" applyFont="1" applyNumberFormat="1">
      <alignment readingOrder="0" vertical="bottom"/>
    </xf>
    <xf borderId="0" fillId="8" fontId="37" numFmtId="0" xfId="0" applyAlignment="1" applyFill="1" applyFont="1">
      <alignment readingOrder="0"/>
    </xf>
    <xf borderId="0" fillId="8" fontId="37" numFmtId="0" xfId="0" applyAlignment="1" applyFill="1" applyFont="1">
      <alignment readingOrder="0" shrinkToFit="0" wrapText="0"/>
    </xf>
    <xf borderId="0" fillId="8" fontId="1" numFmtId="0" xfId="0" applyAlignment="1" applyFill="1" applyFont="1">
      <alignment horizontal="center"/>
    </xf>
    <xf borderId="0" fillId="8" fontId="4" numFmtId="14" xfId="0" applyAlignment="1" applyFill="1" applyFont="1" applyNumberFormat="1">
      <alignment horizontal="center" readingOrder="0"/>
    </xf>
    <xf borderId="0" fillId="12" fontId="1" numFmtId="0" xfId="0" applyAlignment="1" applyFill="1" applyFont="1">
      <alignment readingOrder="0" shrinkToFit="0" wrapText="0"/>
    </xf>
    <xf borderId="0" fillId="12" fontId="12" numFmtId="0" xfId="0" applyAlignment="1" applyFill="1" applyFont="1">
      <alignment horizontal="left" readingOrder="0"/>
    </xf>
    <xf borderId="0" fillId="12" fontId="1" numFmtId="0" xfId="0" applyAlignment="1" applyFill="1" applyFont="1">
      <alignment horizontal="center"/>
    </xf>
    <xf borderId="0" fillId="12" fontId="17" numFmtId="0" xfId="0" applyAlignment="1" applyFill="1" applyFont="1">
      <alignment horizontal="center"/>
    </xf>
    <xf borderId="3" fillId="12" fontId="3" numFmtId="0" xfId="0" applyAlignment="1" applyBorder="1" applyFill="1" applyFont="1">
      <alignment horizontal="center" vertical="bottom"/>
    </xf>
    <xf borderId="0" fillId="12" fontId="3" numFmtId="0" xfId="0" applyAlignment="1" applyFill="1" applyFont="1">
      <alignment horizontal="center" vertical="bottom"/>
    </xf>
    <xf borderId="9" fillId="12" fontId="3" numFmtId="0" xfId="0" applyAlignment="1" applyBorder="1" applyFill="1" applyFont="1">
      <alignment horizontal="center" vertical="bottom"/>
    </xf>
    <xf borderId="10" fillId="12" fontId="3" numFmtId="0" xfId="0" applyAlignment="1" applyBorder="1" applyFill="1" applyFont="1">
      <alignment horizontal="center" vertical="bottom"/>
    </xf>
    <xf borderId="0" fillId="12" fontId="4" numFmtId="14" xfId="0" applyAlignment="1" applyFill="1" applyFont="1" applyNumberFormat="1">
      <alignment horizontal="center" readingOrder="0"/>
    </xf>
    <xf borderId="0" fillId="34" fontId="1" numFmtId="0" xfId="0" applyFill="1" applyFont="1"/>
    <xf borderId="0" fillId="41" fontId="1" numFmtId="0" xfId="0" applyFill="1" applyFont="1"/>
    <xf borderId="0" fillId="8" fontId="1" numFmtId="166" xfId="0" applyFill="1" applyFont="1" applyNumberFormat="1"/>
    <xf borderId="0" fillId="47" fontId="15" numFmtId="0" xfId="0" applyAlignment="1" applyFill="1" applyFont="1">
      <alignment horizontal="left" readingOrder="0" shrinkToFit="0" wrapText="0"/>
    </xf>
    <xf borderId="0" fillId="21" fontId="1" numFmtId="0" xfId="0" applyAlignment="1" applyFill="1" applyFont="1">
      <alignment readingOrder="0" shrinkToFit="0" wrapText="1"/>
    </xf>
    <xf borderId="0" fillId="8" fontId="1" numFmtId="165" xfId="0" applyAlignment="1" applyFill="1" applyFont="1" applyNumberFormat="1">
      <alignment readingOrder="0"/>
    </xf>
    <xf borderId="0" fillId="36" fontId="1" numFmtId="0" xfId="0" applyFill="1" applyFont="1"/>
    <xf borderId="0" fillId="2" fontId="1" numFmtId="166" xfId="0" applyFill="1" applyFont="1" applyNumberFormat="1"/>
    <xf borderId="0" fillId="2" fontId="1" numFmtId="0" xfId="0" applyAlignment="1" applyFill="1" applyFont="1">
      <alignment readingOrder="0"/>
    </xf>
    <xf borderId="0" fillId="2" fontId="1" numFmtId="0" xfId="0" applyAlignment="1" applyFill="1" applyFont="1">
      <alignment horizontal="right" readingOrder="0"/>
    </xf>
    <xf borderId="0" fillId="2" fontId="1" numFmtId="0" xfId="0" applyFill="1" applyFont="1"/>
    <xf borderId="0" fillId="2" fontId="1" numFmtId="0" xfId="0" applyAlignment="1" applyFill="1" applyFont="1">
      <alignment shrinkToFit="0" wrapText="0"/>
    </xf>
    <xf borderId="0" fillId="2" fontId="44" numFmtId="0" xfId="0" applyAlignment="1" applyFill="1" applyFont="1">
      <alignment horizontal="left" readingOrder="0"/>
    </xf>
    <xf borderId="0" fillId="8" fontId="13" numFmtId="166" xfId="0" applyAlignment="1" applyFill="1" applyFont="1" applyNumberFormat="1">
      <alignment readingOrder="0" shrinkToFit="0" wrapText="1"/>
    </xf>
    <xf borderId="0" fillId="9" fontId="1" numFmtId="166" xfId="0" applyAlignment="1" applyFill="1" applyFont="1" applyNumberFormat="1">
      <alignment readingOrder="0"/>
    </xf>
    <xf borderId="0" fillId="9" fontId="3" numFmtId="0" xfId="0" applyAlignment="1" applyFill="1" applyFont="1">
      <alignment readingOrder="0" vertical="bottom"/>
    </xf>
    <xf borderId="0" fillId="7" fontId="1" numFmtId="0" xfId="0" applyFill="1" applyFont="1"/>
    <xf borderId="0" fillId="7" fontId="3" numFmtId="1" xfId="0" applyAlignment="1" applyFill="1" applyFont="1" applyNumberFormat="1">
      <alignment horizontal="center" vertical="bottom"/>
    </xf>
    <xf borderId="0" fillId="7" fontId="1" numFmtId="166" xfId="0" applyAlignment="1" applyFill="1" applyFont="1" applyNumberFormat="1">
      <alignment readingOrder="0"/>
    </xf>
    <xf borderId="0" fillId="7" fontId="1" numFmtId="166" xfId="0" applyFill="1" applyFont="1" applyNumberFormat="1"/>
    <xf borderId="0" fillId="7" fontId="1" numFmtId="0" xfId="0" applyAlignment="1" applyFill="1" applyFont="1">
      <alignment readingOrder="0"/>
    </xf>
    <xf borderId="0" fillId="7" fontId="1" numFmtId="0" xfId="0" applyAlignment="1" applyFill="1" applyFont="1">
      <alignment readingOrder="0" shrinkToFit="0" wrapText="0"/>
    </xf>
    <xf borderId="0" fillId="7" fontId="1" numFmtId="0" xfId="0" applyAlignment="1" applyFill="1" applyFont="1">
      <alignment horizontal="center"/>
    </xf>
    <xf borderId="0" fillId="7" fontId="17" numFmtId="0" xfId="0" applyAlignment="1" applyFill="1" applyFont="1">
      <alignment horizontal="center"/>
    </xf>
    <xf borderId="3" fillId="7" fontId="3" numFmtId="0" xfId="0" applyAlignment="1" applyBorder="1" applyFill="1" applyFont="1">
      <alignment horizontal="center" vertical="bottom"/>
    </xf>
    <xf borderId="0" fillId="7" fontId="3" numFmtId="0" xfId="0" applyAlignment="1" applyFill="1" applyFont="1">
      <alignment horizontal="center" vertical="bottom"/>
    </xf>
    <xf borderId="0" fillId="7" fontId="1" numFmtId="0" xfId="0" applyAlignment="1" applyFill="1" applyFont="1">
      <alignment horizontal="right"/>
    </xf>
    <xf borderId="0" fillId="7" fontId="3" numFmtId="0" xfId="0" applyAlignment="1" applyFill="1" applyFont="1">
      <alignment horizontal="right" vertical="top"/>
    </xf>
    <xf borderId="0" fillId="7" fontId="3" numFmtId="0" xfId="0" applyAlignment="1" applyFill="1" applyFont="1">
      <alignment horizontal="right" readingOrder="0" vertical="top"/>
    </xf>
    <xf borderId="9" fillId="7" fontId="3" numFmtId="0" xfId="0" applyAlignment="1" applyBorder="1" applyFill="1" applyFont="1">
      <alignment horizontal="center" vertical="bottom"/>
    </xf>
    <xf borderId="10" fillId="7" fontId="3" numFmtId="0" xfId="0" applyAlignment="1" applyBorder="1" applyFill="1" applyFont="1">
      <alignment horizontal="center" vertical="bottom"/>
    </xf>
    <xf borderId="0" fillId="7" fontId="4" numFmtId="14" xfId="0" applyAlignment="1" applyFill="1" applyFont="1" applyNumberFormat="1">
      <alignment horizontal="center" readingOrder="0"/>
    </xf>
    <xf borderId="0" fillId="4" fontId="1" numFmtId="166" xfId="0" applyAlignment="1" applyFill="1" applyFont="1" applyNumberFormat="1">
      <alignment readingOrder="0"/>
    </xf>
    <xf borderId="0" fillId="2" fontId="1" numFmtId="0" xfId="0" applyAlignment="1" applyFill="1" applyFont="1">
      <alignment readingOrder="0" shrinkToFit="0" wrapText="0"/>
    </xf>
    <xf borderId="0" fillId="8" fontId="17" numFmtId="0" xfId="0" applyAlignment="1" applyFill="1" applyFont="1">
      <alignment horizontal="left" readingOrder="0"/>
    </xf>
    <xf borderId="0" fillId="2" fontId="15" numFmtId="0" xfId="0" applyAlignment="1" applyFill="1" applyFont="1">
      <alignment horizontal="left" readingOrder="0"/>
    </xf>
    <xf borderId="0" fillId="16" fontId="1" numFmtId="166" xfId="0" applyFill="1" applyFont="1" applyNumberFormat="1"/>
    <xf borderId="0" fillId="16" fontId="1" numFmtId="0" xfId="0" applyAlignment="1" applyFill="1" applyFont="1">
      <alignment readingOrder="0"/>
    </xf>
    <xf borderId="0" fillId="16" fontId="1" numFmtId="0" xfId="0" applyFill="1" applyFont="1"/>
    <xf borderId="0" fillId="16" fontId="1" numFmtId="0" xfId="0" applyAlignment="1" applyFill="1" applyFont="1">
      <alignment readingOrder="0" shrinkToFit="0" wrapText="0"/>
    </xf>
    <xf borderId="0" fillId="16" fontId="19" numFmtId="0" xfId="0" applyAlignment="1" applyFill="1" applyFont="1">
      <alignment horizontal="left" readingOrder="0"/>
    </xf>
    <xf borderId="0" fillId="16" fontId="12" numFmtId="0" xfId="0" applyAlignment="1" applyFill="1" applyFont="1">
      <alignment horizontal="left" readingOrder="0"/>
    </xf>
    <xf borderId="0" fillId="46" fontId="3" numFmtId="0" xfId="0" applyAlignment="1" applyFill="1" applyFont="1">
      <alignment readingOrder="0" vertical="bottom"/>
    </xf>
    <xf borderId="0" fillId="46" fontId="1" numFmtId="166" xfId="0" applyAlignment="1" applyFill="1" applyFont="1" applyNumberFormat="1">
      <alignment readingOrder="0"/>
    </xf>
    <xf borderId="0" fillId="21" fontId="4" numFmtId="0" xfId="0" applyAlignment="1" applyFill="1" applyFont="1">
      <alignment readingOrder="0" shrinkToFit="0" wrapText="1"/>
    </xf>
    <xf borderId="0" fillId="17" fontId="4" numFmtId="0" xfId="0" applyAlignment="1" applyFill="1" applyFont="1">
      <alignment horizontal="center"/>
    </xf>
    <xf borderId="24" fillId="0" fontId="3" numFmtId="0" xfId="0" applyAlignment="1" applyBorder="1" applyFont="1">
      <alignment horizontal="center" vertical="bottom"/>
    </xf>
    <xf borderId="2" fillId="0" fontId="3" numFmtId="0" xfId="0" applyAlignment="1" applyBorder="1" applyFont="1">
      <alignment horizontal="center" vertical="bottom"/>
    </xf>
    <xf borderId="25" fillId="0" fontId="3" numFmtId="0" xfId="0" applyAlignment="1" applyBorder="1" applyFont="1">
      <alignment horizontal="center" vertical="bottom"/>
    </xf>
  </cellXfs>
  <cellStyles count="1">
    <cellStyle xfId="0" name="Normal" builtinId="0"/>
  </cellStyles>
  <dxfs count="4">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FF0000"/>
          <bgColor rgb="FFFF0000"/>
        </patternFill>
      </fill>
      <border/>
    </dxf>
  </dxfs>
  <tableStyles count="1">
    <tableStyle count="2" pivot="0" name="4.Tái tục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E154" displayName="Table_1" name="Table_1" id="1">
  <tableColumns count="4">
    <tableColumn name="Column1" id="1"/>
    <tableColumn name="Column2" id="2"/>
    <tableColumn name="Column3" id="3"/>
    <tableColumn name="Column4" id="4"/>
  </tableColumns>
  <tableStyleInfo name="4.Tái tục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90" Type="http://schemas.openxmlformats.org/officeDocument/2006/relationships/hyperlink" Target="https://docs.google.com/spreadsheets/d/1zwhGVZxwAdcfffeMBkhoQzR27_E2oBLN5PpvSF5RMCY/edit?gid=1943992207" TargetMode="External"/><Relationship Id="rId194" Type="http://schemas.openxmlformats.org/officeDocument/2006/relationships/hyperlink" Target="https://docs.google.com/spreadsheets/d/1exWec74BWt0md2zSN3Mm8E39w5tEmgPReAj6zB7IvuU/edit?gid=330376571" TargetMode="External"/><Relationship Id="rId193" Type="http://schemas.openxmlformats.org/officeDocument/2006/relationships/hyperlink" Target="https://docs.google.com/spreadsheets/d/1jaQ6eQBPAm4cRVaxQZYTOpE8HzO4lH0UHzL2nJxVj60/edit?gid=1943992207" TargetMode="External"/><Relationship Id="rId192" Type="http://schemas.openxmlformats.org/officeDocument/2006/relationships/hyperlink" Target="https://docs.google.com/spreadsheets/d/1kSVkxVhf8Ou65ZRCqhMbIvmA_CoguiOf6KE_tjD0CBg/edit?gid=1943992207" TargetMode="External"/><Relationship Id="rId191" Type="http://schemas.openxmlformats.org/officeDocument/2006/relationships/hyperlink" Target="https://docs.google.com/spreadsheets/d/1Q2_e7oHvXfMmhDHrEbq6jkGPEBSP3O6HJlCJPtRfhXk/edit?gid=1943992207" TargetMode="External"/><Relationship Id="rId187" Type="http://schemas.openxmlformats.org/officeDocument/2006/relationships/hyperlink" Target="https://docs.google.com/spreadsheets/d/1VxtV8dd6sRJ8Oi9cH2sWRmhg0DtMrU8dBX9DcL6vtlY/edit?gid=1943992207" TargetMode="External"/><Relationship Id="rId186" Type="http://schemas.openxmlformats.org/officeDocument/2006/relationships/hyperlink" Target="https://docs.google.com/spreadsheets/d/1WwVHIfYBf4twqNqPzsS2uoMMGmX7l7-Grk47JRDgvpk/edit?gid=1943992207" TargetMode="External"/><Relationship Id="rId185" Type="http://schemas.openxmlformats.org/officeDocument/2006/relationships/hyperlink" Target="https://docs.google.com/spreadsheets/d/1fDQH2vwRVCDkGMogZ1_6uMr0_7qfcJK_Uqw-SqYDHmY/edit?gid=1797527216" TargetMode="External"/><Relationship Id="rId184" Type="http://schemas.openxmlformats.org/officeDocument/2006/relationships/hyperlink" Target="https://docs.google.com/spreadsheets/d/1D8Suan0m1VYLZbJmu1lpZyHbIcaj3gBQhI6b7fSk7YM/edit?gid=1943992207" TargetMode="External"/><Relationship Id="rId189" Type="http://schemas.openxmlformats.org/officeDocument/2006/relationships/hyperlink" Target="https://docs.google.com/spreadsheets/d/1cto13ioaAaaChq-MLZspzUz-sicAIzmjCmozNrJSaWk/edit?gid=1943992207" TargetMode="External"/><Relationship Id="rId188" Type="http://schemas.openxmlformats.org/officeDocument/2006/relationships/hyperlink" Target="https://docs.google.com/spreadsheets/d/1dRvrVmPkM8o2k4VhhoMruZtyoRUBDI-DCJnMbP1EE84/edit?gid=1943992207" TargetMode="External"/><Relationship Id="rId183" Type="http://schemas.openxmlformats.org/officeDocument/2006/relationships/hyperlink" Target="https://docs.google.com/spreadsheets/d/1DlYVIVmGoc2-gcFq9Weiex3e4GdIzOlxdXE3FPGoGjE/edit?gid=1943992207" TargetMode="External"/><Relationship Id="rId182" Type="http://schemas.openxmlformats.org/officeDocument/2006/relationships/hyperlink" Target="https://docs.google.com/spreadsheets/d/1ZN9SLRhauAdHT4E1oyGqDIsPbowA5-LDE77THkviydI/edit?gid=1943992207" TargetMode="External"/><Relationship Id="rId181" Type="http://schemas.openxmlformats.org/officeDocument/2006/relationships/hyperlink" Target="https://docs.google.com/spreadsheets/d/1TazUxGcsh9aZ5PQ84Jg7QR__nj25DFY-87ZEzjZMLhw/edit?gid=1943992207" TargetMode="External"/><Relationship Id="rId180" Type="http://schemas.openxmlformats.org/officeDocument/2006/relationships/hyperlink" Target="https://docs.google.com/spreadsheets/d/1mAyOpzxzhGgV5cG-U9iNsL4OrVbbXNDAO9Dht1aiQHg/edit?gid=1943992207" TargetMode="External"/><Relationship Id="rId176" Type="http://schemas.openxmlformats.org/officeDocument/2006/relationships/hyperlink" Target="https://docs.google.com/spreadsheets/d/1DbDUelQUw1CTqTgm2e7BG8MkObZK8FBDh9PSKL6xTKM/edit?gid=1943992207" TargetMode="External"/><Relationship Id="rId297" Type="http://schemas.openxmlformats.org/officeDocument/2006/relationships/hyperlink" Target="https://docs.google.com/spreadsheets/d/1vSgu-rmu_1QHP1NaN4Aq3nAM5gemAcu7Z1fhJeNieVo/edit?gid=1943992207" TargetMode="External"/><Relationship Id="rId175" Type="http://schemas.openxmlformats.org/officeDocument/2006/relationships/hyperlink" Target="https://docs.google.com/spreadsheets/d/1_dlLPU-aeXhg-wRxkHEkjCdBSVmhxpCMmUtgGiuGMCw/edit?gid=1943992207" TargetMode="External"/><Relationship Id="rId296" Type="http://schemas.openxmlformats.org/officeDocument/2006/relationships/hyperlink" Target="https://docs.google.com/spreadsheets/d/1X2a_ScMJpDSL3AvIPQixe82qiekFwI2nskqPsgzbkdE/edit?gid=1943992207" TargetMode="External"/><Relationship Id="rId174" Type="http://schemas.openxmlformats.org/officeDocument/2006/relationships/hyperlink" Target="https://docs.google.com/spreadsheets/d/1jaUZCRx1d3nYLYhgv24ka73lmxMmP3b-Cs4fzUskWf0/edit?gid=1943992207" TargetMode="External"/><Relationship Id="rId295" Type="http://schemas.openxmlformats.org/officeDocument/2006/relationships/hyperlink" Target="https://docs.google.com/spreadsheets/d/1Qe4UHBqcvaEHgmvKKNRw9pprJhfwIO6b_D6wR-RvEWk/edit?gid=1943992207" TargetMode="External"/><Relationship Id="rId173" Type="http://schemas.openxmlformats.org/officeDocument/2006/relationships/hyperlink" Target="https://docs.google.com/spreadsheets/d/1qTOgiklDperZnH4kV5TWmL7ryaqLnEqh6R7L-MnAKkk/edit?gid=1943992207" TargetMode="External"/><Relationship Id="rId294" Type="http://schemas.openxmlformats.org/officeDocument/2006/relationships/hyperlink" Target="https://docs.google.com/spreadsheets/d/1JziGI_9loUh1FjUUA8WaWQMwlrIZ98Cf68dJqdCLtNI/edit?gid=1943992207" TargetMode="External"/><Relationship Id="rId179" Type="http://schemas.openxmlformats.org/officeDocument/2006/relationships/hyperlink" Target="https://docs.google.com/spreadsheets/d/1U8uGOm4vP8EUdAj4-HngbxfoU-kEI9S_MPtQ1bs9MoM/edit?gid=1943992207" TargetMode="External"/><Relationship Id="rId178" Type="http://schemas.openxmlformats.org/officeDocument/2006/relationships/hyperlink" Target="https://docs.google.com/spreadsheets/d/1P-dsEMGypqbDv8FFsejOZmNsjno4Z_-a74_xMB5NK6Q/edit?gid=1943992207" TargetMode="External"/><Relationship Id="rId299" Type="http://schemas.openxmlformats.org/officeDocument/2006/relationships/hyperlink" Target="https://docs.google.com/spreadsheets/d/1VzIozw9FTk0SxOucq2MU32FnxhENcl2CI4wXOx3uz7g/edit?gid=1943992207" TargetMode="External"/><Relationship Id="rId177" Type="http://schemas.openxmlformats.org/officeDocument/2006/relationships/hyperlink" Target="https://docs.google.com/spreadsheets/d/1vSIWrLZZruDUQ7AFL-cUrGfBgfzumBjBFiVQRGHDm9w/edit?gid=1943992207" TargetMode="External"/><Relationship Id="rId298" Type="http://schemas.openxmlformats.org/officeDocument/2006/relationships/hyperlink" Target="https://docs.google.com/spreadsheets/d/11DhVgdqTs2Yl0bP-XkbqHlo7kbnH91mamLlxEIx5zzk/edit?gid=1943992207" TargetMode="External"/><Relationship Id="rId198" Type="http://schemas.openxmlformats.org/officeDocument/2006/relationships/hyperlink" Target="https://docs.google.com/spreadsheets/d/1fV_1tCrTpWOCf7743HDZ1dUx0mAcRw30Q8PRlfVwfmc/edit?gid=1943992207" TargetMode="External"/><Relationship Id="rId197" Type="http://schemas.openxmlformats.org/officeDocument/2006/relationships/hyperlink" Target="https://docs.google.com/spreadsheets/d/1bWNmhQQ_UCoyrKkKtqjpE_EoTIKNeB3sDh11ODSM7b0/edit?gid=338745032" TargetMode="External"/><Relationship Id="rId196" Type="http://schemas.openxmlformats.org/officeDocument/2006/relationships/hyperlink" Target="https://docs.google.com/spreadsheets/d/13RIxjQvQKp1I6PccMw9pJKOyfGudnbXRSje1ymk72wI/edit?gid=147423043" TargetMode="External"/><Relationship Id="rId195" Type="http://schemas.openxmlformats.org/officeDocument/2006/relationships/hyperlink" Target="https://docs.google.com/spreadsheets/d/1KodCDzkJEad13y9OLw2LGVRED14GfEu9oQotkyG-9ps/edit?gid=1943992207" TargetMode="External"/><Relationship Id="rId199" Type="http://schemas.openxmlformats.org/officeDocument/2006/relationships/hyperlink" Target="https://docs.google.com/spreadsheets/d/10vw6p3rF5F0yHMOIMghHlztjbpVmKfeyGvivaH7_BjQ/edit?gid=1943992207" TargetMode="External"/><Relationship Id="rId150" Type="http://schemas.openxmlformats.org/officeDocument/2006/relationships/hyperlink" Target="https://docs.google.com/spreadsheets/d/1vrmUuWDJq5KLTE0y0nkKrAUI7BnBO6hgElmVBR5Wiqw/edit?gid=1943992207" TargetMode="External"/><Relationship Id="rId271" Type="http://schemas.openxmlformats.org/officeDocument/2006/relationships/hyperlink" Target="https://docs.google.com/spreadsheets/d/1vJteOr2St_UJgkk0yLjkNcExkJ36x1PgFLRWFrSXn7M/edit?gid=1943992207" TargetMode="External"/><Relationship Id="rId392" Type="http://schemas.openxmlformats.org/officeDocument/2006/relationships/hyperlink" Target="https://docs.google.com/spreadsheets/d/1A0dtwJviEZApPw9fOg5-5ZnctCcS6giSFCRphYKShcQ/edit?gid=1943992207" TargetMode="External"/><Relationship Id="rId270" Type="http://schemas.openxmlformats.org/officeDocument/2006/relationships/hyperlink" Target="https://docs.google.com/spreadsheets/d/1kw4GvdhxD-N9rx6hIcy00nbBdlMo2kagS10djAVHVV0/edit?gid=1943992207" TargetMode="External"/><Relationship Id="rId391" Type="http://schemas.openxmlformats.org/officeDocument/2006/relationships/hyperlink" Target="https://docs.google.com/spreadsheets/d/1-0JUUGB5B04wF3UNx64Z98fgTpZ1In1pLGXKYaK_bEo/edit?gid=1943992207" TargetMode="External"/><Relationship Id="rId390" Type="http://schemas.openxmlformats.org/officeDocument/2006/relationships/hyperlink" Target="https://docs.google.com/spreadsheets/d/1Vf4zIXv-iW-gWV9FbbihHrcCYokwg2e_KiVvTAh72fA/edit?gid=1943992207" TargetMode="External"/><Relationship Id="rId1" Type="http://schemas.openxmlformats.org/officeDocument/2006/relationships/comments" Target="../comments2.xml"/><Relationship Id="rId2" Type="http://schemas.openxmlformats.org/officeDocument/2006/relationships/hyperlink" Target="https://docs.google.com/spreadsheets/d/1ntSrSbeji6OhA-EVvfrxgo3SWtuOxWDpdUtEqcWam0g/edit?gid=126777722" TargetMode="External"/><Relationship Id="rId3" Type="http://schemas.openxmlformats.org/officeDocument/2006/relationships/hyperlink" Target="https://docs.google.com/spreadsheets/d/1jOLqPDxndaGrIVpMTp6_vu7oO3Kwkx66dvJz_lt7yhQ/edit" TargetMode="External"/><Relationship Id="rId149" Type="http://schemas.openxmlformats.org/officeDocument/2006/relationships/hyperlink" Target="https://docs.google.com/spreadsheets/d/1hFA0tyLv76EYEj4zdtBraJcezlIW7BMFVXuUDZgE6x0/edit?gid=1943992207" TargetMode="External"/><Relationship Id="rId4" Type="http://schemas.openxmlformats.org/officeDocument/2006/relationships/hyperlink" Target="https://docs.google.com/spreadsheets/d/1-I_3IWQIpErMd8IeeZCKi4Gn4HGKEJbTjXfSdCW5w_k/edit?gid=730977002" TargetMode="External"/><Relationship Id="rId148" Type="http://schemas.openxmlformats.org/officeDocument/2006/relationships/hyperlink" Target="https://docs.google.com/spreadsheets/d/1XlaqOQvVQIbHFT3WEqGtV2O3TpVwY5dWN-AakXF8m9M/edit?gid=1943992207" TargetMode="External"/><Relationship Id="rId269" Type="http://schemas.openxmlformats.org/officeDocument/2006/relationships/hyperlink" Target="https://docs.google.com/spreadsheets/d/1sXabo-4tiOBjP3HROHnBwfsml6YYYESJSMuYDeFhYEw/edit?gid=427256529" TargetMode="External"/><Relationship Id="rId9" Type="http://schemas.openxmlformats.org/officeDocument/2006/relationships/hyperlink" Target="https://docs.google.com/spreadsheets/d/19QZWJ381fHLIisOmDj58F_yK7EOeCXckJRb10YKxTlU/edit?gid=1318300462" TargetMode="External"/><Relationship Id="rId143" Type="http://schemas.openxmlformats.org/officeDocument/2006/relationships/hyperlink" Target="https://docs.google.com/spreadsheets/d/1Saxld48V0oHT0jiIjO27a2RPOsE5jl2FLniRfN4Pz88/edit?gid=1943992207" TargetMode="External"/><Relationship Id="rId264" Type="http://schemas.openxmlformats.org/officeDocument/2006/relationships/hyperlink" Target="https://docs.google.com/spreadsheets/d/1otnZJqoJgvszDAP0O5SRj2sd1pWXb6zmJmFSbBX85NM/edit?gid=1943992207" TargetMode="External"/><Relationship Id="rId385" Type="http://schemas.openxmlformats.org/officeDocument/2006/relationships/hyperlink" Target="https://docs.google.com/spreadsheets/d/1z4UYgTgAinZ4qj1G_zhKmPiR5gFMCQ7L8PsSzLM0eZY/edit?gid=1943992207" TargetMode="External"/><Relationship Id="rId142" Type="http://schemas.openxmlformats.org/officeDocument/2006/relationships/hyperlink" Target="https://docs.google.com/spreadsheets/d/1dgXmOfv8OYh1neYg0VsF8O2nFqoofRiquSLXkPjNs0Q/edit?gid=1943992207" TargetMode="External"/><Relationship Id="rId263" Type="http://schemas.openxmlformats.org/officeDocument/2006/relationships/hyperlink" Target="https://docs.google.com/spreadsheets/d/1RoZ75rq7-DNN_KfZ5O4nUs20OJs62oUeKjPuJH4mVws/edit?gid=1775403308" TargetMode="External"/><Relationship Id="rId384" Type="http://schemas.openxmlformats.org/officeDocument/2006/relationships/hyperlink" Target="https://docs.google.com/spreadsheets/d/1zojVP5XymITbmr9YOZ0neISc9htjJtKTFbYX-3v40oc/edit?gid=1943992207" TargetMode="External"/><Relationship Id="rId141" Type="http://schemas.openxmlformats.org/officeDocument/2006/relationships/hyperlink" Target="https://docs.google.com/spreadsheets/d/1spd1B4BXmtFlxECXUmna_AYDGt7MbT_UfytU2ROoN5Q/edit?gid=1943992207" TargetMode="External"/><Relationship Id="rId262" Type="http://schemas.openxmlformats.org/officeDocument/2006/relationships/hyperlink" Target="https://docs.google.com/spreadsheets/d/1iA9ITLoiye2zUiBEWRBNWZIwCM7FDn1YXvGradtfvZw/edit?gid=1943992207" TargetMode="External"/><Relationship Id="rId383" Type="http://schemas.openxmlformats.org/officeDocument/2006/relationships/hyperlink" Target="https://docs.google.com/spreadsheets/d/1SUfvk1-AcDYZgq1fQRS80YqJgaT18uZ5TAjWodHlPH4/edit?gid=1943992207" TargetMode="External"/><Relationship Id="rId140" Type="http://schemas.openxmlformats.org/officeDocument/2006/relationships/hyperlink" Target="https://docs.google.com/spreadsheets/d/1NJC7h4Eyli1vxo4WtZJESvkjtUaza9Z-gH899uwaGGk/edit?gid=1943992207" TargetMode="External"/><Relationship Id="rId261" Type="http://schemas.openxmlformats.org/officeDocument/2006/relationships/hyperlink" Target="https://docs.google.com/spreadsheets/d/1fKlHPLbhRcRZcZ_2-dL0ZugZTi0uT50GbC1Km1avTZA/edit?gid=1943992207" TargetMode="External"/><Relationship Id="rId382" Type="http://schemas.openxmlformats.org/officeDocument/2006/relationships/hyperlink" Target="https://docs.google.com/spreadsheets/d/1r_4W8FYqn_WPbtRcB2XyyVQqddmRbV7vIFwJ_N4jZko/edit?gid=1943992207" TargetMode="External"/><Relationship Id="rId5" Type="http://schemas.openxmlformats.org/officeDocument/2006/relationships/hyperlink" Target="https://docs.google.com/spreadsheets/d/1pN4x0Fkr0_UdmEB09vWuxL2oXxzZOJOavYE9BHfi3cA/edit?gid=1943992207" TargetMode="External"/><Relationship Id="rId147" Type="http://schemas.openxmlformats.org/officeDocument/2006/relationships/hyperlink" Target="https://docs.google.com/spreadsheets/d/1dgu9IKFLZcp5420tDK_vIS0TH1hc5geOXww-WfezCLo/edit?gid=1943992207" TargetMode="External"/><Relationship Id="rId268" Type="http://schemas.openxmlformats.org/officeDocument/2006/relationships/hyperlink" Target="https://docs.google.com/spreadsheets/d/18mUFCUEKgR20SCWhwpDsRHM5-Npg8BqtGA5--9HWNC0/edit?gid=133706605" TargetMode="External"/><Relationship Id="rId389" Type="http://schemas.openxmlformats.org/officeDocument/2006/relationships/hyperlink" Target="https://docs.google.com/spreadsheets/d/1viLPyAghjbPEuWDXTIFfw2PhBvhaOQFZEM94nNqUyqQ/edit?gid=1943992207" TargetMode="External"/><Relationship Id="rId6" Type="http://schemas.openxmlformats.org/officeDocument/2006/relationships/hyperlink" Target="https://docs.google.com/spreadsheets/d/1FCU2HC5z4BokQVk-RFqvDeQBsD0jELvQRYbtDqMWeUA/edit?gid=1943992207" TargetMode="External"/><Relationship Id="rId146" Type="http://schemas.openxmlformats.org/officeDocument/2006/relationships/hyperlink" Target="https://docs.google.com/spreadsheets/d/1ve9WIfM-71CDL5viGY8MTo4TX-CUVhwM3_f19HRJG4o/edit?gid=1943992207" TargetMode="External"/><Relationship Id="rId267" Type="http://schemas.openxmlformats.org/officeDocument/2006/relationships/hyperlink" Target="https://docs.google.com/spreadsheets/d/1awJ2IEGxjG49HDmeT25eadg-n8fSgaQw_Q7dsdO2vw4/edit?gid=1943992207" TargetMode="External"/><Relationship Id="rId388" Type="http://schemas.openxmlformats.org/officeDocument/2006/relationships/hyperlink" Target="https://docs.google.com/spreadsheets/d/11qRAL_VdwIFVBu2pe_czhofBxX2cfqOPD3tUVCta5tE/edit?gid=1943992207" TargetMode="External"/><Relationship Id="rId7" Type="http://schemas.openxmlformats.org/officeDocument/2006/relationships/hyperlink" Target="https://docs.google.com/spreadsheets/d/1vOCgTQIlEbOEHGshQAUfz3HC9y1YP8ETt68lQoeH62E/edit?gid=1106309705" TargetMode="External"/><Relationship Id="rId145" Type="http://schemas.openxmlformats.org/officeDocument/2006/relationships/hyperlink" Target="https://docs.google.com/spreadsheets/d/10e-r-cpmaczic4NxKkDuJs4UiMXp8lWQ4fe6INUn8gA/edit?gid=1943992207" TargetMode="External"/><Relationship Id="rId266" Type="http://schemas.openxmlformats.org/officeDocument/2006/relationships/hyperlink" Target="https://docs.google.com/spreadsheets/d/16_0f1e3gxT3tJuTCRTu64FUsMoNpYJ0SD55cuctHwrk/edit?gid=1943992207" TargetMode="External"/><Relationship Id="rId387" Type="http://schemas.openxmlformats.org/officeDocument/2006/relationships/hyperlink" Target="https://docs.google.com/spreadsheets/d/1ziu-uL1ezKLYuAbJBPCJVL10nZecaaySRXiYP2ij7wg/edit?gid=1943992207" TargetMode="External"/><Relationship Id="rId8" Type="http://schemas.openxmlformats.org/officeDocument/2006/relationships/hyperlink" Target="https://docs.google.com/spreadsheets/d/1C966QnLNWiSiu5V6YnEh31Q1ZCEHG7NZDko6yCXHeHM/edit?gid=1943992207" TargetMode="External"/><Relationship Id="rId144" Type="http://schemas.openxmlformats.org/officeDocument/2006/relationships/hyperlink" Target="https://docs.google.com/spreadsheets/d/17akiW3KXAS3Xa0ZfAbfThl6IN0vbd961DhEb0dyiRSU/edit?gid=1943992207" TargetMode="External"/><Relationship Id="rId265" Type="http://schemas.openxmlformats.org/officeDocument/2006/relationships/hyperlink" Target="https://docs.google.com/spreadsheets/d/1Amr8ayJzi76nZBo__B7VXARFbmPkBM9LuxaUIl7FzCA/edit?gid=489149914" TargetMode="External"/><Relationship Id="rId386" Type="http://schemas.openxmlformats.org/officeDocument/2006/relationships/hyperlink" Target="https://docs.google.com/spreadsheets/d/1x0jLrbF39A_Bd1GE7D04WL53tl2XNVmiZoDNYAP9PAg/edit?gid=1943992207" TargetMode="External"/><Relationship Id="rId260" Type="http://schemas.openxmlformats.org/officeDocument/2006/relationships/hyperlink" Target="https://docs.google.com/spreadsheets/d/10vsXhAKN36n8-3Pnp16jFxD62kZPkZrlp8hUvUjbQjE/edit?gid=1943992207" TargetMode="External"/><Relationship Id="rId381" Type="http://schemas.openxmlformats.org/officeDocument/2006/relationships/hyperlink" Target="https://docs.google.com/spreadsheets/d/1qyxJ--qP-32Id1dc3hlgPSV0SbzfCl0xUCCHKYJn_pw/edit?gid=1943992207" TargetMode="External"/><Relationship Id="rId380" Type="http://schemas.openxmlformats.org/officeDocument/2006/relationships/hyperlink" Target="https://docs.google.com/spreadsheets/d/16qPjPLGDEbQsrldowzimZ662mg6LE5yPdTG0N4Hdq-k/edit?gid=1943992207" TargetMode="External"/><Relationship Id="rId139" Type="http://schemas.openxmlformats.org/officeDocument/2006/relationships/hyperlink" Target="https://docs.google.com/spreadsheets/d/13hAoP5kp1M9uLH3-fQDz4YNtMDOk-jHYBy-KpElVYfg/edit?gid=1943992207" TargetMode="External"/><Relationship Id="rId138" Type="http://schemas.openxmlformats.org/officeDocument/2006/relationships/hyperlink" Target="https://docs.google.com/spreadsheets/d/1yBzAPZVn090mZkRJ-jyIAdhxtwg6KKbltbKMMpmyd0E/edit?gid=195379161" TargetMode="External"/><Relationship Id="rId259" Type="http://schemas.openxmlformats.org/officeDocument/2006/relationships/hyperlink" Target="https://docs.google.com/spreadsheets/d/1LTs-Ncpi260laxiadkgIvKL0kovANMHb8-CuhyblPEs/edit?gid=1714467678" TargetMode="External"/><Relationship Id="rId137" Type="http://schemas.openxmlformats.org/officeDocument/2006/relationships/hyperlink" Target="https://docs.google.com/spreadsheets/d/1sFkuWRITcQCH0GWX7_bANB2KXu8EKNgfGNmAbF35HCs/edit?gid=1943992207" TargetMode="External"/><Relationship Id="rId258" Type="http://schemas.openxmlformats.org/officeDocument/2006/relationships/hyperlink" Target="https://docs.google.com/spreadsheets/d/1E8Q94TRctG4sDhHJgjzT5NArMc4_iu4JbuOVcFN9WmQ/edit?gid=1943992207" TargetMode="External"/><Relationship Id="rId379" Type="http://schemas.openxmlformats.org/officeDocument/2006/relationships/hyperlink" Target="https://docs.google.com/spreadsheets/d/10EDokHSbmtYoRtTaxOeEsN5Z1aRahh9mjtR_fGVTtBc/edit?gid=437299639" TargetMode="External"/><Relationship Id="rId132" Type="http://schemas.openxmlformats.org/officeDocument/2006/relationships/hyperlink" Target="https://docs.google.com/spreadsheets/d/1TBcx8V6U1Cz7u-HFI2ibzMeUNS1qvUjsLM7rpp_cpk8/edit?gid=104841223" TargetMode="External"/><Relationship Id="rId253" Type="http://schemas.openxmlformats.org/officeDocument/2006/relationships/hyperlink" Target="https://docs.google.com/spreadsheets/d/1nRI8DO43S-NPfrkcqT2Y60cxVFKm7Ys0zZqgamJXA20/edit?gid=1943992207" TargetMode="External"/><Relationship Id="rId374" Type="http://schemas.openxmlformats.org/officeDocument/2006/relationships/hyperlink" Target="https://docs.google.com/spreadsheets/d/1JkUilPAm6jHhl6jBTKO4SKdY-czKwPqkGFumyN_nHw4/edit?gid=1514523606" TargetMode="External"/><Relationship Id="rId495" Type="http://schemas.openxmlformats.org/officeDocument/2006/relationships/hyperlink" Target="https://docs.google.com/spreadsheets/d/1s9YxZFVaDdm3621ck30RCVN1nK9eqGHnlUZiK1DQpI0/edit?gid=910805963" TargetMode="External"/><Relationship Id="rId131" Type="http://schemas.openxmlformats.org/officeDocument/2006/relationships/hyperlink" Target="https://docs.google.com/spreadsheets/d/1EramcJgFOcclIe0bFq88hcczYKa5tw9nqdhzJLnqLA0/edit?gid=1943992207" TargetMode="External"/><Relationship Id="rId252" Type="http://schemas.openxmlformats.org/officeDocument/2006/relationships/hyperlink" Target="https://docs.google.com/spreadsheets/d/1hiLDY2UmBNJf5Zo3Z3XwoOAS_0pfaRyPoEWUXak0shI/edit?gid=1943992207" TargetMode="External"/><Relationship Id="rId373" Type="http://schemas.openxmlformats.org/officeDocument/2006/relationships/hyperlink" Target="https://docs.google.com/spreadsheets/d/1iH9dEk9MjVtREtjVMzhML3JfxSLRH2jDY5GWZ-CFVJU/edit?gid=1943992207" TargetMode="External"/><Relationship Id="rId494" Type="http://schemas.openxmlformats.org/officeDocument/2006/relationships/hyperlink" Target="https://docs.google.com/spreadsheets/d/1sb4i83LYGTfmUR3OnlEMZ35x-r_zOLg_t2faXkxgvJo/edit?gid=1943992207" TargetMode="External"/><Relationship Id="rId130" Type="http://schemas.openxmlformats.org/officeDocument/2006/relationships/hyperlink" Target="https://docs.google.com/spreadsheets/d/1AYVqO0-UnC7uTJELLgxkThN73w3ZB2_oyGig1n6Zo_A/edit?gid=1943992207" TargetMode="External"/><Relationship Id="rId251" Type="http://schemas.openxmlformats.org/officeDocument/2006/relationships/hyperlink" Target="https://docs.google.com/spreadsheets/d/1S6hg9ZqJhzSiCW6JYcTFpEcOJjobcLQKniKop1XqB1c/edit?gid=1943992207" TargetMode="External"/><Relationship Id="rId372" Type="http://schemas.openxmlformats.org/officeDocument/2006/relationships/hyperlink" Target="https://docs.google.com/spreadsheets/d/1Ga7ZoQI5r3IIX0ILPtalWm9eTd2mMAEIavaq0pi3erY/edit?gid=1943992207" TargetMode="External"/><Relationship Id="rId493" Type="http://schemas.openxmlformats.org/officeDocument/2006/relationships/hyperlink" Target="https://docs.google.com/spreadsheets/d/1WO2cDeANhczITMeyI6coAiUD9KiJC9D0vBtrDmRF3_4/edit?gid=1943992207" TargetMode="External"/><Relationship Id="rId250" Type="http://schemas.openxmlformats.org/officeDocument/2006/relationships/hyperlink" Target="https://docs.google.com/spreadsheets/d/1yjQbcp6evqnqafi0WM8oaaTjxlNhfHNJd_PWR2z-pls/edit?gid=1943992207" TargetMode="External"/><Relationship Id="rId371" Type="http://schemas.openxmlformats.org/officeDocument/2006/relationships/hyperlink" Target="https://docs.google.com/spreadsheets/d/1UKSk4_ypvBhdiuWBLVbXalbC4hJB4PROd96MIJUj4OM/edit?gid=1943992207" TargetMode="External"/><Relationship Id="rId492" Type="http://schemas.openxmlformats.org/officeDocument/2006/relationships/hyperlink" Target="https://docs.google.com/spreadsheets/d/1s-bfuJ5A173KYr0fXIcFWRbBC1oFWyxEaTEDE1hPI20/edit?gid=1943992207" TargetMode="External"/><Relationship Id="rId136" Type="http://schemas.openxmlformats.org/officeDocument/2006/relationships/hyperlink" Target="https://docs.google.com/spreadsheets/d/10nlvilat3QDu_m0C_cP-P3Nnn9Ws3YOQ6ILdYpai8bU/edit?gid=1943992207" TargetMode="External"/><Relationship Id="rId257" Type="http://schemas.openxmlformats.org/officeDocument/2006/relationships/hyperlink" Target="https://docs.google.com/spreadsheets/d/1w6SZC6cmwSlTQnRGkEecyHaIougccW2u7xJtsuIZWoc/edit?gid=1943992207" TargetMode="External"/><Relationship Id="rId378" Type="http://schemas.openxmlformats.org/officeDocument/2006/relationships/hyperlink" Target="https://docs.google.com/spreadsheets/d/1rsTq5wdqxVMsUfEJkf8mgYM_HbNc91gx9-MOLQvdN2M/edit?gid=1943992207" TargetMode="External"/><Relationship Id="rId499" Type="http://schemas.openxmlformats.org/officeDocument/2006/relationships/hyperlink" Target="https://docs.google.com/spreadsheets/d/1NuDjMOg57hms4mtZwDdjX1iRLwyE3jpsm_7Ku5eIwFg/edit?gid=1943992207" TargetMode="External"/><Relationship Id="rId135" Type="http://schemas.openxmlformats.org/officeDocument/2006/relationships/hyperlink" Target="https://docs.google.com/spreadsheets/d/1kBOHHh9lJPfjNyswc_bpwu_aqBHMQ1x1F4N-ij4uGw8/edit?gid=1943992207" TargetMode="External"/><Relationship Id="rId256" Type="http://schemas.openxmlformats.org/officeDocument/2006/relationships/hyperlink" Target="https://docs.google.com/spreadsheets/d/1smPvujTu-0rLMT-qocaduxR86zAHwVuMyogPYT9toKM/edit?gid=1943992207" TargetMode="External"/><Relationship Id="rId377" Type="http://schemas.openxmlformats.org/officeDocument/2006/relationships/hyperlink" Target="https://docs.google.com/spreadsheets/d/1sXikByU_23_CrAF6ooGi3yslC-VF4BGE_Et7Qm2M3Ms/edit?gid=1943992207" TargetMode="External"/><Relationship Id="rId498" Type="http://schemas.openxmlformats.org/officeDocument/2006/relationships/hyperlink" Target="https://docs.google.com/spreadsheets/d/1QeaFKb7EqDX9Yr9_KHjwiPpI_VcS7lTU_2sexr2NYwc/edit?gid=1943992207" TargetMode="External"/><Relationship Id="rId134" Type="http://schemas.openxmlformats.org/officeDocument/2006/relationships/hyperlink" Target="https://docs.google.com/spreadsheets/d/1RJjRYH1L_cmg2MlyBas3ZfKbdF4tvZypPyMzOOP3jOE/edit?gid=1943992207" TargetMode="External"/><Relationship Id="rId255" Type="http://schemas.openxmlformats.org/officeDocument/2006/relationships/hyperlink" Target="https://docs.google.com/spreadsheets/d/1icdan29e51U4BHOyWaeNIgkWs4t-iC28BcVHXqU5fog/edit?gid=136990793" TargetMode="External"/><Relationship Id="rId376" Type="http://schemas.openxmlformats.org/officeDocument/2006/relationships/hyperlink" Target="https://docs.google.com/spreadsheets/d/1Ap7CHdoqWa3f11ksAyzVol50E75meHRSFPdcWEnOGhs/edit?gid=1943992207" TargetMode="External"/><Relationship Id="rId497" Type="http://schemas.openxmlformats.org/officeDocument/2006/relationships/hyperlink" Target="https://docs.google.com/spreadsheets/d/1uiCTuulxMBpSD8kxPsGQwLFIyYrWEBqH0MJpIaD-FSA/edit?gid=1943992207" TargetMode="External"/><Relationship Id="rId133" Type="http://schemas.openxmlformats.org/officeDocument/2006/relationships/hyperlink" Target="https://docs.google.com/spreadsheets/d/1GLqKkfjlC3RvQZRHudIw53NZiwp6JvHmfJSzQ7LdKok/edit?gid=1943992207" TargetMode="External"/><Relationship Id="rId254" Type="http://schemas.openxmlformats.org/officeDocument/2006/relationships/hyperlink" Target="https://docs.google.com/spreadsheets/d/1x6iJZlwSJA7_q4F1-0DoKEU6YeRHP03Zh4t6ordL7as/edit?gid=1943992207" TargetMode="External"/><Relationship Id="rId375" Type="http://schemas.openxmlformats.org/officeDocument/2006/relationships/hyperlink" Target="https://docs.google.com/spreadsheets/d/1K3xNOY3-95UkHzOWXvSlX-ungUkAgvqy1NTbrjIfsPE/edit?gid=1943992207" TargetMode="External"/><Relationship Id="rId496" Type="http://schemas.openxmlformats.org/officeDocument/2006/relationships/hyperlink" Target="https://docs.google.com/spreadsheets/d/1S4K1CcKDBhCkK3OyXiCYnkoCIx8BkI1aYTZJsWvXoYc/edit?gid=1943992207" TargetMode="External"/><Relationship Id="rId172" Type="http://schemas.openxmlformats.org/officeDocument/2006/relationships/hyperlink" Target="https://docs.google.com/spreadsheets/d/1aSaKOsWn34WpAHd9ATjKqCh5HbW-v0WWa_mV_WHMGeM/edit?gid=1943992207" TargetMode="External"/><Relationship Id="rId293" Type="http://schemas.openxmlformats.org/officeDocument/2006/relationships/hyperlink" Target="https://docs.google.com/spreadsheets/d/1N42oNFK18qwVohJZGhEHjDJGFMmaMqYHfQqOLpwHo6c/edit?gid=1474237554" TargetMode="External"/><Relationship Id="rId171" Type="http://schemas.openxmlformats.org/officeDocument/2006/relationships/hyperlink" Target="https://docs.google.com/spreadsheets/d/1IPxW0z5q9r1oTb9RudaMBDRtfbcj61mSdHl_cgfT9zU/edit?gid=1943992207" TargetMode="External"/><Relationship Id="rId292" Type="http://schemas.openxmlformats.org/officeDocument/2006/relationships/hyperlink" Target="https://docs.google.com/spreadsheets/d/1PgfkvkBBE4sb4hQ8YZ1M16QzeTdxQdHwtV69ZVmkRsI/edit?gid=1804934795" TargetMode="External"/><Relationship Id="rId170" Type="http://schemas.openxmlformats.org/officeDocument/2006/relationships/hyperlink" Target="https://docs.google.com/spreadsheets/d/1aYnrmpuB9hHtiDbaeCdm2T2SlmwTXPSDlamGFTueGqg/edit?gid=1943992207" TargetMode="External"/><Relationship Id="rId291" Type="http://schemas.openxmlformats.org/officeDocument/2006/relationships/hyperlink" Target="https://docs.google.com/spreadsheets/d/1-Itkyej7Lfa0dnR6Y72Qyu8AhhQpU8jpzDjXFJ0OMow/edit?gid=1026410063" TargetMode="External"/><Relationship Id="rId290" Type="http://schemas.openxmlformats.org/officeDocument/2006/relationships/hyperlink" Target="https://docs.google.com/spreadsheets/d/1SW_f2yNWLVT-AtXkiJaQP0JV5m9u3baSc_1rKJWbCQo/edit?gid=1943992207" TargetMode="External"/><Relationship Id="rId165" Type="http://schemas.openxmlformats.org/officeDocument/2006/relationships/hyperlink" Target="https://docs.google.com/spreadsheets/d/1_3VHgdh07UXpSdfl3Yn2ShJ1Wm_wsgaw6h3XqcEeqeg/edit?gid=1943992207" TargetMode="External"/><Relationship Id="rId286" Type="http://schemas.openxmlformats.org/officeDocument/2006/relationships/hyperlink" Target="https://docs.google.com/spreadsheets/d/1KhnKEhnzmg8bMM0i-MVd_oQ2O5yGAi4xM5hMG9hfYfE/edit?gid=1943992207" TargetMode="External"/><Relationship Id="rId164" Type="http://schemas.openxmlformats.org/officeDocument/2006/relationships/hyperlink" Target="https://docs.google.com/spreadsheets/d/1IV2EWb1n3-ANEDpYqaXPiCST5gnXPYOzt-Ha4IG3GNE/edit?gid=1943992207" TargetMode="External"/><Relationship Id="rId285" Type="http://schemas.openxmlformats.org/officeDocument/2006/relationships/hyperlink" Target="https://docs.google.com/spreadsheets/d/1GP2HPdGKC4u-L6XgmLpFbI0tb-j9mBsmMy9gCLmElLE/edit?gid=1943992207" TargetMode="External"/><Relationship Id="rId163" Type="http://schemas.openxmlformats.org/officeDocument/2006/relationships/hyperlink" Target="https://docs.google.com/spreadsheets/d/1i8WxvVAZXNwG8UVt9_zZpZUzP3La8zfkj6GWT0PCk4Y/edit?gid=1943992207" TargetMode="External"/><Relationship Id="rId284" Type="http://schemas.openxmlformats.org/officeDocument/2006/relationships/hyperlink" Target="https://docs.google.com/spreadsheets/d/1Dh7j4bpm01jIYxpqwyPZ09eSp73BmoJbwRxn893uxAQ/edit?gid=1943992207" TargetMode="External"/><Relationship Id="rId162" Type="http://schemas.openxmlformats.org/officeDocument/2006/relationships/hyperlink" Target="https://docs.google.com/spreadsheets/d/1LeoAMvHLbfDUgY4l09ZnH7yu3nFQw9cfvCtLPddvkVI/edit?gid=1943992207" TargetMode="External"/><Relationship Id="rId283" Type="http://schemas.openxmlformats.org/officeDocument/2006/relationships/hyperlink" Target="https://docs.google.com/spreadsheets/d/1lxhT1dzO5Tdz_O_3g-rA-3vN2bx02ekMrZLhGyigdqA/edit?gid=193927591" TargetMode="External"/><Relationship Id="rId169" Type="http://schemas.openxmlformats.org/officeDocument/2006/relationships/hyperlink" Target="https://docs.google.com/spreadsheets/d/1mUsm9VgQlnDGdluuha2HdRYw_9jfC0ruSG3XXRsXqaU/edit?gid=1943992207" TargetMode="External"/><Relationship Id="rId168" Type="http://schemas.openxmlformats.org/officeDocument/2006/relationships/hyperlink" Target="https://docs.google.com/spreadsheets/d/1Z49gdvlNZp0x7IML5kpVI_L2FIQLIXZN7mxP1UEEgTw/edit?gid=1943992207" TargetMode="External"/><Relationship Id="rId289" Type="http://schemas.openxmlformats.org/officeDocument/2006/relationships/hyperlink" Target="https://docs.google.com/spreadsheets/d/1WDDoFBRcqQid4AgC8JfOOqEOSf7xFa8YNpunC17Rgog/edit?gid=1943992207" TargetMode="External"/><Relationship Id="rId167" Type="http://schemas.openxmlformats.org/officeDocument/2006/relationships/hyperlink" Target="https://docs.google.com/spreadsheets/d/1OVvCVliu0fq9B-2-cABgEgmpSIvdozV5XABFXCsCw6I/edit?gid=1943992207" TargetMode="External"/><Relationship Id="rId288" Type="http://schemas.openxmlformats.org/officeDocument/2006/relationships/hyperlink" Target="https://docs.google.com/spreadsheets/d/1fP5wXf08-vhJvX5XK10IB5BLjn9MFRfU9ckZ68CNrSI/edit?gid=1685812482" TargetMode="External"/><Relationship Id="rId166" Type="http://schemas.openxmlformats.org/officeDocument/2006/relationships/hyperlink" Target="https://docs.google.com/spreadsheets/d/1AVF8yyjDdrQMMjBXm31aJpcIDYPy659siFjivrXm-is/edit?gid=1943992207" TargetMode="External"/><Relationship Id="rId287" Type="http://schemas.openxmlformats.org/officeDocument/2006/relationships/hyperlink" Target="https://docs.google.com/spreadsheets/d/1KlU5dyAqQyuCPR-VC_S4PqgGIYjc4mAmBe0d6o5Vovg/edit?gid=401597179" TargetMode="External"/><Relationship Id="rId161" Type="http://schemas.openxmlformats.org/officeDocument/2006/relationships/hyperlink" Target="https://docs.google.com/spreadsheets/d/16ToK6covjUV3SyhPU0V8fjtqe1ayjrVejSZtTb5j4UM/edit?gid=1943992207" TargetMode="External"/><Relationship Id="rId282" Type="http://schemas.openxmlformats.org/officeDocument/2006/relationships/hyperlink" Target="https://docs.google.com/spreadsheets/d/1IbkWLeJQAkPxpggTYXbMPL3c5vmKVDtbXHdUelZqY9M/edit?gid=1943992207" TargetMode="External"/><Relationship Id="rId160" Type="http://schemas.openxmlformats.org/officeDocument/2006/relationships/hyperlink" Target="https://docs.google.com/spreadsheets/d/1UypBZiQeSPHsAXL5Ex-E2LMcfLF_HsBstQj_5M2APzQ/edit?gid=1943992207" TargetMode="External"/><Relationship Id="rId281" Type="http://schemas.openxmlformats.org/officeDocument/2006/relationships/hyperlink" Target="https://docs.google.com/spreadsheets/d/1yBZXfvw53QvRUsn8VgNftr0SjjdmI2OaTrgggX0KEiw/edit?gid=1943992207" TargetMode="External"/><Relationship Id="rId280" Type="http://schemas.openxmlformats.org/officeDocument/2006/relationships/hyperlink" Target="https://docs.google.com/spreadsheets/d/1NbZoTDkYarywS9b9pGIxWk2ZqISkkQeipzxuX7_uon0/edit?gid=1943992207" TargetMode="External"/><Relationship Id="rId159" Type="http://schemas.openxmlformats.org/officeDocument/2006/relationships/hyperlink" Target="https://docs.google.com/spreadsheets/d/1kPNXSFcctepu3WRGIV3Vm8ng6HIeswytu5Mye2lYupk/edit?gid=1943992207" TargetMode="External"/><Relationship Id="rId154" Type="http://schemas.openxmlformats.org/officeDocument/2006/relationships/hyperlink" Target="https://docs.google.com/spreadsheets/d/1XFpN6piXfi8TmJtnUGepnM6FH451sUCGDjLg42znayM/edit?gid=1943992207" TargetMode="External"/><Relationship Id="rId275" Type="http://schemas.openxmlformats.org/officeDocument/2006/relationships/hyperlink" Target="https://docs.google.com/spreadsheets/d/1_UHTt4orOr2MDlc9iJOUCfaR5IJ1wNU8lfaoV-G89WA/edit?gid=1943992207" TargetMode="External"/><Relationship Id="rId396" Type="http://schemas.openxmlformats.org/officeDocument/2006/relationships/hyperlink" Target="https://docs.google.com/spreadsheets/d/1psctUWyWj9_k7IAD5LrLRggazYyMT4S1uIXyk08u-eA/edit?gid=1087838884" TargetMode="External"/><Relationship Id="rId153" Type="http://schemas.openxmlformats.org/officeDocument/2006/relationships/hyperlink" Target="https://docs.google.com/spreadsheets/d/1lSx3-K1E1NfZORU1fs20r0Vshn9qD6Dd7MyyI7l8dmY/edit?gid=1943992207" TargetMode="External"/><Relationship Id="rId274" Type="http://schemas.openxmlformats.org/officeDocument/2006/relationships/hyperlink" Target="https://docs.google.com/spreadsheets/d/1SmWamz-iQyGh8Oo7Prgur2QVA5XI8MyAfoe6lYC5z9I/edit?gid=1943992207" TargetMode="External"/><Relationship Id="rId395" Type="http://schemas.openxmlformats.org/officeDocument/2006/relationships/hyperlink" Target="https://docs.google.com/spreadsheets/d/1XZK9xwjYKc6zhGjUxf9UGqWT4yaAggyH4upD9_noUpA/edit?gid=1123947085" TargetMode="External"/><Relationship Id="rId152" Type="http://schemas.openxmlformats.org/officeDocument/2006/relationships/hyperlink" Target="https://docs.google.com/spreadsheets/d/1HmFvAFRlplTvA_GZeqe-6X6JlhWdbhnDzch4RdrsV_Q/edit?gid=1943992207" TargetMode="External"/><Relationship Id="rId273" Type="http://schemas.openxmlformats.org/officeDocument/2006/relationships/hyperlink" Target="https://docs.google.com/spreadsheets/d/1huigboDh2eetYziicAixhXsAnjCxTkvxX7beDV0mrbs/edit?gid=1943992207" TargetMode="External"/><Relationship Id="rId394" Type="http://schemas.openxmlformats.org/officeDocument/2006/relationships/hyperlink" Target="https://docs.google.com/spreadsheets/d/1dr2ub3B7dimnaPyeRl7c1_aB5PbE3DnBqyp-6Ef-oPM/edit?gid=1943992207" TargetMode="External"/><Relationship Id="rId151" Type="http://schemas.openxmlformats.org/officeDocument/2006/relationships/hyperlink" Target="https://docs.google.com/spreadsheets/d/1QTM3_x6dEeJ187Et7woVpgN0-5eDg42oFOpDViR20QU/edit?gid=1943992207" TargetMode="External"/><Relationship Id="rId272" Type="http://schemas.openxmlformats.org/officeDocument/2006/relationships/hyperlink" Target="https://docs.google.com/spreadsheets/d/1N3EhbE4_wA3AdsLKTbILFBY1dreHyyG7qbfpPJK3Zq4/edit?gid=1943992207" TargetMode="External"/><Relationship Id="rId393" Type="http://schemas.openxmlformats.org/officeDocument/2006/relationships/hyperlink" Target="https://docs.google.com/spreadsheets/d/1k78nn4wQf4LWS6xvQp1A9Eqh1Ip0IsyNKstRR8ZEmpM/edit?gid=2130954300" TargetMode="External"/><Relationship Id="rId158" Type="http://schemas.openxmlformats.org/officeDocument/2006/relationships/hyperlink" Target="https://docs.google.com/spreadsheets/d/1xMvh0MQONCgb68vRmm1ljAX4nwOS6OmvJFzl8rpqcto/edit?gid=1943992207" TargetMode="External"/><Relationship Id="rId279" Type="http://schemas.openxmlformats.org/officeDocument/2006/relationships/hyperlink" Target="https://docs.google.com/spreadsheets/d/1GXHv7csQwWO7cfEtEt2FlW2QV074A__lGUXs8av8uY8/edit?gid=1943992207" TargetMode="External"/><Relationship Id="rId157" Type="http://schemas.openxmlformats.org/officeDocument/2006/relationships/hyperlink" Target="https://docs.google.com/spreadsheets/d/1WrNRP4fbtQHjpfEdgmVTqiAWwVIPkRtyXFE9N_YUx04/edit?gid=1943992207" TargetMode="External"/><Relationship Id="rId278" Type="http://schemas.openxmlformats.org/officeDocument/2006/relationships/hyperlink" Target="https://docs.google.com/spreadsheets/d/1NyD-tug8BSefVp4NPBzUY6iMDaLhpQFur9-WFmsdXw4/edit?gid=1943992207" TargetMode="External"/><Relationship Id="rId399" Type="http://schemas.openxmlformats.org/officeDocument/2006/relationships/hyperlink" Target="https://docs.google.com/spreadsheets/d/1rjg6statRPCQE-f7vH-C36aD2Dk8z5xBI8iBSwOoj88/edit?gid=1943992207" TargetMode="External"/><Relationship Id="rId156" Type="http://schemas.openxmlformats.org/officeDocument/2006/relationships/hyperlink" Target="https://docs.google.com/spreadsheets/d/10YruEo3MWj-RwAp_PG7tFrVK4xWGWZSkw2MJp1KAr50/edit?gid=1943992207" TargetMode="External"/><Relationship Id="rId277" Type="http://schemas.openxmlformats.org/officeDocument/2006/relationships/hyperlink" Target="https://docs.google.com/spreadsheets/d/1K-TvnqcXslbE4vl8SOr3oYzH7KfoxdY2g20WRZD7m_I/edit?gid=1943992207" TargetMode="External"/><Relationship Id="rId398" Type="http://schemas.openxmlformats.org/officeDocument/2006/relationships/hyperlink" Target="https://docs.google.com/spreadsheets/d/1So_K2gaQ2qiTFC7BvQpPr_gnGPnYsp_YHWwaSon8aNM/edit?gid=1943992207" TargetMode="External"/><Relationship Id="rId155" Type="http://schemas.openxmlformats.org/officeDocument/2006/relationships/hyperlink" Target="https://docs.google.com/spreadsheets/d/19Fuz6OumbL-1T6DMejeEPk18tnQka2pCNtiFS2qHbno/edit?gid=1943992207" TargetMode="External"/><Relationship Id="rId276" Type="http://schemas.openxmlformats.org/officeDocument/2006/relationships/hyperlink" Target="https://docs.google.com/spreadsheets/d/1dw5mYUjZQFONIifwb03tnXGoQsz-_i03w5EByXZeYDo/edit?gid=2112962837" TargetMode="External"/><Relationship Id="rId397" Type="http://schemas.openxmlformats.org/officeDocument/2006/relationships/hyperlink" Target="https://docs.google.com/spreadsheets/d/18T43n-64fSWWhUmEvIPqQS-rNDfazSccgkrNQpGaW40/edit?gid=1943992207" TargetMode="External"/><Relationship Id="rId40" Type="http://schemas.openxmlformats.org/officeDocument/2006/relationships/hyperlink" Target="https://docs.google.com/spreadsheets/d/1OoL2zI5QJoJ-WVoAgtpr1KBYYzOUFrtU3ogpRvGl7FM/edit?gid=1943992207" TargetMode="External"/><Relationship Id="rId42" Type="http://schemas.openxmlformats.org/officeDocument/2006/relationships/hyperlink" Target="https://docs.google.com/spreadsheets/d/1CbQn7b090k-4QXqFAbhOtkl0UFBiH7Pgx63UQNXcG3Y/edit?gid=1943992207" TargetMode="External"/><Relationship Id="rId41" Type="http://schemas.openxmlformats.org/officeDocument/2006/relationships/hyperlink" Target="https://docs.google.com/spreadsheets/d/1GYNPvG2g3c1toZdqRym0t0FHwu06x1H3aqVYNOXrWPw/edit?gid=1943992207" TargetMode="External"/><Relationship Id="rId44" Type="http://schemas.openxmlformats.org/officeDocument/2006/relationships/hyperlink" Target="https://docs.google.com/spreadsheets/d/10viQ4ygOsB2wDgS0BuOFOnxkKKSybPc7PCdCKX-3KhY/edit?gid=1943992207" TargetMode="External"/><Relationship Id="rId43" Type="http://schemas.openxmlformats.org/officeDocument/2006/relationships/hyperlink" Target="https://docs.google.com/spreadsheets/d/1yM9pDakyExeEmOtf2cWeLkBLzOrxxgpWnZnkNF6fXYs/edit?gid=1943992207" TargetMode="External"/><Relationship Id="rId46" Type="http://schemas.openxmlformats.org/officeDocument/2006/relationships/hyperlink" Target="https://docs.google.com/spreadsheets/d/1Mh1PYXnNdMeSV_qM5AxkS-nww_PdV-SQx0CadmMtxoM/edit?gid=1889659831" TargetMode="External"/><Relationship Id="rId45" Type="http://schemas.openxmlformats.org/officeDocument/2006/relationships/hyperlink" Target="https://docs.google.com/spreadsheets/d/1pZOVTqVDlZoG4gToGuADA3OBuSpLiryjBsnpydEupX8/edit?gid=1943992207" TargetMode="External"/><Relationship Id="rId509" Type="http://schemas.openxmlformats.org/officeDocument/2006/relationships/hyperlink" Target="https://docs.google.com/spreadsheets/d/1dyI6n3lzItELBfXwf4f1vrIPeGE--t1_Bq9l0UKUk4M/edit?gid=1943992207" TargetMode="External"/><Relationship Id="rId508" Type="http://schemas.openxmlformats.org/officeDocument/2006/relationships/hyperlink" Target="https://docs.google.com/spreadsheets/d/1ZgIy4it-g-eiGuA_b-rY47efyn9oSwVl48x4GPM5rzA/edit?gid=1943992207" TargetMode="External"/><Relationship Id="rId629" Type="http://schemas.openxmlformats.org/officeDocument/2006/relationships/hyperlink" Target="https://docs.google.com/spreadsheets/d/1imEIyMunf-ocieI7WESSpIBSoz7gGFfgWoHVaKFl5fE/edit?gid=662420211" TargetMode="External"/><Relationship Id="rId503" Type="http://schemas.openxmlformats.org/officeDocument/2006/relationships/hyperlink" Target="https://docs.google.com/spreadsheets/d/1N6_NBpH9triuy3GnKIG9f9NZDkJzVVtsgqNhSwzHhUQ/edit?gid=1943992207" TargetMode="External"/><Relationship Id="rId624" Type="http://schemas.openxmlformats.org/officeDocument/2006/relationships/hyperlink" Target="https://docs.google.com/spreadsheets/d/1JT6BMfQutAA8_hT_mzgvuG0Gxx_vjbyhAzsQKzqUQCM/edit?gid=1943992207" TargetMode="External"/><Relationship Id="rId745" Type="http://schemas.openxmlformats.org/officeDocument/2006/relationships/hyperlink" Target="https://docs.google.com/spreadsheets/d/1-oYoFfbCnYipetj4-1hV19gw6ERSvxemJbs0-1Zncds/edit?gid=1943992207" TargetMode="External"/><Relationship Id="rId502" Type="http://schemas.openxmlformats.org/officeDocument/2006/relationships/hyperlink" Target="https://docs.google.com/spreadsheets/d/1Q2lRXoHBpkwSnWSeyTZ9M1YIkwzM0eZE0_xmNkSsosE/edit?gid=1943992207" TargetMode="External"/><Relationship Id="rId623" Type="http://schemas.openxmlformats.org/officeDocument/2006/relationships/hyperlink" Target="https://docs.google.com/spreadsheets/d/1luRIr1pXyRnkVup0V3ntB6dFk6mHWHjCcrkAeE2feA4/edit?gid=1943992207" TargetMode="External"/><Relationship Id="rId744" Type="http://schemas.openxmlformats.org/officeDocument/2006/relationships/hyperlink" Target="https://docs.google.com/spreadsheets/d/1HNreNVywLZCUvZf9FJDbaBEBq-L7WR3y4dui0c7T59w/edit?gid=1943992207" TargetMode="External"/><Relationship Id="rId501" Type="http://schemas.openxmlformats.org/officeDocument/2006/relationships/hyperlink" Target="https://docs.google.com/spreadsheets/d/1yhtrheTh288s2KVd7xNKqga-Wc8_MpkjtZ9zz0GdO48/edit?gid=1943992207" TargetMode="External"/><Relationship Id="rId622" Type="http://schemas.openxmlformats.org/officeDocument/2006/relationships/hyperlink" Target="https://docs.google.com/spreadsheets/d/1RduJhTVDNEzBqgWe6sAlgyZxv02K6i5PghfbknQuiZs/edit?gid=1943992207" TargetMode="External"/><Relationship Id="rId743" Type="http://schemas.openxmlformats.org/officeDocument/2006/relationships/hyperlink" Target="https://docs.google.com/spreadsheets/d/12eJoCx01u7xk_e64oPL4q4RBdmnVf2cxbbympEpHc5g/edit?gid=1943992207" TargetMode="External"/><Relationship Id="rId500" Type="http://schemas.openxmlformats.org/officeDocument/2006/relationships/hyperlink" Target="https://docs.google.com/spreadsheets/d/1SbaGUaE5Jgr9KP4ONTzzgggwe-zneFX5lakLdS_Hms4/edit?gid=1943992207" TargetMode="External"/><Relationship Id="rId621" Type="http://schemas.openxmlformats.org/officeDocument/2006/relationships/hyperlink" Target="https://docs.google.com/spreadsheets/d/1-SllTMB-VSWshx4KmLveOA2ITYtgGWAp5RT5Mgy65fw/edit?gid=1943992207" TargetMode="External"/><Relationship Id="rId742" Type="http://schemas.openxmlformats.org/officeDocument/2006/relationships/hyperlink" Target="https://docs.google.com/spreadsheets/d/1rWPU1KweTOGEumDJADqFESOVoE5tVXWDMN4XFkAaorQ/edit?gid=1943992207" TargetMode="External"/><Relationship Id="rId507" Type="http://schemas.openxmlformats.org/officeDocument/2006/relationships/hyperlink" Target="https://docs.google.com/spreadsheets/d/1Lomx9M4nB_d9ZmmStmt3zT4ElKuiUvoMN2deI_AnEVk/edit?gid=1943992207" TargetMode="External"/><Relationship Id="rId628" Type="http://schemas.openxmlformats.org/officeDocument/2006/relationships/hyperlink" Target="https://docs.google.com/spreadsheets/d/1TQON7DWWHAWw0jujmOtukB-lTYSo24yRU6MAJiAiDkk/edit?gid=1943992207" TargetMode="External"/><Relationship Id="rId749" Type="http://schemas.openxmlformats.org/officeDocument/2006/relationships/hyperlink" Target="https://docs.google.com/spreadsheets/d/17h3p3GUe2jY6rGUlk-9gIjAsKnmrckQdzi8dspFcI6g/edit?gid=1943992207" TargetMode="External"/><Relationship Id="rId506" Type="http://schemas.openxmlformats.org/officeDocument/2006/relationships/hyperlink" Target="https://docs.google.com/spreadsheets/d/1HTQVgb3fi2WH2FgpG8Yo7JRQ15ZzWpEnG0oPWdKaBaM/edit?gid=1943992207" TargetMode="External"/><Relationship Id="rId627" Type="http://schemas.openxmlformats.org/officeDocument/2006/relationships/hyperlink" Target="https://docs.google.com/spreadsheets/d/1BLn2IbOyOP7CgL2FW7_d6ITXrYeGcxP7bI88G6p7Bz4/edit?gid=1311113289" TargetMode="External"/><Relationship Id="rId748" Type="http://schemas.openxmlformats.org/officeDocument/2006/relationships/hyperlink" Target="https://docs.google.com/spreadsheets/d/1U8XcqL93K229W-8hvtldu2D6y86pWkX92ny1klo_NMU/edit?gid=1943992207" TargetMode="External"/><Relationship Id="rId505" Type="http://schemas.openxmlformats.org/officeDocument/2006/relationships/hyperlink" Target="https://docs.google.com/spreadsheets/d/12xtWXfafMMcXCV-kSLMwP9TWaBprUap6t2pJ2rtHUWI/edit?gid=357630682" TargetMode="External"/><Relationship Id="rId626" Type="http://schemas.openxmlformats.org/officeDocument/2006/relationships/hyperlink" Target="https://docs.google.com/spreadsheets/d/1hgL_mQaW-XEiXaOnyj2JejPoql7dyDO_m6dLC-5ZGWk/edit?gid=1943992207" TargetMode="External"/><Relationship Id="rId747" Type="http://schemas.openxmlformats.org/officeDocument/2006/relationships/hyperlink" Target="https://docs.google.com/spreadsheets/d/1-yTi2a3rYv24hTFaSx1IsqvyVRq8WWvXblxqRPIOsTg/edit?gid=1943992207" TargetMode="External"/><Relationship Id="rId504" Type="http://schemas.openxmlformats.org/officeDocument/2006/relationships/hyperlink" Target="https://docs.google.com/spreadsheets/d/1-1r-ehDQQCZAfD1HATBI8TkVALNwdQsGiQghaJTRD6g/edit?gid=1700766038" TargetMode="External"/><Relationship Id="rId625" Type="http://schemas.openxmlformats.org/officeDocument/2006/relationships/hyperlink" Target="https://docs.google.com/spreadsheets/d/17xuV26DJJAAcOeAjzzKAzW_bhi_elT6RiVNPym_N_wo/edit?gid=1943992207" TargetMode="External"/><Relationship Id="rId746" Type="http://schemas.openxmlformats.org/officeDocument/2006/relationships/hyperlink" Target="https://docs.google.com/spreadsheets/d/1ZE5TdEPCrqN0eFhGmJQdty3ty18mYcuLdA1fBi2rkhs/edit?gid=559417535" TargetMode="External"/><Relationship Id="rId48" Type="http://schemas.openxmlformats.org/officeDocument/2006/relationships/hyperlink" Target="https://docs.google.com/spreadsheets/d/1JbUUElbezcQRVHCv4eQ-TI5EwhDeRBuS6dt10MMUyIM/edit?gid=1943992207" TargetMode="External"/><Relationship Id="rId47" Type="http://schemas.openxmlformats.org/officeDocument/2006/relationships/hyperlink" Target="https://docs.google.com/spreadsheets/d/16KNi4cx-1yW6RBJZoazeOrmU-i7aj86kw0wbSsHwmy4/edit?gid=686952044" TargetMode="External"/><Relationship Id="rId49" Type="http://schemas.openxmlformats.org/officeDocument/2006/relationships/hyperlink" Target="https://docs.google.com/spreadsheets/d/1ynUbShqvgzv5sEbc0sxIhp1y-yKyYFyeLBbSBgcxarY/edit?gid=2012686739" TargetMode="External"/><Relationship Id="rId620" Type="http://schemas.openxmlformats.org/officeDocument/2006/relationships/hyperlink" Target="https://docs.google.com/spreadsheets/d/17hIj7Z4NzcUUg8dm2KNMETZZAfGbHjQjujdeiY030DY/edit?gid=1943992207" TargetMode="External"/><Relationship Id="rId741" Type="http://schemas.openxmlformats.org/officeDocument/2006/relationships/hyperlink" Target="https://docs.google.com/spreadsheets/d/1lU9tUl4JeCyMQP4rrbt3OwE_0H8GAE-A6PHvsSgP77Q/edit?gid=74254771" TargetMode="External"/><Relationship Id="rId740" Type="http://schemas.openxmlformats.org/officeDocument/2006/relationships/hyperlink" Target="https://docs.google.com/spreadsheets/d/1Gpj4LyNZGuZZuRL7jmzL_5zyDwlkVRunGHRG5GnUlGI/edit?gid=1981348135" TargetMode="External"/><Relationship Id="rId31" Type="http://schemas.openxmlformats.org/officeDocument/2006/relationships/hyperlink" Target="https://docs.google.com/spreadsheets/d/1FED25ea-UpnOSlDpeCNlLJe9FkL3QWx5x62_jBDRcYU/edit?gid=1943992207" TargetMode="External"/><Relationship Id="rId30" Type="http://schemas.openxmlformats.org/officeDocument/2006/relationships/hyperlink" Target="https://docs.google.com/spreadsheets/d/1SNlcH8yCQLWp7UMF9rVDX1OGu6q9z3AinGzeuNqY6Ek/edit?gid=1943992207" TargetMode="External"/><Relationship Id="rId33" Type="http://schemas.openxmlformats.org/officeDocument/2006/relationships/hyperlink" Target="https://docs.google.com/spreadsheets/d/18zCNQ-4KHk4xR2kLmBB8oWGFZAMdl_aB-4SJPdqSuuE/edit?gid=1943992207" TargetMode="External"/><Relationship Id="rId32" Type="http://schemas.openxmlformats.org/officeDocument/2006/relationships/hyperlink" Target="https://docs.google.com/spreadsheets/d/1q9kl7Fdu-LQuFR8aJs2SnWkpQWCVY1kDhBUrHJYJRtg/edit?gid=1943992207" TargetMode="External"/><Relationship Id="rId35" Type="http://schemas.openxmlformats.org/officeDocument/2006/relationships/hyperlink" Target="https://docs.google.com/spreadsheets/d/19P8Ek-bdOGaAVlTDe73H69F9ObnkusX6WwN3p72KaYE/edit?gid=1943992207" TargetMode="External"/><Relationship Id="rId34" Type="http://schemas.openxmlformats.org/officeDocument/2006/relationships/hyperlink" Target="https://docs.google.com/spreadsheets/d/1jaQmbqEztJ3i-P6GgkJ2tlk5kTFB54pxqoFxCxyJ0hg/edit?gid=1943992207" TargetMode="External"/><Relationship Id="rId619" Type="http://schemas.openxmlformats.org/officeDocument/2006/relationships/hyperlink" Target="https://docs.google.com/spreadsheets/d/13VkuER39UvvZc4w3IZz7Ljsm44g9u5g_gn97eeOCGog/edit?gid=1943992207" TargetMode="External"/><Relationship Id="rId618" Type="http://schemas.openxmlformats.org/officeDocument/2006/relationships/hyperlink" Target="https://docs.google.com/spreadsheets/d/1BAUSzJCqXRDgwrLHmPlhe9HmkQTWMzok7OqwjQnHGV8/edit?gid=1943992207" TargetMode="External"/><Relationship Id="rId739" Type="http://schemas.openxmlformats.org/officeDocument/2006/relationships/hyperlink" Target="https://docs.google.com/spreadsheets/d/19vV8-C2Hl6GqD8dhLZ9ACl_n_gWBx7dbU3cOxN1SeKc/edit?gid=1851240766" TargetMode="External"/><Relationship Id="rId613" Type="http://schemas.openxmlformats.org/officeDocument/2006/relationships/hyperlink" Target="https://docs.google.com/spreadsheets/d/1fQCKdRqVrldHKVcyRDsv2WD47oT9P9P60KjmY4ebKJY/edit?gid=1943992207" TargetMode="External"/><Relationship Id="rId734" Type="http://schemas.openxmlformats.org/officeDocument/2006/relationships/hyperlink" Target="https://docs.google.com/spreadsheets/d/1MEtaPAdLxCmjzub8M9CaSuS-jOMZiv2X_av_PhA0ygg/edit?gid=1943992207" TargetMode="External"/><Relationship Id="rId612" Type="http://schemas.openxmlformats.org/officeDocument/2006/relationships/hyperlink" Target="https://docs.google.com/spreadsheets/d/1fXnZst9J5IoTGjzdh7rLQtggvKi3EO3zelQn9-o_PTc/edit?gid=1268451139" TargetMode="External"/><Relationship Id="rId733" Type="http://schemas.openxmlformats.org/officeDocument/2006/relationships/hyperlink" Target="https://docs.google.com/spreadsheets/d/1eFvQscJgL1a60x34rSNb82j3VThz4kweWC_VnKgnI4A/edit?gid=1943992207" TargetMode="External"/><Relationship Id="rId611" Type="http://schemas.openxmlformats.org/officeDocument/2006/relationships/hyperlink" Target="https://docs.google.com/spreadsheets/d/1aQVwNRP4evd2GX6xcxn6obbifNaRkZ-B3EPWcckX7vA/edit?gid=1943992207" TargetMode="External"/><Relationship Id="rId732" Type="http://schemas.openxmlformats.org/officeDocument/2006/relationships/hyperlink" Target="https://docs.google.com/spreadsheets/d/1Ly8LHG-F7xoTav2lIFfsc_yuAr4kDSlLPjPgeZch-Ac/edit?gid=1943992207" TargetMode="External"/><Relationship Id="rId610" Type="http://schemas.openxmlformats.org/officeDocument/2006/relationships/hyperlink" Target="https://docs.google.com/spreadsheets/d/1kUOfMHQMrq629YpI2VN3kMNEop43jq2Hlqqmfswx09A/edit?gid=1943992207" TargetMode="External"/><Relationship Id="rId731" Type="http://schemas.openxmlformats.org/officeDocument/2006/relationships/hyperlink" Target="https://docs.google.com/spreadsheets/d/1LbyYYiPljOHvvLUY9nhfGLVWNURV0kJP5ZP6u0W8Gns/edit?gid=1943992207" TargetMode="External"/><Relationship Id="rId617" Type="http://schemas.openxmlformats.org/officeDocument/2006/relationships/hyperlink" Target="https://docs.google.com/spreadsheets/d/1pst4TWi2AKgvCgmk9w4GMpj_ihG59xACQTFAqeujORw/edit?gid=1943992207" TargetMode="External"/><Relationship Id="rId738" Type="http://schemas.openxmlformats.org/officeDocument/2006/relationships/hyperlink" Target="https://docs.google.com/spreadsheets/d/1fJNCJeqYihNH4DsxchuqrFnr8PFhMJYJuFX_VDCjFNU/edit?gid=1943992207" TargetMode="External"/><Relationship Id="rId616" Type="http://schemas.openxmlformats.org/officeDocument/2006/relationships/hyperlink" Target="https://docs.google.com/spreadsheets/d/1uQOz8zHwRqnx0eaUi2k1w3XkHxqiLDeFFF2teuJX71A/edit?gid=1943992207" TargetMode="External"/><Relationship Id="rId737" Type="http://schemas.openxmlformats.org/officeDocument/2006/relationships/hyperlink" Target="https://docs.google.com/spreadsheets/d/1gy-TeaQFb42Nzm74M7WVIrGzapKxwN2369XuJtrdR0w/edit?gid=867008428" TargetMode="External"/><Relationship Id="rId615" Type="http://schemas.openxmlformats.org/officeDocument/2006/relationships/hyperlink" Target="https://docs.google.com/spreadsheets/d/1d6gdv8Nof4GinhRI34zUAK4g39SWyPgtTnOciwXRKTU/edit?gid=1690650239" TargetMode="External"/><Relationship Id="rId736" Type="http://schemas.openxmlformats.org/officeDocument/2006/relationships/hyperlink" Target="https://docs.google.com/spreadsheets/d/10uOchTKX-M306_m7Obzql8ILm25XqvO_t8odVtFyH_M/edit?gid=1943992207" TargetMode="External"/><Relationship Id="rId614" Type="http://schemas.openxmlformats.org/officeDocument/2006/relationships/hyperlink" Target="https://docs.google.com/spreadsheets/d/1kiTMlYNR3UttWp9K1kvJnbkJYeaHo5hLh8iweD5mxu4/edit?gid=1943992207" TargetMode="External"/><Relationship Id="rId735" Type="http://schemas.openxmlformats.org/officeDocument/2006/relationships/hyperlink" Target="https://docs.google.com/spreadsheets/d/1J319aPylg85Gla9BY3D1ke9aRa802QXfHCyEcTAdhao/edit?gid=1381478724" TargetMode="External"/><Relationship Id="rId37" Type="http://schemas.openxmlformats.org/officeDocument/2006/relationships/hyperlink" Target="https://docs.google.com/spreadsheets/d/1ZrIPnHhOLoBsRWptQeCz7I9Q9QgTN4XbrkT8Ch98Gm4/edit?gid=1943992207" TargetMode="External"/><Relationship Id="rId36" Type="http://schemas.openxmlformats.org/officeDocument/2006/relationships/hyperlink" Target="https://docs.google.com/spreadsheets/d/1RQx4my_bjJO0E_c3oNsPAES6jYJsu473aydobsslNnY/edit?gid=1943992207" TargetMode="External"/><Relationship Id="rId39" Type="http://schemas.openxmlformats.org/officeDocument/2006/relationships/hyperlink" Target="https://docs.google.com/spreadsheets/d/1-ltwWArVy60qybKm0wR1ovCP_IalH62fF7ewIENsPO0/edit?gid=1943992207" TargetMode="External"/><Relationship Id="rId38" Type="http://schemas.openxmlformats.org/officeDocument/2006/relationships/hyperlink" Target="https://docs.google.com/spreadsheets/d/13s-kHBY0Im74FD-puIOYs1OLLLwUQb-ZSLH0PQYSRmU/edit?gid=1943992207" TargetMode="External"/><Relationship Id="rId730" Type="http://schemas.openxmlformats.org/officeDocument/2006/relationships/hyperlink" Target="https://docs.google.com/spreadsheets/d/1N3PTVRMxNKiZuuIIMfG1KP4RZ9BAxJOuvg_ex4bExQc/edit?gid=1943992207" TargetMode="External"/><Relationship Id="rId20" Type="http://schemas.openxmlformats.org/officeDocument/2006/relationships/hyperlink" Target="https://docs.google.com/spreadsheets/d/1StJStOdAo8WHXsnOn3GZ9cO1y6UUzdHqbwotVFuIZHU/edit?gid=1943992207" TargetMode="External"/><Relationship Id="rId22" Type="http://schemas.openxmlformats.org/officeDocument/2006/relationships/hyperlink" Target="https://docs.google.com/spreadsheets/d/10C-lnbYDIQ3p_znaqcjPl0j48WsnJ_SHy1_3UwUvxbI/edit?gid=1943992207" TargetMode="External"/><Relationship Id="rId21" Type="http://schemas.openxmlformats.org/officeDocument/2006/relationships/hyperlink" Target="https://docs.google.com/spreadsheets/d/1GxZC5n9oMk7_vniZcCO7gBzho3xkZsDz1lNEdw4hJjQ/edit?gid=1943992207" TargetMode="External"/><Relationship Id="rId24" Type="http://schemas.openxmlformats.org/officeDocument/2006/relationships/hyperlink" Target="https://docs.google.com/spreadsheets/d/1kajtYBgPMh_nuWSG30OXACYiiCWvI0qD9kleIB2gakE/edit?gid=1943992207" TargetMode="External"/><Relationship Id="rId23" Type="http://schemas.openxmlformats.org/officeDocument/2006/relationships/hyperlink" Target="https://docs.google.com/spreadsheets/d/1T1Bbi5YtkK0vDGWojwl1s9-C0LFnwvNtGM99Z1e3fXI/edit?gid=1943992207" TargetMode="External"/><Relationship Id="rId409" Type="http://schemas.openxmlformats.org/officeDocument/2006/relationships/hyperlink" Target="https://docs.google.com/spreadsheets/d/15tmxRMDLeBN8MEZDIltLugwUKbHcv3zN9rna3Oqv1Es/edit?gid=1943992207" TargetMode="External"/><Relationship Id="rId404" Type="http://schemas.openxmlformats.org/officeDocument/2006/relationships/hyperlink" Target="https://docs.google.com/spreadsheets/d/1lUZo9oR_frFw3-heGmyu62P7QITknNeX6D445l6m-QQ/edit?gid=1943992207" TargetMode="External"/><Relationship Id="rId525" Type="http://schemas.openxmlformats.org/officeDocument/2006/relationships/hyperlink" Target="https://docs.google.com/spreadsheets/d/1D-9P7T2183CZID7JBvzUlmLYa1A9IFDapWF-wJeJxbM/edit?gid=1464143182" TargetMode="External"/><Relationship Id="rId646" Type="http://schemas.openxmlformats.org/officeDocument/2006/relationships/hyperlink" Target="https://docs.google.com/spreadsheets/d/11NLqPoyKNbWZbusJObh7ifpfbL_IxZOa4I5UgffMojg/edit?gid=1943992207" TargetMode="External"/><Relationship Id="rId403" Type="http://schemas.openxmlformats.org/officeDocument/2006/relationships/hyperlink" Target="https://docs.google.com/spreadsheets/d/1WMs4c-YXZx3TyKZwxwEpnmsA9AHs7JIauBEHdxjFUpk/edit?gid=1943992207" TargetMode="External"/><Relationship Id="rId524" Type="http://schemas.openxmlformats.org/officeDocument/2006/relationships/hyperlink" Target="https://docs.google.com/spreadsheets/d/1QjXoMoPqk_kvYMd-SHWE97FpWlQHydEfZ1DmqVF8MdQ/edit?gid=1237567899" TargetMode="External"/><Relationship Id="rId645" Type="http://schemas.openxmlformats.org/officeDocument/2006/relationships/hyperlink" Target="https://docs.google.com/spreadsheets/d/1vg7QZ1fLBbYmPkkA4eN_xq94W3FbzwS6gW_A9E68WZ4/edit?usp=sharing" TargetMode="External"/><Relationship Id="rId402" Type="http://schemas.openxmlformats.org/officeDocument/2006/relationships/hyperlink" Target="https://docs.google.com/spreadsheets/d/16Q_HyGwnByWxleQBmRjOi9MsQUkAVU87_rUYTbnwonA/edit?gid=1943992207" TargetMode="External"/><Relationship Id="rId523" Type="http://schemas.openxmlformats.org/officeDocument/2006/relationships/hyperlink" Target="https://docs.google.com/spreadsheets/d/17452FtuKy-rjwq0P2xaREIWRpqToaeHU3QHigydVztg/edit?gid=1943992207" TargetMode="External"/><Relationship Id="rId644" Type="http://schemas.openxmlformats.org/officeDocument/2006/relationships/hyperlink" Target="https://docs.google.com/spreadsheets/d/1VDkthD6PvrqvA4wn6PtrmoPM4V6n_9MY8g3t3RXFwR0/edit?usp=sharing" TargetMode="External"/><Relationship Id="rId401" Type="http://schemas.openxmlformats.org/officeDocument/2006/relationships/hyperlink" Target="https://docs.google.com/spreadsheets/d/1afTw86tx5fOVRDF2x97SDKUX3Iqt0zh87BavHCJ1Hw0/edit?gid=1943992207" TargetMode="External"/><Relationship Id="rId522" Type="http://schemas.openxmlformats.org/officeDocument/2006/relationships/hyperlink" Target="https://docs.google.com/spreadsheets/d/1nq2uBCxZAMWFRx4bnTDGkAptZOjW4cXSmTrsKEKfUik/edit?gid=1943992207" TargetMode="External"/><Relationship Id="rId643" Type="http://schemas.openxmlformats.org/officeDocument/2006/relationships/hyperlink" Target="https://docs.google.com/spreadsheets/d/1op6D1w3tW5fAhIpXmDEpGL4iKOagCNIbs7A5DFNr-Pw/edit?usp=sharing" TargetMode="External"/><Relationship Id="rId408" Type="http://schemas.openxmlformats.org/officeDocument/2006/relationships/hyperlink" Target="https://docs.google.com/spreadsheets/d/1Hzun_th5N0NOCeDdHpydMPxMgQplGXkeubp-E8cgFco/edit?gid=1886256404" TargetMode="External"/><Relationship Id="rId529" Type="http://schemas.openxmlformats.org/officeDocument/2006/relationships/hyperlink" Target="https://docs.google.com/spreadsheets/d/159BokYrrlpk2jPW76BxKufAsnK_ZMBnFhSkrAgRrjLQ/edit?gid=1943992207" TargetMode="External"/><Relationship Id="rId407" Type="http://schemas.openxmlformats.org/officeDocument/2006/relationships/hyperlink" Target="https://docs.google.com/spreadsheets/d/1uT4su1Fv2VJIbCRHCFQPLlPh-hdMdhoU6WzsuSfX-YI/edit?gid=229998433" TargetMode="External"/><Relationship Id="rId528" Type="http://schemas.openxmlformats.org/officeDocument/2006/relationships/hyperlink" Target="https://docs.google.com/spreadsheets/d/1xfSf44qpyVWyVH52BlcpgNEYcdCsyrjGzaDNTog_eGM/edit?gid=1943992207" TargetMode="External"/><Relationship Id="rId649" Type="http://schemas.openxmlformats.org/officeDocument/2006/relationships/hyperlink" Target="https://docs.google.com/spreadsheets/d/1ZpuMrs4Q_OPhtenAZhW7SqRv8gR5jOeS7Zs90-oFSLg/edit?gid=1943992207" TargetMode="External"/><Relationship Id="rId406" Type="http://schemas.openxmlformats.org/officeDocument/2006/relationships/hyperlink" Target="https://docs.google.com/spreadsheets/d/1mIOxaO3hU_kvdmpxV4NSnTXcp_SO9rQfvWxb_rKz6AQ/edit?gid=883348419" TargetMode="External"/><Relationship Id="rId527" Type="http://schemas.openxmlformats.org/officeDocument/2006/relationships/hyperlink" Target="https://docs.google.com/spreadsheets/d/1kcGvnQj__MR2oG2QdxlDOPvmA19bkD7OHNQi6bw3F-I/edit?gid=1943992207" TargetMode="External"/><Relationship Id="rId648" Type="http://schemas.openxmlformats.org/officeDocument/2006/relationships/hyperlink" Target="https://docs.google.com/spreadsheets/d/1PQWe2Z5LHQLwM554_sUBcAX2JCcrRE7zobkw28yl-YU/edit?gid=1943992207" TargetMode="External"/><Relationship Id="rId405" Type="http://schemas.openxmlformats.org/officeDocument/2006/relationships/hyperlink" Target="https://docs.google.com/spreadsheets/d/1vMtppeXtcVX_z0J-BKcz-mzl6Rucg-MjJ9jNsXSNPNM/edit?gid=1943992207" TargetMode="External"/><Relationship Id="rId526" Type="http://schemas.openxmlformats.org/officeDocument/2006/relationships/hyperlink" Target="https://docs.google.com/spreadsheets/d/1gFTCLbGqLD2Y2sgsg_aBfDAKzGCh_c9R2uPtZpFQWbU/edit?gid=1943992207" TargetMode="External"/><Relationship Id="rId647" Type="http://schemas.openxmlformats.org/officeDocument/2006/relationships/hyperlink" Target="https://docs.google.com/spreadsheets/d/1kRkhxfwyJM5335K2x7-obpHy9lHOZsyzb4mKmsUBzJw/edit?gid=1943992207" TargetMode="External"/><Relationship Id="rId26" Type="http://schemas.openxmlformats.org/officeDocument/2006/relationships/hyperlink" Target="https://docs.google.com/spreadsheets/d/1zMF9VtZQyEy1Z84nDL-0PgoA_a1J0tX128SM8W6juoY/edit?gid=1943992207" TargetMode="External"/><Relationship Id="rId25" Type="http://schemas.openxmlformats.org/officeDocument/2006/relationships/hyperlink" Target="https://docs.google.com/spreadsheets/d/1_Bqc42jhVe5GbidLBGsRrp3zBbYuVmvF_IXhv-4vlok/edit?gid=1943992207" TargetMode="External"/><Relationship Id="rId28" Type="http://schemas.openxmlformats.org/officeDocument/2006/relationships/hyperlink" Target="https://docs.google.com/spreadsheets/d/1MG9kJ8JQ1QKlnI0v0ch0r7tSolkeD8dDSTiB4amph1o/edit?gid=1943992207" TargetMode="External"/><Relationship Id="rId27" Type="http://schemas.openxmlformats.org/officeDocument/2006/relationships/hyperlink" Target="https://docs.google.com/spreadsheets/d/1qWkVnikCQ3heZ4dJdWs6PIdt7nyaf7eE7ukVJ3hIL-0/edit?gid=1943992207" TargetMode="External"/><Relationship Id="rId400" Type="http://schemas.openxmlformats.org/officeDocument/2006/relationships/hyperlink" Target="https://docs.google.com/spreadsheets/d/1VoBg6AY_P-hFV0Ypb-2Fy-wJTT4ia_KiEzGMXNh1R4k/edit?gid=1943992207" TargetMode="External"/><Relationship Id="rId521" Type="http://schemas.openxmlformats.org/officeDocument/2006/relationships/hyperlink" Target="https://docs.google.com/spreadsheets/d/13gKyfOEyT1OiHLltq736flBAtXJ5lc6i_ox1RD8tJWA/edit?gid=1943992207" TargetMode="External"/><Relationship Id="rId642" Type="http://schemas.openxmlformats.org/officeDocument/2006/relationships/hyperlink" Target="https://docs.google.com/spreadsheets/d/1ldj6Pe_XzPFYUTdChbE0mfPFQZDQguDvMs8QQQ6PBt4/edit?usp=sharing" TargetMode="External"/><Relationship Id="rId29" Type="http://schemas.openxmlformats.org/officeDocument/2006/relationships/hyperlink" Target="https://docs.google.com/spreadsheets/d/1IgqCWMtAKDdv7B9hxCNL1GmPeNUmqPzz8ZDkkJfmrU4/edit?gid=1943992207" TargetMode="External"/><Relationship Id="rId520" Type="http://schemas.openxmlformats.org/officeDocument/2006/relationships/hyperlink" Target="https://docs.google.com/spreadsheets/d/1pSKjlOSPjXRxSiBz5TA169YBlKSTJ6VWwZKKJDGFs1A/edit?gid=779062759" TargetMode="External"/><Relationship Id="rId641" Type="http://schemas.openxmlformats.org/officeDocument/2006/relationships/hyperlink" Target="https://docs.google.com/spreadsheets/d/1z1_PH8V1N34GPAbtyhsp0NsHG2Y-hiMezPHAHJ7ashg/edit?usp=sharing" TargetMode="External"/><Relationship Id="rId640" Type="http://schemas.openxmlformats.org/officeDocument/2006/relationships/hyperlink" Target="https://docs.google.com/spreadsheets/d/1SCb8KcKXkR7QXInMbddeoXUq7WyLHmu82ffqJqdfFlc/edit?usp=sharing" TargetMode="External"/><Relationship Id="rId11" Type="http://schemas.openxmlformats.org/officeDocument/2006/relationships/hyperlink" Target="https://docs.google.com/spreadsheets/d/1vASPO4PP_ublaRSK7gMPUkMqmAmO5y_XmYJv-gHTnx0/edit?gid=1943992207" TargetMode="External"/><Relationship Id="rId10" Type="http://schemas.openxmlformats.org/officeDocument/2006/relationships/hyperlink" Target="https://docs.google.com/spreadsheets/d/1JXjn0iKuOiev22DtZV6l5b_B39qYzTFjGHOS4zRJ9gs/edit?gid=1943992207" TargetMode="External"/><Relationship Id="rId13" Type="http://schemas.openxmlformats.org/officeDocument/2006/relationships/hyperlink" Target="https://docs.google.com/spreadsheets/d/1gnLO_7lNnmFEptjGFeDqZL26d2fAZcdEuIghNikR4DY/edit?gid=1943992207" TargetMode="External"/><Relationship Id="rId12" Type="http://schemas.openxmlformats.org/officeDocument/2006/relationships/hyperlink" Target="https://docs.google.com/spreadsheets/d/1uFZj6Ot00kC1jShLVYR-eFzt7agEa6Tz0_2VdDicDvA/edit?gid=1943992207" TargetMode="External"/><Relationship Id="rId519" Type="http://schemas.openxmlformats.org/officeDocument/2006/relationships/hyperlink" Target="https://docs.google.com/spreadsheets/d/1kBSP020_eRa02lp3XA1Cyi9PEa5YaN8uCNLK9ubIVbo/edit?gid=1943992207" TargetMode="External"/><Relationship Id="rId514" Type="http://schemas.openxmlformats.org/officeDocument/2006/relationships/hyperlink" Target="https://docs.google.com/spreadsheets/d/1OIsEMyZGfqTCg7L4lvVbbjaXA2hzD-EZA759NDrJWF4/edit?gid=1943992207" TargetMode="External"/><Relationship Id="rId635" Type="http://schemas.openxmlformats.org/officeDocument/2006/relationships/hyperlink" Target="https://docs.google.com/spreadsheets/d/13Izt7IEe6NuP45MqpHSTfRg6qYPjBtvctxHTX4WzTwk/edit?gid=1943992207" TargetMode="External"/><Relationship Id="rId756" Type="http://schemas.openxmlformats.org/officeDocument/2006/relationships/vmlDrawing" Target="../drawings/vmlDrawing2.vml"/><Relationship Id="rId513" Type="http://schemas.openxmlformats.org/officeDocument/2006/relationships/hyperlink" Target="https://docs.google.com/spreadsheets/d/1X4Vqa1joK301Ba6BG5OyLx13cpA0O6QF_QPbmT8PBJI/edit?gid=1943992207" TargetMode="External"/><Relationship Id="rId634" Type="http://schemas.openxmlformats.org/officeDocument/2006/relationships/hyperlink" Target="https://docs.google.com/spreadsheets/d/1BB9mPPGkVlZc5Vi7Dk-OK8-_kn-We25W8Xw6kN0G6ow/edit?gid=1158570068" TargetMode="External"/><Relationship Id="rId755" Type="http://schemas.openxmlformats.org/officeDocument/2006/relationships/drawing" Target="../drawings/drawing2.xml"/><Relationship Id="rId512" Type="http://schemas.openxmlformats.org/officeDocument/2006/relationships/hyperlink" Target="https://docs.google.com/spreadsheets/d/1YW7I-2sCYwWQQOEjFaBwHXXmH7pEF0cQtciuv5pFM6k/edit?gid=1943992207" TargetMode="External"/><Relationship Id="rId633" Type="http://schemas.openxmlformats.org/officeDocument/2006/relationships/hyperlink" Target="https://docs.google.com/spreadsheets/d/1WtpJVrCs_KEwo5jvcWwIakDSN1h-GGMJXuq65iYr3BM/edit?gid=1943992207" TargetMode="External"/><Relationship Id="rId754" Type="http://schemas.openxmlformats.org/officeDocument/2006/relationships/hyperlink" Target="https://docs.google.com/spreadsheets/d/12ctCoOGZZftiJHe1bqreN2gc_OVCLDmmWWdcosvKBro/edit?gid=397671178" TargetMode="External"/><Relationship Id="rId511" Type="http://schemas.openxmlformats.org/officeDocument/2006/relationships/hyperlink" Target="https://docs.google.com/spreadsheets/d/1QbEtot0iXtdkfu6AZdt7kMxSH4t-GmC4b5LuTOW1xtU/edit?gid=1943992207" TargetMode="External"/><Relationship Id="rId632" Type="http://schemas.openxmlformats.org/officeDocument/2006/relationships/hyperlink" Target="https://docs.google.com/spreadsheets/d/1DmcHfQ1VJspc4KMdFM1ndp6WmOUTm8VPJSliCRlqGMc/edit?gid=1943992207" TargetMode="External"/><Relationship Id="rId753" Type="http://schemas.openxmlformats.org/officeDocument/2006/relationships/hyperlink" Target="https://docs.google.com/spreadsheets/d/1Mk1OusJtJMOBKCUcOo-cJ_NeuIeoChjR5AXA1wkI858/edit?gid=1943992207" TargetMode="External"/><Relationship Id="rId518" Type="http://schemas.openxmlformats.org/officeDocument/2006/relationships/hyperlink" Target="https://docs.google.com/spreadsheets/d/1b1CFlS65uPFYSzfVBK81cjA6mBcxcmNTX2YIl1ksLN0/edit?gid=1943992207" TargetMode="External"/><Relationship Id="rId639" Type="http://schemas.openxmlformats.org/officeDocument/2006/relationships/hyperlink" Target="https://docs.google.com/spreadsheets/d/1Y4K99h1TI-xAsedQPBc-XlS7VL2lXCxfPZB4QSDLImI/edit?usp=sharing" TargetMode="External"/><Relationship Id="rId517" Type="http://schemas.openxmlformats.org/officeDocument/2006/relationships/hyperlink" Target="https://docs.google.com/spreadsheets/d/1I3kF8sA-uhvYNgECLjLePfuUQ5KsqI32mL7RolbRS6o/edit?gid=1386064735" TargetMode="External"/><Relationship Id="rId638" Type="http://schemas.openxmlformats.org/officeDocument/2006/relationships/hyperlink" Target="https://docs.google.com/spreadsheets/d/196rYYzo0pIlbV4RogNOwOIbewcIeIJGiQ87_y4ZL-MI/edit?usp=sharing" TargetMode="External"/><Relationship Id="rId516" Type="http://schemas.openxmlformats.org/officeDocument/2006/relationships/hyperlink" Target="https://docs.google.com/spreadsheets/d/1r4n07S7ttCyvcZ6I4SDDHjnz1F0QiSLcTREY4Ew_6mQ/edit?gid=1943992207" TargetMode="External"/><Relationship Id="rId637" Type="http://schemas.openxmlformats.org/officeDocument/2006/relationships/hyperlink" Target="https://docs.google.com/spreadsheets/d/1j2eC_itOxEZfJy1uPLKaZCF24FP2BSkFGfAug4WYhVY/edit?gid=1943992207" TargetMode="External"/><Relationship Id="rId515" Type="http://schemas.openxmlformats.org/officeDocument/2006/relationships/hyperlink" Target="https://docs.google.com/spreadsheets/d/1OMZpspjZyQSScgVivk-mkGXWC1Sq3rNk8TNJR-XeRNI/edit?gid=36556612" TargetMode="External"/><Relationship Id="rId636" Type="http://schemas.openxmlformats.org/officeDocument/2006/relationships/hyperlink" Target="https://docs.google.com/spreadsheets/d/1inkKh7mPBQkdMRczjBh-gbpokYxF4kVIaH09lRZWNW4/edit?gid=1548827396" TargetMode="External"/><Relationship Id="rId15" Type="http://schemas.openxmlformats.org/officeDocument/2006/relationships/hyperlink" Target="https://docs.google.com/spreadsheets/d/1JOjjRhcUGFFGwbvd_oq4DmyjS_NYhuTJ9G3spgEmNtU/edit?gid=1943992207" TargetMode="External"/><Relationship Id="rId14" Type="http://schemas.openxmlformats.org/officeDocument/2006/relationships/hyperlink" Target="https://docs.google.com/spreadsheets/d/1U5qWfV21WV_36fNW1GGnZGLHRG3YlUbxN4IdfMFfhfE/edit?gid=1943992207" TargetMode="External"/><Relationship Id="rId17" Type="http://schemas.openxmlformats.org/officeDocument/2006/relationships/hyperlink" Target="https://docs.google.com/spreadsheets/d/112nXBZh_zZ_GrTKphY6UlIfwf3xRr2FFHvn8EfokGlc/edit?gid=1943992207" TargetMode="External"/><Relationship Id="rId16" Type="http://schemas.openxmlformats.org/officeDocument/2006/relationships/hyperlink" Target="https://docs.google.com/spreadsheets/d/1U9blw_lkL1KNOzdcGKGq0kNtYGGy-HWB0OoqsJh5SgQ/edit?gid=1943992207" TargetMode="External"/><Relationship Id="rId19" Type="http://schemas.openxmlformats.org/officeDocument/2006/relationships/hyperlink" Target="https://docs.google.com/spreadsheets/d/1W_El63Ez-ncHZTJgo2K4vnWi1xw0Sg6pNvvnLb6KyXM/edit?gid=1943992207" TargetMode="External"/><Relationship Id="rId510" Type="http://schemas.openxmlformats.org/officeDocument/2006/relationships/hyperlink" Target="https://docs.google.com/spreadsheets/d/1_UJVM6GXoyuxf4ahAOHHpY4NZPgkqXYI6WN7rqzxh6w/edit?gid=1492853138" TargetMode="External"/><Relationship Id="rId631" Type="http://schemas.openxmlformats.org/officeDocument/2006/relationships/hyperlink" Target="https://docs.google.com/spreadsheets/d/1JkblWbz0r61hzACAa8Ee0KBF4RRgCy6FWBdsZBi92uc/edit?gid=1943992207" TargetMode="External"/><Relationship Id="rId752" Type="http://schemas.openxmlformats.org/officeDocument/2006/relationships/hyperlink" Target="https://docs.google.com/spreadsheets/d/1tBISVjLIDIcfB5aA4oEb_qEXOqZUvUhGa_vjJuq8Dwo/edit?gid=1943992207" TargetMode="External"/><Relationship Id="rId18" Type="http://schemas.openxmlformats.org/officeDocument/2006/relationships/hyperlink" Target="https://docs.google.com/spreadsheets/d/1irOHD8fGYtumzI6cBC1VWnsTpaMn3v6VVUz2pCkXmtc/edit?gid=1943992207" TargetMode="External"/><Relationship Id="rId630" Type="http://schemas.openxmlformats.org/officeDocument/2006/relationships/hyperlink" Target="https://docs.google.com/spreadsheets/d/1Pixcv85gx9mJZoRC9ygeq8pljiYNBTmV8A3qBuaidE4/edit?gid=1943992207" TargetMode="External"/><Relationship Id="rId751" Type="http://schemas.openxmlformats.org/officeDocument/2006/relationships/hyperlink" Target="https://docs.google.com/spreadsheets/d/1PkNuRTxP0kFKLJu6ghMSYQUZaN3fh2kXkSMSGobB76Q/edit?gid=1715453197" TargetMode="External"/><Relationship Id="rId750" Type="http://schemas.openxmlformats.org/officeDocument/2006/relationships/hyperlink" Target="https://docs.google.com/spreadsheets/d/1ph4ZtNFVRYjwpLkQPzVYjJZ6ZtIIxSFSZ2GnF2jd6i0/edit?gid=1943992207" TargetMode="External"/><Relationship Id="rId84" Type="http://schemas.openxmlformats.org/officeDocument/2006/relationships/hyperlink" Target="https://docs.google.com/spreadsheets/d/1Lu1C3KQ-ZwjF_OVrEsc78xkgCn4fR2Raiyt_bDdrARg/edit?gid=1943992207" TargetMode="External"/><Relationship Id="rId83" Type="http://schemas.openxmlformats.org/officeDocument/2006/relationships/hyperlink" Target="https://docs.google.com/spreadsheets/d/1KW4C3Zt4yIg3YqF7H_OB3i4V3x8Xtop2v16v4I8GO00/edit?gid=1943992207" TargetMode="External"/><Relationship Id="rId86" Type="http://schemas.openxmlformats.org/officeDocument/2006/relationships/hyperlink" Target="https://docs.google.com/spreadsheets/d/1nVHBx5xAktCepS4iKhRuI46JzvFNkUvFVLgyPI04EI4/edit?gid=1943992207" TargetMode="External"/><Relationship Id="rId85" Type="http://schemas.openxmlformats.org/officeDocument/2006/relationships/hyperlink" Target="https://docs.google.com/spreadsheets/d/12-lJbJSHseEDJzqTP9FILAWcTjt5fqjcJRiXrTWyXKg/edit?gid=1943992207" TargetMode="External"/><Relationship Id="rId88" Type="http://schemas.openxmlformats.org/officeDocument/2006/relationships/hyperlink" Target="https://docs.google.com/spreadsheets/d/1JbdSlerQ7c-N-H7kMNvSUZ4_qoqBWCOTk0mm4iL1T-I/edit?gid=1943992207" TargetMode="External"/><Relationship Id="rId87" Type="http://schemas.openxmlformats.org/officeDocument/2006/relationships/hyperlink" Target="https://docs.google.com/spreadsheets/d/1YnJqs0zK-hP3gcmIEzhuoL2utRR4LXqzT-qbfmJ0YGY/edit?gid=1943992207" TargetMode="External"/><Relationship Id="rId89" Type="http://schemas.openxmlformats.org/officeDocument/2006/relationships/hyperlink" Target="https://docs.google.com/spreadsheets/d/1y5WUVPJ9Zb0qRkoelDDDdDGGWZSEbefNNqMZ9G85wGA/edit?gid=1943992207" TargetMode="External"/><Relationship Id="rId709" Type="http://schemas.openxmlformats.org/officeDocument/2006/relationships/hyperlink" Target="https://docs.google.com/spreadsheets/d/1bEQzClfG_005uEcWuhEM-vIXvtKHyz5Va2xZgc5nAXI/edit?gid=197694362" TargetMode="External"/><Relationship Id="rId708" Type="http://schemas.openxmlformats.org/officeDocument/2006/relationships/hyperlink" Target="https://docs.google.com/spreadsheets/d/1CvnhSwvisLORod6lv9I_mqsBs-PkCiqkFn-ssnqufjI/edit?gid=1084666910" TargetMode="External"/><Relationship Id="rId707" Type="http://schemas.openxmlformats.org/officeDocument/2006/relationships/hyperlink" Target="https://docs.google.com/spreadsheets/d/1OhtcJGv9YFu1xmQbEsfwzX0t2uSgbHauLuYY859K2Dg/edit?gid=1943992207" TargetMode="External"/><Relationship Id="rId706" Type="http://schemas.openxmlformats.org/officeDocument/2006/relationships/hyperlink" Target="https://docs.google.com/spreadsheets/d/1orBVw8jhvf5dO9aQ1ZGDoOSGe26uLF02fhyO6kbkDvw/edit?gid=1943992207" TargetMode="External"/><Relationship Id="rId80" Type="http://schemas.openxmlformats.org/officeDocument/2006/relationships/hyperlink" Target="https://docs.google.com/spreadsheets/d/1mo2e2H6tvHh5FedvX8GYeYHzrVUsDGYNrojIK5Hf3x8/edit?gid=1943992207" TargetMode="External"/><Relationship Id="rId82" Type="http://schemas.openxmlformats.org/officeDocument/2006/relationships/hyperlink" Target="https://docs.google.com/spreadsheets/d/15IERnYrqEFfJC9_IVkvDl5UZUCTaR8W0YPbIdPSVrbs/edit?gid=1943992207" TargetMode="External"/><Relationship Id="rId81" Type="http://schemas.openxmlformats.org/officeDocument/2006/relationships/hyperlink" Target="https://docs.google.com/spreadsheets/d/1DpPsN9b1zReiBuXLLD5z9SxtiRreJ41ydzLlO-9BqkM/edit?gid=1943992207" TargetMode="External"/><Relationship Id="rId701" Type="http://schemas.openxmlformats.org/officeDocument/2006/relationships/hyperlink" Target="https://docs.google.com/spreadsheets/d/1BV_zq4Qi5tWJKtUaWLAp6tYHFQB5P8IoVc2xKxgePug/edit?gid=1943992207" TargetMode="External"/><Relationship Id="rId700" Type="http://schemas.openxmlformats.org/officeDocument/2006/relationships/hyperlink" Target="https://docs.google.com/spreadsheets/d/1zsGvVrvElKkRWEWp6rj5lyyhAoM78dbEPxrPqZtQ02o/edit?gid=468833446" TargetMode="External"/><Relationship Id="rId705" Type="http://schemas.openxmlformats.org/officeDocument/2006/relationships/hyperlink" Target="https://docs.google.com/spreadsheets/d/1dEVT2H3sDSvVyrEjl5Zx-llikCdWDS0aSVSFH_JWydA/edit?gid=1943992207" TargetMode="External"/><Relationship Id="rId704" Type="http://schemas.openxmlformats.org/officeDocument/2006/relationships/hyperlink" Target="https://docs.google.com/spreadsheets/d/1-d5bVGOh7s_efd9ShBSzDRVF1y-Ol-PVudRyDxFRW8E/edit?gid=1943992207" TargetMode="External"/><Relationship Id="rId703" Type="http://schemas.openxmlformats.org/officeDocument/2006/relationships/hyperlink" Target="https://docs.google.com/spreadsheets/d/175v3EBP7eNOExKYSD6gsuxIou10ULjru4hwg4Qg6KTo/edit?gid=212518030" TargetMode="External"/><Relationship Id="rId702" Type="http://schemas.openxmlformats.org/officeDocument/2006/relationships/hyperlink" Target="https://docs.google.com/spreadsheets/d/1RnTgNtBaeEHXQNTIoiScUovBJYsunXvq0mc1NhenI78/edit?gid=1943992207" TargetMode="External"/><Relationship Id="rId73" Type="http://schemas.openxmlformats.org/officeDocument/2006/relationships/hyperlink" Target="https://docs.google.com/spreadsheets/d/1h0fKexXeouYvoh1AFsVP8VNUo3O5BZBiqd2K6BrPyIA/edit?gid=1943992207" TargetMode="External"/><Relationship Id="rId72" Type="http://schemas.openxmlformats.org/officeDocument/2006/relationships/hyperlink" Target="https://docs.google.com/spreadsheets/d/18Ez-bxklAJtOMwJABxg9J_hH6bN55MQBK0qnx5IR7_0/edit?gid=1943992207" TargetMode="External"/><Relationship Id="rId75" Type="http://schemas.openxmlformats.org/officeDocument/2006/relationships/hyperlink" Target="https://docs.google.com/spreadsheets/d/1ZcMFLRoxx0rzgpUVq5FFT2Y2nuN63AYQAgVrxYalsdU/edit?gid=1943992207" TargetMode="External"/><Relationship Id="rId74" Type="http://schemas.openxmlformats.org/officeDocument/2006/relationships/hyperlink" Target="https://docs.google.com/spreadsheets/d/1q8c3jfdXMF9sfP3LUxYhwLL_6dGnkgQNE4fLrpn3ya4/edit?gid=1943992207" TargetMode="External"/><Relationship Id="rId77" Type="http://schemas.openxmlformats.org/officeDocument/2006/relationships/hyperlink" Target="https://docs.google.com/spreadsheets/d/1ZjxGppu4DVv-jBiES6tjDYZhQZvrCXa5F2e43oFvmJY/edit?gid=1943992207" TargetMode="External"/><Relationship Id="rId76" Type="http://schemas.openxmlformats.org/officeDocument/2006/relationships/hyperlink" Target="https://docs.google.com/spreadsheets/d/1468hUyIpWMX-YjXg_kUUByYROKZc9Sf2ckUA8G1CCxg/edit?gid=1943992207" TargetMode="External"/><Relationship Id="rId79" Type="http://schemas.openxmlformats.org/officeDocument/2006/relationships/hyperlink" Target="https://docs.google.com/spreadsheets/d/1Rid0p3WaGVS9C4yZdWrF80akS7d7ZqS0qafxgwelaow/edit?gid=1943992207" TargetMode="External"/><Relationship Id="rId78" Type="http://schemas.openxmlformats.org/officeDocument/2006/relationships/hyperlink" Target="https://docs.google.com/spreadsheets/d/17-pot346TVLO_I3VIze8iglwm08Wstah92Sn0i7O-J4/edit?gid=1943992207" TargetMode="External"/><Relationship Id="rId71" Type="http://schemas.openxmlformats.org/officeDocument/2006/relationships/hyperlink" Target="https://docs.google.com/spreadsheets/d/1YNITh4dQPJZRIlMS3LbhGwM68xFG-a9Q4hqhI2A0kEs/edit?gid=1943992207" TargetMode="External"/><Relationship Id="rId70" Type="http://schemas.openxmlformats.org/officeDocument/2006/relationships/hyperlink" Target="https://docs.google.com/spreadsheets/d/1yKwh58a7rgc4xCJdiaaffsFk9NAP-BtWb3thzdSM-RQ/edit?gid=1943992207" TargetMode="External"/><Relationship Id="rId62" Type="http://schemas.openxmlformats.org/officeDocument/2006/relationships/hyperlink" Target="https://docs.google.com/spreadsheets/d/19rAP-wS_FzjVKser9J5rwLfq4Fqxjy2hGmIfFEgnDIU/edit?gid=1943992207" TargetMode="External"/><Relationship Id="rId61" Type="http://schemas.openxmlformats.org/officeDocument/2006/relationships/hyperlink" Target="https://docs.google.com/spreadsheets/d/1Jy-s0QDHb5uHY8KWoBQs4_Xe23yKJQ3vzAm6-7ePfjw/edit?gid=1943992207" TargetMode="External"/><Relationship Id="rId64" Type="http://schemas.openxmlformats.org/officeDocument/2006/relationships/hyperlink" Target="https://docs.google.com/spreadsheets/d/11CBveHEp4DiabOMHTpyfL3ftDK6yMjkldJJp5eXW8OU/edit?gid=1943992207" TargetMode="External"/><Relationship Id="rId63" Type="http://schemas.openxmlformats.org/officeDocument/2006/relationships/hyperlink" Target="https://docs.google.com/spreadsheets/d/1lHklmAdoxtfhp0PAgM01W-e6EchkKI4wSlrxGIEao-w/edit?gid=1943992207" TargetMode="External"/><Relationship Id="rId66" Type="http://schemas.openxmlformats.org/officeDocument/2006/relationships/hyperlink" Target="https://docs.google.com/spreadsheets/d/1au5dPtHsD3TszNjErMoEbVqyNn03GFpB7-gQjHnvXE4/edit?gid=1943992207" TargetMode="External"/><Relationship Id="rId65" Type="http://schemas.openxmlformats.org/officeDocument/2006/relationships/hyperlink" Target="https://docs.google.com/spreadsheets/d/1nTc4DlcrkOmCGomy9fDeN9N5osOZGXlWpr7mJQLn8mE/edit?gid=1943992207" TargetMode="External"/><Relationship Id="rId68" Type="http://schemas.openxmlformats.org/officeDocument/2006/relationships/hyperlink" Target="https://docs.google.com/spreadsheets/d/1VZ_iYxHg7qlKcD_gOQRmJqlvF3X8plRrNlfqpKBfIe4/edit?gid=1943992207" TargetMode="External"/><Relationship Id="rId67" Type="http://schemas.openxmlformats.org/officeDocument/2006/relationships/hyperlink" Target="https://docs.google.com/spreadsheets/d/1tssWdVGvWnjh5gasxR2vq2rqGR3GyNJ6y3V0VnFAO0Y/edit?gid=1943992207" TargetMode="External"/><Relationship Id="rId609" Type="http://schemas.openxmlformats.org/officeDocument/2006/relationships/hyperlink" Target="https://docs.google.com/spreadsheets/d/1xyAXzW3veXaUlCvoqIIXGYlqHlYUwotOWNM0BHjrzwY/edit?gid=1943992207" TargetMode="External"/><Relationship Id="rId608" Type="http://schemas.openxmlformats.org/officeDocument/2006/relationships/hyperlink" Target="https://docs.google.com/spreadsheets/d/14QtKDUZVN6M4UeLm-46IeanqJltlcXeaPuyYrRCsN-8/edit?gid=1943992207" TargetMode="External"/><Relationship Id="rId729" Type="http://schemas.openxmlformats.org/officeDocument/2006/relationships/hyperlink" Target="https://docs.google.com/spreadsheets/d/1aSmitWj1lBuLtY2--UWc2Gbolc3kAlxArEk6UrQQDFw/edit?gid=2136265734" TargetMode="External"/><Relationship Id="rId607" Type="http://schemas.openxmlformats.org/officeDocument/2006/relationships/hyperlink" Target="https://docs.google.com/spreadsheets/d/1r2wLXg7rdxHZQYxd4XF6NKtqyXLZn7RrtT-TmzzUusU/edit?gid=1943992207" TargetMode="External"/><Relationship Id="rId728" Type="http://schemas.openxmlformats.org/officeDocument/2006/relationships/hyperlink" Target="https://docs.google.com/spreadsheets/d/1cUAO2cEJPW8DghLHLnrHU8ZjKavCUIILuiRA__kFO5w/edit?gid=1621801545" TargetMode="External"/><Relationship Id="rId60" Type="http://schemas.openxmlformats.org/officeDocument/2006/relationships/hyperlink" Target="https://docs.google.com/spreadsheets/d/1ItgLwfoTHjdIBv5yG7qwFTxN78m8N0NBaRbeJdKf7ko/edit?gid=1943992207" TargetMode="External"/><Relationship Id="rId602" Type="http://schemas.openxmlformats.org/officeDocument/2006/relationships/hyperlink" Target="https://docs.google.com/spreadsheets/d/1HmHoUrbXBqfzkULMPtEvSfjBvu2rxmQMxYnUyYQQkv4/edit?gid=1943992207" TargetMode="External"/><Relationship Id="rId723" Type="http://schemas.openxmlformats.org/officeDocument/2006/relationships/hyperlink" Target="https://docs.google.com/spreadsheets/d/1ia_VO_fzxHUKlFKzK_Hw6DHbsZ0Owpuv0OeSsX0BuiY/edit?gid=1943992207" TargetMode="External"/><Relationship Id="rId601" Type="http://schemas.openxmlformats.org/officeDocument/2006/relationships/hyperlink" Target="https://docs.google.com/spreadsheets/d/1lcEBWk_gxGhR3JWL47hywFfzVB5DATICaEMIveOExKc/edit?gid=1943992207" TargetMode="External"/><Relationship Id="rId722" Type="http://schemas.openxmlformats.org/officeDocument/2006/relationships/hyperlink" Target="https://docs.google.com/spreadsheets/d/1IqUzfy3tRdBT-vpSVhlvq8lHRQtlYTf0KmKvlgmLHvA/edit?gid=1943992207" TargetMode="External"/><Relationship Id="rId600" Type="http://schemas.openxmlformats.org/officeDocument/2006/relationships/hyperlink" Target="https://docs.google.com/spreadsheets/d/1qsG9P2Y_Dix9kI3oxbQGaqiaHRk0dlBVAshbZGSHLNo/edit?gid=152021700" TargetMode="External"/><Relationship Id="rId721" Type="http://schemas.openxmlformats.org/officeDocument/2006/relationships/hyperlink" Target="https://docs.google.com/spreadsheets/d/1w7rQa9n7sWWrTvWvEZsEVCteZtv-ZRZim55BkkZcdx0/edit?usp=sharing" TargetMode="External"/><Relationship Id="rId720" Type="http://schemas.openxmlformats.org/officeDocument/2006/relationships/hyperlink" Target="https://docs.google.com/spreadsheets/d/1O28Euip3--8aumlMS4CvU7xKRPVdAzmunJ43o959Wuk/edit?usp=sharing" TargetMode="External"/><Relationship Id="rId606" Type="http://schemas.openxmlformats.org/officeDocument/2006/relationships/hyperlink" Target="https://docs.google.com/spreadsheets/d/1ydNTFzVBEfd2rSqCFJLhaCpozmbb3SAZMCPt73hu-lM/edit?gid=1943992207" TargetMode="External"/><Relationship Id="rId727" Type="http://schemas.openxmlformats.org/officeDocument/2006/relationships/hyperlink" Target="https://docs.google.com/spreadsheets/d/1oCipLODORir-KE8duTlASlpQNh2J2J1a2YW5b1UG7_U/edit?gid=1233545549" TargetMode="External"/><Relationship Id="rId605" Type="http://schemas.openxmlformats.org/officeDocument/2006/relationships/hyperlink" Target="https://docs.google.com/spreadsheets/d/1q_vWXX1Cm0DxJBrKB2UMuPiTn5xEr9kEcJoHnDrjo-c/edit?gid=1943992207" TargetMode="External"/><Relationship Id="rId726" Type="http://schemas.openxmlformats.org/officeDocument/2006/relationships/hyperlink" Target="https://docs.google.com/spreadsheets/d/1gDsW5u9AuPB-ZvVAtoYeExqxIguFVfv_LXeIvcl6DzU/edit?gid=1943992207" TargetMode="External"/><Relationship Id="rId604" Type="http://schemas.openxmlformats.org/officeDocument/2006/relationships/hyperlink" Target="https://docs.google.com/spreadsheets/d/1LEsurCbhi1dYjl-2T0PDlyAao8E7tSRLFlP_ozDZQBY/edit?gid=1943992207" TargetMode="External"/><Relationship Id="rId725" Type="http://schemas.openxmlformats.org/officeDocument/2006/relationships/hyperlink" Target="https://docs.google.com/spreadsheets/d/1dmjKUNSwCzjsTi2AAiUnQVgDhyn1r3wZ9KhYjVeLiG8/edit?gid=1943992207" TargetMode="External"/><Relationship Id="rId603" Type="http://schemas.openxmlformats.org/officeDocument/2006/relationships/hyperlink" Target="https://docs.google.com/spreadsheets/d/1ZFeU01Xj_lIGDgchTL6muXtucnbYSJvFus0GGO4Pcdg/edit?gid=567689624" TargetMode="External"/><Relationship Id="rId724" Type="http://schemas.openxmlformats.org/officeDocument/2006/relationships/hyperlink" Target="https://docs.google.com/spreadsheets/d/16VADy9OjS5K-zvSjlglEGHpu1E64Gk9NQEOadEqwJAQ/edit?gid=1943992207" TargetMode="External"/><Relationship Id="rId69" Type="http://schemas.openxmlformats.org/officeDocument/2006/relationships/hyperlink" Target="https://docs.google.com/spreadsheets/d/17e3UVYjN_1MazkQ1FwAssaOfq9YaDrchcfYus5QlY8Y/edit?gid=490900216" TargetMode="External"/><Relationship Id="rId51" Type="http://schemas.openxmlformats.org/officeDocument/2006/relationships/hyperlink" Target="https://docs.google.com/spreadsheets/d/1x_z2EPPychvIUU_vuUfAzGfZzEgnd0ttOCiU6bS2FFE/edit?gid=1943992207" TargetMode="External"/><Relationship Id="rId50" Type="http://schemas.openxmlformats.org/officeDocument/2006/relationships/hyperlink" Target="https://docs.google.com/spreadsheets/d/1I0CzCBuUULYYkmhT_nNvmMrqjQKYCj6Fb0yJU96zVdQ/edit?gid=1943992207" TargetMode="External"/><Relationship Id="rId53" Type="http://schemas.openxmlformats.org/officeDocument/2006/relationships/hyperlink" Target="https://docs.google.com/spreadsheets/d/1N6pJNyqxmLmnj7TQlFaNyboLwFKAhA76lIIVErX_qCI/edit?gid=1943992207" TargetMode="External"/><Relationship Id="rId52" Type="http://schemas.openxmlformats.org/officeDocument/2006/relationships/hyperlink" Target="https://docs.google.com/spreadsheets/d/1wSfRrOALe9G1uW63VolFEdAGYqREFBF67dtB2JgQ7HM/edit?gid=640063422" TargetMode="External"/><Relationship Id="rId55" Type="http://schemas.openxmlformats.org/officeDocument/2006/relationships/hyperlink" Target="https://docs.google.com/spreadsheets/d/1SgmLfDTmV36aoS5hGUl6yb27YBzkSSbdQitL9bQSZO4/edit?gid=1943992207" TargetMode="External"/><Relationship Id="rId54" Type="http://schemas.openxmlformats.org/officeDocument/2006/relationships/hyperlink" Target="https://docs.google.com/spreadsheets/d/1yPHkvrpCQbflj-C6mq3sKBMMonylFKcqSpKUE73u95M/edit?gid=1943992207" TargetMode="External"/><Relationship Id="rId57" Type="http://schemas.openxmlformats.org/officeDocument/2006/relationships/hyperlink" Target="https://docs.google.com/spreadsheets/d/1n_WcOQlcIMfm_g0RoAzHf7Phois-o1_wZ_t9J5syoI8/edit?gid=1943992207" TargetMode="External"/><Relationship Id="rId56" Type="http://schemas.openxmlformats.org/officeDocument/2006/relationships/hyperlink" Target="https://docs.google.com/spreadsheets/d/1i_OIhvjHxhkta2dbe4-YUDnkGQ2rk5wy8sWQtcxE5OI/edit?gid=1943992207" TargetMode="External"/><Relationship Id="rId719" Type="http://schemas.openxmlformats.org/officeDocument/2006/relationships/hyperlink" Target="https://docs.google.com/spreadsheets/d/1AX4TdIZCh1CHB5pYtLXyQLSEpyHU75HtfAZVMiAcIUk/edit?gid=1943992207" TargetMode="External"/><Relationship Id="rId718" Type="http://schemas.openxmlformats.org/officeDocument/2006/relationships/hyperlink" Target="https://docs.google.com/spreadsheets/d/1KHqjACqdNLyNe6hVEhKsZSXF7kOekp99uGQ_ih8QdVk/edit?gid=54218619" TargetMode="External"/><Relationship Id="rId717" Type="http://schemas.openxmlformats.org/officeDocument/2006/relationships/hyperlink" Target="https://docs.google.com/spreadsheets/d/18haBbrhHUFPAjNefPVS21XEOj8M4D2fVEzgoy9ognNQ/edit?gid=1943992207" TargetMode="External"/><Relationship Id="rId712" Type="http://schemas.openxmlformats.org/officeDocument/2006/relationships/hyperlink" Target="https://docs.google.com/spreadsheets/d/1vi3pGrKFnD_aKj-e9vtNzbmcTYorxJxmyn71kpGjJyM/edit?gid=1943992207" TargetMode="External"/><Relationship Id="rId711" Type="http://schemas.openxmlformats.org/officeDocument/2006/relationships/hyperlink" Target="https://docs.google.com/spreadsheets/d/1z_WdN2UWSfQH9gSrtwWtZfld04KLvq9s8L6A8DFftYQ/edit?gid=1943992207" TargetMode="External"/><Relationship Id="rId710" Type="http://schemas.openxmlformats.org/officeDocument/2006/relationships/hyperlink" Target="https://docs.google.com/spreadsheets/d/103vf_nyAmA_VI_krVJCApavDgAPmBsy6r-UG_Q9gxcw/edit?gid=1943992207" TargetMode="External"/><Relationship Id="rId716" Type="http://schemas.openxmlformats.org/officeDocument/2006/relationships/hyperlink" Target="https://docs.google.com/spreadsheets/d/1ftMC0TWcyZvmv05w6VXL1POwcH495ynyK86rM8cXf5s/edit?gid=1943992207" TargetMode="External"/><Relationship Id="rId715" Type="http://schemas.openxmlformats.org/officeDocument/2006/relationships/hyperlink" Target="https://docs.google.com/spreadsheets/d/1AiEpNRkoWC_jB6FeHRPc7iJ8F701CiGUHMzXL6WbakI/edit?gid=1943992207" TargetMode="External"/><Relationship Id="rId714" Type="http://schemas.openxmlformats.org/officeDocument/2006/relationships/hyperlink" Target="https://docs.google.com/spreadsheets/d/1J0ekqZ0z9skOC3hTBfshQGxoYBC9FWSH9JmtS4XOZsg/edit?gid=562218979" TargetMode="External"/><Relationship Id="rId713" Type="http://schemas.openxmlformats.org/officeDocument/2006/relationships/hyperlink" Target="https://docs.google.com/spreadsheets/d/1FbgaWjq4mFouwclegAwMM2ktDydAT5GDQG1TfbE-P0M/edit?gid=132684364" TargetMode="External"/><Relationship Id="rId59" Type="http://schemas.openxmlformats.org/officeDocument/2006/relationships/hyperlink" Target="https://docs.google.com/spreadsheets/d/1x_rz_OudQXa3X4b7-BjwZz1UZ2jWwBiO-lGnwiK4MYM/edit?gid=1943992207" TargetMode="External"/><Relationship Id="rId58" Type="http://schemas.openxmlformats.org/officeDocument/2006/relationships/hyperlink" Target="https://docs.google.com/spreadsheets/d/1VqMZC81lEbQvmJEwIexGm09w9ZjsrV5qaGfj-elrYYE/edit?gid=1943992207" TargetMode="External"/><Relationship Id="rId590" Type="http://schemas.openxmlformats.org/officeDocument/2006/relationships/hyperlink" Target="https://docs.google.com/spreadsheets/d/1whrgiziEE8pptX9RddcglL7vqMEeHfpfHuvwm3QMyUg/edit?gid=1943992207" TargetMode="External"/><Relationship Id="rId107" Type="http://schemas.openxmlformats.org/officeDocument/2006/relationships/hyperlink" Target="https://docs.google.com/spreadsheets/d/10A9Oazh9K48l5e9lO-9Oy1WQZf2ZTKim61yZ43CM1j8/edit?gid=1943992207" TargetMode="External"/><Relationship Id="rId228" Type="http://schemas.openxmlformats.org/officeDocument/2006/relationships/hyperlink" Target="https://docs.google.com/spreadsheets/d/1dwFJUr4bZycq5DqtZwBDR_BIIe79gqmgryAuRd28dFk/edit?gid=1422820969" TargetMode="External"/><Relationship Id="rId349" Type="http://schemas.openxmlformats.org/officeDocument/2006/relationships/hyperlink" Target="https://docs.google.com/spreadsheets/d/1pNaITm-L1J4cmGtl4LfVAx8GSrBeLV1vTI0kpY9AD30/edit?gid=1943992207" TargetMode="External"/><Relationship Id="rId106" Type="http://schemas.openxmlformats.org/officeDocument/2006/relationships/hyperlink" Target="https://docs.google.com/spreadsheets/d/15zOmpEjxz0C-qcL3pgcOlcMOpUobZhcO1t0BtTTmPVg/edit?gid=1943992207" TargetMode="External"/><Relationship Id="rId227" Type="http://schemas.openxmlformats.org/officeDocument/2006/relationships/hyperlink" Target="https://docs.google.com/spreadsheets/d/18wXJhv65Dkc_feNRYgh4iVmLBnteLu_SBhro-vDA6UE/edit?gid=1943992207" TargetMode="External"/><Relationship Id="rId348" Type="http://schemas.openxmlformats.org/officeDocument/2006/relationships/hyperlink" Target="https://docs.google.com/spreadsheets/d/1kIBb5Wdo0aR9QzyUbLdehWhVq450syvZyEqoSkIQMOI/edit?gid=1943992207" TargetMode="External"/><Relationship Id="rId469" Type="http://schemas.openxmlformats.org/officeDocument/2006/relationships/hyperlink" Target="https://docs.google.com/spreadsheets/d/1S8hJD2XDZA6WCWxondsvXJOowRgtXFc_JDyM1VtC6U4/edit?gid=1943992207" TargetMode="External"/><Relationship Id="rId105" Type="http://schemas.openxmlformats.org/officeDocument/2006/relationships/hyperlink" Target="https://docs.google.com/spreadsheets/d/181uwmlNLYPcguVO1FlFtXbCAfRJ06rCAVKjboIbCIwY/edit?gid=1943992207" TargetMode="External"/><Relationship Id="rId226" Type="http://schemas.openxmlformats.org/officeDocument/2006/relationships/hyperlink" Target="https://docs.google.com/spreadsheets/d/1F8nTZE28baLWfhskhtjHfLylWuOuJOWaM8mHSw77Pes/edit?gid=1943992207" TargetMode="External"/><Relationship Id="rId347" Type="http://schemas.openxmlformats.org/officeDocument/2006/relationships/hyperlink" Target="https://docs.google.com/spreadsheets/d/1knmikPqqyavXdnX8eo1IIlC8lD2q8kDfmOCZ9T3BE1M/edit?gid=1943992207" TargetMode="External"/><Relationship Id="rId468" Type="http://schemas.openxmlformats.org/officeDocument/2006/relationships/hyperlink" Target="https://docs.google.com/spreadsheets/d/1mS-PkxPbkI1og-ZXaTVQsefip-RcjP0IN_DYRMKvYKc/edit?gid=1943992207" TargetMode="External"/><Relationship Id="rId589" Type="http://schemas.openxmlformats.org/officeDocument/2006/relationships/hyperlink" Target="https://docs.google.com/spreadsheets/d/1aRIvJ_kPrwwgJBhsFQdT-vGO8P74uNpCKpP2J4Siv6k/edit?gid=1943992207" TargetMode="External"/><Relationship Id="rId104" Type="http://schemas.openxmlformats.org/officeDocument/2006/relationships/hyperlink" Target="https://docs.google.com/spreadsheets/d/12aAx0WLQtyx4oNOiDxsFmB8Wi-PGOa32Cbsc09g5JDc/edit?gid=1943992207" TargetMode="External"/><Relationship Id="rId225" Type="http://schemas.openxmlformats.org/officeDocument/2006/relationships/hyperlink" Target="https://docs.google.com/spreadsheets/d/1tZl-W_qApp1PFVagO_zBUmzNEpOLbnqoJOmSQdTYQKU/edit?gid=1943992207" TargetMode="External"/><Relationship Id="rId346" Type="http://schemas.openxmlformats.org/officeDocument/2006/relationships/hyperlink" Target="https://docs.google.com/spreadsheets/d/15vrIQJ44L5SMb-imNWWM12Pfq2OlcT6eORcgaG4JQ9g/edit?gid=2037582636" TargetMode="External"/><Relationship Id="rId467" Type="http://schemas.openxmlformats.org/officeDocument/2006/relationships/hyperlink" Target="https://docs.google.com/spreadsheets/d/1BcWMvX4x91ZNnWFto9oL6Bwm5hOXzB9kVM9WpfjVuxA/edit?gid=1943992207" TargetMode="External"/><Relationship Id="rId588" Type="http://schemas.openxmlformats.org/officeDocument/2006/relationships/hyperlink" Target="https://docs.google.com/spreadsheets/d/1yu0wkAon-ZCr9zZjnRDY8I8IIfeQ8IAJoIlEe4gH6nE/edit?gid=1943992207" TargetMode="External"/><Relationship Id="rId109" Type="http://schemas.openxmlformats.org/officeDocument/2006/relationships/hyperlink" Target="https://docs.google.com/spreadsheets/d/15wDw34Sokp6BjLkhzv2i--Bckb2KS0msffP69HQKG0w/edit?gid=1943992207" TargetMode="External"/><Relationship Id="rId108" Type="http://schemas.openxmlformats.org/officeDocument/2006/relationships/hyperlink" Target="https://docs.google.com/spreadsheets/d/1X_ySUBXitSI6HQ7PvxyIO4ZZxrsP94Zw7Q-X_hNogpg/edit?gid=1943992207" TargetMode="External"/><Relationship Id="rId229" Type="http://schemas.openxmlformats.org/officeDocument/2006/relationships/hyperlink" Target="https://docs.google.com/spreadsheets/d/1_ekEIj9nlVr5i2vF3b-LpGvWN1ApDmg917lxKDpsRQc/edit?gid=1943992207" TargetMode="External"/><Relationship Id="rId220" Type="http://schemas.openxmlformats.org/officeDocument/2006/relationships/hyperlink" Target="https://docs.google.com/spreadsheets/d/12HeoeX6JizfOhe57ADlpGbHdI--rMxzrY4RIuZyOsfA/edit?gid=278351778" TargetMode="External"/><Relationship Id="rId341" Type="http://schemas.openxmlformats.org/officeDocument/2006/relationships/hyperlink" Target="https://docs.google.com/spreadsheets/d/1A4PbJyGriKXK7-dnQ4cHY0Ism5ei6BiINMRQf8Ksx0M/edit?gid=1943992207" TargetMode="External"/><Relationship Id="rId462" Type="http://schemas.openxmlformats.org/officeDocument/2006/relationships/hyperlink" Target="https://docs.google.com/spreadsheets/d/11zz9r1cnb5wj8CAr47rcoydMCwHbq9EV559JRHAjZvU/edit?gid=1943992207" TargetMode="External"/><Relationship Id="rId583" Type="http://schemas.openxmlformats.org/officeDocument/2006/relationships/hyperlink" Target="https://docs.google.com/spreadsheets/d/162UEdLFpNAekWzpq9V79lzg_kweCqZd5ZKnJWLlf1dY/edit?gid=1943992207" TargetMode="External"/><Relationship Id="rId340" Type="http://schemas.openxmlformats.org/officeDocument/2006/relationships/hyperlink" Target="https://docs.google.com/spreadsheets/d/1YaQSaFhqxJEftfK4Uy2Yd4oM0JctpBQJY7ksvh4YHT0/edit?gid=1943992207" TargetMode="External"/><Relationship Id="rId461" Type="http://schemas.openxmlformats.org/officeDocument/2006/relationships/hyperlink" Target="https://docs.google.com/spreadsheets/d/19TQp4RrPVjpM9dnHZu65hXsUOvOKLuU7ABYWDqbHIC8/edit?gid=1943992207" TargetMode="External"/><Relationship Id="rId582" Type="http://schemas.openxmlformats.org/officeDocument/2006/relationships/hyperlink" Target="https://docs.google.com/spreadsheets/d/1L6Gc7Bhv90gHh7gbv9UiwFKoslw3vJcDB-rXXSj4haw/edit?gid=863698551" TargetMode="External"/><Relationship Id="rId460" Type="http://schemas.openxmlformats.org/officeDocument/2006/relationships/hyperlink" Target="https://docs.google.com/spreadsheets/d/1uRP0YeqFrXLxdholWYspCnggKFqlujDztVRRaGqdQzs/edit?gid=1943992207" TargetMode="External"/><Relationship Id="rId581" Type="http://schemas.openxmlformats.org/officeDocument/2006/relationships/hyperlink" Target="https://docs.google.com/spreadsheets/d/1N7tzFTKrLRU8AuhA2uEbXb-nh2hlCc2jScFVHF3fHMA/edit?gid=1943992207" TargetMode="External"/><Relationship Id="rId580" Type="http://schemas.openxmlformats.org/officeDocument/2006/relationships/hyperlink" Target="https://docs.google.com/spreadsheets/d/1JT0HPMoQEJ4kbg41sG6a1FOQwSZxqT97K3x3psS0sIk/edit?gid=628516190" TargetMode="External"/><Relationship Id="rId103" Type="http://schemas.openxmlformats.org/officeDocument/2006/relationships/hyperlink" Target="https://docs.google.com/spreadsheets/d/1y2-hxStMTOY2CitTpI-O6B5Xa6q4eAcW5qfDVvjH3hE/edit?gid=1943992207" TargetMode="External"/><Relationship Id="rId224" Type="http://schemas.openxmlformats.org/officeDocument/2006/relationships/hyperlink" Target="https://docs.google.com/spreadsheets/d/1fd8s73aoe-3lPB-h7t5tls0RPHQgZSBZXuw1ilZDXfw/edit?gid=1943992207" TargetMode="External"/><Relationship Id="rId345" Type="http://schemas.openxmlformats.org/officeDocument/2006/relationships/hyperlink" Target="https://docs.google.com/spreadsheets/d/1rdxw9AKbzUhj6AzS80gHkb04cG3z45LPdN0hE9HUR5M/edit?gid=794194190" TargetMode="External"/><Relationship Id="rId466" Type="http://schemas.openxmlformats.org/officeDocument/2006/relationships/hyperlink" Target="https://docs.google.com/spreadsheets/d/1YuwD7Xwb8CM5GKF_L0hJfk4bNffO65MqpvgE22372VQ/edit?gid=1693274018" TargetMode="External"/><Relationship Id="rId587" Type="http://schemas.openxmlformats.org/officeDocument/2006/relationships/hyperlink" Target="https://docs.google.com/spreadsheets/d/1obJHdPncD6leGpstIGC3P7QEp6BlKLpHOYGMI5XsRQw/edit?gid=1943992207" TargetMode="External"/><Relationship Id="rId102" Type="http://schemas.openxmlformats.org/officeDocument/2006/relationships/hyperlink" Target="https://docs.google.com/spreadsheets/d/1fSAJgsLwn-DDKBHOyJbcF_A3hvGlpQf4iXPiWbgy0yE/edit?gid=1943992207" TargetMode="External"/><Relationship Id="rId223" Type="http://schemas.openxmlformats.org/officeDocument/2006/relationships/hyperlink" Target="https://docs.google.com/spreadsheets/d/1eBjN8RAW74D0D7tOAknObZyTFioTmvfQdZwNlo9zFmQ/edit?gid=1943992207" TargetMode="External"/><Relationship Id="rId344" Type="http://schemas.openxmlformats.org/officeDocument/2006/relationships/hyperlink" Target="https://docs.google.com/spreadsheets/d/1B2QMAEpPmynyPU89b7xYlf9zJXnrMCORndyGzqE-RmY/edit?gid=1943992207" TargetMode="External"/><Relationship Id="rId465" Type="http://schemas.openxmlformats.org/officeDocument/2006/relationships/hyperlink" Target="https://docs.google.com/spreadsheets/d/1qX1akk_FufhxOYoWh10EChqnw7dl2TFdY4RDoeXpFr8/edit?gid=1943992207" TargetMode="External"/><Relationship Id="rId586" Type="http://schemas.openxmlformats.org/officeDocument/2006/relationships/hyperlink" Target="https://docs.google.com/spreadsheets/d/1h8QFmAR8xB6Ha3PDen7JJ_c2AeUkIS6Z-wnDja_YlGo/edit?gid=1942567359" TargetMode="External"/><Relationship Id="rId101" Type="http://schemas.openxmlformats.org/officeDocument/2006/relationships/hyperlink" Target="https://docs.google.com/spreadsheets/d/1Aydt9B_yVcg-GnnvNUj-KSviuQivqGtQH-qhy8LTsbI/edit?gid=1943992207" TargetMode="External"/><Relationship Id="rId222" Type="http://schemas.openxmlformats.org/officeDocument/2006/relationships/hyperlink" Target="https://docs.google.com/spreadsheets/d/1I7h9fN_LPdXGp_JR9Tbxc7IUX_IA5_UKr-7q69pM-3E/edit?gid=1943992207" TargetMode="External"/><Relationship Id="rId343" Type="http://schemas.openxmlformats.org/officeDocument/2006/relationships/hyperlink" Target="https://docs.google.com/spreadsheets/d/1FUz6DzPgF471vGIWFuSDASNSLIE_30nUpuhY_b9Os6g/edit?gid=1943992207" TargetMode="External"/><Relationship Id="rId464" Type="http://schemas.openxmlformats.org/officeDocument/2006/relationships/hyperlink" Target="https://docs.google.com/spreadsheets/d/1yVSHzbrUOd81IASQfi3ems5uWnRaPMFz7zdaPQtLYB0/edit?gid=1943992207" TargetMode="External"/><Relationship Id="rId585" Type="http://schemas.openxmlformats.org/officeDocument/2006/relationships/hyperlink" Target="https://docs.google.com/spreadsheets/d/1ohjgzoTkzo-m0hzT75jWU4qUC4YN4BXFgfv6UpVn4Jk/edit?gid=644628799" TargetMode="External"/><Relationship Id="rId100" Type="http://schemas.openxmlformats.org/officeDocument/2006/relationships/hyperlink" Target="https://docs.google.com/spreadsheets/d/1nziZQIx138arR9O6hu1lYG17fXZeWwAWfu7VZDMtOW0/edit?gid=1943992207" TargetMode="External"/><Relationship Id="rId221" Type="http://schemas.openxmlformats.org/officeDocument/2006/relationships/hyperlink" Target="https://docs.google.com/spreadsheets/d/1F7P-I2COGWIIr7UQKeg1ognpuyvNkUTLUlflu9s2y4s/edit?gid=903611218" TargetMode="External"/><Relationship Id="rId342" Type="http://schemas.openxmlformats.org/officeDocument/2006/relationships/hyperlink" Target="https://docs.google.com/spreadsheets/d/1Eq0ORJAEeZkYmH_jJAnhG4AzDbQEll5jpvpv4Pnnot8/edit?gid=1943992207" TargetMode="External"/><Relationship Id="rId463" Type="http://schemas.openxmlformats.org/officeDocument/2006/relationships/hyperlink" Target="https://docs.google.com/spreadsheets/d/1pbN7cESP6khhig7KuIWJxzodSpYxji_pE-Vj2eMfIn4/edit?gid=1943992207" TargetMode="External"/><Relationship Id="rId584" Type="http://schemas.openxmlformats.org/officeDocument/2006/relationships/hyperlink" Target="https://docs.google.com/spreadsheets/d/1S3QVygl9ESE4MzU_NqF6XdhiLsfHFgxqJy-xjv3fxfM/edit?gid=1943992207" TargetMode="External"/><Relationship Id="rId217" Type="http://schemas.openxmlformats.org/officeDocument/2006/relationships/hyperlink" Target="https://docs.google.com/spreadsheets/d/1zNHgGupj0PMayhXzYMP-0oUPfHec47hFm4vAhH3tADM/edit?gid=1943992207" TargetMode="External"/><Relationship Id="rId338" Type="http://schemas.openxmlformats.org/officeDocument/2006/relationships/hyperlink" Target="https://docs.google.com/spreadsheets/d/1UPf85I9sFXnkZDCJ0Ovw6iw5PuNphYr08dfrg1BQzW8/edit?gid=1485274556" TargetMode="External"/><Relationship Id="rId459" Type="http://schemas.openxmlformats.org/officeDocument/2006/relationships/hyperlink" Target="https://docs.google.com/spreadsheets/d/1qEEgMQe1XcYg1J6Hix_Sum34lCCrLmtXakMSbcv0GQU/edit?gid=1943992207" TargetMode="External"/><Relationship Id="rId216" Type="http://schemas.openxmlformats.org/officeDocument/2006/relationships/hyperlink" Target="https://docs.google.com/spreadsheets/d/1mEAQb8TxmnCgvoIvdR9UcB9-0R06P9A3z3uiLSuZyaM/edit?gid=422366643" TargetMode="External"/><Relationship Id="rId337" Type="http://schemas.openxmlformats.org/officeDocument/2006/relationships/hyperlink" Target="https://docs.google.com/spreadsheets/d/1_b1p9EpaeLdrOKzy_5qeS6p9Vhm_HvV3Z6zktyKD66w/edit?gid=541439644" TargetMode="External"/><Relationship Id="rId458" Type="http://schemas.openxmlformats.org/officeDocument/2006/relationships/hyperlink" Target="https://docs.google.com/spreadsheets/d/1uyMQlr7P6hoLngDxK1V2xB0dRm1P3QiF3EniKAziYO0/edit?gid=1943992207" TargetMode="External"/><Relationship Id="rId579" Type="http://schemas.openxmlformats.org/officeDocument/2006/relationships/hyperlink" Target="https://docs.google.com/spreadsheets/d/1ku3zsSYhT4d4fJ3qm4YjEpyIMN_ESiNM87og1bX670E/edit?gid=1943992207" TargetMode="External"/><Relationship Id="rId215" Type="http://schemas.openxmlformats.org/officeDocument/2006/relationships/hyperlink" Target="https://docs.google.com/spreadsheets/d/1vgCZNzAM7c_bE0NICKQzg7VhMFYH1p_hNyW6hj_u-x0/edit?gid=1943992207" TargetMode="External"/><Relationship Id="rId336" Type="http://schemas.openxmlformats.org/officeDocument/2006/relationships/hyperlink" Target="https://docs.google.com/spreadsheets/d/1EqADtHqMgtB-Ld8TonHZEbZyJvkODMc5Z0w5mVtnqK8/edit?gid=40103279" TargetMode="External"/><Relationship Id="rId457" Type="http://schemas.openxmlformats.org/officeDocument/2006/relationships/hyperlink" Target="https://docs.google.com/spreadsheets/d/1mjVNJkdtxiDGzkUwbfgpTXo8kdXa7BzhaKH_Hhll94M/edit?gid=1943992207" TargetMode="External"/><Relationship Id="rId578" Type="http://schemas.openxmlformats.org/officeDocument/2006/relationships/hyperlink" Target="https://docs.google.com/spreadsheets/d/1rBYvNsC7WFFzdhrNlwHkwHUXcU4I0vUlIYOWhjlAjEM/edit?gid=1068822188" TargetMode="External"/><Relationship Id="rId699" Type="http://schemas.openxmlformats.org/officeDocument/2006/relationships/hyperlink" Target="https://docs.google.com/spreadsheets/d/1kkUBHvBiQT94RGPqau0zU4sxj4s7XK81zq_rYMDwnDg/edit?gid=570263742" TargetMode="External"/><Relationship Id="rId214" Type="http://schemas.openxmlformats.org/officeDocument/2006/relationships/hyperlink" Target="https://docs.google.com/spreadsheets/d/1kNerLY3Q5xFldJmVWuoqgZRPpeAWJrle9YBWLZR0MmY/edit?gid=1943992207" TargetMode="External"/><Relationship Id="rId335" Type="http://schemas.openxmlformats.org/officeDocument/2006/relationships/hyperlink" Target="https://docs.google.com/spreadsheets/d/1n2PjrtfOOmLz-4skcoc7Wip6uh-gVv-OF507tUDGjog/edit?gid=1943992207" TargetMode="External"/><Relationship Id="rId456" Type="http://schemas.openxmlformats.org/officeDocument/2006/relationships/hyperlink" Target="https://docs.google.com/spreadsheets/d/16yBOEOVGTZfgCusNjxnLyzsut3kzWOYBAUyKWqyIXXc/edit?gid=1943992207" TargetMode="External"/><Relationship Id="rId577" Type="http://schemas.openxmlformats.org/officeDocument/2006/relationships/hyperlink" Target="https://docs.google.com/spreadsheets/d/1kJs3mx5BoNkCIVf9FGWxLPDroP-pC0CLDkaoaMBLtBQ/edit?gid=888567302" TargetMode="External"/><Relationship Id="rId698" Type="http://schemas.openxmlformats.org/officeDocument/2006/relationships/hyperlink" Target="https://docs.google.com/spreadsheets/d/1emch1blBp4677bCkgeEbf2irEu7Kfz9Y5Fc0f2Ajv9w/edit?gid=1943992207" TargetMode="External"/><Relationship Id="rId219" Type="http://schemas.openxmlformats.org/officeDocument/2006/relationships/hyperlink" Target="https://docs.google.com/spreadsheets/d/15XuqdgnS5SqAbERpQXir7WDPehfNS1XRcmBeEcJ-3R8/edit?gid=1825078574" TargetMode="External"/><Relationship Id="rId218" Type="http://schemas.openxmlformats.org/officeDocument/2006/relationships/hyperlink" Target="https://docs.google.com/spreadsheets/d/1pm34cRZedDUNGyYyWPeVT8vBwOtdAMgEk37OLhNrMTw/edit?gid=1943992207" TargetMode="External"/><Relationship Id="rId339" Type="http://schemas.openxmlformats.org/officeDocument/2006/relationships/hyperlink" Target="https://docs.google.com/spreadsheets/d/1gdHE1xk1JShTKcA6eFTJcnRNT10v6i6tn2ePRsjycIQ/edit?gid=1943992207" TargetMode="External"/><Relationship Id="rId330" Type="http://schemas.openxmlformats.org/officeDocument/2006/relationships/hyperlink" Target="https://docs.google.com/spreadsheets/d/1ht5Il8gK6sRrRtiQEmKaAmSeq7HqE9QhQd5uo1sKf7U/edit?gid=1845900805" TargetMode="External"/><Relationship Id="rId451" Type="http://schemas.openxmlformats.org/officeDocument/2006/relationships/hyperlink" Target="https://docs.google.com/spreadsheets/d/1tfXT_Bnzi6yYYej3_Mq7HIEZapLGiRiZ8k3yW07zlM4/edit?gid=1943992207" TargetMode="External"/><Relationship Id="rId572" Type="http://schemas.openxmlformats.org/officeDocument/2006/relationships/hyperlink" Target="https://docs.google.com/spreadsheets/d/1qEV-a3PJCWmDA-CajKmP_EBrC8J2v_3UcYyyOVPfrNc/edit?gid=1943992207" TargetMode="External"/><Relationship Id="rId693" Type="http://schemas.openxmlformats.org/officeDocument/2006/relationships/hyperlink" Target="https://docs.google.com/spreadsheets/d/1ZvdXF6gM6rHm7nebjpdQFuhhQTA1PZo7VJm9oftuXGU/edit?gid=549087972" TargetMode="External"/><Relationship Id="rId450" Type="http://schemas.openxmlformats.org/officeDocument/2006/relationships/hyperlink" Target="https://docs.google.com/spreadsheets/d/1vpOEEpHwe2ZZM9Eo1tq7rPAwfSKTWHDxTvtUveGzqx8/edit?gid=1943992207" TargetMode="External"/><Relationship Id="rId571" Type="http://schemas.openxmlformats.org/officeDocument/2006/relationships/hyperlink" Target="https://docs.google.com/spreadsheets/d/139vjZ3ob1f2WuAA_xvni-SvNj0E410EvesE_HJfHpV4/edit?gid=1117221415" TargetMode="External"/><Relationship Id="rId692" Type="http://schemas.openxmlformats.org/officeDocument/2006/relationships/hyperlink" Target="https://docs.google.com/spreadsheets/d/1Yu9QHbK7pmSaFjVmSUpJWDSAo25k0shT8KJWcmUo8j0/edit?gid=1943992207" TargetMode="External"/><Relationship Id="rId570" Type="http://schemas.openxmlformats.org/officeDocument/2006/relationships/hyperlink" Target="https://docs.google.com/spreadsheets/d/1WYW4ua6Vk9LCeSmoJlFQIm2ufhcP9jrvMgMt7TV7gXY/edit?gid=1943992207" TargetMode="External"/><Relationship Id="rId691" Type="http://schemas.openxmlformats.org/officeDocument/2006/relationships/hyperlink" Target="https://docs.google.com/spreadsheets/d/1GR12OAwHXtcoCvcpSJCB-7pICXMbVdWzm7Jvb11Vh0I/edit?gid=1943992207" TargetMode="External"/><Relationship Id="rId690" Type="http://schemas.openxmlformats.org/officeDocument/2006/relationships/hyperlink" Target="https://docs.google.com/spreadsheets/d/1JWDUhULL5zpC77u2MkIVtAyrtgHk1bSKcn3K3Pb18n8/edit?gid=1943992207" TargetMode="External"/><Relationship Id="rId213" Type="http://schemas.openxmlformats.org/officeDocument/2006/relationships/hyperlink" Target="https://docs.google.com/spreadsheets/d/1Dn4slJhJUxhhFGu_iwbAl1SWTAi2Hx4_ZGDuNG3B5r8/edit?gid=1943992207" TargetMode="External"/><Relationship Id="rId334" Type="http://schemas.openxmlformats.org/officeDocument/2006/relationships/hyperlink" Target="https://docs.google.com/spreadsheets/d/1Lh3AH8h85_xG5v1XDmF5uPCiH8NKONq4IggwDau-w8Q/edit?gid=1943992207" TargetMode="External"/><Relationship Id="rId455" Type="http://schemas.openxmlformats.org/officeDocument/2006/relationships/hyperlink" Target="https://docs.google.com/spreadsheets/d/1BB1v7B_85giW13RFiQ8CQAC78TLcxpsovmtqI_1N_f8/edit?gid=1943992207" TargetMode="External"/><Relationship Id="rId576" Type="http://schemas.openxmlformats.org/officeDocument/2006/relationships/hyperlink" Target="https://docs.google.com/spreadsheets/d/1dmTlvYwGpkUoUjy2HmrxalcL0_w-eAkOXIIMl4IyvM4/edit?gid=1943992207" TargetMode="External"/><Relationship Id="rId697" Type="http://schemas.openxmlformats.org/officeDocument/2006/relationships/hyperlink" Target="https://docs.google.com/spreadsheets/d/17XkXHj9IcZYivonVEy1LL7JnfpL6OatHc6PSp0knsoU/edit?gid=1919017343" TargetMode="External"/><Relationship Id="rId212" Type="http://schemas.openxmlformats.org/officeDocument/2006/relationships/hyperlink" Target="https://docs.google.com/spreadsheets/d/1K08mxAa40rlgs6FN1F1FfLlWQZeyja8BfU8v233-MyQ/edit?gid=1943992207" TargetMode="External"/><Relationship Id="rId333" Type="http://schemas.openxmlformats.org/officeDocument/2006/relationships/hyperlink" Target="https://docs.google.com/spreadsheets/d/1KCV5_Et5GyrMbGmZkHMoM86aUWE5O46XrxbKX1WS30s/edit?gid=1943992207" TargetMode="External"/><Relationship Id="rId454" Type="http://schemas.openxmlformats.org/officeDocument/2006/relationships/hyperlink" Target="https://docs.google.com/spreadsheets/d/1_elBPsqRmZoQ0YR2HIEuMyV4UKHxYViCErEq29ZDMKo/edit?gid=1943992207" TargetMode="External"/><Relationship Id="rId575" Type="http://schemas.openxmlformats.org/officeDocument/2006/relationships/hyperlink" Target="https://docs.google.com/spreadsheets/d/17FdfMabnXp1UsnQBlTx-gRSIHGbWsfCwzZeH9DtF0Fc/edit?gid=1132948168" TargetMode="External"/><Relationship Id="rId696" Type="http://schemas.openxmlformats.org/officeDocument/2006/relationships/hyperlink" Target="https://docs.google.com/spreadsheets/d/1lKxsOglspVGcl-7bmuM2q2fevmy_HpYaU6yUwG3acYw/edit?gid=1943992207" TargetMode="External"/><Relationship Id="rId211" Type="http://schemas.openxmlformats.org/officeDocument/2006/relationships/hyperlink" Target="https://docs.google.com/spreadsheets/d/1sNEfqRgAzyj9rgM020u_PS_fPGktkQIJkpcjQH-2Oe8/edit?gid=1943992207" TargetMode="External"/><Relationship Id="rId332" Type="http://schemas.openxmlformats.org/officeDocument/2006/relationships/hyperlink" Target="https://docs.google.com/spreadsheets/d/1xkxAYEuTWQy6z6FrBttcMhU51xFJVbgdiDNPCrqPAMc/edit?gid=1943992207" TargetMode="External"/><Relationship Id="rId453" Type="http://schemas.openxmlformats.org/officeDocument/2006/relationships/hyperlink" Target="https://docs.google.com/spreadsheets/d/1SXEa5j47ch_zYafW5CwN-Hjcvp2LHWMhOpCYdvO27CQ/edit?gid=1943992207" TargetMode="External"/><Relationship Id="rId574" Type="http://schemas.openxmlformats.org/officeDocument/2006/relationships/hyperlink" Target="https://docs.google.com/spreadsheets/d/1AdwrWZngVF1IOsz3jkZ78Kka-mblfMXzaTOxPeZwNHk/edit?gid=1943992207" TargetMode="External"/><Relationship Id="rId695" Type="http://schemas.openxmlformats.org/officeDocument/2006/relationships/hyperlink" Target="https://docs.google.com/spreadsheets/d/1Gh0nrKUvcV8paVex4ItRbT_6MdKXrzTGn6W0UgKaeHo/edit?gid=1943992207" TargetMode="External"/><Relationship Id="rId210" Type="http://schemas.openxmlformats.org/officeDocument/2006/relationships/hyperlink" Target="https://docs.google.com/spreadsheets/d/1jQlgCfHNEp6xGijUnJMmKZb4TiwM1wjMnEJtpVj_LiM/edit?gid=1943992207" TargetMode="External"/><Relationship Id="rId331" Type="http://schemas.openxmlformats.org/officeDocument/2006/relationships/hyperlink" Target="https://docs.google.com/spreadsheets/d/1qvLet_RJxdeKx2dYcLsQzpP5wMost3Xfpo7lmUfCXaQ/edit?gid=1943992207" TargetMode="External"/><Relationship Id="rId452" Type="http://schemas.openxmlformats.org/officeDocument/2006/relationships/hyperlink" Target="https://docs.google.com/spreadsheets/d/1Us22UboAXo3iSUabVnKgVXhZpjHZJCGJwueYdVWYZEc/edit?gid=1943992207" TargetMode="External"/><Relationship Id="rId573" Type="http://schemas.openxmlformats.org/officeDocument/2006/relationships/hyperlink" Target="https://docs.google.com/spreadsheets/d/1vq3F9uLtYIX93-HD8XFlsQyO-dugzmsGNaP6kdbz93o/edit?gid=1620203182" TargetMode="External"/><Relationship Id="rId694" Type="http://schemas.openxmlformats.org/officeDocument/2006/relationships/hyperlink" Target="https://docs.google.com/spreadsheets/d/1LQFAen1LASq3h8l3RKqa7kb4CqjiKj_vY7kyhnVkblI/edit?gid=1611634088" TargetMode="External"/><Relationship Id="rId370" Type="http://schemas.openxmlformats.org/officeDocument/2006/relationships/hyperlink" Target="https://docs.google.com/spreadsheets/d/1IYSwvSYOFS088wXFfq7bUtpslfLuzlxbPXQW-x7ZdnY/edit?gid=397696544" TargetMode="External"/><Relationship Id="rId491" Type="http://schemas.openxmlformats.org/officeDocument/2006/relationships/hyperlink" Target="https://docs.google.com/spreadsheets/d/1HzTJmJQSGQJKdB7RzTCVGniMNGvGpJ8SuITY6HOj304/edit?gid=1943992207" TargetMode="External"/><Relationship Id="rId490" Type="http://schemas.openxmlformats.org/officeDocument/2006/relationships/hyperlink" Target="https://docs.google.com/spreadsheets/d/1HcLO_40hg2dBPYUX1k6mP3hFmsYLABedtsjPX52qmUQ/edit?gid=1943992207" TargetMode="External"/><Relationship Id="rId129" Type="http://schemas.openxmlformats.org/officeDocument/2006/relationships/hyperlink" Target="https://docs.google.com/spreadsheets/d/1Tux5LJDjhD4RldJ8pKpDhAPqnliOkASYCK1dWwnUHj8/edit?gid=1943992207" TargetMode="External"/><Relationship Id="rId128" Type="http://schemas.openxmlformats.org/officeDocument/2006/relationships/hyperlink" Target="https://docs.google.com/spreadsheets/d/11p761E83DmeMa0eNCRc_lViL3kLlmH_8UqNKo5ZViFQ/edit?gid=1943992207" TargetMode="External"/><Relationship Id="rId249" Type="http://schemas.openxmlformats.org/officeDocument/2006/relationships/hyperlink" Target="https://docs.google.com/spreadsheets/d/1WgCaOPaLjR0q-Odt20jKRUcm05wmwDX0VzLxWuyt_ng/edit?gid=1943992207" TargetMode="External"/><Relationship Id="rId127" Type="http://schemas.openxmlformats.org/officeDocument/2006/relationships/hyperlink" Target="https://docs.google.com/spreadsheets/d/11dohRRUCc7PIniED020OCXmbhPJlimFF8Pa9BO3zVkk/edit?gid=1943992207" TargetMode="External"/><Relationship Id="rId248" Type="http://schemas.openxmlformats.org/officeDocument/2006/relationships/hyperlink" Target="https://docs.google.com/spreadsheets/d/1lSamqDaNBpJccb218pu2Y2MM5K9iaNePGRs_-basrOU/edit?gid=1943992207" TargetMode="External"/><Relationship Id="rId369" Type="http://schemas.openxmlformats.org/officeDocument/2006/relationships/hyperlink" Target="https://docs.google.com/spreadsheets/d/1mUWhy-kid3zROxHtOw2teIf2-F9PiNH_EliL1-niqz8/edit?gid=1943992207" TargetMode="External"/><Relationship Id="rId126" Type="http://schemas.openxmlformats.org/officeDocument/2006/relationships/hyperlink" Target="https://docs.google.com/spreadsheets/d/1Jf0oCd8WDd4QyIzdHNnFZ1nCFrdm9vaJd0UiPuaV2VI/edit?gid=1943992207" TargetMode="External"/><Relationship Id="rId247" Type="http://schemas.openxmlformats.org/officeDocument/2006/relationships/hyperlink" Target="https://docs.google.com/spreadsheets/d/1cDVlii94B6OXk9c19-enTBCMGXaZrkSX2MFPu_T_vAA/edit?gid=1943992207" TargetMode="External"/><Relationship Id="rId368" Type="http://schemas.openxmlformats.org/officeDocument/2006/relationships/hyperlink" Target="https://docs.google.com/spreadsheets/d/1trrWXSxfPznDhHaqfLYKQ9GMdjtnbiwr1puss73zkRQ/edit?gid=1943992207" TargetMode="External"/><Relationship Id="rId489" Type="http://schemas.openxmlformats.org/officeDocument/2006/relationships/hyperlink" Target="https://docs.google.com/spreadsheets/d/1-qWjfO6Ay93-wa3A4ctEYuu_zYwHelm6_cEpc_czLEE/edit?gid=44433309" TargetMode="External"/><Relationship Id="rId121" Type="http://schemas.openxmlformats.org/officeDocument/2006/relationships/hyperlink" Target="https://docs.google.com/spreadsheets/d/1qCORvHWiuHRuvgdHVRCEGyT95uz2DmQwp4x-0TRD8ME/edit?gid=1943992207" TargetMode="External"/><Relationship Id="rId242" Type="http://schemas.openxmlformats.org/officeDocument/2006/relationships/hyperlink" Target="https://docs.google.com/spreadsheets/d/1jphF6TvqxXEMqCysvdkdMsLudaxHVhKX_S9J0_eL14g/edit?gid=1943992207" TargetMode="External"/><Relationship Id="rId363" Type="http://schemas.openxmlformats.org/officeDocument/2006/relationships/hyperlink" Target="https://docs.google.com/spreadsheets/d/1XLUwIEeIz73GH0d3m1D_CbA7IpSw79uK3utIDDbYmZo/edit?gid=1943992207" TargetMode="External"/><Relationship Id="rId484" Type="http://schemas.openxmlformats.org/officeDocument/2006/relationships/hyperlink" Target="https://docs.google.com/spreadsheets/d/1F9zU4pHKAP0wMtaDgmnAhjYqzYBsG6lCfaROV5K4UmM/edit?gid=1943992207" TargetMode="External"/><Relationship Id="rId120" Type="http://schemas.openxmlformats.org/officeDocument/2006/relationships/hyperlink" Target="https://docs.google.com/spreadsheets/d/1n14puMVSvuBQ27ACZL7ozVeZcJn1jCXyvHvBNwGWuGU/edit?gid=1943992207" TargetMode="External"/><Relationship Id="rId241" Type="http://schemas.openxmlformats.org/officeDocument/2006/relationships/hyperlink" Target="https://docs.google.com/spreadsheets/d/1txmMbZrS8Nn_LWkEJ62cJOmClwBJGauShrrnTBPhBQU/edit?gid=1943992207" TargetMode="External"/><Relationship Id="rId362" Type="http://schemas.openxmlformats.org/officeDocument/2006/relationships/hyperlink" Target="https://docs.google.com/spreadsheets/d/14WBdKUhK6ka5JbPzNs7fgS1hzkk5_jVb4bcXJsmASPw/edit?gid=1943992207" TargetMode="External"/><Relationship Id="rId483" Type="http://schemas.openxmlformats.org/officeDocument/2006/relationships/hyperlink" Target="https://docs.google.com/spreadsheets/d/1i91HCnAzQSfVPmqNVMox2pf4MHA519lKExWy9c-M9Vg/edit?gid=1571209480" TargetMode="External"/><Relationship Id="rId240" Type="http://schemas.openxmlformats.org/officeDocument/2006/relationships/hyperlink" Target="https://docs.google.com/spreadsheets/d/1tWgHKLQcd0rlkQBFwji-PzwmCN-vTKCDU06E5BoSYjg/edit?gid=1943992207" TargetMode="External"/><Relationship Id="rId361" Type="http://schemas.openxmlformats.org/officeDocument/2006/relationships/hyperlink" Target="https://docs.google.com/spreadsheets/d/1wu88Xa2ydQL5-l_MVDugZRzP6JAxXF_rSxZyQorHFCI/edit?gid=1943992207" TargetMode="External"/><Relationship Id="rId482" Type="http://schemas.openxmlformats.org/officeDocument/2006/relationships/hyperlink" Target="https://docs.google.com/spreadsheets/d/19NF6BTLQ0_a91luzErIC5Xna_q2RvigPrGc1v0ooEiE/edit?gid=1943992207" TargetMode="External"/><Relationship Id="rId360" Type="http://schemas.openxmlformats.org/officeDocument/2006/relationships/hyperlink" Target="https://docs.google.com/spreadsheets/d/1AJHR-0SqBqyyYQf-0g5ekeIUk7zoo0-0uM94BXNju9o/edit?gid=2028184265" TargetMode="External"/><Relationship Id="rId481" Type="http://schemas.openxmlformats.org/officeDocument/2006/relationships/hyperlink" Target="https://docs.google.com/spreadsheets/d/1eqKnk1-VYqhRkDzUuhEcd7ZlBoei0hpRB7hMZLQyXM8/edit?gid=1943992207" TargetMode="External"/><Relationship Id="rId125" Type="http://schemas.openxmlformats.org/officeDocument/2006/relationships/hyperlink" Target="https://docs.google.com/spreadsheets/d/1sM28we7JY11rVl7hXSRthMzyGtKOeNOcjj4Ht4tU0gs/edit?gid=1943992207" TargetMode="External"/><Relationship Id="rId246" Type="http://schemas.openxmlformats.org/officeDocument/2006/relationships/hyperlink" Target="https://docs.google.com/spreadsheets/d/1w22SL__vd2wDcLBxhI_w0sYWy_hvgKuNaHWo0CJtWLU/edit?gid=1943992207" TargetMode="External"/><Relationship Id="rId367" Type="http://schemas.openxmlformats.org/officeDocument/2006/relationships/hyperlink" Target="https://docs.google.com/spreadsheets/d/1L80jtk4MXUEsttUQ3_sOVaPe7xXHZ6CJyQoKfwqiEJs/edit?gid=1943992207" TargetMode="External"/><Relationship Id="rId488" Type="http://schemas.openxmlformats.org/officeDocument/2006/relationships/hyperlink" Target="https://docs.google.com/spreadsheets/d/15ywQVZIR7Tc8KP09wkZVgRtBw7k6kBbk1uTQinDaWpo/edit?gid=1943992207" TargetMode="External"/><Relationship Id="rId124" Type="http://schemas.openxmlformats.org/officeDocument/2006/relationships/hyperlink" Target="https://docs.google.com/spreadsheets/d/15Ou4pDgMk_LFNjMwgb5Gf7If07dJX1aQwLRpcUSq-80/edit?gid=1943992207" TargetMode="External"/><Relationship Id="rId245" Type="http://schemas.openxmlformats.org/officeDocument/2006/relationships/hyperlink" Target="https://docs.google.com/spreadsheets/d/1LH0iDSF2zlILQFbRNR-KA5YfREIttjQVaV2tTWPAFPs/edit?gid=1943992207" TargetMode="External"/><Relationship Id="rId366" Type="http://schemas.openxmlformats.org/officeDocument/2006/relationships/hyperlink" Target="https://docs.google.com/spreadsheets/d/1anv4p1IKj5mOLfHPCFfp-BCakJw0ne06iZXdySvZD-w/edit?gid=1943992207" TargetMode="External"/><Relationship Id="rId487" Type="http://schemas.openxmlformats.org/officeDocument/2006/relationships/hyperlink" Target="https://docs.google.com/spreadsheets/d/1so0sSDmnnvgMC0f9AMeY4gkiwrtwIyGW05usunnDThQ/edit?gid=1943992207" TargetMode="External"/><Relationship Id="rId123" Type="http://schemas.openxmlformats.org/officeDocument/2006/relationships/hyperlink" Target="https://docs.google.com/spreadsheets/d/1BeVTFY1EbH_jZW5bowsROPLU5CONlGzepYl27t8m3Fo/edit?gid=1943992207" TargetMode="External"/><Relationship Id="rId244" Type="http://schemas.openxmlformats.org/officeDocument/2006/relationships/hyperlink" Target="https://docs.google.com/spreadsheets/d/1khGcrHfcKxSWD1iFOhZwGSjw46mC49SN-AEFi9qmsFs/edit?gid=1943992207" TargetMode="External"/><Relationship Id="rId365" Type="http://schemas.openxmlformats.org/officeDocument/2006/relationships/hyperlink" Target="https://docs.google.com/spreadsheets/d/1oiqnkZ1JoBaPtnd_8-l8OCIyAhtwiOHo8DCPMWLf2zI/edit?gid=1943992207" TargetMode="External"/><Relationship Id="rId486" Type="http://schemas.openxmlformats.org/officeDocument/2006/relationships/hyperlink" Target="https://docs.google.com/spreadsheets/d/1lZFzhbSbZDbNlp_PJOV0PWmjDuWDjuGWWjQsGp60yrc/edit?gid=1943992207" TargetMode="External"/><Relationship Id="rId122" Type="http://schemas.openxmlformats.org/officeDocument/2006/relationships/hyperlink" Target="https://docs.google.com/spreadsheets/d/1fg1Z19_CYrFOz0NEnCf2oWVg5L2mib4B4JHEtlXAQis/edit?gid=1943992207" TargetMode="External"/><Relationship Id="rId243" Type="http://schemas.openxmlformats.org/officeDocument/2006/relationships/hyperlink" Target="https://docs.google.com/spreadsheets/d/12g8s5bPX4l11SoPrlB5xOmtYZrXNu9zUB6tFDuAX44s/edit?gid=1943992207" TargetMode="External"/><Relationship Id="rId364" Type="http://schemas.openxmlformats.org/officeDocument/2006/relationships/hyperlink" Target="https://docs.google.com/spreadsheets/d/1iYGqK1ULNWyWCReuc6rSKuRt_YwanF24LWDk3noH6I4/edit?gid=923434093" TargetMode="External"/><Relationship Id="rId485" Type="http://schemas.openxmlformats.org/officeDocument/2006/relationships/hyperlink" Target="https://docs.google.com/spreadsheets/d/14Tl2lGd9s5EBvvUsjq5Pyn3SReFoKyoRhtHp36fyB6Q/edit?gid=1943992207" TargetMode="External"/><Relationship Id="rId95" Type="http://schemas.openxmlformats.org/officeDocument/2006/relationships/hyperlink" Target="https://docs.google.com/spreadsheets/d/19-R-qOYyHoytIIR6McxV_hYIHiLWKWq-pwN5Z36wJrY/edit?gid=1943992207" TargetMode="External"/><Relationship Id="rId94" Type="http://schemas.openxmlformats.org/officeDocument/2006/relationships/hyperlink" Target="https://docs.google.com/spreadsheets/d/1h6SyqvnGcfoEbOaFVXuldR1cLiWfis8Y97KmXgw8MQM/edit?gid=1943992207" TargetMode="External"/><Relationship Id="rId97" Type="http://schemas.openxmlformats.org/officeDocument/2006/relationships/hyperlink" Target="https://docs.google.com/spreadsheets/d/1WrQFFdG5WWZGuMkt7bYxev2Zhiu5P1FOnq19eO5YLo0/edit?gid=1943992207" TargetMode="External"/><Relationship Id="rId96" Type="http://schemas.openxmlformats.org/officeDocument/2006/relationships/hyperlink" Target="https://docs.google.com/spreadsheets/d/1I4T9hd3yCYaC11xvPy9La92Dz6-HKXc0Jt7Z1SZdmIM/edit?gid=1943992207" TargetMode="External"/><Relationship Id="rId99" Type="http://schemas.openxmlformats.org/officeDocument/2006/relationships/hyperlink" Target="https://docs.google.com/spreadsheets/d/1SV5Cppr2045lxsxfqY96Gkg5pJdWliemfIVNbolgE20/edit?gid=1943992207" TargetMode="External"/><Relationship Id="rId480" Type="http://schemas.openxmlformats.org/officeDocument/2006/relationships/hyperlink" Target="https://docs.google.com/spreadsheets/d/1v_iWJpJx9-HJfhpCYoWM-D1k9F6ejOlLrGePRfh-S74/edit?gid=394632073" TargetMode="External"/><Relationship Id="rId98" Type="http://schemas.openxmlformats.org/officeDocument/2006/relationships/hyperlink" Target="https://docs.google.com/spreadsheets/d/1TFav7tAvHogFzTQgOTMU92_rF35iEVVzZjlxIPXUPuI/edit?gid=1943992207" TargetMode="External"/><Relationship Id="rId91" Type="http://schemas.openxmlformats.org/officeDocument/2006/relationships/hyperlink" Target="https://docs.google.com/spreadsheets/d/17WWXm0i1FP_2nkSdSC1_mLM5cDQzJ34cbo1pv7kbWE0/edit?gid=1943992207" TargetMode="External"/><Relationship Id="rId90" Type="http://schemas.openxmlformats.org/officeDocument/2006/relationships/hyperlink" Target="https://docs.google.com/spreadsheets/d/1jymzbEY0EJzPaclRY1RJqhsjT95p53bNR_wO3z7CIcg/edit?gid=1943992207" TargetMode="External"/><Relationship Id="rId93" Type="http://schemas.openxmlformats.org/officeDocument/2006/relationships/hyperlink" Target="https://docs.google.com/spreadsheets/d/17mdOd8cASyqzRVUuNxxGd7PfNL7sjtAW-sZcSy2AgZg/edit?gid=1943992207" TargetMode="External"/><Relationship Id="rId92" Type="http://schemas.openxmlformats.org/officeDocument/2006/relationships/hyperlink" Target="https://docs.google.com/spreadsheets/d/1bAXG5XRbU0BDn7G29SlkbnDOJkErLf9bLTowJhae9mk/edit?gid=1943992207" TargetMode="External"/><Relationship Id="rId118" Type="http://schemas.openxmlformats.org/officeDocument/2006/relationships/hyperlink" Target="https://docs.google.com/spreadsheets/d/1PdAfMYobhcJqyx_xO3OP_hUW8k59cJ0sCZ07Ram9Ssw/edit?gid=1943992207" TargetMode="External"/><Relationship Id="rId239" Type="http://schemas.openxmlformats.org/officeDocument/2006/relationships/hyperlink" Target="https://docs.google.com/spreadsheets/d/1fRsKyUiWJDeMV3oMqztv5Pko5xLlQNjRZ7MMDbVhlw0/edit?gid=1943992207" TargetMode="External"/><Relationship Id="rId117" Type="http://schemas.openxmlformats.org/officeDocument/2006/relationships/hyperlink" Target="https://docs.google.com/spreadsheets/d/15i-NW8GcEHYmS624DqktrxL1-jy1dO-Yf7bGIfRG-Xw/edit?gid=1412261134" TargetMode="External"/><Relationship Id="rId238" Type="http://schemas.openxmlformats.org/officeDocument/2006/relationships/hyperlink" Target="https://docs.google.com/spreadsheets/d/1G4iuJ4JJ8_x1Y7JDItDpSSsMt0TQjDfQyqUA44GObyU/edit?gid=1943992207" TargetMode="External"/><Relationship Id="rId359" Type="http://schemas.openxmlformats.org/officeDocument/2006/relationships/hyperlink" Target="https://docs.google.com/spreadsheets/d/1SpWIPTAltVdFE_IPU15tg6KP0PgC7zV0Bla5oLCtlJc/edit?gid=1943992207" TargetMode="External"/><Relationship Id="rId116" Type="http://schemas.openxmlformats.org/officeDocument/2006/relationships/hyperlink" Target="https://docs.google.com/spreadsheets/d/1dy_gNfTMoJSoTdk4haO2lYPAzMXkQyLXSGJxeXt6gsc/edit?gid=1943992207" TargetMode="External"/><Relationship Id="rId237" Type="http://schemas.openxmlformats.org/officeDocument/2006/relationships/hyperlink" Target="https://docs.google.com/spreadsheets/d/1gJA-5sIZaYyCKLolLNeDuU9wv9H48SaoroKvY529fg8/edit?gid=1943992207" TargetMode="External"/><Relationship Id="rId358" Type="http://schemas.openxmlformats.org/officeDocument/2006/relationships/hyperlink" Target="https://docs.google.com/spreadsheets/d/1xB-72QSyR7yC4KZs9z94mbPHFGJZm_YpV-22v2oyPaU/edit?gid=1943992207" TargetMode="External"/><Relationship Id="rId479" Type="http://schemas.openxmlformats.org/officeDocument/2006/relationships/hyperlink" Target="https://docs.google.com/spreadsheets/d/1bGtL1v2qv8KUU0bzicwyUoO6_iGuxEpgD2GYcwTLwi8/edit?gid=1943992207" TargetMode="External"/><Relationship Id="rId115" Type="http://schemas.openxmlformats.org/officeDocument/2006/relationships/hyperlink" Target="https://docs.google.com/spreadsheets/d/15qD1qsOwhiEN0dCt3oH-rFEZm2FEi_p2UwHepa616qI/edit?gid=1943992207" TargetMode="External"/><Relationship Id="rId236" Type="http://schemas.openxmlformats.org/officeDocument/2006/relationships/hyperlink" Target="https://docs.google.com/spreadsheets/d/1gM-sVcNocYDVGjvoLCpjqArYU5yk-Dsci7qTc1G8_Gg/edit?gid=1943992207" TargetMode="External"/><Relationship Id="rId357" Type="http://schemas.openxmlformats.org/officeDocument/2006/relationships/hyperlink" Target="https://docs.google.com/spreadsheets/d/1jbgHxIfBNwtL83fTF5N8PaqzjIZs2O-zYINbYIz0Lig/edit?gid=1943992207" TargetMode="External"/><Relationship Id="rId478" Type="http://schemas.openxmlformats.org/officeDocument/2006/relationships/hyperlink" Target="https://docs.google.com/spreadsheets/d/1To8vhN0o42tNrOQc-GzF-7DoavipKk2YyeVrfiCcXaU/edit?gid=1401261960" TargetMode="External"/><Relationship Id="rId599" Type="http://schemas.openxmlformats.org/officeDocument/2006/relationships/hyperlink" Target="https://docs.google.com/spreadsheets/d/1lSkrfehFobe2tUtWk7WFYz_6lS8q5t4wMliWq6X_wfo/edit?gid=1943992207" TargetMode="External"/><Relationship Id="rId119" Type="http://schemas.openxmlformats.org/officeDocument/2006/relationships/hyperlink" Target="https://docs.google.com/spreadsheets/d/1YSKjRFGwedvr1oYVxo19WglnS5MrkaI1R7ReoTQlwgg/edit?gid=1943992207" TargetMode="External"/><Relationship Id="rId110" Type="http://schemas.openxmlformats.org/officeDocument/2006/relationships/hyperlink" Target="https://docs.google.com/spreadsheets/d/1zsg1Y3FpcBJOGW-D0JagxLRN5szoUGXchl7v3w5TH34/edit?gid=1943992207" TargetMode="External"/><Relationship Id="rId231" Type="http://schemas.openxmlformats.org/officeDocument/2006/relationships/hyperlink" Target="https://docs.google.com/spreadsheets/d/1FLGUMEG53F6hK36qxxcHaxIoSgnVd6jS018Yq-BEAJg/edit?gid=1943992207" TargetMode="External"/><Relationship Id="rId352" Type="http://schemas.openxmlformats.org/officeDocument/2006/relationships/hyperlink" Target="https://docs.google.com/spreadsheets/d/1y57UQE_Ymmzxa-eKio6U28mjNLT5_pMLU9FbBt8WDeU/edit?gid=1943992207" TargetMode="External"/><Relationship Id="rId473" Type="http://schemas.openxmlformats.org/officeDocument/2006/relationships/hyperlink" Target="https://docs.google.com/spreadsheets/d/1jdA_JnZJ9CVgeLwpPlcmjsJOmMxyoc00JeTSr3ugasc/edit?gid=1943992207" TargetMode="External"/><Relationship Id="rId594" Type="http://schemas.openxmlformats.org/officeDocument/2006/relationships/hyperlink" Target="https://docs.google.com/spreadsheets/d/10SvlFJKIe1WYspB_6Wk8-Kaa5hEnGUGhzoYGkHCG4Ao/edit?gid=1943992207" TargetMode="External"/><Relationship Id="rId230" Type="http://schemas.openxmlformats.org/officeDocument/2006/relationships/hyperlink" Target="https://docs.google.com/spreadsheets/d/18tXHSuFg_i3MhTtJxQUKc14Zkba2jYchZYNH3kTB404/edit?gid=1943992207" TargetMode="External"/><Relationship Id="rId351" Type="http://schemas.openxmlformats.org/officeDocument/2006/relationships/hyperlink" Target="https://docs.google.com/spreadsheets/d/1TAgOMXZ5GKht7g_8zu2lD0kZT_98eH5A-ELBomaieJA/edit?gid=1943992207" TargetMode="External"/><Relationship Id="rId472" Type="http://schemas.openxmlformats.org/officeDocument/2006/relationships/hyperlink" Target="https://docs.google.com/spreadsheets/d/1jV3bumGpWDY8T2aOFNFNG5cQpQfceL9rd7PrFu8SjFg/edit?gid=1943992207" TargetMode="External"/><Relationship Id="rId593" Type="http://schemas.openxmlformats.org/officeDocument/2006/relationships/hyperlink" Target="https://docs.google.com/spreadsheets/d/1yBCheiDggNHC4JAT0Yl9_2dSzDLQpaGyZ6b1s9V6GDU/edit?gid=1943992207" TargetMode="External"/><Relationship Id="rId350" Type="http://schemas.openxmlformats.org/officeDocument/2006/relationships/hyperlink" Target="https://docs.google.com/spreadsheets/d/1p2zbPNuA5L_RBMRc6h2izm_MUA5P0vXGLpBAMchZGI8/edit?gid=1943992207" TargetMode="External"/><Relationship Id="rId471" Type="http://schemas.openxmlformats.org/officeDocument/2006/relationships/hyperlink" Target="https://docs.google.com/spreadsheets/d/1gypcUMwNfNu6W6fJV9Ztl46aEQ1_8POL-GxjFvb6w_I/edit?gid=1943992207" TargetMode="External"/><Relationship Id="rId592" Type="http://schemas.openxmlformats.org/officeDocument/2006/relationships/hyperlink" Target="https://docs.google.com/spreadsheets/d/1juaBrUCKJo0kdc6viCkKgji7l75OsK8dxrtkiI61Ne8/edit?gid=1943992207" TargetMode="External"/><Relationship Id="rId470" Type="http://schemas.openxmlformats.org/officeDocument/2006/relationships/hyperlink" Target="https://docs.google.com/spreadsheets/d/1iCxV-lmXrLirZ-eFIbzwZOiRu-_F0fk99klRE5IG9tM/edit?gid=1943992207" TargetMode="External"/><Relationship Id="rId591" Type="http://schemas.openxmlformats.org/officeDocument/2006/relationships/hyperlink" Target="https://docs.google.com/spreadsheets/d/1NWyONiJxmeFZyD3tKswWoBmku_NOZibr800TH0dP5z4/edit?gid=540724133" TargetMode="External"/><Relationship Id="rId114" Type="http://schemas.openxmlformats.org/officeDocument/2006/relationships/hyperlink" Target="https://docs.google.com/spreadsheets/d/1QHkSl_hUGjw00IkYjt_stV97EGvVnoQEssohtlWcMeo/edit?gid=1943992207" TargetMode="External"/><Relationship Id="rId235" Type="http://schemas.openxmlformats.org/officeDocument/2006/relationships/hyperlink" Target="https://docs.google.com/spreadsheets/d/1d-2V212TLnun51McNdMprqRD4C16eeHviTFUxeMm0OI/edit?gid=1943992207" TargetMode="External"/><Relationship Id="rId356" Type="http://schemas.openxmlformats.org/officeDocument/2006/relationships/hyperlink" Target="https://docs.google.com/spreadsheets/d/1qvqIwyH7G44726hco08JK_f6hV1tnl0JA-uFkS1U0_Y/edit?gid=1943992207" TargetMode="External"/><Relationship Id="rId477" Type="http://schemas.openxmlformats.org/officeDocument/2006/relationships/hyperlink" Target="https://docs.google.com/spreadsheets/d/1Dbu4HsD7xxKzyHr6bWil15YFklhplLlSiQHJnx-E27A/edit?gid=1943992207" TargetMode="External"/><Relationship Id="rId598" Type="http://schemas.openxmlformats.org/officeDocument/2006/relationships/hyperlink" Target="https://docs.google.com/spreadsheets/d/1T6u74L9nvwoe-b2BzCXEkDPd_XavsOntgZhTF032oco/edit?gid=1943992207" TargetMode="External"/><Relationship Id="rId113" Type="http://schemas.openxmlformats.org/officeDocument/2006/relationships/hyperlink" Target="https://docs.google.com/spreadsheets/d/1CGVtRInDsCAP821_oCG_puY5ZEmC_Enc_XZmdHBlr30/edit?gid=1943992207" TargetMode="External"/><Relationship Id="rId234" Type="http://schemas.openxmlformats.org/officeDocument/2006/relationships/hyperlink" Target="https://docs.google.com/spreadsheets/d/1C25MyvAsnIqi7VjRRUuhhPPCb6tsxJCYKwcJEEQmLSo/edit?gid=1943992207" TargetMode="External"/><Relationship Id="rId355" Type="http://schemas.openxmlformats.org/officeDocument/2006/relationships/hyperlink" Target="https://docs.google.com/spreadsheets/d/1el1N5llaufK0omvonLUJzOTNcNGQyWIjJ3vlbOLlMjM/edit?gid=1943992207" TargetMode="External"/><Relationship Id="rId476" Type="http://schemas.openxmlformats.org/officeDocument/2006/relationships/hyperlink" Target="https://docs.google.com/spreadsheets/d/1051boGvSwy8sPWLeMJVyyLQuNvhxKXKl3upIjBbtxtY/edit?gid=444604239" TargetMode="External"/><Relationship Id="rId597" Type="http://schemas.openxmlformats.org/officeDocument/2006/relationships/hyperlink" Target="https://docs.google.com/spreadsheets/d/1AC3Qmkm1vYQQZTQd2hHLR_MZRO5XrQp9iyuqSc0y2qM/edit?gid=2129319031" TargetMode="External"/><Relationship Id="rId112" Type="http://schemas.openxmlformats.org/officeDocument/2006/relationships/hyperlink" Target="https://docs.google.com/spreadsheets/d/1TPSj5-TD9mhsfHP-cG0-LhPncvgjQqvl4f1JESY0910/edit?gid=1943992207" TargetMode="External"/><Relationship Id="rId233" Type="http://schemas.openxmlformats.org/officeDocument/2006/relationships/hyperlink" Target="https://docs.google.com/spreadsheets/d/1A-S7NRUivlFX0TBzMRCA6fD_Ki1_biRUiDrHXBkGKkY/edit?gid=739585686" TargetMode="External"/><Relationship Id="rId354" Type="http://schemas.openxmlformats.org/officeDocument/2006/relationships/hyperlink" Target="https://docs.google.com/spreadsheets/d/1_U_vNDPczbBBNyLGhQh22D7NGBSE4xMYZfRcdS4rTKk/edit?gid=668399379" TargetMode="External"/><Relationship Id="rId475" Type="http://schemas.openxmlformats.org/officeDocument/2006/relationships/hyperlink" Target="https://docs.google.com/spreadsheets/d/1zxLJKJighayVVWh1xIropbNHktGwd_RKKvi99mRGJZc/edit?gid=1943992207" TargetMode="External"/><Relationship Id="rId596" Type="http://schemas.openxmlformats.org/officeDocument/2006/relationships/hyperlink" Target="https://docs.google.com/spreadsheets/d/1NhNsGScvoFsf22Ck2LwIYukL_N4EfXRooSkf3jWWbyU/edit?gid=548925036" TargetMode="External"/><Relationship Id="rId111" Type="http://schemas.openxmlformats.org/officeDocument/2006/relationships/hyperlink" Target="https://docs.google.com/spreadsheets/d/19J8Bi6OW_Jm7i4qjWZzW-iNYm7MWEs7TKtMUepViOPg/edit?gid=1943992207" TargetMode="External"/><Relationship Id="rId232" Type="http://schemas.openxmlformats.org/officeDocument/2006/relationships/hyperlink" Target="https://docs.google.com/spreadsheets/d/1wPzRDOUWuc8KSrcly_ooAmi97ZZrb-i2Lujx4VQdtEM/edit?gid=1943992207" TargetMode="External"/><Relationship Id="rId353" Type="http://schemas.openxmlformats.org/officeDocument/2006/relationships/hyperlink" Target="https://docs.google.com/spreadsheets/d/1RTUijXs-OrqovQVoghMBYQcNRR9d7c1rUVaVuJDHGhs/edit?gid=1943992207" TargetMode="External"/><Relationship Id="rId474" Type="http://schemas.openxmlformats.org/officeDocument/2006/relationships/hyperlink" Target="https://docs.google.com/spreadsheets/d/1lOZN1CzWe5czt6ziRSMfJ-vvVyqI6K1pyUOxXpBYBJI/edit?gid=1558341594" TargetMode="External"/><Relationship Id="rId595" Type="http://schemas.openxmlformats.org/officeDocument/2006/relationships/hyperlink" Target="https://docs.google.com/spreadsheets/d/1TFefBEWWDIDcmlCUEOfl68UsM6_DZZ4goot2SeddQwk/edit?gid=1968516001" TargetMode="External"/><Relationship Id="rId305" Type="http://schemas.openxmlformats.org/officeDocument/2006/relationships/hyperlink" Target="https://docs.google.com/spreadsheets/d/1RIV8PeyA_3q_5nmFivoEXz0OpG9PtNmKrwkLFbOzzls/edit?gid=1943992207" TargetMode="External"/><Relationship Id="rId426" Type="http://schemas.openxmlformats.org/officeDocument/2006/relationships/hyperlink" Target="https://docs.google.com/spreadsheets/d/1L7fmRafLhIlEFrcCb6qzhCie5ni2RPA84u-T_P5xFTA/edit?gid=1943992207" TargetMode="External"/><Relationship Id="rId547" Type="http://schemas.openxmlformats.org/officeDocument/2006/relationships/hyperlink" Target="https://docs.google.com/spreadsheets/d/1lqKAIVKW7EoNNkUfkAZFZXqZC8xeiOhhauNMtB7eMqg/edit?gid=549101751" TargetMode="External"/><Relationship Id="rId668" Type="http://schemas.openxmlformats.org/officeDocument/2006/relationships/hyperlink" Target="https://docs.google.com/spreadsheets/d/1hJiIptXp2Y-pG62OTSxYt1CLZBqFUIQlFXcoHj19iEE/edit?gid=1943992207" TargetMode="External"/><Relationship Id="rId304" Type="http://schemas.openxmlformats.org/officeDocument/2006/relationships/hyperlink" Target="https://docs.google.com/spreadsheets/d/1o1kqJwzc49lAomcyw-85VuAuXs5xgwbtlLbK9HCODSs/edit?gid=1943992207" TargetMode="External"/><Relationship Id="rId425" Type="http://schemas.openxmlformats.org/officeDocument/2006/relationships/hyperlink" Target="https://docs.google.com/spreadsheets/d/11OWRrG2Tfemql7zj7hJSandVFgHc8uwxJ1d5JJoCLLY/edit?gid=1622482427" TargetMode="External"/><Relationship Id="rId546" Type="http://schemas.openxmlformats.org/officeDocument/2006/relationships/hyperlink" Target="https://docs.google.com/spreadsheets/d/1YNJ0hv7ThsPpV1DuHv6cvMYkyz-ruXZCuQK4u0Og2pU/edit?gid=0" TargetMode="External"/><Relationship Id="rId667" Type="http://schemas.openxmlformats.org/officeDocument/2006/relationships/hyperlink" Target="https://docs.google.com/spreadsheets/d/1R7lJVcCDfVXna_6bklXqxLyob-ru2UHwisSYrm21p9E/edit?gid=1943992207" TargetMode="External"/><Relationship Id="rId303" Type="http://schemas.openxmlformats.org/officeDocument/2006/relationships/hyperlink" Target="https://docs.google.com/spreadsheets/d/19SBv0o92NYc6xNJE-K0DlgjnI7LKniU8C_6h5UX4Z0M/edit?gid=1943992207" TargetMode="External"/><Relationship Id="rId424" Type="http://schemas.openxmlformats.org/officeDocument/2006/relationships/hyperlink" Target="https://docs.google.com/spreadsheets/d/1PpA-zTVp6HfkoKNV2yQ1L1tktIbbRPDduUvK6hG7--8/edit?gid=203840247" TargetMode="External"/><Relationship Id="rId545" Type="http://schemas.openxmlformats.org/officeDocument/2006/relationships/hyperlink" Target="https://docs.google.com/spreadsheets/d/1ZSoGSRQQWtZ8QQke0XBIei2OpILAzdX1sadR6I3YK6Q/edit?gid=1943992207" TargetMode="External"/><Relationship Id="rId666" Type="http://schemas.openxmlformats.org/officeDocument/2006/relationships/hyperlink" Target="https://docs.google.com/spreadsheets/d/1-Vbz3b7vjSADYQCbA6S0cvV3gEOPUpert6MLw7gZ1L0/edit?gid=1943992207" TargetMode="External"/><Relationship Id="rId302" Type="http://schemas.openxmlformats.org/officeDocument/2006/relationships/hyperlink" Target="https://docs.google.com/spreadsheets/d/1yJDOuNasYI7UibvCL2vaW9I-RKVoyWVg7RrBZS2jPs8/edit?gid=1943992207" TargetMode="External"/><Relationship Id="rId423" Type="http://schemas.openxmlformats.org/officeDocument/2006/relationships/hyperlink" Target="https://docs.google.com/spreadsheets/d/1JlL-S0H5xT7amPzSi3_cRD47q7IVE0YZAiIUmcJsUEA/edit?gid=1943992207" TargetMode="External"/><Relationship Id="rId544" Type="http://schemas.openxmlformats.org/officeDocument/2006/relationships/hyperlink" Target="https://docs.google.com/spreadsheets/d/1eSxBEtLfZ4LzAx9n_9nyLBLA0XBs6hmshxuLBekGDPE/edit?gid=1943992207" TargetMode="External"/><Relationship Id="rId665" Type="http://schemas.openxmlformats.org/officeDocument/2006/relationships/hyperlink" Target="https://docs.google.com/spreadsheets/d/19qUgSiiCPPe-ZYOw6es7XmK9KytpwdUfRYiK9UUCNBA/edit?gid=2045543155" TargetMode="External"/><Relationship Id="rId309" Type="http://schemas.openxmlformats.org/officeDocument/2006/relationships/hyperlink" Target="https://docs.google.com/spreadsheets/d/1CnGI4dor0rnn6rFgKS66083Uf7P-m_nBuwRVugy1mOE/edit?gid=1370646909" TargetMode="External"/><Relationship Id="rId308" Type="http://schemas.openxmlformats.org/officeDocument/2006/relationships/hyperlink" Target="https://docs.google.com/spreadsheets/d/1SRh4NRoLFBPbZYQTxwejJrvIhfqW4kfmVqBcrj6ojTY/edit?gid=102816326" TargetMode="External"/><Relationship Id="rId429" Type="http://schemas.openxmlformats.org/officeDocument/2006/relationships/hyperlink" Target="https://docs.google.com/spreadsheets/d/1LfvcIWjgEXGCI7KEWJbA7fEzf9ank72rhY54bOddd6A/edit?gid=1943992207" TargetMode="External"/><Relationship Id="rId307" Type="http://schemas.openxmlformats.org/officeDocument/2006/relationships/hyperlink" Target="https://docs.google.com/spreadsheets/d/13sjBa47amTTrqyoWATVjr_8wp5u4Uq7S-smUjjDGzw0/edit?gid=1782892551" TargetMode="External"/><Relationship Id="rId428" Type="http://schemas.openxmlformats.org/officeDocument/2006/relationships/hyperlink" Target="https://docs.google.com/spreadsheets/d/1CU6wtmPjWBdGwh0P_fu01Y_BHlMhwef5S_AtIxmTyA0/edit?gid=1943992207" TargetMode="External"/><Relationship Id="rId549" Type="http://schemas.openxmlformats.org/officeDocument/2006/relationships/hyperlink" Target="https://docs.google.com/spreadsheets/d/1W7aZd6FIBTr_F9y1lwnOq8sE5cPxxpvdgxMWbiEcUQc/edit?gid=1943992207" TargetMode="External"/><Relationship Id="rId306" Type="http://schemas.openxmlformats.org/officeDocument/2006/relationships/hyperlink" Target="https://docs.google.com/spreadsheets/d/1KFhMHlKZt_Ve5iVMtDa0SRdc1LtPofivm3iMM3kJmIQ/edit?gid=1943992207" TargetMode="External"/><Relationship Id="rId427" Type="http://schemas.openxmlformats.org/officeDocument/2006/relationships/hyperlink" Target="https://docs.google.com/spreadsheets/d/1sy5EW6rJcj6sMYYcki-3e74aGs3LFnOIfWw_xKrlnyY/edit?gid=1943992207" TargetMode="External"/><Relationship Id="rId548" Type="http://schemas.openxmlformats.org/officeDocument/2006/relationships/hyperlink" Target="https://docs.google.com/spreadsheets/d/1O-LBR0TjAWjKG3f4nYu1KEVr7MME0jIxWHe3RUXyRQg/edit?gid=1943992207" TargetMode="External"/><Relationship Id="rId669" Type="http://schemas.openxmlformats.org/officeDocument/2006/relationships/hyperlink" Target="https://docs.google.com/spreadsheets/d/1yon3daA2aBD6UfpkCiuzt7E5G4tS3SRYX9w_5icE33M/edit?gid=83595654" TargetMode="External"/><Relationship Id="rId660" Type="http://schemas.openxmlformats.org/officeDocument/2006/relationships/hyperlink" Target="https://docs.google.com/spreadsheets/d/1l3LUK--vE_1nH4FuuqpCUzTD2wErPyTD8wC8gCf8itA/edit?usp=sharing" TargetMode="External"/><Relationship Id="rId301" Type="http://schemas.openxmlformats.org/officeDocument/2006/relationships/hyperlink" Target="https://docs.google.com/spreadsheets/d/1mEfm80YxRePv5q4s6TULCbYEXF6NOEIvOjW9o6lLBC0/edit?gid=1943992207" TargetMode="External"/><Relationship Id="rId422" Type="http://schemas.openxmlformats.org/officeDocument/2006/relationships/hyperlink" Target="https://docs.google.com/spreadsheets/d/1zFeJatxKm0ljrI3PPZSqwpDsZ7Jan3zippZhX0bMZls/edit?gid=1943992207" TargetMode="External"/><Relationship Id="rId543" Type="http://schemas.openxmlformats.org/officeDocument/2006/relationships/hyperlink" Target="https://docs.google.com/spreadsheets/d/1yIebM_2MIbidWzV-d8qqw3S72OMsq0cWjxfnhsbvuu8/edit?gid=1874961635" TargetMode="External"/><Relationship Id="rId664" Type="http://schemas.openxmlformats.org/officeDocument/2006/relationships/hyperlink" Target="https://docs.google.com/spreadsheets/d/1k3qBiP-rz1BZzhplpckSDI03VGC3XBzYTuqhwecq2Xs/edit?gid=1943992207" TargetMode="External"/><Relationship Id="rId300" Type="http://schemas.openxmlformats.org/officeDocument/2006/relationships/hyperlink" Target="https://docs.google.com/spreadsheets/d/1YCJ496d5RcW1qWIL_YlwbNqZZfx2ujbKvYrJpnS0er4/edit?gid=1943992207" TargetMode="External"/><Relationship Id="rId421" Type="http://schemas.openxmlformats.org/officeDocument/2006/relationships/hyperlink" Target="https://docs.google.com/spreadsheets/d/1LilIMRKV8-YWIO3xnDaXuj4-xgARe3H64-5FtkfD6GE/edit?gid=1943992207" TargetMode="External"/><Relationship Id="rId542" Type="http://schemas.openxmlformats.org/officeDocument/2006/relationships/hyperlink" Target="https://docs.google.com/spreadsheets/d/1mW4wfkV1fDRAKkCOKOnN1mP_ZisBlkcWbexIUC85Dyg/edit?gid=1843335583" TargetMode="External"/><Relationship Id="rId663" Type="http://schemas.openxmlformats.org/officeDocument/2006/relationships/hyperlink" Target="https://docs.google.com/spreadsheets/d/1neCPFEWoNHXDxdJd9huuuhGvQjl6GgIZm_ZAdK8Q6W0/edit?gid=1943992207" TargetMode="External"/><Relationship Id="rId420" Type="http://schemas.openxmlformats.org/officeDocument/2006/relationships/hyperlink" Target="https://docs.google.com/spreadsheets/d/11ZIVGlU1JPBW8pQXqjW_m2Rdk5-CVBBUBZ2bjJQ7A38/edit?gid=1943992207" TargetMode="External"/><Relationship Id="rId541" Type="http://schemas.openxmlformats.org/officeDocument/2006/relationships/hyperlink" Target="https://docs.google.com/spreadsheets/d/1BtPxfvIeKOdtGCpDwgJKbx_PXBttEE8ZMe-Y44WP2p4/edit?gid=1943992207" TargetMode="External"/><Relationship Id="rId662" Type="http://schemas.openxmlformats.org/officeDocument/2006/relationships/hyperlink" Target="https://docs.google.com/spreadsheets/d/1jBY6OJl5pC2A0dvfT53AfAh64_mk2pKqKhHYlmBEECQ/edit?gid=1943992207" TargetMode="External"/><Relationship Id="rId540" Type="http://schemas.openxmlformats.org/officeDocument/2006/relationships/hyperlink" Target="https://docs.google.com/spreadsheets/d/10gJDrTsiMCkV6L2_NOJPWhOokzLYwU5N7BqnY8EZnAo/edit?gid=1943992207" TargetMode="External"/><Relationship Id="rId661" Type="http://schemas.openxmlformats.org/officeDocument/2006/relationships/hyperlink" Target="https://docs.google.com/spreadsheets/d/1w5St_P464nBpAdhgeI6sYSLxb5TcR8sVxR_KRNBKPSI/edit?gid=1943992207" TargetMode="External"/><Relationship Id="rId415" Type="http://schemas.openxmlformats.org/officeDocument/2006/relationships/hyperlink" Target="https://docs.google.com/spreadsheets/d/1XqmFEFkb47L78LPBURL8pNY7GInvosviOEfu7b4nZqA/edit?gid=1943992207" TargetMode="External"/><Relationship Id="rId536" Type="http://schemas.openxmlformats.org/officeDocument/2006/relationships/hyperlink" Target="https://docs.google.com/spreadsheets/d/1cDPCU5WI2ydfgTvB1xy_R2mpTvbQA3NbQ0riVuGa_gw/edit?gid=2009025989" TargetMode="External"/><Relationship Id="rId657" Type="http://schemas.openxmlformats.org/officeDocument/2006/relationships/hyperlink" Target="https://docs.google.com/spreadsheets/d/1ZjoCm4iS2D1SJFien-kx_yYQp5l6Bi38RnrQwqh2DT0/edit?gid=1943992207" TargetMode="External"/><Relationship Id="rId414" Type="http://schemas.openxmlformats.org/officeDocument/2006/relationships/hyperlink" Target="https://docs.google.com/spreadsheets/d/1kelKBAUxniMmRkrT2vR41UkzYUpIpdcOncVJQPtbPVA/edit?gid=1943992207" TargetMode="External"/><Relationship Id="rId535" Type="http://schemas.openxmlformats.org/officeDocument/2006/relationships/hyperlink" Target="https://docs.google.com/spreadsheets/d/1gbtpNFNtb55K_0XOVAazWFupanxOy-7sohAGIpfBRjQ/edit?gid=1181087948" TargetMode="External"/><Relationship Id="rId656" Type="http://schemas.openxmlformats.org/officeDocument/2006/relationships/hyperlink" Target="https://docs.google.com/spreadsheets/d/1En7y5Aj_YlE5READckL_klWeh-X4h9RXt3Lz426Kcg0/edit?gid=816786987" TargetMode="External"/><Relationship Id="rId413" Type="http://schemas.openxmlformats.org/officeDocument/2006/relationships/hyperlink" Target="https://docs.google.com/spreadsheets/d/1JT3qZ0bwSsV87TaU57mbOoGK-tNiAwVrM7ePo_i93_k/edit?gid=1943992207" TargetMode="External"/><Relationship Id="rId534" Type="http://schemas.openxmlformats.org/officeDocument/2006/relationships/hyperlink" Target="https://docs.google.com/spreadsheets/d/1g2bdk_BOecCNPbVuBUB3JLniIWSl14a-Ozkn-SG1ovg/edit?gid=1943992207" TargetMode="External"/><Relationship Id="rId655" Type="http://schemas.openxmlformats.org/officeDocument/2006/relationships/hyperlink" Target="https://docs.google.com/spreadsheets/d/1C1meDK_fdyoNIW2iI8cV15O9MGnexUhBn32277hj1Hs/edit?gid=1943992207" TargetMode="External"/><Relationship Id="rId412" Type="http://schemas.openxmlformats.org/officeDocument/2006/relationships/hyperlink" Target="https://docs.google.com/spreadsheets/d/1f1h_QCjBhd_fVNk82uzSw96bZyOloD2T-WIYuMc8fEk/edit?gid=1583122538" TargetMode="External"/><Relationship Id="rId533" Type="http://schemas.openxmlformats.org/officeDocument/2006/relationships/hyperlink" Target="https://docs.google.com/spreadsheets/d/1emLr2pY3b8catfljXpg4PlLtc926KqHiun-8FtOVhD8/edit?gid=1943992207" TargetMode="External"/><Relationship Id="rId654" Type="http://schemas.openxmlformats.org/officeDocument/2006/relationships/hyperlink" Target="https://docs.google.com/spreadsheets/d/1Ayqi8dt4E3ACPH_Q3B8vx9LzpINZw5ZNzQXmxT0PJkk/edit?gid=1943992207" TargetMode="External"/><Relationship Id="rId419" Type="http://schemas.openxmlformats.org/officeDocument/2006/relationships/hyperlink" Target="https://docs.google.com/spreadsheets/d/1wKW6dTzz61xCPzuCBXRr0fbS9WXqEZVWiDkvvmE-POI/edit?gid=1943992207" TargetMode="External"/><Relationship Id="rId418" Type="http://schemas.openxmlformats.org/officeDocument/2006/relationships/hyperlink" Target="https://docs.google.com/spreadsheets/d/1jNcmO-NPCArzQYC5yrGqsbNge76g5UDThNjrY7RLEeQ/edit?gid=1090058249" TargetMode="External"/><Relationship Id="rId539" Type="http://schemas.openxmlformats.org/officeDocument/2006/relationships/hyperlink" Target="https://docs.google.com/spreadsheets/d/1gyMFRvFIhFvKwLpUEgIsFADbYJd5IcQ8FBg2ZFA9Hew/edit?gid=1943992207" TargetMode="External"/><Relationship Id="rId417" Type="http://schemas.openxmlformats.org/officeDocument/2006/relationships/hyperlink" Target="https://docs.google.com/spreadsheets/d/1qUCqA1N66Z0SpIZB34oFCAHtwKFNLG6JLyD_KA55oD0/edit?gid=1943992207" TargetMode="External"/><Relationship Id="rId538" Type="http://schemas.openxmlformats.org/officeDocument/2006/relationships/hyperlink" Target="https://docs.google.com/spreadsheets/d/1tR0UTrchoiJsGVfkJVt7ECG45kPRzRPDyNmR43Lber0/edit?gid=155610773" TargetMode="External"/><Relationship Id="rId659" Type="http://schemas.openxmlformats.org/officeDocument/2006/relationships/hyperlink" Target="https://docs.google.com/spreadsheets/d/1rxEQ7etGlgD2BkbVjXjb_lSyfFM-8nP9mZ2V8YOt7mA/edit?usp=sharing" TargetMode="External"/><Relationship Id="rId416" Type="http://schemas.openxmlformats.org/officeDocument/2006/relationships/hyperlink" Target="https://docs.google.com/spreadsheets/d/1Gf-g8ifkF0Dz1b951ZZcCg9hHnvl7V4LhmGiB2SFu14/edit?gid=585010122" TargetMode="External"/><Relationship Id="rId537" Type="http://schemas.openxmlformats.org/officeDocument/2006/relationships/hyperlink" Target="https://docs.google.com/spreadsheets/d/13PpEWmz3zSuuU9jFL_P075CKHWe99pO51D-Uc0USmd0/edit?gid=1943992207" TargetMode="External"/><Relationship Id="rId658" Type="http://schemas.openxmlformats.org/officeDocument/2006/relationships/hyperlink" Target="https://docs.google.com/spreadsheets/d/1TBqatWhjbGtnpfShJYsmy-Qfx7W0FPNSUDr4edYU_uo/edit?gid=1943992207" TargetMode="External"/><Relationship Id="rId411" Type="http://schemas.openxmlformats.org/officeDocument/2006/relationships/hyperlink" Target="https://docs.google.com/spreadsheets/d/1q_CkdQCj0abgcuEevGhyW6bf83UrPQBWWzk6iaeu31s/edit?gid=1943992207" TargetMode="External"/><Relationship Id="rId532" Type="http://schemas.openxmlformats.org/officeDocument/2006/relationships/hyperlink" Target="https://docs.google.com/spreadsheets/d/1KF9f1gst51ZiAM5rK4Bb7WUt_RoeCwGXl0jyfCXiAdc/edit?gid=1943992207" TargetMode="External"/><Relationship Id="rId653" Type="http://schemas.openxmlformats.org/officeDocument/2006/relationships/hyperlink" Target="https://docs.google.com/spreadsheets/d/18-fxnsV5t7aEnmpON8aSWBwtqFem42nIU0L87zKVgg0/edit?gid=1943992207" TargetMode="External"/><Relationship Id="rId410" Type="http://schemas.openxmlformats.org/officeDocument/2006/relationships/hyperlink" Target="https://docs.google.com/spreadsheets/d/1PWr0vfF3omA5HReYRy6v8Pv7s-_ATVR9hOCn891WiO4/edit?gid=1943992207" TargetMode="External"/><Relationship Id="rId531" Type="http://schemas.openxmlformats.org/officeDocument/2006/relationships/hyperlink" Target="https://docs.google.com/spreadsheets/d/1CqU2oiWuRifdwWKPAMvKNGTAU4eCzhWh2eXZvE7i2uI/edit?gid=1943992207" TargetMode="External"/><Relationship Id="rId652" Type="http://schemas.openxmlformats.org/officeDocument/2006/relationships/hyperlink" Target="https://docs.google.com/spreadsheets/d/1VAWAZTH773nay1aD3yrySUGgbMARQ6JG2dX6udy4T4A/edit?usp=sharing" TargetMode="External"/><Relationship Id="rId530" Type="http://schemas.openxmlformats.org/officeDocument/2006/relationships/hyperlink" Target="https://docs.google.com/spreadsheets/d/1jMqR-9DG92k2RfJfO3sXBO3Tkay5loNRoF7vd2VsL9o/edit?gid=1943992207" TargetMode="External"/><Relationship Id="rId651" Type="http://schemas.openxmlformats.org/officeDocument/2006/relationships/hyperlink" Target="https://docs.google.com/spreadsheets/d/1VA0fbE4D5zEaAx0LXEXZwZ7L-Rrg9wQzgKl2HbLvWmA/edit?usp=sharing" TargetMode="External"/><Relationship Id="rId650" Type="http://schemas.openxmlformats.org/officeDocument/2006/relationships/hyperlink" Target="https://docs.google.com/spreadsheets/d/1HRJTwLQ2uostBFWGNmP0WPwy_CovQUuVxm9BeNFaf6E/edit?usp=sharing" TargetMode="External"/><Relationship Id="rId206" Type="http://schemas.openxmlformats.org/officeDocument/2006/relationships/hyperlink" Target="https://docs.google.com/spreadsheets/d/15Y7_aq6pMcUAGSg2ytvu1vK_hhKcPQg-KLr7Yxm2Aic/edit?gid=1943992207" TargetMode="External"/><Relationship Id="rId327" Type="http://schemas.openxmlformats.org/officeDocument/2006/relationships/hyperlink" Target="https://docs.google.com/spreadsheets/d/1bo4jne_XRk1dWEvRY5sjPx7g1ZGMUxWwhWMHTgKkwhc/edit?gid=1943992207" TargetMode="External"/><Relationship Id="rId448" Type="http://schemas.openxmlformats.org/officeDocument/2006/relationships/hyperlink" Target="https://docs.google.com/spreadsheets/d/16pUTgN3NNfAZsckPmIZ0xogsZayytNiMaRqeBsr5Inw/edit?gid=1943992207" TargetMode="External"/><Relationship Id="rId569" Type="http://schemas.openxmlformats.org/officeDocument/2006/relationships/hyperlink" Target="https://docs.google.com/spreadsheets/d/1ZtC8MYp0rMav1KrGqLfTVNKqDxAR5tqTfjN_afNjzTY/edit?gid=1943992207" TargetMode="External"/><Relationship Id="rId205" Type="http://schemas.openxmlformats.org/officeDocument/2006/relationships/hyperlink" Target="https://docs.google.com/spreadsheets/d/1XP1SnO_3VYEj9Fr0c0dc3oU6GofV3w-1r_omaZmho9s/edit?gid=1943992207" TargetMode="External"/><Relationship Id="rId326" Type="http://schemas.openxmlformats.org/officeDocument/2006/relationships/hyperlink" Target="https://docs.google.com/spreadsheets/d/1B6_5MRHZ_JBvge601a1ghwsytWjXKFMa3XpQfMUnsnk/edit?gid=1943992207" TargetMode="External"/><Relationship Id="rId447" Type="http://schemas.openxmlformats.org/officeDocument/2006/relationships/hyperlink" Target="https://docs.google.com/spreadsheets/d/1hYF9xjQ_7rY8PhrwyqW6YE5kTvdzVvyUVJG5h_mpN4Y/edit?gid=1943992207" TargetMode="External"/><Relationship Id="rId568" Type="http://schemas.openxmlformats.org/officeDocument/2006/relationships/hyperlink" Target="https://docs.google.com/spreadsheets/d/1lpPKGX3G60pLQ5N1EUocbF5iFunhmwb7fOlYM-P6KvM/edit?gid=191697153" TargetMode="External"/><Relationship Id="rId689" Type="http://schemas.openxmlformats.org/officeDocument/2006/relationships/hyperlink" Target="https://docs.google.com/spreadsheets/d/1wWRvhFBmiI5G-yhcBnXtFZu7O2fGW9kitieRr0NI6fU/edit?gid=884343288" TargetMode="External"/><Relationship Id="rId204" Type="http://schemas.openxmlformats.org/officeDocument/2006/relationships/hyperlink" Target="https://docs.google.com/spreadsheets/d/1UB-hHz1nUtIKkiVdaW_6q5r1h2BdILoHoQt95STGOzY/edit?gid=1943992207" TargetMode="External"/><Relationship Id="rId325" Type="http://schemas.openxmlformats.org/officeDocument/2006/relationships/hyperlink" Target="https://docs.google.com/spreadsheets/d/1qWhPfbN7-TfvCnWtp8P0dshGS0rCiJpSOYX5nTfAOHI/edit?gid=1943992207" TargetMode="External"/><Relationship Id="rId446" Type="http://schemas.openxmlformats.org/officeDocument/2006/relationships/hyperlink" Target="https://docs.google.com/spreadsheets/d/1ooLZWPcDtgFxlUGDgNTlGcve9ue3ek9DOh8CPyMsRDM/edit?gid=1943992207" TargetMode="External"/><Relationship Id="rId567" Type="http://schemas.openxmlformats.org/officeDocument/2006/relationships/hyperlink" Target="https://docs.google.com/spreadsheets/d/1XHI9tDTEgkXGTfvrzsg7D0_Zl3ktK2GaNkikal2fZaM/edit?gid=1026445961" TargetMode="External"/><Relationship Id="rId688" Type="http://schemas.openxmlformats.org/officeDocument/2006/relationships/hyperlink" Target="https://docs.google.com/spreadsheets/d/1Q3GC-Ev2ytQmWEW74EPrVp9UQGIiiKV-Lfxz9aithFE/edit?gid=1943992207" TargetMode="External"/><Relationship Id="rId203" Type="http://schemas.openxmlformats.org/officeDocument/2006/relationships/hyperlink" Target="https://docs.google.com/spreadsheets/d/1KhQsBtq9oMjaIrn3eAQssjQJ5r8MQg8hHRZMppwT9_Q/edit?gid=1943992207" TargetMode="External"/><Relationship Id="rId324" Type="http://schemas.openxmlformats.org/officeDocument/2006/relationships/hyperlink" Target="https://docs.google.com/spreadsheets/d/1Gj6Ms8Ds_Y-8ey8MOjSrZ0ijuF4bWDsRA6zz9MVCZjE/edit?gid=1943992207" TargetMode="External"/><Relationship Id="rId445" Type="http://schemas.openxmlformats.org/officeDocument/2006/relationships/hyperlink" Target="https://docs.google.com/spreadsheets/d/1HaFtgrDvj0sT02cFSbOfGA95hJHB0zW-PlkP9mwB7_k/edit?gid=402015508" TargetMode="External"/><Relationship Id="rId566" Type="http://schemas.openxmlformats.org/officeDocument/2006/relationships/hyperlink" Target="https://docs.google.com/spreadsheets/d/1ejOpox8oDD8mUvlQO18_uiF5nXMeie-GWg-AouXBMv8/edit?gid=1943992207" TargetMode="External"/><Relationship Id="rId687" Type="http://schemas.openxmlformats.org/officeDocument/2006/relationships/hyperlink" Target="https://docs.google.com/spreadsheets/d/1JBLKvl85Xzx5BVd50a2NkLLNhpajFPmC9H0WZYWV_nY/edit?gid=1943992207" TargetMode="External"/><Relationship Id="rId209" Type="http://schemas.openxmlformats.org/officeDocument/2006/relationships/hyperlink" Target="https://docs.google.com/spreadsheets/d/1oqr4yBMJUAl0FRER7mgp9VPcenDVerZTjVP2Cp5Td1s/edit?gid=1943992207" TargetMode="External"/><Relationship Id="rId208" Type="http://schemas.openxmlformats.org/officeDocument/2006/relationships/hyperlink" Target="https://docs.google.com/spreadsheets/d/19O_NuBIiYoPv6kUYPZsFNifpxEsAy3btk74RGpG-EDQ/edit?gid=1943992207" TargetMode="External"/><Relationship Id="rId329" Type="http://schemas.openxmlformats.org/officeDocument/2006/relationships/hyperlink" Target="https://docs.google.com/spreadsheets/d/17iv8Two_vQfN0pWIc62X5TL0t58zcvj502w3m4VoWjs/edit?gid=1943992207" TargetMode="External"/><Relationship Id="rId207" Type="http://schemas.openxmlformats.org/officeDocument/2006/relationships/hyperlink" Target="https://docs.google.com/spreadsheets/d/14gm3soDoa-DGGupOVPp57Nncn_C5S9fcxXyEwbuIcvg/edit?gid=1943992207" TargetMode="External"/><Relationship Id="rId328" Type="http://schemas.openxmlformats.org/officeDocument/2006/relationships/hyperlink" Target="https://docs.google.com/spreadsheets/d/1p2PWjw8aGfW82Sj9NPhO29uy5-1_aEQ1SGU9EslkBFk/edit?gid=1943992207" TargetMode="External"/><Relationship Id="rId449" Type="http://schemas.openxmlformats.org/officeDocument/2006/relationships/hyperlink" Target="https://docs.google.com/spreadsheets/d/1RXwDgKljp-1MMLjjel1qJPiayUp5c5gknOlJqB3bL0M/edit?gid=1943992207" TargetMode="External"/><Relationship Id="rId440" Type="http://schemas.openxmlformats.org/officeDocument/2006/relationships/hyperlink" Target="https://docs.google.com/spreadsheets/d/1LFvqWFpBgRaaF3LSfAuYOHgWS6xSKNGDdYsFjJDQUz4/edit?gid=1943992207" TargetMode="External"/><Relationship Id="rId561" Type="http://schemas.openxmlformats.org/officeDocument/2006/relationships/hyperlink" Target="https://docs.google.com/spreadsheets/d/1dp-nykO5Nu9czqwXa_GcBPcNFzldMcgMTTVcUzCoQho/edit?gid=1943992207" TargetMode="External"/><Relationship Id="rId682" Type="http://schemas.openxmlformats.org/officeDocument/2006/relationships/hyperlink" Target="https://docs.google.com/spreadsheets/d/1ZbUM5F5uWS0VAbQH_O6Z90RNWyTYHjXveJ1J-BsYRrA/edit?gid=1943992207" TargetMode="External"/><Relationship Id="rId560" Type="http://schemas.openxmlformats.org/officeDocument/2006/relationships/hyperlink" Target="https://docs.google.com/spreadsheets/d/15RiU4-TiYL3PBD_HimYXvvbJ6sWS5Ng0y-zXT26KdLM/edit?gid=1625709190" TargetMode="External"/><Relationship Id="rId681" Type="http://schemas.openxmlformats.org/officeDocument/2006/relationships/hyperlink" Target="https://docs.google.com/spreadsheets/d/1dzPWTNEemc7so7nHKb6R768ojvtJuQQKCQ0vASGkjkE/edit?gid=1943992207" TargetMode="External"/><Relationship Id="rId680" Type="http://schemas.openxmlformats.org/officeDocument/2006/relationships/hyperlink" Target="https://docs.google.com/spreadsheets/d/1arUXVO3vDVNSDx9KyXfWL4HLhWOdR8HmVeAgmHBVtyc/edit?gid=1847866057" TargetMode="External"/><Relationship Id="rId202" Type="http://schemas.openxmlformats.org/officeDocument/2006/relationships/hyperlink" Target="https://docs.google.com/spreadsheets/d/16MKlNRk8Q_sNTjLdeOblTrJN8auPNi_kypE2VhxcD34/edit?gid=1943992207" TargetMode="External"/><Relationship Id="rId323" Type="http://schemas.openxmlformats.org/officeDocument/2006/relationships/hyperlink" Target="https://docs.google.com/spreadsheets/d/1zr2I_OFP7pkYiLCVo_2pjCWGHv1nOIRl8QZIZMF5610/edit?gid=1943992207" TargetMode="External"/><Relationship Id="rId444" Type="http://schemas.openxmlformats.org/officeDocument/2006/relationships/hyperlink" Target="https://docs.google.com/spreadsheets/d/1jPatSxVAY96XoVf5CT-0NwslO_Lva_thoi5r4Dkc5M8/edit?gid=1943992207" TargetMode="External"/><Relationship Id="rId565" Type="http://schemas.openxmlformats.org/officeDocument/2006/relationships/hyperlink" Target="https://docs.google.com/spreadsheets/d/1vhHJlvZpa0mZNIe6y_OZlrxv5xzpOZzigt7KUh18F7k/edit?gid=1943992207" TargetMode="External"/><Relationship Id="rId686" Type="http://schemas.openxmlformats.org/officeDocument/2006/relationships/hyperlink" Target="https://docs.google.com/spreadsheets/d/1inPCWzVQuj4qkTHsoNfK9xGb6EES_-mKLUMxhSMYQEE/edit?gid=1943992207" TargetMode="External"/><Relationship Id="rId201" Type="http://schemas.openxmlformats.org/officeDocument/2006/relationships/hyperlink" Target="https://docs.google.com/spreadsheets/d/1BQrP9HrNkI2lTd5LaOfqhngmDlOQSqCfeNHP39u7L7s/edit?gid=1943992207" TargetMode="External"/><Relationship Id="rId322" Type="http://schemas.openxmlformats.org/officeDocument/2006/relationships/hyperlink" Target="https://docs.google.com/spreadsheets/d/1ibsplzIzrB01UeurAOPW48wYHH10olm0jIMRrKzY1QE/edit?gid=1943992207" TargetMode="External"/><Relationship Id="rId443" Type="http://schemas.openxmlformats.org/officeDocument/2006/relationships/hyperlink" Target="https://docs.google.com/spreadsheets/d/1b0R48BEiFkn_dNHdoCqfxcjVQuBQpo6QZK9LuntSQ5s/edit?gid=1943992207" TargetMode="External"/><Relationship Id="rId564" Type="http://schemas.openxmlformats.org/officeDocument/2006/relationships/hyperlink" Target="https://docs.google.com/spreadsheets/d/1wj2pjRbDTnx52ywAp-esTdLYhAlF7frbEFEgdj1lfwc/edit?gid=1943992207" TargetMode="External"/><Relationship Id="rId685" Type="http://schemas.openxmlformats.org/officeDocument/2006/relationships/hyperlink" Target="https://docs.google.com/spreadsheets/d/1PWe50OZXU0OCB0pRfikg7uyy0wyHcLqaYaP6DYqXfsw/edit?gid=1943992207" TargetMode="External"/><Relationship Id="rId200" Type="http://schemas.openxmlformats.org/officeDocument/2006/relationships/hyperlink" Target="https://docs.google.com/spreadsheets/d/1ov0AqEqYdERwFMeX3DhB9zv30ZCznIL4BTezpf_k86g/edit?gid=1943992207" TargetMode="External"/><Relationship Id="rId321" Type="http://schemas.openxmlformats.org/officeDocument/2006/relationships/hyperlink" Target="https://docs.google.com/spreadsheets/d/1iOzwm5gn7yPgpaxgdiovy-CRhSddX3BycKLP5ELyC3o/edit?gid=1943992207" TargetMode="External"/><Relationship Id="rId442" Type="http://schemas.openxmlformats.org/officeDocument/2006/relationships/hyperlink" Target="https://docs.google.com/spreadsheets/d/1YUPF-1hilD7kJk1M0wDdULZJvxiM6SFdwq5V-QJSMVw/edit?gid=1943992207" TargetMode="External"/><Relationship Id="rId563" Type="http://schemas.openxmlformats.org/officeDocument/2006/relationships/hyperlink" Target="https://docs.google.com/spreadsheets/d/15GJw1GS6VHO-APMNbFutlc801eOqfAxP6zcusttESaY/edit?gid=1943992207" TargetMode="External"/><Relationship Id="rId684" Type="http://schemas.openxmlformats.org/officeDocument/2006/relationships/hyperlink" Target="https://docs.google.com/spreadsheets/d/1Hh75HPjYgexuD1I50So7zwCL-1u2vfB-XECuXYGtAA4/edit?gid=1943992207" TargetMode="External"/><Relationship Id="rId320" Type="http://schemas.openxmlformats.org/officeDocument/2006/relationships/hyperlink" Target="https://docs.google.com/spreadsheets/d/1GFLhWVjNKpKS7V1N6oSou0JalL7u8g8Qvn9_gCmmW0M/edit?gid=1371264308" TargetMode="External"/><Relationship Id="rId441" Type="http://schemas.openxmlformats.org/officeDocument/2006/relationships/hyperlink" Target="https://docs.google.com/spreadsheets/d/1YaY5l09yVCewK4rOF5Y4khUoTWr4bJpBoCcdc33circ/edit?gid=1943992207" TargetMode="External"/><Relationship Id="rId562" Type="http://schemas.openxmlformats.org/officeDocument/2006/relationships/hyperlink" Target="https://docs.google.com/spreadsheets/d/1i_7rt4r1mftoXI3-MWE81bm0GUAilWpoFJ-LDq6NeFk/edit?gid=1943992207" TargetMode="External"/><Relationship Id="rId683" Type="http://schemas.openxmlformats.org/officeDocument/2006/relationships/hyperlink" Target="https://docs.google.com/spreadsheets/d/1od0avJ1geHJcUW-pMHY6vbXy1aaeODVz2kGlrNq7Peg/edit?gid=740236191" TargetMode="External"/><Relationship Id="rId316" Type="http://schemas.openxmlformats.org/officeDocument/2006/relationships/hyperlink" Target="https://docs.google.com/spreadsheets/d/1vi9_J_S_7kaRyAEeXOA3bK5a30Rafw9xGzfzAHLHR08/edit?gid=1943992207" TargetMode="External"/><Relationship Id="rId437" Type="http://schemas.openxmlformats.org/officeDocument/2006/relationships/hyperlink" Target="https://docs.google.com/spreadsheets/d/1GYCDEjq3JwkhIifdpJdVYgZ8DpjYGBQt_t4dN5Zmnhc/edit?gid=1943992207" TargetMode="External"/><Relationship Id="rId558" Type="http://schemas.openxmlformats.org/officeDocument/2006/relationships/hyperlink" Target="https://docs.google.com/spreadsheets/d/1Md8Py-tv1U-MZ8--nbeMC_Wmszze92iC_zMalnO6cYI/edit?gid=1943992207" TargetMode="External"/><Relationship Id="rId679" Type="http://schemas.openxmlformats.org/officeDocument/2006/relationships/hyperlink" Target="https://docs.google.com/spreadsheets/d/1wLHYLTmzGrZ1J7wRt_ebMNeZyz4Pr05NyAS-9K0HR_o/edit?gid=1943992207" TargetMode="External"/><Relationship Id="rId315" Type="http://schemas.openxmlformats.org/officeDocument/2006/relationships/hyperlink" Target="https://docs.google.com/spreadsheets/d/16PCu2AUNgl2wINlK5LXy9EjFJnIpCuiDs_VdvLmuBC0/edit?gid=1943992207" TargetMode="External"/><Relationship Id="rId436" Type="http://schemas.openxmlformats.org/officeDocument/2006/relationships/hyperlink" Target="https://docs.google.com/spreadsheets/d/1nin-VuciAfOdzIlS8G6LrQRZK5V-ingU_RTkR29WdWo/edit?gid=1943992207" TargetMode="External"/><Relationship Id="rId557" Type="http://schemas.openxmlformats.org/officeDocument/2006/relationships/hyperlink" Target="https://docs.google.com/spreadsheets/d/1fzV-D4Sp9oW1wrp85c4Y51vr-PxEbhuMz11Buw_JI4o/edit?gid=1943992207" TargetMode="External"/><Relationship Id="rId678" Type="http://schemas.openxmlformats.org/officeDocument/2006/relationships/hyperlink" Target="https://docs.google.com/spreadsheets/d/1ujMzv90pSbz3jTbpZSxsXVEnSDEfbE3aO0TUlit8QuY/edit?gid=1943992207" TargetMode="External"/><Relationship Id="rId314" Type="http://schemas.openxmlformats.org/officeDocument/2006/relationships/hyperlink" Target="https://docs.google.com/spreadsheets/d/1xCeZmKtTgylZp7r9Kbr_NKn0Xdb_OCyKpkxBuUEQMus/edit?gid=1943992207" TargetMode="External"/><Relationship Id="rId435" Type="http://schemas.openxmlformats.org/officeDocument/2006/relationships/hyperlink" Target="https://docs.google.com/spreadsheets/d/1Rrh6hUNE1WbkHr9ZNLFPgrL5k6UVE3jqV3YgK-dQqUU/edit?gid=1943992207" TargetMode="External"/><Relationship Id="rId556" Type="http://schemas.openxmlformats.org/officeDocument/2006/relationships/hyperlink" Target="https://docs.google.com/spreadsheets/d/1RRpTorc8qBpvZb7kpKoYZocHd-n0vwiaow5f8F1iWos/edit?gid=1943992207" TargetMode="External"/><Relationship Id="rId677" Type="http://schemas.openxmlformats.org/officeDocument/2006/relationships/hyperlink" Target="https://docs.google.com/spreadsheets/d/1Q-7DVbdJn7sDbq7vYQJyRSu8LvQpzx5nMp6yxDiMlQE/edit?gid=1943992207" TargetMode="External"/><Relationship Id="rId313" Type="http://schemas.openxmlformats.org/officeDocument/2006/relationships/hyperlink" Target="https://docs.google.com/spreadsheets/d/1OBUyx94T0dKFQcQQqRn3ta6y6JPhzscBGi6W0Q4BuK8/edit?gid=1943992207" TargetMode="External"/><Relationship Id="rId434" Type="http://schemas.openxmlformats.org/officeDocument/2006/relationships/hyperlink" Target="https://docs.google.com/spreadsheets/d/1Wd7pZzQREpKQlX2LUSXXO2zt2J9w2xP4aXKBY55VWMM/edit?gid=1943992207" TargetMode="External"/><Relationship Id="rId555" Type="http://schemas.openxmlformats.org/officeDocument/2006/relationships/hyperlink" Target="https://docs.google.com/spreadsheets/d/1yJW7mCYN0phfSQDUKHquwCGPB3pR26bjAk8ObVoypH8/edit?gid=1363964414" TargetMode="External"/><Relationship Id="rId676" Type="http://schemas.openxmlformats.org/officeDocument/2006/relationships/hyperlink" Target="https://docs.google.com/spreadsheets/d/1i1De2hRB6WSXYxgs3ZD17YNPhRGVWB00tYxiFXcFwZY/edit?gid=1943992207" TargetMode="External"/><Relationship Id="rId319" Type="http://schemas.openxmlformats.org/officeDocument/2006/relationships/hyperlink" Target="https://docs.google.com/spreadsheets/d/1UqEbWpQP8_JzYFem_9fMJrmZR_q1G7wwnJ7HUWmhSB4/edit?gid=1943992207" TargetMode="External"/><Relationship Id="rId318" Type="http://schemas.openxmlformats.org/officeDocument/2006/relationships/hyperlink" Target="https://docs.google.com/spreadsheets/d/12R3IbUyGmPRcLzY5fBoQ2-Vsw7w848YkBygtCxYjGzg/edit?gid=1943992207" TargetMode="External"/><Relationship Id="rId439" Type="http://schemas.openxmlformats.org/officeDocument/2006/relationships/hyperlink" Target="https://docs.google.com/spreadsheets/d/1p-MMeY4N997s3jEZp1-Zoq_QSJ5H0-EyXTVMT7ilSNw/edit?gid=1943992207" TargetMode="External"/><Relationship Id="rId317" Type="http://schemas.openxmlformats.org/officeDocument/2006/relationships/hyperlink" Target="https://docs.google.com/spreadsheets/d/18Xb23O6a-suE7RoGwc67IJmVh_dFZYslTct7LyaqOW0/edit?gid=1943992207" TargetMode="External"/><Relationship Id="rId438" Type="http://schemas.openxmlformats.org/officeDocument/2006/relationships/hyperlink" Target="https://docs.google.com/spreadsheets/d/1WIQVCxy5vUtf8j9oBxxO3fNSx6nwCiw5HHFPUIBV9hg/edit?gid=1943992207" TargetMode="External"/><Relationship Id="rId559" Type="http://schemas.openxmlformats.org/officeDocument/2006/relationships/hyperlink" Target="https://docs.google.com/spreadsheets/d/1K8EFzMq9w-EUtdhLNWWWWWZ1hPCl39jtT8FRa6xQwlQ/edit?gid=1943992207" TargetMode="External"/><Relationship Id="rId550" Type="http://schemas.openxmlformats.org/officeDocument/2006/relationships/hyperlink" Target="https://docs.google.com/spreadsheets/d/1U7rnu5SFAzlkbcgF3AidVyd5bhEk9cQ21eAIzRNjI-U/edit?gid=1943992207" TargetMode="External"/><Relationship Id="rId671" Type="http://schemas.openxmlformats.org/officeDocument/2006/relationships/hyperlink" Target="https://docs.google.com/spreadsheets/d/1NlYQLXAsl3mCrM---Ne7UFRvTP83uEpWeJkQlDjibs0/edit?gid=1943992207" TargetMode="External"/><Relationship Id="rId670" Type="http://schemas.openxmlformats.org/officeDocument/2006/relationships/hyperlink" Target="https://docs.google.com/spreadsheets/d/1tU5U8RMtsd1Vw5zS9chL-8UhVycddgc8ponyprtyvBk/edit?gid=1943992207" TargetMode="External"/><Relationship Id="rId312" Type="http://schemas.openxmlformats.org/officeDocument/2006/relationships/hyperlink" Target="https://docs.google.com/spreadsheets/d/1Vio8e7haYheaCb8IFW58vHxFKt9BEC26u5K71ew7DM4/edit?gid=1943992207" TargetMode="External"/><Relationship Id="rId433" Type="http://schemas.openxmlformats.org/officeDocument/2006/relationships/hyperlink" Target="https://docs.google.com/spreadsheets/d/1SNNCRm_BCyyxHfk5WNW-2AiIH0Cg1da5bvIEWwkXEdI/edit?gid=1789805227" TargetMode="External"/><Relationship Id="rId554" Type="http://schemas.openxmlformats.org/officeDocument/2006/relationships/hyperlink" Target="https://docs.google.com/spreadsheets/d/1jJKUVREqE6yLqgyXtl13JKRvglCV9jEVQig3uP9HQWk/edit?gid=1943992207" TargetMode="External"/><Relationship Id="rId675" Type="http://schemas.openxmlformats.org/officeDocument/2006/relationships/hyperlink" Target="https://docs.google.com/spreadsheets/d/12Y_eEY2sX7gKFfWaY9XNUzyEOji_GITskZq1W4uc53I/edit?gid=1943992207" TargetMode="External"/><Relationship Id="rId311" Type="http://schemas.openxmlformats.org/officeDocument/2006/relationships/hyperlink" Target="https://docs.google.com/spreadsheets/d/1iwT9ovbQJv2LWst76MLWsyYNLHLNWLCHW5JXM_btUn8/edit?gid=1943992207" TargetMode="External"/><Relationship Id="rId432" Type="http://schemas.openxmlformats.org/officeDocument/2006/relationships/hyperlink" Target="https://docs.google.com/spreadsheets/d/1-SBED0NWGxUvit2duOV4A0PI8DSRt3xFdqwKzc7vhR8/edit?gid=1943992207" TargetMode="External"/><Relationship Id="rId553" Type="http://schemas.openxmlformats.org/officeDocument/2006/relationships/hyperlink" Target="https://docs.google.com/spreadsheets/d/1kS7ivhIF4fylOklj75t3vqT_zCvT5RQ_7jkU0Hb0o1g/edit?gid=1943992207" TargetMode="External"/><Relationship Id="rId674" Type="http://schemas.openxmlformats.org/officeDocument/2006/relationships/hyperlink" Target="https://docs.google.com/spreadsheets/d/1SRIEJlpa3hLh--nu1gEA-0OqF9O48fCs28mfA_yU5Ro/edit?gid=1943992207" TargetMode="External"/><Relationship Id="rId310" Type="http://schemas.openxmlformats.org/officeDocument/2006/relationships/hyperlink" Target="https://docs.google.com/spreadsheets/d/1kOLQtHuZw1_uPsIsUqc-MshElNhD5I4mGazNGwwphZ4/edit?pli=1&amp;gid=1943992207" TargetMode="External"/><Relationship Id="rId431" Type="http://schemas.openxmlformats.org/officeDocument/2006/relationships/hyperlink" Target="https://docs.google.com/spreadsheets/d/1IN3sf0cYZVi2TV7j4BE7AnDJY1f_ypYg0h-kWNX4oWU/edit?gid=1943992207" TargetMode="External"/><Relationship Id="rId552" Type="http://schemas.openxmlformats.org/officeDocument/2006/relationships/hyperlink" Target="https://docs.google.com/spreadsheets/d/1gjSsn-23M_Vdm_cuZIRlB3EE4pW5HLCyyRBtH9l0u0I/edit?gid=1943992207" TargetMode="External"/><Relationship Id="rId673" Type="http://schemas.openxmlformats.org/officeDocument/2006/relationships/hyperlink" Target="https://docs.google.com/spreadsheets/d/17H4ODqvLtJRitmx1qeZ4D2d6JFuVj2BExDIcjV-FAp0/edit?gid=1943992207" TargetMode="External"/><Relationship Id="rId430" Type="http://schemas.openxmlformats.org/officeDocument/2006/relationships/hyperlink" Target="https://docs.google.com/spreadsheets/d/11z2OmZ0_dsxdKucpZcczrwKSxa04LnbFk0p2V3jN9uM/edit?gid=1943992207" TargetMode="External"/><Relationship Id="rId551" Type="http://schemas.openxmlformats.org/officeDocument/2006/relationships/hyperlink" Target="https://docs.google.com/spreadsheets/d/1TQzB4EgKy5ifa0TiBHC1cuqSYs0cfaDYjNq6chHFmec/edit?gid=1943992207" TargetMode="External"/><Relationship Id="rId672" Type="http://schemas.openxmlformats.org/officeDocument/2006/relationships/hyperlink" Target="https://docs.google.com/spreadsheets/d/1KQjiOLf2H_ygS139f6PRnIa-MLcghrszCBUgRpGIrEc/edit?gid=428529787"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_tPjdH-URPBStXtOfMl6M3lbQSHaVz6tiS9IHz7wvpM/edit" TargetMode="External"/><Relationship Id="rId2" Type="http://schemas.openxmlformats.org/officeDocument/2006/relationships/hyperlink" Target="https://docs.google.com/spreadsheets/d/1T5MOPnf6dOGqg1_nkSV0ZN8-4lB-q5DQ2mWDcmABNiU/edit" TargetMode="External"/><Relationship Id="rId3" Type="http://schemas.openxmlformats.org/officeDocument/2006/relationships/hyperlink" Target="https://docs.google.com/spreadsheets/d/1yfnQHGluzOt1Vp1jMoxoEaDuXm9qfw1em7ndT1IfYDQ/edit" TargetMode="External"/><Relationship Id="rId4" Type="http://schemas.openxmlformats.org/officeDocument/2006/relationships/hyperlink" Target="https://docs.google.com/spreadsheets/d/1NJlY4HAvUTcSnca-1Z_E58Za2Xn4fQnoA5fLBWJVq8U/edit" TargetMode="External"/><Relationship Id="rId9" Type="http://schemas.openxmlformats.org/officeDocument/2006/relationships/hyperlink" Target="https://docs.google.com/spreadsheets/d/1Le3HpXmPAYmMi9PjjdUNPpZYVN9nvQdHbB7N_hNnJ9E/edit" TargetMode="External"/><Relationship Id="rId5" Type="http://schemas.openxmlformats.org/officeDocument/2006/relationships/hyperlink" Target="https://docs.google.com/spreadsheets/d/1fl7v2TLs6SiH1jXEWlqwNu2LoRsdZ39_xGJCUrc9gNc/edit" TargetMode="External"/><Relationship Id="rId6" Type="http://schemas.openxmlformats.org/officeDocument/2006/relationships/hyperlink" Target="https://drive.google.com/drive/folders/1mzDG-VBwzskDMqNGVjTw1a3duAmm2kET" TargetMode="External"/><Relationship Id="rId7" Type="http://schemas.openxmlformats.org/officeDocument/2006/relationships/hyperlink" Target="https://docs.google.com/spreadsheets/d/1Zrpox1REYfHPo3X1fAbCfOX6ffSg0QBijMgKf3ROOsc/edit" TargetMode="External"/><Relationship Id="rId8" Type="http://schemas.openxmlformats.org/officeDocument/2006/relationships/hyperlink" Target="https://docs.google.com/forms/d/1Zjux3yOh6Bc3hoMvtjye0ChJOCoU71L7sOuUzNXHe2Y/edit" TargetMode="External"/><Relationship Id="rId11" Type="http://schemas.openxmlformats.org/officeDocument/2006/relationships/hyperlink" Target="https://docs.google.com/spreadsheets/d/1W3ZQGtojCnsEv5irxymhoMhx6tcwT5xD5FlF6ZRxK7Y/edit?usp=sharing" TargetMode="External"/><Relationship Id="rId10" Type="http://schemas.openxmlformats.org/officeDocument/2006/relationships/hyperlink" Target="https://docs.google.com/spreadsheets/d/1j-LbfsX1ibl1WPlv2jUZ4T4DZz-Nk2SoNte5hb5vBj4/edit" TargetMode="External"/><Relationship Id="rId13" Type="http://schemas.openxmlformats.org/officeDocument/2006/relationships/hyperlink" Target="https://docs.google.com/forms/d/e/1FAIpQLSfpduWWwLfL6rH8gP1XTKeCe8y_sC2bRr5uPYjlPuN61Ie2Dg/viewform" TargetMode="External"/><Relationship Id="rId12" Type="http://schemas.openxmlformats.org/officeDocument/2006/relationships/hyperlink" Target="https://docs.google.com/forms/d/1SBuQ4cgd-iN_7sDCRlROMq9f-IaAmJiEYpJPrHwW-i8/edit?usp=drive_web" TargetMode="External"/><Relationship Id="rId15" Type="http://schemas.openxmlformats.org/officeDocument/2006/relationships/hyperlink" Target="https://docs.google.com/spreadsheets/d/1oYuMY8y5mu4_pE9sVsIF0cB-Us-kjM2wdpxOBg7Bmj8/edit" TargetMode="External"/><Relationship Id="rId14" Type="http://schemas.openxmlformats.org/officeDocument/2006/relationships/hyperlink" Target="https://docs.google.com/spreadsheets/d/1Rwpsyd3z2WZljiIlTqkJrWKMtj6mHVP2kd4L03e34m0/edit" TargetMode="External"/><Relationship Id="rId17" Type="http://schemas.openxmlformats.org/officeDocument/2006/relationships/hyperlink" Target="https://forms.gle/xciAmSXCp95GPTiq6" TargetMode="External"/><Relationship Id="rId16" Type="http://schemas.openxmlformats.org/officeDocument/2006/relationships/hyperlink" Target="https://docs.google.com/forms/d/e/1FAIpQLSdPJuBTOxuOK5FmIEs_onAkAxGZwdu0FBV5-5O7WGjD2m3t8g/viewform" TargetMode="External"/><Relationship Id="rId1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sheetViews>
  <sheetFormatPr customHeight="1" defaultColWidth="12.63" defaultRowHeight="15.75" outlineLevelRow="1"/>
  <cols>
    <col customWidth="1" min="1" max="1" width="33.88"/>
    <col customWidth="1" min="2" max="2" width="8.0"/>
    <col customWidth="1" min="3" max="3" width="9.0"/>
    <col customWidth="1" min="6" max="6" width="15.25"/>
  </cols>
  <sheetData>
    <row r="1">
      <c r="A1" s="1" t="s">
        <v>0</v>
      </c>
      <c r="B1" s="1"/>
      <c r="C1" s="1"/>
      <c r="D1" s="3"/>
      <c r="E1" s="3"/>
      <c r="F1" s="3"/>
      <c r="G1" s="3"/>
      <c r="H1" s="3"/>
      <c r="I1" s="3"/>
      <c r="J1" s="3"/>
      <c r="K1" s="3"/>
    </row>
    <row r="2">
      <c r="A2" s="6" t="s">
        <v>6</v>
      </c>
      <c r="B2" s="6"/>
      <c r="C2" s="6"/>
      <c r="D2" s="1" t="s">
        <v>7</v>
      </c>
      <c r="E2" s="8">
        <v>45658.0</v>
      </c>
      <c r="F2" s="8"/>
      <c r="G2" s="8"/>
      <c r="H2" s="8"/>
      <c r="I2" s="8"/>
      <c r="J2" s="8"/>
      <c r="K2" s="8"/>
    </row>
    <row r="3">
      <c r="A3" s="3"/>
      <c r="B3" s="3"/>
      <c r="C3" s="3"/>
      <c r="D3" s="1" t="s">
        <v>11</v>
      </c>
      <c r="E3" s="8">
        <f>now()</f>
        <v>46283.47557</v>
      </c>
      <c r="F3" s="8"/>
      <c r="G3" s="8"/>
      <c r="H3" s="8"/>
      <c r="I3" s="8"/>
      <c r="J3" s="8"/>
      <c r="K3" s="8"/>
    </row>
    <row r="4">
      <c r="A4" s="13" t="s">
        <v>18</v>
      </c>
      <c r="B4" s="13"/>
      <c r="C4" s="13"/>
      <c r="D4" s="14"/>
      <c r="E4" s="14"/>
      <c r="F4" s="14"/>
      <c r="G4" s="14"/>
      <c r="H4" s="14"/>
      <c r="I4" s="14"/>
      <c r="J4" s="14"/>
      <c r="K4" s="14"/>
    </row>
    <row r="5" outlineLevel="1">
      <c r="A5" s="15" t="s">
        <v>23</v>
      </c>
      <c r="B5" s="15"/>
      <c r="C5" s="15"/>
      <c r="D5" s="17">
        <f>sum(D6:D10)</f>
        <v>7</v>
      </c>
      <c r="E5" s="3"/>
      <c r="F5" s="3"/>
      <c r="G5" s="3"/>
      <c r="H5" s="1"/>
      <c r="I5" s="3"/>
      <c r="J5" s="3"/>
      <c r="K5" s="3"/>
    </row>
    <row r="6" outlineLevel="1">
      <c r="A6" s="18" t="s">
        <v>31</v>
      </c>
      <c r="B6" s="18"/>
      <c r="C6" s="18"/>
      <c r="D6" s="17">
        <f>COUNTIFS('1.Chăm sóc'!$B:$B,"&gt;=" &amp;$E$2,'1.Chăm sóc'!$B:$B,"&lt;=" &amp;$E$3,'1.Chăm sóc'!$V:$V,A6)</f>
        <v>0</v>
      </c>
      <c r="E6" s="3"/>
      <c r="F6" s="3"/>
      <c r="G6" s="3"/>
      <c r="H6" s="3"/>
      <c r="I6" s="3"/>
      <c r="J6" s="3"/>
      <c r="K6" s="3"/>
    </row>
    <row r="7" outlineLevel="1">
      <c r="A7" s="18" t="s">
        <v>42</v>
      </c>
      <c r="B7" s="18"/>
      <c r="C7" s="18"/>
      <c r="D7" s="17">
        <f>COUNTIFS('1.Chăm sóc'!$B:$B,"&gt;=" &amp;$E$2,'1.Chăm sóc'!$B:$B,"&lt;=" &amp;$E$3,'1.Chăm sóc'!$V:$V,A7)</f>
        <v>0</v>
      </c>
      <c r="E7" s="3"/>
      <c r="F7" s="3"/>
      <c r="G7" s="3"/>
      <c r="H7" s="3"/>
      <c r="I7" s="3"/>
      <c r="J7" s="3"/>
      <c r="K7" s="3"/>
    </row>
    <row r="8" outlineLevel="1">
      <c r="A8" s="1" t="s">
        <v>48</v>
      </c>
      <c r="B8" s="1"/>
      <c r="C8" s="1"/>
      <c r="D8" s="17">
        <f>COUNTIFS('1.Chăm sóc'!$B:$B,"&gt;=" &amp;$E$2,'1.Chăm sóc'!$B:$B,"&lt;=" &amp;$E$3,'1.Chăm sóc'!$V:$V,A8)</f>
        <v>3</v>
      </c>
      <c r="E8" s="3"/>
      <c r="F8" s="3"/>
      <c r="G8" s="3"/>
      <c r="H8" s="3"/>
      <c r="I8" s="3"/>
      <c r="J8" s="3"/>
      <c r="K8" s="3"/>
    </row>
    <row r="9" outlineLevel="1">
      <c r="A9" s="1" t="s">
        <v>53</v>
      </c>
      <c r="B9" s="1"/>
      <c r="C9" s="1"/>
      <c r="D9" s="17">
        <f>COUNTIFS('1.Chăm sóc'!$B:$B,"&gt;=" &amp;$E$2,'1.Chăm sóc'!$B:$B,"&lt;=" &amp;$E$3,'1.Chăm sóc'!$V:$V,A9)</f>
        <v>3</v>
      </c>
      <c r="E9" s="3"/>
      <c r="F9" s="3"/>
      <c r="G9" s="3"/>
      <c r="H9" s="3"/>
      <c r="I9" s="3"/>
      <c r="J9" s="3"/>
      <c r="K9" s="3"/>
    </row>
    <row r="10" outlineLevel="1">
      <c r="A10" s="1" t="s">
        <v>61</v>
      </c>
      <c r="B10" s="1"/>
      <c r="C10" s="1"/>
      <c r="D10" s="17">
        <f>COUNTIFS('1.Chăm sóc'!$B:$B,"&gt;=" &amp;$E$2,'1.Chăm sóc'!$B:$B,"&lt;=" &amp;$E$3,'1.Chăm sóc'!$V:$V,A10)</f>
        <v>1</v>
      </c>
      <c r="E10" s="3"/>
      <c r="F10" s="3"/>
      <c r="G10" s="3"/>
      <c r="H10" s="3"/>
      <c r="I10" s="3"/>
      <c r="J10" s="3"/>
      <c r="K10" s="3"/>
    </row>
    <row r="11" outlineLevel="1">
      <c r="A11" s="1"/>
      <c r="B11" s="1"/>
      <c r="C11" s="1"/>
      <c r="D11" s="3"/>
      <c r="E11" s="3"/>
      <c r="F11" s="3"/>
      <c r="G11" s="3"/>
      <c r="H11" s="3"/>
      <c r="I11" s="3"/>
      <c r="J11" s="3"/>
      <c r="K11" s="3"/>
    </row>
    <row r="12" outlineLevel="1">
      <c r="A12" s="1" t="s">
        <v>68</v>
      </c>
      <c r="B12" s="1"/>
      <c r="C12" s="1"/>
      <c r="D12" s="3"/>
      <c r="E12" s="3"/>
      <c r="F12" s="1" t="s">
        <v>69</v>
      </c>
      <c r="G12" s="3"/>
      <c r="H12" s="3"/>
      <c r="I12" s="3"/>
      <c r="J12" s="3"/>
      <c r="K12" s="3"/>
    </row>
    <row r="13" outlineLevel="1">
      <c r="A13" s="18" t="s">
        <v>31</v>
      </c>
      <c r="B13" s="18"/>
      <c r="C13" s="18"/>
      <c r="D13" s="41">
        <f t="shared" ref="D13:D17" si="1">D6/$D$5</f>
        <v>0</v>
      </c>
      <c r="E13" s="3"/>
      <c r="F13" s="43" t="s">
        <v>76</v>
      </c>
      <c r="G13" s="3"/>
      <c r="H13" s="3"/>
      <c r="I13" s="3"/>
      <c r="J13" s="3"/>
      <c r="K13" s="3"/>
    </row>
    <row r="14" outlineLevel="1">
      <c r="A14" s="18" t="s">
        <v>42</v>
      </c>
      <c r="B14" s="18"/>
      <c r="C14" s="18"/>
      <c r="D14" s="41">
        <f t="shared" si="1"/>
        <v>0</v>
      </c>
      <c r="E14" s="3"/>
      <c r="F14" s="43" t="s">
        <v>84</v>
      </c>
      <c r="G14" s="3"/>
      <c r="H14" s="3"/>
      <c r="I14" s="3"/>
      <c r="J14" s="3"/>
      <c r="K14" s="3"/>
    </row>
    <row r="15" outlineLevel="1">
      <c r="A15" s="1" t="s">
        <v>48</v>
      </c>
      <c r="B15" s="1"/>
      <c r="C15" s="1"/>
      <c r="D15" s="41">
        <f t="shared" si="1"/>
        <v>0.4285714286</v>
      </c>
      <c r="E15" s="3"/>
      <c r="F15" s="43" t="s">
        <v>85</v>
      </c>
      <c r="G15" s="3"/>
      <c r="H15" s="3"/>
      <c r="I15" s="3"/>
      <c r="J15" s="3"/>
      <c r="K15" s="3"/>
    </row>
    <row r="16" outlineLevel="1">
      <c r="A16" s="1" t="s">
        <v>53</v>
      </c>
      <c r="B16" s="1"/>
      <c r="C16" s="1"/>
      <c r="D16" s="41">
        <f t="shared" si="1"/>
        <v>0.4285714286</v>
      </c>
      <c r="E16" s="3"/>
      <c r="F16" s="43" t="s">
        <v>88</v>
      </c>
      <c r="G16" s="3"/>
      <c r="H16" s="3"/>
      <c r="I16" s="3"/>
      <c r="J16" s="3"/>
      <c r="K16" s="3"/>
    </row>
    <row r="17" outlineLevel="1">
      <c r="A17" s="1" t="s">
        <v>61</v>
      </c>
      <c r="B17" s="1"/>
      <c r="C17" s="1"/>
      <c r="D17" s="41">
        <f t="shared" si="1"/>
        <v>0.1428571429</v>
      </c>
      <c r="E17" s="3"/>
      <c r="F17" s="43" t="s">
        <v>91</v>
      </c>
      <c r="G17" s="3"/>
      <c r="H17" s="3"/>
      <c r="I17" s="3"/>
      <c r="J17" s="3"/>
      <c r="K17" s="3"/>
    </row>
    <row r="18" outlineLevel="1">
      <c r="A18" s="8">
        <v>46082.0</v>
      </c>
      <c r="B18" s="1"/>
      <c r="C18" s="1"/>
      <c r="D18" s="41"/>
      <c r="E18" s="3"/>
      <c r="F18" s="43"/>
      <c r="G18" s="3"/>
      <c r="H18" s="3"/>
      <c r="I18" s="3"/>
      <c r="J18" s="3"/>
      <c r="K18" s="3"/>
    </row>
    <row r="19" outlineLevel="1">
      <c r="A19" s="56">
        <f>now()</f>
        <v>46283.47557</v>
      </c>
      <c r="B19" s="1"/>
      <c r="C19" s="1"/>
      <c r="D19" s="41"/>
      <c r="E19" s="3"/>
      <c r="F19" s="43"/>
      <c r="G19" s="3"/>
      <c r="H19" s="3"/>
      <c r="I19" s="3"/>
      <c r="J19" s="3"/>
      <c r="K19" s="3"/>
    </row>
    <row r="20">
      <c r="A20" s="13" t="s">
        <v>97</v>
      </c>
      <c r="B20" s="13"/>
      <c r="C20" s="13"/>
      <c r="D20" s="13" t="s">
        <v>98</v>
      </c>
      <c r="E20" s="13" t="s">
        <v>99</v>
      </c>
      <c r="F20" s="13" t="s">
        <v>100</v>
      </c>
      <c r="G20" s="13" t="s">
        <v>101</v>
      </c>
      <c r="H20" s="13" t="s">
        <v>102</v>
      </c>
      <c r="I20" s="13" t="s">
        <v>103</v>
      </c>
      <c r="J20" s="13" t="s">
        <v>104</v>
      </c>
      <c r="K20" s="13" t="s">
        <v>106</v>
      </c>
    </row>
    <row r="21">
      <c r="A21" s="61" t="s">
        <v>108</v>
      </c>
      <c r="B21" s="61" t="s">
        <v>115</v>
      </c>
      <c r="C21" s="61" t="s">
        <v>23</v>
      </c>
      <c r="D21" s="65" t="s">
        <v>120</v>
      </c>
      <c r="E21" s="65" t="s">
        <v>122</v>
      </c>
      <c r="F21" s="65" t="s">
        <v>123</v>
      </c>
      <c r="G21" s="65" t="s">
        <v>124</v>
      </c>
      <c r="H21" s="65" t="s">
        <v>126</v>
      </c>
      <c r="I21" s="65" t="s">
        <v>127</v>
      </c>
      <c r="J21" s="65" t="s">
        <v>128</v>
      </c>
      <c r="K21" s="61" t="s">
        <v>129</v>
      </c>
    </row>
    <row r="22" ht="15.0" customHeight="1">
      <c r="A22" s="3" t="s">
        <v>130</v>
      </c>
      <c r="B22" s="3">
        <f>COUNTIFS('1.Chăm sóc'!$AJ:$AJ,"&gt;=1",'1.Chăm sóc'!$B:$B,"&gt;="&amp;$A$18,'1.Chăm sóc'!$B:$B,"&lt;="&amp;$A$19)</f>
        <v>0</v>
      </c>
      <c r="C22" s="79">
        <f t="shared" ref="C22:C36" si="2">sum(D22:K22)</f>
        <v>0</v>
      </c>
      <c r="D22" s="89">
        <f>COUNTIFS('1.Chăm sóc'!$AO:$AO,D$21,'1.Chăm sóc'!$B:$B,"&gt;="&amp;$A$18,'1.Chăm sóc'!$B:$B,"&lt;="&amp;$A$19)</f>
        <v>0</v>
      </c>
      <c r="E22" s="89">
        <f>COUNTIFS('1.Chăm sóc'!$AO:$AO,E$21,'1.Chăm sóc'!$B:$B,"&gt;="&amp;$A$18,'1.Chăm sóc'!$B:$B,"&lt;="&amp;$A$19)</f>
        <v>0</v>
      </c>
      <c r="F22" s="89">
        <f>COUNTIFS('1.Chăm sóc'!$AO:$AO,F$21,'1.Chăm sóc'!$B:$B,"&gt;="&amp;$A$18,'1.Chăm sóc'!$B:$B,"&lt;="&amp;$A$19)</f>
        <v>0</v>
      </c>
      <c r="G22" s="89">
        <f>COUNTIFS('1.Chăm sóc'!$AO:$AO,G$21,'1.Chăm sóc'!$B:$B,"&gt;="&amp;$A$18,'1.Chăm sóc'!$B:$B,"&lt;="&amp;$A$19)</f>
        <v>0</v>
      </c>
      <c r="H22" s="89">
        <f>COUNTIFS('1.Chăm sóc'!$AO:$AO,H$21,'1.Chăm sóc'!$B:$B,"&gt;="&amp;$A$18,'1.Chăm sóc'!$B:$B,"&lt;="&amp;$A$19)</f>
        <v>0</v>
      </c>
      <c r="I22" s="89">
        <f>COUNTIFS('1.Chăm sóc'!$AO:$AO,I$21,'1.Chăm sóc'!$B:$B,"&gt;="&amp;$A$18,'1.Chăm sóc'!$B:$B,"&lt;="&amp;$A$19)</f>
        <v>0</v>
      </c>
      <c r="J22" s="89">
        <f>COUNTIFS('1.Chăm sóc'!$AO:$AO,J$21,'1.Chăm sóc'!$B:$B,"&gt;="&amp;$A$18,'1.Chăm sóc'!$B:$B,"&lt;="&amp;$A$19)</f>
        <v>0</v>
      </c>
      <c r="K22" s="89">
        <f>COUNTIFS('1.Chăm sóc'!$AO:$AO,K$21,'1.Chăm sóc'!$B:$B,"&gt;="&amp;$A$18,'1.Chăm sóc'!$B:$B,"&lt;="&amp;$A$19)</f>
        <v>0</v>
      </c>
    </row>
    <row r="23">
      <c r="A23" s="3" t="s">
        <v>181</v>
      </c>
      <c r="B23" s="3">
        <f>COUNTIFS('1.Chăm sóc'!$AJ:$AJ,"&gt;=3",'1.Chăm sóc'!$B:$B,"&gt;="&amp;$A$18,'1.Chăm sóc'!$B:$B,"&lt;="&amp;$A$19)</f>
        <v>0</v>
      </c>
      <c r="C23" s="79">
        <f t="shared" si="2"/>
        <v>0</v>
      </c>
      <c r="D23" s="89">
        <f>COUNTIFS('1.Chăm sóc'!$AP:$AP,D$21,'1.Chăm sóc'!$B:$B,"&gt;="&amp;$A$18,'1.Chăm sóc'!$B:$B,"&lt;="&amp;$A$19)</f>
        <v>0</v>
      </c>
      <c r="E23" s="89">
        <f>COUNTIFS('1.Chăm sóc'!$AP:$AP,E$21,'1.Chăm sóc'!$B:$B,"&gt;="&amp;$A$18,'1.Chăm sóc'!$B:$B,"&lt;="&amp;$A$19)</f>
        <v>0</v>
      </c>
      <c r="F23" s="89">
        <f>COUNTIFS('1.Chăm sóc'!$AP:$AP,F$21,'1.Chăm sóc'!$B:$B,"&gt;="&amp;$A$18,'1.Chăm sóc'!$B:$B,"&lt;="&amp;$A$19)</f>
        <v>0</v>
      </c>
      <c r="G23" s="89">
        <f>COUNTIFS('1.Chăm sóc'!$AP:$AP,G$21,'1.Chăm sóc'!$B:$B,"&gt;="&amp;$A$18,'1.Chăm sóc'!$B:$B,"&lt;="&amp;$A$19)</f>
        <v>0</v>
      </c>
      <c r="H23" s="89">
        <f>COUNTIFS('1.Chăm sóc'!$AP:$AP,H$21,'1.Chăm sóc'!$B:$B,"&gt;="&amp;$A$18,'1.Chăm sóc'!$B:$B,"&lt;="&amp;$A$19)</f>
        <v>0</v>
      </c>
      <c r="I23" s="89">
        <f>COUNTIFS('1.Chăm sóc'!$AP:$AP,I$21,'1.Chăm sóc'!$B:$B,"&gt;="&amp;$A$18,'1.Chăm sóc'!$B:$B,"&lt;="&amp;$A$19)</f>
        <v>0</v>
      </c>
      <c r="J23" s="89">
        <f>COUNTIFS('1.Chăm sóc'!$AP:$AP,J$21,'1.Chăm sóc'!$B:$B,"&gt;="&amp;$A$18,'1.Chăm sóc'!$B:$B,"&lt;="&amp;$A$19)</f>
        <v>0</v>
      </c>
      <c r="K23" s="89">
        <f>COUNTIFS('1.Chăm sóc'!$AP:$AP,K$21,'1.Chăm sóc'!$B:$B,"&gt;="&amp;$A$18,'1.Chăm sóc'!$B:$B,"&lt;="&amp;$A$19)</f>
        <v>0</v>
      </c>
    </row>
    <row r="24">
      <c r="A24" s="3" t="s">
        <v>182</v>
      </c>
      <c r="B24" s="3">
        <f>COUNTIFS('1.Chăm sóc'!$AJ:$AJ,"&gt;=10",'1.Chăm sóc'!$B:$B,"&gt;="&amp;$A$18,'1.Chăm sóc'!$B:$B,"&lt;="&amp;$A$19)</f>
        <v>0</v>
      </c>
      <c r="C24" s="79">
        <f t="shared" si="2"/>
        <v>0</v>
      </c>
      <c r="D24" s="89">
        <f>COUNTIFS('1.Chăm sóc'!$AQ:$AQ,D$21,'1.Chăm sóc'!$B:$B,"&gt;="&amp;$A$18,'1.Chăm sóc'!$B:$B,"&lt;="&amp;$A$19)</f>
        <v>0</v>
      </c>
      <c r="E24" s="89">
        <f>COUNTIFS('1.Chăm sóc'!$AQ:$AQ,E$21,'1.Chăm sóc'!$B:$B,"&gt;="&amp;$A$18,'1.Chăm sóc'!$B:$B,"&lt;="&amp;$A$19)</f>
        <v>0</v>
      </c>
      <c r="F24" s="89">
        <f>COUNTIFS('1.Chăm sóc'!$AQ:$AQ,F$21,'1.Chăm sóc'!$B:$B,"&gt;="&amp;$A$18,'1.Chăm sóc'!$B:$B,"&lt;="&amp;$A$19)</f>
        <v>0</v>
      </c>
      <c r="G24" s="89">
        <f>COUNTIFS('1.Chăm sóc'!$AQ:$AQ,G$21,'1.Chăm sóc'!$B:$B,"&gt;="&amp;$A$18,'1.Chăm sóc'!$B:$B,"&lt;="&amp;$A$19)</f>
        <v>0</v>
      </c>
      <c r="H24" s="89">
        <f>COUNTIFS('1.Chăm sóc'!$AQ:$AQ,H$21,'1.Chăm sóc'!$B:$B,"&gt;="&amp;$A$18,'1.Chăm sóc'!$B:$B,"&lt;="&amp;$A$19)</f>
        <v>0</v>
      </c>
      <c r="I24" s="89">
        <f>COUNTIFS('1.Chăm sóc'!$AQ:$AQ,I$21,'1.Chăm sóc'!$B:$B,"&gt;="&amp;$A$18,'1.Chăm sóc'!$B:$B,"&lt;="&amp;$A$19)</f>
        <v>0</v>
      </c>
      <c r="J24" s="89">
        <f>COUNTIFS('1.Chăm sóc'!$AQ:$AQ,J$21,'1.Chăm sóc'!$B:$B,"&gt;="&amp;$A$18,'1.Chăm sóc'!$B:$B,"&lt;="&amp;$A$19)</f>
        <v>0</v>
      </c>
      <c r="K24" s="89">
        <f>COUNTIFS('1.Chăm sóc'!$AQ:$AQ,K$21,'1.Chăm sóc'!$B:$B,"&gt;="&amp;$A$18,'1.Chăm sóc'!$B:$B,"&lt;="&amp;$A$19)</f>
        <v>0</v>
      </c>
    </row>
    <row r="25">
      <c r="A25" s="3" t="s">
        <v>183</v>
      </c>
      <c r="B25" s="3">
        <f>COUNTIFS('1.Chăm sóc'!$AJ:$AJ,"&gt;=15",'1.Chăm sóc'!$B:$B,"&gt;="&amp;$A$18,'1.Chăm sóc'!$B:$B,"&lt;="&amp;$A$19)</f>
        <v>0</v>
      </c>
      <c r="C25" s="79">
        <f t="shared" si="2"/>
        <v>0</v>
      </c>
      <c r="D25" s="89">
        <f>COUNTIFS('1.Chăm sóc'!$AR:$AR,D$21,'1.Chăm sóc'!$B:$B,"&gt;="&amp;$A$18,'1.Chăm sóc'!$B:$B,"&lt;="&amp;$A$19)</f>
        <v>0</v>
      </c>
      <c r="E25" s="89">
        <f>COUNTIFS('1.Chăm sóc'!$AR:$AR,E$21,'1.Chăm sóc'!$B:$B,"&gt;="&amp;$A$18,'1.Chăm sóc'!$B:$B,"&lt;="&amp;$A$19)</f>
        <v>0</v>
      </c>
      <c r="F25" s="89">
        <f>COUNTIFS('1.Chăm sóc'!$AR:$AR,F$21,'1.Chăm sóc'!$B:$B,"&gt;="&amp;$A$18,'1.Chăm sóc'!$B:$B,"&lt;="&amp;$A$19)</f>
        <v>0</v>
      </c>
      <c r="G25" s="89">
        <f>COUNTIFS('1.Chăm sóc'!$AR:$AR,G$21,'1.Chăm sóc'!$B:$B,"&gt;="&amp;$A$18,'1.Chăm sóc'!$B:$B,"&lt;="&amp;$A$19)</f>
        <v>0</v>
      </c>
      <c r="H25" s="89">
        <f>COUNTIFS('1.Chăm sóc'!$AR:$AR,H$21,'1.Chăm sóc'!$B:$B,"&gt;="&amp;$A$18,'1.Chăm sóc'!$B:$B,"&lt;="&amp;$A$19)</f>
        <v>0</v>
      </c>
      <c r="I25" s="89">
        <f>COUNTIFS('1.Chăm sóc'!$AR:$AR,I$21,'1.Chăm sóc'!$B:$B,"&gt;="&amp;$A$18,'1.Chăm sóc'!$B:$B,"&lt;="&amp;$A$19)</f>
        <v>0</v>
      </c>
      <c r="J25" s="89">
        <f>COUNTIFS('1.Chăm sóc'!$AR:$AR,J$21,'1.Chăm sóc'!$B:$B,"&gt;="&amp;$A$18,'1.Chăm sóc'!$B:$B,"&lt;="&amp;$A$19)</f>
        <v>0</v>
      </c>
      <c r="K25" s="89">
        <f>COUNTIFS('1.Chăm sóc'!$AR:$AR,K$21,'1.Chăm sóc'!$B:$B,"&gt;="&amp;$A$18,'1.Chăm sóc'!$B:$B,"&lt;="&amp;$A$19)</f>
        <v>0</v>
      </c>
    </row>
    <row r="26">
      <c r="A26" s="3" t="s">
        <v>184</v>
      </c>
      <c r="B26" s="3">
        <f>COUNTIFS('1.Chăm sóc'!$AJ:$AJ,"&gt;=20",'1.Chăm sóc'!$B:$B,"&gt;="&amp;$A$18,'1.Chăm sóc'!$B:$B,"&lt;="&amp;$A$19)</f>
        <v>0</v>
      </c>
      <c r="C26" s="79">
        <f t="shared" si="2"/>
        <v>0</v>
      </c>
      <c r="D26" s="89">
        <f>COUNTIFS('1.Chăm sóc'!$AS:$AS,D$21,'1.Chăm sóc'!$B:$B,"&gt;="&amp;$A$18,'1.Chăm sóc'!$B:$B,"&lt;="&amp;$A$19)</f>
        <v>0</v>
      </c>
      <c r="E26" s="89">
        <f>COUNTIFS('1.Chăm sóc'!$AS:$AS,E$21,'1.Chăm sóc'!$B:$B,"&gt;="&amp;$A$18,'1.Chăm sóc'!$B:$B,"&lt;="&amp;$A$19)</f>
        <v>0</v>
      </c>
      <c r="F26" s="89">
        <f>COUNTIFS('1.Chăm sóc'!$AS:$AS,F$21,'1.Chăm sóc'!$B:$B,"&gt;="&amp;$A$18,'1.Chăm sóc'!$B:$B,"&lt;="&amp;$A$19)</f>
        <v>0</v>
      </c>
      <c r="G26" s="89">
        <f>COUNTIFS('1.Chăm sóc'!$AS:$AS,G$21,'1.Chăm sóc'!$B:$B,"&gt;="&amp;$A$18,'1.Chăm sóc'!$B:$B,"&lt;="&amp;$A$19)</f>
        <v>0</v>
      </c>
      <c r="H26" s="89">
        <f>COUNTIFS('1.Chăm sóc'!$AS:$AS,H$21,'1.Chăm sóc'!$B:$B,"&gt;="&amp;$A$18,'1.Chăm sóc'!$B:$B,"&lt;="&amp;$A$19)</f>
        <v>0</v>
      </c>
      <c r="I26" s="89">
        <f>COUNTIFS('1.Chăm sóc'!$AS:$AS,I$21,'1.Chăm sóc'!$B:$B,"&gt;="&amp;$A$18,'1.Chăm sóc'!$B:$B,"&lt;="&amp;$A$19)</f>
        <v>0</v>
      </c>
      <c r="J26" s="89">
        <f>COUNTIFS('1.Chăm sóc'!$AS:$AS,J$21,'1.Chăm sóc'!$B:$B,"&gt;="&amp;$A$18,'1.Chăm sóc'!$B:$B,"&lt;="&amp;$A$19)</f>
        <v>0</v>
      </c>
      <c r="K26" s="89">
        <f>COUNTIFS('1.Chăm sóc'!$AS:$AS,K$21,'1.Chăm sóc'!$B:$B,"&gt;="&amp;$A$18,'1.Chăm sóc'!$B:$B,"&lt;="&amp;$A$19)</f>
        <v>0</v>
      </c>
    </row>
    <row r="27">
      <c r="A27" s="3" t="s">
        <v>185</v>
      </c>
      <c r="B27" s="3">
        <f>COUNTIFS('1.Chăm sóc'!$AJ:$AJ,"&gt;=25",'1.Chăm sóc'!$B:$B,"&gt;="&amp;$A$18,'1.Chăm sóc'!$B:$B,"&lt;="&amp;$A$19)</f>
        <v>0</v>
      </c>
      <c r="C27" s="79">
        <f t="shared" si="2"/>
        <v>0</v>
      </c>
      <c r="D27" s="89">
        <f>COUNTIFS('1.Chăm sóc'!$AT:$AT,D$21,'1.Chăm sóc'!$B:$B,"&gt;="&amp;$A$18,'1.Chăm sóc'!$B:$B,"&lt;="&amp;$A$19)</f>
        <v>0</v>
      </c>
      <c r="E27" s="89">
        <f>COUNTIFS('1.Chăm sóc'!$AT:$AT,E$21,'1.Chăm sóc'!$B:$B,"&gt;="&amp;$A$18,'1.Chăm sóc'!$B:$B,"&lt;="&amp;$A$19)</f>
        <v>0</v>
      </c>
      <c r="F27" s="89">
        <f>COUNTIFS('1.Chăm sóc'!$AT:$AT,F$21,'1.Chăm sóc'!$B:$B,"&gt;="&amp;$A$18,'1.Chăm sóc'!$B:$B,"&lt;="&amp;$A$19)</f>
        <v>0</v>
      </c>
      <c r="G27" s="89">
        <f>COUNTIFS('1.Chăm sóc'!$AT:$AT,G$21,'1.Chăm sóc'!$B:$B,"&gt;="&amp;$A$18,'1.Chăm sóc'!$B:$B,"&lt;="&amp;$A$19)</f>
        <v>0</v>
      </c>
      <c r="H27" s="89">
        <f>COUNTIFS('1.Chăm sóc'!$AT:$AT,H$21,'1.Chăm sóc'!$B:$B,"&gt;="&amp;$A$18,'1.Chăm sóc'!$B:$B,"&lt;="&amp;$A$19)</f>
        <v>0</v>
      </c>
      <c r="I27" s="89">
        <f>COUNTIFS('1.Chăm sóc'!$AT:$AT,I$21,'1.Chăm sóc'!$B:$B,"&gt;="&amp;$A$18,'1.Chăm sóc'!$B:$B,"&lt;="&amp;$A$19)</f>
        <v>0</v>
      </c>
      <c r="J27" s="89">
        <f>COUNTIFS('1.Chăm sóc'!$AT:$AT,J$21,'1.Chăm sóc'!$B:$B,"&gt;="&amp;$A$18,'1.Chăm sóc'!$B:$B,"&lt;="&amp;$A$19)</f>
        <v>0</v>
      </c>
      <c r="K27" s="89">
        <f>COUNTIFS('1.Chăm sóc'!$AT:$AT,K$21,'1.Chăm sóc'!$B:$B,"&gt;="&amp;$A$18,'1.Chăm sóc'!$B:$B,"&lt;="&amp;$A$19)</f>
        <v>0</v>
      </c>
    </row>
    <row r="28">
      <c r="A28" s="3" t="s">
        <v>187</v>
      </c>
      <c r="B28" s="3">
        <f>COUNTIFS('1.Chăm sóc'!$AJ:$AJ,"&gt;=29",'1.Chăm sóc'!$B:$B,"&gt;="&amp;$A$18,'1.Chăm sóc'!$B:$B,"&lt;="&amp;$A$19)</f>
        <v>0</v>
      </c>
      <c r="C28" s="79">
        <f t="shared" si="2"/>
        <v>0</v>
      </c>
      <c r="D28" s="89">
        <f>COUNTIFS('1.Chăm sóc'!$AU:$AU,D$21,'1.Chăm sóc'!$B:$B,"&gt;="&amp;$A$18,'1.Chăm sóc'!$B:$B,"&lt;="&amp;$A$19)</f>
        <v>0</v>
      </c>
      <c r="E28" s="89">
        <f>COUNTIFS('1.Chăm sóc'!$AU:$AU,E$21,'1.Chăm sóc'!$B:$B,"&gt;="&amp;$A$18,'1.Chăm sóc'!$B:$B,"&lt;="&amp;$A$19)</f>
        <v>0</v>
      </c>
      <c r="F28" s="89">
        <f>COUNTIFS('1.Chăm sóc'!$AU:$AU,F$21,'1.Chăm sóc'!$B:$B,"&gt;="&amp;$A$18,'1.Chăm sóc'!$B:$B,"&lt;="&amp;$A$19)</f>
        <v>0</v>
      </c>
      <c r="G28" s="89">
        <f>COUNTIFS('1.Chăm sóc'!$AU:$AU,G$21,'1.Chăm sóc'!$B:$B,"&gt;="&amp;$A$18,'1.Chăm sóc'!$B:$B,"&lt;="&amp;$A$19)</f>
        <v>0</v>
      </c>
      <c r="H28" s="89">
        <f>COUNTIFS('1.Chăm sóc'!$AU:$AU,H$21,'1.Chăm sóc'!$B:$B,"&gt;="&amp;$A$18,'1.Chăm sóc'!$B:$B,"&lt;="&amp;$A$19)</f>
        <v>0</v>
      </c>
      <c r="I28" s="89">
        <f>COUNTIFS('1.Chăm sóc'!$AU:$AU,I$21,'1.Chăm sóc'!$B:$B,"&gt;="&amp;$A$18,'1.Chăm sóc'!$B:$B,"&lt;="&amp;$A$19)</f>
        <v>0</v>
      </c>
      <c r="J28" s="89">
        <f>COUNTIFS('1.Chăm sóc'!$AU:$AU,J$21,'1.Chăm sóc'!$B:$B,"&gt;="&amp;$A$18,'1.Chăm sóc'!$B:$B,"&lt;="&amp;$A$19)</f>
        <v>0</v>
      </c>
      <c r="K28" s="89">
        <f>COUNTIFS('1.Chăm sóc'!$AU:$AU,K$21,'1.Chăm sóc'!$B:$B,"&gt;="&amp;$A$18,'1.Chăm sóc'!$B:$B,"&lt;="&amp;$A$19)</f>
        <v>0</v>
      </c>
    </row>
    <row r="29">
      <c r="A29" s="3" t="s">
        <v>188</v>
      </c>
      <c r="B29" s="3">
        <f>COUNTIFS('1.Chăm sóc'!$AJ:$AJ,"&gt;=30",'1.Chăm sóc'!$B:$B,"&gt;="&amp;$A$18,'1.Chăm sóc'!$B:$B,"&lt;="&amp;$A$19)</f>
        <v>0</v>
      </c>
      <c r="C29" s="79">
        <f t="shared" si="2"/>
        <v>0</v>
      </c>
      <c r="D29" s="89">
        <f>COUNTIFS('1.Chăm sóc'!$AV:$AV,D$21,'1.Chăm sóc'!$B:$B,"&gt;="&amp;$A$18,'1.Chăm sóc'!$B:$B,"&lt;="&amp;$A$19)</f>
        <v>0</v>
      </c>
      <c r="E29" s="89">
        <f>COUNTIFS('1.Chăm sóc'!$AV:$AV,E$21,'1.Chăm sóc'!$B:$B,"&gt;="&amp;$A$18,'1.Chăm sóc'!$B:$B,"&lt;="&amp;$A$19)</f>
        <v>0</v>
      </c>
      <c r="F29" s="89">
        <f>COUNTIFS('1.Chăm sóc'!$AV:$AV,F$21,'1.Chăm sóc'!$B:$B,"&gt;="&amp;$A$18,'1.Chăm sóc'!$B:$B,"&lt;="&amp;$A$19)</f>
        <v>0</v>
      </c>
      <c r="G29" s="89">
        <f>COUNTIFS('1.Chăm sóc'!$AV:$AV,G$21,'1.Chăm sóc'!$B:$B,"&gt;="&amp;$A$18,'1.Chăm sóc'!$B:$B,"&lt;="&amp;$A$19)</f>
        <v>0</v>
      </c>
      <c r="H29" s="89">
        <f>COUNTIFS('1.Chăm sóc'!$AV:$AV,H$21,'1.Chăm sóc'!$B:$B,"&gt;="&amp;$A$18,'1.Chăm sóc'!$B:$B,"&lt;="&amp;$A$19)</f>
        <v>0</v>
      </c>
      <c r="I29" s="89">
        <f>COUNTIFS('1.Chăm sóc'!$AV:$AV,I$21,'1.Chăm sóc'!$B:$B,"&gt;="&amp;$A$18,'1.Chăm sóc'!$B:$B,"&lt;="&amp;$A$19)</f>
        <v>0</v>
      </c>
      <c r="J29" s="89">
        <f>COUNTIFS('1.Chăm sóc'!$AV:$AV,J$21,'1.Chăm sóc'!$B:$B,"&gt;="&amp;$A$18,'1.Chăm sóc'!$B:$B,"&lt;="&amp;$A$19)</f>
        <v>0</v>
      </c>
      <c r="K29" s="89">
        <f>COUNTIFS('1.Chăm sóc'!$AV:$AV,K$21,'1.Chăm sóc'!$B:$B,"&gt;="&amp;$A$18,'1.Chăm sóc'!$B:$B,"&lt;="&amp;$A$19)</f>
        <v>0</v>
      </c>
    </row>
    <row r="30">
      <c r="A30" s="3" t="s">
        <v>189</v>
      </c>
      <c r="B30" s="3">
        <f>COUNTIFS('1.Chăm sóc'!$AJ:$AJ,"&gt;=35",'1.Chăm sóc'!$B:$B,"&gt;="&amp;$A$18,'1.Chăm sóc'!$B:$B,"&lt;="&amp;$A$19)</f>
        <v>0</v>
      </c>
      <c r="C30" s="79">
        <f t="shared" si="2"/>
        <v>0</v>
      </c>
      <c r="D30" s="89">
        <f>COUNTIFS('1.Chăm sóc'!$AW:$AW,D$21,'1.Chăm sóc'!$B:$B,"&gt;="&amp;$A$18,'1.Chăm sóc'!$B:$B,"&lt;="&amp;$A$19)</f>
        <v>0</v>
      </c>
      <c r="E30" s="89">
        <f>COUNTIFS('1.Chăm sóc'!$AW:$AW,E$21,'1.Chăm sóc'!$B:$B,"&gt;="&amp;$A$18,'1.Chăm sóc'!$B:$B,"&lt;="&amp;$A$19)</f>
        <v>0</v>
      </c>
      <c r="F30" s="89">
        <f>COUNTIFS('1.Chăm sóc'!$AW:$AW,F$21,'1.Chăm sóc'!$B:$B,"&gt;="&amp;$A$18,'1.Chăm sóc'!$B:$B,"&lt;="&amp;$A$19)</f>
        <v>0</v>
      </c>
      <c r="G30" s="89">
        <f>COUNTIFS('1.Chăm sóc'!$AW:$AW,G$21,'1.Chăm sóc'!$B:$B,"&gt;="&amp;$A$18,'1.Chăm sóc'!$B:$B,"&lt;="&amp;$A$19)</f>
        <v>0</v>
      </c>
      <c r="H30" s="89">
        <f>COUNTIFS('1.Chăm sóc'!$AW:$AW,H$21,'1.Chăm sóc'!$B:$B,"&gt;="&amp;$A$18,'1.Chăm sóc'!$B:$B,"&lt;="&amp;$A$19)</f>
        <v>0</v>
      </c>
      <c r="I30" s="89">
        <f>COUNTIFS('1.Chăm sóc'!$AW:$AW,I$21,'1.Chăm sóc'!$B:$B,"&gt;="&amp;$A$18,'1.Chăm sóc'!$B:$B,"&lt;="&amp;$A$19)</f>
        <v>0</v>
      </c>
      <c r="J30" s="89">
        <f>COUNTIFS('1.Chăm sóc'!$AW:$AW,J$21,'1.Chăm sóc'!$B:$B,"&gt;="&amp;$A$18,'1.Chăm sóc'!$B:$B,"&lt;="&amp;$A$19)</f>
        <v>0</v>
      </c>
      <c r="K30" s="89">
        <f>COUNTIFS('1.Chăm sóc'!$AW:$AW,K$21,'1.Chăm sóc'!$B:$B,"&gt;="&amp;$A$18,'1.Chăm sóc'!$B:$B,"&lt;="&amp;$A$19)</f>
        <v>0</v>
      </c>
    </row>
    <row r="31">
      <c r="A31" s="3" t="s">
        <v>190</v>
      </c>
      <c r="B31" s="3">
        <f>COUNTIFS('1.Chăm sóc'!$AJ:$AJ,"&gt;=45",'1.Chăm sóc'!$B:$B,"&gt;="&amp;$A$18,'1.Chăm sóc'!$B:$B,"&lt;="&amp;$A$19)</f>
        <v>0</v>
      </c>
      <c r="C31" s="79">
        <f t="shared" si="2"/>
        <v>0</v>
      </c>
      <c r="D31" s="89">
        <f>COUNTIFS('1.Chăm sóc'!$AX:$AX,D$21,'1.Chăm sóc'!$B:$B,"&gt;="&amp;$A$18,'1.Chăm sóc'!$B:$B,"&lt;="&amp;$A$19)</f>
        <v>0</v>
      </c>
      <c r="E31" s="89">
        <f>COUNTIFS('1.Chăm sóc'!$AX:$AX,E$21,'1.Chăm sóc'!$B:$B,"&gt;="&amp;$A$18,'1.Chăm sóc'!$B:$B,"&lt;="&amp;$A$19)</f>
        <v>0</v>
      </c>
      <c r="F31" s="89">
        <f>COUNTIFS('1.Chăm sóc'!$AX:$AX,F$21,'1.Chăm sóc'!$B:$B,"&gt;="&amp;$A$18,'1.Chăm sóc'!$B:$B,"&lt;="&amp;$A$19)</f>
        <v>0</v>
      </c>
      <c r="G31" s="89">
        <f>COUNTIFS('1.Chăm sóc'!$AX:$AX,G$21,'1.Chăm sóc'!$B:$B,"&gt;="&amp;$A$18,'1.Chăm sóc'!$B:$B,"&lt;="&amp;$A$19)</f>
        <v>0</v>
      </c>
      <c r="H31" s="89">
        <f>COUNTIFS('1.Chăm sóc'!$AX:$AX,H$21,'1.Chăm sóc'!$B:$B,"&gt;="&amp;$A$18,'1.Chăm sóc'!$B:$B,"&lt;="&amp;$A$19)</f>
        <v>0</v>
      </c>
      <c r="I31" s="89">
        <f>COUNTIFS('1.Chăm sóc'!$AX:$AX,I$21,'1.Chăm sóc'!$B:$B,"&gt;="&amp;$A$18,'1.Chăm sóc'!$B:$B,"&lt;="&amp;$A$19)</f>
        <v>0</v>
      </c>
      <c r="J31" s="89">
        <f>COUNTIFS('1.Chăm sóc'!$AX:$AX,J$21,'1.Chăm sóc'!$B:$B,"&gt;="&amp;$A$18,'1.Chăm sóc'!$B:$B,"&lt;="&amp;$A$19)</f>
        <v>0</v>
      </c>
      <c r="K31" s="89">
        <f>COUNTIFS('1.Chăm sóc'!$AX:$AX,K$21,'1.Chăm sóc'!$B:$B,"&gt;="&amp;$A$18,'1.Chăm sóc'!$B:$B,"&lt;="&amp;$A$19)</f>
        <v>0</v>
      </c>
    </row>
    <row r="32">
      <c r="A32" s="3" t="s">
        <v>191</v>
      </c>
      <c r="B32" s="3">
        <f>COUNTIFS('1.Chăm sóc'!$AJ:$AJ,"&gt;=55",'1.Chăm sóc'!$B:$B,"&gt;="&amp;$A$18,'1.Chăm sóc'!$B:$B,"&lt;="&amp;$A$19)</f>
        <v>0</v>
      </c>
      <c r="C32" s="79">
        <f t="shared" si="2"/>
        <v>0</v>
      </c>
      <c r="D32" s="89">
        <f>COUNTIFS('1.Chăm sóc'!$AY:$AY,D$21,'1.Chăm sóc'!$B:$B,"&gt;="&amp;$A$18,'1.Chăm sóc'!$B:$B,"&lt;="&amp;$A$19)</f>
        <v>0</v>
      </c>
      <c r="E32" s="89">
        <f>COUNTIFS('1.Chăm sóc'!$AY:$AY,E$21,'1.Chăm sóc'!$B:$B,"&gt;="&amp;$A$18,'1.Chăm sóc'!$B:$B,"&lt;="&amp;$A$19)</f>
        <v>0</v>
      </c>
      <c r="F32" s="89">
        <f>COUNTIFS('1.Chăm sóc'!$AY:$AY,F$21,'1.Chăm sóc'!$B:$B,"&gt;="&amp;$A$18,'1.Chăm sóc'!$B:$B,"&lt;="&amp;$A$19)</f>
        <v>0</v>
      </c>
      <c r="G32" s="89">
        <f>COUNTIFS('1.Chăm sóc'!$AY:$AY,G$21,'1.Chăm sóc'!$B:$B,"&gt;="&amp;$A$18,'1.Chăm sóc'!$B:$B,"&lt;="&amp;$A$19)</f>
        <v>0</v>
      </c>
      <c r="H32" s="89">
        <f>COUNTIFS('1.Chăm sóc'!$AY:$AY,H$21,'1.Chăm sóc'!$B:$B,"&gt;="&amp;$A$18,'1.Chăm sóc'!$B:$B,"&lt;="&amp;$A$19)</f>
        <v>0</v>
      </c>
      <c r="I32" s="89">
        <f>COUNTIFS('1.Chăm sóc'!$AY:$AY,I$21,'1.Chăm sóc'!$B:$B,"&gt;="&amp;$A$18,'1.Chăm sóc'!$B:$B,"&lt;="&amp;$A$19)</f>
        <v>0</v>
      </c>
      <c r="J32" s="89">
        <f>COUNTIFS('1.Chăm sóc'!$AY:$AY,J$21,'1.Chăm sóc'!$B:$B,"&gt;="&amp;$A$18,'1.Chăm sóc'!$B:$B,"&lt;="&amp;$A$19)</f>
        <v>0</v>
      </c>
      <c r="K32" s="89">
        <f>COUNTIFS('1.Chăm sóc'!$AY:$AY,K$21,'1.Chăm sóc'!$B:$B,"&gt;="&amp;$A$18,'1.Chăm sóc'!$B:$B,"&lt;="&amp;$A$19)</f>
        <v>0</v>
      </c>
    </row>
    <row r="33">
      <c r="A33" s="3" t="s">
        <v>193</v>
      </c>
      <c r="B33" s="3">
        <f>COUNTIFS('1.Chăm sóc'!$AJ:$AJ,"&gt;=59",'1.Chăm sóc'!$B:$B,"&gt;="&amp;$A$18,'1.Chăm sóc'!$B:$B,"&lt;="&amp;$A$19)</f>
        <v>0</v>
      </c>
      <c r="C33" s="79">
        <f t="shared" si="2"/>
        <v>0</v>
      </c>
      <c r="D33" s="89">
        <f>COUNTIFS('1.Chăm sóc'!$AZ:$AZ,D$21,'1.Chăm sóc'!$B:$B,"&gt;="&amp;$A$18,'1.Chăm sóc'!$B:$B,"&lt;="&amp;$A$19)</f>
        <v>0</v>
      </c>
      <c r="E33" s="89">
        <f>COUNTIFS('1.Chăm sóc'!$AZ:$AZ,E$21,'1.Chăm sóc'!$B:$B,"&gt;="&amp;$A$18,'1.Chăm sóc'!$B:$B,"&lt;="&amp;$A$19)</f>
        <v>0</v>
      </c>
      <c r="F33" s="89">
        <f>COUNTIFS('1.Chăm sóc'!$AZ:$AZ,F$21,'1.Chăm sóc'!$B:$B,"&gt;="&amp;$A$18,'1.Chăm sóc'!$B:$B,"&lt;="&amp;$A$19)</f>
        <v>0</v>
      </c>
      <c r="G33" s="89">
        <f>COUNTIFS('1.Chăm sóc'!$AZ:$AZ,G$21,'1.Chăm sóc'!$B:$B,"&gt;="&amp;$A$18,'1.Chăm sóc'!$B:$B,"&lt;="&amp;$A$19)</f>
        <v>0</v>
      </c>
      <c r="H33" s="89">
        <f>COUNTIFS('1.Chăm sóc'!$AZ:$AZ,H$21,'1.Chăm sóc'!$B:$B,"&gt;="&amp;$A$18,'1.Chăm sóc'!$B:$B,"&lt;="&amp;$A$19)</f>
        <v>0</v>
      </c>
      <c r="I33" s="89">
        <f>COUNTIFS('1.Chăm sóc'!$AZ:$AZ,I$21,'1.Chăm sóc'!$B:$B,"&gt;="&amp;$A$18,'1.Chăm sóc'!$B:$B,"&lt;="&amp;$A$19)</f>
        <v>0</v>
      </c>
      <c r="J33" s="89">
        <f>COUNTIFS('1.Chăm sóc'!$AZ:$AZ,J$21,'1.Chăm sóc'!$B:$B,"&gt;="&amp;$A$18,'1.Chăm sóc'!$B:$B,"&lt;="&amp;$A$19)</f>
        <v>0</v>
      </c>
      <c r="K33" s="89">
        <f>COUNTIFS('1.Chăm sóc'!$AZ:$AZ,K$21,'1.Chăm sóc'!$B:$B,"&gt;="&amp;$A$18,'1.Chăm sóc'!$B:$B,"&lt;="&amp;$A$19)</f>
        <v>0</v>
      </c>
    </row>
    <row r="34">
      <c r="A34" s="3" t="s">
        <v>195</v>
      </c>
      <c r="B34" s="3">
        <f>COUNTIFS('1.Chăm sóc'!$AJ:$AJ,"&gt;=60",'1.Chăm sóc'!$B:$B,"&gt;="&amp;$A$18,'1.Chăm sóc'!$B:$B,"&lt;="&amp;$A$19)</f>
        <v>0</v>
      </c>
      <c r="C34" s="79">
        <f t="shared" si="2"/>
        <v>0</v>
      </c>
      <c r="D34" s="89">
        <f>COUNTIFS('1.Chăm sóc'!$BA:$BA,D$21,'1.Chăm sóc'!$B:$B,"&gt;="&amp;$A$18,'1.Chăm sóc'!$B:$B,"&lt;="&amp;$A$19)</f>
        <v>0</v>
      </c>
      <c r="E34" s="89">
        <f>COUNTIFS('1.Chăm sóc'!$BA:$BA,E$21,'1.Chăm sóc'!$B:$B,"&gt;="&amp;$A$18,'1.Chăm sóc'!$B:$B,"&lt;="&amp;$A$19)</f>
        <v>0</v>
      </c>
      <c r="F34" s="89">
        <f>COUNTIFS('1.Chăm sóc'!$BA:$BA,F$21,'1.Chăm sóc'!$B:$B,"&gt;="&amp;$A$18,'1.Chăm sóc'!$B:$B,"&lt;="&amp;$A$19)</f>
        <v>0</v>
      </c>
      <c r="G34" s="89">
        <f>COUNTIFS('1.Chăm sóc'!$BA:$BA,G$21,'1.Chăm sóc'!$B:$B,"&gt;="&amp;$A$18,'1.Chăm sóc'!$B:$B,"&lt;="&amp;$A$19)</f>
        <v>0</v>
      </c>
      <c r="H34" s="89">
        <f>COUNTIFS('1.Chăm sóc'!$BA:$BA,H$21,'1.Chăm sóc'!$B:$B,"&gt;="&amp;$A$18,'1.Chăm sóc'!$B:$B,"&lt;="&amp;$A$19)</f>
        <v>0</v>
      </c>
      <c r="I34" s="89">
        <f>COUNTIFS('1.Chăm sóc'!$BA:$BA,I$21,'1.Chăm sóc'!$B:$B,"&gt;="&amp;$A$18,'1.Chăm sóc'!$B:$B,"&lt;="&amp;$A$19)</f>
        <v>0</v>
      </c>
      <c r="J34" s="89">
        <f>COUNTIFS('1.Chăm sóc'!$BA:$BA,J$21,'1.Chăm sóc'!$B:$B,"&gt;="&amp;$A$18,'1.Chăm sóc'!$B:$B,"&lt;="&amp;$A$19)</f>
        <v>0</v>
      </c>
      <c r="K34" s="89">
        <f>COUNTIFS('1.Chăm sóc'!$BA:$BA,K$21,'1.Chăm sóc'!$B:$B,"&gt;="&amp;$A$18,'1.Chăm sóc'!$B:$B,"&lt;="&amp;$A$19)</f>
        <v>0</v>
      </c>
    </row>
    <row r="35">
      <c r="A35" s="3" t="s">
        <v>196</v>
      </c>
      <c r="B35" s="3">
        <f>COUNTIFS('1.Chăm sóc'!$AJ:$AJ,"&gt;=89",'1.Chăm sóc'!$B:$B,"&gt;="&amp;$A$18,'1.Chăm sóc'!$B:$B,"&lt;="&amp;$A$19)</f>
        <v>0</v>
      </c>
      <c r="C35" s="79">
        <f t="shared" si="2"/>
        <v>0</v>
      </c>
      <c r="D35" s="89">
        <f>COUNTIFS('1.Chăm sóc'!$BB:$BB,D$21,'1.Chăm sóc'!$B:$B,"&gt;="&amp;$A$18,'1.Chăm sóc'!$B:$B,"&lt;="&amp;$A$19)</f>
        <v>0</v>
      </c>
      <c r="E35" s="89">
        <f>COUNTIFS('1.Chăm sóc'!$BB:$BB,E$21,'1.Chăm sóc'!$B:$B,"&gt;="&amp;$A$18,'1.Chăm sóc'!$B:$B,"&lt;="&amp;$A$19)</f>
        <v>0</v>
      </c>
      <c r="F35" s="89">
        <f>COUNTIFS('1.Chăm sóc'!$BB:$BB,F$21,'1.Chăm sóc'!$B:$B,"&gt;="&amp;$A$18,'1.Chăm sóc'!$B:$B,"&lt;="&amp;$A$19)</f>
        <v>0</v>
      </c>
      <c r="G35" s="89">
        <f>COUNTIFS('1.Chăm sóc'!$BB:$BB,G$21,'1.Chăm sóc'!$B:$B,"&gt;="&amp;$A$18,'1.Chăm sóc'!$B:$B,"&lt;="&amp;$A$19)</f>
        <v>0</v>
      </c>
      <c r="H35" s="89">
        <f>COUNTIFS('1.Chăm sóc'!$BB:$BB,H$21,'1.Chăm sóc'!$B:$B,"&gt;="&amp;$A$18,'1.Chăm sóc'!$B:$B,"&lt;="&amp;$A$19)</f>
        <v>0</v>
      </c>
      <c r="I35" s="89">
        <f>COUNTIFS('1.Chăm sóc'!$BB:$BB,I$21,'1.Chăm sóc'!$B:$B,"&gt;="&amp;$A$18,'1.Chăm sóc'!$B:$B,"&lt;="&amp;$A$19)</f>
        <v>0</v>
      </c>
      <c r="J35" s="89">
        <f>COUNTIFS('1.Chăm sóc'!$BB:$BB,J$21,'1.Chăm sóc'!$B:$B,"&gt;="&amp;$A$18,'1.Chăm sóc'!$B:$B,"&lt;="&amp;$A$19)</f>
        <v>0</v>
      </c>
      <c r="K35" s="89">
        <f>COUNTIFS('1.Chăm sóc'!$BB:$BB,K$21,'1.Chăm sóc'!$B:$B,"&gt;="&amp;$A$18,'1.Chăm sóc'!$B:$B,"&lt;="&amp;$A$19)</f>
        <v>0</v>
      </c>
    </row>
    <row r="36">
      <c r="A36" s="3" t="s">
        <v>197</v>
      </c>
      <c r="B36" s="3">
        <f>COUNTIFS('1.Chăm sóc'!$AJ:$AJ,"&gt;=90",'1.Chăm sóc'!$B:$B,"&gt;="&amp;$A$18,'1.Chăm sóc'!$B:$B,"&lt;="&amp;$A$19)</f>
        <v>0</v>
      </c>
      <c r="C36" s="79">
        <f t="shared" si="2"/>
        <v>0</v>
      </c>
      <c r="D36" s="89">
        <f>COUNTIFS('1.Chăm sóc'!$BC:$BC,D$21,'1.Chăm sóc'!$B:$B,"&gt;="&amp;$A$18,'1.Chăm sóc'!$B:$B,"&lt;="&amp;$A$19)</f>
        <v>0</v>
      </c>
      <c r="E36" s="89">
        <f>COUNTIFS('1.Chăm sóc'!$BC:$BC,E$21,'1.Chăm sóc'!$B:$B,"&gt;="&amp;$A$18,'1.Chăm sóc'!$B:$B,"&lt;="&amp;$A$19)</f>
        <v>0</v>
      </c>
      <c r="F36" s="89">
        <f>COUNTIFS('1.Chăm sóc'!$BC:$BC,F$21,'1.Chăm sóc'!$B:$B,"&gt;="&amp;$A$18,'1.Chăm sóc'!$B:$B,"&lt;="&amp;$A$19)</f>
        <v>0</v>
      </c>
      <c r="G36" s="89">
        <f>COUNTIFS('1.Chăm sóc'!$BC:$BC,G$21,'1.Chăm sóc'!$B:$B,"&gt;="&amp;$A$18,'1.Chăm sóc'!$B:$B,"&lt;="&amp;$A$19)</f>
        <v>0</v>
      </c>
      <c r="H36" s="89">
        <f>COUNTIFS('1.Chăm sóc'!$BC:$BC,H$21,'1.Chăm sóc'!$B:$B,"&gt;="&amp;$A$18,'1.Chăm sóc'!$B:$B,"&lt;="&amp;$A$19)</f>
        <v>0</v>
      </c>
      <c r="I36" s="89">
        <f>COUNTIFS('1.Chăm sóc'!$BC:$BC,I$21,'1.Chăm sóc'!$B:$B,"&gt;="&amp;$A$18,'1.Chăm sóc'!$B:$B,"&lt;="&amp;$A$19)</f>
        <v>0</v>
      </c>
      <c r="J36" s="89">
        <f>COUNTIFS('1.Chăm sóc'!$BC:$BC,J$21,'1.Chăm sóc'!$B:$B,"&gt;="&amp;$A$18,'1.Chăm sóc'!$B:$B,"&lt;="&amp;$A$19)</f>
        <v>0</v>
      </c>
      <c r="K36" s="89">
        <f>COUNTIFS('1.Chăm sóc'!$BC:$BC,K$21,'1.Chăm sóc'!$B:$B,"&gt;="&amp;$A$18,'1.Chăm sóc'!$B:$B,"&lt;="&amp;$A$19)</f>
        <v>0</v>
      </c>
    </row>
    <row r="37">
      <c r="A37" s="3"/>
      <c r="B37" s="3"/>
      <c r="C37" s="3"/>
      <c r="D37" s="89"/>
      <c r="E37" s="3"/>
      <c r="F37" s="3"/>
      <c r="G37" s="3"/>
      <c r="H37" s="3"/>
      <c r="I37" s="3"/>
      <c r="J37" s="3"/>
      <c r="K37" s="3"/>
    </row>
    <row r="38">
      <c r="A38" s="13" t="s">
        <v>646</v>
      </c>
      <c r="B38" s="13"/>
      <c r="C38" s="13"/>
      <c r="D38" s="13" t="s">
        <v>98</v>
      </c>
      <c r="E38" s="13" t="s">
        <v>99</v>
      </c>
      <c r="F38" s="13" t="s">
        <v>100</v>
      </c>
      <c r="G38" s="13" t="s">
        <v>101</v>
      </c>
      <c r="H38" s="13" t="s">
        <v>102</v>
      </c>
      <c r="I38" s="13" t="s">
        <v>103</v>
      </c>
      <c r="J38" s="13" t="s">
        <v>104</v>
      </c>
      <c r="K38" s="13" t="s">
        <v>106</v>
      </c>
    </row>
    <row r="39">
      <c r="A39" s="61" t="s">
        <v>108</v>
      </c>
      <c r="B39" s="61" t="s">
        <v>115</v>
      </c>
      <c r="C39" s="61" t="s">
        <v>23</v>
      </c>
      <c r="D39" s="65" t="s">
        <v>120</v>
      </c>
      <c r="E39" s="65" t="s">
        <v>122</v>
      </c>
      <c r="F39" s="65" t="s">
        <v>123</v>
      </c>
      <c r="G39" s="65" t="s">
        <v>124</v>
      </c>
      <c r="H39" s="65" t="s">
        <v>126</v>
      </c>
      <c r="I39" s="65" t="s">
        <v>127</v>
      </c>
      <c r="J39" s="65" t="s">
        <v>128</v>
      </c>
      <c r="K39" s="61" t="s">
        <v>129</v>
      </c>
    </row>
    <row r="40">
      <c r="A40" s="3" t="s">
        <v>130</v>
      </c>
      <c r="B40" s="3"/>
      <c r="C40" s="3"/>
      <c r="D40" s="196">
        <f t="shared" ref="D40:K40" si="3">iferror(D$22/$C22,0)</f>
        <v>0</v>
      </c>
      <c r="E40" s="196">
        <f t="shared" si="3"/>
        <v>0</v>
      </c>
      <c r="F40" s="196">
        <f t="shared" si="3"/>
        <v>0</v>
      </c>
      <c r="G40" s="196">
        <f t="shared" si="3"/>
        <v>0</v>
      </c>
      <c r="H40" s="196">
        <f t="shared" si="3"/>
        <v>0</v>
      </c>
      <c r="I40" s="196">
        <f t="shared" si="3"/>
        <v>0</v>
      </c>
      <c r="J40" s="196">
        <f t="shared" si="3"/>
        <v>0</v>
      </c>
      <c r="K40" s="196">
        <f t="shared" si="3"/>
        <v>0</v>
      </c>
    </row>
    <row r="41">
      <c r="A41" s="3" t="s">
        <v>181</v>
      </c>
      <c r="B41" s="3"/>
      <c r="C41" s="3"/>
      <c r="D41" s="196">
        <f t="shared" ref="D41:K41" si="4">iferror(D23/$C23,0)</f>
        <v>0</v>
      </c>
      <c r="E41" s="196">
        <f t="shared" si="4"/>
        <v>0</v>
      </c>
      <c r="F41" s="196">
        <f t="shared" si="4"/>
        <v>0</v>
      </c>
      <c r="G41" s="196">
        <f t="shared" si="4"/>
        <v>0</v>
      </c>
      <c r="H41" s="196">
        <f t="shared" si="4"/>
        <v>0</v>
      </c>
      <c r="I41" s="196">
        <f t="shared" si="4"/>
        <v>0</v>
      </c>
      <c r="J41" s="196">
        <f t="shared" si="4"/>
        <v>0</v>
      </c>
      <c r="K41" s="196">
        <f t="shared" si="4"/>
        <v>0</v>
      </c>
    </row>
    <row r="42">
      <c r="A42" s="3" t="s">
        <v>182</v>
      </c>
      <c r="B42" s="3"/>
      <c r="C42" s="3"/>
      <c r="D42" s="196">
        <f t="shared" ref="D42:K42" si="5">iferror(D24/$C24,0)</f>
        <v>0</v>
      </c>
      <c r="E42" s="196">
        <f t="shared" si="5"/>
        <v>0</v>
      </c>
      <c r="F42" s="196">
        <f t="shared" si="5"/>
        <v>0</v>
      </c>
      <c r="G42" s="196">
        <f t="shared" si="5"/>
        <v>0</v>
      </c>
      <c r="H42" s="196">
        <f t="shared" si="5"/>
        <v>0</v>
      </c>
      <c r="I42" s="196">
        <f t="shared" si="5"/>
        <v>0</v>
      </c>
      <c r="J42" s="196">
        <f t="shared" si="5"/>
        <v>0</v>
      </c>
      <c r="K42" s="196">
        <f t="shared" si="5"/>
        <v>0</v>
      </c>
    </row>
    <row r="43">
      <c r="A43" s="3" t="s">
        <v>183</v>
      </c>
      <c r="B43" s="3"/>
      <c r="C43" s="3"/>
      <c r="D43" s="196">
        <f t="shared" ref="D43:K43" si="6">iferror(D25/$C25,0)</f>
        <v>0</v>
      </c>
      <c r="E43" s="196">
        <f t="shared" si="6"/>
        <v>0</v>
      </c>
      <c r="F43" s="196">
        <f t="shared" si="6"/>
        <v>0</v>
      </c>
      <c r="G43" s="196">
        <f t="shared" si="6"/>
        <v>0</v>
      </c>
      <c r="H43" s="196">
        <f t="shared" si="6"/>
        <v>0</v>
      </c>
      <c r="I43" s="196">
        <f t="shared" si="6"/>
        <v>0</v>
      </c>
      <c r="J43" s="196">
        <f t="shared" si="6"/>
        <v>0</v>
      </c>
      <c r="K43" s="196">
        <f t="shared" si="6"/>
        <v>0</v>
      </c>
    </row>
    <row r="44">
      <c r="A44" s="3" t="s">
        <v>184</v>
      </c>
      <c r="B44" s="3"/>
      <c r="C44" s="3"/>
      <c r="D44" s="196">
        <f t="shared" ref="D44:K44" si="7">iferror(D26/$C26,0)</f>
        <v>0</v>
      </c>
      <c r="E44" s="196">
        <f t="shared" si="7"/>
        <v>0</v>
      </c>
      <c r="F44" s="196">
        <f t="shared" si="7"/>
        <v>0</v>
      </c>
      <c r="G44" s="196">
        <f t="shared" si="7"/>
        <v>0</v>
      </c>
      <c r="H44" s="196">
        <f t="shared" si="7"/>
        <v>0</v>
      </c>
      <c r="I44" s="196">
        <f t="shared" si="7"/>
        <v>0</v>
      </c>
      <c r="J44" s="196">
        <f t="shared" si="7"/>
        <v>0</v>
      </c>
      <c r="K44" s="196">
        <f t="shared" si="7"/>
        <v>0</v>
      </c>
    </row>
    <row r="45">
      <c r="A45" s="3" t="s">
        <v>185</v>
      </c>
      <c r="B45" s="3"/>
      <c r="C45" s="3"/>
      <c r="D45" s="196">
        <f t="shared" ref="D45:K45" si="8">iferror(D27/$C27,0)</f>
        <v>0</v>
      </c>
      <c r="E45" s="196">
        <f t="shared" si="8"/>
        <v>0</v>
      </c>
      <c r="F45" s="196">
        <f t="shared" si="8"/>
        <v>0</v>
      </c>
      <c r="G45" s="196">
        <f t="shared" si="8"/>
        <v>0</v>
      </c>
      <c r="H45" s="196">
        <f t="shared" si="8"/>
        <v>0</v>
      </c>
      <c r="I45" s="196">
        <f t="shared" si="8"/>
        <v>0</v>
      </c>
      <c r="J45" s="196">
        <f t="shared" si="8"/>
        <v>0</v>
      </c>
      <c r="K45" s="196">
        <f t="shared" si="8"/>
        <v>0</v>
      </c>
    </row>
    <row r="46">
      <c r="A46" s="3" t="s">
        <v>187</v>
      </c>
      <c r="B46" s="3"/>
      <c r="C46" s="3"/>
      <c r="D46" s="196">
        <f t="shared" ref="D46:K46" si="9">iferror(D28/$C28,0)</f>
        <v>0</v>
      </c>
      <c r="E46" s="196">
        <f t="shared" si="9"/>
        <v>0</v>
      </c>
      <c r="F46" s="196">
        <f t="shared" si="9"/>
        <v>0</v>
      </c>
      <c r="G46" s="196">
        <f t="shared" si="9"/>
        <v>0</v>
      </c>
      <c r="H46" s="196">
        <f t="shared" si="9"/>
        <v>0</v>
      </c>
      <c r="I46" s="196">
        <f t="shared" si="9"/>
        <v>0</v>
      </c>
      <c r="J46" s="196">
        <f t="shared" si="9"/>
        <v>0</v>
      </c>
      <c r="K46" s="196">
        <f t="shared" si="9"/>
        <v>0</v>
      </c>
    </row>
    <row r="47">
      <c r="A47" s="3" t="s">
        <v>188</v>
      </c>
      <c r="B47" s="3"/>
      <c r="C47" s="3"/>
      <c r="D47" s="196">
        <f t="shared" ref="D47:K47" si="10">iferror(D29/$C29,0)</f>
        <v>0</v>
      </c>
      <c r="E47" s="196">
        <f t="shared" si="10"/>
        <v>0</v>
      </c>
      <c r="F47" s="196">
        <f t="shared" si="10"/>
        <v>0</v>
      </c>
      <c r="G47" s="196">
        <f t="shared" si="10"/>
        <v>0</v>
      </c>
      <c r="H47" s="196">
        <f t="shared" si="10"/>
        <v>0</v>
      </c>
      <c r="I47" s="196">
        <f t="shared" si="10"/>
        <v>0</v>
      </c>
      <c r="J47" s="196">
        <f t="shared" si="10"/>
        <v>0</v>
      </c>
      <c r="K47" s="196">
        <f t="shared" si="10"/>
        <v>0</v>
      </c>
    </row>
    <row r="48">
      <c r="A48" s="3" t="s">
        <v>189</v>
      </c>
      <c r="B48" s="3"/>
      <c r="C48" s="3"/>
      <c r="D48" s="196">
        <f t="shared" ref="D48:K48" si="11">iferror(D30/$C30,0)</f>
        <v>0</v>
      </c>
      <c r="E48" s="196">
        <f t="shared" si="11"/>
        <v>0</v>
      </c>
      <c r="F48" s="196">
        <f t="shared" si="11"/>
        <v>0</v>
      </c>
      <c r="G48" s="196">
        <f t="shared" si="11"/>
        <v>0</v>
      </c>
      <c r="H48" s="196">
        <f t="shared" si="11"/>
        <v>0</v>
      </c>
      <c r="I48" s="196">
        <f t="shared" si="11"/>
        <v>0</v>
      </c>
      <c r="J48" s="196">
        <f t="shared" si="11"/>
        <v>0</v>
      </c>
      <c r="K48" s="196">
        <f t="shared" si="11"/>
        <v>0</v>
      </c>
    </row>
    <row r="49">
      <c r="A49" s="3" t="s">
        <v>190</v>
      </c>
      <c r="B49" s="3"/>
      <c r="C49" s="3"/>
      <c r="D49" s="196">
        <f t="shared" ref="D49:K49" si="12">iferror(D31/$C31,0)</f>
        <v>0</v>
      </c>
      <c r="E49" s="196">
        <f t="shared" si="12"/>
        <v>0</v>
      </c>
      <c r="F49" s="196">
        <f t="shared" si="12"/>
        <v>0</v>
      </c>
      <c r="G49" s="196">
        <f t="shared" si="12"/>
        <v>0</v>
      </c>
      <c r="H49" s="196">
        <f t="shared" si="12"/>
        <v>0</v>
      </c>
      <c r="I49" s="196">
        <f t="shared" si="12"/>
        <v>0</v>
      </c>
      <c r="J49" s="196">
        <f t="shared" si="12"/>
        <v>0</v>
      </c>
      <c r="K49" s="196">
        <f t="shared" si="12"/>
        <v>0</v>
      </c>
    </row>
    <row r="50">
      <c r="A50" s="3" t="s">
        <v>191</v>
      </c>
      <c r="B50" s="3"/>
      <c r="C50" s="3"/>
      <c r="D50" s="196">
        <f t="shared" ref="D50:K50" si="13">iferror(D32/$C32,0)</f>
        <v>0</v>
      </c>
      <c r="E50" s="196">
        <f t="shared" si="13"/>
        <v>0</v>
      </c>
      <c r="F50" s="196">
        <f t="shared" si="13"/>
        <v>0</v>
      </c>
      <c r="G50" s="196">
        <f t="shared" si="13"/>
        <v>0</v>
      </c>
      <c r="H50" s="196">
        <f t="shared" si="13"/>
        <v>0</v>
      </c>
      <c r="I50" s="196">
        <f t="shared" si="13"/>
        <v>0</v>
      </c>
      <c r="J50" s="196">
        <f t="shared" si="13"/>
        <v>0</v>
      </c>
      <c r="K50" s="196">
        <f t="shared" si="13"/>
        <v>0</v>
      </c>
    </row>
    <row r="51">
      <c r="A51" s="3" t="s">
        <v>193</v>
      </c>
      <c r="B51" s="3"/>
      <c r="C51" s="3"/>
      <c r="D51" s="196">
        <f t="shared" ref="D51:K51" si="14">iferror(D33/$C33,0)</f>
        <v>0</v>
      </c>
      <c r="E51" s="196">
        <f t="shared" si="14"/>
        <v>0</v>
      </c>
      <c r="F51" s="196">
        <f t="shared" si="14"/>
        <v>0</v>
      </c>
      <c r="G51" s="196">
        <f t="shared" si="14"/>
        <v>0</v>
      </c>
      <c r="H51" s="196">
        <f t="shared" si="14"/>
        <v>0</v>
      </c>
      <c r="I51" s="196">
        <f t="shared" si="14"/>
        <v>0</v>
      </c>
      <c r="J51" s="196">
        <f t="shared" si="14"/>
        <v>0</v>
      </c>
      <c r="K51" s="196">
        <f t="shared" si="14"/>
        <v>0</v>
      </c>
    </row>
    <row r="52">
      <c r="A52" s="3" t="s">
        <v>195</v>
      </c>
      <c r="B52" s="3"/>
      <c r="C52" s="3"/>
      <c r="D52" s="196">
        <f t="shared" ref="D52:K52" si="15">iferror(D34/$C34,0)</f>
        <v>0</v>
      </c>
      <c r="E52" s="196">
        <f t="shared" si="15"/>
        <v>0</v>
      </c>
      <c r="F52" s="196">
        <f t="shared" si="15"/>
        <v>0</v>
      </c>
      <c r="G52" s="196">
        <f t="shared" si="15"/>
        <v>0</v>
      </c>
      <c r="H52" s="196">
        <f t="shared" si="15"/>
        <v>0</v>
      </c>
      <c r="I52" s="196">
        <f t="shared" si="15"/>
        <v>0</v>
      </c>
      <c r="J52" s="196">
        <f t="shared" si="15"/>
        <v>0</v>
      </c>
      <c r="K52" s="196">
        <f t="shared" si="15"/>
        <v>0</v>
      </c>
    </row>
    <row r="53">
      <c r="A53" s="3" t="s">
        <v>196</v>
      </c>
      <c r="B53" s="3"/>
      <c r="C53" s="3"/>
      <c r="D53" s="196">
        <f t="shared" ref="D53:K53" si="16">iferror(D35/$C35,0)</f>
        <v>0</v>
      </c>
      <c r="E53" s="196">
        <f t="shared" si="16"/>
        <v>0</v>
      </c>
      <c r="F53" s="196">
        <f t="shared" si="16"/>
        <v>0</v>
      </c>
      <c r="G53" s="196">
        <f t="shared" si="16"/>
        <v>0</v>
      </c>
      <c r="H53" s="196">
        <f t="shared" si="16"/>
        <v>0</v>
      </c>
      <c r="I53" s="196">
        <f t="shared" si="16"/>
        <v>0</v>
      </c>
      <c r="J53" s="196">
        <f t="shared" si="16"/>
        <v>0</v>
      </c>
      <c r="K53" s="196">
        <f t="shared" si="16"/>
        <v>0</v>
      </c>
    </row>
    <row r="54">
      <c r="A54" s="3" t="s">
        <v>197</v>
      </c>
      <c r="B54" s="3"/>
      <c r="C54" s="3"/>
      <c r="D54" s="196">
        <f t="shared" ref="D54:K54" si="17">iferror(D36/$C36,0)</f>
        <v>0</v>
      </c>
      <c r="E54" s="196">
        <f t="shared" si="17"/>
        <v>0</v>
      </c>
      <c r="F54" s="196">
        <f t="shared" si="17"/>
        <v>0</v>
      </c>
      <c r="G54" s="196">
        <f t="shared" si="17"/>
        <v>0</v>
      </c>
      <c r="H54" s="196">
        <f t="shared" si="17"/>
        <v>0</v>
      </c>
      <c r="I54" s="196">
        <f t="shared" si="17"/>
        <v>0</v>
      </c>
      <c r="J54" s="196">
        <f t="shared" si="17"/>
        <v>0</v>
      </c>
      <c r="K54" s="196">
        <f t="shared" si="17"/>
        <v>0</v>
      </c>
    </row>
    <row r="55">
      <c r="A55" s="3"/>
      <c r="B55" s="3"/>
      <c r="C55" s="3"/>
      <c r="D55" s="3"/>
      <c r="E55" s="3"/>
      <c r="F55" s="3"/>
      <c r="G55" s="3"/>
      <c r="H55" s="3"/>
      <c r="I55" s="3"/>
      <c r="J55" s="3"/>
      <c r="K55" s="3"/>
    </row>
  </sheetData>
  <dataValidations>
    <dataValidation type="custom" allowBlank="1" showDropDown="1" sqref="E2:K3 A18:A19">
      <formula1>OR(NOT(ISERROR(DATEVALUE(A2))), AND(ISNUMBER(A2), LEFT(CELL("format", A2))="D"))</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outlineLevelRow="1"/>
  <cols>
    <col customWidth="1" min="1" max="1" width="10.0"/>
    <col customWidth="1" min="2" max="2" width="9.38"/>
    <col customWidth="1" min="3" max="3" width="8.75"/>
    <col customWidth="1" min="4" max="4" width="7.75"/>
    <col customWidth="1" min="5" max="5" width="19.0"/>
    <col customWidth="1" min="6" max="6" width="5.5"/>
    <col customWidth="1" min="7" max="8" width="9.75"/>
    <col customWidth="1" min="9" max="9" width="8.63"/>
    <col customWidth="1" min="10" max="10" width="8.0"/>
    <col customWidth="1" min="11" max="11" width="9.5"/>
    <col customWidth="1" min="12" max="12" width="7.25"/>
    <col customWidth="1" min="13" max="13" width="7.63"/>
    <col customWidth="1" min="14" max="14" width="7.38"/>
    <col customWidth="1" min="15" max="15" width="6.88"/>
    <col customWidth="1" min="16" max="16" width="41.63"/>
    <col customWidth="1" min="18" max="18" width="8.25"/>
    <col customWidth="1" min="19" max="19" width="8.38"/>
    <col customWidth="1" min="20" max="20" width="6.0"/>
    <col customWidth="1" min="23" max="23" width="12.25"/>
    <col hidden="1" min="27" max="31" width="12.63"/>
    <col customWidth="1" min="35" max="35" width="4.25"/>
    <col customWidth="1" min="36" max="36" width="4.5"/>
    <col customWidth="1" min="37" max="37" width="21.25"/>
    <col customWidth="1" min="41" max="41" width="30.75"/>
  </cols>
  <sheetData>
    <row r="1">
      <c r="A1" s="27"/>
      <c r="B1" s="28">
        <v>2.0</v>
      </c>
      <c r="C1" s="30">
        <v>3.0</v>
      </c>
      <c r="D1" s="28">
        <v>4.0</v>
      </c>
      <c r="E1" s="30">
        <v>5.0</v>
      </c>
      <c r="F1" s="28">
        <v>6.0</v>
      </c>
      <c r="G1" s="30">
        <v>7.0</v>
      </c>
      <c r="H1" s="28">
        <v>8.0</v>
      </c>
      <c r="I1" s="30">
        <v>9.0</v>
      </c>
      <c r="J1" s="28">
        <v>10.0</v>
      </c>
      <c r="K1" s="30">
        <v>11.0</v>
      </c>
      <c r="L1" s="28">
        <v>12.0</v>
      </c>
      <c r="M1" s="30">
        <v>13.0</v>
      </c>
      <c r="N1" s="28">
        <v>14.0</v>
      </c>
      <c r="O1" s="30">
        <v>15.0</v>
      </c>
      <c r="P1" s="33">
        <v>16.0</v>
      </c>
      <c r="Q1" s="30">
        <v>17.0</v>
      </c>
      <c r="R1" s="28">
        <v>18.0</v>
      </c>
      <c r="S1" s="30">
        <v>19.0</v>
      </c>
      <c r="T1" s="35" t="s">
        <v>58</v>
      </c>
      <c r="U1" s="30">
        <v>21.0</v>
      </c>
      <c r="V1" s="28">
        <v>22.0</v>
      </c>
      <c r="W1" s="30">
        <v>23.0</v>
      </c>
      <c r="X1" s="28">
        <v>24.0</v>
      </c>
      <c r="Y1" s="30">
        <v>25.0</v>
      </c>
      <c r="Z1" s="28">
        <v>26.0</v>
      </c>
      <c r="AA1" s="30">
        <v>27.0</v>
      </c>
      <c r="AB1" s="28">
        <v>28.0</v>
      </c>
      <c r="AC1" s="30">
        <v>29.0</v>
      </c>
      <c r="AD1" s="28">
        <v>30.0</v>
      </c>
      <c r="AE1" s="30">
        <v>31.0</v>
      </c>
      <c r="AF1" s="28">
        <v>32.0</v>
      </c>
      <c r="AG1" s="30">
        <v>33.0</v>
      </c>
      <c r="AH1" s="28">
        <v>34.0</v>
      </c>
      <c r="AI1" s="36">
        <v>35.0</v>
      </c>
      <c r="AJ1" s="28">
        <v>36.0</v>
      </c>
      <c r="AK1" s="37">
        <v>37.0</v>
      </c>
      <c r="AL1" s="38">
        <v>38.0</v>
      </c>
      <c r="AM1" s="30">
        <v>39.0</v>
      </c>
      <c r="AN1" s="28">
        <v>40.0</v>
      </c>
      <c r="AO1" s="30">
        <v>41.0</v>
      </c>
      <c r="AP1" s="28">
        <v>42.0</v>
      </c>
      <c r="AQ1" s="30">
        <v>43.0</v>
      </c>
      <c r="AR1" s="28">
        <v>44.0</v>
      </c>
      <c r="AS1" s="30">
        <v>45.0</v>
      </c>
      <c r="AT1" s="28">
        <v>46.0</v>
      </c>
      <c r="AU1" s="30">
        <v>47.0</v>
      </c>
      <c r="AV1" s="28">
        <v>48.0</v>
      </c>
      <c r="AW1" s="30">
        <v>49.0</v>
      </c>
      <c r="AX1" s="28">
        <v>50.0</v>
      </c>
      <c r="AY1" s="30">
        <v>51.0</v>
      </c>
      <c r="AZ1" s="28">
        <v>52.0</v>
      </c>
      <c r="BA1" s="30">
        <v>53.0</v>
      </c>
      <c r="BB1" s="28">
        <v>54.0</v>
      </c>
      <c r="BC1" s="30">
        <v>55.0</v>
      </c>
      <c r="BD1" s="28">
        <v>56.0</v>
      </c>
      <c r="BE1" s="30">
        <v>57.0</v>
      </c>
      <c r="BF1" s="28">
        <v>58.0</v>
      </c>
      <c r="BG1" s="30">
        <v>59.0</v>
      </c>
      <c r="BH1" s="28">
        <v>60.0</v>
      </c>
      <c r="BI1" s="21"/>
    </row>
    <row r="2">
      <c r="A2" s="44" t="s">
        <v>82</v>
      </c>
      <c r="B2" s="46"/>
      <c r="C2" s="46"/>
      <c r="D2" s="46"/>
      <c r="E2" s="46"/>
      <c r="F2" s="46"/>
      <c r="G2" s="46"/>
      <c r="H2" s="46"/>
      <c r="I2" s="46"/>
      <c r="J2" s="48"/>
      <c r="K2" s="48"/>
      <c r="L2" s="48"/>
      <c r="M2" s="48"/>
      <c r="N2" s="50"/>
      <c r="O2" s="48"/>
      <c r="P2" s="52"/>
      <c r="Q2" s="21"/>
      <c r="R2" s="21"/>
      <c r="S2" s="21"/>
      <c r="T2" s="21"/>
      <c r="U2" s="21"/>
      <c r="V2" s="21"/>
      <c r="W2" s="21"/>
      <c r="X2" s="21"/>
      <c r="Y2" s="21"/>
      <c r="Z2" s="21"/>
      <c r="AA2" s="21"/>
      <c r="AB2" s="21"/>
      <c r="AC2" s="21"/>
      <c r="AD2" s="21"/>
      <c r="AE2" s="21"/>
      <c r="AF2" s="21"/>
      <c r="AG2" s="21"/>
      <c r="AH2" s="21"/>
      <c r="AI2" s="53"/>
      <c r="AJ2" s="55"/>
      <c r="AK2" s="21"/>
      <c r="AL2" s="21"/>
      <c r="AM2" s="21"/>
      <c r="AN2" s="21"/>
      <c r="AO2" s="21"/>
      <c r="AP2" s="21"/>
      <c r="AQ2" s="21"/>
      <c r="AR2" s="21"/>
      <c r="AS2" s="21"/>
      <c r="AT2" s="21"/>
      <c r="AU2" s="21"/>
      <c r="AV2" s="21"/>
      <c r="AW2" s="21"/>
      <c r="AX2" s="21"/>
      <c r="AY2" s="21"/>
      <c r="AZ2" s="21"/>
      <c r="BA2" s="21"/>
      <c r="BB2" s="21"/>
      <c r="BC2" s="21"/>
      <c r="BD2" s="21"/>
      <c r="BE2" s="21"/>
      <c r="BF2" s="21"/>
      <c r="BG2" s="21"/>
      <c r="BH2" s="21"/>
      <c r="BI2" s="21"/>
    </row>
    <row r="3" ht="48.75" customHeight="1">
      <c r="A3" s="59" t="s">
        <v>96</v>
      </c>
      <c r="B3" s="62" t="s">
        <v>109</v>
      </c>
      <c r="C3" s="64" t="s">
        <v>114</v>
      </c>
      <c r="D3" s="64" t="s">
        <v>116</v>
      </c>
      <c r="E3" s="64" t="s">
        <v>117</v>
      </c>
      <c r="F3" s="64" t="s">
        <v>118</v>
      </c>
      <c r="G3" s="64" t="s">
        <v>119</v>
      </c>
      <c r="H3" s="66" t="s">
        <v>121</v>
      </c>
      <c r="I3" s="68" t="s">
        <v>125</v>
      </c>
      <c r="J3" s="70" t="s">
        <v>131</v>
      </c>
      <c r="K3" s="70" t="s">
        <v>134</v>
      </c>
      <c r="L3" s="70" t="s">
        <v>135</v>
      </c>
      <c r="M3" s="70" t="s">
        <v>136</v>
      </c>
      <c r="N3" s="72" t="s">
        <v>138</v>
      </c>
      <c r="O3" s="70" t="s">
        <v>139</v>
      </c>
      <c r="P3" s="73" t="s">
        <v>141</v>
      </c>
      <c r="Q3" s="70" t="s">
        <v>142</v>
      </c>
      <c r="R3" s="70" t="s">
        <v>143</v>
      </c>
      <c r="S3" s="74" t="s">
        <v>145</v>
      </c>
      <c r="T3" s="75" t="s">
        <v>147</v>
      </c>
      <c r="U3" s="76" t="s">
        <v>148</v>
      </c>
      <c r="V3" s="76" t="s">
        <v>150</v>
      </c>
      <c r="W3" s="78" t="s">
        <v>151</v>
      </c>
      <c r="X3" s="76" t="s">
        <v>153</v>
      </c>
      <c r="Y3" s="76" t="s">
        <v>154</v>
      </c>
      <c r="Z3" s="76" t="s">
        <v>155</v>
      </c>
      <c r="AA3" s="76" t="s">
        <v>156</v>
      </c>
      <c r="AB3" s="76" t="s">
        <v>158</v>
      </c>
      <c r="AC3" s="76" t="s">
        <v>159</v>
      </c>
      <c r="AD3" s="76" t="s">
        <v>160</v>
      </c>
      <c r="AE3" s="76" t="s">
        <v>161</v>
      </c>
      <c r="AF3" s="80" t="s">
        <v>162</v>
      </c>
      <c r="AG3" s="81" t="s">
        <v>165</v>
      </c>
      <c r="AH3" s="76" t="s">
        <v>166</v>
      </c>
      <c r="AI3" s="82" t="s">
        <v>167</v>
      </c>
      <c r="AJ3" s="85" t="s">
        <v>169</v>
      </c>
      <c r="AK3" s="87" t="s">
        <v>176</v>
      </c>
      <c r="AL3" s="87" t="s">
        <v>177</v>
      </c>
      <c r="AM3" s="87" t="s">
        <v>178</v>
      </c>
      <c r="AN3" s="87" t="s">
        <v>179</v>
      </c>
      <c r="AO3" s="87" t="s">
        <v>130</v>
      </c>
      <c r="AP3" s="87" t="s">
        <v>181</v>
      </c>
      <c r="AQ3" s="87" t="s">
        <v>182</v>
      </c>
      <c r="AR3" s="87" t="s">
        <v>183</v>
      </c>
      <c r="AS3" s="87" t="s">
        <v>184</v>
      </c>
      <c r="AT3" s="87" t="s">
        <v>185</v>
      </c>
      <c r="AU3" s="87" t="s">
        <v>187</v>
      </c>
      <c r="AV3" s="87" t="s">
        <v>188</v>
      </c>
      <c r="AW3" s="87" t="s">
        <v>189</v>
      </c>
      <c r="AX3" s="87" t="s">
        <v>190</v>
      </c>
      <c r="AY3" s="87" t="s">
        <v>191</v>
      </c>
      <c r="AZ3" s="87" t="s">
        <v>193</v>
      </c>
      <c r="BA3" s="87" t="s">
        <v>195</v>
      </c>
      <c r="BB3" s="87" t="s">
        <v>196</v>
      </c>
      <c r="BC3" s="87" t="s">
        <v>197</v>
      </c>
      <c r="BD3" s="87" t="s">
        <v>198</v>
      </c>
      <c r="BE3" s="91" t="str">
        <f>W3</f>
        <v>Ngày kết thúc/Bảo lưu</v>
      </c>
      <c r="BF3" s="92" t="s">
        <v>0</v>
      </c>
      <c r="BG3" s="93" t="s">
        <v>204</v>
      </c>
      <c r="BH3" s="92" t="s">
        <v>205</v>
      </c>
      <c r="BI3" s="21"/>
    </row>
    <row r="4" ht="39.0" customHeight="1">
      <c r="A4" s="45">
        <v>4.20274574E8</v>
      </c>
      <c r="B4" s="94">
        <v>45673.580384050925</v>
      </c>
      <c r="C4" s="21" t="s">
        <v>209</v>
      </c>
      <c r="D4" s="21" t="s">
        <v>210</v>
      </c>
      <c r="E4" s="21" t="s">
        <v>211</v>
      </c>
      <c r="F4" s="21" t="s">
        <v>212</v>
      </c>
      <c r="G4" s="45">
        <v>7.012519244E9</v>
      </c>
      <c r="H4" s="21" t="s">
        <v>214</v>
      </c>
      <c r="I4" s="21" t="s">
        <v>215</v>
      </c>
      <c r="J4" s="21" t="s">
        <v>216</v>
      </c>
      <c r="K4" s="21" t="s">
        <v>217</v>
      </c>
      <c r="L4" s="21" t="s">
        <v>218</v>
      </c>
      <c r="M4" s="21" t="s">
        <v>219</v>
      </c>
      <c r="N4" s="95">
        <v>49.0</v>
      </c>
      <c r="O4" s="21" t="s">
        <v>221</v>
      </c>
      <c r="P4" s="29" t="s">
        <v>222</v>
      </c>
      <c r="Q4" s="97">
        <v>33513.0</v>
      </c>
      <c r="R4" s="21" t="s">
        <v>224</v>
      </c>
      <c r="S4" s="21" t="s">
        <v>221</v>
      </c>
      <c r="T4" s="99">
        <v>14.0</v>
      </c>
      <c r="U4" s="100">
        <v>45698.0</v>
      </c>
      <c r="V4" s="21" t="s">
        <v>48</v>
      </c>
      <c r="W4" s="101">
        <v>45736.0</v>
      </c>
      <c r="X4" s="21" t="s">
        <v>228</v>
      </c>
      <c r="Y4" s="45">
        <v>246.0</v>
      </c>
      <c r="Z4" s="45">
        <v>30.0</v>
      </c>
      <c r="AA4" s="21"/>
      <c r="AB4" s="21"/>
      <c r="AC4" s="21"/>
      <c r="AD4" s="21"/>
      <c r="AE4" s="21"/>
      <c r="AF4" s="21" t="s">
        <v>229</v>
      </c>
      <c r="AG4" s="21" t="s">
        <v>230</v>
      </c>
      <c r="AH4" s="53" t="s">
        <v>231</v>
      </c>
      <c r="AI4" s="102"/>
      <c r="AJ4" s="21"/>
      <c r="AK4" s="105" t="s">
        <v>211</v>
      </c>
      <c r="AL4" s="53" t="s">
        <v>243</v>
      </c>
      <c r="AM4" s="21"/>
      <c r="AN4" s="21"/>
      <c r="AO4" s="53" t="s">
        <v>244</v>
      </c>
      <c r="AP4" s="53" t="s">
        <v>245</v>
      </c>
      <c r="AQ4" s="21"/>
      <c r="AR4" s="21"/>
      <c r="AS4" s="21"/>
      <c r="AT4" s="21"/>
      <c r="AU4" s="21"/>
      <c r="AV4" s="21"/>
      <c r="AW4" s="21"/>
      <c r="AX4" s="21"/>
      <c r="AY4" s="21"/>
      <c r="AZ4" s="21"/>
      <c r="BA4" s="21"/>
      <c r="BB4" s="21"/>
      <c r="BC4" s="21"/>
      <c r="BD4" s="21"/>
      <c r="BE4" s="21"/>
      <c r="BF4" s="106">
        <f t="shared" ref="BF4:BF2325" si="1">datevalue(B4)</f>
        <v>45673</v>
      </c>
      <c r="BG4" s="21">
        <f t="shared" ref="BG4:BG2325" si="2">MONTH(B4)</f>
        <v>1</v>
      </c>
      <c r="BH4" s="109">
        <v>45670.0</v>
      </c>
      <c r="BI4" s="21"/>
    </row>
    <row r="5" ht="31.5" customHeight="1">
      <c r="A5" s="45">
        <v>4.20266164E8</v>
      </c>
      <c r="B5" s="94">
        <v>45355.428689409724</v>
      </c>
      <c r="C5" s="21" t="s">
        <v>256</v>
      </c>
      <c r="D5" s="21" t="s">
        <v>210</v>
      </c>
      <c r="E5" s="21" t="s">
        <v>258</v>
      </c>
      <c r="F5" s="21" t="s">
        <v>212</v>
      </c>
      <c r="G5" s="45">
        <v>3.9966982E8</v>
      </c>
      <c r="H5" s="21" t="s">
        <v>259</v>
      </c>
      <c r="I5" s="21" t="s">
        <v>215</v>
      </c>
      <c r="J5" s="21" t="s">
        <v>216</v>
      </c>
      <c r="K5" s="21" t="s">
        <v>261</v>
      </c>
      <c r="L5" s="21" t="s">
        <v>218</v>
      </c>
      <c r="M5" s="21" t="s">
        <v>262</v>
      </c>
      <c r="N5" s="95">
        <v>90.0</v>
      </c>
      <c r="O5" s="21" t="s">
        <v>221</v>
      </c>
      <c r="P5" s="29" t="s">
        <v>264</v>
      </c>
      <c r="Q5" s="97">
        <v>38446.0</v>
      </c>
      <c r="R5" s="21" t="s">
        <v>265</v>
      </c>
      <c r="S5" s="21" t="s">
        <v>221</v>
      </c>
      <c r="T5" s="99">
        <v>7.0</v>
      </c>
      <c r="U5" s="100">
        <v>45364.0</v>
      </c>
      <c r="V5" s="21" t="s">
        <v>48</v>
      </c>
      <c r="W5" s="100">
        <v>45803.0</v>
      </c>
      <c r="X5" s="21" t="s">
        <v>267</v>
      </c>
      <c r="Y5" s="45">
        <v>7.0</v>
      </c>
      <c r="Z5" s="45">
        <v>60.0</v>
      </c>
      <c r="AA5" s="21"/>
      <c r="AB5" s="21"/>
      <c r="AC5" s="21"/>
      <c r="AD5" s="21"/>
      <c r="AE5" s="21"/>
      <c r="AF5" s="21" t="s">
        <v>268</v>
      </c>
      <c r="AG5" s="21" t="s">
        <v>269</v>
      </c>
      <c r="AH5" s="53" t="s">
        <v>270</v>
      </c>
      <c r="AI5" s="102"/>
      <c r="AJ5" s="45">
        <v>56.0</v>
      </c>
      <c r="AK5" s="105" t="s">
        <v>258</v>
      </c>
      <c r="AL5" s="21"/>
      <c r="AM5" s="21"/>
      <c r="AN5" s="21"/>
      <c r="AO5" s="21"/>
      <c r="AP5" s="21"/>
      <c r="AQ5" s="119" t="s">
        <v>289</v>
      </c>
      <c r="AR5" s="21"/>
      <c r="AS5" s="21"/>
      <c r="AT5" s="21"/>
      <c r="AU5" s="21"/>
      <c r="AV5" s="21"/>
      <c r="AW5" s="21"/>
      <c r="AX5" s="21"/>
      <c r="AY5" s="21"/>
      <c r="AZ5" s="121">
        <v>45796.0</v>
      </c>
      <c r="BA5" s="21"/>
      <c r="BB5" s="21"/>
      <c r="BC5" s="21"/>
      <c r="BD5" s="21"/>
      <c r="BE5" s="21"/>
      <c r="BF5" s="106">
        <f t="shared" si="1"/>
        <v>45355</v>
      </c>
      <c r="BG5" s="21">
        <f t="shared" si="2"/>
        <v>3</v>
      </c>
      <c r="BH5" s="123"/>
      <c r="BI5" s="21"/>
    </row>
    <row r="6" ht="36.75" customHeight="1">
      <c r="A6" s="45">
        <v>1.0052874E7</v>
      </c>
      <c r="B6" s="94">
        <v>45723.54765552083</v>
      </c>
      <c r="C6" s="21" t="s">
        <v>209</v>
      </c>
      <c r="D6" s="21" t="s">
        <v>210</v>
      </c>
      <c r="E6" s="21" t="s">
        <v>297</v>
      </c>
      <c r="F6" s="21" t="s">
        <v>212</v>
      </c>
      <c r="G6" s="45">
        <v>9.76691294E8</v>
      </c>
      <c r="H6" s="21" t="s">
        <v>299</v>
      </c>
      <c r="I6" s="21" t="s">
        <v>215</v>
      </c>
      <c r="J6" s="21" t="s">
        <v>216</v>
      </c>
      <c r="K6" s="21" t="s">
        <v>300</v>
      </c>
      <c r="L6" s="21" t="s">
        <v>218</v>
      </c>
      <c r="M6" s="21" t="s">
        <v>262</v>
      </c>
      <c r="N6" s="95">
        <v>60.0</v>
      </c>
      <c r="O6" s="21" t="s">
        <v>221</v>
      </c>
      <c r="P6" s="29" t="s">
        <v>302</v>
      </c>
      <c r="Q6" s="97">
        <v>34114.0</v>
      </c>
      <c r="R6" s="21" t="s">
        <v>303</v>
      </c>
      <c r="S6" s="21" t="s">
        <v>221</v>
      </c>
      <c r="T6" s="99">
        <v>20.0</v>
      </c>
      <c r="U6" s="100">
        <v>45735.0</v>
      </c>
      <c r="V6" s="21" t="s">
        <v>48</v>
      </c>
      <c r="W6" s="101">
        <v>45859.0</v>
      </c>
      <c r="X6" s="21" t="s">
        <v>228</v>
      </c>
      <c r="Y6" s="45">
        <v>246.0</v>
      </c>
      <c r="Z6" s="45">
        <v>30.0</v>
      </c>
      <c r="AA6" s="21"/>
      <c r="AB6" s="21"/>
      <c r="AC6" s="21"/>
      <c r="AD6" s="21"/>
      <c r="AE6" s="21"/>
      <c r="AF6" s="21" t="s">
        <v>305</v>
      </c>
      <c r="AG6" s="21" t="s">
        <v>307</v>
      </c>
      <c r="AH6" s="53" t="s">
        <v>308</v>
      </c>
      <c r="AI6" s="102"/>
      <c r="AJ6" s="21"/>
      <c r="AK6" s="105" t="s">
        <v>297</v>
      </c>
      <c r="AL6" s="53" t="s">
        <v>318</v>
      </c>
      <c r="AM6" s="21"/>
      <c r="AN6" s="21"/>
      <c r="AO6" s="53" t="s">
        <v>319</v>
      </c>
      <c r="AP6" s="53" t="s">
        <v>320</v>
      </c>
      <c r="AQ6" s="21"/>
      <c r="AR6" s="21"/>
      <c r="AS6" s="21"/>
      <c r="AT6" s="21"/>
      <c r="AU6" s="21"/>
      <c r="AV6" s="21"/>
      <c r="AW6" s="21"/>
      <c r="AX6" s="21"/>
      <c r="AY6" s="21"/>
      <c r="AZ6" s="21"/>
      <c r="BA6" s="21"/>
      <c r="BB6" s="21"/>
      <c r="BC6" s="21"/>
      <c r="BD6" s="21"/>
      <c r="BE6" s="21"/>
      <c r="BF6" s="106">
        <f t="shared" si="1"/>
        <v>45723</v>
      </c>
      <c r="BG6" s="21">
        <f t="shared" si="2"/>
        <v>3</v>
      </c>
      <c r="BH6" s="131"/>
      <c r="BI6" s="21"/>
    </row>
    <row r="7" ht="28.5" customHeight="1">
      <c r="A7" s="45">
        <v>4.20277244E8</v>
      </c>
      <c r="B7" s="94">
        <v>45732.429899016206</v>
      </c>
      <c r="C7" s="21" t="s">
        <v>329</v>
      </c>
      <c r="D7" s="21" t="s">
        <v>210</v>
      </c>
      <c r="E7" s="21" t="s">
        <v>330</v>
      </c>
      <c r="F7" s="21" t="s">
        <v>331</v>
      </c>
      <c r="G7" s="45">
        <v>9.01629888E8</v>
      </c>
      <c r="H7" s="21" t="s">
        <v>332</v>
      </c>
      <c r="I7" s="21" t="s">
        <v>215</v>
      </c>
      <c r="J7" s="21" t="s">
        <v>216</v>
      </c>
      <c r="K7" s="21" t="s">
        <v>333</v>
      </c>
      <c r="L7" s="21" t="s">
        <v>218</v>
      </c>
      <c r="M7" s="21" t="s">
        <v>219</v>
      </c>
      <c r="N7" s="132">
        <v>105.0</v>
      </c>
      <c r="O7" s="21" t="s">
        <v>221</v>
      </c>
      <c r="P7" s="29" t="s">
        <v>336</v>
      </c>
      <c r="Q7" s="97">
        <v>31122.0</v>
      </c>
      <c r="R7" s="21" t="s">
        <v>337</v>
      </c>
      <c r="S7" s="21" t="s">
        <v>221</v>
      </c>
      <c r="T7" s="99">
        <v>8.0</v>
      </c>
      <c r="U7" s="100">
        <v>45740.0</v>
      </c>
      <c r="V7" s="21" t="s">
        <v>48</v>
      </c>
      <c r="W7" s="133"/>
      <c r="X7" s="21" t="s">
        <v>341</v>
      </c>
      <c r="Y7" s="45">
        <v>246.0</v>
      </c>
      <c r="Z7" s="45">
        <v>30.0</v>
      </c>
      <c r="AA7" s="21"/>
      <c r="AB7" s="21"/>
      <c r="AC7" s="21"/>
      <c r="AD7" s="21"/>
      <c r="AE7" s="21"/>
      <c r="AF7" s="21" t="s">
        <v>343</v>
      </c>
      <c r="AG7" s="21" t="s">
        <v>344</v>
      </c>
      <c r="AH7" s="53" t="s">
        <v>345</v>
      </c>
      <c r="AI7" s="102"/>
      <c r="AJ7" s="21"/>
      <c r="AK7" s="105" t="s">
        <v>330</v>
      </c>
      <c r="AL7" s="53" t="s">
        <v>354</v>
      </c>
      <c r="AM7" s="21"/>
      <c r="AN7" s="21"/>
      <c r="AO7" s="53" t="s">
        <v>355</v>
      </c>
      <c r="AP7" s="53" t="s">
        <v>356</v>
      </c>
      <c r="AQ7" s="53" t="s">
        <v>358</v>
      </c>
      <c r="AR7" s="21"/>
      <c r="AS7" s="21"/>
      <c r="AT7" s="21"/>
      <c r="AU7" s="21"/>
      <c r="AV7" s="53" t="s">
        <v>359</v>
      </c>
      <c r="AW7" s="21"/>
      <c r="AX7" s="21" t="s">
        <v>362</v>
      </c>
      <c r="AY7" s="21"/>
      <c r="AZ7" s="21"/>
      <c r="BA7" s="21"/>
      <c r="BB7" s="21"/>
      <c r="BC7" s="21"/>
      <c r="BD7" s="21"/>
      <c r="BE7" s="21"/>
      <c r="BF7" s="106">
        <f t="shared" si="1"/>
        <v>45732</v>
      </c>
      <c r="BG7" s="21">
        <f t="shared" si="2"/>
        <v>3</v>
      </c>
      <c r="BH7" s="131"/>
      <c r="BI7" s="21"/>
    </row>
    <row r="8" ht="30.0" customHeight="1">
      <c r="A8" s="45">
        <v>4.20270374E8</v>
      </c>
      <c r="B8" s="94">
        <v>45482.453573391205</v>
      </c>
      <c r="C8" s="21" t="s">
        <v>256</v>
      </c>
      <c r="D8" s="21" t="s">
        <v>210</v>
      </c>
      <c r="E8" s="21" t="s">
        <v>365</v>
      </c>
      <c r="F8" s="21" t="s">
        <v>331</v>
      </c>
      <c r="G8" s="45">
        <v>123.0</v>
      </c>
      <c r="H8" s="21" t="s">
        <v>366</v>
      </c>
      <c r="I8" s="21" t="s">
        <v>215</v>
      </c>
      <c r="J8" s="21" t="s">
        <v>216</v>
      </c>
      <c r="K8" s="21" t="s">
        <v>367</v>
      </c>
      <c r="L8" s="21" t="s">
        <v>218</v>
      </c>
      <c r="M8" s="21" t="s">
        <v>368</v>
      </c>
      <c r="N8" s="95">
        <v>93.29376854599407</v>
      </c>
      <c r="O8" s="21" t="s">
        <v>221</v>
      </c>
      <c r="P8" s="29" t="s">
        <v>371</v>
      </c>
      <c r="Q8" s="97">
        <v>36346.0</v>
      </c>
      <c r="R8" s="21" t="s">
        <v>372</v>
      </c>
      <c r="S8" s="21" t="s">
        <v>221</v>
      </c>
      <c r="T8" s="99">
        <v>29.29376854599407</v>
      </c>
      <c r="U8" s="21" t="s">
        <v>374</v>
      </c>
      <c r="V8" s="21" t="s">
        <v>53</v>
      </c>
      <c r="W8" s="21" t="s">
        <v>375</v>
      </c>
      <c r="X8" s="21" t="s">
        <v>376</v>
      </c>
      <c r="Y8" s="21" t="s">
        <v>377</v>
      </c>
      <c r="Z8" s="45">
        <v>30.0</v>
      </c>
      <c r="AA8" s="21"/>
      <c r="AB8" s="21"/>
      <c r="AC8" s="21"/>
      <c r="AD8" s="21"/>
      <c r="AE8" s="21"/>
      <c r="AF8" s="21" t="s">
        <v>380</v>
      </c>
      <c r="AG8" s="21"/>
      <c r="AH8" s="53" t="s">
        <v>381</v>
      </c>
      <c r="AI8" s="102"/>
      <c r="AJ8" s="45">
        <v>34.0</v>
      </c>
      <c r="AK8" s="105" t="s">
        <v>365</v>
      </c>
      <c r="AL8" s="21"/>
      <c r="AM8" s="21"/>
      <c r="AN8" s="21"/>
      <c r="AO8" s="21"/>
      <c r="AP8" s="21"/>
      <c r="AQ8" s="21"/>
      <c r="AR8" s="21"/>
      <c r="AS8" s="119" t="s">
        <v>387</v>
      </c>
      <c r="AT8" s="21"/>
      <c r="AU8" s="21"/>
      <c r="AV8" s="21"/>
      <c r="AW8" s="21"/>
      <c r="AX8" s="21"/>
      <c r="AY8" s="53" t="s">
        <v>389</v>
      </c>
      <c r="AZ8" s="21"/>
      <c r="BA8" s="21"/>
      <c r="BB8" s="21"/>
      <c r="BC8" s="21"/>
      <c r="BD8" s="21"/>
      <c r="BE8" s="21"/>
      <c r="BF8" s="106">
        <f t="shared" si="1"/>
        <v>45482</v>
      </c>
      <c r="BG8" s="21">
        <f t="shared" si="2"/>
        <v>7</v>
      </c>
      <c r="BH8" s="109">
        <v>45482.0</v>
      </c>
      <c r="BI8" s="21"/>
    </row>
    <row r="9" ht="24.0" customHeight="1">
      <c r="A9" s="45">
        <v>4.20272465E8</v>
      </c>
      <c r="B9" s="94">
        <v>45572.397198969906</v>
      </c>
      <c r="C9" s="21" t="s">
        <v>329</v>
      </c>
      <c r="D9" s="21" t="s">
        <v>210</v>
      </c>
      <c r="E9" s="21" t="s">
        <v>393</v>
      </c>
      <c r="F9" s="21" t="s">
        <v>331</v>
      </c>
      <c r="G9" s="45">
        <v>123.0</v>
      </c>
      <c r="H9" s="21" t="s">
        <v>394</v>
      </c>
      <c r="I9" s="21" t="s">
        <v>215</v>
      </c>
      <c r="J9" s="21" t="s">
        <v>216</v>
      </c>
      <c r="K9" s="21" t="s">
        <v>395</v>
      </c>
      <c r="L9" s="21" t="s">
        <v>396</v>
      </c>
      <c r="M9" s="21" t="s">
        <v>368</v>
      </c>
      <c r="N9" s="132">
        <v>150.0</v>
      </c>
      <c r="O9" s="21" t="s">
        <v>221</v>
      </c>
      <c r="P9" s="29" t="s">
        <v>397</v>
      </c>
      <c r="Q9" s="97">
        <v>34585.0</v>
      </c>
      <c r="R9" s="21" t="s">
        <v>398</v>
      </c>
      <c r="S9" s="21" t="s">
        <v>221</v>
      </c>
      <c r="T9" s="99">
        <v>26.0</v>
      </c>
      <c r="U9" s="21" t="s">
        <v>399</v>
      </c>
      <c r="V9" s="21" t="s">
        <v>53</v>
      </c>
      <c r="W9" s="100">
        <v>45810.0</v>
      </c>
      <c r="X9" s="21" t="s">
        <v>400</v>
      </c>
      <c r="Y9" s="45">
        <v>246.0</v>
      </c>
      <c r="Z9" s="45">
        <v>30.0</v>
      </c>
      <c r="AA9" s="21"/>
      <c r="AB9" s="21"/>
      <c r="AC9" s="21"/>
      <c r="AD9" s="21"/>
      <c r="AE9" s="21"/>
      <c r="AF9" s="21" t="s">
        <v>402</v>
      </c>
      <c r="AG9" s="21"/>
      <c r="AH9" s="53" t="s">
        <v>403</v>
      </c>
      <c r="AI9" s="102"/>
      <c r="AJ9" s="45">
        <v>28.0</v>
      </c>
      <c r="AK9" s="105" t="s">
        <v>393</v>
      </c>
      <c r="AL9" s="119" t="s">
        <v>404</v>
      </c>
      <c r="AM9" s="21"/>
      <c r="AN9" s="21"/>
      <c r="AO9" s="119" t="s">
        <v>405</v>
      </c>
      <c r="AP9" s="119" t="s">
        <v>406</v>
      </c>
      <c r="AQ9" s="119" t="s">
        <v>407</v>
      </c>
      <c r="AR9" s="21"/>
      <c r="AS9" s="119" t="s">
        <v>408</v>
      </c>
      <c r="AT9" s="21"/>
      <c r="AU9" s="21"/>
      <c r="AV9" s="53" t="s">
        <v>409</v>
      </c>
      <c r="AW9" s="53" t="s">
        <v>410</v>
      </c>
      <c r="AX9" s="53" t="s">
        <v>411</v>
      </c>
      <c r="AY9" s="53" t="s">
        <v>412</v>
      </c>
      <c r="AZ9" s="53" t="s">
        <v>413</v>
      </c>
      <c r="BA9" s="53" t="s">
        <v>414</v>
      </c>
      <c r="BB9" s="20" t="s">
        <v>415</v>
      </c>
      <c r="BC9" s="139" t="s">
        <v>416</v>
      </c>
      <c r="BD9" s="21"/>
      <c r="BE9" s="21"/>
      <c r="BF9" s="106">
        <f t="shared" si="1"/>
        <v>45572</v>
      </c>
      <c r="BG9" s="21">
        <f t="shared" si="2"/>
        <v>10</v>
      </c>
      <c r="BH9" s="109">
        <v>45572.0</v>
      </c>
      <c r="BI9" s="21"/>
    </row>
    <row r="10" ht="24.0" customHeight="1">
      <c r="A10" s="45">
        <v>4.20273234E8</v>
      </c>
      <c r="B10" s="94">
        <v>45607.421173159724</v>
      </c>
      <c r="C10" s="21" t="s">
        <v>256</v>
      </c>
      <c r="D10" s="21" t="s">
        <v>210</v>
      </c>
      <c r="E10" s="21" t="s">
        <v>417</v>
      </c>
      <c r="F10" s="21" t="s">
        <v>212</v>
      </c>
      <c r="G10" s="45">
        <v>8.06845693E9</v>
      </c>
      <c r="H10" s="21" t="s">
        <v>418</v>
      </c>
      <c r="I10" s="21" t="s">
        <v>215</v>
      </c>
      <c r="J10" s="21" t="s">
        <v>216</v>
      </c>
      <c r="K10" s="21" t="s">
        <v>419</v>
      </c>
      <c r="L10" s="21" t="s">
        <v>396</v>
      </c>
      <c r="M10" s="21" t="s">
        <v>420</v>
      </c>
      <c r="N10" s="95">
        <v>30.0</v>
      </c>
      <c r="O10" s="21" t="s">
        <v>221</v>
      </c>
      <c r="P10" s="29" t="s">
        <v>421</v>
      </c>
      <c r="Q10" s="97">
        <v>35445.0</v>
      </c>
      <c r="R10" s="21" t="s">
        <v>422</v>
      </c>
      <c r="S10" s="21" t="s">
        <v>221</v>
      </c>
      <c r="T10" s="99">
        <v>18.0</v>
      </c>
      <c r="U10" s="100">
        <v>45619.0</v>
      </c>
      <c r="V10" s="21" t="s">
        <v>53</v>
      </c>
      <c r="W10" s="100">
        <v>45986.0</v>
      </c>
      <c r="X10" s="21" t="s">
        <v>423</v>
      </c>
      <c r="Y10" s="21" t="s">
        <v>424</v>
      </c>
      <c r="Z10" s="45">
        <v>30.0</v>
      </c>
      <c r="AA10" s="21"/>
      <c r="AB10" s="21"/>
      <c r="AC10" s="21"/>
      <c r="AD10" s="21"/>
      <c r="AE10" s="21"/>
      <c r="AF10" s="21" t="s">
        <v>402</v>
      </c>
      <c r="AG10" s="21"/>
      <c r="AH10" s="53" t="s">
        <v>425</v>
      </c>
      <c r="AI10" s="102"/>
      <c r="AJ10" s="45">
        <v>6.0</v>
      </c>
      <c r="AK10" s="105" t="s">
        <v>417</v>
      </c>
      <c r="AL10" s="119" t="s">
        <v>426</v>
      </c>
      <c r="AM10" s="21"/>
      <c r="AN10" s="21"/>
      <c r="AO10" s="119" t="s">
        <v>427</v>
      </c>
      <c r="AP10" s="21"/>
      <c r="AQ10" s="53" t="s">
        <v>428</v>
      </c>
      <c r="AR10" s="21"/>
      <c r="AS10" s="21"/>
      <c r="AT10" s="21"/>
      <c r="AU10" s="21"/>
      <c r="AV10" s="21"/>
      <c r="AW10" s="21"/>
      <c r="AX10" s="21"/>
      <c r="AY10" s="21"/>
      <c r="AZ10" s="21"/>
      <c r="BA10" s="21"/>
      <c r="BB10" s="21"/>
      <c r="BC10" s="21"/>
      <c r="BD10" s="21"/>
      <c r="BE10" s="21"/>
      <c r="BF10" s="106">
        <f t="shared" si="1"/>
        <v>45607</v>
      </c>
      <c r="BG10" s="21">
        <f t="shared" si="2"/>
        <v>11</v>
      </c>
      <c r="BH10" s="109">
        <v>45599.0</v>
      </c>
      <c r="BI10" s="21"/>
    </row>
    <row r="11" ht="24.0" customHeight="1">
      <c r="A11" s="45">
        <v>4.20276012E8</v>
      </c>
      <c r="B11" s="94">
        <v>45700.369314270836</v>
      </c>
      <c r="C11" s="21" t="s">
        <v>209</v>
      </c>
      <c r="D11" s="21" t="s">
        <v>210</v>
      </c>
      <c r="E11" s="21" t="s">
        <v>429</v>
      </c>
      <c r="F11" s="21" t="s">
        <v>212</v>
      </c>
      <c r="G11" s="45">
        <v>123.0</v>
      </c>
      <c r="H11" s="21" t="s">
        <v>430</v>
      </c>
      <c r="I11" s="21" t="s">
        <v>215</v>
      </c>
      <c r="J11" s="21" t="s">
        <v>216</v>
      </c>
      <c r="K11" s="21" t="s">
        <v>333</v>
      </c>
      <c r="L11" s="21" t="s">
        <v>218</v>
      </c>
      <c r="M11" s="21" t="s">
        <v>219</v>
      </c>
      <c r="N11" s="95">
        <v>60.0096</v>
      </c>
      <c r="O11" s="21" t="s">
        <v>221</v>
      </c>
      <c r="P11" s="29" t="s">
        <v>431</v>
      </c>
      <c r="Q11" s="97">
        <v>33922.0</v>
      </c>
      <c r="R11" s="21" t="s">
        <v>432</v>
      </c>
      <c r="S11" s="21" t="s">
        <v>221</v>
      </c>
      <c r="T11" s="99">
        <v>43.0096</v>
      </c>
      <c r="U11" s="21" t="s">
        <v>433</v>
      </c>
      <c r="V11" s="21" t="s">
        <v>53</v>
      </c>
      <c r="W11" s="21" t="s">
        <v>434</v>
      </c>
      <c r="X11" s="21" t="s">
        <v>435</v>
      </c>
      <c r="Y11" s="45">
        <v>57.0</v>
      </c>
      <c r="Z11" s="45">
        <v>30.0</v>
      </c>
      <c r="AA11" s="21"/>
      <c r="AB11" s="21"/>
      <c r="AC11" s="21"/>
      <c r="AD11" s="21"/>
      <c r="AE11" s="21"/>
      <c r="AF11" s="21" t="s">
        <v>436</v>
      </c>
      <c r="AG11" s="21"/>
      <c r="AH11" s="53" t="s">
        <v>437</v>
      </c>
      <c r="AI11" s="102"/>
      <c r="AJ11" s="21"/>
      <c r="AK11" s="105" t="s">
        <v>429</v>
      </c>
      <c r="AL11" s="21"/>
      <c r="AM11" s="21"/>
      <c r="AN11" s="21"/>
      <c r="AO11" s="53" t="s">
        <v>438</v>
      </c>
      <c r="AP11" s="53" t="s">
        <v>439</v>
      </c>
      <c r="AQ11" s="21"/>
      <c r="AR11" s="21"/>
      <c r="AS11" s="21"/>
      <c r="AT11" s="21"/>
      <c r="AU11" s="21"/>
      <c r="AV11" s="21"/>
      <c r="AW11" s="21"/>
      <c r="AX11" s="21"/>
      <c r="AY11" s="21"/>
      <c r="AZ11" s="21"/>
      <c r="BA11" s="21"/>
      <c r="BB11" s="21"/>
      <c r="BC11" s="21"/>
      <c r="BD11" s="21"/>
      <c r="BE11" s="21"/>
      <c r="BF11" s="106">
        <f t="shared" si="1"/>
        <v>45700</v>
      </c>
      <c r="BG11" s="21">
        <f t="shared" si="2"/>
        <v>2</v>
      </c>
      <c r="BH11" s="109">
        <v>45699.0</v>
      </c>
      <c r="BI11" s="21"/>
    </row>
    <row r="12" ht="23.25" customHeight="1">
      <c r="A12" s="45">
        <v>4.20276401E8</v>
      </c>
      <c r="B12" s="94">
        <v>45710.37053111111</v>
      </c>
      <c r="C12" s="21" t="s">
        <v>329</v>
      </c>
      <c r="D12" s="21" t="s">
        <v>210</v>
      </c>
      <c r="E12" s="21" t="s">
        <v>440</v>
      </c>
      <c r="F12" s="21" t="s">
        <v>212</v>
      </c>
      <c r="G12" s="45">
        <v>8.095570808E9</v>
      </c>
      <c r="H12" s="21" t="s">
        <v>441</v>
      </c>
      <c r="I12" s="21" t="s">
        <v>215</v>
      </c>
      <c r="J12" s="21" t="s">
        <v>216</v>
      </c>
      <c r="K12" s="21" t="s">
        <v>442</v>
      </c>
      <c r="L12" s="21" t="s">
        <v>396</v>
      </c>
      <c r="M12" s="21" t="s">
        <v>443</v>
      </c>
      <c r="N12" s="95">
        <v>120.0</v>
      </c>
      <c r="O12" s="21" t="s">
        <v>221</v>
      </c>
      <c r="P12" s="29" t="s">
        <v>444</v>
      </c>
      <c r="Q12" s="97">
        <v>31100.0</v>
      </c>
      <c r="R12" s="21" t="s">
        <v>445</v>
      </c>
      <c r="S12" s="21" t="s">
        <v>221</v>
      </c>
      <c r="T12" s="99">
        <v>107.0</v>
      </c>
      <c r="U12" s="100">
        <v>45784.0</v>
      </c>
      <c r="V12" s="21" t="s">
        <v>53</v>
      </c>
      <c r="W12" s="100">
        <v>45931.0</v>
      </c>
      <c r="X12" s="21" t="s">
        <v>446</v>
      </c>
      <c r="Y12" s="45">
        <v>245.0</v>
      </c>
      <c r="Z12" s="45">
        <v>30.0</v>
      </c>
      <c r="AA12" s="21"/>
      <c r="AB12" s="21"/>
      <c r="AC12" s="21"/>
      <c r="AD12" s="21"/>
      <c r="AE12" s="21"/>
      <c r="AF12" s="21" t="s">
        <v>447</v>
      </c>
      <c r="AG12" s="21"/>
      <c r="AH12" s="53" t="s">
        <v>448</v>
      </c>
      <c r="AI12" s="102"/>
      <c r="AJ12" s="21"/>
      <c r="AK12" s="105" t="s">
        <v>440</v>
      </c>
      <c r="AL12" s="53" t="s">
        <v>318</v>
      </c>
      <c r="AM12" s="21"/>
      <c r="AN12" s="21"/>
      <c r="AO12" s="21" t="s">
        <v>449</v>
      </c>
      <c r="AP12" s="21" t="s">
        <v>450</v>
      </c>
      <c r="AQ12" s="21"/>
      <c r="AR12" s="21"/>
      <c r="AS12" s="21"/>
      <c r="AT12" s="21"/>
      <c r="AU12" s="21"/>
      <c r="AV12" s="21"/>
      <c r="AW12" s="21"/>
      <c r="AX12" s="21"/>
      <c r="AY12" s="21"/>
      <c r="AZ12" s="21"/>
      <c r="BA12" s="21"/>
      <c r="BB12" s="21"/>
      <c r="BC12" s="21"/>
      <c r="BD12" s="21"/>
      <c r="BE12" s="21"/>
      <c r="BF12" s="106">
        <f t="shared" si="1"/>
        <v>45710</v>
      </c>
      <c r="BG12" s="21">
        <f t="shared" si="2"/>
        <v>2</v>
      </c>
      <c r="BH12" s="109">
        <v>45711.0</v>
      </c>
      <c r="BI12" s="21"/>
    </row>
    <row r="13">
      <c r="A13" s="45">
        <v>4.20277322E8</v>
      </c>
      <c r="B13" s="94">
        <v>45740.46210027778</v>
      </c>
      <c r="C13" s="21" t="s">
        <v>451</v>
      </c>
      <c r="D13" s="21" t="s">
        <v>210</v>
      </c>
      <c r="E13" s="21" t="s">
        <v>452</v>
      </c>
      <c r="F13" s="21" t="s">
        <v>331</v>
      </c>
      <c r="G13" s="45">
        <v>1.0</v>
      </c>
      <c r="H13" s="21" t="s">
        <v>453</v>
      </c>
      <c r="I13" s="21" t="s">
        <v>215</v>
      </c>
      <c r="J13" s="21" t="s">
        <v>216</v>
      </c>
      <c r="K13" s="21" t="s">
        <v>454</v>
      </c>
      <c r="L13" s="21" t="s">
        <v>396</v>
      </c>
      <c r="M13" s="21" t="s">
        <v>455</v>
      </c>
      <c r="N13" s="95">
        <v>30.0</v>
      </c>
      <c r="O13" s="21" t="s">
        <v>221</v>
      </c>
      <c r="P13" s="29" t="s">
        <v>456</v>
      </c>
      <c r="Q13" s="97">
        <v>35051.0</v>
      </c>
      <c r="R13" s="21" t="s">
        <v>457</v>
      </c>
      <c r="S13" s="21" t="s">
        <v>221</v>
      </c>
      <c r="T13" s="99">
        <v>12.0</v>
      </c>
      <c r="U13" s="100">
        <v>45747.0</v>
      </c>
      <c r="V13" s="21" t="s">
        <v>53</v>
      </c>
      <c r="W13" s="100">
        <v>45847.0</v>
      </c>
      <c r="X13" s="21" t="s">
        <v>400</v>
      </c>
      <c r="Y13" s="45">
        <v>246.0</v>
      </c>
      <c r="Z13" s="45">
        <v>30.0</v>
      </c>
      <c r="AA13" s="21"/>
      <c r="AB13" s="21"/>
      <c r="AC13" s="21"/>
      <c r="AD13" s="21"/>
      <c r="AE13" s="21"/>
      <c r="AF13" s="21" t="s">
        <v>458</v>
      </c>
      <c r="AG13" s="21"/>
      <c r="AH13" s="53" t="s">
        <v>459</v>
      </c>
      <c r="AI13" s="102"/>
      <c r="AJ13" s="21"/>
      <c r="AK13" s="105" t="s">
        <v>452</v>
      </c>
      <c r="AL13" s="53" t="s">
        <v>460</v>
      </c>
      <c r="AM13" s="21"/>
      <c r="AN13" s="21"/>
      <c r="AO13" s="53" t="s">
        <v>461</v>
      </c>
      <c r="AP13" s="21"/>
      <c r="AQ13" s="21" t="s">
        <v>462</v>
      </c>
      <c r="AR13" s="21"/>
      <c r="AS13" s="21"/>
      <c r="AT13" s="21"/>
      <c r="AU13" s="21"/>
      <c r="AV13" s="21"/>
      <c r="AW13" s="21"/>
      <c r="AX13" s="21"/>
      <c r="AY13" s="21"/>
      <c r="AZ13" s="21"/>
      <c r="BA13" s="21"/>
      <c r="BB13" s="21"/>
      <c r="BC13" s="21"/>
      <c r="BD13" s="21"/>
      <c r="BE13" s="21"/>
      <c r="BF13" s="106">
        <f t="shared" si="1"/>
        <v>45740</v>
      </c>
      <c r="BG13" s="21">
        <f t="shared" si="2"/>
        <v>3</v>
      </c>
      <c r="BH13" s="21"/>
      <c r="BI13" s="21"/>
    </row>
    <row r="14">
      <c r="A14" s="45">
        <v>4.20276218E8</v>
      </c>
      <c r="B14" s="94">
        <v>45729.750696828705</v>
      </c>
      <c r="C14" s="21" t="s">
        <v>209</v>
      </c>
      <c r="D14" s="21" t="s">
        <v>210</v>
      </c>
      <c r="E14" s="21" t="s">
        <v>49</v>
      </c>
      <c r="F14" s="21" t="s">
        <v>212</v>
      </c>
      <c r="G14" s="21"/>
      <c r="H14" s="21" t="s">
        <v>463</v>
      </c>
      <c r="I14" s="21" t="s">
        <v>215</v>
      </c>
      <c r="J14" s="21" t="s">
        <v>216</v>
      </c>
      <c r="K14" s="21" t="s">
        <v>464</v>
      </c>
      <c r="L14" s="21" t="s">
        <v>218</v>
      </c>
      <c r="M14" s="21" t="s">
        <v>219</v>
      </c>
      <c r="N14" s="132">
        <v>60.0</v>
      </c>
      <c r="O14" s="21" t="s">
        <v>221</v>
      </c>
      <c r="P14" s="21" t="s">
        <v>465</v>
      </c>
      <c r="Q14" s="97">
        <v>38766.0</v>
      </c>
      <c r="R14" s="21" t="s">
        <v>466</v>
      </c>
      <c r="S14" s="21" t="s">
        <v>221</v>
      </c>
      <c r="T14" s="99">
        <v>0.0</v>
      </c>
      <c r="U14" s="100">
        <v>45735.0</v>
      </c>
      <c r="V14" s="21" t="s">
        <v>61</v>
      </c>
      <c r="W14" s="101">
        <v>45978.0</v>
      </c>
      <c r="X14" s="21" t="s">
        <v>228</v>
      </c>
      <c r="Y14" s="21" t="s">
        <v>467</v>
      </c>
      <c r="Z14" s="45">
        <v>30.0</v>
      </c>
      <c r="AA14" s="21"/>
      <c r="AB14" s="21"/>
      <c r="AC14" s="21"/>
      <c r="AD14" s="21"/>
      <c r="AE14" s="21"/>
      <c r="AF14" s="21" t="s">
        <v>468</v>
      </c>
      <c r="AG14" s="21" t="s">
        <v>469</v>
      </c>
      <c r="AH14" s="21"/>
      <c r="AI14" s="53" t="s">
        <v>470</v>
      </c>
      <c r="AJ14" s="21"/>
      <c r="AK14" s="105" t="s">
        <v>49</v>
      </c>
      <c r="AL14" s="139" t="s">
        <v>471</v>
      </c>
      <c r="AM14" s="21"/>
      <c r="AN14" s="21"/>
      <c r="AO14" s="53" t="s">
        <v>472</v>
      </c>
      <c r="AP14" s="53" t="s">
        <v>473</v>
      </c>
      <c r="AQ14" s="53" t="s">
        <v>474</v>
      </c>
      <c r="AR14" s="53" t="s">
        <v>475</v>
      </c>
      <c r="AS14" s="53" t="s">
        <v>476</v>
      </c>
      <c r="AT14" s="21" t="s">
        <v>477</v>
      </c>
      <c r="AU14" s="21"/>
      <c r="AV14" s="139" t="s">
        <v>478</v>
      </c>
      <c r="AW14" s="21"/>
      <c r="AX14" s="21"/>
      <c r="AY14" s="21"/>
      <c r="AZ14" s="21"/>
      <c r="BA14" s="21"/>
      <c r="BB14" s="21"/>
      <c r="BC14" s="21"/>
      <c r="BD14" s="21"/>
      <c r="BE14" s="21"/>
      <c r="BF14" s="106">
        <f t="shared" si="1"/>
        <v>45729</v>
      </c>
      <c r="BG14" s="21">
        <f t="shared" si="2"/>
        <v>3</v>
      </c>
      <c r="BH14" s="131"/>
      <c r="BI14" s="21"/>
    </row>
    <row r="15">
      <c r="A15" s="153" t="str">
        <f>IFERROR(__xludf.DUMMYFUNCTION("Query(IMPORTRANGE(""https://docs.google.com/spreadsheets/d/1ICLXVn2a8EFOzyqDCHT97ZW5nSwRxTik3n5ruRV5Rg4/edit#gid=0"",""Tổng!A4502:Z10000""),""Select Col1,Col2,Col3,Col4,Col5,Col6,Col7,Col8,Col9,Col10,Col11,Col12,Col13,Col14,Col15,Col16,Col17,Col18 where C"&amp;"ol19 = 'CVHT01'"")"),"#REF!")</f>
        <v>#REF!</v>
      </c>
      <c r="B15" s="94"/>
      <c r="C15" s="21"/>
      <c r="D15" s="21"/>
      <c r="E15" s="21"/>
      <c r="F15" s="21"/>
      <c r="G15" s="45"/>
      <c r="H15" s="21"/>
      <c r="I15" s="21"/>
      <c r="J15" s="21"/>
      <c r="K15" s="21"/>
      <c r="L15" s="21"/>
      <c r="M15" s="21"/>
      <c r="N15" s="95"/>
      <c r="O15" s="21"/>
      <c r="P15" s="29"/>
      <c r="Q15" s="97"/>
      <c r="R15" s="21"/>
      <c r="S15" s="154" t="str">
        <f>IFERROR(__xludf.DUMMYFUNCTION("IMPORTRANGE(""https://docs.google.com/spreadsheets/d/1Yw0RASmlJCsUM9ySWss8BpZKd1mhFu3_lmRbXRXuJis/edit?gid=0#gid=0"",""3.Chấm buổi!H14:Y"")"),"#REF!")</f>
        <v>#REF!</v>
      </c>
      <c r="T15" s="99"/>
      <c r="U15" s="21"/>
      <c r="V15" s="21"/>
      <c r="W15" s="21"/>
      <c r="X15" s="21"/>
      <c r="Y15" s="21"/>
      <c r="Z15" s="45"/>
      <c r="AA15" s="21"/>
      <c r="AB15" s="21"/>
      <c r="AC15" s="21"/>
      <c r="AD15" s="21"/>
      <c r="AE15" s="21"/>
      <c r="AF15" s="21"/>
      <c r="AG15" s="21"/>
      <c r="AI15" s="102"/>
      <c r="AJ15" s="45"/>
      <c r="AK15" s="105" t="s">
        <v>479</v>
      </c>
      <c r="AL15" s="139" t="s">
        <v>480</v>
      </c>
      <c r="AM15" s="21"/>
      <c r="AN15" s="21"/>
      <c r="AO15" s="53" t="s">
        <v>481</v>
      </c>
      <c r="AP15" s="21" t="s">
        <v>482</v>
      </c>
      <c r="AQ15" s="53" t="s">
        <v>483</v>
      </c>
      <c r="AR15" s="21"/>
      <c r="AS15" s="53" t="s">
        <v>484</v>
      </c>
      <c r="AT15" s="21"/>
      <c r="AU15" s="21"/>
      <c r="AV15" s="21" t="s">
        <v>485</v>
      </c>
      <c r="AW15" s="21" t="s">
        <v>486</v>
      </c>
      <c r="AX15" s="21"/>
      <c r="AY15" s="21" t="s">
        <v>487</v>
      </c>
      <c r="AZ15" s="21"/>
      <c r="BA15" s="21"/>
      <c r="BB15" s="21"/>
      <c r="BC15" s="21"/>
      <c r="BD15" s="21"/>
      <c r="BE15" s="21"/>
      <c r="BF15" s="106" t="str">
        <f t="shared" si="1"/>
        <v>#VALUE!</v>
      </c>
      <c r="BG15" s="21">
        <f t="shared" si="2"/>
        <v>12</v>
      </c>
      <c r="BH15" s="21"/>
      <c r="BI15" s="21"/>
    </row>
    <row r="16">
      <c r="P16" s="161"/>
      <c r="AI16" s="102"/>
      <c r="AK16" s="105" t="s">
        <v>488</v>
      </c>
      <c r="AL16" s="162" t="s">
        <v>489</v>
      </c>
      <c r="AO16" s="53" t="s">
        <v>490</v>
      </c>
      <c r="AP16" s="21" t="s">
        <v>491</v>
      </c>
      <c r="AQ16" s="53" t="s">
        <v>492</v>
      </c>
      <c r="AR16" s="21"/>
      <c r="AS16" s="53" t="s">
        <v>493</v>
      </c>
      <c r="AT16" s="21"/>
      <c r="AU16" s="21" t="s">
        <v>494</v>
      </c>
      <c r="AV16" s="21"/>
      <c r="AW16" s="21"/>
      <c r="AX16" s="21"/>
      <c r="AY16" s="21"/>
      <c r="AZ16" s="21"/>
      <c r="BA16" s="21"/>
      <c r="BB16" s="21"/>
      <c r="BF16" s="106" t="str">
        <f t="shared" si="1"/>
        <v>#VALUE!</v>
      </c>
      <c r="BG16" s="21">
        <f t="shared" si="2"/>
        <v>12</v>
      </c>
    </row>
    <row r="17">
      <c r="P17" s="161"/>
      <c r="AI17" s="102"/>
      <c r="AK17" s="105" t="s">
        <v>495</v>
      </c>
      <c r="AL17" s="86" t="s">
        <v>496</v>
      </c>
      <c r="AO17" s="53" t="s">
        <v>497</v>
      </c>
      <c r="AP17" s="53" t="s">
        <v>498</v>
      </c>
      <c r="AQ17" s="53" t="s">
        <v>499</v>
      </c>
      <c r="AR17" s="21"/>
      <c r="AS17" s="21"/>
      <c r="AT17" s="21"/>
      <c r="AU17" s="21"/>
      <c r="AV17" s="21"/>
      <c r="AW17" s="21"/>
      <c r="AX17" s="21"/>
      <c r="AY17" s="21"/>
      <c r="AZ17" s="21"/>
      <c r="BA17" s="21"/>
      <c r="BB17" s="21"/>
      <c r="BF17" s="106" t="str">
        <f t="shared" si="1"/>
        <v>#VALUE!</v>
      </c>
      <c r="BG17" s="21">
        <f t="shared" si="2"/>
        <v>12</v>
      </c>
    </row>
    <row r="18">
      <c r="P18" s="161"/>
      <c r="AI18" s="102"/>
      <c r="AK18" s="105" t="s">
        <v>501</v>
      </c>
      <c r="AL18" s="169" t="s">
        <v>502</v>
      </c>
      <c r="AO18" s="53" t="s">
        <v>503</v>
      </c>
      <c r="AP18" s="53" t="s">
        <v>504</v>
      </c>
      <c r="AQ18" s="53" t="s">
        <v>505</v>
      </c>
      <c r="AR18" s="21" t="s">
        <v>506</v>
      </c>
      <c r="AS18" s="21"/>
      <c r="AT18" s="21" t="s">
        <v>507</v>
      </c>
      <c r="AU18" s="21"/>
      <c r="AV18" s="21" t="s">
        <v>508</v>
      </c>
      <c r="AW18" s="21"/>
      <c r="AX18" s="21"/>
      <c r="AY18" s="21"/>
      <c r="AZ18" s="21"/>
      <c r="BA18" s="21"/>
      <c r="BB18" s="21"/>
      <c r="BF18" s="106" t="str">
        <f t="shared" si="1"/>
        <v>#VALUE!</v>
      </c>
      <c r="BG18" s="21">
        <f t="shared" si="2"/>
        <v>12</v>
      </c>
    </row>
    <row r="19">
      <c r="P19" s="161"/>
      <c r="AI19" s="102"/>
      <c r="AK19" s="105" t="s">
        <v>509</v>
      </c>
      <c r="AO19" s="53" t="s">
        <v>510</v>
      </c>
      <c r="AP19" s="53" t="s">
        <v>511</v>
      </c>
      <c r="AQ19" s="21"/>
      <c r="AR19" s="21"/>
      <c r="AS19" s="21"/>
      <c r="AT19" s="21"/>
      <c r="AU19" s="21"/>
      <c r="AV19" s="21"/>
      <c r="AW19" s="21"/>
      <c r="AX19" s="21"/>
      <c r="AY19" s="21"/>
      <c r="AZ19" s="21"/>
      <c r="BA19" s="21"/>
      <c r="BB19" s="21"/>
      <c r="BF19" s="106" t="str">
        <f t="shared" si="1"/>
        <v>#VALUE!</v>
      </c>
      <c r="BG19" s="21">
        <f t="shared" si="2"/>
        <v>12</v>
      </c>
    </row>
    <row r="20">
      <c r="P20" s="161"/>
      <c r="AI20" s="102"/>
      <c r="AK20" s="105" t="s">
        <v>512</v>
      </c>
      <c r="AL20" s="86" t="s">
        <v>513</v>
      </c>
      <c r="AO20" s="53" t="s">
        <v>515</v>
      </c>
      <c r="AP20" s="21" t="s">
        <v>516</v>
      </c>
      <c r="AQ20" s="53" t="s">
        <v>517</v>
      </c>
      <c r="AR20" s="53" t="s">
        <v>518</v>
      </c>
      <c r="AS20" s="53" t="s">
        <v>519</v>
      </c>
      <c r="AT20" s="21"/>
      <c r="AU20" s="21"/>
      <c r="AV20" s="53" t="s">
        <v>520</v>
      </c>
      <c r="AW20" s="21"/>
      <c r="AX20" s="21"/>
      <c r="AY20" s="21"/>
      <c r="AZ20" s="21"/>
      <c r="BA20" s="21"/>
      <c r="BB20" s="21"/>
      <c r="BF20" s="106" t="str">
        <f t="shared" si="1"/>
        <v>#VALUE!</v>
      </c>
      <c r="BG20" s="21">
        <f t="shared" si="2"/>
        <v>12</v>
      </c>
    </row>
    <row r="21">
      <c r="P21" s="161"/>
      <c r="AI21" s="102"/>
      <c r="AK21" s="105" t="s">
        <v>522</v>
      </c>
      <c r="AL21" s="86" t="s">
        <v>523</v>
      </c>
      <c r="AO21" s="53" t="s">
        <v>524</v>
      </c>
      <c r="AP21" s="53" t="s">
        <v>525</v>
      </c>
      <c r="AQ21" s="21"/>
      <c r="AR21" s="21"/>
      <c r="AS21" s="21"/>
      <c r="AT21" s="21"/>
      <c r="AU21" s="21"/>
      <c r="AV21" s="21"/>
      <c r="AW21" s="21"/>
      <c r="AX21" s="21"/>
      <c r="AY21" s="21"/>
      <c r="AZ21" s="21"/>
      <c r="BA21" s="21"/>
      <c r="BB21" s="21"/>
      <c r="BF21" s="106" t="str">
        <f t="shared" si="1"/>
        <v>#VALUE!</v>
      </c>
      <c r="BG21" s="21">
        <f t="shared" si="2"/>
        <v>12</v>
      </c>
    </row>
    <row r="22">
      <c r="P22" s="161"/>
      <c r="AI22" s="102"/>
      <c r="AK22" s="105" t="s">
        <v>526</v>
      </c>
      <c r="AL22" s="86" t="s">
        <v>513</v>
      </c>
      <c r="AO22" s="53" t="s">
        <v>527</v>
      </c>
      <c r="AP22" s="53" t="s">
        <v>528</v>
      </c>
      <c r="AQ22" s="53" t="s">
        <v>529</v>
      </c>
      <c r="AR22" s="53" t="s">
        <v>530</v>
      </c>
      <c r="AS22" s="53" t="s">
        <v>531</v>
      </c>
      <c r="AT22" s="53" t="s">
        <v>532</v>
      </c>
      <c r="AU22" s="21" t="s">
        <v>533</v>
      </c>
      <c r="AV22" s="21"/>
      <c r="AW22" s="53" t="s">
        <v>534</v>
      </c>
      <c r="AX22" s="21"/>
      <c r="AY22" s="21"/>
      <c r="AZ22" s="21"/>
      <c r="BA22" s="21"/>
      <c r="BB22" s="21"/>
      <c r="BF22" s="106" t="str">
        <f t="shared" si="1"/>
        <v>#VALUE!</v>
      </c>
      <c r="BG22" s="21">
        <f t="shared" si="2"/>
        <v>12</v>
      </c>
    </row>
    <row r="23">
      <c r="P23" s="161"/>
      <c r="AI23" s="102"/>
      <c r="AK23" s="105" t="s">
        <v>535</v>
      </c>
      <c r="AO23" s="21" t="s">
        <v>536</v>
      </c>
      <c r="AP23" s="21"/>
      <c r="AQ23" s="21"/>
      <c r="AR23" s="21"/>
      <c r="AS23" s="21"/>
      <c r="AT23" s="21"/>
      <c r="AU23" s="21"/>
      <c r="AV23" s="21"/>
      <c r="AW23" s="21"/>
      <c r="AX23" s="21"/>
      <c r="AY23" s="21"/>
      <c r="AZ23" s="21"/>
      <c r="BA23" s="21"/>
      <c r="BB23" s="21"/>
      <c r="BF23" s="106" t="str">
        <f t="shared" si="1"/>
        <v>#VALUE!</v>
      </c>
      <c r="BG23" s="21">
        <f t="shared" si="2"/>
        <v>12</v>
      </c>
    </row>
    <row r="24">
      <c r="P24" s="161"/>
      <c r="AI24" s="102"/>
      <c r="AK24" s="105" t="s">
        <v>537</v>
      </c>
      <c r="AL24" s="169" t="s">
        <v>538</v>
      </c>
      <c r="AO24" s="21" t="s">
        <v>539</v>
      </c>
      <c r="AP24" s="53" t="s">
        <v>540</v>
      </c>
      <c r="AQ24" s="21" t="s">
        <v>541</v>
      </c>
      <c r="AR24" s="21"/>
      <c r="AS24" s="21" t="s">
        <v>542</v>
      </c>
      <c r="AT24" s="21"/>
      <c r="AU24" s="21"/>
      <c r="AV24" s="21"/>
      <c r="AW24" s="21"/>
      <c r="AX24" s="21"/>
      <c r="AY24" s="21"/>
      <c r="AZ24" s="21"/>
      <c r="BA24" s="21"/>
      <c r="BB24" s="21"/>
      <c r="BF24" s="106" t="str">
        <f t="shared" si="1"/>
        <v>#VALUE!</v>
      </c>
      <c r="BG24" s="21">
        <f t="shared" si="2"/>
        <v>12</v>
      </c>
    </row>
    <row r="25">
      <c r="P25" s="161"/>
      <c r="AI25" s="102"/>
      <c r="AK25" s="105" t="s">
        <v>543</v>
      </c>
      <c r="AL25" s="169" t="s">
        <v>544</v>
      </c>
      <c r="AO25" s="53" t="s">
        <v>545</v>
      </c>
      <c r="AP25" s="53" t="s">
        <v>546</v>
      </c>
      <c r="AQ25" s="53" t="s">
        <v>547</v>
      </c>
      <c r="AR25" s="21"/>
      <c r="AS25" s="53" t="s">
        <v>548</v>
      </c>
      <c r="AT25" s="21"/>
      <c r="AU25" s="21"/>
      <c r="AV25" s="21"/>
      <c r="AW25" s="21"/>
      <c r="AX25" s="21"/>
      <c r="AY25" s="21"/>
      <c r="AZ25" s="21"/>
      <c r="BA25" s="21"/>
      <c r="BB25" s="21"/>
      <c r="BF25" s="106" t="str">
        <f t="shared" si="1"/>
        <v>#VALUE!</v>
      </c>
      <c r="BG25" s="21">
        <f t="shared" si="2"/>
        <v>12</v>
      </c>
    </row>
    <row r="26">
      <c r="P26" s="161"/>
      <c r="AI26" s="102"/>
      <c r="AK26" s="105" t="s">
        <v>549</v>
      </c>
      <c r="AL26" s="58"/>
      <c r="AO26" s="21" t="s">
        <v>550</v>
      </c>
      <c r="AP26" s="21" t="s">
        <v>551</v>
      </c>
      <c r="AQ26" s="21" t="s">
        <v>552</v>
      </c>
      <c r="AR26" s="21"/>
      <c r="AS26" s="21"/>
      <c r="AT26" s="21"/>
      <c r="AU26" s="21"/>
      <c r="AV26" s="21"/>
      <c r="AW26" s="21"/>
      <c r="AX26" s="21"/>
      <c r="AY26" s="21"/>
      <c r="AZ26" s="21"/>
      <c r="BA26" s="21"/>
      <c r="BB26" s="21"/>
      <c r="BF26" s="106" t="str">
        <f t="shared" si="1"/>
        <v>#VALUE!</v>
      </c>
      <c r="BG26" s="21">
        <f t="shared" si="2"/>
        <v>12</v>
      </c>
    </row>
    <row r="27">
      <c r="P27" s="161"/>
      <c r="AI27" s="102"/>
      <c r="AK27" s="105" t="s">
        <v>553</v>
      </c>
      <c r="AL27" s="58"/>
      <c r="AO27" s="21" t="s">
        <v>554</v>
      </c>
      <c r="AP27" s="21" t="s">
        <v>555</v>
      </c>
      <c r="AQ27" s="21"/>
      <c r="AR27" s="21"/>
      <c r="AS27" s="21"/>
      <c r="AT27" s="21"/>
      <c r="AU27" s="21"/>
      <c r="AV27" s="21"/>
      <c r="AW27" s="21"/>
      <c r="AX27" s="21"/>
      <c r="AY27" s="139" t="s">
        <v>556</v>
      </c>
      <c r="AZ27" s="21"/>
      <c r="BA27" s="21"/>
      <c r="BB27" s="21"/>
      <c r="BF27" s="106" t="str">
        <f t="shared" si="1"/>
        <v>#VALUE!</v>
      </c>
      <c r="BG27" s="21">
        <f t="shared" si="2"/>
        <v>12</v>
      </c>
    </row>
    <row r="28">
      <c r="P28" s="161"/>
      <c r="AI28" s="102"/>
      <c r="AK28" s="105" t="s">
        <v>557</v>
      </c>
      <c r="AO28" s="21" t="s">
        <v>558</v>
      </c>
      <c r="AP28" s="53" t="s">
        <v>559</v>
      </c>
      <c r="AQ28" s="21"/>
      <c r="AR28" s="21"/>
      <c r="AS28" s="21"/>
      <c r="AT28" s="21"/>
      <c r="AU28" s="21"/>
      <c r="AV28" s="21"/>
      <c r="AW28" s="21"/>
      <c r="AX28" s="21"/>
      <c r="AY28" s="21"/>
      <c r="AZ28" s="21"/>
      <c r="BA28" s="21"/>
      <c r="BB28" s="21"/>
      <c r="BF28" s="106" t="str">
        <f t="shared" si="1"/>
        <v>#VALUE!</v>
      </c>
      <c r="BG28" s="21">
        <f t="shared" si="2"/>
        <v>12</v>
      </c>
    </row>
    <row r="29">
      <c r="P29" s="161"/>
      <c r="AI29" s="102"/>
      <c r="AK29" s="105" t="s">
        <v>561</v>
      </c>
      <c r="AL29" s="58"/>
      <c r="AO29" s="21" t="s">
        <v>564</v>
      </c>
      <c r="AP29" s="21" t="s">
        <v>565</v>
      </c>
      <c r="AQ29" s="53" t="s">
        <v>566</v>
      </c>
      <c r="AR29" s="53" t="s">
        <v>567</v>
      </c>
      <c r="AS29" s="53" t="s">
        <v>568</v>
      </c>
      <c r="AT29" s="53" t="s">
        <v>569</v>
      </c>
      <c r="AU29" s="53" t="s">
        <v>570</v>
      </c>
      <c r="AV29" s="21" t="s">
        <v>571</v>
      </c>
      <c r="AW29" s="21"/>
      <c r="AX29" s="21"/>
      <c r="AY29" s="21"/>
      <c r="AZ29" s="21"/>
      <c r="BA29" s="21"/>
      <c r="BB29" s="21"/>
      <c r="BF29" s="106" t="str">
        <f t="shared" si="1"/>
        <v>#VALUE!</v>
      </c>
      <c r="BG29" s="21">
        <f t="shared" si="2"/>
        <v>12</v>
      </c>
    </row>
    <row r="30">
      <c r="P30" s="161"/>
      <c r="AI30" s="102"/>
      <c r="AK30" s="105" t="s">
        <v>572</v>
      </c>
      <c r="AL30" s="86" t="s">
        <v>513</v>
      </c>
      <c r="AO30" s="53" t="s">
        <v>573</v>
      </c>
      <c r="AP30" s="21" t="s">
        <v>574</v>
      </c>
      <c r="AQ30" s="53" t="s">
        <v>575</v>
      </c>
      <c r="AR30" s="21" t="s">
        <v>576</v>
      </c>
      <c r="AS30" s="21"/>
      <c r="AT30" s="21" t="s">
        <v>577</v>
      </c>
      <c r="AU30" s="21"/>
      <c r="AV30" s="21" t="s">
        <v>578</v>
      </c>
      <c r="AW30" s="21"/>
      <c r="AX30" s="21"/>
      <c r="AY30" s="21"/>
      <c r="AZ30" s="21"/>
      <c r="BA30" s="21"/>
      <c r="BB30" s="21"/>
      <c r="BF30" s="106" t="str">
        <f t="shared" si="1"/>
        <v>#VALUE!</v>
      </c>
      <c r="BG30" s="21">
        <f t="shared" si="2"/>
        <v>12</v>
      </c>
    </row>
    <row r="31">
      <c r="P31" s="161"/>
      <c r="AI31" s="102"/>
      <c r="AK31" s="105" t="s">
        <v>579</v>
      </c>
      <c r="AL31" s="58"/>
      <c r="AO31" s="21" t="s">
        <v>583</v>
      </c>
      <c r="AP31" s="21" t="s">
        <v>584</v>
      </c>
      <c r="AQ31" s="21"/>
      <c r="AR31" s="53" t="s">
        <v>585</v>
      </c>
      <c r="AS31" s="21"/>
      <c r="AT31" s="21"/>
      <c r="AU31" s="21"/>
      <c r="AV31" s="21"/>
      <c r="AW31" s="21"/>
      <c r="AX31" s="21"/>
      <c r="AY31" s="21"/>
      <c r="AZ31" s="21"/>
      <c r="BA31" s="21"/>
      <c r="BB31" s="21"/>
      <c r="BF31" s="106" t="str">
        <f t="shared" si="1"/>
        <v>#VALUE!</v>
      </c>
      <c r="BG31" s="21">
        <f t="shared" si="2"/>
        <v>12</v>
      </c>
    </row>
    <row r="32">
      <c r="P32" s="161"/>
      <c r="AI32" s="102"/>
      <c r="AK32" s="105" t="s">
        <v>586</v>
      </c>
      <c r="AO32" s="21" t="s">
        <v>587</v>
      </c>
      <c r="AP32" s="21" t="s">
        <v>588</v>
      </c>
      <c r="AQ32" s="21"/>
      <c r="AR32" s="21"/>
      <c r="AS32" s="53" t="s">
        <v>589</v>
      </c>
      <c r="AT32" s="21" t="s">
        <v>590</v>
      </c>
      <c r="AU32" s="21"/>
      <c r="AV32" s="21"/>
      <c r="AW32" s="21"/>
      <c r="AX32" s="21"/>
      <c r="AY32" s="21"/>
      <c r="AZ32" s="21"/>
      <c r="BA32" s="21"/>
      <c r="BB32" s="21"/>
      <c r="BF32" s="106" t="str">
        <f t="shared" si="1"/>
        <v>#VALUE!</v>
      </c>
      <c r="BG32" s="21">
        <f t="shared" si="2"/>
        <v>12</v>
      </c>
    </row>
    <row r="33">
      <c r="P33" s="161"/>
      <c r="AI33" s="102"/>
      <c r="AK33" s="105" t="s">
        <v>591</v>
      </c>
      <c r="AL33" s="86" t="s">
        <v>513</v>
      </c>
      <c r="AO33" s="21" t="s">
        <v>592</v>
      </c>
      <c r="AP33" s="53" t="s">
        <v>593</v>
      </c>
      <c r="AQ33" s="21"/>
      <c r="AR33" s="21" t="s">
        <v>594</v>
      </c>
      <c r="AS33" s="21"/>
      <c r="AT33" s="21"/>
      <c r="AU33" s="21"/>
      <c r="AV33" s="21" t="s">
        <v>595</v>
      </c>
      <c r="AW33" s="21"/>
      <c r="AX33" s="21"/>
      <c r="AY33" s="21"/>
      <c r="AZ33" s="21"/>
      <c r="BA33" s="21"/>
      <c r="BB33" s="21"/>
      <c r="BF33" s="106" t="str">
        <f t="shared" si="1"/>
        <v>#VALUE!</v>
      </c>
      <c r="BG33" s="21">
        <f t="shared" si="2"/>
        <v>12</v>
      </c>
    </row>
    <row r="34">
      <c r="P34" s="161"/>
      <c r="AI34" s="102"/>
      <c r="AK34" s="105" t="s">
        <v>596</v>
      </c>
      <c r="AO34" s="21"/>
      <c r="AP34" s="21"/>
      <c r="AQ34" s="21"/>
      <c r="AR34" s="21"/>
      <c r="AS34" s="21"/>
      <c r="AT34" s="21"/>
      <c r="AU34" s="21"/>
      <c r="AV34" s="21"/>
      <c r="AW34" s="21"/>
      <c r="AX34" s="21"/>
      <c r="AY34" s="21"/>
      <c r="AZ34" s="21"/>
      <c r="BA34" s="21"/>
      <c r="BB34" s="21"/>
      <c r="BF34" s="106" t="str">
        <f t="shared" si="1"/>
        <v>#VALUE!</v>
      </c>
      <c r="BG34" s="21">
        <f t="shared" si="2"/>
        <v>12</v>
      </c>
    </row>
    <row r="35">
      <c r="P35" s="161"/>
      <c r="AI35" s="102"/>
      <c r="AK35" s="105" t="s">
        <v>597</v>
      </c>
      <c r="AO35" s="53" t="s">
        <v>598</v>
      </c>
      <c r="AP35" s="53" t="s">
        <v>599</v>
      </c>
      <c r="AQ35" s="21"/>
      <c r="AR35" s="21"/>
      <c r="AS35" s="21"/>
      <c r="AT35" s="21"/>
      <c r="AU35" s="21" t="s">
        <v>600</v>
      </c>
      <c r="AV35" s="21"/>
      <c r="AW35" s="21"/>
      <c r="AX35" s="21"/>
      <c r="AY35" s="21"/>
      <c r="AZ35" s="21"/>
      <c r="BA35" s="21"/>
      <c r="BB35" s="21"/>
      <c r="BF35" s="106" t="str">
        <f t="shared" si="1"/>
        <v>#VALUE!</v>
      </c>
      <c r="BG35" s="21">
        <f t="shared" si="2"/>
        <v>12</v>
      </c>
    </row>
    <row r="36">
      <c r="P36" s="161"/>
      <c r="AI36" s="102"/>
      <c r="AK36" s="105" t="s">
        <v>601</v>
      </c>
      <c r="AO36" s="21" t="s">
        <v>602</v>
      </c>
      <c r="AP36" s="21" t="s">
        <v>603</v>
      </c>
      <c r="AQ36" s="53" t="s">
        <v>604</v>
      </c>
      <c r="AR36" s="21"/>
      <c r="AS36" s="21" t="s">
        <v>362</v>
      </c>
      <c r="AT36" s="21"/>
      <c r="AU36" s="21"/>
      <c r="AV36" s="21"/>
      <c r="AW36" s="21"/>
      <c r="AX36" s="21"/>
      <c r="AY36" s="21"/>
      <c r="AZ36" s="21"/>
      <c r="BA36" s="21"/>
      <c r="BB36" s="21"/>
      <c r="BF36" s="106" t="str">
        <f t="shared" si="1"/>
        <v>#VALUE!</v>
      </c>
      <c r="BG36" s="21">
        <f t="shared" si="2"/>
        <v>12</v>
      </c>
    </row>
    <row r="37">
      <c r="P37" s="161"/>
      <c r="AI37" s="102"/>
      <c r="AK37" s="105" t="s">
        <v>605</v>
      </c>
      <c r="AO37" s="21" t="s">
        <v>606</v>
      </c>
      <c r="AP37" s="123"/>
      <c r="AQ37" s="21" t="s">
        <v>607</v>
      </c>
      <c r="AR37" s="21"/>
      <c r="AS37" s="21"/>
      <c r="AT37" s="21"/>
      <c r="AU37" s="21"/>
      <c r="AV37" s="21"/>
      <c r="AW37" s="21"/>
      <c r="AX37" s="21"/>
      <c r="AY37" s="21"/>
      <c r="AZ37" s="21"/>
      <c r="BA37" s="21"/>
      <c r="BB37" s="21"/>
      <c r="BF37" s="106" t="str">
        <f t="shared" si="1"/>
        <v>#VALUE!</v>
      </c>
      <c r="BG37" s="21">
        <f t="shared" si="2"/>
        <v>12</v>
      </c>
    </row>
    <row r="38">
      <c r="P38" s="161"/>
      <c r="AI38" s="102"/>
      <c r="AK38" s="105" t="s">
        <v>608</v>
      </c>
      <c r="AL38" s="169" t="s">
        <v>609</v>
      </c>
      <c r="AO38" s="53" t="s">
        <v>610</v>
      </c>
      <c r="AP38" s="21" t="s">
        <v>611</v>
      </c>
      <c r="AQ38" s="21"/>
      <c r="AR38" s="21"/>
      <c r="AS38" s="21"/>
      <c r="AT38" s="21"/>
      <c r="AU38" s="21"/>
      <c r="AV38" s="21"/>
      <c r="AW38" s="21"/>
      <c r="AX38" s="21"/>
      <c r="AY38" s="21"/>
      <c r="AZ38" s="21"/>
      <c r="BA38" s="21"/>
      <c r="BB38" s="21"/>
      <c r="BF38" s="106" t="str">
        <f t="shared" si="1"/>
        <v>#VALUE!</v>
      </c>
      <c r="BG38" s="21">
        <f t="shared" si="2"/>
        <v>12</v>
      </c>
    </row>
    <row r="39">
      <c r="P39" s="161"/>
      <c r="AI39" s="102"/>
      <c r="AK39" s="105" t="s">
        <v>612</v>
      </c>
      <c r="AL39" s="86" t="s">
        <v>614</v>
      </c>
      <c r="AO39" s="21" t="s">
        <v>615</v>
      </c>
      <c r="AP39" s="21" t="s">
        <v>616</v>
      </c>
      <c r="AQ39" s="53" t="s">
        <v>617</v>
      </c>
      <c r="AR39" s="21"/>
      <c r="AS39" s="21"/>
      <c r="AT39" s="21"/>
      <c r="AU39" s="21"/>
      <c r="AV39" s="21"/>
      <c r="AW39" s="21"/>
      <c r="AX39" s="21"/>
      <c r="AY39" s="21"/>
      <c r="AZ39" s="21"/>
      <c r="BA39" s="21"/>
      <c r="BB39" s="21"/>
      <c r="BF39" s="106" t="str">
        <f t="shared" si="1"/>
        <v>#VALUE!</v>
      </c>
      <c r="BG39" s="21">
        <f t="shared" si="2"/>
        <v>12</v>
      </c>
    </row>
    <row r="40">
      <c r="P40" s="161"/>
      <c r="AI40" s="102"/>
      <c r="AK40" s="105" t="s">
        <v>618</v>
      </c>
      <c r="AL40" s="58"/>
      <c r="AO40" s="53" t="s">
        <v>619</v>
      </c>
      <c r="AP40" s="53" t="s">
        <v>620</v>
      </c>
      <c r="AQ40" s="21"/>
      <c r="AR40" s="21"/>
      <c r="AS40" s="53" t="s">
        <v>621</v>
      </c>
      <c r="AT40" s="21"/>
      <c r="AU40" s="21"/>
      <c r="AV40" s="53" t="s">
        <v>622</v>
      </c>
      <c r="AW40" s="21"/>
      <c r="AX40" s="21"/>
      <c r="AY40" s="21"/>
      <c r="AZ40" s="21"/>
      <c r="BA40" s="21"/>
      <c r="BB40" s="21"/>
      <c r="BF40" s="106" t="str">
        <f t="shared" si="1"/>
        <v>#VALUE!</v>
      </c>
      <c r="BG40" s="21">
        <f t="shared" si="2"/>
        <v>12</v>
      </c>
    </row>
    <row r="41">
      <c r="P41" s="161"/>
      <c r="AI41" s="102"/>
      <c r="AK41" s="105" t="s">
        <v>623</v>
      </c>
      <c r="AO41" s="53" t="s">
        <v>625</v>
      </c>
      <c r="AP41" s="21"/>
      <c r="AQ41" s="21"/>
      <c r="AR41" s="21"/>
      <c r="AS41" s="21"/>
      <c r="AT41" s="21"/>
      <c r="AU41" s="21"/>
      <c r="AV41" s="21"/>
      <c r="AW41" s="21"/>
      <c r="AX41" s="21"/>
      <c r="AY41" s="21"/>
      <c r="AZ41" s="21"/>
      <c r="BA41" s="21"/>
      <c r="BB41" s="21"/>
      <c r="BF41" s="106" t="str">
        <f t="shared" si="1"/>
        <v>#VALUE!</v>
      </c>
      <c r="BG41" s="21">
        <f t="shared" si="2"/>
        <v>12</v>
      </c>
    </row>
    <row r="42">
      <c r="P42" s="161"/>
      <c r="AI42" s="102"/>
      <c r="AK42" s="105" t="s">
        <v>626</v>
      </c>
      <c r="AL42" s="86" t="s">
        <v>513</v>
      </c>
      <c r="AO42" s="53" t="s">
        <v>627</v>
      </c>
      <c r="AP42" s="53" t="s">
        <v>628</v>
      </c>
      <c r="AQ42" s="53" t="s">
        <v>629</v>
      </c>
      <c r="AR42" s="21"/>
      <c r="AS42" s="21"/>
      <c r="AT42" s="53" t="s">
        <v>630</v>
      </c>
      <c r="AU42" s="21"/>
      <c r="AV42" s="53" t="s">
        <v>631</v>
      </c>
      <c r="AW42" s="21"/>
      <c r="AX42" s="21"/>
      <c r="AY42" s="21"/>
      <c r="AZ42" s="21"/>
      <c r="BA42" s="21"/>
      <c r="BB42" s="21"/>
      <c r="BF42" s="106" t="str">
        <f t="shared" si="1"/>
        <v>#VALUE!</v>
      </c>
      <c r="BG42" s="21">
        <f t="shared" si="2"/>
        <v>12</v>
      </c>
    </row>
    <row r="43">
      <c r="P43" s="161"/>
      <c r="AI43" s="102"/>
      <c r="AK43" s="105" t="s">
        <v>632</v>
      </c>
      <c r="AO43" s="21" t="s">
        <v>633</v>
      </c>
      <c r="AP43" s="21" t="s">
        <v>634</v>
      </c>
      <c r="AQ43" s="21"/>
      <c r="AR43" s="21" t="s">
        <v>635</v>
      </c>
      <c r="AS43" s="21"/>
      <c r="AT43" s="21"/>
      <c r="AU43" s="21"/>
      <c r="AV43" s="21"/>
      <c r="AW43" s="21"/>
      <c r="AX43" s="21"/>
      <c r="AY43" s="21"/>
      <c r="AZ43" s="21"/>
      <c r="BA43" s="21"/>
      <c r="BB43" s="21"/>
      <c r="BF43" s="106" t="str">
        <f t="shared" si="1"/>
        <v>#VALUE!</v>
      </c>
      <c r="BG43" s="21">
        <f t="shared" si="2"/>
        <v>12</v>
      </c>
    </row>
    <row r="44">
      <c r="P44" s="161"/>
      <c r="AI44" s="102"/>
      <c r="AK44" s="105" t="s">
        <v>636</v>
      </c>
      <c r="AL44" s="86" t="s">
        <v>513</v>
      </c>
      <c r="AO44" s="53" t="s">
        <v>637</v>
      </c>
      <c r="AP44" s="53" t="s">
        <v>638</v>
      </c>
      <c r="AQ44" s="53" t="s">
        <v>639</v>
      </c>
      <c r="AR44" s="21"/>
      <c r="AS44" s="21"/>
      <c r="AT44" s="21"/>
      <c r="AU44" s="21"/>
      <c r="AV44" s="21"/>
      <c r="AW44" s="21"/>
      <c r="AX44" s="21"/>
      <c r="AY44" s="21"/>
      <c r="AZ44" s="21"/>
      <c r="BA44" s="21"/>
      <c r="BB44" s="21"/>
      <c r="BF44" s="106" t="str">
        <f t="shared" si="1"/>
        <v>#VALUE!</v>
      </c>
      <c r="BG44" s="21">
        <f t="shared" si="2"/>
        <v>12</v>
      </c>
    </row>
    <row r="45">
      <c r="P45" s="161"/>
      <c r="AI45" s="102"/>
      <c r="AK45" s="105" t="s">
        <v>640</v>
      </c>
      <c r="AL45" s="58"/>
      <c r="AO45" s="21" t="s">
        <v>643</v>
      </c>
      <c r="AP45" s="53" t="s">
        <v>644</v>
      </c>
      <c r="AQ45" s="21"/>
      <c r="AR45" s="21"/>
      <c r="AS45" s="21"/>
      <c r="AT45" s="21"/>
      <c r="AU45" s="21"/>
      <c r="AV45" s="21"/>
      <c r="AW45" s="21"/>
      <c r="AX45" s="21"/>
      <c r="AY45" s="21"/>
      <c r="AZ45" s="21"/>
      <c r="BA45" s="21"/>
      <c r="BB45" s="21"/>
      <c r="BF45" s="106" t="str">
        <f t="shared" si="1"/>
        <v>#VALUE!</v>
      </c>
      <c r="BG45" s="21">
        <f t="shared" si="2"/>
        <v>12</v>
      </c>
    </row>
    <row r="46">
      <c r="P46" s="161"/>
      <c r="AI46" s="102"/>
      <c r="AK46" s="105" t="s">
        <v>645</v>
      </c>
      <c r="AL46" s="86" t="s">
        <v>647</v>
      </c>
      <c r="AO46" s="53" t="s">
        <v>648</v>
      </c>
      <c r="AP46" s="53" t="s">
        <v>649</v>
      </c>
      <c r="AQ46" s="53" t="s">
        <v>650</v>
      </c>
      <c r="AR46" s="21" t="s">
        <v>651</v>
      </c>
      <c r="AS46" s="21"/>
      <c r="AT46" s="21"/>
      <c r="AU46" s="21"/>
      <c r="AV46" s="21"/>
      <c r="AW46" s="21"/>
      <c r="AX46" s="21"/>
      <c r="AY46" s="21"/>
      <c r="AZ46" s="21"/>
      <c r="BA46" s="21"/>
      <c r="BB46" s="21"/>
      <c r="BF46" s="106" t="str">
        <f t="shared" si="1"/>
        <v>#VALUE!</v>
      </c>
      <c r="BG46" s="21">
        <f t="shared" si="2"/>
        <v>12</v>
      </c>
    </row>
    <row r="47">
      <c r="P47" s="161"/>
      <c r="AI47" s="102"/>
      <c r="AK47" s="105" t="s">
        <v>652</v>
      </c>
      <c r="AO47" s="21" t="s">
        <v>656</v>
      </c>
      <c r="AP47" s="21" t="s">
        <v>657</v>
      </c>
      <c r="AQ47" s="21"/>
      <c r="AR47" s="21"/>
      <c r="AS47" s="53" t="s">
        <v>658</v>
      </c>
      <c r="AT47" s="21"/>
      <c r="AU47" s="53" t="s">
        <v>659</v>
      </c>
      <c r="AV47" s="21"/>
      <c r="AW47" s="21"/>
      <c r="AX47" s="21"/>
      <c r="AY47" s="21"/>
      <c r="AZ47" s="21"/>
      <c r="BA47" s="21"/>
      <c r="BB47" s="21"/>
      <c r="BF47" s="106" t="str">
        <f t="shared" si="1"/>
        <v>#VALUE!</v>
      </c>
      <c r="BG47" s="21">
        <f t="shared" si="2"/>
        <v>12</v>
      </c>
    </row>
    <row r="48">
      <c r="P48" s="161"/>
      <c r="AI48" s="102"/>
      <c r="AK48" s="105" t="s">
        <v>660</v>
      </c>
      <c r="AO48" s="21" t="s">
        <v>661</v>
      </c>
      <c r="AP48" s="53" t="s">
        <v>662</v>
      </c>
      <c r="AQ48" s="21"/>
      <c r="AR48" s="21"/>
      <c r="AS48" s="21"/>
      <c r="AT48" s="21"/>
      <c r="AU48" s="21"/>
      <c r="AV48" s="21"/>
      <c r="AW48" s="21"/>
      <c r="AX48" s="21"/>
      <c r="AY48" s="21"/>
      <c r="AZ48" s="21"/>
      <c r="BA48" s="21"/>
      <c r="BB48" s="21"/>
      <c r="BF48" s="106" t="str">
        <f t="shared" si="1"/>
        <v>#VALUE!</v>
      </c>
      <c r="BG48" s="21">
        <f t="shared" si="2"/>
        <v>12</v>
      </c>
    </row>
    <row r="49">
      <c r="P49" s="161"/>
      <c r="AI49" s="102"/>
      <c r="AK49" s="105" t="s">
        <v>663</v>
      </c>
      <c r="AO49" s="21" t="s">
        <v>666</v>
      </c>
      <c r="AP49" s="21" t="s">
        <v>667</v>
      </c>
      <c r="AQ49" s="21" t="s">
        <v>668</v>
      </c>
      <c r="AR49" s="21"/>
      <c r="AS49" s="21"/>
      <c r="AT49" s="21"/>
      <c r="AU49" s="21"/>
      <c r="AV49" s="21"/>
      <c r="AW49" s="21"/>
      <c r="AX49" s="21"/>
      <c r="AY49" s="21"/>
      <c r="AZ49" s="21"/>
      <c r="BA49" s="21"/>
      <c r="BB49" s="21"/>
      <c r="BF49" s="106" t="str">
        <f t="shared" si="1"/>
        <v>#VALUE!</v>
      </c>
      <c r="BG49" s="21">
        <f t="shared" si="2"/>
        <v>12</v>
      </c>
    </row>
    <row r="50">
      <c r="P50" s="161"/>
      <c r="AI50" s="102"/>
      <c r="AK50" s="105" t="s">
        <v>669</v>
      </c>
      <c r="AL50" s="58"/>
      <c r="AO50" s="53" t="s">
        <v>670</v>
      </c>
      <c r="AP50" s="21" t="s">
        <v>671</v>
      </c>
      <c r="AQ50" s="53" t="s">
        <v>672</v>
      </c>
      <c r="AR50" s="21"/>
      <c r="AS50" s="53" t="s">
        <v>673</v>
      </c>
      <c r="AT50" s="21"/>
      <c r="AU50" s="21"/>
      <c r="AV50" s="21"/>
      <c r="AW50" s="21"/>
      <c r="AX50" s="21"/>
      <c r="AY50" s="21"/>
      <c r="AZ50" s="21"/>
      <c r="BA50" s="21"/>
      <c r="BB50" s="21"/>
      <c r="BF50" s="106" t="str">
        <f t="shared" si="1"/>
        <v>#VALUE!</v>
      </c>
      <c r="BG50" s="21">
        <f t="shared" si="2"/>
        <v>12</v>
      </c>
    </row>
    <row r="51">
      <c r="P51" s="161"/>
      <c r="AI51" s="102"/>
      <c r="AK51" s="105" t="s">
        <v>674</v>
      </c>
      <c r="AL51" s="86" t="s">
        <v>513</v>
      </c>
      <c r="AO51" s="21" t="s">
        <v>677</v>
      </c>
      <c r="AP51" s="21" t="s">
        <v>678</v>
      </c>
      <c r="AQ51" s="53" t="s">
        <v>679</v>
      </c>
      <c r="AR51" s="21"/>
      <c r="AS51" s="21" t="s">
        <v>680</v>
      </c>
      <c r="AT51" s="21"/>
      <c r="AU51" s="21"/>
      <c r="AV51" s="21"/>
      <c r="AW51" s="21"/>
      <c r="AX51" s="21"/>
      <c r="AY51" s="21"/>
      <c r="AZ51" s="21"/>
      <c r="BA51" s="21"/>
      <c r="BB51" s="21"/>
      <c r="BF51" s="106" t="str">
        <f t="shared" si="1"/>
        <v>#VALUE!</v>
      </c>
      <c r="BG51" s="21">
        <f t="shared" si="2"/>
        <v>12</v>
      </c>
    </row>
    <row r="52">
      <c r="P52" s="161"/>
      <c r="AI52" s="102"/>
      <c r="AK52" s="105" t="s">
        <v>681</v>
      </c>
      <c r="AL52" s="58"/>
      <c r="AO52" s="21" t="s">
        <v>683</v>
      </c>
      <c r="AP52" s="21" t="s">
        <v>685</v>
      </c>
      <c r="AQ52" s="53" t="s">
        <v>687</v>
      </c>
      <c r="AR52" s="21"/>
      <c r="AS52" s="53" t="s">
        <v>688</v>
      </c>
      <c r="AT52" s="21"/>
      <c r="AU52" s="21"/>
      <c r="AV52" s="21"/>
      <c r="AW52" s="21"/>
      <c r="AX52" s="21"/>
      <c r="AY52" s="21"/>
      <c r="AZ52" s="21"/>
      <c r="BA52" s="21"/>
      <c r="BB52" s="21"/>
      <c r="BF52" s="106" t="str">
        <f t="shared" si="1"/>
        <v>#VALUE!</v>
      </c>
      <c r="BG52" s="21">
        <f t="shared" si="2"/>
        <v>12</v>
      </c>
    </row>
    <row r="53">
      <c r="P53" s="161"/>
      <c r="AI53" s="102"/>
      <c r="AK53" s="105" t="s">
        <v>689</v>
      </c>
      <c r="AL53" s="58"/>
      <c r="AO53" s="53" t="s">
        <v>690</v>
      </c>
      <c r="AP53" s="21" t="s">
        <v>691</v>
      </c>
      <c r="AQ53" s="53" t="s">
        <v>692</v>
      </c>
      <c r="AR53" s="21"/>
      <c r="AS53" s="21" t="s">
        <v>693</v>
      </c>
      <c r="AT53" s="21"/>
      <c r="AU53" s="21" t="s">
        <v>694</v>
      </c>
      <c r="AV53" s="21"/>
      <c r="AW53" s="21"/>
      <c r="AX53" s="21"/>
      <c r="AY53" s="21"/>
      <c r="AZ53" s="21"/>
      <c r="BA53" s="21"/>
      <c r="BB53" s="21"/>
      <c r="BF53" s="106" t="str">
        <f t="shared" si="1"/>
        <v>#VALUE!</v>
      </c>
      <c r="BG53" s="21">
        <f t="shared" si="2"/>
        <v>12</v>
      </c>
    </row>
    <row r="54">
      <c r="P54" s="161"/>
      <c r="AI54" s="102"/>
      <c r="AK54" s="105" t="s">
        <v>695</v>
      </c>
      <c r="AO54" s="53" t="s">
        <v>700</v>
      </c>
      <c r="AP54" s="21"/>
      <c r="AQ54" s="21"/>
      <c r="AR54" s="21"/>
      <c r="AS54" s="21"/>
      <c r="AT54" s="21"/>
      <c r="AU54" s="21"/>
      <c r="AV54" s="21"/>
      <c r="AW54" s="21"/>
      <c r="AX54" s="21"/>
      <c r="AY54" s="21"/>
      <c r="AZ54" s="21"/>
      <c r="BA54" s="21"/>
      <c r="BB54" s="21"/>
      <c r="BF54" s="106" t="str">
        <f t="shared" si="1"/>
        <v>#VALUE!</v>
      </c>
      <c r="BG54" s="21">
        <f t="shared" si="2"/>
        <v>12</v>
      </c>
    </row>
    <row r="55">
      <c r="P55" s="161"/>
      <c r="AI55" s="102"/>
      <c r="AK55" s="105" t="s">
        <v>701</v>
      </c>
      <c r="AL55" s="86" t="s">
        <v>523</v>
      </c>
      <c r="AO55" s="53" t="s">
        <v>702</v>
      </c>
      <c r="AP55" s="53" t="s">
        <v>703</v>
      </c>
      <c r="AQ55" s="21"/>
      <c r="AR55" s="21"/>
      <c r="AS55" s="21"/>
      <c r="AT55" s="21"/>
      <c r="AU55" s="21"/>
      <c r="AV55" s="21"/>
      <c r="AW55" s="21"/>
      <c r="AX55" s="21"/>
      <c r="AY55" s="21"/>
      <c r="AZ55" s="21"/>
      <c r="BA55" s="21"/>
      <c r="BB55" s="21"/>
      <c r="BF55" s="106" t="str">
        <f t="shared" si="1"/>
        <v>#VALUE!</v>
      </c>
      <c r="BG55" s="21">
        <f t="shared" si="2"/>
        <v>12</v>
      </c>
    </row>
    <row r="56">
      <c r="P56" s="161"/>
      <c r="AI56" s="102"/>
      <c r="AK56" s="105" t="s">
        <v>704</v>
      </c>
      <c r="AL56" s="86" t="s">
        <v>706</v>
      </c>
      <c r="AO56" s="21" t="s">
        <v>707</v>
      </c>
      <c r="AP56" s="21" t="s">
        <v>708</v>
      </c>
      <c r="AQ56" s="21" t="s">
        <v>635</v>
      </c>
      <c r="AR56" s="21"/>
      <c r="AS56" s="21"/>
      <c r="AT56" s="21"/>
      <c r="AU56" s="21"/>
      <c r="AV56" s="21"/>
      <c r="AW56" s="21"/>
      <c r="AX56" s="21"/>
      <c r="AY56" s="21"/>
      <c r="AZ56" s="21"/>
      <c r="BA56" s="21"/>
      <c r="BB56" s="21"/>
      <c r="BF56" s="106" t="str">
        <f t="shared" si="1"/>
        <v>#VALUE!</v>
      </c>
      <c r="BG56" s="21">
        <f t="shared" si="2"/>
        <v>12</v>
      </c>
    </row>
    <row r="57">
      <c r="P57" s="161"/>
      <c r="AI57" s="102"/>
      <c r="AK57" s="105" t="s">
        <v>709</v>
      </c>
      <c r="AO57" s="21" t="s">
        <v>710</v>
      </c>
      <c r="AP57" s="53" t="s">
        <v>711</v>
      </c>
      <c r="AQ57" s="53" t="s">
        <v>713</v>
      </c>
      <c r="AR57" s="21" t="s">
        <v>651</v>
      </c>
      <c r="AS57" s="21"/>
      <c r="AT57" s="21"/>
      <c r="AU57" s="21"/>
      <c r="AV57" s="21"/>
      <c r="AW57" s="21"/>
      <c r="AX57" s="21"/>
      <c r="AY57" s="21"/>
      <c r="AZ57" s="21"/>
      <c r="BA57" s="21"/>
      <c r="BB57" s="21"/>
      <c r="BF57" s="106" t="str">
        <f t="shared" si="1"/>
        <v>#VALUE!</v>
      </c>
      <c r="BG57" s="21">
        <f t="shared" si="2"/>
        <v>12</v>
      </c>
    </row>
    <row r="58">
      <c r="P58" s="161"/>
      <c r="AI58" s="102"/>
      <c r="AK58" s="105" t="s">
        <v>715</v>
      </c>
      <c r="AO58" s="21" t="s">
        <v>716</v>
      </c>
      <c r="AP58" s="21" t="s">
        <v>717</v>
      </c>
      <c r="AQ58" s="53" t="s">
        <v>718</v>
      </c>
      <c r="AR58" s="21"/>
      <c r="AS58" s="21"/>
      <c r="AT58" s="21"/>
      <c r="AU58" s="21"/>
      <c r="AV58" s="21"/>
      <c r="AW58" s="21"/>
      <c r="AX58" s="21"/>
      <c r="AY58" s="21"/>
      <c r="AZ58" s="21"/>
      <c r="BA58" s="21"/>
      <c r="BB58" s="21"/>
      <c r="BF58" s="106" t="str">
        <f t="shared" si="1"/>
        <v>#VALUE!</v>
      </c>
      <c r="BG58" s="21">
        <f t="shared" si="2"/>
        <v>12</v>
      </c>
    </row>
    <row r="59">
      <c r="P59" s="161"/>
      <c r="AI59" s="102"/>
      <c r="AK59" s="105" t="s">
        <v>719</v>
      </c>
      <c r="AO59" s="53" t="s">
        <v>724</v>
      </c>
      <c r="AP59" s="53" t="s">
        <v>725</v>
      </c>
      <c r="AQ59" s="21"/>
      <c r="AR59" s="21"/>
      <c r="AS59" s="21"/>
      <c r="AT59" s="21"/>
      <c r="AU59" s="21"/>
      <c r="AV59" s="21"/>
      <c r="AW59" s="21"/>
      <c r="AX59" s="21"/>
      <c r="AY59" s="21"/>
      <c r="AZ59" s="21"/>
      <c r="BA59" s="21"/>
      <c r="BB59" s="21"/>
      <c r="BF59" s="106" t="str">
        <f t="shared" si="1"/>
        <v>#VALUE!</v>
      </c>
      <c r="BG59" s="21">
        <f t="shared" si="2"/>
        <v>12</v>
      </c>
    </row>
    <row r="60">
      <c r="P60" s="161"/>
      <c r="AI60" s="102"/>
      <c r="AK60" s="105" t="s">
        <v>726</v>
      </c>
      <c r="AO60" s="53" t="s">
        <v>727</v>
      </c>
      <c r="AP60" s="53" t="s">
        <v>728</v>
      </c>
      <c r="AQ60" s="53" t="s">
        <v>729</v>
      </c>
      <c r="AR60" s="21"/>
      <c r="AS60" s="21"/>
      <c r="AT60" s="21"/>
      <c r="AU60" s="21"/>
      <c r="AV60" s="21"/>
      <c r="AW60" s="21"/>
      <c r="AX60" s="21"/>
      <c r="AY60" s="21"/>
      <c r="AZ60" s="21"/>
      <c r="BA60" s="21"/>
      <c r="BB60" s="21"/>
      <c r="BF60" s="106" t="str">
        <f t="shared" si="1"/>
        <v>#VALUE!</v>
      </c>
      <c r="BG60" s="21">
        <f t="shared" si="2"/>
        <v>12</v>
      </c>
    </row>
    <row r="61">
      <c r="P61" s="161"/>
      <c r="AI61" s="102"/>
      <c r="AK61" s="105" t="s">
        <v>730</v>
      </c>
      <c r="AL61" s="86" t="s">
        <v>513</v>
      </c>
      <c r="AO61" s="21" t="s">
        <v>734</v>
      </c>
      <c r="AP61" s="53" t="s">
        <v>735</v>
      </c>
      <c r="AQ61" s="21"/>
      <c r="AR61" s="21"/>
      <c r="AS61" s="21"/>
      <c r="AT61" s="21"/>
      <c r="AU61" s="21"/>
      <c r="AV61" s="21"/>
      <c r="AW61" s="21"/>
      <c r="AX61" s="21"/>
      <c r="AY61" s="21"/>
      <c r="AZ61" s="21"/>
      <c r="BA61" s="21"/>
      <c r="BB61" s="21"/>
      <c r="BF61" s="106" t="str">
        <f t="shared" si="1"/>
        <v>#VALUE!</v>
      </c>
      <c r="BG61" s="21">
        <f t="shared" si="2"/>
        <v>12</v>
      </c>
    </row>
    <row r="62">
      <c r="P62" s="161"/>
      <c r="AI62" s="102"/>
      <c r="AK62" s="105" t="s">
        <v>736</v>
      </c>
      <c r="AO62" s="53" t="s">
        <v>737</v>
      </c>
      <c r="AP62" s="53" t="s">
        <v>738</v>
      </c>
      <c r="AQ62" s="53" t="s">
        <v>739</v>
      </c>
      <c r="AR62" s="21"/>
      <c r="AS62" s="21"/>
      <c r="AT62" s="21"/>
      <c r="AU62" s="21"/>
      <c r="AV62" s="21"/>
      <c r="AW62" s="21"/>
      <c r="AX62" s="21"/>
      <c r="AY62" s="21"/>
      <c r="AZ62" s="21"/>
      <c r="BA62" s="21"/>
      <c r="BB62" s="21"/>
      <c r="BF62" s="106" t="str">
        <f t="shared" si="1"/>
        <v>#VALUE!</v>
      </c>
      <c r="BG62" s="21">
        <f t="shared" si="2"/>
        <v>12</v>
      </c>
    </row>
    <row r="63">
      <c r="P63" s="161"/>
      <c r="AI63" s="102"/>
      <c r="AK63" s="105" t="s">
        <v>740</v>
      </c>
      <c r="AL63" s="86" t="s">
        <v>523</v>
      </c>
      <c r="AO63" s="53" t="s">
        <v>737</v>
      </c>
      <c r="AP63" s="53" t="s">
        <v>747</v>
      </c>
      <c r="AQ63" s="21"/>
      <c r="AR63" s="21"/>
      <c r="AS63" s="21"/>
      <c r="AT63" s="21"/>
      <c r="AU63" s="21"/>
      <c r="AV63" s="21"/>
      <c r="AW63" s="21"/>
      <c r="AX63" s="21"/>
      <c r="AY63" s="21"/>
      <c r="AZ63" s="21"/>
      <c r="BA63" s="21"/>
      <c r="BB63" s="21"/>
      <c r="BF63" s="106" t="str">
        <f t="shared" si="1"/>
        <v>#VALUE!</v>
      </c>
      <c r="BG63" s="21">
        <f t="shared" si="2"/>
        <v>12</v>
      </c>
    </row>
    <row r="64">
      <c r="P64" s="161"/>
      <c r="AI64" s="102"/>
      <c r="AK64" s="105" t="s">
        <v>758</v>
      </c>
      <c r="AL64" s="86" t="s">
        <v>513</v>
      </c>
      <c r="AO64" s="53" t="s">
        <v>761</v>
      </c>
      <c r="AP64" s="53" t="s">
        <v>762</v>
      </c>
      <c r="AQ64" s="21"/>
      <c r="AR64" s="21"/>
      <c r="AS64" s="21"/>
      <c r="AT64" s="21"/>
      <c r="AU64" s="21"/>
      <c r="AV64" s="21"/>
      <c r="AW64" s="21"/>
      <c r="AX64" s="21"/>
      <c r="AY64" s="21"/>
      <c r="AZ64" s="21"/>
      <c r="BA64" s="21"/>
      <c r="BB64" s="21"/>
      <c r="BF64" s="106" t="str">
        <f t="shared" si="1"/>
        <v>#VALUE!</v>
      </c>
      <c r="BG64" s="21">
        <f t="shared" si="2"/>
        <v>12</v>
      </c>
    </row>
    <row r="65">
      <c r="P65" s="161"/>
      <c r="AI65" s="102"/>
      <c r="AK65" s="105" t="s">
        <v>768</v>
      </c>
      <c r="AL65" s="58"/>
      <c r="AO65" s="21" t="s">
        <v>770</v>
      </c>
      <c r="AP65" s="21" t="s">
        <v>771</v>
      </c>
      <c r="AQ65" s="21" t="s">
        <v>772</v>
      </c>
      <c r="AR65" s="21"/>
      <c r="AS65" s="21"/>
      <c r="AT65" s="21"/>
      <c r="AU65" s="21"/>
      <c r="AV65" s="21"/>
      <c r="AW65" s="21"/>
      <c r="AX65" s="21"/>
      <c r="AY65" s="21"/>
      <c r="AZ65" s="21"/>
      <c r="BA65" s="21"/>
      <c r="BB65" s="21"/>
      <c r="BF65" s="106" t="str">
        <f t="shared" si="1"/>
        <v>#VALUE!</v>
      </c>
      <c r="BG65" s="21">
        <f t="shared" si="2"/>
        <v>12</v>
      </c>
    </row>
    <row r="66">
      <c r="P66" s="161"/>
      <c r="AI66" s="102"/>
      <c r="AK66" s="105" t="s">
        <v>774</v>
      </c>
      <c r="AL66" s="86" t="s">
        <v>513</v>
      </c>
      <c r="AO66" s="53" t="s">
        <v>779</v>
      </c>
      <c r="AP66" s="223" t="s">
        <v>782</v>
      </c>
      <c r="AQ66" s="21"/>
      <c r="AR66" s="21"/>
      <c r="AS66" s="21"/>
      <c r="AT66" s="21"/>
      <c r="AU66" s="21"/>
      <c r="AV66" s="21"/>
      <c r="AW66" s="21"/>
      <c r="AX66" s="21"/>
      <c r="AY66" s="21"/>
      <c r="AZ66" s="21"/>
      <c r="BA66" s="21"/>
      <c r="BB66" s="21"/>
      <c r="BF66" s="106" t="str">
        <f t="shared" si="1"/>
        <v>#VALUE!</v>
      </c>
      <c r="BG66" s="21">
        <f t="shared" si="2"/>
        <v>12</v>
      </c>
    </row>
    <row r="67">
      <c r="P67" s="161"/>
      <c r="AI67" s="102"/>
      <c r="AK67" s="105" t="s">
        <v>784</v>
      </c>
      <c r="AL67" s="58"/>
      <c r="AO67" s="21" t="s">
        <v>789</v>
      </c>
      <c r="AP67" s="21" t="s">
        <v>791</v>
      </c>
      <c r="AQ67" s="21"/>
      <c r="AR67" s="21"/>
      <c r="AS67" s="21" t="s">
        <v>792</v>
      </c>
      <c r="AT67" s="21"/>
      <c r="AU67" s="21"/>
      <c r="AV67" s="21"/>
      <c r="AW67" s="21"/>
      <c r="AX67" s="21"/>
      <c r="AY67" s="21"/>
      <c r="AZ67" s="21"/>
      <c r="BA67" s="21"/>
      <c r="BB67" s="21"/>
      <c r="BF67" s="106" t="str">
        <f t="shared" si="1"/>
        <v>#VALUE!</v>
      </c>
      <c r="BG67" s="21">
        <f t="shared" si="2"/>
        <v>12</v>
      </c>
    </row>
    <row r="68">
      <c r="P68" s="161"/>
      <c r="AI68" s="102"/>
      <c r="AK68" s="105" t="s">
        <v>794</v>
      </c>
      <c r="AL68" s="58"/>
      <c r="AO68" s="21" t="s">
        <v>797</v>
      </c>
      <c r="AP68" s="21" t="s">
        <v>799</v>
      </c>
      <c r="AQ68" s="21"/>
      <c r="AR68" s="21"/>
      <c r="AS68" s="21"/>
      <c r="AT68" s="21"/>
      <c r="AU68" s="21"/>
      <c r="AV68" s="21"/>
      <c r="AW68" s="21"/>
      <c r="AX68" s="21"/>
      <c r="AY68" s="21"/>
      <c r="AZ68" s="21"/>
      <c r="BA68" s="21"/>
      <c r="BB68" s="21"/>
      <c r="BF68" s="106" t="str">
        <f t="shared" si="1"/>
        <v>#VALUE!</v>
      </c>
      <c r="BG68" s="21">
        <f t="shared" si="2"/>
        <v>12</v>
      </c>
    </row>
    <row r="69">
      <c r="P69" s="161"/>
      <c r="AI69" s="102"/>
      <c r="AK69" s="105" t="s">
        <v>802</v>
      </c>
      <c r="AL69" s="58"/>
      <c r="AO69" s="21" t="s">
        <v>804</v>
      </c>
      <c r="AP69" s="21"/>
      <c r="AQ69" s="21"/>
      <c r="AR69" s="21"/>
      <c r="AS69" s="21" t="s">
        <v>792</v>
      </c>
      <c r="AT69" s="21"/>
      <c r="AU69" s="21"/>
      <c r="AV69" s="21"/>
      <c r="AW69" s="21"/>
      <c r="AX69" s="21"/>
      <c r="AY69" s="21"/>
      <c r="AZ69" s="21"/>
      <c r="BA69" s="21"/>
      <c r="BB69" s="21"/>
      <c r="BF69" s="106" t="str">
        <f t="shared" si="1"/>
        <v>#VALUE!</v>
      </c>
      <c r="BG69" s="21">
        <f t="shared" si="2"/>
        <v>12</v>
      </c>
    </row>
    <row r="70">
      <c r="P70" s="161"/>
      <c r="AI70" s="102"/>
      <c r="AK70" s="105" t="s">
        <v>806</v>
      </c>
      <c r="AO70" s="21" t="s">
        <v>812</v>
      </c>
      <c r="AP70" s="21" t="s">
        <v>813</v>
      </c>
      <c r="AQ70" s="21"/>
      <c r="AR70" s="21"/>
      <c r="AS70" s="21"/>
      <c r="AT70" s="21"/>
      <c r="AU70" s="21"/>
      <c r="AV70" s="21"/>
      <c r="AW70" s="21"/>
      <c r="AX70" s="21"/>
      <c r="AY70" s="21"/>
      <c r="AZ70" s="21"/>
      <c r="BA70" s="21"/>
      <c r="BB70" s="21"/>
      <c r="BF70" s="106" t="str">
        <f t="shared" si="1"/>
        <v>#VALUE!</v>
      </c>
      <c r="BG70" s="21">
        <f t="shared" si="2"/>
        <v>12</v>
      </c>
    </row>
    <row r="71">
      <c r="P71" s="161"/>
      <c r="AI71" s="102"/>
      <c r="AK71" s="105" t="s">
        <v>816</v>
      </c>
      <c r="AO71" s="53" t="s">
        <v>821</v>
      </c>
      <c r="AP71" s="53" t="s">
        <v>822</v>
      </c>
      <c r="AQ71" s="21"/>
      <c r="AR71" s="21"/>
      <c r="AS71" s="21" t="s">
        <v>792</v>
      </c>
      <c r="AT71" s="21"/>
      <c r="AU71" s="21"/>
      <c r="AV71" s="21"/>
      <c r="AW71" s="21"/>
      <c r="AX71" s="21"/>
      <c r="AY71" s="21"/>
      <c r="AZ71" s="21"/>
      <c r="BA71" s="21"/>
      <c r="BB71" s="21"/>
      <c r="BF71" s="106" t="str">
        <f t="shared" si="1"/>
        <v>#VALUE!</v>
      </c>
      <c r="BG71" s="21">
        <f t="shared" si="2"/>
        <v>12</v>
      </c>
    </row>
    <row r="72">
      <c r="P72" s="161"/>
      <c r="AI72" s="102"/>
      <c r="AK72" s="105" t="s">
        <v>823</v>
      </c>
      <c r="AL72" s="86" t="s">
        <v>513</v>
      </c>
      <c r="AO72" s="53" t="s">
        <v>829</v>
      </c>
      <c r="AP72" s="53" t="s">
        <v>830</v>
      </c>
      <c r="AQ72" s="21"/>
      <c r="AR72" s="21"/>
      <c r="AS72" s="21" t="s">
        <v>831</v>
      </c>
      <c r="AT72" s="21"/>
      <c r="AU72" s="21"/>
      <c r="AV72" s="21"/>
      <c r="AW72" s="21"/>
      <c r="AX72" s="21"/>
      <c r="AY72" s="21"/>
      <c r="AZ72" s="21"/>
      <c r="BA72" s="21"/>
      <c r="BB72" s="21"/>
      <c r="BF72" s="106" t="str">
        <f t="shared" si="1"/>
        <v>#VALUE!</v>
      </c>
      <c r="BG72" s="21">
        <f t="shared" si="2"/>
        <v>12</v>
      </c>
    </row>
    <row r="73">
      <c r="P73" s="161"/>
      <c r="AI73" s="102"/>
      <c r="AK73" s="105" t="s">
        <v>833</v>
      </c>
      <c r="AL73" s="86" t="s">
        <v>836</v>
      </c>
      <c r="AO73" s="53" t="s">
        <v>838</v>
      </c>
      <c r="AP73" s="21" t="s">
        <v>840</v>
      </c>
      <c r="AQ73" s="21"/>
      <c r="AR73" s="21"/>
      <c r="AS73" s="21" t="s">
        <v>841</v>
      </c>
      <c r="AT73" s="21"/>
      <c r="AU73" s="21"/>
      <c r="AV73" s="21"/>
      <c r="AW73" s="21"/>
      <c r="AX73" s="21"/>
      <c r="AY73" s="21"/>
      <c r="AZ73" s="21"/>
      <c r="BA73" s="21"/>
      <c r="BB73" s="21"/>
      <c r="BF73" s="106" t="str">
        <f t="shared" si="1"/>
        <v>#VALUE!</v>
      </c>
      <c r="BG73" s="21">
        <f t="shared" si="2"/>
        <v>12</v>
      </c>
    </row>
    <row r="74">
      <c r="P74" s="161"/>
      <c r="AI74" s="102"/>
      <c r="AK74" s="105" t="s">
        <v>844</v>
      </c>
      <c r="AL74" s="58"/>
      <c r="AO74" s="53" t="s">
        <v>849</v>
      </c>
      <c r="AP74" s="53" t="s">
        <v>850</v>
      </c>
      <c r="AQ74" s="21"/>
      <c r="AR74" s="21"/>
      <c r="AS74" s="21"/>
      <c r="AT74" s="21"/>
      <c r="AU74" s="21"/>
      <c r="AV74" s="21"/>
      <c r="AW74" s="21"/>
      <c r="AX74" s="21"/>
      <c r="AY74" s="21"/>
      <c r="AZ74" s="21"/>
      <c r="BA74" s="21"/>
      <c r="BB74" s="21"/>
      <c r="BF74" s="106" t="str">
        <f t="shared" si="1"/>
        <v>#VALUE!</v>
      </c>
      <c r="BG74" s="21">
        <f t="shared" si="2"/>
        <v>12</v>
      </c>
    </row>
    <row r="75">
      <c r="P75" s="161"/>
      <c r="AI75" s="102"/>
      <c r="AK75" s="105" t="s">
        <v>852</v>
      </c>
      <c r="AO75" s="53" t="s">
        <v>854</v>
      </c>
      <c r="AP75" s="21" t="s">
        <v>856</v>
      </c>
      <c r="AQ75" s="53" t="s">
        <v>857</v>
      </c>
      <c r="AR75" s="21"/>
      <c r="AS75" s="21"/>
      <c r="AT75" s="21"/>
      <c r="AU75" s="21"/>
      <c r="AV75" s="21"/>
      <c r="AW75" s="21"/>
      <c r="AX75" s="21"/>
      <c r="AY75" s="21"/>
      <c r="AZ75" s="21"/>
      <c r="BA75" s="21"/>
      <c r="BB75" s="21"/>
      <c r="BF75" s="106" t="str">
        <f t="shared" si="1"/>
        <v>#VALUE!</v>
      </c>
      <c r="BG75" s="21">
        <f t="shared" si="2"/>
        <v>12</v>
      </c>
    </row>
    <row r="76">
      <c r="P76" s="161"/>
      <c r="AI76" s="102"/>
      <c r="AK76" s="105" t="s">
        <v>860</v>
      </c>
      <c r="AL76" s="86" t="s">
        <v>513</v>
      </c>
      <c r="AO76" s="21"/>
      <c r="AP76" s="53" t="s">
        <v>865</v>
      </c>
      <c r="AQ76" s="21"/>
      <c r="AR76" s="21"/>
      <c r="AS76" s="21" t="s">
        <v>866</v>
      </c>
      <c r="AT76" s="21"/>
      <c r="AU76" s="21"/>
      <c r="AV76" s="21"/>
      <c r="AW76" s="21"/>
      <c r="AX76" s="21"/>
      <c r="AY76" s="21"/>
      <c r="AZ76" s="21"/>
      <c r="BA76" s="21"/>
      <c r="BB76" s="21"/>
      <c r="BF76" s="106" t="str">
        <f t="shared" si="1"/>
        <v>#VALUE!</v>
      </c>
      <c r="BG76" s="21">
        <f t="shared" si="2"/>
        <v>12</v>
      </c>
    </row>
    <row r="77">
      <c r="P77" s="161"/>
      <c r="AI77" s="102"/>
      <c r="AK77" s="105" t="s">
        <v>868</v>
      </c>
      <c r="AL77" s="58"/>
      <c r="AO77" s="53" t="s">
        <v>874</v>
      </c>
      <c r="AP77" s="21"/>
      <c r="AQ77" s="21"/>
      <c r="AR77" s="21"/>
      <c r="AS77" s="21"/>
      <c r="AT77" s="21"/>
      <c r="AU77" s="21"/>
      <c r="AV77" s="21"/>
      <c r="AW77" s="21"/>
      <c r="AX77" s="21"/>
      <c r="AY77" s="21"/>
      <c r="AZ77" s="21"/>
      <c r="BA77" s="21"/>
      <c r="BB77" s="21"/>
      <c r="BF77" s="106" t="str">
        <f t="shared" si="1"/>
        <v>#VALUE!</v>
      </c>
      <c r="BG77" s="21">
        <f t="shared" si="2"/>
        <v>12</v>
      </c>
    </row>
    <row r="78">
      <c r="P78" s="161"/>
      <c r="AI78" s="102"/>
      <c r="AK78" s="105" t="s">
        <v>881</v>
      </c>
      <c r="AO78" s="53" t="s">
        <v>884</v>
      </c>
      <c r="AP78" s="21"/>
      <c r="AQ78" s="21"/>
      <c r="AR78" s="21"/>
      <c r="AS78" s="21"/>
      <c r="AT78" s="21"/>
      <c r="AU78" s="21"/>
      <c r="AV78" s="21"/>
      <c r="AW78" s="21"/>
      <c r="AX78" s="21"/>
      <c r="AY78" s="21"/>
      <c r="AZ78" s="21"/>
      <c r="BA78" s="21"/>
      <c r="BB78" s="21"/>
      <c r="BF78" s="106" t="str">
        <f t="shared" si="1"/>
        <v>#VALUE!</v>
      </c>
      <c r="BG78" s="21">
        <f t="shared" si="2"/>
        <v>12</v>
      </c>
    </row>
    <row r="79">
      <c r="P79" s="161"/>
      <c r="AI79" s="102"/>
      <c r="AK79" s="105" t="s">
        <v>887</v>
      </c>
      <c r="AL79" s="58"/>
      <c r="AO79" s="53" t="s">
        <v>892</v>
      </c>
      <c r="AP79" s="21" t="s">
        <v>893</v>
      </c>
      <c r="AQ79" s="21"/>
      <c r="AR79" s="21"/>
      <c r="AS79" s="21"/>
      <c r="AT79" s="21"/>
      <c r="AU79" s="21"/>
      <c r="AV79" s="21"/>
      <c r="AW79" s="21"/>
      <c r="AX79" s="21"/>
      <c r="AY79" s="21"/>
      <c r="AZ79" s="21"/>
      <c r="BA79" s="21"/>
      <c r="BB79" s="21"/>
      <c r="BF79" s="106" t="str">
        <f t="shared" si="1"/>
        <v>#VALUE!</v>
      </c>
      <c r="BG79" s="21">
        <f t="shared" si="2"/>
        <v>12</v>
      </c>
    </row>
    <row r="80">
      <c r="P80" s="161"/>
      <c r="AI80" s="102"/>
      <c r="AK80" s="105" t="s">
        <v>896</v>
      </c>
      <c r="AO80" s="21" t="s">
        <v>899</v>
      </c>
      <c r="AP80" s="21" t="s">
        <v>900</v>
      </c>
      <c r="AQ80" s="21"/>
      <c r="AR80" s="21"/>
      <c r="AS80" s="21"/>
      <c r="AT80" s="21"/>
      <c r="AU80" s="21"/>
      <c r="AV80" s="21"/>
      <c r="AW80" s="21"/>
      <c r="AX80" s="21"/>
      <c r="AY80" s="21"/>
      <c r="AZ80" s="21"/>
      <c r="BA80" s="21"/>
      <c r="BB80" s="21"/>
      <c r="BF80" s="106" t="str">
        <f t="shared" si="1"/>
        <v>#VALUE!</v>
      </c>
      <c r="BG80" s="21">
        <f t="shared" si="2"/>
        <v>12</v>
      </c>
    </row>
    <row r="81">
      <c r="P81" s="161"/>
      <c r="AI81" s="102"/>
      <c r="AK81" s="105" t="s">
        <v>902</v>
      </c>
      <c r="AO81" s="53" t="s">
        <v>910</v>
      </c>
      <c r="AP81" s="53" t="s">
        <v>911</v>
      </c>
      <c r="AQ81" s="21"/>
      <c r="AR81" s="21"/>
      <c r="AS81" s="21"/>
      <c r="AT81" s="21"/>
      <c r="AU81" s="21"/>
      <c r="AV81" s="21"/>
      <c r="AW81" s="21"/>
      <c r="AX81" s="21"/>
      <c r="AY81" s="21"/>
      <c r="AZ81" s="21"/>
      <c r="BA81" s="21"/>
      <c r="BB81" s="21"/>
      <c r="BF81" s="106" t="str">
        <f t="shared" si="1"/>
        <v>#VALUE!</v>
      </c>
      <c r="BG81" s="21">
        <f t="shared" si="2"/>
        <v>12</v>
      </c>
    </row>
    <row r="82">
      <c r="P82" s="161"/>
      <c r="AI82" s="102"/>
      <c r="AK82" s="105" t="s">
        <v>913</v>
      </c>
      <c r="AL82" s="86" t="s">
        <v>513</v>
      </c>
      <c r="AO82" s="53" t="s">
        <v>915</v>
      </c>
      <c r="AP82" s="53" t="s">
        <v>916</v>
      </c>
      <c r="AQ82" s="21"/>
      <c r="AR82" s="21"/>
      <c r="AS82" s="21"/>
      <c r="AT82" s="21"/>
      <c r="AU82" s="21"/>
      <c r="AV82" s="21"/>
      <c r="AW82" s="21"/>
      <c r="AX82" s="21"/>
      <c r="AY82" s="21"/>
      <c r="AZ82" s="21"/>
      <c r="BA82" s="21"/>
      <c r="BB82" s="21"/>
      <c r="BF82" s="106" t="str">
        <f t="shared" si="1"/>
        <v>#VALUE!</v>
      </c>
      <c r="BG82" s="21">
        <f t="shared" si="2"/>
        <v>12</v>
      </c>
    </row>
    <row r="83">
      <c r="P83" s="161"/>
      <c r="AI83" s="102"/>
      <c r="AK83" s="105" t="s">
        <v>919</v>
      </c>
      <c r="AL83" s="86" t="s">
        <v>513</v>
      </c>
      <c r="AO83" s="53" t="s">
        <v>927</v>
      </c>
      <c r="AP83" s="53" t="s">
        <v>928</v>
      </c>
      <c r="AQ83" s="53" t="s">
        <v>929</v>
      </c>
      <c r="AR83" s="21"/>
      <c r="AS83" s="21"/>
      <c r="AT83" s="21"/>
      <c r="AU83" s="21"/>
      <c r="AV83" s="21"/>
      <c r="AW83" s="21"/>
      <c r="AX83" s="21"/>
      <c r="AY83" s="21"/>
      <c r="AZ83" s="21"/>
      <c r="BA83" s="21"/>
      <c r="BB83" s="21"/>
      <c r="BF83" s="106" t="str">
        <f t="shared" si="1"/>
        <v>#VALUE!</v>
      </c>
      <c r="BG83" s="21">
        <f t="shared" si="2"/>
        <v>12</v>
      </c>
    </row>
    <row r="84">
      <c r="P84" s="161"/>
      <c r="AI84" s="102"/>
      <c r="AK84" s="105" t="s">
        <v>932</v>
      </c>
      <c r="AO84" s="21" t="s">
        <v>939</v>
      </c>
      <c r="AP84" s="21" t="s">
        <v>940</v>
      </c>
      <c r="AQ84" s="53" t="s">
        <v>941</v>
      </c>
      <c r="AR84" s="21"/>
      <c r="AS84" s="21" t="s">
        <v>866</v>
      </c>
      <c r="AT84" s="21"/>
      <c r="AU84" s="21"/>
      <c r="AV84" s="21"/>
      <c r="AW84" s="21"/>
      <c r="AX84" s="21"/>
      <c r="AY84" s="21"/>
      <c r="AZ84" s="21"/>
      <c r="BA84" s="21"/>
      <c r="BB84" s="21"/>
      <c r="BF84" s="106" t="str">
        <f t="shared" si="1"/>
        <v>#VALUE!</v>
      </c>
      <c r="BG84" s="21">
        <f t="shared" si="2"/>
        <v>12</v>
      </c>
    </row>
    <row r="85">
      <c r="P85" s="161"/>
      <c r="AI85" s="102"/>
      <c r="AK85" s="105" t="s">
        <v>944</v>
      </c>
      <c r="AO85" s="53" t="s">
        <v>949</v>
      </c>
      <c r="AP85" s="53" t="s">
        <v>950</v>
      </c>
      <c r="AQ85" s="21" t="s">
        <v>651</v>
      </c>
      <c r="AR85" s="21"/>
      <c r="AS85" s="21"/>
      <c r="AT85" s="21"/>
      <c r="AU85" s="21"/>
      <c r="AV85" s="21"/>
      <c r="AW85" s="21"/>
      <c r="AX85" s="21"/>
      <c r="AY85" s="21"/>
      <c r="AZ85" s="21"/>
      <c r="BA85" s="21"/>
      <c r="BB85" s="21"/>
      <c r="BF85" s="106" t="str">
        <f t="shared" si="1"/>
        <v>#VALUE!</v>
      </c>
      <c r="BG85" s="21">
        <f t="shared" si="2"/>
        <v>12</v>
      </c>
    </row>
    <row r="86">
      <c r="P86" s="161"/>
      <c r="AI86" s="102"/>
      <c r="AK86" s="105" t="s">
        <v>953</v>
      </c>
      <c r="AL86" s="58"/>
      <c r="AO86" s="53" t="s">
        <v>959</v>
      </c>
      <c r="AP86" s="21" t="s">
        <v>960</v>
      </c>
      <c r="AQ86" s="21"/>
      <c r="AR86" s="21" t="s">
        <v>962</v>
      </c>
      <c r="AS86" s="21"/>
      <c r="AT86" s="21"/>
      <c r="AU86" s="21" t="s">
        <v>963</v>
      </c>
      <c r="AV86" s="21"/>
      <c r="AW86" s="21"/>
      <c r="AX86" s="21"/>
      <c r="AY86" s="21"/>
      <c r="AZ86" s="21"/>
      <c r="BA86" s="21"/>
      <c r="BB86" s="21"/>
      <c r="BF86" s="106" t="str">
        <f t="shared" si="1"/>
        <v>#VALUE!</v>
      </c>
      <c r="BG86" s="21">
        <f t="shared" si="2"/>
        <v>12</v>
      </c>
    </row>
    <row r="87">
      <c r="P87" s="161"/>
      <c r="AI87" s="102"/>
      <c r="AK87" s="105" t="s">
        <v>967</v>
      </c>
      <c r="AL87" s="169" t="s">
        <v>968</v>
      </c>
      <c r="AO87" s="21" t="s">
        <v>969</v>
      </c>
      <c r="AP87" s="21" t="s">
        <v>971</v>
      </c>
      <c r="AQ87" s="53" t="s">
        <v>972</v>
      </c>
      <c r="AR87" s="21"/>
      <c r="AS87" s="21"/>
      <c r="AT87" s="21"/>
      <c r="AU87" s="21"/>
      <c r="AV87" s="21"/>
      <c r="AW87" s="21"/>
      <c r="AX87" s="21"/>
      <c r="AY87" s="21"/>
      <c r="AZ87" s="21"/>
      <c r="BA87" s="21"/>
      <c r="BB87" s="21"/>
      <c r="BF87" s="106" t="str">
        <f t="shared" si="1"/>
        <v>#VALUE!</v>
      </c>
      <c r="BG87" s="21">
        <f t="shared" si="2"/>
        <v>12</v>
      </c>
    </row>
    <row r="88">
      <c r="P88" s="161"/>
      <c r="AI88" s="102"/>
      <c r="AK88" s="105" t="s">
        <v>973</v>
      </c>
      <c r="AL88" s="86" t="s">
        <v>513</v>
      </c>
      <c r="AO88" s="53" t="s">
        <v>977</v>
      </c>
      <c r="AP88" s="53" t="s">
        <v>979</v>
      </c>
      <c r="AQ88" s="21"/>
      <c r="AR88" s="21"/>
      <c r="AS88" s="21"/>
      <c r="AT88" s="21"/>
      <c r="AU88" s="21"/>
      <c r="AV88" s="21"/>
      <c r="AW88" s="21"/>
      <c r="AX88" s="21"/>
      <c r="AY88" s="21"/>
      <c r="AZ88" s="21"/>
      <c r="BA88" s="21"/>
      <c r="BB88" s="21"/>
      <c r="BF88" s="106" t="str">
        <f t="shared" si="1"/>
        <v>#VALUE!</v>
      </c>
      <c r="BG88" s="21">
        <f t="shared" si="2"/>
        <v>12</v>
      </c>
    </row>
    <row r="89">
      <c r="P89" s="161"/>
      <c r="AI89" s="102"/>
      <c r="AK89" s="105" t="s">
        <v>981</v>
      </c>
      <c r="AL89" s="58"/>
      <c r="AO89" s="53" t="s">
        <v>985</v>
      </c>
      <c r="AP89" s="53" t="s">
        <v>986</v>
      </c>
      <c r="AQ89" s="21"/>
      <c r="AR89" s="53" t="s">
        <v>988</v>
      </c>
      <c r="AS89" s="21" t="s">
        <v>866</v>
      </c>
      <c r="AT89" s="21"/>
      <c r="AU89" s="21"/>
      <c r="AV89" s="21"/>
      <c r="AW89" s="21"/>
      <c r="AX89" s="21"/>
      <c r="AY89" s="21"/>
      <c r="AZ89" s="21"/>
      <c r="BA89" s="21"/>
      <c r="BB89" s="21"/>
      <c r="BF89" s="106" t="str">
        <f t="shared" si="1"/>
        <v>#VALUE!</v>
      </c>
      <c r="BG89" s="21">
        <f t="shared" si="2"/>
        <v>12</v>
      </c>
    </row>
    <row r="90">
      <c r="P90" s="161"/>
      <c r="AI90" s="102"/>
      <c r="AK90" s="105" t="s">
        <v>993</v>
      </c>
      <c r="AO90" s="53" t="s">
        <v>997</v>
      </c>
      <c r="AP90" s="21"/>
      <c r="AQ90" s="21"/>
      <c r="AR90" s="21"/>
      <c r="AS90" s="21"/>
      <c r="AT90" s="21"/>
      <c r="AU90" s="21"/>
      <c r="AV90" s="21"/>
      <c r="AW90" s="21"/>
      <c r="AX90" s="21"/>
      <c r="AY90" s="21"/>
      <c r="AZ90" s="21"/>
      <c r="BA90" s="21"/>
      <c r="BB90" s="21"/>
      <c r="BF90" s="106" t="str">
        <f t="shared" si="1"/>
        <v>#VALUE!</v>
      </c>
      <c r="BG90" s="21">
        <f t="shared" si="2"/>
        <v>12</v>
      </c>
    </row>
    <row r="91">
      <c r="P91" s="161"/>
      <c r="AI91" s="102"/>
      <c r="AK91" s="105" t="s">
        <v>1000</v>
      </c>
      <c r="AL91" s="169" t="s">
        <v>968</v>
      </c>
      <c r="AO91" s="53" t="s">
        <v>1009</v>
      </c>
      <c r="AP91" s="53" t="s">
        <v>1010</v>
      </c>
      <c r="AQ91" s="21"/>
      <c r="AR91" s="53" t="s">
        <v>1011</v>
      </c>
      <c r="AS91" s="21"/>
      <c r="AT91" s="21"/>
      <c r="AU91" s="21"/>
      <c r="AV91" s="21"/>
      <c r="AW91" s="21"/>
      <c r="AX91" s="21"/>
      <c r="AY91" s="21"/>
      <c r="AZ91" s="21"/>
      <c r="BA91" s="21"/>
      <c r="BB91" s="21"/>
      <c r="BF91" s="106" t="str">
        <f t="shared" si="1"/>
        <v>#VALUE!</v>
      </c>
      <c r="BG91" s="21">
        <f t="shared" si="2"/>
        <v>12</v>
      </c>
    </row>
    <row r="92">
      <c r="P92" s="161"/>
      <c r="AI92" s="102"/>
      <c r="AK92" s="105" t="s">
        <v>1014</v>
      </c>
      <c r="AL92" s="58"/>
      <c r="AO92" s="53" t="s">
        <v>1022</v>
      </c>
      <c r="AP92" s="21" t="s">
        <v>1023</v>
      </c>
      <c r="AQ92" s="21"/>
      <c r="AR92" s="21"/>
      <c r="AS92" s="21"/>
      <c r="AT92" s="21"/>
      <c r="AU92" s="21"/>
      <c r="AV92" s="21"/>
      <c r="AW92" s="21"/>
      <c r="AX92" s="21"/>
      <c r="AY92" s="21"/>
      <c r="AZ92" s="21"/>
      <c r="BA92" s="21"/>
      <c r="BB92" s="21"/>
      <c r="BF92" s="106" t="str">
        <f t="shared" si="1"/>
        <v>#VALUE!</v>
      </c>
      <c r="BG92" s="21">
        <f t="shared" si="2"/>
        <v>12</v>
      </c>
    </row>
    <row r="93">
      <c r="P93" s="161"/>
      <c r="AI93" s="102"/>
      <c r="AK93" s="105" t="s">
        <v>1026</v>
      </c>
      <c r="AL93" s="58"/>
      <c r="AO93" s="53" t="s">
        <v>1032</v>
      </c>
      <c r="AP93" s="21"/>
      <c r="AQ93" s="21"/>
      <c r="AR93" s="21"/>
      <c r="AS93" s="21"/>
      <c r="AT93" s="21"/>
      <c r="AU93" s="21"/>
      <c r="AV93" s="21" t="s">
        <v>1033</v>
      </c>
      <c r="AW93" s="21"/>
      <c r="AX93" s="21"/>
      <c r="AY93" s="21"/>
      <c r="AZ93" s="21"/>
      <c r="BA93" s="21"/>
      <c r="BB93" s="21"/>
      <c r="BF93" s="106" t="str">
        <f t="shared" si="1"/>
        <v>#VALUE!</v>
      </c>
      <c r="BG93" s="21">
        <f t="shared" si="2"/>
        <v>12</v>
      </c>
    </row>
    <row r="94">
      <c r="P94" s="161"/>
      <c r="AI94" s="102"/>
      <c r="AK94" s="105" t="s">
        <v>1035</v>
      </c>
      <c r="AO94" s="53" t="s">
        <v>1040</v>
      </c>
      <c r="AP94" s="21"/>
      <c r="AQ94" s="21"/>
      <c r="AR94" s="21"/>
      <c r="AS94" s="21"/>
      <c r="AT94" s="21"/>
      <c r="AU94" s="21"/>
      <c r="AV94" s="21"/>
      <c r="AW94" s="21"/>
      <c r="AX94" s="21"/>
      <c r="AY94" s="21"/>
      <c r="AZ94" s="21"/>
      <c r="BA94" s="21"/>
      <c r="BB94" s="21"/>
      <c r="BF94" s="106" t="str">
        <f t="shared" si="1"/>
        <v>#VALUE!</v>
      </c>
      <c r="BG94" s="21">
        <f t="shared" si="2"/>
        <v>12</v>
      </c>
    </row>
    <row r="95">
      <c r="P95" s="161"/>
      <c r="AI95" s="102"/>
      <c r="AK95" s="105" t="s">
        <v>1041</v>
      </c>
      <c r="AO95" s="53" t="s">
        <v>1047</v>
      </c>
      <c r="AP95" s="21"/>
      <c r="AQ95" s="21"/>
      <c r="AR95" s="21"/>
      <c r="AS95" s="21"/>
      <c r="AT95" s="21"/>
      <c r="AU95" s="21"/>
      <c r="AV95" s="21"/>
      <c r="AW95" s="21"/>
      <c r="AX95" s="21"/>
      <c r="AY95" s="21"/>
      <c r="AZ95" s="21"/>
      <c r="BA95" s="21"/>
      <c r="BB95" s="21"/>
      <c r="BF95" s="106" t="str">
        <f t="shared" si="1"/>
        <v>#VALUE!</v>
      </c>
      <c r="BG95" s="21">
        <f t="shared" si="2"/>
        <v>12</v>
      </c>
    </row>
    <row r="96">
      <c r="P96" s="161"/>
      <c r="AI96" s="102"/>
      <c r="AK96" s="105" t="s">
        <v>1050</v>
      </c>
      <c r="AO96" s="53" t="s">
        <v>1053</v>
      </c>
      <c r="AP96" s="21" t="s">
        <v>1054</v>
      </c>
      <c r="AQ96" s="53" t="s">
        <v>1056</v>
      </c>
      <c r="AR96" s="21"/>
      <c r="AS96" s="21"/>
      <c r="AT96" s="21"/>
      <c r="AU96" s="21"/>
      <c r="AV96" s="21"/>
      <c r="AW96" s="21"/>
      <c r="AX96" s="21"/>
      <c r="AY96" s="21"/>
      <c r="AZ96" s="21"/>
      <c r="BA96" s="21"/>
      <c r="BB96" s="21"/>
      <c r="BF96" s="106" t="str">
        <f t="shared" si="1"/>
        <v>#VALUE!</v>
      </c>
      <c r="BG96" s="21">
        <f t="shared" si="2"/>
        <v>12</v>
      </c>
    </row>
    <row r="97">
      <c r="P97" s="161"/>
      <c r="AI97" s="102"/>
      <c r="AK97" s="105" t="s">
        <v>1058</v>
      </c>
      <c r="AO97" s="53" t="s">
        <v>1062</v>
      </c>
      <c r="AP97" s="53" t="s">
        <v>1063</v>
      </c>
      <c r="AQ97" s="21"/>
      <c r="AR97" s="21"/>
      <c r="AS97" s="21"/>
      <c r="AT97" s="21"/>
      <c r="AU97" s="21"/>
      <c r="AV97" s="21"/>
      <c r="AW97" s="21"/>
      <c r="AX97" s="21"/>
      <c r="AY97" s="21"/>
      <c r="AZ97" s="21"/>
      <c r="BA97" s="21"/>
      <c r="BB97" s="21"/>
      <c r="BF97" s="106" t="str">
        <f t="shared" si="1"/>
        <v>#VALUE!</v>
      </c>
      <c r="BG97" s="21">
        <f t="shared" si="2"/>
        <v>12</v>
      </c>
    </row>
    <row r="98">
      <c r="P98" s="161"/>
      <c r="AI98" s="102"/>
      <c r="AK98" s="105" t="s">
        <v>1066</v>
      </c>
      <c r="AL98" s="58"/>
      <c r="AO98" s="53" t="s">
        <v>1077</v>
      </c>
      <c r="AP98" s="21" t="s">
        <v>1078</v>
      </c>
      <c r="AQ98" s="53" t="s">
        <v>1079</v>
      </c>
      <c r="AR98" s="21"/>
      <c r="AS98" s="21"/>
      <c r="AT98" s="21"/>
      <c r="AU98" s="21"/>
      <c r="AV98" s="21"/>
      <c r="AW98" s="21"/>
      <c r="AX98" s="21"/>
      <c r="AY98" s="21"/>
      <c r="AZ98" s="21"/>
      <c r="BA98" s="21"/>
      <c r="BB98" s="21"/>
      <c r="BF98" s="106" t="str">
        <f t="shared" si="1"/>
        <v>#VALUE!</v>
      </c>
      <c r="BG98" s="21">
        <f t="shared" si="2"/>
        <v>12</v>
      </c>
    </row>
    <row r="99">
      <c r="P99" s="161"/>
      <c r="AI99" s="102"/>
      <c r="AK99" s="105" t="s">
        <v>1081</v>
      </c>
      <c r="AO99" s="21"/>
      <c r="AP99" s="21" t="s">
        <v>1087</v>
      </c>
      <c r="AQ99" s="21" t="s">
        <v>1088</v>
      </c>
      <c r="AR99" s="21"/>
      <c r="AS99" s="21"/>
      <c r="AT99" s="21"/>
      <c r="AU99" s="21"/>
      <c r="AV99" s="21"/>
      <c r="AW99" s="21"/>
      <c r="AX99" s="21"/>
      <c r="AY99" s="21"/>
      <c r="AZ99" s="21"/>
      <c r="BA99" s="21"/>
      <c r="BB99" s="21"/>
      <c r="BF99" s="106" t="str">
        <f t="shared" si="1"/>
        <v>#VALUE!</v>
      </c>
      <c r="BG99" s="21">
        <f t="shared" si="2"/>
        <v>12</v>
      </c>
    </row>
    <row r="100">
      <c r="P100" s="161"/>
      <c r="AI100" s="102"/>
      <c r="AK100" s="105" t="s">
        <v>1091</v>
      </c>
      <c r="AO100" s="53" t="s">
        <v>1097</v>
      </c>
      <c r="AP100" s="21" t="s">
        <v>1098</v>
      </c>
      <c r="AQ100" s="21" t="s">
        <v>866</v>
      </c>
      <c r="AR100" s="21"/>
      <c r="AS100" s="21"/>
      <c r="AT100" s="21"/>
      <c r="AU100" s="21"/>
      <c r="AV100" s="21"/>
      <c r="AW100" s="21"/>
      <c r="AX100" s="21"/>
      <c r="AY100" s="21"/>
      <c r="AZ100" s="21"/>
      <c r="BA100" s="21"/>
      <c r="BB100" s="21"/>
      <c r="BF100" s="106" t="str">
        <f t="shared" si="1"/>
        <v>#VALUE!</v>
      </c>
      <c r="BG100" s="21">
        <f t="shared" si="2"/>
        <v>12</v>
      </c>
    </row>
    <row r="101">
      <c r="P101" s="161"/>
      <c r="AI101" s="102"/>
      <c r="AK101" s="105" t="s">
        <v>1100</v>
      </c>
      <c r="AL101" s="86" t="s">
        <v>1109</v>
      </c>
      <c r="AO101" s="53" t="s">
        <v>1111</v>
      </c>
      <c r="AP101" s="53" t="s">
        <v>1112</v>
      </c>
      <c r="AQ101" s="21"/>
      <c r="AR101" s="21"/>
      <c r="AS101" s="21"/>
      <c r="AT101" s="21"/>
      <c r="AU101" s="21"/>
      <c r="AV101" s="21"/>
      <c r="AW101" s="21"/>
      <c r="AX101" s="21"/>
      <c r="AY101" s="21"/>
      <c r="AZ101" s="21"/>
      <c r="BA101" s="21"/>
      <c r="BB101" s="21"/>
      <c r="BF101" s="106" t="str">
        <f t="shared" si="1"/>
        <v>#VALUE!</v>
      </c>
      <c r="BG101" s="21">
        <f t="shared" si="2"/>
        <v>12</v>
      </c>
    </row>
    <row r="102">
      <c r="P102" s="161"/>
      <c r="AI102" s="102"/>
      <c r="AK102" s="105" t="s">
        <v>1115</v>
      </c>
      <c r="AO102" s="53" t="s">
        <v>1119</v>
      </c>
      <c r="AP102" s="21" t="s">
        <v>1120</v>
      </c>
      <c r="AQ102" s="21"/>
      <c r="AR102" s="21"/>
      <c r="AS102" s="21"/>
      <c r="AT102" s="21"/>
      <c r="AU102" s="21"/>
      <c r="AV102" s="21"/>
      <c r="AW102" s="21"/>
      <c r="AX102" s="21"/>
      <c r="AY102" s="21"/>
      <c r="AZ102" s="21"/>
      <c r="BA102" s="21"/>
      <c r="BB102" s="21"/>
      <c r="BF102" s="106" t="str">
        <f t="shared" si="1"/>
        <v>#VALUE!</v>
      </c>
      <c r="BG102" s="21">
        <f t="shared" si="2"/>
        <v>12</v>
      </c>
    </row>
    <row r="103">
      <c r="P103" s="161"/>
      <c r="AI103" s="102"/>
      <c r="AK103" s="105" t="s">
        <v>1122</v>
      </c>
      <c r="AL103" s="246" t="s">
        <v>1126</v>
      </c>
      <c r="AO103" s="21" t="s">
        <v>1127</v>
      </c>
      <c r="AP103" s="21" t="s">
        <v>1129</v>
      </c>
      <c r="AQ103" s="21"/>
      <c r="AR103" s="21"/>
      <c r="AS103" s="21"/>
      <c r="AT103" s="21"/>
      <c r="AU103" s="21"/>
      <c r="AV103" s="21"/>
      <c r="AW103" s="21"/>
      <c r="AX103" s="21"/>
      <c r="AY103" s="21"/>
      <c r="AZ103" s="21"/>
      <c r="BA103" s="21"/>
      <c r="BB103" s="21"/>
      <c r="BF103" s="106" t="str">
        <f t="shared" si="1"/>
        <v>#VALUE!</v>
      </c>
      <c r="BG103" s="21">
        <f t="shared" si="2"/>
        <v>12</v>
      </c>
    </row>
    <row r="104">
      <c r="P104" s="161"/>
      <c r="AI104" s="102"/>
      <c r="AK104" s="105" t="s">
        <v>1133</v>
      </c>
      <c r="AL104" s="86" t="s">
        <v>1134</v>
      </c>
      <c r="AO104" s="21" t="s">
        <v>1135</v>
      </c>
      <c r="AP104" s="21" t="s">
        <v>1136</v>
      </c>
      <c r="AQ104" s="21"/>
      <c r="AR104" s="21"/>
      <c r="AS104" s="21"/>
      <c r="AT104" s="21"/>
      <c r="AU104" s="21"/>
      <c r="AV104" s="21"/>
      <c r="AW104" s="21"/>
      <c r="AX104" s="21"/>
      <c r="AY104" s="21"/>
      <c r="AZ104" s="21"/>
      <c r="BA104" s="21"/>
      <c r="BB104" s="21"/>
      <c r="BF104" s="106" t="str">
        <f t="shared" si="1"/>
        <v>#VALUE!</v>
      </c>
      <c r="BG104" s="21">
        <f t="shared" si="2"/>
        <v>12</v>
      </c>
    </row>
    <row r="105">
      <c r="P105" s="161"/>
      <c r="AI105" s="102"/>
      <c r="AK105" s="105" t="s">
        <v>1137</v>
      </c>
      <c r="AL105" s="86" t="s">
        <v>513</v>
      </c>
      <c r="AO105" s="53" t="s">
        <v>1139</v>
      </c>
      <c r="AP105" s="21"/>
      <c r="AQ105" s="53" t="s">
        <v>1141</v>
      </c>
      <c r="AR105" s="21"/>
      <c r="AS105" s="21" t="s">
        <v>1143</v>
      </c>
      <c r="AT105" s="21"/>
      <c r="AU105" s="21"/>
      <c r="AV105" s="21"/>
      <c r="AW105" s="21"/>
      <c r="AX105" s="21"/>
      <c r="AY105" s="21"/>
      <c r="AZ105" s="21"/>
      <c r="BA105" s="21"/>
      <c r="BB105" s="21"/>
      <c r="BF105" s="106" t="str">
        <f t="shared" si="1"/>
        <v>#VALUE!</v>
      </c>
      <c r="BG105" s="21">
        <f t="shared" si="2"/>
        <v>12</v>
      </c>
    </row>
    <row r="106">
      <c r="P106" s="161"/>
      <c r="AI106" s="102"/>
      <c r="AK106" s="105" t="s">
        <v>805</v>
      </c>
      <c r="AO106" s="21" t="s">
        <v>1144</v>
      </c>
      <c r="AP106" s="21" t="s">
        <v>1145</v>
      </c>
      <c r="AQ106" s="21"/>
      <c r="AR106" s="21"/>
      <c r="AS106" s="21"/>
      <c r="AT106" s="21"/>
      <c r="AU106" s="21"/>
      <c r="AV106" s="21"/>
      <c r="AW106" s="21"/>
      <c r="AX106" s="21"/>
      <c r="AY106" s="21"/>
      <c r="AZ106" s="21"/>
      <c r="BA106" s="21"/>
      <c r="BB106" s="21"/>
      <c r="BF106" s="106" t="str">
        <f t="shared" si="1"/>
        <v>#VALUE!</v>
      </c>
      <c r="BG106" s="21">
        <f t="shared" si="2"/>
        <v>12</v>
      </c>
    </row>
    <row r="107">
      <c r="P107" s="161"/>
      <c r="AI107" s="102"/>
      <c r="AK107" s="105" t="s">
        <v>1146</v>
      </c>
      <c r="AL107" s="86" t="s">
        <v>513</v>
      </c>
      <c r="AO107" s="53" t="s">
        <v>1149</v>
      </c>
      <c r="AP107" s="21" t="s">
        <v>1150</v>
      </c>
      <c r="AQ107" s="21" t="s">
        <v>1151</v>
      </c>
      <c r="AR107" s="21"/>
      <c r="AS107" s="21" t="s">
        <v>1152</v>
      </c>
      <c r="AT107" s="21" t="s">
        <v>866</v>
      </c>
      <c r="AU107" s="21"/>
      <c r="AV107" s="21"/>
      <c r="AW107" s="21"/>
      <c r="AX107" s="21"/>
      <c r="AY107" s="21"/>
      <c r="AZ107" s="21"/>
      <c r="BA107" s="21"/>
      <c r="BB107" s="21"/>
      <c r="BF107" s="106" t="str">
        <f t="shared" si="1"/>
        <v>#VALUE!</v>
      </c>
      <c r="BG107" s="21">
        <f t="shared" si="2"/>
        <v>12</v>
      </c>
    </row>
    <row r="108">
      <c r="P108" s="161"/>
      <c r="AI108" s="102"/>
      <c r="AK108" s="105" t="s">
        <v>1153</v>
      </c>
      <c r="AO108" s="53" t="s">
        <v>1154</v>
      </c>
      <c r="AP108" s="21"/>
      <c r="AQ108" s="21"/>
      <c r="AR108" s="21"/>
      <c r="AS108" s="20" t="s">
        <v>1155</v>
      </c>
      <c r="AT108" s="21"/>
      <c r="AU108" s="21"/>
      <c r="AV108" s="21"/>
      <c r="AW108" s="21"/>
      <c r="AX108" s="21"/>
      <c r="AY108" s="21"/>
      <c r="AZ108" s="21"/>
      <c r="BA108" s="21"/>
      <c r="BB108" s="21"/>
      <c r="BF108" s="106" t="str">
        <f t="shared" si="1"/>
        <v>#VALUE!</v>
      </c>
      <c r="BG108" s="21">
        <f t="shared" si="2"/>
        <v>12</v>
      </c>
    </row>
    <row r="109">
      <c r="P109" s="161"/>
      <c r="AI109" s="102"/>
      <c r="AK109" s="105" t="s">
        <v>1156</v>
      </c>
      <c r="AO109" s="21" t="s">
        <v>1159</v>
      </c>
      <c r="AP109" s="53" t="s">
        <v>1160</v>
      </c>
      <c r="AQ109" s="21"/>
      <c r="AR109" s="21"/>
      <c r="AS109" s="21"/>
      <c r="AT109" s="21"/>
      <c r="AU109" s="21"/>
      <c r="AV109" s="21"/>
      <c r="AW109" s="21"/>
      <c r="AX109" s="21"/>
      <c r="AY109" s="21"/>
      <c r="AZ109" s="21"/>
      <c r="BA109" s="21"/>
      <c r="BB109" s="21"/>
      <c r="BF109" s="106" t="str">
        <f t="shared" si="1"/>
        <v>#VALUE!</v>
      </c>
      <c r="BG109" s="21">
        <f t="shared" si="2"/>
        <v>12</v>
      </c>
    </row>
    <row r="110">
      <c r="P110" s="161"/>
      <c r="AI110" s="102"/>
      <c r="AK110" s="105" t="s">
        <v>1161</v>
      </c>
      <c r="AL110" s="86" t="s">
        <v>513</v>
      </c>
      <c r="AO110" s="21" t="s">
        <v>1162</v>
      </c>
      <c r="AP110" s="21" t="s">
        <v>1163</v>
      </c>
      <c r="AQ110" s="21" t="s">
        <v>1164</v>
      </c>
      <c r="AR110" s="21" t="s">
        <v>866</v>
      </c>
      <c r="AS110" s="21"/>
      <c r="AT110" s="21"/>
      <c r="AU110" s="21"/>
      <c r="AV110" s="21"/>
      <c r="AW110" s="21"/>
      <c r="AX110" s="21"/>
      <c r="AY110" s="21"/>
      <c r="AZ110" s="21"/>
      <c r="BA110" s="21"/>
      <c r="BB110" s="21"/>
      <c r="BF110" s="106" t="str">
        <f t="shared" si="1"/>
        <v>#VALUE!</v>
      </c>
      <c r="BG110" s="21">
        <f t="shared" si="2"/>
        <v>12</v>
      </c>
    </row>
    <row r="111">
      <c r="P111" s="161"/>
      <c r="AI111" s="102"/>
      <c r="AK111" s="105" t="s">
        <v>1165</v>
      </c>
      <c r="AL111" s="58"/>
      <c r="AO111" s="53" t="s">
        <v>1167</v>
      </c>
      <c r="AP111" s="53" t="s">
        <v>1168</v>
      </c>
      <c r="AQ111" s="53" t="s">
        <v>1169</v>
      </c>
      <c r="AR111" s="21"/>
      <c r="AS111" s="21"/>
      <c r="AT111" s="21"/>
      <c r="AU111" s="21"/>
      <c r="AV111" s="21" t="s">
        <v>1170</v>
      </c>
      <c r="AW111" s="21"/>
      <c r="AX111" s="21"/>
      <c r="AY111" s="21"/>
      <c r="AZ111" s="21"/>
      <c r="BA111" s="21"/>
      <c r="BB111" s="21"/>
      <c r="BF111" s="106" t="str">
        <f t="shared" si="1"/>
        <v>#VALUE!</v>
      </c>
      <c r="BG111" s="21">
        <f t="shared" si="2"/>
        <v>12</v>
      </c>
    </row>
    <row r="112">
      <c r="P112" s="161"/>
      <c r="AI112" s="102"/>
      <c r="AK112" s="105" t="s">
        <v>1171</v>
      </c>
      <c r="AO112" s="21" t="s">
        <v>1174</v>
      </c>
      <c r="AP112" s="53" t="s">
        <v>1175</v>
      </c>
      <c r="AQ112" s="53" t="s">
        <v>1176</v>
      </c>
      <c r="AR112" s="21"/>
      <c r="AS112" s="21"/>
      <c r="AT112" s="21"/>
      <c r="AU112" s="21"/>
      <c r="AV112" s="21"/>
      <c r="AW112" s="21"/>
      <c r="AX112" s="21"/>
      <c r="AY112" s="21"/>
      <c r="AZ112" s="21"/>
      <c r="BA112" s="21"/>
      <c r="BB112" s="21"/>
      <c r="BF112" s="106" t="str">
        <f t="shared" si="1"/>
        <v>#VALUE!</v>
      </c>
      <c r="BG112" s="21">
        <f t="shared" si="2"/>
        <v>12</v>
      </c>
    </row>
    <row r="113">
      <c r="P113" s="161"/>
      <c r="AI113" s="102"/>
      <c r="AK113" s="105" t="s">
        <v>1177</v>
      </c>
      <c r="AL113" s="86" t="s">
        <v>513</v>
      </c>
      <c r="AO113" s="53" t="s">
        <v>1178</v>
      </c>
      <c r="AP113" s="21"/>
      <c r="AQ113" s="20" t="s">
        <v>1179</v>
      </c>
      <c r="AR113" s="21" t="s">
        <v>866</v>
      </c>
      <c r="AS113" s="21"/>
      <c r="AT113" s="21"/>
      <c r="AU113" s="21"/>
      <c r="AV113" s="21"/>
      <c r="AW113" s="21"/>
      <c r="AX113" s="21"/>
      <c r="AY113" s="21"/>
      <c r="AZ113" s="21"/>
      <c r="BA113" s="21"/>
      <c r="BB113" s="21"/>
      <c r="BF113" s="106" t="str">
        <f t="shared" si="1"/>
        <v>#VALUE!</v>
      </c>
      <c r="BG113" s="21">
        <f t="shared" si="2"/>
        <v>12</v>
      </c>
    </row>
    <row r="114">
      <c r="P114" s="161"/>
      <c r="AI114" s="102"/>
      <c r="AK114" s="105" t="s">
        <v>1180</v>
      </c>
      <c r="AO114" s="21" t="s">
        <v>1182</v>
      </c>
      <c r="AP114" s="21"/>
      <c r="AQ114" s="21" t="s">
        <v>1183</v>
      </c>
      <c r="AR114" s="21"/>
      <c r="AS114" s="21"/>
      <c r="AT114" s="21"/>
      <c r="AU114" s="21"/>
      <c r="AV114" s="21"/>
      <c r="AW114" s="21"/>
      <c r="AX114" s="21"/>
      <c r="AY114" s="21"/>
      <c r="AZ114" s="21"/>
      <c r="BA114" s="21"/>
      <c r="BB114" s="21"/>
      <c r="BF114" s="106" t="str">
        <f t="shared" si="1"/>
        <v>#VALUE!</v>
      </c>
      <c r="BG114" s="21">
        <f t="shared" si="2"/>
        <v>12</v>
      </c>
    </row>
    <row r="115">
      <c r="P115" s="161"/>
      <c r="AI115" s="102"/>
      <c r="AK115" s="105" t="s">
        <v>807</v>
      </c>
      <c r="AO115" s="53" t="s">
        <v>1184</v>
      </c>
      <c r="AP115" s="21"/>
      <c r="AQ115" s="53" t="s">
        <v>1185</v>
      </c>
      <c r="AR115" s="21"/>
      <c r="AS115" s="21"/>
      <c r="AT115" s="21"/>
      <c r="AU115" s="21"/>
      <c r="AV115" s="21"/>
      <c r="AW115" s="53" t="s">
        <v>1186</v>
      </c>
      <c r="AX115" s="21" t="s">
        <v>600</v>
      </c>
      <c r="AY115" s="21"/>
      <c r="AZ115" s="21"/>
      <c r="BA115" s="21"/>
      <c r="BB115" s="21"/>
      <c r="BF115" s="106" t="str">
        <f t="shared" si="1"/>
        <v>#VALUE!</v>
      </c>
      <c r="BG115" s="21">
        <f t="shared" si="2"/>
        <v>12</v>
      </c>
    </row>
    <row r="116">
      <c r="P116" s="161"/>
      <c r="AI116" s="102"/>
      <c r="AK116" s="105" t="s">
        <v>1187</v>
      </c>
      <c r="AL116" s="58"/>
      <c r="AO116" s="21" t="s">
        <v>1189</v>
      </c>
      <c r="AP116" s="21"/>
      <c r="AQ116" s="21"/>
      <c r="AR116" s="21"/>
      <c r="AS116" s="21"/>
      <c r="AT116" s="21"/>
      <c r="AU116" s="21"/>
      <c r="AV116" s="21"/>
      <c r="AW116" s="21"/>
      <c r="AX116" s="21"/>
      <c r="AY116" s="21"/>
      <c r="AZ116" s="21"/>
      <c r="BA116" s="21"/>
      <c r="BB116" s="21"/>
      <c r="BF116" s="106" t="str">
        <f t="shared" si="1"/>
        <v>#VALUE!</v>
      </c>
      <c r="BG116" s="21">
        <f t="shared" si="2"/>
        <v>12</v>
      </c>
    </row>
    <row r="117">
      <c r="P117" s="161"/>
      <c r="AI117" s="102"/>
      <c r="AK117" s="105" t="s">
        <v>1190</v>
      </c>
      <c r="AL117" s="58"/>
      <c r="AO117" s="21" t="s">
        <v>1191</v>
      </c>
      <c r="AP117" s="21" t="s">
        <v>1192</v>
      </c>
      <c r="AQ117" s="21"/>
      <c r="AR117" s="21"/>
      <c r="AS117" s="21"/>
      <c r="AT117" s="21"/>
      <c r="AU117" s="21" t="s">
        <v>1193</v>
      </c>
      <c r="AV117" s="21" t="s">
        <v>1194</v>
      </c>
      <c r="AW117" s="21"/>
      <c r="AX117" s="21"/>
      <c r="AY117" s="21"/>
      <c r="AZ117" s="21"/>
      <c r="BA117" s="21"/>
      <c r="BB117" s="21"/>
      <c r="BF117" s="106" t="str">
        <f t="shared" si="1"/>
        <v>#VALUE!</v>
      </c>
      <c r="BG117" s="21">
        <f t="shared" si="2"/>
        <v>12</v>
      </c>
    </row>
    <row r="118">
      <c r="P118" s="161"/>
      <c r="AI118" s="102"/>
      <c r="AK118" s="105" t="s">
        <v>132</v>
      </c>
      <c r="AO118" s="21"/>
      <c r="AP118" s="21"/>
      <c r="AQ118" s="21"/>
      <c r="AR118" s="21"/>
      <c r="AS118" s="21"/>
      <c r="AT118" s="21"/>
      <c r="AU118" s="21"/>
      <c r="AV118" s="21"/>
      <c r="AW118" s="21"/>
      <c r="AX118" s="21"/>
      <c r="AY118" s="21"/>
      <c r="AZ118" s="21"/>
      <c r="BA118" s="21"/>
      <c r="BB118" s="21"/>
      <c r="BF118" s="106" t="str">
        <f t="shared" si="1"/>
        <v>#VALUE!</v>
      </c>
      <c r="BG118" s="21">
        <f t="shared" si="2"/>
        <v>12</v>
      </c>
    </row>
    <row r="119">
      <c r="P119" s="161"/>
      <c r="AI119" s="102"/>
      <c r="AK119" s="105" t="s">
        <v>1197</v>
      </c>
      <c r="AO119" s="53" t="s">
        <v>1198</v>
      </c>
      <c r="AP119" s="21" t="s">
        <v>1200</v>
      </c>
      <c r="AQ119" s="21"/>
      <c r="AR119" s="21"/>
      <c r="AS119" s="21"/>
      <c r="AT119" s="21"/>
      <c r="AU119" s="21"/>
      <c r="AV119" s="21"/>
      <c r="AW119" s="20" t="s">
        <v>1202</v>
      </c>
      <c r="AX119" s="21"/>
      <c r="AY119" s="21"/>
      <c r="AZ119" s="21"/>
      <c r="BA119" s="21"/>
      <c r="BB119" s="21"/>
      <c r="BF119" s="106" t="str">
        <f t="shared" si="1"/>
        <v>#VALUE!</v>
      </c>
      <c r="BG119" s="21">
        <f t="shared" si="2"/>
        <v>12</v>
      </c>
    </row>
    <row r="120">
      <c r="P120" s="161"/>
      <c r="AI120" s="102"/>
      <c r="AK120" s="105" t="s">
        <v>1203</v>
      </c>
      <c r="AL120" s="86" t="s">
        <v>513</v>
      </c>
      <c r="AO120" s="53" t="s">
        <v>1204</v>
      </c>
      <c r="AP120" s="21"/>
      <c r="AQ120" s="21"/>
      <c r="AR120" s="21"/>
      <c r="AS120" s="21"/>
      <c r="AT120" s="21" t="s">
        <v>1205</v>
      </c>
      <c r="AU120" s="21"/>
      <c r="AV120" s="21"/>
      <c r="AW120" s="21"/>
      <c r="AX120" s="21"/>
      <c r="AY120" s="21"/>
      <c r="AZ120" s="21"/>
      <c r="BA120" s="21"/>
      <c r="BB120" s="21"/>
      <c r="BF120" s="106" t="str">
        <f t="shared" si="1"/>
        <v>#VALUE!</v>
      </c>
      <c r="BG120" s="21">
        <f t="shared" si="2"/>
        <v>12</v>
      </c>
    </row>
    <row r="121">
      <c r="P121" s="161"/>
      <c r="AI121" s="102"/>
      <c r="AK121" s="105" t="s">
        <v>1206</v>
      </c>
      <c r="AL121" s="58"/>
      <c r="AO121" s="53" t="s">
        <v>1210</v>
      </c>
      <c r="AP121" s="53" t="s">
        <v>1211</v>
      </c>
      <c r="AQ121" s="53" t="s">
        <v>1212</v>
      </c>
      <c r="AR121" s="21"/>
      <c r="AS121" s="21"/>
      <c r="AT121" s="21"/>
      <c r="AU121" s="21"/>
      <c r="AV121" s="21"/>
      <c r="AW121" s="21"/>
      <c r="AX121" s="21"/>
      <c r="AY121" s="21"/>
      <c r="AZ121" s="21"/>
      <c r="BA121" s="21"/>
      <c r="BB121" s="21"/>
      <c r="BF121" s="106" t="str">
        <f t="shared" si="1"/>
        <v>#VALUE!</v>
      </c>
      <c r="BG121" s="21">
        <f t="shared" si="2"/>
        <v>12</v>
      </c>
    </row>
    <row r="122">
      <c r="P122" s="161"/>
      <c r="AI122" s="102"/>
      <c r="AK122" s="105" t="s">
        <v>1213</v>
      </c>
      <c r="AL122" s="246" t="s">
        <v>1214</v>
      </c>
      <c r="AO122" s="53" t="s">
        <v>1215</v>
      </c>
      <c r="AP122" s="21"/>
      <c r="AQ122" s="21"/>
      <c r="AR122" s="21"/>
      <c r="AS122" s="21"/>
      <c r="AT122" s="21"/>
      <c r="AU122" s="21"/>
      <c r="AV122" s="21"/>
      <c r="AW122" s="21"/>
      <c r="AX122" s="21"/>
      <c r="AY122" s="21"/>
      <c r="AZ122" s="21"/>
      <c r="BA122" s="21"/>
      <c r="BB122" s="21"/>
      <c r="BF122" s="106" t="str">
        <f t="shared" si="1"/>
        <v>#VALUE!</v>
      </c>
      <c r="BG122" s="21">
        <f t="shared" si="2"/>
        <v>12</v>
      </c>
    </row>
    <row r="123">
      <c r="P123" s="161"/>
      <c r="AI123" s="102"/>
      <c r="AK123" s="105" t="s">
        <v>323</v>
      </c>
      <c r="AL123" s="58"/>
      <c r="AO123" s="21"/>
      <c r="AP123" s="21" t="s">
        <v>1219</v>
      </c>
      <c r="AQ123" s="21"/>
      <c r="AR123" s="21"/>
      <c r="AS123" s="21"/>
      <c r="AT123" s="21"/>
      <c r="AU123" s="21"/>
      <c r="AV123" s="21"/>
      <c r="AW123" s="21"/>
      <c r="AX123" s="21"/>
      <c r="AY123" s="21"/>
      <c r="AZ123" s="21"/>
      <c r="BA123" s="21"/>
      <c r="BB123" s="21"/>
      <c r="BF123" s="106" t="str">
        <f t="shared" si="1"/>
        <v>#VALUE!</v>
      </c>
      <c r="BG123" s="21">
        <f t="shared" si="2"/>
        <v>12</v>
      </c>
    </row>
    <row r="124">
      <c r="P124" s="161"/>
      <c r="AI124" s="102"/>
      <c r="AK124" s="105" t="s">
        <v>1220</v>
      </c>
      <c r="AL124" s="86" t="s">
        <v>513</v>
      </c>
      <c r="AO124" s="21" t="s">
        <v>1221</v>
      </c>
      <c r="AP124" s="21" t="s">
        <v>1222</v>
      </c>
      <c r="AQ124" s="21"/>
      <c r="AR124" s="21"/>
      <c r="AS124" s="53" t="s">
        <v>1223</v>
      </c>
      <c r="AT124" s="21"/>
      <c r="AU124" s="21"/>
      <c r="AV124" s="53" t="s">
        <v>1224</v>
      </c>
      <c r="AW124" s="21"/>
      <c r="AX124" s="21"/>
      <c r="AY124" s="21"/>
      <c r="AZ124" s="21"/>
      <c r="BA124" s="21"/>
      <c r="BB124" s="21"/>
      <c r="BF124" s="106" t="str">
        <f t="shared" si="1"/>
        <v>#VALUE!</v>
      </c>
      <c r="BG124" s="21">
        <f t="shared" si="2"/>
        <v>12</v>
      </c>
    </row>
    <row r="125">
      <c r="P125" s="161"/>
      <c r="AI125" s="102"/>
      <c r="AK125" s="105" t="s">
        <v>1225</v>
      </c>
      <c r="AL125" s="58"/>
      <c r="AO125" s="21" t="s">
        <v>1228</v>
      </c>
      <c r="AP125" s="21"/>
      <c r="AQ125" s="21"/>
      <c r="AR125" s="21"/>
      <c r="AS125" s="21"/>
      <c r="AT125" s="21"/>
      <c r="AU125" s="21"/>
      <c r="AV125" s="21"/>
      <c r="AW125" s="21"/>
      <c r="AX125" s="21"/>
      <c r="AY125" s="21"/>
      <c r="AZ125" s="21"/>
      <c r="BA125" s="21"/>
      <c r="BB125" s="21"/>
      <c r="BF125" s="106" t="str">
        <f t="shared" si="1"/>
        <v>#VALUE!</v>
      </c>
      <c r="BG125" s="21">
        <f t="shared" si="2"/>
        <v>12</v>
      </c>
    </row>
    <row r="126">
      <c r="P126" s="161"/>
      <c r="AI126" s="102"/>
      <c r="AK126" s="105" t="s">
        <v>1229</v>
      </c>
      <c r="AL126" s="58"/>
      <c r="AO126" s="21" t="s">
        <v>1230</v>
      </c>
      <c r="AP126" s="21"/>
      <c r="AQ126" s="21"/>
      <c r="AR126" s="21"/>
      <c r="AS126" s="21"/>
      <c r="AT126" s="21"/>
      <c r="AU126" s="21"/>
      <c r="AV126" s="21"/>
      <c r="AW126" s="21"/>
      <c r="AX126" s="21"/>
      <c r="AY126" s="21"/>
      <c r="AZ126" s="21"/>
      <c r="BA126" s="21"/>
      <c r="BB126" s="21"/>
      <c r="BF126" s="106" t="str">
        <f t="shared" si="1"/>
        <v>#VALUE!</v>
      </c>
      <c r="BG126" s="21">
        <f t="shared" si="2"/>
        <v>12</v>
      </c>
    </row>
    <row r="127">
      <c r="P127" s="161"/>
      <c r="AI127" s="102"/>
      <c r="AK127" s="105" t="s">
        <v>1233</v>
      </c>
      <c r="AL127" s="86" t="s">
        <v>513</v>
      </c>
      <c r="AO127" s="21" t="s">
        <v>1234</v>
      </c>
      <c r="AP127" s="21"/>
      <c r="AQ127" s="21"/>
      <c r="AR127" s="21"/>
      <c r="AS127" s="21"/>
      <c r="AT127" s="21"/>
      <c r="AU127" s="21"/>
      <c r="AV127" s="21"/>
      <c r="AW127" s="21"/>
      <c r="AX127" s="21"/>
      <c r="AY127" s="21"/>
      <c r="AZ127" s="21"/>
      <c r="BA127" s="21"/>
      <c r="BB127" s="21"/>
      <c r="BF127" s="106" t="str">
        <f t="shared" si="1"/>
        <v>#VALUE!</v>
      </c>
      <c r="BG127" s="21">
        <f t="shared" si="2"/>
        <v>12</v>
      </c>
    </row>
    <row r="128">
      <c r="P128" s="161"/>
      <c r="AI128" s="102"/>
      <c r="AK128" s="105" t="s">
        <v>1235</v>
      </c>
      <c r="AL128" s="86" t="s">
        <v>513</v>
      </c>
      <c r="AO128" s="21" t="s">
        <v>1237</v>
      </c>
      <c r="AP128" s="21"/>
      <c r="AQ128" s="21"/>
      <c r="AR128" s="21"/>
      <c r="AS128" s="21"/>
      <c r="AT128" s="21"/>
      <c r="AU128" s="21"/>
      <c r="AV128" s="21"/>
      <c r="AW128" s="21"/>
      <c r="AX128" s="21"/>
      <c r="AY128" s="21"/>
      <c r="AZ128" s="21"/>
      <c r="BA128" s="21"/>
      <c r="BB128" s="21"/>
      <c r="BF128" s="106" t="str">
        <f t="shared" si="1"/>
        <v>#VALUE!</v>
      </c>
      <c r="BG128" s="21">
        <f t="shared" si="2"/>
        <v>12</v>
      </c>
    </row>
    <row r="129">
      <c r="P129" s="161"/>
      <c r="AI129" s="102"/>
      <c r="AK129" s="105" t="s">
        <v>1239</v>
      </c>
      <c r="AL129" s="58"/>
      <c r="AO129" s="53" t="s">
        <v>1240</v>
      </c>
      <c r="AP129" s="21" t="s">
        <v>1241</v>
      </c>
      <c r="AQ129" s="21"/>
      <c r="AR129" s="21"/>
      <c r="AS129" s="21"/>
      <c r="AT129" s="21"/>
      <c r="AU129" s="21"/>
      <c r="AV129" s="21"/>
      <c r="AW129" s="21"/>
      <c r="AX129" s="21"/>
      <c r="AY129" s="21"/>
      <c r="AZ129" s="21"/>
      <c r="BA129" s="21"/>
      <c r="BB129" s="21"/>
      <c r="BF129" s="106" t="str">
        <f t="shared" si="1"/>
        <v>#VALUE!</v>
      </c>
      <c r="BG129" s="21">
        <f t="shared" si="2"/>
        <v>12</v>
      </c>
    </row>
    <row r="130">
      <c r="P130" s="161"/>
      <c r="AI130" s="102"/>
      <c r="AK130" s="105" t="s">
        <v>1242</v>
      </c>
      <c r="AL130" s="58"/>
      <c r="AO130" s="53" t="s">
        <v>1247</v>
      </c>
      <c r="AP130" s="21" t="s">
        <v>1248</v>
      </c>
      <c r="AQ130" s="21"/>
      <c r="AR130" s="21"/>
      <c r="AS130" s="21"/>
      <c r="AT130" s="21"/>
      <c r="AU130" s="21"/>
      <c r="AV130" s="21"/>
      <c r="AW130" s="21"/>
      <c r="AX130" s="21"/>
      <c r="AY130" s="21"/>
      <c r="AZ130" s="21"/>
      <c r="BA130" s="21"/>
      <c r="BB130" s="21"/>
      <c r="BF130" s="106" t="str">
        <f t="shared" si="1"/>
        <v>#VALUE!</v>
      </c>
      <c r="BG130" s="21">
        <f t="shared" si="2"/>
        <v>12</v>
      </c>
    </row>
    <row r="131">
      <c r="P131" s="161"/>
      <c r="AI131" s="102"/>
      <c r="AK131" s="105" t="s">
        <v>1249</v>
      </c>
      <c r="AL131" s="86" t="s">
        <v>513</v>
      </c>
      <c r="AO131" s="21" t="s">
        <v>1250</v>
      </c>
      <c r="AP131" s="21"/>
      <c r="AQ131" s="21"/>
      <c r="AR131" s="21"/>
      <c r="AS131" s="21"/>
      <c r="AT131" s="21"/>
      <c r="AU131" s="21"/>
      <c r="AV131" s="21"/>
      <c r="AW131" s="21"/>
      <c r="AX131" s="21"/>
      <c r="AY131" s="21"/>
      <c r="AZ131" s="21"/>
      <c r="BA131" s="21"/>
      <c r="BB131" s="21"/>
      <c r="BF131" s="106" t="str">
        <f t="shared" si="1"/>
        <v>#VALUE!</v>
      </c>
      <c r="BG131" s="21">
        <f t="shared" si="2"/>
        <v>12</v>
      </c>
    </row>
    <row r="132">
      <c r="P132" s="161"/>
      <c r="AI132" s="102"/>
      <c r="AK132" s="105" t="s">
        <v>810</v>
      </c>
      <c r="AL132" s="86" t="s">
        <v>1253</v>
      </c>
      <c r="AO132" s="21" t="s">
        <v>1254</v>
      </c>
      <c r="AP132" s="21"/>
      <c r="AQ132" s="21"/>
      <c r="AR132" s="21"/>
      <c r="AS132" s="21"/>
      <c r="AT132" s="21"/>
      <c r="AU132" s="21"/>
      <c r="AV132" s="21"/>
      <c r="AW132" s="21"/>
      <c r="AX132" s="21"/>
      <c r="AY132" s="21"/>
      <c r="AZ132" s="21"/>
      <c r="BA132" s="21"/>
      <c r="BB132" s="21"/>
      <c r="BF132" s="106" t="str">
        <f t="shared" si="1"/>
        <v>#VALUE!</v>
      </c>
      <c r="BG132" s="21">
        <f t="shared" si="2"/>
        <v>12</v>
      </c>
    </row>
    <row r="133">
      <c r="P133" s="161"/>
      <c r="AI133" s="102"/>
      <c r="AK133" s="105" t="s">
        <v>1255</v>
      </c>
      <c r="AL133" s="250" t="s">
        <v>1256</v>
      </c>
      <c r="AO133" s="53" t="s">
        <v>1257</v>
      </c>
      <c r="AP133" s="53" t="s">
        <v>1258</v>
      </c>
      <c r="AQ133" s="21"/>
      <c r="AR133" s="53" t="s">
        <v>1260</v>
      </c>
      <c r="AS133" s="21"/>
      <c r="AT133" s="21"/>
      <c r="AU133" s="21"/>
      <c r="AV133" s="21"/>
      <c r="AW133" s="21"/>
      <c r="AX133" s="21"/>
      <c r="AY133" s="21"/>
      <c r="AZ133" s="21"/>
      <c r="BA133" s="21"/>
      <c r="BB133" s="21"/>
      <c r="BF133" s="106" t="str">
        <f t="shared" si="1"/>
        <v>#VALUE!</v>
      </c>
      <c r="BG133" s="21">
        <f t="shared" si="2"/>
        <v>12</v>
      </c>
    </row>
    <row r="134">
      <c r="P134" s="161"/>
      <c r="AI134" s="102"/>
      <c r="AK134" s="105" t="s">
        <v>1262</v>
      </c>
      <c r="AL134" s="86" t="s">
        <v>513</v>
      </c>
      <c r="AO134" s="21" t="s">
        <v>1263</v>
      </c>
      <c r="AP134" s="21"/>
      <c r="AQ134" s="53" t="s">
        <v>1264</v>
      </c>
      <c r="AR134" s="21"/>
      <c r="AS134" s="21"/>
      <c r="AT134" s="21"/>
      <c r="AU134" s="53" t="s">
        <v>1265</v>
      </c>
      <c r="AV134" s="21" t="s">
        <v>1266</v>
      </c>
      <c r="AW134" s="21"/>
      <c r="AX134" s="21"/>
      <c r="AY134" s="21"/>
      <c r="AZ134" s="21"/>
      <c r="BA134" s="21"/>
      <c r="BB134" s="21"/>
      <c r="BF134" s="106" t="str">
        <f t="shared" si="1"/>
        <v>#VALUE!</v>
      </c>
      <c r="BG134" s="21">
        <f t="shared" si="2"/>
        <v>12</v>
      </c>
    </row>
    <row r="135">
      <c r="P135" s="161"/>
      <c r="AI135" s="102"/>
      <c r="AK135" s="105" t="s">
        <v>1267</v>
      </c>
      <c r="AO135" s="21" t="s">
        <v>1269</v>
      </c>
      <c r="AP135" s="53" t="s">
        <v>1270</v>
      </c>
      <c r="AQ135" s="53" t="s">
        <v>1271</v>
      </c>
      <c r="AR135" s="21"/>
      <c r="AS135" s="21"/>
      <c r="AT135" s="21"/>
      <c r="AU135" s="21"/>
      <c r="AV135" s="21"/>
      <c r="AW135" s="21"/>
      <c r="AX135" s="21"/>
      <c r="AY135" s="21"/>
      <c r="AZ135" s="21"/>
      <c r="BA135" s="21"/>
      <c r="BB135" s="21"/>
      <c r="BF135" s="106" t="str">
        <f t="shared" si="1"/>
        <v>#VALUE!</v>
      </c>
      <c r="BG135" s="21">
        <f t="shared" si="2"/>
        <v>12</v>
      </c>
    </row>
    <row r="136">
      <c r="P136" s="161"/>
      <c r="AI136" s="102"/>
      <c r="AK136" s="105" t="s">
        <v>1272</v>
      </c>
      <c r="AL136" s="58"/>
      <c r="AO136" s="53" t="s">
        <v>1273</v>
      </c>
      <c r="AP136" s="21"/>
      <c r="AQ136" s="21"/>
      <c r="AR136" s="21"/>
      <c r="AS136" s="21"/>
      <c r="AT136" s="21"/>
      <c r="AU136" s="21"/>
      <c r="AV136" s="21"/>
      <c r="AW136" s="21"/>
      <c r="AX136" s="21"/>
      <c r="AY136" s="21"/>
      <c r="AZ136" s="21"/>
      <c r="BA136" s="21"/>
      <c r="BB136" s="21"/>
      <c r="BF136" s="106" t="str">
        <f t="shared" si="1"/>
        <v>#VALUE!</v>
      </c>
      <c r="BG136" s="21">
        <f t="shared" si="2"/>
        <v>12</v>
      </c>
    </row>
    <row r="137">
      <c r="P137" s="161"/>
      <c r="AI137" s="102"/>
      <c r="AK137" s="105" t="s">
        <v>1274</v>
      </c>
      <c r="AO137" s="53" t="s">
        <v>1276</v>
      </c>
      <c r="AP137" s="21"/>
      <c r="AQ137" s="21"/>
      <c r="AR137" s="21"/>
      <c r="AS137" s="21"/>
      <c r="AT137" s="21"/>
      <c r="AU137" s="21"/>
      <c r="AV137" s="21"/>
      <c r="AW137" s="21"/>
      <c r="AX137" s="21"/>
      <c r="AY137" s="21"/>
      <c r="AZ137" s="21"/>
      <c r="BA137" s="21"/>
      <c r="BB137" s="21"/>
      <c r="BF137" s="106" t="str">
        <f t="shared" si="1"/>
        <v>#VALUE!</v>
      </c>
      <c r="BG137" s="21">
        <f t="shared" si="2"/>
        <v>12</v>
      </c>
    </row>
    <row r="138">
      <c r="P138" s="161"/>
      <c r="AI138" s="102"/>
      <c r="AK138" s="105" t="s">
        <v>1278</v>
      </c>
      <c r="AL138" s="58"/>
      <c r="AO138" s="53" t="s">
        <v>1279</v>
      </c>
      <c r="AP138" s="53" t="s">
        <v>1280</v>
      </c>
      <c r="AQ138" s="21"/>
      <c r="AR138" s="21"/>
      <c r="AS138" s="21"/>
      <c r="AT138" s="21"/>
      <c r="AU138" s="21"/>
      <c r="AV138" s="21"/>
      <c r="AW138" s="21"/>
      <c r="AX138" s="21"/>
      <c r="AY138" s="21"/>
      <c r="AZ138" s="21"/>
      <c r="BA138" s="21"/>
      <c r="BB138" s="21"/>
      <c r="BF138" s="106" t="str">
        <f t="shared" si="1"/>
        <v>#VALUE!</v>
      </c>
      <c r="BG138" s="21">
        <f t="shared" si="2"/>
        <v>12</v>
      </c>
    </row>
    <row r="139">
      <c r="P139" s="161"/>
      <c r="AI139" s="102"/>
      <c r="AK139" s="105" t="s">
        <v>1281</v>
      </c>
      <c r="AO139" s="21" t="s">
        <v>1284</v>
      </c>
      <c r="AP139" s="21" t="s">
        <v>1285</v>
      </c>
      <c r="AQ139" s="21"/>
      <c r="AR139" s="21"/>
      <c r="AS139" s="21"/>
      <c r="AT139" s="21"/>
      <c r="AU139" s="21"/>
      <c r="AV139" s="21"/>
      <c r="AW139" s="21"/>
      <c r="AX139" s="21"/>
      <c r="AY139" s="21"/>
      <c r="AZ139" s="21"/>
      <c r="BA139" s="21"/>
      <c r="BB139" s="21"/>
      <c r="BF139" s="106" t="str">
        <f t="shared" si="1"/>
        <v>#VALUE!</v>
      </c>
      <c r="BG139" s="21">
        <f t="shared" si="2"/>
        <v>12</v>
      </c>
    </row>
    <row r="140">
      <c r="P140" s="161"/>
      <c r="AI140" s="102"/>
      <c r="AK140" s="105" t="s">
        <v>1286</v>
      </c>
      <c r="AL140" s="86" t="s">
        <v>513</v>
      </c>
      <c r="AO140" s="53" t="s">
        <v>1287</v>
      </c>
      <c r="AP140" s="21" t="s">
        <v>1288</v>
      </c>
      <c r="AQ140" s="21"/>
      <c r="AR140" s="21"/>
      <c r="AS140" s="21"/>
      <c r="AT140" s="21"/>
      <c r="AU140" s="21"/>
      <c r="AV140" s="21"/>
      <c r="AW140" s="21"/>
      <c r="AX140" s="21"/>
      <c r="AY140" s="21"/>
      <c r="AZ140" s="21"/>
      <c r="BA140" s="21"/>
      <c r="BB140" s="21"/>
      <c r="BF140" s="106" t="str">
        <f t="shared" si="1"/>
        <v>#VALUE!</v>
      </c>
      <c r="BG140" s="21">
        <f t="shared" si="2"/>
        <v>12</v>
      </c>
    </row>
    <row r="141">
      <c r="P141" s="161"/>
      <c r="AI141" s="102"/>
      <c r="AK141" s="105" t="s">
        <v>1289</v>
      </c>
      <c r="AL141" s="86" t="s">
        <v>513</v>
      </c>
      <c r="AO141" s="53" t="s">
        <v>1290</v>
      </c>
      <c r="AP141" s="53" t="s">
        <v>1291</v>
      </c>
      <c r="AQ141" s="21"/>
      <c r="AR141" s="21"/>
      <c r="AS141" s="21"/>
      <c r="AT141" s="21" t="s">
        <v>595</v>
      </c>
      <c r="AU141" s="21"/>
      <c r="AV141" s="21"/>
      <c r="AW141" s="21"/>
      <c r="AX141" s="21"/>
      <c r="AY141" s="21"/>
      <c r="AZ141" s="21"/>
      <c r="BA141" s="21"/>
      <c r="BB141" s="21"/>
      <c r="BF141" s="106" t="str">
        <f t="shared" si="1"/>
        <v>#VALUE!</v>
      </c>
      <c r="BG141" s="21">
        <f t="shared" si="2"/>
        <v>12</v>
      </c>
    </row>
    <row r="142">
      <c r="P142" s="161"/>
      <c r="AI142" s="102"/>
      <c r="AK142" s="105" t="s">
        <v>1292</v>
      </c>
      <c r="AO142" s="21" t="s">
        <v>1293</v>
      </c>
      <c r="AP142" s="21"/>
      <c r="AQ142" s="21"/>
      <c r="AR142" s="21"/>
      <c r="AS142" s="21"/>
      <c r="AT142" s="21"/>
      <c r="AU142" s="21"/>
      <c r="AV142" s="21"/>
      <c r="AW142" s="21"/>
      <c r="AX142" s="21"/>
      <c r="AY142" s="21"/>
      <c r="AZ142" s="21"/>
      <c r="BA142" s="21"/>
      <c r="BB142" s="21"/>
      <c r="BF142" s="106" t="str">
        <f t="shared" si="1"/>
        <v>#VALUE!</v>
      </c>
      <c r="BG142" s="21">
        <f t="shared" si="2"/>
        <v>12</v>
      </c>
    </row>
    <row r="143">
      <c r="P143" s="161"/>
      <c r="AI143" s="102"/>
      <c r="AK143" s="105" t="s">
        <v>1294</v>
      </c>
      <c r="AO143" s="21" t="s">
        <v>1298</v>
      </c>
      <c r="AP143" s="21"/>
      <c r="AQ143" s="21"/>
      <c r="AR143" s="21"/>
      <c r="AS143" s="21"/>
      <c r="AT143" s="21"/>
      <c r="AU143" s="21"/>
      <c r="AV143" s="21"/>
      <c r="AW143" s="21"/>
      <c r="AX143" s="21"/>
      <c r="AY143" s="21"/>
      <c r="AZ143" s="21"/>
      <c r="BA143" s="21"/>
      <c r="BB143" s="21"/>
      <c r="BF143" s="106" t="str">
        <f t="shared" si="1"/>
        <v>#VALUE!</v>
      </c>
      <c r="BG143" s="21">
        <f t="shared" si="2"/>
        <v>12</v>
      </c>
    </row>
    <row r="144">
      <c r="P144" s="161"/>
      <c r="AI144" s="102"/>
      <c r="AK144" s="105" t="s">
        <v>1299</v>
      </c>
      <c r="AO144" s="53" t="s">
        <v>1300</v>
      </c>
      <c r="AP144" s="21" t="s">
        <v>1301</v>
      </c>
      <c r="AQ144" s="21"/>
      <c r="AR144" s="21"/>
      <c r="AS144" s="21"/>
      <c r="AT144" s="21"/>
      <c r="AU144" s="21"/>
      <c r="AV144" s="21"/>
      <c r="AW144" s="21"/>
      <c r="AX144" s="21"/>
      <c r="AY144" s="21"/>
      <c r="AZ144" s="21"/>
      <c r="BA144" s="21"/>
      <c r="BB144" s="21"/>
      <c r="BF144" s="106" t="str">
        <f t="shared" si="1"/>
        <v>#VALUE!</v>
      </c>
      <c r="BG144" s="21">
        <f t="shared" si="2"/>
        <v>12</v>
      </c>
    </row>
    <row r="145">
      <c r="P145" s="161"/>
      <c r="AI145" s="102"/>
      <c r="AK145" s="105" t="s">
        <v>1302</v>
      </c>
      <c r="AO145" s="21" t="s">
        <v>1304</v>
      </c>
      <c r="AP145" s="21"/>
      <c r="AQ145" s="21"/>
      <c r="AR145" s="21"/>
      <c r="AS145" s="21"/>
      <c r="AT145" s="21"/>
      <c r="AU145" s="21"/>
      <c r="AV145" s="21"/>
      <c r="AW145" s="21"/>
      <c r="AX145" s="21"/>
      <c r="AY145" s="21"/>
      <c r="AZ145" s="21"/>
      <c r="BA145" s="21"/>
      <c r="BB145" s="21"/>
      <c r="BF145" s="106" t="str">
        <f t="shared" si="1"/>
        <v>#VALUE!</v>
      </c>
      <c r="BG145" s="21">
        <f t="shared" si="2"/>
        <v>12</v>
      </c>
    </row>
    <row r="146">
      <c r="P146" s="161"/>
      <c r="AI146" s="102"/>
      <c r="AK146" s="105" t="s">
        <v>1305</v>
      </c>
      <c r="AL146" s="86" t="s">
        <v>513</v>
      </c>
      <c r="AO146" s="21" t="s">
        <v>1306</v>
      </c>
      <c r="AP146" s="21" t="s">
        <v>1307</v>
      </c>
      <c r="AQ146" s="21"/>
      <c r="AR146" s="21"/>
      <c r="AS146" s="21"/>
      <c r="AT146" s="21"/>
      <c r="AU146" s="21"/>
      <c r="AV146" s="21"/>
      <c r="AW146" s="21"/>
      <c r="AX146" s="21"/>
      <c r="AY146" s="21"/>
      <c r="AZ146" s="21"/>
      <c r="BA146" s="21"/>
      <c r="BB146" s="21"/>
      <c r="BF146" s="106" t="str">
        <f t="shared" si="1"/>
        <v>#VALUE!</v>
      </c>
      <c r="BG146" s="21">
        <f t="shared" si="2"/>
        <v>12</v>
      </c>
    </row>
    <row r="147">
      <c r="P147" s="161"/>
      <c r="AI147" s="102"/>
      <c r="AK147" s="105" t="s">
        <v>1308</v>
      </c>
      <c r="AO147" s="21" t="s">
        <v>1309</v>
      </c>
      <c r="AP147" s="21"/>
      <c r="AQ147" s="21"/>
      <c r="AR147" s="21"/>
      <c r="AS147" s="21"/>
      <c r="AT147" s="21"/>
      <c r="AU147" s="21"/>
      <c r="AV147" s="21"/>
      <c r="AW147" s="21"/>
      <c r="AX147" s="21"/>
      <c r="AY147" s="21"/>
      <c r="AZ147" s="21"/>
      <c r="BA147" s="21"/>
      <c r="BB147" s="21"/>
      <c r="BF147" s="106" t="str">
        <f t="shared" si="1"/>
        <v>#VALUE!</v>
      </c>
      <c r="BG147" s="21">
        <f t="shared" si="2"/>
        <v>12</v>
      </c>
    </row>
    <row r="148">
      <c r="P148" s="161"/>
      <c r="AI148" s="102"/>
      <c r="AK148" s="105" t="s">
        <v>1310</v>
      </c>
      <c r="AO148" s="21" t="s">
        <v>1311</v>
      </c>
      <c r="AP148" s="21" t="s">
        <v>1312</v>
      </c>
      <c r="AQ148" s="21"/>
      <c r="AR148" s="21"/>
      <c r="AS148" s="21"/>
      <c r="AT148" s="21"/>
      <c r="AU148" s="21"/>
      <c r="AV148" s="21"/>
      <c r="AW148" s="21"/>
      <c r="AX148" s="21"/>
      <c r="AY148" s="21"/>
      <c r="AZ148" s="21"/>
      <c r="BA148" s="21"/>
      <c r="BB148" s="21"/>
      <c r="BF148" s="106" t="str">
        <f t="shared" si="1"/>
        <v>#VALUE!</v>
      </c>
      <c r="BG148" s="21">
        <f t="shared" si="2"/>
        <v>12</v>
      </c>
    </row>
    <row r="149">
      <c r="P149" s="161"/>
      <c r="AI149" s="102"/>
      <c r="AK149" s="105" t="s">
        <v>323</v>
      </c>
      <c r="AO149" s="21"/>
      <c r="AP149" s="21"/>
      <c r="AQ149" s="21"/>
      <c r="AR149" s="21"/>
      <c r="AS149" s="21"/>
      <c r="AT149" s="21"/>
      <c r="AU149" s="21"/>
      <c r="AV149" s="21"/>
      <c r="AW149" s="21"/>
      <c r="AX149" s="21"/>
      <c r="AY149" s="21"/>
      <c r="AZ149" s="21"/>
      <c r="BA149" s="21"/>
      <c r="BB149" s="21"/>
      <c r="BF149" s="106" t="str">
        <f t="shared" si="1"/>
        <v>#VALUE!</v>
      </c>
      <c r="BG149" s="21">
        <f t="shared" si="2"/>
        <v>12</v>
      </c>
    </row>
    <row r="150">
      <c r="P150" s="161"/>
      <c r="AI150" s="102"/>
      <c r="AK150" s="105" t="s">
        <v>1314</v>
      </c>
      <c r="AO150" s="53" t="s">
        <v>1315</v>
      </c>
      <c r="AP150" s="53" t="s">
        <v>1316</v>
      </c>
      <c r="AQ150" s="21"/>
      <c r="AR150" s="21"/>
      <c r="AS150" s="21"/>
      <c r="AT150" s="21"/>
      <c r="AU150" s="21"/>
      <c r="AV150" s="21"/>
      <c r="AW150" s="21"/>
      <c r="AX150" s="21"/>
      <c r="AY150" s="21"/>
      <c r="AZ150" s="21"/>
      <c r="BA150" s="21"/>
      <c r="BB150" s="21"/>
      <c r="BF150" s="106" t="str">
        <f t="shared" si="1"/>
        <v>#VALUE!</v>
      </c>
      <c r="BG150" s="21">
        <f t="shared" si="2"/>
        <v>12</v>
      </c>
    </row>
    <row r="151">
      <c r="P151" s="161"/>
      <c r="AI151" s="102"/>
      <c r="AK151" s="105" t="s">
        <v>1317</v>
      </c>
      <c r="AO151" s="53" t="s">
        <v>1318</v>
      </c>
      <c r="AP151" s="21" t="s">
        <v>792</v>
      </c>
      <c r="AQ151" s="21"/>
      <c r="AR151" s="21"/>
      <c r="AS151" s="21"/>
      <c r="AT151" s="21"/>
      <c r="AU151" s="21"/>
      <c r="AV151" s="21"/>
      <c r="AW151" s="21"/>
      <c r="AX151" s="21"/>
      <c r="AY151" s="21"/>
      <c r="AZ151" s="21"/>
      <c r="BA151" s="21"/>
      <c r="BB151" s="21"/>
      <c r="BF151" s="106" t="str">
        <f t="shared" si="1"/>
        <v>#VALUE!</v>
      </c>
      <c r="BG151" s="21">
        <f t="shared" si="2"/>
        <v>12</v>
      </c>
    </row>
    <row r="152">
      <c r="P152" s="161"/>
      <c r="AI152" s="102"/>
      <c r="AK152" s="105" t="s">
        <v>1319</v>
      </c>
      <c r="AL152" s="58"/>
      <c r="AO152" s="21" t="s">
        <v>1320</v>
      </c>
      <c r="AP152" s="21" t="s">
        <v>1321</v>
      </c>
      <c r="AQ152" s="21"/>
      <c r="AR152" s="21"/>
      <c r="AS152" s="21"/>
      <c r="AT152" s="21"/>
      <c r="AU152" s="21"/>
      <c r="AV152" s="21"/>
      <c r="AW152" s="21"/>
      <c r="AX152" s="21"/>
      <c r="AY152" s="21"/>
      <c r="AZ152" s="21"/>
      <c r="BA152" s="21"/>
      <c r="BB152" s="21"/>
      <c r="BF152" s="106" t="str">
        <f t="shared" si="1"/>
        <v>#VALUE!</v>
      </c>
      <c r="BG152" s="21">
        <f t="shared" si="2"/>
        <v>12</v>
      </c>
    </row>
    <row r="153">
      <c r="P153" s="161"/>
      <c r="AI153" s="102"/>
      <c r="AK153" s="105" t="s">
        <v>1322</v>
      </c>
      <c r="AL153" s="58"/>
      <c r="AO153" s="21" t="s">
        <v>1323</v>
      </c>
      <c r="AP153" s="21" t="s">
        <v>1325</v>
      </c>
      <c r="AQ153" s="21"/>
      <c r="AR153" s="21"/>
      <c r="AS153" s="21"/>
      <c r="AT153" s="21"/>
      <c r="AU153" s="21"/>
      <c r="AV153" s="21"/>
      <c r="AW153" s="21"/>
      <c r="AX153" s="21"/>
      <c r="AY153" s="21"/>
      <c r="AZ153" s="21"/>
      <c r="BA153" s="21"/>
      <c r="BB153" s="21"/>
      <c r="BF153" s="106" t="str">
        <f t="shared" si="1"/>
        <v>#VALUE!</v>
      </c>
      <c r="BG153" s="21">
        <f t="shared" si="2"/>
        <v>12</v>
      </c>
    </row>
    <row r="154">
      <c r="P154" s="161"/>
      <c r="AI154" s="102"/>
      <c r="AK154" s="105" t="s">
        <v>1327</v>
      </c>
      <c r="AL154" s="86" t="s">
        <v>513</v>
      </c>
      <c r="AO154" s="53" t="s">
        <v>1328</v>
      </c>
      <c r="AP154" s="21" t="s">
        <v>1329</v>
      </c>
      <c r="AQ154" s="21"/>
      <c r="AR154" s="21"/>
      <c r="AS154" s="21"/>
      <c r="AT154" s="21"/>
      <c r="AU154" s="21"/>
      <c r="AV154" s="21"/>
      <c r="AW154" s="21"/>
      <c r="AX154" s="21"/>
      <c r="AY154" s="21"/>
      <c r="AZ154" s="21"/>
      <c r="BA154" s="21"/>
      <c r="BB154" s="21"/>
      <c r="BF154" s="106" t="str">
        <f t="shared" si="1"/>
        <v>#VALUE!</v>
      </c>
      <c r="BG154" s="21">
        <f t="shared" si="2"/>
        <v>12</v>
      </c>
    </row>
    <row r="155">
      <c r="P155" s="161"/>
      <c r="AI155" s="102"/>
      <c r="AK155" s="105" t="s">
        <v>1330</v>
      </c>
      <c r="AO155" s="53" t="s">
        <v>1333</v>
      </c>
      <c r="AP155" s="21" t="s">
        <v>651</v>
      </c>
      <c r="AQ155" s="21"/>
      <c r="AR155" s="21"/>
      <c r="AS155" s="21"/>
      <c r="AT155" s="21"/>
      <c r="AU155" s="21"/>
      <c r="AV155" s="21"/>
      <c r="AW155" s="21"/>
      <c r="AX155" s="21"/>
      <c r="AY155" s="21"/>
      <c r="AZ155" s="21"/>
      <c r="BA155" s="21"/>
      <c r="BB155" s="21"/>
      <c r="BF155" s="106" t="str">
        <f t="shared" si="1"/>
        <v>#VALUE!</v>
      </c>
      <c r="BG155" s="21">
        <f t="shared" si="2"/>
        <v>12</v>
      </c>
    </row>
    <row r="156">
      <c r="P156" s="161"/>
      <c r="AI156" s="102"/>
      <c r="AK156" s="105" t="s">
        <v>1334</v>
      </c>
      <c r="AL156" s="86" t="s">
        <v>513</v>
      </c>
      <c r="AO156" s="21" t="s">
        <v>1335</v>
      </c>
      <c r="AP156" s="21" t="s">
        <v>1336</v>
      </c>
      <c r="AQ156" s="21"/>
      <c r="AR156" s="21"/>
      <c r="AS156" s="21"/>
      <c r="AT156" s="21"/>
      <c r="AU156" s="21"/>
      <c r="AV156" s="21"/>
      <c r="AW156" s="21"/>
      <c r="AX156" s="21"/>
      <c r="AY156" s="21"/>
      <c r="AZ156" s="21"/>
      <c r="BA156" s="21"/>
      <c r="BB156" s="21"/>
      <c r="BF156" s="106" t="str">
        <f t="shared" si="1"/>
        <v>#VALUE!</v>
      </c>
      <c r="BG156" s="21">
        <f t="shared" si="2"/>
        <v>12</v>
      </c>
    </row>
    <row r="157">
      <c r="P157" s="161"/>
      <c r="AI157" s="102"/>
      <c r="AK157" s="105" t="s">
        <v>1337</v>
      </c>
      <c r="AO157" s="53" t="s">
        <v>1340</v>
      </c>
      <c r="AP157" s="21" t="s">
        <v>1341</v>
      </c>
      <c r="AQ157" s="21"/>
      <c r="AR157" s="21"/>
      <c r="AS157" s="21"/>
      <c r="AT157" s="21"/>
      <c r="AU157" s="21"/>
      <c r="AV157" s="21"/>
      <c r="AW157" s="21"/>
      <c r="AX157" s="21"/>
      <c r="AY157" s="21"/>
      <c r="AZ157" s="21"/>
      <c r="BA157" s="21"/>
      <c r="BB157" s="21"/>
      <c r="BF157" s="106" t="str">
        <f t="shared" si="1"/>
        <v>#VALUE!</v>
      </c>
      <c r="BG157" s="21">
        <f t="shared" si="2"/>
        <v>12</v>
      </c>
    </row>
    <row r="158">
      <c r="P158" s="161"/>
      <c r="AI158" s="102"/>
      <c r="AK158" s="105" t="s">
        <v>1342</v>
      </c>
      <c r="AO158" s="21" t="s">
        <v>1343</v>
      </c>
      <c r="AP158" s="53" t="s">
        <v>1344</v>
      </c>
      <c r="AQ158" s="21"/>
      <c r="AR158" s="21"/>
      <c r="AS158" s="21"/>
      <c r="AT158" s="21"/>
      <c r="AU158" s="21"/>
      <c r="AV158" s="21"/>
      <c r="AW158" s="21"/>
      <c r="AX158" s="21"/>
      <c r="AY158" s="21"/>
      <c r="AZ158" s="21"/>
      <c r="BA158" s="21"/>
      <c r="BB158" s="21"/>
      <c r="BF158" s="106" t="str">
        <f t="shared" si="1"/>
        <v>#VALUE!</v>
      </c>
      <c r="BG158" s="21">
        <f t="shared" si="2"/>
        <v>12</v>
      </c>
    </row>
    <row r="159">
      <c r="P159" s="161"/>
      <c r="AI159" s="102"/>
      <c r="AK159" s="105" t="s">
        <v>855</v>
      </c>
      <c r="AO159" s="53" t="s">
        <v>1346</v>
      </c>
      <c r="AP159" s="21"/>
      <c r="AQ159" s="21"/>
      <c r="AR159" s="21"/>
      <c r="AS159" s="21"/>
      <c r="AT159" s="21"/>
      <c r="AU159" s="21"/>
      <c r="AV159" s="21"/>
      <c r="AW159" s="21"/>
      <c r="AX159" s="21"/>
      <c r="AY159" s="21"/>
      <c r="AZ159" s="21"/>
      <c r="BA159" s="21"/>
      <c r="BB159" s="21"/>
      <c r="BF159" s="106" t="str">
        <f t="shared" si="1"/>
        <v>#VALUE!</v>
      </c>
      <c r="BG159" s="21">
        <f t="shared" si="2"/>
        <v>12</v>
      </c>
    </row>
    <row r="160">
      <c r="P160" s="161"/>
      <c r="AI160" s="102"/>
      <c r="AK160" s="105" t="s">
        <v>1348</v>
      </c>
      <c r="AL160" s="86" t="s">
        <v>706</v>
      </c>
      <c r="AO160" s="21" t="s">
        <v>1352</v>
      </c>
      <c r="AP160" s="53" t="s">
        <v>1354</v>
      </c>
      <c r="AQ160" s="21"/>
      <c r="AR160" s="21"/>
      <c r="AS160" s="21"/>
      <c r="AT160" s="21" t="s">
        <v>1355</v>
      </c>
      <c r="AU160" s="21"/>
      <c r="AV160" s="21"/>
      <c r="AW160" s="21"/>
      <c r="AX160" s="21"/>
      <c r="AY160" s="21"/>
      <c r="AZ160" s="21"/>
      <c r="BA160" s="21"/>
      <c r="BB160" s="21"/>
      <c r="BF160" s="106" t="str">
        <f t="shared" si="1"/>
        <v>#VALUE!</v>
      </c>
      <c r="BG160" s="21">
        <f t="shared" si="2"/>
        <v>12</v>
      </c>
    </row>
    <row r="161">
      <c r="P161" s="161"/>
      <c r="AI161" s="102"/>
      <c r="AK161" s="105" t="s">
        <v>1356</v>
      </c>
      <c r="AL161" s="86" t="s">
        <v>706</v>
      </c>
      <c r="AO161" s="53" t="s">
        <v>1360</v>
      </c>
      <c r="AP161" s="21" t="s">
        <v>1362</v>
      </c>
      <c r="AQ161" s="21"/>
      <c r="AR161" s="21"/>
      <c r="AS161" s="21"/>
      <c r="AT161" s="21"/>
      <c r="AU161" s="21"/>
      <c r="AV161" s="21"/>
      <c r="AW161" s="21"/>
      <c r="AX161" s="21"/>
      <c r="AY161" s="21"/>
      <c r="AZ161" s="21"/>
      <c r="BA161" s="21"/>
      <c r="BB161" s="21"/>
      <c r="BF161" s="106" t="str">
        <f t="shared" si="1"/>
        <v>#VALUE!</v>
      </c>
      <c r="BG161" s="21">
        <f t="shared" si="2"/>
        <v>12</v>
      </c>
    </row>
    <row r="162">
      <c r="P162" s="161"/>
      <c r="AI162" s="102"/>
      <c r="AK162" s="105" t="s">
        <v>1366</v>
      </c>
      <c r="AO162" s="53" t="s">
        <v>1376</v>
      </c>
      <c r="AP162" s="21" t="s">
        <v>1377</v>
      </c>
      <c r="AQ162" s="21"/>
      <c r="AR162" s="21"/>
      <c r="AS162" s="21"/>
      <c r="AT162" s="21"/>
      <c r="AU162" s="21"/>
      <c r="AV162" s="21"/>
      <c r="AW162" s="21"/>
      <c r="AX162" s="21"/>
      <c r="AY162" s="21"/>
      <c r="AZ162" s="21"/>
      <c r="BA162" s="21"/>
      <c r="BB162" s="21"/>
      <c r="BF162" s="106" t="str">
        <f t="shared" si="1"/>
        <v>#VALUE!</v>
      </c>
      <c r="BG162" s="21">
        <f t="shared" si="2"/>
        <v>12</v>
      </c>
    </row>
    <row r="163">
      <c r="P163" s="161"/>
      <c r="AI163" s="102"/>
      <c r="AK163" s="105" t="s">
        <v>1380</v>
      </c>
      <c r="AL163" s="58"/>
      <c r="AO163" s="53" t="s">
        <v>1385</v>
      </c>
      <c r="AP163" s="21" t="s">
        <v>1386</v>
      </c>
      <c r="AQ163" s="21"/>
      <c r="AR163" s="21"/>
      <c r="AS163" s="21"/>
      <c r="AT163" s="21" t="s">
        <v>1388</v>
      </c>
      <c r="AU163" s="21"/>
      <c r="AV163" s="21"/>
      <c r="AW163" s="21"/>
      <c r="AX163" s="21"/>
      <c r="AY163" s="21"/>
      <c r="AZ163" s="21"/>
      <c r="BA163" s="21"/>
      <c r="BB163" s="21"/>
      <c r="BF163" s="106" t="str">
        <f t="shared" si="1"/>
        <v>#VALUE!</v>
      </c>
      <c r="BG163" s="21">
        <f t="shared" si="2"/>
        <v>12</v>
      </c>
    </row>
    <row r="164">
      <c r="P164" s="161"/>
      <c r="AI164" s="102"/>
      <c r="AK164" s="105" t="s">
        <v>1394</v>
      </c>
      <c r="AO164" s="53" t="s">
        <v>1404</v>
      </c>
      <c r="AP164" s="21"/>
      <c r="AQ164" s="21"/>
      <c r="AR164" s="21"/>
      <c r="AS164" s="21"/>
      <c r="AT164" s="21"/>
      <c r="AU164" s="21"/>
      <c r="AV164" s="21"/>
      <c r="AW164" s="21"/>
      <c r="AX164" s="21"/>
      <c r="AY164" s="21"/>
      <c r="AZ164" s="21"/>
      <c r="BA164" s="21"/>
      <c r="BB164" s="21"/>
      <c r="BF164" s="106" t="str">
        <f t="shared" si="1"/>
        <v>#VALUE!</v>
      </c>
      <c r="BG164" s="21">
        <f t="shared" si="2"/>
        <v>12</v>
      </c>
    </row>
    <row r="165">
      <c r="P165" s="161"/>
      <c r="AI165" s="102"/>
      <c r="AK165" s="105" t="s">
        <v>1408</v>
      </c>
      <c r="AL165" s="86" t="s">
        <v>513</v>
      </c>
      <c r="AO165" s="53" t="s">
        <v>1413</v>
      </c>
      <c r="AP165" s="21" t="s">
        <v>1414</v>
      </c>
      <c r="AQ165" s="53" t="s">
        <v>1415</v>
      </c>
      <c r="AR165" s="21"/>
      <c r="AS165" s="21"/>
      <c r="AT165" s="21"/>
      <c r="AU165" s="21"/>
      <c r="AV165" s="21"/>
      <c r="AW165" s="21"/>
      <c r="AX165" s="21"/>
      <c r="AY165" s="21"/>
      <c r="AZ165" s="21"/>
      <c r="BA165" s="21"/>
      <c r="BB165" s="21"/>
      <c r="BF165" s="106" t="str">
        <f t="shared" si="1"/>
        <v>#VALUE!</v>
      </c>
      <c r="BG165" s="21">
        <f t="shared" si="2"/>
        <v>12</v>
      </c>
    </row>
    <row r="166">
      <c r="P166" s="161"/>
      <c r="AI166" s="102"/>
      <c r="AK166" s="105" t="s">
        <v>1416</v>
      </c>
      <c r="AL166" s="58"/>
      <c r="AO166" s="21" t="s">
        <v>1417</v>
      </c>
      <c r="AP166" s="21" t="s">
        <v>1418</v>
      </c>
      <c r="AQ166" s="21"/>
      <c r="AR166" s="21"/>
      <c r="AS166" s="21"/>
      <c r="AT166" s="21"/>
      <c r="AU166" s="21"/>
      <c r="AV166" s="21"/>
      <c r="AW166" s="21"/>
      <c r="AX166" s="21"/>
      <c r="AY166" s="21"/>
      <c r="AZ166" s="21"/>
      <c r="BA166" s="21"/>
      <c r="BB166" s="21"/>
      <c r="BF166" s="106" t="str">
        <f t="shared" si="1"/>
        <v>#VALUE!</v>
      </c>
      <c r="BG166" s="21">
        <f t="shared" si="2"/>
        <v>12</v>
      </c>
    </row>
    <row r="167">
      <c r="P167" s="161"/>
      <c r="AI167" s="102"/>
      <c r="AK167" s="105" t="s">
        <v>1419</v>
      </c>
      <c r="AL167" s="86" t="s">
        <v>1421</v>
      </c>
      <c r="AO167" s="53" t="s">
        <v>1422</v>
      </c>
      <c r="AP167" s="53" t="s">
        <v>1423</v>
      </c>
      <c r="AQ167" s="53" t="s">
        <v>1424</v>
      </c>
      <c r="AR167" s="21"/>
      <c r="AS167" s="53" t="s">
        <v>1425</v>
      </c>
      <c r="AT167" s="21"/>
      <c r="AU167" s="21"/>
      <c r="AV167" s="21"/>
      <c r="AW167" s="21"/>
      <c r="AX167" s="21"/>
      <c r="AY167" s="21"/>
      <c r="AZ167" s="21"/>
      <c r="BA167" s="21"/>
      <c r="BB167" s="21"/>
      <c r="BF167" s="106" t="str">
        <f t="shared" si="1"/>
        <v>#VALUE!</v>
      </c>
      <c r="BG167" s="21">
        <f t="shared" si="2"/>
        <v>12</v>
      </c>
    </row>
    <row r="168">
      <c r="P168" s="161"/>
      <c r="AI168" s="102"/>
      <c r="AK168" s="105" t="s">
        <v>1426</v>
      </c>
      <c r="AL168" s="169" t="s">
        <v>968</v>
      </c>
      <c r="AO168" s="53" t="s">
        <v>1427</v>
      </c>
      <c r="AP168" s="53" t="s">
        <v>1428</v>
      </c>
      <c r="AQ168" s="21"/>
      <c r="AR168" s="21"/>
      <c r="AS168" s="21"/>
      <c r="AT168" s="21"/>
      <c r="AU168" s="21"/>
      <c r="AV168" s="21"/>
      <c r="AW168" s="21"/>
      <c r="AX168" s="21"/>
      <c r="AY168" s="21"/>
      <c r="AZ168" s="21"/>
      <c r="BA168" s="21"/>
      <c r="BB168" s="21"/>
      <c r="BF168" s="106" t="str">
        <f t="shared" si="1"/>
        <v>#VALUE!</v>
      </c>
      <c r="BG168" s="21">
        <f t="shared" si="2"/>
        <v>12</v>
      </c>
    </row>
    <row r="169">
      <c r="P169" s="161"/>
      <c r="AI169" s="102"/>
      <c r="AK169" s="105" t="s">
        <v>1430</v>
      </c>
      <c r="AL169" s="86" t="s">
        <v>513</v>
      </c>
      <c r="AO169" s="53" t="s">
        <v>1431</v>
      </c>
      <c r="AP169" s="21"/>
      <c r="AQ169" s="21"/>
      <c r="AR169" s="21"/>
      <c r="AS169" s="21"/>
      <c r="AT169" s="21"/>
      <c r="AU169" s="21"/>
      <c r="AV169" s="21"/>
      <c r="AW169" s="21"/>
      <c r="AX169" s="21"/>
      <c r="AY169" s="21"/>
      <c r="AZ169" s="21"/>
      <c r="BA169" s="21"/>
      <c r="BB169" s="21"/>
      <c r="BF169" s="106" t="str">
        <f t="shared" si="1"/>
        <v>#VALUE!</v>
      </c>
      <c r="BG169" s="21">
        <f t="shared" si="2"/>
        <v>12</v>
      </c>
    </row>
    <row r="170">
      <c r="P170" s="161"/>
      <c r="AI170" s="102"/>
      <c r="AK170" s="105" t="s">
        <v>1432</v>
      </c>
      <c r="AO170" s="21" t="s">
        <v>1435</v>
      </c>
      <c r="AP170" s="21"/>
      <c r="AQ170" s="21"/>
      <c r="AR170" s="21"/>
      <c r="AS170" s="21"/>
      <c r="AT170" s="21"/>
      <c r="AU170" s="21"/>
      <c r="AV170" s="21"/>
      <c r="AW170" s="21"/>
      <c r="AX170" s="21"/>
      <c r="AY170" s="21"/>
      <c r="AZ170" s="21"/>
      <c r="BA170" s="21"/>
      <c r="BB170" s="21"/>
      <c r="BF170" s="106" t="str">
        <f t="shared" si="1"/>
        <v>#VALUE!</v>
      </c>
      <c r="BG170" s="21">
        <f t="shared" si="2"/>
        <v>12</v>
      </c>
    </row>
    <row r="171">
      <c r="P171" s="161"/>
      <c r="AI171" s="102"/>
      <c r="AK171" s="105" t="s">
        <v>1436</v>
      </c>
      <c r="AO171" s="53" t="s">
        <v>1437</v>
      </c>
      <c r="AP171" s="53" t="s">
        <v>1438</v>
      </c>
      <c r="AQ171" s="21" t="s">
        <v>1439</v>
      </c>
      <c r="AR171" s="21"/>
      <c r="AS171" s="53" t="s">
        <v>1440</v>
      </c>
      <c r="AT171" s="21"/>
      <c r="AU171" s="21"/>
      <c r="AV171" s="21"/>
      <c r="AW171" s="21"/>
      <c r="AX171" s="21"/>
      <c r="AY171" s="21"/>
      <c r="AZ171" s="21"/>
      <c r="BA171" s="21"/>
      <c r="BB171" s="21"/>
      <c r="BF171" s="106" t="str">
        <f t="shared" si="1"/>
        <v>#VALUE!</v>
      </c>
      <c r="BG171" s="21">
        <f t="shared" si="2"/>
        <v>12</v>
      </c>
    </row>
    <row r="172">
      <c r="P172" s="161"/>
      <c r="AI172" s="102"/>
      <c r="AK172" s="105" t="s">
        <v>1441</v>
      </c>
      <c r="AL172" s="86" t="s">
        <v>1444</v>
      </c>
      <c r="AO172" s="21" t="s">
        <v>1445</v>
      </c>
      <c r="AP172" s="21"/>
      <c r="AQ172" s="21"/>
      <c r="AR172" s="21"/>
      <c r="AS172" s="21"/>
      <c r="AT172" s="21"/>
      <c r="AU172" s="21"/>
      <c r="AV172" s="21"/>
      <c r="AW172" s="21"/>
      <c r="AX172" s="21"/>
      <c r="AY172" s="21"/>
      <c r="AZ172" s="21"/>
      <c r="BA172" s="21"/>
      <c r="BB172" s="21"/>
      <c r="BF172" s="106" t="str">
        <f t="shared" si="1"/>
        <v>#VALUE!</v>
      </c>
      <c r="BG172" s="21">
        <f t="shared" si="2"/>
        <v>12</v>
      </c>
    </row>
    <row r="173">
      <c r="P173" s="161"/>
      <c r="AI173" s="102"/>
      <c r="AK173" s="105" t="s">
        <v>1446</v>
      </c>
      <c r="AL173" s="86" t="s">
        <v>1447</v>
      </c>
      <c r="AO173" s="53" t="s">
        <v>1448</v>
      </c>
      <c r="AP173" s="53" t="s">
        <v>1449</v>
      </c>
      <c r="AQ173" s="21"/>
      <c r="AR173" s="21" t="s">
        <v>1450</v>
      </c>
      <c r="AS173" s="21"/>
      <c r="AT173" s="53" t="s">
        <v>1451</v>
      </c>
      <c r="AU173" s="21"/>
      <c r="AV173" s="21"/>
      <c r="AW173" s="21"/>
      <c r="AX173" s="21"/>
      <c r="AY173" s="21"/>
      <c r="AZ173" s="21"/>
      <c r="BA173" s="21"/>
      <c r="BB173" s="21"/>
      <c r="BF173" s="106" t="str">
        <f t="shared" si="1"/>
        <v>#VALUE!</v>
      </c>
      <c r="BG173" s="21">
        <f t="shared" si="2"/>
        <v>12</v>
      </c>
    </row>
    <row r="174">
      <c r="P174" s="161"/>
      <c r="AI174" s="102"/>
      <c r="AK174" s="105" t="s">
        <v>1452</v>
      </c>
      <c r="AO174" s="53" t="s">
        <v>1454</v>
      </c>
      <c r="AP174" s="53" t="s">
        <v>1455</v>
      </c>
      <c r="AQ174" s="21"/>
      <c r="AR174" s="21"/>
      <c r="AS174" s="21"/>
      <c r="AT174" s="21"/>
      <c r="AU174" s="21"/>
      <c r="AV174" s="21"/>
      <c r="AW174" s="21"/>
      <c r="AX174" s="21"/>
      <c r="AY174" s="21"/>
      <c r="AZ174" s="21"/>
      <c r="BA174" s="21"/>
      <c r="BB174" s="21"/>
      <c r="BF174" s="106" t="str">
        <f t="shared" si="1"/>
        <v>#VALUE!</v>
      </c>
      <c r="BG174" s="21">
        <f t="shared" si="2"/>
        <v>12</v>
      </c>
    </row>
    <row r="175">
      <c r="P175" s="161"/>
      <c r="AI175" s="102"/>
      <c r="AK175" s="105" t="s">
        <v>1456</v>
      </c>
      <c r="AL175" s="58"/>
      <c r="AO175" s="53" t="s">
        <v>1457</v>
      </c>
      <c r="AP175" s="21" t="s">
        <v>1458</v>
      </c>
      <c r="AQ175" s="21"/>
      <c r="AR175" s="21" t="s">
        <v>1459</v>
      </c>
      <c r="AS175" s="21"/>
      <c r="AT175" s="21"/>
      <c r="AU175" s="21"/>
      <c r="AV175" s="21"/>
      <c r="AW175" s="21"/>
      <c r="AX175" s="21"/>
      <c r="AY175" s="21"/>
      <c r="AZ175" s="21"/>
      <c r="BA175" s="21"/>
      <c r="BB175" s="21"/>
      <c r="BF175" s="106" t="str">
        <f t="shared" si="1"/>
        <v>#VALUE!</v>
      </c>
      <c r="BG175" s="21">
        <f t="shared" si="2"/>
        <v>12</v>
      </c>
    </row>
    <row r="176">
      <c r="P176" s="161"/>
      <c r="AI176" s="102"/>
      <c r="AK176" s="105" t="s">
        <v>1460</v>
      </c>
      <c r="AL176" s="86" t="s">
        <v>1447</v>
      </c>
      <c r="AO176" s="21" t="s">
        <v>1461</v>
      </c>
      <c r="AP176" s="53" t="s">
        <v>1462</v>
      </c>
      <c r="AQ176" s="21"/>
      <c r="AR176" s="21"/>
      <c r="AS176" s="21"/>
      <c r="AT176" s="53" t="s">
        <v>1463</v>
      </c>
      <c r="AU176" s="21"/>
      <c r="AV176" s="21"/>
      <c r="AW176" s="21"/>
      <c r="AX176" s="21"/>
      <c r="AY176" s="21"/>
      <c r="AZ176" s="21"/>
      <c r="BA176" s="21"/>
      <c r="BB176" s="21"/>
      <c r="BF176" s="106" t="str">
        <f t="shared" si="1"/>
        <v>#VALUE!</v>
      </c>
      <c r="BG176" s="21">
        <f t="shared" si="2"/>
        <v>12</v>
      </c>
    </row>
    <row r="177">
      <c r="P177" s="161"/>
      <c r="AI177" s="102"/>
      <c r="AK177" s="105" t="s">
        <v>1464</v>
      </c>
      <c r="AO177" s="53" t="s">
        <v>1468</v>
      </c>
      <c r="AP177" s="21"/>
      <c r="AQ177" s="21"/>
      <c r="AR177" s="21"/>
      <c r="AS177" s="21"/>
      <c r="AT177" s="21"/>
      <c r="AU177" s="21"/>
      <c r="AV177" s="21"/>
      <c r="AW177" s="21"/>
      <c r="AX177" s="21"/>
      <c r="AY177" s="21"/>
      <c r="AZ177" s="21"/>
      <c r="BA177" s="21"/>
      <c r="BB177" s="21"/>
      <c r="BF177" s="106" t="str">
        <f t="shared" si="1"/>
        <v>#VALUE!</v>
      </c>
      <c r="BG177" s="21">
        <f t="shared" si="2"/>
        <v>12</v>
      </c>
    </row>
    <row r="178">
      <c r="P178" s="161"/>
      <c r="AI178" s="102"/>
      <c r="AK178" s="105" t="s">
        <v>1469</v>
      </c>
      <c r="AO178" s="21"/>
      <c r="AP178" s="21"/>
      <c r="AQ178" s="21"/>
      <c r="AR178" s="21"/>
      <c r="AS178" s="21"/>
      <c r="AT178" s="21"/>
      <c r="AU178" s="21"/>
      <c r="AV178" s="21"/>
      <c r="AW178" s="21"/>
      <c r="AX178" s="21"/>
      <c r="AY178" s="21"/>
      <c r="AZ178" s="21"/>
      <c r="BA178" s="21"/>
      <c r="BB178" s="21"/>
      <c r="BF178" s="106" t="str">
        <f t="shared" si="1"/>
        <v>#VALUE!</v>
      </c>
      <c r="BG178" s="21">
        <f t="shared" si="2"/>
        <v>12</v>
      </c>
    </row>
    <row r="179">
      <c r="P179" s="161"/>
      <c r="AI179" s="102"/>
      <c r="AK179" s="105" t="s">
        <v>1470</v>
      </c>
      <c r="AO179" s="21"/>
      <c r="AP179" s="21"/>
      <c r="AQ179" s="21"/>
      <c r="AR179" s="21"/>
      <c r="AS179" s="21"/>
      <c r="AT179" s="21"/>
      <c r="AU179" s="21"/>
      <c r="AV179" s="21"/>
      <c r="AW179" s="21"/>
      <c r="AX179" s="21"/>
      <c r="AY179" s="21"/>
      <c r="AZ179" s="21"/>
      <c r="BA179" s="21"/>
      <c r="BB179" s="21"/>
      <c r="BF179" s="106" t="str">
        <f t="shared" si="1"/>
        <v>#VALUE!</v>
      </c>
      <c r="BG179" s="21">
        <f t="shared" si="2"/>
        <v>12</v>
      </c>
    </row>
    <row r="180">
      <c r="P180" s="161"/>
      <c r="AI180" s="102"/>
      <c r="AK180" s="105" t="s">
        <v>1474</v>
      </c>
      <c r="AO180" s="21" t="s">
        <v>1475</v>
      </c>
      <c r="AP180" s="21"/>
      <c r="AQ180" s="21"/>
      <c r="AR180" s="21"/>
      <c r="AS180" s="21"/>
      <c r="AT180" s="21"/>
      <c r="AU180" s="21"/>
      <c r="AV180" s="21"/>
      <c r="AW180" s="21"/>
      <c r="AX180" s="21"/>
      <c r="AY180" s="21"/>
      <c r="AZ180" s="21"/>
      <c r="BA180" s="21"/>
      <c r="BB180" s="21"/>
      <c r="BF180" s="106" t="str">
        <f t="shared" si="1"/>
        <v>#VALUE!</v>
      </c>
      <c r="BG180" s="21">
        <f t="shared" si="2"/>
        <v>12</v>
      </c>
    </row>
    <row r="181">
      <c r="P181" s="161"/>
      <c r="AI181" s="102"/>
      <c r="AK181" s="105" t="s">
        <v>1476</v>
      </c>
      <c r="AO181" s="53" t="s">
        <v>1478</v>
      </c>
      <c r="AP181" s="21"/>
      <c r="AQ181" s="21"/>
      <c r="AR181" s="21"/>
      <c r="AS181" s="21"/>
      <c r="AT181" s="21"/>
      <c r="AU181" s="21"/>
      <c r="AV181" s="21"/>
      <c r="AW181" s="21"/>
      <c r="AX181" s="21"/>
      <c r="AY181" s="21"/>
      <c r="AZ181" s="21"/>
      <c r="BA181" s="21"/>
      <c r="BB181" s="21"/>
      <c r="BF181" s="106" t="str">
        <f t="shared" si="1"/>
        <v>#VALUE!</v>
      </c>
      <c r="BG181" s="21">
        <f t="shared" si="2"/>
        <v>12</v>
      </c>
    </row>
    <row r="182">
      <c r="P182" s="161"/>
      <c r="AI182" s="102"/>
      <c r="AK182" s="105" t="s">
        <v>1479</v>
      </c>
      <c r="AL182" s="58"/>
      <c r="AO182" s="21" t="s">
        <v>1480</v>
      </c>
      <c r="AP182" s="21" t="s">
        <v>1481</v>
      </c>
      <c r="AQ182" s="21"/>
      <c r="AR182" s="21"/>
      <c r="AS182" s="21"/>
      <c r="AT182" s="21"/>
      <c r="AU182" s="21"/>
      <c r="AV182" s="21"/>
      <c r="AW182" s="21"/>
      <c r="AX182" s="21"/>
      <c r="AY182" s="21"/>
      <c r="AZ182" s="21"/>
      <c r="BA182" s="21"/>
      <c r="BB182" s="21"/>
      <c r="BF182" s="106" t="str">
        <f t="shared" si="1"/>
        <v>#VALUE!</v>
      </c>
      <c r="BG182" s="21">
        <f t="shared" si="2"/>
        <v>12</v>
      </c>
    </row>
    <row r="183">
      <c r="P183" s="161"/>
      <c r="AI183" s="102"/>
      <c r="AK183" s="105" t="s">
        <v>1482</v>
      </c>
      <c r="AL183" s="86" t="s">
        <v>1447</v>
      </c>
      <c r="AO183" s="21" t="s">
        <v>1484</v>
      </c>
      <c r="AP183" s="21"/>
      <c r="AQ183" s="21"/>
      <c r="AR183" s="21"/>
      <c r="AS183" s="21"/>
      <c r="AT183" s="21"/>
      <c r="AU183" s="21"/>
      <c r="AV183" s="21"/>
      <c r="AW183" s="21"/>
      <c r="AX183" s="21"/>
      <c r="AY183" s="21"/>
      <c r="AZ183" s="21"/>
      <c r="BA183" s="21"/>
      <c r="BB183" s="21"/>
      <c r="BF183" s="106" t="str">
        <f t="shared" si="1"/>
        <v>#VALUE!</v>
      </c>
      <c r="BG183" s="21">
        <f t="shared" si="2"/>
        <v>12</v>
      </c>
    </row>
    <row r="184">
      <c r="P184" s="161"/>
      <c r="AI184" s="102"/>
      <c r="AK184" s="105" t="s">
        <v>1485</v>
      </c>
      <c r="AO184" s="21" t="s">
        <v>1486</v>
      </c>
      <c r="AP184" s="21"/>
      <c r="AQ184" s="21"/>
      <c r="AR184" s="21"/>
      <c r="AS184" s="21"/>
      <c r="AT184" s="21"/>
      <c r="AU184" s="21"/>
      <c r="AV184" s="21"/>
      <c r="AW184" s="20" t="s">
        <v>1488</v>
      </c>
      <c r="AX184" s="139" t="s">
        <v>1490</v>
      </c>
      <c r="AY184" s="21"/>
      <c r="AZ184" s="21"/>
      <c r="BA184" s="21"/>
      <c r="BB184" s="21"/>
      <c r="BF184" s="106" t="str">
        <f t="shared" si="1"/>
        <v>#VALUE!</v>
      </c>
      <c r="BG184" s="21">
        <f t="shared" si="2"/>
        <v>12</v>
      </c>
    </row>
    <row r="185">
      <c r="P185" s="161"/>
      <c r="AI185" s="102"/>
      <c r="AK185" s="105" t="s">
        <v>1491</v>
      </c>
      <c r="AO185" s="21" t="s">
        <v>1492</v>
      </c>
      <c r="AP185" s="21" t="s">
        <v>866</v>
      </c>
      <c r="AQ185" s="21"/>
      <c r="AR185" s="21"/>
      <c r="AS185" s="21"/>
      <c r="AT185" s="21"/>
      <c r="AU185" s="21"/>
      <c r="AV185" s="21"/>
      <c r="AW185" s="21"/>
      <c r="AX185" s="21"/>
      <c r="AY185" s="21"/>
      <c r="AZ185" s="21"/>
      <c r="BA185" s="21"/>
      <c r="BB185" s="21"/>
      <c r="BF185" s="106" t="str">
        <f t="shared" si="1"/>
        <v>#VALUE!</v>
      </c>
      <c r="BG185" s="21">
        <f t="shared" si="2"/>
        <v>12</v>
      </c>
    </row>
    <row r="186">
      <c r="P186" s="161"/>
      <c r="AI186" s="102"/>
      <c r="AK186" s="105" t="s">
        <v>1493</v>
      </c>
      <c r="AO186" s="21" t="s">
        <v>1495</v>
      </c>
      <c r="AP186" s="21"/>
      <c r="AQ186" s="21"/>
      <c r="AR186" s="21"/>
      <c r="AS186" s="21"/>
      <c r="AT186" s="21"/>
      <c r="AU186" s="21"/>
      <c r="AV186" s="21"/>
      <c r="AW186" s="21"/>
      <c r="AX186" s="21"/>
      <c r="AY186" s="21"/>
      <c r="AZ186" s="21"/>
      <c r="BA186" s="21"/>
      <c r="BB186" s="21"/>
      <c r="BF186" s="106" t="str">
        <f t="shared" si="1"/>
        <v>#VALUE!</v>
      </c>
      <c r="BG186" s="21">
        <f t="shared" si="2"/>
        <v>12</v>
      </c>
    </row>
    <row r="187">
      <c r="P187" s="161"/>
      <c r="AI187" s="102"/>
      <c r="AK187" s="105" t="s">
        <v>1496</v>
      </c>
      <c r="AL187" s="86" t="s">
        <v>1447</v>
      </c>
      <c r="AO187" s="53" t="s">
        <v>1497</v>
      </c>
      <c r="AP187" s="53" t="s">
        <v>1498</v>
      </c>
      <c r="AQ187" s="21"/>
      <c r="AR187" s="21"/>
      <c r="AS187" s="21"/>
      <c r="AT187" s="21" t="s">
        <v>1388</v>
      </c>
      <c r="AU187" s="21"/>
      <c r="AV187" s="21"/>
      <c r="AW187" s="21"/>
      <c r="AX187" s="21"/>
      <c r="AY187" s="21"/>
      <c r="AZ187" s="21"/>
      <c r="BA187" s="21"/>
      <c r="BB187" s="21"/>
      <c r="BF187" s="106" t="str">
        <f t="shared" si="1"/>
        <v>#VALUE!</v>
      </c>
      <c r="BG187" s="21">
        <f t="shared" si="2"/>
        <v>12</v>
      </c>
    </row>
    <row r="188">
      <c r="P188" s="161"/>
      <c r="AI188" s="102"/>
      <c r="AK188" s="105" t="s">
        <v>1255</v>
      </c>
      <c r="AL188" s="58"/>
      <c r="AO188" s="21" t="s">
        <v>1500</v>
      </c>
      <c r="AP188" s="21"/>
      <c r="AQ188" s="21"/>
      <c r="AR188" s="21"/>
      <c r="AS188" s="21"/>
      <c r="AT188" s="21"/>
      <c r="AU188" s="21"/>
      <c r="AV188" s="21"/>
      <c r="AW188" s="21"/>
      <c r="AX188" s="21"/>
      <c r="AY188" s="21"/>
      <c r="AZ188" s="21"/>
      <c r="BA188" s="21"/>
      <c r="BB188" s="21"/>
      <c r="BF188" s="106" t="str">
        <f t="shared" si="1"/>
        <v>#VALUE!</v>
      </c>
      <c r="BG188" s="21">
        <f t="shared" si="2"/>
        <v>12</v>
      </c>
    </row>
    <row r="189">
      <c r="P189" s="161"/>
      <c r="AI189" s="102"/>
      <c r="AK189" s="105" t="s">
        <v>1501</v>
      </c>
      <c r="AO189" s="21" t="s">
        <v>1502</v>
      </c>
      <c r="AP189" s="21" t="s">
        <v>866</v>
      </c>
      <c r="AQ189" s="21"/>
      <c r="AR189" s="21"/>
      <c r="AS189" s="21"/>
      <c r="AT189" s="21"/>
      <c r="AU189" s="21"/>
      <c r="AV189" s="21"/>
      <c r="AW189" s="21"/>
      <c r="AX189" s="21"/>
      <c r="AY189" s="21"/>
      <c r="AZ189" s="21"/>
      <c r="BA189" s="21"/>
      <c r="BB189" s="21"/>
      <c r="BF189" s="106" t="str">
        <f t="shared" si="1"/>
        <v>#VALUE!</v>
      </c>
      <c r="BG189" s="21">
        <f t="shared" si="2"/>
        <v>12</v>
      </c>
    </row>
    <row r="190">
      <c r="P190" s="161"/>
      <c r="AI190" s="102"/>
      <c r="AK190" s="105" t="s">
        <v>1505</v>
      </c>
      <c r="AO190" s="21" t="s">
        <v>1506</v>
      </c>
      <c r="AP190" s="21" t="s">
        <v>866</v>
      </c>
      <c r="AQ190" s="21"/>
      <c r="AR190" s="21"/>
      <c r="AS190" s="21"/>
      <c r="AT190" s="21"/>
      <c r="AU190" s="21"/>
      <c r="AV190" s="21"/>
      <c r="AW190" s="21"/>
      <c r="AX190" s="21"/>
      <c r="AY190" s="21"/>
      <c r="AZ190" s="21"/>
      <c r="BA190" s="21"/>
      <c r="BB190" s="21"/>
      <c r="BF190" s="106" t="str">
        <f t="shared" si="1"/>
        <v>#VALUE!</v>
      </c>
      <c r="BG190" s="21">
        <f t="shared" si="2"/>
        <v>12</v>
      </c>
    </row>
    <row r="191">
      <c r="P191" s="161"/>
      <c r="AI191" s="102"/>
      <c r="AK191" s="105" t="s">
        <v>1507</v>
      </c>
      <c r="AO191" s="21" t="s">
        <v>1508</v>
      </c>
      <c r="AP191" s="21" t="s">
        <v>1509</v>
      </c>
      <c r="AQ191" s="21"/>
      <c r="AR191" s="21"/>
      <c r="AS191" s="21" t="s">
        <v>1266</v>
      </c>
      <c r="AT191" s="21"/>
      <c r="AU191" s="21"/>
      <c r="AV191" s="21"/>
      <c r="AW191" s="21"/>
      <c r="AX191" s="21"/>
      <c r="AY191" s="21"/>
      <c r="AZ191" s="21"/>
      <c r="BA191" s="21"/>
      <c r="BB191" s="21"/>
      <c r="BF191" s="106" t="str">
        <f t="shared" si="1"/>
        <v>#VALUE!</v>
      </c>
      <c r="BG191" s="21">
        <f t="shared" si="2"/>
        <v>12</v>
      </c>
    </row>
    <row r="192">
      <c r="P192" s="161"/>
      <c r="AI192" s="102"/>
      <c r="AK192" s="105" t="s">
        <v>815</v>
      </c>
      <c r="AO192" s="53" t="s">
        <v>1510</v>
      </c>
      <c r="AP192" s="21" t="s">
        <v>1511</v>
      </c>
      <c r="AQ192" s="21"/>
      <c r="AR192" s="21"/>
      <c r="AS192" s="21" t="s">
        <v>1266</v>
      </c>
      <c r="AT192" s="21"/>
      <c r="AU192" s="21"/>
      <c r="AV192" s="21"/>
      <c r="AW192" s="21"/>
      <c r="AX192" s="21"/>
      <c r="AY192" s="21"/>
      <c r="AZ192" s="21"/>
      <c r="BA192" s="21"/>
      <c r="BB192" s="21"/>
      <c r="BF192" s="106" t="str">
        <f t="shared" si="1"/>
        <v>#VALUE!</v>
      </c>
      <c r="BG192" s="21">
        <f t="shared" si="2"/>
        <v>12</v>
      </c>
    </row>
    <row r="193">
      <c r="P193" s="161"/>
      <c r="AI193" s="102"/>
      <c r="AK193" s="105" t="s">
        <v>1512</v>
      </c>
      <c r="AO193" s="21" t="s">
        <v>1515</v>
      </c>
      <c r="AP193" s="21" t="s">
        <v>866</v>
      </c>
      <c r="AQ193" s="21"/>
      <c r="AR193" s="21"/>
      <c r="AS193" s="21" t="s">
        <v>1459</v>
      </c>
      <c r="AT193" s="21"/>
      <c r="AU193" s="21"/>
      <c r="AV193" s="21"/>
      <c r="AW193" s="21"/>
      <c r="AX193" s="21"/>
      <c r="AY193" s="21"/>
      <c r="AZ193" s="21"/>
      <c r="BA193" s="21"/>
      <c r="BB193" s="21"/>
      <c r="BF193" s="106" t="str">
        <f t="shared" si="1"/>
        <v>#VALUE!</v>
      </c>
      <c r="BG193" s="21">
        <f t="shared" si="2"/>
        <v>12</v>
      </c>
    </row>
    <row r="194">
      <c r="P194" s="161"/>
      <c r="AI194" s="102"/>
      <c r="AK194" s="105" t="s">
        <v>818</v>
      </c>
      <c r="AO194" s="53" t="s">
        <v>1516</v>
      </c>
      <c r="AP194" s="21" t="s">
        <v>1518</v>
      </c>
      <c r="AQ194" s="21" t="s">
        <v>1519</v>
      </c>
      <c r="AR194" s="21"/>
      <c r="AS194" s="21"/>
      <c r="AT194" s="21"/>
      <c r="AU194" s="21"/>
      <c r="AV194" s="21"/>
      <c r="AW194" s="21"/>
      <c r="AX194" s="21"/>
      <c r="AY194" s="21"/>
      <c r="AZ194" s="21"/>
      <c r="BA194" s="21"/>
      <c r="BB194" s="21"/>
      <c r="BF194" s="106" t="str">
        <f t="shared" si="1"/>
        <v>#VALUE!</v>
      </c>
      <c r="BG194" s="21">
        <f t="shared" si="2"/>
        <v>12</v>
      </c>
    </row>
    <row r="195">
      <c r="P195" s="161"/>
      <c r="AI195" s="102"/>
      <c r="AK195" s="105" t="s">
        <v>1520</v>
      </c>
      <c r="AO195" s="21" t="s">
        <v>1521</v>
      </c>
      <c r="AP195" s="21" t="s">
        <v>1522</v>
      </c>
      <c r="AQ195" s="21"/>
      <c r="AR195" s="21"/>
      <c r="AS195" s="21"/>
      <c r="AT195" s="21"/>
      <c r="AU195" s="21"/>
      <c r="AV195" s="21"/>
      <c r="AW195" s="21"/>
      <c r="AX195" s="21"/>
      <c r="AY195" s="21"/>
      <c r="AZ195" s="21"/>
      <c r="BA195" s="21"/>
      <c r="BB195" s="21"/>
      <c r="BF195" s="106" t="str">
        <f t="shared" si="1"/>
        <v>#VALUE!</v>
      </c>
      <c r="BG195" s="21">
        <f t="shared" si="2"/>
        <v>12</v>
      </c>
    </row>
    <row r="196">
      <c r="P196" s="161"/>
      <c r="AI196" s="102"/>
      <c r="AK196" s="105" t="s">
        <v>1523</v>
      </c>
      <c r="AO196" s="21" t="s">
        <v>1525</v>
      </c>
      <c r="AP196" s="21" t="s">
        <v>1526</v>
      </c>
      <c r="AQ196" s="21"/>
      <c r="AR196" s="21"/>
      <c r="AS196" s="21"/>
      <c r="AT196" s="21"/>
      <c r="AU196" s="21"/>
      <c r="AV196" s="21"/>
      <c r="AW196" s="21"/>
      <c r="AX196" s="21"/>
      <c r="AY196" s="21"/>
      <c r="AZ196" s="21"/>
      <c r="BA196" s="21"/>
      <c r="BB196" s="21"/>
      <c r="BF196" s="106" t="str">
        <f t="shared" si="1"/>
        <v>#VALUE!</v>
      </c>
      <c r="BG196" s="21">
        <f t="shared" si="2"/>
        <v>12</v>
      </c>
    </row>
    <row r="197">
      <c r="P197" s="161"/>
      <c r="AI197" s="102"/>
      <c r="AK197" s="105" t="s">
        <v>1527</v>
      </c>
      <c r="AL197" s="86" t="s">
        <v>1447</v>
      </c>
      <c r="AO197" s="53" t="s">
        <v>1528</v>
      </c>
      <c r="AP197" s="21"/>
      <c r="AQ197" s="21" t="s">
        <v>1529</v>
      </c>
      <c r="AR197" s="21"/>
      <c r="AS197" s="21"/>
      <c r="AT197" s="21"/>
      <c r="AU197" s="21"/>
      <c r="AV197" s="21"/>
      <c r="AW197" s="21"/>
      <c r="AX197" s="21"/>
      <c r="AY197" s="21"/>
      <c r="AZ197" s="21"/>
      <c r="BA197" s="21"/>
      <c r="BB197" s="21"/>
      <c r="BF197" s="106" t="str">
        <f t="shared" si="1"/>
        <v>#VALUE!</v>
      </c>
      <c r="BG197" s="21">
        <f t="shared" si="2"/>
        <v>12</v>
      </c>
    </row>
    <row r="198">
      <c r="P198" s="161"/>
      <c r="AI198" s="102"/>
      <c r="AK198" s="105" t="s">
        <v>1530</v>
      </c>
      <c r="AL198" s="86" t="s">
        <v>1447</v>
      </c>
      <c r="AO198" s="53" t="s">
        <v>1532</v>
      </c>
      <c r="AP198" s="21"/>
      <c r="AQ198" s="21" t="s">
        <v>1533</v>
      </c>
      <c r="AR198" s="21"/>
      <c r="AS198" s="21"/>
      <c r="AT198" s="21"/>
      <c r="AU198" s="21"/>
      <c r="AV198" s="21"/>
      <c r="AW198" s="21"/>
      <c r="AX198" s="21" t="s">
        <v>1534</v>
      </c>
      <c r="AY198" s="21"/>
      <c r="AZ198" s="21"/>
      <c r="BA198" s="21"/>
      <c r="BB198" s="21"/>
      <c r="BF198" s="106" t="str">
        <f t="shared" si="1"/>
        <v>#VALUE!</v>
      </c>
      <c r="BG198" s="21">
        <f t="shared" si="2"/>
        <v>12</v>
      </c>
    </row>
    <row r="199">
      <c r="P199" s="161"/>
      <c r="AI199" s="102"/>
      <c r="AK199" s="105" t="s">
        <v>1535</v>
      </c>
      <c r="AO199" s="21" t="s">
        <v>1536</v>
      </c>
      <c r="AP199" s="53" t="s">
        <v>1537</v>
      </c>
      <c r="AQ199" s="21"/>
      <c r="AR199" s="21"/>
      <c r="AS199" s="21" t="s">
        <v>1538</v>
      </c>
      <c r="AT199" s="21"/>
      <c r="AU199" s="21"/>
      <c r="AV199" s="21"/>
      <c r="AW199" s="21"/>
      <c r="AX199" s="21"/>
      <c r="AY199" s="21"/>
      <c r="AZ199" s="21"/>
      <c r="BA199" s="21"/>
      <c r="BB199" s="21"/>
      <c r="BF199" s="106" t="str">
        <f t="shared" si="1"/>
        <v>#VALUE!</v>
      </c>
      <c r="BG199" s="21">
        <f t="shared" si="2"/>
        <v>12</v>
      </c>
    </row>
    <row r="200">
      <c r="P200" s="161"/>
      <c r="AI200" s="102"/>
      <c r="AK200" s="105" t="s">
        <v>1539</v>
      </c>
      <c r="AO200" s="53" t="s">
        <v>1541</v>
      </c>
      <c r="AP200" s="21"/>
      <c r="AQ200" s="21"/>
      <c r="AR200" s="21"/>
      <c r="AS200" s="21"/>
      <c r="AT200" s="21"/>
      <c r="AU200" s="21"/>
      <c r="AV200" s="21"/>
      <c r="AW200" s="21"/>
      <c r="AX200" s="21"/>
      <c r="AY200" s="21"/>
      <c r="AZ200" s="21"/>
      <c r="BA200" s="21"/>
      <c r="BB200" s="21"/>
      <c r="BF200" s="106" t="str">
        <f t="shared" si="1"/>
        <v>#VALUE!</v>
      </c>
      <c r="BG200" s="21">
        <f t="shared" si="2"/>
        <v>12</v>
      </c>
    </row>
    <row r="201">
      <c r="P201" s="161"/>
      <c r="AI201" s="102"/>
      <c r="AK201" s="105" t="s">
        <v>1542</v>
      </c>
      <c r="AO201" s="21" t="s">
        <v>1543</v>
      </c>
      <c r="AP201" s="21"/>
      <c r="AQ201" s="21"/>
      <c r="AR201" s="21"/>
      <c r="AS201" s="21"/>
      <c r="AT201" s="21"/>
      <c r="AU201" s="21"/>
      <c r="AV201" s="21"/>
      <c r="AW201" s="21"/>
      <c r="AX201" s="21"/>
      <c r="AY201" s="21"/>
      <c r="AZ201" s="21"/>
      <c r="BA201" s="21"/>
      <c r="BB201" s="21"/>
      <c r="BF201" s="106" t="str">
        <f t="shared" si="1"/>
        <v>#VALUE!</v>
      </c>
      <c r="BG201" s="21">
        <f t="shared" si="2"/>
        <v>12</v>
      </c>
    </row>
    <row r="202">
      <c r="P202" s="161"/>
      <c r="AI202" s="102"/>
      <c r="AK202" s="105" t="s">
        <v>1544</v>
      </c>
      <c r="AO202" s="21" t="s">
        <v>1545</v>
      </c>
      <c r="AP202" s="21"/>
      <c r="AQ202" s="21" t="s">
        <v>866</v>
      </c>
      <c r="AR202" s="21"/>
      <c r="AS202" s="21"/>
      <c r="AT202" s="21"/>
      <c r="AU202" s="21"/>
      <c r="AV202" s="21"/>
      <c r="AW202" s="21"/>
      <c r="AX202" s="21"/>
      <c r="AY202" s="21"/>
      <c r="AZ202" s="21"/>
      <c r="BA202" s="21"/>
      <c r="BB202" s="21"/>
      <c r="BF202" s="106" t="str">
        <f t="shared" si="1"/>
        <v>#VALUE!</v>
      </c>
      <c r="BG202" s="21">
        <f t="shared" si="2"/>
        <v>12</v>
      </c>
    </row>
    <row r="203">
      <c r="P203" s="161"/>
      <c r="AI203" s="102"/>
      <c r="AK203" s="105" t="s">
        <v>1546</v>
      </c>
      <c r="AO203" s="21" t="s">
        <v>1547</v>
      </c>
      <c r="AP203" s="21" t="s">
        <v>866</v>
      </c>
      <c r="AQ203" s="21"/>
      <c r="AR203" s="21"/>
      <c r="AS203" s="53" t="s">
        <v>1548</v>
      </c>
      <c r="AT203" s="21"/>
      <c r="AU203" s="21" t="s">
        <v>1549</v>
      </c>
      <c r="AV203" s="21" t="s">
        <v>1550</v>
      </c>
      <c r="AW203" s="21"/>
      <c r="AX203" s="21"/>
      <c r="AY203" s="21"/>
      <c r="AZ203" s="21"/>
      <c r="BA203" s="21"/>
      <c r="BB203" s="21"/>
      <c r="BF203" s="106" t="str">
        <f t="shared" si="1"/>
        <v>#VALUE!</v>
      </c>
      <c r="BG203" s="21">
        <f t="shared" si="2"/>
        <v>12</v>
      </c>
    </row>
    <row r="204">
      <c r="P204" s="161"/>
      <c r="AI204" s="102"/>
      <c r="AK204" s="105" t="s">
        <v>1551</v>
      </c>
      <c r="AO204" s="21" t="s">
        <v>1554</v>
      </c>
      <c r="AP204" s="21"/>
      <c r="AQ204" s="21"/>
      <c r="AR204" s="21"/>
      <c r="AS204" s="21"/>
      <c r="AT204" s="21"/>
      <c r="AU204" s="21"/>
      <c r="AV204" s="21"/>
      <c r="AW204" s="21"/>
      <c r="AX204" s="21"/>
      <c r="AY204" s="21"/>
      <c r="AZ204" s="21"/>
      <c r="BA204" s="21"/>
      <c r="BB204" s="21"/>
      <c r="BF204" s="106" t="str">
        <f t="shared" si="1"/>
        <v>#VALUE!</v>
      </c>
      <c r="BG204" s="21">
        <f t="shared" si="2"/>
        <v>12</v>
      </c>
    </row>
    <row r="205">
      <c r="P205" s="161"/>
      <c r="AI205" s="102"/>
      <c r="AK205" s="105" t="s">
        <v>1556</v>
      </c>
      <c r="AL205" s="86" t="s">
        <v>1447</v>
      </c>
      <c r="AO205" s="53" t="s">
        <v>1557</v>
      </c>
      <c r="AP205" s="21" t="s">
        <v>1558</v>
      </c>
      <c r="AQ205" s="21"/>
      <c r="AR205" s="21"/>
      <c r="AS205" s="21"/>
      <c r="AT205" s="21"/>
      <c r="AU205" s="21"/>
      <c r="AV205" s="21"/>
      <c r="AW205" s="21"/>
      <c r="AX205" s="21"/>
      <c r="AY205" s="21"/>
      <c r="AZ205" s="21"/>
      <c r="BA205" s="21"/>
      <c r="BB205" s="21"/>
      <c r="BF205" s="106" t="str">
        <f t="shared" si="1"/>
        <v>#VALUE!</v>
      </c>
      <c r="BG205" s="21">
        <f t="shared" si="2"/>
        <v>12</v>
      </c>
    </row>
    <row r="206">
      <c r="P206" s="161"/>
      <c r="AI206" s="102"/>
      <c r="AK206" s="105" t="s">
        <v>1559</v>
      </c>
      <c r="AO206" s="53" t="s">
        <v>1560</v>
      </c>
      <c r="AP206" s="21" t="s">
        <v>1561</v>
      </c>
      <c r="AQ206" s="21"/>
      <c r="AR206" s="21"/>
      <c r="AS206" s="21"/>
      <c r="AT206" s="21"/>
      <c r="AU206" s="21" t="s">
        <v>1562</v>
      </c>
      <c r="AV206" s="21"/>
      <c r="AW206" s="21"/>
      <c r="AX206" s="21"/>
      <c r="AY206" s="21"/>
      <c r="AZ206" s="21"/>
      <c r="BA206" s="21"/>
      <c r="BB206" s="21"/>
      <c r="BF206" s="106" t="str">
        <f t="shared" si="1"/>
        <v>#VALUE!</v>
      </c>
      <c r="BG206" s="21">
        <f t="shared" si="2"/>
        <v>12</v>
      </c>
    </row>
    <row r="207">
      <c r="P207" s="161"/>
      <c r="AI207" s="102"/>
      <c r="AK207" s="105" t="s">
        <v>1563</v>
      </c>
      <c r="AO207" s="21" t="s">
        <v>1564</v>
      </c>
      <c r="AP207" s="21" t="s">
        <v>1565</v>
      </c>
      <c r="AQ207" s="21"/>
      <c r="AR207" s="21"/>
      <c r="AS207" s="21" t="s">
        <v>1566</v>
      </c>
      <c r="AT207" s="21"/>
      <c r="AU207" s="21"/>
      <c r="AV207" s="21"/>
      <c r="AW207" s="21"/>
      <c r="AX207" s="21"/>
      <c r="AY207" s="21"/>
      <c r="AZ207" s="21"/>
      <c r="BA207" s="21"/>
      <c r="BB207" s="21"/>
      <c r="BF207" s="106" t="str">
        <f t="shared" si="1"/>
        <v>#VALUE!</v>
      </c>
      <c r="BG207" s="21">
        <f t="shared" si="2"/>
        <v>12</v>
      </c>
    </row>
    <row r="208">
      <c r="P208" s="161"/>
      <c r="AI208" s="102"/>
      <c r="AK208" s="105" t="s">
        <v>1567</v>
      </c>
      <c r="AO208" s="21" t="s">
        <v>1569</v>
      </c>
      <c r="AP208" s="21" t="s">
        <v>1570</v>
      </c>
      <c r="AQ208" s="21"/>
      <c r="AR208" s="21"/>
      <c r="AS208" s="21"/>
      <c r="AT208" s="21"/>
      <c r="AU208" s="21"/>
      <c r="AV208" s="21"/>
      <c r="AW208" s="21"/>
      <c r="AX208" s="21"/>
      <c r="AY208" s="21"/>
      <c r="AZ208" s="21"/>
      <c r="BA208" s="21"/>
      <c r="BB208" s="21"/>
      <c r="BF208" s="106" t="str">
        <f t="shared" si="1"/>
        <v>#VALUE!</v>
      </c>
      <c r="BG208" s="21">
        <f t="shared" si="2"/>
        <v>12</v>
      </c>
    </row>
    <row r="209">
      <c r="P209" s="161"/>
      <c r="AI209" s="102"/>
      <c r="AK209" s="105" t="s">
        <v>105</v>
      </c>
      <c r="AO209" s="21" t="s">
        <v>1571</v>
      </c>
      <c r="AP209" s="21"/>
      <c r="AQ209" s="21"/>
      <c r="AR209" s="21"/>
      <c r="AS209" s="293">
        <v>46190.0</v>
      </c>
      <c r="AT209" s="21"/>
      <c r="AU209" s="21"/>
      <c r="AV209" s="21"/>
      <c r="AW209" s="21"/>
      <c r="AX209" s="21"/>
      <c r="AY209" s="21"/>
      <c r="AZ209" s="21"/>
      <c r="BA209" s="21"/>
      <c r="BB209" s="21"/>
      <c r="BF209" s="106" t="str">
        <f t="shared" si="1"/>
        <v>#VALUE!</v>
      </c>
      <c r="BG209" s="21">
        <f t="shared" si="2"/>
        <v>12</v>
      </c>
    </row>
    <row r="210">
      <c r="P210" s="161"/>
      <c r="AI210" s="102"/>
      <c r="AK210" s="105" t="s">
        <v>930</v>
      </c>
      <c r="AO210" s="21" t="s">
        <v>1572</v>
      </c>
      <c r="AP210" s="21" t="s">
        <v>1573</v>
      </c>
      <c r="AQ210" s="20" t="s">
        <v>1574</v>
      </c>
      <c r="AR210" s="21"/>
      <c r="AS210" s="21"/>
      <c r="AT210" s="21"/>
      <c r="AU210" s="21"/>
      <c r="AV210" s="21"/>
      <c r="AW210" s="21"/>
      <c r="AX210" s="21"/>
      <c r="AY210" s="21"/>
      <c r="AZ210" s="21"/>
      <c r="BA210" s="21"/>
      <c r="BB210" s="21"/>
      <c r="BF210" s="106" t="str">
        <f t="shared" si="1"/>
        <v>#VALUE!</v>
      </c>
      <c r="BG210" s="21">
        <f t="shared" si="2"/>
        <v>12</v>
      </c>
    </row>
    <row r="211">
      <c r="P211" s="161"/>
      <c r="AI211" s="102"/>
      <c r="AK211" s="105" t="s">
        <v>1576</v>
      </c>
      <c r="AO211" s="21" t="s">
        <v>1577</v>
      </c>
      <c r="AP211" s="21"/>
      <c r="AQ211" s="21"/>
      <c r="AR211" s="21"/>
      <c r="AS211" s="21"/>
      <c r="AT211" s="21"/>
      <c r="AU211" s="21"/>
      <c r="AV211" s="21"/>
      <c r="AW211" s="21"/>
      <c r="AX211" s="21"/>
      <c r="AY211" s="21"/>
      <c r="AZ211" s="21"/>
      <c r="BA211" s="21"/>
      <c r="BB211" s="21"/>
      <c r="BF211" s="106" t="str">
        <f t="shared" si="1"/>
        <v>#VALUE!</v>
      </c>
      <c r="BG211" s="21">
        <f t="shared" si="2"/>
        <v>12</v>
      </c>
    </row>
    <row r="212">
      <c r="P212" s="161"/>
      <c r="AI212" s="102"/>
      <c r="AK212" s="105" t="s">
        <v>1578</v>
      </c>
      <c r="AL212" s="86" t="s">
        <v>1447</v>
      </c>
      <c r="AO212" s="21" t="s">
        <v>1579</v>
      </c>
      <c r="AP212" s="21"/>
      <c r="AQ212" s="21"/>
      <c r="AR212" s="21"/>
      <c r="AS212" s="53" t="s">
        <v>1580</v>
      </c>
      <c r="AT212" s="21" t="s">
        <v>1581</v>
      </c>
      <c r="AU212" s="21"/>
      <c r="AV212" s="53" t="s">
        <v>1582</v>
      </c>
      <c r="AW212" s="21"/>
      <c r="AX212" s="21"/>
      <c r="AY212" s="21"/>
      <c r="AZ212" s="21"/>
      <c r="BA212" s="21"/>
      <c r="BB212" s="21"/>
      <c r="BF212" s="106" t="str">
        <f t="shared" si="1"/>
        <v>#VALUE!</v>
      </c>
      <c r="BG212" s="21">
        <f t="shared" si="2"/>
        <v>12</v>
      </c>
    </row>
    <row r="213">
      <c r="P213" s="161"/>
      <c r="AI213" s="102"/>
      <c r="AK213" s="105" t="s">
        <v>1583</v>
      </c>
      <c r="AO213" s="53" t="s">
        <v>1587</v>
      </c>
      <c r="AP213" s="21"/>
      <c r="AQ213" s="21"/>
      <c r="AR213" s="53" t="s">
        <v>1588</v>
      </c>
      <c r="AS213" s="21"/>
      <c r="AT213" s="21"/>
      <c r="AU213" s="21"/>
      <c r="AV213" s="53" t="s">
        <v>1589</v>
      </c>
      <c r="AW213" s="21"/>
      <c r="AX213" s="21"/>
      <c r="AY213" s="21"/>
      <c r="AZ213" s="21"/>
      <c r="BA213" s="21"/>
      <c r="BB213" s="21"/>
      <c r="BF213" s="106" t="str">
        <f t="shared" si="1"/>
        <v>#VALUE!</v>
      </c>
      <c r="BG213" s="21">
        <f t="shared" si="2"/>
        <v>12</v>
      </c>
    </row>
    <row r="214">
      <c r="P214" s="161"/>
      <c r="AI214" s="102"/>
      <c r="AK214" s="105" t="s">
        <v>1590</v>
      </c>
      <c r="AL214" s="58"/>
      <c r="AO214" s="21" t="s">
        <v>1591</v>
      </c>
      <c r="AP214" s="21"/>
      <c r="AQ214" s="21" t="s">
        <v>1592</v>
      </c>
      <c r="AR214" s="53" t="s">
        <v>1593</v>
      </c>
      <c r="AS214" s="21"/>
      <c r="AT214" s="21"/>
      <c r="AU214" s="21"/>
      <c r="AV214" s="21"/>
      <c r="AW214" s="21"/>
      <c r="AX214" s="21"/>
      <c r="AY214" s="21"/>
      <c r="AZ214" s="21"/>
      <c r="BA214" s="21"/>
      <c r="BB214" s="21"/>
      <c r="BF214" s="106" t="str">
        <f t="shared" si="1"/>
        <v>#VALUE!</v>
      </c>
      <c r="BG214" s="21">
        <f t="shared" si="2"/>
        <v>12</v>
      </c>
    </row>
    <row r="215">
      <c r="P215" s="161"/>
      <c r="AI215" s="102"/>
      <c r="AK215" s="105" t="s">
        <v>1594</v>
      </c>
      <c r="AO215" s="21" t="s">
        <v>1595</v>
      </c>
      <c r="AP215" s="21"/>
      <c r="AQ215" s="21"/>
      <c r="AR215" s="21"/>
      <c r="AS215" s="21"/>
      <c r="AT215" s="21"/>
      <c r="AU215" s="21"/>
      <c r="AV215" s="21"/>
      <c r="AW215" s="21"/>
      <c r="AX215" s="21"/>
      <c r="AY215" s="21"/>
      <c r="AZ215" s="21"/>
      <c r="BA215" s="21"/>
      <c r="BB215" s="21"/>
      <c r="BF215" s="106" t="str">
        <f t="shared" si="1"/>
        <v>#VALUE!</v>
      </c>
      <c r="BG215" s="21">
        <f t="shared" si="2"/>
        <v>12</v>
      </c>
    </row>
    <row r="216">
      <c r="P216" s="161"/>
      <c r="AI216" s="102"/>
      <c r="AK216" s="105" t="s">
        <v>1596</v>
      </c>
      <c r="AO216" s="53" t="s">
        <v>1597</v>
      </c>
      <c r="AP216" s="21"/>
      <c r="AQ216" s="21"/>
      <c r="AR216" s="21"/>
      <c r="AS216" s="53" t="s">
        <v>1598</v>
      </c>
      <c r="AT216" s="20" t="s">
        <v>1599</v>
      </c>
      <c r="AU216" s="21"/>
      <c r="AV216" s="21"/>
      <c r="AW216" s="21"/>
      <c r="AX216" s="21"/>
      <c r="AY216" s="21"/>
      <c r="AZ216" s="21"/>
      <c r="BA216" s="21"/>
      <c r="BB216" s="21"/>
      <c r="BF216" s="106" t="str">
        <f t="shared" si="1"/>
        <v>#VALUE!</v>
      </c>
      <c r="BG216" s="21">
        <f t="shared" si="2"/>
        <v>12</v>
      </c>
    </row>
    <row r="217">
      <c r="P217" s="161"/>
      <c r="AI217" s="102"/>
      <c r="AK217" s="105" t="s">
        <v>1600</v>
      </c>
      <c r="AO217" s="21" t="s">
        <v>1601</v>
      </c>
      <c r="AP217" s="21"/>
      <c r="AQ217" s="21"/>
      <c r="AR217" s="21"/>
      <c r="AS217" s="21"/>
      <c r="AT217" s="21"/>
      <c r="AU217" s="21"/>
      <c r="AV217" s="21" t="s">
        <v>1562</v>
      </c>
      <c r="AW217" s="21"/>
      <c r="AX217" s="21"/>
      <c r="AY217" s="21"/>
      <c r="AZ217" s="21"/>
      <c r="BA217" s="21"/>
      <c r="BB217" s="21"/>
      <c r="BF217" s="106" t="str">
        <f t="shared" si="1"/>
        <v>#VALUE!</v>
      </c>
      <c r="BG217" s="21">
        <f t="shared" si="2"/>
        <v>12</v>
      </c>
    </row>
    <row r="218">
      <c r="P218" s="161"/>
      <c r="AI218" s="102"/>
      <c r="AK218" s="105" t="s">
        <v>820</v>
      </c>
      <c r="AL218" s="169" t="s">
        <v>968</v>
      </c>
      <c r="AO218" s="53" t="s">
        <v>1603</v>
      </c>
      <c r="AP218" s="53" t="s">
        <v>1604</v>
      </c>
      <c r="AQ218" s="21"/>
      <c r="AR218" s="21"/>
      <c r="AS218" s="53" t="s">
        <v>1605</v>
      </c>
      <c r="AT218" s="53" t="s">
        <v>1606</v>
      </c>
      <c r="AU218" s="21"/>
      <c r="AV218" s="21"/>
      <c r="AW218" s="21"/>
      <c r="AX218" s="21"/>
      <c r="AY218" s="21"/>
      <c r="AZ218" s="21"/>
      <c r="BA218" s="21"/>
      <c r="BB218" s="21"/>
      <c r="BF218" s="106" t="str">
        <f t="shared" si="1"/>
        <v>#VALUE!</v>
      </c>
      <c r="BG218" s="21">
        <f t="shared" si="2"/>
        <v>12</v>
      </c>
    </row>
    <row r="219">
      <c r="P219" s="161"/>
      <c r="AI219" s="102"/>
      <c r="AK219" s="105" t="s">
        <v>1607</v>
      </c>
      <c r="AO219" s="21"/>
      <c r="AP219" s="21"/>
      <c r="AQ219" s="21"/>
      <c r="AR219" s="21"/>
      <c r="AS219" s="21"/>
      <c r="AT219" s="21"/>
      <c r="AU219" s="21"/>
      <c r="AV219" s="21"/>
      <c r="AW219" s="21"/>
      <c r="AX219" s="21"/>
      <c r="AY219" s="21"/>
      <c r="AZ219" s="21"/>
      <c r="BA219" s="21"/>
      <c r="BB219" s="21"/>
      <c r="BF219" s="106" t="str">
        <f t="shared" si="1"/>
        <v>#VALUE!</v>
      </c>
      <c r="BG219" s="21">
        <f t="shared" si="2"/>
        <v>12</v>
      </c>
    </row>
    <row r="220">
      <c r="P220" s="161"/>
      <c r="AI220" s="102"/>
      <c r="AK220" s="105" t="s">
        <v>1608</v>
      </c>
      <c r="AO220" s="53" t="s">
        <v>1609</v>
      </c>
      <c r="AP220" s="21"/>
      <c r="AQ220" s="53" t="s">
        <v>1610</v>
      </c>
      <c r="AR220" s="21"/>
      <c r="AS220" s="21"/>
      <c r="AT220" s="21"/>
      <c r="AU220" s="21"/>
      <c r="AV220" s="21"/>
      <c r="AW220" s="21"/>
      <c r="AX220" s="21"/>
      <c r="AY220" s="21"/>
      <c r="AZ220" s="21"/>
      <c r="BA220" s="21"/>
      <c r="BB220" s="21"/>
      <c r="BF220" s="106" t="str">
        <f t="shared" si="1"/>
        <v>#VALUE!</v>
      </c>
      <c r="BG220" s="21">
        <f t="shared" si="2"/>
        <v>12</v>
      </c>
    </row>
    <row r="221">
      <c r="P221" s="161"/>
      <c r="AI221" s="102"/>
      <c r="AK221" s="105" t="s">
        <v>1611</v>
      </c>
      <c r="AL221" s="86" t="s">
        <v>513</v>
      </c>
      <c r="AO221" s="21" t="s">
        <v>1613</v>
      </c>
      <c r="AP221" s="21"/>
      <c r="AQ221" s="21"/>
      <c r="AR221" s="21"/>
      <c r="AS221" s="21"/>
      <c r="AT221" s="21"/>
      <c r="AU221" s="21"/>
      <c r="AV221" s="21"/>
      <c r="AW221" s="21"/>
      <c r="AX221" s="20" t="s">
        <v>1614</v>
      </c>
      <c r="AY221" s="21"/>
      <c r="AZ221" s="21"/>
      <c r="BA221" s="21"/>
      <c r="BB221" s="21"/>
      <c r="BF221" s="106" t="str">
        <f t="shared" si="1"/>
        <v>#VALUE!</v>
      </c>
      <c r="BG221" s="21">
        <f t="shared" si="2"/>
        <v>12</v>
      </c>
    </row>
    <row r="222">
      <c r="P222" s="161"/>
      <c r="AI222" s="102"/>
      <c r="AK222" s="105" t="s">
        <v>1617</v>
      </c>
      <c r="AO222" s="53" t="s">
        <v>1619</v>
      </c>
      <c r="AP222" s="53" t="s">
        <v>1620</v>
      </c>
      <c r="AQ222" s="53" t="s">
        <v>1621</v>
      </c>
      <c r="AR222" s="21"/>
      <c r="AS222" s="21"/>
      <c r="AT222" s="21"/>
      <c r="AU222" s="21"/>
      <c r="AV222" s="21"/>
      <c r="AW222" s="21"/>
      <c r="AX222" s="21" t="s">
        <v>1622</v>
      </c>
      <c r="AY222" s="21"/>
      <c r="AZ222" s="21"/>
      <c r="BA222" s="21"/>
      <c r="BB222" s="21"/>
      <c r="BF222" s="106" t="str">
        <f t="shared" si="1"/>
        <v>#VALUE!</v>
      </c>
      <c r="BG222" s="21">
        <f t="shared" si="2"/>
        <v>12</v>
      </c>
    </row>
    <row r="223">
      <c r="P223" s="161"/>
      <c r="AI223" s="102"/>
      <c r="AK223" s="105" t="s">
        <v>1623</v>
      </c>
      <c r="AL223" s="58"/>
      <c r="AO223" s="21" t="s">
        <v>1624</v>
      </c>
      <c r="AP223" s="53" t="s">
        <v>1625</v>
      </c>
      <c r="AQ223" s="21" t="s">
        <v>1626</v>
      </c>
      <c r="AR223" s="21"/>
      <c r="AS223" s="21"/>
      <c r="AT223" s="21"/>
      <c r="AU223" s="21"/>
      <c r="AV223" s="21"/>
      <c r="AW223" s="21"/>
      <c r="AX223" s="21"/>
      <c r="AY223" s="21"/>
      <c r="AZ223" s="21"/>
      <c r="BA223" s="21"/>
      <c r="BB223" s="21"/>
      <c r="BF223" s="106" t="str">
        <f t="shared" si="1"/>
        <v>#VALUE!</v>
      </c>
      <c r="BG223" s="21">
        <f t="shared" si="2"/>
        <v>12</v>
      </c>
    </row>
    <row r="224">
      <c r="P224" s="161"/>
      <c r="AI224" s="102"/>
      <c r="AK224" s="105" t="s">
        <v>798</v>
      </c>
      <c r="AO224" s="53" t="s">
        <v>1627</v>
      </c>
      <c r="AP224" s="21"/>
      <c r="AQ224" s="53" t="s">
        <v>1628</v>
      </c>
      <c r="AR224" s="21"/>
      <c r="AS224" s="21"/>
      <c r="AT224" s="53" t="s">
        <v>1629</v>
      </c>
      <c r="AU224" s="21"/>
      <c r="AV224" s="21"/>
      <c r="AW224" s="21"/>
      <c r="AX224" s="21"/>
      <c r="AY224" s="21"/>
      <c r="AZ224" s="21"/>
      <c r="BA224" s="21"/>
      <c r="BB224" s="21"/>
      <c r="BF224" s="106" t="str">
        <f t="shared" si="1"/>
        <v>#VALUE!</v>
      </c>
      <c r="BG224" s="21">
        <f t="shared" si="2"/>
        <v>12</v>
      </c>
    </row>
    <row r="225">
      <c r="P225" s="161"/>
      <c r="AI225" s="102"/>
      <c r="AK225" s="105" t="s">
        <v>1630</v>
      </c>
      <c r="AL225" s="246" t="s">
        <v>1631</v>
      </c>
      <c r="AO225" s="21"/>
      <c r="AP225" s="21"/>
      <c r="AQ225" s="21"/>
      <c r="AR225" s="21"/>
      <c r="AS225" s="21"/>
      <c r="AT225" s="21"/>
      <c r="AU225" s="21"/>
      <c r="AV225" s="21"/>
      <c r="AW225" s="21"/>
      <c r="AX225" s="21"/>
      <c r="AY225" s="21"/>
      <c r="AZ225" s="21"/>
      <c r="BA225" s="21"/>
      <c r="BB225" s="21"/>
      <c r="BF225" s="106" t="str">
        <f t="shared" si="1"/>
        <v>#VALUE!</v>
      </c>
      <c r="BG225" s="21">
        <f t="shared" si="2"/>
        <v>12</v>
      </c>
    </row>
    <row r="226">
      <c r="P226" s="161"/>
      <c r="AI226" s="102"/>
      <c r="AK226" s="105" t="s">
        <v>1632</v>
      </c>
      <c r="AO226" s="53" t="s">
        <v>1633</v>
      </c>
      <c r="AP226" s="53" t="s">
        <v>1634</v>
      </c>
      <c r="AQ226" s="21"/>
      <c r="AR226" s="21"/>
      <c r="AS226" s="21" t="s">
        <v>1459</v>
      </c>
      <c r="AT226" s="53" t="s">
        <v>1635</v>
      </c>
      <c r="AU226" s="21"/>
      <c r="AV226" s="21"/>
      <c r="AW226" s="21"/>
      <c r="AX226" s="21"/>
      <c r="AY226" s="21"/>
      <c r="AZ226" s="21"/>
      <c r="BA226" s="21"/>
      <c r="BB226" s="21"/>
      <c r="BF226" s="106" t="str">
        <f t="shared" si="1"/>
        <v>#VALUE!</v>
      </c>
      <c r="BG226" s="21">
        <f t="shared" si="2"/>
        <v>12</v>
      </c>
    </row>
    <row r="227">
      <c r="P227" s="161"/>
      <c r="AI227" s="102"/>
      <c r="AK227" s="105" t="s">
        <v>1636</v>
      </c>
      <c r="AL227" s="58"/>
      <c r="AO227" s="21" t="s">
        <v>1637</v>
      </c>
      <c r="AP227" s="21" t="s">
        <v>1638</v>
      </c>
      <c r="AQ227" s="21"/>
      <c r="AR227" s="21"/>
      <c r="AS227" s="21"/>
      <c r="AT227" s="21"/>
      <c r="AU227" s="21"/>
      <c r="AV227" s="21"/>
      <c r="AW227" s="21"/>
      <c r="AX227" s="21"/>
      <c r="AY227" s="21"/>
      <c r="AZ227" s="21"/>
      <c r="BA227" s="21"/>
      <c r="BB227" s="21"/>
      <c r="BF227" s="106" t="str">
        <f t="shared" si="1"/>
        <v>#VALUE!</v>
      </c>
      <c r="BG227" s="21">
        <f t="shared" si="2"/>
        <v>12</v>
      </c>
    </row>
    <row r="228">
      <c r="P228" s="161"/>
      <c r="AI228" s="102"/>
      <c r="AK228" s="105" t="s">
        <v>1639</v>
      </c>
      <c r="AL228" s="86" t="s">
        <v>1640</v>
      </c>
      <c r="AO228" s="21" t="s">
        <v>1641</v>
      </c>
      <c r="AP228" s="21" t="s">
        <v>1642</v>
      </c>
      <c r="AQ228" s="21"/>
      <c r="AR228" s="21"/>
      <c r="AS228" s="21"/>
      <c r="AT228" s="21" t="s">
        <v>1643</v>
      </c>
      <c r="AU228" s="21"/>
      <c r="AV228" s="21"/>
      <c r="AW228" s="21"/>
      <c r="AX228" s="21"/>
      <c r="AY228" s="21"/>
      <c r="AZ228" s="21" t="s">
        <v>1644</v>
      </c>
      <c r="BA228" s="21"/>
      <c r="BB228" s="21"/>
      <c r="BF228" s="106" t="str">
        <f t="shared" si="1"/>
        <v>#VALUE!</v>
      </c>
      <c r="BG228" s="21">
        <f t="shared" si="2"/>
        <v>12</v>
      </c>
    </row>
    <row r="229">
      <c r="P229" s="161"/>
      <c r="AI229" s="102"/>
      <c r="AK229" s="105" t="s">
        <v>1645</v>
      </c>
      <c r="AO229" s="21" t="s">
        <v>1646</v>
      </c>
      <c r="AP229" s="21" t="s">
        <v>1647</v>
      </c>
      <c r="AQ229" s="21"/>
      <c r="AR229" s="21"/>
      <c r="AS229" s="21"/>
      <c r="AT229" s="21"/>
      <c r="AU229" s="21"/>
      <c r="AV229" s="21"/>
      <c r="AW229" s="21"/>
      <c r="AX229" s="21"/>
      <c r="AY229" s="21"/>
      <c r="AZ229" s="21"/>
      <c r="BA229" s="21"/>
      <c r="BB229" s="21"/>
      <c r="BF229" s="106" t="str">
        <f t="shared" si="1"/>
        <v>#VALUE!</v>
      </c>
      <c r="BG229" s="21">
        <f t="shared" si="2"/>
        <v>12</v>
      </c>
    </row>
    <row r="230">
      <c r="P230" s="161"/>
      <c r="AI230" s="102"/>
      <c r="AK230" s="105" t="s">
        <v>1648</v>
      </c>
      <c r="AO230" s="53" t="s">
        <v>1649</v>
      </c>
      <c r="AP230" s="21"/>
      <c r="AQ230" s="21"/>
      <c r="AR230" s="21"/>
      <c r="AS230" s="21"/>
      <c r="AT230" s="21"/>
      <c r="AU230" s="21"/>
      <c r="AV230" s="21"/>
      <c r="AW230" s="21"/>
      <c r="AX230" s="21"/>
      <c r="AY230" s="21"/>
      <c r="AZ230" s="21"/>
      <c r="BA230" s="21"/>
      <c r="BB230" s="21"/>
      <c r="BF230" s="106" t="str">
        <f t="shared" si="1"/>
        <v>#VALUE!</v>
      </c>
      <c r="BG230" s="21">
        <f t="shared" si="2"/>
        <v>12</v>
      </c>
    </row>
    <row r="231">
      <c r="P231" s="161"/>
      <c r="AI231" s="102"/>
      <c r="AK231" s="105" t="s">
        <v>1650</v>
      </c>
      <c r="AO231" s="53" t="s">
        <v>1651</v>
      </c>
      <c r="AP231" s="21"/>
      <c r="AQ231" s="21"/>
      <c r="AR231" s="21"/>
      <c r="AS231" s="21"/>
      <c r="AT231" s="21"/>
      <c r="AU231" s="21"/>
      <c r="AV231" s="21"/>
      <c r="AW231" s="21"/>
      <c r="AX231" s="21"/>
      <c r="AY231" s="21"/>
      <c r="AZ231" s="21"/>
      <c r="BA231" s="21"/>
      <c r="BB231" s="21"/>
      <c r="BF231" s="106" t="str">
        <f t="shared" si="1"/>
        <v>#VALUE!</v>
      </c>
      <c r="BG231" s="21">
        <f t="shared" si="2"/>
        <v>12</v>
      </c>
    </row>
    <row r="232">
      <c r="P232" s="161"/>
      <c r="AI232" s="102"/>
      <c r="AK232" s="105" t="s">
        <v>1652</v>
      </c>
      <c r="AO232" s="21" t="s">
        <v>1655</v>
      </c>
      <c r="AP232" s="21"/>
      <c r="AQ232" s="21"/>
      <c r="AR232" s="21"/>
      <c r="AS232" s="21"/>
      <c r="AT232" s="21"/>
      <c r="AU232" s="21"/>
      <c r="AV232" s="21"/>
      <c r="AW232" s="21"/>
      <c r="AX232" s="21"/>
      <c r="AY232" s="21"/>
      <c r="AZ232" s="21"/>
      <c r="BA232" s="21"/>
      <c r="BB232" s="21"/>
      <c r="BF232" s="106" t="str">
        <f t="shared" si="1"/>
        <v>#VALUE!</v>
      </c>
      <c r="BG232" s="21">
        <f t="shared" si="2"/>
        <v>12</v>
      </c>
    </row>
    <row r="233">
      <c r="P233" s="161"/>
      <c r="AI233" s="102"/>
      <c r="AK233" s="105" t="s">
        <v>1656</v>
      </c>
      <c r="AL233" s="58"/>
      <c r="AO233" s="21" t="s">
        <v>1657</v>
      </c>
      <c r="AP233" s="21"/>
      <c r="AQ233" s="21"/>
      <c r="AR233" s="21"/>
      <c r="AS233" s="21"/>
      <c r="AT233" s="21"/>
      <c r="AU233" s="21"/>
      <c r="AV233" s="21"/>
      <c r="AW233" s="21"/>
      <c r="AX233" s="21"/>
      <c r="AY233" s="21"/>
      <c r="AZ233" s="21"/>
      <c r="BA233" s="21"/>
      <c r="BB233" s="21"/>
      <c r="BF233" s="106" t="str">
        <f t="shared" si="1"/>
        <v>#VALUE!</v>
      </c>
      <c r="BG233" s="21">
        <f t="shared" si="2"/>
        <v>12</v>
      </c>
    </row>
    <row r="234">
      <c r="P234" s="161"/>
      <c r="AI234" s="102"/>
      <c r="AK234" s="296" t="s">
        <v>1658</v>
      </c>
      <c r="AL234" s="58"/>
      <c r="AO234" s="21" t="s">
        <v>1659</v>
      </c>
      <c r="AP234" s="26" t="s">
        <v>1660</v>
      </c>
      <c r="AQ234" s="26"/>
      <c r="AR234" s="26" t="s">
        <v>595</v>
      </c>
      <c r="AS234" s="26"/>
      <c r="AT234" s="26"/>
      <c r="AU234" s="26"/>
      <c r="AV234" s="26"/>
      <c r="AW234" s="26"/>
      <c r="AX234" s="26"/>
      <c r="AY234" s="26"/>
      <c r="AZ234" s="26"/>
      <c r="BA234" s="26"/>
      <c r="BB234" s="26"/>
      <c r="BF234" s="106" t="str">
        <f t="shared" si="1"/>
        <v>#VALUE!</v>
      </c>
      <c r="BG234" s="21">
        <f t="shared" si="2"/>
        <v>12</v>
      </c>
    </row>
    <row r="235">
      <c r="P235" s="161"/>
      <c r="AI235" s="102"/>
      <c r="AK235" s="105" t="s">
        <v>1662</v>
      </c>
      <c r="AO235" s="21" t="s">
        <v>1665</v>
      </c>
      <c r="AP235" s="21"/>
      <c r="AQ235" s="21"/>
      <c r="AR235" s="21"/>
      <c r="AS235" s="21"/>
      <c r="AT235" s="21"/>
      <c r="AU235" s="21"/>
      <c r="AV235" s="21"/>
      <c r="AW235" s="21"/>
      <c r="AX235" s="21"/>
      <c r="AY235" s="21"/>
      <c r="AZ235" s="21"/>
      <c r="BA235" s="21"/>
      <c r="BB235" s="21"/>
      <c r="BF235" s="106" t="str">
        <f t="shared" si="1"/>
        <v>#VALUE!</v>
      </c>
      <c r="BG235" s="21">
        <f t="shared" si="2"/>
        <v>12</v>
      </c>
    </row>
    <row r="236">
      <c r="P236" s="161"/>
      <c r="AI236" s="102"/>
      <c r="AK236" s="105" t="s">
        <v>1666</v>
      </c>
      <c r="AO236" s="21" t="s">
        <v>1667</v>
      </c>
      <c r="AP236" s="21"/>
      <c r="AQ236" s="21"/>
      <c r="AR236" s="21"/>
      <c r="AS236" s="21"/>
      <c r="AT236" s="21"/>
      <c r="AU236" s="21"/>
      <c r="AV236" s="21"/>
      <c r="AW236" s="21"/>
      <c r="AX236" s="21"/>
      <c r="AY236" s="21"/>
      <c r="AZ236" s="21"/>
      <c r="BA236" s="21"/>
      <c r="BB236" s="21"/>
      <c r="BF236" s="106" t="str">
        <f t="shared" si="1"/>
        <v>#VALUE!</v>
      </c>
      <c r="BG236" s="21">
        <f t="shared" si="2"/>
        <v>12</v>
      </c>
    </row>
    <row r="237">
      <c r="P237" s="161"/>
      <c r="AI237" s="102"/>
      <c r="AK237" s="105" t="s">
        <v>1668</v>
      </c>
      <c r="AO237" s="21"/>
      <c r="AP237" s="21"/>
      <c r="AQ237" s="21"/>
      <c r="AR237" s="21"/>
      <c r="AS237" s="21"/>
      <c r="AT237" s="21"/>
      <c r="AU237" s="21"/>
      <c r="AV237" s="21"/>
      <c r="AW237" s="21"/>
      <c r="AX237" s="21"/>
      <c r="AY237" s="21"/>
      <c r="AZ237" s="21"/>
      <c r="BA237" s="21"/>
      <c r="BB237" s="21"/>
      <c r="BF237" s="106" t="str">
        <f t="shared" si="1"/>
        <v>#VALUE!</v>
      </c>
      <c r="BG237" s="21">
        <f t="shared" si="2"/>
        <v>12</v>
      </c>
    </row>
    <row r="238">
      <c r="P238" s="161"/>
      <c r="AI238" s="102"/>
      <c r="AK238" s="105" t="s">
        <v>1669</v>
      </c>
      <c r="AL238" s="58"/>
      <c r="AO238" s="53" t="s">
        <v>1673</v>
      </c>
      <c r="AP238" s="53" t="s">
        <v>1674</v>
      </c>
      <c r="AQ238" s="21"/>
      <c r="AR238" s="21"/>
      <c r="AS238" s="21"/>
      <c r="AT238" s="21"/>
      <c r="AU238" s="53" t="s">
        <v>1675</v>
      </c>
      <c r="AV238" s="21"/>
      <c r="AW238" s="21"/>
      <c r="AX238" s="21"/>
      <c r="AY238" s="21"/>
      <c r="AZ238" s="21"/>
      <c r="BA238" s="21"/>
      <c r="BB238" s="21"/>
      <c r="BF238" s="106" t="str">
        <f t="shared" si="1"/>
        <v>#VALUE!</v>
      </c>
      <c r="BG238" s="21">
        <f t="shared" si="2"/>
        <v>12</v>
      </c>
    </row>
    <row r="239">
      <c r="P239" s="161"/>
      <c r="AI239" s="102"/>
      <c r="AK239" s="105" t="s">
        <v>1676</v>
      </c>
      <c r="AL239" s="86" t="s">
        <v>1677</v>
      </c>
      <c r="AO239" s="53" t="s">
        <v>1678</v>
      </c>
      <c r="AP239" s="21"/>
      <c r="AQ239" s="21"/>
      <c r="AR239" s="21"/>
      <c r="AS239" s="21"/>
      <c r="AT239" s="21"/>
      <c r="AU239" s="21"/>
      <c r="AV239" s="21"/>
      <c r="AW239" s="21" t="s">
        <v>1679</v>
      </c>
      <c r="AX239" s="21"/>
      <c r="AY239" s="21"/>
      <c r="AZ239" s="21"/>
      <c r="BA239" s="21"/>
      <c r="BB239" s="21"/>
      <c r="BF239" s="106" t="str">
        <f t="shared" si="1"/>
        <v>#VALUE!</v>
      </c>
      <c r="BG239" s="21">
        <f t="shared" si="2"/>
        <v>12</v>
      </c>
    </row>
    <row r="240">
      <c r="P240" s="161"/>
      <c r="AI240" s="102"/>
      <c r="AK240" s="105" t="s">
        <v>1680</v>
      </c>
      <c r="AL240" s="58"/>
      <c r="AO240" s="53" t="s">
        <v>1681</v>
      </c>
      <c r="AP240" s="21"/>
      <c r="AQ240" s="21"/>
      <c r="AR240" s="21"/>
      <c r="AS240" s="53" t="s">
        <v>1682</v>
      </c>
      <c r="AT240" s="21"/>
      <c r="AU240" s="21"/>
      <c r="AV240" s="21"/>
      <c r="AW240" s="21"/>
      <c r="AX240" s="21"/>
      <c r="AY240" s="21"/>
      <c r="AZ240" s="21"/>
      <c r="BA240" s="21"/>
      <c r="BB240" s="21"/>
      <c r="BF240" s="106" t="str">
        <f t="shared" si="1"/>
        <v>#VALUE!</v>
      </c>
      <c r="BG240" s="21">
        <f t="shared" si="2"/>
        <v>12</v>
      </c>
    </row>
    <row r="241">
      <c r="P241" s="161"/>
      <c r="AI241" s="102"/>
      <c r="AK241" s="105" t="s">
        <v>1683</v>
      </c>
      <c r="AO241" s="21" t="s">
        <v>1685</v>
      </c>
      <c r="AP241" s="21" t="s">
        <v>1686</v>
      </c>
      <c r="AQ241" s="21"/>
      <c r="AR241" s="21"/>
      <c r="AS241" s="21"/>
      <c r="AT241" s="21"/>
      <c r="AU241" s="21" t="s">
        <v>1562</v>
      </c>
      <c r="AV241" s="21"/>
      <c r="AW241" s="21"/>
      <c r="AX241" s="21"/>
      <c r="AY241" s="21"/>
      <c r="AZ241" s="21"/>
      <c r="BA241" s="21"/>
      <c r="BB241" s="21"/>
      <c r="BF241" s="106" t="str">
        <f t="shared" si="1"/>
        <v>#VALUE!</v>
      </c>
      <c r="BG241" s="21">
        <f t="shared" si="2"/>
        <v>12</v>
      </c>
    </row>
    <row r="242">
      <c r="P242" s="161"/>
      <c r="AI242" s="102"/>
      <c r="AK242" s="105" t="s">
        <v>1687</v>
      </c>
      <c r="AO242" s="53" t="s">
        <v>1688</v>
      </c>
      <c r="AP242" s="21"/>
      <c r="AQ242" s="21"/>
      <c r="AR242" s="21"/>
      <c r="AS242" s="21"/>
      <c r="AT242" s="21"/>
      <c r="AU242" s="21"/>
      <c r="AV242" s="21"/>
      <c r="AW242" s="21"/>
      <c r="AX242" s="21"/>
      <c r="AY242" s="21"/>
      <c r="AZ242" s="21"/>
      <c r="BA242" s="21"/>
      <c r="BB242" s="21"/>
      <c r="BF242" s="106" t="str">
        <f t="shared" si="1"/>
        <v>#VALUE!</v>
      </c>
      <c r="BG242" s="21">
        <f t="shared" si="2"/>
        <v>12</v>
      </c>
    </row>
    <row r="243">
      <c r="P243" s="161"/>
      <c r="AI243" s="102"/>
      <c r="AK243" s="105" t="s">
        <v>1689</v>
      </c>
      <c r="AO243" s="53" t="s">
        <v>1690</v>
      </c>
      <c r="AP243" s="53" t="s">
        <v>1691</v>
      </c>
      <c r="AQ243" s="21"/>
      <c r="AR243" s="21"/>
      <c r="AS243" s="21"/>
      <c r="AT243" s="21"/>
      <c r="AU243" s="21"/>
      <c r="AV243" s="21"/>
      <c r="AW243" s="21"/>
      <c r="AX243" s="21"/>
      <c r="AY243" s="21"/>
      <c r="AZ243" s="21"/>
      <c r="BA243" s="21"/>
      <c r="BB243" s="21"/>
      <c r="BF243" s="106" t="str">
        <f t="shared" si="1"/>
        <v>#VALUE!</v>
      </c>
      <c r="BG243" s="21">
        <f t="shared" si="2"/>
        <v>12</v>
      </c>
    </row>
    <row r="244">
      <c r="P244" s="161"/>
      <c r="AI244" s="102"/>
      <c r="AK244" s="105" t="s">
        <v>1692</v>
      </c>
      <c r="AO244" s="21"/>
      <c r="AP244" s="21"/>
      <c r="AQ244" s="21"/>
      <c r="AR244" s="21"/>
      <c r="AS244" s="21"/>
      <c r="AT244" s="21"/>
      <c r="AU244" s="21"/>
      <c r="AV244" s="21"/>
      <c r="AW244" s="21"/>
      <c r="AX244" s="21"/>
      <c r="AY244" s="21"/>
      <c r="AZ244" s="21"/>
      <c r="BA244" s="21"/>
      <c r="BB244" s="21"/>
      <c r="BF244" s="106" t="str">
        <f t="shared" si="1"/>
        <v>#VALUE!</v>
      </c>
      <c r="BG244" s="21">
        <f t="shared" si="2"/>
        <v>12</v>
      </c>
    </row>
    <row r="245">
      <c r="P245" s="161"/>
      <c r="AI245" s="102"/>
      <c r="AK245" s="105" t="s">
        <v>1695</v>
      </c>
      <c r="AL245" s="86" t="s">
        <v>1677</v>
      </c>
      <c r="AO245" s="53" t="s">
        <v>1696</v>
      </c>
      <c r="AP245" s="21"/>
      <c r="AQ245" s="21"/>
      <c r="AR245" s="21"/>
      <c r="AS245" s="21"/>
      <c r="AT245" s="21"/>
      <c r="AU245" s="21"/>
      <c r="AV245" s="21"/>
      <c r="AW245" s="21"/>
      <c r="AX245" s="21"/>
      <c r="AY245" s="21"/>
      <c r="AZ245" s="21"/>
      <c r="BA245" s="21"/>
      <c r="BB245" s="21"/>
      <c r="BF245" s="106" t="str">
        <f t="shared" si="1"/>
        <v>#VALUE!</v>
      </c>
      <c r="BG245" s="21">
        <f t="shared" si="2"/>
        <v>12</v>
      </c>
    </row>
    <row r="246">
      <c r="P246" s="161"/>
      <c r="AI246" s="102"/>
      <c r="AK246" s="105" t="s">
        <v>1697</v>
      </c>
      <c r="AL246" s="86" t="s">
        <v>1698</v>
      </c>
      <c r="AO246" s="21" t="s">
        <v>1699</v>
      </c>
      <c r="AP246" s="21"/>
      <c r="AQ246" s="20" t="s">
        <v>1700</v>
      </c>
      <c r="AR246" s="21"/>
      <c r="AS246" s="21"/>
      <c r="AT246" s="21"/>
      <c r="AU246" s="21"/>
      <c r="AV246" s="21"/>
      <c r="AW246" s="21"/>
      <c r="AX246" s="20" t="s">
        <v>1701</v>
      </c>
      <c r="AY246" s="21"/>
      <c r="AZ246" s="21"/>
      <c r="BA246" s="21"/>
      <c r="BB246" s="21"/>
      <c r="BF246" s="106" t="str">
        <f t="shared" si="1"/>
        <v>#VALUE!</v>
      </c>
      <c r="BG246" s="21">
        <f t="shared" si="2"/>
        <v>12</v>
      </c>
    </row>
    <row r="247">
      <c r="P247" s="161"/>
      <c r="AI247" s="102"/>
      <c r="AK247" s="105" t="s">
        <v>1702</v>
      </c>
      <c r="AO247" s="53" t="s">
        <v>1707</v>
      </c>
      <c r="AP247" s="21"/>
      <c r="AQ247" s="21"/>
      <c r="AR247" s="21"/>
      <c r="AS247" s="21"/>
      <c r="AT247" s="21"/>
      <c r="AU247" s="21"/>
      <c r="AV247" s="21"/>
      <c r="AW247" s="21"/>
      <c r="AX247" s="21"/>
      <c r="AY247" s="21"/>
      <c r="AZ247" s="21"/>
      <c r="BA247" s="21"/>
      <c r="BB247" s="21"/>
      <c r="BF247" s="106" t="str">
        <f t="shared" si="1"/>
        <v>#VALUE!</v>
      </c>
      <c r="BG247" s="21">
        <f t="shared" si="2"/>
        <v>12</v>
      </c>
    </row>
    <row r="248">
      <c r="P248" s="161"/>
      <c r="AI248" s="102"/>
      <c r="AK248" s="105" t="s">
        <v>1708</v>
      </c>
      <c r="AL248" s="86" t="s">
        <v>1677</v>
      </c>
      <c r="AO248" s="53" t="s">
        <v>1709</v>
      </c>
      <c r="AP248" s="21" t="s">
        <v>1710</v>
      </c>
      <c r="AQ248" s="21"/>
      <c r="AR248" s="21"/>
      <c r="AS248" s="53" t="s">
        <v>1711</v>
      </c>
      <c r="AT248" s="21"/>
      <c r="AU248" s="21"/>
      <c r="AV248" s="21" t="s">
        <v>1712</v>
      </c>
      <c r="AW248" s="21"/>
      <c r="AX248" s="21"/>
      <c r="AY248" s="21"/>
      <c r="AZ248" s="21"/>
      <c r="BA248" s="21"/>
      <c r="BB248" s="21"/>
      <c r="BF248" s="106" t="str">
        <f t="shared" si="1"/>
        <v>#VALUE!</v>
      </c>
      <c r="BG248" s="21">
        <f t="shared" si="2"/>
        <v>12</v>
      </c>
    </row>
    <row r="249">
      <c r="P249" s="161"/>
      <c r="AI249" s="102"/>
      <c r="AK249" s="105" t="s">
        <v>1713</v>
      </c>
      <c r="AO249" s="53" t="s">
        <v>1714</v>
      </c>
      <c r="AP249" s="21"/>
      <c r="AQ249" s="21"/>
      <c r="AR249" s="21"/>
      <c r="AS249" s="21"/>
      <c r="AT249" s="21"/>
      <c r="AU249" s="21"/>
      <c r="AV249" s="21"/>
      <c r="AW249" s="21"/>
      <c r="AX249" s="21"/>
      <c r="AY249" s="21"/>
      <c r="AZ249" s="21"/>
      <c r="BA249" s="21"/>
      <c r="BB249" s="21"/>
      <c r="BF249" s="106" t="str">
        <f t="shared" si="1"/>
        <v>#VALUE!</v>
      </c>
      <c r="BG249" s="21">
        <f t="shared" si="2"/>
        <v>12</v>
      </c>
    </row>
    <row r="250">
      <c r="P250" s="161"/>
      <c r="AI250" s="102"/>
      <c r="AK250" s="105" t="s">
        <v>1715</v>
      </c>
      <c r="AO250" s="21" t="s">
        <v>1717</v>
      </c>
      <c r="AP250" s="21"/>
      <c r="AQ250" s="21"/>
      <c r="AR250" s="21"/>
      <c r="AS250" s="21"/>
      <c r="AT250" s="21"/>
      <c r="AU250" s="21"/>
      <c r="AV250" s="21"/>
      <c r="AW250" s="21"/>
      <c r="AX250" s="21"/>
      <c r="AY250" s="21"/>
      <c r="AZ250" s="21"/>
      <c r="BA250" s="21"/>
      <c r="BB250" s="21"/>
      <c r="BF250" s="106" t="str">
        <f t="shared" si="1"/>
        <v>#VALUE!</v>
      </c>
      <c r="BG250" s="21">
        <f t="shared" si="2"/>
        <v>12</v>
      </c>
    </row>
    <row r="251">
      <c r="P251" s="161"/>
      <c r="AI251" s="102"/>
      <c r="AK251" s="105" t="s">
        <v>1718</v>
      </c>
      <c r="AL251" s="58"/>
      <c r="AO251" s="21" t="s">
        <v>1719</v>
      </c>
      <c r="AP251" s="21"/>
      <c r="AQ251" s="21"/>
      <c r="AR251" s="21"/>
      <c r="AS251" s="21"/>
      <c r="AT251" s="21" t="s">
        <v>1720</v>
      </c>
      <c r="AU251" s="21"/>
      <c r="AV251" s="21"/>
      <c r="AW251" s="21"/>
      <c r="AX251" s="21"/>
      <c r="AY251" s="21"/>
      <c r="AZ251" s="21"/>
      <c r="BA251" s="21"/>
      <c r="BB251" s="21"/>
      <c r="BF251" s="106" t="str">
        <f t="shared" si="1"/>
        <v>#VALUE!</v>
      </c>
      <c r="BG251" s="21">
        <f t="shared" si="2"/>
        <v>12</v>
      </c>
    </row>
    <row r="252">
      <c r="P252" s="161"/>
      <c r="AI252" s="102"/>
      <c r="AK252" s="105" t="s">
        <v>1721</v>
      </c>
      <c r="AL252" s="86" t="s">
        <v>1447</v>
      </c>
      <c r="AO252" s="53" t="s">
        <v>1722</v>
      </c>
      <c r="AP252" s="21"/>
      <c r="AQ252" s="53" t="s">
        <v>1723</v>
      </c>
      <c r="AR252" s="21"/>
      <c r="AS252" s="53" t="s">
        <v>1724</v>
      </c>
      <c r="AT252" s="21"/>
      <c r="AU252" s="21"/>
      <c r="AV252" s="21"/>
      <c r="AW252" s="21"/>
      <c r="AX252" s="21"/>
      <c r="AY252" s="21"/>
      <c r="AZ252" s="21"/>
      <c r="BA252" s="21"/>
      <c r="BB252" s="21"/>
      <c r="BF252" s="106" t="str">
        <f t="shared" si="1"/>
        <v>#VALUE!</v>
      </c>
      <c r="BG252" s="21">
        <f t="shared" si="2"/>
        <v>12</v>
      </c>
    </row>
    <row r="253">
      <c r="P253" s="161"/>
      <c r="AI253" s="102"/>
      <c r="AK253" s="105" t="s">
        <v>1725</v>
      </c>
      <c r="AL253" s="86" t="s">
        <v>1447</v>
      </c>
      <c r="AO253" s="53" t="s">
        <v>1726</v>
      </c>
      <c r="AP253" s="21"/>
      <c r="AQ253" s="21" t="s">
        <v>1727</v>
      </c>
      <c r="AR253" s="21"/>
      <c r="AS253" s="53" t="s">
        <v>1728</v>
      </c>
      <c r="AT253" s="21"/>
      <c r="AU253" s="21"/>
      <c r="AV253" s="21"/>
      <c r="AW253" s="21"/>
      <c r="AX253" s="21"/>
      <c r="AY253" s="21"/>
      <c r="AZ253" s="21"/>
      <c r="BA253" s="21"/>
      <c r="BB253" s="21"/>
      <c r="BF253" s="106" t="str">
        <f t="shared" si="1"/>
        <v>#VALUE!</v>
      </c>
      <c r="BG253" s="21">
        <f t="shared" si="2"/>
        <v>12</v>
      </c>
    </row>
    <row r="254">
      <c r="P254" s="161"/>
      <c r="AI254" s="102"/>
      <c r="AK254" s="105" t="s">
        <v>1729</v>
      </c>
      <c r="AL254" s="86" t="s">
        <v>1447</v>
      </c>
      <c r="AO254" s="53" t="s">
        <v>1730</v>
      </c>
      <c r="AP254" s="21"/>
      <c r="AQ254" s="21"/>
      <c r="AR254" s="21"/>
      <c r="AS254" s="21"/>
      <c r="AT254" s="21"/>
      <c r="AU254" s="21" t="s">
        <v>1731</v>
      </c>
      <c r="AV254" s="21"/>
      <c r="AW254" s="21"/>
      <c r="AX254" s="21"/>
      <c r="AY254" s="21"/>
      <c r="AZ254" s="21"/>
      <c r="BA254" s="21"/>
      <c r="BB254" s="21"/>
      <c r="BF254" s="106" t="str">
        <f t="shared" si="1"/>
        <v>#VALUE!</v>
      </c>
      <c r="BG254" s="21">
        <f t="shared" si="2"/>
        <v>12</v>
      </c>
    </row>
    <row r="255">
      <c r="P255" s="161"/>
      <c r="AI255" s="102"/>
      <c r="AK255" s="105" t="s">
        <v>1732</v>
      </c>
      <c r="AL255" s="58"/>
      <c r="AO255" s="21" t="s">
        <v>1736</v>
      </c>
      <c r="AP255" s="21"/>
      <c r="AQ255" s="21"/>
      <c r="AR255" s="21"/>
      <c r="AS255" s="53" t="s">
        <v>1737</v>
      </c>
      <c r="AT255" s="21"/>
      <c r="AU255" s="21" t="s">
        <v>1738</v>
      </c>
      <c r="AV255" s="21"/>
      <c r="AW255" s="21"/>
      <c r="AX255" s="21"/>
      <c r="AY255" s="21"/>
      <c r="AZ255" s="21"/>
      <c r="BA255" s="21"/>
      <c r="BB255" s="21"/>
      <c r="BF255" s="106" t="str">
        <f t="shared" si="1"/>
        <v>#VALUE!</v>
      </c>
      <c r="BG255" s="21">
        <f t="shared" si="2"/>
        <v>12</v>
      </c>
    </row>
    <row r="256">
      <c r="P256" s="161"/>
      <c r="AI256" s="102"/>
      <c r="AK256" s="105" t="s">
        <v>1739</v>
      </c>
      <c r="AL256" s="58"/>
      <c r="AO256" s="53" t="s">
        <v>1740</v>
      </c>
      <c r="AP256" s="21"/>
      <c r="AQ256" s="21"/>
      <c r="AR256" s="21" t="s">
        <v>1741</v>
      </c>
      <c r="AS256" s="21"/>
      <c r="AT256" s="21" t="s">
        <v>1731</v>
      </c>
      <c r="AU256" s="21"/>
      <c r="AV256" s="21"/>
      <c r="AW256" s="21"/>
      <c r="AX256" s="21"/>
      <c r="AY256" s="21"/>
      <c r="AZ256" s="21"/>
      <c r="BA256" s="21"/>
      <c r="BB256" s="21"/>
      <c r="BF256" s="106" t="str">
        <f t="shared" si="1"/>
        <v>#VALUE!</v>
      </c>
      <c r="BG256" s="21">
        <f t="shared" si="2"/>
        <v>12</v>
      </c>
    </row>
    <row r="257">
      <c r="P257" s="161"/>
      <c r="AI257" s="102"/>
      <c r="AK257" s="105" t="s">
        <v>1742</v>
      </c>
      <c r="AO257" s="21" t="s">
        <v>1743</v>
      </c>
      <c r="AP257" s="21"/>
      <c r="AQ257" s="21"/>
      <c r="AR257" s="21" t="s">
        <v>1744</v>
      </c>
      <c r="AS257" s="21"/>
      <c r="AT257" s="21"/>
      <c r="AU257" s="21"/>
      <c r="AV257" s="21"/>
      <c r="AW257" s="21"/>
      <c r="AX257" s="21"/>
      <c r="AY257" s="21"/>
      <c r="AZ257" s="21"/>
      <c r="BA257" s="21"/>
      <c r="BB257" s="21"/>
      <c r="BF257" s="106" t="str">
        <f t="shared" si="1"/>
        <v>#VALUE!</v>
      </c>
      <c r="BG257" s="21">
        <f t="shared" si="2"/>
        <v>12</v>
      </c>
    </row>
    <row r="258">
      <c r="P258" s="161"/>
      <c r="AI258" s="102"/>
      <c r="AK258" s="105" t="s">
        <v>1745</v>
      </c>
      <c r="AL258" s="86" t="s">
        <v>1447</v>
      </c>
      <c r="AO258" s="53" t="s">
        <v>1748</v>
      </c>
      <c r="AP258" s="21"/>
      <c r="AQ258" s="21"/>
      <c r="AR258" s="21" t="s">
        <v>1749</v>
      </c>
      <c r="AS258" s="21"/>
      <c r="AT258" s="21"/>
      <c r="AU258" s="21"/>
      <c r="AV258" s="21"/>
      <c r="AW258" s="21"/>
      <c r="AX258" s="21"/>
      <c r="AY258" s="21"/>
      <c r="AZ258" s="21"/>
      <c r="BA258" s="21"/>
      <c r="BB258" s="21"/>
      <c r="BF258" s="106" t="str">
        <f t="shared" si="1"/>
        <v>#VALUE!</v>
      </c>
      <c r="BG258" s="21">
        <f t="shared" si="2"/>
        <v>12</v>
      </c>
    </row>
    <row r="259">
      <c r="P259" s="161"/>
      <c r="AI259" s="102"/>
      <c r="AK259" s="105" t="s">
        <v>1750</v>
      </c>
      <c r="AL259" s="86" t="s">
        <v>1447</v>
      </c>
      <c r="AO259" s="53" t="s">
        <v>1751</v>
      </c>
      <c r="AP259" s="21"/>
      <c r="AQ259" s="21"/>
      <c r="AR259" s="21"/>
      <c r="AS259" s="21"/>
      <c r="AT259" s="21"/>
      <c r="AU259" s="21"/>
      <c r="AV259" s="21" t="s">
        <v>1752</v>
      </c>
      <c r="AW259" s="21"/>
      <c r="AX259" s="21"/>
      <c r="AY259" s="21"/>
      <c r="AZ259" s="21"/>
      <c r="BA259" s="21"/>
      <c r="BB259" s="21"/>
      <c r="BF259" s="106" t="str">
        <f t="shared" si="1"/>
        <v>#VALUE!</v>
      </c>
      <c r="BG259" s="21">
        <f t="shared" si="2"/>
        <v>12</v>
      </c>
    </row>
    <row r="260">
      <c r="P260" s="161"/>
      <c r="AI260" s="102"/>
      <c r="AK260" s="105" t="s">
        <v>417</v>
      </c>
      <c r="AL260" s="58"/>
      <c r="AO260" s="21" t="s">
        <v>1753</v>
      </c>
      <c r="AP260" s="21"/>
      <c r="AQ260" s="21"/>
      <c r="AR260" s="21"/>
      <c r="AS260" s="21"/>
      <c r="AT260" s="21"/>
      <c r="AU260" s="21"/>
      <c r="AV260" s="21"/>
      <c r="AW260" s="21"/>
      <c r="AX260" s="21"/>
      <c r="AY260" s="21"/>
      <c r="AZ260" s="21"/>
      <c r="BA260" s="21"/>
      <c r="BB260" s="21"/>
      <c r="BF260" s="106" t="str">
        <f t="shared" si="1"/>
        <v>#VALUE!</v>
      </c>
      <c r="BG260" s="21">
        <f t="shared" si="2"/>
        <v>12</v>
      </c>
    </row>
    <row r="261">
      <c r="P261" s="161"/>
      <c r="AI261" s="102"/>
      <c r="AK261" s="105" t="s">
        <v>1754</v>
      </c>
      <c r="AO261" s="53" t="s">
        <v>1755</v>
      </c>
      <c r="AP261" s="21"/>
      <c r="AQ261" s="53" t="s">
        <v>1756</v>
      </c>
      <c r="AR261" s="21"/>
      <c r="AS261" s="21"/>
      <c r="AT261" s="21"/>
      <c r="AU261" s="21"/>
      <c r="AV261" s="21"/>
      <c r="AW261" s="21"/>
      <c r="AX261" s="21"/>
      <c r="AY261" s="21"/>
      <c r="AZ261" s="21"/>
      <c r="BA261" s="21"/>
      <c r="BB261" s="21"/>
      <c r="BF261" s="106" t="str">
        <f t="shared" si="1"/>
        <v>#VALUE!</v>
      </c>
      <c r="BG261" s="21">
        <f t="shared" si="2"/>
        <v>12</v>
      </c>
    </row>
    <row r="262">
      <c r="P262" s="161"/>
      <c r="AI262" s="102"/>
      <c r="AK262" s="105" t="s">
        <v>1759</v>
      </c>
      <c r="AO262" s="21" t="s">
        <v>1760</v>
      </c>
      <c r="AP262" s="21"/>
      <c r="AQ262" s="21"/>
      <c r="AR262" s="21"/>
      <c r="AS262" s="21"/>
      <c r="AT262" s="21"/>
      <c r="AU262" s="21"/>
      <c r="AV262" s="21"/>
      <c r="AW262" s="21"/>
      <c r="AX262" s="21"/>
      <c r="AY262" s="21"/>
      <c r="AZ262" s="21"/>
      <c r="BA262" s="21"/>
      <c r="BB262" s="21"/>
      <c r="BF262" s="106" t="str">
        <f t="shared" si="1"/>
        <v>#VALUE!</v>
      </c>
      <c r="BG262" s="21">
        <f t="shared" si="2"/>
        <v>12</v>
      </c>
    </row>
    <row r="263">
      <c r="P263" s="161"/>
      <c r="AI263" s="102"/>
      <c r="AK263" s="105" t="s">
        <v>1761</v>
      </c>
      <c r="AL263" s="86" t="s">
        <v>1447</v>
      </c>
      <c r="AO263" s="53" t="s">
        <v>1762</v>
      </c>
      <c r="AP263" s="21"/>
      <c r="AQ263" s="21"/>
      <c r="AR263" s="53" t="s">
        <v>1763</v>
      </c>
      <c r="AS263" s="21"/>
      <c r="AT263" s="21"/>
      <c r="AU263" s="21"/>
      <c r="AV263" s="53" t="s">
        <v>1764</v>
      </c>
      <c r="AW263" s="21"/>
      <c r="AX263" s="21"/>
      <c r="AY263" s="21"/>
      <c r="AZ263" s="21"/>
      <c r="BA263" s="21"/>
      <c r="BB263" s="21"/>
      <c r="BF263" s="106" t="str">
        <f t="shared" si="1"/>
        <v>#VALUE!</v>
      </c>
      <c r="BG263" s="21">
        <f t="shared" si="2"/>
        <v>12</v>
      </c>
    </row>
    <row r="264">
      <c r="P264" s="161"/>
      <c r="AI264" s="102"/>
      <c r="AK264" s="105" t="s">
        <v>1765</v>
      </c>
      <c r="AL264" s="58"/>
      <c r="AO264" s="53" t="s">
        <v>1766</v>
      </c>
      <c r="AP264" s="21"/>
      <c r="AQ264" s="21"/>
      <c r="AR264" s="21"/>
      <c r="AS264" s="21"/>
      <c r="AT264" s="21"/>
      <c r="AU264" s="21"/>
      <c r="AV264" s="21"/>
      <c r="AW264" s="21"/>
      <c r="AX264" s="21"/>
      <c r="AY264" s="21"/>
      <c r="AZ264" s="21"/>
      <c r="BA264" s="21"/>
      <c r="BB264" s="21"/>
      <c r="BF264" s="106" t="str">
        <f t="shared" si="1"/>
        <v>#VALUE!</v>
      </c>
      <c r="BG264" s="21">
        <f t="shared" si="2"/>
        <v>12</v>
      </c>
    </row>
    <row r="265">
      <c r="P265" s="161"/>
      <c r="AI265" s="102"/>
      <c r="AK265" s="105" t="s">
        <v>1767</v>
      </c>
      <c r="AO265" s="21" t="s">
        <v>1771</v>
      </c>
      <c r="AP265" s="21"/>
      <c r="AQ265" s="21"/>
      <c r="AR265" s="21"/>
      <c r="AS265" s="21"/>
      <c r="AT265" s="21"/>
      <c r="AU265" s="21"/>
      <c r="AV265" s="21"/>
      <c r="AW265" s="21"/>
      <c r="AX265" s="21"/>
      <c r="AY265" s="21"/>
      <c r="AZ265" s="21"/>
      <c r="BA265" s="21"/>
      <c r="BB265" s="21"/>
      <c r="BF265" s="106" t="str">
        <f t="shared" si="1"/>
        <v>#VALUE!</v>
      </c>
      <c r="BG265" s="21">
        <f t="shared" si="2"/>
        <v>12</v>
      </c>
    </row>
    <row r="266">
      <c r="P266" s="161"/>
      <c r="AI266" s="102"/>
      <c r="AK266" s="105" t="s">
        <v>1772</v>
      </c>
      <c r="AO266" s="21" t="s">
        <v>1773</v>
      </c>
      <c r="AP266" s="21"/>
      <c r="AQ266" s="21"/>
      <c r="AR266" s="21"/>
      <c r="AS266" s="21"/>
      <c r="AT266" s="21"/>
      <c r="AU266" s="21"/>
      <c r="AV266" s="21"/>
      <c r="AW266" s="21"/>
      <c r="AX266" s="21"/>
      <c r="AY266" s="21"/>
      <c r="AZ266" s="21"/>
      <c r="BA266" s="21"/>
      <c r="BB266" s="21"/>
      <c r="BF266" s="106" t="str">
        <f t="shared" si="1"/>
        <v>#VALUE!</v>
      </c>
      <c r="BG266" s="21">
        <f t="shared" si="2"/>
        <v>12</v>
      </c>
    </row>
    <row r="267">
      <c r="P267" s="161"/>
      <c r="AI267" s="102"/>
      <c r="AK267" s="105" t="s">
        <v>1774</v>
      </c>
      <c r="AO267" s="21" t="s">
        <v>1775</v>
      </c>
      <c r="AP267" s="21"/>
      <c r="AQ267" s="21"/>
      <c r="AR267" s="53" t="s">
        <v>1776</v>
      </c>
      <c r="AS267" s="21"/>
      <c r="AT267" s="21"/>
      <c r="AU267" s="21"/>
      <c r="AV267" s="21" t="s">
        <v>1777</v>
      </c>
      <c r="AW267" s="21" t="s">
        <v>1778</v>
      </c>
      <c r="AX267" s="21"/>
      <c r="AY267" s="21"/>
      <c r="AZ267" s="21"/>
      <c r="BA267" s="21"/>
      <c r="BB267" s="21"/>
      <c r="BF267" s="106" t="str">
        <f t="shared" si="1"/>
        <v>#VALUE!</v>
      </c>
      <c r="BG267" s="21">
        <f t="shared" si="2"/>
        <v>12</v>
      </c>
    </row>
    <row r="268">
      <c r="P268" s="161"/>
      <c r="AI268" s="102"/>
      <c r="AK268" s="105" t="s">
        <v>1779</v>
      </c>
      <c r="AO268" s="21" t="s">
        <v>1783</v>
      </c>
      <c r="AP268" s="21"/>
      <c r="AQ268" s="21" t="s">
        <v>1784</v>
      </c>
      <c r="AR268" s="21"/>
      <c r="AS268" s="21" t="s">
        <v>1785</v>
      </c>
      <c r="AT268" s="21"/>
      <c r="AU268" s="21"/>
      <c r="AV268" s="21"/>
      <c r="AW268" s="21"/>
      <c r="AX268" s="21"/>
      <c r="AY268" s="21"/>
      <c r="AZ268" s="21"/>
      <c r="BA268" s="21"/>
      <c r="BB268" s="21"/>
      <c r="BF268" s="106" t="str">
        <f t="shared" si="1"/>
        <v>#VALUE!</v>
      </c>
      <c r="BG268" s="21">
        <f t="shared" si="2"/>
        <v>12</v>
      </c>
    </row>
    <row r="269">
      <c r="P269" s="161"/>
      <c r="AI269" s="102"/>
      <c r="AK269" s="105" t="s">
        <v>1786</v>
      </c>
      <c r="AL269" s="86" t="s">
        <v>1447</v>
      </c>
      <c r="AO269" s="53" t="s">
        <v>1787</v>
      </c>
      <c r="AP269" s="21"/>
      <c r="AQ269" s="21"/>
      <c r="AR269" s="21"/>
      <c r="AS269" s="53" t="s">
        <v>1788</v>
      </c>
      <c r="AT269" s="21"/>
      <c r="AU269" s="21"/>
      <c r="AV269" s="21"/>
      <c r="AW269" s="21"/>
      <c r="AX269" s="21"/>
      <c r="AY269" s="21"/>
      <c r="AZ269" s="21"/>
      <c r="BA269" s="21"/>
      <c r="BB269" s="21"/>
      <c r="BF269" s="106" t="str">
        <f t="shared" si="1"/>
        <v>#VALUE!</v>
      </c>
      <c r="BG269" s="21">
        <f t="shared" si="2"/>
        <v>12</v>
      </c>
    </row>
    <row r="270">
      <c r="P270" s="161"/>
      <c r="AI270" s="102"/>
      <c r="AK270" s="105" t="s">
        <v>1789</v>
      </c>
      <c r="AL270" s="58"/>
      <c r="AO270" s="53" t="s">
        <v>1790</v>
      </c>
      <c r="AP270" s="21"/>
      <c r="AQ270" s="21"/>
      <c r="AR270" s="21"/>
      <c r="AS270" s="21" t="s">
        <v>1791</v>
      </c>
      <c r="AT270" s="21"/>
      <c r="AU270" s="21"/>
      <c r="AV270" s="21"/>
      <c r="AW270" s="20" t="s">
        <v>1792</v>
      </c>
      <c r="AX270" s="21"/>
      <c r="AY270" s="21"/>
      <c r="AZ270" s="21"/>
      <c r="BA270" s="21"/>
      <c r="BB270" s="21"/>
      <c r="BF270" s="106" t="str">
        <f t="shared" si="1"/>
        <v>#VALUE!</v>
      </c>
      <c r="BG270" s="21">
        <f t="shared" si="2"/>
        <v>12</v>
      </c>
    </row>
    <row r="271">
      <c r="P271" s="161"/>
      <c r="AI271" s="102"/>
      <c r="AK271" s="105" t="s">
        <v>999</v>
      </c>
      <c r="AO271" s="53" t="s">
        <v>1795</v>
      </c>
      <c r="AP271" s="21"/>
      <c r="AQ271" s="21"/>
      <c r="AR271" s="53" t="s">
        <v>1796</v>
      </c>
      <c r="AS271" s="21"/>
      <c r="AT271" s="20" t="s">
        <v>1797</v>
      </c>
      <c r="AU271" s="21"/>
      <c r="AV271" s="20" t="s">
        <v>1798</v>
      </c>
      <c r="AW271" s="139" t="s">
        <v>1799</v>
      </c>
      <c r="AX271" s="139" t="s">
        <v>1800</v>
      </c>
      <c r="AY271" s="21"/>
      <c r="AZ271" s="21"/>
      <c r="BA271" s="21"/>
      <c r="BB271" s="21"/>
      <c r="BF271" s="106" t="str">
        <f t="shared" si="1"/>
        <v>#VALUE!</v>
      </c>
      <c r="BG271" s="21">
        <f t="shared" si="2"/>
        <v>12</v>
      </c>
    </row>
    <row r="272">
      <c r="P272" s="161"/>
      <c r="AI272" s="102"/>
      <c r="AK272" s="105" t="s">
        <v>1801</v>
      </c>
      <c r="AL272" s="58"/>
      <c r="AO272" s="53" t="s">
        <v>1802</v>
      </c>
      <c r="AP272" s="21"/>
      <c r="AQ272" s="21"/>
      <c r="AR272" s="21"/>
      <c r="AS272" s="53" t="s">
        <v>1803</v>
      </c>
      <c r="AT272" s="21"/>
      <c r="AU272" s="21"/>
      <c r="AV272" s="21"/>
      <c r="AW272" s="21"/>
      <c r="AX272" s="20" t="s">
        <v>1792</v>
      </c>
      <c r="AY272" s="21"/>
      <c r="AZ272" s="21"/>
      <c r="BA272" s="21"/>
      <c r="BB272" s="21"/>
      <c r="BF272" s="106" t="str">
        <f t="shared" si="1"/>
        <v>#VALUE!</v>
      </c>
      <c r="BG272" s="21">
        <f t="shared" si="2"/>
        <v>12</v>
      </c>
    </row>
    <row r="273">
      <c r="P273" s="161"/>
      <c r="AI273" s="102"/>
      <c r="AK273" s="105" t="s">
        <v>1804</v>
      </c>
      <c r="AO273" s="53" t="s">
        <v>1806</v>
      </c>
      <c r="AP273" s="21"/>
      <c r="AQ273" s="21"/>
      <c r="AR273" s="21"/>
      <c r="AS273" s="21"/>
      <c r="AT273" s="21"/>
      <c r="AU273" s="21"/>
      <c r="AV273" s="21"/>
      <c r="AW273" s="21"/>
      <c r="AX273" s="21"/>
      <c r="AY273" s="21"/>
      <c r="AZ273" s="21"/>
      <c r="BA273" s="21"/>
      <c r="BB273" s="21"/>
      <c r="BF273" s="106" t="str">
        <f t="shared" si="1"/>
        <v>#VALUE!</v>
      </c>
      <c r="BG273" s="21">
        <f t="shared" si="2"/>
        <v>12</v>
      </c>
    </row>
    <row r="274">
      <c r="P274" s="161"/>
      <c r="AI274" s="102"/>
      <c r="AK274" s="105" t="s">
        <v>1809</v>
      </c>
      <c r="AO274" s="53" t="s">
        <v>1810</v>
      </c>
      <c r="AP274" s="21"/>
      <c r="AQ274" s="21"/>
      <c r="AR274" s="21"/>
      <c r="AS274" s="53" t="s">
        <v>1811</v>
      </c>
      <c r="AT274" s="21"/>
      <c r="AU274" s="21"/>
      <c r="AV274" s="21"/>
      <c r="AW274" s="21"/>
      <c r="AX274" s="21"/>
      <c r="AY274" s="21"/>
      <c r="AZ274" s="21"/>
      <c r="BA274" s="21"/>
      <c r="BB274" s="21"/>
      <c r="BF274" s="106" t="str">
        <f t="shared" si="1"/>
        <v>#VALUE!</v>
      </c>
      <c r="BG274" s="21">
        <f t="shared" si="2"/>
        <v>12</v>
      </c>
    </row>
    <row r="275">
      <c r="P275" s="161"/>
      <c r="AI275" s="102"/>
      <c r="AK275" s="105" t="s">
        <v>1812</v>
      </c>
      <c r="AL275" s="86" t="s">
        <v>1447</v>
      </c>
      <c r="AO275" s="53" t="s">
        <v>1813</v>
      </c>
      <c r="AP275" s="21"/>
      <c r="AQ275" s="21"/>
      <c r="AR275" s="21"/>
      <c r="AS275" s="53" t="s">
        <v>1814</v>
      </c>
      <c r="AT275" s="21"/>
      <c r="AU275" s="21"/>
      <c r="AV275" s="21"/>
      <c r="AW275" s="21"/>
      <c r="AX275" s="21"/>
      <c r="AY275" s="21"/>
      <c r="AZ275" s="21"/>
      <c r="BA275" s="21"/>
      <c r="BB275" s="21"/>
      <c r="BF275" s="106" t="str">
        <f t="shared" si="1"/>
        <v>#VALUE!</v>
      </c>
      <c r="BG275" s="21">
        <f t="shared" si="2"/>
        <v>12</v>
      </c>
    </row>
    <row r="276">
      <c r="P276" s="161"/>
      <c r="AI276" s="102"/>
      <c r="AK276" s="105" t="s">
        <v>1815</v>
      </c>
      <c r="AL276" s="86" t="s">
        <v>1447</v>
      </c>
      <c r="AO276" s="53" t="s">
        <v>1816</v>
      </c>
      <c r="AP276" s="21"/>
      <c r="AQ276" s="21"/>
      <c r="AR276" s="53" t="s">
        <v>1817</v>
      </c>
      <c r="AS276" s="21"/>
      <c r="AT276" s="21"/>
      <c r="AU276" s="21"/>
      <c r="AV276" s="21" t="s">
        <v>1562</v>
      </c>
      <c r="AW276" s="21"/>
      <c r="AX276" s="21"/>
      <c r="AY276" s="21"/>
      <c r="AZ276" s="21"/>
      <c r="BA276" s="21"/>
      <c r="BB276" s="21"/>
      <c r="BF276" s="106" t="str">
        <f t="shared" si="1"/>
        <v>#VALUE!</v>
      </c>
      <c r="BG276" s="21">
        <f t="shared" si="2"/>
        <v>12</v>
      </c>
    </row>
    <row r="277">
      <c r="P277" s="161"/>
      <c r="AI277" s="102"/>
      <c r="AK277" s="105" t="s">
        <v>1818</v>
      </c>
      <c r="AO277" s="21" t="s">
        <v>1822</v>
      </c>
      <c r="AP277" s="21"/>
      <c r="AQ277" s="21"/>
      <c r="AR277" s="21"/>
      <c r="AS277" s="21"/>
      <c r="AT277" s="21"/>
      <c r="AU277" s="21"/>
      <c r="AV277" s="21"/>
      <c r="AW277" s="21"/>
      <c r="AX277" s="21"/>
      <c r="AY277" s="21"/>
      <c r="AZ277" s="21"/>
      <c r="BA277" s="21"/>
      <c r="BB277" s="21"/>
      <c r="BF277" s="106" t="str">
        <f t="shared" si="1"/>
        <v>#VALUE!</v>
      </c>
      <c r="BG277" s="21">
        <f t="shared" si="2"/>
        <v>12</v>
      </c>
    </row>
    <row r="278">
      <c r="P278" s="161"/>
      <c r="AI278" s="102"/>
      <c r="AK278" s="105" t="s">
        <v>1823</v>
      </c>
      <c r="AL278" s="86" t="s">
        <v>1824</v>
      </c>
      <c r="AO278" s="21"/>
      <c r="AP278" s="21"/>
      <c r="AQ278" s="21"/>
      <c r="AR278" s="21"/>
      <c r="AS278" s="21"/>
      <c r="AT278" s="21"/>
      <c r="AU278" s="21"/>
      <c r="AV278" s="21"/>
      <c r="AW278" s="21"/>
      <c r="AX278" s="21"/>
      <c r="AY278" s="21"/>
      <c r="AZ278" s="21"/>
      <c r="BA278" s="21"/>
      <c r="BB278" s="21"/>
      <c r="BF278" s="106" t="str">
        <f t="shared" si="1"/>
        <v>#VALUE!</v>
      </c>
      <c r="BG278" s="21">
        <f t="shared" si="2"/>
        <v>12</v>
      </c>
    </row>
    <row r="279">
      <c r="P279" s="161"/>
      <c r="AI279" s="102"/>
      <c r="AK279" s="105" t="s">
        <v>1825</v>
      </c>
      <c r="AO279" s="53" t="s">
        <v>1826</v>
      </c>
      <c r="AP279" s="21"/>
      <c r="AQ279" s="21"/>
      <c r="AR279" s="21"/>
      <c r="AS279" s="21"/>
      <c r="AT279" s="21"/>
      <c r="AU279" s="21"/>
      <c r="AV279" s="21"/>
      <c r="AW279" s="21"/>
      <c r="AX279" s="21"/>
      <c r="AY279" s="21"/>
      <c r="AZ279" s="21"/>
      <c r="BA279" s="21"/>
      <c r="BB279" s="21"/>
      <c r="BF279" s="106" t="str">
        <f t="shared" si="1"/>
        <v>#VALUE!</v>
      </c>
      <c r="BG279" s="21">
        <f t="shared" si="2"/>
        <v>12</v>
      </c>
    </row>
    <row r="280">
      <c r="P280" s="161"/>
      <c r="AI280" s="102"/>
      <c r="AK280" s="105" t="s">
        <v>1827</v>
      </c>
      <c r="AO280" s="53" t="s">
        <v>1830</v>
      </c>
      <c r="AP280" s="21"/>
      <c r="AQ280" s="21"/>
      <c r="AR280" s="21"/>
      <c r="AS280" s="21"/>
      <c r="AT280" s="21"/>
      <c r="AU280" s="21"/>
      <c r="AV280" s="21"/>
      <c r="AW280" s="21"/>
      <c r="AX280" s="21"/>
      <c r="AY280" s="21"/>
      <c r="AZ280" s="21"/>
      <c r="BA280" s="21"/>
      <c r="BB280" s="21"/>
      <c r="BF280" s="106" t="str">
        <f t="shared" si="1"/>
        <v>#VALUE!</v>
      </c>
      <c r="BG280" s="21">
        <f t="shared" si="2"/>
        <v>12</v>
      </c>
    </row>
    <row r="281">
      <c r="P281" s="161"/>
      <c r="AI281" s="102"/>
      <c r="AK281" s="105" t="s">
        <v>1687</v>
      </c>
      <c r="AL281" s="58"/>
      <c r="AO281" s="53" t="s">
        <v>1831</v>
      </c>
      <c r="AP281" s="21"/>
      <c r="AQ281" s="53" t="s">
        <v>1832</v>
      </c>
      <c r="AR281" s="53" t="s">
        <v>1833</v>
      </c>
      <c r="AS281" s="21"/>
      <c r="AT281" s="21"/>
      <c r="AU281" s="21"/>
      <c r="AV281" s="21"/>
      <c r="AW281" s="21"/>
      <c r="AX281" s="21"/>
      <c r="AY281" s="21"/>
      <c r="AZ281" s="21"/>
      <c r="BA281" s="21"/>
      <c r="BB281" s="21"/>
      <c r="BF281" s="106" t="str">
        <f t="shared" si="1"/>
        <v>#VALUE!</v>
      </c>
      <c r="BG281" s="21">
        <f t="shared" si="2"/>
        <v>12</v>
      </c>
    </row>
    <row r="282">
      <c r="P282" s="161"/>
      <c r="AI282" s="102"/>
      <c r="AK282" s="105" t="s">
        <v>1834</v>
      </c>
      <c r="AO282" s="21" t="s">
        <v>1835</v>
      </c>
      <c r="AP282" s="21" t="s">
        <v>1836</v>
      </c>
      <c r="AQ282" s="21"/>
      <c r="AR282" s="21"/>
      <c r="AS282" s="21"/>
      <c r="AT282" s="21" t="s">
        <v>1752</v>
      </c>
      <c r="AU282" s="21"/>
      <c r="AV282" s="21"/>
      <c r="AW282" s="21"/>
      <c r="AX282" s="21"/>
      <c r="AY282" s="21"/>
      <c r="AZ282" s="21"/>
      <c r="BA282" s="21"/>
      <c r="BB282" s="21"/>
      <c r="BF282" s="106" t="str">
        <f t="shared" si="1"/>
        <v>#VALUE!</v>
      </c>
      <c r="BG282" s="21">
        <f t="shared" si="2"/>
        <v>12</v>
      </c>
    </row>
    <row r="283">
      <c r="P283" s="161"/>
      <c r="AI283" s="102"/>
      <c r="AK283" s="105" t="s">
        <v>1840</v>
      </c>
      <c r="AO283" s="53" t="s">
        <v>1841</v>
      </c>
      <c r="AP283" s="21"/>
      <c r="AQ283" s="53" t="s">
        <v>1842</v>
      </c>
      <c r="AR283" s="21"/>
      <c r="AS283" s="21"/>
      <c r="AT283" s="21"/>
      <c r="AU283" s="21"/>
      <c r="AV283" s="21"/>
      <c r="AW283" s="21"/>
      <c r="AX283" s="21"/>
      <c r="AY283" s="21"/>
      <c r="AZ283" s="21"/>
      <c r="BA283" s="21"/>
      <c r="BB283" s="21"/>
      <c r="BF283" s="106" t="str">
        <f t="shared" si="1"/>
        <v>#VALUE!</v>
      </c>
      <c r="BG283" s="21">
        <f t="shared" si="2"/>
        <v>12</v>
      </c>
    </row>
    <row r="284">
      <c r="P284" s="161"/>
      <c r="AI284" s="102"/>
      <c r="AK284" s="105" t="s">
        <v>1843</v>
      </c>
      <c r="AL284" s="58"/>
      <c r="AO284" s="53" t="s">
        <v>1844</v>
      </c>
      <c r="AP284" s="53" t="s">
        <v>1845</v>
      </c>
      <c r="AQ284" s="21" t="s">
        <v>1846</v>
      </c>
      <c r="AR284" s="21"/>
      <c r="AS284" s="21"/>
      <c r="AT284" s="21" t="s">
        <v>1847</v>
      </c>
      <c r="AU284" s="21"/>
      <c r="AV284" s="21"/>
      <c r="AW284" s="21"/>
      <c r="AX284" s="21"/>
      <c r="AY284" s="21"/>
      <c r="AZ284" s="21"/>
      <c r="BA284" s="21"/>
      <c r="BB284" s="21"/>
      <c r="BF284" s="106" t="str">
        <f t="shared" si="1"/>
        <v>#VALUE!</v>
      </c>
      <c r="BG284" s="21">
        <f t="shared" si="2"/>
        <v>12</v>
      </c>
    </row>
    <row r="285">
      <c r="P285" s="161"/>
      <c r="AI285" s="102"/>
      <c r="AK285" s="105" t="s">
        <v>1848</v>
      </c>
      <c r="AO285" s="53" t="s">
        <v>1849</v>
      </c>
      <c r="AP285" s="21" t="s">
        <v>1850</v>
      </c>
      <c r="AQ285" s="21"/>
      <c r="AR285" s="21"/>
      <c r="AS285" s="21"/>
      <c r="AT285" s="21"/>
      <c r="AU285" s="21"/>
      <c r="AV285" s="21"/>
      <c r="AW285" s="21"/>
      <c r="AX285" s="21"/>
      <c r="AY285" s="21"/>
      <c r="AZ285" s="21"/>
      <c r="BA285" s="21"/>
      <c r="BB285" s="21"/>
      <c r="BF285" s="106" t="str">
        <f t="shared" si="1"/>
        <v>#VALUE!</v>
      </c>
      <c r="BG285" s="21">
        <f t="shared" si="2"/>
        <v>12</v>
      </c>
    </row>
    <row r="286">
      <c r="P286" s="161"/>
      <c r="AI286" s="102"/>
      <c r="AK286" s="105" t="s">
        <v>1851</v>
      </c>
      <c r="AO286" s="21" t="s">
        <v>1853</v>
      </c>
      <c r="AP286" s="21" t="s">
        <v>1854</v>
      </c>
      <c r="AQ286" s="21"/>
      <c r="AR286" s="21"/>
      <c r="AS286" s="21"/>
      <c r="AT286" s="21"/>
      <c r="AU286" s="21"/>
      <c r="AV286" s="21"/>
      <c r="AW286" s="21"/>
      <c r="AX286" s="21"/>
      <c r="AY286" s="21"/>
      <c r="AZ286" s="21"/>
      <c r="BA286" s="21"/>
      <c r="BB286" s="21"/>
      <c r="BF286" s="106" t="str">
        <f t="shared" si="1"/>
        <v>#VALUE!</v>
      </c>
      <c r="BG286" s="21">
        <f t="shared" si="2"/>
        <v>12</v>
      </c>
    </row>
    <row r="287">
      <c r="P287" s="161"/>
      <c r="AI287" s="102"/>
      <c r="AK287" s="105" t="s">
        <v>1855</v>
      </c>
      <c r="AL287" s="58"/>
      <c r="AO287" s="53" t="s">
        <v>1856</v>
      </c>
      <c r="AP287" s="21"/>
      <c r="AQ287" s="53" t="s">
        <v>1857</v>
      </c>
      <c r="AR287" s="21"/>
      <c r="AS287" s="53" t="s">
        <v>1858</v>
      </c>
      <c r="AT287" s="21"/>
      <c r="AU287" s="21"/>
      <c r="AV287" s="21"/>
      <c r="AW287" s="21"/>
      <c r="AX287" s="21"/>
      <c r="AY287" s="21"/>
      <c r="AZ287" s="21"/>
      <c r="BA287" s="21"/>
      <c r="BB287" s="21"/>
      <c r="BF287" s="106" t="str">
        <f t="shared" si="1"/>
        <v>#VALUE!</v>
      </c>
      <c r="BG287" s="21">
        <f t="shared" si="2"/>
        <v>12</v>
      </c>
    </row>
    <row r="288">
      <c r="P288" s="161"/>
      <c r="AI288" s="102"/>
      <c r="AK288" s="105" t="s">
        <v>1859</v>
      </c>
      <c r="AO288" s="21"/>
      <c r="AP288" s="21"/>
      <c r="AQ288" s="21"/>
      <c r="AR288" s="21"/>
      <c r="AS288" s="21"/>
      <c r="AT288" s="21"/>
      <c r="AU288" s="21"/>
      <c r="AV288" s="21"/>
      <c r="AW288" s="21"/>
      <c r="AX288" s="21"/>
      <c r="AY288" s="21"/>
      <c r="AZ288" s="21"/>
      <c r="BA288" s="21"/>
      <c r="BB288" s="21"/>
      <c r="BF288" s="106" t="str">
        <f t="shared" si="1"/>
        <v>#VALUE!</v>
      </c>
      <c r="BG288" s="21">
        <f t="shared" si="2"/>
        <v>12</v>
      </c>
    </row>
    <row r="289">
      <c r="P289" s="161"/>
      <c r="AI289" s="102"/>
      <c r="AK289" s="105" t="s">
        <v>1860</v>
      </c>
      <c r="AL289" s="246" t="s">
        <v>1861</v>
      </c>
      <c r="AO289" s="53" t="s">
        <v>1862</v>
      </c>
      <c r="AP289" s="21"/>
      <c r="AQ289" s="21"/>
      <c r="AR289" s="21"/>
      <c r="AS289" s="21" t="s">
        <v>1562</v>
      </c>
      <c r="AT289" s="21"/>
      <c r="AU289" s="21"/>
      <c r="AV289" s="21"/>
      <c r="AW289" s="21"/>
      <c r="AX289" s="21"/>
      <c r="AY289" s="21"/>
      <c r="AZ289" s="21"/>
      <c r="BA289" s="21"/>
      <c r="BB289" s="21"/>
      <c r="BF289" s="106" t="str">
        <f t="shared" si="1"/>
        <v>#VALUE!</v>
      </c>
      <c r="BG289" s="21">
        <f t="shared" si="2"/>
        <v>12</v>
      </c>
    </row>
    <row r="290">
      <c r="P290" s="161"/>
      <c r="AI290" s="102"/>
      <c r="AK290" s="105" t="s">
        <v>1863</v>
      </c>
      <c r="AO290" s="21" t="s">
        <v>1865</v>
      </c>
      <c r="AP290" s="21"/>
      <c r="AQ290" s="21"/>
      <c r="AR290" s="21"/>
      <c r="AS290" s="21" t="s">
        <v>1562</v>
      </c>
      <c r="AT290" s="21"/>
      <c r="AU290" s="21"/>
      <c r="AV290" s="21"/>
      <c r="AW290" s="21"/>
      <c r="AX290" s="21"/>
      <c r="AY290" s="21"/>
      <c r="AZ290" s="21"/>
      <c r="BA290" s="21"/>
      <c r="BB290" s="21"/>
      <c r="BF290" s="106" t="str">
        <f t="shared" si="1"/>
        <v>#VALUE!</v>
      </c>
      <c r="BG290" s="21">
        <f t="shared" si="2"/>
        <v>12</v>
      </c>
    </row>
    <row r="291">
      <c r="P291" s="161"/>
      <c r="AI291" s="102"/>
      <c r="AK291" s="105" t="s">
        <v>1866</v>
      </c>
      <c r="AL291" s="86" t="s">
        <v>1447</v>
      </c>
      <c r="AO291" s="21" t="s">
        <v>1867</v>
      </c>
      <c r="AP291" s="20" t="s">
        <v>1868</v>
      </c>
      <c r="AQ291" s="21"/>
      <c r="AR291" s="21" t="s">
        <v>1869</v>
      </c>
      <c r="AS291" s="21"/>
      <c r="AT291" s="21"/>
      <c r="AU291" s="21"/>
      <c r="AV291" s="21"/>
      <c r="AW291" s="21"/>
      <c r="AX291" s="21"/>
      <c r="AY291" s="21"/>
      <c r="AZ291" s="21"/>
      <c r="BA291" s="21"/>
      <c r="BB291" s="21"/>
      <c r="BF291" s="106" t="str">
        <f t="shared" si="1"/>
        <v>#VALUE!</v>
      </c>
      <c r="BG291" s="21">
        <f t="shared" si="2"/>
        <v>12</v>
      </c>
    </row>
    <row r="292">
      <c r="P292" s="161"/>
      <c r="AI292" s="102"/>
      <c r="AK292" s="105" t="s">
        <v>1870</v>
      </c>
      <c r="AL292" s="86" t="s">
        <v>1447</v>
      </c>
      <c r="AO292" s="53" t="s">
        <v>1871</v>
      </c>
      <c r="AP292" s="21"/>
      <c r="AQ292" s="53" t="s">
        <v>1872</v>
      </c>
      <c r="AR292" s="53" t="s">
        <v>1873</v>
      </c>
      <c r="AS292" s="21"/>
      <c r="AT292" s="53" t="s">
        <v>1874</v>
      </c>
      <c r="AU292" s="21"/>
      <c r="AV292" s="21"/>
      <c r="AW292" s="21"/>
      <c r="AX292" s="21"/>
      <c r="AY292" s="21"/>
      <c r="AZ292" s="21"/>
      <c r="BA292" s="21"/>
      <c r="BB292" s="21"/>
      <c r="BF292" s="106" t="str">
        <f t="shared" si="1"/>
        <v>#VALUE!</v>
      </c>
      <c r="BG292" s="21">
        <f t="shared" si="2"/>
        <v>12</v>
      </c>
    </row>
    <row r="293">
      <c r="P293" s="161"/>
      <c r="AI293" s="102"/>
      <c r="AK293" s="105" t="s">
        <v>1875</v>
      </c>
      <c r="AO293" s="21" t="s">
        <v>1876</v>
      </c>
      <c r="AP293" s="21"/>
      <c r="AQ293" s="53" t="s">
        <v>1877</v>
      </c>
      <c r="AR293" s="21"/>
      <c r="AS293" s="21"/>
      <c r="AT293" s="21"/>
      <c r="AU293" s="21"/>
      <c r="AV293" s="21"/>
      <c r="AW293" s="21"/>
      <c r="AX293" s="21"/>
      <c r="AY293" s="21"/>
      <c r="AZ293" s="21"/>
      <c r="BA293" s="21"/>
      <c r="BB293" s="21"/>
      <c r="BF293" s="106" t="str">
        <f t="shared" si="1"/>
        <v>#VALUE!</v>
      </c>
      <c r="BG293" s="21">
        <f t="shared" si="2"/>
        <v>12</v>
      </c>
    </row>
    <row r="294">
      <c r="P294" s="161"/>
      <c r="AI294" s="102"/>
      <c r="AK294" s="105" t="s">
        <v>1878</v>
      </c>
      <c r="AL294" s="86" t="s">
        <v>1447</v>
      </c>
      <c r="AO294" s="21" t="s">
        <v>1880</v>
      </c>
      <c r="AP294" s="21"/>
      <c r="AQ294" s="21"/>
      <c r="AR294" s="21"/>
      <c r="AS294" s="21"/>
      <c r="AT294" s="21"/>
      <c r="AU294" s="21"/>
      <c r="AV294" s="21"/>
      <c r="AW294" s="21"/>
      <c r="AX294" s="21"/>
      <c r="AY294" s="21"/>
      <c r="AZ294" s="21"/>
      <c r="BA294" s="21"/>
      <c r="BB294" s="21"/>
      <c r="BF294" s="106" t="str">
        <f t="shared" si="1"/>
        <v>#VALUE!</v>
      </c>
      <c r="BG294" s="21">
        <f t="shared" si="2"/>
        <v>12</v>
      </c>
    </row>
    <row r="295">
      <c r="P295" s="161"/>
      <c r="AI295" s="102"/>
      <c r="AK295" s="105" t="s">
        <v>1881</v>
      </c>
      <c r="AO295" s="21" t="s">
        <v>1882</v>
      </c>
      <c r="AP295" s="21"/>
      <c r="AQ295" s="21"/>
      <c r="AR295" s="21"/>
      <c r="AS295" s="21"/>
      <c r="AT295" s="21"/>
      <c r="AU295" s="21"/>
      <c r="AV295" s="21"/>
      <c r="AW295" s="21"/>
      <c r="AX295" s="21"/>
      <c r="AY295" s="21"/>
      <c r="AZ295" s="21"/>
      <c r="BA295" s="21"/>
      <c r="BB295" s="21"/>
      <c r="BF295" s="106" t="str">
        <f t="shared" si="1"/>
        <v>#VALUE!</v>
      </c>
      <c r="BG295" s="21">
        <f t="shared" si="2"/>
        <v>12</v>
      </c>
    </row>
    <row r="296">
      <c r="P296" s="161"/>
      <c r="AI296" s="102"/>
      <c r="AK296" s="105" t="s">
        <v>1883</v>
      </c>
      <c r="AO296" s="21" t="s">
        <v>1887</v>
      </c>
      <c r="AP296" s="53" t="s">
        <v>1888</v>
      </c>
      <c r="AQ296" s="21"/>
      <c r="AR296" s="21" t="s">
        <v>1889</v>
      </c>
      <c r="AS296" s="21"/>
      <c r="AT296" s="21"/>
      <c r="AU296" s="21"/>
      <c r="AV296" s="21"/>
      <c r="AW296" s="21"/>
      <c r="AX296" s="21"/>
      <c r="AY296" s="21"/>
      <c r="AZ296" s="21"/>
      <c r="BA296" s="21"/>
      <c r="BB296" s="21"/>
      <c r="BF296" s="106" t="str">
        <f t="shared" si="1"/>
        <v>#VALUE!</v>
      </c>
      <c r="BG296" s="21">
        <f t="shared" si="2"/>
        <v>12</v>
      </c>
    </row>
    <row r="297">
      <c r="P297" s="161"/>
      <c r="AI297" s="102"/>
      <c r="AK297" s="105" t="s">
        <v>86</v>
      </c>
      <c r="AO297" s="53" t="s">
        <v>1890</v>
      </c>
      <c r="AP297" s="21" t="s">
        <v>1891</v>
      </c>
      <c r="AQ297" s="21"/>
      <c r="AR297" s="21"/>
      <c r="AS297" s="20" t="s">
        <v>1892</v>
      </c>
      <c r="AT297" s="21"/>
      <c r="AU297" s="21"/>
      <c r="AV297" s="21"/>
      <c r="AW297" s="21"/>
      <c r="AX297" s="21"/>
      <c r="AY297" s="21"/>
      <c r="AZ297" s="21"/>
      <c r="BA297" s="21"/>
      <c r="BB297" s="21"/>
      <c r="BF297" s="106" t="str">
        <f t="shared" si="1"/>
        <v>#VALUE!</v>
      </c>
      <c r="BG297" s="21">
        <f t="shared" si="2"/>
        <v>12</v>
      </c>
    </row>
    <row r="298">
      <c r="P298" s="161"/>
      <c r="AI298" s="102"/>
      <c r="AK298" s="105" t="s">
        <v>1893</v>
      </c>
      <c r="AO298" s="53" t="s">
        <v>1896</v>
      </c>
      <c r="AP298" s="21"/>
      <c r="AQ298" s="21" t="s">
        <v>1897</v>
      </c>
      <c r="AR298" s="21"/>
      <c r="AS298" s="21"/>
      <c r="AT298" s="21"/>
      <c r="AU298" s="21"/>
      <c r="AV298" s="21"/>
      <c r="AW298" s="21"/>
      <c r="AX298" s="21"/>
      <c r="AY298" s="21"/>
      <c r="AZ298" s="21"/>
      <c r="BA298" s="21"/>
      <c r="BB298" s="21"/>
      <c r="BF298" s="106" t="str">
        <f t="shared" si="1"/>
        <v>#VALUE!</v>
      </c>
      <c r="BG298" s="21">
        <f t="shared" si="2"/>
        <v>12</v>
      </c>
    </row>
    <row r="299">
      <c r="P299" s="161"/>
      <c r="AI299" s="102"/>
      <c r="AK299" s="105" t="s">
        <v>1898</v>
      </c>
      <c r="AO299" s="53" t="s">
        <v>1899</v>
      </c>
      <c r="AP299" s="21"/>
      <c r="AQ299" s="21"/>
      <c r="AR299" s="21"/>
      <c r="AS299" s="21"/>
      <c r="AT299" s="21"/>
      <c r="AU299" s="21"/>
      <c r="AV299" s="21"/>
      <c r="AW299" s="21"/>
      <c r="AX299" s="21"/>
      <c r="AY299" s="21"/>
      <c r="AZ299" s="21"/>
      <c r="BA299" s="21"/>
      <c r="BB299" s="21"/>
      <c r="BF299" s="106" t="str">
        <f t="shared" si="1"/>
        <v>#VALUE!</v>
      </c>
      <c r="BG299" s="21">
        <f t="shared" si="2"/>
        <v>12</v>
      </c>
    </row>
    <row r="300">
      <c r="P300" s="161"/>
      <c r="AI300" s="102"/>
      <c r="AK300" s="105" t="s">
        <v>1900</v>
      </c>
      <c r="AL300" s="86" t="s">
        <v>1447</v>
      </c>
      <c r="AO300" s="21" t="s">
        <v>1904</v>
      </c>
      <c r="AP300" s="21"/>
      <c r="AQ300" s="53" t="s">
        <v>1905</v>
      </c>
      <c r="AR300" s="21"/>
      <c r="AS300" s="53" t="s">
        <v>1906</v>
      </c>
      <c r="AT300" s="21"/>
      <c r="AU300" s="21"/>
      <c r="AV300" s="21"/>
      <c r="AW300" s="21"/>
      <c r="AX300" s="21"/>
      <c r="AY300" s="21"/>
      <c r="AZ300" s="21"/>
      <c r="BA300" s="21"/>
      <c r="BB300" s="21"/>
      <c r="BF300" s="106" t="str">
        <f t="shared" si="1"/>
        <v>#VALUE!</v>
      </c>
      <c r="BG300" s="21">
        <f t="shared" si="2"/>
        <v>12</v>
      </c>
    </row>
    <row r="301">
      <c r="P301" s="161"/>
      <c r="AI301" s="102"/>
      <c r="AK301" s="105" t="s">
        <v>1907</v>
      </c>
      <c r="AL301" s="58"/>
      <c r="AO301" s="53" t="s">
        <v>1910</v>
      </c>
      <c r="AP301" s="21"/>
      <c r="AQ301" s="21"/>
      <c r="AR301" s="21" t="s">
        <v>1911</v>
      </c>
      <c r="AS301" s="21"/>
      <c r="AT301" s="21"/>
      <c r="AU301" s="21"/>
      <c r="AV301" s="21"/>
      <c r="AW301" s="21"/>
      <c r="AX301" s="21"/>
      <c r="AY301" s="21"/>
      <c r="AZ301" s="21"/>
      <c r="BA301" s="21"/>
      <c r="BB301" s="21"/>
      <c r="BF301" s="106" t="str">
        <f t="shared" si="1"/>
        <v>#VALUE!</v>
      </c>
      <c r="BG301" s="21">
        <f t="shared" si="2"/>
        <v>12</v>
      </c>
    </row>
    <row r="302">
      <c r="P302" s="161"/>
      <c r="AI302" s="102"/>
      <c r="AK302" s="105" t="s">
        <v>790</v>
      </c>
      <c r="AO302" s="21" t="s">
        <v>1912</v>
      </c>
      <c r="AP302" s="21"/>
      <c r="AQ302" s="21"/>
      <c r="AR302" s="53" t="s">
        <v>1913</v>
      </c>
      <c r="AS302" s="21"/>
      <c r="AT302" s="21"/>
      <c r="AU302" s="21"/>
      <c r="AV302" s="21"/>
      <c r="AW302" s="21"/>
      <c r="AX302" s="21"/>
      <c r="AY302" s="21"/>
      <c r="AZ302" s="21"/>
      <c r="BA302" s="21"/>
      <c r="BB302" s="21"/>
      <c r="BF302" s="106" t="str">
        <f t="shared" si="1"/>
        <v>#VALUE!</v>
      </c>
      <c r="BG302" s="21">
        <f t="shared" si="2"/>
        <v>12</v>
      </c>
    </row>
    <row r="303">
      <c r="P303" s="161"/>
      <c r="AI303" s="102"/>
      <c r="AK303" s="105" t="s">
        <v>1914</v>
      </c>
      <c r="AL303" s="58"/>
      <c r="AO303" s="21" t="s">
        <v>1915</v>
      </c>
      <c r="AP303" s="21"/>
      <c r="AQ303" s="21"/>
      <c r="AR303" s="53" t="s">
        <v>1916</v>
      </c>
      <c r="AS303" s="21"/>
      <c r="AT303" s="21"/>
      <c r="AU303" s="21"/>
      <c r="AV303" s="21"/>
      <c r="AW303" s="21"/>
      <c r="AX303" s="21"/>
      <c r="AY303" s="21"/>
      <c r="AZ303" s="21"/>
      <c r="BA303" s="21"/>
      <c r="BB303" s="21"/>
      <c r="BF303" s="106" t="str">
        <f t="shared" si="1"/>
        <v>#VALUE!</v>
      </c>
      <c r="BG303" s="21">
        <f t="shared" si="2"/>
        <v>12</v>
      </c>
    </row>
    <row r="304">
      <c r="P304" s="161"/>
      <c r="AI304" s="102"/>
      <c r="AK304" s="105" t="s">
        <v>1917</v>
      </c>
      <c r="AL304" s="162" t="s">
        <v>1447</v>
      </c>
      <c r="AO304" s="53" t="s">
        <v>1919</v>
      </c>
      <c r="AP304" s="21"/>
      <c r="AQ304" s="53" t="s">
        <v>1920</v>
      </c>
      <c r="AR304" s="21"/>
      <c r="AS304" s="53" t="s">
        <v>1921</v>
      </c>
      <c r="AT304" s="21"/>
      <c r="AU304" s="21"/>
      <c r="AV304" s="21"/>
      <c r="AW304" s="21"/>
      <c r="AX304" s="21"/>
      <c r="AY304" s="21"/>
      <c r="AZ304" s="21"/>
      <c r="BA304" s="21"/>
      <c r="BB304" s="21"/>
      <c r="BF304" s="106" t="str">
        <f t="shared" si="1"/>
        <v>#VALUE!</v>
      </c>
      <c r="BG304" s="21">
        <f t="shared" si="2"/>
        <v>12</v>
      </c>
    </row>
    <row r="305">
      <c r="P305" s="161"/>
      <c r="AI305" s="102"/>
      <c r="AK305" s="105" t="s">
        <v>1922</v>
      </c>
      <c r="AO305" s="21"/>
      <c r="AP305" s="21"/>
      <c r="AQ305" s="21"/>
      <c r="AR305" s="21"/>
      <c r="AS305" s="21"/>
      <c r="AT305" s="21"/>
      <c r="AU305" s="21"/>
      <c r="AV305" s="21"/>
      <c r="AW305" s="21"/>
      <c r="AX305" s="21"/>
      <c r="AY305" s="21"/>
      <c r="AZ305" s="21"/>
      <c r="BA305" s="21"/>
      <c r="BB305" s="21"/>
      <c r="BF305" s="106" t="str">
        <f t="shared" si="1"/>
        <v>#VALUE!</v>
      </c>
      <c r="BG305" s="21">
        <f t="shared" si="2"/>
        <v>12</v>
      </c>
    </row>
    <row r="306">
      <c r="P306" s="161"/>
      <c r="AI306" s="102"/>
      <c r="AK306" s="105" t="s">
        <v>369</v>
      </c>
      <c r="AL306" s="86" t="s">
        <v>1447</v>
      </c>
      <c r="AO306" s="53" t="s">
        <v>1925</v>
      </c>
      <c r="AP306" s="21"/>
      <c r="AQ306" s="53" t="s">
        <v>1926</v>
      </c>
      <c r="AR306" s="21"/>
      <c r="AS306" s="21"/>
      <c r="AT306" s="21"/>
      <c r="AU306" s="21"/>
      <c r="AV306" s="21"/>
      <c r="AW306" s="21"/>
      <c r="AX306" s="21"/>
      <c r="AY306" s="21"/>
      <c r="AZ306" s="21"/>
      <c r="BA306" s="21"/>
      <c r="BB306" s="21"/>
      <c r="BF306" s="106" t="str">
        <f t="shared" si="1"/>
        <v>#VALUE!</v>
      </c>
      <c r="BG306" s="21">
        <f t="shared" si="2"/>
        <v>12</v>
      </c>
    </row>
    <row r="307">
      <c r="P307" s="161"/>
      <c r="AI307" s="102"/>
      <c r="AK307" s="105" t="s">
        <v>1927</v>
      </c>
      <c r="AO307" s="21" t="s">
        <v>1929</v>
      </c>
      <c r="AP307" s="21"/>
      <c r="AQ307" s="21"/>
      <c r="AR307" s="21"/>
      <c r="AS307" s="21"/>
      <c r="AT307" s="21"/>
      <c r="AU307" s="21"/>
      <c r="AV307" s="21"/>
      <c r="AW307" s="21"/>
      <c r="AX307" s="21"/>
      <c r="AY307" s="21"/>
      <c r="AZ307" s="21"/>
      <c r="BA307" s="21"/>
      <c r="BB307" s="21"/>
      <c r="BF307" s="106" t="str">
        <f t="shared" si="1"/>
        <v>#VALUE!</v>
      </c>
      <c r="BG307" s="21">
        <f t="shared" si="2"/>
        <v>12</v>
      </c>
    </row>
    <row r="308">
      <c r="P308" s="161"/>
      <c r="AI308" s="102"/>
      <c r="AK308" s="105" t="s">
        <v>1930</v>
      </c>
      <c r="AO308" s="53" t="s">
        <v>1931</v>
      </c>
      <c r="AP308" s="21"/>
      <c r="AQ308" s="21"/>
      <c r="AR308" s="21"/>
      <c r="AS308" s="21"/>
      <c r="AT308" s="21"/>
      <c r="AU308" s="21"/>
      <c r="AV308" s="21"/>
      <c r="AW308" s="21"/>
      <c r="AX308" s="21"/>
      <c r="AY308" s="21"/>
      <c r="AZ308" s="21"/>
      <c r="BA308" s="21"/>
      <c r="BB308" s="21"/>
      <c r="BF308" s="106" t="str">
        <f t="shared" si="1"/>
        <v>#VALUE!</v>
      </c>
      <c r="BG308" s="21">
        <f t="shared" si="2"/>
        <v>12</v>
      </c>
    </row>
    <row r="309">
      <c r="P309" s="161"/>
      <c r="AI309" s="102"/>
      <c r="AK309" s="105" t="s">
        <v>1932</v>
      </c>
      <c r="AO309" s="53" t="s">
        <v>1934</v>
      </c>
      <c r="AP309" s="21"/>
      <c r="AQ309" s="21"/>
      <c r="AR309" s="21"/>
      <c r="AS309" s="21"/>
      <c r="AT309" s="21"/>
      <c r="AU309" s="21"/>
      <c r="AV309" s="21"/>
      <c r="AW309" s="21"/>
      <c r="AX309" s="21"/>
      <c r="AY309" s="21"/>
      <c r="AZ309" s="21"/>
      <c r="BA309" s="21"/>
      <c r="BB309" s="21"/>
      <c r="BF309" s="106" t="str">
        <f t="shared" si="1"/>
        <v>#VALUE!</v>
      </c>
      <c r="BG309" s="21">
        <f t="shared" si="2"/>
        <v>12</v>
      </c>
    </row>
    <row r="310">
      <c r="P310" s="161"/>
      <c r="AI310" s="102"/>
      <c r="AK310" s="105" t="s">
        <v>1935</v>
      </c>
      <c r="AO310" s="53" t="s">
        <v>1936</v>
      </c>
      <c r="AP310" s="21"/>
      <c r="AQ310" s="53" t="s">
        <v>1937</v>
      </c>
      <c r="AR310" s="21"/>
      <c r="AS310" s="21"/>
      <c r="AT310" s="21"/>
      <c r="AU310" s="21"/>
      <c r="AV310" s="21"/>
      <c r="AW310" s="21"/>
      <c r="AX310" s="21"/>
      <c r="AY310" s="21"/>
      <c r="AZ310" s="21"/>
      <c r="BA310" s="21"/>
      <c r="BB310" s="21"/>
      <c r="BF310" s="106" t="str">
        <f t="shared" si="1"/>
        <v>#VALUE!</v>
      </c>
      <c r="BG310" s="21">
        <f t="shared" si="2"/>
        <v>12</v>
      </c>
    </row>
    <row r="311">
      <c r="P311" s="161"/>
      <c r="AI311" s="102"/>
      <c r="AK311" s="105" t="s">
        <v>1938</v>
      </c>
      <c r="AO311" s="53" t="s">
        <v>1940</v>
      </c>
      <c r="AP311" s="21"/>
      <c r="AQ311" s="53" t="s">
        <v>1941</v>
      </c>
      <c r="AR311" s="53" t="s">
        <v>1942</v>
      </c>
      <c r="AS311" s="53" t="s">
        <v>1943</v>
      </c>
      <c r="AT311" s="21"/>
      <c r="AU311" s="21"/>
      <c r="AV311" s="21"/>
      <c r="AW311" s="21"/>
      <c r="AX311" s="21"/>
      <c r="AY311" s="21"/>
      <c r="AZ311" s="21"/>
      <c r="BA311" s="21"/>
      <c r="BB311" s="21"/>
      <c r="BF311" s="106" t="str">
        <f t="shared" si="1"/>
        <v>#VALUE!</v>
      </c>
      <c r="BG311" s="21">
        <f t="shared" si="2"/>
        <v>12</v>
      </c>
    </row>
    <row r="312">
      <c r="P312" s="161"/>
      <c r="AI312" s="102"/>
      <c r="AK312" s="105" t="s">
        <v>1944</v>
      </c>
      <c r="AO312" s="21" t="s">
        <v>1945</v>
      </c>
      <c r="AP312" s="21"/>
      <c r="AQ312" s="21"/>
      <c r="AR312" s="21"/>
      <c r="AS312" s="21"/>
      <c r="AT312" s="21"/>
      <c r="AU312" s="21"/>
      <c r="AV312" s="21"/>
      <c r="AW312" s="21"/>
      <c r="AX312" s="21"/>
      <c r="AY312" s="21"/>
      <c r="AZ312" s="21"/>
      <c r="BA312" s="21"/>
      <c r="BB312" s="21"/>
      <c r="BF312" s="106" t="str">
        <f t="shared" si="1"/>
        <v>#VALUE!</v>
      </c>
      <c r="BG312" s="21">
        <f t="shared" si="2"/>
        <v>12</v>
      </c>
    </row>
    <row r="313">
      <c r="P313" s="161"/>
      <c r="AI313" s="102"/>
      <c r="AK313" s="105" t="s">
        <v>1946</v>
      </c>
      <c r="AO313" s="53" t="s">
        <v>1948</v>
      </c>
      <c r="AP313" s="21"/>
      <c r="AQ313" s="21"/>
      <c r="AR313" s="21"/>
      <c r="AS313" s="21"/>
      <c r="AT313" s="21"/>
      <c r="AU313" s="21"/>
      <c r="AV313" s="21"/>
      <c r="AW313" s="21"/>
      <c r="AX313" s="21"/>
      <c r="AY313" s="21"/>
      <c r="AZ313" s="21"/>
      <c r="BA313" s="21"/>
      <c r="BB313" s="21"/>
      <c r="BF313" s="106" t="str">
        <f t="shared" si="1"/>
        <v>#VALUE!</v>
      </c>
      <c r="BG313" s="21">
        <f t="shared" si="2"/>
        <v>12</v>
      </c>
    </row>
    <row r="314">
      <c r="P314" s="161"/>
      <c r="AI314" s="102"/>
      <c r="AK314" s="105" t="s">
        <v>1949</v>
      </c>
      <c r="AO314" s="53" t="s">
        <v>1950</v>
      </c>
      <c r="AP314" s="21"/>
      <c r="AQ314" s="21"/>
      <c r="AR314" s="21"/>
      <c r="AS314" s="21" t="s">
        <v>1562</v>
      </c>
      <c r="AT314" s="21"/>
      <c r="AU314" s="21"/>
      <c r="AV314" s="21"/>
      <c r="AW314" s="21"/>
      <c r="AX314" s="21"/>
      <c r="AY314" s="21"/>
      <c r="AZ314" s="21"/>
      <c r="BA314" s="21"/>
      <c r="BB314" s="21"/>
      <c r="BF314" s="106" t="str">
        <f t="shared" si="1"/>
        <v>#VALUE!</v>
      </c>
      <c r="BG314" s="21">
        <f t="shared" si="2"/>
        <v>12</v>
      </c>
    </row>
    <row r="315">
      <c r="P315" s="161"/>
      <c r="AI315" s="102"/>
      <c r="AK315" s="105" t="s">
        <v>933</v>
      </c>
      <c r="AO315" s="53" t="s">
        <v>1953</v>
      </c>
      <c r="AP315" s="21"/>
      <c r="AQ315" s="21"/>
      <c r="AR315" s="21"/>
      <c r="AS315" s="20" t="s">
        <v>1792</v>
      </c>
      <c r="AT315" s="21"/>
      <c r="AU315" s="21"/>
      <c r="AV315" s="21"/>
      <c r="AW315" s="21"/>
      <c r="AX315" s="21"/>
      <c r="AY315" s="21"/>
      <c r="AZ315" s="21"/>
      <c r="BA315" s="21"/>
      <c r="BB315" s="21"/>
      <c r="BF315" s="106" t="str">
        <f t="shared" si="1"/>
        <v>#VALUE!</v>
      </c>
      <c r="BG315" s="21">
        <f t="shared" si="2"/>
        <v>12</v>
      </c>
    </row>
    <row r="316">
      <c r="P316" s="161"/>
      <c r="AI316" s="102"/>
      <c r="AK316" s="105" t="s">
        <v>1954</v>
      </c>
      <c r="AL316" s="86" t="s">
        <v>1447</v>
      </c>
      <c r="AO316" s="21" t="s">
        <v>1955</v>
      </c>
      <c r="AP316" s="21"/>
      <c r="AQ316" s="21"/>
      <c r="AR316" s="21"/>
      <c r="AS316" s="21"/>
      <c r="AT316" s="21"/>
      <c r="AU316" s="21"/>
      <c r="AV316" s="21" t="s">
        <v>1956</v>
      </c>
      <c r="AW316" s="21"/>
      <c r="AX316" s="21"/>
      <c r="AY316" s="21"/>
      <c r="AZ316" s="21"/>
      <c r="BA316" s="21"/>
      <c r="BB316" s="21"/>
      <c r="BF316" s="106" t="str">
        <f t="shared" si="1"/>
        <v>#VALUE!</v>
      </c>
      <c r="BG316" s="21">
        <f t="shared" si="2"/>
        <v>12</v>
      </c>
    </row>
    <row r="317">
      <c r="P317" s="161"/>
      <c r="AI317" s="102"/>
      <c r="AK317" s="105" t="s">
        <v>1958</v>
      </c>
      <c r="AO317" s="21" t="s">
        <v>1961</v>
      </c>
      <c r="AP317" s="21"/>
      <c r="AQ317" s="21"/>
      <c r="AR317" s="21"/>
      <c r="AS317" s="21"/>
      <c r="AT317" s="21"/>
      <c r="AU317" s="21"/>
      <c r="AV317" s="21"/>
      <c r="AW317" s="21"/>
      <c r="AX317" s="21"/>
      <c r="AY317" s="21"/>
      <c r="AZ317" s="21"/>
      <c r="BA317" s="21"/>
      <c r="BB317" s="21"/>
      <c r="BF317" s="106" t="str">
        <f t="shared" si="1"/>
        <v>#VALUE!</v>
      </c>
      <c r="BG317" s="21">
        <f t="shared" si="2"/>
        <v>12</v>
      </c>
    </row>
    <row r="318">
      <c r="P318" s="161"/>
      <c r="AI318" s="102"/>
      <c r="AK318" s="306" t="s">
        <v>1962</v>
      </c>
      <c r="AO318" s="21" t="s">
        <v>1963</v>
      </c>
      <c r="AP318" s="21"/>
      <c r="AQ318" s="21"/>
      <c r="AR318" s="21"/>
      <c r="AS318" s="21"/>
      <c r="AT318" s="21"/>
      <c r="AU318" s="21"/>
      <c r="AV318" s="21"/>
      <c r="AW318" s="21"/>
      <c r="AX318" s="21"/>
      <c r="AY318" s="21"/>
      <c r="AZ318" s="21"/>
      <c r="BA318" s="21"/>
      <c r="BB318" s="21"/>
      <c r="BF318" s="106" t="str">
        <f t="shared" si="1"/>
        <v>#VALUE!</v>
      </c>
      <c r="BG318" s="21">
        <f t="shared" si="2"/>
        <v>12</v>
      </c>
    </row>
    <row r="319">
      <c r="P319" s="161"/>
      <c r="AI319" s="102"/>
      <c r="AK319" s="105" t="s">
        <v>1964</v>
      </c>
      <c r="AO319" s="53" t="s">
        <v>1967</v>
      </c>
      <c r="AP319" s="21"/>
      <c r="AQ319" s="21"/>
      <c r="AR319" s="21"/>
      <c r="AS319" s="21"/>
      <c r="AT319" s="21"/>
      <c r="AU319" s="21"/>
      <c r="AV319" s="21"/>
      <c r="AW319" s="21"/>
      <c r="AX319" s="21"/>
      <c r="AY319" s="21"/>
      <c r="AZ319" s="21"/>
      <c r="BA319" s="21"/>
      <c r="BB319" s="21"/>
      <c r="BF319" s="106" t="str">
        <f t="shared" si="1"/>
        <v>#VALUE!</v>
      </c>
      <c r="BG319" s="21">
        <f t="shared" si="2"/>
        <v>12</v>
      </c>
    </row>
    <row r="320">
      <c r="P320" s="161"/>
      <c r="AI320" s="102"/>
      <c r="AK320" s="105" t="s">
        <v>1968</v>
      </c>
      <c r="AL320" s="169"/>
      <c r="AO320" s="21" t="s">
        <v>1969</v>
      </c>
      <c r="AP320" s="21"/>
      <c r="AQ320" s="21" t="s">
        <v>1970</v>
      </c>
      <c r="AR320" s="21" t="s">
        <v>1971</v>
      </c>
      <c r="AS320" s="21"/>
      <c r="AT320" s="21"/>
      <c r="AU320" s="21"/>
      <c r="AV320" s="21"/>
      <c r="AW320" s="21"/>
      <c r="AX320" s="21"/>
      <c r="AY320" s="21"/>
      <c r="AZ320" s="21"/>
      <c r="BA320" s="21"/>
      <c r="BB320" s="21"/>
      <c r="BF320" s="106" t="str">
        <f t="shared" si="1"/>
        <v>#VALUE!</v>
      </c>
      <c r="BG320" s="21">
        <f t="shared" si="2"/>
        <v>12</v>
      </c>
    </row>
    <row r="321">
      <c r="P321" s="161"/>
      <c r="AI321" s="102"/>
      <c r="AK321" s="105" t="s">
        <v>1972</v>
      </c>
      <c r="AO321" s="21" t="s">
        <v>1976</v>
      </c>
      <c r="AP321" s="21"/>
      <c r="AQ321" s="21"/>
      <c r="AR321" s="139" t="s">
        <v>1977</v>
      </c>
      <c r="AS321" s="21"/>
      <c r="AT321" s="21"/>
      <c r="AU321" s="21"/>
      <c r="AV321" s="21"/>
      <c r="AW321" s="21"/>
      <c r="AX321" s="21"/>
      <c r="AY321" s="21"/>
      <c r="AZ321" s="21"/>
      <c r="BA321" s="21"/>
      <c r="BB321" s="21"/>
      <c r="BF321" s="106" t="str">
        <f t="shared" si="1"/>
        <v>#VALUE!</v>
      </c>
      <c r="BG321" s="21">
        <f t="shared" si="2"/>
        <v>12</v>
      </c>
    </row>
    <row r="322">
      <c r="P322" s="161"/>
      <c r="AI322" s="102"/>
      <c r="AK322" s="105" t="s">
        <v>1978</v>
      </c>
      <c r="AO322" s="21" t="s">
        <v>1979</v>
      </c>
      <c r="AP322" s="21"/>
      <c r="AQ322" s="21"/>
      <c r="AR322" s="21"/>
      <c r="AS322" s="21"/>
      <c r="AT322" s="21" t="s">
        <v>1956</v>
      </c>
      <c r="AU322" s="21"/>
      <c r="AV322" s="21"/>
      <c r="AW322" s="21"/>
      <c r="AX322" s="21"/>
      <c r="AY322" s="21"/>
      <c r="AZ322" s="21"/>
      <c r="BA322" s="21"/>
      <c r="BB322" s="21"/>
      <c r="BF322" s="106" t="str">
        <f t="shared" si="1"/>
        <v>#VALUE!</v>
      </c>
      <c r="BG322" s="21">
        <f t="shared" si="2"/>
        <v>12</v>
      </c>
    </row>
    <row r="323">
      <c r="P323" s="161"/>
      <c r="AI323" s="102"/>
      <c r="AK323" s="105" t="s">
        <v>1980</v>
      </c>
      <c r="AO323" s="21" t="s">
        <v>1983</v>
      </c>
      <c r="AP323" s="21"/>
      <c r="AQ323" s="21"/>
      <c r="AR323" s="21"/>
      <c r="AS323" s="21"/>
      <c r="AT323" s="21"/>
      <c r="AU323" s="21"/>
      <c r="AV323" s="21"/>
      <c r="AW323" s="21"/>
      <c r="AX323" s="21"/>
      <c r="AY323" s="21"/>
      <c r="AZ323" s="21"/>
      <c r="BA323" s="21"/>
      <c r="BB323" s="21"/>
      <c r="BF323" s="106" t="str">
        <f t="shared" si="1"/>
        <v>#VALUE!</v>
      </c>
      <c r="BG323" s="21">
        <f t="shared" si="2"/>
        <v>12</v>
      </c>
    </row>
    <row r="324">
      <c r="P324" s="161"/>
      <c r="AI324" s="102"/>
      <c r="AK324" s="105" t="s">
        <v>1984</v>
      </c>
      <c r="AL324" s="86" t="s">
        <v>1986</v>
      </c>
      <c r="AO324" s="53" t="s">
        <v>1987</v>
      </c>
      <c r="AP324" s="21"/>
      <c r="AQ324" s="53" t="s">
        <v>1988</v>
      </c>
      <c r="AR324" s="21"/>
      <c r="AS324" s="21"/>
      <c r="AT324" s="21"/>
      <c r="AU324" s="21"/>
      <c r="AV324" s="21"/>
      <c r="AW324" s="21"/>
      <c r="AX324" s="21"/>
      <c r="AY324" s="21"/>
      <c r="AZ324" s="21"/>
      <c r="BA324" s="21"/>
      <c r="BB324" s="21"/>
      <c r="BF324" s="106" t="str">
        <f t="shared" si="1"/>
        <v>#VALUE!</v>
      </c>
      <c r="BG324" s="21">
        <f t="shared" si="2"/>
        <v>12</v>
      </c>
    </row>
    <row r="325">
      <c r="P325" s="161"/>
      <c r="AI325" s="102"/>
      <c r="AK325" s="105" t="s">
        <v>1990</v>
      </c>
      <c r="AL325" s="58"/>
      <c r="AO325" s="53" t="s">
        <v>1991</v>
      </c>
      <c r="AP325" s="21"/>
      <c r="AQ325" s="53" t="s">
        <v>1992</v>
      </c>
      <c r="AR325" s="21"/>
      <c r="AS325" s="21"/>
      <c r="AT325" s="21"/>
      <c r="AU325" s="21"/>
      <c r="AV325" s="21"/>
      <c r="AW325" s="21"/>
      <c r="AX325" s="21"/>
      <c r="AY325" s="21"/>
      <c r="AZ325" s="21"/>
      <c r="BA325" s="21"/>
      <c r="BB325" s="21"/>
      <c r="BF325" s="106" t="str">
        <f t="shared" si="1"/>
        <v>#VALUE!</v>
      </c>
      <c r="BG325" s="21">
        <f t="shared" si="2"/>
        <v>12</v>
      </c>
    </row>
    <row r="326">
      <c r="P326" s="161"/>
      <c r="AI326" s="102"/>
      <c r="AK326" s="105" t="s">
        <v>1993</v>
      </c>
      <c r="AL326" s="86" t="s">
        <v>1447</v>
      </c>
      <c r="AO326" s="21" t="s">
        <v>1995</v>
      </c>
      <c r="AP326" s="21"/>
      <c r="AQ326" s="21"/>
      <c r="AR326" s="21"/>
      <c r="AS326" s="21"/>
      <c r="AT326" s="21"/>
      <c r="AU326" s="21" t="s">
        <v>1956</v>
      </c>
      <c r="AV326" s="21"/>
      <c r="AW326" s="21"/>
      <c r="AX326" s="21"/>
      <c r="AY326" s="21"/>
      <c r="AZ326" s="21"/>
      <c r="BA326" s="21"/>
      <c r="BB326" s="21"/>
      <c r="BF326" s="106" t="str">
        <f t="shared" si="1"/>
        <v>#VALUE!</v>
      </c>
      <c r="BG326" s="21">
        <f t="shared" si="2"/>
        <v>12</v>
      </c>
    </row>
    <row r="327">
      <c r="P327" s="161"/>
      <c r="AI327" s="102"/>
      <c r="AK327" s="105" t="s">
        <v>1996</v>
      </c>
      <c r="AL327" s="86" t="s">
        <v>1447</v>
      </c>
      <c r="AO327" s="21" t="s">
        <v>1997</v>
      </c>
      <c r="AP327" s="21"/>
      <c r="AQ327" s="21"/>
      <c r="AR327" s="21"/>
      <c r="AS327" s="21"/>
      <c r="AT327" s="21"/>
      <c r="AU327" s="21" t="s">
        <v>1956</v>
      </c>
      <c r="AV327" s="21"/>
      <c r="AW327" s="21"/>
      <c r="AX327" s="21"/>
      <c r="AY327" s="21"/>
      <c r="AZ327" s="21"/>
      <c r="BA327" s="21"/>
      <c r="BB327" s="21"/>
      <c r="BF327" s="106" t="str">
        <f t="shared" si="1"/>
        <v>#VALUE!</v>
      </c>
      <c r="BG327" s="21">
        <f t="shared" si="2"/>
        <v>12</v>
      </c>
    </row>
    <row r="328">
      <c r="P328" s="161"/>
      <c r="AI328" s="102"/>
      <c r="AK328" s="105" t="s">
        <v>1998</v>
      </c>
      <c r="AL328" s="86" t="s">
        <v>1447</v>
      </c>
      <c r="AO328" s="21" t="s">
        <v>1999</v>
      </c>
      <c r="AP328" s="21"/>
      <c r="AQ328" s="53" t="s">
        <v>2000</v>
      </c>
      <c r="AR328" s="21"/>
      <c r="AS328" s="21"/>
      <c r="AT328" s="21"/>
      <c r="AU328" s="21"/>
      <c r="AV328" s="53" t="s">
        <v>2001</v>
      </c>
      <c r="AW328" s="21"/>
      <c r="AX328" s="21"/>
      <c r="AY328" s="21"/>
      <c r="AZ328" s="21"/>
      <c r="BA328" s="21"/>
      <c r="BB328" s="21"/>
      <c r="BF328" s="106" t="str">
        <f t="shared" si="1"/>
        <v>#VALUE!</v>
      </c>
      <c r="BG328" s="21">
        <f t="shared" si="2"/>
        <v>12</v>
      </c>
    </row>
    <row r="329">
      <c r="P329" s="161"/>
      <c r="AI329" s="102"/>
      <c r="AK329" s="105" t="s">
        <v>2002</v>
      </c>
      <c r="AL329" s="58"/>
      <c r="AO329" s="21" t="s">
        <v>2003</v>
      </c>
      <c r="AP329" s="21"/>
      <c r="AQ329" s="21" t="s">
        <v>2004</v>
      </c>
      <c r="AR329" s="21"/>
      <c r="AS329" s="21"/>
      <c r="AT329" s="21"/>
      <c r="AU329" s="21"/>
      <c r="AV329" s="21"/>
      <c r="AW329" s="21"/>
      <c r="AX329" s="21"/>
      <c r="AY329" s="21"/>
      <c r="AZ329" s="21"/>
      <c r="BA329" s="21"/>
      <c r="BB329" s="21"/>
      <c r="BF329" s="106" t="str">
        <f t="shared" si="1"/>
        <v>#VALUE!</v>
      </c>
      <c r="BG329" s="21">
        <f t="shared" si="2"/>
        <v>12</v>
      </c>
    </row>
    <row r="330">
      <c r="P330" s="161"/>
      <c r="AI330" s="102"/>
      <c r="AK330" s="105" t="s">
        <v>2005</v>
      </c>
      <c r="AL330" s="86" t="s">
        <v>1447</v>
      </c>
      <c r="AO330" s="53" t="s">
        <v>2007</v>
      </c>
      <c r="AP330" s="21"/>
      <c r="AQ330" s="53" t="s">
        <v>2008</v>
      </c>
      <c r="AR330" s="53" t="s">
        <v>2009</v>
      </c>
      <c r="AS330" s="53" t="s">
        <v>2010</v>
      </c>
      <c r="AT330" s="21"/>
      <c r="AU330" s="21"/>
      <c r="AV330" s="53" t="s">
        <v>2011</v>
      </c>
      <c r="AW330" s="21"/>
      <c r="AX330" s="21"/>
      <c r="AY330" s="21"/>
      <c r="AZ330" s="21"/>
      <c r="BA330" s="21"/>
      <c r="BB330" s="21"/>
      <c r="BF330" s="106" t="str">
        <f t="shared" si="1"/>
        <v>#VALUE!</v>
      </c>
      <c r="BG330" s="21">
        <f t="shared" si="2"/>
        <v>12</v>
      </c>
    </row>
    <row r="331">
      <c r="P331" s="161"/>
      <c r="AI331" s="102"/>
      <c r="AK331" s="105" t="s">
        <v>2012</v>
      </c>
      <c r="AL331" s="86" t="s">
        <v>1447</v>
      </c>
      <c r="AO331" s="53" t="s">
        <v>2013</v>
      </c>
      <c r="AP331" s="21"/>
      <c r="AQ331" s="21" t="s">
        <v>2014</v>
      </c>
      <c r="AR331" s="21"/>
      <c r="AS331" s="21" t="s">
        <v>2015</v>
      </c>
      <c r="AT331" s="21"/>
      <c r="AU331" s="21"/>
      <c r="AV331" s="21"/>
      <c r="AW331" s="21"/>
      <c r="AX331" s="21"/>
      <c r="AY331" s="21"/>
      <c r="AZ331" s="21"/>
      <c r="BA331" s="21"/>
      <c r="BB331" s="21"/>
      <c r="BF331" s="106" t="str">
        <f t="shared" si="1"/>
        <v>#VALUE!</v>
      </c>
      <c r="BG331" s="21">
        <f t="shared" si="2"/>
        <v>12</v>
      </c>
    </row>
    <row r="332">
      <c r="P332" s="161"/>
      <c r="AI332" s="102"/>
      <c r="AK332" s="105" t="s">
        <v>2016</v>
      </c>
      <c r="AO332" s="21" t="s">
        <v>2018</v>
      </c>
      <c r="AP332" s="21" t="s">
        <v>2019</v>
      </c>
      <c r="AQ332" s="21" t="s">
        <v>2020</v>
      </c>
      <c r="AR332" s="21" t="s">
        <v>2021</v>
      </c>
      <c r="AS332" s="21"/>
      <c r="AT332" s="21"/>
      <c r="AU332" s="21"/>
      <c r="AV332" s="21"/>
      <c r="AW332" s="21"/>
      <c r="AX332" s="21"/>
      <c r="AY332" s="21"/>
      <c r="AZ332" s="21"/>
      <c r="BA332" s="21"/>
      <c r="BB332" s="21"/>
      <c r="BF332" s="106" t="str">
        <f t="shared" si="1"/>
        <v>#VALUE!</v>
      </c>
      <c r="BG332" s="21">
        <f t="shared" si="2"/>
        <v>12</v>
      </c>
    </row>
    <row r="333">
      <c r="P333" s="161"/>
      <c r="AI333" s="102"/>
      <c r="AK333" s="105" t="s">
        <v>2022</v>
      </c>
      <c r="AL333" s="86" t="s">
        <v>1447</v>
      </c>
      <c r="AO333" s="53" t="s">
        <v>2023</v>
      </c>
      <c r="AP333" s="21"/>
      <c r="AQ333" s="21"/>
      <c r="AR333" s="21"/>
      <c r="AS333" s="21"/>
      <c r="AT333" s="21" t="s">
        <v>1752</v>
      </c>
      <c r="AU333" s="21"/>
      <c r="AV333" s="53" t="s">
        <v>2024</v>
      </c>
      <c r="AW333" s="21"/>
      <c r="AX333" s="21"/>
      <c r="AY333" s="21"/>
      <c r="AZ333" s="21"/>
      <c r="BA333" s="21"/>
      <c r="BB333" s="21"/>
      <c r="BF333" s="106" t="str">
        <f t="shared" si="1"/>
        <v>#VALUE!</v>
      </c>
      <c r="BG333" s="21">
        <f t="shared" si="2"/>
        <v>12</v>
      </c>
    </row>
    <row r="334">
      <c r="P334" s="161"/>
      <c r="AI334" s="102"/>
      <c r="AK334" s="105" t="s">
        <v>2025</v>
      </c>
      <c r="AL334" s="86" t="s">
        <v>1447</v>
      </c>
      <c r="AO334" s="53" t="s">
        <v>2027</v>
      </c>
      <c r="AP334" s="21" t="s">
        <v>2028</v>
      </c>
      <c r="AQ334" s="21"/>
      <c r="AR334" s="21" t="s">
        <v>2029</v>
      </c>
      <c r="AS334" s="21"/>
      <c r="AT334" s="21"/>
      <c r="AU334" s="21"/>
      <c r="AV334" s="21"/>
      <c r="AW334" s="21"/>
      <c r="AX334" s="21"/>
      <c r="AY334" s="21"/>
      <c r="AZ334" s="21"/>
      <c r="BA334" s="21"/>
      <c r="BB334" s="21"/>
      <c r="BF334" s="106" t="str">
        <f t="shared" si="1"/>
        <v>#VALUE!</v>
      </c>
      <c r="BG334" s="21">
        <f t="shared" si="2"/>
        <v>12</v>
      </c>
    </row>
    <row r="335">
      <c r="P335" s="161"/>
      <c r="AI335" s="102"/>
      <c r="AK335" s="105" t="s">
        <v>2030</v>
      </c>
      <c r="AL335" s="58"/>
      <c r="AO335" s="53" t="s">
        <v>2031</v>
      </c>
      <c r="AP335" s="21"/>
      <c r="AQ335" s="21"/>
      <c r="AR335" s="21"/>
      <c r="AS335" s="53" t="s">
        <v>2032</v>
      </c>
      <c r="AT335" s="21"/>
      <c r="AU335" s="21" t="s">
        <v>1956</v>
      </c>
      <c r="AV335" s="21"/>
      <c r="AW335" s="21"/>
      <c r="AX335" s="21"/>
      <c r="AY335" s="21"/>
      <c r="AZ335" s="21"/>
      <c r="BA335" s="21"/>
      <c r="BB335" s="21"/>
      <c r="BF335" s="106" t="str">
        <f t="shared" si="1"/>
        <v>#VALUE!</v>
      </c>
      <c r="BG335" s="21">
        <f t="shared" si="2"/>
        <v>12</v>
      </c>
    </row>
    <row r="336">
      <c r="P336" s="161"/>
      <c r="AI336" s="102"/>
      <c r="AK336" s="105" t="s">
        <v>2033</v>
      </c>
      <c r="AL336" s="86" t="s">
        <v>1447</v>
      </c>
      <c r="AO336" s="53" t="s">
        <v>2034</v>
      </c>
      <c r="AP336" s="21"/>
      <c r="AQ336" s="21"/>
      <c r="AR336" s="53" t="s">
        <v>2035</v>
      </c>
      <c r="AS336" s="21"/>
      <c r="AT336" s="21" t="s">
        <v>1956</v>
      </c>
      <c r="AU336" s="21"/>
      <c r="AV336" s="21" t="s">
        <v>2036</v>
      </c>
      <c r="AW336" s="21"/>
      <c r="AX336" s="21"/>
      <c r="AY336" s="21"/>
      <c r="AZ336" s="21"/>
      <c r="BA336" s="21"/>
      <c r="BB336" s="21"/>
      <c r="BF336" s="106" t="str">
        <f t="shared" si="1"/>
        <v>#VALUE!</v>
      </c>
      <c r="BG336" s="21">
        <f t="shared" si="2"/>
        <v>12</v>
      </c>
    </row>
    <row r="337">
      <c r="P337" s="161"/>
      <c r="AI337" s="102"/>
      <c r="AK337" s="105" t="s">
        <v>2037</v>
      </c>
      <c r="AL337" s="86" t="s">
        <v>2038</v>
      </c>
      <c r="AO337" s="21" t="s">
        <v>2039</v>
      </c>
      <c r="AP337" s="21"/>
      <c r="AQ337" s="21"/>
      <c r="AR337" s="21"/>
      <c r="AS337" s="21"/>
      <c r="AT337" s="21"/>
      <c r="AU337" s="21"/>
      <c r="AV337" s="21"/>
      <c r="AW337" s="21"/>
      <c r="AX337" s="21"/>
      <c r="AY337" s="21"/>
      <c r="AZ337" s="21"/>
      <c r="BA337" s="21"/>
      <c r="BB337" s="21"/>
      <c r="BF337" s="106" t="str">
        <f t="shared" si="1"/>
        <v>#VALUE!</v>
      </c>
      <c r="BG337" s="21">
        <f t="shared" si="2"/>
        <v>12</v>
      </c>
    </row>
    <row r="338">
      <c r="P338" s="161"/>
      <c r="AI338" s="102"/>
      <c r="AK338" s="105" t="s">
        <v>2040</v>
      </c>
      <c r="AO338" s="21" t="s">
        <v>2043</v>
      </c>
      <c r="AP338" s="21"/>
      <c r="AQ338" s="21"/>
      <c r="AR338" s="21"/>
      <c r="AS338" s="21"/>
      <c r="AT338" s="21"/>
      <c r="AU338" s="21"/>
      <c r="AV338" s="21"/>
      <c r="AW338" s="21"/>
      <c r="AX338" s="21"/>
      <c r="AY338" s="21"/>
      <c r="AZ338" s="21"/>
      <c r="BA338" s="21"/>
      <c r="BB338" s="21"/>
      <c r="BF338" s="106" t="str">
        <f t="shared" si="1"/>
        <v>#VALUE!</v>
      </c>
      <c r="BG338" s="21">
        <f t="shared" si="2"/>
        <v>12</v>
      </c>
    </row>
    <row r="339">
      <c r="P339" s="161"/>
      <c r="AI339" s="102"/>
      <c r="AK339" s="105" t="s">
        <v>2044</v>
      </c>
      <c r="AL339" s="246" t="s">
        <v>2045</v>
      </c>
      <c r="AO339" s="21" t="s">
        <v>2046</v>
      </c>
      <c r="AP339" s="21"/>
      <c r="AQ339" s="21"/>
      <c r="AR339" s="21"/>
      <c r="AS339" s="53" t="s">
        <v>2047</v>
      </c>
      <c r="AT339" s="21"/>
      <c r="AU339" s="21"/>
      <c r="AV339" s="21"/>
      <c r="AW339" s="21"/>
      <c r="AX339" s="21"/>
      <c r="AY339" s="21"/>
      <c r="AZ339" s="21"/>
      <c r="BA339" s="21"/>
      <c r="BB339" s="21"/>
      <c r="BF339" s="106" t="str">
        <f t="shared" si="1"/>
        <v>#VALUE!</v>
      </c>
      <c r="BG339" s="21">
        <f t="shared" si="2"/>
        <v>12</v>
      </c>
    </row>
    <row r="340">
      <c r="P340" s="161"/>
      <c r="AI340" s="102"/>
      <c r="AK340" s="105" t="s">
        <v>2048</v>
      </c>
      <c r="AO340" s="53" t="s">
        <v>2049</v>
      </c>
      <c r="AP340" s="21"/>
      <c r="AQ340" s="21"/>
      <c r="AR340" s="21"/>
      <c r="AS340" s="21"/>
      <c r="AT340" s="21"/>
      <c r="AU340" s="21"/>
      <c r="AV340" s="21"/>
      <c r="AW340" s="21"/>
      <c r="AX340" s="21"/>
      <c r="AY340" s="21"/>
      <c r="AZ340" s="21"/>
      <c r="BA340" s="21"/>
      <c r="BB340" s="21"/>
      <c r="BF340" s="106" t="str">
        <f t="shared" si="1"/>
        <v>#VALUE!</v>
      </c>
      <c r="BG340" s="21">
        <f t="shared" si="2"/>
        <v>12</v>
      </c>
    </row>
    <row r="341">
      <c r="P341" s="161"/>
      <c r="AI341" s="102"/>
      <c r="AK341" s="105" t="s">
        <v>785</v>
      </c>
      <c r="AL341" s="169" t="s">
        <v>968</v>
      </c>
      <c r="AO341" s="53" t="s">
        <v>2050</v>
      </c>
      <c r="AP341" s="53" t="s">
        <v>2051</v>
      </c>
      <c r="AQ341" s="53" t="s">
        <v>2052</v>
      </c>
      <c r="AR341" s="21"/>
      <c r="AS341" s="21" t="s">
        <v>2053</v>
      </c>
      <c r="AT341" s="21"/>
      <c r="AU341" s="21"/>
      <c r="AV341" s="21"/>
      <c r="AW341" s="21"/>
      <c r="AX341" s="21"/>
      <c r="AY341" s="21"/>
      <c r="AZ341" s="21"/>
      <c r="BA341" s="21"/>
      <c r="BB341" s="21"/>
      <c r="BF341" s="106" t="str">
        <f t="shared" si="1"/>
        <v>#VALUE!</v>
      </c>
      <c r="BG341" s="21">
        <f t="shared" si="2"/>
        <v>12</v>
      </c>
    </row>
    <row r="342">
      <c r="P342" s="161"/>
      <c r="AI342" s="102"/>
      <c r="AK342" s="105" t="s">
        <v>2054</v>
      </c>
      <c r="AL342" s="58"/>
      <c r="AO342" s="53" t="s">
        <v>2055</v>
      </c>
      <c r="AP342" s="21" t="s">
        <v>2056</v>
      </c>
      <c r="AQ342" s="21"/>
      <c r="AR342" s="21"/>
      <c r="AS342" s="21" t="s">
        <v>1562</v>
      </c>
      <c r="AT342" s="21"/>
      <c r="AU342" s="21"/>
      <c r="AV342" s="21"/>
      <c r="AW342" s="21"/>
      <c r="AX342" s="21"/>
      <c r="AY342" s="21"/>
      <c r="AZ342" s="21"/>
      <c r="BA342" s="21"/>
      <c r="BB342" s="21"/>
      <c r="BF342" s="106" t="str">
        <f t="shared" si="1"/>
        <v>#VALUE!</v>
      </c>
      <c r="BG342" s="21">
        <f t="shared" si="2"/>
        <v>12</v>
      </c>
    </row>
    <row r="343">
      <c r="P343" s="161"/>
      <c r="AI343" s="102"/>
      <c r="AK343" s="105" t="s">
        <v>788</v>
      </c>
      <c r="AO343" s="53" t="s">
        <v>2057</v>
      </c>
      <c r="AP343" s="21"/>
      <c r="AQ343" s="21"/>
      <c r="AR343" s="21"/>
      <c r="AS343" s="21" t="s">
        <v>2058</v>
      </c>
      <c r="AT343" s="21"/>
      <c r="AU343" s="21"/>
      <c r="AV343" s="21"/>
      <c r="AW343" s="21"/>
      <c r="AX343" s="21"/>
      <c r="AY343" s="21"/>
      <c r="AZ343" s="21"/>
      <c r="BA343" s="21"/>
      <c r="BB343" s="21"/>
      <c r="BF343" s="106" t="str">
        <f t="shared" si="1"/>
        <v>#VALUE!</v>
      </c>
      <c r="BG343" s="21">
        <f t="shared" si="2"/>
        <v>12</v>
      </c>
    </row>
    <row r="344">
      <c r="P344" s="161"/>
      <c r="AI344" s="102"/>
      <c r="AK344" s="105" t="s">
        <v>934</v>
      </c>
      <c r="AO344" s="21" t="s">
        <v>2060</v>
      </c>
      <c r="AP344" s="21"/>
      <c r="AQ344" s="21"/>
      <c r="AR344" s="21"/>
      <c r="AS344" s="21"/>
      <c r="AT344" s="21"/>
      <c r="AU344" s="21"/>
      <c r="AV344" s="139" t="s">
        <v>2061</v>
      </c>
      <c r="AW344" s="21"/>
      <c r="AX344" s="21"/>
      <c r="AY344" s="21"/>
      <c r="AZ344" s="21"/>
      <c r="BA344" s="21"/>
      <c r="BB344" s="21"/>
      <c r="BF344" s="106" t="str">
        <f t="shared" si="1"/>
        <v>#VALUE!</v>
      </c>
      <c r="BG344" s="21">
        <f t="shared" si="2"/>
        <v>12</v>
      </c>
    </row>
    <row r="345">
      <c r="P345" s="161"/>
      <c r="AI345" s="102"/>
      <c r="AK345" s="105" t="s">
        <v>2062</v>
      </c>
      <c r="AO345" s="53" t="s">
        <v>2063</v>
      </c>
      <c r="AP345" s="21" t="s">
        <v>2064</v>
      </c>
      <c r="AQ345" s="21"/>
      <c r="AR345" s="21"/>
      <c r="AS345" s="21"/>
      <c r="AT345" s="21"/>
      <c r="AU345" s="21"/>
      <c r="AV345" s="21"/>
      <c r="AW345" s="21"/>
      <c r="AX345" s="21"/>
      <c r="AY345" s="21"/>
      <c r="AZ345" s="21"/>
      <c r="BA345" s="21"/>
      <c r="BB345" s="21"/>
      <c r="BF345" s="106" t="str">
        <f t="shared" si="1"/>
        <v>#VALUE!</v>
      </c>
      <c r="BG345" s="21">
        <f t="shared" si="2"/>
        <v>12</v>
      </c>
    </row>
    <row r="346">
      <c r="P346" s="161"/>
      <c r="AI346" s="102"/>
      <c r="AK346" s="105" t="s">
        <v>2065</v>
      </c>
      <c r="AO346" s="53" t="s">
        <v>2066</v>
      </c>
      <c r="AP346" s="21" t="s">
        <v>2067</v>
      </c>
      <c r="AQ346" s="21"/>
      <c r="AR346" s="139" t="s">
        <v>2068</v>
      </c>
      <c r="AS346" s="21"/>
      <c r="AT346" s="21"/>
      <c r="AU346" s="21"/>
      <c r="AV346" s="21"/>
      <c r="AW346" s="21"/>
      <c r="AX346" s="21"/>
      <c r="AY346" s="21"/>
      <c r="AZ346" s="21"/>
      <c r="BA346" s="21"/>
      <c r="BB346" s="21"/>
      <c r="BF346" s="106" t="str">
        <f t="shared" si="1"/>
        <v>#VALUE!</v>
      </c>
      <c r="BG346" s="21">
        <f t="shared" si="2"/>
        <v>12</v>
      </c>
    </row>
    <row r="347">
      <c r="P347" s="161"/>
      <c r="AI347" s="102"/>
      <c r="AK347" s="105" t="s">
        <v>2069</v>
      </c>
      <c r="AL347" s="86" t="s">
        <v>2070</v>
      </c>
      <c r="AO347" s="53" t="s">
        <v>2071</v>
      </c>
      <c r="AP347" s="21"/>
      <c r="AQ347" s="21"/>
      <c r="AR347" s="21"/>
      <c r="AS347" s="21" t="s">
        <v>1562</v>
      </c>
      <c r="AT347" s="20" t="s">
        <v>2072</v>
      </c>
      <c r="AU347" s="20" t="s">
        <v>2073</v>
      </c>
      <c r="AV347" s="21"/>
      <c r="AW347" s="21"/>
      <c r="AX347" s="21"/>
      <c r="AY347" s="21"/>
      <c r="AZ347" s="21"/>
      <c r="BA347" s="21"/>
      <c r="BB347" s="21"/>
      <c r="BF347" s="106" t="str">
        <f t="shared" si="1"/>
        <v>#VALUE!</v>
      </c>
      <c r="BG347" s="21">
        <f t="shared" si="2"/>
        <v>12</v>
      </c>
    </row>
    <row r="348">
      <c r="P348" s="161"/>
      <c r="AI348" s="102"/>
      <c r="AK348" s="105" t="s">
        <v>1002</v>
      </c>
      <c r="AO348" s="21" t="s">
        <v>2074</v>
      </c>
      <c r="AP348" s="21"/>
      <c r="AQ348" s="139" t="s">
        <v>2075</v>
      </c>
      <c r="AR348" s="21"/>
      <c r="AS348" s="21"/>
      <c r="AT348" s="21"/>
      <c r="AU348" s="21"/>
      <c r="AV348" s="139" t="s">
        <v>2076</v>
      </c>
      <c r="AW348" s="139" t="s">
        <v>2077</v>
      </c>
      <c r="AX348" s="20" t="s">
        <v>2078</v>
      </c>
      <c r="AY348" s="20" t="s">
        <v>2079</v>
      </c>
      <c r="AZ348" s="21"/>
      <c r="BA348" s="21"/>
      <c r="BB348" s="21"/>
      <c r="BF348" s="106" t="str">
        <f t="shared" si="1"/>
        <v>#VALUE!</v>
      </c>
      <c r="BG348" s="21">
        <f t="shared" si="2"/>
        <v>12</v>
      </c>
    </row>
    <row r="349">
      <c r="P349" s="161"/>
      <c r="AI349" s="102"/>
      <c r="AK349" s="105" t="s">
        <v>2080</v>
      </c>
      <c r="AO349" s="21" t="s">
        <v>2081</v>
      </c>
      <c r="AP349" s="21" t="s">
        <v>2082</v>
      </c>
      <c r="AQ349" s="21"/>
      <c r="AR349" s="21"/>
      <c r="AS349" s="21"/>
      <c r="AT349" s="21"/>
      <c r="AU349" s="21"/>
      <c r="AV349" s="21"/>
      <c r="AW349" s="21"/>
      <c r="AX349" s="21"/>
      <c r="AY349" s="21"/>
      <c r="AZ349" s="21"/>
      <c r="BA349" s="21"/>
      <c r="BB349" s="21"/>
      <c r="BF349" s="106" t="str">
        <f t="shared" si="1"/>
        <v>#VALUE!</v>
      </c>
      <c r="BG349" s="21">
        <f t="shared" si="2"/>
        <v>12</v>
      </c>
    </row>
    <row r="350">
      <c r="P350" s="161"/>
      <c r="AI350" s="102"/>
      <c r="AK350" s="105" t="s">
        <v>2083</v>
      </c>
      <c r="AL350" s="86" t="s">
        <v>1447</v>
      </c>
      <c r="AO350" s="21" t="s">
        <v>2085</v>
      </c>
      <c r="AP350" s="21" t="s">
        <v>2086</v>
      </c>
      <c r="AQ350" s="21"/>
      <c r="AR350" s="21"/>
      <c r="AS350" s="21"/>
      <c r="AT350" s="21"/>
      <c r="AU350" s="21"/>
      <c r="AV350" s="21"/>
      <c r="AW350" s="21"/>
      <c r="AX350" s="21"/>
      <c r="AY350" s="21"/>
      <c r="AZ350" s="21"/>
      <c r="BA350" s="21"/>
      <c r="BB350" s="21"/>
      <c r="BF350" s="106" t="str">
        <f t="shared" si="1"/>
        <v>#VALUE!</v>
      </c>
      <c r="BG350" s="21">
        <f t="shared" si="2"/>
        <v>12</v>
      </c>
    </row>
    <row r="351">
      <c r="P351" s="161"/>
      <c r="AI351" s="102"/>
      <c r="AK351" s="105" t="s">
        <v>2087</v>
      </c>
      <c r="AO351" s="21" t="s">
        <v>2088</v>
      </c>
      <c r="AP351" s="21" t="s">
        <v>2089</v>
      </c>
      <c r="AQ351" s="21"/>
      <c r="AR351" s="21"/>
      <c r="AS351" s="21"/>
      <c r="AT351" s="21"/>
      <c r="AU351" s="21"/>
      <c r="AV351" s="21"/>
      <c r="AW351" s="21"/>
      <c r="AX351" s="21"/>
      <c r="AY351" s="21"/>
      <c r="AZ351" s="21"/>
      <c r="BA351" s="21"/>
      <c r="BB351" s="21"/>
      <c r="BF351" s="106" t="str">
        <f t="shared" si="1"/>
        <v>#VALUE!</v>
      </c>
      <c r="BG351" s="21">
        <f t="shared" si="2"/>
        <v>12</v>
      </c>
    </row>
    <row r="352">
      <c r="P352" s="161"/>
      <c r="AI352" s="102"/>
      <c r="AK352" s="105" t="s">
        <v>2090</v>
      </c>
      <c r="AL352" s="58"/>
      <c r="AO352" s="21" t="s">
        <v>2091</v>
      </c>
      <c r="AP352" s="53" t="s">
        <v>2092</v>
      </c>
      <c r="AQ352" s="21"/>
      <c r="AR352" s="21"/>
      <c r="AS352" s="53" t="s">
        <v>2093</v>
      </c>
      <c r="AT352" s="21"/>
      <c r="AU352" s="21"/>
      <c r="AV352" s="21"/>
      <c r="AW352" s="21"/>
      <c r="AX352" s="21"/>
      <c r="AY352" s="21"/>
      <c r="AZ352" s="21"/>
      <c r="BA352" s="21"/>
      <c r="BB352" s="21"/>
      <c r="BF352" s="106" t="str">
        <f t="shared" si="1"/>
        <v>#VALUE!</v>
      </c>
      <c r="BG352" s="21">
        <f t="shared" si="2"/>
        <v>12</v>
      </c>
    </row>
    <row r="353">
      <c r="P353" s="161"/>
      <c r="AI353" s="102"/>
      <c r="AK353" s="105" t="s">
        <v>2095</v>
      </c>
      <c r="AL353" s="58"/>
      <c r="AO353" s="53" t="s">
        <v>2098</v>
      </c>
      <c r="AP353" s="21"/>
      <c r="AQ353" s="53" t="s">
        <v>2099</v>
      </c>
      <c r="AR353" s="21"/>
      <c r="AS353" s="21"/>
      <c r="AT353" s="21"/>
      <c r="AU353" s="21"/>
      <c r="AV353" s="21"/>
      <c r="AW353" s="21"/>
      <c r="AX353" s="21"/>
      <c r="AY353" s="21"/>
      <c r="AZ353" s="21"/>
      <c r="BA353" s="21"/>
      <c r="BB353" s="21"/>
      <c r="BF353" s="106" t="str">
        <f t="shared" si="1"/>
        <v>#VALUE!</v>
      </c>
      <c r="BG353" s="21">
        <f t="shared" si="2"/>
        <v>12</v>
      </c>
    </row>
    <row r="354">
      <c r="P354" s="161"/>
      <c r="AI354" s="102"/>
      <c r="AK354" s="105" t="s">
        <v>2100</v>
      </c>
      <c r="AL354" s="58"/>
      <c r="AO354" s="53" t="s">
        <v>2101</v>
      </c>
      <c r="AP354" s="21"/>
      <c r="AQ354" s="21"/>
      <c r="AR354" s="53" t="s">
        <v>2102</v>
      </c>
      <c r="AS354" s="21"/>
      <c r="AT354" s="21"/>
      <c r="AU354" s="21"/>
      <c r="AV354" s="21"/>
      <c r="AW354" s="21" t="s">
        <v>2103</v>
      </c>
      <c r="AX354" s="21"/>
      <c r="AY354" s="21"/>
      <c r="AZ354" s="21"/>
      <c r="BA354" s="21"/>
      <c r="BB354" s="21"/>
      <c r="BF354" s="106" t="str">
        <f t="shared" si="1"/>
        <v>#VALUE!</v>
      </c>
      <c r="BG354" s="21">
        <f t="shared" si="2"/>
        <v>12</v>
      </c>
    </row>
    <row r="355" ht="123.75" customHeight="1">
      <c r="P355" s="161"/>
      <c r="AI355" s="102"/>
      <c r="AK355" s="105" t="s">
        <v>793</v>
      </c>
      <c r="AO355" s="21" t="s">
        <v>2104</v>
      </c>
      <c r="AP355" s="53" t="s">
        <v>2105</v>
      </c>
      <c r="AQ355" s="21"/>
      <c r="AR355" s="21"/>
      <c r="AS355" s="21"/>
      <c r="AT355" s="21"/>
      <c r="AU355" s="21"/>
      <c r="AV355" s="21"/>
      <c r="AW355" s="21"/>
      <c r="AX355" s="21"/>
      <c r="AY355" s="21"/>
      <c r="AZ355" s="21"/>
      <c r="BA355" s="21"/>
      <c r="BB355" s="21"/>
      <c r="BF355" s="106" t="str">
        <f t="shared" si="1"/>
        <v>#VALUE!</v>
      </c>
      <c r="BG355" s="21">
        <f t="shared" si="2"/>
        <v>12</v>
      </c>
    </row>
    <row r="356">
      <c r="P356" s="161"/>
      <c r="AI356" s="102"/>
      <c r="AK356" s="105" t="s">
        <v>2106</v>
      </c>
      <c r="AO356" s="21" t="s">
        <v>2107</v>
      </c>
      <c r="AP356" s="21"/>
      <c r="AQ356" s="21"/>
      <c r="AR356" s="21"/>
      <c r="AS356" s="21"/>
      <c r="AT356" s="20" t="s">
        <v>2108</v>
      </c>
      <c r="AU356" s="21"/>
      <c r="AV356" s="21"/>
      <c r="AW356" s="21"/>
      <c r="AX356" s="21"/>
      <c r="AY356" s="21"/>
      <c r="AZ356" s="21"/>
      <c r="BA356" s="21"/>
      <c r="BB356" s="21"/>
      <c r="BF356" s="106" t="str">
        <f t="shared" si="1"/>
        <v>#VALUE!</v>
      </c>
      <c r="BG356" s="21">
        <f t="shared" si="2"/>
        <v>12</v>
      </c>
    </row>
    <row r="357">
      <c r="P357" s="161"/>
      <c r="AI357" s="102"/>
      <c r="AK357" s="105" t="s">
        <v>2109</v>
      </c>
      <c r="AO357" s="21" t="s">
        <v>2111</v>
      </c>
      <c r="AP357" s="21"/>
      <c r="AQ357" s="21"/>
      <c r="AR357" s="21"/>
      <c r="AS357" s="21"/>
      <c r="AT357" s="21"/>
      <c r="AU357" s="21"/>
      <c r="AV357" s="21"/>
      <c r="AW357" s="21"/>
      <c r="AX357" s="21"/>
      <c r="AY357" s="21"/>
      <c r="AZ357" s="21"/>
      <c r="BA357" s="21"/>
      <c r="BB357" s="21"/>
      <c r="BF357" s="106" t="str">
        <f t="shared" si="1"/>
        <v>#VALUE!</v>
      </c>
      <c r="BG357" s="21">
        <f t="shared" si="2"/>
        <v>12</v>
      </c>
    </row>
    <row r="358">
      <c r="P358" s="161"/>
      <c r="AI358" s="102"/>
      <c r="AK358" s="105" t="s">
        <v>273</v>
      </c>
      <c r="AO358" s="21" t="s">
        <v>2112</v>
      </c>
      <c r="AP358" s="21"/>
      <c r="AQ358" s="53" t="s">
        <v>2113</v>
      </c>
      <c r="AR358" s="20" t="s">
        <v>2114</v>
      </c>
      <c r="AS358" s="20" t="s">
        <v>2115</v>
      </c>
      <c r="AT358" s="21"/>
      <c r="AU358" s="21"/>
      <c r="AV358" s="21"/>
      <c r="AW358" s="21"/>
      <c r="AX358" s="21"/>
      <c r="AY358" s="21"/>
      <c r="AZ358" s="21"/>
      <c r="BA358" s="21"/>
      <c r="BB358" s="21"/>
      <c r="BF358" s="106" t="str">
        <f t="shared" si="1"/>
        <v>#VALUE!</v>
      </c>
      <c r="BG358" s="21">
        <f t="shared" si="2"/>
        <v>12</v>
      </c>
    </row>
    <row r="359">
      <c r="P359" s="161"/>
      <c r="AI359" s="102"/>
      <c r="AK359" s="105" t="s">
        <v>2116</v>
      </c>
      <c r="AL359" s="86" t="s">
        <v>1447</v>
      </c>
      <c r="AO359" s="21" t="s">
        <v>2117</v>
      </c>
      <c r="AP359" s="21" t="s">
        <v>2118</v>
      </c>
      <c r="AQ359" s="21"/>
      <c r="AR359" s="21"/>
      <c r="AS359" s="21"/>
      <c r="AT359" s="21"/>
      <c r="AU359" s="21"/>
      <c r="AV359" s="21"/>
      <c r="AW359" s="21"/>
      <c r="AX359" s="21"/>
      <c r="AY359" s="21"/>
      <c r="AZ359" s="21"/>
      <c r="BA359" s="21"/>
      <c r="BB359" s="21"/>
      <c r="BF359" s="106" t="str">
        <f t="shared" si="1"/>
        <v>#VALUE!</v>
      </c>
      <c r="BG359" s="21">
        <f t="shared" si="2"/>
        <v>12</v>
      </c>
    </row>
    <row r="360">
      <c r="P360" s="161"/>
      <c r="AI360" s="102"/>
      <c r="AK360" s="105" t="s">
        <v>2120</v>
      </c>
      <c r="AO360" s="21" t="s">
        <v>2121</v>
      </c>
      <c r="AP360" s="21"/>
      <c r="AQ360" s="21"/>
      <c r="AR360" s="21"/>
      <c r="AS360" s="21"/>
      <c r="AT360" s="21"/>
      <c r="AU360" s="21"/>
      <c r="AV360" s="21"/>
      <c r="AW360" s="21"/>
      <c r="AX360" s="21"/>
      <c r="AY360" s="21"/>
      <c r="AZ360" s="21"/>
      <c r="BA360" s="21"/>
      <c r="BB360" s="21"/>
      <c r="BF360" s="106" t="str">
        <f t="shared" si="1"/>
        <v>#VALUE!</v>
      </c>
      <c r="BG360" s="21">
        <f t="shared" si="2"/>
        <v>12</v>
      </c>
    </row>
    <row r="361">
      <c r="P361" s="161"/>
      <c r="AI361" s="102"/>
      <c r="AK361" s="105" t="s">
        <v>2122</v>
      </c>
      <c r="AL361" s="86" t="s">
        <v>2123</v>
      </c>
      <c r="AO361" s="53" t="s">
        <v>2124</v>
      </c>
      <c r="AP361" s="53" t="s">
        <v>2125</v>
      </c>
      <c r="AQ361" s="21"/>
      <c r="AR361" s="21" t="s">
        <v>1956</v>
      </c>
      <c r="AS361" s="21"/>
      <c r="AT361" s="21"/>
      <c r="AU361" s="21"/>
      <c r="AV361" s="21"/>
      <c r="AW361" s="21"/>
      <c r="AX361" s="21"/>
      <c r="AY361" s="21"/>
      <c r="AZ361" s="21"/>
      <c r="BA361" s="21"/>
      <c r="BB361" s="21"/>
      <c r="BF361" s="106" t="str">
        <f t="shared" si="1"/>
        <v>#VALUE!</v>
      </c>
      <c r="BG361" s="21">
        <f t="shared" si="2"/>
        <v>12</v>
      </c>
    </row>
    <row r="362">
      <c r="P362" s="161"/>
      <c r="AI362" s="102"/>
      <c r="AK362" s="105" t="s">
        <v>2127</v>
      </c>
      <c r="AO362" s="53" t="s">
        <v>2128</v>
      </c>
      <c r="AP362" s="21"/>
      <c r="AQ362" s="21" t="s">
        <v>2129</v>
      </c>
      <c r="AR362" s="21"/>
      <c r="AS362" s="21"/>
      <c r="AT362" s="21"/>
      <c r="AU362" s="21"/>
      <c r="AV362" s="21"/>
      <c r="AW362" s="21"/>
      <c r="AX362" s="21"/>
      <c r="AY362" s="21"/>
      <c r="AZ362" s="21"/>
      <c r="BA362" s="21"/>
      <c r="BB362" s="21"/>
      <c r="BF362" s="106" t="str">
        <f t="shared" si="1"/>
        <v>#VALUE!</v>
      </c>
      <c r="BG362" s="21">
        <f t="shared" si="2"/>
        <v>12</v>
      </c>
    </row>
    <row r="363">
      <c r="P363" s="161"/>
      <c r="AI363" s="102"/>
      <c r="AK363" s="105" t="s">
        <v>2130</v>
      </c>
      <c r="AL363" s="86" t="s">
        <v>1447</v>
      </c>
      <c r="AO363" s="21" t="s">
        <v>2131</v>
      </c>
      <c r="AP363" s="21" t="s">
        <v>2132</v>
      </c>
      <c r="AQ363" s="21"/>
      <c r="AR363" s="21"/>
      <c r="AS363" s="21"/>
      <c r="AT363" s="21"/>
      <c r="AU363" s="21"/>
      <c r="AV363" s="21"/>
      <c r="AW363" s="21"/>
      <c r="AX363" s="21"/>
      <c r="AY363" s="21"/>
      <c r="AZ363" s="21"/>
      <c r="BA363" s="21"/>
      <c r="BB363" s="21"/>
      <c r="BF363" s="106" t="str">
        <f t="shared" si="1"/>
        <v>#VALUE!</v>
      </c>
      <c r="BG363" s="21">
        <f t="shared" si="2"/>
        <v>12</v>
      </c>
    </row>
    <row r="364">
      <c r="P364" s="161"/>
      <c r="AI364" s="102"/>
      <c r="AK364" s="105" t="s">
        <v>795</v>
      </c>
      <c r="AL364" s="86" t="s">
        <v>1447</v>
      </c>
      <c r="AO364" s="53" t="s">
        <v>2135</v>
      </c>
      <c r="AP364" s="53" t="s">
        <v>2136</v>
      </c>
      <c r="AQ364" s="21"/>
      <c r="AR364" s="21" t="s">
        <v>2137</v>
      </c>
      <c r="AS364" s="53" t="s">
        <v>2138</v>
      </c>
      <c r="AT364" s="21"/>
      <c r="AU364" s="21"/>
      <c r="AV364" s="21"/>
      <c r="AW364" s="21"/>
      <c r="AX364" s="21"/>
      <c r="AY364" s="21"/>
      <c r="AZ364" s="21"/>
      <c r="BA364" s="21"/>
      <c r="BB364" s="21"/>
      <c r="BF364" s="106" t="str">
        <f t="shared" si="1"/>
        <v>#VALUE!</v>
      </c>
      <c r="BG364" s="21">
        <f t="shared" si="2"/>
        <v>12</v>
      </c>
    </row>
    <row r="365">
      <c r="P365" s="161"/>
      <c r="AI365" s="102"/>
      <c r="AK365" s="105" t="s">
        <v>781</v>
      </c>
      <c r="AO365" s="21" t="s">
        <v>2139</v>
      </c>
      <c r="AP365" s="21"/>
      <c r="AQ365" s="21" t="s">
        <v>2140</v>
      </c>
      <c r="AR365" s="21"/>
      <c r="AS365" s="53" t="s">
        <v>2141</v>
      </c>
      <c r="AT365" s="21" t="s">
        <v>2142</v>
      </c>
      <c r="AU365" s="21"/>
      <c r="AV365" s="21" t="s">
        <v>2143</v>
      </c>
      <c r="AW365" s="21"/>
      <c r="AX365" s="21"/>
      <c r="AY365" s="21"/>
      <c r="AZ365" s="21"/>
      <c r="BA365" s="21"/>
      <c r="BB365" s="21"/>
      <c r="BF365" s="106" t="str">
        <f t="shared" si="1"/>
        <v>#VALUE!</v>
      </c>
      <c r="BG365" s="21">
        <f t="shared" si="2"/>
        <v>12</v>
      </c>
    </row>
    <row r="366">
      <c r="P366" s="161"/>
      <c r="AI366" s="102"/>
      <c r="AK366" s="105" t="s">
        <v>859</v>
      </c>
      <c r="AL366" s="246" t="s">
        <v>2146</v>
      </c>
      <c r="AO366" s="21" t="s">
        <v>2147</v>
      </c>
      <c r="AP366" s="21"/>
      <c r="AQ366" s="21"/>
      <c r="AR366" s="21"/>
      <c r="AS366" s="21"/>
      <c r="AT366" s="20" t="s">
        <v>2148</v>
      </c>
      <c r="AU366" s="21"/>
      <c r="AV366" s="21"/>
      <c r="AW366" s="21"/>
      <c r="AX366" s="21"/>
      <c r="AY366" s="21"/>
      <c r="AZ366" s="21"/>
      <c r="BA366" s="21"/>
      <c r="BB366" s="21"/>
      <c r="BF366" s="106" t="str">
        <f t="shared" si="1"/>
        <v>#VALUE!</v>
      </c>
      <c r="BG366" s="21">
        <f t="shared" si="2"/>
        <v>12</v>
      </c>
    </row>
    <row r="367">
      <c r="P367" s="161"/>
      <c r="AI367" s="102"/>
      <c r="AK367" s="105" t="s">
        <v>2149</v>
      </c>
      <c r="AO367" s="21" t="s">
        <v>2150</v>
      </c>
      <c r="AP367" s="21"/>
      <c r="AQ367" s="21"/>
      <c r="AR367" s="21"/>
      <c r="AS367" s="21"/>
      <c r="AT367" s="21"/>
      <c r="AU367" s="21"/>
      <c r="AV367" s="21"/>
      <c r="AW367" s="21"/>
      <c r="AX367" s="21"/>
      <c r="AY367" s="21"/>
      <c r="AZ367" s="21"/>
      <c r="BA367" s="21"/>
      <c r="BB367" s="21"/>
      <c r="BF367" s="106" t="str">
        <f t="shared" si="1"/>
        <v>#VALUE!</v>
      </c>
      <c r="BG367" s="21">
        <f t="shared" si="2"/>
        <v>12</v>
      </c>
    </row>
    <row r="368">
      <c r="P368" s="161"/>
      <c r="AI368" s="102"/>
      <c r="AK368" s="105" t="s">
        <v>2151</v>
      </c>
      <c r="AL368" s="86" t="s">
        <v>2152</v>
      </c>
      <c r="AO368" s="21" t="s">
        <v>2153</v>
      </c>
      <c r="AP368" s="21" t="s">
        <v>2154</v>
      </c>
      <c r="AQ368" s="21"/>
      <c r="AR368" s="21"/>
      <c r="AS368" s="21"/>
      <c r="AT368" s="21"/>
      <c r="AU368" s="21"/>
      <c r="AV368" s="21"/>
      <c r="AW368" s="21"/>
      <c r="AX368" s="21"/>
      <c r="AY368" s="21"/>
      <c r="AZ368" s="21"/>
      <c r="BA368" s="21"/>
      <c r="BB368" s="21"/>
      <c r="BF368" s="106" t="str">
        <f t="shared" si="1"/>
        <v>#VALUE!</v>
      </c>
      <c r="BG368" s="21">
        <f t="shared" si="2"/>
        <v>12</v>
      </c>
    </row>
    <row r="369">
      <c r="P369" s="161"/>
      <c r="AI369" s="102"/>
      <c r="AK369" s="105" t="s">
        <v>2156</v>
      </c>
      <c r="AL369" s="58"/>
      <c r="AO369" s="53" t="s">
        <v>2158</v>
      </c>
      <c r="AP369" s="21" t="s">
        <v>2159</v>
      </c>
      <c r="AQ369" s="21"/>
      <c r="AR369" s="53" t="s">
        <v>2160</v>
      </c>
      <c r="AS369" s="21" t="s">
        <v>1956</v>
      </c>
      <c r="AT369" s="21"/>
      <c r="AU369" s="21"/>
      <c r="AV369" s="21"/>
      <c r="AW369" s="21"/>
      <c r="AX369" s="21"/>
      <c r="AY369" s="21"/>
      <c r="AZ369" s="21"/>
      <c r="BA369" s="21"/>
      <c r="BB369" s="21"/>
      <c r="BF369" s="106" t="str">
        <f t="shared" si="1"/>
        <v>#VALUE!</v>
      </c>
      <c r="BG369" s="21">
        <f t="shared" si="2"/>
        <v>12</v>
      </c>
    </row>
    <row r="370">
      <c r="P370" s="161"/>
      <c r="AI370" s="102"/>
      <c r="AK370" s="105" t="s">
        <v>778</v>
      </c>
      <c r="AL370" s="86" t="s">
        <v>1447</v>
      </c>
      <c r="AO370" s="53" t="s">
        <v>2161</v>
      </c>
      <c r="AP370" s="53" t="s">
        <v>2162</v>
      </c>
      <c r="AQ370" s="21"/>
      <c r="AR370" s="21"/>
      <c r="AS370" s="21"/>
      <c r="AT370" s="21" t="s">
        <v>2163</v>
      </c>
      <c r="AU370" s="21"/>
      <c r="AV370" s="21"/>
      <c r="AW370" s="21"/>
      <c r="AX370" s="21"/>
      <c r="AY370" s="21"/>
      <c r="AZ370" s="21"/>
      <c r="BA370" s="21"/>
      <c r="BB370" s="21"/>
      <c r="BF370" s="106" t="str">
        <f t="shared" si="1"/>
        <v>#VALUE!</v>
      </c>
      <c r="BG370" s="21">
        <f t="shared" si="2"/>
        <v>12</v>
      </c>
    </row>
    <row r="371">
      <c r="P371" s="161"/>
      <c r="AI371" s="102"/>
      <c r="AK371" s="105" t="s">
        <v>140</v>
      </c>
      <c r="AL371" s="246" t="s">
        <v>2166</v>
      </c>
      <c r="AO371" s="53" t="s">
        <v>2167</v>
      </c>
      <c r="AP371" s="53" t="s">
        <v>2168</v>
      </c>
      <c r="AQ371" s="21"/>
      <c r="AR371" s="53" t="s">
        <v>2169</v>
      </c>
      <c r="AS371" s="21"/>
      <c r="AT371" s="21"/>
      <c r="AU371" s="21"/>
      <c r="AV371" s="21"/>
      <c r="AW371" s="21"/>
      <c r="AX371" s="21"/>
      <c r="AY371" s="21"/>
      <c r="AZ371" s="21"/>
      <c r="BA371" s="21"/>
      <c r="BB371" s="21"/>
      <c r="BF371" s="106" t="str">
        <f t="shared" si="1"/>
        <v>#VALUE!</v>
      </c>
      <c r="BG371" s="21">
        <f t="shared" si="2"/>
        <v>12</v>
      </c>
    </row>
    <row r="372">
      <c r="P372" s="161"/>
      <c r="AI372" s="102"/>
      <c r="AK372" s="105" t="s">
        <v>2170</v>
      </c>
      <c r="AO372" s="53" t="s">
        <v>2171</v>
      </c>
      <c r="AP372" s="21" t="s">
        <v>2172</v>
      </c>
      <c r="AQ372" s="21"/>
      <c r="AR372" s="20" t="s">
        <v>2173</v>
      </c>
      <c r="AS372" s="20" t="s">
        <v>2174</v>
      </c>
      <c r="AT372" s="20" t="s">
        <v>2175</v>
      </c>
      <c r="AU372" s="21"/>
      <c r="AV372" s="21"/>
      <c r="AW372" s="21"/>
      <c r="AX372" s="20" t="s">
        <v>2176</v>
      </c>
      <c r="AY372" s="21"/>
      <c r="AZ372" s="21"/>
      <c r="BA372" s="21"/>
      <c r="BB372" s="21"/>
      <c r="BF372" s="106" t="str">
        <f t="shared" si="1"/>
        <v>#VALUE!</v>
      </c>
      <c r="BG372" s="21">
        <f t="shared" si="2"/>
        <v>12</v>
      </c>
    </row>
    <row r="373">
      <c r="P373" s="161"/>
      <c r="AI373" s="102"/>
      <c r="AK373" s="105" t="s">
        <v>2177</v>
      </c>
      <c r="AL373" s="58"/>
      <c r="AO373" s="21" t="s">
        <v>2195</v>
      </c>
      <c r="AP373" s="53" t="s">
        <v>2196</v>
      </c>
      <c r="AQ373" s="21"/>
      <c r="AR373" s="21"/>
      <c r="AS373" s="21"/>
      <c r="AT373" s="21"/>
      <c r="AU373" s="21"/>
      <c r="AV373" s="21"/>
      <c r="AW373" s="21"/>
      <c r="AX373" s="21"/>
      <c r="AY373" s="21"/>
      <c r="AZ373" s="21"/>
      <c r="BA373" s="21"/>
      <c r="BB373" s="21"/>
      <c r="BF373" s="106" t="str">
        <f t="shared" si="1"/>
        <v>#VALUE!</v>
      </c>
      <c r="BG373" s="21">
        <f t="shared" si="2"/>
        <v>12</v>
      </c>
    </row>
    <row r="374">
      <c r="P374" s="161"/>
      <c r="AI374" s="102"/>
      <c r="AK374" s="105" t="s">
        <v>2205</v>
      </c>
      <c r="AL374" s="58"/>
      <c r="AO374" s="53" t="s">
        <v>2212</v>
      </c>
      <c r="AP374" s="21" t="s">
        <v>2213</v>
      </c>
      <c r="AQ374" s="21"/>
      <c r="AR374" s="21"/>
      <c r="AS374" s="21"/>
      <c r="AT374" s="21"/>
      <c r="AU374" s="21"/>
      <c r="AV374" s="21"/>
      <c r="AW374" s="21"/>
      <c r="AX374" s="21"/>
      <c r="AY374" s="21"/>
      <c r="AZ374" s="21"/>
      <c r="BA374" s="21"/>
      <c r="BB374" s="21"/>
      <c r="BF374" s="106" t="str">
        <f t="shared" si="1"/>
        <v>#VALUE!</v>
      </c>
      <c r="BG374" s="21">
        <f t="shared" si="2"/>
        <v>12</v>
      </c>
    </row>
    <row r="375">
      <c r="P375" s="161"/>
      <c r="AI375" s="102"/>
      <c r="AK375" s="105" t="s">
        <v>2214</v>
      </c>
      <c r="AO375" s="53" t="s">
        <v>2215</v>
      </c>
      <c r="AP375" s="21"/>
      <c r="AQ375" s="21"/>
      <c r="AR375" s="21"/>
      <c r="AS375" s="21"/>
      <c r="AT375" s="21"/>
      <c r="AU375" s="21"/>
      <c r="AV375" s="21"/>
      <c r="AW375" s="21"/>
      <c r="AX375" s="21"/>
      <c r="AY375" s="21"/>
      <c r="AZ375" s="21"/>
      <c r="BA375" s="21"/>
      <c r="BB375" s="21"/>
      <c r="BF375" s="106" t="str">
        <f t="shared" si="1"/>
        <v>#VALUE!</v>
      </c>
      <c r="BG375" s="21">
        <f t="shared" si="2"/>
        <v>12</v>
      </c>
    </row>
    <row r="376">
      <c r="P376" s="161"/>
      <c r="AI376" s="102"/>
      <c r="AK376" s="105" t="s">
        <v>2216</v>
      </c>
      <c r="AL376" s="58"/>
      <c r="AO376" s="53" t="s">
        <v>2217</v>
      </c>
      <c r="AP376" s="21" t="s">
        <v>2218</v>
      </c>
      <c r="AQ376" s="21" t="s">
        <v>2219</v>
      </c>
      <c r="AR376" s="21"/>
      <c r="AS376" s="21"/>
      <c r="AT376" s="21"/>
      <c r="AU376" s="21"/>
      <c r="AV376" s="21"/>
      <c r="AW376" s="21"/>
      <c r="AX376" s="21"/>
      <c r="AY376" s="21"/>
      <c r="AZ376" s="21"/>
      <c r="BA376" s="21"/>
      <c r="BB376" s="21"/>
      <c r="BF376" s="106" t="str">
        <f t="shared" si="1"/>
        <v>#VALUE!</v>
      </c>
      <c r="BG376" s="21">
        <f t="shared" si="2"/>
        <v>12</v>
      </c>
    </row>
    <row r="377">
      <c r="P377" s="161"/>
      <c r="AI377" s="102"/>
      <c r="AK377" s="105" t="s">
        <v>775</v>
      </c>
      <c r="AL377" s="86" t="s">
        <v>1447</v>
      </c>
      <c r="AO377" s="21" t="s">
        <v>2220</v>
      </c>
      <c r="AP377" s="21" t="s">
        <v>2221</v>
      </c>
      <c r="AQ377" s="21"/>
      <c r="AR377" s="21" t="s">
        <v>2222</v>
      </c>
      <c r="AS377" s="21"/>
      <c r="AT377" s="21"/>
      <c r="AU377" s="21"/>
      <c r="AV377" s="21"/>
      <c r="AW377" s="21"/>
      <c r="AX377" s="21"/>
      <c r="AY377" s="21"/>
      <c r="AZ377" s="21"/>
      <c r="BA377" s="21"/>
      <c r="BB377" s="21"/>
      <c r="BF377" s="106" t="str">
        <f t="shared" si="1"/>
        <v>#VALUE!</v>
      </c>
      <c r="BG377" s="21">
        <f t="shared" si="2"/>
        <v>12</v>
      </c>
    </row>
    <row r="378">
      <c r="P378" s="161"/>
      <c r="AI378" s="102"/>
      <c r="AK378" s="105" t="s">
        <v>2223</v>
      </c>
      <c r="AO378" s="53" t="s">
        <v>2226</v>
      </c>
      <c r="AP378" s="21" t="s">
        <v>2227</v>
      </c>
      <c r="AQ378" s="21"/>
      <c r="AR378" s="21" t="s">
        <v>2228</v>
      </c>
      <c r="AS378" s="21"/>
      <c r="AT378" s="21"/>
      <c r="AU378" s="21"/>
      <c r="AV378" s="21"/>
      <c r="AW378" s="21"/>
      <c r="AX378" s="21"/>
      <c r="AY378" s="21"/>
      <c r="AZ378" s="21"/>
      <c r="BA378" s="21"/>
      <c r="BB378" s="21"/>
      <c r="BF378" s="106" t="str">
        <f t="shared" si="1"/>
        <v>#VALUE!</v>
      </c>
      <c r="BG378" s="21">
        <f t="shared" si="2"/>
        <v>12</v>
      </c>
    </row>
    <row r="379">
      <c r="P379" s="161"/>
      <c r="AI379" s="102"/>
      <c r="AK379" s="105" t="s">
        <v>769</v>
      </c>
      <c r="AL379" s="86" t="s">
        <v>1447</v>
      </c>
      <c r="AO379" s="21" t="s">
        <v>2229</v>
      </c>
      <c r="AP379" s="21" t="s">
        <v>2230</v>
      </c>
      <c r="AQ379" s="21"/>
      <c r="AR379" s="21"/>
      <c r="AS379" s="21" t="s">
        <v>2015</v>
      </c>
      <c r="AT379" s="21"/>
      <c r="AU379" s="21"/>
      <c r="AV379" s="21"/>
      <c r="AW379" s="21"/>
      <c r="AX379" s="21"/>
      <c r="AY379" s="21"/>
      <c r="AZ379" s="21"/>
      <c r="BA379" s="21"/>
      <c r="BB379" s="21"/>
      <c r="BF379" s="106" t="str">
        <f t="shared" si="1"/>
        <v>#VALUE!</v>
      </c>
      <c r="BG379" s="21">
        <f t="shared" si="2"/>
        <v>12</v>
      </c>
    </row>
    <row r="380">
      <c r="P380" s="161"/>
      <c r="AI380" s="102"/>
      <c r="AK380" s="105" t="s">
        <v>2231</v>
      </c>
      <c r="AL380" s="58"/>
      <c r="AO380" s="21" t="s">
        <v>2232</v>
      </c>
      <c r="AP380" s="21" t="s">
        <v>2233</v>
      </c>
      <c r="AQ380" s="53" t="s">
        <v>2234</v>
      </c>
      <c r="AR380" s="21"/>
      <c r="AS380" s="21" t="s">
        <v>2235</v>
      </c>
      <c r="AT380" s="21"/>
      <c r="AU380" s="21"/>
      <c r="AV380" s="21"/>
      <c r="AW380" s="21"/>
      <c r="AX380" s="21"/>
      <c r="AY380" s="21"/>
      <c r="AZ380" s="21"/>
      <c r="BA380" s="21"/>
      <c r="BB380" s="21"/>
      <c r="BF380" s="106" t="str">
        <f t="shared" si="1"/>
        <v>#VALUE!</v>
      </c>
      <c r="BG380" s="21">
        <f t="shared" si="2"/>
        <v>12</v>
      </c>
    </row>
    <row r="381">
      <c r="P381" s="161"/>
      <c r="AI381" s="102"/>
      <c r="AK381" s="105" t="s">
        <v>2237</v>
      </c>
      <c r="AO381" s="53" t="s">
        <v>2238</v>
      </c>
      <c r="AP381" s="21"/>
      <c r="AQ381" s="21"/>
      <c r="AR381" s="21"/>
      <c r="AS381" s="21"/>
      <c r="AT381" s="21"/>
      <c r="AU381" s="21"/>
      <c r="AV381" s="21"/>
      <c r="AW381" s="21"/>
      <c r="AX381" s="21"/>
      <c r="AY381" s="21"/>
      <c r="AZ381" s="21"/>
      <c r="BA381" s="21"/>
      <c r="BB381" s="21"/>
      <c r="BF381" s="106" t="str">
        <f t="shared" si="1"/>
        <v>#VALUE!</v>
      </c>
      <c r="BG381" s="21">
        <f t="shared" si="2"/>
        <v>12</v>
      </c>
    </row>
    <row r="382">
      <c r="P382" s="161"/>
      <c r="AI382" s="102"/>
      <c r="AK382" s="105" t="s">
        <v>1008</v>
      </c>
      <c r="AL382" s="86" t="s">
        <v>2239</v>
      </c>
      <c r="AO382" s="53" t="s">
        <v>2240</v>
      </c>
      <c r="AP382" s="21"/>
      <c r="AQ382" s="21"/>
      <c r="AR382" s="20" t="s">
        <v>2241</v>
      </c>
      <c r="AS382" s="21"/>
      <c r="AT382" s="21"/>
      <c r="AU382" s="21"/>
      <c r="AV382" s="21"/>
      <c r="AW382" s="21"/>
      <c r="AX382" s="21"/>
      <c r="AY382" s="21"/>
      <c r="AZ382" s="21"/>
      <c r="BA382" s="21"/>
      <c r="BB382" s="21"/>
      <c r="BF382" s="106" t="str">
        <f t="shared" si="1"/>
        <v>#VALUE!</v>
      </c>
      <c r="BG382" s="21">
        <f t="shared" si="2"/>
        <v>12</v>
      </c>
    </row>
    <row r="383">
      <c r="P383" s="161"/>
      <c r="AI383" s="102"/>
      <c r="AK383" s="105" t="s">
        <v>2242</v>
      </c>
      <c r="AO383" s="21" t="s">
        <v>2243</v>
      </c>
      <c r="AP383" s="21" t="s">
        <v>2244</v>
      </c>
      <c r="AQ383" s="21"/>
      <c r="AR383" s="21"/>
      <c r="AS383" s="21"/>
      <c r="AT383" s="21"/>
      <c r="AU383" s="21"/>
      <c r="AV383" s="21"/>
      <c r="AW383" s="21"/>
      <c r="AX383" s="21"/>
      <c r="AY383" s="21"/>
      <c r="AZ383" s="21"/>
      <c r="BA383" s="21"/>
      <c r="BB383" s="21"/>
      <c r="BF383" s="106" t="str">
        <f t="shared" si="1"/>
        <v>#VALUE!</v>
      </c>
      <c r="BG383" s="21">
        <f t="shared" si="2"/>
        <v>12</v>
      </c>
    </row>
    <row r="384">
      <c r="P384" s="161"/>
      <c r="AI384" s="102"/>
      <c r="AK384" s="105" t="s">
        <v>2245</v>
      </c>
      <c r="AO384" s="53" t="s">
        <v>2249</v>
      </c>
      <c r="AP384" s="21"/>
      <c r="AQ384" s="21"/>
      <c r="AR384" s="21"/>
      <c r="AS384" s="21"/>
      <c r="AT384" s="21"/>
      <c r="AU384" s="21"/>
      <c r="AV384" s="21"/>
      <c r="AW384" s="21"/>
      <c r="AX384" s="21"/>
      <c r="AY384" s="21"/>
      <c r="AZ384" s="21"/>
      <c r="BA384" s="21"/>
      <c r="BB384" s="21"/>
      <c r="BF384" s="106" t="str">
        <f t="shared" si="1"/>
        <v>#VALUE!</v>
      </c>
      <c r="BG384" s="21">
        <f t="shared" si="2"/>
        <v>12</v>
      </c>
    </row>
    <row r="385">
      <c r="P385" s="161"/>
      <c r="AI385" s="102"/>
      <c r="AK385" s="105" t="s">
        <v>863</v>
      </c>
      <c r="AO385" s="20" t="s">
        <v>2257</v>
      </c>
      <c r="AP385" s="21" t="s">
        <v>1622</v>
      </c>
      <c r="AQ385" s="21"/>
      <c r="AR385" s="21"/>
      <c r="AS385" s="21"/>
      <c r="AT385" s="21"/>
      <c r="AU385" s="21"/>
      <c r="AV385" s="21"/>
      <c r="AW385" s="21"/>
      <c r="AX385" s="21"/>
      <c r="AY385" s="21"/>
      <c r="AZ385" s="21"/>
      <c r="BA385" s="21"/>
      <c r="BB385" s="21"/>
      <c r="BF385" s="106" t="str">
        <f t="shared" si="1"/>
        <v>#VALUE!</v>
      </c>
      <c r="BG385" s="21">
        <f t="shared" si="2"/>
        <v>12</v>
      </c>
    </row>
    <row r="386">
      <c r="P386" s="161"/>
      <c r="AI386" s="102"/>
      <c r="AK386" s="105" t="s">
        <v>867</v>
      </c>
      <c r="AL386" s="58"/>
      <c r="AO386" s="21" t="s">
        <v>2261</v>
      </c>
      <c r="AP386" s="53" t="s">
        <v>2262</v>
      </c>
      <c r="AQ386" s="139" t="s">
        <v>2263</v>
      </c>
      <c r="AR386" s="21"/>
      <c r="AS386" s="21"/>
      <c r="AT386" s="21"/>
      <c r="AU386" s="21"/>
      <c r="AV386" s="21"/>
      <c r="AW386" s="21"/>
      <c r="AX386" s="21"/>
      <c r="AY386" s="21"/>
      <c r="AZ386" s="21"/>
      <c r="BA386" s="21"/>
      <c r="BB386" s="21"/>
      <c r="BF386" s="106" t="str">
        <f t="shared" si="1"/>
        <v>#VALUE!</v>
      </c>
      <c r="BG386" s="21">
        <f t="shared" si="2"/>
        <v>12</v>
      </c>
    </row>
    <row r="387">
      <c r="P387" s="161"/>
      <c r="AI387" s="102"/>
      <c r="AK387" s="105" t="s">
        <v>765</v>
      </c>
      <c r="AO387" s="21" t="s">
        <v>2276</v>
      </c>
      <c r="AP387" s="21" t="s">
        <v>2277</v>
      </c>
      <c r="AQ387" s="21"/>
      <c r="AR387" s="21" t="s">
        <v>2279</v>
      </c>
      <c r="AS387" s="21" t="s">
        <v>2281</v>
      </c>
      <c r="AT387" s="21" t="s">
        <v>2283</v>
      </c>
      <c r="AU387" s="21"/>
      <c r="AV387" s="21"/>
      <c r="AW387" s="21"/>
      <c r="AX387" s="21"/>
      <c r="AY387" s="21"/>
      <c r="AZ387" s="21"/>
      <c r="BA387" s="21"/>
      <c r="BB387" s="21"/>
      <c r="BF387" s="106" t="str">
        <f t="shared" si="1"/>
        <v>#VALUE!</v>
      </c>
      <c r="BG387" s="21">
        <f t="shared" si="2"/>
        <v>12</v>
      </c>
    </row>
    <row r="388">
      <c r="P388" s="161"/>
      <c r="AI388" s="102"/>
      <c r="AK388" s="105" t="s">
        <v>2286</v>
      </c>
      <c r="AO388" s="53" t="s">
        <v>2291</v>
      </c>
      <c r="AP388" s="21"/>
      <c r="AQ388" s="21"/>
      <c r="AR388" s="21"/>
      <c r="AS388" s="21"/>
      <c r="AT388" s="21"/>
      <c r="AU388" s="21"/>
      <c r="AV388" s="21"/>
      <c r="AW388" s="21"/>
      <c r="AX388" s="21"/>
      <c r="AY388" s="21"/>
      <c r="AZ388" s="21"/>
      <c r="BA388" s="21"/>
      <c r="BB388" s="21"/>
      <c r="BF388" s="106" t="str">
        <f t="shared" si="1"/>
        <v>#VALUE!</v>
      </c>
      <c r="BG388" s="21">
        <f t="shared" si="2"/>
        <v>12</v>
      </c>
    </row>
    <row r="389">
      <c r="P389" s="161"/>
      <c r="AI389" s="102"/>
      <c r="AK389" s="105" t="s">
        <v>2293</v>
      </c>
      <c r="AO389" s="53" t="s">
        <v>2302</v>
      </c>
      <c r="AP389" s="21" t="s">
        <v>1731</v>
      </c>
      <c r="AQ389" s="21"/>
      <c r="AR389" s="21"/>
      <c r="AS389" s="21"/>
      <c r="AT389" s="21"/>
      <c r="AU389" s="21"/>
      <c r="AV389" s="21"/>
      <c r="AW389" s="21"/>
      <c r="AX389" s="21"/>
      <c r="AY389" s="21"/>
      <c r="AZ389" s="21"/>
      <c r="BA389" s="21"/>
      <c r="BB389" s="21"/>
      <c r="BF389" s="106" t="str">
        <f t="shared" si="1"/>
        <v>#VALUE!</v>
      </c>
      <c r="BG389" s="21">
        <f t="shared" si="2"/>
        <v>12</v>
      </c>
    </row>
    <row r="390">
      <c r="P390" s="161"/>
      <c r="AI390" s="102"/>
      <c r="AK390" s="105" t="s">
        <v>2304</v>
      </c>
      <c r="AO390" s="53" t="s">
        <v>2305</v>
      </c>
      <c r="AP390" s="21" t="s">
        <v>1731</v>
      </c>
      <c r="AQ390" s="21"/>
      <c r="AR390" s="21"/>
      <c r="AS390" s="21"/>
      <c r="AT390" s="21"/>
      <c r="AU390" s="21"/>
      <c r="AV390" s="21"/>
      <c r="AW390" s="21"/>
      <c r="AX390" s="21"/>
      <c r="AY390" s="21"/>
      <c r="AZ390" s="21"/>
      <c r="BA390" s="21"/>
      <c r="BB390" s="21"/>
      <c r="BF390" s="106" t="str">
        <f t="shared" si="1"/>
        <v>#VALUE!</v>
      </c>
      <c r="BG390" s="21">
        <f t="shared" si="2"/>
        <v>12</v>
      </c>
    </row>
    <row r="391">
      <c r="P391" s="161"/>
      <c r="AI391" s="102"/>
      <c r="AK391" s="105" t="s">
        <v>2216</v>
      </c>
      <c r="AO391" s="21" t="s">
        <v>2306</v>
      </c>
      <c r="AP391" s="21"/>
      <c r="AQ391" s="53" t="s">
        <v>2307</v>
      </c>
      <c r="AR391" s="21"/>
      <c r="AS391" s="21" t="s">
        <v>2015</v>
      </c>
      <c r="AT391" s="21"/>
      <c r="AU391" s="21"/>
      <c r="AV391" s="21"/>
      <c r="AW391" s="21"/>
      <c r="AX391" s="21"/>
      <c r="AY391" s="21"/>
      <c r="AZ391" s="21"/>
      <c r="BA391" s="21"/>
      <c r="BB391" s="21"/>
      <c r="BF391" s="106" t="str">
        <f t="shared" si="1"/>
        <v>#VALUE!</v>
      </c>
      <c r="BG391" s="21">
        <f t="shared" si="2"/>
        <v>12</v>
      </c>
    </row>
    <row r="392">
      <c r="P392" s="161"/>
      <c r="AI392" s="102"/>
      <c r="AK392" s="105" t="s">
        <v>2309</v>
      </c>
      <c r="AL392" s="86" t="s">
        <v>1447</v>
      </c>
      <c r="AO392" s="21" t="s">
        <v>2312</v>
      </c>
      <c r="AP392" s="20" t="s">
        <v>2313</v>
      </c>
      <c r="AQ392" s="21" t="s">
        <v>1731</v>
      </c>
      <c r="AR392" s="21"/>
      <c r="AS392" s="21"/>
      <c r="AT392" s="21"/>
      <c r="AU392" s="21"/>
      <c r="AV392" s="21"/>
      <c r="AW392" s="21"/>
      <c r="AX392" s="21"/>
      <c r="AY392" s="21"/>
      <c r="AZ392" s="21"/>
      <c r="BA392" s="21"/>
      <c r="BB392" s="21"/>
      <c r="BF392" s="106" t="str">
        <f t="shared" si="1"/>
        <v>#VALUE!</v>
      </c>
      <c r="BG392" s="21">
        <f t="shared" si="2"/>
        <v>12</v>
      </c>
    </row>
    <row r="393">
      <c r="P393" s="161"/>
      <c r="AI393" s="102"/>
      <c r="AK393" s="105" t="s">
        <v>2314</v>
      </c>
      <c r="AL393" s="86" t="s">
        <v>2315</v>
      </c>
      <c r="AO393" s="21" t="s">
        <v>2316</v>
      </c>
      <c r="AP393" s="21"/>
      <c r="AQ393" s="21" t="s">
        <v>2318</v>
      </c>
      <c r="AR393" s="21" t="s">
        <v>2319</v>
      </c>
      <c r="AS393" s="21"/>
      <c r="AT393" s="21"/>
      <c r="AU393" s="21"/>
      <c r="AV393" s="21"/>
      <c r="AW393" s="21"/>
      <c r="AX393" s="21"/>
      <c r="AY393" s="21"/>
      <c r="AZ393" s="21"/>
      <c r="BA393" s="21"/>
      <c r="BB393" s="21"/>
      <c r="BF393" s="106" t="str">
        <f t="shared" si="1"/>
        <v>#VALUE!</v>
      </c>
      <c r="BG393" s="21">
        <f t="shared" si="2"/>
        <v>12</v>
      </c>
    </row>
    <row r="394">
      <c r="P394" s="161"/>
      <c r="AI394" s="102"/>
      <c r="AK394" s="105" t="s">
        <v>2322</v>
      </c>
      <c r="AO394" s="21" t="s">
        <v>2323</v>
      </c>
      <c r="AP394" s="21" t="s">
        <v>2324</v>
      </c>
      <c r="AQ394" s="21" t="s">
        <v>2325</v>
      </c>
      <c r="AR394" s="21" t="s">
        <v>2053</v>
      </c>
      <c r="AS394" s="21"/>
      <c r="AT394" s="21"/>
      <c r="AU394" s="21"/>
      <c r="AV394" s="21"/>
      <c r="AW394" s="21"/>
      <c r="AX394" s="21"/>
      <c r="AY394" s="21"/>
      <c r="AZ394" s="21"/>
      <c r="BA394" s="21"/>
      <c r="BB394" s="21"/>
      <c r="BF394" s="106" t="str">
        <f t="shared" si="1"/>
        <v>#VALUE!</v>
      </c>
      <c r="BG394" s="21">
        <f t="shared" si="2"/>
        <v>12</v>
      </c>
    </row>
    <row r="395">
      <c r="P395" s="161"/>
      <c r="AI395" s="102"/>
      <c r="AK395" s="105" t="s">
        <v>2326</v>
      </c>
      <c r="AO395" s="21" t="s">
        <v>2328</v>
      </c>
      <c r="AP395" s="53" t="s">
        <v>2329</v>
      </c>
      <c r="AQ395" s="21" t="s">
        <v>2330</v>
      </c>
      <c r="AR395" s="21"/>
      <c r="AS395" s="21"/>
      <c r="AT395" s="21"/>
      <c r="AU395" s="21"/>
      <c r="AV395" s="21"/>
      <c r="AW395" s="21"/>
      <c r="AX395" s="21"/>
      <c r="AY395" s="21"/>
      <c r="AZ395" s="21"/>
      <c r="BA395" s="21"/>
      <c r="BB395" s="21"/>
      <c r="BF395" s="106" t="str">
        <f t="shared" si="1"/>
        <v>#VALUE!</v>
      </c>
      <c r="BG395" s="21">
        <f t="shared" si="2"/>
        <v>12</v>
      </c>
    </row>
    <row r="396">
      <c r="P396" s="161"/>
      <c r="AI396" s="102"/>
      <c r="AK396" s="105" t="s">
        <v>869</v>
      </c>
      <c r="AO396" s="21" t="s">
        <v>2333</v>
      </c>
      <c r="AP396" s="21" t="s">
        <v>1778</v>
      </c>
      <c r="AQ396" s="21"/>
      <c r="AR396" s="21"/>
      <c r="AS396" s="20" t="s">
        <v>2334</v>
      </c>
      <c r="AT396" s="21"/>
      <c r="AU396" s="21"/>
      <c r="AV396" s="21"/>
      <c r="AW396" s="21"/>
      <c r="AX396" s="21"/>
      <c r="AY396" s="21"/>
      <c r="AZ396" s="21"/>
      <c r="BA396" s="21"/>
      <c r="BB396" s="21"/>
      <c r="BF396" s="106" t="str">
        <f t="shared" si="1"/>
        <v>#VALUE!</v>
      </c>
      <c r="BG396" s="21">
        <f t="shared" si="2"/>
        <v>12</v>
      </c>
    </row>
    <row r="397">
      <c r="P397" s="161"/>
      <c r="AI397" s="102"/>
      <c r="AK397" s="105" t="s">
        <v>2335</v>
      </c>
      <c r="AO397" s="21" t="s">
        <v>2336</v>
      </c>
      <c r="AP397" s="21"/>
      <c r="AQ397" s="21"/>
      <c r="AR397" s="21"/>
      <c r="AS397" s="21"/>
      <c r="AT397" s="21"/>
      <c r="AU397" s="21"/>
      <c r="AV397" s="21"/>
      <c r="AW397" s="21"/>
      <c r="AX397" s="21"/>
      <c r="AY397" s="21"/>
      <c r="AZ397" s="21"/>
      <c r="BA397" s="21"/>
      <c r="BB397" s="21"/>
      <c r="BF397" s="106" t="str">
        <f t="shared" si="1"/>
        <v>#VALUE!</v>
      </c>
      <c r="BG397" s="21">
        <f t="shared" si="2"/>
        <v>12</v>
      </c>
    </row>
    <row r="398">
      <c r="P398" s="161"/>
      <c r="AI398" s="102"/>
      <c r="AK398" s="105" t="s">
        <v>942</v>
      </c>
      <c r="AO398" s="53" t="s">
        <v>2337</v>
      </c>
      <c r="AP398" s="53" t="s">
        <v>2338</v>
      </c>
      <c r="AQ398" s="21" t="s">
        <v>2339</v>
      </c>
      <c r="AR398" s="21"/>
      <c r="AS398" s="21"/>
      <c r="AT398" s="21"/>
      <c r="AU398" s="20" t="s">
        <v>1792</v>
      </c>
      <c r="AV398" s="21"/>
      <c r="AW398" s="21"/>
      <c r="AX398" s="21"/>
      <c r="AY398" s="20" t="s">
        <v>2342</v>
      </c>
      <c r="AZ398" s="21"/>
      <c r="BA398" s="21"/>
      <c r="BB398" s="21"/>
      <c r="BF398" s="106" t="str">
        <f t="shared" si="1"/>
        <v>#VALUE!</v>
      </c>
      <c r="BG398" s="21">
        <f t="shared" si="2"/>
        <v>12</v>
      </c>
    </row>
    <row r="399">
      <c r="P399" s="161"/>
      <c r="AI399" s="102"/>
      <c r="AK399" s="105" t="s">
        <v>2344</v>
      </c>
      <c r="AO399" s="21"/>
      <c r="AP399" s="21"/>
      <c r="AQ399" s="21"/>
      <c r="AR399" s="21"/>
      <c r="AS399" s="21"/>
      <c r="AT399" s="21"/>
      <c r="AU399" s="21"/>
      <c r="AV399" s="21"/>
      <c r="AW399" s="21"/>
      <c r="AX399" s="21"/>
      <c r="AY399" s="21"/>
      <c r="AZ399" s="21"/>
      <c r="BA399" s="21"/>
      <c r="BB399" s="21"/>
      <c r="BF399" s="106" t="str">
        <f t="shared" si="1"/>
        <v>#VALUE!</v>
      </c>
      <c r="BG399" s="21">
        <f t="shared" si="2"/>
        <v>12</v>
      </c>
    </row>
    <row r="400">
      <c r="P400" s="161"/>
      <c r="AI400" s="102"/>
      <c r="AK400" s="105" t="s">
        <v>2346</v>
      </c>
      <c r="AO400" s="21" t="s">
        <v>2347</v>
      </c>
      <c r="AP400" s="21" t="s">
        <v>1731</v>
      </c>
      <c r="AQ400" s="21"/>
      <c r="AR400" s="21"/>
      <c r="AS400" s="21"/>
      <c r="AT400" s="21"/>
      <c r="AU400" s="21"/>
      <c r="AV400" s="21"/>
      <c r="AW400" s="21"/>
      <c r="AX400" s="21"/>
      <c r="AY400" s="21"/>
      <c r="AZ400" s="21"/>
      <c r="BA400" s="21"/>
      <c r="BB400" s="21"/>
      <c r="BF400" s="106" t="str">
        <f t="shared" si="1"/>
        <v>#VALUE!</v>
      </c>
      <c r="BG400" s="21">
        <f t="shared" si="2"/>
        <v>12</v>
      </c>
    </row>
    <row r="401">
      <c r="P401" s="161"/>
      <c r="AI401" s="102"/>
      <c r="AK401" s="105" t="s">
        <v>759</v>
      </c>
      <c r="AL401" s="86" t="s">
        <v>1447</v>
      </c>
      <c r="AO401" s="53" t="s">
        <v>2348</v>
      </c>
      <c r="AP401" s="21"/>
      <c r="AQ401" s="21" t="s">
        <v>2349</v>
      </c>
      <c r="AR401" s="21"/>
      <c r="AS401" s="20" t="s">
        <v>2148</v>
      </c>
      <c r="AT401" s="20" t="s">
        <v>2108</v>
      </c>
      <c r="AU401" s="21"/>
      <c r="AV401" s="21"/>
      <c r="AW401" s="21"/>
      <c r="AX401" s="21"/>
      <c r="AY401" s="21"/>
      <c r="AZ401" s="21"/>
      <c r="BA401" s="21"/>
      <c r="BB401" s="21"/>
      <c r="BF401" s="106" t="str">
        <f t="shared" si="1"/>
        <v>#VALUE!</v>
      </c>
      <c r="BG401" s="21">
        <f t="shared" si="2"/>
        <v>12</v>
      </c>
    </row>
    <row r="402">
      <c r="P402" s="369"/>
      <c r="AI402" s="102"/>
      <c r="AK402" s="105" t="s">
        <v>2351</v>
      </c>
      <c r="AL402" s="58"/>
      <c r="AO402" s="53" t="s">
        <v>2352</v>
      </c>
      <c r="AP402" s="21" t="s">
        <v>2353</v>
      </c>
      <c r="AQ402" s="53" t="s">
        <v>2354</v>
      </c>
      <c r="AR402" s="20" t="s">
        <v>2356</v>
      </c>
      <c r="AS402" s="21"/>
      <c r="AT402" s="21"/>
      <c r="AU402" s="21"/>
      <c r="AV402" s="21"/>
      <c r="AW402" s="21"/>
      <c r="AX402" s="21"/>
      <c r="AY402" s="21"/>
      <c r="AZ402" s="21"/>
      <c r="BA402" s="21"/>
      <c r="BB402" s="21"/>
      <c r="BF402" s="106" t="str">
        <f t="shared" si="1"/>
        <v>#VALUE!</v>
      </c>
      <c r="BG402" s="21">
        <f t="shared" si="2"/>
        <v>12</v>
      </c>
    </row>
    <row r="403">
      <c r="P403" s="161"/>
      <c r="AI403" s="102"/>
      <c r="AK403" s="105" t="s">
        <v>872</v>
      </c>
      <c r="AO403" s="21" t="s">
        <v>2358</v>
      </c>
      <c r="AP403" s="21" t="s">
        <v>2359</v>
      </c>
      <c r="AQ403" s="21" t="s">
        <v>2053</v>
      </c>
      <c r="AR403" s="21"/>
      <c r="AS403" s="21"/>
      <c r="AT403" s="21"/>
      <c r="AU403" s="21"/>
      <c r="AV403" s="21"/>
      <c r="AW403" s="21"/>
      <c r="AX403" s="21"/>
      <c r="AY403" s="139" t="s">
        <v>2360</v>
      </c>
      <c r="AZ403" s="21"/>
      <c r="BA403" s="21"/>
      <c r="BB403" s="21"/>
      <c r="BF403" s="106" t="str">
        <f t="shared" si="1"/>
        <v>#VALUE!</v>
      </c>
      <c r="BG403" s="21">
        <f t="shared" si="2"/>
        <v>12</v>
      </c>
    </row>
    <row r="404">
      <c r="P404" s="161"/>
      <c r="AI404" s="102"/>
      <c r="AK404" s="105" t="s">
        <v>877</v>
      </c>
      <c r="AO404" s="21" t="s">
        <v>2363</v>
      </c>
      <c r="AP404" s="21" t="s">
        <v>2364</v>
      </c>
      <c r="AQ404" s="21" t="s">
        <v>2365</v>
      </c>
      <c r="AR404" s="21"/>
      <c r="AS404" s="20" t="s">
        <v>2366</v>
      </c>
      <c r="AT404" s="21"/>
      <c r="AU404" s="21"/>
      <c r="AV404" s="21"/>
      <c r="AW404" s="139" t="s">
        <v>2367</v>
      </c>
      <c r="AX404" s="21"/>
      <c r="AY404" s="20" t="s">
        <v>2368</v>
      </c>
      <c r="AZ404" s="21"/>
      <c r="BA404" s="21"/>
      <c r="BB404" s="21"/>
      <c r="BF404" s="106" t="str">
        <f t="shared" si="1"/>
        <v>#VALUE!</v>
      </c>
      <c r="BG404" s="21">
        <f t="shared" si="2"/>
        <v>12</v>
      </c>
    </row>
    <row r="405">
      <c r="P405" s="161"/>
      <c r="AI405" s="102"/>
      <c r="AK405" s="105" t="s">
        <v>828</v>
      </c>
      <c r="AL405" s="86" t="s">
        <v>1447</v>
      </c>
      <c r="AO405" s="53" t="s">
        <v>2369</v>
      </c>
      <c r="AP405" s="21"/>
      <c r="AQ405" s="21" t="s">
        <v>2370</v>
      </c>
      <c r="AR405" s="21"/>
      <c r="AS405" s="21"/>
      <c r="AT405" s="21"/>
      <c r="AU405" s="21"/>
      <c r="AV405" s="21"/>
      <c r="AW405" s="21"/>
      <c r="AX405" s="21"/>
      <c r="AY405" s="21"/>
      <c r="AZ405" s="21"/>
      <c r="BA405" s="21"/>
      <c r="BB405" s="21"/>
      <c r="BF405" s="106" t="str">
        <f t="shared" si="1"/>
        <v>#VALUE!</v>
      </c>
      <c r="BG405" s="21">
        <f t="shared" si="2"/>
        <v>12</v>
      </c>
    </row>
    <row r="406">
      <c r="P406" s="161"/>
      <c r="AI406" s="102"/>
      <c r="AK406" s="105" t="s">
        <v>2371</v>
      </c>
      <c r="AO406" s="53" t="s">
        <v>2372</v>
      </c>
      <c r="AP406" s="21"/>
      <c r="AQ406" s="21"/>
      <c r="AR406" s="21"/>
      <c r="AS406" s="21"/>
      <c r="AT406" s="21"/>
      <c r="AU406" s="21"/>
      <c r="AV406" s="21"/>
      <c r="AW406" s="21"/>
      <c r="AX406" s="21"/>
      <c r="AY406" s="21"/>
      <c r="AZ406" s="21"/>
      <c r="BA406" s="21"/>
      <c r="BB406" s="21"/>
      <c r="BF406" s="106" t="str">
        <f t="shared" si="1"/>
        <v>#VALUE!</v>
      </c>
      <c r="BG406" s="21">
        <f t="shared" si="2"/>
        <v>12</v>
      </c>
    </row>
    <row r="407">
      <c r="P407" s="161"/>
      <c r="AI407" s="102"/>
      <c r="AK407" s="105" t="s">
        <v>882</v>
      </c>
      <c r="AO407" s="21" t="s">
        <v>2375</v>
      </c>
      <c r="AP407" s="21"/>
      <c r="AQ407" s="21"/>
      <c r="AR407" s="21"/>
      <c r="AS407" s="21"/>
      <c r="AT407" s="21"/>
      <c r="AU407" s="21"/>
      <c r="AV407" s="21"/>
      <c r="AW407" s="21"/>
      <c r="AX407" s="21"/>
      <c r="AY407" s="21"/>
      <c r="AZ407" s="21"/>
      <c r="BA407" s="21"/>
      <c r="BB407" s="21"/>
      <c r="BF407" s="106" t="str">
        <f t="shared" si="1"/>
        <v>#VALUE!</v>
      </c>
      <c r="BG407" s="21">
        <f t="shared" si="2"/>
        <v>12</v>
      </c>
    </row>
    <row r="408">
      <c r="P408" s="161"/>
      <c r="AI408" s="102"/>
      <c r="AK408" s="105" t="s">
        <v>2376</v>
      </c>
      <c r="AO408" s="21" t="s">
        <v>2377</v>
      </c>
      <c r="AP408" s="21"/>
      <c r="AQ408" s="21"/>
      <c r="AR408" s="21"/>
      <c r="AS408" s="21"/>
      <c r="AT408" s="21"/>
      <c r="AU408" s="21"/>
      <c r="AV408" s="21"/>
      <c r="AW408" s="21"/>
      <c r="AX408" s="21"/>
      <c r="AY408" s="21"/>
      <c r="AZ408" s="21"/>
      <c r="BA408" s="21"/>
      <c r="BB408" s="21"/>
      <c r="BF408" s="106" t="str">
        <f t="shared" si="1"/>
        <v>#VALUE!</v>
      </c>
      <c r="BG408" s="21">
        <f t="shared" si="2"/>
        <v>12</v>
      </c>
    </row>
    <row r="409">
      <c r="P409" s="161"/>
      <c r="AI409" s="102"/>
      <c r="AK409" s="105" t="s">
        <v>2378</v>
      </c>
      <c r="AL409" s="86" t="s">
        <v>1447</v>
      </c>
      <c r="AO409" s="53" t="s">
        <v>2379</v>
      </c>
      <c r="AP409" s="21"/>
      <c r="AQ409" s="21"/>
      <c r="AR409" s="21"/>
      <c r="AS409" s="21"/>
      <c r="AT409" s="21"/>
      <c r="AU409" s="21"/>
      <c r="AV409" s="21"/>
      <c r="AW409" s="21"/>
      <c r="AX409" s="21"/>
      <c r="AY409" s="21"/>
      <c r="AZ409" s="21"/>
      <c r="BA409" s="21"/>
      <c r="BB409" s="21"/>
      <c r="BF409" s="106" t="str">
        <f t="shared" si="1"/>
        <v>#VALUE!</v>
      </c>
      <c r="BG409" s="21">
        <f t="shared" si="2"/>
        <v>12</v>
      </c>
    </row>
    <row r="410">
      <c r="P410" s="161"/>
      <c r="AI410" s="102"/>
      <c r="AK410" s="105" t="s">
        <v>2380</v>
      </c>
      <c r="AO410" s="53" t="s">
        <v>2382</v>
      </c>
      <c r="AP410" s="21"/>
      <c r="AQ410" s="53" t="s">
        <v>2383</v>
      </c>
      <c r="AR410" s="21"/>
      <c r="AS410" s="21"/>
      <c r="AT410" s="21"/>
      <c r="AU410" s="21"/>
      <c r="AV410" s="21"/>
      <c r="AW410" s="21"/>
      <c r="AX410" s="21"/>
      <c r="AY410" s="21"/>
      <c r="AZ410" s="21"/>
      <c r="BA410" s="21"/>
      <c r="BB410" s="21"/>
      <c r="BF410" s="106" t="str">
        <f t="shared" si="1"/>
        <v>#VALUE!</v>
      </c>
      <c r="BG410" s="21">
        <f t="shared" si="2"/>
        <v>12</v>
      </c>
    </row>
    <row r="411">
      <c r="P411" s="161"/>
      <c r="AI411" s="102"/>
      <c r="AK411" s="105" t="s">
        <v>832</v>
      </c>
      <c r="AO411" s="53" t="s">
        <v>2384</v>
      </c>
      <c r="AP411" s="21"/>
      <c r="AQ411" s="21" t="s">
        <v>2385</v>
      </c>
      <c r="AR411" s="21"/>
      <c r="AS411" s="139" t="s">
        <v>2386</v>
      </c>
      <c r="AT411" s="21"/>
      <c r="AU411" s="21"/>
      <c r="AV411" s="21"/>
      <c r="AW411" s="21"/>
      <c r="AX411" s="21"/>
      <c r="AY411" s="21"/>
      <c r="AZ411" s="21"/>
      <c r="BA411" s="21"/>
      <c r="BB411" s="21"/>
      <c r="BF411" s="106" t="str">
        <f t="shared" si="1"/>
        <v>#VALUE!</v>
      </c>
      <c r="BG411" s="21">
        <f t="shared" si="2"/>
        <v>12</v>
      </c>
    </row>
    <row r="412">
      <c r="P412" s="161"/>
      <c r="AI412" s="102"/>
      <c r="AK412" s="105" t="s">
        <v>834</v>
      </c>
      <c r="AL412" s="86" t="s">
        <v>1447</v>
      </c>
      <c r="AO412" s="53" t="s">
        <v>2387</v>
      </c>
      <c r="AP412" s="21"/>
      <c r="AQ412" s="21" t="s">
        <v>2388</v>
      </c>
      <c r="AR412" s="21"/>
      <c r="AS412" s="21" t="s">
        <v>2389</v>
      </c>
      <c r="AT412" s="21"/>
      <c r="AU412" s="21"/>
      <c r="AV412" s="21"/>
      <c r="AW412" s="21"/>
      <c r="AX412" s="21"/>
      <c r="AY412" s="21"/>
      <c r="AZ412" s="21"/>
      <c r="BA412" s="21"/>
      <c r="BB412" s="21"/>
      <c r="BF412" s="106" t="str">
        <f t="shared" si="1"/>
        <v>#VALUE!</v>
      </c>
      <c r="BG412" s="21">
        <f t="shared" si="2"/>
        <v>12</v>
      </c>
    </row>
    <row r="413">
      <c r="P413" s="161"/>
      <c r="AI413" s="102"/>
      <c r="AK413" s="105" t="s">
        <v>2393</v>
      </c>
      <c r="AO413" s="53" t="s">
        <v>2394</v>
      </c>
      <c r="AP413" s="21"/>
      <c r="AQ413" s="21"/>
      <c r="AR413" s="21"/>
      <c r="AS413" s="21"/>
      <c r="AT413" s="21"/>
      <c r="AU413" s="21"/>
      <c r="AV413" s="21"/>
      <c r="AW413" s="21"/>
      <c r="AX413" s="21"/>
      <c r="AY413" s="21"/>
      <c r="AZ413" s="21"/>
      <c r="BA413" s="21"/>
      <c r="BB413" s="21"/>
      <c r="BF413" s="106" t="str">
        <f t="shared" si="1"/>
        <v>#VALUE!</v>
      </c>
      <c r="BG413" s="21">
        <f t="shared" si="2"/>
        <v>12</v>
      </c>
    </row>
    <row r="414">
      <c r="P414" s="161"/>
      <c r="AI414" s="102"/>
      <c r="AK414" s="105" t="s">
        <v>2395</v>
      </c>
      <c r="AL414" s="86" t="s">
        <v>2396</v>
      </c>
      <c r="AO414" s="21" t="s">
        <v>2397</v>
      </c>
      <c r="AP414" s="21"/>
      <c r="AQ414" s="21"/>
      <c r="AR414" s="21"/>
      <c r="AS414" s="21"/>
      <c r="AT414" s="21"/>
      <c r="AU414" s="21"/>
      <c r="AV414" s="21"/>
      <c r="AW414" s="21"/>
      <c r="AX414" s="21"/>
      <c r="AY414" s="21"/>
      <c r="AZ414" s="21"/>
      <c r="BA414" s="21"/>
      <c r="BB414" s="21"/>
      <c r="BF414" s="106" t="str">
        <f t="shared" si="1"/>
        <v>#VALUE!</v>
      </c>
      <c r="BG414" s="21">
        <f t="shared" si="2"/>
        <v>12</v>
      </c>
    </row>
    <row r="415">
      <c r="P415" s="161"/>
      <c r="AI415" s="102"/>
      <c r="AK415" s="105" t="s">
        <v>2398</v>
      </c>
      <c r="AO415" s="21"/>
      <c r="AP415" s="21"/>
      <c r="AQ415" s="21"/>
      <c r="AR415" s="21"/>
      <c r="AS415" s="21"/>
      <c r="AT415" s="21"/>
      <c r="AU415" s="21"/>
      <c r="AV415" s="21"/>
      <c r="AW415" s="21"/>
      <c r="AX415" s="21"/>
      <c r="AY415" s="21"/>
      <c r="AZ415" s="21"/>
      <c r="BA415" s="21"/>
      <c r="BB415" s="21"/>
      <c r="BF415" s="106" t="str">
        <f t="shared" si="1"/>
        <v>#VALUE!</v>
      </c>
      <c r="BG415" s="21">
        <f t="shared" si="2"/>
        <v>12</v>
      </c>
    </row>
    <row r="416">
      <c r="P416" s="161"/>
      <c r="AI416" s="102"/>
      <c r="AK416" s="105" t="s">
        <v>2401</v>
      </c>
      <c r="AO416" s="21" t="s">
        <v>2402</v>
      </c>
      <c r="AP416" s="21"/>
      <c r="AQ416" s="21" t="s">
        <v>1778</v>
      </c>
      <c r="AR416" s="21"/>
      <c r="AS416" s="21"/>
      <c r="AT416" s="21"/>
      <c r="AU416" s="21"/>
      <c r="AV416" s="21"/>
      <c r="AW416" s="21"/>
      <c r="AX416" s="21"/>
      <c r="AY416" s="21"/>
      <c r="AZ416" s="21"/>
      <c r="BA416" s="21"/>
      <c r="BB416" s="21"/>
      <c r="BF416" s="106" t="str">
        <f t="shared" si="1"/>
        <v>#VALUE!</v>
      </c>
      <c r="BG416" s="21">
        <f t="shared" si="2"/>
        <v>12</v>
      </c>
    </row>
    <row r="417">
      <c r="P417" s="161"/>
      <c r="AI417" s="102"/>
      <c r="AK417" s="105" t="s">
        <v>837</v>
      </c>
      <c r="AL417" s="86" t="s">
        <v>2152</v>
      </c>
      <c r="AO417" s="53" t="s">
        <v>2403</v>
      </c>
      <c r="AP417" s="21" t="s">
        <v>2404</v>
      </c>
      <c r="AQ417" s="21"/>
      <c r="AR417" s="21"/>
      <c r="AS417" s="21"/>
      <c r="AT417" s="21"/>
      <c r="AU417" s="21"/>
      <c r="AV417" s="21"/>
      <c r="AW417" s="21"/>
      <c r="AX417" s="21"/>
      <c r="AY417" s="21"/>
      <c r="AZ417" s="21"/>
      <c r="BA417" s="21"/>
      <c r="BB417" s="21"/>
      <c r="BF417" s="106" t="str">
        <f t="shared" si="1"/>
        <v>#VALUE!</v>
      </c>
      <c r="BG417" s="21">
        <f t="shared" si="2"/>
        <v>12</v>
      </c>
    </row>
    <row r="418">
      <c r="P418" s="161"/>
      <c r="AI418" s="102"/>
      <c r="AK418" s="105" t="s">
        <v>2405</v>
      </c>
      <c r="AO418" s="21" t="s">
        <v>2408</v>
      </c>
      <c r="AP418" s="21" t="s">
        <v>2409</v>
      </c>
      <c r="AQ418" s="21"/>
      <c r="AR418" s="21"/>
      <c r="AS418" s="21"/>
      <c r="AT418" s="21"/>
      <c r="AU418" s="21"/>
      <c r="AV418" s="21"/>
      <c r="AW418" s="21"/>
      <c r="AX418" s="21"/>
      <c r="AY418" s="21"/>
      <c r="AZ418" s="21"/>
      <c r="BA418" s="21"/>
      <c r="BB418" s="21"/>
      <c r="BF418" s="106" t="str">
        <f t="shared" si="1"/>
        <v>#VALUE!</v>
      </c>
      <c r="BG418" s="21">
        <f t="shared" si="2"/>
        <v>12</v>
      </c>
    </row>
    <row r="419">
      <c r="P419" s="161"/>
      <c r="AI419" s="102"/>
      <c r="AK419" s="105" t="s">
        <v>2410</v>
      </c>
      <c r="AO419" s="21" t="s">
        <v>2411</v>
      </c>
      <c r="AP419" s="53" t="s">
        <v>2412</v>
      </c>
      <c r="AQ419" s="21" t="s">
        <v>2413</v>
      </c>
      <c r="AR419" s="21"/>
      <c r="AS419" s="21"/>
      <c r="AT419" s="21"/>
      <c r="AU419" s="21"/>
      <c r="AV419" s="21"/>
      <c r="AW419" s="21"/>
      <c r="AX419" s="21"/>
      <c r="AY419" s="21"/>
      <c r="AZ419" s="21"/>
      <c r="BA419" s="21"/>
      <c r="BB419" s="21"/>
      <c r="BF419" s="106" t="str">
        <f t="shared" si="1"/>
        <v>#VALUE!</v>
      </c>
      <c r="BG419" s="21">
        <f t="shared" si="2"/>
        <v>12</v>
      </c>
    </row>
    <row r="420">
      <c r="P420" s="161"/>
      <c r="AI420" s="102"/>
      <c r="AK420" s="105" t="s">
        <v>2414</v>
      </c>
      <c r="AO420" s="21" t="s">
        <v>2415</v>
      </c>
      <c r="AP420" s="21"/>
      <c r="AQ420" s="21"/>
      <c r="AR420" s="21"/>
      <c r="AS420" s="21"/>
      <c r="AT420" s="21"/>
      <c r="AU420" s="21"/>
      <c r="AV420" s="21"/>
      <c r="AW420" s="21"/>
      <c r="AX420" s="21"/>
      <c r="AY420" s="21"/>
      <c r="AZ420" s="21"/>
      <c r="BA420" s="21"/>
      <c r="BB420" s="21"/>
      <c r="BF420" s="106" t="str">
        <f t="shared" si="1"/>
        <v>#VALUE!</v>
      </c>
      <c r="BG420" s="21">
        <f t="shared" si="2"/>
        <v>12</v>
      </c>
    </row>
    <row r="421">
      <c r="P421" s="161"/>
      <c r="AI421" s="102"/>
      <c r="AK421" s="105" t="s">
        <v>883</v>
      </c>
      <c r="AL421" s="86" t="s">
        <v>1447</v>
      </c>
      <c r="AO421" s="21"/>
      <c r="AP421" s="21" t="s">
        <v>1778</v>
      </c>
      <c r="AQ421" s="21"/>
      <c r="AR421" s="21"/>
      <c r="AS421" s="21"/>
      <c r="AT421" s="21"/>
      <c r="AU421" s="21"/>
      <c r="AV421" s="21"/>
      <c r="AW421" s="21"/>
      <c r="AX421" s="21"/>
      <c r="AY421" s="21"/>
      <c r="AZ421" s="21"/>
      <c r="BA421" s="21"/>
      <c r="BB421" s="21"/>
      <c r="BF421" s="106" t="str">
        <f t="shared" si="1"/>
        <v>#VALUE!</v>
      </c>
      <c r="BG421" s="21">
        <f t="shared" si="2"/>
        <v>12</v>
      </c>
    </row>
    <row r="422">
      <c r="P422" s="161"/>
      <c r="AI422" s="102"/>
      <c r="AK422" s="105" t="s">
        <v>885</v>
      </c>
      <c r="AL422" s="86" t="s">
        <v>1447</v>
      </c>
      <c r="AO422" s="21" t="s">
        <v>2419</v>
      </c>
      <c r="AP422" s="21"/>
      <c r="AQ422" s="53" t="s">
        <v>2420</v>
      </c>
      <c r="AR422" s="21"/>
      <c r="AS422" s="21" t="s">
        <v>1778</v>
      </c>
      <c r="AT422" s="21"/>
      <c r="AU422" s="21"/>
      <c r="AV422" s="21"/>
      <c r="AW422" s="21"/>
      <c r="AX422" s="21"/>
      <c r="AY422" s="21"/>
      <c r="AZ422" s="21"/>
      <c r="BA422" s="21"/>
      <c r="BB422" s="21"/>
      <c r="BF422" s="106" t="str">
        <f t="shared" si="1"/>
        <v>#VALUE!</v>
      </c>
      <c r="BG422" s="21">
        <f t="shared" si="2"/>
        <v>12</v>
      </c>
    </row>
    <row r="423">
      <c r="P423" s="161"/>
      <c r="AI423" s="102"/>
      <c r="AK423" s="105" t="s">
        <v>888</v>
      </c>
      <c r="AL423" s="58"/>
      <c r="AO423" s="21" t="s">
        <v>2421</v>
      </c>
      <c r="AP423" s="53" t="s">
        <v>2422</v>
      </c>
      <c r="AQ423" s="21"/>
      <c r="AR423" s="21"/>
      <c r="AS423" s="21"/>
      <c r="AT423" s="21"/>
      <c r="AU423" s="21"/>
      <c r="AV423" s="21"/>
      <c r="AW423" s="21"/>
      <c r="AX423" s="21"/>
      <c r="AY423" s="21"/>
      <c r="AZ423" s="21"/>
      <c r="BA423" s="21"/>
      <c r="BB423" s="21"/>
      <c r="BF423" s="106" t="str">
        <f t="shared" si="1"/>
        <v>#VALUE!</v>
      </c>
      <c r="BG423" s="21">
        <f t="shared" si="2"/>
        <v>12</v>
      </c>
    </row>
    <row r="424">
      <c r="P424" s="161"/>
      <c r="AI424" s="102"/>
      <c r="AK424" s="105" t="s">
        <v>2423</v>
      </c>
      <c r="AO424" s="21" t="s">
        <v>2424</v>
      </c>
      <c r="AP424" s="21" t="s">
        <v>2425</v>
      </c>
      <c r="AQ424" s="20" t="s">
        <v>1792</v>
      </c>
      <c r="AR424" s="21"/>
      <c r="AS424" s="21"/>
      <c r="AT424" s="21"/>
      <c r="AU424" s="21"/>
      <c r="AV424" s="21"/>
      <c r="AW424" s="21"/>
      <c r="AX424" s="21"/>
      <c r="AY424" s="21"/>
      <c r="AZ424" s="21"/>
      <c r="BA424" s="21"/>
      <c r="BB424" s="21"/>
      <c r="BF424" s="106" t="str">
        <f t="shared" si="1"/>
        <v>#VALUE!</v>
      </c>
      <c r="BG424" s="21">
        <f t="shared" si="2"/>
        <v>12</v>
      </c>
    </row>
    <row r="425">
      <c r="P425" s="161"/>
      <c r="AI425" s="102"/>
      <c r="AK425" s="105" t="s">
        <v>2426</v>
      </c>
      <c r="AO425" s="21" t="s">
        <v>2428</v>
      </c>
      <c r="AP425" s="21" t="s">
        <v>2429</v>
      </c>
      <c r="AQ425" s="21"/>
      <c r="AR425" s="21"/>
      <c r="AS425" s="20" t="s">
        <v>2430</v>
      </c>
      <c r="AT425" s="21"/>
      <c r="AU425" s="21"/>
      <c r="AV425" s="21"/>
      <c r="AW425" s="21"/>
      <c r="AX425" s="21"/>
      <c r="AY425" s="21"/>
      <c r="AZ425" s="21"/>
      <c r="BA425" s="21"/>
      <c r="BB425" s="21"/>
      <c r="BF425" s="106" t="str">
        <f t="shared" si="1"/>
        <v>#VALUE!</v>
      </c>
      <c r="BG425" s="21">
        <f t="shared" si="2"/>
        <v>12</v>
      </c>
    </row>
    <row r="426">
      <c r="P426" s="161"/>
      <c r="AI426" s="102"/>
      <c r="AK426" s="105" t="s">
        <v>946</v>
      </c>
      <c r="AO426" s="53" t="s">
        <v>2431</v>
      </c>
      <c r="AP426" s="53" t="s">
        <v>2432</v>
      </c>
      <c r="AQ426" s="21" t="s">
        <v>2433</v>
      </c>
      <c r="AR426" s="21"/>
      <c r="AS426" s="21"/>
      <c r="AT426" s="21"/>
      <c r="AU426" s="21"/>
      <c r="AV426" s="21"/>
      <c r="AW426" s="21"/>
      <c r="AX426" s="20" t="s">
        <v>2434</v>
      </c>
      <c r="AY426" s="21"/>
      <c r="AZ426" s="21"/>
      <c r="BA426" s="21"/>
      <c r="BB426" s="21"/>
      <c r="BF426" s="106" t="str">
        <f t="shared" si="1"/>
        <v>#VALUE!</v>
      </c>
      <c r="BG426" s="21">
        <f t="shared" si="2"/>
        <v>12</v>
      </c>
    </row>
    <row r="427">
      <c r="P427" s="161"/>
      <c r="AI427" s="102"/>
      <c r="AK427" s="105" t="s">
        <v>2435</v>
      </c>
      <c r="AO427" s="53" t="s">
        <v>2436</v>
      </c>
      <c r="AP427" s="21"/>
      <c r="AQ427" s="21"/>
      <c r="AR427" s="21"/>
      <c r="AS427" s="21"/>
      <c r="AT427" s="21"/>
      <c r="AU427" s="21"/>
      <c r="AV427" s="21"/>
      <c r="AW427" s="21"/>
      <c r="AX427" s="21"/>
      <c r="AY427" s="21"/>
      <c r="AZ427" s="21"/>
      <c r="BA427" s="21"/>
      <c r="BB427" s="21"/>
      <c r="BF427" s="106" t="str">
        <f t="shared" si="1"/>
        <v>#VALUE!</v>
      </c>
      <c r="BG427" s="21">
        <f t="shared" si="2"/>
        <v>12</v>
      </c>
    </row>
    <row r="428">
      <c r="P428" s="161"/>
      <c r="AI428" s="102"/>
      <c r="AK428" s="105" t="s">
        <v>2437</v>
      </c>
      <c r="AO428" s="53" t="s">
        <v>2441</v>
      </c>
      <c r="AP428" s="21" t="s">
        <v>2442</v>
      </c>
      <c r="AQ428" s="21" t="s">
        <v>2443</v>
      </c>
      <c r="AR428" s="21"/>
      <c r="AS428" s="21" t="s">
        <v>2103</v>
      </c>
      <c r="AT428" s="21"/>
      <c r="AU428" s="21"/>
      <c r="AV428" s="21"/>
      <c r="AW428" s="21"/>
      <c r="AX428" s="21"/>
      <c r="AY428" s="21"/>
      <c r="AZ428" s="21"/>
      <c r="BA428" s="21"/>
      <c r="BB428" s="21"/>
      <c r="BF428" s="106" t="str">
        <f t="shared" si="1"/>
        <v>#VALUE!</v>
      </c>
      <c r="BG428" s="21">
        <f t="shared" si="2"/>
        <v>12</v>
      </c>
    </row>
    <row r="429">
      <c r="P429" s="161"/>
      <c r="AI429" s="102"/>
      <c r="AK429" s="105" t="s">
        <v>2444</v>
      </c>
      <c r="AO429" s="53" t="s">
        <v>2445</v>
      </c>
      <c r="AP429" s="21"/>
      <c r="AQ429" s="21"/>
      <c r="AR429" s="21"/>
      <c r="AS429" s="21"/>
      <c r="AT429" s="21"/>
      <c r="AU429" s="21"/>
      <c r="AV429" s="21"/>
      <c r="AW429" s="21"/>
      <c r="AX429" s="21"/>
      <c r="AY429" s="21"/>
      <c r="AZ429" s="21"/>
      <c r="BA429" s="21"/>
      <c r="BB429" s="21"/>
      <c r="BF429" s="106" t="str">
        <f t="shared" si="1"/>
        <v>#VALUE!</v>
      </c>
      <c r="BG429" s="21">
        <f t="shared" si="2"/>
        <v>12</v>
      </c>
    </row>
    <row r="430">
      <c r="P430" s="161"/>
      <c r="AI430" s="102"/>
      <c r="AK430" s="105" t="s">
        <v>2446</v>
      </c>
      <c r="AO430" s="53" t="s">
        <v>2447</v>
      </c>
      <c r="AP430" s="21" t="s">
        <v>2448</v>
      </c>
      <c r="AQ430" s="53" t="s">
        <v>2449</v>
      </c>
      <c r="AR430" s="21" t="s">
        <v>1778</v>
      </c>
      <c r="AS430" s="21"/>
      <c r="AT430" s="21"/>
      <c r="AU430" s="21"/>
      <c r="AV430" s="21"/>
      <c r="AW430" s="21"/>
      <c r="AX430" s="21"/>
      <c r="AY430" s="21"/>
      <c r="AZ430" s="21"/>
      <c r="BA430" s="21"/>
      <c r="BB430" s="21"/>
      <c r="BF430" s="106" t="str">
        <f t="shared" si="1"/>
        <v>#VALUE!</v>
      </c>
      <c r="BG430" s="21">
        <f t="shared" si="2"/>
        <v>12</v>
      </c>
    </row>
    <row r="431" ht="176.25" customHeight="1">
      <c r="P431" s="161"/>
      <c r="AI431" s="102"/>
      <c r="AK431" s="105" t="s">
        <v>853</v>
      </c>
      <c r="AO431" s="21" t="s">
        <v>2451</v>
      </c>
      <c r="AP431" s="53" t="s">
        <v>2452</v>
      </c>
      <c r="AQ431" s="21" t="s">
        <v>2453</v>
      </c>
      <c r="AR431" s="21" t="s">
        <v>2454</v>
      </c>
      <c r="AS431" s="20" t="s">
        <v>2148</v>
      </c>
      <c r="AT431" s="20" t="s">
        <v>2455</v>
      </c>
      <c r="AU431" s="20" t="s">
        <v>2108</v>
      </c>
      <c r="AV431" s="139" t="s">
        <v>2456</v>
      </c>
      <c r="AW431" s="21"/>
      <c r="AX431" s="21"/>
      <c r="AY431" s="21"/>
      <c r="AZ431" s="21"/>
      <c r="BA431" s="21"/>
      <c r="BB431" s="21"/>
      <c r="BF431" s="106" t="str">
        <f t="shared" si="1"/>
        <v>#VALUE!</v>
      </c>
      <c r="BG431" s="21">
        <f t="shared" si="2"/>
        <v>12</v>
      </c>
    </row>
    <row r="432">
      <c r="P432" s="161"/>
      <c r="AI432" s="102"/>
      <c r="AK432" s="105" t="s">
        <v>2457</v>
      </c>
      <c r="AL432" s="86" t="s">
        <v>1447</v>
      </c>
      <c r="AO432" s="53" t="s">
        <v>2459</v>
      </c>
      <c r="AP432" s="21" t="s">
        <v>2460</v>
      </c>
      <c r="AQ432" s="53" t="s">
        <v>2461</v>
      </c>
      <c r="AR432" s="21"/>
      <c r="AS432" s="21"/>
      <c r="AT432" s="21"/>
      <c r="AU432" s="21"/>
      <c r="AV432" s="21"/>
      <c r="AW432" s="21"/>
      <c r="AX432" s="21"/>
      <c r="AY432" s="21"/>
      <c r="AZ432" s="21"/>
      <c r="BA432" s="21"/>
      <c r="BB432" s="21"/>
      <c r="BF432" s="106" t="str">
        <f t="shared" si="1"/>
        <v>#VALUE!</v>
      </c>
      <c r="BG432" s="21">
        <f t="shared" si="2"/>
        <v>12</v>
      </c>
    </row>
    <row r="433">
      <c r="P433" s="161"/>
      <c r="AI433" s="102"/>
      <c r="AK433" s="105" t="s">
        <v>2462</v>
      </c>
      <c r="AO433" s="53" t="s">
        <v>2463</v>
      </c>
      <c r="AP433" s="379">
        <v>46008.0</v>
      </c>
      <c r="AQ433" s="21"/>
      <c r="AR433" s="21"/>
      <c r="AS433" s="21"/>
      <c r="AT433" s="21"/>
      <c r="AU433" s="21"/>
      <c r="AV433" s="21"/>
      <c r="AW433" s="21"/>
      <c r="AX433" s="21"/>
      <c r="AY433" s="21"/>
      <c r="AZ433" s="21"/>
      <c r="BA433" s="21"/>
      <c r="BB433" s="21"/>
      <c r="BF433" s="106" t="str">
        <f t="shared" si="1"/>
        <v>#VALUE!</v>
      </c>
      <c r="BG433" s="21">
        <f t="shared" si="2"/>
        <v>12</v>
      </c>
    </row>
    <row r="434">
      <c r="P434" s="161"/>
      <c r="AI434" s="102"/>
      <c r="AK434" s="105" t="s">
        <v>2465</v>
      </c>
      <c r="AO434" s="21" t="s">
        <v>2467</v>
      </c>
      <c r="AP434" s="21" t="s">
        <v>2468</v>
      </c>
      <c r="AQ434" s="21"/>
      <c r="AR434" s="21"/>
      <c r="AS434" s="139" t="s">
        <v>2469</v>
      </c>
      <c r="AT434" s="21"/>
      <c r="AU434" s="21"/>
      <c r="AV434" s="21"/>
      <c r="AW434" s="21"/>
      <c r="AX434" s="21"/>
      <c r="AY434" s="21"/>
      <c r="AZ434" s="21"/>
      <c r="BA434" s="21"/>
      <c r="BB434" s="21"/>
      <c r="BF434" s="106" t="str">
        <f t="shared" si="1"/>
        <v>#VALUE!</v>
      </c>
      <c r="BG434" s="21">
        <f t="shared" si="2"/>
        <v>12</v>
      </c>
    </row>
    <row r="435">
      <c r="P435" s="161"/>
      <c r="AI435" s="102"/>
      <c r="AK435" s="105" t="s">
        <v>132</v>
      </c>
      <c r="AO435" s="21" t="s">
        <v>2470</v>
      </c>
      <c r="AP435" s="21"/>
      <c r="AQ435" s="21"/>
      <c r="AR435" s="21"/>
      <c r="AS435" s="21"/>
      <c r="AT435" s="21"/>
      <c r="AU435" s="21"/>
      <c r="AV435" s="21"/>
      <c r="AW435" s="21"/>
      <c r="AX435" s="21"/>
      <c r="AY435" s="21"/>
      <c r="AZ435" s="21"/>
      <c r="BA435" s="21"/>
      <c r="BB435" s="21"/>
      <c r="BF435" s="106" t="str">
        <f t="shared" si="1"/>
        <v>#VALUE!</v>
      </c>
      <c r="BG435" s="21">
        <f t="shared" si="2"/>
        <v>12</v>
      </c>
    </row>
    <row r="436">
      <c r="P436" s="161"/>
      <c r="AI436" s="102"/>
      <c r="AK436" s="105" t="s">
        <v>2472</v>
      </c>
      <c r="AO436" s="21" t="s">
        <v>2473</v>
      </c>
      <c r="AP436" s="21" t="s">
        <v>2474</v>
      </c>
      <c r="AQ436" s="21" t="s">
        <v>1778</v>
      </c>
      <c r="AR436" s="21"/>
      <c r="AS436" s="21"/>
      <c r="AT436" s="21"/>
      <c r="AU436" s="21"/>
      <c r="AV436" s="20" t="s">
        <v>2475</v>
      </c>
      <c r="AW436" s="21"/>
      <c r="AX436" s="21"/>
      <c r="AY436" s="21"/>
      <c r="AZ436" s="21"/>
      <c r="BA436" s="21"/>
      <c r="BB436" s="21"/>
      <c r="BF436" s="106" t="str">
        <f t="shared" si="1"/>
        <v>#VALUE!</v>
      </c>
      <c r="BG436" s="21">
        <f t="shared" si="2"/>
        <v>12</v>
      </c>
    </row>
    <row r="437">
      <c r="P437" s="161"/>
      <c r="AI437" s="102"/>
      <c r="AK437" s="105" t="s">
        <v>842</v>
      </c>
      <c r="AO437" s="21" t="s">
        <v>2476</v>
      </c>
      <c r="AP437" s="21"/>
      <c r="AQ437" s="21"/>
      <c r="AR437" s="21"/>
      <c r="AS437" s="21"/>
      <c r="AT437" s="21"/>
      <c r="AU437" s="21"/>
      <c r="AV437" s="21"/>
      <c r="AW437" s="21"/>
      <c r="AX437" s="21"/>
      <c r="AY437" s="21"/>
      <c r="AZ437" s="21"/>
      <c r="BA437" s="21"/>
      <c r="BB437" s="21"/>
      <c r="BF437" s="106" t="str">
        <f t="shared" si="1"/>
        <v>#VALUE!</v>
      </c>
      <c r="BG437" s="21">
        <f t="shared" si="2"/>
        <v>12</v>
      </c>
    </row>
    <row r="438">
      <c r="P438" s="161"/>
      <c r="AI438" s="102"/>
      <c r="AK438" s="105" t="s">
        <v>890</v>
      </c>
      <c r="AL438" s="58"/>
      <c r="AO438" s="21" t="s">
        <v>2479</v>
      </c>
      <c r="AP438" s="53" t="s">
        <v>2480</v>
      </c>
      <c r="AQ438" s="21" t="s">
        <v>2103</v>
      </c>
      <c r="AR438" s="21"/>
      <c r="AS438" s="21"/>
      <c r="AT438" s="21"/>
      <c r="AU438" s="21"/>
      <c r="AV438" s="21"/>
      <c r="AW438" s="21"/>
      <c r="AX438" s="21"/>
      <c r="AY438" s="21"/>
      <c r="AZ438" s="21"/>
      <c r="BA438" s="21"/>
      <c r="BB438" s="21"/>
      <c r="BF438" s="106" t="str">
        <f t="shared" si="1"/>
        <v>#VALUE!</v>
      </c>
      <c r="BG438" s="21">
        <f t="shared" si="2"/>
        <v>12</v>
      </c>
    </row>
    <row r="439">
      <c r="P439" s="161"/>
      <c r="AI439" s="102"/>
      <c r="AK439" s="105" t="s">
        <v>847</v>
      </c>
      <c r="AO439" s="53" t="s">
        <v>2481</v>
      </c>
      <c r="AP439" s="21" t="s">
        <v>2482</v>
      </c>
      <c r="AQ439" s="21"/>
      <c r="AR439" s="21"/>
      <c r="AS439" s="21"/>
      <c r="AT439" s="21"/>
      <c r="AU439" s="21"/>
      <c r="AV439" s="21"/>
      <c r="AW439" s="21"/>
      <c r="AX439" s="21"/>
      <c r="AY439" s="21"/>
      <c r="AZ439" s="21"/>
      <c r="BA439" s="21"/>
      <c r="BB439" s="21"/>
      <c r="BF439" s="106" t="str">
        <f t="shared" si="1"/>
        <v>#VALUE!</v>
      </c>
      <c r="BG439" s="21">
        <f t="shared" si="2"/>
        <v>12</v>
      </c>
    </row>
    <row r="440">
      <c r="P440" s="161"/>
      <c r="AI440" s="102"/>
      <c r="AK440" s="105" t="s">
        <v>2483</v>
      </c>
      <c r="AO440" s="21" t="s">
        <v>2485</v>
      </c>
      <c r="AP440" s="21"/>
      <c r="AQ440" s="21"/>
      <c r="AR440" s="21"/>
      <c r="AS440" s="21"/>
      <c r="AT440" s="21"/>
      <c r="AU440" s="21"/>
      <c r="AV440" s="21"/>
      <c r="AW440" s="21"/>
      <c r="AX440" s="21"/>
      <c r="AY440" s="21"/>
      <c r="AZ440" s="21"/>
      <c r="BA440" s="21"/>
      <c r="BB440" s="21"/>
      <c r="BF440" s="106" t="str">
        <f t="shared" si="1"/>
        <v>#VALUE!</v>
      </c>
      <c r="BG440" s="21">
        <f t="shared" si="2"/>
        <v>12</v>
      </c>
    </row>
    <row r="441">
      <c r="P441" s="161"/>
      <c r="AI441" s="102"/>
      <c r="AK441" s="105" t="s">
        <v>894</v>
      </c>
      <c r="AL441" s="86" t="s">
        <v>2486</v>
      </c>
      <c r="AO441" s="21" t="s">
        <v>2487</v>
      </c>
      <c r="AP441" s="21" t="s">
        <v>2488</v>
      </c>
      <c r="AQ441" s="21" t="s">
        <v>2489</v>
      </c>
      <c r="AR441" s="21"/>
      <c r="AS441" s="21"/>
      <c r="AT441" s="21"/>
      <c r="AU441" s="21"/>
      <c r="AV441" s="21"/>
      <c r="AW441" s="21"/>
      <c r="AX441" s="21"/>
      <c r="AY441" s="21"/>
      <c r="AZ441" s="21"/>
      <c r="BA441" s="21"/>
      <c r="BB441" s="21"/>
      <c r="BF441" s="106" t="str">
        <f t="shared" si="1"/>
        <v>#VALUE!</v>
      </c>
      <c r="BG441" s="21">
        <f t="shared" si="2"/>
        <v>12</v>
      </c>
    </row>
    <row r="442">
      <c r="P442" s="161"/>
      <c r="AI442" s="102"/>
      <c r="AK442" s="105" t="s">
        <v>2492</v>
      </c>
      <c r="AL442" s="86" t="s">
        <v>1447</v>
      </c>
      <c r="AO442" s="53" t="s">
        <v>2494</v>
      </c>
      <c r="AP442" s="21" t="s">
        <v>2495</v>
      </c>
      <c r="AQ442" s="21"/>
      <c r="AR442" s="21"/>
      <c r="AS442" s="21"/>
      <c r="AT442" s="21"/>
      <c r="AU442" s="21"/>
      <c r="AV442" s="21"/>
      <c r="AW442" s="21"/>
      <c r="AX442" s="21"/>
      <c r="AY442" s="21"/>
      <c r="AZ442" s="21"/>
      <c r="BA442" s="21"/>
      <c r="BB442" s="21"/>
      <c r="BF442" s="106" t="str">
        <f t="shared" si="1"/>
        <v>#VALUE!</v>
      </c>
      <c r="BG442" s="21">
        <f t="shared" si="2"/>
        <v>12</v>
      </c>
    </row>
    <row r="443">
      <c r="P443" s="161"/>
      <c r="AI443" s="102"/>
      <c r="AK443" s="105" t="s">
        <v>2496</v>
      </c>
      <c r="AO443" s="53" t="s">
        <v>2497</v>
      </c>
      <c r="AP443" s="53" t="s">
        <v>2498</v>
      </c>
      <c r="AQ443" s="21" t="s">
        <v>2499</v>
      </c>
      <c r="AR443" s="21"/>
      <c r="AS443" s="21"/>
      <c r="AT443" s="21"/>
      <c r="AU443" s="21"/>
      <c r="AV443" s="139" t="s">
        <v>2500</v>
      </c>
      <c r="AW443" s="21"/>
      <c r="AX443" s="21"/>
      <c r="AY443" s="21"/>
      <c r="AZ443" s="21"/>
      <c r="BA443" s="21"/>
      <c r="BB443" s="21"/>
      <c r="BF443" s="106" t="str">
        <f t="shared" si="1"/>
        <v>#VALUE!</v>
      </c>
      <c r="BG443" s="21">
        <f t="shared" si="2"/>
        <v>12</v>
      </c>
    </row>
    <row r="444">
      <c r="P444" s="161"/>
      <c r="AI444" s="102"/>
      <c r="AK444" s="105" t="s">
        <v>897</v>
      </c>
      <c r="AO444" s="21" t="s">
        <v>2503</v>
      </c>
      <c r="AP444" s="21" t="s">
        <v>2504</v>
      </c>
      <c r="AQ444" s="21" t="s">
        <v>2499</v>
      </c>
      <c r="AR444" s="21"/>
      <c r="AS444" s="21"/>
      <c r="AT444" s="21"/>
      <c r="AU444" s="21"/>
      <c r="AV444" s="21"/>
      <c r="AW444" s="21"/>
      <c r="AX444" s="21"/>
      <c r="AY444" s="21"/>
      <c r="AZ444" s="21"/>
      <c r="BA444" s="21"/>
      <c r="BB444" s="21"/>
      <c r="BF444" s="106" t="str">
        <f t="shared" si="1"/>
        <v>#VALUE!</v>
      </c>
      <c r="BG444" s="21">
        <f t="shared" si="2"/>
        <v>12</v>
      </c>
    </row>
    <row r="445">
      <c r="P445" s="161"/>
      <c r="AI445" s="102"/>
      <c r="AK445" s="105" t="s">
        <v>898</v>
      </c>
      <c r="AO445" s="21" t="s">
        <v>2505</v>
      </c>
      <c r="AP445" s="53" t="s">
        <v>2506</v>
      </c>
      <c r="AQ445" s="21"/>
      <c r="AR445" s="21"/>
      <c r="AS445" s="21"/>
      <c r="AT445" s="21"/>
      <c r="AU445" s="21"/>
      <c r="AV445" s="20" t="s">
        <v>2507</v>
      </c>
      <c r="AW445" s="21"/>
      <c r="AX445" s="21"/>
      <c r="AY445" s="21"/>
      <c r="AZ445" s="21"/>
      <c r="BA445" s="21"/>
      <c r="BB445" s="21"/>
      <c r="BF445" s="106" t="str">
        <f t="shared" si="1"/>
        <v>#VALUE!</v>
      </c>
      <c r="BG445" s="21">
        <f t="shared" si="2"/>
        <v>12</v>
      </c>
    </row>
    <row r="446">
      <c r="P446" s="161"/>
      <c r="AI446" s="102"/>
      <c r="AK446" s="105" t="s">
        <v>901</v>
      </c>
      <c r="AO446" s="21" t="s">
        <v>2510</v>
      </c>
      <c r="AP446" s="21" t="s">
        <v>2511</v>
      </c>
      <c r="AQ446" s="21"/>
      <c r="AR446" s="21"/>
      <c r="AS446" s="21"/>
      <c r="AT446" s="21"/>
      <c r="AU446" s="21"/>
      <c r="AV446" s="21"/>
      <c r="AW446" s="21"/>
      <c r="AX446" s="21"/>
      <c r="AY446" s="21"/>
      <c r="AZ446" s="21"/>
      <c r="BA446" s="21"/>
      <c r="BB446" s="21"/>
      <c r="BF446" s="106" t="str">
        <f t="shared" si="1"/>
        <v>#VALUE!</v>
      </c>
      <c r="BG446" s="21">
        <f t="shared" si="2"/>
        <v>12</v>
      </c>
    </row>
    <row r="447">
      <c r="P447" s="161"/>
      <c r="AI447" s="102"/>
      <c r="AK447" s="105" t="s">
        <v>2512</v>
      </c>
      <c r="AO447" s="21" t="s">
        <v>2513</v>
      </c>
      <c r="AP447" s="21" t="s">
        <v>2514</v>
      </c>
      <c r="AQ447" s="20" t="s">
        <v>2515</v>
      </c>
      <c r="AR447" s="21"/>
      <c r="AS447" s="20" t="s">
        <v>2516</v>
      </c>
      <c r="AT447" s="21"/>
      <c r="AU447" s="21"/>
      <c r="AV447" s="21"/>
      <c r="AW447" s="21"/>
      <c r="AX447" s="21"/>
      <c r="AY447" s="21"/>
      <c r="AZ447" s="21"/>
      <c r="BA447" s="21"/>
      <c r="BB447" s="21"/>
      <c r="BF447" s="106" t="str">
        <f t="shared" si="1"/>
        <v>#VALUE!</v>
      </c>
      <c r="BG447" s="21">
        <f t="shared" si="2"/>
        <v>12</v>
      </c>
    </row>
    <row r="448">
      <c r="P448" s="161"/>
      <c r="AI448" s="102"/>
      <c r="AK448" s="105" t="s">
        <v>2517</v>
      </c>
      <c r="AO448" s="53" t="s">
        <v>2518</v>
      </c>
      <c r="AP448" s="21"/>
      <c r="AQ448" s="21"/>
      <c r="AR448" s="21"/>
      <c r="AS448" s="21"/>
      <c r="AT448" s="21"/>
      <c r="AU448" s="21"/>
      <c r="AV448" s="21"/>
      <c r="AW448" s="21"/>
      <c r="AX448" s="21"/>
      <c r="AY448" s="21"/>
      <c r="AZ448" s="21"/>
      <c r="BA448" s="21"/>
      <c r="BB448" s="21"/>
      <c r="BF448" s="106" t="str">
        <f t="shared" si="1"/>
        <v>#VALUE!</v>
      </c>
      <c r="BG448" s="21">
        <f t="shared" si="2"/>
        <v>12</v>
      </c>
    </row>
    <row r="449">
      <c r="P449" s="161"/>
      <c r="AI449" s="102"/>
      <c r="AK449" s="382" t="s">
        <v>848</v>
      </c>
      <c r="AO449" s="21" t="s">
        <v>2521</v>
      </c>
      <c r="AP449" s="21"/>
      <c r="AQ449" s="21"/>
      <c r="AR449" s="20" t="s">
        <v>2522</v>
      </c>
      <c r="AS449" s="139" t="s">
        <v>2523</v>
      </c>
      <c r="AT449" s="20" t="s">
        <v>2108</v>
      </c>
      <c r="AU449" s="21"/>
      <c r="AV449" s="21"/>
      <c r="AW449" s="21"/>
      <c r="AX449" s="21"/>
      <c r="AY449" s="21"/>
      <c r="AZ449" s="21"/>
      <c r="BA449" s="21"/>
      <c r="BB449" s="21"/>
      <c r="BF449" s="106" t="str">
        <f t="shared" si="1"/>
        <v>#VALUE!</v>
      </c>
      <c r="BG449" s="21">
        <f t="shared" si="2"/>
        <v>12</v>
      </c>
    </row>
    <row r="450">
      <c r="P450" s="161"/>
      <c r="AI450" s="102"/>
      <c r="AK450" s="105" t="s">
        <v>2524</v>
      </c>
      <c r="AO450" s="21" t="s">
        <v>2525</v>
      </c>
      <c r="AP450" s="20" t="s">
        <v>2526</v>
      </c>
      <c r="AQ450" s="21"/>
      <c r="AR450" s="21"/>
      <c r="AS450" s="20" t="s">
        <v>2108</v>
      </c>
      <c r="AT450" s="21"/>
      <c r="AU450" s="21"/>
      <c r="AV450" s="21"/>
      <c r="AW450" s="21"/>
      <c r="AX450" s="21"/>
      <c r="AY450" s="21"/>
      <c r="AZ450" s="21"/>
      <c r="BA450" s="21"/>
      <c r="BB450" s="21"/>
      <c r="BF450" s="106" t="str">
        <f t="shared" si="1"/>
        <v>#VALUE!</v>
      </c>
      <c r="BG450" s="21">
        <f t="shared" si="2"/>
        <v>12</v>
      </c>
    </row>
    <row r="451">
      <c r="P451" s="161"/>
      <c r="AI451" s="102"/>
      <c r="AK451" s="105" t="s">
        <v>2527</v>
      </c>
      <c r="AO451" s="53" t="s">
        <v>2528</v>
      </c>
      <c r="AP451" s="21"/>
      <c r="AQ451" s="21"/>
      <c r="AR451" s="21"/>
      <c r="AS451" s="21"/>
      <c r="AT451" s="21"/>
      <c r="AU451" s="21"/>
      <c r="AV451" s="21"/>
      <c r="AW451" s="21"/>
      <c r="AX451" s="21"/>
      <c r="AY451" s="21"/>
      <c r="AZ451" s="21"/>
      <c r="BA451" s="21"/>
      <c r="BB451" s="21"/>
      <c r="BF451" s="106" t="str">
        <f t="shared" si="1"/>
        <v>#VALUE!</v>
      </c>
      <c r="BG451" s="21">
        <f t="shared" si="2"/>
        <v>12</v>
      </c>
    </row>
    <row r="452">
      <c r="P452" s="161"/>
      <c r="AI452" s="102"/>
      <c r="AK452" s="105" t="s">
        <v>2529</v>
      </c>
      <c r="AO452" s="21" t="s">
        <v>2530</v>
      </c>
      <c r="AP452" s="21" t="s">
        <v>2163</v>
      </c>
      <c r="AQ452" s="20" t="s">
        <v>2531</v>
      </c>
      <c r="AR452" s="21"/>
      <c r="AS452" s="21"/>
      <c r="AT452" s="20" t="s">
        <v>2532</v>
      </c>
      <c r="AU452" s="21"/>
      <c r="AV452" s="21"/>
      <c r="AW452" s="21"/>
      <c r="AX452" s="21"/>
      <c r="AY452" s="21"/>
      <c r="AZ452" s="21"/>
      <c r="BA452" s="21"/>
      <c r="BB452" s="21"/>
      <c r="BF452" s="106" t="str">
        <f t="shared" si="1"/>
        <v>#VALUE!</v>
      </c>
      <c r="BG452" s="21">
        <f t="shared" si="2"/>
        <v>12</v>
      </c>
    </row>
    <row r="453">
      <c r="P453" s="161"/>
      <c r="AI453" s="102"/>
      <c r="AK453" s="105" t="s">
        <v>2534</v>
      </c>
      <c r="AO453" s="20" t="s">
        <v>2535</v>
      </c>
      <c r="AP453" s="20" t="s">
        <v>2536</v>
      </c>
      <c r="AQ453" s="21"/>
      <c r="AR453" s="21"/>
      <c r="AS453" s="20" t="s">
        <v>2532</v>
      </c>
      <c r="AT453" s="21"/>
      <c r="AU453" s="21"/>
      <c r="AV453" s="21"/>
      <c r="AW453" s="21"/>
      <c r="AX453" s="21"/>
      <c r="AY453" s="21"/>
      <c r="AZ453" s="21"/>
      <c r="BA453" s="21"/>
      <c r="BB453" s="21"/>
      <c r="BF453" s="106" t="str">
        <f t="shared" si="1"/>
        <v>#VALUE!</v>
      </c>
      <c r="BG453" s="21">
        <f t="shared" si="2"/>
        <v>12</v>
      </c>
    </row>
    <row r="454">
      <c r="P454" s="161"/>
      <c r="AI454" s="102"/>
      <c r="AK454" s="105" t="s">
        <v>1013</v>
      </c>
      <c r="AO454" s="53" t="s">
        <v>2537</v>
      </c>
      <c r="AP454" s="21"/>
      <c r="AQ454" s="20" t="s">
        <v>2538</v>
      </c>
      <c r="AR454" s="86" t="s">
        <v>2539</v>
      </c>
      <c r="AS454" s="21"/>
      <c r="AT454" s="139" t="s">
        <v>2540</v>
      </c>
      <c r="AU454" s="21"/>
      <c r="AV454" s="20" t="s">
        <v>2541</v>
      </c>
      <c r="AW454" s="21"/>
      <c r="AX454" s="21"/>
      <c r="AY454" s="21"/>
      <c r="AZ454" s="21"/>
      <c r="BA454" s="21"/>
      <c r="BB454" s="21"/>
      <c r="BF454" s="106" t="str">
        <f t="shared" si="1"/>
        <v>#VALUE!</v>
      </c>
      <c r="BG454" s="21">
        <f t="shared" si="2"/>
        <v>12</v>
      </c>
    </row>
    <row r="455">
      <c r="P455" s="161"/>
      <c r="AI455" s="102"/>
      <c r="AK455" s="105" t="s">
        <v>2542</v>
      </c>
      <c r="AO455" s="53" t="s">
        <v>2543</v>
      </c>
      <c r="AP455" s="21" t="s">
        <v>1778</v>
      </c>
      <c r="AQ455" s="21"/>
      <c r="AR455" s="21"/>
      <c r="AS455" s="21"/>
      <c r="AT455" s="139" t="s">
        <v>2544</v>
      </c>
      <c r="AU455" s="21"/>
      <c r="AV455" s="21"/>
      <c r="AW455" s="21"/>
      <c r="AX455" s="21"/>
      <c r="AY455" s="21"/>
      <c r="AZ455" s="21"/>
      <c r="BA455" s="21"/>
      <c r="BB455" s="21"/>
      <c r="BF455" s="106" t="str">
        <f t="shared" si="1"/>
        <v>#VALUE!</v>
      </c>
      <c r="BG455" s="21">
        <f t="shared" si="2"/>
        <v>12</v>
      </c>
    </row>
    <row r="456">
      <c r="P456" s="161"/>
      <c r="AI456" s="102"/>
      <c r="AK456" s="105" t="s">
        <v>2545</v>
      </c>
      <c r="AO456" s="53" t="s">
        <v>2546</v>
      </c>
      <c r="AP456" s="21"/>
      <c r="AQ456" s="21" t="s">
        <v>1778</v>
      </c>
      <c r="AR456" s="21"/>
      <c r="AS456" s="21"/>
      <c r="AT456" s="21"/>
      <c r="AU456" s="21"/>
      <c r="AV456" s="21"/>
      <c r="AW456" s="21"/>
      <c r="AX456" s="21"/>
      <c r="AY456" s="21"/>
      <c r="AZ456" s="21"/>
      <c r="BA456" s="21"/>
      <c r="BB456" s="21"/>
      <c r="BF456" s="106" t="str">
        <f t="shared" si="1"/>
        <v>#VALUE!</v>
      </c>
      <c r="BG456" s="21">
        <f t="shared" si="2"/>
        <v>12</v>
      </c>
    </row>
    <row r="457">
      <c r="P457" s="161"/>
      <c r="AI457" s="102"/>
      <c r="AK457" s="105" t="s">
        <v>903</v>
      </c>
      <c r="AO457" s="53" t="s">
        <v>2549</v>
      </c>
      <c r="AP457" s="21"/>
      <c r="AQ457" s="20" t="s">
        <v>2550</v>
      </c>
      <c r="AR457" s="21"/>
      <c r="AS457" s="20" t="s">
        <v>2551</v>
      </c>
      <c r="AT457" s="21"/>
      <c r="AU457" s="21"/>
      <c r="AV457" s="21"/>
      <c r="AW457" s="21"/>
      <c r="AX457" s="21"/>
      <c r="AY457" s="21"/>
      <c r="AZ457" s="21"/>
      <c r="BA457" s="21"/>
      <c r="BB457" s="21"/>
      <c r="BF457" s="106" t="str">
        <f t="shared" si="1"/>
        <v>#VALUE!</v>
      </c>
      <c r="BG457" s="21">
        <f t="shared" si="2"/>
        <v>12</v>
      </c>
    </row>
    <row r="458">
      <c r="P458" s="161"/>
      <c r="AI458" s="102"/>
      <c r="AK458" s="105" t="s">
        <v>2552</v>
      </c>
      <c r="AO458" s="21" t="s">
        <v>2553</v>
      </c>
      <c r="AP458" s="21"/>
      <c r="AQ458" s="21"/>
      <c r="AR458" s="21"/>
      <c r="AS458" s="21"/>
      <c r="AT458" s="21"/>
      <c r="AU458" s="21"/>
      <c r="AV458" s="21"/>
      <c r="AW458" s="21"/>
      <c r="AX458" s="21"/>
      <c r="AY458" s="21"/>
      <c r="AZ458" s="21"/>
      <c r="BA458" s="21"/>
      <c r="BB458" s="21"/>
      <c r="BF458" s="106" t="str">
        <f t="shared" si="1"/>
        <v>#VALUE!</v>
      </c>
      <c r="BG458" s="21">
        <f t="shared" si="2"/>
        <v>12</v>
      </c>
    </row>
    <row r="459">
      <c r="P459" s="161"/>
      <c r="AI459" s="102"/>
      <c r="AK459" s="105" t="s">
        <v>2557</v>
      </c>
      <c r="AO459" s="21" t="s">
        <v>2558</v>
      </c>
      <c r="AP459" s="21"/>
      <c r="AQ459" s="21"/>
      <c r="AR459" s="21"/>
      <c r="AS459" s="21"/>
      <c r="AT459" s="21"/>
      <c r="AU459" s="21"/>
      <c r="AV459" s="21"/>
      <c r="AW459" s="21"/>
      <c r="AX459" s="21"/>
      <c r="AY459" s="21"/>
      <c r="AZ459" s="21"/>
      <c r="BA459" s="21"/>
      <c r="BB459" s="21"/>
      <c r="BF459" s="106" t="str">
        <f t="shared" si="1"/>
        <v>#VALUE!</v>
      </c>
      <c r="BG459" s="21">
        <f t="shared" si="2"/>
        <v>12</v>
      </c>
    </row>
    <row r="460">
      <c r="P460" s="161"/>
      <c r="AI460" s="102"/>
      <c r="AK460" s="105" t="s">
        <v>948</v>
      </c>
      <c r="AO460" s="21" t="s">
        <v>2559</v>
      </c>
      <c r="AP460" s="21"/>
      <c r="AQ460" s="21"/>
      <c r="AR460" s="21"/>
      <c r="AS460" s="20" t="s">
        <v>2560</v>
      </c>
      <c r="AT460" s="21"/>
      <c r="AU460" s="21"/>
      <c r="AV460" s="21"/>
      <c r="AW460" s="21"/>
      <c r="AX460" s="21"/>
      <c r="AY460" s="21"/>
      <c r="AZ460" s="21"/>
      <c r="BA460" s="21"/>
      <c r="BB460" s="21"/>
      <c r="BF460" s="106" t="str">
        <f t="shared" si="1"/>
        <v>#VALUE!</v>
      </c>
      <c r="BG460" s="21">
        <f t="shared" si="2"/>
        <v>12</v>
      </c>
    </row>
    <row r="461">
      <c r="P461" s="161"/>
      <c r="AI461" s="102"/>
      <c r="AK461" s="105" t="s">
        <v>2561</v>
      </c>
      <c r="AL461" s="86" t="s">
        <v>2562</v>
      </c>
      <c r="AO461" s="21" t="s">
        <v>2563</v>
      </c>
      <c r="AP461" s="21"/>
      <c r="AQ461" s="139" t="s">
        <v>2564</v>
      </c>
      <c r="AR461" s="21"/>
      <c r="AS461" s="21"/>
      <c r="AT461" s="21"/>
      <c r="AU461" s="21"/>
      <c r="AV461" s="21"/>
      <c r="AW461" s="21"/>
      <c r="AX461" s="21"/>
      <c r="AY461" s="21"/>
      <c r="AZ461" s="21"/>
      <c r="BA461" s="21"/>
      <c r="BB461" s="21"/>
      <c r="BF461" s="106" t="str">
        <f t="shared" si="1"/>
        <v>#VALUE!</v>
      </c>
      <c r="BG461" s="21">
        <f t="shared" si="2"/>
        <v>12</v>
      </c>
    </row>
    <row r="462">
      <c r="P462" s="161"/>
      <c r="AI462" s="102"/>
      <c r="AK462" s="105" t="s">
        <v>904</v>
      </c>
      <c r="AO462" s="21" t="s">
        <v>2565</v>
      </c>
      <c r="AP462" s="21"/>
      <c r="AQ462" s="21" t="s">
        <v>1778</v>
      </c>
      <c r="AR462" s="21"/>
      <c r="AS462" s="21"/>
      <c r="AT462" s="21"/>
      <c r="AU462" s="21"/>
      <c r="AV462" s="21"/>
      <c r="AW462" s="21"/>
      <c r="AX462" s="21"/>
      <c r="AY462" s="21"/>
      <c r="AZ462" s="21"/>
      <c r="BA462" s="21"/>
      <c r="BB462" s="21"/>
      <c r="BF462" s="106" t="str">
        <f t="shared" si="1"/>
        <v>#VALUE!</v>
      </c>
      <c r="BG462" s="21">
        <f t="shared" si="2"/>
        <v>12</v>
      </c>
    </row>
    <row r="463">
      <c r="P463" s="161"/>
      <c r="AI463" s="102"/>
      <c r="AK463" s="105" t="s">
        <v>909</v>
      </c>
      <c r="AO463" s="21" t="s">
        <v>2567</v>
      </c>
      <c r="AP463" s="21" t="s">
        <v>2568</v>
      </c>
      <c r="AQ463" s="21" t="s">
        <v>2569</v>
      </c>
      <c r="AR463" s="21"/>
      <c r="AS463" s="20" t="s">
        <v>2108</v>
      </c>
      <c r="AT463" s="21"/>
      <c r="AU463" s="21"/>
      <c r="AV463" s="139" t="s">
        <v>2570</v>
      </c>
      <c r="AW463" s="21"/>
      <c r="AX463" s="21"/>
      <c r="AY463" s="21"/>
      <c r="AZ463" s="21"/>
      <c r="BA463" s="21"/>
      <c r="BB463" s="21"/>
      <c r="BF463" s="106" t="str">
        <f t="shared" si="1"/>
        <v>#VALUE!</v>
      </c>
      <c r="BG463" s="21">
        <f t="shared" si="2"/>
        <v>12</v>
      </c>
    </row>
    <row r="464">
      <c r="P464" s="161"/>
      <c r="AI464" s="102"/>
      <c r="AK464" s="105" t="s">
        <v>2571</v>
      </c>
      <c r="AO464" s="21" t="s">
        <v>2576</v>
      </c>
      <c r="AP464" s="21" t="s">
        <v>2577</v>
      </c>
      <c r="AQ464" s="53" t="s">
        <v>2578</v>
      </c>
      <c r="AR464" s="21"/>
      <c r="AS464" s="139" t="s">
        <v>2579</v>
      </c>
      <c r="AT464" s="139" t="s">
        <v>2580</v>
      </c>
      <c r="AU464" s="21"/>
      <c r="AV464" s="21"/>
      <c r="AW464" s="21"/>
      <c r="AX464" s="21"/>
      <c r="AY464" s="21"/>
      <c r="AZ464" s="21"/>
      <c r="BA464" s="21"/>
      <c r="BB464" s="21"/>
      <c r="BF464" s="106" t="str">
        <f t="shared" si="1"/>
        <v>#VALUE!</v>
      </c>
      <c r="BG464" s="21">
        <f t="shared" si="2"/>
        <v>12</v>
      </c>
    </row>
    <row r="465">
      <c r="P465" s="161"/>
      <c r="AI465" s="102"/>
      <c r="AK465" s="105" t="s">
        <v>912</v>
      </c>
      <c r="AO465" s="53" t="s">
        <v>2581</v>
      </c>
      <c r="AP465" s="21"/>
      <c r="AQ465" s="21" t="s">
        <v>1778</v>
      </c>
      <c r="AR465" s="21"/>
      <c r="AS465" s="21"/>
      <c r="AT465" s="21"/>
      <c r="AU465" s="21"/>
      <c r="AV465" s="21"/>
      <c r="AW465" s="21"/>
      <c r="AX465" s="21"/>
      <c r="AY465" s="21"/>
      <c r="AZ465" s="21"/>
      <c r="BA465" s="21"/>
      <c r="BB465" s="21"/>
      <c r="BF465" s="106" t="str">
        <f t="shared" si="1"/>
        <v>#VALUE!</v>
      </c>
      <c r="BG465" s="21">
        <f t="shared" si="2"/>
        <v>12</v>
      </c>
    </row>
    <row r="466">
      <c r="P466" s="161"/>
      <c r="AI466" s="102"/>
      <c r="AK466" s="105" t="s">
        <v>2582</v>
      </c>
      <c r="AO466" s="21" t="s">
        <v>2583</v>
      </c>
      <c r="AP466" s="21" t="s">
        <v>2584</v>
      </c>
      <c r="AQ466" s="21"/>
      <c r="AR466" s="21"/>
      <c r="AS466" s="21"/>
      <c r="AT466" s="20" t="s">
        <v>2585</v>
      </c>
      <c r="AU466" s="21"/>
      <c r="AV466" s="21"/>
      <c r="AW466" s="21"/>
      <c r="AX466" s="21"/>
      <c r="AY466" s="21"/>
      <c r="AZ466" s="21"/>
      <c r="BA466" s="21"/>
      <c r="BB466" s="21"/>
      <c r="BF466" s="106" t="str">
        <f t="shared" si="1"/>
        <v>#VALUE!</v>
      </c>
      <c r="BG466" s="21">
        <f t="shared" si="2"/>
        <v>12</v>
      </c>
    </row>
    <row r="467">
      <c r="P467" s="161"/>
      <c r="AI467" s="102"/>
      <c r="AK467" s="105" t="s">
        <v>2586</v>
      </c>
      <c r="AO467" s="21" t="s">
        <v>2587</v>
      </c>
      <c r="AP467" s="21"/>
      <c r="AQ467" s="139" t="s">
        <v>2588</v>
      </c>
      <c r="AR467" s="21"/>
      <c r="AS467" s="21"/>
      <c r="AT467" s="21"/>
      <c r="AU467" s="21"/>
      <c r="AV467" s="21"/>
      <c r="AW467" s="21"/>
      <c r="AX467" s="21"/>
      <c r="AY467" s="21"/>
      <c r="AZ467" s="21"/>
      <c r="BA467" s="21"/>
      <c r="BB467" s="21"/>
      <c r="BF467" s="106" t="str">
        <f t="shared" si="1"/>
        <v>#VALUE!</v>
      </c>
      <c r="BG467" s="21">
        <f t="shared" si="2"/>
        <v>12</v>
      </c>
    </row>
    <row r="468">
      <c r="P468" s="161"/>
      <c r="AI468" s="102"/>
      <c r="AK468" s="105" t="s">
        <v>2589</v>
      </c>
      <c r="AO468" s="21" t="s">
        <v>2590</v>
      </c>
      <c r="AP468" s="20" t="s">
        <v>2591</v>
      </c>
      <c r="AQ468" s="20" t="s">
        <v>2173</v>
      </c>
      <c r="AR468" s="21"/>
      <c r="AS468" s="21"/>
      <c r="AT468" s="21"/>
      <c r="AU468" s="21"/>
      <c r="AV468" s="21"/>
      <c r="AW468" s="21"/>
      <c r="AX468" s="21"/>
      <c r="AY468" s="21"/>
      <c r="AZ468" s="21"/>
      <c r="BA468" s="21"/>
      <c r="BB468" s="21"/>
      <c r="BF468" s="106" t="str">
        <f t="shared" si="1"/>
        <v>#VALUE!</v>
      </c>
      <c r="BG468" s="21">
        <f t="shared" si="2"/>
        <v>12</v>
      </c>
    </row>
    <row r="469">
      <c r="P469" s="161"/>
      <c r="AI469" s="102"/>
      <c r="AK469" s="105" t="s">
        <v>914</v>
      </c>
      <c r="AO469" s="53" t="s">
        <v>2594</v>
      </c>
      <c r="AP469" s="21"/>
      <c r="AQ469" s="21" t="s">
        <v>1778</v>
      </c>
      <c r="AR469" s="21"/>
      <c r="AS469" s="21"/>
      <c r="AT469" s="21"/>
      <c r="AU469" s="21"/>
      <c r="AV469" s="21"/>
      <c r="AW469" s="21"/>
      <c r="AX469" s="21"/>
      <c r="AY469" s="21"/>
      <c r="AZ469" s="21"/>
      <c r="BA469" s="21"/>
      <c r="BB469" s="21"/>
      <c r="BF469" s="106" t="str">
        <f t="shared" si="1"/>
        <v>#VALUE!</v>
      </c>
      <c r="BG469" s="21">
        <f t="shared" si="2"/>
        <v>12</v>
      </c>
    </row>
    <row r="470">
      <c r="P470" s="161"/>
      <c r="AI470" s="102"/>
      <c r="AK470" s="105" t="s">
        <v>2595</v>
      </c>
      <c r="AL470" s="246" t="s">
        <v>2596</v>
      </c>
      <c r="AO470" s="21" t="s">
        <v>2597</v>
      </c>
      <c r="AP470" s="21"/>
      <c r="AQ470" s="21"/>
      <c r="AR470" s="21"/>
      <c r="AS470" s="21"/>
      <c r="AT470" s="21"/>
      <c r="AU470" s="21"/>
      <c r="AV470" s="21"/>
      <c r="AW470" s="21"/>
      <c r="AX470" s="21"/>
      <c r="AY470" s="21"/>
      <c r="AZ470" s="21"/>
      <c r="BA470" s="21"/>
      <c r="BB470" s="21"/>
      <c r="BF470" s="106" t="str">
        <f t="shared" si="1"/>
        <v>#VALUE!</v>
      </c>
      <c r="BG470" s="21">
        <f t="shared" si="2"/>
        <v>12</v>
      </c>
    </row>
    <row r="471">
      <c r="P471" s="161"/>
      <c r="AI471" s="102"/>
      <c r="AK471" s="105" t="s">
        <v>2598</v>
      </c>
      <c r="AO471" s="53" t="s">
        <v>2599</v>
      </c>
      <c r="AP471" s="53" t="s">
        <v>2600</v>
      </c>
      <c r="AQ471" s="21"/>
      <c r="AR471" s="21"/>
      <c r="AS471" s="21"/>
      <c r="AT471" s="21"/>
      <c r="AU471" s="21"/>
      <c r="AV471" s="21"/>
      <c r="AW471" s="21"/>
      <c r="AX471" s="21"/>
      <c r="AY471" s="21"/>
      <c r="AZ471" s="21"/>
      <c r="BA471" s="21"/>
      <c r="BB471" s="21"/>
      <c r="BF471" s="106" t="str">
        <f t="shared" si="1"/>
        <v>#VALUE!</v>
      </c>
      <c r="BG471" s="21">
        <f t="shared" si="2"/>
        <v>12</v>
      </c>
    </row>
    <row r="472">
      <c r="P472" s="161"/>
      <c r="AI472" s="102"/>
      <c r="AK472" s="105" t="s">
        <v>2601</v>
      </c>
      <c r="AO472" s="21" t="s">
        <v>2603</v>
      </c>
      <c r="AP472" s="139" t="s">
        <v>2604</v>
      </c>
      <c r="AQ472" s="21"/>
      <c r="AR472" s="20" t="s">
        <v>2173</v>
      </c>
      <c r="AS472" s="20" t="s">
        <v>2606</v>
      </c>
      <c r="AT472" s="21"/>
      <c r="AU472" s="21"/>
      <c r="AV472" s="21"/>
      <c r="AW472" s="21"/>
      <c r="AX472" s="21"/>
      <c r="AY472" s="21"/>
      <c r="AZ472" s="21"/>
      <c r="BA472" s="21"/>
      <c r="BB472" s="21"/>
      <c r="BF472" s="106" t="str">
        <f t="shared" si="1"/>
        <v>#VALUE!</v>
      </c>
      <c r="BG472" s="21">
        <f t="shared" si="2"/>
        <v>12</v>
      </c>
    </row>
    <row r="473">
      <c r="P473" s="161"/>
      <c r="AI473" s="102"/>
      <c r="AK473" s="105" t="s">
        <v>2607</v>
      </c>
      <c r="AO473" s="21" t="s">
        <v>2608</v>
      </c>
      <c r="AP473" s="21"/>
      <c r="AQ473" s="21"/>
      <c r="AR473" s="21"/>
      <c r="AS473" s="21"/>
      <c r="AT473" s="21"/>
      <c r="AU473" s="21"/>
      <c r="AV473" s="21"/>
      <c r="AW473" s="21"/>
      <c r="AX473" s="21"/>
      <c r="AY473" s="21"/>
      <c r="AZ473" s="21"/>
      <c r="BA473" s="21"/>
      <c r="BB473" s="21"/>
      <c r="BF473" s="106" t="str">
        <f t="shared" si="1"/>
        <v>#VALUE!</v>
      </c>
      <c r="BG473" s="21">
        <f t="shared" si="2"/>
        <v>12</v>
      </c>
    </row>
    <row r="474">
      <c r="P474" s="161"/>
      <c r="AI474" s="102"/>
      <c r="AK474" s="105" t="s">
        <v>2609</v>
      </c>
      <c r="AO474" s="21" t="s">
        <v>2610</v>
      </c>
      <c r="AP474" s="53" t="s">
        <v>2611</v>
      </c>
      <c r="AQ474" s="21"/>
      <c r="AR474" s="20" t="s">
        <v>2612</v>
      </c>
      <c r="AS474" s="21"/>
      <c r="AT474" s="21"/>
      <c r="AU474" s="21"/>
      <c r="AV474" s="21"/>
      <c r="AW474" s="21"/>
      <c r="AX474" s="21"/>
      <c r="AY474" s="21"/>
      <c r="AZ474" s="21"/>
      <c r="BA474" s="21"/>
      <c r="BB474" s="21"/>
      <c r="BF474" s="106" t="str">
        <f t="shared" si="1"/>
        <v>#VALUE!</v>
      </c>
      <c r="BG474" s="21">
        <f t="shared" si="2"/>
        <v>12</v>
      </c>
    </row>
    <row r="475">
      <c r="P475" s="161"/>
      <c r="AI475" s="102"/>
      <c r="AK475" s="105" t="s">
        <v>2613</v>
      </c>
      <c r="AO475" s="21" t="s">
        <v>2614</v>
      </c>
      <c r="AP475" s="21" t="s">
        <v>2615</v>
      </c>
      <c r="AQ475" s="21"/>
      <c r="AR475" s="21"/>
      <c r="AS475" s="21"/>
      <c r="AT475" s="21"/>
      <c r="AU475" s="21"/>
      <c r="AV475" s="21"/>
      <c r="AW475" s="21"/>
      <c r="AX475" s="21"/>
      <c r="AY475" s="21"/>
      <c r="AZ475" s="21"/>
      <c r="BA475" s="21"/>
      <c r="BB475" s="21"/>
      <c r="BF475" s="106" t="str">
        <f t="shared" si="1"/>
        <v>#VALUE!</v>
      </c>
      <c r="BG475" s="21">
        <f t="shared" si="2"/>
        <v>12</v>
      </c>
    </row>
    <row r="476">
      <c r="P476" s="161"/>
      <c r="AI476" s="102"/>
      <c r="AK476" s="105" t="s">
        <v>2616</v>
      </c>
      <c r="AO476" s="53" t="s">
        <v>2620</v>
      </c>
      <c r="AP476" s="21" t="s">
        <v>1778</v>
      </c>
      <c r="AQ476" s="21"/>
      <c r="AR476" s="21"/>
      <c r="AS476" s="21"/>
      <c r="AT476" s="21"/>
      <c r="AU476" s="21"/>
      <c r="AV476" s="21"/>
      <c r="AW476" s="21"/>
      <c r="AX476" s="21"/>
      <c r="AY476" s="21"/>
      <c r="AZ476" s="21"/>
      <c r="BA476" s="21"/>
      <c r="BB476" s="21"/>
      <c r="BF476" s="106" t="str">
        <f t="shared" si="1"/>
        <v>#VALUE!</v>
      </c>
      <c r="BG476" s="21">
        <f t="shared" si="2"/>
        <v>12</v>
      </c>
    </row>
    <row r="477">
      <c r="P477" s="161"/>
      <c r="AI477" s="102"/>
      <c r="AK477" s="105" t="s">
        <v>2621</v>
      </c>
      <c r="AO477" s="53" t="s">
        <v>2622</v>
      </c>
      <c r="AP477" s="21"/>
      <c r="AQ477" s="21"/>
      <c r="AR477" s="21"/>
      <c r="AS477" s="21"/>
      <c r="AT477" s="21"/>
      <c r="AU477" s="21"/>
      <c r="AV477" s="21"/>
      <c r="AW477" s="21"/>
      <c r="AX477" s="21"/>
      <c r="AY477" s="21"/>
      <c r="AZ477" s="21"/>
      <c r="BA477" s="21"/>
      <c r="BB477" s="21"/>
      <c r="BF477" s="106" t="str">
        <f t="shared" si="1"/>
        <v>#VALUE!</v>
      </c>
      <c r="BG477" s="21">
        <f t="shared" si="2"/>
        <v>12</v>
      </c>
    </row>
    <row r="478">
      <c r="P478" s="161"/>
      <c r="AI478" s="102"/>
      <c r="AK478" s="105" t="s">
        <v>2623</v>
      </c>
      <c r="AO478" s="21" t="s">
        <v>2626</v>
      </c>
      <c r="AP478" s="53" t="s">
        <v>2627</v>
      </c>
      <c r="AQ478" s="21"/>
      <c r="AR478" s="21"/>
      <c r="AS478" s="21"/>
      <c r="AT478" s="21"/>
      <c r="AU478" s="21"/>
      <c r="AV478" s="21"/>
      <c r="AW478" s="21"/>
      <c r="AX478" s="21"/>
      <c r="AY478" s="21"/>
      <c r="AZ478" s="21"/>
      <c r="BA478" s="21"/>
      <c r="BB478" s="21"/>
      <c r="BF478" s="106" t="str">
        <f t="shared" si="1"/>
        <v>#VALUE!</v>
      </c>
      <c r="BG478" s="21">
        <f t="shared" si="2"/>
        <v>12</v>
      </c>
    </row>
    <row r="479">
      <c r="P479" s="161"/>
      <c r="AI479" s="102"/>
      <c r="AK479" s="105" t="s">
        <v>36</v>
      </c>
      <c r="AL479" s="246" t="s">
        <v>2628</v>
      </c>
      <c r="AO479" s="21"/>
      <c r="AP479" s="21"/>
      <c r="AQ479" s="21"/>
      <c r="AR479" s="21"/>
      <c r="AS479" s="21"/>
      <c r="AT479" s="21"/>
      <c r="AU479" s="21"/>
      <c r="AV479" s="21"/>
      <c r="AW479" s="21"/>
      <c r="AX479" s="21"/>
      <c r="AY479" s="21"/>
      <c r="AZ479" s="21"/>
      <c r="BA479" s="21"/>
      <c r="BB479" s="21"/>
      <c r="BF479" s="106" t="str">
        <f t="shared" si="1"/>
        <v>#VALUE!</v>
      </c>
      <c r="BG479" s="21">
        <f t="shared" si="2"/>
        <v>12</v>
      </c>
    </row>
    <row r="480">
      <c r="P480" s="161"/>
      <c r="AI480" s="102"/>
      <c r="AK480" s="105" t="s">
        <v>2629</v>
      </c>
      <c r="AO480" s="20" t="s">
        <v>2632</v>
      </c>
      <c r="AP480" s="21"/>
      <c r="AQ480" s="20" t="s">
        <v>2633</v>
      </c>
      <c r="AR480" s="21"/>
      <c r="AS480" s="21"/>
      <c r="AT480" s="21"/>
      <c r="AU480" s="21"/>
      <c r="AV480" s="21"/>
      <c r="AW480" s="21"/>
      <c r="AX480" s="21"/>
      <c r="AY480" s="21"/>
      <c r="AZ480" s="21"/>
      <c r="BA480" s="21"/>
      <c r="BB480" s="21"/>
      <c r="BF480" s="106" t="str">
        <f t="shared" si="1"/>
        <v>#VALUE!</v>
      </c>
      <c r="BG480" s="21">
        <f t="shared" si="2"/>
        <v>12</v>
      </c>
    </row>
    <row r="481">
      <c r="P481" s="161"/>
      <c r="AI481" s="102"/>
      <c r="AK481" s="105" t="s">
        <v>2634</v>
      </c>
      <c r="AL481" s="58"/>
      <c r="AO481" s="21" t="s">
        <v>2635</v>
      </c>
      <c r="AP481" s="21"/>
      <c r="AQ481" s="21"/>
      <c r="AR481" s="21"/>
      <c r="AS481" s="21"/>
      <c r="AT481" s="21"/>
      <c r="AU481" s="21"/>
      <c r="AV481" s="21"/>
      <c r="AW481" s="21"/>
      <c r="AX481" s="21"/>
      <c r="AY481" s="21"/>
      <c r="AZ481" s="21"/>
      <c r="BA481" s="21"/>
      <c r="BB481" s="21"/>
      <c r="BF481" s="106" t="str">
        <f t="shared" si="1"/>
        <v>#VALUE!</v>
      </c>
      <c r="BG481" s="21">
        <f t="shared" si="2"/>
        <v>12</v>
      </c>
    </row>
    <row r="482">
      <c r="A482" s="391"/>
      <c r="B482" s="391"/>
      <c r="C482" s="391"/>
      <c r="D482" s="391"/>
      <c r="E482" s="391"/>
      <c r="P482" s="161"/>
      <c r="AI482" s="102"/>
      <c r="AK482" s="105" t="s">
        <v>2638</v>
      </c>
      <c r="AO482" s="20" t="s">
        <v>124</v>
      </c>
      <c r="AP482" s="20" t="s">
        <v>124</v>
      </c>
      <c r="AQ482" s="21"/>
      <c r="AR482" s="21"/>
      <c r="AS482" s="21"/>
      <c r="AT482" s="20" t="s">
        <v>120</v>
      </c>
      <c r="AU482" s="21"/>
      <c r="AV482" s="21"/>
      <c r="AW482" s="21"/>
      <c r="AX482" s="21"/>
      <c r="AY482" s="21"/>
      <c r="AZ482" s="21"/>
      <c r="BA482" s="21"/>
      <c r="BB482" s="21"/>
      <c r="BC482" s="12"/>
      <c r="BD482" s="12"/>
      <c r="BF482" s="106" t="str">
        <f t="shared" si="1"/>
        <v>#VALUE!</v>
      </c>
      <c r="BG482" s="21">
        <f t="shared" si="2"/>
        <v>12</v>
      </c>
    </row>
    <row r="483">
      <c r="P483" s="161"/>
      <c r="AI483" s="102"/>
      <c r="AK483" s="105" t="s">
        <v>2645</v>
      </c>
      <c r="AO483" s="20" t="s">
        <v>120</v>
      </c>
      <c r="AP483" s="20" t="s">
        <v>120</v>
      </c>
      <c r="AQ483" s="20" t="s">
        <v>120</v>
      </c>
      <c r="AR483" s="21"/>
      <c r="AS483" s="21"/>
      <c r="AT483" s="21"/>
      <c r="AU483" s="21"/>
      <c r="AV483" s="21"/>
      <c r="AW483" s="21"/>
      <c r="AX483" s="21"/>
      <c r="AY483" s="21"/>
      <c r="AZ483" s="21"/>
      <c r="BA483" s="21"/>
      <c r="BB483" s="21"/>
      <c r="BC483" s="12"/>
      <c r="BD483" s="12"/>
      <c r="BF483" s="106" t="str">
        <f t="shared" si="1"/>
        <v>#VALUE!</v>
      </c>
      <c r="BG483" s="21">
        <f t="shared" si="2"/>
        <v>12</v>
      </c>
    </row>
    <row r="484">
      <c r="P484" s="161"/>
      <c r="AI484" s="102"/>
      <c r="AK484" s="105" t="s">
        <v>2651</v>
      </c>
      <c r="AO484" s="20" t="s">
        <v>120</v>
      </c>
      <c r="AP484" s="20" t="s">
        <v>120</v>
      </c>
      <c r="AQ484" s="21"/>
      <c r="AR484" s="21"/>
      <c r="AS484" s="21"/>
      <c r="AT484" s="21"/>
      <c r="AU484" s="21"/>
      <c r="AV484" s="21"/>
      <c r="AW484" s="21"/>
      <c r="AX484" s="21"/>
      <c r="AY484" s="21"/>
      <c r="AZ484" s="21"/>
      <c r="BA484" s="21"/>
      <c r="BB484" s="21"/>
      <c r="BC484" s="12"/>
      <c r="BD484" s="12"/>
      <c r="BF484" s="106" t="str">
        <f t="shared" si="1"/>
        <v>#VALUE!</v>
      </c>
      <c r="BG484" s="21">
        <f t="shared" si="2"/>
        <v>12</v>
      </c>
    </row>
    <row r="485">
      <c r="P485" s="161"/>
      <c r="AI485" s="102"/>
      <c r="AK485" s="105" t="s">
        <v>1016</v>
      </c>
      <c r="AO485" s="139" t="s">
        <v>120</v>
      </c>
      <c r="AP485" s="20" t="s">
        <v>120</v>
      </c>
      <c r="AQ485" s="21"/>
      <c r="AR485" s="21"/>
      <c r="AS485" s="21"/>
      <c r="AT485" s="20" t="s">
        <v>120</v>
      </c>
      <c r="AU485" s="21"/>
      <c r="AV485" s="20" t="s">
        <v>120</v>
      </c>
      <c r="AW485" s="20" t="s">
        <v>120</v>
      </c>
      <c r="AX485" s="20" t="s">
        <v>120</v>
      </c>
      <c r="AY485" s="20" t="s">
        <v>120</v>
      </c>
      <c r="AZ485" s="21"/>
      <c r="BA485" s="21"/>
      <c r="BB485" s="21"/>
      <c r="BC485" s="12"/>
      <c r="BD485" s="12"/>
      <c r="BF485" s="106" t="str">
        <f t="shared" si="1"/>
        <v>#VALUE!</v>
      </c>
      <c r="BG485" s="21">
        <f t="shared" si="2"/>
        <v>12</v>
      </c>
    </row>
    <row r="486">
      <c r="P486" s="161"/>
      <c r="AI486" s="102"/>
      <c r="AK486" s="105" t="s">
        <v>2662</v>
      </c>
      <c r="AO486" s="20" t="s">
        <v>120</v>
      </c>
      <c r="AP486" s="21"/>
      <c r="AQ486" s="21"/>
      <c r="AR486" s="21"/>
      <c r="AS486" s="21"/>
      <c r="AT486" s="21"/>
      <c r="AU486" s="21"/>
      <c r="AV486" s="21"/>
      <c r="AW486" s="21"/>
      <c r="AX486" s="21"/>
      <c r="AY486" s="21"/>
      <c r="AZ486" s="21"/>
      <c r="BA486" s="21"/>
      <c r="BB486" s="21"/>
      <c r="BC486" s="12"/>
      <c r="BD486" s="12"/>
      <c r="BF486" s="106" t="str">
        <f t="shared" si="1"/>
        <v>#VALUE!</v>
      </c>
      <c r="BG486" s="21">
        <f t="shared" si="2"/>
        <v>12</v>
      </c>
    </row>
    <row r="487">
      <c r="P487" s="161"/>
      <c r="AI487" s="102"/>
      <c r="AK487" s="105" t="s">
        <v>2665</v>
      </c>
      <c r="AO487" s="139" t="s">
        <v>120</v>
      </c>
      <c r="AP487" s="21"/>
      <c r="AQ487" s="21"/>
      <c r="AR487" s="21"/>
      <c r="AS487" s="21"/>
      <c r="AT487" s="21"/>
      <c r="AU487" s="21"/>
      <c r="AV487" s="21"/>
      <c r="AW487" s="21"/>
      <c r="AX487" s="21"/>
      <c r="AY487" s="21"/>
      <c r="AZ487" s="21"/>
      <c r="BA487" s="21"/>
      <c r="BB487" s="21"/>
      <c r="BC487" s="12"/>
      <c r="BD487" s="12"/>
      <c r="BF487" s="106" t="str">
        <f t="shared" si="1"/>
        <v>#VALUE!</v>
      </c>
      <c r="BG487" s="21">
        <f t="shared" si="2"/>
        <v>12</v>
      </c>
    </row>
    <row r="488" ht="118.5" customHeight="1">
      <c r="P488" s="161"/>
      <c r="AI488" s="102"/>
      <c r="AK488" s="105" t="s">
        <v>2671</v>
      </c>
      <c r="AO488" s="139" t="s">
        <v>120</v>
      </c>
      <c r="AP488" s="20" t="s">
        <v>120</v>
      </c>
      <c r="AQ488" s="21"/>
      <c r="AR488" s="21"/>
      <c r="AS488" s="20" t="s">
        <v>129</v>
      </c>
      <c r="AT488" s="20" t="s">
        <v>120</v>
      </c>
      <c r="AU488" s="21"/>
      <c r="AV488" s="21"/>
      <c r="AW488" s="21"/>
      <c r="AX488" s="21"/>
      <c r="AY488" s="21"/>
      <c r="AZ488" s="21"/>
      <c r="BA488" s="21"/>
      <c r="BB488" s="21"/>
      <c r="BC488" s="12"/>
      <c r="BD488" s="12"/>
      <c r="BF488" s="106" t="str">
        <f t="shared" si="1"/>
        <v>#VALUE!</v>
      </c>
      <c r="BG488" s="21">
        <f t="shared" si="2"/>
        <v>12</v>
      </c>
    </row>
    <row r="489">
      <c r="P489" s="161"/>
      <c r="AI489" s="102"/>
      <c r="AK489" s="105" t="s">
        <v>2672</v>
      </c>
      <c r="AL489" s="86" t="s">
        <v>2673</v>
      </c>
      <c r="AO489" s="20" t="s">
        <v>124</v>
      </c>
      <c r="AP489" s="21"/>
      <c r="AQ489" s="21"/>
      <c r="AR489" s="21"/>
      <c r="AS489" s="21"/>
      <c r="AT489" s="21"/>
      <c r="AU489" s="21"/>
      <c r="AV489" s="21"/>
      <c r="AW489" s="21"/>
      <c r="AX489" s="21"/>
      <c r="AY489" s="21"/>
      <c r="AZ489" s="21"/>
      <c r="BA489" s="21"/>
      <c r="BB489" s="21"/>
      <c r="BC489" s="12"/>
      <c r="BD489" s="12"/>
      <c r="BF489" s="106" t="str">
        <f t="shared" si="1"/>
        <v>#VALUE!</v>
      </c>
      <c r="BG489" s="21">
        <f t="shared" si="2"/>
        <v>12</v>
      </c>
    </row>
    <row r="490">
      <c r="P490" s="161"/>
      <c r="AI490" s="102"/>
      <c r="AK490" s="105" t="s">
        <v>2674</v>
      </c>
      <c r="AL490" s="25"/>
      <c r="AO490" s="20" t="s">
        <v>120</v>
      </c>
      <c r="AP490" s="20" t="s">
        <v>122</v>
      </c>
      <c r="AQ490" s="21"/>
      <c r="AR490" s="21"/>
      <c r="AS490" s="21"/>
      <c r="AT490" s="21"/>
      <c r="AU490" s="21"/>
      <c r="AV490" s="21"/>
      <c r="AW490" s="21"/>
      <c r="AX490" s="21"/>
      <c r="AY490" s="21"/>
      <c r="AZ490" s="21"/>
      <c r="BA490" s="21"/>
      <c r="BB490" s="21"/>
      <c r="BC490" s="12"/>
      <c r="BD490" s="12"/>
      <c r="BF490" s="106" t="str">
        <f t="shared" si="1"/>
        <v>#VALUE!</v>
      </c>
      <c r="BG490" s="21">
        <f t="shared" si="2"/>
        <v>12</v>
      </c>
    </row>
    <row r="491">
      <c r="P491" s="161"/>
      <c r="AI491" s="102"/>
      <c r="AK491" s="105" t="s">
        <v>2675</v>
      </c>
      <c r="AO491" s="139" t="s">
        <v>120</v>
      </c>
      <c r="AP491" s="20" t="s">
        <v>120</v>
      </c>
      <c r="AQ491" s="21"/>
      <c r="AR491" s="21"/>
      <c r="AS491" s="21"/>
      <c r="AT491" s="21"/>
      <c r="AU491" s="20" t="s">
        <v>120</v>
      </c>
      <c r="AV491" s="21"/>
      <c r="AW491" s="21"/>
      <c r="AX491" s="21"/>
      <c r="AY491" s="21"/>
      <c r="AZ491" s="21"/>
      <c r="BA491" s="21"/>
      <c r="BB491" s="21"/>
      <c r="BC491" s="12"/>
      <c r="BD491" s="12"/>
      <c r="BF491" s="106" t="str">
        <f t="shared" si="1"/>
        <v>#VALUE!</v>
      </c>
      <c r="BG491" s="21">
        <f t="shared" si="2"/>
        <v>12</v>
      </c>
    </row>
    <row r="492">
      <c r="P492" s="161"/>
      <c r="AI492" s="102"/>
      <c r="AK492" s="105" t="s">
        <v>2676</v>
      </c>
      <c r="AO492" s="20" t="s">
        <v>120</v>
      </c>
      <c r="AP492" s="21"/>
      <c r="AQ492" s="20" t="s">
        <v>120</v>
      </c>
      <c r="AR492" s="21"/>
      <c r="AS492" s="21"/>
      <c r="AT492" s="21"/>
      <c r="AU492" s="21"/>
      <c r="AV492" s="21"/>
      <c r="AW492" s="21"/>
      <c r="AX492" s="21"/>
      <c r="AY492" s="21"/>
      <c r="AZ492" s="21"/>
      <c r="BA492" s="21"/>
      <c r="BB492" s="21"/>
      <c r="BC492" s="12"/>
      <c r="BD492" s="12"/>
      <c r="BF492" s="106" t="str">
        <f t="shared" si="1"/>
        <v>#VALUE!</v>
      </c>
      <c r="BG492" s="21">
        <f t="shared" si="2"/>
        <v>12</v>
      </c>
    </row>
    <row r="493">
      <c r="P493" s="161"/>
      <c r="AI493" s="102"/>
      <c r="AK493" s="105" t="s">
        <v>1018</v>
      </c>
      <c r="AO493" s="20" t="s">
        <v>120</v>
      </c>
      <c r="AP493" s="21"/>
      <c r="AQ493" s="20" t="s">
        <v>120</v>
      </c>
      <c r="AR493" s="20" t="s">
        <v>120</v>
      </c>
      <c r="AS493" s="20" t="s">
        <v>120</v>
      </c>
      <c r="AT493" s="20" t="s">
        <v>129</v>
      </c>
      <c r="AU493" s="20" t="s">
        <v>120</v>
      </c>
      <c r="AV493" s="21"/>
      <c r="AW493" s="21"/>
      <c r="AX493" s="21"/>
      <c r="AY493" s="21"/>
      <c r="AZ493" s="21"/>
      <c r="BA493" s="21"/>
      <c r="BB493" s="21"/>
      <c r="BC493" s="12"/>
      <c r="BD493" s="12"/>
      <c r="BF493" s="106" t="str">
        <f t="shared" si="1"/>
        <v>#VALUE!</v>
      </c>
      <c r="BG493" s="21">
        <f t="shared" si="2"/>
        <v>12</v>
      </c>
    </row>
    <row r="494">
      <c r="P494" s="161"/>
      <c r="AI494" s="102"/>
      <c r="AK494" s="105" t="s">
        <v>2685</v>
      </c>
      <c r="AL494" s="86" t="s">
        <v>2686</v>
      </c>
      <c r="AO494" s="20" t="s">
        <v>120</v>
      </c>
      <c r="AP494" s="21"/>
      <c r="AQ494" s="20" t="s">
        <v>120</v>
      </c>
      <c r="AR494" s="21"/>
      <c r="AS494" s="21"/>
      <c r="AT494" s="21"/>
      <c r="AU494" s="21"/>
      <c r="AV494" s="21"/>
      <c r="AW494" s="21"/>
      <c r="AX494" s="21"/>
      <c r="AY494" s="21"/>
      <c r="AZ494" s="21"/>
      <c r="BA494" s="21"/>
      <c r="BB494" s="21"/>
      <c r="BC494" s="12"/>
      <c r="BD494" s="12"/>
      <c r="BF494" s="106" t="str">
        <f t="shared" si="1"/>
        <v>#VALUE!</v>
      </c>
      <c r="BG494" s="21">
        <f t="shared" si="2"/>
        <v>12</v>
      </c>
    </row>
    <row r="495">
      <c r="P495" s="161"/>
      <c r="AI495" s="102"/>
      <c r="AK495" s="105" t="s">
        <v>2687</v>
      </c>
      <c r="AO495" s="21"/>
      <c r="AP495" s="21"/>
      <c r="AQ495" s="21"/>
      <c r="AR495" s="21"/>
      <c r="AS495" s="21"/>
      <c r="AT495" s="21"/>
      <c r="AU495" s="21"/>
      <c r="AV495" s="21"/>
      <c r="AW495" s="21"/>
      <c r="AX495" s="21"/>
      <c r="AY495" s="21"/>
      <c r="AZ495" s="21"/>
      <c r="BA495" s="21"/>
      <c r="BB495" s="21"/>
      <c r="BC495" s="12"/>
      <c r="BD495" s="12"/>
      <c r="BF495" s="106" t="str">
        <f t="shared" si="1"/>
        <v>#VALUE!</v>
      </c>
      <c r="BG495" s="21">
        <f t="shared" si="2"/>
        <v>12</v>
      </c>
    </row>
    <row r="496">
      <c r="P496" s="161"/>
      <c r="AI496" s="102"/>
      <c r="AK496" s="105" t="s">
        <v>2689</v>
      </c>
      <c r="AO496" s="20" t="s">
        <v>120</v>
      </c>
      <c r="AP496" s="21"/>
      <c r="AQ496" s="21"/>
      <c r="AR496" s="21"/>
      <c r="AS496" s="21"/>
      <c r="AT496" s="21"/>
      <c r="AU496" s="21"/>
      <c r="AV496" s="21"/>
      <c r="AW496" s="21"/>
      <c r="AX496" s="21"/>
      <c r="AY496" s="21"/>
      <c r="AZ496" s="21"/>
      <c r="BA496" s="21"/>
      <c r="BB496" s="21"/>
      <c r="BC496" s="12"/>
      <c r="BD496" s="12"/>
      <c r="BF496" s="106" t="str">
        <f t="shared" si="1"/>
        <v>#VALUE!</v>
      </c>
      <c r="BG496" s="21">
        <f t="shared" si="2"/>
        <v>12</v>
      </c>
    </row>
    <row r="497">
      <c r="P497" s="161"/>
      <c r="AI497" s="102"/>
      <c r="AK497" s="105" t="s">
        <v>2691</v>
      </c>
      <c r="AL497" s="86" t="s">
        <v>2694</v>
      </c>
      <c r="AO497" s="20" t="s">
        <v>126</v>
      </c>
      <c r="AP497" s="21"/>
      <c r="AQ497" s="20" t="s">
        <v>126</v>
      </c>
      <c r="AR497" s="20" t="s">
        <v>120</v>
      </c>
      <c r="AS497" s="21"/>
      <c r="AT497" s="21"/>
      <c r="AU497" s="21"/>
      <c r="AV497" s="20" t="s">
        <v>120</v>
      </c>
      <c r="AW497" s="21"/>
      <c r="AX497" s="20" t="s">
        <v>126</v>
      </c>
      <c r="AY497" s="21"/>
      <c r="AZ497" s="21"/>
      <c r="BA497" s="21"/>
      <c r="BB497" s="21"/>
      <c r="BC497" s="12"/>
      <c r="BD497" s="12"/>
      <c r="BF497" s="106" t="str">
        <f t="shared" si="1"/>
        <v>#VALUE!</v>
      </c>
      <c r="BG497" s="21">
        <f t="shared" si="2"/>
        <v>12</v>
      </c>
    </row>
    <row r="498">
      <c r="P498" s="161"/>
      <c r="AI498" s="102"/>
      <c r="AK498" s="105" t="s">
        <v>1021</v>
      </c>
      <c r="AO498" s="20" t="s">
        <v>120</v>
      </c>
      <c r="AP498" s="139" t="s">
        <v>124</v>
      </c>
      <c r="AQ498" s="21"/>
      <c r="AR498" s="21"/>
      <c r="AS498" s="20" t="s">
        <v>122</v>
      </c>
      <c r="AT498" s="21"/>
      <c r="AU498" s="20" t="s">
        <v>127</v>
      </c>
      <c r="AV498" s="21"/>
      <c r="AW498" s="20" t="s">
        <v>120</v>
      </c>
      <c r="AX498" s="20" t="s">
        <v>120</v>
      </c>
      <c r="AY498" s="20" t="s">
        <v>120</v>
      </c>
      <c r="AZ498" s="20" t="s">
        <v>120</v>
      </c>
      <c r="BA498" s="21"/>
      <c r="BB498" s="21"/>
      <c r="BC498" s="12"/>
      <c r="BD498" s="12"/>
      <c r="BF498" s="106" t="str">
        <f t="shared" si="1"/>
        <v>#VALUE!</v>
      </c>
      <c r="BG498" s="21">
        <f t="shared" si="2"/>
        <v>12</v>
      </c>
    </row>
    <row r="499">
      <c r="A499" s="25"/>
      <c r="P499" s="161"/>
      <c r="AI499" s="102"/>
      <c r="AK499" s="105" t="s">
        <v>951</v>
      </c>
      <c r="AL499" s="86" t="s">
        <v>2696</v>
      </c>
      <c r="AO499" s="139" t="s">
        <v>120</v>
      </c>
      <c r="AP499" s="21"/>
      <c r="AQ499" s="20" t="s">
        <v>120</v>
      </c>
      <c r="AR499" s="21"/>
      <c r="AS499" s="20" t="s">
        <v>120</v>
      </c>
      <c r="AT499" s="21"/>
      <c r="AU499" s="21"/>
      <c r="AV499" s="21"/>
      <c r="AW499" s="21"/>
      <c r="AX499" s="21"/>
      <c r="AY499" s="21"/>
      <c r="AZ499" s="21"/>
      <c r="BA499" s="21"/>
      <c r="BB499" s="21"/>
      <c r="BC499" s="12"/>
      <c r="BD499" s="12"/>
      <c r="BF499" s="106" t="str">
        <f t="shared" si="1"/>
        <v>#VALUE!</v>
      </c>
      <c r="BG499" s="21">
        <f t="shared" si="2"/>
        <v>12</v>
      </c>
    </row>
    <row r="500">
      <c r="P500" s="161"/>
      <c r="AI500" s="102"/>
      <c r="AK500" s="105" t="s">
        <v>2698</v>
      </c>
      <c r="AO500" s="139" t="s">
        <v>124</v>
      </c>
      <c r="AP500" s="21"/>
      <c r="AQ500" s="21"/>
      <c r="AR500" s="21"/>
      <c r="AS500" s="21"/>
      <c r="AT500" s="21"/>
      <c r="AU500" s="21"/>
      <c r="AV500" s="21"/>
      <c r="AW500" s="21"/>
      <c r="AX500" s="21"/>
      <c r="AY500" s="21"/>
      <c r="AZ500" s="21"/>
      <c r="BA500" s="21"/>
      <c r="BB500" s="21"/>
      <c r="BC500" s="12"/>
      <c r="BD500" s="12"/>
      <c r="BF500" s="106" t="str">
        <f t="shared" si="1"/>
        <v>#VALUE!</v>
      </c>
      <c r="BG500" s="21">
        <f t="shared" si="2"/>
        <v>12</v>
      </c>
    </row>
    <row r="501">
      <c r="P501" s="161"/>
      <c r="AI501" s="102"/>
      <c r="AK501" s="105" t="s">
        <v>2699</v>
      </c>
      <c r="AO501" s="20" t="s">
        <v>120</v>
      </c>
      <c r="AP501" s="21"/>
      <c r="AQ501" s="20" t="s">
        <v>120</v>
      </c>
      <c r="AR501" s="21"/>
      <c r="AS501" s="21"/>
      <c r="AT501" s="21"/>
      <c r="AU501" s="21"/>
      <c r="AV501" s="21"/>
      <c r="AW501" s="21"/>
      <c r="AX501" s="21"/>
      <c r="AY501" s="21"/>
      <c r="AZ501" s="21"/>
      <c r="BA501" s="21"/>
      <c r="BB501" s="21"/>
      <c r="BC501" s="12"/>
      <c r="BD501" s="12"/>
      <c r="BF501" s="106" t="str">
        <f t="shared" si="1"/>
        <v>#VALUE!</v>
      </c>
      <c r="BG501" s="21">
        <f t="shared" si="2"/>
        <v>12</v>
      </c>
    </row>
    <row r="502">
      <c r="P502" s="161"/>
      <c r="AI502" s="102"/>
      <c r="AK502" s="105" t="s">
        <v>2702</v>
      </c>
      <c r="AO502" s="20" t="s">
        <v>120</v>
      </c>
      <c r="AP502" s="21"/>
      <c r="AQ502" s="21"/>
      <c r="AR502" s="21"/>
      <c r="AS502" s="21"/>
      <c r="AT502" s="21"/>
      <c r="AU502" s="21"/>
      <c r="AV502" s="21"/>
      <c r="AW502" s="21"/>
      <c r="AX502" s="21"/>
      <c r="AY502" s="21"/>
      <c r="AZ502" s="21"/>
      <c r="BA502" s="21"/>
      <c r="BB502" s="21"/>
      <c r="BC502" s="12"/>
      <c r="BD502" s="12"/>
      <c r="BF502" s="106" t="str">
        <f t="shared" si="1"/>
        <v>#VALUE!</v>
      </c>
      <c r="BG502" s="21">
        <f t="shared" si="2"/>
        <v>12</v>
      </c>
    </row>
    <row r="503">
      <c r="P503" s="161"/>
      <c r="AI503" s="102"/>
      <c r="AK503" s="105" t="s">
        <v>952</v>
      </c>
      <c r="AO503" s="20" t="s">
        <v>120</v>
      </c>
      <c r="AP503" s="20" t="s">
        <v>120</v>
      </c>
      <c r="AQ503" s="21"/>
      <c r="AR503" s="21"/>
      <c r="AS503" s="21"/>
      <c r="AT503" s="20" t="s">
        <v>120</v>
      </c>
      <c r="AU503" s="20" t="s">
        <v>124</v>
      </c>
      <c r="AV503" s="21"/>
      <c r="AW503" s="21"/>
      <c r="AX503" s="21"/>
      <c r="AY503" s="21"/>
      <c r="AZ503" s="21"/>
      <c r="BA503" s="21"/>
      <c r="BB503" s="21"/>
      <c r="BC503" s="12"/>
      <c r="BD503" s="12"/>
      <c r="BF503" s="106" t="str">
        <f t="shared" si="1"/>
        <v>#VALUE!</v>
      </c>
      <c r="BG503" s="21">
        <f t="shared" si="2"/>
        <v>12</v>
      </c>
    </row>
    <row r="504">
      <c r="P504" s="161"/>
      <c r="AI504" s="102"/>
      <c r="AK504" s="105" t="s">
        <v>8</v>
      </c>
      <c r="AL504" s="86" t="s">
        <v>2696</v>
      </c>
      <c r="AO504" s="20" t="s">
        <v>126</v>
      </c>
      <c r="AP504" s="20" t="s">
        <v>120</v>
      </c>
      <c r="AQ504" s="20" t="s">
        <v>120</v>
      </c>
      <c r="AR504" s="21"/>
      <c r="AS504" s="21"/>
      <c r="AT504" s="20" t="s">
        <v>126</v>
      </c>
      <c r="AU504" s="21"/>
      <c r="AV504" s="21"/>
      <c r="AW504" s="21"/>
      <c r="AX504" s="21"/>
      <c r="AY504" s="21"/>
      <c r="AZ504" s="21"/>
      <c r="BA504" s="21"/>
      <c r="BB504" s="21"/>
      <c r="BC504" s="12"/>
      <c r="BD504" s="12"/>
      <c r="BF504" s="106" t="str">
        <f t="shared" si="1"/>
        <v>#VALUE!</v>
      </c>
      <c r="BG504" s="21">
        <f t="shared" si="2"/>
        <v>12</v>
      </c>
    </row>
    <row r="505">
      <c r="P505" s="161"/>
      <c r="AI505" s="102"/>
      <c r="AK505" s="105" t="s">
        <v>13</v>
      </c>
      <c r="AO505" s="20" t="s">
        <v>127</v>
      </c>
      <c r="AP505" s="21"/>
      <c r="AQ505" s="21"/>
      <c r="AR505" s="20" t="s">
        <v>120</v>
      </c>
      <c r="AS505" s="21"/>
      <c r="AT505" s="21"/>
      <c r="AU505" s="21"/>
      <c r="AV505" s="21"/>
      <c r="AW505" s="21"/>
      <c r="AX505" s="21"/>
      <c r="AY505" s="21"/>
      <c r="AZ505" s="21"/>
      <c r="BA505" s="21"/>
      <c r="BB505" s="21"/>
      <c r="BC505" s="12"/>
      <c r="BD505" s="12"/>
      <c r="BF505" s="106" t="str">
        <f t="shared" si="1"/>
        <v>#VALUE!</v>
      </c>
      <c r="BG505" s="21">
        <f t="shared" si="2"/>
        <v>12</v>
      </c>
    </row>
    <row r="506" ht="62.25" customHeight="1">
      <c r="P506" s="161"/>
      <c r="AI506" s="102"/>
      <c r="AK506" s="105" t="s">
        <v>12</v>
      </c>
      <c r="AL506" s="246" t="s">
        <v>2707</v>
      </c>
      <c r="AO506" s="139" t="s">
        <v>124</v>
      </c>
      <c r="AP506" s="21"/>
      <c r="AQ506" s="20" t="s">
        <v>120</v>
      </c>
      <c r="AR506" s="20" t="s">
        <v>120</v>
      </c>
      <c r="AS506" s="20" t="s">
        <v>120</v>
      </c>
      <c r="AT506" s="20" t="s">
        <v>120</v>
      </c>
      <c r="AU506" s="21"/>
      <c r="AV506" s="21"/>
      <c r="AW506" s="21"/>
      <c r="AX506" s="21"/>
      <c r="AY506" s="21"/>
      <c r="AZ506" s="21"/>
      <c r="BA506" s="21"/>
      <c r="BB506" s="21"/>
      <c r="BC506" s="12"/>
      <c r="BD506" s="12"/>
      <c r="BF506" s="106" t="str">
        <f t="shared" si="1"/>
        <v>#VALUE!</v>
      </c>
      <c r="BG506" s="21">
        <f t="shared" si="2"/>
        <v>12</v>
      </c>
    </row>
    <row r="507" ht="65.25" customHeight="1">
      <c r="P507" s="161"/>
      <c r="AI507" s="102"/>
      <c r="AK507" s="105" t="s">
        <v>2708</v>
      </c>
      <c r="AO507" s="20" t="s">
        <v>120</v>
      </c>
      <c r="AP507" s="21"/>
      <c r="AQ507" s="20" t="s">
        <v>120</v>
      </c>
      <c r="AR507" s="21"/>
      <c r="AS507" s="21"/>
      <c r="AT507" s="21"/>
      <c r="AU507" s="21"/>
      <c r="AV507" s="21"/>
      <c r="AW507" s="21"/>
      <c r="AX507" s="21"/>
      <c r="AY507" s="21"/>
      <c r="AZ507" s="21"/>
      <c r="BA507" s="21"/>
      <c r="BB507" s="21"/>
      <c r="BC507" s="12"/>
      <c r="BD507" s="12"/>
      <c r="BF507" s="106" t="str">
        <f t="shared" si="1"/>
        <v>#VALUE!</v>
      </c>
      <c r="BG507" s="21">
        <f t="shared" si="2"/>
        <v>12</v>
      </c>
    </row>
    <row r="508" ht="51.75" customHeight="1">
      <c r="P508" s="161"/>
      <c r="AI508" s="102"/>
      <c r="AK508" s="105" t="s">
        <v>15</v>
      </c>
      <c r="AO508" s="20" t="s">
        <v>120</v>
      </c>
      <c r="AP508" s="12"/>
      <c r="AQ508" s="20" t="s">
        <v>120</v>
      </c>
      <c r="AR508" s="20" t="s">
        <v>120</v>
      </c>
      <c r="AS508" s="21"/>
      <c r="AT508" s="21"/>
      <c r="AU508" s="21"/>
      <c r="AV508" s="20" t="s">
        <v>120</v>
      </c>
      <c r="AW508" s="20" t="s">
        <v>120</v>
      </c>
      <c r="AX508" s="20" t="s">
        <v>120</v>
      </c>
      <c r="AY508" s="20" t="s">
        <v>120</v>
      </c>
      <c r="AZ508" s="21"/>
      <c r="BA508" s="21"/>
      <c r="BB508" s="21"/>
      <c r="BC508" s="12"/>
      <c r="BD508" s="12"/>
      <c r="BF508" s="106" t="str">
        <f t="shared" si="1"/>
        <v>#VALUE!</v>
      </c>
      <c r="BG508" s="21">
        <f t="shared" si="2"/>
        <v>12</v>
      </c>
    </row>
    <row r="509">
      <c r="P509" s="161"/>
      <c r="AI509" s="102"/>
      <c r="AK509" s="427" t="s">
        <v>17</v>
      </c>
      <c r="AO509" s="20" t="s">
        <v>120</v>
      </c>
      <c r="AP509" s="21"/>
      <c r="AQ509" s="20" t="s">
        <v>120</v>
      </c>
      <c r="AR509" s="21"/>
      <c r="AS509" s="21"/>
      <c r="AT509" s="21"/>
      <c r="AU509" s="21"/>
      <c r="AV509" s="21"/>
      <c r="AW509" s="21"/>
      <c r="AX509" s="21"/>
      <c r="AY509" s="21"/>
      <c r="AZ509" s="21"/>
      <c r="BA509" s="21"/>
      <c r="BB509" s="21"/>
      <c r="BC509" s="12"/>
      <c r="BD509" s="12"/>
      <c r="BF509" s="106" t="str">
        <f t="shared" si="1"/>
        <v>#VALUE!</v>
      </c>
      <c r="BG509" s="21">
        <f t="shared" si="2"/>
        <v>12</v>
      </c>
    </row>
    <row r="510" ht="48.0" customHeight="1">
      <c r="P510" s="161"/>
      <c r="AI510" s="102"/>
      <c r="AK510" s="427" t="s">
        <v>20</v>
      </c>
      <c r="AO510" s="20" t="s">
        <v>120</v>
      </c>
      <c r="AP510" s="21"/>
      <c r="AQ510" s="20" t="s">
        <v>120</v>
      </c>
      <c r="AR510" s="20" t="s">
        <v>120</v>
      </c>
      <c r="AS510" s="20" t="s">
        <v>120</v>
      </c>
      <c r="AT510" s="21"/>
      <c r="AU510" s="21"/>
      <c r="AV510" s="20" t="s">
        <v>120</v>
      </c>
      <c r="AW510" s="21"/>
      <c r="AX510" s="21"/>
      <c r="AY510" s="21"/>
      <c r="AZ510" s="21"/>
      <c r="BA510" s="21"/>
      <c r="BB510" s="21"/>
      <c r="BC510" s="12"/>
      <c r="BD510" s="12"/>
      <c r="BF510" s="106" t="str">
        <f t="shared" si="1"/>
        <v>#VALUE!</v>
      </c>
      <c r="BG510" s="21">
        <f t="shared" si="2"/>
        <v>12</v>
      </c>
    </row>
    <row r="511" ht="82.5" customHeight="1">
      <c r="P511" s="161"/>
      <c r="AI511" s="102"/>
      <c r="AK511" s="427" t="s">
        <v>21</v>
      </c>
      <c r="AO511" s="20" t="s">
        <v>120</v>
      </c>
      <c r="AP511" s="21"/>
      <c r="AQ511" s="20" t="s">
        <v>2108</v>
      </c>
      <c r="AR511" s="21"/>
      <c r="AS511" s="21"/>
      <c r="AT511" s="21"/>
      <c r="AU511" s="21"/>
      <c r="AV511" s="21"/>
      <c r="AW511" s="21"/>
      <c r="AX511" s="21"/>
      <c r="AY511" s="21"/>
      <c r="AZ511" s="21"/>
      <c r="BA511" s="21"/>
      <c r="BB511" s="21"/>
      <c r="BC511" s="12"/>
      <c r="BD511" s="12"/>
      <c r="BF511" s="106" t="str">
        <f t="shared" si="1"/>
        <v>#VALUE!</v>
      </c>
      <c r="BG511" s="21">
        <f t="shared" si="2"/>
        <v>12</v>
      </c>
    </row>
    <row r="512" ht="45.75" customHeight="1">
      <c r="P512" s="161"/>
      <c r="AI512" s="102"/>
      <c r="AK512" s="428" t="s">
        <v>19</v>
      </c>
      <c r="AO512" s="246" t="s">
        <v>120</v>
      </c>
      <c r="AP512" s="86" t="s">
        <v>126</v>
      </c>
      <c r="AQ512" s="12"/>
      <c r="AR512" s="12"/>
      <c r="AS512" s="12"/>
      <c r="AT512" s="86" t="s">
        <v>120</v>
      </c>
      <c r="AU512" s="12"/>
      <c r="AV512" s="86" t="s">
        <v>126</v>
      </c>
      <c r="AW512" s="12"/>
      <c r="AX512" s="86" t="s">
        <v>120</v>
      </c>
      <c r="AY512" s="86" t="s">
        <v>129</v>
      </c>
      <c r="AZ512" s="12"/>
      <c r="BA512" s="12"/>
      <c r="BB512" s="12"/>
      <c r="BC512" s="12"/>
      <c r="BD512" s="12"/>
      <c r="BF512" s="106" t="str">
        <f t="shared" si="1"/>
        <v>#VALUE!</v>
      </c>
      <c r="BG512" s="21">
        <f t="shared" si="2"/>
        <v>12</v>
      </c>
    </row>
    <row r="513" ht="54.0" customHeight="1">
      <c r="P513" s="369"/>
      <c r="AI513" s="102"/>
      <c r="AK513" s="428" t="s">
        <v>2712</v>
      </c>
      <c r="AO513" s="20" t="s">
        <v>120</v>
      </c>
      <c r="AP513" s="12"/>
      <c r="AQ513" s="86" t="s">
        <v>120</v>
      </c>
      <c r="AR513" s="12"/>
      <c r="AS513" s="12"/>
      <c r="AT513" s="12"/>
      <c r="AU513" s="12"/>
      <c r="AV513" s="12"/>
      <c r="AW513" s="12"/>
      <c r="AX513" s="12"/>
      <c r="AY513" s="12"/>
      <c r="AZ513" s="12"/>
      <c r="BA513" s="12"/>
      <c r="BB513" s="12"/>
      <c r="BC513" s="12"/>
      <c r="BD513" s="12"/>
      <c r="BF513" s="106" t="str">
        <f t="shared" si="1"/>
        <v>#VALUE!</v>
      </c>
      <c r="BG513" s="21">
        <f t="shared" si="2"/>
        <v>12</v>
      </c>
    </row>
    <row r="514" ht="66.0" customHeight="1">
      <c r="P514" s="369"/>
      <c r="AI514" s="102"/>
      <c r="AK514" s="428" t="s">
        <v>27</v>
      </c>
      <c r="AO514" s="20" t="s">
        <v>120</v>
      </c>
      <c r="AP514" s="86" t="s">
        <v>120</v>
      </c>
      <c r="AQ514" s="12"/>
      <c r="AR514" s="12"/>
      <c r="AS514" s="12"/>
      <c r="AT514" s="12"/>
      <c r="AU514" s="12"/>
      <c r="AV514" s="86" t="s">
        <v>120</v>
      </c>
      <c r="AW514" s="86" t="s">
        <v>120</v>
      </c>
      <c r="AX514" s="86" t="s">
        <v>129</v>
      </c>
      <c r="AY514" s="12"/>
      <c r="AZ514" s="12"/>
      <c r="BA514" s="12"/>
      <c r="BB514" s="12"/>
      <c r="BC514" s="12"/>
      <c r="BD514" s="12"/>
      <c r="BF514" s="106" t="str">
        <f t="shared" si="1"/>
        <v>#VALUE!</v>
      </c>
      <c r="BG514" s="21">
        <f t="shared" si="2"/>
        <v>12</v>
      </c>
    </row>
    <row r="515">
      <c r="P515" s="161"/>
      <c r="AI515" s="102"/>
      <c r="AK515" s="428" t="s">
        <v>2714</v>
      </c>
      <c r="AO515" s="20" t="s">
        <v>120</v>
      </c>
      <c r="AP515" s="86" t="s">
        <v>120</v>
      </c>
      <c r="AQ515" s="12"/>
      <c r="AR515" s="12"/>
      <c r="AS515" s="12"/>
      <c r="AT515" s="12"/>
      <c r="AU515" s="12"/>
      <c r="AV515" s="12"/>
      <c r="AW515" s="12"/>
      <c r="AX515" s="12"/>
      <c r="AY515" s="12"/>
      <c r="AZ515" s="12"/>
      <c r="BA515" s="12"/>
      <c r="BB515" s="12"/>
      <c r="BC515" s="12"/>
      <c r="BD515" s="12"/>
      <c r="BF515" s="106" t="str">
        <f t="shared" si="1"/>
        <v>#VALUE!</v>
      </c>
      <c r="BG515" s="21">
        <f t="shared" si="2"/>
        <v>12</v>
      </c>
    </row>
    <row r="516" ht="54.0" customHeight="1">
      <c r="P516" s="161"/>
      <c r="AI516" s="102"/>
      <c r="AK516" s="428" t="s">
        <v>2715</v>
      </c>
      <c r="AL516" s="246" t="s">
        <v>2716</v>
      </c>
      <c r="AO516" s="86" t="s">
        <v>120</v>
      </c>
      <c r="AP516" s="86" t="s">
        <v>124</v>
      </c>
      <c r="AQ516" s="12"/>
      <c r="AR516" s="12"/>
      <c r="AS516" s="12"/>
      <c r="AT516" s="12"/>
      <c r="AU516" s="12"/>
      <c r="AV516" s="12"/>
      <c r="AW516" s="12"/>
      <c r="AX516" s="12"/>
      <c r="AY516" s="12"/>
      <c r="AZ516" s="12"/>
      <c r="BA516" s="12"/>
      <c r="BB516" s="12"/>
      <c r="BC516" s="12"/>
      <c r="BD516" s="12"/>
      <c r="BF516" s="106" t="str">
        <f t="shared" si="1"/>
        <v>#VALUE!</v>
      </c>
      <c r="BG516" s="21">
        <f t="shared" si="2"/>
        <v>12</v>
      </c>
    </row>
    <row r="517" ht="78.0" customHeight="1">
      <c r="P517" s="369"/>
      <c r="AI517" s="102"/>
      <c r="AK517" s="428" t="s">
        <v>29</v>
      </c>
      <c r="AL517" s="86" t="s">
        <v>2718</v>
      </c>
      <c r="AO517" s="86" t="s">
        <v>120</v>
      </c>
      <c r="AP517" s="86" t="s">
        <v>120</v>
      </c>
      <c r="AQ517" s="86" t="s">
        <v>120</v>
      </c>
      <c r="AR517" s="12"/>
      <c r="AS517" s="12"/>
      <c r="AT517" s="12"/>
      <c r="AU517" s="12"/>
      <c r="AV517" s="12"/>
      <c r="AW517" s="12"/>
      <c r="AX517" s="12"/>
      <c r="AY517" s="12"/>
      <c r="AZ517" s="12"/>
      <c r="BA517" s="12"/>
      <c r="BB517" s="12"/>
      <c r="BC517" s="12"/>
      <c r="BD517" s="12"/>
      <c r="BF517" s="106" t="str">
        <f t="shared" si="1"/>
        <v>#VALUE!</v>
      </c>
      <c r="BG517" s="21">
        <f t="shared" si="2"/>
        <v>12</v>
      </c>
    </row>
    <row r="518">
      <c r="P518" s="369"/>
      <c r="AI518" s="102"/>
      <c r="AK518" s="428" t="s">
        <v>51</v>
      </c>
      <c r="AO518" s="86" t="s">
        <v>120</v>
      </c>
      <c r="AP518" s="12"/>
      <c r="AQ518" s="12"/>
      <c r="AR518" s="86" t="s">
        <v>129</v>
      </c>
      <c r="AS518" s="12"/>
      <c r="AT518" s="12"/>
      <c r="AU518" s="12"/>
      <c r="AV518" s="12"/>
      <c r="AW518" s="12"/>
      <c r="AX518" s="12"/>
      <c r="AY518" s="12"/>
      <c r="AZ518" s="12"/>
      <c r="BA518" s="12"/>
      <c r="BB518" s="12"/>
      <c r="BC518" s="12"/>
      <c r="BD518" s="12"/>
      <c r="BF518" s="106" t="str">
        <f t="shared" si="1"/>
        <v>#VALUE!</v>
      </c>
      <c r="BG518" s="21">
        <f t="shared" si="2"/>
        <v>12</v>
      </c>
    </row>
    <row r="519">
      <c r="P519" s="161"/>
      <c r="AI519" s="102"/>
      <c r="AK519" s="428" t="s">
        <v>32</v>
      </c>
      <c r="AO519" s="86" t="s">
        <v>120</v>
      </c>
      <c r="AP519" s="86" t="s">
        <v>120</v>
      </c>
      <c r="AQ519" s="12"/>
      <c r="AR519" s="12"/>
      <c r="AS519" s="12"/>
      <c r="AT519" s="12"/>
      <c r="AU519" s="12"/>
      <c r="AV519" s="12"/>
      <c r="AW519" s="12"/>
      <c r="AX519" s="12"/>
      <c r="AY519" s="12"/>
      <c r="AZ519" s="12"/>
      <c r="BA519" s="12"/>
      <c r="BB519" s="12"/>
      <c r="BC519" s="12"/>
      <c r="BD519" s="12"/>
      <c r="BF519" s="106" t="str">
        <f t="shared" si="1"/>
        <v>#VALUE!</v>
      </c>
      <c r="BG519" s="21">
        <f t="shared" si="2"/>
        <v>12</v>
      </c>
    </row>
    <row r="520" ht="54.0" customHeight="1">
      <c r="P520" s="161"/>
      <c r="AI520" s="102"/>
      <c r="AK520" s="428" t="s">
        <v>35</v>
      </c>
      <c r="AO520" s="86" t="s">
        <v>120</v>
      </c>
      <c r="AP520" s="86" t="s">
        <v>120</v>
      </c>
      <c r="AQ520" s="12"/>
      <c r="AR520" s="12"/>
      <c r="AS520" s="12"/>
      <c r="AT520" s="12"/>
      <c r="AU520" s="12"/>
      <c r="AV520" s="12"/>
      <c r="AW520" s="12"/>
      <c r="AX520" s="12"/>
      <c r="AY520" s="12"/>
      <c r="AZ520" s="12"/>
      <c r="BA520" s="12"/>
      <c r="BB520" s="12"/>
      <c r="BC520" s="12"/>
      <c r="BD520" s="12"/>
      <c r="BF520" s="106" t="str">
        <f t="shared" si="1"/>
        <v>#VALUE!</v>
      </c>
      <c r="BG520" s="21">
        <f t="shared" si="2"/>
        <v>12</v>
      </c>
    </row>
    <row r="521" ht="45.75" customHeight="1">
      <c r="P521" s="369"/>
      <c r="AI521" s="102"/>
      <c r="AK521" s="428" t="s">
        <v>34</v>
      </c>
      <c r="AO521" s="86" t="s">
        <v>120</v>
      </c>
      <c r="AP521" s="12"/>
      <c r="AQ521" s="12"/>
      <c r="AR521" s="12"/>
      <c r="AS521" s="12"/>
      <c r="AT521" s="12"/>
      <c r="AU521" s="12"/>
      <c r="AV521" s="12"/>
      <c r="AW521" s="12"/>
      <c r="AX521" s="12"/>
      <c r="AY521" s="12"/>
      <c r="AZ521" s="12"/>
      <c r="BA521" s="12"/>
      <c r="BB521" s="12"/>
      <c r="BC521" s="12"/>
      <c r="BD521" s="12"/>
      <c r="BF521" s="106" t="str">
        <f t="shared" si="1"/>
        <v>#VALUE!</v>
      </c>
      <c r="BG521" s="21">
        <f t="shared" si="2"/>
        <v>12</v>
      </c>
    </row>
    <row r="522">
      <c r="P522" s="161"/>
      <c r="AI522" s="102"/>
      <c r="AK522" s="393" t="s">
        <v>37</v>
      </c>
      <c r="AO522" s="86" t="s">
        <v>120</v>
      </c>
      <c r="AP522" s="86" t="s">
        <v>120</v>
      </c>
      <c r="AQ522" s="12"/>
      <c r="AR522" s="86" t="s">
        <v>120</v>
      </c>
      <c r="AS522" s="86" t="s">
        <v>120</v>
      </c>
      <c r="AT522" s="86" t="s">
        <v>129</v>
      </c>
      <c r="AU522" s="12"/>
      <c r="AV522" s="86" t="s">
        <v>120</v>
      </c>
      <c r="AW522" s="86" t="s">
        <v>120</v>
      </c>
      <c r="AX522" s="12"/>
      <c r="AY522" s="86" t="s">
        <v>120</v>
      </c>
      <c r="AZ522" s="86" t="s">
        <v>129</v>
      </c>
      <c r="BA522" s="12"/>
      <c r="BB522" s="12"/>
      <c r="BC522" s="12"/>
      <c r="BD522" s="12"/>
      <c r="BF522" s="106" t="str">
        <f t="shared" si="1"/>
        <v>#VALUE!</v>
      </c>
      <c r="BG522" s="21">
        <f t="shared" si="2"/>
        <v>12</v>
      </c>
    </row>
    <row r="523">
      <c r="P523" s="369"/>
      <c r="AI523" s="102"/>
      <c r="AK523" s="428" t="s">
        <v>33</v>
      </c>
      <c r="AO523" s="86" t="s">
        <v>120</v>
      </c>
      <c r="AP523" s="12"/>
      <c r="AQ523" s="12"/>
      <c r="AR523" s="12"/>
      <c r="AS523" s="12"/>
      <c r="AT523" s="12"/>
      <c r="AU523" s="12"/>
      <c r="AV523" s="12"/>
      <c r="AW523" s="12"/>
      <c r="AX523" s="12"/>
      <c r="AY523" s="12"/>
      <c r="AZ523" s="12"/>
      <c r="BA523" s="12"/>
      <c r="BB523" s="12"/>
      <c r="BC523" s="12"/>
      <c r="BD523" s="12"/>
      <c r="BF523" s="106" t="str">
        <f t="shared" si="1"/>
        <v>#VALUE!</v>
      </c>
      <c r="BG523" s="21">
        <f t="shared" si="2"/>
        <v>12</v>
      </c>
    </row>
    <row r="524">
      <c r="P524" s="161"/>
      <c r="AI524" s="102"/>
      <c r="AK524" s="428" t="s">
        <v>39</v>
      </c>
      <c r="AO524" s="86" t="s">
        <v>124</v>
      </c>
      <c r="AP524" s="12"/>
      <c r="AQ524" s="12"/>
      <c r="AR524" s="12"/>
      <c r="AS524" s="12"/>
      <c r="AT524" s="86" t="s">
        <v>120</v>
      </c>
      <c r="AU524" s="12"/>
      <c r="AV524" s="12"/>
      <c r="AW524" s="12"/>
      <c r="AX524" s="12"/>
      <c r="AY524" s="12"/>
      <c r="AZ524" s="12"/>
      <c r="BA524" s="12"/>
      <c r="BB524" s="12"/>
      <c r="BC524" s="12"/>
      <c r="BD524" s="12"/>
      <c r="BF524" s="106" t="str">
        <f t="shared" si="1"/>
        <v>#VALUE!</v>
      </c>
      <c r="BG524" s="21">
        <f t="shared" si="2"/>
        <v>12</v>
      </c>
    </row>
    <row r="525">
      <c r="P525" s="369"/>
      <c r="AI525" s="102"/>
      <c r="AK525" s="428" t="s">
        <v>2723</v>
      </c>
      <c r="AO525" s="86" t="s">
        <v>120</v>
      </c>
      <c r="AP525" s="12"/>
      <c r="AQ525" s="12"/>
      <c r="AR525" s="12"/>
      <c r="AS525" s="12"/>
      <c r="AT525" s="12"/>
      <c r="AU525" s="12"/>
      <c r="AV525" s="12"/>
      <c r="AW525" s="12"/>
      <c r="AX525" s="12"/>
      <c r="AY525" s="12"/>
      <c r="AZ525" s="12"/>
      <c r="BA525" s="12"/>
      <c r="BB525" s="12"/>
      <c r="BC525" s="12"/>
      <c r="BD525" s="12"/>
      <c r="BF525" s="106" t="str">
        <f t="shared" si="1"/>
        <v>#VALUE!</v>
      </c>
      <c r="BG525" s="21">
        <f t="shared" si="2"/>
        <v>12</v>
      </c>
    </row>
    <row r="526">
      <c r="P526" s="369"/>
      <c r="AI526" s="102"/>
      <c r="AK526" s="428" t="s">
        <v>40</v>
      </c>
      <c r="AO526" s="86" t="s">
        <v>120</v>
      </c>
      <c r="AP526" s="12"/>
      <c r="AQ526" s="12"/>
      <c r="AR526" s="12"/>
      <c r="AS526" s="12"/>
      <c r="AT526" s="12"/>
      <c r="AU526" s="12"/>
      <c r="AV526" s="12"/>
      <c r="AW526" s="12"/>
      <c r="AX526" s="12"/>
      <c r="AY526" s="12"/>
      <c r="AZ526" s="12"/>
      <c r="BA526" s="12"/>
      <c r="BB526" s="12"/>
      <c r="BC526" s="12"/>
      <c r="BD526" s="12"/>
      <c r="BF526" s="106" t="str">
        <f t="shared" si="1"/>
        <v>#VALUE!</v>
      </c>
      <c r="BG526" s="21">
        <f t="shared" si="2"/>
        <v>12</v>
      </c>
    </row>
    <row r="527">
      <c r="P527" s="161"/>
      <c r="AI527" s="102"/>
      <c r="AK527" s="428" t="s">
        <v>59</v>
      </c>
      <c r="AO527" s="86" t="s">
        <v>120</v>
      </c>
      <c r="AP527" s="12"/>
      <c r="AQ527" s="12"/>
      <c r="AR527" s="12"/>
      <c r="AS527" s="12"/>
      <c r="AT527" s="12"/>
      <c r="AU527" s="86" t="s">
        <v>120</v>
      </c>
      <c r="AV527" s="86" t="s">
        <v>120</v>
      </c>
      <c r="AW527" s="86" t="s">
        <v>120</v>
      </c>
      <c r="AX527" s="12"/>
      <c r="AY527" s="12"/>
      <c r="AZ527" s="12"/>
      <c r="BA527" s="12"/>
      <c r="BB527" s="12"/>
      <c r="BC527" s="12"/>
      <c r="BD527" s="12"/>
      <c r="BF527" s="106" t="str">
        <f t="shared" si="1"/>
        <v>#VALUE!</v>
      </c>
      <c r="BG527" s="21">
        <f t="shared" si="2"/>
        <v>12</v>
      </c>
    </row>
    <row r="528">
      <c r="P528" s="369"/>
      <c r="AI528" s="102"/>
      <c r="AK528" s="428" t="s">
        <v>2726</v>
      </c>
      <c r="AL528" s="429" t="s">
        <v>2727</v>
      </c>
      <c r="AO528" s="86" t="s">
        <v>120</v>
      </c>
      <c r="AP528" s="12"/>
      <c r="AQ528" s="12"/>
      <c r="AR528" s="12"/>
      <c r="AS528" s="12"/>
      <c r="AT528" s="12"/>
      <c r="AU528" s="12"/>
      <c r="AV528" s="12"/>
      <c r="AW528" s="12"/>
      <c r="AX528" s="12"/>
      <c r="AY528" s="12"/>
      <c r="AZ528" s="12"/>
      <c r="BA528" s="12"/>
      <c r="BB528" s="12"/>
      <c r="BC528" s="12"/>
      <c r="BD528" s="12"/>
      <c r="BF528" s="106" t="str">
        <f t="shared" si="1"/>
        <v>#VALUE!</v>
      </c>
      <c r="BG528" s="21">
        <f t="shared" si="2"/>
        <v>12</v>
      </c>
    </row>
    <row r="529">
      <c r="P529" s="369"/>
      <c r="AI529" s="102"/>
      <c r="AK529" s="428" t="s">
        <v>2730</v>
      </c>
      <c r="AO529" s="246" t="s">
        <v>120</v>
      </c>
      <c r="AP529" s="12"/>
      <c r="AQ529" s="12"/>
      <c r="AR529" s="12"/>
      <c r="AS529" s="12"/>
      <c r="AT529" s="12"/>
      <c r="AU529" s="12"/>
      <c r="AV529" s="12"/>
      <c r="AW529" s="12"/>
      <c r="AX529" s="12"/>
      <c r="AY529" s="12"/>
      <c r="AZ529" s="12"/>
      <c r="BA529" s="12"/>
      <c r="BB529" s="12"/>
      <c r="BC529" s="12"/>
      <c r="BD529" s="12"/>
      <c r="BF529" s="106" t="str">
        <f t="shared" si="1"/>
        <v>#VALUE!</v>
      </c>
      <c r="BG529" s="21">
        <f t="shared" si="2"/>
        <v>12</v>
      </c>
    </row>
    <row r="530">
      <c r="P530" s="369"/>
      <c r="AI530" s="102"/>
      <c r="AK530" s="428" t="s">
        <v>41</v>
      </c>
      <c r="AO530" s="246" t="s">
        <v>124</v>
      </c>
      <c r="AP530" s="12"/>
      <c r="AQ530" s="12"/>
      <c r="AR530" s="12"/>
      <c r="AS530" s="86" t="s">
        <v>120</v>
      </c>
      <c r="AT530" s="12"/>
      <c r="AU530" s="12"/>
      <c r="AV530" s="12"/>
      <c r="AW530" s="12"/>
      <c r="AX530" s="12"/>
      <c r="AY530" s="12"/>
      <c r="AZ530" s="12"/>
      <c r="BA530" s="12"/>
      <c r="BB530" s="12"/>
      <c r="BC530" s="12"/>
      <c r="BD530" s="12"/>
      <c r="BF530" s="106" t="str">
        <f t="shared" si="1"/>
        <v>#VALUE!</v>
      </c>
      <c r="BG530" s="21">
        <f t="shared" si="2"/>
        <v>12</v>
      </c>
    </row>
    <row r="531">
      <c r="P531" s="369"/>
      <c r="AI531" s="102"/>
      <c r="AK531" s="428" t="s">
        <v>2731</v>
      </c>
      <c r="AO531" s="12"/>
      <c r="AP531" s="12"/>
      <c r="AQ531" s="12"/>
      <c r="AR531" s="12"/>
      <c r="AS531" s="12"/>
      <c r="AT531" s="12"/>
      <c r="AU531" s="12"/>
      <c r="AV531" s="12"/>
      <c r="AW531" s="12"/>
      <c r="AX531" s="12"/>
      <c r="AY531" s="12"/>
      <c r="AZ531" s="12"/>
      <c r="BA531" s="12"/>
      <c r="BB531" s="12"/>
      <c r="BC531" s="12"/>
      <c r="BD531" s="12"/>
      <c r="BF531" s="106" t="str">
        <f t="shared" si="1"/>
        <v>#VALUE!</v>
      </c>
      <c r="BG531" s="21">
        <f t="shared" si="2"/>
        <v>12</v>
      </c>
    </row>
    <row r="532">
      <c r="P532" s="161"/>
      <c r="AI532" s="102"/>
      <c r="AK532" s="428" t="s">
        <v>43</v>
      </c>
      <c r="AO532" s="86" t="s">
        <v>120</v>
      </c>
      <c r="AP532" s="86" t="s">
        <v>120</v>
      </c>
      <c r="AQ532" s="12"/>
      <c r="AR532" s="12"/>
      <c r="AS532" s="12"/>
      <c r="AT532" s="12"/>
      <c r="AU532" s="12"/>
      <c r="AV532" s="86" t="s">
        <v>120</v>
      </c>
      <c r="AW532" s="12"/>
      <c r="AX532" s="12"/>
      <c r="AY532" s="12"/>
      <c r="AZ532" s="12"/>
      <c r="BA532" s="12"/>
      <c r="BB532" s="12"/>
      <c r="BC532" s="12"/>
      <c r="BD532" s="12"/>
      <c r="BF532" s="106" t="str">
        <f t="shared" si="1"/>
        <v>#VALUE!</v>
      </c>
      <c r="BG532" s="21">
        <f t="shared" si="2"/>
        <v>12</v>
      </c>
    </row>
    <row r="533">
      <c r="P533" s="161"/>
      <c r="AI533" s="102"/>
      <c r="AK533" s="428" t="s">
        <v>44</v>
      </c>
      <c r="AO533" s="246" t="s">
        <v>120</v>
      </c>
      <c r="AP533" s="12"/>
      <c r="AQ533" s="12"/>
      <c r="AR533" s="12"/>
      <c r="AS533" s="12"/>
      <c r="AT533" s="12"/>
      <c r="AU533" s="12"/>
      <c r="AV533" s="12"/>
      <c r="AW533" s="12"/>
      <c r="AX533" s="12"/>
      <c r="AY533" s="12"/>
      <c r="AZ533" s="12"/>
      <c r="BA533" s="12"/>
      <c r="BB533" s="12"/>
      <c r="BC533" s="12"/>
      <c r="BD533" s="12"/>
      <c r="BF533" s="106" t="str">
        <f t="shared" si="1"/>
        <v>#VALUE!</v>
      </c>
      <c r="BG533" s="21">
        <f t="shared" si="2"/>
        <v>12</v>
      </c>
    </row>
    <row r="534">
      <c r="P534" s="369"/>
      <c r="AI534" s="102"/>
      <c r="AK534" s="428" t="s">
        <v>2734</v>
      </c>
      <c r="AO534" s="86" t="s">
        <v>120</v>
      </c>
      <c r="AP534" s="12"/>
      <c r="AQ534" s="12"/>
      <c r="AR534" s="12"/>
      <c r="AS534" s="12"/>
      <c r="AT534" s="12"/>
      <c r="AU534" s="12"/>
      <c r="AV534" s="12"/>
      <c r="AW534" s="12"/>
      <c r="AX534" s="12"/>
      <c r="AY534" s="12"/>
      <c r="AZ534" s="12"/>
      <c r="BA534" s="12"/>
      <c r="BB534" s="12"/>
      <c r="BC534" s="12"/>
      <c r="BD534" s="12"/>
      <c r="BF534" s="106" t="str">
        <f t="shared" si="1"/>
        <v>#VALUE!</v>
      </c>
      <c r="BG534" s="21">
        <f t="shared" si="2"/>
        <v>12</v>
      </c>
    </row>
    <row r="535">
      <c r="P535" s="161"/>
      <c r="AI535" s="102"/>
      <c r="AK535" s="428" t="s">
        <v>958</v>
      </c>
      <c r="AO535" s="86" t="s">
        <v>127</v>
      </c>
      <c r="AP535" s="12"/>
      <c r="AQ535" s="86" t="s">
        <v>120</v>
      </c>
      <c r="AR535" s="12"/>
      <c r="AS535" s="12"/>
      <c r="AT535" s="12"/>
      <c r="AU535" s="12"/>
      <c r="AV535" s="12"/>
      <c r="AW535" s="12"/>
      <c r="AX535" s="12"/>
      <c r="AY535" s="12"/>
      <c r="AZ535" s="12"/>
      <c r="BA535" s="12"/>
      <c r="BB535" s="12"/>
      <c r="BC535" s="12"/>
      <c r="BD535" s="12"/>
      <c r="BF535" s="106" t="str">
        <f t="shared" si="1"/>
        <v>#VALUE!</v>
      </c>
      <c r="BG535" s="21">
        <f t="shared" si="2"/>
        <v>12</v>
      </c>
    </row>
    <row r="536">
      <c r="P536" s="369"/>
      <c r="AI536" s="102"/>
      <c r="AK536" s="428" t="s">
        <v>961</v>
      </c>
      <c r="AL536" s="86" t="s">
        <v>2736</v>
      </c>
      <c r="AO536" s="86" t="s">
        <v>122</v>
      </c>
      <c r="AP536" s="12"/>
      <c r="AQ536" s="86" t="s">
        <v>120</v>
      </c>
      <c r="AR536" s="12"/>
      <c r="AS536" s="12"/>
      <c r="AT536" s="86" t="s">
        <v>120</v>
      </c>
      <c r="AU536" s="12"/>
      <c r="AV536" s="86" t="s">
        <v>129</v>
      </c>
      <c r="AW536" s="12"/>
      <c r="AX536" s="12"/>
      <c r="AY536" s="12"/>
      <c r="AZ536" s="12"/>
      <c r="BA536" s="12"/>
      <c r="BB536" s="12"/>
      <c r="BC536" s="12"/>
      <c r="BD536" s="12"/>
      <c r="BF536" s="106" t="str">
        <f t="shared" si="1"/>
        <v>#VALUE!</v>
      </c>
      <c r="BG536" s="21">
        <f t="shared" si="2"/>
        <v>12</v>
      </c>
    </row>
    <row r="537">
      <c r="P537" s="369"/>
      <c r="AI537" s="102"/>
      <c r="AK537" s="428" t="s">
        <v>965</v>
      </c>
      <c r="AO537" s="86" t="s">
        <v>120</v>
      </c>
      <c r="AP537" s="12"/>
      <c r="AQ537" s="12"/>
      <c r="AR537" s="12"/>
      <c r="AS537" s="86" t="s">
        <v>120</v>
      </c>
      <c r="AT537" s="86" t="s">
        <v>129</v>
      </c>
      <c r="AU537" s="12"/>
      <c r="AV537" s="12"/>
      <c r="AW537" s="12"/>
      <c r="AX537" s="12"/>
      <c r="AY537" s="12"/>
      <c r="AZ537" s="12"/>
      <c r="BA537" s="12"/>
      <c r="BB537" s="12"/>
      <c r="BC537" s="12"/>
      <c r="BD537" s="12"/>
      <c r="BF537" s="106" t="str">
        <f t="shared" si="1"/>
        <v>#VALUE!</v>
      </c>
      <c r="BG537" s="21">
        <f t="shared" si="2"/>
        <v>12</v>
      </c>
    </row>
    <row r="538">
      <c r="P538" s="369"/>
      <c r="AI538" s="102"/>
      <c r="AK538" s="428" t="s">
        <v>2738</v>
      </c>
      <c r="AO538" s="86" t="s">
        <v>123</v>
      </c>
      <c r="AP538" s="86" t="s">
        <v>120</v>
      </c>
      <c r="AQ538" s="12"/>
      <c r="AR538" s="12"/>
      <c r="AS538" s="12"/>
      <c r="AT538" s="86" t="s">
        <v>120</v>
      </c>
      <c r="AU538" s="12"/>
      <c r="AV538" s="86" t="s">
        <v>126</v>
      </c>
      <c r="AW538" s="86" t="s">
        <v>120</v>
      </c>
      <c r="AX538" s="12"/>
      <c r="AY538" s="12"/>
      <c r="AZ538" s="12"/>
      <c r="BA538" s="12"/>
      <c r="BB538" s="12"/>
      <c r="BC538" s="12"/>
      <c r="BD538" s="12"/>
      <c r="BF538" s="106" t="str">
        <f t="shared" si="1"/>
        <v>#VALUE!</v>
      </c>
      <c r="BG538" s="21">
        <f t="shared" si="2"/>
        <v>12</v>
      </c>
    </row>
    <row r="539">
      <c r="P539" s="161"/>
      <c r="AI539" s="102"/>
      <c r="AK539" s="428" t="s">
        <v>60</v>
      </c>
      <c r="AO539" s="86" t="s">
        <v>120</v>
      </c>
      <c r="AP539" s="12"/>
      <c r="AQ539" s="12"/>
      <c r="AR539" s="12"/>
      <c r="AS539" s="86" t="s">
        <v>120</v>
      </c>
      <c r="AT539" s="86" t="s">
        <v>120</v>
      </c>
      <c r="AU539" s="12"/>
      <c r="AV539" s="12"/>
      <c r="AW539" s="12"/>
      <c r="AX539" s="12"/>
      <c r="AY539" s="12"/>
      <c r="AZ539" s="12"/>
      <c r="BA539" s="12"/>
      <c r="BB539" s="12"/>
      <c r="BC539" s="12"/>
      <c r="BD539" s="12"/>
      <c r="BF539" s="106" t="str">
        <f t="shared" si="1"/>
        <v>#VALUE!</v>
      </c>
      <c r="BG539" s="21">
        <f t="shared" si="2"/>
        <v>12</v>
      </c>
    </row>
    <row r="540">
      <c r="P540" s="369"/>
      <c r="AI540" s="102"/>
      <c r="AK540" s="428" t="s">
        <v>2741</v>
      </c>
      <c r="AO540" s="86" t="s">
        <v>126</v>
      </c>
      <c r="AP540" s="12"/>
      <c r="AQ540" s="12"/>
      <c r="AR540" s="86" t="s">
        <v>126</v>
      </c>
      <c r="AS540" s="12"/>
      <c r="AT540" s="86" t="s">
        <v>129</v>
      </c>
      <c r="AU540" s="12"/>
      <c r="AV540" s="12"/>
      <c r="AW540" s="12"/>
      <c r="AX540" s="12"/>
      <c r="AY540" s="12"/>
      <c r="AZ540" s="12"/>
      <c r="BA540" s="12"/>
      <c r="BB540" s="12"/>
      <c r="BC540" s="12"/>
      <c r="BD540" s="12"/>
      <c r="BF540" s="106" t="str">
        <f t="shared" si="1"/>
        <v>#VALUE!</v>
      </c>
      <c r="BG540" s="21">
        <f t="shared" si="2"/>
        <v>12</v>
      </c>
    </row>
    <row r="541">
      <c r="P541" s="161"/>
      <c r="AI541" s="102"/>
      <c r="AK541" s="428" t="s">
        <v>50</v>
      </c>
      <c r="AO541" s="86" t="s">
        <v>120</v>
      </c>
      <c r="AP541" s="12"/>
      <c r="AQ541" s="86" t="s">
        <v>120</v>
      </c>
      <c r="AR541" s="12"/>
      <c r="AS541" s="12"/>
      <c r="AT541" s="12"/>
      <c r="AU541" s="12"/>
      <c r="AV541" s="12"/>
      <c r="AW541" s="12"/>
      <c r="AX541" s="12"/>
      <c r="AY541" s="12"/>
      <c r="AZ541" s="12"/>
      <c r="BA541" s="12"/>
      <c r="BB541" s="12"/>
      <c r="BC541" s="12"/>
      <c r="BD541" s="12"/>
      <c r="BF541" s="106" t="str">
        <f t="shared" si="1"/>
        <v>#VALUE!</v>
      </c>
      <c r="BG541" s="21">
        <f t="shared" si="2"/>
        <v>12</v>
      </c>
    </row>
    <row r="542">
      <c r="P542" s="102"/>
      <c r="AI542" s="102"/>
      <c r="AK542" s="428" t="s">
        <v>2743</v>
      </c>
      <c r="AO542" s="86" t="s">
        <v>120</v>
      </c>
      <c r="AP542" s="12"/>
      <c r="AQ542" s="12"/>
      <c r="AR542" s="12"/>
      <c r="AS542" s="12"/>
      <c r="AT542" s="12"/>
      <c r="AU542" s="12"/>
      <c r="AV542" s="12"/>
      <c r="AW542" s="12"/>
      <c r="AX542" s="12"/>
      <c r="AY542" s="12"/>
      <c r="AZ542" s="12"/>
      <c r="BA542" s="12"/>
      <c r="BB542" s="12"/>
      <c r="BC542" s="12"/>
      <c r="BD542" s="12"/>
      <c r="BF542" s="106" t="str">
        <f t="shared" si="1"/>
        <v>#VALUE!</v>
      </c>
      <c r="BG542" s="21">
        <f t="shared" si="2"/>
        <v>12</v>
      </c>
    </row>
    <row r="543">
      <c r="P543" s="161"/>
      <c r="AI543" s="102"/>
      <c r="AK543" s="428" t="s">
        <v>55</v>
      </c>
      <c r="AO543" s="86" t="s">
        <v>120</v>
      </c>
      <c r="AP543" s="86" t="s">
        <v>120</v>
      </c>
      <c r="AQ543" s="86" t="s">
        <v>123</v>
      </c>
      <c r="AR543" s="12"/>
      <c r="AS543" s="12"/>
      <c r="AT543" s="12"/>
      <c r="AU543" s="86" t="s">
        <v>129</v>
      </c>
      <c r="AV543" s="12"/>
      <c r="AW543" s="12"/>
      <c r="AX543" s="12"/>
      <c r="AY543" s="12"/>
      <c r="AZ543" s="12"/>
      <c r="BA543" s="12"/>
      <c r="BB543" s="12"/>
      <c r="BC543" s="12"/>
      <c r="BD543" s="12"/>
      <c r="BF543" s="106" t="str">
        <f t="shared" si="1"/>
        <v>#VALUE!</v>
      </c>
      <c r="BG543" s="21">
        <f t="shared" si="2"/>
        <v>12</v>
      </c>
    </row>
    <row r="544">
      <c r="P544" s="161"/>
      <c r="AI544" s="102"/>
      <c r="AK544" s="428" t="s">
        <v>62</v>
      </c>
      <c r="AO544" s="86" t="s">
        <v>120</v>
      </c>
      <c r="AP544" s="12"/>
      <c r="AQ544" s="12"/>
      <c r="AR544" s="86" t="s">
        <v>120</v>
      </c>
      <c r="AS544" s="12"/>
      <c r="AT544" s="12"/>
      <c r="AU544" s="86" t="s">
        <v>120</v>
      </c>
      <c r="AV544" s="12"/>
      <c r="AW544" s="86" t="s">
        <v>129</v>
      </c>
      <c r="AX544" s="12"/>
      <c r="AY544" s="12"/>
      <c r="AZ544" s="12"/>
      <c r="BA544" s="12"/>
      <c r="BB544" s="12"/>
      <c r="BC544" s="12"/>
      <c r="BD544" s="12"/>
      <c r="BF544" s="106" t="str">
        <f t="shared" si="1"/>
        <v>#VALUE!</v>
      </c>
      <c r="BG544" s="21">
        <f t="shared" si="2"/>
        <v>12</v>
      </c>
    </row>
    <row r="545">
      <c r="P545" s="161"/>
      <c r="AI545" s="102"/>
      <c r="AK545" s="428" t="s">
        <v>1034</v>
      </c>
      <c r="AO545" s="86" t="s">
        <v>120</v>
      </c>
      <c r="AP545" s="12"/>
      <c r="AQ545" s="12"/>
      <c r="AR545" s="86" t="s">
        <v>120</v>
      </c>
      <c r="AS545" s="86" t="s">
        <v>120</v>
      </c>
      <c r="AT545" s="86" t="s">
        <v>120</v>
      </c>
      <c r="AU545" s="12"/>
      <c r="AV545" s="86" t="s">
        <v>120</v>
      </c>
      <c r="AW545" s="86" t="s">
        <v>120</v>
      </c>
      <c r="AX545" s="12"/>
      <c r="AY545" s="12"/>
      <c r="AZ545" s="12"/>
      <c r="BA545" s="12"/>
      <c r="BB545" s="12"/>
      <c r="BC545" s="12"/>
      <c r="BD545" s="12"/>
      <c r="BF545" s="106" t="str">
        <f t="shared" si="1"/>
        <v>#VALUE!</v>
      </c>
      <c r="BG545" s="21">
        <f t="shared" si="2"/>
        <v>12</v>
      </c>
    </row>
    <row r="546">
      <c r="P546" s="369"/>
      <c r="AI546" s="102"/>
      <c r="AK546" s="428" t="s">
        <v>57</v>
      </c>
      <c r="AO546" s="86" t="s">
        <v>120</v>
      </c>
      <c r="AP546" s="12"/>
      <c r="AQ546" s="86" t="s">
        <v>120</v>
      </c>
      <c r="AR546" s="86" t="s">
        <v>120</v>
      </c>
      <c r="AS546" s="12"/>
      <c r="AT546" s="12"/>
      <c r="AU546" s="12"/>
      <c r="AV546" s="86" t="s">
        <v>120</v>
      </c>
      <c r="AW546" s="12"/>
      <c r="AX546" s="12"/>
      <c r="AY546" s="12"/>
      <c r="AZ546" s="12"/>
      <c r="BA546" s="12"/>
      <c r="BB546" s="12"/>
      <c r="BC546" s="12"/>
      <c r="BD546" s="12"/>
      <c r="BF546" s="106" t="str">
        <f t="shared" si="1"/>
        <v>#VALUE!</v>
      </c>
      <c r="BG546" s="21">
        <f t="shared" si="2"/>
        <v>12</v>
      </c>
    </row>
    <row r="547">
      <c r="P547" s="431"/>
      <c r="AI547" s="102"/>
      <c r="AK547" s="428" t="s">
        <v>2748</v>
      </c>
      <c r="AO547" s="12"/>
      <c r="AP547" s="12"/>
      <c r="AQ547" s="12"/>
      <c r="AR547" s="12"/>
      <c r="AS547" s="12"/>
      <c r="AT547" s="12"/>
      <c r="AU547" s="12"/>
      <c r="AV547" s="12"/>
      <c r="AW547" s="12"/>
      <c r="AX547" s="12"/>
      <c r="AY547" s="12"/>
      <c r="AZ547" s="12"/>
      <c r="BA547" s="12"/>
      <c r="BB547" s="12"/>
      <c r="BC547" s="12"/>
      <c r="BD547" s="12"/>
      <c r="BF547" s="106" t="str">
        <f t="shared" si="1"/>
        <v>#VALUE!</v>
      </c>
      <c r="BG547" s="21">
        <f t="shared" si="2"/>
        <v>12</v>
      </c>
    </row>
    <row r="548">
      <c r="P548" s="161"/>
      <c r="AI548" s="102"/>
      <c r="AK548" s="428" t="s">
        <v>64</v>
      </c>
      <c r="AL548" s="86" t="s">
        <v>2751</v>
      </c>
      <c r="AO548" s="86" t="s">
        <v>120</v>
      </c>
      <c r="AP548" s="86" t="s">
        <v>120</v>
      </c>
      <c r="AQ548" s="86" t="s">
        <v>120</v>
      </c>
      <c r="AR548" s="12"/>
      <c r="AS548" s="12"/>
      <c r="AT548" s="12"/>
      <c r="AU548" s="12"/>
      <c r="AV548" s="12"/>
      <c r="AW548" s="12"/>
      <c r="AX548" s="12"/>
      <c r="AY548" s="12"/>
      <c r="AZ548" s="12"/>
      <c r="BA548" s="12"/>
      <c r="BB548" s="12"/>
      <c r="BC548" s="12"/>
      <c r="BD548" s="12"/>
      <c r="BF548" s="106" t="str">
        <f t="shared" si="1"/>
        <v>#VALUE!</v>
      </c>
      <c r="BG548" s="21">
        <f t="shared" si="2"/>
        <v>12</v>
      </c>
    </row>
    <row r="549">
      <c r="P549" s="161"/>
      <c r="AI549" s="102"/>
      <c r="AK549" s="428" t="s">
        <v>2752</v>
      </c>
      <c r="AO549" s="86" t="s">
        <v>120</v>
      </c>
      <c r="AP549" s="12"/>
      <c r="AQ549" s="12"/>
      <c r="AR549" s="12"/>
      <c r="AS549" s="12"/>
      <c r="AT549" s="12"/>
      <c r="AU549" s="12"/>
      <c r="AV549" s="12"/>
      <c r="AW549" s="12"/>
      <c r="AX549" s="12"/>
      <c r="AY549" s="12"/>
      <c r="AZ549" s="12"/>
      <c r="BA549" s="12"/>
      <c r="BB549" s="12"/>
      <c r="BC549" s="12"/>
      <c r="BD549" s="12"/>
      <c r="BF549" s="106" t="str">
        <f t="shared" si="1"/>
        <v>#VALUE!</v>
      </c>
      <c r="BG549" s="21">
        <f t="shared" si="2"/>
        <v>12</v>
      </c>
    </row>
    <row r="550">
      <c r="P550" s="161"/>
      <c r="AI550" s="102"/>
      <c r="AK550" s="428" t="s">
        <v>54</v>
      </c>
      <c r="AL550" s="86" t="s">
        <v>2753</v>
      </c>
      <c r="AO550" s="12"/>
      <c r="AP550" s="12"/>
      <c r="AQ550" s="12"/>
      <c r="AR550" s="12"/>
      <c r="AS550" s="12"/>
      <c r="AT550" s="12"/>
      <c r="AU550" s="12"/>
      <c r="AV550" s="12"/>
      <c r="AW550" s="12"/>
      <c r="AX550" s="12"/>
      <c r="AY550" s="12"/>
      <c r="AZ550" s="12"/>
      <c r="BA550" s="12"/>
      <c r="BB550" s="12"/>
      <c r="BC550" s="12"/>
      <c r="BD550" s="12"/>
      <c r="BF550" s="106" t="str">
        <f t="shared" si="1"/>
        <v>#VALUE!</v>
      </c>
      <c r="BG550" s="21">
        <f t="shared" si="2"/>
        <v>12</v>
      </c>
    </row>
    <row r="551">
      <c r="P551" s="369"/>
      <c r="AI551" s="102"/>
      <c r="AK551" s="428" t="s">
        <v>67</v>
      </c>
      <c r="AL551" s="86" t="s">
        <v>1094</v>
      </c>
      <c r="AO551" s="86" t="s">
        <v>120</v>
      </c>
      <c r="AP551" s="86" t="s">
        <v>120</v>
      </c>
      <c r="AQ551" s="12"/>
      <c r="AR551" s="12"/>
      <c r="AS551" s="12"/>
      <c r="AT551" s="12"/>
      <c r="AU551" s="12"/>
      <c r="AV551" s="12"/>
      <c r="AW551" s="12"/>
      <c r="AX551" s="12"/>
      <c r="AY551" s="12"/>
      <c r="AZ551" s="12"/>
      <c r="BA551" s="12"/>
      <c r="BB551" s="12"/>
      <c r="BC551" s="12"/>
      <c r="BD551" s="12"/>
      <c r="BF551" s="106" t="str">
        <f t="shared" si="1"/>
        <v>#VALUE!</v>
      </c>
      <c r="BG551" s="21">
        <f t="shared" si="2"/>
        <v>12</v>
      </c>
    </row>
    <row r="552">
      <c r="P552" s="161"/>
      <c r="AI552" s="102"/>
      <c r="AK552" s="428" t="s">
        <v>2755</v>
      </c>
      <c r="AL552" s="246" t="s">
        <v>2756</v>
      </c>
      <c r="AO552" s="86" t="s">
        <v>120</v>
      </c>
      <c r="AP552" s="12"/>
      <c r="AQ552" s="12"/>
      <c r="AR552" s="12"/>
      <c r="AS552" s="12"/>
      <c r="AT552" s="12"/>
      <c r="AU552" s="12"/>
      <c r="AV552" s="12"/>
      <c r="AW552" s="12"/>
      <c r="AX552" s="12"/>
      <c r="AY552" s="12"/>
      <c r="AZ552" s="12"/>
      <c r="BA552" s="12"/>
      <c r="BB552" s="12"/>
      <c r="BC552" s="12"/>
      <c r="BD552" s="12"/>
      <c r="BF552" s="106" t="str">
        <f t="shared" si="1"/>
        <v>#VALUE!</v>
      </c>
      <c r="BG552" s="21">
        <f t="shared" si="2"/>
        <v>12</v>
      </c>
    </row>
    <row r="553">
      <c r="P553" s="161"/>
      <c r="AI553" s="102"/>
      <c r="AK553" s="428" t="s">
        <v>67</v>
      </c>
      <c r="AO553" s="86" t="s">
        <v>120</v>
      </c>
      <c r="AP553" s="12"/>
      <c r="AQ553" s="86" t="s">
        <v>126</v>
      </c>
      <c r="AR553" s="86" t="s">
        <v>124</v>
      </c>
      <c r="AS553" s="12"/>
      <c r="AT553" s="12"/>
      <c r="AU553" s="12"/>
      <c r="AV553" s="12"/>
      <c r="AW553" s="12"/>
      <c r="AX553" s="12"/>
      <c r="AY553" s="12"/>
      <c r="AZ553" s="12"/>
      <c r="BA553" s="12"/>
      <c r="BB553" s="12"/>
      <c r="BC553" s="12"/>
      <c r="BD553" s="12"/>
      <c r="BF553" s="106" t="str">
        <f t="shared" si="1"/>
        <v>#VALUE!</v>
      </c>
      <c r="BG553" s="21">
        <f t="shared" si="2"/>
        <v>12</v>
      </c>
    </row>
    <row r="554">
      <c r="P554" s="161"/>
      <c r="AI554" s="102"/>
      <c r="AK554" s="428" t="s">
        <v>63</v>
      </c>
      <c r="AO554" s="86" t="s">
        <v>120</v>
      </c>
      <c r="AP554" s="12"/>
      <c r="AQ554" s="86" t="s">
        <v>120</v>
      </c>
      <c r="AR554" s="12"/>
      <c r="AS554" s="12"/>
      <c r="AT554" s="12"/>
      <c r="AU554" s="12"/>
      <c r="AV554" s="12"/>
      <c r="AW554" s="12"/>
      <c r="AX554" s="12"/>
      <c r="AY554" s="12"/>
      <c r="AZ554" s="12"/>
      <c r="BA554" s="12"/>
      <c r="BB554" s="12"/>
      <c r="BC554" s="12"/>
      <c r="BD554" s="12"/>
      <c r="BF554" s="106" t="str">
        <f t="shared" si="1"/>
        <v>#VALUE!</v>
      </c>
      <c r="BG554" s="21">
        <f t="shared" si="2"/>
        <v>12</v>
      </c>
    </row>
    <row r="555">
      <c r="P555" s="369"/>
      <c r="AI555" s="102"/>
      <c r="AK555" s="428" t="s">
        <v>65</v>
      </c>
      <c r="AO555" s="86" t="s">
        <v>120</v>
      </c>
      <c r="AP555" s="86" t="s">
        <v>120</v>
      </c>
      <c r="AQ555" s="12"/>
      <c r="AR555" s="86" t="s">
        <v>120</v>
      </c>
      <c r="AS555" s="86" t="s">
        <v>129</v>
      </c>
      <c r="AT555" s="86" t="s">
        <v>129</v>
      </c>
      <c r="AU555" s="12"/>
      <c r="AV555" s="12"/>
      <c r="AW555" s="12"/>
      <c r="AX555" s="12"/>
      <c r="AY555" s="12"/>
      <c r="AZ555" s="12"/>
      <c r="BA555" s="12"/>
      <c r="BB555" s="12"/>
      <c r="BC555" s="12"/>
      <c r="BD555" s="12"/>
      <c r="BF555" s="106" t="str">
        <f t="shared" si="1"/>
        <v>#VALUE!</v>
      </c>
      <c r="BG555" s="21">
        <f t="shared" si="2"/>
        <v>12</v>
      </c>
    </row>
    <row r="556">
      <c r="P556" s="161"/>
      <c r="AI556" s="102"/>
      <c r="AK556" s="428" t="s">
        <v>2761</v>
      </c>
      <c r="AL556" s="246" t="s">
        <v>2762</v>
      </c>
      <c r="AO556" s="86" t="s">
        <v>120</v>
      </c>
      <c r="AP556" s="86" t="s">
        <v>129</v>
      </c>
      <c r="AQ556" s="86" t="s">
        <v>128</v>
      </c>
      <c r="AR556" s="12"/>
      <c r="AS556" s="12"/>
      <c r="AT556" s="12"/>
      <c r="AU556" s="12"/>
      <c r="AV556" s="12"/>
      <c r="AW556" s="12"/>
      <c r="AX556" s="12"/>
      <c r="AY556" s="12"/>
      <c r="AZ556" s="12"/>
      <c r="BA556" s="12"/>
      <c r="BB556" s="12"/>
      <c r="BC556" s="12"/>
      <c r="BD556" s="12"/>
      <c r="BF556" s="106" t="str">
        <f t="shared" si="1"/>
        <v>#VALUE!</v>
      </c>
      <c r="BG556" s="21">
        <f t="shared" si="2"/>
        <v>12</v>
      </c>
    </row>
    <row r="557">
      <c r="P557" s="369"/>
      <c r="AI557" s="102"/>
      <c r="AK557" s="428" t="s">
        <v>81</v>
      </c>
      <c r="AO557" s="86" t="s">
        <v>120</v>
      </c>
      <c r="AP557" s="86" t="s">
        <v>120</v>
      </c>
      <c r="AQ557" s="86" t="s">
        <v>120</v>
      </c>
      <c r="AR557" s="12"/>
      <c r="AS557" s="12"/>
      <c r="AT557" s="86" t="s">
        <v>127</v>
      </c>
      <c r="AU557" s="12"/>
      <c r="AV557" s="12"/>
      <c r="AW557" s="86" t="s">
        <v>120</v>
      </c>
      <c r="AX557" s="86" t="s">
        <v>120</v>
      </c>
      <c r="AY557" s="86" t="s">
        <v>120</v>
      </c>
      <c r="AZ557" s="12"/>
      <c r="BA557" s="12"/>
      <c r="BB557" s="12"/>
      <c r="BC557" s="12"/>
      <c r="BD557" s="12"/>
      <c r="BF557" s="106" t="str">
        <f t="shared" si="1"/>
        <v>#VALUE!</v>
      </c>
      <c r="BG557" s="21">
        <f t="shared" si="2"/>
        <v>12</v>
      </c>
    </row>
    <row r="558">
      <c r="P558" s="161"/>
      <c r="AI558" s="102"/>
      <c r="AK558" s="428" t="s">
        <v>1038</v>
      </c>
      <c r="AO558" s="86" t="s">
        <v>120</v>
      </c>
      <c r="AP558" s="12"/>
      <c r="AQ558" s="12"/>
      <c r="AR558" s="86" t="s">
        <v>120</v>
      </c>
      <c r="AS558" s="86" t="s">
        <v>126</v>
      </c>
      <c r="AT558" s="12"/>
      <c r="AU558" s="12"/>
      <c r="AV558" s="12"/>
      <c r="AW558" s="12"/>
      <c r="AX558" s="12"/>
      <c r="AY558" s="12"/>
      <c r="AZ558" s="12"/>
      <c r="BA558" s="12"/>
      <c r="BB558" s="12"/>
      <c r="BC558" s="12"/>
      <c r="BD558" s="12"/>
      <c r="BF558" s="106" t="str">
        <f t="shared" si="1"/>
        <v>#VALUE!</v>
      </c>
      <c r="BG558" s="21">
        <f t="shared" si="2"/>
        <v>12</v>
      </c>
    </row>
    <row r="559">
      <c r="P559" s="161"/>
      <c r="AI559" s="102"/>
      <c r="AK559" s="428" t="s">
        <v>975</v>
      </c>
      <c r="AO559" s="86" t="s">
        <v>123</v>
      </c>
      <c r="AP559" s="12"/>
      <c r="AQ559" s="12"/>
      <c r="AR559" s="12"/>
      <c r="AS559" s="86" t="s">
        <v>120</v>
      </c>
      <c r="AT559" s="12"/>
      <c r="AU559" s="12"/>
      <c r="AV559" s="12"/>
      <c r="AW559" s="12"/>
      <c r="AX559" s="12"/>
      <c r="AY559" s="12"/>
      <c r="AZ559" s="12"/>
      <c r="BA559" s="12"/>
      <c r="BB559" s="12"/>
      <c r="BC559" s="12"/>
      <c r="BD559" s="12"/>
      <c r="BF559" s="106" t="str">
        <f t="shared" si="1"/>
        <v>#VALUE!</v>
      </c>
      <c r="BG559" s="21">
        <f t="shared" si="2"/>
        <v>12</v>
      </c>
    </row>
    <row r="560">
      <c r="P560" s="161"/>
      <c r="AI560" s="102"/>
      <c r="AK560" s="428" t="s">
        <v>976</v>
      </c>
      <c r="AO560" s="86" t="s">
        <v>120</v>
      </c>
      <c r="AP560" s="86" t="s">
        <v>129</v>
      </c>
      <c r="AQ560" s="86" t="s">
        <v>126</v>
      </c>
      <c r="AR560" s="86" t="s">
        <v>129</v>
      </c>
      <c r="AS560" s="86" t="s">
        <v>120</v>
      </c>
      <c r="AT560" s="12"/>
      <c r="AU560" s="12"/>
      <c r="AV560" s="12"/>
      <c r="AW560" s="12"/>
      <c r="AX560" s="12"/>
      <c r="AY560" s="12"/>
      <c r="AZ560" s="12"/>
      <c r="BA560" s="12"/>
      <c r="BB560" s="12"/>
      <c r="BC560" s="12"/>
      <c r="BD560" s="12"/>
      <c r="BF560" s="106" t="str">
        <f t="shared" si="1"/>
        <v>#VALUE!</v>
      </c>
      <c r="BG560" s="21">
        <f t="shared" si="2"/>
        <v>12</v>
      </c>
    </row>
    <row r="561">
      <c r="P561" s="161"/>
      <c r="AI561" s="102"/>
      <c r="AK561" s="428" t="s">
        <v>2768</v>
      </c>
      <c r="AO561" s="86" t="s">
        <v>123</v>
      </c>
      <c r="AP561" s="86" t="s">
        <v>120</v>
      </c>
      <c r="AQ561" s="86" t="s">
        <v>120</v>
      </c>
      <c r="AR561" s="12"/>
      <c r="AS561" s="12"/>
      <c r="AT561" s="12"/>
      <c r="AU561" s="12"/>
      <c r="AV561" s="12"/>
      <c r="AW561" s="12"/>
      <c r="AX561" s="12"/>
      <c r="AY561" s="12"/>
      <c r="AZ561" s="12"/>
      <c r="BA561" s="12"/>
      <c r="BB561" s="12"/>
      <c r="BC561" s="12"/>
      <c r="BD561" s="12"/>
      <c r="BF561" s="106" t="str">
        <f t="shared" si="1"/>
        <v>#VALUE!</v>
      </c>
      <c r="BG561" s="21">
        <f t="shared" si="2"/>
        <v>12</v>
      </c>
    </row>
    <row r="562">
      <c r="P562" s="161"/>
      <c r="AI562" s="102"/>
      <c r="AK562" s="428" t="s">
        <v>75</v>
      </c>
      <c r="AL562" s="86" t="s">
        <v>2771</v>
      </c>
      <c r="AO562" s="86" t="s">
        <v>120</v>
      </c>
      <c r="AP562" s="12"/>
      <c r="AQ562" s="12"/>
      <c r="AR562" s="86" t="s">
        <v>120</v>
      </c>
      <c r="AS562" s="86" t="s">
        <v>120</v>
      </c>
      <c r="AT562" s="86" t="s">
        <v>120</v>
      </c>
      <c r="AU562" s="12"/>
      <c r="AV562" s="12"/>
      <c r="AW562" s="12"/>
      <c r="AX562" s="12"/>
      <c r="AY562" s="12"/>
      <c r="AZ562" s="12"/>
      <c r="BA562" s="12"/>
      <c r="BB562" s="12"/>
      <c r="BC562" s="12"/>
      <c r="BD562" s="12"/>
      <c r="BF562" s="106" t="str">
        <f t="shared" si="1"/>
        <v>#VALUE!</v>
      </c>
      <c r="BG562" s="21">
        <f t="shared" si="2"/>
        <v>12</v>
      </c>
    </row>
    <row r="563">
      <c r="P563" s="161"/>
      <c r="AI563" s="102"/>
      <c r="AK563" s="428" t="s">
        <v>978</v>
      </c>
      <c r="AO563" s="86" t="s">
        <v>120</v>
      </c>
      <c r="AP563" s="86" t="s">
        <v>120</v>
      </c>
      <c r="AQ563" s="12"/>
      <c r="AR563" s="12"/>
      <c r="AS563" s="12"/>
      <c r="AT563" s="12"/>
      <c r="AU563" s="12"/>
      <c r="AV563" s="12"/>
      <c r="AW563" s="12"/>
      <c r="AX563" s="12"/>
      <c r="AY563" s="12"/>
      <c r="AZ563" s="12"/>
      <c r="BA563" s="12"/>
      <c r="BB563" s="12"/>
      <c r="BC563" s="12"/>
      <c r="BD563" s="12"/>
      <c r="BF563" s="106" t="str">
        <f t="shared" si="1"/>
        <v>#VALUE!</v>
      </c>
      <c r="BG563" s="21">
        <f t="shared" si="2"/>
        <v>12</v>
      </c>
    </row>
    <row r="564">
      <c r="P564" s="161"/>
      <c r="AI564" s="102"/>
      <c r="AK564" s="428" t="s">
        <v>2772</v>
      </c>
      <c r="AO564" s="12"/>
      <c r="AP564" s="12"/>
      <c r="AQ564" s="12"/>
      <c r="AR564" s="12"/>
      <c r="AS564" s="12"/>
      <c r="AT564" s="12"/>
      <c r="AU564" s="12"/>
      <c r="AV564" s="12"/>
      <c r="AW564" s="12"/>
      <c r="AX564" s="12"/>
      <c r="AY564" s="12"/>
      <c r="AZ564" s="12"/>
      <c r="BA564" s="12"/>
      <c r="BB564" s="12"/>
      <c r="BC564" s="12"/>
      <c r="BD564" s="12"/>
      <c r="BF564" s="106" t="str">
        <f t="shared" si="1"/>
        <v>#VALUE!</v>
      </c>
      <c r="BG564" s="21">
        <f t="shared" si="2"/>
        <v>12</v>
      </c>
    </row>
    <row r="565">
      <c r="P565" s="161"/>
      <c r="AI565" s="102"/>
      <c r="AK565" s="428" t="s">
        <v>980</v>
      </c>
      <c r="AO565" s="86" t="s">
        <v>120</v>
      </c>
      <c r="AP565" s="86" t="s">
        <v>120</v>
      </c>
      <c r="AQ565" s="86" t="s">
        <v>126</v>
      </c>
      <c r="AR565" s="86" t="s">
        <v>129</v>
      </c>
      <c r="AS565" s="86" t="s">
        <v>129</v>
      </c>
      <c r="AT565" s="12"/>
      <c r="AU565" s="12"/>
      <c r="AV565" s="12"/>
      <c r="AW565" s="12"/>
      <c r="AX565" s="12"/>
      <c r="AY565" s="12"/>
      <c r="AZ565" s="12"/>
      <c r="BA565" s="12"/>
      <c r="BB565" s="12"/>
      <c r="BC565" s="12"/>
      <c r="BD565" s="12"/>
      <c r="BF565" s="106" t="str">
        <f t="shared" si="1"/>
        <v>#VALUE!</v>
      </c>
      <c r="BG565" s="21">
        <f t="shared" si="2"/>
        <v>12</v>
      </c>
    </row>
    <row r="566">
      <c r="P566" s="161"/>
      <c r="AI566" s="102"/>
      <c r="AK566" s="428" t="s">
        <v>79</v>
      </c>
      <c r="AO566" s="86" t="s">
        <v>120</v>
      </c>
      <c r="AP566" s="86" t="s">
        <v>122</v>
      </c>
      <c r="AQ566" s="86" t="s">
        <v>120</v>
      </c>
      <c r="AR566" s="12"/>
      <c r="AS566" s="86" t="s">
        <v>120</v>
      </c>
      <c r="AT566" s="12"/>
      <c r="AU566" s="12"/>
      <c r="AV566" s="12"/>
      <c r="AW566" s="12"/>
      <c r="AX566" s="12"/>
      <c r="AY566" s="12"/>
      <c r="AZ566" s="12"/>
      <c r="BA566" s="12"/>
      <c r="BB566" s="12"/>
      <c r="BC566" s="12"/>
      <c r="BD566" s="12"/>
      <c r="BF566" s="106" t="str">
        <f t="shared" si="1"/>
        <v>#VALUE!</v>
      </c>
      <c r="BG566" s="21">
        <f t="shared" si="2"/>
        <v>12</v>
      </c>
    </row>
    <row r="567">
      <c r="P567" s="369"/>
      <c r="AI567" s="102"/>
      <c r="AK567" s="428" t="s">
        <v>2773</v>
      </c>
      <c r="AO567" s="86" t="s">
        <v>120</v>
      </c>
      <c r="AP567" s="86" t="s">
        <v>120</v>
      </c>
      <c r="AQ567" s="86" t="s">
        <v>120</v>
      </c>
      <c r="AR567" s="12"/>
      <c r="AS567" s="12"/>
      <c r="AT567" s="12"/>
      <c r="AU567" s="12"/>
      <c r="AV567" s="12"/>
      <c r="AW567" s="12"/>
      <c r="AX567" s="12"/>
      <c r="AY567" s="12"/>
      <c r="AZ567" s="12"/>
      <c r="BA567" s="12"/>
      <c r="BB567" s="12"/>
      <c r="BC567" s="12"/>
      <c r="BD567" s="12"/>
      <c r="BF567" s="106" t="str">
        <f t="shared" si="1"/>
        <v>#VALUE!</v>
      </c>
      <c r="BG567" s="21">
        <f t="shared" si="2"/>
        <v>12</v>
      </c>
    </row>
    <row r="568">
      <c r="P568" s="161"/>
      <c r="AI568" s="102"/>
      <c r="AK568" s="428" t="s">
        <v>983</v>
      </c>
      <c r="AL568" s="86" t="s">
        <v>2774</v>
      </c>
      <c r="AO568" s="86" t="s">
        <v>120</v>
      </c>
      <c r="AP568" s="86" t="s">
        <v>120</v>
      </c>
      <c r="AQ568" s="12"/>
      <c r="AR568" s="86" t="s">
        <v>120</v>
      </c>
      <c r="AS568" s="86" t="s">
        <v>129</v>
      </c>
      <c r="AT568" s="12"/>
      <c r="AU568" s="12"/>
      <c r="AV568" s="12"/>
      <c r="AW568" s="12"/>
      <c r="AX568" s="12"/>
      <c r="AY568" s="12"/>
      <c r="AZ568" s="12"/>
      <c r="BA568" s="12"/>
      <c r="BB568" s="12"/>
      <c r="BC568" s="12"/>
      <c r="BD568" s="12"/>
      <c r="BF568" s="106" t="str">
        <f t="shared" si="1"/>
        <v>#VALUE!</v>
      </c>
      <c r="BG568" s="21">
        <f t="shared" si="2"/>
        <v>12</v>
      </c>
    </row>
    <row r="569">
      <c r="P569" s="369"/>
      <c r="AI569" s="102"/>
      <c r="AK569" s="428" t="s">
        <v>2775</v>
      </c>
      <c r="AO569" s="86" t="s">
        <v>120</v>
      </c>
      <c r="AP569" s="86" t="s">
        <v>120</v>
      </c>
      <c r="AQ569" s="86" t="s">
        <v>129</v>
      </c>
      <c r="AR569" s="12"/>
      <c r="AS569" s="86" t="s">
        <v>120</v>
      </c>
      <c r="AT569" s="86" t="s">
        <v>120</v>
      </c>
      <c r="AU569" s="12"/>
      <c r="AV569" s="12"/>
      <c r="AW569" s="86" t="s">
        <v>129</v>
      </c>
      <c r="AX569" s="12"/>
      <c r="AY569" s="12"/>
      <c r="AZ569" s="12"/>
      <c r="BA569" s="12"/>
      <c r="BB569" s="12"/>
      <c r="BC569" s="12"/>
      <c r="BD569" s="12"/>
      <c r="BF569" s="106" t="str">
        <f t="shared" si="1"/>
        <v>#VALUE!</v>
      </c>
      <c r="BG569" s="21">
        <f t="shared" si="2"/>
        <v>12</v>
      </c>
    </row>
    <row r="570">
      <c r="P570" s="161"/>
      <c r="AI570" s="102"/>
      <c r="AK570" s="428" t="s">
        <v>83</v>
      </c>
      <c r="AO570" s="86" t="s">
        <v>120</v>
      </c>
      <c r="AP570" s="86" t="s">
        <v>120</v>
      </c>
      <c r="AQ570" s="86" t="s">
        <v>120</v>
      </c>
      <c r="AR570" s="86" t="s">
        <v>120</v>
      </c>
      <c r="AS570" s="12"/>
      <c r="AT570" s="12"/>
      <c r="AU570" s="12"/>
      <c r="AV570" s="12"/>
      <c r="AW570" s="12"/>
      <c r="AX570" s="12"/>
      <c r="AY570" s="12"/>
      <c r="AZ570" s="12"/>
      <c r="BA570" s="12"/>
      <c r="BB570" s="12"/>
      <c r="BC570" s="12"/>
      <c r="BD570" s="12"/>
      <c r="BF570" s="106" t="str">
        <f t="shared" si="1"/>
        <v>#VALUE!</v>
      </c>
      <c r="BG570" s="21">
        <f t="shared" si="2"/>
        <v>12</v>
      </c>
    </row>
    <row r="571">
      <c r="P571" s="161"/>
      <c r="AI571" s="102"/>
      <c r="AK571" s="428" t="s">
        <v>2776</v>
      </c>
      <c r="AL571" s="246" t="s">
        <v>2777</v>
      </c>
      <c r="AO571" s="86" t="s">
        <v>120</v>
      </c>
      <c r="AP571" s="86" t="s">
        <v>129</v>
      </c>
      <c r="AQ571" s="12"/>
      <c r="AR571" s="12"/>
      <c r="AS571" s="12"/>
      <c r="AT571" s="12"/>
      <c r="AU571" s="12"/>
      <c r="AV571" s="12"/>
      <c r="AW571" s="12"/>
      <c r="AX571" s="12"/>
      <c r="AY571" s="12"/>
      <c r="AZ571" s="12"/>
      <c r="BA571" s="12"/>
      <c r="BB571" s="12"/>
      <c r="BC571" s="12"/>
      <c r="BD571" s="12"/>
      <c r="BF571" s="106" t="str">
        <f t="shared" si="1"/>
        <v>#VALUE!</v>
      </c>
      <c r="BG571" s="21">
        <f t="shared" si="2"/>
        <v>12</v>
      </c>
    </row>
    <row r="572">
      <c r="P572" s="369"/>
      <c r="AI572" s="102"/>
      <c r="AK572" s="428" t="s">
        <v>989</v>
      </c>
      <c r="AO572" s="86" t="s">
        <v>120</v>
      </c>
      <c r="AP572" s="12"/>
      <c r="AQ572" s="86" t="s">
        <v>126</v>
      </c>
      <c r="AR572" s="86" t="s">
        <v>126</v>
      </c>
      <c r="AS572" s="86" t="s">
        <v>120</v>
      </c>
      <c r="AT572" s="86" t="s">
        <v>129</v>
      </c>
      <c r="AU572" s="12"/>
      <c r="AV572" s="12"/>
      <c r="AW572" s="12"/>
      <c r="AX572" s="12"/>
      <c r="AY572" s="12"/>
      <c r="AZ572" s="12"/>
      <c r="BA572" s="12"/>
      <c r="BB572" s="12"/>
      <c r="BC572" s="12"/>
      <c r="BD572" s="12"/>
      <c r="BF572" s="106" t="str">
        <f t="shared" si="1"/>
        <v>#VALUE!</v>
      </c>
      <c r="BG572" s="21">
        <f t="shared" si="2"/>
        <v>12</v>
      </c>
    </row>
    <row r="573">
      <c r="P573" s="161"/>
      <c r="AI573" s="102"/>
      <c r="AK573" s="428" t="s">
        <v>87</v>
      </c>
      <c r="AO573" s="86" t="s">
        <v>120</v>
      </c>
      <c r="AP573" s="86" t="s">
        <v>120</v>
      </c>
      <c r="AQ573" s="86" t="s">
        <v>120</v>
      </c>
      <c r="AR573" s="86" t="s">
        <v>120</v>
      </c>
      <c r="AS573" s="86" t="s">
        <v>120</v>
      </c>
      <c r="AT573" s="86" t="s">
        <v>120</v>
      </c>
      <c r="AU573" s="86" t="s">
        <v>120</v>
      </c>
      <c r="AV573" s="12"/>
      <c r="AW573" s="12"/>
      <c r="AX573" s="12"/>
      <c r="AY573" s="12"/>
      <c r="AZ573" s="12"/>
      <c r="BA573" s="12"/>
      <c r="BB573" s="12"/>
      <c r="BC573" s="12"/>
      <c r="BD573" s="12"/>
      <c r="BF573" s="106" t="str">
        <f t="shared" si="1"/>
        <v>#VALUE!</v>
      </c>
      <c r="BG573" s="21">
        <f t="shared" si="2"/>
        <v>12</v>
      </c>
    </row>
    <row r="574">
      <c r="P574" s="161"/>
      <c r="AI574" s="102"/>
      <c r="AK574" s="428" t="s">
        <v>92</v>
      </c>
      <c r="AL574" s="246" t="s">
        <v>2779</v>
      </c>
      <c r="AO574" s="86" t="s">
        <v>126</v>
      </c>
      <c r="AP574" s="86" t="s">
        <v>126</v>
      </c>
      <c r="AQ574" s="86" t="s">
        <v>126</v>
      </c>
      <c r="AR574" s="86" t="s">
        <v>120</v>
      </c>
      <c r="AS574" s="12"/>
      <c r="AT574" s="12"/>
      <c r="AU574" s="12"/>
      <c r="AV574" s="12"/>
      <c r="AW574" s="12"/>
      <c r="AX574" s="12"/>
      <c r="AY574" s="12"/>
      <c r="AZ574" s="12"/>
      <c r="BA574" s="12"/>
      <c r="BB574" s="12"/>
      <c r="BC574" s="12"/>
      <c r="BD574" s="12"/>
      <c r="BF574" s="106" t="str">
        <f t="shared" si="1"/>
        <v>#VALUE!</v>
      </c>
      <c r="BG574" s="21">
        <f t="shared" si="2"/>
        <v>12</v>
      </c>
    </row>
    <row r="575">
      <c r="A575" s="433"/>
      <c r="B575" s="433"/>
      <c r="C575" s="433"/>
      <c r="D575" s="433"/>
      <c r="E575" s="433"/>
      <c r="F575" s="433"/>
      <c r="G575" s="433"/>
      <c r="H575" s="433"/>
      <c r="I575" s="433"/>
      <c r="J575" s="433"/>
      <c r="K575" s="433"/>
      <c r="L575" s="433"/>
      <c r="M575" s="433"/>
      <c r="N575" s="433"/>
      <c r="O575" s="433"/>
      <c r="P575" s="434"/>
      <c r="Q575" s="433"/>
      <c r="R575" s="433"/>
      <c r="S575" s="433"/>
      <c r="T575" s="433"/>
      <c r="U575" s="433"/>
      <c r="V575" s="433"/>
      <c r="W575" s="433"/>
      <c r="X575" s="433"/>
      <c r="Y575" s="433"/>
      <c r="Z575" s="433"/>
      <c r="AA575" s="433"/>
      <c r="AB575" s="433"/>
      <c r="AC575" s="433"/>
      <c r="AD575" s="433"/>
      <c r="AE575" s="433"/>
      <c r="AF575" s="433"/>
      <c r="AG575" s="433"/>
      <c r="AH575" s="433"/>
      <c r="AI575" s="435"/>
      <c r="AJ575" s="433"/>
      <c r="AK575" s="436" t="s">
        <v>2780</v>
      </c>
      <c r="AL575" s="433"/>
      <c r="AM575" s="433"/>
      <c r="AN575" s="433"/>
      <c r="AO575" s="433"/>
      <c r="AP575" s="433"/>
      <c r="AQ575" s="433"/>
      <c r="AR575" s="437" t="s">
        <v>129</v>
      </c>
      <c r="AS575" s="433"/>
      <c r="AT575" s="433"/>
      <c r="AU575" s="433"/>
      <c r="AV575" s="433"/>
      <c r="AW575" s="433"/>
      <c r="AX575" s="433"/>
      <c r="AY575" s="433"/>
      <c r="AZ575" s="433"/>
      <c r="BA575" s="433"/>
      <c r="BB575" s="433"/>
      <c r="BC575" s="433"/>
      <c r="BD575" s="433"/>
      <c r="BE575" s="433"/>
      <c r="BF575" s="106" t="str">
        <f t="shared" si="1"/>
        <v>#VALUE!</v>
      </c>
      <c r="BG575" s="21">
        <f t="shared" si="2"/>
        <v>12</v>
      </c>
      <c r="BH575" s="433"/>
      <c r="BI575" s="433"/>
    </row>
    <row r="576">
      <c r="P576" s="161"/>
      <c r="AI576" s="102"/>
      <c r="AK576" s="428" t="s">
        <v>93</v>
      </c>
      <c r="AO576" s="86" t="s">
        <v>120</v>
      </c>
      <c r="AP576" s="86" t="s">
        <v>120</v>
      </c>
      <c r="AQ576" s="86" t="s">
        <v>120</v>
      </c>
      <c r="AR576" s="86" t="s">
        <v>120</v>
      </c>
      <c r="AS576" s="86" t="s">
        <v>120</v>
      </c>
      <c r="AT576" s="86" t="s">
        <v>120</v>
      </c>
      <c r="AU576" s="86" t="s">
        <v>120</v>
      </c>
      <c r="AV576" s="86" t="s">
        <v>120</v>
      </c>
      <c r="AW576" s="86" t="s">
        <v>120</v>
      </c>
      <c r="AX576" s="86" t="s">
        <v>120</v>
      </c>
      <c r="AY576" s="86" t="s">
        <v>120</v>
      </c>
      <c r="AZ576" s="12"/>
      <c r="BA576" s="86" t="s">
        <v>120</v>
      </c>
      <c r="BB576" s="12"/>
      <c r="BC576" s="12"/>
      <c r="BD576" s="12"/>
      <c r="BF576" s="106" t="str">
        <f t="shared" si="1"/>
        <v>#VALUE!</v>
      </c>
      <c r="BG576" s="21">
        <f t="shared" si="2"/>
        <v>12</v>
      </c>
    </row>
    <row r="577">
      <c r="P577" s="161"/>
      <c r="AI577" s="102"/>
      <c r="AK577" s="428" t="s">
        <v>95</v>
      </c>
      <c r="AL577" s="438" t="s">
        <v>2786</v>
      </c>
      <c r="AO577" s="12"/>
      <c r="AP577" s="12"/>
      <c r="AQ577" s="12"/>
      <c r="AR577" s="12"/>
      <c r="AS577" s="12"/>
      <c r="AT577" s="12"/>
      <c r="AU577" s="12"/>
      <c r="AV577" s="12"/>
      <c r="AW577" s="12"/>
      <c r="AX577" s="12"/>
      <c r="AY577" s="12"/>
      <c r="AZ577" s="12"/>
      <c r="BA577" s="12"/>
      <c r="BB577" s="12"/>
      <c r="BC577" s="12"/>
      <c r="BD577" s="12"/>
      <c r="BF577" s="106" t="str">
        <f t="shared" si="1"/>
        <v>#VALUE!</v>
      </c>
      <c r="BG577" s="21">
        <f t="shared" si="2"/>
        <v>12</v>
      </c>
    </row>
    <row r="578">
      <c r="P578" s="161"/>
      <c r="AI578" s="102"/>
      <c r="AK578" s="428" t="s">
        <v>110</v>
      </c>
      <c r="AL578" s="246" t="s">
        <v>2787</v>
      </c>
      <c r="AO578" s="86" t="s">
        <v>120</v>
      </c>
      <c r="AP578" s="12"/>
      <c r="AQ578" s="86" t="s">
        <v>120</v>
      </c>
      <c r="AR578" s="12"/>
      <c r="AS578" s="12"/>
      <c r="AT578" s="12"/>
      <c r="AU578" s="12"/>
      <c r="AV578" s="12"/>
      <c r="AW578" s="12"/>
      <c r="AX578" s="12"/>
      <c r="AY578" s="12"/>
      <c r="AZ578" s="12"/>
      <c r="BA578" s="12"/>
      <c r="BB578" s="12"/>
      <c r="BC578" s="12"/>
      <c r="BD578" s="12"/>
      <c r="BF578" s="106" t="str">
        <f t="shared" si="1"/>
        <v>#VALUE!</v>
      </c>
      <c r="BG578" s="21">
        <f t="shared" si="2"/>
        <v>12</v>
      </c>
    </row>
    <row r="579">
      <c r="P579" s="369"/>
      <c r="AI579" s="102"/>
      <c r="AK579" s="428" t="s">
        <v>2789</v>
      </c>
      <c r="AL579" s="86" t="s">
        <v>2790</v>
      </c>
      <c r="AO579" s="12"/>
      <c r="AP579" s="12"/>
      <c r="AQ579" s="12"/>
      <c r="AR579" s="12"/>
      <c r="AS579" s="12"/>
      <c r="AT579" s="12"/>
      <c r="AU579" s="12"/>
      <c r="AV579" s="12"/>
      <c r="AW579" s="12"/>
      <c r="AX579" s="12"/>
      <c r="AY579" s="12"/>
      <c r="AZ579" s="12"/>
      <c r="BA579" s="12"/>
      <c r="BB579" s="12"/>
      <c r="BC579" s="12"/>
      <c r="BD579" s="12"/>
      <c r="BF579" s="106" t="str">
        <f t="shared" si="1"/>
        <v>#VALUE!</v>
      </c>
      <c r="BG579" s="21">
        <f t="shared" si="2"/>
        <v>12</v>
      </c>
    </row>
    <row r="580">
      <c r="P580" s="369"/>
      <c r="AI580" s="102"/>
      <c r="AK580" s="428" t="s">
        <v>149</v>
      </c>
      <c r="AO580" s="86" t="s">
        <v>120</v>
      </c>
      <c r="AP580" s="86" t="s">
        <v>120</v>
      </c>
      <c r="AQ580" s="86" t="s">
        <v>120</v>
      </c>
      <c r="AR580" s="86" t="s">
        <v>124</v>
      </c>
      <c r="AS580" s="86" t="s">
        <v>124</v>
      </c>
      <c r="AT580" s="12"/>
      <c r="AU580" s="86" t="s">
        <v>120</v>
      </c>
      <c r="AV580" s="86" t="s">
        <v>120</v>
      </c>
      <c r="AW580" s="12"/>
      <c r="AX580" s="12"/>
      <c r="AY580" s="12"/>
      <c r="AZ580" s="12"/>
      <c r="BA580" s="12"/>
      <c r="BB580" s="12"/>
      <c r="BC580" s="12"/>
      <c r="BD580" s="12"/>
      <c r="BF580" s="106" t="str">
        <f t="shared" si="1"/>
        <v>#VALUE!</v>
      </c>
      <c r="BG580" s="21">
        <f t="shared" si="2"/>
        <v>12</v>
      </c>
    </row>
    <row r="581">
      <c r="P581" s="161"/>
      <c r="AI581" s="102"/>
      <c r="AK581" s="428" t="s">
        <v>137</v>
      </c>
      <c r="AL581" s="86" t="s">
        <v>2794</v>
      </c>
      <c r="AO581" s="86" t="s">
        <v>120</v>
      </c>
      <c r="AP581" s="86" t="s">
        <v>120</v>
      </c>
      <c r="AQ581" s="86" t="s">
        <v>120</v>
      </c>
      <c r="AR581" s="86" t="s">
        <v>120</v>
      </c>
      <c r="AS581" s="86" t="s">
        <v>120</v>
      </c>
      <c r="AT581" s="86" t="s">
        <v>120</v>
      </c>
      <c r="AU581" s="86" t="s">
        <v>120</v>
      </c>
      <c r="AV581" s="86" t="s">
        <v>120</v>
      </c>
      <c r="AW581" s="86" t="s">
        <v>129</v>
      </c>
      <c r="AX581" s="12"/>
      <c r="AY581" s="12"/>
      <c r="AZ581" s="12"/>
      <c r="BA581" s="12"/>
      <c r="BB581" s="12"/>
      <c r="BC581" s="12"/>
      <c r="BD581" s="12"/>
      <c r="BF581" s="106" t="str">
        <f t="shared" si="1"/>
        <v>#VALUE!</v>
      </c>
      <c r="BG581" s="21">
        <f t="shared" si="2"/>
        <v>12</v>
      </c>
    </row>
    <row r="582">
      <c r="P582" s="161"/>
      <c r="AI582" s="102"/>
      <c r="AK582" s="428" t="s">
        <v>112</v>
      </c>
      <c r="AO582" s="86" t="s">
        <v>124</v>
      </c>
      <c r="AP582" s="12"/>
      <c r="AQ582" s="86" t="s">
        <v>124</v>
      </c>
      <c r="AR582" s="12"/>
      <c r="AS582" s="12"/>
      <c r="AT582" s="12"/>
      <c r="AU582" s="12"/>
      <c r="AV582" s="12"/>
      <c r="AW582" s="12"/>
      <c r="AX582" s="12"/>
      <c r="AY582" s="12"/>
      <c r="AZ582" s="12"/>
      <c r="BA582" s="12"/>
      <c r="BB582" s="12"/>
      <c r="BC582" s="12"/>
      <c r="BD582" s="12"/>
      <c r="BF582" s="106" t="str">
        <f t="shared" si="1"/>
        <v>#VALUE!</v>
      </c>
      <c r="BG582" s="21">
        <f t="shared" si="2"/>
        <v>12</v>
      </c>
    </row>
    <row r="583">
      <c r="P583" s="161"/>
      <c r="AI583" s="102"/>
      <c r="AK583" s="428" t="s">
        <v>133</v>
      </c>
      <c r="AO583" s="86" t="s">
        <v>120</v>
      </c>
      <c r="AP583" s="86" t="s">
        <v>120</v>
      </c>
      <c r="AQ583" s="86" t="s">
        <v>124</v>
      </c>
      <c r="AR583" s="86" t="s">
        <v>120</v>
      </c>
      <c r="AS583" s="86" t="s">
        <v>120</v>
      </c>
      <c r="AT583" s="86" t="s">
        <v>120</v>
      </c>
      <c r="AU583" s="12"/>
      <c r="AV583" s="12"/>
      <c r="AW583" s="12"/>
      <c r="AX583" s="12"/>
      <c r="AY583" s="12"/>
      <c r="AZ583" s="12"/>
      <c r="BA583" s="12"/>
      <c r="BB583" s="12"/>
      <c r="BC583" s="12"/>
      <c r="BD583" s="12"/>
      <c r="BF583" s="106" t="str">
        <f t="shared" si="1"/>
        <v>#VALUE!</v>
      </c>
      <c r="BG583" s="21">
        <f t="shared" si="2"/>
        <v>12</v>
      </c>
    </row>
    <row r="584">
      <c r="P584" s="161"/>
      <c r="AI584" s="102"/>
      <c r="AK584" s="428" t="s">
        <v>2798</v>
      </c>
      <c r="AL584" s="86" t="s">
        <v>2799</v>
      </c>
      <c r="AO584" s="86" t="s">
        <v>120</v>
      </c>
      <c r="AP584" s="86" t="s">
        <v>120</v>
      </c>
      <c r="AQ584" s="86" t="s">
        <v>120</v>
      </c>
      <c r="AR584" s="12"/>
      <c r="AS584" s="12"/>
      <c r="AT584" s="12"/>
      <c r="AU584" s="12"/>
      <c r="AV584" s="12"/>
      <c r="AW584" s="12"/>
      <c r="AX584" s="12"/>
      <c r="AY584" s="12"/>
      <c r="AZ584" s="12"/>
      <c r="BA584" s="12"/>
      <c r="BB584" s="12"/>
      <c r="BC584" s="12"/>
      <c r="BD584" s="12"/>
      <c r="BF584" s="106" t="str">
        <f t="shared" si="1"/>
        <v>#VALUE!</v>
      </c>
      <c r="BG584" s="21">
        <f t="shared" si="2"/>
        <v>12</v>
      </c>
    </row>
    <row r="585">
      <c r="P585" s="369"/>
      <c r="AI585" s="102"/>
      <c r="AK585" s="428" t="s">
        <v>994</v>
      </c>
      <c r="AO585" s="86" t="s">
        <v>120</v>
      </c>
      <c r="AP585" s="86" t="s">
        <v>120</v>
      </c>
      <c r="AQ585" s="86" t="s">
        <v>126</v>
      </c>
      <c r="AR585" s="12"/>
      <c r="AS585" s="12"/>
      <c r="AT585" s="12"/>
      <c r="AU585" s="12"/>
      <c r="AV585" s="12"/>
      <c r="AW585" s="12"/>
      <c r="AX585" s="12"/>
      <c r="AY585" s="12"/>
      <c r="AZ585" s="12"/>
      <c r="BA585" s="12"/>
      <c r="BB585" s="12"/>
      <c r="BC585" s="12"/>
      <c r="BD585" s="12"/>
      <c r="BF585" s="106" t="str">
        <f t="shared" si="1"/>
        <v>#VALUE!</v>
      </c>
      <c r="BG585" s="21">
        <f t="shared" si="2"/>
        <v>12</v>
      </c>
    </row>
    <row r="586">
      <c r="P586" s="161"/>
      <c r="AI586" s="102"/>
      <c r="AK586" s="428" t="s">
        <v>144</v>
      </c>
      <c r="AL586" s="246" t="s">
        <v>2803</v>
      </c>
      <c r="AO586" s="86" t="s">
        <v>120</v>
      </c>
      <c r="AP586" s="12"/>
      <c r="AQ586" s="12"/>
      <c r="AR586" s="12"/>
      <c r="AS586" s="12"/>
      <c r="AT586" s="12"/>
      <c r="AU586" s="12"/>
      <c r="AV586" s="12"/>
      <c r="AW586" s="12"/>
      <c r="AX586" s="12"/>
      <c r="AY586" s="12"/>
      <c r="AZ586" s="12"/>
      <c r="BA586" s="12"/>
      <c r="BB586" s="12"/>
      <c r="BC586" s="12"/>
      <c r="BD586" s="12"/>
      <c r="BF586" s="106" t="str">
        <f t="shared" si="1"/>
        <v>#VALUE!</v>
      </c>
      <c r="BG586" s="21">
        <f t="shared" si="2"/>
        <v>12</v>
      </c>
    </row>
    <row r="587">
      <c r="P587" s="161"/>
      <c r="AI587" s="102"/>
      <c r="AK587" s="428" t="s">
        <v>2804</v>
      </c>
      <c r="AO587" s="86" t="s">
        <v>120</v>
      </c>
      <c r="AP587" s="86" t="s">
        <v>120</v>
      </c>
      <c r="AQ587" s="12"/>
      <c r="AR587" s="12"/>
      <c r="AS587" s="12"/>
      <c r="AT587" s="12"/>
      <c r="AU587" s="12"/>
      <c r="AV587" s="12"/>
      <c r="AW587" s="12"/>
      <c r="AX587" s="12"/>
      <c r="AY587" s="12"/>
      <c r="AZ587" s="12"/>
      <c r="BA587" s="12"/>
      <c r="BB587" s="12"/>
      <c r="BC587" s="12"/>
      <c r="BD587" s="12"/>
      <c r="BF587" s="106" t="str">
        <f t="shared" si="1"/>
        <v>#VALUE!</v>
      </c>
      <c r="BG587" s="21">
        <f t="shared" si="2"/>
        <v>12</v>
      </c>
    </row>
    <row r="588">
      <c r="P588" s="161"/>
      <c r="AI588" s="102"/>
      <c r="AK588" s="428" t="s">
        <v>2808</v>
      </c>
      <c r="AL588" s="246" t="s">
        <v>2809</v>
      </c>
      <c r="AO588" s="86" t="s">
        <v>129</v>
      </c>
      <c r="AP588" s="12"/>
      <c r="AQ588" s="12"/>
      <c r="AR588" s="12"/>
      <c r="AS588" s="12"/>
      <c r="AT588" s="12"/>
      <c r="AU588" s="12"/>
      <c r="AV588" s="12"/>
      <c r="AW588" s="12"/>
      <c r="AX588" s="12"/>
      <c r="AY588" s="12"/>
      <c r="AZ588" s="12"/>
      <c r="BA588" s="12"/>
      <c r="BB588" s="12"/>
      <c r="BC588" s="12"/>
      <c r="BD588" s="12"/>
      <c r="BF588" s="106" t="str">
        <f t="shared" si="1"/>
        <v>#VALUE!</v>
      </c>
      <c r="BG588" s="21">
        <f t="shared" si="2"/>
        <v>12</v>
      </c>
    </row>
    <row r="589">
      <c r="P589" s="161"/>
      <c r="AI589" s="102"/>
      <c r="AK589" s="428" t="s">
        <v>1048</v>
      </c>
      <c r="AO589" s="86" t="s">
        <v>120</v>
      </c>
      <c r="AP589" s="86" t="s">
        <v>120</v>
      </c>
      <c r="AQ589" s="86" t="s">
        <v>120</v>
      </c>
      <c r="AR589" s="86" t="s">
        <v>120</v>
      </c>
      <c r="AS589" s="86" t="s">
        <v>120</v>
      </c>
      <c r="AT589" s="86" t="s">
        <v>120</v>
      </c>
      <c r="AU589" s="86" t="s">
        <v>129</v>
      </c>
      <c r="AV589" s="12"/>
      <c r="AW589" s="12"/>
      <c r="AX589" s="12"/>
      <c r="AY589" s="12"/>
      <c r="AZ589" s="12"/>
      <c r="BA589" s="12"/>
      <c r="BB589" s="12"/>
      <c r="BC589" s="12"/>
      <c r="BD589" s="12"/>
      <c r="BF589" s="106" t="str">
        <f t="shared" si="1"/>
        <v>#VALUE!</v>
      </c>
      <c r="BG589" s="21">
        <f t="shared" si="2"/>
        <v>12</v>
      </c>
    </row>
    <row r="590">
      <c r="P590" s="369"/>
      <c r="AI590" s="102"/>
      <c r="AK590" s="428" t="s">
        <v>146</v>
      </c>
      <c r="AO590" s="86" t="s">
        <v>122</v>
      </c>
      <c r="AP590" s="86" t="s">
        <v>120</v>
      </c>
      <c r="AQ590" s="86" t="s">
        <v>120</v>
      </c>
      <c r="AR590" s="86" t="s">
        <v>129</v>
      </c>
      <c r="AS590" s="12"/>
      <c r="AT590" s="12"/>
      <c r="AU590" s="12"/>
      <c r="AV590" s="12"/>
      <c r="AW590" s="12"/>
      <c r="AX590" s="12"/>
      <c r="AY590" s="12"/>
      <c r="AZ590" s="12"/>
      <c r="BA590" s="12"/>
      <c r="BB590" s="12"/>
      <c r="BC590" s="12"/>
      <c r="BD590" s="12"/>
      <c r="BF590" s="106" t="str">
        <f t="shared" si="1"/>
        <v>#VALUE!</v>
      </c>
      <c r="BG590" s="21">
        <f t="shared" si="2"/>
        <v>12</v>
      </c>
    </row>
    <row r="591">
      <c r="P591" s="161"/>
      <c r="AI591" s="102"/>
      <c r="AK591" s="428" t="s">
        <v>152</v>
      </c>
      <c r="AL591" s="246" t="s">
        <v>2810</v>
      </c>
      <c r="AO591" s="12"/>
      <c r="AP591" s="12"/>
      <c r="AQ591" s="12"/>
      <c r="AR591" s="12"/>
      <c r="AS591" s="12"/>
      <c r="AT591" s="12"/>
      <c r="AU591" s="12"/>
      <c r="AV591" s="12"/>
      <c r="AW591" s="12"/>
      <c r="AX591" s="12"/>
      <c r="AY591" s="12"/>
      <c r="AZ591" s="12"/>
      <c r="BA591" s="12"/>
      <c r="BB591" s="12"/>
      <c r="BC591" s="12"/>
      <c r="BD591" s="12"/>
      <c r="BF591" s="106" t="str">
        <f t="shared" si="1"/>
        <v>#VALUE!</v>
      </c>
      <c r="BG591" s="21">
        <f t="shared" si="2"/>
        <v>12</v>
      </c>
    </row>
    <row r="592">
      <c r="P592" s="161"/>
      <c r="AI592" s="102"/>
      <c r="AK592" s="428" t="s">
        <v>157</v>
      </c>
      <c r="AO592" s="86" t="s">
        <v>124</v>
      </c>
      <c r="AP592" s="86" t="s">
        <v>120</v>
      </c>
      <c r="AQ592" s="86" t="s">
        <v>120</v>
      </c>
      <c r="AR592" s="12"/>
      <c r="AS592" s="12"/>
      <c r="AT592" s="86" t="s">
        <v>120</v>
      </c>
      <c r="AU592" s="12"/>
      <c r="AV592" s="12"/>
      <c r="AW592" s="12"/>
      <c r="AX592" s="12"/>
      <c r="AY592" s="12"/>
      <c r="AZ592" s="12"/>
      <c r="BA592" s="12"/>
      <c r="BB592" s="12"/>
      <c r="BC592" s="12"/>
      <c r="BD592" s="12"/>
      <c r="BF592" s="106" t="str">
        <f t="shared" si="1"/>
        <v>#VALUE!</v>
      </c>
      <c r="BG592" s="21">
        <f t="shared" si="2"/>
        <v>12</v>
      </c>
    </row>
    <row r="593">
      <c r="P593" s="161"/>
      <c r="AI593" s="102"/>
      <c r="AK593" s="428" t="s">
        <v>2812</v>
      </c>
      <c r="AO593" s="86" t="s">
        <v>126</v>
      </c>
      <c r="AP593" s="12"/>
      <c r="AQ593" s="12"/>
      <c r="AR593" s="12"/>
      <c r="AS593" s="12"/>
      <c r="AT593" s="12"/>
      <c r="AU593" s="12"/>
      <c r="AV593" s="12"/>
      <c r="AW593" s="12"/>
      <c r="AX593" s="12"/>
      <c r="AY593" s="12"/>
      <c r="AZ593" s="12"/>
      <c r="BA593" s="12"/>
      <c r="BB593" s="12"/>
      <c r="BC593" s="12"/>
      <c r="BD593" s="12"/>
      <c r="BF593" s="106" t="str">
        <f t="shared" si="1"/>
        <v>#VALUE!</v>
      </c>
      <c r="BG593" s="21">
        <f t="shared" si="2"/>
        <v>12</v>
      </c>
    </row>
    <row r="594">
      <c r="P594" s="161"/>
      <c r="AI594" s="102"/>
      <c r="AK594" s="428" t="s">
        <v>1051</v>
      </c>
      <c r="AO594" s="86" t="s">
        <v>126</v>
      </c>
      <c r="AP594" s="86" t="s">
        <v>126</v>
      </c>
      <c r="AQ594" s="12"/>
      <c r="AR594" s="86" t="s">
        <v>124</v>
      </c>
      <c r="AS594" s="12"/>
      <c r="AT594" s="12"/>
      <c r="AU594" s="12"/>
      <c r="AV594" s="12"/>
      <c r="AW594" s="12"/>
      <c r="AX594" s="12"/>
      <c r="AY594" s="12"/>
      <c r="AZ594" s="12"/>
      <c r="BA594" s="12"/>
      <c r="BB594" s="12"/>
      <c r="BC594" s="12"/>
      <c r="BD594" s="12"/>
      <c r="BF594" s="106" t="str">
        <f t="shared" si="1"/>
        <v>#VALUE!</v>
      </c>
      <c r="BG594" s="21">
        <f t="shared" si="2"/>
        <v>12</v>
      </c>
    </row>
    <row r="595">
      <c r="P595" s="161"/>
      <c r="AI595" s="102"/>
      <c r="AK595" s="428" t="s">
        <v>163</v>
      </c>
      <c r="AL595" s="86" t="s">
        <v>2815</v>
      </c>
      <c r="AO595" s="86" t="s">
        <v>129</v>
      </c>
      <c r="AP595" s="86" t="s">
        <v>129</v>
      </c>
      <c r="AQ595" s="12"/>
      <c r="AR595" s="12"/>
      <c r="AS595" s="12"/>
      <c r="AT595" s="12"/>
      <c r="AU595" s="12"/>
      <c r="AV595" s="12"/>
      <c r="AW595" s="12"/>
      <c r="AX595" s="12"/>
      <c r="AY595" s="12"/>
      <c r="AZ595" s="12"/>
      <c r="BA595" s="12"/>
      <c r="BB595" s="12"/>
      <c r="BC595" s="12"/>
      <c r="BD595" s="12"/>
      <c r="BF595" s="106" t="str">
        <f t="shared" si="1"/>
        <v>#VALUE!</v>
      </c>
      <c r="BG595" s="21">
        <f t="shared" si="2"/>
        <v>12</v>
      </c>
    </row>
    <row r="596">
      <c r="P596" s="161"/>
      <c r="AI596" s="102"/>
      <c r="AK596" s="428" t="s">
        <v>170</v>
      </c>
      <c r="AO596" s="86" t="s">
        <v>120</v>
      </c>
      <c r="AP596" s="86" t="s">
        <v>120</v>
      </c>
      <c r="AQ596" s="86" t="s">
        <v>120</v>
      </c>
      <c r="AR596" s="86" t="s">
        <v>120</v>
      </c>
      <c r="AS596" s="86" t="s">
        <v>120</v>
      </c>
      <c r="AT596" s="86" t="s">
        <v>120</v>
      </c>
      <c r="AU596" s="86" t="s">
        <v>120</v>
      </c>
      <c r="AV596" s="12"/>
      <c r="AW596" s="12"/>
      <c r="AX596" s="12"/>
      <c r="AY596" s="12"/>
      <c r="AZ596" s="12"/>
      <c r="BA596" s="12"/>
      <c r="BB596" s="12"/>
      <c r="BC596" s="12"/>
      <c r="BD596" s="12"/>
      <c r="BF596" s="106" t="str">
        <f t="shared" si="1"/>
        <v>#VALUE!</v>
      </c>
      <c r="BG596" s="21">
        <f t="shared" si="2"/>
        <v>12</v>
      </c>
    </row>
    <row r="597">
      <c r="P597" s="161"/>
      <c r="AI597" s="102"/>
      <c r="AK597" s="428" t="s">
        <v>2817</v>
      </c>
      <c r="AO597" s="86" t="s">
        <v>120</v>
      </c>
      <c r="AP597" s="86" t="s">
        <v>120</v>
      </c>
      <c r="AQ597" s="12"/>
      <c r="AR597" s="86" t="s">
        <v>120</v>
      </c>
      <c r="AS597" s="86" t="s">
        <v>120</v>
      </c>
      <c r="AT597" s="86" t="s">
        <v>120</v>
      </c>
      <c r="AU597" s="86" t="s">
        <v>120</v>
      </c>
      <c r="AV597" s="86" t="s">
        <v>120</v>
      </c>
      <c r="AW597" s="86" t="s">
        <v>120</v>
      </c>
      <c r="AX597" s="12"/>
      <c r="AY597" s="12"/>
      <c r="AZ597" s="12"/>
      <c r="BA597" s="12"/>
      <c r="BB597" s="12"/>
      <c r="BC597" s="12"/>
      <c r="BD597" s="12"/>
      <c r="BF597" s="106" t="str">
        <f t="shared" si="1"/>
        <v>#VALUE!</v>
      </c>
      <c r="BG597" s="21">
        <f t="shared" si="2"/>
        <v>12</v>
      </c>
    </row>
    <row r="598">
      <c r="P598" s="161"/>
      <c r="AI598" s="102"/>
      <c r="AK598" s="428" t="s">
        <v>171</v>
      </c>
      <c r="AO598" s="86" t="s">
        <v>120</v>
      </c>
      <c r="AP598" s="86" t="s">
        <v>120</v>
      </c>
      <c r="AQ598" s="86" t="s">
        <v>120</v>
      </c>
      <c r="AR598" s="86" t="s">
        <v>120</v>
      </c>
      <c r="AS598" s="86" t="s">
        <v>120</v>
      </c>
      <c r="AT598" s="86" t="s">
        <v>120</v>
      </c>
      <c r="AU598" s="86" t="s">
        <v>120</v>
      </c>
      <c r="AV598" s="86" t="s">
        <v>120</v>
      </c>
      <c r="AW598" s="86" t="s">
        <v>120</v>
      </c>
      <c r="AX598" s="12"/>
      <c r="AY598" s="12"/>
      <c r="AZ598" s="12"/>
      <c r="BA598" s="12"/>
      <c r="BB598" s="12"/>
      <c r="BC598" s="12"/>
      <c r="BD598" s="12"/>
      <c r="BF598" s="106" t="str">
        <f t="shared" si="1"/>
        <v>#VALUE!</v>
      </c>
      <c r="BG598" s="21">
        <f t="shared" si="2"/>
        <v>12</v>
      </c>
    </row>
    <row r="599">
      <c r="P599" s="161"/>
      <c r="AI599" s="102"/>
      <c r="AK599" s="428" t="s">
        <v>2821</v>
      </c>
      <c r="AO599" s="86" t="s">
        <v>120</v>
      </c>
      <c r="AP599" s="86" t="s">
        <v>120</v>
      </c>
      <c r="AQ599" s="86" t="s">
        <v>120</v>
      </c>
      <c r="AR599" s="86" t="s">
        <v>120</v>
      </c>
      <c r="AS599" s="12"/>
      <c r="AT599" s="86" t="s">
        <v>129</v>
      </c>
      <c r="AU599" s="12"/>
      <c r="AV599" s="12"/>
      <c r="AW599" s="12"/>
      <c r="AX599" s="12"/>
      <c r="AY599" s="12"/>
      <c r="AZ599" s="12"/>
      <c r="BA599" s="12"/>
      <c r="BB599" s="12"/>
      <c r="BC599" s="12"/>
      <c r="BD599" s="12"/>
      <c r="BF599" s="106" t="str">
        <f t="shared" si="1"/>
        <v>#VALUE!</v>
      </c>
      <c r="BG599" s="21">
        <f t="shared" si="2"/>
        <v>12</v>
      </c>
    </row>
    <row r="600">
      <c r="P600" s="161"/>
      <c r="AI600" s="102"/>
      <c r="AK600" s="428" t="s">
        <v>1055</v>
      </c>
      <c r="AO600" s="86" t="s">
        <v>120</v>
      </c>
      <c r="AP600" s="86" t="s">
        <v>120</v>
      </c>
      <c r="AQ600" s="86" t="s">
        <v>120</v>
      </c>
      <c r="AR600" s="86" t="s">
        <v>120</v>
      </c>
      <c r="AS600" s="12"/>
      <c r="AT600" s="12"/>
      <c r="AU600" s="12"/>
      <c r="AV600" s="12"/>
      <c r="AW600" s="12"/>
      <c r="AX600" s="12"/>
      <c r="AY600" s="12"/>
      <c r="AZ600" s="12"/>
      <c r="BA600" s="12"/>
      <c r="BB600" s="12"/>
      <c r="BC600" s="12"/>
      <c r="BD600" s="12"/>
      <c r="BF600" s="106" t="str">
        <f t="shared" si="1"/>
        <v>#VALUE!</v>
      </c>
      <c r="BG600" s="21">
        <f t="shared" si="2"/>
        <v>12</v>
      </c>
    </row>
    <row r="601">
      <c r="P601" s="161"/>
      <c r="AI601" s="102"/>
      <c r="AK601" s="428" t="s">
        <v>2106</v>
      </c>
      <c r="AL601" s="246" t="s">
        <v>2825</v>
      </c>
      <c r="AO601" s="86" t="s">
        <v>120</v>
      </c>
      <c r="AP601" s="12"/>
      <c r="AQ601" s="12"/>
      <c r="AR601" s="12"/>
      <c r="AS601" s="12"/>
      <c r="AT601" s="12"/>
      <c r="AU601" s="12"/>
      <c r="AV601" s="12"/>
      <c r="AW601" s="12"/>
      <c r="AX601" s="12"/>
      <c r="AY601" s="12"/>
      <c r="AZ601" s="12"/>
      <c r="BA601" s="12"/>
      <c r="BB601" s="12"/>
      <c r="BC601" s="12"/>
      <c r="BD601" s="12"/>
      <c r="BF601" s="106" t="str">
        <f t="shared" si="1"/>
        <v>#VALUE!</v>
      </c>
      <c r="BG601" s="21">
        <f t="shared" si="2"/>
        <v>12</v>
      </c>
    </row>
    <row r="602">
      <c r="P602" s="161"/>
      <c r="AI602" s="102"/>
      <c r="AK602" s="428" t="s">
        <v>2827</v>
      </c>
      <c r="AL602" s="246" t="s">
        <v>2828</v>
      </c>
      <c r="AO602" s="86" t="s">
        <v>120</v>
      </c>
      <c r="AP602" s="86" t="s">
        <v>120</v>
      </c>
      <c r="AQ602" s="12"/>
      <c r="AR602" s="86" t="s">
        <v>128</v>
      </c>
      <c r="AS602" s="12"/>
      <c r="AT602" s="12"/>
      <c r="AU602" s="12"/>
      <c r="AV602" s="12"/>
      <c r="AW602" s="12"/>
      <c r="AX602" s="12"/>
      <c r="AY602" s="12"/>
      <c r="AZ602" s="12"/>
      <c r="BA602" s="12"/>
      <c r="BB602" s="12"/>
      <c r="BC602" s="12"/>
      <c r="BD602" s="12"/>
      <c r="BF602" s="106" t="str">
        <f t="shared" si="1"/>
        <v>#VALUE!</v>
      </c>
      <c r="BG602" s="21">
        <f t="shared" si="2"/>
        <v>12</v>
      </c>
    </row>
    <row r="603">
      <c r="P603" s="161"/>
      <c r="AI603" s="102"/>
      <c r="AK603" s="428" t="s">
        <v>173</v>
      </c>
      <c r="AO603" s="86" t="s">
        <v>120</v>
      </c>
      <c r="AP603" s="86" t="s">
        <v>120</v>
      </c>
      <c r="AQ603" s="86" t="s">
        <v>120</v>
      </c>
      <c r="AR603" s="86" t="s">
        <v>129</v>
      </c>
      <c r="AS603" s="12"/>
      <c r="AT603" s="12"/>
      <c r="AU603" s="12"/>
      <c r="AV603" s="12"/>
      <c r="AW603" s="12"/>
      <c r="AX603" s="12"/>
      <c r="AY603" s="12"/>
      <c r="AZ603" s="12"/>
      <c r="BA603" s="12"/>
      <c r="BB603" s="12"/>
      <c r="BC603" s="12"/>
      <c r="BD603" s="12"/>
      <c r="BF603" s="106" t="str">
        <f t="shared" si="1"/>
        <v>#VALUE!</v>
      </c>
      <c r="BG603" s="21">
        <f t="shared" si="2"/>
        <v>12</v>
      </c>
    </row>
    <row r="604">
      <c r="P604" s="161"/>
      <c r="AI604" s="102"/>
      <c r="AK604" s="428" t="s">
        <v>2831</v>
      </c>
      <c r="AO604" s="86" t="s">
        <v>120</v>
      </c>
      <c r="AP604" s="86" t="s">
        <v>122</v>
      </c>
      <c r="AQ604" s="86" t="s">
        <v>120</v>
      </c>
      <c r="AR604" s="86" t="s">
        <v>127</v>
      </c>
      <c r="AS604" s="86" t="s">
        <v>126</v>
      </c>
      <c r="AT604" s="86" t="s">
        <v>120</v>
      </c>
      <c r="AU604" s="86" t="s">
        <v>120</v>
      </c>
      <c r="AV604" s="12"/>
      <c r="AW604" s="12"/>
      <c r="AX604" s="12"/>
      <c r="AY604" s="12"/>
      <c r="AZ604" s="12"/>
      <c r="BA604" s="12"/>
      <c r="BB604" s="12"/>
      <c r="BC604" s="12"/>
      <c r="BD604" s="12"/>
      <c r="BF604" s="106" t="str">
        <f t="shared" si="1"/>
        <v>#VALUE!</v>
      </c>
      <c r="BG604" s="21">
        <f t="shared" si="2"/>
        <v>12</v>
      </c>
    </row>
    <row r="605">
      <c r="P605" s="161"/>
      <c r="AI605" s="102"/>
      <c r="AK605" s="428" t="s">
        <v>2832</v>
      </c>
      <c r="AL605" s="246" t="s">
        <v>2834</v>
      </c>
      <c r="AO605" s="86" t="s">
        <v>126</v>
      </c>
      <c r="AP605" s="86" t="s">
        <v>126</v>
      </c>
      <c r="AQ605" s="12"/>
      <c r="AR605" s="86" t="s">
        <v>120</v>
      </c>
      <c r="AS605" s="86" t="s">
        <v>120</v>
      </c>
      <c r="AT605" s="12"/>
      <c r="AU605" s="12"/>
      <c r="AV605" s="12"/>
      <c r="AW605" s="12"/>
      <c r="AX605" s="12"/>
      <c r="AY605" s="12"/>
      <c r="AZ605" s="12"/>
      <c r="BA605" s="12"/>
      <c r="BB605" s="12"/>
      <c r="BC605" s="12"/>
      <c r="BD605" s="12"/>
      <c r="BF605" s="106" t="str">
        <f t="shared" si="1"/>
        <v>#VALUE!</v>
      </c>
      <c r="BG605" s="21">
        <f t="shared" si="2"/>
        <v>12</v>
      </c>
    </row>
    <row r="606">
      <c r="P606" s="369"/>
      <c r="AI606" s="102"/>
      <c r="AK606" s="428" t="s">
        <v>2835</v>
      </c>
      <c r="AO606" s="86" t="s">
        <v>120</v>
      </c>
      <c r="AP606" s="86" t="s">
        <v>126</v>
      </c>
      <c r="AQ606" s="86" t="s">
        <v>120</v>
      </c>
      <c r="AR606" s="12"/>
      <c r="AS606" s="12"/>
      <c r="AT606" s="12"/>
      <c r="AU606" s="12"/>
      <c r="AV606" s="12"/>
      <c r="AW606" s="12"/>
      <c r="AX606" s="12"/>
      <c r="AY606" s="12"/>
      <c r="AZ606" s="12"/>
      <c r="BA606" s="12"/>
      <c r="BB606" s="12"/>
      <c r="BC606" s="12"/>
      <c r="BD606" s="12"/>
      <c r="BF606" s="106" t="str">
        <f t="shared" si="1"/>
        <v>#VALUE!</v>
      </c>
      <c r="BG606" s="21">
        <f t="shared" si="2"/>
        <v>12</v>
      </c>
    </row>
    <row r="607">
      <c r="P607" s="161"/>
      <c r="AI607" s="102"/>
      <c r="AK607" s="428" t="s">
        <v>2837</v>
      </c>
      <c r="AO607" s="86" t="s">
        <v>120</v>
      </c>
      <c r="AP607" s="86" t="s">
        <v>120</v>
      </c>
      <c r="AQ607" s="86" t="s">
        <v>129</v>
      </c>
      <c r="AR607" s="12"/>
      <c r="AS607" s="12"/>
      <c r="AT607" s="12"/>
      <c r="AU607" s="12"/>
      <c r="AV607" s="12"/>
      <c r="AW607" s="12"/>
      <c r="AX607" s="12"/>
      <c r="AY607" s="12"/>
      <c r="AZ607" s="12"/>
      <c r="BA607" s="12"/>
      <c r="BB607" s="12"/>
      <c r="BC607" s="12"/>
      <c r="BD607" s="12"/>
      <c r="BF607" s="106" t="str">
        <f t="shared" si="1"/>
        <v>#VALUE!</v>
      </c>
      <c r="BG607" s="21">
        <f t="shared" si="2"/>
        <v>12</v>
      </c>
    </row>
    <row r="608">
      <c r="P608" s="161"/>
      <c r="AI608" s="102"/>
      <c r="AK608" s="428" t="s">
        <v>2838</v>
      </c>
      <c r="AL608" s="246" t="s">
        <v>2841</v>
      </c>
      <c r="AO608" s="86" t="s">
        <v>126</v>
      </c>
      <c r="AP608" s="12"/>
      <c r="AQ608" s="12"/>
      <c r="AR608" s="12"/>
      <c r="AS608" s="12"/>
      <c r="AT608" s="12"/>
      <c r="AU608" s="12"/>
      <c r="AV608" s="12"/>
      <c r="AW608" s="12"/>
      <c r="AX608" s="12"/>
      <c r="AY608" s="12"/>
      <c r="AZ608" s="12"/>
      <c r="BA608" s="12"/>
      <c r="BB608" s="12"/>
      <c r="BC608" s="12"/>
      <c r="BD608" s="12"/>
      <c r="BF608" s="106" t="str">
        <f t="shared" si="1"/>
        <v>#VALUE!</v>
      </c>
      <c r="BG608" s="21">
        <f t="shared" si="2"/>
        <v>12</v>
      </c>
    </row>
    <row r="609">
      <c r="P609" s="161"/>
      <c r="AI609" s="102"/>
      <c r="AK609" s="428" t="s">
        <v>2842</v>
      </c>
      <c r="AO609" s="86" t="s">
        <v>120</v>
      </c>
      <c r="AP609" s="86" t="s">
        <v>129</v>
      </c>
      <c r="AQ609" s="86" t="s">
        <v>129</v>
      </c>
      <c r="AR609" s="86" t="s">
        <v>129</v>
      </c>
      <c r="AS609" s="12"/>
      <c r="AT609" s="12"/>
      <c r="AU609" s="12"/>
      <c r="AV609" s="12"/>
      <c r="AW609" s="12"/>
      <c r="AX609" s="12"/>
      <c r="AY609" s="12"/>
      <c r="AZ609" s="12"/>
      <c r="BA609" s="12"/>
      <c r="BB609" s="12"/>
      <c r="BC609" s="12"/>
      <c r="BD609" s="12"/>
      <c r="BF609" s="106" t="str">
        <f t="shared" si="1"/>
        <v>#VALUE!</v>
      </c>
      <c r="BG609" s="21">
        <f t="shared" si="2"/>
        <v>12</v>
      </c>
    </row>
    <row r="610">
      <c r="P610" s="161"/>
      <c r="AI610" s="102"/>
      <c r="AK610" s="428" t="s">
        <v>174</v>
      </c>
      <c r="AL610" s="86" t="s">
        <v>2843</v>
      </c>
      <c r="AO610" s="86" t="s">
        <v>126</v>
      </c>
      <c r="AP610" s="86" t="s">
        <v>124</v>
      </c>
      <c r="AQ610" s="86" t="s">
        <v>126</v>
      </c>
      <c r="AR610" s="12"/>
      <c r="AS610" s="12"/>
      <c r="AT610" s="12"/>
      <c r="AU610" s="12"/>
      <c r="AV610" s="12"/>
      <c r="AW610" s="12"/>
      <c r="AX610" s="12"/>
      <c r="AY610" s="12"/>
      <c r="AZ610" s="12"/>
      <c r="BA610" s="12"/>
      <c r="BB610" s="12"/>
      <c r="BC610" s="12"/>
      <c r="BD610" s="12"/>
      <c r="BF610" s="106" t="str">
        <f t="shared" si="1"/>
        <v>#VALUE!</v>
      </c>
      <c r="BG610" s="21">
        <f t="shared" si="2"/>
        <v>12</v>
      </c>
    </row>
    <row r="611">
      <c r="P611" s="161"/>
      <c r="AI611" s="102"/>
      <c r="AK611" s="428" t="s">
        <v>2844</v>
      </c>
      <c r="AL611" s="86" t="s">
        <v>2847</v>
      </c>
      <c r="AO611" s="138" t="s">
        <v>2848</v>
      </c>
      <c r="AP611" s="86" t="s">
        <v>120</v>
      </c>
      <c r="AQ611" s="12"/>
      <c r="AR611" s="86" t="s">
        <v>120</v>
      </c>
      <c r="AS611" s="86" t="s">
        <v>126</v>
      </c>
      <c r="AT611" s="12"/>
      <c r="AU611" s="12"/>
      <c r="AV611" s="12"/>
      <c r="AW611" s="12"/>
      <c r="AX611" s="12"/>
      <c r="AY611" s="12"/>
      <c r="AZ611" s="12"/>
      <c r="BA611" s="12"/>
      <c r="BB611" s="12"/>
      <c r="BC611" s="12"/>
      <c r="BD611" s="12"/>
      <c r="BF611" s="106" t="str">
        <f t="shared" si="1"/>
        <v>#VALUE!</v>
      </c>
      <c r="BG611" s="21">
        <f t="shared" si="2"/>
        <v>12</v>
      </c>
    </row>
    <row r="612">
      <c r="P612" s="161"/>
      <c r="AI612" s="102"/>
      <c r="AK612" s="428" t="s">
        <v>192</v>
      </c>
      <c r="AO612" s="86" t="s">
        <v>126</v>
      </c>
      <c r="AP612" s="86" t="s">
        <v>120</v>
      </c>
      <c r="AQ612" s="86" t="s">
        <v>120</v>
      </c>
      <c r="AR612" s="12"/>
      <c r="AS612" s="86" t="s">
        <v>120</v>
      </c>
      <c r="AT612" s="12"/>
      <c r="AU612" s="12"/>
      <c r="AV612" s="12"/>
      <c r="AW612" s="12"/>
      <c r="AX612" s="12"/>
      <c r="AY612" s="12"/>
      <c r="AZ612" s="12"/>
      <c r="BA612" s="12"/>
      <c r="BB612" s="12"/>
      <c r="BC612" s="12"/>
      <c r="BD612" s="12"/>
      <c r="BF612" s="106" t="str">
        <f t="shared" si="1"/>
        <v>#VALUE!</v>
      </c>
      <c r="BG612" s="21">
        <f t="shared" si="2"/>
        <v>12</v>
      </c>
    </row>
    <row r="613">
      <c r="P613" s="369"/>
      <c r="AI613" s="102"/>
      <c r="AK613" s="428" t="s">
        <v>2853</v>
      </c>
      <c r="AO613" s="86" t="s">
        <v>120</v>
      </c>
      <c r="AP613" s="86" t="s">
        <v>120</v>
      </c>
      <c r="AQ613" s="86" t="s">
        <v>120</v>
      </c>
      <c r="AR613" s="86" t="s">
        <v>120</v>
      </c>
      <c r="AS613" s="12"/>
      <c r="AT613" s="12"/>
      <c r="AU613" s="12"/>
      <c r="AV613" s="12"/>
      <c r="AW613" s="12"/>
      <c r="AX613" s="12"/>
      <c r="AY613" s="12"/>
      <c r="AZ613" s="12"/>
      <c r="BA613" s="12"/>
      <c r="BB613" s="12"/>
      <c r="BC613" s="12"/>
      <c r="BD613" s="12"/>
      <c r="BF613" s="106" t="str">
        <f t="shared" si="1"/>
        <v>#VALUE!</v>
      </c>
      <c r="BG613" s="21">
        <f t="shared" si="2"/>
        <v>12</v>
      </c>
    </row>
    <row r="614">
      <c r="P614" s="161"/>
      <c r="AI614" s="102"/>
      <c r="AK614" s="428" t="s">
        <v>200</v>
      </c>
      <c r="AL614" s="246" t="s">
        <v>2854</v>
      </c>
      <c r="AO614" s="86" t="s">
        <v>120</v>
      </c>
      <c r="AP614" s="86" t="s">
        <v>120</v>
      </c>
      <c r="AQ614" s="86" t="s">
        <v>120</v>
      </c>
      <c r="AR614" s="12"/>
      <c r="AS614" s="12"/>
      <c r="AT614" s="12"/>
      <c r="AU614" s="12"/>
      <c r="AV614" s="12"/>
      <c r="AW614" s="12"/>
      <c r="AX614" s="12"/>
      <c r="AY614" s="12"/>
      <c r="AZ614" s="12"/>
      <c r="BA614" s="12"/>
      <c r="BB614" s="12"/>
      <c r="BC614" s="12"/>
      <c r="BD614" s="12"/>
      <c r="BF614" s="106" t="str">
        <f t="shared" si="1"/>
        <v>#VALUE!</v>
      </c>
      <c r="BG614" s="21">
        <f t="shared" si="2"/>
        <v>12</v>
      </c>
    </row>
    <row r="615">
      <c r="P615" s="161"/>
      <c r="AI615" s="102"/>
      <c r="AK615" s="428" t="s">
        <v>199</v>
      </c>
      <c r="AL615" s="246" t="s">
        <v>2856</v>
      </c>
      <c r="AO615" s="86" t="s">
        <v>120</v>
      </c>
      <c r="AP615" s="86" t="s">
        <v>124</v>
      </c>
      <c r="AQ615" s="86" t="s">
        <v>120</v>
      </c>
      <c r="AR615" s="86" t="s">
        <v>120</v>
      </c>
      <c r="AS615" s="12"/>
      <c r="AT615" s="12"/>
      <c r="AU615" s="12"/>
      <c r="AV615" s="12"/>
      <c r="AW615" s="12"/>
      <c r="AX615" s="12"/>
      <c r="AY615" s="12"/>
      <c r="AZ615" s="12"/>
      <c r="BA615" s="12"/>
      <c r="BB615" s="12"/>
      <c r="BC615" s="12"/>
      <c r="BD615" s="12"/>
      <c r="BF615" s="106" t="str">
        <f t="shared" si="1"/>
        <v>#VALUE!</v>
      </c>
      <c r="BG615" s="21">
        <f t="shared" si="2"/>
        <v>12</v>
      </c>
    </row>
    <row r="616">
      <c r="P616" s="161"/>
      <c r="AI616" s="102"/>
      <c r="AK616" s="428" t="s">
        <v>2857</v>
      </c>
      <c r="AO616" s="86" t="s">
        <v>124</v>
      </c>
      <c r="AP616" s="441" t="s">
        <v>124</v>
      </c>
      <c r="AQ616" s="86" t="s">
        <v>124</v>
      </c>
      <c r="AR616" s="12"/>
      <c r="AS616" s="12"/>
      <c r="AT616" s="12"/>
      <c r="AU616" s="12"/>
      <c r="AV616" s="12"/>
      <c r="AW616" s="12"/>
      <c r="AX616" s="12"/>
      <c r="AY616" s="12"/>
      <c r="AZ616" s="12"/>
      <c r="BA616" s="12"/>
      <c r="BB616" s="12"/>
      <c r="BC616" s="12"/>
      <c r="BD616" s="12"/>
      <c r="BF616" s="106" t="str">
        <f t="shared" si="1"/>
        <v>#VALUE!</v>
      </c>
      <c r="BG616" s="21">
        <f t="shared" si="2"/>
        <v>12</v>
      </c>
    </row>
    <row r="617">
      <c r="P617" s="161"/>
      <c r="AI617" s="102"/>
      <c r="AK617" s="428" t="s">
        <v>2858</v>
      </c>
      <c r="AL617" s="86" t="s">
        <v>2860</v>
      </c>
      <c r="AO617" s="86" t="s">
        <v>120</v>
      </c>
      <c r="AP617" s="86" t="s">
        <v>120</v>
      </c>
      <c r="AQ617" s="12"/>
      <c r="AR617" s="12"/>
      <c r="AS617" s="12"/>
      <c r="AT617" s="12"/>
      <c r="AU617" s="12"/>
      <c r="AV617" s="12"/>
      <c r="AW617" s="12"/>
      <c r="AX617" s="12"/>
      <c r="AY617" s="12"/>
      <c r="AZ617" s="12"/>
      <c r="BA617" s="12"/>
      <c r="BB617" s="12"/>
      <c r="BC617" s="12"/>
      <c r="BD617" s="12"/>
      <c r="BF617" s="106" t="str">
        <f t="shared" si="1"/>
        <v>#VALUE!</v>
      </c>
      <c r="BG617" s="21">
        <f t="shared" si="2"/>
        <v>12</v>
      </c>
    </row>
    <row r="618">
      <c r="P618" s="369"/>
      <c r="AI618" s="102"/>
      <c r="AK618" s="428" t="s">
        <v>1060</v>
      </c>
      <c r="AO618" s="86" t="s">
        <v>120</v>
      </c>
      <c r="AP618" s="86" t="s">
        <v>120</v>
      </c>
      <c r="AQ618" s="86" t="s">
        <v>120</v>
      </c>
      <c r="AR618" s="86" t="s">
        <v>129</v>
      </c>
      <c r="AS618" s="12"/>
      <c r="AT618" s="12"/>
      <c r="AU618" s="12"/>
      <c r="AV618" s="12"/>
      <c r="AW618" s="12"/>
      <c r="AX618" s="12"/>
      <c r="AY618" s="12"/>
      <c r="AZ618" s="12"/>
      <c r="BA618" s="12"/>
      <c r="BB618" s="12"/>
      <c r="BC618" s="12"/>
      <c r="BD618" s="12"/>
      <c r="BF618" s="106" t="str">
        <f t="shared" si="1"/>
        <v>#VALUE!</v>
      </c>
      <c r="BG618" s="21">
        <f t="shared" si="2"/>
        <v>12</v>
      </c>
    </row>
    <row r="619">
      <c r="P619" s="161"/>
      <c r="AI619" s="102"/>
      <c r="AK619" s="428" t="s">
        <v>1061</v>
      </c>
      <c r="AO619" s="86" t="s">
        <v>122</v>
      </c>
      <c r="AP619" s="86" t="s">
        <v>120</v>
      </c>
      <c r="AQ619" s="86" t="s">
        <v>120</v>
      </c>
      <c r="AR619" s="86" t="s">
        <v>120</v>
      </c>
      <c r="AS619" s="86" t="s">
        <v>120</v>
      </c>
      <c r="AT619" s="12"/>
      <c r="AU619" s="12"/>
      <c r="AV619" s="86" t="s">
        <v>120</v>
      </c>
      <c r="AW619" s="12"/>
      <c r="AX619" s="12"/>
      <c r="AY619" s="12"/>
      <c r="AZ619" s="12"/>
      <c r="BA619" s="12"/>
      <c r="BB619" s="12"/>
      <c r="BC619" s="12"/>
      <c r="BD619" s="12"/>
      <c r="BF619" s="106" t="str">
        <f t="shared" si="1"/>
        <v>#VALUE!</v>
      </c>
      <c r="BG619" s="21">
        <f t="shared" si="2"/>
        <v>12</v>
      </c>
    </row>
    <row r="620">
      <c r="P620" s="369"/>
      <c r="AI620" s="102"/>
      <c r="AK620" s="428" t="s">
        <v>54</v>
      </c>
      <c r="AO620" s="86" t="s">
        <v>120</v>
      </c>
      <c r="AP620" s="86" t="s">
        <v>120</v>
      </c>
      <c r="AQ620" s="86" t="s">
        <v>120</v>
      </c>
      <c r="AR620" s="86" t="s">
        <v>120</v>
      </c>
      <c r="AS620" s="86" t="s">
        <v>120</v>
      </c>
      <c r="AT620" s="86" t="s">
        <v>120</v>
      </c>
      <c r="AU620" s="86" t="s">
        <v>120</v>
      </c>
      <c r="AV620" s="12"/>
      <c r="AW620" s="12"/>
      <c r="AX620" s="12"/>
      <c r="AY620" s="12"/>
      <c r="AZ620" s="12"/>
      <c r="BA620" s="12"/>
      <c r="BB620" s="12"/>
      <c r="BC620" s="12"/>
      <c r="BD620" s="12"/>
      <c r="BF620" s="106" t="str">
        <f t="shared" si="1"/>
        <v>#VALUE!</v>
      </c>
      <c r="BG620" s="21">
        <f t="shared" si="2"/>
        <v>12</v>
      </c>
    </row>
    <row r="621">
      <c r="P621" s="161"/>
      <c r="AI621" s="102"/>
      <c r="AK621" s="428" t="s">
        <v>208</v>
      </c>
      <c r="AO621" s="86" t="s">
        <v>120</v>
      </c>
      <c r="AP621" s="86" t="s">
        <v>120</v>
      </c>
      <c r="AQ621" s="86" t="s">
        <v>120</v>
      </c>
      <c r="AR621" s="86" t="s">
        <v>120</v>
      </c>
      <c r="AS621" s="86" t="s">
        <v>120</v>
      </c>
      <c r="AT621" s="86" t="s">
        <v>129</v>
      </c>
      <c r="AU621" s="12"/>
      <c r="AV621" s="12"/>
      <c r="AW621" s="12"/>
      <c r="AX621" s="12"/>
      <c r="AY621" s="12"/>
      <c r="AZ621" s="12"/>
      <c r="BA621" s="12"/>
      <c r="BB621" s="12"/>
      <c r="BC621" s="12"/>
      <c r="BD621" s="12"/>
      <c r="BF621" s="106" t="str">
        <f t="shared" si="1"/>
        <v>#VALUE!</v>
      </c>
      <c r="BG621" s="21">
        <f t="shared" si="2"/>
        <v>12</v>
      </c>
    </row>
    <row r="622">
      <c r="P622" s="369"/>
      <c r="AI622" s="102"/>
      <c r="AK622" s="428" t="s">
        <v>2863</v>
      </c>
      <c r="AO622" s="86" t="s">
        <v>120</v>
      </c>
      <c r="AP622" s="86" t="s">
        <v>120</v>
      </c>
      <c r="AQ622" s="86" t="s">
        <v>129</v>
      </c>
      <c r="AR622" s="12"/>
      <c r="AS622" s="12"/>
      <c r="AT622" s="12"/>
      <c r="AU622" s="12"/>
      <c r="AV622" s="12"/>
      <c r="AW622" s="12"/>
      <c r="AX622" s="12"/>
      <c r="AY622" s="12"/>
      <c r="AZ622" s="12"/>
      <c r="BA622" s="12"/>
      <c r="BB622" s="12"/>
      <c r="BC622" s="12"/>
      <c r="BD622" s="12"/>
      <c r="BF622" s="106" t="str">
        <f t="shared" si="1"/>
        <v>#VALUE!</v>
      </c>
      <c r="BG622" s="21">
        <f t="shared" si="2"/>
        <v>12</v>
      </c>
    </row>
    <row r="623">
      <c r="P623" s="161"/>
      <c r="AI623" s="102"/>
      <c r="AK623" s="428" t="s">
        <v>1064</v>
      </c>
      <c r="AO623" s="86" t="s">
        <v>120</v>
      </c>
      <c r="AP623" s="86" t="s">
        <v>120</v>
      </c>
      <c r="AQ623" s="86" t="s">
        <v>129</v>
      </c>
      <c r="AR623" s="86" t="s">
        <v>124</v>
      </c>
      <c r="AS623" s="86" t="s">
        <v>129</v>
      </c>
      <c r="AT623" s="86" t="s">
        <v>120</v>
      </c>
      <c r="AU623" s="86" t="s">
        <v>129</v>
      </c>
      <c r="AV623" s="12"/>
      <c r="AW623" s="12"/>
      <c r="AX623" s="12"/>
      <c r="AY623" s="12"/>
      <c r="AZ623" s="12"/>
      <c r="BA623" s="12"/>
      <c r="BB623" s="12"/>
      <c r="BC623" s="12"/>
      <c r="BD623" s="12"/>
      <c r="BF623" s="106" t="str">
        <f t="shared" si="1"/>
        <v>#VALUE!</v>
      </c>
      <c r="BG623" s="21">
        <f t="shared" si="2"/>
        <v>12</v>
      </c>
    </row>
    <row r="624">
      <c r="P624" s="369"/>
      <c r="AI624" s="102"/>
      <c r="AK624" s="428" t="s">
        <v>203</v>
      </c>
      <c r="AO624" s="86" t="s">
        <v>120</v>
      </c>
      <c r="AP624" s="86" t="s">
        <v>126</v>
      </c>
      <c r="AQ624" s="86" t="s">
        <v>126</v>
      </c>
      <c r="AR624" s="86" t="s">
        <v>120</v>
      </c>
      <c r="AS624" s="86" t="s">
        <v>122</v>
      </c>
      <c r="AT624" s="12"/>
      <c r="AU624" s="12"/>
      <c r="AV624" s="12"/>
      <c r="AW624" s="12"/>
      <c r="AX624" s="12"/>
      <c r="AY624" s="12"/>
      <c r="AZ624" s="12"/>
      <c r="BA624" s="12"/>
      <c r="BB624" s="12"/>
      <c r="BC624" s="12"/>
      <c r="BD624" s="12"/>
      <c r="BF624" s="106" t="str">
        <f t="shared" si="1"/>
        <v>#VALUE!</v>
      </c>
      <c r="BG624" s="21">
        <f t="shared" si="2"/>
        <v>12</v>
      </c>
    </row>
    <row r="625">
      <c r="P625" s="369"/>
      <c r="AI625" s="102"/>
      <c r="AK625" s="428" t="s">
        <v>213</v>
      </c>
      <c r="AL625" s="246" t="s">
        <v>2865</v>
      </c>
      <c r="AO625" s="86" t="s">
        <v>126</v>
      </c>
      <c r="AP625" s="86" t="s">
        <v>120</v>
      </c>
      <c r="AQ625" s="86" t="s">
        <v>126</v>
      </c>
      <c r="AR625" s="12"/>
      <c r="AS625" s="12"/>
      <c r="AT625" s="12"/>
      <c r="AU625" s="12"/>
      <c r="AV625" s="12"/>
      <c r="AW625" s="12"/>
      <c r="AX625" s="12"/>
      <c r="AY625" s="12"/>
      <c r="AZ625" s="12"/>
      <c r="BA625" s="12"/>
      <c r="BB625" s="12"/>
      <c r="BC625" s="12"/>
      <c r="BD625" s="12"/>
      <c r="BF625" s="106" t="str">
        <f t="shared" si="1"/>
        <v>#VALUE!</v>
      </c>
      <c r="BG625" s="21">
        <f t="shared" si="2"/>
        <v>12</v>
      </c>
    </row>
    <row r="626">
      <c r="P626" s="161"/>
      <c r="AI626" s="102"/>
      <c r="AK626" s="428" t="s">
        <v>2866</v>
      </c>
      <c r="AO626" s="86" t="s">
        <v>120</v>
      </c>
      <c r="AP626" s="86" t="s">
        <v>124</v>
      </c>
      <c r="AQ626" s="86" t="s">
        <v>120</v>
      </c>
      <c r="AR626" s="12"/>
      <c r="AS626" s="12"/>
      <c r="AT626" s="12"/>
      <c r="AU626" s="12"/>
      <c r="AV626" s="12"/>
      <c r="AW626" s="12"/>
      <c r="AX626" s="12"/>
      <c r="AY626" s="12"/>
      <c r="AZ626" s="12"/>
      <c r="BA626" s="12"/>
      <c r="BB626" s="12"/>
      <c r="BC626" s="12"/>
      <c r="BD626" s="12"/>
      <c r="BF626" s="106" t="str">
        <f t="shared" si="1"/>
        <v>#VALUE!</v>
      </c>
      <c r="BG626" s="21">
        <f t="shared" si="2"/>
        <v>12</v>
      </c>
    </row>
    <row r="627">
      <c r="P627" s="161"/>
      <c r="AI627" s="102"/>
      <c r="AK627" s="428" t="s">
        <v>2867</v>
      </c>
      <c r="AO627" s="86" t="s">
        <v>120</v>
      </c>
      <c r="AP627" s="86" t="s">
        <v>120</v>
      </c>
      <c r="AQ627" s="86" t="s">
        <v>120</v>
      </c>
      <c r="AR627" s="86" t="s">
        <v>126</v>
      </c>
      <c r="AS627" s="86" t="s">
        <v>120</v>
      </c>
      <c r="AT627" s="86" t="s">
        <v>120</v>
      </c>
      <c r="AU627" s="86" t="s">
        <v>120</v>
      </c>
      <c r="AV627" s="12"/>
      <c r="AW627" s="12"/>
      <c r="AX627" s="12"/>
      <c r="AY627" s="12"/>
      <c r="AZ627" s="12"/>
      <c r="BA627" s="12"/>
      <c r="BB627" s="12"/>
      <c r="BC627" s="12"/>
      <c r="BD627" s="12"/>
      <c r="BF627" s="106" t="str">
        <f t="shared" si="1"/>
        <v>#VALUE!</v>
      </c>
      <c r="BG627" s="21">
        <f t="shared" si="2"/>
        <v>12</v>
      </c>
    </row>
    <row r="628">
      <c r="P628" s="161"/>
      <c r="AI628" s="102"/>
      <c r="AK628" s="428" t="s">
        <v>2870</v>
      </c>
      <c r="AL628" s="86" t="s">
        <v>2873</v>
      </c>
      <c r="AO628" s="86" t="s">
        <v>126</v>
      </c>
      <c r="AP628" s="86" t="s">
        <v>128</v>
      </c>
      <c r="AQ628" s="12"/>
      <c r="AR628" s="12"/>
      <c r="AS628" s="12"/>
      <c r="AT628" s="12"/>
      <c r="AU628" s="12"/>
      <c r="AV628" s="12"/>
      <c r="AW628" s="12"/>
      <c r="AX628" s="12"/>
      <c r="AY628" s="12"/>
      <c r="AZ628" s="12"/>
      <c r="BA628" s="12"/>
      <c r="BB628" s="12"/>
      <c r="BC628" s="12"/>
      <c r="BD628" s="12"/>
      <c r="BF628" s="106" t="str">
        <f t="shared" si="1"/>
        <v>#VALUE!</v>
      </c>
      <c r="BG628" s="21">
        <f t="shared" si="2"/>
        <v>12</v>
      </c>
    </row>
    <row r="629">
      <c r="P629" s="161"/>
      <c r="AI629" s="102"/>
      <c r="AK629" s="428" t="s">
        <v>2874</v>
      </c>
      <c r="AO629" s="86" t="s">
        <v>129</v>
      </c>
      <c r="AP629" s="86" t="s">
        <v>120</v>
      </c>
      <c r="AQ629" s="86" t="s">
        <v>120</v>
      </c>
      <c r="AR629" s="86" t="s">
        <v>120</v>
      </c>
      <c r="AS629" s="86" t="s">
        <v>129</v>
      </c>
      <c r="AT629" s="86" t="s">
        <v>120</v>
      </c>
      <c r="AU629" s="12"/>
      <c r="AV629" s="12"/>
      <c r="AW629" s="12"/>
      <c r="AX629" s="12"/>
      <c r="AY629" s="12"/>
      <c r="AZ629" s="12"/>
      <c r="BA629" s="12"/>
      <c r="BB629" s="12"/>
      <c r="BC629" s="12"/>
      <c r="BD629" s="12"/>
      <c r="BF629" s="106" t="str">
        <f t="shared" si="1"/>
        <v>#VALUE!</v>
      </c>
      <c r="BG629" s="21">
        <f t="shared" si="2"/>
        <v>12</v>
      </c>
    </row>
    <row r="630">
      <c r="P630" s="161"/>
      <c r="AI630" s="102"/>
      <c r="AK630" s="428" t="s">
        <v>220</v>
      </c>
      <c r="AO630" s="86" t="s">
        <v>120</v>
      </c>
      <c r="AP630" s="86" t="s">
        <v>120</v>
      </c>
      <c r="AQ630" s="86" t="s">
        <v>120</v>
      </c>
      <c r="AR630" s="12"/>
      <c r="AS630" s="12"/>
      <c r="AT630" s="12"/>
      <c r="AU630" s="12"/>
      <c r="AV630" s="12"/>
      <c r="AW630" s="12"/>
      <c r="AX630" s="12"/>
      <c r="AY630" s="12"/>
      <c r="AZ630" s="12"/>
      <c r="BA630" s="12"/>
      <c r="BB630" s="12"/>
      <c r="BC630" s="12"/>
      <c r="BD630" s="12"/>
      <c r="BF630" s="106" t="str">
        <f t="shared" si="1"/>
        <v>#VALUE!</v>
      </c>
      <c r="BG630" s="21">
        <f t="shared" si="2"/>
        <v>12</v>
      </c>
    </row>
    <row r="631">
      <c r="P631" s="369"/>
      <c r="AI631" s="102"/>
      <c r="AK631" s="428" t="s">
        <v>223</v>
      </c>
      <c r="AO631" s="86" t="s">
        <v>120</v>
      </c>
      <c r="AP631" s="86" t="s">
        <v>120</v>
      </c>
      <c r="AQ631" s="86" t="s">
        <v>120</v>
      </c>
      <c r="AR631" s="12"/>
      <c r="AS631" s="86" t="s">
        <v>120</v>
      </c>
      <c r="AT631" s="86" t="s">
        <v>129</v>
      </c>
      <c r="AU631" s="12"/>
      <c r="AV631" s="12"/>
      <c r="AW631" s="12"/>
      <c r="AX631" s="12"/>
      <c r="AY631" s="12"/>
      <c r="AZ631" s="12"/>
      <c r="BA631" s="12"/>
      <c r="BB631" s="12"/>
      <c r="BC631" s="12"/>
      <c r="BD631" s="12"/>
      <c r="BF631" s="106" t="str">
        <f t="shared" si="1"/>
        <v>#VALUE!</v>
      </c>
      <c r="BG631" s="21">
        <f t="shared" si="2"/>
        <v>12</v>
      </c>
    </row>
    <row r="632">
      <c r="P632" s="369"/>
      <c r="AI632" s="102"/>
      <c r="AK632" s="428" t="s">
        <v>2878</v>
      </c>
      <c r="AO632" s="86" t="s">
        <v>120</v>
      </c>
      <c r="AP632" s="86" t="s">
        <v>120</v>
      </c>
      <c r="AQ632" s="12"/>
      <c r="AR632" s="12"/>
      <c r="AS632" s="12"/>
      <c r="AT632" s="12"/>
      <c r="AU632" s="12"/>
      <c r="AV632" s="12"/>
      <c r="AW632" s="12"/>
      <c r="AX632" s="12"/>
      <c r="AY632" s="12"/>
      <c r="AZ632" s="12"/>
      <c r="BA632" s="12"/>
      <c r="BB632" s="12"/>
      <c r="BC632" s="12"/>
      <c r="BD632" s="12"/>
      <c r="BF632" s="106" t="str">
        <f t="shared" si="1"/>
        <v>#VALUE!</v>
      </c>
      <c r="BG632" s="21">
        <f t="shared" si="2"/>
        <v>12</v>
      </c>
    </row>
    <row r="633">
      <c r="P633" s="161"/>
      <c r="AI633" s="102"/>
      <c r="AK633" s="428" t="s">
        <v>1067</v>
      </c>
      <c r="AO633" s="86" t="s">
        <v>120</v>
      </c>
      <c r="AP633" s="86" t="s">
        <v>123</v>
      </c>
      <c r="AQ633" s="86" t="s">
        <v>120</v>
      </c>
      <c r="AR633" s="12"/>
      <c r="AS633" s="86" t="s">
        <v>120</v>
      </c>
      <c r="AT633" s="12"/>
      <c r="AU633" s="12"/>
      <c r="AV633" s="12"/>
      <c r="AW633" s="12"/>
      <c r="AX633" s="12"/>
      <c r="AY633" s="12"/>
      <c r="AZ633" s="12"/>
      <c r="BA633" s="12"/>
      <c r="BB633" s="12"/>
      <c r="BC633" s="12"/>
      <c r="BD633" s="12"/>
      <c r="BF633" s="106" t="str">
        <f t="shared" si="1"/>
        <v>#VALUE!</v>
      </c>
      <c r="BG633" s="21">
        <f t="shared" si="2"/>
        <v>12</v>
      </c>
    </row>
    <row r="634">
      <c r="P634" s="161"/>
      <c r="AI634" s="102"/>
      <c r="AK634" s="428" t="s">
        <v>1069</v>
      </c>
      <c r="AO634" s="86" t="s">
        <v>120</v>
      </c>
      <c r="AP634" s="86" t="s">
        <v>120</v>
      </c>
      <c r="AQ634" s="86" t="s">
        <v>120</v>
      </c>
      <c r="AR634" s="86" t="s">
        <v>120</v>
      </c>
      <c r="AS634" s="86" t="s">
        <v>120</v>
      </c>
      <c r="AT634" s="86" t="s">
        <v>120</v>
      </c>
      <c r="AU634" s="12"/>
      <c r="AV634" s="12"/>
      <c r="AW634" s="12"/>
      <c r="AX634" s="12"/>
      <c r="AY634" s="12"/>
      <c r="AZ634" s="12"/>
      <c r="BA634" s="12"/>
      <c r="BB634" s="12"/>
      <c r="BC634" s="12"/>
      <c r="BD634" s="12"/>
      <c r="BF634" s="106" t="str">
        <f t="shared" si="1"/>
        <v>#VALUE!</v>
      </c>
      <c r="BG634" s="21">
        <f t="shared" si="2"/>
        <v>12</v>
      </c>
    </row>
    <row r="635">
      <c r="P635" s="161"/>
      <c r="AI635" s="102"/>
      <c r="AK635" s="428" t="s">
        <v>225</v>
      </c>
      <c r="AO635" s="86" t="s">
        <v>120</v>
      </c>
      <c r="AP635" s="86" t="s">
        <v>126</v>
      </c>
      <c r="AQ635" s="86" t="s">
        <v>126</v>
      </c>
      <c r="AR635" s="86" t="s">
        <v>120</v>
      </c>
      <c r="AS635" s="86" t="s">
        <v>120</v>
      </c>
      <c r="AT635" s="86" t="s">
        <v>120</v>
      </c>
      <c r="AU635" s="12"/>
      <c r="AV635" s="12"/>
      <c r="AW635" s="12"/>
      <c r="AX635" s="12"/>
      <c r="AY635" s="12"/>
      <c r="AZ635" s="12"/>
      <c r="BA635" s="12"/>
      <c r="BB635" s="12"/>
      <c r="BC635" s="12"/>
      <c r="BD635" s="12"/>
      <c r="BF635" s="106" t="str">
        <f t="shared" si="1"/>
        <v>#VALUE!</v>
      </c>
      <c r="BG635" s="21">
        <f t="shared" si="2"/>
        <v>12</v>
      </c>
    </row>
    <row r="636">
      <c r="P636" s="161"/>
      <c r="AI636" s="102"/>
      <c r="AK636" s="428" t="s">
        <v>226</v>
      </c>
      <c r="AO636" s="86" t="s">
        <v>120</v>
      </c>
      <c r="AP636" s="86" t="s">
        <v>120</v>
      </c>
      <c r="AQ636" s="86" t="s">
        <v>126</v>
      </c>
      <c r="AR636" s="86" t="s">
        <v>126</v>
      </c>
      <c r="AS636" s="12"/>
      <c r="AT636" s="12"/>
      <c r="AU636" s="12"/>
      <c r="AV636" s="12"/>
      <c r="AW636" s="12"/>
      <c r="AX636" s="12"/>
      <c r="AY636" s="12"/>
      <c r="AZ636" s="12"/>
      <c r="BA636" s="12"/>
      <c r="BB636" s="12"/>
      <c r="BC636" s="12"/>
      <c r="BD636" s="12"/>
      <c r="BF636" s="106" t="str">
        <f t="shared" si="1"/>
        <v>#VALUE!</v>
      </c>
      <c r="BG636" s="21">
        <f t="shared" si="2"/>
        <v>12</v>
      </c>
    </row>
    <row r="637">
      <c r="P637" s="369"/>
      <c r="AI637" s="102"/>
      <c r="AK637" s="428" t="s">
        <v>1482</v>
      </c>
      <c r="AO637" s="86" t="s">
        <v>124</v>
      </c>
      <c r="AP637" s="86" t="s">
        <v>124</v>
      </c>
      <c r="AQ637" s="86" t="s">
        <v>126</v>
      </c>
      <c r="AR637" s="86" t="s">
        <v>120</v>
      </c>
      <c r="AS637" s="86" t="s">
        <v>120</v>
      </c>
      <c r="AT637" s="12"/>
      <c r="AU637" s="12"/>
      <c r="AV637" s="12"/>
      <c r="AW637" s="12"/>
      <c r="AX637" s="12"/>
      <c r="AY637" s="12"/>
      <c r="AZ637" s="12"/>
      <c r="BA637" s="12"/>
      <c r="BB637" s="12"/>
      <c r="BC637" s="12"/>
      <c r="BD637" s="12"/>
      <c r="BF637" s="106" t="str">
        <f t="shared" si="1"/>
        <v>#VALUE!</v>
      </c>
      <c r="BG637" s="21">
        <f t="shared" si="2"/>
        <v>12</v>
      </c>
    </row>
    <row r="638">
      <c r="P638" s="161"/>
      <c r="AI638" s="102"/>
      <c r="AK638" s="428" t="s">
        <v>233</v>
      </c>
      <c r="AL638" s="246" t="s">
        <v>2882</v>
      </c>
      <c r="AO638" s="86" t="s">
        <v>120</v>
      </c>
      <c r="AP638" s="86" t="s">
        <v>124</v>
      </c>
      <c r="AQ638" s="12"/>
      <c r="AR638" s="12"/>
      <c r="AS638" s="12"/>
      <c r="AT638" s="12"/>
      <c r="AU638" s="12"/>
      <c r="AV638" s="12"/>
      <c r="AW638" s="12"/>
      <c r="AX638" s="12"/>
      <c r="AY638" s="12"/>
      <c r="AZ638" s="12"/>
      <c r="BA638" s="12"/>
      <c r="BB638" s="12"/>
      <c r="BC638" s="12"/>
      <c r="BD638" s="12"/>
      <c r="BF638" s="106" t="str">
        <f t="shared" si="1"/>
        <v>#VALUE!</v>
      </c>
      <c r="BG638" s="21">
        <f t="shared" si="2"/>
        <v>12</v>
      </c>
    </row>
    <row r="639" ht="130.5" customHeight="1">
      <c r="P639" s="161"/>
      <c r="AI639" s="102"/>
      <c r="AK639" s="428" t="s">
        <v>235</v>
      </c>
      <c r="AL639" s="86" t="s">
        <v>2883</v>
      </c>
      <c r="AO639" s="86" t="s">
        <v>120</v>
      </c>
      <c r="AP639" s="86" t="s">
        <v>129</v>
      </c>
      <c r="AQ639" s="12"/>
      <c r="AR639" s="12"/>
      <c r="AS639" s="12"/>
      <c r="AT639" s="12"/>
      <c r="AU639" s="12"/>
      <c r="AV639" s="12"/>
      <c r="AW639" s="12"/>
      <c r="AX639" s="12"/>
      <c r="AY639" s="12"/>
      <c r="AZ639" s="12"/>
      <c r="BA639" s="12"/>
      <c r="BB639" s="12"/>
      <c r="BC639" s="12"/>
      <c r="BD639" s="12"/>
      <c r="BF639" s="106" t="str">
        <f t="shared" si="1"/>
        <v>#VALUE!</v>
      </c>
      <c r="BG639" s="21">
        <f t="shared" si="2"/>
        <v>12</v>
      </c>
    </row>
    <row r="640">
      <c r="P640" s="161"/>
      <c r="AI640" s="102"/>
      <c r="AK640" s="428" t="s">
        <v>234</v>
      </c>
      <c r="AL640" s="86" t="s">
        <v>2885</v>
      </c>
      <c r="AO640" s="86" t="s">
        <v>120</v>
      </c>
      <c r="AP640" s="86" t="s">
        <v>126</v>
      </c>
      <c r="AQ640" s="86" t="s">
        <v>126</v>
      </c>
      <c r="AR640" s="86" t="s">
        <v>120</v>
      </c>
      <c r="AS640" s="86" t="s">
        <v>129</v>
      </c>
      <c r="AT640" s="12"/>
      <c r="AU640" s="12"/>
      <c r="AV640" s="12"/>
      <c r="AW640" s="12"/>
      <c r="AX640" s="12"/>
      <c r="AY640" s="12"/>
      <c r="AZ640" s="12"/>
      <c r="BA640" s="12"/>
      <c r="BB640" s="12"/>
      <c r="BC640" s="12"/>
      <c r="BD640" s="12"/>
      <c r="BF640" s="106" t="str">
        <f t="shared" si="1"/>
        <v>#VALUE!</v>
      </c>
      <c r="BG640" s="21">
        <f t="shared" si="2"/>
        <v>12</v>
      </c>
    </row>
    <row r="641">
      <c r="P641" s="161"/>
      <c r="AI641" s="102"/>
      <c r="AK641" s="428" t="s">
        <v>1076</v>
      </c>
      <c r="AO641" s="86" t="s">
        <v>120</v>
      </c>
      <c r="AP641" s="86" t="s">
        <v>120</v>
      </c>
      <c r="AQ641" s="86" t="s">
        <v>120</v>
      </c>
      <c r="AR641" s="86" t="s">
        <v>120</v>
      </c>
      <c r="AS641" s="86" t="s">
        <v>129</v>
      </c>
      <c r="AT641" s="12"/>
      <c r="AU641" s="12"/>
      <c r="AV641" s="12"/>
      <c r="AW641" s="12"/>
      <c r="AX641" s="12"/>
      <c r="AY641" s="12"/>
      <c r="AZ641" s="12"/>
      <c r="BA641" s="12"/>
      <c r="BB641" s="12"/>
      <c r="BC641" s="12"/>
      <c r="BD641" s="12"/>
      <c r="BF641" s="106" t="str">
        <f t="shared" si="1"/>
        <v>#VALUE!</v>
      </c>
      <c r="BG641" s="21">
        <f t="shared" si="2"/>
        <v>12</v>
      </c>
    </row>
    <row r="642">
      <c r="P642" s="161"/>
      <c r="AI642" s="102"/>
      <c r="AK642" s="428" t="s">
        <v>1080</v>
      </c>
      <c r="AO642" s="86" t="s">
        <v>124</v>
      </c>
      <c r="AP642" s="86" t="s">
        <v>124</v>
      </c>
      <c r="AQ642" s="86" t="s">
        <v>120</v>
      </c>
      <c r="AR642" s="86" t="s">
        <v>120</v>
      </c>
      <c r="AS642" s="86" t="s">
        <v>129</v>
      </c>
      <c r="AT642" s="12"/>
      <c r="AU642" s="12"/>
      <c r="AV642" s="12"/>
      <c r="AW642" s="12"/>
      <c r="AX642" s="12"/>
      <c r="AY642" s="12"/>
      <c r="AZ642" s="12"/>
      <c r="BA642" s="12"/>
      <c r="BB642" s="12"/>
      <c r="BC642" s="12"/>
      <c r="BD642" s="12"/>
      <c r="BF642" s="106" t="str">
        <f t="shared" si="1"/>
        <v>#VALUE!</v>
      </c>
      <c r="BG642" s="21">
        <f t="shared" si="2"/>
        <v>12</v>
      </c>
    </row>
    <row r="643">
      <c r="P643" s="369"/>
      <c r="AI643" s="102"/>
      <c r="AK643" s="428" t="s">
        <v>2887</v>
      </c>
      <c r="AL643" s="86" t="s">
        <v>2890</v>
      </c>
      <c r="AO643" s="12"/>
      <c r="AP643" s="12"/>
      <c r="AQ643" s="12"/>
      <c r="AR643" s="12"/>
      <c r="AS643" s="12"/>
      <c r="AT643" s="12"/>
      <c r="AU643" s="12"/>
      <c r="AV643" s="12"/>
      <c r="AW643" s="12"/>
      <c r="AX643" s="12"/>
      <c r="AY643" s="12"/>
      <c r="AZ643" s="12"/>
      <c r="BA643" s="12"/>
      <c r="BB643" s="12"/>
      <c r="BC643" s="12"/>
      <c r="BD643" s="12"/>
      <c r="BF643" s="106" t="str">
        <f t="shared" si="1"/>
        <v>#VALUE!</v>
      </c>
      <c r="BG643" s="21">
        <f t="shared" si="2"/>
        <v>12</v>
      </c>
    </row>
    <row r="644">
      <c r="P644" s="161"/>
      <c r="AI644" s="102"/>
      <c r="AK644" s="428" t="s">
        <v>1082</v>
      </c>
      <c r="AO644" s="86" t="s">
        <v>120</v>
      </c>
      <c r="AP644" s="86" t="s">
        <v>120</v>
      </c>
      <c r="AQ644" s="86" t="s">
        <v>120</v>
      </c>
      <c r="AR644" s="86" t="s">
        <v>120</v>
      </c>
      <c r="AS644" s="86" t="s">
        <v>120</v>
      </c>
      <c r="AT644" s="86" t="s">
        <v>120</v>
      </c>
      <c r="AU644" s="86" t="s">
        <v>120</v>
      </c>
      <c r="AV644" s="12"/>
      <c r="AW644" s="12"/>
      <c r="AX644" s="12"/>
      <c r="AY644" s="12"/>
      <c r="AZ644" s="12"/>
      <c r="BA644" s="12"/>
      <c r="BB644" s="12"/>
      <c r="BC644" s="12"/>
      <c r="BD644" s="12"/>
      <c r="BF644" s="106" t="str">
        <f t="shared" si="1"/>
        <v>#VALUE!</v>
      </c>
      <c r="BG644" s="21">
        <f t="shared" si="2"/>
        <v>12</v>
      </c>
    </row>
    <row r="645">
      <c r="P645" s="161"/>
      <c r="AI645" s="102"/>
      <c r="AK645" s="428" t="s">
        <v>236</v>
      </c>
      <c r="AL645" s="246" t="s">
        <v>2895</v>
      </c>
      <c r="AO645" s="86" t="s">
        <v>120</v>
      </c>
      <c r="AP645" s="86" t="s">
        <v>120</v>
      </c>
      <c r="AQ645" s="12"/>
      <c r="AR645" s="12"/>
      <c r="AS645" s="12"/>
      <c r="AT645" s="12"/>
      <c r="AU645" s="12"/>
      <c r="AV645" s="12"/>
      <c r="AW645" s="12"/>
      <c r="AX645" s="12"/>
      <c r="AY645" s="12"/>
      <c r="AZ645" s="12"/>
      <c r="BA645" s="12"/>
      <c r="BB645" s="12"/>
      <c r="BC645" s="12"/>
      <c r="BD645" s="12"/>
      <c r="BF645" s="106" t="str">
        <f t="shared" si="1"/>
        <v>#VALUE!</v>
      </c>
      <c r="BG645" s="21">
        <f t="shared" si="2"/>
        <v>12</v>
      </c>
    </row>
    <row r="646">
      <c r="P646" s="369"/>
      <c r="AI646" s="102"/>
      <c r="AK646" s="428" t="s">
        <v>1084</v>
      </c>
      <c r="AO646" s="86" t="s">
        <v>120</v>
      </c>
      <c r="AP646" s="86" t="s">
        <v>120</v>
      </c>
      <c r="AQ646" s="12"/>
      <c r="AR646" s="86" t="s">
        <v>120</v>
      </c>
      <c r="AS646" s="86" t="s">
        <v>120</v>
      </c>
      <c r="AT646" s="86" t="s">
        <v>120</v>
      </c>
      <c r="AU646" s="12"/>
      <c r="AV646" s="12"/>
      <c r="AW646" s="12"/>
      <c r="AX646" s="12"/>
      <c r="AY646" s="12"/>
      <c r="AZ646" s="12"/>
      <c r="BA646" s="12"/>
      <c r="BB646" s="12"/>
      <c r="BC646" s="12"/>
      <c r="BD646" s="12"/>
      <c r="BF646" s="106" t="str">
        <f t="shared" si="1"/>
        <v>#VALUE!</v>
      </c>
      <c r="BG646" s="21">
        <f t="shared" si="2"/>
        <v>12</v>
      </c>
    </row>
    <row r="647">
      <c r="P647" s="369"/>
      <c r="AI647" s="102"/>
      <c r="AK647" s="428" t="s">
        <v>237</v>
      </c>
      <c r="AO647" s="86" t="s">
        <v>126</v>
      </c>
      <c r="AP647" s="86" t="s">
        <v>129</v>
      </c>
      <c r="AQ647" s="12"/>
      <c r="AR647" s="12"/>
      <c r="AS647" s="12"/>
      <c r="AT647" s="12"/>
      <c r="AU647" s="12"/>
      <c r="AV647" s="12"/>
      <c r="AW647" s="12"/>
      <c r="AX647" s="12"/>
      <c r="AY647" s="12"/>
      <c r="AZ647" s="12"/>
      <c r="BA647" s="12"/>
      <c r="BB647" s="12"/>
      <c r="BC647" s="12"/>
      <c r="BD647" s="12"/>
      <c r="BF647" s="106" t="str">
        <f t="shared" si="1"/>
        <v>#VALUE!</v>
      </c>
      <c r="BG647" s="21">
        <f t="shared" si="2"/>
        <v>12</v>
      </c>
    </row>
    <row r="648">
      <c r="P648" s="369"/>
      <c r="AI648" s="102"/>
      <c r="AK648" s="428" t="s">
        <v>2899</v>
      </c>
      <c r="AO648" s="86" t="s">
        <v>120</v>
      </c>
      <c r="AP648" s="86" t="s">
        <v>122</v>
      </c>
      <c r="AQ648" s="86" t="s">
        <v>120</v>
      </c>
      <c r="AR648" s="86" t="s">
        <v>126</v>
      </c>
      <c r="AS648" s="86" t="s">
        <v>129</v>
      </c>
      <c r="AT648" s="12"/>
      <c r="AU648" s="12"/>
      <c r="AV648" s="12"/>
      <c r="AW648" s="12"/>
      <c r="AX648" s="12"/>
      <c r="AY648" s="12"/>
      <c r="AZ648" s="12"/>
      <c r="BA648" s="12"/>
      <c r="BB648" s="12"/>
      <c r="BC648" s="12"/>
      <c r="BD648" s="12"/>
      <c r="BF648" s="106" t="str">
        <f t="shared" si="1"/>
        <v>#VALUE!</v>
      </c>
      <c r="BG648" s="21">
        <f t="shared" si="2"/>
        <v>12</v>
      </c>
    </row>
    <row r="649">
      <c r="P649" s="161"/>
      <c r="AI649" s="102"/>
      <c r="AK649" s="428" t="s">
        <v>2900</v>
      </c>
      <c r="AO649" s="86" t="s">
        <v>126</v>
      </c>
      <c r="AP649" s="86" t="s">
        <v>120</v>
      </c>
      <c r="AQ649" s="86" t="s">
        <v>120</v>
      </c>
      <c r="AR649" s="86" t="s">
        <v>120</v>
      </c>
      <c r="AS649" s="86" t="s">
        <v>120</v>
      </c>
      <c r="AT649" s="12"/>
      <c r="AU649" s="12"/>
      <c r="AV649" s="12"/>
      <c r="AW649" s="12"/>
      <c r="AX649" s="12"/>
      <c r="AY649" s="12"/>
      <c r="AZ649" s="12"/>
      <c r="BA649" s="12"/>
      <c r="BB649" s="12"/>
      <c r="BC649" s="12"/>
      <c r="BD649" s="12"/>
      <c r="BF649" s="106" t="str">
        <f t="shared" si="1"/>
        <v>#VALUE!</v>
      </c>
      <c r="BG649" s="21">
        <f t="shared" si="2"/>
        <v>12</v>
      </c>
    </row>
    <row r="650">
      <c r="P650" s="161"/>
      <c r="AI650" s="102"/>
      <c r="AK650" s="428" t="s">
        <v>1089</v>
      </c>
      <c r="AO650" s="86" t="s">
        <v>126</v>
      </c>
      <c r="AP650" s="86" t="s">
        <v>120</v>
      </c>
      <c r="AQ650" s="86" t="s">
        <v>120</v>
      </c>
      <c r="AR650" s="86" t="s">
        <v>120</v>
      </c>
      <c r="AS650" s="86" t="s">
        <v>120</v>
      </c>
      <c r="AT650" s="86" t="s">
        <v>126</v>
      </c>
      <c r="AU650" s="86" t="s">
        <v>120</v>
      </c>
      <c r="AV650" s="12"/>
      <c r="AW650" s="12"/>
      <c r="AX650" s="12"/>
      <c r="AY650" s="12"/>
      <c r="AZ650" s="12"/>
      <c r="BA650" s="12"/>
      <c r="BB650" s="12"/>
      <c r="BC650" s="12"/>
      <c r="BD650" s="12"/>
      <c r="BF650" s="106" t="str">
        <f t="shared" si="1"/>
        <v>#VALUE!</v>
      </c>
      <c r="BG650" s="21">
        <f t="shared" si="2"/>
        <v>12</v>
      </c>
    </row>
    <row r="651">
      <c r="P651" s="161"/>
      <c r="AI651" s="102"/>
      <c r="AK651" s="428" t="s">
        <v>239</v>
      </c>
      <c r="AO651" s="86" t="s">
        <v>120</v>
      </c>
      <c r="AP651" s="86" t="s">
        <v>120</v>
      </c>
      <c r="AQ651" s="86" t="s">
        <v>120</v>
      </c>
      <c r="AR651" s="12"/>
      <c r="AS651" s="12"/>
      <c r="AT651" s="12"/>
      <c r="AU651" s="12"/>
      <c r="AV651" s="12"/>
      <c r="AW651" s="12"/>
      <c r="AX651" s="12"/>
      <c r="AY651" s="12"/>
      <c r="AZ651" s="12"/>
      <c r="BA651" s="12"/>
      <c r="BB651" s="12"/>
      <c r="BC651" s="12"/>
      <c r="BD651" s="12"/>
      <c r="BF651" s="106" t="str">
        <f t="shared" si="1"/>
        <v>#VALUE!</v>
      </c>
      <c r="BG651" s="21">
        <f t="shared" si="2"/>
        <v>12</v>
      </c>
    </row>
    <row r="652">
      <c r="P652" s="369"/>
      <c r="AI652" s="102"/>
      <c r="AK652" s="428" t="s">
        <v>2903</v>
      </c>
      <c r="AO652" s="86" t="s">
        <v>120</v>
      </c>
      <c r="AP652" s="86" t="s">
        <v>120</v>
      </c>
      <c r="AQ652" s="86" t="s">
        <v>120</v>
      </c>
      <c r="AR652" s="12"/>
      <c r="AS652" s="12"/>
      <c r="AT652" s="12"/>
      <c r="AU652" s="12"/>
      <c r="AV652" s="12"/>
      <c r="AW652" s="12"/>
      <c r="AX652" s="12"/>
      <c r="AY652" s="12"/>
      <c r="AZ652" s="12"/>
      <c r="BA652" s="12"/>
      <c r="BB652" s="12"/>
      <c r="BC652" s="12"/>
      <c r="BD652" s="12"/>
      <c r="BF652" s="106" t="str">
        <f t="shared" si="1"/>
        <v>#VALUE!</v>
      </c>
      <c r="BG652" s="21">
        <f t="shared" si="2"/>
        <v>12</v>
      </c>
    </row>
    <row r="653">
      <c r="P653" s="161"/>
      <c r="AI653" s="102"/>
      <c r="AK653" s="428" t="s">
        <v>242</v>
      </c>
      <c r="AO653" s="86" t="s">
        <v>120</v>
      </c>
      <c r="AP653" s="86" t="s">
        <v>120</v>
      </c>
      <c r="AQ653" s="86" t="s">
        <v>120</v>
      </c>
      <c r="AR653" s="86" t="s">
        <v>120</v>
      </c>
      <c r="AS653" s="86" t="s">
        <v>120</v>
      </c>
      <c r="AT653" s="12"/>
      <c r="AU653" s="12"/>
      <c r="AV653" s="12"/>
      <c r="AW653" s="12"/>
      <c r="AX653" s="12"/>
      <c r="AY653" s="12"/>
      <c r="AZ653" s="12"/>
      <c r="BA653" s="12"/>
      <c r="BB653" s="12"/>
      <c r="BC653" s="12"/>
      <c r="BD653" s="12"/>
      <c r="BF653" s="106" t="str">
        <f t="shared" si="1"/>
        <v>#VALUE!</v>
      </c>
      <c r="BG653" s="21">
        <f t="shared" si="2"/>
        <v>12</v>
      </c>
    </row>
    <row r="654">
      <c r="P654" s="161"/>
      <c r="AI654" s="102"/>
      <c r="AK654" s="428" t="s">
        <v>2906</v>
      </c>
      <c r="AO654" s="12"/>
      <c r="AP654" s="12"/>
      <c r="AQ654" s="12"/>
      <c r="AR654" s="12"/>
      <c r="AS654" s="12"/>
      <c r="AT654" s="12"/>
      <c r="AU654" s="12"/>
      <c r="AV654" s="12"/>
      <c r="AW654" s="12"/>
      <c r="AX654" s="12"/>
      <c r="AY654" s="12"/>
      <c r="AZ654" s="12"/>
      <c r="BA654" s="12"/>
      <c r="BB654" s="12"/>
      <c r="BC654" s="12"/>
      <c r="BD654" s="12"/>
      <c r="BF654" s="106" t="str">
        <f t="shared" si="1"/>
        <v>#VALUE!</v>
      </c>
      <c r="BG654" s="21">
        <f t="shared" si="2"/>
        <v>12</v>
      </c>
    </row>
    <row r="655">
      <c r="P655" s="161"/>
      <c r="AI655" s="102"/>
      <c r="AK655" s="428" t="s">
        <v>246</v>
      </c>
      <c r="AO655" s="86" t="s">
        <v>126</v>
      </c>
      <c r="AP655" s="86" t="s">
        <v>120</v>
      </c>
      <c r="AQ655" s="86" t="s">
        <v>120</v>
      </c>
      <c r="AR655" s="86" t="s">
        <v>120</v>
      </c>
      <c r="AS655" s="86" t="s">
        <v>120</v>
      </c>
      <c r="AT655" s="12"/>
      <c r="AU655" s="86" t="s">
        <v>120</v>
      </c>
      <c r="AV655" s="12"/>
      <c r="AW655" s="12"/>
      <c r="AX655" s="12"/>
      <c r="AY655" s="12"/>
      <c r="AZ655" s="12"/>
      <c r="BA655" s="12"/>
      <c r="BB655" s="12"/>
      <c r="BC655" s="12"/>
      <c r="BD655" s="12"/>
      <c r="BF655" s="106" t="str">
        <f t="shared" si="1"/>
        <v>#VALUE!</v>
      </c>
      <c r="BG655" s="21">
        <f t="shared" si="2"/>
        <v>12</v>
      </c>
    </row>
    <row r="656">
      <c r="P656" s="161"/>
      <c r="AI656" s="102"/>
      <c r="AK656" s="428" t="s">
        <v>2909</v>
      </c>
      <c r="AO656" s="86" t="s">
        <v>120</v>
      </c>
      <c r="AP656" s="86" t="s">
        <v>120</v>
      </c>
      <c r="AQ656" s="86" t="s">
        <v>126</v>
      </c>
      <c r="AR656" s="12"/>
      <c r="AS656" s="12"/>
      <c r="AT656" s="12"/>
      <c r="AU656" s="12"/>
      <c r="AV656" s="12"/>
      <c r="AW656" s="12"/>
      <c r="AX656" s="12"/>
      <c r="AY656" s="12"/>
      <c r="AZ656" s="12"/>
      <c r="BA656" s="12"/>
      <c r="BB656" s="12"/>
      <c r="BC656" s="12"/>
      <c r="BD656" s="12"/>
      <c r="BF656" s="106" t="str">
        <f t="shared" si="1"/>
        <v>#VALUE!</v>
      </c>
      <c r="BG656" s="21">
        <f t="shared" si="2"/>
        <v>12</v>
      </c>
    </row>
    <row r="657">
      <c r="P657" s="369"/>
      <c r="AI657" s="102"/>
      <c r="AK657" s="428" t="s">
        <v>247</v>
      </c>
      <c r="AO657" s="86" t="s">
        <v>126</v>
      </c>
      <c r="AP657" s="86" t="s">
        <v>127</v>
      </c>
      <c r="AQ657" s="86" t="s">
        <v>120</v>
      </c>
      <c r="AR657" s="86" t="s">
        <v>120</v>
      </c>
      <c r="AS657" s="86" t="s">
        <v>120</v>
      </c>
      <c r="AT657" s="86" t="s">
        <v>120</v>
      </c>
      <c r="AU657" s="12"/>
      <c r="AV657" s="12"/>
      <c r="AW657" s="12"/>
      <c r="AX657" s="12"/>
      <c r="AY657" s="12"/>
      <c r="AZ657" s="12"/>
      <c r="BA657" s="12"/>
      <c r="BB657" s="12"/>
      <c r="BC657" s="12"/>
      <c r="BD657" s="12"/>
      <c r="BF657" s="106" t="str">
        <f t="shared" si="1"/>
        <v>#VALUE!</v>
      </c>
      <c r="BG657" s="21">
        <f t="shared" si="2"/>
        <v>12</v>
      </c>
    </row>
    <row r="658">
      <c r="P658" s="161"/>
      <c r="AI658" s="102"/>
      <c r="AK658" s="428" t="s">
        <v>2913</v>
      </c>
      <c r="AL658" s="246" t="s">
        <v>2914</v>
      </c>
      <c r="AO658" s="86" t="s">
        <v>120</v>
      </c>
      <c r="AP658" s="12"/>
      <c r="AQ658" s="12"/>
      <c r="AR658" s="12"/>
      <c r="AS658" s="12"/>
      <c r="AT658" s="12"/>
      <c r="AU658" s="12"/>
      <c r="AV658" s="12"/>
      <c r="AW658" s="12"/>
      <c r="AX658" s="12"/>
      <c r="AY658" s="12"/>
      <c r="AZ658" s="12"/>
      <c r="BA658" s="12"/>
      <c r="BB658" s="12"/>
      <c r="BC658" s="12"/>
      <c r="BD658" s="12"/>
      <c r="BF658" s="106" t="str">
        <f t="shared" si="1"/>
        <v>#VALUE!</v>
      </c>
      <c r="BG658" s="21">
        <f t="shared" si="2"/>
        <v>12</v>
      </c>
    </row>
    <row r="659">
      <c r="P659" s="369"/>
      <c r="AI659" s="102"/>
      <c r="AK659" s="428" t="s">
        <v>252</v>
      </c>
      <c r="AO659" s="86" t="s">
        <v>122</v>
      </c>
      <c r="AP659" s="86" t="s">
        <v>120</v>
      </c>
      <c r="AQ659" s="86" t="s">
        <v>120</v>
      </c>
      <c r="AR659" s="86" t="s">
        <v>120</v>
      </c>
      <c r="AS659" s="86" t="s">
        <v>120</v>
      </c>
      <c r="AT659" s="86" t="s">
        <v>120</v>
      </c>
      <c r="AU659" s="86" t="s">
        <v>120</v>
      </c>
      <c r="AV659" s="12"/>
      <c r="AW659" s="12"/>
      <c r="AX659" s="12"/>
      <c r="AY659" s="12"/>
      <c r="AZ659" s="12"/>
      <c r="BA659" s="12"/>
      <c r="BB659" s="12"/>
      <c r="BC659" s="12"/>
      <c r="BD659" s="12"/>
      <c r="BF659" s="106" t="str">
        <f t="shared" si="1"/>
        <v>#VALUE!</v>
      </c>
      <c r="BG659" s="21">
        <f t="shared" si="2"/>
        <v>12</v>
      </c>
    </row>
    <row r="660">
      <c r="P660" s="161"/>
      <c r="AI660" s="102"/>
      <c r="AK660" s="428" t="s">
        <v>254</v>
      </c>
      <c r="AO660" s="86" t="s">
        <v>120</v>
      </c>
      <c r="AP660" s="86" t="s">
        <v>120</v>
      </c>
      <c r="AQ660" s="12"/>
      <c r="AR660" s="12"/>
      <c r="AS660" s="12"/>
      <c r="AT660" s="12"/>
      <c r="AU660" s="12"/>
      <c r="AV660" s="12"/>
      <c r="AW660" s="12"/>
      <c r="AX660" s="12"/>
      <c r="AY660" s="12"/>
      <c r="AZ660" s="12"/>
      <c r="BA660" s="12"/>
      <c r="BB660" s="12"/>
      <c r="BC660" s="12"/>
      <c r="BD660" s="12"/>
      <c r="BF660" s="106" t="str">
        <f t="shared" si="1"/>
        <v>#VALUE!</v>
      </c>
      <c r="BG660" s="21">
        <f t="shared" si="2"/>
        <v>12</v>
      </c>
    </row>
    <row r="661">
      <c r="P661" s="431"/>
      <c r="AI661" s="102"/>
      <c r="AK661" s="428" t="s">
        <v>260</v>
      </c>
      <c r="AO661" s="86" t="s">
        <v>120</v>
      </c>
      <c r="AP661" s="86" t="s">
        <v>120</v>
      </c>
      <c r="AQ661" s="86" t="s">
        <v>120</v>
      </c>
      <c r="AR661" s="86" t="s">
        <v>120</v>
      </c>
      <c r="AS661" s="86" t="s">
        <v>129</v>
      </c>
      <c r="AT661" s="12"/>
      <c r="AU661" s="12"/>
      <c r="AV661" s="12"/>
      <c r="AW661" s="12"/>
      <c r="AX661" s="12"/>
      <c r="AY661" s="12"/>
      <c r="AZ661" s="12"/>
      <c r="BA661" s="12"/>
      <c r="BB661" s="12"/>
      <c r="BC661" s="12"/>
      <c r="BD661" s="12"/>
      <c r="BF661" s="106" t="str">
        <f t="shared" si="1"/>
        <v>#VALUE!</v>
      </c>
      <c r="BG661" s="21">
        <f t="shared" si="2"/>
        <v>12</v>
      </c>
    </row>
    <row r="662">
      <c r="P662" s="161"/>
      <c r="AI662" s="102"/>
      <c r="AK662" s="428" t="s">
        <v>255</v>
      </c>
      <c r="AL662" s="246" t="s">
        <v>2917</v>
      </c>
      <c r="AO662" s="86" t="s">
        <v>120</v>
      </c>
      <c r="AP662" s="86" t="s">
        <v>120</v>
      </c>
      <c r="AQ662" s="86" t="s">
        <v>120</v>
      </c>
      <c r="AR662" s="12"/>
      <c r="AS662" s="86" t="s">
        <v>120</v>
      </c>
      <c r="AT662" s="86" t="s">
        <v>120</v>
      </c>
      <c r="AU662" s="86" t="s">
        <v>120</v>
      </c>
      <c r="AV662" s="12"/>
      <c r="AW662" s="86" t="s">
        <v>126</v>
      </c>
      <c r="AX662" s="12"/>
      <c r="AY662" s="12"/>
      <c r="AZ662" s="12"/>
      <c r="BA662" s="12"/>
      <c r="BB662" s="12"/>
      <c r="BC662" s="12"/>
      <c r="BD662" s="12"/>
      <c r="BF662" s="106" t="str">
        <f t="shared" si="1"/>
        <v>#VALUE!</v>
      </c>
      <c r="BG662" s="21">
        <f t="shared" si="2"/>
        <v>12</v>
      </c>
    </row>
    <row r="663">
      <c r="P663" s="161"/>
      <c r="AI663" s="102"/>
      <c r="AK663" s="428" t="s">
        <v>2919</v>
      </c>
      <c r="AO663" s="86" t="s">
        <v>120</v>
      </c>
      <c r="AP663" s="86" t="s">
        <v>120</v>
      </c>
      <c r="AQ663" s="86" t="s">
        <v>129</v>
      </c>
      <c r="AR663" s="12"/>
      <c r="AS663" s="12"/>
      <c r="AT663" s="12"/>
      <c r="AU663" s="12"/>
      <c r="AV663" s="12"/>
      <c r="AW663" s="12"/>
      <c r="AX663" s="12"/>
      <c r="AY663" s="12"/>
      <c r="AZ663" s="12"/>
      <c r="BA663" s="12"/>
      <c r="BB663" s="12"/>
      <c r="BC663" s="12"/>
      <c r="BD663" s="12"/>
      <c r="BF663" s="106" t="str">
        <f t="shared" si="1"/>
        <v>#VALUE!</v>
      </c>
      <c r="BG663" s="21">
        <f t="shared" si="2"/>
        <v>12</v>
      </c>
    </row>
    <row r="664">
      <c r="P664" s="161"/>
      <c r="AI664" s="102"/>
      <c r="AK664" s="428" t="s">
        <v>263</v>
      </c>
      <c r="AO664" s="86" t="s">
        <v>120</v>
      </c>
      <c r="AP664" s="86" t="s">
        <v>120</v>
      </c>
      <c r="AQ664" s="86" t="s">
        <v>120</v>
      </c>
      <c r="AR664" s="86" t="s">
        <v>120</v>
      </c>
      <c r="AS664" s="86" t="s">
        <v>120</v>
      </c>
      <c r="AT664" s="12"/>
      <c r="AU664" s="12"/>
      <c r="AV664" s="12"/>
      <c r="AW664" s="12"/>
      <c r="AX664" s="12"/>
      <c r="AY664" s="12"/>
      <c r="AZ664" s="12"/>
      <c r="BA664" s="12"/>
      <c r="BB664" s="12"/>
      <c r="BC664" s="12"/>
      <c r="BD664" s="12"/>
      <c r="BF664" s="106" t="str">
        <f t="shared" si="1"/>
        <v>#VALUE!</v>
      </c>
      <c r="BG664" s="21">
        <f t="shared" si="2"/>
        <v>12</v>
      </c>
    </row>
    <row r="665">
      <c r="P665" s="369"/>
      <c r="AI665" s="102"/>
      <c r="AK665" s="428" t="s">
        <v>1101</v>
      </c>
      <c r="AO665" s="86" t="s">
        <v>120</v>
      </c>
      <c r="AP665" s="86" t="s">
        <v>120</v>
      </c>
      <c r="AQ665" s="86" t="s">
        <v>120</v>
      </c>
      <c r="AR665" s="86" t="s">
        <v>120</v>
      </c>
      <c r="AS665" s="86" t="s">
        <v>120</v>
      </c>
      <c r="AT665" s="86" t="s">
        <v>120</v>
      </c>
      <c r="AU665" s="86" t="s">
        <v>120</v>
      </c>
      <c r="AV665" s="12"/>
      <c r="AW665" s="86" t="s">
        <v>120</v>
      </c>
      <c r="AX665" s="12"/>
      <c r="AY665" s="12"/>
      <c r="AZ665" s="12"/>
      <c r="BA665" s="12"/>
      <c r="BB665" s="12"/>
      <c r="BC665" s="12"/>
      <c r="BD665" s="12"/>
      <c r="BF665" s="106" t="str">
        <f t="shared" si="1"/>
        <v>#VALUE!</v>
      </c>
      <c r="BG665" s="21">
        <f t="shared" si="2"/>
        <v>12</v>
      </c>
    </row>
    <row r="666">
      <c r="P666" s="369"/>
      <c r="AI666" s="102"/>
      <c r="AK666" s="428" t="s">
        <v>1103</v>
      </c>
      <c r="AO666" s="86" t="s">
        <v>120</v>
      </c>
      <c r="AP666" s="86" t="s">
        <v>120</v>
      </c>
      <c r="AQ666" s="86" t="s">
        <v>120</v>
      </c>
      <c r="AR666" s="86" t="s">
        <v>120</v>
      </c>
      <c r="AS666" s="86" t="s">
        <v>120</v>
      </c>
      <c r="AT666" s="86" t="s">
        <v>120</v>
      </c>
      <c r="AU666" s="12"/>
      <c r="AV666" s="12"/>
      <c r="AW666" s="12"/>
      <c r="AX666" s="12"/>
      <c r="AY666" s="12"/>
      <c r="AZ666" s="12"/>
      <c r="BA666" s="12"/>
      <c r="BB666" s="12"/>
      <c r="BC666" s="12"/>
      <c r="BD666" s="12"/>
      <c r="BF666" s="106" t="str">
        <f t="shared" si="1"/>
        <v>#VALUE!</v>
      </c>
      <c r="BG666" s="21">
        <f t="shared" si="2"/>
        <v>12</v>
      </c>
    </row>
    <row r="667">
      <c r="P667" s="161"/>
      <c r="AI667" s="102"/>
      <c r="AK667" s="428" t="s">
        <v>1105</v>
      </c>
      <c r="AL667" s="86" t="s">
        <v>2922</v>
      </c>
      <c r="AO667" s="86" t="s">
        <v>120</v>
      </c>
      <c r="AP667" s="86" t="s">
        <v>126</v>
      </c>
      <c r="AQ667" s="86" t="s">
        <v>120</v>
      </c>
      <c r="AR667" s="12"/>
      <c r="AS667" s="12"/>
      <c r="AT667" s="12"/>
      <c r="AU667" s="12"/>
      <c r="AV667" s="12"/>
      <c r="AW667" s="12"/>
      <c r="AX667" s="12"/>
      <c r="AY667" s="12"/>
      <c r="AZ667" s="12"/>
      <c r="BA667" s="12"/>
      <c r="BB667" s="12"/>
      <c r="BC667" s="12"/>
      <c r="BD667" s="12"/>
      <c r="BF667" s="106" t="str">
        <f t="shared" si="1"/>
        <v>#VALUE!</v>
      </c>
      <c r="BG667" s="21">
        <f t="shared" si="2"/>
        <v>12</v>
      </c>
    </row>
    <row r="668">
      <c r="P668" s="369"/>
      <c r="AI668" s="102"/>
      <c r="AK668" s="428" t="s">
        <v>2923</v>
      </c>
      <c r="AL668" s="86" t="s">
        <v>2924</v>
      </c>
      <c r="AO668" s="86" t="s">
        <v>120</v>
      </c>
      <c r="AP668" s="12"/>
      <c r="AQ668" s="12"/>
      <c r="AR668" s="12"/>
      <c r="AS668" s="12"/>
      <c r="AT668" s="12"/>
      <c r="AU668" s="12"/>
      <c r="AV668" s="12"/>
      <c r="AW668" s="12"/>
      <c r="AX668" s="12"/>
      <c r="AY668" s="12"/>
      <c r="AZ668" s="12"/>
      <c r="BA668" s="12"/>
      <c r="BB668" s="12"/>
      <c r="BC668" s="12"/>
      <c r="BD668" s="12"/>
      <c r="BF668" s="106" t="str">
        <f t="shared" si="1"/>
        <v>#VALUE!</v>
      </c>
      <c r="BG668" s="21">
        <f t="shared" si="2"/>
        <v>12</v>
      </c>
    </row>
    <row r="669">
      <c r="P669" s="161"/>
      <c r="AI669" s="102"/>
      <c r="AK669" s="428" t="s">
        <v>266</v>
      </c>
      <c r="AO669" s="86" t="s">
        <v>120</v>
      </c>
      <c r="AP669" s="86" t="s">
        <v>120</v>
      </c>
      <c r="AQ669" s="86" t="s">
        <v>120</v>
      </c>
      <c r="AR669" s="86" t="s">
        <v>120</v>
      </c>
      <c r="AS669" s="86" t="s">
        <v>120</v>
      </c>
      <c r="AT669" s="12"/>
      <c r="AU669" s="12"/>
      <c r="AV669" s="12"/>
      <c r="AW669" s="12"/>
      <c r="AX669" s="12"/>
      <c r="AY669" s="12"/>
      <c r="AZ669" s="12"/>
      <c r="BA669" s="12"/>
      <c r="BB669" s="12"/>
      <c r="BC669" s="12"/>
      <c r="BD669" s="12"/>
      <c r="BF669" s="106" t="str">
        <f t="shared" si="1"/>
        <v>#VALUE!</v>
      </c>
      <c r="BG669" s="21">
        <f t="shared" si="2"/>
        <v>12</v>
      </c>
    </row>
    <row r="670">
      <c r="P670" s="161"/>
      <c r="AI670" s="102"/>
      <c r="AK670" s="428" t="s">
        <v>274</v>
      </c>
      <c r="AL670" s="86" t="s">
        <v>2927</v>
      </c>
      <c r="AO670" s="86" t="s">
        <v>126</v>
      </c>
      <c r="AP670" s="12"/>
      <c r="AQ670" s="12"/>
      <c r="AR670" s="12"/>
      <c r="AS670" s="12"/>
      <c r="AT670" s="12"/>
      <c r="AU670" s="12"/>
      <c r="AV670" s="12"/>
      <c r="AW670" s="12"/>
      <c r="AX670" s="12"/>
      <c r="AY670" s="12"/>
      <c r="AZ670" s="12"/>
      <c r="BA670" s="12"/>
      <c r="BB670" s="12"/>
      <c r="BC670" s="12"/>
      <c r="BD670" s="12"/>
      <c r="BF670" s="106" t="str">
        <f t="shared" si="1"/>
        <v>#VALUE!</v>
      </c>
      <c r="BG670" s="21">
        <f t="shared" si="2"/>
        <v>12</v>
      </c>
    </row>
    <row r="671">
      <c r="P671" s="369"/>
      <c r="AI671" s="102"/>
      <c r="AK671" s="428" t="s">
        <v>1114</v>
      </c>
      <c r="AO671" s="86" t="s">
        <v>120</v>
      </c>
      <c r="AP671" s="86" t="s">
        <v>120</v>
      </c>
      <c r="AQ671" s="86" t="s">
        <v>120</v>
      </c>
      <c r="AR671" s="86" t="s">
        <v>120</v>
      </c>
      <c r="AS671" s="86" t="s">
        <v>129</v>
      </c>
      <c r="AT671" s="12"/>
      <c r="AU671" s="12"/>
      <c r="AV671" s="12"/>
      <c r="AW671" s="12"/>
      <c r="AX671" s="12"/>
      <c r="AY671" s="12"/>
      <c r="AZ671" s="12"/>
      <c r="BA671" s="12"/>
      <c r="BB671" s="12"/>
      <c r="BC671" s="12"/>
      <c r="BD671" s="12"/>
      <c r="BF671" s="106" t="str">
        <f t="shared" si="1"/>
        <v>#VALUE!</v>
      </c>
      <c r="BG671" s="21">
        <f t="shared" si="2"/>
        <v>12</v>
      </c>
    </row>
    <row r="672">
      <c r="P672" s="161"/>
      <c r="AI672" s="102"/>
      <c r="AK672" s="428" t="s">
        <v>2931</v>
      </c>
      <c r="AL672" s="246" t="s">
        <v>2932</v>
      </c>
      <c r="AO672" s="86" t="s">
        <v>120</v>
      </c>
      <c r="AP672" s="86" t="s">
        <v>120</v>
      </c>
      <c r="AQ672" s="86" t="s">
        <v>120</v>
      </c>
      <c r="AR672" s="86" t="s">
        <v>120</v>
      </c>
      <c r="AS672" s="12"/>
      <c r="AT672" s="12"/>
      <c r="AU672" s="12"/>
      <c r="AV672" s="12"/>
      <c r="AW672" s="12"/>
      <c r="AX672" s="12"/>
      <c r="AY672" s="12"/>
      <c r="AZ672" s="12"/>
      <c r="BA672" s="12"/>
      <c r="BB672" s="12"/>
      <c r="BC672" s="12"/>
      <c r="BD672" s="12"/>
      <c r="BF672" s="106" t="str">
        <f t="shared" si="1"/>
        <v>#VALUE!</v>
      </c>
      <c r="BG672" s="21">
        <f t="shared" si="2"/>
        <v>12</v>
      </c>
    </row>
    <row r="673">
      <c r="P673" s="161"/>
      <c r="AI673" s="102"/>
      <c r="AK673" s="428" t="s">
        <v>2934</v>
      </c>
      <c r="AO673" s="86" t="s">
        <v>120</v>
      </c>
      <c r="AP673" s="86" t="s">
        <v>120</v>
      </c>
      <c r="AQ673" s="86" t="s">
        <v>126</v>
      </c>
      <c r="AR673" s="12"/>
      <c r="AS673" s="12"/>
      <c r="AT673" s="12"/>
      <c r="AU673" s="12"/>
      <c r="AV673" s="12"/>
      <c r="AW673" s="12"/>
      <c r="AX673" s="12"/>
      <c r="AY673" s="12"/>
      <c r="AZ673" s="12"/>
      <c r="BA673" s="12"/>
      <c r="BB673" s="12"/>
      <c r="BC673" s="12"/>
      <c r="BD673" s="12"/>
      <c r="BF673" s="106" t="str">
        <f t="shared" si="1"/>
        <v>#VALUE!</v>
      </c>
      <c r="BG673" s="21">
        <f t="shared" si="2"/>
        <v>12</v>
      </c>
    </row>
    <row r="674">
      <c r="P674" s="161"/>
      <c r="AI674" s="102"/>
      <c r="AK674" s="428" t="s">
        <v>2935</v>
      </c>
      <c r="AO674" s="86" t="s">
        <v>120</v>
      </c>
      <c r="AP674" s="86" t="s">
        <v>120</v>
      </c>
      <c r="AQ674" s="86" t="s">
        <v>129</v>
      </c>
      <c r="AR674" s="12"/>
      <c r="AS674" s="12"/>
      <c r="AT674" s="12"/>
      <c r="AU674" s="12"/>
      <c r="AV674" s="12"/>
      <c r="AW674" s="12"/>
      <c r="AX674" s="12"/>
      <c r="AY674" s="12"/>
      <c r="AZ674" s="12"/>
      <c r="BA674" s="12"/>
      <c r="BB674" s="12"/>
      <c r="BC674" s="12"/>
      <c r="BD674" s="12"/>
      <c r="BF674" s="106" t="str">
        <f t="shared" si="1"/>
        <v>#VALUE!</v>
      </c>
      <c r="BG674" s="21">
        <f t="shared" si="2"/>
        <v>12</v>
      </c>
    </row>
    <row r="675">
      <c r="P675" s="161"/>
      <c r="AI675" s="102"/>
      <c r="AK675" s="428" t="s">
        <v>2939</v>
      </c>
      <c r="AO675" s="86" t="s">
        <v>120</v>
      </c>
      <c r="AP675" s="86" t="s">
        <v>120</v>
      </c>
      <c r="AQ675" s="86" t="s">
        <v>120</v>
      </c>
      <c r="AR675" s="86" t="s">
        <v>120</v>
      </c>
      <c r="AS675" s="86" t="s">
        <v>120</v>
      </c>
      <c r="AT675" s="86" t="s">
        <v>129</v>
      </c>
      <c r="AU675" s="12"/>
      <c r="AV675" s="12"/>
      <c r="AW675" s="12"/>
      <c r="AX675" s="12"/>
      <c r="AY675" s="12"/>
      <c r="AZ675" s="12"/>
      <c r="BA675" s="12"/>
      <c r="BB675" s="12"/>
      <c r="BC675" s="12"/>
      <c r="BD675" s="12"/>
      <c r="BF675" s="106" t="str">
        <f t="shared" si="1"/>
        <v>#VALUE!</v>
      </c>
      <c r="BG675" s="21">
        <f t="shared" si="2"/>
        <v>12</v>
      </c>
    </row>
    <row r="676">
      <c r="P676" s="369"/>
      <c r="AI676" s="102"/>
      <c r="AK676" s="428" t="s">
        <v>276</v>
      </c>
      <c r="AO676" s="86" t="s">
        <v>120</v>
      </c>
      <c r="AP676" s="86" t="s">
        <v>120</v>
      </c>
      <c r="AQ676" s="86" t="s">
        <v>120</v>
      </c>
      <c r="AR676" s="12"/>
      <c r="AS676" s="12"/>
      <c r="AT676" s="12"/>
      <c r="AU676" s="12"/>
      <c r="AV676" s="12"/>
      <c r="AW676" s="12"/>
      <c r="AX676" s="12"/>
      <c r="AY676" s="12"/>
      <c r="AZ676" s="12"/>
      <c r="BA676" s="12"/>
      <c r="BB676" s="12"/>
      <c r="BC676" s="12"/>
      <c r="BD676" s="12"/>
      <c r="BF676" s="106" t="str">
        <f t="shared" si="1"/>
        <v>#VALUE!</v>
      </c>
      <c r="BG676" s="21">
        <f t="shared" si="2"/>
        <v>12</v>
      </c>
    </row>
    <row r="677">
      <c r="P677" s="161"/>
      <c r="AI677" s="102"/>
      <c r="AK677" s="428" t="s">
        <v>2941</v>
      </c>
      <c r="AO677" s="86" t="s">
        <v>120</v>
      </c>
      <c r="AP677" s="86" t="s">
        <v>120</v>
      </c>
      <c r="AQ677" s="86" t="s">
        <v>120</v>
      </c>
      <c r="AR677" s="12"/>
      <c r="AS677" s="12"/>
      <c r="AT677" s="12"/>
      <c r="AU677" s="12"/>
      <c r="AV677" s="12"/>
      <c r="AW677" s="12"/>
      <c r="AX677" s="12"/>
      <c r="AY677" s="12"/>
      <c r="AZ677" s="12"/>
      <c r="BA677" s="12"/>
      <c r="BB677" s="12"/>
      <c r="BC677" s="12"/>
      <c r="BD677" s="12"/>
      <c r="BF677" s="106" t="str">
        <f t="shared" si="1"/>
        <v>#VALUE!</v>
      </c>
      <c r="BG677" s="21">
        <f t="shared" si="2"/>
        <v>12</v>
      </c>
    </row>
    <row r="678">
      <c r="P678" s="161"/>
      <c r="AI678" s="102"/>
      <c r="AK678" s="428" t="s">
        <v>2944</v>
      </c>
      <c r="AO678" s="86" t="s">
        <v>120</v>
      </c>
      <c r="AP678" s="86" t="s">
        <v>120</v>
      </c>
      <c r="AQ678" s="86" t="s">
        <v>120</v>
      </c>
      <c r="AR678" s="12"/>
      <c r="AS678" s="12"/>
      <c r="AT678" s="12"/>
      <c r="AU678" s="12"/>
      <c r="AV678" s="12"/>
      <c r="AW678" s="12"/>
      <c r="AX678" s="12"/>
      <c r="AY678" s="12"/>
      <c r="AZ678" s="12"/>
      <c r="BA678" s="12"/>
      <c r="BB678" s="12"/>
      <c r="BC678" s="12"/>
      <c r="BD678" s="12"/>
      <c r="BF678" s="106" t="str">
        <f t="shared" si="1"/>
        <v>#VALUE!</v>
      </c>
      <c r="BG678" s="21">
        <f t="shared" si="2"/>
        <v>12</v>
      </c>
    </row>
    <row r="679">
      <c r="P679" s="369"/>
      <c r="AI679" s="102"/>
      <c r="AK679" s="428" t="s">
        <v>1117</v>
      </c>
      <c r="AL679" s="86" t="s">
        <v>2948</v>
      </c>
      <c r="AO679" s="86" t="s">
        <v>120</v>
      </c>
      <c r="AP679" s="86" t="s">
        <v>120</v>
      </c>
      <c r="AQ679" s="86" t="s">
        <v>120</v>
      </c>
      <c r="AR679" s="86" t="s">
        <v>129</v>
      </c>
      <c r="AS679" s="12"/>
      <c r="AT679" s="12"/>
      <c r="AU679" s="12"/>
      <c r="AV679" s="12"/>
      <c r="AW679" s="12"/>
      <c r="AX679" s="12"/>
      <c r="AY679" s="12"/>
      <c r="AZ679" s="12"/>
      <c r="BA679" s="12"/>
      <c r="BB679" s="12"/>
      <c r="BC679" s="12"/>
      <c r="BD679" s="12"/>
      <c r="BF679" s="106" t="str">
        <f t="shared" si="1"/>
        <v>#VALUE!</v>
      </c>
      <c r="BG679" s="21">
        <f t="shared" si="2"/>
        <v>12</v>
      </c>
    </row>
    <row r="680">
      <c r="P680" s="161"/>
      <c r="AI680" s="102"/>
      <c r="AK680" s="428" t="s">
        <v>2949</v>
      </c>
      <c r="AO680" s="86" t="s">
        <v>120</v>
      </c>
      <c r="AP680" s="86" t="s">
        <v>120</v>
      </c>
      <c r="AQ680" s="86" t="s">
        <v>120</v>
      </c>
      <c r="AR680" s="86" t="s">
        <v>120</v>
      </c>
      <c r="AS680" s="86" t="s">
        <v>120</v>
      </c>
      <c r="AT680" s="12"/>
      <c r="AU680" s="12"/>
      <c r="AV680" s="12"/>
      <c r="AW680" s="12"/>
      <c r="AX680" s="12"/>
      <c r="AY680" s="12"/>
      <c r="AZ680" s="12"/>
      <c r="BA680" s="12"/>
      <c r="BB680" s="12"/>
      <c r="BC680" s="12"/>
      <c r="BD680" s="12"/>
      <c r="BF680" s="106" t="str">
        <f t="shared" si="1"/>
        <v>#VALUE!</v>
      </c>
      <c r="BG680" s="21">
        <f t="shared" si="2"/>
        <v>12</v>
      </c>
    </row>
    <row r="681">
      <c r="P681" s="161"/>
      <c r="AI681" s="102"/>
      <c r="AK681" s="428" t="s">
        <v>2951</v>
      </c>
      <c r="AO681" s="86" t="s">
        <v>120</v>
      </c>
      <c r="AP681" s="12"/>
      <c r="AQ681" s="12"/>
      <c r="AR681" s="12"/>
      <c r="AS681" s="12"/>
      <c r="AT681" s="12"/>
      <c r="AU681" s="12"/>
      <c r="AV681" s="12"/>
      <c r="AW681" s="12"/>
      <c r="AX681" s="12"/>
      <c r="AY681" s="12"/>
      <c r="AZ681" s="12"/>
      <c r="BA681" s="12"/>
      <c r="BB681" s="12"/>
      <c r="BC681" s="12"/>
      <c r="BD681" s="12"/>
      <c r="BF681" s="106" t="str">
        <f t="shared" si="1"/>
        <v>#VALUE!</v>
      </c>
      <c r="BG681" s="21">
        <f t="shared" si="2"/>
        <v>12</v>
      </c>
    </row>
    <row r="682">
      <c r="P682" s="161"/>
      <c r="AI682" s="102"/>
      <c r="AK682" s="428" t="s">
        <v>280</v>
      </c>
      <c r="AO682" s="86" t="s">
        <v>120</v>
      </c>
      <c r="AP682" s="86" t="s">
        <v>120</v>
      </c>
      <c r="AQ682" s="86" t="s">
        <v>120</v>
      </c>
      <c r="AR682" s="86" t="s">
        <v>120</v>
      </c>
      <c r="AS682" s="86" t="s">
        <v>120</v>
      </c>
      <c r="AT682" s="12"/>
      <c r="AU682" s="12"/>
      <c r="AV682" s="12"/>
      <c r="AW682" s="12"/>
      <c r="AX682" s="12"/>
      <c r="AY682" s="12"/>
      <c r="AZ682" s="12"/>
      <c r="BA682" s="12"/>
      <c r="BB682" s="12"/>
      <c r="BC682" s="12"/>
      <c r="BD682" s="12"/>
      <c r="BF682" s="106" t="str">
        <f t="shared" si="1"/>
        <v>#VALUE!</v>
      </c>
      <c r="BG682" s="21">
        <f t="shared" si="2"/>
        <v>12</v>
      </c>
    </row>
    <row r="683">
      <c r="P683" s="161"/>
      <c r="AI683" s="102"/>
      <c r="AK683" s="428" t="s">
        <v>283</v>
      </c>
      <c r="AO683" s="86" t="s">
        <v>120</v>
      </c>
      <c r="AP683" s="86" t="s">
        <v>120</v>
      </c>
      <c r="AQ683" s="86" t="s">
        <v>126</v>
      </c>
      <c r="AR683" s="86" t="s">
        <v>129</v>
      </c>
      <c r="AS683" s="12"/>
      <c r="AT683" s="12"/>
      <c r="AU683" s="12"/>
      <c r="AV683" s="12"/>
      <c r="AW683" s="12"/>
      <c r="AX683" s="12"/>
      <c r="AY683" s="12"/>
      <c r="AZ683" s="12"/>
      <c r="BA683" s="12"/>
      <c r="BB683" s="12"/>
      <c r="BC683" s="12"/>
      <c r="BD683" s="12"/>
      <c r="BF683" s="106" t="str">
        <f t="shared" si="1"/>
        <v>#VALUE!</v>
      </c>
      <c r="BG683" s="21">
        <f t="shared" si="2"/>
        <v>12</v>
      </c>
    </row>
    <row r="684">
      <c r="P684" s="369"/>
      <c r="AI684" s="102"/>
      <c r="AK684" s="428" t="s">
        <v>288</v>
      </c>
      <c r="AO684" s="86" t="s">
        <v>124</v>
      </c>
      <c r="AP684" s="86" t="s">
        <v>120</v>
      </c>
      <c r="AQ684" s="86" t="s">
        <v>126</v>
      </c>
      <c r="AR684" s="86" t="s">
        <v>120</v>
      </c>
      <c r="AS684" s="86" t="s">
        <v>129</v>
      </c>
      <c r="AT684" s="12"/>
      <c r="AU684" s="12"/>
      <c r="AV684" s="12"/>
      <c r="AW684" s="12"/>
      <c r="AX684" s="12"/>
      <c r="AY684" s="12"/>
      <c r="AZ684" s="12"/>
      <c r="BA684" s="12"/>
      <c r="BB684" s="12"/>
      <c r="BC684" s="12"/>
      <c r="BD684" s="12"/>
      <c r="BF684" s="106" t="str">
        <f t="shared" si="1"/>
        <v>#VALUE!</v>
      </c>
      <c r="BG684" s="21">
        <f t="shared" si="2"/>
        <v>12</v>
      </c>
    </row>
    <row r="685">
      <c r="P685" s="161"/>
      <c r="AI685" s="102"/>
      <c r="AK685" s="428" t="s">
        <v>2956</v>
      </c>
      <c r="AO685" s="86" t="s">
        <v>120</v>
      </c>
      <c r="AP685" s="86" t="s">
        <v>120</v>
      </c>
      <c r="AQ685" s="86" t="s">
        <v>120</v>
      </c>
      <c r="AR685" s="86" t="s">
        <v>120</v>
      </c>
      <c r="AS685" s="86" t="s">
        <v>120</v>
      </c>
      <c r="AT685" s="86" t="s">
        <v>120</v>
      </c>
      <c r="AU685" s="12"/>
      <c r="AV685" s="12"/>
      <c r="AW685" s="12"/>
      <c r="AX685" s="12"/>
      <c r="AY685" s="12"/>
      <c r="AZ685" s="12"/>
      <c r="BA685" s="12"/>
      <c r="BB685" s="12"/>
      <c r="BC685" s="12"/>
      <c r="BD685" s="12"/>
      <c r="BF685" s="106" t="str">
        <f t="shared" si="1"/>
        <v>#VALUE!</v>
      </c>
      <c r="BG685" s="21">
        <f t="shared" si="2"/>
        <v>12</v>
      </c>
    </row>
    <row r="686">
      <c r="P686" s="161"/>
      <c r="AI686" s="102"/>
      <c r="AK686" s="428" t="s">
        <v>2959</v>
      </c>
      <c r="AL686" s="246" t="s">
        <v>2960</v>
      </c>
      <c r="AO686" s="86" t="s">
        <v>124</v>
      </c>
      <c r="AP686" s="468" t="s">
        <v>120</v>
      </c>
      <c r="AQ686" s="12"/>
      <c r="AR686" s="12"/>
      <c r="AS686" s="12"/>
      <c r="AT686" s="12"/>
      <c r="AU686" s="12"/>
      <c r="AV686" s="12"/>
      <c r="AW686" s="12"/>
      <c r="AX686" s="12"/>
      <c r="AY686" s="12"/>
      <c r="AZ686" s="12"/>
      <c r="BA686" s="12"/>
      <c r="BB686" s="12"/>
      <c r="BC686" s="12"/>
      <c r="BD686" s="12"/>
      <c r="BF686" s="106" t="str">
        <f t="shared" si="1"/>
        <v>#VALUE!</v>
      </c>
      <c r="BG686" s="21">
        <f t="shared" si="2"/>
        <v>12</v>
      </c>
    </row>
    <row r="687">
      <c r="P687" s="161"/>
      <c r="AI687" s="102"/>
      <c r="AK687" s="428" t="s">
        <v>291</v>
      </c>
      <c r="AO687" s="86" t="s">
        <v>120</v>
      </c>
      <c r="AP687" s="86" t="s">
        <v>120</v>
      </c>
      <c r="AQ687" s="86" t="s">
        <v>120</v>
      </c>
      <c r="AR687" s="86" t="s">
        <v>120</v>
      </c>
      <c r="AS687" s="86" t="s">
        <v>120</v>
      </c>
      <c r="AT687" s="12"/>
      <c r="AU687" s="12"/>
      <c r="AV687" s="12"/>
      <c r="AW687" s="12"/>
      <c r="AX687" s="12"/>
      <c r="AY687" s="12"/>
      <c r="AZ687" s="12"/>
      <c r="BA687" s="12"/>
      <c r="BB687" s="12"/>
      <c r="BC687" s="12"/>
      <c r="BD687" s="12"/>
      <c r="BF687" s="106" t="str">
        <f t="shared" si="1"/>
        <v>#VALUE!</v>
      </c>
      <c r="BG687" s="21">
        <f t="shared" si="2"/>
        <v>12</v>
      </c>
    </row>
    <row r="688">
      <c r="P688" s="161"/>
      <c r="AI688" s="102"/>
      <c r="AK688" s="428" t="s">
        <v>292</v>
      </c>
      <c r="AO688" s="86" t="s">
        <v>120</v>
      </c>
      <c r="AP688" s="86" t="s">
        <v>120</v>
      </c>
      <c r="AQ688" s="86" t="s">
        <v>120</v>
      </c>
      <c r="AR688" s="86" t="s">
        <v>120</v>
      </c>
      <c r="AS688" s="86" t="s">
        <v>120</v>
      </c>
      <c r="AT688" s="12"/>
      <c r="AU688" s="12"/>
      <c r="AV688" s="12"/>
      <c r="AW688" s="12"/>
      <c r="AX688" s="12"/>
      <c r="AY688" s="12"/>
      <c r="AZ688" s="12"/>
      <c r="BA688" s="12"/>
      <c r="BB688" s="12"/>
      <c r="BC688" s="12"/>
      <c r="BD688" s="12"/>
      <c r="BF688" s="106" t="str">
        <f t="shared" si="1"/>
        <v>#VALUE!</v>
      </c>
      <c r="BG688" s="21">
        <f t="shared" si="2"/>
        <v>12</v>
      </c>
    </row>
    <row r="689">
      <c r="P689" s="161"/>
      <c r="AI689" s="102"/>
      <c r="AK689" s="428" t="s">
        <v>301</v>
      </c>
      <c r="AO689" s="86" t="s">
        <v>120</v>
      </c>
      <c r="AP689" s="86" t="s">
        <v>120</v>
      </c>
      <c r="AQ689" s="86" t="s">
        <v>129</v>
      </c>
      <c r="AR689" s="12"/>
      <c r="AS689" s="12"/>
      <c r="AT689" s="12"/>
      <c r="AU689" s="12"/>
      <c r="AV689" s="12"/>
      <c r="AW689" s="12"/>
      <c r="AX689" s="12"/>
      <c r="AY689" s="12"/>
      <c r="AZ689" s="12"/>
      <c r="BA689" s="12"/>
      <c r="BB689" s="12"/>
      <c r="BC689" s="12"/>
      <c r="BD689" s="12"/>
      <c r="BF689" s="106" t="str">
        <f t="shared" si="1"/>
        <v>#VALUE!</v>
      </c>
      <c r="BG689" s="21">
        <f t="shared" si="2"/>
        <v>12</v>
      </c>
    </row>
    <row r="690">
      <c r="P690" s="161"/>
      <c r="AI690" s="102"/>
      <c r="AK690" s="428" t="s">
        <v>298</v>
      </c>
      <c r="AO690" s="86" t="s">
        <v>120</v>
      </c>
      <c r="AP690" s="468" t="s">
        <v>120</v>
      </c>
      <c r="AQ690" s="86" t="s">
        <v>120</v>
      </c>
      <c r="AR690" s="86" t="s">
        <v>120</v>
      </c>
      <c r="AS690" s="12"/>
      <c r="AT690" s="12"/>
      <c r="AU690" s="12"/>
      <c r="AV690" s="12"/>
      <c r="AW690" s="12"/>
      <c r="AX690" s="12"/>
      <c r="AY690" s="12"/>
      <c r="AZ690" s="12"/>
      <c r="BA690" s="12"/>
      <c r="BB690" s="12"/>
      <c r="BC690" s="12"/>
      <c r="BD690" s="12"/>
      <c r="BF690" s="106" t="str">
        <f t="shared" si="1"/>
        <v>#VALUE!</v>
      </c>
      <c r="BG690" s="21">
        <f t="shared" si="2"/>
        <v>12</v>
      </c>
    </row>
    <row r="691">
      <c r="P691" s="161"/>
      <c r="AI691" s="102"/>
      <c r="AK691" s="428" t="s">
        <v>296</v>
      </c>
      <c r="AO691" s="86" t="s">
        <v>120</v>
      </c>
      <c r="AP691" s="86" t="s">
        <v>120</v>
      </c>
      <c r="AQ691" s="86" t="s">
        <v>120</v>
      </c>
      <c r="AR691" s="86" t="s">
        <v>120</v>
      </c>
      <c r="AS691" s="86" t="s">
        <v>120</v>
      </c>
      <c r="AT691" s="12"/>
      <c r="AU691" s="12"/>
      <c r="AV691" s="12"/>
      <c r="AW691" s="12"/>
      <c r="AX691" s="12"/>
      <c r="AY691" s="12"/>
      <c r="AZ691" s="12"/>
      <c r="BA691" s="12"/>
      <c r="BB691" s="12"/>
      <c r="BC691" s="12"/>
      <c r="BD691" s="12"/>
      <c r="BF691" s="106" t="str">
        <f t="shared" si="1"/>
        <v>#VALUE!</v>
      </c>
      <c r="BG691" s="21">
        <f t="shared" si="2"/>
        <v>12</v>
      </c>
    </row>
    <row r="692">
      <c r="P692" s="369"/>
      <c r="AI692" s="102"/>
      <c r="AK692" s="428" t="s">
        <v>304</v>
      </c>
      <c r="AO692" s="86" t="s">
        <v>120</v>
      </c>
      <c r="AP692" s="86" t="s">
        <v>120</v>
      </c>
      <c r="AQ692" s="86" t="s">
        <v>120</v>
      </c>
      <c r="AR692" s="86" t="s">
        <v>120</v>
      </c>
      <c r="AS692" s="12"/>
      <c r="AT692" s="12"/>
      <c r="AU692" s="12"/>
      <c r="AV692" s="12"/>
      <c r="AW692" s="12"/>
      <c r="AX692" s="12"/>
      <c r="AY692" s="12"/>
      <c r="AZ692" s="12"/>
      <c r="BA692" s="12"/>
      <c r="BB692" s="12"/>
      <c r="BC692" s="12"/>
      <c r="BD692" s="12"/>
      <c r="BF692" s="106" t="str">
        <f t="shared" si="1"/>
        <v>#VALUE!</v>
      </c>
      <c r="BG692" s="21">
        <f t="shared" si="2"/>
        <v>12</v>
      </c>
    </row>
    <row r="693">
      <c r="P693" s="161"/>
      <c r="AI693" s="102"/>
      <c r="AK693" s="428" t="s">
        <v>2965</v>
      </c>
      <c r="AO693" s="86" t="s">
        <v>120</v>
      </c>
      <c r="AP693" s="86" t="s">
        <v>129</v>
      </c>
      <c r="AQ693" s="12"/>
      <c r="AR693" s="12"/>
      <c r="AS693" s="12"/>
      <c r="AT693" s="12"/>
      <c r="AU693" s="12"/>
      <c r="AV693" s="12"/>
      <c r="AW693" s="12"/>
      <c r="AX693" s="12"/>
      <c r="AY693" s="12"/>
      <c r="AZ693" s="12"/>
      <c r="BA693" s="12"/>
      <c r="BB693" s="12"/>
      <c r="BC693" s="12"/>
      <c r="BD693" s="12"/>
      <c r="BF693" s="106" t="str">
        <f t="shared" si="1"/>
        <v>#VALUE!</v>
      </c>
      <c r="BG693" s="21">
        <f t="shared" si="2"/>
        <v>12</v>
      </c>
    </row>
    <row r="694">
      <c r="P694" s="161"/>
      <c r="AI694" s="102"/>
      <c r="AK694" s="428" t="s">
        <v>2969</v>
      </c>
      <c r="AO694" s="86" t="s">
        <v>120</v>
      </c>
      <c r="AP694" s="86" t="s">
        <v>120</v>
      </c>
      <c r="AQ694" s="12"/>
      <c r="AR694" s="12"/>
      <c r="AS694" s="12"/>
      <c r="AT694" s="12"/>
      <c r="AU694" s="12"/>
      <c r="AV694" s="12"/>
      <c r="AW694" s="12"/>
      <c r="AX694" s="12"/>
      <c r="AY694" s="12"/>
      <c r="AZ694" s="12"/>
      <c r="BA694" s="12"/>
      <c r="BB694" s="12"/>
      <c r="BC694" s="12"/>
      <c r="BD694" s="12"/>
      <c r="BF694" s="106" t="str">
        <f t="shared" si="1"/>
        <v>#VALUE!</v>
      </c>
      <c r="BG694" s="21">
        <f t="shared" si="2"/>
        <v>12</v>
      </c>
    </row>
    <row r="695">
      <c r="P695" s="161"/>
      <c r="AI695" s="102"/>
      <c r="AK695" s="428" t="s">
        <v>1125</v>
      </c>
      <c r="AO695" s="86" t="s">
        <v>120</v>
      </c>
      <c r="AP695" s="86" t="s">
        <v>120</v>
      </c>
      <c r="AQ695" s="12"/>
      <c r="AR695" s="12"/>
      <c r="AS695" s="12"/>
      <c r="AT695" s="12"/>
      <c r="AU695" s="12"/>
      <c r="AV695" s="12"/>
      <c r="AW695" s="12"/>
      <c r="AX695" s="12"/>
      <c r="AY695" s="12"/>
      <c r="AZ695" s="12"/>
      <c r="BA695" s="12"/>
      <c r="BB695" s="12"/>
      <c r="BC695" s="12"/>
      <c r="BD695" s="12"/>
      <c r="BF695" s="106" t="str">
        <f t="shared" si="1"/>
        <v>#VALUE!</v>
      </c>
      <c r="BG695" s="21">
        <f t="shared" si="2"/>
        <v>12</v>
      </c>
    </row>
    <row r="696">
      <c r="P696" s="369"/>
      <c r="AI696" s="102"/>
      <c r="AK696" s="428" t="s">
        <v>311</v>
      </c>
      <c r="AO696" s="86" t="s">
        <v>120</v>
      </c>
      <c r="AP696" s="86" t="s">
        <v>120</v>
      </c>
      <c r="AQ696" s="86" t="s">
        <v>120</v>
      </c>
      <c r="AR696" s="12"/>
      <c r="AS696" s="12"/>
      <c r="AT696" s="12"/>
      <c r="AU696" s="12"/>
      <c r="AV696" s="12"/>
      <c r="AW696" s="12"/>
      <c r="AX696" s="12"/>
      <c r="AY696" s="12"/>
      <c r="AZ696" s="12"/>
      <c r="BA696" s="12"/>
      <c r="BB696" s="12"/>
      <c r="BC696" s="12"/>
      <c r="BD696" s="12"/>
      <c r="BF696" s="106" t="str">
        <f t="shared" si="1"/>
        <v>#VALUE!</v>
      </c>
      <c r="BG696" s="21">
        <f t="shared" si="2"/>
        <v>12</v>
      </c>
    </row>
    <row r="697">
      <c r="P697" s="161"/>
      <c r="AI697" s="102"/>
      <c r="AK697" s="428" t="s">
        <v>310</v>
      </c>
      <c r="AO697" s="86" t="s">
        <v>126</v>
      </c>
      <c r="AP697" s="86" t="s">
        <v>120</v>
      </c>
      <c r="AQ697" s="86" t="s">
        <v>120</v>
      </c>
      <c r="AR697" s="12"/>
      <c r="AS697" s="12"/>
      <c r="AT697" s="12"/>
      <c r="AU697" s="12"/>
      <c r="AV697" s="12"/>
      <c r="AW697" s="12"/>
      <c r="AX697" s="12"/>
      <c r="AY697" s="12"/>
      <c r="AZ697" s="12"/>
      <c r="BA697" s="12"/>
      <c r="BB697" s="12"/>
      <c r="BC697" s="12"/>
      <c r="BD697" s="12"/>
      <c r="BF697" s="106" t="str">
        <f t="shared" si="1"/>
        <v>#VALUE!</v>
      </c>
      <c r="BG697" s="21">
        <f t="shared" si="2"/>
        <v>12</v>
      </c>
    </row>
    <row r="698">
      <c r="P698" s="161"/>
      <c r="AI698" s="102"/>
      <c r="AK698" s="428" t="s">
        <v>313</v>
      </c>
      <c r="AO698" s="86" t="s">
        <v>120</v>
      </c>
      <c r="AP698" s="86" t="s">
        <v>120</v>
      </c>
      <c r="AQ698" s="86" t="s">
        <v>120</v>
      </c>
      <c r="AR698" s="12"/>
      <c r="AS698" s="12"/>
      <c r="AT698" s="12"/>
      <c r="AU698" s="12"/>
      <c r="AV698" s="12"/>
      <c r="AW698" s="12"/>
      <c r="AX698" s="12"/>
      <c r="AY698" s="12"/>
      <c r="AZ698" s="12"/>
      <c r="BA698" s="12"/>
      <c r="BB698" s="12"/>
      <c r="BC698" s="12"/>
      <c r="BD698" s="12"/>
      <c r="BF698" s="106" t="str">
        <f t="shared" si="1"/>
        <v>#VALUE!</v>
      </c>
      <c r="BG698" s="21">
        <f t="shared" si="2"/>
        <v>12</v>
      </c>
    </row>
    <row r="699">
      <c r="P699" s="161"/>
      <c r="AI699" s="102"/>
      <c r="AK699" s="428" t="s">
        <v>314</v>
      </c>
      <c r="AO699" s="86" t="s">
        <v>120</v>
      </c>
      <c r="AP699" s="86" t="s">
        <v>120</v>
      </c>
      <c r="AQ699" s="12"/>
      <c r="AR699" s="12"/>
      <c r="AS699" s="12"/>
      <c r="AT699" s="12"/>
      <c r="AU699" s="12"/>
      <c r="AV699" s="12"/>
      <c r="AW699" s="12"/>
      <c r="AX699" s="12"/>
      <c r="AY699" s="12"/>
      <c r="AZ699" s="12"/>
      <c r="BA699" s="12"/>
      <c r="BB699" s="12"/>
      <c r="BC699" s="12"/>
      <c r="BD699" s="12"/>
      <c r="BF699" s="106" t="str">
        <f t="shared" si="1"/>
        <v>#VALUE!</v>
      </c>
      <c r="BG699" s="21">
        <f t="shared" si="2"/>
        <v>12</v>
      </c>
    </row>
    <row r="700">
      <c r="P700" s="161"/>
      <c r="AI700" s="102"/>
      <c r="AK700" s="428" t="s">
        <v>2974</v>
      </c>
      <c r="AO700" s="86" t="s">
        <v>120</v>
      </c>
      <c r="AP700" s="86" t="s">
        <v>120</v>
      </c>
      <c r="AQ700" s="86" t="s">
        <v>120</v>
      </c>
      <c r="AR700" s="12"/>
      <c r="AS700" s="12"/>
      <c r="AT700" s="12"/>
      <c r="AU700" s="12"/>
      <c r="AV700" s="12"/>
      <c r="AW700" s="12"/>
      <c r="AX700" s="12"/>
      <c r="AY700" s="12"/>
      <c r="AZ700" s="12"/>
      <c r="BA700" s="12"/>
      <c r="BB700" s="12"/>
      <c r="BC700" s="12"/>
      <c r="BD700" s="12"/>
      <c r="BF700" s="106" t="str">
        <f t="shared" si="1"/>
        <v>#VALUE!</v>
      </c>
      <c r="BG700" s="21">
        <f t="shared" si="2"/>
        <v>12</v>
      </c>
    </row>
    <row r="701">
      <c r="P701" s="369"/>
      <c r="AI701" s="102"/>
      <c r="AK701" s="428" t="s">
        <v>315</v>
      </c>
      <c r="AO701" s="86" t="s">
        <v>120</v>
      </c>
      <c r="AP701" s="86" t="s">
        <v>120</v>
      </c>
      <c r="AQ701" s="86" t="s">
        <v>120</v>
      </c>
      <c r="AR701" s="86" t="s">
        <v>120</v>
      </c>
      <c r="AS701" s="12"/>
      <c r="AT701" s="12"/>
      <c r="AU701" s="12"/>
      <c r="AV701" s="12"/>
      <c r="AW701" s="12"/>
      <c r="AX701" s="12"/>
      <c r="AY701" s="12"/>
      <c r="AZ701" s="12"/>
      <c r="BA701" s="12"/>
      <c r="BB701" s="12"/>
      <c r="BC701" s="12"/>
      <c r="BD701" s="12"/>
      <c r="BF701" s="106" t="str">
        <f t="shared" si="1"/>
        <v>#VALUE!</v>
      </c>
      <c r="BG701" s="21">
        <f t="shared" si="2"/>
        <v>12</v>
      </c>
    </row>
    <row r="702">
      <c r="P702" s="161"/>
      <c r="AI702" s="102"/>
      <c r="AK702" s="428" t="s">
        <v>2975</v>
      </c>
      <c r="AO702" s="86" t="s">
        <v>124</v>
      </c>
      <c r="AP702" s="86" t="s">
        <v>129</v>
      </c>
      <c r="AQ702" s="12"/>
      <c r="AR702" s="12"/>
      <c r="AS702" s="12"/>
      <c r="AT702" s="12"/>
      <c r="AU702" s="12"/>
      <c r="AV702" s="12"/>
      <c r="AW702" s="12"/>
      <c r="AX702" s="12"/>
      <c r="AY702" s="12"/>
      <c r="AZ702" s="12"/>
      <c r="BA702" s="12"/>
      <c r="BB702" s="12"/>
      <c r="BC702" s="12"/>
      <c r="BD702" s="12"/>
      <c r="BF702" s="106" t="str">
        <f t="shared" si="1"/>
        <v>#VALUE!</v>
      </c>
      <c r="BG702" s="21">
        <f t="shared" si="2"/>
        <v>12</v>
      </c>
    </row>
    <row r="703">
      <c r="P703" s="161"/>
      <c r="AI703" s="102"/>
      <c r="AK703" s="428" t="s">
        <v>316</v>
      </c>
      <c r="AO703" s="86" t="s">
        <v>120</v>
      </c>
      <c r="AP703" s="86" t="s">
        <v>120</v>
      </c>
      <c r="AQ703" s="86" t="s">
        <v>120</v>
      </c>
      <c r="AR703" s="86" t="s">
        <v>120</v>
      </c>
      <c r="AS703" s="12"/>
      <c r="AT703" s="12"/>
      <c r="AU703" s="12"/>
      <c r="AV703" s="12"/>
      <c r="AW703" s="12"/>
      <c r="AX703" s="12"/>
      <c r="AY703" s="12"/>
      <c r="AZ703" s="12"/>
      <c r="BA703" s="12"/>
      <c r="BB703" s="12"/>
      <c r="BC703" s="12"/>
      <c r="BD703" s="12"/>
      <c r="BF703" s="106" t="str">
        <f t="shared" si="1"/>
        <v>#VALUE!</v>
      </c>
      <c r="BG703" s="21">
        <f t="shared" si="2"/>
        <v>12</v>
      </c>
    </row>
    <row r="704">
      <c r="P704" s="369"/>
      <c r="AI704" s="102"/>
      <c r="AK704" s="428" t="s">
        <v>322</v>
      </c>
      <c r="AO704" s="86" t="s">
        <v>124</v>
      </c>
      <c r="AP704" s="86" t="s">
        <v>120</v>
      </c>
      <c r="AQ704" s="86" t="s">
        <v>120</v>
      </c>
      <c r="AR704" s="12"/>
      <c r="AS704" s="12"/>
      <c r="AT704" s="12"/>
      <c r="AU704" s="12"/>
      <c r="AV704" s="12"/>
      <c r="AW704" s="12"/>
      <c r="AX704" s="12"/>
      <c r="AY704" s="12"/>
      <c r="AZ704" s="12"/>
      <c r="BA704" s="12"/>
      <c r="BB704" s="12"/>
      <c r="BC704" s="12"/>
      <c r="BD704" s="12"/>
      <c r="BF704" s="106" t="str">
        <f t="shared" si="1"/>
        <v>#VALUE!</v>
      </c>
      <c r="BG704" s="21">
        <f t="shared" si="2"/>
        <v>12</v>
      </c>
    </row>
    <row r="705">
      <c r="P705" s="161"/>
      <c r="AI705" s="102"/>
      <c r="AK705" s="428" t="s">
        <v>2976</v>
      </c>
      <c r="AO705" s="86" t="s">
        <v>120</v>
      </c>
      <c r="AP705" s="86" t="s">
        <v>120</v>
      </c>
      <c r="AQ705" s="12"/>
      <c r="AR705" s="12"/>
      <c r="AS705" s="12"/>
      <c r="AT705" s="12"/>
      <c r="AU705" s="12"/>
      <c r="AV705" s="12"/>
      <c r="AW705" s="12"/>
      <c r="AX705" s="12"/>
      <c r="AY705" s="12"/>
      <c r="AZ705" s="12"/>
      <c r="BA705" s="12"/>
      <c r="BB705" s="12"/>
      <c r="BC705" s="12"/>
      <c r="BD705" s="12"/>
      <c r="BF705" s="106" t="str">
        <f t="shared" si="1"/>
        <v>#VALUE!</v>
      </c>
      <c r="BG705" s="21">
        <f t="shared" si="2"/>
        <v>12</v>
      </c>
    </row>
    <row r="706">
      <c r="P706" s="161"/>
      <c r="AI706" s="102"/>
      <c r="AK706" s="428" t="s">
        <v>2977</v>
      </c>
      <c r="AO706" s="86" t="s">
        <v>120</v>
      </c>
      <c r="AP706" s="86" t="s">
        <v>120</v>
      </c>
      <c r="AQ706" s="86" t="s">
        <v>120</v>
      </c>
      <c r="AR706" s="86" t="s">
        <v>120</v>
      </c>
      <c r="AS706" s="12"/>
      <c r="AT706" s="12"/>
      <c r="AU706" s="12"/>
      <c r="AV706" s="12"/>
      <c r="AW706" s="12"/>
      <c r="AX706" s="12"/>
      <c r="AY706" s="12"/>
      <c r="AZ706" s="12"/>
      <c r="BA706" s="12"/>
      <c r="BB706" s="12"/>
      <c r="BC706" s="12"/>
      <c r="BD706" s="12"/>
      <c r="BF706" s="106" t="str">
        <f t="shared" si="1"/>
        <v>#VALUE!</v>
      </c>
      <c r="BG706" s="21">
        <f t="shared" si="2"/>
        <v>12</v>
      </c>
    </row>
    <row r="707">
      <c r="P707" s="161"/>
      <c r="AI707" s="102"/>
      <c r="AK707" s="428" t="s">
        <v>326</v>
      </c>
      <c r="AL707" s="86" t="s">
        <v>2979</v>
      </c>
      <c r="AO707" s="86" t="s">
        <v>124</v>
      </c>
      <c r="AP707" s="86" t="s">
        <v>124</v>
      </c>
      <c r="AQ707" s="86" t="s">
        <v>120</v>
      </c>
      <c r="AR707" s="12"/>
      <c r="AS707" s="12"/>
      <c r="AT707" s="12"/>
      <c r="AU707" s="12"/>
      <c r="AV707" s="12"/>
      <c r="AW707" s="12"/>
      <c r="AX707" s="12"/>
      <c r="AY707" s="12"/>
      <c r="AZ707" s="12"/>
      <c r="BA707" s="12"/>
      <c r="BB707" s="12"/>
      <c r="BC707" s="12"/>
      <c r="BD707" s="12"/>
      <c r="BF707" s="106" t="str">
        <f t="shared" si="1"/>
        <v>#VALUE!</v>
      </c>
      <c r="BG707" s="21">
        <f t="shared" si="2"/>
        <v>12</v>
      </c>
    </row>
    <row r="708">
      <c r="H708" s="473"/>
      <c r="P708" s="161"/>
      <c r="AI708" s="102"/>
      <c r="AK708" s="428" t="s">
        <v>323</v>
      </c>
      <c r="AL708" s="86" t="s">
        <v>2982</v>
      </c>
      <c r="AO708" s="86" t="s">
        <v>120</v>
      </c>
      <c r="AP708" s="86" t="s">
        <v>120</v>
      </c>
      <c r="AQ708" s="86" t="s">
        <v>120</v>
      </c>
      <c r="AR708" s="86" t="s">
        <v>120</v>
      </c>
      <c r="AS708" s="86" t="s">
        <v>120</v>
      </c>
      <c r="AT708" s="12"/>
      <c r="AU708" s="12"/>
      <c r="AV708" s="12"/>
      <c r="AW708" s="12"/>
      <c r="AX708" s="12"/>
      <c r="AY708" s="12"/>
      <c r="AZ708" s="12"/>
      <c r="BA708" s="12"/>
      <c r="BB708" s="12"/>
      <c r="BC708" s="12"/>
      <c r="BD708" s="12"/>
      <c r="BF708" s="106" t="str">
        <f t="shared" si="1"/>
        <v>#VALUE!</v>
      </c>
      <c r="BG708" s="21">
        <f t="shared" si="2"/>
        <v>12</v>
      </c>
    </row>
    <row r="709">
      <c r="P709" s="431"/>
      <c r="AI709" s="102"/>
      <c r="AK709" s="428" t="s">
        <v>2983</v>
      </c>
      <c r="AO709" s="86" t="s">
        <v>120</v>
      </c>
      <c r="AP709" s="86" t="s">
        <v>120</v>
      </c>
      <c r="AQ709" s="86" t="s">
        <v>120</v>
      </c>
      <c r="AR709" s="12"/>
      <c r="AS709" s="12"/>
      <c r="AT709" s="12"/>
      <c r="AU709" s="12"/>
      <c r="AV709" s="12"/>
      <c r="AW709" s="12"/>
      <c r="AX709" s="12"/>
      <c r="AY709" s="12"/>
      <c r="AZ709" s="12"/>
      <c r="BA709" s="12"/>
      <c r="BB709" s="12"/>
      <c r="BC709" s="12"/>
      <c r="BD709" s="12"/>
      <c r="BF709" s="106" t="str">
        <f t="shared" si="1"/>
        <v>#VALUE!</v>
      </c>
      <c r="BG709" s="21">
        <f t="shared" si="2"/>
        <v>12</v>
      </c>
    </row>
    <row r="710">
      <c r="P710" s="161"/>
      <c r="AI710" s="102"/>
      <c r="AK710" s="428" t="s">
        <v>328</v>
      </c>
      <c r="AO710" s="86" t="s">
        <v>120</v>
      </c>
      <c r="AP710" s="86" t="s">
        <v>120</v>
      </c>
      <c r="AQ710" s="12"/>
      <c r="AR710" s="12"/>
      <c r="AS710" s="12"/>
      <c r="AT710" s="12"/>
      <c r="AU710" s="12"/>
      <c r="AV710" s="12"/>
      <c r="AW710" s="12"/>
      <c r="AX710" s="12"/>
      <c r="AY710" s="12"/>
      <c r="AZ710" s="12"/>
      <c r="BA710" s="12"/>
      <c r="BB710" s="12"/>
      <c r="BC710" s="12"/>
      <c r="BD710" s="12"/>
      <c r="BF710" s="106" t="str">
        <f t="shared" si="1"/>
        <v>#VALUE!</v>
      </c>
      <c r="BG710" s="21">
        <f t="shared" si="2"/>
        <v>12</v>
      </c>
    </row>
    <row r="711">
      <c r="P711" s="161"/>
      <c r="AI711" s="102"/>
      <c r="AK711" s="428" t="s">
        <v>2985</v>
      </c>
      <c r="AO711" s="86" t="s">
        <v>120</v>
      </c>
      <c r="AP711" s="86" t="s">
        <v>120</v>
      </c>
      <c r="AQ711" s="86" t="s">
        <v>129</v>
      </c>
      <c r="AR711" s="12"/>
      <c r="AS711" s="12"/>
      <c r="AT711" s="12"/>
      <c r="AU711" s="12"/>
      <c r="AV711" s="12"/>
      <c r="AW711" s="12"/>
      <c r="AX711" s="12"/>
      <c r="AY711" s="12"/>
      <c r="AZ711" s="12"/>
      <c r="BA711" s="12"/>
      <c r="BB711" s="12"/>
      <c r="BC711" s="12"/>
      <c r="BD711" s="12"/>
      <c r="BF711" s="106" t="str">
        <f t="shared" si="1"/>
        <v>#VALUE!</v>
      </c>
      <c r="BG711" s="21">
        <f t="shared" si="2"/>
        <v>12</v>
      </c>
    </row>
    <row r="712">
      <c r="P712" s="161"/>
      <c r="AI712" s="102"/>
      <c r="AK712" s="428" t="s">
        <v>2988</v>
      </c>
      <c r="AO712" s="86" t="s">
        <v>120</v>
      </c>
      <c r="AP712" s="86" t="s">
        <v>120</v>
      </c>
      <c r="AQ712" s="12"/>
      <c r="AR712" s="12"/>
      <c r="AS712" s="12"/>
      <c r="AT712" s="12"/>
      <c r="AU712" s="12"/>
      <c r="AV712" s="12"/>
      <c r="AW712" s="12"/>
      <c r="AX712" s="12"/>
      <c r="AY712" s="12"/>
      <c r="AZ712" s="12"/>
      <c r="BA712" s="12"/>
      <c r="BB712" s="12"/>
      <c r="BC712" s="12"/>
      <c r="BD712" s="12"/>
      <c r="BF712" s="106" t="str">
        <f t="shared" si="1"/>
        <v>#VALUE!</v>
      </c>
      <c r="BG712" s="21">
        <f t="shared" si="2"/>
        <v>12</v>
      </c>
    </row>
    <row r="713">
      <c r="P713" s="161"/>
      <c r="AI713" s="102"/>
      <c r="AK713" s="428" t="s">
        <v>2991</v>
      </c>
      <c r="AO713" s="86" t="s">
        <v>120</v>
      </c>
      <c r="AP713" s="86" t="s">
        <v>126</v>
      </c>
      <c r="AQ713" s="12"/>
      <c r="AR713" s="12"/>
      <c r="AS713" s="12"/>
      <c r="AT713" s="12"/>
      <c r="AU713" s="12"/>
      <c r="AV713" s="12"/>
      <c r="AW713" s="12"/>
      <c r="AX713" s="12"/>
      <c r="AY713" s="12"/>
      <c r="AZ713" s="12"/>
      <c r="BA713" s="12"/>
      <c r="BB713" s="12"/>
      <c r="BC713" s="12"/>
      <c r="BD713" s="12"/>
      <c r="BF713" s="106" t="str">
        <f t="shared" si="1"/>
        <v>#VALUE!</v>
      </c>
      <c r="BG713" s="21">
        <f t="shared" si="2"/>
        <v>12</v>
      </c>
    </row>
    <row r="714">
      <c r="P714" s="161"/>
      <c r="AI714" s="102"/>
      <c r="AK714" s="428" t="s">
        <v>334</v>
      </c>
      <c r="AO714" s="86" t="s">
        <v>120</v>
      </c>
      <c r="AP714" s="12"/>
      <c r="AQ714" s="12"/>
      <c r="AR714" s="12"/>
      <c r="AS714" s="12"/>
      <c r="AT714" s="12"/>
      <c r="AU714" s="12"/>
      <c r="AV714" s="12"/>
      <c r="AW714" s="12"/>
      <c r="AX714" s="12"/>
      <c r="AY714" s="12"/>
      <c r="AZ714" s="12"/>
      <c r="BA714" s="12"/>
      <c r="BB714" s="12"/>
      <c r="BC714" s="12"/>
      <c r="BD714" s="12"/>
      <c r="BF714" s="106" t="str">
        <f t="shared" si="1"/>
        <v>#VALUE!</v>
      </c>
      <c r="BG714" s="21">
        <f t="shared" si="2"/>
        <v>12</v>
      </c>
    </row>
    <row r="715">
      <c r="P715" s="161"/>
      <c r="AI715" s="102"/>
      <c r="AK715" s="428" t="s">
        <v>2995</v>
      </c>
      <c r="AO715" s="86" t="s">
        <v>120</v>
      </c>
      <c r="AP715" s="86" t="s">
        <v>120</v>
      </c>
      <c r="AQ715" s="86" t="s">
        <v>126</v>
      </c>
      <c r="AR715" s="12"/>
      <c r="AS715" s="12"/>
      <c r="AT715" s="12"/>
      <c r="AU715" s="12"/>
      <c r="AV715" s="12"/>
      <c r="AW715" s="12"/>
      <c r="AX715" s="12"/>
      <c r="AY715" s="12"/>
      <c r="AZ715" s="12"/>
      <c r="BA715" s="12"/>
      <c r="BB715" s="12"/>
      <c r="BC715" s="12"/>
      <c r="BD715" s="12"/>
      <c r="BF715" s="106" t="str">
        <f t="shared" si="1"/>
        <v>#VALUE!</v>
      </c>
      <c r="BG715" s="21">
        <f t="shared" si="2"/>
        <v>12</v>
      </c>
    </row>
    <row r="716">
      <c r="P716" s="161"/>
      <c r="AI716" s="102"/>
      <c r="AK716" s="428" t="s">
        <v>2106</v>
      </c>
      <c r="AO716" s="86" t="s">
        <v>120</v>
      </c>
      <c r="AP716" s="86" t="s">
        <v>120</v>
      </c>
      <c r="AQ716" s="12"/>
      <c r="AR716" s="12"/>
      <c r="AS716" s="12"/>
      <c r="AT716" s="12"/>
      <c r="AU716" s="12"/>
      <c r="AV716" s="12"/>
      <c r="AW716" s="12"/>
      <c r="AX716" s="12"/>
      <c r="AY716" s="12"/>
      <c r="AZ716" s="12"/>
      <c r="BA716" s="12"/>
      <c r="BB716" s="12"/>
      <c r="BC716" s="12"/>
      <c r="BD716" s="12"/>
      <c r="BF716" s="106" t="str">
        <f t="shared" si="1"/>
        <v>#VALUE!</v>
      </c>
      <c r="BG716" s="21">
        <f t="shared" si="2"/>
        <v>12</v>
      </c>
    </row>
    <row r="717">
      <c r="P717" s="161"/>
      <c r="AI717" s="102"/>
      <c r="AK717" s="428" t="s">
        <v>335</v>
      </c>
      <c r="AO717" s="86" t="s">
        <v>120</v>
      </c>
      <c r="AP717" s="86" t="s">
        <v>120</v>
      </c>
      <c r="AQ717" s="86" t="s">
        <v>120</v>
      </c>
      <c r="AR717" s="12"/>
      <c r="AS717" s="12"/>
      <c r="AT717" s="12"/>
      <c r="AU717" s="12"/>
      <c r="AV717" s="12"/>
      <c r="AW717" s="12"/>
      <c r="AX717" s="12"/>
      <c r="AY717" s="12"/>
      <c r="AZ717" s="12"/>
      <c r="BA717" s="12"/>
      <c r="BB717" s="12"/>
      <c r="BC717" s="12"/>
      <c r="BD717" s="12"/>
      <c r="BF717" s="106" t="str">
        <f t="shared" si="1"/>
        <v>#VALUE!</v>
      </c>
      <c r="BG717" s="21">
        <f t="shared" si="2"/>
        <v>12</v>
      </c>
    </row>
    <row r="718" ht="77.25" customHeight="1">
      <c r="P718" s="161"/>
      <c r="AI718" s="102"/>
      <c r="AK718" s="428" t="s">
        <v>340</v>
      </c>
      <c r="AL718" s="246" t="s">
        <v>2998</v>
      </c>
      <c r="AO718" s="86" t="s">
        <v>120</v>
      </c>
      <c r="AP718" s="12"/>
      <c r="AQ718" s="12"/>
      <c r="AR718" s="12"/>
      <c r="AS718" s="12"/>
      <c r="AT718" s="12"/>
      <c r="AU718" s="12"/>
      <c r="AV718" s="12"/>
      <c r="AW718" s="12"/>
      <c r="AX718" s="12"/>
      <c r="AY718" s="12"/>
      <c r="AZ718" s="12"/>
      <c r="BA718" s="12"/>
      <c r="BB718" s="12"/>
      <c r="BC718" s="12"/>
      <c r="BD718" s="12"/>
      <c r="BF718" s="106" t="str">
        <f t="shared" si="1"/>
        <v>#VALUE!</v>
      </c>
      <c r="BG718" s="21">
        <f t="shared" si="2"/>
        <v>12</v>
      </c>
    </row>
    <row r="719">
      <c r="P719" s="161"/>
      <c r="AI719" s="102"/>
      <c r="AK719" s="428" t="s">
        <v>2999</v>
      </c>
      <c r="AL719" s="86" t="s">
        <v>3001</v>
      </c>
      <c r="AO719" s="86" t="s">
        <v>126</v>
      </c>
      <c r="AP719" s="86" t="s">
        <v>124</v>
      </c>
      <c r="AQ719" s="12"/>
      <c r="AR719" s="12"/>
      <c r="AS719" s="12"/>
      <c r="AT719" s="12"/>
      <c r="AU719" s="12"/>
      <c r="AV719" s="12"/>
      <c r="AW719" s="12"/>
      <c r="AX719" s="12"/>
      <c r="AY719" s="12"/>
      <c r="AZ719" s="12"/>
      <c r="BA719" s="12"/>
      <c r="BB719" s="12"/>
      <c r="BC719" s="12"/>
      <c r="BD719" s="12"/>
      <c r="BF719" s="106" t="str">
        <f t="shared" si="1"/>
        <v>#VALUE!</v>
      </c>
      <c r="BG719" s="21">
        <f t="shared" si="2"/>
        <v>12</v>
      </c>
    </row>
    <row r="720">
      <c r="P720" s="161"/>
      <c r="AI720" s="102"/>
      <c r="AK720" s="428" t="s">
        <v>3002</v>
      </c>
      <c r="AL720" s="86" t="s">
        <v>3003</v>
      </c>
      <c r="AO720" s="86" t="s">
        <v>124</v>
      </c>
      <c r="AP720" s="86" t="s">
        <v>129</v>
      </c>
      <c r="AQ720" s="12"/>
      <c r="AR720" s="12"/>
      <c r="AS720" s="12"/>
      <c r="AT720" s="12"/>
      <c r="AU720" s="12"/>
      <c r="AV720" s="12"/>
      <c r="AW720" s="12"/>
      <c r="AX720" s="12"/>
      <c r="AY720" s="12"/>
      <c r="AZ720" s="12"/>
      <c r="BA720" s="12"/>
      <c r="BB720" s="12"/>
      <c r="BC720" s="12"/>
      <c r="BD720" s="12"/>
      <c r="BF720" s="106" t="str">
        <f t="shared" si="1"/>
        <v>#VALUE!</v>
      </c>
      <c r="BG720" s="21">
        <f t="shared" si="2"/>
        <v>12</v>
      </c>
    </row>
    <row r="721">
      <c r="P721" s="161"/>
      <c r="AI721" s="102"/>
      <c r="AK721" s="428" t="s">
        <v>338</v>
      </c>
      <c r="AO721" s="86" t="s">
        <v>124</v>
      </c>
      <c r="AP721" s="86" t="s">
        <v>120</v>
      </c>
      <c r="AQ721" s="12"/>
      <c r="AR721" s="12"/>
      <c r="AS721" s="12"/>
      <c r="AT721" s="12"/>
      <c r="AU721" s="12"/>
      <c r="AV721" s="12"/>
      <c r="AW721" s="12"/>
      <c r="AX721" s="12"/>
      <c r="AY721" s="12"/>
      <c r="AZ721" s="12"/>
      <c r="BA721" s="12"/>
      <c r="BB721" s="12"/>
      <c r="BC721" s="12"/>
      <c r="BD721" s="12"/>
      <c r="BF721" s="106" t="str">
        <f t="shared" si="1"/>
        <v>#VALUE!</v>
      </c>
      <c r="BG721" s="21">
        <f t="shared" si="2"/>
        <v>12</v>
      </c>
    </row>
    <row r="722">
      <c r="P722" s="369"/>
      <c r="AI722" s="102"/>
      <c r="AK722" s="428" t="s">
        <v>2293</v>
      </c>
      <c r="AL722" s="86" t="s">
        <v>3007</v>
      </c>
      <c r="AO722" s="86" t="s">
        <v>124</v>
      </c>
      <c r="AP722" s="86" t="s">
        <v>126</v>
      </c>
      <c r="AQ722" s="12"/>
      <c r="AR722" s="12"/>
      <c r="AS722" s="12"/>
      <c r="AT722" s="12"/>
      <c r="AU722" s="12"/>
      <c r="AV722" s="12"/>
      <c r="AW722" s="12"/>
      <c r="AX722" s="12"/>
      <c r="AY722" s="12"/>
      <c r="AZ722" s="12"/>
      <c r="BA722" s="12"/>
      <c r="BB722" s="12"/>
      <c r="BC722" s="12"/>
      <c r="BD722" s="12"/>
      <c r="BF722" s="106" t="str">
        <f t="shared" si="1"/>
        <v>#VALUE!</v>
      </c>
      <c r="BG722" s="21">
        <f t="shared" si="2"/>
        <v>12</v>
      </c>
    </row>
    <row r="723">
      <c r="P723" s="161"/>
      <c r="AI723" s="102"/>
      <c r="AK723" s="428" t="s">
        <v>342</v>
      </c>
      <c r="AO723" s="86" t="s">
        <v>120</v>
      </c>
      <c r="AP723" s="86" t="s">
        <v>120</v>
      </c>
      <c r="AQ723" s="12"/>
      <c r="AR723" s="12"/>
      <c r="AS723" s="12"/>
      <c r="AT723" s="12"/>
      <c r="AU723" s="12"/>
      <c r="AV723" s="12"/>
      <c r="AW723" s="12"/>
      <c r="AX723" s="12"/>
      <c r="AY723" s="12"/>
      <c r="AZ723" s="12"/>
      <c r="BA723" s="12"/>
      <c r="BB723" s="12"/>
      <c r="BC723" s="12"/>
      <c r="BD723" s="12"/>
      <c r="BF723" s="106" t="str">
        <f t="shared" si="1"/>
        <v>#VALUE!</v>
      </c>
      <c r="BG723" s="21">
        <f t="shared" si="2"/>
        <v>12</v>
      </c>
    </row>
    <row r="724">
      <c r="P724" s="161"/>
      <c r="AI724" s="102"/>
      <c r="AK724" s="428" t="s">
        <v>346</v>
      </c>
      <c r="AO724" s="86" t="s">
        <v>120</v>
      </c>
      <c r="AP724" s="86" t="s">
        <v>120</v>
      </c>
      <c r="AQ724" s="86" t="s">
        <v>120</v>
      </c>
      <c r="AR724" s="12"/>
      <c r="AS724" s="12"/>
      <c r="AT724" s="12"/>
      <c r="AU724" s="12"/>
      <c r="AV724" s="12"/>
      <c r="AW724" s="12"/>
      <c r="AX724" s="12"/>
      <c r="AY724" s="12"/>
      <c r="AZ724" s="12"/>
      <c r="BA724" s="12"/>
      <c r="BB724" s="12"/>
      <c r="BC724" s="12"/>
      <c r="BD724" s="12"/>
      <c r="BF724" s="106" t="str">
        <f t="shared" si="1"/>
        <v>#VALUE!</v>
      </c>
      <c r="BG724" s="21">
        <f t="shared" si="2"/>
        <v>12</v>
      </c>
    </row>
    <row r="725">
      <c r="P725" s="161"/>
      <c r="AI725" s="102"/>
      <c r="AK725" s="428" t="s">
        <v>347</v>
      </c>
      <c r="AO725" s="86" t="s">
        <v>120</v>
      </c>
      <c r="AP725" s="86" t="s">
        <v>120</v>
      </c>
      <c r="AQ725" s="86" t="s">
        <v>120</v>
      </c>
      <c r="AR725" s="12"/>
      <c r="AS725" s="12"/>
      <c r="AT725" s="12"/>
      <c r="AU725" s="12"/>
      <c r="AV725" s="12"/>
      <c r="AW725" s="12"/>
      <c r="AX725" s="12"/>
      <c r="AY725" s="12"/>
      <c r="AZ725" s="12"/>
      <c r="BA725" s="12"/>
      <c r="BB725" s="12"/>
      <c r="BC725" s="12"/>
      <c r="BD725" s="12"/>
      <c r="BF725" s="106" t="str">
        <f t="shared" si="1"/>
        <v>#VALUE!</v>
      </c>
      <c r="BG725" s="21">
        <f t="shared" si="2"/>
        <v>12</v>
      </c>
    </row>
    <row r="726">
      <c r="P726" s="161"/>
      <c r="AI726" s="102"/>
      <c r="AK726" s="428" t="s">
        <v>3010</v>
      </c>
      <c r="AO726" s="86" t="s">
        <v>120</v>
      </c>
      <c r="AP726" s="86" t="s">
        <v>120</v>
      </c>
      <c r="AQ726" s="12"/>
      <c r="AR726" s="12"/>
      <c r="AS726" s="12"/>
      <c r="AT726" s="12"/>
      <c r="AU726" s="12"/>
      <c r="AV726" s="12"/>
      <c r="AW726" s="12"/>
      <c r="AX726" s="12"/>
      <c r="AY726" s="12"/>
      <c r="AZ726" s="12"/>
      <c r="BA726" s="12"/>
      <c r="BB726" s="12"/>
      <c r="BC726" s="12"/>
      <c r="BD726" s="12"/>
      <c r="BF726" s="106" t="str">
        <f t="shared" si="1"/>
        <v>#VALUE!</v>
      </c>
      <c r="BG726" s="21">
        <f t="shared" si="2"/>
        <v>12</v>
      </c>
    </row>
    <row r="727">
      <c r="P727" s="369"/>
      <c r="AI727" s="102"/>
      <c r="AK727" s="428" t="s">
        <v>3011</v>
      </c>
      <c r="AO727" s="86" t="s">
        <v>120</v>
      </c>
      <c r="AP727" s="86" t="s">
        <v>120</v>
      </c>
      <c r="AQ727" s="12"/>
      <c r="AR727" s="12"/>
      <c r="AS727" s="12"/>
      <c r="AT727" s="12"/>
      <c r="AU727" s="12"/>
      <c r="AV727" s="12"/>
      <c r="AW727" s="12"/>
      <c r="AX727" s="12"/>
      <c r="AY727" s="12"/>
      <c r="AZ727" s="12"/>
      <c r="BA727" s="12"/>
      <c r="BB727" s="12"/>
      <c r="BC727" s="12"/>
      <c r="BD727" s="12"/>
      <c r="BF727" s="106" t="str">
        <f t="shared" si="1"/>
        <v>#VALUE!</v>
      </c>
      <c r="BG727" s="21">
        <f t="shared" si="2"/>
        <v>12</v>
      </c>
    </row>
    <row r="728">
      <c r="P728" s="161"/>
      <c r="AI728" s="102"/>
      <c r="AK728" s="428" t="s">
        <v>349</v>
      </c>
      <c r="AO728" s="86" t="s">
        <v>120</v>
      </c>
      <c r="AP728" s="86" t="s">
        <v>120</v>
      </c>
      <c r="AQ728" s="12"/>
      <c r="AR728" s="12"/>
      <c r="AS728" s="12"/>
      <c r="AT728" s="12"/>
      <c r="AU728" s="12"/>
      <c r="AV728" s="12"/>
      <c r="AW728" s="12"/>
      <c r="AX728" s="12"/>
      <c r="AY728" s="12"/>
      <c r="AZ728" s="12"/>
      <c r="BA728" s="12"/>
      <c r="BB728" s="12"/>
      <c r="BC728" s="12"/>
      <c r="BD728" s="12"/>
      <c r="BF728" s="106" t="str">
        <f t="shared" si="1"/>
        <v>#VALUE!</v>
      </c>
      <c r="BG728" s="21">
        <f t="shared" si="2"/>
        <v>12</v>
      </c>
    </row>
    <row r="729">
      <c r="P729" s="161"/>
      <c r="AI729" s="102"/>
      <c r="AK729" s="428" t="s">
        <v>350</v>
      </c>
      <c r="AO729" s="86" t="s">
        <v>120</v>
      </c>
      <c r="AP729" s="86" t="s">
        <v>120</v>
      </c>
      <c r="AQ729" s="12"/>
      <c r="AR729" s="12"/>
      <c r="AS729" s="12"/>
      <c r="AT729" s="12"/>
      <c r="AU729" s="12"/>
      <c r="AV729" s="12"/>
      <c r="AW729" s="12"/>
      <c r="AX729" s="12"/>
      <c r="AY729" s="12"/>
      <c r="AZ729" s="12"/>
      <c r="BA729" s="12"/>
      <c r="BB729" s="12"/>
      <c r="BC729" s="12"/>
      <c r="BD729" s="12"/>
      <c r="BF729" s="106" t="str">
        <f t="shared" si="1"/>
        <v>#VALUE!</v>
      </c>
      <c r="BG729" s="21">
        <f t="shared" si="2"/>
        <v>12</v>
      </c>
    </row>
    <row r="730">
      <c r="P730" s="369"/>
      <c r="AI730" s="102"/>
      <c r="AK730" s="428" t="s">
        <v>352</v>
      </c>
      <c r="AO730" s="86" t="s">
        <v>120</v>
      </c>
      <c r="AP730" s="86" t="s">
        <v>120</v>
      </c>
      <c r="AQ730" s="12"/>
      <c r="AR730" s="12"/>
      <c r="AS730" s="12"/>
      <c r="AT730" s="12"/>
      <c r="AU730" s="12"/>
      <c r="AV730" s="12"/>
      <c r="AW730" s="12"/>
      <c r="AX730" s="12"/>
      <c r="AY730" s="12"/>
      <c r="AZ730" s="12"/>
      <c r="BA730" s="12"/>
      <c r="BB730" s="12"/>
      <c r="BC730" s="12"/>
      <c r="BD730" s="12"/>
      <c r="BF730" s="106" t="str">
        <f t="shared" si="1"/>
        <v>#VALUE!</v>
      </c>
      <c r="BG730" s="21">
        <f t="shared" si="2"/>
        <v>12</v>
      </c>
    </row>
    <row r="731">
      <c r="P731" s="161"/>
      <c r="AI731" s="102"/>
      <c r="AK731" s="428" t="s">
        <v>3012</v>
      </c>
      <c r="AO731" s="86" t="s">
        <v>127</v>
      </c>
      <c r="AP731" s="86" t="s">
        <v>120</v>
      </c>
      <c r="AQ731" s="12"/>
      <c r="AR731" s="12"/>
      <c r="AS731" s="12"/>
      <c r="AT731" s="12"/>
      <c r="AU731" s="12"/>
      <c r="AV731" s="12"/>
      <c r="AW731" s="12"/>
      <c r="AX731" s="12"/>
      <c r="AY731" s="12"/>
      <c r="AZ731" s="12"/>
      <c r="BA731" s="12"/>
      <c r="BB731" s="12"/>
      <c r="BC731" s="12"/>
      <c r="BD731" s="12"/>
      <c r="BF731" s="106" t="str">
        <f t="shared" si="1"/>
        <v>#VALUE!</v>
      </c>
      <c r="BG731" s="21">
        <f t="shared" si="2"/>
        <v>12</v>
      </c>
    </row>
    <row r="732">
      <c r="P732" s="161"/>
      <c r="AI732" s="102"/>
      <c r="AK732" s="428" t="s">
        <v>357</v>
      </c>
      <c r="AO732" s="86" t="s">
        <v>120</v>
      </c>
      <c r="AP732" s="86" t="s">
        <v>120</v>
      </c>
      <c r="AQ732" s="12"/>
      <c r="AR732" s="12"/>
      <c r="AS732" s="12"/>
      <c r="AT732" s="12"/>
      <c r="AU732" s="12"/>
      <c r="AV732" s="12"/>
      <c r="AW732" s="12"/>
      <c r="AX732" s="12"/>
      <c r="AY732" s="12"/>
      <c r="AZ732" s="12"/>
      <c r="BA732" s="12"/>
      <c r="BB732" s="12"/>
      <c r="BC732" s="12"/>
      <c r="BD732" s="12"/>
      <c r="BF732" s="106" t="str">
        <f t="shared" si="1"/>
        <v>#VALUE!</v>
      </c>
      <c r="BG732" s="21">
        <f t="shared" si="2"/>
        <v>12</v>
      </c>
    </row>
    <row r="733">
      <c r="P733" s="161"/>
      <c r="AI733" s="102"/>
      <c r="AK733" s="428" t="s">
        <v>3015</v>
      </c>
      <c r="AO733" s="86" t="s">
        <v>120</v>
      </c>
      <c r="AP733" s="86" t="s">
        <v>120</v>
      </c>
      <c r="AQ733" s="12"/>
      <c r="AR733" s="12"/>
      <c r="AS733" s="12"/>
      <c r="AT733" s="12"/>
      <c r="AU733" s="12"/>
      <c r="AV733" s="12"/>
      <c r="AW733" s="12"/>
      <c r="AX733" s="12"/>
      <c r="AY733" s="12"/>
      <c r="AZ733" s="12"/>
      <c r="BA733" s="12"/>
      <c r="BB733" s="12"/>
      <c r="BC733" s="12"/>
      <c r="BD733" s="12"/>
      <c r="BF733" s="106" t="str">
        <f t="shared" si="1"/>
        <v>#VALUE!</v>
      </c>
      <c r="BG733" s="21">
        <f t="shared" si="2"/>
        <v>12</v>
      </c>
    </row>
    <row r="734">
      <c r="P734" s="161"/>
      <c r="AI734" s="102"/>
      <c r="AK734" s="428" t="s">
        <v>3018</v>
      </c>
      <c r="AO734" s="86" t="s">
        <v>120</v>
      </c>
      <c r="AP734" s="86" t="s">
        <v>120</v>
      </c>
      <c r="AQ734" s="12"/>
      <c r="AR734" s="12"/>
      <c r="AS734" s="12"/>
      <c r="AT734" s="12"/>
      <c r="AU734" s="12"/>
      <c r="AV734" s="12"/>
      <c r="AW734" s="12"/>
      <c r="AX734" s="12"/>
      <c r="AY734" s="12"/>
      <c r="AZ734" s="12"/>
      <c r="BA734" s="12"/>
      <c r="BB734" s="12"/>
      <c r="BC734" s="12"/>
      <c r="BD734" s="12"/>
      <c r="BF734" s="106" t="str">
        <f t="shared" si="1"/>
        <v>#VALUE!</v>
      </c>
      <c r="BG734" s="21">
        <f t="shared" si="2"/>
        <v>12</v>
      </c>
    </row>
    <row r="735">
      <c r="P735" s="161"/>
      <c r="AI735" s="102"/>
      <c r="AK735" s="428" t="s">
        <v>363</v>
      </c>
      <c r="AO735" s="86" t="s">
        <v>120</v>
      </c>
      <c r="AP735" s="86" t="s">
        <v>120</v>
      </c>
      <c r="AQ735" s="12"/>
      <c r="AR735" s="12"/>
      <c r="AS735" s="12"/>
      <c r="AT735" s="12"/>
      <c r="AU735" s="12"/>
      <c r="AV735" s="12"/>
      <c r="AW735" s="12"/>
      <c r="AX735" s="12"/>
      <c r="AY735" s="12"/>
      <c r="AZ735" s="12"/>
      <c r="BA735" s="12"/>
      <c r="BB735" s="12"/>
      <c r="BC735" s="12"/>
      <c r="BD735" s="12"/>
      <c r="BF735" s="106" t="str">
        <f t="shared" si="1"/>
        <v>#VALUE!</v>
      </c>
      <c r="BG735" s="21">
        <f t="shared" si="2"/>
        <v>12</v>
      </c>
    </row>
    <row r="736">
      <c r="P736" s="161"/>
      <c r="AI736" s="102"/>
      <c r="AK736" s="428" t="s">
        <v>364</v>
      </c>
      <c r="AO736" s="86" t="s">
        <v>120</v>
      </c>
      <c r="AP736" s="86" t="s">
        <v>129</v>
      </c>
      <c r="AQ736" s="12"/>
      <c r="AR736" s="12"/>
      <c r="AS736" s="12"/>
      <c r="AT736" s="12"/>
      <c r="AU736" s="12"/>
      <c r="AV736" s="12"/>
      <c r="AW736" s="12"/>
      <c r="AX736" s="12"/>
      <c r="AY736" s="12"/>
      <c r="AZ736" s="12"/>
      <c r="BA736" s="12"/>
      <c r="BB736" s="12"/>
      <c r="BC736" s="12"/>
      <c r="BD736" s="12"/>
      <c r="BF736" s="106" t="str">
        <f t="shared" si="1"/>
        <v>#VALUE!</v>
      </c>
      <c r="BG736" s="21">
        <f t="shared" si="2"/>
        <v>12</v>
      </c>
    </row>
    <row r="737">
      <c r="P737" s="161"/>
      <c r="AI737" s="102"/>
      <c r="AK737" s="428" t="s">
        <v>373</v>
      </c>
      <c r="AO737" s="86" t="s">
        <v>122</v>
      </c>
      <c r="AP737" s="86" t="s">
        <v>122</v>
      </c>
      <c r="AQ737" s="12"/>
      <c r="AR737" s="12"/>
      <c r="AS737" s="12"/>
      <c r="AT737" s="12"/>
      <c r="AU737" s="12"/>
      <c r="AV737" s="12"/>
      <c r="AW737" s="12"/>
      <c r="AX737" s="12"/>
      <c r="AY737" s="12"/>
      <c r="AZ737" s="12"/>
      <c r="BA737" s="12"/>
      <c r="BB737" s="12"/>
      <c r="BC737" s="12"/>
      <c r="BD737" s="12"/>
      <c r="BF737" s="106" t="str">
        <f t="shared" si="1"/>
        <v>#VALUE!</v>
      </c>
      <c r="BG737" s="21">
        <f t="shared" si="2"/>
        <v>12</v>
      </c>
    </row>
    <row r="738">
      <c r="P738" s="369"/>
      <c r="AI738" s="102"/>
      <c r="AK738" s="428" t="s">
        <v>3023</v>
      </c>
      <c r="AO738" s="86" t="s">
        <v>120</v>
      </c>
      <c r="AP738" s="12"/>
      <c r="AQ738" s="12"/>
      <c r="AR738" s="12"/>
      <c r="AS738" s="12"/>
      <c r="AT738" s="12"/>
      <c r="AU738" s="12"/>
      <c r="AV738" s="12"/>
      <c r="AW738" s="12"/>
      <c r="AX738" s="12"/>
      <c r="AY738" s="12"/>
      <c r="AZ738" s="12"/>
      <c r="BA738" s="12"/>
      <c r="BB738" s="12"/>
      <c r="BC738" s="12"/>
      <c r="BD738" s="12"/>
      <c r="BF738" s="106" t="str">
        <f t="shared" si="1"/>
        <v>#VALUE!</v>
      </c>
      <c r="BG738" s="21">
        <f t="shared" si="2"/>
        <v>12</v>
      </c>
    </row>
    <row r="739">
      <c r="P739" s="161"/>
      <c r="AI739" s="102"/>
      <c r="AK739" s="428" t="s">
        <v>3024</v>
      </c>
      <c r="AO739" s="86" t="s">
        <v>120</v>
      </c>
      <c r="AP739" s="86" t="s">
        <v>120</v>
      </c>
      <c r="AQ739" s="12"/>
      <c r="AR739" s="12"/>
      <c r="AS739" s="12"/>
      <c r="AT739" s="12"/>
      <c r="AU739" s="12"/>
      <c r="AV739" s="12"/>
      <c r="AW739" s="12"/>
      <c r="AX739" s="12"/>
      <c r="AY739" s="12"/>
      <c r="AZ739" s="12"/>
      <c r="BA739" s="12"/>
      <c r="BB739" s="12"/>
      <c r="BC739" s="12"/>
      <c r="BD739" s="12"/>
      <c r="BF739" s="106" t="str">
        <f t="shared" si="1"/>
        <v>#VALUE!</v>
      </c>
      <c r="BG739" s="21">
        <f t="shared" si="2"/>
        <v>12</v>
      </c>
    </row>
    <row r="740">
      <c r="P740" s="161"/>
      <c r="AI740" s="102"/>
      <c r="AK740" s="428" t="s">
        <v>3027</v>
      </c>
      <c r="AO740" s="12"/>
      <c r="AP740" s="12"/>
      <c r="AQ740" s="12"/>
      <c r="AR740" s="12"/>
      <c r="AS740" s="12"/>
      <c r="AT740" s="12"/>
      <c r="AU740" s="12"/>
      <c r="AV740" s="12"/>
      <c r="AW740" s="12"/>
      <c r="AX740" s="12"/>
      <c r="AY740" s="12"/>
      <c r="AZ740" s="12"/>
      <c r="BA740" s="12"/>
      <c r="BB740" s="12"/>
      <c r="BC740" s="12"/>
      <c r="BD740" s="12"/>
      <c r="BF740" s="106" t="str">
        <f t="shared" si="1"/>
        <v>#VALUE!</v>
      </c>
      <c r="BG740" s="21">
        <f t="shared" si="2"/>
        <v>12</v>
      </c>
    </row>
    <row r="741">
      <c r="P741" s="161"/>
      <c r="AI741" s="102"/>
      <c r="AK741" s="428" t="s">
        <v>383</v>
      </c>
      <c r="AO741" s="86" t="s">
        <v>120</v>
      </c>
      <c r="AP741" s="12"/>
      <c r="AQ741" s="12"/>
      <c r="AR741" s="12"/>
      <c r="AS741" s="12"/>
      <c r="AT741" s="12"/>
      <c r="AU741" s="12"/>
      <c r="AV741" s="12"/>
      <c r="AW741" s="12"/>
      <c r="AX741" s="12"/>
      <c r="AY741" s="12"/>
      <c r="AZ741" s="12"/>
      <c r="BA741" s="12"/>
      <c r="BB741" s="12"/>
      <c r="BC741" s="12"/>
      <c r="BD741" s="12"/>
      <c r="BF741" s="106" t="str">
        <f t="shared" si="1"/>
        <v>#VALUE!</v>
      </c>
      <c r="BG741" s="21">
        <f t="shared" si="2"/>
        <v>12</v>
      </c>
    </row>
    <row r="742">
      <c r="P742" s="161"/>
      <c r="AI742" s="102"/>
      <c r="AK742" s="428" t="s">
        <v>369</v>
      </c>
      <c r="AL742" s="246" t="s">
        <v>3031</v>
      </c>
      <c r="AO742" s="86" t="s">
        <v>120</v>
      </c>
      <c r="AP742" s="12"/>
      <c r="AQ742" s="12"/>
      <c r="AR742" s="12"/>
      <c r="AS742" s="12"/>
      <c r="AT742" s="12"/>
      <c r="AU742" s="12"/>
      <c r="AV742" s="12"/>
      <c r="AW742" s="12"/>
      <c r="AX742" s="12"/>
      <c r="AY742" s="12"/>
      <c r="AZ742" s="12"/>
      <c r="BA742" s="12"/>
      <c r="BB742" s="12"/>
      <c r="BC742" s="12"/>
      <c r="BD742" s="12"/>
      <c r="BF742" s="106" t="str">
        <f t="shared" si="1"/>
        <v>#VALUE!</v>
      </c>
      <c r="BG742" s="21">
        <f t="shared" si="2"/>
        <v>12</v>
      </c>
    </row>
    <row r="743">
      <c r="P743" s="369"/>
      <c r="AI743" s="102"/>
      <c r="AK743" s="428" t="s">
        <v>378</v>
      </c>
      <c r="AO743" s="86" t="s">
        <v>120</v>
      </c>
      <c r="AP743" s="12"/>
      <c r="AQ743" s="12"/>
      <c r="AR743" s="12"/>
      <c r="AS743" s="12"/>
      <c r="AT743" s="12"/>
      <c r="AU743" s="12"/>
      <c r="AV743" s="12"/>
      <c r="AW743" s="12"/>
      <c r="AX743" s="12"/>
      <c r="AY743" s="12"/>
      <c r="AZ743" s="12"/>
      <c r="BA743" s="12"/>
      <c r="BB743" s="12"/>
      <c r="BC743" s="12"/>
      <c r="BD743" s="12"/>
      <c r="BF743" s="106" t="str">
        <f t="shared" si="1"/>
        <v>#VALUE!</v>
      </c>
      <c r="BG743" s="21">
        <f t="shared" si="2"/>
        <v>12</v>
      </c>
    </row>
    <row r="744">
      <c r="P744" s="102"/>
      <c r="AI744" s="102"/>
      <c r="AK744" s="428" t="s">
        <v>3033</v>
      </c>
      <c r="AO744" s="86" t="s">
        <v>120</v>
      </c>
      <c r="AP744" s="12"/>
      <c r="AQ744" s="12"/>
      <c r="AR744" s="12"/>
      <c r="AS744" s="12"/>
      <c r="AT744" s="12"/>
      <c r="AU744" s="12"/>
      <c r="AV744" s="12"/>
      <c r="AW744" s="12"/>
      <c r="AX744" s="12"/>
      <c r="AY744" s="12"/>
      <c r="AZ744" s="12"/>
      <c r="BA744" s="12"/>
      <c r="BB744" s="12"/>
      <c r="BC744" s="12"/>
      <c r="BD744" s="12"/>
      <c r="BF744" s="106" t="str">
        <f t="shared" si="1"/>
        <v>#VALUE!</v>
      </c>
      <c r="BG744" s="21">
        <f t="shared" si="2"/>
        <v>12</v>
      </c>
    </row>
    <row r="745">
      <c r="P745" s="161"/>
      <c r="AI745" s="102"/>
      <c r="AK745" s="428" t="s">
        <v>3038</v>
      </c>
      <c r="AO745" s="86" t="s">
        <v>120</v>
      </c>
      <c r="AP745" s="12"/>
      <c r="AQ745" s="12"/>
      <c r="AR745" s="12"/>
      <c r="AS745" s="12"/>
      <c r="AT745" s="12"/>
      <c r="AU745" s="12"/>
      <c r="AV745" s="12"/>
      <c r="AW745" s="12"/>
      <c r="AX745" s="12"/>
      <c r="AY745" s="12"/>
      <c r="AZ745" s="12"/>
      <c r="BA745" s="12"/>
      <c r="BB745" s="12"/>
      <c r="BC745" s="12"/>
      <c r="BD745" s="12"/>
      <c r="BF745" s="106" t="str">
        <f t="shared" si="1"/>
        <v>#VALUE!</v>
      </c>
      <c r="BG745" s="21">
        <f t="shared" si="2"/>
        <v>12</v>
      </c>
    </row>
    <row r="746">
      <c r="P746" s="161"/>
      <c r="AI746" s="102"/>
      <c r="AK746" s="428" t="s">
        <v>3039</v>
      </c>
      <c r="AO746" s="86" t="s">
        <v>120</v>
      </c>
      <c r="AP746" s="12"/>
      <c r="AQ746" s="12"/>
      <c r="AR746" s="12"/>
      <c r="AS746" s="12"/>
      <c r="AT746" s="12"/>
      <c r="AU746" s="12"/>
      <c r="AV746" s="12"/>
      <c r="AW746" s="12"/>
      <c r="AX746" s="12"/>
      <c r="AY746" s="12"/>
      <c r="AZ746" s="12"/>
      <c r="BA746" s="12"/>
      <c r="BB746" s="12"/>
      <c r="BC746" s="12"/>
      <c r="BD746" s="12"/>
      <c r="BF746" s="106" t="str">
        <f t="shared" si="1"/>
        <v>#VALUE!</v>
      </c>
      <c r="BG746" s="21">
        <f t="shared" si="2"/>
        <v>12</v>
      </c>
    </row>
    <row r="747">
      <c r="P747" s="161"/>
      <c r="AI747" s="102"/>
      <c r="AK747" s="428" t="s">
        <v>401</v>
      </c>
      <c r="AO747" s="12"/>
      <c r="AP747" s="12"/>
      <c r="AQ747" s="12"/>
      <c r="AR747" s="12"/>
      <c r="AS747" s="12"/>
      <c r="AT747" s="12"/>
      <c r="AU747" s="12"/>
      <c r="AV747" s="12"/>
      <c r="AW747" s="12"/>
      <c r="AX747" s="12"/>
      <c r="AY747" s="12"/>
      <c r="AZ747" s="12"/>
      <c r="BA747" s="12"/>
      <c r="BB747" s="12"/>
      <c r="BC747" s="12"/>
      <c r="BD747" s="12"/>
      <c r="BF747" s="106" t="str">
        <f t="shared" si="1"/>
        <v>#VALUE!</v>
      </c>
      <c r="BG747" s="21">
        <f t="shared" si="2"/>
        <v>12</v>
      </c>
    </row>
    <row r="748">
      <c r="P748" s="161"/>
      <c r="AI748" s="102"/>
      <c r="AK748" s="428" t="s">
        <v>3045</v>
      </c>
      <c r="AO748" s="86" t="s">
        <v>120</v>
      </c>
      <c r="AP748" s="12"/>
      <c r="AQ748" s="12"/>
      <c r="AR748" s="12"/>
      <c r="AS748" s="12"/>
      <c r="AT748" s="12"/>
      <c r="AU748" s="12"/>
      <c r="AV748" s="12"/>
      <c r="AW748" s="12"/>
      <c r="AX748" s="12"/>
      <c r="AY748" s="12"/>
      <c r="AZ748" s="12"/>
      <c r="BA748" s="12"/>
      <c r="BB748" s="12"/>
      <c r="BC748" s="12"/>
      <c r="BD748" s="12"/>
      <c r="BF748" s="106" t="str">
        <f t="shared" si="1"/>
        <v>#VALUE!</v>
      </c>
      <c r="BG748" s="21">
        <f t="shared" si="2"/>
        <v>12</v>
      </c>
    </row>
    <row r="749">
      <c r="P749" s="369"/>
      <c r="AI749" s="102"/>
      <c r="AK749" s="428" t="s">
        <v>3047</v>
      </c>
      <c r="AO749" s="86" t="s">
        <v>120</v>
      </c>
      <c r="AP749" s="12"/>
      <c r="AQ749" s="12"/>
      <c r="AR749" s="12"/>
      <c r="AS749" s="12"/>
      <c r="AT749" s="12"/>
      <c r="AU749" s="12"/>
      <c r="AV749" s="12"/>
      <c r="AW749" s="12"/>
      <c r="AX749" s="12"/>
      <c r="AY749" s="12"/>
      <c r="AZ749" s="12"/>
      <c r="BA749" s="12"/>
      <c r="BB749" s="12"/>
      <c r="BC749" s="12"/>
      <c r="BD749" s="12"/>
      <c r="BF749" s="106" t="str">
        <f t="shared" si="1"/>
        <v>#VALUE!</v>
      </c>
      <c r="BG749" s="21">
        <f t="shared" si="2"/>
        <v>12</v>
      </c>
    </row>
    <row r="750">
      <c r="P750" s="161"/>
      <c r="AI750" s="102"/>
      <c r="AK750" s="428" t="s">
        <v>3049</v>
      </c>
      <c r="AO750" s="12"/>
      <c r="AP750" s="12"/>
      <c r="AQ750" s="12"/>
      <c r="AR750" s="12"/>
      <c r="AS750" s="12"/>
      <c r="AT750" s="12"/>
      <c r="AU750" s="12"/>
      <c r="AV750" s="12"/>
      <c r="AW750" s="12"/>
      <c r="AX750" s="12"/>
      <c r="AY750" s="12"/>
      <c r="AZ750" s="12"/>
      <c r="BA750" s="12"/>
      <c r="BB750" s="12"/>
      <c r="BC750" s="12"/>
      <c r="BD750" s="12"/>
      <c r="BF750" s="106" t="str">
        <f t="shared" si="1"/>
        <v>#VALUE!</v>
      </c>
      <c r="BG750" s="21">
        <f t="shared" si="2"/>
        <v>12</v>
      </c>
    </row>
    <row r="751">
      <c r="P751" s="161"/>
      <c r="AI751" s="102"/>
      <c r="AK751" s="428" t="s">
        <v>384</v>
      </c>
      <c r="AO751" s="86" t="s">
        <v>120</v>
      </c>
      <c r="AP751" s="12"/>
      <c r="AQ751" s="12"/>
      <c r="AR751" s="12"/>
      <c r="AS751" s="12"/>
      <c r="AT751" s="12"/>
      <c r="AU751" s="12"/>
      <c r="AV751" s="12"/>
      <c r="AW751" s="12"/>
      <c r="AX751" s="12"/>
      <c r="AY751" s="12"/>
      <c r="AZ751" s="12"/>
      <c r="BA751" s="12"/>
      <c r="BB751" s="12"/>
      <c r="BC751" s="12"/>
      <c r="BD751" s="12"/>
      <c r="BF751" s="106" t="str">
        <f t="shared" si="1"/>
        <v>#VALUE!</v>
      </c>
      <c r="BG751" s="21">
        <f t="shared" si="2"/>
        <v>12</v>
      </c>
    </row>
    <row r="752">
      <c r="P752" s="161"/>
      <c r="AI752" s="102"/>
      <c r="AK752" s="428" t="s">
        <v>386</v>
      </c>
      <c r="AO752" s="86" t="s">
        <v>120</v>
      </c>
      <c r="AP752" s="12"/>
      <c r="AQ752" s="12"/>
      <c r="AR752" s="12"/>
      <c r="AS752" s="12"/>
      <c r="AT752" s="12"/>
      <c r="AU752" s="12"/>
      <c r="AV752" s="12"/>
      <c r="AW752" s="12"/>
      <c r="AX752" s="12"/>
      <c r="AY752" s="12"/>
      <c r="AZ752" s="12"/>
      <c r="BA752" s="12"/>
      <c r="BB752" s="12"/>
      <c r="BC752" s="12"/>
      <c r="BD752" s="12"/>
      <c r="BF752" s="106" t="str">
        <f t="shared" si="1"/>
        <v>#VALUE!</v>
      </c>
      <c r="BG752" s="21">
        <f t="shared" si="2"/>
        <v>12</v>
      </c>
    </row>
    <row r="753">
      <c r="P753" s="161"/>
      <c r="AI753" s="102"/>
      <c r="AK753" s="428" t="s">
        <v>3054</v>
      </c>
      <c r="AO753" s="86" t="s">
        <v>120</v>
      </c>
      <c r="AP753" s="12"/>
      <c r="AQ753" s="12"/>
      <c r="AR753" s="12"/>
      <c r="AS753" s="12"/>
      <c r="AT753" s="12"/>
      <c r="AU753" s="12"/>
      <c r="AV753" s="12"/>
      <c r="AW753" s="12"/>
      <c r="AX753" s="12"/>
      <c r="AY753" s="12"/>
      <c r="AZ753" s="12"/>
      <c r="BA753" s="12"/>
      <c r="BB753" s="12"/>
      <c r="BC753" s="12"/>
      <c r="BD753" s="12"/>
      <c r="BF753" s="106" t="str">
        <f t="shared" si="1"/>
        <v>#VALUE!</v>
      </c>
      <c r="BG753" s="21">
        <f t="shared" si="2"/>
        <v>12</v>
      </c>
    </row>
    <row r="754">
      <c r="P754" s="369"/>
      <c r="AI754" s="102"/>
      <c r="AK754" s="428" t="s">
        <v>3057</v>
      </c>
      <c r="AO754" s="86" t="s">
        <v>129</v>
      </c>
      <c r="AP754" s="12"/>
      <c r="AQ754" s="12"/>
      <c r="AR754" s="12"/>
      <c r="AS754" s="12"/>
      <c r="AT754" s="12"/>
      <c r="AU754" s="12"/>
      <c r="AV754" s="12"/>
      <c r="AW754" s="12"/>
      <c r="AX754" s="12"/>
      <c r="AY754" s="12"/>
      <c r="AZ754" s="12"/>
      <c r="BA754" s="12"/>
      <c r="BB754" s="12"/>
      <c r="BC754" s="12"/>
      <c r="BD754" s="12"/>
      <c r="BF754" s="106" t="str">
        <f t="shared" si="1"/>
        <v>#VALUE!</v>
      </c>
      <c r="BG754" s="21">
        <f t="shared" si="2"/>
        <v>12</v>
      </c>
    </row>
    <row r="755">
      <c r="P755" s="161"/>
      <c r="AI755" s="102"/>
      <c r="AK755" s="428" t="s">
        <v>392</v>
      </c>
      <c r="AO755" s="86" t="s">
        <v>120</v>
      </c>
      <c r="AP755" s="12"/>
      <c r="AQ755" s="12"/>
      <c r="AR755" s="12"/>
      <c r="AS755" s="12"/>
      <c r="AT755" s="12"/>
      <c r="AU755" s="12"/>
      <c r="AV755" s="12"/>
      <c r="AW755" s="12"/>
      <c r="AX755" s="12"/>
      <c r="AY755" s="12"/>
      <c r="AZ755" s="12"/>
      <c r="BA755" s="12"/>
      <c r="BB755" s="12"/>
      <c r="BC755" s="12"/>
      <c r="BD755" s="12"/>
      <c r="BF755" s="106" t="str">
        <f t="shared" si="1"/>
        <v>#VALUE!</v>
      </c>
      <c r="BG755" s="21">
        <f t="shared" si="2"/>
        <v>12</v>
      </c>
    </row>
    <row r="756">
      <c r="P756" s="161"/>
      <c r="AI756" s="102"/>
      <c r="AK756" s="428" t="s">
        <v>3061</v>
      </c>
      <c r="AO756" s="12"/>
      <c r="AP756" s="12"/>
      <c r="AQ756" s="12"/>
      <c r="AR756" s="12"/>
      <c r="AS756" s="12"/>
      <c r="AT756" s="12"/>
      <c r="AU756" s="12"/>
      <c r="AV756" s="12"/>
      <c r="AW756" s="12"/>
      <c r="AX756" s="12"/>
      <c r="AY756" s="12"/>
      <c r="AZ756" s="12"/>
      <c r="BA756" s="12"/>
      <c r="BB756" s="12"/>
      <c r="BC756" s="12"/>
      <c r="BD756" s="12"/>
      <c r="BF756" s="106" t="str">
        <f t="shared" si="1"/>
        <v>#VALUE!</v>
      </c>
      <c r="BG756" s="21">
        <f t="shared" si="2"/>
        <v>12</v>
      </c>
    </row>
    <row r="757">
      <c r="P757" s="161"/>
      <c r="AI757" s="102"/>
      <c r="AK757" s="428" t="s">
        <v>3066</v>
      </c>
      <c r="AO757" s="12"/>
      <c r="AP757" s="12"/>
      <c r="AQ757" s="12"/>
      <c r="AR757" s="12"/>
      <c r="AS757" s="12"/>
      <c r="AT757" s="12"/>
      <c r="AU757" s="12"/>
      <c r="AV757" s="12"/>
      <c r="AW757" s="12"/>
      <c r="AX757" s="12"/>
      <c r="AY757" s="12"/>
      <c r="AZ757" s="12"/>
      <c r="BA757" s="12"/>
      <c r="BB757" s="12"/>
      <c r="BC757" s="12"/>
      <c r="BD757" s="12"/>
      <c r="BF757" s="106" t="str">
        <f t="shared" si="1"/>
        <v>#VALUE!</v>
      </c>
      <c r="BG757" s="21">
        <f t="shared" si="2"/>
        <v>12</v>
      </c>
    </row>
    <row r="758">
      <c r="P758" s="161"/>
      <c r="AI758" s="102"/>
      <c r="AK758" s="140" t="s">
        <v>3067</v>
      </c>
      <c r="AO758" s="12"/>
      <c r="AP758" s="12"/>
      <c r="AQ758" s="12"/>
      <c r="AR758" s="12"/>
      <c r="AS758" s="12"/>
      <c r="AT758" s="12"/>
      <c r="AU758" s="12"/>
      <c r="AV758" s="12"/>
      <c r="AW758" s="12"/>
      <c r="AX758" s="12"/>
      <c r="AY758" s="12"/>
      <c r="AZ758" s="12"/>
      <c r="BA758" s="12"/>
      <c r="BB758" s="12"/>
      <c r="BC758" s="12"/>
      <c r="BD758" s="12"/>
      <c r="BF758" s="106" t="str">
        <f t="shared" si="1"/>
        <v>#VALUE!</v>
      </c>
      <c r="BG758" s="21">
        <f t="shared" si="2"/>
        <v>12</v>
      </c>
    </row>
    <row r="759">
      <c r="P759" s="161"/>
      <c r="AI759" s="102"/>
      <c r="AK759" s="140" t="s">
        <v>3068</v>
      </c>
      <c r="AO759" s="12"/>
      <c r="AP759" s="12"/>
      <c r="AQ759" s="12"/>
      <c r="AR759" s="12"/>
      <c r="AS759" s="12"/>
      <c r="AT759" s="12"/>
      <c r="AU759" s="12"/>
      <c r="AV759" s="12"/>
      <c r="AW759" s="12"/>
      <c r="AX759" s="12"/>
      <c r="AY759" s="12"/>
      <c r="AZ759" s="12"/>
      <c r="BA759" s="12"/>
      <c r="BB759" s="12"/>
      <c r="BC759" s="12"/>
      <c r="BD759" s="12"/>
      <c r="BF759" s="106" t="str">
        <f t="shared" si="1"/>
        <v>#VALUE!</v>
      </c>
      <c r="BG759" s="21">
        <f t="shared" si="2"/>
        <v>12</v>
      </c>
    </row>
    <row r="760">
      <c r="P760" s="161"/>
      <c r="AI760" s="102"/>
      <c r="AK760" s="140" t="s">
        <v>3069</v>
      </c>
      <c r="AO760" s="12"/>
      <c r="AP760" s="12"/>
      <c r="AQ760" s="12"/>
      <c r="AR760" s="12"/>
      <c r="AS760" s="12"/>
      <c r="AT760" s="12"/>
      <c r="AU760" s="12"/>
      <c r="AV760" s="12"/>
      <c r="AW760" s="12"/>
      <c r="AX760" s="12"/>
      <c r="AY760" s="12"/>
      <c r="AZ760" s="12"/>
      <c r="BA760" s="12"/>
      <c r="BB760" s="12"/>
      <c r="BC760" s="12"/>
      <c r="BD760" s="12"/>
      <c r="BF760" s="106" t="str">
        <f t="shared" si="1"/>
        <v>#VALUE!</v>
      </c>
      <c r="BG760" s="21">
        <f t="shared" si="2"/>
        <v>12</v>
      </c>
    </row>
    <row r="761">
      <c r="P761" s="161"/>
      <c r="AI761" s="102"/>
      <c r="AK761" s="140" t="s">
        <v>3071</v>
      </c>
      <c r="AO761" s="12"/>
      <c r="AP761" s="12"/>
      <c r="AQ761" s="12"/>
      <c r="AR761" s="12"/>
      <c r="AS761" s="12"/>
      <c r="AT761" s="12"/>
      <c r="AU761" s="12"/>
      <c r="AV761" s="12"/>
      <c r="AW761" s="12"/>
      <c r="AX761" s="12"/>
      <c r="AY761" s="12"/>
      <c r="AZ761" s="12"/>
      <c r="BA761" s="12"/>
      <c r="BB761" s="12"/>
      <c r="BC761" s="12"/>
      <c r="BD761" s="12"/>
      <c r="BF761" s="106" t="str">
        <f t="shared" si="1"/>
        <v>#VALUE!</v>
      </c>
      <c r="BG761" s="21">
        <f t="shared" si="2"/>
        <v>12</v>
      </c>
    </row>
    <row r="762">
      <c r="P762" s="369"/>
      <c r="AI762" s="102"/>
      <c r="AK762" s="140" t="s">
        <v>3072</v>
      </c>
      <c r="AO762" s="12"/>
      <c r="AP762" s="12"/>
      <c r="AQ762" s="12"/>
      <c r="AR762" s="12"/>
      <c r="AS762" s="12"/>
      <c r="AT762" s="12"/>
      <c r="AU762" s="12"/>
      <c r="AV762" s="12"/>
      <c r="AW762" s="12"/>
      <c r="AX762" s="12"/>
      <c r="AY762" s="12"/>
      <c r="AZ762" s="12"/>
      <c r="BA762" s="12"/>
      <c r="BB762" s="12"/>
      <c r="BC762" s="12"/>
      <c r="BD762" s="12"/>
      <c r="BF762" s="106" t="str">
        <f t="shared" si="1"/>
        <v>#VALUE!</v>
      </c>
      <c r="BG762" s="21">
        <f t="shared" si="2"/>
        <v>12</v>
      </c>
    </row>
    <row r="763">
      <c r="P763" s="161"/>
      <c r="AI763" s="102"/>
      <c r="AK763" s="140" t="s">
        <v>3074</v>
      </c>
      <c r="AO763" s="12"/>
      <c r="AP763" s="12"/>
      <c r="AQ763" s="12"/>
      <c r="AR763" s="12"/>
      <c r="AS763" s="12"/>
      <c r="AT763" s="12"/>
      <c r="AU763" s="12"/>
      <c r="AV763" s="12"/>
      <c r="AW763" s="12"/>
      <c r="AX763" s="12"/>
      <c r="AY763" s="12"/>
      <c r="AZ763" s="12"/>
      <c r="BA763" s="12"/>
      <c r="BB763" s="12"/>
      <c r="BC763" s="12"/>
      <c r="BD763" s="12"/>
      <c r="BF763" s="106" t="str">
        <f t="shared" si="1"/>
        <v>#VALUE!</v>
      </c>
      <c r="BG763" s="21">
        <f t="shared" si="2"/>
        <v>12</v>
      </c>
    </row>
    <row r="764">
      <c r="P764" s="161"/>
      <c r="AI764" s="102"/>
      <c r="AO764" s="12"/>
      <c r="AP764" s="12"/>
      <c r="AQ764" s="12"/>
      <c r="AR764" s="12"/>
      <c r="AS764" s="12"/>
      <c r="AT764" s="12"/>
      <c r="AU764" s="12"/>
      <c r="AV764" s="12"/>
      <c r="AW764" s="12"/>
      <c r="AX764" s="12"/>
      <c r="AY764" s="12"/>
      <c r="AZ764" s="12"/>
      <c r="BA764" s="12"/>
      <c r="BB764" s="12"/>
      <c r="BC764" s="12"/>
      <c r="BD764" s="12"/>
      <c r="BF764" s="106" t="str">
        <f t="shared" si="1"/>
        <v>#VALUE!</v>
      </c>
      <c r="BG764" s="21">
        <f t="shared" si="2"/>
        <v>12</v>
      </c>
    </row>
    <row r="765">
      <c r="P765" s="161"/>
      <c r="AI765" s="102"/>
      <c r="AO765" s="12"/>
      <c r="AP765" s="12"/>
      <c r="AQ765" s="12"/>
      <c r="AR765" s="12"/>
      <c r="AS765" s="12"/>
      <c r="AT765" s="12"/>
      <c r="AU765" s="12"/>
      <c r="AV765" s="12"/>
      <c r="AW765" s="12"/>
      <c r="AX765" s="12"/>
      <c r="AY765" s="12"/>
      <c r="AZ765" s="12"/>
      <c r="BA765" s="12"/>
      <c r="BB765" s="12"/>
      <c r="BC765" s="12"/>
      <c r="BD765" s="12"/>
      <c r="BF765" s="106" t="str">
        <f t="shared" si="1"/>
        <v>#VALUE!</v>
      </c>
      <c r="BG765" s="21">
        <f t="shared" si="2"/>
        <v>12</v>
      </c>
    </row>
    <row r="766">
      <c r="P766" s="161"/>
      <c r="AI766" s="102"/>
      <c r="AO766" s="12"/>
      <c r="AP766" s="12"/>
      <c r="AQ766" s="12"/>
      <c r="AR766" s="12"/>
      <c r="AS766" s="12"/>
      <c r="AT766" s="12"/>
      <c r="AU766" s="12"/>
      <c r="AV766" s="12"/>
      <c r="AW766" s="12"/>
      <c r="AX766" s="12"/>
      <c r="AY766" s="12"/>
      <c r="AZ766" s="12"/>
      <c r="BA766" s="12"/>
      <c r="BB766" s="12"/>
      <c r="BC766" s="12"/>
      <c r="BD766" s="12"/>
      <c r="BF766" s="106" t="str">
        <f t="shared" si="1"/>
        <v>#VALUE!</v>
      </c>
      <c r="BG766" s="21">
        <f t="shared" si="2"/>
        <v>12</v>
      </c>
    </row>
    <row r="767">
      <c r="P767" s="161"/>
      <c r="AI767" s="102"/>
      <c r="AO767" s="12"/>
      <c r="AP767" s="12"/>
      <c r="AQ767" s="12"/>
      <c r="AR767" s="12"/>
      <c r="AS767" s="12"/>
      <c r="AT767" s="12"/>
      <c r="AU767" s="12"/>
      <c r="AV767" s="12"/>
      <c r="AW767" s="12"/>
      <c r="AX767" s="12"/>
      <c r="AY767" s="12"/>
      <c r="AZ767" s="12"/>
      <c r="BA767" s="12"/>
      <c r="BB767" s="12"/>
      <c r="BC767" s="12"/>
      <c r="BD767" s="12"/>
      <c r="BF767" s="106" t="str">
        <f t="shared" si="1"/>
        <v>#VALUE!</v>
      </c>
      <c r="BG767" s="21">
        <f t="shared" si="2"/>
        <v>12</v>
      </c>
    </row>
    <row r="768">
      <c r="P768" s="161"/>
      <c r="AI768" s="102"/>
      <c r="AO768" s="12"/>
      <c r="AP768" s="12"/>
      <c r="AQ768" s="12"/>
      <c r="AR768" s="12"/>
      <c r="AS768" s="12"/>
      <c r="AT768" s="12"/>
      <c r="AU768" s="12"/>
      <c r="AV768" s="12"/>
      <c r="AW768" s="12"/>
      <c r="AX768" s="12"/>
      <c r="AY768" s="12"/>
      <c r="AZ768" s="12"/>
      <c r="BA768" s="12"/>
      <c r="BB768" s="12"/>
      <c r="BC768" s="12"/>
      <c r="BD768" s="12"/>
      <c r="BF768" s="106" t="str">
        <f t="shared" si="1"/>
        <v>#VALUE!</v>
      </c>
      <c r="BG768" s="21">
        <f t="shared" si="2"/>
        <v>12</v>
      </c>
    </row>
    <row r="769">
      <c r="P769" s="161"/>
      <c r="AI769" s="102"/>
      <c r="AO769" s="12"/>
      <c r="AP769" s="12"/>
      <c r="AQ769" s="12"/>
      <c r="AR769" s="12"/>
      <c r="AS769" s="12"/>
      <c r="AT769" s="12"/>
      <c r="AU769" s="12"/>
      <c r="AV769" s="12"/>
      <c r="AW769" s="12"/>
      <c r="AX769" s="12"/>
      <c r="AY769" s="12"/>
      <c r="AZ769" s="12"/>
      <c r="BA769" s="12"/>
      <c r="BB769" s="12"/>
      <c r="BC769" s="12"/>
      <c r="BD769" s="12"/>
      <c r="BF769" s="106" t="str">
        <f t="shared" si="1"/>
        <v>#VALUE!</v>
      </c>
      <c r="BG769" s="21">
        <f t="shared" si="2"/>
        <v>12</v>
      </c>
    </row>
    <row r="770">
      <c r="P770" s="161"/>
      <c r="AI770" s="102"/>
      <c r="AO770" s="12"/>
      <c r="AP770" s="12"/>
      <c r="AQ770" s="12"/>
      <c r="AR770" s="12"/>
      <c r="AS770" s="12"/>
      <c r="AT770" s="12"/>
      <c r="AU770" s="12"/>
      <c r="AV770" s="12"/>
      <c r="AW770" s="12"/>
      <c r="AX770" s="12"/>
      <c r="AY770" s="12"/>
      <c r="AZ770" s="12"/>
      <c r="BA770" s="12"/>
      <c r="BB770" s="12"/>
      <c r="BC770" s="12"/>
      <c r="BD770" s="12"/>
      <c r="BF770" s="106" t="str">
        <f t="shared" si="1"/>
        <v>#VALUE!</v>
      </c>
      <c r="BG770" s="21">
        <f t="shared" si="2"/>
        <v>12</v>
      </c>
    </row>
    <row r="771">
      <c r="P771" s="161"/>
      <c r="AI771" s="102"/>
      <c r="AO771" s="12"/>
      <c r="AP771" s="12"/>
      <c r="AQ771" s="12"/>
      <c r="AR771" s="12"/>
      <c r="AS771" s="12"/>
      <c r="AT771" s="12"/>
      <c r="AU771" s="12"/>
      <c r="AV771" s="12"/>
      <c r="AW771" s="12"/>
      <c r="AX771" s="12"/>
      <c r="AY771" s="12"/>
      <c r="AZ771" s="12"/>
      <c r="BA771" s="12"/>
      <c r="BB771" s="12"/>
      <c r="BC771" s="12"/>
      <c r="BD771" s="12"/>
      <c r="BF771" s="106" t="str">
        <f t="shared" si="1"/>
        <v>#VALUE!</v>
      </c>
      <c r="BG771" s="21">
        <f t="shared" si="2"/>
        <v>12</v>
      </c>
    </row>
    <row r="772">
      <c r="P772" s="161"/>
      <c r="AI772" s="102"/>
      <c r="AO772" s="12"/>
      <c r="AP772" s="12"/>
      <c r="AQ772" s="12"/>
      <c r="AR772" s="12"/>
      <c r="AS772" s="12"/>
      <c r="AT772" s="12"/>
      <c r="AU772" s="12"/>
      <c r="AV772" s="12"/>
      <c r="AW772" s="12"/>
      <c r="AX772" s="12"/>
      <c r="AY772" s="12"/>
      <c r="AZ772" s="12"/>
      <c r="BA772" s="12"/>
      <c r="BB772" s="12"/>
      <c r="BC772" s="12"/>
      <c r="BD772" s="12"/>
      <c r="BF772" s="106" t="str">
        <f t="shared" si="1"/>
        <v>#VALUE!</v>
      </c>
      <c r="BG772" s="21">
        <f t="shared" si="2"/>
        <v>12</v>
      </c>
    </row>
    <row r="773">
      <c r="P773" s="161"/>
      <c r="AI773" s="102"/>
      <c r="AO773" s="12"/>
      <c r="AP773" s="12"/>
      <c r="AQ773" s="12"/>
      <c r="AR773" s="12"/>
      <c r="AS773" s="12"/>
      <c r="AT773" s="12"/>
      <c r="AU773" s="12"/>
      <c r="AV773" s="12"/>
      <c r="AW773" s="12"/>
      <c r="AX773" s="12"/>
      <c r="AY773" s="12"/>
      <c r="AZ773" s="12"/>
      <c r="BA773" s="12"/>
      <c r="BB773" s="12"/>
      <c r="BC773" s="12"/>
      <c r="BD773" s="12"/>
      <c r="BF773" s="106" t="str">
        <f t="shared" si="1"/>
        <v>#VALUE!</v>
      </c>
      <c r="BG773" s="21">
        <f t="shared" si="2"/>
        <v>12</v>
      </c>
    </row>
    <row r="774">
      <c r="P774" s="161"/>
      <c r="AI774" s="102"/>
      <c r="AO774" s="12"/>
      <c r="AP774" s="12"/>
      <c r="AQ774" s="12"/>
      <c r="AR774" s="12"/>
      <c r="AS774" s="12"/>
      <c r="AT774" s="12"/>
      <c r="AU774" s="12"/>
      <c r="AV774" s="12"/>
      <c r="AW774" s="12"/>
      <c r="AX774" s="12"/>
      <c r="AY774" s="12"/>
      <c r="AZ774" s="12"/>
      <c r="BA774" s="12"/>
      <c r="BB774" s="12"/>
      <c r="BC774" s="12"/>
      <c r="BD774" s="12"/>
      <c r="BF774" s="106" t="str">
        <f t="shared" si="1"/>
        <v>#VALUE!</v>
      </c>
      <c r="BG774" s="21">
        <f t="shared" si="2"/>
        <v>12</v>
      </c>
    </row>
    <row r="775">
      <c r="P775" s="161"/>
      <c r="AI775" s="102"/>
      <c r="AO775" s="12"/>
      <c r="AP775" s="12"/>
      <c r="AQ775" s="12"/>
      <c r="AR775" s="12"/>
      <c r="AS775" s="12"/>
      <c r="AT775" s="12"/>
      <c r="AU775" s="12"/>
      <c r="AV775" s="12"/>
      <c r="AW775" s="12"/>
      <c r="AX775" s="12"/>
      <c r="AY775" s="12"/>
      <c r="AZ775" s="12"/>
      <c r="BA775" s="12"/>
      <c r="BB775" s="12"/>
      <c r="BC775" s="12"/>
      <c r="BD775" s="12"/>
      <c r="BF775" s="106" t="str">
        <f t="shared" si="1"/>
        <v>#VALUE!</v>
      </c>
      <c r="BG775" s="21">
        <f t="shared" si="2"/>
        <v>12</v>
      </c>
    </row>
    <row r="776">
      <c r="P776" s="161"/>
      <c r="AI776" s="102"/>
      <c r="AO776" s="12"/>
      <c r="AP776" s="12"/>
      <c r="AQ776" s="12"/>
      <c r="AR776" s="12"/>
      <c r="AS776" s="12"/>
      <c r="AT776" s="12"/>
      <c r="AU776" s="12"/>
      <c r="AV776" s="12"/>
      <c r="AW776" s="12"/>
      <c r="AX776" s="12"/>
      <c r="AY776" s="12"/>
      <c r="AZ776" s="12"/>
      <c r="BA776" s="12"/>
      <c r="BB776" s="12"/>
      <c r="BC776" s="12"/>
      <c r="BD776" s="12"/>
      <c r="BF776" s="106" t="str">
        <f t="shared" si="1"/>
        <v>#VALUE!</v>
      </c>
      <c r="BG776" s="21">
        <f t="shared" si="2"/>
        <v>12</v>
      </c>
    </row>
    <row r="777">
      <c r="P777" s="161"/>
      <c r="AI777" s="102"/>
      <c r="AO777" s="12"/>
      <c r="AP777" s="12"/>
      <c r="AQ777" s="12"/>
      <c r="AR777" s="12"/>
      <c r="AS777" s="12"/>
      <c r="AT777" s="12"/>
      <c r="AU777" s="12"/>
      <c r="AV777" s="12"/>
      <c r="AW777" s="12"/>
      <c r="AX777" s="12"/>
      <c r="AY777" s="12"/>
      <c r="AZ777" s="12"/>
      <c r="BA777" s="12"/>
      <c r="BB777" s="12"/>
      <c r="BC777" s="12"/>
      <c r="BD777" s="12"/>
      <c r="BF777" s="106" t="str">
        <f t="shared" si="1"/>
        <v>#VALUE!</v>
      </c>
      <c r="BG777" s="21">
        <f t="shared" si="2"/>
        <v>12</v>
      </c>
    </row>
    <row r="778">
      <c r="P778" s="161"/>
      <c r="AI778" s="102"/>
      <c r="AO778" s="12"/>
      <c r="AP778" s="12"/>
      <c r="AQ778" s="12"/>
      <c r="AR778" s="12"/>
      <c r="AS778" s="12"/>
      <c r="AT778" s="12"/>
      <c r="AU778" s="12"/>
      <c r="AV778" s="12"/>
      <c r="AW778" s="12"/>
      <c r="AX778" s="12"/>
      <c r="AY778" s="12"/>
      <c r="AZ778" s="12"/>
      <c r="BA778" s="12"/>
      <c r="BB778" s="12"/>
      <c r="BC778" s="12"/>
      <c r="BD778" s="12"/>
      <c r="BF778" s="106" t="str">
        <f t="shared" si="1"/>
        <v>#VALUE!</v>
      </c>
      <c r="BG778" s="21">
        <f t="shared" si="2"/>
        <v>12</v>
      </c>
    </row>
    <row r="779">
      <c r="P779" s="161"/>
      <c r="AI779" s="102"/>
      <c r="AO779" s="12"/>
      <c r="AP779" s="12"/>
      <c r="AQ779" s="12"/>
      <c r="AR779" s="12"/>
      <c r="AS779" s="12"/>
      <c r="AT779" s="12"/>
      <c r="AU779" s="12"/>
      <c r="AV779" s="12"/>
      <c r="AW779" s="12"/>
      <c r="AX779" s="12"/>
      <c r="AY779" s="12"/>
      <c r="AZ779" s="12"/>
      <c r="BA779" s="12"/>
      <c r="BB779" s="12"/>
      <c r="BC779" s="12"/>
      <c r="BD779" s="12"/>
      <c r="BF779" s="106" t="str">
        <f t="shared" si="1"/>
        <v>#VALUE!</v>
      </c>
      <c r="BG779" s="21">
        <f t="shared" si="2"/>
        <v>12</v>
      </c>
    </row>
    <row r="780">
      <c r="P780" s="161"/>
      <c r="AI780" s="102"/>
      <c r="AO780" s="12"/>
      <c r="AP780" s="12"/>
      <c r="AQ780" s="12"/>
      <c r="AR780" s="12"/>
      <c r="AS780" s="12"/>
      <c r="AT780" s="12"/>
      <c r="AU780" s="12"/>
      <c r="AV780" s="12"/>
      <c r="AW780" s="12"/>
      <c r="AX780" s="12"/>
      <c r="AY780" s="12"/>
      <c r="AZ780" s="12"/>
      <c r="BA780" s="12"/>
      <c r="BB780" s="12"/>
      <c r="BC780" s="12"/>
      <c r="BD780" s="12"/>
      <c r="BF780" s="106" t="str">
        <f t="shared" si="1"/>
        <v>#VALUE!</v>
      </c>
      <c r="BG780" s="21">
        <f t="shared" si="2"/>
        <v>12</v>
      </c>
    </row>
    <row r="781">
      <c r="P781" s="161"/>
      <c r="AI781" s="102"/>
      <c r="AO781" s="12"/>
      <c r="AP781" s="12"/>
      <c r="AQ781" s="12"/>
      <c r="AR781" s="12"/>
      <c r="AS781" s="12"/>
      <c r="AT781" s="12"/>
      <c r="AU781" s="12"/>
      <c r="AV781" s="12"/>
      <c r="AW781" s="12"/>
      <c r="AX781" s="12"/>
      <c r="AY781" s="12"/>
      <c r="AZ781" s="12"/>
      <c r="BA781" s="12"/>
      <c r="BB781" s="12"/>
      <c r="BC781" s="12"/>
      <c r="BD781" s="12"/>
      <c r="BF781" s="106" t="str">
        <f t="shared" si="1"/>
        <v>#VALUE!</v>
      </c>
      <c r="BG781" s="21">
        <f t="shared" si="2"/>
        <v>12</v>
      </c>
    </row>
    <row r="782">
      <c r="P782" s="161"/>
      <c r="AI782" s="102"/>
      <c r="AO782" s="12"/>
      <c r="AP782" s="12"/>
      <c r="AQ782" s="12"/>
      <c r="AR782" s="12"/>
      <c r="AS782" s="12"/>
      <c r="AT782" s="12"/>
      <c r="AU782" s="12"/>
      <c r="AV782" s="12"/>
      <c r="AW782" s="12"/>
      <c r="AX782" s="12"/>
      <c r="AY782" s="12"/>
      <c r="AZ782" s="12"/>
      <c r="BA782" s="12"/>
      <c r="BB782" s="12"/>
      <c r="BC782" s="12"/>
      <c r="BD782" s="12"/>
      <c r="BF782" s="106" t="str">
        <f t="shared" si="1"/>
        <v>#VALUE!</v>
      </c>
      <c r="BG782" s="21">
        <f t="shared" si="2"/>
        <v>12</v>
      </c>
    </row>
    <row r="783">
      <c r="P783" s="161"/>
      <c r="AI783" s="102"/>
      <c r="AO783" s="12"/>
      <c r="AP783" s="12"/>
      <c r="AQ783" s="12"/>
      <c r="AR783" s="12"/>
      <c r="AS783" s="12"/>
      <c r="AT783" s="12"/>
      <c r="AU783" s="12"/>
      <c r="AV783" s="12"/>
      <c r="AW783" s="12"/>
      <c r="AX783" s="12"/>
      <c r="AY783" s="12"/>
      <c r="AZ783" s="12"/>
      <c r="BA783" s="12"/>
      <c r="BB783" s="12"/>
      <c r="BC783" s="12"/>
      <c r="BD783" s="12"/>
      <c r="BF783" s="106" t="str">
        <f t="shared" si="1"/>
        <v>#VALUE!</v>
      </c>
      <c r="BG783" s="21">
        <f t="shared" si="2"/>
        <v>12</v>
      </c>
    </row>
    <row r="784">
      <c r="P784" s="161"/>
      <c r="AI784" s="102"/>
      <c r="AO784" s="12"/>
      <c r="AP784" s="12"/>
      <c r="AQ784" s="12"/>
      <c r="AR784" s="12"/>
      <c r="AS784" s="12"/>
      <c r="AT784" s="12"/>
      <c r="AU784" s="12"/>
      <c r="AV784" s="12"/>
      <c r="AW784" s="12"/>
      <c r="AX784" s="12"/>
      <c r="AY784" s="12"/>
      <c r="AZ784" s="12"/>
      <c r="BA784" s="12"/>
      <c r="BB784" s="12"/>
      <c r="BC784" s="12"/>
      <c r="BD784" s="12"/>
      <c r="BF784" s="106" t="str">
        <f t="shared" si="1"/>
        <v>#VALUE!</v>
      </c>
      <c r="BG784" s="21">
        <f t="shared" si="2"/>
        <v>12</v>
      </c>
    </row>
    <row r="785">
      <c r="P785" s="161"/>
      <c r="AI785" s="102"/>
      <c r="AO785" s="12"/>
      <c r="AP785" s="12"/>
      <c r="AQ785" s="12"/>
      <c r="AR785" s="12"/>
      <c r="AS785" s="12"/>
      <c r="AT785" s="12"/>
      <c r="AU785" s="12"/>
      <c r="AV785" s="12"/>
      <c r="AW785" s="12"/>
      <c r="AX785" s="12"/>
      <c r="AY785" s="12"/>
      <c r="AZ785" s="12"/>
      <c r="BA785" s="12"/>
      <c r="BB785" s="12"/>
      <c r="BC785" s="12"/>
      <c r="BD785" s="12"/>
      <c r="BF785" s="106" t="str">
        <f t="shared" si="1"/>
        <v>#VALUE!</v>
      </c>
      <c r="BG785" s="21">
        <f t="shared" si="2"/>
        <v>12</v>
      </c>
    </row>
    <row r="786">
      <c r="P786" s="161"/>
      <c r="AI786" s="102"/>
      <c r="AO786" s="12"/>
      <c r="AP786" s="12"/>
      <c r="AQ786" s="12"/>
      <c r="AR786" s="12"/>
      <c r="AS786" s="12"/>
      <c r="AT786" s="12"/>
      <c r="AU786" s="12"/>
      <c r="AV786" s="12"/>
      <c r="AW786" s="12"/>
      <c r="AX786" s="12"/>
      <c r="AY786" s="12"/>
      <c r="AZ786" s="12"/>
      <c r="BA786" s="12"/>
      <c r="BB786" s="12"/>
      <c r="BC786" s="12"/>
      <c r="BD786" s="12"/>
      <c r="BF786" s="106" t="str">
        <f t="shared" si="1"/>
        <v>#VALUE!</v>
      </c>
      <c r="BG786" s="21">
        <f t="shared" si="2"/>
        <v>12</v>
      </c>
    </row>
    <row r="787">
      <c r="P787" s="161"/>
      <c r="AI787" s="102"/>
      <c r="AO787" s="12"/>
      <c r="AP787" s="12"/>
      <c r="AQ787" s="12"/>
      <c r="AR787" s="12"/>
      <c r="AS787" s="12"/>
      <c r="AT787" s="12"/>
      <c r="AU787" s="12"/>
      <c r="AV787" s="12"/>
      <c r="AW787" s="12"/>
      <c r="AX787" s="12"/>
      <c r="AY787" s="12"/>
      <c r="AZ787" s="12"/>
      <c r="BA787" s="12"/>
      <c r="BB787" s="12"/>
      <c r="BC787" s="12"/>
      <c r="BD787" s="12"/>
      <c r="BF787" s="106" t="str">
        <f t="shared" si="1"/>
        <v>#VALUE!</v>
      </c>
      <c r="BG787" s="21">
        <f t="shared" si="2"/>
        <v>12</v>
      </c>
    </row>
    <row r="788">
      <c r="P788" s="161"/>
      <c r="AI788" s="102"/>
      <c r="AO788" s="12"/>
      <c r="AP788" s="12"/>
      <c r="AQ788" s="12"/>
      <c r="AR788" s="12"/>
      <c r="AS788" s="12"/>
      <c r="AT788" s="12"/>
      <c r="AU788" s="12"/>
      <c r="AV788" s="12"/>
      <c r="AW788" s="12"/>
      <c r="AX788" s="12"/>
      <c r="AY788" s="12"/>
      <c r="AZ788" s="12"/>
      <c r="BA788" s="12"/>
      <c r="BB788" s="12"/>
      <c r="BC788" s="12"/>
      <c r="BD788" s="12"/>
      <c r="BF788" s="106" t="str">
        <f t="shared" si="1"/>
        <v>#VALUE!</v>
      </c>
      <c r="BG788" s="21">
        <f t="shared" si="2"/>
        <v>12</v>
      </c>
    </row>
    <row r="789">
      <c r="P789" s="161"/>
      <c r="AI789" s="102"/>
      <c r="AO789" s="12"/>
      <c r="AP789" s="12"/>
      <c r="AQ789" s="12"/>
      <c r="AR789" s="12"/>
      <c r="AS789" s="12"/>
      <c r="AT789" s="12"/>
      <c r="AU789" s="12"/>
      <c r="AV789" s="12"/>
      <c r="AW789" s="12"/>
      <c r="AX789" s="12"/>
      <c r="AY789" s="12"/>
      <c r="AZ789" s="12"/>
      <c r="BA789" s="12"/>
      <c r="BB789" s="12"/>
      <c r="BC789" s="12"/>
      <c r="BD789" s="12"/>
      <c r="BF789" s="106" t="str">
        <f t="shared" si="1"/>
        <v>#VALUE!</v>
      </c>
      <c r="BG789" s="21">
        <f t="shared" si="2"/>
        <v>12</v>
      </c>
    </row>
    <row r="790">
      <c r="P790" s="161"/>
      <c r="AI790" s="102"/>
      <c r="AO790" s="12"/>
      <c r="AP790" s="12"/>
      <c r="AQ790" s="12"/>
      <c r="AR790" s="12"/>
      <c r="AS790" s="12"/>
      <c r="AT790" s="12"/>
      <c r="AU790" s="12"/>
      <c r="AV790" s="12"/>
      <c r="AW790" s="12"/>
      <c r="AX790" s="12"/>
      <c r="AY790" s="12"/>
      <c r="AZ790" s="12"/>
      <c r="BA790" s="12"/>
      <c r="BB790" s="12"/>
      <c r="BC790" s="12"/>
      <c r="BD790" s="12"/>
      <c r="BF790" s="106" t="str">
        <f t="shared" si="1"/>
        <v>#VALUE!</v>
      </c>
      <c r="BG790" s="21">
        <f t="shared" si="2"/>
        <v>12</v>
      </c>
    </row>
    <row r="791">
      <c r="P791" s="161"/>
      <c r="AI791" s="102"/>
      <c r="AO791" s="12"/>
      <c r="AP791" s="12"/>
      <c r="AQ791" s="12"/>
      <c r="AR791" s="12"/>
      <c r="AS791" s="12"/>
      <c r="AT791" s="12"/>
      <c r="AU791" s="12"/>
      <c r="AV791" s="12"/>
      <c r="AW791" s="12"/>
      <c r="AX791" s="12"/>
      <c r="AY791" s="12"/>
      <c r="AZ791" s="12"/>
      <c r="BA791" s="12"/>
      <c r="BB791" s="12"/>
      <c r="BC791" s="12"/>
      <c r="BD791" s="12"/>
      <c r="BF791" s="106" t="str">
        <f t="shared" si="1"/>
        <v>#VALUE!</v>
      </c>
      <c r="BG791" s="21">
        <f t="shared" si="2"/>
        <v>12</v>
      </c>
    </row>
    <row r="792">
      <c r="P792" s="161"/>
      <c r="AI792" s="102"/>
      <c r="AO792" s="12"/>
      <c r="AP792" s="12"/>
      <c r="AQ792" s="12"/>
      <c r="AR792" s="12"/>
      <c r="AS792" s="12"/>
      <c r="AT792" s="12"/>
      <c r="AU792" s="12"/>
      <c r="AV792" s="12"/>
      <c r="AW792" s="12"/>
      <c r="AX792" s="12"/>
      <c r="AY792" s="12"/>
      <c r="AZ792" s="12"/>
      <c r="BA792" s="12"/>
      <c r="BB792" s="12"/>
      <c r="BC792" s="12"/>
      <c r="BD792" s="12"/>
      <c r="BF792" s="106" t="str">
        <f t="shared" si="1"/>
        <v>#VALUE!</v>
      </c>
      <c r="BG792" s="21">
        <f t="shared" si="2"/>
        <v>12</v>
      </c>
    </row>
    <row r="793">
      <c r="P793" s="161"/>
      <c r="AI793" s="102"/>
      <c r="AO793" s="12"/>
      <c r="AP793" s="12"/>
      <c r="AQ793" s="12"/>
      <c r="AR793" s="12"/>
      <c r="AS793" s="12"/>
      <c r="AT793" s="12"/>
      <c r="AU793" s="12"/>
      <c r="AV793" s="12"/>
      <c r="AW793" s="12"/>
      <c r="AX793" s="12"/>
      <c r="AY793" s="12"/>
      <c r="AZ793" s="12"/>
      <c r="BA793" s="12"/>
      <c r="BB793" s="12"/>
      <c r="BC793" s="12"/>
      <c r="BD793" s="12"/>
      <c r="BF793" s="106" t="str">
        <f t="shared" si="1"/>
        <v>#VALUE!</v>
      </c>
      <c r="BG793" s="21">
        <f t="shared" si="2"/>
        <v>12</v>
      </c>
    </row>
    <row r="794">
      <c r="P794" s="161"/>
      <c r="AI794" s="102"/>
      <c r="AO794" s="12"/>
      <c r="AP794" s="12"/>
      <c r="AQ794" s="12"/>
      <c r="AR794" s="12"/>
      <c r="AS794" s="12"/>
      <c r="AT794" s="12"/>
      <c r="AU794" s="12"/>
      <c r="AV794" s="12"/>
      <c r="AW794" s="12"/>
      <c r="AX794" s="12"/>
      <c r="AY794" s="12"/>
      <c r="AZ794" s="12"/>
      <c r="BA794" s="12"/>
      <c r="BB794" s="12"/>
      <c r="BC794" s="12"/>
      <c r="BD794" s="12"/>
      <c r="BF794" s="106" t="str">
        <f t="shared" si="1"/>
        <v>#VALUE!</v>
      </c>
      <c r="BG794" s="21">
        <f t="shared" si="2"/>
        <v>12</v>
      </c>
    </row>
    <row r="795">
      <c r="P795" s="161"/>
      <c r="AI795" s="102"/>
      <c r="AO795" s="12"/>
      <c r="AP795" s="12"/>
      <c r="AQ795" s="12"/>
      <c r="AR795" s="12"/>
      <c r="AS795" s="12"/>
      <c r="AT795" s="12"/>
      <c r="AU795" s="12"/>
      <c r="AV795" s="12"/>
      <c r="AW795" s="12"/>
      <c r="AX795" s="12"/>
      <c r="AY795" s="12"/>
      <c r="AZ795" s="12"/>
      <c r="BA795" s="12"/>
      <c r="BB795" s="12"/>
      <c r="BC795" s="12"/>
      <c r="BD795" s="12"/>
      <c r="BF795" s="106" t="str">
        <f t="shared" si="1"/>
        <v>#VALUE!</v>
      </c>
      <c r="BG795" s="21">
        <f t="shared" si="2"/>
        <v>12</v>
      </c>
    </row>
    <row r="796">
      <c r="P796" s="161"/>
      <c r="AI796" s="102"/>
      <c r="AO796" s="12"/>
      <c r="AP796" s="12"/>
      <c r="AQ796" s="12"/>
      <c r="AR796" s="12"/>
      <c r="AS796" s="12"/>
      <c r="AT796" s="12"/>
      <c r="AU796" s="12"/>
      <c r="AV796" s="12"/>
      <c r="AW796" s="12"/>
      <c r="AX796" s="12"/>
      <c r="AY796" s="12"/>
      <c r="AZ796" s="12"/>
      <c r="BA796" s="12"/>
      <c r="BB796" s="12"/>
      <c r="BC796" s="12"/>
      <c r="BD796" s="12"/>
      <c r="BF796" s="106" t="str">
        <f t="shared" si="1"/>
        <v>#VALUE!</v>
      </c>
      <c r="BG796" s="21">
        <f t="shared" si="2"/>
        <v>12</v>
      </c>
    </row>
    <row r="797">
      <c r="P797" s="161"/>
      <c r="AI797" s="102"/>
      <c r="AO797" s="12"/>
      <c r="AP797" s="12"/>
      <c r="AQ797" s="12"/>
      <c r="AR797" s="12"/>
      <c r="AS797" s="12"/>
      <c r="AT797" s="12"/>
      <c r="AU797" s="12"/>
      <c r="AV797" s="12"/>
      <c r="AW797" s="12"/>
      <c r="AX797" s="12"/>
      <c r="AY797" s="12"/>
      <c r="AZ797" s="12"/>
      <c r="BA797" s="12"/>
      <c r="BB797" s="12"/>
      <c r="BC797" s="12"/>
      <c r="BD797" s="12"/>
      <c r="BF797" s="106" t="str">
        <f t="shared" si="1"/>
        <v>#VALUE!</v>
      </c>
      <c r="BG797" s="21">
        <f t="shared" si="2"/>
        <v>12</v>
      </c>
    </row>
    <row r="798">
      <c r="P798" s="161"/>
      <c r="AI798" s="102"/>
      <c r="AO798" s="12"/>
      <c r="AP798" s="12"/>
      <c r="AQ798" s="12"/>
      <c r="AR798" s="12"/>
      <c r="AS798" s="12"/>
      <c r="AT798" s="12"/>
      <c r="AU798" s="12"/>
      <c r="AV798" s="12"/>
      <c r="AW798" s="12"/>
      <c r="AX798" s="12"/>
      <c r="AY798" s="12"/>
      <c r="AZ798" s="12"/>
      <c r="BA798" s="12"/>
      <c r="BB798" s="12"/>
      <c r="BC798" s="12"/>
      <c r="BD798" s="12"/>
      <c r="BF798" s="106" t="str">
        <f t="shared" si="1"/>
        <v>#VALUE!</v>
      </c>
      <c r="BG798" s="21">
        <f t="shared" si="2"/>
        <v>12</v>
      </c>
    </row>
    <row r="799">
      <c r="P799" s="161"/>
      <c r="AI799" s="102"/>
      <c r="AO799" s="12"/>
      <c r="AP799" s="12"/>
      <c r="AQ799" s="12"/>
      <c r="AR799" s="12"/>
      <c r="AS799" s="12"/>
      <c r="AT799" s="12"/>
      <c r="AU799" s="12"/>
      <c r="AV799" s="12"/>
      <c r="AW799" s="12"/>
      <c r="AX799" s="12"/>
      <c r="AY799" s="12"/>
      <c r="AZ799" s="12"/>
      <c r="BA799" s="12"/>
      <c r="BB799" s="12"/>
      <c r="BC799" s="12"/>
      <c r="BD799" s="12"/>
      <c r="BF799" s="106" t="str">
        <f t="shared" si="1"/>
        <v>#VALUE!</v>
      </c>
      <c r="BG799" s="21">
        <f t="shared" si="2"/>
        <v>12</v>
      </c>
    </row>
    <row r="800">
      <c r="P800" s="161"/>
      <c r="AI800" s="102"/>
      <c r="AO800" s="12"/>
      <c r="AP800" s="12"/>
      <c r="AQ800" s="12"/>
      <c r="AR800" s="12"/>
      <c r="AS800" s="12"/>
      <c r="AT800" s="12"/>
      <c r="AU800" s="12"/>
      <c r="AV800" s="12"/>
      <c r="AW800" s="12"/>
      <c r="AX800" s="12"/>
      <c r="AY800" s="12"/>
      <c r="AZ800" s="12"/>
      <c r="BA800" s="12"/>
      <c r="BB800" s="12"/>
      <c r="BC800" s="12"/>
      <c r="BD800" s="12"/>
      <c r="BF800" s="106" t="str">
        <f t="shared" si="1"/>
        <v>#VALUE!</v>
      </c>
      <c r="BG800" s="21">
        <f t="shared" si="2"/>
        <v>12</v>
      </c>
    </row>
    <row r="801">
      <c r="P801" s="161"/>
      <c r="AI801" s="102"/>
      <c r="AO801" s="12"/>
      <c r="AP801" s="12"/>
      <c r="AQ801" s="12"/>
      <c r="AR801" s="12"/>
      <c r="AS801" s="12"/>
      <c r="AT801" s="12"/>
      <c r="AU801" s="12"/>
      <c r="AV801" s="12"/>
      <c r="AW801" s="12"/>
      <c r="AX801" s="12"/>
      <c r="AY801" s="12"/>
      <c r="AZ801" s="12"/>
      <c r="BA801" s="12"/>
      <c r="BB801" s="12"/>
      <c r="BC801" s="12"/>
      <c r="BD801" s="12"/>
      <c r="BF801" s="106" t="str">
        <f t="shared" si="1"/>
        <v>#VALUE!</v>
      </c>
      <c r="BG801" s="21">
        <f t="shared" si="2"/>
        <v>12</v>
      </c>
    </row>
    <row r="802">
      <c r="P802" s="161"/>
      <c r="AI802" s="102"/>
      <c r="AO802" s="12"/>
      <c r="AP802" s="12"/>
      <c r="AQ802" s="12"/>
      <c r="AR802" s="12"/>
      <c r="AS802" s="12"/>
      <c r="AT802" s="12"/>
      <c r="AU802" s="12"/>
      <c r="AV802" s="12"/>
      <c r="AW802" s="12"/>
      <c r="AX802" s="12"/>
      <c r="AY802" s="12"/>
      <c r="AZ802" s="12"/>
      <c r="BA802" s="12"/>
      <c r="BB802" s="12"/>
      <c r="BC802" s="12"/>
      <c r="BD802" s="12"/>
      <c r="BF802" s="106" t="str">
        <f t="shared" si="1"/>
        <v>#VALUE!</v>
      </c>
      <c r="BG802" s="21">
        <f t="shared" si="2"/>
        <v>12</v>
      </c>
    </row>
    <row r="803">
      <c r="P803" s="161"/>
      <c r="AI803" s="102"/>
      <c r="AO803" s="12"/>
      <c r="AP803" s="12"/>
      <c r="AQ803" s="12"/>
      <c r="AR803" s="12"/>
      <c r="AS803" s="12"/>
      <c r="AT803" s="12"/>
      <c r="AU803" s="12"/>
      <c r="AV803" s="12"/>
      <c r="AW803" s="12"/>
      <c r="AX803" s="12"/>
      <c r="AY803" s="12"/>
      <c r="AZ803" s="12"/>
      <c r="BA803" s="12"/>
      <c r="BB803" s="12"/>
      <c r="BC803" s="12"/>
      <c r="BD803" s="12"/>
      <c r="BF803" s="106" t="str">
        <f t="shared" si="1"/>
        <v>#VALUE!</v>
      </c>
      <c r="BG803" s="21">
        <f t="shared" si="2"/>
        <v>12</v>
      </c>
    </row>
    <row r="804">
      <c r="P804" s="161"/>
      <c r="AI804" s="102"/>
      <c r="AO804" s="12"/>
      <c r="AP804" s="12"/>
      <c r="AQ804" s="12"/>
      <c r="AR804" s="12"/>
      <c r="AS804" s="12"/>
      <c r="AT804" s="12"/>
      <c r="AU804" s="12"/>
      <c r="AV804" s="12"/>
      <c r="AW804" s="12"/>
      <c r="AX804" s="12"/>
      <c r="AY804" s="12"/>
      <c r="AZ804" s="12"/>
      <c r="BA804" s="12"/>
      <c r="BB804" s="12"/>
      <c r="BC804" s="12"/>
      <c r="BD804" s="12"/>
      <c r="BF804" s="106" t="str">
        <f t="shared" si="1"/>
        <v>#VALUE!</v>
      </c>
      <c r="BG804" s="21">
        <f t="shared" si="2"/>
        <v>12</v>
      </c>
    </row>
    <row r="805">
      <c r="P805" s="161"/>
      <c r="AI805" s="102"/>
      <c r="AO805" s="12"/>
      <c r="AP805" s="12"/>
      <c r="AQ805" s="12"/>
      <c r="AR805" s="12"/>
      <c r="AS805" s="12"/>
      <c r="AT805" s="12"/>
      <c r="AU805" s="12"/>
      <c r="AV805" s="12"/>
      <c r="AW805" s="12"/>
      <c r="AX805" s="12"/>
      <c r="AY805" s="12"/>
      <c r="AZ805" s="12"/>
      <c r="BA805" s="12"/>
      <c r="BB805" s="12"/>
      <c r="BC805" s="12"/>
      <c r="BD805" s="12"/>
      <c r="BF805" s="106" t="str">
        <f t="shared" si="1"/>
        <v>#VALUE!</v>
      </c>
      <c r="BG805" s="21">
        <f t="shared" si="2"/>
        <v>12</v>
      </c>
    </row>
    <row r="806">
      <c r="P806" s="161"/>
      <c r="AI806" s="102"/>
      <c r="AO806" s="12"/>
      <c r="AP806" s="12"/>
      <c r="AQ806" s="12"/>
      <c r="AR806" s="12"/>
      <c r="AS806" s="12"/>
      <c r="AT806" s="12"/>
      <c r="AU806" s="12"/>
      <c r="AV806" s="12"/>
      <c r="AW806" s="12"/>
      <c r="AX806" s="12"/>
      <c r="AY806" s="12"/>
      <c r="AZ806" s="12"/>
      <c r="BA806" s="12"/>
      <c r="BB806" s="12"/>
      <c r="BC806" s="12"/>
      <c r="BD806" s="12"/>
      <c r="BF806" s="106" t="str">
        <f t="shared" si="1"/>
        <v>#VALUE!</v>
      </c>
      <c r="BG806" s="21">
        <f t="shared" si="2"/>
        <v>12</v>
      </c>
    </row>
    <row r="807">
      <c r="P807" s="161"/>
      <c r="AI807" s="102"/>
      <c r="AO807" s="12"/>
      <c r="AP807" s="12"/>
      <c r="AQ807" s="12"/>
      <c r="AR807" s="12"/>
      <c r="AS807" s="12"/>
      <c r="AT807" s="12"/>
      <c r="AU807" s="12"/>
      <c r="AV807" s="12"/>
      <c r="AW807" s="12"/>
      <c r="AX807" s="12"/>
      <c r="AY807" s="12"/>
      <c r="AZ807" s="12"/>
      <c r="BA807" s="12"/>
      <c r="BB807" s="12"/>
      <c r="BC807" s="12"/>
      <c r="BD807" s="12"/>
      <c r="BF807" s="106" t="str">
        <f t="shared" si="1"/>
        <v>#VALUE!</v>
      </c>
      <c r="BG807" s="21">
        <f t="shared" si="2"/>
        <v>12</v>
      </c>
    </row>
    <row r="808">
      <c r="P808" s="161"/>
      <c r="AI808" s="102"/>
      <c r="AO808" s="12"/>
      <c r="AP808" s="12"/>
      <c r="AQ808" s="12"/>
      <c r="AR808" s="12"/>
      <c r="AS808" s="12"/>
      <c r="AT808" s="12"/>
      <c r="AU808" s="12"/>
      <c r="AV808" s="12"/>
      <c r="AW808" s="12"/>
      <c r="AX808" s="12"/>
      <c r="AY808" s="12"/>
      <c r="AZ808" s="12"/>
      <c r="BA808" s="12"/>
      <c r="BB808" s="12"/>
      <c r="BC808" s="12"/>
      <c r="BD808" s="12"/>
      <c r="BF808" s="106" t="str">
        <f t="shared" si="1"/>
        <v>#VALUE!</v>
      </c>
      <c r="BG808" s="21">
        <f t="shared" si="2"/>
        <v>12</v>
      </c>
    </row>
    <row r="809">
      <c r="P809" s="161"/>
      <c r="AI809" s="102"/>
      <c r="AO809" s="12"/>
      <c r="AP809" s="12"/>
      <c r="AQ809" s="12"/>
      <c r="AR809" s="12"/>
      <c r="AS809" s="12"/>
      <c r="AT809" s="12"/>
      <c r="AU809" s="12"/>
      <c r="AV809" s="12"/>
      <c r="AW809" s="12"/>
      <c r="AX809" s="12"/>
      <c r="AY809" s="12"/>
      <c r="AZ809" s="12"/>
      <c r="BA809" s="12"/>
      <c r="BB809" s="12"/>
      <c r="BC809" s="12"/>
      <c r="BD809" s="12"/>
      <c r="BF809" s="106" t="str">
        <f t="shared" si="1"/>
        <v>#VALUE!</v>
      </c>
      <c r="BG809" s="21">
        <f t="shared" si="2"/>
        <v>12</v>
      </c>
    </row>
    <row r="810">
      <c r="P810" s="161"/>
      <c r="AI810" s="102"/>
      <c r="AO810" s="12"/>
      <c r="AP810" s="12"/>
      <c r="AQ810" s="12"/>
      <c r="AR810" s="12"/>
      <c r="AS810" s="12"/>
      <c r="AT810" s="12"/>
      <c r="AU810" s="12"/>
      <c r="AV810" s="12"/>
      <c r="AW810" s="12"/>
      <c r="AX810" s="12"/>
      <c r="AY810" s="12"/>
      <c r="AZ810" s="12"/>
      <c r="BA810" s="12"/>
      <c r="BB810" s="12"/>
      <c r="BC810" s="12"/>
      <c r="BD810" s="12"/>
      <c r="BF810" s="106" t="str">
        <f t="shared" si="1"/>
        <v>#VALUE!</v>
      </c>
      <c r="BG810" s="21">
        <f t="shared" si="2"/>
        <v>12</v>
      </c>
    </row>
    <row r="811">
      <c r="P811" s="161"/>
      <c r="AI811" s="102"/>
      <c r="AO811" s="12"/>
      <c r="AP811" s="12"/>
      <c r="AQ811" s="12"/>
      <c r="AR811" s="12"/>
      <c r="AS811" s="12"/>
      <c r="AT811" s="12"/>
      <c r="AU811" s="12"/>
      <c r="AV811" s="12"/>
      <c r="AW811" s="12"/>
      <c r="AX811" s="12"/>
      <c r="AY811" s="12"/>
      <c r="AZ811" s="12"/>
      <c r="BA811" s="12"/>
      <c r="BB811" s="12"/>
      <c r="BC811" s="12"/>
      <c r="BD811" s="12"/>
      <c r="BF811" s="106" t="str">
        <f t="shared" si="1"/>
        <v>#VALUE!</v>
      </c>
      <c r="BG811" s="21">
        <f t="shared" si="2"/>
        <v>12</v>
      </c>
    </row>
    <row r="812">
      <c r="P812" s="161"/>
      <c r="AI812" s="102"/>
      <c r="AO812" s="12"/>
      <c r="AP812" s="12"/>
      <c r="AQ812" s="12"/>
      <c r="AR812" s="12"/>
      <c r="AS812" s="12"/>
      <c r="AT812" s="12"/>
      <c r="AU812" s="12"/>
      <c r="AV812" s="12"/>
      <c r="AW812" s="12"/>
      <c r="AX812" s="12"/>
      <c r="AY812" s="12"/>
      <c r="AZ812" s="12"/>
      <c r="BA812" s="12"/>
      <c r="BB812" s="12"/>
      <c r="BC812" s="12"/>
      <c r="BD812" s="12"/>
      <c r="BF812" s="106" t="str">
        <f t="shared" si="1"/>
        <v>#VALUE!</v>
      </c>
      <c r="BG812" s="21">
        <f t="shared" si="2"/>
        <v>12</v>
      </c>
    </row>
    <row r="813">
      <c r="P813" s="161"/>
      <c r="AI813" s="102"/>
      <c r="AO813" s="12"/>
      <c r="AP813" s="12"/>
      <c r="AQ813" s="12"/>
      <c r="AR813" s="12"/>
      <c r="AS813" s="12"/>
      <c r="AT813" s="12"/>
      <c r="AU813" s="12"/>
      <c r="AV813" s="12"/>
      <c r="AW813" s="12"/>
      <c r="AX813" s="12"/>
      <c r="AY813" s="12"/>
      <c r="AZ813" s="12"/>
      <c r="BA813" s="12"/>
      <c r="BB813" s="12"/>
      <c r="BC813" s="12"/>
      <c r="BD813" s="12"/>
      <c r="BF813" s="106" t="str">
        <f t="shared" si="1"/>
        <v>#VALUE!</v>
      </c>
      <c r="BG813" s="21">
        <f t="shared" si="2"/>
        <v>12</v>
      </c>
    </row>
    <row r="814">
      <c r="P814" s="161"/>
      <c r="AI814" s="102"/>
      <c r="AO814" s="12"/>
      <c r="AP814" s="12"/>
      <c r="AQ814" s="12"/>
      <c r="AR814" s="12"/>
      <c r="AS814" s="12"/>
      <c r="AT814" s="12"/>
      <c r="AU814" s="12"/>
      <c r="AV814" s="12"/>
      <c r="AW814" s="12"/>
      <c r="AX814" s="12"/>
      <c r="AY814" s="12"/>
      <c r="AZ814" s="12"/>
      <c r="BA814" s="12"/>
      <c r="BB814" s="12"/>
      <c r="BC814" s="12"/>
      <c r="BD814" s="12"/>
      <c r="BF814" s="106" t="str">
        <f t="shared" si="1"/>
        <v>#VALUE!</v>
      </c>
      <c r="BG814" s="21">
        <f t="shared" si="2"/>
        <v>12</v>
      </c>
    </row>
    <row r="815">
      <c r="P815" s="161"/>
      <c r="AI815" s="102"/>
      <c r="AO815" s="12"/>
      <c r="AP815" s="12"/>
      <c r="AQ815" s="12"/>
      <c r="AR815" s="12"/>
      <c r="AS815" s="12"/>
      <c r="AT815" s="12"/>
      <c r="AU815" s="12"/>
      <c r="AV815" s="12"/>
      <c r="AW815" s="12"/>
      <c r="AX815" s="12"/>
      <c r="AY815" s="12"/>
      <c r="AZ815" s="12"/>
      <c r="BA815" s="12"/>
      <c r="BB815" s="12"/>
      <c r="BC815" s="12"/>
      <c r="BD815" s="12"/>
      <c r="BF815" s="106" t="str">
        <f t="shared" si="1"/>
        <v>#VALUE!</v>
      </c>
      <c r="BG815" s="21">
        <f t="shared" si="2"/>
        <v>12</v>
      </c>
    </row>
    <row r="816">
      <c r="P816" s="161"/>
      <c r="AI816" s="102"/>
      <c r="AO816" s="12"/>
      <c r="AP816" s="12"/>
      <c r="AQ816" s="12"/>
      <c r="AR816" s="12"/>
      <c r="AS816" s="12"/>
      <c r="AT816" s="12"/>
      <c r="AU816" s="12"/>
      <c r="AV816" s="12"/>
      <c r="AW816" s="12"/>
      <c r="AX816" s="12"/>
      <c r="AY816" s="12"/>
      <c r="AZ816" s="12"/>
      <c r="BA816" s="12"/>
      <c r="BB816" s="12"/>
      <c r="BC816" s="12"/>
      <c r="BD816" s="12"/>
      <c r="BF816" s="106" t="str">
        <f t="shared" si="1"/>
        <v>#VALUE!</v>
      </c>
      <c r="BG816" s="21">
        <f t="shared" si="2"/>
        <v>12</v>
      </c>
    </row>
    <row r="817">
      <c r="P817" s="161"/>
      <c r="AI817" s="102"/>
      <c r="AO817" s="12"/>
      <c r="AP817" s="12"/>
      <c r="AQ817" s="12"/>
      <c r="AR817" s="12"/>
      <c r="AS817" s="12"/>
      <c r="AT817" s="12"/>
      <c r="AU817" s="12"/>
      <c r="AV817" s="12"/>
      <c r="AW817" s="12"/>
      <c r="AX817" s="12"/>
      <c r="AY817" s="12"/>
      <c r="AZ817" s="12"/>
      <c r="BA817" s="12"/>
      <c r="BB817" s="12"/>
      <c r="BC817" s="12"/>
      <c r="BD817" s="12"/>
      <c r="BF817" s="106" t="str">
        <f t="shared" si="1"/>
        <v>#VALUE!</v>
      </c>
      <c r="BG817" s="21">
        <f t="shared" si="2"/>
        <v>12</v>
      </c>
    </row>
    <row r="818">
      <c r="P818" s="161"/>
      <c r="AI818" s="102"/>
      <c r="AO818" s="12"/>
      <c r="AP818" s="12"/>
      <c r="AQ818" s="12"/>
      <c r="AR818" s="12"/>
      <c r="AS818" s="12"/>
      <c r="AT818" s="12"/>
      <c r="AU818" s="12"/>
      <c r="AV818" s="12"/>
      <c r="AW818" s="12"/>
      <c r="AX818" s="12"/>
      <c r="AY818" s="12"/>
      <c r="AZ818" s="12"/>
      <c r="BA818" s="12"/>
      <c r="BB818" s="12"/>
      <c r="BC818" s="12"/>
      <c r="BD818" s="12"/>
      <c r="BF818" s="106" t="str">
        <f t="shared" si="1"/>
        <v>#VALUE!</v>
      </c>
      <c r="BG818" s="21">
        <f t="shared" si="2"/>
        <v>12</v>
      </c>
    </row>
    <row r="819">
      <c r="P819" s="161"/>
      <c r="AI819" s="102"/>
      <c r="AO819" s="12"/>
      <c r="AP819" s="12"/>
      <c r="AQ819" s="12"/>
      <c r="AR819" s="12"/>
      <c r="AS819" s="12"/>
      <c r="AT819" s="12"/>
      <c r="AU819" s="12"/>
      <c r="AV819" s="12"/>
      <c r="AW819" s="12"/>
      <c r="AX819" s="12"/>
      <c r="AY819" s="12"/>
      <c r="AZ819" s="12"/>
      <c r="BA819" s="12"/>
      <c r="BB819" s="12"/>
      <c r="BC819" s="12"/>
      <c r="BD819" s="12"/>
      <c r="BF819" s="106" t="str">
        <f t="shared" si="1"/>
        <v>#VALUE!</v>
      </c>
      <c r="BG819" s="21">
        <f t="shared" si="2"/>
        <v>12</v>
      </c>
    </row>
    <row r="820">
      <c r="P820" s="161"/>
      <c r="AI820" s="102"/>
      <c r="AO820" s="12"/>
      <c r="AP820" s="12"/>
      <c r="AQ820" s="12"/>
      <c r="AR820" s="12"/>
      <c r="AS820" s="12"/>
      <c r="AT820" s="12"/>
      <c r="AU820" s="12"/>
      <c r="AV820" s="12"/>
      <c r="AW820" s="12"/>
      <c r="AX820" s="12"/>
      <c r="AY820" s="12"/>
      <c r="AZ820" s="12"/>
      <c r="BA820" s="12"/>
      <c r="BB820" s="12"/>
      <c r="BC820" s="12"/>
      <c r="BD820" s="12"/>
      <c r="BF820" s="106" t="str">
        <f t="shared" si="1"/>
        <v>#VALUE!</v>
      </c>
      <c r="BG820" s="21">
        <f t="shared" si="2"/>
        <v>12</v>
      </c>
    </row>
    <row r="821">
      <c r="P821" s="161"/>
      <c r="AI821" s="102"/>
      <c r="AO821" s="12"/>
      <c r="AP821" s="12"/>
      <c r="AQ821" s="12"/>
      <c r="AR821" s="12"/>
      <c r="AS821" s="12"/>
      <c r="AT821" s="12"/>
      <c r="AU821" s="12"/>
      <c r="AV821" s="12"/>
      <c r="AW821" s="12"/>
      <c r="AX821" s="12"/>
      <c r="AY821" s="12"/>
      <c r="AZ821" s="12"/>
      <c r="BA821" s="12"/>
      <c r="BB821" s="12"/>
      <c r="BC821" s="12"/>
      <c r="BD821" s="12"/>
      <c r="BF821" s="106" t="str">
        <f t="shared" si="1"/>
        <v>#VALUE!</v>
      </c>
      <c r="BG821" s="21">
        <f t="shared" si="2"/>
        <v>12</v>
      </c>
    </row>
    <row r="822">
      <c r="P822" s="161"/>
      <c r="AI822" s="102"/>
      <c r="AO822" s="12"/>
      <c r="AP822" s="12"/>
      <c r="AQ822" s="12"/>
      <c r="AR822" s="12"/>
      <c r="AS822" s="12"/>
      <c r="AT822" s="12"/>
      <c r="AU822" s="12"/>
      <c r="AV822" s="12"/>
      <c r="AW822" s="12"/>
      <c r="AX822" s="12"/>
      <c r="AY822" s="12"/>
      <c r="AZ822" s="12"/>
      <c r="BA822" s="12"/>
      <c r="BB822" s="12"/>
      <c r="BC822" s="12"/>
      <c r="BD822" s="12"/>
      <c r="BF822" s="106" t="str">
        <f t="shared" si="1"/>
        <v>#VALUE!</v>
      </c>
      <c r="BG822" s="21">
        <f t="shared" si="2"/>
        <v>12</v>
      </c>
    </row>
    <row r="823">
      <c r="P823" s="161"/>
      <c r="AI823" s="102"/>
      <c r="AO823" s="12"/>
      <c r="AP823" s="12"/>
      <c r="AQ823" s="12"/>
      <c r="AR823" s="12"/>
      <c r="AS823" s="12"/>
      <c r="AT823" s="12"/>
      <c r="AU823" s="12"/>
      <c r="AV823" s="12"/>
      <c r="AW823" s="12"/>
      <c r="AX823" s="12"/>
      <c r="AY823" s="12"/>
      <c r="AZ823" s="12"/>
      <c r="BA823" s="12"/>
      <c r="BB823" s="12"/>
      <c r="BC823" s="12"/>
      <c r="BD823" s="12"/>
      <c r="BF823" s="106" t="str">
        <f t="shared" si="1"/>
        <v>#VALUE!</v>
      </c>
      <c r="BG823" s="21">
        <f t="shared" si="2"/>
        <v>12</v>
      </c>
    </row>
    <row r="824">
      <c r="P824" s="161"/>
      <c r="AI824" s="102"/>
      <c r="AO824" s="12"/>
      <c r="AP824" s="12"/>
      <c r="AQ824" s="12"/>
      <c r="AR824" s="12"/>
      <c r="AS824" s="12"/>
      <c r="AT824" s="12"/>
      <c r="AU824" s="12"/>
      <c r="AV824" s="12"/>
      <c r="AW824" s="12"/>
      <c r="AX824" s="12"/>
      <c r="AY824" s="12"/>
      <c r="AZ824" s="12"/>
      <c r="BA824" s="12"/>
      <c r="BB824" s="12"/>
      <c r="BC824" s="12"/>
      <c r="BD824" s="12"/>
      <c r="BF824" s="106" t="str">
        <f t="shared" si="1"/>
        <v>#VALUE!</v>
      </c>
      <c r="BG824" s="21">
        <f t="shared" si="2"/>
        <v>12</v>
      </c>
    </row>
    <row r="825">
      <c r="P825" s="161"/>
      <c r="AI825" s="102"/>
      <c r="AO825" s="12"/>
      <c r="AP825" s="12"/>
      <c r="AQ825" s="12"/>
      <c r="AR825" s="12"/>
      <c r="AS825" s="12"/>
      <c r="AT825" s="12"/>
      <c r="AU825" s="12"/>
      <c r="AV825" s="12"/>
      <c r="AW825" s="12"/>
      <c r="AX825" s="12"/>
      <c r="AY825" s="12"/>
      <c r="AZ825" s="12"/>
      <c r="BA825" s="12"/>
      <c r="BB825" s="12"/>
      <c r="BC825" s="12"/>
      <c r="BD825" s="12"/>
      <c r="BF825" s="106" t="str">
        <f t="shared" si="1"/>
        <v>#VALUE!</v>
      </c>
      <c r="BG825" s="21">
        <f t="shared" si="2"/>
        <v>12</v>
      </c>
    </row>
    <row r="826">
      <c r="P826" s="161"/>
      <c r="AI826" s="102"/>
      <c r="AO826" s="12"/>
      <c r="AP826" s="12"/>
      <c r="AQ826" s="12"/>
      <c r="AR826" s="12"/>
      <c r="AS826" s="12"/>
      <c r="AT826" s="12"/>
      <c r="AU826" s="12"/>
      <c r="AV826" s="12"/>
      <c r="AW826" s="12"/>
      <c r="AX826" s="12"/>
      <c r="AY826" s="12"/>
      <c r="AZ826" s="12"/>
      <c r="BA826" s="12"/>
      <c r="BB826" s="12"/>
      <c r="BC826" s="12"/>
      <c r="BD826" s="12"/>
      <c r="BF826" s="106" t="str">
        <f t="shared" si="1"/>
        <v>#VALUE!</v>
      </c>
      <c r="BG826" s="21">
        <f t="shared" si="2"/>
        <v>12</v>
      </c>
    </row>
    <row r="827">
      <c r="P827" s="161"/>
      <c r="AI827" s="102"/>
      <c r="AO827" s="12"/>
      <c r="AP827" s="12"/>
      <c r="AQ827" s="12"/>
      <c r="AR827" s="12"/>
      <c r="AS827" s="12"/>
      <c r="AT827" s="12"/>
      <c r="AU827" s="12"/>
      <c r="AV827" s="12"/>
      <c r="AW827" s="12"/>
      <c r="AX827" s="12"/>
      <c r="AY827" s="12"/>
      <c r="AZ827" s="12"/>
      <c r="BA827" s="12"/>
      <c r="BB827" s="12"/>
      <c r="BC827" s="12"/>
      <c r="BD827" s="12"/>
      <c r="BF827" s="106" t="str">
        <f t="shared" si="1"/>
        <v>#VALUE!</v>
      </c>
      <c r="BG827" s="21">
        <f t="shared" si="2"/>
        <v>12</v>
      </c>
    </row>
    <row r="828">
      <c r="P828" s="161"/>
      <c r="AI828" s="102"/>
      <c r="AO828" s="12"/>
      <c r="AP828" s="12"/>
      <c r="AQ828" s="12"/>
      <c r="AR828" s="12"/>
      <c r="AS828" s="12"/>
      <c r="AT828" s="12"/>
      <c r="AU828" s="12"/>
      <c r="AV828" s="12"/>
      <c r="AW828" s="12"/>
      <c r="AX828" s="12"/>
      <c r="AY828" s="12"/>
      <c r="AZ828" s="12"/>
      <c r="BA828" s="12"/>
      <c r="BB828" s="12"/>
      <c r="BC828" s="12"/>
      <c r="BD828" s="12"/>
      <c r="BF828" s="106" t="str">
        <f t="shared" si="1"/>
        <v>#VALUE!</v>
      </c>
      <c r="BG828" s="21">
        <f t="shared" si="2"/>
        <v>12</v>
      </c>
    </row>
    <row r="829">
      <c r="P829" s="161"/>
      <c r="AI829" s="102"/>
      <c r="AO829" s="12"/>
      <c r="AP829" s="12"/>
      <c r="AQ829" s="12"/>
      <c r="AR829" s="12"/>
      <c r="AS829" s="12"/>
      <c r="AT829" s="12"/>
      <c r="AU829" s="12"/>
      <c r="AV829" s="12"/>
      <c r="AW829" s="12"/>
      <c r="AX829" s="12"/>
      <c r="AY829" s="12"/>
      <c r="AZ829" s="12"/>
      <c r="BA829" s="12"/>
      <c r="BB829" s="12"/>
      <c r="BC829" s="12"/>
      <c r="BD829" s="12"/>
      <c r="BF829" s="106" t="str">
        <f t="shared" si="1"/>
        <v>#VALUE!</v>
      </c>
      <c r="BG829" s="21">
        <f t="shared" si="2"/>
        <v>12</v>
      </c>
    </row>
    <row r="830">
      <c r="P830" s="161"/>
      <c r="AI830" s="102"/>
      <c r="AO830" s="12"/>
      <c r="AP830" s="12"/>
      <c r="AQ830" s="12"/>
      <c r="AR830" s="12"/>
      <c r="AS830" s="12"/>
      <c r="AT830" s="12"/>
      <c r="AU830" s="12"/>
      <c r="AV830" s="12"/>
      <c r="AW830" s="12"/>
      <c r="AX830" s="12"/>
      <c r="AY830" s="12"/>
      <c r="AZ830" s="12"/>
      <c r="BA830" s="12"/>
      <c r="BB830" s="12"/>
      <c r="BC830" s="12"/>
      <c r="BD830" s="12"/>
      <c r="BF830" s="106" t="str">
        <f t="shared" si="1"/>
        <v>#VALUE!</v>
      </c>
      <c r="BG830" s="21">
        <f t="shared" si="2"/>
        <v>12</v>
      </c>
    </row>
    <row r="831">
      <c r="P831" s="161"/>
      <c r="AI831" s="102"/>
      <c r="AO831" s="12"/>
      <c r="AP831" s="12"/>
      <c r="AQ831" s="12"/>
      <c r="AR831" s="12"/>
      <c r="AS831" s="12"/>
      <c r="AT831" s="12"/>
      <c r="AU831" s="12"/>
      <c r="AV831" s="12"/>
      <c r="AW831" s="12"/>
      <c r="AX831" s="12"/>
      <c r="AY831" s="12"/>
      <c r="AZ831" s="12"/>
      <c r="BA831" s="12"/>
      <c r="BB831" s="12"/>
      <c r="BC831" s="12"/>
      <c r="BD831" s="12"/>
      <c r="BF831" s="106" t="str">
        <f t="shared" si="1"/>
        <v>#VALUE!</v>
      </c>
      <c r="BG831" s="21">
        <f t="shared" si="2"/>
        <v>12</v>
      </c>
    </row>
    <row r="832">
      <c r="P832" s="161"/>
      <c r="AI832" s="102"/>
      <c r="AO832" s="12"/>
      <c r="AP832" s="12"/>
      <c r="AQ832" s="12"/>
      <c r="AR832" s="12"/>
      <c r="AS832" s="12"/>
      <c r="AT832" s="12"/>
      <c r="AU832" s="12"/>
      <c r="AV832" s="12"/>
      <c r="AW832" s="12"/>
      <c r="AX832" s="12"/>
      <c r="AY832" s="12"/>
      <c r="AZ832" s="12"/>
      <c r="BA832" s="12"/>
      <c r="BB832" s="12"/>
      <c r="BC832" s="12"/>
      <c r="BD832" s="12"/>
      <c r="BF832" s="106" t="str">
        <f t="shared" si="1"/>
        <v>#VALUE!</v>
      </c>
      <c r="BG832" s="21">
        <f t="shared" si="2"/>
        <v>12</v>
      </c>
    </row>
    <row r="833">
      <c r="P833" s="161"/>
      <c r="AI833" s="102"/>
      <c r="AO833" s="12"/>
      <c r="AP833" s="12"/>
      <c r="AQ833" s="12"/>
      <c r="AR833" s="12"/>
      <c r="AS833" s="12"/>
      <c r="AT833" s="12"/>
      <c r="AU833" s="12"/>
      <c r="AV833" s="12"/>
      <c r="AW833" s="12"/>
      <c r="AX833" s="12"/>
      <c r="AY833" s="12"/>
      <c r="AZ833" s="12"/>
      <c r="BA833" s="12"/>
      <c r="BB833" s="12"/>
      <c r="BC833" s="12"/>
      <c r="BD833" s="12"/>
      <c r="BF833" s="106" t="str">
        <f t="shared" si="1"/>
        <v>#VALUE!</v>
      </c>
      <c r="BG833" s="21">
        <f t="shared" si="2"/>
        <v>12</v>
      </c>
    </row>
    <row r="834">
      <c r="P834" s="161"/>
      <c r="AI834" s="102"/>
      <c r="AO834" s="12"/>
      <c r="AP834" s="12"/>
      <c r="AQ834" s="12"/>
      <c r="AR834" s="12"/>
      <c r="AS834" s="12"/>
      <c r="AT834" s="12"/>
      <c r="AU834" s="12"/>
      <c r="AV834" s="12"/>
      <c r="AW834" s="12"/>
      <c r="AX834" s="12"/>
      <c r="AY834" s="12"/>
      <c r="AZ834" s="12"/>
      <c r="BA834" s="12"/>
      <c r="BB834" s="12"/>
      <c r="BC834" s="12"/>
      <c r="BD834" s="12"/>
      <c r="BF834" s="106" t="str">
        <f t="shared" si="1"/>
        <v>#VALUE!</v>
      </c>
      <c r="BG834" s="21">
        <f t="shared" si="2"/>
        <v>12</v>
      </c>
    </row>
    <row r="835">
      <c r="P835" s="161"/>
      <c r="AI835" s="102"/>
      <c r="AO835" s="12"/>
      <c r="AP835" s="12"/>
      <c r="AQ835" s="12"/>
      <c r="AR835" s="12"/>
      <c r="AS835" s="12"/>
      <c r="AT835" s="12"/>
      <c r="AU835" s="12"/>
      <c r="AV835" s="12"/>
      <c r="AW835" s="12"/>
      <c r="AX835" s="12"/>
      <c r="AY835" s="12"/>
      <c r="AZ835" s="12"/>
      <c r="BA835" s="12"/>
      <c r="BB835" s="12"/>
      <c r="BC835" s="12"/>
      <c r="BD835" s="12"/>
      <c r="BF835" s="106" t="str">
        <f t="shared" si="1"/>
        <v>#VALUE!</v>
      </c>
      <c r="BG835" s="21">
        <f t="shared" si="2"/>
        <v>12</v>
      </c>
    </row>
    <row r="836">
      <c r="P836" s="161"/>
      <c r="AI836" s="102"/>
      <c r="AO836" s="12"/>
      <c r="AP836" s="12"/>
      <c r="AQ836" s="12"/>
      <c r="AR836" s="12"/>
      <c r="AS836" s="12"/>
      <c r="AT836" s="12"/>
      <c r="AU836" s="12"/>
      <c r="AV836" s="12"/>
      <c r="AW836" s="12"/>
      <c r="AX836" s="12"/>
      <c r="AY836" s="12"/>
      <c r="AZ836" s="12"/>
      <c r="BA836" s="12"/>
      <c r="BB836" s="12"/>
      <c r="BC836" s="12"/>
      <c r="BD836" s="12"/>
      <c r="BF836" s="106" t="str">
        <f t="shared" si="1"/>
        <v>#VALUE!</v>
      </c>
      <c r="BG836" s="21">
        <f t="shared" si="2"/>
        <v>12</v>
      </c>
    </row>
    <row r="837">
      <c r="P837" s="161"/>
      <c r="AI837" s="102"/>
      <c r="AO837" s="12"/>
      <c r="AP837" s="12"/>
      <c r="AQ837" s="12"/>
      <c r="AR837" s="12"/>
      <c r="AS837" s="12"/>
      <c r="AT837" s="12"/>
      <c r="AU837" s="12"/>
      <c r="AV837" s="12"/>
      <c r="AW837" s="12"/>
      <c r="AX837" s="12"/>
      <c r="AY837" s="12"/>
      <c r="AZ837" s="12"/>
      <c r="BA837" s="12"/>
      <c r="BB837" s="12"/>
      <c r="BC837" s="12"/>
      <c r="BD837" s="12"/>
      <c r="BF837" s="106" t="str">
        <f t="shared" si="1"/>
        <v>#VALUE!</v>
      </c>
      <c r="BG837" s="21">
        <f t="shared" si="2"/>
        <v>12</v>
      </c>
    </row>
    <row r="838">
      <c r="P838" s="161"/>
      <c r="AI838" s="102"/>
      <c r="AO838" s="12"/>
      <c r="AP838" s="12"/>
      <c r="AQ838" s="12"/>
      <c r="AR838" s="12"/>
      <c r="AS838" s="12"/>
      <c r="AT838" s="12"/>
      <c r="AU838" s="12"/>
      <c r="AV838" s="12"/>
      <c r="AW838" s="12"/>
      <c r="AX838" s="12"/>
      <c r="AY838" s="12"/>
      <c r="AZ838" s="12"/>
      <c r="BA838" s="12"/>
      <c r="BB838" s="12"/>
      <c r="BC838" s="12"/>
      <c r="BD838" s="12"/>
      <c r="BF838" s="106" t="str">
        <f t="shared" si="1"/>
        <v>#VALUE!</v>
      </c>
      <c r="BG838" s="21">
        <f t="shared" si="2"/>
        <v>12</v>
      </c>
    </row>
    <row r="839">
      <c r="P839" s="161"/>
      <c r="AI839" s="102"/>
      <c r="AO839" s="12"/>
      <c r="AP839" s="12"/>
      <c r="AQ839" s="12"/>
      <c r="AR839" s="12"/>
      <c r="AS839" s="12"/>
      <c r="AT839" s="12"/>
      <c r="AU839" s="12"/>
      <c r="AV839" s="12"/>
      <c r="AW839" s="12"/>
      <c r="AX839" s="12"/>
      <c r="AY839" s="12"/>
      <c r="AZ839" s="12"/>
      <c r="BA839" s="12"/>
      <c r="BB839" s="12"/>
      <c r="BC839" s="12"/>
      <c r="BD839" s="12"/>
      <c r="BF839" s="106" t="str">
        <f t="shared" si="1"/>
        <v>#VALUE!</v>
      </c>
      <c r="BG839" s="21">
        <f t="shared" si="2"/>
        <v>12</v>
      </c>
    </row>
    <row r="840">
      <c r="P840" s="161"/>
      <c r="AI840" s="102"/>
      <c r="AO840" s="12"/>
      <c r="AP840" s="12"/>
      <c r="AQ840" s="12"/>
      <c r="AR840" s="12"/>
      <c r="AS840" s="12"/>
      <c r="AT840" s="12"/>
      <c r="AU840" s="12"/>
      <c r="AV840" s="12"/>
      <c r="AW840" s="12"/>
      <c r="AX840" s="12"/>
      <c r="AY840" s="12"/>
      <c r="AZ840" s="12"/>
      <c r="BA840" s="12"/>
      <c r="BB840" s="12"/>
      <c r="BC840" s="12"/>
      <c r="BD840" s="12"/>
      <c r="BF840" s="106" t="str">
        <f t="shared" si="1"/>
        <v>#VALUE!</v>
      </c>
      <c r="BG840" s="21">
        <f t="shared" si="2"/>
        <v>12</v>
      </c>
    </row>
    <row r="841">
      <c r="P841" s="161"/>
      <c r="AI841" s="102"/>
      <c r="AO841" s="12"/>
      <c r="AP841" s="12"/>
      <c r="AQ841" s="12"/>
      <c r="AR841" s="12"/>
      <c r="AS841" s="12"/>
      <c r="AT841" s="12"/>
      <c r="AU841" s="12"/>
      <c r="AV841" s="12"/>
      <c r="AW841" s="12"/>
      <c r="AX841" s="12"/>
      <c r="AY841" s="12"/>
      <c r="AZ841" s="12"/>
      <c r="BA841" s="12"/>
      <c r="BB841" s="12"/>
      <c r="BC841" s="12"/>
      <c r="BD841" s="12"/>
      <c r="BF841" s="106" t="str">
        <f t="shared" si="1"/>
        <v>#VALUE!</v>
      </c>
      <c r="BG841" s="21">
        <f t="shared" si="2"/>
        <v>12</v>
      </c>
    </row>
    <row r="842">
      <c r="P842" s="161"/>
      <c r="AI842" s="102"/>
      <c r="AO842" s="12"/>
      <c r="AP842" s="12"/>
      <c r="AQ842" s="12"/>
      <c r="AR842" s="12"/>
      <c r="AS842" s="12"/>
      <c r="AT842" s="12"/>
      <c r="AU842" s="12"/>
      <c r="AV842" s="12"/>
      <c r="AW842" s="12"/>
      <c r="AX842" s="12"/>
      <c r="AY842" s="12"/>
      <c r="AZ842" s="12"/>
      <c r="BA842" s="12"/>
      <c r="BB842" s="12"/>
      <c r="BC842" s="12"/>
      <c r="BD842" s="12"/>
      <c r="BF842" s="106" t="str">
        <f t="shared" si="1"/>
        <v>#VALUE!</v>
      </c>
      <c r="BG842" s="21">
        <f t="shared" si="2"/>
        <v>12</v>
      </c>
    </row>
    <row r="843">
      <c r="P843" s="161"/>
      <c r="AI843" s="102"/>
      <c r="AO843" s="12"/>
      <c r="AP843" s="12"/>
      <c r="AQ843" s="12"/>
      <c r="AR843" s="12"/>
      <c r="AS843" s="12"/>
      <c r="AT843" s="12"/>
      <c r="AU843" s="12"/>
      <c r="AV843" s="12"/>
      <c r="AW843" s="12"/>
      <c r="AX843" s="12"/>
      <c r="AY843" s="12"/>
      <c r="AZ843" s="12"/>
      <c r="BA843" s="12"/>
      <c r="BB843" s="12"/>
      <c r="BC843" s="12"/>
      <c r="BD843" s="12"/>
      <c r="BF843" s="106" t="str">
        <f t="shared" si="1"/>
        <v>#VALUE!</v>
      </c>
      <c r="BG843" s="21">
        <f t="shared" si="2"/>
        <v>12</v>
      </c>
    </row>
    <row r="844">
      <c r="P844" s="161"/>
      <c r="AI844" s="102"/>
      <c r="AO844" s="12"/>
      <c r="AP844" s="12"/>
      <c r="AQ844" s="12"/>
      <c r="AR844" s="12"/>
      <c r="AS844" s="12"/>
      <c r="AT844" s="12"/>
      <c r="AU844" s="12"/>
      <c r="AV844" s="12"/>
      <c r="AW844" s="12"/>
      <c r="AX844" s="12"/>
      <c r="AY844" s="12"/>
      <c r="AZ844" s="12"/>
      <c r="BA844" s="12"/>
      <c r="BB844" s="12"/>
      <c r="BC844" s="12"/>
      <c r="BD844" s="12"/>
      <c r="BF844" s="106" t="str">
        <f t="shared" si="1"/>
        <v>#VALUE!</v>
      </c>
      <c r="BG844" s="21">
        <f t="shared" si="2"/>
        <v>12</v>
      </c>
    </row>
    <row r="845">
      <c r="P845" s="161"/>
      <c r="AI845" s="102"/>
      <c r="AO845" s="12"/>
      <c r="AP845" s="12"/>
      <c r="AQ845" s="12"/>
      <c r="AR845" s="12"/>
      <c r="AS845" s="12"/>
      <c r="AT845" s="12"/>
      <c r="AU845" s="12"/>
      <c r="AV845" s="12"/>
      <c r="AW845" s="12"/>
      <c r="AX845" s="12"/>
      <c r="AY845" s="12"/>
      <c r="AZ845" s="12"/>
      <c r="BA845" s="12"/>
      <c r="BB845" s="12"/>
      <c r="BC845" s="12"/>
      <c r="BD845" s="12"/>
      <c r="BF845" s="106" t="str">
        <f t="shared" si="1"/>
        <v>#VALUE!</v>
      </c>
      <c r="BG845" s="21">
        <f t="shared" si="2"/>
        <v>12</v>
      </c>
    </row>
    <row r="846">
      <c r="P846" s="161"/>
      <c r="AI846" s="102"/>
      <c r="AO846" s="12"/>
      <c r="AP846" s="12"/>
      <c r="AQ846" s="12"/>
      <c r="AR846" s="12"/>
      <c r="AS846" s="12"/>
      <c r="AT846" s="12"/>
      <c r="AU846" s="12"/>
      <c r="AV846" s="12"/>
      <c r="AW846" s="12"/>
      <c r="AX846" s="12"/>
      <c r="AY846" s="12"/>
      <c r="AZ846" s="12"/>
      <c r="BA846" s="12"/>
      <c r="BB846" s="12"/>
      <c r="BC846" s="12"/>
      <c r="BD846" s="12"/>
      <c r="BF846" s="106" t="str">
        <f t="shared" si="1"/>
        <v>#VALUE!</v>
      </c>
      <c r="BG846" s="21">
        <f t="shared" si="2"/>
        <v>12</v>
      </c>
    </row>
    <row r="847">
      <c r="P847" s="161"/>
      <c r="AI847" s="102"/>
      <c r="AO847" s="12"/>
      <c r="AP847" s="12"/>
      <c r="AQ847" s="12"/>
      <c r="AR847" s="12"/>
      <c r="AS847" s="12"/>
      <c r="AT847" s="12"/>
      <c r="AU847" s="12"/>
      <c r="AV847" s="12"/>
      <c r="AW847" s="12"/>
      <c r="AX847" s="12"/>
      <c r="AY847" s="12"/>
      <c r="AZ847" s="12"/>
      <c r="BA847" s="12"/>
      <c r="BB847" s="12"/>
      <c r="BC847" s="12"/>
      <c r="BD847" s="12"/>
      <c r="BF847" s="106" t="str">
        <f t="shared" si="1"/>
        <v>#VALUE!</v>
      </c>
      <c r="BG847" s="21">
        <f t="shared" si="2"/>
        <v>12</v>
      </c>
    </row>
    <row r="848">
      <c r="P848" s="161"/>
      <c r="AI848" s="102"/>
      <c r="AO848" s="12"/>
      <c r="AP848" s="12"/>
      <c r="AQ848" s="12"/>
      <c r="AR848" s="12"/>
      <c r="AS848" s="12"/>
      <c r="AT848" s="12"/>
      <c r="AU848" s="12"/>
      <c r="AV848" s="12"/>
      <c r="AW848" s="12"/>
      <c r="AX848" s="12"/>
      <c r="AY848" s="12"/>
      <c r="AZ848" s="12"/>
      <c r="BA848" s="12"/>
      <c r="BB848" s="12"/>
      <c r="BC848" s="12"/>
      <c r="BD848" s="12"/>
      <c r="BF848" s="106" t="str">
        <f t="shared" si="1"/>
        <v>#VALUE!</v>
      </c>
      <c r="BG848" s="21">
        <f t="shared" si="2"/>
        <v>12</v>
      </c>
    </row>
    <row r="849">
      <c r="P849" s="161"/>
      <c r="AI849" s="102"/>
      <c r="AO849" s="12"/>
      <c r="AP849" s="12"/>
      <c r="AQ849" s="12"/>
      <c r="AR849" s="12"/>
      <c r="AS849" s="12"/>
      <c r="AT849" s="12"/>
      <c r="AU849" s="12"/>
      <c r="AV849" s="12"/>
      <c r="AW849" s="12"/>
      <c r="AX849" s="12"/>
      <c r="AY849" s="12"/>
      <c r="AZ849" s="12"/>
      <c r="BA849" s="12"/>
      <c r="BB849" s="12"/>
      <c r="BC849" s="12"/>
      <c r="BD849" s="12"/>
      <c r="BF849" s="106" t="str">
        <f t="shared" si="1"/>
        <v>#VALUE!</v>
      </c>
      <c r="BG849" s="21">
        <f t="shared" si="2"/>
        <v>12</v>
      </c>
    </row>
    <row r="850">
      <c r="P850" s="161"/>
      <c r="AI850" s="102"/>
      <c r="AO850" s="12"/>
      <c r="AP850" s="12"/>
      <c r="AQ850" s="12"/>
      <c r="AR850" s="12"/>
      <c r="AS850" s="12"/>
      <c r="AT850" s="12"/>
      <c r="AU850" s="12"/>
      <c r="AV850" s="12"/>
      <c r="AW850" s="12"/>
      <c r="AX850" s="12"/>
      <c r="AY850" s="12"/>
      <c r="AZ850" s="12"/>
      <c r="BA850" s="12"/>
      <c r="BB850" s="12"/>
      <c r="BC850" s="12"/>
      <c r="BD850" s="12"/>
      <c r="BF850" s="106" t="str">
        <f t="shared" si="1"/>
        <v>#VALUE!</v>
      </c>
      <c r="BG850" s="21">
        <f t="shared" si="2"/>
        <v>12</v>
      </c>
    </row>
    <row r="851">
      <c r="P851" s="161"/>
      <c r="AI851" s="102"/>
      <c r="AO851" s="12"/>
      <c r="AP851" s="12"/>
      <c r="AQ851" s="12"/>
      <c r="AR851" s="12"/>
      <c r="AS851" s="12"/>
      <c r="AT851" s="12"/>
      <c r="AU851" s="12"/>
      <c r="AV851" s="12"/>
      <c r="AW851" s="12"/>
      <c r="AX851" s="12"/>
      <c r="AY851" s="12"/>
      <c r="AZ851" s="12"/>
      <c r="BA851" s="12"/>
      <c r="BB851" s="12"/>
      <c r="BC851" s="12"/>
      <c r="BD851" s="12"/>
      <c r="BF851" s="106" t="str">
        <f t="shared" si="1"/>
        <v>#VALUE!</v>
      </c>
      <c r="BG851" s="21">
        <f t="shared" si="2"/>
        <v>12</v>
      </c>
    </row>
    <row r="852">
      <c r="P852" s="161"/>
      <c r="AI852" s="102"/>
      <c r="AO852" s="12"/>
      <c r="AP852" s="12"/>
      <c r="AQ852" s="12"/>
      <c r="AR852" s="12"/>
      <c r="AS852" s="12"/>
      <c r="AT852" s="12"/>
      <c r="AU852" s="12"/>
      <c r="AV852" s="12"/>
      <c r="AW852" s="12"/>
      <c r="AX852" s="12"/>
      <c r="AY852" s="12"/>
      <c r="AZ852" s="12"/>
      <c r="BA852" s="12"/>
      <c r="BB852" s="12"/>
      <c r="BC852" s="12"/>
      <c r="BD852" s="12"/>
      <c r="BF852" s="106" t="str">
        <f t="shared" si="1"/>
        <v>#VALUE!</v>
      </c>
      <c r="BG852" s="21">
        <f t="shared" si="2"/>
        <v>12</v>
      </c>
    </row>
    <row r="853">
      <c r="P853" s="161"/>
      <c r="AI853" s="102"/>
      <c r="AO853" s="12"/>
      <c r="AP853" s="12"/>
      <c r="AQ853" s="12"/>
      <c r="AR853" s="12"/>
      <c r="AS853" s="12"/>
      <c r="AT853" s="12"/>
      <c r="AU853" s="12"/>
      <c r="AV853" s="12"/>
      <c r="AW853" s="12"/>
      <c r="AX853" s="12"/>
      <c r="AY853" s="12"/>
      <c r="AZ853" s="12"/>
      <c r="BA853" s="12"/>
      <c r="BB853" s="12"/>
      <c r="BC853" s="12"/>
      <c r="BD853" s="12"/>
      <c r="BF853" s="106" t="str">
        <f t="shared" si="1"/>
        <v>#VALUE!</v>
      </c>
      <c r="BG853" s="21">
        <f t="shared" si="2"/>
        <v>12</v>
      </c>
    </row>
    <row r="854">
      <c r="P854" s="161"/>
      <c r="AI854" s="102"/>
      <c r="AO854" s="12"/>
      <c r="AP854" s="12"/>
      <c r="AQ854" s="12"/>
      <c r="AR854" s="12"/>
      <c r="AS854" s="12"/>
      <c r="AT854" s="12"/>
      <c r="AU854" s="12"/>
      <c r="AV854" s="12"/>
      <c r="AW854" s="12"/>
      <c r="AX854" s="12"/>
      <c r="AY854" s="12"/>
      <c r="AZ854" s="12"/>
      <c r="BA854" s="12"/>
      <c r="BB854" s="12"/>
      <c r="BC854" s="12"/>
      <c r="BD854" s="12"/>
      <c r="BF854" s="106" t="str">
        <f t="shared" si="1"/>
        <v>#VALUE!</v>
      </c>
      <c r="BG854" s="21">
        <f t="shared" si="2"/>
        <v>12</v>
      </c>
    </row>
    <row r="855">
      <c r="P855" s="161"/>
      <c r="AI855" s="102"/>
      <c r="AO855" s="12"/>
      <c r="AP855" s="12"/>
      <c r="AQ855" s="12"/>
      <c r="AR855" s="12"/>
      <c r="AS855" s="12"/>
      <c r="AT855" s="12"/>
      <c r="AU855" s="12"/>
      <c r="AV855" s="12"/>
      <c r="AW855" s="12"/>
      <c r="AX855" s="12"/>
      <c r="AY855" s="12"/>
      <c r="AZ855" s="12"/>
      <c r="BA855" s="12"/>
      <c r="BB855" s="12"/>
      <c r="BC855" s="12"/>
      <c r="BD855" s="12"/>
      <c r="BF855" s="106" t="str">
        <f t="shared" si="1"/>
        <v>#VALUE!</v>
      </c>
      <c r="BG855" s="21">
        <f t="shared" si="2"/>
        <v>12</v>
      </c>
    </row>
    <row r="856">
      <c r="P856" s="161"/>
      <c r="AI856" s="102"/>
      <c r="AO856" s="12"/>
      <c r="AP856" s="12"/>
      <c r="AQ856" s="12"/>
      <c r="AR856" s="12"/>
      <c r="AS856" s="12"/>
      <c r="AT856" s="12"/>
      <c r="AU856" s="12"/>
      <c r="AV856" s="12"/>
      <c r="AW856" s="12"/>
      <c r="AX856" s="12"/>
      <c r="AY856" s="12"/>
      <c r="AZ856" s="12"/>
      <c r="BA856" s="12"/>
      <c r="BB856" s="12"/>
      <c r="BC856" s="12"/>
      <c r="BD856" s="12"/>
      <c r="BF856" s="106" t="str">
        <f t="shared" si="1"/>
        <v>#VALUE!</v>
      </c>
      <c r="BG856" s="21">
        <f t="shared" si="2"/>
        <v>12</v>
      </c>
    </row>
    <row r="857">
      <c r="P857" s="161"/>
      <c r="AI857" s="102"/>
      <c r="AO857" s="12"/>
      <c r="AP857" s="12"/>
      <c r="AQ857" s="12"/>
      <c r="AR857" s="12"/>
      <c r="AS857" s="12"/>
      <c r="AT857" s="12"/>
      <c r="AU857" s="12"/>
      <c r="AV857" s="12"/>
      <c r="AW857" s="12"/>
      <c r="AX857" s="12"/>
      <c r="AY857" s="12"/>
      <c r="AZ857" s="12"/>
      <c r="BA857" s="12"/>
      <c r="BB857" s="12"/>
      <c r="BC857" s="12"/>
      <c r="BD857" s="12"/>
      <c r="BF857" s="106" t="str">
        <f t="shared" si="1"/>
        <v>#VALUE!</v>
      </c>
      <c r="BG857" s="21">
        <f t="shared" si="2"/>
        <v>12</v>
      </c>
    </row>
    <row r="858">
      <c r="P858" s="161"/>
      <c r="AI858" s="102"/>
      <c r="AO858" s="12"/>
      <c r="AP858" s="12"/>
      <c r="AQ858" s="12"/>
      <c r="AR858" s="12"/>
      <c r="AS858" s="12"/>
      <c r="AT858" s="12"/>
      <c r="AU858" s="12"/>
      <c r="AV858" s="12"/>
      <c r="AW858" s="12"/>
      <c r="AX858" s="12"/>
      <c r="AY858" s="12"/>
      <c r="AZ858" s="12"/>
      <c r="BA858" s="12"/>
      <c r="BB858" s="12"/>
      <c r="BC858" s="12"/>
      <c r="BD858" s="12"/>
      <c r="BF858" s="106" t="str">
        <f t="shared" si="1"/>
        <v>#VALUE!</v>
      </c>
      <c r="BG858" s="21">
        <f t="shared" si="2"/>
        <v>12</v>
      </c>
    </row>
    <row r="859">
      <c r="P859" s="161"/>
      <c r="AI859" s="102"/>
      <c r="AO859" s="12"/>
      <c r="AP859" s="12"/>
      <c r="AQ859" s="12"/>
      <c r="AR859" s="12"/>
      <c r="AS859" s="12"/>
      <c r="AT859" s="12"/>
      <c r="AU859" s="12"/>
      <c r="AV859" s="12"/>
      <c r="AW859" s="12"/>
      <c r="AX859" s="12"/>
      <c r="AY859" s="12"/>
      <c r="AZ859" s="12"/>
      <c r="BA859" s="12"/>
      <c r="BB859" s="12"/>
      <c r="BC859" s="12"/>
      <c r="BD859" s="12"/>
      <c r="BF859" s="106" t="str">
        <f t="shared" si="1"/>
        <v>#VALUE!</v>
      </c>
      <c r="BG859" s="21">
        <f t="shared" si="2"/>
        <v>12</v>
      </c>
    </row>
    <row r="860">
      <c r="P860" s="161"/>
      <c r="AI860" s="102"/>
      <c r="AO860" s="12"/>
      <c r="AP860" s="12"/>
      <c r="AQ860" s="12"/>
      <c r="AR860" s="12"/>
      <c r="AS860" s="12"/>
      <c r="AT860" s="12"/>
      <c r="AU860" s="12"/>
      <c r="AV860" s="12"/>
      <c r="AW860" s="12"/>
      <c r="AX860" s="12"/>
      <c r="AY860" s="12"/>
      <c r="AZ860" s="12"/>
      <c r="BA860" s="12"/>
      <c r="BB860" s="12"/>
      <c r="BC860" s="12"/>
      <c r="BD860" s="12"/>
      <c r="BF860" s="106" t="str">
        <f t="shared" si="1"/>
        <v>#VALUE!</v>
      </c>
      <c r="BG860" s="21">
        <f t="shared" si="2"/>
        <v>12</v>
      </c>
    </row>
    <row r="861">
      <c r="P861" s="161"/>
      <c r="AI861" s="102"/>
      <c r="AO861" s="12"/>
      <c r="AP861" s="12"/>
      <c r="AQ861" s="12"/>
      <c r="AR861" s="12"/>
      <c r="AS861" s="12"/>
      <c r="AT861" s="12"/>
      <c r="AU861" s="12"/>
      <c r="AV861" s="12"/>
      <c r="AW861" s="12"/>
      <c r="AX861" s="12"/>
      <c r="AY861" s="12"/>
      <c r="AZ861" s="12"/>
      <c r="BA861" s="12"/>
      <c r="BB861" s="12"/>
      <c r="BC861" s="12"/>
      <c r="BD861" s="12"/>
      <c r="BF861" s="106" t="str">
        <f t="shared" si="1"/>
        <v>#VALUE!</v>
      </c>
      <c r="BG861" s="21">
        <f t="shared" si="2"/>
        <v>12</v>
      </c>
    </row>
    <row r="862">
      <c r="P862" s="161"/>
      <c r="AI862" s="102"/>
      <c r="AO862" s="12"/>
      <c r="AP862" s="12"/>
      <c r="AQ862" s="12"/>
      <c r="AR862" s="12"/>
      <c r="AS862" s="12"/>
      <c r="AT862" s="12"/>
      <c r="AU862" s="12"/>
      <c r="AV862" s="12"/>
      <c r="AW862" s="12"/>
      <c r="AX862" s="12"/>
      <c r="AY862" s="12"/>
      <c r="AZ862" s="12"/>
      <c r="BA862" s="12"/>
      <c r="BB862" s="12"/>
      <c r="BC862" s="12"/>
      <c r="BD862" s="12"/>
      <c r="BF862" s="106" t="str">
        <f t="shared" si="1"/>
        <v>#VALUE!</v>
      </c>
      <c r="BG862" s="21">
        <f t="shared" si="2"/>
        <v>12</v>
      </c>
    </row>
    <row r="863">
      <c r="P863" s="161"/>
      <c r="AI863" s="102"/>
      <c r="AO863" s="12"/>
      <c r="AP863" s="12"/>
      <c r="AQ863" s="12"/>
      <c r="AR863" s="12"/>
      <c r="AS863" s="12"/>
      <c r="AT863" s="12"/>
      <c r="AU863" s="12"/>
      <c r="AV863" s="12"/>
      <c r="AW863" s="12"/>
      <c r="AX863" s="12"/>
      <c r="AY863" s="12"/>
      <c r="AZ863" s="12"/>
      <c r="BA863" s="12"/>
      <c r="BB863" s="12"/>
      <c r="BC863" s="12"/>
      <c r="BD863" s="12"/>
      <c r="BF863" s="106" t="str">
        <f t="shared" si="1"/>
        <v>#VALUE!</v>
      </c>
      <c r="BG863" s="21">
        <f t="shared" si="2"/>
        <v>12</v>
      </c>
    </row>
    <row r="864">
      <c r="P864" s="161"/>
      <c r="AI864" s="102"/>
      <c r="AO864" s="12"/>
      <c r="AP864" s="12"/>
      <c r="AQ864" s="12"/>
      <c r="AR864" s="12"/>
      <c r="AS864" s="12"/>
      <c r="AT864" s="12"/>
      <c r="AU864" s="12"/>
      <c r="AV864" s="12"/>
      <c r="AW864" s="12"/>
      <c r="AX864" s="12"/>
      <c r="AY864" s="12"/>
      <c r="AZ864" s="12"/>
      <c r="BA864" s="12"/>
      <c r="BB864" s="12"/>
      <c r="BC864" s="12"/>
      <c r="BD864" s="12"/>
      <c r="BF864" s="106" t="str">
        <f t="shared" si="1"/>
        <v>#VALUE!</v>
      </c>
      <c r="BG864" s="21">
        <f t="shared" si="2"/>
        <v>12</v>
      </c>
    </row>
    <row r="865">
      <c r="P865" s="161"/>
      <c r="AI865" s="102"/>
      <c r="AO865" s="12"/>
      <c r="AP865" s="12"/>
      <c r="AQ865" s="12"/>
      <c r="AR865" s="12"/>
      <c r="AS865" s="12"/>
      <c r="AT865" s="12"/>
      <c r="AU865" s="12"/>
      <c r="AV865" s="12"/>
      <c r="AW865" s="12"/>
      <c r="AX865" s="12"/>
      <c r="AY865" s="12"/>
      <c r="AZ865" s="12"/>
      <c r="BA865" s="12"/>
      <c r="BB865" s="12"/>
      <c r="BC865" s="12"/>
      <c r="BD865" s="12"/>
      <c r="BF865" s="106" t="str">
        <f t="shared" si="1"/>
        <v>#VALUE!</v>
      </c>
      <c r="BG865" s="21">
        <f t="shared" si="2"/>
        <v>12</v>
      </c>
    </row>
    <row r="866">
      <c r="P866" s="161"/>
      <c r="AI866" s="102"/>
      <c r="AO866" s="12"/>
      <c r="AP866" s="12"/>
      <c r="AQ866" s="12"/>
      <c r="AR866" s="12"/>
      <c r="AS866" s="12"/>
      <c r="AT866" s="12"/>
      <c r="AU866" s="12"/>
      <c r="AV866" s="12"/>
      <c r="AW866" s="12"/>
      <c r="AX866" s="12"/>
      <c r="AY866" s="12"/>
      <c r="AZ866" s="12"/>
      <c r="BA866" s="12"/>
      <c r="BB866" s="12"/>
      <c r="BC866" s="12"/>
      <c r="BD866" s="12"/>
      <c r="BF866" s="106" t="str">
        <f t="shared" si="1"/>
        <v>#VALUE!</v>
      </c>
      <c r="BG866" s="21">
        <f t="shared" si="2"/>
        <v>12</v>
      </c>
    </row>
    <row r="867">
      <c r="P867" s="161"/>
      <c r="AI867" s="102"/>
      <c r="AO867" s="12"/>
      <c r="AP867" s="12"/>
      <c r="AQ867" s="12"/>
      <c r="AR867" s="12"/>
      <c r="AS867" s="12"/>
      <c r="AT867" s="12"/>
      <c r="AU867" s="12"/>
      <c r="AV867" s="12"/>
      <c r="AW867" s="12"/>
      <c r="AX867" s="12"/>
      <c r="AY867" s="12"/>
      <c r="AZ867" s="12"/>
      <c r="BA867" s="12"/>
      <c r="BB867" s="12"/>
      <c r="BC867" s="12"/>
      <c r="BD867" s="12"/>
      <c r="BF867" s="106" t="str">
        <f t="shared" si="1"/>
        <v>#VALUE!</v>
      </c>
      <c r="BG867" s="21">
        <f t="shared" si="2"/>
        <v>12</v>
      </c>
    </row>
    <row r="868">
      <c r="P868" s="161"/>
      <c r="AI868" s="102"/>
      <c r="AO868" s="12"/>
      <c r="AP868" s="12"/>
      <c r="AQ868" s="12"/>
      <c r="AR868" s="12"/>
      <c r="AS868" s="12"/>
      <c r="AT868" s="12"/>
      <c r="AU868" s="12"/>
      <c r="AV868" s="12"/>
      <c r="AW868" s="12"/>
      <c r="AX868" s="12"/>
      <c r="AY868" s="12"/>
      <c r="AZ868" s="12"/>
      <c r="BA868" s="12"/>
      <c r="BB868" s="12"/>
      <c r="BC868" s="12"/>
      <c r="BD868" s="12"/>
      <c r="BF868" s="106" t="str">
        <f t="shared" si="1"/>
        <v>#VALUE!</v>
      </c>
      <c r="BG868" s="21">
        <f t="shared" si="2"/>
        <v>12</v>
      </c>
    </row>
    <row r="869">
      <c r="P869" s="161"/>
      <c r="AI869" s="102"/>
      <c r="AO869" s="12"/>
      <c r="AP869" s="12"/>
      <c r="AQ869" s="12"/>
      <c r="AR869" s="12"/>
      <c r="AS869" s="12"/>
      <c r="AT869" s="12"/>
      <c r="AU869" s="12"/>
      <c r="AV869" s="12"/>
      <c r="AW869" s="12"/>
      <c r="AX869" s="12"/>
      <c r="AY869" s="12"/>
      <c r="AZ869" s="12"/>
      <c r="BA869" s="12"/>
      <c r="BB869" s="12"/>
      <c r="BC869" s="12"/>
      <c r="BD869" s="12"/>
      <c r="BF869" s="106" t="str">
        <f t="shared" si="1"/>
        <v>#VALUE!</v>
      </c>
      <c r="BG869" s="21">
        <f t="shared" si="2"/>
        <v>12</v>
      </c>
    </row>
    <row r="870">
      <c r="P870" s="161"/>
      <c r="AI870" s="102"/>
      <c r="AO870" s="12"/>
      <c r="AP870" s="12"/>
      <c r="AQ870" s="12"/>
      <c r="AR870" s="12"/>
      <c r="AS870" s="12"/>
      <c r="AT870" s="12"/>
      <c r="AU870" s="12"/>
      <c r="AV870" s="12"/>
      <c r="AW870" s="12"/>
      <c r="AX870" s="12"/>
      <c r="AY870" s="12"/>
      <c r="AZ870" s="12"/>
      <c r="BA870" s="12"/>
      <c r="BB870" s="12"/>
      <c r="BC870" s="12"/>
      <c r="BD870" s="12"/>
      <c r="BF870" s="106" t="str">
        <f t="shared" si="1"/>
        <v>#VALUE!</v>
      </c>
      <c r="BG870" s="21">
        <f t="shared" si="2"/>
        <v>12</v>
      </c>
    </row>
    <row r="871">
      <c r="P871" s="161"/>
      <c r="AI871" s="102"/>
      <c r="AO871" s="12"/>
      <c r="AP871" s="12"/>
      <c r="AQ871" s="12"/>
      <c r="AR871" s="12"/>
      <c r="AS871" s="12"/>
      <c r="AT871" s="12"/>
      <c r="AU871" s="12"/>
      <c r="AV871" s="12"/>
      <c r="AW871" s="12"/>
      <c r="AX871" s="12"/>
      <c r="AY871" s="12"/>
      <c r="AZ871" s="12"/>
      <c r="BA871" s="12"/>
      <c r="BB871" s="12"/>
      <c r="BC871" s="12"/>
      <c r="BD871" s="12"/>
      <c r="BF871" s="106" t="str">
        <f t="shared" si="1"/>
        <v>#VALUE!</v>
      </c>
      <c r="BG871" s="21">
        <f t="shared" si="2"/>
        <v>12</v>
      </c>
    </row>
    <row r="872">
      <c r="P872" s="161"/>
      <c r="AI872" s="102"/>
      <c r="AO872" s="12"/>
      <c r="AP872" s="12"/>
      <c r="AQ872" s="12"/>
      <c r="AR872" s="12"/>
      <c r="AS872" s="12"/>
      <c r="AT872" s="12"/>
      <c r="AU872" s="12"/>
      <c r="AV872" s="12"/>
      <c r="AW872" s="12"/>
      <c r="AX872" s="12"/>
      <c r="AY872" s="12"/>
      <c r="AZ872" s="12"/>
      <c r="BA872" s="12"/>
      <c r="BB872" s="12"/>
      <c r="BC872" s="12"/>
      <c r="BD872" s="12"/>
      <c r="BF872" s="106" t="str">
        <f t="shared" si="1"/>
        <v>#VALUE!</v>
      </c>
      <c r="BG872" s="21">
        <f t="shared" si="2"/>
        <v>12</v>
      </c>
    </row>
    <row r="873">
      <c r="P873" s="161"/>
      <c r="AI873" s="102"/>
      <c r="AO873" s="12"/>
      <c r="AP873" s="12"/>
      <c r="AQ873" s="12"/>
      <c r="AR873" s="12"/>
      <c r="AS873" s="12"/>
      <c r="AT873" s="12"/>
      <c r="AU873" s="12"/>
      <c r="AV873" s="12"/>
      <c r="AW873" s="12"/>
      <c r="AX873" s="12"/>
      <c r="AY873" s="12"/>
      <c r="AZ873" s="12"/>
      <c r="BA873" s="12"/>
      <c r="BB873" s="12"/>
      <c r="BC873" s="12"/>
      <c r="BD873" s="12"/>
      <c r="BF873" s="106" t="str">
        <f t="shared" si="1"/>
        <v>#VALUE!</v>
      </c>
      <c r="BG873" s="21">
        <f t="shared" si="2"/>
        <v>12</v>
      </c>
    </row>
    <row r="874">
      <c r="P874" s="161"/>
      <c r="AI874" s="102"/>
      <c r="AO874" s="12"/>
      <c r="AP874" s="12"/>
      <c r="AQ874" s="12"/>
      <c r="AR874" s="12"/>
      <c r="AS874" s="12"/>
      <c r="AT874" s="12"/>
      <c r="AU874" s="12"/>
      <c r="AV874" s="12"/>
      <c r="AW874" s="12"/>
      <c r="AX874" s="12"/>
      <c r="AY874" s="12"/>
      <c r="AZ874" s="12"/>
      <c r="BA874" s="12"/>
      <c r="BB874" s="12"/>
      <c r="BC874" s="12"/>
      <c r="BD874" s="12"/>
      <c r="BF874" s="106" t="str">
        <f t="shared" si="1"/>
        <v>#VALUE!</v>
      </c>
      <c r="BG874" s="21">
        <f t="shared" si="2"/>
        <v>12</v>
      </c>
    </row>
    <row r="875">
      <c r="P875" s="161"/>
      <c r="AI875" s="102"/>
      <c r="AO875" s="12"/>
      <c r="AP875" s="12"/>
      <c r="AQ875" s="12"/>
      <c r="AR875" s="12"/>
      <c r="AS875" s="12"/>
      <c r="AT875" s="12"/>
      <c r="AU875" s="12"/>
      <c r="AV875" s="12"/>
      <c r="AW875" s="12"/>
      <c r="AX875" s="12"/>
      <c r="AY875" s="12"/>
      <c r="AZ875" s="12"/>
      <c r="BA875" s="12"/>
      <c r="BB875" s="12"/>
      <c r="BC875" s="12"/>
      <c r="BD875" s="12"/>
      <c r="BF875" s="106" t="str">
        <f t="shared" si="1"/>
        <v>#VALUE!</v>
      </c>
      <c r="BG875" s="21">
        <f t="shared" si="2"/>
        <v>12</v>
      </c>
    </row>
    <row r="876">
      <c r="P876" s="161"/>
      <c r="AI876" s="102"/>
      <c r="AO876" s="12"/>
      <c r="AP876" s="12"/>
      <c r="AQ876" s="12"/>
      <c r="AR876" s="12"/>
      <c r="AS876" s="12"/>
      <c r="AT876" s="12"/>
      <c r="AU876" s="12"/>
      <c r="AV876" s="12"/>
      <c r="AW876" s="12"/>
      <c r="AX876" s="12"/>
      <c r="AY876" s="12"/>
      <c r="AZ876" s="12"/>
      <c r="BA876" s="12"/>
      <c r="BB876" s="12"/>
      <c r="BC876" s="12"/>
      <c r="BD876" s="12"/>
      <c r="BF876" s="106" t="str">
        <f t="shared" si="1"/>
        <v>#VALUE!</v>
      </c>
      <c r="BG876" s="21">
        <f t="shared" si="2"/>
        <v>12</v>
      </c>
    </row>
    <row r="877">
      <c r="P877" s="161"/>
      <c r="AI877" s="102"/>
      <c r="AO877" s="12"/>
      <c r="AP877" s="12"/>
      <c r="AQ877" s="12"/>
      <c r="AR877" s="12"/>
      <c r="AS877" s="12"/>
      <c r="AT877" s="12"/>
      <c r="AU877" s="12"/>
      <c r="AV877" s="12"/>
      <c r="AW877" s="12"/>
      <c r="AX877" s="12"/>
      <c r="AY877" s="12"/>
      <c r="AZ877" s="12"/>
      <c r="BA877" s="12"/>
      <c r="BB877" s="12"/>
      <c r="BC877" s="12"/>
      <c r="BD877" s="12"/>
      <c r="BF877" s="106" t="str">
        <f t="shared" si="1"/>
        <v>#VALUE!</v>
      </c>
      <c r="BG877" s="21">
        <f t="shared" si="2"/>
        <v>12</v>
      </c>
    </row>
    <row r="878">
      <c r="P878" s="161"/>
      <c r="AI878" s="102"/>
      <c r="AO878" s="12"/>
      <c r="AP878" s="12"/>
      <c r="AQ878" s="12"/>
      <c r="AR878" s="12"/>
      <c r="AS878" s="12"/>
      <c r="AT878" s="12"/>
      <c r="AU878" s="12"/>
      <c r="AV878" s="12"/>
      <c r="AW878" s="12"/>
      <c r="AX878" s="12"/>
      <c r="AY878" s="12"/>
      <c r="AZ878" s="12"/>
      <c r="BA878" s="12"/>
      <c r="BB878" s="12"/>
      <c r="BC878" s="12"/>
      <c r="BD878" s="12"/>
      <c r="BF878" s="106" t="str">
        <f t="shared" si="1"/>
        <v>#VALUE!</v>
      </c>
      <c r="BG878" s="21">
        <f t="shared" si="2"/>
        <v>12</v>
      </c>
    </row>
    <row r="879">
      <c r="P879" s="161"/>
      <c r="AI879" s="102"/>
      <c r="AO879" s="12"/>
      <c r="AP879" s="12"/>
      <c r="AQ879" s="12"/>
      <c r="AR879" s="12"/>
      <c r="AS879" s="12"/>
      <c r="AT879" s="12"/>
      <c r="AU879" s="12"/>
      <c r="AV879" s="12"/>
      <c r="AW879" s="12"/>
      <c r="AX879" s="12"/>
      <c r="AY879" s="12"/>
      <c r="AZ879" s="12"/>
      <c r="BA879" s="12"/>
      <c r="BB879" s="12"/>
      <c r="BC879" s="12"/>
      <c r="BD879" s="12"/>
      <c r="BF879" s="106" t="str">
        <f t="shared" si="1"/>
        <v>#VALUE!</v>
      </c>
      <c r="BG879" s="21">
        <f t="shared" si="2"/>
        <v>12</v>
      </c>
    </row>
    <row r="880">
      <c r="P880" s="161"/>
      <c r="AI880" s="102"/>
      <c r="AO880" s="12"/>
      <c r="AP880" s="12"/>
      <c r="AQ880" s="12"/>
      <c r="AR880" s="12"/>
      <c r="AS880" s="12"/>
      <c r="AT880" s="12"/>
      <c r="AU880" s="12"/>
      <c r="AV880" s="12"/>
      <c r="AW880" s="12"/>
      <c r="AX880" s="12"/>
      <c r="AY880" s="12"/>
      <c r="AZ880" s="12"/>
      <c r="BA880" s="12"/>
      <c r="BB880" s="12"/>
      <c r="BC880" s="12"/>
      <c r="BD880" s="12"/>
      <c r="BF880" s="106" t="str">
        <f t="shared" si="1"/>
        <v>#VALUE!</v>
      </c>
      <c r="BG880" s="21">
        <f t="shared" si="2"/>
        <v>12</v>
      </c>
    </row>
    <row r="881">
      <c r="P881" s="161"/>
      <c r="AI881" s="102"/>
      <c r="AO881" s="12"/>
      <c r="AP881" s="12"/>
      <c r="AQ881" s="12"/>
      <c r="AR881" s="12"/>
      <c r="AS881" s="12"/>
      <c r="AT881" s="12"/>
      <c r="AU881" s="12"/>
      <c r="AV881" s="12"/>
      <c r="AW881" s="12"/>
      <c r="AX881" s="12"/>
      <c r="AY881" s="12"/>
      <c r="AZ881" s="12"/>
      <c r="BA881" s="12"/>
      <c r="BB881" s="12"/>
      <c r="BC881" s="12"/>
      <c r="BD881" s="12"/>
      <c r="BF881" s="106" t="str">
        <f t="shared" si="1"/>
        <v>#VALUE!</v>
      </c>
      <c r="BG881" s="21">
        <f t="shared" si="2"/>
        <v>12</v>
      </c>
    </row>
    <row r="882">
      <c r="P882" s="161"/>
      <c r="AI882" s="102"/>
      <c r="AO882" s="12"/>
      <c r="AP882" s="12"/>
      <c r="AQ882" s="12"/>
      <c r="AR882" s="12"/>
      <c r="AS882" s="12"/>
      <c r="AT882" s="12"/>
      <c r="AU882" s="12"/>
      <c r="AV882" s="12"/>
      <c r="AW882" s="12"/>
      <c r="AX882" s="12"/>
      <c r="AY882" s="12"/>
      <c r="AZ882" s="12"/>
      <c r="BA882" s="12"/>
      <c r="BB882" s="12"/>
      <c r="BC882" s="12"/>
      <c r="BD882" s="12"/>
      <c r="BF882" s="106" t="str">
        <f t="shared" si="1"/>
        <v>#VALUE!</v>
      </c>
      <c r="BG882" s="21">
        <f t="shared" si="2"/>
        <v>12</v>
      </c>
    </row>
    <row r="883">
      <c r="P883" s="161"/>
      <c r="AI883" s="102"/>
      <c r="AO883" s="12"/>
      <c r="AP883" s="12"/>
      <c r="AQ883" s="12"/>
      <c r="AR883" s="12"/>
      <c r="AS883" s="12"/>
      <c r="AT883" s="12"/>
      <c r="AU883" s="12"/>
      <c r="AV883" s="12"/>
      <c r="AW883" s="12"/>
      <c r="AX883" s="12"/>
      <c r="AY883" s="12"/>
      <c r="AZ883" s="12"/>
      <c r="BA883" s="12"/>
      <c r="BB883" s="12"/>
      <c r="BC883" s="12"/>
      <c r="BD883" s="12"/>
      <c r="BF883" s="106" t="str">
        <f t="shared" si="1"/>
        <v>#VALUE!</v>
      </c>
      <c r="BG883" s="21">
        <f t="shared" si="2"/>
        <v>12</v>
      </c>
    </row>
    <row r="884">
      <c r="P884" s="161"/>
      <c r="AI884" s="102"/>
      <c r="AO884" s="12"/>
      <c r="AP884" s="12"/>
      <c r="AQ884" s="12"/>
      <c r="AR884" s="12"/>
      <c r="AS884" s="12"/>
      <c r="AT884" s="12"/>
      <c r="AU884" s="12"/>
      <c r="AV884" s="12"/>
      <c r="AW884" s="12"/>
      <c r="AX884" s="12"/>
      <c r="AY884" s="12"/>
      <c r="AZ884" s="12"/>
      <c r="BA884" s="12"/>
      <c r="BB884" s="12"/>
      <c r="BC884" s="12"/>
      <c r="BD884" s="12"/>
      <c r="BF884" s="106" t="str">
        <f t="shared" si="1"/>
        <v>#VALUE!</v>
      </c>
      <c r="BG884" s="21">
        <f t="shared" si="2"/>
        <v>12</v>
      </c>
    </row>
    <row r="885">
      <c r="P885" s="161"/>
      <c r="AI885" s="102"/>
      <c r="AO885" s="12"/>
      <c r="AP885" s="12"/>
      <c r="AQ885" s="12"/>
      <c r="AR885" s="12"/>
      <c r="AS885" s="12"/>
      <c r="AT885" s="12"/>
      <c r="AU885" s="12"/>
      <c r="AV885" s="12"/>
      <c r="AW885" s="12"/>
      <c r="AX885" s="12"/>
      <c r="AY885" s="12"/>
      <c r="AZ885" s="12"/>
      <c r="BA885" s="12"/>
      <c r="BB885" s="12"/>
      <c r="BC885" s="12"/>
      <c r="BD885" s="12"/>
      <c r="BF885" s="106" t="str">
        <f t="shared" si="1"/>
        <v>#VALUE!</v>
      </c>
      <c r="BG885" s="21">
        <f t="shared" si="2"/>
        <v>12</v>
      </c>
    </row>
    <row r="886">
      <c r="P886" s="161"/>
      <c r="AI886" s="102"/>
      <c r="AO886" s="12"/>
      <c r="AP886" s="12"/>
      <c r="AQ886" s="12"/>
      <c r="AR886" s="12"/>
      <c r="AS886" s="12"/>
      <c r="AT886" s="12"/>
      <c r="AU886" s="12"/>
      <c r="AV886" s="12"/>
      <c r="AW886" s="12"/>
      <c r="AX886" s="12"/>
      <c r="AY886" s="12"/>
      <c r="AZ886" s="12"/>
      <c r="BA886" s="12"/>
      <c r="BB886" s="12"/>
      <c r="BC886" s="12"/>
      <c r="BD886" s="12"/>
      <c r="BF886" s="106" t="str">
        <f t="shared" si="1"/>
        <v>#VALUE!</v>
      </c>
      <c r="BG886" s="21">
        <f t="shared" si="2"/>
        <v>12</v>
      </c>
    </row>
    <row r="887">
      <c r="P887" s="161"/>
      <c r="AI887" s="102"/>
      <c r="AO887" s="12"/>
      <c r="AP887" s="12"/>
      <c r="AQ887" s="12"/>
      <c r="AR887" s="12"/>
      <c r="AS887" s="12"/>
      <c r="AT887" s="12"/>
      <c r="AU887" s="12"/>
      <c r="AV887" s="12"/>
      <c r="AW887" s="12"/>
      <c r="AX887" s="12"/>
      <c r="AY887" s="12"/>
      <c r="AZ887" s="12"/>
      <c r="BA887" s="12"/>
      <c r="BB887" s="12"/>
      <c r="BC887" s="12"/>
      <c r="BD887" s="12"/>
      <c r="BF887" s="106" t="str">
        <f t="shared" si="1"/>
        <v>#VALUE!</v>
      </c>
      <c r="BG887" s="21">
        <f t="shared" si="2"/>
        <v>12</v>
      </c>
    </row>
    <row r="888">
      <c r="P888" s="161"/>
      <c r="AI888" s="102"/>
      <c r="AO888" s="12"/>
      <c r="AP888" s="12"/>
      <c r="AQ888" s="12"/>
      <c r="AR888" s="12"/>
      <c r="AS888" s="12"/>
      <c r="AT888" s="12"/>
      <c r="AU888" s="12"/>
      <c r="AV888" s="12"/>
      <c r="AW888" s="12"/>
      <c r="AX888" s="12"/>
      <c r="AY888" s="12"/>
      <c r="AZ888" s="12"/>
      <c r="BA888" s="12"/>
      <c r="BB888" s="12"/>
      <c r="BC888" s="12"/>
      <c r="BD888" s="12"/>
      <c r="BF888" s="106" t="str">
        <f t="shared" si="1"/>
        <v>#VALUE!</v>
      </c>
      <c r="BG888" s="21">
        <f t="shared" si="2"/>
        <v>12</v>
      </c>
    </row>
    <row r="889">
      <c r="P889" s="161"/>
      <c r="AI889" s="102"/>
      <c r="AO889" s="12"/>
      <c r="AP889" s="12"/>
      <c r="AQ889" s="12"/>
      <c r="AR889" s="12"/>
      <c r="AS889" s="12"/>
      <c r="AT889" s="12"/>
      <c r="AU889" s="12"/>
      <c r="AV889" s="12"/>
      <c r="AW889" s="12"/>
      <c r="AX889" s="12"/>
      <c r="AY889" s="12"/>
      <c r="AZ889" s="12"/>
      <c r="BA889" s="12"/>
      <c r="BB889" s="12"/>
      <c r="BC889" s="12"/>
      <c r="BD889" s="12"/>
      <c r="BF889" s="106" t="str">
        <f t="shared" si="1"/>
        <v>#VALUE!</v>
      </c>
      <c r="BG889" s="21">
        <f t="shared" si="2"/>
        <v>12</v>
      </c>
    </row>
    <row r="890">
      <c r="P890" s="161"/>
      <c r="AI890" s="102"/>
      <c r="AO890" s="12"/>
      <c r="AP890" s="12"/>
      <c r="AQ890" s="12"/>
      <c r="AR890" s="12"/>
      <c r="AS890" s="12"/>
      <c r="AT890" s="12"/>
      <c r="AU890" s="12"/>
      <c r="AV890" s="12"/>
      <c r="AW890" s="12"/>
      <c r="AX890" s="12"/>
      <c r="AY890" s="12"/>
      <c r="AZ890" s="12"/>
      <c r="BA890" s="12"/>
      <c r="BB890" s="12"/>
      <c r="BC890" s="12"/>
      <c r="BD890" s="12"/>
      <c r="BF890" s="106" t="str">
        <f t="shared" si="1"/>
        <v>#VALUE!</v>
      </c>
      <c r="BG890" s="21">
        <f t="shared" si="2"/>
        <v>12</v>
      </c>
    </row>
    <row r="891">
      <c r="P891" s="161"/>
      <c r="AI891" s="102"/>
      <c r="AO891" s="12"/>
      <c r="AP891" s="12"/>
      <c r="AQ891" s="12"/>
      <c r="AR891" s="12"/>
      <c r="AS891" s="12"/>
      <c r="AT891" s="12"/>
      <c r="AU891" s="12"/>
      <c r="AV891" s="12"/>
      <c r="AW891" s="12"/>
      <c r="AX891" s="12"/>
      <c r="AY891" s="12"/>
      <c r="AZ891" s="12"/>
      <c r="BA891" s="12"/>
      <c r="BB891" s="12"/>
      <c r="BC891" s="12"/>
      <c r="BD891" s="12"/>
      <c r="BF891" s="106" t="str">
        <f t="shared" si="1"/>
        <v>#VALUE!</v>
      </c>
      <c r="BG891" s="21">
        <f t="shared" si="2"/>
        <v>12</v>
      </c>
    </row>
    <row r="892">
      <c r="P892" s="161"/>
      <c r="AI892" s="102"/>
      <c r="AO892" s="12"/>
      <c r="AP892" s="12"/>
      <c r="AQ892" s="12"/>
      <c r="AR892" s="12"/>
      <c r="AS892" s="12"/>
      <c r="AT892" s="12"/>
      <c r="AU892" s="12"/>
      <c r="AV892" s="12"/>
      <c r="AW892" s="12"/>
      <c r="AX892" s="12"/>
      <c r="AY892" s="12"/>
      <c r="AZ892" s="12"/>
      <c r="BA892" s="12"/>
      <c r="BB892" s="12"/>
      <c r="BC892" s="12"/>
      <c r="BD892" s="12"/>
      <c r="BF892" s="106" t="str">
        <f t="shared" si="1"/>
        <v>#VALUE!</v>
      </c>
      <c r="BG892" s="21">
        <f t="shared" si="2"/>
        <v>12</v>
      </c>
    </row>
    <row r="893">
      <c r="P893" s="161"/>
      <c r="AI893" s="102"/>
      <c r="AO893" s="12"/>
      <c r="AP893" s="12"/>
      <c r="AQ893" s="12"/>
      <c r="AR893" s="12"/>
      <c r="AS893" s="12"/>
      <c r="AT893" s="12"/>
      <c r="AU893" s="12"/>
      <c r="AV893" s="12"/>
      <c r="AW893" s="12"/>
      <c r="AX893" s="12"/>
      <c r="AY893" s="12"/>
      <c r="AZ893" s="12"/>
      <c r="BA893" s="12"/>
      <c r="BB893" s="12"/>
      <c r="BC893" s="12"/>
      <c r="BD893" s="12"/>
      <c r="BF893" s="106" t="str">
        <f t="shared" si="1"/>
        <v>#VALUE!</v>
      </c>
      <c r="BG893" s="21">
        <f t="shared" si="2"/>
        <v>12</v>
      </c>
    </row>
    <row r="894">
      <c r="P894" s="161"/>
      <c r="AI894" s="102"/>
      <c r="AO894" s="12"/>
      <c r="AP894" s="12"/>
      <c r="AQ894" s="12"/>
      <c r="AR894" s="12"/>
      <c r="AS894" s="12"/>
      <c r="AT894" s="12"/>
      <c r="AU894" s="12"/>
      <c r="AV894" s="12"/>
      <c r="AW894" s="12"/>
      <c r="AX894" s="12"/>
      <c r="AY894" s="12"/>
      <c r="AZ894" s="12"/>
      <c r="BA894" s="12"/>
      <c r="BB894" s="12"/>
      <c r="BC894" s="12"/>
      <c r="BD894" s="12"/>
      <c r="BF894" s="106" t="str">
        <f t="shared" si="1"/>
        <v>#VALUE!</v>
      </c>
      <c r="BG894" s="21">
        <f t="shared" si="2"/>
        <v>12</v>
      </c>
    </row>
    <row r="895">
      <c r="P895" s="161"/>
      <c r="AI895" s="102"/>
      <c r="AO895" s="12"/>
      <c r="AP895" s="12"/>
      <c r="AQ895" s="12"/>
      <c r="AR895" s="12"/>
      <c r="AS895" s="12"/>
      <c r="AT895" s="12"/>
      <c r="AU895" s="12"/>
      <c r="AV895" s="12"/>
      <c r="AW895" s="12"/>
      <c r="AX895" s="12"/>
      <c r="AY895" s="12"/>
      <c r="AZ895" s="12"/>
      <c r="BA895" s="12"/>
      <c r="BB895" s="12"/>
      <c r="BC895" s="12"/>
      <c r="BD895" s="12"/>
      <c r="BF895" s="106" t="str">
        <f t="shared" si="1"/>
        <v>#VALUE!</v>
      </c>
      <c r="BG895" s="21">
        <f t="shared" si="2"/>
        <v>12</v>
      </c>
    </row>
    <row r="896">
      <c r="P896" s="161"/>
      <c r="AI896" s="102"/>
      <c r="AO896" s="12"/>
      <c r="AP896" s="12"/>
      <c r="AQ896" s="12"/>
      <c r="AR896" s="12"/>
      <c r="AS896" s="12"/>
      <c r="AT896" s="12"/>
      <c r="AU896" s="12"/>
      <c r="AV896" s="12"/>
      <c r="AW896" s="12"/>
      <c r="AX896" s="12"/>
      <c r="AY896" s="12"/>
      <c r="AZ896" s="12"/>
      <c r="BA896" s="12"/>
      <c r="BB896" s="12"/>
      <c r="BC896" s="12"/>
      <c r="BD896" s="12"/>
      <c r="BF896" s="106" t="str">
        <f t="shared" si="1"/>
        <v>#VALUE!</v>
      </c>
      <c r="BG896" s="21">
        <f t="shared" si="2"/>
        <v>12</v>
      </c>
    </row>
    <row r="897">
      <c r="P897" s="161"/>
      <c r="AI897" s="102"/>
      <c r="AO897" s="12"/>
      <c r="AP897" s="12"/>
      <c r="AQ897" s="12"/>
      <c r="AR897" s="12"/>
      <c r="AS897" s="12"/>
      <c r="AT897" s="12"/>
      <c r="AU897" s="12"/>
      <c r="AV897" s="12"/>
      <c r="AW897" s="12"/>
      <c r="AX897" s="12"/>
      <c r="AY897" s="12"/>
      <c r="AZ897" s="12"/>
      <c r="BA897" s="12"/>
      <c r="BB897" s="12"/>
      <c r="BC897" s="12"/>
      <c r="BD897" s="12"/>
      <c r="BF897" s="106" t="str">
        <f t="shared" si="1"/>
        <v>#VALUE!</v>
      </c>
      <c r="BG897" s="21">
        <f t="shared" si="2"/>
        <v>12</v>
      </c>
    </row>
    <row r="898">
      <c r="P898" s="161"/>
      <c r="AI898" s="102"/>
      <c r="AO898" s="12"/>
      <c r="AP898" s="12"/>
      <c r="AQ898" s="12"/>
      <c r="AR898" s="12"/>
      <c r="AS898" s="12"/>
      <c r="AT898" s="12"/>
      <c r="AU898" s="12"/>
      <c r="AV898" s="12"/>
      <c r="AW898" s="12"/>
      <c r="AX898" s="12"/>
      <c r="AY898" s="12"/>
      <c r="AZ898" s="12"/>
      <c r="BA898" s="12"/>
      <c r="BB898" s="12"/>
      <c r="BC898" s="12"/>
      <c r="BD898" s="12"/>
      <c r="BF898" s="106" t="str">
        <f t="shared" si="1"/>
        <v>#VALUE!</v>
      </c>
      <c r="BG898" s="21">
        <f t="shared" si="2"/>
        <v>12</v>
      </c>
    </row>
    <row r="899">
      <c r="P899" s="161"/>
      <c r="AI899" s="102"/>
      <c r="AO899" s="12"/>
      <c r="AP899" s="12"/>
      <c r="AQ899" s="12"/>
      <c r="AR899" s="12"/>
      <c r="AS899" s="12"/>
      <c r="AT899" s="12"/>
      <c r="AU899" s="12"/>
      <c r="AV899" s="12"/>
      <c r="AW899" s="12"/>
      <c r="AX899" s="12"/>
      <c r="AY899" s="12"/>
      <c r="AZ899" s="12"/>
      <c r="BA899" s="12"/>
      <c r="BB899" s="12"/>
      <c r="BC899" s="12"/>
      <c r="BD899" s="12"/>
      <c r="BF899" s="106" t="str">
        <f t="shared" si="1"/>
        <v>#VALUE!</v>
      </c>
      <c r="BG899" s="21">
        <f t="shared" si="2"/>
        <v>12</v>
      </c>
    </row>
    <row r="900">
      <c r="P900" s="161"/>
      <c r="AI900" s="102"/>
      <c r="AO900" s="12"/>
      <c r="AP900" s="12"/>
      <c r="AQ900" s="12"/>
      <c r="AR900" s="12"/>
      <c r="AS900" s="12"/>
      <c r="AT900" s="12"/>
      <c r="AU900" s="12"/>
      <c r="AV900" s="12"/>
      <c r="AW900" s="12"/>
      <c r="AX900" s="12"/>
      <c r="AY900" s="12"/>
      <c r="AZ900" s="12"/>
      <c r="BA900" s="12"/>
      <c r="BB900" s="12"/>
      <c r="BC900" s="12"/>
      <c r="BD900" s="12"/>
      <c r="BF900" s="106" t="str">
        <f t="shared" si="1"/>
        <v>#VALUE!</v>
      </c>
      <c r="BG900" s="21">
        <f t="shared" si="2"/>
        <v>12</v>
      </c>
    </row>
    <row r="901">
      <c r="P901" s="161"/>
      <c r="AI901" s="102"/>
      <c r="AO901" s="12"/>
      <c r="AP901" s="12"/>
      <c r="AQ901" s="12"/>
      <c r="AR901" s="12"/>
      <c r="AS901" s="12"/>
      <c r="AT901" s="12"/>
      <c r="AU901" s="12"/>
      <c r="AV901" s="12"/>
      <c r="AW901" s="12"/>
      <c r="AX901" s="12"/>
      <c r="AY901" s="12"/>
      <c r="AZ901" s="12"/>
      <c r="BA901" s="12"/>
      <c r="BB901" s="12"/>
      <c r="BC901" s="12"/>
      <c r="BD901" s="12"/>
      <c r="BF901" s="106" t="str">
        <f t="shared" si="1"/>
        <v>#VALUE!</v>
      </c>
      <c r="BG901" s="21">
        <f t="shared" si="2"/>
        <v>12</v>
      </c>
    </row>
    <row r="902">
      <c r="P902" s="161"/>
      <c r="AI902" s="102"/>
      <c r="AO902" s="12"/>
      <c r="AP902" s="12"/>
      <c r="AQ902" s="12"/>
      <c r="AR902" s="12"/>
      <c r="AS902" s="12"/>
      <c r="AT902" s="12"/>
      <c r="AU902" s="12"/>
      <c r="AV902" s="12"/>
      <c r="AW902" s="12"/>
      <c r="AX902" s="12"/>
      <c r="AY902" s="12"/>
      <c r="AZ902" s="12"/>
      <c r="BA902" s="12"/>
      <c r="BB902" s="12"/>
      <c r="BC902" s="12"/>
      <c r="BD902" s="12"/>
      <c r="BF902" s="106" t="str">
        <f t="shared" si="1"/>
        <v>#VALUE!</v>
      </c>
      <c r="BG902" s="21">
        <f t="shared" si="2"/>
        <v>12</v>
      </c>
    </row>
    <row r="903">
      <c r="P903" s="161"/>
      <c r="AI903" s="102"/>
      <c r="AO903" s="12"/>
      <c r="AP903" s="12"/>
      <c r="AQ903" s="12"/>
      <c r="AR903" s="12"/>
      <c r="AS903" s="12"/>
      <c r="AT903" s="12"/>
      <c r="AU903" s="12"/>
      <c r="AV903" s="12"/>
      <c r="AW903" s="12"/>
      <c r="AX903" s="12"/>
      <c r="AY903" s="12"/>
      <c r="AZ903" s="12"/>
      <c r="BA903" s="12"/>
      <c r="BB903" s="12"/>
      <c r="BC903" s="12"/>
      <c r="BD903" s="12"/>
      <c r="BF903" s="106" t="str">
        <f t="shared" si="1"/>
        <v>#VALUE!</v>
      </c>
      <c r="BG903" s="21">
        <f t="shared" si="2"/>
        <v>12</v>
      </c>
    </row>
    <row r="904">
      <c r="P904" s="161"/>
      <c r="AI904" s="102"/>
      <c r="AO904" s="12"/>
      <c r="AP904" s="12"/>
      <c r="AQ904" s="12"/>
      <c r="AR904" s="12"/>
      <c r="AS904" s="12"/>
      <c r="AT904" s="12"/>
      <c r="AU904" s="12"/>
      <c r="AV904" s="12"/>
      <c r="AW904" s="12"/>
      <c r="AX904" s="12"/>
      <c r="AY904" s="12"/>
      <c r="AZ904" s="12"/>
      <c r="BA904" s="12"/>
      <c r="BB904" s="12"/>
      <c r="BC904" s="12"/>
      <c r="BD904" s="12"/>
      <c r="BF904" s="106" t="str">
        <f t="shared" si="1"/>
        <v>#VALUE!</v>
      </c>
      <c r="BG904" s="21">
        <f t="shared" si="2"/>
        <v>12</v>
      </c>
    </row>
    <row r="905">
      <c r="P905" s="161"/>
      <c r="AI905" s="102"/>
      <c r="AO905" s="12"/>
      <c r="AP905" s="12"/>
      <c r="AQ905" s="12"/>
      <c r="AR905" s="12"/>
      <c r="AS905" s="12"/>
      <c r="AT905" s="12"/>
      <c r="AU905" s="12"/>
      <c r="AV905" s="12"/>
      <c r="AW905" s="12"/>
      <c r="AX905" s="12"/>
      <c r="AY905" s="12"/>
      <c r="AZ905" s="12"/>
      <c r="BA905" s="12"/>
      <c r="BB905" s="12"/>
      <c r="BC905" s="12"/>
      <c r="BD905" s="12"/>
      <c r="BF905" s="106" t="str">
        <f t="shared" si="1"/>
        <v>#VALUE!</v>
      </c>
      <c r="BG905" s="21">
        <f t="shared" si="2"/>
        <v>12</v>
      </c>
    </row>
    <row r="906">
      <c r="P906" s="161"/>
      <c r="AI906" s="102"/>
      <c r="AO906" s="12"/>
      <c r="AP906" s="12"/>
      <c r="AQ906" s="12"/>
      <c r="AR906" s="12"/>
      <c r="AS906" s="12"/>
      <c r="AT906" s="12"/>
      <c r="AU906" s="12"/>
      <c r="AV906" s="12"/>
      <c r="AW906" s="12"/>
      <c r="AX906" s="12"/>
      <c r="AY906" s="12"/>
      <c r="AZ906" s="12"/>
      <c r="BA906" s="12"/>
      <c r="BB906" s="12"/>
      <c r="BC906" s="12"/>
      <c r="BD906" s="12"/>
      <c r="BF906" s="106" t="str">
        <f t="shared" si="1"/>
        <v>#VALUE!</v>
      </c>
      <c r="BG906" s="21">
        <f t="shared" si="2"/>
        <v>12</v>
      </c>
    </row>
    <row r="907">
      <c r="P907" s="161"/>
      <c r="AI907" s="102"/>
      <c r="AO907" s="12"/>
      <c r="AP907" s="12"/>
      <c r="AQ907" s="12"/>
      <c r="AR907" s="12"/>
      <c r="AS907" s="12"/>
      <c r="AT907" s="12"/>
      <c r="AU907" s="12"/>
      <c r="AV907" s="12"/>
      <c r="AW907" s="12"/>
      <c r="AX907" s="12"/>
      <c r="AY907" s="12"/>
      <c r="AZ907" s="12"/>
      <c r="BA907" s="12"/>
      <c r="BB907" s="12"/>
      <c r="BC907" s="12"/>
      <c r="BD907" s="12"/>
      <c r="BF907" s="106" t="str">
        <f t="shared" si="1"/>
        <v>#VALUE!</v>
      </c>
      <c r="BG907" s="21">
        <f t="shared" si="2"/>
        <v>12</v>
      </c>
    </row>
    <row r="908">
      <c r="P908" s="161"/>
      <c r="AI908" s="102"/>
      <c r="AO908" s="12"/>
      <c r="AP908" s="12"/>
      <c r="AQ908" s="12"/>
      <c r="AR908" s="12"/>
      <c r="AS908" s="12"/>
      <c r="AT908" s="12"/>
      <c r="AU908" s="12"/>
      <c r="AV908" s="12"/>
      <c r="AW908" s="12"/>
      <c r="AX908" s="12"/>
      <c r="AY908" s="12"/>
      <c r="AZ908" s="12"/>
      <c r="BA908" s="12"/>
      <c r="BB908" s="12"/>
      <c r="BC908" s="12"/>
      <c r="BD908" s="12"/>
      <c r="BF908" s="106" t="str">
        <f t="shared" si="1"/>
        <v>#VALUE!</v>
      </c>
      <c r="BG908" s="21">
        <f t="shared" si="2"/>
        <v>12</v>
      </c>
    </row>
    <row r="909">
      <c r="P909" s="161"/>
      <c r="AI909" s="102"/>
      <c r="AO909" s="12"/>
      <c r="AP909" s="12"/>
      <c r="AQ909" s="12"/>
      <c r="AR909" s="12"/>
      <c r="AS909" s="12"/>
      <c r="AT909" s="12"/>
      <c r="AU909" s="12"/>
      <c r="AV909" s="12"/>
      <c r="AW909" s="12"/>
      <c r="AX909" s="12"/>
      <c r="AY909" s="12"/>
      <c r="AZ909" s="12"/>
      <c r="BA909" s="12"/>
      <c r="BB909" s="12"/>
      <c r="BC909" s="12"/>
      <c r="BD909" s="12"/>
      <c r="BF909" s="106" t="str">
        <f t="shared" si="1"/>
        <v>#VALUE!</v>
      </c>
      <c r="BG909" s="21">
        <f t="shared" si="2"/>
        <v>12</v>
      </c>
    </row>
    <row r="910">
      <c r="P910" s="161"/>
      <c r="AI910" s="102"/>
      <c r="AO910" s="12"/>
      <c r="AP910" s="12"/>
      <c r="AQ910" s="12"/>
      <c r="AR910" s="12"/>
      <c r="AS910" s="12"/>
      <c r="AT910" s="12"/>
      <c r="AU910" s="12"/>
      <c r="AV910" s="12"/>
      <c r="AW910" s="12"/>
      <c r="AX910" s="12"/>
      <c r="AY910" s="12"/>
      <c r="AZ910" s="12"/>
      <c r="BA910" s="12"/>
      <c r="BB910" s="12"/>
      <c r="BC910" s="12"/>
      <c r="BD910" s="12"/>
      <c r="BF910" s="106" t="str">
        <f t="shared" si="1"/>
        <v>#VALUE!</v>
      </c>
      <c r="BG910" s="21">
        <f t="shared" si="2"/>
        <v>12</v>
      </c>
    </row>
    <row r="911">
      <c r="P911" s="161"/>
      <c r="AI911" s="102"/>
      <c r="AO911" s="12"/>
      <c r="AP911" s="12"/>
      <c r="AQ911" s="12"/>
      <c r="AR911" s="12"/>
      <c r="AS911" s="12"/>
      <c r="AT911" s="12"/>
      <c r="AU911" s="12"/>
      <c r="AV911" s="12"/>
      <c r="AW911" s="12"/>
      <c r="AX911" s="12"/>
      <c r="AY911" s="12"/>
      <c r="AZ911" s="12"/>
      <c r="BA911" s="12"/>
      <c r="BB911" s="12"/>
      <c r="BC911" s="12"/>
      <c r="BD911" s="12"/>
      <c r="BF911" s="106" t="str">
        <f t="shared" si="1"/>
        <v>#VALUE!</v>
      </c>
      <c r="BG911" s="21">
        <f t="shared" si="2"/>
        <v>12</v>
      </c>
    </row>
    <row r="912">
      <c r="P912" s="161"/>
      <c r="AI912" s="102"/>
      <c r="AO912" s="12"/>
      <c r="AP912" s="12"/>
      <c r="AQ912" s="12"/>
      <c r="AR912" s="12"/>
      <c r="AS912" s="12"/>
      <c r="AT912" s="12"/>
      <c r="AU912" s="12"/>
      <c r="AV912" s="12"/>
      <c r="AW912" s="12"/>
      <c r="AX912" s="12"/>
      <c r="AY912" s="12"/>
      <c r="AZ912" s="12"/>
      <c r="BA912" s="12"/>
      <c r="BB912" s="12"/>
      <c r="BC912" s="12"/>
      <c r="BD912" s="12"/>
      <c r="BF912" s="106" t="str">
        <f t="shared" si="1"/>
        <v>#VALUE!</v>
      </c>
      <c r="BG912" s="21">
        <f t="shared" si="2"/>
        <v>12</v>
      </c>
    </row>
    <row r="913">
      <c r="P913" s="161"/>
      <c r="AI913" s="102"/>
      <c r="AO913" s="12"/>
      <c r="AP913" s="12"/>
      <c r="AQ913" s="12"/>
      <c r="AR913" s="12"/>
      <c r="AS913" s="12"/>
      <c r="AT913" s="12"/>
      <c r="AU913" s="12"/>
      <c r="AV913" s="12"/>
      <c r="AW913" s="12"/>
      <c r="AX913" s="12"/>
      <c r="AY913" s="12"/>
      <c r="AZ913" s="12"/>
      <c r="BA913" s="12"/>
      <c r="BB913" s="12"/>
      <c r="BC913" s="12"/>
      <c r="BD913" s="12"/>
      <c r="BF913" s="106" t="str">
        <f t="shared" si="1"/>
        <v>#VALUE!</v>
      </c>
      <c r="BG913" s="21">
        <f t="shared" si="2"/>
        <v>12</v>
      </c>
    </row>
    <row r="914">
      <c r="P914" s="161"/>
      <c r="AI914" s="102"/>
      <c r="AO914" s="12"/>
      <c r="AP914" s="12"/>
      <c r="AQ914" s="12"/>
      <c r="AR914" s="12"/>
      <c r="AS914" s="12"/>
      <c r="AT914" s="12"/>
      <c r="AU914" s="12"/>
      <c r="AV914" s="12"/>
      <c r="AW914" s="12"/>
      <c r="AX914" s="12"/>
      <c r="AY914" s="12"/>
      <c r="AZ914" s="12"/>
      <c r="BA914" s="12"/>
      <c r="BB914" s="12"/>
      <c r="BC914" s="12"/>
      <c r="BD914" s="12"/>
      <c r="BF914" s="106" t="str">
        <f t="shared" si="1"/>
        <v>#VALUE!</v>
      </c>
      <c r="BG914" s="21">
        <f t="shared" si="2"/>
        <v>12</v>
      </c>
    </row>
    <row r="915">
      <c r="P915" s="161"/>
      <c r="AI915" s="102"/>
      <c r="AO915" s="12"/>
      <c r="AP915" s="12"/>
      <c r="AQ915" s="12"/>
      <c r="AR915" s="12"/>
      <c r="AS915" s="12"/>
      <c r="AT915" s="12"/>
      <c r="AU915" s="12"/>
      <c r="AV915" s="12"/>
      <c r="AW915" s="12"/>
      <c r="AX915" s="12"/>
      <c r="AY915" s="12"/>
      <c r="AZ915" s="12"/>
      <c r="BA915" s="12"/>
      <c r="BB915" s="12"/>
      <c r="BC915" s="12"/>
      <c r="BD915" s="12"/>
      <c r="BF915" s="106" t="str">
        <f t="shared" si="1"/>
        <v>#VALUE!</v>
      </c>
      <c r="BG915" s="21">
        <f t="shared" si="2"/>
        <v>12</v>
      </c>
    </row>
    <row r="916">
      <c r="P916" s="161"/>
      <c r="AI916" s="102"/>
      <c r="AO916" s="12"/>
      <c r="AP916" s="12"/>
      <c r="AQ916" s="12"/>
      <c r="AR916" s="12"/>
      <c r="AS916" s="12"/>
      <c r="AT916" s="12"/>
      <c r="AU916" s="12"/>
      <c r="AV916" s="12"/>
      <c r="AW916" s="12"/>
      <c r="AX916" s="12"/>
      <c r="AY916" s="12"/>
      <c r="AZ916" s="12"/>
      <c r="BA916" s="12"/>
      <c r="BB916" s="12"/>
      <c r="BC916" s="12"/>
      <c r="BD916" s="12"/>
      <c r="BF916" s="106" t="str">
        <f t="shared" si="1"/>
        <v>#VALUE!</v>
      </c>
      <c r="BG916" s="21">
        <f t="shared" si="2"/>
        <v>12</v>
      </c>
    </row>
    <row r="917">
      <c r="P917" s="161"/>
      <c r="AI917" s="102"/>
      <c r="AO917" s="12"/>
      <c r="AP917" s="12"/>
      <c r="AQ917" s="12"/>
      <c r="AR917" s="12"/>
      <c r="AS917" s="12"/>
      <c r="AT917" s="12"/>
      <c r="AU917" s="12"/>
      <c r="AV917" s="12"/>
      <c r="AW917" s="12"/>
      <c r="AX917" s="12"/>
      <c r="AY917" s="12"/>
      <c r="AZ917" s="12"/>
      <c r="BA917" s="12"/>
      <c r="BB917" s="12"/>
      <c r="BC917" s="12"/>
      <c r="BD917" s="12"/>
      <c r="BF917" s="106" t="str">
        <f t="shared" si="1"/>
        <v>#VALUE!</v>
      </c>
      <c r="BG917" s="21">
        <f t="shared" si="2"/>
        <v>12</v>
      </c>
    </row>
    <row r="918">
      <c r="P918" s="161"/>
      <c r="AI918" s="102"/>
      <c r="AO918" s="12"/>
      <c r="AP918" s="12"/>
      <c r="AQ918" s="12"/>
      <c r="AR918" s="12"/>
      <c r="AS918" s="12"/>
      <c r="AT918" s="12"/>
      <c r="AU918" s="12"/>
      <c r="AV918" s="12"/>
      <c r="AW918" s="12"/>
      <c r="AX918" s="12"/>
      <c r="AY918" s="12"/>
      <c r="AZ918" s="12"/>
      <c r="BA918" s="12"/>
      <c r="BB918" s="12"/>
      <c r="BC918" s="12"/>
      <c r="BD918" s="12"/>
      <c r="BF918" s="106" t="str">
        <f t="shared" si="1"/>
        <v>#VALUE!</v>
      </c>
      <c r="BG918" s="21">
        <f t="shared" si="2"/>
        <v>12</v>
      </c>
    </row>
    <row r="919">
      <c r="P919" s="161"/>
      <c r="AI919" s="102"/>
      <c r="AO919" s="12"/>
      <c r="AP919" s="12"/>
      <c r="AQ919" s="12"/>
      <c r="AR919" s="12"/>
      <c r="AS919" s="12"/>
      <c r="AT919" s="12"/>
      <c r="AU919" s="12"/>
      <c r="AV919" s="12"/>
      <c r="AW919" s="12"/>
      <c r="AX919" s="12"/>
      <c r="AY919" s="12"/>
      <c r="AZ919" s="12"/>
      <c r="BA919" s="12"/>
      <c r="BB919" s="12"/>
      <c r="BC919" s="12"/>
      <c r="BD919" s="12"/>
      <c r="BF919" s="106" t="str">
        <f t="shared" si="1"/>
        <v>#VALUE!</v>
      </c>
      <c r="BG919" s="21">
        <f t="shared" si="2"/>
        <v>12</v>
      </c>
    </row>
    <row r="920">
      <c r="P920" s="161"/>
      <c r="AI920" s="102"/>
      <c r="AO920" s="12"/>
      <c r="AP920" s="12"/>
      <c r="AQ920" s="12"/>
      <c r="AR920" s="12"/>
      <c r="AS920" s="12"/>
      <c r="AT920" s="12"/>
      <c r="AU920" s="12"/>
      <c r="AV920" s="12"/>
      <c r="AW920" s="12"/>
      <c r="AX920" s="12"/>
      <c r="AY920" s="12"/>
      <c r="AZ920" s="12"/>
      <c r="BA920" s="12"/>
      <c r="BB920" s="12"/>
      <c r="BC920" s="12"/>
      <c r="BD920" s="12"/>
      <c r="BF920" s="106" t="str">
        <f t="shared" si="1"/>
        <v>#VALUE!</v>
      </c>
      <c r="BG920" s="21">
        <f t="shared" si="2"/>
        <v>12</v>
      </c>
    </row>
    <row r="921">
      <c r="P921" s="161"/>
      <c r="AI921" s="102"/>
      <c r="AO921" s="12"/>
      <c r="AP921" s="12"/>
      <c r="AQ921" s="12"/>
      <c r="AR921" s="12"/>
      <c r="AS921" s="12"/>
      <c r="AT921" s="12"/>
      <c r="AU921" s="12"/>
      <c r="AV921" s="12"/>
      <c r="AW921" s="12"/>
      <c r="AX921" s="12"/>
      <c r="AY921" s="12"/>
      <c r="AZ921" s="12"/>
      <c r="BA921" s="12"/>
      <c r="BB921" s="12"/>
      <c r="BC921" s="12"/>
      <c r="BD921" s="12"/>
      <c r="BF921" s="106" t="str">
        <f t="shared" si="1"/>
        <v>#VALUE!</v>
      </c>
      <c r="BG921" s="21">
        <f t="shared" si="2"/>
        <v>12</v>
      </c>
    </row>
    <row r="922">
      <c r="P922" s="161"/>
      <c r="AI922" s="102"/>
      <c r="AO922" s="12"/>
      <c r="AP922" s="12"/>
      <c r="AQ922" s="12"/>
      <c r="AR922" s="12"/>
      <c r="AS922" s="12"/>
      <c r="AT922" s="12"/>
      <c r="AU922" s="12"/>
      <c r="AV922" s="12"/>
      <c r="AW922" s="12"/>
      <c r="AX922" s="12"/>
      <c r="AY922" s="12"/>
      <c r="AZ922" s="12"/>
      <c r="BA922" s="12"/>
      <c r="BB922" s="12"/>
      <c r="BC922" s="12"/>
      <c r="BD922" s="12"/>
      <c r="BF922" s="106" t="str">
        <f t="shared" si="1"/>
        <v>#VALUE!</v>
      </c>
      <c r="BG922" s="21">
        <f t="shared" si="2"/>
        <v>12</v>
      </c>
    </row>
    <row r="923">
      <c r="P923" s="161"/>
      <c r="AI923" s="102"/>
      <c r="AO923" s="12"/>
      <c r="AP923" s="12"/>
      <c r="AQ923" s="12"/>
      <c r="AR923" s="12"/>
      <c r="AS923" s="12"/>
      <c r="AT923" s="12"/>
      <c r="AU923" s="12"/>
      <c r="AV923" s="12"/>
      <c r="AW923" s="12"/>
      <c r="AX923" s="12"/>
      <c r="AY923" s="12"/>
      <c r="AZ923" s="12"/>
      <c r="BA923" s="12"/>
      <c r="BB923" s="12"/>
      <c r="BC923" s="12"/>
      <c r="BD923" s="12"/>
      <c r="BF923" s="106" t="str">
        <f t="shared" si="1"/>
        <v>#VALUE!</v>
      </c>
      <c r="BG923" s="21">
        <f t="shared" si="2"/>
        <v>12</v>
      </c>
    </row>
    <row r="924">
      <c r="P924" s="161"/>
      <c r="AI924" s="102"/>
      <c r="AO924" s="12"/>
      <c r="AP924" s="12"/>
      <c r="AQ924" s="12"/>
      <c r="AR924" s="12"/>
      <c r="AS924" s="12"/>
      <c r="AT924" s="12"/>
      <c r="AU924" s="12"/>
      <c r="AV924" s="12"/>
      <c r="AW924" s="12"/>
      <c r="AX924" s="12"/>
      <c r="AY924" s="12"/>
      <c r="AZ924" s="12"/>
      <c r="BA924" s="12"/>
      <c r="BB924" s="12"/>
      <c r="BC924" s="12"/>
      <c r="BD924" s="12"/>
      <c r="BF924" s="106" t="str">
        <f t="shared" si="1"/>
        <v>#VALUE!</v>
      </c>
      <c r="BG924" s="21">
        <f t="shared" si="2"/>
        <v>12</v>
      </c>
    </row>
    <row r="925">
      <c r="P925" s="161"/>
      <c r="AI925" s="102"/>
      <c r="AO925" s="12"/>
      <c r="AP925" s="12"/>
      <c r="AQ925" s="12"/>
      <c r="AR925" s="12"/>
      <c r="AS925" s="12"/>
      <c r="AT925" s="12"/>
      <c r="AU925" s="12"/>
      <c r="AV925" s="12"/>
      <c r="AW925" s="12"/>
      <c r="AX925" s="12"/>
      <c r="AY925" s="12"/>
      <c r="AZ925" s="12"/>
      <c r="BA925" s="12"/>
      <c r="BB925" s="12"/>
      <c r="BC925" s="12"/>
      <c r="BD925" s="12"/>
      <c r="BF925" s="106" t="str">
        <f t="shared" si="1"/>
        <v>#VALUE!</v>
      </c>
      <c r="BG925" s="21">
        <f t="shared" si="2"/>
        <v>12</v>
      </c>
    </row>
    <row r="926">
      <c r="P926" s="161"/>
      <c r="AI926" s="102"/>
      <c r="AO926" s="12"/>
      <c r="AP926" s="12"/>
      <c r="AQ926" s="12"/>
      <c r="AR926" s="12"/>
      <c r="AS926" s="12"/>
      <c r="AT926" s="12"/>
      <c r="AU926" s="12"/>
      <c r="AV926" s="12"/>
      <c r="AW926" s="12"/>
      <c r="AX926" s="12"/>
      <c r="AY926" s="12"/>
      <c r="AZ926" s="12"/>
      <c r="BA926" s="12"/>
      <c r="BB926" s="12"/>
      <c r="BC926" s="12"/>
      <c r="BD926" s="12"/>
      <c r="BF926" s="106" t="str">
        <f t="shared" si="1"/>
        <v>#VALUE!</v>
      </c>
      <c r="BG926" s="21">
        <f t="shared" si="2"/>
        <v>12</v>
      </c>
    </row>
    <row r="927">
      <c r="P927" s="161"/>
      <c r="AI927" s="102"/>
      <c r="AO927" s="12"/>
      <c r="AP927" s="12"/>
      <c r="AQ927" s="12"/>
      <c r="AR927" s="12"/>
      <c r="AS927" s="12"/>
      <c r="AT927" s="12"/>
      <c r="AU927" s="12"/>
      <c r="AV927" s="12"/>
      <c r="AW927" s="12"/>
      <c r="AX927" s="12"/>
      <c r="AY927" s="12"/>
      <c r="AZ927" s="12"/>
      <c r="BA927" s="12"/>
      <c r="BB927" s="12"/>
      <c r="BC927" s="12"/>
      <c r="BD927" s="12"/>
      <c r="BF927" s="106" t="str">
        <f t="shared" si="1"/>
        <v>#VALUE!</v>
      </c>
      <c r="BG927" s="21">
        <f t="shared" si="2"/>
        <v>12</v>
      </c>
    </row>
    <row r="928">
      <c r="P928" s="161"/>
      <c r="AI928" s="102"/>
      <c r="AO928" s="12"/>
      <c r="AP928" s="12"/>
      <c r="AQ928" s="12"/>
      <c r="AR928" s="12"/>
      <c r="AS928" s="12"/>
      <c r="AT928" s="12"/>
      <c r="AU928" s="12"/>
      <c r="AV928" s="12"/>
      <c r="AW928" s="12"/>
      <c r="AX928" s="12"/>
      <c r="AY928" s="12"/>
      <c r="AZ928" s="12"/>
      <c r="BA928" s="12"/>
      <c r="BB928" s="12"/>
      <c r="BC928" s="12"/>
      <c r="BD928" s="12"/>
      <c r="BF928" s="106" t="str">
        <f t="shared" si="1"/>
        <v>#VALUE!</v>
      </c>
      <c r="BG928" s="21">
        <f t="shared" si="2"/>
        <v>12</v>
      </c>
    </row>
    <row r="929">
      <c r="P929" s="161"/>
      <c r="AI929" s="102"/>
      <c r="AO929" s="12"/>
      <c r="AP929" s="12"/>
      <c r="AQ929" s="12"/>
      <c r="AR929" s="12"/>
      <c r="AS929" s="12"/>
      <c r="AT929" s="12"/>
      <c r="AU929" s="12"/>
      <c r="AV929" s="12"/>
      <c r="AW929" s="12"/>
      <c r="AX929" s="12"/>
      <c r="AY929" s="12"/>
      <c r="AZ929" s="12"/>
      <c r="BA929" s="12"/>
      <c r="BB929" s="12"/>
      <c r="BC929" s="12"/>
      <c r="BD929" s="12"/>
      <c r="BF929" s="106" t="str">
        <f t="shared" si="1"/>
        <v>#VALUE!</v>
      </c>
      <c r="BG929" s="21">
        <f t="shared" si="2"/>
        <v>12</v>
      </c>
    </row>
    <row r="930">
      <c r="P930" s="161"/>
      <c r="AI930" s="102"/>
      <c r="AO930" s="12"/>
      <c r="AP930" s="12"/>
      <c r="AQ930" s="12"/>
      <c r="AR930" s="12"/>
      <c r="AS930" s="12"/>
      <c r="AT930" s="12"/>
      <c r="AU930" s="12"/>
      <c r="AV930" s="12"/>
      <c r="AW930" s="12"/>
      <c r="AX930" s="12"/>
      <c r="AY930" s="12"/>
      <c r="AZ930" s="12"/>
      <c r="BA930" s="12"/>
      <c r="BB930" s="12"/>
      <c r="BC930" s="12"/>
      <c r="BD930" s="12"/>
      <c r="BF930" s="106" t="str">
        <f t="shared" si="1"/>
        <v>#VALUE!</v>
      </c>
      <c r="BG930" s="21">
        <f t="shared" si="2"/>
        <v>12</v>
      </c>
    </row>
    <row r="931">
      <c r="P931" s="161"/>
      <c r="AI931" s="102"/>
      <c r="AO931" s="12"/>
      <c r="AP931" s="12"/>
      <c r="AQ931" s="12"/>
      <c r="AR931" s="12"/>
      <c r="AS931" s="12"/>
      <c r="AT931" s="12"/>
      <c r="AU931" s="12"/>
      <c r="AV931" s="12"/>
      <c r="AW931" s="12"/>
      <c r="AX931" s="12"/>
      <c r="AY931" s="12"/>
      <c r="AZ931" s="12"/>
      <c r="BA931" s="12"/>
      <c r="BB931" s="12"/>
      <c r="BC931" s="12"/>
      <c r="BD931" s="12"/>
      <c r="BF931" s="106" t="str">
        <f t="shared" si="1"/>
        <v>#VALUE!</v>
      </c>
      <c r="BG931" s="21">
        <f t="shared" si="2"/>
        <v>12</v>
      </c>
    </row>
    <row r="932">
      <c r="P932" s="161"/>
      <c r="AI932" s="102"/>
      <c r="AO932" s="12"/>
      <c r="AP932" s="12"/>
      <c r="AQ932" s="12"/>
      <c r="AR932" s="12"/>
      <c r="AS932" s="12"/>
      <c r="AT932" s="12"/>
      <c r="AU932" s="12"/>
      <c r="AV932" s="12"/>
      <c r="AW932" s="12"/>
      <c r="AX932" s="12"/>
      <c r="AY932" s="12"/>
      <c r="AZ932" s="12"/>
      <c r="BA932" s="12"/>
      <c r="BB932" s="12"/>
      <c r="BC932" s="12"/>
      <c r="BD932" s="12"/>
      <c r="BF932" s="106" t="str">
        <f t="shared" si="1"/>
        <v>#VALUE!</v>
      </c>
      <c r="BG932" s="21">
        <f t="shared" si="2"/>
        <v>12</v>
      </c>
    </row>
    <row r="933">
      <c r="P933" s="161"/>
      <c r="AI933" s="102"/>
      <c r="AO933" s="12"/>
      <c r="AP933" s="12"/>
      <c r="AQ933" s="12"/>
      <c r="AR933" s="12"/>
      <c r="AS933" s="12"/>
      <c r="AT933" s="12"/>
      <c r="AU933" s="12"/>
      <c r="AV933" s="12"/>
      <c r="AW933" s="12"/>
      <c r="AX933" s="12"/>
      <c r="AY933" s="12"/>
      <c r="AZ933" s="12"/>
      <c r="BA933" s="12"/>
      <c r="BB933" s="12"/>
      <c r="BC933" s="12"/>
      <c r="BD933" s="12"/>
      <c r="BF933" s="106" t="str">
        <f t="shared" si="1"/>
        <v>#VALUE!</v>
      </c>
      <c r="BG933" s="21">
        <f t="shared" si="2"/>
        <v>12</v>
      </c>
    </row>
    <row r="934">
      <c r="P934" s="161"/>
      <c r="AI934" s="102"/>
      <c r="AO934" s="12"/>
      <c r="AP934" s="12"/>
      <c r="AQ934" s="12"/>
      <c r="AR934" s="12"/>
      <c r="AS934" s="12"/>
      <c r="AT934" s="12"/>
      <c r="AU934" s="12"/>
      <c r="AV934" s="12"/>
      <c r="AW934" s="12"/>
      <c r="AX934" s="12"/>
      <c r="AY934" s="12"/>
      <c r="AZ934" s="12"/>
      <c r="BA934" s="12"/>
      <c r="BB934" s="12"/>
      <c r="BC934" s="12"/>
      <c r="BD934" s="12"/>
      <c r="BF934" s="106" t="str">
        <f t="shared" si="1"/>
        <v>#VALUE!</v>
      </c>
      <c r="BG934" s="21">
        <f t="shared" si="2"/>
        <v>12</v>
      </c>
    </row>
    <row r="935">
      <c r="P935" s="161"/>
      <c r="AI935" s="102"/>
      <c r="AO935" s="12"/>
      <c r="AP935" s="12"/>
      <c r="AQ935" s="12"/>
      <c r="AR935" s="12"/>
      <c r="AS935" s="12"/>
      <c r="AT935" s="12"/>
      <c r="AU935" s="12"/>
      <c r="AV935" s="12"/>
      <c r="AW935" s="12"/>
      <c r="AX935" s="12"/>
      <c r="AY935" s="12"/>
      <c r="AZ935" s="12"/>
      <c r="BA935" s="12"/>
      <c r="BB935" s="12"/>
      <c r="BC935" s="12"/>
      <c r="BD935" s="12"/>
      <c r="BF935" s="106" t="str">
        <f t="shared" si="1"/>
        <v>#VALUE!</v>
      </c>
      <c r="BG935" s="21">
        <f t="shared" si="2"/>
        <v>12</v>
      </c>
    </row>
    <row r="936">
      <c r="P936" s="161"/>
      <c r="AI936" s="102"/>
      <c r="AO936" s="12"/>
      <c r="AP936" s="12"/>
      <c r="AQ936" s="12"/>
      <c r="AR936" s="12"/>
      <c r="AS936" s="12"/>
      <c r="AT936" s="12"/>
      <c r="AU936" s="12"/>
      <c r="AV936" s="12"/>
      <c r="AW936" s="12"/>
      <c r="AX936" s="12"/>
      <c r="AY936" s="12"/>
      <c r="AZ936" s="12"/>
      <c r="BA936" s="12"/>
      <c r="BB936" s="12"/>
      <c r="BC936" s="12"/>
      <c r="BD936" s="12"/>
      <c r="BF936" s="106" t="str">
        <f t="shared" si="1"/>
        <v>#VALUE!</v>
      </c>
      <c r="BG936" s="21">
        <f t="shared" si="2"/>
        <v>12</v>
      </c>
    </row>
    <row r="937">
      <c r="P937" s="161"/>
      <c r="AI937" s="102"/>
      <c r="AO937" s="12"/>
      <c r="AP937" s="12"/>
      <c r="AQ937" s="12"/>
      <c r="AR937" s="12"/>
      <c r="AS937" s="12"/>
      <c r="AT937" s="12"/>
      <c r="AU937" s="12"/>
      <c r="AV937" s="12"/>
      <c r="AW937" s="12"/>
      <c r="AX937" s="12"/>
      <c r="AY937" s="12"/>
      <c r="AZ937" s="12"/>
      <c r="BA937" s="12"/>
      <c r="BB937" s="12"/>
      <c r="BC937" s="12"/>
      <c r="BD937" s="12"/>
      <c r="BF937" s="106" t="str">
        <f t="shared" si="1"/>
        <v>#VALUE!</v>
      </c>
      <c r="BG937" s="21">
        <f t="shared" si="2"/>
        <v>12</v>
      </c>
    </row>
    <row r="938">
      <c r="P938" s="161"/>
      <c r="AI938" s="102"/>
      <c r="AO938" s="12"/>
      <c r="AP938" s="12"/>
      <c r="AQ938" s="12"/>
      <c r="AR938" s="12"/>
      <c r="AS938" s="12"/>
      <c r="AT938" s="12"/>
      <c r="AU938" s="12"/>
      <c r="AV938" s="12"/>
      <c r="AW938" s="12"/>
      <c r="AX938" s="12"/>
      <c r="AY938" s="12"/>
      <c r="AZ938" s="12"/>
      <c r="BA938" s="12"/>
      <c r="BB938" s="12"/>
      <c r="BC938" s="12"/>
      <c r="BD938" s="12"/>
      <c r="BF938" s="106" t="str">
        <f t="shared" si="1"/>
        <v>#VALUE!</v>
      </c>
      <c r="BG938" s="21">
        <f t="shared" si="2"/>
        <v>12</v>
      </c>
    </row>
    <row r="939">
      <c r="P939" s="161"/>
      <c r="AI939" s="102"/>
      <c r="AO939" s="12"/>
      <c r="AP939" s="12"/>
      <c r="AQ939" s="12"/>
      <c r="AR939" s="12"/>
      <c r="AS939" s="12"/>
      <c r="AT939" s="12"/>
      <c r="AU939" s="12"/>
      <c r="AV939" s="12"/>
      <c r="AW939" s="12"/>
      <c r="AX939" s="12"/>
      <c r="AY939" s="12"/>
      <c r="AZ939" s="12"/>
      <c r="BA939" s="12"/>
      <c r="BB939" s="12"/>
      <c r="BC939" s="12"/>
      <c r="BD939" s="12"/>
      <c r="BF939" s="106" t="str">
        <f t="shared" si="1"/>
        <v>#VALUE!</v>
      </c>
      <c r="BG939" s="21">
        <f t="shared" si="2"/>
        <v>12</v>
      </c>
    </row>
    <row r="940">
      <c r="P940" s="161"/>
      <c r="AI940" s="102"/>
      <c r="AO940" s="12"/>
      <c r="AP940" s="12"/>
      <c r="AQ940" s="12"/>
      <c r="AR940" s="12"/>
      <c r="AS940" s="12"/>
      <c r="AT940" s="12"/>
      <c r="AU940" s="12"/>
      <c r="AV940" s="12"/>
      <c r="AW940" s="12"/>
      <c r="AX940" s="12"/>
      <c r="AY940" s="12"/>
      <c r="AZ940" s="12"/>
      <c r="BA940" s="12"/>
      <c r="BB940" s="12"/>
      <c r="BC940" s="12"/>
      <c r="BD940" s="12"/>
      <c r="BF940" s="106" t="str">
        <f t="shared" si="1"/>
        <v>#VALUE!</v>
      </c>
      <c r="BG940" s="21">
        <f t="shared" si="2"/>
        <v>12</v>
      </c>
    </row>
    <row r="941">
      <c r="P941" s="161"/>
      <c r="AI941" s="102"/>
      <c r="AO941" s="12"/>
      <c r="AP941" s="12"/>
      <c r="AQ941" s="12"/>
      <c r="AR941" s="12"/>
      <c r="AS941" s="12"/>
      <c r="AT941" s="12"/>
      <c r="AU941" s="12"/>
      <c r="AV941" s="12"/>
      <c r="AW941" s="12"/>
      <c r="AX941" s="12"/>
      <c r="AY941" s="12"/>
      <c r="AZ941" s="12"/>
      <c r="BA941" s="12"/>
      <c r="BB941" s="12"/>
      <c r="BC941" s="12"/>
      <c r="BD941" s="12"/>
      <c r="BF941" s="106" t="str">
        <f t="shared" si="1"/>
        <v>#VALUE!</v>
      </c>
      <c r="BG941" s="21">
        <f t="shared" si="2"/>
        <v>12</v>
      </c>
    </row>
    <row r="942">
      <c r="P942" s="161"/>
      <c r="AI942" s="102"/>
      <c r="AO942" s="12"/>
      <c r="AP942" s="12"/>
      <c r="AQ942" s="12"/>
      <c r="AR942" s="12"/>
      <c r="AS942" s="12"/>
      <c r="AT942" s="12"/>
      <c r="AU942" s="12"/>
      <c r="AV942" s="12"/>
      <c r="AW942" s="12"/>
      <c r="AX942" s="12"/>
      <c r="AY942" s="12"/>
      <c r="AZ942" s="12"/>
      <c r="BA942" s="12"/>
      <c r="BB942" s="12"/>
      <c r="BC942" s="12"/>
      <c r="BD942" s="12"/>
      <c r="BF942" s="106" t="str">
        <f t="shared" si="1"/>
        <v>#VALUE!</v>
      </c>
      <c r="BG942" s="21">
        <f t="shared" si="2"/>
        <v>12</v>
      </c>
    </row>
    <row r="943">
      <c r="P943" s="161"/>
      <c r="AI943" s="102"/>
      <c r="AO943" s="12"/>
      <c r="AP943" s="12"/>
      <c r="AQ943" s="12"/>
      <c r="AR943" s="12"/>
      <c r="AS943" s="12"/>
      <c r="AT943" s="12"/>
      <c r="AU943" s="12"/>
      <c r="AV943" s="12"/>
      <c r="AW943" s="12"/>
      <c r="AX943" s="12"/>
      <c r="AY943" s="12"/>
      <c r="AZ943" s="12"/>
      <c r="BA943" s="12"/>
      <c r="BB943" s="12"/>
      <c r="BC943" s="12"/>
      <c r="BD943" s="12"/>
      <c r="BF943" s="106" t="str">
        <f t="shared" si="1"/>
        <v>#VALUE!</v>
      </c>
      <c r="BG943" s="21">
        <f t="shared" si="2"/>
        <v>12</v>
      </c>
    </row>
    <row r="944">
      <c r="P944" s="161"/>
      <c r="AI944" s="102"/>
      <c r="AO944" s="12"/>
      <c r="AP944" s="12"/>
      <c r="AQ944" s="12"/>
      <c r="AR944" s="12"/>
      <c r="AS944" s="12"/>
      <c r="AT944" s="12"/>
      <c r="AU944" s="12"/>
      <c r="AV944" s="12"/>
      <c r="AW944" s="12"/>
      <c r="AX944" s="12"/>
      <c r="AY944" s="12"/>
      <c r="AZ944" s="12"/>
      <c r="BA944" s="12"/>
      <c r="BB944" s="12"/>
      <c r="BC944" s="12"/>
      <c r="BD944" s="12"/>
      <c r="BF944" s="106" t="str">
        <f t="shared" si="1"/>
        <v>#VALUE!</v>
      </c>
      <c r="BG944" s="21">
        <f t="shared" si="2"/>
        <v>12</v>
      </c>
    </row>
    <row r="945">
      <c r="P945" s="161"/>
      <c r="AI945" s="102"/>
      <c r="AO945" s="12"/>
      <c r="AP945" s="12"/>
      <c r="AQ945" s="12"/>
      <c r="AR945" s="12"/>
      <c r="AS945" s="12"/>
      <c r="AT945" s="12"/>
      <c r="AU945" s="12"/>
      <c r="AV945" s="12"/>
      <c r="AW945" s="12"/>
      <c r="AX945" s="12"/>
      <c r="AY945" s="12"/>
      <c r="AZ945" s="12"/>
      <c r="BA945" s="12"/>
      <c r="BB945" s="12"/>
      <c r="BC945" s="12"/>
      <c r="BD945" s="12"/>
      <c r="BF945" s="106" t="str">
        <f t="shared" si="1"/>
        <v>#VALUE!</v>
      </c>
      <c r="BG945" s="21">
        <f t="shared" si="2"/>
        <v>12</v>
      </c>
    </row>
    <row r="946">
      <c r="P946" s="161"/>
      <c r="AI946" s="102"/>
      <c r="AO946" s="12"/>
      <c r="AP946" s="12"/>
      <c r="AQ946" s="12"/>
      <c r="AR946" s="12"/>
      <c r="AS946" s="12"/>
      <c r="AT946" s="12"/>
      <c r="AU946" s="12"/>
      <c r="AV946" s="12"/>
      <c r="AW946" s="12"/>
      <c r="AX946" s="12"/>
      <c r="AY946" s="12"/>
      <c r="AZ946" s="12"/>
      <c r="BA946" s="12"/>
      <c r="BB946" s="12"/>
      <c r="BC946" s="12"/>
      <c r="BD946" s="12"/>
      <c r="BF946" s="106" t="str">
        <f t="shared" si="1"/>
        <v>#VALUE!</v>
      </c>
      <c r="BG946" s="21">
        <f t="shared" si="2"/>
        <v>12</v>
      </c>
    </row>
    <row r="947">
      <c r="P947" s="161"/>
      <c r="AI947" s="102"/>
      <c r="AO947" s="12"/>
      <c r="AP947" s="12"/>
      <c r="AQ947" s="12"/>
      <c r="AR947" s="12"/>
      <c r="AS947" s="12"/>
      <c r="AT947" s="12"/>
      <c r="AU947" s="12"/>
      <c r="AV947" s="12"/>
      <c r="AW947" s="12"/>
      <c r="AX947" s="12"/>
      <c r="AY947" s="12"/>
      <c r="AZ947" s="12"/>
      <c r="BA947" s="12"/>
      <c r="BB947" s="12"/>
      <c r="BC947" s="12"/>
      <c r="BD947" s="12"/>
      <c r="BF947" s="106" t="str">
        <f t="shared" si="1"/>
        <v>#VALUE!</v>
      </c>
      <c r="BG947" s="21">
        <f t="shared" si="2"/>
        <v>12</v>
      </c>
    </row>
    <row r="948">
      <c r="P948" s="161"/>
      <c r="AI948" s="102"/>
      <c r="AO948" s="12"/>
      <c r="AP948" s="12"/>
      <c r="AQ948" s="12"/>
      <c r="AR948" s="12"/>
      <c r="AS948" s="12"/>
      <c r="AT948" s="12"/>
      <c r="AU948" s="12"/>
      <c r="AV948" s="12"/>
      <c r="AW948" s="12"/>
      <c r="AX948" s="12"/>
      <c r="AY948" s="12"/>
      <c r="AZ948" s="12"/>
      <c r="BA948" s="12"/>
      <c r="BB948" s="12"/>
      <c r="BC948" s="12"/>
      <c r="BD948" s="12"/>
      <c r="BF948" s="106" t="str">
        <f t="shared" si="1"/>
        <v>#VALUE!</v>
      </c>
      <c r="BG948" s="21">
        <f t="shared" si="2"/>
        <v>12</v>
      </c>
    </row>
    <row r="949">
      <c r="P949" s="161"/>
      <c r="AI949" s="102"/>
      <c r="AO949" s="12"/>
      <c r="AP949" s="12"/>
      <c r="AQ949" s="12"/>
      <c r="AR949" s="12"/>
      <c r="AS949" s="12"/>
      <c r="AT949" s="12"/>
      <c r="AU949" s="12"/>
      <c r="AV949" s="12"/>
      <c r="AW949" s="12"/>
      <c r="AX949" s="12"/>
      <c r="AY949" s="12"/>
      <c r="AZ949" s="12"/>
      <c r="BA949" s="12"/>
      <c r="BB949" s="12"/>
      <c r="BC949" s="12"/>
      <c r="BD949" s="12"/>
      <c r="BF949" s="106" t="str">
        <f t="shared" si="1"/>
        <v>#VALUE!</v>
      </c>
      <c r="BG949" s="21">
        <f t="shared" si="2"/>
        <v>12</v>
      </c>
    </row>
    <row r="950">
      <c r="P950" s="161"/>
      <c r="AI950" s="102"/>
      <c r="AO950" s="12"/>
      <c r="AP950" s="12"/>
      <c r="AQ950" s="12"/>
      <c r="AR950" s="12"/>
      <c r="AS950" s="12"/>
      <c r="AT950" s="12"/>
      <c r="AU950" s="12"/>
      <c r="AV950" s="12"/>
      <c r="AW950" s="12"/>
      <c r="AX950" s="12"/>
      <c r="AY950" s="12"/>
      <c r="AZ950" s="12"/>
      <c r="BA950" s="12"/>
      <c r="BB950" s="12"/>
      <c r="BC950" s="12"/>
      <c r="BD950" s="12"/>
      <c r="BF950" s="106" t="str">
        <f t="shared" si="1"/>
        <v>#VALUE!</v>
      </c>
      <c r="BG950" s="21">
        <f t="shared" si="2"/>
        <v>12</v>
      </c>
    </row>
    <row r="951">
      <c r="P951" s="161"/>
      <c r="AI951" s="102"/>
      <c r="AO951" s="12"/>
      <c r="AP951" s="12"/>
      <c r="AQ951" s="12"/>
      <c r="AR951" s="12"/>
      <c r="AS951" s="12"/>
      <c r="AT951" s="12"/>
      <c r="AU951" s="12"/>
      <c r="AV951" s="12"/>
      <c r="AW951" s="12"/>
      <c r="AX951" s="12"/>
      <c r="AY951" s="12"/>
      <c r="AZ951" s="12"/>
      <c r="BA951" s="12"/>
      <c r="BB951" s="12"/>
      <c r="BC951" s="12"/>
      <c r="BD951" s="12"/>
      <c r="BF951" s="106" t="str">
        <f t="shared" si="1"/>
        <v>#VALUE!</v>
      </c>
      <c r="BG951" s="21">
        <f t="shared" si="2"/>
        <v>12</v>
      </c>
    </row>
    <row r="952">
      <c r="P952" s="161"/>
      <c r="AI952" s="102"/>
      <c r="AO952" s="12"/>
      <c r="AP952" s="12"/>
      <c r="AQ952" s="12"/>
      <c r="AR952" s="12"/>
      <c r="AS952" s="12"/>
      <c r="AT952" s="12"/>
      <c r="AU952" s="12"/>
      <c r="AV952" s="12"/>
      <c r="AW952" s="12"/>
      <c r="AX952" s="12"/>
      <c r="AY952" s="12"/>
      <c r="AZ952" s="12"/>
      <c r="BA952" s="12"/>
      <c r="BB952" s="12"/>
      <c r="BC952" s="12"/>
      <c r="BD952" s="12"/>
      <c r="BF952" s="106" t="str">
        <f t="shared" si="1"/>
        <v>#VALUE!</v>
      </c>
      <c r="BG952" s="21">
        <f t="shared" si="2"/>
        <v>12</v>
      </c>
    </row>
    <row r="953">
      <c r="P953" s="161"/>
      <c r="AI953" s="102"/>
      <c r="AO953" s="12"/>
      <c r="AP953" s="12"/>
      <c r="AQ953" s="12"/>
      <c r="AR953" s="12"/>
      <c r="AS953" s="12"/>
      <c r="AT953" s="12"/>
      <c r="AU953" s="12"/>
      <c r="AV953" s="12"/>
      <c r="AW953" s="12"/>
      <c r="AX953" s="12"/>
      <c r="AY953" s="12"/>
      <c r="AZ953" s="12"/>
      <c r="BA953" s="12"/>
      <c r="BB953" s="12"/>
      <c r="BC953" s="12"/>
      <c r="BD953" s="12"/>
      <c r="BF953" s="106" t="str">
        <f t="shared" si="1"/>
        <v>#VALUE!</v>
      </c>
      <c r="BG953" s="21">
        <f t="shared" si="2"/>
        <v>12</v>
      </c>
    </row>
    <row r="954">
      <c r="P954" s="161"/>
      <c r="AI954" s="102"/>
      <c r="AO954" s="12"/>
      <c r="AP954" s="12"/>
      <c r="AQ954" s="12"/>
      <c r="AR954" s="12"/>
      <c r="AS954" s="12"/>
      <c r="AT954" s="12"/>
      <c r="AU954" s="12"/>
      <c r="AV954" s="12"/>
      <c r="AW954" s="12"/>
      <c r="AX954" s="12"/>
      <c r="AY954" s="12"/>
      <c r="AZ954" s="12"/>
      <c r="BA954" s="12"/>
      <c r="BB954" s="12"/>
      <c r="BC954" s="12"/>
      <c r="BD954" s="12"/>
      <c r="BF954" s="106" t="str">
        <f t="shared" si="1"/>
        <v>#VALUE!</v>
      </c>
      <c r="BG954" s="21">
        <f t="shared" si="2"/>
        <v>12</v>
      </c>
    </row>
    <row r="955">
      <c r="P955" s="161"/>
      <c r="AI955" s="102"/>
      <c r="AO955" s="12"/>
      <c r="AP955" s="12"/>
      <c r="AQ955" s="12"/>
      <c r="AR955" s="12"/>
      <c r="AS955" s="12"/>
      <c r="AT955" s="12"/>
      <c r="AU955" s="12"/>
      <c r="AV955" s="12"/>
      <c r="AW955" s="12"/>
      <c r="AX955" s="12"/>
      <c r="AY955" s="12"/>
      <c r="AZ955" s="12"/>
      <c r="BA955" s="12"/>
      <c r="BB955" s="12"/>
      <c r="BC955" s="12"/>
      <c r="BD955" s="12"/>
      <c r="BF955" s="106" t="str">
        <f t="shared" si="1"/>
        <v>#VALUE!</v>
      </c>
      <c r="BG955" s="21">
        <f t="shared" si="2"/>
        <v>12</v>
      </c>
    </row>
    <row r="956">
      <c r="P956" s="161"/>
      <c r="AI956" s="102"/>
      <c r="AO956" s="12"/>
      <c r="AP956" s="12"/>
      <c r="AQ956" s="12"/>
      <c r="AR956" s="12"/>
      <c r="AS956" s="12"/>
      <c r="AT956" s="12"/>
      <c r="AU956" s="12"/>
      <c r="AV956" s="12"/>
      <c r="AW956" s="12"/>
      <c r="AX956" s="12"/>
      <c r="AY956" s="12"/>
      <c r="AZ956" s="12"/>
      <c r="BA956" s="12"/>
      <c r="BB956" s="12"/>
      <c r="BC956" s="12"/>
      <c r="BD956" s="12"/>
      <c r="BF956" s="106" t="str">
        <f t="shared" si="1"/>
        <v>#VALUE!</v>
      </c>
      <c r="BG956" s="21">
        <f t="shared" si="2"/>
        <v>12</v>
      </c>
    </row>
    <row r="957">
      <c r="P957" s="161"/>
      <c r="AI957" s="102"/>
      <c r="AO957" s="12"/>
      <c r="AP957" s="12"/>
      <c r="AQ957" s="12"/>
      <c r="AR957" s="12"/>
      <c r="AS957" s="12"/>
      <c r="AT957" s="12"/>
      <c r="AU957" s="12"/>
      <c r="AV957" s="12"/>
      <c r="AW957" s="12"/>
      <c r="AX957" s="12"/>
      <c r="AY957" s="12"/>
      <c r="AZ957" s="12"/>
      <c r="BA957" s="12"/>
      <c r="BB957" s="12"/>
      <c r="BC957" s="12"/>
      <c r="BD957" s="12"/>
      <c r="BF957" s="106" t="str">
        <f t="shared" si="1"/>
        <v>#VALUE!</v>
      </c>
      <c r="BG957" s="21">
        <f t="shared" si="2"/>
        <v>12</v>
      </c>
    </row>
    <row r="958">
      <c r="P958" s="161"/>
      <c r="AI958" s="102"/>
      <c r="AO958" s="12"/>
      <c r="AP958" s="12"/>
      <c r="AQ958" s="12"/>
      <c r="AR958" s="12"/>
      <c r="AS958" s="12"/>
      <c r="AT958" s="12"/>
      <c r="AU958" s="12"/>
      <c r="AV958" s="12"/>
      <c r="AW958" s="12"/>
      <c r="AX958" s="12"/>
      <c r="AY958" s="12"/>
      <c r="AZ958" s="12"/>
      <c r="BA958" s="12"/>
      <c r="BB958" s="12"/>
      <c r="BC958" s="12"/>
      <c r="BD958" s="12"/>
      <c r="BF958" s="106" t="str">
        <f t="shared" si="1"/>
        <v>#VALUE!</v>
      </c>
      <c r="BG958" s="21">
        <f t="shared" si="2"/>
        <v>12</v>
      </c>
    </row>
    <row r="959">
      <c r="P959" s="161"/>
      <c r="AI959" s="102"/>
      <c r="AO959" s="12"/>
      <c r="AP959" s="12"/>
      <c r="AQ959" s="12"/>
      <c r="AR959" s="12"/>
      <c r="AS959" s="12"/>
      <c r="AT959" s="12"/>
      <c r="AU959" s="12"/>
      <c r="AV959" s="12"/>
      <c r="AW959" s="12"/>
      <c r="AX959" s="12"/>
      <c r="AY959" s="12"/>
      <c r="AZ959" s="12"/>
      <c r="BA959" s="12"/>
      <c r="BB959" s="12"/>
      <c r="BC959" s="12"/>
      <c r="BD959" s="12"/>
      <c r="BF959" s="106" t="str">
        <f t="shared" si="1"/>
        <v>#VALUE!</v>
      </c>
      <c r="BG959" s="21">
        <f t="shared" si="2"/>
        <v>12</v>
      </c>
    </row>
    <row r="960">
      <c r="P960" s="161"/>
      <c r="AI960" s="102"/>
      <c r="AO960" s="12"/>
      <c r="AP960" s="12"/>
      <c r="AQ960" s="12"/>
      <c r="AR960" s="12"/>
      <c r="AS960" s="12"/>
      <c r="AT960" s="12"/>
      <c r="AU960" s="12"/>
      <c r="AV960" s="12"/>
      <c r="AW960" s="12"/>
      <c r="AX960" s="12"/>
      <c r="AY960" s="12"/>
      <c r="AZ960" s="12"/>
      <c r="BA960" s="12"/>
      <c r="BB960" s="12"/>
      <c r="BC960" s="12"/>
      <c r="BD960" s="12"/>
      <c r="BF960" s="106" t="str">
        <f t="shared" si="1"/>
        <v>#VALUE!</v>
      </c>
      <c r="BG960" s="21">
        <f t="shared" si="2"/>
        <v>12</v>
      </c>
    </row>
    <row r="961">
      <c r="P961" s="161"/>
      <c r="AI961" s="102"/>
      <c r="AO961" s="12"/>
      <c r="AP961" s="12"/>
      <c r="AQ961" s="12"/>
      <c r="AR961" s="12"/>
      <c r="AS961" s="12"/>
      <c r="AT961" s="12"/>
      <c r="AU961" s="12"/>
      <c r="AV961" s="12"/>
      <c r="AW961" s="12"/>
      <c r="AX961" s="12"/>
      <c r="AY961" s="12"/>
      <c r="AZ961" s="12"/>
      <c r="BA961" s="12"/>
      <c r="BB961" s="12"/>
      <c r="BC961" s="12"/>
      <c r="BD961" s="12"/>
      <c r="BF961" s="106" t="str">
        <f t="shared" si="1"/>
        <v>#VALUE!</v>
      </c>
      <c r="BG961" s="21">
        <f t="shared" si="2"/>
        <v>12</v>
      </c>
    </row>
    <row r="962">
      <c r="P962" s="161"/>
      <c r="AI962" s="102"/>
      <c r="AO962" s="12"/>
      <c r="AP962" s="12"/>
      <c r="AQ962" s="12"/>
      <c r="AR962" s="12"/>
      <c r="AS962" s="12"/>
      <c r="AT962" s="12"/>
      <c r="AU962" s="12"/>
      <c r="AV962" s="12"/>
      <c r="AW962" s="12"/>
      <c r="AX962" s="12"/>
      <c r="AY962" s="12"/>
      <c r="AZ962" s="12"/>
      <c r="BA962" s="12"/>
      <c r="BB962" s="12"/>
      <c r="BC962" s="12"/>
      <c r="BD962" s="12"/>
      <c r="BF962" s="106" t="str">
        <f t="shared" si="1"/>
        <v>#VALUE!</v>
      </c>
      <c r="BG962" s="21">
        <f t="shared" si="2"/>
        <v>12</v>
      </c>
    </row>
    <row r="963">
      <c r="P963" s="161"/>
      <c r="AI963" s="102"/>
      <c r="AO963" s="12"/>
      <c r="AP963" s="12"/>
      <c r="AQ963" s="12"/>
      <c r="AR963" s="12"/>
      <c r="AS963" s="12"/>
      <c r="AT963" s="12"/>
      <c r="AU963" s="12"/>
      <c r="AV963" s="12"/>
      <c r="AW963" s="12"/>
      <c r="AX963" s="12"/>
      <c r="AY963" s="12"/>
      <c r="AZ963" s="12"/>
      <c r="BA963" s="12"/>
      <c r="BB963" s="12"/>
      <c r="BC963" s="12"/>
      <c r="BD963" s="12"/>
      <c r="BF963" s="106" t="str">
        <f t="shared" si="1"/>
        <v>#VALUE!</v>
      </c>
      <c r="BG963" s="21">
        <f t="shared" si="2"/>
        <v>12</v>
      </c>
    </row>
    <row r="964">
      <c r="P964" s="161"/>
      <c r="AI964" s="102"/>
      <c r="AO964" s="12"/>
      <c r="AP964" s="12"/>
      <c r="AQ964" s="12"/>
      <c r="AR964" s="12"/>
      <c r="AS964" s="12"/>
      <c r="AT964" s="12"/>
      <c r="AU964" s="12"/>
      <c r="AV964" s="12"/>
      <c r="AW964" s="12"/>
      <c r="AX964" s="12"/>
      <c r="AY964" s="12"/>
      <c r="AZ964" s="12"/>
      <c r="BA964" s="12"/>
      <c r="BB964" s="12"/>
      <c r="BC964" s="12"/>
      <c r="BD964" s="12"/>
      <c r="BF964" s="106" t="str">
        <f t="shared" si="1"/>
        <v>#VALUE!</v>
      </c>
      <c r="BG964" s="21">
        <f t="shared" si="2"/>
        <v>12</v>
      </c>
    </row>
    <row r="965">
      <c r="P965" s="161"/>
      <c r="AI965" s="102"/>
      <c r="AO965" s="12"/>
      <c r="AP965" s="12"/>
      <c r="AQ965" s="12"/>
      <c r="AR965" s="12"/>
      <c r="AS965" s="12"/>
      <c r="AT965" s="12"/>
      <c r="AU965" s="12"/>
      <c r="AV965" s="12"/>
      <c r="AW965" s="12"/>
      <c r="AX965" s="12"/>
      <c r="AY965" s="12"/>
      <c r="AZ965" s="12"/>
      <c r="BA965" s="12"/>
      <c r="BB965" s="12"/>
      <c r="BC965" s="12"/>
      <c r="BD965" s="12"/>
      <c r="BF965" s="106" t="str">
        <f t="shared" si="1"/>
        <v>#VALUE!</v>
      </c>
      <c r="BG965" s="21">
        <f t="shared" si="2"/>
        <v>12</v>
      </c>
    </row>
    <row r="966">
      <c r="P966" s="161"/>
      <c r="AI966" s="102"/>
      <c r="AO966" s="12"/>
      <c r="AP966" s="12"/>
      <c r="AQ966" s="12"/>
      <c r="AR966" s="12"/>
      <c r="AS966" s="12"/>
      <c r="AT966" s="12"/>
      <c r="AU966" s="12"/>
      <c r="AV966" s="12"/>
      <c r="AW966" s="12"/>
      <c r="AX966" s="12"/>
      <c r="AY966" s="12"/>
      <c r="AZ966" s="12"/>
      <c r="BA966" s="12"/>
      <c r="BB966" s="12"/>
      <c r="BC966" s="12"/>
      <c r="BD966" s="12"/>
      <c r="BF966" s="106" t="str">
        <f t="shared" si="1"/>
        <v>#VALUE!</v>
      </c>
      <c r="BG966" s="21">
        <f t="shared" si="2"/>
        <v>12</v>
      </c>
    </row>
    <row r="967">
      <c r="P967" s="161"/>
      <c r="AI967" s="102"/>
      <c r="AO967" s="12"/>
      <c r="AP967" s="12"/>
      <c r="AQ967" s="12"/>
      <c r="AR967" s="12"/>
      <c r="AS967" s="12"/>
      <c r="AT967" s="12"/>
      <c r="AU967" s="12"/>
      <c r="AV967" s="12"/>
      <c r="AW967" s="12"/>
      <c r="AX967" s="12"/>
      <c r="AY967" s="12"/>
      <c r="AZ967" s="12"/>
      <c r="BA967" s="12"/>
      <c r="BB967" s="12"/>
      <c r="BC967" s="12"/>
      <c r="BD967" s="12"/>
      <c r="BF967" s="106" t="str">
        <f t="shared" si="1"/>
        <v>#VALUE!</v>
      </c>
      <c r="BG967" s="21">
        <f t="shared" si="2"/>
        <v>12</v>
      </c>
    </row>
    <row r="968">
      <c r="P968" s="161"/>
      <c r="AI968" s="102"/>
      <c r="AO968" s="12"/>
      <c r="AP968" s="12"/>
      <c r="AQ968" s="12"/>
      <c r="AR968" s="12"/>
      <c r="AS968" s="12"/>
      <c r="AT968" s="12"/>
      <c r="AU968" s="12"/>
      <c r="AV968" s="12"/>
      <c r="AW968" s="12"/>
      <c r="AX968" s="12"/>
      <c r="AY968" s="12"/>
      <c r="AZ968" s="12"/>
      <c r="BA968" s="12"/>
      <c r="BB968" s="12"/>
      <c r="BC968" s="12"/>
      <c r="BD968" s="12"/>
      <c r="BF968" s="106" t="str">
        <f t="shared" si="1"/>
        <v>#VALUE!</v>
      </c>
      <c r="BG968" s="21">
        <f t="shared" si="2"/>
        <v>12</v>
      </c>
    </row>
    <row r="969">
      <c r="P969" s="161"/>
      <c r="AI969" s="102"/>
      <c r="AO969" s="12"/>
      <c r="AP969" s="12"/>
      <c r="AQ969" s="12"/>
      <c r="AR969" s="12"/>
      <c r="AS969" s="12"/>
      <c r="AT969" s="12"/>
      <c r="AU969" s="12"/>
      <c r="AV969" s="12"/>
      <c r="AW969" s="12"/>
      <c r="AX969" s="12"/>
      <c r="AY969" s="12"/>
      <c r="AZ969" s="12"/>
      <c r="BA969" s="12"/>
      <c r="BB969" s="12"/>
      <c r="BC969" s="12"/>
      <c r="BD969" s="12"/>
      <c r="BF969" s="106" t="str">
        <f t="shared" si="1"/>
        <v>#VALUE!</v>
      </c>
      <c r="BG969" s="21">
        <f t="shared" si="2"/>
        <v>12</v>
      </c>
    </row>
    <row r="970">
      <c r="P970" s="161"/>
      <c r="AI970" s="102"/>
      <c r="AO970" s="12"/>
      <c r="AP970" s="12"/>
      <c r="AQ970" s="12"/>
      <c r="AR970" s="12"/>
      <c r="AS970" s="12"/>
      <c r="AT970" s="12"/>
      <c r="AU970" s="12"/>
      <c r="AV970" s="12"/>
      <c r="AW970" s="12"/>
      <c r="AX970" s="12"/>
      <c r="AY970" s="12"/>
      <c r="AZ970" s="12"/>
      <c r="BA970" s="12"/>
      <c r="BB970" s="12"/>
      <c r="BC970" s="12"/>
      <c r="BD970" s="12"/>
      <c r="BF970" s="106" t="str">
        <f t="shared" si="1"/>
        <v>#VALUE!</v>
      </c>
      <c r="BG970" s="21">
        <f t="shared" si="2"/>
        <v>12</v>
      </c>
    </row>
    <row r="971">
      <c r="P971" s="161"/>
      <c r="AI971" s="102"/>
      <c r="AO971" s="12"/>
      <c r="AP971" s="12"/>
      <c r="AQ971" s="12"/>
      <c r="AR971" s="12"/>
      <c r="AS971" s="12"/>
      <c r="AT971" s="12"/>
      <c r="AU971" s="12"/>
      <c r="AV971" s="12"/>
      <c r="AW971" s="12"/>
      <c r="AX971" s="12"/>
      <c r="AY971" s="12"/>
      <c r="AZ971" s="12"/>
      <c r="BA971" s="12"/>
      <c r="BB971" s="12"/>
      <c r="BC971" s="12"/>
      <c r="BD971" s="12"/>
      <c r="BF971" s="106" t="str">
        <f t="shared" si="1"/>
        <v>#VALUE!</v>
      </c>
      <c r="BG971" s="21">
        <f t="shared" si="2"/>
        <v>12</v>
      </c>
    </row>
    <row r="972">
      <c r="P972" s="161"/>
      <c r="AI972" s="102"/>
      <c r="AO972" s="12"/>
      <c r="AP972" s="12"/>
      <c r="AQ972" s="12"/>
      <c r="AR972" s="12"/>
      <c r="AS972" s="12"/>
      <c r="AT972" s="12"/>
      <c r="AU972" s="12"/>
      <c r="AV972" s="12"/>
      <c r="AW972" s="12"/>
      <c r="AX972" s="12"/>
      <c r="AY972" s="12"/>
      <c r="AZ972" s="12"/>
      <c r="BA972" s="12"/>
      <c r="BB972" s="12"/>
      <c r="BC972" s="12"/>
      <c r="BD972" s="12"/>
      <c r="BF972" s="106" t="str">
        <f t="shared" si="1"/>
        <v>#VALUE!</v>
      </c>
      <c r="BG972" s="21">
        <f t="shared" si="2"/>
        <v>12</v>
      </c>
    </row>
    <row r="973">
      <c r="P973" s="161"/>
      <c r="AI973" s="102"/>
      <c r="AO973" s="12"/>
      <c r="AP973" s="12"/>
      <c r="AQ973" s="12"/>
      <c r="AR973" s="12"/>
      <c r="AS973" s="12"/>
      <c r="AT973" s="12"/>
      <c r="AU973" s="12"/>
      <c r="AV973" s="12"/>
      <c r="AW973" s="12"/>
      <c r="AX973" s="12"/>
      <c r="AY973" s="12"/>
      <c r="AZ973" s="12"/>
      <c r="BA973" s="12"/>
      <c r="BB973" s="12"/>
      <c r="BC973" s="12"/>
      <c r="BD973" s="12"/>
      <c r="BF973" s="106" t="str">
        <f t="shared" si="1"/>
        <v>#VALUE!</v>
      </c>
      <c r="BG973" s="21">
        <f t="shared" si="2"/>
        <v>12</v>
      </c>
    </row>
    <row r="974">
      <c r="P974" s="161"/>
      <c r="AI974" s="102"/>
      <c r="AO974" s="12"/>
      <c r="AP974" s="12"/>
      <c r="AQ974" s="12"/>
      <c r="AR974" s="12"/>
      <c r="AS974" s="12"/>
      <c r="AT974" s="12"/>
      <c r="AU974" s="12"/>
      <c r="AV974" s="12"/>
      <c r="AW974" s="12"/>
      <c r="AX974" s="12"/>
      <c r="AY974" s="12"/>
      <c r="AZ974" s="12"/>
      <c r="BA974" s="12"/>
      <c r="BB974" s="12"/>
      <c r="BC974" s="12"/>
      <c r="BD974" s="12"/>
      <c r="BF974" s="106" t="str">
        <f t="shared" si="1"/>
        <v>#VALUE!</v>
      </c>
      <c r="BG974" s="21">
        <f t="shared" si="2"/>
        <v>12</v>
      </c>
    </row>
    <row r="975">
      <c r="P975" s="161"/>
      <c r="AI975" s="102"/>
      <c r="AO975" s="12"/>
      <c r="AP975" s="12"/>
      <c r="AQ975" s="12"/>
      <c r="AR975" s="12"/>
      <c r="AS975" s="12"/>
      <c r="AT975" s="12"/>
      <c r="AU975" s="12"/>
      <c r="AV975" s="12"/>
      <c r="AW975" s="12"/>
      <c r="AX975" s="12"/>
      <c r="AY975" s="12"/>
      <c r="AZ975" s="12"/>
      <c r="BA975" s="12"/>
      <c r="BB975" s="12"/>
      <c r="BC975" s="12"/>
      <c r="BD975" s="12"/>
      <c r="BF975" s="106" t="str">
        <f t="shared" si="1"/>
        <v>#VALUE!</v>
      </c>
      <c r="BG975" s="21">
        <f t="shared" si="2"/>
        <v>12</v>
      </c>
    </row>
    <row r="976">
      <c r="P976" s="161"/>
      <c r="AI976" s="102"/>
      <c r="AO976" s="12"/>
      <c r="AP976" s="12"/>
      <c r="AQ976" s="12"/>
      <c r="AR976" s="12"/>
      <c r="AS976" s="12"/>
      <c r="AT976" s="12"/>
      <c r="AU976" s="12"/>
      <c r="AV976" s="12"/>
      <c r="AW976" s="12"/>
      <c r="AX976" s="12"/>
      <c r="AY976" s="12"/>
      <c r="AZ976" s="12"/>
      <c r="BA976" s="12"/>
      <c r="BB976" s="12"/>
      <c r="BC976" s="12"/>
      <c r="BD976" s="12"/>
      <c r="BF976" s="106" t="str">
        <f t="shared" si="1"/>
        <v>#VALUE!</v>
      </c>
      <c r="BG976" s="21">
        <f t="shared" si="2"/>
        <v>12</v>
      </c>
    </row>
    <row r="977">
      <c r="P977" s="161"/>
      <c r="AI977" s="102"/>
      <c r="AO977" s="12"/>
      <c r="AP977" s="12"/>
      <c r="AQ977" s="12"/>
      <c r="AR977" s="12"/>
      <c r="AS977" s="12"/>
      <c r="AT977" s="12"/>
      <c r="AU977" s="12"/>
      <c r="AV977" s="12"/>
      <c r="AW977" s="12"/>
      <c r="AX977" s="12"/>
      <c r="AY977" s="12"/>
      <c r="AZ977" s="12"/>
      <c r="BA977" s="12"/>
      <c r="BB977" s="12"/>
      <c r="BC977" s="12"/>
      <c r="BD977" s="12"/>
      <c r="BF977" s="106" t="str">
        <f t="shared" si="1"/>
        <v>#VALUE!</v>
      </c>
      <c r="BG977" s="21">
        <f t="shared" si="2"/>
        <v>12</v>
      </c>
    </row>
    <row r="978">
      <c r="P978" s="161"/>
      <c r="AI978" s="102"/>
      <c r="AO978" s="12"/>
      <c r="AP978" s="12"/>
      <c r="AQ978" s="12"/>
      <c r="AR978" s="12"/>
      <c r="AS978" s="12"/>
      <c r="AT978" s="12"/>
      <c r="AU978" s="12"/>
      <c r="AV978" s="12"/>
      <c r="AW978" s="12"/>
      <c r="AX978" s="12"/>
      <c r="AY978" s="12"/>
      <c r="AZ978" s="12"/>
      <c r="BA978" s="12"/>
      <c r="BB978" s="12"/>
      <c r="BC978" s="12"/>
      <c r="BD978" s="12"/>
      <c r="BF978" s="106" t="str">
        <f t="shared" si="1"/>
        <v>#VALUE!</v>
      </c>
      <c r="BG978" s="21">
        <f t="shared" si="2"/>
        <v>12</v>
      </c>
    </row>
    <row r="979">
      <c r="P979" s="161"/>
      <c r="AI979" s="102"/>
      <c r="AO979" s="12"/>
      <c r="AP979" s="12"/>
      <c r="AQ979" s="12"/>
      <c r="AR979" s="12"/>
      <c r="AS979" s="12"/>
      <c r="AT979" s="12"/>
      <c r="AU979" s="12"/>
      <c r="AV979" s="12"/>
      <c r="AW979" s="12"/>
      <c r="AX979" s="12"/>
      <c r="AY979" s="12"/>
      <c r="AZ979" s="12"/>
      <c r="BA979" s="12"/>
      <c r="BB979" s="12"/>
      <c r="BC979" s="12"/>
      <c r="BD979" s="12"/>
      <c r="BF979" s="106" t="str">
        <f t="shared" si="1"/>
        <v>#VALUE!</v>
      </c>
      <c r="BG979" s="21">
        <f t="shared" si="2"/>
        <v>12</v>
      </c>
    </row>
    <row r="980">
      <c r="P980" s="161"/>
      <c r="AI980" s="102"/>
      <c r="AO980" s="12"/>
      <c r="AP980" s="12"/>
      <c r="AQ980" s="12"/>
      <c r="AR980" s="12"/>
      <c r="AS980" s="12"/>
      <c r="AT980" s="12"/>
      <c r="AU980" s="12"/>
      <c r="AV980" s="12"/>
      <c r="AW980" s="12"/>
      <c r="AX980" s="12"/>
      <c r="AY980" s="12"/>
      <c r="AZ980" s="12"/>
      <c r="BA980" s="12"/>
      <c r="BB980" s="12"/>
      <c r="BC980" s="12"/>
      <c r="BD980" s="12"/>
      <c r="BF980" s="106" t="str">
        <f t="shared" si="1"/>
        <v>#VALUE!</v>
      </c>
      <c r="BG980" s="21">
        <f t="shared" si="2"/>
        <v>12</v>
      </c>
    </row>
    <row r="981">
      <c r="P981" s="161"/>
      <c r="AI981" s="102"/>
      <c r="AO981" s="12"/>
      <c r="AP981" s="12"/>
      <c r="AQ981" s="12"/>
      <c r="AR981" s="12"/>
      <c r="AS981" s="12"/>
      <c r="AT981" s="12"/>
      <c r="AU981" s="12"/>
      <c r="AV981" s="12"/>
      <c r="AW981" s="12"/>
      <c r="AX981" s="12"/>
      <c r="AY981" s="12"/>
      <c r="AZ981" s="12"/>
      <c r="BA981" s="12"/>
      <c r="BB981" s="12"/>
      <c r="BC981" s="12"/>
      <c r="BD981" s="12"/>
      <c r="BF981" s="106" t="str">
        <f t="shared" si="1"/>
        <v>#VALUE!</v>
      </c>
      <c r="BG981" s="21">
        <f t="shared" si="2"/>
        <v>12</v>
      </c>
    </row>
    <row r="982">
      <c r="P982" s="161"/>
      <c r="AI982" s="102"/>
      <c r="AO982" s="12"/>
      <c r="AP982" s="12"/>
      <c r="AQ982" s="12"/>
      <c r="AR982" s="12"/>
      <c r="AS982" s="12"/>
      <c r="AT982" s="12"/>
      <c r="AU982" s="12"/>
      <c r="AV982" s="12"/>
      <c r="AW982" s="12"/>
      <c r="AX982" s="12"/>
      <c r="AY982" s="12"/>
      <c r="AZ982" s="12"/>
      <c r="BA982" s="12"/>
      <c r="BB982" s="12"/>
      <c r="BC982" s="12"/>
      <c r="BD982" s="12"/>
      <c r="BF982" s="106" t="str">
        <f t="shared" si="1"/>
        <v>#VALUE!</v>
      </c>
      <c r="BG982" s="21">
        <f t="shared" si="2"/>
        <v>12</v>
      </c>
    </row>
    <row r="983">
      <c r="P983" s="161"/>
      <c r="AI983" s="102"/>
      <c r="AO983" s="12"/>
      <c r="AP983" s="12"/>
      <c r="AQ983" s="12"/>
      <c r="AR983" s="12"/>
      <c r="AS983" s="12"/>
      <c r="AT983" s="12"/>
      <c r="AU983" s="12"/>
      <c r="AV983" s="12"/>
      <c r="AW983" s="12"/>
      <c r="AX983" s="12"/>
      <c r="AY983" s="12"/>
      <c r="AZ983" s="12"/>
      <c r="BA983" s="12"/>
      <c r="BB983" s="12"/>
      <c r="BC983" s="12"/>
      <c r="BD983" s="12"/>
      <c r="BF983" s="106" t="str">
        <f t="shared" si="1"/>
        <v>#VALUE!</v>
      </c>
      <c r="BG983" s="21">
        <f t="shared" si="2"/>
        <v>12</v>
      </c>
    </row>
    <row r="984">
      <c r="P984" s="161"/>
      <c r="AI984" s="102"/>
      <c r="AO984" s="12"/>
      <c r="AP984" s="12"/>
      <c r="AQ984" s="12"/>
      <c r="AR984" s="12"/>
      <c r="AS984" s="12"/>
      <c r="AT984" s="12"/>
      <c r="AU984" s="12"/>
      <c r="AV984" s="12"/>
      <c r="AW984" s="12"/>
      <c r="AX984" s="12"/>
      <c r="AY984" s="12"/>
      <c r="AZ984" s="12"/>
      <c r="BA984" s="12"/>
      <c r="BB984" s="12"/>
      <c r="BC984" s="12"/>
      <c r="BD984" s="12"/>
      <c r="BF984" s="106" t="str">
        <f t="shared" si="1"/>
        <v>#VALUE!</v>
      </c>
      <c r="BG984" s="21">
        <f t="shared" si="2"/>
        <v>12</v>
      </c>
    </row>
    <row r="985">
      <c r="P985" s="161"/>
      <c r="AI985" s="102"/>
      <c r="AO985" s="12"/>
      <c r="AP985" s="12"/>
      <c r="AQ985" s="12"/>
      <c r="AR985" s="12"/>
      <c r="AS985" s="12"/>
      <c r="AT985" s="12"/>
      <c r="AU985" s="12"/>
      <c r="AV985" s="12"/>
      <c r="AW985" s="12"/>
      <c r="AX985" s="12"/>
      <c r="AY985" s="12"/>
      <c r="AZ985" s="12"/>
      <c r="BA985" s="12"/>
      <c r="BB985" s="12"/>
      <c r="BC985" s="12"/>
      <c r="BD985" s="12"/>
      <c r="BF985" s="106" t="str">
        <f t="shared" si="1"/>
        <v>#VALUE!</v>
      </c>
      <c r="BG985" s="21">
        <f t="shared" si="2"/>
        <v>12</v>
      </c>
    </row>
    <row r="986">
      <c r="P986" s="161"/>
      <c r="AI986" s="102"/>
      <c r="AO986" s="12"/>
      <c r="AP986" s="12"/>
      <c r="AQ986" s="12"/>
      <c r="AR986" s="12"/>
      <c r="AS986" s="12"/>
      <c r="AT986" s="12"/>
      <c r="AU986" s="12"/>
      <c r="AV986" s="12"/>
      <c r="AW986" s="12"/>
      <c r="AX986" s="12"/>
      <c r="AY986" s="12"/>
      <c r="AZ986" s="12"/>
      <c r="BA986" s="12"/>
      <c r="BB986" s="12"/>
      <c r="BC986" s="12"/>
      <c r="BD986" s="12"/>
      <c r="BF986" s="106" t="str">
        <f t="shared" si="1"/>
        <v>#VALUE!</v>
      </c>
      <c r="BG986" s="21">
        <f t="shared" si="2"/>
        <v>12</v>
      </c>
    </row>
    <row r="987">
      <c r="P987" s="161"/>
      <c r="AI987" s="102"/>
      <c r="AO987" s="12"/>
      <c r="AP987" s="12"/>
      <c r="AQ987" s="12"/>
      <c r="AR987" s="12"/>
      <c r="AS987" s="12"/>
      <c r="AT987" s="12"/>
      <c r="AU987" s="12"/>
      <c r="AV987" s="12"/>
      <c r="AW987" s="12"/>
      <c r="AX987" s="12"/>
      <c r="AY987" s="12"/>
      <c r="AZ987" s="12"/>
      <c r="BA987" s="12"/>
      <c r="BB987" s="12"/>
      <c r="BC987" s="12"/>
      <c r="BD987" s="12"/>
      <c r="BF987" s="106" t="str">
        <f t="shared" si="1"/>
        <v>#VALUE!</v>
      </c>
      <c r="BG987" s="21">
        <f t="shared" si="2"/>
        <v>12</v>
      </c>
    </row>
    <row r="988">
      <c r="P988" s="161"/>
      <c r="AI988" s="102"/>
      <c r="AO988" s="12"/>
      <c r="AP988" s="12"/>
      <c r="AQ988" s="12"/>
      <c r="AR988" s="12"/>
      <c r="AS988" s="12"/>
      <c r="AT988" s="12"/>
      <c r="AU988" s="12"/>
      <c r="AV988" s="12"/>
      <c r="AW988" s="12"/>
      <c r="AX988" s="12"/>
      <c r="AY988" s="12"/>
      <c r="AZ988" s="12"/>
      <c r="BA988" s="12"/>
      <c r="BB988" s="12"/>
      <c r="BC988" s="12"/>
      <c r="BD988" s="12"/>
      <c r="BF988" s="106" t="str">
        <f t="shared" si="1"/>
        <v>#VALUE!</v>
      </c>
      <c r="BG988" s="21">
        <f t="shared" si="2"/>
        <v>12</v>
      </c>
    </row>
    <row r="989">
      <c r="P989" s="161"/>
      <c r="AI989" s="102"/>
      <c r="AO989" s="12"/>
      <c r="AP989" s="12"/>
      <c r="AQ989" s="12"/>
      <c r="AR989" s="12"/>
      <c r="AS989" s="12"/>
      <c r="AT989" s="12"/>
      <c r="AU989" s="12"/>
      <c r="AV989" s="12"/>
      <c r="AW989" s="12"/>
      <c r="AX989" s="12"/>
      <c r="AY989" s="12"/>
      <c r="AZ989" s="12"/>
      <c r="BA989" s="12"/>
      <c r="BB989" s="12"/>
      <c r="BC989" s="12"/>
      <c r="BD989" s="12"/>
      <c r="BF989" s="106" t="str">
        <f t="shared" si="1"/>
        <v>#VALUE!</v>
      </c>
      <c r="BG989" s="21">
        <f t="shared" si="2"/>
        <v>12</v>
      </c>
    </row>
    <row r="990">
      <c r="P990" s="161"/>
      <c r="AI990" s="102"/>
      <c r="AO990" s="12"/>
      <c r="AP990" s="12"/>
      <c r="AQ990" s="12"/>
      <c r="AR990" s="12"/>
      <c r="AS990" s="12"/>
      <c r="AT990" s="12"/>
      <c r="AU990" s="12"/>
      <c r="AV990" s="12"/>
      <c r="AW990" s="12"/>
      <c r="AX990" s="12"/>
      <c r="AY990" s="12"/>
      <c r="AZ990" s="12"/>
      <c r="BA990" s="12"/>
      <c r="BB990" s="12"/>
      <c r="BC990" s="12"/>
      <c r="BD990" s="12"/>
      <c r="BF990" s="106" t="str">
        <f t="shared" si="1"/>
        <v>#VALUE!</v>
      </c>
      <c r="BG990" s="21">
        <f t="shared" si="2"/>
        <v>12</v>
      </c>
    </row>
    <row r="991">
      <c r="P991" s="161"/>
      <c r="AI991" s="102"/>
      <c r="AO991" s="12"/>
      <c r="AP991" s="12"/>
      <c r="AQ991" s="12"/>
      <c r="AR991" s="12"/>
      <c r="AS991" s="12"/>
      <c r="AT991" s="12"/>
      <c r="AU991" s="12"/>
      <c r="AV991" s="12"/>
      <c r="AW991" s="12"/>
      <c r="AX991" s="12"/>
      <c r="AY991" s="12"/>
      <c r="AZ991" s="12"/>
      <c r="BA991" s="12"/>
      <c r="BB991" s="12"/>
      <c r="BC991" s="12"/>
      <c r="BD991" s="12"/>
      <c r="BF991" s="106" t="str">
        <f t="shared" si="1"/>
        <v>#VALUE!</v>
      </c>
      <c r="BG991" s="21">
        <f t="shared" si="2"/>
        <v>12</v>
      </c>
    </row>
    <row r="992">
      <c r="P992" s="161"/>
      <c r="AI992" s="102"/>
      <c r="AO992" s="12"/>
      <c r="AP992" s="12"/>
      <c r="AQ992" s="12"/>
      <c r="AR992" s="12"/>
      <c r="AS992" s="12"/>
      <c r="AT992" s="12"/>
      <c r="AU992" s="12"/>
      <c r="AV992" s="12"/>
      <c r="AW992" s="12"/>
      <c r="AX992" s="12"/>
      <c r="AY992" s="12"/>
      <c r="AZ992" s="12"/>
      <c r="BA992" s="12"/>
      <c r="BB992" s="12"/>
      <c r="BC992" s="12"/>
      <c r="BD992" s="12"/>
      <c r="BF992" s="106" t="str">
        <f t="shared" si="1"/>
        <v>#VALUE!</v>
      </c>
      <c r="BG992" s="21">
        <f t="shared" si="2"/>
        <v>12</v>
      </c>
    </row>
    <row r="993">
      <c r="P993" s="161"/>
      <c r="AI993" s="102"/>
      <c r="AO993" s="12"/>
      <c r="AP993" s="12"/>
      <c r="AQ993" s="12"/>
      <c r="AR993" s="12"/>
      <c r="AS993" s="12"/>
      <c r="AT993" s="12"/>
      <c r="AU993" s="12"/>
      <c r="AV993" s="12"/>
      <c r="AW993" s="12"/>
      <c r="AX993" s="12"/>
      <c r="AY993" s="12"/>
      <c r="AZ993" s="12"/>
      <c r="BA993" s="12"/>
      <c r="BB993" s="12"/>
      <c r="BC993" s="12"/>
      <c r="BD993" s="12"/>
      <c r="BF993" s="106" t="str">
        <f t="shared" si="1"/>
        <v>#VALUE!</v>
      </c>
      <c r="BG993" s="21">
        <f t="shared" si="2"/>
        <v>12</v>
      </c>
    </row>
    <row r="994">
      <c r="P994" s="161"/>
      <c r="AI994" s="102"/>
      <c r="AO994" s="12"/>
      <c r="AP994" s="12"/>
      <c r="AQ994" s="12"/>
      <c r="AR994" s="12"/>
      <c r="AS994" s="12"/>
      <c r="AT994" s="12"/>
      <c r="AU994" s="12"/>
      <c r="AV994" s="12"/>
      <c r="AW994" s="12"/>
      <c r="AX994" s="12"/>
      <c r="AY994" s="12"/>
      <c r="AZ994" s="12"/>
      <c r="BA994" s="12"/>
      <c r="BB994" s="12"/>
      <c r="BC994" s="12"/>
      <c r="BD994" s="12"/>
      <c r="BF994" s="106" t="str">
        <f t="shared" si="1"/>
        <v>#VALUE!</v>
      </c>
      <c r="BG994" s="21">
        <f t="shared" si="2"/>
        <v>12</v>
      </c>
    </row>
    <row r="995">
      <c r="P995" s="161"/>
      <c r="AI995" s="102"/>
      <c r="AO995" s="12"/>
      <c r="AP995" s="12"/>
      <c r="AQ995" s="12"/>
      <c r="AR995" s="12"/>
      <c r="AS995" s="12"/>
      <c r="AT995" s="12"/>
      <c r="AU995" s="12"/>
      <c r="AV995" s="12"/>
      <c r="AW995" s="12"/>
      <c r="AX995" s="12"/>
      <c r="AY995" s="12"/>
      <c r="AZ995" s="12"/>
      <c r="BA995" s="12"/>
      <c r="BB995" s="12"/>
      <c r="BC995" s="12"/>
      <c r="BD995" s="12"/>
      <c r="BF995" s="106" t="str">
        <f t="shared" si="1"/>
        <v>#VALUE!</v>
      </c>
      <c r="BG995" s="21">
        <f t="shared" si="2"/>
        <v>12</v>
      </c>
    </row>
    <row r="996">
      <c r="P996" s="161"/>
      <c r="AI996" s="102"/>
      <c r="AO996" s="12"/>
      <c r="AP996" s="12"/>
      <c r="AQ996" s="12"/>
      <c r="AR996" s="12"/>
      <c r="AS996" s="12"/>
      <c r="AT996" s="12"/>
      <c r="AU996" s="12"/>
      <c r="AV996" s="12"/>
      <c r="AW996" s="12"/>
      <c r="AX996" s="12"/>
      <c r="AY996" s="12"/>
      <c r="AZ996" s="12"/>
      <c r="BA996" s="12"/>
      <c r="BB996" s="12"/>
      <c r="BC996" s="12"/>
      <c r="BD996" s="12"/>
      <c r="BF996" s="106" t="str">
        <f t="shared" si="1"/>
        <v>#VALUE!</v>
      </c>
      <c r="BG996" s="21">
        <f t="shared" si="2"/>
        <v>12</v>
      </c>
    </row>
    <row r="997">
      <c r="P997" s="161"/>
      <c r="AI997" s="102"/>
      <c r="AO997" s="12"/>
      <c r="AP997" s="12"/>
      <c r="AQ997" s="12"/>
      <c r="AR997" s="12"/>
      <c r="AS997" s="12"/>
      <c r="AT997" s="12"/>
      <c r="AU997" s="12"/>
      <c r="AV997" s="12"/>
      <c r="AW997" s="12"/>
      <c r="AX997" s="12"/>
      <c r="AY997" s="12"/>
      <c r="AZ997" s="12"/>
      <c r="BA997" s="12"/>
      <c r="BB997" s="12"/>
      <c r="BC997" s="12"/>
      <c r="BD997" s="12"/>
      <c r="BF997" s="106" t="str">
        <f t="shared" si="1"/>
        <v>#VALUE!</v>
      </c>
      <c r="BG997" s="21">
        <f t="shared" si="2"/>
        <v>12</v>
      </c>
    </row>
    <row r="998">
      <c r="P998" s="161"/>
      <c r="AI998" s="102"/>
      <c r="AO998" s="12"/>
      <c r="AP998" s="12"/>
      <c r="AQ998" s="12"/>
      <c r="AR998" s="12"/>
      <c r="AS998" s="12"/>
      <c r="AT998" s="12"/>
      <c r="AU998" s="12"/>
      <c r="AV998" s="12"/>
      <c r="AW998" s="12"/>
      <c r="AX998" s="12"/>
      <c r="AY998" s="12"/>
      <c r="AZ998" s="12"/>
      <c r="BA998" s="12"/>
      <c r="BB998" s="12"/>
      <c r="BC998" s="12"/>
      <c r="BD998" s="12"/>
      <c r="BF998" s="106" t="str">
        <f t="shared" si="1"/>
        <v>#VALUE!</v>
      </c>
      <c r="BG998" s="21">
        <f t="shared" si="2"/>
        <v>12</v>
      </c>
    </row>
    <row r="999">
      <c r="P999" s="161"/>
      <c r="AI999" s="102"/>
      <c r="AO999" s="12"/>
      <c r="AP999" s="12"/>
      <c r="AQ999" s="12"/>
      <c r="AR999" s="12"/>
      <c r="AS999" s="12"/>
      <c r="AT999" s="12"/>
      <c r="AU999" s="12"/>
      <c r="AV999" s="12"/>
      <c r="AW999" s="12"/>
      <c r="AX999" s="12"/>
      <c r="AY999" s="12"/>
      <c r="AZ999" s="12"/>
      <c r="BA999" s="12"/>
      <c r="BB999" s="12"/>
      <c r="BC999" s="12"/>
      <c r="BD999" s="12"/>
      <c r="BF999" s="106" t="str">
        <f t="shared" si="1"/>
        <v>#VALUE!</v>
      </c>
      <c r="BG999" s="21">
        <f t="shared" si="2"/>
        <v>12</v>
      </c>
    </row>
    <row r="1000">
      <c r="P1000" s="161"/>
      <c r="AI1000" s="102"/>
      <c r="AO1000" s="12"/>
      <c r="AP1000" s="12"/>
      <c r="AQ1000" s="12"/>
      <c r="AR1000" s="12"/>
      <c r="AS1000" s="12"/>
      <c r="AT1000" s="12"/>
      <c r="AU1000" s="12"/>
      <c r="AV1000" s="12"/>
      <c r="AW1000" s="12"/>
      <c r="AX1000" s="12"/>
      <c r="AY1000" s="12"/>
      <c r="AZ1000" s="12"/>
      <c r="BA1000" s="12"/>
      <c r="BB1000" s="12"/>
      <c r="BC1000" s="12"/>
      <c r="BD1000" s="12"/>
      <c r="BF1000" s="106" t="str">
        <f t="shared" si="1"/>
        <v>#VALUE!</v>
      </c>
      <c r="BG1000" s="21">
        <f t="shared" si="2"/>
        <v>12</v>
      </c>
    </row>
    <row r="1001">
      <c r="P1001" s="161"/>
      <c r="AI1001" s="102"/>
      <c r="AO1001" s="12"/>
      <c r="AP1001" s="12"/>
      <c r="AQ1001" s="12"/>
      <c r="AR1001" s="12"/>
      <c r="AS1001" s="12"/>
      <c r="AT1001" s="12"/>
      <c r="AU1001" s="12"/>
      <c r="AV1001" s="12"/>
      <c r="AW1001" s="12"/>
      <c r="AX1001" s="12"/>
      <c r="AY1001" s="12"/>
      <c r="AZ1001" s="12"/>
      <c r="BA1001" s="12"/>
      <c r="BB1001" s="12"/>
      <c r="BC1001" s="12"/>
      <c r="BD1001" s="12"/>
      <c r="BF1001" s="106" t="str">
        <f t="shared" si="1"/>
        <v>#VALUE!</v>
      </c>
      <c r="BG1001" s="21">
        <f t="shared" si="2"/>
        <v>12</v>
      </c>
    </row>
    <row r="1002">
      <c r="P1002" s="161"/>
      <c r="AI1002" s="102"/>
      <c r="AO1002" s="12"/>
      <c r="AP1002" s="12"/>
      <c r="AQ1002" s="12"/>
      <c r="AR1002" s="12"/>
      <c r="AS1002" s="12"/>
      <c r="AT1002" s="12"/>
      <c r="AU1002" s="12"/>
      <c r="AV1002" s="12"/>
      <c r="AW1002" s="12"/>
      <c r="AX1002" s="12"/>
      <c r="AY1002" s="12"/>
      <c r="AZ1002" s="12"/>
      <c r="BA1002" s="12"/>
      <c r="BB1002" s="12"/>
      <c r="BC1002" s="12"/>
      <c r="BD1002" s="12"/>
      <c r="BF1002" s="106" t="str">
        <f t="shared" si="1"/>
        <v>#VALUE!</v>
      </c>
      <c r="BG1002" s="21">
        <f t="shared" si="2"/>
        <v>12</v>
      </c>
    </row>
    <row r="1003">
      <c r="P1003" s="161"/>
      <c r="AI1003" s="102"/>
      <c r="AO1003" s="12"/>
      <c r="AP1003" s="12"/>
      <c r="AQ1003" s="12"/>
      <c r="AR1003" s="12"/>
      <c r="AS1003" s="12"/>
      <c r="AT1003" s="12"/>
      <c r="AU1003" s="12"/>
      <c r="AV1003" s="12"/>
      <c r="AW1003" s="12"/>
      <c r="AX1003" s="12"/>
      <c r="AY1003" s="12"/>
      <c r="AZ1003" s="12"/>
      <c r="BA1003" s="12"/>
      <c r="BB1003" s="12"/>
      <c r="BC1003" s="12"/>
      <c r="BD1003" s="12"/>
      <c r="BF1003" s="106" t="str">
        <f t="shared" si="1"/>
        <v>#VALUE!</v>
      </c>
      <c r="BG1003" s="21">
        <f t="shared" si="2"/>
        <v>12</v>
      </c>
    </row>
    <row r="1004">
      <c r="P1004" s="161"/>
      <c r="AI1004" s="102"/>
      <c r="AO1004" s="12"/>
      <c r="AP1004" s="12"/>
      <c r="AQ1004" s="12"/>
      <c r="AR1004" s="12"/>
      <c r="AS1004" s="12"/>
      <c r="AT1004" s="12"/>
      <c r="AU1004" s="12"/>
      <c r="AV1004" s="12"/>
      <c r="AW1004" s="12"/>
      <c r="AX1004" s="12"/>
      <c r="AY1004" s="12"/>
      <c r="AZ1004" s="12"/>
      <c r="BA1004" s="12"/>
      <c r="BB1004" s="12"/>
      <c r="BC1004" s="12"/>
      <c r="BD1004" s="12"/>
      <c r="BF1004" s="106" t="str">
        <f t="shared" si="1"/>
        <v>#VALUE!</v>
      </c>
      <c r="BG1004" s="21">
        <f t="shared" si="2"/>
        <v>12</v>
      </c>
    </row>
    <row r="1005">
      <c r="P1005" s="161"/>
      <c r="AI1005" s="102"/>
      <c r="AO1005" s="12"/>
      <c r="AP1005" s="12"/>
      <c r="AQ1005" s="12"/>
      <c r="AR1005" s="12"/>
      <c r="AS1005" s="12"/>
      <c r="AT1005" s="12"/>
      <c r="AU1005" s="12"/>
      <c r="AV1005" s="12"/>
      <c r="AW1005" s="12"/>
      <c r="AX1005" s="12"/>
      <c r="AY1005" s="12"/>
      <c r="AZ1005" s="12"/>
      <c r="BA1005" s="12"/>
      <c r="BB1005" s="12"/>
      <c r="BC1005" s="12"/>
      <c r="BD1005" s="12"/>
      <c r="BF1005" s="106" t="str">
        <f t="shared" si="1"/>
        <v>#VALUE!</v>
      </c>
      <c r="BG1005" s="21">
        <f t="shared" si="2"/>
        <v>12</v>
      </c>
    </row>
    <row r="1006">
      <c r="P1006" s="161"/>
      <c r="AI1006" s="102"/>
      <c r="AO1006" s="12"/>
      <c r="AP1006" s="12"/>
      <c r="AQ1006" s="12"/>
      <c r="AR1006" s="12"/>
      <c r="AS1006" s="12"/>
      <c r="AT1006" s="12"/>
      <c r="AU1006" s="12"/>
      <c r="AV1006" s="12"/>
      <c r="AW1006" s="12"/>
      <c r="AX1006" s="12"/>
      <c r="AY1006" s="12"/>
      <c r="AZ1006" s="12"/>
      <c r="BA1006" s="12"/>
      <c r="BB1006" s="12"/>
      <c r="BC1006" s="12"/>
      <c r="BD1006" s="12"/>
      <c r="BF1006" s="106" t="str">
        <f t="shared" si="1"/>
        <v>#VALUE!</v>
      </c>
      <c r="BG1006" s="21">
        <f t="shared" si="2"/>
        <v>12</v>
      </c>
    </row>
    <row r="1007">
      <c r="P1007" s="161"/>
      <c r="AI1007" s="102"/>
      <c r="AO1007" s="12"/>
      <c r="AP1007" s="12"/>
      <c r="AQ1007" s="12"/>
      <c r="AR1007" s="12"/>
      <c r="AS1007" s="12"/>
      <c r="AT1007" s="12"/>
      <c r="AU1007" s="12"/>
      <c r="AV1007" s="12"/>
      <c r="AW1007" s="12"/>
      <c r="AX1007" s="12"/>
      <c r="AY1007" s="12"/>
      <c r="AZ1007" s="12"/>
      <c r="BA1007" s="12"/>
      <c r="BB1007" s="12"/>
      <c r="BC1007" s="12"/>
      <c r="BD1007" s="12"/>
      <c r="BF1007" s="106" t="str">
        <f t="shared" si="1"/>
        <v>#VALUE!</v>
      </c>
      <c r="BG1007" s="21">
        <f t="shared" si="2"/>
        <v>12</v>
      </c>
    </row>
    <row r="1008">
      <c r="P1008" s="161"/>
      <c r="AI1008" s="102"/>
      <c r="AO1008" s="12"/>
      <c r="AP1008" s="12"/>
      <c r="AQ1008" s="12"/>
      <c r="AR1008" s="12"/>
      <c r="AS1008" s="12"/>
      <c r="AT1008" s="12"/>
      <c r="AU1008" s="12"/>
      <c r="AV1008" s="12"/>
      <c r="AW1008" s="12"/>
      <c r="AX1008" s="12"/>
      <c r="AY1008" s="12"/>
      <c r="AZ1008" s="12"/>
      <c r="BA1008" s="12"/>
      <c r="BB1008" s="12"/>
      <c r="BC1008" s="12"/>
      <c r="BD1008" s="12"/>
      <c r="BF1008" s="106" t="str">
        <f t="shared" si="1"/>
        <v>#VALUE!</v>
      </c>
      <c r="BG1008" s="21">
        <f t="shared" si="2"/>
        <v>12</v>
      </c>
    </row>
    <row r="1009">
      <c r="P1009" s="161"/>
      <c r="AI1009" s="102"/>
      <c r="AO1009" s="12"/>
      <c r="AP1009" s="12"/>
      <c r="AQ1009" s="12"/>
      <c r="AR1009" s="12"/>
      <c r="AS1009" s="12"/>
      <c r="AT1009" s="12"/>
      <c r="AU1009" s="12"/>
      <c r="AV1009" s="12"/>
      <c r="AW1009" s="12"/>
      <c r="AX1009" s="12"/>
      <c r="AY1009" s="12"/>
      <c r="AZ1009" s="12"/>
      <c r="BA1009" s="12"/>
      <c r="BB1009" s="12"/>
      <c r="BC1009" s="12"/>
      <c r="BD1009" s="12"/>
      <c r="BF1009" s="106" t="str">
        <f t="shared" si="1"/>
        <v>#VALUE!</v>
      </c>
      <c r="BG1009" s="21">
        <f t="shared" si="2"/>
        <v>12</v>
      </c>
    </row>
    <row r="1010">
      <c r="P1010" s="161"/>
      <c r="AI1010" s="102"/>
      <c r="AO1010" s="12"/>
      <c r="AP1010" s="12"/>
      <c r="AQ1010" s="12"/>
      <c r="AR1010" s="12"/>
      <c r="AS1010" s="12"/>
      <c r="AT1010" s="12"/>
      <c r="AU1010" s="12"/>
      <c r="AV1010" s="12"/>
      <c r="AW1010" s="12"/>
      <c r="AX1010" s="12"/>
      <c r="AY1010" s="12"/>
      <c r="AZ1010" s="12"/>
      <c r="BA1010" s="12"/>
      <c r="BB1010" s="12"/>
      <c r="BC1010" s="12"/>
      <c r="BD1010" s="12"/>
      <c r="BF1010" s="106" t="str">
        <f t="shared" si="1"/>
        <v>#VALUE!</v>
      </c>
      <c r="BG1010" s="21">
        <f t="shared" si="2"/>
        <v>12</v>
      </c>
    </row>
    <row r="1011">
      <c r="P1011" s="161"/>
      <c r="AI1011" s="102"/>
      <c r="AO1011" s="12"/>
      <c r="AP1011" s="12"/>
      <c r="AQ1011" s="12"/>
      <c r="AR1011" s="12"/>
      <c r="AS1011" s="12"/>
      <c r="AT1011" s="12"/>
      <c r="AU1011" s="12"/>
      <c r="AV1011" s="12"/>
      <c r="AW1011" s="12"/>
      <c r="AX1011" s="12"/>
      <c r="AY1011" s="12"/>
      <c r="AZ1011" s="12"/>
      <c r="BA1011" s="12"/>
      <c r="BB1011" s="12"/>
      <c r="BC1011" s="12"/>
      <c r="BD1011" s="12"/>
      <c r="BF1011" s="106" t="str">
        <f t="shared" si="1"/>
        <v>#VALUE!</v>
      </c>
      <c r="BG1011" s="21">
        <f t="shared" si="2"/>
        <v>12</v>
      </c>
    </row>
    <row r="1012">
      <c r="P1012" s="161"/>
      <c r="AI1012" s="102"/>
      <c r="AO1012" s="12"/>
      <c r="AP1012" s="12"/>
      <c r="AQ1012" s="12"/>
      <c r="AR1012" s="12"/>
      <c r="AS1012" s="12"/>
      <c r="AT1012" s="12"/>
      <c r="AU1012" s="12"/>
      <c r="AV1012" s="12"/>
      <c r="AW1012" s="12"/>
      <c r="AX1012" s="12"/>
      <c r="AY1012" s="12"/>
      <c r="AZ1012" s="12"/>
      <c r="BA1012" s="12"/>
      <c r="BB1012" s="12"/>
      <c r="BC1012" s="12"/>
      <c r="BD1012" s="12"/>
      <c r="BF1012" s="106" t="str">
        <f t="shared" si="1"/>
        <v>#VALUE!</v>
      </c>
      <c r="BG1012" s="21">
        <f t="shared" si="2"/>
        <v>12</v>
      </c>
    </row>
    <row r="1013">
      <c r="P1013" s="161"/>
      <c r="AI1013" s="102"/>
      <c r="AO1013" s="12"/>
      <c r="AP1013" s="12"/>
      <c r="AQ1013" s="12"/>
      <c r="AR1013" s="12"/>
      <c r="AS1013" s="12"/>
      <c r="AT1013" s="12"/>
      <c r="AU1013" s="12"/>
      <c r="AV1013" s="12"/>
      <c r="AW1013" s="12"/>
      <c r="AX1013" s="12"/>
      <c r="AY1013" s="12"/>
      <c r="AZ1013" s="12"/>
      <c r="BA1013" s="12"/>
      <c r="BB1013" s="12"/>
      <c r="BC1013" s="12"/>
      <c r="BD1013" s="12"/>
      <c r="BF1013" s="106" t="str">
        <f t="shared" si="1"/>
        <v>#VALUE!</v>
      </c>
      <c r="BG1013" s="21">
        <f t="shared" si="2"/>
        <v>12</v>
      </c>
    </row>
    <row r="1014">
      <c r="P1014" s="161"/>
      <c r="AI1014" s="102"/>
      <c r="AO1014" s="12"/>
      <c r="AP1014" s="12"/>
      <c r="AQ1014" s="12"/>
      <c r="AR1014" s="12"/>
      <c r="AS1014" s="12"/>
      <c r="AT1014" s="12"/>
      <c r="AU1014" s="12"/>
      <c r="AV1014" s="12"/>
      <c r="AW1014" s="12"/>
      <c r="AX1014" s="12"/>
      <c r="AY1014" s="12"/>
      <c r="AZ1014" s="12"/>
      <c r="BA1014" s="12"/>
      <c r="BB1014" s="12"/>
      <c r="BC1014" s="12"/>
      <c r="BD1014" s="12"/>
      <c r="BF1014" s="106" t="str">
        <f t="shared" si="1"/>
        <v>#VALUE!</v>
      </c>
      <c r="BG1014" s="21">
        <f t="shared" si="2"/>
        <v>12</v>
      </c>
    </row>
    <row r="1015">
      <c r="P1015" s="161"/>
      <c r="AI1015" s="102"/>
      <c r="AO1015" s="12"/>
      <c r="AP1015" s="12"/>
      <c r="AQ1015" s="12"/>
      <c r="AR1015" s="12"/>
      <c r="AS1015" s="12"/>
      <c r="AT1015" s="12"/>
      <c r="AU1015" s="12"/>
      <c r="AV1015" s="12"/>
      <c r="AW1015" s="12"/>
      <c r="AX1015" s="12"/>
      <c r="AY1015" s="12"/>
      <c r="AZ1015" s="12"/>
      <c r="BA1015" s="12"/>
      <c r="BB1015" s="12"/>
      <c r="BC1015" s="12"/>
      <c r="BD1015" s="12"/>
      <c r="BF1015" s="106" t="str">
        <f t="shared" si="1"/>
        <v>#VALUE!</v>
      </c>
      <c r="BG1015" s="21">
        <f t="shared" si="2"/>
        <v>12</v>
      </c>
    </row>
    <row r="1016">
      <c r="P1016" s="161"/>
      <c r="AI1016" s="102"/>
      <c r="AO1016" s="12"/>
      <c r="AP1016" s="12"/>
      <c r="AQ1016" s="12"/>
      <c r="AR1016" s="12"/>
      <c r="AS1016" s="12"/>
      <c r="AT1016" s="12"/>
      <c r="AU1016" s="12"/>
      <c r="AV1016" s="12"/>
      <c r="AW1016" s="12"/>
      <c r="AX1016" s="12"/>
      <c r="AY1016" s="12"/>
      <c r="AZ1016" s="12"/>
      <c r="BA1016" s="12"/>
      <c r="BB1016" s="12"/>
      <c r="BC1016" s="12"/>
      <c r="BD1016" s="12"/>
      <c r="BF1016" s="106" t="str">
        <f t="shared" si="1"/>
        <v>#VALUE!</v>
      </c>
      <c r="BG1016" s="21">
        <f t="shared" si="2"/>
        <v>12</v>
      </c>
    </row>
    <row r="1017">
      <c r="P1017" s="161"/>
      <c r="AI1017" s="102"/>
      <c r="AO1017" s="12"/>
      <c r="AP1017" s="12"/>
      <c r="AQ1017" s="12"/>
      <c r="AR1017" s="12"/>
      <c r="AS1017" s="12"/>
      <c r="AT1017" s="12"/>
      <c r="AU1017" s="12"/>
      <c r="AV1017" s="12"/>
      <c r="AW1017" s="12"/>
      <c r="AX1017" s="12"/>
      <c r="AY1017" s="12"/>
      <c r="AZ1017" s="12"/>
      <c r="BA1017" s="12"/>
      <c r="BB1017" s="12"/>
      <c r="BC1017" s="12"/>
      <c r="BD1017" s="12"/>
      <c r="BF1017" s="106" t="str">
        <f t="shared" si="1"/>
        <v>#VALUE!</v>
      </c>
      <c r="BG1017" s="21">
        <f t="shared" si="2"/>
        <v>12</v>
      </c>
    </row>
    <row r="1018">
      <c r="P1018" s="161"/>
      <c r="AI1018" s="102"/>
      <c r="AO1018" s="12"/>
      <c r="AP1018" s="12"/>
      <c r="AQ1018" s="12"/>
      <c r="AR1018" s="12"/>
      <c r="AS1018" s="12"/>
      <c r="AT1018" s="12"/>
      <c r="AU1018" s="12"/>
      <c r="AV1018" s="12"/>
      <c r="AW1018" s="12"/>
      <c r="AX1018" s="12"/>
      <c r="AY1018" s="12"/>
      <c r="AZ1018" s="12"/>
      <c r="BA1018" s="12"/>
      <c r="BB1018" s="12"/>
      <c r="BC1018" s="12"/>
      <c r="BD1018" s="12"/>
      <c r="BF1018" s="106" t="str">
        <f t="shared" si="1"/>
        <v>#VALUE!</v>
      </c>
      <c r="BG1018" s="21">
        <f t="shared" si="2"/>
        <v>12</v>
      </c>
    </row>
    <row r="1019">
      <c r="P1019" s="161"/>
      <c r="AI1019" s="102"/>
      <c r="AO1019" s="12"/>
      <c r="AP1019" s="12"/>
      <c r="AQ1019" s="12"/>
      <c r="AR1019" s="12"/>
      <c r="AS1019" s="12"/>
      <c r="AT1019" s="12"/>
      <c r="AU1019" s="12"/>
      <c r="AV1019" s="12"/>
      <c r="AW1019" s="12"/>
      <c r="AX1019" s="12"/>
      <c r="AY1019" s="12"/>
      <c r="AZ1019" s="12"/>
      <c r="BA1019" s="12"/>
      <c r="BB1019" s="12"/>
      <c r="BC1019" s="12"/>
      <c r="BD1019" s="12"/>
      <c r="BF1019" s="106" t="str">
        <f t="shared" si="1"/>
        <v>#VALUE!</v>
      </c>
      <c r="BG1019" s="21">
        <f t="shared" si="2"/>
        <v>12</v>
      </c>
    </row>
    <row r="1020">
      <c r="P1020" s="161"/>
      <c r="AI1020" s="102"/>
      <c r="AO1020" s="12"/>
      <c r="AP1020" s="12"/>
      <c r="AQ1020" s="12"/>
      <c r="AR1020" s="12"/>
      <c r="AS1020" s="12"/>
      <c r="AT1020" s="12"/>
      <c r="AU1020" s="12"/>
      <c r="AV1020" s="12"/>
      <c r="AW1020" s="12"/>
      <c r="AX1020" s="12"/>
      <c r="AY1020" s="12"/>
      <c r="AZ1020" s="12"/>
      <c r="BA1020" s="12"/>
      <c r="BB1020" s="12"/>
      <c r="BC1020" s="12"/>
      <c r="BD1020" s="12"/>
      <c r="BF1020" s="106" t="str">
        <f t="shared" si="1"/>
        <v>#VALUE!</v>
      </c>
      <c r="BG1020" s="21">
        <f t="shared" si="2"/>
        <v>12</v>
      </c>
    </row>
    <row r="1021">
      <c r="P1021" s="161"/>
      <c r="AI1021" s="102"/>
      <c r="AO1021" s="12"/>
      <c r="AP1021" s="12"/>
      <c r="AQ1021" s="12"/>
      <c r="AR1021" s="12"/>
      <c r="AS1021" s="12"/>
      <c r="AT1021" s="12"/>
      <c r="AU1021" s="12"/>
      <c r="AV1021" s="12"/>
      <c r="AW1021" s="12"/>
      <c r="AX1021" s="12"/>
      <c r="AY1021" s="12"/>
      <c r="AZ1021" s="12"/>
      <c r="BA1021" s="12"/>
      <c r="BB1021" s="12"/>
      <c r="BC1021" s="12"/>
      <c r="BD1021" s="12"/>
      <c r="BF1021" s="106" t="str">
        <f t="shared" si="1"/>
        <v>#VALUE!</v>
      </c>
      <c r="BG1021" s="21">
        <f t="shared" si="2"/>
        <v>12</v>
      </c>
    </row>
    <row r="1022">
      <c r="P1022" s="161"/>
      <c r="AI1022" s="102"/>
      <c r="AO1022" s="12"/>
      <c r="AP1022" s="12"/>
      <c r="AQ1022" s="12"/>
      <c r="AR1022" s="12"/>
      <c r="AS1022" s="12"/>
      <c r="AT1022" s="12"/>
      <c r="AU1022" s="12"/>
      <c r="AV1022" s="12"/>
      <c r="AW1022" s="12"/>
      <c r="AX1022" s="12"/>
      <c r="AY1022" s="12"/>
      <c r="AZ1022" s="12"/>
      <c r="BA1022" s="12"/>
      <c r="BB1022" s="12"/>
      <c r="BC1022" s="12"/>
      <c r="BD1022" s="12"/>
      <c r="BF1022" s="106" t="str">
        <f t="shared" si="1"/>
        <v>#VALUE!</v>
      </c>
      <c r="BG1022" s="21">
        <f t="shared" si="2"/>
        <v>12</v>
      </c>
    </row>
    <row r="1023">
      <c r="P1023" s="161"/>
      <c r="AI1023" s="102"/>
      <c r="AO1023" s="12"/>
      <c r="AP1023" s="12"/>
      <c r="AQ1023" s="12"/>
      <c r="AR1023" s="12"/>
      <c r="AS1023" s="12"/>
      <c r="AT1023" s="12"/>
      <c r="AU1023" s="12"/>
      <c r="AV1023" s="12"/>
      <c r="AW1023" s="12"/>
      <c r="AX1023" s="12"/>
      <c r="AY1023" s="12"/>
      <c r="AZ1023" s="12"/>
      <c r="BA1023" s="12"/>
      <c r="BB1023" s="12"/>
      <c r="BC1023" s="12"/>
      <c r="BD1023" s="12"/>
      <c r="BF1023" s="106" t="str">
        <f t="shared" si="1"/>
        <v>#VALUE!</v>
      </c>
      <c r="BG1023" s="21">
        <f t="shared" si="2"/>
        <v>12</v>
      </c>
    </row>
    <row r="1024">
      <c r="P1024" s="161"/>
      <c r="AI1024" s="102"/>
      <c r="AO1024" s="12"/>
      <c r="AP1024" s="12"/>
      <c r="AQ1024" s="12"/>
      <c r="AR1024" s="12"/>
      <c r="AS1024" s="12"/>
      <c r="AT1024" s="12"/>
      <c r="AU1024" s="12"/>
      <c r="AV1024" s="12"/>
      <c r="AW1024" s="12"/>
      <c r="AX1024" s="12"/>
      <c r="AY1024" s="12"/>
      <c r="AZ1024" s="12"/>
      <c r="BA1024" s="12"/>
      <c r="BB1024" s="12"/>
      <c r="BC1024" s="12"/>
      <c r="BD1024" s="12"/>
      <c r="BF1024" s="106" t="str">
        <f t="shared" si="1"/>
        <v>#VALUE!</v>
      </c>
      <c r="BG1024" s="21">
        <f t="shared" si="2"/>
        <v>12</v>
      </c>
    </row>
    <row r="1025">
      <c r="P1025" s="161"/>
      <c r="AI1025" s="102"/>
      <c r="AO1025" s="12"/>
      <c r="AP1025" s="12"/>
      <c r="AQ1025" s="12"/>
      <c r="AR1025" s="12"/>
      <c r="AS1025" s="12"/>
      <c r="AT1025" s="12"/>
      <c r="AU1025" s="12"/>
      <c r="AV1025" s="12"/>
      <c r="AW1025" s="12"/>
      <c r="AX1025" s="12"/>
      <c r="AY1025" s="12"/>
      <c r="AZ1025" s="12"/>
      <c r="BA1025" s="12"/>
      <c r="BB1025" s="12"/>
      <c r="BC1025" s="12"/>
      <c r="BD1025" s="12"/>
      <c r="BF1025" s="106" t="str">
        <f t="shared" si="1"/>
        <v>#VALUE!</v>
      </c>
      <c r="BG1025" s="21">
        <f t="shared" si="2"/>
        <v>12</v>
      </c>
    </row>
    <row r="1026">
      <c r="P1026" s="161"/>
      <c r="AI1026" s="102"/>
      <c r="AO1026" s="12"/>
      <c r="AP1026" s="12"/>
      <c r="AQ1026" s="12"/>
      <c r="AR1026" s="12"/>
      <c r="AS1026" s="12"/>
      <c r="AT1026" s="12"/>
      <c r="AU1026" s="12"/>
      <c r="AV1026" s="12"/>
      <c r="AW1026" s="12"/>
      <c r="AX1026" s="12"/>
      <c r="AY1026" s="12"/>
      <c r="AZ1026" s="12"/>
      <c r="BA1026" s="12"/>
      <c r="BB1026" s="12"/>
      <c r="BC1026" s="12"/>
      <c r="BD1026" s="12"/>
      <c r="BF1026" s="106" t="str">
        <f t="shared" si="1"/>
        <v>#VALUE!</v>
      </c>
      <c r="BG1026" s="21">
        <f t="shared" si="2"/>
        <v>12</v>
      </c>
    </row>
    <row r="1027">
      <c r="P1027" s="161"/>
      <c r="AI1027" s="102"/>
      <c r="AO1027" s="12"/>
      <c r="AP1027" s="12"/>
      <c r="AQ1027" s="12"/>
      <c r="AR1027" s="12"/>
      <c r="AS1027" s="12"/>
      <c r="AT1027" s="12"/>
      <c r="AU1027" s="12"/>
      <c r="AV1027" s="12"/>
      <c r="AW1027" s="12"/>
      <c r="AX1027" s="12"/>
      <c r="AY1027" s="12"/>
      <c r="AZ1027" s="12"/>
      <c r="BA1027" s="12"/>
      <c r="BB1027" s="12"/>
      <c r="BC1027" s="12"/>
      <c r="BD1027" s="12"/>
      <c r="BF1027" s="106" t="str">
        <f t="shared" si="1"/>
        <v>#VALUE!</v>
      </c>
      <c r="BG1027" s="21">
        <f t="shared" si="2"/>
        <v>12</v>
      </c>
    </row>
    <row r="1028">
      <c r="P1028" s="161"/>
      <c r="AI1028" s="102"/>
      <c r="AO1028" s="12"/>
      <c r="AP1028" s="12"/>
      <c r="AQ1028" s="12"/>
      <c r="AR1028" s="12"/>
      <c r="AS1028" s="12"/>
      <c r="AT1028" s="12"/>
      <c r="AU1028" s="12"/>
      <c r="AV1028" s="12"/>
      <c r="AW1028" s="12"/>
      <c r="AX1028" s="12"/>
      <c r="AY1028" s="12"/>
      <c r="AZ1028" s="12"/>
      <c r="BA1028" s="12"/>
      <c r="BB1028" s="12"/>
      <c r="BC1028" s="12"/>
      <c r="BD1028" s="12"/>
      <c r="BF1028" s="106" t="str">
        <f t="shared" si="1"/>
        <v>#VALUE!</v>
      </c>
      <c r="BG1028" s="21">
        <f t="shared" si="2"/>
        <v>12</v>
      </c>
    </row>
    <row r="1029">
      <c r="P1029" s="161"/>
      <c r="AI1029" s="102"/>
      <c r="AO1029" s="12"/>
      <c r="AP1029" s="12"/>
      <c r="AQ1029" s="12"/>
      <c r="AR1029" s="12"/>
      <c r="AS1029" s="12"/>
      <c r="AT1029" s="12"/>
      <c r="AU1029" s="12"/>
      <c r="AV1029" s="12"/>
      <c r="AW1029" s="12"/>
      <c r="AX1029" s="12"/>
      <c r="AY1029" s="12"/>
      <c r="AZ1029" s="12"/>
      <c r="BA1029" s="12"/>
      <c r="BB1029" s="12"/>
      <c r="BC1029" s="12"/>
      <c r="BD1029" s="12"/>
      <c r="BF1029" s="106" t="str">
        <f t="shared" si="1"/>
        <v>#VALUE!</v>
      </c>
      <c r="BG1029" s="21">
        <f t="shared" si="2"/>
        <v>12</v>
      </c>
    </row>
    <row r="1030">
      <c r="P1030" s="161"/>
      <c r="AI1030" s="102"/>
      <c r="AO1030" s="12"/>
      <c r="AP1030" s="12"/>
      <c r="AQ1030" s="12"/>
      <c r="AR1030" s="12"/>
      <c r="AS1030" s="12"/>
      <c r="AT1030" s="12"/>
      <c r="AU1030" s="12"/>
      <c r="AV1030" s="12"/>
      <c r="AW1030" s="12"/>
      <c r="AX1030" s="12"/>
      <c r="AY1030" s="12"/>
      <c r="AZ1030" s="12"/>
      <c r="BA1030" s="12"/>
      <c r="BB1030" s="12"/>
      <c r="BC1030" s="12"/>
      <c r="BD1030" s="12"/>
      <c r="BF1030" s="106" t="str">
        <f t="shared" si="1"/>
        <v>#VALUE!</v>
      </c>
      <c r="BG1030" s="21">
        <f t="shared" si="2"/>
        <v>12</v>
      </c>
    </row>
    <row r="1031">
      <c r="P1031" s="161"/>
      <c r="AI1031" s="102"/>
      <c r="AO1031" s="12"/>
      <c r="AP1031" s="12"/>
      <c r="AQ1031" s="12"/>
      <c r="AR1031" s="12"/>
      <c r="AS1031" s="12"/>
      <c r="AT1031" s="12"/>
      <c r="AU1031" s="12"/>
      <c r="AV1031" s="12"/>
      <c r="AW1031" s="12"/>
      <c r="AX1031" s="12"/>
      <c r="AY1031" s="12"/>
      <c r="AZ1031" s="12"/>
      <c r="BA1031" s="12"/>
      <c r="BB1031" s="12"/>
      <c r="BC1031" s="12"/>
      <c r="BD1031" s="12"/>
      <c r="BF1031" s="106" t="str">
        <f t="shared" si="1"/>
        <v>#VALUE!</v>
      </c>
      <c r="BG1031" s="21">
        <f t="shared" si="2"/>
        <v>12</v>
      </c>
    </row>
    <row r="1032">
      <c r="P1032" s="161"/>
      <c r="AI1032" s="102"/>
      <c r="AO1032" s="12"/>
      <c r="AP1032" s="12"/>
      <c r="AQ1032" s="12"/>
      <c r="AR1032" s="12"/>
      <c r="AS1032" s="12"/>
      <c r="AT1032" s="12"/>
      <c r="AU1032" s="12"/>
      <c r="AV1032" s="12"/>
      <c r="AW1032" s="12"/>
      <c r="AX1032" s="12"/>
      <c r="AY1032" s="12"/>
      <c r="AZ1032" s="12"/>
      <c r="BA1032" s="12"/>
      <c r="BB1032" s="12"/>
      <c r="BC1032" s="12"/>
      <c r="BD1032" s="12"/>
      <c r="BF1032" s="106" t="str">
        <f t="shared" si="1"/>
        <v>#VALUE!</v>
      </c>
      <c r="BG1032" s="21">
        <f t="shared" si="2"/>
        <v>12</v>
      </c>
    </row>
    <row r="1033">
      <c r="P1033" s="161"/>
      <c r="AI1033" s="102"/>
      <c r="AO1033" s="12"/>
      <c r="AP1033" s="12"/>
      <c r="AQ1033" s="12"/>
      <c r="AR1033" s="12"/>
      <c r="AS1033" s="12"/>
      <c r="AT1033" s="12"/>
      <c r="AU1033" s="12"/>
      <c r="AV1033" s="12"/>
      <c r="AW1033" s="12"/>
      <c r="AX1033" s="12"/>
      <c r="AY1033" s="12"/>
      <c r="AZ1033" s="12"/>
      <c r="BA1033" s="12"/>
      <c r="BB1033" s="12"/>
      <c r="BC1033" s="12"/>
      <c r="BD1033" s="12"/>
      <c r="BF1033" s="106" t="str">
        <f t="shared" si="1"/>
        <v>#VALUE!</v>
      </c>
      <c r="BG1033" s="21">
        <f t="shared" si="2"/>
        <v>12</v>
      </c>
    </row>
    <row r="1034">
      <c r="P1034" s="161"/>
      <c r="AI1034" s="102"/>
      <c r="AO1034" s="12"/>
      <c r="AP1034" s="12"/>
      <c r="AQ1034" s="12"/>
      <c r="AR1034" s="12"/>
      <c r="AS1034" s="12"/>
      <c r="AT1034" s="12"/>
      <c r="AU1034" s="12"/>
      <c r="AV1034" s="12"/>
      <c r="AW1034" s="12"/>
      <c r="AX1034" s="12"/>
      <c r="AY1034" s="12"/>
      <c r="AZ1034" s="12"/>
      <c r="BA1034" s="12"/>
      <c r="BB1034" s="12"/>
      <c r="BC1034" s="12"/>
      <c r="BD1034" s="12"/>
      <c r="BF1034" s="106" t="str">
        <f t="shared" si="1"/>
        <v>#VALUE!</v>
      </c>
      <c r="BG1034" s="21">
        <f t="shared" si="2"/>
        <v>12</v>
      </c>
    </row>
    <row r="1035">
      <c r="P1035" s="161"/>
      <c r="AI1035" s="102"/>
      <c r="AO1035" s="12"/>
      <c r="AP1035" s="12"/>
      <c r="AQ1035" s="12"/>
      <c r="AR1035" s="12"/>
      <c r="AS1035" s="12"/>
      <c r="AT1035" s="12"/>
      <c r="AU1035" s="12"/>
      <c r="AV1035" s="12"/>
      <c r="AW1035" s="12"/>
      <c r="AX1035" s="12"/>
      <c r="AY1035" s="12"/>
      <c r="AZ1035" s="12"/>
      <c r="BA1035" s="12"/>
      <c r="BB1035" s="12"/>
      <c r="BC1035" s="12"/>
      <c r="BD1035" s="12"/>
      <c r="BF1035" s="106" t="str">
        <f t="shared" si="1"/>
        <v>#VALUE!</v>
      </c>
      <c r="BG1035" s="21">
        <f t="shared" si="2"/>
        <v>12</v>
      </c>
    </row>
    <row r="1036">
      <c r="P1036" s="161"/>
      <c r="AI1036" s="102"/>
      <c r="AO1036" s="12"/>
      <c r="AP1036" s="12"/>
      <c r="AQ1036" s="12"/>
      <c r="AR1036" s="12"/>
      <c r="AS1036" s="12"/>
      <c r="AT1036" s="12"/>
      <c r="AU1036" s="12"/>
      <c r="AV1036" s="12"/>
      <c r="AW1036" s="12"/>
      <c r="AX1036" s="12"/>
      <c r="AY1036" s="12"/>
      <c r="AZ1036" s="12"/>
      <c r="BA1036" s="12"/>
      <c r="BB1036" s="12"/>
      <c r="BC1036" s="12"/>
      <c r="BD1036" s="12"/>
      <c r="BF1036" s="106" t="str">
        <f t="shared" si="1"/>
        <v>#VALUE!</v>
      </c>
      <c r="BG1036" s="21">
        <f t="shared" si="2"/>
        <v>12</v>
      </c>
    </row>
    <row r="1037">
      <c r="P1037" s="161"/>
      <c r="AI1037" s="102"/>
      <c r="AO1037" s="12"/>
      <c r="AP1037" s="12"/>
      <c r="AQ1037" s="12"/>
      <c r="AR1037" s="12"/>
      <c r="AS1037" s="12"/>
      <c r="AT1037" s="12"/>
      <c r="AU1037" s="12"/>
      <c r="AV1037" s="12"/>
      <c r="AW1037" s="12"/>
      <c r="AX1037" s="12"/>
      <c r="AY1037" s="12"/>
      <c r="AZ1037" s="12"/>
      <c r="BA1037" s="12"/>
      <c r="BB1037" s="12"/>
      <c r="BC1037" s="12"/>
      <c r="BD1037" s="12"/>
      <c r="BF1037" s="106" t="str">
        <f t="shared" si="1"/>
        <v>#VALUE!</v>
      </c>
      <c r="BG1037" s="21">
        <f t="shared" si="2"/>
        <v>12</v>
      </c>
    </row>
    <row r="1038">
      <c r="P1038" s="161"/>
      <c r="AI1038" s="102"/>
      <c r="AO1038" s="12"/>
      <c r="AP1038" s="12"/>
      <c r="AQ1038" s="12"/>
      <c r="AR1038" s="12"/>
      <c r="AS1038" s="12"/>
      <c r="AT1038" s="12"/>
      <c r="AU1038" s="12"/>
      <c r="AV1038" s="12"/>
      <c r="AW1038" s="12"/>
      <c r="AX1038" s="12"/>
      <c r="AY1038" s="12"/>
      <c r="AZ1038" s="12"/>
      <c r="BA1038" s="12"/>
      <c r="BB1038" s="12"/>
      <c r="BC1038" s="12"/>
      <c r="BD1038" s="12"/>
      <c r="BF1038" s="106" t="str">
        <f t="shared" si="1"/>
        <v>#VALUE!</v>
      </c>
      <c r="BG1038" s="21">
        <f t="shared" si="2"/>
        <v>12</v>
      </c>
    </row>
    <row r="1039">
      <c r="P1039" s="161"/>
      <c r="AI1039" s="102"/>
      <c r="AO1039" s="12"/>
      <c r="AP1039" s="12"/>
      <c r="AQ1039" s="12"/>
      <c r="AR1039" s="12"/>
      <c r="AS1039" s="12"/>
      <c r="AT1039" s="12"/>
      <c r="AU1039" s="12"/>
      <c r="AV1039" s="12"/>
      <c r="AW1039" s="12"/>
      <c r="AX1039" s="12"/>
      <c r="AY1039" s="12"/>
      <c r="AZ1039" s="12"/>
      <c r="BA1039" s="12"/>
      <c r="BB1039" s="12"/>
      <c r="BC1039" s="12"/>
      <c r="BD1039" s="12"/>
      <c r="BF1039" s="106" t="str">
        <f t="shared" si="1"/>
        <v>#VALUE!</v>
      </c>
      <c r="BG1039" s="21">
        <f t="shared" si="2"/>
        <v>12</v>
      </c>
    </row>
    <row r="1040">
      <c r="P1040" s="161"/>
      <c r="AI1040" s="102"/>
      <c r="AO1040" s="12"/>
      <c r="AP1040" s="12"/>
      <c r="AQ1040" s="12"/>
      <c r="AR1040" s="12"/>
      <c r="AS1040" s="12"/>
      <c r="AT1040" s="12"/>
      <c r="AU1040" s="12"/>
      <c r="AV1040" s="12"/>
      <c r="AW1040" s="12"/>
      <c r="AX1040" s="12"/>
      <c r="AY1040" s="12"/>
      <c r="AZ1040" s="12"/>
      <c r="BA1040" s="12"/>
      <c r="BB1040" s="12"/>
      <c r="BC1040" s="12"/>
      <c r="BD1040" s="12"/>
      <c r="BF1040" s="106" t="str">
        <f t="shared" si="1"/>
        <v>#VALUE!</v>
      </c>
      <c r="BG1040" s="21">
        <f t="shared" si="2"/>
        <v>12</v>
      </c>
    </row>
    <row r="1041">
      <c r="P1041" s="161"/>
      <c r="AI1041" s="102"/>
      <c r="AO1041" s="12"/>
      <c r="AP1041" s="12"/>
      <c r="AQ1041" s="12"/>
      <c r="AR1041" s="12"/>
      <c r="AS1041" s="12"/>
      <c r="AT1041" s="12"/>
      <c r="AU1041" s="12"/>
      <c r="AV1041" s="12"/>
      <c r="AW1041" s="12"/>
      <c r="AX1041" s="12"/>
      <c r="AY1041" s="12"/>
      <c r="AZ1041" s="12"/>
      <c r="BA1041" s="12"/>
      <c r="BB1041" s="12"/>
      <c r="BC1041" s="12"/>
      <c r="BD1041" s="12"/>
      <c r="BF1041" s="106" t="str">
        <f t="shared" si="1"/>
        <v>#VALUE!</v>
      </c>
      <c r="BG1041" s="21">
        <f t="shared" si="2"/>
        <v>12</v>
      </c>
    </row>
    <row r="1042">
      <c r="P1042" s="161"/>
      <c r="AI1042" s="102"/>
      <c r="AO1042" s="12"/>
      <c r="AP1042" s="12"/>
      <c r="AQ1042" s="12"/>
      <c r="AR1042" s="12"/>
      <c r="AS1042" s="12"/>
      <c r="AT1042" s="12"/>
      <c r="AU1042" s="12"/>
      <c r="AV1042" s="12"/>
      <c r="AW1042" s="12"/>
      <c r="AX1042" s="12"/>
      <c r="AY1042" s="12"/>
      <c r="AZ1042" s="12"/>
      <c r="BA1042" s="12"/>
      <c r="BB1042" s="12"/>
      <c r="BC1042" s="12"/>
      <c r="BD1042" s="12"/>
      <c r="BF1042" s="106" t="str">
        <f t="shared" si="1"/>
        <v>#VALUE!</v>
      </c>
      <c r="BG1042" s="21">
        <f t="shared" si="2"/>
        <v>12</v>
      </c>
    </row>
    <row r="1043">
      <c r="P1043" s="161"/>
      <c r="AI1043" s="102"/>
      <c r="AO1043" s="12"/>
      <c r="AP1043" s="12"/>
      <c r="AQ1043" s="12"/>
      <c r="AR1043" s="12"/>
      <c r="AS1043" s="12"/>
      <c r="AT1043" s="12"/>
      <c r="AU1043" s="12"/>
      <c r="AV1043" s="12"/>
      <c r="AW1043" s="12"/>
      <c r="AX1043" s="12"/>
      <c r="AY1043" s="12"/>
      <c r="AZ1043" s="12"/>
      <c r="BA1043" s="12"/>
      <c r="BB1043" s="12"/>
      <c r="BC1043" s="12"/>
      <c r="BD1043" s="12"/>
      <c r="BF1043" s="106" t="str">
        <f t="shared" si="1"/>
        <v>#VALUE!</v>
      </c>
      <c r="BG1043" s="21">
        <f t="shared" si="2"/>
        <v>12</v>
      </c>
    </row>
    <row r="1044">
      <c r="P1044" s="161"/>
      <c r="AI1044" s="102"/>
      <c r="AO1044" s="12"/>
      <c r="AP1044" s="12"/>
      <c r="AQ1044" s="12"/>
      <c r="AR1044" s="12"/>
      <c r="AS1044" s="12"/>
      <c r="AT1044" s="12"/>
      <c r="AU1044" s="12"/>
      <c r="AV1044" s="12"/>
      <c r="AW1044" s="12"/>
      <c r="AX1044" s="12"/>
      <c r="AY1044" s="12"/>
      <c r="AZ1044" s="12"/>
      <c r="BA1044" s="12"/>
      <c r="BB1044" s="12"/>
      <c r="BC1044" s="12"/>
      <c r="BD1044" s="12"/>
      <c r="BF1044" s="106" t="str">
        <f t="shared" si="1"/>
        <v>#VALUE!</v>
      </c>
      <c r="BG1044" s="21">
        <f t="shared" si="2"/>
        <v>12</v>
      </c>
    </row>
    <row r="1045">
      <c r="P1045" s="161"/>
      <c r="AI1045" s="102"/>
      <c r="AO1045" s="12"/>
      <c r="AP1045" s="12"/>
      <c r="AQ1045" s="12"/>
      <c r="AR1045" s="12"/>
      <c r="AS1045" s="12"/>
      <c r="AT1045" s="12"/>
      <c r="AU1045" s="12"/>
      <c r="AV1045" s="12"/>
      <c r="AW1045" s="12"/>
      <c r="AX1045" s="12"/>
      <c r="AY1045" s="12"/>
      <c r="AZ1045" s="12"/>
      <c r="BA1045" s="12"/>
      <c r="BB1045" s="12"/>
      <c r="BC1045" s="12"/>
      <c r="BD1045" s="12"/>
      <c r="BF1045" s="106" t="str">
        <f t="shared" si="1"/>
        <v>#VALUE!</v>
      </c>
      <c r="BG1045" s="21">
        <f t="shared" si="2"/>
        <v>12</v>
      </c>
    </row>
    <row r="1046">
      <c r="P1046" s="161"/>
      <c r="AI1046" s="102"/>
      <c r="AO1046" s="12"/>
      <c r="AP1046" s="12"/>
      <c r="AQ1046" s="12"/>
      <c r="AR1046" s="12"/>
      <c r="AS1046" s="12"/>
      <c r="AT1046" s="12"/>
      <c r="AU1046" s="12"/>
      <c r="AV1046" s="12"/>
      <c r="AW1046" s="12"/>
      <c r="AX1046" s="12"/>
      <c r="AY1046" s="12"/>
      <c r="AZ1046" s="12"/>
      <c r="BA1046" s="12"/>
      <c r="BB1046" s="12"/>
      <c r="BC1046" s="12"/>
      <c r="BD1046" s="12"/>
      <c r="BF1046" s="106" t="str">
        <f t="shared" si="1"/>
        <v>#VALUE!</v>
      </c>
      <c r="BG1046" s="21">
        <f t="shared" si="2"/>
        <v>12</v>
      </c>
    </row>
    <row r="1047">
      <c r="P1047" s="161"/>
      <c r="AI1047" s="102"/>
      <c r="AO1047" s="12"/>
      <c r="AP1047" s="12"/>
      <c r="AQ1047" s="12"/>
      <c r="AR1047" s="12"/>
      <c r="AS1047" s="12"/>
      <c r="AT1047" s="12"/>
      <c r="AU1047" s="12"/>
      <c r="AV1047" s="12"/>
      <c r="AW1047" s="12"/>
      <c r="AX1047" s="12"/>
      <c r="AY1047" s="12"/>
      <c r="AZ1047" s="12"/>
      <c r="BA1047" s="12"/>
      <c r="BB1047" s="12"/>
      <c r="BC1047" s="12"/>
      <c r="BD1047" s="12"/>
      <c r="BF1047" s="106" t="str">
        <f t="shared" si="1"/>
        <v>#VALUE!</v>
      </c>
      <c r="BG1047" s="21">
        <f t="shared" si="2"/>
        <v>12</v>
      </c>
    </row>
    <row r="1048">
      <c r="P1048" s="161"/>
      <c r="AI1048" s="102"/>
      <c r="AO1048" s="12"/>
      <c r="AP1048" s="12"/>
      <c r="AQ1048" s="12"/>
      <c r="AR1048" s="12"/>
      <c r="AS1048" s="12"/>
      <c r="AT1048" s="12"/>
      <c r="AU1048" s="12"/>
      <c r="AV1048" s="12"/>
      <c r="AW1048" s="12"/>
      <c r="AX1048" s="12"/>
      <c r="AY1048" s="12"/>
      <c r="AZ1048" s="12"/>
      <c r="BA1048" s="12"/>
      <c r="BB1048" s="12"/>
      <c r="BC1048" s="12"/>
      <c r="BD1048" s="12"/>
      <c r="BF1048" s="106" t="str">
        <f t="shared" si="1"/>
        <v>#VALUE!</v>
      </c>
      <c r="BG1048" s="21">
        <f t="shared" si="2"/>
        <v>12</v>
      </c>
    </row>
    <row r="1049">
      <c r="P1049" s="161"/>
      <c r="AI1049" s="102"/>
      <c r="AO1049" s="12"/>
      <c r="AP1049" s="12"/>
      <c r="AQ1049" s="12"/>
      <c r="AR1049" s="12"/>
      <c r="AS1049" s="12"/>
      <c r="AT1049" s="12"/>
      <c r="AU1049" s="12"/>
      <c r="AV1049" s="12"/>
      <c r="AW1049" s="12"/>
      <c r="AX1049" s="12"/>
      <c r="AY1049" s="12"/>
      <c r="AZ1049" s="12"/>
      <c r="BA1049" s="12"/>
      <c r="BB1049" s="12"/>
      <c r="BC1049" s="12"/>
      <c r="BD1049" s="12"/>
      <c r="BF1049" s="106" t="str">
        <f t="shared" si="1"/>
        <v>#VALUE!</v>
      </c>
      <c r="BG1049" s="21">
        <f t="shared" si="2"/>
        <v>12</v>
      </c>
    </row>
    <row r="1050">
      <c r="P1050" s="161"/>
      <c r="AI1050" s="102"/>
      <c r="AO1050" s="12"/>
      <c r="AP1050" s="12"/>
      <c r="AQ1050" s="12"/>
      <c r="AR1050" s="12"/>
      <c r="AS1050" s="12"/>
      <c r="AT1050" s="12"/>
      <c r="AU1050" s="12"/>
      <c r="AV1050" s="12"/>
      <c r="AW1050" s="12"/>
      <c r="AX1050" s="12"/>
      <c r="AY1050" s="12"/>
      <c r="AZ1050" s="12"/>
      <c r="BA1050" s="12"/>
      <c r="BB1050" s="12"/>
      <c r="BC1050" s="12"/>
      <c r="BD1050" s="12"/>
      <c r="BF1050" s="106" t="str">
        <f t="shared" si="1"/>
        <v>#VALUE!</v>
      </c>
      <c r="BG1050" s="21">
        <f t="shared" si="2"/>
        <v>12</v>
      </c>
    </row>
    <row r="1051">
      <c r="P1051" s="161"/>
      <c r="AI1051" s="102"/>
      <c r="AO1051" s="12"/>
      <c r="AP1051" s="12"/>
      <c r="AQ1051" s="12"/>
      <c r="AR1051" s="12"/>
      <c r="AS1051" s="12"/>
      <c r="AT1051" s="12"/>
      <c r="AU1051" s="12"/>
      <c r="AV1051" s="12"/>
      <c r="AW1051" s="12"/>
      <c r="AX1051" s="12"/>
      <c r="AY1051" s="12"/>
      <c r="AZ1051" s="12"/>
      <c r="BA1051" s="12"/>
      <c r="BB1051" s="12"/>
      <c r="BC1051" s="12"/>
      <c r="BD1051" s="12"/>
      <c r="BF1051" s="106" t="str">
        <f t="shared" si="1"/>
        <v>#VALUE!</v>
      </c>
      <c r="BG1051" s="21">
        <f t="shared" si="2"/>
        <v>12</v>
      </c>
    </row>
    <row r="1052">
      <c r="P1052" s="161"/>
      <c r="AI1052" s="102"/>
      <c r="AO1052" s="12"/>
      <c r="AP1052" s="12"/>
      <c r="AQ1052" s="12"/>
      <c r="AR1052" s="12"/>
      <c r="AS1052" s="12"/>
      <c r="AT1052" s="12"/>
      <c r="AU1052" s="12"/>
      <c r="AV1052" s="12"/>
      <c r="AW1052" s="12"/>
      <c r="AX1052" s="12"/>
      <c r="AY1052" s="12"/>
      <c r="AZ1052" s="12"/>
      <c r="BA1052" s="12"/>
      <c r="BB1052" s="12"/>
      <c r="BC1052" s="12"/>
      <c r="BD1052" s="12"/>
      <c r="BF1052" s="106" t="str">
        <f t="shared" si="1"/>
        <v>#VALUE!</v>
      </c>
      <c r="BG1052" s="21">
        <f t="shared" si="2"/>
        <v>12</v>
      </c>
    </row>
    <row r="1053">
      <c r="P1053" s="161"/>
      <c r="AI1053" s="102"/>
      <c r="AO1053" s="12"/>
      <c r="AP1053" s="12"/>
      <c r="AQ1053" s="12"/>
      <c r="AR1053" s="12"/>
      <c r="AS1053" s="12"/>
      <c r="AT1053" s="12"/>
      <c r="AU1053" s="12"/>
      <c r="AV1053" s="12"/>
      <c r="AW1053" s="12"/>
      <c r="AX1053" s="12"/>
      <c r="AY1053" s="12"/>
      <c r="AZ1053" s="12"/>
      <c r="BA1053" s="12"/>
      <c r="BB1053" s="12"/>
      <c r="BC1053" s="12"/>
      <c r="BD1053" s="12"/>
      <c r="BF1053" s="106" t="str">
        <f t="shared" si="1"/>
        <v>#VALUE!</v>
      </c>
      <c r="BG1053" s="21">
        <f t="shared" si="2"/>
        <v>12</v>
      </c>
    </row>
    <row r="1054">
      <c r="P1054" s="161"/>
      <c r="AI1054" s="102"/>
      <c r="AO1054" s="12"/>
      <c r="AP1054" s="12"/>
      <c r="AQ1054" s="12"/>
      <c r="AR1054" s="12"/>
      <c r="AS1054" s="12"/>
      <c r="AT1054" s="12"/>
      <c r="AU1054" s="12"/>
      <c r="AV1054" s="12"/>
      <c r="AW1054" s="12"/>
      <c r="AX1054" s="12"/>
      <c r="AY1054" s="12"/>
      <c r="AZ1054" s="12"/>
      <c r="BA1054" s="12"/>
      <c r="BB1054" s="12"/>
      <c r="BC1054" s="12"/>
      <c r="BD1054" s="12"/>
      <c r="BF1054" s="106" t="str">
        <f t="shared" si="1"/>
        <v>#VALUE!</v>
      </c>
      <c r="BG1054" s="21">
        <f t="shared" si="2"/>
        <v>12</v>
      </c>
    </row>
    <row r="1055">
      <c r="P1055" s="161"/>
      <c r="AI1055" s="102"/>
      <c r="AO1055" s="12"/>
      <c r="AP1055" s="12"/>
      <c r="AQ1055" s="12"/>
      <c r="AR1055" s="12"/>
      <c r="AS1055" s="12"/>
      <c r="AT1055" s="12"/>
      <c r="AU1055" s="12"/>
      <c r="AV1055" s="12"/>
      <c r="AW1055" s="12"/>
      <c r="AX1055" s="12"/>
      <c r="AY1055" s="12"/>
      <c r="AZ1055" s="12"/>
      <c r="BA1055" s="12"/>
      <c r="BB1055" s="12"/>
      <c r="BC1055" s="12"/>
      <c r="BD1055" s="12"/>
      <c r="BF1055" s="106" t="str">
        <f t="shared" si="1"/>
        <v>#VALUE!</v>
      </c>
      <c r="BG1055" s="21">
        <f t="shared" si="2"/>
        <v>12</v>
      </c>
    </row>
    <row r="1056">
      <c r="P1056" s="161"/>
      <c r="AI1056" s="102"/>
      <c r="AO1056" s="12"/>
      <c r="AP1056" s="12"/>
      <c r="AQ1056" s="12"/>
      <c r="AR1056" s="12"/>
      <c r="AS1056" s="12"/>
      <c r="AT1056" s="12"/>
      <c r="AU1056" s="12"/>
      <c r="AV1056" s="12"/>
      <c r="AW1056" s="12"/>
      <c r="AX1056" s="12"/>
      <c r="AY1056" s="12"/>
      <c r="AZ1056" s="12"/>
      <c r="BA1056" s="12"/>
      <c r="BB1056" s="12"/>
      <c r="BC1056" s="12"/>
      <c r="BD1056" s="12"/>
      <c r="BF1056" s="106" t="str">
        <f t="shared" si="1"/>
        <v>#VALUE!</v>
      </c>
      <c r="BG1056" s="21">
        <f t="shared" si="2"/>
        <v>12</v>
      </c>
    </row>
    <row r="1057">
      <c r="P1057" s="161"/>
      <c r="AI1057" s="102"/>
      <c r="AO1057" s="12"/>
      <c r="AP1057" s="12"/>
      <c r="AQ1057" s="12"/>
      <c r="AR1057" s="12"/>
      <c r="AS1057" s="12"/>
      <c r="AT1057" s="12"/>
      <c r="AU1057" s="12"/>
      <c r="AV1057" s="12"/>
      <c r="AW1057" s="12"/>
      <c r="AX1057" s="12"/>
      <c r="AY1057" s="12"/>
      <c r="AZ1057" s="12"/>
      <c r="BA1057" s="12"/>
      <c r="BB1057" s="12"/>
      <c r="BC1057" s="12"/>
      <c r="BD1057" s="12"/>
      <c r="BF1057" s="106" t="str">
        <f t="shared" si="1"/>
        <v>#VALUE!</v>
      </c>
      <c r="BG1057" s="21">
        <f t="shared" si="2"/>
        <v>12</v>
      </c>
    </row>
    <row r="1058">
      <c r="P1058" s="161"/>
      <c r="AI1058" s="102"/>
      <c r="AO1058" s="12"/>
      <c r="AP1058" s="12"/>
      <c r="AQ1058" s="12"/>
      <c r="AR1058" s="12"/>
      <c r="AS1058" s="12"/>
      <c r="AT1058" s="12"/>
      <c r="AU1058" s="12"/>
      <c r="AV1058" s="12"/>
      <c r="AW1058" s="12"/>
      <c r="AX1058" s="12"/>
      <c r="AY1058" s="12"/>
      <c r="AZ1058" s="12"/>
      <c r="BA1058" s="12"/>
      <c r="BB1058" s="12"/>
      <c r="BC1058" s="12"/>
      <c r="BD1058" s="12"/>
      <c r="BF1058" s="106" t="str">
        <f t="shared" si="1"/>
        <v>#VALUE!</v>
      </c>
      <c r="BG1058" s="21">
        <f t="shared" si="2"/>
        <v>12</v>
      </c>
    </row>
    <row r="1059">
      <c r="P1059" s="161"/>
      <c r="AI1059" s="102"/>
      <c r="AO1059" s="12"/>
      <c r="AP1059" s="12"/>
      <c r="AQ1059" s="12"/>
      <c r="AR1059" s="12"/>
      <c r="AS1059" s="12"/>
      <c r="AT1059" s="12"/>
      <c r="AU1059" s="12"/>
      <c r="AV1059" s="12"/>
      <c r="AW1059" s="12"/>
      <c r="AX1059" s="12"/>
      <c r="AY1059" s="12"/>
      <c r="AZ1059" s="12"/>
      <c r="BA1059" s="12"/>
      <c r="BB1059" s="12"/>
      <c r="BC1059" s="12"/>
      <c r="BD1059" s="12"/>
      <c r="BF1059" s="106" t="str">
        <f t="shared" si="1"/>
        <v>#VALUE!</v>
      </c>
      <c r="BG1059" s="21">
        <f t="shared" si="2"/>
        <v>12</v>
      </c>
    </row>
    <row r="1060">
      <c r="P1060" s="161"/>
      <c r="AI1060" s="102"/>
      <c r="AO1060" s="12"/>
      <c r="AP1060" s="12"/>
      <c r="AQ1060" s="12"/>
      <c r="AR1060" s="12"/>
      <c r="AS1060" s="12"/>
      <c r="AT1060" s="12"/>
      <c r="AU1060" s="12"/>
      <c r="AV1060" s="12"/>
      <c r="AW1060" s="12"/>
      <c r="AX1060" s="12"/>
      <c r="AY1060" s="12"/>
      <c r="AZ1060" s="12"/>
      <c r="BA1060" s="12"/>
      <c r="BB1060" s="12"/>
      <c r="BC1060" s="12"/>
      <c r="BD1060" s="12"/>
      <c r="BF1060" s="106" t="str">
        <f t="shared" si="1"/>
        <v>#VALUE!</v>
      </c>
      <c r="BG1060" s="21">
        <f t="shared" si="2"/>
        <v>12</v>
      </c>
    </row>
    <row r="1061">
      <c r="P1061" s="161"/>
      <c r="AI1061" s="102"/>
      <c r="AO1061" s="12"/>
      <c r="AP1061" s="12"/>
      <c r="AQ1061" s="12"/>
      <c r="AR1061" s="12"/>
      <c r="AS1061" s="12"/>
      <c r="AT1061" s="12"/>
      <c r="AU1061" s="12"/>
      <c r="AV1061" s="12"/>
      <c r="AW1061" s="12"/>
      <c r="AX1061" s="12"/>
      <c r="AY1061" s="12"/>
      <c r="AZ1061" s="12"/>
      <c r="BA1061" s="12"/>
      <c r="BB1061" s="12"/>
      <c r="BC1061" s="12"/>
      <c r="BD1061" s="12"/>
      <c r="BF1061" s="106" t="str">
        <f t="shared" si="1"/>
        <v>#VALUE!</v>
      </c>
      <c r="BG1061" s="21">
        <f t="shared" si="2"/>
        <v>12</v>
      </c>
    </row>
    <row r="1062">
      <c r="P1062" s="161"/>
      <c r="AI1062" s="102"/>
      <c r="AO1062" s="12"/>
      <c r="AP1062" s="12"/>
      <c r="AQ1062" s="12"/>
      <c r="AR1062" s="12"/>
      <c r="AS1062" s="12"/>
      <c r="AT1062" s="12"/>
      <c r="AU1062" s="12"/>
      <c r="AV1062" s="12"/>
      <c r="AW1062" s="12"/>
      <c r="AX1062" s="12"/>
      <c r="AY1062" s="12"/>
      <c r="AZ1062" s="12"/>
      <c r="BA1062" s="12"/>
      <c r="BB1062" s="12"/>
      <c r="BC1062" s="12"/>
      <c r="BD1062" s="12"/>
      <c r="BF1062" s="106" t="str">
        <f t="shared" si="1"/>
        <v>#VALUE!</v>
      </c>
      <c r="BG1062" s="21">
        <f t="shared" si="2"/>
        <v>12</v>
      </c>
    </row>
    <row r="1063">
      <c r="P1063" s="161"/>
      <c r="AI1063" s="102"/>
      <c r="AO1063" s="12"/>
      <c r="AP1063" s="12"/>
      <c r="AQ1063" s="12"/>
      <c r="AR1063" s="12"/>
      <c r="AS1063" s="12"/>
      <c r="AT1063" s="12"/>
      <c r="AU1063" s="12"/>
      <c r="AV1063" s="12"/>
      <c r="AW1063" s="12"/>
      <c r="AX1063" s="12"/>
      <c r="AY1063" s="12"/>
      <c r="AZ1063" s="12"/>
      <c r="BA1063" s="12"/>
      <c r="BB1063" s="12"/>
      <c r="BC1063" s="12"/>
      <c r="BD1063" s="12"/>
      <c r="BF1063" s="106" t="str">
        <f t="shared" si="1"/>
        <v>#VALUE!</v>
      </c>
      <c r="BG1063" s="21">
        <f t="shared" si="2"/>
        <v>12</v>
      </c>
    </row>
    <row r="1064">
      <c r="P1064" s="161"/>
      <c r="AI1064" s="102"/>
      <c r="AO1064" s="12"/>
      <c r="AP1064" s="12"/>
      <c r="AQ1064" s="12"/>
      <c r="AR1064" s="12"/>
      <c r="AS1064" s="12"/>
      <c r="AT1064" s="12"/>
      <c r="AU1064" s="12"/>
      <c r="AV1064" s="12"/>
      <c r="AW1064" s="12"/>
      <c r="AX1064" s="12"/>
      <c r="AY1064" s="12"/>
      <c r="AZ1064" s="12"/>
      <c r="BA1064" s="12"/>
      <c r="BB1064" s="12"/>
      <c r="BC1064" s="12"/>
      <c r="BD1064" s="12"/>
      <c r="BF1064" s="106" t="str">
        <f t="shared" si="1"/>
        <v>#VALUE!</v>
      </c>
      <c r="BG1064" s="21">
        <f t="shared" si="2"/>
        <v>12</v>
      </c>
    </row>
    <row r="1065">
      <c r="P1065" s="161"/>
      <c r="AI1065" s="102"/>
      <c r="AO1065" s="12"/>
      <c r="AP1065" s="12"/>
      <c r="AQ1065" s="12"/>
      <c r="AR1065" s="12"/>
      <c r="AS1065" s="12"/>
      <c r="AT1065" s="12"/>
      <c r="AU1065" s="12"/>
      <c r="AV1065" s="12"/>
      <c r="AW1065" s="12"/>
      <c r="AX1065" s="12"/>
      <c r="AY1065" s="12"/>
      <c r="AZ1065" s="12"/>
      <c r="BA1065" s="12"/>
      <c r="BB1065" s="12"/>
      <c r="BC1065" s="12"/>
      <c r="BD1065" s="12"/>
      <c r="BF1065" s="106" t="str">
        <f t="shared" si="1"/>
        <v>#VALUE!</v>
      </c>
      <c r="BG1065" s="21">
        <f t="shared" si="2"/>
        <v>12</v>
      </c>
    </row>
    <row r="1066">
      <c r="P1066" s="161"/>
      <c r="AI1066" s="102"/>
      <c r="AO1066" s="12"/>
      <c r="AP1066" s="12"/>
      <c r="AQ1066" s="12"/>
      <c r="AR1066" s="12"/>
      <c r="AS1066" s="12"/>
      <c r="AT1066" s="12"/>
      <c r="AU1066" s="12"/>
      <c r="AV1066" s="12"/>
      <c r="AW1066" s="12"/>
      <c r="AX1066" s="12"/>
      <c r="AY1066" s="12"/>
      <c r="AZ1066" s="12"/>
      <c r="BA1066" s="12"/>
      <c r="BB1066" s="12"/>
      <c r="BC1066" s="12"/>
      <c r="BD1066" s="12"/>
      <c r="BF1066" s="106" t="str">
        <f t="shared" si="1"/>
        <v>#VALUE!</v>
      </c>
      <c r="BG1066" s="21">
        <f t="shared" si="2"/>
        <v>12</v>
      </c>
    </row>
    <row r="1067">
      <c r="P1067" s="161"/>
      <c r="AI1067" s="102"/>
      <c r="AO1067" s="12"/>
      <c r="AP1067" s="12"/>
      <c r="AQ1067" s="12"/>
      <c r="AR1067" s="12"/>
      <c r="AS1067" s="12"/>
      <c r="AT1067" s="12"/>
      <c r="AU1067" s="12"/>
      <c r="AV1067" s="12"/>
      <c r="AW1067" s="12"/>
      <c r="AX1067" s="12"/>
      <c r="AY1067" s="12"/>
      <c r="AZ1067" s="12"/>
      <c r="BA1067" s="12"/>
      <c r="BB1067" s="12"/>
      <c r="BC1067" s="12"/>
      <c r="BD1067" s="12"/>
      <c r="BF1067" s="106" t="str">
        <f t="shared" si="1"/>
        <v>#VALUE!</v>
      </c>
      <c r="BG1067" s="21">
        <f t="shared" si="2"/>
        <v>12</v>
      </c>
    </row>
    <row r="1068">
      <c r="P1068" s="161"/>
      <c r="AI1068" s="102"/>
      <c r="AO1068" s="12"/>
      <c r="AP1068" s="12"/>
      <c r="AQ1068" s="12"/>
      <c r="AR1068" s="12"/>
      <c r="AS1068" s="12"/>
      <c r="AT1068" s="12"/>
      <c r="AU1068" s="12"/>
      <c r="AV1068" s="12"/>
      <c r="AW1068" s="12"/>
      <c r="AX1068" s="12"/>
      <c r="AY1068" s="12"/>
      <c r="AZ1068" s="12"/>
      <c r="BA1068" s="12"/>
      <c r="BB1068" s="12"/>
      <c r="BC1068" s="12"/>
      <c r="BD1068" s="12"/>
      <c r="BF1068" s="106" t="str">
        <f t="shared" si="1"/>
        <v>#VALUE!</v>
      </c>
      <c r="BG1068" s="21">
        <f t="shared" si="2"/>
        <v>12</v>
      </c>
    </row>
    <row r="1069">
      <c r="P1069" s="161"/>
      <c r="AI1069" s="102"/>
      <c r="AO1069" s="12"/>
      <c r="AP1069" s="12"/>
      <c r="AQ1069" s="12"/>
      <c r="AR1069" s="12"/>
      <c r="AS1069" s="12"/>
      <c r="AT1069" s="12"/>
      <c r="AU1069" s="12"/>
      <c r="AV1069" s="12"/>
      <c r="AW1069" s="12"/>
      <c r="AX1069" s="12"/>
      <c r="AY1069" s="12"/>
      <c r="AZ1069" s="12"/>
      <c r="BA1069" s="12"/>
      <c r="BB1069" s="12"/>
      <c r="BC1069" s="12"/>
      <c r="BD1069" s="12"/>
      <c r="BF1069" s="106" t="str">
        <f t="shared" si="1"/>
        <v>#VALUE!</v>
      </c>
      <c r="BG1069" s="21">
        <f t="shared" si="2"/>
        <v>12</v>
      </c>
    </row>
    <row r="1070">
      <c r="P1070" s="161"/>
      <c r="AI1070" s="102"/>
      <c r="AO1070" s="12"/>
      <c r="AP1070" s="12"/>
      <c r="AQ1070" s="12"/>
      <c r="AR1070" s="12"/>
      <c r="AS1070" s="12"/>
      <c r="AT1070" s="12"/>
      <c r="AU1070" s="12"/>
      <c r="AV1070" s="12"/>
      <c r="AW1070" s="12"/>
      <c r="AX1070" s="12"/>
      <c r="AY1070" s="12"/>
      <c r="AZ1070" s="12"/>
      <c r="BA1070" s="12"/>
      <c r="BB1070" s="12"/>
      <c r="BC1070" s="12"/>
      <c r="BD1070" s="12"/>
      <c r="BF1070" s="106" t="str">
        <f t="shared" si="1"/>
        <v>#VALUE!</v>
      </c>
      <c r="BG1070" s="21">
        <f t="shared" si="2"/>
        <v>12</v>
      </c>
    </row>
    <row r="1071">
      <c r="P1071" s="161"/>
      <c r="AI1071" s="102"/>
      <c r="AO1071" s="12"/>
      <c r="AP1071" s="12"/>
      <c r="AQ1071" s="12"/>
      <c r="AR1071" s="12"/>
      <c r="AS1071" s="12"/>
      <c r="AT1071" s="12"/>
      <c r="AU1071" s="12"/>
      <c r="AV1071" s="12"/>
      <c r="AW1071" s="12"/>
      <c r="AX1071" s="12"/>
      <c r="AY1071" s="12"/>
      <c r="AZ1071" s="12"/>
      <c r="BA1071" s="12"/>
      <c r="BB1071" s="12"/>
      <c r="BC1071" s="12"/>
      <c r="BD1071" s="12"/>
      <c r="BF1071" s="106" t="str">
        <f t="shared" si="1"/>
        <v>#VALUE!</v>
      </c>
      <c r="BG1071" s="21">
        <f t="shared" si="2"/>
        <v>12</v>
      </c>
    </row>
    <row r="1072">
      <c r="P1072" s="161"/>
      <c r="AI1072" s="102"/>
      <c r="AO1072" s="12"/>
      <c r="AP1072" s="12"/>
      <c r="AQ1072" s="12"/>
      <c r="AR1072" s="12"/>
      <c r="AS1072" s="12"/>
      <c r="AT1072" s="12"/>
      <c r="AU1072" s="12"/>
      <c r="AV1072" s="12"/>
      <c r="AW1072" s="12"/>
      <c r="AX1072" s="12"/>
      <c r="AY1072" s="12"/>
      <c r="AZ1072" s="12"/>
      <c r="BA1072" s="12"/>
      <c r="BB1072" s="12"/>
      <c r="BC1072" s="12"/>
      <c r="BD1072" s="12"/>
      <c r="BF1072" s="106" t="str">
        <f t="shared" si="1"/>
        <v>#VALUE!</v>
      </c>
      <c r="BG1072" s="21">
        <f t="shared" si="2"/>
        <v>12</v>
      </c>
    </row>
    <row r="1073">
      <c r="P1073" s="161"/>
      <c r="AI1073" s="102"/>
      <c r="AO1073" s="12"/>
      <c r="AP1073" s="12"/>
      <c r="AQ1073" s="12"/>
      <c r="AR1073" s="12"/>
      <c r="AS1073" s="12"/>
      <c r="AT1073" s="12"/>
      <c r="AU1073" s="12"/>
      <c r="AV1073" s="12"/>
      <c r="AW1073" s="12"/>
      <c r="AX1073" s="12"/>
      <c r="AY1073" s="12"/>
      <c r="AZ1073" s="12"/>
      <c r="BA1073" s="12"/>
      <c r="BB1073" s="12"/>
      <c r="BC1073" s="12"/>
      <c r="BD1073" s="12"/>
      <c r="BF1073" s="106" t="str">
        <f t="shared" si="1"/>
        <v>#VALUE!</v>
      </c>
      <c r="BG1073" s="21">
        <f t="shared" si="2"/>
        <v>12</v>
      </c>
    </row>
    <row r="1074">
      <c r="P1074" s="161"/>
      <c r="AI1074" s="102"/>
      <c r="AO1074" s="12"/>
      <c r="AP1074" s="12"/>
      <c r="AQ1074" s="12"/>
      <c r="AR1074" s="12"/>
      <c r="AS1074" s="12"/>
      <c r="AT1074" s="12"/>
      <c r="AU1074" s="12"/>
      <c r="AV1074" s="12"/>
      <c r="AW1074" s="12"/>
      <c r="AX1074" s="12"/>
      <c r="AY1074" s="12"/>
      <c r="AZ1074" s="12"/>
      <c r="BA1074" s="12"/>
      <c r="BB1074" s="12"/>
      <c r="BC1074" s="12"/>
      <c r="BD1074" s="12"/>
      <c r="BF1074" s="106" t="str">
        <f t="shared" si="1"/>
        <v>#VALUE!</v>
      </c>
      <c r="BG1074" s="21">
        <f t="shared" si="2"/>
        <v>12</v>
      </c>
    </row>
    <row r="1075">
      <c r="P1075" s="161"/>
      <c r="AI1075" s="102"/>
      <c r="AO1075" s="12"/>
      <c r="AP1075" s="12"/>
      <c r="AQ1075" s="12"/>
      <c r="AR1075" s="12"/>
      <c r="AS1075" s="12"/>
      <c r="AT1075" s="12"/>
      <c r="AU1075" s="12"/>
      <c r="AV1075" s="12"/>
      <c r="AW1075" s="12"/>
      <c r="AX1075" s="12"/>
      <c r="AY1075" s="12"/>
      <c r="AZ1075" s="12"/>
      <c r="BA1075" s="12"/>
      <c r="BB1075" s="12"/>
      <c r="BC1075" s="12"/>
      <c r="BD1075" s="12"/>
      <c r="BF1075" s="106" t="str">
        <f t="shared" si="1"/>
        <v>#VALUE!</v>
      </c>
      <c r="BG1075" s="21">
        <f t="shared" si="2"/>
        <v>12</v>
      </c>
    </row>
    <row r="1076">
      <c r="P1076" s="161"/>
      <c r="AI1076" s="102"/>
      <c r="AO1076" s="12"/>
      <c r="AP1076" s="12"/>
      <c r="AQ1076" s="12"/>
      <c r="AR1076" s="12"/>
      <c r="AS1076" s="12"/>
      <c r="AT1076" s="12"/>
      <c r="AU1076" s="12"/>
      <c r="AV1076" s="12"/>
      <c r="AW1076" s="12"/>
      <c r="AX1076" s="12"/>
      <c r="AY1076" s="12"/>
      <c r="AZ1076" s="12"/>
      <c r="BA1076" s="12"/>
      <c r="BB1076" s="12"/>
      <c r="BC1076" s="12"/>
      <c r="BD1076" s="12"/>
      <c r="BF1076" s="106" t="str">
        <f t="shared" si="1"/>
        <v>#VALUE!</v>
      </c>
      <c r="BG1076" s="21">
        <f t="shared" si="2"/>
        <v>12</v>
      </c>
    </row>
    <row r="1077">
      <c r="P1077" s="161"/>
      <c r="AI1077" s="102"/>
      <c r="AO1077" s="12"/>
      <c r="AP1077" s="12"/>
      <c r="AQ1077" s="12"/>
      <c r="AR1077" s="12"/>
      <c r="AS1077" s="12"/>
      <c r="AT1077" s="12"/>
      <c r="AU1077" s="12"/>
      <c r="AV1077" s="12"/>
      <c r="AW1077" s="12"/>
      <c r="AX1077" s="12"/>
      <c r="AY1077" s="12"/>
      <c r="AZ1077" s="12"/>
      <c r="BA1077" s="12"/>
      <c r="BB1077" s="12"/>
      <c r="BC1077" s="12"/>
      <c r="BD1077" s="12"/>
      <c r="BF1077" s="106" t="str">
        <f t="shared" si="1"/>
        <v>#VALUE!</v>
      </c>
      <c r="BG1077" s="21">
        <f t="shared" si="2"/>
        <v>12</v>
      </c>
    </row>
    <row r="1078">
      <c r="P1078" s="161"/>
      <c r="AI1078" s="102"/>
      <c r="AO1078" s="12"/>
      <c r="AP1078" s="12"/>
      <c r="AQ1078" s="12"/>
      <c r="AR1078" s="12"/>
      <c r="AS1078" s="12"/>
      <c r="AT1078" s="12"/>
      <c r="AU1078" s="12"/>
      <c r="AV1078" s="12"/>
      <c r="AW1078" s="12"/>
      <c r="AX1078" s="12"/>
      <c r="AY1078" s="12"/>
      <c r="AZ1078" s="12"/>
      <c r="BA1078" s="12"/>
      <c r="BB1078" s="12"/>
      <c r="BC1078" s="12"/>
      <c r="BD1078" s="12"/>
      <c r="BF1078" s="106" t="str">
        <f t="shared" si="1"/>
        <v>#VALUE!</v>
      </c>
      <c r="BG1078" s="21">
        <f t="shared" si="2"/>
        <v>12</v>
      </c>
    </row>
    <row r="1079">
      <c r="P1079" s="161"/>
      <c r="AI1079" s="102"/>
      <c r="AO1079" s="12"/>
      <c r="AP1079" s="12"/>
      <c r="AQ1079" s="12"/>
      <c r="AR1079" s="12"/>
      <c r="AS1079" s="12"/>
      <c r="AT1079" s="12"/>
      <c r="AU1079" s="12"/>
      <c r="AV1079" s="12"/>
      <c r="AW1079" s="12"/>
      <c r="AX1079" s="12"/>
      <c r="AY1079" s="12"/>
      <c r="AZ1079" s="12"/>
      <c r="BA1079" s="12"/>
      <c r="BB1079" s="12"/>
      <c r="BC1079" s="12"/>
      <c r="BD1079" s="12"/>
      <c r="BF1079" s="106" t="str">
        <f t="shared" si="1"/>
        <v>#VALUE!</v>
      </c>
      <c r="BG1079" s="21">
        <f t="shared" si="2"/>
        <v>12</v>
      </c>
    </row>
    <row r="1080">
      <c r="P1080" s="161"/>
      <c r="AI1080" s="102"/>
      <c r="AO1080" s="12"/>
      <c r="AP1080" s="12"/>
      <c r="AQ1080" s="12"/>
      <c r="AR1080" s="12"/>
      <c r="AS1080" s="12"/>
      <c r="AT1080" s="12"/>
      <c r="AU1080" s="12"/>
      <c r="AV1080" s="12"/>
      <c r="AW1080" s="12"/>
      <c r="AX1080" s="12"/>
      <c r="AY1080" s="12"/>
      <c r="AZ1080" s="12"/>
      <c r="BA1080" s="12"/>
      <c r="BB1080" s="12"/>
      <c r="BC1080" s="12"/>
      <c r="BD1080" s="12"/>
      <c r="BF1080" s="106" t="str">
        <f t="shared" si="1"/>
        <v>#VALUE!</v>
      </c>
      <c r="BG1080" s="21">
        <f t="shared" si="2"/>
        <v>12</v>
      </c>
    </row>
    <row r="1081">
      <c r="P1081" s="161"/>
      <c r="AI1081" s="102"/>
      <c r="AO1081" s="12"/>
      <c r="AP1081" s="12"/>
      <c r="AQ1081" s="12"/>
      <c r="AR1081" s="12"/>
      <c r="AS1081" s="12"/>
      <c r="AT1081" s="12"/>
      <c r="AU1081" s="12"/>
      <c r="AV1081" s="12"/>
      <c r="AW1081" s="12"/>
      <c r="AX1081" s="12"/>
      <c r="AY1081" s="12"/>
      <c r="AZ1081" s="12"/>
      <c r="BA1081" s="12"/>
      <c r="BB1081" s="12"/>
      <c r="BC1081" s="12"/>
      <c r="BD1081" s="12"/>
      <c r="BF1081" s="106" t="str">
        <f t="shared" si="1"/>
        <v>#VALUE!</v>
      </c>
      <c r="BG1081" s="21">
        <f t="shared" si="2"/>
        <v>12</v>
      </c>
    </row>
    <row r="1082">
      <c r="P1082" s="161"/>
      <c r="AI1082" s="102"/>
      <c r="AO1082" s="12"/>
      <c r="AP1082" s="12"/>
      <c r="AQ1082" s="12"/>
      <c r="AR1082" s="12"/>
      <c r="AS1082" s="12"/>
      <c r="AT1082" s="12"/>
      <c r="AU1082" s="12"/>
      <c r="AV1082" s="12"/>
      <c r="AW1082" s="12"/>
      <c r="AX1082" s="12"/>
      <c r="AY1082" s="12"/>
      <c r="AZ1082" s="12"/>
      <c r="BA1082" s="12"/>
      <c r="BB1082" s="12"/>
      <c r="BC1082" s="12"/>
      <c r="BD1082" s="12"/>
      <c r="BF1082" s="106" t="str">
        <f t="shared" si="1"/>
        <v>#VALUE!</v>
      </c>
      <c r="BG1082" s="21">
        <f t="shared" si="2"/>
        <v>12</v>
      </c>
    </row>
    <row r="1083">
      <c r="P1083" s="161"/>
      <c r="AI1083" s="102"/>
      <c r="AO1083" s="12"/>
      <c r="AP1083" s="12"/>
      <c r="AQ1083" s="12"/>
      <c r="AR1083" s="12"/>
      <c r="AS1083" s="12"/>
      <c r="AT1083" s="12"/>
      <c r="AU1083" s="12"/>
      <c r="AV1083" s="12"/>
      <c r="AW1083" s="12"/>
      <c r="AX1083" s="12"/>
      <c r="AY1083" s="12"/>
      <c r="AZ1083" s="12"/>
      <c r="BA1083" s="12"/>
      <c r="BB1083" s="12"/>
      <c r="BC1083" s="12"/>
      <c r="BD1083" s="12"/>
      <c r="BF1083" s="106" t="str">
        <f t="shared" si="1"/>
        <v>#VALUE!</v>
      </c>
      <c r="BG1083" s="21">
        <f t="shared" si="2"/>
        <v>12</v>
      </c>
    </row>
    <row r="1084">
      <c r="P1084" s="161"/>
      <c r="AI1084" s="102"/>
      <c r="AO1084" s="12"/>
      <c r="AP1084" s="12"/>
      <c r="AQ1084" s="12"/>
      <c r="AR1084" s="12"/>
      <c r="AS1084" s="12"/>
      <c r="AT1084" s="12"/>
      <c r="AU1084" s="12"/>
      <c r="AV1084" s="12"/>
      <c r="AW1084" s="12"/>
      <c r="AX1084" s="12"/>
      <c r="AY1084" s="12"/>
      <c r="AZ1084" s="12"/>
      <c r="BA1084" s="12"/>
      <c r="BB1084" s="12"/>
      <c r="BC1084" s="12"/>
      <c r="BD1084" s="12"/>
      <c r="BF1084" s="106" t="str">
        <f t="shared" si="1"/>
        <v>#VALUE!</v>
      </c>
      <c r="BG1084" s="21">
        <f t="shared" si="2"/>
        <v>12</v>
      </c>
    </row>
    <row r="1085">
      <c r="P1085" s="161"/>
      <c r="AI1085" s="102"/>
      <c r="AO1085" s="12"/>
      <c r="AP1085" s="12"/>
      <c r="AQ1085" s="12"/>
      <c r="AR1085" s="12"/>
      <c r="AS1085" s="12"/>
      <c r="AT1085" s="12"/>
      <c r="AU1085" s="12"/>
      <c r="AV1085" s="12"/>
      <c r="AW1085" s="12"/>
      <c r="AX1085" s="12"/>
      <c r="AY1085" s="12"/>
      <c r="AZ1085" s="12"/>
      <c r="BA1085" s="12"/>
      <c r="BB1085" s="12"/>
      <c r="BC1085" s="12"/>
      <c r="BD1085" s="12"/>
      <c r="BF1085" s="106" t="str">
        <f t="shared" si="1"/>
        <v>#VALUE!</v>
      </c>
      <c r="BG1085" s="21">
        <f t="shared" si="2"/>
        <v>12</v>
      </c>
    </row>
    <row r="1086">
      <c r="P1086" s="161"/>
      <c r="AI1086" s="102"/>
      <c r="AO1086" s="12"/>
      <c r="AP1086" s="12"/>
      <c r="AQ1086" s="12"/>
      <c r="AR1086" s="12"/>
      <c r="AS1086" s="12"/>
      <c r="AT1086" s="12"/>
      <c r="AU1086" s="12"/>
      <c r="AV1086" s="12"/>
      <c r="AW1086" s="12"/>
      <c r="AX1086" s="12"/>
      <c r="AY1086" s="12"/>
      <c r="AZ1086" s="12"/>
      <c r="BA1086" s="12"/>
      <c r="BB1086" s="12"/>
      <c r="BC1086" s="12"/>
      <c r="BD1086" s="12"/>
      <c r="BF1086" s="106" t="str">
        <f t="shared" si="1"/>
        <v>#VALUE!</v>
      </c>
      <c r="BG1086" s="21">
        <f t="shared" si="2"/>
        <v>12</v>
      </c>
    </row>
    <row r="1087">
      <c r="P1087" s="161"/>
      <c r="AI1087" s="102"/>
      <c r="AO1087" s="12"/>
      <c r="AP1087" s="12"/>
      <c r="AQ1087" s="12"/>
      <c r="AR1087" s="12"/>
      <c r="AS1087" s="12"/>
      <c r="AT1087" s="12"/>
      <c r="AU1087" s="12"/>
      <c r="AV1087" s="12"/>
      <c r="AW1087" s="12"/>
      <c r="AX1087" s="12"/>
      <c r="AY1087" s="12"/>
      <c r="AZ1087" s="12"/>
      <c r="BA1087" s="12"/>
      <c r="BB1087" s="12"/>
      <c r="BC1087" s="12"/>
      <c r="BD1087" s="12"/>
      <c r="BF1087" s="106" t="str">
        <f t="shared" si="1"/>
        <v>#VALUE!</v>
      </c>
      <c r="BG1087" s="21">
        <f t="shared" si="2"/>
        <v>12</v>
      </c>
    </row>
    <row r="1088">
      <c r="P1088" s="161"/>
      <c r="AI1088" s="102"/>
      <c r="AO1088" s="12"/>
      <c r="AP1088" s="12"/>
      <c r="AQ1088" s="12"/>
      <c r="AR1088" s="12"/>
      <c r="AS1088" s="12"/>
      <c r="AT1088" s="12"/>
      <c r="AU1088" s="12"/>
      <c r="AV1088" s="12"/>
      <c r="AW1088" s="12"/>
      <c r="AX1088" s="12"/>
      <c r="AY1088" s="12"/>
      <c r="AZ1088" s="12"/>
      <c r="BA1088" s="12"/>
      <c r="BB1088" s="12"/>
      <c r="BC1088" s="12"/>
      <c r="BD1088" s="12"/>
      <c r="BF1088" s="106" t="str">
        <f t="shared" si="1"/>
        <v>#VALUE!</v>
      </c>
      <c r="BG1088" s="21">
        <f t="shared" si="2"/>
        <v>12</v>
      </c>
    </row>
    <row r="1089">
      <c r="P1089" s="161"/>
      <c r="AI1089" s="102"/>
      <c r="AO1089" s="12"/>
      <c r="AP1089" s="12"/>
      <c r="AQ1089" s="12"/>
      <c r="AR1089" s="12"/>
      <c r="AS1089" s="12"/>
      <c r="AT1089" s="12"/>
      <c r="AU1089" s="12"/>
      <c r="AV1089" s="12"/>
      <c r="AW1089" s="12"/>
      <c r="AX1089" s="12"/>
      <c r="AY1089" s="12"/>
      <c r="AZ1089" s="12"/>
      <c r="BA1089" s="12"/>
      <c r="BB1089" s="12"/>
      <c r="BC1089" s="12"/>
      <c r="BD1089" s="12"/>
      <c r="BF1089" s="106" t="str">
        <f t="shared" si="1"/>
        <v>#VALUE!</v>
      </c>
      <c r="BG1089" s="21">
        <f t="shared" si="2"/>
        <v>12</v>
      </c>
    </row>
    <row r="1090">
      <c r="P1090" s="161"/>
      <c r="AI1090" s="102"/>
      <c r="AO1090" s="12"/>
      <c r="AP1090" s="12"/>
      <c r="AQ1090" s="12"/>
      <c r="AR1090" s="12"/>
      <c r="AS1090" s="12"/>
      <c r="AT1090" s="12"/>
      <c r="AU1090" s="12"/>
      <c r="AV1090" s="12"/>
      <c r="AW1090" s="12"/>
      <c r="AX1090" s="12"/>
      <c r="AY1090" s="12"/>
      <c r="AZ1090" s="12"/>
      <c r="BA1090" s="12"/>
      <c r="BB1090" s="12"/>
      <c r="BC1090" s="12"/>
      <c r="BD1090" s="12"/>
      <c r="BF1090" s="106" t="str">
        <f t="shared" si="1"/>
        <v>#VALUE!</v>
      </c>
      <c r="BG1090" s="21">
        <f t="shared" si="2"/>
        <v>12</v>
      </c>
    </row>
    <row r="1091">
      <c r="P1091" s="161"/>
      <c r="AI1091" s="102"/>
      <c r="AO1091" s="12"/>
      <c r="AP1091" s="12"/>
      <c r="AQ1091" s="12"/>
      <c r="AR1091" s="12"/>
      <c r="AS1091" s="12"/>
      <c r="AT1091" s="12"/>
      <c r="AU1091" s="12"/>
      <c r="AV1091" s="12"/>
      <c r="AW1091" s="12"/>
      <c r="AX1091" s="12"/>
      <c r="AY1091" s="12"/>
      <c r="AZ1091" s="12"/>
      <c r="BA1091" s="12"/>
      <c r="BB1091" s="12"/>
      <c r="BC1091" s="12"/>
      <c r="BD1091" s="12"/>
      <c r="BF1091" s="106" t="str">
        <f t="shared" si="1"/>
        <v>#VALUE!</v>
      </c>
      <c r="BG1091" s="21">
        <f t="shared" si="2"/>
        <v>12</v>
      </c>
    </row>
    <row r="1092">
      <c r="P1092" s="161"/>
      <c r="AI1092" s="102"/>
      <c r="AO1092" s="12"/>
      <c r="AP1092" s="12"/>
      <c r="AQ1092" s="12"/>
      <c r="AR1092" s="12"/>
      <c r="AS1092" s="12"/>
      <c r="AT1092" s="12"/>
      <c r="AU1092" s="12"/>
      <c r="AV1092" s="12"/>
      <c r="AW1092" s="12"/>
      <c r="AX1092" s="12"/>
      <c r="AY1092" s="12"/>
      <c r="AZ1092" s="12"/>
      <c r="BA1092" s="12"/>
      <c r="BB1092" s="12"/>
      <c r="BC1092" s="12"/>
      <c r="BD1092" s="12"/>
      <c r="BF1092" s="106" t="str">
        <f t="shared" si="1"/>
        <v>#VALUE!</v>
      </c>
      <c r="BG1092" s="21">
        <f t="shared" si="2"/>
        <v>12</v>
      </c>
    </row>
    <row r="1093">
      <c r="P1093" s="161"/>
      <c r="AI1093" s="102"/>
      <c r="AO1093" s="12"/>
      <c r="AP1093" s="12"/>
      <c r="AQ1093" s="12"/>
      <c r="AR1093" s="12"/>
      <c r="AS1093" s="12"/>
      <c r="AT1093" s="12"/>
      <c r="AU1093" s="12"/>
      <c r="AV1093" s="12"/>
      <c r="AW1093" s="12"/>
      <c r="AX1093" s="12"/>
      <c r="AY1093" s="12"/>
      <c r="AZ1093" s="12"/>
      <c r="BA1093" s="12"/>
      <c r="BB1093" s="12"/>
      <c r="BC1093" s="12"/>
      <c r="BD1093" s="12"/>
      <c r="BF1093" s="106" t="str">
        <f t="shared" si="1"/>
        <v>#VALUE!</v>
      </c>
      <c r="BG1093" s="21">
        <f t="shared" si="2"/>
        <v>12</v>
      </c>
    </row>
    <row r="1094">
      <c r="P1094" s="161"/>
      <c r="AI1094" s="102"/>
      <c r="AO1094" s="12"/>
      <c r="AP1094" s="12"/>
      <c r="AQ1094" s="12"/>
      <c r="AR1094" s="12"/>
      <c r="AS1094" s="12"/>
      <c r="AT1094" s="12"/>
      <c r="AU1094" s="12"/>
      <c r="AV1094" s="12"/>
      <c r="AW1094" s="12"/>
      <c r="AX1094" s="12"/>
      <c r="AY1094" s="12"/>
      <c r="AZ1094" s="12"/>
      <c r="BA1094" s="12"/>
      <c r="BB1094" s="12"/>
      <c r="BC1094" s="12"/>
      <c r="BD1094" s="12"/>
      <c r="BF1094" s="106" t="str">
        <f t="shared" si="1"/>
        <v>#VALUE!</v>
      </c>
      <c r="BG1094" s="21">
        <f t="shared" si="2"/>
        <v>12</v>
      </c>
    </row>
    <row r="1095">
      <c r="P1095" s="161"/>
      <c r="AI1095" s="102"/>
      <c r="AO1095" s="12"/>
      <c r="AP1095" s="12"/>
      <c r="AQ1095" s="12"/>
      <c r="AR1095" s="12"/>
      <c r="AS1095" s="12"/>
      <c r="AT1095" s="12"/>
      <c r="AU1095" s="12"/>
      <c r="AV1095" s="12"/>
      <c r="AW1095" s="12"/>
      <c r="AX1095" s="12"/>
      <c r="AY1095" s="12"/>
      <c r="AZ1095" s="12"/>
      <c r="BA1095" s="12"/>
      <c r="BB1095" s="12"/>
      <c r="BC1095" s="12"/>
      <c r="BD1095" s="12"/>
      <c r="BF1095" s="106" t="str">
        <f t="shared" si="1"/>
        <v>#VALUE!</v>
      </c>
      <c r="BG1095" s="21">
        <f t="shared" si="2"/>
        <v>12</v>
      </c>
    </row>
    <row r="1096">
      <c r="P1096" s="161"/>
      <c r="AI1096" s="102"/>
      <c r="AO1096" s="12"/>
      <c r="AP1096" s="12"/>
      <c r="AQ1096" s="12"/>
      <c r="AR1096" s="12"/>
      <c r="AS1096" s="12"/>
      <c r="AT1096" s="12"/>
      <c r="AU1096" s="12"/>
      <c r="AV1096" s="12"/>
      <c r="AW1096" s="12"/>
      <c r="AX1096" s="12"/>
      <c r="AY1096" s="12"/>
      <c r="AZ1096" s="12"/>
      <c r="BA1096" s="12"/>
      <c r="BB1096" s="12"/>
      <c r="BC1096" s="12"/>
      <c r="BD1096" s="12"/>
      <c r="BF1096" s="106" t="str">
        <f t="shared" si="1"/>
        <v>#VALUE!</v>
      </c>
      <c r="BG1096" s="21">
        <f t="shared" si="2"/>
        <v>12</v>
      </c>
    </row>
    <row r="1097">
      <c r="P1097" s="161"/>
      <c r="AI1097" s="102"/>
      <c r="AO1097" s="12"/>
      <c r="AP1097" s="12"/>
      <c r="AQ1097" s="12"/>
      <c r="AR1097" s="12"/>
      <c r="AS1097" s="12"/>
      <c r="AT1097" s="12"/>
      <c r="AU1097" s="12"/>
      <c r="AV1097" s="12"/>
      <c r="AW1097" s="12"/>
      <c r="AX1097" s="12"/>
      <c r="AY1097" s="12"/>
      <c r="AZ1097" s="12"/>
      <c r="BA1097" s="12"/>
      <c r="BB1097" s="12"/>
      <c r="BC1097" s="12"/>
      <c r="BD1097" s="12"/>
      <c r="BF1097" s="106" t="str">
        <f t="shared" si="1"/>
        <v>#VALUE!</v>
      </c>
      <c r="BG1097" s="21">
        <f t="shared" si="2"/>
        <v>12</v>
      </c>
    </row>
    <row r="1098">
      <c r="P1098" s="161"/>
      <c r="AI1098" s="102"/>
      <c r="AO1098" s="12"/>
      <c r="AP1098" s="12"/>
      <c r="AQ1098" s="12"/>
      <c r="AR1098" s="12"/>
      <c r="AS1098" s="12"/>
      <c r="AT1098" s="12"/>
      <c r="AU1098" s="12"/>
      <c r="AV1098" s="12"/>
      <c r="AW1098" s="12"/>
      <c r="AX1098" s="12"/>
      <c r="AY1098" s="12"/>
      <c r="AZ1098" s="12"/>
      <c r="BA1098" s="12"/>
      <c r="BB1098" s="12"/>
      <c r="BC1098" s="12"/>
      <c r="BD1098" s="12"/>
      <c r="BF1098" s="106" t="str">
        <f t="shared" si="1"/>
        <v>#VALUE!</v>
      </c>
      <c r="BG1098" s="21">
        <f t="shared" si="2"/>
        <v>12</v>
      </c>
    </row>
    <row r="1099">
      <c r="P1099" s="161"/>
      <c r="AI1099" s="102"/>
      <c r="AO1099" s="12"/>
      <c r="AP1099" s="12"/>
      <c r="AQ1099" s="12"/>
      <c r="AR1099" s="12"/>
      <c r="AS1099" s="12"/>
      <c r="AT1099" s="12"/>
      <c r="AU1099" s="12"/>
      <c r="AV1099" s="12"/>
      <c r="AW1099" s="12"/>
      <c r="AX1099" s="12"/>
      <c r="AY1099" s="12"/>
      <c r="AZ1099" s="12"/>
      <c r="BA1099" s="12"/>
      <c r="BB1099" s="12"/>
      <c r="BC1099" s="12"/>
      <c r="BD1099" s="12"/>
      <c r="BF1099" s="106" t="str">
        <f t="shared" si="1"/>
        <v>#VALUE!</v>
      </c>
      <c r="BG1099" s="21">
        <f t="shared" si="2"/>
        <v>12</v>
      </c>
    </row>
    <row r="1100">
      <c r="P1100" s="161"/>
      <c r="AI1100" s="102"/>
      <c r="AO1100" s="12"/>
      <c r="AP1100" s="12"/>
      <c r="AQ1100" s="12"/>
      <c r="AR1100" s="12"/>
      <c r="AS1100" s="12"/>
      <c r="AT1100" s="12"/>
      <c r="AU1100" s="12"/>
      <c r="AV1100" s="12"/>
      <c r="AW1100" s="12"/>
      <c r="AX1100" s="12"/>
      <c r="AY1100" s="12"/>
      <c r="AZ1100" s="12"/>
      <c r="BA1100" s="12"/>
      <c r="BB1100" s="12"/>
      <c r="BC1100" s="12"/>
      <c r="BD1100" s="12"/>
      <c r="BF1100" s="106" t="str">
        <f t="shared" si="1"/>
        <v>#VALUE!</v>
      </c>
      <c r="BG1100" s="21">
        <f t="shared" si="2"/>
        <v>12</v>
      </c>
    </row>
    <row r="1101">
      <c r="P1101" s="161"/>
      <c r="AI1101" s="102"/>
      <c r="AO1101" s="12"/>
      <c r="AP1101" s="12"/>
      <c r="AQ1101" s="12"/>
      <c r="AR1101" s="12"/>
      <c r="AS1101" s="12"/>
      <c r="AT1101" s="12"/>
      <c r="AU1101" s="12"/>
      <c r="AV1101" s="12"/>
      <c r="AW1101" s="12"/>
      <c r="AX1101" s="12"/>
      <c r="AY1101" s="12"/>
      <c r="AZ1101" s="12"/>
      <c r="BA1101" s="12"/>
      <c r="BB1101" s="12"/>
      <c r="BC1101" s="12"/>
      <c r="BD1101" s="12"/>
      <c r="BF1101" s="106" t="str">
        <f t="shared" si="1"/>
        <v>#VALUE!</v>
      </c>
      <c r="BG1101" s="21">
        <f t="shared" si="2"/>
        <v>12</v>
      </c>
    </row>
    <row r="1102">
      <c r="P1102" s="161"/>
      <c r="AI1102" s="102"/>
      <c r="AO1102" s="12"/>
      <c r="AP1102" s="12"/>
      <c r="AQ1102" s="12"/>
      <c r="AR1102" s="12"/>
      <c r="AS1102" s="12"/>
      <c r="AT1102" s="12"/>
      <c r="AU1102" s="12"/>
      <c r="AV1102" s="12"/>
      <c r="AW1102" s="12"/>
      <c r="AX1102" s="12"/>
      <c r="AY1102" s="12"/>
      <c r="AZ1102" s="12"/>
      <c r="BA1102" s="12"/>
      <c r="BB1102" s="12"/>
      <c r="BC1102" s="12"/>
      <c r="BD1102" s="12"/>
      <c r="BF1102" s="106" t="str">
        <f t="shared" si="1"/>
        <v>#VALUE!</v>
      </c>
      <c r="BG1102" s="21">
        <f t="shared" si="2"/>
        <v>12</v>
      </c>
    </row>
    <row r="1103">
      <c r="P1103" s="161"/>
      <c r="AI1103" s="102"/>
      <c r="AO1103" s="12"/>
      <c r="AP1103" s="12"/>
      <c r="AQ1103" s="12"/>
      <c r="AR1103" s="12"/>
      <c r="AS1103" s="12"/>
      <c r="AT1103" s="12"/>
      <c r="AU1103" s="12"/>
      <c r="AV1103" s="12"/>
      <c r="AW1103" s="12"/>
      <c r="AX1103" s="12"/>
      <c r="AY1103" s="12"/>
      <c r="AZ1103" s="12"/>
      <c r="BA1103" s="12"/>
      <c r="BB1103" s="12"/>
      <c r="BC1103" s="12"/>
      <c r="BD1103" s="12"/>
      <c r="BF1103" s="106" t="str">
        <f t="shared" si="1"/>
        <v>#VALUE!</v>
      </c>
      <c r="BG1103" s="21">
        <f t="shared" si="2"/>
        <v>12</v>
      </c>
    </row>
    <row r="1104">
      <c r="P1104" s="161"/>
      <c r="AI1104" s="102"/>
      <c r="AO1104" s="12"/>
      <c r="AP1104" s="12"/>
      <c r="AQ1104" s="12"/>
      <c r="AR1104" s="12"/>
      <c r="AS1104" s="12"/>
      <c r="AT1104" s="12"/>
      <c r="AU1104" s="12"/>
      <c r="AV1104" s="12"/>
      <c r="AW1104" s="12"/>
      <c r="AX1104" s="12"/>
      <c r="AY1104" s="12"/>
      <c r="AZ1104" s="12"/>
      <c r="BA1104" s="12"/>
      <c r="BB1104" s="12"/>
      <c r="BC1104" s="12"/>
      <c r="BD1104" s="12"/>
      <c r="BF1104" s="106" t="str">
        <f t="shared" si="1"/>
        <v>#VALUE!</v>
      </c>
      <c r="BG1104" s="21">
        <f t="shared" si="2"/>
        <v>12</v>
      </c>
    </row>
    <row r="1105">
      <c r="P1105" s="161"/>
      <c r="AI1105" s="102"/>
      <c r="AO1105" s="12"/>
      <c r="AP1105" s="12"/>
      <c r="AQ1105" s="12"/>
      <c r="AR1105" s="12"/>
      <c r="AS1105" s="12"/>
      <c r="AT1105" s="12"/>
      <c r="AU1105" s="12"/>
      <c r="AV1105" s="12"/>
      <c r="AW1105" s="12"/>
      <c r="AX1105" s="12"/>
      <c r="AY1105" s="12"/>
      <c r="AZ1105" s="12"/>
      <c r="BA1105" s="12"/>
      <c r="BB1105" s="12"/>
      <c r="BC1105" s="12"/>
      <c r="BD1105" s="12"/>
      <c r="BF1105" s="106" t="str">
        <f t="shared" si="1"/>
        <v>#VALUE!</v>
      </c>
      <c r="BG1105" s="21">
        <f t="shared" si="2"/>
        <v>12</v>
      </c>
    </row>
    <row r="1106">
      <c r="P1106" s="161"/>
      <c r="AI1106" s="102"/>
      <c r="AO1106" s="12"/>
      <c r="AP1106" s="12"/>
      <c r="AQ1106" s="12"/>
      <c r="AR1106" s="12"/>
      <c r="AS1106" s="12"/>
      <c r="AT1106" s="12"/>
      <c r="AU1106" s="12"/>
      <c r="AV1106" s="12"/>
      <c r="AW1106" s="12"/>
      <c r="AX1106" s="12"/>
      <c r="AY1106" s="12"/>
      <c r="AZ1106" s="12"/>
      <c r="BA1106" s="12"/>
      <c r="BB1106" s="12"/>
      <c r="BC1106" s="12"/>
      <c r="BD1106" s="12"/>
      <c r="BF1106" s="106" t="str">
        <f t="shared" si="1"/>
        <v>#VALUE!</v>
      </c>
      <c r="BG1106" s="21">
        <f t="shared" si="2"/>
        <v>12</v>
      </c>
    </row>
    <row r="1107">
      <c r="P1107" s="161"/>
      <c r="AI1107" s="102"/>
      <c r="AO1107" s="12"/>
      <c r="AP1107" s="12"/>
      <c r="AQ1107" s="12"/>
      <c r="AR1107" s="12"/>
      <c r="AS1107" s="12"/>
      <c r="AT1107" s="12"/>
      <c r="AU1107" s="12"/>
      <c r="AV1107" s="12"/>
      <c r="AW1107" s="12"/>
      <c r="AX1107" s="12"/>
      <c r="AY1107" s="12"/>
      <c r="AZ1107" s="12"/>
      <c r="BA1107" s="12"/>
      <c r="BB1107" s="12"/>
      <c r="BC1107" s="12"/>
      <c r="BD1107" s="12"/>
      <c r="BF1107" s="106" t="str">
        <f t="shared" si="1"/>
        <v>#VALUE!</v>
      </c>
      <c r="BG1107" s="21">
        <f t="shared" si="2"/>
        <v>12</v>
      </c>
    </row>
    <row r="1108">
      <c r="P1108" s="161"/>
      <c r="AI1108" s="102"/>
      <c r="AO1108" s="12"/>
      <c r="AP1108" s="12"/>
      <c r="AQ1108" s="12"/>
      <c r="AR1108" s="12"/>
      <c r="AS1108" s="12"/>
      <c r="AT1108" s="12"/>
      <c r="AU1108" s="12"/>
      <c r="AV1108" s="12"/>
      <c r="AW1108" s="12"/>
      <c r="AX1108" s="12"/>
      <c r="AY1108" s="12"/>
      <c r="AZ1108" s="12"/>
      <c r="BA1108" s="12"/>
      <c r="BB1108" s="12"/>
      <c r="BC1108" s="12"/>
      <c r="BD1108" s="12"/>
      <c r="BF1108" s="106" t="str">
        <f t="shared" si="1"/>
        <v>#VALUE!</v>
      </c>
      <c r="BG1108" s="21">
        <f t="shared" si="2"/>
        <v>12</v>
      </c>
    </row>
    <row r="1109">
      <c r="P1109" s="161"/>
      <c r="AI1109" s="102"/>
      <c r="AO1109" s="12"/>
      <c r="AP1109" s="12"/>
      <c r="AQ1109" s="12"/>
      <c r="AR1109" s="12"/>
      <c r="AS1109" s="12"/>
      <c r="AT1109" s="12"/>
      <c r="AU1109" s="12"/>
      <c r="AV1109" s="12"/>
      <c r="AW1109" s="12"/>
      <c r="AX1109" s="12"/>
      <c r="AY1109" s="12"/>
      <c r="AZ1109" s="12"/>
      <c r="BA1109" s="12"/>
      <c r="BB1109" s="12"/>
      <c r="BC1109" s="12"/>
      <c r="BD1109" s="12"/>
      <c r="BF1109" s="106" t="str">
        <f t="shared" si="1"/>
        <v>#VALUE!</v>
      </c>
      <c r="BG1109" s="21">
        <f t="shared" si="2"/>
        <v>12</v>
      </c>
    </row>
    <row r="1110">
      <c r="P1110" s="161"/>
      <c r="AI1110" s="102"/>
      <c r="AO1110" s="12"/>
      <c r="AP1110" s="12"/>
      <c r="AQ1110" s="12"/>
      <c r="AR1110" s="12"/>
      <c r="AS1110" s="12"/>
      <c r="AT1110" s="12"/>
      <c r="AU1110" s="12"/>
      <c r="AV1110" s="12"/>
      <c r="AW1110" s="12"/>
      <c r="AX1110" s="12"/>
      <c r="AY1110" s="12"/>
      <c r="AZ1110" s="12"/>
      <c r="BA1110" s="12"/>
      <c r="BB1110" s="12"/>
      <c r="BC1110" s="12"/>
      <c r="BD1110" s="12"/>
      <c r="BF1110" s="106" t="str">
        <f t="shared" si="1"/>
        <v>#VALUE!</v>
      </c>
      <c r="BG1110" s="21">
        <f t="shared" si="2"/>
        <v>12</v>
      </c>
    </row>
    <row r="1111">
      <c r="P1111" s="161"/>
      <c r="AI1111" s="102"/>
      <c r="AO1111" s="12"/>
      <c r="AP1111" s="12"/>
      <c r="AQ1111" s="12"/>
      <c r="AR1111" s="12"/>
      <c r="AS1111" s="12"/>
      <c r="AT1111" s="12"/>
      <c r="AU1111" s="12"/>
      <c r="AV1111" s="12"/>
      <c r="AW1111" s="12"/>
      <c r="AX1111" s="12"/>
      <c r="AY1111" s="12"/>
      <c r="AZ1111" s="12"/>
      <c r="BA1111" s="12"/>
      <c r="BB1111" s="12"/>
      <c r="BC1111" s="12"/>
      <c r="BD1111" s="12"/>
      <c r="BF1111" s="106" t="str">
        <f t="shared" si="1"/>
        <v>#VALUE!</v>
      </c>
      <c r="BG1111" s="21">
        <f t="shared" si="2"/>
        <v>12</v>
      </c>
    </row>
    <row r="1112">
      <c r="P1112" s="161"/>
      <c r="AI1112" s="102"/>
      <c r="AO1112" s="12"/>
      <c r="AP1112" s="12"/>
      <c r="AQ1112" s="12"/>
      <c r="AR1112" s="12"/>
      <c r="AS1112" s="12"/>
      <c r="AT1112" s="12"/>
      <c r="AU1112" s="12"/>
      <c r="AV1112" s="12"/>
      <c r="AW1112" s="12"/>
      <c r="AX1112" s="12"/>
      <c r="AY1112" s="12"/>
      <c r="AZ1112" s="12"/>
      <c r="BA1112" s="12"/>
      <c r="BB1112" s="12"/>
      <c r="BC1112" s="12"/>
      <c r="BD1112" s="12"/>
      <c r="BF1112" s="106" t="str">
        <f t="shared" si="1"/>
        <v>#VALUE!</v>
      </c>
      <c r="BG1112" s="21">
        <f t="shared" si="2"/>
        <v>12</v>
      </c>
    </row>
    <row r="1113">
      <c r="P1113" s="161"/>
      <c r="AI1113" s="102"/>
      <c r="AO1113" s="12"/>
      <c r="AP1113" s="12"/>
      <c r="AQ1113" s="12"/>
      <c r="AR1113" s="12"/>
      <c r="AS1113" s="12"/>
      <c r="AT1113" s="12"/>
      <c r="AU1113" s="12"/>
      <c r="AV1113" s="12"/>
      <c r="AW1113" s="12"/>
      <c r="AX1113" s="12"/>
      <c r="AY1113" s="12"/>
      <c r="AZ1113" s="12"/>
      <c r="BA1113" s="12"/>
      <c r="BB1113" s="12"/>
      <c r="BC1113" s="12"/>
      <c r="BD1113" s="12"/>
      <c r="BF1113" s="106" t="str">
        <f t="shared" si="1"/>
        <v>#VALUE!</v>
      </c>
      <c r="BG1113" s="21">
        <f t="shared" si="2"/>
        <v>12</v>
      </c>
    </row>
    <row r="1114">
      <c r="P1114" s="161"/>
      <c r="AI1114" s="102"/>
      <c r="AO1114" s="12"/>
      <c r="AP1114" s="12"/>
      <c r="AQ1114" s="12"/>
      <c r="AR1114" s="12"/>
      <c r="AS1114" s="12"/>
      <c r="AT1114" s="12"/>
      <c r="AU1114" s="12"/>
      <c r="AV1114" s="12"/>
      <c r="AW1114" s="12"/>
      <c r="AX1114" s="12"/>
      <c r="AY1114" s="12"/>
      <c r="AZ1114" s="12"/>
      <c r="BA1114" s="12"/>
      <c r="BB1114" s="12"/>
      <c r="BC1114" s="12"/>
      <c r="BD1114" s="12"/>
      <c r="BF1114" s="106" t="str">
        <f t="shared" si="1"/>
        <v>#VALUE!</v>
      </c>
      <c r="BG1114" s="21">
        <f t="shared" si="2"/>
        <v>12</v>
      </c>
    </row>
    <row r="1115">
      <c r="P1115" s="161"/>
      <c r="AI1115" s="102"/>
      <c r="AO1115" s="12"/>
      <c r="AP1115" s="12"/>
      <c r="AQ1115" s="12"/>
      <c r="AR1115" s="12"/>
      <c r="AS1115" s="12"/>
      <c r="AT1115" s="12"/>
      <c r="AU1115" s="12"/>
      <c r="AV1115" s="12"/>
      <c r="AW1115" s="12"/>
      <c r="AX1115" s="12"/>
      <c r="AY1115" s="12"/>
      <c r="AZ1115" s="12"/>
      <c r="BA1115" s="12"/>
      <c r="BB1115" s="12"/>
      <c r="BC1115" s="12"/>
      <c r="BD1115" s="12"/>
      <c r="BF1115" s="106" t="str">
        <f t="shared" si="1"/>
        <v>#VALUE!</v>
      </c>
      <c r="BG1115" s="21">
        <f t="shared" si="2"/>
        <v>12</v>
      </c>
    </row>
    <row r="1116">
      <c r="P1116" s="161"/>
      <c r="AI1116" s="102"/>
      <c r="AO1116" s="12"/>
      <c r="AP1116" s="12"/>
      <c r="AQ1116" s="12"/>
      <c r="AR1116" s="12"/>
      <c r="AS1116" s="12"/>
      <c r="AT1116" s="12"/>
      <c r="AU1116" s="12"/>
      <c r="AV1116" s="12"/>
      <c r="AW1116" s="12"/>
      <c r="AX1116" s="12"/>
      <c r="AY1116" s="12"/>
      <c r="AZ1116" s="12"/>
      <c r="BA1116" s="12"/>
      <c r="BB1116" s="12"/>
      <c r="BC1116" s="12"/>
      <c r="BD1116" s="12"/>
      <c r="BF1116" s="106" t="str">
        <f t="shared" si="1"/>
        <v>#VALUE!</v>
      </c>
      <c r="BG1116" s="21">
        <f t="shared" si="2"/>
        <v>12</v>
      </c>
    </row>
    <row r="1117">
      <c r="P1117" s="161"/>
      <c r="AI1117" s="102"/>
      <c r="AO1117" s="12"/>
      <c r="AP1117" s="12"/>
      <c r="AQ1117" s="12"/>
      <c r="AR1117" s="12"/>
      <c r="AS1117" s="12"/>
      <c r="AT1117" s="12"/>
      <c r="AU1117" s="12"/>
      <c r="AV1117" s="12"/>
      <c r="AW1117" s="12"/>
      <c r="AX1117" s="12"/>
      <c r="AY1117" s="12"/>
      <c r="AZ1117" s="12"/>
      <c r="BA1117" s="12"/>
      <c r="BB1117" s="12"/>
      <c r="BC1117" s="12"/>
      <c r="BD1117" s="12"/>
      <c r="BF1117" s="106" t="str">
        <f t="shared" si="1"/>
        <v>#VALUE!</v>
      </c>
      <c r="BG1117" s="21">
        <f t="shared" si="2"/>
        <v>12</v>
      </c>
    </row>
    <row r="1118">
      <c r="P1118" s="161"/>
      <c r="AI1118" s="102"/>
      <c r="AO1118" s="12"/>
      <c r="AP1118" s="12"/>
      <c r="AQ1118" s="12"/>
      <c r="AR1118" s="12"/>
      <c r="AS1118" s="12"/>
      <c r="AT1118" s="12"/>
      <c r="AU1118" s="12"/>
      <c r="AV1118" s="12"/>
      <c r="AW1118" s="12"/>
      <c r="AX1118" s="12"/>
      <c r="AY1118" s="12"/>
      <c r="AZ1118" s="12"/>
      <c r="BA1118" s="12"/>
      <c r="BB1118" s="12"/>
      <c r="BC1118" s="12"/>
      <c r="BD1118" s="12"/>
      <c r="BF1118" s="106" t="str">
        <f t="shared" si="1"/>
        <v>#VALUE!</v>
      </c>
      <c r="BG1118" s="21">
        <f t="shared" si="2"/>
        <v>12</v>
      </c>
    </row>
    <row r="1119">
      <c r="P1119" s="161"/>
      <c r="AI1119" s="102"/>
      <c r="AO1119" s="12"/>
      <c r="AP1119" s="12"/>
      <c r="AQ1119" s="12"/>
      <c r="AR1119" s="12"/>
      <c r="AS1119" s="12"/>
      <c r="AT1119" s="12"/>
      <c r="AU1119" s="12"/>
      <c r="AV1119" s="12"/>
      <c r="AW1119" s="12"/>
      <c r="AX1119" s="12"/>
      <c r="AY1119" s="12"/>
      <c r="AZ1119" s="12"/>
      <c r="BA1119" s="12"/>
      <c r="BB1119" s="12"/>
      <c r="BC1119" s="12"/>
      <c r="BD1119" s="12"/>
      <c r="BF1119" s="106" t="str">
        <f t="shared" si="1"/>
        <v>#VALUE!</v>
      </c>
      <c r="BG1119" s="21">
        <f t="shared" si="2"/>
        <v>12</v>
      </c>
    </row>
    <row r="1120">
      <c r="P1120" s="161"/>
      <c r="AI1120" s="102"/>
      <c r="AO1120" s="12"/>
      <c r="AP1120" s="12"/>
      <c r="AQ1120" s="12"/>
      <c r="AR1120" s="12"/>
      <c r="AS1120" s="12"/>
      <c r="AT1120" s="12"/>
      <c r="AU1120" s="12"/>
      <c r="AV1120" s="12"/>
      <c r="AW1120" s="12"/>
      <c r="AX1120" s="12"/>
      <c r="AY1120" s="12"/>
      <c r="AZ1120" s="12"/>
      <c r="BA1120" s="12"/>
      <c r="BB1120" s="12"/>
      <c r="BC1120" s="12"/>
      <c r="BD1120" s="12"/>
      <c r="BF1120" s="106" t="str">
        <f t="shared" si="1"/>
        <v>#VALUE!</v>
      </c>
      <c r="BG1120" s="21">
        <f t="shared" si="2"/>
        <v>12</v>
      </c>
    </row>
    <row r="1121">
      <c r="P1121" s="161"/>
      <c r="AI1121" s="102"/>
      <c r="AO1121" s="12"/>
      <c r="AP1121" s="12"/>
      <c r="AQ1121" s="12"/>
      <c r="AR1121" s="12"/>
      <c r="AS1121" s="12"/>
      <c r="AT1121" s="12"/>
      <c r="AU1121" s="12"/>
      <c r="AV1121" s="12"/>
      <c r="AW1121" s="12"/>
      <c r="AX1121" s="12"/>
      <c r="AY1121" s="12"/>
      <c r="AZ1121" s="12"/>
      <c r="BA1121" s="12"/>
      <c r="BB1121" s="12"/>
      <c r="BC1121" s="12"/>
      <c r="BD1121" s="12"/>
      <c r="BF1121" s="106" t="str">
        <f t="shared" si="1"/>
        <v>#VALUE!</v>
      </c>
      <c r="BG1121" s="21">
        <f t="shared" si="2"/>
        <v>12</v>
      </c>
    </row>
    <row r="1122">
      <c r="P1122" s="161"/>
      <c r="AI1122" s="102"/>
      <c r="AO1122" s="12"/>
      <c r="AP1122" s="12"/>
      <c r="AQ1122" s="12"/>
      <c r="AR1122" s="12"/>
      <c r="AS1122" s="12"/>
      <c r="AT1122" s="12"/>
      <c r="AU1122" s="12"/>
      <c r="AV1122" s="12"/>
      <c r="AW1122" s="12"/>
      <c r="AX1122" s="12"/>
      <c r="AY1122" s="12"/>
      <c r="AZ1122" s="12"/>
      <c r="BA1122" s="12"/>
      <c r="BB1122" s="12"/>
      <c r="BC1122" s="12"/>
      <c r="BD1122" s="12"/>
      <c r="BF1122" s="106" t="str">
        <f t="shared" si="1"/>
        <v>#VALUE!</v>
      </c>
      <c r="BG1122" s="21">
        <f t="shared" si="2"/>
        <v>12</v>
      </c>
    </row>
    <row r="1123">
      <c r="P1123" s="161"/>
      <c r="AI1123" s="102"/>
      <c r="AO1123" s="12"/>
      <c r="AP1123" s="12"/>
      <c r="AQ1123" s="12"/>
      <c r="AR1123" s="12"/>
      <c r="AS1123" s="12"/>
      <c r="AT1123" s="12"/>
      <c r="AU1123" s="12"/>
      <c r="AV1123" s="12"/>
      <c r="AW1123" s="12"/>
      <c r="AX1123" s="12"/>
      <c r="AY1123" s="12"/>
      <c r="AZ1123" s="12"/>
      <c r="BA1123" s="12"/>
      <c r="BB1123" s="12"/>
      <c r="BC1123" s="12"/>
      <c r="BD1123" s="12"/>
      <c r="BF1123" s="106" t="str">
        <f t="shared" si="1"/>
        <v>#VALUE!</v>
      </c>
      <c r="BG1123" s="21">
        <f t="shared" si="2"/>
        <v>12</v>
      </c>
    </row>
    <row r="1124">
      <c r="P1124" s="161"/>
      <c r="AI1124" s="102"/>
      <c r="AO1124" s="12"/>
      <c r="AP1124" s="12"/>
      <c r="AQ1124" s="12"/>
      <c r="AR1124" s="12"/>
      <c r="AS1124" s="12"/>
      <c r="AT1124" s="12"/>
      <c r="AU1124" s="12"/>
      <c r="AV1124" s="12"/>
      <c r="AW1124" s="12"/>
      <c r="AX1124" s="12"/>
      <c r="AY1124" s="12"/>
      <c r="AZ1124" s="12"/>
      <c r="BA1124" s="12"/>
      <c r="BB1124" s="12"/>
      <c r="BC1124" s="12"/>
      <c r="BD1124" s="12"/>
      <c r="BF1124" s="106" t="str">
        <f t="shared" si="1"/>
        <v>#VALUE!</v>
      </c>
      <c r="BG1124" s="21">
        <f t="shared" si="2"/>
        <v>12</v>
      </c>
    </row>
    <row r="1125">
      <c r="P1125" s="161"/>
      <c r="AI1125" s="102"/>
      <c r="AO1125" s="12"/>
      <c r="AP1125" s="12"/>
      <c r="AQ1125" s="12"/>
      <c r="AR1125" s="12"/>
      <c r="AS1125" s="12"/>
      <c r="AT1125" s="12"/>
      <c r="AU1125" s="12"/>
      <c r="AV1125" s="12"/>
      <c r="AW1125" s="12"/>
      <c r="AX1125" s="12"/>
      <c r="AY1125" s="12"/>
      <c r="AZ1125" s="12"/>
      <c r="BA1125" s="12"/>
      <c r="BB1125" s="12"/>
      <c r="BC1125" s="12"/>
      <c r="BD1125" s="12"/>
      <c r="BF1125" s="106" t="str">
        <f t="shared" si="1"/>
        <v>#VALUE!</v>
      </c>
      <c r="BG1125" s="21">
        <f t="shared" si="2"/>
        <v>12</v>
      </c>
    </row>
    <row r="1126">
      <c r="P1126" s="161"/>
      <c r="AI1126" s="102"/>
      <c r="AO1126" s="12"/>
      <c r="AP1126" s="12"/>
      <c r="AQ1126" s="12"/>
      <c r="AR1126" s="12"/>
      <c r="AS1126" s="12"/>
      <c r="AT1126" s="12"/>
      <c r="AU1126" s="12"/>
      <c r="AV1126" s="12"/>
      <c r="AW1126" s="12"/>
      <c r="AX1126" s="12"/>
      <c r="AY1126" s="12"/>
      <c r="AZ1126" s="12"/>
      <c r="BA1126" s="12"/>
      <c r="BB1126" s="12"/>
      <c r="BC1126" s="12"/>
      <c r="BD1126" s="12"/>
      <c r="BF1126" s="106" t="str">
        <f t="shared" si="1"/>
        <v>#VALUE!</v>
      </c>
      <c r="BG1126" s="21">
        <f t="shared" si="2"/>
        <v>12</v>
      </c>
    </row>
    <row r="1127">
      <c r="P1127" s="161"/>
      <c r="AI1127" s="102"/>
      <c r="AO1127" s="12"/>
      <c r="AP1127" s="12"/>
      <c r="AQ1127" s="12"/>
      <c r="AR1127" s="12"/>
      <c r="AS1127" s="12"/>
      <c r="AT1127" s="12"/>
      <c r="AU1127" s="12"/>
      <c r="AV1127" s="12"/>
      <c r="AW1127" s="12"/>
      <c r="AX1127" s="12"/>
      <c r="AY1127" s="12"/>
      <c r="AZ1127" s="12"/>
      <c r="BA1127" s="12"/>
      <c r="BB1127" s="12"/>
      <c r="BC1127" s="12"/>
      <c r="BD1127" s="12"/>
      <c r="BF1127" s="106" t="str">
        <f t="shared" si="1"/>
        <v>#VALUE!</v>
      </c>
      <c r="BG1127" s="21">
        <f t="shared" si="2"/>
        <v>12</v>
      </c>
    </row>
    <row r="1128">
      <c r="P1128" s="161"/>
      <c r="AI1128" s="102"/>
      <c r="AO1128" s="12"/>
      <c r="AP1128" s="12"/>
      <c r="AQ1128" s="12"/>
      <c r="AR1128" s="12"/>
      <c r="AS1128" s="12"/>
      <c r="AT1128" s="12"/>
      <c r="AU1128" s="12"/>
      <c r="AV1128" s="12"/>
      <c r="AW1128" s="12"/>
      <c r="AX1128" s="12"/>
      <c r="AY1128" s="12"/>
      <c r="AZ1128" s="12"/>
      <c r="BA1128" s="12"/>
      <c r="BB1128" s="12"/>
      <c r="BC1128" s="12"/>
      <c r="BD1128" s="12"/>
      <c r="BF1128" s="106" t="str">
        <f t="shared" si="1"/>
        <v>#VALUE!</v>
      </c>
      <c r="BG1128" s="21">
        <f t="shared" si="2"/>
        <v>12</v>
      </c>
    </row>
    <row r="1129">
      <c r="P1129" s="161"/>
      <c r="AI1129" s="102"/>
      <c r="AO1129" s="12"/>
      <c r="AP1129" s="12"/>
      <c r="AQ1129" s="12"/>
      <c r="AR1129" s="12"/>
      <c r="AS1129" s="12"/>
      <c r="AT1129" s="12"/>
      <c r="AU1129" s="12"/>
      <c r="AV1129" s="12"/>
      <c r="AW1129" s="12"/>
      <c r="AX1129" s="12"/>
      <c r="AY1129" s="12"/>
      <c r="AZ1129" s="12"/>
      <c r="BA1129" s="12"/>
      <c r="BB1129" s="12"/>
      <c r="BC1129" s="12"/>
      <c r="BD1129" s="12"/>
      <c r="BF1129" s="106" t="str">
        <f t="shared" si="1"/>
        <v>#VALUE!</v>
      </c>
      <c r="BG1129" s="21">
        <f t="shared" si="2"/>
        <v>12</v>
      </c>
    </row>
    <row r="1130">
      <c r="P1130" s="161"/>
      <c r="AI1130" s="102"/>
      <c r="AO1130" s="12"/>
      <c r="AP1130" s="12"/>
      <c r="AQ1130" s="12"/>
      <c r="AR1130" s="12"/>
      <c r="AS1130" s="12"/>
      <c r="AT1130" s="12"/>
      <c r="AU1130" s="12"/>
      <c r="AV1130" s="12"/>
      <c r="AW1130" s="12"/>
      <c r="AX1130" s="12"/>
      <c r="AY1130" s="12"/>
      <c r="AZ1130" s="12"/>
      <c r="BA1130" s="12"/>
      <c r="BB1130" s="12"/>
      <c r="BC1130" s="12"/>
      <c r="BD1130" s="12"/>
      <c r="BF1130" s="106" t="str">
        <f t="shared" si="1"/>
        <v>#VALUE!</v>
      </c>
      <c r="BG1130" s="21">
        <f t="shared" si="2"/>
        <v>12</v>
      </c>
    </row>
    <row r="1131">
      <c r="P1131" s="161"/>
      <c r="AI1131" s="102"/>
      <c r="AO1131" s="12"/>
      <c r="AP1131" s="12"/>
      <c r="AQ1131" s="12"/>
      <c r="AR1131" s="12"/>
      <c r="AS1131" s="12"/>
      <c r="AT1131" s="12"/>
      <c r="AU1131" s="12"/>
      <c r="AV1131" s="12"/>
      <c r="AW1131" s="12"/>
      <c r="AX1131" s="12"/>
      <c r="AY1131" s="12"/>
      <c r="AZ1131" s="12"/>
      <c r="BA1131" s="12"/>
      <c r="BB1131" s="12"/>
      <c r="BC1131" s="12"/>
      <c r="BD1131" s="12"/>
      <c r="BF1131" s="106" t="str">
        <f t="shared" si="1"/>
        <v>#VALUE!</v>
      </c>
      <c r="BG1131" s="21">
        <f t="shared" si="2"/>
        <v>12</v>
      </c>
    </row>
    <row r="1132">
      <c r="P1132" s="161"/>
      <c r="AI1132" s="102"/>
      <c r="AO1132" s="12"/>
      <c r="AP1132" s="12"/>
      <c r="AQ1132" s="12"/>
      <c r="AR1132" s="12"/>
      <c r="AS1132" s="12"/>
      <c r="AT1132" s="12"/>
      <c r="AU1132" s="12"/>
      <c r="AV1132" s="12"/>
      <c r="AW1132" s="12"/>
      <c r="AX1132" s="12"/>
      <c r="AY1132" s="12"/>
      <c r="AZ1132" s="12"/>
      <c r="BA1132" s="12"/>
      <c r="BB1132" s="12"/>
      <c r="BC1132" s="12"/>
      <c r="BD1132" s="12"/>
      <c r="BF1132" s="106" t="str">
        <f t="shared" si="1"/>
        <v>#VALUE!</v>
      </c>
      <c r="BG1132" s="21">
        <f t="shared" si="2"/>
        <v>12</v>
      </c>
    </row>
    <row r="1133">
      <c r="P1133" s="161"/>
      <c r="AI1133" s="102"/>
      <c r="AO1133" s="12"/>
      <c r="AP1133" s="12"/>
      <c r="AQ1133" s="12"/>
      <c r="AR1133" s="12"/>
      <c r="AS1133" s="12"/>
      <c r="AT1133" s="12"/>
      <c r="AU1133" s="12"/>
      <c r="AV1133" s="12"/>
      <c r="AW1133" s="12"/>
      <c r="AX1133" s="12"/>
      <c r="AY1133" s="12"/>
      <c r="AZ1133" s="12"/>
      <c r="BA1133" s="12"/>
      <c r="BB1133" s="12"/>
      <c r="BC1133" s="12"/>
      <c r="BD1133" s="12"/>
      <c r="BF1133" s="106" t="str">
        <f t="shared" si="1"/>
        <v>#VALUE!</v>
      </c>
      <c r="BG1133" s="21">
        <f t="shared" si="2"/>
        <v>12</v>
      </c>
    </row>
    <row r="1134">
      <c r="P1134" s="161"/>
      <c r="AI1134" s="102"/>
      <c r="AO1134" s="12"/>
      <c r="AP1134" s="12"/>
      <c r="AQ1134" s="12"/>
      <c r="AR1134" s="12"/>
      <c r="AS1134" s="12"/>
      <c r="AT1134" s="12"/>
      <c r="AU1134" s="12"/>
      <c r="AV1134" s="12"/>
      <c r="AW1134" s="12"/>
      <c r="AX1134" s="12"/>
      <c r="AY1134" s="12"/>
      <c r="AZ1134" s="12"/>
      <c r="BA1134" s="12"/>
      <c r="BB1134" s="12"/>
      <c r="BC1134" s="12"/>
      <c r="BD1134" s="12"/>
      <c r="BF1134" s="106" t="str">
        <f t="shared" si="1"/>
        <v>#VALUE!</v>
      </c>
      <c r="BG1134" s="21">
        <f t="shared" si="2"/>
        <v>12</v>
      </c>
    </row>
    <row r="1135">
      <c r="P1135" s="161"/>
      <c r="AI1135" s="102"/>
      <c r="AO1135" s="12"/>
      <c r="AP1135" s="12"/>
      <c r="AQ1135" s="12"/>
      <c r="AR1135" s="12"/>
      <c r="AS1135" s="12"/>
      <c r="AT1135" s="12"/>
      <c r="AU1135" s="12"/>
      <c r="AV1135" s="12"/>
      <c r="AW1135" s="12"/>
      <c r="AX1135" s="12"/>
      <c r="AY1135" s="12"/>
      <c r="AZ1135" s="12"/>
      <c r="BA1135" s="12"/>
      <c r="BB1135" s="12"/>
      <c r="BC1135" s="12"/>
      <c r="BD1135" s="12"/>
      <c r="BF1135" s="106" t="str">
        <f t="shared" si="1"/>
        <v>#VALUE!</v>
      </c>
      <c r="BG1135" s="21">
        <f t="shared" si="2"/>
        <v>12</v>
      </c>
    </row>
    <row r="1136">
      <c r="P1136" s="161"/>
      <c r="AI1136" s="102"/>
      <c r="AO1136" s="12"/>
      <c r="AP1136" s="12"/>
      <c r="AQ1136" s="12"/>
      <c r="AR1136" s="12"/>
      <c r="AS1136" s="12"/>
      <c r="AT1136" s="12"/>
      <c r="AU1136" s="12"/>
      <c r="AV1136" s="12"/>
      <c r="AW1136" s="12"/>
      <c r="AX1136" s="12"/>
      <c r="AY1136" s="12"/>
      <c r="AZ1136" s="12"/>
      <c r="BA1136" s="12"/>
      <c r="BB1136" s="12"/>
      <c r="BC1136" s="12"/>
      <c r="BD1136" s="12"/>
      <c r="BF1136" s="106" t="str">
        <f t="shared" si="1"/>
        <v>#VALUE!</v>
      </c>
      <c r="BG1136" s="21">
        <f t="shared" si="2"/>
        <v>12</v>
      </c>
    </row>
    <row r="1137">
      <c r="P1137" s="161"/>
      <c r="AI1137" s="102"/>
      <c r="AO1137" s="12"/>
      <c r="AP1137" s="12"/>
      <c r="AQ1137" s="12"/>
      <c r="AR1137" s="12"/>
      <c r="AS1137" s="12"/>
      <c r="AT1137" s="12"/>
      <c r="AU1137" s="12"/>
      <c r="AV1137" s="12"/>
      <c r="AW1137" s="12"/>
      <c r="AX1137" s="12"/>
      <c r="AY1137" s="12"/>
      <c r="AZ1137" s="12"/>
      <c r="BA1137" s="12"/>
      <c r="BB1137" s="12"/>
      <c r="BC1137" s="12"/>
      <c r="BD1137" s="12"/>
      <c r="BF1137" s="106" t="str">
        <f t="shared" si="1"/>
        <v>#VALUE!</v>
      </c>
      <c r="BG1137" s="21">
        <f t="shared" si="2"/>
        <v>12</v>
      </c>
    </row>
    <row r="1138">
      <c r="P1138" s="161"/>
      <c r="AI1138" s="102"/>
      <c r="AO1138" s="12"/>
      <c r="AP1138" s="12"/>
      <c r="AQ1138" s="12"/>
      <c r="AR1138" s="12"/>
      <c r="AS1138" s="12"/>
      <c r="AT1138" s="12"/>
      <c r="AU1138" s="12"/>
      <c r="AV1138" s="12"/>
      <c r="AW1138" s="12"/>
      <c r="AX1138" s="12"/>
      <c r="AY1138" s="12"/>
      <c r="AZ1138" s="12"/>
      <c r="BA1138" s="12"/>
      <c r="BB1138" s="12"/>
      <c r="BC1138" s="12"/>
      <c r="BD1138" s="12"/>
      <c r="BF1138" s="106" t="str">
        <f t="shared" si="1"/>
        <v>#VALUE!</v>
      </c>
      <c r="BG1138" s="21">
        <f t="shared" si="2"/>
        <v>12</v>
      </c>
    </row>
    <row r="1139">
      <c r="P1139" s="161"/>
      <c r="AI1139" s="102"/>
      <c r="AO1139" s="12"/>
      <c r="AP1139" s="12"/>
      <c r="AQ1139" s="12"/>
      <c r="AR1139" s="12"/>
      <c r="AS1139" s="12"/>
      <c r="AT1139" s="12"/>
      <c r="AU1139" s="12"/>
      <c r="AV1139" s="12"/>
      <c r="AW1139" s="12"/>
      <c r="AX1139" s="12"/>
      <c r="AY1139" s="12"/>
      <c r="AZ1139" s="12"/>
      <c r="BA1139" s="12"/>
      <c r="BB1139" s="12"/>
      <c r="BC1139" s="12"/>
      <c r="BD1139" s="12"/>
      <c r="BF1139" s="106" t="str">
        <f t="shared" si="1"/>
        <v>#VALUE!</v>
      </c>
      <c r="BG1139" s="21">
        <f t="shared" si="2"/>
        <v>12</v>
      </c>
    </row>
    <row r="1140">
      <c r="P1140" s="161"/>
      <c r="AI1140" s="102"/>
      <c r="AO1140" s="12"/>
      <c r="AP1140" s="12"/>
      <c r="AQ1140" s="12"/>
      <c r="AR1140" s="12"/>
      <c r="AS1140" s="12"/>
      <c r="AT1140" s="12"/>
      <c r="AU1140" s="12"/>
      <c r="AV1140" s="12"/>
      <c r="AW1140" s="12"/>
      <c r="AX1140" s="12"/>
      <c r="AY1140" s="12"/>
      <c r="AZ1140" s="12"/>
      <c r="BA1140" s="12"/>
      <c r="BB1140" s="12"/>
      <c r="BC1140" s="12"/>
      <c r="BD1140" s="12"/>
      <c r="BF1140" s="106" t="str">
        <f t="shared" si="1"/>
        <v>#VALUE!</v>
      </c>
      <c r="BG1140" s="21">
        <f t="shared" si="2"/>
        <v>12</v>
      </c>
    </row>
    <row r="1141">
      <c r="P1141" s="161"/>
      <c r="AI1141" s="102"/>
      <c r="AO1141" s="12"/>
      <c r="AP1141" s="12"/>
      <c r="AQ1141" s="12"/>
      <c r="AR1141" s="12"/>
      <c r="AS1141" s="12"/>
      <c r="AT1141" s="12"/>
      <c r="AU1141" s="12"/>
      <c r="AV1141" s="12"/>
      <c r="AW1141" s="12"/>
      <c r="AX1141" s="12"/>
      <c r="AY1141" s="12"/>
      <c r="AZ1141" s="12"/>
      <c r="BA1141" s="12"/>
      <c r="BB1141" s="12"/>
      <c r="BC1141" s="12"/>
      <c r="BD1141" s="12"/>
      <c r="BF1141" s="106" t="str">
        <f t="shared" si="1"/>
        <v>#VALUE!</v>
      </c>
      <c r="BG1141" s="21">
        <f t="shared" si="2"/>
        <v>12</v>
      </c>
    </row>
    <row r="1142">
      <c r="P1142" s="161"/>
      <c r="AI1142" s="102"/>
      <c r="AO1142" s="12"/>
      <c r="AP1142" s="12"/>
      <c r="AQ1142" s="12"/>
      <c r="AR1142" s="12"/>
      <c r="AS1142" s="12"/>
      <c r="AT1142" s="12"/>
      <c r="AU1142" s="12"/>
      <c r="AV1142" s="12"/>
      <c r="AW1142" s="12"/>
      <c r="AX1142" s="12"/>
      <c r="AY1142" s="12"/>
      <c r="AZ1142" s="12"/>
      <c r="BA1142" s="12"/>
      <c r="BB1142" s="12"/>
      <c r="BC1142" s="12"/>
      <c r="BD1142" s="12"/>
      <c r="BF1142" s="106" t="str">
        <f t="shared" si="1"/>
        <v>#VALUE!</v>
      </c>
      <c r="BG1142" s="21">
        <f t="shared" si="2"/>
        <v>12</v>
      </c>
    </row>
    <row r="1143">
      <c r="P1143" s="161"/>
      <c r="AI1143" s="102"/>
      <c r="AO1143" s="12"/>
      <c r="AP1143" s="12"/>
      <c r="AQ1143" s="12"/>
      <c r="AR1143" s="12"/>
      <c r="AS1143" s="12"/>
      <c r="AT1143" s="12"/>
      <c r="AU1143" s="12"/>
      <c r="AV1143" s="12"/>
      <c r="AW1143" s="12"/>
      <c r="AX1143" s="12"/>
      <c r="AY1143" s="12"/>
      <c r="AZ1143" s="12"/>
      <c r="BA1143" s="12"/>
      <c r="BB1143" s="12"/>
      <c r="BC1143" s="12"/>
      <c r="BD1143" s="12"/>
      <c r="BF1143" s="106" t="str">
        <f t="shared" si="1"/>
        <v>#VALUE!</v>
      </c>
      <c r="BG1143" s="21">
        <f t="shared" si="2"/>
        <v>12</v>
      </c>
    </row>
    <row r="1144">
      <c r="P1144" s="161"/>
      <c r="AI1144" s="102"/>
      <c r="AO1144" s="12"/>
      <c r="AP1144" s="12"/>
      <c r="AQ1144" s="12"/>
      <c r="AR1144" s="12"/>
      <c r="AS1144" s="12"/>
      <c r="AT1144" s="12"/>
      <c r="AU1144" s="12"/>
      <c r="AV1144" s="12"/>
      <c r="AW1144" s="12"/>
      <c r="AX1144" s="12"/>
      <c r="AY1144" s="12"/>
      <c r="AZ1144" s="12"/>
      <c r="BA1144" s="12"/>
      <c r="BB1144" s="12"/>
      <c r="BC1144" s="12"/>
      <c r="BD1144" s="12"/>
      <c r="BF1144" s="106" t="str">
        <f t="shared" si="1"/>
        <v>#VALUE!</v>
      </c>
      <c r="BG1144" s="21">
        <f t="shared" si="2"/>
        <v>12</v>
      </c>
    </row>
    <row r="1145">
      <c r="P1145" s="161"/>
      <c r="AI1145" s="102"/>
      <c r="AO1145" s="12"/>
      <c r="AP1145" s="12"/>
      <c r="AQ1145" s="12"/>
      <c r="AR1145" s="12"/>
      <c r="AS1145" s="12"/>
      <c r="AT1145" s="12"/>
      <c r="AU1145" s="12"/>
      <c r="AV1145" s="12"/>
      <c r="AW1145" s="12"/>
      <c r="AX1145" s="12"/>
      <c r="AY1145" s="12"/>
      <c r="AZ1145" s="12"/>
      <c r="BA1145" s="12"/>
      <c r="BB1145" s="12"/>
      <c r="BC1145" s="12"/>
      <c r="BD1145" s="12"/>
      <c r="BF1145" s="106" t="str">
        <f t="shared" si="1"/>
        <v>#VALUE!</v>
      </c>
      <c r="BG1145" s="21">
        <f t="shared" si="2"/>
        <v>12</v>
      </c>
    </row>
    <row r="1146">
      <c r="P1146" s="161"/>
      <c r="AI1146" s="102"/>
      <c r="AO1146" s="12"/>
      <c r="AP1146" s="12"/>
      <c r="AQ1146" s="12"/>
      <c r="AR1146" s="12"/>
      <c r="AS1146" s="12"/>
      <c r="AT1146" s="12"/>
      <c r="AU1146" s="12"/>
      <c r="AV1146" s="12"/>
      <c r="AW1146" s="12"/>
      <c r="AX1146" s="12"/>
      <c r="AY1146" s="12"/>
      <c r="AZ1146" s="12"/>
      <c r="BA1146" s="12"/>
      <c r="BB1146" s="12"/>
      <c r="BC1146" s="12"/>
      <c r="BD1146" s="12"/>
      <c r="BF1146" s="106" t="str">
        <f t="shared" si="1"/>
        <v>#VALUE!</v>
      </c>
      <c r="BG1146" s="21">
        <f t="shared" si="2"/>
        <v>12</v>
      </c>
    </row>
    <row r="1147">
      <c r="P1147" s="161"/>
      <c r="AI1147" s="102"/>
      <c r="AO1147" s="12"/>
      <c r="AP1147" s="12"/>
      <c r="AQ1147" s="12"/>
      <c r="AR1147" s="12"/>
      <c r="AS1147" s="12"/>
      <c r="AT1147" s="12"/>
      <c r="AU1147" s="12"/>
      <c r="AV1147" s="12"/>
      <c r="AW1147" s="12"/>
      <c r="AX1147" s="12"/>
      <c r="AY1147" s="12"/>
      <c r="AZ1147" s="12"/>
      <c r="BA1147" s="12"/>
      <c r="BB1147" s="12"/>
      <c r="BC1147" s="12"/>
      <c r="BD1147" s="12"/>
      <c r="BF1147" s="106" t="str">
        <f t="shared" si="1"/>
        <v>#VALUE!</v>
      </c>
      <c r="BG1147" s="21">
        <f t="shared" si="2"/>
        <v>12</v>
      </c>
    </row>
    <row r="1148">
      <c r="P1148" s="161"/>
      <c r="AI1148" s="102"/>
      <c r="AO1148" s="12"/>
      <c r="AP1148" s="12"/>
      <c r="AQ1148" s="12"/>
      <c r="AR1148" s="12"/>
      <c r="AS1148" s="12"/>
      <c r="AT1148" s="12"/>
      <c r="AU1148" s="12"/>
      <c r="AV1148" s="12"/>
      <c r="AW1148" s="12"/>
      <c r="AX1148" s="12"/>
      <c r="AY1148" s="12"/>
      <c r="AZ1148" s="12"/>
      <c r="BA1148" s="12"/>
      <c r="BB1148" s="12"/>
      <c r="BC1148" s="12"/>
      <c r="BD1148" s="12"/>
      <c r="BF1148" s="106" t="str">
        <f t="shared" si="1"/>
        <v>#VALUE!</v>
      </c>
      <c r="BG1148" s="21">
        <f t="shared" si="2"/>
        <v>12</v>
      </c>
    </row>
    <row r="1149">
      <c r="P1149" s="161"/>
      <c r="AI1149" s="102"/>
      <c r="AO1149" s="12"/>
      <c r="AP1149" s="12"/>
      <c r="AQ1149" s="12"/>
      <c r="AR1149" s="12"/>
      <c r="AS1149" s="12"/>
      <c r="AT1149" s="12"/>
      <c r="AU1149" s="12"/>
      <c r="AV1149" s="12"/>
      <c r="AW1149" s="12"/>
      <c r="AX1149" s="12"/>
      <c r="AY1149" s="12"/>
      <c r="AZ1149" s="12"/>
      <c r="BA1149" s="12"/>
      <c r="BB1149" s="12"/>
      <c r="BC1149" s="12"/>
      <c r="BD1149" s="12"/>
      <c r="BF1149" s="106" t="str">
        <f t="shared" si="1"/>
        <v>#VALUE!</v>
      </c>
      <c r="BG1149" s="21">
        <f t="shared" si="2"/>
        <v>12</v>
      </c>
    </row>
    <row r="1150">
      <c r="P1150" s="161"/>
      <c r="AI1150" s="102"/>
      <c r="AO1150" s="12"/>
      <c r="AP1150" s="12"/>
      <c r="AQ1150" s="12"/>
      <c r="AR1150" s="12"/>
      <c r="AS1150" s="12"/>
      <c r="AT1150" s="12"/>
      <c r="AU1150" s="12"/>
      <c r="AV1150" s="12"/>
      <c r="AW1150" s="12"/>
      <c r="AX1150" s="12"/>
      <c r="AY1150" s="12"/>
      <c r="AZ1150" s="12"/>
      <c r="BA1150" s="12"/>
      <c r="BB1150" s="12"/>
      <c r="BC1150" s="12"/>
      <c r="BD1150" s="12"/>
      <c r="BF1150" s="106" t="str">
        <f t="shared" si="1"/>
        <v>#VALUE!</v>
      </c>
      <c r="BG1150" s="21">
        <f t="shared" si="2"/>
        <v>12</v>
      </c>
    </row>
    <row r="1151">
      <c r="P1151" s="161"/>
      <c r="AI1151" s="102"/>
      <c r="AO1151" s="12"/>
      <c r="AP1151" s="12"/>
      <c r="AQ1151" s="12"/>
      <c r="AR1151" s="12"/>
      <c r="AS1151" s="12"/>
      <c r="AT1151" s="12"/>
      <c r="AU1151" s="12"/>
      <c r="AV1151" s="12"/>
      <c r="AW1151" s="12"/>
      <c r="AX1151" s="12"/>
      <c r="AY1151" s="12"/>
      <c r="AZ1151" s="12"/>
      <c r="BA1151" s="12"/>
      <c r="BB1151" s="12"/>
      <c r="BC1151" s="12"/>
      <c r="BD1151" s="12"/>
      <c r="BF1151" s="106" t="str">
        <f t="shared" si="1"/>
        <v>#VALUE!</v>
      </c>
      <c r="BG1151" s="21">
        <f t="shared" si="2"/>
        <v>12</v>
      </c>
    </row>
    <row r="1152">
      <c r="P1152" s="161"/>
      <c r="AI1152" s="102"/>
      <c r="AO1152" s="12"/>
      <c r="AP1152" s="12"/>
      <c r="AQ1152" s="12"/>
      <c r="AR1152" s="12"/>
      <c r="AS1152" s="12"/>
      <c r="AT1152" s="12"/>
      <c r="AU1152" s="12"/>
      <c r="AV1152" s="12"/>
      <c r="AW1152" s="12"/>
      <c r="AX1152" s="12"/>
      <c r="AY1152" s="12"/>
      <c r="AZ1152" s="12"/>
      <c r="BA1152" s="12"/>
      <c r="BB1152" s="12"/>
      <c r="BC1152" s="12"/>
      <c r="BD1152" s="12"/>
      <c r="BF1152" s="106" t="str">
        <f t="shared" si="1"/>
        <v>#VALUE!</v>
      </c>
      <c r="BG1152" s="21">
        <f t="shared" si="2"/>
        <v>12</v>
      </c>
    </row>
    <row r="1153">
      <c r="P1153" s="161"/>
      <c r="AI1153" s="102"/>
      <c r="AO1153" s="12"/>
      <c r="AP1153" s="12"/>
      <c r="AQ1153" s="12"/>
      <c r="AR1153" s="12"/>
      <c r="AS1153" s="12"/>
      <c r="AT1153" s="12"/>
      <c r="AU1153" s="12"/>
      <c r="AV1153" s="12"/>
      <c r="AW1153" s="12"/>
      <c r="AX1153" s="12"/>
      <c r="AY1153" s="12"/>
      <c r="AZ1153" s="12"/>
      <c r="BA1153" s="12"/>
      <c r="BB1153" s="12"/>
      <c r="BC1153" s="12"/>
      <c r="BD1153" s="12"/>
      <c r="BF1153" s="106" t="str">
        <f t="shared" si="1"/>
        <v>#VALUE!</v>
      </c>
      <c r="BG1153" s="21">
        <f t="shared" si="2"/>
        <v>12</v>
      </c>
    </row>
    <row r="1154">
      <c r="P1154" s="161"/>
      <c r="AI1154" s="102"/>
      <c r="AO1154" s="12"/>
      <c r="AP1154" s="12"/>
      <c r="AQ1154" s="12"/>
      <c r="AR1154" s="12"/>
      <c r="AS1154" s="12"/>
      <c r="AT1154" s="12"/>
      <c r="AU1154" s="12"/>
      <c r="AV1154" s="12"/>
      <c r="AW1154" s="12"/>
      <c r="AX1154" s="12"/>
      <c r="AY1154" s="12"/>
      <c r="AZ1154" s="12"/>
      <c r="BA1154" s="12"/>
      <c r="BB1154" s="12"/>
      <c r="BC1154" s="12"/>
      <c r="BD1154" s="12"/>
      <c r="BF1154" s="106" t="str">
        <f t="shared" si="1"/>
        <v>#VALUE!</v>
      </c>
      <c r="BG1154" s="21">
        <f t="shared" si="2"/>
        <v>12</v>
      </c>
    </row>
    <row r="1155">
      <c r="P1155" s="161"/>
      <c r="AI1155" s="102"/>
      <c r="AO1155" s="12"/>
      <c r="AP1155" s="12"/>
      <c r="AQ1155" s="12"/>
      <c r="AR1155" s="12"/>
      <c r="AS1155" s="12"/>
      <c r="AT1155" s="12"/>
      <c r="AU1155" s="12"/>
      <c r="AV1155" s="12"/>
      <c r="AW1155" s="12"/>
      <c r="AX1155" s="12"/>
      <c r="AY1155" s="12"/>
      <c r="AZ1155" s="12"/>
      <c r="BA1155" s="12"/>
      <c r="BB1155" s="12"/>
      <c r="BC1155" s="12"/>
      <c r="BD1155" s="12"/>
      <c r="BF1155" s="106" t="str">
        <f t="shared" si="1"/>
        <v>#VALUE!</v>
      </c>
      <c r="BG1155" s="21">
        <f t="shared" si="2"/>
        <v>12</v>
      </c>
    </row>
    <row r="1156">
      <c r="P1156" s="161"/>
      <c r="AI1156" s="102"/>
      <c r="AO1156" s="12"/>
      <c r="AP1156" s="12"/>
      <c r="AQ1156" s="12"/>
      <c r="AR1156" s="12"/>
      <c r="AS1156" s="12"/>
      <c r="AT1156" s="12"/>
      <c r="AU1156" s="12"/>
      <c r="AV1156" s="12"/>
      <c r="AW1156" s="12"/>
      <c r="AX1156" s="12"/>
      <c r="AY1156" s="12"/>
      <c r="AZ1156" s="12"/>
      <c r="BA1156" s="12"/>
      <c r="BB1156" s="12"/>
      <c r="BC1156" s="12"/>
      <c r="BD1156" s="12"/>
      <c r="BF1156" s="106" t="str">
        <f t="shared" si="1"/>
        <v>#VALUE!</v>
      </c>
      <c r="BG1156" s="21">
        <f t="shared" si="2"/>
        <v>12</v>
      </c>
    </row>
    <row r="1157">
      <c r="P1157" s="161"/>
      <c r="AI1157" s="102"/>
      <c r="AO1157" s="12"/>
      <c r="AP1157" s="12"/>
      <c r="AQ1157" s="12"/>
      <c r="AR1157" s="12"/>
      <c r="AS1157" s="12"/>
      <c r="AT1157" s="12"/>
      <c r="AU1157" s="12"/>
      <c r="AV1157" s="12"/>
      <c r="AW1157" s="12"/>
      <c r="AX1157" s="12"/>
      <c r="AY1157" s="12"/>
      <c r="AZ1157" s="12"/>
      <c r="BA1157" s="12"/>
      <c r="BB1157" s="12"/>
      <c r="BC1157" s="12"/>
      <c r="BD1157" s="12"/>
      <c r="BF1157" s="106" t="str">
        <f t="shared" si="1"/>
        <v>#VALUE!</v>
      </c>
      <c r="BG1157" s="21">
        <f t="shared" si="2"/>
        <v>12</v>
      </c>
    </row>
    <row r="1158">
      <c r="P1158" s="161"/>
      <c r="AI1158" s="102"/>
      <c r="AO1158" s="12"/>
      <c r="AP1158" s="12"/>
      <c r="AQ1158" s="12"/>
      <c r="AR1158" s="12"/>
      <c r="AS1158" s="12"/>
      <c r="AT1158" s="12"/>
      <c r="AU1158" s="12"/>
      <c r="AV1158" s="12"/>
      <c r="AW1158" s="12"/>
      <c r="AX1158" s="12"/>
      <c r="AY1158" s="12"/>
      <c r="AZ1158" s="12"/>
      <c r="BA1158" s="12"/>
      <c r="BB1158" s="12"/>
      <c r="BC1158" s="12"/>
      <c r="BD1158" s="12"/>
      <c r="BF1158" s="106" t="str">
        <f t="shared" si="1"/>
        <v>#VALUE!</v>
      </c>
      <c r="BG1158" s="21">
        <f t="shared" si="2"/>
        <v>12</v>
      </c>
    </row>
    <row r="1159">
      <c r="P1159" s="161"/>
      <c r="AI1159" s="102"/>
      <c r="AO1159" s="12"/>
      <c r="AP1159" s="12"/>
      <c r="AQ1159" s="12"/>
      <c r="AR1159" s="12"/>
      <c r="AS1159" s="12"/>
      <c r="AT1159" s="12"/>
      <c r="AU1159" s="12"/>
      <c r="AV1159" s="12"/>
      <c r="AW1159" s="12"/>
      <c r="AX1159" s="12"/>
      <c r="AY1159" s="12"/>
      <c r="AZ1159" s="12"/>
      <c r="BA1159" s="12"/>
      <c r="BB1159" s="12"/>
      <c r="BC1159" s="12"/>
      <c r="BD1159" s="12"/>
      <c r="BF1159" s="106" t="str">
        <f t="shared" si="1"/>
        <v>#VALUE!</v>
      </c>
      <c r="BG1159" s="21">
        <f t="shared" si="2"/>
        <v>12</v>
      </c>
    </row>
    <row r="1160">
      <c r="P1160" s="161"/>
      <c r="AI1160" s="102"/>
      <c r="AO1160" s="12"/>
      <c r="AP1160" s="12"/>
      <c r="AQ1160" s="12"/>
      <c r="AR1160" s="12"/>
      <c r="AS1160" s="12"/>
      <c r="AT1160" s="12"/>
      <c r="AU1160" s="12"/>
      <c r="AV1160" s="12"/>
      <c r="AW1160" s="12"/>
      <c r="AX1160" s="12"/>
      <c r="AY1160" s="12"/>
      <c r="AZ1160" s="12"/>
      <c r="BA1160" s="12"/>
      <c r="BB1160" s="12"/>
      <c r="BC1160" s="12"/>
      <c r="BD1160" s="12"/>
      <c r="BF1160" s="106" t="str">
        <f t="shared" si="1"/>
        <v>#VALUE!</v>
      </c>
      <c r="BG1160" s="21">
        <f t="shared" si="2"/>
        <v>12</v>
      </c>
    </row>
    <row r="1161">
      <c r="P1161" s="161"/>
      <c r="AI1161" s="102"/>
      <c r="AO1161" s="12"/>
      <c r="AP1161" s="12"/>
      <c r="AQ1161" s="12"/>
      <c r="AR1161" s="12"/>
      <c r="AS1161" s="12"/>
      <c r="AT1161" s="12"/>
      <c r="AU1161" s="12"/>
      <c r="AV1161" s="12"/>
      <c r="AW1161" s="12"/>
      <c r="AX1161" s="12"/>
      <c r="AY1161" s="12"/>
      <c r="AZ1161" s="12"/>
      <c r="BA1161" s="12"/>
      <c r="BB1161" s="12"/>
      <c r="BC1161" s="12"/>
      <c r="BD1161" s="12"/>
      <c r="BF1161" s="106" t="str">
        <f t="shared" si="1"/>
        <v>#VALUE!</v>
      </c>
      <c r="BG1161" s="21">
        <f t="shared" si="2"/>
        <v>12</v>
      </c>
    </row>
    <row r="1162">
      <c r="P1162" s="161"/>
      <c r="AI1162" s="102"/>
      <c r="AO1162" s="12"/>
      <c r="AP1162" s="12"/>
      <c r="AQ1162" s="12"/>
      <c r="AR1162" s="12"/>
      <c r="AS1162" s="12"/>
      <c r="AT1162" s="12"/>
      <c r="AU1162" s="12"/>
      <c r="AV1162" s="12"/>
      <c r="AW1162" s="12"/>
      <c r="AX1162" s="12"/>
      <c r="AY1162" s="12"/>
      <c r="AZ1162" s="12"/>
      <c r="BA1162" s="12"/>
      <c r="BB1162" s="12"/>
      <c r="BC1162" s="12"/>
      <c r="BD1162" s="12"/>
      <c r="BF1162" s="106" t="str">
        <f t="shared" si="1"/>
        <v>#VALUE!</v>
      </c>
      <c r="BG1162" s="21">
        <f t="shared" si="2"/>
        <v>12</v>
      </c>
    </row>
    <row r="1163">
      <c r="P1163" s="161"/>
      <c r="AI1163" s="102"/>
      <c r="AO1163" s="12"/>
      <c r="AP1163" s="12"/>
      <c r="AQ1163" s="12"/>
      <c r="AR1163" s="12"/>
      <c r="AS1163" s="12"/>
      <c r="AT1163" s="12"/>
      <c r="AU1163" s="12"/>
      <c r="AV1163" s="12"/>
      <c r="AW1163" s="12"/>
      <c r="AX1163" s="12"/>
      <c r="AY1163" s="12"/>
      <c r="AZ1163" s="12"/>
      <c r="BA1163" s="12"/>
      <c r="BB1163" s="12"/>
      <c r="BC1163" s="12"/>
      <c r="BD1163" s="12"/>
      <c r="BF1163" s="106" t="str">
        <f t="shared" si="1"/>
        <v>#VALUE!</v>
      </c>
      <c r="BG1163" s="21">
        <f t="shared" si="2"/>
        <v>12</v>
      </c>
    </row>
    <row r="1164">
      <c r="P1164" s="161"/>
      <c r="AI1164" s="102"/>
      <c r="AO1164" s="12"/>
      <c r="AP1164" s="12"/>
      <c r="AQ1164" s="12"/>
      <c r="AR1164" s="12"/>
      <c r="AS1164" s="12"/>
      <c r="AT1164" s="12"/>
      <c r="AU1164" s="12"/>
      <c r="AV1164" s="12"/>
      <c r="AW1164" s="12"/>
      <c r="AX1164" s="12"/>
      <c r="AY1164" s="12"/>
      <c r="AZ1164" s="12"/>
      <c r="BA1164" s="12"/>
      <c r="BB1164" s="12"/>
      <c r="BC1164" s="12"/>
      <c r="BD1164" s="12"/>
      <c r="BF1164" s="106" t="str">
        <f t="shared" si="1"/>
        <v>#VALUE!</v>
      </c>
      <c r="BG1164" s="21">
        <f t="shared" si="2"/>
        <v>12</v>
      </c>
    </row>
    <row r="1165">
      <c r="P1165" s="161"/>
      <c r="AI1165" s="102"/>
      <c r="AO1165" s="12"/>
      <c r="AP1165" s="12"/>
      <c r="AQ1165" s="12"/>
      <c r="AR1165" s="12"/>
      <c r="AS1165" s="12"/>
      <c r="AT1165" s="12"/>
      <c r="AU1165" s="12"/>
      <c r="AV1165" s="12"/>
      <c r="AW1165" s="12"/>
      <c r="AX1165" s="12"/>
      <c r="AY1165" s="12"/>
      <c r="AZ1165" s="12"/>
      <c r="BA1165" s="12"/>
      <c r="BB1165" s="12"/>
      <c r="BC1165" s="12"/>
      <c r="BD1165" s="12"/>
      <c r="BF1165" s="106" t="str">
        <f t="shared" si="1"/>
        <v>#VALUE!</v>
      </c>
      <c r="BG1165" s="21">
        <f t="shared" si="2"/>
        <v>12</v>
      </c>
    </row>
    <row r="1166">
      <c r="P1166" s="161"/>
      <c r="AI1166" s="102"/>
      <c r="AO1166" s="12"/>
      <c r="AP1166" s="12"/>
      <c r="AQ1166" s="12"/>
      <c r="AR1166" s="12"/>
      <c r="AS1166" s="12"/>
      <c r="AT1166" s="12"/>
      <c r="AU1166" s="12"/>
      <c r="AV1166" s="12"/>
      <c r="AW1166" s="12"/>
      <c r="AX1166" s="12"/>
      <c r="AY1166" s="12"/>
      <c r="AZ1166" s="12"/>
      <c r="BA1166" s="12"/>
      <c r="BB1166" s="12"/>
      <c r="BC1166" s="12"/>
      <c r="BD1166" s="12"/>
      <c r="BF1166" s="106" t="str">
        <f t="shared" si="1"/>
        <v>#VALUE!</v>
      </c>
      <c r="BG1166" s="21">
        <f t="shared" si="2"/>
        <v>12</v>
      </c>
    </row>
    <row r="1167">
      <c r="P1167" s="161"/>
      <c r="AI1167" s="102"/>
      <c r="AO1167" s="12"/>
      <c r="AP1167" s="12"/>
      <c r="AQ1167" s="12"/>
      <c r="AR1167" s="12"/>
      <c r="AS1167" s="12"/>
      <c r="AT1167" s="12"/>
      <c r="AU1167" s="12"/>
      <c r="AV1167" s="12"/>
      <c r="AW1167" s="12"/>
      <c r="AX1167" s="12"/>
      <c r="AY1167" s="12"/>
      <c r="AZ1167" s="12"/>
      <c r="BA1167" s="12"/>
      <c r="BB1167" s="12"/>
      <c r="BC1167" s="12"/>
      <c r="BD1167" s="12"/>
      <c r="BF1167" s="106" t="str">
        <f t="shared" si="1"/>
        <v>#VALUE!</v>
      </c>
      <c r="BG1167" s="21">
        <f t="shared" si="2"/>
        <v>12</v>
      </c>
    </row>
    <row r="1168">
      <c r="P1168" s="161"/>
      <c r="AI1168" s="102"/>
      <c r="AO1168" s="12"/>
      <c r="AP1168" s="12"/>
      <c r="AQ1168" s="12"/>
      <c r="AR1168" s="12"/>
      <c r="AS1168" s="12"/>
      <c r="AT1168" s="12"/>
      <c r="AU1168" s="12"/>
      <c r="AV1168" s="12"/>
      <c r="AW1168" s="12"/>
      <c r="AX1168" s="12"/>
      <c r="AY1168" s="12"/>
      <c r="AZ1168" s="12"/>
      <c r="BA1168" s="12"/>
      <c r="BB1168" s="12"/>
      <c r="BC1168" s="12"/>
      <c r="BD1168" s="12"/>
      <c r="BF1168" s="106" t="str">
        <f t="shared" si="1"/>
        <v>#VALUE!</v>
      </c>
      <c r="BG1168" s="21">
        <f t="shared" si="2"/>
        <v>12</v>
      </c>
    </row>
    <row r="1169">
      <c r="P1169" s="161"/>
      <c r="AI1169" s="102"/>
      <c r="AO1169" s="12"/>
      <c r="AP1169" s="12"/>
      <c r="AQ1169" s="12"/>
      <c r="AR1169" s="12"/>
      <c r="AS1169" s="12"/>
      <c r="AT1169" s="12"/>
      <c r="AU1169" s="12"/>
      <c r="AV1169" s="12"/>
      <c r="AW1169" s="12"/>
      <c r="AX1169" s="12"/>
      <c r="AY1169" s="12"/>
      <c r="AZ1169" s="12"/>
      <c r="BA1169" s="12"/>
      <c r="BB1169" s="12"/>
      <c r="BC1169" s="12"/>
      <c r="BD1169" s="12"/>
      <c r="BF1169" s="106" t="str">
        <f t="shared" si="1"/>
        <v>#VALUE!</v>
      </c>
      <c r="BG1169" s="21">
        <f t="shared" si="2"/>
        <v>12</v>
      </c>
    </row>
    <row r="1170">
      <c r="P1170" s="161"/>
      <c r="AI1170" s="102"/>
      <c r="AO1170" s="12"/>
      <c r="AP1170" s="12"/>
      <c r="AQ1170" s="12"/>
      <c r="AR1170" s="12"/>
      <c r="AS1170" s="12"/>
      <c r="AT1170" s="12"/>
      <c r="AU1170" s="12"/>
      <c r="AV1170" s="12"/>
      <c r="AW1170" s="12"/>
      <c r="AX1170" s="12"/>
      <c r="AY1170" s="12"/>
      <c r="AZ1170" s="12"/>
      <c r="BA1170" s="12"/>
      <c r="BB1170" s="12"/>
      <c r="BC1170" s="12"/>
      <c r="BD1170" s="12"/>
      <c r="BF1170" s="106" t="str">
        <f t="shared" si="1"/>
        <v>#VALUE!</v>
      </c>
      <c r="BG1170" s="21">
        <f t="shared" si="2"/>
        <v>12</v>
      </c>
    </row>
    <row r="1171">
      <c r="P1171" s="161"/>
      <c r="AI1171" s="102"/>
      <c r="AO1171" s="12"/>
      <c r="AP1171" s="12"/>
      <c r="AQ1171" s="12"/>
      <c r="AR1171" s="12"/>
      <c r="AS1171" s="12"/>
      <c r="AT1171" s="12"/>
      <c r="AU1171" s="12"/>
      <c r="AV1171" s="12"/>
      <c r="AW1171" s="12"/>
      <c r="AX1171" s="12"/>
      <c r="AY1171" s="12"/>
      <c r="AZ1171" s="12"/>
      <c r="BA1171" s="12"/>
      <c r="BB1171" s="12"/>
      <c r="BC1171" s="12"/>
      <c r="BD1171" s="12"/>
      <c r="BF1171" s="106" t="str">
        <f t="shared" si="1"/>
        <v>#VALUE!</v>
      </c>
      <c r="BG1171" s="21">
        <f t="shared" si="2"/>
        <v>12</v>
      </c>
    </row>
    <row r="1172">
      <c r="P1172" s="161"/>
      <c r="AI1172" s="102"/>
      <c r="AO1172" s="12"/>
      <c r="AP1172" s="12"/>
      <c r="AQ1172" s="12"/>
      <c r="AR1172" s="12"/>
      <c r="AS1172" s="12"/>
      <c r="AT1172" s="12"/>
      <c r="AU1172" s="12"/>
      <c r="AV1172" s="12"/>
      <c r="AW1172" s="12"/>
      <c r="AX1172" s="12"/>
      <c r="AY1172" s="12"/>
      <c r="AZ1172" s="12"/>
      <c r="BA1172" s="12"/>
      <c r="BB1172" s="12"/>
      <c r="BC1172" s="12"/>
      <c r="BD1172" s="12"/>
      <c r="BF1172" s="106" t="str">
        <f t="shared" si="1"/>
        <v>#VALUE!</v>
      </c>
      <c r="BG1172" s="21">
        <f t="shared" si="2"/>
        <v>12</v>
      </c>
    </row>
    <row r="1173">
      <c r="P1173" s="161"/>
      <c r="AI1173" s="102"/>
      <c r="AO1173" s="12"/>
      <c r="AP1173" s="12"/>
      <c r="AQ1173" s="12"/>
      <c r="AR1173" s="12"/>
      <c r="AS1173" s="12"/>
      <c r="AT1173" s="12"/>
      <c r="AU1173" s="12"/>
      <c r="AV1173" s="12"/>
      <c r="AW1173" s="12"/>
      <c r="AX1173" s="12"/>
      <c r="AY1173" s="12"/>
      <c r="AZ1173" s="12"/>
      <c r="BA1173" s="12"/>
      <c r="BB1173" s="12"/>
      <c r="BC1173" s="12"/>
      <c r="BD1173" s="12"/>
      <c r="BF1173" s="106" t="str">
        <f t="shared" si="1"/>
        <v>#VALUE!</v>
      </c>
      <c r="BG1173" s="21">
        <f t="shared" si="2"/>
        <v>12</v>
      </c>
    </row>
    <row r="1174">
      <c r="P1174" s="161"/>
      <c r="AI1174" s="102"/>
      <c r="AO1174" s="12"/>
      <c r="AP1174" s="12"/>
      <c r="AQ1174" s="12"/>
      <c r="AR1174" s="12"/>
      <c r="AS1174" s="12"/>
      <c r="AT1174" s="12"/>
      <c r="AU1174" s="12"/>
      <c r="AV1174" s="12"/>
      <c r="AW1174" s="12"/>
      <c r="AX1174" s="12"/>
      <c r="AY1174" s="12"/>
      <c r="AZ1174" s="12"/>
      <c r="BA1174" s="12"/>
      <c r="BB1174" s="12"/>
      <c r="BC1174" s="12"/>
      <c r="BD1174" s="12"/>
      <c r="BF1174" s="106" t="str">
        <f t="shared" si="1"/>
        <v>#VALUE!</v>
      </c>
      <c r="BG1174" s="21">
        <f t="shared" si="2"/>
        <v>12</v>
      </c>
    </row>
    <row r="1175">
      <c r="P1175" s="161"/>
      <c r="AI1175" s="102"/>
      <c r="AO1175" s="12"/>
      <c r="AP1175" s="12"/>
      <c r="AQ1175" s="12"/>
      <c r="AR1175" s="12"/>
      <c r="AS1175" s="12"/>
      <c r="AT1175" s="12"/>
      <c r="AU1175" s="12"/>
      <c r="AV1175" s="12"/>
      <c r="AW1175" s="12"/>
      <c r="AX1175" s="12"/>
      <c r="AY1175" s="12"/>
      <c r="AZ1175" s="12"/>
      <c r="BA1175" s="12"/>
      <c r="BB1175" s="12"/>
      <c r="BC1175" s="12"/>
      <c r="BD1175" s="12"/>
      <c r="BF1175" s="106" t="str">
        <f t="shared" si="1"/>
        <v>#VALUE!</v>
      </c>
      <c r="BG1175" s="21">
        <f t="shared" si="2"/>
        <v>12</v>
      </c>
    </row>
    <row r="1176">
      <c r="P1176" s="161"/>
      <c r="AI1176" s="102"/>
      <c r="AO1176" s="12"/>
      <c r="AP1176" s="12"/>
      <c r="AQ1176" s="12"/>
      <c r="AR1176" s="12"/>
      <c r="AS1176" s="12"/>
      <c r="AT1176" s="12"/>
      <c r="AU1176" s="12"/>
      <c r="AV1176" s="12"/>
      <c r="AW1176" s="12"/>
      <c r="AX1176" s="12"/>
      <c r="AY1176" s="12"/>
      <c r="AZ1176" s="12"/>
      <c r="BA1176" s="12"/>
      <c r="BB1176" s="12"/>
      <c r="BC1176" s="12"/>
      <c r="BD1176" s="12"/>
      <c r="BF1176" s="106" t="str">
        <f t="shared" si="1"/>
        <v>#VALUE!</v>
      </c>
      <c r="BG1176" s="21">
        <f t="shared" si="2"/>
        <v>12</v>
      </c>
    </row>
    <row r="1177">
      <c r="P1177" s="161"/>
      <c r="AI1177" s="102"/>
      <c r="AO1177" s="12"/>
      <c r="AP1177" s="12"/>
      <c r="AQ1177" s="12"/>
      <c r="AR1177" s="12"/>
      <c r="AS1177" s="12"/>
      <c r="AT1177" s="12"/>
      <c r="AU1177" s="12"/>
      <c r="AV1177" s="12"/>
      <c r="AW1177" s="12"/>
      <c r="AX1177" s="12"/>
      <c r="AY1177" s="12"/>
      <c r="AZ1177" s="12"/>
      <c r="BA1177" s="12"/>
      <c r="BB1177" s="12"/>
      <c r="BC1177" s="12"/>
      <c r="BD1177" s="12"/>
      <c r="BF1177" s="106" t="str">
        <f t="shared" si="1"/>
        <v>#VALUE!</v>
      </c>
      <c r="BG1177" s="21">
        <f t="shared" si="2"/>
        <v>12</v>
      </c>
    </row>
    <row r="1178">
      <c r="P1178" s="161"/>
      <c r="AI1178" s="102"/>
      <c r="AO1178" s="12"/>
      <c r="AP1178" s="12"/>
      <c r="AQ1178" s="12"/>
      <c r="AR1178" s="12"/>
      <c r="AS1178" s="12"/>
      <c r="AT1178" s="12"/>
      <c r="AU1178" s="12"/>
      <c r="AV1178" s="12"/>
      <c r="AW1178" s="12"/>
      <c r="AX1178" s="12"/>
      <c r="AY1178" s="12"/>
      <c r="AZ1178" s="12"/>
      <c r="BA1178" s="12"/>
      <c r="BB1178" s="12"/>
      <c r="BC1178" s="12"/>
      <c r="BD1178" s="12"/>
      <c r="BF1178" s="106" t="str">
        <f t="shared" si="1"/>
        <v>#VALUE!</v>
      </c>
      <c r="BG1178" s="21">
        <f t="shared" si="2"/>
        <v>12</v>
      </c>
    </row>
    <row r="1179">
      <c r="P1179" s="161"/>
      <c r="AI1179" s="102"/>
      <c r="AO1179" s="12"/>
      <c r="AP1179" s="12"/>
      <c r="AQ1179" s="12"/>
      <c r="AR1179" s="12"/>
      <c r="AS1179" s="12"/>
      <c r="AT1179" s="12"/>
      <c r="AU1179" s="12"/>
      <c r="AV1179" s="12"/>
      <c r="AW1179" s="12"/>
      <c r="AX1179" s="12"/>
      <c r="AY1179" s="12"/>
      <c r="AZ1179" s="12"/>
      <c r="BA1179" s="12"/>
      <c r="BB1179" s="12"/>
      <c r="BC1179" s="12"/>
      <c r="BD1179" s="12"/>
      <c r="BF1179" s="106" t="str">
        <f t="shared" si="1"/>
        <v>#VALUE!</v>
      </c>
      <c r="BG1179" s="21">
        <f t="shared" si="2"/>
        <v>12</v>
      </c>
    </row>
    <row r="1180">
      <c r="P1180" s="161"/>
      <c r="AI1180" s="102"/>
      <c r="AO1180" s="12"/>
      <c r="AP1180" s="12"/>
      <c r="AQ1180" s="12"/>
      <c r="AR1180" s="12"/>
      <c r="AS1180" s="12"/>
      <c r="AT1180" s="12"/>
      <c r="AU1180" s="12"/>
      <c r="AV1180" s="12"/>
      <c r="AW1180" s="12"/>
      <c r="AX1180" s="12"/>
      <c r="AY1180" s="12"/>
      <c r="AZ1180" s="12"/>
      <c r="BA1180" s="12"/>
      <c r="BB1180" s="12"/>
      <c r="BC1180" s="12"/>
      <c r="BD1180" s="12"/>
      <c r="BF1180" s="106" t="str">
        <f t="shared" si="1"/>
        <v>#VALUE!</v>
      </c>
      <c r="BG1180" s="21">
        <f t="shared" si="2"/>
        <v>12</v>
      </c>
    </row>
    <row r="1181">
      <c r="P1181" s="161"/>
      <c r="AI1181" s="102"/>
      <c r="AO1181" s="12"/>
      <c r="AP1181" s="12"/>
      <c r="AQ1181" s="12"/>
      <c r="AR1181" s="12"/>
      <c r="AS1181" s="12"/>
      <c r="AT1181" s="12"/>
      <c r="AU1181" s="12"/>
      <c r="AV1181" s="12"/>
      <c r="AW1181" s="12"/>
      <c r="AX1181" s="12"/>
      <c r="AY1181" s="12"/>
      <c r="AZ1181" s="12"/>
      <c r="BA1181" s="12"/>
      <c r="BB1181" s="12"/>
      <c r="BC1181" s="12"/>
      <c r="BD1181" s="12"/>
      <c r="BF1181" s="106" t="str">
        <f t="shared" si="1"/>
        <v>#VALUE!</v>
      </c>
      <c r="BG1181" s="21">
        <f t="shared" si="2"/>
        <v>12</v>
      </c>
    </row>
    <row r="1182">
      <c r="P1182" s="161"/>
      <c r="AI1182" s="102"/>
      <c r="AO1182" s="12"/>
      <c r="AP1182" s="12"/>
      <c r="AQ1182" s="12"/>
      <c r="AR1182" s="12"/>
      <c r="AS1182" s="12"/>
      <c r="AT1182" s="12"/>
      <c r="AU1182" s="12"/>
      <c r="AV1182" s="12"/>
      <c r="AW1182" s="12"/>
      <c r="AX1182" s="12"/>
      <c r="AY1182" s="12"/>
      <c r="AZ1182" s="12"/>
      <c r="BA1182" s="12"/>
      <c r="BB1182" s="12"/>
      <c r="BC1182" s="12"/>
      <c r="BD1182" s="12"/>
      <c r="BF1182" s="106" t="str">
        <f t="shared" si="1"/>
        <v>#VALUE!</v>
      </c>
      <c r="BG1182" s="21">
        <f t="shared" si="2"/>
        <v>12</v>
      </c>
    </row>
    <row r="1183">
      <c r="P1183" s="161"/>
      <c r="AI1183" s="102"/>
      <c r="AO1183" s="12"/>
      <c r="AP1183" s="12"/>
      <c r="AQ1183" s="12"/>
      <c r="AR1183" s="12"/>
      <c r="AS1183" s="12"/>
      <c r="AT1183" s="12"/>
      <c r="AU1183" s="12"/>
      <c r="AV1183" s="12"/>
      <c r="AW1183" s="12"/>
      <c r="AX1183" s="12"/>
      <c r="AY1183" s="12"/>
      <c r="AZ1183" s="12"/>
      <c r="BA1183" s="12"/>
      <c r="BB1183" s="12"/>
      <c r="BC1183" s="12"/>
      <c r="BD1183" s="12"/>
      <c r="BF1183" s="106" t="str">
        <f t="shared" si="1"/>
        <v>#VALUE!</v>
      </c>
      <c r="BG1183" s="21">
        <f t="shared" si="2"/>
        <v>12</v>
      </c>
    </row>
    <row r="1184">
      <c r="P1184" s="161"/>
      <c r="AI1184" s="102"/>
      <c r="AO1184" s="12"/>
      <c r="AP1184" s="12"/>
      <c r="AQ1184" s="12"/>
      <c r="AR1184" s="12"/>
      <c r="AS1184" s="12"/>
      <c r="AT1184" s="12"/>
      <c r="AU1184" s="12"/>
      <c r="AV1184" s="12"/>
      <c r="AW1184" s="12"/>
      <c r="AX1184" s="12"/>
      <c r="AY1184" s="12"/>
      <c r="AZ1184" s="12"/>
      <c r="BA1184" s="12"/>
      <c r="BB1184" s="12"/>
      <c r="BC1184" s="12"/>
      <c r="BD1184" s="12"/>
      <c r="BF1184" s="106" t="str">
        <f t="shared" si="1"/>
        <v>#VALUE!</v>
      </c>
      <c r="BG1184" s="21">
        <f t="shared" si="2"/>
        <v>12</v>
      </c>
    </row>
    <row r="1185">
      <c r="P1185" s="161"/>
      <c r="AI1185" s="102"/>
      <c r="AO1185" s="12"/>
      <c r="AP1185" s="12"/>
      <c r="AQ1185" s="12"/>
      <c r="AR1185" s="12"/>
      <c r="AS1185" s="12"/>
      <c r="AT1185" s="12"/>
      <c r="AU1185" s="12"/>
      <c r="AV1185" s="12"/>
      <c r="AW1185" s="12"/>
      <c r="AX1185" s="12"/>
      <c r="AY1185" s="12"/>
      <c r="AZ1185" s="12"/>
      <c r="BA1185" s="12"/>
      <c r="BB1185" s="12"/>
      <c r="BC1185" s="12"/>
      <c r="BD1185" s="12"/>
      <c r="BF1185" s="106" t="str">
        <f t="shared" si="1"/>
        <v>#VALUE!</v>
      </c>
      <c r="BG1185" s="21">
        <f t="shared" si="2"/>
        <v>12</v>
      </c>
    </row>
    <row r="1186">
      <c r="P1186" s="161"/>
      <c r="AI1186" s="102"/>
      <c r="AO1186" s="12"/>
      <c r="AP1186" s="12"/>
      <c r="AQ1186" s="12"/>
      <c r="AR1186" s="12"/>
      <c r="AS1186" s="12"/>
      <c r="AT1186" s="12"/>
      <c r="AU1186" s="12"/>
      <c r="AV1186" s="12"/>
      <c r="AW1186" s="12"/>
      <c r="AX1186" s="12"/>
      <c r="AY1186" s="12"/>
      <c r="AZ1186" s="12"/>
      <c r="BA1186" s="12"/>
      <c r="BB1186" s="12"/>
      <c r="BC1186" s="12"/>
      <c r="BD1186" s="12"/>
      <c r="BF1186" s="106" t="str">
        <f t="shared" si="1"/>
        <v>#VALUE!</v>
      </c>
      <c r="BG1186" s="21">
        <f t="shared" si="2"/>
        <v>12</v>
      </c>
    </row>
    <row r="1187">
      <c r="P1187" s="161"/>
      <c r="AI1187" s="102"/>
      <c r="AO1187" s="12"/>
      <c r="AP1187" s="12"/>
      <c r="AQ1187" s="12"/>
      <c r="AR1187" s="12"/>
      <c r="AS1187" s="12"/>
      <c r="AT1187" s="12"/>
      <c r="AU1187" s="12"/>
      <c r="AV1187" s="12"/>
      <c r="AW1187" s="12"/>
      <c r="AX1187" s="12"/>
      <c r="AY1187" s="12"/>
      <c r="AZ1187" s="12"/>
      <c r="BA1187" s="12"/>
      <c r="BB1187" s="12"/>
      <c r="BC1187" s="12"/>
      <c r="BD1187" s="12"/>
      <c r="BF1187" s="106" t="str">
        <f t="shared" si="1"/>
        <v>#VALUE!</v>
      </c>
      <c r="BG1187" s="21">
        <f t="shared" si="2"/>
        <v>12</v>
      </c>
    </row>
    <row r="1188">
      <c r="P1188" s="161"/>
      <c r="AI1188" s="102"/>
      <c r="AO1188" s="12"/>
      <c r="AP1188" s="12"/>
      <c r="AQ1188" s="12"/>
      <c r="AR1188" s="12"/>
      <c r="AS1188" s="12"/>
      <c r="AT1188" s="12"/>
      <c r="AU1188" s="12"/>
      <c r="AV1188" s="12"/>
      <c r="AW1188" s="12"/>
      <c r="AX1188" s="12"/>
      <c r="AY1188" s="12"/>
      <c r="AZ1188" s="12"/>
      <c r="BA1188" s="12"/>
      <c r="BB1188" s="12"/>
      <c r="BC1188" s="12"/>
      <c r="BD1188" s="12"/>
      <c r="BF1188" s="106" t="str">
        <f t="shared" si="1"/>
        <v>#VALUE!</v>
      </c>
      <c r="BG1188" s="21">
        <f t="shared" si="2"/>
        <v>12</v>
      </c>
    </row>
    <row r="1189">
      <c r="P1189" s="161"/>
      <c r="AI1189" s="102"/>
      <c r="AO1189" s="12"/>
      <c r="AP1189" s="12"/>
      <c r="AQ1189" s="12"/>
      <c r="AR1189" s="12"/>
      <c r="AS1189" s="12"/>
      <c r="AT1189" s="12"/>
      <c r="AU1189" s="12"/>
      <c r="AV1189" s="12"/>
      <c r="AW1189" s="12"/>
      <c r="AX1189" s="12"/>
      <c r="AY1189" s="12"/>
      <c r="AZ1189" s="12"/>
      <c r="BA1189" s="12"/>
      <c r="BB1189" s="12"/>
      <c r="BC1189" s="12"/>
      <c r="BD1189" s="12"/>
      <c r="BF1189" s="106" t="str">
        <f t="shared" si="1"/>
        <v>#VALUE!</v>
      </c>
      <c r="BG1189" s="21">
        <f t="shared" si="2"/>
        <v>12</v>
      </c>
    </row>
    <row r="1190">
      <c r="P1190" s="161"/>
      <c r="AI1190" s="102"/>
      <c r="AO1190" s="12"/>
      <c r="AP1190" s="12"/>
      <c r="AQ1190" s="12"/>
      <c r="AR1190" s="12"/>
      <c r="AS1190" s="12"/>
      <c r="AT1190" s="12"/>
      <c r="AU1190" s="12"/>
      <c r="AV1190" s="12"/>
      <c r="AW1190" s="12"/>
      <c r="AX1190" s="12"/>
      <c r="AY1190" s="12"/>
      <c r="AZ1190" s="12"/>
      <c r="BA1190" s="12"/>
      <c r="BB1190" s="12"/>
      <c r="BC1190" s="12"/>
      <c r="BD1190" s="12"/>
      <c r="BF1190" s="106" t="str">
        <f t="shared" si="1"/>
        <v>#VALUE!</v>
      </c>
      <c r="BG1190" s="21">
        <f t="shared" si="2"/>
        <v>12</v>
      </c>
    </row>
    <row r="1191">
      <c r="P1191" s="161"/>
      <c r="AI1191" s="102"/>
      <c r="AO1191" s="12"/>
      <c r="AP1191" s="12"/>
      <c r="AQ1191" s="12"/>
      <c r="AR1191" s="12"/>
      <c r="AS1191" s="12"/>
      <c r="AT1191" s="12"/>
      <c r="AU1191" s="12"/>
      <c r="AV1191" s="12"/>
      <c r="AW1191" s="12"/>
      <c r="AX1191" s="12"/>
      <c r="AY1191" s="12"/>
      <c r="AZ1191" s="12"/>
      <c r="BA1191" s="12"/>
      <c r="BB1191" s="12"/>
      <c r="BC1191" s="12"/>
      <c r="BD1191" s="12"/>
      <c r="BF1191" s="106" t="str">
        <f t="shared" si="1"/>
        <v>#VALUE!</v>
      </c>
      <c r="BG1191" s="21">
        <f t="shared" si="2"/>
        <v>12</v>
      </c>
    </row>
    <row r="1192">
      <c r="P1192" s="161"/>
      <c r="AI1192" s="102"/>
      <c r="AO1192" s="12"/>
      <c r="AP1192" s="12"/>
      <c r="AQ1192" s="12"/>
      <c r="AR1192" s="12"/>
      <c r="AS1192" s="12"/>
      <c r="AT1192" s="12"/>
      <c r="AU1192" s="12"/>
      <c r="AV1192" s="12"/>
      <c r="AW1192" s="12"/>
      <c r="AX1192" s="12"/>
      <c r="AY1192" s="12"/>
      <c r="AZ1192" s="12"/>
      <c r="BA1192" s="12"/>
      <c r="BB1192" s="12"/>
      <c r="BC1192" s="12"/>
      <c r="BD1192" s="12"/>
      <c r="BF1192" s="106" t="str">
        <f t="shared" si="1"/>
        <v>#VALUE!</v>
      </c>
      <c r="BG1192" s="21">
        <f t="shared" si="2"/>
        <v>12</v>
      </c>
    </row>
    <row r="1193">
      <c r="P1193" s="161"/>
      <c r="AI1193" s="102"/>
      <c r="AO1193" s="12"/>
      <c r="AP1193" s="12"/>
      <c r="AQ1193" s="12"/>
      <c r="AR1193" s="12"/>
      <c r="AS1193" s="12"/>
      <c r="AT1193" s="12"/>
      <c r="AU1193" s="12"/>
      <c r="AV1193" s="12"/>
      <c r="AW1193" s="12"/>
      <c r="AX1193" s="12"/>
      <c r="AY1193" s="12"/>
      <c r="AZ1193" s="12"/>
      <c r="BA1193" s="12"/>
      <c r="BB1193" s="12"/>
      <c r="BC1193" s="12"/>
      <c r="BD1193" s="12"/>
      <c r="BF1193" s="106" t="str">
        <f t="shared" si="1"/>
        <v>#VALUE!</v>
      </c>
      <c r="BG1193" s="21">
        <f t="shared" si="2"/>
        <v>12</v>
      </c>
    </row>
    <row r="1194">
      <c r="P1194" s="161"/>
      <c r="AI1194" s="102"/>
      <c r="AO1194" s="12"/>
      <c r="AP1194" s="12"/>
      <c r="AQ1194" s="12"/>
      <c r="AR1194" s="12"/>
      <c r="AS1194" s="12"/>
      <c r="AT1194" s="12"/>
      <c r="AU1194" s="12"/>
      <c r="AV1194" s="12"/>
      <c r="AW1194" s="12"/>
      <c r="AX1194" s="12"/>
      <c r="AY1194" s="12"/>
      <c r="AZ1194" s="12"/>
      <c r="BA1194" s="12"/>
      <c r="BB1194" s="12"/>
      <c r="BC1194" s="12"/>
      <c r="BD1194" s="12"/>
      <c r="BF1194" s="106" t="str">
        <f t="shared" si="1"/>
        <v>#VALUE!</v>
      </c>
      <c r="BG1194" s="21">
        <f t="shared" si="2"/>
        <v>12</v>
      </c>
    </row>
    <row r="1195">
      <c r="P1195" s="161"/>
      <c r="AI1195" s="102"/>
      <c r="AO1195" s="12"/>
      <c r="AP1195" s="12"/>
      <c r="AQ1195" s="12"/>
      <c r="AR1195" s="12"/>
      <c r="AS1195" s="12"/>
      <c r="AT1195" s="12"/>
      <c r="AU1195" s="12"/>
      <c r="AV1195" s="12"/>
      <c r="AW1195" s="12"/>
      <c r="AX1195" s="12"/>
      <c r="AY1195" s="12"/>
      <c r="AZ1195" s="12"/>
      <c r="BA1195" s="12"/>
      <c r="BB1195" s="12"/>
      <c r="BC1195" s="12"/>
      <c r="BD1195" s="12"/>
      <c r="BF1195" s="106" t="str">
        <f t="shared" si="1"/>
        <v>#VALUE!</v>
      </c>
      <c r="BG1195" s="21">
        <f t="shared" si="2"/>
        <v>12</v>
      </c>
    </row>
    <row r="1196">
      <c r="P1196" s="161"/>
      <c r="AI1196" s="102"/>
      <c r="AO1196" s="12"/>
      <c r="AP1196" s="12"/>
      <c r="AQ1196" s="12"/>
      <c r="AR1196" s="12"/>
      <c r="AS1196" s="12"/>
      <c r="AT1196" s="12"/>
      <c r="AU1196" s="12"/>
      <c r="AV1196" s="12"/>
      <c r="AW1196" s="12"/>
      <c r="AX1196" s="12"/>
      <c r="AY1196" s="12"/>
      <c r="AZ1196" s="12"/>
      <c r="BA1196" s="12"/>
      <c r="BB1196" s="12"/>
      <c r="BC1196" s="12"/>
      <c r="BD1196" s="12"/>
      <c r="BF1196" s="106" t="str">
        <f t="shared" si="1"/>
        <v>#VALUE!</v>
      </c>
      <c r="BG1196" s="21">
        <f t="shared" si="2"/>
        <v>12</v>
      </c>
    </row>
    <row r="1197">
      <c r="P1197" s="161"/>
      <c r="AI1197" s="102"/>
      <c r="AO1197" s="12"/>
      <c r="AP1197" s="12"/>
      <c r="AQ1197" s="12"/>
      <c r="AR1197" s="12"/>
      <c r="AS1197" s="12"/>
      <c r="AT1197" s="12"/>
      <c r="AU1197" s="12"/>
      <c r="AV1197" s="12"/>
      <c r="AW1197" s="12"/>
      <c r="AX1197" s="12"/>
      <c r="AY1197" s="12"/>
      <c r="AZ1197" s="12"/>
      <c r="BA1197" s="12"/>
      <c r="BB1197" s="12"/>
      <c r="BC1197" s="12"/>
      <c r="BD1197" s="12"/>
      <c r="BF1197" s="106" t="str">
        <f t="shared" si="1"/>
        <v>#VALUE!</v>
      </c>
      <c r="BG1197" s="21">
        <f t="shared" si="2"/>
        <v>12</v>
      </c>
    </row>
    <row r="1198">
      <c r="P1198" s="161"/>
      <c r="AI1198" s="102"/>
      <c r="AO1198" s="12"/>
      <c r="AP1198" s="12"/>
      <c r="AQ1198" s="12"/>
      <c r="AR1198" s="12"/>
      <c r="AS1198" s="12"/>
      <c r="AT1198" s="12"/>
      <c r="AU1198" s="12"/>
      <c r="AV1198" s="12"/>
      <c r="AW1198" s="12"/>
      <c r="AX1198" s="12"/>
      <c r="AY1198" s="12"/>
      <c r="AZ1198" s="12"/>
      <c r="BA1198" s="12"/>
      <c r="BB1198" s="12"/>
      <c r="BC1198" s="12"/>
      <c r="BD1198" s="12"/>
      <c r="BF1198" s="106" t="str">
        <f t="shared" si="1"/>
        <v>#VALUE!</v>
      </c>
      <c r="BG1198" s="21">
        <f t="shared" si="2"/>
        <v>12</v>
      </c>
    </row>
    <row r="1199">
      <c r="P1199" s="161"/>
      <c r="AI1199" s="102"/>
      <c r="AO1199" s="12"/>
      <c r="AP1199" s="12"/>
      <c r="AQ1199" s="12"/>
      <c r="AR1199" s="12"/>
      <c r="AS1199" s="12"/>
      <c r="AT1199" s="12"/>
      <c r="AU1199" s="12"/>
      <c r="AV1199" s="12"/>
      <c r="AW1199" s="12"/>
      <c r="AX1199" s="12"/>
      <c r="AY1199" s="12"/>
      <c r="AZ1199" s="12"/>
      <c r="BA1199" s="12"/>
      <c r="BB1199" s="12"/>
      <c r="BC1199" s="12"/>
      <c r="BD1199" s="12"/>
      <c r="BF1199" s="106" t="str">
        <f t="shared" si="1"/>
        <v>#VALUE!</v>
      </c>
      <c r="BG1199" s="21">
        <f t="shared" si="2"/>
        <v>12</v>
      </c>
    </row>
    <row r="1200">
      <c r="P1200" s="161"/>
      <c r="AI1200" s="102"/>
      <c r="AO1200" s="12"/>
      <c r="AP1200" s="12"/>
      <c r="AQ1200" s="12"/>
      <c r="AR1200" s="12"/>
      <c r="AS1200" s="12"/>
      <c r="AT1200" s="12"/>
      <c r="AU1200" s="12"/>
      <c r="AV1200" s="12"/>
      <c r="AW1200" s="12"/>
      <c r="AX1200" s="12"/>
      <c r="AY1200" s="12"/>
      <c r="AZ1200" s="12"/>
      <c r="BA1200" s="12"/>
      <c r="BB1200" s="12"/>
      <c r="BC1200" s="12"/>
      <c r="BD1200" s="12"/>
      <c r="BF1200" s="106" t="str">
        <f t="shared" si="1"/>
        <v>#VALUE!</v>
      </c>
      <c r="BG1200" s="21">
        <f t="shared" si="2"/>
        <v>12</v>
      </c>
    </row>
    <row r="1201">
      <c r="P1201" s="161"/>
      <c r="AI1201" s="102"/>
      <c r="AO1201" s="12"/>
      <c r="AP1201" s="12"/>
      <c r="AQ1201" s="12"/>
      <c r="AR1201" s="12"/>
      <c r="AS1201" s="12"/>
      <c r="AT1201" s="12"/>
      <c r="AU1201" s="12"/>
      <c r="AV1201" s="12"/>
      <c r="AW1201" s="12"/>
      <c r="AX1201" s="12"/>
      <c r="AY1201" s="12"/>
      <c r="AZ1201" s="12"/>
      <c r="BA1201" s="12"/>
      <c r="BB1201" s="12"/>
      <c r="BC1201" s="12"/>
      <c r="BD1201" s="12"/>
      <c r="BF1201" s="106" t="str">
        <f t="shared" si="1"/>
        <v>#VALUE!</v>
      </c>
      <c r="BG1201" s="21">
        <f t="shared" si="2"/>
        <v>12</v>
      </c>
    </row>
    <row r="1202">
      <c r="P1202" s="161"/>
      <c r="AI1202" s="102"/>
      <c r="AO1202" s="12"/>
      <c r="AP1202" s="12"/>
      <c r="AQ1202" s="12"/>
      <c r="AR1202" s="12"/>
      <c r="AS1202" s="12"/>
      <c r="AT1202" s="12"/>
      <c r="AU1202" s="12"/>
      <c r="AV1202" s="12"/>
      <c r="AW1202" s="12"/>
      <c r="AX1202" s="12"/>
      <c r="AY1202" s="12"/>
      <c r="AZ1202" s="12"/>
      <c r="BA1202" s="12"/>
      <c r="BB1202" s="12"/>
      <c r="BC1202" s="12"/>
      <c r="BD1202" s="12"/>
      <c r="BF1202" s="106" t="str">
        <f t="shared" si="1"/>
        <v>#VALUE!</v>
      </c>
      <c r="BG1202" s="21">
        <f t="shared" si="2"/>
        <v>12</v>
      </c>
    </row>
    <row r="1203">
      <c r="P1203" s="161"/>
      <c r="AI1203" s="102"/>
      <c r="AO1203" s="12"/>
      <c r="AP1203" s="12"/>
      <c r="AQ1203" s="12"/>
      <c r="AR1203" s="12"/>
      <c r="AS1203" s="12"/>
      <c r="AT1203" s="12"/>
      <c r="AU1203" s="12"/>
      <c r="AV1203" s="12"/>
      <c r="AW1203" s="12"/>
      <c r="AX1203" s="12"/>
      <c r="AY1203" s="12"/>
      <c r="AZ1203" s="12"/>
      <c r="BA1203" s="12"/>
      <c r="BB1203" s="12"/>
      <c r="BC1203" s="12"/>
      <c r="BD1203" s="12"/>
      <c r="BF1203" s="106" t="str">
        <f t="shared" si="1"/>
        <v>#VALUE!</v>
      </c>
      <c r="BG1203" s="21">
        <f t="shared" si="2"/>
        <v>12</v>
      </c>
    </row>
    <row r="1204">
      <c r="P1204" s="161"/>
      <c r="AI1204" s="102"/>
      <c r="AO1204" s="12"/>
      <c r="AP1204" s="12"/>
      <c r="AQ1204" s="12"/>
      <c r="AR1204" s="12"/>
      <c r="AS1204" s="12"/>
      <c r="AT1204" s="12"/>
      <c r="AU1204" s="12"/>
      <c r="AV1204" s="12"/>
      <c r="AW1204" s="12"/>
      <c r="AX1204" s="12"/>
      <c r="AY1204" s="12"/>
      <c r="AZ1204" s="12"/>
      <c r="BA1204" s="12"/>
      <c r="BB1204" s="12"/>
      <c r="BC1204" s="12"/>
      <c r="BD1204" s="12"/>
      <c r="BF1204" s="106" t="str">
        <f t="shared" si="1"/>
        <v>#VALUE!</v>
      </c>
      <c r="BG1204" s="21">
        <f t="shared" si="2"/>
        <v>12</v>
      </c>
    </row>
    <row r="1205">
      <c r="P1205" s="161"/>
      <c r="AI1205" s="102"/>
      <c r="AO1205" s="12"/>
      <c r="AP1205" s="12"/>
      <c r="AQ1205" s="12"/>
      <c r="AR1205" s="12"/>
      <c r="AS1205" s="12"/>
      <c r="AT1205" s="12"/>
      <c r="AU1205" s="12"/>
      <c r="AV1205" s="12"/>
      <c r="AW1205" s="12"/>
      <c r="AX1205" s="12"/>
      <c r="AY1205" s="12"/>
      <c r="AZ1205" s="12"/>
      <c r="BA1205" s="12"/>
      <c r="BB1205" s="12"/>
      <c r="BC1205" s="12"/>
      <c r="BD1205" s="12"/>
      <c r="BF1205" s="106" t="str">
        <f t="shared" si="1"/>
        <v>#VALUE!</v>
      </c>
      <c r="BG1205" s="21">
        <f t="shared" si="2"/>
        <v>12</v>
      </c>
    </row>
    <row r="1206">
      <c r="P1206" s="161"/>
      <c r="AI1206" s="102"/>
      <c r="AO1206" s="12"/>
      <c r="AP1206" s="12"/>
      <c r="AQ1206" s="12"/>
      <c r="AR1206" s="12"/>
      <c r="AS1206" s="12"/>
      <c r="AT1206" s="12"/>
      <c r="AU1206" s="12"/>
      <c r="AV1206" s="12"/>
      <c r="AW1206" s="12"/>
      <c r="AX1206" s="12"/>
      <c r="AY1206" s="12"/>
      <c r="AZ1206" s="12"/>
      <c r="BA1206" s="12"/>
      <c r="BB1206" s="12"/>
      <c r="BC1206" s="12"/>
      <c r="BD1206" s="12"/>
      <c r="BF1206" s="106" t="str">
        <f t="shared" si="1"/>
        <v>#VALUE!</v>
      </c>
      <c r="BG1206" s="21">
        <f t="shared" si="2"/>
        <v>12</v>
      </c>
    </row>
    <row r="1207">
      <c r="P1207" s="161"/>
      <c r="AI1207" s="102"/>
      <c r="AO1207" s="12"/>
      <c r="AP1207" s="12"/>
      <c r="AQ1207" s="12"/>
      <c r="AR1207" s="12"/>
      <c r="AS1207" s="12"/>
      <c r="AT1207" s="12"/>
      <c r="AU1207" s="12"/>
      <c r="AV1207" s="12"/>
      <c r="AW1207" s="12"/>
      <c r="AX1207" s="12"/>
      <c r="AY1207" s="12"/>
      <c r="AZ1207" s="12"/>
      <c r="BA1207" s="12"/>
      <c r="BB1207" s="12"/>
      <c r="BC1207" s="12"/>
      <c r="BD1207" s="12"/>
      <c r="BF1207" s="106" t="str">
        <f t="shared" si="1"/>
        <v>#VALUE!</v>
      </c>
      <c r="BG1207" s="21">
        <f t="shared" si="2"/>
        <v>12</v>
      </c>
    </row>
    <row r="1208">
      <c r="P1208" s="161"/>
      <c r="AI1208" s="102"/>
      <c r="AO1208" s="12"/>
      <c r="AP1208" s="12"/>
      <c r="AQ1208" s="12"/>
      <c r="AR1208" s="12"/>
      <c r="AS1208" s="12"/>
      <c r="AT1208" s="12"/>
      <c r="AU1208" s="12"/>
      <c r="AV1208" s="12"/>
      <c r="AW1208" s="12"/>
      <c r="AX1208" s="12"/>
      <c r="AY1208" s="12"/>
      <c r="AZ1208" s="12"/>
      <c r="BA1208" s="12"/>
      <c r="BB1208" s="12"/>
      <c r="BC1208" s="12"/>
      <c r="BD1208" s="12"/>
      <c r="BF1208" s="106" t="str">
        <f t="shared" si="1"/>
        <v>#VALUE!</v>
      </c>
      <c r="BG1208" s="21">
        <f t="shared" si="2"/>
        <v>12</v>
      </c>
    </row>
    <row r="1209">
      <c r="P1209" s="161"/>
      <c r="AI1209" s="102"/>
      <c r="AO1209" s="12"/>
      <c r="AP1209" s="12"/>
      <c r="AQ1209" s="12"/>
      <c r="AR1209" s="12"/>
      <c r="AS1209" s="12"/>
      <c r="AT1209" s="12"/>
      <c r="AU1209" s="12"/>
      <c r="AV1209" s="12"/>
      <c r="AW1209" s="12"/>
      <c r="AX1209" s="12"/>
      <c r="AY1209" s="12"/>
      <c r="AZ1209" s="12"/>
      <c r="BA1209" s="12"/>
      <c r="BB1209" s="12"/>
      <c r="BC1209" s="12"/>
      <c r="BD1209" s="12"/>
      <c r="BF1209" s="106" t="str">
        <f t="shared" si="1"/>
        <v>#VALUE!</v>
      </c>
      <c r="BG1209" s="21">
        <f t="shared" si="2"/>
        <v>12</v>
      </c>
    </row>
    <row r="1210">
      <c r="P1210" s="161"/>
      <c r="AI1210" s="102"/>
      <c r="AO1210" s="12"/>
      <c r="AP1210" s="12"/>
      <c r="AQ1210" s="12"/>
      <c r="AR1210" s="12"/>
      <c r="AS1210" s="12"/>
      <c r="AT1210" s="12"/>
      <c r="AU1210" s="12"/>
      <c r="AV1210" s="12"/>
      <c r="AW1210" s="12"/>
      <c r="AX1210" s="12"/>
      <c r="AY1210" s="12"/>
      <c r="AZ1210" s="12"/>
      <c r="BA1210" s="12"/>
      <c r="BB1210" s="12"/>
      <c r="BC1210" s="12"/>
      <c r="BD1210" s="12"/>
      <c r="BF1210" s="106" t="str">
        <f t="shared" si="1"/>
        <v>#VALUE!</v>
      </c>
      <c r="BG1210" s="21">
        <f t="shared" si="2"/>
        <v>12</v>
      </c>
    </row>
    <row r="1211">
      <c r="P1211" s="161"/>
      <c r="AI1211" s="102"/>
      <c r="AO1211" s="12"/>
      <c r="AP1211" s="12"/>
      <c r="AQ1211" s="12"/>
      <c r="AR1211" s="12"/>
      <c r="AS1211" s="12"/>
      <c r="AT1211" s="12"/>
      <c r="AU1211" s="12"/>
      <c r="AV1211" s="12"/>
      <c r="AW1211" s="12"/>
      <c r="AX1211" s="12"/>
      <c r="AY1211" s="12"/>
      <c r="AZ1211" s="12"/>
      <c r="BA1211" s="12"/>
      <c r="BB1211" s="12"/>
      <c r="BC1211" s="12"/>
      <c r="BD1211" s="12"/>
      <c r="BF1211" s="106" t="str">
        <f t="shared" si="1"/>
        <v>#VALUE!</v>
      </c>
      <c r="BG1211" s="21">
        <f t="shared" si="2"/>
        <v>12</v>
      </c>
    </row>
    <row r="1212">
      <c r="P1212" s="161"/>
      <c r="AI1212" s="102"/>
      <c r="AO1212" s="12"/>
      <c r="AP1212" s="12"/>
      <c r="AQ1212" s="12"/>
      <c r="AR1212" s="12"/>
      <c r="AS1212" s="12"/>
      <c r="AT1212" s="12"/>
      <c r="AU1212" s="12"/>
      <c r="AV1212" s="12"/>
      <c r="AW1212" s="12"/>
      <c r="AX1212" s="12"/>
      <c r="AY1212" s="12"/>
      <c r="AZ1212" s="12"/>
      <c r="BA1212" s="12"/>
      <c r="BB1212" s="12"/>
      <c r="BC1212" s="12"/>
      <c r="BD1212" s="12"/>
      <c r="BF1212" s="106" t="str">
        <f t="shared" si="1"/>
        <v>#VALUE!</v>
      </c>
      <c r="BG1212" s="21">
        <f t="shared" si="2"/>
        <v>12</v>
      </c>
    </row>
    <row r="1213">
      <c r="P1213" s="161"/>
      <c r="AI1213" s="102"/>
      <c r="AO1213" s="12"/>
      <c r="AP1213" s="12"/>
      <c r="AQ1213" s="12"/>
      <c r="AR1213" s="12"/>
      <c r="AS1213" s="12"/>
      <c r="AT1213" s="12"/>
      <c r="AU1213" s="12"/>
      <c r="AV1213" s="12"/>
      <c r="AW1213" s="12"/>
      <c r="AX1213" s="12"/>
      <c r="AY1213" s="12"/>
      <c r="AZ1213" s="12"/>
      <c r="BA1213" s="12"/>
      <c r="BB1213" s="12"/>
      <c r="BC1213" s="12"/>
      <c r="BD1213" s="12"/>
      <c r="BF1213" s="106" t="str">
        <f t="shared" si="1"/>
        <v>#VALUE!</v>
      </c>
      <c r="BG1213" s="21">
        <f t="shared" si="2"/>
        <v>12</v>
      </c>
    </row>
    <row r="1214">
      <c r="P1214" s="161"/>
      <c r="AI1214" s="102"/>
      <c r="AO1214" s="12"/>
      <c r="AP1214" s="12"/>
      <c r="AQ1214" s="12"/>
      <c r="AR1214" s="12"/>
      <c r="AS1214" s="12"/>
      <c r="AT1214" s="12"/>
      <c r="AU1214" s="12"/>
      <c r="AV1214" s="12"/>
      <c r="AW1214" s="12"/>
      <c r="AX1214" s="12"/>
      <c r="AY1214" s="12"/>
      <c r="AZ1214" s="12"/>
      <c r="BA1214" s="12"/>
      <c r="BB1214" s="12"/>
      <c r="BC1214" s="12"/>
      <c r="BD1214" s="12"/>
      <c r="BF1214" s="106" t="str">
        <f t="shared" si="1"/>
        <v>#VALUE!</v>
      </c>
      <c r="BG1214" s="21">
        <f t="shared" si="2"/>
        <v>12</v>
      </c>
    </row>
    <row r="1215">
      <c r="P1215" s="161"/>
      <c r="AI1215" s="102"/>
      <c r="AO1215" s="12"/>
      <c r="AP1215" s="12"/>
      <c r="AQ1215" s="12"/>
      <c r="AR1215" s="12"/>
      <c r="AS1215" s="12"/>
      <c r="AT1215" s="12"/>
      <c r="AU1215" s="12"/>
      <c r="AV1215" s="12"/>
      <c r="AW1215" s="12"/>
      <c r="AX1215" s="12"/>
      <c r="AY1215" s="12"/>
      <c r="AZ1215" s="12"/>
      <c r="BA1215" s="12"/>
      <c r="BB1215" s="12"/>
      <c r="BC1215" s="12"/>
      <c r="BD1215" s="12"/>
      <c r="BF1215" s="106" t="str">
        <f t="shared" si="1"/>
        <v>#VALUE!</v>
      </c>
      <c r="BG1215" s="21">
        <f t="shared" si="2"/>
        <v>12</v>
      </c>
    </row>
    <row r="1216">
      <c r="P1216" s="161"/>
      <c r="AI1216" s="102"/>
      <c r="AO1216" s="12"/>
      <c r="AP1216" s="12"/>
      <c r="AQ1216" s="12"/>
      <c r="AR1216" s="12"/>
      <c r="AS1216" s="12"/>
      <c r="AT1216" s="12"/>
      <c r="AU1216" s="12"/>
      <c r="AV1216" s="12"/>
      <c r="AW1216" s="12"/>
      <c r="AX1216" s="12"/>
      <c r="AY1216" s="12"/>
      <c r="AZ1216" s="12"/>
      <c r="BA1216" s="12"/>
      <c r="BB1216" s="12"/>
      <c r="BC1216" s="12"/>
      <c r="BD1216" s="12"/>
      <c r="BF1216" s="106" t="str">
        <f t="shared" si="1"/>
        <v>#VALUE!</v>
      </c>
      <c r="BG1216" s="21">
        <f t="shared" si="2"/>
        <v>12</v>
      </c>
    </row>
    <row r="1217">
      <c r="P1217" s="161"/>
      <c r="AI1217" s="102"/>
      <c r="AO1217" s="12"/>
      <c r="AP1217" s="12"/>
      <c r="AQ1217" s="12"/>
      <c r="AR1217" s="12"/>
      <c r="AS1217" s="12"/>
      <c r="AT1217" s="12"/>
      <c r="AU1217" s="12"/>
      <c r="AV1217" s="12"/>
      <c r="AW1217" s="12"/>
      <c r="AX1217" s="12"/>
      <c r="AY1217" s="12"/>
      <c r="AZ1217" s="12"/>
      <c r="BA1217" s="12"/>
      <c r="BB1217" s="12"/>
      <c r="BC1217" s="12"/>
      <c r="BD1217" s="12"/>
      <c r="BF1217" s="106" t="str">
        <f t="shared" si="1"/>
        <v>#VALUE!</v>
      </c>
      <c r="BG1217" s="21">
        <f t="shared" si="2"/>
        <v>12</v>
      </c>
    </row>
    <row r="1218">
      <c r="P1218" s="161"/>
      <c r="AI1218" s="102"/>
      <c r="AO1218" s="12"/>
      <c r="AP1218" s="12"/>
      <c r="AQ1218" s="12"/>
      <c r="AR1218" s="12"/>
      <c r="AS1218" s="12"/>
      <c r="AT1218" s="12"/>
      <c r="AU1218" s="12"/>
      <c r="AV1218" s="12"/>
      <c r="AW1218" s="12"/>
      <c r="AX1218" s="12"/>
      <c r="AY1218" s="12"/>
      <c r="AZ1218" s="12"/>
      <c r="BA1218" s="12"/>
      <c r="BB1218" s="12"/>
      <c r="BC1218" s="12"/>
      <c r="BD1218" s="12"/>
      <c r="BF1218" s="106" t="str">
        <f t="shared" si="1"/>
        <v>#VALUE!</v>
      </c>
      <c r="BG1218" s="21">
        <f t="shared" si="2"/>
        <v>12</v>
      </c>
    </row>
    <row r="1219">
      <c r="P1219" s="161"/>
      <c r="AI1219" s="102"/>
      <c r="AO1219" s="12"/>
      <c r="AP1219" s="12"/>
      <c r="AQ1219" s="12"/>
      <c r="AR1219" s="12"/>
      <c r="AS1219" s="12"/>
      <c r="AT1219" s="12"/>
      <c r="AU1219" s="12"/>
      <c r="AV1219" s="12"/>
      <c r="AW1219" s="12"/>
      <c r="AX1219" s="12"/>
      <c r="AY1219" s="12"/>
      <c r="AZ1219" s="12"/>
      <c r="BA1219" s="12"/>
      <c r="BB1219" s="12"/>
      <c r="BC1219" s="12"/>
      <c r="BD1219" s="12"/>
      <c r="BF1219" s="106" t="str">
        <f t="shared" si="1"/>
        <v>#VALUE!</v>
      </c>
      <c r="BG1219" s="21">
        <f t="shared" si="2"/>
        <v>12</v>
      </c>
    </row>
    <row r="1220">
      <c r="P1220" s="161"/>
      <c r="AI1220" s="102"/>
      <c r="AO1220" s="12"/>
      <c r="AP1220" s="12"/>
      <c r="AQ1220" s="12"/>
      <c r="AR1220" s="12"/>
      <c r="AS1220" s="12"/>
      <c r="AT1220" s="12"/>
      <c r="AU1220" s="12"/>
      <c r="AV1220" s="12"/>
      <c r="AW1220" s="12"/>
      <c r="AX1220" s="12"/>
      <c r="AY1220" s="12"/>
      <c r="AZ1220" s="12"/>
      <c r="BA1220" s="12"/>
      <c r="BB1220" s="12"/>
      <c r="BC1220" s="12"/>
      <c r="BD1220" s="12"/>
      <c r="BF1220" s="106" t="str">
        <f t="shared" si="1"/>
        <v>#VALUE!</v>
      </c>
      <c r="BG1220" s="21">
        <f t="shared" si="2"/>
        <v>12</v>
      </c>
    </row>
    <row r="1221">
      <c r="P1221" s="161"/>
      <c r="AI1221" s="102"/>
      <c r="AO1221" s="12"/>
      <c r="AP1221" s="12"/>
      <c r="AQ1221" s="12"/>
      <c r="AR1221" s="12"/>
      <c r="AS1221" s="12"/>
      <c r="AT1221" s="12"/>
      <c r="AU1221" s="12"/>
      <c r="AV1221" s="12"/>
      <c r="AW1221" s="12"/>
      <c r="AX1221" s="12"/>
      <c r="AY1221" s="12"/>
      <c r="AZ1221" s="12"/>
      <c r="BA1221" s="12"/>
      <c r="BB1221" s="12"/>
      <c r="BC1221" s="12"/>
      <c r="BD1221" s="12"/>
      <c r="BF1221" s="106" t="str">
        <f t="shared" si="1"/>
        <v>#VALUE!</v>
      </c>
      <c r="BG1221" s="21">
        <f t="shared" si="2"/>
        <v>12</v>
      </c>
    </row>
    <row r="1222">
      <c r="P1222" s="161"/>
      <c r="AI1222" s="102"/>
      <c r="AO1222" s="12"/>
      <c r="AP1222" s="12"/>
      <c r="AQ1222" s="12"/>
      <c r="AR1222" s="12"/>
      <c r="AS1222" s="12"/>
      <c r="AT1222" s="12"/>
      <c r="AU1222" s="12"/>
      <c r="AV1222" s="12"/>
      <c r="AW1222" s="12"/>
      <c r="AX1222" s="12"/>
      <c r="AY1222" s="12"/>
      <c r="AZ1222" s="12"/>
      <c r="BA1222" s="12"/>
      <c r="BB1222" s="12"/>
      <c r="BC1222" s="12"/>
      <c r="BD1222" s="12"/>
      <c r="BF1222" s="106" t="str">
        <f t="shared" si="1"/>
        <v>#VALUE!</v>
      </c>
      <c r="BG1222" s="21">
        <f t="shared" si="2"/>
        <v>12</v>
      </c>
    </row>
    <row r="1223">
      <c r="P1223" s="161"/>
      <c r="AI1223" s="102"/>
      <c r="AO1223" s="12"/>
      <c r="AP1223" s="12"/>
      <c r="AQ1223" s="12"/>
      <c r="AR1223" s="12"/>
      <c r="AS1223" s="12"/>
      <c r="AT1223" s="12"/>
      <c r="AU1223" s="12"/>
      <c r="AV1223" s="12"/>
      <c r="AW1223" s="12"/>
      <c r="AX1223" s="12"/>
      <c r="AY1223" s="12"/>
      <c r="AZ1223" s="12"/>
      <c r="BA1223" s="12"/>
      <c r="BB1223" s="12"/>
      <c r="BC1223" s="12"/>
      <c r="BD1223" s="12"/>
      <c r="BF1223" s="106" t="str">
        <f t="shared" si="1"/>
        <v>#VALUE!</v>
      </c>
      <c r="BG1223" s="21">
        <f t="shared" si="2"/>
        <v>12</v>
      </c>
    </row>
    <row r="1224">
      <c r="P1224" s="161"/>
      <c r="AI1224" s="102"/>
      <c r="AO1224" s="12"/>
      <c r="AP1224" s="12"/>
      <c r="AQ1224" s="12"/>
      <c r="AR1224" s="12"/>
      <c r="AS1224" s="12"/>
      <c r="AT1224" s="12"/>
      <c r="AU1224" s="12"/>
      <c r="AV1224" s="12"/>
      <c r="AW1224" s="12"/>
      <c r="AX1224" s="12"/>
      <c r="AY1224" s="12"/>
      <c r="AZ1224" s="12"/>
      <c r="BA1224" s="12"/>
      <c r="BB1224" s="12"/>
      <c r="BC1224" s="12"/>
      <c r="BD1224" s="12"/>
      <c r="BF1224" s="106" t="str">
        <f t="shared" si="1"/>
        <v>#VALUE!</v>
      </c>
      <c r="BG1224" s="21">
        <f t="shared" si="2"/>
        <v>12</v>
      </c>
    </row>
    <row r="1225">
      <c r="P1225" s="161"/>
      <c r="AI1225" s="102"/>
      <c r="AO1225" s="12"/>
      <c r="AP1225" s="12"/>
      <c r="AQ1225" s="12"/>
      <c r="AR1225" s="12"/>
      <c r="AS1225" s="12"/>
      <c r="AT1225" s="12"/>
      <c r="AU1225" s="12"/>
      <c r="AV1225" s="12"/>
      <c r="AW1225" s="12"/>
      <c r="AX1225" s="12"/>
      <c r="AY1225" s="12"/>
      <c r="AZ1225" s="12"/>
      <c r="BA1225" s="12"/>
      <c r="BB1225" s="12"/>
      <c r="BC1225" s="12"/>
      <c r="BD1225" s="12"/>
      <c r="BF1225" s="106" t="str">
        <f t="shared" si="1"/>
        <v>#VALUE!</v>
      </c>
      <c r="BG1225" s="21">
        <f t="shared" si="2"/>
        <v>12</v>
      </c>
    </row>
    <row r="1226">
      <c r="P1226" s="161"/>
      <c r="AI1226" s="102"/>
      <c r="AO1226" s="12"/>
      <c r="AP1226" s="12"/>
      <c r="AQ1226" s="12"/>
      <c r="AR1226" s="12"/>
      <c r="AS1226" s="12"/>
      <c r="AT1226" s="12"/>
      <c r="AU1226" s="12"/>
      <c r="AV1226" s="12"/>
      <c r="AW1226" s="12"/>
      <c r="AX1226" s="12"/>
      <c r="AY1226" s="12"/>
      <c r="AZ1226" s="12"/>
      <c r="BA1226" s="12"/>
      <c r="BB1226" s="12"/>
      <c r="BC1226" s="12"/>
      <c r="BD1226" s="12"/>
      <c r="BF1226" s="106" t="str">
        <f t="shared" si="1"/>
        <v>#VALUE!</v>
      </c>
      <c r="BG1226" s="21">
        <f t="shared" si="2"/>
        <v>12</v>
      </c>
    </row>
    <row r="1227">
      <c r="P1227" s="161"/>
      <c r="AI1227" s="102"/>
      <c r="AO1227" s="12"/>
      <c r="AP1227" s="12"/>
      <c r="AQ1227" s="12"/>
      <c r="AR1227" s="12"/>
      <c r="AS1227" s="12"/>
      <c r="AT1227" s="12"/>
      <c r="AU1227" s="12"/>
      <c r="AV1227" s="12"/>
      <c r="AW1227" s="12"/>
      <c r="AX1227" s="12"/>
      <c r="AY1227" s="12"/>
      <c r="AZ1227" s="12"/>
      <c r="BA1227" s="12"/>
      <c r="BB1227" s="12"/>
      <c r="BC1227" s="12"/>
      <c r="BD1227" s="12"/>
      <c r="BF1227" s="106" t="str">
        <f t="shared" si="1"/>
        <v>#VALUE!</v>
      </c>
      <c r="BG1227" s="21">
        <f t="shared" si="2"/>
        <v>12</v>
      </c>
    </row>
    <row r="1228">
      <c r="P1228" s="161"/>
      <c r="AI1228" s="102"/>
      <c r="AO1228" s="12"/>
      <c r="AP1228" s="12"/>
      <c r="AQ1228" s="12"/>
      <c r="AR1228" s="12"/>
      <c r="AS1228" s="12"/>
      <c r="AT1228" s="12"/>
      <c r="AU1228" s="12"/>
      <c r="AV1228" s="12"/>
      <c r="AW1228" s="12"/>
      <c r="AX1228" s="12"/>
      <c r="AY1228" s="12"/>
      <c r="AZ1228" s="12"/>
      <c r="BA1228" s="12"/>
      <c r="BB1228" s="12"/>
      <c r="BC1228" s="12"/>
      <c r="BD1228" s="12"/>
      <c r="BF1228" s="106" t="str">
        <f t="shared" si="1"/>
        <v>#VALUE!</v>
      </c>
      <c r="BG1228" s="21">
        <f t="shared" si="2"/>
        <v>12</v>
      </c>
    </row>
    <row r="1229">
      <c r="P1229" s="161"/>
      <c r="AI1229" s="102"/>
      <c r="AO1229" s="12"/>
      <c r="AP1229" s="12"/>
      <c r="AQ1229" s="12"/>
      <c r="AR1229" s="12"/>
      <c r="AS1229" s="12"/>
      <c r="AT1229" s="12"/>
      <c r="AU1229" s="12"/>
      <c r="AV1229" s="12"/>
      <c r="AW1229" s="12"/>
      <c r="AX1229" s="12"/>
      <c r="AY1229" s="12"/>
      <c r="AZ1229" s="12"/>
      <c r="BA1229" s="12"/>
      <c r="BB1229" s="12"/>
      <c r="BC1229" s="12"/>
      <c r="BD1229" s="12"/>
      <c r="BF1229" s="106" t="str">
        <f t="shared" si="1"/>
        <v>#VALUE!</v>
      </c>
      <c r="BG1229" s="21">
        <f t="shared" si="2"/>
        <v>12</v>
      </c>
    </row>
    <row r="1230">
      <c r="P1230" s="161"/>
      <c r="AI1230" s="102"/>
      <c r="AO1230" s="12"/>
      <c r="AP1230" s="12"/>
      <c r="AQ1230" s="12"/>
      <c r="AR1230" s="12"/>
      <c r="AS1230" s="12"/>
      <c r="AT1230" s="12"/>
      <c r="AU1230" s="12"/>
      <c r="AV1230" s="12"/>
      <c r="AW1230" s="12"/>
      <c r="AX1230" s="12"/>
      <c r="AY1230" s="12"/>
      <c r="AZ1230" s="12"/>
      <c r="BA1230" s="12"/>
      <c r="BB1230" s="12"/>
      <c r="BC1230" s="12"/>
      <c r="BD1230" s="12"/>
      <c r="BF1230" s="106" t="str">
        <f t="shared" si="1"/>
        <v>#VALUE!</v>
      </c>
      <c r="BG1230" s="21">
        <f t="shared" si="2"/>
        <v>12</v>
      </c>
    </row>
    <row r="1231">
      <c r="P1231" s="161"/>
      <c r="AI1231" s="102"/>
      <c r="AO1231" s="12"/>
      <c r="AP1231" s="12"/>
      <c r="AQ1231" s="12"/>
      <c r="AR1231" s="12"/>
      <c r="AS1231" s="12"/>
      <c r="AT1231" s="12"/>
      <c r="AU1231" s="12"/>
      <c r="AV1231" s="12"/>
      <c r="AW1231" s="12"/>
      <c r="AX1231" s="12"/>
      <c r="AY1231" s="12"/>
      <c r="AZ1231" s="12"/>
      <c r="BA1231" s="12"/>
      <c r="BB1231" s="12"/>
      <c r="BC1231" s="12"/>
      <c r="BD1231" s="12"/>
      <c r="BF1231" s="106" t="str">
        <f t="shared" si="1"/>
        <v>#VALUE!</v>
      </c>
      <c r="BG1231" s="21">
        <f t="shared" si="2"/>
        <v>12</v>
      </c>
    </row>
    <row r="1232">
      <c r="P1232" s="161"/>
      <c r="AI1232" s="102"/>
      <c r="AO1232" s="12"/>
      <c r="AP1232" s="12"/>
      <c r="AQ1232" s="12"/>
      <c r="AR1232" s="12"/>
      <c r="AS1232" s="12"/>
      <c r="AT1232" s="12"/>
      <c r="AU1232" s="12"/>
      <c r="AV1232" s="12"/>
      <c r="AW1232" s="12"/>
      <c r="AX1232" s="12"/>
      <c r="AY1232" s="12"/>
      <c r="AZ1232" s="12"/>
      <c r="BA1232" s="12"/>
      <c r="BB1232" s="12"/>
      <c r="BC1232" s="12"/>
      <c r="BD1232" s="12"/>
      <c r="BF1232" s="106" t="str">
        <f t="shared" si="1"/>
        <v>#VALUE!</v>
      </c>
      <c r="BG1232" s="21">
        <f t="shared" si="2"/>
        <v>12</v>
      </c>
    </row>
    <row r="1233">
      <c r="P1233" s="161"/>
      <c r="AI1233" s="102"/>
      <c r="AO1233" s="12"/>
      <c r="AP1233" s="12"/>
      <c r="AQ1233" s="12"/>
      <c r="AR1233" s="12"/>
      <c r="AS1233" s="12"/>
      <c r="AT1233" s="12"/>
      <c r="AU1233" s="12"/>
      <c r="AV1233" s="12"/>
      <c r="AW1233" s="12"/>
      <c r="AX1233" s="12"/>
      <c r="AY1233" s="12"/>
      <c r="AZ1233" s="12"/>
      <c r="BA1233" s="12"/>
      <c r="BB1233" s="12"/>
      <c r="BC1233" s="12"/>
      <c r="BD1233" s="12"/>
      <c r="BF1233" s="106" t="str">
        <f t="shared" si="1"/>
        <v>#VALUE!</v>
      </c>
      <c r="BG1233" s="21">
        <f t="shared" si="2"/>
        <v>12</v>
      </c>
    </row>
    <row r="1234">
      <c r="P1234" s="161"/>
      <c r="AI1234" s="102"/>
      <c r="AO1234" s="12"/>
      <c r="AP1234" s="12"/>
      <c r="AQ1234" s="12"/>
      <c r="AR1234" s="12"/>
      <c r="AS1234" s="12"/>
      <c r="AT1234" s="12"/>
      <c r="AU1234" s="12"/>
      <c r="AV1234" s="12"/>
      <c r="AW1234" s="12"/>
      <c r="AX1234" s="12"/>
      <c r="AY1234" s="12"/>
      <c r="AZ1234" s="12"/>
      <c r="BA1234" s="12"/>
      <c r="BB1234" s="12"/>
      <c r="BC1234" s="12"/>
      <c r="BD1234" s="12"/>
      <c r="BF1234" s="106" t="str">
        <f t="shared" si="1"/>
        <v>#VALUE!</v>
      </c>
      <c r="BG1234" s="21">
        <f t="shared" si="2"/>
        <v>12</v>
      </c>
    </row>
    <row r="1235">
      <c r="P1235" s="161"/>
      <c r="AI1235" s="102"/>
      <c r="AO1235" s="12"/>
      <c r="AP1235" s="12"/>
      <c r="AQ1235" s="12"/>
      <c r="AR1235" s="12"/>
      <c r="AS1235" s="12"/>
      <c r="AT1235" s="12"/>
      <c r="AU1235" s="12"/>
      <c r="AV1235" s="12"/>
      <c r="AW1235" s="12"/>
      <c r="AX1235" s="12"/>
      <c r="AY1235" s="12"/>
      <c r="AZ1235" s="12"/>
      <c r="BA1235" s="12"/>
      <c r="BB1235" s="12"/>
      <c r="BC1235" s="12"/>
      <c r="BD1235" s="12"/>
      <c r="BF1235" s="106" t="str">
        <f t="shared" si="1"/>
        <v>#VALUE!</v>
      </c>
      <c r="BG1235" s="21">
        <f t="shared" si="2"/>
        <v>12</v>
      </c>
    </row>
    <row r="1236">
      <c r="P1236" s="161"/>
      <c r="AI1236" s="102"/>
      <c r="AO1236" s="12"/>
      <c r="AP1236" s="12"/>
      <c r="AQ1236" s="12"/>
      <c r="AR1236" s="12"/>
      <c r="AS1236" s="12"/>
      <c r="AT1236" s="12"/>
      <c r="AU1236" s="12"/>
      <c r="AV1236" s="12"/>
      <c r="AW1236" s="12"/>
      <c r="AX1236" s="12"/>
      <c r="AY1236" s="12"/>
      <c r="AZ1236" s="12"/>
      <c r="BA1236" s="12"/>
      <c r="BB1236" s="12"/>
      <c r="BC1236" s="12"/>
      <c r="BD1236" s="12"/>
      <c r="BF1236" s="106" t="str">
        <f t="shared" si="1"/>
        <v>#VALUE!</v>
      </c>
      <c r="BG1236" s="21">
        <f t="shared" si="2"/>
        <v>12</v>
      </c>
    </row>
    <row r="1237">
      <c r="P1237" s="161"/>
      <c r="AI1237" s="102"/>
      <c r="AO1237" s="12"/>
      <c r="AP1237" s="12"/>
      <c r="AQ1237" s="12"/>
      <c r="AR1237" s="12"/>
      <c r="AS1237" s="12"/>
      <c r="AT1237" s="12"/>
      <c r="AU1237" s="12"/>
      <c r="AV1237" s="12"/>
      <c r="AW1237" s="12"/>
      <c r="AX1237" s="12"/>
      <c r="AY1237" s="12"/>
      <c r="AZ1237" s="12"/>
      <c r="BA1237" s="12"/>
      <c r="BB1237" s="12"/>
      <c r="BC1237" s="12"/>
      <c r="BD1237" s="12"/>
      <c r="BF1237" s="106" t="str">
        <f t="shared" si="1"/>
        <v>#VALUE!</v>
      </c>
      <c r="BG1237" s="21">
        <f t="shared" si="2"/>
        <v>12</v>
      </c>
    </row>
    <row r="1238">
      <c r="P1238" s="161"/>
      <c r="AI1238" s="102"/>
      <c r="AO1238" s="12"/>
      <c r="AP1238" s="12"/>
      <c r="AQ1238" s="12"/>
      <c r="AR1238" s="12"/>
      <c r="AS1238" s="12"/>
      <c r="AT1238" s="12"/>
      <c r="AU1238" s="12"/>
      <c r="AV1238" s="12"/>
      <c r="AW1238" s="12"/>
      <c r="AX1238" s="12"/>
      <c r="AY1238" s="12"/>
      <c r="AZ1238" s="12"/>
      <c r="BA1238" s="12"/>
      <c r="BB1238" s="12"/>
      <c r="BC1238" s="12"/>
      <c r="BD1238" s="12"/>
      <c r="BF1238" s="106" t="str">
        <f t="shared" si="1"/>
        <v>#VALUE!</v>
      </c>
      <c r="BG1238" s="21">
        <f t="shared" si="2"/>
        <v>12</v>
      </c>
    </row>
    <row r="1239">
      <c r="P1239" s="161"/>
      <c r="AI1239" s="102"/>
      <c r="AO1239" s="12"/>
      <c r="AP1239" s="12"/>
      <c r="AQ1239" s="12"/>
      <c r="AR1239" s="12"/>
      <c r="AS1239" s="12"/>
      <c r="AT1239" s="12"/>
      <c r="AU1239" s="12"/>
      <c r="AV1239" s="12"/>
      <c r="AW1239" s="12"/>
      <c r="AX1239" s="12"/>
      <c r="AY1239" s="12"/>
      <c r="AZ1239" s="12"/>
      <c r="BA1239" s="12"/>
      <c r="BB1239" s="12"/>
      <c r="BC1239" s="12"/>
      <c r="BD1239" s="12"/>
      <c r="BF1239" s="106" t="str">
        <f t="shared" si="1"/>
        <v>#VALUE!</v>
      </c>
      <c r="BG1239" s="21">
        <f t="shared" si="2"/>
        <v>12</v>
      </c>
    </row>
    <row r="1240">
      <c r="P1240" s="161"/>
      <c r="AI1240" s="102"/>
      <c r="AO1240" s="12"/>
      <c r="AP1240" s="12"/>
      <c r="AQ1240" s="12"/>
      <c r="AR1240" s="12"/>
      <c r="AS1240" s="12"/>
      <c r="AT1240" s="12"/>
      <c r="AU1240" s="12"/>
      <c r="AV1240" s="12"/>
      <c r="AW1240" s="12"/>
      <c r="AX1240" s="12"/>
      <c r="AY1240" s="12"/>
      <c r="AZ1240" s="12"/>
      <c r="BA1240" s="12"/>
      <c r="BB1240" s="12"/>
      <c r="BC1240" s="12"/>
      <c r="BD1240" s="12"/>
      <c r="BF1240" s="106" t="str">
        <f t="shared" si="1"/>
        <v>#VALUE!</v>
      </c>
      <c r="BG1240" s="21">
        <f t="shared" si="2"/>
        <v>12</v>
      </c>
    </row>
    <row r="1241">
      <c r="P1241" s="161"/>
      <c r="AI1241" s="102"/>
      <c r="AO1241" s="12"/>
      <c r="AP1241" s="12"/>
      <c r="AQ1241" s="12"/>
      <c r="AR1241" s="12"/>
      <c r="AS1241" s="12"/>
      <c r="AT1241" s="12"/>
      <c r="AU1241" s="12"/>
      <c r="AV1241" s="12"/>
      <c r="AW1241" s="12"/>
      <c r="AX1241" s="12"/>
      <c r="AY1241" s="12"/>
      <c r="AZ1241" s="12"/>
      <c r="BA1241" s="12"/>
      <c r="BB1241" s="12"/>
      <c r="BC1241" s="12"/>
      <c r="BD1241" s="12"/>
      <c r="BF1241" s="106" t="str">
        <f t="shared" si="1"/>
        <v>#VALUE!</v>
      </c>
      <c r="BG1241" s="21">
        <f t="shared" si="2"/>
        <v>12</v>
      </c>
    </row>
    <row r="1242">
      <c r="P1242" s="161"/>
      <c r="AI1242" s="102"/>
      <c r="AO1242" s="12"/>
      <c r="AP1242" s="12"/>
      <c r="AQ1242" s="12"/>
      <c r="AR1242" s="12"/>
      <c r="AS1242" s="12"/>
      <c r="AT1242" s="12"/>
      <c r="AU1242" s="12"/>
      <c r="AV1242" s="12"/>
      <c r="AW1242" s="12"/>
      <c r="AX1242" s="12"/>
      <c r="AY1242" s="12"/>
      <c r="AZ1242" s="12"/>
      <c r="BA1242" s="12"/>
      <c r="BB1242" s="12"/>
      <c r="BC1242" s="12"/>
      <c r="BD1242" s="12"/>
      <c r="BF1242" s="106" t="str">
        <f t="shared" si="1"/>
        <v>#VALUE!</v>
      </c>
      <c r="BG1242" s="21">
        <f t="shared" si="2"/>
        <v>12</v>
      </c>
    </row>
    <row r="1243">
      <c r="P1243" s="161"/>
      <c r="AI1243" s="102"/>
      <c r="AO1243" s="12"/>
      <c r="AP1243" s="12"/>
      <c r="AQ1243" s="12"/>
      <c r="AR1243" s="12"/>
      <c r="AS1243" s="12"/>
      <c r="AT1243" s="12"/>
      <c r="AU1243" s="12"/>
      <c r="AV1243" s="12"/>
      <c r="AW1243" s="12"/>
      <c r="AX1243" s="12"/>
      <c r="AY1243" s="12"/>
      <c r="AZ1243" s="12"/>
      <c r="BA1243" s="12"/>
      <c r="BB1243" s="12"/>
      <c r="BC1243" s="12"/>
      <c r="BD1243" s="12"/>
      <c r="BF1243" s="106" t="str">
        <f t="shared" si="1"/>
        <v>#VALUE!</v>
      </c>
      <c r="BG1243" s="21">
        <f t="shared" si="2"/>
        <v>12</v>
      </c>
    </row>
    <row r="1244">
      <c r="P1244" s="161"/>
      <c r="AI1244" s="102"/>
      <c r="AO1244" s="12"/>
      <c r="AP1244" s="12"/>
      <c r="AQ1244" s="12"/>
      <c r="AR1244" s="12"/>
      <c r="AS1244" s="12"/>
      <c r="AT1244" s="12"/>
      <c r="AU1244" s="12"/>
      <c r="AV1244" s="12"/>
      <c r="AW1244" s="12"/>
      <c r="AX1244" s="12"/>
      <c r="AY1244" s="12"/>
      <c r="AZ1244" s="12"/>
      <c r="BA1244" s="12"/>
      <c r="BB1244" s="12"/>
      <c r="BC1244" s="12"/>
      <c r="BD1244" s="12"/>
      <c r="BF1244" s="106" t="str">
        <f t="shared" si="1"/>
        <v>#VALUE!</v>
      </c>
      <c r="BG1244" s="21">
        <f t="shared" si="2"/>
        <v>12</v>
      </c>
    </row>
    <row r="1245">
      <c r="P1245" s="161"/>
      <c r="AI1245" s="102"/>
      <c r="AO1245" s="12"/>
      <c r="AP1245" s="12"/>
      <c r="AQ1245" s="12"/>
      <c r="AR1245" s="12"/>
      <c r="AS1245" s="12"/>
      <c r="AT1245" s="12"/>
      <c r="AU1245" s="12"/>
      <c r="AV1245" s="12"/>
      <c r="AW1245" s="12"/>
      <c r="AX1245" s="12"/>
      <c r="AY1245" s="12"/>
      <c r="AZ1245" s="12"/>
      <c r="BA1245" s="12"/>
      <c r="BB1245" s="12"/>
      <c r="BC1245" s="12"/>
      <c r="BD1245" s="12"/>
      <c r="BF1245" s="106" t="str">
        <f t="shared" si="1"/>
        <v>#VALUE!</v>
      </c>
      <c r="BG1245" s="21">
        <f t="shared" si="2"/>
        <v>12</v>
      </c>
    </row>
    <row r="1246">
      <c r="P1246" s="161"/>
      <c r="AI1246" s="102"/>
      <c r="AO1246" s="12"/>
      <c r="AP1246" s="12"/>
      <c r="AQ1246" s="12"/>
      <c r="AR1246" s="12"/>
      <c r="AS1246" s="12"/>
      <c r="AT1246" s="12"/>
      <c r="AU1246" s="12"/>
      <c r="AV1246" s="12"/>
      <c r="AW1246" s="12"/>
      <c r="AX1246" s="12"/>
      <c r="AY1246" s="12"/>
      <c r="AZ1246" s="12"/>
      <c r="BA1246" s="12"/>
      <c r="BB1246" s="12"/>
      <c r="BC1246" s="12"/>
      <c r="BD1246" s="12"/>
      <c r="BF1246" s="106" t="str">
        <f t="shared" si="1"/>
        <v>#VALUE!</v>
      </c>
      <c r="BG1246" s="21">
        <f t="shared" si="2"/>
        <v>12</v>
      </c>
    </row>
    <row r="1247">
      <c r="P1247" s="161"/>
      <c r="AI1247" s="102"/>
      <c r="AO1247" s="12"/>
      <c r="AP1247" s="12"/>
      <c r="AQ1247" s="12"/>
      <c r="AR1247" s="12"/>
      <c r="AS1247" s="12"/>
      <c r="AT1247" s="12"/>
      <c r="AU1247" s="12"/>
      <c r="AV1247" s="12"/>
      <c r="AW1247" s="12"/>
      <c r="AX1247" s="12"/>
      <c r="AY1247" s="12"/>
      <c r="AZ1247" s="12"/>
      <c r="BA1247" s="12"/>
      <c r="BB1247" s="12"/>
      <c r="BC1247" s="12"/>
      <c r="BD1247" s="12"/>
      <c r="BF1247" s="106" t="str">
        <f t="shared" si="1"/>
        <v>#VALUE!</v>
      </c>
      <c r="BG1247" s="21">
        <f t="shared" si="2"/>
        <v>12</v>
      </c>
    </row>
    <row r="1248">
      <c r="P1248" s="161"/>
      <c r="AI1248" s="102"/>
      <c r="AO1248" s="12"/>
      <c r="AP1248" s="12"/>
      <c r="AQ1248" s="12"/>
      <c r="AR1248" s="12"/>
      <c r="AS1248" s="12"/>
      <c r="AT1248" s="12"/>
      <c r="AU1248" s="12"/>
      <c r="AV1248" s="12"/>
      <c r="AW1248" s="12"/>
      <c r="AX1248" s="12"/>
      <c r="AY1248" s="12"/>
      <c r="AZ1248" s="12"/>
      <c r="BA1248" s="12"/>
      <c r="BB1248" s="12"/>
      <c r="BC1248" s="12"/>
      <c r="BD1248" s="12"/>
      <c r="BF1248" s="106" t="str">
        <f t="shared" si="1"/>
        <v>#VALUE!</v>
      </c>
      <c r="BG1248" s="21">
        <f t="shared" si="2"/>
        <v>12</v>
      </c>
    </row>
    <row r="1249">
      <c r="P1249" s="161"/>
      <c r="AI1249" s="102"/>
      <c r="AO1249" s="12"/>
      <c r="AP1249" s="12"/>
      <c r="AQ1249" s="12"/>
      <c r="AR1249" s="12"/>
      <c r="AS1249" s="12"/>
      <c r="AT1249" s="12"/>
      <c r="AU1249" s="12"/>
      <c r="AV1249" s="12"/>
      <c r="AW1249" s="12"/>
      <c r="AX1249" s="12"/>
      <c r="AY1249" s="12"/>
      <c r="AZ1249" s="12"/>
      <c r="BA1249" s="12"/>
      <c r="BB1249" s="12"/>
      <c r="BC1249" s="12"/>
      <c r="BD1249" s="12"/>
      <c r="BF1249" s="106" t="str">
        <f t="shared" si="1"/>
        <v>#VALUE!</v>
      </c>
      <c r="BG1249" s="21">
        <f t="shared" si="2"/>
        <v>12</v>
      </c>
    </row>
    <row r="1250">
      <c r="P1250" s="161"/>
      <c r="AI1250" s="102"/>
      <c r="AO1250" s="12"/>
      <c r="AP1250" s="12"/>
      <c r="AQ1250" s="12"/>
      <c r="AR1250" s="12"/>
      <c r="AS1250" s="12"/>
      <c r="AT1250" s="12"/>
      <c r="AU1250" s="12"/>
      <c r="AV1250" s="12"/>
      <c r="AW1250" s="12"/>
      <c r="AX1250" s="12"/>
      <c r="AY1250" s="12"/>
      <c r="AZ1250" s="12"/>
      <c r="BA1250" s="12"/>
      <c r="BB1250" s="12"/>
      <c r="BC1250" s="12"/>
      <c r="BD1250" s="12"/>
      <c r="BF1250" s="106" t="str">
        <f t="shared" si="1"/>
        <v>#VALUE!</v>
      </c>
      <c r="BG1250" s="21">
        <f t="shared" si="2"/>
        <v>12</v>
      </c>
    </row>
    <row r="1251">
      <c r="P1251" s="161"/>
      <c r="AI1251" s="102"/>
      <c r="AO1251" s="12"/>
      <c r="AP1251" s="12"/>
      <c r="AQ1251" s="12"/>
      <c r="AR1251" s="12"/>
      <c r="AS1251" s="12"/>
      <c r="AT1251" s="12"/>
      <c r="AU1251" s="12"/>
      <c r="AV1251" s="12"/>
      <c r="AW1251" s="12"/>
      <c r="AX1251" s="12"/>
      <c r="AY1251" s="12"/>
      <c r="AZ1251" s="12"/>
      <c r="BA1251" s="12"/>
      <c r="BB1251" s="12"/>
      <c r="BC1251" s="12"/>
      <c r="BD1251" s="12"/>
      <c r="BF1251" s="106" t="str">
        <f t="shared" si="1"/>
        <v>#VALUE!</v>
      </c>
      <c r="BG1251" s="21">
        <f t="shared" si="2"/>
        <v>12</v>
      </c>
    </row>
    <row r="1252">
      <c r="P1252" s="161"/>
      <c r="AI1252" s="102"/>
      <c r="AO1252" s="12"/>
      <c r="AP1252" s="12"/>
      <c r="AQ1252" s="12"/>
      <c r="AR1252" s="12"/>
      <c r="AS1252" s="12"/>
      <c r="AT1252" s="12"/>
      <c r="AU1252" s="12"/>
      <c r="AV1252" s="12"/>
      <c r="AW1252" s="12"/>
      <c r="AX1252" s="12"/>
      <c r="AY1252" s="12"/>
      <c r="AZ1252" s="12"/>
      <c r="BA1252" s="12"/>
      <c r="BB1252" s="12"/>
      <c r="BC1252" s="12"/>
      <c r="BD1252" s="12"/>
      <c r="BF1252" s="106" t="str">
        <f t="shared" si="1"/>
        <v>#VALUE!</v>
      </c>
      <c r="BG1252" s="21">
        <f t="shared" si="2"/>
        <v>12</v>
      </c>
    </row>
    <row r="1253">
      <c r="P1253" s="161"/>
      <c r="AI1253" s="102"/>
      <c r="AO1253" s="12"/>
      <c r="AP1253" s="12"/>
      <c r="AQ1253" s="12"/>
      <c r="AR1253" s="12"/>
      <c r="AS1253" s="12"/>
      <c r="AT1253" s="12"/>
      <c r="AU1253" s="12"/>
      <c r="AV1253" s="12"/>
      <c r="AW1253" s="12"/>
      <c r="AX1253" s="12"/>
      <c r="AY1253" s="12"/>
      <c r="AZ1253" s="12"/>
      <c r="BA1253" s="12"/>
      <c r="BB1253" s="12"/>
      <c r="BC1253" s="12"/>
      <c r="BD1253" s="12"/>
      <c r="BF1253" s="106" t="str">
        <f t="shared" si="1"/>
        <v>#VALUE!</v>
      </c>
      <c r="BG1253" s="21">
        <f t="shared" si="2"/>
        <v>12</v>
      </c>
    </row>
    <row r="1254">
      <c r="P1254" s="161"/>
      <c r="AI1254" s="102"/>
      <c r="AO1254" s="12"/>
      <c r="AP1254" s="12"/>
      <c r="AQ1254" s="12"/>
      <c r="AR1254" s="12"/>
      <c r="AS1254" s="12"/>
      <c r="AT1254" s="12"/>
      <c r="AU1254" s="12"/>
      <c r="AV1254" s="12"/>
      <c r="AW1254" s="12"/>
      <c r="AX1254" s="12"/>
      <c r="AY1254" s="12"/>
      <c r="AZ1254" s="12"/>
      <c r="BA1254" s="12"/>
      <c r="BB1254" s="12"/>
      <c r="BC1254" s="12"/>
      <c r="BD1254" s="12"/>
      <c r="BF1254" s="106" t="str">
        <f t="shared" si="1"/>
        <v>#VALUE!</v>
      </c>
      <c r="BG1254" s="21">
        <f t="shared" si="2"/>
        <v>12</v>
      </c>
    </row>
    <row r="1255">
      <c r="P1255" s="161"/>
      <c r="AI1255" s="102"/>
      <c r="AO1255" s="12"/>
      <c r="AP1255" s="12"/>
      <c r="AQ1255" s="12"/>
      <c r="AR1255" s="12"/>
      <c r="AS1255" s="12"/>
      <c r="AT1255" s="12"/>
      <c r="AU1255" s="12"/>
      <c r="AV1255" s="12"/>
      <c r="AW1255" s="12"/>
      <c r="AX1255" s="12"/>
      <c r="AY1255" s="12"/>
      <c r="AZ1255" s="12"/>
      <c r="BA1255" s="12"/>
      <c r="BB1255" s="12"/>
      <c r="BC1255" s="12"/>
      <c r="BD1255" s="12"/>
      <c r="BF1255" s="106" t="str">
        <f t="shared" si="1"/>
        <v>#VALUE!</v>
      </c>
      <c r="BG1255" s="21">
        <f t="shared" si="2"/>
        <v>12</v>
      </c>
    </row>
    <row r="1256">
      <c r="P1256" s="161"/>
      <c r="AI1256" s="102"/>
      <c r="AO1256" s="12"/>
      <c r="AP1256" s="12"/>
      <c r="AQ1256" s="12"/>
      <c r="AR1256" s="12"/>
      <c r="AS1256" s="12"/>
      <c r="AT1256" s="12"/>
      <c r="AU1256" s="12"/>
      <c r="AV1256" s="12"/>
      <c r="AW1256" s="12"/>
      <c r="AX1256" s="12"/>
      <c r="AY1256" s="12"/>
      <c r="AZ1256" s="12"/>
      <c r="BA1256" s="12"/>
      <c r="BB1256" s="12"/>
      <c r="BC1256" s="12"/>
      <c r="BD1256" s="12"/>
      <c r="BF1256" s="106" t="str">
        <f t="shared" si="1"/>
        <v>#VALUE!</v>
      </c>
      <c r="BG1256" s="21">
        <f t="shared" si="2"/>
        <v>12</v>
      </c>
    </row>
    <row r="1257">
      <c r="P1257" s="161"/>
      <c r="AI1257" s="102"/>
      <c r="AO1257" s="12"/>
      <c r="AP1257" s="12"/>
      <c r="AQ1257" s="12"/>
      <c r="AR1257" s="12"/>
      <c r="AS1257" s="12"/>
      <c r="AT1257" s="12"/>
      <c r="AU1257" s="12"/>
      <c r="AV1257" s="12"/>
      <c r="AW1257" s="12"/>
      <c r="AX1257" s="12"/>
      <c r="AY1257" s="12"/>
      <c r="AZ1257" s="12"/>
      <c r="BA1257" s="12"/>
      <c r="BB1257" s="12"/>
      <c r="BC1257" s="12"/>
      <c r="BD1257" s="12"/>
      <c r="BF1257" s="106" t="str">
        <f t="shared" si="1"/>
        <v>#VALUE!</v>
      </c>
      <c r="BG1257" s="21">
        <f t="shared" si="2"/>
        <v>12</v>
      </c>
    </row>
    <row r="1258">
      <c r="P1258" s="161"/>
      <c r="AI1258" s="102"/>
      <c r="AO1258" s="12"/>
      <c r="AP1258" s="12"/>
      <c r="AQ1258" s="12"/>
      <c r="AR1258" s="12"/>
      <c r="AS1258" s="12"/>
      <c r="AT1258" s="12"/>
      <c r="AU1258" s="12"/>
      <c r="AV1258" s="12"/>
      <c r="AW1258" s="12"/>
      <c r="AX1258" s="12"/>
      <c r="AY1258" s="12"/>
      <c r="AZ1258" s="12"/>
      <c r="BA1258" s="12"/>
      <c r="BB1258" s="12"/>
      <c r="BC1258" s="12"/>
      <c r="BD1258" s="12"/>
      <c r="BF1258" s="106" t="str">
        <f t="shared" si="1"/>
        <v>#VALUE!</v>
      </c>
      <c r="BG1258" s="21">
        <f t="shared" si="2"/>
        <v>12</v>
      </c>
    </row>
    <row r="1259">
      <c r="P1259" s="161"/>
      <c r="AI1259" s="102"/>
      <c r="AO1259" s="12"/>
      <c r="AP1259" s="12"/>
      <c r="AQ1259" s="12"/>
      <c r="AR1259" s="12"/>
      <c r="AS1259" s="12"/>
      <c r="AT1259" s="12"/>
      <c r="AU1259" s="12"/>
      <c r="AV1259" s="12"/>
      <c r="AW1259" s="12"/>
      <c r="AX1259" s="12"/>
      <c r="AY1259" s="12"/>
      <c r="AZ1259" s="12"/>
      <c r="BA1259" s="12"/>
      <c r="BB1259" s="12"/>
      <c r="BC1259" s="12"/>
      <c r="BD1259" s="12"/>
      <c r="BF1259" s="106" t="str">
        <f t="shared" si="1"/>
        <v>#VALUE!</v>
      </c>
      <c r="BG1259" s="21">
        <f t="shared" si="2"/>
        <v>12</v>
      </c>
    </row>
    <row r="1260">
      <c r="P1260" s="161"/>
      <c r="AI1260" s="102"/>
      <c r="AO1260" s="12"/>
      <c r="AP1260" s="12"/>
      <c r="AQ1260" s="12"/>
      <c r="AR1260" s="12"/>
      <c r="AS1260" s="12"/>
      <c r="AT1260" s="12"/>
      <c r="AU1260" s="12"/>
      <c r="AV1260" s="12"/>
      <c r="AW1260" s="12"/>
      <c r="AX1260" s="12"/>
      <c r="AY1260" s="12"/>
      <c r="AZ1260" s="12"/>
      <c r="BA1260" s="12"/>
      <c r="BB1260" s="12"/>
      <c r="BC1260" s="12"/>
      <c r="BD1260" s="12"/>
      <c r="BF1260" s="106" t="str">
        <f t="shared" si="1"/>
        <v>#VALUE!</v>
      </c>
      <c r="BG1260" s="21">
        <f t="shared" si="2"/>
        <v>12</v>
      </c>
    </row>
    <row r="1261">
      <c r="P1261" s="161"/>
      <c r="AI1261" s="102"/>
      <c r="AO1261" s="12"/>
      <c r="AP1261" s="12"/>
      <c r="AQ1261" s="12"/>
      <c r="AR1261" s="12"/>
      <c r="AS1261" s="12"/>
      <c r="AT1261" s="12"/>
      <c r="AU1261" s="12"/>
      <c r="AV1261" s="12"/>
      <c r="AW1261" s="12"/>
      <c r="AX1261" s="12"/>
      <c r="AY1261" s="12"/>
      <c r="AZ1261" s="12"/>
      <c r="BA1261" s="12"/>
      <c r="BB1261" s="12"/>
      <c r="BC1261" s="12"/>
      <c r="BD1261" s="12"/>
      <c r="BF1261" s="106" t="str">
        <f t="shared" si="1"/>
        <v>#VALUE!</v>
      </c>
      <c r="BG1261" s="21">
        <f t="shared" si="2"/>
        <v>12</v>
      </c>
    </row>
    <row r="1262">
      <c r="P1262" s="161"/>
      <c r="AI1262" s="102"/>
      <c r="AO1262" s="12"/>
      <c r="AP1262" s="12"/>
      <c r="AQ1262" s="12"/>
      <c r="AR1262" s="12"/>
      <c r="AS1262" s="12"/>
      <c r="AT1262" s="12"/>
      <c r="AU1262" s="12"/>
      <c r="AV1262" s="12"/>
      <c r="AW1262" s="12"/>
      <c r="AX1262" s="12"/>
      <c r="AY1262" s="12"/>
      <c r="AZ1262" s="12"/>
      <c r="BA1262" s="12"/>
      <c r="BB1262" s="12"/>
      <c r="BC1262" s="12"/>
      <c r="BD1262" s="12"/>
      <c r="BF1262" s="106" t="str">
        <f t="shared" si="1"/>
        <v>#VALUE!</v>
      </c>
      <c r="BG1262" s="21">
        <f t="shared" si="2"/>
        <v>12</v>
      </c>
    </row>
    <row r="1263">
      <c r="P1263" s="161"/>
      <c r="AI1263" s="102"/>
      <c r="AO1263" s="12"/>
      <c r="AP1263" s="12"/>
      <c r="AQ1263" s="12"/>
      <c r="AR1263" s="12"/>
      <c r="AS1263" s="12"/>
      <c r="AT1263" s="12"/>
      <c r="AU1263" s="12"/>
      <c r="AV1263" s="12"/>
      <c r="AW1263" s="12"/>
      <c r="AX1263" s="12"/>
      <c r="AY1263" s="12"/>
      <c r="AZ1263" s="12"/>
      <c r="BA1263" s="12"/>
      <c r="BB1263" s="12"/>
      <c r="BC1263" s="12"/>
      <c r="BD1263" s="12"/>
      <c r="BF1263" s="106" t="str">
        <f t="shared" si="1"/>
        <v>#VALUE!</v>
      </c>
      <c r="BG1263" s="21">
        <f t="shared" si="2"/>
        <v>12</v>
      </c>
    </row>
    <row r="1264">
      <c r="P1264" s="161"/>
      <c r="AI1264" s="102"/>
      <c r="AO1264" s="12"/>
      <c r="AP1264" s="12"/>
      <c r="AQ1264" s="12"/>
      <c r="AR1264" s="12"/>
      <c r="AS1264" s="12"/>
      <c r="AT1264" s="12"/>
      <c r="AU1264" s="12"/>
      <c r="AV1264" s="12"/>
      <c r="AW1264" s="12"/>
      <c r="AX1264" s="12"/>
      <c r="AY1264" s="12"/>
      <c r="AZ1264" s="12"/>
      <c r="BA1264" s="12"/>
      <c r="BB1264" s="12"/>
      <c r="BC1264" s="12"/>
      <c r="BD1264" s="12"/>
      <c r="BF1264" s="106" t="str">
        <f t="shared" si="1"/>
        <v>#VALUE!</v>
      </c>
      <c r="BG1264" s="21">
        <f t="shared" si="2"/>
        <v>12</v>
      </c>
    </row>
    <row r="1265">
      <c r="P1265" s="161"/>
      <c r="AI1265" s="102"/>
      <c r="AO1265" s="12"/>
      <c r="AP1265" s="12"/>
      <c r="AQ1265" s="12"/>
      <c r="AR1265" s="12"/>
      <c r="AS1265" s="12"/>
      <c r="AT1265" s="12"/>
      <c r="AU1265" s="12"/>
      <c r="AV1265" s="12"/>
      <c r="AW1265" s="12"/>
      <c r="AX1265" s="12"/>
      <c r="AY1265" s="12"/>
      <c r="AZ1265" s="12"/>
      <c r="BA1265" s="12"/>
      <c r="BB1265" s="12"/>
      <c r="BC1265" s="12"/>
      <c r="BD1265" s="12"/>
      <c r="BF1265" s="106" t="str">
        <f t="shared" si="1"/>
        <v>#VALUE!</v>
      </c>
      <c r="BG1265" s="21">
        <f t="shared" si="2"/>
        <v>12</v>
      </c>
    </row>
    <row r="1266">
      <c r="P1266" s="161"/>
      <c r="AI1266" s="102"/>
      <c r="AO1266" s="12"/>
      <c r="AP1266" s="12"/>
      <c r="AQ1266" s="12"/>
      <c r="AR1266" s="12"/>
      <c r="AS1266" s="12"/>
      <c r="AT1266" s="12"/>
      <c r="AU1266" s="12"/>
      <c r="AV1266" s="12"/>
      <c r="AW1266" s="12"/>
      <c r="AX1266" s="12"/>
      <c r="AY1266" s="12"/>
      <c r="AZ1266" s="12"/>
      <c r="BA1266" s="12"/>
      <c r="BB1266" s="12"/>
      <c r="BC1266" s="12"/>
      <c r="BD1266" s="12"/>
      <c r="BF1266" s="106" t="str">
        <f t="shared" si="1"/>
        <v>#VALUE!</v>
      </c>
      <c r="BG1266" s="21">
        <f t="shared" si="2"/>
        <v>12</v>
      </c>
    </row>
    <row r="1267">
      <c r="P1267" s="161"/>
      <c r="AI1267" s="102"/>
      <c r="AO1267" s="12"/>
      <c r="AP1267" s="12"/>
      <c r="AQ1267" s="12"/>
      <c r="AR1267" s="12"/>
      <c r="AS1267" s="12"/>
      <c r="AT1267" s="12"/>
      <c r="AU1267" s="12"/>
      <c r="AV1267" s="12"/>
      <c r="AW1267" s="12"/>
      <c r="AX1267" s="12"/>
      <c r="AY1267" s="12"/>
      <c r="AZ1267" s="12"/>
      <c r="BA1267" s="12"/>
      <c r="BB1267" s="12"/>
      <c r="BC1267" s="12"/>
      <c r="BD1267" s="12"/>
      <c r="BF1267" s="106" t="str">
        <f t="shared" si="1"/>
        <v>#VALUE!</v>
      </c>
      <c r="BG1267" s="21">
        <f t="shared" si="2"/>
        <v>12</v>
      </c>
    </row>
    <row r="1268">
      <c r="P1268" s="161"/>
      <c r="AI1268" s="102"/>
      <c r="AO1268" s="12"/>
      <c r="AP1268" s="12"/>
      <c r="AQ1268" s="12"/>
      <c r="AR1268" s="12"/>
      <c r="AS1268" s="12"/>
      <c r="AT1268" s="12"/>
      <c r="AU1268" s="12"/>
      <c r="AV1268" s="12"/>
      <c r="AW1268" s="12"/>
      <c r="AX1268" s="12"/>
      <c r="AY1268" s="12"/>
      <c r="AZ1268" s="12"/>
      <c r="BA1268" s="12"/>
      <c r="BB1268" s="12"/>
      <c r="BC1268" s="12"/>
      <c r="BD1268" s="12"/>
      <c r="BF1268" s="106" t="str">
        <f t="shared" si="1"/>
        <v>#VALUE!</v>
      </c>
      <c r="BG1268" s="21">
        <f t="shared" si="2"/>
        <v>12</v>
      </c>
    </row>
    <row r="1269">
      <c r="P1269" s="161"/>
      <c r="AI1269" s="102"/>
      <c r="AO1269" s="12"/>
      <c r="AP1269" s="12"/>
      <c r="AQ1269" s="12"/>
      <c r="AR1269" s="12"/>
      <c r="AS1269" s="12"/>
      <c r="AT1269" s="12"/>
      <c r="AU1269" s="12"/>
      <c r="AV1269" s="12"/>
      <c r="AW1269" s="12"/>
      <c r="AX1269" s="12"/>
      <c r="AY1269" s="12"/>
      <c r="AZ1269" s="12"/>
      <c r="BA1269" s="12"/>
      <c r="BB1269" s="12"/>
      <c r="BC1269" s="12"/>
      <c r="BD1269" s="12"/>
      <c r="BF1269" s="106" t="str">
        <f t="shared" si="1"/>
        <v>#VALUE!</v>
      </c>
      <c r="BG1269" s="21">
        <f t="shared" si="2"/>
        <v>12</v>
      </c>
    </row>
    <row r="1270">
      <c r="P1270" s="161"/>
      <c r="AI1270" s="102"/>
      <c r="AO1270" s="12"/>
      <c r="AP1270" s="12"/>
      <c r="AQ1270" s="12"/>
      <c r="AR1270" s="12"/>
      <c r="AS1270" s="12"/>
      <c r="AT1270" s="12"/>
      <c r="AU1270" s="12"/>
      <c r="AV1270" s="12"/>
      <c r="AW1270" s="12"/>
      <c r="AX1270" s="12"/>
      <c r="AY1270" s="12"/>
      <c r="AZ1270" s="12"/>
      <c r="BA1270" s="12"/>
      <c r="BB1270" s="12"/>
      <c r="BC1270" s="12"/>
      <c r="BD1270" s="12"/>
      <c r="BF1270" s="106" t="str">
        <f t="shared" si="1"/>
        <v>#VALUE!</v>
      </c>
      <c r="BG1270" s="21">
        <f t="shared" si="2"/>
        <v>12</v>
      </c>
    </row>
    <row r="1271">
      <c r="P1271" s="161"/>
      <c r="AI1271" s="102"/>
      <c r="AO1271" s="12"/>
      <c r="AP1271" s="12"/>
      <c r="AQ1271" s="12"/>
      <c r="AR1271" s="12"/>
      <c r="AS1271" s="12"/>
      <c r="AT1271" s="12"/>
      <c r="AU1271" s="12"/>
      <c r="AV1271" s="12"/>
      <c r="AW1271" s="12"/>
      <c r="AX1271" s="12"/>
      <c r="AY1271" s="12"/>
      <c r="AZ1271" s="12"/>
      <c r="BA1271" s="12"/>
      <c r="BB1271" s="12"/>
      <c r="BC1271" s="12"/>
      <c r="BD1271" s="12"/>
      <c r="BF1271" s="106" t="str">
        <f t="shared" si="1"/>
        <v>#VALUE!</v>
      </c>
      <c r="BG1271" s="21">
        <f t="shared" si="2"/>
        <v>12</v>
      </c>
    </row>
    <row r="1272">
      <c r="P1272" s="161"/>
      <c r="AI1272" s="102"/>
      <c r="AO1272" s="12"/>
      <c r="AP1272" s="12"/>
      <c r="AQ1272" s="12"/>
      <c r="AR1272" s="12"/>
      <c r="AS1272" s="12"/>
      <c r="AT1272" s="12"/>
      <c r="AU1272" s="12"/>
      <c r="AV1272" s="12"/>
      <c r="AW1272" s="12"/>
      <c r="AX1272" s="12"/>
      <c r="AY1272" s="12"/>
      <c r="AZ1272" s="12"/>
      <c r="BA1272" s="12"/>
      <c r="BB1272" s="12"/>
      <c r="BC1272" s="12"/>
      <c r="BD1272" s="12"/>
      <c r="BF1272" s="106" t="str">
        <f t="shared" si="1"/>
        <v>#VALUE!</v>
      </c>
      <c r="BG1272" s="21">
        <f t="shared" si="2"/>
        <v>12</v>
      </c>
    </row>
    <row r="1273">
      <c r="P1273" s="161"/>
      <c r="AI1273" s="102"/>
      <c r="AO1273" s="12"/>
      <c r="AP1273" s="12"/>
      <c r="AQ1273" s="12"/>
      <c r="AR1273" s="12"/>
      <c r="AS1273" s="12"/>
      <c r="AT1273" s="12"/>
      <c r="AU1273" s="12"/>
      <c r="AV1273" s="12"/>
      <c r="AW1273" s="12"/>
      <c r="AX1273" s="12"/>
      <c r="AY1273" s="12"/>
      <c r="AZ1273" s="12"/>
      <c r="BA1273" s="12"/>
      <c r="BB1273" s="12"/>
      <c r="BC1273" s="12"/>
      <c r="BD1273" s="12"/>
      <c r="BF1273" s="106" t="str">
        <f t="shared" si="1"/>
        <v>#VALUE!</v>
      </c>
      <c r="BG1273" s="21">
        <f t="shared" si="2"/>
        <v>12</v>
      </c>
    </row>
    <row r="1274">
      <c r="P1274" s="161"/>
      <c r="AI1274" s="102"/>
      <c r="AO1274" s="12"/>
      <c r="AP1274" s="12"/>
      <c r="AQ1274" s="12"/>
      <c r="AR1274" s="12"/>
      <c r="AS1274" s="12"/>
      <c r="AT1274" s="12"/>
      <c r="AU1274" s="12"/>
      <c r="AV1274" s="12"/>
      <c r="AW1274" s="12"/>
      <c r="AX1274" s="12"/>
      <c r="AY1274" s="12"/>
      <c r="AZ1274" s="12"/>
      <c r="BA1274" s="12"/>
      <c r="BB1274" s="12"/>
      <c r="BC1274" s="12"/>
      <c r="BD1274" s="12"/>
      <c r="BF1274" s="106" t="str">
        <f t="shared" si="1"/>
        <v>#VALUE!</v>
      </c>
      <c r="BG1274" s="21">
        <f t="shared" si="2"/>
        <v>12</v>
      </c>
    </row>
    <row r="1275">
      <c r="P1275" s="161"/>
      <c r="AI1275" s="102"/>
      <c r="AO1275" s="12"/>
      <c r="AP1275" s="12"/>
      <c r="AQ1275" s="12"/>
      <c r="AR1275" s="12"/>
      <c r="AS1275" s="12"/>
      <c r="AT1275" s="12"/>
      <c r="AU1275" s="12"/>
      <c r="AV1275" s="12"/>
      <c r="AW1275" s="12"/>
      <c r="AX1275" s="12"/>
      <c r="AY1275" s="12"/>
      <c r="AZ1275" s="12"/>
      <c r="BA1275" s="12"/>
      <c r="BB1275" s="12"/>
      <c r="BC1275" s="12"/>
      <c r="BD1275" s="12"/>
      <c r="BF1275" s="106" t="str">
        <f t="shared" si="1"/>
        <v>#VALUE!</v>
      </c>
      <c r="BG1275" s="21">
        <f t="shared" si="2"/>
        <v>12</v>
      </c>
    </row>
    <row r="1276">
      <c r="P1276" s="161"/>
      <c r="AI1276" s="102"/>
      <c r="AO1276" s="12"/>
      <c r="AP1276" s="12"/>
      <c r="AQ1276" s="12"/>
      <c r="AR1276" s="12"/>
      <c r="AS1276" s="12"/>
      <c r="AT1276" s="12"/>
      <c r="AU1276" s="12"/>
      <c r="AV1276" s="12"/>
      <c r="AW1276" s="12"/>
      <c r="AX1276" s="12"/>
      <c r="AY1276" s="12"/>
      <c r="AZ1276" s="12"/>
      <c r="BA1276" s="12"/>
      <c r="BB1276" s="12"/>
      <c r="BC1276" s="12"/>
      <c r="BD1276" s="12"/>
      <c r="BF1276" s="106" t="str">
        <f t="shared" si="1"/>
        <v>#VALUE!</v>
      </c>
      <c r="BG1276" s="21">
        <f t="shared" si="2"/>
        <v>12</v>
      </c>
    </row>
    <row r="1277">
      <c r="P1277" s="161"/>
      <c r="AI1277" s="102"/>
      <c r="AO1277" s="12"/>
      <c r="AP1277" s="12"/>
      <c r="AQ1277" s="12"/>
      <c r="AR1277" s="12"/>
      <c r="AS1277" s="12"/>
      <c r="AT1277" s="12"/>
      <c r="AU1277" s="12"/>
      <c r="AV1277" s="12"/>
      <c r="AW1277" s="12"/>
      <c r="AX1277" s="12"/>
      <c r="AY1277" s="12"/>
      <c r="AZ1277" s="12"/>
      <c r="BA1277" s="12"/>
      <c r="BB1277" s="12"/>
      <c r="BC1277" s="12"/>
      <c r="BD1277" s="12"/>
      <c r="BF1277" s="106" t="str">
        <f t="shared" si="1"/>
        <v>#VALUE!</v>
      </c>
      <c r="BG1277" s="21">
        <f t="shared" si="2"/>
        <v>12</v>
      </c>
    </row>
    <row r="1278">
      <c r="P1278" s="161"/>
      <c r="AI1278" s="102"/>
      <c r="AO1278" s="12"/>
      <c r="AP1278" s="12"/>
      <c r="AQ1278" s="12"/>
      <c r="AR1278" s="12"/>
      <c r="AS1278" s="12"/>
      <c r="AT1278" s="12"/>
      <c r="AU1278" s="12"/>
      <c r="AV1278" s="12"/>
      <c r="AW1278" s="12"/>
      <c r="AX1278" s="12"/>
      <c r="AY1278" s="12"/>
      <c r="AZ1278" s="12"/>
      <c r="BA1278" s="12"/>
      <c r="BB1278" s="12"/>
      <c r="BC1278" s="12"/>
      <c r="BD1278" s="12"/>
      <c r="BF1278" s="106" t="str">
        <f t="shared" si="1"/>
        <v>#VALUE!</v>
      </c>
      <c r="BG1278" s="21">
        <f t="shared" si="2"/>
        <v>12</v>
      </c>
    </row>
    <row r="1279">
      <c r="P1279" s="161"/>
      <c r="AI1279" s="102"/>
      <c r="AO1279" s="12"/>
      <c r="AP1279" s="12"/>
      <c r="AQ1279" s="12"/>
      <c r="AR1279" s="12"/>
      <c r="AS1279" s="12"/>
      <c r="AT1279" s="12"/>
      <c r="AU1279" s="12"/>
      <c r="AV1279" s="12"/>
      <c r="AW1279" s="12"/>
      <c r="AX1279" s="12"/>
      <c r="AY1279" s="12"/>
      <c r="AZ1279" s="12"/>
      <c r="BA1279" s="12"/>
      <c r="BB1279" s="12"/>
      <c r="BC1279" s="12"/>
      <c r="BD1279" s="12"/>
      <c r="BF1279" s="106" t="str">
        <f t="shared" si="1"/>
        <v>#VALUE!</v>
      </c>
      <c r="BG1279" s="21">
        <f t="shared" si="2"/>
        <v>12</v>
      </c>
    </row>
    <row r="1280">
      <c r="P1280" s="161"/>
      <c r="AI1280" s="102"/>
      <c r="AO1280" s="12"/>
      <c r="AP1280" s="12"/>
      <c r="AQ1280" s="12"/>
      <c r="AR1280" s="12"/>
      <c r="AS1280" s="12"/>
      <c r="AT1280" s="12"/>
      <c r="AU1280" s="12"/>
      <c r="AV1280" s="12"/>
      <c r="AW1280" s="12"/>
      <c r="AX1280" s="12"/>
      <c r="AY1280" s="12"/>
      <c r="AZ1280" s="12"/>
      <c r="BA1280" s="12"/>
      <c r="BB1280" s="12"/>
      <c r="BC1280" s="12"/>
      <c r="BD1280" s="12"/>
      <c r="BF1280" s="106" t="str">
        <f t="shared" si="1"/>
        <v>#VALUE!</v>
      </c>
      <c r="BG1280" s="21">
        <f t="shared" si="2"/>
        <v>12</v>
      </c>
    </row>
    <row r="1281">
      <c r="P1281" s="161"/>
      <c r="AI1281" s="102"/>
      <c r="AO1281" s="12"/>
      <c r="AP1281" s="12"/>
      <c r="AQ1281" s="12"/>
      <c r="AR1281" s="12"/>
      <c r="AS1281" s="12"/>
      <c r="AT1281" s="12"/>
      <c r="AU1281" s="12"/>
      <c r="AV1281" s="12"/>
      <c r="AW1281" s="12"/>
      <c r="AX1281" s="12"/>
      <c r="AY1281" s="12"/>
      <c r="AZ1281" s="12"/>
      <c r="BA1281" s="12"/>
      <c r="BB1281" s="12"/>
      <c r="BC1281" s="12"/>
      <c r="BD1281" s="12"/>
      <c r="BF1281" s="106" t="str">
        <f t="shared" si="1"/>
        <v>#VALUE!</v>
      </c>
      <c r="BG1281" s="21">
        <f t="shared" si="2"/>
        <v>12</v>
      </c>
    </row>
    <row r="1282">
      <c r="P1282" s="161"/>
      <c r="AI1282" s="102"/>
      <c r="AO1282" s="12"/>
      <c r="AP1282" s="12"/>
      <c r="AQ1282" s="12"/>
      <c r="AR1282" s="12"/>
      <c r="AS1282" s="12"/>
      <c r="AT1282" s="12"/>
      <c r="AU1282" s="12"/>
      <c r="AV1282" s="12"/>
      <c r="AW1282" s="12"/>
      <c r="AX1282" s="12"/>
      <c r="AY1282" s="12"/>
      <c r="AZ1282" s="12"/>
      <c r="BA1282" s="12"/>
      <c r="BB1282" s="12"/>
      <c r="BC1282" s="12"/>
      <c r="BD1282" s="12"/>
      <c r="BF1282" s="106" t="str">
        <f t="shared" si="1"/>
        <v>#VALUE!</v>
      </c>
      <c r="BG1282" s="21">
        <f t="shared" si="2"/>
        <v>12</v>
      </c>
    </row>
    <row r="1283">
      <c r="P1283" s="161"/>
      <c r="AI1283" s="102"/>
      <c r="AO1283" s="12"/>
      <c r="AP1283" s="12"/>
      <c r="AQ1283" s="12"/>
      <c r="AR1283" s="12"/>
      <c r="AS1283" s="12"/>
      <c r="AT1283" s="12"/>
      <c r="AU1283" s="12"/>
      <c r="AV1283" s="12"/>
      <c r="AW1283" s="12"/>
      <c r="AX1283" s="12"/>
      <c r="AY1283" s="12"/>
      <c r="AZ1283" s="12"/>
      <c r="BA1283" s="12"/>
      <c r="BB1283" s="12"/>
      <c r="BC1283" s="12"/>
      <c r="BD1283" s="12"/>
      <c r="BF1283" s="106" t="str">
        <f t="shared" si="1"/>
        <v>#VALUE!</v>
      </c>
      <c r="BG1283" s="21">
        <f t="shared" si="2"/>
        <v>12</v>
      </c>
    </row>
    <row r="1284">
      <c r="P1284" s="161"/>
      <c r="AI1284" s="102"/>
      <c r="AO1284" s="12"/>
      <c r="AP1284" s="12"/>
      <c r="AQ1284" s="12"/>
      <c r="AR1284" s="12"/>
      <c r="AS1284" s="12"/>
      <c r="AT1284" s="12"/>
      <c r="AU1284" s="12"/>
      <c r="AV1284" s="12"/>
      <c r="AW1284" s="12"/>
      <c r="AX1284" s="12"/>
      <c r="AY1284" s="12"/>
      <c r="AZ1284" s="12"/>
      <c r="BA1284" s="12"/>
      <c r="BB1284" s="12"/>
      <c r="BC1284" s="12"/>
      <c r="BD1284" s="12"/>
      <c r="BF1284" s="106" t="str">
        <f t="shared" si="1"/>
        <v>#VALUE!</v>
      </c>
      <c r="BG1284" s="21">
        <f t="shared" si="2"/>
        <v>12</v>
      </c>
    </row>
    <row r="1285">
      <c r="P1285" s="161"/>
      <c r="AI1285" s="102"/>
      <c r="AO1285" s="12"/>
      <c r="AP1285" s="12"/>
      <c r="AQ1285" s="12"/>
      <c r="AR1285" s="12"/>
      <c r="AS1285" s="12"/>
      <c r="AT1285" s="12"/>
      <c r="AU1285" s="12"/>
      <c r="AV1285" s="12"/>
      <c r="AW1285" s="12"/>
      <c r="AX1285" s="12"/>
      <c r="AY1285" s="12"/>
      <c r="AZ1285" s="12"/>
      <c r="BA1285" s="12"/>
      <c r="BB1285" s="12"/>
      <c r="BC1285" s="12"/>
      <c r="BD1285" s="12"/>
      <c r="BF1285" s="106" t="str">
        <f t="shared" si="1"/>
        <v>#VALUE!</v>
      </c>
      <c r="BG1285" s="21">
        <f t="shared" si="2"/>
        <v>12</v>
      </c>
    </row>
    <row r="1286">
      <c r="P1286" s="161"/>
      <c r="AI1286" s="102"/>
      <c r="AO1286" s="12"/>
      <c r="AP1286" s="12"/>
      <c r="AQ1286" s="12"/>
      <c r="AR1286" s="12"/>
      <c r="AS1286" s="12"/>
      <c r="AT1286" s="12"/>
      <c r="AU1286" s="12"/>
      <c r="AV1286" s="12"/>
      <c r="AW1286" s="12"/>
      <c r="AX1286" s="12"/>
      <c r="AY1286" s="12"/>
      <c r="AZ1286" s="12"/>
      <c r="BA1286" s="12"/>
      <c r="BB1286" s="12"/>
      <c r="BC1286" s="12"/>
      <c r="BD1286" s="12"/>
      <c r="BF1286" s="106" t="str">
        <f t="shared" si="1"/>
        <v>#VALUE!</v>
      </c>
      <c r="BG1286" s="21">
        <f t="shared" si="2"/>
        <v>12</v>
      </c>
    </row>
    <row r="1287">
      <c r="P1287" s="161"/>
      <c r="AI1287" s="102"/>
      <c r="AO1287" s="12"/>
      <c r="AP1287" s="12"/>
      <c r="AQ1287" s="12"/>
      <c r="AR1287" s="12"/>
      <c r="AS1287" s="12"/>
      <c r="AT1287" s="12"/>
      <c r="AU1287" s="12"/>
      <c r="AV1287" s="12"/>
      <c r="AW1287" s="12"/>
      <c r="AX1287" s="12"/>
      <c r="AY1287" s="12"/>
      <c r="AZ1287" s="12"/>
      <c r="BA1287" s="12"/>
      <c r="BB1287" s="12"/>
      <c r="BC1287" s="12"/>
      <c r="BD1287" s="12"/>
      <c r="BF1287" s="106" t="str">
        <f t="shared" si="1"/>
        <v>#VALUE!</v>
      </c>
      <c r="BG1287" s="21">
        <f t="shared" si="2"/>
        <v>12</v>
      </c>
    </row>
    <row r="1288">
      <c r="P1288" s="161"/>
      <c r="AI1288" s="102"/>
      <c r="AO1288" s="12"/>
      <c r="AP1288" s="12"/>
      <c r="AQ1288" s="12"/>
      <c r="AR1288" s="12"/>
      <c r="AS1288" s="12"/>
      <c r="AT1288" s="12"/>
      <c r="AU1288" s="12"/>
      <c r="AV1288" s="12"/>
      <c r="AW1288" s="12"/>
      <c r="AX1288" s="12"/>
      <c r="AY1288" s="12"/>
      <c r="AZ1288" s="12"/>
      <c r="BA1288" s="12"/>
      <c r="BB1288" s="12"/>
      <c r="BC1288" s="12"/>
      <c r="BD1288" s="12"/>
      <c r="BF1288" s="106" t="str">
        <f t="shared" si="1"/>
        <v>#VALUE!</v>
      </c>
      <c r="BG1288" s="21">
        <f t="shared" si="2"/>
        <v>12</v>
      </c>
    </row>
    <row r="1289">
      <c r="P1289" s="161"/>
      <c r="AI1289" s="102"/>
      <c r="AO1289" s="12"/>
      <c r="AP1289" s="12"/>
      <c r="AQ1289" s="12"/>
      <c r="AR1289" s="12"/>
      <c r="AS1289" s="12"/>
      <c r="AT1289" s="12"/>
      <c r="AU1289" s="12"/>
      <c r="AV1289" s="12"/>
      <c r="AW1289" s="12"/>
      <c r="AX1289" s="12"/>
      <c r="AY1289" s="12"/>
      <c r="AZ1289" s="12"/>
      <c r="BA1289" s="12"/>
      <c r="BB1289" s="12"/>
      <c r="BC1289" s="12"/>
      <c r="BD1289" s="12"/>
      <c r="BF1289" s="106" t="str">
        <f t="shared" si="1"/>
        <v>#VALUE!</v>
      </c>
      <c r="BG1289" s="21">
        <f t="shared" si="2"/>
        <v>12</v>
      </c>
    </row>
    <row r="1290">
      <c r="P1290" s="161"/>
      <c r="AI1290" s="102"/>
      <c r="AO1290" s="12"/>
      <c r="AP1290" s="12"/>
      <c r="AQ1290" s="12"/>
      <c r="AR1290" s="12"/>
      <c r="AS1290" s="12"/>
      <c r="AT1290" s="12"/>
      <c r="AU1290" s="12"/>
      <c r="AV1290" s="12"/>
      <c r="AW1290" s="12"/>
      <c r="AX1290" s="12"/>
      <c r="AY1290" s="12"/>
      <c r="AZ1290" s="12"/>
      <c r="BA1290" s="12"/>
      <c r="BB1290" s="12"/>
      <c r="BC1290" s="12"/>
      <c r="BD1290" s="12"/>
      <c r="BF1290" s="106" t="str">
        <f t="shared" si="1"/>
        <v>#VALUE!</v>
      </c>
      <c r="BG1290" s="21">
        <f t="shared" si="2"/>
        <v>12</v>
      </c>
    </row>
    <row r="1291">
      <c r="P1291" s="161"/>
      <c r="AI1291" s="102"/>
      <c r="AO1291" s="12"/>
      <c r="AP1291" s="12"/>
      <c r="AQ1291" s="12"/>
      <c r="AR1291" s="12"/>
      <c r="AS1291" s="12"/>
      <c r="AT1291" s="12"/>
      <c r="AU1291" s="12"/>
      <c r="AV1291" s="12"/>
      <c r="AW1291" s="12"/>
      <c r="AX1291" s="12"/>
      <c r="AY1291" s="12"/>
      <c r="AZ1291" s="12"/>
      <c r="BA1291" s="12"/>
      <c r="BB1291" s="12"/>
      <c r="BC1291" s="12"/>
      <c r="BD1291" s="12"/>
      <c r="BF1291" s="106" t="str">
        <f t="shared" si="1"/>
        <v>#VALUE!</v>
      </c>
      <c r="BG1291" s="21">
        <f t="shared" si="2"/>
        <v>12</v>
      </c>
    </row>
    <row r="1292">
      <c r="P1292" s="161"/>
      <c r="AI1292" s="102"/>
      <c r="AO1292" s="12"/>
      <c r="AP1292" s="12"/>
      <c r="AQ1292" s="12"/>
      <c r="AR1292" s="12"/>
      <c r="AS1292" s="12"/>
      <c r="AT1292" s="12"/>
      <c r="AU1292" s="12"/>
      <c r="AV1292" s="12"/>
      <c r="AW1292" s="12"/>
      <c r="AX1292" s="12"/>
      <c r="AY1292" s="12"/>
      <c r="AZ1292" s="12"/>
      <c r="BA1292" s="12"/>
      <c r="BB1292" s="12"/>
      <c r="BC1292" s="12"/>
      <c r="BD1292" s="12"/>
      <c r="BF1292" s="106" t="str">
        <f t="shared" si="1"/>
        <v>#VALUE!</v>
      </c>
      <c r="BG1292" s="21">
        <f t="shared" si="2"/>
        <v>12</v>
      </c>
    </row>
    <row r="1293">
      <c r="P1293" s="161"/>
      <c r="AI1293" s="102"/>
      <c r="AO1293" s="12"/>
      <c r="AP1293" s="12"/>
      <c r="AQ1293" s="12"/>
      <c r="AR1293" s="12"/>
      <c r="AS1293" s="12"/>
      <c r="AT1293" s="12"/>
      <c r="AU1293" s="12"/>
      <c r="AV1293" s="12"/>
      <c r="AW1293" s="12"/>
      <c r="AX1293" s="12"/>
      <c r="AY1293" s="12"/>
      <c r="AZ1293" s="12"/>
      <c r="BA1293" s="12"/>
      <c r="BB1293" s="12"/>
      <c r="BC1293" s="12"/>
      <c r="BD1293" s="12"/>
      <c r="BF1293" s="106" t="str">
        <f t="shared" si="1"/>
        <v>#VALUE!</v>
      </c>
      <c r="BG1293" s="21">
        <f t="shared" si="2"/>
        <v>12</v>
      </c>
    </row>
    <row r="1294">
      <c r="P1294" s="161"/>
      <c r="AI1294" s="102"/>
      <c r="AO1294" s="12"/>
      <c r="AP1294" s="12"/>
      <c r="AQ1294" s="12"/>
      <c r="AR1294" s="12"/>
      <c r="AS1294" s="12"/>
      <c r="AT1294" s="12"/>
      <c r="AU1294" s="12"/>
      <c r="AV1294" s="12"/>
      <c r="AW1294" s="12"/>
      <c r="AX1294" s="12"/>
      <c r="AY1294" s="12"/>
      <c r="AZ1294" s="12"/>
      <c r="BA1294" s="12"/>
      <c r="BB1294" s="12"/>
      <c r="BC1294" s="12"/>
      <c r="BD1294" s="12"/>
      <c r="BF1294" s="106" t="str">
        <f t="shared" si="1"/>
        <v>#VALUE!</v>
      </c>
      <c r="BG1294" s="21">
        <f t="shared" si="2"/>
        <v>12</v>
      </c>
    </row>
    <row r="1295">
      <c r="P1295" s="161"/>
      <c r="AI1295" s="102"/>
      <c r="AO1295" s="12"/>
      <c r="AP1295" s="12"/>
      <c r="AQ1295" s="12"/>
      <c r="AR1295" s="12"/>
      <c r="AS1295" s="12"/>
      <c r="AT1295" s="12"/>
      <c r="AU1295" s="12"/>
      <c r="AV1295" s="12"/>
      <c r="AW1295" s="12"/>
      <c r="AX1295" s="12"/>
      <c r="AY1295" s="12"/>
      <c r="AZ1295" s="12"/>
      <c r="BA1295" s="12"/>
      <c r="BB1295" s="12"/>
      <c r="BC1295" s="12"/>
      <c r="BD1295" s="12"/>
      <c r="BF1295" s="106" t="str">
        <f t="shared" si="1"/>
        <v>#VALUE!</v>
      </c>
      <c r="BG1295" s="21">
        <f t="shared" si="2"/>
        <v>12</v>
      </c>
    </row>
    <row r="1296">
      <c r="P1296" s="161"/>
      <c r="AI1296" s="102"/>
      <c r="AO1296" s="12"/>
      <c r="AP1296" s="12"/>
      <c r="AQ1296" s="12"/>
      <c r="AR1296" s="12"/>
      <c r="AS1296" s="12"/>
      <c r="AT1296" s="12"/>
      <c r="AU1296" s="12"/>
      <c r="AV1296" s="12"/>
      <c r="AW1296" s="12"/>
      <c r="AX1296" s="12"/>
      <c r="AY1296" s="12"/>
      <c r="AZ1296" s="12"/>
      <c r="BA1296" s="12"/>
      <c r="BB1296" s="12"/>
      <c r="BC1296" s="12"/>
      <c r="BD1296" s="12"/>
      <c r="BF1296" s="106" t="str">
        <f t="shared" si="1"/>
        <v>#VALUE!</v>
      </c>
      <c r="BG1296" s="21">
        <f t="shared" si="2"/>
        <v>12</v>
      </c>
    </row>
    <row r="1297">
      <c r="P1297" s="161"/>
      <c r="AI1297" s="102"/>
      <c r="AO1297" s="12"/>
      <c r="AP1297" s="12"/>
      <c r="AQ1297" s="12"/>
      <c r="AR1297" s="12"/>
      <c r="AS1297" s="12"/>
      <c r="AT1297" s="12"/>
      <c r="AU1297" s="12"/>
      <c r="AV1297" s="12"/>
      <c r="AW1297" s="12"/>
      <c r="AX1297" s="12"/>
      <c r="AY1297" s="12"/>
      <c r="AZ1297" s="12"/>
      <c r="BA1297" s="12"/>
      <c r="BB1297" s="12"/>
      <c r="BC1297" s="12"/>
      <c r="BD1297" s="12"/>
      <c r="BF1297" s="106" t="str">
        <f t="shared" si="1"/>
        <v>#VALUE!</v>
      </c>
      <c r="BG1297" s="21">
        <f t="shared" si="2"/>
        <v>12</v>
      </c>
    </row>
    <row r="1298">
      <c r="P1298" s="161"/>
      <c r="AI1298" s="102"/>
      <c r="AO1298" s="12"/>
      <c r="AP1298" s="12"/>
      <c r="AQ1298" s="12"/>
      <c r="AR1298" s="12"/>
      <c r="AS1298" s="12"/>
      <c r="AT1298" s="12"/>
      <c r="AU1298" s="12"/>
      <c r="AV1298" s="12"/>
      <c r="AW1298" s="12"/>
      <c r="AX1298" s="12"/>
      <c r="AY1298" s="12"/>
      <c r="AZ1298" s="12"/>
      <c r="BA1298" s="12"/>
      <c r="BB1298" s="12"/>
      <c r="BC1298" s="12"/>
      <c r="BD1298" s="12"/>
      <c r="BF1298" s="106" t="str">
        <f t="shared" si="1"/>
        <v>#VALUE!</v>
      </c>
      <c r="BG1298" s="21">
        <f t="shared" si="2"/>
        <v>12</v>
      </c>
    </row>
    <row r="1299">
      <c r="P1299" s="161"/>
      <c r="AI1299" s="102"/>
      <c r="AO1299" s="12"/>
      <c r="AP1299" s="12"/>
      <c r="AQ1299" s="12"/>
      <c r="AR1299" s="12"/>
      <c r="AS1299" s="12"/>
      <c r="AT1299" s="12"/>
      <c r="AU1299" s="12"/>
      <c r="AV1299" s="12"/>
      <c r="AW1299" s="12"/>
      <c r="AX1299" s="12"/>
      <c r="AY1299" s="12"/>
      <c r="AZ1299" s="12"/>
      <c r="BA1299" s="12"/>
      <c r="BB1299" s="12"/>
      <c r="BC1299" s="12"/>
      <c r="BD1299" s="12"/>
      <c r="BF1299" s="106" t="str">
        <f t="shared" si="1"/>
        <v>#VALUE!</v>
      </c>
      <c r="BG1299" s="21">
        <f t="shared" si="2"/>
        <v>12</v>
      </c>
    </row>
    <row r="1300">
      <c r="P1300" s="161"/>
      <c r="AI1300" s="102"/>
      <c r="AO1300" s="12"/>
      <c r="AP1300" s="12"/>
      <c r="AQ1300" s="12"/>
      <c r="AR1300" s="12"/>
      <c r="AS1300" s="12"/>
      <c r="AT1300" s="12"/>
      <c r="AU1300" s="12"/>
      <c r="AV1300" s="12"/>
      <c r="AW1300" s="12"/>
      <c r="AX1300" s="12"/>
      <c r="AY1300" s="12"/>
      <c r="AZ1300" s="12"/>
      <c r="BA1300" s="12"/>
      <c r="BB1300" s="12"/>
      <c r="BC1300" s="12"/>
      <c r="BD1300" s="12"/>
      <c r="BF1300" s="106" t="str">
        <f t="shared" si="1"/>
        <v>#VALUE!</v>
      </c>
      <c r="BG1300" s="21">
        <f t="shared" si="2"/>
        <v>12</v>
      </c>
    </row>
    <row r="1301">
      <c r="P1301" s="161"/>
      <c r="AI1301" s="102"/>
      <c r="AO1301" s="12"/>
      <c r="AP1301" s="12"/>
      <c r="AQ1301" s="12"/>
      <c r="AR1301" s="12"/>
      <c r="AS1301" s="12"/>
      <c r="AT1301" s="12"/>
      <c r="AU1301" s="12"/>
      <c r="AV1301" s="12"/>
      <c r="AW1301" s="12"/>
      <c r="AX1301" s="12"/>
      <c r="AY1301" s="12"/>
      <c r="AZ1301" s="12"/>
      <c r="BA1301" s="12"/>
      <c r="BB1301" s="12"/>
      <c r="BC1301" s="12"/>
      <c r="BD1301" s="12"/>
      <c r="BF1301" s="106" t="str">
        <f t="shared" si="1"/>
        <v>#VALUE!</v>
      </c>
      <c r="BG1301" s="21">
        <f t="shared" si="2"/>
        <v>12</v>
      </c>
    </row>
    <row r="1302">
      <c r="P1302" s="161"/>
      <c r="AI1302" s="102"/>
      <c r="AO1302" s="12"/>
      <c r="AP1302" s="12"/>
      <c r="AQ1302" s="12"/>
      <c r="AR1302" s="12"/>
      <c r="AS1302" s="12"/>
      <c r="AT1302" s="12"/>
      <c r="AU1302" s="12"/>
      <c r="AV1302" s="12"/>
      <c r="AW1302" s="12"/>
      <c r="AX1302" s="12"/>
      <c r="AY1302" s="12"/>
      <c r="AZ1302" s="12"/>
      <c r="BA1302" s="12"/>
      <c r="BB1302" s="12"/>
      <c r="BC1302" s="12"/>
      <c r="BD1302" s="12"/>
      <c r="BF1302" s="106" t="str">
        <f t="shared" si="1"/>
        <v>#VALUE!</v>
      </c>
      <c r="BG1302" s="21">
        <f t="shared" si="2"/>
        <v>12</v>
      </c>
    </row>
    <row r="1303">
      <c r="P1303" s="161"/>
      <c r="AI1303" s="102"/>
      <c r="AO1303" s="12"/>
      <c r="AP1303" s="12"/>
      <c r="AQ1303" s="12"/>
      <c r="AR1303" s="12"/>
      <c r="AS1303" s="12"/>
      <c r="AT1303" s="12"/>
      <c r="AU1303" s="12"/>
      <c r="AV1303" s="12"/>
      <c r="AW1303" s="12"/>
      <c r="AX1303" s="12"/>
      <c r="AY1303" s="12"/>
      <c r="AZ1303" s="12"/>
      <c r="BA1303" s="12"/>
      <c r="BB1303" s="12"/>
      <c r="BC1303" s="12"/>
      <c r="BD1303" s="12"/>
      <c r="BF1303" s="106" t="str">
        <f t="shared" si="1"/>
        <v>#VALUE!</v>
      </c>
      <c r="BG1303" s="21">
        <f t="shared" si="2"/>
        <v>12</v>
      </c>
    </row>
    <row r="1304">
      <c r="P1304" s="161"/>
      <c r="AI1304" s="102"/>
      <c r="AO1304" s="12"/>
      <c r="AP1304" s="12"/>
      <c r="AQ1304" s="12"/>
      <c r="AR1304" s="12"/>
      <c r="AS1304" s="12"/>
      <c r="AT1304" s="12"/>
      <c r="AU1304" s="12"/>
      <c r="AV1304" s="12"/>
      <c r="AW1304" s="12"/>
      <c r="AX1304" s="12"/>
      <c r="AY1304" s="12"/>
      <c r="AZ1304" s="12"/>
      <c r="BA1304" s="12"/>
      <c r="BB1304" s="12"/>
      <c r="BC1304" s="12"/>
      <c r="BD1304" s="12"/>
      <c r="BF1304" s="106" t="str">
        <f t="shared" si="1"/>
        <v>#VALUE!</v>
      </c>
      <c r="BG1304" s="21">
        <f t="shared" si="2"/>
        <v>12</v>
      </c>
    </row>
    <row r="1305">
      <c r="P1305" s="161"/>
      <c r="AI1305" s="102"/>
      <c r="AO1305" s="12"/>
      <c r="AP1305" s="12"/>
      <c r="AQ1305" s="12"/>
      <c r="AR1305" s="12"/>
      <c r="AS1305" s="12"/>
      <c r="AT1305" s="12"/>
      <c r="AU1305" s="12"/>
      <c r="AV1305" s="12"/>
      <c r="AW1305" s="12"/>
      <c r="AX1305" s="12"/>
      <c r="AY1305" s="12"/>
      <c r="AZ1305" s="12"/>
      <c r="BA1305" s="12"/>
      <c r="BB1305" s="12"/>
      <c r="BC1305" s="12"/>
      <c r="BD1305" s="12"/>
      <c r="BF1305" s="106" t="str">
        <f t="shared" si="1"/>
        <v>#VALUE!</v>
      </c>
      <c r="BG1305" s="21">
        <f t="shared" si="2"/>
        <v>12</v>
      </c>
    </row>
    <row r="1306">
      <c r="P1306" s="161"/>
      <c r="AI1306" s="102"/>
      <c r="AO1306" s="12"/>
      <c r="AP1306" s="12"/>
      <c r="AQ1306" s="12"/>
      <c r="AR1306" s="12"/>
      <c r="AS1306" s="12"/>
      <c r="AT1306" s="12"/>
      <c r="AU1306" s="12"/>
      <c r="AV1306" s="12"/>
      <c r="AW1306" s="12"/>
      <c r="AX1306" s="12"/>
      <c r="AY1306" s="12"/>
      <c r="AZ1306" s="12"/>
      <c r="BA1306" s="12"/>
      <c r="BB1306" s="12"/>
      <c r="BC1306" s="12"/>
      <c r="BD1306" s="12"/>
      <c r="BF1306" s="106" t="str">
        <f t="shared" si="1"/>
        <v>#VALUE!</v>
      </c>
      <c r="BG1306" s="21">
        <f t="shared" si="2"/>
        <v>12</v>
      </c>
    </row>
    <row r="1307">
      <c r="P1307" s="161"/>
      <c r="AI1307" s="102"/>
      <c r="AO1307" s="12"/>
      <c r="AP1307" s="12"/>
      <c r="AQ1307" s="12"/>
      <c r="AR1307" s="12"/>
      <c r="AS1307" s="12"/>
      <c r="AT1307" s="12"/>
      <c r="AU1307" s="12"/>
      <c r="AV1307" s="12"/>
      <c r="AW1307" s="12"/>
      <c r="AX1307" s="12"/>
      <c r="AY1307" s="12"/>
      <c r="AZ1307" s="12"/>
      <c r="BA1307" s="12"/>
      <c r="BB1307" s="12"/>
      <c r="BC1307" s="12"/>
      <c r="BD1307" s="12"/>
      <c r="BF1307" s="106" t="str">
        <f t="shared" si="1"/>
        <v>#VALUE!</v>
      </c>
      <c r="BG1307" s="21">
        <f t="shared" si="2"/>
        <v>12</v>
      </c>
    </row>
    <row r="1308">
      <c r="P1308" s="161"/>
      <c r="AI1308" s="102"/>
      <c r="AO1308" s="12"/>
      <c r="AP1308" s="12"/>
      <c r="AQ1308" s="12"/>
      <c r="AR1308" s="12"/>
      <c r="AS1308" s="12"/>
      <c r="AT1308" s="12"/>
      <c r="AU1308" s="12"/>
      <c r="AV1308" s="12"/>
      <c r="AW1308" s="12"/>
      <c r="AX1308" s="12"/>
      <c r="AY1308" s="12"/>
      <c r="AZ1308" s="12"/>
      <c r="BA1308" s="12"/>
      <c r="BB1308" s="12"/>
      <c r="BC1308" s="12"/>
      <c r="BD1308" s="12"/>
      <c r="BF1308" s="106" t="str">
        <f t="shared" si="1"/>
        <v>#VALUE!</v>
      </c>
      <c r="BG1308" s="21">
        <f t="shared" si="2"/>
        <v>12</v>
      </c>
    </row>
    <row r="1309">
      <c r="P1309" s="161"/>
      <c r="AI1309" s="102"/>
      <c r="AO1309" s="12"/>
      <c r="AP1309" s="12"/>
      <c r="AQ1309" s="12"/>
      <c r="AR1309" s="12"/>
      <c r="AS1309" s="12"/>
      <c r="AT1309" s="12"/>
      <c r="AU1309" s="12"/>
      <c r="AV1309" s="12"/>
      <c r="AW1309" s="12"/>
      <c r="AX1309" s="12"/>
      <c r="AY1309" s="12"/>
      <c r="AZ1309" s="12"/>
      <c r="BA1309" s="12"/>
      <c r="BB1309" s="12"/>
      <c r="BC1309" s="12"/>
      <c r="BD1309" s="12"/>
      <c r="BF1309" s="106" t="str">
        <f t="shared" si="1"/>
        <v>#VALUE!</v>
      </c>
      <c r="BG1309" s="21">
        <f t="shared" si="2"/>
        <v>12</v>
      </c>
    </row>
    <row r="1310">
      <c r="P1310" s="161"/>
      <c r="AI1310" s="102"/>
      <c r="AO1310" s="12"/>
      <c r="AP1310" s="12"/>
      <c r="AQ1310" s="12"/>
      <c r="AR1310" s="12"/>
      <c r="AS1310" s="12"/>
      <c r="AT1310" s="12"/>
      <c r="AU1310" s="12"/>
      <c r="AV1310" s="12"/>
      <c r="AW1310" s="12"/>
      <c r="AX1310" s="12"/>
      <c r="AY1310" s="12"/>
      <c r="AZ1310" s="12"/>
      <c r="BA1310" s="12"/>
      <c r="BB1310" s="12"/>
      <c r="BC1310" s="12"/>
      <c r="BD1310" s="12"/>
      <c r="BF1310" s="106" t="str">
        <f t="shared" si="1"/>
        <v>#VALUE!</v>
      </c>
      <c r="BG1310" s="21">
        <f t="shared" si="2"/>
        <v>12</v>
      </c>
    </row>
    <row r="1311">
      <c r="P1311" s="161"/>
      <c r="AI1311" s="102"/>
      <c r="AO1311" s="12"/>
      <c r="AP1311" s="12"/>
      <c r="AQ1311" s="12"/>
      <c r="AR1311" s="12"/>
      <c r="AS1311" s="12"/>
      <c r="AT1311" s="12"/>
      <c r="AU1311" s="12"/>
      <c r="AV1311" s="12"/>
      <c r="AW1311" s="12"/>
      <c r="AX1311" s="12"/>
      <c r="AY1311" s="12"/>
      <c r="AZ1311" s="12"/>
      <c r="BA1311" s="12"/>
      <c r="BB1311" s="12"/>
      <c r="BC1311" s="12"/>
      <c r="BD1311" s="12"/>
      <c r="BF1311" s="106" t="str">
        <f t="shared" si="1"/>
        <v>#VALUE!</v>
      </c>
      <c r="BG1311" s="21">
        <f t="shared" si="2"/>
        <v>12</v>
      </c>
    </row>
    <row r="1312">
      <c r="P1312" s="161"/>
      <c r="AI1312" s="102"/>
      <c r="AO1312" s="12"/>
      <c r="AP1312" s="12"/>
      <c r="AQ1312" s="12"/>
      <c r="AR1312" s="12"/>
      <c r="AS1312" s="12"/>
      <c r="AT1312" s="12"/>
      <c r="AU1312" s="12"/>
      <c r="AV1312" s="12"/>
      <c r="AW1312" s="12"/>
      <c r="AX1312" s="12"/>
      <c r="AY1312" s="12"/>
      <c r="AZ1312" s="12"/>
      <c r="BA1312" s="12"/>
      <c r="BB1312" s="12"/>
      <c r="BC1312" s="12"/>
      <c r="BD1312" s="12"/>
      <c r="BF1312" s="106" t="str">
        <f t="shared" si="1"/>
        <v>#VALUE!</v>
      </c>
      <c r="BG1312" s="21">
        <f t="shared" si="2"/>
        <v>12</v>
      </c>
    </row>
    <row r="1313">
      <c r="P1313" s="161"/>
      <c r="AI1313" s="102"/>
      <c r="AO1313" s="12"/>
      <c r="AP1313" s="12"/>
      <c r="AQ1313" s="12"/>
      <c r="AR1313" s="12"/>
      <c r="AS1313" s="12"/>
      <c r="AT1313" s="12"/>
      <c r="AU1313" s="12"/>
      <c r="AV1313" s="12"/>
      <c r="AW1313" s="12"/>
      <c r="AX1313" s="12"/>
      <c r="AY1313" s="12"/>
      <c r="AZ1313" s="12"/>
      <c r="BA1313" s="12"/>
      <c r="BB1313" s="12"/>
      <c r="BC1313" s="12"/>
      <c r="BD1313" s="12"/>
      <c r="BF1313" s="106" t="str">
        <f t="shared" si="1"/>
        <v>#VALUE!</v>
      </c>
      <c r="BG1313" s="21">
        <f t="shared" si="2"/>
        <v>12</v>
      </c>
    </row>
    <row r="1314">
      <c r="P1314" s="161"/>
      <c r="AI1314" s="102"/>
      <c r="AO1314" s="12"/>
      <c r="AP1314" s="12"/>
      <c r="AQ1314" s="12"/>
      <c r="AR1314" s="12"/>
      <c r="AS1314" s="12"/>
      <c r="AT1314" s="12"/>
      <c r="AU1314" s="12"/>
      <c r="AV1314" s="12"/>
      <c r="AW1314" s="12"/>
      <c r="AX1314" s="12"/>
      <c r="AY1314" s="12"/>
      <c r="AZ1314" s="12"/>
      <c r="BA1314" s="12"/>
      <c r="BB1314" s="12"/>
      <c r="BC1314" s="12"/>
      <c r="BD1314" s="12"/>
      <c r="BF1314" s="106" t="str">
        <f t="shared" si="1"/>
        <v>#VALUE!</v>
      </c>
      <c r="BG1314" s="21">
        <f t="shared" si="2"/>
        <v>12</v>
      </c>
    </row>
    <row r="1315">
      <c r="P1315" s="161"/>
      <c r="AI1315" s="102"/>
      <c r="AO1315" s="12"/>
      <c r="AP1315" s="12"/>
      <c r="AQ1315" s="12"/>
      <c r="AR1315" s="12"/>
      <c r="AS1315" s="12"/>
      <c r="AT1315" s="12"/>
      <c r="AU1315" s="12"/>
      <c r="AV1315" s="12"/>
      <c r="AW1315" s="12"/>
      <c r="AX1315" s="12"/>
      <c r="AY1315" s="12"/>
      <c r="AZ1315" s="12"/>
      <c r="BA1315" s="12"/>
      <c r="BB1315" s="12"/>
      <c r="BC1315" s="12"/>
      <c r="BD1315" s="12"/>
      <c r="BF1315" s="106" t="str">
        <f t="shared" si="1"/>
        <v>#VALUE!</v>
      </c>
      <c r="BG1315" s="21">
        <f t="shared" si="2"/>
        <v>12</v>
      </c>
    </row>
    <row r="1316">
      <c r="P1316" s="161"/>
      <c r="AI1316" s="102"/>
      <c r="AO1316" s="12"/>
      <c r="AP1316" s="12"/>
      <c r="AQ1316" s="12"/>
      <c r="AR1316" s="12"/>
      <c r="AS1316" s="12"/>
      <c r="AT1316" s="12"/>
      <c r="AU1316" s="12"/>
      <c r="AV1316" s="12"/>
      <c r="AW1316" s="12"/>
      <c r="AX1316" s="12"/>
      <c r="AY1316" s="12"/>
      <c r="AZ1316" s="12"/>
      <c r="BA1316" s="12"/>
      <c r="BB1316" s="12"/>
      <c r="BC1316" s="12"/>
      <c r="BD1316" s="12"/>
      <c r="BF1316" s="106" t="str">
        <f t="shared" si="1"/>
        <v>#VALUE!</v>
      </c>
      <c r="BG1316" s="21">
        <f t="shared" si="2"/>
        <v>12</v>
      </c>
    </row>
    <row r="1317">
      <c r="P1317" s="161"/>
      <c r="AI1317" s="102"/>
      <c r="AO1317" s="12"/>
      <c r="AP1317" s="12"/>
      <c r="AQ1317" s="12"/>
      <c r="AR1317" s="12"/>
      <c r="AS1317" s="12"/>
      <c r="AT1317" s="12"/>
      <c r="AU1317" s="12"/>
      <c r="AV1317" s="12"/>
      <c r="AW1317" s="12"/>
      <c r="AX1317" s="12"/>
      <c r="AY1317" s="12"/>
      <c r="AZ1317" s="12"/>
      <c r="BA1317" s="12"/>
      <c r="BB1317" s="12"/>
      <c r="BC1317" s="12"/>
      <c r="BD1317" s="12"/>
      <c r="BF1317" s="106" t="str">
        <f t="shared" si="1"/>
        <v>#VALUE!</v>
      </c>
      <c r="BG1317" s="21">
        <f t="shared" si="2"/>
        <v>12</v>
      </c>
    </row>
    <row r="1318">
      <c r="P1318" s="161"/>
      <c r="AI1318" s="102"/>
      <c r="AO1318" s="12"/>
      <c r="AP1318" s="12"/>
      <c r="AQ1318" s="12"/>
      <c r="AR1318" s="12"/>
      <c r="AS1318" s="12"/>
      <c r="AT1318" s="12"/>
      <c r="AU1318" s="12"/>
      <c r="AV1318" s="12"/>
      <c r="AW1318" s="12"/>
      <c r="AX1318" s="12"/>
      <c r="AY1318" s="12"/>
      <c r="AZ1318" s="12"/>
      <c r="BA1318" s="12"/>
      <c r="BB1318" s="12"/>
      <c r="BC1318" s="12"/>
      <c r="BD1318" s="12"/>
      <c r="BF1318" s="106" t="str">
        <f t="shared" si="1"/>
        <v>#VALUE!</v>
      </c>
      <c r="BG1318" s="21">
        <f t="shared" si="2"/>
        <v>12</v>
      </c>
    </row>
    <row r="1319">
      <c r="P1319" s="161"/>
      <c r="AI1319" s="102"/>
      <c r="AO1319" s="12"/>
      <c r="AP1319" s="12"/>
      <c r="AQ1319" s="12"/>
      <c r="AR1319" s="12"/>
      <c r="AS1319" s="12"/>
      <c r="AT1319" s="12"/>
      <c r="AU1319" s="12"/>
      <c r="AV1319" s="12"/>
      <c r="AW1319" s="12"/>
      <c r="AX1319" s="12"/>
      <c r="AY1319" s="12"/>
      <c r="AZ1319" s="12"/>
      <c r="BA1319" s="12"/>
      <c r="BB1319" s="12"/>
      <c r="BC1319" s="12"/>
      <c r="BD1319" s="12"/>
      <c r="BF1319" s="106" t="str">
        <f t="shared" si="1"/>
        <v>#VALUE!</v>
      </c>
      <c r="BG1319" s="21">
        <f t="shared" si="2"/>
        <v>12</v>
      </c>
    </row>
    <row r="1320">
      <c r="P1320" s="161"/>
      <c r="AI1320" s="102"/>
      <c r="AO1320" s="12"/>
      <c r="AP1320" s="12"/>
      <c r="AQ1320" s="12"/>
      <c r="AR1320" s="12"/>
      <c r="AS1320" s="12"/>
      <c r="AT1320" s="12"/>
      <c r="AU1320" s="12"/>
      <c r="AV1320" s="12"/>
      <c r="AW1320" s="12"/>
      <c r="AX1320" s="12"/>
      <c r="AY1320" s="12"/>
      <c r="AZ1320" s="12"/>
      <c r="BA1320" s="12"/>
      <c r="BB1320" s="12"/>
      <c r="BC1320" s="12"/>
      <c r="BD1320" s="12"/>
      <c r="BF1320" s="106" t="str">
        <f t="shared" si="1"/>
        <v>#VALUE!</v>
      </c>
      <c r="BG1320" s="21">
        <f t="shared" si="2"/>
        <v>12</v>
      </c>
    </row>
    <row r="1321">
      <c r="P1321" s="161"/>
      <c r="AI1321" s="102"/>
      <c r="AO1321" s="12"/>
      <c r="AP1321" s="12"/>
      <c r="AQ1321" s="12"/>
      <c r="AR1321" s="12"/>
      <c r="AS1321" s="12"/>
      <c r="AT1321" s="12"/>
      <c r="AU1321" s="12"/>
      <c r="AV1321" s="12"/>
      <c r="AW1321" s="12"/>
      <c r="AX1321" s="12"/>
      <c r="AY1321" s="12"/>
      <c r="AZ1321" s="12"/>
      <c r="BA1321" s="12"/>
      <c r="BB1321" s="12"/>
      <c r="BC1321" s="12"/>
      <c r="BD1321" s="12"/>
      <c r="BF1321" s="106" t="str">
        <f t="shared" si="1"/>
        <v>#VALUE!</v>
      </c>
      <c r="BG1321" s="21">
        <f t="shared" si="2"/>
        <v>12</v>
      </c>
    </row>
    <row r="1322">
      <c r="P1322" s="161"/>
      <c r="AI1322" s="102"/>
      <c r="AO1322" s="12"/>
      <c r="AP1322" s="12"/>
      <c r="AQ1322" s="12"/>
      <c r="AR1322" s="12"/>
      <c r="AS1322" s="12"/>
      <c r="AT1322" s="12"/>
      <c r="AU1322" s="12"/>
      <c r="AV1322" s="12"/>
      <c r="AW1322" s="12"/>
      <c r="AX1322" s="12"/>
      <c r="AY1322" s="12"/>
      <c r="AZ1322" s="12"/>
      <c r="BA1322" s="12"/>
      <c r="BB1322" s="12"/>
      <c r="BC1322" s="12"/>
      <c r="BD1322" s="12"/>
      <c r="BF1322" s="106" t="str">
        <f t="shared" si="1"/>
        <v>#VALUE!</v>
      </c>
      <c r="BG1322" s="21">
        <f t="shared" si="2"/>
        <v>12</v>
      </c>
    </row>
    <row r="1323">
      <c r="P1323" s="161"/>
      <c r="AI1323" s="102"/>
      <c r="AO1323" s="12"/>
      <c r="AP1323" s="12"/>
      <c r="AQ1323" s="12"/>
      <c r="AR1323" s="12"/>
      <c r="AS1323" s="12"/>
      <c r="AT1323" s="12"/>
      <c r="AU1323" s="12"/>
      <c r="AV1323" s="12"/>
      <c r="AW1323" s="12"/>
      <c r="AX1323" s="12"/>
      <c r="AY1323" s="12"/>
      <c r="AZ1323" s="12"/>
      <c r="BA1323" s="12"/>
      <c r="BB1323" s="12"/>
      <c r="BC1323" s="12"/>
      <c r="BD1323" s="12"/>
      <c r="BF1323" s="106" t="str">
        <f t="shared" si="1"/>
        <v>#VALUE!</v>
      </c>
      <c r="BG1323" s="21">
        <f t="shared" si="2"/>
        <v>12</v>
      </c>
    </row>
    <row r="1324">
      <c r="P1324" s="161"/>
      <c r="AI1324" s="102"/>
      <c r="AO1324" s="12"/>
      <c r="AP1324" s="12"/>
      <c r="AQ1324" s="12"/>
      <c r="AR1324" s="12"/>
      <c r="AS1324" s="12"/>
      <c r="AT1324" s="12"/>
      <c r="AU1324" s="12"/>
      <c r="AV1324" s="12"/>
      <c r="AW1324" s="12"/>
      <c r="AX1324" s="12"/>
      <c r="AY1324" s="12"/>
      <c r="AZ1324" s="12"/>
      <c r="BA1324" s="12"/>
      <c r="BB1324" s="12"/>
      <c r="BC1324" s="12"/>
      <c r="BD1324" s="12"/>
      <c r="BF1324" s="106" t="str">
        <f t="shared" si="1"/>
        <v>#VALUE!</v>
      </c>
      <c r="BG1324" s="21">
        <f t="shared" si="2"/>
        <v>12</v>
      </c>
    </row>
    <row r="1325">
      <c r="P1325" s="161"/>
      <c r="AI1325" s="102"/>
      <c r="AO1325" s="12"/>
      <c r="AP1325" s="12"/>
      <c r="AQ1325" s="12"/>
      <c r="AR1325" s="12"/>
      <c r="AS1325" s="12"/>
      <c r="AT1325" s="12"/>
      <c r="AU1325" s="12"/>
      <c r="AV1325" s="12"/>
      <c r="AW1325" s="12"/>
      <c r="AX1325" s="12"/>
      <c r="AY1325" s="12"/>
      <c r="AZ1325" s="12"/>
      <c r="BA1325" s="12"/>
      <c r="BB1325" s="12"/>
      <c r="BC1325" s="12"/>
      <c r="BD1325" s="12"/>
      <c r="BF1325" s="106" t="str">
        <f t="shared" si="1"/>
        <v>#VALUE!</v>
      </c>
      <c r="BG1325" s="21">
        <f t="shared" si="2"/>
        <v>12</v>
      </c>
    </row>
    <row r="1326">
      <c r="P1326" s="161"/>
      <c r="AI1326" s="102"/>
      <c r="AO1326" s="12"/>
      <c r="AP1326" s="12"/>
      <c r="AQ1326" s="12"/>
      <c r="AR1326" s="12"/>
      <c r="AS1326" s="12"/>
      <c r="AT1326" s="12"/>
      <c r="AU1326" s="12"/>
      <c r="AV1326" s="12"/>
      <c r="AW1326" s="12"/>
      <c r="AX1326" s="12"/>
      <c r="AY1326" s="12"/>
      <c r="AZ1326" s="12"/>
      <c r="BA1326" s="12"/>
      <c r="BB1326" s="12"/>
      <c r="BC1326" s="12"/>
      <c r="BD1326" s="12"/>
      <c r="BF1326" s="106" t="str">
        <f t="shared" si="1"/>
        <v>#VALUE!</v>
      </c>
      <c r="BG1326" s="21">
        <f t="shared" si="2"/>
        <v>12</v>
      </c>
    </row>
    <row r="1327">
      <c r="P1327" s="161"/>
      <c r="AI1327" s="102"/>
      <c r="AO1327" s="12"/>
      <c r="AP1327" s="12"/>
      <c r="AQ1327" s="12"/>
      <c r="AR1327" s="12"/>
      <c r="AS1327" s="12"/>
      <c r="AT1327" s="12"/>
      <c r="AU1327" s="12"/>
      <c r="AV1327" s="12"/>
      <c r="AW1327" s="12"/>
      <c r="AX1327" s="12"/>
      <c r="AY1327" s="12"/>
      <c r="AZ1327" s="12"/>
      <c r="BA1327" s="12"/>
      <c r="BB1327" s="12"/>
      <c r="BC1327" s="12"/>
      <c r="BD1327" s="12"/>
      <c r="BF1327" s="106" t="str">
        <f t="shared" si="1"/>
        <v>#VALUE!</v>
      </c>
      <c r="BG1327" s="21">
        <f t="shared" si="2"/>
        <v>12</v>
      </c>
    </row>
    <row r="1328">
      <c r="P1328" s="161"/>
      <c r="AI1328" s="102"/>
      <c r="AO1328" s="12"/>
      <c r="AP1328" s="12"/>
      <c r="AQ1328" s="12"/>
      <c r="AR1328" s="12"/>
      <c r="AS1328" s="12"/>
      <c r="AT1328" s="12"/>
      <c r="AU1328" s="12"/>
      <c r="AV1328" s="12"/>
      <c r="AW1328" s="12"/>
      <c r="AX1328" s="12"/>
      <c r="AY1328" s="12"/>
      <c r="AZ1328" s="12"/>
      <c r="BA1328" s="12"/>
      <c r="BB1328" s="12"/>
      <c r="BC1328" s="12"/>
      <c r="BD1328" s="12"/>
      <c r="BF1328" s="106" t="str">
        <f t="shared" si="1"/>
        <v>#VALUE!</v>
      </c>
      <c r="BG1328" s="21">
        <f t="shared" si="2"/>
        <v>12</v>
      </c>
    </row>
    <row r="1329">
      <c r="P1329" s="161"/>
      <c r="AI1329" s="102"/>
      <c r="AO1329" s="12"/>
      <c r="AP1329" s="12"/>
      <c r="AQ1329" s="12"/>
      <c r="AR1329" s="12"/>
      <c r="AS1329" s="12"/>
      <c r="AT1329" s="12"/>
      <c r="AU1329" s="12"/>
      <c r="AV1329" s="12"/>
      <c r="AW1329" s="12"/>
      <c r="AX1329" s="12"/>
      <c r="AY1329" s="12"/>
      <c r="AZ1329" s="12"/>
      <c r="BA1329" s="12"/>
      <c r="BB1329" s="12"/>
      <c r="BC1329" s="12"/>
      <c r="BD1329" s="12"/>
      <c r="BF1329" s="106" t="str">
        <f t="shared" si="1"/>
        <v>#VALUE!</v>
      </c>
      <c r="BG1329" s="21">
        <f t="shared" si="2"/>
        <v>12</v>
      </c>
    </row>
    <row r="1330">
      <c r="P1330" s="161"/>
      <c r="AI1330" s="102"/>
      <c r="AO1330" s="12"/>
      <c r="AP1330" s="12"/>
      <c r="AQ1330" s="12"/>
      <c r="AR1330" s="12"/>
      <c r="AS1330" s="12"/>
      <c r="AT1330" s="12"/>
      <c r="AU1330" s="12"/>
      <c r="AV1330" s="12"/>
      <c r="AW1330" s="12"/>
      <c r="AX1330" s="12"/>
      <c r="AY1330" s="12"/>
      <c r="AZ1330" s="12"/>
      <c r="BA1330" s="12"/>
      <c r="BB1330" s="12"/>
      <c r="BC1330" s="12"/>
      <c r="BD1330" s="12"/>
      <c r="BF1330" s="106" t="str">
        <f t="shared" si="1"/>
        <v>#VALUE!</v>
      </c>
      <c r="BG1330" s="21">
        <f t="shared" si="2"/>
        <v>12</v>
      </c>
    </row>
    <row r="1331">
      <c r="P1331" s="161"/>
      <c r="AI1331" s="102"/>
      <c r="AO1331" s="12"/>
      <c r="AP1331" s="12"/>
      <c r="AQ1331" s="12"/>
      <c r="AR1331" s="12"/>
      <c r="AS1331" s="12"/>
      <c r="AT1331" s="12"/>
      <c r="AU1331" s="12"/>
      <c r="AV1331" s="12"/>
      <c r="AW1331" s="12"/>
      <c r="AX1331" s="12"/>
      <c r="AY1331" s="12"/>
      <c r="AZ1331" s="12"/>
      <c r="BA1331" s="12"/>
      <c r="BB1331" s="12"/>
      <c r="BC1331" s="12"/>
      <c r="BD1331" s="12"/>
      <c r="BF1331" s="106" t="str">
        <f t="shared" si="1"/>
        <v>#VALUE!</v>
      </c>
      <c r="BG1331" s="21">
        <f t="shared" si="2"/>
        <v>12</v>
      </c>
    </row>
    <row r="1332">
      <c r="P1332" s="161"/>
      <c r="AI1332" s="102"/>
      <c r="AO1332" s="12"/>
      <c r="AP1332" s="12"/>
      <c r="AQ1332" s="12"/>
      <c r="AR1332" s="12"/>
      <c r="AS1332" s="12"/>
      <c r="AT1332" s="12"/>
      <c r="AU1332" s="12"/>
      <c r="AV1332" s="12"/>
      <c r="AW1332" s="12"/>
      <c r="AX1332" s="12"/>
      <c r="AY1332" s="12"/>
      <c r="AZ1332" s="12"/>
      <c r="BA1332" s="12"/>
      <c r="BB1332" s="12"/>
      <c r="BC1332" s="12"/>
      <c r="BD1332" s="12"/>
      <c r="BF1332" s="106" t="str">
        <f t="shared" si="1"/>
        <v>#VALUE!</v>
      </c>
      <c r="BG1332" s="21">
        <f t="shared" si="2"/>
        <v>12</v>
      </c>
    </row>
    <row r="1333">
      <c r="P1333" s="161"/>
      <c r="AI1333" s="102"/>
      <c r="AO1333" s="12"/>
      <c r="AP1333" s="12"/>
      <c r="AQ1333" s="12"/>
      <c r="AR1333" s="12"/>
      <c r="AS1333" s="12"/>
      <c r="AT1333" s="12"/>
      <c r="AU1333" s="12"/>
      <c r="AV1333" s="12"/>
      <c r="AW1333" s="12"/>
      <c r="AX1333" s="12"/>
      <c r="AY1333" s="12"/>
      <c r="AZ1333" s="12"/>
      <c r="BA1333" s="12"/>
      <c r="BB1333" s="12"/>
      <c r="BC1333" s="12"/>
      <c r="BD1333" s="12"/>
      <c r="BF1333" s="106" t="str">
        <f t="shared" si="1"/>
        <v>#VALUE!</v>
      </c>
      <c r="BG1333" s="21">
        <f t="shared" si="2"/>
        <v>12</v>
      </c>
    </row>
    <row r="1334">
      <c r="P1334" s="161"/>
      <c r="AI1334" s="102"/>
      <c r="AO1334" s="12"/>
      <c r="AP1334" s="12"/>
      <c r="AQ1334" s="12"/>
      <c r="AR1334" s="12"/>
      <c r="AS1334" s="12"/>
      <c r="AT1334" s="12"/>
      <c r="AU1334" s="12"/>
      <c r="AV1334" s="12"/>
      <c r="AW1334" s="12"/>
      <c r="AX1334" s="12"/>
      <c r="AY1334" s="12"/>
      <c r="AZ1334" s="12"/>
      <c r="BA1334" s="12"/>
      <c r="BB1334" s="12"/>
      <c r="BC1334" s="12"/>
      <c r="BD1334" s="12"/>
      <c r="BF1334" s="106" t="str">
        <f t="shared" si="1"/>
        <v>#VALUE!</v>
      </c>
      <c r="BG1334" s="21">
        <f t="shared" si="2"/>
        <v>12</v>
      </c>
    </row>
    <row r="1335">
      <c r="P1335" s="161"/>
      <c r="AI1335" s="102"/>
      <c r="AO1335" s="12"/>
      <c r="AP1335" s="12"/>
      <c r="AQ1335" s="12"/>
      <c r="AR1335" s="12"/>
      <c r="AS1335" s="12"/>
      <c r="AT1335" s="12"/>
      <c r="AU1335" s="12"/>
      <c r="AV1335" s="12"/>
      <c r="AW1335" s="12"/>
      <c r="AX1335" s="12"/>
      <c r="AY1335" s="12"/>
      <c r="AZ1335" s="12"/>
      <c r="BA1335" s="12"/>
      <c r="BB1335" s="12"/>
      <c r="BC1335" s="12"/>
      <c r="BD1335" s="12"/>
      <c r="BF1335" s="106" t="str">
        <f t="shared" si="1"/>
        <v>#VALUE!</v>
      </c>
      <c r="BG1335" s="21">
        <f t="shared" si="2"/>
        <v>12</v>
      </c>
    </row>
    <row r="1336">
      <c r="P1336" s="161"/>
      <c r="AI1336" s="102"/>
      <c r="AO1336" s="12"/>
      <c r="AP1336" s="12"/>
      <c r="AQ1336" s="12"/>
      <c r="AR1336" s="12"/>
      <c r="AS1336" s="12"/>
      <c r="AT1336" s="12"/>
      <c r="AU1336" s="12"/>
      <c r="AV1336" s="12"/>
      <c r="AW1336" s="12"/>
      <c r="AX1336" s="12"/>
      <c r="AY1336" s="12"/>
      <c r="AZ1336" s="12"/>
      <c r="BA1336" s="12"/>
      <c r="BB1336" s="12"/>
      <c r="BC1336" s="12"/>
      <c r="BD1336" s="12"/>
      <c r="BF1336" s="106" t="str">
        <f t="shared" si="1"/>
        <v>#VALUE!</v>
      </c>
      <c r="BG1336" s="21">
        <f t="shared" si="2"/>
        <v>12</v>
      </c>
    </row>
    <row r="1337">
      <c r="P1337" s="161"/>
      <c r="AI1337" s="102"/>
      <c r="AO1337" s="12"/>
      <c r="AP1337" s="12"/>
      <c r="AQ1337" s="12"/>
      <c r="AR1337" s="12"/>
      <c r="AS1337" s="12"/>
      <c r="AT1337" s="12"/>
      <c r="AU1337" s="12"/>
      <c r="AV1337" s="12"/>
      <c r="AW1337" s="12"/>
      <c r="AX1337" s="12"/>
      <c r="AY1337" s="12"/>
      <c r="AZ1337" s="12"/>
      <c r="BA1337" s="12"/>
      <c r="BB1337" s="12"/>
      <c r="BC1337" s="12"/>
      <c r="BD1337" s="12"/>
      <c r="BF1337" s="106" t="str">
        <f t="shared" si="1"/>
        <v>#VALUE!</v>
      </c>
      <c r="BG1337" s="21">
        <f t="shared" si="2"/>
        <v>12</v>
      </c>
    </row>
    <row r="1338">
      <c r="P1338" s="161"/>
      <c r="AI1338" s="102"/>
      <c r="AO1338" s="12"/>
      <c r="AP1338" s="12"/>
      <c r="AQ1338" s="12"/>
      <c r="AR1338" s="12"/>
      <c r="AS1338" s="12"/>
      <c r="AT1338" s="12"/>
      <c r="AU1338" s="12"/>
      <c r="AV1338" s="12"/>
      <c r="AW1338" s="12"/>
      <c r="AX1338" s="12"/>
      <c r="AY1338" s="12"/>
      <c r="AZ1338" s="12"/>
      <c r="BA1338" s="12"/>
      <c r="BB1338" s="12"/>
      <c r="BC1338" s="12"/>
      <c r="BD1338" s="12"/>
      <c r="BF1338" s="106" t="str">
        <f t="shared" si="1"/>
        <v>#VALUE!</v>
      </c>
      <c r="BG1338" s="21">
        <f t="shared" si="2"/>
        <v>12</v>
      </c>
    </row>
    <row r="1339">
      <c r="P1339" s="161"/>
      <c r="AI1339" s="102"/>
      <c r="AO1339" s="12"/>
      <c r="AP1339" s="12"/>
      <c r="AQ1339" s="12"/>
      <c r="AR1339" s="12"/>
      <c r="AS1339" s="12"/>
      <c r="AT1339" s="12"/>
      <c r="AU1339" s="12"/>
      <c r="AV1339" s="12"/>
      <c r="AW1339" s="12"/>
      <c r="AX1339" s="12"/>
      <c r="AY1339" s="12"/>
      <c r="AZ1339" s="12"/>
      <c r="BA1339" s="12"/>
      <c r="BB1339" s="12"/>
      <c r="BC1339" s="12"/>
      <c r="BD1339" s="12"/>
      <c r="BF1339" s="106" t="str">
        <f t="shared" si="1"/>
        <v>#VALUE!</v>
      </c>
      <c r="BG1339" s="21">
        <f t="shared" si="2"/>
        <v>12</v>
      </c>
    </row>
    <row r="1340">
      <c r="P1340" s="161"/>
      <c r="AI1340" s="102"/>
      <c r="AO1340" s="12"/>
      <c r="AP1340" s="12"/>
      <c r="AQ1340" s="12"/>
      <c r="AR1340" s="12"/>
      <c r="AS1340" s="12"/>
      <c r="AT1340" s="12"/>
      <c r="AU1340" s="12"/>
      <c r="AV1340" s="12"/>
      <c r="AW1340" s="12"/>
      <c r="AX1340" s="12"/>
      <c r="AY1340" s="12"/>
      <c r="AZ1340" s="12"/>
      <c r="BA1340" s="12"/>
      <c r="BB1340" s="12"/>
      <c r="BC1340" s="12"/>
      <c r="BD1340" s="12"/>
      <c r="BF1340" s="106" t="str">
        <f t="shared" si="1"/>
        <v>#VALUE!</v>
      </c>
      <c r="BG1340" s="21">
        <f t="shared" si="2"/>
        <v>12</v>
      </c>
    </row>
    <row r="1341">
      <c r="P1341" s="161"/>
      <c r="AI1341" s="102"/>
      <c r="AO1341" s="12"/>
      <c r="AP1341" s="12"/>
      <c r="AQ1341" s="12"/>
      <c r="AR1341" s="12"/>
      <c r="AS1341" s="12"/>
      <c r="AT1341" s="12"/>
      <c r="AU1341" s="12"/>
      <c r="AV1341" s="12"/>
      <c r="AW1341" s="12"/>
      <c r="AX1341" s="12"/>
      <c r="AY1341" s="12"/>
      <c r="AZ1341" s="12"/>
      <c r="BA1341" s="12"/>
      <c r="BB1341" s="12"/>
      <c r="BC1341" s="12"/>
      <c r="BD1341" s="12"/>
      <c r="BF1341" s="106" t="str">
        <f t="shared" si="1"/>
        <v>#VALUE!</v>
      </c>
      <c r="BG1341" s="21">
        <f t="shared" si="2"/>
        <v>12</v>
      </c>
    </row>
    <row r="1342">
      <c r="P1342" s="161"/>
      <c r="AI1342" s="102"/>
      <c r="AO1342" s="12"/>
      <c r="AP1342" s="12"/>
      <c r="AQ1342" s="12"/>
      <c r="AR1342" s="12"/>
      <c r="AS1342" s="12"/>
      <c r="AT1342" s="12"/>
      <c r="AU1342" s="12"/>
      <c r="AV1342" s="12"/>
      <c r="AW1342" s="12"/>
      <c r="AX1342" s="12"/>
      <c r="AY1342" s="12"/>
      <c r="AZ1342" s="12"/>
      <c r="BA1342" s="12"/>
      <c r="BB1342" s="12"/>
      <c r="BC1342" s="12"/>
      <c r="BD1342" s="12"/>
      <c r="BF1342" s="106" t="str">
        <f t="shared" si="1"/>
        <v>#VALUE!</v>
      </c>
      <c r="BG1342" s="21">
        <f t="shared" si="2"/>
        <v>12</v>
      </c>
    </row>
    <row r="1343">
      <c r="P1343" s="161"/>
      <c r="AI1343" s="102"/>
      <c r="AO1343" s="12"/>
      <c r="AP1343" s="12"/>
      <c r="AQ1343" s="12"/>
      <c r="AR1343" s="12"/>
      <c r="AS1343" s="12"/>
      <c r="AT1343" s="12"/>
      <c r="AU1343" s="12"/>
      <c r="AV1343" s="12"/>
      <c r="AW1343" s="12"/>
      <c r="AX1343" s="12"/>
      <c r="AY1343" s="12"/>
      <c r="AZ1343" s="12"/>
      <c r="BA1343" s="12"/>
      <c r="BB1343" s="12"/>
      <c r="BC1343" s="12"/>
      <c r="BD1343" s="12"/>
      <c r="BF1343" s="106" t="str">
        <f t="shared" si="1"/>
        <v>#VALUE!</v>
      </c>
      <c r="BG1343" s="21">
        <f t="shared" si="2"/>
        <v>12</v>
      </c>
    </row>
    <row r="1344">
      <c r="P1344" s="161"/>
      <c r="AI1344" s="102"/>
      <c r="AO1344" s="12"/>
      <c r="AP1344" s="12"/>
      <c r="AQ1344" s="12"/>
      <c r="AR1344" s="12"/>
      <c r="AS1344" s="12"/>
      <c r="AT1344" s="12"/>
      <c r="AU1344" s="12"/>
      <c r="AV1344" s="12"/>
      <c r="AW1344" s="12"/>
      <c r="AX1344" s="12"/>
      <c r="AY1344" s="12"/>
      <c r="AZ1344" s="12"/>
      <c r="BA1344" s="12"/>
      <c r="BB1344" s="12"/>
      <c r="BC1344" s="12"/>
      <c r="BD1344" s="12"/>
      <c r="BF1344" s="106" t="str">
        <f t="shared" si="1"/>
        <v>#VALUE!</v>
      </c>
      <c r="BG1344" s="21">
        <f t="shared" si="2"/>
        <v>12</v>
      </c>
    </row>
    <row r="1345">
      <c r="P1345" s="161"/>
      <c r="AI1345" s="102"/>
      <c r="AO1345" s="12"/>
      <c r="AP1345" s="12"/>
      <c r="AQ1345" s="12"/>
      <c r="AR1345" s="12"/>
      <c r="AS1345" s="12"/>
      <c r="AT1345" s="12"/>
      <c r="AU1345" s="12"/>
      <c r="AV1345" s="12"/>
      <c r="AW1345" s="12"/>
      <c r="AX1345" s="12"/>
      <c r="AY1345" s="12"/>
      <c r="AZ1345" s="12"/>
      <c r="BA1345" s="12"/>
      <c r="BB1345" s="12"/>
      <c r="BC1345" s="12"/>
      <c r="BD1345" s="12"/>
      <c r="BF1345" s="106" t="str">
        <f t="shared" si="1"/>
        <v>#VALUE!</v>
      </c>
      <c r="BG1345" s="21">
        <f t="shared" si="2"/>
        <v>12</v>
      </c>
    </row>
    <row r="1346">
      <c r="P1346" s="161"/>
      <c r="AI1346" s="102"/>
      <c r="AO1346" s="12"/>
      <c r="AP1346" s="12"/>
      <c r="AQ1346" s="12"/>
      <c r="AR1346" s="12"/>
      <c r="AS1346" s="12"/>
      <c r="AT1346" s="12"/>
      <c r="AU1346" s="12"/>
      <c r="AV1346" s="12"/>
      <c r="AW1346" s="12"/>
      <c r="AX1346" s="12"/>
      <c r="AY1346" s="12"/>
      <c r="AZ1346" s="12"/>
      <c r="BA1346" s="12"/>
      <c r="BB1346" s="12"/>
      <c r="BC1346" s="12"/>
      <c r="BD1346" s="12"/>
      <c r="BF1346" s="106" t="str">
        <f t="shared" si="1"/>
        <v>#VALUE!</v>
      </c>
      <c r="BG1346" s="21">
        <f t="shared" si="2"/>
        <v>12</v>
      </c>
    </row>
    <row r="1347">
      <c r="P1347" s="161"/>
      <c r="AI1347" s="102"/>
      <c r="AO1347" s="12"/>
      <c r="AP1347" s="12"/>
      <c r="AQ1347" s="12"/>
      <c r="AR1347" s="12"/>
      <c r="AS1347" s="12"/>
      <c r="AT1347" s="12"/>
      <c r="AU1347" s="12"/>
      <c r="AV1347" s="12"/>
      <c r="AW1347" s="12"/>
      <c r="AX1347" s="12"/>
      <c r="AY1347" s="12"/>
      <c r="AZ1347" s="12"/>
      <c r="BA1347" s="12"/>
      <c r="BB1347" s="12"/>
      <c r="BC1347" s="12"/>
      <c r="BD1347" s="12"/>
      <c r="BF1347" s="106" t="str">
        <f t="shared" si="1"/>
        <v>#VALUE!</v>
      </c>
      <c r="BG1347" s="21">
        <f t="shared" si="2"/>
        <v>12</v>
      </c>
    </row>
    <row r="1348">
      <c r="P1348" s="161"/>
      <c r="AI1348" s="102"/>
      <c r="AO1348" s="12"/>
      <c r="AP1348" s="12"/>
      <c r="AQ1348" s="12"/>
      <c r="AR1348" s="12"/>
      <c r="AS1348" s="12"/>
      <c r="AT1348" s="12"/>
      <c r="AU1348" s="12"/>
      <c r="AV1348" s="12"/>
      <c r="AW1348" s="12"/>
      <c r="AX1348" s="12"/>
      <c r="AY1348" s="12"/>
      <c r="AZ1348" s="12"/>
      <c r="BA1348" s="12"/>
      <c r="BB1348" s="12"/>
      <c r="BC1348" s="12"/>
      <c r="BD1348" s="12"/>
      <c r="BF1348" s="106" t="str">
        <f t="shared" si="1"/>
        <v>#VALUE!</v>
      </c>
      <c r="BG1348" s="21">
        <f t="shared" si="2"/>
        <v>12</v>
      </c>
    </row>
    <row r="1349">
      <c r="P1349" s="161"/>
      <c r="AI1349" s="102"/>
      <c r="AO1349" s="12"/>
      <c r="AP1349" s="12"/>
      <c r="AQ1349" s="12"/>
      <c r="AR1349" s="12"/>
      <c r="AS1349" s="12"/>
      <c r="AT1349" s="12"/>
      <c r="AU1349" s="12"/>
      <c r="AV1349" s="12"/>
      <c r="AW1349" s="12"/>
      <c r="AX1349" s="12"/>
      <c r="AY1349" s="12"/>
      <c r="AZ1349" s="12"/>
      <c r="BA1349" s="12"/>
      <c r="BB1349" s="12"/>
      <c r="BC1349" s="12"/>
      <c r="BD1349" s="12"/>
      <c r="BF1349" s="106" t="str">
        <f t="shared" si="1"/>
        <v>#VALUE!</v>
      </c>
      <c r="BG1349" s="21">
        <f t="shared" si="2"/>
        <v>12</v>
      </c>
    </row>
    <row r="1350">
      <c r="P1350" s="161"/>
      <c r="AI1350" s="102"/>
      <c r="AO1350" s="12"/>
      <c r="AP1350" s="12"/>
      <c r="AQ1350" s="12"/>
      <c r="AR1350" s="12"/>
      <c r="AS1350" s="12"/>
      <c r="AT1350" s="12"/>
      <c r="AU1350" s="12"/>
      <c r="AV1350" s="12"/>
      <c r="AW1350" s="12"/>
      <c r="AX1350" s="12"/>
      <c r="AY1350" s="12"/>
      <c r="AZ1350" s="12"/>
      <c r="BA1350" s="12"/>
      <c r="BB1350" s="12"/>
      <c r="BC1350" s="12"/>
      <c r="BD1350" s="12"/>
      <c r="BF1350" s="106" t="str">
        <f t="shared" si="1"/>
        <v>#VALUE!</v>
      </c>
      <c r="BG1350" s="21">
        <f t="shared" si="2"/>
        <v>12</v>
      </c>
    </row>
    <row r="1351">
      <c r="P1351" s="161"/>
      <c r="AI1351" s="102"/>
      <c r="AO1351" s="12"/>
      <c r="AP1351" s="12"/>
      <c r="AQ1351" s="12"/>
      <c r="AR1351" s="12"/>
      <c r="AS1351" s="12"/>
      <c r="AT1351" s="12"/>
      <c r="AU1351" s="12"/>
      <c r="AV1351" s="12"/>
      <c r="AW1351" s="12"/>
      <c r="AX1351" s="12"/>
      <c r="AY1351" s="12"/>
      <c r="AZ1351" s="12"/>
      <c r="BA1351" s="12"/>
      <c r="BB1351" s="12"/>
      <c r="BC1351" s="12"/>
      <c r="BD1351" s="12"/>
      <c r="BF1351" s="106" t="str">
        <f t="shared" si="1"/>
        <v>#VALUE!</v>
      </c>
      <c r="BG1351" s="21">
        <f t="shared" si="2"/>
        <v>12</v>
      </c>
    </row>
    <row r="1352">
      <c r="P1352" s="161"/>
      <c r="AI1352" s="102"/>
      <c r="AO1352" s="12"/>
      <c r="AP1352" s="12"/>
      <c r="AQ1352" s="12"/>
      <c r="AR1352" s="12"/>
      <c r="AS1352" s="12"/>
      <c r="AT1352" s="12"/>
      <c r="AU1352" s="12"/>
      <c r="AV1352" s="12"/>
      <c r="AW1352" s="12"/>
      <c r="AX1352" s="12"/>
      <c r="AY1352" s="12"/>
      <c r="AZ1352" s="12"/>
      <c r="BA1352" s="12"/>
      <c r="BB1352" s="12"/>
      <c r="BC1352" s="12"/>
      <c r="BD1352" s="12"/>
      <c r="BF1352" s="106" t="str">
        <f t="shared" si="1"/>
        <v>#VALUE!</v>
      </c>
      <c r="BG1352" s="21">
        <f t="shared" si="2"/>
        <v>12</v>
      </c>
    </row>
    <row r="1353">
      <c r="P1353" s="161"/>
      <c r="AI1353" s="102"/>
      <c r="AO1353" s="12"/>
      <c r="AP1353" s="12"/>
      <c r="AQ1353" s="12"/>
      <c r="AR1353" s="12"/>
      <c r="AS1353" s="12"/>
      <c r="AT1353" s="12"/>
      <c r="AU1353" s="12"/>
      <c r="AV1353" s="12"/>
      <c r="AW1353" s="12"/>
      <c r="AX1353" s="12"/>
      <c r="AY1353" s="12"/>
      <c r="AZ1353" s="12"/>
      <c r="BA1353" s="12"/>
      <c r="BB1353" s="12"/>
      <c r="BC1353" s="12"/>
      <c r="BD1353" s="12"/>
      <c r="BF1353" s="106" t="str">
        <f t="shared" si="1"/>
        <v>#VALUE!</v>
      </c>
      <c r="BG1353" s="21">
        <f t="shared" si="2"/>
        <v>12</v>
      </c>
    </row>
    <row r="1354">
      <c r="P1354" s="161"/>
      <c r="AI1354" s="102"/>
      <c r="AO1354" s="12"/>
      <c r="AP1354" s="12"/>
      <c r="AQ1354" s="12"/>
      <c r="AR1354" s="12"/>
      <c r="AS1354" s="12"/>
      <c r="AT1354" s="12"/>
      <c r="AU1354" s="12"/>
      <c r="AV1354" s="12"/>
      <c r="AW1354" s="12"/>
      <c r="AX1354" s="12"/>
      <c r="AY1354" s="12"/>
      <c r="AZ1354" s="12"/>
      <c r="BA1354" s="12"/>
      <c r="BB1354" s="12"/>
      <c r="BC1354" s="12"/>
      <c r="BD1354" s="12"/>
      <c r="BF1354" s="106" t="str">
        <f t="shared" si="1"/>
        <v>#VALUE!</v>
      </c>
      <c r="BG1354" s="21">
        <f t="shared" si="2"/>
        <v>12</v>
      </c>
    </row>
    <row r="1355">
      <c r="P1355" s="161"/>
      <c r="AI1355" s="102"/>
      <c r="AO1355" s="12"/>
      <c r="AP1355" s="12"/>
      <c r="AQ1355" s="12"/>
      <c r="AR1355" s="12"/>
      <c r="AS1355" s="12"/>
      <c r="AT1355" s="12"/>
      <c r="AU1355" s="12"/>
      <c r="AV1355" s="12"/>
      <c r="AW1355" s="12"/>
      <c r="AX1355" s="12"/>
      <c r="AY1355" s="12"/>
      <c r="AZ1355" s="12"/>
      <c r="BA1355" s="12"/>
      <c r="BB1355" s="12"/>
      <c r="BC1355" s="12"/>
      <c r="BD1355" s="12"/>
      <c r="BF1355" s="106" t="str">
        <f t="shared" si="1"/>
        <v>#VALUE!</v>
      </c>
      <c r="BG1355" s="21">
        <f t="shared" si="2"/>
        <v>12</v>
      </c>
    </row>
    <row r="1356">
      <c r="P1356" s="161"/>
      <c r="AI1356" s="102"/>
      <c r="AO1356" s="12"/>
      <c r="AP1356" s="12"/>
      <c r="AQ1356" s="12"/>
      <c r="AR1356" s="12"/>
      <c r="AS1356" s="12"/>
      <c r="AT1356" s="12"/>
      <c r="AU1356" s="12"/>
      <c r="AV1356" s="12"/>
      <c r="AW1356" s="12"/>
      <c r="AX1356" s="12"/>
      <c r="AY1356" s="12"/>
      <c r="AZ1356" s="12"/>
      <c r="BA1356" s="12"/>
      <c r="BB1356" s="12"/>
      <c r="BC1356" s="12"/>
      <c r="BD1356" s="12"/>
      <c r="BF1356" s="106" t="str">
        <f t="shared" si="1"/>
        <v>#VALUE!</v>
      </c>
      <c r="BG1356" s="21">
        <f t="shared" si="2"/>
        <v>12</v>
      </c>
    </row>
    <row r="1357">
      <c r="P1357" s="161"/>
      <c r="AI1357" s="102"/>
      <c r="AO1357" s="12"/>
      <c r="AP1357" s="12"/>
      <c r="AQ1357" s="12"/>
      <c r="AR1357" s="12"/>
      <c r="AS1357" s="12"/>
      <c r="AT1357" s="12"/>
      <c r="AU1357" s="12"/>
      <c r="AV1357" s="12"/>
      <c r="AW1357" s="12"/>
      <c r="AX1357" s="12"/>
      <c r="AY1357" s="12"/>
      <c r="AZ1357" s="12"/>
      <c r="BA1357" s="12"/>
      <c r="BB1357" s="12"/>
      <c r="BC1357" s="12"/>
      <c r="BD1357" s="12"/>
      <c r="BF1357" s="106" t="str">
        <f t="shared" si="1"/>
        <v>#VALUE!</v>
      </c>
      <c r="BG1357" s="21">
        <f t="shared" si="2"/>
        <v>12</v>
      </c>
    </row>
    <row r="1358">
      <c r="P1358" s="161"/>
      <c r="AI1358" s="102"/>
      <c r="AO1358" s="12"/>
      <c r="AP1358" s="12"/>
      <c r="AQ1358" s="12"/>
      <c r="AR1358" s="12"/>
      <c r="AS1358" s="12"/>
      <c r="AT1358" s="12"/>
      <c r="AU1358" s="12"/>
      <c r="AV1358" s="12"/>
      <c r="AW1358" s="12"/>
      <c r="AX1358" s="12"/>
      <c r="AY1358" s="12"/>
      <c r="AZ1358" s="12"/>
      <c r="BA1358" s="12"/>
      <c r="BB1358" s="12"/>
      <c r="BC1358" s="12"/>
      <c r="BD1358" s="12"/>
      <c r="BF1358" s="106" t="str">
        <f t="shared" si="1"/>
        <v>#VALUE!</v>
      </c>
      <c r="BG1358" s="21">
        <f t="shared" si="2"/>
        <v>12</v>
      </c>
    </row>
    <row r="1359">
      <c r="P1359" s="161"/>
      <c r="AI1359" s="102"/>
      <c r="AO1359" s="12"/>
      <c r="AP1359" s="12"/>
      <c r="AQ1359" s="12"/>
      <c r="AR1359" s="12"/>
      <c r="AS1359" s="12"/>
      <c r="AT1359" s="12"/>
      <c r="AU1359" s="12"/>
      <c r="AV1359" s="12"/>
      <c r="AW1359" s="12"/>
      <c r="AX1359" s="12"/>
      <c r="AY1359" s="12"/>
      <c r="AZ1359" s="12"/>
      <c r="BA1359" s="12"/>
      <c r="BB1359" s="12"/>
      <c r="BC1359" s="12"/>
      <c r="BD1359" s="12"/>
      <c r="BF1359" s="106" t="str">
        <f t="shared" si="1"/>
        <v>#VALUE!</v>
      </c>
      <c r="BG1359" s="21">
        <f t="shared" si="2"/>
        <v>12</v>
      </c>
    </row>
    <row r="1360">
      <c r="P1360" s="161"/>
      <c r="AI1360" s="102"/>
      <c r="AO1360" s="12"/>
      <c r="AP1360" s="12"/>
      <c r="AQ1360" s="12"/>
      <c r="AR1360" s="12"/>
      <c r="AS1360" s="12"/>
      <c r="AT1360" s="12"/>
      <c r="AU1360" s="12"/>
      <c r="AV1360" s="12"/>
      <c r="AW1360" s="12"/>
      <c r="AX1360" s="12"/>
      <c r="AY1360" s="12"/>
      <c r="AZ1360" s="12"/>
      <c r="BA1360" s="12"/>
      <c r="BB1360" s="12"/>
      <c r="BC1360" s="12"/>
      <c r="BD1360" s="12"/>
      <c r="BF1360" s="106" t="str">
        <f t="shared" si="1"/>
        <v>#VALUE!</v>
      </c>
      <c r="BG1360" s="21">
        <f t="shared" si="2"/>
        <v>12</v>
      </c>
    </row>
    <row r="1361">
      <c r="P1361" s="161"/>
      <c r="AI1361" s="102"/>
      <c r="AO1361" s="12"/>
      <c r="AP1361" s="12"/>
      <c r="AQ1361" s="12"/>
      <c r="AR1361" s="12"/>
      <c r="AS1361" s="12"/>
      <c r="AT1361" s="12"/>
      <c r="AU1361" s="12"/>
      <c r="AV1361" s="12"/>
      <c r="AW1361" s="12"/>
      <c r="AX1361" s="12"/>
      <c r="AY1361" s="12"/>
      <c r="AZ1361" s="12"/>
      <c r="BA1361" s="12"/>
      <c r="BB1361" s="12"/>
      <c r="BC1361" s="12"/>
      <c r="BD1361" s="12"/>
      <c r="BF1361" s="106" t="str">
        <f t="shared" si="1"/>
        <v>#VALUE!</v>
      </c>
      <c r="BG1361" s="21">
        <f t="shared" si="2"/>
        <v>12</v>
      </c>
    </row>
    <row r="1362">
      <c r="P1362" s="161"/>
      <c r="AI1362" s="102"/>
      <c r="AO1362" s="12"/>
      <c r="AP1362" s="12"/>
      <c r="AQ1362" s="12"/>
      <c r="AR1362" s="12"/>
      <c r="AS1362" s="12"/>
      <c r="AT1362" s="12"/>
      <c r="AU1362" s="12"/>
      <c r="AV1362" s="12"/>
      <c r="AW1362" s="12"/>
      <c r="AX1362" s="12"/>
      <c r="AY1362" s="12"/>
      <c r="AZ1362" s="12"/>
      <c r="BA1362" s="12"/>
      <c r="BB1362" s="12"/>
      <c r="BC1362" s="12"/>
      <c r="BD1362" s="12"/>
      <c r="BF1362" s="106" t="str">
        <f t="shared" si="1"/>
        <v>#VALUE!</v>
      </c>
      <c r="BG1362" s="21">
        <f t="shared" si="2"/>
        <v>12</v>
      </c>
    </row>
    <row r="1363">
      <c r="P1363" s="161"/>
      <c r="AI1363" s="102"/>
      <c r="AO1363" s="12"/>
      <c r="AP1363" s="12"/>
      <c r="AQ1363" s="12"/>
      <c r="AR1363" s="12"/>
      <c r="AS1363" s="12"/>
      <c r="AT1363" s="12"/>
      <c r="AU1363" s="12"/>
      <c r="AV1363" s="12"/>
      <c r="AW1363" s="12"/>
      <c r="AX1363" s="12"/>
      <c r="AY1363" s="12"/>
      <c r="AZ1363" s="12"/>
      <c r="BA1363" s="12"/>
      <c r="BB1363" s="12"/>
      <c r="BC1363" s="12"/>
      <c r="BD1363" s="12"/>
      <c r="BF1363" s="106" t="str">
        <f t="shared" si="1"/>
        <v>#VALUE!</v>
      </c>
      <c r="BG1363" s="21">
        <f t="shared" si="2"/>
        <v>12</v>
      </c>
    </row>
    <row r="1364">
      <c r="P1364" s="161"/>
      <c r="AI1364" s="102"/>
      <c r="AO1364" s="12"/>
      <c r="AP1364" s="12"/>
      <c r="AQ1364" s="12"/>
      <c r="AR1364" s="12"/>
      <c r="AS1364" s="12"/>
      <c r="AT1364" s="12"/>
      <c r="AU1364" s="12"/>
      <c r="AV1364" s="12"/>
      <c r="AW1364" s="12"/>
      <c r="AX1364" s="12"/>
      <c r="AY1364" s="12"/>
      <c r="AZ1364" s="12"/>
      <c r="BA1364" s="12"/>
      <c r="BB1364" s="12"/>
      <c r="BC1364" s="12"/>
      <c r="BD1364" s="12"/>
      <c r="BF1364" s="106" t="str">
        <f t="shared" si="1"/>
        <v>#VALUE!</v>
      </c>
      <c r="BG1364" s="21">
        <f t="shared" si="2"/>
        <v>12</v>
      </c>
    </row>
    <row r="1365">
      <c r="P1365" s="161"/>
      <c r="AI1365" s="102"/>
      <c r="AO1365" s="12"/>
      <c r="AP1365" s="12"/>
      <c r="AQ1365" s="12"/>
      <c r="AR1365" s="12"/>
      <c r="AS1365" s="12"/>
      <c r="AT1365" s="12"/>
      <c r="AU1365" s="12"/>
      <c r="AV1365" s="12"/>
      <c r="AW1365" s="12"/>
      <c r="AX1365" s="12"/>
      <c r="AY1365" s="12"/>
      <c r="AZ1365" s="12"/>
      <c r="BA1365" s="12"/>
      <c r="BB1365" s="12"/>
      <c r="BC1365" s="12"/>
      <c r="BD1365" s="12"/>
      <c r="BF1365" s="106" t="str">
        <f t="shared" si="1"/>
        <v>#VALUE!</v>
      </c>
      <c r="BG1365" s="21">
        <f t="shared" si="2"/>
        <v>12</v>
      </c>
    </row>
    <row r="1366">
      <c r="P1366" s="161"/>
      <c r="AI1366" s="102"/>
      <c r="AO1366" s="12"/>
      <c r="AP1366" s="12"/>
      <c r="AQ1366" s="12"/>
      <c r="AR1366" s="12"/>
      <c r="AS1366" s="12"/>
      <c r="AT1366" s="12"/>
      <c r="AU1366" s="12"/>
      <c r="AV1366" s="12"/>
      <c r="AW1366" s="12"/>
      <c r="AX1366" s="12"/>
      <c r="AY1366" s="12"/>
      <c r="AZ1366" s="12"/>
      <c r="BA1366" s="12"/>
      <c r="BB1366" s="12"/>
      <c r="BC1366" s="12"/>
      <c r="BD1366" s="12"/>
      <c r="BF1366" s="106" t="str">
        <f t="shared" si="1"/>
        <v>#VALUE!</v>
      </c>
      <c r="BG1366" s="21">
        <f t="shared" si="2"/>
        <v>12</v>
      </c>
    </row>
    <row r="1367">
      <c r="P1367" s="161"/>
      <c r="AI1367" s="102"/>
      <c r="AO1367" s="12"/>
      <c r="AP1367" s="12"/>
      <c r="AQ1367" s="12"/>
      <c r="AR1367" s="12"/>
      <c r="AS1367" s="12"/>
      <c r="AT1367" s="12"/>
      <c r="AU1367" s="12"/>
      <c r="AV1367" s="12"/>
      <c r="AW1367" s="12"/>
      <c r="AX1367" s="12"/>
      <c r="AY1367" s="12"/>
      <c r="AZ1367" s="12"/>
      <c r="BA1367" s="12"/>
      <c r="BB1367" s="12"/>
      <c r="BC1367" s="12"/>
      <c r="BD1367" s="12"/>
      <c r="BF1367" s="106" t="str">
        <f t="shared" si="1"/>
        <v>#VALUE!</v>
      </c>
      <c r="BG1367" s="21">
        <f t="shared" si="2"/>
        <v>12</v>
      </c>
    </row>
    <row r="1368">
      <c r="P1368" s="161"/>
      <c r="AI1368" s="102"/>
      <c r="AO1368" s="12"/>
      <c r="AP1368" s="12"/>
      <c r="AQ1368" s="12"/>
      <c r="AR1368" s="12"/>
      <c r="AS1368" s="12"/>
      <c r="AT1368" s="12"/>
      <c r="AU1368" s="12"/>
      <c r="AV1368" s="12"/>
      <c r="AW1368" s="12"/>
      <c r="AX1368" s="12"/>
      <c r="AY1368" s="12"/>
      <c r="AZ1368" s="12"/>
      <c r="BA1368" s="12"/>
      <c r="BB1368" s="12"/>
      <c r="BC1368" s="12"/>
      <c r="BD1368" s="12"/>
      <c r="BF1368" s="106" t="str">
        <f t="shared" si="1"/>
        <v>#VALUE!</v>
      </c>
      <c r="BG1368" s="21">
        <f t="shared" si="2"/>
        <v>12</v>
      </c>
    </row>
    <row r="1369">
      <c r="P1369" s="161"/>
      <c r="AI1369" s="102"/>
      <c r="AO1369" s="12"/>
      <c r="AP1369" s="12"/>
      <c r="AQ1369" s="12"/>
      <c r="AR1369" s="12"/>
      <c r="AS1369" s="12"/>
      <c r="AT1369" s="12"/>
      <c r="AU1369" s="12"/>
      <c r="AV1369" s="12"/>
      <c r="AW1369" s="12"/>
      <c r="AX1369" s="12"/>
      <c r="AY1369" s="12"/>
      <c r="AZ1369" s="12"/>
      <c r="BA1369" s="12"/>
      <c r="BB1369" s="12"/>
      <c r="BC1369" s="12"/>
      <c r="BD1369" s="12"/>
      <c r="BF1369" s="106" t="str">
        <f t="shared" si="1"/>
        <v>#VALUE!</v>
      </c>
      <c r="BG1369" s="21">
        <f t="shared" si="2"/>
        <v>12</v>
      </c>
    </row>
    <row r="1370">
      <c r="P1370" s="161"/>
      <c r="AI1370" s="102"/>
      <c r="AO1370" s="12"/>
      <c r="AP1370" s="12"/>
      <c r="AQ1370" s="12"/>
      <c r="AR1370" s="12"/>
      <c r="AS1370" s="12"/>
      <c r="AT1370" s="12"/>
      <c r="AU1370" s="12"/>
      <c r="AV1370" s="12"/>
      <c r="AW1370" s="12"/>
      <c r="AX1370" s="12"/>
      <c r="AY1370" s="12"/>
      <c r="AZ1370" s="12"/>
      <c r="BA1370" s="12"/>
      <c r="BB1370" s="12"/>
      <c r="BC1370" s="12"/>
      <c r="BD1370" s="12"/>
      <c r="BF1370" s="106" t="str">
        <f t="shared" si="1"/>
        <v>#VALUE!</v>
      </c>
      <c r="BG1370" s="21">
        <f t="shared" si="2"/>
        <v>12</v>
      </c>
    </row>
    <row r="1371">
      <c r="P1371" s="161"/>
      <c r="AI1371" s="102"/>
      <c r="AO1371" s="12"/>
      <c r="AP1371" s="12"/>
      <c r="AQ1371" s="12"/>
      <c r="AR1371" s="12"/>
      <c r="AS1371" s="12"/>
      <c r="AT1371" s="12"/>
      <c r="AU1371" s="12"/>
      <c r="AV1371" s="12"/>
      <c r="AW1371" s="12"/>
      <c r="AX1371" s="12"/>
      <c r="AY1371" s="12"/>
      <c r="AZ1371" s="12"/>
      <c r="BA1371" s="12"/>
      <c r="BB1371" s="12"/>
      <c r="BC1371" s="12"/>
      <c r="BD1371" s="12"/>
      <c r="BF1371" s="106" t="str">
        <f t="shared" si="1"/>
        <v>#VALUE!</v>
      </c>
      <c r="BG1371" s="21">
        <f t="shared" si="2"/>
        <v>12</v>
      </c>
    </row>
    <row r="1372">
      <c r="P1372" s="161"/>
      <c r="AI1372" s="102"/>
      <c r="AO1372" s="12"/>
      <c r="AP1372" s="12"/>
      <c r="AQ1372" s="12"/>
      <c r="AR1372" s="12"/>
      <c r="AS1372" s="12"/>
      <c r="AT1372" s="12"/>
      <c r="AU1372" s="12"/>
      <c r="AV1372" s="12"/>
      <c r="AW1372" s="12"/>
      <c r="AX1372" s="12"/>
      <c r="AY1372" s="12"/>
      <c r="AZ1372" s="12"/>
      <c r="BA1372" s="12"/>
      <c r="BB1372" s="12"/>
      <c r="BC1372" s="12"/>
      <c r="BD1372" s="12"/>
      <c r="BF1372" s="106" t="str">
        <f t="shared" si="1"/>
        <v>#VALUE!</v>
      </c>
      <c r="BG1372" s="21">
        <f t="shared" si="2"/>
        <v>12</v>
      </c>
    </row>
    <row r="1373">
      <c r="P1373" s="161"/>
      <c r="AI1373" s="102"/>
      <c r="AO1373" s="12"/>
      <c r="AP1373" s="12"/>
      <c r="AQ1373" s="12"/>
      <c r="AR1373" s="12"/>
      <c r="AS1373" s="12"/>
      <c r="AT1373" s="12"/>
      <c r="AU1373" s="12"/>
      <c r="AV1373" s="12"/>
      <c r="AW1373" s="12"/>
      <c r="AX1373" s="12"/>
      <c r="AY1373" s="12"/>
      <c r="AZ1373" s="12"/>
      <c r="BA1373" s="12"/>
      <c r="BB1373" s="12"/>
      <c r="BC1373" s="12"/>
      <c r="BD1373" s="12"/>
      <c r="BF1373" s="106" t="str">
        <f t="shared" si="1"/>
        <v>#VALUE!</v>
      </c>
      <c r="BG1373" s="21">
        <f t="shared" si="2"/>
        <v>12</v>
      </c>
    </row>
    <row r="1374">
      <c r="P1374" s="161"/>
      <c r="AI1374" s="102"/>
      <c r="AO1374" s="12"/>
      <c r="AP1374" s="12"/>
      <c r="AQ1374" s="12"/>
      <c r="AR1374" s="12"/>
      <c r="AS1374" s="12"/>
      <c r="AT1374" s="12"/>
      <c r="AU1374" s="12"/>
      <c r="AV1374" s="12"/>
      <c r="AW1374" s="12"/>
      <c r="AX1374" s="12"/>
      <c r="AY1374" s="12"/>
      <c r="AZ1374" s="12"/>
      <c r="BA1374" s="12"/>
      <c r="BB1374" s="12"/>
      <c r="BC1374" s="12"/>
      <c r="BD1374" s="12"/>
      <c r="BF1374" s="106" t="str">
        <f t="shared" si="1"/>
        <v>#VALUE!</v>
      </c>
      <c r="BG1374" s="21">
        <f t="shared" si="2"/>
        <v>12</v>
      </c>
    </row>
    <row r="1375">
      <c r="P1375" s="161"/>
      <c r="AI1375" s="102"/>
      <c r="AO1375" s="12"/>
      <c r="AP1375" s="12"/>
      <c r="AQ1375" s="12"/>
      <c r="AR1375" s="12"/>
      <c r="AS1375" s="12"/>
      <c r="AT1375" s="12"/>
      <c r="AU1375" s="12"/>
      <c r="AV1375" s="12"/>
      <c r="AW1375" s="12"/>
      <c r="AX1375" s="12"/>
      <c r="AY1375" s="12"/>
      <c r="AZ1375" s="12"/>
      <c r="BA1375" s="12"/>
      <c r="BB1375" s="12"/>
      <c r="BC1375" s="12"/>
      <c r="BD1375" s="12"/>
      <c r="BF1375" s="106" t="str">
        <f t="shared" si="1"/>
        <v>#VALUE!</v>
      </c>
      <c r="BG1375" s="21">
        <f t="shared" si="2"/>
        <v>12</v>
      </c>
    </row>
    <row r="1376">
      <c r="P1376" s="161"/>
      <c r="AI1376" s="102"/>
      <c r="AO1376" s="12"/>
      <c r="AP1376" s="12"/>
      <c r="AQ1376" s="12"/>
      <c r="AR1376" s="12"/>
      <c r="AS1376" s="12"/>
      <c r="AT1376" s="12"/>
      <c r="AU1376" s="12"/>
      <c r="AV1376" s="12"/>
      <c r="AW1376" s="12"/>
      <c r="AX1376" s="12"/>
      <c r="AY1376" s="12"/>
      <c r="AZ1376" s="12"/>
      <c r="BA1376" s="12"/>
      <c r="BB1376" s="12"/>
      <c r="BC1376" s="12"/>
      <c r="BD1376" s="12"/>
      <c r="BF1376" s="106" t="str">
        <f t="shared" si="1"/>
        <v>#VALUE!</v>
      </c>
      <c r="BG1376" s="21">
        <f t="shared" si="2"/>
        <v>12</v>
      </c>
    </row>
    <row r="1377">
      <c r="P1377" s="161"/>
      <c r="AI1377" s="102"/>
      <c r="AO1377" s="12"/>
      <c r="AP1377" s="12"/>
      <c r="AQ1377" s="12"/>
      <c r="AR1377" s="12"/>
      <c r="AS1377" s="12"/>
      <c r="AT1377" s="12"/>
      <c r="AU1377" s="12"/>
      <c r="AV1377" s="12"/>
      <c r="AW1377" s="12"/>
      <c r="AX1377" s="12"/>
      <c r="AY1377" s="12"/>
      <c r="AZ1377" s="12"/>
      <c r="BA1377" s="12"/>
      <c r="BB1377" s="12"/>
      <c r="BC1377" s="12"/>
      <c r="BD1377" s="12"/>
      <c r="BF1377" s="106" t="str">
        <f t="shared" si="1"/>
        <v>#VALUE!</v>
      </c>
      <c r="BG1377" s="21">
        <f t="shared" si="2"/>
        <v>12</v>
      </c>
    </row>
    <row r="1378">
      <c r="P1378" s="161"/>
      <c r="AI1378" s="102"/>
      <c r="AO1378" s="12"/>
      <c r="AP1378" s="12"/>
      <c r="AQ1378" s="12"/>
      <c r="AR1378" s="12"/>
      <c r="AS1378" s="12"/>
      <c r="AT1378" s="12"/>
      <c r="AU1378" s="12"/>
      <c r="AV1378" s="12"/>
      <c r="AW1378" s="12"/>
      <c r="AX1378" s="12"/>
      <c r="AY1378" s="12"/>
      <c r="AZ1378" s="12"/>
      <c r="BA1378" s="12"/>
      <c r="BB1378" s="12"/>
      <c r="BC1378" s="12"/>
      <c r="BD1378" s="12"/>
      <c r="BF1378" s="106" t="str">
        <f t="shared" si="1"/>
        <v>#VALUE!</v>
      </c>
      <c r="BG1378" s="21">
        <f t="shared" si="2"/>
        <v>12</v>
      </c>
    </row>
    <row r="1379">
      <c r="P1379" s="161"/>
      <c r="AI1379" s="102"/>
      <c r="AO1379" s="12"/>
      <c r="AP1379" s="12"/>
      <c r="AQ1379" s="12"/>
      <c r="AR1379" s="12"/>
      <c r="AS1379" s="12"/>
      <c r="AT1379" s="12"/>
      <c r="AU1379" s="12"/>
      <c r="AV1379" s="12"/>
      <c r="AW1379" s="12"/>
      <c r="AX1379" s="12"/>
      <c r="AY1379" s="12"/>
      <c r="AZ1379" s="12"/>
      <c r="BA1379" s="12"/>
      <c r="BB1379" s="12"/>
      <c r="BC1379" s="12"/>
      <c r="BD1379" s="12"/>
      <c r="BF1379" s="106" t="str">
        <f t="shared" si="1"/>
        <v>#VALUE!</v>
      </c>
      <c r="BG1379" s="21">
        <f t="shared" si="2"/>
        <v>12</v>
      </c>
    </row>
    <row r="1380">
      <c r="P1380" s="161"/>
      <c r="AI1380" s="102"/>
      <c r="AO1380" s="12"/>
      <c r="AP1380" s="12"/>
      <c r="AQ1380" s="12"/>
      <c r="AR1380" s="12"/>
      <c r="AS1380" s="12"/>
      <c r="AT1380" s="12"/>
      <c r="AU1380" s="12"/>
      <c r="AV1380" s="12"/>
      <c r="AW1380" s="12"/>
      <c r="AX1380" s="12"/>
      <c r="AY1380" s="12"/>
      <c r="AZ1380" s="12"/>
      <c r="BA1380" s="12"/>
      <c r="BB1380" s="12"/>
      <c r="BC1380" s="12"/>
      <c r="BD1380" s="12"/>
      <c r="BF1380" s="106" t="str">
        <f t="shared" si="1"/>
        <v>#VALUE!</v>
      </c>
      <c r="BG1380" s="21">
        <f t="shared" si="2"/>
        <v>12</v>
      </c>
    </row>
    <row r="1381">
      <c r="P1381" s="161"/>
      <c r="AI1381" s="102"/>
      <c r="AO1381" s="12"/>
      <c r="AP1381" s="12"/>
      <c r="AQ1381" s="12"/>
      <c r="AR1381" s="12"/>
      <c r="AS1381" s="12"/>
      <c r="AT1381" s="12"/>
      <c r="AU1381" s="12"/>
      <c r="AV1381" s="12"/>
      <c r="AW1381" s="12"/>
      <c r="AX1381" s="12"/>
      <c r="AY1381" s="12"/>
      <c r="AZ1381" s="12"/>
      <c r="BA1381" s="12"/>
      <c r="BB1381" s="12"/>
      <c r="BC1381" s="12"/>
      <c r="BD1381" s="12"/>
      <c r="BF1381" s="106" t="str">
        <f t="shared" si="1"/>
        <v>#VALUE!</v>
      </c>
      <c r="BG1381" s="21">
        <f t="shared" si="2"/>
        <v>12</v>
      </c>
    </row>
    <row r="1382">
      <c r="P1382" s="161"/>
      <c r="AI1382" s="102"/>
      <c r="AO1382" s="12"/>
      <c r="AP1382" s="12"/>
      <c r="AQ1382" s="12"/>
      <c r="AR1382" s="12"/>
      <c r="AS1382" s="12"/>
      <c r="AT1382" s="12"/>
      <c r="AU1382" s="12"/>
      <c r="AV1382" s="12"/>
      <c r="AW1382" s="12"/>
      <c r="AX1382" s="12"/>
      <c r="AY1382" s="12"/>
      <c r="AZ1382" s="12"/>
      <c r="BA1382" s="12"/>
      <c r="BB1382" s="12"/>
      <c r="BC1382" s="12"/>
      <c r="BD1382" s="12"/>
      <c r="BF1382" s="106" t="str">
        <f t="shared" si="1"/>
        <v>#VALUE!</v>
      </c>
      <c r="BG1382" s="21">
        <f t="shared" si="2"/>
        <v>12</v>
      </c>
    </row>
    <row r="1383">
      <c r="P1383" s="161"/>
      <c r="AI1383" s="102"/>
      <c r="AO1383" s="12"/>
      <c r="AP1383" s="12"/>
      <c r="AQ1383" s="12"/>
      <c r="AR1383" s="12"/>
      <c r="AS1383" s="12"/>
      <c r="AT1383" s="12"/>
      <c r="AU1383" s="12"/>
      <c r="AV1383" s="12"/>
      <c r="AW1383" s="12"/>
      <c r="AX1383" s="12"/>
      <c r="AY1383" s="12"/>
      <c r="AZ1383" s="12"/>
      <c r="BA1383" s="12"/>
      <c r="BB1383" s="12"/>
      <c r="BC1383" s="12"/>
      <c r="BD1383" s="12"/>
      <c r="BF1383" s="106" t="str">
        <f t="shared" si="1"/>
        <v>#VALUE!</v>
      </c>
      <c r="BG1383" s="21">
        <f t="shared" si="2"/>
        <v>12</v>
      </c>
    </row>
    <row r="1384">
      <c r="P1384" s="161"/>
      <c r="AI1384" s="102"/>
      <c r="AO1384" s="12"/>
      <c r="AP1384" s="12"/>
      <c r="AQ1384" s="12"/>
      <c r="AR1384" s="12"/>
      <c r="AS1384" s="12"/>
      <c r="AT1384" s="12"/>
      <c r="AU1384" s="12"/>
      <c r="AV1384" s="12"/>
      <c r="AW1384" s="12"/>
      <c r="AX1384" s="12"/>
      <c r="AY1384" s="12"/>
      <c r="AZ1384" s="12"/>
      <c r="BA1384" s="12"/>
      <c r="BB1384" s="12"/>
      <c r="BC1384" s="12"/>
      <c r="BD1384" s="12"/>
      <c r="BF1384" s="106" t="str">
        <f t="shared" si="1"/>
        <v>#VALUE!</v>
      </c>
      <c r="BG1384" s="21">
        <f t="shared" si="2"/>
        <v>12</v>
      </c>
    </row>
    <row r="1385">
      <c r="P1385" s="161"/>
      <c r="AI1385" s="102"/>
      <c r="AO1385" s="12"/>
      <c r="AP1385" s="12"/>
      <c r="AQ1385" s="12"/>
      <c r="AR1385" s="12"/>
      <c r="AS1385" s="12"/>
      <c r="AT1385" s="12"/>
      <c r="AU1385" s="12"/>
      <c r="AV1385" s="12"/>
      <c r="AW1385" s="12"/>
      <c r="AX1385" s="12"/>
      <c r="AY1385" s="12"/>
      <c r="AZ1385" s="12"/>
      <c r="BA1385" s="12"/>
      <c r="BB1385" s="12"/>
      <c r="BC1385" s="12"/>
      <c r="BD1385" s="12"/>
      <c r="BF1385" s="106" t="str">
        <f t="shared" si="1"/>
        <v>#VALUE!</v>
      </c>
      <c r="BG1385" s="21">
        <f t="shared" si="2"/>
        <v>12</v>
      </c>
    </row>
    <row r="1386">
      <c r="P1386" s="161"/>
      <c r="AI1386" s="102"/>
      <c r="AO1386" s="12"/>
      <c r="AP1386" s="12"/>
      <c r="AQ1386" s="12"/>
      <c r="AR1386" s="12"/>
      <c r="AS1386" s="12"/>
      <c r="AT1386" s="12"/>
      <c r="AU1386" s="12"/>
      <c r="AV1386" s="12"/>
      <c r="AW1386" s="12"/>
      <c r="AX1386" s="12"/>
      <c r="AY1386" s="12"/>
      <c r="AZ1386" s="12"/>
      <c r="BA1386" s="12"/>
      <c r="BB1386" s="12"/>
      <c r="BC1386" s="12"/>
      <c r="BD1386" s="12"/>
      <c r="BF1386" s="106" t="str">
        <f t="shared" si="1"/>
        <v>#VALUE!</v>
      </c>
      <c r="BG1386" s="21">
        <f t="shared" si="2"/>
        <v>12</v>
      </c>
    </row>
    <row r="1387">
      <c r="P1387" s="161"/>
      <c r="AI1387" s="102"/>
      <c r="AO1387" s="12"/>
      <c r="AP1387" s="12"/>
      <c r="AQ1387" s="12"/>
      <c r="AR1387" s="12"/>
      <c r="AS1387" s="12"/>
      <c r="AT1387" s="12"/>
      <c r="AU1387" s="12"/>
      <c r="AV1387" s="12"/>
      <c r="AW1387" s="12"/>
      <c r="AX1387" s="12"/>
      <c r="AY1387" s="12"/>
      <c r="AZ1387" s="12"/>
      <c r="BA1387" s="12"/>
      <c r="BB1387" s="12"/>
      <c r="BC1387" s="12"/>
      <c r="BD1387" s="12"/>
      <c r="BF1387" s="106" t="str">
        <f t="shared" si="1"/>
        <v>#VALUE!</v>
      </c>
      <c r="BG1387" s="21">
        <f t="shared" si="2"/>
        <v>12</v>
      </c>
    </row>
    <row r="1388">
      <c r="P1388" s="161"/>
      <c r="AI1388" s="102"/>
      <c r="AO1388" s="12"/>
      <c r="AP1388" s="12"/>
      <c r="AQ1388" s="12"/>
      <c r="AR1388" s="12"/>
      <c r="AS1388" s="12"/>
      <c r="AT1388" s="12"/>
      <c r="AU1388" s="12"/>
      <c r="AV1388" s="12"/>
      <c r="AW1388" s="12"/>
      <c r="AX1388" s="12"/>
      <c r="AY1388" s="12"/>
      <c r="AZ1388" s="12"/>
      <c r="BA1388" s="12"/>
      <c r="BB1388" s="12"/>
      <c r="BC1388" s="12"/>
      <c r="BD1388" s="12"/>
      <c r="BF1388" s="106" t="str">
        <f t="shared" si="1"/>
        <v>#VALUE!</v>
      </c>
      <c r="BG1388" s="21">
        <f t="shared" si="2"/>
        <v>12</v>
      </c>
    </row>
    <row r="1389">
      <c r="P1389" s="161"/>
      <c r="AI1389" s="102"/>
      <c r="AO1389" s="12"/>
      <c r="AP1389" s="12"/>
      <c r="AQ1389" s="12"/>
      <c r="AR1389" s="12"/>
      <c r="AS1389" s="12"/>
      <c r="AT1389" s="12"/>
      <c r="AU1389" s="12"/>
      <c r="AV1389" s="12"/>
      <c r="AW1389" s="12"/>
      <c r="AX1389" s="12"/>
      <c r="AY1389" s="12"/>
      <c r="AZ1389" s="12"/>
      <c r="BA1389" s="12"/>
      <c r="BB1389" s="12"/>
      <c r="BC1389" s="12"/>
      <c r="BD1389" s="12"/>
      <c r="BF1389" s="106" t="str">
        <f t="shared" si="1"/>
        <v>#VALUE!</v>
      </c>
      <c r="BG1389" s="21">
        <f t="shared" si="2"/>
        <v>12</v>
      </c>
    </row>
    <row r="1390">
      <c r="P1390" s="161"/>
      <c r="AI1390" s="102"/>
      <c r="AO1390" s="12"/>
      <c r="AP1390" s="12"/>
      <c r="AQ1390" s="12"/>
      <c r="AR1390" s="12"/>
      <c r="AS1390" s="12"/>
      <c r="AT1390" s="12"/>
      <c r="AU1390" s="12"/>
      <c r="AV1390" s="12"/>
      <c r="AW1390" s="12"/>
      <c r="AX1390" s="12"/>
      <c r="AY1390" s="12"/>
      <c r="AZ1390" s="12"/>
      <c r="BA1390" s="12"/>
      <c r="BB1390" s="12"/>
      <c r="BC1390" s="12"/>
      <c r="BD1390" s="12"/>
      <c r="BF1390" s="106" t="str">
        <f t="shared" si="1"/>
        <v>#VALUE!</v>
      </c>
      <c r="BG1390" s="21">
        <f t="shared" si="2"/>
        <v>12</v>
      </c>
    </row>
    <row r="1391">
      <c r="P1391" s="161"/>
      <c r="AI1391" s="102"/>
      <c r="AO1391" s="12"/>
      <c r="AP1391" s="12"/>
      <c r="AQ1391" s="12"/>
      <c r="AR1391" s="12"/>
      <c r="AS1391" s="12"/>
      <c r="AT1391" s="12"/>
      <c r="AU1391" s="12"/>
      <c r="AV1391" s="12"/>
      <c r="AW1391" s="12"/>
      <c r="AX1391" s="12"/>
      <c r="AY1391" s="12"/>
      <c r="AZ1391" s="12"/>
      <c r="BA1391" s="12"/>
      <c r="BB1391" s="12"/>
      <c r="BC1391" s="12"/>
      <c r="BD1391" s="12"/>
      <c r="BF1391" s="106" t="str">
        <f t="shared" si="1"/>
        <v>#VALUE!</v>
      </c>
      <c r="BG1391" s="21">
        <f t="shared" si="2"/>
        <v>12</v>
      </c>
    </row>
    <row r="1392">
      <c r="P1392" s="161"/>
      <c r="AI1392" s="102"/>
      <c r="AO1392" s="12"/>
      <c r="AP1392" s="12"/>
      <c r="AQ1392" s="12"/>
      <c r="AR1392" s="12"/>
      <c r="AS1392" s="12"/>
      <c r="AT1392" s="12"/>
      <c r="AU1392" s="12"/>
      <c r="AV1392" s="12"/>
      <c r="AW1392" s="12"/>
      <c r="AX1392" s="12"/>
      <c r="AY1392" s="12"/>
      <c r="AZ1392" s="12"/>
      <c r="BA1392" s="12"/>
      <c r="BB1392" s="12"/>
      <c r="BC1392" s="12"/>
      <c r="BD1392" s="12"/>
      <c r="BF1392" s="106" t="str">
        <f t="shared" si="1"/>
        <v>#VALUE!</v>
      </c>
      <c r="BG1392" s="21">
        <f t="shared" si="2"/>
        <v>12</v>
      </c>
    </row>
    <row r="1393">
      <c r="P1393" s="161"/>
      <c r="AI1393" s="102"/>
      <c r="AO1393" s="12"/>
      <c r="AP1393" s="12"/>
      <c r="AQ1393" s="12"/>
      <c r="AR1393" s="12"/>
      <c r="AS1393" s="12"/>
      <c r="AT1393" s="12"/>
      <c r="AU1393" s="12"/>
      <c r="AV1393" s="12"/>
      <c r="AW1393" s="12"/>
      <c r="AX1393" s="12"/>
      <c r="AY1393" s="12"/>
      <c r="AZ1393" s="12"/>
      <c r="BA1393" s="12"/>
      <c r="BB1393" s="12"/>
      <c r="BC1393" s="12"/>
      <c r="BD1393" s="12"/>
      <c r="BF1393" s="106" t="str">
        <f t="shared" si="1"/>
        <v>#VALUE!</v>
      </c>
      <c r="BG1393" s="21">
        <f t="shared" si="2"/>
        <v>12</v>
      </c>
    </row>
    <row r="1394">
      <c r="P1394" s="161"/>
      <c r="AI1394" s="102"/>
      <c r="AO1394" s="12"/>
      <c r="AP1394" s="12"/>
      <c r="AQ1394" s="12"/>
      <c r="AR1394" s="12"/>
      <c r="AS1394" s="12"/>
      <c r="AT1394" s="12"/>
      <c r="AU1394" s="12"/>
      <c r="AV1394" s="12"/>
      <c r="AW1394" s="12"/>
      <c r="AX1394" s="12"/>
      <c r="AY1394" s="12"/>
      <c r="AZ1394" s="12"/>
      <c r="BA1394" s="12"/>
      <c r="BB1394" s="12"/>
      <c r="BC1394" s="12"/>
      <c r="BD1394" s="12"/>
      <c r="BF1394" s="106" t="str">
        <f t="shared" si="1"/>
        <v>#VALUE!</v>
      </c>
      <c r="BG1394" s="21">
        <f t="shared" si="2"/>
        <v>12</v>
      </c>
    </row>
    <row r="1395">
      <c r="P1395" s="161"/>
      <c r="AI1395" s="102"/>
      <c r="AO1395" s="12"/>
      <c r="AP1395" s="12"/>
      <c r="AQ1395" s="12"/>
      <c r="AR1395" s="12"/>
      <c r="AS1395" s="12"/>
      <c r="AT1395" s="12"/>
      <c r="AU1395" s="12"/>
      <c r="AV1395" s="12"/>
      <c r="AW1395" s="12"/>
      <c r="AX1395" s="12"/>
      <c r="AY1395" s="12"/>
      <c r="AZ1395" s="12"/>
      <c r="BA1395" s="12"/>
      <c r="BB1395" s="12"/>
      <c r="BC1395" s="12"/>
      <c r="BD1395" s="12"/>
      <c r="BF1395" s="106" t="str">
        <f t="shared" si="1"/>
        <v>#VALUE!</v>
      </c>
      <c r="BG1395" s="21">
        <f t="shared" si="2"/>
        <v>12</v>
      </c>
    </row>
    <row r="1396">
      <c r="P1396" s="161"/>
      <c r="AI1396" s="102"/>
      <c r="AO1396" s="12"/>
      <c r="AP1396" s="12"/>
      <c r="AQ1396" s="12"/>
      <c r="AR1396" s="12"/>
      <c r="AS1396" s="12"/>
      <c r="AT1396" s="12"/>
      <c r="AU1396" s="12"/>
      <c r="AV1396" s="12"/>
      <c r="AW1396" s="12"/>
      <c r="AX1396" s="12"/>
      <c r="AY1396" s="12"/>
      <c r="AZ1396" s="12"/>
      <c r="BA1396" s="12"/>
      <c r="BB1396" s="12"/>
      <c r="BC1396" s="12"/>
      <c r="BD1396" s="12"/>
      <c r="BF1396" s="106" t="str">
        <f t="shared" si="1"/>
        <v>#VALUE!</v>
      </c>
      <c r="BG1396" s="21">
        <f t="shared" si="2"/>
        <v>12</v>
      </c>
    </row>
    <row r="1397">
      <c r="P1397" s="161"/>
      <c r="AI1397" s="102"/>
      <c r="AO1397" s="12"/>
      <c r="AP1397" s="12"/>
      <c r="AQ1397" s="12"/>
      <c r="AR1397" s="12"/>
      <c r="AS1397" s="12"/>
      <c r="AT1397" s="12"/>
      <c r="AU1397" s="12"/>
      <c r="AV1397" s="12"/>
      <c r="AW1397" s="12"/>
      <c r="AX1397" s="12"/>
      <c r="AY1397" s="12"/>
      <c r="AZ1397" s="12"/>
      <c r="BA1397" s="12"/>
      <c r="BB1397" s="12"/>
      <c r="BC1397" s="12"/>
      <c r="BD1397" s="12"/>
      <c r="BF1397" s="106" t="str">
        <f t="shared" si="1"/>
        <v>#VALUE!</v>
      </c>
      <c r="BG1397" s="21">
        <f t="shared" si="2"/>
        <v>12</v>
      </c>
    </row>
    <row r="1398">
      <c r="P1398" s="161"/>
      <c r="AI1398" s="102"/>
      <c r="AO1398" s="12"/>
      <c r="AP1398" s="12"/>
      <c r="AQ1398" s="12"/>
      <c r="AR1398" s="12"/>
      <c r="AS1398" s="12"/>
      <c r="AT1398" s="12"/>
      <c r="AU1398" s="12"/>
      <c r="AV1398" s="12"/>
      <c r="AW1398" s="12"/>
      <c r="AX1398" s="12"/>
      <c r="AY1398" s="12"/>
      <c r="AZ1398" s="12"/>
      <c r="BA1398" s="12"/>
      <c r="BB1398" s="12"/>
      <c r="BC1398" s="12"/>
      <c r="BD1398" s="12"/>
      <c r="BF1398" s="106" t="str">
        <f t="shared" si="1"/>
        <v>#VALUE!</v>
      </c>
      <c r="BG1398" s="21">
        <f t="shared" si="2"/>
        <v>12</v>
      </c>
    </row>
    <row r="1399">
      <c r="P1399" s="161"/>
      <c r="AI1399" s="102"/>
      <c r="AO1399" s="12"/>
      <c r="AP1399" s="12"/>
      <c r="AQ1399" s="12"/>
      <c r="AR1399" s="12"/>
      <c r="AS1399" s="12"/>
      <c r="AT1399" s="12"/>
      <c r="AU1399" s="12"/>
      <c r="AV1399" s="12"/>
      <c r="AW1399" s="12"/>
      <c r="AX1399" s="12"/>
      <c r="AY1399" s="12"/>
      <c r="AZ1399" s="12"/>
      <c r="BA1399" s="12"/>
      <c r="BB1399" s="12"/>
      <c r="BC1399" s="12"/>
      <c r="BD1399" s="12"/>
      <c r="BF1399" s="106" t="str">
        <f t="shared" si="1"/>
        <v>#VALUE!</v>
      </c>
      <c r="BG1399" s="21">
        <f t="shared" si="2"/>
        <v>12</v>
      </c>
    </row>
    <row r="1400">
      <c r="P1400" s="161"/>
      <c r="AI1400" s="102"/>
      <c r="AO1400" s="12"/>
      <c r="AP1400" s="12"/>
      <c r="AQ1400" s="12"/>
      <c r="AR1400" s="12"/>
      <c r="AS1400" s="12"/>
      <c r="AT1400" s="12"/>
      <c r="AU1400" s="12"/>
      <c r="AV1400" s="12"/>
      <c r="AW1400" s="12"/>
      <c r="AX1400" s="12"/>
      <c r="AY1400" s="12"/>
      <c r="AZ1400" s="12"/>
      <c r="BA1400" s="12"/>
      <c r="BB1400" s="12"/>
      <c r="BC1400" s="12"/>
      <c r="BD1400" s="12"/>
      <c r="BF1400" s="106" t="str">
        <f t="shared" si="1"/>
        <v>#VALUE!</v>
      </c>
      <c r="BG1400" s="21">
        <f t="shared" si="2"/>
        <v>12</v>
      </c>
    </row>
    <row r="1401">
      <c r="P1401" s="161"/>
      <c r="AI1401" s="102"/>
      <c r="AO1401" s="12"/>
      <c r="AP1401" s="12"/>
      <c r="AQ1401" s="12"/>
      <c r="AR1401" s="12"/>
      <c r="AS1401" s="12"/>
      <c r="AT1401" s="12"/>
      <c r="AU1401" s="12"/>
      <c r="AV1401" s="12"/>
      <c r="AW1401" s="12"/>
      <c r="AX1401" s="12"/>
      <c r="AY1401" s="12"/>
      <c r="AZ1401" s="12"/>
      <c r="BA1401" s="12"/>
      <c r="BB1401" s="12"/>
      <c r="BC1401" s="12"/>
      <c r="BD1401" s="12"/>
      <c r="BF1401" s="106" t="str">
        <f t="shared" si="1"/>
        <v>#VALUE!</v>
      </c>
      <c r="BG1401" s="21">
        <f t="shared" si="2"/>
        <v>12</v>
      </c>
    </row>
    <row r="1402">
      <c r="P1402" s="161"/>
      <c r="AI1402" s="102"/>
      <c r="AO1402" s="12"/>
      <c r="AP1402" s="12"/>
      <c r="AQ1402" s="12"/>
      <c r="AR1402" s="12"/>
      <c r="AS1402" s="12"/>
      <c r="AT1402" s="12"/>
      <c r="AU1402" s="12"/>
      <c r="AV1402" s="12"/>
      <c r="AW1402" s="12"/>
      <c r="AX1402" s="12"/>
      <c r="AY1402" s="12"/>
      <c r="AZ1402" s="12"/>
      <c r="BA1402" s="12"/>
      <c r="BB1402" s="12"/>
      <c r="BC1402" s="12"/>
      <c r="BD1402" s="12"/>
      <c r="BF1402" s="106" t="str">
        <f t="shared" si="1"/>
        <v>#VALUE!</v>
      </c>
      <c r="BG1402" s="21">
        <f t="shared" si="2"/>
        <v>12</v>
      </c>
    </row>
    <row r="1403">
      <c r="P1403" s="161"/>
      <c r="AI1403" s="102"/>
      <c r="AO1403" s="12"/>
      <c r="AP1403" s="12"/>
      <c r="AQ1403" s="12"/>
      <c r="AR1403" s="12"/>
      <c r="AS1403" s="12"/>
      <c r="AT1403" s="12"/>
      <c r="AU1403" s="12"/>
      <c r="AV1403" s="12"/>
      <c r="AW1403" s="12"/>
      <c r="AX1403" s="12"/>
      <c r="AY1403" s="12"/>
      <c r="AZ1403" s="12"/>
      <c r="BA1403" s="12"/>
      <c r="BB1403" s="12"/>
      <c r="BC1403" s="12"/>
      <c r="BD1403" s="12"/>
      <c r="BF1403" s="106" t="str">
        <f t="shared" si="1"/>
        <v>#VALUE!</v>
      </c>
      <c r="BG1403" s="21">
        <f t="shared" si="2"/>
        <v>12</v>
      </c>
    </row>
    <row r="1404">
      <c r="P1404" s="161"/>
      <c r="AI1404" s="102"/>
      <c r="AO1404" s="12"/>
      <c r="AP1404" s="12"/>
      <c r="AQ1404" s="12"/>
      <c r="AR1404" s="12"/>
      <c r="AS1404" s="12"/>
      <c r="AT1404" s="12"/>
      <c r="AU1404" s="12"/>
      <c r="AV1404" s="12"/>
      <c r="AW1404" s="12"/>
      <c r="AX1404" s="12"/>
      <c r="AY1404" s="12"/>
      <c r="AZ1404" s="12"/>
      <c r="BA1404" s="12"/>
      <c r="BB1404" s="12"/>
      <c r="BC1404" s="12"/>
      <c r="BD1404" s="12"/>
      <c r="BF1404" s="106" t="str">
        <f t="shared" si="1"/>
        <v>#VALUE!</v>
      </c>
      <c r="BG1404" s="21">
        <f t="shared" si="2"/>
        <v>12</v>
      </c>
    </row>
    <row r="1405">
      <c r="P1405" s="161"/>
      <c r="AI1405" s="102"/>
      <c r="AO1405" s="12"/>
      <c r="AP1405" s="12"/>
      <c r="AQ1405" s="12"/>
      <c r="AR1405" s="12"/>
      <c r="AS1405" s="12"/>
      <c r="AT1405" s="12"/>
      <c r="AU1405" s="12"/>
      <c r="AV1405" s="12"/>
      <c r="AW1405" s="12"/>
      <c r="AX1405" s="12"/>
      <c r="AY1405" s="12"/>
      <c r="AZ1405" s="12"/>
      <c r="BA1405" s="12"/>
      <c r="BB1405" s="12"/>
      <c r="BC1405" s="12"/>
      <c r="BD1405" s="12"/>
      <c r="BF1405" s="106" t="str">
        <f t="shared" si="1"/>
        <v>#VALUE!</v>
      </c>
      <c r="BG1405" s="21">
        <f t="shared" si="2"/>
        <v>12</v>
      </c>
    </row>
    <row r="1406">
      <c r="P1406" s="161"/>
      <c r="AI1406" s="102"/>
      <c r="AO1406" s="12"/>
      <c r="AP1406" s="12"/>
      <c r="AQ1406" s="12"/>
      <c r="AR1406" s="12"/>
      <c r="AS1406" s="12"/>
      <c r="AT1406" s="12"/>
      <c r="AU1406" s="12"/>
      <c r="AV1406" s="12"/>
      <c r="AW1406" s="12"/>
      <c r="AX1406" s="12"/>
      <c r="AY1406" s="12"/>
      <c r="AZ1406" s="12"/>
      <c r="BA1406" s="12"/>
      <c r="BB1406" s="12"/>
      <c r="BC1406" s="12"/>
      <c r="BD1406" s="12"/>
      <c r="BF1406" s="106" t="str">
        <f t="shared" si="1"/>
        <v>#VALUE!</v>
      </c>
      <c r="BG1406" s="21">
        <f t="shared" si="2"/>
        <v>12</v>
      </c>
    </row>
    <row r="1407">
      <c r="P1407" s="161"/>
      <c r="AI1407" s="102"/>
      <c r="AO1407" s="12"/>
      <c r="AP1407" s="12"/>
      <c r="AQ1407" s="12"/>
      <c r="AR1407" s="12"/>
      <c r="AS1407" s="12"/>
      <c r="AT1407" s="12"/>
      <c r="AU1407" s="12"/>
      <c r="AV1407" s="12"/>
      <c r="AW1407" s="12"/>
      <c r="AX1407" s="12"/>
      <c r="AY1407" s="12"/>
      <c r="AZ1407" s="12"/>
      <c r="BA1407" s="12"/>
      <c r="BB1407" s="12"/>
      <c r="BC1407" s="12"/>
      <c r="BD1407" s="12"/>
      <c r="BF1407" s="106" t="str">
        <f t="shared" si="1"/>
        <v>#VALUE!</v>
      </c>
      <c r="BG1407" s="21">
        <f t="shared" si="2"/>
        <v>12</v>
      </c>
    </row>
    <row r="1408">
      <c r="P1408" s="161"/>
      <c r="AI1408" s="102"/>
      <c r="AO1408" s="12"/>
      <c r="AP1408" s="12"/>
      <c r="AQ1408" s="12"/>
      <c r="AR1408" s="12"/>
      <c r="AS1408" s="12"/>
      <c r="AT1408" s="12"/>
      <c r="AU1408" s="12"/>
      <c r="AV1408" s="12"/>
      <c r="AW1408" s="12"/>
      <c r="AX1408" s="12"/>
      <c r="AY1408" s="12"/>
      <c r="AZ1408" s="12"/>
      <c r="BA1408" s="12"/>
      <c r="BB1408" s="12"/>
      <c r="BC1408" s="12"/>
      <c r="BD1408" s="12"/>
      <c r="BF1408" s="106" t="str">
        <f t="shared" si="1"/>
        <v>#VALUE!</v>
      </c>
      <c r="BG1408" s="21">
        <f t="shared" si="2"/>
        <v>12</v>
      </c>
    </row>
    <row r="1409">
      <c r="P1409" s="161"/>
      <c r="AI1409" s="102"/>
      <c r="AO1409" s="12"/>
      <c r="AP1409" s="12"/>
      <c r="AQ1409" s="12"/>
      <c r="AR1409" s="12"/>
      <c r="AS1409" s="12"/>
      <c r="AT1409" s="12"/>
      <c r="AU1409" s="12"/>
      <c r="AV1409" s="12"/>
      <c r="AW1409" s="12"/>
      <c r="AX1409" s="12"/>
      <c r="AY1409" s="12"/>
      <c r="AZ1409" s="12"/>
      <c r="BA1409" s="12"/>
      <c r="BB1409" s="12"/>
      <c r="BC1409" s="12"/>
      <c r="BD1409" s="12"/>
      <c r="BF1409" s="106" t="str">
        <f t="shared" si="1"/>
        <v>#VALUE!</v>
      </c>
      <c r="BG1409" s="21">
        <f t="shared" si="2"/>
        <v>12</v>
      </c>
    </row>
    <row r="1410">
      <c r="P1410" s="161"/>
      <c r="AI1410" s="102"/>
      <c r="AO1410" s="12"/>
      <c r="AP1410" s="12"/>
      <c r="AQ1410" s="12"/>
      <c r="AR1410" s="12"/>
      <c r="AS1410" s="12"/>
      <c r="AT1410" s="12"/>
      <c r="AU1410" s="12"/>
      <c r="AV1410" s="12"/>
      <c r="AW1410" s="12"/>
      <c r="AX1410" s="12"/>
      <c r="AY1410" s="12"/>
      <c r="AZ1410" s="12"/>
      <c r="BA1410" s="12"/>
      <c r="BB1410" s="12"/>
      <c r="BC1410" s="12"/>
      <c r="BD1410" s="12"/>
      <c r="BF1410" s="106" t="str">
        <f t="shared" si="1"/>
        <v>#VALUE!</v>
      </c>
      <c r="BG1410" s="21">
        <f t="shared" si="2"/>
        <v>12</v>
      </c>
    </row>
    <row r="1411">
      <c r="P1411" s="161"/>
      <c r="AI1411" s="102"/>
      <c r="AO1411" s="12"/>
      <c r="AP1411" s="12"/>
      <c r="AQ1411" s="12"/>
      <c r="AR1411" s="12"/>
      <c r="AS1411" s="12"/>
      <c r="AT1411" s="12"/>
      <c r="AU1411" s="12"/>
      <c r="AV1411" s="12"/>
      <c r="AW1411" s="12"/>
      <c r="AX1411" s="12"/>
      <c r="AY1411" s="12"/>
      <c r="AZ1411" s="12"/>
      <c r="BA1411" s="12"/>
      <c r="BB1411" s="12"/>
      <c r="BC1411" s="12"/>
      <c r="BD1411" s="12"/>
      <c r="BF1411" s="106" t="str">
        <f t="shared" si="1"/>
        <v>#VALUE!</v>
      </c>
      <c r="BG1411" s="21">
        <f t="shared" si="2"/>
        <v>12</v>
      </c>
    </row>
    <row r="1412">
      <c r="P1412" s="161"/>
      <c r="AI1412" s="102"/>
      <c r="AO1412" s="12"/>
      <c r="AP1412" s="12"/>
      <c r="AQ1412" s="12"/>
      <c r="AR1412" s="12"/>
      <c r="AS1412" s="12"/>
      <c r="AT1412" s="12"/>
      <c r="AU1412" s="12"/>
      <c r="AV1412" s="12"/>
      <c r="AW1412" s="12"/>
      <c r="AX1412" s="12"/>
      <c r="AY1412" s="12"/>
      <c r="AZ1412" s="12"/>
      <c r="BA1412" s="12"/>
      <c r="BB1412" s="12"/>
      <c r="BC1412" s="12"/>
      <c r="BD1412" s="12"/>
      <c r="BF1412" s="106" t="str">
        <f t="shared" si="1"/>
        <v>#VALUE!</v>
      </c>
      <c r="BG1412" s="21">
        <f t="shared" si="2"/>
        <v>12</v>
      </c>
    </row>
    <row r="1413">
      <c r="P1413" s="161"/>
      <c r="AI1413" s="102"/>
      <c r="AO1413" s="12"/>
      <c r="AP1413" s="12"/>
      <c r="AQ1413" s="12"/>
      <c r="AR1413" s="12"/>
      <c r="AS1413" s="12"/>
      <c r="AT1413" s="12"/>
      <c r="AU1413" s="12"/>
      <c r="AV1413" s="12"/>
      <c r="AW1413" s="12"/>
      <c r="AX1413" s="12"/>
      <c r="AY1413" s="12"/>
      <c r="AZ1413" s="12"/>
      <c r="BA1413" s="12"/>
      <c r="BB1413" s="12"/>
      <c r="BC1413" s="12"/>
      <c r="BD1413" s="12"/>
      <c r="BF1413" s="106" t="str">
        <f t="shared" si="1"/>
        <v>#VALUE!</v>
      </c>
      <c r="BG1413" s="21">
        <f t="shared" si="2"/>
        <v>12</v>
      </c>
    </row>
    <row r="1414">
      <c r="P1414" s="161"/>
      <c r="AI1414" s="102"/>
      <c r="AO1414" s="12"/>
      <c r="AP1414" s="12"/>
      <c r="AQ1414" s="12"/>
      <c r="AR1414" s="12"/>
      <c r="AS1414" s="12"/>
      <c r="AT1414" s="12"/>
      <c r="AU1414" s="12"/>
      <c r="AV1414" s="12"/>
      <c r="AW1414" s="12"/>
      <c r="AX1414" s="12"/>
      <c r="AY1414" s="12"/>
      <c r="AZ1414" s="12"/>
      <c r="BA1414" s="12"/>
      <c r="BB1414" s="12"/>
      <c r="BC1414" s="12"/>
      <c r="BD1414" s="12"/>
      <c r="BF1414" s="106" t="str">
        <f t="shared" si="1"/>
        <v>#VALUE!</v>
      </c>
      <c r="BG1414" s="21">
        <f t="shared" si="2"/>
        <v>12</v>
      </c>
    </row>
    <row r="1415">
      <c r="P1415" s="161"/>
      <c r="AI1415" s="102"/>
      <c r="AO1415" s="12"/>
      <c r="AP1415" s="12"/>
      <c r="AQ1415" s="12"/>
      <c r="AR1415" s="12"/>
      <c r="AS1415" s="12"/>
      <c r="AT1415" s="12"/>
      <c r="AU1415" s="12"/>
      <c r="AV1415" s="12"/>
      <c r="AW1415" s="12"/>
      <c r="AX1415" s="12"/>
      <c r="AY1415" s="12"/>
      <c r="AZ1415" s="12"/>
      <c r="BA1415" s="12"/>
      <c r="BB1415" s="12"/>
      <c r="BC1415" s="12"/>
      <c r="BD1415" s="12"/>
      <c r="BF1415" s="106" t="str">
        <f t="shared" si="1"/>
        <v>#VALUE!</v>
      </c>
      <c r="BG1415" s="21">
        <f t="shared" si="2"/>
        <v>12</v>
      </c>
    </row>
    <row r="1416">
      <c r="P1416" s="161"/>
      <c r="AI1416" s="102"/>
      <c r="AO1416" s="12"/>
      <c r="AP1416" s="12"/>
      <c r="AQ1416" s="12"/>
      <c r="AR1416" s="12"/>
      <c r="AS1416" s="12"/>
      <c r="AT1416" s="12"/>
      <c r="AU1416" s="12"/>
      <c r="AV1416" s="12"/>
      <c r="AW1416" s="12"/>
      <c r="AX1416" s="12"/>
      <c r="AY1416" s="12"/>
      <c r="AZ1416" s="12"/>
      <c r="BA1416" s="12"/>
      <c r="BB1416" s="12"/>
      <c r="BC1416" s="12"/>
      <c r="BD1416" s="12"/>
      <c r="BF1416" s="106" t="str">
        <f t="shared" si="1"/>
        <v>#VALUE!</v>
      </c>
      <c r="BG1416" s="21">
        <f t="shared" si="2"/>
        <v>12</v>
      </c>
    </row>
    <row r="1417">
      <c r="P1417" s="161"/>
      <c r="AI1417" s="102"/>
      <c r="AO1417" s="12"/>
      <c r="AP1417" s="12"/>
      <c r="AQ1417" s="12"/>
      <c r="AR1417" s="12"/>
      <c r="AS1417" s="12"/>
      <c r="AT1417" s="12"/>
      <c r="AU1417" s="12"/>
      <c r="AV1417" s="12"/>
      <c r="AW1417" s="12"/>
      <c r="AX1417" s="12"/>
      <c r="AY1417" s="12"/>
      <c r="AZ1417" s="12"/>
      <c r="BA1417" s="12"/>
      <c r="BB1417" s="12"/>
      <c r="BC1417" s="12"/>
      <c r="BD1417" s="12"/>
      <c r="BF1417" s="106" t="str">
        <f t="shared" si="1"/>
        <v>#VALUE!</v>
      </c>
      <c r="BG1417" s="21">
        <f t="shared" si="2"/>
        <v>12</v>
      </c>
    </row>
    <row r="1418">
      <c r="P1418" s="161"/>
      <c r="AI1418" s="102"/>
      <c r="AO1418" s="12"/>
      <c r="AP1418" s="12"/>
      <c r="AQ1418" s="12"/>
      <c r="AR1418" s="12"/>
      <c r="AS1418" s="12"/>
      <c r="AT1418" s="12"/>
      <c r="AU1418" s="12"/>
      <c r="AV1418" s="12"/>
      <c r="AW1418" s="12"/>
      <c r="AX1418" s="12"/>
      <c r="AY1418" s="12"/>
      <c r="AZ1418" s="12"/>
      <c r="BA1418" s="12"/>
      <c r="BB1418" s="12"/>
      <c r="BC1418" s="12"/>
      <c r="BD1418" s="12"/>
      <c r="BF1418" s="106" t="str">
        <f t="shared" si="1"/>
        <v>#VALUE!</v>
      </c>
      <c r="BG1418" s="21">
        <f t="shared" si="2"/>
        <v>12</v>
      </c>
    </row>
    <row r="1419">
      <c r="P1419" s="161"/>
      <c r="AI1419" s="102"/>
      <c r="AO1419" s="12"/>
      <c r="AP1419" s="12"/>
      <c r="AQ1419" s="12"/>
      <c r="AR1419" s="12"/>
      <c r="AS1419" s="12"/>
      <c r="AT1419" s="12"/>
      <c r="AU1419" s="12"/>
      <c r="AV1419" s="12"/>
      <c r="AW1419" s="12"/>
      <c r="AX1419" s="12"/>
      <c r="AY1419" s="12"/>
      <c r="AZ1419" s="12"/>
      <c r="BA1419" s="12"/>
      <c r="BB1419" s="12"/>
      <c r="BC1419" s="12"/>
      <c r="BD1419" s="12"/>
      <c r="BF1419" s="106" t="str">
        <f t="shared" si="1"/>
        <v>#VALUE!</v>
      </c>
      <c r="BG1419" s="21">
        <f t="shared" si="2"/>
        <v>12</v>
      </c>
    </row>
    <row r="1420">
      <c r="P1420" s="161"/>
      <c r="AI1420" s="102"/>
      <c r="AO1420" s="12"/>
      <c r="AP1420" s="12"/>
      <c r="AQ1420" s="12"/>
      <c r="AR1420" s="12"/>
      <c r="AS1420" s="12"/>
      <c r="AT1420" s="12"/>
      <c r="AU1420" s="12"/>
      <c r="AV1420" s="12"/>
      <c r="AW1420" s="12"/>
      <c r="AX1420" s="12"/>
      <c r="AY1420" s="12"/>
      <c r="AZ1420" s="12"/>
      <c r="BA1420" s="12"/>
      <c r="BB1420" s="12"/>
      <c r="BC1420" s="12"/>
      <c r="BD1420" s="12"/>
      <c r="BF1420" s="106" t="str">
        <f t="shared" si="1"/>
        <v>#VALUE!</v>
      </c>
      <c r="BG1420" s="21">
        <f t="shared" si="2"/>
        <v>12</v>
      </c>
    </row>
    <row r="1421">
      <c r="P1421" s="161"/>
      <c r="AI1421" s="102"/>
      <c r="AO1421" s="12"/>
      <c r="AP1421" s="12"/>
      <c r="AQ1421" s="12"/>
      <c r="AR1421" s="12"/>
      <c r="AS1421" s="12"/>
      <c r="AT1421" s="12"/>
      <c r="AU1421" s="12"/>
      <c r="AV1421" s="12"/>
      <c r="AW1421" s="12"/>
      <c r="AX1421" s="12"/>
      <c r="AY1421" s="12"/>
      <c r="AZ1421" s="12"/>
      <c r="BA1421" s="12"/>
      <c r="BB1421" s="12"/>
      <c r="BC1421" s="12"/>
      <c r="BD1421" s="12"/>
      <c r="BF1421" s="106" t="str">
        <f t="shared" si="1"/>
        <v>#VALUE!</v>
      </c>
      <c r="BG1421" s="21">
        <f t="shared" si="2"/>
        <v>12</v>
      </c>
    </row>
    <row r="1422">
      <c r="P1422" s="161"/>
      <c r="AI1422" s="102"/>
      <c r="AO1422" s="12"/>
      <c r="AP1422" s="12"/>
      <c r="AQ1422" s="12"/>
      <c r="AR1422" s="12"/>
      <c r="AS1422" s="12"/>
      <c r="AT1422" s="12"/>
      <c r="AU1422" s="12"/>
      <c r="AV1422" s="12"/>
      <c r="AW1422" s="12"/>
      <c r="AX1422" s="12"/>
      <c r="AY1422" s="12"/>
      <c r="AZ1422" s="12"/>
      <c r="BA1422" s="12"/>
      <c r="BB1422" s="12"/>
      <c r="BC1422" s="12"/>
      <c r="BD1422" s="12"/>
      <c r="BF1422" s="106" t="str">
        <f t="shared" si="1"/>
        <v>#VALUE!</v>
      </c>
      <c r="BG1422" s="21">
        <f t="shared" si="2"/>
        <v>12</v>
      </c>
    </row>
    <row r="1423">
      <c r="P1423" s="161"/>
      <c r="AI1423" s="102"/>
      <c r="AO1423" s="12"/>
      <c r="AP1423" s="12"/>
      <c r="AQ1423" s="12"/>
      <c r="AR1423" s="12"/>
      <c r="AS1423" s="12"/>
      <c r="AT1423" s="12"/>
      <c r="AU1423" s="12"/>
      <c r="AV1423" s="12"/>
      <c r="AW1423" s="12"/>
      <c r="AX1423" s="12"/>
      <c r="AY1423" s="12"/>
      <c r="AZ1423" s="12"/>
      <c r="BA1423" s="12"/>
      <c r="BB1423" s="12"/>
      <c r="BC1423" s="12"/>
      <c r="BD1423" s="12"/>
      <c r="BF1423" s="106" t="str">
        <f t="shared" si="1"/>
        <v>#VALUE!</v>
      </c>
      <c r="BG1423" s="21">
        <f t="shared" si="2"/>
        <v>12</v>
      </c>
    </row>
    <row r="1424">
      <c r="P1424" s="161"/>
      <c r="AI1424" s="102"/>
      <c r="AO1424" s="12"/>
      <c r="AP1424" s="12"/>
      <c r="AQ1424" s="12"/>
      <c r="AR1424" s="12"/>
      <c r="AS1424" s="12"/>
      <c r="AT1424" s="12"/>
      <c r="AU1424" s="12"/>
      <c r="AV1424" s="12"/>
      <c r="AW1424" s="12"/>
      <c r="AX1424" s="12"/>
      <c r="AY1424" s="12"/>
      <c r="AZ1424" s="12"/>
      <c r="BA1424" s="12"/>
      <c r="BB1424" s="12"/>
      <c r="BC1424" s="12"/>
      <c r="BD1424" s="12"/>
      <c r="BF1424" s="106" t="str">
        <f t="shared" si="1"/>
        <v>#VALUE!</v>
      </c>
      <c r="BG1424" s="21">
        <f t="shared" si="2"/>
        <v>12</v>
      </c>
    </row>
    <row r="1425">
      <c r="P1425" s="161"/>
      <c r="AI1425" s="102"/>
      <c r="AO1425" s="12"/>
      <c r="AP1425" s="12"/>
      <c r="AQ1425" s="12"/>
      <c r="AR1425" s="12"/>
      <c r="AS1425" s="12"/>
      <c r="AT1425" s="12"/>
      <c r="AU1425" s="12"/>
      <c r="AV1425" s="12"/>
      <c r="AW1425" s="12"/>
      <c r="AX1425" s="12"/>
      <c r="AY1425" s="12"/>
      <c r="AZ1425" s="12"/>
      <c r="BA1425" s="12"/>
      <c r="BB1425" s="12"/>
      <c r="BC1425" s="12"/>
      <c r="BD1425" s="12"/>
      <c r="BF1425" s="106" t="str">
        <f t="shared" si="1"/>
        <v>#VALUE!</v>
      </c>
      <c r="BG1425" s="21">
        <f t="shared" si="2"/>
        <v>12</v>
      </c>
    </row>
    <row r="1426">
      <c r="P1426" s="161"/>
      <c r="AI1426" s="102"/>
      <c r="AO1426" s="12"/>
      <c r="AP1426" s="12"/>
      <c r="AQ1426" s="12"/>
      <c r="AR1426" s="12"/>
      <c r="AS1426" s="12"/>
      <c r="AT1426" s="12"/>
      <c r="AU1426" s="12"/>
      <c r="AV1426" s="12"/>
      <c r="AW1426" s="12"/>
      <c r="AX1426" s="12"/>
      <c r="AY1426" s="12"/>
      <c r="AZ1426" s="12"/>
      <c r="BA1426" s="12"/>
      <c r="BB1426" s="12"/>
      <c r="BC1426" s="12"/>
      <c r="BD1426" s="12"/>
      <c r="BF1426" s="106" t="str">
        <f t="shared" si="1"/>
        <v>#VALUE!</v>
      </c>
      <c r="BG1426" s="21">
        <f t="shared" si="2"/>
        <v>12</v>
      </c>
    </row>
    <row r="1427">
      <c r="P1427" s="161"/>
      <c r="AI1427" s="102"/>
      <c r="AO1427" s="12"/>
      <c r="AP1427" s="12"/>
      <c r="AQ1427" s="12"/>
      <c r="AR1427" s="12"/>
      <c r="AS1427" s="12"/>
      <c r="AT1427" s="12"/>
      <c r="AU1427" s="12"/>
      <c r="AV1427" s="12"/>
      <c r="AW1427" s="12"/>
      <c r="AX1427" s="12"/>
      <c r="AY1427" s="12"/>
      <c r="AZ1427" s="12"/>
      <c r="BA1427" s="12"/>
      <c r="BB1427" s="12"/>
      <c r="BC1427" s="12"/>
      <c r="BD1427" s="12"/>
      <c r="BF1427" s="106" t="str">
        <f t="shared" si="1"/>
        <v>#VALUE!</v>
      </c>
      <c r="BG1427" s="21">
        <f t="shared" si="2"/>
        <v>12</v>
      </c>
    </row>
    <row r="1428">
      <c r="P1428" s="161"/>
      <c r="AI1428" s="102"/>
      <c r="AO1428" s="12"/>
      <c r="AP1428" s="12"/>
      <c r="AQ1428" s="12"/>
      <c r="AR1428" s="12"/>
      <c r="AS1428" s="12"/>
      <c r="AT1428" s="12"/>
      <c r="AU1428" s="12"/>
      <c r="AV1428" s="12"/>
      <c r="AW1428" s="12"/>
      <c r="AX1428" s="12"/>
      <c r="AY1428" s="12"/>
      <c r="AZ1428" s="12"/>
      <c r="BA1428" s="12"/>
      <c r="BB1428" s="12"/>
      <c r="BC1428" s="12"/>
      <c r="BD1428" s="12"/>
      <c r="BF1428" s="106" t="str">
        <f t="shared" si="1"/>
        <v>#VALUE!</v>
      </c>
      <c r="BG1428" s="21">
        <f t="shared" si="2"/>
        <v>12</v>
      </c>
    </row>
    <row r="1429">
      <c r="P1429" s="161"/>
      <c r="AI1429" s="102"/>
      <c r="AO1429" s="12"/>
      <c r="AP1429" s="12"/>
      <c r="AQ1429" s="12"/>
      <c r="AR1429" s="12"/>
      <c r="AS1429" s="12"/>
      <c r="AT1429" s="12"/>
      <c r="AU1429" s="12"/>
      <c r="AV1429" s="12"/>
      <c r="AW1429" s="12"/>
      <c r="AX1429" s="12"/>
      <c r="AY1429" s="12"/>
      <c r="AZ1429" s="12"/>
      <c r="BA1429" s="12"/>
      <c r="BB1429" s="12"/>
      <c r="BC1429" s="12"/>
      <c r="BD1429" s="12"/>
      <c r="BF1429" s="106" t="str">
        <f t="shared" si="1"/>
        <v>#VALUE!</v>
      </c>
      <c r="BG1429" s="21">
        <f t="shared" si="2"/>
        <v>12</v>
      </c>
    </row>
    <row r="1430">
      <c r="P1430" s="161"/>
      <c r="AI1430" s="102"/>
      <c r="AO1430" s="12"/>
      <c r="AP1430" s="12"/>
      <c r="AQ1430" s="12"/>
      <c r="AR1430" s="12"/>
      <c r="AS1430" s="12"/>
      <c r="AT1430" s="12"/>
      <c r="AU1430" s="12"/>
      <c r="AV1430" s="12"/>
      <c r="AW1430" s="12"/>
      <c r="AX1430" s="12"/>
      <c r="AY1430" s="12"/>
      <c r="AZ1430" s="12"/>
      <c r="BA1430" s="12"/>
      <c r="BB1430" s="12"/>
      <c r="BC1430" s="12"/>
      <c r="BD1430" s="12"/>
      <c r="BF1430" s="106" t="str">
        <f t="shared" si="1"/>
        <v>#VALUE!</v>
      </c>
      <c r="BG1430" s="21">
        <f t="shared" si="2"/>
        <v>12</v>
      </c>
    </row>
    <row r="1431">
      <c r="P1431" s="161"/>
      <c r="AI1431" s="102"/>
      <c r="AO1431" s="12"/>
      <c r="AP1431" s="12"/>
      <c r="AQ1431" s="12"/>
      <c r="AR1431" s="12"/>
      <c r="AS1431" s="12"/>
      <c r="AT1431" s="12"/>
      <c r="AU1431" s="12"/>
      <c r="AV1431" s="12"/>
      <c r="AW1431" s="12"/>
      <c r="AX1431" s="12"/>
      <c r="AY1431" s="12"/>
      <c r="AZ1431" s="12"/>
      <c r="BA1431" s="12"/>
      <c r="BB1431" s="12"/>
      <c r="BC1431" s="12"/>
      <c r="BD1431" s="12"/>
      <c r="BF1431" s="106" t="str">
        <f t="shared" si="1"/>
        <v>#VALUE!</v>
      </c>
      <c r="BG1431" s="21">
        <f t="shared" si="2"/>
        <v>12</v>
      </c>
    </row>
    <row r="1432">
      <c r="P1432" s="161"/>
      <c r="AI1432" s="102"/>
      <c r="AO1432" s="12"/>
      <c r="AP1432" s="12"/>
      <c r="AQ1432" s="12"/>
      <c r="AR1432" s="12"/>
      <c r="AS1432" s="12"/>
      <c r="AT1432" s="12"/>
      <c r="AU1432" s="12"/>
      <c r="AV1432" s="12"/>
      <c r="AW1432" s="12"/>
      <c r="AX1432" s="12"/>
      <c r="AY1432" s="12"/>
      <c r="AZ1432" s="12"/>
      <c r="BA1432" s="12"/>
      <c r="BB1432" s="12"/>
      <c r="BC1432" s="12"/>
      <c r="BD1432" s="12"/>
      <c r="BF1432" s="106" t="str">
        <f t="shared" si="1"/>
        <v>#VALUE!</v>
      </c>
      <c r="BG1432" s="21">
        <f t="shared" si="2"/>
        <v>12</v>
      </c>
    </row>
    <row r="1433">
      <c r="P1433" s="161"/>
      <c r="AI1433" s="102"/>
      <c r="AO1433" s="12"/>
      <c r="AP1433" s="12"/>
      <c r="AQ1433" s="12"/>
      <c r="AR1433" s="12"/>
      <c r="AS1433" s="12"/>
      <c r="AT1433" s="12"/>
      <c r="AU1433" s="12"/>
      <c r="AV1433" s="12"/>
      <c r="AW1433" s="12"/>
      <c r="AX1433" s="12"/>
      <c r="AY1433" s="12"/>
      <c r="AZ1433" s="12"/>
      <c r="BA1433" s="12"/>
      <c r="BB1433" s="12"/>
      <c r="BC1433" s="12"/>
      <c r="BD1433" s="12"/>
      <c r="BF1433" s="106" t="str">
        <f t="shared" si="1"/>
        <v>#VALUE!</v>
      </c>
      <c r="BG1433" s="21">
        <f t="shared" si="2"/>
        <v>12</v>
      </c>
    </row>
    <row r="1434">
      <c r="P1434" s="161"/>
      <c r="AI1434" s="102"/>
      <c r="AO1434" s="12"/>
      <c r="AP1434" s="12"/>
      <c r="AQ1434" s="12"/>
      <c r="AR1434" s="12"/>
      <c r="AS1434" s="12"/>
      <c r="AT1434" s="12"/>
      <c r="AU1434" s="12"/>
      <c r="AV1434" s="12"/>
      <c r="AW1434" s="12"/>
      <c r="AX1434" s="12"/>
      <c r="AY1434" s="12"/>
      <c r="AZ1434" s="12"/>
      <c r="BA1434" s="12"/>
      <c r="BB1434" s="12"/>
      <c r="BC1434" s="12"/>
      <c r="BD1434" s="12"/>
      <c r="BF1434" s="106" t="str">
        <f t="shared" si="1"/>
        <v>#VALUE!</v>
      </c>
      <c r="BG1434" s="21">
        <f t="shared" si="2"/>
        <v>12</v>
      </c>
    </row>
    <row r="1435">
      <c r="P1435" s="161"/>
      <c r="AI1435" s="102"/>
      <c r="AO1435" s="12"/>
      <c r="AP1435" s="12"/>
      <c r="AQ1435" s="12"/>
      <c r="AR1435" s="12"/>
      <c r="AS1435" s="12"/>
      <c r="AT1435" s="12"/>
      <c r="AU1435" s="12"/>
      <c r="AV1435" s="12"/>
      <c r="AW1435" s="12"/>
      <c r="AX1435" s="12"/>
      <c r="AY1435" s="12"/>
      <c r="AZ1435" s="12"/>
      <c r="BA1435" s="12"/>
      <c r="BB1435" s="12"/>
      <c r="BC1435" s="12"/>
      <c r="BD1435" s="12"/>
      <c r="BF1435" s="106" t="str">
        <f t="shared" si="1"/>
        <v>#VALUE!</v>
      </c>
      <c r="BG1435" s="21">
        <f t="shared" si="2"/>
        <v>12</v>
      </c>
    </row>
    <row r="1436">
      <c r="P1436" s="161"/>
      <c r="AI1436" s="102"/>
      <c r="AO1436" s="12"/>
      <c r="AP1436" s="12"/>
      <c r="AQ1436" s="12"/>
      <c r="AR1436" s="12"/>
      <c r="AS1436" s="12"/>
      <c r="AT1436" s="12"/>
      <c r="AU1436" s="12"/>
      <c r="AV1436" s="12"/>
      <c r="AW1436" s="12"/>
      <c r="AX1436" s="12"/>
      <c r="AY1436" s="12"/>
      <c r="AZ1436" s="12"/>
      <c r="BA1436" s="12"/>
      <c r="BB1436" s="12"/>
      <c r="BC1436" s="12"/>
      <c r="BD1436" s="12"/>
      <c r="BF1436" s="106" t="str">
        <f t="shared" si="1"/>
        <v>#VALUE!</v>
      </c>
      <c r="BG1436" s="21">
        <f t="shared" si="2"/>
        <v>12</v>
      </c>
    </row>
    <row r="1437">
      <c r="P1437" s="161"/>
      <c r="AI1437" s="102"/>
      <c r="AO1437" s="12"/>
      <c r="AP1437" s="12"/>
      <c r="AQ1437" s="12"/>
      <c r="AR1437" s="12"/>
      <c r="AS1437" s="12"/>
      <c r="AT1437" s="12"/>
      <c r="AU1437" s="12"/>
      <c r="AV1437" s="12"/>
      <c r="AW1437" s="12"/>
      <c r="AX1437" s="12"/>
      <c r="AY1437" s="12"/>
      <c r="AZ1437" s="12"/>
      <c r="BA1437" s="12"/>
      <c r="BB1437" s="12"/>
      <c r="BC1437" s="12"/>
      <c r="BD1437" s="12"/>
      <c r="BF1437" s="106" t="str">
        <f t="shared" si="1"/>
        <v>#VALUE!</v>
      </c>
      <c r="BG1437" s="21">
        <f t="shared" si="2"/>
        <v>12</v>
      </c>
    </row>
    <row r="1438">
      <c r="P1438" s="161"/>
      <c r="AI1438" s="102"/>
      <c r="AO1438" s="12"/>
      <c r="AP1438" s="12"/>
      <c r="AQ1438" s="12"/>
      <c r="AR1438" s="12"/>
      <c r="AS1438" s="12"/>
      <c r="AT1438" s="12"/>
      <c r="AU1438" s="12"/>
      <c r="AV1438" s="12"/>
      <c r="AW1438" s="12"/>
      <c r="AX1438" s="12"/>
      <c r="AY1438" s="12"/>
      <c r="AZ1438" s="12"/>
      <c r="BA1438" s="12"/>
      <c r="BB1438" s="12"/>
      <c r="BC1438" s="12"/>
      <c r="BD1438" s="12"/>
      <c r="BF1438" s="106" t="str">
        <f t="shared" si="1"/>
        <v>#VALUE!</v>
      </c>
      <c r="BG1438" s="21">
        <f t="shared" si="2"/>
        <v>12</v>
      </c>
    </row>
    <row r="1439">
      <c r="P1439" s="161"/>
      <c r="AI1439" s="102"/>
      <c r="AO1439" s="12"/>
      <c r="AP1439" s="12"/>
      <c r="AQ1439" s="12"/>
      <c r="AR1439" s="12"/>
      <c r="AS1439" s="12"/>
      <c r="AT1439" s="12"/>
      <c r="AU1439" s="12"/>
      <c r="AV1439" s="12"/>
      <c r="AW1439" s="12"/>
      <c r="AX1439" s="12"/>
      <c r="AY1439" s="12"/>
      <c r="AZ1439" s="12"/>
      <c r="BA1439" s="12"/>
      <c r="BB1439" s="12"/>
      <c r="BC1439" s="12"/>
      <c r="BD1439" s="12"/>
      <c r="BF1439" s="106" t="str">
        <f t="shared" si="1"/>
        <v>#VALUE!</v>
      </c>
      <c r="BG1439" s="21">
        <f t="shared" si="2"/>
        <v>12</v>
      </c>
    </row>
    <row r="1440">
      <c r="P1440" s="161"/>
      <c r="AI1440" s="102"/>
      <c r="AO1440" s="12"/>
      <c r="AP1440" s="12"/>
      <c r="AQ1440" s="12"/>
      <c r="AR1440" s="12"/>
      <c r="AS1440" s="12"/>
      <c r="AT1440" s="12"/>
      <c r="AU1440" s="12"/>
      <c r="AV1440" s="12"/>
      <c r="AW1440" s="12"/>
      <c r="AX1440" s="12"/>
      <c r="AY1440" s="12"/>
      <c r="AZ1440" s="12"/>
      <c r="BA1440" s="12"/>
      <c r="BB1440" s="12"/>
      <c r="BC1440" s="12"/>
      <c r="BD1440" s="12"/>
      <c r="BF1440" s="106" t="str">
        <f t="shared" si="1"/>
        <v>#VALUE!</v>
      </c>
      <c r="BG1440" s="21">
        <f t="shared" si="2"/>
        <v>12</v>
      </c>
    </row>
    <row r="1441">
      <c r="P1441" s="161"/>
      <c r="AI1441" s="102"/>
      <c r="AO1441" s="12"/>
      <c r="AP1441" s="12"/>
      <c r="AQ1441" s="12"/>
      <c r="AR1441" s="12"/>
      <c r="AS1441" s="12"/>
      <c r="AT1441" s="12"/>
      <c r="AU1441" s="12"/>
      <c r="AV1441" s="12"/>
      <c r="AW1441" s="12"/>
      <c r="AX1441" s="12"/>
      <c r="AY1441" s="12"/>
      <c r="AZ1441" s="12"/>
      <c r="BA1441" s="12"/>
      <c r="BB1441" s="12"/>
      <c r="BC1441" s="12"/>
      <c r="BD1441" s="12"/>
      <c r="BF1441" s="106" t="str">
        <f t="shared" si="1"/>
        <v>#VALUE!</v>
      </c>
      <c r="BG1441" s="21">
        <f t="shared" si="2"/>
        <v>12</v>
      </c>
    </row>
    <row r="1442">
      <c r="P1442" s="161"/>
      <c r="AI1442" s="102"/>
      <c r="AO1442" s="12"/>
      <c r="AP1442" s="12"/>
      <c r="AQ1442" s="12"/>
      <c r="AR1442" s="12"/>
      <c r="AS1442" s="12"/>
      <c r="AT1442" s="12"/>
      <c r="AU1442" s="12"/>
      <c r="AV1442" s="12"/>
      <c r="AW1442" s="12"/>
      <c r="AX1442" s="12"/>
      <c r="AY1442" s="12"/>
      <c r="AZ1442" s="12"/>
      <c r="BA1442" s="12"/>
      <c r="BB1442" s="12"/>
      <c r="BC1442" s="12"/>
      <c r="BD1442" s="12"/>
      <c r="BF1442" s="106" t="str">
        <f t="shared" si="1"/>
        <v>#VALUE!</v>
      </c>
      <c r="BG1442" s="21">
        <f t="shared" si="2"/>
        <v>12</v>
      </c>
    </row>
    <row r="1443">
      <c r="P1443" s="161"/>
      <c r="AI1443" s="102"/>
      <c r="AO1443" s="12"/>
      <c r="AP1443" s="12"/>
      <c r="AQ1443" s="12"/>
      <c r="AR1443" s="12"/>
      <c r="AS1443" s="12"/>
      <c r="AT1443" s="12"/>
      <c r="AU1443" s="12"/>
      <c r="AV1443" s="12"/>
      <c r="AW1443" s="12"/>
      <c r="AX1443" s="12"/>
      <c r="AY1443" s="12"/>
      <c r="AZ1443" s="12"/>
      <c r="BA1443" s="12"/>
      <c r="BB1443" s="12"/>
      <c r="BC1443" s="12"/>
      <c r="BD1443" s="12"/>
      <c r="BF1443" s="106" t="str">
        <f t="shared" si="1"/>
        <v>#VALUE!</v>
      </c>
      <c r="BG1443" s="21">
        <f t="shared" si="2"/>
        <v>12</v>
      </c>
    </row>
    <row r="1444">
      <c r="P1444" s="161"/>
      <c r="AI1444" s="102"/>
      <c r="AO1444" s="12"/>
      <c r="AP1444" s="12"/>
      <c r="AQ1444" s="12"/>
      <c r="AR1444" s="12"/>
      <c r="AS1444" s="12"/>
      <c r="AT1444" s="12"/>
      <c r="AU1444" s="12"/>
      <c r="AV1444" s="12"/>
      <c r="AW1444" s="12"/>
      <c r="AX1444" s="12"/>
      <c r="AY1444" s="12"/>
      <c r="AZ1444" s="12"/>
      <c r="BA1444" s="12"/>
      <c r="BB1444" s="12"/>
      <c r="BC1444" s="12"/>
      <c r="BD1444" s="12"/>
      <c r="BF1444" s="106" t="str">
        <f t="shared" si="1"/>
        <v>#VALUE!</v>
      </c>
      <c r="BG1444" s="21">
        <f t="shared" si="2"/>
        <v>12</v>
      </c>
    </row>
    <row r="1445">
      <c r="P1445" s="161"/>
      <c r="AI1445" s="102"/>
      <c r="AO1445" s="12"/>
      <c r="AP1445" s="12"/>
      <c r="AQ1445" s="12"/>
      <c r="AR1445" s="12"/>
      <c r="AS1445" s="12"/>
      <c r="AT1445" s="12"/>
      <c r="AU1445" s="12"/>
      <c r="AV1445" s="12"/>
      <c r="AW1445" s="12"/>
      <c r="AX1445" s="12"/>
      <c r="AY1445" s="12"/>
      <c r="AZ1445" s="12"/>
      <c r="BA1445" s="12"/>
      <c r="BB1445" s="12"/>
      <c r="BC1445" s="12"/>
      <c r="BD1445" s="12"/>
      <c r="BF1445" s="106" t="str">
        <f t="shared" si="1"/>
        <v>#VALUE!</v>
      </c>
      <c r="BG1445" s="21">
        <f t="shared" si="2"/>
        <v>12</v>
      </c>
    </row>
    <row r="1446">
      <c r="P1446" s="161"/>
      <c r="AI1446" s="102"/>
      <c r="AO1446" s="12"/>
      <c r="AP1446" s="12"/>
      <c r="AQ1446" s="12"/>
      <c r="AR1446" s="12"/>
      <c r="AS1446" s="12"/>
      <c r="AT1446" s="12"/>
      <c r="AU1446" s="12"/>
      <c r="AV1446" s="12"/>
      <c r="AW1446" s="12"/>
      <c r="AX1446" s="12"/>
      <c r="AY1446" s="12"/>
      <c r="AZ1446" s="12"/>
      <c r="BA1446" s="12"/>
      <c r="BB1446" s="12"/>
      <c r="BC1446" s="12"/>
      <c r="BD1446" s="12"/>
      <c r="BF1446" s="106" t="str">
        <f t="shared" si="1"/>
        <v>#VALUE!</v>
      </c>
      <c r="BG1446" s="21">
        <f t="shared" si="2"/>
        <v>12</v>
      </c>
    </row>
    <row r="1447">
      <c r="P1447" s="161"/>
      <c r="AI1447" s="102"/>
      <c r="AO1447" s="12"/>
      <c r="AP1447" s="12"/>
      <c r="AQ1447" s="12"/>
      <c r="AR1447" s="12"/>
      <c r="AS1447" s="12"/>
      <c r="AT1447" s="12"/>
      <c r="AU1447" s="12"/>
      <c r="AV1447" s="12"/>
      <c r="AW1447" s="12"/>
      <c r="AX1447" s="12"/>
      <c r="AY1447" s="12"/>
      <c r="AZ1447" s="12"/>
      <c r="BA1447" s="12"/>
      <c r="BB1447" s="12"/>
      <c r="BC1447" s="12"/>
      <c r="BD1447" s="12"/>
      <c r="BF1447" s="106" t="str">
        <f t="shared" si="1"/>
        <v>#VALUE!</v>
      </c>
      <c r="BG1447" s="21">
        <f t="shared" si="2"/>
        <v>12</v>
      </c>
    </row>
    <row r="1448">
      <c r="P1448" s="161"/>
      <c r="AI1448" s="102"/>
      <c r="AO1448" s="12"/>
      <c r="AP1448" s="12"/>
      <c r="AQ1448" s="12"/>
      <c r="AR1448" s="12"/>
      <c r="AS1448" s="12"/>
      <c r="AT1448" s="12"/>
      <c r="AU1448" s="12"/>
      <c r="AV1448" s="12"/>
      <c r="AW1448" s="12"/>
      <c r="AX1448" s="12"/>
      <c r="AY1448" s="12"/>
      <c r="AZ1448" s="12"/>
      <c r="BA1448" s="12"/>
      <c r="BB1448" s="12"/>
      <c r="BC1448" s="12"/>
      <c r="BD1448" s="12"/>
      <c r="BF1448" s="106" t="str">
        <f t="shared" si="1"/>
        <v>#VALUE!</v>
      </c>
      <c r="BG1448" s="21">
        <f t="shared" si="2"/>
        <v>12</v>
      </c>
    </row>
    <row r="1449">
      <c r="P1449" s="161"/>
      <c r="AI1449" s="102"/>
      <c r="AO1449" s="12"/>
      <c r="AP1449" s="12"/>
      <c r="AQ1449" s="12"/>
      <c r="AR1449" s="12"/>
      <c r="AS1449" s="12"/>
      <c r="AT1449" s="12"/>
      <c r="AU1449" s="12"/>
      <c r="AV1449" s="12"/>
      <c r="AW1449" s="12"/>
      <c r="AX1449" s="12"/>
      <c r="AY1449" s="12"/>
      <c r="AZ1449" s="12"/>
      <c r="BA1449" s="12"/>
      <c r="BB1449" s="12"/>
      <c r="BC1449" s="12"/>
      <c r="BD1449" s="12"/>
      <c r="BF1449" s="106" t="str">
        <f t="shared" si="1"/>
        <v>#VALUE!</v>
      </c>
      <c r="BG1449" s="21">
        <f t="shared" si="2"/>
        <v>12</v>
      </c>
    </row>
    <row r="1450">
      <c r="P1450" s="161"/>
      <c r="AI1450" s="102"/>
      <c r="AO1450" s="12"/>
      <c r="AP1450" s="12"/>
      <c r="AQ1450" s="12"/>
      <c r="AR1450" s="12"/>
      <c r="AS1450" s="12"/>
      <c r="AT1450" s="12"/>
      <c r="AU1450" s="12"/>
      <c r="AV1450" s="12"/>
      <c r="AW1450" s="12"/>
      <c r="AX1450" s="12"/>
      <c r="AY1450" s="12"/>
      <c r="AZ1450" s="12"/>
      <c r="BA1450" s="12"/>
      <c r="BB1450" s="12"/>
      <c r="BC1450" s="12"/>
      <c r="BD1450" s="12"/>
      <c r="BF1450" s="106" t="str">
        <f t="shared" si="1"/>
        <v>#VALUE!</v>
      </c>
      <c r="BG1450" s="21">
        <f t="shared" si="2"/>
        <v>12</v>
      </c>
    </row>
    <row r="1451">
      <c r="P1451" s="161"/>
      <c r="AI1451" s="102"/>
      <c r="AO1451" s="12"/>
      <c r="AP1451" s="12"/>
      <c r="AQ1451" s="12"/>
      <c r="AR1451" s="12"/>
      <c r="AS1451" s="12"/>
      <c r="AT1451" s="12"/>
      <c r="AU1451" s="12"/>
      <c r="AV1451" s="12"/>
      <c r="AW1451" s="12"/>
      <c r="AX1451" s="12"/>
      <c r="AY1451" s="12"/>
      <c r="AZ1451" s="12"/>
      <c r="BA1451" s="12"/>
      <c r="BB1451" s="12"/>
      <c r="BC1451" s="12"/>
      <c r="BD1451" s="12"/>
      <c r="BF1451" s="106" t="str">
        <f t="shared" si="1"/>
        <v>#VALUE!</v>
      </c>
      <c r="BG1451" s="21">
        <f t="shared" si="2"/>
        <v>12</v>
      </c>
    </row>
    <row r="1452">
      <c r="P1452" s="161"/>
      <c r="AI1452" s="102"/>
      <c r="AO1452" s="12"/>
      <c r="AP1452" s="12"/>
      <c r="AQ1452" s="12"/>
      <c r="AR1452" s="12"/>
      <c r="AS1452" s="12"/>
      <c r="AT1452" s="12"/>
      <c r="AU1452" s="12"/>
      <c r="AV1452" s="12"/>
      <c r="AW1452" s="12"/>
      <c r="AX1452" s="12"/>
      <c r="AY1452" s="12"/>
      <c r="AZ1452" s="12"/>
      <c r="BA1452" s="12"/>
      <c r="BB1452" s="12"/>
      <c r="BC1452" s="12"/>
      <c r="BD1452" s="12"/>
      <c r="BF1452" s="106" t="str">
        <f t="shared" si="1"/>
        <v>#VALUE!</v>
      </c>
      <c r="BG1452" s="21">
        <f t="shared" si="2"/>
        <v>12</v>
      </c>
    </row>
    <row r="1453">
      <c r="P1453" s="161"/>
      <c r="AI1453" s="102"/>
      <c r="AO1453" s="12"/>
      <c r="AP1453" s="12"/>
      <c r="AQ1453" s="12"/>
      <c r="AR1453" s="12"/>
      <c r="AS1453" s="12"/>
      <c r="AT1453" s="12"/>
      <c r="AU1453" s="12"/>
      <c r="AV1453" s="12"/>
      <c r="AW1453" s="12"/>
      <c r="AX1453" s="12"/>
      <c r="AY1453" s="12"/>
      <c r="AZ1453" s="12"/>
      <c r="BA1453" s="12"/>
      <c r="BB1453" s="12"/>
      <c r="BC1453" s="12"/>
      <c r="BD1453" s="12"/>
      <c r="BF1453" s="106" t="str">
        <f t="shared" si="1"/>
        <v>#VALUE!</v>
      </c>
      <c r="BG1453" s="21">
        <f t="shared" si="2"/>
        <v>12</v>
      </c>
    </row>
    <row r="1454">
      <c r="P1454" s="161"/>
      <c r="AI1454" s="102"/>
      <c r="AO1454" s="12"/>
      <c r="AP1454" s="12"/>
      <c r="AQ1454" s="12"/>
      <c r="AR1454" s="12"/>
      <c r="AS1454" s="12"/>
      <c r="AT1454" s="12"/>
      <c r="AU1454" s="12"/>
      <c r="AV1454" s="12"/>
      <c r="AW1454" s="12"/>
      <c r="AX1454" s="12"/>
      <c r="AY1454" s="12"/>
      <c r="AZ1454" s="12"/>
      <c r="BA1454" s="12"/>
      <c r="BB1454" s="12"/>
      <c r="BC1454" s="12"/>
      <c r="BD1454" s="12"/>
      <c r="BF1454" s="106" t="str">
        <f t="shared" si="1"/>
        <v>#VALUE!</v>
      </c>
      <c r="BG1454" s="21">
        <f t="shared" si="2"/>
        <v>12</v>
      </c>
    </row>
    <row r="1455">
      <c r="P1455" s="161"/>
      <c r="AI1455" s="102"/>
      <c r="AO1455" s="12"/>
      <c r="AP1455" s="12"/>
      <c r="AQ1455" s="12"/>
      <c r="AR1455" s="12"/>
      <c r="AS1455" s="12"/>
      <c r="AT1455" s="12"/>
      <c r="AU1455" s="12"/>
      <c r="AV1455" s="12"/>
      <c r="AW1455" s="12"/>
      <c r="AX1455" s="12"/>
      <c r="AY1455" s="12"/>
      <c r="AZ1455" s="12"/>
      <c r="BA1455" s="12"/>
      <c r="BB1455" s="12"/>
      <c r="BC1455" s="12"/>
      <c r="BD1455" s="12"/>
      <c r="BF1455" s="106" t="str">
        <f t="shared" si="1"/>
        <v>#VALUE!</v>
      </c>
      <c r="BG1455" s="21">
        <f t="shared" si="2"/>
        <v>12</v>
      </c>
    </row>
    <row r="1456">
      <c r="P1456" s="161"/>
      <c r="AI1456" s="102"/>
      <c r="AO1456" s="12"/>
      <c r="AP1456" s="12"/>
      <c r="AQ1456" s="12"/>
      <c r="AR1456" s="12"/>
      <c r="AS1456" s="12"/>
      <c r="AT1456" s="12"/>
      <c r="AU1456" s="12"/>
      <c r="AV1456" s="12"/>
      <c r="AW1456" s="12"/>
      <c r="AX1456" s="12"/>
      <c r="AY1456" s="12"/>
      <c r="AZ1456" s="12"/>
      <c r="BA1456" s="12"/>
      <c r="BB1456" s="12"/>
      <c r="BC1456" s="12"/>
      <c r="BD1456" s="12"/>
      <c r="BF1456" s="106" t="str">
        <f t="shared" si="1"/>
        <v>#VALUE!</v>
      </c>
      <c r="BG1456" s="21">
        <f t="shared" si="2"/>
        <v>12</v>
      </c>
    </row>
    <row r="1457">
      <c r="P1457" s="161"/>
      <c r="AI1457" s="102"/>
      <c r="AO1457" s="12"/>
      <c r="AP1457" s="12"/>
      <c r="AQ1457" s="12"/>
      <c r="AR1457" s="12"/>
      <c r="AS1457" s="12"/>
      <c r="AT1457" s="12"/>
      <c r="AU1457" s="12"/>
      <c r="AV1457" s="12"/>
      <c r="AW1457" s="12"/>
      <c r="AX1457" s="12"/>
      <c r="AY1457" s="12"/>
      <c r="AZ1457" s="12"/>
      <c r="BA1457" s="12"/>
      <c r="BB1457" s="12"/>
      <c r="BC1457" s="12"/>
      <c r="BD1457" s="12"/>
      <c r="BF1457" s="106" t="str">
        <f t="shared" si="1"/>
        <v>#VALUE!</v>
      </c>
      <c r="BG1457" s="21">
        <f t="shared" si="2"/>
        <v>12</v>
      </c>
    </row>
    <row r="1458">
      <c r="P1458" s="161"/>
      <c r="AI1458" s="102"/>
      <c r="AO1458" s="12"/>
      <c r="AP1458" s="12"/>
      <c r="AQ1458" s="12"/>
      <c r="AR1458" s="12"/>
      <c r="AS1458" s="12"/>
      <c r="AT1458" s="12"/>
      <c r="AU1458" s="12"/>
      <c r="AV1458" s="12"/>
      <c r="AW1458" s="12"/>
      <c r="AX1458" s="12"/>
      <c r="AY1458" s="12"/>
      <c r="AZ1458" s="12"/>
      <c r="BA1458" s="12"/>
      <c r="BB1458" s="12"/>
      <c r="BC1458" s="12"/>
      <c r="BD1458" s="12"/>
      <c r="BF1458" s="106" t="str">
        <f t="shared" si="1"/>
        <v>#VALUE!</v>
      </c>
      <c r="BG1458" s="21">
        <f t="shared" si="2"/>
        <v>12</v>
      </c>
    </row>
    <row r="1459">
      <c r="P1459" s="161"/>
      <c r="AI1459" s="102"/>
      <c r="AO1459" s="12"/>
      <c r="AP1459" s="12"/>
      <c r="AQ1459" s="12"/>
      <c r="AR1459" s="12"/>
      <c r="AS1459" s="12"/>
      <c r="AT1459" s="12"/>
      <c r="AU1459" s="12"/>
      <c r="AV1459" s="12"/>
      <c r="AW1459" s="12"/>
      <c r="AX1459" s="12"/>
      <c r="AY1459" s="12"/>
      <c r="AZ1459" s="12"/>
      <c r="BA1459" s="12"/>
      <c r="BB1459" s="12"/>
      <c r="BC1459" s="12"/>
      <c r="BD1459" s="12"/>
      <c r="BF1459" s="106" t="str">
        <f t="shared" si="1"/>
        <v>#VALUE!</v>
      </c>
      <c r="BG1459" s="21">
        <f t="shared" si="2"/>
        <v>12</v>
      </c>
    </row>
    <row r="1460">
      <c r="P1460" s="161"/>
      <c r="AI1460" s="102"/>
      <c r="AO1460" s="12"/>
      <c r="AP1460" s="12"/>
      <c r="AQ1460" s="12"/>
      <c r="AR1460" s="12"/>
      <c r="AS1460" s="12"/>
      <c r="AT1460" s="12"/>
      <c r="AU1460" s="12"/>
      <c r="AV1460" s="12"/>
      <c r="AW1460" s="12"/>
      <c r="AX1460" s="12"/>
      <c r="AY1460" s="12"/>
      <c r="AZ1460" s="12"/>
      <c r="BA1460" s="12"/>
      <c r="BB1460" s="12"/>
      <c r="BC1460" s="12"/>
      <c r="BD1460" s="12"/>
      <c r="BF1460" s="106" t="str">
        <f t="shared" si="1"/>
        <v>#VALUE!</v>
      </c>
      <c r="BG1460" s="21">
        <f t="shared" si="2"/>
        <v>12</v>
      </c>
    </row>
    <row r="1461">
      <c r="P1461" s="161"/>
      <c r="AI1461" s="102"/>
      <c r="AO1461" s="12"/>
      <c r="AP1461" s="12"/>
      <c r="AQ1461" s="12"/>
      <c r="AR1461" s="12"/>
      <c r="AS1461" s="12"/>
      <c r="AT1461" s="12"/>
      <c r="AU1461" s="12"/>
      <c r="AV1461" s="12"/>
      <c r="AW1461" s="12"/>
      <c r="AX1461" s="12"/>
      <c r="AY1461" s="12"/>
      <c r="AZ1461" s="12"/>
      <c r="BA1461" s="12"/>
      <c r="BB1461" s="12"/>
      <c r="BC1461" s="12"/>
      <c r="BD1461" s="12"/>
      <c r="BF1461" s="106" t="str">
        <f t="shared" si="1"/>
        <v>#VALUE!</v>
      </c>
      <c r="BG1461" s="21">
        <f t="shared" si="2"/>
        <v>12</v>
      </c>
    </row>
    <row r="1462">
      <c r="P1462" s="161"/>
      <c r="AI1462" s="102"/>
      <c r="AO1462" s="12"/>
      <c r="AP1462" s="12"/>
      <c r="AQ1462" s="12"/>
      <c r="AR1462" s="12"/>
      <c r="AS1462" s="12"/>
      <c r="AT1462" s="12"/>
      <c r="AU1462" s="12"/>
      <c r="AV1462" s="12"/>
      <c r="AW1462" s="12"/>
      <c r="AX1462" s="12"/>
      <c r="AY1462" s="12"/>
      <c r="AZ1462" s="12"/>
      <c r="BA1462" s="12"/>
      <c r="BB1462" s="12"/>
      <c r="BC1462" s="12"/>
      <c r="BD1462" s="12"/>
      <c r="BF1462" s="106" t="str">
        <f t="shared" si="1"/>
        <v>#VALUE!</v>
      </c>
      <c r="BG1462" s="21">
        <f t="shared" si="2"/>
        <v>12</v>
      </c>
    </row>
    <row r="1463">
      <c r="P1463" s="161"/>
      <c r="AI1463" s="102"/>
      <c r="AO1463" s="12"/>
      <c r="AP1463" s="12"/>
      <c r="AQ1463" s="12"/>
      <c r="AR1463" s="12"/>
      <c r="AS1463" s="12"/>
      <c r="AT1463" s="12"/>
      <c r="AU1463" s="12"/>
      <c r="AV1463" s="12"/>
      <c r="AW1463" s="12"/>
      <c r="AX1463" s="12"/>
      <c r="AY1463" s="12"/>
      <c r="AZ1463" s="12"/>
      <c r="BA1463" s="12"/>
      <c r="BB1463" s="12"/>
      <c r="BC1463" s="12"/>
      <c r="BD1463" s="12"/>
      <c r="BF1463" s="106" t="str">
        <f t="shared" si="1"/>
        <v>#VALUE!</v>
      </c>
      <c r="BG1463" s="21">
        <f t="shared" si="2"/>
        <v>12</v>
      </c>
    </row>
    <row r="1464">
      <c r="P1464" s="161"/>
      <c r="AI1464" s="102"/>
      <c r="AO1464" s="12"/>
      <c r="AP1464" s="12"/>
      <c r="AQ1464" s="12"/>
      <c r="AR1464" s="12"/>
      <c r="AS1464" s="12"/>
      <c r="AT1464" s="12"/>
      <c r="AU1464" s="12"/>
      <c r="AV1464" s="12"/>
      <c r="AW1464" s="12"/>
      <c r="AX1464" s="12"/>
      <c r="AY1464" s="12"/>
      <c r="AZ1464" s="12"/>
      <c r="BA1464" s="12"/>
      <c r="BB1464" s="12"/>
      <c r="BC1464" s="12"/>
      <c r="BD1464" s="12"/>
      <c r="BF1464" s="106" t="str">
        <f t="shared" si="1"/>
        <v>#VALUE!</v>
      </c>
      <c r="BG1464" s="21">
        <f t="shared" si="2"/>
        <v>12</v>
      </c>
    </row>
    <row r="1465">
      <c r="P1465" s="161"/>
      <c r="AI1465" s="102"/>
      <c r="AO1465" s="12"/>
      <c r="AP1465" s="12"/>
      <c r="AQ1465" s="12"/>
      <c r="AR1465" s="12"/>
      <c r="AS1465" s="12"/>
      <c r="AT1465" s="12"/>
      <c r="AU1465" s="12"/>
      <c r="AV1465" s="12"/>
      <c r="AW1465" s="12"/>
      <c r="AX1465" s="12"/>
      <c r="AY1465" s="12"/>
      <c r="AZ1465" s="12"/>
      <c r="BA1465" s="12"/>
      <c r="BB1465" s="12"/>
      <c r="BC1465" s="12"/>
      <c r="BD1465" s="12"/>
      <c r="BF1465" s="106" t="str">
        <f t="shared" si="1"/>
        <v>#VALUE!</v>
      </c>
      <c r="BG1465" s="21">
        <f t="shared" si="2"/>
        <v>12</v>
      </c>
    </row>
    <row r="1466">
      <c r="P1466" s="161"/>
      <c r="AI1466" s="102"/>
      <c r="AO1466" s="12"/>
      <c r="AP1466" s="12"/>
      <c r="AQ1466" s="12"/>
      <c r="AR1466" s="12"/>
      <c r="AS1466" s="12"/>
      <c r="AT1466" s="12"/>
      <c r="AU1466" s="12"/>
      <c r="AV1466" s="12"/>
      <c r="AW1466" s="12"/>
      <c r="AX1466" s="12"/>
      <c r="AY1466" s="12"/>
      <c r="AZ1466" s="12"/>
      <c r="BA1466" s="12"/>
      <c r="BB1466" s="12"/>
      <c r="BC1466" s="12"/>
      <c r="BD1466" s="12"/>
      <c r="BF1466" s="106" t="str">
        <f t="shared" si="1"/>
        <v>#VALUE!</v>
      </c>
      <c r="BG1466" s="21">
        <f t="shared" si="2"/>
        <v>12</v>
      </c>
    </row>
    <row r="1467">
      <c r="P1467" s="161"/>
      <c r="AI1467" s="102"/>
      <c r="AO1467" s="12"/>
      <c r="AP1467" s="12"/>
      <c r="AQ1467" s="12"/>
      <c r="AR1467" s="12"/>
      <c r="AS1467" s="12"/>
      <c r="AT1467" s="12"/>
      <c r="AU1467" s="12"/>
      <c r="AV1467" s="12"/>
      <c r="AW1467" s="12"/>
      <c r="AX1467" s="12"/>
      <c r="AY1467" s="12"/>
      <c r="AZ1467" s="12"/>
      <c r="BA1467" s="12"/>
      <c r="BB1467" s="12"/>
      <c r="BC1467" s="12"/>
      <c r="BD1467" s="12"/>
      <c r="BF1467" s="106" t="str">
        <f t="shared" si="1"/>
        <v>#VALUE!</v>
      </c>
      <c r="BG1467" s="21">
        <f t="shared" si="2"/>
        <v>12</v>
      </c>
    </row>
    <row r="1468">
      <c r="P1468" s="161"/>
      <c r="AI1468" s="102"/>
      <c r="AO1468" s="12"/>
      <c r="AP1468" s="12"/>
      <c r="AQ1468" s="12"/>
      <c r="AR1468" s="12"/>
      <c r="AS1468" s="12"/>
      <c r="AT1468" s="12"/>
      <c r="AU1468" s="12"/>
      <c r="AV1468" s="12"/>
      <c r="AW1468" s="12"/>
      <c r="AX1468" s="12"/>
      <c r="AY1468" s="12"/>
      <c r="AZ1468" s="12"/>
      <c r="BA1468" s="12"/>
      <c r="BB1468" s="12"/>
      <c r="BC1468" s="12"/>
      <c r="BD1468" s="12"/>
      <c r="BF1468" s="106" t="str">
        <f t="shared" si="1"/>
        <v>#VALUE!</v>
      </c>
      <c r="BG1468" s="21">
        <f t="shared" si="2"/>
        <v>12</v>
      </c>
    </row>
    <row r="1469">
      <c r="P1469" s="161"/>
      <c r="AI1469" s="102"/>
      <c r="AO1469" s="12"/>
      <c r="AP1469" s="12"/>
      <c r="AQ1469" s="12"/>
      <c r="AR1469" s="12"/>
      <c r="AS1469" s="12"/>
      <c r="AT1469" s="12"/>
      <c r="AU1469" s="12"/>
      <c r="AV1469" s="12"/>
      <c r="AW1469" s="12"/>
      <c r="AX1469" s="12"/>
      <c r="AY1469" s="12"/>
      <c r="AZ1469" s="12"/>
      <c r="BA1469" s="12"/>
      <c r="BB1469" s="12"/>
      <c r="BC1469" s="12"/>
      <c r="BD1469" s="12"/>
      <c r="BF1469" s="106" t="str">
        <f t="shared" si="1"/>
        <v>#VALUE!</v>
      </c>
      <c r="BG1469" s="21">
        <f t="shared" si="2"/>
        <v>12</v>
      </c>
    </row>
    <row r="1470">
      <c r="P1470" s="161"/>
      <c r="AI1470" s="102"/>
      <c r="AO1470" s="12"/>
      <c r="AP1470" s="12"/>
      <c r="AQ1470" s="12"/>
      <c r="AR1470" s="12"/>
      <c r="AS1470" s="12"/>
      <c r="AT1470" s="12"/>
      <c r="AU1470" s="12"/>
      <c r="AV1470" s="12"/>
      <c r="AW1470" s="12"/>
      <c r="AX1470" s="12"/>
      <c r="AY1470" s="12"/>
      <c r="AZ1470" s="12"/>
      <c r="BA1470" s="12"/>
      <c r="BB1470" s="12"/>
      <c r="BC1470" s="12"/>
      <c r="BD1470" s="12"/>
      <c r="BF1470" s="106" t="str">
        <f t="shared" si="1"/>
        <v>#VALUE!</v>
      </c>
      <c r="BG1470" s="21">
        <f t="shared" si="2"/>
        <v>12</v>
      </c>
    </row>
    <row r="1471">
      <c r="P1471" s="161"/>
      <c r="AI1471" s="102"/>
      <c r="AO1471" s="12"/>
      <c r="AP1471" s="12"/>
      <c r="AQ1471" s="12"/>
      <c r="AR1471" s="12"/>
      <c r="AS1471" s="12"/>
      <c r="AT1471" s="12"/>
      <c r="AU1471" s="12"/>
      <c r="AV1471" s="12"/>
      <c r="AW1471" s="12"/>
      <c r="AX1471" s="12"/>
      <c r="AY1471" s="12"/>
      <c r="AZ1471" s="12"/>
      <c r="BA1471" s="12"/>
      <c r="BB1471" s="12"/>
      <c r="BC1471" s="12"/>
      <c r="BD1471" s="12"/>
      <c r="BF1471" s="106" t="str">
        <f t="shared" si="1"/>
        <v>#VALUE!</v>
      </c>
      <c r="BG1471" s="21">
        <f t="shared" si="2"/>
        <v>12</v>
      </c>
    </row>
    <row r="1472">
      <c r="P1472" s="161"/>
      <c r="AI1472" s="102"/>
      <c r="AO1472" s="12"/>
      <c r="AP1472" s="12"/>
      <c r="AQ1472" s="12"/>
      <c r="AR1472" s="12"/>
      <c r="AS1472" s="12"/>
      <c r="AT1472" s="12"/>
      <c r="AU1472" s="12"/>
      <c r="AV1472" s="12"/>
      <c r="AW1472" s="12"/>
      <c r="AX1472" s="12"/>
      <c r="AY1472" s="12"/>
      <c r="AZ1472" s="12"/>
      <c r="BA1472" s="12"/>
      <c r="BB1472" s="12"/>
      <c r="BC1472" s="12"/>
      <c r="BD1472" s="12"/>
      <c r="BF1472" s="106" t="str">
        <f t="shared" si="1"/>
        <v>#VALUE!</v>
      </c>
      <c r="BG1472" s="21">
        <f t="shared" si="2"/>
        <v>12</v>
      </c>
    </row>
    <row r="1473">
      <c r="P1473" s="161"/>
      <c r="AI1473" s="102"/>
      <c r="AO1473" s="12"/>
      <c r="AP1473" s="12"/>
      <c r="AQ1473" s="12"/>
      <c r="AR1473" s="12"/>
      <c r="AS1473" s="12"/>
      <c r="AT1473" s="12"/>
      <c r="AU1473" s="12"/>
      <c r="AV1473" s="12"/>
      <c r="AW1473" s="12"/>
      <c r="AX1473" s="12"/>
      <c r="AY1473" s="12"/>
      <c r="AZ1473" s="12"/>
      <c r="BA1473" s="12"/>
      <c r="BB1473" s="12"/>
      <c r="BC1473" s="12"/>
      <c r="BD1473" s="12"/>
      <c r="BF1473" s="106" t="str">
        <f t="shared" si="1"/>
        <v>#VALUE!</v>
      </c>
      <c r="BG1473" s="21">
        <f t="shared" si="2"/>
        <v>12</v>
      </c>
    </row>
    <row r="1474">
      <c r="P1474" s="161"/>
      <c r="AI1474" s="102"/>
      <c r="AO1474" s="12"/>
      <c r="AP1474" s="12"/>
      <c r="AQ1474" s="12"/>
      <c r="AR1474" s="12"/>
      <c r="AS1474" s="12"/>
      <c r="AT1474" s="12"/>
      <c r="AU1474" s="12"/>
      <c r="AV1474" s="12"/>
      <c r="AW1474" s="12"/>
      <c r="AX1474" s="12"/>
      <c r="AY1474" s="12"/>
      <c r="AZ1474" s="12"/>
      <c r="BA1474" s="12"/>
      <c r="BB1474" s="12"/>
      <c r="BC1474" s="12"/>
      <c r="BD1474" s="12"/>
      <c r="BF1474" s="106" t="str">
        <f t="shared" si="1"/>
        <v>#VALUE!</v>
      </c>
      <c r="BG1474" s="21">
        <f t="shared" si="2"/>
        <v>12</v>
      </c>
    </row>
    <row r="1475">
      <c r="P1475" s="161"/>
      <c r="AI1475" s="102"/>
      <c r="AO1475" s="12"/>
      <c r="AP1475" s="12"/>
      <c r="AQ1475" s="12"/>
      <c r="AR1475" s="12"/>
      <c r="AS1475" s="12"/>
      <c r="AT1475" s="12"/>
      <c r="AU1475" s="12"/>
      <c r="AV1475" s="12"/>
      <c r="AW1475" s="12"/>
      <c r="AX1475" s="12"/>
      <c r="AY1475" s="12"/>
      <c r="AZ1475" s="12"/>
      <c r="BA1475" s="12"/>
      <c r="BB1475" s="12"/>
      <c r="BC1475" s="12"/>
      <c r="BD1475" s="12"/>
      <c r="BF1475" s="106" t="str">
        <f t="shared" si="1"/>
        <v>#VALUE!</v>
      </c>
      <c r="BG1475" s="21">
        <f t="shared" si="2"/>
        <v>12</v>
      </c>
    </row>
    <row r="1476">
      <c r="P1476" s="161"/>
      <c r="AI1476" s="102"/>
      <c r="AO1476" s="12"/>
      <c r="AP1476" s="12"/>
      <c r="AQ1476" s="12"/>
      <c r="AR1476" s="12"/>
      <c r="AS1476" s="12"/>
      <c r="AT1476" s="12"/>
      <c r="AU1476" s="12"/>
      <c r="AV1476" s="12"/>
      <c r="AW1476" s="12"/>
      <c r="AX1476" s="12"/>
      <c r="AY1476" s="12"/>
      <c r="AZ1476" s="12"/>
      <c r="BA1476" s="12"/>
      <c r="BB1476" s="12"/>
      <c r="BC1476" s="12"/>
      <c r="BD1476" s="12"/>
      <c r="BF1476" s="106" t="str">
        <f t="shared" si="1"/>
        <v>#VALUE!</v>
      </c>
      <c r="BG1476" s="21">
        <f t="shared" si="2"/>
        <v>12</v>
      </c>
    </row>
    <row r="1477">
      <c r="P1477" s="161"/>
      <c r="AI1477" s="102"/>
      <c r="AO1477" s="12"/>
      <c r="AP1477" s="12"/>
      <c r="AQ1477" s="12"/>
      <c r="AR1477" s="12"/>
      <c r="AS1477" s="12"/>
      <c r="AT1477" s="12"/>
      <c r="AU1477" s="12"/>
      <c r="AV1477" s="12"/>
      <c r="AW1477" s="12"/>
      <c r="AX1477" s="12"/>
      <c r="AY1477" s="12"/>
      <c r="AZ1477" s="12"/>
      <c r="BA1477" s="12"/>
      <c r="BB1477" s="12"/>
      <c r="BC1477" s="12"/>
      <c r="BD1477" s="12"/>
      <c r="BF1477" s="106" t="str">
        <f t="shared" si="1"/>
        <v>#VALUE!</v>
      </c>
      <c r="BG1477" s="21">
        <f t="shared" si="2"/>
        <v>12</v>
      </c>
    </row>
    <row r="1478">
      <c r="P1478" s="161"/>
      <c r="AI1478" s="102"/>
      <c r="AO1478" s="12"/>
      <c r="AP1478" s="12"/>
      <c r="AQ1478" s="12"/>
      <c r="AR1478" s="12"/>
      <c r="AS1478" s="12"/>
      <c r="AT1478" s="12"/>
      <c r="AU1478" s="12"/>
      <c r="AV1478" s="12"/>
      <c r="AW1478" s="12"/>
      <c r="AX1478" s="12"/>
      <c r="AY1478" s="12"/>
      <c r="AZ1478" s="12"/>
      <c r="BA1478" s="12"/>
      <c r="BB1478" s="12"/>
      <c r="BC1478" s="12"/>
      <c r="BD1478" s="12"/>
      <c r="BF1478" s="106" t="str">
        <f t="shared" si="1"/>
        <v>#VALUE!</v>
      </c>
      <c r="BG1478" s="21">
        <f t="shared" si="2"/>
        <v>12</v>
      </c>
    </row>
    <row r="1479">
      <c r="P1479" s="161"/>
      <c r="AI1479" s="102"/>
      <c r="AO1479" s="12"/>
      <c r="AP1479" s="12"/>
      <c r="AQ1479" s="12"/>
      <c r="AR1479" s="12"/>
      <c r="AS1479" s="12"/>
      <c r="AT1479" s="12"/>
      <c r="AU1479" s="12"/>
      <c r="AV1479" s="12"/>
      <c r="AW1479" s="12"/>
      <c r="AX1479" s="12"/>
      <c r="AY1479" s="12"/>
      <c r="AZ1479" s="12"/>
      <c r="BA1479" s="12"/>
      <c r="BB1479" s="12"/>
      <c r="BC1479" s="12"/>
      <c r="BD1479" s="12"/>
      <c r="BF1479" s="106" t="str">
        <f t="shared" si="1"/>
        <v>#VALUE!</v>
      </c>
      <c r="BG1479" s="21">
        <f t="shared" si="2"/>
        <v>12</v>
      </c>
    </row>
    <row r="1480">
      <c r="P1480" s="161"/>
      <c r="AI1480" s="102"/>
      <c r="AO1480" s="12"/>
      <c r="AP1480" s="12"/>
      <c r="AQ1480" s="12"/>
      <c r="AR1480" s="12"/>
      <c r="AS1480" s="12"/>
      <c r="AT1480" s="12"/>
      <c r="AU1480" s="12"/>
      <c r="AV1480" s="12"/>
      <c r="AW1480" s="12"/>
      <c r="AX1480" s="12"/>
      <c r="AY1480" s="12"/>
      <c r="AZ1480" s="12"/>
      <c r="BA1480" s="12"/>
      <c r="BB1480" s="12"/>
      <c r="BC1480" s="12"/>
      <c r="BD1480" s="12"/>
      <c r="BF1480" s="106" t="str">
        <f t="shared" si="1"/>
        <v>#VALUE!</v>
      </c>
      <c r="BG1480" s="21">
        <f t="shared" si="2"/>
        <v>12</v>
      </c>
    </row>
    <row r="1481">
      <c r="P1481" s="161"/>
      <c r="AI1481" s="102"/>
      <c r="AO1481" s="12"/>
      <c r="AP1481" s="12"/>
      <c r="AQ1481" s="12"/>
      <c r="AR1481" s="12"/>
      <c r="AS1481" s="12"/>
      <c r="AT1481" s="12"/>
      <c r="AU1481" s="12"/>
      <c r="AV1481" s="12"/>
      <c r="AW1481" s="12"/>
      <c r="AX1481" s="12"/>
      <c r="AY1481" s="12"/>
      <c r="AZ1481" s="12"/>
      <c r="BA1481" s="12"/>
      <c r="BB1481" s="12"/>
      <c r="BC1481" s="12"/>
      <c r="BD1481" s="12"/>
      <c r="BF1481" s="106" t="str">
        <f t="shared" si="1"/>
        <v>#VALUE!</v>
      </c>
      <c r="BG1481" s="21">
        <f t="shared" si="2"/>
        <v>12</v>
      </c>
    </row>
    <row r="1482">
      <c r="P1482" s="161"/>
      <c r="AI1482" s="102"/>
      <c r="AO1482" s="12"/>
      <c r="AP1482" s="12"/>
      <c r="AQ1482" s="12"/>
      <c r="AR1482" s="12"/>
      <c r="AS1482" s="12"/>
      <c r="AT1482" s="12"/>
      <c r="AU1482" s="12"/>
      <c r="AV1482" s="12"/>
      <c r="AW1482" s="12"/>
      <c r="AX1482" s="12"/>
      <c r="AY1482" s="12"/>
      <c r="AZ1482" s="12"/>
      <c r="BA1482" s="12"/>
      <c r="BB1482" s="12"/>
      <c r="BC1482" s="12"/>
      <c r="BD1482" s="12"/>
      <c r="BF1482" s="106" t="str">
        <f t="shared" si="1"/>
        <v>#VALUE!</v>
      </c>
      <c r="BG1482" s="21">
        <f t="shared" si="2"/>
        <v>12</v>
      </c>
    </row>
    <row r="1483">
      <c r="P1483" s="161"/>
      <c r="AI1483" s="102"/>
      <c r="AO1483" s="12"/>
      <c r="AP1483" s="12"/>
      <c r="AQ1483" s="12"/>
      <c r="AR1483" s="12"/>
      <c r="AS1483" s="12"/>
      <c r="AT1483" s="12"/>
      <c r="AU1483" s="12"/>
      <c r="AV1483" s="12"/>
      <c r="AW1483" s="12"/>
      <c r="AX1483" s="12"/>
      <c r="AY1483" s="12"/>
      <c r="AZ1483" s="12"/>
      <c r="BA1483" s="12"/>
      <c r="BB1483" s="12"/>
      <c r="BC1483" s="12"/>
      <c r="BD1483" s="12"/>
      <c r="BF1483" s="106" t="str">
        <f t="shared" si="1"/>
        <v>#VALUE!</v>
      </c>
      <c r="BG1483" s="21">
        <f t="shared" si="2"/>
        <v>12</v>
      </c>
    </row>
    <row r="1484">
      <c r="P1484" s="161"/>
      <c r="AI1484" s="102"/>
      <c r="AO1484" s="12"/>
      <c r="AP1484" s="12"/>
      <c r="AQ1484" s="12"/>
      <c r="AR1484" s="12"/>
      <c r="AS1484" s="12"/>
      <c r="AT1484" s="12"/>
      <c r="AU1484" s="12"/>
      <c r="AV1484" s="12"/>
      <c r="AW1484" s="12"/>
      <c r="AX1484" s="12"/>
      <c r="AY1484" s="12"/>
      <c r="AZ1484" s="12"/>
      <c r="BA1484" s="12"/>
      <c r="BB1484" s="12"/>
      <c r="BC1484" s="12"/>
      <c r="BD1484" s="12"/>
      <c r="BF1484" s="106" t="str">
        <f t="shared" si="1"/>
        <v>#VALUE!</v>
      </c>
      <c r="BG1484" s="21">
        <f t="shared" si="2"/>
        <v>12</v>
      </c>
    </row>
    <row r="1485">
      <c r="P1485" s="161"/>
      <c r="AI1485" s="102"/>
      <c r="AO1485" s="12"/>
      <c r="AP1485" s="12"/>
      <c r="AQ1485" s="12"/>
      <c r="AR1485" s="12"/>
      <c r="AS1485" s="12"/>
      <c r="AT1485" s="12"/>
      <c r="AU1485" s="12"/>
      <c r="AV1485" s="12"/>
      <c r="AW1485" s="12"/>
      <c r="AX1485" s="12"/>
      <c r="AY1485" s="12"/>
      <c r="AZ1485" s="12"/>
      <c r="BA1485" s="12"/>
      <c r="BB1485" s="12"/>
      <c r="BC1485" s="12"/>
      <c r="BD1485" s="12"/>
      <c r="BF1485" s="106" t="str">
        <f t="shared" si="1"/>
        <v>#VALUE!</v>
      </c>
      <c r="BG1485" s="21">
        <f t="shared" si="2"/>
        <v>12</v>
      </c>
    </row>
    <row r="1486">
      <c r="P1486" s="161"/>
      <c r="AI1486" s="102"/>
      <c r="AO1486" s="12"/>
      <c r="AP1486" s="12"/>
      <c r="AQ1486" s="12"/>
      <c r="AR1486" s="12"/>
      <c r="AS1486" s="12"/>
      <c r="AT1486" s="12"/>
      <c r="AU1486" s="12"/>
      <c r="AV1486" s="12"/>
      <c r="AW1486" s="12"/>
      <c r="AX1486" s="12"/>
      <c r="AY1486" s="12"/>
      <c r="AZ1486" s="12"/>
      <c r="BA1486" s="12"/>
      <c r="BB1486" s="12"/>
      <c r="BC1486" s="12"/>
      <c r="BD1486" s="12"/>
      <c r="BF1486" s="106" t="str">
        <f t="shared" si="1"/>
        <v>#VALUE!</v>
      </c>
      <c r="BG1486" s="21">
        <f t="shared" si="2"/>
        <v>12</v>
      </c>
    </row>
    <row r="1487">
      <c r="P1487" s="161"/>
      <c r="AI1487" s="102"/>
      <c r="AO1487" s="12"/>
      <c r="AP1487" s="12"/>
      <c r="AQ1487" s="12"/>
      <c r="AR1487" s="12"/>
      <c r="AS1487" s="12"/>
      <c r="AT1487" s="12"/>
      <c r="AU1487" s="12"/>
      <c r="AV1487" s="12"/>
      <c r="AW1487" s="12"/>
      <c r="AX1487" s="12"/>
      <c r="AY1487" s="12"/>
      <c r="AZ1487" s="12"/>
      <c r="BA1487" s="12"/>
      <c r="BB1487" s="12"/>
      <c r="BC1487" s="12"/>
      <c r="BD1487" s="12"/>
      <c r="BF1487" s="106" t="str">
        <f t="shared" si="1"/>
        <v>#VALUE!</v>
      </c>
      <c r="BG1487" s="21">
        <f t="shared" si="2"/>
        <v>12</v>
      </c>
    </row>
    <row r="1488">
      <c r="P1488" s="161"/>
      <c r="AI1488" s="102"/>
      <c r="AO1488" s="12"/>
      <c r="AP1488" s="12"/>
      <c r="AQ1488" s="12"/>
      <c r="AR1488" s="12"/>
      <c r="AS1488" s="12"/>
      <c r="AT1488" s="12"/>
      <c r="AU1488" s="12"/>
      <c r="AV1488" s="12"/>
      <c r="AW1488" s="12"/>
      <c r="AX1488" s="12"/>
      <c r="AY1488" s="12"/>
      <c r="AZ1488" s="12"/>
      <c r="BA1488" s="12"/>
      <c r="BB1488" s="12"/>
      <c r="BC1488" s="12"/>
      <c r="BD1488" s="12"/>
      <c r="BF1488" s="106" t="str">
        <f t="shared" si="1"/>
        <v>#VALUE!</v>
      </c>
      <c r="BG1488" s="21">
        <f t="shared" si="2"/>
        <v>12</v>
      </c>
    </row>
    <row r="1489">
      <c r="P1489" s="161"/>
      <c r="AI1489" s="102"/>
      <c r="AO1489" s="12"/>
      <c r="AP1489" s="12"/>
      <c r="AQ1489" s="12"/>
      <c r="AR1489" s="12"/>
      <c r="AS1489" s="12"/>
      <c r="AT1489" s="12"/>
      <c r="AU1489" s="12"/>
      <c r="AV1489" s="12"/>
      <c r="AW1489" s="12"/>
      <c r="AX1489" s="12"/>
      <c r="AY1489" s="12"/>
      <c r="AZ1489" s="12"/>
      <c r="BA1489" s="12"/>
      <c r="BB1489" s="12"/>
      <c r="BC1489" s="12"/>
      <c r="BD1489" s="12"/>
      <c r="BF1489" s="106" t="str">
        <f t="shared" si="1"/>
        <v>#VALUE!</v>
      </c>
      <c r="BG1489" s="21">
        <f t="shared" si="2"/>
        <v>12</v>
      </c>
    </row>
    <row r="1490">
      <c r="P1490" s="161"/>
      <c r="AI1490" s="102"/>
      <c r="AO1490" s="12"/>
      <c r="AP1490" s="12"/>
      <c r="AQ1490" s="12"/>
      <c r="AR1490" s="12"/>
      <c r="AS1490" s="12"/>
      <c r="AT1490" s="12"/>
      <c r="AU1490" s="12"/>
      <c r="AV1490" s="12"/>
      <c r="AW1490" s="12"/>
      <c r="AX1490" s="12"/>
      <c r="AY1490" s="12"/>
      <c r="AZ1490" s="12"/>
      <c r="BA1490" s="12"/>
      <c r="BB1490" s="12"/>
      <c r="BC1490" s="12"/>
      <c r="BD1490" s="12"/>
      <c r="BF1490" s="106" t="str">
        <f t="shared" si="1"/>
        <v>#VALUE!</v>
      </c>
      <c r="BG1490" s="21">
        <f t="shared" si="2"/>
        <v>12</v>
      </c>
    </row>
    <row r="1491">
      <c r="P1491" s="161"/>
      <c r="AI1491" s="102"/>
      <c r="AO1491" s="12"/>
      <c r="AP1491" s="12"/>
      <c r="AQ1491" s="12"/>
      <c r="AR1491" s="12"/>
      <c r="AS1491" s="12"/>
      <c r="AT1491" s="12"/>
      <c r="AU1491" s="12"/>
      <c r="AV1491" s="12"/>
      <c r="AW1491" s="12"/>
      <c r="AX1491" s="12"/>
      <c r="AY1491" s="12"/>
      <c r="AZ1491" s="12"/>
      <c r="BA1491" s="12"/>
      <c r="BB1491" s="12"/>
      <c r="BC1491" s="12"/>
      <c r="BD1491" s="12"/>
      <c r="BF1491" s="106" t="str">
        <f t="shared" si="1"/>
        <v>#VALUE!</v>
      </c>
      <c r="BG1491" s="21">
        <f t="shared" si="2"/>
        <v>12</v>
      </c>
    </row>
    <row r="1492">
      <c r="P1492" s="161"/>
      <c r="AI1492" s="102"/>
      <c r="AO1492" s="12"/>
      <c r="AP1492" s="12"/>
      <c r="AQ1492" s="12"/>
      <c r="AR1492" s="12"/>
      <c r="AS1492" s="12"/>
      <c r="AT1492" s="12"/>
      <c r="AU1492" s="12"/>
      <c r="AV1492" s="12"/>
      <c r="AW1492" s="12"/>
      <c r="AX1492" s="12"/>
      <c r="AY1492" s="12"/>
      <c r="AZ1492" s="12"/>
      <c r="BA1492" s="12"/>
      <c r="BB1492" s="12"/>
      <c r="BC1492" s="12"/>
      <c r="BD1492" s="12"/>
      <c r="BF1492" s="106" t="str">
        <f t="shared" si="1"/>
        <v>#VALUE!</v>
      </c>
      <c r="BG1492" s="21">
        <f t="shared" si="2"/>
        <v>12</v>
      </c>
    </row>
    <row r="1493">
      <c r="P1493" s="161"/>
      <c r="AI1493" s="102"/>
      <c r="AO1493" s="12"/>
      <c r="AP1493" s="12"/>
      <c r="AQ1493" s="12"/>
      <c r="AR1493" s="12"/>
      <c r="AS1493" s="12"/>
      <c r="AT1493" s="12"/>
      <c r="AU1493" s="12"/>
      <c r="AV1493" s="12"/>
      <c r="AW1493" s="12"/>
      <c r="AX1493" s="12"/>
      <c r="AY1493" s="12"/>
      <c r="AZ1493" s="12"/>
      <c r="BA1493" s="12"/>
      <c r="BB1493" s="12"/>
      <c r="BC1493" s="12"/>
      <c r="BD1493" s="12"/>
      <c r="BF1493" s="106" t="str">
        <f t="shared" si="1"/>
        <v>#VALUE!</v>
      </c>
      <c r="BG1493" s="21">
        <f t="shared" si="2"/>
        <v>12</v>
      </c>
    </row>
    <row r="1494">
      <c r="P1494" s="161"/>
      <c r="AI1494" s="102"/>
      <c r="AO1494" s="12"/>
      <c r="AP1494" s="12"/>
      <c r="AQ1494" s="12"/>
      <c r="AR1494" s="12"/>
      <c r="AS1494" s="12"/>
      <c r="AT1494" s="12"/>
      <c r="AU1494" s="12"/>
      <c r="AV1494" s="12"/>
      <c r="AW1494" s="12"/>
      <c r="AX1494" s="12"/>
      <c r="AY1494" s="12"/>
      <c r="AZ1494" s="12"/>
      <c r="BA1494" s="12"/>
      <c r="BB1494" s="12"/>
      <c r="BC1494" s="12"/>
      <c r="BD1494" s="12"/>
      <c r="BF1494" s="106" t="str">
        <f t="shared" si="1"/>
        <v>#VALUE!</v>
      </c>
      <c r="BG1494" s="21">
        <f t="shared" si="2"/>
        <v>12</v>
      </c>
    </row>
    <row r="1495">
      <c r="P1495" s="161"/>
      <c r="AI1495" s="102"/>
      <c r="AO1495" s="12"/>
      <c r="AP1495" s="12"/>
      <c r="AQ1495" s="12"/>
      <c r="AR1495" s="12"/>
      <c r="AS1495" s="12"/>
      <c r="AT1495" s="12"/>
      <c r="AU1495" s="12"/>
      <c r="AV1495" s="12"/>
      <c r="AW1495" s="12"/>
      <c r="AX1495" s="12"/>
      <c r="AY1495" s="12"/>
      <c r="AZ1495" s="12"/>
      <c r="BA1495" s="12"/>
      <c r="BB1495" s="12"/>
      <c r="BC1495" s="12"/>
      <c r="BD1495" s="12"/>
      <c r="BF1495" s="106" t="str">
        <f t="shared" si="1"/>
        <v>#VALUE!</v>
      </c>
      <c r="BG1495" s="21">
        <f t="shared" si="2"/>
        <v>12</v>
      </c>
    </row>
    <row r="1496">
      <c r="P1496" s="161"/>
      <c r="AI1496" s="102"/>
      <c r="AO1496" s="12"/>
      <c r="AP1496" s="12"/>
      <c r="AQ1496" s="12"/>
      <c r="AR1496" s="12"/>
      <c r="AS1496" s="12"/>
      <c r="AT1496" s="12"/>
      <c r="AU1496" s="12"/>
      <c r="AV1496" s="12"/>
      <c r="AW1496" s="12"/>
      <c r="AX1496" s="12"/>
      <c r="AY1496" s="12"/>
      <c r="AZ1496" s="12"/>
      <c r="BA1496" s="12"/>
      <c r="BB1496" s="12"/>
      <c r="BC1496" s="12"/>
      <c r="BD1496" s="12"/>
      <c r="BF1496" s="106" t="str">
        <f t="shared" si="1"/>
        <v>#VALUE!</v>
      </c>
      <c r="BG1496" s="21">
        <f t="shared" si="2"/>
        <v>12</v>
      </c>
    </row>
    <row r="1497">
      <c r="P1497" s="161"/>
      <c r="AI1497" s="102"/>
      <c r="AO1497" s="12"/>
      <c r="AP1497" s="12"/>
      <c r="AQ1497" s="12"/>
      <c r="AR1497" s="12"/>
      <c r="AS1497" s="12"/>
      <c r="AT1497" s="12"/>
      <c r="AU1497" s="12"/>
      <c r="AV1497" s="12"/>
      <c r="AW1497" s="12"/>
      <c r="AX1497" s="12"/>
      <c r="AY1497" s="12"/>
      <c r="AZ1497" s="12"/>
      <c r="BA1497" s="12"/>
      <c r="BB1497" s="12"/>
      <c r="BC1497" s="12"/>
      <c r="BD1497" s="12"/>
      <c r="BF1497" s="106" t="str">
        <f t="shared" si="1"/>
        <v>#VALUE!</v>
      </c>
      <c r="BG1497" s="21">
        <f t="shared" si="2"/>
        <v>12</v>
      </c>
    </row>
    <row r="1498">
      <c r="P1498" s="161"/>
      <c r="AI1498" s="102"/>
      <c r="AO1498" s="12"/>
      <c r="AP1498" s="12"/>
      <c r="AQ1498" s="12"/>
      <c r="AR1498" s="12"/>
      <c r="AS1498" s="12"/>
      <c r="AT1498" s="12"/>
      <c r="AU1498" s="12"/>
      <c r="AV1498" s="12"/>
      <c r="AW1498" s="12"/>
      <c r="AX1498" s="12"/>
      <c r="AY1498" s="12"/>
      <c r="AZ1498" s="12"/>
      <c r="BA1498" s="12"/>
      <c r="BB1498" s="12"/>
      <c r="BC1498" s="12"/>
      <c r="BD1498" s="12"/>
      <c r="BF1498" s="106" t="str">
        <f t="shared" si="1"/>
        <v>#VALUE!</v>
      </c>
      <c r="BG1498" s="21">
        <f t="shared" si="2"/>
        <v>12</v>
      </c>
    </row>
    <row r="1499">
      <c r="P1499" s="161"/>
      <c r="AI1499" s="102"/>
      <c r="AO1499" s="12"/>
      <c r="AP1499" s="12"/>
      <c r="AQ1499" s="12"/>
      <c r="AR1499" s="12"/>
      <c r="AS1499" s="12"/>
      <c r="AT1499" s="12"/>
      <c r="AU1499" s="12"/>
      <c r="AV1499" s="12"/>
      <c r="AW1499" s="12"/>
      <c r="AX1499" s="12"/>
      <c r="AY1499" s="12"/>
      <c r="AZ1499" s="12"/>
      <c r="BA1499" s="12"/>
      <c r="BB1499" s="12"/>
      <c r="BC1499" s="12"/>
      <c r="BD1499" s="12"/>
      <c r="BF1499" s="106" t="str">
        <f t="shared" si="1"/>
        <v>#VALUE!</v>
      </c>
      <c r="BG1499" s="21">
        <f t="shared" si="2"/>
        <v>12</v>
      </c>
    </row>
    <row r="1500">
      <c r="P1500" s="161"/>
      <c r="AI1500" s="102"/>
      <c r="AO1500" s="12"/>
      <c r="AP1500" s="12"/>
      <c r="AQ1500" s="12"/>
      <c r="AR1500" s="12"/>
      <c r="AS1500" s="12"/>
      <c r="AT1500" s="12"/>
      <c r="AU1500" s="12"/>
      <c r="AV1500" s="12"/>
      <c r="AW1500" s="12"/>
      <c r="AX1500" s="12"/>
      <c r="AY1500" s="12"/>
      <c r="AZ1500" s="12"/>
      <c r="BA1500" s="12"/>
      <c r="BB1500" s="12"/>
      <c r="BC1500" s="12"/>
      <c r="BD1500" s="12"/>
      <c r="BF1500" s="106" t="str">
        <f t="shared" si="1"/>
        <v>#VALUE!</v>
      </c>
      <c r="BG1500" s="21">
        <f t="shared" si="2"/>
        <v>12</v>
      </c>
    </row>
    <row r="1501">
      <c r="P1501" s="161"/>
      <c r="AI1501" s="102"/>
      <c r="AO1501" s="12"/>
      <c r="AP1501" s="12"/>
      <c r="AQ1501" s="12"/>
      <c r="AR1501" s="12"/>
      <c r="AS1501" s="12"/>
      <c r="AT1501" s="12"/>
      <c r="AU1501" s="12"/>
      <c r="AV1501" s="12"/>
      <c r="AW1501" s="12"/>
      <c r="AX1501" s="12"/>
      <c r="AY1501" s="12"/>
      <c r="AZ1501" s="12"/>
      <c r="BA1501" s="12"/>
      <c r="BB1501" s="12"/>
      <c r="BC1501" s="12"/>
      <c r="BD1501" s="12"/>
      <c r="BF1501" s="106" t="str">
        <f t="shared" si="1"/>
        <v>#VALUE!</v>
      </c>
      <c r="BG1501" s="21">
        <f t="shared" si="2"/>
        <v>12</v>
      </c>
    </row>
    <row r="1502">
      <c r="P1502" s="161"/>
      <c r="AI1502" s="102"/>
      <c r="AO1502" s="12"/>
      <c r="AP1502" s="12"/>
      <c r="AQ1502" s="12"/>
      <c r="AR1502" s="12"/>
      <c r="AS1502" s="12"/>
      <c r="AT1502" s="12"/>
      <c r="AU1502" s="12"/>
      <c r="AV1502" s="12"/>
      <c r="AW1502" s="12"/>
      <c r="AX1502" s="12"/>
      <c r="AY1502" s="12"/>
      <c r="AZ1502" s="12"/>
      <c r="BA1502" s="12"/>
      <c r="BB1502" s="12"/>
      <c r="BC1502" s="12"/>
      <c r="BD1502" s="12"/>
      <c r="BF1502" s="106" t="str">
        <f t="shared" si="1"/>
        <v>#VALUE!</v>
      </c>
      <c r="BG1502" s="21">
        <f t="shared" si="2"/>
        <v>12</v>
      </c>
    </row>
    <row r="1503">
      <c r="P1503" s="161"/>
      <c r="AI1503" s="102"/>
      <c r="AO1503" s="12"/>
      <c r="AP1503" s="12"/>
      <c r="AQ1503" s="12"/>
      <c r="AR1503" s="12"/>
      <c r="AS1503" s="12"/>
      <c r="AT1503" s="12"/>
      <c r="AU1503" s="12"/>
      <c r="AV1503" s="12"/>
      <c r="AW1503" s="12"/>
      <c r="AX1503" s="12"/>
      <c r="AY1503" s="12"/>
      <c r="AZ1503" s="12"/>
      <c r="BA1503" s="12"/>
      <c r="BB1503" s="12"/>
      <c r="BC1503" s="12"/>
      <c r="BD1503" s="12"/>
      <c r="BF1503" s="106" t="str">
        <f t="shared" si="1"/>
        <v>#VALUE!</v>
      </c>
      <c r="BG1503" s="21">
        <f t="shared" si="2"/>
        <v>12</v>
      </c>
    </row>
    <row r="1504">
      <c r="P1504" s="161"/>
      <c r="AI1504" s="102"/>
      <c r="AO1504" s="12"/>
      <c r="AP1504" s="12"/>
      <c r="AQ1504" s="12"/>
      <c r="AR1504" s="12"/>
      <c r="AS1504" s="12"/>
      <c r="AT1504" s="12"/>
      <c r="AU1504" s="12"/>
      <c r="AV1504" s="12"/>
      <c r="AW1504" s="12"/>
      <c r="AX1504" s="12"/>
      <c r="AY1504" s="12"/>
      <c r="AZ1504" s="12"/>
      <c r="BA1504" s="12"/>
      <c r="BB1504" s="12"/>
      <c r="BC1504" s="12"/>
      <c r="BD1504" s="12"/>
      <c r="BF1504" s="106" t="str">
        <f t="shared" si="1"/>
        <v>#VALUE!</v>
      </c>
      <c r="BG1504" s="21">
        <f t="shared" si="2"/>
        <v>12</v>
      </c>
    </row>
    <row r="1505">
      <c r="P1505" s="161"/>
      <c r="AI1505" s="102"/>
      <c r="AO1505" s="12"/>
      <c r="AP1505" s="12"/>
      <c r="AQ1505" s="12"/>
      <c r="AR1505" s="12"/>
      <c r="AS1505" s="12"/>
      <c r="AT1505" s="12"/>
      <c r="AU1505" s="12"/>
      <c r="AV1505" s="12"/>
      <c r="AW1505" s="12"/>
      <c r="AX1505" s="12"/>
      <c r="AY1505" s="12"/>
      <c r="AZ1505" s="12"/>
      <c r="BA1505" s="12"/>
      <c r="BB1505" s="12"/>
      <c r="BC1505" s="12"/>
      <c r="BD1505" s="12"/>
      <c r="BF1505" s="106" t="str">
        <f t="shared" si="1"/>
        <v>#VALUE!</v>
      </c>
      <c r="BG1505" s="21">
        <f t="shared" si="2"/>
        <v>12</v>
      </c>
    </row>
    <row r="1506">
      <c r="P1506" s="161"/>
      <c r="AI1506" s="102"/>
      <c r="AO1506" s="12"/>
      <c r="AP1506" s="12"/>
      <c r="AQ1506" s="12"/>
      <c r="AR1506" s="12"/>
      <c r="AS1506" s="12"/>
      <c r="AT1506" s="12"/>
      <c r="AU1506" s="12"/>
      <c r="AV1506" s="12"/>
      <c r="AW1506" s="12"/>
      <c r="AX1506" s="12"/>
      <c r="AY1506" s="12"/>
      <c r="AZ1506" s="12"/>
      <c r="BA1506" s="12"/>
      <c r="BB1506" s="12"/>
      <c r="BC1506" s="12"/>
      <c r="BD1506" s="12"/>
      <c r="BF1506" s="106" t="str">
        <f t="shared" si="1"/>
        <v>#VALUE!</v>
      </c>
      <c r="BG1506" s="21">
        <f t="shared" si="2"/>
        <v>12</v>
      </c>
    </row>
    <row r="1507">
      <c r="P1507" s="161"/>
      <c r="AI1507" s="102"/>
      <c r="AO1507" s="12"/>
      <c r="AP1507" s="12"/>
      <c r="AQ1507" s="12"/>
      <c r="AR1507" s="12"/>
      <c r="AS1507" s="12"/>
      <c r="AT1507" s="12"/>
      <c r="AU1507" s="12"/>
      <c r="AV1507" s="12"/>
      <c r="AW1507" s="12"/>
      <c r="AX1507" s="12"/>
      <c r="AY1507" s="12"/>
      <c r="AZ1507" s="12"/>
      <c r="BA1507" s="12"/>
      <c r="BB1507" s="12"/>
      <c r="BC1507" s="12"/>
      <c r="BD1507" s="12"/>
      <c r="BF1507" s="106" t="str">
        <f t="shared" si="1"/>
        <v>#VALUE!</v>
      </c>
      <c r="BG1507" s="21">
        <f t="shared" si="2"/>
        <v>12</v>
      </c>
    </row>
    <row r="1508">
      <c r="P1508" s="161"/>
      <c r="AI1508" s="102"/>
      <c r="AO1508" s="12"/>
      <c r="AP1508" s="12"/>
      <c r="AQ1508" s="12"/>
      <c r="AR1508" s="12"/>
      <c r="AS1508" s="12"/>
      <c r="AT1508" s="12"/>
      <c r="AU1508" s="12"/>
      <c r="AV1508" s="12"/>
      <c r="AW1508" s="12"/>
      <c r="AX1508" s="12"/>
      <c r="AY1508" s="12"/>
      <c r="AZ1508" s="12"/>
      <c r="BA1508" s="12"/>
      <c r="BB1508" s="12"/>
      <c r="BC1508" s="12"/>
      <c r="BD1508" s="12"/>
      <c r="BF1508" s="106" t="str">
        <f t="shared" si="1"/>
        <v>#VALUE!</v>
      </c>
      <c r="BG1508" s="21">
        <f t="shared" si="2"/>
        <v>12</v>
      </c>
    </row>
    <row r="1509">
      <c r="P1509" s="161"/>
      <c r="AI1509" s="102"/>
      <c r="AO1509" s="12"/>
      <c r="AP1509" s="12"/>
      <c r="AQ1509" s="12"/>
      <c r="AR1509" s="12"/>
      <c r="AS1509" s="12"/>
      <c r="AT1509" s="12"/>
      <c r="AU1509" s="12"/>
      <c r="AV1509" s="12"/>
      <c r="AW1509" s="12"/>
      <c r="AX1509" s="12"/>
      <c r="AY1509" s="12"/>
      <c r="AZ1509" s="12"/>
      <c r="BA1509" s="12"/>
      <c r="BB1509" s="12"/>
      <c r="BC1509" s="12"/>
      <c r="BD1509" s="12"/>
      <c r="BF1509" s="106" t="str">
        <f t="shared" si="1"/>
        <v>#VALUE!</v>
      </c>
      <c r="BG1509" s="21">
        <f t="shared" si="2"/>
        <v>12</v>
      </c>
    </row>
    <row r="1510">
      <c r="P1510" s="161"/>
      <c r="AI1510" s="102"/>
      <c r="AO1510" s="12"/>
      <c r="AP1510" s="12"/>
      <c r="AQ1510" s="12"/>
      <c r="AR1510" s="12"/>
      <c r="AS1510" s="12"/>
      <c r="AT1510" s="12"/>
      <c r="AU1510" s="12"/>
      <c r="AV1510" s="12"/>
      <c r="AW1510" s="12"/>
      <c r="AX1510" s="12"/>
      <c r="AY1510" s="12"/>
      <c r="AZ1510" s="12"/>
      <c r="BA1510" s="12"/>
      <c r="BB1510" s="12"/>
      <c r="BC1510" s="12"/>
      <c r="BD1510" s="12"/>
      <c r="BF1510" s="106" t="str">
        <f t="shared" si="1"/>
        <v>#VALUE!</v>
      </c>
      <c r="BG1510" s="21">
        <f t="shared" si="2"/>
        <v>12</v>
      </c>
    </row>
    <row r="1511">
      <c r="P1511" s="161"/>
      <c r="AI1511" s="102"/>
      <c r="AO1511" s="12"/>
      <c r="AP1511" s="12"/>
      <c r="AQ1511" s="12"/>
      <c r="AR1511" s="12"/>
      <c r="AS1511" s="12"/>
      <c r="AT1511" s="12"/>
      <c r="AU1511" s="12"/>
      <c r="AV1511" s="12"/>
      <c r="AW1511" s="12"/>
      <c r="AX1511" s="12"/>
      <c r="AY1511" s="12"/>
      <c r="AZ1511" s="12"/>
      <c r="BA1511" s="12"/>
      <c r="BB1511" s="12"/>
      <c r="BC1511" s="12"/>
      <c r="BD1511" s="12"/>
      <c r="BF1511" s="106" t="str">
        <f t="shared" si="1"/>
        <v>#VALUE!</v>
      </c>
      <c r="BG1511" s="21">
        <f t="shared" si="2"/>
        <v>12</v>
      </c>
    </row>
    <row r="1512">
      <c r="P1512" s="161"/>
      <c r="AI1512" s="102"/>
      <c r="AO1512" s="12"/>
      <c r="AP1512" s="12"/>
      <c r="AQ1512" s="12"/>
      <c r="AR1512" s="12"/>
      <c r="AS1512" s="12"/>
      <c r="AT1512" s="12"/>
      <c r="AU1512" s="12"/>
      <c r="AV1512" s="12"/>
      <c r="AW1512" s="12"/>
      <c r="AX1512" s="12"/>
      <c r="AY1512" s="12"/>
      <c r="AZ1512" s="12"/>
      <c r="BA1512" s="12"/>
      <c r="BB1512" s="12"/>
      <c r="BC1512" s="12"/>
      <c r="BD1512" s="12"/>
      <c r="BF1512" s="106" t="str">
        <f t="shared" si="1"/>
        <v>#VALUE!</v>
      </c>
      <c r="BG1512" s="21">
        <f t="shared" si="2"/>
        <v>12</v>
      </c>
    </row>
    <row r="1513">
      <c r="P1513" s="161"/>
      <c r="AI1513" s="102"/>
      <c r="AO1513" s="12"/>
      <c r="AP1513" s="12"/>
      <c r="AQ1513" s="12"/>
      <c r="AR1513" s="12"/>
      <c r="AS1513" s="12"/>
      <c r="AT1513" s="12"/>
      <c r="AU1513" s="12"/>
      <c r="AV1513" s="12"/>
      <c r="AW1513" s="12"/>
      <c r="AX1513" s="12"/>
      <c r="AY1513" s="12"/>
      <c r="AZ1513" s="12"/>
      <c r="BA1513" s="12"/>
      <c r="BB1513" s="12"/>
      <c r="BC1513" s="12"/>
      <c r="BD1513" s="12"/>
      <c r="BF1513" s="106" t="str">
        <f t="shared" si="1"/>
        <v>#VALUE!</v>
      </c>
      <c r="BG1513" s="21">
        <f t="shared" si="2"/>
        <v>12</v>
      </c>
    </row>
    <row r="1514">
      <c r="P1514" s="161"/>
      <c r="AI1514" s="102"/>
      <c r="AO1514" s="12"/>
      <c r="AP1514" s="12"/>
      <c r="AQ1514" s="12"/>
      <c r="AR1514" s="12"/>
      <c r="AS1514" s="12"/>
      <c r="AT1514" s="12"/>
      <c r="AU1514" s="12"/>
      <c r="AV1514" s="12"/>
      <c r="AW1514" s="12"/>
      <c r="AX1514" s="12"/>
      <c r="AY1514" s="12"/>
      <c r="AZ1514" s="12"/>
      <c r="BA1514" s="12"/>
      <c r="BB1514" s="12"/>
      <c r="BC1514" s="12"/>
      <c r="BD1514" s="12"/>
      <c r="BF1514" s="106" t="str">
        <f t="shared" si="1"/>
        <v>#VALUE!</v>
      </c>
      <c r="BG1514" s="21">
        <f t="shared" si="2"/>
        <v>12</v>
      </c>
    </row>
    <row r="1515">
      <c r="P1515" s="161"/>
      <c r="AI1515" s="102"/>
      <c r="AO1515" s="12"/>
      <c r="AP1515" s="12"/>
      <c r="AQ1515" s="12"/>
      <c r="AR1515" s="12"/>
      <c r="AS1515" s="12"/>
      <c r="AT1515" s="12"/>
      <c r="AU1515" s="12"/>
      <c r="AV1515" s="12"/>
      <c r="AW1515" s="12"/>
      <c r="AX1515" s="12"/>
      <c r="AY1515" s="12"/>
      <c r="AZ1515" s="12"/>
      <c r="BA1515" s="12"/>
      <c r="BB1515" s="12"/>
      <c r="BC1515" s="12"/>
      <c r="BD1515" s="12"/>
      <c r="BF1515" s="106" t="str">
        <f t="shared" si="1"/>
        <v>#VALUE!</v>
      </c>
      <c r="BG1515" s="21">
        <f t="shared" si="2"/>
        <v>12</v>
      </c>
    </row>
    <row r="1516">
      <c r="P1516" s="161"/>
      <c r="AI1516" s="102"/>
      <c r="AO1516" s="12"/>
      <c r="AP1516" s="12"/>
      <c r="AQ1516" s="12"/>
      <c r="AR1516" s="12"/>
      <c r="AS1516" s="12"/>
      <c r="AT1516" s="12"/>
      <c r="AU1516" s="12"/>
      <c r="AV1516" s="12"/>
      <c r="AW1516" s="12"/>
      <c r="AX1516" s="12"/>
      <c r="AY1516" s="12"/>
      <c r="AZ1516" s="12"/>
      <c r="BA1516" s="12"/>
      <c r="BB1516" s="12"/>
      <c r="BC1516" s="12"/>
      <c r="BD1516" s="12"/>
      <c r="BF1516" s="106" t="str">
        <f t="shared" si="1"/>
        <v>#VALUE!</v>
      </c>
      <c r="BG1516" s="21">
        <f t="shared" si="2"/>
        <v>12</v>
      </c>
    </row>
    <row r="1517">
      <c r="P1517" s="161"/>
      <c r="AI1517" s="102"/>
      <c r="AO1517" s="12"/>
      <c r="AP1517" s="12"/>
      <c r="AQ1517" s="12"/>
      <c r="AR1517" s="12"/>
      <c r="AS1517" s="12"/>
      <c r="AT1517" s="12"/>
      <c r="AU1517" s="12"/>
      <c r="AV1517" s="12"/>
      <c r="AW1517" s="12"/>
      <c r="AX1517" s="12"/>
      <c r="AY1517" s="12"/>
      <c r="AZ1517" s="12"/>
      <c r="BA1517" s="12"/>
      <c r="BB1517" s="12"/>
      <c r="BC1517" s="12"/>
      <c r="BD1517" s="12"/>
      <c r="BF1517" s="106" t="str">
        <f t="shared" si="1"/>
        <v>#VALUE!</v>
      </c>
      <c r="BG1517" s="21">
        <f t="shared" si="2"/>
        <v>12</v>
      </c>
    </row>
    <row r="1518">
      <c r="P1518" s="161"/>
      <c r="AI1518" s="102"/>
      <c r="AO1518" s="12"/>
      <c r="AP1518" s="12"/>
      <c r="AQ1518" s="12"/>
      <c r="AR1518" s="12"/>
      <c r="AS1518" s="12"/>
      <c r="AT1518" s="12"/>
      <c r="AU1518" s="12"/>
      <c r="AV1518" s="12"/>
      <c r="AW1518" s="12"/>
      <c r="AX1518" s="12"/>
      <c r="AY1518" s="12"/>
      <c r="AZ1518" s="12"/>
      <c r="BA1518" s="12"/>
      <c r="BB1518" s="12"/>
      <c r="BC1518" s="12"/>
      <c r="BD1518" s="12"/>
      <c r="BF1518" s="106" t="str">
        <f t="shared" si="1"/>
        <v>#VALUE!</v>
      </c>
      <c r="BG1518" s="21">
        <f t="shared" si="2"/>
        <v>12</v>
      </c>
    </row>
    <row r="1519">
      <c r="P1519" s="161"/>
      <c r="AI1519" s="102"/>
      <c r="AO1519" s="12"/>
      <c r="AP1519" s="12"/>
      <c r="AQ1519" s="12"/>
      <c r="AR1519" s="12"/>
      <c r="AS1519" s="12"/>
      <c r="AT1519" s="12"/>
      <c r="AU1519" s="12"/>
      <c r="AV1519" s="12"/>
      <c r="AW1519" s="12"/>
      <c r="AX1519" s="12"/>
      <c r="AY1519" s="12"/>
      <c r="AZ1519" s="12"/>
      <c r="BA1519" s="12"/>
      <c r="BB1519" s="12"/>
      <c r="BC1519" s="12"/>
      <c r="BD1519" s="12"/>
      <c r="BF1519" s="106" t="str">
        <f t="shared" si="1"/>
        <v>#VALUE!</v>
      </c>
      <c r="BG1519" s="21">
        <f t="shared" si="2"/>
        <v>12</v>
      </c>
    </row>
    <row r="1520">
      <c r="P1520" s="161"/>
      <c r="AI1520" s="102"/>
      <c r="AO1520" s="12"/>
      <c r="AP1520" s="12"/>
      <c r="AQ1520" s="12"/>
      <c r="AR1520" s="12"/>
      <c r="AS1520" s="12"/>
      <c r="AT1520" s="12"/>
      <c r="AU1520" s="12"/>
      <c r="AV1520" s="12"/>
      <c r="AW1520" s="12"/>
      <c r="AX1520" s="12"/>
      <c r="AY1520" s="12"/>
      <c r="AZ1520" s="12"/>
      <c r="BA1520" s="12"/>
      <c r="BB1520" s="12"/>
      <c r="BC1520" s="12"/>
      <c r="BD1520" s="12"/>
      <c r="BF1520" s="106" t="str">
        <f t="shared" si="1"/>
        <v>#VALUE!</v>
      </c>
      <c r="BG1520" s="21">
        <f t="shared" si="2"/>
        <v>12</v>
      </c>
    </row>
    <row r="1521">
      <c r="P1521" s="161"/>
      <c r="AI1521" s="102"/>
      <c r="AO1521" s="12"/>
      <c r="AP1521" s="12"/>
      <c r="AQ1521" s="12"/>
      <c r="AR1521" s="12"/>
      <c r="AS1521" s="12"/>
      <c r="AT1521" s="12"/>
      <c r="AU1521" s="12"/>
      <c r="AV1521" s="12"/>
      <c r="AW1521" s="12"/>
      <c r="AX1521" s="12"/>
      <c r="AY1521" s="12"/>
      <c r="AZ1521" s="12"/>
      <c r="BA1521" s="12"/>
      <c r="BB1521" s="12"/>
      <c r="BC1521" s="12"/>
      <c r="BD1521" s="12"/>
      <c r="BF1521" s="106" t="str">
        <f t="shared" si="1"/>
        <v>#VALUE!</v>
      </c>
      <c r="BG1521" s="21">
        <f t="shared" si="2"/>
        <v>12</v>
      </c>
    </row>
    <row r="1522">
      <c r="P1522" s="161"/>
      <c r="AI1522" s="102"/>
      <c r="AO1522" s="12"/>
      <c r="AP1522" s="12"/>
      <c r="AQ1522" s="12"/>
      <c r="AR1522" s="12"/>
      <c r="AS1522" s="12"/>
      <c r="AT1522" s="12"/>
      <c r="AU1522" s="12"/>
      <c r="AV1522" s="12"/>
      <c r="AW1522" s="12"/>
      <c r="AX1522" s="12"/>
      <c r="AY1522" s="12"/>
      <c r="AZ1522" s="12"/>
      <c r="BA1522" s="12"/>
      <c r="BB1522" s="12"/>
      <c r="BC1522" s="12"/>
      <c r="BD1522" s="12"/>
      <c r="BF1522" s="106" t="str">
        <f t="shared" si="1"/>
        <v>#VALUE!</v>
      </c>
      <c r="BG1522" s="21">
        <f t="shared" si="2"/>
        <v>12</v>
      </c>
    </row>
    <row r="1523">
      <c r="P1523" s="161"/>
      <c r="AI1523" s="102"/>
      <c r="AO1523" s="12"/>
      <c r="AP1523" s="12"/>
      <c r="AQ1523" s="12"/>
      <c r="AR1523" s="12"/>
      <c r="AS1523" s="12"/>
      <c r="AT1523" s="12"/>
      <c r="AU1523" s="12"/>
      <c r="AV1523" s="12"/>
      <c r="AW1523" s="12"/>
      <c r="AX1523" s="12"/>
      <c r="AY1523" s="12"/>
      <c r="AZ1523" s="12"/>
      <c r="BA1523" s="12"/>
      <c r="BB1523" s="12"/>
      <c r="BC1523" s="12"/>
      <c r="BD1523" s="12"/>
      <c r="BF1523" s="106" t="str">
        <f t="shared" si="1"/>
        <v>#VALUE!</v>
      </c>
      <c r="BG1523" s="21">
        <f t="shared" si="2"/>
        <v>12</v>
      </c>
    </row>
    <row r="1524">
      <c r="P1524" s="161"/>
      <c r="AI1524" s="102"/>
      <c r="AO1524" s="12"/>
      <c r="AP1524" s="12"/>
      <c r="AQ1524" s="12"/>
      <c r="AR1524" s="12"/>
      <c r="AS1524" s="12"/>
      <c r="AT1524" s="12"/>
      <c r="AU1524" s="12"/>
      <c r="AV1524" s="12"/>
      <c r="AW1524" s="12"/>
      <c r="AX1524" s="12"/>
      <c r="AY1524" s="12"/>
      <c r="AZ1524" s="12"/>
      <c r="BA1524" s="12"/>
      <c r="BB1524" s="12"/>
      <c r="BC1524" s="12"/>
      <c r="BD1524" s="12"/>
      <c r="BF1524" s="106" t="str">
        <f t="shared" si="1"/>
        <v>#VALUE!</v>
      </c>
      <c r="BG1524" s="21">
        <f t="shared" si="2"/>
        <v>12</v>
      </c>
    </row>
    <row r="1525">
      <c r="P1525" s="161"/>
      <c r="AI1525" s="102"/>
      <c r="AO1525" s="12"/>
      <c r="AP1525" s="12"/>
      <c r="AQ1525" s="12"/>
      <c r="AR1525" s="12"/>
      <c r="AS1525" s="12"/>
      <c r="AT1525" s="12"/>
      <c r="AU1525" s="12"/>
      <c r="AV1525" s="12"/>
      <c r="AW1525" s="12"/>
      <c r="AX1525" s="12"/>
      <c r="AY1525" s="12"/>
      <c r="AZ1525" s="12"/>
      <c r="BA1525" s="12"/>
      <c r="BB1525" s="12"/>
      <c r="BC1525" s="12"/>
      <c r="BD1525" s="12"/>
      <c r="BF1525" s="106" t="str">
        <f t="shared" si="1"/>
        <v>#VALUE!</v>
      </c>
      <c r="BG1525" s="21">
        <f t="shared" si="2"/>
        <v>12</v>
      </c>
    </row>
    <row r="1526">
      <c r="P1526" s="161"/>
      <c r="AI1526" s="102"/>
      <c r="AO1526" s="12"/>
      <c r="AP1526" s="12"/>
      <c r="AQ1526" s="12"/>
      <c r="AR1526" s="12"/>
      <c r="AS1526" s="12"/>
      <c r="AT1526" s="12"/>
      <c r="AU1526" s="12"/>
      <c r="AV1526" s="12"/>
      <c r="AW1526" s="12"/>
      <c r="AX1526" s="12"/>
      <c r="AY1526" s="12"/>
      <c r="AZ1526" s="12"/>
      <c r="BA1526" s="12"/>
      <c r="BB1526" s="12"/>
      <c r="BC1526" s="12"/>
      <c r="BD1526" s="12"/>
      <c r="BF1526" s="106" t="str">
        <f t="shared" si="1"/>
        <v>#VALUE!</v>
      </c>
      <c r="BG1526" s="21">
        <f t="shared" si="2"/>
        <v>12</v>
      </c>
    </row>
    <row r="1527">
      <c r="P1527" s="161"/>
      <c r="AI1527" s="102"/>
      <c r="AO1527" s="12"/>
      <c r="AP1527" s="12"/>
      <c r="AQ1527" s="12"/>
      <c r="AR1527" s="12"/>
      <c r="AS1527" s="12"/>
      <c r="AT1527" s="12"/>
      <c r="AU1527" s="12"/>
      <c r="AV1527" s="12"/>
      <c r="AW1527" s="12"/>
      <c r="AX1527" s="12"/>
      <c r="AY1527" s="12"/>
      <c r="AZ1527" s="12"/>
      <c r="BA1527" s="12"/>
      <c r="BB1527" s="12"/>
      <c r="BC1527" s="12"/>
      <c r="BD1527" s="12"/>
      <c r="BF1527" s="106" t="str">
        <f t="shared" si="1"/>
        <v>#VALUE!</v>
      </c>
      <c r="BG1527" s="21">
        <f t="shared" si="2"/>
        <v>12</v>
      </c>
    </row>
    <row r="1528">
      <c r="P1528" s="161"/>
      <c r="AI1528" s="102"/>
      <c r="AO1528" s="12"/>
      <c r="AP1528" s="12"/>
      <c r="AQ1528" s="12"/>
      <c r="AR1528" s="12"/>
      <c r="AS1528" s="12"/>
      <c r="AT1528" s="12"/>
      <c r="AU1528" s="12"/>
      <c r="AV1528" s="12"/>
      <c r="AW1528" s="12"/>
      <c r="AX1528" s="12"/>
      <c r="AY1528" s="12"/>
      <c r="AZ1528" s="12"/>
      <c r="BA1528" s="12"/>
      <c r="BB1528" s="12"/>
      <c r="BC1528" s="12"/>
      <c r="BD1528" s="12"/>
      <c r="BF1528" s="106" t="str">
        <f t="shared" si="1"/>
        <v>#VALUE!</v>
      </c>
      <c r="BG1528" s="21">
        <f t="shared" si="2"/>
        <v>12</v>
      </c>
    </row>
    <row r="1529">
      <c r="P1529" s="161"/>
      <c r="AI1529" s="102"/>
      <c r="AO1529" s="12"/>
      <c r="AP1529" s="12"/>
      <c r="AQ1529" s="12"/>
      <c r="AR1529" s="12"/>
      <c r="AS1529" s="12"/>
      <c r="AT1529" s="12"/>
      <c r="AU1529" s="12"/>
      <c r="AV1529" s="12"/>
      <c r="AW1529" s="12"/>
      <c r="AX1529" s="12"/>
      <c r="AY1529" s="12"/>
      <c r="AZ1529" s="12"/>
      <c r="BA1529" s="12"/>
      <c r="BB1529" s="12"/>
      <c r="BC1529" s="12"/>
      <c r="BD1529" s="12"/>
      <c r="BF1529" s="106" t="str">
        <f t="shared" si="1"/>
        <v>#VALUE!</v>
      </c>
      <c r="BG1529" s="21">
        <f t="shared" si="2"/>
        <v>12</v>
      </c>
    </row>
    <row r="1530">
      <c r="P1530" s="161"/>
      <c r="AI1530" s="102"/>
      <c r="AO1530" s="12"/>
      <c r="AP1530" s="12"/>
      <c r="AQ1530" s="12"/>
      <c r="AR1530" s="12"/>
      <c r="AS1530" s="12"/>
      <c r="AT1530" s="12"/>
      <c r="AU1530" s="12"/>
      <c r="AV1530" s="12"/>
      <c r="AW1530" s="12"/>
      <c r="AX1530" s="12"/>
      <c r="AY1530" s="12"/>
      <c r="AZ1530" s="12"/>
      <c r="BA1530" s="12"/>
      <c r="BB1530" s="12"/>
      <c r="BC1530" s="12"/>
      <c r="BD1530" s="12"/>
      <c r="BF1530" s="106" t="str">
        <f t="shared" si="1"/>
        <v>#VALUE!</v>
      </c>
      <c r="BG1530" s="21">
        <f t="shared" si="2"/>
        <v>12</v>
      </c>
    </row>
    <row r="1531">
      <c r="P1531" s="161"/>
      <c r="AI1531" s="102"/>
      <c r="AO1531" s="12"/>
      <c r="AP1531" s="12"/>
      <c r="AQ1531" s="12"/>
      <c r="AR1531" s="12"/>
      <c r="AS1531" s="12"/>
      <c r="AT1531" s="12"/>
      <c r="AU1531" s="12"/>
      <c r="AV1531" s="12"/>
      <c r="AW1531" s="12"/>
      <c r="AX1531" s="12"/>
      <c r="AY1531" s="12"/>
      <c r="AZ1531" s="12"/>
      <c r="BA1531" s="12"/>
      <c r="BB1531" s="12"/>
      <c r="BC1531" s="12"/>
      <c r="BD1531" s="12"/>
      <c r="BF1531" s="106" t="str">
        <f t="shared" si="1"/>
        <v>#VALUE!</v>
      </c>
      <c r="BG1531" s="21">
        <f t="shared" si="2"/>
        <v>12</v>
      </c>
    </row>
    <row r="1532">
      <c r="P1532" s="161"/>
      <c r="AI1532" s="102"/>
      <c r="AO1532" s="12"/>
      <c r="AP1532" s="12"/>
      <c r="AQ1532" s="12"/>
      <c r="AR1532" s="12"/>
      <c r="AS1532" s="12"/>
      <c r="AT1532" s="12"/>
      <c r="AU1532" s="12"/>
      <c r="AV1532" s="12"/>
      <c r="AW1532" s="12"/>
      <c r="AX1532" s="12"/>
      <c r="AY1532" s="12"/>
      <c r="AZ1532" s="12"/>
      <c r="BA1532" s="12"/>
      <c r="BB1532" s="12"/>
      <c r="BC1532" s="12"/>
      <c r="BD1532" s="12"/>
      <c r="BF1532" s="106" t="str">
        <f t="shared" si="1"/>
        <v>#VALUE!</v>
      </c>
      <c r="BG1532" s="21">
        <f t="shared" si="2"/>
        <v>12</v>
      </c>
    </row>
    <row r="1533">
      <c r="P1533" s="161"/>
      <c r="AI1533" s="102"/>
      <c r="AO1533" s="12"/>
      <c r="AP1533" s="12"/>
      <c r="AQ1533" s="12"/>
      <c r="AR1533" s="12"/>
      <c r="AS1533" s="12"/>
      <c r="AT1533" s="12"/>
      <c r="AU1533" s="12"/>
      <c r="AV1533" s="12"/>
      <c r="AW1533" s="12"/>
      <c r="AX1533" s="12"/>
      <c r="AY1533" s="12"/>
      <c r="AZ1533" s="12"/>
      <c r="BA1533" s="12"/>
      <c r="BB1533" s="12"/>
      <c r="BC1533" s="12"/>
      <c r="BD1533" s="12"/>
      <c r="BF1533" s="106" t="str">
        <f t="shared" si="1"/>
        <v>#VALUE!</v>
      </c>
      <c r="BG1533" s="21">
        <f t="shared" si="2"/>
        <v>12</v>
      </c>
    </row>
    <row r="1534">
      <c r="P1534" s="161"/>
      <c r="AI1534" s="102"/>
      <c r="AO1534" s="12"/>
      <c r="AP1534" s="12"/>
      <c r="AQ1534" s="12"/>
      <c r="AR1534" s="12"/>
      <c r="AS1534" s="12"/>
      <c r="AT1534" s="12"/>
      <c r="AU1534" s="12"/>
      <c r="AV1534" s="12"/>
      <c r="AW1534" s="12"/>
      <c r="AX1534" s="12"/>
      <c r="AY1534" s="12"/>
      <c r="AZ1534" s="12"/>
      <c r="BA1534" s="12"/>
      <c r="BB1534" s="12"/>
      <c r="BC1534" s="12"/>
      <c r="BD1534" s="12"/>
      <c r="BF1534" s="106" t="str">
        <f t="shared" si="1"/>
        <v>#VALUE!</v>
      </c>
      <c r="BG1534" s="21">
        <f t="shared" si="2"/>
        <v>12</v>
      </c>
    </row>
    <row r="1535">
      <c r="P1535" s="161"/>
      <c r="AI1535" s="102"/>
      <c r="AO1535" s="12"/>
      <c r="AP1535" s="12"/>
      <c r="AQ1535" s="12"/>
      <c r="AR1535" s="12"/>
      <c r="AS1535" s="12"/>
      <c r="AT1535" s="12"/>
      <c r="AU1535" s="12"/>
      <c r="AV1535" s="12"/>
      <c r="AW1535" s="12"/>
      <c r="AX1535" s="12"/>
      <c r="AY1535" s="12"/>
      <c r="AZ1535" s="12"/>
      <c r="BA1535" s="12"/>
      <c r="BB1535" s="12"/>
      <c r="BC1535" s="12"/>
      <c r="BD1535" s="12"/>
      <c r="BF1535" s="106" t="str">
        <f t="shared" si="1"/>
        <v>#VALUE!</v>
      </c>
      <c r="BG1535" s="21">
        <f t="shared" si="2"/>
        <v>12</v>
      </c>
    </row>
    <row r="1536">
      <c r="P1536" s="161"/>
      <c r="AI1536" s="102"/>
      <c r="AO1536" s="12"/>
      <c r="AP1536" s="12"/>
      <c r="AQ1536" s="12"/>
      <c r="AR1536" s="12"/>
      <c r="AS1536" s="12"/>
      <c r="AT1536" s="12"/>
      <c r="AU1536" s="12"/>
      <c r="AV1536" s="12"/>
      <c r="AW1536" s="12"/>
      <c r="AX1536" s="12"/>
      <c r="AY1536" s="12"/>
      <c r="AZ1536" s="12"/>
      <c r="BA1536" s="12"/>
      <c r="BB1536" s="12"/>
      <c r="BC1536" s="12"/>
      <c r="BD1536" s="12"/>
      <c r="BF1536" s="106" t="str">
        <f t="shared" si="1"/>
        <v>#VALUE!</v>
      </c>
      <c r="BG1536" s="21">
        <f t="shared" si="2"/>
        <v>12</v>
      </c>
    </row>
    <row r="1537">
      <c r="P1537" s="161"/>
      <c r="AI1537" s="102"/>
      <c r="AO1537" s="12"/>
      <c r="AP1537" s="12"/>
      <c r="AQ1537" s="12"/>
      <c r="AR1537" s="12"/>
      <c r="AS1537" s="12"/>
      <c r="AT1537" s="12"/>
      <c r="AU1537" s="12"/>
      <c r="AV1537" s="12"/>
      <c r="AW1537" s="12"/>
      <c r="AX1537" s="12"/>
      <c r="AY1537" s="12"/>
      <c r="AZ1537" s="12"/>
      <c r="BA1537" s="12"/>
      <c r="BB1537" s="12"/>
      <c r="BC1537" s="12"/>
      <c r="BD1537" s="12"/>
      <c r="BF1537" s="106" t="str">
        <f t="shared" si="1"/>
        <v>#VALUE!</v>
      </c>
      <c r="BG1537" s="21">
        <f t="shared" si="2"/>
        <v>12</v>
      </c>
    </row>
    <row r="1538">
      <c r="P1538" s="161"/>
      <c r="AI1538" s="102"/>
      <c r="AO1538" s="12"/>
      <c r="AP1538" s="12"/>
      <c r="AQ1538" s="12"/>
      <c r="AR1538" s="12"/>
      <c r="AS1538" s="12"/>
      <c r="AT1538" s="12"/>
      <c r="AU1538" s="12"/>
      <c r="AV1538" s="12"/>
      <c r="AW1538" s="12"/>
      <c r="AX1538" s="12"/>
      <c r="AY1538" s="12"/>
      <c r="AZ1538" s="12"/>
      <c r="BA1538" s="12"/>
      <c r="BB1538" s="12"/>
      <c r="BC1538" s="12"/>
      <c r="BD1538" s="12"/>
      <c r="BF1538" s="106" t="str">
        <f t="shared" si="1"/>
        <v>#VALUE!</v>
      </c>
      <c r="BG1538" s="21">
        <f t="shared" si="2"/>
        <v>12</v>
      </c>
    </row>
    <row r="1539">
      <c r="P1539" s="161"/>
      <c r="AI1539" s="102"/>
      <c r="AO1539" s="12"/>
      <c r="AP1539" s="12"/>
      <c r="AQ1539" s="12"/>
      <c r="AR1539" s="12"/>
      <c r="AS1539" s="12"/>
      <c r="AT1539" s="12"/>
      <c r="AU1539" s="12"/>
      <c r="AV1539" s="12"/>
      <c r="AW1539" s="12"/>
      <c r="AX1539" s="12"/>
      <c r="AY1539" s="12"/>
      <c r="AZ1539" s="12"/>
      <c r="BA1539" s="12"/>
      <c r="BB1539" s="12"/>
      <c r="BC1539" s="12"/>
      <c r="BD1539" s="12"/>
      <c r="BF1539" s="106" t="str">
        <f t="shared" si="1"/>
        <v>#VALUE!</v>
      </c>
      <c r="BG1539" s="21">
        <f t="shared" si="2"/>
        <v>12</v>
      </c>
    </row>
    <row r="1540">
      <c r="P1540" s="161"/>
      <c r="AI1540" s="102"/>
      <c r="AO1540" s="12"/>
      <c r="AP1540" s="12"/>
      <c r="AQ1540" s="12"/>
      <c r="AR1540" s="12"/>
      <c r="AS1540" s="12"/>
      <c r="AT1540" s="12"/>
      <c r="AU1540" s="12"/>
      <c r="AV1540" s="12"/>
      <c r="AW1540" s="12"/>
      <c r="AX1540" s="12"/>
      <c r="AY1540" s="12"/>
      <c r="AZ1540" s="12"/>
      <c r="BA1540" s="12"/>
      <c r="BB1540" s="12"/>
      <c r="BC1540" s="12"/>
      <c r="BD1540" s="12"/>
      <c r="BF1540" s="106" t="str">
        <f t="shared" si="1"/>
        <v>#VALUE!</v>
      </c>
      <c r="BG1540" s="21">
        <f t="shared" si="2"/>
        <v>12</v>
      </c>
    </row>
    <row r="1541">
      <c r="P1541" s="161"/>
      <c r="AI1541" s="102"/>
      <c r="AO1541" s="12"/>
      <c r="AP1541" s="12"/>
      <c r="AQ1541" s="12"/>
      <c r="AR1541" s="12"/>
      <c r="AS1541" s="12"/>
      <c r="AT1541" s="12"/>
      <c r="AU1541" s="12"/>
      <c r="AV1541" s="12"/>
      <c r="AW1541" s="12"/>
      <c r="AX1541" s="12"/>
      <c r="AY1541" s="12"/>
      <c r="AZ1541" s="12"/>
      <c r="BA1541" s="12"/>
      <c r="BB1541" s="12"/>
      <c r="BC1541" s="12"/>
      <c r="BD1541" s="12"/>
      <c r="BF1541" s="106" t="str">
        <f t="shared" si="1"/>
        <v>#VALUE!</v>
      </c>
      <c r="BG1541" s="21">
        <f t="shared" si="2"/>
        <v>12</v>
      </c>
    </row>
    <row r="1542">
      <c r="P1542" s="161"/>
      <c r="AI1542" s="102"/>
      <c r="AO1542" s="12"/>
      <c r="AP1542" s="12"/>
      <c r="AQ1542" s="12"/>
      <c r="AR1542" s="12"/>
      <c r="AS1542" s="12"/>
      <c r="AT1542" s="12"/>
      <c r="AU1542" s="12"/>
      <c r="AV1542" s="12"/>
      <c r="AW1542" s="12"/>
      <c r="AX1542" s="12"/>
      <c r="AY1542" s="12"/>
      <c r="AZ1542" s="12"/>
      <c r="BA1542" s="12"/>
      <c r="BB1542" s="12"/>
      <c r="BC1542" s="12"/>
      <c r="BD1542" s="12"/>
      <c r="BF1542" s="106" t="str">
        <f t="shared" si="1"/>
        <v>#VALUE!</v>
      </c>
      <c r="BG1542" s="21">
        <f t="shared" si="2"/>
        <v>12</v>
      </c>
    </row>
    <row r="1543">
      <c r="P1543" s="161"/>
      <c r="AI1543" s="102"/>
      <c r="AO1543" s="12"/>
      <c r="AP1543" s="12"/>
      <c r="AQ1543" s="12"/>
      <c r="AR1543" s="12"/>
      <c r="AS1543" s="12"/>
      <c r="AT1543" s="12"/>
      <c r="AU1543" s="12"/>
      <c r="AV1543" s="12"/>
      <c r="AW1543" s="12"/>
      <c r="AX1543" s="12"/>
      <c r="AY1543" s="12"/>
      <c r="AZ1543" s="12"/>
      <c r="BA1543" s="12"/>
      <c r="BB1543" s="12"/>
      <c r="BC1543" s="12"/>
      <c r="BD1543" s="12"/>
      <c r="BF1543" s="106" t="str">
        <f t="shared" si="1"/>
        <v>#VALUE!</v>
      </c>
      <c r="BG1543" s="21">
        <f t="shared" si="2"/>
        <v>12</v>
      </c>
    </row>
    <row r="1544">
      <c r="P1544" s="161"/>
      <c r="AI1544" s="102"/>
      <c r="AO1544" s="12"/>
      <c r="AP1544" s="12"/>
      <c r="AQ1544" s="12"/>
      <c r="AR1544" s="12"/>
      <c r="AS1544" s="12"/>
      <c r="AT1544" s="12"/>
      <c r="AU1544" s="12"/>
      <c r="AV1544" s="12"/>
      <c r="AW1544" s="12"/>
      <c r="AX1544" s="12"/>
      <c r="AY1544" s="12"/>
      <c r="AZ1544" s="12"/>
      <c r="BA1544" s="12"/>
      <c r="BB1544" s="12"/>
      <c r="BC1544" s="12"/>
      <c r="BD1544" s="12"/>
      <c r="BF1544" s="106" t="str">
        <f t="shared" si="1"/>
        <v>#VALUE!</v>
      </c>
      <c r="BG1544" s="21">
        <f t="shared" si="2"/>
        <v>12</v>
      </c>
    </row>
    <row r="1545">
      <c r="P1545" s="161"/>
      <c r="AI1545" s="102"/>
      <c r="AO1545" s="12"/>
      <c r="AP1545" s="12"/>
      <c r="AQ1545" s="12"/>
      <c r="AR1545" s="12"/>
      <c r="AS1545" s="12"/>
      <c r="AT1545" s="12"/>
      <c r="AU1545" s="12"/>
      <c r="AV1545" s="12"/>
      <c r="AW1545" s="12"/>
      <c r="AX1545" s="12"/>
      <c r="AY1545" s="12"/>
      <c r="AZ1545" s="12"/>
      <c r="BA1545" s="12"/>
      <c r="BB1545" s="12"/>
      <c r="BC1545" s="12"/>
      <c r="BD1545" s="12"/>
      <c r="BF1545" s="106" t="str">
        <f t="shared" si="1"/>
        <v>#VALUE!</v>
      </c>
      <c r="BG1545" s="21">
        <f t="shared" si="2"/>
        <v>12</v>
      </c>
    </row>
    <row r="1546">
      <c r="P1546" s="161"/>
      <c r="AI1546" s="102"/>
      <c r="AO1546" s="12"/>
      <c r="AP1546" s="12"/>
      <c r="AQ1546" s="12"/>
      <c r="AR1546" s="12"/>
      <c r="AS1546" s="12"/>
      <c r="AT1546" s="12"/>
      <c r="AU1546" s="12"/>
      <c r="AV1546" s="12"/>
      <c r="AW1546" s="12"/>
      <c r="AX1546" s="12"/>
      <c r="AY1546" s="12"/>
      <c r="AZ1546" s="12"/>
      <c r="BA1546" s="12"/>
      <c r="BB1546" s="12"/>
      <c r="BC1546" s="12"/>
      <c r="BD1546" s="12"/>
      <c r="BF1546" s="106" t="str">
        <f t="shared" si="1"/>
        <v>#VALUE!</v>
      </c>
      <c r="BG1546" s="21">
        <f t="shared" si="2"/>
        <v>12</v>
      </c>
    </row>
    <row r="1547">
      <c r="P1547" s="161"/>
      <c r="AI1547" s="102"/>
      <c r="AO1547" s="12"/>
      <c r="AP1547" s="12"/>
      <c r="AQ1547" s="12"/>
      <c r="AR1547" s="12"/>
      <c r="AS1547" s="12"/>
      <c r="AT1547" s="12"/>
      <c r="AU1547" s="12"/>
      <c r="AV1547" s="12"/>
      <c r="AW1547" s="12"/>
      <c r="AX1547" s="12"/>
      <c r="AY1547" s="12"/>
      <c r="AZ1547" s="12"/>
      <c r="BA1547" s="12"/>
      <c r="BB1547" s="12"/>
      <c r="BC1547" s="12"/>
      <c r="BD1547" s="12"/>
      <c r="BF1547" s="106" t="str">
        <f t="shared" si="1"/>
        <v>#VALUE!</v>
      </c>
      <c r="BG1547" s="21">
        <f t="shared" si="2"/>
        <v>12</v>
      </c>
    </row>
    <row r="1548">
      <c r="P1548" s="161"/>
      <c r="AI1548" s="102"/>
      <c r="AO1548" s="12"/>
      <c r="AP1548" s="12"/>
      <c r="AQ1548" s="12"/>
      <c r="AR1548" s="12"/>
      <c r="AS1548" s="12"/>
      <c r="AT1548" s="12"/>
      <c r="AU1548" s="12"/>
      <c r="AV1548" s="12"/>
      <c r="AW1548" s="12"/>
      <c r="AX1548" s="12"/>
      <c r="AY1548" s="12"/>
      <c r="AZ1548" s="12"/>
      <c r="BA1548" s="12"/>
      <c r="BB1548" s="12"/>
      <c r="BC1548" s="12"/>
      <c r="BD1548" s="12"/>
      <c r="BF1548" s="106" t="str">
        <f t="shared" si="1"/>
        <v>#VALUE!</v>
      </c>
      <c r="BG1548" s="21">
        <f t="shared" si="2"/>
        <v>12</v>
      </c>
    </row>
    <row r="1549">
      <c r="P1549" s="161"/>
      <c r="AI1549" s="102"/>
      <c r="AO1549" s="12"/>
      <c r="AP1549" s="12"/>
      <c r="AQ1549" s="12"/>
      <c r="AR1549" s="12"/>
      <c r="AS1549" s="12"/>
      <c r="AT1549" s="12"/>
      <c r="AU1549" s="12"/>
      <c r="AV1549" s="12"/>
      <c r="AW1549" s="12"/>
      <c r="AX1549" s="12"/>
      <c r="AY1549" s="12"/>
      <c r="AZ1549" s="12"/>
      <c r="BA1549" s="12"/>
      <c r="BB1549" s="12"/>
      <c r="BC1549" s="12"/>
      <c r="BD1549" s="12"/>
      <c r="BF1549" s="106" t="str">
        <f t="shared" si="1"/>
        <v>#VALUE!</v>
      </c>
      <c r="BG1549" s="21">
        <f t="shared" si="2"/>
        <v>12</v>
      </c>
    </row>
    <row r="1550">
      <c r="P1550" s="161"/>
      <c r="AI1550" s="102"/>
      <c r="AO1550" s="12"/>
      <c r="AP1550" s="12"/>
      <c r="AQ1550" s="12"/>
      <c r="AR1550" s="12"/>
      <c r="AS1550" s="12"/>
      <c r="AT1550" s="12"/>
      <c r="AU1550" s="12"/>
      <c r="AV1550" s="12"/>
      <c r="AW1550" s="12"/>
      <c r="AX1550" s="12"/>
      <c r="AY1550" s="12"/>
      <c r="AZ1550" s="12"/>
      <c r="BA1550" s="12"/>
      <c r="BB1550" s="12"/>
      <c r="BC1550" s="12"/>
      <c r="BD1550" s="12"/>
      <c r="BF1550" s="106" t="str">
        <f t="shared" si="1"/>
        <v>#VALUE!</v>
      </c>
      <c r="BG1550" s="21">
        <f t="shared" si="2"/>
        <v>12</v>
      </c>
    </row>
    <row r="1551">
      <c r="P1551" s="161"/>
      <c r="AI1551" s="102"/>
      <c r="AO1551" s="12"/>
      <c r="AP1551" s="12"/>
      <c r="AQ1551" s="12"/>
      <c r="AR1551" s="12"/>
      <c r="AS1551" s="12"/>
      <c r="AT1551" s="12"/>
      <c r="AU1551" s="12"/>
      <c r="AV1551" s="12"/>
      <c r="AW1551" s="12"/>
      <c r="AX1551" s="12"/>
      <c r="AY1551" s="12"/>
      <c r="AZ1551" s="12"/>
      <c r="BA1551" s="12"/>
      <c r="BB1551" s="12"/>
      <c r="BC1551" s="12"/>
      <c r="BD1551" s="12"/>
      <c r="BF1551" s="106" t="str">
        <f t="shared" si="1"/>
        <v>#VALUE!</v>
      </c>
      <c r="BG1551" s="21">
        <f t="shared" si="2"/>
        <v>12</v>
      </c>
    </row>
    <row r="1552">
      <c r="P1552" s="161"/>
      <c r="AI1552" s="102"/>
      <c r="AO1552" s="12"/>
      <c r="AP1552" s="12"/>
      <c r="AQ1552" s="12"/>
      <c r="AR1552" s="12"/>
      <c r="AS1552" s="12"/>
      <c r="AT1552" s="12"/>
      <c r="AU1552" s="12"/>
      <c r="AV1552" s="12"/>
      <c r="AW1552" s="12"/>
      <c r="AX1552" s="12"/>
      <c r="AY1552" s="12"/>
      <c r="AZ1552" s="12"/>
      <c r="BA1552" s="12"/>
      <c r="BB1552" s="12"/>
      <c r="BC1552" s="12"/>
      <c r="BD1552" s="12"/>
      <c r="BF1552" s="106" t="str">
        <f t="shared" si="1"/>
        <v>#VALUE!</v>
      </c>
      <c r="BG1552" s="21">
        <f t="shared" si="2"/>
        <v>12</v>
      </c>
    </row>
    <row r="1553">
      <c r="P1553" s="161"/>
      <c r="AI1553" s="102"/>
      <c r="AO1553" s="12"/>
      <c r="AP1553" s="12"/>
      <c r="AQ1553" s="12"/>
      <c r="AR1553" s="12"/>
      <c r="AS1553" s="12"/>
      <c r="AT1553" s="12"/>
      <c r="AU1553" s="12"/>
      <c r="AV1553" s="12"/>
      <c r="AW1553" s="12"/>
      <c r="AX1553" s="12"/>
      <c r="AY1553" s="12"/>
      <c r="AZ1553" s="12"/>
      <c r="BA1553" s="12"/>
      <c r="BB1553" s="12"/>
      <c r="BC1553" s="12"/>
      <c r="BD1553" s="12"/>
      <c r="BF1553" s="106" t="str">
        <f t="shared" si="1"/>
        <v>#VALUE!</v>
      </c>
      <c r="BG1553" s="21">
        <f t="shared" si="2"/>
        <v>12</v>
      </c>
    </row>
    <row r="1554">
      <c r="P1554" s="161"/>
      <c r="AI1554" s="102"/>
      <c r="AO1554" s="12"/>
      <c r="AP1554" s="12"/>
      <c r="AQ1554" s="12"/>
      <c r="AR1554" s="12"/>
      <c r="AS1554" s="12"/>
      <c r="AT1554" s="12"/>
      <c r="AU1554" s="12"/>
      <c r="AV1554" s="12"/>
      <c r="AW1554" s="12"/>
      <c r="AX1554" s="12"/>
      <c r="AY1554" s="12"/>
      <c r="AZ1554" s="12"/>
      <c r="BA1554" s="12"/>
      <c r="BB1554" s="12"/>
      <c r="BC1554" s="12"/>
      <c r="BD1554" s="12"/>
      <c r="BF1554" s="106" t="str">
        <f t="shared" si="1"/>
        <v>#VALUE!</v>
      </c>
      <c r="BG1554" s="21">
        <f t="shared" si="2"/>
        <v>12</v>
      </c>
    </row>
    <row r="1555">
      <c r="P1555" s="161"/>
      <c r="AI1555" s="102"/>
      <c r="AO1555" s="12"/>
      <c r="AP1555" s="12"/>
      <c r="AQ1555" s="12"/>
      <c r="AR1555" s="12"/>
      <c r="AS1555" s="12"/>
      <c r="AT1555" s="12"/>
      <c r="AU1555" s="12"/>
      <c r="AV1555" s="12"/>
      <c r="AW1555" s="12"/>
      <c r="AX1555" s="12"/>
      <c r="AY1555" s="12"/>
      <c r="AZ1555" s="12"/>
      <c r="BA1555" s="12"/>
      <c r="BB1555" s="12"/>
      <c r="BC1555" s="12"/>
      <c r="BD1555" s="12"/>
      <c r="BF1555" s="106" t="str">
        <f t="shared" si="1"/>
        <v>#VALUE!</v>
      </c>
      <c r="BG1555" s="21">
        <f t="shared" si="2"/>
        <v>12</v>
      </c>
    </row>
    <row r="1556">
      <c r="P1556" s="161"/>
      <c r="AI1556" s="102"/>
      <c r="AO1556" s="12"/>
      <c r="AP1556" s="12"/>
      <c r="AQ1556" s="12"/>
      <c r="AR1556" s="12"/>
      <c r="AS1556" s="12"/>
      <c r="AT1556" s="12"/>
      <c r="AU1556" s="12"/>
      <c r="AV1556" s="12"/>
      <c r="AW1556" s="12"/>
      <c r="AX1556" s="12"/>
      <c r="AY1556" s="12"/>
      <c r="AZ1556" s="12"/>
      <c r="BA1556" s="12"/>
      <c r="BB1556" s="12"/>
      <c r="BC1556" s="12"/>
      <c r="BD1556" s="12"/>
      <c r="BF1556" s="106" t="str">
        <f t="shared" si="1"/>
        <v>#VALUE!</v>
      </c>
      <c r="BG1556" s="21">
        <f t="shared" si="2"/>
        <v>12</v>
      </c>
    </row>
    <row r="1557">
      <c r="P1557" s="161"/>
      <c r="AI1557" s="102"/>
      <c r="AO1557" s="12"/>
      <c r="AP1557" s="12"/>
      <c r="AQ1557" s="12"/>
      <c r="AR1557" s="12"/>
      <c r="AS1557" s="12"/>
      <c r="AT1557" s="12"/>
      <c r="AU1557" s="12"/>
      <c r="AV1557" s="12"/>
      <c r="AW1557" s="12"/>
      <c r="AX1557" s="12"/>
      <c r="AY1557" s="12"/>
      <c r="AZ1557" s="12"/>
      <c r="BA1557" s="12"/>
      <c r="BB1557" s="12"/>
      <c r="BC1557" s="12"/>
      <c r="BD1557" s="12"/>
      <c r="BF1557" s="106" t="str">
        <f t="shared" si="1"/>
        <v>#VALUE!</v>
      </c>
      <c r="BG1557" s="21">
        <f t="shared" si="2"/>
        <v>12</v>
      </c>
    </row>
    <row r="1558">
      <c r="P1558" s="161"/>
      <c r="AI1558" s="102"/>
      <c r="AO1558" s="12"/>
      <c r="AP1558" s="12"/>
      <c r="AQ1558" s="12"/>
      <c r="AR1558" s="12"/>
      <c r="AS1558" s="12"/>
      <c r="AT1558" s="12"/>
      <c r="AU1558" s="12"/>
      <c r="AV1558" s="12"/>
      <c r="AW1558" s="12"/>
      <c r="AX1558" s="12"/>
      <c r="AY1558" s="12"/>
      <c r="AZ1558" s="12"/>
      <c r="BA1558" s="12"/>
      <c r="BB1558" s="12"/>
      <c r="BC1558" s="12"/>
      <c r="BD1558" s="12"/>
      <c r="BF1558" s="106" t="str">
        <f t="shared" si="1"/>
        <v>#VALUE!</v>
      </c>
      <c r="BG1558" s="21">
        <f t="shared" si="2"/>
        <v>12</v>
      </c>
    </row>
    <row r="1559">
      <c r="P1559" s="161"/>
      <c r="AI1559" s="102"/>
      <c r="AO1559" s="12"/>
      <c r="AP1559" s="12"/>
      <c r="AQ1559" s="12"/>
      <c r="AR1559" s="12"/>
      <c r="AS1559" s="12"/>
      <c r="AT1559" s="12"/>
      <c r="AU1559" s="12"/>
      <c r="AV1559" s="12"/>
      <c r="AW1559" s="12"/>
      <c r="AX1559" s="12"/>
      <c r="AY1559" s="12"/>
      <c r="AZ1559" s="12"/>
      <c r="BA1559" s="12"/>
      <c r="BB1559" s="12"/>
      <c r="BC1559" s="12"/>
      <c r="BD1559" s="12"/>
      <c r="BF1559" s="106" t="str">
        <f t="shared" si="1"/>
        <v>#VALUE!</v>
      </c>
      <c r="BG1559" s="21">
        <f t="shared" si="2"/>
        <v>12</v>
      </c>
    </row>
    <row r="1560">
      <c r="P1560" s="161"/>
      <c r="AI1560" s="102"/>
      <c r="AO1560" s="12"/>
      <c r="AP1560" s="12"/>
      <c r="AQ1560" s="12"/>
      <c r="AR1560" s="12"/>
      <c r="AS1560" s="12"/>
      <c r="AT1560" s="12"/>
      <c r="AU1560" s="12"/>
      <c r="AV1560" s="12"/>
      <c r="AW1560" s="12"/>
      <c r="AX1560" s="12"/>
      <c r="AY1560" s="12"/>
      <c r="AZ1560" s="12"/>
      <c r="BA1560" s="12"/>
      <c r="BB1560" s="12"/>
      <c r="BC1560" s="12"/>
      <c r="BD1560" s="12"/>
      <c r="BF1560" s="106" t="str">
        <f t="shared" si="1"/>
        <v>#VALUE!</v>
      </c>
      <c r="BG1560" s="21">
        <f t="shared" si="2"/>
        <v>12</v>
      </c>
    </row>
    <row r="1561">
      <c r="P1561" s="161"/>
      <c r="AI1561" s="102"/>
      <c r="AO1561" s="12"/>
      <c r="AP1561" s="12"/>
      <c r="AQ1561" s="12"/>
      <c r="AR1561" s="12"/>
      <c r="AS1561" s="12"/>
      <c r="AT1561" s="12"/>
      <c r="AU1561" s="12"/>
      <c r="AV1561" s="12"/>
      <c r="AW1561" s="12"/>
      <c r="AX1561" s="12"/>
      <c r="AY1561" s="12"/>
      <c r="AZ1561" s="12"/>
      <c r="BA1561" s="12"/>
      <c r="BB1561" s="12"/>
      <c r="BC1561" s="12"/>
      <c r="BD1561" s="12"/>
      <c r="BF1561" s="106" t="str">
        <f t="shared" si="1"/>
        <v>#VALUE!</v>
      </c>
      <c r="BG1561" s="21">
        <f t="shared" si="2"/>
        <v>12</v>
      </c>
    </row>
    <row r="1562">
      <c r="P1562" s="161"/>
      <c r="AI1562" s="102"/>
      <c r="AO1562" s="12"/>
      <c r="AP1562" s="12"/>
      <c r="AQ1562" s="12"/>
      <c r="AR1562" s="12"/>
      <c r="AS1562" s="12"/>
      <c r="AT1562" s="12"/>
      <c r="AU1562" s="12"/>
      <c r="AV1562" s="12"/>
      <c r="AW1562" s="12"/>
      <c r="AX1562" s="12"/>
      <c r="AY1562" s="12"/>
      <c r="AZ1562" s="12"/>
      <c r="BA1562" s="12"/>
      <c r="BB1562" s="12"/>
      <c r="BC1562" s="12"/>
      <c r="BD1562" s="12"/>
      <c r="BF1562" s="106" t="str">
        <f t="shared" si="1"/>
        <v>#VALUE!</v>
      </c>
      <c r="BG1562" s="21">
        <f t="shared" si="2"/>
        <v>12</v>
      </c>
    </row>
    <row r="1563">
      <c r="P1563" s="161"/>
      <c r="AI1563" s="102"/>
      <c r="AO1563" s="12"/>
      <c r="AP1563" s="12"/>
      <c r="AQ1563" s="12"/>
      <c r="AR1563" s="12"/>
      <c r="AS1563" s="12"/>
      <c r="AT1563" s="12"/>
      <c r="AU1563" s="12"/>
      <c r="AV1563" s="12"/>
      <c r="AW1563" s="12"/>
      <c r="AX1563" s="12"/>
      <c r="AY1563" s="12"/>
      <c r="AZ1563" s="12"/>
      <c r="BA1563" s="12"/>
      <c r="BB1563" s="12"/>
      <c r="BC1563" s="12"/>
      <c r="BD1563" s="12"/>
      <c r="BF1563" s="106" t="str">
        <f t="shared" si="1"/>
        <v>#VALUE!</v>
      </c>
      <c r="BG1563" s="21">
        <f t="shared" si="2"/>
        <v>12</v>
      </c>
    </row>
    <row r="1564">
      <c r="P1564" s="161"/>
      <c r="AI1564" s="102"/>
      <c r="AO1564" s="12"/>
      <c r="AP1564" s="12"/>
      <c r="AQ1564" s="12"/>
      <c r="AR1564" s="12"/>
      <c r="AS1564" s="12"/>
      <c r="AT1564" s="12"/>
      <c r="AU1564" s="12"/>
      <c r="AV1564" s="12"/>
      <c r="AW1564" s="12"/>
      <c r="AX1564" s="12"/>
      <c r="AY1564" s="12"/>
      <c r="AZ1564" s="12"/>
      <c r="BA1564" s="12"/>
      <c r="BB1564" s="12"/>
      <c r="BC1564" s="12"/>
      <c r="BD1564" s="12"/>
      <c r="BF1564" s="106" t="str">
        <f t="shared" si="1"/>
        <v>#VALUE!</v>
      </c>
      <c r="BG1564" s="21">
        <f t="shared" si="2"/>
        <v>12</v>
      </c>
    </row>
    <row r="1565">
      <c r="P1565" s="161"/>
      <c r="AI1565" s="102"/>
      <c r="AO1565" s="12"/>
      <c r="AP1565" s="12"/>
      <c r="AQ1565" s="12"/>
      <c r="AR1565" s="12"/>
      <c r="AS1565" s="12"/>
      <c r="AT1565" s="12"/>
      <c r="AU1565" s="12"/>
      <c r="AV1565" s="12"/>
      <c r="AW1565" s="12"/>
      <c r="AX1565" s="12"/>
      <c r="AY1565" s="12"/>
      <c r="AZ1565" s="12"/>
      <c r="BA1565" s="12"/>
      <c r="BB1565" s="12"/>
      <c r="BC1565" s="12"/>
      <c r="BD1565" s="12"/>
      <c r="BF1565" s="106" t="str">
        <f t="shared" si="1"/>
        <v>#VALUE!</v>
      </c>
      <c r="BG1565" s="21">
        <f t="shared" si="2"/>
        <v>12</v>
      </c>
    </row>
    <row r="1566">
      <c r="P1566" s="161"/>
      <c r="AI1566" s="102"/>
      <c r="AO1566" s="12"/>
      <c r="AP1566" s="12"/>
      <c r="AQ1566" s="12"/>
      <c r="AR1566" s="12"/>
      <c r="AS1566" s="12"/>
      <c r="AT1566" s="12"/>
      <c r="AU1566" s="12"/>
      <c r="AV1566" s="12"/>
      <c r="AW1566" s="12"/>
      <c r="AX1566" s="12"/>
      <c r="AY1566" s="12"/>
      <c r="AZ1566" s="12"/>
      <c r="BA1566" s="12"/>
      <c r="BB1566" s="12"/>
      <c r="BC1566" s="12"/>
      <c r="BD1566" s="12"/>
      <c r="BF1566" s="106" t="str">
        <f t="shared" si="1"/>
        <v>#VALUE!</v>
      </c>
      <c r="BG1566" s="21">
        <f t="shared" si="2"/>
        <v>12</v>
      </c>
    </row>
    <row r="1567">
      <c r="P1567" s="161"/>
      <c r="AI1567" s="102"/>
      <c r="AO1567" s="12"/>
      <c r="AP1567" s="12"/>
      <c r="AQ1567" s="12"/>
      <c r="AR1567" s="12"/>
      <c r="AS1567" s="12"/>
      <c r="AT1567" s="12"/>
      <c r="AU1567" s="12"/>
      <c r="AV1567" s="12"/>
      <c r="AW1567" s="12"/>
      <c r="AX1567" s="12"/>
      <c r="AY1567" s="12"/>
      <c r="AZ1567" s="12"/>
      <c r="BA1567" s="12"/>
      <c r="BB1567" s="12"/>
      <c r="BC1567" s="12"/>
      <c r="BD1567" s="12"/>
      <c r="BF1567" s="106" t="str">
        <f t="shared" si="1"/>
        <v>#VALUE!</v>
      </c>
      <c r="BG1567" s="21">
        <f t="shared" si="2"/>
        <v>12</v>
      </c>
    </row>
    <row r="1568">
      <c r="P1568" s="161"/>
      <c r="AI1568" s="102"/>
      <c r="AO1568" s="12"/>
      <c r="AP1568" s="12"/>
      <c r="AQ1568" s="12"/>
      <c r="AR1568" s="12"/>
      <c r="AS1568" s="12"/>
      <c r="AT1568" s="12"/>
      <c r="AU1568" s="12"/>
      <c r="AV1568" s="12"/>
      <c r="AW1568" s="12"/>
      <c r="AX1568" s="12"/>
      <c r="AY1568" s="12"/>
      <c r="AZ1568" s="12"/>
      <c r="BA1568" s="12"/>
      <c r="BB1568" s="12"/>
      <c r="BC1568" s="12"/>
      <c r="BD1568" s="12"/>
      <c r="BF1568" s="106" t="str">
        <f t="shared" si="1"/>
        <v>#VALUE!</v>
      </c>
      <c r="BG1568" s="21">
        <f t="shared" si="2"/>
        <v>12</v>
      </c>
    </row>
    <row r="1569">
      <c r="P1569" s="161"/>
      <c r="AI1569" s="102"/>
      <c r="AO1569" s="12"/>
      <c r="AP1569" s="12"/>
      <c r="AQ1569" s="12"/>
      <c r="AR1569" s="12"/>
      <c r="AS1569" s="12"/>
      <c r="AT1569" s="12"/>
      <c r="AU1569" s="12"/>
      <c r="AV1569" s="12"/>
      <c r="AW1569" s="12"/>
      <c r="AX1569" s="12"/>
      <c r="AY1569" s="12"/>
      <c r="AZ1569" s="12"/>
      <c r="BA1569" s="12"/>
      <c r="BB1569" s="12"/>
      <c r="BC1569" s="12"/>
      <c r="BD1569" s="12"/>
      <c r="BF1569" s="106" t="str">
        <f t="shared" si="1"/>
        <v>#VALUE!</v>
      </c>
      <c r="BG1569" s="21">
        <f t="shared" si="2"/>
        <v>12</v>
      </c>
    </row>
    <row r="1570">
      <c r="P1570" s="161"/>
      <c r="AI1570" s="102"/>
      <c r="AO1570" s="12"/>
      <c r="AP1570" s="12"/>
      <c r="AQ1570" s="12"/>
      <c r="AR1570" s="12"/>
      <c r="AS1570" s="12"/>
      <c r="AT1570" s="12"/>
      <c r="AU1570" s="12"/>
      <c r="AV1570" s="12"/>
      <c r="AW1570" s="12"/>
      <c r="AX1570" s="12"/>
      <c r="AY1570" s="12"/>
      <c r="AZ1570" s="12"/>
      <c r="BA1570" s="12"/>
      <c r="BB1570" s="12"/>
      <c r="BC1570" s="12"/>
      <c r="BD1570" s="12"/>
      <c r="BF1570" s="106" t="str">
        <f t="shared" si="1"/>
        <v>#VALUE!</v>
      </c>
      <c r="BG1570" s="21">
        <f t="shared" si="2"/>
        <v>12</v>
      </c>
    </row>
    <row r="1571">
      <c r="P1571" s="161"/>
      <c r="AI1571" s="102"/>
      <c r="AO1571" s="12"/>
      <c r="AP1571" s="12"/>
      <c r="AQ1571" s="12"/>
      <c r="AR1571" s="12"/>
      <c r="AS1571" s="12"/>
      <c r="AT1571" s="12"/>
      <c r="AU1571" s="12"/>
      <c r="AV1571" s="12"/>
      <c r="AW1571" s="12"/>
      <c r="AX1571" s="12"/>
      <c r="AY1571" s="12"/>
      <c r="AZ1571" s="12"/>
      <c r="BA1571" s="12"/>
      <c r="BB1571" s="12"/>
      <c r="BC1571" s="12"/>
      <c r="BD1571" s="12"/>
      <c r="BF1571" s="106" t="str">
        <f t="shared" si="1"/>
        <v>#VALUE!</v>
      </c>
      <c r="BG1571" s="21">
        <f t="shared" si="2"/>
        <v>12</v>
      </c>
    </row>
    <row r="1572">
      <c r="P1572" s="161"/>
      <c r="AI1572" s="102"/>
      <c r="AO1572" s="12"/>
      <c r="AP1572" s="12"/>
      <c r="AQ1572" s="12"/>
      <c r="AR1572" s="12"/>
      <c r="AS1572" s="12"/>
      <c r="AT1572" s="12"/>
      <c r="AU1572" s="12"/>
      <c r="AV1572" s="12"/>
      <c r="AW1572" s="12"/>
      <c r="AX1572" s="12"/>
      <c r="AY1572" s="12"/>
      <c r="AZ1572" s="12"/>
      <c r="BA1572" s="12"/>
      <c r="BB1572" s="12"/>
      <c r="BC1572" s="12"/>
      <c r="BD1572" s="12"/>
      <c r="BF1572" s="106" t="str">
        <f t="shared" si="1"/>
        <v>#VALUE!</v>
      </c>
      <c r="BG1572" s="21">
        <f t="shared" si="2"/>
        <v>12</v>
      </c>
    </row>
    <row r="1573">
      <c r="P1573" s="161"/>
      <c r="AI1573" s="102"/>
      <c r="AO1573" s="12"/>
      <c r="AP1573" s="12"/>
      <c r="AQ1573" s="12"/>
      <c r="AR1573" s="12"/>
      <c r="AS1573" s="12"/>
      <c r="AT1573" s="12"/>
      <c r="AU1573" s="12"/>
      <c r="AV1573" s="12"/>
      <c r="AW1573" s="12"/>
      <c r="AX1573" s="12"/>
      <c r="AY1573" s="12"/>
      <c r="AZ1573" s="12"/>
      <c r="BA1573" s="12"/>
      <c r="BB1573" s="12"/>
      <c r="BC1573" s="12"/>
      <c r="BD1573" s="12"/>
      <c r="BF1573" s="106" t="str">
        <f t="shared" si="1"/>
        <v>#VALUE!</v>
      </c>
      <c r="BG1573" s="21">
        <f t="shared" si="2"/>
        <v>12</v>
      </c>
    </row>
    <row r="1574">
      <c r="P1574" s="161"/>
      <c r="AI1574" s="102"/>
      <c r="AO1574" s="12"/>
      <c r="AP1574" s="12"/>
      <c r="AQ1574" s="12"/>
      <c r="AR1574" s="12"/>
      <c r="AS1574" s="12"/>
      <c r="AT1574" s="12"/>
      <c r="AU1574" s="12"/>
      <c r="AV1574" s="12"/>
      <c r="AW1574" s="12"/>
      <c r="AX1574" s="12"/>
      <c r="AY1574" s="12"/>
      <c r="AZ1574" s="12"/>
      <c r="BA1574" s="12"/>
      <c r="BB1574" s="12"/>
      <c r="BC1574" s="12"/>
      <c r="BD1574" s="12"/>
      <c r="BF1574" s="106" t="str">
        <f t="shared" si="1"/>
        <v>#VALUE!</v>
      </c>
      <c r="BG1574" s="21">
        <f t="shared" si="2"/>
        <v>12</v>
      </c>
    </row>
    <row r="1575">
      <c r="P1575" s="161"/>
      <c r="AI1575" s="102"/>
      <c r="AO1575" s="12"/>
      <c r="AP1575" s="12"/>
      <c r="AQ1575" s="12"/>
      <c r="AR1575" s="12"/>
      <c r="AS1575" s="12"/>
      <c r="AT1575" s="12"/>
      <c r="AU1575" s="12"/>
      <c r="AV1575" s="12"/>
      <c r="AW1575" s="12"/>
      <c r="AX1575" s="12"/>
      <c r="AY1575" s="12"/>
      <c r="AZ1575" s="12"/>
      <c r="BA1575" s="12"/>
      <c r="BB1575" s="12"/>
      <c r="BC1575" s="12"/>
      <c r="BD1575" s="12"/>
      <c r="BF1575" s="106" t="str">
        <f t="shared" si="1"/>
        <v>#VALUE!</v>
      </c>
      <c r="BG1575" s="21">
        <f t="shared" si="2"/>
        <v>12</v>
      </c>
    </row>
    <row r="1576">
      <c r="P1576" s="161"/>
      <c r="AI1576" s="102"/>
      <c r="AO1576" s="12"/>
      <c r="AP1576" s="12"/>
      <c r="AQ1576" s="12"/>
      <c r="AR1576" s="12"/>
      <c r="AS1576" s="12"/>
      <c r="AT1576" s="12"/>
      <c r="AU1576" s="12"/>
      <c r="AV1576" s="12"/>
      <c r="AW1576" s="12"/>
      <c r="AX1576" s="12"/>
      <c r="AY1576" s="12"/>
      <c r="AZ1576" s="12"/>
      <c r="BA1576" s="12"/>
      <c r="BB1576" s="12"/>
      <c r="BC1576" s="12"/>
      <c r="BD1576" s="12"/>
      <c r="BF1576" s="106" t="str">
        <f t="shared" si="1"/>
        <v>#VALUE!</v>
      </c>
      <c r="BG1576" s="21">
        <f t="shared" si="2"/>
        <v>12</v>
      </c>
    </row>
    <row r="1577">
      <c r="P1577" s="161"/>
      <c r="AI1577" s="102"/>
      <c r="AO1577" s="12"/>
      <c r="AP1577" s="12"/>
      <c r="AQ1577" s="12"/>
      <c r="AR1577" s="12"/>
      <c r="AS1577" s="12"/>
      <c r="AT1577" s="12"/>
      <c r="AU1577" s="12"/>
      <c r="AV1577" s="12"/>
      <c r="AW1577" s="12"/>
      <c r="AX1577" s="12"/>
      <c r="AY1577" s="12"/>
      <c r="AZ1577" s="12"/>
      <c r="BA1577" s="12"/>
      <c r="BB1577" s="12"/>
      <c r="BC1577" s="12"/>
      <c r="BD1577" s="12"/>
      <c r="BF1577" s="106" t="str">
        <f t="shared" si="1"/>
        <v>#VALUE!</v>
      </c>
      <c r="BG1577" s="21">
        <f t="shared" si="2"/>
        <v>12</v>
      </c>
    </row>
    <row r="1578">
      <c r="P1578" s="161"/>
      <c r="AI1578" s="102"/>
      <c r="AO1578" s="12"/>
      <c r="AP1578" s="12"/>
      <c r="AQ1578" s="12"/>
      <c r="AR1578" s="12"/>
      <c r="AS1578" s="12"/>
      <c r="AT1578" s="12"/>
      <c r="AU1578" s="12"/>
      <c r="AV1578" s="12"/>
      <c r="AW1578" s="12"/>
      <c r="AX1578" s="12"/>
      <c r="AY1578" s="12"/>
      <c r="AZ1578" s="12"/>
      <c r="BA1578" s="12"/>
      <c r="BB1578" s="12"/>
      <c r="BC1578" s="12"/>
      <c r="BD1578" s="12"/>
      <c r="BF1578" s="106" t="str">
        <f t="shared" si="1"/>
        <v>#VALUE!</v>
      </c>
      <c r="BG1578" s="21">
        <f t="shared" si="2"/>
        <v>12</v>
      </c>
    </row>
    <row r="1579">
      <c r="P1579" s="161"/>
      <c r="AI1579" s="102"/>
      <c r="AO1579" s="12"/>
      <c r="AP1579" s="12"/>
      <c r="AQ1579" s="12"/>
      <c r="AR1579" s="12"/>
      <c r="AS1579" s="12"/>
      <c r="AT1579" s="12"/>
      <c r="AU1579" s="12"/>
      <c r="AV1579" s="12"/>
      <c r="AW1579" s="12"/>
      <c r="AX1579" s="12"/>
      <c r="AY1579" s="12"/>
      <c r="AZ1579" s="12"/>
      <c r="BA1579" s="12"/>
      <c r="BB1579" s="12"/>
      <c r="BC1579" s="12"/>
      <c r="BD1579" s="12"/>
      <c r="BF1579" s="106" t="str">
        <f t="shared" si="1"/>
        <v>#VALUE!</v>
      </c>
      <c r="BG1579" s="21">
        <f t="shared" si="2"/>
        <v>12</v>
      </c>
    </row>
    <row r="1580">
      <c r="P1580" s="161"/>
      <c r="AI1580" s="102"/>
      <c r="AO1580" s="12"/>
      <c r="AP1580" s="12"/>
      <c r="AQ1580" s="12"/>
      <c r="AR1580" s="12"/>
      <c r="AS1580" s="12"/>
      <c r="AT1580" s="12"/>
      <c r="AU1580" s="12"/>
      <c r="AV1580" s="12"/>
      <c r="AW1580" s="12"/>
      <c r="AX1580" s="12"/>
      <c r="AY1580" s="12"/>
      <c r="AZ1580" s="12"/>
      <c r="BA1580" s="12"/>
      <c r="BB1580" s="12"/>
      <c r="BC1580" s="12"/>
      <c r="BD1580" s="12"/>
      <c r="BF1580" s="106" t="str">
        <f t="shared" si="1"/>
        <v>#VALUE!</v>
      </c>
      <c r="BG1580" s="21">
        <f t="shared" si="2"/>
        <v>12</v>
      </c>
    </row>
    <row r="1581">
      <c r="P1581" s="161"/>
      <c r="AI1581" s="102"/>
      <c r="AO1581" s="12"/>
      <c r="AP1581" s="12"/>
      <c r="AQ1581" s="12"/>
      <c r="AR1581" s="12"/>
      <c r="AS1581" s="12"/>
      <c r="AT1581" s="12"/>
      <c r="AU1581" s="12"/>
      <c r="AV1581" s="12"/>
      <c r="AW1581" s="12"/>
      <c r="AX1581" s="12"/>
      <c r="AY1581" s="12"/>
      <c r="AZ1581" s="12"/>
      <c r="BA1581" s="12"/>
      <c r="BB1581" s="12"/>
      <c r="BC1581" s="12"/>
      <c r="BD1581" s="12"/>
      <c r="BF1581" s="106" t="str">
        <f t="shared" si="1"/>
        <v>#VALUE!</v>
      </c>
      <c r="BG1581" s="21">
        <f t="shared" si="2"/>
        <v>12</v>
      </c>
    </row>
    <row r="1582">
      <c r="P1582" s="161"/>
      <c r="AI1582" s="102"/>
      <c r="AO1582" s="12"/>
      <c r="AP1582" s="12"/>
      <c r="AQ1582" s="12"/>
      <c r="AR1582" s="12"/>
      <c r="AS1582" s="12"/>
      <c r="AT1582" s="12"/>
      <c r="AU1582" s="12"/>
      <c r="AV1582" s="12"/>
      <c r="AW1582" s="12"/>
      <c r="AX1582" s="12"/>
      <c r="AY1582" s="12"/>
      <c r="AZ1582" s="12"/>
      <c r="BA1582" s="12"/>
      <c r="BB1582" s="12"/>
      <c r="BC1582" s="12"/>
      <c r="BD1582" s="12"/>
      <c r="BF1582" s="106" t="str">
        <f t="shared" si="1"/>
        <v>#VALUE!</v>
      </c>
      <c r="BG1582" s="21">
        <f t="shared" si="2"/>
        <v>12</v>
      </c>
    </row>
    <row r="1583">
      <c r="P1583" s="161"/>
      <c r="AI1583" s="102"/>
      <c r="AO1583" s="12"/>
      <c r="AP1583" s="12"/>
      <c r="AQ1583" s="12"/>
      <c r="AR1583" s="12"/>
      <c r="AS1583" s="12"/>
      <c r="AT1583" s="12"/>
      <c r="AU1583" s="12"/>
      <c r="AV1583" s="12"/>
      <c r="AW1583" s="12"/>
      <c r="AX1583" s="12"/>
      <c r="AY1583" s="12"/>
      <c r="AZ1583" s="12"/>
      <c r="BA1583" s="12"/>
      <c r="BB1583" s="12"/>
      <c r="BC1583" s="12"/>
      <c r="BD1583" s="12"/>
      <c r="BF1583" s="106" t="str">
        <f t="shared" si="1"/>
        <v>#VALUE!</v>
      </c>
      <c r="BG1583" s="21">
        <f t="shared" si="2"/>
        <v>12</v>
      </c>
    </row>
    <row r="1584">
      <c r="P1584" s="161"/>
      <c r="AI1584" s="102"/>
      <c r="AO1584" s="12"/>
      <c r="AP1584" s="12"/>
      <c r="AQ1584" s="12"/>
      <c r="AR1584" s="12"/>
      <c r="AS1584" s="12"/>
      <c r="AT1584" s="12"/>
      <c r="AU1584" s="12"/>
      <c r="AV1584" s="12"/>
      <c r="AW1584" s="12"/>
      <c r="AX1584" s="12"/>
      <c r="AY1584" s="12"/>
      <c r="AZ1584" s="12"/>
      <c r="BA1584" s="12"/>
      <c r="BB1584" s="12"/>
      <c r="BC1584" s="12"/>
      <c r="BD1584" s="12"/>
      <c r="BF1584" s="106" t="str">
        <f t="shared" si="1"/>
        <v>#VALUE!</v>
      </c>
      <c r="BG1584" s="21">
        <f t="shared" si="2"/>
        <v>12</v>
      </c>
    </row>
    <row r="1585">
      <c r="P1585" s="161"/>
      <c r="AI1585" s="102"/>
      <c r="AO1585" s="12"/>
      <c r="AP1585" s="12"/>
      <c r="AQ1585" s="12"/>
      <c r="AR1585" s="12"/>
      <c r="AS1585" s="12"/>
      <c r="AT1585" s="12"/>
      <c r="AU1585" s="12"/>
      <c r="AV1585" s="12"/>
      <c r="AW1585" s="12"/>
      <c r="AX1585" s="12"/>
      <c r="AY1585" s="12"/>
      <c r="AZ1585" s="12"/>
      <c r="BA1585" s="12"/>
      <c r="BB1585" s="12"/>
      <c r="BC1585" s="12"/>
      <c r="BD1585" s="12"/>
      <c r="BF1585" s="106" t="str">
        <f t="shared" si="1"/>
        <v>#VALUE!</v>
      </c>
      <c r="BG1585" s="21">
        <f t="shared" si="2"/>
        <v>12</v>
      </c>
    </row>
    <row r="1586">
      <c r="P1586" s="161"/>
      <c r="AI1586" s="102"/>
      <c r="AO1586" s="12"/>
      <c r="AP1586" s="12"/>
      <c r="AQ1586" s="12"/>
      <c r="AR1586" s="12"/>
      <c r="AS1586" s="12"/>
      <c r="AT1586" s="12"/>
      <c r="AU1586" s="12"/>
      <c r="AV1586" s="12"/>
      <c r="AW1586" s="12"/>
      <c r="AX1586" s="12"/>
      <c r="AY1586" s="12"/>
      <c r="AZ1586" s="12"/>
      <c r="BA1586" s="12"/>
      <c r="BB1586" s="12"/>
      <c r="BC1586" s="12"/>
      <c r="BD1586" s="12"/>
      <c r="BF1586" s="106" t="str">
        <f t="shared" si="1"/>
        <v>#VALUE!</v>
      </c>
      <c r="BG1586" s="21">
        <f t="shared" si="2"/>
        <v>12</v>
      </c>
    </row>
    <row r="1587">
      <c r="P1587" s="161"/>
      <c r="AI1587" s="102"/>
      <c r="AO1587" s="12"/>
      <c r="AP1587" s="12"/>
      <c r="AQ1587" s="12"/>
      <c r="AR1587" s="12"/>
      <c r="AS1587" s="12"/>
      <c r="AT1587" s="12"/>
      <c r="AU1587" s="12"/>
      <c r="AV1587" s="12"/>
      <c r="AW1587" s="12"/>
      <c r="AX1587" s="12"/>
      <c r="AY1587" s="12"/>
      <c r="AZ1587" s="12"/>
      <c r="BA1587" s="12"/>
      <c r="BB1587" s="12"/>
      <c r="BC1587" s="12"/>
      <c r="BD1587" s="12"/>
      <c r="BF1587" s="106" t="str">
        <f t="shared" si="1"/>
        <v>#VALUE!</v>
      </c>
      <c r="BG1587" s="21">
        <f t="shared" si="2"/>
        <v>12</v>
      </c>
    </row>
    <row r="1588">
      <c r="P1588" s="161"/>
      <c r="AI1588" s="102"/>
      <c r="AO1588" s="12"/>
      <c r="AP1588" s="12"/>
      <c r="AQ1588" s="12"/>
      <c r="AR1588" s="12"/>
      <c r="AS1588" s="12"/>
      <c r="AT1588" s="12"/>
      <c r="AU1588" s="12"/>
      <c r="AV1588" s="12"/>
      <c r="AW1588" s="12"/>
      <c r="AX1588" s="12"/>
      <c r="AY1588" s="12"/>
      <c r="AZ1588" s="12"/>
      <c r="BA1588" s="12"/>
      <c r="BB1588" s="12"/>
      <c r="BC1588" s="12"/>
      <c r="BD1588" s="12"/>
      <c r="BF1588" s="106" t="str">
        <f t="shared" si="1"/>
        <v>#VALUE!</v>
      </c>
      <c r="BG1588" s="21">
        <f t="shared" si="2"/>
        <v>12</v>
      </c>
    </row>
    <row r="1589">
      <c r="P1589" s="161"/>
      <c r="AI1589" s="102"/>
      <c r="AO1589" s="12"/>
      <c r="AP1589" s="12"/>
      <c r="AQ1589" s="12"/>
      <c r="AR1589" s="12"/>
      <c r="AS1589" s="12"/>
      <c r="AT1589" s="12"/>
      <c r="AU1589" s="12"/>
      <c r="AV1589" s="12"/>
      <c r="AW1589" s="12"/>
      <c r="AX1589" s="12"/>
      <c r="AY1589" s="12"/>
      <c r="AZ1589" s="12"/>
      <c r="BA1589" s="12"/>
      <c r="BB1589" s="12"/>
      <c r="BC1589" s="12"/>
      <c r="BD1589" s="12"/>
      <c r="BF1589" s="106" t="str">
        <f t="shared" si="1"/>
        <v>#VALUE!</v>
      </c>
      <c r="BG1589" s="21">
        <f t="shared" si="2"/>
        <v>12</v>
      </c>
    </row>
    <row r="1590">
      <c r="P1590" s="161"/>
      <c r="AI1590" s="102"/>
      <c r="AO1590" s="12"/>
      <c r="AP1590" s="12"/>
      <c r="AQ1590" s="12"/>
      <c r="AR1590" s="12"/>
      <c r="AS1590" s="12"/>
      <c r="AT1590" s="12"/>
      <c r="AU1590" s="12"/>
      <c r="AV1590" s="12"/>
      <c r="AW1590" s="12"/>
      <c r="AX1590" s="12"/>
      <c r="AY1590" s="12"/>
      <c r="AZ1590" s="12"/>
      <c r="BA1590" s="12"/>
      <c r="BB1590" s="12"/>
      <c r="BC1590" s="12"/>
      <c r="BD1590" s="12"/>
      <c r="BF1590" s="106" t="str">
        <f t="shared" si="1"/>
        <v>#VALUE!</v>
      </c>
      <c r="BG1590" s="21">
        <f t="shared" si="2"/>
        <v>12</v>
      </c>
    </row>
    <row r="1591">
      <c r="P1591" s="161"/>
      <c r="AI1591" s="102"/>
      <c r="AO1591" s="12"/>
      <c r="AP1591" s="12"/>
      <c r="AQ1591" s="12"/>
      <c r="AR1591" s="12"/>
      <c r="AS1591" s="12"/>
      <c r="AT1591" s="12"/>
      <c r="AU1591" s="12"/>
      <c r="AV1591" s="12"/>
      <c r="AW1591" s="12"/>
      <c r="AX1591" s="12"/>
      <c r="AY1591" s="12"/>
      <c r="AZ1591" s="12"/>
      <c r="BA1591" s="12"/>
      <c r="BB1591" s="12"/>
      <c r="BC1591" s="12"/>
      <c r="BD1591" s="12"/>
      <c r="BF1591" s="106" t="str">
        <f t="shared" si="1"/>
        <v>#VALUE!</v>
      </c>
      <c r="BG1591" s="21">
        <f t="shared" si="2"/>
        <v>12</v>
      </c>
    </row>
    <row r="1592">
      <c r="P1592" s="161"/>
      <c r="AI1592" s="102"/>
      <c r="AO1592" s="12"/>
      <c r="AP1592" s="12"/>
      <c r="AQ1592" s="12"/>
      <c r="AR1592" s="12"/>
      <c r="AS1592" s="12"/>
      <c r="AT1592" s="12"/>
      <c r="AU1592" s="12"/>
      <c r="AV1592" s="12"/>
      <c r="AW1592" s="12"/>
      <c r="AX1592" s="12"/>
      <c r="AY1592" s="12"/>
      <c r="AZ1592" s="12"/>
      <c r="BA1592" s="12"/>
      <c r="BB1592" s="12"/>
      <c r="BC1592" s="12"/>
      <c r="BD1592" s="12"/>
      <c r="BF1592" s="106" t="str">
        <f t="shared" si="1"/>
        <v>#VALUE!</v>
      </c>
      <c r="BG1592" s="21">
        <f t="shared" si="2"/>
        <v>12</v>
      </c>
    </row>
    <row r="1593">
      <c r="P1593" s="161"/>
      <c r="AI1593" s="102"/>
      <c r="AO1593" s="12"/>
      <c r="AP1593" s="12"/>
      <c r="AQ1593" s="12"/>
      <c r="AR1593" s="12"/>
      <c r="AS1593" s="12"/>
      <c r="AT1593" s="12"/>
      <c r="AU1593" s="12"/>
      <c r="AV1593" s="12"/>
      <c r="AW1593" s="12"/>
      <c r="AX1593" s="12"/>
      <c r="AY1593" s="12"/>
      <c r="AZ1593" s="12"/>
      <c r="BA1593" s="12"/>
      <c r="BB1593" s="12"/>
      <c r="BC1593" s="12"/>
      <c r="BD1593" s="12"/>
      <c r="BF1593" s="106" t="str">
        <f t="shared" si="1"/>
        <v>#VALUE!</v>
      </c>
      <c r="BG1593" s="21">
        <f t="shared" si="2"/>
        <v>12</v>
      </c>
    </row>
    <row r="1594">
      <c r="P1594" s="161"/>
      <c r="AI1594" s="102"/>
      <c r="AO1594" s="12"/>
      <c r="AP1594" s="12"/>
      <c r="AQ1594" s="12"/>
      <c r="AR1594" s="12"/>
      <c r="AS1594" s="12"/>
      <c r="AT1594" s="12"/>
      <c r="AU1594" s="12"/>
      <c r="AV1594" s="12"/>
      <c r="AW1594" s="12"/>
      <c r="AX1594" s="12"/>
      <c r="AY1594" s="12"/>
      <c r="AZ1594" s="12"/>
      <c r="BA1594" s="12"/>
      <c r="BB1594" s="12"/>
      <c r="BC1594" s="12"/>
      <c r="BD1594" s="12"/>
      <c r="BF1594" s="106" t="str">
        <f t="shared" si="1"/>
        <v>#VALUE!</v>
      </c>
      <c r="BG1594" s="21">
        <f t="shared" si="2"/>
        <v>12</v>
      </c>
    </row>
    <row r="1595">
      <c r="P1595" s="161"/>
      <c r="AI1595" s="102"/>
      <c r="AO1595" s="12"/>
      <c r="AP1595" s="12"/>
      <c r="AQ1595" s="12"/>
      <c r="AR1595" s="12"/>
      <c r="AS1595" s="12"/>
      <c r="AT1595" s="12"/>
      <c r="AU1595" s="12"/>
      <c r="AV1595" s="12"/>
      <c r="AW1595" s="12"/>
      <c r="AX1595" s="12"/>
      <c r="AY1595" s="12"/>
      <c r="AZ1595" s="12"/>
      <c r="BA1595" s="12"/>
      <c r="BB1595" s="12"/>
      <c r="BC1595" s="12"/>
      <c r="BD1595" s="12"/>
      <c r="BF1595" s="106" t="str">
        <f t="shared" si="1"/>
        <v>#VALUE!</v>
      </c>
      <c r="BG1595" s="21">
        <f t="shared" si="2"/>
        <v>12</v>
      </c>
    </row>
    <row r="1596">
      <c r="P1596" s="161"/>
      <c r="AI1596" s="102"/>
      <c r="AO1596" s="12"/>
      <c r="AP1596" s="12"/>
      <c r="AQ1596" s="12"/>
      <c r="AR1596" s="12"/>
      <c r="AS1596" s="12"/>
      <c r="AT1596" s="12"/>
      <c r="AU1596" s="12"/>
      <c r="AV1596" s="12"/>
      <c r="AW1596" s="12"/>
      <c r="AX1596" s="12"/>
      <c r="AY1596" s="12"/>
      <c r="AZ1596" s="12"/>
      <c r="BA1596" s="12"/>
      <c r="BB1596" s="12"/>
      <c r="BC1596" s="12"/>
      <c r="BD1596" s="12"/>
      <c r="BF1596" s="106" t="str">
        <f t="shared" si="1"/>
        <v>#VALUE!</v>
      </c>
      <c r="BG1596" s="21">
        <f t="shared" si="2"/>
        <v>12</v>
      </c>
    </row>
    <row r="1597">
      <c r="P1597" s="161"/>
      <c r="AI1597" s="102"/>
      <c r="AO1597" s="12"/>
      <c r="AP1597" s="12"/>
      <c r="AQ1597" s="12"/>
      <c r="AR1597" s="12"/>
      <c r="AS1597" s="12"/>
      <c r="AT1597" s="12"/>
      <c r="AU1597" s="12"/>
      <c r="AV1597" s="12"/>
      <c r="AW1597" s="12"/>
      <c r="AX1597" s="12"/>
      <c r="AY1597" s="12"/>
      <c r="AZ1597" s="12"/>
      <c r="BA1597" s="12"/>
      <c r="BB1597" s="12"/>
      <c r="BC1597" s="12"/>
      <c r="BD1597" s="12"/>
      <c r="BF1597" s="106" t="str">
        <f t="shared" si="1"/>
        <v>#VALUE!</v>
      </c>
      <c r="BG1597" s="21">
        <f t="shared" si="2"/>
        <v>12</v>
      </c>
    </row>
    <row r="1598">
      <c r="P1598" s="161"/>
      <c r="AI1598" s="102"/>
      <c r="AO1598" s="12"/>
      <c r="AP1598" s="12"/>
      <c r="AQ1598" s="12"/>
      <c r="AR1598" s="12"/>
      <c r="AS1598" s="12"/>
      <c r="AT1598" s="12"/>
      <c r="AU1598" s="12"/>
      <c r="AV1598" s="12"/>
      <c r="AW1598" s="12"/>
      <c r="AX1598" s="12"/>
      <c r="AY1598" s="12"/>
      <c r="AZ1598" s="12"/>
      <c r="BA1598" s="12"/>
      <c r="BB1598" s="12"/>
      <c r="BC1598" s="12"/>
      <c r="BD1598" s="12"/>
      <c r="BF1598" s="106" t="str">
        <f t="shared" si="1"/>
        <v>#VALUE!</v>
      </c>
      <c r="BG1598" s="21">
        <f t="shared" si="2"/>
        <v>12</v>
      </c>
    </row>
    <row r="1599">
      <c r="P1599" s="161"/>
      <c r="AI1599" s="102"/>
      <c r="AO1599" s="12"/>
      <c r="AP1599" s="12"/>
      <c r="AQ1599" s="12"/>
      <c r="AR1599" s="12"/>
      <c r="AS1599" s="12"/>
      <c r="AT1599" s="12"/>
      <c r="AU1599" s="12"/>
      <c r="AV1599" s="12"/>
      <c r="AW1599" s="12"/>
      <c r="AX1599" s="12"/>
      <c r="AY1599" s="12"/>
      <c r="AZ1599" s="12"/>
      <c r="BA1599" s="12"/>
      <c r="BB1599" s="12"/>
      <c r="BC1599" s="12"/>
      <c r="BD1599" s="12"/>
      <c r="BF1599" s="106" t="str">
        <f t="shared" si="1"/>
        <v>#VALUE!</v>
      </c>
      <c r="BG1599" s="21">
        <f t="shared" si="2"/>
        <v>12</v>
      </c>
    </row>
    <row r="1600">
      <c r="P1600" s="161"/>
      <c r="AI1600" s="102"/>
      <c r="AO1600" s="12"/>
      <c r="AP1600" s="12"/>
      <c r="AQ1600" s="12"/>
      <c r="AR1600" s="12"/>
      <c r="AS1600" s="12"/>
      <c r="AT1600" s="12"/>
      <c r="AU1600" s="12"/>
      <c r="AV1600" s="12"/>
      <c r="AW1600" s="12"/>
      <c r="AX1600" s="12"/>
      <c r="AY1600" s="12"/>
      <c r="AZ1600" s="12"/>
      <c r="BA1600" s="12"/>
      <c r="BB1600" s="12"/>
      <c r="BC1600" s="12"/>
      <c r="BD1600" s="12"/>
      <c r="BF1600" s="106" t="str">
        <f t="shared" si="1"/>
        <v>#VALUE!</v>
      </c>
      <c r="BG1600" s="21">
        <f t="shared" si="2"/>
        <v>12</v>
      </c>
    </row>
    <row r="1601">
      <c r="P1601" s="161"/>
      <c r="AI1601" s="102"/>
      <c r="AO1601" s="12"/>
      <c r="AP1601" s="12"/>
      <c r="AQ1601" s="12"/>
      <c r="AR1601" s="12"/>
      <c r="AS1601" s="12"/>
      <c r="AT1601" s="12"/>
      <c r="AU1601" s="12"/>
      <c r="AV1601" s="12"/>
      <c r="AW1601" s="12"/>
      <c r="AX1601" s="12"/>
      <c r="AY1601" s="12"/>
      <c r="AZ1601" s="12"/>
      <c r="BA1601" s="12"/>
      <c r="BB1601" s="12"/>
      <c r="BC1601" s="12"/>
      <c r="BD1601" s="12"/>
      <c r="BF1601" s="106" t="str">
        <f t="shared" si="1"/>
        <v>#VALUE!</v>
      </c>
      <c r="BG1601" s="21">
        <f t="shared" si="2"/>
        <v>12</v>
      </c>
    </row>
    <row r="1602">
      <c r="P1602" s="161"/>
      <c r="AI1602" s="102"/>
      <c r="AO1602" s="12"/>
      <c r="AP1602" s="12"/>
      <c r="AQ1602" s="12"/>
      <c r="AR1602" s="12"/>
      <c r="AS1602" s="12"/>
      <c r="AT1602" s="12"/>
      <c r="AU1602" s="12"/>
      <c r="AV1602" s="12"/>
      <c r="AW1602" s="12"/>
      <c r="AX1602" s="12"/>
      <c r="AY1602" s="12"/>
      <c r="AZ1602" s="12"/>
      <c r="BA1602" s="12"/>
      <c r="BB1602" s="12"/>
      <c r="BC1602" s="12"/>
      <c r="BD1602" s="12"/>
      <c r="BF1602" s="106" t="str">
        <f t="shared" si="1"/>
        <v>#VALUE!</v>
      </c>
      <c r="BG1602" s="21">
        <f t="shared" si="2"/>
        <v>12</v>
      </c>
    </row>
    <row r="1603">
      <c r="P1603" s="161"/>
      <c r="AI1603" s="102"/>
      <c r="AO1603" s="12"/>
      <c r="AP1603" s="12"/>
      <c r="AQ1603" s="12"/>
      <c r="AR1603" s="12"/>
      <c r="AS1603" s="12"/>
      <c r="AT1603" s="12"/>
      <c r="AU1603" s="12"/>
      <c r="AV1603" s="12"/>
      <c r="AW1603" s="12"/>
      <c r="AX1603" s="12"/>
      <c r="AY1603" s="12"/>
      <c r="AZ1603" s="12"/>
      <c r="BA1603" s="12"/>
      <c r="BB1603" s="12"/>
      <c r="BC1603" s="12"/>
      <c r="BD1603" s="12"/>
      <c r="BF1603" s="106" t="str">
        <f t="shared" si="1"/>
        <v>#VALUE!</v>
      </c>
      <c r="BG1603" s="21">
        <f t="shared" si="2"/>
        <v>12</v>
      </c>
    </row>
    <row r="1604">
      <c r="P1604" s="161"/>
      <c r="AI1604" s="102"/>
      <c r="AO1604" s="12"/>
      <c r="AP1604" s="12"/>
      <c r="AQ1604" s="12"/>
      <c r="AR1604" s="12"/>
      <c r="AS1604" s="12"/>
      <c r="AT1604" s="12"/>
      <c r="AU1604" s="12"/>
      <c r="AV1604" s="12"/>
      <c r="AW1604" s="12"/>
      <c r="AX1604" s="12"/>
      <c r="AY1604" s="12"/>
      <c r="AZ1604" s="12"/>
      <c r="BA1604" s="12"/>
      <c r="BB1604" s="12"/>
      <c r="BC1604" s="12"/>
      <c r="BD1604" s="12"/>
      <c r="BF1604" s="106" t="str">
        <f t="shared" si="1"/>
        <v>#VALUE!</v>
      </c>
      <c r="BG1604" s="21">
        <f t="shared" si="2"/>
        <v>12</v>
      </c>
    </row>
    <row r="1605">
      <c r="P1605" s="161"/>
      <c r="AI1605" s="102"/>
      <c r="AO1605" s="12"/>
      <c r="AP1605" s="12"/>
      <c r="AQ1605" s="12"/>
      <c r="AR1605" s="12"/>
      <c r="AS1605" s="12"/>
      <c r="AT1605" s="12"/>
      <c r="AU1605" s="12"/>
      <c r="AV1605" s="12"/>
      <c r="AW1605" s="12"/>
      <c r="AX1605" s="12"/>
      <c r="AY1605" s="12"/>
      <c r="AZ1605" s="12"/>
      <c r="BA1605" s="12"/>
      <c r="BB1605" s="12"/>
      <c r="BC1605" s="12"/>
      <c r="BD1605" s="12"/>
      <c r="BF1605" s="106" t="str">
        <f t="shared" si="1"/>
        <v>#VALUE!</v>
      </c>
      <c r="BG1605" s="21">
        <f t="shared" si="2"/>
        <v>12</v>
      </c>
    </row>
    <row r="1606">
      <c r="P1606" s="161"/>
      <c r="AI1606" s="102"/>
      <c r="AO1606" s="12"/>
      <c r="AP1606" s="12"/>
      <c r="AQ1606" s="12"/>
      <c r="AR1606" s="12"/>
      <c r="AS1606" s="12"/>
      <c r="AT1606" s="12"/>
      <c r="AU1606" s="12"/>
      <c r="AV1606" s="12"/>
      <c r="AW1606" s="12"/>
      <c r="AX1606" s="12"/>
      <c r="AY1606" s="12"/>
      <c r="AZ1606" s="12"/>
      <c r="BA1606" s="12"/>
      <c r="BB1606" s="12"/>
      <c r="BC1606" s="12"/>
      <c r="BD1606" s="12"/>
      <c r="BF1606" s="106" t="str">
        <f t="shared" si="1"/>
        <v>#VALUE!</v>
      </c>
      <c r="BG1606" s="21">
        <f t="shared" si="2"/>
        <v>12</v>
      </c>
    </row>
    <row r="1607">
      <c r="P1607" s="161"/>
      <c r="AI1607" s="102"/>
      <c r="AO1607" s="12"/>
      <c r="AP1607" s="12"/>
      <c r="AQ1607" s="12"/>
      <c r="AR1607" s="12"/>
      <c r="AS1607" s="12"/>
      <c r="AT1607" s="12"/>
      <c r="AU1607" s="12"/>
      <c r="AV1607" s="12"/>
      <c r="AW1607" s="12"/>
      <c r="AX1607" s="12"/>
      <c r="AY1607" s="12"/>
      <c r="AZ1607" s="12"/>
      <c r="BA1607" s="12"/>
      <c r="BB1607" s="12"/>
      <c r="BC1607" s="12"/>
      <c r="BD1607" s="12"/>
      <c r="BF1607" s="106" t="str">
        <f t="shared" si="1"/>
        <v>#VALUE!</v>
      </c>
      <c r="BG1607" s="21">
        <f t="shared" si="2"/>
        <v>12</v>
      </c>
    </row>
    <row r="1608">
      <c r="P1608" s="161"/>
      <c r="AI1608" s="102"/>
      <c r="AO1608" s="12"/>
      <c r="AP1608" s="12"/>
      <c r="AQ1608" s="12"/>
      <c r="AR1608" s="12"/>
      <c r="AS1608" s="12"/>
      <c r="AT1608" s="12"/>
      <c r="AU1608" s="12"/>
      <c r="AV1608" s="12"/>
      <c r="AW1608" s="12"/>
      <c r="AX1608" s="12"/>
      <c r="AY1608" s="12"/>
      <c r="AZ1608" s="12"/>
      <c r="BA1608" s="12"/>
      <c r="BB1608" s="12"/>
      <c r="BC1608" s="12"/>
      <c r="BD1608" s="12"/>
      <c r="BF1608" s="106" t="str">
        <f t="shared" si="1"/>
        <v>#VALUE!</v>
      </c>
      <c r="BG1608" s="21">
        <f t="shared" si="2"/>
        <v>12</v>
      </c>
    </row>
    <row r="1609">
      <c r="P1609" s="161"/>
      <c r="AI1609" s="102"/>
      <c r="AO1609" s="12"/>
      <c r="AP1609" s="12"/>
      <c r="AQ1609" s="12"/>
      <c r="AR1609" s="12"/>
      <c r="AS1609" s="12"/>
      <c r="AT1609" s="12"/>
      <c r="AU1609" s="12"/>
      <c r="AV1609" s="12"/>
      <c r="AW1609" s="12"/>
      <c r="AX1609" s="12"/>
      <c r="AY1609" s="12"/>
      <c r="AZ1609" s="12"/>
      <c r="BA1609" s="12"/>
      <c r="BB1609" s="12"/>
      <c r="BC1609" s="12"/>
      <c r="BD1609" s="12"/>
      <c r="BF1609" s="106" t="str">
        <f t="shared" si="1"/>
        <v>#VALUE!</v>
      </c>
      <c r="BG1609" s="21">
        <f t="shared" si="2"/>
        <v>12</v>
      </c>
    </row>
    <row r="1610">
      <c r="P1610" s="161"/>
      <c r="AI1610" s="102"/>
      <c r="AO1610" s="12"/>
      <c r="AP1610" s="12"/>
      <c r="AQ1610" s="12"/>
      <c r="AR1610" s="12"/>
      <c r="AS1610" s="12"/>
      <c r="AT1610" s="12"/>
      <c r="AU1610" s="12"/>
      <c r="AV1610" s="12"/>
      <c r="AW1610" s="12"/>
      <c r="AX1610" s="12"/>
      <c r="AY1610" s="12"/>
      <c r="AZ1610" s="12"/>
      <c r="BA1610" s="12"/>
      <c r="BB1610" s="12"/>
      <c r="BC1610" s="12"/>
      <c r="BD1610" s="12"/>
      <c r="BF1610" s="106" t="str">
        <f t="shared" si="1"/>
        <v>#VALUE!</v>
      </c>
      <c r="BG1610" s="21">
        <f t="shared" si="2"/>
        <v>12</v>
      </c>
    </row>
    <row r="1611">
      <c r="P1611" s="161"/>
      <c r="AI1611" s="102"/>
      <c r="AO1611" s="12"/>
      <c r="AP1611" s="12"/>
      <c r="AQ1611" s="12"/>
      <c r="AR1611" s="12"/>
      <c r="AS1611" s="12"/>
      <c r="AT1611" s="12"/>
      <c r="AU1611" s="12"/>
      <c r="AV1611" s="12"/>
      <c r="AW1611" s="12"/>
      <c r="AX1611" s="12"/>
      <c r="AY1611" s="12"/>
      <c r="AZ1611" s="12"/>
      <c r="BA1611" s="12"/>
      <c r="BB1611" s="12"/>
      <c r="BC1611" s="12"/>
      <c r="BD1611" s="12"/>
      <c r="BF1611" s="106" t="str">
        <f t="shared" si="1"/>
        <v>#VALUE!</v>
      </c>
      <c r="BG1611" s="21">
        <f t="shared" si="2"/>
        <v>12</v>
      </c>
    </row>
    <row r="1612">
      <c r="P1612" s="161"/>
      <c r="AI1612" s="102"/>
      <c r="AO1612" s="12"/>
      <c r="AP1612" s="12"/>
      <c r="AQ1612" s="12"/>
      <c r="AR1612" s="12"/>
      <c r="AS1612" s="12"/>
      <c r="AT1612" s="12"/>
      <c r="AU1612" s="12"/>
      <c r="AV1612" s="12"/>
      <c r="AW1612" s="12"/>
      <c r="AX1612" s="12"/>
      <c r="AY1612" s="12"/>
      <c r="AZ1612" s="12"/>
      <c r="BA1612" s="12"/>
      <c r="BB1612" s="12"/>
      <c r="BC1612" s="12"/>
      <c r="BD1612" s="12"/>
      <c r="BF1612" s="106" t="str">
        <f t="shared" si="1"/>
        <v>#VALUE!</v>
      </c>
      <c r="BG1612" s="21">
        <f t="shared" si="2"/>
        <v>12</v>
      </c>
    </row>
    <row r="1613">
      <c r="P1613" s="161"/>
      <c r="AI1613" s="102"/>
      <c r="AO1613" s="12"/>
      <c r="AP1613" s="12"/>
      <c r="AQ1613" s="12"/>
      <c r="AR1613" s="12"/>
      <c r="AS1613" s="12"/>
      <c r="AT1613" s="12"/>
      <c r="AU1613" s="12"/>
      <c r="AV1613" s="12"/>
      <c r="AW1613" s="12"/>
      <c r="AX1613" s="12"/>
      <c r="AY1613" s="12"/>
      <c r="AZ1613" s="12"/>
      <c r="BA1613" s="12"/>
      <c r="BB1613" s="12"/>
      <c r="BC1613" s="12"/>
      <c r="BD1613" s="12"/>
      <c r="BF1613" s="106" t="str">
        <f t="shared" si="1"/>
        <v>#VALUE!</v>
      </c>
      <c r="BG1613" s="21">
        <f t="shared" si="2"/>
        <v>12</v>
      </c>
    </row>
    <row r="1614">
      <c r="P1614" s="161"/>
      <c r="AI1614" s="102"/>
      <c r="AO1614" s="12"/>
      <c r="AP1614" s="12"/>
      <c r="AQ1614" s="12"/>
      <c r="AR1614" s="12"/>
      <c r="AS1614" s="12"/>
      <c r="AT1614" s="12"/>
      <c r="AU1614" s="12"/>
      <c r="AV1614" s="12"/>
      <c r="AW1614" s="12"/>
      <c r="AX1614" s="12"/>
      <c r="AY1614" s="12"/>
      <c r="AZ1614" s="12"/>
      <c r="BA1614" s="12"/>
      <c r="BB1614" s="12"/>
      <c r="BC1614" s="12"/>
      <c r="BD1614" s="12"/>
      <c r="BF1614" s="106" t="str">
        <f t="shared" si="1"/>
        <v>#VALUE!</v>
      </c>
      <c r="BG1614" s="21">
        <f t="shared" si="2"/>
        <v>12</v>
      </c>
    </row>
    <row r="1615">
      <c r="P1615" s="161"/>
      <c r="AI1615" s="102"/>
      <c r="AO1615" s="12"/>
      <c r="AP1615" s="12"/>
      <c r="AQ1615" s="12"/>
      <c r="AR1615" s="12"/>
      <c r="AS1615" s="12"/>
      <c r="AT1615" s="12"/>
      <c r="AU1615" s="12"/>
      <c r="AV1615" s="12"/>
      <c r="AW1615" s="12"/>
      <c r="AX1615" s="12"/>
      <c r="AY1615" s="12"/>
      <c r="AZ1615" s="12"/>
      <c r="BA1615" s="12"/>
      <c r="BB1615" s="12"/>
      <c r="BC1615" s="12"/>
      <c r="BD1615" s="12"/>
      <c r="BF1615" s="106" t="str">
        <f t="shared" si="1"/>
        <v>#VALUE!</v>
      </c>
      <c r="BG1615" s="21">
        <f t="shared" si="2"/>
        <v>12</v>
      </c>
    </row>
    <row r="1616">
      <c r="P1616" s="161"/>
      <c r="AI1616" s="102"/>
      <c r="AO1616" s="12"/>
      <c r="AP1616" s="12"/>
      <c r="AQ1616" s="12"/>
      <c r="AR1616" s="12"/>
      <c r="AS1616" s="12"/>
      <c r="AT1616" s="12"/>
      <c r="AU1616" s="12"/>
      <c r="AV1616" s="12"/>
      <c r="AW1616" s="12"/>
      <c r="AX1616" s="12"/>
      <c r="AY1616" s="12"/>
      <c r="AZ1616" s="12"/>
      <c r="BA1616" s="12"/>
      <c r="BB1616" s="12"/>
      <c r="BC1616" s="12"/>
      <c r="BD1616" s="12"/>
      <c r="BF1616" s="106" t="str">
        <f t="shared" si="1"/>
        <v>#VALUE!</v>
      </c>
      <c r="BG1616" s="21">
        <f t="shared" si="2"/>
        <v>12</v>
      </c>
    </row>
    <row r="1617">
      <c r="P1617" s="161"/>
      <c r="AI1617" s="102"/>
      <c r="AO1617" s="12"/>
      <c r="AP1617" s="12"/>
      <c r="AQ1617" s="12"/>
      <c r="AR1617" s="12"/>
      <c r="AS1617" s="12"/>
      <c r="AT1617" s="12"/>
      <c r="AU1617" s="12"/>
      <c r="AV1617" s="12"/>
      <c r="AW1617" s="12"/>
      <c r="AX1617" s="12"/>
      <c r="AY1617" s="12"/>
      <c r="AZ1617" s="12"/>
      <c r="BA1617" s="12"/>
      <c r="BB1617" s="12"/>
      <c r="BC1617" s="12"/>
      <c r="BD1617" s="12"/>
      <c r="BF1617" s="106" t="str">
        <f t="shared" si="1"/>
        <v>#VALUE!</v>
      </c>
      <c r="BG1617" s="21">
        <f t="shared" si="2"/>
        <v>12</v>
      </c>
    </row>
    <row r="1618">
      <c r="P1618" s="161"/>
      <c r="AI1618" s="102"/>
      <c r="AO1618" s="12"/>
      <c r="AP1618" s="12"/>
      <c r="AQ1618" s="12"/>
      <c r="AR1618" s="12"/>
      <c r="AS1618" s="12"/>
      <c r="AT1618" s="12"/>
      <c r="AU1618" s="12"/>
      <c r="AV1618" s="12"/>
      <c r="AW1618" s="12"/>
      <c r="AX1618" s="12"/>
      <c r="AY1618" s="12"/>
      <c r="AZ1618" s="12"/>
      <c r="BA1618" s="12"/>
      <c r="BB1618" s="12"/>
      <c r="BC1618" s="12"/>
      <c r="BD1618" s="12"/>
      <c r="BF1618" s="106" t="str">
        <f t="shared" si="1"/>
        <v>#VALUE!</v>
      </c>
      <c r="BG1618" s="21">
        <f t="shared" si="2"/>
        <v>12</v>
      </c>
    </row>
    <row r="1619">
      <c r="P1619" s="161"/>
      <c r="AI1619" s="102"/>
      <c r="AO1619" s="12"/>
      <c r="AP1619" s="12"/>
      <c r="AQ1619" s="12"/>
      <c r="AR1619" s="12"/>
      <c r="AS1619" s="12"/>
      <c r="AT1619" s="12"/>
      <c r="AU1619" s="12"/>
      <c r="AV1619" s="12"/>
      <c r="AW1619" s="12"/>
      <c r="AX1619" s="12"/>
      <c r="AY1619" s="12"/>
      <c r="AZ1619" s="12"/>
      <c r="BA1619" s="12"/>
      <c r="BB1619" s="12"/>
      <c r="BC1619" s="12"/>
      <c r="BD1619" s="12"/>
      <c r="BF1619" s="106" t="str">
        <f t="shared" si="1"/>
        <v>#VALUE!</v>
      </c>
      <c r="BG1619" s="21">
        <f t="shared" si="2"/>
        <v>12</v>
      </c>
    </row>
    <row r="1620">
      <c r="P1620" s="161"/>
      <c r="AI1620" s="102"/>
      <c r="AO1620" s="12"/>
      <c r="AP1620" s="12"/>
      <c r="AQ1620" s="12"/>
      <c r="AR1620" s="12"/>
      <c r="AS1620" s="12"/>
      <c r="AT1620" s="12"/>
      <c r="AU1620" s="12"/>
      <c r="AV1620" s="12"/>
      <c r="AW1620" s="12"/>
      <c r="AX1620" s="12"/>
      <c r="AY1620" s="12"/>
      <c r="AZ1620" s="12"/>
      <c r="BA1620" s="12"/>
      <c r="BB1620" s="12"/>
      <c r="BC1620" s="12"/>
      <c r="BD1620" s="12"/>
      <c r="BF1620" s="106" t="str">
        <f t="shared" si="1"/>
        <v>#VALUE!</v>
      </c>
      <c r="BG1620" s="21">
        <f t="shared" si="2"/>
        <v>12</v>
      </c>
    </row>
    <row r="1621">
      <c r="P1621" s="161"/>
      <c r="AI1621" s="102"/>
      <c r="AO1621" s="12"/>
      <c r="AP1621" s="12"/>
      <c r="AQ1621" s="12"/>
      <c r="AR1621" s="12"/>
      <c r="AS1621" s="12"/>
      <c r="AT1621" s="12"/>
      <c r="AU1621" s="12"/>
      <c r="AV1621" s="12"/>
      <c r="AW1621" s="12"/>
      <c r="AX1621" s="12"/>
      <c r="AY1621" s="12"/>
      <c r="AZ1621" s="12"/>
      <c r="BA1621" s="12"/>
      <c r="BB1621" s="12"/>
      <c r="BC1621" s="12"/>
      <c r="BD1621" s="12"/>
      <c r="BF1621" s="106" t="str">
        <f t="shared" si="1"/>
        <v>#VALUE!</v>
      </c>
      <c r="BG1621" s="21">
        <f t="shared" si="2"/>
        <v>12</v>
      </c>
    </row>
    <row r="1622">
      <c r="P1622" s="161"/>
      <c r="AI1622" s="102"/>
      <c r="AO1622" s="12"/>
      <c r="AP1622" s="12"/>
      <c r="AQ1622" s="12"/>
      <c r="AR1622" s="12"/>
      <c r="AS1622" s="12"/>
      <c r="AT1622" s="12"/>
      <c r="AU1622" s="12"/>
      <c r="AV1622" s="12"/>
      <c r="AW1622" s="12"/>
      <c r="AX1622" s="12"/>
      <c r="AY1622" s="12"/>
      <c r="AZ1622" s="12"/>
      <c r="BA1622" s="12"/>
      <c r="BB1622" s="12"/>
      <c r="BC1622" s="12"/>
      <c r="BD1622" s="12"/>
      <c r="BF1622" s="106" t="str">
        <f t="shared" si="1"/>
        <v>#VALUE!</v>
      </c>
      <c r="BG1622" s="21">
        <f t="shared" si="2"/>
        <v>12</v>
      </c>
    </row>
    <row r="1623">
      <c r="P1623" s="161"/>
      <c r="AI1623" s="102"/>
      <c r="AO1623" s="12"/>
      <c r="AP1623" s="12"/>
      <c r="AQ1623" s="12"/>
      <c r="AR1623" s="12"/>
      <c r="AS1623" s="12"/>
      <c r="AT1623" s="12"/>
      <c r="AU1623" s="12"/>
      <c r="AV1623" s="12"/>
      <c r="AW1623" s="12"/>
      <c r="AX1623" s="12"/>
      <c r="AY1623" s="12"/>
      <c r="AZ1623" s="12"/>
      <c r="BA1623" s="12"/>
      <c r="BB1623" s="12"/>
      <c r="BC1623" s="12"/>
      <c r="BD1623" s="12"/>
      <c r="BF1623" s="106" t="str">
        <f t="shared" si="1"/>
        <v>#VALUE!</v>
      </c>
      <c r="BG1623" s="21">
        <f t="shared" si="2"/>
        <v>12</v>
      </c>
    </row>
    <row r="1624">
      <c r="P1624" s="161"/>
      <c r="AI1624" s="102"/>
      <c r="AO1624" s="12"/>
      <c r="AP1624" s="12"/>
      <c r="AQ1624" s="12"/>
      <c r="AR1624" s="12"/>
      <c r="AS1624" s="12"/>
      <c r="AT1624" s="12"/>
      <c r="AU1624" s="12"/>
      <c r="AV1624" s="12"/>
      <c r="AW1624" s="12"/>
      <c r="AX1624" s="12"/>
      <c r="AY1624" s="12"/>
      <c r="AZ1624" s="12"/>
      <c r="BA1624" s="12"/>
      <c r="BB1624" s="12"/>
      <c r="BC1624" s="12"/>
      <c r="BD1624" s="12"/>
      <c r="BF1624" s="106" t="str">
        <f t="shared" si="1"/>
        <v>#VALUE!</v>
      </c>
      <c r="BG1624" s="21">
        <f t="shared" si="2"/>
        <v>12</v>
      </c>
    </row>
    <row r="1625">
      <c r="P1625" s="161"/>
      <c r="AI1625" s="102"/>
      <c r="AO1625" s="12"/>
      <c r="AP1625" s="12"/>
      <c r="AQ1625" s="12"/>
      <c r="AR1625" s="12"/>
      <c r="AS1625" s="12"/>
      <c r="AT1625" s="12"/>
      <c r="AU1625" s="12"/>
      <c r="AV1625" s="12"/>
      <c r="AW1625" s="12"/>
      <c r="AX1625" s="12"/>
      <c r="AY1625" s="12"/>
      <c r="AZ1625" s="12"/>
      <c r="BA1625" s="12"/>
      <c r="BB1625" s="12"/>
      <c r="BC1625" s="12"/>
      <c r="BD1625" s="12"/>
      <c r="BF1625" s="106" t="str">
        <f t="shared" si="1"/>
        <v>#VALUE!</v>
      </c>
      <c r="BG1625" s="21">
        <f t="shared" si="2"/>
        <v>12</v>
      </c>
    </row>
    <row r="1626">
      <c r="P1626" s="161"/>
      <c r="AI1626" s="102"/>
      <c r="AO1626" s="12"/>
      <c r="AP1626" s="12"/>
      <c r="AQ1626" s="12"/>
      <c r="AR1626" s="12"/>
      <c r="AS1626" s="12"/>
      <c r="AT1626" s="12"/>
      <c r="AU1626" s="12"/>
      <c r="AV1626" s="12"/>
      <c r="AW1626" s="12"/>
      <c r="AX1626" s="12"/>
      <c r="AY1626" s="12"/>
      <c r="AZ1626" s="12"/>
      <c r="BA1626" s="12"/>
      <c r="BB1626" s="12"/>
      <c r="BC1626" s="12"/>
      <c r="BD1626" s="12"/>
      <c r="BF1626" s="106" t="str">
        <f t="shared" si="1"/>
        <v>#VALUE!</v>
      </c>
      <c r="BG1626" s="21">
        <f t="shared" si="2"/>
        <v>12</v>
      </c>
    </row>
    <row r="1627">
      <c r="P1627" s="161"/>
      <c r="AI1627" s="102"/>
      <c r="AO1627" s="12"/>
      <c r="AP1627" s="12"/>
      <c r="AQ1627" s="12"/>
      <c r="AR1627" s="12"/>
      <c r="AS1627" s="12"/>
      <c r="AT1627" s="12"/>
      <c r="AU1627" s="12"/>
      <c r="AV1627" s="12"/>
      <c r="AW1627" s="12"/>
      <c r="AX1627" s="12"/>
      <c r="AY1627" s="12"/>
      <c r="AZ1627" s="12"/>
      <c r="BA1627" s="12"/>
      <c r="BB1627" s="12"/>
      <c r="BC1627" s="12"/>
      <c r="BD1627" s="12"/>
      <c r="BF1627" s="106" t="str">
        <f t="shared" si="1"/>
        <v>#VALUE!</v>
      </c>
      <c r="BG1627" s="21">
        <f t="shared" si="2"/>
        <v>12</v>
      </c>
    </row>
    <row r="1628">
      <c r="P1628" s="161"/>
      <c r="AI1628" s="102"/>
      <c r="AO1628" s="12"/>
      <c r="AP1628" s="12"/>
      <c r="AQ1628" s="12"/>
      <c r="AR1628" s="12"/>
      <c r="AS1628" s="12"/>
      <c r="AT1628" s="12"/>
      <c r="AU1628" s="12"/>
      <c r="AV1628" s="12"/>
      <c r="AW1628" s="12"/>
      <c r="AX1628" s="12"/>
      <c r="AY1628" s="12"/>
      <c r="AZ1628" s="12"/>
      <c r="BA1628" s="12"/>
      <c r="BB1628" s="12"/>
      <c r="BC1628" s="12"/>
      <c r="BD1628" s="12"/>
      <c r="BF1628" s="106" t="str">
        <f t="shared" si="1"/>
        <v>#VALUE!</v>
      </c>
      <c r="BG1628" s="21">
        <f t="shared" si="2"/>
        <v>12</v>
      </c>
    </row>
    <row r="1629">
      <c r="P1629" s="161"/>
      <c r="AI1629" s="102"/>
      <c r="AO1629" s="12"/>
      <c r="AP1629" s="12"/>
      <c r="AQ1629" s="12"/>
      <c r="AR1629" s="12"/>
      <c r="AS1629" s="12"/>
      <c r="AT1629" s="12"/>
      <c r="AU1629" s="12"/>
      <c r="AV1629" s="12"/>
      <c r="AW1629" s="12"/>
      <c r="AX1629" s="12"/>
      <c r="AY1629" s="12"/>
      <c r="AZ1629" s="12"/>
      <c r="BA1629" s="12"/>
      <c r="BB1629" s="12"/>
      <c r="BC1629" s="12"/>
      <c r="BD1629" s="12"/>
      <c r="BF1629" s="106" t="str">
        <f t="shared" si="1"/>
        <v>#VALUE!</v>
      </c>
      <c r="BG1629" s="21">
        <f t="shared" si="2"/>
        <v>12</v>
      </c>
    </row>
    <row r="1630">
      <c r="P1630" s="161"/>
      <c r="AI1630" s="102"/>
      <c r="AO1630" s="12"/>
      <c r="AP1630" s="12"/>
      <c r="AQ1630" s="12"/>
      <c r="AR1630" s="12"/>
      <c r="AS1630" s="12"/>
      <c r="AT1630" s="12"/>
      <c r="AU1630" s="12"/>
      <c r="AV1630" s="12"/>
      <c r="AW1630" s="12"/>
      <c r="AX1630" s="12"/>
      <c r="AY1630" s="12"/>
      <c r="AZ1630" s="12"/>
      <c r="BA1630" s="12"/>
      <c r="BB1630" s="12"/>
      <c r="BC1630" s="12"/>
      <c r="BD1630" s="12"/>
      <c r="BF1630" s="106" t="str">
        <f t="shared" si="1"/>
        <v>#VALUE!</v>
      </c>
      <c r="BG1630" s="21">
        <f t="shared" si="2"/>
        <v>12</v>
      </c>
    </row>
    <row r="1631">
      <c r="P1631" s="161"/>
      <c r="AI1631" s="102"/>
      <c r="AO1631" s="12"/>
      <c r="AP1631" s="12"/>
      <c r="AQ1631" s="12"/>
      <c r="AR1631" s="12"/>
      <c r="AS1631" s="12"/>
      <c r="AT1631" s="12"/>
      <c r="AU1631" s="12"/>
      <c r="AV1631" s="12"/>
      <c r="AW1631" s="12"/>
      <c r="AX1631" s="12"/>
      <c r="AY1631" s="12"/>
      <c r="AZ1631" s="12"/>
      <c r="BA1631" s="12"/>
      <c r="BB1631" s="12"/>
      <c r="BC1631" s="12"/>
      <c r="BD1631" s="12"/>
      <c r="BF1631" s="106" t="str">
        <f t="shared" si="1"/>
        <v>#VALUE!</v>
      </c>
      <c r="BG1631" s="21">
        <f t="shared" si="2"/>
        <v>12</v>
      </c>
    </row>
    <row r="1632">
      <c r="P1632" s="161"/>
      <c r="AI1632" s="102"/>
      <c r="AO1632" s="12"/>
      <c r="AP1632" s="12"/>
      <c r="AQ1632" s="12"/>
      <c r="AR1632" s="12"/>
      <c r="AS1632" s="12"/>
      <c r="AT1632" s="12"/>
      <c r="AU1632" s="12"/>
      <c r="AV1632" s="12"/>
      <c r="AW1632" s="12"/>
      <c r="AX1632" s="12"/>
      <c r="AY1632" s="12"/>
      <c r="AZ1632" s="12"/>
      <c r="BA1632" s="12"/>
      <c r="BB1632" s="12"/>
      <c r="BC1632" s="12"/>
      <c r="BD1632" s="12"/>
      <c r="BF1632" s="106" t="str">
        <f t="shared" si="1"/>
        <v>#VALUE!</v>
      </c>
      <c r="BG1632" s="21">
        <f t="shared" si="2"/>
        <v>12</v>
      </c>
    </row>
    <row r="1633">
      <c r="P1633" s="161"/>
      <c r="AI1633" s="102"/>
      <c r="AO1633" s="12"/>
      <c r="AP1633" s="12"/>
      <c r="AQ1633" s="12"/>
      <c r="AR1633" s="12"/>
      <c r="AS1633" s="12"/>
      <c r="AT1633" s="12"/>
      <c r="AU1633" s="12"/>
      <c r="AV1633" s="12"/>
      <c r="AW1633" s="12"/>
      <c r="AX1633" s="12"/>
      <c r="AY1633" s="12"/>
      <c r="AZ1633" s="12"/>
      <c r="BA1633" s="12"/>
      <c r="BB1633" s="12"/>
      <c r="BC1633" s="12"/>
      <c r="BD1633" s="12"/>
      <c r="BF1633" s="106" t="str">
        <f t="shared" si="1"/>
        <v>#VALUE!</v>
      </c>
      <c r="BG1633" s="21">
        <f t="shared" si="2"/>
        <v>12</v>
      </c>
    </row>
    <row r="1634">
      <c r="P1634" s="161"/>
      <c r="AI1634" s="102"/>
      <c r="AO1634" s="12"/>
      <c r="AP1634" s="12"/>
      <c r="AQ1634" s="12"/>
      <c r="AR1634" s="12"/>
      <c r="AS1634" s="12"/>
      <c r="AT1634" s="12"/>
      <c r="AU1634" s="12"/>
      <c r="AV1634" s="12"/>
      <c r="AW1634" s="12"/>
      <c r="AX1634" s="12"/>
      <c r="AY1634" s="12"/>
      <c r="AZ1634" s="12"/>
      <c r="BA1634" s="12"/>
      <c r="BB1634" s="12"/>
      <c r="BC1634" s="12"/>
      <c r="BD1634" s="12"/>
      <c r="BF1634" s="106" t="str">
        <f t="shared" si="1"/>
        <v>#VALUE!</v>
      </c>
      <c r="BG1634" s="21">
        <f t="shared" si="2"/>
        <v>12</v>
      </c>
    </row>
    <row r="1635">
      <c r="P1635" s="161"/>
      <c r="AI1635" s="102"/>
      <c r="AO1635" s="12"/>
      <c r="AP1635" s="12"/>
      <c r="AQ1635" s="12"/>
      <c r="AR1635" s="12"/>
      <c r="AS1635" s="12"/>
      <c r="AT1635" s="12"/>
      <c r="AU1635" s="12"/>
      <c r="AV1635" s="12"/>
      <c r="AW1635" s="12"/>
      <c r="AX1635" s="12"/>
      <c r="AY1635" s="12"/>
      <c r="AZ1635" s="12"/>
      <c r="BA1635" s="12"/>
      <c r="BB1635" s="12"/>
      <c r="BC1635" s="12"/>
      <c r="BD1635" s="12"/>
      <c r="BF1635" s="106" t="str">
        <f t="shared" si="1"/>
        <v>#VALUE!</v>
      </c>
      <c r="BG1635" s="21">
        <f t="shared" si="2"/>
        <v>12</v>
      </c>
    </row>
    <row r="1636">
      <c r="P1636" s="161"/>
      <c r="AI1636" s="102"/>
      <c r="AO1636" s="12"/>
      <c r="AP1636" s="12"/>
      <c r="AQ1636" s="12"/>
      <c r="AR1636" s="12"/>
      <c r="AS1636" s="12"/>
      <c r="AT1636" s="12"/>
      <c r="AU1636" s="12"/>
      <c r="AV1636" s="12"/>
      <c r="AW1636" s="12"/>
      <c r="AX1636" s="12"/>
      <c r="AY1636" s="12"/>
      <c r="AZ1636" s="12"/>
      <c r="BA1636" s="12"/>
      <c r="BB1636" s="12"/>
      <c r="BC1636" s="12"/>
      <c r="BD1636" s="12"/>
      <c r="BF1636" s="106" t="str">
        <f t="shared" si="1"/>
        <v>#VALUE!</v>
      </c>
      <c r="BG1636" s="21">
        <f t="shared" si="2"/>
        <v>12</v>
      </c>
    </row>
    <row r="1637">
      <c r="P1637" s="161"/>
      <c r="AI1637" s="102"/>
      <c r="AO1637" s="12"/>
      <c r="AP1637" s="12"/>
      <c r="AQ1637" s="12"/>
      <c r="AR1637" s="12"/>
      <c r="AS1637" s="12"/>
      <c r="AT1637" s="12"/>
      <c r="AU1637" s="12"/>
      <c r="AV1637" s="12"/>
      <c r="AW1637" s="12"/>
      <c r="AX1637" s="12"/>
      <c r="AY1637" s="12"/>
      <c r="AZ1637" s="12"/>
      <c r="BA1637" s="12"/>
      <c r="BB1637" s="12"/>
      <c r="BC1637" s="12"/>
      <c r="BD1637" s="12"/>
      <c r="BF1637" s="106" t="str">
        <f t="shared" si="1"/>
        <v>#VALUE!</v>
      </c>
      <c r="BG1637" s="21">
        <f t="shared" si="2"/>
        <v>12</v>
      </c>
    </row>
    <row r="1638">
      <c r="P1638" s="161"/>
      <c r="AI1638" s="102"/>
      <c r="AO1638" s="12"/>
      <c r="AP1638" s="12"/>
      <c r="AQ1638" s="12"/>
      <c r="AR1638" s="12"/>
      <c r="AS1638" s="12"/>
      <c r="AT1638" s="12"/>
      <c r="AU1638" s="12"/>
      <c r="AV1638" s="12"/>
      <c r="AW1638" s="12"/>
      <c r="AX1638" s="12"/>
      <c r="AY1638" s="12"/>
      <c r="AZ1638" s="12"/>
      <c r="BA1638" s="12"/>
      <c r="BB1638" s="12"/>
      <c r="BC1638" s="12"/>
      <c r="BD1638" s="12"/>
      <c r="BF1638" s="106" t="str">
        <f t="shared" si="1"/>
        <v>#VALUE!</v>
      </c>
      <c r="BG1638" s="21">
        <f t="shared" si="2"/>
        <v>12</v>
      </c>
    </row>
    <row r="1639">
      <c r="P1639" s="161"/>
      <c r="AI1639" s="102"/>
      <c r="AO1639" s="12"/>
      <c r="AP1639" s="12"/>
      <c r="AQ1639" s="12"/>
      <c r="AR1639" s="12"/>
      <c r="AS1639" s="12"/>
      <c r="AT1639" s="12"/>
      <c r="AU1639" s="12"/>
      <c r="AV1639" s="12"/>
      <c r="AW1639" s="12"/>
      <c r="AX1639" s="12"/>
      <c r="AY1639" s="12"/>
      <c r="AZ1639" s="12"/>
      <c r="BA1639" s="12"/>
      <c r="BB1639" s="12"/>
      <c r="BC1639" s="12"/>
      <c r="BD1639" s="12"/>
      <c r="BF1639" s="106" t="str">
        <f t="shared" si="1"/>
        <v>#VALUE!</v>
      </c>
      <c r="BG1639" s="21">
        <f t="shared" si="2"/>
        <v>12</v>
      </c>
    </row>
    <row r="1640">
      <c r="P1640" s="161"/>
      <c r="AI1640" s="102"/>
      <c r="AO1640" s="12"/>
      <c r="AP1640" s="12"/>
      <c r="AQ1640" s="12"/>
      <c r="AR1640" s="12"/>
      <c r="AS1640" s="12"/>
      <c r="AT1640" s="12"/>
      <c r="AU1640" s="12"/>
      <c r="AV1640" s="12"/>
      <c r="AW1640" s="12"/>
      <c r="AX1640" s="12"/>
      <c r="AY1640" s="12"/>
      <c r="AZ1640" s="12"/>
      <c r="BA1640" s="12"/>
      <c r="BB1640" s="12"/>
      <c r="BC1640" s="12"/>
      <c r="BD1640" s="12"/>
      <c r="BF1640" s="106" t="str">
        <f t="shared" si="1"/>
        <v>#VALUE!</v>
      </c>
      <c r="BG1640" s="21">
        <f t="shared" si="2"/>
        <v>12</v>
      </c>
    </row>
    <row r="1641">
      <c r="P1641" s="161"/>
      <c r="AI1641" s="102"/>
      <c r="AO1641" s="12"/>
      <c r="AP1641" s="12"/>
      <c r="AQ1641" s="12"/>
      <c r="AR1641" s="12"/>
      <c r="AS1641" s="12"/>
      <c r="AT1641" s="12"/>
      <c r="AU1641" s="12"/>
      <c r="AV1641" s="12"/>
      <c r="AW1641" s="12"/>
      <c r="AX1641" s="12"/>
      <c r="AY1641" s="12"/>
      <c r="AZ1641" s="12"/>
      <c r="BA1641" s="12"/>
      <c r="BB1641" s="12"/>
      <c r="BC1641" s="12"/>
      <c r="BD1641" s="12"/>
      <c r="BF1641" s="106" t="str">
        <f t="shared" si="1"/>
        <v>#VALUE!</v>
      </c>
      <c r="BG1641" s="21">
        <f t="shared" si="2"/>
        <v>12</v>
      </c>
    </row>
    <row r="1642">
      <c r="P1642" s="161"/>
      <c r="AI1642" s="102"/>
      <c r="AO1642" s="12"/>
      <c r="AP1642" s="12"/>
      <c r="AQ1642" s="12"/>
      <c r="AR1642" s="12"/>
      <c r="AS1642" s="12"/>
      <c r="AT1642" s="12"/>
      <c r="AU1642" s="12"/>
      <c r="AV1642" s="12"/>
      <c r="AW1642" s="12"/>
      <c r="AX1642" s="12"/>
      <c r="AY1642" s="12"/>
      <c r="AZ1642" s="12"/>
      <c r="BA1642" s="12"/>
      <c r="BB1642" s="12"/>
      <c r="BC1642" s="12"/>
      <c r="BD1642" s="12"/>
      <c r="BF1642" s="106" t="str">
        <f t="shared" si="1"/>
        <v>#VALUE!</v>
      </c>
      <c r="BG1642" s="21">
        <f t="shared" si="2"/>
        <v>12</v>
      </c>
    </row>
    <row r="1643">
      <c r="P1643" s="161"/>
      <c r="AI1643" s="102"/>
      <c r="AO1643" s="12"/>
      <c r="AP1643" s="12"/>
      <c r="AQ1643" s="12"/>
      <c r="AR1643" s="12"/>
      <c r="AS1643" s="12"/>
      <c r="AT1643" s="12"/>
      <c r="AU1643" s="12"/>
      <c r="AV1643" s="12"/>
      <c r="AW1643" s="12"/>
      <c r="AX1643" s="12"/>
      <c r="AY1643" s="12"/>
      <c r="AZ1643" s="12"/>
      <c r="BA1643" s="12"/>
      <c r="BB1643" s="12"/>
      <c r="BC1643" s="12"/>
      <c r="BD1643" s="12"/>
      <c r="BF1643" s="106" t="str">
        <f t="shared" si="1"/>
        <v>#VALUE!</v>
      </c>
      <c r="BG1643" s="21">
        <f t="shared" si="2"/>
        <v>12</v>
      </c>
    </row>
    <row r="1644">
      <c r="P1644" s="161"/>
      <c r="AI1644" s="102"/>
      <c r="AO1644" s="12"/>
      <c r="AP1644" s="12"/>
      <c r="AQ1644" s="12"/>
      <c r="AR1644" s="12"/>
      <c r="AS1644" s="12"/>
      <c r="AT1644" s="12"/>
      <c r="AU1644" s="12"/>
      <c r="AV1644" s="12"/>
      <c r="AW1644" s="12"/>
      <c r="AX1644" s="12"/>
      <c r="AY1644" s="12"/>
      <c r="AZ1644" s="12"/>
      <c r="BA1644" s="12"/>
      <c r="BB1644" s="12"/>
      <c r="BC1644" s="12"/>
      <c r="BD1644" s="12"/>
      <c r="BF1644" s="106" t="str">
        <f t="shared" si="1"/>
        <v>#VALUE!</v>
      </c>
      <c r="BG1644" s="21">
        <f t="shared" si="2"/>
        <v>12</v>
      </c>
    </row>
    <row r="1645">
      <c r="P1645" s="161"/>
      <c r="AI1645" s="102"/>
      <c r="AO1645" s="12"/>
      <c r="AP1645" s="12"/>
      <c r="AQ1645" s="12"/>
      <c r="AR1645" s="12"/>
      <c r="AS1645" s="12"/>
      <c r="AT1645" s="12"/>
      <c r="AU1645" s="12"/>
      <c r="AV1645" s="12"/>
      <c r="AW1645" s="12"/>
      <c r="AX1645" s="12"/>
      <c r="AY1645" s="12"/>
      <c r="AZ1645" s="12"/>
      <c r="BA1645" s="12"/>
      <c r="BB1645" s="12"/>
      <c r="BC1645" s="12"/>
      <c r="BD1645" s="12"/>
      <c r="BF1645" s="106" t="str">
        <f t="shared" si="1"/>
        <v>#VALUE!</v>
      </c>
      <c r="BG1645" s="21">
        <f t="shared" si="2"/>
        <v>12</v>
      </c>
    </row>
    <row r="1646">
      <c r="P1646" s="161"/>
      <c r="AI1646" s="102"/>
      <c r="AO1646" s="12"/>
      <c r="AP1646" s="12"/>
      <c r="AQ1646" s="12"/>
      <c r="AR1646" s="12"/>
      <c r="AS1646" s="12"/>
      <c r="AT1646" s="12"/>
      <c r="AU1646" s="12"/>
      <c r="AV1646" s="12"/>
      <c r="AW1646" s="12"/>
      <c r="AX1646" s="12"/>
      <c r="AY1646" s="12"/>
      <c r="AZ1646" s="12"/>
      <c r="BA1646" s="12"/>
      <c r="BB1646" s="12"/>
      <c r="BC1646" s="12"/>
      <c r="BD1646" s="12"/>
      <c r="BF1646" s="106" t="str">
        <f t="shared" si="1"/>
        <v>#VALUE!</v>
      </c>
      <c r="BG1646" s="21">
        <f t="shared" si="2"/>
        <v>12</v>
      </c>
    </row>
    <row r="1647">
      <c r="P1647" s="161"/>
      <c r="AI1647" s="102"/>
      <c r="AO1647" s="12"/>
      <c r="AP1647" s="12"/>
      <c r="AQ1647" s="12"/>
      <c r="AR1647" s="12"/>
      <c r="AS1647" s="12"/>
      <c r="AT1647" s="12"/>
      <c r="AU1647" s="12"/>
      <c r="AV1647" s="12"/>
      <c r="AW1647" s="12"/>
      <c r="AX1647" s="12"/>
      <c r="AY1647" s="12"/>
      <c r="AZ1647" s="12"/>
      <c r="BA1647" s="12"/>
      <c r="BB1647" s="12"/>
      <c r="BC1647" s="12"/>
      <c r="BD1647" s="12"/>
      <c r="BF1647" s="106" t="str">
        <f t="shared" si="1"/>
        <v>#VALUE!</v>
      </c>
      <c r="BG1647" s="21">
        <f t="shared" si="2"/>
        <v>12</v>
      </c>
    </row>
    <row r="1648">
      <c r="P1648" s="161"/>
      <c r="AI1648" s="102"/>
      <c r="AO1648" s="12"/>
      <c r="AP1648" s="12"/>
      <c r="AQ1648" s="12"/>
      <c r="AR1648" s="12"/>
      <c r="AS1648" s="12"/>
      <c r="AT1648" s="12"/>
      <c r="AU1648" s="12"/>
      <c r="AV1648" s="12"/>
      <c r="AW1648" s="12"/>
      <c r="AX1648" s="12"/>
      <c r="AY1648" s="12"/>
      <c r="AZ1648" s="12"/>
      <c r="BA1648" s="12"/>
      <c r="BB1648" s="12"/>
      <c r="BC1648" s="12"/>
      <c r="BD1648" s="12"/>
      <c r="BF1648" s="106" t="str">
        <f t="shared" si="1"/>
        <v>#VALUE!</v>
      </c>
      <c r="BG1648" s="21">
        <f t="shared" si="2"/>
        <v>12</v>
      </c>
    </row>
    <row r="1649">
      <c r="P1649" s="161"/>
      <c r="AI1649" s="102"/>
      <c r="AO1649" s="12"/>
      <c r="AP1649" s="12"/>
      <c r="AQ1649" s="12"/>
      <c r="AR1649" s="12"/>
      <c r="AS1649" s="12"/>
      <c r="AT1649" s="12"/>
      <c r="AU1649" s="12"/>
      <c r="AV1649" s="12"/>
      <c r="AW1649" s="12"/>
      <c r="AX1649" s="12"/>
      <c r="AY1649" s="12"/>
      <c r="AZ1649" s="12"/>
      <c r="BA1649" s="12"/>
      <c r="BB1649" s="12"/>
      <c r="BC1649" s="12"/>
      <c r="BD1649" s="12"/>
      <c r="BF1649" s="106" t="str">
        <f t="shared" si="1"/>
        <v>#VALUE!</v>
      </c>
      <c r="BG1649" s="21">
        <f t="shared" si="2"/>
        <v>12</v>
      </c>
    </row>
    <row r="1650">
      <c r="P1650" s="161"/>
      <c r="AI1650" s="102"/>
      <c r="AO1650" s="12"/>
      <c r="AP1650" s="12"/>
      <c r="AQ1650" s="12"/>
      <c r="AR1650" s="12"/>
      <c r="AS1650" s="12"/>
      <c r="AT1650" s="12"/>
      <c r="AU1650" s="12"/>
      <c r="AV1650" s="12"/>
      <c r="AW1650" s="12"/>
      <c r="AX1650" s="12"/>
      <c r="AY1650" s="12"/>
      <c r="AZ1650" s="12"/>
      <c r="BA1650" s="12"/>
      <c r="BB1650" s="12"/>
      <c r="BC1650" s="12"/>
      <c r="BD1650" s="12"/>
      <c r="BF1650" s="106" t="str">
        <f t="shared" si="1"/>
        <v>#VALUE!</v>
      </c>
      <c r="BG1650" s="21">
        <f t="shared" si="2"/>
        <v>12</v>
      </c>
    </row>
    <row r="1651">
      <c r="P1651" s="161"/>
      <c r="AI1651" s="102"/>
      <c r="AO1651" s="12"/>
      <c r="AP1651" s="12"/>
      <c r="AQ1651" s="12"/>
      <c r="AR1651" s="12"/>
      <c r="AS1651" s="12"/>
      <c r="AT1651" s="12"/>
      <c r="AU1651" s="12"/>
      <c r="AV1651" s="12"/>
      <c r="AW1651" s="12"/>
      <c r="AX1651" s="12"/>
      <c r="AY1651" s="12"/>
      <c r="AZ1651" s="12"/>
      <c r="BA1651" s="12"/>
      <c r="BB1651" s="12"/>
      <c r="BC1651" s="12"/>
      <c r="BD1651" s="12"/>
      <c r="BF1651" s="106" t="str">
        <f t="shared" si="1"/>
        <v>#VALUE!</v>
      </c>
      <c r="BG1651" s="21">
        <f t="shared" si="2"/>
        <v>12</v>
      </c>
    </row>
    <row r="1652">
      <c r="P1652" s="161"/>
      <c r="AI1652" s="102"/>
      <c r="AO1652" s="12"/>
      <c r="AP1652" s="12"/>
      <c r="AQ1652" s="12"/>
      <c r="AR1652" s="12"/>
      <c r="AS1652" s="12"/>
      <c r="AT1652" s="12"/>
      <c r="AU1652" s="12"/>
      <c r="AV1652" s="12"/>
      <c r="AW1652" s="12"/>
      <c r="AX1652" s="12"/>
      <c r="AY1652" s="12"/>
      <c r="AZ1652" s="12"/>
      <c r="BA1652" s="12"/>
      <c r="BB1652" s="12"/>
      <c r="BC1652" s="12"/>
      <c r="BD1652" s="12"/>
      <c r="BF1652" s="106" t="str">
        <f t="shared" si="1"/>
        <v>#VALUE!</v>
      </c>
      <c r="BG1652" s="21">
        <f t="shared" si="2"/>
        <v>12</v>
      </c>
    </row>
    <row r="1653">
      <c r="P1653" s="161"/>
      <c r="AI1653" s="102"/>
      <c r="AO1653" s="12"/>
      <c r="AP1653" s="12"/>
      <c r="AQ1653" s="12"/>
      <c r="AR1653" s="12"/>
      <c r="AS1653" s="12"/>
      <c r="AT1653" s="12"/>
      <c r="AU1653" s="12"/>
      <c r="AV1653" s="12"/>
      <c r="AW1653" s="12"/>
      <c r="AX1653" s="12"/>
      <c r="AY1653" s="12"/>
      <c r="AZ1653" s="12"/>
      <c r="BA1653" s="12"/>
      <c r="BB1653" s="12"/>
      <c r="BC1653" s="12"/>
      <c r="BD1653" s="12"/>
      <c r="BF1653" s="106" t="str">
        <f t="shared" si="1"/>
        <v>#VALUE!</v>
      </c>
      <c r="BG1653" s="21">
        <f t="shared" si="2"/>
        <v>12</v>
      </c>
    </row>
    <row r="1654">
      <c r="P1654" s="161"/>
      <c r="AI1654" s="102"/>
      <c r="AO1654" s="12"/>
      <c r="AP1654" s="12"/>
      <c r="AQ1654" s="12"/>
      <c r="AR1654" s="12"/>
      <c r="AS1654" s="12"/>
      <c r="AT1654" s="12"/>
      <c r="AU1654" s="12"/>
      <c r="AV1654" s="12"/>
      <c r="AW1654" s="12"/>
      <c r="AX1654" s="12"/>
      <c r="AY1654" s="12"/>
      <c r="AZ1654" s="12"/>
      <c r="BA1654" s="12"/>
      <c r="BB1654" s="12"/>
      <c r="BC1654" s="12"/>
      <c r="BD1654" s="12"/>
      <c r="BF1654" s="106" t="str">
        <f t="shared" si="1"/>
        <v>#VALUE!</v>
      </c>
      <c r="BG1654" s="21">
        <f t="shared" si="2"/>
        <v>12</v>
      </c>
    </row>
    <row r="1655">
      <c r="P1655" s="161"/>
      <c r="AI1655" s="102"/>
      <c r="AO1655" s="12"/>
      <c r="AP1655" s="12"/>
      <c r="AQ1655" s="12"/>
      <c r="AR1655" s="12"/>
      <c r="AS1655" s="12"/>
      <c r="AT1655" s="12"/>
      <c r="AU1655" s="12"/>
      <c r="AV1655" s="12"/>
      <c r="AW1655" s="12"/>
      <c r="AX1655" s="12"/>
      <c r="AY1655" s="12"/>
      <c r="AZ1655" s="12"/>
      <c r="BA1655" s="12"/>
      <c r="BB1655" s="12"/>
      <c r="BC1655" s="12"/>
      <c r="BD1655" s="12"/>
      <c r="BF1655" s="106" t="str">
        <f t="shared" si="1"/>
        <v>#VALUE!</v>
      </c>
      <c r="BG1655" s="21">
        <f t="shared" si="2"/>
        <v>12</v>
      </c>
    </row>
    <row r="1656">
      <c r="P1656" s="161"/>
      <c r="AI1656" s="102"/>
      <c r="AO1656" s="12"/>
      <c r="AP1656" s="12"/>
      <c r="AQ1656" s="12"/>
      <c r="AR1656" s="12"/>
      <c r="AS1656" s="12"/>
      <c r="AT1656" s="12"/>
      <c r="AU1656" s="12"/>
      <c r="AV1656" s="12"/>
      <c r="AW1656" s="12"/>
      <c r="AX1656" s="12"/>
      <c r="AY1656" s="12"/>
      <c r="AZ1656" s="12"/>
      <c r="BA1656" s="12"/>
      <c r="BB1656" s="12"/>
      <c r="BC1656" s="12"/>
      <c r="BD1656" s="12"/>
      <c r="BF1656" s="106" t="str">
        <f t="shared" si="1"/>
        <v>#VALUE!</v>
      </c>
      <c r="BG1656" s="21">
        <f t="shared" si="2"/>
        <v>12</v>
      </c>
    </row>
    <row r="1657">
      <c r="P1657" s="161"/>
      <c r="AI1657" s="102"/>
      <c r="AO1657" s="12"/>
      <c r="AP1657" s="12"/>
      <c r="AQ1657" s="12"/>
      <c r="AR1657" s="12"/>
      <c r="AS1657" s="12"/>
      <c r="AT1657" s="12"/>
      <c r="AU1657" s="12"/>
      <c r="AV1657" s="12"/>
      <c r="AW1657" s="12"/>
      <c r="AX1657" s="12"/>
      <c r="AY1657" s="12"/>
      <c r="AZ1657" s="12"/>
      <c r="BA1657" s="12"/>
      <c r="BB1657" s="12"/>
      <c r="BC1657" s="12"/>
      <c r="BD1657" s="12"/>
      <c r="BF1657" s="106" t="str">
        <f t="shared" si="1"/>
        <v>#VALUE!</v>
      </c>
      <c r="BG1657" s="21">
        <f t="shared" si="2"/>
        <v>12</v>
      </c>
    </row>
    <row r="1658">
      <c r="P1658" s="161"/>
      <c r="AI1658" s="102"/>
      <c r="AO1658" s="12"/>
      <c r="AP1658" s="12"/>
      <c r="AQ1658" s="12"/>
      <c r="AR1658" s="12"/>
      <c r="AS1658" s="12"/>
      <c r="AT1658" s="12"/>
      <c r="AU1658" s="12"/>
      <c r="AV1658" s="12"/>
      <c r="AW1658" s="12"/>
      <c r="AX1658" s="12"/>
      <c r="AY1658" s="12"/>
      <c r="AZ1658" s="12"/>
      <c r="BA1658" s="12"/>
      <c r="BB1658" s="12"/>
      <c r="BC1658" s="12"/>
      <c r="BD1658" s="12"/>
      <c r="BF1658" s="106" t="str">
        <f t="shared" si="1"/>
        <v>#VALUE!</v>
      </c>
      <c r="BG1658" s="21">
        <f t="shared" si="2"/>
        <v>12</v>
      </c>
    </row>
    <row r="1659">
      <c r="P1659" s="161"/>
      <c r="AI1659" s="102"/>
      <c r="AO1659" s="12"/>
      <c r="AP1659" s="12"/>
      <c r="AQ1659" s="12"/>
      <c r="AR1659" s="12"/>
      <c r="AS1659" s="12"/>
      <c r="AT1659" s="12"/>
      <c r="AU1659" s="12"/>
      <c r="AV1659" s="12"/>
      <c r="AW1659" s="12"/>
      <c r="AX1659" s="12"/>
      <c r="AY1659" s="12"/>
      <c r="AZ1659" s="12"/>
      <c r="BA1659" s="12"/>
      <c r="BB1659" s="12"/>
      <c r="BC1659" s="12"/>
      <c r="BD1659" s="12"/>
      <c r="BF1659" s="106" t="str">
        <f t="shared" si="1"/>
        <v>#VALUE!</v>
      </c>
      <c r="BG1659" s="21">
        <f t="shared" si="2"/>
        <v>12</v>
      </c>
    </row>
    <row r="1660">
      <c r="P1660" s="161"/>
      <c r="AI1660" s="102"/>
      <c r="AO1660" s="12"/>
      <c r="AP1660" s="12"/>
      <c r="AQ1660" s="12"/>
      <c r="AR1660" s="12"/>
      <c r="AS1660" s="12"/>
      <c r="AT1660" s="12"/>
      <c r="AU1660" s="12"/>
      <c r="AV1660" s="12"/>
      <c r="AW1660" s="12"/>
      <c r="AX1660" s="12"/>
      <c r="AY1660" s="12"/>
      <c r="AZ1660" s="12"/>
      <c r="BA1660" s="12"/>
      <c r="BB1660" s="12"/>
      <c r="BC1660" s="12"/>
      <c r="BD1660" s="12"/>
      <c r="BF1660" s="106" t="str">
        <f t="shared" si="1"/>
        <v>#VALUE!</v>
      </c>
      <c r="BG1660" s="21">
        <f t="shared" si="2"/>
        <v>12</v>
      </c>
    </row>
    <row r="1661">
      <c r="P1661" s="161"/>
      <c r="AI1661" s="102"/>
      <c r="AO1661" s="12"/>
      <c r="AP1661" s="12"/>
      <c r="AQ1661" s="12"/>
      <c r="AR1661" s="12"/>
      <c r="AS1661" s="12"/>
      <c r="AT1661" s="12"/>
      <c r="AU1661" s="12"/>
      <c r="AV1661" s="12"/>
      <c r="AW1661" s="12"/>
      <c r="AX1661" s="12"/>
      <c r="AY1661" s="12"/>
      <c r="AZ1661" s="12"/>
      <c r="BA1661" s="12"/>
      <c r="BB1661" s="12"/>
      <c r="BC1661" s="12"/>
      <c r="BD1661" s="12"/>
      <c r="BF1661" s="106" t="str">
        <f t="shared" si="1"/>
        <v>#VALUE!</v>
      </c>
      <c r="BG1661" s="21">
        <f t="shared" si="2"/>
        <v>12</v>
      </c>
    </row>
    <row r="1662">
      <c r="P1662" s="161"/>
      <c r="AI1662" s="102"/>
      <c r="AO1662" s="12"/>
      <c r="AP1662" s="12"/>
      <c r="AQ1662" s="12"/>
      <c r="AR1662" s="12"/>
      <c r="AS1662" s="12"/>
      <c r="AT1662" s="12"/>
      <c r="AU1662" s="12"/>
      <c r="AV1662" s="12"/>
      <c r="AW1662" s="12"/>
      <c r="AX1662" s="12"/>
      <c r="AY1662" s="12"/>
      <c r="AZ1662" s="12"/>
      <c r="BA1662" s="12"/>
      <c r="BB1662" s="12"/>
      <c r="BC1662" s="12"/>
      <c r="BD1662" s="12"/>
      <c r="BF1662" s="106" t="str">
        <f t="shared" si="1"/>
        <v>#VALUE!</v>
      </c>
      <c r="BG1662" s="21">
        <f t="shared" si="2"/>
        <v>12</v>
      </c>
    </row>
    <row r="1663">
      <c r="P1663" s="161"/>
      <c r="AI1663" s="102"/>
      <c r="AO1663" s="12"/>
      <c r="AP1663" s="12"/>
      <c r="AQ1663" s="12"/>
      <c r="AR1663" s="12"/>
      <c r="AS1663" s="12"/>
      <c r="AT1663" s="12"/>
      <c r="AU1663" s="12"/>
      <c r="AV1663" s="12"/>
      <c r="AW1663" s="12"/>
      <c r="AX1663" s="12"/>
      <c r="AY1663" s="12"/>
      <c r="AZ1663" s="12"/>
      <c r="BA1663" s="12"/>
      <c r="BB1663" s="12"/>
      <c r="BC1663" s="12"/>
      <c r="BD1663" s="12"/>
      <c r="BF1663" s="106" t="str">
        <f t="shared" si="1"/>
        <v>#VALUE!</v>
      </c>
      <c r="BG1663" s="21">
        <f t="shared" si="2"/>
        <v>12</v>
      </c>
    </row>
    <row r="1664">
      <c r="P1664" s="161"/>
      <c r="AI1664" s="102"/>
      <c r="AO1664" s="12"/>
      <c r="AP1664" s="12"/>
      <c r="AQ1664" s="12"/>
      <c r="AR1664" s="12"/>
      <c r="AS1664" s="12"/>
      <c r="AT1664" s="12"/>
      <c r="AU1664" s="12"/>
      <c r="AV1664" s="12"/>
      <c r="AW1664" s="12"/>
      <c r="AX1664" s="12"/>
      <c r="AY1664" s="12"/>
      <c r="AZ1664" s="12"/>
      <c r="BA1664" s="12"/>
      <c r="BB1664" s="12"/>
      <c r="BC1664" s="12"/>
      <c r="BD1664" s="12"/>
      <c r="BF1664" s="106" t="str">
        <f t="shared" si="1"/>
        <v>#VALUE!</v>
      </c>
      <c r="BG1664" s="21">
        <f t="shared" si="2"/>
        <v>12</v>
      </c>
    </row>
    <row r="1665">
      <c r="P1665" s="161"/>
      <c r="AI1665" s="102"/>
      <c r="AO1665" s="12"/>
      <c r="AP1665" s="12"/>
      <c r="AQ1665" s="12"/>
      <c r="AR1665" s="12"/>
      <c r="AS1665" s="12"/>
      <c r="AT1665" s="12"/>
      <c r="AU1665" s="12"/>
      <c r="AV1665" s="12"/>
      <c r="AW1665" s="12"/>
      <c r="AX1665" s="12"/>
      <c r="AY1665" s="12"/>
      <c r="AZ1665" s="12"/>
      <c r="BA1665" s="12"/>
      <c r="BB1665" s="12"/>
      <c r="BC1665" s="12"/>
      <c r="BD1665" s="12"/>
      <c r="BF1665" s="106" t="str">
        <f t="shared" si="1"/>
        <v>#VALUE!</v>
      </c>
      <c r="BG1665" s="21">
        <f t="shared" si="2"/>
        <v>12</v>
      </c>
    </row>
    <row r="1666">
      <c r="P1666" s="161"/>
      <c r="AI1666" s="102"/>
      <c r="AO1666" s="12"/>
      <c r="AP1666" s="12"/>
      <c r="AQ1666" s="12"/>
      <c r="AR1666" s="12"/>
      <c r="AS1666" s="12"/>
      <c r="AT1666" s="12"/>
      <c r="AU1666" s="12"/>
      <c r="AV1666" s="12"/>
      <c r="AW1666" s="12"/>
      <c r="AX1666" s="12"/>
      <c r="AY1666" s="12"/>
      <c r="AZ1666" s="12"/>
      <c r="BA1666" s="12"/>
      <c r="BB1666" s="12"/>
      <c r="BC1666" s="12"/>
      <c r="BD1666" s="12"/>
      <c r="BF1666" s="106" t="str">
        <f t="shared" si="1"/>
        <v>#VALUE!</v>
      </c>
      <c r="BG1666" s="21">
        <f t="shared" si="2"/>
        <v>12</v>
      </c>
    </row>
    <row r="1667">
      <c r="P1667" s="161"/>
      <c r="AI1667" s="102"/>
      <c r="AO1667" s="12"/>
      <c r="AP1667" s="12"/>
      <c r="AQ1667" s="12"/>
      <c r="AR1667" s="12"/>
      <c r="AS1667" s="12"/>
      <c r="AT1667" s="12"/>
      <c r="AU1667" s="12"/>
      <c r="AV1667" s="12"/>
      <c r="AW1667" s="12"/>
      <c r="AX1667" s="12"/>
      <c r="AY1667" s="12"/>
      <c r="AZ1667" s="12"/>
      <c r="BA1667" s="12"/>
      <c r="BB1667" s="12"/>
      <c r="BC1667" s="12"/>
      <c r="BD1667" s="12"/>
      <c r="BF1667" s="106" t="str">
        <f t="shared" si="1"/>
        <v>#VALUE!</v>
      </c>
      <c r="BG1667" s="21">
        <f t="shared" si="2"/>
        <v>12</v>
      </c>
    </row>
    <row r="1668">
      <c r="P1668" s="161"/>
      <c r="AI1668" s="102"/>
      <c r="AO1668" s="12"/>
      <c r="AP1668" s="12"/>
      <c r="AQ1668" s="12"/>
      <c r="AR1668" s="12"/>
      <c r="AS1668" s="12"/>
      <c r="AT1668" s="12"/>
      <c r="AU1668" s="12"/>
      <c r="AV1668" s="12"/>
      <c r="AW1668" s="12"/>
      <c r="AX1668" s="12"/>
      <c r="AY1668" s="12"/>
      <c r="AZ1668" s="12"/>
      <c r="BA1668" s="12"/>
      <c r="BB1668" s="12"/>
      <c r="BC1668" s="12"/>
      <c r="BD1668" s="12"/>
      <c r="BF1668" s="106" t="str">
        <f t="shared" si="1"/>
        <v>#VALUE!</v>
      </c>
      <c r="BG1668" s="21">
        <f t="shared" si="2"/>
        <v>12</v>
      </c>
    </row>
    <row r="1669">
      <c r="P1669" s="161"/>
      <c r="AI1669" s="102"/>
      <c r="AO1669" s="12"/>
      <c r="AP1669" s="12"/>
      <c r="AQ1669" s="12"/>
      <c r="AR1669" s="12"/>
      <c r="AS1669" s="12"/>
      <c r="AT1669" s="12"/>
      <c r="AU1669" s="12"/>
      <c r="AV1669" s="12"/>
      <c r="AW1669" s="12"/>
      <c r="AX1669" s="12"/>
      <c r="AY1669" s="12"/>
      <c r="AZ1669" s="12"/>
      <c r="BA1669" s="12"/>
      <c r="BB1669" s="12"/>
      <c r="BC1669" s="12"/>
      <c r="BD1669" s="12"/>
      <c r="BF1669" s="106" t="str">
        <f t="shared" si="1"/>
        <v>#VALUE!</v>
      </c>
      <c r="BG1669" s="21">
        <f t="shared" si="2"/>
        <v>12</v>
      </c>
    </row>
    <row r="1670">
      <c r="P1670" s="161"/>
      <c r="AI1670" s="102"/>
      <c r="AO1670" s="12"/>
      <c r="AP1670" s="12"/>
      <c r="AQ1670" s="12"/>
      <c r="AR1670" s="12"/>
      <c r="AS1670" s="12"/>
      <c r="AT1670" s="12"/>
      <c r="AU1670" s="12"/>
      <c r="AV1670" s="12"/>
      <c r="AW1670" s="12"/>
      <c r="AX1670" s="12"/>
      <c r="AY1670" s="12"/>
      <c r="AZ1670" s="12"/>
      <c r="BA1670" s="12"/>
      <c r="BB1670" s="12"/>
      <c r="BC1670" s="12"/>
      <c r="BD1670" s="12"/>
      <c r="BF1670" s="106" t="str">
        <f t="shared" si="1"/>
        <v>#VALUE!</v>
      </c>
      <c r="BG1670" s="21">
        <f t="shared" si="2"/>
        <v>12</v>
      </c>
    </row>
    <row r="1671">
      <c r="P1671" s="161"/>
      <c r="AI1671" s="102"/>
      <c r="AO1671" s="12"/>
      <c r="AP1671" s="12"/>
      <c r="AQ1671" s="12"/>
      <c r="AR1671" s="12"/>
      <c r="AS1671" s="12"/>
      <c r="AT1671" s="12"/>
      <c r="AU1671" s="12"/>
      <c r="AV1671" s="12"/>
      <c r="AW1671" s="12"/>
      <c r="AX1671" s="12"/>
      <c r="AY1671" s="12"/>
      <c r="AZ1671" s="12"/>
      <c r="BA1671" s="12"/>
      <c r="BB1671" s="12"/>
      <c r="BC1671" s="12"/>
      <c r="BD1671" s="12"/>
      <c r="BF1671" s="106" t="str">
        <f t="shared" si="1"/>
        <v>#VALUE!</v>
      </c>
      <c r="BG1671" s="21">
        <f t="shared" si="2"/>
        <v>12</v>
      </c>
    </row>
    <row r="1672">
      <c r="P1672" s="161"/>
      <c r="AI1672" s="102"/>
      <c r="AO1672" s="12"/>
      <c r="AP1672" s="12"/>
      <c r="AQ1672" s="12"/>
      <c r="AR1672" s="12"/>
      <c r="AS1672" s="12"/>
      <c r="AT1672" s="12"/>
      <c r="AU1672" s="12"/>
      <c r="AV1672" s="12"/>
      <c r="AW1672" s="12"/>
      <c r="AX1672" s="12"/>
      <c r="AY1672" s="12"/>
      <c r="AZ1672" s="12"/>
      <c r="BA1672" s="12"/>
      <c r="BB1672" s="12"/>
      <c r="BC1672" s="12"/>
      <c r="BD1672" s="12"/>
      <c r="BF1672" s="106" t="str">
        <f t="shared" si="1"/>
        <v>#VALUE!</v>
      </c>
      <c r="BG1672" s="21">
        <f t="shared" si="2"/>
        <v>12</v>
      </c>
    </row>
    <row r="1673">
      <c r="P1673" s="161"/>
      <c r="AI1673" s="102"/>
      <c r="AO1673" s="12"/>
      <c r="AP1673" s="12"/>
      <c r="AQ1673" s="12"/>
      <c r="AR1673" s="12"/>
      <c r="AS1673" s="12"/>
      <c r="AT1673" s="12"/>
      <c r="AU1673" s="12"/>
      <c r="AV1673" s="12"/>
      <c r="AW1673" s="12"/>
      <c r="AX1673" s="12"/>
      <c r="AY1673" s="12"/>
      <c r="AZ1673" s="12"/>
      <c r="BA1673" s="12"/>
      <c r="BB1673" s="12"/>
      <c r="BC1673" s="12"/>
      <c r="BD1673" s="12"/>
      <c r="BF1673" s="106" t="str">
        <f t="shared" si="1"/>
        <v>#VALUE!</v>
      </c>
      <c r="BG1673" s="21">
        <f t="shared" si="2"/>
        <v>12</v>
      </c>
    </row>
    <row r="1674">
      <c r="P1674" s="161"/>
      <c r="AI1674" s="102"/>
      <c r="AO1674" s="12"/>
      <c r="AP1674" s="12"/>
      <c r="AQ1674" s="12"/>
      <c r="AR1674" s="12"/>
      <c r="AS1674" s="12"/>
      <c r="AT1674" s="12"/>
      <c r="AU1674" s="12"/>
      <c r="AV1674" s="12"/>
      <c r="AW1674" s="12"/>
      <c r="AX1674" s="12"/>
      <c r="AY1674" s="12"/>
      <c r="AZ1674" s="12"/>
      <c r="BA1674" s="12"/>
      <c r="BB1674" s="12"/>
      <c r="BC1674" s="12"/>
      <c r="BD1674" s="12"/>
      <c r="BF1674" s="106" t="str">
        <f t="shared" si="1"/>
        <v>#VALUE!</v>
      </c>
      <c r="BG1674" s="21">
        <f t="shared" si="2"/>
        <v>12</v>
      </c>
    </row>
    <row r="1675">
      <c r="P1675" s="161"/>
      <c r="AI1675" s="102"/>
      <c r="AO1675" s="12"/>
      <c r="AP1675" s="12"/>
      <c r="AQ1675" s="12"/>
      <c r="AR1675" s="12"/>
      <c r="AS1675" s="12"/>
      <c r="AT1675" s="12"/>
      <c r="AU1675" s="12"/>
      <c r="AV1675" s="12"/>
      <c r="AW1675" s="12"/>
      <c r="AX1675" s="12"/>
      <c r="AY1675" s="12"/>
      <c r="AZ1675" s="12"/>
      <c r="BA1675" s="12"/>
      <c r="BB1675" s="12"/>
      <c r="BC1675" s="12"/>
      <c r="BD1675" s="12"/>
      <c r="BF1675" s="106" t="str">
        <f t="shared" si="1"/>
        <v>#VALUE!</v>
      </c>
      <c r="BG1675" s="21">
        <f t="shared" si="2"/>
        <v>12</v>
      </c>
    </row>
    <row r="1676">
      <c r="P1676" s="161"/>
      <c r="AI1676" s="102"/>
      <c r="AO1676" s="12"/>
      <c r="AP1676" s="12"/>
      <c r="AQ1676" s="12"/>
      <c r="AR1676" s="12"/>
      <c r="AS1676" s="12"/>
      <c r="AT1676" s="12"/>
      <c r="AU1676" s="12"/>
      <c r="AV1676" s="12"/>
      <c r="AW1676" s="12"/>
      <c r="AX1676" s="12"/>
      <c r="AY1676" s="12"/>
      <c r="AZ1676" s="12"/>
      <c r="BA1676" s="12"/>
      <c r="BB1676" s="12"/>
      <c r="BC1676" s="12"/>
      <c r="BD1676" s="12"/>
      <c r="BF1676" s="106" t="str">
        <f t="shared" si="1"/>
        <v>#VALUE!</v>
      </c>
      <c r="BG1676" s="21">
        <f t="shared" si="2"/>
        <v>12</v>
      </c>
    </row>
    <row r="1677">
      <c r="P1677" s="161"/>
      <c r="AI1677" s="102"/>
      <c r="AO1677" s="12"/>
      <c r="AP1677" s="12"/>
      <c r="AQ1677" s="12"/>
      <c r="AR1677" s="12"/>
      <c r="AS1677" s="12"/>
      <c r="AT1677" s="12"/>
      <c r="AU1677" s="12"/>
      <c r="AV1677" s="12"/>
      <c r="AW1677" s="12"/>
      <c r="AX1677" s="12"/>
      <c r="AY1677" s="12"/>
      <c r="AZ1677" s="12"/>
      <c r="BA1677" s="12"/>
      <c r="BB1677" s="12"/>
      <c r="BC1677" s="12"/>
      <c r="BD1677" s="12"/>
      <c r="BF1677" s="106" t="str">
        <f t="shared" si="1"/>
        <v>#VALUE!</v>
      </c>
      <c r="BG1677" s="21">
        <f t="shared" si="2"/>
        <v>12</v>
      </c>
    </row>
    <row r="1678">
      <c r="P1678" s="161"/>
      <c r="AI1678" s="102"/>
      <c r="AO1678" s="12"/>
      <c r="AP1678" s="12"/>
      <c r="AQ1678" s="12"/>
      <c r="AR1678" s="12"/>
      <c r="AS1678" s="12"/>
      <c r="AT1678" s="12"/>
      <c r="AU1678" s="12"/>
      <c r="AV1678" s="12"/>
      <c r="AW1678" s="12"/>
      <c r="AX1678" s="12"/>
      <c r="AY1678" s="12"/>
      <c r="AZ1678" s="12"/>
      <c r="BA1678" s="12"/>
      <c r="BB1678" s="12"/>
      <c r="BC1678" s="12"/>
      <c r="BD1678" s="12"/>
      <c r="BF1678" s="106" t="str">
        <f t="shared" si="1"/>
        <v>#VALUE!</v>
      </c>
      <c r="BG1678" s="21">
        <f t="shared" si="2"/>
        <v>12</v>
      </c>
    </row>
    <row r="1679">
      <c r="P1679" s="161"/>
      <c r="AI1679" s="102"/>
      <c r="AO1679" s="12"/>
      <c r="AP1679" s="12"/>
      <c r="AQ1679" s="12"/>
      <c r="AR1679" s="12"/>
      <c r="AS1679" s="12"/>
      <c r="AT1679" s="12"/>
      <c r="AU1679" s="12"/>
      <c r="AV1679" s="12"/>
      <c r="AW1679" s="12"/>
      <c r="AX1679" s="12"/>
      <c r="AY1679" s="12"/>
      <c r="AZ1679" s="12"/>
      <c r="BA1679" s="12"/>
      <c r="BB1679" s="12"/>
      <c r="BC1679" s="12"/>
      <c r="BD1679" s="12"/>
      <c r="BF1679" s="106" t="str">
        <f t="shared" si="1"/>
        <v>#VALUE!</v>
      </c>
      <c r="BG1679" s="21">
        <f t="shared" si="2"/>
        <v>12</v>
      </c>
    </row>
    <row r="1680">
      <c r="P1680" s="161"/>
      <c r="AI1680" s="102"/>
      <c r="AO1680" s="12"/>
      <c r="AP1680" s="12"/>
      <c r="AQ1680" s="12"/>
      <c r="AR1680" s="12"/>
      <c r="AS1680" s="12"/>
      <c r="AT1680" s="12"/>
      <c r="AU1680" s="12"/>
      <c r="AV1680" s="12"/>
      <c r="AW1680" s="12"/>
      <c r="AX1680" s="12"/>
      <c r="AY1680" s="12"/>
      <c r="AZ1680" s="12"/>
      <c r="BA1680" s="12"/>
      <c r="BB1680" s="12"/>
      <c r="BC1680" s="12"/>
      <c r="BD1680" s="12"/>
      <c r="BF1680" s="106" t="str">
        <f t="shared" si="1"/>
        <v>#VALUE!</v>
      </c>
      <c r="BG1680" s="21">
        <f t="shared" si="2"/>
        <v>12</v>
      </c>
    </row>
    <row r="1681">
      <c r="P1681" s="161"/>
      <c r="AI1681" s="102"/>
      <c r="AO1681" s="12"/>
      <c r="AP1681" s="12"/>
      <c r="AQ1681" s="12"/>
      <c r="AR1681" s="12"/>
      <c r="AS1681" s="12"/>
      <c r="AT1681" s="12"/>
      <c r="AU1681" s="12"/>
      <c r="AV1681" s="12"/>
      <c r="AW1681" s="12"/>
      <c r="AX1681" s="12"/>
      <c r="AY1681" s="12"/>
      <c r="AZ1681" s="12"/>
      <c r="BA1681" s="12"/>
      <c r="BB1681" s="12"/>
      <c r="BC1681" s="12"/>
      <c r="BD1681" s="12"/>
      <c r="BF1681" s="106" t="str">
        <f t="shared" si="1"/>
        <v>#VALUE!</v>
      </c>
      <c r="BG1681" s="21">
        <f t="shared" si="2"/>
        <v>12</v>
      </c>
    </row>
    <row r="1682">
      <c r="P1682" s="161"/>
      <c r="AI1682" s="102"/>
      <c r="AO1682" s="12"/>
      <c r="AP1682" s="12"/>
      <c r="AQ1682" s="12"/>
      <c r="AR1682" s="12"/>
      <c r="AS1682" s="12"/>
      <c r="AT1682" s="12"/>
      <c r="AU1682" s="12"/>
      <c r="AV1682" s="12"/>
      <c r="AW1682" s="12"/>
      <c r="AX1682" s="12"/>
      <c r="AY1682" s="12"/>
      <c r="AZ1682" s="12"/>
      <c r="BA1682" s="12"/>
      <c r="BB1682" s="12"/>
      <c r="BC1682" s="12"/>
      <c r="BD1682" s="12"/>
      <c r="BF1682" s="106" t="str">
        <f t="shared" si="1"/>
        <v>#VALUE!</v>
      </c>
      <c r="BG1682" s="21">
        <f t="shared" si="2"/>
        <v>12</v>
      </c>
    </row>
    <row r="1683">
      <c r="P1683" s="161"/>
      <c r="AI1683" s="102"/>
      <c r="AO1683" s="12"/>
      <c r="AP1683" s="12"/>
      <c r="AQ1683" s="12"/>
      <c r="AR1683" s="12"/>
      <c r="AS1683" s="12"/>
      <c r="AT1683" s="12"/>
      <c r="AU1683" s="12"/>
      <c r="AV1683" s="12"/>
      <c r="AW1683" s="12"/>
      <c r="AX1683" s="12"/>
      <c r="AY1683" s="12"/>
      <c r="AZ1683" s="12"/>
      <c r="BA1683" s="12"/>
      <c r="BB1683" s="12"/>
      <c r="BC1683" s="12"/>
      <c r="BD1683" s="12"/>
      <c r="BF1683" s="106" t="str">
        <f t="shared" si="1"/>
        <v>#VALUE!</v>
      </c>
      <c r="BG1683" s="21">
        <f t="shared" si="2"/>
        <v>12</v>
      </c>
    </row>
    <row r="1684">
      <c r="P1684" s="161"/>
      <c r="AI1684" s="102"/>
      <c r="AO1684" s="12"/>
      <c r="AP1684" s="12"/>
      <c r="AQ1684" s="12"/>
      <c r="AR1684" s="12"/>
      <c r="AS1684" s="12"/>
      <c r="AT1684" s="12"/>
      <c r="AU1684" s="12"/>
      <c r="AV1684" s="12"/>
      <c r="AW1684" s="12"/>
      <c r="AX1684" s="12"/>
      <c r="AY1684" s="12"/>
      <c r="AZ1684" s="12"/>
      <c r="BA1684" s="12"/>
      <c r="BB1684" s="12"/>
      <c r="BC1684" s="12"/>
      <c r="BD1684" s="12"/>
      <c r="BF1684" s="106" t="str">
        <f t="shared" si="1"/>
        <v>#VALUE!</v>
      </c>
      <c r="BG1684" s="21">
        <f t="shared" si="2"/>
        <v>12</v>
      </c>
    </row>
    <row r="1685">
      <c r="P1685" s="161"/>
      <c r="AI1685" s="102"/>
      <c r="AO1685" s="12"/>
      <c r="AP1685" s="12"/>
      <c r="AQ1685" s="12"/>
      <c r="AR1685" s="12"/>
      <c r="AS1685" s="12"/>
      <c r="AT1685" s="12"/>
      <c r="AU1685" s="12"/>
      <c r="AV1685" s="12"/>
      <c r="AW1685" s="12"/>
      <c r="AX1685" s="12"/>
      <c r="AY1685" s="12"/>
      <c r="AZ1685" s="12"/>
      <c r="BA1685" s="12"/>
      <c r="BB1685" s="12"/>
      <c r="BC1685" s="12"/>
      <c r="BD1685" s="12"/>
      <c r="BF1685" s="106" t="str">
        <f t="shared" si="1"/>
        <v>#VALUE!</v>
      </c>
      <c r="BG1685" s="21">
        <f t="shared" si="2"/>
        <v>12</v>
      </c>
    </row>
    <row r="1686">
      <c r="P1686" s="161"/>
      <c r="AI1686" s="102"/>
      <c r="AO1686" s="12"/>
      <c r="AP1686" s="12"/>
      <c r="AQ1686" s="12"/>
      <c r="AR1686" s="12"/>
      <c r="AS1686" s="12"/>
      <c r="AT1686" s="12"/>
      <c r="AU1686" s="12"/>
      <c r="AV1686" s="12"/>
      <c r="AW1686" s="12"/>
      <c r="AX1686" s="12"/>
      <c r="AY1686" s="12"/>
      <c r="AZ1686" s="12"/>
      <c r="BA1686" s="12"/>
      <c r="BB1686" s="12"/>
      <c r="BC1686" s="12"/>
      <c r="BD1686" s="12"/>
      <c r="BF1686" s="106" t="str">
        <f t="shared" si="1"/>
        <v>#VALUE!</v>
      </c>
      <c r="BG1686" s="21">
        <f t="shared" si="2"/>
        <v>12</v>
      </c>
    </row>
    <row r="1687">
      <c r="P1687" s="161"/>
      <c r="AI1687" s="102"/>
      <c r="AO1687" s="12"/>
      <c r="AP1687" s="12"/>
      <c r="AQ1687" s="12"/>
      <c r="AR1687" s="12"/>
      <c r="AS1687" s="12"/>
      <c r="AT1687" s="12"/>
      <c r="AU1687" s="12"/>
      <c r="AV1687" s="12"/>
      <c r="AW1687" s="12"/>
      <c r="AX1687" s="12"/>
      <c r="AY1687" s="12"/>
      <c r="AZ1687" s="12"/>
      <c r="BA1687" s="12"/>
      <c r="BB1687" s="12"/>
      <c r="BC1687" s="12"/>
      <c r="BD1687" s="12"/>
      <c r="BF1687" s="106" t="str">
        <f t="shared" si="1"/>
        <v>#VALUE!</v>
      </c>
      <c r="BG1687" s="21">
        <f t="shared" si="2"/>
        <v>12</v>
      </c>
    </row>
    <row r="1688">
      <c r="P1688" s="161"/>
      <c r="AI1688" s="102"/>
      <c r="AO1688" s="12"/>
      <c r="AP1688" s="12"/>
      <c r="AQ1688" s="12"/>
      <c r="AR1688" s="12"/>
      <c r="AS1688" s="12"/>
      <c r="AT1688" s="12"/>
      <c r="AU1688" s="12"/>
      <c r="AV1688" s="12"/>
      <c r="AW1688" s="12"/>
      <c r="AX1688" s="12"/>
      <c r="AY1688" s="12"/>
      <c r="AZ1688" s="12"/>
      <c r="BA1688" s="12"/>
      <c r="BB1688" s="12"/>
      <c r="BC1688" s="12"/>
      <c r="BD1688" s="12"/>
      <c r="BF1688" s="106" t="str">
        <f t="shared" si="1"/>
        <v>#VALUE!</v>
      </c>
      <c r="BG1688" s="21">
        <f t="shared" si="2"/>
        <v>12</v>
      </c>
    </row>
    <row r="1689">
      <c r="P1689" s="161"/>
      <c r="AI1689" s="102"/>
      <c r="AO1689" s="12"/>
      <c r="AP1689" s="12"/>
      <c r="AQ1689" s="12"/>
      <c r="AR1689" s="12"/>
      <c r="AS1689" s="12"/>
      <c r="AT1689" s="12"/>
      <c r="AU1689" s="12"/>
      <c r="AV1689" s="12"/>
      <c r="AW1689" s="12"/>
      <c r="AX1689" s="12"/>
      <c r="AY1689" s="12"/>
      <c r="AZ1689" s="12"/>
      <c r="BA1689" s="12"/>
      <c r="BB1689" s="12"/>
      <c r="BC1689" s="12"/>
      <c r="BD1689" s="12"/>
      <c r="BF1689" s="106" t="str">
        <f t="shared" si="1"/>
        <v>#VALUE!</v>
      </c>
      <c r="BG1689" s="21">
        <f t="shared" si="2"/>
        <v>12</v>
      </c>
    </row>
    <row r="1690">
      <c r="P1690" s="161"/>
      <c r="AI1690" s="102"/>
      <c r="AO1690" s="12"/>
      <c r="AP1690" s="12"/>
      <c r="AQ1690" s="12"/>
      <c r="AR1690" s="12"/>
      <c r="AS1690" s="12"/>
      <c r="AT1690" s="12"/>
      <c r="AU1690" s="12"/>
      <c r="AV1690" s="12"/>
      <c r="AW1690" s="12"/>
      <c r="AX1690" s="12"/>
      <c r="AY1690" s="12"/>
      <c r="AZ1690" s="12"/>
      <c r="BA1690" s="12"/>
      <c r="BB1690" s="12"/>
      <c r="BC1690" s="12"/>
      <c r="BD1690" s="12"/>
      <c r="BF1690" s="106" t="str">
        <f t="shared" si="1"/>
        <v>#VALUE!</v>
      </c>
      <c r="BG1690" s="21">
        <f t="shared" si="2"/>
        <v>12</v>
      </c>
    </row>
    <row r="1691">
      <c r="P1691" s="161"/>
      <c r="AI1691" s="102"/>
      <c r="AO1691" s="12"/>
      <c r="AP1691" s="12"/>
      <c r="AQ1691" s="12"/>
      <c r="AR1691" s="12"/>
      <c r="AS1691" s="12"/>
      <c r="AT1691" s="12"/>
      <c r="AU1691" s="12"/>
      <c r="AV1691" s="12"/>
      <c r="AW1691" s="12"/>
      <c r="AX1691" s="12"/>
      <c r="AY1691" s="12"/>
      <c r="AZ1691" s="12"/>
      <c r="BA1691" s="12"/>
      <c r="BB1691" s="12"/>
      <c r="BC1691" s="12"/>
      <c r="BD1691" s="12"/>
      <c r="BF1691" s="106" t="str">
        <f t="shared" si="1"/>
        <v>#VALUE!</v>
      </c>
      <c r="BG1691" s="21">
        <f t="shared" si="2"/>
        <v>12</v>
      </c>
    </row>
    <row r="1692">
      <c r="P1692" s="161"/>
      <c r="AI1692" s="102"/>
      <c r="AO1692" s="12"/>
      <c r="AP1692" s="12"/>
      <c r="AQ1692" s="12"/>
      <c r="AR1692" s="12"/>
      <c r="AS1692" s="12"/>
      <c r="AT1692" s="12"/>
      <c r="AU1692" s="12"/>
      <c r="AV1692" s="12"/>
      <c r="AW1692" s="12"/>
      <c r="AX1692" s="12"/>
      <c r="AY1692" s="12"/>
      <c r="AZ1692" s="12"/>
      <c r="BA1692" s="12"/>
      <c r="BB1692" s="12"/>
      <c r="BC1692" s="12"/>
      <c r="BD1692" s="12"/>
      <c r="BF1692" s="106" t="str">
        <f t="shared" si="1"/>
        <v>#VALUE!</v>
      </c>
      <c r="BG1692" s="21">
        <f t="shared" si="2"/>
        <v>12</v>
      </c>
    </row>
    <row r="1693">
      <c r="P1693" s="161"/>
      <c r="AI1693" s="102"/>
      <c r="AO1693" s="12"/>
      <c r="AP1693" s="12"/>
      <c r="AQ1693" s="12"/>
      <c r="AR1693" s="12"/>
      <c r="AS1693" s="12"/>
      <c r="AT1693" s="12"/>
      <c r="AU1693" s="12"/>
      <c r="AV1693" s="12"/>
      <c r="AW1693" s="12"/>
      <c r="AX1693" s="12"/>
      <c r="AY1693" s="12"/>
      <c r="AZ1693" s="12"/>
      <c r="BA1693" s="12"/>
      <c r="BB1693" s="12"/>
      <c r="BC1693" s="12"/>
      <c r="BD1693" s="12"/>
      <c r="BF1693" s="106" t="str">
        <f t="shared" si="1"/>
        <v>#VALUE!</v>
      </c>
      <c r="BG1693" s="21">
        <f t="shared" si="2"/>
        <v>12</v>
      </c>
    </row>
    <row r="1694">
      <c r="P1694" s="161"/>
      <c r="AI1694" s="102"/>
      <c r="AO1694" s="12"/>
      <c r="AP1694" s="12"/>
      <c r="AQ1694" s="12"/>
      <c r="AR1694" s="12"/>
      <c r="AS1694" s="12"/>
      <c r="AT1694" s="12"/>
      <c r="AU1694" s="12"/>
      <c r="AV1694" s="12"/>
      <c r="AW1694" s="12"/>
      <c r="AX1694" s="12"/>
      <c r="AY1694" s="12"/>
      <c r="AZ1694" s="12"/>
      <c r="BA1694" s="12"/>
      <c r="BB1694" s="12"/>
      <c r="BC1694" s="12"/>
      <c r="BD1694" s="12"/>
      <c r="BF1694" s="106" t="str">
        <f t="shared" si="1"/>
        <v>#VALUE!</v>
      </c>
      <c r="BG1694" s="21">
        <f t="shared" si="2"/>
        <v>12</v>
      </c>
    </row>
    <row r="1695">
      <c r="P1695" s="161"/>
      <c r="AI1695" s="102"/>
      <c r="AO1695" s="12"/>
      <c r="AP1695" s="12"/>
      <c r="AQ1695" s="12"/>
      <c r="AR1695" s="12"/>
      <c r="AS1695" s="12"/>
      <c r="AT1695" s="12"/>
      <c r="AU1695" s="12"/>
      <c r="AV1695" s="12"/>
      <c r="AW1695" s="12"/>
      <c r="AX1695" s="12"/>
      <c r="AY1695" s="12"/>
      <c r="AZ1695" s="12"/>
      <c r="BA1695" s="12"/>
      <c r="BB1695" s="12"/>
      <c r="BC1695" s="12"/>
      <c r="BD1695" s="12"/>
      <c r="BF1695" s="106" t="str">
        <f t="shared" si="1"/>
        <v>#VALUE!</v>
      </c>
      <c r="BG1695" s="21">
        <f t="shared" si="2"/>
        <v>12</v>
      </c>
    </row>
    <row r="1696">
      <c r="P1696" s="161"/>
      <c r="AI1696" s="102"/>
      <c r="AO1696" s="12"/>
      <c r="AP1696" s="12"/>
      <c r="AQ1696" s="12"/>
      <c r="AR1696" s="12"/>
      <c r="AS1696" s="12"/>
      <c r="AT1696" s="12"/>
      <c r="AU1696" s="12"/>
      <c r="AV1696" s="12"/>
      <c r="AW1696" s="12"/>
      <c r="AX1696" s="12"/>
      <c r="AY1696" s="12"/>
      <c r="AZ1696" s="12"/>
      <c r="BA1696" s="12"/>
      <c r="BB1696" s="12"/>
      <c r="BC1696" s="12"/>
      <c r="BD1696" s="12"/>
      <c r="BF1696" s="106" t="str">
        <f t="shared" si="1"/>
        <v>#VALUE!</v>
      </c>
      <c r="BG1696" s="21">
        <f t="shared" si="2"/>
        <v>12</v>
      </c>
    </row>
    <row r="1697">
      <c r="P1697" s="161"/>
      <c r="AI1697" s="102"/>
      <c r="AO1697" s="12"/>
      <c r="AP1697" s="12"/>
      <c r="AQ1697" s="12"/>
      <c r="AR1697" s="12"/>
      <c r="AS1697" s="12"/>
      <c r="AT1697" s="12"/>
      <c r="AU1697" s="12"/>
      <c r="AV1697" s="12"/>
      <c r="AW1697" s="12"/>
      <c r="AX1697" s="12"/>
      <c r="AY1697" s="12"/>
      <c r="AZ1697" s="12"/>
      <c r="BA1697" s="12"/>
      <c r="BB1697" s="12"/>
      <c r="BC1697" s="12"/>
      <c r="BD1697" s="12"/>
      <c r="BF1697" s="106" t="str">
        <f t="shared" si="1"/>
        <v>#VALUE!</v>
      </c>
      <c r="BG1697" s="21">
        <f t="shared" si="2"/>
        <v>12</v>
      </c>
    </row>
    <row r="1698">
      <c r="P1698" s="161"/>
      <c r="AI1698" s="102"/>
      <c r="AO1698" s="12"/>
      <c r="AP1698" s="12"/>
      <c r="AQ1698" s="12"/>
      <c r="AR1698" s="12"/>
      <c r="AS1698" s="12"/>
      <c r="AT1698" s="12"/>
      <c r="AU1698" s="12"/>
      <c r="AV1698" s="12"/>
      <c r="AW1698" s="12"/>
      <c r="AX1698" s="12"/>
      <c r="AY1698" s="12"/>
      <c r="AZ1698" s="12"/>
      <c r="BA1698" s="12"/>
      <c r="BB1698" s="12"/>
      <c r="BC1698" s="12"/>
      <c r="BD1698" s="12"/>
      <c r="BF1698" s="106" t="str">
        <f t="shared" si="1"/>
        <v>#VALUE!</v>
      </c>
      <c r="BG1698" s="21">
        <f t="shared" si="2"/>
        <v>12</v>
      </c>
    </row>
    <row r="1699">
      <c r="P1699" s="161"/>
      <c r="AI1699" s="102"/>
      <c r="AO1699" s="12"/>
      <c r="AP1699" s="12"/>
      <c r="AQ1699" s="12"/>
      <c r="AR1699" s="12"/>
      <c r="AS1699" s="12"/>
      <c r="AT1699" s="12"/>
      <c r="AU1699" s="12"/>
      <c r="AV1699" s="12"/>
      <c r="AW1699" s="12"/>
      <c r="AX1699" s="12"/>
      <c r="AY1699" s="12"/>
      <c r="AZ1699" s="12"/>
      <c r="BA1699" s="12"/>
      <c r="BB1699" s="12"/>
      <c r="BC1699" s="12"/>
      <c r="BD1699" s="12"/>
      <c r="BF1699" s="106" t="str">
        <f t="shared" si="1"/>
        <v>#VALUE!</v>
      </c>
      <c r="BG1699" s="21">
        <f t="shared" si="2"/>
        <v>12</v>
      </c>
    </row>
    <row r="1700">
      <c r="P1700" s="161"/>
      <c r="AI1700" s="102"/>
      <c r="AO1700" s="12"/>
      <c r="AP1700" s="12"/>
      <c r="AQ1700" s="12"/>
      <c r="AR1700" s="12"/>
      <c r="AS1700" s="12"/>
      <c r="AT1700" s="12"/>
      <c r="AU1700" s="12"/>
      <c r="AV1700" s="12"/>
      <c r="AW1700" s="12"/>
      <c r="AX1700" s="12"/>
      <c r="AY1700" s="12"/>
      <c r="AZ1700" s="12"/>
      <c r="BA1700" s="12"/>
      <c r="BB1700" s="12"/>
      <c r="BC1700" s="12"/>
      <c r="BD1700" s="12"/>
      <c r="BF1700" s="106" t="str">
        <f t="shared" si="1"/>
        <v>#VALUE!</v>
      </c>
      <c r="BG1700" s="21">
        <f t="shared" si="2"/>
        <v>12</v>
      </c>
    </row>
    <row r="1701">
      <c r="P1701" s="161"/>
      <c r="AI1701" s="102"/>
      <c r="AO1701" s="12"/>
      <c r="AP1701" s="12"/>
      <c r="AQ1701" s="12"/>
      <c r="AR1701" s="12"/>
      <c r="AS1701" s="12"/>
      <c r="AT1701" s="12"/>
      <c r="AU1701" s="12"/>
      <c r="AV1701" s="12"/>
      <c r="AW1701" s="12"/>
      <c r="AX1701" s="12"/>
      <c r="AY1701" s="12"/>
      <c r="AZ1701" s="12"/>
      <c r="BA1701" s="12"/>
      <c r="BB1701" s="12"/>
      <c r="BC1701" s="12"/>
      <c r="BD1701" s="12"/>
      <c r="BF1701" s="106" t="str">
        <f t="shared" si="1"/>
        <v>#VALUE!</v>
      </c>
      <c r="BG1701" s="21">
        <f t="shared" si="2"/>
        <v>12</v>
      </c>
    </row>
    <row r="1702">
      <c r="P1702" s="161"/>
      <c r="AI1702" s="102"/>
      <c r="AO1702" s="12"/>
      <c r="AP1702" s="12"/>
      <c r="AQ1702" s="12"/>
      <c r="AR1702" s="12"/>
      <c r="AS1702" s="12"/>
      <c r="AT1702" s="12"/>
      <c r="AU1702" s="12"/>
      <c r="AV1702" s="12"/>
      <c r="AW1702" s="12"/>
      <c r="AX1702" s="12"/>
      <c r="AY1702" s="12"/>
      <c r="AZ1702" s="12"/>
      <c r="BA1702" s="12"/>
      <c r="BB1702" s="12"/>
      <c r="BC1702" s="12"/>
      <c r="BD1702" s="12"/>
      <c r="BF1702" s="106" t="str">
        <f t="shared" si="1"/>
        <v>#VALUE!</v>
      </c>
      <c r="BG1702" s="21">
        <f t="shared" si="2"/>
        <v>12</v>
      </c>
    </row>
    <row r="1703">
      <c r="P1703" s="161"/>
      <c r="AI1703" s="102"/>
      <c r="AO1703" s="12"/>
      <c r="AP1703" s="12"/>
      <c r="AQ1703" s="12"/>
      <c r="AR1703" s="12"/>
      <c r="AS1703" s="12"/>
      <c r="AT1703" s="12"/>
      <c r="AU1703" s="12"/>
      <c r="AV1703" s="12"/>
      <c r="AW1703" s="12"/>
      <c r="AX1703" s="12"/>
      <c r="AY1703" s="12"/>
      <c r="AZ1703" s="12"/>
      <c r="BA1703" s="12"/>
      <c r="BB1703" s="12"/>
      <c r="BC1703" s="12"/>
      <c r="BD1703" s="12"/>
      <c r="BF1703" s="106" t="str">
        <f t="shared" si="1"/>
        <v>#VALUE!</v>
      </c>
      <c r="BG1703" s="21">
        <f t="shared" si="2"/>
        <v>12</v>
      </c>
    </row>
    <row r="1704">
      <c r="P1704" s="161"/>
      <c r="AI1704" s="102"/>
      <c r="AO1704" s="12"/>
      <c r="AP1704" s="12"/>
      <c r="AQ1704" s="12"/>
      <c r="AR1704" s="12"/>
      <c r="AS1704" s="12"/>
      <c r="AT1704" s="12"/>
      <c r="AU1704" s="12"/>
      <c r="AV1704" s="12"/>
      <c r="AW1704" s="12"/>
      <c r="AX1704" s="12"/>
      <c r="AY1704" s="12"/>
      <c r="AZ1704" s="12"/>
      <c r="BA1704" s="12"/>
      <c r="BB1704" s="12"/>
      <c r="BC1704" s="12"/>
      <c r="BD1704" s="12"/>
      <c r="BF1704" s="106" t="str">
        <f t="shared" si="1"/>
        <v>#VALUE!</v>
      </c>
      <c r="BG1704" s="21">
        <f t="shared" si="2"/>
        <v>12</v>
      </c>
    </row>
    <row r="1705">
      <c r="P1705" s="161"/>
      <c r="AI1705" s="102"/>
      <c r="AO1705" s="12"/>
      <c r="AP1705" s="12"/>
      <c r="AQ1705" s="12"/>
      <c r="AR1705" s="12"/>
      <c r="AS1705" s="12"/>
      <c r="AT1705" s="12"/>
      <c r="AU1705" s="12"/>
      <c r="AV1705" s="12"/>
      <c r="AW1705" s="12"/>
      <c r="AX1705" s="12"/>
      <c r="AY1705" s="12"/>
      <c r="AZ1705" s="12"/>
      <c r="BA1705" s="12"/>
      <c r="BB1705" s="12"/>
      <c r="BC1705" s="12"/>
      <c r="BD1705" s="12"/>
      <c r="BF1705" s="106" t="str">
        <f t="shared" si="1"/>
        <v>#VALUE!</v>
      </c>
      <c r="BG1705" s="21">
        <f t="shared" si="2"/>
        <v>12</v>
      </c>
    </row>
    <row r="1706">
      <c r="P1706" s="161"/>
      <c r="AI1706" s="102"/>
      <c r="AO1706" s="12"/>
      <c r="AP1706" s="12"/>
      <c r="AQ1706" s="12"/>
      <c r="AR1706" s="12"/>
      <c r="AS1706" s="12"/>
      <c r="AT1706" s="12"/>
      <c r="AU1706" s="12"/>
      <c r="AV1706" s="12"/>
      <c r="AW1706" s="12"/>
      <c r="AX1706" s="12"/>
      <c r="AY1706" s="12"/>
      <c r="AZ1706" s="12"/>
      <c r="BA1706" s="12"/>
      <c r="BB1706" s="12"/>
      <c r="BC1706" s="12"/>
      <c r="BD1706" s="12"/>
      <c r="BF1706" s="106" t="str">
        <f t="shared" si="1"/>
        <v>#VALUE!</v>
      </c>
      <c r="BG1706" s="21">
        <f t="shared" si="2"/>
        <v>12</v>
      </c>
    </row>
    <row r="1707">
      <c r="P1707" s="161"/>
      <c r="AI1707" s="102"/>
      <c r="AO1707" s="12"/>
      <c r="AP1707" s="12"/>
      <c r="AQ1707" s="12"/>
      <c r="AR1707" s="12"/>
      <c r="AS1707" s="12"/>
      <c r="AT1707" s="12"/>
      <c r="AU1707" s="12"/>
      <c r="AV1707" s="12"/>
      <c r="AW1707" s="12"/>
      <c r="AX1707" s="12"/>
      <c r="AY1707" s="12"/>
      <c r="AZ1707" s="12"/>
      <c r="BA1707" s="12"/>
      <c r="BB1707" s="12"/>
      <c r="BC1707" s="12"/>
      <c r="BD1707" s="12"/>
      <c r="BF1707" s="106" t="str">
        <f t="shared" si="1"/>
        <v>#VALUE!</v>
      </c>
      <c r="BG1707" s="21">
        <f t="shared" si="2"/>
        <v>12</v>
      </c>
    </row>
    <row r="1708">
      <c r="P1708" s="161"/>
      <c r="AI1708" s="102"/>
      <c r="AO1708" s="12"/>
      <c r="AP1708" s="12"/>
      <c r="AQ1708" s="12"/>
      <c r="AR1708" s="12"/>
      <c r="AS1708" s="12"/>
      <c r="AT1708" s="12"/>
      <c r="AU1708" s="12"/>
      <c r="AV1708" s="12"/>
      <c r="AW1708" s="12"/>
      <c r="AX1708" s="12"/>
      <c r="AY1708" s="12"/>
      <c r="AZ1708" s="12"/>
      <c r="BA1708" s="12"/>
      <c r="BB1708" s="12"/>
      <c r="BC1708" s="12"/>
      <c r="BD1708" s="12"/>
      <c r="BF1708" s="106" t="str">
        <f t="shared" si="1"/>
        <v>#VALUE!</v>
      </c>
      <c r="BG1708" s="21">
        <f t="shared" si="2"/>
        <v>12</v>
      </c>
    </row>
    <row r="1709">
      <c r="P1709" s="161"/>
      <c r="AI1709" s="102"/>
      <c r="AO1709" s="12"/>
      <c r="AP1709" s="12"/>
      <c r="AQ1709" s="12"/>
      <c r="AR1709" s="12"/>
      <c r="AS1709" s="12"/>
      <c r="AT1709" s="12"/>
      <c r="AU1709" s="12"/>
      <c r="AV1709" s="12"/>
      <c r="AW1709" s="12"/>
      <c r="AX1709" s="12"/>
      <c r="AY1709" s="12"/>
      <c r="AZ1709" s="12"/>
      <c r="BA1709" s="12"/>
      <c r="BB1709" s="12"/>
      <c r="BC1709" s="12"/>
      <c r="BD1709" s="12"/>
      <c r="BF1709" s="106" t="str">
        <f t="shared" si="1"/>
        <v>#VALUE!</v>
      </c>
      <c r="BG1709" s="21">
        <f t="shared" si="2"/>
        <v>12</v>
      </c>
    </row>
    <row r="1710">
      <c r="P1710" s="161"/>
      <c r="AI1710" s="102"/>
      <c r="AO1710" s="12"/>
      <c r="AP1710" s="12"/>
      <c r="AQ1710" s="12"/>
      <c r="AR1710" s="12"/>
      <c r="AS1710" s="12"/>
      <c r="AT1710" s="12"/>
      <c r="AU1710" s="12"/>
      <c r="AV1710" s="12"/>
      <c r="AW1710" s="12"/>
      <c r="AX1710" s="12"/>
      <c r="AY1710" s="12"/>
      <c r="AZ1710" s="12"/>
      <c r="BA1710" s="12"/>
      <c r="BB1710" s="12"/>
      <c r="BC1710" s="12"/>
      <c r="BD1710" s="12"/>
      <c r="BF1710" s="106" t="str">
        <f t="shared" si="1"/>
        <v>#VALUE!</v>
      </c>
      <c r="BG1710" s="21">
        <f t="shared" si="2"/>
        <v>12</v>
      </c>
    </row>
    <row r="1711">
      <c r="P1711" s="161"/>
      <c r="AI1711" s="102"/>
      <c r="AO1711" s="12"/>
      <c r="AP1711" s="12"/>
      <c r="AQ1711" s="12"/>
      <c r="AR1711" s="12"/>
      <c r="AS1711" s="12"/>
      <c r="AT1711" s="12"/>
      <c r="AU1711" s="12"/>
      <c r="AV1711" s="12"/>
      <c r="AW1711" s="12"/>
      <c r="AX1711" s="12"/>
      <c r="AY1711" s="12"/>
      <c r="AZ1711" s="12"/>
      <c r="BA1711" s="12"/>
      <c r="BB1711" s="12"/>
      <c r="BC1711" s="12"/>
      <c r="BD1711" s="12"/>
      <c r="BF1711" s="106" t="str">
        <f t="shared" si="1"/>
        <v>#VALUE!</v>
      </c>
      <c r="BG1711" s="21">
        <f t="shared" si="2"/>
        <v>12</v>
      </c>
    </row>
    <row r="1712">
      <c r="P1712" s="161"/>
      <c r="AI1712" s="102"/>
      <c r="AO1712" s="12"/>
      <c r="AP1712" s="12"/>
      <c r="AQ1712" s="12"/>
      <c r="AR1712" s="12"/>
      <c r="AS1712" s="12"/>
      <c r="AT1712" s="12"/>
      <c r="AU1712" s="12"/>
      <c r="AV1712" s="12"/>
      <c r="AW1712" s="12"/>
      <c r="AX1712" s="12"/>
      <c r="AY1712" s="12"/>
      <c r="AZ1712" s="12"/>
      <c r="BA1712" s="12"/>
      <c r="BB1712" s="12"/>
      <c r="BC1712" s="12"/>
      <c r="BD1712" s="12"/>
      <c r="BF1712" s="106" t="str">
        <f t="shared" si="1"/>
        <v>#VALUE!</v>
      </c>
      <c r="BG1712" s="21">
        <f t="shared" si="2"/>
        <v>12</v>
      </c>
    </row>
    <row r="1713">
      <c r="P1713" s="161"/>
      <c r="AI1713" s="102"/>
      <c r="AO1713" s="12"/>
      <c r="AP1713" s="12"/>
      <c r="AQ1713" s="12"/>
      <c r="AR1713" s="12"/>
      <c r="AS1713" s="12"/>
      <c r="AT1713" s="12"/>
      <c r="AU1713" s="12"/>
      <c r="AV1713" s="12"/>
      <c r="AW1713" s="12"/>
      <c r="AX1713" s="12"/>
      <c r="AY1713" s="12"/>
      <c r="AZ1713" s="12"/>
      <c r="BA1713" s="12"/>
      <c r="BB1713" s="12"/>
      <c r="BC1713" s="12"/>
      <c r="BD1713" s="12"/>
      <c r="BF1713" s="106" t="str">
        <f t="shared" si="1"/>
        <v>#VALUE!</v>
      </c>
      <c r="BG1713" s="21">
        <f t="shared" si="2"/>
        <v>12</v>
      </c>
    </row>
    <row r="1714">
      <c r="P1714" s="161"/>
      <c r="AI1714" s="102"/>
      <c r="AO1714" s="12"/>
      <c r="AP1714" s="12"/>
      <c r="AQ1714" s="12"/>
      <c r="AR1714" s="12"/>
      <c r="AS1714" s="12"/>
      <c r="AT1714" s="12"/>
      <c r="AU1714" s="12"/>
      <c r="AV1714" s="12"/>
      <c r="AW1714" s="12"/>
      <c r="AX1714" s="12"/>
      <c r="AY1714" s="12"/>
      <c r="AZ1714" s="12"/>
      <c r="BA1714" s="12"/>
      <c r="BB1714" s="12"/>
      <c r="BC1714" s="12"/>
      <c r="BD1714" s="12"/>
      <c r="BF1714" s="106" t="str">
        <f t="shared" si="1"/>
        <v>#VALUE!</v>
      </c>
      <c r="BG1714" s="21">
        <f t="shared" si="2"/>
        <v>12</v>
      </c>
    </row>
    <row r="1715">
      <c r="P1715" s="161"/>
      <c r="AI1715" s="102"/>
      <c r="AO1715" s="12"/>
      <c r="AP1715" s="12"/>
      <c r="AQ1715" s="12"/>
      <c r="AR1715" s="12"/>
      <c r="AS1715" s="12"/>
      <c r="AT1715" s="12"/>
      <c r="AU1715" s="12"/>
      <c r="AV1715" s="12"/>
      <c r="AW1715" s="12"/>
      <c r="AX1715" s="12"/>
      <c r="AY1715" s="12"/>
      <c r="AZ1715" s="12"/>
      <c r="BA1715" s="12"/>
      <c r="BB1715" s="12"/>
      <c r="BC1715" s="12"/>
      <c r="BD1715" s="12"/>
      <c r="BF1715" s="106" t="str">
        <f t="shared" si="1"/>
        <v>#VALUE!</v>
      </c>
      <c r="BG1715" s="21">
        <f t="shared" si="2"/>
        <v>12</v>
      </c>
    </row>
    <row r="1716">
      <c r="P1716" s="161"/>
      <c r="AI1716" s="102"/>
      <c r="AO1716" s="12"/>
      <c r="AP1716" s="12"/>
      <c r="AQ1716" s="12"/>
      <c r="AR1716" s="12"/>
      <c r="AS1716" s="12"/>
      <c r="AT1716" s="12"/>
      <c r="AU1716" s="12"/>
      <c r="AV1716" s="12"/>
      <c r="AW1716" s="12"/>
      <c r="AX1716" s="12"/>
      <c r="AY1716" s="12"/>
      <c r="AZ1716" s="12"/>
      <c r="BA1716" s="12"/>
      <c r="BB1716" s="12"/>
      <c r="BC1716" s="12"/>
      <c r="BD1716" s="12"/>
      <c r="BF1716" s="106" t="str">
        <f t="shared" si="1"/>
        <v>#VALUE!</v>
      </c>
      <c r="BG1716" s="21">
        <f t="shared" si="2"/>
        <v>12</v>
      </c>
    </row>
    <row r="1717">
      <c r="P1717" s="161"/>
      <c r="AI1717" s="102"/>
      <c r="AO1717" s="12"/>
      <c r="AP1717" s="12"/>
      <c r="AQ1717" s="12"/>
      <c r="AR1717" s="12"/>
      <c r="AS1717" s="12"/>
      <c r="AT1717" s="12"/>
      <c r="AU1717" s="12"/>
      <c r="AV1717" s="12"/>
      <c r="AW1717" s="12"/>
      <c r="AX1717" s="12"/>
      <c r="AY1717" s="12"/>
      <c r="AZ1717" s="12"/>
      <c r="BA1717" s="12"/>
      <c r="BB1717" s="12"/>
      <c r="BC1717" s="12"/>
      <c r="BD1717" s="12"/>
      <c r="BF1717" s="106" t="str">
        <f t="shared" si="1"/>
        <v>#VALUE!</v>
      </c>
      <c r="BG1717" s="21">
        <f t="shared" si="2"/>
        <v>12</v>
      </c>
    </row>
    <row r="1718">
      <c r="P1718" s="161"/>
      <c r="AI1718" s="102"/>
      <c r="AO1718" s="12"/>
      <c r="AP1718" s="12"/>
      <c r="AQ1718" s="12"/>
      <c r="AR1718" s="12"/>
      <c r="AS1718" s="12"/>
      <c r="AT1718" s="12"/>
      <c r="AU1718" s="12"/>
      <c r="AV1718" s="12"/>
      <c r="AW1718" s="12"/>
      <c r="AX1718" s="12"/>
      <c r="AY1718" s="12"/>
      <c r="AZ1718" s="12"/>
      <c r="BA1718" s="12"/>
      <c r="BB1718" s="12"/>
      <c r="BC1718" s="12"/>
      <c r="BD1718" s="12"/>
      <c r="BF1718" s="106" t="str">
        <f t="shared" si="1"/>
        <v>#VALUE!</v>
      </c>
      <c r="BG1718" s="21">
        <f t="shared" si="2"/>
        <v>12</v>
      </c>
    </row>
    <row r="1719">
      <c r="P1719" s="161"/>
      <c r="AI1719" s="102"/>
      <c r="AO1719" s="12"/>
      <c r="AP1719" s="12"/>
      <c r="AQ1719" s="12"/>
      <c r="AR1719" s="12"/>
      <c r="AS1719" s="12"/>
      <c r="AT1719" s="12"/>
      <c r="AU1719" s="12"/>
      <c r="AV1719" s="12"/>
      <c r="AW1719" s="12"/>
      <c r="AX1719" s="12"/>
      <c r="AY1719" s="12"/>
      <c r="AZ1719" s="12"/>
      <c r="BA1719" s="12"/>
      <c r="BB1719" s="12"/>
      <c r="BC1719" s="12"/>
      <c r="BD1719" s="12"/>
      <c r="BF1719" s="106" t="str">
        <f t="shared" si="1"/>
        <v>#VALUE!</v>
      </c>
      <c r="BG1719" s="21">
        <f t="shared" si="2"/>
        <v>12</v>
      </c>
    </row>
    <row r="1720">
      <c r="P1720" s="161"/>
      <c r="AI1720" s="102"/>
      <c r="AO1720" s="12"/>
      <c r="AP1720" s="12"/>
      <c r="AQ1720" s="12"/>
      <c r="AR1720" s="12"/>
      <c r="AS1720" s="12"/>
      <c r="AT1720" s="12"/>
      <c r="AU1720" s="12"/>
      <c r="AV1720" s="12"/>
      <c r="AW1720" s="12"/>
      <c r="AX1720" s="12"/>
      <c r="AY1720" s="12"/>
      <c r="AZ1720" s="12"/>
      <c r="BA1720" s="12"/>
      <c r="BB1720" s="12"/>
      <c r="BC1720" s="12"/>
      <c r="BD1720" s="12"/>
      <c r="BF1720" s="106" t="str">
        <f t="shared" si="1"/>
        <v>#VALUE!</v>
      </c>
      <c r="BG1720" s="21">
        <f t="shared" si="2"/>
        <v>12</v>
      </c>
    </row>
    <row r="1721">
      <c r="P1721" s="161"/>
      <c r="AI1721" s="102"/>
      <c r="AO1721" s="12"/>
      <c r="AP1721" s="12"/>
      <c r="AQ1721" s="12"/>
      <c r="AR1721" s="12"/>
      <c r="AS1721" s="12"/>
      <c r="AT1721" s="12"/>
      <c r="AU1721" s="12"/>
      <c r="AV1721" s="12"/>
      <c r="AW1721" s="12"/>
      <c r="AX1721" s="12"/>
      <c r="AY1721" s="12"/>
      <c r="AZ1721" s="12"/>
      <c r="BA1721" s="12"/>
      <c r="BB1721" s="12"/>
      <c r="BC1721" s="12"/>
      <c r="BD1721" s="12"/>
      <c r="BF1721" s="106" t="str">
        <f t="shared" si="1"/>
        <v>#VALUE!</v>
      </c>
      <c r="BG1721" s="21">
        <f t="shared" si="2"/>
        <v>12</v>
      </c>
    </row>
    <row r="1722">
      <c r="P1722" s="161"/>
      <c r="AI1722" s="102"/>
      <c r="AO1722" s="12"/>
      <c r="AP1722" s="12"/>
      <c r="AQ1722" s="12"/>
      <c r="AR1722" s="12"/>
      <c r="AS1722" s="12"/>
      <c r="AT1722" s="12"/>
      <c r="AU1722" s="12"/>
      <c r="AV1722" s="12"/>
      <c r="AW1722" s="12"/>
      <c r="AX1722" s="12"/>
      <c r="AY1722" s="12"/>
      <c r="AZ1722" s="12"/>
      <c r="BA1722" s="12"/>
      <c r="BB1722" s="12"/>
      <c r="BC1722" s="12"/>
      <c r="BD1722" s="12"/>
      <c r="BF1722" s="106" t="str">
        <f t="shared" si="1"/>
        <v>#VALUE!</v>
      </c>
      <c r="BG1722" s="21">
        <f t="shared" si="2"/>
        <v>12</v>
      </c>
    </row>
    <row r="1723">
      <c r="P1723" s="161"/>
      <c r="AI1723" s="102"/>
      <c r="AO1723" s="12"/>
      <c r="AP1723" s="12"/>
      <c r="AQ1723" s="12"/>
      <c r="AR1723" s="12"/>
      <c r="AS1723" s="12"/>
      <c r="AT1723" s="12"/>
      <c r="AU1723" s="12"/>
      <c r="AV1723" s="12"/>
      <c r="AW1723" s="12"/>
      <c r="AX1723" s="12"/>
      <c r="AY1723" s="12"/>
      <c r="AZ1723" s="12"/>
      <c r="BA1723" s="12"/>
      <c r="BB1723" s="12"/>
      <c r="BC1723" s="12"/>
      <c r="BD1723" s="12"/>
      <c r="BF1723" s="106" t="str">
        <f t="shared" si="1"/>
        <v>#VALUE!</v>
      </c>
      <c r="BG1723" s="21">
        <f t="shared" si="2"/>
        <v>12</v>
      </c>
    </row>
    <row r="1724">
      <c r="P1724" s="161"/>
      <c r="AI1724" s="102"/>
      <c r="AO1724" s="12"/>
      <c r="AP1724" s="12"/>
      <c r="AQ1724" s="12"/>
      <c r="AR1724" s="12"/>
      <c r="AS1724" s="12"/>
      <c r="AT1724" s="12"/>
      <c r="AU1724" s="12"/>
      <c r="AV1724" s="12"/>
      <c r="AW1724" s="12"/>
      <c r="AX1724" s="12"/>
      <c r="AY1724" s="12"/>
      <c r="AZ1724" s="12"/>
      <c r="BA1724" s="12"/>
      <c r="BB1724" s="12"/>
      <c r="BC1724" s="12"/>
      <c r="BD1724" s="12"/>
      <c r="BF1724" s="106" t="str">
        <f t="shared" si="1"/>
        <v>#VALUE!</v>
      </c>
      <c r="BG1724" s="21">
        <f t="shared" si="2"/>
        <v>12</v>
      </c>
    </row>
    <row r="1725">
      <c r="P1725" s="161"/>
      <c r="AI1725" s="102"/>
      <c r="AO1725" s="12"/>
      <c r="AP1725" s="12"/>
      <c r="AQ1725" s="12"/>
      <c r="AR1725" s="12"/>
      <c r="AS1725" s="12"/>
      <c r="AT1725" s="12"/>
      <c r="AU1725" s="12"/>
      <c r="AV1725" s="12"/>
      <c r="AW1725" s="12"/>
      <c r="AX1725" s="12"/>
      <c r="AY1725" s="12"/>
      <c r="AZ1725" s="12"/>
      <c r="BA1725" s="12"/>
      <c r="BB1725" s="12"/>
      <c r="BC1725" s="12"/>
      <c r="BD1725" s="12"/>
      <c r="BF1725" s="106" t="str">
        <f t="shared" si="1"/>
        <v>#VALUE!</v>
      </c>
      <c r="BG1725" s="21">
        <f t="shared" si="2"/>
        <v>12</v>
      </c>
    </row>
    <row r="1726">
      <c r="P1726" s="161"/>
      <c r="AI1726" s="102"/>
      <c r="AO1726" s="12"/>
      <c r="AP1726" s="12"/>
      <c r="AQ1726" s="12"/>
      <c r="AR1726" s="12"/>
      <c r="AS1726" s="12"/>
      <c r="AT1726" s="12"/>
      <c r="AU1726" s="12"/>
      <c r="AV1726" s="12"/>
      <c r="AW1726" s="12"/>
      <c r="AX1726" s="12"/>
      <c r="AY1726" s="12"/>
      <c r="AZ1726" s="12"/>
      <c r="BA1726" s="12"/>
      <c r="BB1726" s="12"/>
      <c r="BC1726" s="12"/>
      <c r="BD1726" s="12"/>
      <c r="BF1726" s="106" t="str">
        <f t="shared" si="1"/>
        <v>#VALUE!</v>
      </c>
      <c r="BG1726" s="21">
        <f t="shared" si="2"/>
        <v>12</v>
      </c>
    </row>
    <row r="1727">
      <c r="P1727" s="161"/>
      <c r="AI1727" s="102"/>
      <c r="AO1727" s="12"/>
      <c r="AP1727" s="12"/>
      <c r="AQ1727" s="12"/>
      <c r="AR1727" s="12"/>
      <c r="AS1727" s="12"/>
      <c r="AT1727" s="12"/>
      <c r="AU1727" s="12"/>
      <c r="AV1727" s="12"/>
      <c r="AW1727" s="12"/>
      <c r="AX1727" s="12"/>
      <c r="AY1727" s="12"/>
      <c r="AZ1727" s="12"/>
      <c r="BA1727" s="12"/>
      <c r="BB1727" s="12"/>
      <c r="BC1727" s="12"/>
      <c r="BD1727" s="12"/>
      <c r="BF1727" s="106" t="str">
        <f t="shared" si="1"/>
        <v>#VALUE!</v>
      </c>
      <c r="BG1727" s="21">
        <f t="shared" si="2"/>
        <v>12</v>
      </c>
    </row>
    <row r="1728">
      <c r="P1728" s="161"/>
      <c r="AI1728" s="102"/>
      <c r="AO1728" s="12"/>
      <c r="AP1728" s="12"/>
      <c r="AQ1728" s="12"/>
      <c r="AR1728" s="12"/>
      <c r="AS1728" s="12"/>
      <c r="AT1728" s="12"/>
      <c r="AU1728" s="12"/>
      <c r="AV1728" s="12"/>
      <c r="AW1728" s="12"/>
      <c r="AX1728" s="12"/>
      <c r="AY1728" s="12"/>
      <c r="AZ1728" s="12"/>
      <c r="BA1728" s="12"/>
      <c r="BB1728" s="12"/>
      <c r="BC1728" s="12"/>
      <c r="BD1728" s="12"/>
      <c r="BF1728" s="106" t="str">
        <f t="shared" si="1"/>
        <v>#VALUE!</v>
      </c>
      <c r="BG1728" s="21">
        <f t="shared" si="2"/>
        <v>12</v>
      </c>
    </row>
    <row r="1729">
      <c r="P1729" s="161"/>
      <c r="AI1729" s="102"/>
      <c r="AO1729" s="12"/>
      <c r="AP1729" s="12"/>
      <c r="AQ1729" s="12"/>
      <c r="AR1729" s="12"/>
      <c r="AS1729" s="12"/>
      <c r="AT1729" s="12"/>
      <c r="AU1729" s="12"/>
      <c r="AV1729" s="12"/>
      <c r="AW1729" s="12"/>
      <c r="AX1729" s="12"/>
      <c r="AY1729" s="12"/>
      <c r="AZ1729" s="12"/>
      <c r="BA1729" s="12"/>
      <c r="BB1729" s="12"/>
      <c r="BC1729" s="12"/>
      <c r="BD1729" s="12"/>
      <c r="BF1729" s="106" t="str">
        <f t="shared" si="1"/>
        <v>#VALUE!</v>
      </c>
      <c r="BG1729" s="21">
        <f t="shared" si="2"/>
        <v>12</v>
      </c>
    </row>
    <row r="1730">
      <c r="P1730" s="161"/>
      <c r="AI1730" s="102"/>
      <c r="AO1730" s="12"/>
      <c r="AP1730" s="12"/>
      <c r="AQ1730" s="12"/>
      <c r="AR1730" s="12"/>
      <c r="AS1730" s="12"/>
      <c r="AT1730" s="12"/>
      <c r="AU1730" s="12"/>
      <c r="AV1730" s="12"/>
      <c r="AW1730" s="12"/>
      <c r="AX1730" s="12"/>
      <c r="AY1730" s="12"/>
      <c r="AZ1730" s="12"/>
      <c r="BA1730" s="12"/>
      <c r="BB1730" s="12"/>
      <c r="BC1730" s="12"/>
      <c r="BD1730" s="12"/>
      <c r="BF1730" s="106" t="str">
        <f t="shared" si="1"/>
        <v>#VALUE!</v>
      </c>
      <c r="BG1730" s="21">
        <f t="shared" si="2"/>
        <v>12</v>
      </c>
    </row>
    <row r="1731">
      <c r="P1731" s="161"/>
      <c r="AI1731" s="102"/>
      <c r="AO1731" s="12"/>
      <c r="AP1731" s="12"/>
      <c r="AQ1731" s="12"/>
      <c r="AR1731" s="12"/>
      <c r="AS1731" s="12"/>
      <c r="AT1731" s="12"/>
      <c r="AU1731" s="12"/>
      <c r="AV1731" s="12"/>
      <c r="AW1731" s="12"/>
      <c r="AX1731" s="12"/>
      <c r="AY1731" s="12"/>
      <c r="AZ1731" s="12"/>
      <c r="BA1731" s="12"/>
      <c r="BB1731" s="12"/>
      <c r="BC1731" s="12"/>
      <c r="BD1731" s="12"/>
      <c r="BF1731" s="106" t="str">
        <f t="shared" si="1"/>
        <v>#VALUE!</v>
      </c>
      <c r="BG1731" s="21">
        <f t="shared" si="2"/>
        <v>12</v>
      </c>
    </row>
    <row r="1732">
      <c r="P1732" s="161"/>
      <c r="AI1732" s="102"/>
      <c r="AO1732" s="12"/>
      <c r="AP1732" s="12"/>
      <c r="AQ1732" s="12"/>
      <c r="AR1732" s="12"/>
      <c r="AS1732" s="12"/>
      <c r="AT1732" s="12"/>
      <c r="AU1732" s="12"/>
      <c r="AV1732" s="12"/>
      <c r="AW1732" s="12"/>
      <c r="AX1732" s="12"/>
      <c r="AY1732" s="12"/>
      <c r="AZ1732" s="12"/>
      <c r="BA1732" s="12"/>
      <c r="BB1732" s="12"/>
      <c r="BC1732" s="12"/>
      <c r="BD1732" s="12"/>
      <c r="BF1732" s="106" t="str">
        <f t="shared" si="1"/>
        <v>#VALUE!</v>
      </c>
      <c r="BG1732" s="21">
        <f t="shared" si="2"/>
        <v>12</v>
      </c>
    </row>
    <row r="1733">
      <c r="P1733" s="161"/>
      <c r="AI1733" s="102"/>
      <c r="AO1733" s="12"/>
      <c r="AP1733" s="12"/>
      <c r="AQ1733" s="12"/>
      <c r="AR1733" s="12"/>
      <c r="AS1733" s="12"/>
      <c r="AT1733" s="12"/>
      <c r="AU1733" s="12"/>
      <c r="AV1733" s="12"/>
      <c r="AW1733" s="12"/>
      <c r="AX1733" s="12"/>
      <c r="AY1733" s="12"/>
      <c r="AZ1733" s="12"/>
      <c r="BA1733" s="12"/>
      <c r="BB1733" s="12"/>
      <c r="BC1733" s="12"/>
      <c r="BD1733" s="12"/>
      <c r="BF1733" s="106" t="str">
        <f t="shared" si="1"/>
        <v>#VALUE!</v>
      </c>
      <c r="BG1733" s="21">
        <f t="shared" si="2"/>
        <v>12</v>
      </c>
    </row>
    <row r="1734">
      <c r="P1734" s="161"/>
      <c r="AI1734" s="102"/>
      <c r="AO1734" s="12"/>
      <c r="AP1734" s="12"/>
      <c r="AQ1734" s="12"/>
      <c r="AR1734" s="12"/>
      <c r="AS1734" s="12"/>
      <c r="AT1734" s="12"/>
      <c r="AU1734" s="12"/>
      <c r="AV1734" s="12"/>
      <c r="AW1734" s="12"/>
      <c r="AX1734" s="12"/>
      <c r="AY1734" s="12"/>
      <c r="AZ1734" s="12"/>
      <c r="BA1734" s="12"/>
      <c r="BB1734" s="12"/>
      <c r="BC1734" s="12"/>
      <c r="BD1734" s="12"/>
      <c r="BF1734" s="106" t="str">
        <f t="shared" si="1"/>
        <v>#VALUE!</v>
      </c>
      <c r="BG1734" s="21">
        <f t="shared" si="2"/>
        <v>12</v>
      </c>
    </row>
    <row r="1735">
      <c r="P1735" s="161"/>
      <c r="AI1735" s="102"/>
      <c r="AO1735" s="12"/>
      <c r="AP1735" s="12"/>
      <c r="AQ1735" s="12"/>
      <c r="AR1735" s="12"/>
      <c r="AS1735" s="12"/>
      <c r="AT1735" s="12"/>
      <c r="AU1735" s="12"/>
      <c r="AV1735" s="12"/>
      <c r="AW1735" s="12"/>
      <c r="AX1735" s="12"/>
      <c r="AY1735" s="12"/>
      <c r="AZ1735" s="12"/>
      <c r="BA1735" s="12"/>
      <c r="BB1735" s="12"/>
      <c r="BC1735" s="12"/>
      <c r="BD1735" s="12"/>
      <c r="BF1735" s="106" t="str">
        <f t="shared" si="1"/>
        <v>#VALUE!</v>
      </c>
      <c r="BG1735" s="21">
        <f t="shared" si="2"/>
        <v>12</v>
      </c>
    </row>
    <row r="1736">
      <c r="P1736" s="161"/>
      <c r="AI1736" s="102"/>
      <c r="AO1736" s="12"/>
      <c r="AP1736" s="12"/>
      <c r="AQ1736" s="12"/>
      <c r="AR1736" s="12"/>
      <c r="AS1736" s="12"/>
      <c r="AT1736" s="12"/>
      <c r="AU1736" s="12"/>
      <c r="AV1736" s="12"/>
      <c r="AW1736" s="12"/>
      <c r="AX1736" s="12"/>
      <c r="AY1736" s="12"/>
      <c r="AZ1736" s="12"/>
      <c r="BA1736" s="12"/>
      <c r="BB1736" s="12"/>
      <c r="BC1736" s="12"/>
      <c r="BD1736" s="12"/>
      <c r="BF1736" s="106" t="str">
        <f t="shared" si="1"/>
        <v>#VALUE!</v>
      </c>
      <c r="BG1736" s="21">
        <f t="shared" si="2"/>
        <v>12</v>
      </c>
    </row>
    <row r="1737">
      <c r="P1737" s="161"/>
      <c r="AI1737" s="102"/>
      <c r="AO1737" s="12"/>
      <c r="AP1737" s="12"/>
      <c r="AQ1737" s="12"/>
      <c r="AR1737" s="12"/>
      <c r="AS1737" s="12"/>
      <c r="AT1737" s="12"/>
      <c r="AU1737" s="12"/>
      <c r="AV1737" s="12"/>
      <c r="AW1737" s="12"/>
      <c r="AX1737" s="12"/>
      <c r="AY1737" s="12"/>
      <c r="AZ1737" s="12"/>
      <c r="BA1737" s="12"/>
      <c r="BB1737" s="12"/>
      <c r="BC1737" s="12"/>
      <c r="BD1737" s="12"/>
      <c r="BF1737" s="106" t="str">
        <f t="shared" si="1"/>
        <v>#VALUE!</v>
      </c>
      <c r="BG1737" s="21">
        <f t="shared" si="2"/>
        <v>12</v>
      </c>
    </row>
    <row r="1738">
      <c r="P1738" s="161"/>
      <c r="AI1738" s="102"/>
      <c r="AO1738" s="12"/>
      <c r="AP1738" s="12"/>
      <c r="AQ1738" s="12"/>
      <c r="AR1738" s="12"/>
      <c r="AS1738" s="12"/>
      <c r="AT1738" s="12"/>
      <c r="AU1738" s="12"/>
      <c r="AV1738" s="12"/>
      <c r="AW1738" s="12"/>
      <c r="AX1738" s="12"/>
      <c r="AY1738" s="12"/>
      <c r="AZ1738" s="12"/>
      <c r="BA1738" s="12"/>
      <c r="BB1738" s="12"/>
      <c r="BC1738" s="12"/>
      <c r="BD1738" s="12"/>
      <c r="BF1738" s="106" t="str">
        <f t="shared" si="1"/>
        <v>#VALUE!</v>
      </c>
      <c r="BG1738" s="21">
        <f t="shared" si="2"/>
        <v>12</v>
      </c>
    </row>
    <row r="1739">
      <c r="P1739" s="161"/>
      <c r="AI1739" s="102"/>
      <c r="AO1739" s="12"/>
      <c r="AP1739" s="12"/>
      <c r="AQ1739" s="12"/>
      <c r="AR1739" s="12"/>
      <c r="AS1739" s="12"/>
      <c r="AT1739" s="12"/>
      <c r="AU1739" s="12"/>
      <c r="AV1739" s="12"/>
      <c r="AW1739" s="12"/>
      <c r="AX1739" s="12"/>
      <c r="AY1739" s="12"/>
      <c r="AZ1739" s="12"/>
      <c r="BA1739" s="12"/>
      <c r="BB1739" s="12"/>
      <c r="BC1739" s="12"/>
      <c r="BD1739" s="12"/>
      <c r="BF1739" s="106" t="str">
        <f t="shared" si="1"/>
        <v>#VALUE!</v>
      </c>
      <c r="BG1739" s="21">
        <f t="shared" si="2"/>
        <v>12</v>
      </c>
    </row>
    <row r="1740">
      <c r="P1740" s="161"/>
      <c r="AI1740" s="102"/>
      <c r="AO1740" s="12"/>
      <c r="AP1740" s="12"/>
      <c r="AQ1740" s="12"/>
      <c r="AR1740" s="12"/>
      <c r="AS1740" s="12"/>
      <c r="AT1740" s="12"/>
      <c r="AU1740" s="12"/>
      <c r="AV1740" s="12"/>
      <c r="AW1740" s="12"/>
      <c r="AX1740" s="12"/>
      <c r="AY1740" s="12"/>
      <c r="AZ1740" s="12"/>
      <c r="BA1740" s="12"/>
      <c r="BB1740" s="12"/>
      <c r="BC1740" s="12"/>
      <c r="BD1740" s="12"/>
      <c r="BF1740" s="106" t="str">
        <f t="shared" si="1"/>
        <v>#VALUE!</v>
      </c>
      <c r="BG1740" s="21">
        <f t="shared" si="2"/>
        <v>12</v>
      </c>
    </row>
    <row r="1741">
      <c r="P1741" s="161"/>
      <c r="AI1741" s="102"/>
      <c r="AO1741" s="12"/>
      <c r="AP1741" s="12"/>
      <c r="AQ1741" s="12"/>
      <c r="AR1741" s="12"/>
      <c r="AS1741" s="12"/>
      <c r="AT1741" s="12"/>
      <c r="AU1741" s="12"/>
      <c r="AV1741" s="12"/>
      <c r="AW1741" s="12"/>
      <c r="AX1741" s="12"/>
      <c r="AY1741" s="12"/>
      <c r="AZ1741" s="12"/>
      <c r="BA1741" s="12"/>
      <c r="BB1741" s="12"/>
      <c r="BC1741" s="12"/>
      <c r="BD1741" s="12"/>
      <c r="BF1741" s="106" t="str">
        <f t="shared" si="1"/>
        <v>#VALUE!</v>
      </c>
      <c r="BG1741" s="21">
        <f t="shared" si="2"/>
        <v>12</v>
      </c>
    </row>
    <row r="1742">
      <c r="P1742" s="161"/>
      <c r="AI1742" s="102"/>
      <c r="AO1742" s="12"/>
      <c r="AP1742" s="12"/>
      <c r="AQ1742" s="12"/>
      <c r="AR1742" s="12"/>
      <c r="AS1742" s="12"/>
      <c r="AT1742" s="12"/>
      <c r="AU1742" s="12"/>
      <c r="AV1742" s="12"/>
      <c r="AW1742" s="12"/>
      <c r="AX1742" s="12"/>
      <c r="AY1742" s="12"/>
      <c r="AZ1742" s="12"/>
      <c r="BA1742" s="12"/>
      <c r="BB1742" s="12"/>
      <c r="BC1742" s="12"/>
      <c r="BD1742" s="12"/>
      <c r="BF1742" s="106" t="str">
        <f t="shared" si="1"/>
        <v>#VALUE!</v>
      </c>
      <c r="BG1742" s="21">
        <f t="shared" si="2"/>
        <v>12</v>
      </c>
    </row>
    <row r="1743">
      <c r="P1743" s="161"/>
      <c r="AI1743" s="102"/>
      <c r="AO1743" s="12"/>
      <c r="AP1743" s="12"/>
      <c r="AQ1743" s="12"/>
      <c r="AR1743" s="12"/>
      <c r="AS1743" s="12"/>
      <c r="AT1743" s="12"/>
      <c r="AU1743" s="12"/>
      <c r="AV1743" s="12"/>
      <c r="AW1743" s="12"/>
      <c r="AX1743" s="12"/>
      <c r="AY1743" s="12"/>
      <c r="AZ1743" s="12"/>
      <c r="BA1743" s="12"/>
      <c r="BB1743" s="12"/>
      <c r="BC1743" s="12"/>
      <c r="BD1743" s="12"/>
      <c r="BF1743" s="106" t="str">
        <f t="shared" si="1"/>
        <v>#VALUE!</v>
      </c>
      <c r="BG1743" s="21">
        <f t="shared" si="2"/>
        <v>12</v>
      </c>
    </row>
    <row r="1744">
      <c r="P1744" s="161"/>
      <c r="AI1744" s="102"/>
      <c r="AO1744" s="12"/>
      <c r="AP1744" s="12"/>
      <c r="AQ1744" s="12"/>
      <c r="AR1744" s="12"/>
      <c r="AS1744" s="12"/>
      <c r="AT1744" s="12"/>
      <c r="AU1744" s="12"/>
      <c r="AV1744" s="12"/>
      <c r="AW1744" s="12"/>
      <c r="AX1744" s="12"/>
      <c r="AY1744" s="12"/>
      <c r="AZ1744" s="12"/>
      <c r="BA1744" s="12"/>
      <c r="BB1744" s="12"/>
      <c r="BC1744" s="12"/>
      <c r="BD1744" s="12"/>
      <c r="BF1744" s="106" t="str">
        <f t="shared" si="1"/>
        <v>#VALUE!</v>
      </c>
      <c r="BG1744" s="21">
        <f t="shared" si="2"/>
        <v>12</v>
      </c>
    </row>
    <row r="1745">
      <c r="P1745" s="161"/>
      <c r="AI1745" s="102"/>
      <c r="AO1745" s="12"/>
      <c r="AP1745" s="12"/>
      <c r="AQ1745" s="12"/>
      <c r="AR1745" s="12"/>
      <c r="AS1745" s="12"/>
      <c r="AT1745" s="12"/>
      <c r="AU1745" s="12"/>
      <c r="AV1745" s="12"/>
      <c r="AW1745" s="12"/>
      <c r="AX1745" s="12"/>
      <c r="AY1745" s="12"/>
      <c r="AZ1745" s="12"/>
      <c r="BA1745" s="12"/>
      <c r="BB1745" s="12"/>
      <c r="BC1745" s="12"/>
      <c r="BD1745" s="12"/>
      <c r="BF1745" s="106" t="str">
        <f t="shared" si="1"/>
        <v>#VALUE!</v>
      </c>
      <c r="BG1745" s="21">
        <f t="shared" si="2"/>
        <v>12</v>
      </c>
    </row>
    <row r="1746">
      <c r="P1746" s="161"/>
      <c r="AI1746" s="102"/>
      <c r="AO1746" s="12"/>
      <c r="AP1746" s="12"/>
      <c r="AQ1746" s="12"/>
      <c r="AR1746" s="12"/>
      <c r="AS1746" s="12"/>
      <c r="AT1746" s="12"/>
      <c r="AU1746" s="12"/>
      <c r="AV1746" s="12"/>
      <c r="AW1746" s="12"/>
      <c r="AX1746" s="12"/>
      <c r="AY1746" s="12"/>
      <c r="AZ1746" s="12"/>
      <c r="BA1746" s="12"/>
      <c r="BB1746" s="12"/>
      <c r="BC1746" s="12"/>
      <c r="BD1746" s="12"/>
      <c r="BF1746" s="106" t="str">
        <f t="shared" si="1"/>
        <v>#VALUE!</v>
      </c>
      <c r="BG1746" s="21">
        <f t="shared" si="2"/>
        <v>12</v>
      </c>
    </row>
    <row r="1747">
      <c r="P1747" s="161"/>
      <c r="AI1747" s="102"/>
      <c r="AO1747" s="12"/>
      <c r="AP1747" s="12"/>
      <c r="AQ1747" s="12"/>
      <c r="AR1747" s="12"/>
      <c r="AS1747" s="12"/>
      <c r="AT1747" s="12"/>
      <c r="AU1747" s="12"/>
      <c r="AV1747" s="12"/>
      <c r="AW1747" s="12"/>
      <c r="AX1747" s="12"/>
      <c r="AY1747" s="12"/>
      <c r="AZ1747" s="12"/>
      <c r="BA1747" s="12"/>
      <c r="BB1747" s="12"/>
      <c r="BC1747" s="12"/>
      <c r="BD1747" s="12"/>
      <c r="BF1747" s="106" t="str">
        <f t="shared" si="1"/>
        <v>#VALUE!</v>
      </c>
      <c r="BG1747" s="21">
        <f t="shared" si="2"/>
        <v>12</v>
      </c>
    </row>
    <row r="1748">
      <c r="P1748" s="161"/>
      <c r="AI1748" s="102"/>
      <c r="AO1748" s="12"/>
      <c r="AP1748" s="12"/>
      <c r="AQ1748" s="12"/>
      <c r="AR1748" s="12"/>
      <c r="AS1748" s="12"/>
      <c r="AT1748" s="12"/>
      <c r="AU1748" s="12"/>
      <c r="AV1748" s="12"/>
      <c r="AW1748" s="12"/>
      <c r="AX1748" s="12"/>
      <c r="AY1748" s="12"/>
      <c r="AZ1748" s="12"/>
      <c r="BA1748" s="12"/>
      <c r="BB1748" s="12"/>
      <c r="BC1748" s="12"/>
      <c r="BD1748" s="12"/>
      <c r="BF1748" s="106" t="str">
        <f t="shared" si="1"/>
        <v>#VALUE!</v>
      </c>
      <c r="BG1748" s="21">
        <f t="shared" si="2"/>
        <v>12</v>
      </c>
    </row>
    <row r="1749">
      <c r="P1749" s="161"/>
      <c r="AI1749" s="102"/>
      <c r="AO1749" s="12"/>
      <c r="AP1749" s="12"/>
      <c r="AQ1749" s="12"/>
      <c r="AR1749" s="12"/>
      <c r="AS1749" s="12"/>
      <c r="AT1749" s="12"/>
      <c r="AU1749" s="12"/>
      <c r="AV1749" s="12"/>
      <c r="AW1749" s="12"/>
      <c r="AX1749" s="12"/>
      <c r="AY1749" s="12"/>
      <c r="AZ1749" s="12"/>
      <c r="BA1749" s="12"/>
      <c r="BB1749" s="12"/>
      <c r="BC1749" s="12"/>
      <c r="BD1749" s="12"/>
      <c r="BF1749" s="106" t="str">
        <f t="shared" si="1"/>
        <v>#VALUE!</v>
      </c>
      <c r="BG1749" s="21">
        <f t="shared" si="2"/>
        <v>12</v>
      </c>
    </row>
    <row r="1750">
      <c r="P1750" s="161"/>
      <c r="AI1750" s="102"/>
      <c r="AO1750" s="12"/>
      <c r="AP1750" s="12"/>
      <c r="AQ1750" s="12"/>
      <c r="AR1750" s="12"/>
      <c r="AS1750" s="12"/>
      <c r="AT1750" s="12"/>
      <c r="AU1750" s="12"/>
      <c r="AV1750" s="12"/>
      <c r="AW1750" s="12"/>
      <c r="AX1750" s="12"/>
      <c r="AY1750" s="12"/>
      <c r="AZ1750" s="12"/>
      <c r="BA1750" s="12"/>
      <c r="BB1750" s="12"/>
      <c r="BC1750" s="12"/>
      <c r="BD1750" s="12"/>
      <c r="BF1750" s="106" t="str">
        <f t="shared" si="1"/>
        <v>#VALUE!</v>
      </c>
      <c r="BG1750" s="21">
        <f t="shared" si="2"/>
        <v>12</v>
      </c>
    </row>
    <row r="1751">
      <c r="P1751" s="161"/>
      <c r="AI1751" s="102"/>
      <c r="AO1751" s="12"/>
      <c r="AP1751" s="12"/>
      <c r="AQ1751" s="12"/>
      <c r="AR1751" s="12"/>
      <c r="AS1751" s="12"/>
      <c r="AT1751" s="12"/>
      <c r="AU1751" s="12"/>
      <c r="AV1751" s="12"/>
      <c r="AW1751" s="12"/>
      <c r="AX1751" s="12"/>
      <c r="AY1751" s="12"/>
      <c r="AZ1751" s="12"/>
      <c r="BA1751" s="12"/>
      <c r="BB1751" s="12"/>
      <c r="BC1751" s="12"/>
      <c r="BD1751" s="12"/>
      <c r="BF1751" s="106" t="str">
        <f t="shared" si="1"/>
        <v>#VALUE!</v>
      </c>
      <c r="BG1751" s="21">
        <f t="shared" si="2"/>
        <v>12</v>
      </c>
    </row>
    <row r="1752">
      <c r="P1752" s="161"/>
      <c r="AI1752" s="102"/>
      <c r="AO1752" s="12"/>
      <c r="AP1752" s="12"/>
      <c r="AQ1752" s="12"/>
      <c r="AR1752" s="12"/>
      <c r="AS1752" s="12"/>
      <c r="AT1752" s="12"/>
      <c r="AU1752" s="12"/>
      <c r="AV1752" s="12"/>
      <c r="AW1752" s="12"/>
      <c r="AX1752" s="12"/>
      <c r="AY1752" s="12"/>
      <c r="AZ1752" s="12"/>
      <c r="BA1752" s="12"/>
      <c r="BB1752" s="12"/>
      <c r="BC1752" s="12"/>
      <c r="BD1752" s="12"/>
      <c r="BF1752" s="106" t="str">
        <f t="shared" si="1"/>
        <v>#VALUE!</v>
      </c>
      <c r="BG1752" s="21">
        <f t="shared" si="2"/>
        <v>12</v>
      </c>
    </row>
    <row r="1753">
      <c r="P1753" s="161"/>
      <c r="AI1753" s="102"/>
      <c r="AO1753" s="12"/>
      <c r="AP1753" s="12"/>
      <c r="AQ1753" s="12"/>
      <c r="AR1753" s="12"/>
      <c r="AS1753" s="12"/>
      <c r="AT1753" s="12"/>
      <c r="AU1753" s="12"/>
      <c r="AV1753" s="12"/>
      <c r="AW1753" s="12"/>
      <c r="AX1753" s="12"/>
      <c r="AY1753" s="12"/>
      <c r="AZ1753" s="12"/>
      <c r="BA1753" s="12"/>
      <c r="BB1753" s="12"/>
      <c r="BC1753" s="12"/>
      <c r="BD1753" s="12"/>
      <c r="BF1753" s="106" t="str">
        <f t="shared" si="1"/>
        <v>#VALUE!</v>
      </c>
      <c r="BG1753" s="21">
        <f t="shared" si="2"/>
        <v>12</v>
      </c>
    </row>
    <row r="1754">
      <c r="P1754" s="161"/>
      <c r="AI1754" s="102"/>
      <c r="AO1754" s="12"/>
      <c r="AP1754" s="12"/>
      <c r="AQ1754" s="12"/>
      <c r="AR1754" s="12"/>
      <c r="AS1754" s="12"/>
      <c r="AT1754" s="12"/>
      <c r="AU1754" s="12"/>
      <c r="AV1754" s="12"/>
      <c r="AW1754" s="12"/>
      <c r="AX1754" s="12"/>
      <c r="AY1754" s="12"/>
      <c r="AZ1754" s="12"/>
      <c r="BA1754" s="12"/>
      <c r="BB1754" s="12"/>
      <c r="BC1754" s="12"/>
      <c r="BD1754" s="12"/>
      <c r="BF1754" s="106" t="str">
        <f t="shared" si="1"/>
        <v>#VALUE!</v>
      </c>
      <c r="BG1754" s="21">
        <f t="shared" si="2"/>
        <v>12</v>
      </c>
    </row>
    <row r="1755">
      <c r="P1755" s="161"/>
      <c r="AI1755" s="102"/>
      <c r="AO1755" s="12"/>
      <c r="AP1755" s="12"/>
      <c r="AQ1755" s="12"/>
      <c r="AR1755" s="12"/>
      <c r="AS1755" s="12"/>
      <c r="AT1755" s="12"/>
      <c r="AU1755" s="12"/>
      <c r="AV1755" s="12"/>
      <c r="AW1755" s="12"/>
      <c r="AX1755" s="12"/>
      <c r="AY1755" s="12"/>
      <c r="AZ1755" s="12"/>
      <c r="BA1755" s="12"/>
      <c r="BB1755" s="12"/>
      <c r="BC1755" s="12"/>
      <c r="BD1755" s="12"/>
      <c r="BF1755" s="106" t="str">
        <f t="shared" si="1"/>
        <v>#VALUE!</v>
      </c>
      <c r="BG1755" s="21">
        <f t="shared" si="2"/>
        <v>12</v>
      </c>
    </row>
    <row r="1756">
      <c r="P1756" s="161"/>
      <c r="AI1756" s="102"/>
      <c r="AO1756" s="12"/>
      <c r="AP1756" s="12"/>
      <c r="AQ1756" s="12"/>
      <c r="AR1756" s="12"/>
      <c r="AS1756" s="12"/>
      <c r="AT1756" s="12"/>
      <c r="AU1756" s="12"/>
      <c r="AV1756" s="12"/>
      <c r="AW1756" s="12"/>
      <c r="AX1756" s="12"/>
      <c r="AY1756" s="12"/>
      <c r="AZ1756" s="12"/>
      <c r="BA1756" s="12"/>
      <c r="BB1756" s="12"/>
      <c r="BC1756" s="12"/>
      <c r="BD1756" s="12"/>
      <c r="BF1756" s="106" t="str">
        <f t="shared" si="1"/>
        <v>#VALUE!</v>
      </c>
      <c r="BG1756" s="21">
        <f t="shared" si="2"/>
        <v>12</v>
      </c>
    </row>
    <row r="1757">
      <c r="P1757" s="161"/>
      <c r="AI1757" s="102"/>
      <c r="AO1757" s="12"/>
      <c r="AP1757" s="12"/>
      <c r="AQ1757" s="12"/>
      <c r="AR1757" s="12"/>
      <c r="AS1757" s="12"/>
      <c r="AT1757" s="12"/>
      <c r="AU1757" s="12"/>
      <c r="AV1757" s="12"/>
      <c r="AW1757" s="12"/>
      <c r="AX1757" s="12"/>
      <c r="AY1757" s="12"/>
      <c r="AZ1757" s="12"/>
      <c r="BA1757" s="12"/>
      <c r="BB1757" s="12"/>
      <c r="BC1757" s="12"/>
      <c r="BD1757" s="12"/>
      <c r="BF1757" s="106" t="str">
        <f t="shared" si="1"/>
        <v>#VALUE!</v>
      </c>
      <c r="BG1757" s="21">
        <f t="shared" si="2"/>
        <v>12</v>
      </c>
    </row>
    <row r="1758">
      <c r="P1758" s="161"/>
      <c r="AI1758" s="102"/>
      <c r="AO1758" s="12"/>
      <c r="AP1758" s="12"/>
      <c r="AQ1758" s="12"/>
      <c r="AR1758" s="12"/>
      <c r="AS1758" s="12"/>
      <c r="AT1758" s="12"/>
      <c r="AU1758" s="12"/>
      <c r="AV1758" s="12"/>
      <c r="AW1758" s="12"/>
      <c r="AX1758" s="12"/>
      <c r="AY1758" s="12"/>
      <c r="AZ1758" s="12"/>
      <c r="BA1758" s="12"/>
      <c r="BB1758" s="12"/>
      <c r="BC1758" s="12"/>
      <c r="BD1758" s="12"/>
      <c r="BF1758" s="106" t="str">
        <f t="shared" si="1"/>
        <v>#VALUE!</v>
      </c>
      <c r="BG1758" s="21">
        <f t="shared" si="2"/>
        <v>12</v>
      </c>
    </row>
    <row r="1759">
      <c r="P1759" s="161"/>
      <c r="AI1759" s="102"/>
      <c r="AO1759" s="12"/>
      <c r="AP1759" s="12"/>
      <c r="AQ1759" s="12"/>
      <c r="AR1759" s="12"/>
      <c r="AS1759" s="12"/>
      <c r="AT1759" s="12"/>
      <c r="AU1759" s="12"/>
      <c r="AV1759" s="12"/>
      <c r="AW1759" s="12"/>
      <c r="AX1759" s="12"/>
      <c r="AY1759" s="12"/>
      <c r="AZ1759" s="12"/>
      <c r="BA1759" s="12"/>
      <c r="BB1759" s="12"/>
      <c r="BC1759" s="12"/>
      <c r="BD1759" s="12"/>
      <c r="BF1759" s="106" t="str">
        <f t="shared" si="1"/>
        <v>#VALUE!</v>
      </c>
      <c r="BG1759" s="21">
        <f t="shared" si="2"/>
        <v>12</v>
      </c>
    </row>
    <row r="1760">
      <c r="P1760" s="161"/>
      <c r="AI1760" s="102"/>
      <c r="AO1760" s="12"/>
      <c r="AP1760" s="12"/>
      <c r="AQ1760" s="12"/>
      <c r="AR1760" s="12"/>
      <c r="AS1760" s="12"/>
      <c r="AT1760" s="12"/>
      <c r="AU1760" s="12"/>
      <c r="AV1760" s="12"/>
      <c r="AW1760" s="12"/>
      <c r="AX1760" s="12"/>
      <c r="AY1760" s="12"/>
      <c r="AZ1760" s="12"/>
      <c r="BA1760" s="12"/>
      <c r="BB1760" s="12"/>
      <c r="BC1760" s="12"/>
      <c r="BD1760" s="12"/>
      <c r="BF1760" s="106" t="str">
        <f t="shared" si="1"/>
        <v>#VALUE!</v>
      </c>
      <c r="BG1760" s="21">
        <f t="shared" si="2"/>
        <v>12</v>
      </c>
    </row>
    <row r="1761">
      <c r="P1761" s="161"/>
      <c r="AI1761" s="102"/>
      <c r="AO1761" s="12"/>
      <c r="AP1761" s="12"/>
      <c r="AQ1761" s="12"/>
      <c r="AR1761" s="12"/>
      <c r="AS1761" s="12"/>
      <c r="AT1761" s="12"/>
      <c r="AU1761" s="12"/>
      <c r="AV1761" s="12"/>
      <c r="AW1761" s="12"/>
      <c r="AX1761" s="12"/>
      <c r="AY1761" s="12"/>
      <c r="AZ1761" s="12"/>
      <c r="BA1761" s="12"/>
      <c r="BB1761" s="12"/>
      <c r="BC1761" s="12"/>
      <c r="BD1761" s="12"/>
      <c r="BF1761" s="106" t="str">
        <f t="shared" si="1"/>
        <v>#VALUE!</v>
      </c>
      <c r="BG1761" s="21">
        <f t="shared" si="2"/>
        <v>12</v>
      </c>
    </row>
    <row r="1762">
      <c r="P1762" s="161"/>
      <c r="AI1762" s="102"/>
      <c r="AO1762" s="12"/>
      <c r="AP1762" s="12"/>
      <c r="AQ1762" s="12"/>
      <c r="AR1762" s="12"/>
      <c r="AS1762" s="12"/>
      <c r="AT1762" s="12"/>
      <c r="AU1762" s="12"/>
      <c r="AV1762" s="12"/>
      <c r="AW1762" s="12"/>
      <c r="AX1762" s="12"/>
      <c r="AY1762" s="12"/>
      <c r="AZ1762" s="12"/>
      <c r="BA1762" s="12"/>
      <c r="BB1762" s="12"/>
      <c r="BC1762" s="12"/>
      <c r="BD1762" s="12"/>
      <c r="BF1762" s="106" t="str">
        <f t="shared" si="1"/>
        <v>#VALUE!</v>
      </c>
      <c r="BG1762" s="21">
        <f t="shared" si="2"/>
        <v>12</v>
      </c>
    </row>
    <row r="1763">
      <c r="P1763" s="161"/>
      <c r="AI1763" s="102"/>
      <c r="AO1763" s="12"/>
      <c r="AP1763" s="12"/>
      <c r="AQ1763" s="12"/>
      <c r="AR1763" s="12"/>
      <c r="AS1763" s="12"/>
      <c r="AT1763" s="12"/>
      <c r="AU1763" s="12"/>
      <c r="AV1763" s="12"/>
      <c r="AW1763" s="12"/>
      <c r="AX1763" s="12"/>
      <c r="AY1763" s="12"/>
      <c r="AZ1763" s="12"/>
      <c r="BA1763" s="12"/>
      <c r="BB1763" s="12"/>
      <c r="BC1763" s="12"/>
      <c r="BD1763" s="12"/>
      <c r="BF1763" s="106" t="str">
        <f t="shared" si="1"/>
        <v>#VALUE!</v>
      </c>
      <c r="BG1763" s="21">
        <f t="shared" si="2"/>
        <v>12</v>
      </c>
    </row>
    <row r="1764">
      <c r="P1764" s="161"/>
      <c r="AI1764" s="102"/>
      <c r="AO1764" s="12"/>
      <c r="AP1764" s="12"/>
      <c r="AQ1764" s="12"/>
      <c r="AR1764" s="12"/>
      <c r="AS1764" s="12"/>
      <c r="AT1764" s="12"/>
      <c r="AU1764" s="12"/>
      <c r="AV1764" s="12"/>
      <c r="AW1764" s="12"/>
      <c r="AX1764" s="12"/>
      <c r="AY1764" s="12"/>
      <c r="AZ1764" s="12"/>
      <c r="BA1764" s="12"/>
      <c r="BB1764" s="12"/>
      <c r="BC1764" s="12"/>
      <c r="BD1764" s="12"/>
      <c r="BF1764" s="106" t="str">
        <f t="shared" si="1"/>
        <v>#VALUE!</v>
      </c>
      <c r="BG1764" s="21">
        <f t="shared" si="2"/>
        <v>12</v>
      </c>
    </row>
    <row r="1765">
      <c r="P1765" s="161"/>
      <c r="AI1765" s="102"/>
      <c r="AO1765" s="12"/>
      <c r="AP1765" s="12"/>
      <c r="AQ1765" s="12"/>
      <c r="AR1765" s="12"/>
      <c r="AS1765" s="12"/>
      <c r="AT1765" s="12"/>
      <c r="AU1765" s="12"/>
      <c r="AV1765" s="12"/>
      <c r="AW1765" s="12"/>
      <c r="AX1765" s="12"/>
      <c r="AY1765" s="12"/>
      <c r="AZ1765" s="12"/>
      <c r="BA1765" s="12"/>
      <c r="BB1765" s="12"/>
      <c r="BC1765" s="12"/>
      <c r="BD1765" s="12"/>
      <c r="BF1765" s="106" t="str">
        <f t="shared" si="1"/>
        <v>#VALUE!</v>
      </c>
      <c r="BG1765" s="21">
        <f t="shared" si="2"/>
        <v>12</v>
      </c>
    </row>
    <row r="1766">
      <c r="P1766" s="161"/>
      <c r="AI1766" s="102"/>
      <c r="AO1766" s="12"/>
      <c r="AP1766" s="12"/>
      <c r="AQ1766" s="12"/>
      <c r="AR1766" s="12"/>
      <c r="AS1766" s="12"/>
      <c r="AT1766" s="12"/>
      <c r="AU1766" s="12"/>
      <c r="AV1766" s="12"/>
      <c r="AW1766" s="12"/>
      <c r="AX1766" s="12"/>
      <c r="AY1766" s="12"/>
      <c r="AZ1766" s="12"/>
      <c r="BA1766" s="12"/>
      <c r="BB1766" s="12"/>
      <c r="BC1766" s="12"/>
      <c r="BD1766" s="12"/>
      <c r="BF1766" s="106" t="str">
        <f t="shared" si="1"/>
        <v>#VALUE!</v>
      </c>
      <c r="BG1766" s="21">
        <f t="shared" si="2"/>
        <v>12</v>
      </c>
    </row>
    <row r="1767">
      <c r="P1767" s="161"/>
      <c r="AI1767" s="102"/>
      <c r="AO1767" s="12"/>
      <c r="AP1767" s="12"/>
      <c r="AQ1767" s="12"/>
      <c r="AR1767" s="12"/>
      <c r="AS1767" s="12"/>
      <c r="AT1767" s="12"/>
      <c r="AU1767" s="12"/>
      <c r="AV1767" s="12"/>
      <c r="AW1767" s="12"/>
      <c r="AX1767" s="12"/>
      <c r="AY1767" s="12"/>
      <c r="AZ1767" s="12"/>
      <c r="BA1767" s="12"/>
      <c r="BB1767" s="12"/>
      <c r="BC1767" s="12"/>
      <c r="BD1767" s="12"/>
      <c r="BF1767" s="106" t="str">
        <f t="shared" si="1"/>
        <v>#VALUE!</v>
      </c>
      <c r="BG1767" s="21">
        <f t="shared" si="2"/>
        <v>12</v>
      </c>
    </row>
    <row r="1768">
      <c r="P1768" s="161"/>
      <c r="AI1768" s="102"/>
      <c r="AO1768" s="12"/>
      <c r="AP1768" s="12"/>
      <c r="AQ1768" s="12"/>
      <c r="AR1768" s="12"/>
      <c r="AS1768" s="12"/>
      <c r="AT1768" s="12"/>
      <c r="AU1768" s="12"/>
      <c r="AV1768" s="12"/>
      <c r="AW1768" s="12"/>
      <c r="AX1768" s="12"/>
      <c r="AY1768" s="12"/>
      <c r="AZ1768" s="12"/>
      <c r="BA1768" s="12"/>
      <c r="BB1768" s="12"/>
      <c r="BC1768" s="12"/>
      <c r="BD1768" s="12"/>
      <c r="BF1768" s="106" t="str">
        <f t="shared" si="1"/>
        <v>#VALUE!</v>
      </c>
      <c r="BG1768" s="21">
        <f t="shared" si="2"/>
        <v>12</v>
      </c>
    </row>
    <row r="1769">
      <c r="P1769" s="161"/>
      <c r="AI1769" s="102"/>
      <c r="AO1769" s="12"/>
      <c r="AP1769" s="12"/>
      <c r="AQ1769" s="12"/>
      <c r="AR1769" s="12"/>
      <c r="AS1769" s="12"/>
      <c r="AT1769" s="12"/>
      <c r="AU1769" s="12"/>
      <c r="AV1769" s="12"/>
      <c r="AW1769" s="12"/>
      <c r="AX1769" s="12"/>
      <c r="AY1769" s="12"/>
      <c r="AZ1769" s="12"/>
      <c r="BA1769" s="12"/>
      <c r="BB1769" s="12"/>
      <c r="BC1769" s="12"/>
      <c r="BD1769" s="12"/>
      <c r="BF1769" s="106" t="str">
        <f t="shared" si="1"/>
        <v>#VALUE!</v>
      </c>
      <c r="BG1769" s="21">
        <f t="shared" si="2"/>
        <v>12</v>
      </c>
    </row>
    <row r="1770">
      <c r="P1770" s="161"/>
      <c r="AI1770" s="102"/>
      <c r="AO1770" s="12"/>
      <c r="AP1770" s="12"/>
      <c r="AQ1770" s="12"/>
      <c r="AR1770" s="12"/>
      <c r="AS1770" s="12"/>
      <c r="AT1770" s="12"/>
      <c r="AU1770" s="12"/>
      <c r="AV1770" s="12"/>
      <c r="AW1770" s="12"/>
      <c r="AX1770" s="12"/>
      <c r="AY1770" s="12"/>
      <c r="AZ1770" s="12"/>
      <c r="BA1770" s="12"/>
      <c r="BB1770" s="12"/>
      <c r="BC1770" s="12"/>
      <c r="BD1770" s="12"/>
      <c r="BF1770" s="106" t="str">
        <f t="shared" si="1"/>
        <v>#VALUE!</v>
      </c>
      <c r="BG1770" s="21">
        <f t="shared" si="2"/>
        <v>12</v>
      </c>
    </row>
    <row r="1771">
      <c r="P1771" s="161"/>
      <c r="AI1771" s="102"/>
      <c r="AO1771" s="12"/>
      <c r="AP1771" s="12"/>
      <c r="AQ1771" s="12"/>
      <c r="AR1771" s="12"/>
      <c r="AS1771" s="12"/>
      <c r="AT1771" s="12"/>
      <c r="AU1771" s="12"/>
      <c r="AV1771" s="12"/>
      <c r="AW1771" s="12"/>
      <c r="AX1771" s="12"/>
      <c r="AY1771" s="12"/>
      <c r="AZ1771" s="12"/>
      <c r="BA1771" s="12"/>
      <c r="BB1771" s="12"/>
      <c r="BC1771" s="12"/>
      <c r="BD1771" s="12"/>
      <c r="BF1771" s="106" t="str">
        <f t="shared" si="1"/>
        <v>#VALUE!</v>
      </c>
      <c r="BG1771" s="21">
        <f t="shared" si="2"/>
        <v>12</v>
      </c>
    </row>
    <row r="1772">
      <c r="P1772" s="161"/>
      <c r="AI1772" s="102"/>
      <c r="AO1772" s="12"/>
      <c r="AP1772" s="12"/>
      <c r="AQ1772" s="12"/>
      <c r="AR1772" s="12"/>
      <c r="AS1772" s="12"/>
      <c r="AT1772" s="12"/>
      <c r="AU1772" s="12"/>
      <c r="AV1772" s="12"/>
      <c r="AW1772" s="12"/>
      <c r="AX1772" s="12"/>
      <c r="AY1772" s="12"/>
      <c r="AZ1772" s="12"/>
      <c r="BA1772" s="12"/>
      <c r="BB1772" s="12"/>
      <c r="BC1772" s="12"/>
      <c r="BD1772" s="12"/>
      <c r="BF1772" s="106" t="str">
        <f t="shared" si="1"/>
        <v>#VALUE!</v>
      </c>
      <c r="BG1772" s="21">
        <f t="shared" si="2"/>
        <v>12</v>
      </c>
    </row>
    <row r="1773">
      <c r="P1773" s="161"/>
      <c r="AI1773" s="102"/>
      <c r="AO1773" s="12"/>
      <c r="AP1773" s="12"/>
      <c r="AQ1773" s="12"/>
      <c r="AR1773" s="12"/>
      <c r="AS1773" s="12"/>
      <c r="AT1773" s="12"/>
      <c r="AU1773" s="12"/>
      <c r="AV1773" s="12"/>
      <c r="AW1773" s="12"/>
      <c r="AX1773" s="12"/>
      <c r="AY1773" s="12"/>
      <c r="AZ1773" s="12"/>
      <c r="BA1773" s="12"/>
      <c r="BB1773" s="12"/>
      <c r="BC1773" s="12"/>
      <c r="BD1773" s="12"/>
      <c r="BF1773" s="106" t="str">
        <f t="shared" si="1"/>
        <v>#VALUE!</v>
      </c>
      <c r="BG1773" s="21">
        <f t="shared" si="2"/>
        <v>12</v>
      </c>
    </row>
    <row r="1774">
      <c r="P1774" s="161"/>
      <c r="AI1774" s="102"/>
      <c r="AO1774" s="12"/>
      <c r="AP1774" s="12"/>
      <c r="AQ1774" s="12"/>
      <c r="AR1774" s="12"/>
      <c r="AS1774" s="12"/>
      <c r="AT1774" s="12"/>
      <c r="AU1774" s="12"/>
      <c r="AV1774" s="12"/>
      <c r="AW1774" s="12"/>
      <c r="AX1774" s="12"/>
      <c r="AY1774" s="12"/>
      <c r="AZ1774" s="12"/>
      <c r="BA1774" s="12"/>
      <c r="BB1774" s="12"/>
      <c r="BC1774" s="12"/>
      <c r="BD1774" s="12"/>
      <c r="BF1774" s="106" t="str">
        <f t="shared" si="1"/>
        <v>#VALUE!</v>
      </c>
      <c r="BG1774" s="21">
        <f t="shared" si="2"/>
        <v>12</v>
      </c>
    </row>
    <row r="1775">
      <c r="P1775" s="161"/>
      <c r="AI1775" s="102"/>
      <c r="AO1775" s="12"/>
      <c r="AP1775" s="12"/>
      <c r="AQ1775" s="12"/>
      <c r="AR1775" s="12"/>
      <c r="AS1775" s="12"/>
      <c r="AT1775" s="12"/>
      <c r="AU1775" s="12"/>
      <c r="AV1775" s="12"/>
      <c r="AW1775" s="12"/>
      <c r="AX1775" s="12"/>
      <c r="AY1775" s="12"/>
      <c r="AZ1775" s="12"/>
      <c r="BA1775" s="12"/>
      <c r="BB1775" s="12"/>
      <c r="BC1775" s="12"/>
      <c r="BD1775" s="12"/>
      <c r="BF1775" s="106" t="str">
        <f t="shared" si="1"/>
        <v>#VALUE!</v>
      </c>
      <c r="BG1775" s="21">
        <f t="shared" si="2"/>
        <v>12</v>
      </c>
    </row>
    <row r="1776">
      <c r="P1776" s="161"/>
      <c r="AI1776" s="102"/>
      <c r="AO1776" s="12"/>
      <c r="AP1776" s="12"/>
      <c r="AQ1776" s="12"/>
      <c r="AR1776" s="12"/>
      <c r="AS1776" s="12"/>
      <c r="AT1776" s="12"/>
      <c r="AU1776" s="12"/>
      <c r="AV1776" s="12"/>
      <c r="AW1776" s="12"/>
      <c r="AX1776" s="12"/>
      <c r="AY1776" s="12"/>
      <c r="AZ1776" s="12"/>
      <c r="BA1776" s="12"/>
      <c r="BB1776" s="12"/>
      <c r="BC1776" s="12"/>
      <c r="BD1776" s="12"/>
      <c r="BF1776" s="106" t="str">
        <f t="shared" si="1"/>
        <v>#VALUE!</v>
      </c>
      <c r="BG1776" s="21">
        <f t="shared" si="2"/>
        <v>12</v>
      </c>
    </row>
    <row r="1777">
      <c r="P1777" s="161"/>
      <c r="AI1777" s="102"/>
      <c r="AO1777" s="12"/>
      <c r="AP1777" s="12"/>
      <c r="AQ1777" s="12"/>
      <c r="AR1777" s="12"/>
      <c r="AS1777" s="12"/>
      <c r="AT1777" s="12"/>
      <c r="AU1777" s="12"/>
      <c r="AV1777" s="12"/>
      <c r="AW1777" s="12"/>
      <c r="AX1777" s="12"/>
      <c r="AY1777" s="12"/>
      <c r="AZ1777" s="12"/>
      <c r="BA1777" s="12"/>
      <c r="BB1777" s="12"/>
      <c r="BC1777" s="12"/>
      <c r="BD1777" s="12"/>
      <c r="BF1777" s="106" t="str">
        <f t="shared" si="1"/>
        <v>#VALUE!</v>
      </c>
      <c r="BG1777" s="21">
        <f t="shared" si="2"/>
        <v>12</v>
      </c>
    </row>
    <row r="1778">
      <c r="P1778" s="161"/>
      <c r="AI1778" s="102"/>
      <c r="AO1778" s="12"/>
      <c r="AP1778" s="12"/>
      <c r="AQ1778" s="12"/>
      <c r="AR1778" s="12"/>
      <c r="AS1778" s="12"/>
      <c r="AT1778" s="12"/>
      <c r="AU1778" s="12"/>
      <c r="AV1778" s="12"/>
      <c r="AW1778" s="12"/>
      <c r="AX1778" s="12"/>
      <c r="AY1778" s="12"/>
      <c r="AZ1778" s="12"/>
      <c r="BA1778" s="12"/>
      <c r="BB1778" s="12"/>
      <c r="BC1778" s="12"/>
      <c r="BD1778" s="12"/>
      <c r="BF1778" s="106" t="str">
        <f t="shared" si="1"/>
        <v>#VALUE!</v>
      </c>
      <c r="BG1778" s="21">
        <f t="shared" si="2"/>
        <v>12</v>
      </c>
    </row>
    <row r="1779">
      <c r="P1779" s="161"/>
      <c r="AI1779" s="102"/>
      <c r="AO1779" s="12"/>
      <c r="AP1779" s="12"/>
      <c r="AQ1779" s="12"/>
      <c r="AR1779" s="12"/>
      <c r="AS1779" s="12"/>
      <c r="AT1779" s="12"/>
      <c r="AU1779" s="12"/>
      <c r="AV1779" s="12"/>
      <c r="AW1779" s="12"/>
      <c r="AX1779" s="12"/>
      <c r="AY1779" s="12"/>
      <c r="AZ1779" s="12"/>
      <c r="BA1779" s="12"/>
      <c r="BB1779" s="12"/>
      <c r="BC1779" s="12"/>
      <c r="BD1779" s="12"/>
      <c r="BF1779" s="106" t="str">
        <f t="shared" si="1"/>
        <v>#VALUE!</v>
      </c>
      <c r="BG1779" s="21">
        <f t="shared" si="2"/>
        <v>12</v>
      </c>
    </row>
    <row r="1780">
      <c r="P1780" s="161"/>
      <c r="AI1780" s="102"/>
      <c r="AO1780" s="12"/>
      <c r="AP1780" s="12"/>
      <c r="AQ1780" s="12"/>
      <c r="AR1780" s="12"/>
      <c r="AS1780" s="12"/>
      <c r="AT1780" s="12"/>
      <c r="AU1780" s="12"/>
      <c r="AV1780" s="12"/>
      <c r="AW1780" s="12"/>
      <c r="AX1780" s="12"/>
      <c r="AY1780" s="12"/>
      <c r="AZ1780" s="12"/>
      <c r="BA1780" s="12"/>
      <c r="BB1780" s="12"/>
      <c r="BC1780" s="12"/>
      <c r="BD1780" s="12"/>
      <c r="BF1780" s="106" t="str">
        <f t="shared" si="1"/>
        <v>#VALUE!</v>
      </c>
      <c r="BG1780" s="21">
        <f t="shared" si="2"/>
        <v>12</v>
      </c>
    </row>
    <row r="1781">
      <c r="P1781" s="161"/>
      <c r="AI1781" s="102"/>
      <c r="AO1781" s="12"/>
      <c r="AP1781" s="12"/>
      <c r="AQ1781" s="12"/>
      <c r="AR1781" s="12"/>
      <c r="AS1781" s="12"/>
      <c r="AT1781" s="12"/>
      <c r="AU1781" s="12"/>
      <c r="AV1781" s="12"/>
      <c r="AW1781" s="12"/>
      <c r="AX1781" s="12"/>
      <c r="AY1781" s="12"/>
      <c r="AZ1781" s="12"/>
      <c r="BA1781" s="12"/>
      <c r="BB1781" s="12"/>
      <c r="BC1781" s="12"/>
      <c r="BD1781" s="12"/>
      <c r="BF1781" s="106" t="str">
        <f t="shared" si="1"/>
        <v>#VALUE!</v>
      </c>
      <c r="BG1781" s="21">
        <f t="shared" si="2"/>
        <v>12</v>
      </c>
    </row>
    <row r="1782">
      <c r="P1782" s="161"/>
      <c r="AI1782" s="102"/>
      <c r="AO1782" s="12"/>
      <c r="AP1782" s="12"/>
      <c r="AQ1782" s="12"/>
      <c r="AR1782" s="12"/>
      <c r="AS1782" s="12"/>
      <c r="AT1782" s="12"/>
      <c r="AU1782" s="12"/>
      <c r="AV1782" s="12"/>
      <c r="AW1782" s="12"/>
      <c r="AX1782" s="12"/>
      <c r="AY1782" s="12"/>
      <c r="AZ1782" s="12"/>
      <c r="BA1782" s="12"/>
      <c r="BB1782" s="12"/>
      <c r="BC1782" s="12"/>
      <c r="BD1782" s="12"/>
      <c r="BF1782" s="106" t="str">
        <f t="shared" si="1"/>
        <v>#VALUE!</v>
      </c>
      <c r="BG1782" s="21">
        <f t="shared" si="2"/>
        <v>12</v>
      </c>
    </row>
    <row r="1783">
      <c r="P1783" s="161"/>
      <c r="AI1783" s="102"/>
      <c r="AO1783" s="12"/>
      <c r="AP1783" s="12"/>
      <c r="AQ1783" s="12"/>
      <c r="AR1783" s="12"/>
      <c r="AS1783" s="12"/>
      <c r="AT1783" s="12"/>
      <c r="AU1783" s="12"/>
      <c r="AV1783" s="12"/>
      <c r="AW1783" s="12"/>
      <c r="AX1783" s="12"/>
      <c r="AY1783" s="12"/>
      <c r="AZ1783" s="12"/>
      <c r="BA1783" s="12"/>
      <c r="BB1783" s="12"/>
      <c r="BC1783" s="12"/>
      <c r="BD1783" s="12"/>
      <c r="BF1783" s="106" t="str">
        <f t="shared" si="1"/>
        <v>#VALUE!</v>
      </c>
      <c r="BG1783" s="21">
        <f t="shared" si="2"/>
        <v>12</v>
      </c>
    </row>
    <row r="1784">
      <c r="P1784" s="161"/>
      <c r="AI1784" s="102"/>
      <c r="AO1784" s="12"/>
      <c r="AP1784" s="12"/>
      <c r="AQ1784" s="12"/>
      <c r="AR1784" s="12"/>
      <c r="AS1784" s="12"/>
      <c r="AT1784" s="12"/>
      <c r="AU1784" s="12"/>
      <c r="AV1784" s="12"/>
      <c r="AW1784" s="12"/>
      <c r="AX1784" s="12"/>
      <c r="AY1784" s="12"/>
      <c r="AZ1784" s="12"/>
      <c r="BA1784" s="12"/>
      <c r="BB1784" s="12"/>
      <c r="BC1784" s="12"/>
      <c r="BD1784" s="12"/>
      <c r="BF1784" s="106" t="str">
        <f t="shared" si="1"/>
        <v>#VALUE!</v>
      </c>
      <c r="BG1784" s="21">
        <f t="shared" si="2"/>
        <v>12</v>
      </c>
    </row>
    <row r="1785">
      <c r="P1785" s="161"/>
      <c r="AI1785" s="102"/>
      <c r="AO1785" s="12"/>
      <c r="AP1785" s="12"/>
      <c r="AQ1785" s="12"/>
      <c r="AR1785" s="12"/>
      <c r="AS1785" s="12"/>
      <c r="AT1785" s="12"/>
      <c r="AU1785" s="12"/>
      <c r="AV1785" s="12"/>
      <c r="AW1785" s="12"/>
      <c r="AX1785" s="12"/>
      <c r="AY1785" s="12"/>
      <c r="AZ1785" s="12"/>
      <c r="BA1785" s="12"/>
      <c r="BB1785" s="12"/>
      <c r="BC1785" s="12"/>
      <c r="BD1785" s="12"/>
      <c r="BF1785" s="106" t="str">
        <f t="shared" si="1"/>
        <v>#VALUE!</v>
      </c>
      <c r="BG1785" s="21">
        <f t="shared" si="2"/>
        <v>12</v>
      </c>
    </row>
    <row r="1786">
      <c r="P1786" s="161"/>
      <c r="AI1786" s="102"/>
      <c r="AO1786" s="12"/>
      <c r="AP1786" s="12"/>
      <c r="AQ1786" s="12"/>
      <c r="AR1786" s="12"/>
      <c r="AS1786" s="12"/>
      <c r="AT1786" s="12"/>
      <c r="AU1786" s="12"/>
      <c r="AV1786" s="12"/>
      <c r="AW1786" s="12"/>
      <c r="AX1786" s="12"/>
      <c r="AY1786" s="12"/>
      <c r="AZ1786" s="12"/>
      <c r="BA1786" s="12"/>
      <c r="BB1786" s="12"/>
      <c r="BC1786" s="12"/>
      <c r="BD1786" s="12"/>
      <c r="BF1786" s="106" t="str">
        <f t="shared" si="1"/>
        <v>#VALUE!</v>
      </c>
      <c r="BG1786" s="21">
        <f t="shared" si="2"/>
        <v>12</v>
      </c>
    </row>
    <row r="1787">
      <c r="P1787" s="161"/>
      <c r="AI1787" s="102"/>
      <c r="AO1787" s="12"/>
      <c r="AP1787" s="12"/>
      <c r="AQ1787" s="12"/>
      <c r="AR1787" s="12"/>
      <c r="AS1787" s="12"/>
      <c r="AT1787" s="12"/>
      <c r="AU1787" s="12"/>
      <c r="AV1787" s="12"/>
      <c r="AW1787" s="12"/>
      <c r="AX1787" s="12"/>
      <c r="AY1787" s="12"/>
      <c r="AZ1787" s="12"/>
      <c r="BA1787" s="12"/>
      <c r="BB1787" s="12"/>
      <c r="BC1787" s="12"/>
      <c r="BD1787" s="12"/>
      <c r="BF1787" s="106" t="str">
        <f t="shared" si="1"/>
        <v>#VALUE!</v>
      </c>
      <c r="BG1787" s="21">
        <f t="shared" si="2"/>
        <v>12</v>
      </c>
    </row>
    <row r="1788">
      <c r="P1788" s="161"/>
      <c r="AI1788" s="102"/>
      <c r="AO1788" s="12"/>
      <c r="AP1788" s="12"/>
      <c r="AQ1788" s="12"/>
      <c r="AR1788" s="12"/>
      <c r="AS1788" s="12"/>
      <c r="AT1788" s="12"/>
      <c r="AU1788" s="12"/>
      <c r="AV1788" s="12"/>
      <c r="AW1788" s="12"/>
      <c r="AX1788" s="12"/>
      <c r="AY1788" s="12"/>
      <c r="AZ1788" s="12"/>
      <c r="BA1788" s="12"/>
      <c r="BB1788" s="12"/>
      <c r="BC1788" s="12"/>
      <c r="BD1788" s="12"/>
      <c r="BF1788" s="106" t="str">
        <f t="shared" si="1"/>
        <v>#VALUE!</v>
      </c>
      <c r="BG1788" s="21">
        <f t="shared" si="2"/>
        <v>12</v>
      </c>
    </row>
    <row r="1789">
      <c r="P1789" s="161"/>
      <c r="AI1789" s="102"/>
      <c r="AO1789" s="12"/>
      <c r="AP1789" s="12"/>
      <c r="AQ1789" s="12"/>
      <c r="AR1789" s="12"/>
      <c r="AS1789" s="12"/>
      <c r="AT1789" s="12"/>
      <c r="AU1789" s="12"/>
      <c r="AV1789" s="12"/>
      <c r="AW1789" s="12"/>
      <c r="AX1789" s="12"/>
      <c r="AY1789" s="12"/>
      <c r="AZ1789" s="12"/>
      <c r="BA1789" s="12"/>
      <c r="BB1789" s="12"/>
      <c r="BC1789" s="12"/>
      <c r="BD1789" s="12"/>
      <c r="BF1789" s="106" t="str">
        <f t="shared" si="1"/>
        <v>#VALUE!</v>
      </c>
      <c r="BG1789" s="21">
        <f t="shared" si="2"/>
        <v>12</v>
      </c>
    </row>
    <row r="1790">
      <c r="P1790" s="161"/>
      <c r="AI1790" s="102"/>
      <c r="AO1790" s="12"/>
      <c r="AP1790" s="12"/>
      <c r="AQ1790" s="12"/>
      <c r="AR1790" s="12"/>
      <c r="AS1790" s="12"/>
      <c r="AT1790" s="12"/>
      <c r="AU1790" s="12"/>
      <c r="AV1790" s="12"/>
      <c r="AW1790" s="12"/>
      <c r="AX1790" s="12"/>
      <c r="AY1790" s="12"/>
      <c r="AZ1790" s="12"/>
      <c r="BA1790" s="12"/>
      <c r="BB1790" s="12"/>
      <c r="BC1790" s="12"/>
      <c r="BD1790" s="12"/>
      <c r="BF1790" s="106" t="str">
        <f t="shared" si="1"/>
        <v>#VALUE!</v>
      </c>
      <c r="BG1790" s="21">
        <f t="shared" si="2"/>
        <v>12</v>
      </c>
    </row>
    <row r="1791">
      <c r="P1791" s="161"/>
      <c r="AI1791" s="102"/>
      <c r="AO1791" s="12"/>
      <c r="AP1791" s="12"/>
      <c r="AQ1791" s="12"/>
      <c r="AR1791" s="12"/>
      <c r="AS1791" s="12"/>
      <c r="AT1791" s="12"/>
      <c r="AU1791" s="12"/>
      <c r="AV1791" s="12"/>
      <c r="AW1791" s="12"/>
      <c r="AX1791" s="12"/>
      <c r="AY1791" s="12"/>
      <c r="AZ1791" s="12"/>
      <c r="BA1791" s="12"/>
      <c r="BB1791" s="12"/>
      <c r="BC1791" s="12"/>
      <c r="BD1791" s="12"/>
      <c r="BF1791" s="106" t="str">
        <f t="shared" si="1"/>
        <v>#VALUE!</v>
      </c>
      <c r="BG1791" s="21">
        <f t="shared" si="2"/>
        <v>12</v>
      </c>
    </row>
    <row r="1792">
      <c r="P1792" s="161"/>
      <c r="AI1792" s="102"/>
      <c r="AO1792" s="12"/>
      <c r="AP1792" s="12"/>
      <c r="AQ1792" s="12"/>
      <c r="AR1792" s="12"/>
      <c r="AS1792" s="12"/>
      <c r="AT1792" s="12"/>
      <c r="AU1792" s="12"/>
      <c r="AV1792" s="12"/>
      <c r="AW1792" s="12"/>
      <c r="AX1792" s="12"/>
      <c r="AY1792" s="12"/>
      <c r="AZ1792" s="12"/>
      <c r="BA1792" s="12"/>
      <c r="BB1792" s="12"/>
      <c r="BC1792" s="12"/>
      <c r="BD1792" s="12"/>
      <c r="BF1792" s="106" t="str">
        <f t="shared" si="1"/>
        <v>#VALUE!</v>
      </c>
      <c r="BG1792" s="21">
        <f t="shared" si="2"/>
        <v>12</v>
      </c>
    </row>
    <row r="1793">
      <c r="P1793" s="161"/>
      <c r="AI1793" s="102"/>
      <c r="AO1793" s="12"/>
      <c r="AP1793" s="12"/>
      <c r="AQ1793" s="12"/>
      <c r="AR1793" s="12"/>
      <c r="AS1793" s="12"/>
      <c r="AT1793" s="12"/>
      <c r="AU1793" s="12"/>
      <c r="AV1793" s="12"/>
      <c r="AW1793" s="12"/>
      <c r="AX1793" s="12"/>
      <c r="AY1793" s="12"/>
      <c r="AZ1793" s="12"/>
      <c r="BA1793" s="12"/>
      <c r="BB1793" s="12"/>
      <c r="BC1793" s="12"/>
      <c r="BD1793" s="12"/>
      <c r="BF1793" s="106" t="str">
        <f t="shared" si="1"/>
        <v>#VALUE!</v>
      </c>
      <c r="BG1793" s="21">
        <f t="shared" si="2"/>
        <v>12</v>
      </c>
    </row>
    <row r="1794">
      <c r="P1794" s="161"/>
      <c r="AI1794" s="102"/>
      <c r="AO1794" s="12"/>
      <c r="AP1794" s="12"/>
      <c r="AQ1794" s="12"/>
      <c r="AR1794" s="12"/>
      <c r="AS1794" s="12"/>
      <c r="AT1794" s="12"/>
      <c r="AU1794" s="12"/>
      <c r="AV1794" s="12"/>
      <c r="AW1794" s="12"/>
      <c r="AX1794" s="12"/>
      <c r="AY1794" s="12"/>
      <c r="AZ1794" s="12"/>
      <c r="BA1794" s="12"/>
      <c r="BB1794" s="12"/>
      <c r="BC1794" s="12"/>
      <c r="BD1794" s="12"/>
      <c r="BF1794" s="106" t="str">
        <f t="shared" si="1"/>
        <v>#VALUE!</v>
      </c>
      <c r="BG1794" s="21">
        <f t="shared" si="2"/>
        <v>12</v>
      </c>
    </row>
    <row r="1795">
      <c r="P1795" s="161"/>
      <c r="AI1795" s="102"/>
      <c r="AO1795" s="12"/>
      <c r="AP1795" s="12"/>
      <c r="AQ1795" s="12"/>
      <c r="AR1795" s="12"/>
      <c r="AS1795" s="12"/>
      <c r="AT1795" s="12"/>
      <c r="AU1795" s="12"/>
      <c r="AV1795" s="12"/>
      <c r="AW1795" s="12"/>
      <c r="AX1795" s="12"/>
      <c r="AY1795" s="12"/>
      <c r="AZ1795" s="12"/>
      <c r="BA1795" s="12"/>
      <c r="BB1795" s="12"/>
      <c r="BC1795" s="12"/>
      <c r="BD1795" s="12"/>
      <c r="BF1795" s="106" t="str">
        <f t="shared" si="1"/>
        <v>#VALUE!</v>
      </c>
      <c r="BG1795" s="21">
        <f t="shared" si="2"/>
        <v>12</v>
      </c>
    </row>
    <row r="1796">
      <c r="P1796" s="161"/>
      <c r="AI1796" s="102"/>
      <c r="AO1796" s="12"/>
      <c r="AP1796" s="12"/>
      <c r="AQ1796" s="12"/>
      <c r="AR1796" s="12"/>
      <c r="AS1796" s="12"/>
      <c r="AT1796" s="12"/>
      <c r="AU1796" s="12"/>
      <c r="AV1796" s="12"/>
      <c r="AW1796" s="12"/>
      <c r="AX1796" s="12"/>
      <c r="AY1796" s="12"/>
      <c r="AZ1796" s="12"/>
      <c r="BA1796" s="12"/>
      <c r="BB1796" s="12"/>
      <c r="BC1796" s="12"/>
      <c r="BD1796" s="12"/>
      <c r="BF1796" s="106" t="str">
        <f t="shared" si="1"/>
        <v>#VALUE!</v>
      </c>
      <c r="BG1796" s="21">
        <f t="shared" si="2"/>
        <v>12</v>
      </c>
    </row>
    <row r="1797">
      <c r="P1797" s="161"/>
      <c r="AI1797" s="102"/>
      <c r="AO1797" s="12"/>
      <c r="AP1797" s="12"/>
      <c r="AQ1797" s="12"/>
      <c r="AR1797" s="12"/>
      <c r="AS1797" s="12"/>
      <c r="AT1797" s="12"/>
      <c r="AU1797" s="12"/>
      <c r="AV1797" s="12"/>
      <c r="AW1797" s="12"/>
      <c r="AX1797" s="12"/>
      <c r="AY1797" s="12"/>
      <c r="AZ1797" s="12"/>
      <c r="BA1797" s="12"/>
      <c r="BB1797" s="12"/>
      <c r="BC1797" s="12"/>
      <c r="BD1797" s="12"/>
      <c r="BF1797" s="106" t="str">
        <f t="shared" si="1"/>
        <v>#VALUE!</v>
      </c>
      <c r="BG1797" s="21">
        <f t="shared" si="2"/>
        <v>12</v>
      </c>
    </row>
    <row r="1798">
      <c r="P1798" s="161"/>
      <c r="AI1798" s="102"/>
      <c r="AO1798" s="12"/>
      <c r="AP1798" s="12"/>
      <c r="AQ1798" s="12"/>
      <c r="AR1798" s="12"/>
      <c r="AS1798" s="12"/>
      <c r="AT1798" s="12"/>
      <c r="AU1798" s="12"/>
      <c r="AV1798" s="12"/>
      <c r="AW1798" s="12"/>
      <c r="AX1798" s="12"/>
      <c r="AY1798" s="12"/>
      <c r="AZ1798" s="12"/>
      <c r="BA1798" s="12"/>
      <c r="BB1798" s="12"/>
      <c r="BC1798" s="12"/>
      <c r="BD1798" s="12"/>
      <c r="BF1798" s="106" t="str">
        <f t="shared" si="1"/>
        <v>#VALUE!</v>
      </c>
      <c r="BG1798" s="21">
        <f t="shared" si="2"/>
        <v>12</v>
      </c>
    </row>
    <row r="1799">
      <c r="P1799" s="161"/>
      <c r="AI1799" s="102"/>
      <c r="AO1799" s="12"/>
      <c r="AP1799" s="12"/>
      <c r="AQ1799" s="12"/>
      <c r="AR1799" s="12"/>
      <c r="AS1799" s="12"/>
      <c r="AT1799" s="12"/>
      <c r="AU1799" s="12"/>
      <c r="AV1799" s="12"/>
      <c r="AW1799" s="12"/>
      <c r="AX1799" s="12"/>
      <c r="AY1799" s="12"/>
      <c r="AZ1799" s="12"/>
      <c r="BA1799" s="12"/>
      <c r="BB1799" s="12"/>
      <c r="BC1799" s="12"/>
      <c r="BD1799" s="12"/>
      <c r="BF1799" s="106" t="str">
        <f t="shared" si="1"/>
        <v>#VALUE!</v>
      </c>
      <c r="BG1799" s="21">
        <f t="shared" si="2"/>
        <v>12</v>
      </c>
    </row>
    <row r="1800">
      <c r="P1800" s="161"/>
      <c r="AI1800" s="102"/>
      <c r="AO1800" s="12"/>
      <c r="AP1800" s="12"/>
      <c r="AQ1800" s="12"/>
      <c r="AR1800" s="12"/>
      <c r="AS1800" s="12"/>
      <c r="AT1800" s="12"/>
      <c r="AU1800" s="12"/>
      <c r="AV1800" s="12"/>
      <c r="AW1800" s="12"/>
      <c r="AX1800" s="12"/>
      <c r="AY1800" s="12"/>
      <c r="AZ1800" s="12"/>
      <c r="BA1800" s="12"/>
      <c r="BB1800" s="12"/>
      <c r="BC1800" s="12"/>
      <c r="BD1800" s="12"/>
      <c r="BF1800" s="106" t="str">
        <f t="shared" si="1"/>
        <v>#VALUE!</v>
      </c>
      <c r="BG1800" s="21">
        <f t="shared" si="2"/>
        <v>12</v>
      </c>
    </row>
    <row r="1801">
      <c r="P1801" s="161"/>
      <c r="AI1801" s="102"/>
      <c r="AO1801" s="12"/>
      <c r="AP1801" s="12"/>
      <c r="AQ1801" s="12"/>
      <c r="AR1801" s="12"/>
      <c r="AS1801" s="12"/>
      <c r="AT1801" s="12"/>
      <c r="AU1801" s="12"/>
      <c r="AV1801" s="12"/>
      <c r="AW1801" s="12"/>
      <c r="AX1801" s="12"/>
      <c r="AY1801" s="12"/>
      <c r="AZ1801" s="12"/>
      <c r="BA1801" s="12"/>
      <c r="BB1801" s="12"/>
      <c r="BC1801" s="12"/>
      <c r="BD1801" s="12"/>
      <c r="BF1801" s="106" t="str">
        <f t="shared" si="1"/>
        <v>#VALUE!</v>
      </c>
      <c r="BG1801" s="21">
        <f t="shared" si="2"/>
        <v>12</v>
      </c>
    </row>
    <row r="1802">
      <c r="P1802" s="161"/>
      <c r="AI1802" s="102"/>
      <c r="AO1802" s="12"/>
      <c r="AP1802" s="12"/>
      <c r="AQ1802" s="12"/>
      <c r="AR1802" s="12"/>
      <c r="AS1802" s="12"/>
      <c r="AT1802" s="12"/>
      <c r="AU1802" s="12"/>
      <c r="AV1802" s="12"/>
      <c r="AW1802" s="12"/>
      <c r="AX1802" s="12"/>
      <c r="AY1802" s="12"/>
      <c r="AZ1802" s="12"/>
      <c r="BA1802" s="12"/>
      <c r="BB1802" s="12"/>
      <c r="BC1802" s="12"/>
      <c r="BD1802" s="12"/>
      <c r="BF1802" s="106" t="str">
        <f t="shared" si="1"/>
        <v>#VALUE!</v>
      </c>
      <c r="BG1802" s="21">
        <f t="shared" si="2"/>
        <v>12</v>
      </c>
    </row>
    <row r="1803">
      <c r="P1803" s="161"/>
      <c r="AI1803" s="102"/>
      <c r="AO1803" s="12"/>
      <c r="AP1803" s="12"/>
      <c r="AQ1803" s="12"/>
      <c r="AR1803" s="12"/>
      <c r="AS1803" s="12"/>
      <c r="AT1803" s="12"/>
      <c r="AU1803" s="12"/>
      <c r="AV1803" s="12"/>
      <c r="AW1803" s="12"/>
      <c r="AX1803" s="12"/>
      <c r="AY1803" s="12"/>
      <c r="AZ1803" s="12"/>
      <c r="BA1803" s="12"/>
      <c r="BB1803" s="12"/>
      <c r="BC1803" s="12"/>
      <c r="BD1803" s="12"/>
      <c r="BF1803" s="106" t="str">
        <f t="shared" si="1"/>
        <v>#VALUE!</v>
      </c>
      <c r="BG1803" s="21">
        <f t="shared" si="2"/>
        <v>12</v>
      </c>
    </row>
    <row r="1804">
      <c r="P1804" s="161"/>
      <c r="AI1804" s="102"/>
      <c r="AO1804" s="12"/>
      <c r="AP1804" s="12"/>
      <c r="AQ1804" s="12"/>
      <c r="AR1804" s="12"/>
      <c r="AS1804" s="12"/>
      <c r="AT1804" s="12"/>
      <c r="AU1804" s="12"/>
      <c r="AV1804" s="12"/>
      <c r="AW1804" s="12"/>
      <c r="AX1804" s="12"/>
      <c r="AY1804" s="12"/>
      <c r="AZ1804" s="12"/>
      <c r="BA1804" s="12"/>
      <c r="BB1804" s="12"/>
      <c r="BC1804" s="12"/>
      <c r="BD1804" s="12"/>
      <c r="BF1804" s="106" t="str">
        <f t="shared" si="1"/>
        <v>#VALUE!</v>
      </c>
      <c r="BG1804" s="21">
        <f t="shared" si="2"/>
        <v>12</v>
      </c>
    </row>
    <row r="1805">
      <c r="P1805" s="161"/>
      <c r="AI1805" s="102"/>
      <c r="AO1805" s="12"/>
      <c r="AP1805" s="12"/>
      <c r="AQ1805" s="12"/>
      <c r="AR1805" s="12"/>
      <c r="AS1805" s="12"/>
      <c r="AT1805" s="12"/>
      <c r="AU1805" s="12"/>
      <c r="AV1805" s="12"/>
      <c r="AW1805" s="12"/>
      <c r="AX1805" s="12"/>
      <c r="AY1805" s="12"/>
      <c r="AZ1805" s="12"/>
      <c r="BA1805" s="12"/>
      <c r="BB1805" s="12"/>
      <c r="BC1805" s="12"/>
      <c r="BD1805" s="12"/>
      <c r="BF1805" s="106" t="str">
        <f t="shared" si="1"/>
        <v>#VALUE!</v>
      </c>
      <c r="BG1805" s="21">
        <f t="shared" si="2"/>
        <v>12</v>
      </c>
    </row>
    <row r="1806">
      <c r="P1806" s="161"/>
      <c r="AI1806" s="102"/>
      <c r="AO1806" s="12"/>
      <c r="AP1806" s="12"/>
      <c r="AQ1806" s="12"/>
      <c r="AR1806" s="12"/>
      <c r="AS1806" s="12"/>
      <c r="AT1806" s="12"/>
      <c r="AU1806" s="12"/>
      <c r="AV1806" s="12"/>
      <c r="AW1806" s="12"/>
      <c r="AX1806" s="12"/>
      <c r="AY1806" s="12"/>
      <c r="AZ1806" s="12"/>
      <c r="BA1806" s="12"/>
      <c r="BB1806" s="12"/>
      <c r="BC1806" s="12"/>
      <c r="BD1806" s="12"/>
      <c r="BF1806" s="106" t="str">
        <f t="shared" si="1"/>
        <v>#VALUE!</v>
      </c>
      <c r="BG1806" s="21">
        <f t="shared" si="2"/>
        <v>12</v>
      </c>
    </row>
    <row r="1807">
      <c r="P1807" s="161"/>
      <c r="AI1807" s="102"/>
      <c r="AO1807" s="12"/>
      <c r="AP1807" s="12"/>
      <c r="AQ1807" s="12"/>
      <c r="AR1807" s="12"/>
      <c r="AS1807" s="12"/>
      <c r="AT1807" s="12"/>
      <c r="AU1807" s="12"/>
      <c r="AV1807" s="12"/>
      <c r="AW1807" s="12"/>
      <c r="AX1807" s="12"/>
      <c r="AY1807" s="12"/>
      <c r="AZ1807" s="12"/>
      <c r="BA1807" s="12"/>
      <c r="BB1807" s="12"/>
      <c r="BC1807" s="12"/>
      <c r="BD1807" s="12"/>
      <c r="BF1807" s="106" t="str">
        <f t="shared" si="1"/>
        <v>#VALUE!</v>
      </c>
      <c r="BG1807" s="21">
        <f t="shared" si="2"/>
        <v>12</v>
      </c>
    </row>
    <row r="1808">
      <c r="P1808" s="161"/>
      <c r="AI1808" s="102"/>
      <c r="AO1808" s="12"/>
      <c r="AP1808" s="12"/>
      <c r="AQ1808" s="12"/>
      <c r="AR1808" s="12"/>
      <c r="AS1808" s="12"/>
      <c r="AT1808" s="12"/>
      <c r="AU1808" s="12"/>
      <c r="AV1808" s="12"/>
      <c r="AW1808" s="12"/>
      <c r="AX1808" s="12"/>
      <c r="AY1808" s="12"/>
      <c r="AZ1808" s="12"/>
      <c r="BA1808" s="12"/>
      <c r="BB1808" s="12"/>
      <c r="BC1808" s="12"/>
      <c r="BD1808" s="12"/>
      <c r="BF1808" s="106" t="str">
        <f t="shared" si="1"/>
        <v>#VALUE!</v>
      </c>
      <c r="BG1808" s="21">
        <f t="shared" si="2"/>
        <v>12</v>
      </c>
    </row>
    <row r="1809">
      <c r="P1809" s="161"/>
      <c r="AI1809" s="102"/>
      <c r="AO1809" s="12"/>
      <c r="AP1809" s="12"/>
      <c r="AQ1809" s="12"/>
      <c r="AR1809" s="12"/>
      <c r="AS1809" s="12"/>
      <c r="AT1809" s="12"/>
      <c r="AU1809" s="12"/>
      <c r="AV1809" s="12"/>
      <c r="AW1809" s="12"/>
      <c r="AX1809" s="12"/>
      <c r="AY1809" s="12"/>
      <c r="AZ1809" s="12"/>
      <c r="BA1809" s="12"/>
      <c r="BB1809" s="12"/>
      <c r="BC1809" s="12"/>
      <c r="BD1809" s="12"/>
      <c r="BF1809" s="106" t="str">
        <f t="shared" si="1"/>
        <v>#VALUE!</v>
      </c>
      <c r="BG1809" s="21">
        <f t="shared" si="2"/>
        <v>12</v>
      </c>
    </row>
    <row r="1810">
      <c r="P1810" s="161"/>
      <c r="AI1810" s="102"/>
      <c r="AO1810" s="12"/>
      <c r="AP1810" s="12"/>
      <c r="AQ1810" s="12"/>
      <c r="AR1810" s="12"/>
      <c r="AS1810" s="12"/>
      <c r="AT1810" s="12"/>
      <c r="AU1810" s="12"/>
      <c r="AV1810" s="12"/>
      <c r="AW1810" s="12"/>
      <c r="AX1810" s="12"/>
      <c r="AY1810" s="12"/>
      <c r="AZ1810" s="12"/>
      <c r="BA1810" s="12"/>
      <c r="BB1810" s="12"/>
      <c r="BC1810" s="12"/>
      <c r="BD1810" s="12"/>
      <c r="BF1810" s="106" t="str">
        <f t="shared" si="1"/>
        <v>#VALUE!</v>
      </c>
      <c r="BG1810" s="21">
        <f t="shared" si="2"/>
        <v>12</v>
      </c>
    </row>
    <row r="1811">
      <c r="P1811" s="161"/>
      <c r="AI1811" s="102"/>
      <c r="AO1811" s="12"/>
      <c r="AP1811" s="12"/>
      <c r="AQ1811" s="12"/>
      <c r="AR1811" s="12"/>
      <c r="AS1811" s="12"/>
      <c r="AT1811" s="12"/>
      <c r="AU1811" s="12"/>
      <c r="AV1811" s="12"/>
      <c r="AW1811" s="12"/>
      <c r="AX1811" s="12"/>
      <c r="AY1811" s="12"/>
      <c r="AZ1811" s="12"/>
      <c r="BA1811" s="12"/>
      <c r="BB1811" s="12"/>
      <c r="BC1811" s="12"/>
      <c r="BD1811" s="12"/>
      <c r="BF1811" s="106" t="str">
        <f t="shared" si="1"/>
        <v>#VALUE!</v>
      </c>
      <c r="BG1811" s="21">
        <f t="shared" si="2"/>
        <v>12</v>
      </c>
    </row>
    <row r="1812">
      <c r="P1812" s="161"/>
      <c r="AI1812" s="102"/>
      <c r="AO1812" s="12"/>
      <c r="AP1812" s="12"/>
      <c r="AQ1812" s="12"/>
      <c r="AR1812" s="12"/>
      <c r="AS1812" s="12"/>
      <c r="AT1812" s="12"/>
      <c r="AU1812" s="12"/>
      <c r="AV1812" s="12"/>
      <c r="AW1812" s="12"/>
      <c r="AX1812" s="12"/>
      <c r="AY1812" s="12"/>
      <c r="AZ1812" s="12"/>
      <c r="BA1812" s="12"/>
      <c r="BB1812" s="12"/>
      <c r="BC1812" s="12"/>
      <c r="BD1812" s="12"/>
      <c r="BF1812" s="106" t="str">
        <f t="shared" si="1"/>
        <v>#VALUE!</v>
      </c>
      <c r="BG1812" s="21">
        <f t="shared" si="2"/>
        <v>12</v>
      </c>
    </row>
    <row r="1813">
      <c r="P1813" s="161"/>
      <c r="AI1813" s="102"/>
      <c r="AO1813" s="12"/>
      <c r="AP1813" s="12"/>
      <c r="AQ1813" s="12"/>
      <c r="AR1813" s="12"/>
      <c r="AS1813" s="12"/>
      <c r="AT1813" s="12"/>
      <c r="AU1813" s="12"/>
      <c r="AV1813" s="12"/>
      <c r="AW1813" s="12"/>
      <c r="AX1813" s="12"/>
      <c r="AY1813" s="12"/>
      <c r="AZ1813" s="12"/>
      <c r="BA1813" s="12"/>
      <c r="BB1813" s="12"/>
      <c r="BC1813" s="12"/>
      <c r="BD1813" s="12"/>
      <c r="BF1813" s="106" t="str">
        <f t="shared" si="1"/>
        <v>#VALUE!</v>
      </c>
      <c r="BG1813" s="21">
        <f t="shared" si="2"/>
        <v>12</v>
      </c>
    </row>
    <row r="1814">
      <c r="P1814" s="161"/>
      <c r="AI1814" s="102"/>
      <c r="AO1814" s="12"/>
      <c r="AP1814" s="12"/>
      <c r="AQ1814" s="12"/>
      <c r="AR1814" s="12"/>
      <c r="AS1814" s="12"/>
      <c r="AT1814" s="12"/>
      <c r="AU1814" s="12"/>
      <c r="AV1814" s="12"/>
      <c r="AW1814" s="12"/>
      <c r="AX1814" s="12"/>
      <c r="AY1814" s="12"/>
      <c r="AZ1814" s="12"/>
      <c r="BA1814" s="12"/>
      <c r="BB1814" s="12"/>
      <c r="BC1814" s="12"/>
      <c r="BD1814" s="12"/>
      <c r="BF1814" s="106" t="str">
        <f t="shared" si="1"/>
        <v>#VALUE!</v>
      </c>
      <c r="BG1814" s="21">
        <f t="shared" si="2"/>
        <v>12</v>
      </c>
    </row>
    <row r="1815">
      <c r="P1815" s="161"/>
      <c r="AI1815" s="102"/>
      <c r="AO1815" s="12"/>
      <c r="AP1815" s="12"/>
      <c r="AQ1815" s="12"/>
      <c r="AR1815" s="12"/>
      <c r="AS1815" s="12"/>
      <c r="AT1815" s="12"/>
      <c r="AU1815" s="12"/>
      <c r="AV1815" s="12"/>
      <c r="AW1815" s="12"/>
      <c r="AX1815" s="12"/>
      <c r="AY1815" s="12"/>
      <c r="AZ1815" s="12"/>
      <c r="BA1815" s="12"/>
      <c r="BB1815" s="12"/>
      <c r="BC1815" s="12"/>
      <c r="BD1815" s="12"/>
      <c r="BF1815" s="106" t="str">
        <f t="shared" si="1"/>
        <v>#VALUE!</v>
      </c>
      <c r="BG1815" s="21">
        <f t="shared" si="2"/>
        <v>12</v>
      </c>
    </row>
    <row r="1816">
      <c r="P1816" s="161"/>
      <c r="AI1816" s="102"/>
      <c r="AO1816" s="12"/>
      <c r="AP1816" s="12"/>
      <c r="AQ1816" s="12"/>
      <c r="AR1816" s="12"/>
      <c r="AS1816" s="12"/>
      <c r="AT1816" s="12"/>
      <c r="AU1816" s="12"/>
      <c r="AV1816" s="12"/>
      <c r="AW1816" s="12"/>
      <c r="AX1816" s="12"/>
      <c r="AY1816" s="12"/>
      <c r="AZ1816" s="12"/>
      <c r="BA1816" s="12"/>
      <c r="BB1816" s="12"/>
      <c r="BC1816" s="12"/>
      <c r="BD1816" s="12"/>
      <c r="BF1816" s="106" t="str">
        <f t="shared" si="1"/>
        <v>#VALUE!</v>
      </c>
      <c r="BG1816" s="21">
        <f t="shared" si="2"/>
        <v>12</v>
      </c>
    </row>
    <row r="1817">
      <c r="P1817" s="161"/>
      <c r="AI1817" s="102"/>
      <c r="AO1817" s="12"/>
      <c r="AP1817" s="12"/>
      <c r="AQ1817" s="12"/>
      <c r="AR1817" s="12"/>
      <c r="AS1817" s="12"/>
      <c r="AT1817" s="12"/>
      <c r="AU1817" s="12"/>
      <c r="AV1817" s="12"/>
      <c r="AW1817" s="12"/>
      <c r="AX1817" s="12"/>
      <c r="AY1817" s="12"/>
      <c r="AZ1817" s="12"/>
      <c r="BA1817" s="12"/>
      <c r="BB1817" s="12"/>
      <c r="BC1817" s="12"/>
      <c r="BD1817" s="12"/>
      <c r="BF1817" s="106" t="str">
        <f t="shared" si="1"/>
        <v>#VALUE!</v>
      </c>
      <c r="BG1817" s="21">
        <f t="shared" si="2"/>
        <v>12</v>
      </c>
    </row>
    <row r="1818">
      <c r="P1818" s="161"/>
      <c r="AI1818" s="102"/>
      <c r="AO1818" s="12"/>
      <c r="AP1818" s="12"/>
      <c r="AQ1818" s="12"/>
      <c r="AR1818" s="12"/>
      <c r="AS1818" s="12"/>
      <c r="AT1818" s="12"/>
      <c r="AU1818" s="12"/>
      <c r="AV1818" s="12"/>
      <c r="AW1818" s="12"/>
      <c r="AX1818" s="12"/>
      <c r="AY1818" s="12"/>
      <c r="AZ1818" s="12"/>
      <c r="BA1818" s="12"/>
      <c r="BB1818" s="12"/>
      <c r="BC1818" s="12"/>
      <c r="BD1818" s="12"/>
      <c r="BF1818" s="106" t="str">
        <f t="shared" si="1"/>
        <v>#VALUE!</v>
      </c>
      <c r="BG1818" s="21">
        <f t="shared" si="2"/>
        <v>12</v>
      </c>
    </row>
    <row r="1819">
      <c r="P1819" s="161"/>
      <c r="AI1819" s="102"/>
      <c r="AO1819" s="12"/>
      <c r="AP1819" s="12"/>
      <c r="AQ1819" s="12"/>
      <c r="AR1819" s="12"/>
      <c r="AS1819" s="12"/>
      <c r="AT1819" s="12"/>
      <c r="AU1819" s="12"/>
      <c r="AV1819" s="12"/>
      <c r="AW1819" s="12"/>
      <c r="AX1819" s="12"/>
      <c r="AY1819" s="12"/>
      <c r="AZ1819" s="12"/>
      <c r="BA1819" s="12"/>
      <c r="BB1819" s="12"/>
      <c r="BC1819" s="12"/>
      <c r="BD1819" s="12"/>
      <c r="BF1819" s="106" t="str">
        <f t="shared" si="1"/>
        <v>#VALUE!</v>
      </c>
      <c r="BG1819" s="21">
        <f t="shared" si="2"/>
        <v>12</v>
      </c>
    </row>
    <row r="1820">
      <c r="P1820" s="161"/>
      <c r="AI1820" s="102"/>
      <c r="AO1820" s="12"/>
      <c r="AP1820" s="12"/>
      <c r="AQ1820" s="12"/>
      <c r="AR1820" s="12"/>
      <c r="AS1820" s="12"/>
      <c r="AT1820" s="12"/>
      <c r="AU1820" s="12"/>
      <c r="AV1820" s="12"/>
      <c r="AW1820" s="12"/>
      <c r="AX1820" s="12"/>
      <c r="AY1820" s="12"/>
      <c r="AZ1820" s="12"/>
      <c r="BA1820" s="12"/>
      <c r="BB1820" s="12"/>
      <c r="BC1820" s="12"/>
      <c r="BD1820" s="12"/>
      <c r="BF1820" s="106" t="str">
        <f t="shared" si="1"/>
        <v>#VALUE!</v>
      </c>
      <c r="BG1820" s="21">
        <f t="shared" si="2"/>
        <v>12</v>
      </c>
    </row>
    <row r="1821">
      <c r="P1821" s="161"/>
      <c r="AI1821" s="102"/>
      <c r="AO1821" s="12"/>
      <c r="AP1821" s="12"/>
      <c r="AQ1821" s="12"/>
      <c r="AR1821" s="12"/>
      <c r="AS1821" s="12"/>
      <c r="AT1821" s="12"/>
      <c r="AU1821" s="12"/>
      <c r="AV1821" s="12"/>
      <c r="AW1821" s="12"/>
      <c r="AX1821" s="12"/>
      <c r="AY1821" s="12"/>
      <c r="AZ1821" s="12"/>
      <c r="BA1821" s="12"/>
      <c r="BB1821" s="12"/>
      <c r="BC1821" s="12"/>
      <c r="BD1821" s="12"/>
      <c r="BF1821" s="106" t="str">
        <f t="shared" si="1"/>
        <v>#VALUE!</v>
      </c>
      <c r="BG1821" s="21">
        <f t="shared" si="2"/>
        <v>12</v>
      </c>
    </row>
    <row r="1822">
      <c r="P1822" s="161"/>
      <c r="AI1822" s="102"/>
      <c r="AO1822" s="12"/>
      <c r="AP1822" s="12"/>
      <c r="AQ1822" s="12"/>
      <c r="AR1822" s="12"/>
      <c r="AS1822" s="12"/>
      <c r="AT1822" s="12"/>
      <c r="AU1822" s="12"/>
      <c r="AV1822" s="12"/>
      <c r="AW1822" s="12"/>
      <c r="AX1822" s="12"/>
      <c r="AY1822" s="12"/>
      <c r="AZ1822" s="12"/>
      <c r="BA1822" s="12"/>
      <c r="BB1822" s="12"/>
      <c r="BC1822" s="12"/>
      <c r="BD1822" s="12"/>
      <c r="BF1822" s="106" t="str">
        <f t="shared" si="1"/>
        <v>#VALUE!</v>
      </c>
      <c r="BG1822" s="21">
        <f t="shared" si="2"/>
        <v>12</v>
      </c>
    </row>
    <row r="1823">
      <c r="P1823" s="161"/>
      <c r="AI1823" s="102"/>
      <c r="AO1823" s="12"/>
      <c r="AP1823" s="12"/>
      <c r="AQ1823" s="12"/>
      <c r="AR1823" s="12"/>
      <c r="AS1823" s="12"/>
      <c r="AT1823" s="12"/>
      <c r="AU1823" s="12"/>
      <c r="AV1823" s="12"/>
      <c r="AW1823" s="12"/>
      <c r="AX1823" s="12"/>
      <c r="AY1823" s="12"/>
      <c r="AZ1823" s="12"/>
      <c r="BA1823" s="12"/>
      <c r="BB1823" s="12"/>
      <c r="BC1823" s="12"/>
      <c r="BD1823" s="12"/>
      <c r="BF1823" s="106" t="str">
        <f t="shared" si="1"/>
        <v>#VALUE!</v>
      </c>
      <c r="BG1823" s="21">
        <f t="shared" si="2"/>
        <v>12</v>
      </c>
    </row>
    <row r="1824">
      <c r="P1824" s="161"/>
      <c r="AI1824" s="102"/>
      <c r="AO1824" s="12"/>
      <c r="AP1824" s="12"/>
      <c r="AQ1824" s="12"/>
      <c r="AR1824" s="12"/>
      <c r="AS1824" s="12"/>
      <c r="AT1824" s="12"/>
      <c r="AU1824" s="12"/>
      <c r="AV1824" s="12"/>
      <c r="AW1824" s="12"/>
      <c r="AX1824" s="12"/>
      <c r="AY1824" s="12"/>
      <c r="AZ1824" s="12"/>
      <c r="BA1824" s="12"/>
      <c r="BB1824" s="12"/>
      <c r="BC1824" s="12"/>
      <c r="BD1824" s="12"/>
      <c r="BF1824" s="106" t="str">
        <f t="shared" si="1"/>
        <v>#VALUE!</v>
      </c>
      <c r="BG1824" s="21">
        <f t="shared" si="2"/>
        <v>12</v>
      </c>
    </row>
    <row r="1825">
      <c r="P1825" s="161"/>
      <c r="AI1825" s="102"/>
      <c r="AO1825" s="12"/>
      <c r="AP1825" s="12"/>
      <c r="AQ1825" s="12"/>
      <c r="AR1825" s="12"/>
      <c r="AS1825" s="12"/>
      <c r="AT1825" s="12"/>
      <c r="AU1825" s="12"/>
      <c r="AV1825" s="12"/>
      <c r="AW1825" s="12"/>
      <c r="AX1825" s="12"/>
      <c r="AY1825" s="12"/>
      <c r="AZ1825" s="12"/>
      <c r="BA1825" s="12"/>
      <c r="BB1825" s="12"/>
      <c r="BC1825" s="12"/>
      <c r="BD1825" s="12"/>
      <c r="BF1825" s="106" t="str">
        <f t="shared" si="1"/>
        <v>#VALUE!</v>
      </c>
      <c r="BG1825" s="21">
        <f t="shared" si="2"/>
        <v>12</v>
      </c>
    </row>
    <row r="1826">
      <c r="P1826" s="161"/>
      <c r="AI1826" s="102"/>
      <c r="AO1826" s="12"/>
      <c r="AP1826" s="12"/>
      <c r="AQ1826" s="12"/>
      <c r="AR1826" s="12"/>
      <c r="AS1826" s="12"/>
      <c r="AT1826" s="12"/>
      <c r="AU1826" s="12"/>
      <c r="AV1826" s="12"/>
      <c r="AW1826" s="12"/>
      <c r="AX1826" s="12"/>
      <c r="AY1826" s="12"/>
      <c r="AZ1826" s="12"/>
      <c r="BA1826" s="12"/>
      <c r="BB1826" s="12"/>
      <c r="BC1826" s="12"/>
      <c r="BD1826" s="12"/>
      <c r="BF1826" s="106" t="str">
        <f t="shared" si="1"/>
        <v>#VALUE!</v>
      </c>
      <c r="BG1826" s="21">
        <f t="shared" si="2"/>
        <v>12</v>
      </c>
    </row>
    <row r="1827">
      <c r="P1827" s="161"/>
      <c r="AI1827" s="102"/>
      <c r="AO1827" s="12"/>
      <c r="AP1827" s="12"/>
      <c r="AQ1827" s="12"/>
      <c r="AR1827" s="12"/>
      <c r="AS1827" s="12"/>
      <c r="AT1827" s="12"/>
      <c r="AU1827" s="12"/>
      <c r="AV1827" s="12"/>
      <c r="AW1827" s="12"/>
      <c r="AX1827" s="12"/>
      <c r="AY1827" s="12"/>
      <c r="AZ1827" s="12"/>
      <c r="BA1827" s="12"/>
      <c r="BB1827" s="12"/>
      <c r="BC1827" s="12"/>
      <c r="BD1827" s="12"/>
      <c r="BF1827" s="106" t="str">
        <f t="shared" si="1"/>
        <v>#VALUE!</v>
      </c>
      <c r="BG1827" s="21">
        <f t="shared" si="2"/>
        <v>12</v>
      </c>
    </row>
    <row r="1828">
      <c r="P1828" s="161"/>
      <c r="AI1828" s="102"/>
      <c r="AO1828" s="12"/>
      <c r="AP1828" s="12"/>
      <c r="AQ1828" s="12"/>
      <c r="AR1828" s="12"/>
      <c r="AS1828" s="12"/>
      <c r="AT1828" s="12"/>
      <c r="AU1828" s="12"/>
      <c r="AV1828" s="12"/>
      <c r="AW1828" s="12"/>
      <c r="AX1828" s="12"/>
      <c r="AY1828" s="12"/>
      <c r="AZ1828" s="12"/>
      <c r="BA1828" s="12"/>
      <c r="BB1828" s="12"/>
      <c r="BC1828" s="12"/>
      <c r="BD1828" s="12"/>
      <c r="BF1828" s="106" t="str">
        <f t="shared" si="1"/>
        <v>#VALUE!</v>
      </c>
      <c r="BG1828" s="21">
        <f t="shared" si="2"/>
        <v>12</v>
      </c>
    </row>
    <row r="1829">
      <c r="P1829" s="161"/>
      <c r="AI1829" s="102"/>
      <c r="AO1829" s="12"/>
      <c r="AP1829" s="12"/>
      <c r="AQ1829" s="12"/>
      <c r="AR1829" s="12"/>
      <c r="AS1829" s="12"/>
      <c r="AT1829" s="12"/>
      <c r="AU1829" s="12"/>
      <c r="AV1829" s="12"/>
      <c r="AW1829" s="12"/>
      <c r="AX1829" s="12"/>
      <c r="AY1829" s="12"/>
      <c r="AZ1829" s="12"/>
      <c r="BA1829" s="12"/>
      <c r="BB1829" s="12"/>
      <c r="BC1829" s="12"/>
      <c r="BD1829" s="12"/>
      <c r="BF1829" s="106" t="str">
        <f t="shared" si="1"/>
        <v>#VALUE!</v>
      </c>
      <c r="BG1829" s="21">
        <f t="shared" si="2"/>
        <v>12</v>
      </c>
    </row>
    <row r="1830">
      <c r="P1830" s="161"/>
      <c r="AI1830" s="102"/>
      <c r="AO1830" s="12"/>
      <c r="AP1830" s="12"/>
      <c r="AQ1830" s="12"/>
      <c r="AR1830" s="12"/>
      <c r="AS1830" s="12"/>
      <c r="AT1830" s="12"/>
      <c r="AU1830" s="12"/>
      <c r="AV1830" s="12"/>
      <c r="AW1830" s="12"/>
      <c r="AX1830" s="12"/>
      <c r="AY1830" s="12"/>
      <c r="AZ1830" s="12"/>
      <c r="BA1830" s="12"/>
      <c r="BB1830" s="12"/>
      <c r="BC1830" s="12"/>
      <c r="BD1830" s="12"/>
      <c r="BF1830" s="106" t="str">
        <f t="shared" si="1"/>
        <v>#VALUE!</v>
      </c>
      <c r="BG1830" s="21">
        <f t="shared" si="2"/>
        <v>12</v>
      </c>
    </row>
    <row r="1831">
      <c r="P1831" s="161"/>
      <c r="AI1831" s="102"/>
      <c r="AO1831" s="12"/>
      <c r="AP1831" s="12"/>
      <c r="AQ1831" s="12"/>
      <c r="AR1831" s="12"/>
      <c r="AS1831" s="12"/>
      <c r="AT1831" s="12"/>
      <c r="AU1831" s="12"/>
      <c r="AV1831" s="12"/>
      <c r="AW1831" s="12"/>
      <c r="AX1831" s="12"/>
      <c r="AY1831" s="12"/>
      <c r="AZ1831" s="12"/>
      <c r="BA1831" s="12"/>
      <c r="BB1831" s="12"/>
      <c r="BC1831" s="12"/>
      <c r="BD1831" s="12"/>
      <c r="BF1831" s="106" t="str">
        <f t="shared" si="1"/>
        <v>#VALUE!</v>
      </c>
      <c r="BG1831" s="21">
        <f t="shared" si="2"/>
        <v>12</v>
      </c>
    </row>
    <row r="1832">
      <c r="P1832" s="161"/>
      <c r="AI1832" s="102"/>
      <c r="AO1832" s="12"/>
      <c r="AP1832" s="12"/>
      <c r="AQ1832" s="12"/>
      <c r="AR1832" s="12"/>
      <c r="AS1832" s="12"/>
      <c r="AT1832" s="12"/>
      <c r="AU1832" s="12"/>
      <c r="AV1832" s="12"/>
      <c r="AW1832" s="12"/>
      <c r="AX1832" s="12"/>
      <c r="AY1832" s="12"/>
      <c r="AZ1832" s="12"/>
      <c r="BA1832" s="12"/>
      <c r="BB1832" s="12"/>
      <c r="BC1832" s="12"/>
      <c r="BD1832" s="12"/>
      <c r="BF1832" s="106" t="str">
        <f t="shared" si="1"/>
        <v>#VALUE!</v>
      </c>
      <c r="BG1832" s="21">
        <f t="shared" si="2"/>
        <v>12</v>
      </c>
    </row>
    <row r="1833">
      <c r="P1833" s="161"/>
      <c r="AI1833" s="102"/>
      <c r="AO1833" s="12"/>
      <c r="AP1833" s="12"/>
      <c r="AQ1833" s="12"/>
      <c r="AR1833" s="12"/>
      <c r="AS1833" s="12"/>
      <c r="AT1833" s="12"/>
      <c r="AU1833" s="12"/>
      <c r="AV1833" s="12"/>
      <c r="AW1833" s="12"/>
      <c r="AX1833" s="12"/>
      <c r="AY1833" s="12"/>
      <c r="AZ1833" s="12"/>
      <c r="BA1833" s="12"/>
      <c r="BB1833" s="12"/>
      <c r="BC1833" s="12"/>
      <c r="BD1833" s="12"/>
      <c r="BF1833" s="106" t="str">
        <f t="shared" si="1"/>
        <v>#VALUE!</v>
      </c>
      <c r="BG1833" s="21">
        <f t="shared" si="2"/>
        <v>12</v>
      </c>
    </row>
    <row r="1834">
      <c r="P1834" s="161"/>
      <c r="AI1834" s="102"/>
      <c r="AO1834" s="12"/>
      <c r="AP1834" s="12"/>
      <c r="AQ1834" s="12"/>
      <c r="AR1834" s="12"/>
      <c r="AS1834" s="12"/>
      <c r="AT1834" s="12"/>
      <c r="AU1834" s="12"/>
      <c r="AV1834" s="12"/>
      <c r="AW1834" s="12"/>
      <c r="AX1834" s="12"/>
      <c r="AY1834" s="12"/>
      <c r="AZ1834" s="12"/>
      <c r="BA1834" s="12"/>
      <c r="BB1834" s="12"/>
      <c r="BC1834" s="12"/>
      <c r="BD1834" s="12"/>
      <c r="BF1834" s="106" t="str">
        <f t="shared" si="1"/>
        <v>#VALUE!</v>
      </c>
      <c r="BG1834" s="21">
        <f t="shared" si="2"/>
        <v>12</v>
      </c>
    </row>
    <row r="1835">
      <c r="P1835" s="161"/>
      <c r="AI1835" s="102"/>
      <c r="AO1835" s="12"/>
      <c r="AP1835" s="12"/>
      <c r="AQ1835" s="12"/>
      <c r="AR1835" s="12"/>
      <c r="AS1835" s="12"/>
      <c r="AT1835" s="12"/>
      <c r="AU1835" s="12"/>
      <c r="AV1835" s="12"/>
      <c r="AW1835" s="12"/>
      <c r="AX1835" s="12"/>
      <c r="AY1835" s="12"/>
      <c r="AZ1835" s="12"/>
      <c r="BA1835" s="12"/>
      <c r="BB1835" s="12"/>
      <c r="BC1835" s="12"/>
      <c r="BD1835" s="12"/>
      <c r="BF1835" s="106" t="str">
        <f t="shared" si="1"/>
        <v>#VALUE!</v>
      </c>
      <c r="BG1835" s="21">
        <f t="shared" si="2"/>
        <v>12</v>
      </c>
    </row>
    <row r="1836">
      <c r="P1836" s="161"/>
      <c r="AI1836" s="102"/>
      <c r="AO1836" s="12"/>
      <c r="AP1836" s="12"/>
      <c r="AQ1836" s="12"/>
      <c r="AR1836" s="12"/>
      <c r="AS1836" s="12"/>
      <c r="AT1836" s="12"/>
      <c r="AU1836" s="12"/>
      <c r="AV1836" s="12"/>
      <c r="AW1836" s="12"/>
      <c r="AX1836" s="12"/>
      <c r="AY1836" s="12"/>
      <c r="AZ1836" s="12"/>
      <c r="BA1836" s="12"/>
      <c r="BB1836" s="12"/>
      <c r="BC1836" s="12"/>
      <c r="BD1836" s="12"/>
      <c r="BF1836" s="106" t="str">
        <f t="shared" si="1"/>
        <v>#VALUE!</v>
      </c>
      <c r="BG1836" s="21">
        <f t="shared" si="2"/>
        <v>12</v>
      </c>
    </row>
    <row r="1837">
      <c r="P1837" s="161"/>
      <c r="AI1837" s="102"/>
      <c r="AO1837" s="12"/>
      <c r="AP1837" s="12"/>
      <c r="AQ1837" s="12"/>
      <c r="AR1837" s="12"/>
      <c r="AS1837" s="12"/>
      <c r="AT1837" s="12"/>
      <c r="AU1837" s="12"/>
      <c r="AV1837" s="12"/>
      <c r="AW1837" s="12"/>
      <c r="AX1837" s="12"/>
      <c r="AY1837" s="12"/>
      <c r="AZ1837" s="12"/>
      <c r="BA1837" s="12"/>
      <c r="BB1837" s="12"/>
      <c r="BC1837" s="12"/>
      <c r="BD1837" s="12"/>
      <c r="BF1837" s="106" t="str">
        <f t="shared" si="1"/>
        <v>#VALUE!</v>
      </c>
      <c r="BG1837" s="21">
        <f t="shared" si="2"/>
        <v>12</v>
      </c>
    </row>
    <row r="1838">
      <c r="P1838" s="161"/>
      <c r="AI1838" s="102"/>
      <c r="AO1838" s="12"/>
      <c r="AP1838" s="12"/>
      <c r="AQ1838" s="12"/>
      <c r="AR1838" s="12"/>
      <c r="AS1838" s="12"/>
      <c r="AT1838" s="12"/>
      <c r="AU1838" s="12"/>
      <c r="AV1838" s="12"/>
      <c r="AW1838" s="12"/>
      <c r="AX1838" s="12"/>
      <c r="AY1838" s="12"/>
      <c r="AZ1838" s="12"/>
      <c r="BA1838" s="12"/>
      <c r="BB1838" s="12"/>
      <c r="BC1838" s="12"/>
      <c r="BD1838" s="12"/>
      <c r="BF1838" s="106" t="str">
        <f t="shared" si="1"/>
        <v>#VALUE!</v>
      </c>
      <c r="BG1838" s="21">
        <f t="shared" si="2"/>
        <v>12</v>
      </c>
    </row>
    <row r="1839">
      <c r="P1839" s="161"/>
      <c r="AI1839" s="102"/>
      <c r="AO1839" s="12"/>
      <c r="AP1839" s="12"/>
      <c r="AQ1839" s="12"/>
      <c r="AR1839" s="12"/>
      <c r="AS1839" s="12"/>
      <c r="AT1839" s="12"/>
      <c r="AU1839" s="12"/>
      <c r="AV1839" s="12"/>
      <c r="AW1839" s="12"/>
      <c r="AX1839" s="12"/>
      <c r="AY1839" s="12"/>
      <c r="AZ1839" s="12"/>
      <c r="BA1839" s="12"/>
      <c r="BB1839" s="12"/>
      <c r="BC1839" s="12"/>
      <c r="BD1839" s="12"/>
      <c r="BF1839" s="106" t="str">
        <f t="shared" si="1"/>
        <v>#VALUE!</v>
      </c>
      <c r="BG1839" s="21">
        <f t="shared" si="2"/>
        <v>12</v>
      </c>
    </row>
    <row r="1840">
      <c r="P1840" s="161"/>
      <c r="AI1840" s="102"/>
      <c r="AO1840" s="12"/>
      <c r="AP1840" s="12"/>
      <c r="AQ1840" s="12"/>
      <c r="AR1840" s="12"/>
      <c r="AS1840" s="12"/>
      <c r="AT1840" s="12"/>
      <c r="AU1840" s="12"/>
      <c r="AV1840" s="12"/>
      <c r="AW1840" s="12"/>
      <c r="AX1840" s="12"/>
      <c r="AY1840" s="12"/>
      <c r="AZ1840" s="12"/>
      <c r="BA1840" s="12"/>
      <c r="BB1840" s="12"/>
      <c r="BC1840" s="12"/>
      <c r="BD1840" s="12"/>
      <c r="BF1840" s="106" t="str">
        <f t="shared" si="1"/>
        <v>#VALUE!</v>
      </c>
      <c r="BG1840" s="21">
        <f t="shared" si="2"/>
        <v>12</v>
      </c>
    </row>
    <row r="1841">
      <c r="P1841" s="161"/>
      <c r="AI1841" s="102"/>
      <c r="AO1841" s="12"/>
      <c r="AP1841" s="12"/>
      <c r="AQ1841" s="12"/>
      <c r="AR1841" s="12"/>
      <c r="AS1841" s="12"/>
      <c r="AT1841" s="12"/>
      <c r="AU1841" s="12"/>
      <c r="AV1841" s="12"/>
      <c r="AW1841" s="12"/>
      <c r="AX1841" s="12"/>
      <c r="AY1841" s="12"/>
      <c r="AZ1841" s="12"/>
      <c r="BA1841" s="12"/>
      <c r="BB1841" s="12"/>
      <c r="BC1841" s="12"/>
      <c r="BD1841" s="12"/>
      <c r="BF1841" s="106" t="str">
        <f t="shared" si="1"/>
        <v>#VALUE!</v>
      </c>
      <c r="BG1841" s="21">
        <f t="shared" si="2"/>
        <v>12</v>
      </c>
    </row>
    <row r="1842">
      <c r="P1842" s="161"/>
      <c r="AI1842" s="102"/>
      <c r="AO1842" s="12"/>
      <c r="AP1842" s="12"/>
      <c r="AQ1842" s="12"/>
      <c r="AR1842" s="12"/>
      <c r="AS1842" s="12"/>
      <c r="AT1842" s="12"/>
      <c r="AU1842" s="12"/>
      <c r="AV1842" s="12"/>
      <c r="AW1842" s="12"/>
      <c r="AX1842" s="12"/>
      <c r="AY1842" s="12"/>
      <c r="AZ1842" s="12"/>
      <c r="BA1842" s="12"/>
      <c r="BB1842" s="12"/>
      <c r="BC1842" s="12"/>
      <c r="BD1842" s="12"/>
      <c r="BF1842" s="106" t="str">
        <f t="shared" si="1"/>
        <v>#VALUE!</v>
      </c>
      <c r="BG1842" s="21">
        <f t="shared" si="2"/>
        <v>12</v>
      </c>
    </row>
    <row r="1843">
      <c r="P1843" s="161"/>
      <c r="AI1843" s="102"/>
      <c r="AO1843" s="12"/>
      <c r="AP1843" s="12"/>
      <c r="AQ1843" s="12"/>
      <c r="AR1843" s="12"/>
      <c r="AS1843" s="12"/>
      <c r="AT1843" s="12"/>
      <c r="AU1843" s="12"/>
      <c r="AV1843" s="12"/>
      <c r="AW1843" s="12"/>
      <c r="AX1843" s="12"/>
      <c r="AY1843" s="12"/>
      <c r="AZ1843" s="12"/>
      <c r="BA1843" s="12"/>
      <c r="BB1843" s="12"/>
      <c r="BC1843" s="12"/>
      <c r="BD1843" s="12"/>
      <c r="BF1843" s="106" t="str">
        <f t="shared" si="1"/>
        <v>#VALUE!</v>
      </c>
      <c r="BG1843" s="21">
        <f t="shared" si="2"/>
        <v>12</v>
      </c>
    </row>
    <row r="1844">
      <c r="P1844" s="161"/>
      <c r="AI1844" s="102"/>
      <c r="AO1844" s="12"/>
      <c r="AP1844" s="12"/>
      <c r="AQ1844" s="12"/>
      <c r="AR1844" s="12"/>
      <c r="AS1844" s="12"/>
      <c r="AT1844" s="12"/>
      <c r="AU1844" s="12"/>
      <c r="AV1844" s="12"/>
      <c r="AW1844" s="12"/>
      <c r="AX1844" s="12"/>
      <c r="AY1844" s="12"/>
      <c r="AZ1844" s="12"/>
      <c r="BA1844" s="12"/>
      <c r="BB1844" s="12"/>
      <c r="BC1844" s="12"/>
      <c r="BD1844" s="12"/>
      <c r="BF1844" s="106" t="str">
        <f t="shared" si="1"/>
        <v>#VALUE!</v>
      </c>
      <c r="BG1844" s="21">
        <f t="shared" si="2"/>
        <v>12</v>
      </c>
    </row>
    <row r="1845">
      <c r="P1845" s="161"/>
      <c r="AI1845" s="102"/>
      <c r="AO1845" s="12"/>
      <c r="AP1845" s="12"/>
      <c r="AQ1845" s="12"/>
      <c r="AR1845" s="12"/>
      <c r="AS1845" s="12"/>
      <c r="AT1845" s="12"/>
      <c r="AU1845" s="12"/>
      <c r="AV1845" s="12"/>
      <c r="AW1845" s="12"/>
      <c r="AX1845" s="12"/>
      <c r="AY1845" s="12"/>
      <c r="AZ1845" s="12"/>
      <c r="BA1845" s="12"/>
      <c r="BB1845" s="12"/>
      <c r="BC1845" s="12"/>
      <c r="BD1845" s="12"/>
      <c r="BF1845" s="106" t="str">
        <f t="shared" si="1"/>
        <v>#VALUE!</v>
      </c>
      <c r="BG1845" s="21">
        <f t="shared" si="2"/>
        <v>12</v>
      </c>
    </row>
    <row r="1846">
      <c r="P1846" s="161"/>
      <c r="AI1846" s="102"/>
      <c r="AO1846" s="12"/>
      <c r="AP1846" s="12"/>
      <c r="AQ1846" s="12"/>
      <c r="AR1846" s="12"/>
      <c r="AS1846" s="12"/>
      <c r="AT1846" s="12"/>
      <c r="AU1846" s="12"/>
      <c r="AV1846" s="12"/>
      <c r="AW1846" s="12"/>
      <c r="AX1846" s="12"/>
      <c r="AY1846" s="12"/>
      <c r="AZ1846" s="12"/>
      <c r="BA1846" s="12"/>
      <c r="BB1846" s="12"/>
      <c r="BC1846" s="12"/>
      <c r="BD1846" s="12"/>
      <c r="BF1846" s="106" t="str">
        <f t="shared" si="1"/>
        <v>#VALUE!</v>
      </c>
      <c r="BG1846" s="21">
        <f t="shared" si="2"/>
        <v>12</v>
      </c>
    </row>
    <row r="1847">
      <c r="P1847" s="161"/>
      <c r="AI1847" s="102"/>
      <c r="AO1847" s="12"/>
      <c r="AP1847" s="12"/>
      <c r="AQ1847" s="12"/>
      <c r="AR1847" s="12"/>
      <c r="AS1847" s="12"/>
      <c r="AT1847" s="12"/>
      <c r="AU1847" s="12"/>
      <c r="AV1847" s="12"/>
      <c r="AW1847" s="12"/>
      <c r="AX1847" s="12"/>
      <c r="AY1847" s="12"/>
      <c r="AZ1847" s="12"/>
      <c r="BA1847" s="12"/>
      <c r="BB1847" s="12"/>
      <c r="BC1847" s="12"/>
      <c r="BD1847" s="12"/>
      <c r="BF1847" s="106" t="str">
        <f t="shared" si="1"/>
        <v>#VALUE!</v>
      </c>
      <c r="BG1847" s="21">
        <f t="shared" si="2"/>
        <v>12</v>
      </c>
    </row>
    <row r="1848">
      <c r="P1848" s="161"/>
      <c r="AI1848" s="102"/>
      <c r="AO1848" s="12"/>
      <c r="AP1848" s="12"/>
      <c r="AQ1848" s="12"/>
      <c r="AR1848" s="12"/>
      <c r="AS1848" s="12"/>
      <c r="AT1848" s="12"/>
      <c r="AU1848" s="12"/>
      <c r="AV1848" s="12"/>
      <c r="AW1848" s="12"/>
      <c r="AX1848" s="12"/>
      <c r="AY1848" s="12"/>
      <c r="AZ1848" s="12"/>
      <c r="BA1848" s="12"/>
      <c r="BB1848" s="12"/>
      <c r="BC1848" s="12"/>
      <c r="BD1848" s="12"/>
      <c r="BF1848" s="106" t="str">
        <f t="shared" si="1"/>
        <v>#VALUE!</v>
      </c>
      <c r="BG1848" s="21">
        <f t="shared" si="2"/>
        <v>12</v>
      </c>
    </row>
    <row r="1849">
      <c r="P1849" s="161"/>
      <c r="AI1849" s="102"/>
      <c r="AO1849" s="12"/>
      <c r="AP1849" s="12"/>
      <c r="AQ1849" s="12"/>
      <c r="AR1849" s="12"/>
      <c r="AS1849" s="12"/>
      <c r="AT1849" s="12"/>
      <c r="AU1849" s="12"/>
      <c r="AV1849" s="12"/>
      <c r="AW1849" s="12"/>
      <c r="AX1849" s="12"/>
      <c r="AY1849" s="12"/>
      <c r="AZ1849" s="12"/>
      <c r="BA1849" s="12"/>
      <c r="BB1849" s="12"/>
      <c r="BC1849" s="12"/>
      <c r="BD1849" s="12"/>
      <c r="BF1849" s="106" t="str">
        <f t="shared" si="1"/>
        <v>#VALUE!</v>
      </c>
      <c r="BG1849" s="21">
        <f t="shared" si="2"/>
        <v>12</v>
      </c>
    </row>
    <row r="1850">
      <c r="P1850" s="161"/>
      <c r="AI1850" s="102"/>
      <c r="AO1850" s="12"/>
      <c r="AP1850" s="12"/>
      <c r="AQ1850" s="12"/>
      <c r="AR1850" s="12"/>
      <c r="AS1850" s="12"/>
      <c r="AT1850" s="12"/>
      <c r="AU1850" s="12"/>
      <c r="AV1850" s="12"/>
      <c r="AW1850" s="12"/>
      <c r="AX1850" s="12"/>
      <c r="AY1850" s="12"/>
      <c r="AZ1850" s="12"/>
      <c r="BA1850" s="12"/>
      <c r="BB1850" s="12"/>
      <c r="BC1850" s="12"/>
      <c r="BD1850" s="12"/>
      <c r="BF1850" s="106" t="str">
        <f t="shared" si="1"/>
        <v>#VALUE!</v>
      </c>
      <c r="BG1850" s="21">
        <f t="shared" si="2"/>
        <v>12</v>
      </c>
    </row>
    <row r="1851">
      <c r="P1851" s="161"/>
      <c r="AI1851" s="102"/>
      <c r="AO1851" s="12"/>
      <c r="AP1851" s="12"/>
      <c r="AQ1851" s="12"/>
      <c r="AR1851" s="12"/>
      <c r="AS1851" s="12"/>
      <c r="AT1851" s="12"/>
      <c r="AU1851" s="12"/>
      <c r="AV1851" s="12"/>
      <c r="AW1851" s="12"/>
      <c r="AX1851" s="12"/>
      <c r="AY1851" s="12"/>
      <c r="AZ1851" s="12"/>
      <c r="BA1851" s="12"/>
      <c r="BB1851" s="12"/>
      <c r="BC1851" s="12"/>
      <c r="BD1851" s="12"/>
      <c r="BF1851" s="106" t="str">
        <f t="shared" si="1"/>
        <v>#VALUE!</v>
      </c>
      <c r="BG1851" s="21">
        <f t="shared" si="2"/>
        <v>12</v>
      </c>
    </row>
    <row r="1852">
      <c r="P1852" s="161"/>
      <c r="AI1852" s="102"/>
      <c r="AO1852" s="12"/>
      <c r="AP1852" s="12"/>
      <c r="AQ1852" s="12"/>
      <c r="AR1852" s="12"/>
      <c r="AS1852" s="12"/>
      <c r="AT1852" s="12"/>
      <c r="AU1852" s="12"/>
      <c r="AV1852" s="12"/>
      <c r="AW1852" s="12"/>
      <c r="AX1852" s="12"/>
      <c r="AY1852" s="12"/>
      <c r="AZ1852" s="12"/>
      <c r="BA1852" s="12"/>
      <c r="BB1852" s="12"/>
      <c r="BC1852" s="12"/>
      <c r="BD1852" s="12"/>
      <c r="BF1852" s="106" t="str">
        <f t="shared" si="1"/>
        <v>#VALUE!</v>
      </c>
      <c r="BG1852" s="21">
        <f t="shared" si="2"/>
        <v>12</v>
      </c>
    </row>
    <row r="1853">
      <c r="P1853" s="161"/>
      <c r="AI1853" s="102"/>
      <c r="AO1853" s="12"/>
      <c r="AP1853" s="12"/>
      <c r="AQ1853" s="12"/>
      <c r="AR1853" s="12"/>
      <c r="AS1853" s="12"/>
      <c r="AT1853" s="12"/>
      <c r="AU1853" s="12"/>
      <c r="AV1853" s="12"/>
      <c r="AW1853" s="12"/>
      <c r="AX1853" s="12"/>
      <c r="AY1853" s="12"/>
      <c r="AZ1853" s="12"/>
      <c r="BA1853" s="12"/>
      <c r="BB1853" s="12"/>
      <c r="BC1853" s="12"/>
      <c r="BD1853" s="12"/>
      <c r="BF1853" s="106" t="str">
        <f t="shared" si="1"/>
        <v>#VALUE!</v>
      </c>
      <c r="BG1853" s="21">
        <f t="shared" si="2"/>
        <v>12</v>
      </c>
    </row>
    <row r="1854">
      <c r="P1854" s="161"/>
      <c r="AI1854" s="102"/>
      <c r="AO1854" s="12"/>
      <c r="AP1854" s="12"/>
      <c r="AQ1854" s="12"/>
      <c r="AR1854" s="12"/>
      <c r="AS1854" s="12"/>
      <c r="AT1854" s="12"/>
      <c r="AU1854" s="12"/>
      <c r="AV1854" s="12"/>
      <c r="AW1854" s="12"/>
      <c r="AX1854" s="12"/>
      <c r="AY1854" s="12"/>
      <c r="AZ1854" s="12"/>
      <c r="BA1854" s="12"/>
      <c r="BB1854" s="12"/>
      <c r="BC1854" s="12"/>
      <c r="BD1854" s="12"/>
      <c r="BF1854" s="106" t="str">
        <f t="shared" si="1"/>
        <v>#VALUE!</v>
      </c>
      <c r="BG1854" s="21">
        <f t="shared" si="2"/>
        <v>12</v>
      </c>
    </row>
    <row r="1855">
      <c r="P1855" s="161"/>
      <c r="AI1855" s="102"/>
      <c r="AO1855" s="12"/>
      <c r="AP1855" s="12"/>
      <c r="AQ1855" s="12"/>
      <c r="AR1855" s="12"/>
      <c r="AS1855" s="12"/>
      <c r="AT1855" s="12"/>
      <c r="AU1855" s="12"/>
      <c r="AV1855" s="12"/>
      <c r="AW1855" s="12"/>
      <c r="AX1855" s="12"/>
      <c r="AY1855" s="12"/>
      <c r="AZ1855" s="12"/>
      <c r="BA1855" s="12"/>
      <c r="BB1855" s="12"/>
      <c r="BC1855" s="12"/>
      <c r="BD1855" s="12"/>
      <c r="BF1855" s="106" t="str">
        <f t="shared" si="1"/>
        <v>#VALUE!</v>
      </c>
      <c r="BG1855" s="21">
        <f t="shared" si="2"/>
        <v>12</v>
      </c>
    </row>
    <row r="1856">
      <c r="P1856" s="161"/>
      <c r="AI1856" s="102"/>
      <c r="AO1856" s="12"/>
      <c r="AP1856" s="12"/>
      <c r="AQ1856" s="12"/>
      <c r="AR1856" s="12"/>
      <c r="AS1856" s="12"/>
      <c r="AT1856" s="12"/>
      <c r="AU1856" s="12"/>
      <c r="AV1856" s="12"/>
      <c r="AW1856" s="12"/>
      <c r="AX1856" s="12"/>
      <c r="AY1856" s="12"/>
      <c r="AZ1856" s="12"/>
      <c r="BA1856" s="12"/>
      <c r="BB1856" s="12"/>
      <c r="BC1856" s="12"/>
      <c r="BD1856" s="12"/>
      <c r="BF1856" s="106" t="str">
        <f t="shared" si="1"/>
        <v>#VALUE!</v>
      </c>
      <c r="BG1856" s="21">
        <f t="shared" si="2"/>
        <v>12</v>
      </c>
    </row>
    <row r="1857">
      <c r="P1857" s="161"/>
      <c r="AI1857" s="102"/>
      <c r="AO1857" s="12"/>
      <c r="AP1857" s="12"/>
      <c r="AQ1857" s="12"/>
      <c r="AR1857" s="12"/>
      <c r="AS1857" s="12"/>
      <c r="AT1857" s="12"/>
      <c r="AU1857" s="12"/>
      <c r="AV1857" s="12"/>
      <c r="AW1857" s="12"/>
      <c r="AX1857" s="12"/>
      <c r="AY1857" s="12"/>
      <c r="AZ1857" s="12"/>
      <c r="BA1857" s="12"/>
      <c r="BB1857" s="12"/>
      <c r="BC1857" s="12"/>
      <c r="BD1857" s="12"/>
      <c r="BF1857" s="106" t="str">
        <f t="shared" si="1"/>
        <v>#VALUE!</v>
      </c>
      <c r="BG1857" s="21">
        <f t="shared" si="2"/>
        <v>12</v>
      </c>
    </row>
    <row r="1858">
      <c r="P1858" s="161"/>
      <c r="AI1858" s="102"/>
      <c r="AO1858" s="12"/>
      <c r="AP1858" s="12"/>
      <c r="AQ1858" s="12"/>
      <c r="AR1858" s="12"/>
      <c r="AS1858" s="12"/>
      <c r="AT1858" s="12"/>
      <c r="AU1858" s="12"/>
      <c r="AV1858" s="12"/>
      <c r="AW1858" s="12"/>
      <c r="AX1858" s="12"/>
      <c r="AY1858" s="12"/>
      <c r="AZ1858" s="12"/>
      <c r="BA1858" s="12"/>
      <c r="BB1858" s="12"/>
      <c r="BC1858" s="12"/>
      <c r="BD1858" s="12"/>
      <c r="BF1858" s="106" t="str">
        <f t="shared" si="1"/>
        <v>#VALUE!</v>
      </c>
      <c r="BG1858" s="21">
        <f t="shared" si="2"/>
        <v>12</v>
      </c>
    </row>
    <row r="1859">
      <c r="P1859" s="161"/>
      <c r="AI1859" s="102"/>
      <c r="AO1859" s="12"/>
      <c r="AP1859" s="12"/>
      <c r="AQ1859" s="12"/>
      <c r="AR1859" s="12"/>
      <c r="AS1859" s="12"/>
      <c r="AT1859" s="12"/>
      <c r="AU1859" s="12"/>
      <c r="AV1859" s="12"/>
      <c r="AW1859" s="12"/>
      <c r="AX1859" s="12"/>
      <c r="AY1859" s="12"/>
      <c r="AZ1859" s="12"/>
      <c r="BA1859" s="12"/>
      <c r="BB1859" s="12"/>
      <c r="BC1859" s="12"/>
      <c r="BD1859" s="12"/>
      <c r="BF1859" s="106" t="str">
        <f t="shared" si="1"/>
        <v>#VALUE!</v>
      </c>
      <c r="BG1859" s="21">
        <f t="shared" si="2"/>
        <v>12</v>
      </c>
    </row>
    <row r="1860">
      <c r="P1860" s="161"/>
      <c r="AI1860" s="102"/>
      <c r="AO1860" s="12"/>
      <c r="AP1860" s="12"/>
      <c r="AQ1860" s="12"/>
      <c r="AR1860" s="12"/>
      <c r="AS1860" s="12"/>
      <c r="AT1860" s="12"/>
      <c r="AU1860" s="12"/>
      <c r="AV1860" s="12"/>
      <c r="AW1860" s="12"/>
      <c r="AX1860" s="12"/>
      <c r="AY1860" s="12"/>
      <c r="AZ1860" s="12"/>
      <c r="BA1860" s="12"/>
      <c r="BB1860" s="12"/>
      <c r="BC1860" s="12"/>
      <c r="BD1860" s="12"/>
      <c r="BF1860" s="106" t="str">
        <f t="shared" si="1"/>
        <v>#VALUE!</v>
      </c>
      <c r="BG1860" s="21">
        <f t="shared" si="2"/>
        <v>12</v>
      </c>
    </row>
    <row r="1861">
      <c r="P1861" s="161"/>
      <c r="AI1861" s="102"/>
      <c r="AO1861" s="12"/>
      <c r="AP1861" s="12"/>
      <c r="AQ1861" s="12"/>
      <c r="AR1861" s="12"/>
      <c r="AS1861" s="12"/>
      <c r="AT1861" s="12"/>
      <c r="AU1861" s="12"/>
      <c r="AV1861" s="12"/>
      <c r="AW1861" s="12"/>
      <c r="AX1861" s="12"/>
      <c r="AY1861" s="12"/>
      <c r="AZ1861" s="12"/>
      <c r="BA1861" s="12"/>
      <c r="BB1861" s="12"/>
      <c r="BC1861" s="12"/>
      <c r="BD1861" s="12"/>
      <c r="BF1861" s="106" t="str">
        <f t="shared" si="1"/>
        <v>#VALUE!</v>
      </c>
      <c r="BG1861" s="21">
        <f t="shared" si="2"/>
        <v>12</v>
      </c>
    </row>
    <row r="1862">
      <c r="P1862" s="161"/>
      <c r="AI1862" s="102"/>
      <c r="AO1862" s="12"/>
      <c r="AP1862" s="12"/>
      <c r="AQ1862" s="12"/>
      <c r="AR1862" s="12"/>
      <c r="AS1862" s="12"/>
      <c r="AT1862" s="12"/>
      <c r="AU1862" s="12"/>
      <c r="AV1862" s="12"/>
      <c r="AW1862" s="12"/>
      <c r="AX1862" s="12"/>
      <c r="AY1862" s="12"/>
      <c r="AZ1862" s="12"/>
      <c r="BA1862" s="12"/>
      <c r="BB1862" s="12"/>
      <c r="BC1862" s="12"/>
      <c r="BD1862" s="12"/>
      <c r="BF1862" s="106" t="str">
        <f t="shared" si="1"/>
        <v>#VALUE!</v>
      </c>
      <c r="BG1862" s="21">
        <f t="shared" si="2"/>
        <v>12</v>
      </c>
    </row>
    <row r="1863">
      <c r="P1863" s="161"/>
      <c r="AI1863" s="102"/>
      <c r="AO1863" s="12"/>
      <c r="AP1863" s="12"/>
      <c r="AQ1863" s="12"/>
      <c r="AR1863" s="12"/>
      <c r="AS1863" s="12"/>
      <c r="AT1863" s="12"/>
      <c r="AU1863" s="12"/>
      <c r="AV1863" s="12"/>
      <c r="AW1863" s="12"/>
      <c r="AX1863" s="12"/>
      <c r="AY1863" s="12"/>
      <c r="AZ1863" s="12"/>
      <c r="BA1863" s="12"/>
      <c r="BB1863" s="12"/>
      <c r="BC1863" s="12"/>
      <c r="BD1863" s="12"/>
      <c r="BF1863" s="106" t="str">
        <f t="shared" si="1"/>
        <v>#VALUE!</v>
      </c>
      <c r="BG1863" s="21">
        <f t="shared" si="2"/>
        <v>12</v>
      </c>
    </row>
    <row r="1864">
      <c r="P1864" s="161"/>
      <c r="AI1864" s="102"/>
      <c r="AO1864" s="12"/>
      <c r="AP1864" s="12"/>
      <c r="AQ1864" s="12"/>
      <c r="AR1864" s="12"/>
      <c r="AS1864" s="12"/>
      <c r="AT1864" s="12"/>
      <c r="AU1864" s="12"/>
      <c r="AV1864" s="12"/>
      <c r="AW1864" s="12"/>
      <c r="AX1864" s="12"/>
      <c r="AY1864" s="12"/>
      <c r="AZ1864" s="12"/>
      <c r="BA1864" s="12"/>
      <c r="BB1864" s="12"/>
      <c r="BC1864" s="12"/>
      <c r="BD1864" s="12"/>
      <c r="BF1864" s="106" t="str">
        <f t="shared" si="1"/>
        <v>#VALUE!</v>
      </c>
      <c r="BG1864" s="21">
        <f t="shared" si="2"/>
        <v>12</v>
      </c>
    </row>
    <row r="1865">
      <c r="P1865" s="161"/>
      <c r="AI1865" s="102"/>
      <c r="AO1865" s="12"/>
      <c r="AP1865" s="12"/>
      <c r="AQ1865" s="12"/>
      <c r="AR1865" s="12"/>
      <c r="AS1865" s="12"/>
      <c r="AT1865" s="12"/>
      <c r="AU1865" s="12"/>
      <c r="AV1865" s="12"/>
      <c r="AW1865" s="12"/>
      <c r="AX1865" s="12"/>
      <c r="AY1865" s="12"/>
      <c r="AZ1865" s="12"/>
      <c r="BA1865" s="12"/>
      <c r="BB1865" s="12"/>
      <c r="BC1865" s="12"/>
      <c r="BD1865" s="12"/>
      <c r="BF1865" s="106" t="str">
        <f t="shared" si="1"/>
        <v>#VALUE!</v>
      </c>
      <c r="BG1865" s="21">
        <f t="shared" si="2"/>
        <v>12</v>
      </c>
    </row>
    <row r="1866">
      <c r="P1866" s="161"/>
      <c r="AI1866" s="102"/>
      <c r="AO1866" s="12"/>
      <c r="AP1866" s="12"/>
      <c r="AQ1866" s="12"/>
      <c r="AR1866" s="12"/>
      <c r="AS1866" s="12"/>
      <c r="AT1866" s="12"/>
      <c r="AU1866" s="12"/>
      <c r="AV1866" s="12"/>
      <c r="AW1866" s="12"/>
      <c r="AX1866" s="12"/>
      <c r="AY1866" s="12"/>
      <c r="AZ1866" s="12"/>
      <c r="BA1866" s="12"/>
      <c r="BB1866" s="12"/>
      <c r="BC1866" s="12"/>
      <c r="BD1866" s="12"/>
      <c r="BF1866" s="106" t="str">
        <f t="shared" si="1"/>
        <v>#VALUE!</v>
      </c>
      <c r="BG1866" s="21">
        <f t="shared" si="2"/>
        <v>12</v>
      </c>
    </row>
    <row r="1867">
      <c r="P1867" s="161"/>
      <c r="AI1867" s="102"/>
      <c r="AO1867" s="12"/>
      <c r="AP1867" s="12"/>
      <c r="AQ1867" s="12"/>
      <c r="AR1867" s="12"/>
      <c r="AS1867" s="12"/>
      <c r="AT1867" s="12"/>
      <c r="AU1867" s="12"/>
      <c r="AV1867" s="12"/>
      <c r="AW1867" s="12"/>
      <c r="AX1867" s="12"/>
      <c r="AY1867" s="12"/>
      <c r="AZ1867" s="12"/>
      <c r="BA1867" s="12"/>
      <c r="BB1867" s="12"/>
      <c r="BC1867" s="12"/>
      <c r="BD1867" s="12"/>
      <c r="BF1867" s="106" t="str">
        <f t="shared" si="1"/>
        <v>#VALUE!</v>
      </c>
      <c r="BG1867" s="21">
        <f t="shared" si="2"/>
        <v>12</v>
      </c>
    </row>
    <row r="1868">
      <c r="P1868" s="161"/>
      <c r="AI1868" s="102"/>
      <c r="AO1868" s="12"/>
      <c r="AP1868" s="12"/>
      <c r="AQ1868" s="12"/>
      <c r="AR1868" s="12"/>
      <c r="AS1868" s="12"/>
      <c r="AT1868" s="12"/>
      <c r="AU1868" s="12"/>
      <c r="AV1868" s="12"/>
      <c r="AW1868" s="12"/>
      <c r="AX1868" s="12"/>
      <c r="AY1868" s="12"/>
      <c r="AZ1868" s="12"/>
      <c r="BA1868" s="12"/>
      <c r="BB1868" s="12"/>
      <c r="BC1868" s="12"/>
      <c r="BD1868" s="12"/>
      <c r="BF1868" s="106" t="str">
        <f t="shared" si="1"/>
        <v>#VALUE!</v>
      </c>
      <c r="BG1868" s="21">
        <f t="shared" si="2"/>
        <v>12</v>
      </c>
    </row>
    <row r="1869">
      <c r="P1869" s="161"/>
      <c r="AI1869" s="102"/>
      <c r="AO1869" s="12"/>
      <c r="AP1869" s="12"/>
      <c r="AQ1869" s="12"/>
      <c r="AR1869" s="12"/>
      <c r="AS1869" s="12"/>
      <c r="AT1869" s="12"/>
      <c r="AU1869" s="12"/>
      <c r="AV1869" s="12"/>
      <c r="AW1869" s="12"/>
      <c r="AX1869" s="12"/>
      <c r="AY1869" s="12"/>
      <c r="AZ1869" s="12"/>
      <c r="BA1869" s="12"/>
      <c r="BB1869" s="12"/>
      <c r="BC1869" s="12"/>
      <c r="BD1869" s="12"/>
      <c r="BF1869" s="106" t="str">
        <f t="shared" si="1"/>
        <v>#VALUE!</v>
      </c>
      <c r="BG1869" s="21">
        <f t="shared" si="2"/>
        <v>12</v>
      </c>
    </row>
    <row r="1870">
      <c r="P1870" s="161"/>
      <c r="AI1870" s="102"/>
      <c r="AO1870" s="12"/>
      <c r="AP1870" s="12"/>
      <c r="AQ1870" s="12"/>
      <c r="AR1870" s="12"/>
      <c r="AS1870" s="12"/>
      <c r="AT1870" s="12"/>
      <c r="AU1870" s="12"/>
      <c r="AV1870" s="12"/>
      <c r="AW1870" s="12"/>
      <c r="AX1870" s="12"/>
      <c r="AY1870" s="12"/>
      <c r="AZ1870" s="12"/>
      <c r="BA1870" s="12"/>
      <c r="BB1870" s="12"/>
      <c r="BC1870" s="12"/>
      <c r="BD1870" s="12"/>
      <c r="BF1870" s="106" t="str">
        <f t="shared" si="1"/>
        <v>#VALUE!</v>
      </c>
      <c r="BG1870" s="21">
        <f t="shared" si="2"/>
        <v>12</v>
      </c>
    </row>
    <row r="1871">
      <c r="P1871" s="161"/>
      <c r="AI1871" s="102"/>
      <c r="AO1871" s="12"/>
      <c r="AP1871" s="12"/>
      <c r="AQ1871" s="12"/>
      <c r="AR1871" s="12"/>
      <c r="AS1871" s="12"/>
      <c r="AT1871" s="12"/>
      <c r="AU1871" s="12"/>
      <c r="AV1871" s="12"/>
      <c r="AW1871" s="12"/>
      <c r="AX1871" s="12"/>
      <c r="AY1871" s="12"/>
      <c r="AZ1871" s="12"/>
      <c r="BA1871" s="12"/>
      <c r="BB1871" s="12"/>
      <c r="BC1871" s="12"/>
      <c r="BD1871" s="12"/>
      <c r="BF1871" s="106" t="str">
        <f t="shared" si="1"/>
        <v>#VALUE!</v>
      </c>
      <c r="BG1871" s="21">
        <f t="shared" si="2"/>
        <v>12</v>
      </c>
    </row>
    <row r="1872">
      <c r="P1872" s="161"/>
      <c r="AI1872" s="102"/>
      <c r="AO1872" s="12"/>
      <c r="AP1872" s="12"/>
      <c r="AQ1872" s="12"/>
      <c r="AR1872" s="12"/>
      <c r="AS1872" s="12"/>
      <c r="AT1872" s="12"/>
      <c r="AU1872" s="12"/>
      <c r="AV1872" s="12"/>
      <c r="AW1872" s="12"/>
      <c r="AX1872" s="12"/>
      <c r="AY1872" s="12"/>
      <c r="AZ1872" s="12"/>
      <c r="BA1872" s="12"/>
      <c r="BB1872" s="12"/>
      <c r="BC1872" s="12"/>
      <c r="BD1872" s="12"/>
      <c r="BF1872" s="106" t="str">
        <f t="shared" si="1"/>
        <v>#VALUE!</v>
      </c>
      <c r="BG1872" s="21">
        <f t="shared" si="2"/>
        <v>12</v>
      </c>
    </row>
    <row r="1873">
      <c r="P1873" s="161"/>
      <c r="AI1873" s="102"/>
      <c r="AO1873" s="12"/>
      <c r="AP1873" s="12"/>
      <c r="AQ1873" s="12"/>
      <c r="AR1873" s="12"/>
      <c r="AS1873" s="12"/>
      <c r="AT1873" s="12"/>
      <c r="AU1873" s="12"/>
      <c r="AV1873" s="12"/>
      <c r="AW1873" s="12"/>
      <c r="AX1873" s="12"/>
      <c r="AY1873" s="12"/>
      <c r="AZ1873" s="12"/>
      <c r="BA1873" s="12"/>
      <c r="BB1873" s="12"/>
      <c r="BC1873" s="12"/>
      <c r="BD1873" s="12"/>
      <c r="BF1873" s="106" t="str">
        <f t="shared" si="1"/>
        <v>#VALUE!</v>
      </c>
      <c r="BG1873" s="21">
        <f t="shared" si="2"/>
        <v>12</v>
      </c>
    </row>
    <row r="1874">
      <c r="P1874" s="161"/>
      <c r="AI1874" s="102"/>
      <c r="AO1874" s="12"/>
      <c r="AP1874" s="12"/>
      <c r="AQ1874" s="12"/>
      <c r="AR1874" s="12"/>
      <c r="AS1874" s="12"/>
      <c r="AT1874" s="12"/>
      <c r="AU1874" s="12"/>
      <c r="AV1874" s="12"/>
      <c r="AW1874" s="12"/>
      <c r="AX1874" s="12"/>
      <c r="AY1874" s="12"/>
      <c r="AZ1874" s="12"/>
      <c r="BA1874" s="12"/>
      <c r="BB1874" s="12"/>
      <c r="BC1874" s="12"/>
      <c r="BD1874" s="12"/>
      <c r="BF1874" s="106" t="str">
        <f t="shared" si="1"/>
        <v>#VALUE!</v>
      </c>
      <c r="BG1874" s="21">
        <f t="shared" si="2"/>
        <v>12</v>
      </c>
    </row>
    <row r="1875">
      <c r="P1875" s="161"/>
      <c r="AI1875" s="102"/>
      <c r="AO1875" s="12"/>
      <c r="AP1875" s="12"/>
      <c r="AQ1875" s="12"/>
      <c r="AR1875" s="12"/>
      <c r="AS1875" s="12"/>
      <c r="AT1875" s="12"/>
      <c r="AU1875" s="12"/>
      <c r="AV1875" s="12"/>
      <c r="AW1875" s="12"/>
      <c r="AX1875" s="12"/>
      <c r="AY1875" s="12"/>
      <c r="AZ1875" s="12"/>
      <c r="BA1875" s="12"/>
      <c r="BB1875" s="12"/>
      <c r="BC1875" s="12"/>
      <c r="BD1875" s="12"/>
      <c r="BF1875" s="106" t="str">
        <f t="shared" si="1"/>
        <v>#VALUE!</v>
      </c>
      <c r="BG1875" s="21">
        <f t="shared" si="2"/>
        <v>12</v>
      </c>
    </row>
    <row r="1876">
      <c r="P1876" s="161"/>
      <c r="AI1876" s="102"/>
      <c r="AO1876" s="12"/>
      <c r="AP1876" s="12"/>
      <c r="AQ1876" s="12"/>
      <c r="AR1876" s="12"/>
      <c r="AS1876" s="12"/>
      <c r="AT1876" s="12"/>
      <c r="AU1876" s="12"/>
      <c r="AV1876" s="12"/>
      <c r="AW1876" s="12"/>
      <c r="AX1876" s="12"/>
      <c r="AY1876" s="12"/>
      <c r="AZ1876" s="12"/>
      <c r="BA1876" s="12"/>
      <c r="BB1876" s="12"/>
      <c r="BC1876" s="12"/>
      <c r="BD1876" s="12"/>
      <c r="BF1876" s="106" t="str">
        <f t="shared" si="1"/>
        <v>#VALUE!</v>
      </c>
      <c r="BG1876" s="21">
        <f t="shared" si="2"/>
        <v>12</v>
      </c>
    </row>
    <row r="1877">
      <c r="P1877" s="161"/>
      <c r="AI1877" s="102"/>
      <c r="AO1877" s="12"/>
      <c r="AP1877" s="12"/>
      <c r="AQ1877" s="12"/>
      <c r="AR1877" s="12"/>
      <c r="AS1877" s="12"/>
      <c r="AT1877" s="12"/>
      <c r="AU1877" s="12"/>
      <c r="AV1877" s="12"/>
      <c r="AW1877" s="12"/>
      <c r="AX1877" s="12"/>
      <c r="AY1877" s="12"/>
      <c r="AZ1877" s="12"/>
      <c r="BA1877" s="12"/>
      <c r="BB1877" s="12"/>
      <c r="BC1877" s="12"/>
      <c r="BD1877" s="12"/>
      <c r="BF1877" s="106" t="str">
        <f t="shared" si="1"/>
        <v>#VALUE!</v>
      </c>
      <c r="BG1877" s="21">
        <f t="shared" si="2"/>
        <v>12</v>
      </c>
    </row>
    <row r="1878">
      <c r="P1878" s="161"/>
      <c r="AI1878" s="102"/>
      <c r="AO1878" s="12"/>
      <c r="AP1878" s="12"/>
      <c r="AQ1878" s="12"/>
      <c r="AR1878" s="12"/>
      <c r="AS1878" s="12"/>
      <c r="AT1878" s="12"/>
      <c r="AU1878" s="12"/>
      <c r="AV1878" s="12"/>
      <c r="AW1878" s="12"/>
      <c r="AX1878" s="12"/>
      <c r="AY1878" s="12"/>
      <c r="AZ1878" s="12"/>
      <c r="BA1878" s="12"/>
      <c r="BB1878" s="12"/>
      <c r="BC1878" s="12"/>
      <c r="BD1878" s="12"/>
      <c r="BF1878" s="106" t="str">
        <f t="shared" si="1"/>
        <v>#VALUE!</v>
      </c>
      <c r="BG1878" s="21">
        <f t="shared" si="2"/>
        <v>12</v>
      </c>
    </row>
    <row r="1879">
      <c r="P1879" s="161"/>
      <c r="AI1879" s="102"/>
      <c r="AO1879" s="12"/>
      <c r="AP1879" s="12"/>
      <c r="AQ1879" s="12"/>
      <c r="AR1879" s="12"/>
      <c r="AS1879" s="12"/>
      <c r="AT1879" s="12"/>
      <c r="AU1879" s="12"/>
      <c r="AV1879" s="12"/>
      <c r="AW1879" s="12"/>
      <c r="AX1879" s="12"/>
      <c r="AY1879" s="12"/>
      <c r="AZ1879" s="12"/>
      <c r="BA1879" s="12"/>
      <c r="BB1879" s="12"/>
      <c r="BC1879" s="12"/>
      <c r="BD1879" s="12"/>
      <c r="BF1879" s="106" t="str">
        <f t="shared" si="1"/>
        <v>#VALUE!</v>
      </c>
      <c r="BG1879" s="21">
        <f t="shared" si="2"/>
        <v>12</v>
      </c>
    </row>
    <row r="1880">
      <c r="P1880" s="161"/>
      <c r="AI1880" s="102"/>
      <c r="AO1880" s="12"/>
      <c r="AP1880" s="12"/>
      <c r="AQ1880" s="12"/>
      <c r="AR1880" s="12"/>
      <c r="AS1880" s="12"/>
      <c r="AT1880" s="12"/>
      <c r="AU1880" s="12"/>
      <c r="AV1880" s="12"/>
      <c r="AW1880" s="12"/>
      <c r="AX1880" s="12"/>
      <c r="AY1880" s="12"/>
      <c r="AZ1880" s="12"/>
      <c r="BA1880" s="12"/>
      <c r="BB1880" s="12"/>
      <c r="BC1880" s="12"/>
      <c r="BD1880" s="12"/>
      <c r="BF1880" s="106" t="str">
        <f t="shared" si="1"/>
        <v>#VALUE!</v>
      </c>
      <c r="BG1880" s="21">
        <f t="shared" si="2"/>
        <v>12</v>
      </c>
    </row>
    <row r="1881">
      <c r="P1881" s="161"/>
      <c r="AI1881" s="102"/>
      <c r="AO1881" s="12"/>
      <c r="AP1881" s="12"/>
      <c r="AQ1881" s="12"/>
      <c r="AR1881" s="12"/>
      <c r="AS1881" s="12"/>
      <c r="AT1881" s="12"/>
      <c r="AU1881" s="12"/>
      <c r="AV1881" s="12"/>
      <c r="AW1881" s="12"/>
      <c r="AX1881" s="12"/>
      <c r="AY1881" s="12"/>
      <c r="AZ1881" s="12"/>
      <c r="BA1881" s="12"/>
      <c r="BB1881" s="12"/>
      <c r="BC1881" s="12"/>
      <c r="BD1881" s="12"/>
      <c r="BF1881" s="106" t="str">
        <f t="shared" si="1"/>
        <v>#VALUE!</v>
      </c>
      <c r="BG1881" s="21">
        <f t="shared" si="2"/>
        <v>12</v>
      </c>
    </row>
    <row r="1882">
      <c r="P1882" s="161"/>
      <c r="AI1882" s="102"/>
      <c r="AO1882" s="12"/>
      <c r="AP1882" s="12"/>
      <c r="AQ1882" s="12"/>
      <c r="AR1882" s="12"/>
      <c r="AS1882" s="12"/>
      <c r="AT1882" s="12"/>
      <c r="AU1882" s="12"/>
      <c r="AV1882" s="12"/>
      <c r="AW1882" s="12"/>
      <c r="AX1882" s="12"/>
      <c r="AY1882" s="12"/>
      <c r="AZ1882" s="12"/>
      <c r="BA1882" s="12"/>
      <c r="BB1882" s="12"/>
      <c r="BC1882" s="12"/>
      <c r="BD1882" s="12"/>
      <c r="BF1882" s="106" t="str">
        <f t="shared" si="1"/>
        <v>#VALUE!</v>
      </c>
      <c r="BG1882" s="21">
        <f t="shared" si="2"/>
        <v>12</v>
      </c>
    </row>
    <row r="1883">
      <c r="P1883" s="161"/>
      <c r="AI1883" s="102"/>
      <c r="AO1883" s="12"/>
      <c r="AP1883" s="12"/>
      <c r="AQ1883" s="12"/>
      <c r="AR1883" s="12"/>
      <c r="AS1883" s="12"/>
      <c r="AT1883" s="12"/>
      <c r="AU1883" s="12"/>
      <c r="AV1883" s="12"/>
      <c r="AW1883" s="12"/>
      <c r="AX1883" s="12"/>
      <c r="AY1883" s="12"/>
      <c r="AZ1883" s="12"/>
      <c r="BA1883" s="12"/>
      <c r="BB1883" s="12"/>
      <c r="BC1883" s="12"/>
      <c r="BD1883" s="12"/>
      <c r="BF1883" s="106" t="str">
        <f t="shared" si="1"/>
        <v>#VALUE!</v>
      </c>
      <c r="BG1883" s="21">
        <f t="shared" si="2"/>
        <v>12</v>
      </c>
    </row>
    <row r="1884">
      <c r="P1884" s="161"/>
      <c r="AI1884" s="102"/>
      <c r="AO1884" s="12"/>
      <c r="AP1884" s="12"/>
      <c r="AQ1884" s="12"/>
      <c r="AR1884" s="12"/>
      <c r="AS1884" s="12"/>
      <c r="AT1884" s="12"/>
      <c r="AU1884" s="12"/>
      <c r="AV1884" s="12"/>
      <c r="AW1884" s="12"/>
      <c r="AX1884" s="12"/>
      <c r="AY1884" s="12"/>
      <c r="AZ1884" s="12"/>
      <c r="BA1884" s="12"/>
      <c r="BB1884" s="12"/>
      <c r="BC1884" s="12"/>
      <c r="BD1884" s="12"/>
      <c r="BF1884" s="106" t="str">
        <f t="shared" si="1"/>
        <v>#VALUE!</v>
      </c>
      <c r="BG1884" s="21">
        <f t="shared" si="2"/>
        <v>12</v>
      </c>
    </row>
    <row r="1885">
      <c r="P1885" s="161"/>
      <c r="AI1885" s="102"/>
      <c r="AO1885" s="12"/>
      <c r="AP1885" s="12"/>
      <c r="AQ1885" s="12"/>
      <c r="AR1885" s="12"/>
      <c r="AS1885" s="12"/>
      <c r="AT1885" s="12"/>
      <c r="AU1885" s="12"/>
      <c r="AV1885" s="12"/>
      <c r="AW1885" s="12"/>
      <c r="AX1885" s="12"/>
      <c r="AY1885" s="12"/>
      <c r="AZ1885" s="12"/>
      <c r="BA1885" s="12"/>
      <c r="BB1885" s="12"/>
      <c r="BC1885" s="12"/>
      <c r="BD1885" s="12"/>
      <c r="BF1885" s="106" t="str">
        <f t="shared" si="1"/>
        <v>#VALUE!</v>
      </c>
      <c r="BG1885" s="21">
        <f t="shared" si="2"/>
        <v>12</v>
      </c>
    </row>
    <row r="1886">
      <c r="P1886" s="161"/>
      <c r="AI1886" s="102"/>
      <c r="AO1886" s="12"/>
      <c r="AP1886" s="12"/>
      <c r="AQ1886" s="12"/>
      <c r="AR1886" s="12"/>
      <c r="AS1886" s="12"/>
      <c r="AT1886" s="12"/>
      <c r="AU1886" s="12"/>
      <c r="AV1886" s="12"/>
      <c r="AW1886" s="12"/>
      <c r="AX1886" s="12"/>
      <c r="AY1886" s="12"/>
      <c r="AZ1886" s="12"/>
      <c r="BA1886" s="12"/>
      <c r="BB1886" s="12"/>
      <c r="BC1886" s="12"/>
      <c r="BD1886" s="12"/>
      <c r="BF1886" s="106" t="str">
        <f t="shared" si="1"/>
        <v>#VALUE!</v>
      </c>
      <c r="BG1886" s="21">
        <f t="shared" si="2"/>
        <v>12</v>
      </c>
    </row>
    <row r="1887">
      <c r="P1887" s="161"/>
      <c r="AI1887" s="102"/>
      <c r="AO1887" s="12"/>
      <c r="AP1887" s="12"/>
      <c r="AQ1887" s="12"/>
      <c r="AR1887" s="12"/>
      <c r="AS1887" s="12"/>
      <c r="AT1887" s="12"/>
      <c r="AU1887" s="12"/>
      <c r="AV1887" s="12"/>
      <c r="AW1887" s="12"/>
      <c r="AX1887" s="12"/>
      <c r="AY1887" s="12"/>
      <c r="AZ1887" s="12"/>
      <c r="BA1887" s="12"/>
      <c r="BB1887" s="12"/>
      <c r="BC1887" s="12"/>
      <c r="BD1887" s="12"/>
      <c r="BF1887" s="106" t="str">
        <f t="shared" si="1"/>
        <v>#VALUE!</v>
      </c>
      <c r="BG1887" s="21">
        <f t="shared" si="2"/>
        <v>12</v>
      </c>
    </row>
    <row r="1888">
      <c r="P1888" s="161"/>
      <c r="AI1888" s="102"/>
      <c r="AO1888" s="12"/>
      <c r="AP1888" s="12"/>
      <c r="AQ1888" s="12"/>
      <c r="AR1888" s="12"/>
      <c r="AS1888" s="12"/>
      <c r="AT1888" s="12"/>
      <c r="AU1888" s="12"/>
      <c r="AV1888" s="12"/>
      <c r="AW1888" s="12"/>
      <c r="AX1888" s="12"/>
      <c r="AY1888" s="12"/>
      <c r="AZ1888" s="12"/>
      <c r="BA1888" s="12"/>
      <c r="BB1888" s="12"/>
      <c r="BC1888" s="12"/>
      <c r="BD1888" s="12"/>
      <c r="BF1888" s="106" t="str">
        <f t="shared" si="1"/>
        <v>#VALUE!</v>
      </c>
      <c r="BG1888" s="21">
        <f t="shared" si="2"/>
        <v>12</v>
      </c>
    </row>
    <row r="1889">
      <c r="P1889" s="161"/>
      <c r="AI1889" s="102"/>
      <c r="AO1889" s="12"/>
      <c r="AP1889" s="12"/>
      <c r="AQ1889" s="12"/>
      <c r="AR1889" s="12"/>
      <c r="AS1889" s="12"/>
      <c r="AT1889" s="12"/>
      <c r="AU1889" s="12"/>
      <c r="AV1889" s="12"/>
      <c r="AW1889" s="12"/>
      <c r="AX1889" s="12"/>
      <c r="AY1889" s="12"/>
      <c r="AZ1889" s="12"/>
      <c r="BA1889" s="12"/>
      <c r="BB1889" s="12"/>
      <c r="BC1889" s="12"/>
      <c r="BD1889" s="12"/>
      <c r="BF1889" s="106" t="str">
        <f t="shared" si="1"/>
        <v>#VALUE!</v>
      </c>
      <c r="BG1889" s="21">
        <f t="shared" si="2"/>
        <v>12</v>
      </c>
    </row>
    <row r="1890">
      <c r="P1890" s="161"/>
      <c r="AI1890" s="102"/>
      <c r="AO1890" s="12"/>
      <c r="AP1890" s="12"/>
      <c r="AQ1890" s="12"/>
      <c r="AR1890" s="12"/>
      <c r="AS1890" s="12"/>
      <c r="AT1890" s="12"/>
      <c r="AU1890" s="12"/>
      <c r="AV1890" s="12"/>
      <c r="AW1890" s="12"/>
      <c r="AX1890" s="12"/>
      <c r="AY1890" s="12"/>
      <c r="AZ1890" s="12"/>
      <c r="BA1890" s="12"/>
      <c r="BB1890" s="12"/>
      <c r="BC1890" s="12"/>
      <c r="BD1890" s="12"/>
      <c r="BF1890" s="106" t="str">
        <f t="shared" si="1"/>
        <v>#VALUE!</v>
      </c>
      <c r="BG1890" s="21">
        <f t="shared" si="2"/>
        <v>12</v>
      </c>
    </row>
    <row r="1891">
      <c r="P1891" s="161"/>
      <c r="AI1891" s="102"/>
      <c r="AO1891" s="12"/>
      <c r="AP1891" s="12"/>
      <c r="AQ1891" s="12"/>
      <c r="AR1891" s="12"/>
      <c r="AS1891" s="12"/>
      <c r="AT1891" s="12"/>
      <c r="AU1891" s="12"/>
      <c r="AV1891" s="12"/>
      <c r="AW1891" s="12"/>
      <c r="AX1891" s="12"/>
      <c r="AY1891" s="12"/>
      <c r="AZ1891" s="12"/>
      <c r="BA1891" s="12"/>
      <c r="BB1891" s="12"/>
      <c r="BC1891" s="12"/>
      <c r="BD1891" s="12"/>
      <c r="BF1891" s="106" t="str">
        <f t="shared" si="1"/>
        <v>#VALUE!</v>
      </c>
      <c r="BG1891" s="21">
        <f t="shared" si="2"/>
        <v>12</v>
      </c>
    </row>
    <row r="1892">
      <c r="P1892" s="161"/>
      <c r="AI1892" s="102"/>
      <c r="AO1892" s="12"/>
      <c r="AP1892" s="12"/>
      <c r="AQ1892" s="12"/>
      <c r="AR1892" s="12"/>
      <c r="AS1892" s="12"/>
      <c r="AT1892" s="12"/>
      <c r="AU1892" s="12"/>
      <c r="AV1892" s="12"/>
      <c r="AW1892" s="12"/>
      <c r="AX1892" s="12"/>
      <c r="AY1892" s="12"/>
      <c r="AZ1892" s="12"/>
      <c r="BA1892" s="12"/>
      <c r="BB1892" s="12"/>
      <c r="BC1892" s="12"/>
      <c r="BD1892" s="12"/>
      <c r="BF1892" s="106" t="str">
        <f t="shared" si="1"/>
        <v>#VALUE!</v>
      </c>
      <c r="BG1892" s="21">
        <f t="shared" si="2"/>
        <v>12</v>
      </c>
    </row>
    <row r="1893">
      <c r="P1893" s="161"/>
      <c r="AI1893" s="102"/>
      <c r="AO1893" s="12"/>
      <c r="AP1893" s="12"/>
      <c r="AQ1893" s="12"/>
      <c r="AR1893" s="12"/>
      <c r="AS1893" s="12"/>
      <c r="AT1893" s="12"/>
      <c r="AU1893" s="12"/>
      <c r="AV1893" s="12"/>
      <c r="AW1893" s="12"/>
      <c r="AX1893" s="12"/>
      <c r="AY1893" s="12"/>
      <c r="AZ1893" s="12"/>
      <c r="BA1893" s="12"/>
      <c r="BB1893" s="12"/>
      <c r="BC1893" s="12"/>
      <c r="BD1893" s="12"/>
      <c r="BF1893" s="106" t="str">
        <f t="shared" si="1"/>
        <v>#VALUE!</v>
      </c>
      <c r="BG1893" s="21">
        <f t="shared" si="2"/>
        <v>12</v>
      </c>
    </row>
    <row r="1894">
      <c r="P1894" s="161"/>
      <c r="AI1894" s="102"/>
      <c r="AO1894" s="12"/>
      <c r="AP1894" s="12"/>
      <c r="AQ1894" s="12"/>
      <c r="AR1894" s="12"/>
      <c r="AS1894" s="12"/>
      <c r="AT1894" s="12"/>
      <c r="AU1894" s="12"/>
      <c r="AV1894" s="12"/>
      <c r="AW1894" s="12"/>
      <c r="AX1894" s="12"/>
      <c r="AY1894" s="12"/>
      <c r="AZ1894" s="12"/>
      <c r="BA1894" s="12"/>
      <c r="BB1894" s="12"/>
      <c r="BC1894" s="12"/>
      <c r="BD1894" s="12"/>
      <c r="BF1894" s="106" t="str">
        <f t="shared" si="1"/>
        <v>#VALUE!</v>
      </c>
      <c r="BG1894" s="21">
        <f t="shared" si="2"/>
        <v>12</v>
      </c>
    </row>
    <row r="1895">
      <c r="P1895" s="161"/>
      <c r="AI1895" s="102"/>
      <c r="AO1895" s="12"/>
      <c r="AP1895" s="12"/>
      <c r="AQ1895" s="12"/>
      <c r="AR1895" s="12"/>
      <c r="AS1895" s="12"/>
      <c r="AT1895" s="12"/>
      <c r="AU1895" s="12"/>
      <c r="AV1895" s="12"/>
      <c r="AW1895" s="12"/>
      <c r="AX1895" s="12"/>
      <c r="AY1895" s="12"/>
      <c r="AZ1895" s="12"/>
      <c r="BA1895" s="12"/>
      <c r="BB1895" s="12"/>
      <c r="BC1895" s="12"/>
      <c r="BD1895" s="12"/>
      <c r="BF1895" s="106" t="str">
        <f t="shared" si="1"/>
        <v>#VALUE!</v>
      </c>
      <c r="BG1895" s="21">
        <f t="shared" si="2"/>
        <v>12</v>
      </c>
    </row>
    <row r="1896">
      <c r="P1896" s="161"/>
      <c r="AI1896" s="102"/>
      <c r="AO1896" s="12"/>
      <c r="AP1896" s="12"/>
      <c r="AQ1896" s="12"/>
      <c r="AR1896" s="12"/>
      <c r="AS1896" s="12"/>
      <c r="AT1896" s="12"/>
      <c r="AU1896" s="12"/>
      <c r="AV1896" s="12"/>
      <c r="AW1896" s="12"/>
      <c r="AX1896" s="12"/>
      <c r="AY1896" s="12"/>
      <c r="AZ1896" s="12"/>
      <c r="BA1896" s="12"/>
      <c r="BB1896" s="12"/>
      <c r="BC1896" s="12"/>
      <c r="BD1896" s="12"/>
      <c r="BF1896" s="106" t="str">
        <f t="shared" si="1"/>
        <v>#VALUE!</v>
      </c>
      <c r="BG1896" s="21">
        <f t="shared" si="2"/>
        <v>12</v>
      </c>
    </row>
    <row r="1897">
      <c r="P1897" s="161"/>
      <c r="AI1897" s="102"/>
      <c r="AO1897" s="12"/>
      <c r="AP1897" s="12"/>
      <c r="AQ1897" s="12"/>
      <c r="AR1897" s="12"/>
      <c r="AS1897" s="12"/>
      <c r="AT1897" s="12"/>
      <c r="AU1897" s="12"/>
      <c r="AV1897" s="12"/>
      <c r="AW1897" s="12"/>
      <c r="AX1897" s="12"/>
      <c r="AY1897" s="12"/>
      <c r="AZ1897" s="12"/>
      <c r="BA1897" s="12"/>
      <c r="BB1897" s="12"/>
      <c r="BC1897" s="12"/>
      <c r="BD1897" s="12"/>
      <c r="BF1897" s="106" t="str">
        <f t="shared" si="1"/>
        <v>#VALUE!</v>
      </c>
      <c r="BG1897" s="21">
        <f t="shared" si="2"/>
        <v>12</v>
      </c>
    </row>
    <row r="1898">
      <c r="P1898" s="161"/>
      <c r="AI1898" s="102"/>
      <c r="AO1898" s="12"/>
      <c r="AP1898" s="12"/>
      <c r="AQ1898" s="12"/>
      <c r="AR1898" s="12"/>
      <c r="AS1898" s="12"/>
      <c r="AT1898" s="12"/>
      <c r="AU1898" s="12"/>
      <c r="AV1898" s="12"/>
      <c r="AW1898" s="12"/>
      <c r="AX1898" s="12"/>
      <c r="AY1898" s="12"/>
      <c r="AZ1898" s="12"/>
      <c r="BA1898" s="12"/>
      <c r="BB1898" s="12"/>
      <c r="BC1898" s="12"/>
      <c r="BD1898" s="12"/>
      <c r="BF1898" s="106" t="str">
        <f t="shared" si="1"/>
        <v>#VALUE!</v>
      </c>
      <c r="BG1898" s="21">
        <f t="shared" si="2"/>
        <v>12</v>
      </c>
    </row>
    <row r="1899">
      <c r="P1899" s="161"/>
      <c r="AI1899" s="102"/>
      <c r="AO1899" s="12"/>
      <c r="AP1899" s="12"/>
      <c r="AQ1899" s="12"/>
      <c r="AR1899" s="12"/>
      <c r="AS1899" s="12"/>
      <c r="AT1899" s="12"/>
      <c r="AU1899" s="12"/>
      <c r="AV1899" s="12"/>
      <c r="AW1899" s="12"/>
      <c r="AX1899" s="12"/>
      <c r="AY1899" s="12"/>
      <c r="AZ1899" s="12"/>
      <c r="BA1899" s="12"/>
      <c r="BB1899" s="12"/>
      <c r="BC1899" s="12"/>
      <c r="BD1899" s="12"/>
      <c r="BF1899" s="106" t="str">
        <f t="shared" si="1"/>
        <v>#VALUE!</v>
      </c>
      <c r="BG1899" s="21">
        <f t="shared" si="2"/>
        <v>12</v>
      </c>
    </row>
    <row r="1900">
      <c r="P1900" s="161"/>
      <c r="AI1900" s="102"/>
      <c r="AO1900" s="12"/>
      <c r="AP1900" s="12"/>
      <c r="AQ1900" s="12"/>
      <c r="AR1900" s="12"/>
      <c r="AS1900" s="12"/>
      <c r="AT1900" s="12"/>
      <c r="AU1900" s="12"/>
      <c r="AV1900" s="12"/>
      <c r="AW1900" s="12"/>
      <c r="AX1900" s="12"/>
      <c r="AY1900" s="12"/>
      <c r="AZ1900" s="12"/>
      <c r="BA1900" s="12"/>
      <c r="BB1900" s="12"/>
      <c r="BC1900" s="12"/>
      <c r="BD1900" s="12"/>
      <c r="BF1900" s="106" t="str">
        <f t="shared" si="1"/>
        <v>#VALUE!</v>
      </c>
      <c r="BG1900" s="21">
        <f t="shared" si="2"/>
        <v>12</v>
      </c>
    </row>
    <row r="1901">
      <c r="P1901" s="161"/>
      <c r="AI1901" s="102"/>
      <c r="AO1901" s="12"/>
      <c r="AP1901" s="12"/>
      <c r="AQ1901" s="12"/>
      <c r="AR1901" s="12"/>
      <c r="AS1901" s="12"/>
      <c r="AT1901" s="12"/>
      <c r="AU1901" s="12"/>
      <c r="AV1901" s="12"/>
      <c r="AW1901" s="12"/>
      <c r="AX1901" s="12"/>
      <c r="AY1901" s="12"/>
      <c r="AZ1901" s="12"/>
      <c r="BA1901" s="12"/>
      <c r="BB1901" s="12"/>
      <c r="BC1901" s="12"/>
      <c r="BD1901" s="12"/>
      <c r="BF1901" s="106" t="str">
        <f t="shared" si="1"/>
        <v>#VALUE!</v>
      </c>
      <c r="BG1901" s="21">
        <f t="shared" si="2"/>
        <v>12</v>
      </c>
    </row>
    <row r="1902">
      <c r="P1902" s="161"/>
      <c r="AI1902" s="102"/>
      <c r="AO1902" s="12"/>
      <c r="AP1902" s="12"/>
      <c r="AQ1902" s="12"/>
      <c r="AR1902" s="12"/>
      <c r="AS1902" s="12"/>
      <c r="AT1902" s="12"/>
      <c r="AU1902" s="12"/>
      <c r="AV1902" s="12"/>
      <c r="AW1902" s="12"/>
      <c r="AX1902" s="12"/>
      <c r="AY1902" s="12"/>
      <c r="AZ1902" s="12"/>
      <c r="BA1902" s="12"/>
      <c r="BB1902" s="12"/>
      <c r="BC1902" s="12"/>
      <c r="BD1902" s="12"/>
      <c r="BF1902" s="106" t="str">
        <f t="shared" si="1"/>
        <v>#VALUE!</v>
      </c>
      <c r="BG1902" s="21">
        <f t="shared" si="2"/>
        <v>12</v>
      </c>
    </row>
    <row r="1903">
      <c r="P1903" s="161"/>
      <c r="AI1903" s="102"/>
      <c r="AO1903" s="12"/>
      <c r="AP1903" s="12"/>
      <c r="AQ1903" s="12"/>
      <c r="AR1903" s="12"/>
      <c r="AS1903" s="12"/>
      <c r="AT1903" s="12"/>
      <c r="AU1903" s="12"/>
      <c r="AV1903" s="12"/>
      <c r="AW1903" s="12"/>
      <c r="AX1903" s="12"/>
      <c r="AY1903" s="12"/>
      <c r="AZ1903" s="12"/>
      <c r="BA1903" s="12"/>
      <c r="BB1903" s="12"/>
      <c r="BC1903" s="12"/>
      <c r="BD1903" s="12"/>
      <c r="BF1903" s="106" t="str">
        <f t="shared" si="1"/>
        <v>#VALUE!</v>
      </c>
      <c r="BG1903" s="21">
        <f t="shared" si="2"/>
        <v>12</v>
      </c>
    </row>
    <row r="1904">
      <c r="P1904" s="161"/>
      <c r="AI1904" s="102"/>
      <c r="AO1904" s="12"/>
      <c r="AP1904" s="12"/>
      <c r="AQ1904" s="12"/>
      <c r="AR1904" s="12"/>
      <c r="AS1904" s="12"/>
      <c r="AT1904" s="12"/>
      <c r="AU1904" s="12"/>
      <c r="AV1904" s="12"/>
      <c r="AW1904" s="12"/>
      <c r="AX1904" s="12"/>
      <c r="AY1904" s="12"/>
      <c r="AZ1904" s="12"/>
      <c r="BA1904" s="12"/>
      <c r="BB1904" s="12"/>
      <c r="BC1904" s="12"/>
      <c r="BD1904" s="12"/>
      <c r="BF1904" s="106" t="str">
        <f t="shared" si="1"/>
        <v>#VALUE!</v>
      </c>
      <c r="BG1904" s="21">
        <f t="shared" si="2"/>
        <v>12</v>
      </c>
    </row>
    <row r="1905">
      <c r="P1905" s="161"/>
      <c r="AI1905" s="102"/>
      <c r="AO1905" s="12"/>
      <c r="AP1905" s="12"/>
      <c r="AQ1905" s="12"/>
      <c r="AR1905" s="12"/>
      <c r="AS1905" s="12"/>
      <c r="AT1905" s="12"/>
      <c r="AU1905" s="12"/>
      <c r="AV1905" s="12"/>
      <c r="AW1905" s="12"/>
      <c r="AX1905" s="12"/>
      <c r="AY1905" s="12"/>
      <c r="AZ1905" s="12"/>
      <c r="BA1905" s="12"/>
      <c r="BB1905" s="12"/>
      <c r="BC1905" s="12"/>
      <c r="BD1905" s="12"/>
      <c r="BF1905" s="106" t="str">
        <f t="shared" si="1"/>
        <v>#VALUE!</v>
      </c>
      <c r="BG1905" s="21">
        <f t="shared" si="2"/>
        <v>12</v>
      </c>
    </row>
    <row r="1906">
      <c r="P1906" s="161"/>
      <c r="AI1906" s="102"/>
      <c r="AO1906" s="12"/>
      <c r="AP1906" s="12"/>
      <c r="AQ1906" s="12"/>
      <c r="AR1906" s="12"/>
      <c r="AS1906" s="12"/>
      <c r="AT1906" s="12"/>
      <c r="AU1906" s="12"/>
      <c r="AV1906" s="12"/>
      <c r="AW1906" s="12"/>
      <c r="AX1906" s="12"/>
      <c r="AY1906" s="12"/>
      <c r="AZ1906" s="12"/>
      <c r="BA1906" s="12"/>
      <c r="BB1906" s="12"/>
      <c r="BC1906" s="12"/>
      <c r="BD1906" s="12"/>
      <c r="BF1906" s="106" t="str">
        <f t="shared" si="1"/>
        <v>#VALUE!</v>
      </c>
      <c r="BG1906" s="21">
        <f t="shared" si="2"/>
        <v>12</v>
      </c>
    </row>
    <row r="1907">
      <c r="P1907" s="161"/>
      <c r="AI1907" s="102"/>
      <c r="AO1907" s="12"/>
      <c r="AP1907" s="12"/>
      <c r="AQ1907" s="12"/>
      <c r="AR1907" s="12"/>
      <c r="AS1907" s="12"/>
      <c r="AT1907" s="12"/>
      <c r="AU1907" s="12"/>
      <c r="AV1907" s="12"/>
      <c r="AW1907" s="12"/>
      <c r="AX1907" s="12"/>
      <c r="AY1907" s="12"/>
      <c r="AZ1907" s="12"/>
      <c r="BA1907" s="12"/>
      <c r="BB1907" s="12"/>
      <c r="BC1907" s="12"/>
      <c r="BD1907" s="12"/>
      <c r="BF1907" s="106" t="str">
        <f t="shared" si="1"/>
        <v>#VALUE!</v>
      </c>
      <c r="BG1907" s="21">
        <f t="shared" si="2"/>
        <v>12</v>
      </c>
    </row>
    <row r="1908">
      <c r="P1908" s="161"/>
      <c r="AI1908" s="102"/>
      <c r="AO1908" s="12"/>
      <c r="AP1908" s="12"/>
      <c r="AQ1908" s="12"/>
      <c r="AR1908" s="12"/>
      <c r="AS1908" s="12"/>
      <c r="AT1908" s="12"/>
      <c r="AU1908" s="12"/>
      <c r="AV1908" s="12"/>
      <c r="AW1908" s="12"/>
      <c r="AX1908" s="12"/>
      <c r="AY1908" s="12"/>
      <c r="AZ1908" s="12"/>
      <c r="BA1908" s="12"/>
      <c r="BB1908" s="12"/>
      <c r="BC1908" s="12"/>
      <c r="BD1908" s="12"/>
      <c r="BF1908" s="106" t="str">
        <f t="shared" si="1"/>
        <v>#VALUE!</v>
      </c>
      <c r="BG1908" s="21">
        <f t="shared" si="2"/>
        <v>12</v>
      </c>
    </row>
    <row r="1909">
      <c r="P1909" s="161"/>
      <c r="AI1909" s="102"/>
      <c r="AO1909" s="12"/>
      <c r="AP1909" s="12"/>
      <c r="AQ1909" s="12"/>
      <c r="AR1909" s="12"/>
      <c r="AS1909" s="12"/>
      <c r="AT1909" s="12"/>
      <c r="AU1909" s="12"/>
      <c r="AV1909" s="12"/>
      <c r="AW1909" s="12"/>
      <c r="AX1909" s="12"/>
      <c r="AY1909" s="12"/>
      <c r="AZ1909" s="12"/>
      <c r="BA1909" s="12"/>
      <c r="BB1909" s="12"/>
      <c r="BC1909" s="12"/>
      <c r="BD1909" s="12"/>
      <c r="BF1909" s="106" t="str">
        <f t="shared" si="1"/>
        <v>#VALUE!</v>
      </c>
      <c r="BG1909" s="21">
        <f t="shared" si="2"/>
        <v>12</v>
      </c>
    </row>
    <row r="1910">
      <c r="P1910" s="161"/>
      <c r="AI1910" s="102"/>
      <c r="AO1910" s="12"/>
      <c r="AP1910" s="12"/>
      <c r="AQ1910" s="12"/>
      <c r="AR1910" s="12"/>
      <c r="AS1910" s="12"/>
      <c r="AT1910" s="12"/>
      <c r="AU1910" s="12"/>
      <c r="AV1910" s="12"/>
      <c r="AW1910" s="12"/>
      <c r="AX1910" s="12"/>
      <c r="AY1910" s="12"/>
      <c r="AZ1910" s="12"/>
      <c r="BA1910" s="12"/>
      <c r="BB1910" s="12"/>
      <c r="BC1910" s="12"/>
      <c r="BD1910" s="12"/>
      <c r="BF1910" s="106" t="str">
        <f t="shared" si="1"/>
        <v>#VALUE!</v>
      </c>
      <c r="BG1910" s="21">
        <f t="shared" si="2"/>
        <v>12</v>
      </c>
    </row>
    <row r="1911">
      <c r="P1911" s="161"/>
      <c r="AI1911" s="102"/>
      <c r="AO1911" s="12"/>
      <c r="AP1911" s="12"/>
      <c r="AQ1911" s="12"/>
      <c r="AR1911" s="12"/>
      <c r="AS1911" s="12"/>
      <c r="AT1911" s="12"/>
      <c r="AU1911" s="12"/>
      <c r="AV1911" s="12"/>
      <c r="AW1911" s="12"/>
      <c r="AX1911" s="12"/>
      <c r="AY1911" s="12"/>
      <c r="AZ1911" s="12"/>
      <c r="BA1911" s="12"/>
      <c r="BB1911" s="12"/>
      <c r="BC1911" s="12"/>
      <c r="BD1911" s="12"/>
      <c r="BF1911" s="106" t="str">
        <f t="shared" si="1"/>
        <v>#VALUE!</v>
      </c>
      <c r="BG1911" s="21">
        <f t="shared" si="2"/>
        <v>12</v>
      </c>
    </row>
    <row r="1912">
      <c r="P1912" s="161"/>
      <c r="AI1912" s="102"/>
      <c r="AO1912" s="12"/>
      <c r="AP1912" s="12"/>
      <c r="AQ1912" s="12"/>
      <c r="AR1912" s="12"/>
      <c r="AS1912" s="12"/>
      <c r="AT1912" s="12"/>
      <c r="AU1912" s="12"/>
      <c r="AV1912" s="12"/>
      <c r="AW1912" s="12"/>
      <c r="AX1912" s="12"/>
      <c r="AY1912" s="12"/>
      <c r="AZ1912" s="12"/>
      <c r="BA1912" s="12"/>
      <c r="BB1912" s="12"/>
      <c r="BC1912" s="12"/>
      <c r="BD1912" s="12"/>
      <c r="BF1912" s="106" t="str">
        <f t="shared" si="1"/>
        <v>#VALUE!</v>
      </c>
      <c r="BG1912" s="21">
        <f t="shared" si="2"/>
        <v>12</v>
      </c>
    </row>
    <row r="1913">
      <c r="P1913" s="161"/>
      <c r="AI1913" s="102"/>
      <c r="AO1913" s="12"/>
      <c r="AP1913" s="12"/>
      <c r="AQ1913" s="12"/>
      <c r="AR1913" s="12"/>
      <c r="AS1913" s="12"/>
      <c r="AT1913" s="12"/>
      <c r="AU1913" s="12"/>
      <c r="AV1913" s="12"/>
      <c r="AW1913" s="12"/>
      <c r="AX1913" s="12"/>
      <c r="AY1913" s="12"/>
      <c r="AZ1913" s="12"/>
      <c r="BA1913" s="12"/>
      <c r="BB1913" s="12"/>
      <c r="BC1913" s="12"/>
      <c r="BD1913" s="12"/>
      <c r="BF1913" s="106" t="str">
        <f t="shared" si="1"/>
        <v>#VALUE!</v>
      </c>
      <c r="BG1913" s="21">
        <f t="shared" si="2"/>
        <v>12</v>
      </c>
    </row>
    <row r="1914">
      <c r="P1914" s="161"/>
      <c r="AI1914" s="102"/>
      <c r="AO1914" s="12"/>
      <c r="AP1914" s="12"/>
      <c r="AQ1914" s="12"/>
      <c r="AR1914" s="12"/>
      <c r="AS1914" s="12"/>
      <c r="AT1914" s="12"/>
      <c r="AU1914" s="12"/>
      <c r="AV1914" s="12"/>
      <c r="AW1914" s="12"/>
      <c r="AX1914" s="12"/>
      <c r="AY1914" s="12"/>
      <c r="AZ1914" s="12"/>
      <c r="BA1914" s="12"/>
      <c r="BB1914" s="12"/>
      <c r="BC1914" s="12"/>
      <c r="BD1914" s="12"/>
      <c r="BF1914" s="106" t="str">
        <f t="shared" si="1"/>
        <v>#VALUE!</v>
      </c>
      <c r="BG1914" s="21">
        <f t="shared" si="2"/>
        <v>12</v>
      </c>
    </row>
    <row r="1915">
      <c r="P1915" s="161"/>
      <c r="AI1915" s="102"/>
      <c r="AO1915" s="12"/>
      <c r="AP1915" s="12"/>
      <c r="AQ1915" s="12"/>
      <c r="AR1915" s="12"/>
      <c r="AS1915" s="12"/>
      <c r="AT1915" s="12"/>
      <c r="AU1915" s="12"/>
      <c r="AV1915" s="12"/>
      <c r="AW1915" s="12"/>
      <c r="AX1915" s="12"/>
      <c r="AY1915" s="12"/>
      <c r="AZ1915" s="12"/>
      <c r="BA1915" s="12"/>
      <c r="BB1915" s="12"/>
      <c r="BC1915" s="12"/>
      <c r="BD1915" s="12"/>
      <c r="BF1915" s="106" t="str">
        <f t="shared" si="1"/>
        <v>#VALUE!</v>
      </c>
      <c r="BG1915" s="21">
        <f t="shared" si="2"/>
        <v>12</v>
      </c>
    </row>
    <row r="1916">
      <c r="P1916" s="161"/>
      <c r="AI1916" s="102"/>
      <c r="AO1916" s="12"/>
      <c r="AP1916" s="12"/>
      <c r="AQ1916" s="12"/>
      <c r="AR1916" s="12"/>
      <c r="AS1916" s="12"/>
      <c r="AT1916" s="12"/>
      <c r="AU1916" s="12"/>
      <c r="AV1916" s="12"/>
      <c r="AW1916" s="12"/>
      <c r="AX1916" s="12"/>
      <c r="AY1916" s="12"/>
      <c r="AZ1916" s="12"/>
      <c r="BA1916" s="12"/>
      <c r="BB1916" s="12"/>
      <c r="BC1916" s="12"/>
      <c r="BD1916" s="12"/>
      <c r="BF1916" s="106" t="str">
        <f t="shared" si="1"/>
        <v>#VALUE!</v>
      </c>
      <c r="BG1916" s="21">
        <f t="shared" si="2"/>
        <v>12</v>
      </c>
    </row>
    <row r="1917">
      <c r="P1917" s="161"/>
      <c r="AI1917" s="102"/>
      <c r="AO1917" s="12"/>
      <c r="AP1917" s="12"/>
      <c r="AQ1917" s="12"/>
      <c r="AR1917" s="12"/>
      <c r="AS1917" s="12"/>
      <c r="AT1917" s="12"/>
      <c r="AU1917" s="12"/>
      <c r="AV1917" s="12"/>
      <c r="AW1917" s="12"/>
      <c r="AX1917" s="12"/>
      <c r="AY1917" s="12"/>
      <c r="AZ1917" s="12"/>
      <c r="BA1917" s="12"/>
      <c r="BB1917" s="12"/>
      <c r="BC1917" s="12"/>
      <c r="BD1917" s="12"/>
      <c r="BF1917" s="106" t="str">
        <f t="shared" si="1"/>
        <v>#VALUE!</v>
      </c>
      <c r="BG1917" s="21">
        <f t="shared" si="2"/>
        <v>12</v>
      </c>
    </row>
    <row r="1918">
      <c r="P1918" s="161"/>
      <c r="AI1918" s="102"/>
      <c r="AO1918" s="12"/>
      <c r="AP1918" s="12"/>
      <c r="AQ1918" s="12"/>
      <c r="AR1918" s="12"/>
      <c r="AS1918" s="12"/>
      <c r="AT1918" s="12"/>
      <c r="AU1918" s="12"/>
      <c r="AV1918" s="12"/>
      <c r="AW1918" s="12"/>
      <c r="AX1918" s="12"/>
      <c r="AY1918" s="12"/>
      <c r="AZ1918" s="12"/>
      <c r="BA1918" s="12"/>
      <c r="BB1918" s="12"/>
      <c r="BC1918" s="12"/>
      <c r="BD1918" s="12"/>
      <c r="BF1918" s="106" t="str">
        <f t="shared" si="1"/>
        <v>#VALUE!</v>
      </c>
      <c r="BG1918" s="21">
        <f t="shared" si="2"/>
        <v>12</v>
      </c>
    </row>
    <row r="1919">
      <c r="P1919" s="161"/>
      <c r="AI1919" s="102"/>
      <c r="AO1919" s="12"/>
      <c r="AP1919" s="12"/>
      <c r="AQ1919" s="12"/>
      <c r="AR1919" s="12"/>
      <c r="AS1919" s="12"/>
      <c r="AT1919" s="12"/>
      <c r="AU1919" s="12"/>
      <c r="AV1919" s="12"/>
      <c r="AW1919" s="12"/>
      <c r="AX1919" s="12"/>
      <c r="AY1919" s="12"/>
      <c r="AZ1919" s="12"/>
      <c r="BA1919" s="12"/>
      <c r="BB1919" s="12"/>
      <c r="BC1919" s="12"/>
      <c r="BD1919" s="12"/>
      <c r="BF1919" s="106" t="str">
        <f t="shared" si="1"/>
        <v>#VALUE!</v>
      </c>
      <c r="BG1919" s="21">
        <f t="shared" si="2"/>
        <v>12</v>
      </c>
    </row>
    <row r="1920">
      <c r="P1920" s="161"/>
      <c r="AI1920" s="102"/>
      <c r="AO1920" s="12"/>
      <c r="AP1920" s="12"/>
      <c r="AQ1920" s="12"/>
      <c r="AR1920" s="12"/>
      <c r="AS1920" s="12"/>
      <c r="AT1920" s="12"/>
      <c r="AU1920" s="12"/>
      <c r="AV1920" s="12"/>
      <c r="AW1920" s="12"/>
      <c r="AX1920" s="12"/>
      <c r="AY1920" s="12"/>
      <c r="AZ1920" s="12"/>
      <c r="BA1920" s="12"/>
      <c r="BB1920" s="12"/>
      <c r="BC1920" s="12"/>
      <c r="BD1920" s="12"/>
      <c r="BF1920" s="106" t="str">
        <f t="shared" si="1"/>
        <v>#VALUE!</v>
      </c>
      <c r="BG1920" s="21">
        <f t="shared" si="2"/>
        <v>12</v>
      </c>
    </row>
    <row r="1921">
      <c r="P1921" s="161"/>
      <c r="AI1921" s="102"/>
      <c r="AO1921" s="12"/>
      <c r="AP1921" s="12"/>
      <c r="AQ1921" s="12"/>
      <c r="AR1921" s="12"/>
      <c r="AS1921" s="12"/>
      <c r="AT1921" s="12"/>
      <c r="AU1921" s="12"/>
      <c r="AV1921" s="12"/>
      <c r="AW1921" s="12"/>
      <c r="AX1921" s="12"/>
      <c r="AY1921" s="12"/>
      <c r="AZ1921" s="12"/>
      <c r="BA1921" s="12"/>
      <c r="BB1921" s="12"/>
      <c r="BC1921" s="12"/>
      <c r="BD1921" s="12"/>
      <c r="BF1921" s="106" t="str">
        <f t="shared" si="1"/>
        <v>#VALUE!</v>
      </c>
      <c r="BG1921" s="21">
        <f t="shared" si="2"/>
        <v>12</v>
      </c>
    </row>
    <row r="1922">
      <c r="P1922" s="161"/>
      <c r="AI1922" s="102"/>
      <c r="AO1922" s="12"/>
      <c r="AP1922" s="12"/>
      <c r="AQ1922" s="12"/>
      <c r="AR1922" s="12"/>
      <c r="AS1922" s="12"/>
      <c r="AT1922" s="12"/>
      <c r="AU1922" s="12"/>
      <c r="AV1922" s="12"/>
      <c r="AW1922" s="12"/>
      <c r="AX1922" s="12"/>
      <c r="AY1922" s="12"/>
      <c r="AZ1922" s="12"/>
      <c r="BA1922" s="12"/>
      <c r="BB1922" s="12"/>
      <c r="BC1922" s="12"/>
      <c r="BD1922" s="12"/>
      <c r="BF1922" s="106" t="str">
        <f t="shared" si="1"/>
        <v>#VALUE!</v>
      </c>
      <c r="BG1922" s="21">
        <f t="shared" si="2"/>
        <v>12</v>
      </c>
    </row>
    <row r="1923">
      <c r="P1923" s="161"/>
      <c r="AI1923" s="102"/>
      <c r="AO1923" s="12"/>
      <c r="AP1923" s="12"/>
      <c r="AQ1923" s="12"/>
      <c r="AR1923" s="12"/>
      <c r="AS1923" s="12"/>
      <c r="AT1923" s="12"/>
      <c r="AU1923" s="12"/>
      <c r="AV1923" s="12"/>
      <c r="AW1923" s="12"/>
      <c r="AX1923" s="12"/>
      <c r="AY1923" s="12"/>
      <c r="AZ1923" s="12"/>
      <c r="BA1923" s="12"/>
      <c r="BB1923" s="12"/>
      <c r="BC1923" s="12"/>
      <c r="BD1923" s="12"/>
      <c r="BF1923" s="106" t="str">
        <f t="shared" si="1"/>
        <v>#VALUE!</v>
      </c>
      <c r="BG1923" s="21">
        <f t="shared" si="2"/>
        <v>12</v>
      </c>
    </row>
    <row r="1924">
      <c r="P1924" s="161"/>
      <c r="AI1924" s="102"/>
      <c r="AO1924" s="12"/>
      <c r="AP1924" s="12"/>
      <c r="AQ1924" s="12"/>
      <c r="AR1924" s="12"/>
      <c r="AS1924" s="12"/>
      <c r="AT1924" s="12"/>
      <c r="AU1924" s="12"/>
      <c r="AV1924" s="12"/>
      <c r="AW1924" s="12"/>
      <c r="AX1924" s="12"/>
      <c r="AY1924" s="12"/>
      <c r="AZ1924" s="12"/>
      <c r="BA1924" s="12"/>
      <c r="BB1924" s="12"/>
      <c r="BC1924" s="12"/>
      <c r="BD1924" s="12"/>
      <c r="BF1924" s="106" t="str">
        <f t="shared" si="1"/>
        <v>#VALUE!</v>
      </c>
      <c r="BG1924" s="21">
        <f t="shared" si="2"/>
        <v>12</v>
      </c>
    </row>
    <row r="1925">
      <c r="P1925" s="161"/>
      <c r="AI1925" s="102"/>
      <c r="AO1925" s="12"/>
      <c r="AP1925" s="12"/>
      <c r="AQ1925" s="12"/>
      <c r="AR1925" s="12"/>
      <c r="AS1925" s="12"/>
      <c r="AT1925" s="12"/>
      <c r="AU1925" s="12"/>
      <c r="AV1925" s="12"/>
      <c r="AW1925" s="12"/>
      <c r="AX1925" s="12"/>
      <c r="AY1925" s="12"/>
      <c r="AZ1925" s="12"/>
      <c r="BA1925" s="12"/>
      <c r="BB1925" s="12"/>
      <c r="BC1925" s="12"/>
      <c r="BD1925" s="12"/>
      <c r="BF1925" s="106" t="str">
        <f t="shared" si="1"/>
        <v>#VALUE!</v>
      </c>
      <c r="BG1925" s="21">
        <f t="shared" si="2"/>
        <v>12</v>
      </c>
    </row>
    <row r="1926">
      <c r="P1926" s="161"/>
      <c r="AI1926" s="102"/>
      <c r="AO1926" s="12"/>
      <c r="AP1926" s="12"/>
      <c r="AQ1926" s="12"/>
      <c r="AR1926" s="12"/>
      <c r="AS1926" s="12"/>
      <c r="AT1926" s="12"/>
      <c r="AU1926" s="12"/>
      <c r="AV1926" s="12"/>
      <c r="AW1926" s="12"/>
      <c r="AX1926" s="12"/>
      <c r="AY1926" s="12"/>
      <c r="AZ1926" s="12"/>
      <c r="BA1926" s="12"/>
      <c r="BB1926" s="12"/>
      <c r="BC1926" s="12"/>
      <c r="BD1926" s="12"/>
      <c r="BF1926" s="106" t="str">
        <f t="shared" si="1"/>
        <v>#VALUE!</v>
      </c>
      <c r="BG1926" s="21">
        <f t="shared" si="2"/>
        <v>12</v>
      </c>
    </row>
    <row r="1927">
      <c r="P1927" s="161"/>
      <c r="AI1927" s="102"/>
      <c r="AO1927" s="12"/>
      <c r="AP1927" s="12"/>
      <c r="AQ1927" s="12"/>
      <c r="AR1927" s="12"/>
      <c r="AS1927" s="12"/>
      <c r="AT1927" s="12"/>
      <c r="AU1927" s="12"/>
      <c r="AV1927" s="12"/>
      <c r="AW1927" s="12"/>
      <c r="AX1927" s="12"/>
      <c r="AY1927" s="12"/>
      <c r="AZ1927" s="12"/>
      <c r="BA1927" s="12"/>
      <c r="BB1927" s="12"/>
      <c r="BC1927" s="12"/>
      <c r="BD1927" s="12"/>
      <c r="BF1927" s="106" t="str">
        <f t="shared" si="1"/>
        <v>#VALUE!</v>
      </c>
      <c r="BG1927" s="21">
        <f t="shared" si="2"/>
        <v>12</v>
      </c>
    </row>
    <row r="1928">
      <c r="P1928" s="161"/>
      <c r="AI1928" s="102"/>
      <c r="AO1928" s="12"/>
      <c r="AP1928" s="12"/>
      <c r="AQ1928" s="12"/>
      <c r="AR1928" s="12"/>
      <c r="AS1928" s="12"/>
      <c r="AT1928" s="12"/>
      <c r="AU1928" s="12"/>
      <c r="AV1928" s="12"/>
      <c r="AW1928" s="12"/>
      <c r="AX1928" s="12"/>
      <c r="AY1928" s="12"/>
      <c r="AZ1928" s="12"/>
      <c r="BA1928" s="12"/>
      <c r="BB1928" s="12"/>
      <c r="BC1928" s="12"/>
      <c r="BD1928" s="12"/>
      <c r="BF1928" s="106" t="str">
        <f t="shared" si="1"/>
        <v>#VALUE!</v>
      </c>
      <c r="BG1928" s="21">
        <f t="shared" si="2"/>
        <v>12</v>
      </c>
    </row>
    <row r="1929">
      <c r="P1929" s="161"/>
      <c r="AI1929" s="102"/>
      <c r="AO1929" s="12"/>
      <c r="AP1929" s="12"/>
      <c r="AQ1929" s="12"/>
      <c r="AR1929" s="12"/>
      <c r="AS1929" s="12"/>
      <c r="AT1929" s="12"/>
      <c r="AU1929" s="12"/>
      <c r="AV1929" s="12"/>
      <c r="AW1929" s="12"/>
      <c r="AX1929" s="12"/>
      <c r="AY1929" s="12"/>
      <c r="AZ1929" s="12"/>
      <c r="BA1929" s="12"/>
      <c r="BB1929" s="12"/>
      <c r="BC1929" s="12"/>
      <c r="BD1929" s="12"/>
      <c r="BF1929" s="106" t="str">
        <f t="shared" si="1"/>
        <v>#VALUE!</v>
      </c>
      <c r="BG1929" s="21">
        <f t="shared" si="2"/>
        <v>12</v>
      </c>
    </row>
    <row r="1930">
      <c r="P1930" s="161"/>
      <c r="AI1930" s="102"/>
      <c r="AO1930" s="12"/>
      <c r="AP1930" s="12"/>
      <c r="AQ1930" s="12"/>
      <c r="AR1930" s="12"/>
      <c r="AS1930" s="12"/>
      <c r="AT1930" s="12"/>
      <c r="AU1930" s="12"/>
      <c r="AV1930" s="12"/>
      <c r="AW1930" s="12"/>
      <c r="AX1930" s="12"/>
      <c r="AY1930" s="12"/>
      <c r="AZ1930" s="12"/>
      <c r="BA1930" s="12"/>
      <c r="BB1930" s="12"/>
      <c r="BC1930" s="12"/>
      <c r="BD1930" s="12"/>
      <c r="BF1930" s="106" t="str">
        <f t="shared" si="1"/>
        <v>#VALUE!</v>
      </c>
      <c r="BG1930" s="21">
        <f t="shared" si="2"/>
        <v>12</v>
      </c>
    </row>
    <row r="1931">
      <c r="P1931" s="161"/>
      <c r="AI1931" s="102"/>
      <c r="AO1931" s="12"/>
      <c r="AP1931" s="12"/>
      <c r="AQ1931" s="12"/>
      <c r="AR1931" s="12"/>
      <c r="AS1931" s="12"/>
      <c r="AT1931" s="12"/>
      <c r="AU1931" s="12"/>
      <c r="AV1931" s="12"/>
      <c r="AW1931" s="12"/>
      <c r="AX1931" s="12"/>
      <c r="AY1931" s="12"/>
      <c r="AZ1931" s="12"/>
      <c r="BA1931" s="12"/>
      <c r="BB1931" s="12"/>
      <c r="BC1931" s="12"/>
      <c r="BD1931" s="12"/>
      <c r="BF1931" s="106" t="str">
        <f t="shared" si="1"/>
        <v>#VALUE!</v>
      </c>
      <c r="BG1931" s="21">
        <f t="shared" si="2"/>
        <v>12</v>
      </c>
    </row>
    <row r="1932">
      <c r="P1932" s="161"/>
      <c r="AI1932" s="102"/>
      <c r="AO1932" s="12"/>
      <c r="AP1932" s="12"/>
      <c r="AQ1932" s="12"/>
      <c r="AR1932" s="12"/>
      <c r="AS1932" s="12"/>
      <c r="AT1932" s="12"/>
      <c r="AU1932" s="12"/>
      <c r="AV1932" s="12"/>
      <c r="AW1932" s="12"/>
      <c r="AX1932" s="12"/>
      <c r="AY1932" s="12"/>
      <c r="AZ1932" s="12"/>
      <c r="BA1932" s="12"/>
      <c r="BB1932" s="12"/>
      <c r="BC1932" s="12"/>
      <c r="BD1932" s="12"/>
      <c r="BF1932" s="106" t="str">
        <f t="shared" si="1"/>
        <v>#VALUE!</v>
      </c>
      <c r="BG1932" s="21">
        <f t="shared" si="2"/>
        <v>12</v>
      </c>
    </row>
    <row r="1933">
      <c r="P1933" s="161"/>
      <c r="AI1933" s="102"/>
      <c r="AO1933" s="12"/>
      <c r="AP1933" s="12"/>
      <c r="AQ1933" s="12"/>
      <c r="AR1933" s="12"/>
      <c r="AS1933" s="12"/>
      <c r="AT1933" s="12"/>
      <c r="AU1933" s="12"/>
      <c r="AV1933" s="12"/>
      <c r="AW1933" s="12"/>
      <c r="AX1933" s="12"/>
      <c r="AY1933" s="12"/>
      <c r="AZ1933" s="12"/>
      <c r="BA1933" s="12"/>
      <c r="BB1933" s="12"/>
      <c r="BC1933" s="12"/>
      <c r="BD1933" s="12"/>
      <c r="BF1933" s="106" t="str">
        <f t="shared" si="1"/>
        <v>#VALUE!</v>
      </c>
      <c r="BG1933" s="21">
        <f t="shared" si="2"/>
        <v>12</v>
      </c>
    </row>
    <row r="1934">
      <c r="P1934" s="161"/>
      <c r="AI1934" s="102"/>
      <c r="AO1934" s="12"/>
      <c r="AP1934" s="12"/>
      <c r="AQ1934" s="12"/>
      <c r="AR1934" s="12"/>
      <c r="AS1934" s="12"/>
      <c r="AT1934" s="12"/>
      <c r="AU1934" s="12"/>
      <c r="AV1934" s="12"/>
      <c r="AW1934" s="12"/>
      <c r="AX1934" s="12"/>
      <c r="AY1934" s="12"/>
      <c r="AZ1934" s="12"/>
      <c r="BA1934" s="12"/>
      <c r="BB1934" s="12"/>
      <c r="BC1934" s="12"/>
      <c r="BD1934" s="12"/>
      <c r="BF1934" s="106" t="str">
        <f t="shared" si="1"/>
        <v>#VALUE!</v>
      </c>
      <c r="BG1934" s="21">
        <f t="shared" si="2"/>
        <v>12</v>
      </c>
    </row>
    <row r="1935">
      <c r="P1935" s="161"/>
      <c r="AI1935" s="102"/>
      <c r="AO1935" s="12"/>
      <c r="AP1935" s="12"/>
      <c r="AQ1935" s="12"/>
      <c r="AR1935" s="12"/>
      <c r="AS1935" s="12"/>
      <c r="AT1935" s="12"/>
      <c r="AU1935" s="12"/>
      <c r="AV1935" s="12"/>
      <c r="AW1935" s="12"/>
      <c r="AX1935" s="12"/>
      <c r="AY1935" s="12"/>
      <c r="AZ1935" s="12"/>
      <c r="BA1935" s="12"/>
      <c r="BB1935" s="12"/>
      <c r="BC1935" s="12"/>
      <c r="BD1935" s="12"/>
      <c r="BF1935" s="106" t="str">
        <f t="shared" si="1"/>
        <v>#VALUE!</v>
      </c>
      <c r="BG1935" s="21">
        <f t="shared" si="2"/>
        <v>12</v>
      </c>
    </row>
    <row r="1936">
      <c r="P1936" s="161"/>
      <c r="AI1936" s="102"/>
      <c r="AO1936" s="12"/>
      <c r="AP1936" s="12"/>
      <c r="AQ1936" s="12"/>
      <c r="AR1936" s="12"/>
      <c r="AS1936" s="12"/>
      <c r="AT1936" s="12"/>
      <c r="AU1936" s="12"/>
      <c r="AV1936" s="12"/>
      <c r="AW1936" s="12"/>
      <c r="AX1936" s="12"/>
      <c r="AY1936" s="12"/>
      <c r="AZ1936" s="12"/>
      <c r="BA1936" s="12"/>
      <c r="BB1936" s="12"/>
      <c r="BC1936" s="12"/>
      <c r="BD1936" s="12"/>
      <c r="BF1936" s="106" t="str">
        <f t="shared" si="1"/>
        <v>#VALUE!</v>
      </c>
      <c r="BG1936" s="21">
        <f t="shared" si="2"/>
        <v>12</v>
      </c>
    </row>
    <row r="1937">
      <c r="P1937" s="161"/>
      <c r="AI1937" s="102"/>
      <c r="AO1937" s="12"/>
      <c r="AP1937" s="12"/>
      <c r="AQ1937" s="12"/>
      <c r="AR1937" s="12"/>
      <c r="AS1937" s="12"/>
      <c r="AT1937" s="12"/>
      <c r="AU1937" s="12"/>
      <c r="AV1937" s="12"/>
      <c r="AW1937" s="12"/>
      <c r="AX1937" s="12"/>
      <c r="AY1937" s="12"/>
      <c r="AZ1937" s="12"/>
      <c r="BA1937" s="12"/>
      <c r="BB1937" s="12"/>
      <c r="BC1937" s="12"/>
      <c r="BD1937" s="12"/>
      <c r="BF1937" s="106" t="str">
        <f t="shared" si="1"/>
        <v>#VALUE!</v>
      </c>
      <c r="BG1937" s="21">
        <f t="shared" si="2"/>
        <v>12</v>
      </c>
    </row>
    <row r="1938">
      <c r="P1938" s="161"/>
      <c r="AI1938" s="102"/>
      <c r="AO1938" s="12"/>
      <c r="AP1938" s="12"/>
      <c r="AQ1938" s="12"/>
      <c r="AR1938" s="12"/>
      <c r="AS1938" s="12"/>
      <c r="AT1938" s="12"/>
      <c r="AU1938" s="12"/>
      <c r="AV1938" s="12"/>
      <c r="AW1938" s="12"/>
      <c r="AX1938" s="12"/>
      <c r="AY1938" s="12"/>
      <c r="AZ1938" s="12"/>
      <c r="BA1938" s="12"/>
      <c r="BB1938" s="12"/>
      <c r="BC1938" s="12"/>
      <c r="BD1938" s="12"/>
      <c r="BF1938" s="106" t="str">
        <f t="shared" si="1"/>
        <v>#VALUE!</v>
      </c>
      <c r="BG1938" s="21">
        <f t="shared" si="2"/>
        <v>12</v>
      </c>
    </row>
    <row r="1939">
      <c r="P1939" s="161"/>
      <c r="AI1939" s="102"/>
      <c r="AO1939" s="12"/>
      <c r="AP1939" s="12"/>
      <c r="AQ1939" s="12"/>
      <c r="AR1939" s="12"/>
      <c r="AS1939" s="12"/>
      <c r="AT1939" s="12"/>
      <c r="AU1939" s="12"/>
      <c r="AV1939" s="12"/>
      <c r="AW1939" s="12"/>
      <c r="AX1939" s="12"/>
      <c r="AY1939" s="12"/>
      <c r="AZ1939" s="12"/>
      <c r="BA1939" s="12"/>
      <c r="BB1939" s="12"/>
      <c r="BC1939" s="12"/>
      <c r="BD1939" s="12"/>
      <c r="BF1939" s="106" t="str">
        <f t="shared" si="1"/>
        <v>#VALUE!</v>
      </c>
      <c r="BG1939" s="21">
        <f t="shared" si="2"/>
        <v>12</v>
      </c>
    </row>
    <row r="1940">
      <c r="P1940" s="161"/>
      <c r="AI1940" s="102"/>
      <c r="AO1940" s="12"/>
      <c r="AP1940" s="12"/>
      <c r="AQ1940" s="12"/>
      <c r="AR1940" s="12"/>
      <c r="AS1940" s="12"/>
      <c r="AT1940" s="12"/>
      <c r="AU1940" s="12"/>
      <c r="AV1940" s="12"/>
      <c r="AW1940" s="12"/>
      <c r="AX1940" s="12"/>
      <c r="AY1940" s="12"/>
      <c r="AZ1940" s="12"/>
      <c r="BA1940" s="12"/>
      <c r="BB1940" s="12"/>
      <c r="BC1940" s="12"/>
      <c r="BD1940" s="12"/>
      <c r="BF1940" s="106" t="str">
        <f t="shared" si="1"/>
        <v>#VALUE!</v>
      </c>
      <c r="BG1940" s="21">
        <f t="shared" si="2"/>
        <v>12</v>
      </c>
    </row>
    <row r="1941">
      <c r="P1941" s="161"/>
      <c r="AI1941" s="102"/>
      <c r="AO1941" s="12"/>
      <c r="AP1941" s="12"/>
      <c r="AQ1941" s="12"/>
      <c r="AR1941" s="12"/>
      <c r="AS1941" s="12"/>
      <c r="AT1941" s="12"/>
      <c r="AU1941" s="12"/>
      <c r="AV1941" s="12"/>
      <c r="AW1941" s="12"/>
      <c r="AX1941" s="12"/>
      <c r="AY1941" s="12"/>
      <c r="AZ1941" s="12"/>
      <c r="BA1941" s="12"/>
      <c r="BB1941" s="12"/>
      <c r="BC1941" s="12"/>
      <c r="BD1941" s="12"/>
      <c r="BF1941" s="106" t="str">
        <f t="shared" si="1"/>
        <v>#VALUE!</v>
      </c>
      <c r="BG1941" s="21">
        <f t="shared" si="2"/>
        <v>12</v>
      </c>
    </row>
    <row r="1942">
      <c r="P1942" s="161"/>
      <c r="AI1942" s="102"/>
      <c r="AO1942" s="12"/>
      <c r="AP1942" s="12"/>
      <c r="AQ1942" s="12"/>
      <c r="AR1942" s="12"/>
      <c r="AS1942" s="12"/>
      <c r="AT1942" s="12"/>
      <c r="AU1942" s="12"/>
      <c r="AV1942" s="12"/>
      <c r="AW1942" s="12"/>
      <c r="AX1942" s="12"/>
      <c r="AY1942" s="12"/>
      <c r="AZ1942" s="12"/>
      <c r="BA1942" s="12"/>
      <c r="BB1942" s="12"/>
      <c r="BC1942" s="12"/>
      <c r="BD1942" s="12"/>
      <c r="BF1942" s="106" t="str">
        <f t="shared" si="1"/>
        <v>#VALUE!</v>
      </c>
      <c r="BG1942" s="21">
        <f t="shared" si="2"/>
        <v>12</v>
      </c>
    </row>
    <row r="1943">
      <c r="P1943" s="161"/>
      <c r="AI1943" s="102"/>
      <c r="AO1943" s="12"/>
      <c r="AP1943" s="12"/>
      <c r="AQ1943" s="12"/>
      <c r="AR1943" s="12"/>
      <c r="AS1943" s="12"/>
      <c r="AT1943" s="12"/>
      <c r="AU1943" s="12"/>
      <c r="AV1943" s="12"/>
      <c r="AW1943" s="12"/>
      <c r="AX1943" s="12"/>
      <c r="AY1943" s="12"/>
      <c r="AZ1943" s="12"/>
      <c r="BA1943" s="12"/>
      <c r="BB1943" s="12"/>
      <c r="BC1943" s="12"/>
      <c r="BD1943" s="12"/>
      <c r="BF1943" s="106" t="str">
        <f t="shared" si="1"/>
        <v>#VALUE!</v>
      </c>
      <c r="BG1943" s="21">
        <f t="shared" si="2"/>
        <v>12</v>
      </c>
    </row>
    <row r="1944">
      <c r="P1944" s="161"/>
      <c r="AI1944" s="102"/>
      <c r="AO1944" s="12"/>
      <c r="AP1944" s="12"/>
      <c r="AQ1944" s="12"/>
      <c r="AR1944" s="12"/>
      <c r="AS1944" s="12"/>
      <c r="AT1944" s="12"/>
      <c r="AU1944" s="12"/>
      <c r="AV1944" s="12"/>
      <c r="AW1944" s="12"/>
      <c r="AX1944" s="12"/>
      <c r="AY1944" s="12"/>
      <c r="AZ1944" s="12"/>
      <c r="BA1944" s="12"/>
      <c r="BB1944" s="12"/>
      <c r="BC1944" s="12"/>
      <c r="BD1944" s="12"/>
      <c r="BF1944" s="106" t="str">
        <f t="shared" si="1"/>
        <v>#VALUE!</v>
      </c>
      <c r="BG1944" s="21">
        <f t="shared" si="2"/>
        <v>12</v>
      </c>
    </row>
    <row r="1945">
      <c r="P1945" s="161"/>
      <c r="AI1945" s="102"/>
      <c r="AO1945" s="12"/>
      <c r="AP1945" s="12"/>
      <c r="AQ1945" s="12"/>
      <c r="AR1945" s="12"/>
      <c r="AS1945" s="12"/>
      <c r="AT1945" s="12"/>
      <c r="AU1945" s="12"/>
      <c r="AV1945" s="12"/>
      <c r="AW1945" s="12"/>
      <c r="AX1945" s="12"/>
      <c r="AY1945" s="12"/>
      <c r="AZ1945" s="12"/>
      <c r="BA1945" s="12"/>
      <c r="BB1945" s="12"/>
      <c r="BC1945" s="12"/>
      <c r="BD1945" s="12"/>
      <c r="BF1945" s="106" t="str">
        <f t="shared" si="1"/>
        <v>#VALUE!</v>
      </c>
      <c r="BG1945" s="21">
        <f t="shared" si="2"/>
        <v>12</v>
      </c>
    </row>
    <row r="1946">
      <c r="P1946" s="161"/>
      <c r="AI1946" s="102"/>
      <c r="AO1946" s="12"/>
      <c r="AP1946" s="12"/>
      <c r="AQ1946" s="12"/>
      <c r="AR1946" s="12"/>
      <c r="AS1946" s="12"/>
      <c r="AT1946" s="12"/>
      <c r="AU1946" s="12"/>
      <c r="AV1946" s="12"/>
      <c r="AW1946" s="12"/>
      <c r="AX1946" s="12"/>
      <c r="AY1946" s="12"/>
      <c r="AZ1946" s="12"/>
      <c r="BA1946" s="12"/>
      <c r="BB1946" s="12"/>
      <c r="BC1946" s="12"/>
      <c r="BD1946" s="12"/>
      <c r="BF1946" s="106" t="str">
        <f t="shared" si="1"/>
        <v>#VALUE!</v>
      </c>
      <c r="BG1946" s="21">
        <f t="shared" si="2"/>
        <v>12</v>
      </c>
    </row>
    <row r="1947">
      <c r="P1947" s="161"/>
      <c r="AI1947" s="102"/>
      <c r="AO1947" s="12"/>
      <c r="AP1947" s="12"/>
      <c r="AQ1947" s="12"/>
      <c r="AR1947" s="12"/>
      <c r="AS1947" s="12"/>
      <c r="AT1947" s="12"/>
      <c r="AU1947" s="12"/>
      <c r="AV1947" s="12"/>
      <c r="AW1947" s="12"/>
      <c r="AX1947" s="12"/>
      <c r="AY1947" s="12"/>
      <c r="AZ1947" s="12"/>
      <c r="BA1947" s="12"/>
      <c r="BB1947" s="12"/>
      <c r="BC1947" s="12"/>
      <c r="BD1947" s="12"/>
      <c r="BF1947" s="106" t="str">
        <f t="shared" si="1"/>
        <v>#VALUE!</v>
      </c>
      <c r="BG1947" s="21">
        <f t="shared" si="2"/>
        <v>12</v>
      </c>
    </row>
    <row r="1948">
      <c r="P1948" s="161"/>
      <c r="AI1948" s="102"/>
      <c r="AO1948" s="12"/>
      <c r="AP1948" s="12"/>
      <c r="AQ1948" s="12"/>
      <c r="AR1948" s="12"/>
      <c r="AS1948" s="12"/>
      <c r="AT1948" s="12"/>
      <c r="AU1948" s="12"/>
      <c r="AV1948" s="12"/>
      <c r="AW1948" s="12"/>
      <c r="AX1948" s="12"/>
      <c r="AY1948" s="12"/>
      <c r="AZ1948" s="12"/>
      <c r="BA1948" s="12"/>
      <c r="BB1948" s="12"/>
      <c r="BC1948" s="12"/>
      <c r="BD1948" s="12"/>
      <c r="BF1948" s="106" t="str">
        <f t="shared" si="1"/>
        <v>#VALUE!</v>
      </c>
      <c r="BG1948" s="21">
        <f t="shared" si="2"/>
        <v>12</v>
      </c>
    </row>
    <row r="1949">
      <c r="P1949" s="161"/>
      <c r="AI1949" s="102"/>
      <c r="AO1949" s="12"/>
      <c r="AP1949" s="12"/>
      <c r="AQ1949" s="12"/>
      <c r="AR1949" s="12"/>
      <c r="AS1949" s="12"/>
      <c r="AT1949" s="12"/>
      <c r="AU1949" s="12"/>
      <c r="AV1949" s="12"/>
      <c r="AW1949" s="12"/>
      <c r="AX1949" s="12"/>
      <c r="AY1949" s="12"/>
      <c r="AZ1949" s="12"/>
      <c r="BA1949" s="12"/>
      <c r="BB1949" s="12"/>
      <c r="BC1949" s="12"/>
      <c r="BD1949" s="12"/>
      <c r="BF1949" s="106" t="str">
        <f t="shared" si="1"/>
        <v>#VALUE!</v>
      </c>
      <c r="BG1949" s="21">
        <f t="shared" si="2"/>
        <v>12</v>
      </c>
    </row>
    <row r="1950">
      <c r="P1950" s="161"/>
      <c r="AI1950" s="102"/>
      <c r="AO1950" s="12"/>
      <c r="AP1950" s="12"/>
      <c r="AQ1950" s="12"/>
      <c r="AR1950" s="12"/>
      <c r="AS1950" s="12"/>
      <c r="AT1950" s="12"/>
      <c r="AU1950" s="12"/>
      <c r="AV1950" s="12"/>
      <c r="AW1950" s="12"/>
      <c r="AX1950" s="12"/>
      <c r="AY1950" s="12"/>
      <c r="AZ1950" s="12"/>
      <c r="BA1950" s="12"/>
      <c r="BB1950" s="12"/>
      <c r="BC1950" s="12"/>
      <c r="BD1950" s="12"/>
      <c r="BF1950" s="106" t="str">
        <f t="shared" si="1"/>
        <v>#VALUE!</v>
      </c>
      <c r="BG1950" s="21">
        <f t="shared" si="2"/>
        <v>12</v>
      </c>
    </row>
    <row r="1951">
      <c r="P1951" s="161"/>
      <c r="AI1951" s="102"/>
      <c r="AO1951" s="12"/>
      <c r="AP1951" s="12"/>
      <c r="AQ1951" s="12"/>
      <c r="AR1951" s="12"/>
      <c r="AS1951" s="12"/>
      <c r="AT1951" s="12"/>
      <c r="AU1951" s="12"/>
      <c r="AV1951" s="12"/>
      <c r="AW1951" s="12"/>
      <c r="AX1951" s="12"/>
      <c r="AY1951" s="12"/>
      <c r="AZ1951" s="12"/>
      <c r="BA1951" s="12"/>
      <c r="BB1951" s="12"/>
      <c r="BC1951" s="12"/>
      <c r="BD1951" s="12"/>
      <c r="BF1951" s="106" t="str">
        <f t="shared" si="1"/>
        <v>#VALUE!</v>
      </c>
      <c r="BG1951" s="21">
        <f t="shared" si="2"/>
        <v>12</v>
      </c>
    </row>
    <row r="1952">
      <c r="P1952" s="161"/>
      <c r="AI1952" s="102"/>
      <c r="AO1952" s="12"/>
      <c r="AP1952" s="12"/>
      <c r="AQ1952" s="12"/>
      <c r="AR1952" s="12"/>
      <c r="AS1952" s="12"/>
      <c r="AT1952" s="12"/>
      <c r="AU1952" s="12"/>
      <c r="AV1952" s="12"/>
      <c r="AW1952" s="12"/>
      <c r="AX1952" s="12"/>
      <c r="AY1952" s="12"/>
      <c r="AZ1952" s="12"/>
      <c r="BA1952" s="12"/>
      <c r="BB1952" s="12"/>
      <c r="BC1952" s="12"/>
      <c r="BD1952" s="12"/>
      <c r="BF1952" s="106" t="str">
        <f t="shared" si="1"/>
        <v>#VALUE!</v>
      </c>
      <c r="BG1952" s="21">
        <f t="shared" si="2"/>
        <v>12</v>
      </c>
    </row>
    <row r="1953">
      <c r="P1953" s="161"/>
      <c r="AI1953" s="102"/>
      <c r="AO1953" s="12"/>
      <c r="AP1953" s="12"/>
      <c r="AQ1953" s="12"/>
      <c r="AR1953" s="12"/>
      <c r="AS1953" s="12"/>
      <c r="AT1953" s="12"/>
      <c r="AU1953" s="12"/>
      <c r="AV1953" s="12"/>
      <c r="AW1953" s="12"/>
      <c r="AX1953" s="12"/>
      <c r="AY1953" s="12"/>
      <c r="AZ1953" s="12"/>
      <c r="BA1953" s="12"/>
      <c r="BB1953" s="12"/>
      <c r="BC1953" s="12"/>
      <c r="BD1953" s="12"/>
      <c r="BF1953" s="106" t="str">
        <f t="shared" si="1"/>
        <v>#VALUE!</v>
      </c>
      <c r="BG1953" s="21">
        <f t="shared" si="2"/>
        <v>12</v>
      </c>
    </row>
    <row r="1954">
      <c r="P1954" s="161"/>
      <c r="AI1954" s="102"/>
      <c r="AO1954" s="12"/>
      <c r="AP1954" s="12"/>
      <c r="AQ1954" s="12"/>
      <c r="AR1954" s="12"/>
      <c r="AS1954" s="12"/>
      <c r="AT1954" s="12"/>
      <c r="AU1954" s="12"/>
      <c r="AV1954" s="12"/>
      <c r="AW1954" s="12"/>
      <c r="AX1954" s="12"/>
      <c r="AY1954" s="12"/>
      <c r="AZ1954" s="12"/>
      <c r="BA1954" s="12"/>
      <c r="BB1954" s="12"/>
      <c r="BC1954" s="12"/>
      <c r="BD1954" s="12"/>
      <c r="BF1954" s="106" t="str">
        <f t="shared" si="1"/>
        <v>#VALUE!</v>
      </c>
      <c r="BG1954" s="21">
        <f t="shared" si="2"/>
        <v>12</v>
      </c>
    </row>
    <row r="1955">
      <c r="P1955" s="161"/>
      <c r="AI1955" s="102"/>
      <c r="AO1955" s="12"/>
      <c r="AP1955" s="12"/>
      <c r="AQ1955" s="12"/>
      <c r="AR1955" s="12"/>
      <c r="AS1955" s="12"/>
      <c r="AT1955" s="12"/>
      <c r="AU1955" s="12"/>
      <c r="AV1955" s="12"/>
      <c r="AW1955" s="12"/>
      <c r="AX1955" s="12"/>
      <c r="AY1955" s="12"/>
      <c r="AZ1955" s="12"/>
      <c r="BA1955" s="12"/>
      <c r="BB1955" s="12"/>
      <c r="BC1955" s="12"/>
      <c r="BD1955" s="12"/>
      <c r="BF1955" s="106" t="str">
        <f t="shared" si="1"/>
        <v>#VALUE!</v>
      </c>
      <c r="BG1955" s="21">
        <f t="shared" si="2"/>
        <v>12</v>
      </c>
    </row>
    <row r="1956">
      <c r="P1956" s="161"/>
      <c r="AI1956" s="102"/>
      <c r="AO1956" s="12"/>
      <c r="AP1956" s="12"/>
      <c r="AQ1956" s="12"/>
      <c r="AR1956" s="12"/>
      <c r="AS1956" s="12"/>
      <c r="AT1956" s="12"/>
      <c r="AU1956" s="12"/>
      <c r="AV1956" s="12"/>
      <c r="AW1956" s="12"/>
      <c r="AX1956" s="12"/>
      <c r="AY1956" s="12"/>
      <c r="AZ1956" s="12"/>
      <c r="BA1956" s="12"/>
      <c r="BB1956" s="12"/>
      <c r="BC1956" s="12"/>
      <c r="BD1956" s="12"/>
      <c r="BF1956" s="106" t="str">
        <f t="shared" si="1"/>
        <v>#VALUE!</v>
      </c>
      <c r="BG1956" s="21">
        <f t="shared" si="2"/>
        <v>12</v>
      </c>
    </row>
    <row r="1957">
      <c r="P1957" s="161"/>
      <c r="AI1957" s="102"/>
      <c r="AO1957" s="12"/>
      <c r="AP1957" s="12"/>
      <c r="AQ1957" s="12"/>
      <c r="AR1957" s="12"/>
      <c r="AS1957" s="12"/>
      <c r="AT1957" s="12"/>
      <c r="AU1957" s="12"/>
      <c r="AV1957" s="12"/>
      <c r="AW1957" s="12"/>
      <c r="AX1957" s="12"/>
      <c r="AY1957" s="12"/>
      <c r="AZ1957" s="12"/>
      <c r="BA1957" s="12"/>
      <c r="BB1957" s="12"/>
      <c r="BC1957" s="12"/>
      <c r="BD1957" s="12"/>
      <c r="BF1957" s="106" t="str">
        <f t="shared" si="1"/>
        <v>#VALUE!</v>
      </c>
      <c r="BG1957" s="21">
        <f t="shared" si="2"/>
        <v>12</v>
      </c>
    </row>
    <row r="1958">
      <c r="P1958" s="161"/>
      <c r="AI1958" s="102"/>
      <c r="AO1958" s="12"/>
      <c r="AP1958" s="12"/>
      <c r="AQ1958" s="12"/>
      <c r="AR1958" s="12"/>
      <c r="AS1958" s="12"/>
      <c r="AT1958" s="12"/>
      <c r="AU1958" s="12"/>
      <c r="AV1958" s="12"/>
      <c r="AW1958" s="12"/>
      <c r="AX1958" s="12"/>
      <c r="AY1958" s="12"/>
      <c r="AZ1958" s="12"/>
      <c r="BA1958" s="12"/>
      <c r="BB1958" s="12"/>
      <c r="BC1958" s="12"/>
      <c r="BD1958" s="12"/>
      <c r="BF1958" s="106" t="str">
        <f t="shared" si="1"/>
        <v>#VALUE!</v>
      </c>
      <c r="BG1958" s="21">
        <f t="shared" si="2"/>
        <v>12</v>
      </c>
    </row>
    <row r="1959">
      <c r="P1959" s="161"/>
      <c r="AI1959" s="102"/>
      <c r="AO1959" s="12"/>
      <c r="AP1959" s="12"/>
      <c r="AQ1959" s="12"/>
      <c r="AR1959" s="12"/>
      <c r="AS1959" s="12"/>
      <c r="AT1959" s="12"/>
      <c r="AU1959" s="12"/>
      <c r="AV1959" s="12"/>
      <c r="AW1959" s="12"/>
      <c r="AX1959" s="12"/>
      <c r="AY1959" s="12"/>
      <c r="AZ1959" s="12"/>
      <c r="BA1959" s="12"/>
      <c r="BB1959" s="12"/>
      <c r="BC1959" s="12"/>
      <c r="BD1959" s="12"/>
      <c r="BF1959" s="106" t="str">
        <f t="shared" si="1"/>
        <v>#VALUE!</v>
      </c>
      <c r="BG1959" s="21">
        <f t="shared" si="2"/>
        <v>12</v>
      </c>
    </row>
    <row r="1960">
      <c r="P1960" s="161"/>
      <c r="AI1960" s="102"/>
      <c r="AO1960" s="12"/>
      <c r="AP1960" s="12"/>
      <c r="AQ1960" s="12"/>
      <c r="AR1960" s="12"/>
      <c r="AS1960" s="12"/>
      <c r="AT1960" s="12"/>
      <c r="AU1960" s="12"/>
      <c r="AV1960" s="12"/>
      <c r="AW1960" s="12"/>
      <c r="AX1960" s="12"/>
      <c r="AY1960" s="12"/>
      <c r="AZ1960" s="12"/>
      <c r="BA1960" s="12"/>
      <c r="BB1960" s="12"/>
      <c r="BC1960" s="12"/>
      <c r="BD1960" s="12"/>
      <c r="BF1960" s="106" t="str">
        <f t="shared" si="1"/>
        <v>#VALUE!</v>
      </c>
      <c r="BG1960" s="21">
        <f t="shared" si="2"/>
        <v>12</v>
      </c>
    </row>
    <row r="1961">
      <c r="P1961" s="161"/>
      <c r="AI1961" s="102"/>
      <c r="AO1961" s="12"/>
      <c r="AP1961" s="12"/>
      <c r="AQ1961" s="12"/>
      <c r="AR1961" s="12"/>
      <c r="AS1961" s="12"/>
      <c r="AT1961" s="12"/>
      <c r="AU1961" s="12"/>
      <c r="AV1961" s="12"/>
      <c r="AW1961" s="12"/>
      <c r="AX1961" s="12"/>
      <c r="AY1961" s="12"/>
      <c r="AZ1961" s="12"/>
      <c r="BA1961" s="12"/>
      <c r="BB1961" s="12"/>
      <c r="BC1961" s="12"/>
      <c r="BD1961" s="12"/>
      <c r="BF1961" s="106" t="str">
        <f t="shared" si="1"/>
        <v>#VALUE!</v>
      </c>
      <c r="BG1961" s="21">
        <f t="shared" si="2"/>
        <v>12</v>
      </c>
    </row>
    <row r="1962">
      <c r="P1962" s="161"/>
      <c r="AI1962" s="102"/>
      <c r="AO1962" s="12"/>
      <c r="AP1962" s="12"/>
      <c r="AQ1962" s="12"/>
      <c r="AR1962" s="12"/>
      <c r="AS1962" s="12"/>
      <c r="AT1962" s="12"/>
      <c r="AU1962" s="12"/>
      <c r="AV1962" s="12"/>
      <c r="AW1962" s="12"/>
      <c r="AX1962" s="12"/>
      <c r="AY1962" s="12"/>
      <c r="AZ1962" s="12"/>
      <c r="BA1962" s="12"/>
      <c r="BB1962" s="12"/>
      <c r="BC1962" s="12"/>
      <c r="BD1962" s="12"/>
      <c r="BF1962" s="106" t="str">
        <f t="shared" si="1"/>
        <v>#VALUE!</v>
      </c>
      <c r="BG1962" s="21">
        <f t="shared" si="2"/>
        <v>12</v>
      </c>
    </row>
    <row r="1963">
      <c r="P1963" s="161"/>
      <c r="AI1963" s="102"/>
      <c r="AO1963" s="12"/>
      <c r="AP1963" s="12"/>
      <c r="AQ1963" s="12"/>
      <c r="AR1963" s="12"/>
      <c r="AS1963" s="12"/>
      <c r="AT1963" s="12"/>
      <c r="AU1963" s="12"/>
      <c r="AV1963" s="12"/>
      <c r="AW1963" s="12"/>
      <c r="AX1963" s="12"/>
      <c r="AY1963" s="12"/>
      <c r="AZ1963" s="12"/>
      <c r="BA1963" s="12"/>
      <c r="BB1963" s="12"/>
      <c r="BC1963" s="12"/>
      <c r="BD1963" s="12"/>
      <c r="BF1963" s="106" t="str">
        <f t="shared" si="1"/>
        <v>#VALUE!</v>
      </c>
      <c r="BG1963" s="21">
        <f t="shared" si="2"/>
        <v>12</v>
      </c>
    </row>
    <row r="1964">
      <c r="P1964" s="161"/>
      <c r="AI1964" s="102"/>
      <c r="AO1964" s="12"/>
      <c r="AP1964" s="12"/>
      <c r="AQ1964" s="12"/>
      <c r="AR1964" s="12"/>
      <c r="AS1964" s="12"/>
      <c r="AT1964" s="12"/>
      <c r="AU1964" s="12"/>
      <c r="AV1964" s="12"/>
      <c r="AW1964" s="12"/>
      <c r="AX1964" s="12"/>
      <c r="AY1964" s="12"/>
      <c r="AZ1964" s="12"/>
      <c r="BA1964" s="12"/>
      <c r="BB1964" s="12"/>
      <c r="BC1964" s="12"/>
      <c r="BD1964" s="12"/>
      <c r="BF1964" s="106" t="str">
        <f t="shared" si="1"/>
        <v>#VALUE!</v>
      </c>
      <c r="BG1964" s="21">
        <f t="shared" si="2"/>
        <v>12</v>
      </c>
    </row>
    <row r="1965">
      <c r="P1965" s="161"/>
      <c r="AI1965" s="102"/>
      <c r="AO1965" s="12"/>
      <c r="AP1965" s="12"/>
      <c r="AQ1965" s="12"/>
      <c r="AR1965" s="12"/>
      <c r="AS1965" s="12"/>
      <c r="AT1965" s="12"/>
      <c r="AU1965" s="12"/>
      <c r="AV1965" s="12"/>
      <c r="AW1965" s="12"/>
      <c r="AX1965" s="12"/>
      <c r="AY1965" s="12"/>
      <c r="AZ1965" s="12"/>
      <c r="BA1965" s="12"/>
      <c r="BB1965" s="12"/>
      <c r="BC1965" s="12"/>
      <c r="BD1965" s="12"/>
      <c r="BF1965" s="106" t="str">
        <f t="shared" si="1"/>
        <v>#VALUE!</v>
      </c>
      <c r="BG1965" s="21">
        <f t="shared" si="2"/>
        <v>12</v>
      </c>
    </row>
    <row r="1966">
      <c r="P1966" s="161"/>
      <c r="AI1966" s="102"/>
      <c r="AO1966" s="12"/>
      <c r="AP1966" s="12"/>
      <c r="AQ1966" s="12"/>
      <c r="AR1966" s="12"/>
      <c r="AS1966" s="12"/>
      <c r="AT1966" s="12"/>
      <c r="AU1966" s="12"/>
      <c r="AV1966" s="12"/>
      <c r="AW1966" s="12"/>
      <c r="AX1966" s="12"/>
      <c r="AY1966" s="12"/>
      <c r="AZ1966" s="12"/>
      <c r="BA1966" s="12"/>
      <c r="BB1966" s="12"/>
      <c r="BC1966" s="12"/>
      <c r="BD1966" s="12"/>
      <c r="BF1966" s="106" t="str">
        <f t="shared" si="1"/>
        <v>#VALUE!</v>
      </c>
      <c r="BG1966" s="21">
        <f t="shared" si="2"/>
        <v>12</v>
      </c>
    </row>
    <row r="1967">
      <c r="P1967" s="161"/>
      <c r="AI1967" s="102"/>
      <c r="AO1967" s="12"/>
      <c r="AP1967" s="12"/>
      <c r="AQ1967" s="12"/>
      <c r="AR1967" s="12"/>
      <c r="AS1967" s="12"/>
      <c r="AT1967" s="12"/>
      <c r="AU1967" s="12"/>
      <c r="AV1967" s="12"/>
      <c r="AW1967" s="12"/>
      <c r="AX1967" s="12"/>
      <c r="AY1967" s="12"/>
      <c r="AZ1967" s="12"/>
      <c r="BA1967" s="12"/>
      <c r="BB1967" s="12"/>
      <c r="BC1967" s="12"/>
      <c r="BD1967" s="12"/>
      <c r="BF1967" s="106" t="str">
        <f t="shared" si="1"/>
        <v>#VALUE!</v>
      </c>
      <c r="BG1967" s="21">
        <f t="shared" si="2"/>
        <v>12</v>
      </c>
    </row>
    <row r="1968">
      <c r="P1968" s="161"/>
      <c r="AI1968" s="102"/>
      <c r="AO1968" s="12"/>
      <c r="AP1968" s="12"/>
      <c r="AQ1968" s="12"/>
      <c r="AR1968" s="12"/>
      <c r="AS1968" s="12"/>
      <c r="AT1968" s="12"/>
      <c r="AU1968" s="12"/>
      <c r="AV1968" s="12"/>
      <c r="AW1968" s="12"/>
      <c r="AX1968" s="12"/>
      <c r="AY1968" s="12"/>
      <c r="AZ1968" s="12"/>
      <c r="BA1968" s="12"/>
      <c r="BB1968" s="12"/>
      <c r="BC1968" s="12"/>
      <c r="BD1968" s="12"/>
      <c r="BF1968" s="106" t="str">
        <f t="shared" si="1"/>
        <v>#VALUE!</v>
      </c>
      <c r="BG1968" s="21">
        <f t="shared" si="2"/>
        <v>12</v>
      </c>
    </row>
    <row r="1969">
      <c r="P1969" s="161"/>
      <c r="AI1969" s="102"/>
      <c r="AO1969" s="12"/>
      <c r="AP1969" s="12"/>
      <c r="AQ1969" s="12"/>
      <c r="AR1969" s="12"/>
      <c r="AS1969" s="12"/>
      <c r="AT1969" s="12"/>
      <c r="AU1969" s="12"/>
      <c r="AV1969" s="12"/>
      <c r="AW1969" s="12"/>
      <c r="AX1969" s="12"/>
      <c r="AY1969" s="12"/>
      <c r="AZ1969" s="12"/>
      <c r="BA1969" s="12"/>
      <c r="BB1969" s="12"/>
      <c r="BC1969" s="12"/>
      <c r="BD1969" s="12"/>
      <c r="BF1969" s="106" t="str">
        <f t="shared" si="1"/>
        <v>#VALUE!</v>
      </c>
      <c r="BG1969" s="21">
        <f t="shared" si="2"/>
        <v>12</v>
      </c>
    </row>
    <row r="1970">
      <c r="P1970" s="161"/>
      <c r="AI1970" s="102"/>
      <c r="AO1970" s="12"/>
      <c r="AP1970" s="12"/>
      <c r="AQ1970" s="12"/>
      <c r="AR1970" s="12"/>
      <c r="AS1970" s="12"/>
      <c r="AT1970" s="12"/>
      <c r="AU1970" s="12"/>
      <c r="AV1970" s="12"/>
      <c r="AW1970" s="12"/>
      <c r="AX1970" s="12"/>
      <c r="AY1970" s="12"/>
      <c r="AZ1970" s="12"/>
      <c r="BA1970" s="12"/>
      <c r="BB1970" s="12"/>
      <c r="BC1970" s="12"/>
      <c r="BD1970" s="12"/>
      <c r="BF1970" s="106" t="str">
        <f t="shared" si="1"/>
        <v>#VALUE!</v>
      </c>
      <c r="BG1970" s="21">
        <f t="shared" si="2"/>
        <v>12</v>
      </c>
    </row>
    <row r="1971">
      <c r="P1971" s="161"/>
      <c r="AI1971" s="102"/>
      <c r="AO1971" s="12"/>
      <c r="AP1971" s="12"/>
      <c r="AQ1971" s="12"/>
      <c r="AR1971" s="12"/>
      <c r="AS1971" s="12"/>
      <c r="AT1971" s="12"/>
      <c r="AU1971" s="12"/>
      <c r="AV1971" s="12"/>
      <c r="AW1971" s="12"/>
      <c r="AX1971" s="12"/>
      <c r="AY1971" s="12"/>
      <c r="AZ1971" s="12"/>
      <c r="BA1971" s="12"/>
      <c r="BB1971" s="12"/>
      <c r="BC1971" s="12"/>
      <c r="BD1971" s="12"/>
      <c r="BF1971" s="106" t="str">
        <f t="shared" si="1"/>
        <v>#VALUE!</v>
      </c>
      <c r="BG1971" s="21">
        <f t="shared" si="2"/>
        <v>12</v>
      </c>
    </row>
    <row r="1972">
      <c r="P1972" s="161"/>
      <c r="AI1972" s="102"/>
      <c r="AO1972" s="12"/>
      <c r="AP1972" s="12"/>
      <c r="AQ1972" s="12"/>
      <c r="AR1972" s="12"/>
      <c r="AS1972" s="12"/>
      <c r="AT1972" s="12"/>
      <c r="AU1972" s="12"/>
      <c r="AV1972" s="12"/>
      <c r="AW1972" s="12"/>
      <c r="AX1972" s="12"/>
      <c r="AY1972" s="12"/>
      <c r="AZ1972" s="12"/>
      <c r="BA1972" s="12"/>
      <c r="BB1972" s="12"/>
      <c r="BC1972" s="12"/>
      <c r="BD1972" s="12"/>
      <c r="BF1972" s="106" t="str">
        <f t="shared" si="1"/>
        <v>#VALUE!</v>
      </c>
      <c r="BG1972" s="21">
        <f t="shared" si="2"/>
        <v>12</v>
      </c>
    </row>
    <row r="1973">
      <c r="P1973" s="161"/>
      <c r="AI1973" s="102"/>
      <c r="AO1973" s="12"/>
      <c r="AP1973" s="12"/>
      <c r="AQ1973" s="12"/>
      <c r="AR1973" s="12"/>
      <c r="AS1973" s="12"/>
      <c r="AT1973" s="12"/>
      <c r="AU1973" s="12"/>
      <c r="AV1973" s="12"/>
      <c r="AW1973" s="12"/>
      <c r="AX1973" s="12"/>
      <c r="AY1973" s="12"/>
      <c r="AZ1973" s="12"/>
      <c r="BA1973" s="12"/>
      <c r="BB1973" s="12"/>
      <c r="BC1973" s="12"/>
      <c r="BD1973" s="12"/>
      <c r="BF1973" s="106" t="str">
        <f t="shared" si="1"/>
        <v>#VALUE!</v>
      </c>
      <c r="BG1973" s="21">
        <f t="shared" si="2"/>
        <v>12</v>
      </c>
    </row>
    <row r="1974">
      <c r="P1974" s="161"/>
      <c r="AI1974" s="102"/>
      <c r="AO1974" s="12"/>
      <c r="AP1974" s="12"/>
      <c r="AQ1974" s="12"/>
      <c r="AR1974" s="12"/>
      <c r="AS1974" s="12"/>
      <c r="AT1974" s="12"/>
      <c r="AU1974" s="12"/>
      <c r="AV1974" s="12"/>
      <c r="AW1974" s="12"/>
      <c r="AX1974" s="12"/>
      <c r="AY1974" s="12"/>
      <c r="AZ1974" s="12"/>
      <c r="BA1974" s="12"/>
      <c r="BB1974" s="12"/>
      <c r="BC1974" s="12"/>
      <c r="BD1974" s="12"/>
      <c r="BF1974" s="106" t="str">
        <f t="shared" si="1"/>
        <v>#VALUE!</v>
      </c>
      <c r="BG1974" s="21">
        <f t="shared" si="2"/>
        <v>12</v>
      </c>
    </row>
    <row r="1975">
      <c r="P1975" s="161"/>
      <c r="AI1975" s="102"/>
      <c r="AO1975" s="12"/>
      <c r="AP1975" s="12"/>
      <c r="AQ1975" s="12"/>
      <c r="AR1975" s="12"/>
      <c r="AS1975" s="12"/>
      <c r="AT1975" s="12"/>
      <c r="AU1975" s="12"/>
      <c r="AV1975" s="12"/>
      <c r="AW1975" s="12"/>
      <c r="AX1975" s="12"/>
      <c r="AY1975" s="12"/>
      <c r="AZ1975" s="12"/>
      <c r="BA1975" s="12"/>
      <c r="BB1975" s="12"/>
      <c r="BC1975" s="12"/>
      <c r="BD1975" s="12"/>
      <c r="BF1975" s="106" t="str">
        <f t="shared" si="1"/>
        <v>#VALUE!</v>
      </c>
      <c r="BG1975" s="21">
        <f t="shared" si="2"/>
        <v>12</v>
      </c>
    </row>
    <row r="1976">
      <c r="P1976" s="161"/>
      <c r="AI1976" s="102"/>
      <c r="AO1976" s="12"/>
      <c r="AP1976" s="12"/>
      <c r="AQ1976" s="12"/>
      <c r="AR1976" s="12"/>
      <c r="AS1976" s="12"/>
      <c r="AT1976" s="12"/>
      <c r="AU1976" s="12"/>
      <c r="AV1976" s="12"/>
      <c r="AW1976" s="12"/>
      <c r="AX1976" s="12"/>
      <c r="AY1976" s="12"/>
      <c r="AZ1976" s="12"/>
      <c r="BA1976" s="12"/>
      <c r="BB1976" s="12"/>
      <c r="BC1976" s="12"/>
      <c r="BD1976" s="12"/>
      <c r="BF1976" s="106" t="str">
        <f t="shared" si="1"/>
        <v>#VALUE!</v>
      </c>
      <c r="BG1976" s="21">
        <f t="shared" si="2"/>
        <v>12</v>
      </c>
    </row>
    <row r="1977">
      <c r="P1977" s="161"/>
      <c r="AI1977" s="102"/>
      <c r="AO1977" s="12"/>
      <c r="AP1977" s="12"/>
      <c r="AQ1977" s="12"/>
      <c r="AR1977" s="12"/>
      <c r="AS1977" s="12"/>
      <c r="AT1977" s="12"/>
      <c r="AU1977" s="12"/>
      <c r="AV1977" s="12"/>
      <c r="AW1977" s="12"/>
      <c r="AX1977" s="12"/>
      <c r="AY1977" s="12"/>
      <c r="AZ1977" s="12"/>
      <c r="BA1977" s="12"/>
      <c r="BB1977" s="12"/>
      <c r="BC1977" s="12"/>
      <c r="BD1977" s="12"/>
      <c r="BF1977" s="106" t="str">
        <f t="shared" si="1"/>
        <v>#VALUE!</v>
      </c>
      <c r="BG1977" s="21">
        <f t="shared" si="2"/>
        <v>12</v>
      </c>
    </row>
    <row r="1978">
      <c r="P1978" s="161"/>
      <c r="AI1978" s="102"/>
      <c r="AO1978" s="12"/>
      <c r="AP1978" s="12"/>
      <c r="AQ1978" s="12"/>
      <c r="AR1978" s="12"/>
      <c r="AS1978" s="12"/>
      <c r="AT1978" s="12"/>
      <c r="AU1978" s="12"/>
      <c r="AV1978" s="12"/>
      <c r="AW1978" s="12"/>
      <c r="AX1978" s="12"/>
      <c r="AY1978" s="12"/>
      <c r="AZ1978" s="12"/>
      <c r="BA1978" s="12"/>
      <c r="BB1978" s="12"/>
      <c r="BC1978" s="12"/>
      <c r="BD1978" s="12"/>
      <c r="BF1978" s="106" t="str">
        <f t="shared" si="1"/>
        <v>#VALUE!</v>
      </c>
      <c r="BG1978" s="21">
        <f t="shared" si="2"/>
        <v>12</v>
      </c>
    </row>
    <row r="1979">
      <c r="P1979" s="161"/>
      <c r="AI1979" s="102"/>
      <c r="AO1979" s="12"/>
      <c r="AP1979" s="12"/>
      <c r="AQ1979" s="12"/>
      <c r="AR1979" s="12"/>
      <c r="AS1979" s="12"/>
      <c r="AT1979" s="12"/>
      <c r="AU1979" s="12"/>
      <c r="AV1979" s="12"/>
      <c r="AW1979" s="12"/>
      <c r="AX1979" s="12"/>
      <c r="AY1979" s="12"/>
      <c r="AZ1979" s="12"/>
      <c r="BA1979" s="12"/>
      <c r="BB1979" s="12"/>
      <c r="BC1979" s="12"/>
      <c r="BD1979" s="12"/>
      <c r="BF1979" s="106" t="str">
        <f t="shared" si="1"/>
        <v>#VALUE!</v>
      </c>
      <c r="BG1979" s="21">
        <f t="shared" si="2"/>
        <v>12</v>
      </c>
    </row>
    <row r="1980">
      <c r="P1980" s="161"/>
      <c r="AI1980" s="102"/>
      <c r="AO1980" s="12"/>
      <c r="AP1980" s="12"/>
      <c r="AQ1980" s="12"/>
      <c r="AR1980" s="12"/>
      <c r="AS1980" s="12"/>
      <c r="AT1980" s="12"/>
      <c r="AU1980" s="12"/>
      <c r="AV1980" s="12"/>
      <c r="AW1980" s="12"/>
      <c r="AX1980" s="12"/>
      <c r="AY1980" s="12"/>
      <c r="AZ1980" s="12"/>
      <c r="BA1980" s="12"/>
      <c r="BB1980" s="12"/>
      <c r="BC1980" s="12"/>
      <c r="BD1980" s="12"/>
      <c r="BF1980" s="106" t="str">
        <f t="shared" si="1"/>
        <v>#VALUE!</v>
      </c>
      <c r="BG1980" s="21">
        <f t="shared" si="2"/>
        <v>12</v>
      </c>
    </row>
    <row r="1981">
      <c r="P1981" s="161"/>
      <c r="AI1981" s="102"/>
      <c r="AO1981" s="12"/>
      <c r="AP1981" s="12"/>
      <c r="AQ1981" s="12"/>
      <c r="AR1981" s="12"/>
      <c r="AS1981" s="12"/>
      <c r="AT1981" s="12"/>
      <c r="AU1981" s="12"/>
      <c r="AV1981" s="12"/>
      <c r="AW1981" s="12"/>
      <c r="AX1981" s="12"/>
      <c r="AY1981" s="12"/>
      <c r="AZ1981" s="12"/>
      <c r="BA1981" s="12"/>
      <c r="BB1981" s="12"/>
      <c r="BC1981" s="12"/>
      <c r="BD1981" s="12"/>
      <c r="BF1981" s="106" t="str">
        <f t="shared" si="1"/>
        <v>#VALUE!</v>
      </c>
      <c r="BG1981" s="21">
        <f t="shared" si="2"/>
        <v>12</v>
      </c>
    </row>
    <row r="1982">
      <c r="P1982" s="161"/>
      <c r="AI1982" s="102"/>
      <c r="AO1982" s="12"/>
      <c r="AP1982" s="12"/>
      <c r="AQ1982" s="12"/>
      <c r="AR1982" s="12"/>
      <c r="AS1982" s="12"/>
      <c r="AT1982" s="12"/>
      <c r="AU1982" s="12"/>
      <c r="AV1982" s="12"/>
      <c r="AW1982" s="12"/>
      <c r="AX1982" s="12"/>
      <c r="AY1982" s="12"/>
      <c r="AZ1982" s="12"/>
      <c r="BA1982" s="12"/>
      <c r="BB1982" s="12"/>
      <c r="BC1982" s="12"/>
      <c r="BD1982" s="12"/>
      <c r="BF1982" s="106" t="str">
        <f t="shared" si="1"/>
        <v>#VALUE!</v>
      </c>
      <c r="BG1982" s="21">
        <f t="shared" si="2"/>
        <v>12</v>
      </c>
    </row>
    <row r="1983">
      <c r="P1983" s="161"/>
      <c r="AI1983" s="102"/>
      <c r="AO1983" s="12"/>
      <c r="AP1983" s="12"/>
      <c r="AQ1983" s="12"/>
      <c r="AR1983" s="12"/>
      <c r="AS1983" s="12"/>
      <c r="AT1983" s="12"/>
      <c r="AU1983" s="12"/>
      <c r="AV1983" s="12"/>
      <c r="AW1983" s="12"/>
      <c r="AX1983" s="12"/>
      <c r="AY1983" s="12"/>
      <c r="AZ1983" s="12"/>
      <c r="BA1983" s="12"/>
      <c r="BB1983" s="12"/>
      <c r="BC1983" s="12"/>
      <c r="BD1983" s="12"/>
      <c r="BF1983" s="106" t="str">
        <f t="shared" si="1"/>
        <v>#VALUE!</v>
      </c>
      <c r="BG1983" s="21">
        <f t="shared" si="2"/>
        <v>12</v>
      </c>
    </row>
    <row r="1984">
      <c r="P1984" s="161"/>
      <c r="AI1984" s="102"/>
      <c r="AO1984" s="12"/>
      <c r="AP1984" s="12"/>
      <c r="AQ1984" s="12"/>
      <c r="AR1984" s="12"/>
      <c r="AS1984" s="12"/>
      <c r="AT1984" s="12"/>
      <c r="AU1984" s="12"/>
      <c r="AV1984" s="12"/>
      <c r="AW1984" s="12"/>
      <c r="AX1984" s="12"/>
      <c r="AY1984" s="12"/>
      <c r="AZ1984" s="12"/>
      <c r="BA1984" s="12"/>
      <c r="BB1984" s="12"/>
      <c r="BC1984" s="12"/>
      <c r="BD1984" s="12"/>
      <c r="BF1984" s="106" t="str">
        <f t="shared" si="1"/>
        <v>#VALUE!</v>
      </c>
      <c r="BG1984" s="21">
        <f t="shared" si="2"/>
        <v>12</v>
      </c>
    </row>
    <row r="1985">
      <c r="P1985" s="161"/>
      <c r="AI1985" s="102"/>
      <c r="AO1985" s="12"/>
      <c r="AP1985" s="12"/>
      <c r="AQ1985" s="12"/>
      <c r="AR1985" s="12"/>
      <c r="AS1985" s="12"/>
      <c r="AT1985" s="12"/>
      <c r="AU1985" s="12"/>
      <c r="AV1985" s="12"/>
      <c r="AW1985" s="12"/>
      <c r="AX1985" s="12"/>
      <c r="AY1985" s="12"/>
      <c r="AZ1985" s="12"/>
      <c r="BA1985" s="12"/>
      <c r="BB1985" s="12"/>
      <c r="BC1985" s="12"/>
      <c r="BD1985" s="12"/>
      <c r="BF1985" s="106" t="str">
        <f t="shared" si="1"/>
        <v>#VALUE!</v>
      </c>
      <c r="BG1985" s="21">
        <f t="shared" si="2"/>
        <v>12</v>
      </c>
    </row>
    <row r="1986">
      <c r="P1986" s="161"/>
      <c r="AI1986" s="102"/>
      <c r="AO1986" s="12"/>
      <c r="AP1986" s="12"/>
      <c r="AQ1986" s="12"/>
      <c r="AR1986" s="12"/>
      <c r="AS1986" s="12"/>
      <c r="AT1986" s="12"/>
      <c r="AU1986" s="12"/>
      <c r="AV1986" s="12"/>
      <c r="AW1986" s="12"/>
      <c r="AX1986" s="12"/>
      <c r="AY1986" s="12"/>
      <c r="AZ1986" s="12"/>
      <c r="BA1986" s="12"/>
      <c r="BB1986" s="12"/>
      <c r="BC1986" s="12"/>
      <c r="BD1986" s="12"/>
      <c r="BF1986" s="106" t="str">
        <f t="shared" si="1"/>
        <v>#VALUE!</v>
      </c>
      <c r="BG1986" s="21">
        <f t="shared" si="2"/>
        <v>12</v>
      </c>
    </row>
    <row r="1987">
      <c r="P1987" s="161"/>
      <c r="AI1987" s="102"/>
      <c r="AO1987" s="12"/>
      <c r="AP1987" s="12"/>
      <c r="AQ1987" s="12"/>
      <c r="AR1987" s="12"/>
      <c r="AS1987" s="12"/>
      <c r="AT1987" s="12"/>
      <c r="AU1987" s="12"/>
      <c r="AV1987" s="12"/>
      <c r="AW1987" s="12"/>
      <c r="AX1987" s="12"/>
      <c r="AY1987" s="12"/>
      <c r="AZ1987" s="12"/>
      <c r="BA1987" s="12"/>
      <c r="BB1987" s="12"/>
      <c r="BC1987" s="12"/>
      <c r="BD1987" s="12"/>
      <c r="BF1987" s="106" t="str">
        <f t="shared" si="1"/>
        <v>#VALUE!</v>
      </c>
      <c r="BG1987" s="21">
        <f t="shared" si="2"/>
        <v>12</v>
      </c>
    </row>
    <row r="1988">
      <c r="P1988" s="161"/>
      <c r="AI1988" s="102"/>
      <c r="AO1988" s="12"/>
      <c r="AP1988" s="12"/>
      <c r="AQ1988" s="12"/>
      <c r="AR1988" s="12"/>
      <c r="AS1988" s="12"/>
      <c r="AT1988" s="12"/>
      <c r="AU1988" s="12"/>
      <c r="AV1988" s="12"/>
      <c r="AW1988" s="12"/>
      <c r="AX1988" s="12"/>
      <c r="AY1988" s="12"/>
      <c r="AZ1988" s="12"/>
      <c r="BA1988" s="12"/>
      <c r="BB1988" s="12"/>
      <c r="BC1988" s="12"/>
      <c r="BD1988" s="12"/>
      <c r="BF1988" s="106" t="str">
        <f t="shared" si="1"/>
        <v>#VALUE!</v>
      </c>
      <c r="BG1988" s="21">
        <f t="shared" si="2"/>
        <v>12</v>
      </c>
    </row>
    <row r="1989">
      <c r="P1989" s="161"/>
      <c r="AI1989" s="102"/>
      <c r="AO1989" s="12"/>
      <c r="AP1989" s="12"/>
      <c r="AQ1989" s="12"/>
      <c r="AR1989" s="12"/>
      <c r="AS1989" s="12"/>
      <c r="AT1989" s="12"/>
      <c r="AU1989" s="12"/>
      <c r="AV1989" s="12"/>
      <c r="AW1989" s="12"/>
      <c r="AX1989" s="12"/>
      <c r="AY1989" s="12"/>
      <c r="AZ1989" s="12"/>
      <c r="BA1989" s="12"/>
      <c r="BB1989" s="12"/>
      <c r="BC1989" s="12"/>
      <c r="BD1989" s="12"/>
      <c r="BF1989" s="106" t="str">
        <f t="shared" si="1"/>
        <v>#VALUE!</v>
      </c>
      <c r="BG1989" s="21">
        <f t="shared" si="2"/>
        <v>12</v>
      </c>
    </row>
    <row r="1990">
      <c r="P1990" s="161"/>
      <c r="AI1990" s="102"/>
      <c r="AO1990" s="12"/>
      <c r="AP1990" s="12"/>
      <c r="AQ1990" s="12"/>
      <c r="AR1990" s="12"/>
      <c r="AS1990" s="12"/>
      <c r="AT1990" s="12"/>
      <c r="AU1990" s="12"/>
      <c r="AV1990" s="12"/>
      <c r="AW1990" s="12"/>
      <c r="AX1990" s="12"/>
      <c r="AY1990" s="12"/>
      <c r="AZ1990" s="12"/>
      <c r="BA1990" s="12"/>
      <c r="BB1990" s="12"/>
      <c r="BC1990" s="12"/>
      <c r="BD1990" s="12"/>
      <c r="BF1990" s="106" t="str">
        <f t="shared" si="1"/>
        <v>#VALUE!</v>
      </c>
      <c r="BG1990" s="21">
        <f t="shared" si="2"/>
        <v>12</v>
      </c>
    </row>
    <row r="1991">
      <c r="P1991" s="161"/>
      <c r="AI1991" s="102"/>
      <c r="AO1991" s="12"/>
      <c r="AP1991" s="12"/>
      <c r="AQ1991" s="12"/>
      <c r="AR1991" s="12"/>
      <c r="AS1991" s="12"/>
      <c r="AT1991" s="12"/>
      <c r="AU1991" s="12"/>
      <c r="AV1991" s="12"/>
      <c r="AW1991" s="12"/>
      <c r="AX1991" s="12"/>
      <c r="AY1991" s="12"/>
      <c r="AZ1991" s="12"/>
      <c r="BA1991" s="12"/>
      <c r="BB1991" s="12"/>
      <c r="BC1991" s="12"/>
      <c r="BD1991" s="12"/>
      <c r="BF1991" s="106" t="str">
        <f t="shared" si="1"/>
        <v>#VALUE!</v>
      </c>
      <c r="BG1991" s="21">
        <f t="shared" si="2"/>
        <v>12</v>
      </c>
    </row>
    <row r="1992">
      <c r="P1992" s="161"/>
      <c r="AI1992" s="102"/>
      <c r="AO1992" s="12"/>
      <c r="AP1992" s="12"/>
      <c r="AQ1992" s="12"/>
      <c r="AR1992" s="12"/>
      <c r="AS1992" s="12"/>
      <c r="AT1992" s="12"/>
      <c r="AU1992" s="12"/>
      <c r="AV1992" s="12"/>
      <c r="AW1992" s="12"/>
      <c r="AX1992" s="12"/>
      <c r="AY1992" s="12"/>
      <c r="AZ1992" s="12"/>
      <c r="BA1992" s="12"/>
      <c r="BB1992" s="12"/>
      <c r="BC1992" s="12"/>
      <c r="BD1992" s="12"/>
      <c r="BF1992" s="106" t="str">
        <f t="shared" si="1"/>
        <v>#VALUE!</v>
      </c>
      <c r="BG1992" s="21">
        <f t="shared" si="2"/>
        <v>12</v>
      </c>
    </row>
    <row r="1993">
      <c r="P1993" s="161"/>
      <c r="AI1993" s="102"/>
      <c r="AO1993" s="12"/>
      <c r="AP1993" s="12"/>
      <c r="AQ1993" s="12"/>
      <c r="AR1993" s="12"/>
      <c r="AS1993" s="12"/>
      <c r="AT1993" s="12"/>
      <c r="AU1993" s="12"/>
      <c r="AV1993" s="12"/>
      <c r="AW1993" s="12"/>
      <c r="AX1993" s="12"/>
      <c r="AY1993" s="12"/>
      <c r="AZ1993" s="12"/>
      <c r="BA1993" s="12"/>
      <c r="BB1993" s="12"/>
      <c r="BC1993" s="12"/>
      <c r="BD1993" s="12"/>
      <c r="BF1993" s="106" t="str">
        <f t="shared" si="1"/>
        <v>#VALUE!</v>
      </c>
      <c r="BG1993" s="21">
        <f t="shared" si="2"/>
        <v>12</v>
      </c>
    </row>
    <row r="1994">
      <c r="P1994" s="161"/>
      <c r="AI1994" s="102"/>
      <c r="AO1994" s="12"/>
      <c r="AP1994" s="12"/>
      <c r="AQ1994" s="12"/>
      <c r="AR1994" s="12"/>
      <c r="AS1994" s="12"/>
      <c r="AT1994" s="12"/>
      <c r="AU1994" s="12"/>
      <c r="AV1994" s="12"/>
      <c r="AW1994" s="12"/>
      <c r="AX1994" s="12"/>
      <c r="AY1994" s="12"/>
      <c r="AZ1994" s="12"/>
      <c r="BA1994" s="12"/>
      <c r="BB1994" s="12"/>
      <c r="BC1994" s="12"/>
      <c r="BD1994" s="12"/>
      <c r="BF1994" s="106" t="str">
        <f t="shared" si="1"/>
        <v>#VALUE!</v>
      </c>
      <c r="BG1994" s="21">
        <f t="shared" si="2"/>
        <v>12</v>
      </c>
    </row>
    <row r="1995">
      <c r="P1995" s="161"/>
      <c r="AI1995" s="102"/>
      <c r="AO1995" s="12"/>
      <c r="AP1995" s="12"/>
      <c r="AQ1995" s="12"/>
      <c r="AR1995" s="12"/>
      <c r="AS1995" s="12"/>
      <c r="AT1995" s="12"/>
      <c r="AU1995" s="12"/>
      <c r="AV1995" s="12"/>
      <c r="AW1995" s="12"/>
      <c r="AX1995" s="12"/>
      <c r="AY1995" s="12"/>
      <c r="AZ1995" s="12"/>
      <c r="BA1995" s="12"/>
      <c r="BB1995" s="12"/>
      <c r="BC1995" s="12"/>
      <c r="BD1995" s="12"/>
      <c r="BF1995" s="106" t="str">
        <f t="shared" si="1"/>
        <v>#VALUE!</v>
      </c>
      <c r="BG1995" s="21">
        <f t="shared" si="2"/>
        <v>12</v>
      </c>
    </row>
    <row r="1996">
      <c r="P1996" s="161"/>
      <c r="AI1996" s="102"/>
      <c r="AO1996" s="12"/>
      <c r="AP1996" s="12"/>
      <c r="AQ1996" s="12"/>
      <c r="AR1996" s="12"/>
      <c r="AS1996" s="12"/>
      <c r="AT1996" s="12"/>
      <c r="AU1996" s="12"/>
      <c r="AV1996" s="12"/>
      <c r="AW1996" s="12"/>
      <c r="AX1996" s="12"/>
      <c r="AY1996" s="12"/>
      <c r="AZ1996" s="12"/>
      <c r="BA1996" s="12"/>
      <c r="BB1996" s="12"/>
      <c r="BC1996" s="12"/>
      <c r="BD1996" s="12"/>
      <c r="BF1996" s="106" t="str">
        <f t="shared" si="1"/>
        <v>#VALUE!</v>
      </c>
      <c r="BG1996" s="21">
        <f t="shared" si="2"/>
        <v>12</v>
      </c>
    </row>
    <row r="1997">
      <c r="P1997" s="161"/>
      <c r="AI1997" s="102"/>
      <c r="AO1997" s="12"/>
      <c r="AP1997" s="12"/>
      <c r="AQ1997" s="12"/>
      <c r="AR1997" s="12"/>
      <c r="AS1997" s="12"/>
      <c r="AT1997" s="12"/>
      <c r="AU1997" s="12"/>
      <c r="AV1997" s="12"/>
      <c r="AW1997" s="12"/>
      <c r="AX1997" s="12"/>
      <c r="AY1997" s="12"/>
      <c r="AZ1997" s="12"/>
      <c r="BA1997" s="12"/>
      <c r="BB1997" s="12"/>
      <c r="BC1997" s="12"/>
      <c r="BD1997" s="12"/>
      <c r="BF1997" s="106" t="str">
        <f t="shared" si="1"/>
        <v>#VALUE!</v>
      </c>
      <c r="BG1997" s="21">
        <f t="shared" si="2"/>
        <v>12</v>
      </c>
    </row>
    <row r="1998">
      <c r="P1998" s="161"/>
      <c r="AI1998" s="102"/>
      <c r="AO1998" s="12"/>
      <c r="AP1998" s="12"/>
      <c r="AQ1998" s="12"/>
      <c r="AR1998" s="12"/>
      <c r="AS1998" s="12"/>
      <c r="AT1998" s="12"/>
      <c r="AU1998" s="12"/>
      <c r="AV1998" s="12"/>
      <c r="AW1998" s="12"/>
      <c r="AX1998" s="12"/>
      <c r="AY1998" s="12"/>
      <c r="AZ1998" s="12"/>
      <c r="BA1998" s="12"/>
      <c r="BB1998" s="12"/>
      <c r="BC1998" s="12"/>
      <c r="BD1998" s="12"/>
      <c r="BF1998" s="106" t="str">
        <f t="shared" si="1"/>
        <v>#VALUE!</v>
      </c>
      <c r="BG1998" s="21">
        <f t="shared" si="2"/>
        <v>12</v>
      </c>
    </row>
    <row r="1999">
      <c r="P1999" s="161"/>
      <c r="AI1999" s="102"/>
      <c r="AO1999" s="12"/>
      <c r="AP1999" s="12"/>
      <c r="AQ1999" s="12"/>
      <c r="AR1999" s="12"/>
      <c r="AS1999" s="12"/>
      <c r="AT1999" s="12"/>
      <c r="AU1999" s="12"/>
      <c r="AV1999" s="12"/>
      <c r="AW1999" s="12"/>
      <c r="AX1999" s="12"/>
      <c r="AY1999" s="12"/>
      <c r="AZ1999" s="12"/>
      <c r="BA1999" s="12"/>
      <c r="BB1999" s="12"/>
      <c r="BC1999" s="12"/>
      <c r="BD1999" s="12"/>
      <c r="BF1999" s="106" t="str">
        <f t="shared" si="1"/>
        <v>#VALUE!</v>
      </c>
      <c r="BG1999" s="21">
        <f t="shared" si="2"/>
        <v>12</v>
      </c>
    </row>
    <row r="2000">
      <c r="P2000" s="161"/>
      <c r="AI2000" s="102"/>
      <c r="AO2000" s="12"/>
      <c r="AP2000" s="12"/>
      <c r="AQ2000" s="12"/>
      <c r="AR2000" s="12"/>
      <c r="AS2000" s="12"/>
      <c r="AT2000" s="12"/>
      <c r="AU2000" s="12"/>
      <c r="AV2000" s="12"/>
      <c r="AW2000" s="12"/>
      <c r="AX2000" s="12"/>
      <c r="AY2000" s="12"/>
      <c r="AZ2000" s="12"/>
      <c r="BA2000" s="12"/>
      <c r="BB2000" s="12"/>
      <c r="BC2000" s="12"/>
      <c r="BD2000" s="12"/>
      <c r="BF2000" s="106" t="str">
        <f t="shared" si="1"/>
        <v>#VALUE!</v>
      </c>
      <c r="BG2000" s="21">
        <f t="shared" si="2"/>
        <v>12</v>
      </c>
    </row>
    <row r="2001">
      <c r="P2001" s="161"/>
      <c r="AI2001" s="102"/>
      <c r="AO2001" s="12"/>
      <c r="AP2001" s="12"/>
      <c r="AQ2001" s="12"/>
      <c r="AR2001" s="12"/>
      <c r="AS2001" s="12"/>
      <c r="AT2001" s="12"/>
      <c r="AU2001" s="12"/>
      <c r="AV2001" s="12"/>
      <c r="AW2001" s="12"/>
      <c r="AX2001" s="12"/>
      <c r="AY2001" s="12"/>
      <c r="AZ2001" s="12"/>
      <c r="BA2001" s="12"/>
      <c r="BB2001" s="12"/>
      <c r="BC2001" s="12"/>
      <c r="BD2001" s="12"/>
      <c r="BF2001" s="106" t="str">
        <f t="shared" si="1"/>
        <v>#VALUE!</v>
      </c>
      <c r="BG2001" s="21">
        <f t="shared" si="2"/>
        <v>12</v>
      </c>
    </row>
    <row r="2002">
      <c r="P2002" s="161"/>
      <c r="AI2002" s="102"/>
      <c r="AO2002" s="12"/>
      <c r="AP2002" s="12"/>
      <c r="AQ2002" s="12"/>
      <c r="AR2002" s="12"/>
      <c r="AS2002" s="12"/>
      <c r="AT2002" s="12"/>
      <c r="AU2002" s="12"/>
      <c r="AV2002" s="12"/>
      <c r="AW2002" s="12"/>
      <c r="AX2002" s="12"/>
      <c r="AY2002" s="12"/>
      <c r="AZ2002" s="12"/>
      <c r="BA2002" s="12"/>
      <c r="BB2002" s="12"/>
      <c r="BC2002" s="12"/>
      <c r="BD2002" s="12"/>
      <c r="BF2002" s="106" t="str">
        <f t="shared" si="1"/>
        <v>#VALUE!</v>
      </c>
      <c r="BG2002" s="21">
        <f t="shared" si="2"/>
        <v>12</v>
      </c>
    </row>
    <row r="2003">
      <c r="P2003" s="161"/>
      <c r="AI2003" s="102"/>
      <c r="AO2003" s="12"/>
      <c r="AP2003" s="12"/>
      <c r="AQ2003" s="12"/>
      <c r="AR2003" s="12"/>
      <c r="AS2003" s="12"/>
      <c r="AT2003" s="12"/>
      <c r="AU2003" s="12"/>
      <c r="AV2003" s="12"/>
      <c r="AW2003" s="12"/>
      <c r="AX2003" s="12"/>
      <c r="AY2003" s="12"/>
      <c r="AZ2003" s="12"/>
      <c r="BA2003" s="12"/>
      <c r="BB2003" s="12"/>
      <c r="BC2003" s="12"/>
      <c r="BD2003" s="12"/>
      <c r="BF2003" s="106" t="str">
        <f t="shared" si="1"/>
        <v>#VALUE!</v>
      </c>
      <c r="BG2003" s="21">
        <f t="shared" si="2"/>
        <v>12</v>
      </c>
    </row>
    <row r="2004">
      <c r="P2004" s="161"/>
      <c r="AI2004" s="102"/>
      <c r="AO2004" s="12"/>
      <c r="AP2004" s="12"/>
      <c r="AQ2004" s="12"/>
      <c r="AR2004" s="12"/>
      <c r="AS2004" s="12"/>
      <c r="AT2004" s="12"/>
      <c r="AU2004" s="12"/>
      <c r="AV2004" s="12"/>
      <c r="AW2004" s="12"/>
      <c r="AX2004" s="12"/>
      <c r="AY2004" s="12"/>
      <c r="AZ2004" s="12"/>
      <c r="BA2004" s="12"/>
      <c r="BB2004" s="12"/>
      <c r="BC2004" s="12"/>
      <c r="BD2004" s="12"/>
      <c r="BF2004" s="106" t="str">
        <f t="shared" si="1"/>
        <v>#VALUE!</v>
      </c>
      <c r="BG2004" s="21">
        <f t="shared" si="2"/>
        <v>12</v>
      </c>
    </row>
    <row r="2005">
      <c r="P2005" s="161"/>
      <c r="AI2005" s="102"/>
      <c r="AO2005" s="12"/>
      <c r="AP2005" s="12"/>
      <c r="AQ2005" s="12"/>
      <c r="AR2005" s="12"/>
      <c r="AS2005" s="12"/>
      <c r="AT2005" s="12"/>
      <c r="AU2005" s="12"/>
      <c r="AV2005" s="12"/>
      <c r="AW2005" s="12"/>
      <c r="AX2005" s="12"/>
      <c r="AY2005" s="12"/>
      <c r="AZ2005" s="12"/>
      <c r="BA2005" s="12"/>
      <c r="BB2005" s="12"/>
      <c r="BC2005" s="12"/>
      <c r="BD2005" s="12"/>
      <c r="BF2005" s="106" t="str">
        <f t="shared" si="1"/>
        <v>#VALUE!</v>
      </c>
      <c r="BG2005" s="21">
        <f t="shared" si="2"/>
        <v>12</v>
      </c>
    </row>
    <row r="2006">
      <c r="P2006" s="161"/>
      <c r="AI2006" s="102"/>
      <c r="AO2006" s="12"/>
      <c r="AP2006" s="12"/>
      <c r="AQ2006" s="12"/>
      <c r="AR2006" s="12"/>
      <c r="AS2006" s="12"/>
      <c r="AT2006" s="12"/>
      <c r="AU2006" s="12"/>
      <c r="AV2006" s="12"/>
      <c r="AW2006" s="12"/>
      <c r="AX2006" s="12"/>
      <c r="AY2006" s="12"/>
      <c r="AZ2006" s="12"/>
      <c r="BA2006" s="12"/>
      <c r="BB2006" s="12"/>
      <c r="BC2006" s="12"/>
      <c r="BD2006" s="12"/>
      <c r="BF2006" s="106" t="str">
        <f t="shared" si="1"/>
        <v>#VALUE!</v>
      </c>
      <c r="BG2006" s="21">
        <f t="shared" si="2"/>
        <v>12</v>
      </c>
    </row>
    <row r="2007">
      <c r="P2007" s="161"/>
      <c r="AI2007" s="102"/>
      <c r="AO2007" s="12"/>
      <c r="AP2007" s="12"/>
      <c r="AQ2007" s="12"/>
      <c r="AR2007" s="12"/>
      <c r="AS2007" s="12"/>
      <c r="AT2007" s="12"/>
      <c r="AU2007" s="12"/>
      <c r="AV2007" s="12"/>
      <c r="AW2007" s="12"/>
      <c r="AX2007" s="12"/>
      <c r="AY2007" s="12"/>
      <c r="AZ2007" s="12"/>
      <c r="BA2007" s="12"/>
      <c r="BB2007" s="12"/>
      <c r="BC2007" s="12"/>
      <c r="BD2007" s="12"/>
      <c r="BF2007" s="106" t="str">
        <f t="shared" si="1"/>
        <v>#VALUE!</v>
      </c>
      <c r="BG2007" s="21">
        <f t="shared" si="2"/>
        <v>12</v>
      </c>
    </row>
    <row r="2008">
      <c r="P2008" s="161"/>
      <c r="AI2008" s="102"/>
      <c r="AO2008" s="12"/>
      <c r="AP2008" s="12"/>
      <c r="AQ2008" s="12"/>
      <c r="AR2008" s="12"/>
      <c r="AS2008" s="12"/>
      <c r="AT2008" s="12"/>
      <c r="AU2008" s="12"/>
      <c r="AV2008" s="12"/>
      <c r="AW2008" s="12"/>
      <c r="AX2008" s="12"/>
      <c r="AY2008" s="12"/>
      <c r="AZ2008" s="12"/>
      <c r="BA2008" s="12"/>
      <c r="BB2008" s="12"/>
      <c r="BC2008" s="12"/>
      <c r="BD2008" s="12"/>
      <c r="BF2008" s="106" t="str">
        <f t="shared" si="1"/>
        <v>#VALUE!</v>
      </c>
      <c r="BG2008" s="21">
        <f t="shared" si="2"/>
        <v>12</v>
      </c>
    </row>
    <row r="2009">
      <c r="P2009" s="161"/>
      <c r="AI2009" s="102"/>
      <c r="AO2009" s="12"/>
      <c r="AP2009" s="12"/>
      <c r="AQ2009" s="12"/>
      <c r="AR2009" s="12"/>
      <c r="AS2009" s="12"/>
      <c r="AT2009" s="12"/>
      <c r="AU2009" s="12"/>
      <c r="AV2009" s="12"/>
      <c r="AW2009" s="12"/>
      <c r="AX2009" s="12"/>
      <c r="AY2009" s="12"/>
      <c r="AZ2009" s="12"/>
      <c r="BA2009" s="12"/>
      <c r="BB2009" s="12"/>
      <c r="BC2009" s="12"/>
      <c r="BD2009" s="12"/>
      <c r="BF2009" s="106" t="str">
        <f t="shared" si="1"/>
        <v>#VALUE!</v>
      </c>
      <c r="BG2009" s="21">
        <f t="shared" si="2"/>
        <v>12</v>
      </c>
    </row>
    <row r="2010">
      <c r="P2010" s="161"/>
      <c r="AI2010" s="102"/>
      <c r="AO2010" s="12"/>
      <c r="AP2010" s="12"/>
      <c r="AQ2010" s="12"/>
      <c r="AR2010" s="12"/>
      <c r="AS2010" s="12"/>
      <c r="AT2010" s="12"/>
      <c r="AU2010" s="12"/>
      <c r="AV2010" s="12"/>
      <c r="AW2010" s="12"/>
      <c r="AX2010" s="12"/>
      <c r="AY2010" s="12"/>
      <c r="AZ2010" s="12"/>
      <c r="BA2010" s="12"/>
      <c r="BB2010" s="12"/>
      <c r="BC2010" s="12"/>
      <c r="BD2010" s="12"/>
      <c r="BF2010" s="106" t="str">
        <f t="shared" si="1"/>
        <v>#VALUE!</v>
      </c>
      <c r="BG2010" s="21">
        <f t="shared" si="2"/>
        <v>12</v>
      </c>
    </row>
    <row r="2011">
      <c r="P2011" s="161"/>
      <c r="AI2011" s="102"/>
      <c r="AO2011" s="12"/>
      <c r="AP2011" s="12"/>
      <c r="AQ2011" s="12"/>
      <c r="AR2011" s="12"/>
      <c r="AS2011" s="12"/>
      <c r="AT2011" s="12"/>
      <c r="AU2011" s="12"/>
      <c r="AV2011" s="12"/>
      <c r="AW2011" s="12"/>
      <c r="AX2011" s="12"/>
      <c r="AY2011" s="12"/>
      <c r="AZ2011" s="12"/>
      <c r="BA2011" s="12"/>
      <c r="BB2011" s="12"/>
      <c r="BC2011" s="12"/>
      <c r="BD2011" s="12"/>
      <c r="BF2011" s="106" t="str">
        <f t="shared" si="1"/>
        <v>#VALUE!</v>
      </c>
      <c r="BG2011" s="21">
        <f t="shared" si="2"/>
        <v>12</v>
      </c>
    </row>
    <row r="2012">
      <c r="P2012" s="161"/>
      <c r="AI2012" s="102"/>
      <c r="AO2012" s="12"/>
      <c r="AP2012" s="12"/>
      <c r="AQ2012" s="12"/>
      <c r="AR2012" s="12"/>
      <c r="AS2012" s="12"/>
      <c r="AT2012" s="12"/>
      <c r="AU2012" s="12"/>
      <c r="AV2012" s="12"/>
      <c r="AW2012" s="12"/>
      <c r="AX2012" s="12"/>
      <c r="AY2012" s="12"/>
      <c r="AZ2012" s="12"/>
      <c r="BA2012" s="12"/>
      <c r="BB2012" s="12"/>
      <c r="BC2012" s="12"/>
      <c r="BD2012" s="12"/>
      <c r="BF2012" s="106" t="str">
        <f t="shared" si="1"/>
        <v>#VALUE!</v>
      </c>
      <c r="BG2012" s="21">
        <f t="shared" si="2"/>
        <v>12</v>
      </c>
    </row>
    <row r="2013">
      <c r="P2013" s="161"/>
      <c r="AI2013" s="102"/>
      <c r="AO2013" s="12"/>
      <c r="AP2013" s="12"/>
      <c r="AQ2013" s="12"/>
      <c r="AR2013" s="12"/>
      <c r="AS2013" s="12"/>
      <c r="AT2013" s="12"/>
      <c r="AU2013" s="12"/>
      <c r="AV2013" s="12"/>
      <c r="AW2013" s="12"/>
      <c r="AX2013" s="12"/>
      <c r="AY2013" s="12"/>
      <c r="AZ2013" s="12"/>
      <c r="BA2013" s="12"/>
      <c r="BB2013" s="12"/>
      <c r="BC2013" s="12"/>
      <c r="BD2013" s="12"/>
      <c r="BF2013" s="106" t="str">
        <f t="shared" si="1"/>
        <v>#VALUE!</v>
      </c>
      <c r="BG2013" s="21">
        <f t="shared" si="2"/>
        <v>12</v>
      </c>
    </row>
    <row r="2014">
      <c r="P2014" s="161"/>
      <c r="AI2014" s="102"/>
      <c r="AO2014" s="12"/>
      <c r="AP2014" s="12"/>
      <c r="AQ2014" s="12"/>
      <c r="AR2014" s="12"/>
      <c r="AS2014" s="12"/>
      <c r="AT2014" s="12"/>
      <c r="AU2014" s="12"/>
      <c r="AV2014" s="12"/>
      <c r="AW2014" s="12"/>
      <c r="AX2014" s="12"/>
      <c r="AY2014" s="12"/>
      <c r="AZ2014" s="12"/>
      <c r="BA2014" s="12"/>
      <c r="BB2014" s="12"/>
      <c r="BC2014" s="12"/>
      <c r="BD2014" s="12"/>
      <c r="BF2014" s="106" t="str">
        <f t="shared" si="1"/>
        <v>#VALUE!</v>
      </c>
      <c r="BG2014" s="21">
        <f t="shared" si="2"/>
        <v>12</v>
      </c>
    </row>
    <row r="2015">
      <c r="P2015" s="161"/>
      <c r="AI2015" s="102"/>
      <c r="AO2015" s="12"/>
      <c r="AP2015" s="12"/>
      <c r="AQ2015" s="12"/>
      <c r="AR2015" s="12"/>
      <c r="AS2015" s="12"/>
      <c r="AT2015" s="12"/>
      <c r="AU2015" s="12"/>
      <c r="AV2015" s="12"/>
      <c r="AW2015" s="12"/>
      <c r="AX2015" s="12"/>
      <c r="AY2015" s="12"/>
      <c r="AZ2015" s="12"/>
      <c r="BA2015" s="12"/>
      <c r="BB2015" s="12"/>
      <c r="BC2015" s="12"/>
      <c r="BD2015" s="12"/>
      <c r="BF2015" s="106" t="str">
        <f t="shared" si="1"/>
        <v>#VALUE!</v>
      </c>
      <c r="BG2015" s="21">
        <f t="shared" si="2"/>
        <v>12</v>
      </c>
    </row>
    <row r="2016">
      <c r="P2016" s="161"/>
      <c r="AI2016" s="102"/>
      <c r="AO2016" s="12"/>
      <c r="AP2016" s="12"/>
      <c r="AQ2016" s="12"/>
      <c r="AR2016" s="12"/>
      <c r="AS2016" s="12"/>
      <c r="AT2016" s="12"/>
      <c r="AU2016" s="12"/>
      <c r="AV2016" s="12"/>
      <c r="AW2016" s="12"/>
      <c r="AX2016" s="12"/>
      <c r="AY2016" s="12"/>
      <c r="AZ2016" s="12"/>
      <c r="BA2016" s="12"/>
      <c r="BB2016" s="12"/>
      <c r="BC2016" s="12"/>
      <c r="BD2016" s="12"/>
      <c r="BF2016" s="106" t="str">
        <f t="shared" si="1"/>
        <v>#VALUE!</v>
      </c>
      <c r="BG2016" s="21">
        <f t="shared" si="2"/>
        <v>12</v>
      </c>
    </row>
    <row r="2017">
      <c r="P2017" s="161"/>
      <c r="AI2017" s="102"/>
      <c r="AO2017" s="12"/>
      <c r="AP2017" s="12"/>
      <c r="AQ2017" s="12"/>
      <c r="AR2017" s="12"/>
      <c r="AS2017" s="12"/>
      <c r="AT2017" s="12"/>
      <c r="AU2017" s="12"/>
      <c r="AV2017" s="12"/>
      <c r="AW2017" s="12"/>
      <c r="AX2017" s="12"/>
      <c r="AY2017" s="12"/>
      <c r="AZ2017" s="12"/>
      <c r="BA2017" s="12"/>
      <c r="BB2017" s="12"/>
      <c r="BC2017" s="12"/>
      <c r="BD2017" s="12"/>
      <c r="BF2017" s="106" t="str">
        <f t="shared" si="1"/>
        <v>#VALUE!</v>
      </c>
      <c r="BG2017" s="21">
        <f t="shared" si="2"/>
        <v>12</v>
      </c>
    </row>
    <row r="2018">
      <c r="P2018" s="161"/>
      <c r="AI2018" s="102"/>
      <c r="AO2018" s="12"/>
      <c r="AP2018" s="12"/>
      <c r="AQ2018" s="12"/>
      <c r="AR2018" s="12"/>
      <c r="AS2018" s="12"/>
      <c r="AT2018" s="12"/>
      <c r="AU2018" s="12"/>
      <c r="AV2018" s="12"/>
      <c r="AW2018" s="12"/>
      <c r="AX2018" s="12"/>
      <c r="AY2018" s="12"/>
      <c r="AZ2018" s="12"/>
      <c r="BA2018" s="12"/>
      <c r="BB2018" s="12"/>
      <c r="BC2018" s="12"/>
      <c r="BD2018" s="12"/>
      <c r="BF2018" s="106" t="str">
        <f t="shared" si="1"/>
        <v>#VALUE!</v>
      </c>
      <c r="BG2018" s="21">
        <f t="shared" si="2"/>
        <v>12</v>
      </c>
    </row>
    <row r="2019">
      <c r="P2019" s="161"/>
      <c r="AI2019" s="102"/>
      <c r="AO2019" s="12"/>
      <c r="AP2019" s="12"/>
      <c r="AQ2019" s="12"/>
      <c r="AR2019" s="12"/>
      <c r="AS2019" s="12"/>
      <c r="AT2019" s="12"/>
      <c r="AU2019" s="12"/>
      <c r="AV2019" s="12"/>
      <c r="AW2019" s="12"/>
      <c r="AX2019" s="12"/>
      <c r="AY2019" s="12"/>
      <c r="AZ2019" s="12"/>
      <c r="BA2019" s="12"/>
      <c r="BB2019" s="12"/>
      <c r="BC2019" s="12"/>
      <c r="BD2019" s="12"/>
      <c r="BF2019" s="106" t="str">
        <f t="shared" si="1"/>
        <v>#VALUE!</v>
      </c>
      <c r="BG2019" s="21">
        <f t="shared" si="2"/>
        <v>12</v>
      </c>
    </row>
    <row r="2020">
      <c r="P2020" s="161"/>
      <c r="AI2020" s="102"/>
      <c r="AO2020" s="12"/>
      <c r="AP2020" s="12"/>
      <c r="AQ2020" s="12"/>
      <c r="AR2020" s="12"/>
      <c r="AS2020" s="12"/>
      <c r="AT2020" s="12"/>
      <c r="AU2020" s="12"/>
      <c r="AV2020" s="12"/>
      <c r="AW2020" s="12"/>
      <c r="AX2020" s="12"/>
      <c r="AY2020" s="12"/>
      <c r="AZ2020" s="12"/>
      <c r="BA2020" s="12"/>
      <c r="BB2020" s="12"/>
      <c r="BC2020" s="12"/>
      <c r="BD2020" s="12"/>
      <c r="BF2020" s="106" t="str">
        <f t="shared" si="1"/>
        <v>#VALUE!</v>
      </c>
      <c r="BG2020" s="21">
        <f t="shared" si="2"/>
        <v>12</v>
      </c>
    </row>
    <row r="2021">
      <c r="P2021" s="161"/>
      <c r="AI2021" s="102"/>
      <c r="AO2021" s="12"/>
      <c r="AP2021" s="12"/>
      <c r="AQ2021" s="12"/>
      <c r="AR2021" s="12"/>
      <c r="AS2021" s="12"/>
      <c r="AT2021" s="12"/>
      <c r="AU2021" s="12"/>
      <c r="AV2021" s="12"/>
      <c r="AW2021" s="12"/>
      <c r="AX2021" s="12"/>
      <c r="AY2021" s="12"/>
      <c r="AZ2021" s="12"/>
      <c r="BA2021" s="12"/>
      <c r="BB2021" s="12"/>
      <c r="BC2021" s="12"/>
      <c r="BD2021" s="12"/>
      <c r="BF2021" s="106" t="str">
        <f t="shared" si="1"/>
        <v>#VALUE!</v>
      </c>
      <c r="BG2021" s="21">
        <f t="shared" si="2"/>
        <v>12</v>
      </c>
    </row>
    <row r="2022">
      <c r="P2022" s="161"/>
      <c r="AI2022" s="102"/>
      <c r="AO2022" s="12"/>
      <c r="AP2022" s="12"/>
      <c r="AQ2022" s="12"/>
      <c r="AR2022" s="12"/>
      <c r="AS2022" s="12"/>
      <c r="AT2022" s="12"/>
      <c r="AU2022" s="12"/>
      <c r="AV2022" s="12"/>
      <c r="AW2022" s="12"/>
      <c r="AX2022" s="12"/>
      <c r="AY2022" s="12"/>
      <c r="AZ2022" s="12"/>
      <c r="BA2022" s="12"/>
      <c r="BB2022" s="12"/>
      <c r="BC2022" s="12"/>
      <c r="BD2022" s="12"/>
      <c r="BF2022" s="106" t="str">
        <f t="shared" si="1"/>
        <v>#VALUE!</v>
      </c>
      <c r="BG2022" s="21">
        <f t="shared" si="2"/>
        <v>12</v>
      </c>
    </row>
    <row r="2023">
      <c r="P2023" s="161"/>
      <c r="AI2023" s="102"/>
      <c r="AO2023" s="12"/>
      <c r="AP2023" s="12"/>
      <c r="AQ2023" s="12"/>
      <c r="AR2023" s="12"/>
      <c r="AS2023" s="12"/>
      <c r="AT2023" s="12"/>
      <c r="AU2023" s="12"/>
      <c r="AV2023" s="12"/>
      <c r="AW2023" s="12"/>
      <c r="AX2023" s="12"/>
      <c r="AY2023" s="12"/>
      <c r="AZ2023" s="12"/>
      <c r="BA2023" s="12"/>
      <c r="BB2023" s="12"/>
      <c r="BC2023" s="12"/>
      <c r="BD2023" s="12"/>
      <c r="BF2023" s="106" t="str">
        <f t="shared" si="1"/>
        <v>#VALUE!</v>
      </c>
      <c r="BG2023" s="21">
        <f t="shared" si="2"/>
        <v>12</v>
      </c>
    </row>
    <row r="2024">
      <c r="P2024" s="161"/>
      <c r="AI2024" s="102"/>
      <c r="AO2024" s="12"/>
      <c r="AP2024" s="12"/>
      <c r="AQ2024" s="12"/>
      <c r="AR2024" s="12"/>
      <c r="AS2024" s="12"/>
      <c r="AT2024" s="12"/>
      <c r="AU2024" s="12"/>
      <c r="AV2024" s="12"/>
      <c r="AW2024" s="12"/>
      <c r="AX2024" s="12"/>
      <c r="AY2024" s="12"/>
      <c r="AZ2024" s="12"/>
      <c r="BA2024" s="12"/>
      <c r="BB2024" s="12"/>
      <c r="BC2024" s="12"/>
      <c r="BD2024" s="12"/>
      <c r="BF2024" s="106" t="str">
        <f t="shared" si="1"/>
        <v>#VALUE!</v>
      </c>
      <c r="BG2024" s="21">
        <f t="shared" si="2"/>
        <v>12</v>
      </c>
    </row>
    <row r="2025">
      <c r="P2025" s="161"/>
      <c r="AI2025" s="102"/>
      <c r="AO2025" s="12"/>
      <c r="AP2025" s="12"/>
      <c r="AQ2025" s="12"/>
      <c r="AR2025" s="12"/>
      <c r="AS2025" s="12"/>
      <c r="AT2025" s="12"/>
      <c r="AU2025" s="12"/>
      <c r="AV2025" s="12"/>
      <c r="AW2025" s="12"/>
      <c r="AX2025" s="12"/>
      <c r="AY2025" s="12"/>
      <c r="AZ2025" s="12"/>
      <c r="BA2025" s="12"/>
      <c r="BB2025" s="12"/>
      <c r="BC2025" s="12"/>
      <c r="BD2025" s="12"/>
      <c r="BF2025" s="106" t="str">
        <f t="shared" si="1"/>
        <v>#VALUE!</v>
      </c>
      <c r="BG2025" s="21">
        <f t="shared" si="2"/>
        <v>12</v>
      </c>
    </row>
    <row r="2026">
      <c r="P2026" s="161"/>
      <c r="AI2026" s="102"/>
      <c r="AO2026" s="12"/>
      <c r="AP2026" s="12"/>
      <c r="AQ2026" s="12"/>
      <c r="AR2026" s="12"/>
      <c r="AS2026" s="12"/>
      <c r="AT2026" s="12"/>
      <c r="AU2026" s="12"/>
      <c r="AV2026" s="12"/>
      <c r="AW2026" s="12"/>
      <c r="AX2026" s="12"/>
      <c r="AY2026" s="12"/>
      <c r="AZ2026" s="12"/>
      <c r="BA2026" s="12"/>
      <c r="BB2026" s="12"/>
      <c r="BC2026" s="12"/>
      <c r="BD2026" s="12"/>
      <c r="BF2026" s="106" t="str">
        <f t="shared" si="1"/>
        <v>#VALUE!</v>
      </c>
      <c r="BG2026" s="21">
        <f t="shared" si="2"/>
        <v>12</v>
      </c>
    </row>
    <row r="2027">
      <c r="P2027" s="161"/>
      <c r="AI2027" s="102"/>
      <c r="AO2027" s="12"/>
      <c r="AP2027" s="12"/>
      <c r="AQ2027" s="12"/>
      <c r="AR2027" s="12"/>
      <c r="AS2027" s="12"/>
      <c r="AT2027" s="12"/>
      <c r="AU2027" s="12"/>
      <c r="AV2027" s="12"/>
      <c r="AW2027" s="12"/>
      <c r="AX2027" s="12"/>
      <c r="AY2027" s="12"/>
      <c r="AZ2027" s="12"/>
      <c r="BA2027" s="12"/>
      <c r="BB2027" s="12"/>
      <c r="BC2027" s="12"/>
      <c r="BD2027" s="12"/>
      <c r="BF2027" s="106" t="str">
        <f t="shared" si="1"/>
        <v>#VALUE!</v>
      </c>
      <c r="BG2027" s="21">
        <f t="shared" si="2"/>
        <v>12</v>
      </c>
    </row>
    <row r="2028">
      <c r="P2028" s="161"/>
      <c r="AI2028" s="102"/>
      <c r="AO2028" s="12"/>
      <c r="AP2028" s="12"/>
      <c r="AQ2028" s="12"/>
      <c r="AR2028" s="12"/>
      <c r="AS2028" s="12"/>
      <c r="AT2028" s="12"/>
      <c r="AU2028" s="12"/>
      <c r="AV2028" s="12"/>
      <c r="AW2028" s="12"/>
      <c r="AX2028" s="12"/>
      <c r="AY2028" s="12"/>
      <c r="AZ2028" s="12"/>
      <c r="BA2028" s="12"/>
      <c r="BB2028" s="12"/>
      <c r="BC2028" s="12"/>
      <c r="BD2028" s="12"/>
      <c r="BF2028" s="106" t="str">
        <f t="shared" si="1"/>
        <v>#VALUE!</v>
      </c>
      <c r="BG2028" s="21">
        <f t="shared" si="2"/>
        <v>12</v>
      </c>
    </row>
    <row r="2029">
      <c r="P2029" s="161"/>
      <c r="AI2029" s="102"/>
      <c r="AO2029" s="12"/>
      <c r="AP2029" s="12"/>
      <c r="AQ2029" s="12"/>
      <c r="AR2029" s="12"/>
      <c r="AS2029" s="12"/>
      <c r="AT2029" s="12"/>
      <c r="AU2029" s="12"/>
      <c r="AV2029" s="12"/>
      <c r="AW2029" s="12"/>
      <c r="AX2029" s="12"/>
      <c r="AY2029" s="12"/>
      <c r="AZ2029" s="12"/>
      <c r="BA2029" s="12"/>
      <c r="BB2029" s="12"/>
      <c r="BC2029" s="12"/>
      <c r="BD2029" s="12"/>
      <c r="BF2029" s="106" t="str">
        <f t="shared" si="1"/>
        <v>#VALUE!</v>
      </c>
      <c r="BG2029" s="21">
        <f t="shared" si="2"/>
        <v>12</v>
      </c>
    </row>
    <row r="2030">
      <c r="P2030" s="161"/>
      <c r="AI2030" s="102"/>
      <c r="AO2030" s="12"/>
      <c r="AP2030" s="12"/>
      <c r="AQ2030" s="12"/>
      <c r="AR2030" s="12"/>
      <c r="AS2030" s="12"/>
      <c r="AT2030" s="12"/>
      <c r="AU2030" s="12"/>
      <c r="AV2030" s="12"/>
      <c r="AW2030" s="12"/>
      <c r="AX2030" s="12"/>
      <c r="AY2030" s="12"/>
      <c r="AZ2030" s="12"/>
      <c r="BA2030" s="12"/>
      <c r="BB2030" s="12"/>
      <c r="BC2030" s="12"/>
      <c r="BD2030" s="12"/>
      <c r="BF2030" s="106" t="str">
        <f t="shared" si="1"/>
        <v>#VALUE!</v>
      </c>
      <c r="BG2030" s="21">
        <f t="shared" si="2"/>
        <v>12</v>
      </c>
    </row>
    <row r="2031">
      <c r="P2031" s="161"/>
      <c r="AI2031" s="102"/>
      <c r="AO2031" s="12"/>
      <c r="AP2031" s="12"/>
      <c r="AQ2031" s="12"/>
      <c r="AR2031" s="12"/>
      <c r="AS2031" s="12"/>
      <c r="AT2031" s="12"/>
      <c r="AU2031" s="12"/>
      <c r="AV2031" s="12"/>
      <c r="AW2031" s="12"/>
      <c r="AX2031" s="12"/>
      <c r="AY2031" s="12"/>
      <c r="AZ2031" s="12"/>
      <c r="BA2031" s="12"/>
      <c r="BB2031" s="12"/>
      <c r="BC2031" s="12"/>
      <c r="BD2031" s="12"/>
      <c r="BF2031" s="106" t="str">
        <f t="shared" si="1"/>
        <v>#VALUE!</v>
      </c>
      <c r="BG2031" s="21">
        <f t="shared" si="2"/>
        <v>12</v>
      </c>
    </row>
    <row r="2032">
      <c r="P2032" s="161"/>
      <c r="AI2032" s="102"/>
      <c r="AO2032" s="12"/>
      <c r="AP2032" s="12"/>
      <c r="AQ2032" s="12"/>
      <c r="AR2032" s="12"/>
      <c r="AS2032" s="12"/>
      <c r="AT2032" s="12"/>
      <c r="AU2032" s="12"/>
      <c r="AV2032" s="12"/>
      <c r="AW2032" s="12"/>
      <c r="AX2032" s="12"/>
      <c r="AY2032" s="12"/>
      <c r="AZ2032" s="12"/>
      <c r="BA2032" s="12"/>
      <c r="BB2032" s="12"/>
      <c r="BC2032" s="12"/>
      <c r="BD2032" s="12"/>
      <c r="BF2032" s="106" t="str">
        <f t="shared" si="1"/>
        <v>#VALUE!</v>
      </c>
      <c r="BG2032" s="21">
        <f t="shared" si="2"/>
        <v>12</v>
      </c>
    </row>
    <row r="2033">
      <c r="P2033" s="161"/>
      <c r="AI2033" s="102"/>
      <c r="AO2033" s="12"/>
      <c r="AP2033" s="12"/>
      <c r="AQ2033" s="12"/>
      <c r="AR2033" s="12"/>
      <c r="AS2033" s="12"/>
      <c r="AT2033" s="12"/>
      <c r="AU2033" s="12"/>
      <c r="AV2033" s="12"/>
      <c r="AW2033" s="12"/>
      <c r="AX2033" s="12"/>
      <c r="AY2033" s="12"/>
      <c r="AZ2033" s="12"/>
      <c r="BA2033" s="12"/>
      <c r="BB2033" s="12"/>
      <c r="BC2033" s="12"/>
      <c r="BD2033" s="12"/>
      <c r="BF2033" s="106" t="str">
        <f t="shared" si="1"/>
        <v>#VALUE!</v>
      </c>
      <c r="BG2033" s="21">
        <f t="shared" si="2"/>
        <v>12</v>
      </c>
    </row>
    <row r="2034">
      <c r="P2034" s="161"/>
      <c r="AI2034" s="102"/>
      <c r="AO2034" s="12"/>
      <c r="AP2034" s="12"/>
      <c r="AQ2034" s="12"/>
      <c r="AR2034" s="12"/>
      <c r="AS2034" s="12"/>
      <c r="AT2034" s="12"/>
      <c r="AU2034" s="12"/>
      <c r="AV2034" s="12"/>
      <c r="AW2034" s="12"/>
      <c r="AX2034" s="12"/>
      <c r="AY2034" s="12"/>
      <c r="AZ2034" s="12"/>
      <c r="BA2034" s="12"/>
      <c r="BB2034" s="12"/>
      <c r="BC2034" s="12"/>
      <c r="BD2034" s="12"/>
      <c r="BF2034" s="106" t="str">
        <f t="shared" si="1"/>
        <v>#VALUE!</v>
      </c>
      <c r="BG2034" s="21">
        <f t="shared" si="2"/>
        <v>12</v>
      </c>
    </row>
    <row r="2035">
      <c r="P2035" s="161"/>
      <c r="AI2035" s="102"/>
      <c r="AO2035" s="12"/>
      <c r="AP2035" s="12"/>
      <c r="AQ2035" s="12"/>
      <c r="AR2035" s="12"/>
      <c r="AS2035" s="12"/>
      <c r="AT2035" s="12"/>
      <c r="AU2035" s="12"/>
      <c r="AV2035" s="12"/>
      <c r="AW2035" s="12"/>
      <c r="AX2035" s="12"/>
      <c r="AY2035" s="12"/>
      <c r="AZ2035" s="12"/>
      <c r="BA2035" s="12"/>
      <c r="BB2035" s="12"/>
      <c r="BC2035" s="12"/>
      <c r="BD2035" s="12"/>
      <c r="BF2035" s="106" t="str">
        <f t="shared" si="1"/>
        <v>#VALUE!</v>
      </c>
      <c r="BG2035" s="21">
        <f t="shared" si="2"/>
        <v>12</v>
      </c>
    </row>
    <row r="2036">
      <c r="P2036" s="161"/>
      <c r="AI2036" s="102"/>
      <c r="AO2036" s="12"/>
      <c r="AP2036" s="12"/>
      <c r="AQ2036" s="12"/>
      <c r="AR2036" s="12"/>
      <c r="AS2036" s="12"/>
      <c r="AT2036" s="12"/>
      <c r="AU2036" s="12"/>
      <c r="AV2036" s="12"/>
      <c r="AW2036" s="12"/>
      <c r="AX2036" s="12"/>
      <c r="AY2036" s="12"/>
      <c r="AZ2036" s="12"/>
      <c r="BA2036" s="12"/>
      <c r="BB2036" s="12"/>
      <c r="BC2036" s="12"/>
      <c r="BD2036" s="12"/>
      <c r="BF2036" s="106" t="str">
        <f t="shared" si="1"/>
        <v>#VALUE!</v>
      </c>
      <c r="BG2036" s="21">
        <f t="shared" si="2"/>
        <v>12</v>
      </c>
    </row>
    <row r="2037">
      <c r="P2037" s="161"/>
      <c r="AI2037" s="102"/>
      <c r="AO2037" s="12"/>
      <c r="AP2037" s="12"/>
      <c r="AQ2037" s="12"/>
      <c r="AR2037" s="12"/>
      <c r="AS2037" s="12"/>
      <c r="AT2037" s="12"/>
      <c r="AU2037" s="12"/>
      <c r="AV2037" s="12"/>
      <c r="AW2037" s="12"/>
      <c r="AX2037" s="12"/>
      <c r="AY2037" s="12"/>
      <c r="AZ2037" s="12"/>
      <c r="BA2037" s="12"/>
      <c r="BB2037" s="12"/>
      <c r="BC2037" s="12"/>
      <c r="BD2037" s="12"/>
      <c r="BF2037" s="106" t="str">
        <f t="shared" si="1"/>
        <v>#VALUE!</v>
      </c>
      <c r="BG2037" s="21">
        <f t="shared" si="2"/>
        <v>12</v>
      </c>
    </row>
    <row r="2038">
      <c r="P2038" s="161"/>
      <c r="AI2038" s="102"/>
      <c r="AO2038" s="12"/>
      <c r="AP2038" s="12"/>
      <c r="AQ2038" s="12"/>
      <c r="AR2038" s="12"/>
      <c r="AS2038" s="12"/>
      <c r="AT2038" s="12"/>
      <c r="AU2038" s="12"/>
      <c r="AV2038" s="12"/>
      <c r="AW2038" s="12"/>
      <c r="AX2038" s="12"/>
      <c r="AY2038" s="12"/>
      <c r="AZ2038" s="12"/>
      <c r="BA2038" s="12"/>
      <c r="BB2038" s="12"/>
      <c r="BC2038" s="12"/>
      <c r="BD2038" s="12"/>
      <c r="BF2038" s="106" t="str">
        <f t="shared" si="1"/>
        <v>#VALUE!</v>
      </c>
      <c r="BG2038" s="21">
        <f t="shared" si="2"/>
        <v>12</v>
      </c>
    </row>
    <row r="2039">
      <c r="P2039" s="161"/>
      <c r="AI2039" s="102"/>
      <c r="AO2039" s="12"/>
      <c r="AP2039" s="12"/>
      <c r="AQ2039" s="12"/>
      <c r="AR2039" s="12"/>
      <c r="AS2039" s="12"/>
      <c r="AT2039" s="12"/>
      <c r="AU2039" s="12"/>
      <c r="AV2039" s="12"/>
      <c r="AW2039" s="12"/>
      <c r="AX2039" s="12"/>
      <c r="AY2039" s="12"/>
      <c r="AZ2039" s="12"/>
      <c r="BA2039" s="12"/>
      <c r="BB2039" s="12"/>
      <c r="BC2039" s="12"/>
      <c r="BD2039" s="12"/>
      <c r="BF2039" s="106" t="str">
        <f t="shared" si="1"/>
        <v>#VALUE!</v>
      </c>
      <c r="BG2039" s="21">
        <f t="shared" si="2"/>
        <v>12</v>
      </c>
    </row>
    <row r="2040">
      <c r="P2040" s="161"/>
      <c r="AI2040" s="102"/>
      <c r="AO2040" s="12"/>
      <c r="AP2040" s="12"/>
      <c r="AQ2040" s="12"/>
      <c r="AR2040" s="12"/>
      <c r="AS2040" s="12"/>
      <c r="AT2040" s="12"/>
      <c r="AU2040" s="12"/>
      <c r="AV2040" s="12"/>
      <c r="AW2040" s="12"/>
      <c r="AX2040" s="12"/>
      <c r="AY2040" s="12"/>
      <c r="AZ2040" s="12"/>
      <c r="BA2040" s="12"/>
      <c r="BB2040" s="12"/>
      <c r="BC2040" s="12"/>
      <c r="BD2040" s="12"/>
      <c r="BF2040" s="106" t="str">
        <f t="shared" si="1"/>
        <v>#VALUE!</v>
      </c>
      <c r="BG2040" s="21">
        <f t="shared" si="2"/>
        <v>12</v>
      </c>
    </row>
    <row r="2041">
      <c r="P2041" s="161"/>
      <c r="AI2041" s="102"/>
      <c r="AO2041" s="12"/>
      <c r="AP2041" s="12"/>
      <c r="AQ2041" s="12"/>
      <c r="AR2041" s="12"/>
      <c r="AS2041" s="12"/>
      <c r="AT2041" s="12"/>
      <c r="AU2041" s="12"/>
      <c r="AV2041" s="12"/>
      <c r="AW2041" s="12"/>
      <c r="AX2041" s="12"/>
      <c r="AY2041" s="12"/>
      <c r="AZ2041" s="12"/>
      <c r="BA2041" s="12"/>
      <c r="BB2041" s="12"/>
      <c r="BC2041" s="12"/>
      <c r="BD2041" s="12"/>
      <c r="BF2041" s="106" t="str">
        <f t="shared" si="1"/>
        <v>#VALUE!</v>
      </c>
      <c r="BG2041" s="21">
        <f t="shared" si="2"/>
        <v>12</v>
      </c>
    </row>
    <row r="2042">
      <c r="P2042" s="161"/>
      <c r="AI2042" s="102"/>
      <c r="AO2042" s="12"/>
      <c r="AP2042" s="12"/>
      <c r="AQ2042" s="12"/>
      <c r="AR2042" s="12"/>
      <c r="AS2042" s="12"/>
      <c r="AT2042" s="12"/>
      <c r="AU2042" s="12"/>
      <c r="AV2042" s="12"/>
      <c r="AW2042" s="12"/>
      <c r="AX2042" s="12"/>
      <c r="AY2042" s="12"/>
      <c r="AZ2042" s="12"/>
      <c r="BA2042" s="12"/>
      <c r="BB2042" s="12"/>
      <c r="BC2042" s="12"/>
      <c r="BD2042" s="12"/>
      <c r="BF2042" s="106" t="str">
        <f t="shared" si="1"/>
        <v>#VALUE!</v>
      </c>
      <c r="BG2042" s="21">
        <f t="shared" si="2"/>
        <v>12</v>
      </c>
    </row>
    <row r="2043">
      <c r="P2043" s="161"/>
      <c r="AI2043" s="102"/>
      <c r="AO2043" s="12"/>
      <c r="AP2043" s="12"/>
      <c r="AQ2043" s="12"/>
      <c r="AR2043" s="12"/>
      <c r="AS2043" s="12"/>
      <c r="AT2043" s="12"/>
      <c r="AU2043" s="12"/>
      <c r="AV2043" s="12"/>
      <c r="AW2043" s="12"/>
      <c r="AX2043" s="12"/>
      <c r="AY2043" s="12"/>
      <c r="AZ2043" s="12"/>
      <c r="BA2043" s="12"/>
      <c r="BB2043" s="12"/>
      <c r="BC2043" s="12"/>
      <c r="BD2043" s="12"/>
      <c r="BF2043" s="106" t="str">
        <f t="shared" si="1"/>
        <v>#VALUE!</v>
      </c>
      <c r="BG2043" s="21">
        <f t="shared" si="2"/>
        <v>12</v>
      </c>
    </row>
    <row r="2044">
      <c r="P2044" s="161"/>
      <c r="AI2044" s="102"/>
      <c r="AO2044" s="12"/>
      <c r="AP2044" s="12"/>
      <c r="AQ2044" s="12"/>
      <c r="AR2044" s="12"/>
      <c r="AS2044" s="12"/>
      <c r="AT2044" s="12"/>
      <c r="AU2044" s="12"/>
      <c r="AV2044" s="12"/>
      <c r="AW2044" s="12"/>
      <c r="AX2044" s="12"/>
      <c r="AY2044" s="12"/>
      <c r="AZ2044" s="12"/>
      <c r="BA2044" s="12"/>
      <c r="BB2044" s="12"/>
      <c r="BC2044" s="12"/>
      <c r="BD2044" s="12"/>
      <c r="BF2044" s="106" t="str">
        <f t="shared" si="1"/>
        <v>#VALUE!</v>
      </c>
      <c r="BG2044" s="21">
        <f t="shared" si="2"/>
        <v>12</v>
      </c>
    </row>
    <row r="2045">
      <c r="P2045" s="161"/>
      <c r="AI2045" s="102"/>
      <c r="AO2045" s="12"/>
      <c r="AP2045" s="12"/>
      <c r="AQ2045" s="12"/>
      <c r="AR2045" s="12"/>
      <c r="AS2045" s="12"/>
      <c r="AT2045" s="12"/>
      <c r="AU2045" s="12"/>
      <c r="AV2045" s="12"/>
      <c r="AW2045" s="12"/>
      <c r="AX2045" s="12"/>
      <c r="AY2045" s="12"/>
      <c r="AZ2045" s="12"/>
      <c r="BA2045" s="12"/>
      <c r="BB2045" s="12"/>
      <c r="BC2045" s="12"/>
      <c r="BD2045" s="12"/>
      <c r="BF2045" s="106" t="str">
        <f t="shared" si="1"/>
        <v>#VALUE!</v>
      </c>
      <c r="BG2045" s="21">
        <f t="shared" si="2"/>
        <v>12</v>
      </c>
    </row>
    <row r="2046">
      <c r="P2046" s="161"/>
      <c r="AI2046" s="102"/>
      <c r="AO2046" s="12"/>
      <c r="AP2046" s="12"/>
      <c r="AQ2046" s="12"/>
      <c r="AR2046" s="12"/>
      <c r="AS2046" s="12"/>
      <c r="AT2046" s="12"/>
      <c r="AU2046" s="12"/>
      <c r="AV2046" s="12"/>
      <c r="AW2046" s="12"/>
      <c r="AX2046" s="12"/>
      <c r="AY2046" s="12"/>
      <c r="AZ2046" s="12"/>
      <c r="BA2046" s="12"/>
      <c r="BB2046" s="12"/>
      <c r="BC2046" s="12"/>
      <c r="BD2046" s="12"/>
      <c r="BF2046" s="106" t="str">
        <f t="shared" si="1"/>
        <v>#VALUE!</v>
      </c>
      <c r="BG2046" s="21">
        <f t="shared" si="2"/>
        <v>12</v>
      </c>
    </row>
    <row r="2047">
      <c r="P2047" s="161"/>
      <c r="AI2047" s="102"/>
      <c r="AO2047" s="12"/>
      <c r="AP2047" s="12"/>
      <c r="AQ2047" s="12"/>
      <c r="AR2047" s="12"/>
      <c r="AS2047" s="12"/>
      <c r="AT2047" s="12"/>
      <c r="AU2047" s="12"/>
      <c r="AV2047" s="12"/>
      <c r="AW2047" s="12"/>
      <c r="AX2047" s="12"/>
      <c r="AY2047" s="12"/>
      <c r="AZ2047" s="12"/>
      <c r="BA2047" s="12"/>
      <c r="BB2047" s="12"/>
      <c r="BC2047" s="12"/>
      <c r="BD2047" s="12"/>
      <c r="BF2047" s="106" t="str">
        <f t="shared" si="1"/>
        <v>#VALUE!</v>
      </c>
      <c r="BG2047" s="21">
        <f t="shared" si="2"/>
        <v>12</v>
      </c>
    </row>
    <row r="2048">
      <c r="P2048" s="161"/>
      <c r="AI2048" s="102"/>
      <c r="AO2048" s="12"/>
      <c r="AP2048" s="12"/>
      <c r="AQ2048" s="12"/>
      <c r="AR2048" s="12"/>
      <c r="AS2048" s="12"/>
      <c r="AT2048" s="12"/>
      <c r="AU2048" s="12"/>
      <c r="AV2048" s="12"/>
      <c r="AW2048" s="12"/>
      <c r="AX2048" s="12"/>
      <c r="AY2048" s="12"/>
      <c r="AZ2048" s="12"/>
      <c r="BA2048" s="12"/>
      <c r="BB2048" s="12"/>
      <c r="BC2048" s="12"/>
      <c r="BD2048" s="12"/>
      <c r="BF2048" s="106" t="str">
        <f t="shared" si="1"/>
        <v>#VALUE!</v>
      </c>
      <c r="BG2048" s="21">
        <f t="shared" si="2"/>
        <v>12</v>
      </c>
    </row>
    <row r="2049">
      <c r="P2049" s="161"/>
      <c r="AI2049" s="102"/>
      <c r="AO2049" s="12"/>
      <c r="AP2049" s="12"/>
      <c r="AQ2049" s="12"/>
      <c r="AR2049" s="12"/>
      <c r="AS2049" s="12"/>
      <c r="AT2049" s="12"/>
      <c r="AU2049" s="12"/>
      <c r="AV2049" s="12"/>
      <c r="AW2049" s="12"/>
      <c r="AX2049" s="12"/>
      <c r="AY2049" s="12"/>
      <c r="AZ2049" s="12"/>
      <c r="BA2049" s="12"/>
      <c r="BB2049" s="12"/>
      <c r="BC2049" s="12"/>
      <c r="BD2049" s="12"/>
      <c r="BF2049" s="106" t="str">
        <f t="shared" si="1"/>
        <v>#VALUE!</v>
      </c>
      <c r="BG2049" s="21">
        <f t="shared" si="2"/>
        <v>12</v>
      </c>
    </row>
    <row r="2050">
      <c r="P2050" s="161"/>
      <c r="AI2050" s="102"/>
      <c r="AO2050" s="12"/>
      <c r="AP2050" s="12"/>
      <c r="AQ2050" s="12"/>
      <c r="AR2050" s="12"/>
      <c r="AS2050" s="12"/>
      <c r="AT2050" s="12"/>
      <c r="AU2050" s="12"/>
      <c r="AV2050" s="12"/>
      <c r="AW2050" s="12"/>
      <c r="AX2050" s="12"/>
      <c r="AY2050" s="12"/>
      <c r="AZ2050" s="12"/>
      <c r="BA2050" s="12"/>
      <c r="BB2050" s="12"/>
      <c r="BC2050" s="12"/>
      <c r="BD2050" s="12"/>
      <c r="BF2050" s="106" t="str">
        <f t="shared" si="1"/>
        <v>#VALUE!</v>
      </c>
      <c r="BG2050" s="21">
        <f t="shared" si="2"/>
        <v>12</v>
      </c>
    </row>
    <row r="2051">
      <c r="P2051" s="161"/>
      <c r="AI2051" s="102"/>
      <c r="AO2051" s="12"/>
      <c r="AP2051" s="12"/>
      <c r="AQ2051" s="12"/>
      <c r="AR2051" s="12"/>
      <c r="AS2051" s="12"/>
      <c r="AT2051" s="12"/>
      <c r="AU2051" s="12"/>
      <c r="AV2051" s="12"/>
      <c r="AW2051" s="12"/>
      <c r="AX2051" s="12"/>
      <c r="AY2051" s="12"/>
      <c r="AZ2051" s="12"/>
      <c r="BA2051" s="12"/>
      <c r="BB2051" s="12"/>
      <c r="BC2051" s="12"/>
      <c r="BD2051" s="12"/>
      <c r="BF2051" s="106" t="str">
        <f t="shared" si="1"/>
        <v>#VALUE!</v>
      </c>
      <c r="BG2051" s="21">
        <f t="shared" si="2"/>
        <v>12</v>
      </c>
    </row>
    <row r="2052">
      <c r="P2052" s="161"/>
      <c r="AI2052" s="102"/>
      <c r="AO2052" s="12"/>
      <c r="AP2052" s="12"/>
      <c r="AQ2052" s="12"/>
      <c r="AR2052" s="12"/>
      <c r="AS2052" s="12"/>
      <c r="AT2052" s="12"/>
      <c r="AU2052" s="12"/>
      <c r="AV2052" s="12"/>
      <c r="AW2052" s="12"/>
      <c r="AX2052" s="12"/>
      <c r="AY2052" s="12"/>
      <c r="AZ2052" s="12"/>
      <c r="BA2052" s="12"/>
      <c r="BB2052" s="12"/>
      <c r="BC2052" s="12"/>
      <c r="BD2052" s="12"/>
      <c r="BF2052" s="106" t="str">
        <f t="shared" si="1"/>
        <v>#VALUE!</v>
      </c>
      <c r="BG2052" s="21">
        <f t="shared" si="2"/>
        <v>12</v>
      </c>
    </row>
    <row r="2053">
      <c r="P2053" s="161"/>
      <c r="AI2053" s="102"/>
      <c r="AO2053" s="12"/>
      <c r="AP2053" s="12"/>
      <c r="AQ2053" s="12"/>
      <c r="AR2053" s="12"/>
      <c r="AS2053" s="12"/>
      <c r="AT2053" s="12"/>
      <c r="AU2053" s="12"/>
      <c r="AV2053" s="12"/>
      <c r="AW2053" s="12"/>
      <c r="AX2053" s="12"/>
      <c r="AY2053" s="12"/>
      <c r="AZ2053" s="12"/>
      <c r="BA2053" s="12"/>
      <c r="BB2053" s="12"/>
      <c r="BC2053" s="12"/>
      <c r="BD2053" s="12"/>
      <c r="BF2053" s="106" t="str">
        <f t="shared" si="1"/>
        <v>#VALUE!</v>
      </c>
      <c r="BG2053" s="21">
        <f t="shared" si="2"/>
        <v>12</v>
      </c>
    </row>
    <row r="2054">
      <c r="P2054" s="161"/>
      <c r="AI2054" s="102"/>
      <c r="AO2054" s="12"/>
      <c r="AP2054" s="12"/>
      <c r="AQ2054" s="12"/>
      <c r="AR2054" s="12"/>
      <c r="AS2054" s="12"/>
      <c r="AT2054" s="12"/>
      <c r="AU2054" s="12"/>
      <c r="AV2054" s="12"/>
      <c r="AW2054" s="12"/>
      <c r="AX2054" s="12"/>
      <c r="AY2054" s="12"/>
      <c r="AZ2054" s="12"/>
      <c r="BA2054" s="12"/>
      <c r="BB2054" s="12"/>
      <c r="BC2054" s="12"/>
      <c r="BD2054" s="12"/>
      <c r="BF2054" s="106" t="str">
        <f t="shared" si="1"/>
        <v>#VALUE!</v>
      </c>
      <c r="BG2054" s="21">
        <f t="shared" si="2"/>
        <v>12</v>
      </c>
    </row>
    <row r="2055">
      <c r="P2055" s="161"/>
      <c r="AI2055" s="102"/>
      <c r="AO2055" s="12"/>
      <c r="AP2055" s="12"/>
      <c r="AQ2055" s="12"/>
      <c r="AR2055" s="12"/>
      <c r="AS2055" s="12"/>
      <c r="AT2055" s="12"/>
      <c r="AU2055" s="12"/>
      <c r="AV2055" s="12"/>
      <c r="AW2055" s="12"/>
      <c r="AX2055" s="12"/>
      <c r="AY2055" s="12"/>
      <c r="AZ2055" s="12"/>
      <c r="BA2055" s="12"/>
      <c r="BB2055" s="12"/>
      <c r="BC2055" s="12"/>
      <c r="BD2055" s="12"/>
      <c r="BF2055" s="106" t="str">
        <f t="shared" si="1"/>
        <v>#VALUE!</v>
      </c>
      <c r="BG2055" s="21">
        <f t="shared" si="2"/>
        <v>12</v>
      </c>
    </row>
    <row r="2056">
      <c r="P2056" s="161"/>
      <c r="AI2056" s="102"/>
      <c r="AO2056" s="12"/>
      <c r="AP2056" s="12"/>
      <c r="AQ2056" s="12"/>
      <c r="AR2056" s="12"/>
      <c r="AS2056" s="12"/>
      <c r="AT2056" s="12"/>
      <c r="AU2056" s="12"/>
      <c r="AV2056" s="12"/>
      <c r="AW2056" s="12"/>
      <c r="AX2056" s="12"/>
      <c r="AY2056" s="12"/>
      <c r="AZ2056" s="12"/>
      <c r="BA2056" s="12"/>
      <c r="BB2056" s="12"/>
      <c r="BC2056" s="12"/>
      <c r="BD2056" s="12"/>
      <c r="BF2056" s="106" t="str">
        <f t="shared" si="1"/>
        <v>#VALUE!</v>
      </c>
      <c r="BG2056" s="21">
        <f t="shared" si="2"/>
        <v>12</v>
      </c>
    </row>
    <row r="2057">
      <c r="P2057" s="161"/>
      <c r="AI2057" s="102"/>
      <c r="AO2057" s="12"/>
      <c r="AP2057" s="12"/>
      <c r="AQ2057" s="12"/>
      <c r="AR2057" s="12"/>
      <c r="AS2057" s="12"/>
      <c r="AT2057" s="12"/>
      <c r="AU2057" s="12"/>
      <c r="AV2057" s="12"/>
      <c r="AW2057" s="12"/>
      <c r="AX2057" s="12"/>
      <c r="AY2057" s="12"/>
      <c r="AZ2057" s="12"/>
      <c r="BA2057" s="12"/>
      <c r="BB2057" s="12"/>
      <c r="BC2057" s="12"/>
      <c r="BD2057" s="12"/>
      <c r="BF2057" s="106" t="str">
        <f t="shared" si="1"/>
        <v>#VALUE!</v>
      </c>
      <c r="BG2057" s="21">
        <f t="shared" si="2"/>
        <v>12</v>
      </c>
    </row>
    <row r="2058">
      <c r="P2058" s="161"/>
      <c r="AI2058" s="102"/>
      <c r="AO2058" s="12"/>
      <c r="AP2058" s="12"/>
      <c r="AQ2058" s="12"/>
      <c r="AR2058" s="12"/>
      <c r="AS2058" s="12"/>
      <c r="AT2058" s="12"/>
      <c r="AU2058" s="12"/>
      <c r="AV2058" s="12"/>
      <c r="AW2058" s="12"/>
      <c r="AX2058" s="12"/>
      <c r="AY2058" s="12"/>
      <c r="AZ2058" s="12"/>
      <c r="BA2058" s="12"/>
      <c r="BB2058" s="12"/>
      <c r="BC2058" s="12"/>
      <c r="BD2058" s="12"/>
      <c r="BF2058" s="106" t="str">
        <f t="shared" si="1"/>
        <v>#VALUE!</v>
      </c>
      <c r="BG2058" s="21">
        <f t="shared" si="2"/>
        <v>12</v>
      </c>
    </row>
    <row r="2059">
      <c r="P2059" s="161"/>
      <c r="AI2059" s="102"/>
      <c r="AO2059" s="12"/>
      <c r="AP2059" s="12"/>
      <c r="AQ2059" s="12"/>
      <c r="AR2059" s="12"/>
      <c r="AS2059" s="12"/>
      <c r="AT2059" s="12"/>
      <c r="AU2059" s="12"/>
      <c r="AV2059" s="12"/>
      <c r="AW2059" s="12"/>
      <c r="AX2059" s="12"/>
      <c r="AY2059" s="12"/>
      <c r="AZ2059" s="12"/>
      <c r="BA2059" s="12"/>
      <c r="BB2059" s="12"/>
      <c r="BC2059" s="12"/>
      <c r="BD2059" s="12"/>
      <c r="BF2059" s="106" t="str">
        <f t="shared" si="1"/>
        <v>#VALUE!</v>
      </c>
      <c r="BG2059" s="21">
        <f t="shared" si="2"/>
        <v>12</v>
      </c>
    </row>
    <row r="2060">
      <c r="P2060" s="161"/>
      <c r="AI2060" s="102"/>
      <c r="AO2060" s="12"/>
      <c r="AP2060" s="12"/>
      <c r="AQ2060" s="12"/>
      <c r="AR2060" s="12"/>
      <c r="AS2060" s="12"/>
      <c r="AT2060" s="12"/>
      <c r="AU2060" s="12"/>
      <c r="AV2060" s="12"/>
      <c r="AW2060" s="12"/>
      <c r="AX2060" s="12"/>
      <c r="AY2060" s="12"/>
      <c r="AZ2060" s="12"/>
      <c r="BA2060" s="12"/>
      <c r="BB2060" s="12"/>
      <c r="BC2060" s="12"/>
      <c r="BD2060" s="12"/>
      <c r="BF2060" s="106" t="str">
        <f t="shared" si="1"/>
        <v>#VALUE!</v>
      </c>
      <c r="BG2060" s="21">
        <f t="shared" si="2"/>
        <v>12</v>
      </c>
    </row>
    <row r="2061">
      <c r="P2061" s="161"/>
      <c r="AI2061" s="102"/>
      <c r="AO2061" s="12"/>
      <c r="AP2061" s="12"/>
      <c r="AQ2061" s="12"/>
      <c r="AR2061" s="12"/>
      <c r="AS2061" s="12"/>
      <c r="AT2061" s="12"/>
      <c r="AU2061" s="12"/>
      <c r="AV2061" s="12"/>
      <c r="AW2061" s="12"/>
      <c r="AX2061" s="12"/>
      <c r="AY2061" s="12"/>
      <c r="AZ2061" s="12"/>
      <c r="BA2061" s="12"/>
      <c r="BB2061" s="12"/>
      <c r="BC2061" s="12"/>
      <c r="BD2061" s="12"/>
      <c r="BF2061" s="106" t="str">
        <f t="shared" si="1"/>
        <v>#VALUE!</v>
      </c>
      <c r="BG2061" s="21">
        <f t="shared" si="2"/>
        <v>12</v>
      </c>
    </row>
    <row r="2062">
      <c r="P2062" s="161"/>
      <c r="AI2062" s="102"/>
      <c r="AO2062" s="12"/>
      <c r="AP2062" s="12"/>
      <c r="AQ2062" s="12"/>
      <c r="AR2062" s="12"/>
      <c r="AS2062" s="12"/>
      <c r="AT2062" s="12"/>
      <c r="AU2062" s="12"/>
      <c r="AV2062" s="12"/>
      <c r="AW2062" s="12"/>
      <c r="AX2062" s="12"/>
      <c r="AY2062" s="12"/>
      <c r="AZ2062" s="12"/>
      <c r="BA2062" s="12"/>
      <c r="BB2062" s="12"/>
      <c r="BC2062" s="12"/>
      <c r="BD2062" s="12"/>
      <c r="BF2062" s="106" t="str">
        <f t="shared" si="1"/>
        <v>#VALUE!</v>
      </c>
      <c r="BG2062" s="21">
        <f t="shared" si="2"/>
        <v>12</v>
      </c>
    </row>
    <row r="2063">
      <c r="P2063" s="161"/>
      <c r="AI2063" s="102"/>
      <c r="AO2063" s="12"/>
      <c r="AP2063" s="12"/>
      <c r="AQ2063" s="12"/>
      <c r="AR2063" s="12"/>
      <c r="AS2063" s="12"/>
      <c r="AT2063" s="12"/>
      <c r="AU2063" s="12"/>
      <c r="AV2063" s="12"/>
      <c r="AW2063" s="12"/>
      <c r="AX2063" s="12"/>
      <c r="AY2063" s="12"/>
      <c r="AZ2063" s="12"/>
      <c r="BA2063" s="12"/>
      <c r="BB2063" s="12"/>
      <c r="BC2063" s="12"/>
      <c r="BD2063" s="12"/>
      <c r="BF2063" s="106" t="str">
        <f t="shared" si="1"/>
        <v>#VALUE!</v>
      </c>
      <c r="BG2063" s="21">
        <f t="shared" si="2"/>
        <v>12</v>
      </c>
    </row>
    <row r="2064">
      <c r="P2064" s="161"/>
      <c r="AI2064" s="102"/>
      <c r="AO2064" s="12"/>
      <c r="AP2064" s="12"/>
      <c r="AQ2064" s="12"/>
      <c r="AR2064" s="12"/>
      <c r="AS2064" s="12"/>
      <c r="AT2064" s="12"/>
      <c r="AU2064" s="12"/>
      <c r="AV2064" s="12"/>
      <c r="AW2064" s="12"/>
      <c r="AX2064" s="12"/>
      <c r="AY2064" s="12"/>
      <c r="AZ2064" s="12"/>
      <c r="BA2064" s="12"/>
      <c r="BB2064" s="12"/>
      <c r="BC2064" s="12"/>
      <c r="BD2064" s="12"/>
      <c r="BF2064" s="106" t="str">
        <f t="shared" si="1"/>
        <v>#VALUE!</v>
      </c>
      <c r="BG2064" s="21">
        <f t="shared" si="2"/>
        <v>12</v>
      </c>
    </row>
    <row r="2065">
      <c r="P2065" s="161"/>
      <c r="AI2065" s="102"/>
      <c r="AO2065" s="12"/>
      <c r="AP2065" s="12"/>
      <c r="AQ2065" s="12"/>
      <c r="AR2065" s="12"/>
      <c r="AS2065" s="12"/>
      <c r="AT2065" s="12"/>
      <c r="AU2065" s="12"/>
      <c r="AV2065" s="12"/>
      <c r="AW2065" s="12"/>
      <c r="AX2065" s="12"/>
      <c r="AY2065" s="12"/>
      <c r="AZ2065" s="12"/>
      <c r="BA2065" s="12"/>
      <c r="BB2065" s="12"/>
      <c r="BC2065" s="12"/>
      <c r="BD2065" s="12"/>
      <c r="BF2065" s="106" t="str">
        <f t="shared" si="1"/>
        <v>#VALUE!</v>
      </c>
      <c r="BG2065" s="21">
        <f t="shared" si="2"/>
        <v>12</v>
      </c>
    </row>
    <row r="2066">
      <c r="P2066" s="161"/>
      <c r="AI2066" s="102"/>
      <c r="AO2066" s="12"/>
      <c r="AP2066" s="12"/>
      <c r="AQ2066" s="12"/>
      <c r="AR2066" s="12"/>
      <c r="AS2066" s="12"/>
      <c r="AT2066" s="12"/>
      <c r="AU2066" s="12"/>
      <c r="AV2066" s="12"/>
      <c r="AW2066" s="12"/>
      <c r="AX2066" s="12"/>
      <c r="AY2066" s="12"/>
      <c r="AZ2066" s="12"/>
      <c r="BA2066" s="12"/>
      <c r="BB2066" s="12"/>
      <c r="BC2066" s="12"/>
      <c r="BD2066" s="12"/>
      <c r="BF2066" s="106" t="str">
        <f t="shared" si="1"/>
        <v>#VALUE!</v>
      </c>
      <c r="BG2066" s="21">
        <f t="shared" si="2"/>
        <v>12</v>
      </c>
    </row>
    <row r="2067">
      <c r="P2067" s="161"/>
      <c r="AI2067" s="102"/>
      <c r="AO2067" s="12"/>
      <c r="AP2067" s="12"/>
      <c r="AQ2067" s="12"/>
      <c r="AR2067" s="12"/>
      <c r="AS2067" s="12"/>
      <c r="AT2067" s="12"/>
      <c r="AU2067" s="12"/>
      <c r="AV2067" s="12"/>
      <c r="AW2067" s="12"/>
      <c r="AX2067" s="12"/>
      <c r="AY2067" s="12"/>
      <c r="AZ2067" s="12"/>
      <c r="BA2067" s="12"/>
      <c r="BB2067" s="12"/>
      <c r="BC2067" s="12"/>
      <c r="BD2067" s="12"/>
      <c r="BF2067" s="106" t="str">
        <f t="shared" si="1"/>
        <v>#VALUE!</v>
      </c>
      <c r="BG2067" s="21">
        <f t="shared" si="2"/>
        <v>12</v>
      </c>
    </row>
    <row r="2068">
      <c r="P2068" s="161"/>
      <c r="AI2068" s="102"/>
      <c r="AO2068" s="12"/>
      <c r="AP2068" s="12"/>
      <c r="AQ2068" s="12"/>
      <c r="AR2068" s="12"/>
      <c r="AS2068" s="12"/>
      <c r="AT2068" s="12"/>
      <c r="AU2068" s="12"/>
      <c r="AV2068" s="12"/>
      <c r="AW2068" s="12"/>
      <c r="AX2068" s="12"/>
      <c r="AY2068" s="12"/>
      <c r="AZ2068" s="12"/>
      <c r="BA2068" s="12"/>
      <c r="BB2068" s="12"/>
      <c r="BC2068" s="12"/>
      <c r="BD2068" s="12"/>
      <c r="BF2068" s="106" t="str">
        <f t="shared" si="1"/>
        <v>#VALUE!</v>
      </c>
      <c r="BG2068" s="21">
        <f t="shared" si="2"/>
        <v>12</v>
      </c>
    </row>
    <row r="2069">
      <c r="P2069" s="161"/>
      <c r="AI2069" s="102"/>
      <c r="AO2069" s="12"/>
      <c r="AP2069" s="12"/>
      <c r="AQ2069" s="12"/>
      <c r="AR2069" s="12"/>
      <c r="AS2069" s="12"/>
      <c r="AT2069" s="12"/>
      <c r="AU2069" s="12"/>
      <c r="AV2069" s="12"/>
      <c r="AW2069" s="12"/>
      <c r="AX2069" s="12"/>
      <c r="AY2069" s="12"/>
      <c r="AZ2069" s="12"/>
      <c r="BA2069" s="12"/>
      <c r="BB2069" s="12"/>
      <c r="BC2069" s="12"/>
      <c r="BD2069" s="12"/>
      <c r="BF2069" s="106" t="str">
        <f t="shared" si="1"/>
        <v>#VALUE!</v>
      </c>
      <c r="BG2069" s="21">
        <f t="shared" si="2"/>
        <v>12</v>
      </c>
    </row>
    <row r="2070">
      <c r="P2070" s="161"/>
      <c r="AI2070" s="102"/>
      <c r="AO2070" s="12"/>
      <c r="AP2070" s="12"/>
      <c r="AQ2070" s="12"/>
      <c r="AR2070" s="12"/>
      <c r="AS2070" s="12"/>
      <c r="AT2070" s="12"/>
      <c r="AU2070" s="12"/>
      <c r="AV2070" s="12"/>
      <c r="AW2070" s="12"/>
      <c r="AX2070" s="12"/>
      <c r="AY2070" s="12"/>
      <c r="AZ2070" s="12"/>
      <c r="BA2070" s="12"/>
      <c r="BB2070" s="12"/>
      <c r="BC2070" s="12"/>
      <c r="BD2070" s="12"/>
      <c r="BF2070" s="106" t="str">
        <f t="shared" si="1"/>
        <v>#VALUE!</v>
      </c>
      <c r="BG2070" s="21">
        <f t="shared" si="2"/>
        <v>12</v>
      </c>
    </row>
    <row r="2071">
      <c r="P2071" s="161"/>
      <c r="AI2071" s="102"/>
      <c r="AO2071" s="12"/>
      <c r="AP2071" s="12"/>
      <c r="AQ2071" s="12"/>
      <c r="AR2071" s="12"/>
      <c r="AS2071" s="12"/>
      <c r="AT2071" s="12"/>
      <c r="AU2071" s="12"/>
      <c r="AV2071" s="12"/>
      <c r="AW2071" s="12"/>
      <c r="AX2071" s="12"/>
      <c r="AY2071" s="12"/>
      <c r="AZ2071" s="12"/>
      <c r="BA2071" s="12"/>
      <c r="BB2071" s="12"/>
      <c r="BC2071" s="12"/>
      <c r="BD2071" s="12"/>
      <c r="BF2071" s="106" t="str">
        <f t="shared" si="1"/>
        <v>#VALUE!</v>
      </c>
      <c r="BG2071" s="21">
        <f t="shared" si="2"/>
        <v>12</v>
      </c>
    </row>
    <row r="2072">
      <c r="P2072" s="161"/>
      <c r="AI2072" s="102"/>
      <c r="AO2072" s="12"/>
      <c r="AP2072" s="12"/>
      <c r="AQ2072" s="12"/>
      <c r="AR2072" s="12"/>
      <c r="AS2072" s="12"/>
      <c r="AT2072" s="12"/>
      <c r="AU2072" s="12"/>
      <c r="AV2072" s="12"/>
      <c r="AW2072" s="12"/>
      <c r="AX2072" s="12"/>
      <c r="AY2072" s="12"/>
      <c r="AZ2072" s="12"/>
      <c r="BA2072" s="12"/>
      <c r="BB2072" s="12"/>
      <c r="BC2072" s="12"/>
      <c r="BD2072" s="12"/>
      <c r="BF2072" s="106" t="str">
        <f t="shared" si="1"/>
        <v>#VALUE!</v>
      </c>
      <c r="BG2072" s="21">
        <f t="shared" si="2"/>
        <v>12</v>
      </c>
    </row>
    <row r="2073">
      <c r="P2073" s="161"/>
      <c r="AI2073" s="102"/>
      <c r="AO2073" s="12"/>
      <c r="AP2073" s="12"/>
      <c r="AQ2073" s="12"/>
      <c r="AR2073" s="12"/>
      <c r="AS2073" s="12"/>
      <c r="AT2073" s="12"/>
      <c r="AU2073" s="12"/>
      <c r="AV2073" s="12"/>
      <c r="AW2073" s="12"/>
      <c r="AX2073" s="12"/>
      <c r="AY2073" s="12"/>
      <c r="AZ2073" s="12"/>
      <c r="BA2073" s="12"/>
      <c r="BB2073" s="12"/>
      <c r="BC2073" s="12"/>
      <c r="BD2073" s="12"/>
      <c r="BF2073" s="106" t="str">
        <f t="shared" si="1"/>
        <v>#VALUE!</v>
      </c>
      <c r="BG2073" s="21">
        <f t="shared" si="2"/>
        <v>12</v>
      </c>
    </row>
    <row r="2074">
      <c r="P2074" s="161"/>
      <c r="AI2074" s="102"/>
      <c r="AO2074" s="12"/>
      <c r="AP2074" s="12"/>
      <c r="AQ2074" s="12"/>
      <c r="AR2074" s="12"/>
      <c r="AS2074" s="12"/>
      <c r="AT2074" s="12"/>
      <c r="AU2074" s="12"/>
      <c r="AV2074" s="12"/>
      <c r="AW2074" s="12"/>
      <c r="AX2074" s="12"/>
      <c r="AY2074" s="12"/>
      <c r="AZ2074" s="12"/>
      <c r="BA2074" s="12"/>
      <c r="BB2074" s="12"/>
      <c r="BC2074" s="12"/>
      <c r="BD2074" s="12"/>
      <c r="BF2074" s="106" t="str">
        <f t="shared" si="1"/>
        <v>#VALUE!</v>
      </c>
      <c r="BG2074" s="21">
        <f t="shared" si="2"/>
        <v>12</v>
      </c>
    </row>
    <row r="2075">
      <c r="P2075" s="161"/>
      <c r="AI2075" s="102"/>
      <c r="AO2075" s="12"/>
      <c r="AP2075" s="12"/>
      <c r="AQ2075" s="12"/>
      <c r="AR2075" s="12"/>
      <c r="AS2075" s="12"/>
      <c r="AT2075" s="12"/>
      <c r="AU2075" s="12"/>
      <c r="AV2075" s="12"/>
      <c r="AW2075" s="12"/>
      <c r="AX2075" s="12"/>
      <c r="AY2075" s="12"/>
      <c r="AZ2075" s="12"/>
      <c r="BA2075" s="12"/>
      <c r="BB2075" s="12"/>
      <c r="BC2075" s="12"/>
      <c r="BD2075" s="12"/>
      <c r="BF2075" s="106" t="str">
        <f t="shared" si="1"/>
        <v>#VALUE!</v>
      </c>
      <c r="BG2075" s="21">
        <f t="shared" si="2"/>
        <v>12</v>
      </c>
    </row>
    <row r="2076">
      <c r="P2076" s="161"/>
      <c r="AI2076" s="102"/>
      <c r="AO2076" s="12"/>
      <c r="AP2076" s="12"/>
      <c r="AQ2076" s="12"/>
      <c r="AR2076" s="12"/>
      <c r="AS2076" s="12"/>
      <c r="AT2076" s="12"/>
      <c r="AU2076" s="12"/>
      <c r="AV2076" s="12"/>
      <c r="AW2076" s="12"/>
      <c r="AX2076" s="12"/>
      <c r="AY2076" s="12"/>
      <c r="AZ2076" s="12"/>
      <c r="BA2076" s="12"/>
      <c r="BB2076" s="12"/>
      <c r="BC2076" s="12"/>
      <c r="BD2076" s="12"/>
      <c r="BF2076" s="106" t="str">
        <f t="shared" si="1"/>
        <v>#VALUE!</v>
      </c>
      <c r="BG2076" s="21">
        <f t="shared" si="2"/>
        <v>12</v>
      </c>
    </row>
    <row r="2077">
      <c r="P2077" s="161"/>
      <c r="AI2077" s="102"/>
      <c r="AO2077" s="12"/>
      <c r="AP2077" s="12"/>
      <c r="AQ2077" s="12"/>
      <c r="AR2077" s="12"/>
      <c r="AS2077" s="12"/>
      <c r="AT2077" s="12"/>
      <c r="AU2077" s="12"/>
      <c r="AV2077" s="12"/>
      <c r="AW2077" s="12"/>
      <c r="AX2077" s="12"/>
      <c r="AY2077" s="12"/>
      <c r="AZ2077" s="12"/>
      <c r="BA2077" s="12"/>
      <c r="BB2077" s="12"/>
      <c r="BC2077" s="12"/>
      <c r="BD2077" s="12"/>
      <c r="BF2077" s="106" t="str">
        <f t="shared" si="1"/>
        <v>#VALUE!</v>
      </c>
      <c r="BG2077" s="21">
        <f t="shared" si="2"/>
        <v>12</v>
      </c>
    </row>
    <row r="2078">
      <c r="P2078" s="161"/>
      <c r="AI2078" s="102"/>
      <c r="AO2078" s="12"/>
      <c r="AP2078" s="12"/>
      <c r="AQ2078" s="12"/>
      <c r="AR2078" s="12"/>
      <c r="AS2078" s="12"/>
      <c r="AT2078" s="12"/>
      <c r="AU2078" s="12"/>
      <c r="AV2078" s="12"/>
      <c r="AW2078" s="12"/>
      <c r="AX2078" s="12"/>
      <c r="AY2078" s="12"/>
      <c r="AZ2078" s="12"/>
      <c r="BA2078" s="12"/>
      <c r="BB2078" s="12"/>
      <c r="BC2078" s="12"/>
      <c r="BD2078" s="12"/>
      <c r="BF2078" s="106" t="str">
        <f t="shared" si="1"/>
        <v>#VALUE!</v>
      </c>
      <c r="BG2078" s="21">
        <f t="shared" si="2"/>
        <v>12</v>
      </c>
    </row>
    <row r="2079">
      <c r="P2079" s="161"/>
      <c r="AI2079" s="102"/>
      <c r="AO2079" s="12"/>
      <c r="AP2079" s="12"/>
      <c r="AQ2079" s="12"/>
      <c r="AR2079" s="12"/>
      <c r="AS2079" s="12"/>
      <c r="AT2079" s="12"/>
      <c r="AU2079" s="12"/>
      <c r="AV2079" s="12"/>
      <c r="AW2079" s="12"/>
      <c r="AX2079" s="12"/>
      <c r="AY2079" s="12"/>
      <c r="AZ2079" s="12"/>
      <c r="BA2079" s="12"/>
      <c r="BB2079" s="12"/>
      <c r="BC2079" s="12"/>
      <c r="BD2079" s="12"/>
      <c r="BF2079" s="106" t="str">
        <f t="shared" si="1"/>
        <v>#VALUE!</v>
      </c>
      <c r="BG2079" s="21">
        <f t="shared" si="2"/>
        <v>12</v>
      </c>
    </row>
    <row r="2080">
      <c r="P2080" s="161"/>
      <c r="AI2080" s="102"/>
      <c r="AO2080" s="12"/>
      <c r="AP2080" s="12"/>
      <c r="AQ2080" s="12"/>
      <c r="AR2080" s="12"/>
      <c r="AS2080" s="12"/>
      <c r="AT2080" s="12"/>
      <c r="AU2080" s="12"/>
      <c r="AV2080" s="12"/>
      <c r="AW2080" s="12"/>
      <c r="AX2080" s="12"/>
      <c r="AY2080" s="12"/>
      <c r="AZ2080" s="12"/>
      <c r="BA2080" s="12"/>
      <c r="BB2080" s="12"/>
      <c r="BC2080" s="12"/>
      <c r="BD2080" s="12"/>
      <c r="BF2080" s="106" t="str">
        <f t="shared" si="1"/>
        <v>#VALUE!</v>
      </c>
      <c r="BG2080" s="21">
        <f t="shared" si="2"/>
        <v>12</v>
      </c>
    </row>
    <row r="2081">
      <c r="P2081" s="161"/>
      <c r="AI2081" s="102"/>
      <c r="AO2081" s="12"/>
      <c r="AP2081" s="12"/>
      <c r="AQ2081" s="12"/>
      <c r="AR2081" s="12"/>
      <c r="AS2081" s="12"/>
      <c r="AT2081" s="12"/>
      <c r="AU2081" s="12"/>
      <c r="AV2081" s="12"/>
      <c r="AW2081" s="12"/>
      <c r="AX2081" s="12"/>
      <c r="AY2081" s="12"/>
      <c r="AZ2081" s="12"/>
      <c r="BA2081" s="12"/>
      <c r="BB2081" s="12"/>
      <c r="BC2081" s="12"/>
      <c r="BD2081" s="12"/>
      <c r="BF2081" s="106" t="str">
        <f t="shared" si="1"/>
        <v>#VALUE!</v>
      </c>
      <c r="BG2081" s="21">
        <f t="shared" si="2"/>
        <v>12</v>
      </c>
    </row>
    <row r="2082">
      <c r="P2082" s="161"/>
      <c r="AI2082" s="102"/>
      <c r="AO2082" s="12"/>
      <c r="AP2082" s="12"/>
      <c r="AQ2082" s="12"/>
      <c r="AR2082" s="12"/>
      <c r="AS2082" s="12"/>
      <c r="AT2082" s="12"/>
      <c r="AU2082" s="12"/>
      <c r="AV2082" s="12"/>
      <c r="AW2082" s="12"/>
      <c r="AX2082" s="12"/>
      <c r="AY2082" s="12"/>
      <c r="AZ2082" s="12"/>
      <c r="BA2082" s="12"/>
      <c r="BB2082" s="12"/>
      <c r="BC2082" s="12"/>
      <c r="BD2082" s="12"/>
      <c r="BF2082" s="106" t="str">
        <f t="shared" si="1"/>
        <v>#VALUE!</v>
      </c>
      <c r="BG2082" s="21">
        <f t="shared" si="2"/>
        <v>12</v>
      </c>
    </row>
    <row r="2083">
      <c r="P2083" s="161"/>
      <c r="AI2083" s="102"/>
      <c r="AO2083" s="12"/>
      <c r="AP2083" s="12"/>
      <c r="AQ2083" s="12"/>
      <c r="AR2083" s="12"/>
      <c r="AS2083" s="12"/>
      <c r="AT2083" s="12"/>
      <c r="AU2083" s="12"/>
      <c r="AV2083" s="12"/>
      <c r="AW2083" s="12"/>
      <c r="AX2083" s="12"/>
      <c r="AY2083" s="12"/>
      <c r="AZ2083" s="12"/>
      <c r="BA2083" s="12"/>
      <c r="BB2083" s="12"/>
      <c r="BC2083" s="12"/>
      <c r="BD2083" s="12"/>
      <c r="BF2083" s="106" t="str">
        <f t="shared" si="1"/>
        <v>#VALUE!</v>
      </c>
      <c r="BG2083" s="21">
        <f t="shared" si="2"/>
        <v>12</v>
      </c>
    </row>
    <row r="2084">
      <c r="P2084" s="161"/>
      <c r="AI2084" s="102"/>
      <c r="AO2084" s="12"/>
      <c r="AP2084" s="12"/>
      <c r="AQ2084" s="12"/>
      <c r="AR2084" s="12"/>
      <c r="AS2084" s="12"/>
      <c r="AT2084" s="12"/>
      <c r="AU2084" s="12"/>
      <c r="AV2084" s="12"/>
      <c r="AW2084" s="12"/>
      <c r="AX2084" s="12"/>
      <c r="AY2084" s="12"/>
      <c r="AZ2084" s="12"/>
      <c r="BA2084" s="12"/>
      <c r="BB2084" s="12"/>
      <c r="BC2084" s="12"/>
      <c r="BD2084" s="12"/>
      <c r="BF2084" s="106" t="str">
        <f t="shared" si="1"/>
        <v>#VALUE!</v>
      </c>
      <c r="BG2084" s="21">
        <f t="shared" si="2"/>
        <v>12</v>
      </c>
    </row>
    <row r="2085">
      <c r="P2085" s="161"/>
      <c r="AI2085" s="102"/>
      <c r="AO2085" s="12"/>
      <c r="AP2085" s="12"/>
      <c r="AQ2085" s="12"/>
      <c r="AR2085" s="12"/>
      <c r="AS2085" s="12"/>
      <c r="AT2085" s="12"/>
      <c r="AU2085" s="12"/>
      <c r="AV2085" s="12"/>
      <c r="AW2085" s="12"/>
      <c r="AX2085" s="12"/>
      <c r="AY2085" s="12"/>
      <c r="AZ2085" s="12"/>
      <c r="BA2085" s="12"/>
      <c r="BB2085" s="12"/>
      <c r="BC2085" s="12"/>
      <c r="BD2085" s="12"/>
      <c r="BF2085" s="106" t="str">
        <f t="shared" si="1"/>
        <v>#VALUE!</v>
      </c>
      <c r="BG2085" s="21">
        <f t="shared" si="2"/>
        <v>12</v>
      </c>
    </row>
    <row r="2086">
      <c r="P2086" s="161"/>
      <c r="AI2086" s="102"/>
      <c r="AO2086" s="12"/>
      <c r="AP2086" s="12"/>
      <c r="AQ2086" s="12"/>
      <c r="AR2086" s="12"/>
      <c r="AS2086" s="12"/>
      <c r="AT2086" s="12"/>
      <c r="AU2086" s="12"/>
      <c r="AV2086" s="12"/>
      <c r="AW2086" s="12"/>
      <c r="AX2086" s="12"/>
      <c r="AY2086" s="12"/>
      <c r="AZ2086" s="12"/>
      <c r="BA2086" s="12"/>
      <c r="BB2086" s="12"/>
      <c r="BC2086" s="12"/>
      <c r="BD2086" s="12"/>
      <c r="BF2086" s="106" t="str">
        <f t="shared" si="1"/>
        <v>#VALUE!</v>
      </c>
      <c r="BG2086" s="21">
        <f t="shared" si="2"/>
        <v>12</v>
      </c>
    </row>
    <row r="2087">
      <c r="P2087" s="161"/>
      <c r="AI2087" s="102"/>
      <c r="AO2087" s="12"/>
      <c r="AP2087" s="12"/>
      <c r="AQ2087" s="12"/>
      <c r="AR2087" s="12"/>
      <c r="AS2087" s="12"/>
      <c r="AT2087" s="12"/>
      <c r="AU2087" s="12"/>
      <c r="AV2087" s="12"/>
      <c r="AW2087" s="12"/>
      <c r="AX2087" s="12"/>
      <c r="AY2087" s="12"/>
      <c r="AZ2087" s="12"/>
      <c r="BA2087" s="12"/>
      <c r="BB2087" s="12"/>
      <c r="BC2087" s="12"/>
      <c r="BD2087" s="12"/>
      <c r="BF2087" s="106" t="str">
        <f t="shared" si="1"/>
        <v>#VALUE!</v>
      </c>
      <c r="BG2087" s="21">
        <f t="shared" si="2"/>
        <v>12</v>
      </c>
    </row>
    <row r="2088">
      <c r="P2088" s="161"/>
      <c r="AI2088" s="102"/>
      <c r="AO2088" s="12"/>
      <c r="AP2088" s="12"/>
      <c r="AQ2088" s="12"/>
      <c r="AR2088" s="12"/>
      <c r="AS2088" s="12"/>
      <c r="AT2088" s="12"/>
      <c r="AU2088" s="12"/>
      <c r="AV2088" s="12"/>
      <c r="AW2088" s="12"/>
      <c r="AX2088" s="12"/>
      <c r="AY2088" s="12"/>
      <c r="AZ2088" s="12"/>
      <c r="BA2088" s="12"/>
      <c r="BB2088" s="12"/>
      <c r="BC2088" s="12"/>
      <c r="BD2088" s="12"/>
      <c r="BF2088" s="106" t="str">
        <f t="shared" si="1"/>
        <v>#VALUE!</v>
      </c>
      <c r="BG2088" s="21">
        <f t="shared" si="2"/>
        <v>12</v>
      </c>
    </row>
    <row r="2089">
      <c r="P2089" s="161"/>
      <c r="AI2089" s="102"/>
      <c r="AO2089" s="12"/>
      <c r="AP2089" s="12"/>
      <c r="AQ2089" s="12"/>
      <c r="AR2089" s="12"/>
      <c r="AS2089" s="12"/>
      <c r="AT2089" s="12"/>
      <c r="AU2089" s="12"/>
      <c r="AV2089" s="12"/>
      <c r="AW2089" s="12"/>
      <c r="AX2089" s="12"/>
      <c r="AY2089" s="12"/>
      <c r="AZ2089" s="12"/>
      <c r="BA2089" s="12"/>
      <c r="BB2089" s="12"/>
      <c r="BC2089" s="12"/>
      <c r="BD2089" s="12"/>
      <c r="BF2089" s="106" t="str">
        <f t="shared" si="1"/>
        <v>#VALUE!</v>
      </c>
      <c r="BG2089" s="21">
        <f t="shared" si="2"/>
        <v>12</v>
      </c>
    </row>
    <row r="2090">
      <c r="P2090" s="161"/>
      <c r="AI2090" s="102"/>
      <c r="AO2090" s="12"/>
      <c r="AP2090" s="12"/>
      <c r="AQ2090" s="12"/>
      <c r="AR2090" s="12"/>
      <c r="AS2090" s="12"/>
      <c r="AT2090" s="12"/>
      <c r="AU2090" s="12"/>
      <c r="AV2090" s="12"/>
      <c r="AW2090" s="12"/>
      <c r="AX2090" s="12"/>
      <c r="AY2090" s="12"/>
      <c r="AZ2090" s="12"/>
      <c r="BA2090" s="12"/>
      <c r="BB2090" s="12"/>
      <c r="BC2090" s="12"/>
      <c r="BD2090" s="12"/>
      <c r="BF2090" s="106" t="str">
        <f t="shared" si="1"/>
        <v>#VALUE!</v>
      </c>
      <c r="BG2090" s="21">
        <f t="shared" si="2"/>
        <v>12</v>
      </c>
    </row>
    <row r="2091">
      <c r="P2091" s="161"/>
      <c r="AI2091" s="102"/>
      <c r="AO2091" s="12"/>
      <c r="AP2091" s="12"/>
      <c r="AQ2091" s="12"/>
      <c r="AR2091" s="12"/>
      <c r="AS2091" s="12"/>
      <c r="AT2091" s="12"/>
      <c r="AU2091" s="12"/>
      <c r="AV2091" s="12"/>
      <c r="AW2091" s="12"/>
      <c r="AX2091" s="12"/>
      <c r="AY2091" s="12"/>
      <c r="AZ2091" s="12"/>
      <c r="BA2091" s="12"/>
      <c r="BB2091" s="12"/>
      <c r="BC2091" s="12"/>
      <c r="BD2091" s="12"/>
      <c r="BF2091" s="106" t="str">
        <f t="shared" si="1"/>
        <v>#VALUE!</v>
      </c>
      <c r="BG2091" s="21">
        <f t="shared" si="2"/>
        <v>12</v>
      </c>
    </row>
    <row r="2092">
      <c r="P2092" s="161"/>
      <c r="AI2092" s="102"/>
      <c r="AO2092" s="12"/>
      <c r="AP2092" s="12"/>
      <c r="AQ2092" s="12"/>
      <c r="AR2092" s="12"/>
      <c r="AS2092" s="12"/>
      <c r="AT2092" s="12"/>
      <c r="AU2092" s="12"/>
      <c r="AV2092" s="12"/>
      <c r="AW2092" s="12"/>
      <c r="AX2092" s="12"/>
      <c r="AY2092" s="12"/>
      <c r="AZ2092" s="12"/>
      <c r="BA2092" s="12"/>
      <c r="BB2092" s="12"/>
      <c r="BC2092" s="12"/>
      <c r="BD2092" s="12"/>
      <c r="BF2092" s="106" t="str">
        <f t="shared" si="1"/>
        <v>#VALUE!</v>
      </c>
      <c r="BG2092" s="21">
        <f t="shared" si="2"/>
        <v>12</v>
      </c>
    </row>
    <row r="2093">
      <c r="P2093" s="161"/>
      <c r="AI2093" s="102"/>
      <c r="AO2093" s="12"/>
      <c r="AP2093" s="12"/>
      <c r="AQ2093" s="12"/>
      <c r="AR2093" s="12"/>
      <c r="AS2093" s="12"/>
      <c r="AT2093" s="12"/>
      <c r="AU2093" s="12"/>
      <c r="AV2093" s="12"/>
      <c r="AW2093" s="12"/>
      <c r="AX2093" s="12"/>
      <c r="AY2093" s="12"/>
      <c r="AZ2093" s="12"/>
      <c r="BA2093" s="12"/>
      <c r="BB2093" s="12"/>
      <c r="BC2093" s="12"/>
      <c r="BD2093" s="12"/>
      <c r="BF2093" s="106" t="str">
        <f t="shared" si="1"/>
        <v>#VALUE!</v>
      </c>
      <c r="BG2093" s="21">
        <f t="shared" si="2"/>
        <v>12</v>
      </c>
    </row>
    <row r="2094">
      <c r="P2094" s="161"/>
      <c r="AI2094" s="102"/>
      <c r="AO2094" s="12"/>
      <c r="AP2094" s="12"/>
      <c r="AQ2094" s="12"/>
      <c r="AR2094" s="12"/>
      <c r="AS2094" s="12"/>
      <c r="AT2094" s="12"/>
      <c r="AU2094" s="12"/>
      <c r="AV2094" s="12"/>
      <c r="AW2094" s="12"/>
      <c r="AX2094" s="12"/>
      <c r="AY2094" s="12"/>
      <c r="AZ2094" s="12"/>
      <c r="BA2094" s="12"/>
      <c r="BB2094" s="12"/>
      <c r="BC2094" s="12"/>
      <c r="BD2094" s="12"/>
      <c r="BF2094" s="106" t="str">
        <f t="shared" si="1"/>
        <v>#VALUE!</v>
      </c>
      <c r="BG2094" s="21">
        <f t="shared" si="2"/>
        <v>12</v>
      </c>
    </row>
    <row r="2095">
      <c r="P2095" s="161"/>
      <c r="AI2095" s="102"/>
      <c r="AO2095" s="12"/>
      <c r="AP2095" s="12"/>
      <c r="AQ2095" s="12"/>
      <c r="AR2095" s="12"/>
      <c r="AS2095" s="12"/>
      <c r="AT2095" s="12"/>
      <c r="AU2095" s="12"/>
      <c r="AV2095" s="12"/>
      <c r="AW2095" s="12"/>
      <c r="AX2095" s="12"/>
      <c r="AY2095" s="12"/>
      <c r="AZ2095" s="12"/>
      <c r="BA2095" s="12"/>
      <c r="BB2095" s="12"/>
      <c r="BC2095" s="12"/>
      <c r="BD2095" s="12"/>
      <c r="BF2095" s="106" t="str">
        <f t="shared" si="1"/>
        <v>#VALUE!</v>
      </c>
      <c r="BG2095" s="21">
        <f t="shared" si="2"/>
        <v>12</v>
      </c>
    </row>
    <row r="2096">
      <c r="P2096" s="161"/>
      <c r="AI2096" s="102"/>
      <c r="AO2096" s="12"/>
      <c r="AP2096" s="12"/>
      <c r="AQ2096" s="12"/>
      <c r="AR2096" s="12"/>
      <c r="AS2096" s="12"/>
      <c r="AT2096" s="12"/>
      <c r="AU2096" s="12"/>
      <c r="AV2096" s="12"/>
      <c r="AW2096" s="12"/>
      <c r="AX2096" s="12"/>
      <c r="AY2096" s="12"/>
      <c r="AZ2096" s="12"/>
      <c r="BA2096" s="12"/>
      <c r="BB2096" s="12"/>
      <c r="BC2096" s="12"/>
      <c r="BD2096" s="12"/>
      <c r="BF2096" s="106" t="str">
        <f t="shared" si="1"/>
        <v>#VALUE!</v>
      </c>
      <c r="BG2096" s="21">
        <f t="shared" si="2"/>
        <v>12</v>
      </c>
    </row>
    <row r="2097">
      <c r="P2097" s="161"/>
      <c r="AI2097" s="102"/>
      <c r="AO2097" s="12"/>
      <c r="AP2097" s="12"/>
      <c r="AQ2097" s="12"/>
      <c r="AR2097" s="12"/>
      <c r="AS2097" s="12"/>
      <c r="AT2097" s="12"/>
      <c r="AU2097" s="12"/>
      <c r="AV2097" s="12"/>
      <c r="AW2097" s="12"/>
      <c r="AX2097" s="12"/>
      <c r="AY2097" s="12"/>
      <c r="AZ2097" s="12"/>
      <c r="BA2097" s="12"/>
      <c r="BB2097" s="12"/>
      <c r="BC2097" s="12"/>
      <c r="BD2097" s="12"/>
      <c r="BF2097" s="106" t="str">
        <f t="shared" si="1"/>
        <v>#VALUE!</v>
      </c>
      <c r="BG2097" s="21">
        <f t="shared" si="2"/>
        <v>12</v>
      </c>
    </row>
    <row r="2098">
      <c r="P2098" s="161"/>
      <c r="AI2098" s="102"/>
      <c r="AO2098" s="12"/>
      <c r="AP2098" s="12"/>
      <c r="AQ2098" s="12"/>
      <c r="AR2098" s="12"/>
      <c r="AS2098" s="12"/>
      <c r="AT2098" s="12"/>
      <c r="AU2098" s="12"/>
      <c r="AV2098" s="12"/>
      <c r="AW2098" s="12"/>
      <c r="AX2098" s="12"/>
      <c r="AY2098" s="12"/>
      <c r="AZ2098" s="12"/>
      <c r="BA2098" s="12"/>
      <c r="BB2098" s="12"/>
      <c r="BC2098" s="12"/>
      <c r="BD2098" s="12"/>
      <c r="BF2098" s="106" t="str">
        <f t="shared" si="1"/>
        <v>#VALUE!</v>
      </c>
      <c r="BG2098" s="21">
        <f t="shared" si="2"/>
        <v>12</v>
      </c>
    </row>
    <row r="2099">
      <c r="P2099" s="161"/>
      <c r="AI2099" s="102"/>
      <c r="AO2099" s="12"/>
      <c r="AP2099" s="12"/>
      <c r="AQ2099" s="12"/>
      <c r="AR2099" s="12"/>
      <c r="AS2099" s="12"/>
      <c r="AT2099" s="12"/>
      <c r="AU2099" s="12"/>
      <c r="AV2099" s="12"/>
      <c r="AW2099" s="12"/>
      <c r="AX2099" s="12"/>
      <c r="AY2099" s="12"/>
      <c r="AZ2099" s="12"/>
      <c r="BA2099" s="12"/>
      <c r="BB2099" s="12"/>
      <c r="BC2099" s="12"/>
      <c r="BD2099" s="12"/>
      <c r="BF2099" s="106" t="str">
        <f t="shared" si="1"/>
        <v>#VALUE!</v>
      </c>
      <c r="BG2099" s="21">
        <f t="shared" si="2"/>
        <v>12</v>
      </c>
    </row>
    <row r="2100">
      <c r="P2100" s="161"/>
      <c r="AI2100" s="102"/>
      <c r="AO2100" s="12"/>
      <c r="AP2100" s="12"/>
      <c r="AQ2100" s="12"/>
      <c r="AR2100" s="12"/>
      <c r="AS2100" s="12"/>
      <c r="AT2100" s="12"/>
      <c r="AU2100" s="12"/>
      <c r="AV2100" s="12"/>
      <c r="AW2100" s="12"/>
      <c r="AX2100" s="12"/>
      <c r="AY2100" s="12"/>
      <c r="AZ2100" s="12"/>
      <c r="BA2100" s="12"/>
      <c r="BB2100" s="12"/>
      <c r="BC2100" s="12"/>
      <c r="BD2100" s="12"/>
      <c r="BF2100" s="106" t="str">
        <f t="shared" si="1"/>
        <v>#VALUE!</v>
      </c>
      <c r="BG2100" s="21">
        <f t="shared" si="2"/>
        <v>12</v>
      </c>
    </row>
    <row r="2101">
      <c r="P2101" s="161"/>
      <c r="AI2101" s="102"/>
      <c r="AO2101" s="12"/>
      <c r="AP2101" s="12"/>
      <c r="AQ2101" s="12"/>
      <c r="AR2101" s="12"/>
      <c r="AS2101" s="12"/>
      <c r="AT2101" s="12"/>
      <c r="AU2101" s="12"/>
      <c r="AV2101" s="12"/>
      <c r="AW2101" s="12"/>
      <c r="AX2101" s="12"/>
      <c r="AY2101" s="12"/>
      <c r="AZ2101" s="12"/>
      <c r="BA2101" s="12"/>
      <c r="BB2101" s="12"/>
      <c r="BC2101" s="12"/>
      <c r="BD2101" s="12"/>
      <c r="BF2101" s="106" t="str">
        <f t="shared" si="1"/>
        <v>#VALUE!</v>
      </c>
      <c r="BG2101" s="21">
        <f t="shared" si="2"/>
        <v>12</v>
      </c>
    </row>
    <row r="2102">
      <c r="P2102" s="161"/>
      <c r="AI2102" s="102"/>
      <c r="AO2102" s="12"/>
      <c r="AP2102" s="12"/>
      <c r="AQ2102" s="12"/>
      <c r="AR2102" s="12"/>
      <c r="AS2102" s="12"/>
      <c r="AT2102" s="12"/>
      <c r="AU2102" s="12"/>
      <c r="AV2102" s="12"/>
      <c r="AW2102" s="12"/>
      <c r="AX2102" s="12"/>
      <c r="AY2102" s="12"/>
      <c r="AZ2102" s="12"/>
      <c r="BA2102" s="12"/>
      <c r="BB2102" s="12"/>
      <c r="BC2102" s="12"/>
      <c r="BD2102" s="12"/>
      <c r="BF2102" s="106" t="str">
        <f t="shared" si="1"/>
        <v>#VALUE!</v>
      </c>
      <c r="BG2102" s="21">
        <f t="shared" si="2"/>
        <v>12</v>
      </c>
    </row>
    <row r="2103">
      <c r="P2103" s="161"/>
      <c r="AI2103" s="102"/>
      <c r="AO2103" s="12"/>
      <c r="AP2103" s="12"/>
      <c r="AQ2103" s="12"/>
      <c r="AR2103" s="12"/>
      <c r="AS2103" s="12"/>
      <c r="AT2103" s="12"/>
      <c r="AU2103" s="12"/>
      <c r="AV2103" s="12"/>
      <c r="AW2103" s="12"/>
      <c r="AX2103" s="12"/>
      <c r="AY2103" s="12"/>
      <c r="AZ2103" s="12"/>
      <c r="BA2103" s="12"/>
      <c r="BB2103" s="12"/>
      <c r="BC2103" s="12"/>
      <c r="BD2103" s="12"/>
      <c r="BF2103" s="106" t="str">
        <f t="shared" si="1"/>
        <v>#VALUE!</v>
      </c>
      <c r="BG2103" s="21">
        <f t="shared" si="2"/>
        <v>12</v>
      </c>
    </row>
    <row r="2104">
      <c r="P2104" s="161"/>
      <c r="AI2104" s="102"/>
      <c r="AO2104" s="12"/>
      <c r="AP2104" s="12"/>
      <c r="AQ2104" s="12"/>
      <c r="AR2104" s="12"/>
      <c r="AS2104" s="12"/>
      <c r="AT2104" s="12"/>
      <c r="AU2104" s="12"/>
      <c r="AV2104" s="12"/>
      <c r="AW2104" s="12"/>
      <c r="AX2104" s="12"/>
      <c r="AY2104" s="12"/>
      <c r="AZ2104" s="12"/>
      <c r="BA2104" s="12"/>
      <c r="BB2104" s="12"/>
      <c r="BC2104" s="12"/>
      <c r="BD2104" s="12"/>
      <c r="BF2104" s="106" t="str">
        <f t="shared" si="1"/>
        <v>#VALUE!</v>
      </c>
      <c r="BG2104" s="21">
        <f t="shared" si="2"/>
        <v>12</v>
      </c>
    </row>
    <row r="2105">
      <c r="P2105" s="161"/>
      <c r="AI2105" s="102"/>
      <c r="AO2105" s="12"/>
      <c r="AP2105" s="12"/>
      <c r="AQ2105" s="12"/>
      <c r="AR2105" s="12"/>
      <c r="AS2105" s="12"/>
      <c r="AT2105" s="12"/>
      <c r="AU2105" s="12"/>
      <c r="AV2105" s="12"/>
      <c r="AW2105" s="12"/>
      <c r="AX2105" s="12"/>
      <c r="AY2105" s="12"/>
      <c r="AZ2105" s="12"/>
      <c r="BA2105" s="12"/>
      <c r="BB2105" s="12"/>
      <c r="BC2105" s="12"/>
      <c r="BD2105" s="12"/>
      <c r="BF2105" s="106" t="str">
        <f t="shared" si="1"/>
        <v>#VALUE!</v>
      </c>
      <c r="BG2105" s="21">
        <f t="shared" si="2"/>
        <v>12</v>
      </c>
    </row>
    <row r="2106">
      <c r="P2106" s="161"/>
      <c r="AI2106" s="102"/>
      <c r="AO2106" s="12"/>
      <c r="AP2106" s="12"/>
      <c r="AQ2106" s="12"/>
      <c r="AR2106" s="12"/>
      <c r="AS2106" s="12"/>
      <c r="AT2106" s="12"/>
      <c r="AU2106" s="12"/>
      <c r="AV2106" s="12"/>
      <c r="AW2106" s="12"/>
      <c r="AX2106" s="12"/>
      <c r="AY2106" s="12"/>
      <c r="AZ2106" s="12"/>
      <c r="BA2106" s="12"/>
      <c r="BB2106" s="12"/>
      <c r="BC2106" s="12"/>
      <c r="BD2106" s="12"/>
      <c r="BF2106" s="106" t="str">
        <f t="shared" si="1"/>
        <v>#VALUE!</v>
      </c>
      <c r="BG2106" s="21">
        <f t="shared" si="2"/>
        <v>12</v>
      </c>
    </row>
    <row r="2107">
      <c r="P2107" s="161"/>
      <c r="AI2107" s="102"/>
      <c r="AO2107" s="12"/>
      <c r="AP2107" s="12"/>
      <c r="AQ2107" s="12"/>
      <c r="AR2107" s="12"/>
      <c r="AS2107" s="12"/>
      <c r="AT2107" s="12"/>
      <c r="AU2107" s="12"/>
      <c r="AV2107" s="12"/>
      <c r="AW2107" s="12"/>
      <c r="AX2107" s="12"/>
      <c r="AY2107" s="12"/>
      <c r="AZ2107" s="12"/>
      <c r="BA2107" s="12"/>
      <c r="BB2107" s="12"/>
      <c r="BC2107" s="12"/>
      <c r="BD2107" s="12"/>
      <c r="BF2107" s="106" t="str">
        <f t="shared" si="1"/>
        <v>#VALUE!</v>
      </c>
      <c r="BG2107" s="21">
        <f t="shared" si="2"/>
        <v>12</v>
      </c>
    </row>
    <row r="2108">
      <c r="P2108" s="161"/>
      <c r="AI2108" s="102"/>
      <c r="AO2108" s="12"/>
      <c r="AP2108" s="12"/>
      <c r="AQ2108" s="12"/>
      <c r="AR2108" s="12"/>
      <c r="AS2108" s="12"/>
      <c r="AT2108" s="12"/>
      <c r="AU2108" s="12"/>
      <c r="AV2108" s="12"/>
      <c r="AW2108" s="12"/>
      <c r="AX2108" s="12"/>
      <c r="AY2108" s="12"/>
      <c r="AZ2108" s="12"/>
      <c r="BA2108" s="12"/>
      <c r="BB2108" s="12"/>
      <c r="BC2108" s="12"/>
      <c r="BD2108" s="12"/>
      <c r="BF2108" s="106" t="str">
        <f t="shared" si="1"/>
        <v>#VALUE!</v>
      </c>
      <c r="BG2108" s="21">
        <f t="shared" si="2"/>
        <v>12</v>
      </c>
    </row>
    <row r="2109">
      <c r="P2109" s="161"/>
      <c r="AI2109" s="102"/>
      <c r="AO2109" s="12"/>
      <c r="AP2109" s="12"/>
      <c r="AQ2109" s="12"/>
      <c r="AR2109" s="12"/>
      <c r="AS2109" s="12"/>
      <c r="AT2109" s="12"/>
      <c r="AU2109" s="12"/>
      <c r="AV2109" s="12"/>
      <c r="AW2109" s="12"/>
      <c r="AX2109" s="12"/>
      <c r="AY2109" s="12"/>
      <c r="AZ2109" s="12"/>
      <c r="BA2109" s="12"/>
      <c r="BB2109" s="12"/>
      <c r="BC2109" s="12"/>
      <c r="BD2109" s="12"/>
      <c r="BF2109" s="106" t="str">
        <f t="shared" si="1"/>
        <v>#VALUE!</v>
      </c>
      <c r="BG2109" s="21">
        <f t="shared" si="2"/>
        <v>12</v>
      </c>
    </row>
    <row r="2110">
      <c r="P2110" s="161"/>
      <c r="AI2110" s="102"/>
      <c r="AO2110" s="12"/>
      <c r="AP2110" s="12"/>
      <c r="AQ2110" s="12"/>
      <c r="AR2110" s="12"/>
      <c r="AS2110" s="12"/>
      <c r="AT2110" s="12"/>
      <c r="AU2110" s="12"/>
      <c r="AV2110" s="12"/>
      <c r="AW2110" s="12"/>
      <c r="AX2110" s="12"/>
      <c r="AY2110" s="12"/>
      <c r="AZ2110" s="12"/>
      <c r="BA2110" s="12"/>
      <c r="BB2110" s="12"/>
      <c r="BC2110" s="12"/>
      <c r="BD2110" s="12"/>
      <c r="BF2110" s="106" t="str">
        <f t="shared" si="1"/>
        <v>#VALUE!</v>
      </c>
      <c r="BG2110" s="21">
        <f t="shared" si="2"/>
        <v>12</v>
      </c>
    </row>
    <row r="2111">
      <c r="P2111" s="161"/>
      <c r="AI2111" s="102"/>
      <c r="AO2111" s="12"/>
      <c r="AP2111" s="12"/>
      <c r="AQ2111" s="12"/>
      <c r="AR2111" s="12"/>
      <c r="AS2111" s="12"/>
      <c r="AT2111" s="12"/>
      <c r="AU2111" s="12"/>
      <c r="AV2111" s="12"/>
      <c r="AW2111" s="12"/>
      <c r="AX2111" s="12"/>
      <c r="AY2111" s="12"/>
      <c r="AZ2111" s="12"/>
      <c r="BA2111" s="12"/>
      <c r="BB2111" s="12"/>
      <c r="BC2111" s="12"/>
      <c r="BD2111" s="12"/>
      <c r="BF2111" s="106" t="str">
        <f t="shared" si="1"/>
        <v>#VALUE!</v>
      </c>
      <c r="BG2111" s="21">
        <f t="shared" si="2"/>
        <v>12</v>
      </c>
    </row>
    <row r="2112">
      <c r="P2112" s="161"/>
      <c r="AI2112" s="102"/>
      <c r="AO2112" s="12"/>
      <c r="AP2112" s="12"/>
      <c r="AQ2112" s="12"/>
      <c r="AR2112" s="12"/>
      <c r="AS2112" s="12"/>
      <c r="AT2112" s="12"/>
      <c r="AU2112" s="12"/>
      <c r="AV2112" s="12"/>
      <c r="AW2112" s="12"/>
      <c r="AX2112" s="12"/>
      <c r="AY2112" s="12"/>
      <c r="AZ2112" s="12"/>
      <c r="BA2112" s="12"/>
      <c r="BB2112" s="12"/>
      <c r="BC2112" s="12"/>
      <c r="BD2112" s="12"/>
      <c r="BF2112" s="106" t="str">
        <f t="shared" si="1"/>
        <v>#VALUE!</v>
      </c>
      <c r="BG2112" s="21">
        <f t="shared" si="2"/>
        <v>12</v>
      </c>
    </row>
    <row r="2113">
      <c r="P2113" s="161"/>
      <c r="AI2113" s="102"/>
      <c r="AO2113" s="12"/>
      <c r="AP2113" s="12"/>
      <c r="AQ2113" s="12"/>
      <c r="AR2113" s="12"/>
      <c r="AS2113" s="12"/>
      <c r="AT2113" s="12"/>
      <c r="AU2113" s="12"/>
      <c r="AV2113" s="12"/>
      <c r="AW2113" s="12"/>
      <c r="AX2113" s="12"/>
      <c r="AY2113" s="12"/>
      <c r="AZ2113" s="12"/>
      <c r="BA2113" s="12"/>
      <c r="BB2113" s="12"/>
      <c r="BC2113" s="12"/>
      <c r="BD2113" s="12"/>
      <c r="BF2113" s="106" t="str">
        <f t="shared" si="1"/>
        <v>#VALUE!</v>
      </c>
      <c r="BG2113" s="21">
        <f t="shared" si="2"/>
        <v>12</v>
      </c>
    </row>
    <row r="2114">
      <c r="P2114" s="161"/>
      <c r="AI2114" s="102"/>
      <c r="AO2114" s="12"/>
      <c r="AP2114" s="12"/>
      <c r="AQ2114" s="12"/>
      <c r="AR2114" s="12"/>
      <c r="AS2114" s="12"/>
      <c r="AT2114" s="12"/>
      <c r="AU2114" s="12"/>
      <c r="AV2114" s="12"/>
      <c r="AW2114" s="12"/>
      <c r="AX2114" s="12"/>
      <c r="AY2114" s="12"/>
      <c r="AZ2114" s="12"/>
      <c r="BA2114" s="12"/>
      <c r="BB2114" s="12"/>
      <c r="BC2114" s="12"/>
      <c r="BD2114" s="12"/>
      <c r="BF2114" s="106" t="str">
        <f t="shared" si="1"/>
        <v>#VALUE!</v>
      </c>
      <c r="BG2114" s="21">
        <f t="shared" si="2"/>
        <v>12</v>
      </c>
    </row>
    <row r="2115">
      <c r="P2115" s="161"/>
      <c r="AI2115" s="102"/>
      <c r="AO2115" s="12"/>
      <c r="AP2115" s="12"/>
      <c r="AQ2115" s="12"/>
      <c r="AR2115" s="12"/>
      <c r="AS2115" s="12"/>
      <c r="AT2115" s="12"/>
      <c r="AU2115" s="12"/>
      <c r="AV2115" s="12"/>
      <c r="AW2115" s="12"/>
      <c r="AX2115" s="12"/>
      <c r="AY2115" s="12"/>
      <c r="AZ2115" s="12"/>
      <c r="BA2115" s="12"/>
      <c r="BB2115" s="12"/>
      <c r="BC2115" s="12"/>
      <c r="BD2115" s="12"/>
      <c r="BF2115" s="106" t="str">
        <f t="shared" si="1"/>
        <v>#VALUE!</v>
      </c>
      <c r="BG2115" s="21">
        <f t="shared" si="2"/>
        <v>12</v>
      </c>
    </row>
    <row r="2116">
      <c r="P2116" s="161"/>
      <c r="AI2116" s="102"/>
      <c r="AO2116" s="12"/>
      <c r="AP2116" s="12"/>
      <c r="AQ2116" s="12"/>
      <c r="AR2116" s="12"/>
      <c r="AS2116" s="12"/>
      <c r="AT2116" s="12"/>
      <c r="AU2116" s="12"/>
      <c r="AV2116" s="12"/>
      <c r="AW2116" s="12"/>
      <c r="AX2116" s="12"/>
      <c r="AY2116" s="12"/>
      <c r="AZ2116" s="12"/>
      <c r="BA2116" s="12"/>
      <c r="BB2116" s="12"/>
      <c r="BC2116" s="12"/>
      <c r="BD2116" s="12"/>
      <c r="BF2116" s="106" t="str">
        <f t="shared" si="1"/>
        <v>#VALUE!</v>
      </c>
      <c r="BG2116" s="21">
        <f t="shared" si="2"/>
        <v>12</v>
      </c>
    </row>
    <row r="2117">
      <c r="P2117" s="161"/>
      <c r="AI2117" s="102"/>
      <c r="AO2117" s="12"/>
      <c r="AP2117" s="12"/>
      <c r="AQ2117" s="12"/>
      <c r="AR2117" s="12"/>
      <c r="AS2117" s="12"/>
      <c r="AT2117" s="12"/>
      <c r="AU2117" s="12"/>
      <c r="AV2117" s="12"/>
      <c r="AW2117" s="12"/>
      <c r="AX2117" s="12"/>
      <c r="AY2117" s="12"/>
      <c r="AZ2117" s="12"/>
      <c r="BA2117" s="12"/>
      <c r="BB2117" s="12"/>
      <c r="BC2117" s="12"/>
      <c r="BD2117" s="12"/>
      <c r="BF2117" s="106" t="str">
        <f t="shared" si="1"/>
        <v>#VALUE!</v>
      </c>
      <c r="BG2117" s="21">
        <f t="shared" si="2"/>
        <v>12</v>
      </c>
    </row>
    <row r="2118">
      <c r="P2118" s="161"/>
      <c r="AI2118" s="102"/>
      <c r="AO2118" s="12"/>
      <c r="AP2118" s="12"/>
      <c r="AQ2118" s="12"/>
      <c r="AR2118" s="12"/>
      <c r="AS2118" s="12"/>
      <c r="AT2118" s="12"/>
      <c r="AU2118" s="12"/>
      <c r="AV2118" s="12"/>
      <c r="AW2118" s="12"/>
      <c r="AX2118" s="12"/>
      <c r="AY2118" s="12"/>
      <c r="AZ2118" s="12"/>
      <c r="BA2118" s="12"/>
      <c r="BB2118" s="12"/>
      <c r="BC2118" s="12"/>
      <c r="BD2118" s="12"/>
      <c r="BF2118" s="106" t="str">
        <f t="shared" si="1"/>
        <v>#VALUE!</v>
      </c>
      <c r="BG2118" s="21">
        <f t="shared" si="2"/>
        <v>12</v>
      </c>
    </row>
    <row r="2119">
      <c r="P2119" s="161"/>
      <c r="AI2119" s="102"/>
      <c r="AO2119" s="12"/>
      <c r="AP2119" s="12"/>
      <c r="AQ2119" s="12"/>
      <c r="AR2119" s="12"/>
      <c r="AS2119" s="12"/>
      <c r="AT2119" s="12"/>
      <c r="AU2119" s="12"/>
      <c r="AV2119" s="12"/>
      <c r="AW2119" s="12"/>
      <c r="AX2119" s="12"/>
      <c r="AY2119" s="12"/>
      <c r="AZ2119" s="12"/>
      <c r="BA2119" s="12"/>
      <c r="BB2119" s="12"/>
      <c r="BC2119" s="12"/>
      <c r="BD2119" s="12"/>
      <c r="BF2119" s="106" t="str">
        <f t="shared" si="1"/>
        <v>#VALUE!</v>
      </c>
      <c r="BG2119" s="21">
        <f t="shared" si="2"/>
        <v>12</v>
      </c>
    </row>
    <row r="2120">
      <c r="P2120" s="161"/>
      <c r="AI2120" s="102"/>
      <c r="AO2120" s="12"/>
      <c r="AP2120" s="12"/>
      <c r="AQ2120" s="12"/>
      <c r="AR2120" s="12"/>
      <c r="AS2120" s="12"/>
      <c r="AT2120" s="12"/>
      <c r="AU2120" s="12"/>
      <c r="AV2120" s="12"/>
      <c r="AW2120" s="12"/>
      <c r="AX2120" s="12"/>
      <c r="AY2120" s="12"/>
      <c r="AZ2120" s="12"/>
      <c r="BA2120" s="12"/>
      <c r="BB2120" s="12"/>
      <c r="BC2120" s="12"/>
      <c r="BD2120" s="12"/>
      <c r="BF2120" s="106" t="str">
        <f t="shared" si="1"/>
        <v>#VALUE!</v>
      </c>
      <c r="BG2120" s="21">
        <f t="shared" si="2"/>
        <v>12</v>
      </c>
    </row>
    <row r="2121">
      <c r="P2121" s="161"/>
      <c r="AI2121" s="102"/>
      <c r="AO2121" s="12"/>
      <c r="AP2121" s="12"/>
      <c r="AQ2121" s="12"/>
      <c r="AR2121" s="12"/>
      <c r="AS2121" s="12"/>
      <c r="AT2121" s="12"/>
      <c r="AU2121" s="12"/>
      <c r="AV2121" s="12"/>
      <c r="AW2121" s="12"/>
      <c r="AX2121" s="12"/>
      <c r="AY2121" s="12"/>
      <c r="AZ2121" s="12"/>
      <c r="BA2121" s="12"/>
      <c r="BB2121" s="12"/>
      <c r="BC2121" s="12"/>
      <c r="BD2121" s="12"/>
      <c r="BF2121" s="106" t="str">
        <f t="shared" si="1"/>
        <v>#VALUE!</v>
      </c>
      <c r="BG2121" s="21">
        <f t="shared" si="2"/>
        <v>12</v>
      </c>
    </row>
    <row r="2122">
      <c r="P2122" s="161"/>
      <c r="AI2122" s="102"/>
      <c r="AO2122" s="12"/>
      <c r="AP2122" s="12"/>
      <c r="AQ2122" s="12"/>
      <c r="AR2122" s="12"/>
      <c r="AS2122" s="12"/>
      <c r="AT2122" s="12"/>
      <c r="AU2122" s="12"/>
      <c r="AV2122" s="12"/>
      <c r="AW2122" s="12"/>
      <c r="AX2122" s="12"/>
      <c r="AY2122" s="12"/>
      <c r="AZ2122" s="12"/>
      <c r="BA2122" s="12"/>
      <c r="BB2122" s="12"/>
      <c r="BC2122" s="12"/>
      <c r="BD2122" s="12"/>
      <c r="BF2122" s="106" t="str">
        <f t="shared" si="1"/>
        <v>#VALUE!</v>
      </c>
      <c r="BG2122" s="21">
        <f t="shared" si="2"/>
        <v>12</v>
      </c>
    </row>
    <row r="2123">
      <c r="P2123" s="161"/>
      <c r="AI2123" s="102"/>
      <c r="AO2123" s="12"/>
      <c r="AP2123" s="12"/>
      <c r="AQ2123" s="12"/>
      <c r="AR2123" s="12"/>
      <c r="AS2123" s="12"/>
      <c r="AT2123" s="12"/>
      <c r="AU2123" s="12"/>
      <c r="AV2123" s="12"/>
      <c r="AW2123" s="12"/>
      <c r="AX2123" s="12"/>
      <c r="AY2123" s="12"/>
      <c r="AZ2123" s="12"/>
      <c r="BA2123" s="12"/>
      <c r="BB2123" s="12"/>
      <c r="BC2123" s="12"/>
      <c r="BD2123" s="12"/>
      <c r="BF2123" s="106" t="str">
        <f t="shared" si="1"/>
        <v>#VALUE!</v>
      </c>
      <c r="BG2123" s="21">
        <f t="shared" si="2"/>
        <v>12</v>
      </c>
    </row>
    <row r="2124">
      <c r="P2124" s="161"/>
      <c r="AI2124" s="102"/>
      <c r="AO2124" s="12"/>
      <c r="AP2124" s="12"/>
      <c r="AQ2124" s="12"/>
      <c r="AR2124" s="12"/>
      <c r="AS2124" s="12"/>
      <c r="AT2124" s="12"/>
      <c r="AU2124" s="12"/>
      <c r="AV2124" s="12"/>
      <c r="AW2124" s="12"/>
      <c r="AX2124" s="12"/>
      <c r="AY2124" s="12"/>
      <c r="AZ2124" s="12"/>
      <c r="BA2124" s="12"/>
      <c r="BB2124" s="12"/>
      <c r="BC2124" s="12"/>
      <c r="BD2124" s="12"/>
      <c r="BF2124" s="106" t="str">
        <f t="shared" si="1"/>
        <v>#VALUE!</v>
      </c>
      <c r="BG2124" s="21">
        <f t="shared" si="2"/>
        <v>12</v>
      </c>
    </row>
    <row r="2125">
      <c r="P2125" s="161"/>
      <c r="AI2125" s="102"/>
      <c r="AO2125" s="12"/>
      <c r="AP2125" s="12"/>
      <c r="AQ2125" s="12"/>
      <c r="AR2125" s="12"/>
      <c r="AS2125" s="12"/>
      <c r="AT2125" s="12"/>
      <c r="AU2125" s="12"/>
      <c r="AV2125" s="12"/>
      <c r="AW2125" s="12"/>
      <c r="AX2125" s="12"/>
      <c r="AY2125" s="12"/>
      <c r="AZ2125" s="12"/>
      <c r="BA2125" s="12"/>
      <c r="BB2125" s="12"/>
      <c r="BC2125" s="12"/>
      <c r="BD2125" s="12"/>
      <c r="BF2125" s="106" t="str">
        <f t="shared" si="1"/>
        <v>#VALUE!</v>
      </c>
      <c r="BG2125" s="21">
        <f t="shared" si="2"/>
        <v>12</v>
      </c>
    </row>
    <row r="2126">
      <c r="P2126" s="161"/>
      <c r="AI2126" s="102"/>
      <c r="AO2126" s="12"/>
      <c r="AP2126" s="12"/>
      <c r="AQ2126" s="12"/>
      <c r="AR2126" s="12"/>
      <c r="AS2126" s="12"/>
      <c r="AT2126" s="12"/>
      <c r="AU2126" s="12"/>
      <c r="AV2126" s="12"/>
      <c r="AW2126" s="12"/>
      <c r="AX2126" s="12"/>
      <c r="AY2126" s="12"/>
      <c r="AZ2126" s="12"/>
      <c r="BA2126" s="12"/>
      <c r="BB2126" s="12"/>
      <c r="BC2126" s="12"/>
      <c r="BD2126" s="12"/>
      <c r="BF2126" s="106" t="str">
        <f t="shared" si="1"/>
        <v>#VALUE!</v>
      </c>
      <c r="BG2126" s="21">
        <f t="shared" si="2"/>
        <v>12</v>
      </c>
    </row>
    <row r="2127">
      <c r="P2127" s="161"/>
      <c r="AI2127" s="102"/>
      <c r="AO2127" s="12"/>
      <c r="AP2127" s="12"/>
      <c r="AQ2127" s="12"/>
      <c r="AR2127" s="12"/>
      <c r="AS2127" s="12"/>
      <c r="AT2127" s="12"/>
      <c r="AU2127" s="12"/>
      <c r="AV2127" s="12"/>
      <c r="AW2127" s="12"/>
      <c r="AX2127" s="12"/>
      <c r="AY2127" s="12"/>
      <c r="AZ2127" s="12"/>
      <c r="BA2127" s="12"/>
      <c r="BB2127" s="12"/>
      <c r="BC2127" s="12"/>
      <c r="BD2127" s="12"/>
      <c r="BF2127" s="106" t="str">
        <f t="shared" si="1"/>
        <v>#VALUE!</v>
      </c>
      <c r="BG2127" s="21">
        <f t="shared" si="2"/>
        <v>12</v>
      </c>
    </row>
    <row r="2128">
      <c r="P2128" s="161"/>
      <c r="AI2128" s="102"/>
      <c r="AO2128" s="12"/>
      <c r="AP2128" s="12"/>
      <c r="AQ2128" s="12"/>
      <c r="AR2128" s="12"/>
      <c r="AS2128" s="12"/>
      <c r="AT2128" s="12"/>
      <c r="AU2128" s="12"/>
      <c r="AV2128" s="12"/>
      <c r="AW2128" s="12"/>
      <c r="AX2128" s="12"/>
      <c r="AY2128" s="12"/>
      <c r="AZ2128" s="12"/>
      <c r="BA2128" s="12"/>
      <c r="BB2128" s="12"/>
      <c r="BC2128" s="12"/>
      <c r="BD2128" s="12"/>
      <c r="BF2128" s="106" t="str">
        <f t="shared" si="1"/>
        <v>#VALUE!</v>
      </c>
      <c r="BG2128" s="21">
        <f t="shared" si="2"/>
        <v>12</v>
      </c>
    </row>
    <row r="2129">
      <c r="P2129" s="161"/>
      <c r="AI2129" s="102"/>
      <c r="AO2129" s="12"/>
      <c r="AP2129" s="12"/>
      <c r="AQ2129" s="12"/>
      <c r="AR2129" s="12"/>
      <c r="AS2129" s="12"/>
      <c r="AT2129" s="12"/>
      <c r="AU2129" s="12"/>
      <c r="AV2129" s="12"/>
      <c r="AW2129" s="12"/>
      <c r="AX2129" s="12"/>
      <c r="AY2129" s="12"/>
      <c r="AZ2129" s="12"/>
      <c r="BA2129" s="12"/>
      <c r="BB2129" s="12"/>
      <c r="BC2129" s="12"/>
      <c r="BD2129" s="12"/>
      <c r="BF2129" s="106" t="str">
        <f t="shared" si="1"/>
        <v>#VALUE!</v>
      </c>
      <c r="BG2129" s="21">
        <f t="shared" si="2"/>
        <v>12</v>
      </c>
    </row>
    <row r="2130">
      <c r="P2130" s="161"/>
      <c r="AI2130" s="102"/>
      <c r="AO2130" s="12"/>
      <c r="AP2130" s="12"/>
      <c r="AQ2130" s="12"/>
      <c r="AR2130" s="12"/>
      <c r="AS2130" s="12"/>
      <c r="AT2130" s="12"/>
      <c r="AU2130" s="12"/>
      <c r="AV2130" s="12"/>
      <c r="AW2130" s="12"/>
      <c r="AX2130" s="12"/>
      <c r="AY2130" s="12"/>
      <c r="AZ2130" s="12"/>
      <c r="BA2130" s="12"/>
      <c r="BB2130" s="12"/>
      <c r="BC2130" s="12"/>
      <c r="BD2130" s="12"/>
      <c r="BF2130" s="106" t="str">
        <f t="shared" si="1"/>
        <v>#VALUE!</v>
      </c>
      <c r="BG2130" s="21">
        <f t="shared" si="2"/>
        <v>12</v>
      </c>
    </row>
    <row r="2131">
      <c r="P2131" s="161"/>
      <c r="AI2131" s="102"/>
      <c r="AO2131" s="12"/>
      <c r="AP2131" s="12"/>
      <c r="AQ2131" s="12"/>
      <c r="AR2131" s="12"/>
      <c r="AS2131" s="12"/>
      <c r="AT2131" s="12"/>
      <c r="AU2131" s="12"/>
      <c r="AV2131" s="12"/>
      <c r="AW2131" s="12"/>
      <c r="AX2131" s="12"/>
      <c r="AY2131" s="12"/>
      <c r="AZ2131" s="12"/>
      <c r="BA2131" s="12"/>
      <c r="BB2131" s="12"/>
      <c r="BC2131" s="12"/>
      <c r="BD2131" s="12"/>
      <c r="BF2131" s="106" t="str">
        <f t="shared" si="1"/>
        <v>#VALUE!</v>
      </c>
      <c r="BG2131" s="21">
        <f t="shared" si="2"/>
        <v>12</v>
      </c>
    </row>
    <row r="2132">
      <c r="P2132" s="161"/>
      <c r="AI2132" s="102"/>
      <c r="AO2132" s="12"/>
      <c r="AP2132" s="12"/>
      <c r="AQ2132" s="12"/>
      <c r="AR2132" s="12"/>
      <c r="AS2132" s="12"/>
      <c r="AT2132" s="12"/>
      <c r="AU2132" s="12"/>
      <c r="AV2132" s="12"/>
      <c r="AW2132" s="12"/>
      <c r="AX2132" s="12"/>
      <c r="AY2132" s="12"/>
      <c r="AZ2132" s="12"/>
      <c r="BA2132" s="12"/>
      <c r="BB2132" s="12"/>
      <c r="BC2132" s="12"/>
      <c r="BD2132" s="12"/>
      <c r="BF2132" s="106" t="str">
        <f t="shared" si="1"/>
        <v>#VALUE!</v>
      </c>
      <c r="BG2132" s="21">
        <f t="shared" si="2"/>
        <v>12</v>
      </c>
    </row>
    <row r="2133">
      <c r="P2133" s="161"/>
      <c r="AI2133" s="102"/>
      <c r="AO2133" s="12"/>
      <c r="AP2133" s="12"/>
      <c r="AQ2133" s="12"/>
      <c r="AR2133" s="12"/>
      <c r="AS2133" s="12"/>
      <c r="AT2133" s="12"/>
      <c r="AU2133" s="12"/>
      <c r="AV2133" s="12"/>
      <c r="AW2133" s="12"/>
      <c r="AX2133" s="12"/>
      <c r="AY2133" s="12"/>
      <c r="AZ2133" s="12"/>
      <c r="BA2133" s="12"/>
      <c r="BB2133" s="12"/>
      <c r="BC2133" s="12"/>
      <c r="BD2133" s="12"/>
      <c r="BF2133" s="106" t="str">
        <f t="shared" si="1"/>
        <v>#VALUE!</v>
      </c>
      <c r="BG2133" s="21">
        <f t="shared" si="2"/>
        <v>12</v>
      </c>
    </row>
    <row r="2134">
      <c r="P2134" s="161"/>
      <c r="AI2134" s="102"/>
      <c r="AO2134" s="12"/>
      <c r="AP2134" s="12"/>
      <c r="AQ2134" s="12"/>
      <c r="AR2134" s="12"/>
      <c r="AS2134" s="12"/>
      <c r="AT2134" s="12"/>
      <c r="AU2134" s="12"/>
      <c r="AV2134" s="12"/>
      <c r="AW2134" s="12"/>
      <c r="AX2134" s="12"/>
      <c r="AY2134" s="12"/>
      <c r="AZ2134" s="12"/>
      <c r="BA2134" s="12"/>
      <c r="BB2134" s="12"/>
      <c r="BC2134" s="12"/>
      <c r="BD2134" s="12"/>
      <c r="BF2134" s="106" t="str">
        <f t="shared" si="1"/>
        <v>#VALUE!</v>
      </c>
      <c r="BG2134" s="21">
        <f t="shared" si="2"/>
        <v>12</v>
      </c>
    </row>
    <row r="2135">
      <c r="P2135" s="161"/>
      <c r="AI2135" s="102"/>
      <c r="AO2135" s="12"/>
      <c r="AP2135" s="12"/>
      <c r="AQ2135" s="12"/>
      <c r="AR2135" s="12"/>
      <c r="AS2135" s="12"/>
      <c r="AT2135" s="12"/>
      <c r="AU2135" s="12"/>
      <c r="AV2135" s="12"/>
      <c r="AW2135" s="12"/>
      <c r="AX2135" s="12"/>
      <c r="AY2135" s="12"/>
      <c r="AZ2135" s="12"/>
      <c r="BA2135" s="12"/>
      <c r="BB2135" s="12"/>
      <c r="BC2135" s="12"/>
      <c r="BD2135" s="12"/>
      <c r="BF2135" s="106" t="str">
        <f t="shared" si="1"/>
        <v>#VALUE!</v>
      </c>
      <c r="BG2135" s="21">
        <f t="shared" si="2"/>
        <v>12</v>
      </c>
    </row>
    <row r="2136">
      <c r="P2136" s="161"/>
      <c r="AI2136" s="102"/>
      <c r="AO2136" s="12"/>
      <c r="AP2136" s="12"/>
      <c r="AQ2136" s="12"/>
      <c r="AR2136" s="12"/>
      <c r="AS2136" s="12"/>
      <c r="AT2136" s="12"/>
      <c r="AU2136" s="12"/>
      <c r="AV2136" s="12"/>
      <c r="AW2136" s="12"/>
      <c r="AX2136" s="12"/>
      <c r="AY2136" s="12"/>
      <c r="AZ2136" s="12"/>
      <c r="BA2136" s="12"/>
      <c r="BB2136" s="12"/>
      <c r="BC2136" s="12"/>
      <c r="BD2136" s="12"/>
      <c r="BF2136" s="106" t="str">
        <f t="shared" si="1"/>
        <v>#VALUE!</v>
      </c>
      <c r="BG2136" s="21">
        <f t="shared" si="2"/>
        <v>12</v>
      </c>
    </row>
    <row r="2137">
      <c r="P2137" s="161"/>
      <c r="AI2137" s="102"/>
      <c r="AO2137" s="12"/>
      <c r="AP2137" s="12"/>
      <c r="AQ2137" s="12"/>
      <c r="AR2137" s="12"/>
      <c r="AS2137" s="12"/>
      <c r="AT2137" s="12"/>
      <c r="AU2137" s="12"/>
      <c r="AV2137" s="12"/>
      <c r="AW2137" s="12"/>
      <c r="AX2137" s="12"/>
      <c r="AY2137" s="12"/>
      <c r="AZ2137" s="12"/>
      <c r="BA2137" s="12"/>
      <c r="BB2137" s="12"/>
      <c r="BC2137" s="12"/>
      <c r="BD2137" s="12"/>
      <c r="BF2137" s="106" t="str">
        <f t="shared" si="1"/>
        <v>#VALUE!</v>
      </c>
      <c r="BG2137" s="21">
        <f t="shared" si="2"/>
        <v>12</v>
      </c>
    </row>
    <row r="2138">
      <c r="P2138" s="161"/>
      <c r="AI2138" s="102"/>
      <c r="AO2138" s="12"/>
      <c r="AP2138" s="12"/>
      <c r="AQ2138" s="12"/>
      <c r="AR2138" s="12"/>
      <c r="AS2138" s="12"/>
      <c r="AT2138" s="12"/>
      <c r="AU2138" s="12"/>
      <c r="AV2138" s="12"/>
      <c r="AW2138" s="12"/>
      <c r="AX2138" s="12"/>
      <c r="AY2138" s="12"/>
      <c r="AZ2138" s="12"/>
      <c r="BA2138" s="12"/>
      <c r="BB2138" s="12"/>
      <c r="BC2138" s="12"/>
      <c r="BD2138" s="12"/>
      <c r="BF2138" s="106" t="str">
        <f t="shared" si="1"/>
        <v>#VALUE!</v>
      </c>
      <c r="BG2138" s="21">
        <f t="shared" si="2"/>
        <v>12</v>
      </c>
    </row>
    <row r="2139">
      <c r="P2139" s="161"/>
      <c r="AI2139" s="102"/>
      <c r="AO2139" s="12"/>
      <c r="AP2139" s="12"/>
      <c r="AQ2139" s="12"/>
      <c r="AR2139" s="12"/>
      <c r="AS2139" s="12"/>
      <c r="AT2139" s="12"/>
      <c r="AU2139" s="12"/>
      <c r="AV2139" s="12"/>
      <c r="AW2139" s="12"/>
      <c r="AX2139" s="12"/>
      <c r="AY2139" s="12"/>
      <c r="AZ2139" s="12"/>
      <c r="BA2139" s="12"/>
      <c r="BB2139" s="12"/>
      <c r="BC2139" s="12"/>
      <c r="BD2139" s="12"/>
      <c r="BF2139" s="106" t="str">
        <f t="shared" si="1"/>
        <v>#VALUE!</v>
      </c>
      <c r="BG2139" s="21">
        <f t="shared" si="2"/>
        <v>12</v>
      </c>
    </row>
    <row r="2140">
      <c r="P2140" s="161"/>
      <c r="AI2140" s="102"/>
      <c r="AO2140" s="12"/>
      <c r="AP2140" s="12"/>
      <c r="AQ2140" s="12"/>
      <c r="AR2140" s="12"/>
      <c r="AS2140" s="12"/>
      <c r="AT2140" s="12"/>
      <c r="AU2140" s="12"/>
      <c r="AV2140" s="12"/>
      <c r="AW2140" s="12"/>
      <c r="AX2140" s="12"/>
      <c r="AY2140" s="12"/>
      <c r="AZ2140" s="12"/>
      <c r="BA2140" s="12"/>
      <c r="BB2140" s="12"/>
      <c r="BC2140" s="12"/>
      <c r="BD2140" s="12"/>
      <c r="BF2140" s="106" t="str">
        <f t="shared" si="1"/>
        <v>#VALUE!</v>
      </c>
      <c r="BG2140" s="21">
        <f t="shared" si="2"/>
        <v>12</v>
      </c>
    </row>
    <row r="2141">
      <c r="P2141" s="161"/>
      <c r="AI2141" s="102"/>
      <c r="AO2141" s="12"/>
      <c r="AP2141" s="12"/>
      <c r="AQ2141" s="12"/>
      <c r="AR2141" s="12"/>
      <c r="AS2141" s="12"/>
      <c r="AT2141" s="12"/>
      <c r="AU2141" s="12"/>
      <c r="AV2141" s="12"/>
      <c r="AW2141" s="12"/>
      <c r="AX2141" s="12"/>
      <c r="AY2141" s="12"/>
      <c r="AZ2141" s="12"/>
      <c r="BA2141" s="12"/>
      <c r="BB2141" s="12"/>
      <c r="BC2141" s="12"/>
      <c r="BD2141" s="12"/>
      <c r="BF2141" s="106" t="str">
        <f t="shared" si="1"/>
        <v>#VALUE!</v>
      </c>
      <c r="BG2141" s="21">
        <f t="shared" si="2"/>
        <v>12</v>
      </c>
    </row>
    <row r="2142">
      <c r="P2142" s="161"/>
      <c r="AI2142" s="102"/>
      <c r="AO2142" s="12"/>
      <c r="AP2142" s="12"/>
      <c r="AQ2142" s="12"/>
      <c r="AR2142" s="12"/>
      <c r="AS2142" s="12"/>
      <c r="AT2142" s="12"/>
      <c r="AU2142" s="12"/>
      <c r="AV2142" s="12"/>
      <c r="AW2142" s="12"/>
      <c r="AX2142" s="12"/>
      <c r="AY2142" s="12"/>
      <c r="AZ2142" s="12"/>
      <c r="BA2142" s="12"/>
      <c r="BB2142" s="12"/>
      <c r="BC2142" s="12"/>
      <c r="BD2142" s="12"/>
      <c r="BF2142" s="106" t="str">
        <f t="shared" si="1"/>
        <v>#VALUE!</v>
      </c>
      <c r="BG2142" s="21">
        <f t="shared" si="2"/>
        <v>12</v>
      </c>
    </row>
    <row r="2143">
      <c r="P2143" s="161"/>
      <c r="AI2143" s="102"/>
      <c r="AO2143" s="12"/>
      <c r="AP2143" s="12"/>
      <c r="AQ2143" s="12"/>
      <c r="AR2143" s="12"/>
      <c r="AS2143" s="12"/>
      <c r="AT2143" s="12"/>
      <c r="AU2143" s="12"/>
      <c r="AV2143" s="12"/>
      <c r="AW2143" s="12"/>
      <c r="AX2143" s="12"/>
      <c r="AY2143" s="12"/>
      <c r="AZ2143" s="12"/>
      <c r="BA2143" s="12"/>
      <c r="BB2143" s="12"/>
      <c r="BC2143" s="12"/>
      <c r="BD2143" s="12"/>
      <c r="BF2143" s="106" t="str">
        <f t="shared" si="1"/>
        <v>#VALUE!</v>
      </c>
      <c r="BG2143" s="21">
        <f t="shared" si="2"/>
        <v>12</v>
      </c>
    </row>
    <row r="2144">
      <c r="P2144" s="161"/>
      <c r="AI2144" s="102"/>
      <c r="AO2144" s="12"/>
      <c r="AP2144" s="12"/>
      <c r="AQ2144" s="12"/>
      <c r="AR2144" s="12"/>
      <c r="AS2144" s="12"/>
      <c r="AT2144" s="12"/>
      <c r="AU2144" s="12"/>
      <c r="AV2144" s="12"/>
      <c r="AW2144" s="12"/>
      <c r="AX2144" s="12"/>
      <c r="AY2144" s="12"/>
      <c r="AZ2144" s="12"/>
      <c r="BA2144" s="12"/>
      <c r="BB2144" s="12"/>
      <c r="BC2144" s="12"/>
      <c r="BD2144" s="12"/>
      <c r="BF2144" s="106" t="str">
        <f t="shared" si="1"/>
        <v>#VALUE!</v>
      </c>
      <c r="BG2144" s="21">
        <f t="shared" si="2"/>
        <v>12</v>
      </c>
    </row>
    <row r="2145">
      <c r="P2145" s="161"/>
      <c r="AI2145" s="102"/>
      <c r="AO2145" s="12"/>
      <c r="AP2145" s="12"/>
      <c r="AQ2145" s="12"/>
      <c r="AR2145" s="12"/>
      <c r="AS2145" s="12"/>
      <c r="AT2145" s="12"/>
      <c r="AU2145" s="12"/>
      <c r="AV2145" s="12"/>
      <c r="AW2145" s="12"/>
      <c r="AX2145" s="12"/>
      <c r="AY2145" s="12"/>
      <c r="AZ2145" s="12"/>
      <c r="BA2145" s="12"/>
      <c r="BB2145" s="12"/>
      <c r="BC2145" s="12"/>
      <c r="BD2145" s="12"/>
      <c r="BF2145" s="106" t="str">
        <f t="shared" si="1"/>
        <v>#VALUE!</v>
      </c>
      <c r="BG2145" s="21">
        <f t="shared" si="2"/>
        <v>12</v>
      </c>
    </row>
    <row r="2146">
      <c r="P2146" s="161"/>
      <c r="AI2146" s="102"/>
      <c r="AO2146" s="12"/>
      <c r="AP2146" s="12"/>
      <c r="AQ2146" s="12"/>
      <c r="AR2146" s="12"/>
      <c r="AS2146" s="12"/>
      <c r="AT2146" s="12"/>
      <c r="AU2146" s="12"/>
      <c r="AV2146" s="12"/>
      <c r="AW2146" s="12"/>
      <c r="AX2146" s="12"/>
      <c r="AY2146" s="12"/>
      <c r="AZ2146" s="12"/>
      <c r="BA2146" s="12"/>
      <c r="BB2146" s="12"/>
      <c r="BC2146" s="12"/>
      <c r="BD2146" s="12"/>
      <c r="BF2146" s="106" t="str">
        <f t="shared" si="1"/>
        <v>#VALUE!</v>
      </c>
      <c r="BG2146" s="21">
        <f t="shared" si="2"/>
        <v>12</v>
      </c>
    </row>
    <row r="2147">
      <c r="P2147" s="161"/>
      <c r="AI2147" s="102"/>
      <c r="AO2147" s="12"/>
      <c r="AP2147" s="12"/>
      <c r="AQ2147" s="12"/>
      <c r="AR2147" s="12"/>
      <c r="AS2147" s="12"/>
      <c r="AT2147" s="12"/>
      <c r="AU2147" s="12"/>
      <c r="AV2147" s="12"/>
      <c r="AW2147" s="12"/>
      <c r="AX2147" s="12"/>
      <c r="AY2147" s="12"/>
      <c r="AZ2147" s="12"/>
      <c r="BA2147" s="12"/>
      <c r="BB2147" s="12"/>
      <c r="BC2147" s="12"/>
      <c r="BD2147" s="12"/>
      <c r="BF2147" s="106" t="str">
        <f t="shared" si="1"/>
        <v>#VALUE!</v>
      </c>
      <c r="BG2147" s="21">
        <f t="shared" si="2"/>
        <v>12</v>
      </c>
    </row>
    <row r="2148">
      <c r="P2148" s="161"/>
      <c r="AI2148" s="102"/>
      <c r="AO2148" s="12"/>
      <c r="AP2148" s="12"/>
      <c r="AQ2148" s="12"/>
      <c r="AR2148" s="12"/>
      <c r="AS2148" s="12"/>
      <c r="AT2148" s="12"/>
      <c r="AU2148" s="12"/>
      <c r="AV2148" s="12"/>
      <c r="AW2148" s="12"/>
      <c r="AX2148" s="12"/>
      <c r="AY2148" s="12"/>
      <c r="AZ2148" s="12"/>
      <c r="BA2148" s="12"/>
      <c r="BB2148" s="12"/>
      <c r="BC2148" s="12"/>
      <c r="BD2148" s="12"/>
      <c r="BF2148" s="106" t="str">
        <f t="shared" si="1"/>
        <v>#VALUE!</v>
      </c>
      <c r="BG2148" s="21">
        <f t="shared" si="2"/>
        <v>12</v>
      </c>
    </row>
    <row r="2149">
      <c r="P2149" s="161"/>
      <c r="AI2149" s="102"/>
      <c r="AO2149" s="12"/>
      <c r="AP2149" s="12"/>
      <c r="AQ2149" s="12"/>
      <c r="AR2149" s="12"/>
      <c r="AS2149" s="12"/>
      <c r="AT2149" s="12"/>
      <c r="AU2149" s="12"/>
      <c r="AV2149" s="12"/>
      <c r="AW2149" s="12"/>
      <c r="AX2149" s="12"/>
      <c r="AY2149" s="12"/>
      <c r="AZ2149" s="12"/>
      <c r="BA2149" s="12"/>
      <c r="BB2149" s="12"/>
      <c r="BC2149" s="12"/>
      <c r="BD2149" s="12"/>
      <c r="BF2149" s="106" t="str">
        <f t="shared" si="1"/>
        <v>#VALUE!</v>
      </c>
      <c r="BG2149" s="21">
        <f t="shared" si="2"/>
        <v>12</v>
      </c>
    </row>
    <row r="2150">
      <c r="P2150" s="161"/>
      <c r="AI2150" s="102"/>
      <c r="AO2150" s="12"/>
      <c r="AP2150" s="12"/>
      <c r="AQ2150" s="12"/>
      <c r="AR2150" s="12"/>
      <c r="AS2150" s="12"/>
      <c r="AT2150" s="12"/>
      <c r="AU2150" s="12"/>
      <c r="AV2150" s="12"/>
      <c r="AW2150" s="12"/>
      <c r="AX2150" s="12"/>
      <c r="AY2150" s="12"/>
      <c r="AZ2150" s="12"/>
      <c r="BA2150" s="12"/>
      <c r="BB2150" s="12"/>
      <c r="BC2150" s="12"/>
      <c r="BD2150" s="12"/>
      <c r="BF2150" s="106" t="str">
        <f t="shared" si="1"/>
        <v>#VALUE!</v>
      </c>
      <c r="BG2150" s="21">
        <f t="shared" si="2"/>
        <v>12</v>
      </c>
    </row>
    <row r="2151">
      <c r="P2151" s="161"/>
      <c r="AI2151" s="102"/>
      <c r="AO2151" s="12"/>
      <c r="AP2151" s="12"/>
      <c r="AQ2151" s="12"/>
      <c r="AR2151" s="12"/>
      <c r="AS2151" s="12"/>
      <c r="AT2151" s="12"/>
      <c r="AU2151" s="12"/>
      <c r="AV2151" s="12"/>
      <c r="AW2151" s="12"/>
      <c r="AX2151" s="12"/>
      <c r="AY2151" s="12"/>
      <c r="AZ2151" s="12"/>
      <c r="BA2151" s="12"/>
      <c r="BB2151" s="12"/>
      <c r="BC2151" s="12"/>
      <c r="BD2151" s="12"/>
      <c r="BF2151" s="106" t="str">
        <f t="shared" si="1"/>
        <v>#VALUE!</v>
      </c>
      <c r="BG2151" s="21">
        <f t="shared" si="2"/>
        <v>12</v>
      </c>
    </row>
    <row r="2152">
      <c r="P2152" s="161"/>
      <c r="AI2152" s="102"/>
      <c r="AO2152" s="12"/>
      <c r="AP2152" s="12"/>
      <c r="AQ2152" s="12"/>
      <c r="AR2152" s="12"/>
      <c r="AS2152" s="12"/>
      <c r="AT2152" s="12"/>
      <c r="AU2152" s="12"/>
      <c r="AV2152" s="12"/>
      <c r="AW2152" s="12"/>
      <c r="AX2152" s="12"/>
      <c r="AY2152" s="12"/>
      <c r="AZ2152" s="12"/>
      <c r="BA2152" s="12"/>
      <c r="BB2152" s="12"/>
      <c r="BC2152" s="12"/>
      <c r="BD2152" s="12"/>
      <c r="BF2152" s="106" t="str">
        <f t="shared" si="1"/>
        <v>#VALUE!</v>
      </c>
      <c r="BG2152" s="21">
        <f t="shared" si="2"/>
        <v>12</v>
      </c>
    </row>
    <row r="2153">
      <c r="P2153" s="161"/>
      <c r="AI2153" s="102"/>
      <c r="AO2153" s="12"/>
      <c r="AP2153" s="12"/>
      <c r="AQ2153" s="12"/>
      <c r="AR2153" s="12"/>
      <c r="AS2153" s="12"/>
      <c r="AT2153" s="12"/>
      <c r="AU2153" s="12"/>
      <c r="AV2153" s="12"/>
      <c r="AW2153" s="12"/>
      <c r="AX2153" s="12"/>
      <c r="AY2153" s="12"/>
      <c r="AZ2153" s="12"/>
      <c r="BA2153" s="12"/>
      <c r="BB2153" s="12"/>
      <c r="BC2153" s="12"/>
      <c r="BD2153" s="12"/>
      <c r="BF2153" s="106" t="str">
        <f t="shared" si="1"/>
        <v>#VALUE!</v>
      </c>
      <c r="BG2153" s="21">
        <f t="shared" si="2"/>
        <v>12</v>
      </c>
    </row>
    <row r="2154">
      <c r="P2154" s="161"/>
      <c r="AI2154" s="102"/>
      <c r="AO2154" s="12"/>
      <c r="AP2154" s="12"/>
      <c r="AQ2154" s="12"/>
      <c r="AR2154" s="12"/>
      <c r="AS2154" s="12"/>
      <c r="AT2154" s="12"/>
      <c r="AU2154" s="12"/>
      <c r="AV2154" s="12"/>
      <c r="AW2154" s="12"/>
      <c r="AX2154" s="12"/>
      <c r="AY2154" s="12"/>
      <c r="AZ2154" s="12"/>
      <c r="BA2154" s="12"/>
      <c r="BB2154" s="12"/>
      <c r="BC2154" s="12"/>
      <c r="BD2154" s="12"/>
      <c r="BF2154" s="106" t="str">
        <f t="shared" si="1"/>
        <v>#VALUE!</v>
      </c>
      <c r="BG2154" s="21">
        <f t="shared" si="2"/>
        <v>12</v>
      </c>
    </row>
    <row r="2155">
      <c r="P2155" s="161"/>
      <c r="AI2155" s="102"/>
      <c r="AO2155" s="12"/>
      <c r="AP2155" s="12"/>
      <c r="AQ2155" s="12"/>
      <c r="AR2155" s="12"/>
      <c r="AS2155" s="12"/>
      <c r="AT2155" s="12"/>
      <c r="AU2155" s="12"/>
      <c r="AV2155" s="12"/>
      <c r="AW2155" s="12"/>
      <c r="AX2155" s="12"/>
      <c r="AY2155" s="12"/>
      <c r="AZ2155" s="12"/>
      <c r="BA2155" s="12"/>
      <c r="BB2155" s="12"/>
      <c r="BC2155" s="12"/>
      <c r="BD2155" s="12"/>
      <c r="BF2155" s="106" t="str">
        <f t="shared" si="1"/>
        <v>#VALUE!</v>
      </c>
      <c r="BG2155" s="21">
        <f t="shared" si="2"/>
        <v>12</v>
      </c>
    </row>
    <row r="2156">
      <c r="P2156" s="161"/>
      <c r="AI2156" s="102"/>
      <c r="AO2156" s="12"/>
      <c r="AP2156" s="12"/>
      <c r="AQ2156" s="12"/>
      <c r="AR2156" s="12"/>
      <c r="AS2156" s="12"/>
      <c r="AT2156" s="12"/>
      <c r="AU2156" s="12"/>
      <c r="AV2156" s="12"/>
      <c r="AW2156" s="12"/>
      <c r="AX2156" s="12"/>
      <c r="AY2156" s="12"/>
      <c r="AZ2156" s="12"/>
      <c r="BA2156" s="12"/>
      <c r="BB2156" s="12"/>
      <c r="BC2156" s="12"/>
      <c r="BD2156" s="12"/>
      <c r="BF2156" s="106" t="str">
        <f t="shared" si="1"/>
        <v>#VALUE!</v>
      </c>
      <c r="BG2156" s="21">
        <f t="shared" si="2"/>
        <v>12</v>
      </c>
    </row>
    <row r="2157">
      <c r="P2157" s="161"/>
      <c r="AI2157" s="102"/>
      <c r="AO2157" s="12"/>
      <c r="AP2157" s="12"/>
      <c r="AQ2157" s="12"/>
      <c r="AR2157" s="12"/>
      <c r="AS2157" s="12"/>
      <c r="AT2157" s="12"/>
      <c r="AU2157" s="12"/>
      <c r="AV2157" s="12"/>
      <c r="AW2157" s="12"/>
      <c r="AX2157" s="12"/>
      <c r="AY2157" s="12"/>
      <c r="AZ2157" s="12"/>
      <c r="BA2157" s="12"/>
      <c r="BB2157" s="12"/>
      <c r="BC2157" s="12"/>
      <c r="BD2157" s="12"/>
      <c r="BF2157" s="106" t="str">
        <f t="shared" si="1"/>
        <v>#VALUE!</v>
      </c>
      <c r="BG2157" s="21">
        <f t="shared" si="2"/>
        <v>12</v>
      </c>
    </row>
    <row r="2158">
      <c r="P2158" s="161"/>
      <c r="AI2158" s="102"/>
      <c r="AO2158" s="12"/>
      <c r="AP2158" s="12"/>
      <c r="AQ2158" s="12"/>
      <c r="AR2158" s="12"/>
      <c r="AS2158" s="12"/>
      <c r="AT2158" s="12"/>
      <c r="AU2158" s="12"/>
      <c r="AV2158" s="12"/>
      <c r="AW2158" s="12"/>
      <c r="AX2158" s="12"/>
      <c r="AY2158" s="12"/>
      <c r="AZ2158" s="12"/>
      <c r="BA2158" s="12"/>
      <c r="BB2158" s="12"/>
      <c r="BC2158" s="12"/>
      <c r="BD2158" s="12"/>
      <c r="BF2158" s="106" t="str">
        <f t="shared" si="1"/>
        <v>#VALUE!</v>
      </c>
      <c r="BG2158" s="21">
        <f t="shared" si="2"/>
        <v>12</v>
      </c>
    </row>
    <row r="2159">
      <c r="P2159" s="161"/>
      <c r="AI2159" s="102"/>
      <c r="AO2159" s="12"/>
      <c r="AP2159" s="12"/>
      <c r="AQ2159" s="12"/>
      <c r="AR2159" s="12"/>
      <c r="AS2159" s="12"/>
      <c r="AT2159" s="12"/>
      <c r="AU2159" s="12"/>
      <c r="AV2159" s="12"/>
      <c r="AW2159" s="12"/>
      <c r="AX2159" s="12"/>
      <c r="AY2159" s="12"/>
      <c r="AZ2159" s="12"/>
      <c r="BA2159" s="12"/>
      <c r="BB2159" s="12"/>
      <c r="BC2159" s="12"/>
      <c r="BD2159" s="12"/>
      <c r="BF2159" s="106" t="str">
        <f t="shared" si="1"/>
        <v>#VALUE!</v>
      </c>
      <c r="BG2159" s="21">
        <f t="shared" si="2"/>
        <v>12</v>
      </c>
    </row>
    <row r="2160">
      <c r="P2160" s="161"/>
      <c r="AI2160" s="102"/>
      <c r="AO2160" s="12"/>
      <c r="AP2160" s="12"/>
      <c r="AQ2160" s="12"/>
      <c r="AR2160" s="12"/>
      <c r="AS2160" s="12"/>
      <c r="AT2160" s="12"/>
      <c r="AU2160" s="12"/>
      <c r="AV2160" s="12"/>
      <c r="AW2160" s="12"/>
      <c r="AX2160" s="12"/>
      <c r="AY2160" s="12"/>
      <c r="AZ2160" s="12"/>
      <c r="BA2160" s="12"/>
      <c r="BB2160" s="12"/>
      <c r="BC2160" s="12"/>
      <c r="BD2160" s="12"/>
      <c r="BF2160" s="106" t="str">
        <f t="shared" si="1"/>
        <v>#VALUE!</v>
      </c>
      <c r="BG2160" s="21">
        <f t="shared" si="2"/>
        <v>12</v>
      </c>
    </row>
    <row r="2161">
      <c r="P2161" s="161"/>
      <c r="AI2161" s="102"/>
      <c r="AO2161" s="12"/>
      <c r="AP2161" s="12"/>
      <c r="AQ2161" s="12"/>
      <c r="AR2161" s="12"/>
      <c r="AS2161" s="12"/>
      <c r="AT2161" s="12"/>
      <c r="AU2161" s="12"/>
      <c r="AV2161" s="12"/>
      <c r="AW2161" s="12"/>
      <c r="AX2161" s="12"/>
      <c r="AY2161" s="12"/>
      <c r="AZ2161" s="12"/>
      <c r="BA2161" s="12"/>
      <c r="BB2161" s="12"/>
      <c r="BC2161" s="12"/>
      <c r="BD2161" s="12"/>
      <c r="BF2161" s="106" t="str">
        <f t="shared" si="1"/>
        <v>#VALUE!</v>
      </c>
      <c r="BG2161" s="21">
        <f t="shared" si="2"/>
        <v>12</v>
      </c>
    </row>
    <row r="2162">
      <c r="P2162" s="161"/>
      <c r="AI2162" s="102"/>
      <c r="AO2162" s="12"/>
      <c r="AP2162" s="12"/>
      <c r="AQ2162" s="12"/>
      <c r="AR2162" s="12"/>
      <c r="AS2162" s="12"/>
      <c r="AT2162" s="12"/>
      <c r="AU2162" s="12"/>
      <c r="AV2162" s="12"/>
      <c r="AW2162" s="12"/>
      <c r="AX2162" s="12"/>
      <c r="AY2162" s="12"/>
      <c r="AZ2162" s="12"/>
      <c r="BA2162" s="12"/>
      <c r="BB2162" s="12"/>
      <c r="BC2162" s="12"/>
      <c r="BD2162" s="12"/>
      <c r="BF2162" s="106" t="str">
        <f t="shared" si="1"/>
        <v>#VALUE!</v>
      </c>
      <c r="BG2162" s="21">
        <f t="shared" si="2"/>
        <v>12</v>
      </c>
    </row>
    <row r="2163">
      <c r="P2163" s="161"/>
      <c r="AI2163" s="102"/>
      <c r="AO2163" s="12"/>
      <c r="AP2163" s="12"/>
      <c r="AQ2163" s="12"/>
      <c r="AR2163" s="12"/>
      <c r="AS2163" s="12"/>
      <c r="AT2163" s="12"/>
      <c r="AU2163" s="12"/>
      <c r="AV2163" s="12"/>
      <c r="AW2163" s="12"/>
      <c r="AX2163" s="12"/>
      <c r="AY2163" s="12"/>
      <c r="AZ2163" s="12"/>
      <c r="BA2163" s="12"/>
      <c r="BB2163" s="12"/>
      <c r="BC2163" s="12"/>
      <c r="BD2163" s="12"/>
      <c r="BF2163" s="106" t="str">
        <f t="shared" si="1"/>
        <v>#VALUE!</v>
      </c>
      <c r="BG2163" s="21">
        <f t="shared" si="2"/>
        <v>12</v>
      </c>
    </row>
    <row r="2164">
      <c r="P2164" s="161"/>
      <c r="AI2164" s="102"/>
      <c r="AO2164" s="12"/>
      <c r="AP2164" s="12"/>
      <c r="AQ2164" s="12"/>
      <c r="AR2164" s="12"/>
      <c r="AS2164" s="12"/>
      <c r="AT2164" s="12"/>
      <c r="AU2164" s="12"/>
      <c r="AV2164" s="12"/>
      <c r="AW2164" s="12"/>
      <c r="AX2164" s="12"/>
      <c r="AY2164" s="12"/>
      <c r="AZ2164" s="12"/>
      <c r="BA2164" s="12"/>
      <c r="BB2164" s="12"/>
      <c r="BC2164" s="12"/>
      <c r="BD2164" s="12"/>
      <c r="BF2164" s="106" t="str">
        <f t="shared" si="1"/>
        <v>#VALUE!</v>
      </c>
      <c r="BG2164" s="21">
        <f t="shared" si="2"/>
        <v>12</v>
      </c>
    </row>
    <row r="2165">
      <c r="P2165" s="161"/>
      <c r="AI2165" s="102"/>
      <c r="AO2165" s="12"/>
      <c r="AP2165" s="12"/>
      <c r="AQ2165" s="12"/>
      <c r="AR2165" s="12"/>
      <c r="AS2165" s="12"/>
      <c r="AT2165" s="12"/>
      <c r="AU2165" s="12"/>
      <c r="AV2165" s="12"/>
      <c r="AW2165" s="12"/>
      <c r="AX2165" s="12"/>
      <c r="AY2165" s="12"/>
      <c r="AZ2165" s="12"/>
      <c r="BA2165" s="12"/>
      <c r="BB2165" s="12"/>
      <c r="BC2165" s="12"/>
      <c r="BD2165" s="12"/>
      <c r="BF2165" s="106" t="str">
        <f t="shared" si="1"/>
        <v>#VALUE!</v>
      </c>
      <c r="BG2165" s="21">
        <f t="shared" si="2"/>
        <v>12</v>
      </c>
    </row>
    <row r="2166">
      <c r="P2166" s="161"/>
      <c r="AI2166" s="102"/>
      <c r="AO2166" s="12"/>
      <c r="AP2166" s="12"/>
      <c r="AQ2166" s="12"/>
      <c r="AR2166" s="12"/>
      <c r="AS2166" s="12"/>
      <c r="AT2166" s="12"/>
      <c r="AU2166" s="12"/>
      <c r="AV2166" s="12"/>
      <c r="AW2166" s="12"/>
      <c r="AX2166" s="12"/>
      <c r="AY2166" s="12"/>
      <c r="AZ2166" s="12"/>
      <c r="BA2166" s="12"/>
      <c r="BB2166" s="12"/>
      <c r="BC2166" s="12"/>
      <c r="BD2166" s="12"/>
      <c r="BF2166" s="106" t="str">
        <f t="shared" si="1"/>
        <v>#VALUE!</v>
      </c>
      <c r="BG2166" s="21">
        <f t="shared" si="2"/>
        <v>12</v>
      </c>
    </row>
    <row r="2167">
      <c r="P2167" s="161"/>
      <c r="AI2167" s="102"/>
      <c r="AO2167" s="12"/>
      <c r="AP2167" s="12"/>
      <c r="AQ2167" s="12"/>
      <c r="AR2167" s="12"/>
      <c r="AS2167" s="12"/>
      <c r="AT2167" s="12"/>
      <c r="AU2167" s="12"/>
      <c r="AV2167" s="12"/>
      <c r="AW2167" s="12"/>
      <c r="AX2167" s="12"/>
      <c r="AY2167" s="12"/>
      <c r="AZ2167" s="12"/>
      <c r="BA2167" s="12"/>
      <c r="BB2167" s="12"/>
      <c r="BC2167" s="12"/>
      <c r="BD2167" s="12"/>
      <c r="BF2167" s="106" t="str">
        <f t="shared" si="1"/>
        <v>#VALUE!</v>
      </c>
      <c r="BG2167" s="21">
        <f t="shared" si="2"/>
        <v>12</v>
      </c>
    </row>
    <row r="2168">
      <c r="P2168" s="161"/>
      <c r="AI2168" s="102"/>
      <c r="AO2168" s="12"/>
      <c r="AP2168" s="12"/>
      <c r="AQ2168" s="12"/>
      <c r="AR2168" s="12"/>
      <c r="AS2168" s="12"/>
      <c r="AT2168" s="12"/>
      <c r="AU2168" s="12"/>
      <c r="AV2168" s="12"/>
      <c r="AW2168" s="12"/>
      <c r="AX2168" s="12"/>
      <c r="AY2168" s="12"/>
      <c r="AZ2168" s="12"/>
      <c r="BA2168" s="12"/>
      <c r="BB2168" s="12"/>
      <c r="BC2168" s="12"/>
      <c r="BD2168" s="12"/>
      <c r="BF2168" s="106" t="str">
        <f t="shared" si="1"/>
        <v>#VALUE!</v>
      </c>
      <c r="BG2168" s="21">
        <f t="shared" si="2"/>
        <v>12</v>
      </c>
    </row>
    <row r="2169">
      <c r="P2169" s="161"/>
      <c r="AI2169" s="102"/>
      <c r="AO2169" s="12"/>
      <c r="AP2169" s="12"/>
      <c r="AQ2169" s="12"/>
      <c r="AR2169" s="12"/>
      <c r="AS2169" s="12"/>
      <c r="AT2169" s="12"/>
      <c r="AU2169" s="12"/>
      <c r="AV2169" s="12"/>
      <c r="AW2169" s="12"/>
      <c r="AX2169" s="12"/>
      <c r="AY2169" s="12"/>
      <c r="AZ2169" s="12"/>
      <c r="BA2169" s="12"/>
      <c r="BB2169" s="12"/>
      <c r="BC2169" s="12"/>
      <c r="BD2169" s="12"/>
      <c r="BF2169" s="106" t="str">
        <f t="shared" si="1"/>
        <v>#VALUE!</v>
      </c>
      <c r="BG2169" s="21">
        <f t="shared" si="2"/>
        <v>12</v>
      </c>
    </row>
    <row r="2170">
      <c r="P2170" s="161"/>
      <c r="AI2170" s="102"/>
      <c r="AO2170" s="12"/>
      <c r="AP2170" s="12"/>
      <c r="AQ2170" s="12"/>
      <c r="AR2170" s="12"/>
      <c r="AS2170" s="12"/>
      <c r="AT2170" s="12"/>
      <c r="AU2170" s="12"/>
      <c r="AV2170" s="12"/>
      <c r="AW2170" s="12"/>
      <c r="AX2170" s="12"/>
      <c r="AY2170" s="12"/>
      <c r="AZ2170" s="12"/>
      <c r="BA2170" s="12"/>
      <c r="BB2170" s="12"/>
      <c r="BC2170" s="12"/>
      <c r="BD2170" s="12"/>
      <c r="BF2170" s="106" t="str">
        <f t="shared" si="1"/>
        <v>#VALUE!</v>
      </c>
      <c r="BG2170" s="21">
        <f t="shared" si="2"/>
        <v>12</v>
      </c>
    </row>
    <row r="2171">
      <c r="P2171" s="161"/>
      <c r="AI2171" s="102"/>
      <c r="AO2171" s="12"/>
      <c r="AP2171" s="12"/>
      <c r="AQ2171" s="12"/>
      <c r="AR2171" s="12"/>
      <c r="AS2171" s="12"/>
      <c r="AT2171" s="12"/>
      <c r="AU2171" s="12"/>
      <c r="AV2171" s="12"/>
      <c r="AW2171" s="12"/>
      <c r="AX2171" s="12"/>
      <c r="AY2171" s="12"/>
      <c r="AZ2171" s="12"/>
      <c r="BA2171" s="12"/>
      <c r="BB2171" s="12"/>
      <c r="BC2171" s="12"/>
      <c r="BD2171" s="12"/>
      <c r="BF2171" s="106" t="str">
        <f t="shared" si="1"/>
        <v>#VALUE!</v>
      </c>
      <c r="BG2171" s="21">
        <f t="shared" si="2"/>
        <v>12</v>
      </c>
    </row>
    <row r="2172">
      <c r="P2172" s="161"/>
      <c r="AI2172" s="102"/>
      <c r="AO2172" s="12"/>
      <c r="AP2172" s="12"/>
      <c r="AQ2172" s="12"/>
      <c r="AR2172" s="12"/>
      <c r="AS2172" s="12"/>
      <c r="AT2172" s="12"/>
      <c r="AU2172" s="12"/>
      <c r="AV2172" s="12"/>
      <c r="AW2172" s="12"/>
      <c r="AX2172" s="12"/>
      <c r="AY2172" s="12"/>
      <c r="AZ2172" s="12"/>
      <c r="BA2172" s="12"/>
      <c r="BB2172" s="12"/>
      <c r="BC2172" s="12"/>
      <c r="BD2172" s="12"/>
      <c r="BF2172" s="106" t="str">
        <f t="shared" si="1"/>
        <v>#VALUE!</v>
      </c>
      <c r="BG2172" s="21">
        <f t="shared" si="2"/>
        <v>12</v>
      </c>
    </row>
    <row r="2173">
      <c r="P2173" s="161"/>
      <c r="AI2173" s="102"/>
      <c r="AO2173" s="12"/>
      <c r="AP2173" s="12"/>
      <c r="AQ2173" s="12"/>
      <c r="AR2173" s="12"/>
      <c r="AS2173" s="12"/>
      <c r="AT2173" s="12"/>
      <c r="AU2173" s="12"/>
      <c r="AV2173" s="12"/>
      <c r="AW2173" s="12"/>
      <c r="AX2173" s="12"/>
      <c r="AY2173" s="12"/>
      <c r="AZ2173" s="12"/>
      <c r="BA2173" s="12"/>
      <c r="BB2173" s="12"/>
      <c r="BC2173" s="12"/>
      <c r="BD2173" s="12"/>
      <c r="BF2173" s="106" t="str">
        <f t="shared" si="1"/>
        <v>#VALUE!</v>
      </c>
      <c r="BG2173" s="21">
        <f t="shared" si="2"/>
        <v>12</v>
      </c>
    </row>
    <row r="2174">
      <c r="P2174" s="161"/>
      <c r="AI2174" s="102"/>
      <c r="AO2174" s="12"/>
      <c r="AP2174" s="12"/>
      <c r="AQ2174" s="12"/>
      <c r="AR2174" s="12"/>
      <c r="AS2174" s="12"/>
      <c r="AT2174" s="12"/>
      <c r="AU2174" s="12"/>
      <c r="AV2174" s="12"/>
      <c r="AW2174" s="12"/>
      <c r="AX2174" s="12"/>
      <c r="AY2174" s="12"/>
      <c r="AZ2174" s="12"/>
      <c r="BA2174" s="12"/>
      <c r="BB2174" s="12"/>
      <c r="BC2174" s="12"/>
      <c r="BD2174" s="12"/>
      <c r="BF2174" s="106" t="str">
        <f t="shared" si="1"/>
        <v>#VALUE!</v>
      </c>
      <c r="BG2174" s="21">
        <f t="shared" si="2"/>
        <v>12</v>
      </c>
    </row>
    <row r="2175">
      <c r="P2175" s="161"/>
      <c r="AI2175" s="102"/>
      <c r="AO2175" s="12"/>
      <c r="AP2175" s="12"/>
      <c r="AQ2175" s="12"/>
      <c r="AR2175" s="12"/>
      <c r="AS2175" s="12"/>
      <c r="AT2175" s="12"/>
      <c r="AU2175" s="12"/>
      <c r="AV2175" s="12"/>
      <c r="AW2175" s="12"/>
      <c r="AX2175" s="12"/>
      <c r="AY2175" s="12"/>
      <c r="AZ2175" s="12"/>
      <c r="BA2175" s="12"/>
      <c r="BB2175" s="12"/>
      <c r="BC2175" s="12"/>
      <c r="BD2175" s="12"/>
      <c r="BF2175" s="106" t="str">
        <f t="shared" si="1"/>
        <v>#VALUE!</v>
      </c>
      <c r="BG2175" s="21">
        <f t="shared" si="2"/>
        <v>12</v>
      </c>
    </row>
    <row r="2176">
      <c r="P2176" s="161"/>
      <c r="AI2176" s="102"/>
      <c r="AO2176" s="12"/>
      <c r="AP2176" s="12"/>
      <c r="AQ2176" s="12"/>
      <c r="AR2176" s="12"/>
      <c r="AS2176" s="12"/>
      <c r="AT2176" s="12"/>
      <c r="AU2176" s="12"/>
      <c r="AV2176" s="12"/>
      <c r="AW2176" s="12"/>
      <c r="AX2176" s="12"/>
      <c r="AY2176" s="12"/>
      <c r="AZ2176" s="12"/>
      <c r="BA2176" s="12"/>
      <c r="BB2176" s="12"/>
      <c r="BC2176" s="12"/>
      <c r="BD2176" s="12"/>
      <c r="BF2176" s="106" t="str">
        <f t="shared" si="1"/>
        <v>#VALUE!</v>
      </c>
      <c r="BG2176" s="21">
        <f t="shared" si="2"/>
        <v>12</v>
      </c>
    </row>
    <row r="2177">
      <c r="P2177" s="161"/>
      <c r="AI2177" s="102"/>
      <c r="AO2177" s="12"/>
      <c r="AP2177" s="12"/>
      <c r="AQ2177" s="12"/>
      <c r="AR2177" s="12"/>
      <c r="AS2177" s="12"/>
      <c r="AT2177" s="12"/>
      <c r="AU2177" s="12"/>
      <c r="AV2177" s="12"/>
      <c r="AW2177" s="12"/>
      <c r="AX2177" s="12"/>
      <c r="AY2177" s="12"/>
      <c r="AZ2177" s="12"/>
      <c r="BA2177" s="12"/>
      <c r="BB2177" s="12"/>
      <c r="BC2177" s="12"/>
      <c r="BD2177" s="12"/>
      <c r="BF2177" s="106" t="str">
        <f t="shared" si="1"/>
        <v>#VALUE!</v>
      </c>
      <c r="BG2177" s="21">
        <f t="shared" si="2"/>
        <v>12</v>
      </c>
    </row>
    <row r="2178">
      <c r="P2178" s="161"/>
      <c r="AI2178" s="102"/>
      <c r="AO2178" s="12"/>
      <c r="AP2178" s="12"/>
      <c r="AQ2178" s="12"/>
      <c r="AR2178" s="12"/>
      <c r="AS2178" s="12"/>
      <c r="AT2178" s="12"/>
      <c r="AU2178" s="12"/>
      <c r="AV2178" s="12"/>
      <c r="AW2178" s="12"/>
      <c r="AX2178" s="12"/>
      <c r="AY2178" s="12"/>
      <c r="AZ2178" s="12"/>
      <c r="BA2178" s="12"/>
      <c r="BB2178" s="12"/>
      <c r="BC2178" s="12"/>
      <c r="BD2178" s="12"/>
      <c r="BF2178" s="106" t="str">
        <f t="shared" si="1"/>
        <v>#VALUE!</v>
      </c>
      <c r="BG2178" s="21">
        <f t="shared" si="2"/>
        <v>12</v>
      </c>
    </row>
    <row r="2179">
      <c r="P2179" s="161"/>
      <c r="AI2179" s="102"/>
      <c r="AO2179" s="12"/>
      <c r="AP2179" s="12"/>
      <c r="AQ2179" s="12"/>
      <c r="AR2179" s="12"/>
      <c r="AS2179" s="12"/>
      <c r="AT2179" s="12"/>
      <c r="AU2179" s="12"/>
      <c r="AV2179" s="12"/>
      <c r="AW2179" s="12"/>
      <c r="AX2179" s="12"/>
      <c r="AY2179" s="12"/>
      <c r="AZ2179" s="12"/>
      <c r="BA2179" s="12"/>
      <c r="BB2179" s="12"/>
      <c r="BC2179" s="12"/>
      <c r="BD2179" s="12"/>
      <c r="BF2179" s="106" t="str">
        <f t="shared" si="1"/>
        <v>#VALUE!</v>
      </c>
      <c r="BG2179" s="21">
        <f t="shared" si="2"/>
        <v>12</v>
      </c>
    </row>
    <row r="2180">
      <c r="P2180" s="161"/>
      <c r="AI2180" s="102"/>
      <c r="AO2180" s="12"/>
      <c r="AP2180" s="12"/>
      <c r="AQ2180" s="12"/>
      <c r="AR2180" s="12"/>
      <c r="AS2180" s="12"/>
      <c r="AT2180" s="12"/>
      <c r="AU2180" s="12"/>
      <c r="AV2180" s="12"/>
      <c r="AW2180" s="12"/>
      <c r="AX2180" s="12"/>
      <c r="AY2180" s="12"/>
      <c r="AZ2180" s="12"/>
      <c r="BA2180" s="12"/>
      <c r="BB2180" s="12"/>
      <c r="BC2180" s="12"/>
      <c r="BD2180" s="12"/>
      <c r="BF2180" s="106" t="str">
        <f t="shared" si="1"/>
        <v>#VALUE!</v>
      </c>
      <c r="BG2180" s="21">
        <f t="shared" si="2"/>
        <v>12</v>
      </c>
    </row>
    <row r="2181">
      <c r="P2181" s="161"/>
      <c r="AI2181" s="102"/>
      <c r="AO2181" s="12"/>
      <c r="AP2181" s="12"/>
      <c r="AQ2181" s="12"/>
      <c r="AR2181" s="12"/>
      <c r="AS2181" s="12"/>
      <c r="AT2181" s="12"/>
      <c r="AU2181" s="12"/>
      <c r="AV2181" s="12"/>
      <c r="AW2181" s="12"/>
      <c r="AX2181" s="12"/>
      <c r="AY2181" s="12"/>
      <c r="AZ2181" s="12"/>
      <c r="BA2181" s="12"/>
      <c r="BB2181" s="12"/>
      <c r="BC2181" s="12"/>
      <c r="BD2181" s="12"/>
      <c r="BF2181" s="106" t="str">
        <f t="shared" si="1"/>
        <v>#VALUE!</v>
      </c>
      <c r="BG2181" s="21">
        <f t="shared" si="2"/>
        <v>12</v>
      </c>
    </row>
    <row r="2182">
      <c r="P2182" s="161"/>
      <c r="AI2182" s="102"/>
      <c r="AO2182" s="12"/>
      <c r="AP2182" s="12"/>
      <c r="AQ2182" s="12"/>
      <c r="AR2182" s="12"/>
      <c r="AS2182" s="12"/>
      <c r="AT2182" s="12"/>
      <c r="AU2182" s="12"/>
      <c r="AV2182" s="12"/>
      <c r="AW2182" s="12"/>
      <c r="AX2182" s="12"/>
      <c r="AY2182" s="12"/>
      <c r="AZ2182" s="12"/>
      <c r="BA2182" s="12"/>
      <c r="BB2182" s="12"/>
      <c r="BC2182" s="12"/>
      <c r="BD2182" s="12"/>
      <c r="BF2182" s="106" t="str">
        <f t="shared" si="1"/>
        <v>#VALUE!</v>
      </c>
      <c r="BG2182" s="21">
        <f t="shared" si="2"/>
        <v>12</v>
      </c>
    </row>
    <row r="2183">
      <c r="P2183" s="161"/>
      <c r="AI2183" s="102"/>
      <c r="AO2183" s="12"/>
      <c r="AP2183" s="12"/>
      <c r="AQ2183" s="12"/>
      <c r="AR2183" s="12"/>
      <c r="AS2183" s="12"/>
      <c r="AT2183" s="12"/>
      <c r="AU2183" s="12"/>
      <c r="AV2183" s="12"/>
      <c r="AW2183" s="12"/>
      <c r="AX2183" s="12"/>
      <c r="AY2183" s="12"/>
      <c r="AZ2183" s="12"/>
      <c r="BA2183" s="12"/>
      <c r="BB2183" s="12"/>
      <c r="BC2183" s="12"/>
      <c r="BD2183" s="12"/>
      <c r="BF2183" s="106" t="str">
        <f t="shared" si="1"/>
        <v>#VALUE!</v>
      </c>
      <c r="BG2183" s="21">
        <f t="shared" si="2"/>
        <v>12</v>
      </c>
    </row>
    <row r="2184">
      <c r="P2184" s="161"/>
      <c r="AI2184" s="102"/>
      <c r="AO2184" s="12"/>
      <c r="AP2184" s="12"/>
      <c r="AQ2184" s="12"/>
      <c r="AR2184" s="12"/>
      <c r="AS2184" s="12"/>
      <c r="AT2184" s="12"/>
      <c r="AU2184" s="12"/>
      <c r="AV2184" s="12"/>
      <c r="AW2184" s="12"/>
      <c r="AX2184" s="12"/>
      <c r="AY2184" s="12"/>
      <c r="AZ2184" s="12"/>
      <c r="BA2184" s="12"/>
      <c r="BB2184" s="12"/>
      <c r="BC2184" s="12"/>
      <c r="BD2184" s="12"/>
      <c r="BF2184" s="106" t="str">
        <f t="shared" si="1"/>
        <v>#VALUE!</v>
      </c>
      <c r="BG2184" s="21">
        <f t="shared" si="2"/>
        <v>12</v>
      </c>
    </row>
    <row r="2185">
      <c r="P2185" s="161"/>
      <c r="AI2185" s="102"/>
      <c r="AO2185" s="12"/>
      <c r="AP2185" s="12"/>
      <c r="AQ2185" s="12"/>
      <c r="AR2185" s="12"/>
      <c r="AS2185" s="12"/>
      <c r="AT2185" s="12"/>
      <c r="AU2185" s="12"/>
      <c r="AV2185" s="12"/>
      <c r="AW2185" s="12"/>
      <c r="AX2185" s="12"/>
      <c r="AY2185" s="12"/>
      <c r="AZ2185" s="12"/>
      <c r="BA2185" s="12"/>
      <c r="BB2185" s="12"/>
      <c r="BC2185" s="12"/>
      <c r="BD2185" s="12"/>
      <c r="BF2185" s="106" t="str">
        <f t="shared" si="1"/>
        <v>#VALUE!</v>
      </c>
      <c r="BG2185" s="21">
        <f t="shared" si="2"/>
        <v>12</v>
      </c>
    </row>
    <row r="2186">
      <c r="P2186" s="161"/>
      <c r="AI2186" s="102"/>
      <c r="AO2186" s="12"/>
      <c r="AP2186" s="12"/>
      <c r="AQ2186" s="12"/>
      <c r="AR2186" s="12"/>
      <c r="AS2186" s="12"/>
      <c r="AT2186" s="12"/>
      <c r="AU2186" s="12"/>
      <c r="AV2186" s="12"/>
      <c r="AW2186" s="12"/>
      <c r="AX2186" s="12"/>
      <c r="AY2186" s="12"/>
      <c r="AZ2186" s="12"/>
      <c r="BA2186" s="12"/>
      <c r="BB2186" s="12"/>
      <c r="BC2186" s="12"/>
      <c r="BD2186" s="12"/>
      <c r="BF2186" s="106" t="str">
        <f t="shared" si="1"/>
        <v>#VALUE!</v>
      </c>
      <c r="BG2186" s="21">
        <f t="shared" si="2"/>
        <v>12</v>
      </c>
    </row>
    <row r="2187">
      <c r="P2187" s="161"/>
      <c r="AI2187" s="102"/>
      <c r="AO2187" s="12"/>
      <c r="AP2187" s="12"/>
      <c r="AQ2187" s="12"/>
      <c r="AR2187" s="12"/>
      <c r="AS2187" s="12"/>
      <c r="AT2187" s="12"/>
      <c r="AU2187" s="12"/>
      <c r="AV2187" s="12"/>
      <c r="AW2187" s="12"/>
      <c r="AX2187" s="12"/>
      <c r="AY2187" s="12"/>
      <c r="AZ2187" s="12"/>
      <c r="BA2187" s="12"/>
      <c r="BB2187" s="12"/>
      <c r="BC2187" s="12"/>
      <c r="BD2187" s="12"/>
      <c r="BF2187" s="106" t="str">
        <f t="shared" si="1"/>
        <v>#VALUE!</v>
      </c>
      <c r="BG2187" s="21">
        <f t="shared" si="2"/>
        <v>12</v>
      </c>
    </row>
    <row r="2188">
      <c r="P2188" s="161"/>
      <c r="AI2188" s="102"/>
      <c r="AO2188" s="12"/>
      <c r="AP2188" s="12"/>
      <c r="AQ2188" s="12"/>
      <c r="AR2188" s="12"/>
      <c r="AS2188" s="12"/>
      <c r="AT2188" s="12"/>
      <c r="AU2188" s="12"/>
      <c r="AV2188" s="12"/>
      <c r="AW2188" s="12"/>
      <c r="AX2188" s="12"/>
      <c r="AY2188" s="12"/>
      <c r="AZ2188" s="12"/>
      <c r="BA2188" s="12"/>
      <c r="BB2188" s="12"/>
      <c r="BC2188" s="12"/>
      <c r="BD2188" s="12"/>
      <c r="BF2188" s="106" t="str">
        <f t="shared" si="1"/>
        <v>#VALUE!</v>
      </c>
      <c r="BG2188" s="21">
        <f t="shared" si="2"/>
        <v>12</v>
      </c>
    </row>
    <row r="2189">
      <c r="P2189" s="161"/>
      <c r="AI2189" s="102"/>
      <c r="AO2189" s="12"/>
      <c r="AP2189" s="12"/>
      <c r="AQ2189" s="12"/>
      <c r="AR2189" s="12"/>
      <c r="AS2189" s="12"/>
      <c r="AT2189" s="12"/>
      <c r="AU2189" s="12"/>
      <c r="AV2189" s="12"/>
      <c r="AW2189" s="12"/>
      <c r="AX2189" s="12"/>
      <c r="AY2189" s="12"/>
      <c r="AZ2189" s="12"/>
      <c r="BA2189" s="12"/>
      <c r="BB2189" s="12"/>
      <c r="BC2189" s="12"/>
      <c r="BD2189" s="12"/>
      <c r="BF2189" s="106" t="str">
        <f t="shared" si="1"/>
        <v>#VALUE!</v>
      </c>
      <c r="BG2189" s="21">
        <f t="shared" si="2"/>
        <v>12</v>
      </c>
    </row>
    <row r="2190">
      <c r="P2190" s="161"/>
      <c r="AI2190" s="102"/>
      <c r="AO2190" s="12"/>
      <c r="AP2190" s="12"/>
      <c r="AQ2190" s="12"/>
      <c r="AR2190" s="12"/>
      <c r="AS2190" s="12"/>
      <c r="AT2190" s="12"/>
      <c r="AU2190" s="12"/>
      <c r="AV2190" s="12"/>
      <c r="AW2190" s="12"/>
      <c r="AX2190" s="12"/>
      <c r="AY2190" s="12"/>
      <c r="AZ2190" s="12"/>
      <c r="BA2190" s="12"/>
      <c r="BB2190" s="12"/>
      <c r="BC2190" s="12"/>
      <c r="BD2190" s="12"/>
      <c r="BF2190" s="106" t="str">
        <f t="shared" si="1"/>
        <v>#VALUE!</v>
      </c>
      <c r="BG2190" s="21">
        <f t="shared" si="2"/>
        <v>12</v>
      </c>
    </row>
    <row r="2191">
      <c r="P2191" s="161"/>
      <c r="AI2191" s="102"/>
      <c r="AO2191" s="12"/>
      <c r="AP2191" s="12"/>
      <c r="AQ2191" s="12"/>
      <c r="AR2191" s="12"/>
      <c r="AS2191" s="12"/>
      <c r="AT2191" s="12"/>
      <c r="AU2191" s="12"/>
      <c r="AV2191" s="12"/>
      <c r="AW2191" s="12"/>
      <c r="AX2191" s="12"/>
      <c r="AY2191" s="12"/>
      <c r="AZ2191" s="12"/>
      <c r="BA2191" s="12"/>
      <c r="BB2191" s="12"/>
      <c r="BC2191" s="12"/>
      <c r="BD2191" s="12"/>
      <c r="BF2191" s="106" t="str">
        <f t="shared" si="1"/>
        <v>#VALUE!</v>
      </c>
      <c r="BG2191" s="21">
        <f t="shared" si="2"/>
        <v>12</v>
      </c>
    </row>
    <row r="2192">
      <c r="P2192" s="161"/>
      <c r="AI2192" s="102"/>
      <c r="AO2192" s="12"/>
      <c r="AP2192" s="12"/>
      <c r="AQ2192" s="12"/>
      <c r="AR2192" s="12"/>
      <c r="AS2192" s="12"/>
      <c r="AT2192" s="12"/>
      <c r="AU2192" s="12"/>
      <c r="AV2192" s="12"/>
      <c r="AW2192" s="12"/>
      <c r="AX2192" s="12"/>
      <c r="AY2192" s="12"/>
      <c r="AZ2192" s="12"/>
      <c r="BA2192" s="12"/>
      <c r="BB2192" s="12"/>
      <c r="BC2192" s="12"/>
      <c r="BD2192" s="12"/>
      <c r="BF2192" s="106" t="str">
        <f t="shared" si="1"/>
        <v>#VALUE!</v>
      </c>
      <c r="BG2192" s="21">
        <f t="shared" si="2"/>
        <v>12</v>
      </c>
    </row>
    <row r="2193">
      <c r="P2193" s="161"/>
      <c r="AI2193" s="102"/>
      <c r="AO2193" s="12"/>
      <c r="AP2193" s="12"/>
      <c r="AQ2193" s="12"/>
      <c r="AR2193" s="12"/>
      <c r="AS2193" s="12"/>
      <c r="AT2193" s="12"/>
      <c r="AU2193" s="12"/>
      <c r="AV2193" s="12"/>
      <c r="AW2193" s="12"/>
      <c r="AX2193" s="12"/>
      <c r="AY2193" s="12"/>
      <c r="AZ2193" s="12"/>
      <c r="BA2193" s="12"/>
      <c r="BB2193" s="12"/>
      <c r="BC2193" s="12"/>
      <c r="BD2193" s="12"/>
      <c r="BF2193" s="106" t="str">
        <f t="shared" si="1"/>
        <v>#VALUE!</v>
      </c>
      <c r="BG2193" s="21">
        <f t="shared" si="2"/>
        <v>12</v>
      </c>
    </row>
    <row r="2194">
      <c r="P2194" s="161"/>
      <c r="AI2194" s="102"/>
      <c r="AO2194" s="12"/>
      <c r="AP2194" s="12"/>
      <c r="AQ2194" s="12"/>
      <c r="AR2194" s="12"/>
      <c r="AS2194" s="12"/>
      <c r="AT2194" s="12"/>
      <c r="AU2194" s="12"/>
      <c r="AV2194" s="12"/>
      <c r="AW2194" s="12"/>
      <c r="AX2194" s="12"/>
      <c r="AY2194" s="12"/>
      <c r="AZ2194" s="12"/>
      <c r="BA2194" s="12"/>
      <c r="BB2194" s="12"/>
      <c r="BC2194" s="12"/>
      <c r="BD2194" s="12"/>
      <c r="BF2194" s="106" t="str">
        <f t="shared" si="1"/>
        <v>#VALUE!</v>
      </c>
      <c r="BG2194" s="21">
        <f t="shared" si="2"/>
        <v>12</v>
      </c>
    </row>
    <row r="2195">
      <c r="P2195" s="161"/>
      <c r="AI2195" s="102"/>
      <c r="AO2195" s="12"/>
      <c r="AP2195" s="12"/>
      <c r="AQ2195" s="12"/>
      <c r="AR2195" s="12"/>
      <c r="AS2195" s="12"/>
      <c r="AT2195" s="12"/>
      <c r="AU2195" s="12"/>
      <c r="AV2195" s="12"/>
      <c r="AW2195" s="12"/>
      <c r="AX2195" s="12"/>
      <c r="AY2195" s="12"/>
      <c r="AZ2195" s="12"/>
      <c r="BA2195" s="12"/>
      <c r="BB2195" s="12"/>
      <c r="BC2195" s="12"/>
      <c r="BD2195" s="12"/>
      <c r="BF2195" s="106" t="str">
        <f t="shared" si="1"/>
        <v>#VALUE!</v>
      </c>
      <c r="BG2195" s="21">
        <f t="shared" si="2"/>
        <v>12</v>
      </c>
    </row>
    <row r="2196">
      <c r="P2196" s="161"/>
      <c r="AI2196" s="102"/>
      <c r="AO2196" s="12"/>
      <c r="AP2196" s="12"/>
      <c r="AQ2196" s="12"/>
      <c r="AR2196" s="12"/>
      <c r="AS2196" s="12"/>
      <c r="AT2196" s="12"/>
      <c r="AU2196" s="12"/>
      <c r="AV2196" s="12"/>
      <c r="AW2196" s="12"/>
      <c r="AX2196" s="12"/>
      <c r="AY2196" s="12"/>
      <c r="AZ2196" s="12"/>
      <c r="BA2196" s="12"/>
      <c r="BB2196" s="12"/>
      <c r="BC2196" s="12"/>
      <c r="BD2196" s="12"/>
      <c r="BF2196" s="106" t="str">
        <f t="shared" si="1"/>
        <v>#VALUE!</v>
      </c>
      <c r="BG2196" s="21">
        <f t="shared" si="2"/>
        <v>12</v>
      </c>
    </row>
    <row r="2197">
      <c r="P2197" s="161"/>
      <c r="AI2197" s="102"/>
      <c r="AO2197" s="12"/>
      <c r="AP2197" s="12"/>
      <c r="AQ2197" s="12"/>
      <c r="AR2197" s="12"/>
      <c r="AS2197" s="12"/>
      <c r="AT2197" s="12"/>
      <c r="AU2197" s="12"/>
      <c r="AV2197" s="12"/>
      <c r="AW2197" s="12"/>
      <c r="AX2197" s="12"/>
      <c r="AY2197" s="12"/>
      <c r="AZ2197" s="12"/>
      <c r="BA2197" s="12"/>
      <c r="BB2197" s="12"/>
      <c r="BC2197" s="12"/>
      <c r="BD2197" s="12"/>
      <c r="BF2197" s="106" t="str">
        <f t="shared" si="1"/>
        <v>#VALUE!</v>
      </c>
      <c r="BG2197" s="21">
        <f t="shared" si="2"/>
        <v>12</v>
      </c>
    </row>
    <row r="2198">
      <c r="P2198" s="161"/>
      <c r="AI2198" s="102"/>
      <c r="AO2198" s="12"/>
      <c r="AP2198" s="12"/>
      <c r="AQ2198" s="12"/>
      <c r="AR2198" s="12"/>
      <c r="AS2198" s="12"/>
      <c r="AT2198" s="12"/>
      <c r="AU2198" s="12"/>
      <c r="AV2198" s="12"/>
      <c r="AW2198" s="12"/>
      <c r="AX2198" s="12"/>
      <c r="AY2198" s="12"/>
      <c r="AZ2198" s="12"/>
      <c r="BA2198" s="12"/>
      <c r="BB2198" s="12"/>
      <c r="BC2198" s="12"/>
      <c r="BD2198" s="12"/>
      <c r="BF2198" s="106" t="str">
        <f t="shared" si="1"/>
        <v>#VALUE!</v>
      </c>
      <c r="BG2198" s="21">
        <f t="shared" si="2"/>
        <v>12</v>
      </c>
    </row>
    <row r="2199">
      <c r="P2199" s="161"/>
      <c r="AI2199" s="102"/>
      <c r="AO2199" s="12"/>
      <c r="AP2199" s="12"/>
      <c r="AQ2199" s="12"/>
      <c r="AR2199" s="12"/>
      <c r="AS2199" s="12"/>
      <c r="AT2199" s="12"/>
      <c r="AU2199" s="12"/>
      <c r="AV2199" s="12"/>
      <c r="AW2199" s="12"/>
      <c r="AX2199" s="12"/>
      <c r="AY2199" s="12"/>
      <c r="AZ2199" s="12"/>
      <c r="BA2199" s="12"/>
      <c r="BB2199" s="12"/>
      <c r="BC2199" s="12"/>
      <c r="BD2199" s="12"/>
      <c r="BF2199" s="106" t="str">
        <f t="shared" si="1"/>
        <v>#VALUE!</v>
      </c>
      <c r="BG2199" s="21">
        <f t="shared" si="2"/>
        <v>12</v>
      </c>
    </row>
    <row r="2200">
      <c r="P2200" s="161"/>
      <c r="AI2200" s="102"/>
      <c r="AO2200" s="12"/>
      <c r="AP2200" s="12"/>
      <c r="AQ2200" s="12"/>
      <c r="AR2200" s="12"/>
      <c r="AS2200" s="12"/>
      <c r="AT2200" s="12"/>
      <c r="AU2200" s="12"/>
      <c r="AV2200" s="12"/>
      <c r="AW2200" s="12"/>
      <c r="AX2200" s="12"/>
      <c r="AY2200" s="12"/>
      <c r="AZ2200" s="12"/>
      <c r="BA2200" s="12"/>
      <c r="BB2200" s="12"/>
      <c r="BC2200" s="12"/>
      <c r="BD2200" s="12"/>
      <c r="BF2200" s="106" t="str">
        <f t="shared" si="1"/>
        <v>#VALUE!</v>
      </c>
      <c r="BG2200" s="21">
        <f t="shared" si="2"/>
        <v>12</v>
      </c>
    </row>
    <row r="2201">
      <c r="P2201" s="161"/>
      <c r="AI2201" s="102"/>
      <c r="AO2201" s="12"/>
      <c r="AP2201" s="12"/>
      <c r="AQ2201" s="12"/>
      <c r="AR2201" s="12"/>
      <c r="AS2201" s="12"/>
      <c r="AT2201" s="12"/>
      <c r="AU2201" s="12"/>
      <c r="AV2201" s="12"/>
      <c r="AW2201" s="12"/>
      <c r="AX2201" s="12"/>
      <c r="AY2201" s="12"/>
      <c r="AZ2201" s="12"/>
      <c r="BA2201" s="12"/>
      <c r="BB2201" s="12"/>
      <c r="BC2201" s="12"/>
      <c r="BD2201" s="12"/>
      <c r="BF2201" s="106" t="str">
        <f t="shared" si="1"/>
        <v>#VALUE!</v>
      </c>
      <c r="BG2201" s="21">
        <f t="shared" si="2"/>
        <v>12</v>
      </c>
    </row>
    <row r="2202">
      <c r="P2202" s="161"/>
      <c r="AI2202" s="102"/>
      <c r="AO2202" s="12"/>
      <c r="AP2202" s="12"/>
      <c r="AQ2202" s="12"/>
      <c r="AR2202" s="12"/>
      <c r="AS2202" s="12"/>
      <c r="AT2202" s="12"/>
      <c r="AU2202" s="12"/>
      <c r="AV2202" s="12"/>
      <c r="AW2202" s="12"/>
      <c r="AX2202" s="12"/>
      <c r="AY2202" s="12"/>
      <c r="AZ2202" s="12"/>
      <c r="BA2202" s="12"/>
      <c r="BB2202" s="12"/>
      <c r="BC2202" s="12"/>
      <c r="BD2202" s="12"/>
      <c r="BF2202" s="106" t="str">
        <f t="shared" si="1"/>
        <v>#VALUE!</v>
      </c>
      <c r="BG2202" s="21">
        <f t="shared" si="2"/>
        <v>12</v>
      </c>
    </row>
    <row r="2203">
      <c r="P2203" s="161"/>
      <c r="AI2203" s="102"/>
      <c r="AO2203" s="12"/>
      <c r="AP2203" s="12"/>
      <c r="AQ2203" s="12"/>
      <c r="AR2203" s="12"/>
      <c r="AS2203" s="12"/>
      <c r="AT2203" s="12"/>
      <c r="AU2203" s="12"/>
      <c r="AV2203" s="12"/>
      <c r="AW2203" s="12"/>
      <c r="AX2203" s="12"/>
      <c r="AY2203" s="12"/>
      <c r="AZ2203" s="12"/>
      <c r="BA2203" s="12"/>
      <c r="BB2203" s="12"/>
      <c r="BC2203" s="12"/>
      <c r="BD2203" s="12"/>
      <c r="BF2203" s="106" t="str">
        <f t="shared" si="1"/>
        <v>#VALUE!</v>
      </c>
      <c r="BG2203" s="21">
        <f t="shared" si="2"/>
        <v>12</v>
      </c>
    </row>
    <row r="2204">
      <c r="P2204" s="161"/>
      <c r="AI2204" s="102"/>
      <c r="AO2204" s="12"/>
      <c r="AP2204" s="12"/>
      <c r="AQ2204" s="12"/>
      <c r="AR2204" s="12"/>
      <c r="AS2204" s="12"/>
      <c r="AT2204" s="12"/>
      <c r="AU2204" s="12"/>
      <c r="AV2204" s="12"/>
      <c r="AW2204" s="12"/>
      <c r="AX2204" s="12"/>
      <c r="AY2204" s="12"/>
      <c r="AZ2204" s="12"/>
      <c r="BA2204" s="12"/>
      <c r="BB2204" s="12"/>
      <c r="BC2204" s="12"/>
      <c r="BD2204" s="12"/>
      <c r="BF2204" s="106" t="str">
        <f t="shared" si="1"/>
        <v>#VALUE!</v>
      </c>
      <c r="BG2204" s="21">
        <f t="shared" si="2"/>
        <v>12</v>
      </c>
    </row>
    <row r="2205">
      <c r="P2205" s="161"/>
      <c r="AI2205" s="102"/>
      <c r="AO2205" s="12"/>
      <c r="AP2205" s="12"/>
      <c r="AQ2205" s="12"/>
      <c r="AR2205" s="12"/>
      <c r="AS2205" s="12"/>
      <c r="AT2205" s="12"/>
      <c r="AU2205" s="12"/>
      <c r="AV2205" s="12"/>
      <c r="AW2205" s="12"/>
      <c r="AX2205" s="12"/>
      <c r="AY2205" s="12"/>
      <c r="AZ2205" s="12"/>
      <c r="BA2205" s="12"/>
      <c r="BB2205" s="12"/>
      <c r="BC2205" s="12"/>
      <c r="BD2205" s="12"/>
      <c r="BF2205" s="106" t="str">
        <f t="shared" si="1"/>
        <v>#VALUE!</v>
      </c>
      <c r="BG2205" s="21">
        <f t="shared" si="2"/>
        <v>12</v>
      </c>
    </row>
    <row r="2206">
      <c r="P2206" s="161"/>
      <c r="AI2206" s="102"/>
      <c r="AO2206" s="12"/>
      <c r="AP2206" s="12"/>
      <c r="AQ2206" s="12"/>
      <c r="AR2206" s="12"/>
      <c r="AS2206" s="12"/>
      <c r="AT2206" s="12"/>
      <c r="AU2206" s="12"/>
      <c r="AV2206" s="12"/>
      <c r="AW2206" s="12"/>
      <c r="AX2206" s="12"/>
      <c r="AY2206" s="12"/>
      <c r="AZ2206" s="12"/>
      <c r="BA2206" s="12"/>
      <c r="BB2206" s="12"/>
      <c r="BC2206" s="12"/>
      <c r="BD2206" s="12"/>
      <c r="BF2206" s="106" t="str">
        <f t="shared" si="1"/>
        <v>#VALUE!</v>
      </c>
      <c r="BG2206" s="21">
        <f t="shared" si="2"/>
        <v>12</v>
      </c>
    </row>
    <row r="2207">
      <c r="P2207" s="161"/>
      <c r="AI2207" s="102"/>
      <c r="AO2207" s="12"/>
      <c r="AP2207" s="12"/>
      <c r="AQ2207" s="12"/>
      <c r="AR2207" s="12"/>
      <c r="AS2207" s="12"/>
      <c r="AT2207" s="12"/>
      <c r="AU2207" s="12"/>
      <c r="AV2207" s="12"/>
      <c r="AW2207" s="12"/>
      <c r="AX2207" s="12"/>
      <c r="AY2207" s="12"/>
      <c r="AZ2207" s="12"/>
      <c r="BA2207" s="12"/>
      <c r="BB2207" s="12"/>
      <c r="BC2207" s="12"/>
      <c r="BD2207" s="12"/>
      <c r="BF2207" s="106" t="str">
        <f t="shared" si="1"/>
        <v>#VALUE!</v>
      </c>
      <c r="BG2207" s="21">
        <f t="shared" si="2"/>
        <v>12</v>
      </c>
    </row>
    <row r="2208">
      <c r="P2208" s="161"/>
      <c r="AI2208" s="102"/>
      <c r="AO2208" s="12"/>
      <c r="AP2208" s="12"/>
      <c r="AQ2208" s="12"/>
      <c r="AR2208" s="12"/>
      <c r="AS2208" s="12"/>
      <c r="AT2208" s="12"/>
      <c r="AU2208" s="12"/>
      <c r="AV2208" s="12"/>
      <c r="AW2208" s="12"/>
      <c r="AX2208" s="12"/>
      <c r="AY2208" s="12"/>
      <c r="AZ2208" s="12"/>
      <c r="BA2208" s="12"/>
      <c r="BB2208" s="12"/>
      <c r="BC2208" s="12"/>
      <c r="BD2208" s="12"/>
      <c r="BF2208" s="106" t="str">
        <f t="shared" si="1"/>
        <v>#VALUE!</v>
      </c>
      <c r="BG2208" s="21">
        <f t="shared" si="2"/>
        <v>12</v>
      </c>
    </row>
    <row r="2209">
      <c r="P2209" s="161"/>
      <c r="AI2209" s="102"/>
      <c r="AO2209" s="12"/>
      <c r="AP2209" s="12"/>
      <c r="AQ2209" s="12"/>
      <c r="AR2209" s="12"/>
      <c r="AS2209" s="12"/>
      <c r="AT2209" s="12"/>
      <c r="AU2209" s="12"/>
      <c r="AV2209" s="12"/>
      <c r="AW2209" s="12"/>
      <c r="AX2209" s="12"/>
      <c r="AY2209" s="12"/>
      <c r="AZ2209" s="12"/>
      <c r="BA2209" s="12"/>
      <c r="BB2209" s="12"/>
      <c r="BC2209" s="12"/>
      <c r="BD2209" s="12"/>
      <c r="BF2209" s="106" t="str">
        <f t="shared" si="1"/>
        <v>#VALUE!</v>
      </c>
      <c r="BG2209" s="21">
        <f t="shared" si="2"/>
        <v>12</v>
      </c>
    </row>
    <row r="2210">
      <c r="P2210" s="161"/>
      <c r="AI2210" s="102"/>
      <c r="AO2210" s="12"/>
      <c r="AP2210" s="12"/>
      <c r="AQ2210" s="12"/>
      <c r="AR2210" s="12"/>
      <c r="AS2210" s="12"/>
      <c r="AT2210" s="12"/>
      <c r="AU2210" s="12"/>
      <c r="AV2210" s="12"/>
      <c r="AW2210" s="12"/>
      <c r="AX2210" s="12"/>
      <c r="AY2210" s="12"/>
      <c r="AZ2210" s="12"/>
      <c r="BA2210" s="12"/>
      <c r="BB2210" s="12"/>
      <c r="BC2210" s="12"/>
      <c r="BD2210" s="12"/>
      <c r="BF2210" s="106" t="str">
        <f t="shared" si="1"/>
        <v>#VALUE!</v>
      </c>
      <c r="BG2210" s="21">
        <f t="shared" si="2"/>
        <v>12</v>
      </c>
    </row>
    <row r="2211">
      <c r="P2211" s="161"/>
      <c r="AI2211" s="102"/>
      <c r="AO2211" s="12"/>
      <c r="AP2211" s="12"/>
      <c r="AQ2211" s="12"/>
      <c r="AR2211" s="12"/>
      <c r="AS2211" s="12"/>
      <c r="AT2211" s="12"/>
      <c r="AU2211" s="12"/>
      <c r="AV2211" s="12"/>
      <c r="AW2211" s="12"/>
      <c r="AX2211" s="12"/>
      <c r="AY2211" s="12"/>
      <c r="AZ2211" s="12"/>
      <c r="BA2211" s="12"/>
      <c r="BB2211" s="12"/>
      <c r="BC2211" s="12"/>
      <c r="BD2211" s="12"/>
      <c r="BF2211" s="106" t="str">
        <f t="shared" si="1"/>
        <v>#VALUE!</v>
      </c>
      <c r="BG2211" s="21">
        <f t="shared" si="2"/>
        <v>12</v>
      </c>
    </row>
    <row r="2212">
      <c r="P2212" s="161"/>
      <c r="AI2212" s="102"/>
      <c r="AO2212" s="12"/>
      <c r="AP2212" s="12"/>
      <c r="AQ2212" s="12"/>
      <c r="AR2212" s="12"/>
      <c r="AS2212" s="12"/>
      <c r="AT2212" s="12"/>
      <c r="AU2212" s="12"/>
      <c r="AV2212" s="12"/>
      <c r="AW2212" s="12"/>
      <c r="AX2212" s="12"/>
      <c r="AY2212" s="12"/>
      <c r="AZ2212" s="12"/>
      <c r="BA2212" s="12"/>
      <c r="BB2212" s="12"/>
      <c r="BC2212" s="12"/>
      <c r="BD2212" s="12"/>
      <c r="BF2212" s="106" t="str">
        <f t="shared" si="1"/>
        <v>#VALUE!</v>
      </c>
      <c r="BG2212" s="21">
        <f t="shared" si="2"/>
        <v>12</v>
      </c>
    </row>
    <row r="2213">
      <c r="P2213" s="161"/>
      <c r="AI2213" s="102"/>
      <c r="AO2213" s="12"/>
      <c r="AP2213" s="12"/>
      <c r="AQ2213" s="12"/>
      <c r="AR2213" s="12"/>
      <c r="AS2213" s="12"/>
      <c r="AT2213" s="12"/>
      <c r="AU2213" s="12"/>
      <c r="AV2213" s="12"/>
      <c r="AW2213" s="12"/>
      <c r="AX2213" s="12"/>
      <c r="AY2213" s="12"/>
      <c r="AZ2213" s="12"/>
      <c r="BA2213" s="12"/>
      <c r="BB2213" s="12"/>
      <c r="BC2213" s="12"/>
      <c r="BD2213" s="12"/>
      <c r="BF2213" s="106" t="str">
        <f t="shared" si="1"/>
        <v>#VALUE!</v>
      </c>
      <c r="BG2213" s="21">
        <f t="shared" si="2"/>
        <v>12</v>
      </c>
    </row>
    <row r="2214">
      <c r="P2214" s="161"/>
      <c r="AI2214" s="102"/>
      <c r="AO2214" s="12"/>
      <c r="AP2214" s="12"/>
      <c r="AQ2214" s="12"/>
      <c r="AR2214" s="12"/>
      <c r="AS2214" s="12"/>
      <c r="AT2214" s="12"/>
      <c r="AU2214" s="12"/>
      <c r="AV2214" s="12"/>
      <c r="AW2214" s="12"/>
      <c r="AX2214" s="12"/>
      <c r="AY2214" s="12"/>
      <c r="AZ2214" s="12"/>
      <c r="BA2214" s="12"/>
      <c r="BB2214" s="12"/>
      <c r="BC2214" s="12"/>
      <c r="BD2214" s="12"/>
      <c r="BF2214" s="106" t="str">
        <f t="shared" si="1"/>
        <v>#VALUE!</v>
      </c>
      <c r="BG2214" s="21">
        <f t="shared" si="2"/>
        <v>12</v>
      </c>
    </row>
    <row r="2215">
      <c r="P2215" s="161"/>
      <c r="AI2215" s="102"/>
      <c r="AO2215" s="12"/>
      <c r="AP2215" s="12"/>
      <c r="AQ2215" s="12"/>
      <c r="AR2215" s="12"/>
      <c r="AS2215" s="12"/>
      <c r="AT2215" s="12"/>
      <c r="AU2215" s="12"/>
      <c r="AV2215" s="12"/>
      <c r="AW2215" s="12"/>
      <c r="AX2215" s="12"/>
      <c r="AY2215" s="12"/>
      <c r="AZ2215" s="12"/>
      <c r="BA2215" s="12"/>
      <c r="BB2215" s="12"/>
      <c r="BC2215" s="12"/>
      <c r="BD2215" s="12"/>
      <c r="BF2215" s="106" t="str">
        <f t="shared" si="1"/>
        <v>#VALUE!</v>
      </c>
      <c r="BG2215" s="21">
        <f t="shared" si="2"/>
        <v>12</v>
      </c>
    </row>
    <row r="2216">
      <c r="P2216" s="161"/>
      <c r="AI2216" s="102"/>
      <c r="AO2216" s="12"/>
      <c r="AP2216" s="12"/>
      <c r="AQ2216" s="12"/>
      <c r="AR2216" s="12"/>
      <c r="AS2216" s="12"/>
      <c r="AT2216" s="12"/>
      <c r="AU2216" s="12"/>
      <c r="AV2216" s="12"/>
      <c r="AW2216" s="12"/>
      <c r="AX2216" s="12"/>
      <c r="AY2216" s="12"/>
      <c r="AZ2216" s="12"/>
      <c r="BA2216" s="12"/>
      <c r="BB2216" s="12"/>
      <c r="BC2216" s="12"/>
      <c r="BD2216" s="12"/>
      <c r="BF2216" s="106" t="str">
        <f t="shared" si="1"/>
        <v>#VALUE!</v>
      </c>
      <c r="BG2216" s="21">
        <f t="shared" si="2"/>
        <v>12</v>
      </c>
    </row>
    <row r="2217">
      <c r="P2217" s="161"/>
      <c r="AI2217" s="102"/>
      <c r="AO2217" s="12"/>
      <c r="AP2217" s="12"/>
      <c r="AQ2217" s="12"/>
      <c r="AR2217" s="12"/>
      <c r="AS2217" s="12"/>
      <c r="AT2217" s="12"/>
      <c r="AU2217" s="12"/>
      <c r="AV2217" s="12"/>
      <c r="AW2217" s="12"/>
      <c r="AX2217" s="12"/>
      <c r="AY2217" s="12"/>
      <c r="AZ2217" s="12"/>
      <c r="BA2217" s="12"/>
      <c r="BB2217" s="12"/>
      <c r="BC2217" s="12"/>
      <c r="BD2217" s="12"/>
      <c r="BF2217" s="106" t="str">
        <f t="shared" si="1"/>
        <v>#VALUE!</v>
      </c>
      <c r="BG2217" s="21">
        <f t="shared" si="2"/>
        <v>12</v>
      </c>
    </row>
    <row r="2218">
      <c r="P2218" s="161"/>
      <c r="AI2218" s="102"/>
      <c r="AO2218" s="12"/>
      <c r="AP2218" s="12"/>
      <c r="AQ2218" s="12"/>
      <c r="AR2218" s="12"/>
      <c r="AS2218" s="12"/>
      <c r="AT2218" s="12"/>
      <c r="AU2218" s="12"/>
      <c r="AV2218" s="12"/>
      <c r="AW2218" s="12"/>
      <c r="AX2218" s="12"/>
      <c r="AY2218" s="12"/>
      <c r="AZ2218" s="12"/>
      <c r="BA2218" s="12"/>
      <c r="BB2218" s="12"/>
      <c r="BC2218" s="12"/>
      <c r="BD2218" s="12"/>
      <c r="BF2218" s="106" t="str">
        <f t="shared" si="1"/>
        <v>#VALUE!</v>
      </c>
      <c r="BG2218" s="21">
        <f t="shared" si="2"/>
        <v>12</v>
      </c>
    </row>
    <row r="2219">
      <c r="P2219" s="161"/>
      <c r="AI2219" s="102"/>
      <c r="AO2219" s="12"/>
      <c r="AP2219" s="12"/>
      <c r="AQ2219" s="12"/>
      <c r="AR2219" s="12"/>
      <c r="AS2219" s="12"/>
      <c r="AT2219" s="12"/>
      <c r="AU2219" s="12"/>
      <c r="AV2219" s="12"/>
      <c r="AW2219" s="12"/>
      <c r="AX2219" s="12"/>
      <c r="AY2219" s="12"/>
      <c r="AZ2219" s="12"/>
      <c r="BA2219" s="12"/>
      <c r="BB2219" s="12"/>
      <c r="BC2219" s="12"/>
      <c r="BD2219" s="12"/>
      <c r="BF2219" s="106" t="str">
        <f t="shared" si="1"/>
        <v>#VALUE!</v>
      </c>
      <c r="BG2219" s="21">
        <f t="shared" si="2"/>
        <v>12</v>
      </c>
    </row>
    <row r="2220">
      <c r="P2220" s="161"/>
      <c r="AI2220" s="102"/>
      <c r="AO2220" s="12"/>
      <c r="AP2220" s="12"/>
      <c r="AQ2220" s="12"/>
      <c r="AR2220" s="12"/>
      <c r="AS2220" s="12"/>
      <c r="AT2220" s="12"/>
      <c r="AU2220" s="12"/>
      <c r="AV2220" s="12"/>
      <c r="AW2220" s="12"/>
      <c r="AX2220" s="12"/>
      <c r="AY2220" s="12"/>
      <c r="AZ2220" s="12"/>
      <c r="BA2220" s="12"/>
      <c r="BB2220" s="12"/>
      <c r="BC2220" s="12"/>
      <c r="BD2220" s="12"/>
      <c r="BF2220" s="106" t="str">
        <f t="shared" si="1"/>
        <v>#VALUE!</v>
      </c>
      <c r="BG2220" s="21">
        <f t="shared" si="2"/>
        <v>12</v>
      </c>
    </row>
    <row r="2221">
      <c r="P2221" s="161"/>
      <c r="AI2221" s="102"/>
      <c r="AO2221" s="12"/>
      <c r="AP2221" s="12"/>
      <c r="AQ2221" s="12"/>
      <c r="AR2221" s="12"/>
      <c r="AS2221" s="12"/>
      <c r="AT2221" s="12"/>
      <c r="AU2221" s="12"/>
      <c r="AV2221" s="12"/>
      <c r="AW2221" s="12"/>
      <c r="AX2221" s="12"/>
      <c r="AY2221" s="12"/>
      <c r="AZ2221" s="12"/>
      <c r="BA2221" s="12"/>
      <c r="BB2221" s="12"/>
      <c r="BC2221" s="12"/>
      <c r="BD2221" s="12"/>
      <c r="BF2221" s="106" t="str">
        <f t="shared" si="1"/>
        <v>#VALUE!</v>
      </c>
      <c r="BG2221" s="21">
        <f t="shared" si="2"/>
        <v>12</v>
      </c>
    </row>
    <row r="2222">
      <c r="P2222" s="161"/>
      <c r="AI2222" s="102"/>
      <c r="AO2222" s="12"/>
      <c r="AP2222" s="12"/>
      <c r="AQ2222" s="12"/>
      <c r="AR2222" s="12"/>
      <c r="AS2222" s="12"/>
      <c r="AT2222" s="12"/>
      <c r="AU2222" s="12"/>
      <c r="AV2222" s="12"/>
      <c r="AW2222" s="12"/>
      <c r="AX2222" s="12"/>
      <c r="AY2222" s="12"/>
      <c r="AZ2222" s="12"/>
      <c r="BA2222" s="12"/>
      <c r="BB2222" s="12"/>
      <c r="BC2222" s="12"/>
      <c r="BD2222" s="12"/>
      <c r="BF2222" s="106" t="str">
        <f t="shared" si="1"/>
        <v>#VALUE!</v>
      </c>
      <c r="BG2222" s="21">
        <f t="shared" si="2"/>
        <v>12</v>
      </c>
    </row>
    <row r="2223">
      <c r="P2223" s="161"/>
      <c r="AI2223" s="102"/>
      <c r="AO2223" s="12"/>
      <c r="AP2223" s="12"/>
      <c r="AQ2223" s="12"/>
      <c r="AR2223" s="12"/>
      <c r="AS2223" s="12"/>
      <c r="AT2223" s="12"/>
      <c r="AU2223" s="12"/>
      <c r="AV2223" s="12"/>
      <c r="AW2223" s="12"/>
      <c r="AX2223" s="12"/>
      <c r="AY2223" s="12"/>
      <c r="AZ2223" s="12"/>
      <c r="BA2223" s="12"/>
      <c r="BB2223" s="12"/>
      <c r="BC2223" s="12"/>
      <c r="BD2223" s="12"/>
      <c r="BF2223" s="106" t="str">
        <f t="shared" si="1"/>
        <v>#VALUE!</v>
      </c>
      <c r="BG2223" s="21">
        <f t="shared" si="2"/>
        <v>12</v>
      </c>
    </row>
    <row r="2224">
      <c r="P2224" s="161"/>
      <c r="AI2224" s="102"/>
      <c r="AO2224" s="12"/>
      <c r="AP2224" s="12"/>
      <c r="AQ2224" s="12"/>
      <c r="AR2224" s="12"/>
      <c r="AS2224" s="12"/>
      <c r="AT2224" s="12"/>
      <c r="AU2224" s="12"/>
      <c r="AV2224" s="12"/>
      <c r="AW2224" s="12"/>
      <c r="AX2224" s="12"/>
      <c r="AY2224" s="12"/>
      <c r="AZ2224" s="12"/>
      <c r="BA2224" s="12"/>
      <c r="BB2224" s="12"/>
      <c r="BC2224" s="12"/>
      <c r="BD2224" s="12"/>
      <c r="BF2224" s="106" t="str">
        <f t="shared" si="1"/>
        <v>#VALUE!</v>
      </c>
      <c r="BG2224" s="21">
        <f t="shared" si="2"/>
        <v>12</v>
      </c>
    </row>
    <row r="2225">
      <c r="P2225" s="161"/>
      <c r="AI2225" s="102"/>
      <c r="AO2225" s="12"/>
      <c r="AP2225" s="12"/>
      <c r="AQ2225" s="12"/>
      <c r="AR2225" s="12"/>
      <c r="AS2225" s="12"/>
      <c r="AT2225" s="12"/>
      <c r="AU2225" s="12"/>
      <c r="AV2225" s="12"/>
      <c r="AW2225" s="12"/>
      <c r="AX2225" s="12"/>
      <c r="AY2225" s="12"/>
      <c r="AZ2225" s="12"/>
      <c r="BA2225" s="12"/>
      <c r="BB2225" s="12"/>
      <c r="BC2225" s="12"/>
      <c r="BD2225" s="12"/>
      <c r="BF2225" s="106" t="str">
        <f t="shared" si="1"/>
        <v>#VALUE!</v>
      </c>
      <c r="BG2225" s="21">
        <f t="shared" si="2"/>
        <v>12</v>
      </c>
    </row>
    <row r="2226">
      <c r="P2226" s="161"/>
      <c r="AI2226" s="102"/>
      <c r="AO2226" s="12"/>
      <c r="AP2226" s="12"/>
      <c r="AQ2226" s="12"/>
      <c r="AR2226" s="12"/>
      <c r="AS2226" s="12"/>
      <c r="AT2226" s="12"/>
      <c r="AU2226" s="12"/>
      <c r="AV2226" s="12"/>
      <c r="AW2226" s="12"/>
      <c r="AX2226" s="12"/>
      <c r="AY2226" s="12"/>
      <c r="AZ2226" s="12"/>
      <c r="BA2226" s="12"/>
      <c r="BB2226" s="12"/>
      <c r="BC2226" s="12"/>
      <c r="BD2226" s="12"/>
      <c r="BF2226" s="106" t="str">
        <f t="shared" si="1"/>
        <v>#VALUE!</v>
      </c>
      <c r="BG2226" s="21">
        <f t="shared" si="2"/>
        <v>12</v>
      </c>
    </row>
    <row r="2227">
      <c r="P2227" s="161"/>
      <c r="AI2227" s="102"/>
      <c r="AO2227" s="12"/>
      <c r="AP2227" s="12"/>
      <c r="AQ2227" s="12"/>
      <c r="AR2227" s="12"/>
      <c r="AS2227" s="12"/>
      <c r="AT2227" s="12"/>
      <c r="AU2227" s="12"/>
      <c r="AV2227" s="12"/>
      <c r="AW2227" s="12"/>
      <c r="AX2227" s="12"/>
      <c r="AY2227" s="12"/>
      <c r="AZ2227" s="12"/>
      <c r="BA2227" s="12"/>
      <c r="BB2227" s="12"/>
      <c r="BC2227" s="12"/>
      <c r="BD2227" s="12"/>
      <c r="BF2227" s="106" t="str">
        <f t="shared" si="1"/>
        <v>#VALUE!</v>
      </c>
      <c r="BG2227" s="21">
        <f t="shared" si="2"/>
        <v>12</v>
      </c>
    </row>
    <row r="2228">
      <c r="P2228" s="161"/>
      <c r="AI2228" s="102"/>
      <c r="AO2228" s="12"/>
      <c r="AP2228" s="12"/>
      <c r="AQ2228" s="12"/>
      <c r="AR2228" s="12"/>
      <c r="AS2228" s="12"/>
      <c r="AT2228" s="12"/>
      <c r="AU2228" s="12"/>
      <c r="AV2228" s="12"/>
      <c r="AW2228" s="12"/>
      <c r="AX2228" s="12"/>
      <c r="AY2228" s="12"/>
      <c r="AZ2228" s="12"/>
      <c r="BA2228" s="12"/>
      <c r="BB2228" s="12"/>
      <c r="BC2228" s="12"/>
      <c r="BD2228" s="12"/>
      <c r="BF2228" s="106" t="str">
        <f t="shared" si="1"/>
        <v>#VALUE!</v>
      </c>
      <c r="BG2228" s="21">
        <f t="shared" si="2"/>
        <v>12</v>
      </c>
    </row>
    <row r="2229">
      <c r="P2229" s="161"/>
      <c r="AI2229" s="102"/>
      <c r="AO2229" s="12"/>
      <c r="AP2229" s="12"/>
      <c r="AQ2229" s="12"/>
      <c r="AR2229" s="12"/>
      <c r="AS2229" s="12"/>
      <c r="AT2229" s="12"/>
      <c r="AU2229" s="12"/>
      <c r="AV2229" s="12"/>
      <c r="AW2229" s="12"/>
      <c r="AX2229" s="12"/>
      <c r="AY2229" s="12"/>
      <c r="AZ2229" s="12"/>
      <c r="BA2229" s="12"/>
      <c r="BB2229" s="12"/>
      <c r="BC2229" s="12"/>
      <c r="BD2229" s="12"/>
      <c r="BF2229" s="106" t="str">
        <f t="shared" si="1"/>
        <v>#VALUE!</v>
      </c>
      <c r="BG2229" s="21">
        <f t="shared" si="2"/>
        <v>12</v>
      </c>
    </row>
    <row r="2230">
      <c r="P2230" s="161"/>
      <c r="AI2230" s="102"/>
      <c r="AO2230" s="12"/>
      <c r="AP2230" s="12"/>
      <c r="AQ2230" s="12"/>
      <c r="AR2230" s="12"/>
      <c r="AS2230" s="12"/>
      <c r="AT2230" s="12"/>
      <c r="AU2230" s="12"/>
      <c r="AV2230" s="12"/>
      <c r="AW2230" s="12"/>
      <c r="AX2230" s="12"/>
      <c r="AY2230" s="12"/>
      <c r="AZ2230" s="12"/>
      <c r="BA2230" s="12"/>
      <c r="BB2230" s="12"/>
      <c r="BC2230" s="12"/>
      <c r="BD2230" s="12"/>
      <c r="BF2230" s="106" t="str">
        <f t="shared" si="1"/>
        <v>#VALUE!</v>
      </c>
      <c r="BG2230" s="21">
        <f t="shared" si="2"/>
        <v>12</v>
      </c>
    </row>
    <row r="2231">
      <c r="P2231" s="161"/>
      <c r="AI2231" s="102"/>
      <c r="AO2231" s="12"/>
      <c r="AP2231" s="12"/>
      <c r="AQ2231" s="12"/>
      <c r="AR2231" s="12"/>
      <c r="AS2231" s="12"/>
      <c r="AT2231" s="12"/>
      <c r="AU2231" s="12"/>
      <c r="AV2231" s="12"/>
      <c r="AW2231" s="12"/>
      <c r="AX2231" s="12"/>
      <c r="AY2231" s="12"/>
      <c r="AZ2231" s="12"/>
      <c r="BA2231" s="12"/>
      <c r="BB2231" s="12"/>
      <c r="BC2231" s="12"/>
      <c r="BD2231" s="12"/>
      <c r="BF2231" s="106" t="str">
        <f t="shared" si="1"/>
        <v>#VALUE!</v>
      </c>
      <c r="BG2231" s="21">
        <f t="shared" si="2"/>
        <v>12</v>
      </c>
    </row>
    <row r="2232">
      <c r="P2232" s="161"/>
      <c r="AI2232" s="102"/>
      <c r="AO2232" s="12"/>
      <c r="AP2232" s="12"/>
      <c r="AQ2232" s="12"/>
      <c r="AR2232" s="12"/>
      <c r="AS2232" s="12"/>
      <c r="AT2232" s="12"/>
      <c r="AU2232" s="12"/>
      <c r="AV2232" s="12"/>
      <c r="AW2232" s="12"/>
      <c r="AX2232" s="12"/>
      <c r="AY2232" s="12"/>
      <c r="AZ2232" s="12"/>
      <c r="BA2232" s="12"/>
      <c r="BB2232" s="12"/>
      <c r="BC2232" s="12"/>
      <c r="BD2232" s="12"/>
      <c r="BF2232" s="106" t="str">
        <f t="shared" si="1"/>
        <v>#VALUE!</v>
      </c>
      <c r="BG2232" s="21">
        <f t="shared" si="2"/>
        <v>12</v>
      </c>
    </row>
    <row r="2233">
      <c r="P2233" s="161"/>
      <c r="AI2233" s="102"/>
      <c r="AO2233" s="12"/>
      <c r="AP2233" s="12"/>
      <c r="AQ2233" s="12"/>
      <c r="AR2233" s="12"/>
      <c r="AS2233" s="12"/>
      <c r="AT2233" s="12"/>
      <c r="AU2233" s="12"/>
      <c r="AV2233" s="12"/>
      <c r="AW2233" s="12"/>
      <c r="AX2233" s="12"/>
      <c r="AY2233" s="12"/>
      <c r="AZ2233" s="12"/>
      <c r="BA2233" s="12"/>
      <c r="BB2233" s="12"/>
      <c r="BC2233" s="12"/>
      <c r="BD2233" s="12"/>
      <c r="BF2233" s="106" t="str">
        <f t="shared" si="1"/>
        <v>#VALUE!</v>
      </c>
      <c r="BG2233" s="21">
        <f t="shared" si="2"/>
        <v>12</v>
      </c>
    </row>
    <row r="2234">
      <c r="P2234" s="161"/>
      <c r="AI2234" s="102"/>
      <c r="AO2234" s="12"/>
      <c r="AP2234" s="12"/>
      <c r="AQ2234" s="12"/>
      <c r="AR2234" s="12"/>
      <c r="AS2234" s="12"/>
      <c r="AT2234" s="12"/>
      <c r="AU2234" s="12"/>
      <c r="AV2234" s="12"/>
      <c r="AW2234" s="12"/>
      <c r="AX2234" s="12"/>
      <c r="AY2234" s="12"/>
      <c r="AZ2234" s="12"/>
      <c r="BA2234" s="12"/>
      <c r="BB2234" s="12"/>
      <c r="BC2234" s="12"/>
      <c r="BD2234" s="12"/>
      <c r="BF2234" s="106" t="str">
        <f t="shared" si="1"/>
        <v>#VALUE!</v>
      </c>
      <c r="BG2234" s="21">
        <f t="shared" si="2"/>
        <v>12</v>
      </c>
    </row>
    <row r="2235">
      <c r="P2235" s="161"/>
      <c r="AI2235" s="102"/>
      <c r="AO2235" s="12"/>
      <c r="AP2235" s="12"/>
      <c r="AQ2235" s="12"/>
      <c r="AR2235" s="12"/>
      <c r="AS2235" s="12"/>
      <c r="AT2235" s="12"/>
      <c r="AU2235" s="12"/>
      <c r="AV2235" s="12"/>
      <c r="AW2235" s="12"/>
      <c r="AX2235" s="12"/>
      <c r="AY2235" s="12"/>
      <c r="AZ2235" s="12"/>
      <c r="BA2235" s="12"/>
      <c r="BB2235" s="12"/>
      <c r="BC2235" s="12"/>
      <c r="BD2235" s="12"/>
      <c r="BF2235" s="106" t="str">
        <f t="shared" si="1"/>
        <v>#VALUE!</v>
      </c>
      <c r="BG2235" s="21">
        <f t="shared" si="2"/>
        <v>12</v>
      </c>
    </row>
    <row r="2236">
      <c r="P2236" s="161"/>
      <c r="AI2236" s="102"/>
      <c r="AO2236" s="12"/>
      <c r="AP2236" s="12"/>
      <c r="AQ2236" s="12"/>
      <c r="AR2236" s="12"/>
      <c r="AS2236" s="12"/>
      <c r="AT2236" s="12"/>
      <c r="AU2236" s="12"/>
      <c r="AV2236" s="12"/>
      <c r="AW2236" s="12"/>
      <c r="AX2236" s="12"/>
      <c r="AY2236" s="12"/>
      <c r="AZ2236" s="12"/>
      <c r="BA2236" s="12"/>
      <c r="BB2236" s="12"/>
      <c r="BC2236" s="12"/>
      <c r="BD2236" s="12"/>
      <c r="BF2236" s="106" t="str">
        <f t="shared" si="1"/>
        <v>#VALUE!</v>
      </c>
      <c r="BG2236" s="21">
        <f t="shared" si="2"/>
        <v>12</v>
      </c>
    </row>
    <row r="2237">
      <c r="P2237" s="161"/>
      <c r="AI2237" s="102"/>
      <c r="AO2237" s="12"/>
      <c r="AP2237" s="12"/>
      <c r="AQ2237" s="12"/>
      <c r="AR2237" s="12"/>
      <c r="AS2237" s="12"/>
      <c r="AT2237" s="12"/>
      <c r="AU2237" s="12"/>
      <c r="AV2237" s="12"/>
      <c r="AW2237" s="12"/>
      <c r="AX2237" s="12"/>
      <c r="AY2237" s="12"/>
      <c r="AZ2237" s="12"/>
      <c r="BA2237" s="12"/>
      <c r="BB2237" s="12"/>
      <c r="BC2237" s="12"/>
      <c r="BD2237" s="12"/>
      <c r="BF2237" s="106" t="str">
        <f t="shared" si="1"/>
        <v>#VALUE!</v>
      </c>
      <c r="BG2237" s="21">
        <f t="shared" si="2"/>
        <v>12</v>
      </c>
    </row>
    <row r="2238">
      <c r="P2238" s="161"/>
      <c r="AI2238" s="102"/>
      <c r="AO2238" s="12"/>
      <c r="AP2238" s="12"/>
      <c r="AQ2238" s="12"/>
      <c r="AR2238" s="12"/>
      <c r="AS2238" s="12"/>
      <c r="AT2238" s="12"/>
      <c r="AU2238" s="12"/>
      <c r="AV2238" s="12"/>
      <c r="AW2238" s="12"/>
      <c r="AX2238" s="12"/>
      <c r="AY2238" s="12"/>
      <c r="AZ2238" s="12"/>
      <c r="BA2238" s="12"/>
      <c r="BB2238" s="12"/>
      <c r="BC2238" s="12"/>
      <c r="BD2238" s="12"/>
      <c r="BF2238" s="106" t="str">
        <f t="shared" si="1"/>
        <v>#VALUE!</v>
      </c>
      <c r="BG2238" s="21">
        <f t="shared" si="2"/>
        <v>12</v>
      </c>
    </row>
    <row r="2239">
      <c r="P2239" s="161"/>
      <c r="AI2239" s="102"/>
      <c r="AO2239" s="12"/>
      <c r="AP2239" s="12"/>
      <c r="AQ2239" s="12"/>
      <c r="AR2239" s="12"/>
      <c r="AS2239" s="12"/>
      <c r="AT2239" s="12"/>
      <c r="AU2239" s="12"/>
      <c r="AV2239" s="12"/>
      <c r="AW2239" s="12"/>
      <c r="AX2239" s="12"/>
      <c r="AY2239" s="12"/>
      <c r="AZ2239" s="12"/>
      <c r="BA2239" s="12"/>
      <c r="BB2239" s="12"/>
      <c r="BC2239" s="12"/>
      <c r="BD2239" s="12"/>
      <c r="BF2239" s="106" t="str">
        <f t="shared" si="1"/>
        <v>#VALUE!</v>
      </c>
      <c r="BG2239" s="21">
        <f t="shared" si="2"/>
        <v>12</v>
      </c>
    </row>
    <row r="2240">
      <c r="P2240" s="161"/>
      <c r="AI2240" s="102"/>
      <c r="AO2240" s="12"/>
      <c r="AP2240" s="12"/>
      <c r="AQ2240" s="12"/>
      <c r="AR2240" s="12"/>
      <c r="AS2240" s="12"/>
      <c r="AT2240" s="12"/>
      <c r="AU2240" s="12"/>
      <c r="AV2240" s="12"/>
      <c r="AW2240" s="12"/>
      <c r="AX2240" s="12"/>
      <c r="AY2240" s="12"/>
      <c r="AZ2240" s="12"/>
      <c r="BA2240" s="12"/>
      <c r="BB2240" s="12"/>
      <c r="BC2240" s="12"/>
      <c r="BD2240" s="12"/>
      <c r="BF2240" s="106" t="str">
        <f t="shared" si="1"/>
        <v>#VALUE!</v>
      </c>
      <c r="BG2240" s="21">
        <f t="shared" si="2"/>
        <v>12</v>
      </c>
    </row>
    <row r="2241">
      <c r="P2241" s="161"/>
      <c r="AI2241" s="102"/>
      <c r="AO2241" s="12"/>
      <c r="AP2241" s="12"/>
      <c r="AQ2241" s="12"/>
      <c r="AR2241" s="12"/>
      <c r="AS2241" s="12"/>
      <c r="AT2241" s="12"/>
      <c r="AU2241" s="12"/>
      <c r="AV2241" s="12"/>
      <c r="AW2241" s="12"/>
      <c r="AX2241" s="12"/>
      <c r="AY2241" s="12"/>
      <c r="AZ2241" s="12"/>
      <c r="BA2241" s="12"/>
      <c r="BB2241" s="12"/>
      <c r="BC2241" s="12"/>
      <c r="BD2241" s="12"/>
      <c r="BF2241" s="106" t="str">
        <f t="shared" si="1"/>
        <v>#VALUE!</v>
      </c>
      <c r="BG2241" s="21">
        <f t="shared" si="2"/>
        <v>12</v>
      </c>
    </row>
    <row r="2242">
      <c r="P2242" s="161"/>
      <c r="AI2242" s="102"/>
      <c r="AO2242" s="12"/>
      <c r="AP2242" s="12"/>
      <c r="AQ2242" s="12"/>
      <c r="AR2242" s="12"/>
      <c r="AS2242" s="12"/>
      <c r="AT2242" s="12"/>
      <c r="AU2242" s="12"/>
      <c r="AV2242" s="12"/>
      <c r="AW2242" s="12"/>
      <c r="AX2242" s="12"/>
      <c r="AY2242" s="12"/>
      <c r="AZ2242" s="12"/>
      <c r="BA2242" s="12"/>
      <c r="BB2242" s="12"/>
      <c r="BC2242" s="12"/>
      <c r="BD2242" s="12"/>
      <c r="BF2242" s="106" t="str">
        <f t="shared" si="1"/>
        <v>#VALUE!</v>
      </c>
      <c r="BG2242" s="21">
        <f t="shared" si="2"/>
        <v>12</v>
      </c>
    </row>
    <row r="2243">
      <c r="P2243" s="161"/>
      <c r="AI2243" s="102"/>
      <c r="AO2243" s="12"/>
      <c r="AP2243" s="12"/>
      <c r="AQ2243" s="12"/>
      <c r="AR2243" s="12"/>
      <c r="AS2243" s="12"/>
      <c r="AT2243" s="12"/>
      <c r="AU2243" s="12"/>
      <c r="AV2243" s="12"/>
      <c r="AW2243" s="12"/>
      <c r="AX2243" s="12"/>
      <c r="AY2243" s="12"/>
      <c r="AZ2243" s="12"/>
      <c r="BA2243" s="12"/>
      <c r="BB2243" s="12"/>
      <c r="BC2243" s="12"/>
      <c r="BD2243" s="12"/>
      <c r="BF2243" s="106" t="str">
        <f t="shared" si="1"/>
        <v>#VALUE!</v>
      </c>
      <c r="BG2243" s="21">
        <f t="shared" si="2"/>
        <v>12</v>
      </c>
    </row>
    <row r="2244">
      <c r="P2244" s="161"/>
      <c r="AI2244" s="102"/>
      <c r="AO2244" s="12"/>
      <c r="AP2244" s="12"/>
      <c r="AQ2244" s="12"/>
      <c r="AR2244" s="12"/>
      <c r="AS2244" s="12"/>
      <c r="AT2244" s="12"/>
      <c r="AU2244" s="12"/>
      <c r="AV2244" s="12"/>
      <c r="AW2244" s="12"/>
      <c r="AX2244" s="12"/>
      <c r="AY2244" s="12"/>
      <c r="AZ2244" s="12"/>
      <c r="BA2244" s="12"/>
      <c r="BB2244" s="12"/>
      <c r="BC2244" s="12"/>
      <c r="BD2244" s="12"/>
      <c r="BF2244" s="106" t="str">
        <f t="shared" si="1"/>
        <v>#VALUE!</v>
      </c>
      <c r="BG2244" s="21">
        <f t="shared" si="2"/>
        <v>12</v>
      </c>
    </row>
    <row r="2245">
      <c r="P2245" s="161"/>
      <c r="AI2245" s="102"/>
      <c r="AO2245" s="12"/>
      <c r="AP2245" s="12"/>
      <c r="AQ2245" s="12"/>
      <c r="AR2245" s="12"/>
      <c r="AS2245" s="12"/>
      <c r="AT2245" s="12"/>
      <c r="AU2245" s="12"/>
      <c r="AV2245" s="12"/>
      <c r="AW2245" s="12"/>
      <c r="AX2245" s="12"/>
      <c r="AY2245" s="12"/>
      <c r="AZ2245" s="12"/>
      <c r="BA2245" s="12"/>
      <c r="BB2245" s="12"/>
      <c r="BC2245" s="12"/>
      <c r="BD2245" s="12"/>
      <c r="BF2245" s="106" t="str">
        <f t="shared" si="1"/>
        <v>#VALUE!</v>
      </c>
      <c r="BG2245" s="21">
        <f t="shared" si="2"/>
        <v>12</v>
      </c>
    </row>
    <row r="2246">
      <c r="P2246" s="161"/>
      <c r="AI2246" s="102"/>
      <c r="AO2246" s="12"/>
      <c r="AP2246" s="12"/>
      <c r="AQ2246" s="12"/>
      <c r="AR2246" s="12"/>
      <c r="AS2246" s="12"/>
      <c r="AT2246" s="12"/>
      <c r="AU2246" s="12"/>
      <c r="AV2246" s="12"/>
      <c r="AW2246" s="12"/>
      <c r="AX2246" s="12"/>
      <c r="AY2246" s="12"/>
      <c r="AZ2246" s="12"/>
      <c r="BA2246" s="12"/>
      <c r="BB2246" s="12"/>
      <c r="BC2246" s="12"/>
      <c r="BD2246" s="12"/>
      <c r="BF2246" s="106" t="str">
        <f t="shared" si="1"/>
        <v>#VALUE!</v>
      </c>
      <c r="BG2246" s="21">
        <f t="shared" si="2"/>
        <v>12</v>
      </c>
    </row>
    <row r="2247">
      <c r="P2247" s="161"/>
      <c r="AI2247" s="102"/>
      <c r="AO2247" s="12"/>
      <c r="AP2247" s="12"/>
      <c r="AQ2247" s="12"/>
      <c r="AR2247" s="12"/>
      <c r="AS2247" s="12"/>
      <c r="AT2247" s="12"/>
      <c r="AU2247" s="12"/>
      <c r="AV2247" s="12"/>
      <c r="AW2247" s="12"/>
      <c r="AX2247" s="12"/>
      <c r="AY2247" s="12"/>
      <c r="AZ2247" s="12"/>
      <c r="BA2247" s="12"/>
      <c r="BB2247" s="12"/>
      <c r="BC2247" s="12"/>
      <c r="BD2247" s="12"/>
      <c r="BF2247" s="106" t="str">
        <f t="shared" si="1"/>
        <v>#VALUE!</v>
      </c>
      <c r="BG2247" s="21">
        <f t="shared" si="2"/>
        <v>12</v>
      </c>
    </row>
    <row r="2248">
      <c r="P2248" s="161"/>
      <c r="AI2248" s="102"/>
      <c r="AO2248" s="12"/>
      <c r="AP2248" s="12"/>
      <c r="AQ2248" s="12"/>
      <c r="AR2248" s="12"/>
      <c r="AS2248" s="12"/>
      <c r="AT2248" s="12"/>
      <c r="AU2248" s="12"/>
      <c r="AV2248" s="12"/>
      <c r="AW2248" s="12"/>
      <c r="AX2248" s="12"/>
      <c r="AY2248" s="12"/>
      <c r="AZ2248" s="12"/>
      <c r="BA2248" s="12"/>
      <c r="BB2248" s="12"/>
      <c r="BC2248" s="12"/>
      <c r="BD2248" s="12"/>
      <c r="BF2248" s="106" t="str">
        <f t="shared" si="1"/>
        <v>#VALUE!</v>
      </c>
      <c r="BG2248" s="21">
        <f t="shared" si="2"/>
        <v>12</v>
      </c>
    </row>
    <row r="2249">
      <c r="P2249" s="161"/>
      <c r="AI2249" s="102"/>
      <c r="AO2249" s="12"/>
      <c r="AP2249" s="12"/>
      <c r="AQ2249" s="12"/>
      <c r="AR2249" s="12"/>
      <c r="AS2249" s="12"/>
      <c r="AT2249" s="12"/>
      <c r="AU2249" s="12"/>
      <c r="AV2249" s="12"/>
      <c r="AW2249" s="12"/>
      <c r="AX2249" s="12"/>
      <c r="AY2249" s="12"/>
      <c r="AZ2249" s="12"/>
      <c r="BA2249" s="12"/>
      <c r="BB2249" s="12"/>
      <c r="BC2249" s="12"/>
      <c r="BD2249" s="12"/>
      <c r="BF2249" s="106" t="str">
        <f t="shared" si="1"/>
        <v>#VALUE!</v>
      </c>
      <c r="BG2249" s="21">
        <f t="shared" si="2"/>
        <v>12</v>
      </c>
    </row>
    <row r="2250">
      <c r="P2250" s="161"/>
      <c r="AI2250" s="102"/>
      <c r="AO2250" s="12"/>
      <c r="AP2250" s="12"/>
      <c r="AQ2250" s="12"/>
      <c r="AR2250" s="12"/>
      <c r="AS2250" s="12"/>
      <c r="AT2250" s="12"/>
      <c r="AU2250" s="12"/>
      <c r="AV2250" s="12"/>
      <c r="AW2250" s="12"/>
      <c r="AX2250" s="12"/>
      <c r="AY2250" s="12"/>
      <c r="AZ2250" s="12"/>
      <c r="BA2250" s="12"/>
      <c r="BB2250" s="12"/>
      <c r="BC2250" s="12"/>
      <c r="BD2250" s="12"/>
      <c r="BF2250" s="106" t="str">
        <f t="shared" si="1"/>
        <v>#VALUE!</v>
      </c>
      <c r="BG2250" s="21">
        <f t="shared" si="2"/>
        <v>12</v>
      </c>
    </row>
    <row r="2251">
      <c r="P2251" s="161"/>
      <c r="AI2251" s="102"/>
      <c r="AO2251" s="12"/>
      <c r="AP2251" s="12"/>
      <c r="AQ2251" s="12"/>
      <c r="AR2251" s="12"/>
      <c r="AS2251" s="12"/>
      <c r="AT2251" s="12"/>
      <c r="AU2251" s="12"/>
      <c r="AV2251" s="12"/>
      <c r="AW2251" s="12"/>
      <c r="AX2251" s="12"/>
      <c r="AY2251" s="12"/>
      <c r="AZ2251" s="12"/>
      <c r="BA2251" s="12"/>
      <c r="BB2251" s="12"/>
      <c r="BC2251" s="12"/>
      <c r="BD2251" s="12"/>
      <c r="BF2251" s="106" t="str">
        <f t="shared" si="1"/>
        <v>#VALUE!</v>
      </c>
      <c r="BG2251" s="21">
        <f t="shared" si="2"/>
        <v>12</v>
      </c>
    </row>
    <row r="2252">
      <c r="P2252" s="161"/>
      <c r="AI2252" s="102"/>
      <c r="AO2252" s="12"/>
      <c r="AP2252" s="12"/>
      <c r="AQ2252" s="12"/>
      <c r="AR2252" s="12"/>
      <c r="AS2252" s="12"/>
      <c r="AT2252" s="12"/>
      <c r="AU2252" s="12"/>
      <c r="AV2252" s="12"/>
      <c r="AW2252" s="12"/>
      <c r="AX2252" s="12"/>
      <c r="AY2252" s="12"/>
      <c r="AZ2252" s="12"/>
      <c r="BA2252" s="12"/>
      <c r="BB2252" s="12"/>
      <c r="BC2252" s="12"/>
      <c r="BD2252" s="12"/>
      <c r="BF2252" s="106" t="str">
        <f t="shared" si="1"/>
        <v>#VALUE!</v>
      </c>
      <c r="BG2252" s="21">
        <f t="shared" si="2"/>
        <v>12</v>
      </c>
    </row>
    <row r="2253">
      <c r="P2253" s="161"/>
      <c r="AI2253" s="102"/>
      <c r="AO2253" s="12"/>
      <c r="AP2253" s="12"/>
      <c r="AQ2253" s="12"/>
      <c r="AR2253" s="12"/>
      <c r="AS2253" s="12"/>
      <c r="AT2253" s="12"/>
      <c r="AU2253" s="12"/>
      <c r="AV2253" s="12"/>
      <c r="AW2253" s="12"/>
      <c r="AX2253" s="12"/>
      <c r="AY2253" s="12"/>
      <c r="AZ2253" s="12"/>
      <c r="BA2253" s="12"/>
      <c r="BB2253" s="12"/>
      <c r="BC2253" s="12"/>
      <c r="BD2253" s="12"/>
      <c r="BF2253" s="106" t="str">
        <f t="shared" si="1"/>
        <v>#VALUE!</v>
      </c>
      <c r="BG2253" s="21">
        <f t="shared" si="2"/>
        <v>12</v>
      </c>
    </row>
    <row r="2254">
      <c r="P2254" s="161"/>
      <c r="AI2254" s="102"/>
      <c r="AO2254" s="12"/>
      <c r="AP2254" s="12"/>
      <c r="AQ2254" s="12"/>
      <c r="AR2254" s="12"/>
      <c r="AS2254" s="12"/>
      <c r="AT2254" s="12"/>
      <c r="AU2254" s="12"/>
      <c r="AV2254" s="12"/>
      <c r="AW2254" s="12"/>
      <c r="AX2254" s="12"/>
      <c r="AY2254" s="12"/>
      <c r="AZ2254" s="12"/>
      <c r="BA2254" s="12"/>
      <c r="BB2254" s="12"/>
      <c r="BC2254" s="12"/>
      <c r="BD2254" s="12"/>
      <c r="BF2254" s="106" t="str">
        <f t="shared" si="1"/>
        <v>#VALUE!</v>
      </c>
      <c r="BG2254" s="21">
        <f t="shared" si="2"/>
        <v>12</v>
      </c>
    </row>
    <row r="2255">
      <c r="P2255" s="161"/>
      <c r="AI2255" s="102"/>
      <c r="AO2255" s="12"/>
      <c r="AP2255" s="12"/>
      <c r="AQ2255" s="12"/>
      <c r="AR2255" s="12"/>
      <c r="AS2255" s="12"/>
      <c r="AT2255" s="12"/>
      <c r="AU2255" s="12"/>
      <c r="AV2255" s="12"/>
      <c r="AW2255" s="12"/>
      <c r="AX2255" s="12"/>
      <c r="AY2255" s="12"/>
      <c r="AZ2255" s="12"/>
      <c r="BA2255" s="12"/>
      <c r="BB2255" s="12"/>
      <c r="BC2255" s="12"/>
      <c r="BD2255" s="12"/>
      <c r="BF2255" s="106" t="str">
        <f t="shared" si="1"/>
        <v>#VALUE!</v>
      </c>
      <c r="BG2255" s="21">
        <f t="shared" si="2"/>
        <v>12</v>
      </c>
    </row>
    <row r="2256">
      <c r="P2256" s="161"/>
      <c r="AI2256" s="102"/>
      <c r="AO2256" s="12"/>
      <c r="AP2256" s="12"/>
      <c r="AQ2256" s="12"/>
      <c r="AR2256" s="12"/>
      <c r="AS2256" s="12"/>
      <c r="AT2256" s="12"/>
      <c r="AU2256" s="12"/>
      <c r="AV2256" s="12"/>
      <c r="AW2256" s="12"/>
      <c r="AX2256" s="12"/>
      <c r="AY2256" s="12"/>
      <c r="AZ2256" s="12"/>
      <c r="BA2256" s="12"/>
      <c r="BB2256" s="12"/>
      <c r="BC2256" s="12"/>
      <c r="BD2256" s="12"/>
      <c r="BF2256" s="106" t="str">
        <f t="shared" si="1"/>
        <v>#VALUE!</v>
      </c>
      <c r="BG2256" s="21">
        <f t="shared" si="2"/>
        <v>12</v>
      </c>
    </row>
    <row r="2257">
      <c r="P2257" s="161"/>
      <c r="AI2257" s="102"/>
      <c r="AO2257" s="12"/>
      <c r="AP2257" s="12"/>
      <c r="AQ2257" s="12"/>
      <c r="AR2257" s="12"/>
      <c r="AS2257" s="12"/>
      <c r="AT2257" s="12"/>
      <c r="AU2257" s="12"/>
      <c r="AV2257" s="12"/>
      <c r="AW2257" s="12"/>
      <c r="AX2257" s="12"/>
      <c r="AY2257" s="12"/>
      <c r="AZ2257" s="12"/>
      <c r="BA2257" s="12"/>
      <c r="BB2257" s="12"/>
      <c r="BC2257" s="12"/>
      <c r="BD2257" s="12"/>
      <c r="BF2257" s="106" t="str">
        <f t="shared" si="1"/>
        <v>#VALUE!</v>
      </c>
      <c r="BG2257" s="21">
        <f t="shared" si="2"/>
        <v>12</v>
      </c>
    </row>
    <row r="2258">
      <c r="P2258" s="161"/>
      <c r="AI2258" s="102"/>
      <c r="AO2258" s="12"/>
      <c r="AP2258" s="12"/>
      <c r="AQ2258" s="12"/>
      <c r="AR2258" s="12"/>
      <c r="AS2258" s="12"/>
      <c r="AT2258" s="12"/>
      <c r="AU2258" s="12"/>
      <c r="AV2258" s="12"/>
      <c r="AW2258" s="12"/>
      <c r="AX2258" s="12"/>
      <c r="AY2258" s="12"/>
      <c r="AZ2258" s="12"/>
      <c r="BA2258" s="12"/>
      <c r="BB2258" s="12"/>
      <c r="BC2258" s="12"/>
      <c r="BD2258" s="12"/>
      <c r="BF2258" s="106" t="str">
        <f t="shared" si="1"/>
        <v>#VALUE!</v>
      </c>
      <c r="BG2258" s="21">
        <f t="shared" si="2"/>
        <v>12</v>
      </c>
    </row>
    <row r="2259">
      <c r="P2259" s="161"/>
      <c r="AI2259" s="102"/>
      <c r="AO2259" s="12"/>
      <c r="AP2259" s="12"/>
      <c r="AQ2259" s="12"/>
      <c r="AR2259" s="12"/>
      <c r="AS2259" s="12"/>
      <c r="AT2259" s="12"/>
      <c r="AU2259" s="12"/>
      <c r="AV2259" s="12"/>
      <c r="AW2259" s="12"/>
      <c r="AX2259" s="12"/>
      <c r="AY2259" s="12"/>
      <c r="AZ2259" s="12"/>
      <c r="BA2259" s="12"/>
      <c r="BB2259" s="12"/>
      <c r="BC2259" s="12"/>
      <c r="BD2259" s="12"/>
      <c r="BF2259" s="106" t="str">
        <f t="shared" si="1"/>
        <v>#VALUE!</v>
      </c>
      <c r="BG2259" s="21">
        <f t="shared" si="2"/>
        <v>12</v>
      </c>
    </row>
    <row r="2260">
      <c r="P2260" s="161"/>
      <c r="AI2260" s="102"/>
      <c r="AO2260" s="12"/>
      <c r="AP2260" s="12"/>
      <c r="AQ2260" s="12"/>
      <c r="AR2260" s="12"/>
      <c r="AS2260" s="12"/>
      <c r="AT2260" s="12"/>
      <c r="AU2260" s="12"/>
      <c r="AV2260" s="12"/>
      <c r="AW2260" s="12"/>
      <c r="AX2260" s="12"/>
      <c r="AY2260" s="12"/>
      <c r="AZ2260" s="12"/>
      <c r="BA2260" s="12"/>
      <c r="BB2260" s="12"/>
      <c r="BC2260" s="12"/>
      <c r="BD2260" s="12"/>
      <c r="BF2260" s="106" t="str">
        <f t="shared" si="1"/>
        <v>#VALUE!</v>
      </c>
      <c r="BG2260" s="21">
        <f t="shared" si="2"/>
        <v>12</v>
      </c>
    </row>
    <row r="2261">
      <c r="P2261" s="161"/>
      <c r="AI2261" s="102"/>
      <c r="AO2261" s="12"/>
      <c r="AP2261" s="12"/>
      <c r="AQ2261" s="12"/>
      <c r="AR2261" s="12"/>
      <c r="AS2261" s="12"/>
      <c r="AT2261" s="12"/>
      <c r="AU2261" s="12"/>
      <c r="AV2261" s="12"/>
      <c r="AW2261" s="12"/>
      <c r="AX2261" s="12"/>
      <c r="AY2261" s="12"/>
      <c r="AZ2261" s="12"/>
      <c r="BA2261" s="12"/>
      <c r="BB2261" s="12"/>
      <c r="BC2261" s="12"/>
      <c r="BD2261" s="12"/>
      <c r="BF2261" s="106" t="str">
        <f t="shared" si="1"/>
        <v>#VALUE!</v>
      </c>
      <c r="BG2261" s="21">
        <f t="shared" si="2"/>
        <v>12</v>
      </c>
    </row>
    <row r="2262">
      <c r="P2262" s="161"/>
      <c r="AI2262" s="102"/>
      <c r="AO2262" s="12"/>
      <c r="AP2262" s="12"/>
      <c r="AQ2262" s="12"/>
      <c r="AR2262" s="12"/>
      <c r="AS2262" s="12"/>
      <c r="AT2262" s="12"/>
      <c r="AU2262" s="12"/>
      <c r="AV2262" s="12"/>
      <c r="AW2262" s="12"/>
      <c r="AX2262" s="12"/>
      <c r="AY2262" s="12"/>
      <c r="AZ2262" s="12"/>
      <c r="BA2262" s="12"/>
      <c r="BB2262" s="12"/>
      <c r="BC2262" s="12"/>
      <c r="BD2262" s="12"/>
      <c r="BF2262" s="106" t="str">
        <f t="shared" si="1"/>
        <v>#VALUE!</v>
      </c>
      <c r="BG2262" s="21">
        <f t="shared" si="2"/>
        <v>12</v>
      </c>
    </row>
    <row r="2263">
      <c r="P2263" s="161"/>
      <c r="AI2263" s="102"/>
      <c r="AO2263" s="12"/>
      <c r="AP2263" s="12"/>
      <c r="AQ2263" s="12"/>
      <c r="AR2263" s="12"/>
      <c r="AS2263" s="12"/>
      <c r="AT2263" s="12"/>
      <c r="AU2263" s="12"/>
      <c r="AV2263" s="12"/>
      <c r="AW2263" s="12"/>
      <c r="AX2263" s="12"/>
      <c r="AY2263" s="12"/>
      <c r="AZ2263" s="12"/>
      <c r="BA2263" s="12"/>
      <c r="BB2263" s="12"/>
      <c r="BC2263" s="12"/>
      <c r="BD2263" s="12"/>
      <c r="BF2263" s="106" t="str">
        <f t="shared" si="1"/>
        <v>#VALUE!</v>
      </c>
      <c r="BG2263" s="21">
        <f t="shared" si="2"/>
        <v>12</v>
      </c>
    </row>
    <row r="2264">
      <c r="P2264" s="161"/>
      <c r="AI2264" s="102"/>
      <c r="AO2264" s="12"/>
      <c r="AP2264" s="12"/>
      <c r="AQ2264" s="12"/>
      <c r="AR2264" s="12"/>
      <c r="AS2264" s="12"/>
      <c r="AT2264" s="12"/>
      <c r="AU2264" s="12"/>
      <c r="AV2264" s="12"/>
      <c r="AW2264" s="12"/>
      <c r="AX2264" s="12"/>
      <c r="AY2264" s="12"/>
      <c r="AZ2264" s="12"/>
      <c r="BA2264" s="12"/>
      <c r="BB2264" s="12"/>
      <c r="BC2264" s="12"/>
      <c r="BD2264" s="12"/>
      <c r="BF2264" s="106" t="str">
        <f t="shared" si="1"/>
        <v>#VALUE!</v>
      </c>
      <c r="BG2264" s="21">
        <f t="shared" si="2"/>
        <v>12</v>
      </c>
    </row>
    <row r="2265">
      <c r="P2265" s="161"/>
      <c r="AI2265" s="102"/>
      <c r="AO2265" s="12"/>
      <c r="AP2265" s="12"/>
      <c r="AQ2265" s="12"/>
      <c r="AR2265" s="12"/>
      <c r="AS2265" s="12"/>
      <c r="AT2265" s="12"/>
      <c r="AU2265" s="12"/>
      <c r="AV2265" s="12"/>
      <c r="AW2265" s="12"/>
      <c r="AX2265" s="12"/>
      <c r="AY2265" s="12"/>
      <c r="AZ2265" s="12"/>
      <c r="BA2265" s="12"/>
      <c r="BB2265" s="12"/>
      <c r="BC2265" s="12"/>
      <c r="BD2265" s="12"/>
      <c r="BF2265" s="106" t="str">
        <f t="shared" si="1"/>
        <v>#VALUE!</v>
      </c>
      <c r="BG2265" s="21">
        <f t="shared" si="2"/>
        <v>12</v>
      </c>
    </row>
    <row r="2266">
      <c r="P2266" s="161"/>
      <c r="AI2266" s="102"/>
      <c r="AO2266" s="12"/>
      <c r="AP2266" s="12"/>
      <c r="AQ2266" s="12"/>
      <c r="AR2266" s="12"/>
      <c r="AS2266" s="12"/>
      <c r="AT2266" s="12"/>
      <c r="AU2266" s="12"/>
      <c r="AV2266" s="12"/>
      <c r="AW2266" s="12"/>
      <c r="AX2266" s="12"/>
      <c r="AY2266" s="12"/>
      <c r="AZ2266" s="12"/>
      <c r="BA2266" s="12"/>
      <c r="BB2266" s="12"/>
      <c r="BC2266" s="12"/>
      <c r="BD2266" s="12"/>
      <c r="BF2266" s="106" t="str">
        <f t="shared" si="1"/>
        <v>#VALUE!</v>
      </c>
      <c r="BG2266" s="21">
        <f t="shared" si="2"/>
        <v>12</v>
      </c>
    </row>
    <row r="2267">
      <c r="P2267" s="161"/>
      <c r="AI2267" s="102"/>
      <c r="AO2267" s="12"/>
      <c r="AP2267" s="12"/>
      <c r="AQ2267" s="12"/>
      <c r="AR2267" s="12"/>
      <c r="AS2267" s="12"/>
      <c r="AT2267" s="12"/>
      <c r="AU2267" s="12"/>
      <c r="AV2267" s="12"/>
      <c r="AW2267" s="12"/>
      <c r="AX2267" s="12"/>
      <c r="AY2267" s="12"/>
      <c r="AZ2267" s="12"/>
      <c r="BA2267" s="12"/>
      <c r="BB2267" s="12"/>
      <c r="BC2267" s="12"/>
      <c r="BD2267" s="12"/>
      <c r="BF2267" s="106" t="str">
        <f t="shared" si="1"/>
        <v>#VALUE!</v>
      </c>
      <c r="BG2267" s="21">
        <f t="shared" si="2"/>
        <v>12</v>
      </c>
    </row>
    <row r="2268">
      <c r="P2268" s="161"/>
      <c r="AI2268" s="102"/>
      <c r="AO2268" s="12"/>
      <c r="AP2268" s="12"/>
      <c r="AQ2268" s="12"/>
      <c r="AR2268" s="12"/>
      <c r="AS2268" s="12"/>
      <c r="AT2268" s="12"/>
      <c r="AU2268" s="12"/>
      <c r="AV2268" s="12"/>
      <c r="AW2268" s="12"/>
      <c r="AX2268" s="12"/>
      <c r="AY2268" s="12"/>
      <c r="AZ2268" s="12"/>
      <c r="BA2268" s="12"/>
      <c r="BB2268" s="12"/>
      <c r="BC2268" s="12"/>
      <c r="BD2268" s="12"/>
      <c r="BF2268" s="106" t="str">
        <f t="shared" si="1"/>
        <v>#VALUE!</v>
      </c>
      <c r="BG2268" s="21">
        <f t="shared" si="2"/>
        <v>12</v>
      </c>
    </row>
    <row r="2269">
      <c r="P2269" s="161"/>
      <c r="AI2269" s="102"/>
      <c r="AO2269" s="12"/>
      <c r="AP2269" s="12"/>
      <c r="AQ2269" s="12"/>
      <c r="AR2269" s="12"/>
      <c r="AS2269" s="12"/>
      <c r="AT2269" s="12"/>
      <c r="AU2269" s="12"/>
      <c r="AV2269" s="12"/>
      <c r="AW2269" s="12"/>
      <c r="AX2269" s="12"/>
      <c r="AY2269" s="12"/>
      <c r="AZ2269" s="12"/>
      <c r="BA2269" s="12"/>
      <c r="BB2269" s="12"/>
      <c r="BC2269" s="12"/>
      <c r="BD2269" s="12"/>
      <c r="BF2269" s="106" t="str">
        <f t="shared" si="1"/>
        <v>#VALUE!</v>
      </c>
      <c r="BG2269" s="21">
        <f t="shared" si="2"/>
        <v>12</v>
      </c>
    </row>
    <row r="2270">
      <c r="P2270" s="161"/>
      <c r="AI2270" s="102"/>
      <c r="AO2270" s="12"/>
      <c r="AP2270" s="12"/>
      <c r="AQ2270" s="12"/>
      <c r="AR2270" s="12"/>
      <c r="AS2270" s="12"/>
      <c r="AT2270" s="12"/>
      <c r="AU2270" s="12"/>
      <c r="AV2270" s="12"/>
      <c r="AW2270" s="12"/>
      <c r="AX2270" s="12"/>
      <c r="AY2270" s="12"/>
      <c r="AZ2270" s="12"/>
      <c r="BA2270" s="12"/>
      <c r="BB2270" s="12"/>
      <c r="BC2270" s="12"/>
      <c r="BD2270" s="12"/>
      <c r="BF2270" s="106" t="str">
        <f t="shared" si="1"/>
        <v>#VALUE!</v>
      </c>
      <c r="BG2270" s="21">
        <f t="shared" si="2"/>
        <v>12</v>
      </c>
    </row>
    <row r="2271">
      <c r="P2271" s="161"/>
      <c r="AI2271" s="102"/>
      <c r="AO2271" s="12"/>
      <c r="AP2271" s="12"/>
      <c r="AQ2271" s="12"/>
      <c r="AR2271" s="12"/>
      <c r="AS2271" s="12"/>
      <c r="AT2271" s="12"/>
      <c r="AU2271" s="12"/>
      <c r="AV2271" s="12"/>
      <c r="AW2271" s="12"/>
      <c r="AX2271" s="12"/>
      <c r="AY2271" s="12"/>
      <c r="AZ2271" s="12"/>
      <c r="BA2271" s="12"/>
      <c r="BB2271" s="12"/>
      <c r="BC2271" s="12"/>
      <c r="BD2271" s="12"/>
      <c r="BF2271" s="106" t="str">
        <f t="shared" si="1"/>
        <v>#VALUE!</v>
      </c>
      <c r="BG2271" s="21">
        <f t="shared" si="2"/>
        <v>12</v>
      </c>
    </row>
    <row r="2272">
      <c r="P2272" s="161"/>
      <c r="AI2272" s="102"/>
      <c r="AO2272" s="12"/>
      <c r="AP2272" s="12"/>
      <c r="AQ2272" s="12"/>
      <c r="AR2272" s="12"/>
      <c r="AS2272" s="12"/>
      <c r="AT2272" s="12"/>
      <c r="AU2272" s="12"/>
      <c r="AV2272" s="12"/>
      <c r="AW2272" s="12"/>
      <c r="AX2272" s="12"/>
      <c r="AY2272" s="12"/>
      <c r="AZ2272" s="12"/>
      <c r="BA2272" s="12"/>
      <c r="BB2272" s="12"/>
      <c r="BC2272" s="12"/>
      <c r="BD2272" s="12"/>
      <c r="BF2272" s="106" t="str">
        <f t="shared" si="1"/>
        <v>#VALUE!</v>
      </c>
      <c r="BG2272" s="21">
        <f t="shared" si="2"/>
        <v>12</v>
      </c>
    </row>
    <row r="2273">
      <c r="P2273" s="161"/>
      <c r="AI2273" s="102"/>
      <c r="AO2273" s="12"/>
      <c r="AP2273" s="12"/>
      <c r="AQ2273" s="12"/>
      <c r="AR2273" s="12"/>
      <c r="AS2273" s="12"/>
      <c r="AT2273" s="12"/>
      <c r="AU2273" s="12"/>
      <c r="AV2273" s="12"/>
      <c r="AW2273" s="12"/>
      <c r="AX2273" s="12"/>
      <c r="AY2273" s="12"/>
      <c r="AZ2273" s="12"/>
      <c r="BA2273" s="12"/>
      <c r="BB2273" s="12"/>
      <c r="BC2273" s="12"/>
      <c r="BD2273" s="12"/>
      <c r="BF2273" s="106" t="str">
        <f t="shared" si="1"/>
        <v>#VALUE!</v>
      </c>
      <c r="BG2273" s="21">
        <f t="shared" si="2"/>
        <v>12</v>
      </c>
    </row>
    <row r="2274">
      <c r="P2274" s="161"/>
      <c r="AI2274" s="102"/>
      <c r="AO2274" s="12"/>
      <c r="AP2274" s="12"/>
      <c r="AQ2274" s="12"/>
      <c r="AR2274" s="12"/>
      <c r="AS2274" s="12"/>
      <c r="AT2274" s="12"/>
      <c r="AU2274" s="12"/>
      <c r="AV2274" s="12"/>
      <c r="AW2274" s="12"/>
      <c r="AX2274" s="12"/>
      <c r="AY2274" s="12"/>
      <c r="AZ2274" s="12"/>
      <c r="BA2274" s="12"/>
      <c r="BB2274" s="12"/>
      <c r="BC2274" s="12"/>
      <c r="BD2274" s="12"/>
      <c r="BF2274" s="106" t="str">
        <f t="shared" si="1"/>
        <v>#VALUE!</v>
      </c>
      <c r="BG2274" s="21">
        <f t="shared" si="2"/>
        <v>12</v>
      </c>
    </row>
    <row r="2275">
      <c r="P2275" s="161"/>
      <c r="AI2275" s="102"/>
      <c r="AO2275" s="12"/>
      <c r="AP2275" s="12"/>
      <c r="AQ2275" s="12"/>
      <c r="AR2275" s="12"/>
      <c r="AS2275" s="12"/>
      <c r="AT2275" s="12"/>
      <c r="AU2275" s="12"/>
      <c r="AV2275" s="12"/>
      <c r="AW2275" s="12"/>
      <c r="AX2275" s="12"/>
      <c r="AY2275" s="12"/>
      <c r="AZ2275" s="12"/>
      <c r="BA2275" s="12"/>
      <c r="BB2275" s="12"/>
      <c r="BC2275" s="12"/>
      <c r="BD2275" s="12"/>
      <c r="BF2275" s="106" t="str">
        <f t="shared" si="1"/>
        <v>#VALUE!</v>
      </c>
      <c r="BG2275" s="21">
        <f t="shared" si="2"/>
        <v>12</v>
      </c>
    </row>
    <row r="2276">
      <c r="P2276" s="161"/>
      <c r="AI2276" s="102"/>
      <c r="AO2276" s="12"/>
      <c r="AP2276" s="12"/>
      <c r="AQ2276" s="12"/>
      <c r="AR2276" s="12"/>
      <c r="AS2276" s="12"/>
      <c r="AT2276" s="12"/>
      <c r="AU2276" s="12"/>
      <c r="AV2276" s="12"/>
      <c r="AW2276" s="12"/>
      <c r="AX2276" s="12"/>
      <c r="AY2276" s="12"/>
      <c r="AZ2276" s="12"/>
      <c r="BA2276" s="12"/>
      <c r="BB2276" s="12"/>
      <c r="BC2276" s="12"/>
      <c r="BD2276" s="12"/>
      <c r="BF2276" s="106" t="str">
        <f t="shared" si="1"/>
        <v>#VALUE!</v>
      </c>
      <c r="BG2276" s="21">
        <f t="shared" si="2"/>
        <v>12</v>
      </c>
    </row>
    <row r="2277">
      <c r="P2277" s="161"/>
      <c r="AI2277" s="102"/>
      <c r="AO2277" s="12"/>
      <c r="AP2277" s="12"/>
      <c r="AQ2277" s="12"/>
      <c r="AR2277" s="12"/>
      <c r="AS2277" s="12"/>
      <c r="AT2277" s="12"/>
      <c r="AU2277" s="12"/>
      <c r="AV2277" s="12"/>
      <c r="AW2277" s="12"/>
      <c r="AX2277" s="12"/>
      <c r="AY2277" s="12"/>
      <c r="AZ2277" s="12"/>
      <c r="BA2277" s="12"/>
      <c r="BB2277" s="12"/>
      <c r="BC2277" s="12"/>
      <c r="BD2277" s="12"/>
      <c r="BF2277" s="106" t="str">
        <f t="shared" si="1"/>
        <v>#VALUE!</v>
      </c>
      <c r="BG2277" s="21">
        <f t="shared" si="2"/>
        <v>12</v>
      </c>
    </row>
    <row r="2278">
      <c r="P2278" s="161"/>
      <c r="AI2278" s="102"/>
      <c r="AO2278" s="12"/>
      <c r="AP2278" s="12"/>
      <c r="AQ2278" s="12"/>
      <c r="AR2278" s="12"/>
      <c r="AS2278" s="12"/>
      <c r="AT2278" s="12"/>
      <c r="AU2278" s="12"/>
      <c r="AV2278" s="12"/>
      <c r="AW2278" s="12"/>
      <c r="AX2278" s="12"/>
      <c r="AY2278" s="12"/>
      <c r="AZ2278" s="12"/>
      <c r="BA2278" s="12"/>
      <c r="BB2278" s="12"/>
      <c r="BC2278" s="12"/>
      <c r="BD2278" s="12"/>
      <c r="BF2278" s="106" t="str">
        <f t="shared" si="1"/>
        <v>#VALUE!</v>
      </c>
      <c r="BG2278" s="21">
        <f t="shared" si="2"/>
        <v>12</v>
      </c>
    </row>
    <row r="2279">
      <c r="P2279" s="161"/>
      <c r="AI2279" s="102"/>
      <c r="AO2279" s="12"/>
      <c r="AP2279" s="12"/>
      <c r="AQ2279" s="12"/>
      <c r="AR2279" s="12"/>
      <c r="AS2279" s="12"/>
      <c r="AT2279" s="12"/>
      <c r="AU2279" s="12"/>
      <c r="AV2279" s="12"/>
      <c r="AW2279" s="12"/>
      <c r="AX2279" s="12"/>
      <c r="AY2279" s="12"/>
      <c r="AZ2279" s="12"/>
      <c r="BA2279" s="12"/>
      <c r="BB2279" s="12"/>
      <c r="BC2279" s="12"/>
      <c r="BD2279" s="12"/>
      <c r="BF2279" s="106" t="str">
        <f t="shared" si="1"/>
        <v>#VALUE!</v>
      </c>
      <c r="BG2279" s="21">
        <f t="shared" si="2"/>
        <v>12</v>
      </c>
    </row>
    <row r="2280">
      <c r="P2280" s="161"/>
      <c r="AI2280" s="102"/>
      <c r="AO2280" s="12"/>
      <c r="AP2280" s="12"/>
      <c r="AQ2280" s="12"/>
      <c r="AR2280" s="12"/>
      <c r="AS2280" s="12"/>
      <c r="AT2280" s="12"/>
      <c r="AU2280" s="12"/>
      <c r="AV2280" s="12"/>
      <c r="AW2280" s="12"/>
      <c r="AX2280" s="12"/>
      <c r="AY2280" s="12"/>
      <c r="AZ2280" s="12"/>
      <c r="BA2280" s="12"/>
      <c r="BB2280" s="12"/>
      <c r="BC2280" s="12"/>
      <c r="BD2280" s="12"/>
      <c r="BF2280" s="106" t="str">
        <f t="shared" si="1"/>
        <v>#VALUE!</v>
      </c>
      <c r="BG2280" s="21">
        <f t="shared" si="2"/>
        <v>12</v>
      </c>
    </row>
    <row r="2281">
      <c r="P2281" s="161"/>
      <c r="AI2281" s="102"/>
      <c r="AO2281" s="12"/>
      <c r="AP2281" s="12"/>
      <c r="AQ2281" s="12"/>
      <c r="AR2281" s="12"/>
      <c r="AS2281" s="12"/>
      <c r="AT2281" s="12"/>
      <c r="AU2281" s="12"/>
      <c r="AV2281" s="12"/>
      <c r="AW2281" s="12"/>
      <c r="AX2281" s="12"/>
      <c r="AY2281" s="12"/>
      <c r="AZ2281" s="12"/>
      <c r="BA2281" s="12"/>
      <c r="BB2281" s="12"/>
      <c r="BC2281" s="12"/>
      <c r="BD2281" s="12"/>
      <c r="BF2281" s="106" t="str">
        <f t="shared" si="1"/>
        <v>#VALUE!</v>
      </c>
      <c r="BG2281" s="21">
        <f t="shared" si="2"/>
        <v>12</v>
      </c>
    </row>
    <row r="2282">
      <c r="P2282" s="161"/>
      <c r="AI2282" s="102"/>
      <c r="AO2282" s="12"/>
      <c r="AP2282" s="12"/>
      <c r="AQ2282" s="12"/>
      <c r="AR2282" s="12"/>
      <c r="AS2282" s="12"/>
      <c r="AT2282" s="12"/>
      <c r="AU2282" s="12"/>
      <c r="AV2282" s="12"/>
      <c r="AW2282" s="12"/>
      <c r="AX2282" s="12"/>
      <c r="AY2282" s="12"/>
      <c r="AZ2282" s="12"/>
      <c r="BA2282" s="12"/>
      <c r="BB2282" s="12"/>
      <c r="BC2282" s="12"/>
      <c r="BD2282" s="12"/>
      <c r="BF2282" s="106" t="str">
        <f t="shared" si="1"/>
        <v>#VALUE!</v>
      </c>
      <c r="BG2282" s="21">
        <f t="shared" si="2"/>
        <v>12</v>
      </c>
    </row>
    <row r="2283">
      <c r="P2283" s="161"/>
      <c r="AI2283" s="102"/>
      <c r="AO2283" s="12"/>
      <c r="AP2283" s="12"/>
      <c r="AQ2283" s="12"/>
      <c r="AR2283" s="12"/>
      <c r="AS2283" s="12"/>
      <c r="AT2283" s="12"/>
      <c r="AU2283" s="12"/>
      <c r="AV2283" s="12"/>
      <c r="AW2283" s="12"/>
      <c r="AX2283" s="12"/>
      <c r="AY2283" s="12"/>
      <c r="AZ2283" s="12"/>
      <c r="BA2283" s="12"/>
      <c r="BB2283" s="12"/>
      <c r="BC2283" s="12"/>
      <c r="BD2283" s="12"/>
      <c r="BF2283" s="106" t="str">
        <f t="shared" si="1"/>
        <v>#VALUE!</v>
      </c>
      <c r="BG2283" s="21">
        <f t="shared" si="2"/>
        <v>12</v>
      </c>
    </row>
    <row r="2284">
      <c r="P2284" s="161"/>
      <c r="AI2284" s="102"/>
      <c r="AO2284" s="12"/>
      <c r="AP2284" s="12"/>
      <c r="AQ2284" s="12"/>
      <c r="AR2284" s="12"/>
      <c r="AS2284" s="12"/>
      <c r="AT2284" s="12"/>
      <c r="AU2284" s="12"/>
      <c r="AV2284" s="12"/>
      <c r="AW2284" s="12"/>
      <c r="AX2284" s="12"/>
      <c r="AY2284" s="12"/>
      <c r="AZ2284" s="12"/>
      <c r="BA2284" s="12"/>
      <c r="BB2284" s="12"/>
      <c r="BC2284" s="12"/>
      <c r="BD2284" s="12"/>
      <c r="BF2284" s="106" t="str">
        <f t="shared" si="1"/>
        <v>#VALUE!</v>
      </c>
      <c r="BG2284" s="21">
        <f t="shared" si="2"/>
        <v>12</v>
      </c>
    </row>
    <row r="2285">
      <c r="P2285" s="161"/>
      <c r="AI2285" s="102"/>
      <c r="AO2285" s="12"/>
      <c r="AP2285" s="12"/>
      <c r="AQ2285" s="12"/>
      <c r="AR2285" s="12"/>
      <c r="AS2285" s="12"/>
      <c r="AT2285" s="12"/>
      <c r="AU2285" s="12"/>
      <c r="AV2285" s="12"/>
      <c r="AW2285" s="12"/>
      <c r="AX2285" s="12"/>
      <c r="AY2285" s="12"/>
      <c r="AZ2285" s="12"/>
      <c r="BA2285" s="12"/>
      <c r="BB2285" s="12"/>
      <c r="BC2285" s="12"/>
      <c r="BD2285" s="12"/>
      <c r="BF2285" s="106" t="str">
        <f t="shared" si="1"/>
        <v>#VALUE!</v>
      </c>
      <c r="BG2285" s="21">
        <f t="shared" si="2"/>
        <v>12</v>
      </c>
    </row>
    <row r="2286">
      <c r="P2286" s="161"/>
      <c r="AI2286" s="102"/>
      <c r="AO2286" s="12"/>
      <c r="AP2286" s="12"/>
      <c r="AQ2286" s="12"/>
      <c r="AR2286" s="12"/>
      <c r="AS2286" s="12"/>
      <c r="AT2286" s="12"/>
      <c r="AU2286" s="12"/>
      <c r="AV2286" s="12"/>
      <c r="AW2286" s="12"/>
      <c r="AX2286" s="12"/>
      <c r="AY2286" s="12"/>
      <c r="AZ2286" s="12"/>
      <c r="BA2286" s="12"/>
      <c r="BB2286" s="12"/>
      <c r="BC2286" s="12"/>
      <c r="BD2286" s="12"/>
      <c r="BF2286" s="106" t="str">
        <f t="shared" si="1"/>
        <v>#VALUE!</v>
      </c>
      <c r="BG2286" s="21">
        <f t="shared" si="2"/>
        <v>12</v>
      </c>
    </row>
    <row r="2287">
      <c r="P2287" s="161"/>
      <c r="AI2287" s="102"/>
      <c r="AO2287" s="12"/>
      <c r="AP2287" s="12"/>
      <c r="AQ2287" s="12"/>
      <c r="AR2287" s="12"/>
      <c r="AS2287" s="12"/>
      <c r="AT2287" s="12"/>
      <c r="AU2287" s="12"/>
      <c r="AV2287" s="12"/>
      <c r="AW2287" s="12"/>
      <c r="AX2287" s="12"/>
      <c r="AY2287" s="12"/>
      <c r="AZ2287" s="12"/>
      <c r="BA2287" s="12"/>
      <c r="BB2287" s="12"/>
      <c r="BC2287" s="12"/>
      <c r="BD2287" s="12"/>
      <c r="BF2287" s="106" t="str">
        <f t="shared" si="1"/>
        <v>#VALUE!</v>
      </c>
      <c r="BG2287" s="21">
        <f t="shared" si="2"/>
        <v>12</v>
      </c>
    </row>
    <row r="2288">
      <c r="P2288" s="161"/>
      <c r="AI2288" s="102"/>
      <c r="AO2288" s="12"/>
      <c r="AP2288" s="12"/>
      <c r="AQ2288" s="12"/>
      <c r="AR2288" s="12"/>
      <c r="AS2288" s="12"/>
      <c r="AT2288" s="12"/>
      <c r="AU2288" s="12"/>
      <c r="AV2288" s="12"/>
      <c r="AW2288" s="12"/>
      <c r="AX2288" s="12"/>
      <c r="AY2288" s="12"/>
      <c r="AZ2288" s="12"/>
      <c r="BA2288" s="12"/>
      <c r="BB2288" s="12"/>
      <c r="BC2288" s="12"/>
      <c r="BD2288" s="12"/>
      <c r="BF2288" s="106" t="str">
        <f t="shared" si="1"/>
        <v>#VALUE!</v>
      </c>
      <c r="BG2288" s="21">
        <f t="shared" si="2"/>
        <v>12</v>
      </c>
    </row>
    <row r="2289">
      <c r="P2289" s="161"/>
      <c r="AI2289" s="102"/>
      <c r="AO2289" s="12"/>
      <c r="AP2289" s="12"/>
      <c r="AQ2289" s="12"/>
      <c r="AR2289" s="12"/>
      <c r="AS2289" s="12"/>
      <c r="AT2289" s="12"/>
      <c r="AU2289" s="12"/>
      <c r="AV2289" s="12"/>
      <c r="AW2289" s="12"/>
      <c r="AX2289" s="12"/>
      <c r="AY2289" s="12"/>
      <c r="AZ2289" s="12"/>
      <c r="BA2289" s="12"/>
      <c r="BB2289" s="12"/>
      <c r="BC2289" s="12"/>
      <c r="BD2289" s="12"/>
      <c r="BF2289" s="106" t="str">
        <f t="shared" si="1"/>
        <v>#VALUE!</v>
      </c>
      <c r="BG2289" s="21">
        <f t="shared" si="2"/>
        <v>12</v>
      </c>
    </row>
    <row r="2290">
      <c r="P2290" s="161"/>
      <c r="AI2290" s="102"/>
      <c r="AO2290" s="12"/>
      <c r="AP2290" s="12"/>
      <c r="AQ2290" s="12"/>
      <c r="AR2290" s="12"/>
      <c r="AS2290" s="12"/>
      <c r="AT2290" s="12"/>
      <c r="AU2290" s="12"/>
      <c r="AV2290" s="12"/>
      <c r="AW2290" s="12"/>
      <c r="AX2290" s="12"/>
      <c r="AY2290" s="12"/>
      <c r="AZ2290" s="12"/>
      <c r="BA2290" s="12"/>
      <c r="BB2290" s="12"/>
      <c r="BC2290" s="12"/>
      <c r="BD2290" s="12"/>
      <c r="BF2290" s="106" t="str">
        <f t="shared" si="1"/>
        <v>#VALUE!</v>
      </c>
      <c r="BG2290" s="21">
        <f t="shared" si="2"/>
        <v>12</v>
      </c>
    </row>
    <row r="2291">
      <c r="P2291" s="161"/>
      <c r="AI2291" s="102"/>
      <c r="AO2291" s="12"/>
      <c r="AP2291" s="12"/>
      <c r="AQ2291" s="12"/>
      <c r="AR2291" s="12"/>
      <c r="AS2291" s="12"/>
      <c r="AT2291" s="12"/>
      <c r="AU2291" s="12"/>
      <c r="AV2291" s="12"/>
      <c r="AW2291" s="12"/>
      <c r="AX2291" s="12"/>
      <c r="AY2291" s="12"/>
      <c r="AZ2291" s="12"/>
      <c r="BA2291" s="12"/>
      <c r="BB2291" s="12"/>
      <c r="BC2291" s="12"/>
      <c r="BD2291" s="12"/>
      <c r="BF2291" s="106" t="str">
        <f t="shared" si="1"/>
        <v>#VALUE!</v>
      </c>
      <c r="BG2291" s="21">
        <f t="shared" si="2"/>
        <v>12</v>
      </c>
    </row>
    <row r="2292">
      <c r="P2292" s="161"/>
      <c r="AI2292" s="102"/>
      <c r="AO2292" s="12"/>
      <c r="AP2292" s="12"/>
      <c r="AQ2292" s="12"/>
      <c r="AR2292" s="12"/>
      <c r="AS2292" s="12"/>
      <c r="AT2292" s="12"/>
      <c r="AU2292" s="12"/>
      <c r="AV2292" s="12"/>
      <c r="AW2292" s="12"/>
      <c r="AX2292" s="12"/>
      <c r="AY2292" s="12"/>
      <c r="AZ2292" s="12"/>
      <c r="BA2292" s="12"/>
      <c r="BB2292" s="12"/>
      <c r="BC2292" s="12"/>
      <c r="BD2292" s="12"/>
      <c r="BF2292" s="106" t="str">
        <f t="shared" si="1"/>
        <v>#VALUE!</v>
      </c>
      <c r="BG2292" s="21">
        <f t="shared" si="2"/>
        <v>12</v>
      </c>
    </row>
    <row r="2293">
      <c r="P2293" s="161"/>
      <c r="AI2293" s="102"/>
      <c r="AO2293" s="12"/>
      <c r="AP2293" s="12"/>
      <c r="AQ2293" s="12"/>
      <c r="AR2293" s="12"/>
      <c r="AS2293" s="12"/>
      <c r="AT2293" s="12"/>
      <c r="AU2293" s="12"/>
      <c r="AV2293" s="12"/>
      <c r="AW2293" s="12"/>
      <c r="AX2293" s="12"/>
      <c r="AY2293" s="12"/>
      <c r="AZ2293" s="12"/>
      <c r="BA2293" s="12"/>
      <c r="BB2293" s="12"/>
      <c r="BC2293" s="12"/>
      <c r="BD2293" s="12"/>
      <c r="BF2293" s="106" t="str">
        <f t="shared" si="1"/>
        <v>#VALUE!</v>
      </c>
      <c r="BG2293" s="21">
        <f t="shared" si="2"/>
        <v>12</v>
      </c>
    </row>
    <row r="2294">
      <c r="P2294" s="161"/>
      <c r="AI2294" s="102"/>
      <c r="AO2294" s="12"/>
      <c r="AP2294" s="12"/>
      <c r="AQ2294" s="12"/>
      <c r="AR2294" s="12"/>
      <c r="AS2294" s="12"/>
      <c r="AT2294" s="12"/>
      <c r="AU2294" s="12"/>
      <c r="AV2294" s="12"/>
      <c r="AW2294" s="12"/>
      <c r="AX2294" s="12"/>
      <c r="AY2294" s="12"/>
      <c r="AZ2294" s="12"/>
      <c r="BA2294" s="12"/>
      <c r="BB2294" s="12"/>
      <c r="BC2294" s="12"/>
      <c r="BD2294" s="12"/>
      <c r="BF2294" s="106" t="str">
        <f t="shared" si="1"/>
        <v>#VALUE!</v>
      </c>
      <c r="BG2294" s="21">
        <f t="shared" si="2"/>
        <v>12</v>
      </c>
    </row>
    <row r="2295">
      <c r="P2295" s="161"/>
      <c r="AI2295" s="102"/>
      <c r="AO2295" s="12"/>
      <c r="AP2295" s="12"/>
      <c r="AQ2295" s="12"/>
      <c r="AR2295" s="12"/>
      <c r="AS2295" s="12"/>
      <c r="AT2295" s="12"/>
      <c r="AU2295" s="12"/>
      <c r="AV2295" s="12"/>
      <c r="AW2295" s="12"/>
      <c r="AX2295" s="12"/>
      <c r="AY2295" s="12"/>
      <c r="AZ2295" s="12"/>
      <c r="BA2295" s="12"/>
      <c r="BB2295" s="12"/>
      <c r="BC2295" s="12"/>
      <c r="BD2295" s="12"/>
      <c r="BF2295" s="106" t="str">
        <f t="shared" si="1"/>
        <v>#VALUE!</v>
      </c>
      <c r="BG2295" s="21">
        <f t="shared" si="2"/>
        <v>12</v>
      </c>
    </row>
    <row r="2296">
      <c r="P2296" s="161"/>
      <c r="AI2296" s="102"/>
      <c r="AO2296" s="12"/>
      <c r="AP2296" s="12"/>
      <c r="AQ2296" s="12"/>
      <c r="AR2296" s="12"/>
      <c r="AS2296" s="12"/>
      <c r="AT2296" s="12"/>
      <c r="AU2296" s="12"/>
      <c r="AV2296" s="12"/>
      <c r="AW2296" s="12"/>
      <c r="AX2296" s="12"/>
      <c r="AY2296" s="12"/>
      <c r="AZ2296" s="12"/>
      <c r="BA2296" s="12"/>
      <c r="BB2296" s="12"/>
      <c r="BC2296" s="12"/>
      <c r="BD2296" s="12"/>
      <c r="BF2296" s="106" t="str">
        <f t="shared" si="1"/>
        <v>#VALUE!</v>
      </c>
      <c r="BG2296" s="21">
        <f t="shared" si="2"/>
        <v>12</v>
      </c>
    </row>
    <row r="2297">
      <c r="P2297" s="161"/>
      <c r="AI2297" s="102"/>
      <c r="AO2297" s="12"/>
      <c r="AP2297" s="12"/>
      <c r="AQ2297" s="12"/>
      <c r="AR2297" s="12"/>
      <c r="AS2297" s="12"/>
      <c r="AT2297" s="12"/>
      <c r="AU2297" s="12"/>
      <c r="AV2297" s="12"/>
      <c r="AW2297" s="12"/>
      <c r="AX2297" s="12"/>
      <c r="AY2297" s="12"/>
      <c r="AZ2297" s="12"/>
      <c r="BA2297" s="12"/>
      <c r="BB2297" s="12"/>
      <c r="BC2297" s="12"/>
      <c r="BD2297" s="12"/>
      <c r="BF2297" s="106" t="str">
        <f t="shared" si="1"/>
        <v>#VALUE!</v>
      </c>
      <c r="BG2297" s="21">
        <f t="shared" si="2"/>
        <v>12</v>
      </c>
    </row>
    <row r="2298">
      <c r="P2298" s="161"/>
      <c r="AI2298" s="102"/>
      <c r="AO2298" s="12"/>
      <c r="AP2298" s="12"/>
      <c r="AQ2298" s="12"/>
      <c r="AR2298" s="12"/>
      <c r="AS2298" s="12"/>
      <c r="AT2298" s="12"/>
      <c r="AU2298" s="12"/>
      <c r="AV2298" s="12"/>
      <c r="AW2298" s="12"/>
      <c r="AX2298" s="12"/>
      <c r="AY2298" s="12"/>
      <c r="AZ2298" s="12"/>
      <c r="BA2298" s="12"/>
      <c r="BB2298" s="12"/>
      <c r="BC2298" s="12"/>
      <c r="BD2298" s="12"/>
      <c r="BF2298" s="106" t="str">
        <f t="shared" si="1"/>
        <v>#VALUE!</v>
      </c>
      <c r="BG2298" s="21">
        <f t="shared" si="2"/>
        <v>12</v>
      </c>
    </row>
    <row r="2299">
      <c r="P2299" s="161"/>
      <c r="AI2299" s="102"/>
      <c r="AO2299" s="12"/>
      <c r="AP2299" s="12"/>
      <c r="AQ2299" s="12"/>
      <c r="AR2299" s="12"/>
      <c r="AS2299" s="12"/>
      <c r="AT2299" s="12"/>
      <c r="AU2299" s="12"/>
      <c r="AV2299" s="12"/>
      <c r="AW2299" s="12"/>
      <c r="AX2299" s="12"/>
      <c r="AY2299" s="12"/>
      <c r="AZ2299" s="12"/>
      <c r="BA2299" s="12"/>
      <c r="BB2299" s="12"/>
      <c r="BC2299" s="12"/>
      <c r="BD2299" s="12"/>
      <c r="BF2299" s="106" t="str">
        <f t="shared" si="1"/>
        <v>#VALUE!</v>
      </c>
      <c r="BG2299" s="21">
        <f t="shared" si="2"/>
        <v>12</v>
      </c>
    </row>
    <row r="2300">
      <c r="P2300" s="161"/>
      <c r="AI2300" s="102"/>
      <c r="AO2300" s="12"/>
      <c r="AP2300" s="12"/>
      <c r="AQ2300" s="12"/>
      <c r="AR2300" s="12"/>
      <c r="AS2300" s="12"/>
      <c r="AT2300" s="12"/>
      <c r="AU2300" s="12"/>
      <c r="AV2300" s="12"/>
      <c r="AW2300" s="12"/>
      <c r="AX2300" s="12"/>
      <c r="AY2300" s="12"/>
      <c r="AZ2300" s="12"/>
      <c r="BA2300" s="12"/>
      <c r="BB2300" s="12"/>
      <c r="BC2300" s="12"/>
      <c r="BD2300" s="12"/>
      <c r="BF2300" s="106" t="str">
        <f t="shared" si="1"/>
        <v>#VALUE!</v>
      </c>
      <c r="BG2300" s="21">
        <f t="shared" si="2"/>
        <v>12</v>
      </c>
    </row>
    <row r="2301">
      <c r="P2301" s="161"/>
      <c r="AI2301" s="102"/>
      <c r="AO2301" s="12"/>
      <c r="AP2301" s="12"/>
      <c r="AQ2301" s="12"/>
      <c r="AR2301" s="12"/>
      <c r="AS2301" s="12"/>
      <c r="AT2301" s="12"/>
      <c r="AU2301" s="12"/>
      <c r="AV2301" s="12"/>
      <c r="AW2301" s="12"/>
      <c r="AX2301" s="12"/>
      <c r="AY2301" s="12"/>
      <c r="AZ2301" s="12"/>
      <c r="BA2301" s="12"/>
      <c r="BB2301" s="12"/>
      <c r="BC2301" s="12"/>
      <c r="BD2301" s="12"/>
      <c r="BF2301" s="106" t="str">
        <f t="shared" si="1"/>
        <v>#VALUE!</v>
      </c>
      <c r="BG2301" s="21">
        <f t="shared" si="2"/>
        <v>12</v>
      </c>
    </row>
    <row r="2302">
      <c r="P2302" s="161"/>
      <c r="AI2302" s="102"/>
      <c r="AO2302" s="12"/>
      <c r="AP2302" s="12"/>
      <c r="AQ2302" s="12"/>
      <c r="AR2302" s="12"/>
      <c r="AS2302" s="12"/>
      <c r="AT2302" s="12"/>
      <c r="AU2302" s="12"/>
      <c r="AV2302" s="12"/>
      <c r="AW2302" s="12"/>
      <c r="AX2302" s="12"/>
      <c r="AY2302" s="12"/>
      <c r="AZ2302" s="12"/>
      <c r="BA2302" s="12"/>
      <c r="BB2302" s="12"/>
      <c r="BC2302" s="12"/>
      <c r="BD2302" s="12"/>
      <c r="BF2302" s="106" t="str">
        <f t="shared" si="1"/>
        <v>#VALUE!</v>
      </c>
      <c r="BG2302" s="21">
        <f t="shared" si="2"/>
        <v>12</v>
      </c>
    </row>
    <row r="2303">
      <c r="P2303" s="161"/>
      <c r="AI2303" s="102"/>
      <c r="AO2303" s="12"/>
      <c r="AP2303" s="12"/>
      <c r="AQ2303" s="12"/>
      <c r="AR2303" s="12"/>
      <c r="AS2303" s="12"/>
      <c r="AT2303" s="12"/>
      <c r="AU2303" s="12"/>
      <c r="AV2303" s="12"/>
      <c r="AW2303" s="12"/>
      <c r="AX2303" s="12"/>
      <c r="AY2303" s="12"/>
      <c r="AZ2303" s="12"/>
      <c r="BA2303" s="12"/>
      <c r="BB2303" s="12"/>
      <c r="BC2303" s="12"/>
      <c r="BD2303" s="12"/>
      <c r="BF2303" s="106" t="str">
        <f t="shared" si="1"/>
        <v>#VALUE!</v>
      </c>
      <c r="BG2303" s="21">
        <f t="shared" si="2"/>
        <v>12</v>
      </c>
    </row>
    <row r="2304">
      <c r="P2304" s="161"/>
      <c r="AI2304" s="102"/>
      <c r="AO2304" s="12"/>
      <c r="AP2304" s="12"/>
      <c r="AQ2304" s="12"/>
      <c r="AR2304" s="12"/>
      <c r="AS2304" s="12"/>
      <c r="AT2304" s="12"/>
      <c r="AU2304" s="12"/>
      <c r="AV2304" s="12"/>
      <c r="AW2304" s="12"/>
      <c r="AX2304" s="12"/>
      <c r="AY2304" s="12"/>
      <c r="AZ2304" s="12"/>
      <c r="BA2304" s="12"/>
      <c r="BB2304" s="12"/>
      <c r="BC2304" s="12"/>
      <c r="BD2304" s="12"/>
      <c r="BF2304" s="106" t="str">
        <f t="shared" si="1"/>
        <v>#VALUE!</v>
      </c>
      <c r="BG2304" s="21">
        <f t="shared" si="2"/>
        <v>12</v>
      </c>
    </row>
    <row r="2305">
      <c r="P2305" s="161"/>
      <c r="AI2305" s="102"/>
      <c r="AO2305" s="12"/>
      <c r="AP2305" s="12"/>
      <c r="AQ2305" s="12"/>
      <c r="AR2305" s="12"/>
      <c r="AS2305" s="12"/>
      <c r="AT2305" s="12"/>
      <c r="AU2305" s="12"/>
      <c r="AV2305" s="12"/>
      <c r="AW2305" s="12"/>
      <c r="AX2305" s="12"/>
      <c r="AY2305" s="12"/>
      <c r="AZ2305" s="12"/>
      <c r="BA2305" s="12"/>
      <c r="BB2305" s="12"/>
      <c r="BC2305" s="12"/>
      <c r="BD2305" s="12"/>
      <c r="BF2305" s="106" t="str">
        <f t="shared" si="1"/>
        <v>#VALUE!</v>
      </c>
      <c r="BG2305" s="21">
        <f t="shared" si="2"/>
        <v>12</v>
      </c>
    </row>
    <row r="2306">
      <c r="P2306" s="161"/>
      <c r="AI2306" s="102"/>
      <c r="AO2306" s="12"/>
      <c r="AP2306" s="12"/>
      <c r="AQ2306" s="12"/>
      <c r="AR2306" s="12"/>
      <c r="AS2306" s="12"/>
      <c r="AT2306" s="12"/>
      <c r="AU2306" s="12"/>
      <c r="AV2306" s="12"/>
      <c r="AW2306" s="12"/>
      <c r="AX2306" s="12"/>
      <c r="AY2306" s="12"/>
      <c r="AZ2306" s="12"/>
      <c r="BA2306" s="12"/>
      <c r="BB2306" s="12"/>
      <c r="BC2306" s="12"/>
      <c r="BD2306" s="12"/>
      <c r="BF2306" s="106" t="str">
        <f t="shared" si="1"/>
        <v>#VALUE!</v>
      </c>
      <c r="BG2306" s="21">
        <f t="shared" si="2"/>
        <v>12</v>
      </c>
    </row>
    <row r="2307">
      <c r="P2307" s="161"/>
      <c r="AI2307" s="102"/>
      <c r="AO2307" s="12"/>
      <c r="AP2307" s="12"/>
      <c r="AQ2307" s="12"/>
      <c r="AR2307" s="12"/>
      <c r="AS2307" s="12"/>
      <c r="AT2307" s="12"/>
      <c r="AU2307" s="12"/>
      <c r="AV2307" s="12"/>
      <c r="AW2307" s="12"/>
      <c r="AX2307" s="12"/>
      <c r="AY2307" s="12"/>
      <c r="AZ2307" s="12"/>
      <c r="BA2307" s="12"/>
      <c r="BB2307" s="12"/>
      <c r="BC2307" s="12"/>
      <c r="BD2307" s="12"/>
      <c r="BF2307" s="106" t="str">
        <f t="shared" si="1"/>
        <v>#VALUE!</v>
      </c>
      <c r="BG2307" s="21">
        <f t="shared" si="2"/>
        <v>12</v>
      </c>
    </row>
    <row r="2308">
      <c r="P2308" s="161"/>
      <c r="AI2308" s="102"/>
      <c r="AO2308" s="12"/>
      <c r="AP2308" s="12"/>
      <c r="AQ2308" s="12"/>
      <c r="AR2308" s="12"/>
      <c r="AS2308" s="12"/>
      <c r="AT2308" s="12"/>
      <c r="AU2308" s="12"/>
      <c r="AV2308" s="12"/>
      <c r="AW2308" s="12"/>
      <c r="AX2308" s="12"/>
      <c r="AY2308" s="12"/>
      <c r="AZ2308" s="12"/>
      <c r="BA2308" s="12"/>
      <c r="BB2308" s="12"/>
      <c r="BC2308" s="12"/>
      <c r="BD2308" s="12"/>
      <c r="BF2308" s="106" t="str">
        <f t="shared" si="1"/>
        <v>#VALUE!</v>
      </c>
      <c r="BG2308" s="21">
        <f t="shared" si="2"/>
        <v>12</v>
      </c>
    </row>
    <row r="2309">
      <c r="P2309" s="161"/>
      <c r="AI2309" s="102"/>
      <c r="AO2309" s="12"/>
      <c r="AP2309" s="12"/>
      <c r="AQ2309" s="12"/>
      <c r="AR2309" s="12"/>
      <c r="AS2309" s="12"/>
      <c r="AT2309" s="12"/>
      <c r="AU2309" s="12"/>
      <c r="AV2309" s="12"/>
      <c r="AW2309" s="12"/>
      <c r="AX2309" s="12"/>
      <c r="AY2309" s="12"/>
      <c r="AZ2309" s="12"/>
      <c r="BA2309" s="12"/>
      <c r="BB2309" s="12"/>
      <c r="BC2309" s="12"/>
      <c r="BD2309" s="12"/>
      <c r="BF2309" s="106" t="str">
        <f t="shared" si="1"/>
        <v>#VALUE!</v>
      </c>
      <c r="BG2309" s="21">
        <f t="shared" si="2"/>
        <v>12</v>
      </c>
    </row>
    <row r="2310">
      <c r="P2310" s="161"/>
      <c r="AI2310" s="102"/>
      <c r="AO2310" s="12"/>
      <c r="AP2310" s="12"/>
      <c r="AQ2310" s="12"/>
      <c r="AR2310" s="12"/>
      <c r="AS2310" s="12"/>
      <c r="AT2310" s="12"/>
      <c r="AU2310" s="12"/>
      <c r="AV2310" s="12"/>
      <c r="AW2310" s="12"/>
      <c r="AX2310" s="12"/>
      <c r="AY2310" s="12"/>
      <c r="AZ2310" s="12"/>
      <c r="BA2310" s="12"/>
      <c r="BB2310" s="12"/>
      <c r="BC2310" s="12"/>
      <c r="BD2310" s="12"/>
      <c r="BF2310" s="106" t="str">
        <f t="shared" si="1"/>
        <v>#VALUE!</v>
      </c>
      <c r="BG2310" s="21">
        <f t="shared" si="2"/>
        <v>12</v>
      </c>
    </row>
    <row r="2311">
      <c r="P2311" s="161"/>
      <c r="AI2311" s="102"/>
      <c r="AO2311" s="12"/>
      <c r="AP2311" s="12"/>
      <c r="AQ2311" s="12"/>
      <c r="AR2311" s="12"/>
      <c r="AS2311" s="12"/>
      <c r="AT2311" s="12"/>
      <c r="AU2311" s="12"/>
      <c r="AV2311" s="12"/>
      <c r="AW2311" s="12"/>
      <c r="AX2311" s="12"/>
      <c r="AY2311" s="12"/>
      <c r="AZ2311" s="12"/>
      <c r="BA2311" s="12"/>
      <c r="BB2311" s="12"/>
      <c r="BC2311" s="12"/>
      <c r="BD2311" s="12"/>
      <c r="BF2311" s="106" t="str">
        <f t="shared" si="1"/>
        <v>#VALUE!</v>
      </c>
      <c r="BG2311" s="21">
        <f t="shared" si="2"/>
        <v>12</v>
      </c>
    </row>
    <row r="2312">
      <c r="P2312" s="161"/>
      <c r="AI2312" s="102"/>
      <c r="AO2312" s="12"/>
      <c r="AP2312" s="12"/>
      <c r="AQ2312" s="12"/>
      <c r="AR2312" s="12"/>
      <c r="AS2312" s="12"/>
      <c r="AT2312" s="12"/>
      <c r="AU2312" s="12"/>
      <c r="AV2312" s="12"/>
      <c r="AW2312" s="12"/>
      <c r="AX2312" s="12"/>
      <c r="AY2312" s="12"/>
      <c r="AZ2312" s="12"/>
      <c r="BA2312" s="12"/>
      <c r="BB2312" s="12"/>
      <c r="BC2312" s="12"/>
      <c r="BD2312" s="12"/>
      <c r="BF2312" s="106" t="str">
        <f t="shared" si="1"/>
        <v>#VALUE!</v>
      </c>
      <c r="BG2312" s="21">
        <f t="shared" si="2"/>
        <v>12</v>
      </c>
    </row>
    <row r="2313">
      <c r="P2313" s="161"/>
      <c r="AI2313" s="102"/>
      <c r="AO2313" s="12"/>
      <c r="AP2313" s="12"/>
      <c r="AQ2313" s="12"/>
      <c r="AR2313" s="12"/>
      <c r="AS2313" s="12"/>
      <c r="AT2313" s="12"/>
      <c r="AU2313" s="12"/>
      <c r="AV2313" s="12"/>
      <c r="AW2313" s="12"/>
      <c r="AX2313" s="12"/>
      <c r="AY2313" s="12"/>
      <c r="AZ2313" s="12"/>
      <c r="BA2313" s="12"/>
      <c r="BB2313" s="12"/>
      <c r="BC2313" s="12"/>
      <c r="BD2313" s="12"/>
      <c r="BF2313" s="106" t="str">
        <f t="shared" si="1"/>
        <v>#VALUE!</v>
      </c>
      <c r="BG2313" s="21">
        <f t="shared" si="2"/>
        <v>12</v>
      </c>
    </row>
    <row r="2314">
      <c r="P2314" s="161"/>
      <c r="AI2314" s="102"/>
      <c r="AO2314" s="12"/>
      <c r="AP2314" s="12"/>
      <c r="AQ2314" s="12"/>
      <c r="AR2314" s="12"/>
      <c r="AS2314" s="12"/>
      <c r="AT2314" s="12"/>
      <c r="AU2314" s="12"/>
      <c r="AV2314" s="12"/>
      <c r="AW2314" s="12"/>
      <c r="AX2314" s="12"/>
      <c r="AY2314" s="12"/>
      <c r="AZ2314" s="12"/>
      <c r="BA2314" s="12"/>
      <c r="BB2314" s="12"/>
      <c r="BC2314" s="12"/>
      <c r="BD2314" s="12"/>
      <c r="BF2314" s="106" t="str">
        <f t="shared" si="1"/>
        <v>#VALUE!</v>
      </c>
      <c r="BG2314" s="21">
        <f t="shared" si="2"/>
        <v>12</v>
      </c>
    </row>
    <row r="2315">
      <c r="P2315" s="161"/>
      <c r="AI2315" s="102"/>
      <c r="AO2315" s="12"/>
      <c r="AP2315" s="12"/>
      <c r="AQ2315" s="12"/>
      <c r="AR2315" s="12"/>
      <c r="AS2315" s="12"/>
      <c r="AT2315" s="12"/>
      <c r="AU2315" s="12"/>
      <c r="AV2315" s="12"/>
      <c r="AW2315" s="12"/>
      <c r="AX2315" s="12"/>
      <c r="AY2315" s="12"/>
      <c r="AZ2315" s="12"/>
      <c r="BA2315" s="12"/>
      <c r="BB2315" s="12"/>
      <c r="BC2315" s="12"/>
      <c r="BD2315" s="12"/>
      <c r="BF2315" s="106" t="str">
        <f t="shared" si="1"/>
        <v>#VALUE!</v>
      </c>
      <c r="BG2315" s="21">
        <f t="shared" si="2"/>
        <v>12</v>
      </c>
    </row>
    <row r="2316">
      <c r="P2316" s="161"/>
      <c r="AI2316" s="102"/>
      <c r="AO2316" s="12"/>
      <c r="AP2316" s="12"/>
      <c r="AQ2316" s="12"/>
      <c r="AR2316" s="12"/>
      <c r="AS2316" s="12"/>
      <c r="AT2316" s="12"/>
      <c r="AU2316" s="12"/>
      <c r="AV2316" s="12"/>
      <c r="AW2316" s="12"/>
      <c r="AX2316" s="12"/>
      <c r="AY2316" s="12"/>
      <c r="AZ2316" s="12"/>
      <c r="BA2316" s="12"/>
      <c r="BB2316" s="12"/>
      <c r="BC2316" s="12"/>
      <c r="BD2316" s="12"/>
      <c r="BF2316" s="106" t="str">
        <f t="shared" si="1"/>
        <v>#VALUE!</v>
      </c>
      <c r="BG2316" s="21">
        <f t="shared" si="2"/>
        <v>12</v>
      </c>
    </row>
    <row r="2317">
      <c r="P2317" s="161"/>
      <c r="AI2317" s="102"/>
      <c r="AO2317" s="12"/>
      <c r="AP2317" s="12"/>
      <c r="AQ2317" s="12"/>
      <c r="AR2317" s="12"/>
      <c r="AS2317" s="12"/>
      <c r="AT2317" s="12"/>
      <c r="AU2317" s="12"/>
      <c r="AV2317" s="12"/>
      <c r="AW2317" s="12"/>
      <c r="AX2317" s="12"/>
      <c r="AY2317" s="12"/>
      <c r="AZ2317" s="12"/>
      <c r="BA2317" s="12"/>
      <c r="BB2317" s="12"/>
      <c r="BC2317" s="12"/>
      <c r="BD2317" s="12"/>
      <c r="BF2317" s="106" t="str">
        <f t="shared" si="1"/>
        <v>#VALUE!</v>
      </c>
      <c r="BG2317" s="21">
        <f t="shared" si="2"/>
        <v>12</v>
      </c>
    </row>
    <row r="2318">
      <c r="P2318" s="161"/>
      <c r="AI2318" s="102"/>
      <c r="AO2318" s="12"/>
      <c r="AP2318" s="12"/>
      <c r="AQ2318" s="12"/>
      <c r="AR2318" s="12"/>
      <c r="AS2318" s="12"/>
      <c r="AT2318" s="12"/>
      <c r="AU2318" s="12"/>
      <c r="AV2318" s="12"/>
      <c r="AW2318" s="12"/>
      <c r="AX2318" s="12"/>
      <c r="AY2318" s="12"/>
      <c r="AZ2318" s="12"/>
      <c r="BA2318" s="12"/>
      <c r="BB2318" s="12"/>
      <c r="BC2318" s="12"/>
      <c r="BD2318" s="12"/>
      <c r="BF2318" s="106" t="str">
        <f t="shared" si="1"/>
        <v>#VALUE!</v>
      </c>
      <c r="BG2318" s="21">
        <f t="shared" si="2"/>
        <v>12</v>
      </c>
    </row>
    <row r="2319">
      <c r="P2319" s="161"/>
      <c r="AI2319" s="102"/>
      <c r="AO2319" s="12"/>
      <c r="AP2319" s="12"/>
      <c r="AQ2319" s="12"/>
      <c r="AR2319" s="12"/>
      <c r="AS2319" s="12"/>
      <c r="AT2319" s="12"/>
      <c r="AU2319" s="12"/>
      <c r="AV2319" s="12"/>
      <c r="AW2319" s="12"/>
      <c r="AX2319" s="12"/>
      <c r="AY2319" s="12"/>
      <c r="AZ2319" s="12"/>
      <c r="BA2319" s="12"/>
      <c r="BB2319" s="12"/>
      <c r="BC2319" s="12"/>
      <c r="BD2319" s="12"/>
      <c r="BF2319" s="106" t="str">
        <f t="shared" si="1"/>
        <v>#VALUE!</v>
      </c>
      <c r="BG2319" s="21">
        <f t="shared" si="2"/>
        <v>12</v>
      </c>
    </row>
    <row r="2320">
      <c r="P2320" s="161"/>
      <c r="AI2320" s="102"/>
      <c r="AO2320" s="12"/>
      <c r="AP2320" s="12"/>
      <c r="AQ2320" s="12"/>
      <c r="AR2320" s="12"/>
      <c r="AS2320" s="12"/>
      <c r="AT2320" s="12"/>
      <c r="AU2320" s="12"/>
      <c r="AV2320" s="12"/>
      <c r="AW2320" s="12"/>
      <c r="AX2320" s="12"/>
      <c r="AY2320" s="12"/>
      <c r="AZ2320" s="12"/>
      <c r="BA2320" s="12"/>
      <c r="BB2320" s="12"/>
      <c r="BC2320" s="12"/>
      <c r="BD2320" s="12"/>
      <c r="BF2320" s="106" t="str">
        <f t="shared" si="1"/>
        <v>#VALUE!</v>
      </c>
      <c r="BG2320" s="21">
        <f t="shared" si="2"/>
        <v>12</v>
      </c>
    </row>
    <row r="2321">
      <c r="P2321" s="161"/>
      <c r="AI2321" s="102"/>
      <c r="AO2321" s="12"/>
      <c r="AP2321" s="12"/>
      <c r="AQ2321" s="12"/>
      <c r="AR2321" s="12"/>
      <c r="AS2321" s="12"/>
      <c r="AT2321" s="12"/>
      <c r="AU2321" s="12"/>
      <c r="AV2321" s="12"/>
      <c r="AW2321" s="12"/>
      <c r="AX2321" s="12"/>
      <c r="AY2321" s="12"/>
      <c r="AZ2321" s="12"/>
      <c r="BA2321" s="12"/>
      <c r="BB2321" s="12"/>
      <c r="BC2321" s="12"/>
      <c r="BD2321" s="12"/>
      <c r="BF2321" s="106" t="str">
        <f t="shared" si="1"/>
        <v>#VALUE!</v>
      </c>
      <c r="BG2321" s="21">
        <f t="shared" si="2"/>
        <v>12</v>
      </c>
    </row>
    <row r="2322">
      <c r="P2322" s="161"/>
      <c r="AI2322" s="102"/>
      <c r="AO2322" s="12"/>
      <c r="AP2322" s="12"/>
      <c r="AQ2322" s="12"/>
      <c r="AR2322" s="12"/>
      <c r="AS2322" s="12"/>
      <c r="AT2322" s="12"/>
      <c r="AU2322" s="12"/>
      <c r="AV2322" s="12"/>
      <c r="AW2322" s="12"/>
      <c r="AX2322" s="12"/>
      <c r="AY2322" s="12"/>
      <c r="AZ2322" s="12"/>
      <c r="BA2322" s="12"/>
      <c r="BB2322" s="12"/>
      <c r="BC2322" s="12"/>
      <c r="BD2322" s="12"/>
      <c r="BF2322" s="106" t="str">
        <f t="shared" si="1"/>
        <v>#VALUE!</v>
      </c>
      <c r="BG2322" s="21">
        <f t="shared" si="2"/>
        <v>12</v>
      </c>
    </row>
    <row r="2323">
      <c r="P2323" s="161"/>
      <c r="AI2323" s="102"/>
      <c r="AO2323" s="12"/>
      <c r="AP2323" s="12"/>
      <c r="AQ2323" s="12"/>
      <c r="AR2323" s="12"/>
      <c r="AS2323" s="12"/>
      <c r="AT2323" s="12"/>
      <c r="AU2323" s="12"/>
      <c r="AV2323" s="12"/>
      <c r="AW2323" s="12"/>
      <c r="AX2323" s="12"/>
      <c r="AY2323" s="12"/>
      <c r="AZ2323" s="12"/>
      <c r="BA2323" s="12"/>
      <c r="BB2323" s="12"/>
      <c r="BC2323" s="12"/>
      <c r="BD2323" s="12"/>
      <c r="BF2323" s="106" t="str">
        <f t="shared" si="1"/>
        <v>#VALUE!</v>
      </c>
      <c r="BG2323" s="21">
        <f t="shared" si="2"/>
        <v>12</v>
      </c>
    </row>
    <row r="2324">
      <c r="P2324" s="161"/>
      <c r="AI2324" s="102"/>
      <c r="AO2324" s="12"/>
      <c r="AP2324" s="12"/>
      <c r="AQ2324" s="12"/>
      <c r="AR2324" s="12"/>
      <c r="AS2324" s="12"/>
      <c r="AT2324" s="12"/>
      <c r="AU2324" s="12"/>
      <c r="AV2324" s="12"/>
      <c r="AW2324" s="12"/>
      <c r="AX2324" s="12"/>
      <c r="AY2324" s="12"/>
      <c r="AZ2324" s="12"/>
      <c r="BA2324" s="12"/>
      <c r="BB2324" s="12"/>
      <c r="BC2324" s="12"/>
      <c r="BD2324" s="12"/>
      <c r="BF2324" s="106" t="str">
        <f t="shared" si="1"/>
        <v>#VALUE!</v>
      </c>
      <c r="BG2324" s="21">
        <f t="shared" si="2"/>
        <v>12</v>
      </c>
    </row>
    <row r="2325">
      <c r="P2325" s="161"/>
      <c r="AI2325" s="102"/>
      <c r="AO2325" s="12"/>
      <c r="AP2325" s="12"/>
      <c r="AQ2325" s="12"/>
      <c r="AR2325" s="12"/>
      <c r="AS2325" s="12"/>
      <c r="AT2325" s="12"/>
      <c r="AU2325" s="12"/>
      <c r="AV2325" s="12"/>
      <c r="AW2325" s="12"/>
      <c r="AX2325" s="12"/>
      <c r="AY2325" s="12"/>
      <c r="AZ2325" s="12"/>
      <c r="BA2325" s="12"/>
      <c r="BB2325" s="12"/>
      <c r="BC2325" s="12"/>
      <c r="BD2325" s="12"/>
      <c r="BF2325" s="106" t="str">
        <f t="shared" si="1"/>
        <v>#VALUE!</v>
      </c>
      <c r="BG2325" s="21">
        <f t="shared" si="2"/>
        <v>12</v>
      </c>
    </row>
  </sheetData>
  <dataValidations>
    <dataValidation type="custom" allowBlank="1" showDropDown="1" sqref="AM2 AM5 AM8:AM10 AM15">
      <formula1>OR(NOT(ISERROR(DATEVALUE(AM2))), AND(ISNUMBER(AM2), LEFT(CELL("format", AM2))="D"))</formula1>
    </dataValidation>
    <dataValidation type="list" allowBlank="1" showErrorMessage="1" sqref="AO482:BD2325">
      <formula1>Setting!$K$2:$K$21</formula1>
    </dataValidation>
  </dataValidations>
  <hyperlinks>
    <hyperlink r:id="rId2" location="gid=126777722" ref="AK4"/>
    <hyperlink r:id="rId3" location="gid=1943992207" ref="AK5"/>
    <hyperlink r:id="rId4" location="gid=730977002" ref="AK6"/>
    <hyperlink r:id="rId5" location="gid=1943992207" ref="AK7"/>
    <hyperlink r:id="rId6" location="gid=1943992207" ref="AK8"/>
    <hyperlink r:id="rId7" location="gid=1106309705" ref="AK9"/>
    <hyperlink r:id="rId8" location="gid=1943992207" ref="AK10"/>
    <hyperlink r:id="rId9" location="gid=1318300462" ref="AK11"/>
    <hyperlink r:id="rId10" location="gid=1943992207" ref="AK12"/>
    <hyperlink r:id="rId11" location="gid=1943992207" ref="AK13"/>
    <hyperlink r:id="rId12" location="gid=1943992207" ref="AK14"/>
    <hyperlink r:id="rId13" location="gid=1943992207" ref="AK15"/>
    <hyperlink r:id="rId14" location="gid=1943992207" ref="AK16"/>
    <hyperlink r:id="rId15" location="gid=1943992207" ref="AK17"/>
    <hyperlink r:id="rId16" location="gid=1943992207" ref="AK18"/>
    <hyperlink r:id="rId17" location="gid=1943992207" ref="AK19"/>
    <hyperlink r:id="rId18" location="gid=1943992207" ref="AK20"/>
    <hyperlink r:id="rId19" location="gid=1943992207" ref="AK21"/>
    <hyperlink r:id="rId20" location="gid=1943992207" ref="AK22"/>
    <hyperlink r:id="rId21" location="gid=1943992207" ref="AK23"/>
    <hyperlink r:id="rId22" location="gid=1943992207" ref="AK24"/>
    <hyperlink r:id="rId23" location="gid=1943992207" ref="AK25"/>
    <hyperlink r:id="rId24" location="gid=1943992207" ref="AK26"/>
    <hyperlink r:id="rId25" location="gid=1943992207" ref="AK27"/>
    <hyperlink r:id="rId26" location="gid=1943992207" ref="AK28"/>
    <hyperlink r:id="rId27" location="gid=1943992207" ref="AK29"/>
    <hyperlink r:id="rId28" location="gid=1943992207" ref="AK30"/>
    <hyperlink r:id="rId29" location="gid=1943992207" ref="AK31"/>
    <hyperlink r:id="rId30" location="gid=1943992207" ref="AK32"/>
    <hyperlink r:id="rId31" location="gid=1943992207" ref="AK33"/>
    <hyperlink r:id="rId32" location="gid=1943992207" ref="AK34"/>
    <hyperlink r:id="rId33" location="gid=1943992207" ref="AK35"/>
    <hyperlink r:id="rId34" location="gid=1943992207" ref="AK36"/>
    <hyperlink r:id="rId35" location="gid=1943992207" ref="AK37"/>
    <hyperlink r:id="rId36" location="gid=1943992207" ref="AK38"/>
    <hyperlink r:id="rId37" location="gid=1943992207" ref="AK39"/>
    <hyperlink r:id="rId38" location="gid=1943992207" ref="AK40"/>
    <hyperlink r:id="rId39" location="gid=1943992207" ref="AK41"/>
    <hyperlink r:id="rId40" location="gid=1943992207" ref="AK42"/>
    <hyperlink r:id="rId41" location="gid=1943992207" ref="AK43"/>
    <hyperlink r:id="rId42" location="gid=1943992207" ref="AK44"/>
    <hyperlink r:id="rId43" location="gid=1943992207" ref="AK45"/>
    <hyperlink r:id="rId44" location="gid=1943992207" ref="AK46"/>
    <hyperlink r:id="rId45" location="gid=1943992207" ref="AK47"/>
    <hyperlink r:id="rId46" location="gid=1889659831" ref="AK48"/>
    <hyperlink r:id="rId47" location="gid=686952044" ref="AK49"/>
    <hyperlink r:id="rId48" location="gid=1943992207" ref="AK50"/>
    <hyperlink r:id="rId49" location="gid=2012686739" ref="AK51"/>
    <hyperlink r:id="rId50" location="gid=1943992207" ref="AK52"/>
    <hyperlink r:id="rId51" location="gid=1943992207" ref="AK53"/>
    <hyperlink r:id="rId52" location="gid=640063422" ref="AK54"/>
    <hyperlink r:id="rId53" location="gid=1943992207" ref="AK55"/>
    <hyperlink r:id="rId54" location="gid=1943992207" ref="AK56"/>
    <hyperlink r:id="rId55" location="gid=1943992207" ref="AK57"/>
    <hyperlink r:id="rId56" location="gid=1943992207" ref="AK58"/>
    <hyperlink r:id="rId57" location="gid=1943992207" ref="AK59"/>
    <hyperlink r:id="rId58" location="gid=1943992207" ref="AK60"/>
    <hyperlink r:id="rId59" location="gid=1943992207" ref="AK61"/>
    <hyperlink r:id="rId60" location="gid=1943992207" ref="AK62"/>
    <hyperlink r:id="rId61" location="gid=1943992207" ref="AK63"/>
    <hyperlink r:id="rId62" location="gid=1943992207" ref="AK64"/>
    <hyperlink r:id="rId63" location="gid=1943992207" ref="AK65"/>
    <hyperlink r:id="rId64" location="gid=1943992207" ref="AK66"/>
    <hyperlink r:id="rId65" location="gid=1943992207" ref="AK67"/>
    <hyperlink r:id="rId66" location="gid=1943992207" ref="AK68"/>
    <hyperlink r:id="rId67" location="gid=1943992207" ref="AK69"/>
    <hyperlink r:id="rId68" location="gid=1943992207" ref="AK70"/>
    <hyperlink r:id="rId69" location="gid=490900216" ref="AK71"/>
    <hyperlink r:id="rId70" location="gid=1943992207" ref="AK72"/>
    <hyperlink r:id="rId71" location="gid=1943992207" ref="AK73"/>
    <hyperlink r:id="rId72" location="gid=1943992207" ref="AK74"/>
    <hyperlink r:id="rId73" location="gid=1943992207" ref="AK75"/>
    <hyperlink r:id="rId74" location="gid=1943992207" ref="AK76"/>
    <hyperlink r:id="rId75" location="gid=1943992207" ref="AK77"/>
    <hyperlink r:id="rId76" location="gid=1943992207" ref="AK78"/>
    <hyperlink r:id="rId77" location="gid=1943992207" ref="AK79"/>
    <hyperlink r:id="rId78" location="gid=1943992207" ref="AK80"/>
    <hyperlink r:id="rId79" location="gid=1943992207" ref="AK81"/>
    <hyperlink r:id="rId80" location="gid=1943992207" ref="AK82"/>
    <hyperlink r:id="rId81" location="gid=1943992207" ref="AK83"/>
    <hyperlink r:id="rId82" location="gid=1943992207" ref="AK84"/>
    <hyperlink r:id="rId83" location="gid=1943992207" ref="AK85"/>
    <hyperlink r:id="rId84" location="gid=1943992207" ref="AK86"/>
    <hyperlink r:id="rId85" location="gid=1943992207" ref="AK87"/>
    <hyperlink r:id="rId86" location="gid=1943992207" ref="AK88"/>
    <hyperlink r:id="rId87" location="gid=1943992207" ref="AK89"/>
    <hyperlink r:id="rId88" location="gid=1943992207" ref="AK90"/>
    <hyperlink r:id="rId89" location="gid=1943992207" ref="AK91"/>
    <hyperlink r:id="rId90" location="gid=1943992207" ref="AK92"/>
    <hyperlink r:id="rId91" location="gid=1943992207" ref="AK93"/>
    <hyperlink r:id="rId92" location="gid=1943992207" ref="AK94"/>
    <hyperlink r:id="rId93" location="gid=1943992207" ref="AK95"/>
    <hyperlink r:id="rId94" location="gid=1943992207" ref="AK96"/>
    <hyperlink r:id="rId95" location="gid=1943992207" ref="AK97"/>
    <hyperlink r:id="rId96" location="gid=1943992207" ref="AK98"/>
    <hyperlink r:id="rId97" location="gid=1943992207" ref="AK99"/>
    <hyperlink r:id="rId98" location="gid=1943992207" ref="AK100"/>
    <hyperlink r:id="rId99" location="gid=1943992207" ref="AK101"/>
    <hyperlink r:id="rId100" location="gid=1943992207" ref="AK102"/>
    <hyperlink r:id="rId101" location="gid=1943992207" ref="AK103"/>
    <hyperlink r:id="rId102" location="gid=1943992207" ref="AK104"/>
    <hyperlink r:id="rId103" location="gid=1943992207" ref="AK105"/>
    <hyperlink r:id="rId104" location="gid=1943992207" ref="AK106"/>
    <hyperlink r:id="rId105" location="gid=1943992207" ref="AK107"/>
    <hyperlink r:id="rId106" location="gid=1943992207" ref="AK108"/>
    <hyperlink r:id="rId107" location="gid=1943992207" ref="AK109"/>
    <hyperlink r:id="rId108" location="gid=1943992207" ref="AK110"/>
    <hyperlink r:id="rId109" location="gid=1943992207" ref="AK111"/>
    <hyperlink r:id="rId110" location="gid=1943992207" ref="AK112"/>
    <hyperlink r:id="rId111" location="gid=1943992207" ref="AK113"/>
    <hyperlink r:id="rId112" location="gid=1943992207" ref="AK114"/>
    <hyperlink r:id="rId113" location="gid=1943992207" ref="AK115"/>
    <hyperlink r:id="rId114" location="gid=1943992207" ref="AK116"/>
    <hyperlink r:id="rId115" location="gid=1943992207" ref="AK117"/>
    <hyperlink r:id="rId116" location="gid=1943992207" ref="AK118"/>
    <hyperlink r:id="rId117" location="gid=1412261134" ref="AK119"/>
    <hyperlink r:id="rId118" location="gid=1943992207" ref="AK120"/>
    <hyperlink r:id="rId119" location="gid=1943992207" ref="AK121"/>
    <hyperlink r:id="rId120" location="gid=1943992207" ref="AK122"/>
    <hyperlink r:id="rId121" location="gid=1943992207" ref="AK123"/>
    <hyperlink r:id="rId122" location="gid=1943992207" ref="AK124"/>
    <hyperlink r:id="rId123" location="gid=1943992207" ref="AK125"/>
    <hyperlink r:id="rId124" location="gid=1943992207" ref="AK126"/>
    <hyperlink r:id="rId125" location="gid=1943992207" ref="AK127"/>
    <hyperlink r:id="rId126" location="gid=1943992207" ref="AK128"/>
    <hyperlink r:id="rId127" location="gid=1943992207" ref="AK129"/>
    <hyperlink r:id="rId128" location="gid=1943992207" ref="AK130"/>
    <hyperlink r:id="rId129" location="gid=1943992207" ref="AK131"/>
    <hyperlink r:id="rId130" location="gid=1943992207" ref="AK132"/>
    <hyperlink r:id="rId131" location="gid=1943992207" ref="AK133"/>
    <hyperlink r:id="rId132" location="gid=104841223" ref="AK134"/>
    <hyperlink r:id="rId133" location="gid=1943992207" ref="AK135"/>
    <hyperlink r:id="rId134" location="gid=1943992207" ref="AK136"/>
    <hyperlink r:id="rId135" location="gid=1943992207" ref="AK137"/>
    <hyperlink r:id="rId136" location="gid=1943992207" ref="AK138"/>
    <hyperlink r:id="rId137" location="gid=1943992207" ref="AK139"/>
    <hyperlink r:id="rId138" location="gid=195379161" ref="AK140"/>
    <hyperlink r:id="rId139" location="gid=1943992207" ref="AK141"/>
    <hyperlink r:id="rId140" location="gid=1943992207" ref="AK142"/>
    <hyperlink r:id="rId141" location="gid=1943992207" ref="AK143"/>
    <hyperlink r:id="rId142" location="gid=1943992207" ref="AK144"/>
    <hyperlink r:id="rId143" location="gid=1943992207" ref="AK145"/>
    <hyperlink r:id="rId144" location="gid=1943992207" ref="AK146"/>
    <hyperlink r:id="rId145" location="gid=1943992207" ref="AK147"/>
    <hyperlink r:id="rId146" location="gid=1943992207" ref="AK148"/>
    <hyperlink r:id="rId147" location="gid=1943992207" ref="AK149"/>
    <hyperlink r:id="rId148" location="gid=1943992207" ref="AK150"/>
    <hyperlink r:id="rId149" location="gid=1943992207" ref="AK151"/>
    <hyperlink r:id="rId150" location="gid=1943992207" ref="AK152"/>
    <hyperlink r:id="rId151" location="gid=1943992207" ref="AK153"/>
    <hyperlink r:id="rId152" location="gid=1943992207" ref="AK154"/>
    <hyperlink r:id="rId153" location="gid=1943992207" ref="AK155"/>
    <hyperlink r:id="rId154" location="gid=1943992207" ref="AK156"/>
    <hyperlink r:id="rId155" location="gid=1943992207" ref="AK157"/>
    <hyperlink r:id="rId156" location="gid=1943992207" ref="AK158"/>
    <hyperlink r:id="rId157" location="gid=1943992207" ref="AK159"/>
    <hyperlink r:id="rId158" location="gid=1943992207" ref="AK160"/>
    <hyperlink r:id="rId159" location="gid=1943992207" ref="AK161"/>
    <hyperlink r:id="rId160" location="gid=1943992207" ref="AK162"/>
    <hyperlink r:id="rId161" location="gid=1943992207" ref="AK163"/>
    <hyperlink r:id="rId162" location="gid=1943992207" ref="AK164"/>
    <hyperlink r:id="rId163" location="gid=1943992207" ref="AK165"/>
    <hyperlink r:id="rId164" location="gid=1943992207" ref="AK166"/>
    <hyperlink r:id="rId165" location="gid=1943992207" ref="AK167"/>
    <hyperlink r:id="rId166" location="gid=1943992207" ref="AK168"/>
    <hyperlink r:id="rId167" location="gid=1943992207" ref="AK169"/>
    <hyperlink r:id="rId168" location="gid=1943992207" ref="AK170"/>
    <hyperlink r:id="rId169" location="gid=1943992207" ref="AK171"/>
    <hyperlink r:id="rId170" location="gid=1943992207" ref="AK172"/>
    <hyperlink r:id="rId171" location="gid=1943992207" ref="AK173"/>
    <hyperlink r:id="rId172" location="gid=1943992207" ref="AK174"/>
    <hyperlink r:id="rId173" location="gid=1943992207" ref="AK175"/>
    <hyperlink r:id="rId174" location="gid=1943992207" ref="AK176"/>
    <hyperlink r:id="rId175" location="gid=1943992207" ref="AK177"/>
    <hyperlink r:id="rId176" location="gid=1943992207" ref="AK178"/>
    <hyperlink r:id="rId177" location="gid=1943992207" ref="AK179"/>
    <hyperlink r:id="rId178" location="gid=1943992207" ref="AK180"/>
    <hyperlink r:id="rId179" location="gid=1943992207" ref="AK181"/>
    <hyperlink r:id="rId180" location="gid=1943992207" ref="AK182"/>
    <hyperlink r:id="rId181" location="gid=1943992207" ref="AK183"/>
    <hyperlink r:id="rId182" location="gid=1943992207" ref="AK184"/>
    <hyperlink r:id="rId183" location="gid=1943992207" ref="AK185"/>
    <hyperlink r:id="rId184" location="gid=1943992207" ref="AK186"/>
    <hyperlink r:id="rId185" location="gid=1797527216" ref="AK187"/>
    <hyperlink r:id="rId186" location="gid=1943992207" ref="AK188"/>
    <hyperlink r:id="rId187" location="gid=1943992207" ref="AK189"/>
    <hyperlink r:id="rId188" location="gid=1943992207" ref="AK190"/>
    <hyperlink r:id="rId189" location="gid=1943992207" ref="AK191"/>
    <hyperlink r:id="rId190" location="gid=1943992207" ref="AK192"/>
    <hyperlink r:id="rId191" location="gid=1943992207" ref="AK193"/>
    <hyperlink r:id="rId192" location="gid=1943992207" ref="AK194"/>
    <hyperlink r:id="rId193" location="gid=1943992207" ref="AK195"/>
    <hyperlink r:id="rId194" location="gid=330376571" ref="AK196"/>
    <hyperlink r:id="rId195" location="gid=1943992207" ref="AK197"/>
    <hyperlink r:id="rId196" location="gid=147423043" ref="AK198"/>
    <hyperlink r:id="rId197" location="gid=338745032" ref="AK199"/>
    <hyperlink r:id="rId198" location="gid=1943992207" ref="AK200"/>
    <hyperlink r:id="rId199" location="gid=1943992207" ref="AK201"/>
    <hyperlink r:id="rId200" location="gid=1943992207" ref="AK202"/>
    <hyperlink r:id="rId201" location="gid=1943992207" ref="AK203"/>
    <hyperlink r:id="rId202" location="gid=1943992207" ref="AK204"/>
    <hyperlink r:id="rId203" location="gid=1943992207" ref="AK205"/>
    <hyperlink r:id="rId204" location="gid=1943992207" ref="AK206"/>
    <hyperlink r:id="rId205" location="gid=1943992207" ref="AK207"/>
    <hyperlink r:id="rId206" location="gid=1943992207" ref="AK208"/>
    <hyperlink r:id="rId207" location="gid=1943992207" ref="AK209"/>
    <hyperlink r:id="rId208" location="gid=1943992207" ref="AK210"/>
    <hyperlink r:id="rId209" location="gid=1943992207" ref="AK211"/>
    <hyperlink r:id="rId210" location="gid=1943992207" ref="AK212"/>
    <hyperlink r:id="rId211" location="gid=1943992207" ref="AK213"/>
    <hyperlink r:id="rId212" location="gid=1943992207" ref="AK214"/>
    <hyperlink r:id="rId213" location="gid=1943992207" ref="AK215"/>
    <hyperlink r:id="rId214" location="gid=1943992207" ref="AK216"/>
    <hyperlink r:id="rId215" location="gid=1943992207" ref="AK217"/>
    <hyperlink r:id="rId216" location="gid=422366643" ref="AK218"/>
    <hyperlink r:id="rId217" location="gid=1943992207" ref="AK219"/>
    <hyperlink r:id="rId218" location="gid=1943992207" ref="AK220"/>
    <hyperlink r:id="rId219" location="gid=1825078574" ref="AK221"/>
    <hyperlink r:id="rId220" location="gid=278351778" ref="AK222"/>
    <hyperlink r:id="rId221" location="gid=903611218" ref="AK223"/>
    <hyperlink r:id="rId222" location="gid=1943992207" ref="AK224"/>
    <hyperlink r:id="rId223" location="gid=1943992207" ref="AK225"/>
    <hyperlink r:id="rId224" location="gid=1943992207" ref="AK226"/>
    <hyperlink r:id="rId225" location="gid=1943992207" ref="AK227"/>
    <hyperlink r:id="rId226" location="gid=1943992207" ref="AK228"/>
    <hyperlink r:id="rId227" location="gid=1943992207" ref="AK229"/>
    <hyperlink r:id="rId228" location="gid=1422820969" ref="AK230"/>
    <hyperlink r:id="rId229" location="gid=1943992207" ref="AK231"/>
    <hyperlink r:id="rId230" location="gid=1943992207" ref="AK232"/>
    <hyperlink r:id="rId231" location="gid=1943992207" ref="AK233"/>
    <hyperlink r:id="rId232" location="gid=1943992207" ref="AK234"/>
    <hyperlink r:id="rId233" location="gid=739585686" ref="AK235"/>
    <hyperlink r:id="rId234" location="gid=1943992207" ref="AK236"/>
    <hyperlink r:id="rId235" location="gid=1943992207" ref="AK237"/>
    <hyperlink r:id="rId236" location="gid=1943992207" ref="AK238"/>
    <hyperlink r:id="rId237" location="gid=1943992207" ref="AK239"/>
    <hyperlink r:id="rId238" location="gid=1943992207" ref="AK240"/>
    <hyperlink r:id="rId239" location="gid=1943992207" ref="AK241"/>
    <hyperlink r:id="rId240" location="gid=1943992207" ref="AK242"/>
    <hyperlink r:id="rId241" location="gid=1943992207" ref="AK243"/>
    <hyperlink r:id="rId242" location="gid=1943992207" ref="AK244"/>
    <hyperlink r:id="rId243" location="gid=1943992207" ref="AK245"/>
    <hyperlink r:id="rId244" location="gid=1943992207" ref="AK246"/>
    <hyperlink r:id="rId245" location="gid=1943992207" ref="AK247"/>
    <hyperlink r:id="rId246" location="gid=1943992207" ref="AK248"/>
    <hyperlink r:id="rId247" location="gid=1943992207" ref="AK249"/>
    <hyperlink r:id="rId248" location="gid=1943992207" ref="AK250"/>
    <hyperlink r:id="rId249" location="gid=1943992207" ref="AK251"/>
    <hyperlink r:id="rId250" location="gid=1943992207" ref="AK252"/>
    <hyperlink r:id="rId251" location="gid=1943992207" ref="AK253"/>
    <hyperlink r:id="rId252" location="gid=1943992207" ref="AK254"/>
    <hyperlink r:id="rId253" location="gid=1943992207" ref="AK255"/>
    <hyperlink r:id="rId254" location="gid=1943992207" ref="AK256"/>
    <hyperlink r:id="rId255" location="gid=136990793" ref="AK257"/>
    <hyperlink r:id="rId256" location="gid=1943992207" ref="AK258"/>
    <hyperlink r:id="rId257" location="gid=1943992207" ref="AK259"/>
    <hyperlink r:id="rId258" location="gid=1943992207" ref="AK260"/>
    <hyperlink r:id="rId259" location="gid=1714467678" ref="AK261"/>
    <hyperlink r:id="rId260" location="gid=1943992207" ref="AK262"/>
    <hyperlink r:id="rId261" location="gid=1943992207" ref="AK263"/>
    <hyperlink r:id="rId262" location="gid=1943992207" ref="AK264"/>
    <hyperlink r:id="rId263" location="gid=1775403308" ref="AK265"/>
    <hyperlink r:id="rId264" location="gid=1943992207" ref="AK266"/>
    <hyperlink r:id="rId265" location="gid=489149914" ref="AK267"/>
    <hyperlink r:id="rId266" location="gid=1943992207" ref="AK268"/>
    <hyperlink r:id="rId267" location="gid=1943992207" ref="AK269"/>
    <hyperlink r:id="rId268" location="gid=133706605" ref="AK270"/>
    <hyperlink r:id="rId269" location="gid=427256529" ref="AK271"/>
    <hyperlink r:id="rId270" location="gid=1943992207" ref="AK272"/>
    <hyperlink r:id="rId271" location="gid=1943992207" ref="AK273"/>
    <hyperlink r:id="rId272" location="gid=1943992207" ref="AK274"/>
    <hyperlink r:id="rId273" location="gid=1943992207" ref="AK275"/>
    <hyperlink r:id="rId274" location="gid=1943992207" ref="AK276"/>
    <hyperlink r:id="rId275" location="gid=1943992207" ref="AK277"/>
    <hyperlink r:id="rId276" location="gid=2112962837" ref="AK278"/>
    <hyperlink r:id="rId277" location="gid=1943992207" ref="AK279"/>
    <hyperlink r:id="rId278" location="gid=1943992207" ref="AK280"/>
    <hyperlink r:id="rId279" location="gid=1943992207" ref="AK281"/>
    <hyperlink r:id="rId280" location="gid=1943992207" ref="AK282"/>
    <hyperlink r:id="rId281" location="gid=1943992207" ref="AK283"/>
    <hyperlink r:id="rId282" location="gid=1943992207" ref="AK284"/>
    <hyperlink r:id="rId283" location="gid=193927591" ref="AK285"/>
    <hyperlink r:id="rId284" location="gid=1943992207" ref="AK286"/>
    <hyperlink r:id="rId285" location="gid=1943992207" ref="AK287"/>
    <hyperlink r:id="rId286" location="gid=1943992207" ref="AK288"/>
    <hyperlink r:id="rId287" location="gid=401597179" ref="AK289"/>
    <hyperlink r:id="rId288" location="gid=1685812482" ref="AK290"/>
    <hyperlink r:id="rId289" location="gid=1943992207" ref="AK291"/>
    <hyperlink r:id="rId290" location="gid=1943992207" ref="AK292"/>
    <hyperlink r:id="rId291" location="gid=1026410063" ref="AK293"/>
    <hyperlink r:id="rId292" location="gid=1804934795" ref="AK294"/>
    <hyperlink r:id="rId293" location="gid=1474237554" ref="AK295"/>
    <hyperlink r:id="rId294" location="gid=1943992207" ref="AK296"/>
    <hyperlink r:id="rId295" location="gid=1943992207" ref="AK297"/>
    <hyperlink r:id="rId296" location="gid=1943992207" ref="AK298"/>
    <hyperlink r:id="rId297" location="gid=1943992207" ref="AK299"/>
    <hyperlink r:id="rId298" location="gid=1943992207" ref="AK300"/>
    <hyperlink r:id="rId299" location="gid=1943992207" ref="AK301"/>
    <hyperlink r:id="rId300" location="gid=1943992207" ref="AK302"/>
    <hyperlink r:id="rId301" location="gid=1943992207" ref="AK303"/>
    <hyperlink r:id="rId302" location="gid=1943992207" ref="AK304"/>
    <hyperlink r:id="rId303" location="gid=1943992207" ref="AK305"/>
    <hyperlink r:id="rId304" location="gid=1943992207" ref="AK306"/>
    <hyperlink r:id="rId305" location="gid=1943992207" ref="AK307"/>
    <hyperlink r:id="rId306" location="gid=1943992207" ref="AK308"/>
    <hyperlink r:id="rId307" location="gid=1782892551" ref="AK309"/>
    <hyperlink r:id="rId308" location="gid=102816326" ref="AK310"/>
    <hyperlink r:id="rId309" location="gid=1370646909" ref="AK311"/>
    <hyperlink r:id="rId310" location="gid=1943992207" ref="AK312"/>
    <hyperlink r:id="rId311" location="gid=1943992207" ref="AK313"/>
    <hyperlink r:id="rId312" location="gid=1943992207" ref="AK314"/>
    <hyperlink r:id="rId313" location="gid=1943992207" ref="AK315"/>
    <hyperlink r:id="rId314" location="gid=1943992207" ref="AK316"/>
    <hyperlink r:id="rId315" location="gid=1943992207" ref="AK317"/>
    <hyperlink r:id="rId316" location="gid=1943992207" ref="AK318"/>
    <hyperlink r:id="rId317" location="gid=1943992207" ref="AK319"/>
    <hyperlink r:id="rId318" location="gid=1943992207" ref="AK320"/>
    <hyperlink r:id="rId319" location="gid=1943992207" ref="AK321"/>
    <hyperlink r:id="rId320" location="gid=1371264308" ref="AK322"/>
    <hyperlink r:id="rId321" location="gid=1943992207" ref="AK323"/>
    <hyperlink r:id="rId322" location="gid=1943992207" ref="AK324"/>
    <hyperlink r:id="rId323" location="gid=1943992207" ref="AK325"/>
    <hyperlink r:id="rId324" location="gid=1943992207" ref="AK326"/>
    <hyperlink r:id="rId325" location="gid=1943992207" ref="AK327"/>
    <hyperlink r:id="rId326" location="gid=1943992207" ref="AK328"/>
    <hyperlink r:id="rId327" location="gid=1943992207" ref="AK329"/>
    <hyperlink r:id="rId328" location="gid=1943992207" ref="AK330"/>
    <hyperlink r:id="rId329" location="gid=1943992207" ref="AK331"/>
    <hyperlink r:id="rId330" location="gid=1845900805" ref="AK332"/>
    <hyperlink r:id="rId331" location="gid=1943992207" ref="AK333"/>
    <hyperlink r:id="rId332" location="gid=1943992207" ref="AK334"/>
    <hyperlink r:id="rId333" location="gid=1943992207" ref="AK335"/>
    <hyperlink r:id="rId334" location="gid=1943992207" ref="AK336"/>
    <hyperlink r:id="rId335" location="gid=1943992207" ref="AK337"/>
    <hyperlink r:id="rId336" location="gid=40103279" ref="AK338"/>
    <hyperlink r:id="rId337" location="gid=541439644" ref="AK339"/>
    <hyperlink r:id="rId338" location="gid=1485274556" ref="AK340"/>
    <hyperlink r:id="rId339" location="gid=1943992207" ref="AK341"/>
    <hyperlink r:id="rId340" location="gid=1943992207" ref="AK342"/>
    <hyperlink r:id="rId341" location="gid=1943992207" ref="AK343"/>
    <hyperlink r:id="rId342" location="gid=1943992207" ref="AK344"/>
    <hyperlink r:id="rId343" location="gid=1943992207" ref="AK345"/>
    <hyperlink r:id="rId344" location="gid=1943992207" ref="AK346"/>
    <hyperlink r:id="rId345" location="gid=794194190" ref="AK347"/>
    <hyperlink r:id="rId346" location="gid=2037582636" ref="AK348"/>
    <hyperlink r:id="rId347" location="gid=1943992207" ref="AK349"/>
    <hyperlink r:id="rId348" location="gid=1943992207" ref="AK350"/>
    <hyperlink r:id="rId349" location="gid=1943992207" ref="AK351"/>
    <hyperlink r:id="rId350" location="gid=1943992207" ref="AK352"/>
    <hyperlink r:id="rId351" location="gid=1943992207" ref="AK353"/>
    <hyperlink r:id="rId352" location="gid=1943992207" ref="AK354"/>
    <hyperlink r:id="rId353" location="gid=1943992207" ref="AK355"/>
    <hyperlink r:id="rId354" location="gid=668399379" ref="AK356"/>
    <hyperlink r:id="rId355" location="gid=1943992207" ref="AK357"/>
    <hyperlink r:id="rId356" location="gid=1943992207" ref="AK358"/>
    <hyperlink r:id="rId357" location="gid=1943992207" ref="AK359"/>
    <hyperlink r:id="rId358" location="gid=1943992207" ref="AK360"/>
    <hyperlink r:id="rId359" location="gid=1943992207" ref="AK361"/>
    <hyperlink r:id="rId360" location="gid=2028184265" ref="AK362"/>
    <hyperlink r:id="rId361" location="gid=1943992207" ref="AK363"/>
    <hyperlink r:id="rId362" location="gid=1943992207" ref="AK364"/>
    <hyperlink r:id="rId363" location="gid=1943992207" ref="AK365"/>
    <hyperlink r:id="rId364" location="gid=923434093" ref="AK366"/>
    <hyperlink r:id="rId365" location="gid=1943992207" ref="AK367"/>
    <hyperlink r:id="rId366" location="gid=1943992207" ref="AK368"/>
    <hyperlink r:id="rId367" location="gid=1943992207" ref="AK369"/>
    <hyperlink r:id="rId368" location="gid=1943992207" ref="AK370"/>
    <hyperlink r:id="rId369" location="gid=1943992207" ref="AK371"/>
    <hyperlink r:id="rId370" location="gid=397696544" ref="AK372"/>
    <hyperlink r:id="rId371" location="gid=1943992207" ref="AK373"/>
    <hyperlink r:id="rId372" location="gid=1943992207" ref="AK374"/>
    <hyperlink r:id="rId373" location="gid=1943992207" ref="AK375"/>
    <hyperlink r:id="rId374" location="gid=1514523606" ref="AK376"/>
    <hyperlink r:id="rId375" location="gid=1943992207" ref="AK377"/>
    <hyperlink r:id="rId376" location="gid=1943992207" ref="AK378"/>
    <hyperlink r:id="rId377" location="gid=1943992207" ref="AK379"/>
    <hyperlink r:id="rId378" location="gid=1943992207" ref="AK380"/>
    <hyperlink r:id="rId379" location="gid=437299639" ref="AK381"/>
    <hyperlink r:id="rId380" location="gid=1943992207" ref="AK382"/>
    <hyperlink r:id="rId381" location="gid=1943992207" ref="AK383"/>
    <hyperlink r:id="rId382" location="gid=1943992207" ref="AK384"/>
    <hyperlink r:id="rId383" location="gid=1943992207" ref="AK385"/>
    <hyperlink r:id="rId384" location="gid=1943992207" ref="AK386"/>
    <hyperlink r:id="rId385" location="gid=1943992207" ref="AK387"/>
    <hyperlink r:id="rId386" location="gid=1943992207" ref="AK388"/>
    <hyperlink r:id="rId387" location="gid=1943992207" ref="AK389"/>
    <hyperlink r:id="rId388" location="gid=1943992207" ref="AK390"/>
    <hyperlink r:id="rId389" location="gid=1943992207" ref="AK391"/>
    <hyperlink r:id="rId390" location="gid=1943992207" ref="AK392"/>
    <hyperlink r:id="rId391" location="gid=1943992207" ref="AK393"/>
    <hyperlink r:id="rId392" location="gid=1943992207" ref="AK394"/>
    <hyperlink r:id="rId393" location="gid=2130954300" ref="AK395"/>
    <hyperlink r:id="rId394" location="gid=1943992207" ref="AK396"/>
    <hyperlink r:id="rId395" location="gid=1123947085" ref="AK397"/>
    <hyperlink r:id="rId396" location="gid=1087838884" ref="AK398"/>
    <hyperlink r:id="rId397" location="gid=1943992207" ref="AK399"/>
    <hyperlink r:id="rId398" location="gid=1943992207" ref="AK400"/>
    <hyperlink r:id="rId399" location="gid=1943992207" ref="AK401"/>
    <hyperlink r:id="rId400" location="gid=1943992207" ref="AK402"/>
    <hyperlink r:id="rId401" location="gid=1943992207" ref="AK403"/>
    <hyperlink r:id="rId402" location="gid=1943992207" ref="AK404"/>
    <hyperlink r:id="rId403" location="gid=1943992207" ref="AK405"/>
    <hyperlink r:id="rId404" location="gid=1943992207" ref="AK406"/>
    <hyperlink r:id="rId405" location="gid=1943992207" ref="AK407"/>
    <hyperlink r:id="rId406" location="gid=883348419" ref="AK408"/>
    <hyperlink r:id="rId407" location="gid=229998433" ref="AK409"/>
    <hyperlink r:id="rId408" location="gid=1886256404" ref="AK410"/>
    <hyperlink r:id="rId409" location="gid=1943992207" ref="AK411"/>
    <hyperlink r:id="rId410" location="gid=1943992207" ref="AK412"/>
    <hyperlink r:id="rId411" location="gid=1943992207" ref="AK413"/>
    <hyperlink r:id="rId412" location="gid=1583122538" ref="AK414"/>
    <hyperlink r:id="rId413" location="gid=1943992207" ref="AK415"/>
    <hyperlink r:id="rId414" location="gid=1943992207" ref="AK416"/>
    <hyperlink r:id="rId415" location="gid=1943992207" ref="AK417"/>
    <hyperlink r:id="rId416" location="gid=585010122" ref="AK418"/>
    <hyperlink r:id="rId417" location="gid=1943992207" ref="AK419"/>
    <hyperlink r:id="rId418" location="gid=1090058249" ref="AK420"/>
    <hyperlink r:id="rId419" location="gid=1943992207" ref="AK421"/>
    <hyperlink r:id="rId420" location="gid=1943992207" ref="AK422"/>
    <hyperlink r:id="rId421" location="gid=1943992207" ref="AK423"/>
    <hyperlink r:id="rId422" location="gid=1943992207" ref="AK424"/>
    <hyperlink r:id="rId423" location="gid=1943992207" ref="AK425"/>
    <hyperlink r:id="rId424" location="gid=203840247" ref="AK426"/>
    <hyperlink r:id="rId425" location="gid=1622482427" ref="AK427"/>
    <hyperlink r:id="rId426" location="gid=1943992207" ref="AK428"/>
    <hyperlink r:id="rId427" location="gid=1943992207" ref="AK429"/>
    <hyperlink r:id="rId428" location="gid=1943992207" ref="AK430"/>
    <hyperlink r:id="rId429" location="gid=1943992207" ref="AK431"/>
    <hyperlink r:id="rId430" location="gid=1943992207" ref="AK432"/>
    <hyperlink r:id="rId431" location="gid=1943992207" ref="AK433"/>
    <hyperlink r:id="rId432" location="gid=1943992207" ref="AK434"/>
    <hyperlink r:id="rId433" location="gid=1789805227" ref="AK435"/>
    <hyperlink r:id="rId434" location="gid=1943992207" ref="AK436"/>
    <hyperlink r:id="rId435" location="gid=1943992207" ref="AK437"/>
    <hyperlink r:id="rId436" location="gid=1943992207" ref="AK438"/>
    <hyperlink r:id="rId437" location="gid=1943992207" ref="AK439"/>
    <hyperlink r:id="rId438" location="gid=1943992207" ref="AK440"/>
    <hyperlink r:id="rId439" location="gid=1943992207" ref="AK441"/>
    <hyperlink r:id="rId440" location="gid=1943992207" ref="AK442"/>
    <hyperlink r:id="rId441" location="gid=1943992207" ref="AK443"/>
    <hyperlink r:id="rId442" location="gid=1943992207" ref="AK444"/>
    <hyperlink r:id="rId443" location="gid=1943992207" ref="AK445"/>
    <hyperlink r:id="rId444" location="gid=1943992207" ref="AK446"/>
    <hyperlink r:id="rId445" location="gid=402015508" ref="AK447"/>
    <hyperlink r:id="rId446" location="gid=1943992207" ref="AK448"/>
    <hyperlink r:id="rId447" location="gid=1943992207" ref="AK449"/>
    <hyperlink r:id="rId448" location="gid=1943992207" ref="AK450"/>
    <hyperlink r:id="rId449" location="gid=1943992207" ref="AK451"/>
    <hyperlink r:id="rId450" location="gid=1943992207" ref="AK452"/>
    <hyperlink r:id="rId451" location="gid=1943992207" ref="AK453"/>
    <hyperlink r:id="rId452" location="gid=1943992207" ref="AK454"/>
    <hyperlink r:id="rId453" location="gid=1943992207" ref="AK455"/>
    <hyperlink r:id="rId454" location="gid=1943992207" ref="AK456"/>
    <hyperlink r:id="rId455" location="gid=1943992207" ref="AK457"/>
    <hyperlink r:id="rId456" location="gid=1943992207" ref="AK458"/>
    <hyperlink r:id="rId457" location="gid=1943992207" ref="AK459"/>
    <hyperlink r:id="rId458" location="gid=1943992207" ref="AK460"/>
    <hyperlink r:id="rId459" location="gid=1943992207" ref="AK461"/>
    <hyperlink r:id="rId460" location="gid=1943992207" ref="AK462"/>
    <hyperlink r:id="rId461" location="gid=1943992207" ref="AK463"/>
    <hyperlink r:id="rId462" location="gid=1943992207" ref="AK464"/>
    <hyperlink r:id="rId463" location="gid=1943992207" ref="AK465"/>
    <hyperlink r:id="rId464" location="gid=1943992207" ref="AK466"/>
    <hyperlink r:id="rId465" location="gid=1943992207" ref="AK467"/>
    <hyperlink r:id="rId466" location="gid=1693274018" ref="AK468"/>
    <hyperlink r:id="rId467" location="gid=1943992207" ref="AK469"/>
    <hyperlink r:id="rId468" location="gid=1943992207" ref="AK470"/>
    <hyperlink r:id="rId469" location="gid=1943992207" ref="AK471"/>
    <hyperlink r:id="rId470" location="gid=1943992207" ref="AK472"/>
    <hyperlink r:id="rId471" location="gid=1943992207" ref="AK473"/>
    <hyperlink r:id="rId472" location="gid=1943992207" ref="AK474"/>
    <hyperlink r:id="rId473" location="gid=1943992207" ref="AK475"/>
    <hyperlink r:id="rId474" location="gid=1558341594" ref="AK476"/>
    <hyperlink r:id="rId475" location="gid=1943992207" ref="AK477"/>
    <hyperlink r:id="rId476" location="gid=444604239" ref="AK478"/>
    <hyperlink r:id="rId477" location="gid=1943992207" ref="AK479"/>
    <hyperlink r:id="rId478" location="gid=1401261960" ref="AK480"/>
    <hyperlink r:id="rId479" location="gid=1943992207" ref="AK481"/>
    <hyperlink r:id="rId480" location="gid=394632073" ref="AK482"/>
    <hyperlink r:id="rId481" location="gid=1943992207" ref="AK483"/>
    <hyperlink r:id="rId482" location="gid=1943992207" ref="AK484"/>
    <hyperlink r:id="rId483" location="gid=1571209480" ref="AK485"/>
    <hyperlink r:id="rId484" location="gid=1943992207" ref="AK486"/>
    <hyperlink r:id="rId485" location="gid=1943992207" ref="AK487"/>
    <hyperlink r:id="rId486" location="gid=1943992207" ref="AK488"/>
    <hyperlink r:id="rId487" location="gid=1943992207" ref="AK489"/>
    <hyperlink r:id="rId488" location="gid=1943992207" ref="AK490"/>
    <hyperlink r:id="rId489" location="gid=44433309" ref="AK491"/>
    <hyperlink r:id="rId490" location="gid=1943992207" ref="AK492"/>
    <hyperlink r:id="rId491" location="gid=1943992207" ref="AK493"/>
    <hyperlink r:id="rId492" location="gid=1943992207" ref="AK494"/>
    <hyperlink r:id="rId493" location="gid=1943992207" ref="AK495"/>
    <hyperlink r:id="rId494" location="gid=1943992207" ref="AK496"/>
    <hyperlink r:id="rId495" location="gid=910805963" ref="AK497"/>
    <hyperlink r:id="rId496" location="gid=1943992207" ref="AK498"/>
    <hyperlink r:id="rId497" location="gid=1943992207" ref="AK499"/>
    <hyperlink r:id="rId498" location="gid=1943992207" ref="AK500"/>
    <hyperlink r:id="rId499" location="gid=1943992207" ref="AK501"/>
    <hyperlink r:id="rId500" location="gid=1943992207" ref="AK502"/>
    <hyperlink r:id="rId501" location="gid=1943992207" ref="AK503"/>
    <hyperlink r:id="rId502" location="gid=1943992207" ref="AK504"/>
    <hyperlink r:id="rId503" location="gid=1943992207" ref="AK505"/>
    <hyperlink r:id="rId504" location="gid=1700766038" ref="AK506"/>
    <hyperlink r:id="rId505" location="gid=357630682" ref="AK507"/>
    <hyperlink r:id="rId506" location="gid=1943992207" ref="AK508"/>
    <hyperlink r:id="rId507" location="gid=1943992207" ref="AK509"/>
    <hyperlink r:id="rId508" location="gid=1943992207" ref="AK510"/>
    <hyperlink r:id="rId509" location="gid=1943992207" ref="AK511"/>
    <hyperlink r:id="rId510" location="gid=1492853138" ref="AK512"/>
    <hyperlink r:id="rId511" location="gid=1943992207" ref="AK513"/>
    <hyperlink r:id="rId512" location="gid=1943992207" ref="AK514"/>
    <hyperlink r:id="rId513" location="gid=1943992207" ref="AK515"/>
    <hyperlink r:id="rId514" location="gid=1943992207" ref="AK516"/>
    <hyperlink r:id="rId515" location="gid=36556612" ref="AK517"/>
    <hyperlink r:id="rId516" location="gid=1943992207" ref="AK518"/>
    <hyperlink r:id="rId517" location="gid=1386064735" ref="AK519"/>
    <hyperlink r:id="rId518" location="gid=1943992207" ref="AK520"/>
    <hyperlink r:id="rId519" location="gid=1943992207" ref="AK521"/>
    <hyperlink r:id="rId520" location="gid=779062759" ref="AK522"/>
    <hyperlink r:id="rId521" location="gid=1943992207" ref="AK523"/>
    <hyperlink r:id="rId522" location="gid=1943992207" ref="AK524"/>
    <hyperlink r:id="rId523" location="gid=1943992207" ref="AK525"/>
    <hyperlink r:id="rId524" location="gid=1237567899" ref="AK526"/>
    <hyperlink r:id="rId525" location="gid=1464143182" ref="AK527"/>
    <hyperlink r:id="rId526" location="gid=1943992207" ref="AK528"/>
    <hyperlink r:id="rId527" location="gid=1943992207" ref="AK529"/>
    <hyperlink r:id="rId528" location="gid=1943992207" ref="AK530"/>
    <hyperlink r:id="rId529" location="gid=1943992207" ref="AK531"/>
    <hyperlink r:id="rId530" location="gid=1943992207" ref="AK532"/>
    <hyperlink r:id="rId531" location="gid=1943992207" ref="AK533"/>
    <hyperlink r:id="rId532" location="gid=1943992207" ref="AK534"/>
    <hyperlink r:id="rId533" location="gid=1943992207" ref="AK535"/>
    <hyperlink r:id="rId534" location="gid=1943992207" ref="AK536"/>
    <hyperlink r:id="rId535" location="gid=1181087948" ref="AK537"/>
    <hyperlink r:id="rId536" location="gid=2009025989" ref="AK538"/>
    <hyperlink r:id="rId537" location="gid=1943992207" ref="AK539"/>
    <hyperlink r:id="rId538" location="gid=155610773" ref="AK540"/>
    <hyperlink r:id="rId539" location="gid=1943992207" ref="AK541"/>
    <hyperlink r:id="rId540" location="gid=1943992207" ref="AK542"/>
    <hyperlink r:id="rId541" location="gid=1943992207" ref="AK543"/>
    <hyperlink r:id="rId542" location="gid=1843335583" ref="AK544"/>
    <hyperlink r:id="rId543" location="gid=1874961635" ref="AK545"/>
    <hyperlink r:id="rId544" location="gid=1943992207" ref="AK546"/>
    <hyperlink r:id="rId545" location="gid=1943992207" ref="AK547"/>
    <hyperlink r:id="rId546" location="gid=0" ref="AK548"/>
    <hyperlink r:id="rId547" location="gid=549101751" ref="AK549"/>
    <hyperlink r:id="rId548" location="gid=1943992207" ref="AK550"/>
    <hyperlink r:id="rId549" location="gid=1943992207" ref="AK551"/>
    <hyperlink r:id="rId550" location="gid=1943992207" ref="AK552"/>
    <hyperlink r:id="rId551" location="gid=1943992207" ref="AK553"/>
    <hyperlink r:id="rId552" location="gid=1943992207" ref="AK554"/>
    <hyperlink r:id="rId553" location="gid=1943992207" ref="AK555"/>
    <hyperlink r:id="rId554" location="gid=1943992207" ref="AK556"/>
    <hyperlink r:id="rId555" location="gid=1363964414" ref="AK557"/>
    <hyperlink r:id="rId556" location="gid=1943992207" ref="AK558"/>
    <hyperlink r:id="rId557" location="gid=1943992207" ref="AK559"/>
    <hyperlink r:id="rId558" location="gid=1943992207" ref="AK560"/>
    <hyperlink r:id="rId559" location="gid=1943992207" ref="AK561"/>
    <hyperlink r:id="rId560" location="gid=1625709190" ref="AK562"/>
    <hyperlink r:id="rId561" location="gid=1943992207" ref="AK563"/>
    <hyperlink r:id="rId562" location="gid=1943992207" ref="AK564"/>
    <hyperlink r:id="rId563" location="gid=1943992207" ref="AK565"/>
    <hyperlink r:id="rId564" location="gid=1943992207" ref="AK566"/>
    <hyperlink r:id="rId565" location="gid=1943992207" ref="AK567"/>
    <hyperlink r:id="rId566" location="gid=1943992207" ref="AK568"/>
    <hyperlink r:id="rId567" location="gid=1026445961" ref="AK569"/>
    <hyperlink r:id="rId568" location="gid=191697153" ref="AK570"/>
    <hyperlink r:id="rId569" location="gid=1943992207" ref="AK571"/>
    <hyperlink r:id="rId570" location="gid=1943992207" ref="AK572"/>
    <hyperlink r:id="rId571" location="gid=1117221415" ref="AK573"/>
    <hyperlink r:id="rId572" location="gid=1943992207" ref="AK574"/>
    <hyperlink r:id="rId573" location="gid=1620203182" ref="AK576"/>
    <hyperlink r:id="rId574" location="gid=1943992207" ref="AK577"/>
    <hyperlink r:id="rId575" location="gid=1132948168" ref="AK578"/>
    <hyperlink r:id="rId576" location="gid=1943992207" ref="AK579"/>
    <hyperlink r:id="rId577" location="gid=888567302" ref="AK580"/>
    <hyperlink r:id="rId578" location="gid=1068822188" ref="AK581"/>
    <hyperlink r:id="rId579" location="gid=1943992207" ref="AK582"/>
    <hyperlink r:id="rId580" location="gid=628516190" ref="AK583"/>
    <hyperlink r:id="rId581" location="gid=1943992207" ref="AK584"/>
    <hyperlink r:id="rId582" location="gid=863698551" ref="AK585"/>
    <hyperlink r:id="rId583" location="gid=1943992207" ref="AK586"/>
    <hyperlink r:id="rId584" location="gid=1943992207" ref="AK587"/>
    <hyperlink r:id="rId585" location="gid=644628799" ref="AK588"/>
    <hyperlink r:id="rId586" location="gid=1942567359" ref="AK589"/>
    <hyperlink r:id="rId587" location="gid=1943992207" ref="AK590"/>
    <hyperlink r:id="rId588" location="gid=1943992207" ref="AK591"/>
    <hyperlink r:id="rId589" location="gid=1943992207" ref="AK592"/>
    <hyperlink r:id="rId590" location="gid=1943992207" ref="AK593"/>
    <hyperlink r:id="rId591" location="gid=540724133" ref="AK594"/>
    <hyperlink r:id="rId592" location="gid=1943992207" ref="AK595"/>
    <hyperlink r:id="rId593" location="gid=1943992207" ref="AK596"/>
    <hyperlink r:id="rId594" location="gid=1943992207" ref="AK597"/>
    <hyperlink r:id="rId595" location="gid=1968516001" ref="AK598"/>
    <hyperlink r:id="rId596" location="gid=548925036" ref="AK599"/>
    <hyperlink r:id="rId597" location="gid=2129319031" ref="AK600"/>
    <hyperlink r:id="rId598" location="gid=1943992207" ref="AK601"/>
    <hyperlink r:id="rId599" location="gid=1943992207" ref="AK602"/>
    <hyperlink r:id="rId600" location="gid=152021700" ref="AK603"/>
    <hyperlink r:id="rId601" location="gid=1943992207" ref="AK604"/>
    <hyperlink r:id="rId602" location="gid=1943992207" ref="AK605"/>
    <hyperlink r:id="rId603" location="gid=567689624" ref="AK606"/>
    <hyperlink r:id="rId604" location="gid=1943992207" ref="AK607"/>
    <hyperlink r:id="rId605" location="gid=1943992207" ref="AK608"/>
    <hyperlink r:id="rId606" location="gid=1943992207" ref="AK609"/>
    <hyperlink r:id="rId607" location="gid=1943992207" ref="AK610"/>
    <hyperlink r:id="rId608" location="gid=1943992207" ref="AK611"/>
    <hyperlink r:id="rId609" location="gid=1943992207" ref="AK612"/>
    <hyperlink r:id="rId610" location="gid=1943992207" ref="AK613"/>
    <hyperlink r:id="rId611" location="gid=1943992207" ref="AK614"/>
    <hyperlink r:id="rId612" location="gid=1268451139" ref="AK615"/>
    <hyperlink r:id="rId613" location="gid=1943992207" ref="AK616"/>
    <hyperlink r:id="rId614" location="gid=1943992207" ref="AK617"/>
    <hyperlink r:id="rId615" location="gid=1690650239" ref="AK618"/>
    <hyperlink r:id="rId616" location="gid=1943992207" ref="AK619"/>
    <hyperlink r:id="rId617" location="gid=1943992207" ref="AK620"/>
    <hyperlink r:id="rId618" location="gid=1943992207" ref="AK621"/>
    <hyperlink r:id="rId619" location="gid=1943992207" ref="AK622"/>
    <hyperlink r:id="rId620" location="gid=1943992207" ref="AK623"/>
    <hyperlink r:id="rId621" location="gid=1943992207" ref="AK624"/>
    <hyperlink r:id="rId622" location="gid=1943992207" ref="AK625"/>
    <hyperlink r:id="rId623" location="gid=1943992207" ref="AK626"/>
    <hyperlink r:id="rId624" location="gid=1943992207" ref="AK627"/>
    <hyperlink r:id="rId625" location="gid=1943992207" ref="AK628"/>
    <hyperlink r:id="rId626" location="gid=1943992207" ref="AK629"/>
    <hyperlink r:id="rId627" location="gid=1311113289" ref="AK630"/>
    <hyperlink r:id="rId628" location="gid=1943992207" ref="AK631"/>
    <hyperlink r:id="rId629" location="gid=662420211" ref="AK632"/>
    <hyperlink r:id="rId630" location="gid=1943992207" ref="AK633"/>
    <hyperlink r:id="rId631" location="gid=1943992207" ref="AK634"/>
    <hyperlink r:id="rId632" location="gid=1943992207" ref="AK635"/>
    <hyperlink r:id="rId633" location="gid=1943992207" ref="AK636"/>
    <hyperlink r:id="rId634" location="gid=1158570068" ref="AK637"/>
    <hyperlink r:id="rId635" location="gid=1943992207" ref="AK638"/>
    <hyperlink r:id="rId636" location="gid=1548827396" ref="AK639"/>
    <hyperlink r:id="rId637" location="gid=1943992207" ref="AK640"/>
    <hyperlink r:id="rId638" ref="AK641"/>
    <hyperlink r:id="rId639" ref="AK642"/>
    <hyperlink r:id="rId640" ref="AK643"/>
    <hyperlink r:id="rId641" ref="AK644"/>
    <hyperlink r:id="rId642" ref="AK645"/>
    <hyperlink r:id="rId643" ref="AK646"/>
    <hyperlink r:id="rId644" ref="AK647"/>
    <hyperlink r:id="rId645" ref="AK648"/>
    <hyperlink r:id="rId646" location="gid=1943992207" ref="AK649"/>
    <hyperlink r:id="rId647" location="gid=1943992207" ref="AK650"/>
    <hyperlink r:id="rId648" location="gid=1943992207" ref="AK651"/>
    <hyperlink r:id="rId649" location="gid=1943992207" ref="AK652"/>
    <hyperlink r:id="rId650" ref="AK653"/>
    <hyperlink r:id="rId651" ref="AK654"/>
    <hyperlink r:id="rId652" ref="AK655"/>
    <hyperlink r:id="rId653" location="gid=1943992207" ref="AK656"/>
    <hyperlink r:id="rId654" location="gid=1943992207" ref="AK657"/>
    <hyperlink r:id="rId655" location="gid=1943992207" ref="AK658"/>
    <hyperlink r:id="rId656" location="gid=816786987" ref="AK659"/>
    <hyperlink r:id="rId657" location="gid=1943992207" ref="AK660"/>
    <hyperlink r:id="rId658" location="gid=1943992207" ref="AK661"/>
    <hyperlink r:id="rId659" ref="AK662"/>
    <hyperlink r:id="rId660" ref="AK663"/>
    <hyperlink r:id="rId661" location="gid=1943992207" ref="AK664"/>
    <hyperlink r:id="rId662" location="gid=1943992207" ref="AK665"/>
    <hyperlink r:id="rId663" location="gid=1943992207" ref="AK666"/>
    <hyperlink r:id="rId664" location="gid=1943992207" ref="AK667"/>
    <hyperlink r:id="rId665" location="gid=2045543155" ref="AK668"/>
    <hyperlink r:id="rId666" location="gid=1943992207" ref="AK669"/>
    <hyperlink r:id="rId667" location="gid=1943992207" ref="AK670"/>
    <hyperlink r:id="rId668" location="gid=1943992207" ref="AK671"/>
    <hyperlink r:id="rId669" location="gid=83595654" ref="AK672"/>
    <hyperlink r:id="rId670" location="gid=1943992207" ref="AK673"/>
    <hyperlink r:id="rId671" location="gid=1943992207" ref="AK674"/>
    <hyperlink r:id="rId672" location="gid=428529787" ref="AK675"/>
    <hyperlink r:id="rId673" location="gid=1943992207" ref="AK676"/>
    <hyperlink r:id="rId674" location="gid=1943992207" ref="AK677"/>
    <hyperlink r:id="rId675" location="gid=1943992207" ref="AK678"/>
    <hyperlink r:id="rId676" location="gid=1943992207" ref="AK679"/>
    <hyperlink r:id="rId677" location="gid=1943992207" ref="AK680"/>
    <hyperlink r:id="rId678" location="gid=1943992207" ref="AK681"/>
    <hyperlink r:id="rId679" location="gid=1943992207" ref="AK682"/>
    <hyperlink r:id="rId680" location="gid=1847866057" ref="AK683"/>
    <hyperlink r:id="rId681" location="gid=1943992207" ref="AK684"/>
    <hyperlink r:id="rId682" location="gid=1943992207" ref="AK685"/>
    <hyperlink r:id="rId683" location="gid=740236191" ref="AK686"/>
    <hyperlink r:id="rId684" location="gid=1943992207" ref="AK687"/>
    <hyperlink r:id="rId685" location="gid=1943992207" ref="AK688"/>
    <hyperlink r:id="rId686" location="gid=1943992207" ref="AK689"/>
    <hyperlink r:id="rId687" location="gid=1943992207" ref="AK690"/>
    <hyperlink r:id="rId688" location="gid=1943992207" ref="AK691"/>
    <hyperlink r:id="rId689" location="gid=884343288" ref="AK692"/>
    <hyperlink r:id="rId690" location="gid=1943992207" ref="AK693"/>
    <hyperlink r:id="rId691" location="gid=1943992207" ref="AK694"/>
    <hyperlink r:id="rId692" location="gid=1943992207" ref="AK695"/>
    <hyperlink r:id="rId693" location="gid=549087972" ref="AK696"/>
    <hyperlink r:id="rId694" location="gid=1611634088" ref="AK697"/>
    <hyperlink r:id="rId695" location="gid=1943992207" ref="AK698"/>
    <hyperlink r:id="rId696" location="gid=1943992207" ref="AK699"/>
    <hyperlink r:id="rId697" location="gid=1919017343" ref="AK700"/>
    <hyperlink r:id="rId698" location="gid=1943992207" ref="AK701"/>
    <hyperlink r:id="rId699" location="gid=570263742" ref="AK702"/>
    <hyperlink r:id="rId700" location="gid=468833446" ref="AK703"/>
    <hyperlink r:id="rId701" location="gid=1943992207" ref="AK704"/>
    <hyperlink r:id="rId702" location="gid=1943992207" ref="AK705"/>
    <hyperlink r:id="rId703" location="gid=212518030" ref="AK706"/>
    <hyperlink r:id="rId704" location="gid=1943992207" ref="AK707"/>
    <hyperlink r:id="rId705" location="gid=1943992207" ref="AK708"/>
    <hyperlink r:id="rId706" location="gid=1943992207" ref="AK709"/>
    <hyperlink r:id="rId707" location="gid=1943992207" ref="AK710"/>
    <hyperlink r:id="rId708" location="gid=1084666910" ref="AK711"/>
    <hyperlink r:id="rId709" location="gid=197694362" ref="AK712"/>
    <hyperlink r:id="rId710" location="gid=1943992207" ref="AK713"/>
    <hyperlink r:id="rId711" location="gid=1943992207" ref="AK714"/>
    <hyperlink r:id="rId712" location="gid=1943992207" ref="AK715"/>
    <hyperlink r:id="rId713" location="gid=132684364" ref="AK716"/>
    <hyperlink r:id="rId714" location="gid=562218979" ref="AK717"/>
    <hyperlink r:id="rId715" location="gid=1943992207" ref="AK718"/>
    <hyperlink r:id="rId716" location="gid=1943992207" ref="AK719"/>
    <hyperlink r:id="rId717" location="gid=1943992207" ref="AK720"/>
    <hyperlink r:id="rId718" location="gid=54218619" ref="AK721"/>
    <hyperlink r:id="rId719" location="gid=1943992207" ref="AK722"/>
    <hyperlink r:id="rId720" ref="AK723"/>
    <hyperlink r:id="rId721" ref="AK724"/>
    <hyperlink r:id="rId722" location="gid=1943992207" ref="AK725"/>
    <hyperlink r:id="rId723" location="gid=1943992207" ref="AK726"/>
    <hyperlink r:id="rId724" location="gid=1943992207" ref="AK727"/>
    <hyperlink r:id="rId725" location="gid=1943992207" ref="AK728"/>
    <hyperlink r:id="rId726" location="gid=1943992207" ref="AK729"/>
    <hyperlink r:id="rId727" location="gid=1233545549" ref="AK730"/>
    <hyperlink r:id="rId728" location="gid=1621801545" ref="AK731"/>
    <hyperlink r:id="rId729" location="gid=2136265734" ref="AK732"/>
    <hyperlink r:id="rId730" location="gid=1943992207" ref="AK733"/>
    <hyperlink r:id="rId731" location="gid=1943992207" ref="AK734"/>
    <hyperlink r:id="rId732" location="gid=1943992207" ref="AK735"/>
    <hyperlink r:id="rId733" location="gid=1943992207" ref="AK736"/>
    <hyperlink r:id="rId734" location="gid=1943992207" ref="AK737"/>
    <hyperlink r:id="rId735" location="gid=1381478724" ref="AK738"/>
    <hyperlink r:id="rId736" location="gid=1943992207" ref="AK739"/>
    <hyperlink r:id="rId737" location="gid=867008428" ref="AK740"/>
    <hyperlink r:id="rId738" location="gid=1943992207" ref="AK741"/>
    <hyperlink r:id="rId739" location="gid=1851240766" ref="AK742"/>
    <hyperlink r:id="rId740" location="gid=1981348135" ref="AK743"/>
    <hyperlink r:id="rId741" location="gid=74254771" ref="AK744"/>
    <hyperlink r:id="rId742" location="gid=1943992207" ref="AK745"/>
    <hyperlink r:id="rId743" location="gid=1943992207" ref="AK746"/>
    <hyperlink r:id="rId744" location="gid=1943992207" ref="AK747"/>
    <hyperlink r:id="rId745" location="gid=1943992207" ref="AK748"/>
    <hyperlink r:id="rId746" location="gid=559417535" ref="AK749"/>
    <hyperlink r:id="rId747" location="gid=1943992207" ref="AK750"/>
    <hyperlink r:id="rId748" location="gid=1943992207" ref="AK751"/>
    <hyperlink r:id="rId749" location="gid=1943992207" ref="AK752"/>
    <hyperlink r:id="rId750" location="gid=1943992207" ref="AK753"/>
    <hyperlink r:id="rId751" location="gid=1715453197" ref="AK754"/>
    <hyperlink r:id="rId752" location="gid=1943992207" ref="AK755"/>
    <hyperlink r:id="rId753" location="gid=1943992207" ref="AK756"/>
    <hyperlink r:id="rId754" location="gid=397671178" ref="AK757"/>
  </hyperlinks>
  <drawing r:id="rId755"/>
  <legacyDrawing r:id="rId75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3.0" ySplit="2.0" topLeftCell="X3" activePane="bottomRight" state="frozen"/>
      <selection activeCell="X1" sqref="X1" pane="topRight"/>
      <selection activeCell="A3" sqref="A3" pane="bottomLeft"/>
      <selection activeCell="X3" sqref="X3" pane="bottomRight"/>
    </sheetView>
  </sheetViews>
  <sheetFormatPr customHeight="1" defaultColWidth="12.63" defaultRowHeight="15.75" outlineLevelRow="1"/>
  <cols>
    <col customWidth="1" min="1" max="1" width="12.25"/>
    <col customWidth="1" min="2" max="2" width="20.75"/>
    <col customWidth="1" min="3" max="3" width="7.5"/>
    <col customWidth="1" min="4" max="4" width="6.0"/>
    <col customWidth="1" min="5" max="5" width="3.88"/>
    <col customWidth="1" min="6" max="6" width="6.25"/>
    <col customWidth="1" min="7" max="7" width="5.88"/>
    <col customWidth="1" min="8" max="8" width="6.5"/>
    <col customWidth="1" min="9" max="9" width="4.75"/>
    <col customWidth="1" min="10" max="10" width="9.25"/>
    <col customWidth="1" min="11" max="11" width="9.88"/>
    <col customWidth="1" min="12" max="12" width="9.0"/>
    <col customWidth="1" min="13" max="13" width="6.38"/>
    <col customWidth="1" min="14" max="14" width="5.75"/>
    <col customWidth="1" min="15" max="15" width="4.0"/>
    <col hidden="1" min="16" max="20" width="12.63"/>
    <col customWidth="1" min="21" max="21" width="5.5"/>
    <col customWidth="1" min="22" max="22" width="5.88"/>
    <col customWidth="1" min="23" max="23" width="7.38"/>
    <col customWidth="1" min="24" max="24" width="5.13"/>
    <col customWidth="1" min="25" max="25" width="4.25"/>
    <col customWidth="1" min="26" max="26" width="3.88"/>
    <col customWidth="1" min="27" max="27" width="4.63"/>
    <col customWidth="1" min="28" max="28" width="4.75"/>
    <col customWidth="1" hidden="1" min="29" max="29" width="7.38"/>
    <col customWidth="1" hidden="1" min="30" max="31" width="7.5"/>
    <col customWidth="1" hidden="1" min="32" max="32" width="7.88"/>
    <col customWidth="1" hidden="1" min="33" max="33" width="6.13"/>
    <col customWidth="1" hidden="1" min="34" max="34" width="6.63"/>
    <col customWidth="1" hidden="1" min="35" max="65" width="4.38"/>
    <col customWidth="1" hidden="1" min="66" max="99" width="6.13"/>
    <col customWidth="1" hidden="1" min="100" max="100" width="12.88"/>
    <col customWidth="1" hidden="1" min="101" max="105" width="6.63"/>
    <col customWidth="1" hidden="1" min="106" max="136" width="5.75"/>
    <col customWidth="1" hidden="1" min="137" max="142" width="5.63"/>
    <col customWidth="1" hidden="1" min="143" max="172" width="5.13"/>
    <col customWidth="1" hidden="1" min="173" max="178" width="5.63"/>
    <col customWidth="1" hidden="1" min="179" max="203" width="6.63"/>
    <col customWidth="1" hidden="1" min="204" max="205" width="7.13"/>
    <col customWidth="1" hidden="1" min="206" max="209" width="6.63"/>
    <col customWidth="1" hidden="1" min="210" max="210" width="11.25"/>
    <col customWidth="1" hidden="1" min="211" max="245" width="7.5"/>
    <col customWidth="1" hidden="1" min="246" max="282" width="7.0"/>
    <col customWidth="1" hidden="1" min="283" max="288" width="6.0"/>
    <col customWidth="1" hidden="1" min="289" max="319" width="5.0"/>
    <col customWidth="1" min="320" max="355" width="5.0"/>
    <col customWidth="1" hidden="1" min="356" max="465" width="5.0"/>
  </cols>
  <sheetData>
    <row r="1">
      <c r="A1" s="20" t="s">
        <v>38</v>
      </c>
      <c r="B1" s="21"/>
      <c r="C1" s="21"/>
      <c r="D1" s="21"/>
      <c r="E1" s="21"/>
      <c r="F1" s="21"/>
      <c r="G1" s="21"/>
      <c r="H1" s="21"/>
      <c r="I1" s="21"/>
      <c r="J1" s="23">
        <f>today()</f>
        <v>46283</v>
      </c>
      <c r="L1" s="24"/>
      <c r="M1" s="21"/>
      <c r="N1" s="26"/>
      <c r="O1" s="21"/>
      <c r="P1" s="21"/>
      <c r="Q1" s="21"/>
      <c r="R1" s="21"/>
      <c r="S1" s="21"/>
      <c r="T1" s="26"/>
      <c r="U1" s="21"/>
      <c r="V1" s="29"/>
      <c r="W1" s="21"/>
      <c r="X1" s="31"/>
      <c r="Y1" s="32">
        <v>2026.0</v>
      </c>
      <c r="Z1" s="21"/>
      <c r="AA1" s="21"/>
      <c r="AB1" s="21"/>
      <c r="AC1" s="34" t="s">
        <v>56</v>
      </c>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39" t="s">
        <v>66</v>
      </c>
      <c r="BO1" s="40"/>
      <c r="BP1" s="40"/>
      <c r="BQ1" s="40"/>
      <c r="BR1" s="40"/>
      <c r="BS1" s="40"/>
      <c r="BT1" s="21"/>
      <c r="BU1" s="21"/>
      <c r="BV1" s="21"/>
      <c r="BW1" s="21"/>
      <c r="BX1" s="21"/>
      <c r="BY1" s="21"/>
      <c r="BZ1" s="21"/>
      <c r="CA1" s="21"/>
      <c r="CB1" s="21"/>
      <c r="CC1" s="21"/>
      <c r="CD1" s="21"/>
      <c r="CE1" s="21"/>
      <c r="CF1" s="21"/>
      <c r="CG1" s="21"/>
      <c r="CH1" s="42"/>
      <c r="CI1" s="21"/>
      <c r="CJ1" s="21"/>
      <c r="CK1" s="21"/>
      <c r="CL1" s="21"/>
      <c r="CM1" s="21"/>
      <c r="CN1" s="21"/>
      <c r="CO1" s="21"/>
      <c r="CP1" s="21"/>
      <c r="CQ1" s="21"/>
      <c r="CR1" s="21"/>
      <c r="CS1" s="21"/>
      <c r="CT1" s="21"/>
      <c r="CU1" s="21"/>
      <c r="CV1" s="34" t="s">
        <v>80</v>
      </c>
      <c r="CW1" s="21"/>
      <c r="CX1" s="21"/>
      <c r="CY1" s="21"/>
      <c r="CZ1" s="21"/>
      <c r="DA1" s="21"/>
      <c r="DB1" s="21"/>
      <c r="DC1" s="21"/>
      <c r="DD1" s="21"/>
      <c r="DE1" s="21"/>
      <c r="DF1" s="21"/>
      <c r="DG1" s="21"/>
      <c r="DH1" s="21"/>
      <c r="DI1" s="21"/>
      <c r="DJ1" s="21"/>
      <c r="DK1" s="21"/>
      <c r="DL1" s="21"/>
      <c r="DM1" s="47"/>
      <c r="DN1" s="21"/>
      <c r="DO1" s="21"/>
      <c r="DP1" s="21"/>
      <c r="DQ1" s="21"/>
      <c r="DR1" s="21"/>
      <c r="DS1" s="21"/>
      <c r="DT1" s="21"/>
      <c r="DU1" s="51"/>
      <c r="DV1" s="21"/>
      <c r="DW1" s="21"/>
      <c r="DX1" s="21"/>
      <c r="DY1" s="21"/>
      <c r="DZ1" s="21"/>
      <c r="EA1" s="21"/>
      <c r="EB1" s="21"/>
      <c r="EC1" s="21"/>
      <c r="ED1" s="21"/>
      <c r="EE1" s="21"/>
      <c r="EF1" s="21"/>
      <c r="EG1" s="54">
        <v>45748.0</v>
      </c>
      <c r="EH1" s="21"/>
      <c r="EI1" s="21"/>
      <c r="EJ1" s="21"/>
      <c r="EK1" s="21"/>
      <c r="EL1" s="21"/>
      <c r="EM1" s="21"/>
      <c r="EN1" s="21"/>
      <c r="EO1" s="21"/>
      <c r="EP1" s="21"/>
      <c r="EQ1" s="21"/>
      <c r="ER1" s="21"/>
      <c r="ES1" s="21"/>
      <c r="ET1" s="26"/>
      <c r="EU1" s="21"/>
      <c r="EV1" s="26"/>
      <c r="EW1" s="26"/>
      <c r="EX1" s="21"/>
      <c r="EY1" s="26"/>
      <c r="EZ1" s="26"/>
      <c r="FA1" s="26"/>
      <c r="FB1" s="21"/>
      <c r="FC1" s="26"/>
      <c r="FD1" s="26"/>
      <c r="FE1" s="21"/>
      <c r="FF1" s="57"/>
      <c r="FG1" s="26"/>
      <c r="FH1" s="21"/>
      <c r="FI1" s="21"/>
      <c r="FJ1" s="60"/>
      <c r="FK1" s="21"/>
      <c r="FL1" s="21"/>
      <c r="FM1" s="21"/>
      <c r="FN1" s="51"/>
      <c r="FO1" s="21"/>
      <c r="FP1" s="21"/>
      <c r="FQ1" s="63">
        <v>46143.0</v>
      </c>
      <c r="FR1" s="21"/>
      <c r="FS1" s="21"/>
      <c r="FT1" s="21"/>
      <c r="FU1" s="21"/>
      <c r="FV1" s="21"/>
      <c r="FW1" s="45"/>
      <c r="FX1" s="67"/>
      <c r="FY1" s="45"/>
      <c r="FZ1" s="45"/>
      <c r="GA1" s="45"/>
      <c r="GB1" s="69"/>
      <c r="GC1" s="45"/>
      <c r="GD1" s="71"/>
      <c r="GE1" s="71"/>
      <c r="GF1" s="71"/>
      <c r="GG1" s="71"/>
      <c r="GH1" s="71"/>
      <c r="GI1" s="71"/>
      <c r="GJ1" s="45"/>
      <c r="GK1" s="67"/>
      <c r="GL1" s="71"/>
      <c r="GM1" s="71"/>
      <c r="GN1" s="71"/>
      <c r="GO1" s="71"/>
      <c r="GP1" s="71"/>
      <c r="GQ1" s="45"/>
      <c r="GR1" s="71"/>
      <c r="GS1" s="71"/>
      <c r="GT1" s="71"/>
      <c r="GU1" s="71"/>
      <c r="GV1" s="71"/>
      <c r="GW1" s="71"/>
      <c r="GX1" s="45"/>
      <c r="GY1" s="71"/>
      <c r="GZ1" s="71"/>
      <c r="HA1" s="71"/>
      <c r="HB1" s="77">
        <v>46174.0</v>
      </c>
      <c r="HC1" s="40"/>
      <c r="HD1" s="40"/>
      <c r="HE1" s="40"/>
      <c r="HF1" s="40"/>
      <c r="HG1" s="40"/>
      <c r="HH1" s="26"/>
      <c r="HI1" s="26"/>
      <c r="HJ1" s="26"/>
      <c r="HK1" s="21"/>
      <c r="HL1" s="26"/>
      <c r="HM1" s="26"/>
      <c r="HN1" s="26"/>
      <c r="HO1" s="26"/>
      <c r="HP1" s="26"/>
      <c r="HQ1" s="26"/>
      <c r="HR1" s="21"/>
      <c r="HS1" s="26"/>
      <c r="HT1" s="26"/>
      <c r="HU1" s="47"/>
      <c r="HV1" s="26"/>
      <c r="HW1" s="26"/>
      <c r="HX1" s="26"/>
      <c r="HY1" s="26"/>
      <c r="HZ1" s="51"/>
      <c r="IA1" s="26"/>
      <c r="IB1" s="26"/>
      <c r="IC1" s="26"/>
      <c r="ID1" s="26"/>
      <c r="IE1" s="26"/>
      <c r="IF1" s="21"/>
      <c r="IG1" s="26"/>
      <c r="IH1" s="26"/>
      <c r="II1" s="26"/>
      <c r="IJ1" s="26"/>
      <c r="IK1" s="26"/>
      <c r="IL1" s="84">
        <v>46204.0</v>
      </c>
      <c r="IM1" s="88"/>
      <c r="IN1" s="88"/>
      <c r="IO1" s="88"/>
      <c r="IP1" s="88"/>
      <c r="IQ1" s="90"/>
      <c r="IR1" s="26"/>
      <c r="IS1" s="26"/>
      <c r="IT1" s="26"/>
      <c r="IU1" s="26"/>
      <c r="IV1" s="26"/>
      <c r="IW1" s="26"/>
      <c r="IX1" s="26"/>
      <c r="IY1" s="26"/>
      <c r="IZ1" s="26"/>
      <c r="JA1" s="26"/>
      <c r="JB1" s="26"/>
      <c r="JC1" s="26"/>
      <c r="JD1" s="26"/>
      <c r="JE1" s="26"/>
      <c r="JF1" s="51"/>
      <c r="JG1" s="26"/>
      <c r="JH1" s="26"/>
      <c r="JI1" s="26"/>
      <c r="JJ1" s="26"/>
      <c r="JK1" s="26"/>
      <c r="JL1" s="26"/>
      <c r="JM1" s="26"/>
      <c r="JN1" s="26"/>
      <c r="JO1" s="51"/>
      <c r="JP1" s="26"/>
      <c r="JQ1" s="26"/>
      <c r="JR1" s="26"/>
      <c r="JS1" s="26"/>
      <c r="JT1" s="26"/>
      <c r="JU1" s="26"/>
      <c r="JV1" s="26"/>
      <c r="JW1" s="63">
        <v>46235.0</v>
      </c>
      <c r="JX1" s="21"/>
      <c r="JY1" s="21"/>
      <c r="JZ1" s="21"/>
      <c r="KA1" s="21"/>
      <c r="KB1" s="21"/>
      <c r="KC1" s="26"/>
      <c r="KD1" s="26"/>
      <c r="KE1" s="26"/>
      <c r="KF1" s="26"/>
      <c r="KG1" s="21"/>
      <c r="KH1" s="21"/>
      <c r="KI1" s="21"/>
      <c r="KJ1" s="21"/>
      <c r="KK1" s="21"/>
      <c r="KL1" s="21"/>
      <c r="KM1" s="21"/>
      <c r="KN1" s="21"/>
      <c r="KO1" s="21"/>
      <c r="KP1" s="60"/>
      <c r="KQ1" s="21"/>
      <c r="KR1" s="21"/>
      <c r="KS1" s="98"/>
      <c r="KT1" s="21"/>
      <c r="KU1" s="21"/>
      <c r="KV1" s="21"/>
      <c r="KW1" s="21"/>
      <c r="KX1" s="21"/>
      <c r="KY1" s="21"/>
      <c r="KZ1" s="21"/>
      <c r="LA1" s="21"/>
      <c r="LB1" s="21"/>
      <c r="LC1" s="21"/>
      <c r="LD1" s="21"/>
      <c r="LE1" s="21"/>
      <c r="LF1" s="21"/>
      <c r="LG1" s="21"/>
      <c r="LH1" s="63">
        <v>46266.0</v>
      </c>
      <c r="LI1" s="21"/>
      <c r="LJ1" s="21"/>
      <c r="LK1" s="21"/>
      <c r="LL1" s="21"/>
      <c r="LM1" s="21"/>
      <c r="LN1" s="21"/>
      <c r="LO1" s="21"/>
      <c r="LP1" s="21"/>
      <c r="LQ1" s="21"/>
      <c r="LR1" s="21"/>
      <c r="LS1" s="21"/>
      <c r="LT1" s="21"/>
      <c r="LU1" s="21"/>
      <c r="LV1" s="21"/>
      <c r="LW1" s="21"/>
      <c r="LX1" s="26"/>
      <c r="LY1" s="21"/>
      <c r="LZ1" s="26"/>
      <c r="MA1" s="21"/>
      <c r="MB1" s="21"/>
      <c r="MC1" s="21"/>
      <c r="MD1" s="21"/>
      <c r="ME1" s="47"/>
      <c r="MF1" s="26"/>
      <c r="MG1" s="21"/>
      <c r="MH1" s="21"/>
      <c r="MI1" s="21"/>
      <c r="MJ1" s="21"/>
      <c r="MK1" s="21"/>
      <c r="ML1" s="21"/>
      <c r="MM1" s="21"/>
      <c r="MN1" s="21"/>
      <c r="MO1" s="21"/>
      <c r="MP1" s="21"/>
      <c r="MQ1" s="21"/>
      <c r="MR1" s="103">
        <v>46296.0</v>
      </c>
      <c r="MS1" s="21"/>
      <c r="MT1" s="21"/>
      <c r="MU1" s="21"/>
      <c r="MV1" s="21"/>
      <c r="MW1" s="21"/>
      <c r="MX1" s="21"/>
      <c r="MY1" s="21"/>
      <c r="MZ1" s="21"/>
      <c r="NA1" s="21"/>
      <c r="NB1" s="21"/>
      <c r="NC1" s="21"/>
      <c r="ND1" s="21"/>
      <c r="NE1" s="21"/>
      <c r="NF1" s="21"/>
      <c r="NG1" s="26"/>
      <c r="NH1" s="21"/>
      <c r="NI1" s="21"/>
      <c r="NJ1" s="21"/>
      <c r="NK1" s="21"/>
      <c r="NL1" s="21"/>
      <c r="NM1" s="26"/>
      <c r="NN1" s="21"/>
      <c r="NO1" s="21"/>
      <c r="NP1" s="21"/>
      <c r="NQ1" s="21"/>
      <c r="NR1" s="21"/>
      <c r="NS1" s="21"/>
      <c r="NT1" s="21"/>
      <c r="NU1" s="21"/>
      <c r="NV1" s="60"/>
      <c r="NW1" s="21"/>
      <c r="NX1" s="21"/>
      <c r="NY1" s="21"/>
      <c r="NZ1" s="21"/>
      <c r="OA1" s="21"/>
      <c r="OB1" s="21"/>
      <c r="OC1" s="103">
        <v>46327.0</v>
      </c>
      <c r="OD1" s="21"/>
      <c r="OE1" s="21"/>
      <c r="OF1" s="21"/>
      <c r="OG1" s="21"/>
      <c r="OH1" s="21"/>
      <c r="OI1" s="21"/>
      <c r="OJ1" s="21"/>
      <c r="OK1" s="21"/>
      <c r="OL1" s="21"/>
      <c r="OM1" s="21"/>
      <c r="ON1" s="21"/>
      <c r="OO1" s="21"/>
      <c r="OP1" s="21"/>
      <c r="OQ1" s="21"/>
      <c r="OR1" s="26"/>
      <c r="OS1" s="21"/>
      <c r="OT1" s="21"/>
      <c r="OU1" s="21"/>
      <c r="OV1" s="21"/>
      <c r="OW1" s="21"/>
      <c r="OX1" s="21"/>
      <c r="OY1" s="21"/>
      <c r="OZ1" s="21"/>
      <c r="PA1" s="21"/>
      <c r="PB1" s="21"/>
      <c r="PC1" s="21"/>
      <c r="PD1" s="21"/>
      <c r="PE1" s="21"/>
      <c r="PF1" s="21"/>
      <c r="PG1" s="21"/>
      <c r="PH1" s="21"/>
      <c r="PI1" s="21"/>
      <c r="PJ1" s="21"/>
      <c r="PK1" s="21"/>
      <c r="PL1" s="21"/>
      <c r="PM1" s="103">
        <v>46357.0</v>
      </c>
      <c r="PN1" s="21"/>
      <c r="PO1" s="21"/>
      <c r="PP1" s="21"/>
      <c r="PQ1" s="21"/>
      <c r="PR1" s="21"/>
      <c r="PS1" s="21"/>
      <c r="PT1" s="21"/>
      <c r="PU1" s="21"/>
      <c r="PV1" s="21"/>
      <c r="PW1" s="21"/>
      <c r="PX1" s="21"/>
      <c r="PY1" s="21"/>
      <c r="PZ1" s="21"/>
      <c r="QA1" s="26"/>
      <c r="QB1" s="21"/>
      <c r="QC1" s="21"/>
      <c r="QD1" s="21"/>
      <c r="QE1" s="21"/>
      <c r="QF1" s="21"/>
      <c r="QG1" s="21"/>
      <c r="QH1" s="60"/>
      <c r="QI1" s="21"/>
      <c r="QJ1" s="21"/>
      <c r="QK1" s="21"/>
      <c r="QL1" s="21"/>
      <c r="QM1" s="21"/>
      <c r="QN1" s="21"/>
      <c r="QO1" s="21"/>
      <c r="QP1" s="21"/>
      <c r="QQ1" s="21"/>
      <c r="QR1" s="21"/>
      <c r="QS1" s="21"/>
      <c r="QT1" s="21"/>
      <c r="QU1" s="21"/>
      <c r="QV1" s="21"/>
      <c r="QW1" s="21"/>
      <c r="QX1" s="107"/>
    </row>
    <row r="2" ht="70.5" customHeight="1">
      <c r="A2" s="110" t="s">
        <v>96</v>
      </c>
      <c r="B2" s="111" t="s">
        <v>117</v>
      </c>
      <c r="C2" s="111" t="s">
        <v>134</v>
      </c>
      <c r="D2" s="111" t="s">
        <v>125</v>
      </c>
      <c r="E2" s="111" t="s">
        <v>138</v>
      </c>
      <c r="F2" s="111" t="s">
        <v>135</v>
      </c>
      <c r="G2" s="74" t="s">
        <v>121</v>
      </c>
      <c r="H2" s="112" t="s">
        <v>145</v>
      </c>
      <c r="I2" s="113" t="s">
        <v>147</v>
      </c>
      <c r="J2" s="114" t="s">
        <v>148</v>
      </c>
      <c r="K2" s="114" t="s">
        <v>150</v>
      </c>
      <c r="L2" s="114" t="s">
        <v>151</v>
      </c>
      <c r="M2" s="76" t="s">
        <v>153</v>
      </c>
      <c r="N2" s="76" t="s">
        <v>154</v>
      </c>
      <c r="O2" s="76" t="s">
        <v>155</v>
      </c>
      <c r="P2" s="76" t="s">
        <v>156</v>
      </c>
      <c r="Q2" s="76" t="s">
        <v>158</v>
      </c>
      <c r="R2" s="76" t="s">
        <v>159</v>
      </c>
      <c r="S2" s="76" t="s">
        <v>160</v>
      </c>
      <c r="T2" s="76" t="s">
        <v>161</v>
      </c>
      <c r="U2" s="80" t="s">
        <v>162</v>
      </c>
      <c r="V2" s="115" t="s">
        <v>165</v>
      </c>
      <c r="W2" s="76" t="s">
        <v>166</v>
      </c>
      <c r="X2" s="82" t="s">
        <v>275</v>
      </c>
      <c r="Y2" s="82" t="s">
        <v>275</v>
      </c>
      <c r="Z2" s="116" t="s">
        <v>277</v>
      </c>
      <c r="AA2" s="116" t="s">
        <v>278</v>
      </c>
      <c r="AB2" s="116" t="s">
        <v>279</v>
      </c>
      <c r="AC2" s="117" t="s">
        <v>281</v>
      </c>
      <c r="AD2" s="117" t="s">
        <v>282</v>
      </c>
      <c r="AE2" s="117" t="s">
        <v>284</v>
      </c>
      <c r="AF2" s="117" t="s">
        <v>285</v>
      </c>
      <c r="AG2" s="117" t="s">
        <v>286</v>
      </c>
      <c r="AH2" s="117" t="s">
        <v>287</v>
      </c>
      <c r="AI2" s="118">
        <v>46023.0</v>
      </c>
      <c r="AJ2" s="120">
        <v>46024.0</v>
      </c>
      <c r="AK2" s="120">
        <v>46025.0</v>
      </c>
      <c r="AL2" s="120">
        <v>46026.0</v>
      </c>
      <c r="AM2" s="120">
        <v>46027.0</v>
      </c>
      <c r="AN2" s="120">
        <v>46028.0</v>
      </c>
      <c r="AO2" s="120">
        <v>46029.0</v>
      </c>
      <c r="AP2" s="120">
        <v>46030.0</v>
      </c>
      <c r="AQ2" s="120">
        <v>46031.0</v>
      </c>
      <c r="AR2" s="120">
        <v>46032.0</v>
      </c>
      <c r="AS2" s="120">
        <v>46033.0</v>
      </c>
      <c r="AT2" s="120">
        <v>46034.0</v>
      </c>
      <c r="AU2" s="120">
        <v>46035.0</v>
      </c>
      <c r="AV2" s="120">
        <v>46036.0</v>
      </c>
      <c r="AW2" s="120">
        <v>46037.0</v>
      </c>
      <c r="AX2" s="120">
        <v>46038.0</v>
      </c>
      <c r="AY2" s="120">
        <v>46039.0</v>
      </c>
      <c r="AZ2" s="120">
        <v>46040.0</v>
      </c>
      <c r="BA2" s="120">
        <v>46041.0</v>
      </c>
      <c r="BB2" s="120">
        <v>46042.0</v>
      </c>
      <c r="BC2" s="120">
        <v>46043.0</v>
      </c>
      <c r="BD2" s="120">
        <v>46044.0</v>
      </c>
      <c r="BE2" s="120">
        <v>46045.0</v>
      </c>
      <c r="BF2" s="120">
        <v>46046.0</v>
      </c>
      <c r="BG2" s="120">
        <v>46047.0</v>
      </c>
      <c r="BH2" s="120">
        <v>46048.0</v>
      </c>
      <c r="BI2" s="120">
        <v>46049.0</v>
      </c>
      <c r="BJ2" s="120">
        <v>46050.0</v>
      </c>
      <c r="BK2" s="120">
        <v>46051.0</v>
      </c>
      <c r="BL2" s="120">
        <v>46052.0</v>
      </c>
      <c r="BM2" s="120">
        <v>46053.0</v>
      </c>
      <c r="BN2" s="124" t="s">
        <v>281</v>
      </c>
      <c r="BO2" s="124" t="s">
        <v>282</v>
      </c>
      <c r="BP2" s="124" t="s">
        <v>284</v>
      </c>
      <c r="BQ2" s="124" t="s">
        <v>285</v>
      </c>
      <c r="BR2" s="124" t="s">
        <v>286</v>
      </c>
      <c r="BS2" s="124" t="s">
        <v>287</v>
      </c>
      <c r="BT2" s="118">
        <v>46054.0</v>
      </c>
      <c r="BU2" s="120">
        <v>46055.0</v>
      </c>
      <c r="BV2" s="120">
        <v>46056.0</v>
      </c>
      <c r="BW2" s="120">
        <v>46057.0</v>
      </c>
      <c r="BX2" s="120">
        <v>46058.0</v>
      </c>
      <c r="BY2" s="120">
        <v>46059.0</v>
      </c>
      <c r="BZ2" s="120">
        <v>46060.0</v>
      </c>
      <c r="CA2" s="120">
        <v>46061.0</v>
      </c>
      <c r="CB2" s="120">
        <v>46062.0</v>
      </c>
      <c r="CC2" s="120">
        <v>46063.0</v>
      </c>
      <c r="CD2" s="120">
        <v>46064.0</v>
      </c>
      <c r="CE2" s="120">
        <v>46065.0</v>
      </c>
      <c r="CF2" s="120">
        <v>46066.0</v>
      </c>
      <c r="CG2" s="120">
        <v>46067.0</v>
      </c>
      <c r="CH2" s="120">
        <v>46068.0</v>
      </c>
      <c r="CI2" s="120">
        <v>46069.0</v>
      </c>
      <c r="CJ2" s="120">
        <v>46070.0</v>
      </c>
      <c r="CK2" s="120">
        <v>46071.0</v>
      </c>
      <c r="CL2" s="120">
        <v>46072.0</v>
      </c>
      <c r="CM2" s="120">
        <v>46073.0</v>
      </c>
      <c r="CN2" s="120">
        <v>46074.0</v>
      </c>
      <c r="CO2" s="120">
        <v>46075.0</v>
      </c>
      <c r="CP2" s="120">
        <v>46076.0</v>
      </c>
      <c r="CQ2" s="120">
        <v>46077.0</v>
      </c>
      <c r="CR2" s="120">
        <v>46078.0</v>
      </c>
      <c r="CS2" s="120">
        <v>46079.0</v>
      </c>
      <c r="CT2" s="120">
        <v>46080.0</v>
      </c>
      <c r="CU2" s="120">
        <v>46081.0</v>
      </c>
      <c r="CV2" s="117" t="s">
        <v>281</v>
      </c>
      <c r="CW2" s="117" t="s">
        <v>282</v>
      </c>
      <c r="CX2" s="117" t="s">
        <v>284</v>
      </c>
      <c r="CY2" s="117" t="s">
        <v>285</v>
      </c>
      <c r="CZ2" s="117" t="s">
        <v>286</v>
      </c>
      <c r="DA2" s="117" t="s">
        <v>287</v>
      </c>
      <c r="DB2" s="118">
        <v>46082.0</v>
      </c>
      <c r="DC2" s="118">
        <v>46083.0</v>
      </c>
      <c r="DD2" s="118">
        <v>46084.0</v>
      </c>
      <c r="DE2" s="118">
        <v>46085.0</v>
      </c>
      <c r="DF2" s="118">
        <v>46086.0</v>
      </c>
      <c r="DG2" s="118">
        <v>46087.0</v>
      </c>
      <c r="DH2" s="118">
        <v>46088.0</v>
      </c>
      <c r="DI2" s="118">
        <v>46089.0</v>
      </c>
      <c r="DJ2" s="118">
        <v>46090.0</v>
      </c>
      <c r="DK2" s="118">
        <v>46091.0</v>
      </c>
      <c r="DL2" s="118">
        <v>46092.0</v>
      </c>
      <c r="DM2" s="118">
        <v>46093.0</v>
      </c>
      <c r="DN2" s="118">
        <v>46094.0</v>
      </c>
      <c r="DO2" s="118">
        <v>46095.0</v>
      </c>
      <c r="DP2" s="118">
        <v>46096.0</v>
      </c>
      <c r="DQ2" s="118">
        <v>46097.0</v>
      </c>
      <c r="DR2" s="118">
        <v>46098.0</v>
      </c>
      <c r="DS2" s="118">
        <v>46099.0</v>
      </c>
      <c r="DT2" s="118">
        <v>46100.0</v>
      </c>
      <c r="DU2" s="118">
        <v>46101.0</v>
      </c>
      <c r="DV2" s="118">
        <v>46102.0</v>
      </c>
      <c r="DW2" s="118">
        <v>46103.0</v>
      </c>
      <c r="DX2" s="118">
        <v>46104.0</v>
      </c>
      <c r="DY2" s="118">
        <v>46105.0</v>
      </c>
      <c r="DZ2" s="118">
        <v>46106.0</v>
      </c>
      <c r="EA2" s="118">
        <v>46107.0</v>
      </c>
      <c r="EB2" s="118">
        <v>46108.0</v>
      </c>
      <c r="EC2" s="118">
        <v>46109.0</v>
      </c>
      <c r="ED2" s="118">
        <v>46110.0</v>
      </c>
      <c r="EE2" s="118">
        <v>46111.0</v>
      </c>
      <c r="EF2" s="118">
        <v>46112.0</v>
      </c>
      <c r="EG2" s="117" t="s">
        <v>281</v>
      </c>
      <c r="EH2" s="117" t="s">
        <v>282</v>
      </c>
      <c r="EI2" s="117" t="s">
        <v>284</v>
      </c>
      <c r="EJ2" s="117" t="s">
        <v>285</v>
      </c>
      <c r="EK2" s="117" t="s">
        <v>286</v>
      </c>
      <c r="EL2" s="117" t="s">
        <v>287</v>
      </c>
      <c r="EM2" s="118">
        <v>46113.0</v>
      </c>
      <c r="EN2" s="120">
        <v>46114.0</v>
      </c>
      <c r="EO2" s="120">
        <v>46115.0</v>
      </c>
      <c r="EP2" s="120">
        <v>46116.0</v>
      </c>
      <c r="EQ2" s="120">
        <v>46117.0</v>
      </c>
      <c r="ER2" s="120">
        <v>46118.0</v>
      </c>
      <c r="ES2" s="120">
        <v>46119.0</v>
      </c>
      <c r="ET2" s="120">
        <v>46120.0</v>
      </c>
      <c r="EU2" s="120">
        <v>46121.0</v>
      </c>
      <c r="EV2" s="120">
        <v>46122.0</v>
      </c>
      <c r="EW2" s="120">
        <v>46123.0</v>
      </c>
      <c r="EX2" s="120">
        <v>46124.0</v>
      </c>
      <c r="EY2" s="120">
        <v>46125.0</v>
      </c>
      <c r="EZ2" s="120">
        <v>46126.0</v>
      </c>
      <c r="FA2" s="120">
        <v>46127.0</v>
      </c>
      <c r="FB2" s="120">
        <v>46128.0</v>
      </c>
      <c r="FC2" s="120">
        <v>46129.0</v>
      </c>
      <c r="FD2" s="120">
        <v>46130.0</v>
      </c>
      <c r="FE2" s="120">
        <v>46131.0</v>
      </c>
      <c r="FF2" s="120">
        <v>46132.0</v>
      </c>
      <c r="FG2" s="120">
        <v>46133.0</v>
      </c>
      <c r="FH2" s="120">
        <v>46134.0</v>
      </c>
      <c r="FI2" s="120">
        <v>46135.0</v>
      </c>
      <c r="FJ2" s="120">
        <v>46136.0</v>
      </c>
      <c r="FK2" s="120">
        <v>46137.0</v>
      </c>
      <c r="FL2" s="120">
        <v>46138.0</v>
      </c>
      <c r="FM2" s="120">
        <v>46139.0</v>
      </c>
      <c r="FN2" s="120">
        <v>46140.0</v>
      </c>
      <c r="FO2" s="120">
        <v>46141.0</v>
      </c>
      <c r="FP2" s="120">
        <v>46142.0</v>
      </c>
      <c r="FQ2" s="117" t="s">
        <v>281</v>
      </c>
      <c r="FR2" s="117" t="s">
        <v>282</v>
      </c>
      <c r="FS2" s="117" t="s">
        <v>284</v>
      </c>
      <c r="FT2" s="117" t="s">
        <v>285</v>
      </c>
      <c r="FU2" s="117" t="s">
        <v>286</v>
      </c>
      <c r="FV2" s="117" t="s">
        <v>287</v>
      </c>
      <c r="FW2" s="127">
        <v>46143.0</v>
      </c>
      <c r="FX2" s="128">
        <v>46144.0</v>
      </c>
      <c r="FY2" s="128">
        <v>46145.0</v>
      </c>
      <c r="FZ2" s="128">
        <v>46146.0</v>
      </c>
      <c r="GA2" s="128">
        <v>46147.0</v>
      </c>
      <c r="GB2" s="128">
        <v>46148.0</v>
      </c>
      <c r="GC2" s="128">
        <v>46149.0</v>
      </c>
      <c r="GD2" s="128">
        <v>46150.0</v>
      </c>
      <c r="GE2" s="128">
        <v>46151.0</v>
      </c>
      <c r="GF2" s="128">
        <v>46152.0</v>
      </c>
      <c r="GG2" s="128">
        <v>46153.0</v>
      </c>
      <c r="GH2" s="128">
        <v>46154.0</v>
      </c>
      <c r="GI2" s="128">
        <v>46155.0</v>
      </c>
      <c r="GJ2" s="128">
        <v>46156.0</v>
      </c>
      <c r="GK2" s="128">
        <v>46157.0</v>
      </c>
      <c r="GL2" s="128">
        <v>46158.0</v>
      </c>
      <c r="GM2" s="128">
        <v>46159.0</v>
      </c>
      <c r="GN2" s="128">
        <v>46160.0</v>
      </c>
      <c r="GO2" s="128">
        <v>46161.0</v>
      </c>
      <c r="GP2" s="130">
        <v>46162.0</v>
      </c>
      <c r="GQ2" s="128">
        <v>46163.0</v>
      </c>
      <c r="GR2" s="128">
        <v>46164.0</v>
      </c>
      <c r="GS2" s="128">
        <v>46165.0</v>
      </c>
      <c r="GT2" s="128">
        <v>46166.0</v>
      </c>
      <c r="GU2" s="128">
        <v>46167.0</v>
      </c>
      <c r="GV2" s="128">
        <v>46168.0</v>
      </c>
      <c r="GW2" s="128">
        <v>46169.0</v>
      </c>
      <c r="GX2" s="128">
        <v>46170.0</v>
      </c>
      <c r="GY2" s="128">
        <v>46171.0</v>
      </c>
      <c r="GZ2" s="128">
        <v>46172.0</v>
      </c>
      <c r="HA2" s="128">
        <v>46173.0</v>
      </c>
      <c r="HB2" s="124" t="s">
        <v>281</v>
      </c>
      <c r="HC2" s="124" t="s">
        <v>282</v>
      </c>
      <c r="HD2" s="124" t="s">
        <v>284</v>
      </c>
      <c r="HE2" s="124" t="s">
        <v>285</v>
      </c>
      <c r="HF2" s="124" t="s">
        <v>286</v>
      </c>
      <c r="HG2" s="124" t="s">
        <v>287</v>
      </c>
      <c r="HH2" s="118">
        <v>46174.0</v>
      </c>
      <c r="HI2" s="120">
        <v>46175.0</v>
      </c>
      <c r="HJ2" s="120">
        <v>46176.0</v>
      </c>
      <c r="HK2" s="120">
        <v>46177.0</v>
      </c>
      <c r="HL2" s="120">
        <v>46178.0</v>
      </c>
      <c r="HM2" s="120">
        <v>46179.0</v>
      </c>
      <c r="HN2" s="120">
        <v>46180.0</v>
      </c>
      <c r="HO2" s="120">
        <v>46181.0</v>
      </c>
      <c r="HP2" s="120">
        <v>46182.0</v>
      </c>
      <c r="HQ2" s="120">
        <v>46183.0</v>
      </c>
      <c r="HR2" s="120">
        <v>46184.0</v>
      </c>
      <c r="HS2" s="120">
        <v>46185.0</v>
      </c>
      <c r="HT2" s="120">
        <v>46186.0</v>
      </c>
      <c r="HU2" s="120">
        <v>46187.0</v>
      </c>
      <c r="HV2" s="120">
        <v>46188.0</v>
      </c>
      <c r="HW2" s="120">
        <v>46189.0</v>
      </c>
      <c r="HX2" s="120">
        <v>46190.0</v>
      </c>
      <c r="HY2" s="120">
        <v>46191.0</v>
      </c>
      <c r="HZ2" s="120">
        <v>46192.0</v>
      </c>
      <c r="IA2" s="120">
        <v>46193.0</v>
      </c>
      <c r="IB2" s="120">
        <v>46194.0</v>
      </c>
      <c r="IC2" s="120">
        <v>46195.0</v>
      </c>
      <c r="ID2" s="120">
        <v>46196.0</v>
      </c>
      <c r="IE2" s="120">
        <v>46197.0</v>
      </c>
      <c r="IF2" s="120">
        <v>46198.0</v>
      </c>
      <c r="IG2" s="120">
        <v>46199.0</v>
      </c>
      <c r="IH2" s="120">
        <v>46200.0</v>
      </c>
      <c r="II2" s="120">
        <v>46201.0</v>
      </c>
      <c r="IJ2" s="120">
        <v>46202.0</v>
      </c>
      <c r="IK2" s="120">
        <v>46203.0</v>
      </c>
      <c r="IL2" s="134" t="s">
        <v>281</v>
      </c>
      <c r="IM2" s="117" t="s">
        <v>282</v>
      </c>
      <c r="IN2" s="117" t="s">
        <v>284</v>
      </c>
      <c r="IO2" s="117" t="s">
        <v>285</v>
      </c>
      <c r="IP2" s="117" t="s">
        <v>286</v>
      </c>
      <c r="IQ2" s="135" t="s">
        <v>287</v>
      </c>
      <c r="IR2" s="118">
        <v>46204.0</v>
      </c>
      <c r="IS2" s="120">
        <v>46205.0</v>
      </c>
      <c r="IT2" s="120">
        <v>46206.0</v>
      </c>
      <c r="IU2" s="120">
        <v>46207.0</v>
      </c>
      <c r="IV2" s="120">
        <v>46208.0</v>
      </c>
      <c r="IW2" s="120">
        <v>46209.0</v>
      </c>
      <c r="IX2" s="120">
        <v>46210.0</v>
      </c>
      <c r="IY2" s="120">
        <v>46211.0</v>
      </c>
      <c r="IZ2" s="120">
        <v>46212.0</v>
      </c>
      <c r="JA2" s="120">
        <v>46213.0</v>
      </c>
      <c r="JB2" s="120">
        <v>46214.0</v>
      </c>
      <c r="JC2" s="120">
        <v>46215.0</v>
      </c>
      <c r="JD2" s="120">
        <v>46216.0</v>
      </c>
      <c r="JE2" s="120">
        <v>46217.0</v>
      </c>
      <c r="JF2" s="120">
        <v>46218.0</v>
      </c>
      <c r="JG2" s="120">
        <v>46219.0</v>
      </c>
      <c r="JH2" s="136">
        <v>46220.0</v>
      </c>
      <c r="JI2" s="120">
        <v>46221.0</v>
      </c>
      <c r="JJ2" s="120">
        <v>46222.0</v>
      </c>
      <c r="JK2" s="120">
        <v>46223.0</v>
      </c>
      <c r="JL2" s="120">
        <v>46224.0</v>
      </c>
      <c r="JM2" s="120">
        <v>46225.0</v>
      </c>
      <c r="JN2" s="120">
        <v>46226.0</v>
      </c>
      <c r="JO2" s="120">
        <v>46227.0</v>
      </c>
      <c r="JP2" s="120">
        <v>46228.0</v>
      </c>
      <c r="JQ2" s="120">
        <v>46229.0</v>
      </c>
      <c r="JR2" s="120">
        <v>46230.0</v>
      </c>
      <c r="JS2" s="120">
        <v>46231.0</v>
      </c>
      <c r="JT2" s="120">
        <v>46232.0</v>
      </c>
      <c r="JU2" s="120">
        <v>46233.0</v>
      </c>
      <c r="JV2" s="120">
        <v>46234.0</v>
      </c>
      <c r="JW2" s="117" t="s">
        <v>281</v>
      </c>
      <c r="JX2" s="117" t="s">
        <v>282</v>
      </c>
      <c r="JY2" s="117" t="s">
        <v>284</v>
      </c>
      <c r="JZ2" s="117" t="s">
        <v>285</v>
      </c>
      <c r="KA2" s="117" t="s">
        <v>286</v>
      </c>
      <c r="KB2" s="117" t="s">
        <v>287</v>
      </c>
      <c r="KC2" s="118">
        <v>46235.0</v>
      </c>
      <c r="KD2" s="120">
        <v>46236.0</v>
      </c>
      <c r="KE2" s="120">
        <v>46237.0</v>
      </c>
      <c r="KF2" s="120">
        <v>46238.0</v>
      </c>
      <c r="KG2" s="120">
        <v>46239.0</v>
      </c>
      <c r="KH2" s="120">
        <v>46240.0</v>
      </c>
      <c r="KI2" s="120">
        <v>46241.0</v>
      </c>
      <c r="KJ2" s="120">
        <v>46242.0</v>
      </c>
      <c r="KK2" s="120">
        <v>46243.0</v>
      </c>
      <c r="KL2" s="120">
        <v>46244.0</v>
      </c>
      <c r="KM2" s="120">
        <v>46245.0</v>
      </c>
      <c r="KN2" s="120">
        <v>46246.0</v>
      </c>
      <c r="KO2" s="120">
        <v>46247.0</v>
      </c>
      <c r="KP2" s="120">
        <v>46248.0</v>
      </c>
      <c r="KQ2" s="120">
        <v>46249.0</v>
      </c>
      <c r="KR2" s="120">
        <v>46250.0</v>
      </c>
      <c r="KS2" s="137">
        <v>46251.0</v>
      </c>
      <c r="KT2" s="120">
        <v>46252.0</v>
      </c>
      <c r="KU2" s="120">
        <v>46253.0</v>
      </c>
      <c r="KV2" s="120">
        <v>46254.0</v>
      </c>
      <c r="KW2" s="120">
        <v>46255.0</v>
      </c>
      <c r="KX2" s="120">
        <v>46256.0</v>
      </c>
      <c r="KY2" s="120">
        <v>46257.0</v>
      </c>
      <c r="KZ2" s="120">
        <v>46258.0</v>
      </c>
      <c r="LA2" s="120">
        <v>46259.0</v>
      </c>
      <c r="LB2" s="120">
        <v>46260.0</v>
      </c>
      <c r="LC2" s="120">
        <v>46261.0</v>
      </c>
      <c r="LD2" s="120">
        <v>46262.0</v>
      </c>
      <c r="LE2" s="120">
        <v>46263.0</v>
      </c>
      <c r="LF2" s="120">
        <v>46264.0</v>
      </c>
      <c r="LG2" s="120">
        <v>46265.0</v>
      </c>
      <c r="LH2" s="117" t="s">
        <v>281</v>
      </c>
      <c r="LI2" s="117" t="s">
        <v>282</v>
      </c>
      <c r="LJ2" s="117" t="s">
        <v>284</v>
      </c>
      <c r="LK2" s="117" t="s">
        <v>285</v>
      </c>
      <c r="LL2" s="117" t="s">
        <v>286</v>
      </c>
      <c r="LM2" s="117" t="s">
        <v>287</v>
      </c>
      <c r="LN2" s="118">
        <v>46266.0</v>
      </c>
      <c r="LO2" s="120">
        <f t="shared" ref="LO2:MQ2" si="1">LN2+1</f>
        <v>46267</v>
      </c>
      <c r="LP2" s="120">
        <f t="shared" si="1"/>
        <v>46268</v>
      </c>
      <c r="LQ2" s="120">
        <f t="shared" si="1"/>
        <v>46269</v>
      </c>
      <c r="LR2" s="120">
        <f t="shared" si="1"/>
        <v>46270</v>
      </c>
      <c r="LS2" s="120">
        <f t="shared" si="1"/>
        <v>46271</v>
      </c>
      <c r="LT2" s="120">
        <f t="shared" si="1"/>
        <v>46272</v>
      </c>
      <c r="LU2" s="120">
        <f t="shared" si="1"/>
        <v>46273</v>
      </c>
      <c r="LV2" s="120">
        <f t="shared" si="1"/>
        <v>46274</v>
      </c>
      <c r="LW2" s="120">
        <f t="shared" si="1"/>
        <v>46275</v>
      </c>
      <c r="LX2" s="120">
        <f t="shared" si="1"/>
        <v>46276</v>
      </c>
      <c r="LY2" s="120">
        <f t="shared" si="1"/>
        <v>46277</v>
      </c>
      <c r="LZ2" s="120">
        <f t="shared" si="1"/>
        <v>46278</v>
      </c>
      <c r="MA2" s="120">
        <f t="shared" si="1"/>
        <v>46279</v>
      </c>
      <c r="MB2" s="120">
        <f t="shared" si="1"/>
        <v>46280</v>
      </c>
      <c r="MC2" s="120">
        <f t="shared" si="1"/>
        <v>46281</v>
      </c>
      <c r="MD2" s="120">
        <f t="shared" si="1"/>
        <v>46282</v>
      </c>
      <c r="ME2" s="120">
        <f t="shared" si="1"/>
        <v>46283</v>
      </c>
      <c r="MF2" s="120">
        <f t="shared" si="1"/>
        <v>46284</v>
      </c>
      <c r="MG2" s="120">
        <f t="shared" si="1"/>
        <v>46285</v>
      </c>
      <c r="MH2" s="120">
        <f t="shared" si="1"/>
        <v>46286</v>
      </c>
      <c r="MI2" s="120">
        <f t="shared" si="1"/>
        <v>46287</v>
      </c>
      <c r="MJ2" s="120">
        <f t="shared" si="1"/>
        <v>46288</v>
      </c>
      <c r="MK2" s="120">
        <f t="shared" si="1"/>
        <v>46289</v>
      </c>
      <c r="ML2" s="120">
        <f t="shared" si="1"/>
        <v>46290</v>
      </c>
      <c r="MM2" s="120">
        <f t="shared" si="1"/>
        <v>46291</v>
      </c>
      <c r="MN2" s="120">
        <f t="shared" si="1"/>
        <v>46292</v>
      </c>
      <c r="MO2" s="120">
        <f t="shared" si="1"/>
        <v>46293</v>
      </c>
      <c r="MP2" s="120">
        <f t="shared" si="1"/>
        <v>46294</v>
      </c>
      <c r="MQ2" s="120">
        <f t="shared" si="1"/>
        <v>46295</v>
      </c>
      <c r="MR2" s="117" t="s">
        <v>281</v>
      </c>
      <c r="MS2" s="117" t="s">
        <v>282</v>
      </c>
      <c r="MT2" s="117" t="s">
        <v>284</v>
      </c>
      <c r="MU2" s="117" t="s">
        <v>285</v>
      </c>
      <c r="MV2" s="117" t="s">
        <v>286</v>
      </c>
      <c r="MW2" s="117" t="s">
        <v>287</v>
      </c>
      <c r="MX2" s="118">
        <v>46296.0</v>
      </c>
      <c r="MY2" s="120">
        <f t="shared" ref="MY2:OB2" si="2">MX2+1</f>
        <v>46297</v>
      </c>
      <c r="MZ2" s="120">
        <f t="shared" si="2"/>
        <v>46298</v>
      </c>
      <c r="NA2" s="120">
        <f t="shared" si="2"/>
        <v>46299</v>
      </c>
      <c r="NB2" s="120">
        <f t="shared" si="2"/>
        <v>46300</v>
      </c>
      <c r="NC2" s="120">
        <f t="shared" si="2"/>
        <v>46301</v>
      </c>
      <c r="ND2" s="120">
        <f t="shared" si="2"/>
        <v>46302</v>
      </c>
      <c r="NE2" s="120">
        <f t="shared" si="2"/>
        <v>46303</v>
      </c>
      <c r="NF2" s="120">
        <f t="shared" si="2"/>
        <v>46304</v>
      </c>
      <c r="NG2" s="120">
        <f t="shared" si="2"/>
        <v>46305</v>
      </c>
      <c r="NH2" s="120">
        <f t="shared" si="2"/>
        <v>46306</v>
      </c>
      <c r="NI2" s="120">
        <f t="shared" si="2"/>
        <v>46307</v>
      </c>
      <c r="NJ2" s="120">
        <f t="shared" si="2"/>
        <v>46308</v>
      </c>
      <c r="NK2" s="120">
        <f t="shared" si="2"/>
        <v>46309</v>
      </c>
      <c r="NL2" s="120">
        <f t="shared" si="2"/>
        <v>46310</v>
      </c>
      <c r="NM2" s="120">
        <f t="shared" si="2"/>
        <v>46311</v>
      </c>
      <c r="NN2" s="120">
        <f t="shared" si="2"/>
        <v>46312</v>
      </c>
      <c r="NO2" s="120">
        <f t="shared" si="2"/>
        <v>46313</v>
      </c>
      <c r="NP2" s="120">
        <f t="shared" si="2"/>
        <v>46314</v>
      </c>
      <c r="NQ2" s="120">
        <f t="shared" si="2"/>
        <v>46315</v>
      </c>
      <c r="NR2" s="120">
        <f t="shared" si="2"/>
        <v>46316</v>
      </c>
      <c r="NS2" s="120">
        <f t="shared" si="2"/>
        <v>46317</v>
      </c>
      <c r="NT2" s="120">
        <f t="shared" si="2"/>
        <v>46318</v>
      </c>
      <c r="NU2" s="120">
        <f t="shared" si="2"/>
        <v>46319</v>
      </c>
      <c r="NV2" s="120">
        <f t="shared" si="2"/>
        <v>46320</v>
      </c>
      <c r="NW2" s="120">
        <f t="shared" si="2"/>
        <v>46321</v>
      </c>
      <c r="NX2" s="120">
        <f t="shared" si="2"/>
        <v>46322</v>
      </c>
      <c r="NY2" s="120">
        <f t="shared" si="2"/>
        <v>46323</v>
      </c>
      <c r="NZ2" s="120">
        <f t="shared" si="2"/>
        <v>46324</v>
      </c>
      <c r="OA2" s="120">
        <f t="shared" si="2"/>
        <v>46325</v>
      </c>
      <c r="OB2" s="120">
        <f t="shared" si="2"/>
        <v>46326</v>
      </c>
      <c r="OC2" s="117" t="s">
        <v>281</v>
      </c>
      <c r="OD2" s="117" t="s">
        <v>282</v>
      </c>
      <c r="OE2" s="117" t="s">
        <v>284</v>
      </c>
      <c r="OF2" s="117" t="s">
        <v>285</v>
      </c>
      <c r="OG2" s="117" t="s">
        <v>286</v>
      </c>
      <c r="OH2" s="117" t="s">
        <v>287</v>
      </c>
      <c r="OI2" s="118">
        <v>46327.0</v>
      </c>
      <c r="OJ2" s="120">
        <f t="shared" ref="OJ2:PL2" si="3">OI2+1</f>
        <v>46328</v>
      </c>
      <c r="OK2" s="120">
        <f t="shared" si="3"/>
        <v>46329</v>
      </c>
      <c r="OL2" s="120">
        <f t="shared" si="3"/>
        <v>46330</v>
      </c>
      <c r="OM2" s="120">
        <f t="shared" si="3"/>
        <v>46331</v>
      </c>
      <c r="ON2" s="120">
        <f t="shared" si="3"/>
        <v>46332</v>
      </c>
      <c r="OO2" s="120">
        <f t="shared" si="3"/>
        <v>46333</v>
      </c>
      <c r="OP2" s="120">
        <f t="shared" si="3"/>
        <v>46334</v>
      </c>
      <c r="OQ2" s="120">
        <f t="shared" si="3"/>
        <v>46335</v>
      </c>
      <c r="OR2" s="120">
        <f t="shared" si="3"/>
        <v>46336</v>
      </c>
      <c r="OS2" s="120">
        <f t="shared" si="3"/>
        <v>46337</v>
      </c>
      <c r="OT2" s="120">
        <f t="shared" si="3"/>
        <v>46338</v>
      </c>
      <c r="OU2" s="120">
        <f t="shared" si="3"/>
        <v>46339</v>
      </c>
      <c r="OV2" s="120">
        <f t="shared" si="3"/>
        <v>46340</v>
      </c>
      <c r="OW2" s="120">
        <f t="shared" si="3"/>
        <v>46341</v>
      </c>
      <c r="OX2" s="120">
        <f t="shared" si="3"/>
        <v>46342</v>
      </c>
      <c r="OY2" s="120">
        <f t="shared" si="3"/>
        <v>46343</v>
      </c>
      <c r="OZ2" s="120">
        <f t="shared" si="3"/>
        <v>46344</v>
      </c>
      <c r="PA2" s="120">
        <f t="shared" si="3"/>
        <v>46345</v>
      </c>
      <c r="PB2" s="120">
        <f t="shared" si="3"/>
        <v>46346</v>
      </c>
      <c r="PC2" s="120">
        <f t="shared" si="3"/>
        <v>46347</v>
      </c>
      <c r="PD2" s="120">
        <f t="shared" si="3"/>
        <v>46348</v>
      </c>
      <c r="PE2" s="120">
        <f t="shared" si="3"/>
        <v>46349</v>
      </c>
      <c r="PF2" s="120">
        <f t="shared" si="3"/>
        <v>46350</v>
      </c>
      <c r="PG2" s="120">
        <f t="shared" si="3"/>
        <v>46351</v>
      </c>
      <c r="PH2" s="120">
        <f t="shared" si="3"/>
        <v>46352</v>
      </c>
      <c r="PI2" s="120">
        <f t="shared" si="3"/>
        <v>46353</v>
      </c>
      <c r="PJ2" s="120">
        <f t="shared" si="3"/>
        <v>46354</v>
      </c>
      <c r="PK2" s="120">
        <f t="shared" si="3"/>
        <v>46355</v>
      </c>
      <c r="PL2" s="120">
        <f t="shared" si="3"/>
        <v>46356</v>
      </c>
      <c r="PM2" s="117" t="s">
        <v>281</v>
      </c>
      <c r="PN2" s="117" t="s">
        <v>282</v>
      </c>
      <c r="PO2" s="117" t="s">
        <v>284</v>
      </c>
      <c r="PP2" s="117" t="s">
        <v>285</v>
      </c>
      <c r="PQ2" s="117" t="s">
        <v>286</v>
      </c>
      <c r="PR2" s="117" t="s">
        <v>287</v>
      </c>
      <c r="PS2" s="118">
        <v>46357.0</v>
      </c>
      <c r="PT2" s="120">
        <f t="shared" ref="PT2:QV2" si="4">PS2+1</f>
        <v>46358</v>
      </c>
      <c r="PU2" s="120">
        <f t="shared" si="4"/>
        <v>46359</v>
      </c>
      <c r="PV2" s="120">
        <f t="shared" si="4"/>
        <v>46360</v>
      </c>
      <c r="PW2" s="120">
        <f t="shared" si="4"/>
        <v>46361</v>
      </c>
      <c r="PX2" s="120">
        <f t="shared" si="4"/>
        <v>46362</v>
      </c>
      <c r="PY2" s="120">
        <f t="shared" si="4"/>
        <v>46363</v>
      </c>
      <c r="PZ2" s="120">
        <f t="shared" si="4"/>
        <v>46364</v>
      </c>
      <c r="QA2" s="120">
        <f t="shared" si="4"/>
        <v>46365</v>
      </c>
      <c r="QB2" s="120">
        <f t="shared" si="4"/>
        <v>46366</v>
      </c>
      <c r="QC2" s="120">
        <f t="shared" si="4"/>
        <v>46367</v>
      </c>
      <c r="QD2" s="120">
        <f t="shared" si="4"/>
        <v>46368</v>
      </c>
      <c r="QE2" s="120">
        <f t="shared" si="4"/>
        <v>46369</v>
      </c>
      <c r="QF2" s="120">
        <f t="shared" si="4"/>
        <v>46370</v>
      </c>
      <c r="QG2" s="120">
        <f t="shared" si="4"/>
        <v>46371</v>
      </c>
      <c r="QH2" s="120">
        <f t="shared" si="4"/>
        <v>46372</v>
      </c>
      <c r="QI2" s="120">
        <f t="shared" si="4"/>
        <v>46373</v>
      </c>
      <c r="QJ2" s="120">
        <f t="shared" si="4"/>
        <v>46374</v>
      </c>
      <c r="QK2" s="120">
        <f t="shared" si="4"/>
        <v>46375</v>
      </c>
      <c r="QL2" s="120">
        <f t="shared" si="4"/>
        <v>46376</v>
      </c>
      <c r="QM2" s="120">
        <f t="shared" si="4"/>
        <v>46377</v>
      </c>
      <c r="QN2" s="120">
        <f t="shared" si="4"/>
        <v>46378</v>
      </c>
      <c r="QO2" s="120">
        <f t="shared" si="4"/>
        <v>46379</v>
      </c>
      <c r="QP2" s="120">
        <f t="shared" si="4"/>
        <v>46380</v>
      </c>
      <c r="QQ2" s="120">
        <f t="shared" si="4"/>
        <v>46381</v>
      </c>
      <c r="QR2" s="120">
        <f t="shared" si="4"/>
        <v>46382</v>
      </c>
      <c r="QS2" s="120">
        <f t="shared" si="4"/>
        <v>46383</v>
      </c>
      <c r="QT2" s="120">
        <f t="shared" si="4"/>
        <v>46384</v>
      </c>
      <c r="QU2" s="120">
        <f t="shared" si="4"/>
        <v>46385</v>
      </c>
      <c r="QV2" s="120">
        <f t="shared" si="4"/>
        <v>46386</v>
      </c>
      <c r="QW2" s="120">
        <v>46387.0</v>
      </c>
      <c r="QX2" s="141" t="s">
        <v>205</v>
      </c>
    </row>
    <row r="3">
      <c r="A3" s="12">
        <f>IFERROR(__xludf.DUMMYFUNCTION("QUERY('1.Chăm sóc'!A4:AG14,""Select A,E,K,I,N,L,H,O"")"),4.20274574E8)</f>
        <v>420274574</v>
      </c>
      <c r="B3" s="12" t="str">
        <f>IFERROR(__xludf.DUMMYFUNCTION("""COMPUTED_VALUE"""),"Đặng Văn Thạch")</f>
        <v>Đặng Văn Thạch</v>
      </c>
      <c r="C3" s="12" t="str">
        <f>IFERROR(__xludf.DUMMYFUNCTION("""COMPUTED_VALUE"""),"SKAI231030VN")</f>
        <v>SKAI231030VN</v>
      </c>
      <c r="D3" s="12" t="str">
        <f>IFERROR(__xludf.DUMMYFUNCTION("""COMPUTED_VALUE"""),"Thường")</f>
        <v>Thường</v>
      </c>
      <c r="E3" s="142">
        <f>IFERROR(__xludf.DUMMYFUNCTION("""COMPUTED_VALUE"""),49.0)</f>
        <v>49</v>
      </c>
      <c r="F3" s="12" t="str">
        <f>IFERROR(__xludf.DUMMYFUNCTION("""COMPUTED_VALUE"""),"GV Việt Nam")</f>
        <v>GV Việt Nam</v>
      </c>
      <c r="G3" s="12" t="str">
        <f>IFERROR(__xludf.DUMMYFUNCTION("""COMPUTED_VALUE"""),"thachcd111cg2@gmail.com")</f>
        <v>thachcd111cg2@gmail.com</v>
      </c>
      <c r="H3" s="12" t="str">
        <f>IFERROR(__xludf.DUMMYFUNCTION("""COMPUTED_VALUE"""),"Lớp 1-1")</f>
        <v>Lớp 1-1</v>
      </c>
      <c r="I3" s="143">
        <f t="shared" ref="I3:I447" si="5">E3-Y3</f>
        <v>14</v>
      </c>
      <c r="J3" s="144">
        <v>45698.0</v>
      </c>
      <c r="K3" s="145" t="s">
        <v>53</v>
      </c>
      <c r="L3" s="146">
        <v>45736.0</v>
      </c>
      <c r="M3" s="147" t="s">
        <v>228</v>
      </c>
      <c r="N3" s="148">
        <v>246.0</v>
      </c>
      <c r="O3" s="148">
        <v>30.0</v>
      </c>
      <c r="P3" s="26"/>
      <c r="Q3" s="26"/>
      <c r="R3" s="26"/>
      <c r="S3" s="26"/>
      <c r="T3" s="26"/>
      <c r="U3" s="147" t="s">
        <v>229</v>
      </c>
      <c r="V3" s="149" t="s">
        <v>230</v>
      </c>
      <c r="W3" s="150"/>
      <c r="X3" s="151">
        <v>35.0</v>
      </c>
      <c r="Y3" s="152">
        <f t="shared" ref="Y3:Y447" si="6">SUMIF($AC$2:QX$2,"Số buổi đã học",$AC3:QX3)+X3</f>
        <v>35</v>
      </c>
      <c r="Z3" s="26">
        <f t="shared" ref="Z3:Z1011" si="7">SUMIF($AC$2:QX$2,"Số buổi xin nghỉ có phép
A",$AC3:QX3)</f>
        <v>0</v>
      </c>
      <c r="AA3" s="26">
        <f t="shared" ref="AA3:AA1011" si="8">SUMIF($AC$2:QX$2,"Số buổi nghỉ sai quy định
C",$AC3:QX3)</f>
        <v>0</v>
      </c>
      <c r="AB3" s="26">
        <f t="shared" ref="AB3:AB1011" si="9">SUMIF($AC$2:QX$2,"Số buổi GV xin nghỉ
D",$AC3:QX3)</f>
        <v>0</v>
      </c>
      <c r="AC3" s="155">
        <v>0.0</v>
      </c>
      <c r="AD3" s="155">
        <v>0.0</v>
      </c>
      <c r="AE3" s="155">
        <v>0.0</v>
      </c>
      <c r="AF3" s="155">
        <v>0.0</v>
      </c>
      <c r="AG3" s="155">
        <v>0.0</v>
      </c>
      <c r="AH3" s="155">
        <v>0.0</v>
      </c>
      <c r="BN3" s="155">
        <v>0.0</v>
      </c>
      <c r="BO3" s="155">
        <v>0.0</v>
      </c>
      <c r="BP3" s="155">
        <v>0.0</v>
      </c>
      <c r="BQ3" s="155">
        <v>0.0</v>
      </c>
      <c r="BR3" s="155">
        <v>0.0</v>
      </c>
      <c r="BS3" s="155">
        <v>0.0</v>
      </c>
      <c r="CV3" s="156">
        <v>0.0</v>
      </c>
      <c r="CW3" s="156">
        <v>0.0</v>
      </c>
      <c r="CX3" s="156">
        <v>0.0</v>
      </c>
      <c r="CY3" s="156">
        <v>0.0</v>
      </c>
      <c r="CZ3" s="156">
        <v>0.0</v>
      </c>
      <c r="DA3" s="156">
        <v>0.0</v>
      </c>
      <c r="EG3" s="156">
        <v>0.0</v>
      </c>
      <c r="EH3" s="156">
        <v>0.0</v>
      </c>
      <c r="EI3" s="156">
        <v>0.0</v>
      </c>
      <c r="EJ3" s="156">
        <v>0.0</v>
      </c>
      <c r="EK3" s="156">
        <v>0.0</v>
      </c>
      <c r="EL3" s="156">
        <v>0.0</v>
      </c>
      <c r="FQ3" s="156">
        <v>0.0</v>
      </c>
      <c r="FR3" s="156">
        <v>0.0</v>
      </c>
      <c r="FS3" s="156">
        <v>0.0</v>
      </c>
      <c r="FT3" s="156">
        <v>0.0</v>
      </c>
      <c r="FU3" s="156">
        <v>0.0</v>
      </c>
      <c r="FV3" s="156">
        <v>0.0</v>
      </c>
      <c r="FW3" s="157"/>
      <c r="FX3" s="157"/>
      <c r="FY3" s="157"/>
      <c r="FZ3" s="157"/>
      <c r="GA3" s="157"/>
      <c r="GB3" s="157"/>
      <c r="GC3" s="157"/>
      <c r="GD3" s="157"/>
      <c r="GE3" s="157"/>
      <c r="GF3" s="157"/>
      <c r="GG3" s="157"/>
      <c r="GH3" s="157"/>
      <c r="GI3" s="157"/>
      <c r="GJ3" s="157"/>
      <c r="GK3" s="157"/>
      <c r="GL3" s="157"/>
      <c r="GM3" s="157"/>
      <c r="GN3" s="157"/>
      <c r="GO3" s="157"/>
      <c r="GP3" s="158"/>
      <c r="GQ3" s="157"/>
      <c r="GR3" s="157"/>
      <c r="GS3" s="157"/>
      <c r="GT3" s="157"/>
      <c r="GU3" s="157"/>
      <c r="GV3" s="157"/>
      <c r="GW3" s="157"/>
      <c r="GX3" s="157"/>
      <c r="GY3" s="157"/>
      <c r="GZ3" s="157"/>
      <c r="HA3" s="157"/>
      <c r="HB3" s="155">
        <v>0.0</v>
      </c>
      <c r="HC3" s="155">
        <v>0.0</v>
      </c>
      <c r="HD3" s="155">
        <v>0.0</v>
      </c>
      <c r="HE3" s="155">
        <v>0.0</v>
      </c>
      <c r="HF3" s="155">
        <v>0.0</v>
      </c>
      <c r="HG3" s="155">
        <v>0.0</v>
      </c>
      <c r="IL3" s="159">
        <v>0.0</v>
      </c>
      <c r="IM3" s="156">
        <v>0.0</v>
      </c>
      <c r="IN3" s="156">
        <v>0.0</v>
      </c>
      <c r="IO3" s="156">
        <v>0.0</v>
      </c>
      <c r="IP3" s="156">
        <v>0.0</v>
      </c>
      <c r="IQ3" s="160">
        <v>0.0</v>
      </c>
      <c r="JH3" s="25"/>
      <c r="JW3" s="159">
        <v>0.0</v>
      </c>
      <c r="JX3" s="156">
        <v>0.0</v>
      </c>
      <c r="JY3" s="156">
        <v>0.0</v>
      </c>
      <c r="JZ3" s="156">
        <v>0.0</v>
      </c>
      <c r="KA3" s="156">
        <v>0.0</v>
      </c>
      <c r="KB3" s="160">
        <v>0.0</v>
      </c>
      <c r="LH3" s="159">
        <f t="shared" ref="LH3:LH1011" si="10">Sum(LN3:MQ3)+LK3</f>
        <v>0</v>
      </c>
      <c r="LI3" s="156">
        <f t="shared" ref="LI3:LI1011" si="11">countif(LN3:MQ3,"A")</f>
        <v>0</v>
      </c>
      <c r="LJ3" s="156">
        <f t="shared" ref="LJ3:LJ1011" si="12">countif(LN3:MRQ3,"B")</f>
        <v>0</v>
      </c>
      <c r="LK3" s="156">
        <f t="shared" ref="LK3:LK1011" si="13">countif(LN3:MQ3,"C")</f>
        <v>0</v>
      </c>
      <c r="LL3" s="156">
        <f t="shared" ref="LL3:LL1011" si="14">countif(LN3:MQ3,"D")</f>
        <v>0</v>
      </c>
      <c r="LM3" s="160">
        <f t="shared" ref="LM3:LM1011" si="15">countif(LN3:MQ3,"E")</f>
        <v>0</v>
      </c>
      <c r="QX3" s="163">
        <v>45750.0</v>
      </c>
    </row>
    <row r="4">
      <c r="A4" s="12">
        <f>IFERROR(__xludf.DUMMYFUNCTION("""COMPUTED_VALUE"""),4.20266164E8)</f>
        <v>420266164</v>
      </c>
      <c r="B4" s="12" t="str">
        <f>IFERROR(__xludf.DUMMYFUNCTION("""COMPUTED_VALUE"""),"Phan Ngọc Khánh Linh")</f>
        <v>Phan Ngọc Khánh Linh</v>
      </c>
      <c r="C4" s="12" t="str">
        <f>IFERROR(__xludf.DUMMYFUNCTION("""COMPUTED_VALUE"""),"SKAI11030VN")</f>
        <v>SKAI11030VN</v>
      </c>
      <c r="D4" s="12" t="str">
        <f>IFERROR(__xludf.DUMMYFUNCTION("""COMPUTED_VALUE"""),"Thường")</f>
        <v>Thường</v>
      </c>
      <c r="E4" s="142">
        <f>IFERROR(__xludf.DUMMYFUNCTION("""COMPUTED_VALUE"""),90.0)</f>
        <v>90</v>
      </c>
      <c r="F4" s="12" t="str">
        <f>IFERROR(__xludf.DUMMYFUNCTION("""COMPUTED_VALUE"""),"GV Việt Nam")</f>
        <v>GV Việt Nam</v>
      </c>
      <c r="G4" s="12" t="str">
        <f>IFERROR(__xludf.DUMMYFUNCTION("""COMPUTED_VALUE"""),"10.phanngockhanhlinh11a2@gmail.com")</f>
        <v>10.phanngockhanhlinh11a2@gmail.com</v>
      </c>
      <c r="H4" s="12" t="str">
        <f>IFERROR(__xludf.DUMMYFUNCTION("""COMPUTED_VALUE"""),"Lớp 1-1")</f>
        <v>Lớp 1-1</v>
      </c>
      <c r="I4" s="143">
        <f t="shared" si="5"/>
        <v>-1</v>
      </c>
      <c r="J4" s="144">
        <v>45735.0</v>
      </c>
      <c r="K4" s="145" t="s">
        <v>61</v>
      </c>
      <c r="L4" s="146">
        <v>45859.0</v>
      </c>
      <c r="M4" s="147" t="s">
        <v>228</v>
      </c>
      <c r="N4" s="148">
        <v>246.0</v>
      </c>
      <c r="O4" s="148">
        <v>30.0</v>
      </c>
      <c r="P4" s="26"/>
      <c r="Q4" s="26"/>
      <c r="R4" s="26"/>
      <c r="S4" s="26"/>
      <c r="T4" s="26"/>
      <c r="U4" s="164" t="s">
        <v>500</v>
      </c>
      <c r="V4" s="165" t="s">
        <v>269</v>
      </c>
      <c r="W4" s="150"/>
      <c r="X4" s="11">
        <v>83.0</v>
      </c>
      <c r="Y4" s="166">
        <f t="shared" si="6"/>
        <v>91</v>
      </c>
      <c r="Z4" s="26">
        <f t="shared" si="7"/>
        <v>0</v>
      </c>
      <c r="AA4" s="26">
        <f t="shared" si="8"/>
        <v>0</v>
      </c>
      <c r="AB4" s="26">
        <f t="shared" si="9"/>
        <v>0</v>
      </c>
      <c r="AC4" s="155">
        <v>8.0</v>
      </c>
      <c r="AD4" s="155">
        <v>0.0</v>
      </c>
      <c r="AE4" s="155">
        <v>0.0</v>
      </c>
      <c r="AF4" s="155">
        <v>0.0</v>
      </c>
      <c r="AG4" s="155">
        <v>0.0</v>
      </c>
      <c r="AH4" s="155">
        <v>0.0</v>
      </c>
      <c r="AI4" s="167"/>
      <c r="AJ4" s="167"/>
      <c r="AK4" s="167"/>
      <c r="AL4" s="167"/>
      <c r="AM4" s="168">
        <v>2.0</v>
      </c>
      <c r="AN4" s="167">
        <v>0.0</v>
      </c>
      <c r="AO4" s="167"/>
      <c r="AP4" s="167"/>
      <c r="AQ4" s="167"/>
      <c r="AR4" s="168">
        <v>1.0</v>
      </c>
      <c r="AS4" s="167"/>
      <c r="AT4" s="167"/>
      <c r="AU4" s="167"/>
      <c r="AV4" s="167"/>
      <c r="AW4" s="167"/>
      <c r="AX4" s="167"/>
      <c r="AY4" s="168">
        <v>2.0</v>
      </c>
      <c r="AZ4" s="167"/>
      <c r="BA4" s="167"/>
      <c r="BB4" s="167"/>
      <c r="BC4" s="167"/>
      <c r="BD4" s="167"/>
      <c r="BE4" s="167"/>
      <c r="BF4" s="167"/>
      <c r="BG4" s="168">
        <v>2.0</v>
      </c>
      <c r="BH4" s="167"/>
      <c r="BI4" s="167">
        <v>0.0</v>
      </c>
      <c r="BJ4" s="167"/>
      <c r="BK4" s="167"/>
      <c r="BL4" s="167"/>
      <c r="BM4" s="168">
        <v>1.0</v>
      </c>
      <c r="BN4" s="155">
        <v>0.0</v>
      </c>
      <c r="BO4" s="155">
        <v>0.0</v>
      </c>
      <c r="BP4" s="155">
        <v>0.0</v>
      </c>
      <c r="BQ4" s="155">
        <v>0.0</v>
      </c>
      <c r="BR4" s="155">
        <v>0.0</v>
      </c>
      <c r="BS4" s="155">
        <v>0.0</v>
      </c>
      <c r="CV4" s="156">
        <v>0.0</v>
      </c>
      <c r="CW4" s="156">
        <v>0.0</v>
      </c>
      <c r="CX4" s="156">
        <v>0.0</v>
      </c>
      <c r="CY4" s="156">
        <v>0.0</v>
      </c>
      <c r="CZ4" s="156">
        <v>0.0</v>
      </c>
      <c r="DA4" s="156">
        <v>0.0</v>
      </c>
      <c r="EG4" s="156">
        <v>0.0</v>
      </c>
      <c r="EH4" s="156">
        <v>0.0</v>
      </c>
      <c r="EI4" s="156">
        <v>0.0</v>
      </c>
      <c r="EJ4" s="156">
        <v>0.0</v>
      </c>
      <c r="EK4" s="156">
        <v>0.0</v>
      </c>
      <c r="EL4" s="156">
        <v>0.0</v>
      </c>
      <c r="FQ4" s="156">
        <v>0.0</v>
      </c>
      <c r="FR4" s="156">
        <v>0.0</v>
      </c>
      <c r="FS4" s="156">
        <v>0.0</v>
      </c>
      <c r="FT4" s="156">
        <v>0.0</v>
      </c>
      <c r="FU4" s="156">
        <v>0.0</v>
      </c>
      <c r="FV4" s="156">
        <v>0.0</v>
      </c>
      <c r="FW4" s="157"/>
      <c r="FX4" s="157"/>
      <c r="FY4" s="157"/>
      <c r="FZ4" s="157"/>
      <c r="GA4" s="157"/>
      <c r="GB4" s="157"/>
      <c r="GC4" s="157"/>
      <c r="GD4" s="157"/>
      <c r="GE4" s="157"/>
      <c r="GF4" s="157"/>
      <c r="GG4" s="157"/>
      <c r="GH4" s="157"/>
      <c r="GI4" s="157"/>
      <c r="GJ4" s="157"/>
      <c r="GK4" s="157"/>
      <c r="GL4" s="157"/>
      <c r="GM4" s="157"/>
      <c r="GN4" s="157"/>
      <c r="GO4" s="157"/>
      <c r="GP4" s="158"/>
      <c r="GQ4" s="157"/>
      <c r="GR4" s="157"/>
      <c r="GS4" s="157"/>
      <c r="GT4" s="157"/>
      <c r="GU4" s="157"/>
      <c r="GV4" s="157"/>
      <c r="GW4" s="157"/>
      <c r="GX4" s="157"/>
      <c r="GY4" s="157"/>
      <c r="GZ4" s="157"/>
      <c r="HA4" s="157"/>
      <c r="HB4" s="155">
        <v>0.0</v>
      </c>
      <c r="HC4" s="155">
        <v>0.0</v>
      </c>
      <c r="HD4" s="155">
        <v>0.0</v>
      </c>
      <c r="HE4" s="155">
        <v>0.0</v>
      </c>
      <c r="HF4" s="155">
        <v>0.0</v>
      </c>
      <c r="HG4" s="155">
        <v>0.0</v>
      </c>
      <c r="IL4" s="159">
        <v>0.0</v>
      </c>
      <c r="IM4" s="156">
        <v>0.0</v>
      </c>
      <c r="IN4" s="156">
        <v>0.0</v>
      </c>
      <c r="IO4" s="156">
        <v>0.0</v>
      </c>
      <c r="IP4" s="156">
        <v>0.0</v>
      </c>
      <c r="IQ4" s="160">
        <v>0.0</v>
      </c>
      <c r="JH4" s="25"/>
      <c r="JW4" s="159">
        <v>0.0</v>
      </c>
      <c r="JX4" s="156">
        <v>0.0</v>
      </c>
      <c r="JY4" s="156">
        <v>0.0</v>
      </c>
      <c r="JZ4" s="156">
        <v>0.0</v>
      </c>
      <c r="KA4" s="156">
        <v>0.0</v>
      </c>
      <c r="KB4" s="160">
        <v>0.0</v>
      </c>
      <c r="LH4" s="159">
        <f t="shared" si="10"/>
        <v>0</v>
      </c>
      <c r="LI4" s="156">
        <f t="shared" si="11"/>
        <v>0</v>
      </c>
      <c r="LJ4" s="156">
        <f t="shared" si="12"/>
        <v>0</v>
      </c>
      <c r="LK4" s="156">
        <f t="shared" si="13"/>
        <v>0</v>
      </c>
      <c r="LL4" s="156">
        <f t="shared" si="14"/>
        <v>0</v>
      </c>
      <c r="LM4" s="160">
        <f t="shared" si="15"/>
        <v>0</v>
      </c>
      <c r="QX4" s="163">
        <v>45751.0</v>
      </c>
    </row>
    <row r="5">
      <c r="A5" s="12">
        <f>IFERROR(__xludf.DUMMYFUNCTION("""COMPUTED_VALUE"""),1.0052874E7)</f>
        <v>10052874</v>
      </c>
      <c r="B5" s="12" t="str">
        <f>IFERROR(__xludf.DUMMYFUNCTION("""COMPUTED_VALUE"""),"Phạm Thị Thương")</f>
        <v>Phạm Thị Thương</v>
      </c>
      <c r="C5" s="12" t="str">
        <f>IFERROR(__xludf.DUMMYFUNCTION("""COMPUTED_VALUE"""),"CKAI121030VN")</f>
        <v>CKAI121030VN</v>
      </c>
      <c r="D5" s="12" t="str">
        <f>IFERROR(__xludf.DUMMYFUNCTION("""COMPUTED_VALUE"""),"Thường")</f>
        <v>Thường</v>
      </c>
      <c r="E5" s="142">
        <f>IFERROR(__xludf.DUMMYFUNCTION("""COMPUTED_VALUE"""),60.0)</f>
        <v>60</v>
      </c>
      <c r="F5" s="12" t="str">
        <f>IFERROR(__xludf.DUMMYFUNCTION("""COMPUTED_VALUE"""),"GV Việt Nam")</f>
        <v>GV Việt Nam</v>
      </c>
      <c r="G5" s="12" t="str">
        <f>IFERROR(__xludf.DUMMYFUNCTION("""COMPUTED_VALUE"""),"phamthithuongnb93@gmail.com")</f>
        <v>phamthithuongnb93@gmail.com</v>
      </c>
      <c r="H5" s="12" t="str">
        <f>IFERROR(__xludf.DUMMYFUNCTION("""COMPUTED_VALUE"""),"Lớp 1-1")</f>
        <v>Lớp 1-1</v>
      </c>
      <c r="I5" s="143">
        <f t="shared" si="5"/>
        <v>0</v>
      </c>
      <c r="J5" s="170" t="s">
        <v>514</v>
      </c>
      <c r="K5" s="164" t="s">
        <v>61</v>
      </c>
      <c r="L5" s="171">
        <v>46210.0</v>
      </c>
      <c r="M5" s="147" t="s">
        <v>341</v>
      </c>
      <c r="N5" s="170">
        <v>357.0</v>
      </c>
      <c r="O5" s="148">
        <v>30.0</v>
      </c>
      <c r="P5" s="26"/>
      <c r="Q5" s="26"/>
      <c r="R5" s="26"/>
      <c r="S5" s="26"/>
      <c r="T5" s="26"/>
      <c r="U5" s="164" t="s">
        <v>521</v>
      </c>
      <c r="V5" s="165" t="s">
        <v>307</v>
      </c>
      <c r="W5" s="150"/>
      <c r="X5" s="151">
        <v>40.0</v>
      </c>
      <c r="Y5" s="152">
        <f t="shared" si="6"/>
        <v>60</v>
      </c>
      <c r="Z5" s="26">
        <f t="shared" si="7"/>
        <v>0</v>
      </c>
      <c r="AA5" s="26">
        <f t="shared" si="8"/>
        <v>0</v>
      </c>
      <c r="AB5" s="26">
        <f t="shared" si="9"/>
        <v>0</v>
      </c>
      <c r="AC5" s="155">
        <v>8.0</v>
      </c>
      <c r="AD5" s="155">
        <v>0.0</v>
      </c>
      <c r="AE5" s="155">
        <v>0.0</v>
      </c>
      <c r="AF5" s="155">
        <v>0.0</v>
      </c>
      <c r="AG5" s="155">
        <v>0.0</v>
      </c>
      <c r="AH5" s="155">
        <v>0.0</v>
      </c>
      <c r="AI5" s="167">
        <v>0.0</v>
      </c>
      <c r="AJ5" s="167"/>
      <c r="AK5" s="168">
        <v>1.0</v>
      </c>
      <c r="AL5" s="167">
        <v>0.0</v>
      </c>
      <c r="AM5" s="167">
        <v>0.0</v>
      </c>
      <c r="AN5" s="167">
        <v>1.0</v>
      </c>
      <c r="AO5" s="167">
        <v>0.0</v>
      </c>
      <c r="AP5" s="167">
        <v>1.0</v>
      </c>
      <c r="AQ5" s="167">
        <v>0.0</v>
      </c>
      <c r="AR5" s="167"/>
      <c r="AS5" s="167"/>
      <c r="AT5" s="167"/>
      <c r="AU5" s="167"/>
      <c r="AV5" s="167">
        <v>0.0</v>
      </c>
      <c r="AW5" s="167">
        <v>1.0</v>
      </c>
      <c r="AX5" s="167">
        <v>0.0</v>
      </c>
      <c r="AY5" s="167">
        <v>1.0</v>
      </c>
      <c r="AZ5" s="167"/>
      <c r="BA5" s="167"/>
      <c r="BB5" s="167"/>
      <c r="BC5" s="167"/>
      <c r="BD5" s="167">
        <v>1.0</v>
      </c>
      <c r="BE5" s="167">
        <v>0.0</v>
      </c>
      <c r="BF5" s="167">
        <v>1.0</v>
      </c>
      <c r="BG5" s="167">
        <v>0.0</v>
      </c>
      <c r="BH5" s="167">
        <v>0.0</v>
      </c>
      <c r="BI5" s="167"/>
      <c r="BJ5" s="167">
        <v>0.0</v>
      </c>
      <c r="BK5" s="167">
        <v>1.0</v>
      </c>
      <c r="BL5" s="167">
        <v>0.0</v>
      </c>
      <c r="BM5" s="167"/>
      <c r="BN5" s="155">
        <v>1.0</v>
      </c>
      <c r="BO5" s="155">
        <v>0.0</v>
      </c>
      <c r="BP5" s="155">
        <v>0.0</v>
      </c>
      <c r="BQ5" s="155">
        <v>0.0</v>
      </c>
      <c r="BR5" s="155">
        <v>0.0</v>
      </c>
      <c r="BS5" s="155">
        <v>0.0</v>
      </c>
      <c r="BT5" s="167"/>
      <c r="BU5" s="167"/>
      <c r="BV5" s="167">
        <v>1.0</v>
      </c>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67"/>
      <c r="CU5" s="167"/>
      <c r="CV5" s="156">
        <v>0.0</v>
      </c>
      <c r="CW5" s="156">
        <v>0.0</v>
      </c>
      <c r="CX5" s="156">
        <v>0.0</v>
      </c>
      <c r="CY5" s="156">
        <v>0.0</v>
      </c>
      <c r="CZ5" s="156">
        <v>0.0</v>
      </c>
      <c r="DA5" s="156">
        <v>0.0</v>
      </c>
      <c r="EG5" s="156">
        <v>0.0</v>
      </c>
      <c r="EH5" s="156">
        <v>0.0</v>
      </c>
      <c r="EI5" s="156">
        <v>0.0</v>
      </c>
      <c r="EJ5" s="156">
        <v>0.0</v>
      </c>
      <c r="EK5" s="156">
        <v>0.0</v>
      </c>
      <c r="EL5" s="156">
        <v>0.0</v>
      </c>
      <c r="FQ5" s="156">
        <v>6.0</v>
      </c>
      <c r="FR5" s="156">
        <v>0.0</v>
      </c>
      <c r="FS5" s="156">
        <v>0.0</v>
      </c>
      <c r="FT5" s="156">
        <v>0.0</v>
      </c>
      <c r="FU5" s="156">
        <v>0.0</v>
      </c>
      <c r="FV5" s="156">
        <v>0.0</v>
      </c>
      <c r="FW5" s="172"/>
      <c r="FX5" s="172"/>
      <c r="FY5" s="172"/>
      <c r="FZ5" s="172"/>
      <c r="GA5" s="172"/>
      <c r="GB5" s="172"/>
      <c r="GC5" s="172">
        <v>1.0</v>
      </c>
      <c r="GD5" s="172"/>
      <c r="GE5" s="172"/>
      <c r="GF5" s="172"/>
      <c r="GG5" s="172"/>
      <c r="GH5" s="172"/>
      <c r="GI5" s="172">
        <v>1.0</v>
      </c>
      <c r="GJ5" s="172">
        <v>1.0</v>
      </c>
      <c r="GK5" s="172"/>
      <c r="GL5" s="172"/>
      <c r="GM5" s="172"/>
      <c r="GN5" s="172"/>
      <c r="GO5" s="172"/>
      <c r="GP5" s="170"/>
      <c r="GQ5" s="172">
        <v>1.0</v>
      </c>
      <c r="GR5" s="172"/>
      <c r="GS5" s="172"/>
      <c r="GT5" s="172"/>
      <c r="GU5" s="172"/>
      <c r="GV5" s="172"/>
      <c r="GW5" s="172">
        <v>1.0</v>
      </c>
      <c r="GX5" s="172">
        <v>1.0</v>
      </c>
      <c r="GY5" s="172"/>
      <c r="GZ5" s="172"/>
      <c r="HA5" s="172"/>
      <c r="HB5" s="155">
        <v>4.0</v>
      </c>
      <c r="HC5" s="155">
        <v>0.0</v>
      </c>
      <c r="HD5" s="155">
        <v>0.0</v>
      </c>
      <c r="HE5" s="155">
        <v>0.0</v>
      </c>
      <c r="HF5" s="155">
        <v>0.0</v>
      </c>
      <c r="HG5" s="155">
        <v>0.0</v>
      </c>
      <c r="HK5" s="86">
        <v>1.0</v>
      </c>
      <c r="HX5" s="86">
        <v>1.0</v>
      </c>
      <c r="HY5" s="86">
        <v>1.0</v>
      </c>
      <c r="IF5" s="86">
        <v>1.0</v>
      </c>
      <c r="IL5" s="159">
        <v>1.0</v>
      </c>
      <c r="IM5" s="156">
        <v>0.0</v>
      </c>
      <c r="IN5" s="156">
        <v>0.0</v>
      </c>
      <c r="IO5" s="156">
        <v>0.0</v>
      </c>
      <c r="IP5" s="156">
        <v>0.0</v>
      </c>
      <c r="IQ5" s="160">
        <v>0.0</v>
      </c>
      <c r="IR5" s="172">
        <v>1.0</v>
      </c>
      <c r="IS5" s="172"/>
      <c r="IT5" s="172"/>
      <c r="IU5" s="172"/>
      <c r="IV5" s="172"/>
      <c r="IW5" s="172"/>
      <c r="IX5" s="172"/>
      <c r="IY5" s="172"/>
      <c r="IZ5" s="172"/>
      <c r="JA5" s="172"/>
      <c r="JB5" s="172"/>
      <c r="JC5" s="172"/>
      <c r="JD5" s="172"/>
      <c r="JE5" s="172"/>
      <c r="JF5" s="172"/>
      <c r="JG5" s="172"/>
      <c r="JH5" s="170"/>
      <c r="JI5" s="172"/>
      <c r="JJ5" s="172"/>
      <c r="JK5" s="172"/>
      <c r="JL5" s="172"/>
      <c r="JM5" s="172"/>
      <c r="JN5" s="172"/>
      <c r="JO5" s="172"/>
      <c r="JP5" s="172"/>
      <c r="JQ5" s="172"/>
      <c r="JR5" s="172"/>
      <c r="JS5" s="172"/>
      <c r="JT5" s="172"/>
      <c r="JU5" s="172"/>
      <c r="JV5" s="172"/>
      <c r="JW5" s="159">
        <v>0.0</v>
      </c>
      <c r="JX5" s="156">
        <v>0.0</v>
      </c>
      <c r="JY5" s="156">
        <v>0.0</v>
      </c>
      <c r="JZ5" s="156">
        <v>0.0</v>
      </c>
      <c r="KA5" s="156">
        <v>0.0</v>
      </c>
      <c r="KB5" s="160">
        <v>0.0</v>
      </c>
      <c r="LH5" s="159">
        <f t="shared" si="10"/>
        <v>0</v>
      </c>
      <c r="LI5" s="156">
        <f t="shared" si="11"/>
        <v>0</v>
      </c>
      <c r="LJ5" s="156">
        <f t="shared" si="12"/>
        <v>0</v>
      </c>
      <c r="LK5" s="156">
        <f t="shared" si="13"/>
        <v>0</v>
      </c>
      <c r="LL5" s="156">
        <f t="shared" si="14"/>
        <v>0</v>
      </c>
      <c r="LM5" s="160">
        <f t="shared" si="15"/>
        <v>0</v>
      </c>
      <c r="QX5" s="163">
        <v>45751.0</v>
      </c>
    </row>
    <row r="6">
      <c r="A6" s="58">
        <f>IFERROR(__xludf.DUMMYFUNCTION("""COMPUTED_VALUE"""),4.20277244E8)</f>
        <v>420277244</v>
      </c>
      <c r="B6" s="58" t="str">
        <f>IFERROR(__xludf.DUMMYFUNCTION("""COMPUTED_VALUE"""),"Trần Tế Hanh")</f>
        <v>Trần Tế Hanh</v>
      </c>
      <c r="C6" s="12" t="str">
        <f>IFERROR(__xludf.DUMMYFUNCTION("""COMPUTED_VALUE"""),"CKAI231030VN")</f>
        <v>CKAI231030VN</v>
      </c>
      <c r="D6" s="12" t="str">
        <f>IFERROR(__xludf.DUMMYFUNCTION("""COMPUTED_VALUE"""),"Thường")</f>
        <v>Thường</v>
      </c>
      <c r="E6" s="142">
        <f>IFERROR(__xludf.DUMMYFUNCTION("""COMPUTED_VALUE"""),105.0)</f>
        <v>105</v>
      </c>
      <c r="F6" s="12" t="str">
        <f>IFERROR(__xludf.DUMMYFUNCTION("""COMPUTED_VALUE"""),"GV Việt Nam")</f>
        <v>GV Việt Nam</v>
      </c>
      <c r="G6" s="12" t="str">
        <f>IFERROR(__xludf.DUMMYFUNCTION("""COMPUTED_VALUE"""),"has2107@gmail.com")</f>
        <v>has2107@gmail.com</v>
      </c>
      <c r="H6" s="12" t="str">
        <f>IFERROR(__xludf.DUMMYFUNCTION("""COMPUTED_VALUE"""),"Lớp 1-1")</f>
        <v>Lớp 1-1</v>
      </c>
      <c r="I6" s="143">
        <f t="shared" si="5"/>
        <v>0</v>
      </c>
      <c r="J6" s="144"/>
      <c r="K6" s="173" t="s">
        <v>48</v>
      </c>
      <c r="L6" s="146"/>
      <c r="M6" s="164" t="s">
        <v>341</v>
      </c>
      <c r="N6" s="148">
        <v>246.0</v>
      </c>
      <c r="O6" s="148">
        <v>30.0</v>
      </c>
      <c r="P6" s="148">
        <v>30.0</v>
      </c>
      <c r="Q6" s="26"/>
      <c r="R6" s="26"/>
      <c r="S6" s="26"/>
      <c r="T6" s="26"/>
      <c r="U6" s="164" t="s">
        <v>343</v>
      </c>
      <c r="V6" s="165" t="s">
        <v>344</v>
      </c>
      <c r="W6" s="150"/>
      <c r="X6" s="151">
        <v>73.0</v>
      </c>
      <c r="Y6" s="152">
        <f t="shared" si="6"/>
        <v>105</v>
      </c>
      <c r="Z6" s="26">
        <f t="shared" si="7"/>
        <v>0</v>
      </c>
      <c r="AA6" s="26">
        <f t="shared" si="8"/>
        <v>0</v>
      </c>
      <c r="AB6" s="26">
        <f t="shared" si="9"/>
        <v>0</v>
      </c>
      <c r="AC6" s="155">
        <v>4.0</v>
      </c>
      <c r="AD6" s="155">
        <v>0.0</v>
      </c>
      <c r="AE6" s="155">
        <v>0.0</v>
      </c>
      <c r="AF6" s="155">
        <v>0.0</v>
      </c>
      <c r="AG6" s="155">
        <v>0.0</v>
      </c>
      <c r="AH6" s="155">
        <v>0.0</v>
      </c>
      <c r="AI6" s="167"/>
      <c r="AJ6" s="167"/>
      <c r="AK6" s="167"/>
      <c r="AL6" s="167"/>
      <c r="AM6" s="167"/>
      <c r="AN6" s="167"/>
      <c r="AO6" s="167">
        <v>1.0</v>
      </c>
      <c r="AP6" s="167"/>
      <c r="AQ6" s="167"/>
      <c r="AR6" s="167"/>
      <c r="AS6" s="167"/>
      <c r="AT6" s="167"/>
      <c r="AU6" s="167"/>
      <c r="AV6" s="167"/>
      <c r="AW6" s="167"/>
      <c r="AX6" s="167"/>
      <c r="AY6" s="167"/>
      <c r="AZ6" s="167"/>
      <c r="BA6" s="167"/>
      <c r="BB6" s="168">
        <v>1.0</v>
      </c>
      <c r="BC6" s="167"/>
      <c r="BD6" s="167"/>
      <c r="BE6" s="167"/>
      <c r="BF6" s="167"/>
      <c r="BG6" s="167"/>
      <c r="BH6" s="167">
        <v>1.0</v>
      </c>
      <c r="BI6" s="167"/>
      <c r="BJ6" s="167"/>
      <c r="BK6" s="167"/>
      <c r="BL6" s="167">
        <v>1.0</v>
      </c>
      <c r="BM6" s="167">
        <v>0.0</v>
      </c>
      <c r="BN6" s="155">
        <v>2.0</v>
      </c>
      <c r="BO6" s="155">
        <v>0.0</v>
      </c>
      <c r="BP6" s="155">
        <v>0.0</v>
      </c>
      <c r="BQ6" s="155">
        <v>0.0</v>
      </c>
      <c r="BR6" s="155">
        <v>0.0</v>
      </c>
      <c r="BS6" s="155">
        <v>0.0</v>
      </c>
      <c r="BT6" s="167"/>
      <c r="BU6" s="167"/>
      <c r="BV6" s="167"/>
      <c r="BW6" s="167"/>
      <c r="BX6" s="167"/>
      <c r="BY6" s="167"/>
      <c r="BZ6" s="167"/>
      <c r="CA6" s="167"/>
      <c r="CB6" s="167">
        <v>1.0</v>
      </c>
      <c r="CC6" s="167"/>
      <c r="CD6" s="167"/>
      <c r="CE6" s="167"/>
      <c r="CF6" s="167"/>
      <c r="CG6" s="167"/>
      <c r="CH6" s="167"/>
      <c r="CI6" s="167"/>
      <c r="CJ6" s="167"/>
      <c r="CK6" s="167"/>
      <c r="CL6" s="167"/>
      <c r="CM6" s="167"/>
      <c r="CN6" s="167"/>
      <c r="CO6" s="167"/>
      <c r="CP6" s="167"/>
      <c r="CQ6" s="167"/>
      <c r="CR6" s="167"/>
      <c r="CS6" s="167"/>
      <c r="CT6" s="167">
        <v>1.0</v>
      </c>
      <c r="CU6" s="167">
        <v>0.0</v>
      </c>
      <c r="CV6" s="156">
        <v>7.0</v>
      </c>
      <c r="CW6" s="156">
        <v>0.0</v>
      </c>
      <c r="CX6" s="156">
        <v>0.0</v>
      </c>
      <c r="CY6" s="156">
        <v>0.0</v>
      </c>
      <c r="CZ6" s="156">
        <v>0.0</v>
      </c>
      <c r="DA6" s="156">
        <v>0.0</v>
      </c>
      <c r="DB6" s="174">
        <v>0.0</v>
      </c>
      <c r="DC6" s="174">
        <v>1.0</v>
      </c>
      <c r="DD6" s="174">
        <v>0.0</v>
      </c>
      <c r="DE6" s="174"/>
      <c r="DF6" s="174">
        <v>0.0</v>
      </c>
      <c r="DG6" s="174">
        <v>1.0</v>
      </c>
      <c r="DH6" s="174"/>
      <c r="DI6" s="174"/>
      <c r="DJ6" s="174"/>
      <c r="DK6" s="174"/>
      <c r="DL6" s="174"/>
      <c r="DM6" s="174"/>
      <c r="DN6" s="174">
        <v>1.0</v>
      </c>
      <c r="DO6" s="174"/>
      <c r="DP6" s="174"/>
      <c r="DQ6" s="174"/>
      <c r="DR6" s="174"/>
      <c r="DS6" s="174">
        <v>1.0</v>
      </c>
      <c r="DT6" s="174"/>
      <c r="DU6" s="174"/>
      <c r="DV6" s="174"/>
      <c r="DW6" s="174"/>
      <c r="DX6" s="174">
        <v>1.0</v>
      </c>
      <c r="DY6" s="174"/>
      <c r="DZ6" s="174"/>
      <c r="EA6" s="174"/>
      <c r="EB6" s="174">
        <v>1.0</v>
      </c>
      <c r="EC6" s="174">
        <v>0.0</v>
      </c>
      <c r="ED6" s="174">
        <v>0.0</v>
      </c>
      <c r="EE6" s="174">
        <v>1.0</v>
      </c>
      <c r="EF6" s="174">
        <v>0.0</v>
      </c>
      <c r="EG6" s="156">
        <v>3.0</v>
      </c>
      <c r="EH6" s="156">
        <v>0.0</v>
      </c>
      <c r="EI6" s="156">
        <v>0.0</v>
      </c>
      <c r="EJ6" s="156">
        <v>0.0</v>
      </c>
      <c r="EK6" s="156">
        <v>0.0</v>
      </c>
      <c r="EL6" s="156">
        <v>0.0</v>
      </c>
      <c r="EM6" s="174"/>
      <c r="EN6" s="174"/>
      <c r="EO6" s="174"/>
      <c r="EP6" s="174"/>
      <c r="EQ6" s="174"/>
      <c r="ER6" s="174"/>
      <c r="ES6" s="174"/>
      <c r="ET6" s="174">
        <v>1.0</v>
      </c>
      <c r="EU6" s="174">
        <v>0.0</v>
      </c>
      <c r="EV6" s="174"/>
      <c r="EW6" s="174">
        <v>0.0</v>
      </c>
      <c r="EX6" s="174">
        <v>0.0</v>
      </c>
      <c r="EY6" s="174">
        <v>1.0</v>
      </c>
      <c r="EZ6" s="174">
        <v>0.0</v>
      </c>
      <c r="FA6" s="174">
        <v>1.0</v>
      </c>
      <c r="FB6" s="174"/>
      <c r="FC6" s="174"/>
      <c r="FD6" s="174"/>
      <c r="FE6" s="174"/>
      <c r="FF6" s="174"/>
      <c r="FG6" s="174"/>
      <c r="FH6" s="174"/>
      <c r="FI6" s="174"/>
      <c r="FJ6" s="174"/>
      <c r="FK6" s="174"/>
      <c r="FL6" s="174"/>
      <c r="FM6" s="174"/>
      <c r="FN6" s="174"/>
      <c r="FO6" s="174"/>
      <c r="FP6" s="174"/>
      <c r="FQ6" s="156">
        <v>7.0</v>
      </c>
      <c r="FR6" s="156">
        <v>0.0</v>
      </c>
      <c r="FS6" s="156">
        <v>0.0</v>
      </c>
      <c r="FT6" s="156">
        <v>0.0</v>
      </c>
      <c r="FU6" s="156">
        <v>0.0</v>
      </c>
      <c r="FV6" s="156">
        <v>0.0</v>
      </c>
      <c r="FW6" s="175"/>
      <c r="FX6" s="174"/>
      <c r="FY6" s="174"/>
      <c r="FZ6" s="174">
        <v>1.0</v>
      </c>
      <c r="GA6" s="174"/>
      <c r="GB6" s="174">
        <v>1.0</v>
      </c>
      <c r="GC6" s="174"/>
      <c r="GD6" s="174">
        <v>1.0</v>
      </c>
      <c r="GE6" s="174"/>
      <c r="GF6" s="174"/>
      <c r="GG6" s="174">
        <v>1.0</v>
      </c>
      <c r="GH6" s="174"/>
      <c r="GI6" s="174"/>
      <c r="GJ6" s="174"/>
      <c r="GK6" s="174"/>
      <c r="GL6" s="174"/>
      <c r="GM6" s="174"/>
      <c r="GN6" s="175">
        <v>1.0</v>
      </c>
      <c r="GO6" s="174"/>
      <c r="GP6" s="176"/>
      <c r="GQ6" s="175">
        <v>1.0</v>
      </c>
      <c r="GR6" s="174"/>
      <c r="GS6" s="174">
        <v>0.0</v>
      </c>
      <c r="GT6" s="174">
        <v>0.0</v>
      </c>
      <c r="GU6" s="174">
        <v>1.0</v>
      </c>
      <c r="GV6" s="174"/>
      <c r="GW6" s="174"/>
      <c r="GX6" s="174"/>
      <c r="GY6" s="174"/>
      <c r="GZ6" s="174"/>
      <c r="HA6" s="174"/>
      <c r="HB6" s="155">
        <v>5.0</v>
      </c>
      <c r="HC6" s="155">
        <v>0.0</v>
      </c>
      <c r="HD6" s="155">
        <v>0.0</v>
      </c>
      <c r="HE6" s="155">
        <v>0.0</v>
      </c>
      <c r="HF6" s="155">
        <v>0.0</v>
      </c>
      <c r="HG6" s="155">
        <v>0.0</v>
      </c>
      <c r="HH6" s="174"/>
      <c r="HI6" s="174">
        <v>0.0</v>
      </c>
      <c r="HJ6" s="174">
        <v>1.0</v>
      </c>
      <c r="HK6" s="174">
        <v>0.0</v>
      </c>
      <c r="HL6" s="174">
        <v>1.0</v>
      </c>
      <c r="HM6" s="174">
        <v>0.0</v>
      </c>
      <c r="HN6" s="174">
        <v>0.0</v>
      </c>
      <c r="HO6" s="175">
        <v>0.0</v>
      </c>
      <c r="HP6" s="174">
        <v>0.0</v>
      </c>
      <c r="HQ6" s="174">
        <v>1.0</v>
      </c>
      <c r="HR6" s="174"/>
      <c r="HS6" s="174"/>
      <c r="HT6" s="174"/>
      <c r="HU6" s="174"/>
      <c r="HV6" s="174"/>
      <c r="HW6" s="174"/>
      <c r="HX6" s="174"/>
      <c r="HY6" s="174"/>
      <c r="HZ6" s="175">
        <v>1.0</v>
      </c>
      <c r="IA6" s="174"/>
      <c r="IB6" s="174"/>
      <c r="IC6" s="174"/>
      <c r="ID6" s="174">
        <v>0.0</v>
      </c>
      <c r="IE6" s="174">
        <v>1.0</v>
      </c>
      <c r="IF6" s="174"/>
      <c r="IG6" s="174"/>
      <c r="IH6" s="174"/>
      <c r="II6" s="174"/>
      <c r="IJ6" s="174"/>
      <c r="IK6" s="174"/>
      <c r="IL6" s="159">
        <v>4.0</v>
      </c>
      <c r="IM6" s="156">
        <v>0.0</v>
      </c>
      <c r="IN6" s="156">
        <v>0.0</v>
      </c>
      <c r="IO6" s="156">
        <v>0.0</v>
      </c>
      <c r="IP6" s="156">
        <v>0.0</v>
      </c>
      <c r="IQ6" s="160">
        <v>0.0</v>
      </c>
      <c r="IR6" s="174"/>
      <c r="IS6" s="174"/>
      <c r="IT6" s="174">
        <v>1.0</v>
      </c>
      <c r="IU6" s="174"/>
      <c r="IV6" s="174"/>
      <c r="IW6" s="174"/>
      <c r="IX6" s="174"/>
      <c r="IY6" s="174"/>
      <c r="IZ6" s="174"/>
      <c r="JA6" s="174">
        <v>1.0</v>
      </c>
      <c r="JB6" s="174"/>
      <c r="JC6" s="174"/>
      <c r="JD6" s="174"/>
      <c r="JE6" s="174"/>
      <c r="JF6" s="174">
        <v>1.0</v>
      </c>
      <c r="JG6" s="174">
        <v>0.0</v>
      </c>
      <c r="JH6" s="177"/>
      <c r="JI6" s="174">
        <v>0.0</v>
      </c>
      <c r="JJ6" s="174">
        <v>0.0</v>
      </c>
      <c r="JK6" s="174"/>
      <c r="JL6" s="174">
        <v>0.0</v>
      </c>
      <c r="JM6" s="174">
        <v>1.0</v>
      </c>
      <c r="JN6" s="174">
        <v>0.0</v>
      </c>
      <c r="JO6" s="174"/>
      <c r="JP6" s="174">
        <v>0.0</v>
      </c>
      <c r="JQ6" s="174">
        <v>0.0</v>
      </c>
      <c r="JR6" s="174"/>
      <c r="JS6" s="174">
        <v>0.0</v>
      </c>
      <c r="JT6" s="174"/>
      <c r="JU6" s="174">
        <v>0.0</v>
      </c>
      <c r="JV6" s="174"/>
      <c r="JW6" s="159">
        <v>0.0</v>
      </c>
      <c r="JX6" s="156">
        <v>0.0</v>
      </c>
      <c r="JY6" s="156">
        <v>0.0</v>
      </c>
      <c r="JZ6" s="156">
        <v>0.0</v>
      </c>
      <c r="KA6" s="156">
        <v>0.0</v>
      </c>
      <c r="KB6" s="160">
        <v>0.0</v>
      </c>
      <c r="KS6" s="178"/>
      <c r="LH6" s="159">
        <f t="shared" si="10"/>
        <v>0</v>
      </c>
      <c r="LI6" s="156">
        <f t="shared" si="11"/>
        <v>0</v>
      </c>
      <c r="LJ6" s="156">
        <f t="shared" si="12"/>
        <v>0</v>
      </c>
      <c r="LK6" s="156">
        <f t="shared" si="13"/>
        <v>0</v>
      </c>
      <c r="LL6" s="156">
        <f t="shared" si="14"/>
        <v>0</v>
      </c>
      <c r="LM6" s="160">
        <f t="shared" si="15"/>
        <v>0</v>
      </c>
      <c r="QX6" s="163">
        <v>45755.0</v>
      </c>
    </row>
    <row r="7">
      <c r="A7" s="12">
        <f>IFERROR(__xludf.DUMMYFUNCTION("""COMPUTED_VALUE"""),4.20270374E8)</f>
        <v>420270374</v>
      </c>
      <c r="B7" s="12" t="str">
        <f>IFERROR(__xludf.DUMMYFUNCTION("""COMPUTED_VALUE"""),"Nguyễn Văn Trọng")</f>
        <v>Nguyễn Văn Trọng</v>
      </c>
      <c r="C7" s="12" t="str">
        <f>IFERROR(__xludf.DUMMYFUNCTION("""COMPUTED_VALUE"""),"SKAI31030VN")</f>
        <v>SKAI31030VN</v>
      </c>
      <c r="D7" s="12" t="str">
        <f>IFERROR(__xludf.DUMMYFUNCTION("""COMPUTED_VALUE"""),"Thường")</f>
        <v>Thường</v>
      </c>
      <c r="E7" s="142">
        <f>IFERROR(__xludf.DUMMYFUNCTION("""COMPUTED_VALUE"""),93.29376854599407)</f>
        <v>93.29376855</v>
      </c>
      <c r="F7" s="12" t="str">
        <f>IFERROR(__xludf.DUMMYFUNCTION("""COMPUTED_VALUE"""),"GV Việt Nam")</f>
        <v>GV Việt Nam</v>
      </c>
      <c r="G7" s="12" t="str">
        <f>IFERROR(__xludf.DUMMYFUNCTION("""COMPUTED_VALUE"""),"ba.trong.photo@gmail.com")</f>
        <v>ba.trong.photo@gmail.com</v>
      </c>
      <c r="H7" s="12" t="str">
        <f>IFERROR(__xludf.DUMMYFUNCTION("""COMPUTED_VALUE"""),"Lớp 1-1")</f>
        <v>Lớp 1-1</v>
      </c>
      <c r="I7" s="143">
        <f t="shared" si="5"/>
        <v>28.29376855</v>
      </c>
      <c r="J7" s="179">
        <v>46088.0</v>
      </c>
      <c r="K7" s="180" t="s">
        <v>61</v>
      </c>
      <c r="L7" s="171">
        <v>46098.0</v>
      </c>
      <c r="M7" s="164" t="s">
        <v>560</v>
      </c>
      <c r="N7" s="170"/>
      <c r="O7" s="170">
        <v>70.0</v>
      </c>
      <c r="P7" s="26"/>
      <c r="Q7" s="26"/>
      <c r="R7" s="26"/>
      <c r="S7" s="26"/>
      <c r="T7" s="26"/>
      <c r="U7" s="164" t="s">
        <v>562</v>
      </c>
      <c r="V7" s="165" t="s">
        <v>563</v>
      </c>
      <c r="W7" s="150"/>
      <c r="X7" s="181">
        <v>64.0</v>
      </c>
      <c r="Y7" s="166">
        <f t="shared" si="6"/>
        <v>65</v>
      </c>
      <c r="Z7" s="26">
        <f t="shared" si="7"/>
        <v>0</v>
      </c>
      <c r="AA7" s="26">
        <f t="shared" si="8"/>
        <v>0</v>
      </c>
      <c r="AB7" s="26">
        <f t="shared" si="9"/>
        <v>0</v>
      </c>
      <c r="AC7" s="155">
        <v>0.0</v>
      </c>
      <c r="AD7" s="155">
        <v>0.0</v>
      </c>
      <c r="AE7" s="155">
        <v>0.0</v>
      </c>
      <c r="AF7" s="155">
        <v>0.0</v>
      </c>
      <c r="AG7" s="155">
        <v>0.0</v>
      </c>
      <c r="AH7" s="155">
        <v>0.0</v>
      </c>
      <c r="BN7" s="155">
        <v>0.0</v>
      </c>
      <c r="BO7" s="155">
        <v>0.0</v>
      </c>
      <c r="BP7" s="155">
        <v>0.0</v>
      </c>
      <c r="BQ7" s="155">
        <v>0.0</v>
      </c>
      <c r="BR7" s="155">
        <v>0.0</v>
      </c>
      <c r="BS7" s="155">
        <v>0.0</v>
      </c>
      <c r="CV7" s="156">
        <v>1.0</v>
      </c>
      <c r="CW7" s="156">
        <v>0.0</v>
      </c>
      <c r="CX7" s="156">
        <v>0.0</v>
      </c>
      <c r="CY7" s="156">
        <v>0.0</v>
      </c>
      <c r="CZ7" s="156">
        <v>0.0</v>
      </c>
      <c r="DA7" s="156">
        <v>0.0</v>
      </c>
      <c r="DH7" s="86">
        <v>1.0</v>
      </c>
      <c r="EG7" s="156">
        <v>0.0</v>
      </c>
      <c r="EH7" s="156">
        <v>0.0</v>
      </c>
      <c r="EI7" s="156">
        <v>0.0</v>
      </c>
      <c r="EJ7" s="156">
        <v>0.0</v>
      </c>
      <c r="EK7" s="156">
        <v>0.0</v>
      </c>
      <c r="EL7" s="156">
        <v>0.0</v>
      </c>
      <c r="FQ7" s="156">
        <v>0.0</v>
      </c>
      <c r="FR7" s="156">
        <v>0.0</v>
      </c>
      <c r="FS7" s="156">
        <v>0.0</v>
      </c>
      <c r="FT7" s="156">
        <v>0.0</v>
      </c>
      <c r="FU7" s="156">
        <v>0.0</v>
      </c>
      <c r="FV7" s="156">
        <v>0.0</v>
      </c>
      <c r="FW7" s="157"/>
      <c r="FX7" s="157"/>
      <c r="FY7" s="157"/>
      <c r="FZ7" s="157"/>
      <c r="GA7" s="157"/>
      <c r="GB7" s="157"/>
      <c r="GC7" s="157"/>
      <c r="GD7" s="157"/>
      <c r="GE7" s="157"/>
      <c r="GF7" s="157"/>
      <c r="GG7" s="157"/>
      <c r="GH7" s="157"/>
      <c r="GI7" s="157"/>
      <c r="GJ7" s="157"/>
      <c r="GK7" s="157"/>
      <c r="GL7" s="157"/>
      <c r="GM7" s="157"/>
      <c r="GN7" s="157"/>
      <c r="GO7" s="157"/>
      <c r="GP7" s="158"/>
      <c r="GQ7" s="157"/>
      <c r="GR7" s="157"/>
      <c r="GS7" s="157"/>
      <c r="GT7" s="157"/>
      <c r="GU7" s="157"/>
      <c r="GV7" s="157"/>
      <c r="GW7" s="157"/>
      <c r="GX7" s="157"/>
      <c r="GY7" s="157"/>
      <c r="GZ7" s="157"/>
      <c r="HA7" s="157"/>
      <c r="HB7" s="155">
        <v>0.0</v>
      </c>
      <c r="HC7" s="155">
        <v>0.0</v>
      </c>
      <c r="HD7" s="155">
        <v>0.0</v>
      </c>
      <c r="HE7" s="155">
        <v>0.0</v>
      </c>
      <c r="HF7" s="155">
        <v>0.0</v>
      </c>
      <c r="HG7" s="155">
        <v>0.0</v>
      </c>
      <c r="IL7" s="159">
        <v>0.0</v>
      </c>
      <c r="IM7" s="156">
        <v>0.0</v>
      </c>
      <c r="IN7" s="156">
        <v>0.0</v>
      </c>
      <c r="IO7" s="156">
        <v>0.0</v>
      </c>
      <c r="IP7" s="156">
        <v>0.0</v>
      </c>
      <c r="IQ7" s="160">
        <v>0.0</v>
      </c>
      <c r="JH7" s="25"/>
      <c r="JW7" s="159">
        <v>0.0</v>
      </c>
      <c r="JX7" s="156">
        <v>0.0</v>
      </c>
      <c r="JY7" s="156">
        <v>0.0</v>
      </c>
      <c r="JZ7" s="156">
        <v>0.0</v>
      </c>
      <c r="KA7" s="156">
        <v>0.0</v>
      </c>
      <c r="KB7" s="160">
        <v>0.0</v>
      </c>
      <c r="LH7" s="159">
        <f t="shared" si="10"/>
        <v>0</v>
      </c>
      <c r="LI7" s="156">
        <f t="shared" si="11"/>
        <v>0</v>
      </c>
      <c r="LJ7" s="156">
        <f t="shared" si="12"/>
        <v>0</v>
      </c>
      <c r="LK7" s="156">
        <f t="shared" si="13"/>
        <v>0</v>
      </c>
      <c r="LL7" s="156">
        <f t="shared" si="14"/>
        <v>0</v>
      </c>
      <c r="LM7" s="160">
        <f t="shared" si="15"/>
        <v>0</v>
      </c>
      <c r="QX7" s="163">
        <v>45755.0</v>
      </c>
    </row>
    <row r="8">
      <c r="A8" s="12">
        <f>IFERROR(__xludf.DUMMYFUNCTION("""COMPUTED_VALUE"""),4.20272465E8)</f>
        <v>420272465</v>
      </c>
      <c r="B8" s="12" t="str">
        <f>IFERROR(__xludf.DUMMYFUNCTION("""COMPUTED_VALUE"""),"Nguyễn Duy Đắc")</f>
        <v>Nguyễn Duy Đắc</v>
      </c>
      <c r="C8" s="12" t="str">
        <f>IFERROR(__xludf.DUMMYFUNCTION("""COMPUTED_VALUE"""),"CKAI341030JP")</f>
        <v>CKAI341030JP</v>
      </c>
      <c r="D8" s="12" t="str">
        <f>IFERROR(__xludf.DUMMYFUNCTION("""COMPUTED_VALUE"""),"Thường")</f>
        <v>Thường</v>
      </c>
      <c r="E8" s="142">
        <f>IFERROR(__xludf.DUMMYFUNCTION("""COMPUTED_VALUE"""),150.0)</f>
        <v>150</v>
      </c>
      <c r="F8" s="12" t="str">
        <f>IFERROR(__xludf.DUMMYFUNCTION("""COMPUTED_VALUE"""),"GV Nhật Bản")</f>
        <v>GV Nhật Bản</v>
      </c>
      <c r="G8" s="12" t="str">
        <f>IFERROR(__xludf.DUMMYFUNCTION("""COMPUTED_VALUE"""),"duydac94@gmail.com")</f>
        <v>duydac94@gmail.com</v>
      </c>
      <c r="H8" s="12" t="str">
        <f>IFERROR(__xludf.DUMMYFUNCTION("""COMPUTED_VALUE"""),"Lớp 1-1")</f>
        <v>Lớp 1-1</v>
      </c>
      <c r="I8" s="182">
        <f t="shared" si="5"/>
        <v>1</v>
      </c>
      <c r="J8" s="183">
        <v>46087.0</v>
      </c>
      <c r="K8" s="184" t="s">
        <v>48</v>
      </c>
      <c r="L8" s="146"/>
      <c r="M8" s="164" t="s">
        <v>400</v>
      </c>
      <c r="N8" s="170">
        <v>246.0</v>
      </c>
      <c r="O8" s="170">
        <v>30.0</v>
      </c>
      <c r="P8" s="26"/>
      <c r="Q8" s="26"/>
      <c r="R8" s="26"/>
      <c r="S8" s="26"/>
      <c r="T8" s="26"/>
      <c r="U8" s="164" t="s">
        <v>580</v>
      </c>
      <c r="V8" s="165" t="s">
        <v>581</v>
      </c>
      <c r="W8" s="185" t="s">
        <v>582</v>
      </c>
      <c r="X8" s="181">
        <v>94.0</v>
      </c>
      <c r="Y8" s="166">
        <f t="shared" si="6"/>
        <v>149</v>
      </c>
      <c r="Z8" s="26">
        <f t="shared" si="7"/>
        <v>0</v>
      </c>
      <c r="AA8" s="26">
        <f t="shared" si="8"/>
        <v>0</v>
      </c>
      <c r="AB8" s="26">
        <f t="shared" si="9"/>
        <v>0</v>
      </c>
      <c r="AC8" s="155">
        <v>0.0</v>
      </c>
      <c r="AD8" s="155">
        <v>0.0</v>
      </c>
      <c r="AE8" s="155">
        <v>0.0</v>
      </c>
      <c r="AF8" s="155">
        <v>0.0</v>
      </c>
      <c r="AG8" s="155">
        <v>0.0</v>
      </c>
      <c r="AH8" s="155">
        <v>0.0</v>
      </c>
      <c r="BN8" s="155">
        <v>0.0</v>
      </c>
      <c r="BO8" s="155">
        <v>0.0</v>
      </c>
      <c r="BP8" s="155">
        <v>0.0</v>
      </c>
      <c r="BQ8" s="155">
        <v>0.0</v>
      </c>
      <c r="BR8" s="155">
        <v>0.0</v>
      </c>
      <c r="BS8" s="155">
        <v>0.0</v>
      </c>
      <c r="CV8" s="156">
        <v>10.0</v>
      </c>
      <c r="CW8" s="156">
        <v>0.0</v>
      </c>
      <c r="CX8" s="156">
        <v>0.0</v>
      </c>
      <c r="CY8" s="156">
        <v>0.0</v>
      </c>
      <c r="CZ8" s="156">
        <v>0.0</v>
      </c>
      <c r="DA8" s="156">
        <v>0.0</v>
      </c>
      <c r="DB8" s="174"/>
      <c r="DC8" s="174"/>
      <c r="DD8" s="174"/>
      <c r="DE8" s="174"/>
      <c r="DF8" s="174">
        <v>0.0</v>
      </c>
      <c r="DG8" s="174">
        <v>1.0</v>
      </c>
      <c r="DH8" s="174">
        <v>0.0</v>
      </c>
      <c r="DI8" s="174">
        <v>0.0</v>
      </c>
      <c r="DJ8" s="174">
        <v>1.0</v>
      </c>
      <c r="DK8" s="174">
        <v>0.0</v>
      </c>
      <c r="DL8" s="174">
        <v>1.0</v>
      </c>
      <c r="DM8" s="174">
        <v>0.0</v>
      </c>
      <c r="DN8" s="174">
        <v>1.0</v>
      </c>
      <c r="DO8" s="174">
        <v>0.0</v>
      </c>
      <c r="DP8" s="174">
        <v>0.0</v>
      </c>
      <c r="DQ8" s="174">
        <v>1.0</v>
      </c>
      <c r="DR8" s="174">
        <v>0.0</v>
      </c>
      <c r="DS8" s="174">
        <v>1.0</v>
      </c>
      <c r="DT8" s="174">
        <v>0.0</v>
      </c>
      <c r="DU8" s="174">
        <v>1.0</v>
      </c>
      <c r="DV8" s="174">
        <v>0.0</v>
      </c>
      <c r="DW8" s="174">
        <v>0.0</v>
      </c>
      <c r="DX8" s="174">
        <v>1.0</v>
      </c>
      <c r="DY8" s="174">
        <v>0.0</v>
      </c>
      <c r="DZ8" s="174">
        <v>1.0</v>
      </c>
      <c r="EA8" s="174">
        <v>0.0</v>
      </c>
      <c r="EB8" s="174">
        <v>1.0</v>
      </c>
      <c r="EC8" s="174"/>
      <c r="ED8" s="174"/>
      <c r="EE8" s="174"/>
      <c r="EF8" s="174"/>
      <c r="EG8" s="156">
        <v>10.0</v>
      </c>
      <c r="EH8" s="156">
        <v>0.0</v>
      </c>
      <c r="EI8" s="156">
        <v>0.0</v>
      </c>
      <c r="EJ8" s="156">
        <v>0.0</v>
      </c>
      <c r="EK8" s="156">
        <v>0.0</v>
      </c>
      <c r="EL8" s="156">
        <v>0.0</v>
      </c>
      <c r="EM8" s="174">
        <v>1.0</v>
      </c>
      <c r="EN8" s="174">
        <v>0.0</v>
      </c>
      <c r="EO8" s="174">
        <v>1.0</v>
      </c>
      <c r="EP8" s="174">
        <v>0.0</v>
      </c>
      <c r="EQ8" s="174">
        <v>0.0</v>
      </c>
      <c r="ER8" s="175">
        <v>1.0</v>
      </c>
      <c r="ES8" s="174">
        <v>0.0</v>
      </c>
      <c r="ET8" s="174">
        <v>1.0</v>
      </c>
      <c r="EU8" s="174">
        <v>0.0</v>
      </c>
      <c r="EV8" s="174">
        <v>1.0</v>
      </c>
      <c r="EW8" s="174">
        <v>0.0</v>
      </c>
      <c r="EX8" s="174">
        <v>0.0</v>
      </c>
      <c r="EY8" s="174"/>
      <c r="EZ8" s="174">
        <v>0.0</v>
      </c>
      <c r="FA8" s="174">
        <v>1.0</v>
      </c>
      <c r="FB8" s="174"/>
      <c r="FC8" s="174"/>
      <c r="FD8" s="174"/>
      <c r="FE8" s="174"/>
      <c r="FF8" s="174">
        <v>1.0</v>
      </c>
      <c r="FG8" s="174">
        <v>0.0</v>
      </c>
      <c r="FH8" s="174">
        <v>1.0</v>
      </c>
      <c r="FI8" s="174">
        <v>0.0</v>
      </c>
      <c r="FJ8" s="174">
        <v>1.0</v>
      </c>
      <c r="FK8" s="174"/>
      <c r="FL8" s="174"/>
      <c r="FM8" s="174"/>
      <c r="FN8" s="174"/>
      <c r="FO8" s="174">
        <v>1.0</v>
      </c>
      <c r="FP8" s="174">
        <v>0.0</v>
      </c>
      <c r="FQ8" s="156">
        <v>5.0</v>
      </c>
      <c r="FR8" s="156">
        <v>0.0</v>
      </c>
      <c r="FS8" s="156">
        <v>0.0</v>
      </c>
      <c r="FT8" s="156">
        <v>0.0</v>
      </c>
      <c r="FU8" s="156">
        <v>0.0</v>
      </c>
      <c r="FV8" s="156">
        <v>0.0</v>
      </c>
      <c r="FW8" s="174"/>
      <c r="FX8" s="174"/>
      <c r="FY8" s="174"/>
      <c r="FZ8" s="174">
        <v>1.0</v>
      </c>
      <c r="GA8" s="174"/>
      <c r="GB8" s="174"/>
      <c r="GC8" s="174"/>
      <c r="GD8" s="174">
        <v>1.0</v>
      </c>
      <c r="GE8" s="174">
        <v>0.0</v>
      </c>
      <c r="GF8" s="174">
        <v>0.0</v>
      </c>
      <c r="GG8" s="174">
        <v>1.0</v>
      </c>
      <c r="GH8" s="174"/>
      <c r="GI8" s="175">
        <v>1.0</v>
      </c>
      <c r="GJ8" s="174"/>
      <c r="GK8" s="175">
        <v>1.0</v>
      </c>
      <c r="GL8" s="174"/>
      <c r="GM8" s="174"/>
      <c r="GN8" s="175"/>
      <c r="GO8" s="174"/>
      <c r="GP8" s="176"/>
      <c r="GQ8" s="174"/>
      <c r="GR8" s="174"/>
      <c r="GS8" s="174"/>
      <c r="GT8" s="174"/>
      <c r="GU8" s="174"/>
      <c r="GV8" s="174"/>
      <c r="GW8" s="174"/>
      <c r="GX8" s="174"/>
      <c r="GY8" s="174"/>
      <c r="GZ8" s="174"/>
      <c r="HA8" s="174"/>
      <c r="HB8" s="155">
        <v>10.0</v>
      </c>
      <c r="HC8" s="155">
        <v>0.0</v>
      </c>
      <c r="HD8" s="155">
        <v>0.0</v>
      </c>
      <c r="HE8" s="155">
        <v>0.0</v>
      </c>
      <c r="HF8" s="155">
        <v>0.0</v>
      </c>
      <c r="HG8" s="155">
        <v>0.0</v>
      </c>
      <c r="HH8" s="174">
        <v>1.0</v>
      </c>
      <c r="HI8" s="174">
        <v>0.0</v>
      </c>
      <c r="HJ8" s="174">
        <v>1.0</v>
      </c>
      <c r="HK8" s="174">
        <v>0.0</v>
      </c>
      <c r="HL8" s="174">
        <v>1.0</v>
      </c>
      <c r="HM8" s="174">
        <v>0.0</v>
      </c>
      <c r="HN8" s="174">
        <v>0.0</v>
      </c>
      <c r="HO8" s="174">
        <v>1.0</v>
      </c>
      <c r="HP8" s="174">
        <v>0.0</v>
      </c>
      <c r="HQ8" s="174">
        <v>1.0</v>
      </c>
      <c r="HR8" s="174">
        <v>0.0</v>
      </c>
      <c r="HS8" s="174"/>
      <c r="HT8" s="174">
        <v>0.0</v>
      </c>
      <c r="HU8" s="174">
        <v>0.0</v>
      </c>
      <c r="HV8" s="174">
        <v>1.0</v>
      </c>
      <c r="HW8" s="174">
        <v>0.0</v>
      </c>
      <c r="HX8" s="174">
        <v>1.0</v>
      </c>
      <c r="HY8" s="174">
        <v>0.0</v>
      </c>
      <c r="HZ8" s="174"/>
      <c r="IA8" s="174">
        <v>0.0</v>
      </c>
      <c r="IB8" s="174">
        <v>0.0</v>
      </c>
      <c r="IC8" s="174"/>
      <c r="ID8" s="174">
        <v>0.0</v>
      </c>
      <c r="IE8" s="174">
        <v>1.0</v>
      </c>
      <c r="IF8" s="174">
        <v>0.0</v>
      </c>
      <c r="IG8" s="174">
        <v>1.0</v>
      </c>
      <c r="IH8" s="174">
        <v>0.0</v>
      </c>
      <c r="II8" s="174">
        <v>0.0</v>
      </c>
      <c r="IJ8" s="174">
        <v>1.0</v>
      </c>
      <c r="IK8" s="174">
        <v>0.0</v>
      </c>
      <c r="IL8" s="159">
        <v>9.0</v>
      </c>
      <c r="IM8" s="156">
        <v>0.0</v>
      </c>
      <c r="IN8" s="156">
        <v>0.0</v>
      </c>
      <c r="IO8" s="156">
        <v>0.0</v>
      </c>
      <c r="IP8" s="156">
        <v>0.0</v>
      </c>
      <c r="IQ8" s="160">
        <v>0.0</v>
      </c>
      <c r="IR8" s="174"/>
      <c r="IS8" s="174"/>
      <c r="IT8" s="174">
        <v>1.0</v>
      </c>
      <c r="IU8" s="174"/>
      <c r="IV8" s="174"/>
      <c r="IW8" s="174">
        <v>1.0</v>
      </c>
      <c r="IX8" s="174">
        <v>0.0</v>
      </c>
      <c r="IY8" s="174"/>
      <c r="IZ8" s="174">
        <v>0.0</v>
      </c>
      <c r="JA8" s="174">
        <v>1.0</v>
      </c>
      <c r="JB8" s="174">
        <v>0.0</v>
      </c>
      <c r="JC8" s="174">
        <v>0.0</v>
      </c>
      <c r="JD8" s="174">
        <v>1.0</v>
      </c>
      <c r="JE8" s="174">
        <v>0.0</v>
      </c>
      <c r="JF8" s="174"/>
      <c r="JG8" s="174">
        <v>0.0</v>
      </c>
      <c r="JH8" s="177">
        <v>1.0</v>
      </c>
      <c r="JI8" s="174">
        <v>0.0</v>
      </c>
      <c r="JJ8" s="174">
        <v>0.0</v>
      </c>
      <c r="JK8" s="174">
        <v>1.0</v>
      </c>
      <c r="JL8" s="174">
        <v>0.0</v>
      </c>
      <c r="JM8" s="174">
        <v>1.0</v>
      </c>
      <c r="JN8" s="174">
        <v>0.0</v>
      </c>
      <c r="JO8" s="174">
        <v>1.0</v>
      </c>
      <c r="JP8" s="174">
        <v>0.0</v>
      </c>
      <c r="JQ8" s="174">
        <v>0.0</v>
      </c>
      <c r="JR8" s="174">
        <v>1.0</v>
      </c>
      <c r="JS8" s="174">
        <v>0.0</v>
      </c>
      <c r="JT8" s="174"/>
      <c r="JU8" s="174">
        <v>0.0</v>
      </c>
      <c r="JV8" s="174"/>
      <c r="JW8" s="159">
        <v>6.0</v>
      </c>
      <c r="JX8" s="156">
        <v>0.0</v>
      </c>
      <c r="JY8" s="156">
        <v>0.0</v>
      </c>
      <c r="JZ8" s="156">
        <v>0.0</v>
      </c>
      <c r="KA8" s="156">
        <v>0.0</v>
      </c>
      <c r="KB8" s="160">
        <v>0.0</v>
      </c>
      <c r="KC8" s="174"/>
      <c r="KD8" s="174"/>
      <c r="KE8" s="174"/>
      <c r="KF8" s="174"/>
      <c r="KG8" s="174"/>
      <c r="KH8" s="174"/>
      <c r="KI8" s="174"/>
      <c r="KJ8" s="174"/>
      <c r="KK8" s="174"/>
      <c r="KL8" s="174"/>
      <c r="KM8" s="174"/>
      <c r="KN8" s="174"/>
      <c r="KO8" s="174"/>
      <c r="KP8" s="174"/>
      <c r="KQ8" s="174"/>
      <c r="KR8" s="174"/>
      <c r="KS8" s="186">
        <v>1.0</v>
      </c>
      <c r="KT8" s="174"/>
      <c r="KU8" s="175">
        <v>1.0</v>
      </c>
      <c r="KV8" s="174"/>
      <c r="KW8" s="175">
        <v>1.0</v>
      </c>
      <c r="KX8" s="174"/>
      <c r="KY8" s="174"/>
      <c r="KZ8" s="175">
        <v>1.0</v>
      </c>
      <c r="LA8" s="174"/>
      <c r="LB8" s="175">
        <v>1.0</v>
      </c>
      <c r="LC8" s="174"/>
      <c r="LD8" s="175">
        <v>1.0</v>
      </c>
      <c r="LE8" s="174"/>
      <c r="LF8" s="174"/>
      <c r="LG8" s="174"/>
      <c r="LH8" s="159">
        <f t="shared" si="10"/>
        <v>5</v>
      </c>
      <c r="LI8" s="156">
        <f t="shared" si="11"/>
        <v>0</v>
      </c>
      <c r="LJ8" s="156">
        <f t="shared" si="12"/>
        <v>0</v>
      </c>
      <c r="LK8" s="156">
        <f t="shared" si="13"/>
        <v>0</v>
      </c>
      <c r="LL8" s="156">
        <f t="shared" si="14"/>
        <v>0</v>
      </c>
      <c r="LM8" s="160">
        <f t="shared" si="15"/>
        <v>0</v>
      </c>
      <c r="LN8" s="174"/>
      <c r="LO8" s="174"/>
      <c r="LP8" s="174"/>
      <c r="LQ8" s="187">
        <v>1.0</v>
      </c>
      <c r="LR8" s="174"/>
      <c r="LS8" s="174"/>
      <c r="LT8" s="187">
        <v>1.0</v>
      </c>
      <c r="LU8" s="174"/>
      <c r="LV8" s="174"/>
      <c r="LW8" s="174">
        <f t="shared" ref="LW8:MQ8" si="16">IFS(TODAY()&lt;=LW$2,0,WEEKDAY(LW$2)=2,1,WEEKDAY(LW$2)=3,0,WEEKDAY(LW$2)=4,1,WEEKDAY(LW$2)=5,0,WEEKDAY(LW$2)=6,1,WEEKDAY(LW$2)=7,0,WEEKDAY(LW$2)=1,0)</f>
        <v>0</v>
      </c>
      <c r="LX8" s="174">
        <f t="shared" si="16"/>
        <v>1</v>
      </c>
      <c r="LY8" s="174">
        <f t="shared" si="16"/>
        <v>0</v>
      </c>
      <c r="LZ8" s="174">
        <f t="shared" si="16"/>
        <v>0</v>
      </c>
      <c r="MA8" s="174">
        <f t="shared" si="16"/>
        <v>1</v>
      </c>
      <c r="MB8" s="174">
        <f t="shared" si="16"/>
        <v>0</v>
      </c>
      <c r="MC8" s="174">
        <f t="shared" si="16"/>
        <v>1</v>
      </c>
      <c r="MD8" s="174">
        <f t="shared" si="16"/>
        <v>0</v>
      </c>
      <c r="ME8" s="174">
        <f t="shared" si="16"/>
        <v>0</v>
      </c>
      <c r="MF8" s="174">
        <f t="shared" si="16"/>
        <v>0</v>
      </c>
      <c r="MG8" s="174">
        <f t="shared" si="16"/>
        <v>0</v>
      </c>
      <c r="MH8" s="174">
        <f t="shared" si="16"/>
        <v>0</v>
      </c>
      <c r="MI8" s="174">
        <f t="shared" si="16"/>
        <v>0</v>
      </c>
      <c r="MJ8" s="174">
        <f t="shared" si="16"/>
        <v>0</v>
      </c>
      <c r="MK8" s="174">
        <f t="shared" si="16"/>
        <v>0</v>
      </c>
      <c r="ML8" s="174">
        <f t="shared" si="16"/>
        <v>0</v>
      </c>
      <c r="MM8" s="174">
        <f t="shared" si="16"/>
        <v>0</v>
      </c>
      <c r="MN8" s="174">
        <f t="shared" si="16"/>
        <v>0</v>
      </c>
      <c r="MO8" s="174">
        <f t="shared" si="16"/>
        <v>0</v>
      </c>
      <c r="MP8" s="174">
        <f t="shared" si="16"/>
        <v>0</v>
      </c>
      <c r="MQ8" s="174">
        <f t="shared" si="16"/>
        <v>0</v>
      </c>
      <c r="QX8" s="163">
        <v>45755.0</v>
      </c>
    </row>
    <row r="9">
      <c r="A9" s="12">
        <f>IFERROR(__xludf.DUMMYFUNCTION("""COMPUTED_VALUE"""),4.20273234E8)</f>
        <v>420273234</v>
      </c>
      <c r="B9" s="12" t="str">
        <f>IFERROR(__xludf.DUMMYFUNCTION("""COMPUTED_VALUE"""),"Nguyễn Thị Hạnh")</f>
        <v>Nguyễn Thị Hạnh</v>
      </c>
      <c r="C9" s="12" t="str">
        <f>IFERROR(__xludf.DUMMYFUNCTION("""COMPUTED_VALUE"""),"SKAI51030JP")</f>
        <v>SKAI51030JP</v>
      </c>
      <c r="D9" s="12" t="str">
        <f>IFERROR(__xludf.DUMMYFUNCTION("""COMPUTED_VALUE"""),"Thường")</f>
        <v>Thường</v>
      </c>
      <c r="E9" s="142">
        <f>IFERROR(__xludf.DUMMYFUNCTION("""COMPUTED_VALUE"""),30.0)</f>
        <v>30</v>
      </c>
      <c r="F9" s="12" t="str">
        <f>IFERROR(__xludf.DUMMYFUNCTION("""COMPUTED_VALUE"""),"GV Nhật Bản")</f>
        <v>GV Nhật Bản</v>
      </c>
      <c r="G9" s="12" t="str">
        <f>IFERROR(__xludf.DUMMYFUNCTION("""COMPUTED_VALUE"""),"nguyenhanh150197@gmail.com")</f>
        <v>nguyenhanh150197@gmail.com</v>
      </c>
      <c r="H9" s="12" t="str">
        <f>IFERROR(__xludf.DUMMYFUNCTION("""COMPUTED_VALUE"""),"Lớp 1-1")</f>
        <v>Lớp 1-1</v>
      </c>
      <c r="I9" s="143">
        <f t="shared" si="5"/>
        <v>14</v>
      </c>
      <c r="J9" s="179">
        <v>46115.0</v>
      </c>
      <c r="K9" s="164" t="s">
        <v>61</v>
      </c>
      <c r="L9" s="171">
        <v>46132.0</v>
      </c>
      <c r="M9" s="164" t="s">
        <v>423</v>
      </c>
      <c r="N9" s="170" t="s">
        <v>424</v>
      </c>
      <c r="O9" s="170">
        <v>30.0</v>
      </c>
      <c r="P9" s="26"/>
      <c r="Q9" s="26"/>
      <c r="R9" s="26"/>
      <c r="S9" s="26"/>
      <c r="T9" s="26"/>
      <c r="U9" s="164" t="s">
        <v>447</v>
      </c>
      <c r="V9" s="165" t="s">
        <v>613</v>
      </c>
      <c r="W9" s="150"/>
      <c r="X9" s="181">
        <v>12.0</v>
      </c>
      <c r="Y9" s="166">
        <f t="shared" si="6"/>
        <v>16</v>
      </c>
      <c r="Z9" s="26">
        <f t="shared" si="7"/>
        <v>0</v>
      </c>
      <c r="AA9" s="26">
        <f t="shared" si="8"/>
        <v>0</v>
      </c>
      <c r="AB9" s="26">
        <f t="shared" si="9"/>
        <v>0</v>
      </c>
      <c r="AC9" s="155">
        <v>0.0</v>
      </c>
      <c r="AD9" s="155">
        <v>0.0</v>
      </c>
      <c r="AE9" s="155">
        <v>0.0</v>
      </c>
      <c r="AF9" s="155">
        <v>0.0</v>
      </c>
      <c r="AG9" s="155">
        <v>0.0</v>
      </c>
      <c r="AH9" s="155">
        <v>0.0</v>
      </c>
      <c r="BN9" s="155">
        <v>0.0</v>
      </c>
      <c r="BO9" s="155">
        <v>0.0</v>
      </c>
      <c r="BP9" s="155">
        <v>0.0</v>
      </c>
      <c r="BQ9" s="155">
        <v>0.0</v>
      </c>
      <c r="BR9" s="155">
        <v>0.0</v>
      </c>
      <c r="BS9" s="155">
        <v>0.0</v>
      </c>
      <c r="CV9" s="156">
        <v>0.0</v>
      </c>
      <c r="CW9" s="156">
        <v>0.0</v>
      </c>
      <c r="CX9" s="156">
        <v>0.0</v>
      </c>
      <c r="CY9" s="156">
        <v>0.0</v>
      </c>
      <c r="CZ9" s="156">
        <v>0.0</v>
      </c>
      <c r="DA9" s="156">
        <v>0.0</v>
      </c>
      <c r="EG9" s="156">
        <v>4.0</v>
      </c>
      <c r="EH9" s="156">
        <v>0.0</v>
      </c>
      <c r="EI9" s="156">
        <v>0.0</v>
      </c>
      <c r="EJ9" s="156">
        <v>0.0</v>
      </c>
      <c r="EK9" s="156">
        <v>0.0</v>
      </c>
      <c r="EL9" s="156">
        <v>0.0</v>
      </c>
      <c r="EO9" s="86">
        <v>1.0</v>
      </c>
      <c r="ER9" s="86">
        <v>1.0</v>
      </c>
      <c r="ET9" s="86">
        <v>1.0</v>
      </c>
      <c r="EV9" s="86">
        <v>1.0</v>
      </c>
      <c r="FQ9" s="156">
        <v>0.0</v>
      </c>
      <c r="FR9" s="156">
        <v>0.0</v>
      </c>
      <c r="FS9" s="156">
        <v>0.0</v>
      </c>
      <c r="FT9" s="156">
        <v>0.0</v>
      </c>
      <c r="FU9" s="156">
        <v>0.0</v>
      </c>
      <c r="FV9" s="156">
        <v>0.0</v>
      </c>
      <c r="FW9" s="188"/>
      <c r="FX9" s="157"/>
      <c r="FY9" s="157"/>
      <c r="FZ9" s="157"/>
      <c r="GA9" s="157"/>
      <c r="GB9" s="157"/>
      <c r="GC9" s="157"/>
      <c r="GD9" s="188"/>
      <c r="GE9" s="157"/>
      <c r="GF9" s="157"/>
      <c r="GG9" s="157"/>
      <c r="GH9" s="157"/>
      <c r="GI9" s="157"/>
      <c r="GJ9" s="157"/>
      <c r="GK9" s="188"/>
      <c r="GL9" s="157"/>
      <c r="GM9" s="157"/>
      <c r="GN9" s="157"/>
      <c r="GO9" s="157"/>
      <c r="GP9" s="158"/>
      <c r="GQ9" s="157"/>
      <c r="GR9" s="188"/>
      <c r="GS9" s="157"/>
      <c r="GT9" s="157"/>
      <c r="GU9" s="188"/>
      <c r="GV9" s="157"/>
      <c r="GW9" s="157"/>
      <c r="GX9" s="157"/>
      <c r="GY9" s="188"/>
      <c r="GZ9" s="157"/>
      <c r="HA9" s="157"/>
      <c r="HB9" s="155">
        <v>0.0</v>
      </c>
      <c r="HC9" s="155">
        <v>0.0</v>
      </c>
      <c r="HD9" s="155">
        <v>0.0</v>
      </c>
      <c r="HE9" s="155">
        <v>0.0</v>
      </c>
      <c r="HF9" s="155">
        <v>0.0</v>
      </c>
      <c r="HG9" s="155">
        <v>0.0</v>
      </c>
      <c r="IL9" s="159">
        <v>0.0</v>
      </c>
      <c r="IM9" s="156">
        <v>0.0</v>
      </c>
      <c r="IN9" s="156">
        <v>0.0</v>
      </c>
      <c r="IO9" s="156">
        <v>0.0</v>
      </c>
      <c r="IP9" s="156">
        <v>0.0</v>
      </c>
      <c r="IQ9" s="160">
        <v>0.0</v>
      </c>
      <c r="JH9" s="25"/>
      <c r="JW9" s="159">
        <v>0.0</v>
      </c>
      <c r="JX9" s="156">
        <v>0.0</v>
      </c>
      <c r="JY9" s="156">
        <v>0.0</v>
      </c>
      <c r="JZ9" s="156">
        <v>0.0</v>
      </c>
      <c r="KA9" s="156">
        <v>0.0</v>
      </c>
      <c r="KB9" s="160">
        <v>0.0</v>
      </c>
      <c r="LH9" s="159">
        <f t="shared" si="10"/>
        <v>0</v>
      </c>
      <c r="LI9" s="156">
        <f t="shared" si="11"/>
        <v>0</v>
      </c>
      <c r="LJ9" s="156">
        <f t="shared" si="12"/>
        <v>0</v>
      </c>
      <c r="LK9" s="156">
        <f t="shared" si="13"/>
        <v>0</v>
      </c>
      <c r="LL9" s="156">
        <f t="shared" si="14"/>
        <v>0</v>
      </c>
      <c r="LM9" s="160">
        <f t="shared" si="15"/>
        <v>0</v>
      </c>
      <c r="LP9" s="189"/>
      <c r="LQ9" s="189"/>
      <c r="LR9" s="189"/>
      <c r="LS9" s="189"/>
      <c r="LT9" s="189"/>
      <c r="LU9" s="189"/>
      <c r="QX9" s="163">
        <v>45756.0</v>
      </c>
    </row>
    <row r="10">
      <c r="A10" s="12">
        <f>IFERROR(__xludf.DUMMYFUNCTION("""COMPUTED_VALUE"""),4.20276012E8)</f>
        <v>420276012</v>
      </c>
      <c r="B10" s="12" t="str">
        <f>IFERROR(__xludf.DUMMYFUNCTION("""COMPUTED_VALUE"""),"Nguyễn Thị Thuỷ")</f>
        <v>Nguyễn Thị Thuỷ</v>
      </c>
      <c r="C10" s="12" t="str">
        <f>IFERROR(__xludf.DUMMYFUNCTION("""COMPUTED_VALUE"""),"CKAI231030VN")</f>
        <v>CKAI231030VN</v>
      </c>
      <c r="D10" s="12" t="str">
        <f>IFERROR(__xludf.DUMMYFUNCTION("""COMPUTED_VALUE"""),"Thường")</f>
        <v>Thường</v>
      </c>
      <c r="E10" s="142">
        <f>IFERROR(__xludf.DUMMYFUNCTION("""COMPUTED_VALUE"""),60.0096)</f>
        <v>60.0096</v>
      </c>
      <c r="F10" s="12" t="str">
        <f>IFERROR(__xludf.DUMMYFUNCTION("""COMPUTED_VALUE"""),"GV Việt Nam")</f>
        <v>GV Việt Nam</v>
      </c>
      <c r="G10" s="12" t="str">
        <f>IFERROR(__xludf.DUMMYFUNCTION("""COMPUTED_VALUE"""),"tamthuyan1991@gmail.com")</f>
        <v>tamthuyan1991@gmail.com</v>
      </c>
      <c r="H10" s="12" t="str">
        <f>IFERROR(__xludf.DUMMYFUNCTION("""COMPUTED_VALUE"""),"Lớp 1-1")</f>
        <v>Lớp 1-1</v>
      </c>
      <c r="I10" s="143">
        <f t="shared" si="5"/>
        <v>39.0096</v>
      </c>
      <c r="J10" s="144"/>
      <c r="K10" s="164" t="s">
        <v>61</v>
      </c>
      <c r="L10" s="171">
        <v>46125.0</v>
      </c>
      <c r="M10" s="147"/>
      <c r="N10" s="148"/>
      <c r="O10" s="148"/>
      <c r="P10" s="26"/>
      <c r="Q10" s="26"/>
      <c r="R10" s="26"/>
      <c r="S10" s="26"/>
      <c r="T10" s="26"/>
      <c r="U10" s="147"/>
      <c r="V10" s="149"/>
      <c r="W10" s="150"/>
      <c r="X10" s="181">
        <v>17.0</v>
      </c>
      <c r="Y10" s="166">
        <f t="shared" si="6"/>
        <v>21</v>
      </c>
      <c r="Z10" s="26">
        <f t="shared" si="7"/>
        <v>0</v>
      </c>
      <c r="AA10" s="26">
        <f t="shared" si="8"/>
        <v>1</v>
      </c>
      <c r="AB10" s="26">
        <f t="shared" si="9"/>
        <v>0</v>
      </c>
      <c r="AC10" s="155">
        <v>0.0</v>
      </c>
      <c r="AD10" s="155">
        <v>0.0</v>
      </c>
      <c r="AE10" s="155">
        <v>0.0</v>
      </c>
      <c r="AF10" s="155">
        <v>0.0</v>
      </c>
      <c r="AG10" s="155">
        <v>0.0</v>
      </c>
      <c r="AH10" s="155">
        <v>0.0</v>
      </c>
      <c r="BN10" s="155">
        <v>0.0</v>
      </c>
      <c r="BO10" s="155">
        <v>0.0</v>
      </c>
      <c r="BP10" s="155">
        <v>0.0</v>
      </c>
      <c r="BQ10" s="155">
        <v>0.0</v>
      </c>
      <c r="BR10" s="155">
        <v>0.0</v>
      </c>
      <c r="BS10" s="155">
        <v>0.0</v>
      </c>
      <c r="CV10" s="156">
        <v>0.0</v>
      </c>
      <c r="CW10" s="156">
        <v>0.0</v>
      </c>
      <c r="CX10" s="156">
        <v>0.0</v>
      </c>
      <c r="CY10" s="156">
        <v>0.0</v>
      </c>
      <c r="CZ10" s="156">
        <v>0.0</v>
      </c>
      <c r="DA10" s="156">
        <v>0.0</v>
      </c>
      <c r="EG10" s="156">
        <v>0.0</v>
      </c>
      <c r="EH10" s="156">
        <v>0.0</v>
      </c>
      <c r="EI10" s="156">
        <v>0.0</v>
      </c>
      <c r="EJ10" s="156">
        <v>0.0</v>
      </c>
      <c r="EK10" s="156">
        <v>0.0</v>
      </c>
      <c r="EL10" s="156">
        <v>0.0</v>
      </c>
      <c r="FQ10" s="156">
        <v>0.0</v>
      </c>
      <c r="FR10" s="156">
        <v>0.0</v>
      </c>
      <c r="FS10" s="156">
        <v>0.0</v>
      </c>
      <c r="FT10" s="156">
        <v>0.0</v>
      </c>
      <c r="FU10" s="156">
        <v>0.0</v>
      </c>
      <c r="FV10" s="156">
        <v>0.0</v>
      </c>
      <c r="FW10" s="157"/>
      <c r="FX10" s="157"/>
      <c r="FY10" s="157"/>
      <c r="FZ10" s="157"/>
      <c r="GA10" s="157"/>
      <c r="GB10" s="157"/>
      <c r="GC10" s="157"/>
      <c r="GD10" s="157"/>
      <c r="GE10" s="157"/>
      <c r="GF10" s="157"/>
      <c r="GG10" s="157"/>
      <c r="GH10" s="157"/>
      <c r="GI10" s="157"/>
      <c r="GJ10" s="157"/>
      <c r="GK10" s="157"/>
      <c r="GL10" s="157"/>
      <c r="GM10" s="157"/>
      <c r="GN10" s="157"/>
      <c r="GO10" s="157"/>
      <c r="GP10" s="158"/>
      <c r="GQ10" s="157"/>
      <c r="GR10" s="157"/>
      <c r="GS10" s="157"/>
      <c r="GT10" s="157"/>
      <c r="GU10" s="157"/>
      <c r="GV10" s="157"/>
      <c r="GW10" s="157"/>
      <c r="GX10" s="157"/>
      <c r="GY10" s="157"/>
      <c r="GZ10" s="157"/>
      <c r="HA10" s="157"/>
      <c r="HB10" s="155">
        <v>0.0</v>
      </c>
      <c r="HC10" s="155">
        <v>0.0</v>
      </c>
      <c r="HD10" s="155">
        <v>0.0</v>
      </c>
      <c r="HE10" s="155">
        <v>0.0</v>
      </c>
      <c r="HF10" s="155">
        <v>0.0</v>
      </c>
      <c r="HG10" s="155">
        <v>0.0</v>
      </c>
      <c r="IL10" s="159">
        <v>0.0</v>
      </c>
      <c r="IM10" s="156">
        <v>0.0</v>
      </c>
      <c r="IN10" s="156">
        <v>0.0</v>
      </c>
      <c r="IO10" s="156">
        <v>0.0</v>
      </c>
      <c r="IP10" s="156">
        <v>0.0</v>
      </c>
      <c r="IQ10" s="160">
        <v>0.0</v>
      </c>
      <c r="JH10" s="25"/>
      <c r="JW10" s="159">
        <v>0.0</v>
      </c>
      <c r="JX10" s="156">
        <v>0.0</v>
      </c>
      <c r="JY10" s="156">
        <v>0.0</v>
      </c>
      <c r="JZ10" s="156">
        <v>0.0</v>
      </c>
      <c r="KA10" s="156">
        <v>0.0</v>
      </c>
      <c r="KB10" s="160">
        <v>0.0</v>
      </c>
      <c r="LH10" s="159">
        <f t="shared" si="10"/>
        <v>4</v>
      </c>
      <c r="LI10" s="156">
        <f t="shared" si="11"/>
        <v>0</v>
      </c>
      <c r="LJ10" s="156">
        <f t="shared" si="12"/>
        <v>0</v>
      </c>
      <c r="LK10" s="156">
        <f t="shared" si="13"/>
        <v>1</v>
      </c>
      <c r="LL10" s="156">
        <f t="shared" si="14"/>
        <v>0</v>
      </c>
      <c r="LM10" s="160">
        <f t="shared" si="15"/>
        <v>0</v>
      </c>
      <c r="LP10" s="189" t="s">
        <v>624</v>
      </c>
      <c r="LQ10" s="189">
        <v>2.0</v>
      </c>
      <c r="LU10" s="189">
        <v>1.0</v>
      </c>
      <c r="QX10" s="163">
        <v>45757.0</v>
      </c>
    </row>
    <row r="11">
      <c r="A11" s="12">
        <f>IFERROR(__xludf.DUMMYFUNCTION("""COMPUTED_VALUE"""),4.20276401E8)</f>
        <v>420276401</v>
      </c>
      <c r="B11" s="12" t="str">
        <f>IFERROR(__xludf.DUMMYFUNCTION("""COMPUTED_VALUE"""),"Lê Thị Kim Duyên")</f>
        <v>Lê Thị Kim Duyên</v>
      </c>
      <c r="C11" s="12" t="str">
        <f>IFERROR(__xludf.DUMMYFUNCTION("""COMPUTED_VALUE"""),"SKAI61030JP")</f>
        <v>SKAI61030JP</v>
      </c>
      <c r="D11" s="12" t="str">
        <f>IFERROR(__xludf.DUMMYFUNCTION("""COMPUTED_VALUE"""),"Thường")</f>
        <v>Thường</v>
      </c>
      <c r="E11" s="142">
        <f>IFERROR(__xludf.DUMMYFUNCTION("""COMPUTED_VALUE"""),120.0)</f>
        <v>120</v>
      </c>
      <c r="F11" s="12" t="str">
        <f>IFERROR(__xludf.DUMMYFUNCTION("""COMPUTED_VALUE"""),"GV Nhật Bản")</f>
        <v>GV Nhật Bản</v>
      </c>
      <c r="G11" s="12" t="str">
        <f>IFERROR(__xludf.DUMMYFUNCTION("""COMPUTED_VALUE"""),"ngocle080885@gmail.com")</f>
        <v>ngocle080885@gmail.com</v>
      </c>
      <c r="H11" s="12" t="str">
        <f>IFERROR(__xludf.DUMMYFUNCTION("""COMPUTED_VALUE"""),"Lớp 1-1")</f>
        <v>Lớp 1-1</v>
      </c>
      <c r="I11" s="143">
        <f t="shared" si="5"/>
        <v>107</v>
      </c>
      <c r="J11" s="144"/>
      <c r="K11" s="180" t="s">
        <v>53</v>
      </c>
      <c r="L11" s="146"/>
      <c r="M11" s="147"/>
      <c r="N11" s="148"/>
      <c r="O11" s="148"/>
      <c r="P11" s="26"/>
      <c r="Q11" s="26"/>
      <c r="R11" s="26"/>
      <c r="S11" s="26"/>
      <c r="T11" s="26"/>
      <c r="U11" s="147"/>
      <c r="V11" s="149"/>
      <c r="W11" s="150"/>
      <c r="X11" s="181">
        <v>13.0</v>
      </c>
      <c r="Y11" s="166">
        <f t="shared" si="6"/>
        <v>13</v>
      </c>
      <c r="Z11" s="26">
        <f t="shared" si="7"/>
        <v>0</v>
      </c>
      <c r="AA11" s="26">
        <f t="shared" si="8"/>
        <v>0</v>
      </c>
      <c r="AB11" s="26">
        <f t="shared" si="9"/>
        <v>0</v>
      </c>
      <c r="AC11" s="155">
        <v>0.0</v>
      </c>
      <c r="AD11" s="155">
        <v>0.0</v>
      </c>
      <c r="AE11" s="155">
        <v>0.0</v>
      </c>
      <c r="AF11" s="155">
        <v>0.0</v>
      </c>
      <c r="AG11" s="155">
        <v>0.0</v>
      </c>
      <c r="AH11" s="155">
        <v>0.0</v>
      </c>
      <c r="BN11" s="155">
        <v>0.0</v>
      </c>
      <c r="BO11" s="155">
        <v>0.0</v>
      </c>
      <c r="BP11" s="155">
        <v>0.0</v>
      </c>
      <c r="BQ11" s="155">
        <v>0.0</v>
      </c>
      <c r="BR11" s="155">
        <v>0.0</v>
      </c>
      <c r="BS11" s="155">
        <v>0.0</v>
      </c>
      <c r="CV11" s="156">
        <v>0.0</v>
      </c>
      <c r="CW11" s="156">
        <v>0.0</v>
      </c>
      <c r="CX11" s="156">
        <v>0.0</v>
      </c>
      <c r="CY11" s="156">
        <v>0.0</v>
      </c>
      <c r="CZ11" s="156">
        <v>0.0</v>
      </c>
      <c r="DA11" s="156">
        <v>0.0</v>
      </c>
      <c r="EG11" s="156">
        <v>0.0</v>
      </c>
      <c r="EH11" s="156">
        <v>0.0</v>
      </c>
      <c r="EI11" s="156">
        <v>0.0</v>
      </c>
      <c r="EJ11" s="156">
        <v>0.0</v>
      </c>
      <c r="EK11" s="156">
        <v>0.0</v>
      </c>
      <c r="EL11" s="156">
        <v>0.0</v>
      </c>
      <c r="FQ11" s="156">
        <v>0.0</v>
      </c>
      <c r="FR11" s="156">
        <v>0.0</v>
      </c>
      <c r="FS11" s="156">
        <v>0.0</v>
      </c>
      <c r="FT11" s="156">
        <v>0.0</v>
      </c>
      <c r="FU11" s="156">
        <v>0.0</v>
      </c>
      <c r="FV11" s="156">
        <v>0.0</v>
      </c>
      <c r="FW11" s="157"/>
      <c r="FX11" s="157"/>
      <c r="FY11" s="157"/>
      <c r="FZ11" s="157"/>
      <c r="GA11" s="157"/>
      <c r="GB11" s="157"/>
      <c r="GC11" s="157"/>
      <c r="GD11" s="157"/>
      <c r="GE11" s="157"/>
      <c r="GF11" s="157"/>
      <c r="GG11" s="157"/>
      <c r="GH11" s="157"/>
      <c r="GI11" s="157"/>
      <c r="GJ11" s="157"/>
      <c r="GK11" s="157"/>
      <c r="GL11" s="157"/>
      <c r="GM11" s="157"/>
      <c r="GN11" s="157"/>
      <c r="GO11" s="157"/>
      <c r="GP11" s="158"/>
      <c r="GQ11" s="157"/>
      <c r="GR11" s="157"/>
      <c r="GS11" s="157"/>
      <c r="GT11" s="157"/>
      <c r="GU11" s="157"/>
      <c r="GV11" s="157"/>
      <c r="GW11" s="157"/>
      <c r="GX11" s="157"/>
      <c r="GY11" s="157"/>
      <c r="GZ11" s="157"/>
      <c r="HA11" s="157"/>
      <c r="HB11" s="155">
        <v>0.0</v>
      </c>
      <c r="HC11" s="155">
        <v>0.0</v>
      </c>
      <c r="HD11" s="155">
        <v>0.0</v>
      </c>
      <c r="HE11" s="155">
        <v>0.0</v>
      </c>
      <c r="HF11" s="155">
        <v>0.0</v>
      </c>
      <c r="HG11" s="155">
        <v>0.0</v>
      </c>
      <c r="IL11" s="159">
        <v>0.0</v>
      </c>
      <c r="IM11" s="156">
        <v>0.0</v>
      </c>
      <c r="IN11" s="156">
        <v>0.0</v>
      </c>
      <c r="IO11" s="156">
        <v>0.0</v>
      </c>
      <c r="IP11" s="156">
        <v>0.0</v>
      </c>
      <c r="IQ11" s="160">
        <v>0.0</v>
      </c>
      <c r="JH11" s="25"/>
      <c r="JW11" s="159">
        <v>0.0</v>
      </c>
      <c r="JX11" s="156">
        <v>0.0</v>
      </c>
      <c r="JY11" s="156">
        <v>0.0</v>
      </c>
      <c r="JZ11" s="156">
        <v>0.0</v>
      </c>
      <c r="KA11" s="156">
        <v>0.0</v>
      </c>
      <c r="KB11" s="160">
        <v>0.0</v>
      </c>
      <c r="LH11" s="159">
        <f t="shared" si="10"/>
        <v>0</v>
      </c>
      <c r="LI11" s="156">
        <f t="shared" si="11"/>
        <v>0</v>
      </c>
      <c r="LJ11" s="156">
        <f t="shared" si="12"/>
        <v>0</v>
      </c>
      <c r="LK11" s="156">
        <f t="shared" si="13"/>
        <v>0</v>
      </c>
      <c r="LL11" s="156">
        <f t="shared" si="14"/>
        <v>0</v>
      </c>
      <c r="LM11" s="160">
        <f t="shared" si="15"/>
        <v>0</v>
      </c>
      <c r="QX11" s="163">
        <v>45758.0</v>
      </c>
    </row>
    <row r="12">
      <c r="A12" s="12">
        <f>IFERROR(__xludf.DUMMYFUNCTION("""COMPUTED_VALUE"""),4.20277322E8)</f>
        <v>420277322</v>
      </c>
      <c r="B12" s="12" t="str">
        <f>IFERROR(__xludf.DUMMYFUNCTION("""COMPUTED_VALUE"""),"Vũ Thi Anh")</f>
        <v>Vũ Thi Anh</v>
      </c>
      <c r="C12" s="12" t="str">
        <f>IFERROR(__xludf.DUMMYFUNCTION("""COMPUTED_VALUE"""),"SKAI41030JP")</f>
        <v>SKAI41030JP</v>
      </c>
      <c r="D12" s="12" t="str">
        <f>IFERROR(__xludf.DUMMYFUNCTION("""COMPUTED_VALUE"""),"Thường")</f>
        <v>Thường</v>
      </c>
      <c r="E12" s="142">
        <f>IFERROR(__xludf.DUMMYFUNCTION("""COMPUTED_VALUE"""),30.0)</f>
        <v>30</v>
      </c>
      <c r="F12" s="12" t="str">
        <f>IFERROR(__xludf.DUMMYFUNCTION("""COMPUTED_VALUE"""),"GV Nhật Bản")</f>
        <v>GV Nhật Bản</v>
      </c>
      <c r="G12" s="12" t="str">
        <f>IFERROR(__xludf.DUMMYFUNCTION("""COMPUTED_VALUE"""),"anhvu40006@gmail.com")</f>
        <v>anhvu40006@gmail.com</v>
      </c>
      <c r="H12" s="12" t="str">
        <f>IFERROR(__xludf.DUMMYFUNCTION("""COMPUTED_VALUE"""),"Lớp 1-1")</f>
        <v>Lớp 1-1</v>
      </c>
      <c r="I12" s="143">
        <f t="shared" si="5"/>
        <v>12</v>
      </c>
      <c r="J12" s="144"/>
      <c r="K12" s="180" t="s">
        <v>61</v>
      </c>
      <c r="L12" s="146"/>
      <c r="M12" s="147"/>
      <c r="N12" s="148"/>
      <c r="O12" s="148"/>
      <c r="P12" s="26"/>
      <c r="Q12" s="26"/>
      <c r="R12" s="26"/>
      <c r="S12" s="26"/>
      <c r="T12" s="26"/>
      <c r="U12" s="147"/>
      <c r="V12" s="149"/>
      <c r="W12" s="150"/>
      <c r="X12" s="190">
        <v>18.0</v>
      </c>
      <c r="Y12" s="166">
        <f t="shared" si="6"/>
        <v>18</v>
      </c>
      <c r="Z12" s="26">
        <f t="shared" si="7"/>
        <v>0</v>
      </c>
      <c r="AA12" s="26">
        <f t="shared" si="8"/>
        <v>0</v>
      </c>
      <c r="AB12" s="26">
        <f t="shared" si="9"/>
        <v>0</v>
      </c>
      <c r="AC12" s="155">
        <v>0.0</v>
      </c>
      <c r="AD12" s="155">
        <v>0.0</v>
      </c>
      <c r="AE12" s="155">
        <v>0.0</v>
      </c>
      <c r="AF12" s="155">
        <v>0.0</v>
      </c>
      <c r="AG12" s="155">
        <v>0.0</v>
      </c>
      <c r="AH12" s="155">
        <v>0.0</v>
      </c>
      <c r="BN12" s="155">
        <v>0.0</v>
      </c>
      <c r="BO12" s="155">
        <v>0.0</v>
      </c>
      <c r="BP12" s="155">
        <v>0.0</v>
      </c>
      <c r="BQ12" s="155">
        <v>0.0</v>
      </c>
      <c r="BR12" s="155">
        <v>0.0</v>
      </c>
      <c r="BS12" s="155">
        <v>0.0</v>
      </c>
      <c r="CV12" s="156">
        <v>0.0</v>
      </c>
      <c r="CW12" s="156">
        <v>0.0</v>
      </c>
      <c r="CX12" s="156">
        <v>0.0</v>
      </c>
      <c r="CY12" s="156">
        <v>0.0</v>
      </c>
      <c r="CZ12" s="156">
        <v>0.0</v>
      </c>
      <c r="DA12" s="156">
        <v>0.0</v>
      </c>
      <c r="EG12" s="156">
        <v>0.0</v>
      </c>
      <c r="EH12" s="156">
        <v>0.0</v>
      </c>
      <c r="EI12" s="156">
        <v>0.0</v>
      </c>
      <c r="EJ12" s="156">
        <v>0.0</v>
      </c>
      <c r="EK12" s="156">
        <v>0.0</v>
      </c>
      <c r="EL12" s="156">
        <v>0.0</v>
      </c>
      <c r="FQ12" s="156">
        <v>0.0</v>
      </c>
      <c r="FR12" s="156">
        <v>0.0</v>
      </c>
      <c r="FS12" s="156">
        <v>0.0</v>
      </c>
      <c r="FT12" s="156">
        <v>0.0</v>
      </c>
      <c r="FU12" s="156">
        <v>0.0</v>
      </c>
      <c r="FV12" s="156">
        <v>0.0</v>
      </c>
      <c r="FW12" s="157"/>
      <c r="FX12" s="157"/>
      <c r="FY12" s="157"/>
      <c r="FZ12" s="157"/>
      <c r="GA12" s="157"/>
      <c r="GB12" s="157"/>
      <c r="GC12" s="157"/>
      <c r="GD12" s="157"/>
      <c r="GE12" s="157"/>
      <c r="GF12" s="157"/>
      <c r="GG12" s="157"/>
      <c r="GH12" s="157"/>
      <c r="GI12" s="157"/>
      <c r="GJ12" s="157"/>
      <c r="GK12" s="157"/>
      <c r="GL12" s="157"/>
      <c r="GM12" s="157"/>
      <c r="GN12" s="157"/>
      <c r="GO12" s="157"/>
      <c r="GP12" s="158"/>
      <c r="GQ12" s="157"/>
      <c r="GR12" s="157"/>
      <c r="GS12" s="157"/>
      <c r="GT12" s="157"/>
      <c r="GU12" s="157"/>
      <c r="GV12" s="157"/>
      <c r="GW12" s="157"/>
      <c r="GX12" s="157"/>
      <c r="GY12" s="157"/>
      <c r="GZ12" s="157"/>
      <c r="HA12" s="157"/>
      <c r="HB12" s="155">
        <v>0.0</v>
      </c>
      <c r="HC12" s="155">
        <v>0.0</v>
      </c>
      <c r="HD12" s="155">
        <v>0.0</v>
      </c>
      <c r="HE12" s="155">
        <v>0.0</v>
      </c>
      <c r="HF12" s="155">
        <v>0.0</v>
      </c>
      <c r="HG12" s="155">
        <v>0.0</v>
      </c>
      <c r="IL12" s="159">
        <v>0.0</v>
      </c>
      <c r="IM12" s="156">
        <v>0.0</v>
      </c>
      <c r="IN12" s="156">
        <v>0.0</v>
      </c>
      <c r="IO12" s="156">
        <v>0.0</v>
      </c>
      <c r="IP12" s="156">
        <v>0.0</v>
      </c>
      <c r="IQ12" s="160">
        <v>0.0</v>
      </c>
      <c r="JH12" s="25"/>
      <c r="JW12" s="159">
        <v>0.0</v>
      </c>
      <c r="JX12" s="156">
        <v>0.0</v>
      </c>
      <c r="JY12" s="156">
        <v>0.0</v>
      </c>
      <c r="JZ12" s="156">
        <v>0.0</v>
      </c>
      <c r="KA12" s="156">
        <v>0.0</v>
      </c>
      <c r="KB12" s="160">
        <v>0.0</v>
      </c>
      <c r="LH12" s="159">
        <f t="shared" si="10"/>
        <v>0</v>
      </c>
      <c r="LI12" s="156">
        <f t="shared" si="11"/>
        <v>0</v>
      </c>
      <c r="LJ12" s="156">
        <f t="shared" si="12"/>
        <v>0</v>
      </c>
      <c r="LK12" s="156">
        <f t="shared" si="13"/>
        <v>0</v>
      </c>
      <c r="LL12" s="156">
        <f t="shared" si="14"/>
        <v>0</v>
      </c>
      <c r="LM12" s="160">
        <f t="shared" si="15"/>
        <v>0</v>
      </c>
      <c r="QX12" s="163">
        <v>45758.0</v>
      </c>
    </row>
    <row r="13">
      <c r="A13" s="25">
        <f>IFERROR(__xludf.DUMMYFUNCTION("""COMPUTED_VALUE"""),4.20276218E8)</f>
        <v>420276218</v>
      </c>
      <c r="B13" s="25" t="str">
        <f>IFERROR(__xludf.DUMMYFUNCTION("""COMPUTED_VALUE"""),"Bùi Vi Lâm")</f>
        <v>Bùi Vi Lâm</v>
      </c>
      <c r="C13" s="25" t="str">
        <f>IFERROR(__xludf.DUMMYFUNCTION("""COMPUTED_VALUE"""),"SKAI21030VN")</f>
        <v>SKAI21030VN</v>
      </c>
      <c r="D13" s="25" t="str">
        <f>IFERROR(__xludf.DUMMYFUNCTION("""COMPUTED_VALUE"""),"Thường")</f>
        <v>Thường</v>
      </c>
      <c r="E13" s="191">
        <f>IFERROR(__xludf.DUMMYFUNCTION("""COMPUTED_VALUE"""),60.0)</f>
        <v>60</v>
      </c>
      <c r="F13" s="25" t="str">
        <f>IFERROR(__xludf.DUMMYFUNCTION("""COMPUTED_VALUE"""),"GV Việt Nam")</f>
        <v>GV Việt Nam</v>
      </c>
      <c r="G13" s="25" t="str">
        <f>IFERROR(__xludf.DUMMYFUNCTION("""COMPUTED_VALUE"""),"Vilambui1818@gmail.com")</f>
        <v>Vilambui1818@gmail.com</v>
      </c>
      <c r="H13" s="25" t="str">
        <f>IFERROR(__xludf.DUMMYFUNCTION("""COMPUTED_VALUE"""),"Lớp 1-1")</f>
        <v>Lớp 1-1</v>
      </c>
      <c r="I13" s="143">
        <f t="shared" si="5"/>
        <v>0</v>
      </c>
      <c r="J13" s="192">
        <v>46078.0</v>
      </c>
      <c r="K13" s="164" t="s">
        <v>61</v>
      </c>
      <c r="L13" s="193">
        <v>45978.0</v>
      </c>
      <c r="M13" s="164" t="s">
        <v>435</v>
      </c>
      <c r="N13" s="170">
        <v>247.0</v>
      </c>
      <c r="O13" s="148">
        <v>30.0</v>
      </c>
      <c r="P13" s="26"/>
      <c r="Q13" s="26"/>
      <c r="R13" s="26"/>
      <c r="S13" s="26"/>
      <c r="T13" s="26"/>
      <c r="U13" s="164" t="s">
        <v>641</v>
      </c>
      <c r="V13" s="164" t="s">
        <v>563</v>
      </c>
      <c r="W13" s="49" t="s">
        <v>642</v>
      </c>
      <c r="X13" s="190">
        <v>30.0</v>
      </c>
      <c r="Y13" s="166">
        <f t="shared" si="6"/>
        <v>60</v>
      </c>
      <c r="Z13" s="26">
        <f t="shared" si="7"/>
        <v>0</v>
      </c>
      <c r="AA13" s="26">
        <f t="shared" si="8"/>
        <v>0</v>
      </c>
      <c r="AB13" s="26">
        <f t="shared" si="9"/>
        <v>0</v>
      </c>
      <c r="AC13" s="155">
        <v>0.0</v>
      </c>
      <c r="AD13" s="155">
        <v>0.0</v>
      </c>
      <c r="AE13" s="155">
        <v>0.0</v>
      </c>
      <c r="AF13" s="155">
        <v>0.0</v>
      </c>
      <c r="AG13" s="155">
        <v>0.0</v>
      </c>
      <c r="AH13" s="155">
        <v>0.0</v>
      </c>
      <c r="BN13" s="155">
        <v>2.0</v>
      </c>
      <c r="BO13" s="155">
        <v>0.0</v>
      </c>
      <c r="BP13" s="155">
        <v>0.0</v>
      </c>
      <c r="BQ13" s="155">
        <v>0.0</v>
      </c>
      <c r="BR13" s="155">
        <v>0.0</v>
      </c>
      <c r="BS13" s="155">
        <v>0.0</v>
      </c>
      <c r="CR13" s="86">
        <v>2.0</v>
      </c>
      <c r="CV13" s="156">
        <v>10.0</v>
      </c>
      <c r="CW13" s="156">
        <v>0.0</v>
      </c>
      <c r="CX13" s="156">
        <v>0.0</v>
      </c>
      <c r="CY13" s="156">
        <v>0.0</v>
      </c>
      <c r="CZ13" s="156">
        <v>0.0</v>
      </c>
      <c r="DA13" s="156">
        <v>0.0</v>
      </c>
      <c r="DC13" s="86">
        <v>1.0</v>
      </c>
      <c r="DE13" s="86">
        <v>1.0</v>
      </c>
      <c r="DJ13" s="86">
        <v>1.0</v>
      </c>
      <c r="DL13" s="86">
        <v>1.0</v>
      </c>
      <c r="DQ13" s="86">
        <v>1.0</v>
      </c>
      <c r="DS13" s="86">
        <v>1.0</v>
      </c>
      <c r="DX13" s="86">
        <v>1.0</v>
      </c>
      <c r="EA13" s="86">
        <v>1.0</v>
      </c>
      <c r="EC13" s="86">
        <v>1.0</v>
      </c>
      <c r="EE13" s="86">
        <v>1.0</v>
      </c>
      <c r="EG13" s="156">
        <v>10.0</v>
      </c>
      <c r="EH13" s="156">
        <v>0.0</v>
      </c>
      <c r="EI13" s="156">
        <v>0.0</v>
      </c>
      <c r="EJ13" s="156">
        <v>0.0</v>
      </c>
      <c r="EK13" s="156">
        <v>0.0</v>
      </c>
      <c r="EL13" s="156">
        <v>0.0</v>
      </c>
      <c r="EM13" s="86">
        <v>1.0</v>
      </c>
      <c r="EP13" s="86">
        <v>1.0</v>
      </c>
      <c r="ER13" s="86">
        <v>1.0</v>
      </c>
      <c r="ET13" s="86">
        <v>1.0</v>
      </c>
      <c r="EW13" s="86">
        <v>1.0</v>
      </c>
      <c r="EY13" s="86">
        <v>1.0</v>
      </c>
      <c r="FA13" s="86">
        <v>1.0</v>
      </c>
      <c r="FD13" s="86">
        <v>1.0</v>
      </c>
      <c r="FF13" s="86">
        <v>1.0</v>
      </c>
      <c r="FJ13" s="86">
        <v>1.0</v>
      </c>
      <c r="FQ13" s="156">
        <v>8.0</v>
      </c>
      <c r="FR13" s="156">
        <v>0.0</v>
      </c>
      <c r="FS13" s="156">
        <v>0.0</v>
      </c>
      <c r="FT13" s="156">
        <v>0.0</v>
      </c>
      <c r="FU13" s="156">
        <v>0.0</v>
      </c>
      <c r="FV13" s="156">
        <v>0.0</v>
      </c>
      <c r="FW13" s="188"/>
      <c r="FX13" s="188"/>
      <c r="FY13" s="157"/>
      <c r="FZ13" s="188">
        <v>1.0</v>
      </c>
      <c r="GA13" s="157"/>
      <c r="GB13" s="157"/>
      <c r="GC13" s="157"/>
      <c r="GD13" s="188">
        <v>1.0</v>
      </c>
      <c r="GE13" s="188">
        <v>1.0</v>
      </c>
      <c r="GF13" s="157"/>
      <c r="GG13" s="188"/>
      <c r="GH13" s="157"/>
      <c r="GI13" s="157"/>
      <c r="GJ13" s="157"/>
      <c r="GK13" s="188">
        <v>1.0</v>
      </c>
      <c r="GL13" s="188">
        <v>1.0</v>
      </c>
      <c r="GM13" s="157"/>
      <c r="GN13" s="188">
        <v>1.0</v>
      </c>
      <c r="GO13" s="157"/>
      <c r="GP13" s="158"/>
      <c r="GQ13" s="157"/>
      <c r="GR13" s="188">
        <v>1.0</v>
      </c>
      <c r="GS13" s="188">
        <v>1.0</v>
      </c>
      <c r="GT13" s="157"/>
      <c r="GU13" s="188"/>
      <c r="GV13" s="157"/>
      <c r="GW13" s="157"/>
      <c r="GX13" s="157"/>
      <c r="GY13" s="188"/>
      <c r="GZ13" s="188"/>
      <c r="HA13" s="157"/>
      <c r="HB13" s="155">
        <v>0.0</v>
      </c>
      <c r="HC13" s="155">
        <v>0.0</v>
      </c>
      <c r="HD13" s="155">
        <v>0.0</v>
      </c>
      <c r="HE13" s="155">
        <v>0.0</v>
      </c>
      <c r="HF13" s="155">
        <v>0.0</v>
      </c>
      <c r="HG13" s="155">
        <v>0.0</v>
      </c>
      <c r="IL13" s="159">
        <v>0.0</v>
      </c>
      <c r="IM13" s="156">
        <v>0.0</v>
      </c>
      <c r="IN13" s="156">
        <v>0.0</v>
      </c>
      <c r="IO13" s="156">
        <v>0.0</v>
      </c>
      <c r="IP13" s="156">
        <v>0.0</v>
      </c>
      <c r="IQ13" s="160">
        <v>0.0</v>
      </c>
      <c r="JH13" s="25"/>
      <c r="JW13" s="159">
        <v>0.0</v>
      </c>
      <c r="JX13" s="156">
        <v>0.0</v>
      </c>
      <c r="JY13" s="156">
        <v>0.0</v>
      </c>
      <c r="JZ13" s="156">
        <v>0.0</v>
      </c>
      <c r="KA13" s="156">
        <v>0.0</v>
      </c>
      <c r="KB13" s="160">
        <v>0.0</v>
      </c>
      <c r="LH13" s="159">
        <f t="shared" si="10"/>
        <v>0</v>
      </c>
      <c r="LI13" s="156">
        <f t="shared" si="11"/>
        <v>0</v>
      </c>
      <c r="LJ13" s="156">
        <f t="shared" si="12"/>
        <v>0</v>
      </c>
      <c r="LK13" s="156">
        <f t="shared" si="13"/>
        <v>0</v>
      </c>
      <c r="LL13" s="156">
        <f t="shared" si="14"/>
        <v>0</v>
      </c>
      <c r="LM13" s="160">
        <f t="shared" si="15"/>
        <v>0</v>
      </c>
      <c r="QX13" s="163"/>
    </row>
    <row r="14">
      <c r="A14" s="194" t="str">
        <f>IFERROR(__xludf.DUMMYFUNCTION("QUERY('1.Chăm sóc'!A15:AG1011,""Select A,E,K,I,N,L,H,O"")"),"#REF!")</f>
        <v>#REF!</v>
      </c>
      <c r="B14" s="12"/>
      <c r="C14" s="12"/>
      <c r="D14" s="12"/>
      <c r="E14" s="12"/>
      <c r="F14" s="12"/>
      <c r="G14" s="12"/>
      <c r="H14" s="12"/>
      <c r="I14" s="143">
        <f t="shared" si="5"/>
        <v>-90</v>
      </c>
      <c r="J14" s="144">
        <v>45756.0</v>
      </c>
      <c r="K14" s="195" t="s">
        <v>61</v>
      </c>
      <c r="L14" s="171">
        <v>46141.0</v>
      </c>
      <c r="M14" s="147" t="s">
        <v>107</v>
      </c>
      <c r="N14" s="148">
        <v>357.0</v>
      </c>
      <c r="O14" s="148">
        <v>30.0</v>
      </c>
      <c r="P14" s="26"/>
      <c r="Q14" s="26"/>
      <c r="R14" s="26"/>
      <c r="S14" s="26"/>
      <c r="T14" s="26"/>
      <c r="U14" s="147" t="s">
        <v>653</v>
      </c>
      <c r="V14" s="149" t="s">
        <v>654</v>
      </c>
      <c r="W14" s="150" t="s">
        <v>655</v>
      </c>
      <c r="X14" s="181">
        <v>80.0</v>
      </c>
      <c r="Y14" s="166">
        <f t="shared" si="6"/>
        <v>90</v>
      </c>
      <c r="Z14" s="26">
        <f t="shared" si="7"/>
        <v>0</v>
      </c>
      <c r="AA14" s="26">
        <f t="shared" si="8"/>
        <v>0</v>
      </c>
      <c r="AB14" s="26">
        <f t="shared" si="9"/>
        <v>0</v>
      </c>
      <c r="AC14" s="155">
        <v>10.0</v>
      </c>
      <c r="AD14" s="155">
        <v>0.0</v>
      </c>
      <c r="AE14" s="155">
        <v>0.0</v>
      </c>
      <c r="AF14" s="155">
        <v>0.0</v>
      </c>
      <c r="AG14" s="155">
        <v>0.0</v>
      </c>
      <c r="AH14" s="155">
        <v>0.0</v>
      </c>
      <c r="AI14" s="167"/>
      <c r="AJ14" s="167"/>
      <c r="AK14" s="167"/>
      <c r="AL14" s="167"/>
      <c r="AM14" s="167"/>
      <c r="AN14" s="167">
        <v>1.0</v>
      </c>
      <c r="AO14" s="167">
        <v>0.0</v>
      </c>
      <c r="AP14" s="167">
        <v>1.0</v>
      </c>
      <c r="AQ14" s="167">
        <v>0.0</v>
      </c>
      <c r="AR14" s="167"/>
      <c r="AS14" s="168">
        <v>1.0</v>
      </c>
      <c r="AT14" s="167">
        <v>0.0</v>
      </c>
      <c r="AU14" s="167">
        <v>1.0</v>
      </c>
      <c r="AV14" s="167">
        <v>0.0</v>
      </c>
      <c r="AW14" s="167">
        <v>1.0</v>
      </c>
      <c r="AX14" s="167">
        <v>0.0</v>
      </c>
      <c r="AY14" s="167">
        <v>1.0</v>
      </c>
      <c r="AZ14" s="167">
        <v>0.0</v>
      </c>
      <c r="BA14" s="167">
        <v>0.0</v>
      </c>
      <c r="BB14" s="167"/>
      <c r="BC14" s="167">
        <v>0.0</v>
      </c>
      <c r="BD14" s="167">
        <v>1.0</v>
      </c>
      <c r="BE14" s="167">
        <v>0.0</v>
      </c>
      <c r="BF14" s="167"/>
      <c r="BG14" s="168">
        <v>1.0</v>
      </c>
      <c r="BH14" s="168">
        <v>1.0</v>
      </c>
      <c r="BI14" s="167">
        <v>1.0</v>
      </c>
      <c r="BJ14" s="167"/>
      <c r="BK14" s="167"/>
      <c r="BL14" s="167"/>
      <c r="BM14" s="167"/>
      <c r="BN14" s="155">
        <v>0.0</v>
      </c>
      <c r="BO14" s="155">
        <v>0.0</v>
      </c>
      <c r="BP14" s="155">
        <v>0.0</v>
      </c>
      <c r="BQ14" s="155">
        <v>0.0</v>
      </c>
      <c r="BR14" s="155">
        <v>0.0</v>
      </c>
      <c r="BS14" s="155">
        <v>0.0</v>
      </c>
      <c r="BT14" s="167"/>
      <c r="BU14" s="167"/>
      <c r="BV14" s="167"/>
      <c r="BW14" s="167"/>
      <c r="BX14" s="167"/>
      <c r="BY14" s="167"/>
      <c r="BZ14" s="167"/>
      <c r="CA14" s="167"/>
      <c r="CB14" s="167"/>
      <c r="CC14" s="167"/>
      <c r="CD14" s="167"/>
      <c r="CE14" s="167"/>
      <c r="CF14" s="167"/>
      <c r="CG14" s="167"/>
      <c r="CH14" s="167"/>
      <c r="CI14" s="167"/>
      <c r="CJ14" s="167"/>
      <c r="CK14" s="167"/>
      <c r="CL14" s="167"/>
      <c r="CM14" s="167"/>
      <c r="CN14" s="167"/>
      <c r="CO14" s="167"/>
      <c r="CP14" s="167"/>
      <c r="CQ14" s="167"/>
      <c r="CR14" s="167"/>
      <c r="CS14" s="167"/>
      <c r="CT14" s="167"/>
      <c r="CU14" s="167"/>
      <c r="CV14" s="156">
        <v>0.0</v>
      </c>
      <c r="CW14" s="156">
        <v>0.0</v>
      </c>
      <c r="CX14" s="156">
        <v>0.0</v>
      </c>
      <c r="CY14" s="156">
        <v>0.0</v>
      </c>
      <c r="CZ14" s="156">
        <v>0.0</v>
      </c>
      <c r="DA14" s="156">
        <v>0.0</v>
      </c>
      <c r="EG14" s="156">
        <v>0.0</v>
      </c>
      <c r="EH14" s="156">
        <v>0.0</v>
      </c>
      <c r="EI14" s="156">
        <v>0.0</v>
      </c>
      <c r="EJ14" s="156">
        <v>0.0</v>
      </c>
      <c r="EK14" s="156">
        <v>0.0</v>
      </c>
      <c r="EL14" s="156">
        <v>0.0</v>
      </c>
      <c r="FQ14" s="156">
        <v>0.0</v>
      </c>
      <c r="FR14" s="156">
        <v>0.0</v>
      </c>
      <c r="FS14" s="156">
        <v>0.0</v>
      </c>
      <c r="FT14" s="156">
        <v>0.0</v>
      </c>
      <c r="FU14" s="156">
        <v>0.0</v>
      </c>
      <c r="FV14" s="156">
        <v>0.0</v>
      </c>
      <c r="FW14" s="157"/>
      <c r="FX14" s="157"/>
      <c r="FY14" s="157"/>
      <c r="FZ14" s="157"/>
      <c r="GA14" s="157"/>
      <c r="GB14" s="157"/>
      <c r="GC14" s="157"/>
      <c r="GD14" s="157"/>
      <c r="GE14" s="157"/>
      <c r="GF14" s="157"/>
      <c r="GG14" s="157"/>
      <c r="GH14" s="157"/>
      <c r="GI14" s="157"/>
      <c r="GJ14" s="157"/>
      <c r="GK14" s="157"/>
      <c r="GL14" s="157"/>
      <c r="GM14" s="157"/>
      <c r="GN14" s="157"/>
      <c r="GO14" s="157"/>
      <c r="GP14" s="158"/>
      <c r="GQ14" s="157"/>
      <c r="GR14" s="157"/>
      <c r="GS14" s="157"/>
      <c r="GT14" s="157"/>
      <c r="GU14" s="157"/>
      <c r="GV14" s="157"/>
      <c r="GW14" s="157"/>
      <c r="GX14" s="157"/>
      <c r="GY14" s="157"/>
      <c r="GZ14" s="157"/>
      <c r="HA14" s="157"/>
      <c r="HB14" s="155">
        <v>0.0</v>
      </c>
      <c r="HC14" s="155">
        <v>0.0</v>
      </c>
      <c r="HD14" s="155">
        <v>0.0</v>
      </c>
      <c r="HE14" s="155">
        <v>0.0</v>
      </c>
      <c r="HF14" s="155">
        <v>0.0</v>
      </c>
      <c r="HG14" s="155">
        <v>0.0</v>
      </c>
      <c r="IL14" s="159">
        <v>0.0</v>
      </c>
      <c r="IM14" s="156">
        <v>0.0</v>
      </c>
      <c r="IN14" s="156">
        <v>0.0</v>
      </c>
      <c r="IO14" s="156">
        <v>0.0</v>
      </c>
      <c r="IP14" s="156">
        <v>0.0</v>
      </c>
      <c r="IQ14" s="160">
        <v>0.0</v>
      </c>
      <c r="JH14" s="25"/>
      <c r="JW14" s="159">
        <v>0.0</v>
      </c>
      <c r="JX14" s="156">
        <v>0.0</v>
      </c>
      <c r="JY14" s="156">
        <v>0.0</v>
      </c>
      <c r="JZ14" s="156">
        <v>0.0</v>
      </c>
      <c r="KA14" s="156">
        <v>0.0</v>
      </c>
      <c r="KB14" s="160">
        <v>0.0</v>
      </c>
      <c r="LH14" s="159">
        <f t="shared" si="10"/>
        <v>0</v>
      </c>
      <c r="LI14" s="156">
        <f t="shared" si="11"/>
        <v>0</v>
      </c>
      <c r="LJ14" s="156">
        <f t="shared" si="12"/>
        <v>0</v>
      </c>
      <c r="LK14" s="156">
        <f t="shared" si="13"/>
        <v>0</v>
      </c>
      <c r="LL14" s="156">
        <f t="shared" si="14"/>
        <v>0</v>
      </c>
      <c r="LM14" s="160">
        <f t="shared" si="15"/>
        <v>0</v>
      </c>
      <c r="QX14" s="163">
        <v>45759.0</v>
      </c>
    </row>
    <row r="15">
      <c r="A15" s="12"/>
      <c r="B15" s="12"/>
      <c r="C15" s="12"/>
      <c r="D15" s="12"/>
      <c r="E15" s="12"/>
      <c r="F15" s="12"/>
      <c r="G15" s="12"/>
      <c r="H15" s="12"/>
      <c r="I15" s="143">
        <f t="shared" si="5"/>
        <v>-30</v>
      </c>
      <c r="J15" s="144">
        <v>45761.0</v>
      </c>
      <c r="K15" s="173" t="s">
        <v>61</v>
      </c>
      <c r="L15" s="144">
        <v>45875.0</v>
      </c>
      <c r="M15" s="147" t="s">
        <v>348</v>
      </c>
      <c r="N15" s="148">
        <v>246.0</v>
      </c>
      <c r="O15" s="148">
        <v>30.0</v>
      </c>
      <c r="P15" s="26"/>
      <c r="Q15" s="26"/>
      <c r="R15" s="26"/>
      <c r="S15" s="26"/>
      <c r="T15" s="26"/>
      <c r="U15" s="147" t="s">
        <v>664</v>
      </c>
      <c r="V15" s="197"/>
      <c r="W15" s="198" t="s">
        <v>665</v>
      </c>
      <c r="X15" s="181">
        <v>30.0</v>
      </c>
      <c r="Y15" s="166">
        <f t="shared" si="6"/>
        <v>30</v>
      </c>
      <c r="Z15" s="26">
        <f t="shared" si="7"/>
        <v>0</v>
      </c>
      <c r="AA15" s="26">
        <f t="shared" si="8"/>
        <v>0</v>
      </c>
      <c r="AB15" s="26">
        <f t="shared" si="9"/>
        <v>0</v>
      </c>
      <c r="AC15" s="155">
        <v>0.0</v>
      </c>
      <c r="AD15" s="155">
        <v>0.0</v>
      </c>
      <c r="AE15" s="155">
        <v>0.0</v>
      </c>
      <c r="AF15" s="155">
        <v>0.0</v>
      </c>
      <c r="AG15" s="155">
        <v>0.0</v>
      </c>
      <c r="AH15" s="155">
        <v>0.0</v>
      </c>
      <c r="BN15" s="155">
        <v>0.0</v>
      </c>
      <c r="BO15" s="155">
        <v>0.0</v>
      </c>
      <c r="BP15" s="155">
        <v>0.0</v>
      </c>
      <c r="BQ15" s="155">
        <v>0.0</v>
      </c>
      <c r="BR15" s="155">
        <v>0.0</v>
      </c>
      <c r="BS15" s="155">
        <v>0.0</v>
      </c>
      <c r="CV15" s="156">
        <v>0.0</v>
      </c>
      <c r="CW15" s="156">
        <v>0.0</v>
      </c>
      <c r="CX15" s="156">
        <v>0.0</v>
      </c>
      <c r="CY15" s="156">
        <v>0.0</v>
      </c>
      <c r="CZ15" s="156">
        <v>0.0</v>
      </c>
      <c r="DA15" s="156">
        <v>0.0</v>
      </c>
      <c r="EG15" s="156">
        <v>0.0</v>
      </c>
      <c r="EH15" s="156">
        <v>0.0</v>
      </c>
      <c r="EI15" s="156">
        <v>0.0</v>
      </c>
      <c r="EJ15" s="156">
        <v>0.0</v>
      </c>
      <c r="EK15" s="156">
        <v>0.0</v>
      </c>
      <c r="EL15" s="156">
        <v>0.0</v>
      </c>
      <c r="FQ15" s="156">
        <v>0.0</v>
      </c>
      <c r="FR15" s="156">
        <v>0.0</v>
      </c>
      <c r="FS15" s="156">
        <v>0.0</v>
      </c>
      <c r="FT15" s="156">
        <v>0.0</v>
      </c>
      <c r="FU15" s="156">
        <v>0.0</v>
      </c>
      <c r="FV15" s="156">
        <v>0.0</v>
      </c>
      <c r="FW15" s="157"/>
      <c r="FX15" s="157"/>
      <c r="FY15" s="157"/>
      <c r="FZ15" s="157"/>
      <c r="GA15" s="157"/>
      <c r="GB15" s="157"/>
      <c r="GC15" s="157"/>
      <c r="GD15" s="157"/>
      <c r="GE15" s="157"/>
      <c r="GF15" s="157"/>
      <c r="GG15" s="157"/>
      <c r="GH15" s="157"/>
      <c r="GI15" s="157"/>
      <c r="GJ15" s="157"/>
      <c r="GK15" s="157"/>
      <c r="GL15" s="157"/>
      <c r="GM15" s="157"/>
      <c r="GN15" s="157"/>
      <c r="GO15" s="157"/>
      <c r="GP15" s="158"/>
      <c r="GQ15" s="157"/>
      <c r="GR15" s="157"/>
      <c r="GS15" s="157"/>
      <c r="GT15" s="157"/>
      <c r="GU15" s="157"/>
      <c r="GV15" s="157"/>
      <c r="GW15" s="157"/>
      <c r="GX15" s="157"/>
      <c r="GY15" s="157"/>
      <c r="GZ15" s="157"/>
      <c r="HA15" s="157"/>
      <c r="HB15" s="155">
        <v>0.0</v>
      </c>
      <c r="HC15" s="155">
        <v>0.0</v>
      </c>
      <c r="HD15" s="155">
        <v>0.0</v>
      </c>
      <c r="HE15" s="155">
        <v>0.0</v>
      </c>
      <c r="HF15" s="155">
        <v>0.0</v>
      </c>
      <c r="HG15" s="155">
        <v>0.0</v>
      </c>
      <c r="IL15" s="159">
        <v>0.0</v>
      </c>
      <c r="IM15" s="156">
        <v>0.0</v>
      </c>
      <c r="IN15" s="156">
        <v>0.0</v>
      </c>
      <c r="IO15" s="156">
        <v>0.0</v>
      </c>
      <c r="IP15" s="156">
        <v>0.0</v>
      </c>
      <c r="IQ15" s="160">
        <v>0.0</v>
      </c>
      <c r="JH15" s="25"/>
      <c r="JW15" s="159">
        <v>0.0</v>
      </c>
      <c r="JX15" s="156">
        <v>0.0</v>
      </c>
      <c r="JY15" s="156">
        <v>0.0</v>
      </c>
      <c r="JZ15" s="156">
        <v>0.0</v>
      </c>
      <c r="KA15" s="156">
        <v>0.0</v>
      </c>
      <c r="KB15" s="160">
        <v>0.0</v>
      </c>
      <c r="LH15" s="159">
        <f t="shared" si="10"/>
        <v>0</v>
      </c>
      <c r="LI15" s="156">
        <f t="shared" si="11"/>
        <v>0</v>
      </c>
      <c r="LJ15" s="156">
        <f t="shared" si="12"/>
        <v>0</v>
      </c>
      <c r="LK15" s="156">
        <f t="shared" si="13"/>
        <v>0</v>
      </c>
      <c r="LL15" s="156">
        <f t="shared" si="14"/>
        <v>0</v>
      </c>
      <c r="LM15" s="160">
        <f t="shared" si="15"/>
        <v>0</v>
      </c>
      <c r="QX15" s="163">
        <v>45761.0</v>
      </c>
    </row>
    <row r="16">
      <c r="A16" s="12"/>
      <c r="B16" s="12"/>
      <c r="C16" s="12"/>
      <c r="D16" s="12"/>
      <c r="E16" s="12"/>
      <c r="F16" s="12"/>
      <c r="G16" s="12"/>
      <c r="H16" s="12"/>
      <c r="I16" s="143">
        <f t="shared" si="5"/>
        <v>-15</v>
      </c>
      <c r="J16" s="144">
        <v>45762.0</v>
      </c>
      <c r="K16" s="195" t="s">
        <v>61</v>
      </c>
      <c r="L16" s="144">
        <v>45855.0</v>
      </c>
      <c r="M16" s="147" t="s">
        <v>107</v>
      </c>
      <c r="N16" s="148">
        <v>357.0</v>
      </c>
      <c r="O16" s="148">
        <v>30.0</v>
      </c>
      <c r="P16" s="26"/>
      <c r="Q16" s="26"/>
      <c r="R16" s="26"/>
      <c r="S16" s="26"/>
      <c r="T16" s="26"/>
      <c r="U16" s="147" t="s">
        <v>675</v>
      </c>
      <c r="V16" s="197"/>
      <c r="W16" s="198" t="s">
        <v>676</v>
      </c>
      <c r="X16" s="181">
        <v>15.0</v>
      </c>
      <c r="Y16" s="166">
        <f t="shared" si="6"/>
        <v>15</v>
      </c>
      <c r="Z16" s="26">
        <f t="shared" si="7"/>
        <v>0</v>
      </c>
      <c r="AA16" s="26">
        <f t="shared" si="8"/>
        <v>0</v>
      </c>
      <c r="AB16" s="26">
        <f t="shared" si="9"/>
        <v>0</v>
      </c>
      <c r="AC16" s="155">
        <v>0.0</v>
      </c>
      <c r="AD16" s="155">
        <v>0.0</v>
      </c>
      <c r="AE16" s="155">
        <v>0.0</v>
      </c>
      <c r="AF16" s="155">
        <v>0.0</v>
      </c>
      <c r="AG16" s="155">
        <v>0.0</v>
      </c>
      <c r="AH16" s="155">
        <v>0.0</v>
      </c>
      <c r="BN16" s="155">
        <v>0.0</v>
      </c>
      <c r="BO16" s="155">
        <v>0.0</v>
      </c>
      <c r="BP16" s="155">
        <v>0.0</v>
      </c>
      <c r="BQ16" s="155">
        <v>0.0</v>
      </c>
      <c r="BR16" s="155">
        <v>0.0</v>
      </c>
      <c r="BS16" s="155">
        <v>0.0</v>
      </c>
      <c r="CV16" s="156">
        <v>0.0</v>
      </c>
      <c r="CW16" s="156">
        <v>0.0</v>
      </c>
      <c r="CX16" s="156">
        <v>0.0</v>
      </c>
      <c r="CY16" s="156">
        <v>0.0</v>
      </c>
      <c r="CZ16" s="156">
        <v>0.0</v>
      </c>
      <c r="DA16" s="156">
        <v>0.0</v>
      </c>
      <c r="EG16" s="156">
        <v>0.0</v>
      </c>
      <c r="EH16" s="156">
        <v>0.0</v>
      </c>
      <c r="EI16" s="156">
        <v>0.0</v>
      </c>
      <c r="EJ16" s="156">
        <v>0.0</v>
      </c>
      <c r="EK16" s="156">
        <v>0.0</v>
      </c>
      <c r="EL16" s="156">
        <v>0.0</v>
      </c>
      <c r="FQ16" s="156">
        <v>0.0</v>
      </c>
      <c r="FR16" s="156">
        <v>0.0</v>
      </c>
      <c r="FS16" s="156">
        <v>0.0</v>
      </c>
      <c r="FT16" s="156">
        <v>0.0</v>
      </c>
      <c r="FU16" s="156">
        <v>0.0</v>
      </c>
      <c r="FV16" s="156">
        <v>0.0</v>
      </c>
      <c r="FW16" s="157"/>
      <c r="FX16" s="157"/>
      <c r="FY16" s="157"/>
      <c r="FZ16" s="157"/>
      <c r="GA16" s="157"/>
      <c r="GB16" s="157"/>
      <c r="GC16" s="157"/>
      <c r="GD16" s="157"/>
      <c r="GE16" s="157"/>
      <c r="GF16" s="157"/>
      <c r="GG16" s="157"/>
      <c r="GH16" s="157"/>
      <c r="GI16" s="157"/>
      <c r="GJ16" s="157"/>
      <c r="GK16" s="157"/>
      <c r="GL16" s="157"/>
      <c r="GM16" s="157"/>
      <c r="GN16" s="157"/>
      <c r="GO16" s="157"/>
      <c r="GP16" s="158"/>
      <c r="GQ16" s="157"/>
      <c r="GR16" s="157"/>
      <c r="GS16" s="157"/>
      <c r="GT16" s="157"/>
      <c r="GU16" s="157"/>
      <c r="GV16" s="157"/>
      <c r="GW16" s="157"/>
      <c r="GX16" s="157"/>
      <c r="GY16" s="157"/>
      <c r="GZ16" s="157"/>
      <c r="HA16" s="157"/>
      <c r="HB16" s="155">
        <v>0.0</v>
      </c>
      <c r="HC16" s="155">
        <v>0.0</v>
      </c>
      <c r="HD16" s="155">
        <v>0.0</v>
      </c>
      <c r="HE16" s="155">
        <v>0.0</v>
      </c>
      <c r="HF16" s="155">
        <v>0.0</v>
      </c>
      <c r="HG16" s="155">
        <v>0.0</v>
      </c>
      <c r="IL16" s="159">
        <v>0.0</v>
      </c>
      <c r="IM16" s="156">
        <v>0.0</v>
      </c>
      <c r="IN16" s="156">
        <v>0.0</v>
      </c>
      <c r="IO16" s="156">
        <v>0.0</v>
      </c>
      <c r="IP16" s="156">
        <v>0.0</v>
      </c>
      <c r="IQ16" s="160">
        <v>0.0</v>
      </c>
      <c r="JH16" s="25"/>
      <c r="JW16" s="159">
        <v>0.0</v>
      </c>
      <c r="JX16" s="156">
        <v>0.0</v>
      </c>
      <c r="JY16" s="156">
        <v>0.0</v>
      </c>
      <c r="JZ16" s="156">
        <v>0.0</v>
      </c>
      <c r="KA16" s="156">
        <v>0.0</v>
      </c>
      <c r="KB16" s="160">
        <v>0.0</v>
      </c>
      <c r="LH16" s="159">
        <f t="shared" si="10"/>
        <v>0</v>
      </c>
      <c r="LI16" s="156">
        <f t="shared" si="11"/>
        <v>0</v>
      </c>
      <c r="LJ16" s="156">
        <f t="shared" si="12"/>
        <v>0</v>
      </c>
      <c r="LK16" s="156">
        <f t="shared" si="13"/>
        <v>0</v>
      </c>
      <c r="LL16" s="156">
        <f t="shared" si="14"/>
        <v>0</v>
      </c>
      <c r="LM16" s="160">
        <f t="shared" si="15"/>
        <v>0</v>
      </c>
      <c r="QX16" s="163">
        <v>45762.0</v>
      </c>
    </row>
    <row r="17">
      <c r="A17" s="12"/>
      <c r="B17" s="12"/>
      <c r="C17" s="12"/>
      <c r="D17" s="12"/>
      <c r="E17" s="12"/>
      <c r="F17" s="12"/>
      <c r="G17" s="12"/>
      <c r="H17" s="12"/>
      <c r="I17" s="143">
        <f t="shared" si="5"/>
        <v>-30</v>
      </c>
      <c r="J17" s="144">
        <v>45763.0</v>
      </c>
      <c r="K17" s="146" t="s">
        <v>61</v>
      </c>
      <c r="L17" s="144">
        <v>45859.0</v>
      </c>
      <c r="M17" s="147" t="s">
        <v>682</v>
      </c>
      <c r="N17" s="148">
        <v>247.0</v>
      </c>
      <c r="O17" s="148">
        <v>30.0</v>
      </c>
      <c r="P17" s="26"/>
      <c r="Q17" s="26"/>
      <c r="R17" s="26"/>
      <c r="S17" s="26"/>
      <c r="T17" s="26"/>
      <c r="U17" s="147" t="s">
        <v>684</v>
      </c>
      <c r="V17" s="197"/>
      <c r="W17" s="198" t="s">
        <v>686</v>
      </c>
      <c r="X17" s="181">
        <v>30.0</v>
      </c>
      <c r="Y17" s="166">
        <f t="shared" si="6"/>
        <v>30</v>
      </c>
      <c r="Z17" s="26">
        <f t="shared" si="7"/>
        <v>0</v>
      </c>
      <c r="AA17" s="26">
        <f t="shared" si="8"/>
        <v>0</v>
      </c>
      <c r="AB17" s="26">
        <f t="shared" si="9"/>
        <v>0</v>
      </c>
      <c r="AC17" s="155">
        <v>0.0</v>
      </c>
      <c r="AD17" s="155">
        <v>0.0</v>
      </c>
      <c r="AE17" s="155">
        <v>0.0</v>
      </c>
      <c r="AF17" s="155">
        <v>0.0</v>
      </c>
      <c r="AG17" s="155">
        <v>0.0</v>
      </c>
      <c r="AH17" s="155">
        <v>0.0</v>
      </c>
      <c r="BN17" s="155">
        <v>0.0</v>
      </c>
      <c r="BO17" s="155">
        <v>0.0</v>
      </c>
      <c r="BP17" s="155">
        <v>0.0</v>
      </c>
      <c r="BQ17" s="155">
        <v>0.0</v>
      </c>
      <c r="BR17" s="155">
        <v>0.0</v>
      </c>
      <c r="BS17" s="155">
        <v>0.0</v>
      </c>
      <c r="CV17" s="156">
        <v>0.0</v>
      </c>
      <c r="CW17" s="156">
        <v>0.0</v>
      </c>
      <c r="CX17" s="156">
        <v>0.0</v>
      </c>
      <c r="CY17" s="156">
        <v>0.0</v>
      </c>
      <c r="CZ17" s="156">
        <v>0.0</v>
      </c>
      <c r="DA17" s="156">
        <v>0.0</v>
      </c>
      <c r="EG17" s="156">
        <v>0.0</v>
      </c>
      <c r="EH17" s="156">
        <v>0.0</v>
      </c>
      <c r="EI17" s="156">
        <v>0.0</v>
      </c>
      <c r="EJ17" s="156">
        <v>0.0</v>
      </c>
      <c r="EK17" s="156">
        <v>0.0</v>
      </c>
      <c r="EL17" s="156">
        <v>0.0</v>
      </c>
      <c r="FQ17" s="156">
        <v>0.0</v>
      </c>
      <c r="FR17" s="156">
        <v>0.0</v>
      </c>
      <c r="FS17" s="156">
        <v>0.0</v>
      </c>
      <c r="FT17" s="156">
        <v>0.0</v>
      </c>
      <c r="FU17" s="156">
        <v>0.0</v>
      </c>
      <c r="FV17" s="156">
        <v>0.0</v>
      </c>
      <c r="FW17" s="157"/>
      <c r="FX17" s="157"/>
      <c r="FY17" s="157"/>
      <c r="FZ17" s="157"/>
      <c r="GA17" s="157"/>
      <c r="GB17" s="157"/>
      <c r="GC17" s="157"/>
      <c r="GD17" s="157"/>
      <c r="GE17" s="157"/>
      <c r="GF17" s="157"/>
      <c r="GG17" s="157"/>
      <c r="GH17" s="157"/>
      <c r="GI17" s="157"/>
      <c r="GJ17" s="157"/>
      <c r="GK17" s="157"/>
      <c r="GL17" s="157"/>
      <c r="GM17" s="157"/>
      <c r="GN17" s="157"/>
      <c r="GO17" s="157"/>
      <c r="GP17" s="158"/>
      <c r="GQ17" s="157"/>
      <c r="GR17" s="157"/>
      <c r="GS17" s="157"/>
      <c r="GT17" s="157"/>
      <c r="GU17" s="157"/>
      <c r="GV17" s="157"/>
      <c r="GW17" s="157"/>
      <c r="GX17" s="157"/>
      <c r="GY17" s="157"/>
      <c r="GZ17" s="157"/>
      <c r="HA17" s="157"/>
      <c r="HB17" s="155">
        <v>0.0</v>
      </c>
      <c r="HC17" s="155">
        <v>0.0</v>
      </c>
      <c r="HD17" s="155">
        <v>0.0</v>
      </c>
      <c r="HE17" s="155">
        <v>0.0</v>
      </c>
      <c r="HF17" s="155">
        <v>0.0</v>
      </c>
      <c r="HG17" s="155">
        <v>0.0</v>
      </c>
      <c r="IL17" s="159">
        <v>0.0</v>
      </c>
      <c r="IM17" s="156">
        <v>0.0</v>
      </c>
      <c r="IN17" s="156">
        <v>0.0</v>
      </c>
      <c r="IO17" s="156">
        <v>0.0</v>
      </c>
      <c r="IP17" s="156">
        <v>0.0</v>
      </c>
      <c r="IQ17" s="160">
        <v>0.0</v>
      </c>
      <c r="JH17" s="25"/>
      <c r="JW17" s="159">
        <v>0.0</v>
      </c>
      <c r="JX17" s="156">
        <v>0.0</v>
      </c>
      <c r="JY17" s="156">
        <v>0.0</v>
      </c>
      <c r="JZ17" s="156">
        <v>0.0</v>
      </c>
      <c r="KA17" s="156">
        <v>0.0</v>
      </c>
      <c r="KB17" s="160">
        <v>0.0</v>
      </c>
      <c r="LH17" s="159">
        <f t="shared" si="10"/>
        <v>0</v>
      </c>
      <c r="LI17" s="156">
        <f t="shared" si="11"/>
        <v>0</v>
      </c>
      <c r="LJ17" s="156">
        <f t="shared" si="12"/>
        <v>0</v>
      </c>
      <c r="LK17" s="156">
        <f t="shared" si="13"/>
        <v>0</v>
      </c>
      <c r="LL17" s="156">
        <f t="shared" si="14"/>
        <v>0</v>
      </c>
      <c r="LM17" s="160">
        <f t="shared" si="15"/>
        <v>0</v>
      </c>
      <c r="QX17" s="163">
        <v>45764.0</v>
      </c>
    </row>
    <row r="18">
      <c r="A18" s="12"/>
      <c r="B18" s="12"/>
      <c r="C18" s="12"/>
      <c r="D18" s="12"/>
      <c r="E18" s="12"/>
      <c r="F18" s="12"/>
      <c r="G18" s="12"/>
      <c r="H18" s="12"/>
      <c r="I18" s="143">
        <f t="shared" si="5"/>
        <v>-6</v>
      </c>
      <c r="J18" s="144">
        <v>45759.0</v>
      </c>
      <c r="K18" s="173" t="s">
        <v>61</v>
      </c>
      <c r="L18" s="144">
        <v>45818.0</v>
      </c>
      <c r="M18" s="147" t="s">
        <v>696</v>
      </c>
      <c r="N18" s="148" t="s">
        <v>697</v>
      </c>
      <c r="O18" s="148">
        <v>30.0</v>
      </c>
      <c r="P18" s="26"/>
      <c r="Q18" s="26"/>
      <c r="R18" s="26"/>
      <c r="S18" s="26"/>
      <c r="T18" s="26"/>
      <c r="U18" s="147" t="s">
        <v>698</v>
      </c>
      <c r="V18" s="197"/>
      <c r="W18" s="198" t="s">
        <v>699</v>
      </c>
      <c r="X18" s="181">
        <v>6.0</v>
      </c>
      <c r="Y18" s="166">
        <f t="shared" si="6"/>
        <v>6</v>
      </c>
      <c r="Z18" s="26">
        <f t="shared" si="7"/>
        <v>0</v>
      </c>
      <c r="AA18" s="26">
        <f t="shared" si="8"/>
        <v>0</v>
      </c>
      <c r="AB18" s="26">
        <f t="shared" si="9"/>
        <v>0</v>
      </c>
      <c r="AC18" s="155">
        <v>0.0</v>
      </c>
      <c r="AD18" s="155">
        <v>0.0</v>
      </c>
      <c r="AE18" s="155">
        <v>0.0</v>
      </c>
      <c r="AF18" s="155">
        <v>0.0</v>
      </c>
      <c r="AG18" s="155">
        <v>0.0</v>
      </c>
      <c r="AH18" s="155">
        <v>0.0</v>
      </c>
      <c r="BN18" s="155">
        <v>0.0</v>
      </c>
      <c r="BO18" s="155">
        <v>0.0</v>
      </c>
      <c r="BP18" s="155">
        <v>0.0</v>
      </c>
      <c r="BQ18" s="155">
        <v>0.0</v>
      </c>
      <c r="BR18" s="155">
        <v>0.0</v>
      </c>
      <c r="BS18" s="155">
        <v>0.0</v>
      </c>
      <c r="CV18" s="156">
        <v>0.0</v>
      </c>
      <c r="CW18" s="156">
        <v>0.0</v>
      </c>
      <c r="CX18" s="156">
        <v>0.0</v>
      </c>
      <c r="CY18" s="156">
        <v>0.0</v>
      </c>
      <c r="CZ18" s="156">
        <v>0.0</v>
      </c>
      <c r="DA18" s="156">
        <v>0.0</v>
      </c>
      <c r="EG18" s="156">
        <v>0.0</v>
      </c>
      <c r="EH18" s="156">
        <v>0.0</v>
      </c>
      <c r="EI18" s="156">
        <v>0.0</v>
      </c>
      <c r="EJ18" s="156">
        <v>0.0</v>
      </c>
      <c r="EK18" s="156">
        <v>0.0</v>
      </c>
      <c r="EL18" s="156">
        <v>0.0</v>
      </c>
      <c r="FQ18" s="156">
        <v>0.0</v>
      </c>
      <c r="FR18" s="156">
        <v>0.0</v>
      </c>
      <c r="FS18" s="156">
        <v>0.0</v>
      </c>
      <c r="FT18" s="156">
        <v>0.0</v>
      </c>
      <c r="FU18" s="156">
        <v>0.0</v>
      </c>
      <c r="FV18" s="156">
        <v>0.0</v>
      </c>
      <c r="FW18" s="157"/>
      <c r="FX18" s="157"/>
      <c r="FY18" s="157"/>
      <c r="FZ18" s="157"/>
      <c r="GA18" s="157"/>
      <c r="GB18" s="157"/>
      <c r="GC18" s="157"/>
      <c r="GD18" s="157"/>
      <c r="GE18" s="157"/>
      <c r="GF18" s="157"/>
      <c r="GG18" s="157"/>
      <c r="GH18" s="157"/>
      <c r="GI18" s="157"/>
      <c r="GJ18" s="157"/>
      <c r="GK18" s="157"/>
      <c r="GL18" s="157"/>
      <c r="GM18" s="157"/>
      <c r="GN18" s="157"/>
      <c r="GO18" s="157"/>
      <c r="GP18" s="158"/>
      <c r="GQ18" s="157"/>
      <c r="GR18" s="157"/>
      <c r="GS18" s="157"/>
      <c r="GT18" s="157"/>
      <c r="GU18" s="157"/>
      <c r="GV18" s="157"/>
      <c r="GW18" s="157"/>
      <c r="GX18" s="157"/>
      <c r="GY18" s="157"/>
      <c r="GZ18" s="157"/>
      <c r="HA18" s="157"/>
      <c r="HB18" s="155">
        <v>0.0</v>
      </c>
      <c r="HC18" s="155">
        <v>0.0</v>
      </c>
      <c r="HD18" s="155">
        <v>0.0</v>
      </c>
      <c r="HE18" s="155">
        <v>0.0</v>
      </c>
      <c r="HF18" s="155">
        <v>0.0</v>
      </c>
      <c r="HG18" s="155">
        <v>0.0</v>
      </c>
      <c r="IL18" s="159">
        <v>0.0</v>
      </c>
      <c r="IM18" s="156">
        <v>0.0</v>
      </c>
      <c r="IN18" s="156">
        <v>0.0</v>
      </c>
      <c r="IO18" s="156">
        <v>0.0</v>
      </c>
      <c r="IP18" s="156">
        <v>0.0</v>
      </c>
      <c r="IQ18" s="160">
        <v>0.0</v>
      </c>
      <c r="JH18" s="25"/>
      <c r="JW18" s="159">
        <v>0.0</v>
      </c>
      <c r="JX18" s="156">
        <v>0.0</v>
      </c>
      <c r="JY18" s="156">
        <v>0.0</v>
      </c>
      <c r="JZ18" s="156">
        <v>0.0</v>
      </c>
      <c r="KA18" s="156">
        <v>0.0</v>
      </c>
      <c r="KB18" s="160">
        <v>0.0</v>
      </c>
      <c r="LH18" s="159">
        <f t="shared" si="10"/>
        <v>0</v>
      </c>
      <c r="LI18" s="156">
        <f t="shared" si="11"/>
        <v>0</v>
      </c>
      <c r="LJ18" s="156">
        <f t="shared" si="12"/>
        <v>0</v>
      </c>
      <c r="LK18" s="156">
        <f t="shared" si="13"/>
        <v>0</v>
      </c>
      <c r="LL18" s="156">
        <f t="shared" si="14"/>
        <v>0</v>
      </c>
      <c r="LM18" s="160">
        <f t="shared" si="15"/>
        <v>0</v>
      </c>
      <c r="QX18" s="163">
        <v>45764.0</v>
      </c>
    </row>
    <row r="19">
      <c r="A19" s="12"/>
      <c r="B19" s="12"/>
      <c r="C19" s="12"/>
      <c r="D19" s="12"/>
      <c r="E19" s="12"/>
      <c r="F19" s="12"/>
      <c r="G19" s="12"/>
      <c r="H19" s="12"/>
      <c r="I19" s="143">
        <f t="shared" si="5"/>
        <v>-60</v>
      </c>
      <c r="J19" s="144">
        <v>45762.0</v>
      </c>
      <c r="K19" s="173" t="s">
        <v>61</v>
      </c>
      <c r="L19" s="144">
        <v>45940.0</v>
      </c>
      <c r="M19" s="147" t="s">
        <v>348</v>
      </c>
      <c r="N19" s="148">
        <v>357.0</v>
      </c>
      <c r="O19" s="148">
        <v>30.0</v>
      </c>
      <c r="P19" s="26"/>
      <c r="Q19" s="26"/>
      <c r="R19" s="26"/>
      <c r="S19" s="26"/>
      <c r="T19" s="26"/>
      <c r="U19" s="147" t="s">
        <v>684</v>
      </c>
      <c r="V19" s="197"/>
      <c r="W19" s="150" t="s">
        <v>705</v>
      </c>
      <c r="X19" s="181">
        <v>60.0</v>
      </c>
      <c r="Y19" s="166">
        <f t="shared" si="6"/>
        <v>60</v>
      </c>
      <c r="Z19" s="26">
        <f t="shared" si="7"/>
        <v>0</v>
      </c>
      <c r="AA19" s="26">
        <f t="shared" si="8"/>
        <v>0</v>
      </c>
      <c r="AB19" s="26">
        <f t="shared" si="9"/>
        <v>0</v>
      </c>
      <c r="AC19" s="155">
        <v>0.0</v>
      </c>
      <c r="AD19" s="155">
        <v>0.0</v>
      </c>
      <c r="AE19" s="155">
        <v>0.0</v>
      </c>
      <c r="AF19" s="155">
        <v>0.0</v>
      </c>
      <c r="AG19" s="155">
        <v>0.0</v>
      </c>
      <c r="AH19" s="155">
        <v>0.0</v>
      </c>
      <c r="BN19" s="155">
        <v>0.0</v>
      </c>
      <c r="BO19" s="155">
        <v>0.0</v>
      </c>
      <c r="BP19" s="155">
        <v>0.0</v>
      </c>
      <c r="BQ19" s="155">
        <v>0.0</v>
      </c>
      <c r="BR19" s="155">
        <v>0.0</v>
      </c>
      <c r="BS19" s="155">
        <v>0.0</v>
      </c>
      <c r="CV19" s="156">
        <v>0.0</v>
      </c>
      <c r="CW19" s="156">
        <v>0.0</v>
      </c>
      <c r="CX19" s="156">
        <v>0.0</v>
      </c>
      <c r="CY19" s="156">
        <v>0.0</v>
      </c>
      <c r="CZ19" s="156">
        <v>0.0</v>
      </c>
      <c r="DA19" s="156">
        <v>0.0</v>
      </c>
      <c r="EG19" s="156">
        <v>0.0</v>
      </c>
      <c r="EH19" s="156">
        <v>0.0</v>
      </c>
      <c r="EI19" s="156">
        <v>0.0</v>
      </c>
      <c r="EJ19" s="156">
        <v>0.0</v>
      </c>
      <c r="EK19" s="156">
        <v>0.0</v>
      </c>
      <c r="EL19" s="156">
        <v>0.0</v>
      </c>
      <c r="FQ19" s="156">
        <v>0.0</v>
      </c>
      <c r="FR19" s="156">
        <v>0.0</v>
      </c>
      <c r="FS19" s="156">
        <v>0.0</v>
      </c>
      <c r="FT19" s="156">
        <v>0.0</v>
      </c>
      <c r="FU19" s="156">
        <v>0.0</v>
      </c>
      <c r="FV19" s="156">
        <v>0.0</v>
      </c>
      <c r="FW19" s="157"/>
      <c r="FX19" s="157"/>
      <c r="FY19" s="157"/>
      <c r="FZ19" s="157"/>
      <c r="GA19" s="157"/>
      <c r="GB19" s="157"/>
      <c r="GC19" s="157"/>
      <c r="GD19" s="157"/>
      <c r="GE19" s="157"/>
      <c r="GF19" s="157"/>
      <c r="GG19" s="157"/>
      <c r="GH19" s="157"/>
      <c r="GI19" s="157"/>
      <c r="GJ19" s="157"/>
      <c r="GK19" s="157"/>
      <c r="GL19" s="157"/>
      <c r="GM19" s="157"/>
      <c r="GN19" s="157"/>
      <c r="GO19" s="157"/>
      <c r="GP19" s="158"/>
      <c r="GQ19" s="157"/>
      <c r="GR19" s="157"/>
      <c r="GS19" s="157"/>
      <c r="GT19" s="157"/>
      <c r="GU19" s="157"/>
      <c r="GV19" s="157"/>
      <c r="GW19" s="157"/>
      <c r="GX19" s="157"/>
      <c r="GY19" s="157"/>
      <c r="GZ19" s="157"/>
      <c r="HA19" s="157"/>
      <c r="HB19" s="155">
        <v>0.0</v>
      </c>
      <c r="HC19" s="155">
        <v>0.0</v>
      </c>
      <c r="HD19" s="155">
        <v>0.0</v>
      </c>
      <c r="HE19" s="155">
        <v>0.0</v>
      </c>
      <c r="HF19" s="155">
        <v>0.0</v>
      </c>
      <c r="HG19" s="155">
        <v>0.0</v>
      </c>
      <c r="IL19" s="159">
        <v>0.0</v>
      </c>
      <c r="IM19" s="156">
        <v>0.0</v>
      </c>
      <c r="IN19" s="156">
        <v>0.0</v>
      </c>
      <c r="IO19" s="156">
        <v>0.0</v>
      </c>
      <c r="IP19" s="156">
        <v>0.0</v>
      </c>
      <c r="IQ19" s="160">
        <v>0.0</v>
      </c>
      <c r="JH19" s="25"/>
      <c r="JW19" s="159">
        <v>0.0</v>
      </c>
      <c r="JX19" s="156">
        <v>0.0</v>
      </c>
      <c r="JY19" s="156">
        <v>0.0</v>
      </c>
      <c r="JZ19" s="156">
        <v>0.0</v>
      </c>
      <c r="KA19" s="156">
        <v>0.0</v>
      </c>
      <c r="KB19" s="160">
        <v>0.0</v>
      </c>
      <c r="LH19" s="159">
        <f t="shared" si="10"/>
        <v>0</v>
      </c>
      <c r="LI19" s="156">
        <f t="shared" si="11"/>
        <v>0</v>
      </c>
      <c r="LJ19" s="156">
        <f t="shared" si="12"/>
        <v>0</v>
      </c>
      <c r="LK19" s="156">
        <f t="shared" si="13"/>
        <v>0</v>
      </c>
      <c r="LL19" s="156">
        <f t="shared" si="14"/>
        <v>0</v>
      </c>
      <c r="LM19" s="160">
        <f t="shared" si="15"/>
        <v>0</v>
      </c>
      <c r="QX19" s="163">
        <v>45765.0</v>
      </c>
    </row>
    <row r="20">
      <c r="A20" s="12"/>
      <c r="B20" s="12"/>
      <c r="C20" s="12"/>
      <c r="D20" s="12"/>
      <c r="E20" s="12"/>
      <c r="F20" s="12"/>
      <c r="G20" s="12"/>
      <c r="H20" s="12"/>
      <c r="I20" s="143">
        <f t="shared" si="5"/>
        <v>-6</v>
      </c>
      <c r="J20" s="144">
        <v>45763.0</v>
      </c>
      <c r="K20" s="164" t="s">
        <v>61</v>
      </c>
      <c r="L20" s="144">
        <v>46006.0</v>
      </c>
      <c r="M20" s="147" t="s">
        <v>712</v>
      </c>
      <c r="N20" s="148">
        <v>357.0</v>
      </c>
      <c r="O20" s="148">
        <v>30.0</v>
      </c>
      <c r="P20" s="26"/>
      <c r="Q20" s="26"/>
      <c r="R20" s="26"/>
      <c r="S20" s="26"/>
      <c r="T20" s="26"/>
      <c r="U20" s="147" t="s">
        <v>714</v>
      </c>
      <c r="V20" s="149" t="s">
        <v>307</v>
      </c>
      <c r="W20" s="150">
        <v>4.0</v>
      </c>
      <c r="X20" s="181">
        <v>6.0</v>
      </c>
      <c r="Y20" s="166">
        <f t="shared" si="6"/>
        <v>6</v>
      </c>
      <c r="Z20" s="26">
        <f t="shared" si="7"/>
        <v>0</v>
      </c>
      <c r="AA20" s="26">
        <f t="shared" si="8"/>
        <v>0</v>
      </c>
      <c r="AB20" s="26">
        <f t="shared" si="9"/>
        <v>0</v>
      </c>
      <c r="AC20" s="155">
        <v>0.0</v>
      </c>
      <c r="AD20" s="155">
        <v>0.0</v>
      </c>
      <c r="AE20" s="155">
        <v>0.0</v>
      </c>
      <c r="AF20" s="155">
        <v>0.0</v>
      </c>
      <c r="AG20" s="155">
        <v>0.0</v>
      </c>
      <c r="AH20" s="155">
        <v>0.0</v>
      </c>
      <c r="BN20" s="155">
        <v>0.0</v>
      </c>
      <c r="BO20" s="155">
        <v>0.0</v>
      </c>
      <c r="BP20" s="155">
        <v>0.0</v>
      </c>
      <c r="BQ20" s="155">
        <v>0.0</v>
      </c>
      <c r="BR20" s="155">
        <v>0.0</v>
      </c>
      <c r="BS20" s="155">
        <v>0.0</v>
      </c>
      <c r="CV20" s="156">
        <v>0.0</v>
      </c>
      <c r="CW20" s="156">
        <v>0.0</v>
      </c>
      <c r="CX20" s="156">
        <v>0.0</v>
      </c>
      <c r="CY20" s="156">
        <v>0.0</v>
      </c>
      <c r="CZ20" s="156">
        <v>0.0</v>
      </c>
      <c r="DA20" s="156">
        <v>0.0</v>
      </c>
      <c r="EG20" s="156">
        <v>0.0</v>
      </c>
      <c r="EH20" s="156">
        <v>0.0</v>
      </c>
      <c r="EI20" s="156">
        <v>0.0</v>
      </c>
      <c r="EJ20" s="156">
        <v>0.0</v>
      </c>
      <c r="EK20" s="156">
        <v>0.0</v>
      </c>
      <c r="EL20" s="156">
        <v>0.0</v>
      </c>
      <c r="FQ20" s="156">
        <v>0.0</v>
      </c>
      <c r="FR20" s="156">
        <v>0.0</v>
      </c>
      <c r="FS20" s="156">
        <v>0.0</v>
      </c>
      <c r="FT20" s="156">
        <v>0.0</v>
      </c>
      <c r="FU20" s="156">
        <v>0.0</v>
      </c>
      <c r="FV20" s="156">
        <v>0.0</v>
      </c>
      <c r="FW20" s="157"/>
      <c r="FX20" s="157"/>
      <c r="FY20" s="157"/>
      <c r="FZ20" s="157"/>
      <c r="GA20" s="157"/>
      <c r="GB20" s="157"/>
      <c r="GC20" s="157"/>
      <c r="GD20" s="157"/>
      <c r="GE20" s="157"/>
      <c r="GF20" s="157"/>
      <c r="GG20" s="157"/>
      <c r="GH20" s="157"/>
      <c r="GI20" s="157"/>
      <c r="GJ20" s="157"/>
      <c r="GK20" s="157"/>
      <c r="GL20" s="157"/>
      <c r="GM20" s="157"/>
      <c r="GN20" s="157"/>
      <c r="GO20" s="157"/>
      <c r="GP20" s="158"/>
      <c r="GQ20" s="157"/>
      <c r="GR20" s="157"/>
      <c r="GS20" s="157"/>
      <c r="GT20" s="157"/>
      <c r="GU20" s="157"/>
      <c r="GV20" s="157"/>
      <c r="GW20" s="157"/>
      <c r="GX20" s="157"/>
      <c r="GY20" s="157"/>
      <c r="GZ20" s="157"/>
      <c r="HA20" s="157"/>
      <c r="HB20" s="155">
        <v>0.0</v>
      </c>
      <c r="HC20" s="155">
        <v>0.0</v>
      </c>
      <c r="HD20" s="155">
        <v>0.0</v>
      </c>
      <c r="HE20" s="155">
        <v>0.0</v>
      </c>
      <c r="HF20" s="155">
        <v>0.0</v>
      </c>
      <c r="HG20" s="155">
        <v>0.0</v>
      </c>
      <c r="IL20" s="159">
        <v>0.0</v>
      </c>
      <c r="IM20" s="156">
        <v>0.0</v>
      </c>
      <c r="IN20" s="156">
        <v>0.0</v>
      </c>
      <c r="IO20" s="156">
        <v>0.0</v>
      </c>
      <c r="IP20" s="156">
        <v>0.0</v>
      </c>
      <c r="IQ20" s="160">
        <v>0.0</v>
      </c>
      <c r="JH20" s="25"/>
      <c r="JW20" s="159">
        <v>0.0</v>
      </c>
      <c r="JX20" s="156">
        <v>0.0</v>
      </c>
      <c r="JY20" s="156">
        <v>0.0</v>
      </c>
      <c r="JZ20" s="156">
        <v>0.0</v>
      </c>
      <c r="KA20" s="156">
        <v>0.0</v>
      </c>
      <c r="KB20" s="160">
        <v>0.0</v>
      </c>
      <c r="LH20" s="159">
        <f t="shared" si="10"/>
        <v>0</v>
      </c>
      <c r="LI20" s="156">
        <f t="shared" si="11"/>
        <v>0</v>
      </c>
      <c r="LJ20" s="156">
        <f t="shared" si="12"/>
        <v>0</v>
      </c>
      <c r="LK20" s="156">
        <f t="shared" si="13"/>
        <v>0</v>
      </c>
      <c r="LL20" s="156">
        <f t="shared" si="14"/>
        <v>0</v>
      </c>
      <c r="LM20" s="160">
        <f t="shared" si="15"/>
        <v>0</v>
      </c>
      <c r="QX20" s="163">
        <v>45765.0</v>
      </c>
    </row>
    <row r="21">
      <c r="A21" s="12"/>
      <c r="B21" s="12"/>
      <c r="C21" s="12"/>
      <c r="D21" s="12"/>
      <c r="E21" s="12"/>
      <c r="F21" s="12"/>
      <c r="G21" s="12"/>
      <c r="H21" s="12"/>
      <c r="I21" s="143">
        <f t="shared" si="5"/>
        <v>-60</v>
      </c>
      <c r="J21" s="144">
        <v>45763.0</v>
      </c>
      <c r="K21" s="180" t="s">
        <v>61</v>
      </c>
      <c r="L21" s="179">
        <v>46113.0</v>
      </c>
      <c r="M21" s="147" t="s">
        <v>720</v>
      </c>
      <c r="N21" s="148">
        <v>5.0</v>
      </c>
      <c r="O21" s="148">
        <v>30.0</v>
      </c>
      <c r="P21" s="26"/>
      <c r="Q21" s="26"/>
      <c r="R21" s="26"/>
      <c r="S21" s="26"/>
      <c r="T21" s="26"/>
      <c r="U21" s="147" t="s">
        <v>721</v>
      </c>
      <c r="V21" s="149" t="s">
        <v>722</v>
      </c>
      <c r="W21" s="147" t="s">
        <v>723</v>
      </c>
      <c r="X21" s="181">
        <v>43.0</v>
      </c>
      <c r="Y21" s="166">
        <f t="shared" si="6"/>
        <v>60</v>
      </c>
      <c r="Z21" s="26">
        <f t="shared" si="7"/>
        <v>0</v>
      </c>
      <c r="AA21" s="26">
        <f t="shared" si="8"/>
        <v>0</v>
      </c>
      <c r="AB21" s="26">
        <f t="shared" si="9"/>
        <v>0</v>
      </c>
      <c r="AC21" s="155">
        <v>5.0</v>
      </c>
      <c r="AD21" s="155">
        <v>0.0</v>
      </c>
      <c r="AE21" s="155">
        <v>0.0</v>
      </c>
      <c r="AF21" s="155">
        <v>0.0</v>
      </c>
      <c r="AG21" s="155">
        <v>0.0</v>
      </c>
      <c r="AH21" s="155">
        <v>0.0</v>
      </c>
      <c r="AU21" s="86">
        <v>1.0</v>
      </c>
      <c r="AW21" s="86">
        <v>1.0</v>
      </c>
      <c r="BA21" s="86">
        <v>1.0</v>
      </c>
      <c r="BC21" s="86">
        <v>1.0</v>
      </c>
      <c r="BJ21" s="86">
        <v>1.0</v>
      </c>
      <c r="BN21" s="155">
        <v>6.0</v>
      </c>
      <c r="BO21" s="155">
        <v>0.0</v>
      </c>
      <c r="BP21" s="155">
        <v>0.0</v>
      </c>
      <c r="BQ21" s="155">
        <v>0.0</v>
      </c>
      <c r="BR21" s="155">
        <v>0.0</v>
      </c>
      <c r="BS21" s="155">
        <v>0.0</v>
      </c>
      <c r="BV21" s="86">
        <v>1.0</v>
      </c>
      <c r="BW21" s="86">
        <v>1.0</v>
      </c>
      <c r="CB21" s="86">
        <v>1.0</v>
      </c>
      <c r="CD21" s="86">
        <v>1.0</v>
      </c>
      <c r="CP21" s="86">
        <v>1.0</v>
      </c>
      <c r="CR21" s="86">
        <v>1.0</v>
      </c>
      <c r="CV21" s="156">
        <v>6.0</v>
      </c>
      <c r="CW21" s="156">
        <v>0.0</v>
      </c>
      <c r="CX21" s="156">
        <v>0.0</v>
      </c>
      <c r="CY21" s="156">
        <v>0.0</v>
      </c>
      <c r="CZ21" s="156">
        <v>0.0</v>
      </c>
      <c r="DA21" s="156">
        <v>0.0</v>
      </c>
      <c r="DD21" s="86">
        <v>1.0</v>
      </c>
      <c r="DE21" s="86">
        <v>1.0</v>
      </c>
      <c r="DJ21" s="86">
        <v>1.0</v>
      </c>
      <c r="DL21" s="86">
        <v>1.0</v>
      </c>
      <c r="DS21" s="86">
        <v>1.0</v>
      </c>
      <c r="DU21" s="86">
        <v>1.0</v>
      </c>
      <c r="EG21" s="156">
        <v>0.0</v>
      </c>
      <c r="EH21" s="156">
        <v>0.0</v>
      </c>
      <c r="EI21" s="156">
        <v>0.0</v>
      </c>
      <c r="EJ21" s="156">
        <v>0.0</v>
      </c>
      <c r="EK21" s="156">
        <v>0.0</v>
      </c>
      <c r="EL21" s="156">
        <v>0.0</v>
      </c>
      <c r="FQ21" s="156">
        <v>0.0</v>
      </c>
      <c r="FR21" s="156">
        <v>0.0</v>
      </c>
      <c r="FS21" s="156">
        <v>0.0</v>
      </c>
      <c r="FT21" s="156">
        <v>0.0</v>
      </c>
      <c r="FU21" s="156">
        <v>0.0</v>
      </c>
      <c r="FV21" s="156">
        <v>0.0</v>
      </c>
      <c r="FW21" s="157"/>
      <c r="FX21" s="157"/>
      <c r="FY21" s="157"/>
      <c r="FZ21" s="157"/>
      <c r="GA21" s="157"/>
      <c r="GB21" s="157"/>
      <c r="GC21" s="157"/>
      <c r="GD21" s="157"/>
      <c r="GE21" s="157"/>
      <c r="GF21" s="157"/>
      <c r="GG21" s="157"/>
      <c r="GH21" s="157"/>
      <c r="GI21" s="157"/>
      <c r="GJ21" s="157"/>
      <c r="GK21" s="157"/>
      <c r="GL21" s="157"/>
      <c r="GM21" s="157"/>
      <c r="GN21" s="157"/>
      <c r="GO21" s="157"/>
      <c r="GP21" s="158"/>
      <c r="GQ21" s="157"/>
      <c r="GR21" s="157"/>
      <c r="GS21" s="157"/>
      <c r="GT21" s="157"/>
      <c r="GU21" s="157"/>
      <c r="GV21" s="157"/>
      <c r="GW21" s="157"/>
      <c r="GX21" s="157"/>
      <c r="GY21" s="157"/>
      <c r="GZ21" s="157"/>
      <c r="HA21" s="157"/>
      <c r="HB21" s="155">
        <v>0.0</v>
      </c>
      <c r="HC21" s="155">
        <v>0.0</v>
      </c>
      <c r="HD21" s="155">
        <v>0.0</v>
      </c>
      <c r="HE21" s="155">
        <v>0.0</v>
      </c>
      <c r="HF21" s="155">
        <v>0.0</v>
      </c>
      <c r="HG21" s="155">
        <v>0.0</v>
      </c>
      <c r="IL21" s="159">
        <v>0.0</v>
      </c>
      <c r="IM21" s="156">
        <v>0.0</v>
      </c>
      <c r="IN21" s="156">
        <v>0.0</v>
      </c>
      <c r="IO21" s="156">
        <v>0.0</v>
      </c>
      <c r="IP21" s="156">
        <v>0.0</v>
      </c>
      <c r="IQ21" s="160">
        <v>0.0</v>
      </c>
      <c r="JH21" s="25"/>
      <c r="JW21" s="159">
        <v>0.0</v>
      </c>
      <c r="JX21" s="156">
        <v>0.0</v>
      </c>
      <c r="JY21" s="156">
        <v>0.0</v>
      </c>
      <c r="JZ21" s="156">
        <v>0.0</v>
      </c>
      <c r="KA21" s="156">
        <v>0.0</v>
      </c>
      <c r="KB21" s="160">
        <v>0.0</v>
      </c>
      <c r="LH21" s="159">
        <f t="shared" si="10"/>
        <v>0</v>
      </c>
      <c r="LI21" s="156">
        <f t="shared" si="11"/>
        <v>0</v>
      </c>
      <c r="LJ21" s="156">
        <f t="shared" si="12"/>
        <v>0</v>
      </c>
      <c r="LK21" s="156">
        <f t="shared" si="13"/>
        <v>0</v>
      </c>
      <c r="LL21" s="156">
        <f t="shared" si="14"/>
        <v>0</v>
      </c>
      <c r="LM21" s="160">
        <f t="shared" si="15"/>
        <v>0</v>
      </c>
      <c r="QX21" s="163">
        <v>45766.0</v>
      </c>
    </row>
    <row r="22">
      <c r="A22" s="12"/>
      <c r="B22" s="12"/>
      <c r="C22" s="12"/>
      <c r="D22" s="12"/>
      <c r="E22" s="12"/>
      <c r="F22" s="12"/>
      <c r="G22" s="12"/>
      <c r="H22" s="12"/>
      <c r="I22" s="143">
        <f t="shared" si="5"/>
        <v>-6</v>
      </c>
      <c r="J22" s="144">
        <v>45768.0</v>
      </c>
      <c r="K22" s="173" t="s">
        <v>61</v>
      </c>
      <c r="L22" s="144">
        <v>46015.0</v>
      </c>
      <c r="M22" s="147" t="s">
        <v>400</v>
      </c>
      <c r="N22" s="148">
        <v>6.0</v>
      </c>
      <c r="O22" s="148">
        <v>30.0</v>
      </c>
      <c r="P22" s="26"/>
      <c r="Q22" s="26"/>
      <c r="R22" s="26"/>
      <c r="S22" s="26"/>
      <c r="T22" s="26"/>
      <c r="U22" s="147" t="s">
        <v>731</v>
      </c>
      <c r="V22" s="149" t="s">
        <v>732</v>
      </c>
      <c r="W22" s="198" t="s">
        <v>733</v>
      </c>
      <c r="X22" s="181">
        <v>6.0</v>
      </c>
      <c r="Y22" s="166">
        <f t="shared" si="6"/>
        <v>6</v>
      </c>
      <c r="Z22" s="26">
        <f t="shared" si="7"/>
        <v>0</v>
      </c>
      <c r="AA22" s="26">
        <f t="shared" si="8"/>
        <v>0</v>
      </c>
      <c r="AB22" s="26">
        <f t="shared" si="9"/>
        <v>0</v>
      </c>
      <c r="AC22" s="155">
        <v>0.0</v>
      </c>
      <c r="AD22" s="155">
        <v>0.0</v>
      </c>
      <c r="AE22" s="155">
        <v>0.0</v>
      </c>
      <c r="AF22" s="155">
        <v>0.0</v>
      </c>
      <c r="AG22" s="155">
        <v>0.0</v>
      </c>
      <c r="AH22" s="155">
        <v>0.0</v>
      </c>
      <c r="BN22" s="155">
        <v>0.0</v>
      </c>
      <c r="BO22" s="155">
        <v>0.0</v>
      </c>
      <c r="BP22" s="155">
        <v>0.0</v>
      </c>
      <c r="BQ22" s="155">
        <v>0.0</v>
      </c>
      <c r="BR22" s="155">
        <v>0.0</v>
      </c>
      <c r="BS22" s="155">
        <v>0.0</v>
      </c>
      <c r="CV22" s="156">
        <v>0.0</v>
      </c>
      <c r="CW22" s="156">
        <v>0.0</v>
      </c>
      <c r="CX22" s="156">
        <v>0.0</v>
      </c>
      <c r="CY22" s="156">
        <v>0.0</v>
      </c>
      <c r="CZ22" s="156">
        <v>0.0</v>
      </c>
      <c r="DA22" s="156">
        <v>0.0</v>
      </c>
      <c r="EG22" s="156">
        <v>0.0</v>
      </c>
      <c r="EH22" s="156">
        <v>0.0</v>
      </c>
      <c r="EI22" s="156">
        <v>0.0</v>
      </c>
      <c r="EJ22" s="156">
        <v>0.0</v>
      </c>
      <c r="EK22" s="156">
        <v>0.0</v>
      </c>
      <c r="EL22" s="156">
        <v>0.0</v>
      </c>
      <c r="FQ22" s="156">
        <v>0.0</v>
      </c>
      <c r="FR22" s="156">
        <v>0.0</v>
      </c>
      <c r="FS22" s="156">
        <v>0.0</v>
      </c>
      <c r="FT22" s="156">
        <v>0.0</v>
      </c>
      <c r="FU22" s="156">
        <v>0.0</v>
      </c>
      <c r="FV22" s="156">
        <v>0.0</v>
      </c>
      <c r="FW22" s="157"/>
      <c r="FX22" s="157"/>
      <c r="FY22" s="157"/>
      <c r="FZ22" s="157"/>
      <c r="GA22" s="157"/>
      <c r="GB22" s="157"/>
      <c r="GC22" s="157"/>
      <c r="GD22" s="157"/>
      <c r="GE22" s="157"/>
      <c r="GF22" s="157"/>
      <c r="GG22" s="157"/>
      <c r="GH22" s="157"/>
      <c r="GI22" s="157"/>
      <c r="GJ22" s="157"/>
      <c r="GK22" s="157"/>
      <c r="GL22" s="157"/>
      <c r="GM22" s="157"/>
      <c r="GN22" s="157"/>
      <c r="GO22" s="157"/>
      <c r="GP22" s="158"/>
      <c r="GQ22" s="157"/>
      <c r="GR22" s="157"/>
      <c r="GS22" s="157"/>
      <c r="GT22" s="157"/>
      <c r="GU22" s="157"/>
      <c r="GV22" s="157"/>
      <c r="GW22" s="157"/>
      <c r="GX22" s="157"/>
      <c r="GY22" s="157"/>
      <c r="GZ22" s="157"/>
      <c r="HA22" s="157"/>
      <c r="HB22" s="155">
        <v>0.0</v>
      </c>
      <c r="HC22" s="155">
        <v>0.0</v>
      </c>
      <c r="HD22" s="155">
        <v>0.0</v>
      </c>
      <c r="HE22" s="155">
        <v>0.0</v>
      </c>
      <c r="HF22" s="155">
        <v>0.0</v>
      </c>
      <c r="HG22" s="155">
        <v>0.0</v>
      </c>
      <c r="IL22" s="159">
        <v>0.0</v>
      </c>
      <c r="IM22" s="156">
        <v>0.0</v>
      </c>
      <c r="IN22" s="156">
        <v>0.0</v>
      </c>
      <c r="IO22" s="156">
        <v>0.0</v>
      </c>
      <c r="IP22" s="156">
        <v>0.0</v>
      </c>
      <c r="IQ22" s="160">
        <v>0.0</v>
      </c>
      <c r="JH22" s="25"/>
      <c r="JW22" s="159">
        <v>0.0</v>
      </c>
      <c r="JX22" s="156">
        <v>0.0</v>
      </c>
      <c r="JY22" s="156">
        <v>0.0</v>
      </c>
      <c r="JZ22" s="156">
        <v>0.0</v>
      </c>
      <c r="KA22" s="156">
        <v>0.0</v>
      </c>
      <c r="KB22" s="160">
        <v>0.0</v>
      </c>
      <c r="LH22" s="159">
        <f t="shared" si="10"/>
        <v>0</v>
      </c>
      <c r="LI22" s="156">
        <f t="shared" si="11"/>
        <v>0</v>
      </c>
      <c r="LJ22" s="156">
        <f t="shared" si="12"/>
        <v>0</v>
      </c>
      <c r="LK22" s="156">
        <f t="shared" si="13"/>
        <v>0</v>
      </c>
      <c r="LL22" s="156">
        <f t="shared" si="14"/>
        <v>0</v>
      </c>
      <c r="LM22" s="160">
        <f t="shared" si="15"/>
        <v>0</v>
      </c>
      <c r="QX22" s="163">
        <v>45768.0</v>
      </c>
    </row>
    <row r="23">
      <c r="A23" s="12"/>
      <c r="B23" s="12"/>
      <c r="C23" s="12"/>
      <c r="D23" s="12"/>
      <c r="E23" s="12"/>
      <c r="F23" s="12"/>
      <c r="G23" s="12"/>
      <c r="H23" s="12"/>
      <c r="I23" s="200">
        <f t="shared" si="5"/>
        <v>-30</v>
      </c>
      <c r="J23" s="202">
        <v>45765.0</v>
      </c>
      <c r="K23" s="173" t="s">
        <v>61</v>
      </c>
      <c r="L23" s="203" t="s">
        <v>742</v>
      </c>
      <c r="M23" s="204" t="s">
        <v>228</v>
      </c>
      <c r="N23" s="206">
        <v>26.0</v>
      </c>
      <c r="O23" s="206">
        <v>30.0</v>
      </c>
      <c r="P23" s="208"/>
      <c r="Q23" s="208"/>
      <c r="R23" s="208"/>
      <c r="S23" s="208"/>
      <c r="T23" s="208"/>
      <c r="U23" s="204" t="s">
        <v>745</v>
      </c>
      <c r="V23" s="209"/>
      <c r="W23" s="211" t="s">
        <v>746</v>
      </c>
      <c r="X23" s="212">
        <v>30.0</v>
      </c>
      <c r="Y23" s="166">
        <f t="shared" si="6"/>
        <v>30</v>
      </c>
      <c r="Z23" s="208">
        <f t="shared" si="7"/>
        <v>0</v>
      </c>
      <c r="AA23" s="208">
        <f t="shared" si="8"/>
        <v>0</v>
      </c>
      <c r="AB23" s="208">
        <f t="shared" si="9"/>
        <v>0</v>
      </c>
      <c r="AC23" s="155">
        <v>0.0</v>
      </c>
      <c r="AD23" s="155">
        <v>0.0</v>
      </c>
      <c r="AE23" s="155">
        <v>0.0</v>
      </c>
      <c r="AF23" s="155">
        <v>0.0</v>
      </c>
      <c r="AG23" s="155">
        <v>0.0</v>
      </c>
      <c r="AH23" s="155">
        <v>0.0</v>
      </c>
      <c r="BN23" s="155">
        <v>0.0</v>
      </c>
      <c r="BO23" s="155">
        <v>0.0</v>
      </c>
      <c r="BP23" s="155">
        <v>0.0</v>
      </c>
      <c r="BQ23" s="155">
        <v>0.0</v>
      </c>
      <c r="BR23" s="155">
        <v>0.0</v>
      </c>
      <c r="BS23" s="155">
        <v>0.0</v>
      </c>
      <c r="CV23" s="156">
        <v>0.0</v>
      </c>
      <c r="CW23" s="156">
        <v>0.0</v>
      </c>
      <c r="CX23" s="156">
        <v>0.0</v>
      </c>
      <c r="CY23" s="156">
        <v>0.0</v>
      </c>
      <c r="CZ23" s="156">
        <v>0.0</v>
      </c>
      <c r="DA23" s="156">
        <v>0.0</v>
      </c>
      <c r="EG23" s="156">
        <v>0.0</v>
      </c>
      <c r="EH23" s="156">
        <v>0.0</v>
      </c>
      <c r="EI23" s="156">
        <v>0.0</v>
      </c>
      <c r="EJ23" s="156">
        <v>0.0</v>
      </c>
      <c r="EK23" s="156">
        <v>0.0</v>
      </c>
      <c r="EL23" s="156">
        <v>0.0</v>
      </c>
      <c r="FQ23" s="156">
        <v>0.0</v>
      </c>
      <c r="FR23" s="156">
        <v>0.0</v>
      </c>
      <c r="FS23" s="156">
        <v>0.0</v>
      </c>
      <c r="FT23" s="156">
        <v>0.0</v>
      </c>
      <c r="FU23" s="156">
        <v>0.0</v>
      </c>
      <c r="FV23" s="156">
        <v>0.0</v>
      </c>
      <c r="FW23" s="157"/>
      <c r="FX23" s="157"/>
      <c r="FY23" s="157"/>
      <c r="FZ23" s="157"/>
      <c r="GA23" s="157"/>
      <c r="GB23" s="157"/>
      <c r="GC23" s="157"/>
      <c r="GD23" s="157"/>
      <c r="GE23" s="157"/>
      <c r="GF23" s="157"/>
      <c r="GG23" s="157"/>
      <c r="GH23" s="157"/>
      <c r="GI23" s="157"/>
      <c r="GJ23" s="157"/>
      <c r="GK23" s="157"/>
      <c r="GL23" s="157"/>
      <c r="GM23" s="157"/>
      <c r="GN23" s="157"/>
      <c r="GO23" s="157"/>
      <c r="GP23" s="158"/>
      <c r="GQ23" s="157"/>
      <c r="GR23" s="157"/>
      <c r="GS23" s="157"/>
      <c r="GT23" s="157"/>
      <c r="GU23" s="157"/>
      <c r="GV23" s="157"/>
      <c r="GW23" s="157"/>
      <c r="GX23" s="157"/>
      <c r="GY23" s="157"/>
      <c r="GZ23" s="157"/>
      <c r="HA23" s="157"/>
      <c r="HB23" s="155">
        <v>0.0</v>
      </c>
      <c r="HC23" s="155">
        <v>0.0</v>
      </c>
      <c r="HD23" s="155">
        <v>0.0</v>
      </c>
      <c r="HE23" s="155">
        <v>0.0</v>
      </c>
      <c r="HF23" s="155">
        <v>0.0</v>
      </c>
      <c r="HG23" s="155">
        <v>0.0</v>
      </c>
      <c r="IL23" s="159">
        <v>0.0</v>
      </c>
      <c r="IM23" s="156">
        <v>0.0</v>
      </c>
      <c r="IN23" s="156">
        <v>0.0</v>
      </c>
      <c r="IO23" s="156">
        <v>0.0</v>
      </c>
      <c r="IP23" s="156">
        <v>0.0</v>
      </c>
      <c r="IQ23" s="160">
        <v>0.0</v>
      </c>
      <c r="JH23" s="25"/>
      <c r="JW23" s="159">
        <v>0.0</v>
      </c>
      <c r="JX23" s="156">
        <v>0.0</v>
      </c>
      <c r="JY23" s="156">
        <v>0.0</v>
      </c>
      <c r="JZ23" s="156">
        <v>0.0</v>
      </c>
      <c r="KA23" s="156">
        <v>0.0</v>
      </c>
      <c r="KB23" s="160">
        <v>0.0</v>
      </c>
      <c r="LH23" s="159">
        <f t="shared" si="10"/>
        <v>0</v>
      </c>
      <c r="LI23" s="156">
        <f t="shared" si="11"/>
        <v>0</v>
      </c>
      <c r="LJ23" s="156">
        <f t="shared" si="12"/>
        <v>0</v>
      </c>
      <c r="LK23" s="156">
        <f t="shared" si="13"/>
        <v>0</v>
      </c>
      <c r="LL23" s="156">
        <f t="shared" si="14"/>
        <v>0</v>
      </c>
      <c r="LM23" s="160">
        <f t="shared" si="15"/>
        <v>0</v>
      </c>
      <c r="QX23" s="163">
        <v>45769.0</v>
      </c>
    </row>
    <row r="24">
      <c r="A24" s="12"/>
      <c r="B24" s="12"/>
      <c r="C24" s="12"/>
      <c r="D24" s="12"/>
      <c r="E24" s="12"/>
      <c r="F24" s="12"/>
      <c r="G24" s="12"/>
      <c r="H24" s="12"/>
      <c r="I24" s="143">
        <f t="shared" si="5"/>
        <v>-30</v>
      </c>
      <c r="J24" s="216">
        <v>45765.0</v>
      </c>
      <c r="K24" s="173" t="s">
        <v>61</v>
      </c>
      <c r="L24" s="144">
        <v>45846.0</v>
      </c>
      <c r="M24" s="147" t="s">
        <v>760</v>
      </c>
      <c r="N24" s="148">
        <v>246.0</v>
      </c>
      <c r="O24" s="148">
        <v>30.0</v>
      </c>
      <c r="P24" s="26"/>
      <c r="Q24" s="26"/>
      <c r="R24" s="26"/>
      <c r="S24" s="26"/>
      <c r="T24" s="26"/>
      <c r="U24" s="147" t="s">
        <v>763</v>
      </c>
      <c r="V24" s="197"/>
      <c r="W24" s="198" t="s">
        <v>764</v>
      </c>
      <c r="X24" s="181">
        <v>30.0</v>
      </c>
      <c r="Y24" s="166">
        <f t="shared" si="6"/>
        <v>30</v>
      </c>
      <c r="Z24" s="26">
        <f t="shared" si="7"/>
        <v>0</v>
      </c>
      <c r="AA24" s="26">
        <f t="shared" si="8"/>
        <v>0</v>
      </c>
      <c r="AB24" s="26">
        <f t="shared" si="9"/>
        <v>0</v>
      </c>
      <c r="AC24" s="155">
        <v>0.0</v>
      </c>
      <c r="AD24" s="155">
        <v>0.0</v>
      </c>
      <c r="AE24" s="155">
        <v>0.0</v>
      </c>
      <c r="AF24" s="155">
        <v>0.0</v>
      </c>
      <c r="AG24" s="155">
        <v>0.0</v>
      </c>
      <c r="AH24" s="155">
        <v>0.0</v>
      </c>
      <c r="BN24" s="155">
        <v>0.0</v>
      </c>
      <c r="BO24" s="155">
        <v>0.0</v>
      </c>
      <c r="BP24" s="155">
        <v>0.0</v>
      </c>
      <c r="BQ24" s="155">
        <v>0.0</v>
      </c>
      <c r="BR24" s="155">
        <v>0.0</v>
      </c>
      <c r="BS24" s="155">
        <v>0.0</v>
      </c>
      <c r="CV24" s="156">
        <v>0.0</v>
      </c>
      <c r="CW24" s="156">
        <v>0.0</v>
      </c>
      <c r="CX24" s="156">
        <v>0.0</v>
      </c>
      <c r="CY24" s="156">
        <v>0.0</v>
      </c>
      <c r="CZ24" s="156">
        <v>0.0</v>
      </c>
      <c r="DA24" s="156">
        <v>0.0</v>
      </c>
      <c r="EG24" s="156">
        <v>0.0</v>
      </c>
      <c r="EH24" s="156">
        <v>0.0</v>
      </c>
      <c r="EI24" s="156">
        <v>0.0</v>
      </c>
      <c r="EJ24" s="156">
        <v>0.0</v>
      </c>
      <c r="EK24" s="156">
        <v>0.0</v>
      </c>
      <c r="EL24" s="156">
        <v>0.0</v>
      </c>
      <c r="FQ24" s="156">
        <v>0.0</v>
      </c>
      <c r="FR24" s="156">
        <v>0.0</v>
      </c>
      <c r="FS24" s="156">
        <v>0.0</v>
      </c>
      <c r="FT24" s="156">
        <v>0.0</v>
      </c>
      <c r="FU24" s="156">
        <v>0.0</v>
      </c>
      <c r="FV24" s="156">
        <v>0.0</v>
      </c>
      <c r="FW24" s="157"/>
      <c r="FX24" s="157"/>
      <c r="FY24" s="157"/>
      <c r="FZ24" s="157"/>
      <c r="GA24" s="157"/>
      <c r="GB24" s="157"/>
      <c r="GC24" s="157"/>
      <c r="GD24" s="157"/>
      <c r="GE24" s="157"/>
      <c r="GF24" s="157"/>
      <c r="GG24" s="157"/>
      <c r="GH24" s="157"/>
      <c r="GI24" s="157"/>
      <c r="GJ24" s="157"/>
      <c r="GK24" s="157"/>
      <c r="GL24" s="157"/>
      <c r="GM24" s="157"/>
      <c r="GN24" s="157"/>
      <c r="GO24" s="157"/>
      <c r="GP24" s="158"/>
      <c r="GQ24" s="157"/>
      <c r="GR24" s="157"/>
      <c r="GS24" s="157"/>
      <c r="GT24" s="157"/>
      <c r="GU24" s="157"/>
      <c r="GV24" s="157"/>
      <c r="GW24" s="157"/>
      <c r="GX24" s="157"/>
      <c r="GY24" s="157"/>
      <c r="GZ24" s="157"/>
      <c r="HA24" s="157"/>
      <c r="HB24" s="155">
        <v>0.0</v>
      </c>
      <c r="HC24" s="155">
        <v>0.0</v>
      </c>
      <c r="HD24" s="155">
        <v>0.0</v>
      </c>
      <c r="HE24" s="155">
        <v>0.0</v>
      </c>
      <c r="HF24" s="155">
        <v>0.0</v>
      </c>
      <c r="HG24" s="155">
        <v>0.0</v>
      </c>
      <c r="IL24" s="159">
        <v>0.0</v>
      </c>
      <c r="IM24" s="156">
        <v>0.0</v>
      </c>
      <c r="IN24" s="156">
        <v>0.0</v>
      </c>
      <c r="IO24" s="156">
        <v>0.0</v>
      </c>
      <c r="IP24" s="156">
        <v>0.0</v>
      </c>
      <c r="IQ24" s="160">
        <v>0.0</v>
      </c>
      <c r="JH24" s="25"/>
      <c r="JW24" s="159">
        <v>0.0</v>
      </c>
      <c r="JX24" s="156">
        <v>0.0</v>
      </c>
      <c r="JY24" s="156">
        <v>0.0</v>
      </c>
      <c r="JZ24" s="156">
        <v>0.0</v>
      </c>
      <c r="KA24" s="156">
        <v>0.0</v>
      </c>
      <c r="KB24" s="160">
        <v>0.0</v>
      </c>
      <c r="LH24" s="159">
        <f t="shared" si="10"/>
        <v>0</v>
      </c>
      <c r="LI24" s="156">
        <f t="shared" si="11"/>
        <v>0</v>
      </c>
      <c r="LJ24" s="156">
        <f t="shared" si="12"/>
        <v>0</v>
      </c>
      <c r="LK24" s="156">
        <f t="shared" si="13"/>
        <v>0</v>
      </c>
      <c r="LL24" s="156">
        <f t="shared" si="14"/>
        <v>0</v>
      </c>
      <c r="LM24" s="160">
        <f t="shared" si="15"/>
        <v>0</v>
      </c>
      <c r="QX24" s="163">
        <v>45769.0</v>
      </c>
    </row>
    <row r="25">
      <c r="A25" s="12"/>
      <c r="B25" s="12"/>
      <c r="C25" s="12"/>
      <c r="D25" s="12"/>
      <c r="E25" s="12"/>
      <c r="F25" s="12"/>
      <c r="G25" s="12"/>
      <c r="H25" s="12"/>
      <c r="I25" s="219">
        <f t="shared" si="5"/>
        <v>-12</v>
      </c>
      <c r="J25" s="144">
        <v>45768.0</v>
      </c>
      <c r="K25" s="173" t="s">
        <v>61</v>
      </c>
      <c r="L25" s="144">
        <v>45804.0</v>
      </c>
      <c r="M25" s="147" t="s">
        <v>560</v>
      </c>
      <c r="N25" s="148">
        <v>246.0</v>
      </c>
      <c r="O25" s="148">
        <v>30.0</v>
      </c>
      <c r="P25" s="26"/>
      <c r="Q25" s="26"/>
      <c r="R25" s="26"/>
      <c r="S25" s="26"/>
      <c r="T25" s="26"/>
      <c r="U25" s="147" t="s">
        <v>721</v>
      </c>
      <c r="V25" s="197"/>
      <c r="W25" s="147" t="s">
        <v>773</v>
      </c>
      <c r="X25" s="181">
        <v>12.0</v>
      </c>
      <c r="Y25" s="166">
        <f t="shared" si="6"/>
        <v>12</v>
      </c>
      <c r="Z25" s="26">
        <f t="shared" si="7"/>
        <v>0</v>
      </c>
      <c r="AA25" s="26">
        <f t="shared" si="8"/>
        <v>0</v>
      </c>
      <c r="AB25" s="26">
        <f t="shared" si="9"/>
        <v>0</v>
      </c>
      <c r="AC25" s="155">
        <v>0.0</v>
      </c>
      <c r="AD25" s="155">
        <v>0.0</v>
      </c>
      <c r="AE25" s="155">
        <v>0.0</v>
      </c>
      <c r="AF25" s="155">
        <v>0.0</v>
      </c>
      <c r="AG25" s="155">
        <v>0.0</v>
      </c>
      <c r="AH25" s="155">
        <v>0.0</v>
      </c>
      <c r="BN25" s="155">
        <v>0.0</v>
      </c>
      <c r="BO25" s="155">
        <v>0.0</v>
      </c>
      <c r="BP25" s="155">
        <v>0.0</v>
      </c>
      <c r="BQ25" s="155">
        <v>0.0</v>
      </c>
      <c r="BR25" s="155">
        <v>0.0</v>
      </c>
      <c r="BS25" s="155">
        <v>0.0</v>
      </c>
      <c r="CV25" s="156">
        <v>0.0</v>
      </c>
      <c r="CW25" s="156">
        <v>0.0</v>
      </c>
      <c r="CX25" s="156">
        <v>0.0</v>
      </c>
      <c r="CY25" s="156">
        <v>0.0</v>
      </c>
      <c r="CZ25" s="156">
        <v>0.0</v>
      </c>
      <c r="DA25" s="156">
        <v>0.0</v>
      </c>
      <c r="EG25" s="156">
        <v>0.0</v>
      </c>
      <c r="EH25" s="156">
        <v>0.0</v>
      </c>
      <c r="EI25" s="156">
        <v>0.0</v>
      </c>
      <c r="EJ25" s="156">
        <v>0.0</v>
      </c>
      <c r="EK25" s="156">
        <v>0.0</v>
      </c>
      <c r="EL25" s="156">
        <v>0.0</v>
      </c>
      <c r="FQ25" s="156">
        <v>0.0</v>
      </c>
      <c r="FR25" s="156">
        <v>0.0</v>
      </c>
      <c r="FS25" s="156">
        <v>0.0</v>
      </c>
      <c r="FT25" s="156">
        <v>0.0</v>
      </c>
      <c r="FU25" s="156">
        <v>0.0</v>
      </c>
      <c r="FV25" s="156">
        <v>0.0</v>
      </c>
      <c r="FW25" s="157"/>
      <c r="FX25" s="157"/>
      <c r="FY25" s="157"/>
      <c r="FZ25" s="157"/>
      <c r="GA25" s="157"/>
      <c r="GB25" s="157"/>
      <c r="GC25" s="157"/>
      <c r="GD25" s="157"/>
      <c r="GE25" s="157"/>
      <c r="GF25" s="157"/>
      <c r="GG25" s="157"/>
      <c r="GH25" s="157"/>
      <c r="GI25" s="157"/>
      <c r="GJ25" s="157"/>
      <c r="GK25" s="157"/>
      <c r="GL25" s="157"/>
      <c r="GM25" s="157"/>
      <c r="GN25" s="157"/>
      <c r="GO25" s="157"/>
      <c r="GP25" s="158"/>
      <c r="GQ25" s="157"/>
      <c r="GR25" s="157"/>
      <c r="GS25" s="157"/>
      <c r="GT25" s="157"/>
      <c r="GU25" s="157"/>
      <c r="GV25" s="157"/>
      <c r="GW25" s="157"/>
      <c r="GX25" s="157"/>
      <c r="GY25" s="157"/>
      <c r="GZ25" s="157"/>
      <c r="HA25" s="157"/>
      <c r="HB25" s="155">
        <v>0.0</v>
      </c>
      <c r="HC25" s="155">
        <v>0.0</v>
      </c>
      <c r="HD25" s="155">
        <v>0.0</v>
      </c>
      <c r="HE25" s="155">
        <v>0.0</v>
      </c>
      <c r="HF25" s="155">
        <v>0.0</v>
      </c>
      <c r="HG25" s="155">
        <v>0.0</v>
      </c>
      <c r="IL25" s="159">
        <v>0.0</v>
      </c>
      <c r="IM25" s="156">
        <v>0.0</v>
      </c>
      <c r="IN25" s="156">
        <v>0.0</v>
      </c>
      <c r="IO25" s="156">
        <v>0.0</v>
      </c>
      <c r="IP25" s="156">
        <v>0.0</v>
      </c>
      <c r="IQ25" s="160">
        <v>0.0</v>
      </c>
      <c r="JH25" s="25"/>
      <c r="JW25" s="159">
        <v>0.0</v>
      </c>
      <c r="JX25" s="156">
        <v>0.0</v>
      </c>
      <c r="JY25" s="156">
        <v>0.0</v>
      </c>
      <c r="JZ25" s="156">
        <v>0.0</v>
      </c>
      <c r="KA25" s="156">
        <v>0.0</v>
      </c>
      <c r="KB25" s="160">
        <v>0.0</v>
      </c>
      <c r="LH25" s="159">
        <f t="shared" si="10"/>
        <v>0</v>
      </c>
      <c r="LI25" s="156">
        <f t="shared" si="11"/>
        <v>0</v>
      </c>
      <c r="LJ25" s="156">
        <f t="shared" si="12"/>
        <v>0</v>
      </c>
      <c r="LK25" s="156">
        <f t="shared" si="13"/>
        <v>0</v>
      </c>
      <c r="LL25" s="156">
        <f t="shared" si="14"/>
        <v>0</v>
      </c>
      <c r="LM25" s="160">
        <f t="shared" si="15"/>
        <v>0</v>
      </c>
      <c r="QX25" s="163">
        <v>45770.0</v>
      </c>
    </row>
    <row r="26">
      <c r="A26" s="12"/>
      <c r="B26" s="12"/>
      <c r="C26" s="12"/>
      <c r="D26" s="12"/>
      <c r="E26" s="12"/>
      <c r="F26" s="12"/>
      <c r="G26" s="12"/>
      <c r="H26" s="12"/>
      <c r="I26" s="143">
        <f t="shared" si="5"/>
        <v>-30</v>
      </c>
      <c r="J26" s="144">
        <v>45766.0</v>
      </c>
      <c r="K26" s="173" t="s">
        <v>61</v>
      </c>
      <c r="L26" s="144">
        <v>45870.0</v>
      </c>
      <c r="M26" s="147" t="s">
        <v>400</v>
      </c>
      <c r="N26" s="148">
        <v>357.0</v>
      </c>
      <c r="O26" s="148">
        <v>30.0</v>
      </c>
      <c r="P26" s="26"/>
      <c r="Q26" s="26"/>
      <c r="R26" s="26"/>
      <c r="S26" s="26"/>
      <c r="T26" s="26"/>
      <c r="U26" s="147" t="s">
        <v>786</v>
      </c>
      <c r="V26" s="197"/>
      <c r="W26" s="198" t="s">
        <v>787</v>
      </c>
      <c r="X26" s="181">
        <v>30.0</v>
      </c>
      <c r="Y26" s="166">
        <f t="shared" si="6"/>
        <v>30</v>
      </c>
      <c r="Z26" s="26">
        <f t="shared" si="7"/>
        <v>0</v>
      </c>
      <c r="AA26" s="26">
        <f t="shared" si="8"/>
        <v>0</v>
      </c>
      <c r="AB26" s="26">
        <f t="shared" si="9"/>
        <v>0</v>
      </c>
      <c r="AC26" s="155">
        <v>0.0</v>
      </c>
      <c r="AD26" s="155">
        <v>0.0</v>
      </c>
      <c r="AE26" s="155">
        <v>0.0</v>
      </c>
      <c r="AF26" s="155">
        <v>0.0</v>
      </c>
      <c r="AG26" s="155">
        <v>0.0</v>
      </c>
      <c r="AH26" s="155">
        <v>0.0</v>
      </c>
      <c r="BN26" s="155">
        <v>0.0</v>
      </c>
      <c r="BO26" s="155">
        <v>0.0</v>
      </c>
      <c r="BP26" s="155">
        <v>0.0</v>
      </c>
      <c r="BQ26" s="155">
        <v>0.0</v>
      </c>
      <c r="BR26" s="155">
        <v>0.0</v>
      </c>
      <c r="BS26" s="155">
        <v>0.0</v>
      </c>
      <c r="CV26" s="156">
        <v>0.0</v>
      </c>
      <c r="CW26" s="156">
        <v>0.0</v>
      </c>
      <c r="CX26" s="156">
        <v>0.0</v>
      </c>
      <c r="CY26" s="156">
        <v>0.0</v>
      </c>
      <c r="CZ26" s="156">
        <v>0.0</v>
      </c>
      <c r="DA26" s="156">
        <v>0.0</v>
      </c>
      <c r="EG26" s="156">
        <v>0.0</v>
      </c>
      <c r="EH26" s="156">
        <v>0.0</v>
      </c>
      <c r="EI26" s="156">
        <v>0.0</v>
      </c>
      <c r="EJ26" s="156">
        <v>0.0</v>
      </c>
      <c r="EK26" s="156">
        <v>0.0</v>
      </c>
      <c r="EL26" s="156">
        <v>0.0</v>
      </c>
      <c r="FQ26" s="156">
        <v>0.0</v>
      </c>
      <c r="FR26" s="156">
        <v>0.0</v>
      </c>
      <c r="FS26" s="156">
        <v>0.0</v>
      </c>
      <c r="FT26" s="156">
        <v>0.0</v>
      </c>
      <c r="FU26" s="156">
        <v>0.0</v>
      </c>
      <c r="FV26" s="156">
        <v>0.0</v>
      </c>
      <c r="FW26" s="157"/>
      <c r="FX26" s="157"/>
      <c r="FY26" s="157"/>
      <c r="FZ26" s="157"/>
      <c r="GA26" s="157"/>
      <c r="GB26" s="157"/>
      <c r="GC26" s="157"/>
      <c r="GD26" s="157"/>
      <c r="GE26" s="157"/>
      <c r="GF26" s="157"/>
      <c r="GG26" s="157"/>
      <c r="GH26" s="157"/>
      <c r="GI26" s="157"/>
      <c r="GJ26" s="157"/>
      <c r="GK26" s="157"/>
      <c r="GL26" s="157"/>
      <c r="GM26" s="157"/>
      <c r="GN26" s="157"/>
      <c r="GO26" s="157"/>
      <c r="GP26" s="158"/>
      <c r="GQ26" s="157"/>
      <c r="GR26" s="157"/>
      <c r="GS26" s="157"/>
      <c r="GT26" s="157"/>
      <c r="GU26" s="157"/>
      <c r="GV26" s="157"/>
      <c r="GW26" s="157"/>
      <c r="GX26" s="157"/>
      <c r="GY26" s="157"/>
      <c r="GZ26" s="157"/>
      <c r="HA26" s="157"/>
      <c r="HB26" s="155">
        <v>0.0</v>
      </c>
      <c r="HC26" s="155">
        <v>0.0</v>
      </c>
      <c r="HD26" s="155">
        <v>0.0</v>
      </c>
      <c r="HE26" s="155">
        <v>0.0</v>
      </c>
      <c r="HF26" s="155">
        <v>0.0</v>
      </c>
      <c r="HG26" s="155">
        <v>0.0</v>
      </c>
      <c r="IL26" s="159">
        <v>0.0</v>
      </c>
      <c r="IM26" s="156">
        <v>0.0</v>
      </c>
      <c r="IN26" s="156">
        <v>0.0</v>
      </c>
      <c r="IO26" s="156">
        <v>0.0</v>
      </c>
      <c r="IP26" s="156">
        <v>0.0</v>
      </c>
      <c r="IQ26" s="160">
        <v>0.0</v>
      </c>
      <c r="JH26" s="25"/>
      <c r="JW26" s="159">
        <v>0.0</v>
      </c>
      <c r="JX26" s="156">
        <v>0.0</v>
      </c>
      <c r="JY26" s="156">
        <v>0.0</v>
      </c>
      <c r="JZ26" s="156">
        <v>0.0</v>
      </c>
      <c r="KA26" s="156">
        <v>0.0</v>
      </c>
      <c r="KB26" s="160">
        <v>0.0</v>
      </c>
      <c r="LH26" s="159">
        <f t="shared" si="10"/>
        <v>0</v>
      </c>
      <c r="LI26" s="156">
        <f t="shared" si="11"/>
        <v>0</v>
      </c>
      <c r="LJ26" s="156">
        <f t="shared" si="12"/>
        <v>0</v>
      </c>
      <c r="LK26" s="156">
        <f t="shared" si="13"/>
        <v>0</v>
      </c>
      <c r="LL26" s="156">
        <f t="shared" si="14"/>
        <v>0</v>
      </c>
      <c r="LM26" s="160">
        <f t="shared" si="15"/>
        <v>0</v>
      </c>
      <c r="QX26" s="163">
        <v>45771.0</v>
      </c>
    </row>
    <row r="27">
      <c r="A27" s="12"/>
      <c r="B27" s="12"/>
      <c r="C27" s="12"/>
      <c r="D27" s="12"/>
      <c r="E27" s="12"/>
      <c r="F27" s="12"/>
      <c r="G27" s="12"/>
      <c r="H27" s="12"/>
      <c r="I27" s="143">
        <f t="shared" si="5"/>
        <v>-14</v>
      </c>
      <c r="J27" s="144">
        <v>45772.0</v>
      </c>
      <c r="K27" s="173" t="s">
        <v>61</v>
      </c>
      <c r="L27" s="144">
        <v>45834.0</v>
      </c>
      <c r="M27" s="147" t="s">
        <v>400</v>
      </c>
      <c r="N27" s="148">
        <v>246.0</v>
      </c>
      <c r="O27" s="148">
        <v>30.0</v>
      </c>
      <c r="P27" s="26"/>
      <c r="Q27" s="26"/>
      <c r="R27" s="26"/>
      <c r="S27" s="26"/>
      <c r="T27" s="26"/>
      <c r="U27" s="147" t="s">
        <v>800</v>
      </c>
      <c r="V27" s="197"/>
      <c r="W27" s="198" t="s">
        <v>801</v>
      </c>
      <c r="X27" s="181">
        <v>14.0</v>
      </c>
      <c r="Y27" s="166">
        <f t="shared" si="6"/>
        <v>14</v>
      </c>
      <c r="Z27" s="26">
        <f t="shared" si="7"/>
        <v>0</v>
      </c>
      <c r="AA27" s="26">
        <f t="shared" si="8"/>
        <v>0</v>
      </c>
      <c r="AB27" s="26">
        <f t="shared" si="9"/>
        <v>0</v>
      </c>
      <c r="AC27" s="155">
        <v>0.0</v>
      </c>
      <c r="AD27" s="155">
        <v>0.0</v>
      </c>
      <c r="AE27" s="155">
        <v>0.0</v>
      </c>
      <c r="AF27" s="155">
        <v>0.0</v>
      </c>
      <c r="AG27" s="155">
        <v>0.0</v>
      </c>
      <c r="AH27" s="155">
        <v>0.0</v>
      </c>
      <c r="BN27" s="155">
        <v>0.0</v>
      </c>
      <c r="BO27" s="155">
        <v>0.0</v>
      </c>
      <c r="BP27" s="155">
        <v>0.0</v>
      </c>
      <c r="BQ27" s="155">
        <v>0.0</v>
      </c>
      <c r="BR27" s="155">
        <v>0.0</v>
      </c>
      <c r="BS27" s="155">
        <v>0.0</v>
      </c>
      <c r="CV27" s="156">
        <v>0.0</v>
      </c>
      <c r="CW27" s="156">
        <v>0.0</v>
      </c>
      <c r="CX27" s="156">
        <v>0.0</v>
      </c>
      <c r="CY27" s="156">
        <v>0.0</v>
      </c>
      <c r="CZ27" s="156">
        <v>0.0</v>
      </c>
      <c r="DA27" s="156">
        <v>0.0</v>
      </c>
      <c r="EG27" s="156">
        <v>0.0</v>
      </c>
      <c r="EH27" s="156">
        <v>0.0</v>
      </c>
      <c r="EI27" s="156">
        <v>0.0</v>
      </c>
      <c r="EJ27" s="156">
        <v>0.0</v>
      </c>
      <c r="EK27" s="156">
        <v>0.0</v>
      </c>
      <c r="EL27" s="156">
        <v>0.0</v>
      </c>
      <c r="FQ27" s="156">
        <v>0.0</v>
      </c>
      <c r="FR27" s="156">
        <v>0.0</v>
      </c>
      <c r="FS27" s="156">
        <v>0.0</v>
      </c>
      <c r="FT27" s="156">
        <v>0.0</v>
      </c>
      <c r="FU27" s="156">
        <v>0.0</v>
      </c>
      <c r="FV27" s="156">
        <v>0.0</v>
      </c>
      <c r="FW27" s="157"/>
      <c r="FX27" s="157"/>
      <c r="FY27" s="157"/>
      <c r="FZ27" s="157"/>
      <c r="GA27" s="157"/>
      <c r="GB27" s="157"/>
      <c r="GC27" s="157"/>
      <c r="GD27" s="157"/>
      <c r="GE27" s="157"/>
      <c r="GF27" s="157"/>
      <c r="GG27" s="157"/>
      <c r="GH27" s="157"/>
      <c r="GI27" s="157"/>
      <c r="GJ27" s="157"/>
      <c r="GK27" s="157"/>
      <c r="GL27" s="157"/>
      <c r="GM27" s="157"/>
      <c r="GN27" s="157"/>
      <c r="GO27" s="157"/>
      <c r="GP27" s="158"/>
      <c r="GQ27" s="157"/>
      <c r="GR27" s="157"/>
      <c r="GS27" s="157"/>
      <c r="GT27" s="157"/>
      <c r="GU27" s="157"/>
      <c r="GV27" s="157"/>
      <c r="GW27" s="157"/>
      <c r="GX27" s="157"/>
      <c r="GY27" s="157"/>
      <c r="GZ27" s="157"/>
      <c r="HA27" s="157"/>
      <c r="HB27" s="155">
        <v>0.0</v>
      </c>
      <c r="HC27" s="155">
        <v>0.0</v>
      </c>
      <c r="HD27" s="155">
        <v>0.0</v>
      </c>
      <c r="HE27" s="155">
        <v>0.0</v>
      </c>
      <c r="HF27" s="155">
        <v>0.0</v>
      </c>
      <c r="HG27" s="155">
        <v>0.0</v>
      </c>
      <c r="IL27" s="159">
        <v>0.0</v>
      </c>
      <c r="IM27" s="156">
        <v>0.0</v>
      </c>
      <c r="IN27" s="156">
        <v>0.0</v>
      </c>
      <c r="IO27" s="156">
        <v>0.0</v>
      </c>
      <c r="IP27" s="156">
        <v>0.0</v>
      </c>
      <c r="IQ27" s="160">
        <v>0.0</v>
      </c>
      <c r="JH27" s="25"/>
      <c r="JW27" s="159">
        <v>0.0</v>
      </c>
      <c r="JX27" s="156">
        <v>0.0</v>
      </c>
      <c r="JY27" s="156">
        <v>0.0</v>
      </c>
      <c r="JZ27" s="156">
        <v>0.0</v>
      </c>
      <c r="KA27" s="156">
        <v>0.0</v>
      </c>
      <c r="KB27" s="160">
        <v>0.0</v>
      </c>
      <c r="LH27" s="159">
        <f t="shared" si="10"/>
        <v>0</v>
      </c>
      <c r="LI27" s="156">
        <f t="shared" si="11"/>
        <v>0</v>
      </c>
      <c r="LJ27" s="156">
        <f t="shared" si="12"/>
        <v>0</v>
      </c>
      <c r="LK27" s="156">
        <f t="shared" si="13"/>
        <v>0</v>
      </c>
      <c r="LL27" s="156">
        <f t="shared" si="14"/>
        <v>0</v>
      </c>
      <c r="LM27" s="160">
        <f t="shared" si="15"/>
        <v>0</v>
      </c>
      <c r="QX27" s="163">
        <v>45772.0</v>
      </c>
    </row>
    <row r="28">
      <c r="A28" s="12"/>
      <c r="B28" s="12"/>
      <c r="C28" s="12"/>
      <c r="D28" s="12"/>
      <c r="E28" s="12"/>
      <c r="F28" s="12"/>
      <c r="G28" s="12"/>
      <c r="H28" s="12"/>
      <c r="I28" s="143">
        <f t="shared" si="5"/>
        <v>-30</v>
      </c>
      <c r="J28" s="144">
        <v>45768.0</v>
      </c>
      <c r="K28" s="173" t="s">
        <v>61</v>
      </c>
      <c r="L28" s="144">
        <v>45847.0</v>
      </c>
      <c r="M28" s="147" t="s">
        <v>811</v>
      </c>
      <c r="N28" s="148">
        <v>246.0</v>
      </c>
      <c r="O28" s="148">
        <v>30.0</v>
      </c>
      <c r="P28" s="26"/>
      <c r="Q28" s="26"/>
      <c r="R28" s="26"/>
      <c r="S28" s="26"/>
      <c r="T28" s="26"/>
      <c r="U28" s="147" t="s">
        <v>721</v>
      </c>
      <c r="V28" s="197"/>
      <c r="W28" s="198" t="s">
        <v>814</v>
      </c>
      <c r="X28" s="181">
        <v>30.0</v>
      </c>
      <c r="Y28" s="166">
        <f t="shared" si="6"/>
        <v>30</v>
      </c>
      <c r="Z28" s="26">
        <f t="shared" si="7"/>
        <v>0</v>
      </c>
      <c r="AA28" s="26">
        <f t="shared" si="8"/>
        <v>0</v>
      </c>
      <c r="AB28" s="26">
        <f t="shared" si="9"/>
        <v>0</v>
      </c>
      <c r="AC28" s="155">
        <v>0.0</v>
      </c>
      <c r="AD28" s="155">
        <v>0.0</v>
      </c>
      <c r="AE28" s="155">
        <v>0.0</v>
      </c>
      <c r="AF28" s="155">
        <v>0.0</v>
      </c>
      <c r="AG28" s="155">
        <v>0.0</v>
      </c>
      <c r="AH28" s="155">
        <v>0.0</v>
      </c>
      <c r="BN28" s="155">
        <v>0.0</v>
      </c>
      <c r="BO28" s="155">
        <v>0.0</v>
      </c>
      <c r="BP28" s="155">
        <v>0.0</v>
      </c>
      <c r="BQ28" s="155">
        <v>0.0</v>
      </c>
      <c r="BR28" s="155">
        <v>0.0</v>
      </c>
      <c r="BS28" s="155">
        <v>0.0</v>
      </c>
      <c r="CV28" s="156">
        <v>0.0</v>
      </c>
      <c r="CW28" s="156">
        <v>0.0</v>
      </c>
      <c r="CX28" s="156">
        <v>0.0</v>
      </c>
      <c r="CY28" s="156">
        <v>0.0</v>
      </c>
      <c r="CZ28" s="156">
        <v>0.0</v>
      </c>
      <c r="DA28" s="156">
        <v>0.0</v>
      </c>
      <c r="EG28" s="156">
        <v>0.0</v>
      </c>
      <c r="EH28" s="156">
        <v>0.0</v>
      </c>
      <c r="EI28" s="156">
        <v>0.0</v>
      </c>
      <c r="EJ28" s="156">
        <v>0.0</v>
      </c>
      <c r="EK28" s="156">
        <v>0.0</v>
      </c>
      <c r="EL28" s="156">
        <v>0.0</v>
      </c>
      <c r="FQ28" s="156">
        <v>0.0</v>
      </c>
      <c r="FR28" s="156">
        <v>0.0</v>
      </c>
      <c r="FS28" s="156">
        <v>0.0</v>
      </c>
      <c r="FT28" s="156">
        <v>0.0</v>
      </c>
      <c r="FU28" s="156">
        <v>0.0</v>
      </c>
      <c r="FV28" s="156">
        <v>0.0</v>
      </c>
      <c r="FW28" s="157"/>
      <c r="FX28" s="157"/>
      <c r="FY28" s="157"/>
      <c r="FZ28" s="157"/>
      <c r="GA28" s="157"/>
      <c r="GB28" s="157"/>
      <c r="GC28" s="157"/>
      <c r="GD28" s="157"/>
      <c r="GE28" s="157"/>
      <c r="GF28" s="157"/>
      <c r="GG28" s="157"/>
      <c r="GH28" s="157"/>
      <c r="GI28" s="157"/>
      <c r="GJ28" s="157"/>
      <c r="GK28" s="157"/>
      <c r="GL28" s="157"/>
      <c r="GM28" s="157"/>
      <c r="GN28" s="157"/>
      <c r="GO28" s="157"/>
      <c r="GP28" s="158"/>
      <c r="GQ28" s="157"/>
      <c r="GR28" s="157"/>
      <c r="GS28" s="157"/>
      <c r="GT28" s="157"/>
      <c r="GU28" s="157"/>
      <c r="GV28" s="157"/>
      <c r="GW28" s="157"/>
      <c r="GX28" s="157"/>
      <c r="GY28" s="157"/>
      <c r="GZ28" s="157"/>
      <c r="HA28" s="157"/>
      <c r="HB28" s="155">
        <v>0.0</v>
      </c>
      <c r="HC28" s="155">
        <v>0.0</v>
      </c>
      <c r="HD28" s="155">
        <v>0.0</v>
      </c>
      <c r="HE28" s="155">
        <v>0.0</v>
      </c>
      <c r="HF28" s="155">
        <v>0.0</v>
      </c>
      <c r="HG28" s="155">
        <v>0.0</v>
      </c>
      <c r="IL28" s="159">
        <v>0.0</v>
      </c>
      <c r="IM28" s="156">
        <v>0.0</v>
      </c>
      <c r="IN28" s="156">
        <v>0.0</v>
      </c>
      <c r="IO28" s="156">
        <v>0.0</v>
      </c>
      <c r="IP28" s="156">
        <v>0.0</v>
      </c>
      <c r="IQ28" s="160">
        <v>0.0</v>
      </c>
      <c r="JH28" s="25"/>
      <c r="JW28" s="159">
        <v>0.0</v>
      </c>
      <c r="JX28" s="156">
        <v>0.0</v>
      </c>
      <c r="JY28" s="156">
        <v>0.0</v>
      </c>
      <c r="JZ28" s="156">
        <v>0.0</v>
      </c>
      <c r="KA28" s="156">
        <v>0.0</v>
      </c>
      <c r="KB28" s="160">
        <v>0.0</v>
      </c>
      <c r="LH28" s="159">
        <f t="shared" si="10"/>
        <v>0</v>
      </c>
      <c r="LI28" s="156">
        <f t="shared" si="11"/>
        <v>0</v>
      </c>
      <c r="LJ28" s="156">
        <f t="shared" si="12"/>
        <v>0</v>
      </c>
      <c r="LK28" s="156">
        <f t="shared" si="13"/>
        <v>0</v>
      </c>
      <c r="LL28" s="156">
        <f t="shared" si="14"/>
        <v>0</v>
      </c>
      <c r="LM28" s="160">
        <f t="shared" si="15"/>
        <v>0</v>
      </c>
      <c r="QX28" s="163">
        <v>45775.0</v>
      </c>
    </row>
    <row r="29">
      <c r="A29" s="12"/>
      <c r="B29" s="12"/>
      <c r="C29" s="12"/>
      <c r="D29" s="12"/>
      <c r="E29" s="12"/>
      <c r="F29" s="12"/>
      <c r="G29" s="12"/>
      <c r="H29" s="12"/>
      <c r="I29" s="143">
        <f t="shared" si="5"/>
        <v>-30</v>
      </c>
      <c r="J29" s="144">
        <v>45769.0</v>
      </c>
      <c r="K29" s="173" t="s">
        <v>61</v>
      </c>
      <c r="L29" s="144">
        <v>45892.0</v>
      </c>
      <c r="M29" s="147" t="s">
        <v>825</v>
      </c>
      <c r="N29" s="148" t="s">
        <v>826</v>
      </c>
      <c r="O29" s="148">
        <v>30.0</v>
      </c>
      <c r="P29" s="26"/>
      <c r="Q29" s="26"/>
      <c r="R29" s="26"/>
      <c r="S29" s="26"/>
      <c r="T29" s="26"/>
      <c r="U29" s="147" t="s">
        <v>721</v>
      </c>
      <c r="V29" s="197"/>
      <c r="W29" s="150" t="s">
        <v>827</v>
      </c>
      <c r="X29" s="181">
        <v>30.0</v>
      </c>
      <c r="Y29" s="166">
        <f t="shared" si="6"/>
        <v>30</v>
      </c>
      <c r="Z29" s="26">
        <f t="shared" si="7"/>
        <v>0</v>
      </c>
      <c r="AA29" s="26">
        <f t="shared" si="8"/>
        <v>0</v>
      </c>
      <c r="AB29" s="26">
        <f t="shared" si="9"/>
        <v>0</v>
      </c>
      <c r="AC29" s="155">
        <v>0.0</v>
      </c>
      <c r="AD29" s="155">
        <v>0.0</v>
      </c>
      <c r="AE29" s="155">
        <v>0.0</v>
      </c>
      <c r="AF29" s="155">
        <v>0.0</v>
      </c>
      <c r="AG29" s="155">
        <v>0.0</v>
      </c>
      <c r="AH29" s="155">
        <v>0.0</v>
      </c>
      <c r="BN29" s="155">
        <v>0.0</v>
      </c>
      <c r="BO29" s="155">
        <v>0.0</v>
      </c>
      <c r="BP29" s="155">
        <v>0.0</v>
      </c>
      <c r="BQ29" s="155">
        <v>0.0</v>
      </c>
      <c r="BR29" s="155">
        <v>0.0</v>
      </c>
      <c r="BS29" s="155">
        <v>0.0</v>
      </c>
      <c r="CV29" s="156">
        <v>0.0</v>
      </c>
      <c r="CW29" s="156">
        <v>0.0</v>
      </c>
      <c r="CX29" s="156">
        <v>0.0</v>
      </c>
      <c r="CY29" s="156">
        <v>0.0</v>
      </c>
      <c r="CZ29" s="156">
        <v>0.0</v>
      </c>
      <c r="DA29" s="156">
        <v>0.0</v>
      </c>
      <c r="EG29" s="156">
        <v>0.0</v>
      </c>
      <c r="EH29" s="156">
        <v>0.0</v>
      </c>
      <c r="EI29" s="156">
        <v>0.0</v>
      </c>
      <c r="EJ29" s="156">
        <v>0.0</v>
      </c>
      <c r="EK29" s="156">
        <v>0.0</v>
      </c>
      <c r="EL29" s="156">
        <v>0.0</v>
      </c>
      <c r="FQ29" s="156">
        <v>0.0</v>
      </c>
      <c r="FR29" s="156">
        <v>0.0</v>
      </c>
      <c r="FS29" s="156">
        <v>0.0</v>
      </c>
      <c r="FT29" s="156">
        <v>0.0</v>
      </c>
      <c r="FU29" s="156">
        <v>0.0</v>
      </c>
      <c r="FV29" s="156">
        <v>0.0</v>
      </c>
      <c r="FW29" s="157"/>
      <c r="FX29" s="157"/>
      <c r="FY29" s="157"/>
      <c r="FZ29" s="157"/>
      <c r="GA29" s="157"/>
      <c r="GB29" s="157"/>
      <c r="GC29" s="157"/>
      <c r="GD29" s="157"/>
      <c r="GE29" s="157"/>
      <c r="GF29" s="157"/>
      <c r="GG29" s="157"/>
      <c r="GH29" s="157"/>
      <c r="GI29" s="157"/>
      <c r="GJ29" s="157"/>
      <c r="GK29" s="157"/>
      <c r="GL29" s="157"/>
      <c r="GM29" s="157"/>
      <c r="GN29" s="157"/>
      <c r="GO29" s="157"/>
      <c r="GP29" s="158"/>
      <c r="GQ29" s="157"/>
      <c r="GR29" s="157"/>
      <c r="GS29" s="157"/>
      <c r="GT29" s="157"/>
      <c r="GU29" s="157"/>
      <c r="GV29" s="157"/>
      <c r="GW29" s="157"/>
      <c r="GX29" s="157"/>
      <c r="GY29" s="157"/>
      <c r="GZ29" s="157"/>
      <c r="HA29" s="157"/>
      <c r="HB29" s="155">
        <v>0.0</v>
      </c>
      <c r="HC29" s="155">
        <v>0.0</v>
      </c>
      <c r="HD29" s="155">
        <v>0.0</v>
      </c>
      <c r="HE29" s="155">
        <v>0.0</v>
      </c>
      <c r="HF29" s="155">
        <v>0.0</v>
      </c>
      <c r="HG29" s="155">
        <v>0.0</v>
      </c>
      <c r="IL29" s="159">
        <v>0.0</v>
      </c>
      <c r="IM29" s="156">
        <v>0.0</v>
      </c>
      <c r="IN29" s="156">
        <v>0.0</v>
      </c>
      <c r="IO29" s="156">
        <v>0.0</v>
      </c>
      <c r="IP29" s="156">
        <v>0.0</v>
      </c>
      <c r="IQ29" s="160">
        <v>0.0</v>
      </c>
      <c r="JH29" s="25"/>
      <c r="JW29" s="159">
        <v>0.0</v>
      </c>
      <c r="JX29" s="156">
        <v>0.0</v>
      </c>
      <c r="JY29" s="156">
        <v>0.0</v>
      </c>
      <c r="JZ29" s="156">
        <v>0.0</v>
      </c>
      <c r="KA29" s="156">
        <v>0.0</v>
      </c>
      <c r="KB29" s="160">
        <v>0.0</v>
      </c>
      <c r="LH29" s="159">
        <f t="shared" si="10"/>
        <v>0</v>
      </c>
      <c r="LI29" s="156">
        <f t="shared" si="11"/>
        <v>0</v>
      </c>
      <c r="LJ29" s="156">
        <f t="shared" si="12"/>
        <v>0</v>
      </c>
      <c r="LK29" s="156">
        <f t="shared" si="13"/>
        <v>0</v>
      </c>
      <c r="LL29" s="156">
        <f t="shared" si="14"/>
        <v>0</v>
      </c>
      <c r="LM29" s="160">
        <f t="shared" si="15"/>
        <v>0</v>
      </c>
      <c r="QX29" s="163">
        <v>45776.0</v>
      </c>
    </row>
    <row r="30">
      <c r="A30" s="12"/>
      <c r="B30" s="12"/>
      <c r="C30" s="12"/>
      <c r="D30" s="12"/>
      <c r="E30" s="12"/>
      <c r="F30" s="12"/>
      <c r="G30" s="12"/>
      <c r="H30" s="12"/>
      <c r="I30" s="143">
        <f t="shared" si="5"/>
        <v>-30</v>
      </c>
      <c r="J30" s="144">
        <v>45791.0</v>
      </c>
      <c r="K30" s="173" t="s">
        <v>61</v>
      </c>
      <c r="L30" s="144">
        <v>45859.0</v>
      </c>
      <c r="M30" s="147" t="s">
        <v>400</v>
      </c>
      <c r="N30" s="148">
        <v>246.0</v>
      </c>
      <c r="O30" s="148">
        <v>30.0</v>
      </c>
      <c r="P30" s="26"/>
      <c r="Q30" s="26"/>
      <c r="R30" s="26"/>
      <c r="S30" s="26"/>
      <c r="T30" s="26"/>
      <c r="U30" s="147" t="s">
        <v>845</v>
      </c>
      <c r="V30" s="197"/>
      <c r="W30" s="198" t="s">
        <v>846</v>
      </c>
      <c r="X30" s="181">
        <v>30.0</v>
      </c>
      <c r="Y30" s="166">
        <f t="shared" si="6"/>
        <v>30</v>
      </c>
      <c r="Z30" s="26">
        <f t="shared" si="7"/>
        <v>0</v>
      </c>
      <c r="AA30" s="26">
        <f t="shared" si="8"/>
        <v>0</v>
      </c>
      <c r="AB30" s="26">
        <f t="shared" si="9"/>
        <v>0</v>
      </c>
      <c r="AC30" s="155">
        <v>0.0</v>
      </c>
      <c r="AD30" s="155">
        <v>0.0</v>
      </c>
      <c r="AE30" s="155">
        <v>0.0</v>
      </c>
      <c r="AF30" s="155">
        <v>0.0</v>
      </c>
      <c r="AG30" s="155">
        <v>0.0</v>
      </c>
      <c r="AH30" s="155">
        <v>0.0</v>
      </c>
      <c r="BN30" s="155">
        <v>0.0</v>
      </c>
      <c r="BO30" s="155">
        <v>0.0</v>
      </c>
      <c r="BP30" s="155">
        <v>0.0</v>
      </c>
      <c r="BQ30" s="155">
        <v>0.0</v>
      </c>
      <c r="BR30" s="155">
        <v>0.0</v>
      </c>
      <c r="BS30" s="155">
        <v>0.0</v>
      </c>
      <c r="CV30" s="156">
        <v>0.0</v>
      </c>
      <c r="CW30" s="156">
        <v>0.0</v>
      </c>
      <c r="CX30" s="156">
        <v>0.0</v>
      </c>
      <c r="CY30" s="156">
        <v>0.0</v>
      </c>
      <c r="CZ30" s="156">
        <v>0.0</v>
      </c>
      <c r="DA30" s="156">
        <v>0.0</v>
      </c>
      <c r="EG30" s="156">
        <v>0.0</v>
      </c>
      <c r="EH30" s="156">
        <v>0.0</v>
      </c>
      <c r="EI30" s="156">
        <v>0.0</v>
      </c>
      <c r="EJ30" s="156">
        <v>0.0</v>
      </c>
      <c r="EK30" s="156">
        <v>0.0</v>
      </c>
      <c r="EL30" s="156">
        <v>0.0</v>
      </c>
      <c r="FQ30" s="156">
        <v>0.0</v>
      </c>
      <c r="FR30" s="156">
        <v>0.0</v>
      </c>
      <c r="FS30" s="156">
        <v>0.0</v>
      </c>
      <c r="FT30" s="156">
        <v>0.0</v>
      </c>
      <c r="FU30" s="156">
        <v>0.0</v>
      </c>
      <c r="FV30" s="156">
        <v>0.0</v>
      </c>
      <c r="FW30" s="157"/>
      <c r="FX30" s="157"/>
      <c r="FY30" s="157"/>
      <c r="FZ30" s="157"/>
      <c r="GA30" s="157"/>
      <c r="GB30" s="157"/>
      <c r="GC30" s="157"/>
      <c r="GD30" s="157"/>
      <c r="GE30" s="157"/>
      <c r="GF30" s="157"/>
      <c r="GG30" s="157"/>
      <c r="GH30" s="157"/>
      <c r="GI30" s="157"/>
      <c r="GJ30" s="157"/>
      <c r="GK30" s="157"/>
      <c r="GL30" s="157"/>
      <c r="GM30" s="157"/>
      <c r="GN30" s="157"/>
      <c r="GO30" s="157"/>
      <c r="GP30" s="158"/>
      <c r="GQ30" s="157"/>
      <c r="GR30" s="157"/>
      <c r="GS30" s="157"/>
      <c r="GT30" s="157"/>
      <c r="GU30" s="157"/>
      <c r="GV30" s="157"/>
      <c r="GW30" s="157"/>
      <c r="GX30" s="157"/>
      <c r="GY30" s="157"/>
      <c r="GZ30" s="157"/>
      <c r="HA30" s="157"/>
      <c r="HB30" s="155">
        <v>0.0</v>
      </c>
      <c r="HC30" s="155">
        <v>0.0</v>
      </c>
      <c r="HD30" s="155">
        <v>0.0</v>
      </c>
      <c r="HE30" s="155">
        <v>0.0</v>
      </c>
      <c r="HF30" s="155">
        <v>0.0</v>
      </c>
      <c r="HG30" s="155">
        <v>0.0</v>
      </c>
      <c r="IL30" s="159">
        <v>0.0</v>
      </c>
      <c r="IM30" s="156">
        <v>0.0</v>
      </c>
      <c r="IN30" s="156">
        <v>0.0</v>
      </c>
      <c r="IO30" s="156">
        <v>0.0</v>
      </c>
      <c r="IP30" s="156">
        <v>0.0</v>
      </c>
      <c r="IQ30" s="160">
        <v>0.0</v>
      </c>
      <c r="JH30" s="25"/>
      <c r="JW30" s="159">
        <v>0.0</v>
      </c>
      <c r="JX30" s="156">
        <v>0.0</v>
      </c>
      <c r="JY30" s="156">
        <v>0.0</v>
      </c>
      <c r="JZ30" s="156">
        <v>0.0</v>
      </c>
      <c r="KA30" s="156">
        <v>0.0</v>
      </c>
      <c r="KB30" s="160">
        <v>0.0</v>
      </c>
      <c r="LH30" s="159">
        <f t="shared" si="10"/>
        <v>0</v>
      </c>
      <c r="LI30" s="156">
        <f t="shared" si="11"/>
        <v>0</v>
      </c>
      <c r="LJ30" s="156">
        <f t="shared" si="12"/>
        <v>0</v>
      </c>
      <c r="LK30" s="156">
        <f t="shared" si="13"/>
        <v>0</v>
      </c>
      <c r="LL30" s="156">
        <f t="shared" si="14"/>
        <v>0</v>
      </c>
      <c r="LM30" s="160">
        <f t="shared" si="15"/>
        <v>0</v>
      </c>
      <c r="QX30" s="163">
        <v>45776.0</v>
      </c>
    </row>
    <row r="31">
      <c r="A31" s="12"/>
      <c r="B31" s="12"/>
      <c r="C31" s="12"/>
      <c r="D31" s="12"/>
      <c r="E31" s="12"/>
      <c r="F31" s="12"/>
      <c r="G31" s="12"/>
      <c r="H31" s="12"/>
      <c r="I31" s="143">
        <f t="shared" si="5"/>
        <v>-27</v>
      </c>
      <c r="J31" s="144">
        <v>45776.0</v>
      </c>
      <c r="K31" s="173" t="s">
        <v>61</v>
      </c>
      <c r="L31" s="180">
        <v>45931.0</v>
      </c>
      <c r="M31" s="147" t="s">
        <v>400</v>
      </c>
      <c r="N31" s="148">
        <v>357.0</v>
      </c>
      <c r="O31" s="148">
        <v>30.0</v>
      </c>
      <c r="P31" s="26"/>
      <c r="Q31" s="26"/>
      <c r="R31" s="26"/>
      <c r="S31" s="26"/>
      <c r="T31" s="26"/>
      <c r="U31" s="147" t="s">
        <v>731</v>
      </c>
      <c r="V31" s="197"/>
      <c r="W31" s="198" t="s">
        <v>858</v>
      </c>
      <c r="X31" s="181">
        <v>27.0</v>
      </c>
      <c r="Y31" s="166">
        <f t="shared" si="6"/>
        <v>27</v>
      </c>
      <c r="Z31" s="26">
        <f t="shared" si="7"/>
        <v>0</v>
      </c>
      <c r="AA31" s="26">
        <f t="shared" si="8"/>
        <v>0</v>
      </c>
      <c r="AB31" s="26">
        <f t="shared" si="9"/>
        <v>0</v>
      </c>
      <c r="AC31" s="155">
        <v>0.0</v>
      </c>
      <c r="AD31" s="155">
        <v>0.0</v>
      </c>
      <c r="AE31" s="155">
        <v>0.0</v>
      </c>
      <c r="AF31" s="155">
        <v>0.0</v>
      </c>
      <c r="AG31" s="155">
        <v>0.0</v>
      </c>
      <c r="AH31" s="155">
        <v>0.0</v>
      </c>
      <c r="BN31" s="155">
        <v>0.0</v>
      </c>
      <c r="BO31" s="155">
        <v>0.0</v>
      </c>
      <c r="BP31" s="155">
        <v>0.0</v>
      </c>
      <c r="BQ31" s="155">
        <v>0.0</v>
      </c>
      <c r="BR31" s="155">
        <v>0.0</v>
      </c>
      <c r="BS31" s="155">
        <v>0.0</v>
      </c>
      <c r="CV31" s="156">
        <v>0.0</v>
      </c>
      <c r="CW31" s="156">
        <v>0.0</v>
      </c>
      <c r="CX31" s="156">
        <v>0.0</v>
      </c>
      <c r="CY31" s="156">
        <v>0.0</v>
      </c>
      <c r="CZ31" s="156">
        <v>0.0</v>
      </c>
      <c r="DA31" s="156">
        <v>0.0</v>
      </c>
      <c r="EG31" s="156">
        <v>0.0</v>
      </c>
      <c r="EH31" s="156">
        <v>0.0</v>
      </c>
      <c r="EI31" s="156">
        <v>0.0</v>
      </c>
      <c r="EJ31" s="156">
        <v>0.0</v>
      </c>
      <c r="EK31" s="156">
        <v>0.0</v>
      </c>
      <c r="EL31" s="156">
        <v>0.0</v>
      </c>
      <c r="FQ31" s="156">
        <v>0.0</v>
      </c>
      <c r="FR31" s="156">
        <v>0.0</v>
      </c>
      <c r="FS31" s="156">
        <v>0.0</v>
      </c>
      <c r="FT31" s="156">
        <v>0.0</v>
      </c>
      <c r="FU31" s="156">
        <v>0.0</v>
      </c>
      <c r="FV31" s="156">
        <v>0.0</v>
      </c>
      <c r="FW31" s="157"/>
      <c r="FX31" s="157"/>
      <c r="FY31" s="157"/>
      <c r="FZ31" s="157"/>
      <c r="GA31" s="157"/>
      <c r="GB31" s="157"/>
      <c r="GC31" s="157"/>
      <c r="GD31" s="157"/>
      <c r="GE31" s="157"/>
      <c r="GF31" s="157"/>
      <c r="GG31" s="157"/>
      <c r="GH31" s="157"/>
      <c r="GI31" s="157"/>
      <c r="GJ31" s="157"/>
      <c r="GK31" s="157"/>
      <c r="GL31" s="157"/>
      <c r="GM31" s="157"/>
      <c r="GN31" s="157"/>
      <c r="GO31" s="157"/>
      <c r="GP31" s="158"/>
      <c r="GQ31" s="157"/>
      <c r="GR31" s="157"/>
      <c r="GS31" s="157"/>
      <c r="GT31" s="157"/>
      <c r="GU31" s="157"/>
      <c r="GV31" s="157"/>
      <c r="GW31" s="157"/>
      <c r="GX31" s="157"/>
      <c r="GY31" s="157"/>
      <c r="GZ31" s="157"/>
      <c r="HA31" s="157"/>
      <c r="HB31" s="155">
        <v>0.0</v>
      </c>
      <c r="HC31" s="155">
        <v>0.0</v>
      </c>
      <c r="HD31" s="155">
        <v>0.0</v>
      </c>
      <c r="HE31" s="155">
        <v>0.0</v>
      </c>
      <c r="HF31" s="155">
        <v>0.0</v>
      </c>
      <c r="HG31" s="155">
        <v>0.0</v>
      </c>
      <c r="IL31" s="159">
        <v>0.0</v>
      </c>
      <c r="IM31" s="156">
        <v>0.0</v>
      </c>
      <c r="IN31" s="156">
        <v>0.0</v>
      </c>
      <c r="IO31" s="156">
        <v>0.0</v>
      </c>
      <c r="IP31" s="156">
        <v>0.0</v>
      </c>
      <c r="IQ31" s="160">
        <v>0.0</v>
      </c>
      <c r="JH31" s="25"/>
      <c r="JW31" s="159">
        <v>0.0</v>
      </c>
      <c r="JX31" s="156">
        <v>0.0</v>
      </c>
      <c r="JY31" s="156">
        <v>0.0</v>
      </c>
      <c r="JZ31" s="156">
        <v>0.0</v>
      </c>
      <c r="KA31" s="156">
        <v>0.0</v>
      </c>
      <c r="KB31" s="160">
        <v>0.0</v>
      </c>
      <c r="LH31" s="159">
        <f t="shared" si="10"/>
        <v>0</v>
      </c>
      <c r="LI31" s="156">
        <f t="shared" si="11"/>
        <v>0</v>
      </c>
      <c r="LJ31" s="156">
        <f t="shared" si="12"/>
        <v>0</v>
      </c>
      <c r="LK31" s="156">
        <f t="shared" si="13"/>
        <v>0</v>
      </c>
      <c r="LL31" s="156">
        <f t="shared" si="14"/>
        <v>0</v>
      </c>
      <c r="LM31" s="160">
        <f t="shared" si="15"/>
        <v>0</v>
      </c>
      <c r="QX31" s="163">
        <v>45779.0</v>
      </c>
    </row>
    <row r="32">
      <c r="A32" s="12"/>
      <c r="B32" s="12"/>
      <c r="C32" s="12"/>
      <c r="D32" s="12"/>
      <c r="E32" s="12"/>
      <c r="F32" s="12"/>
      <c r="G32" s="12"/>
      <c r="H32" s="12"/>
      <c r="I32" s="143">
        <f t="shared" si="5"/>
        <v>-30</v>
      </c>
      <c r="J32" s="144">
        <v>45785.0</v>
      </c>
      <c r="K32" s="173" t="s">
        <v>61</v>
      </c>
      <c r="L32" s="144">
        <v>45918.0</v>
      </c>
      <c r="M32" s="147" t="s">
        <v>873</v>
      </c>
      <c r="N32" s="148">
        <v>356.0</v>
      </c>
      <c r="O32" s="148">
        <v>30.0</v>
      </c>
      <c r="P32" s="26"/>
      <c r="Q32" s="26"/>
      <c r="R32" s="26"/>
      <c r="S32" s="26"/>
      <c r="T32" s="26"/>
      <c r="U32" s="147" t="s">
        <v>875</v>
      </c>
      <c r="V32" s="197"/>
      <c r="W32" s="150" t="s">
        <v>876</v>
      </c>
      <c r="X32" s="181">
        <v>30.0</v>
      </c>
      <c r="Y32" s="166">
        <f t="shared" si="6"/>
        <v>30</v>
      </c>
      <c r="Z32" s="26">
        <f t="shared" si="7"/>
        <v>0</v>
      </c>
      <c r="AA32" s="26">
        <f t="shared" si="8"/>
        <v>0</v>
      </c>
      <c r="AB32" s="26">
        <f t="shared" si="9"/>
        <v>0</v>
      </c>
      <c r="AC32" s="155">
        <v>0.0</v>
      </c>
      <c r="AD32" s="155">
        <v>0.0</v>
      </c>
      <c r="AE32" s="155">
        <v>0.0</v>
      </c>
      <c r="AF32" s="155">
        <v>0.0</v>
      </c>
      <c r="AG32" s="155">
        <v>0.0</v>
      </c>
      <c r="AH32" s="155">
        <v>0.0</v>
      </c>
      <c r="BN32" s="155">
        <v>0.0</v>
      </c>
      <c r="BO32" s="155">
        <v>0.0</v>
      </c>
      <c r="BP32" s="155">
        <v>0.0</v>
      </c>
      <c r="BQ32" s="155">
        <v>0.0</v>
      </c>
      <c r="BR32" s="155">
        <v>0.0</v>
      </c>
      <c r="BS32" s="155">
        <v>0.0</v>
      </c>
      <c r="CV32" s="156">
        <v>0.0</v>
      </c>
      <c r="CW32" s="156">
        <v>0.0</v>
      </c>
      <c r="CX32" s="156">
        <v>0.0</v>
      </c>
      <c r="CY32" s="156">
        <v>0.0</v>
      </c>
      <c r="CZ32" s="156">
        <v>0.0</v>
      </c>
      <c r="DA32" s="156">
        <v>0.0</v>
      </c>
      <c r="EG32" s="156">
        <v>0.0</v>
      </c>
      <c r="EH32" s="156">
        <v>0.0</v>
      </c>
      <c r="EI32" s="156">
        <v>0.0</v>
      </c>
      <c r="EJ32" s="156">
        <v>0.0</v>
      </c>
      <c r="EK32" s="156">
        <v>0.0</v>
      </c>
      <c r="EL32" s="156">
        <v>0.0</v>
      </c>
      <c r="FQ32" s="156">
        <v>0.0</v>
      </c>
      <c r="FR32" s="156">
        <v>0.0</v>
      </c>
      <c r="FS32" s="156">
        <v>0.0</v>
      </c>
      <c r="FT32" s="156">
        <v>0.0</v>
      </c>
      <c r="FU32" s="156">
        <v>0.0</v>
      </c>
      <c r="FV32" s="156">
        <v>0.0</v>
      </c>
      <c r="FW32" s="157"/>
      <c r="FX32" s="157"/>
      <c r="FY32" s="157"/>
      <c r="FZ32" s="157"/>
      <c r="GA32" s="157"/>
      <c r="GB32" s="157"/>
      <c r="GC32" s="157"/>
      <c r="GD32" s="157"/>
      <c r="GE32" s="157"/>
      <c r="GF32" s="157"/>
      <c r="GG32" s="157"/>
      <c r="GH32" s="157"/>
      <c r="GI32" s="157"/>
      <c r="GJ32" s="157"/>
      <c r="GK32" s="157"/>
      <c r="GL32" s="157"/>
      <c r="GM32" s="157"/>
      <c r="GN32" s="157"/>
      <c r="GO32" s="157"/>
      <c r="GP32" s="158"/>
      <c r="GQ32" s="157"/>
      <c r="GR32" s="157"/>
      <c r="GS32" s="157"/>
      <c r="GT32" s="157"/>
      <c r="GU32" s="157"/>
      <c r="GV32" s="157"/>
      <c r="GW32" s="157"/>
      <c r="GX32" s="157"/>
      <c r="GY32" s="157"/>
      <c r="GZ32" s="157"/>
      <c r="HA32" s="157"/>
      <c r="HB32" s="155">
        <v>0.0</v>
      </c>
      <c r="HC32" s="155">
        <v>0.0</v>
      </c>
      <c r="HD32" s="155">
        <v>0.0</v>
      </c>
      <c r="HE32" s="155">
        <v>0.0</v>
      </c>
      <c r="HF32" s="155">
        <v>0.0</v>
      </c>
      <c r="HG32" s="155">
        <v>0.0</v>
      </c>
      <c r="IL32" s="159">
        <v>0.0</v>
      </c>
      <c r="IM32" s="156">
        <v>0.0</v>
      </c>
      <c r="IN32" s="156">
        <v>0.0</v>
      </c>
      <c r="IO32" s="156">
        <v>0.0</v>
      </c>
      <c r="IP32" s="156">
        <v>0.0</v>
      </c>
      <c r="IQ32" s="160">
        <v>0.0</v>
      </c>
      <c r="JH32" s="25"/>
      <c r="JW32" s="159">
        <v>0.0</v>
      </c>
      <c r="JX32" s="156">
        <v>0.0</v>
      </c>
      <c r="JY32" s="156">
        <v>0.0</v>
      </c>
      <c r="JZ32" s="156">
        <v>0.0</v>
      </c>
      <c r="KA32" s="156">
        <v>0.0</v>
      </c>
      <c r="KB32" s="160">
        <v>0.0</v>
      </c>
      <c r="LH32" s="159">
        <f t="shared" si="10"/>
        <v>0</v>
      </c>
      <c r="LI32" s="156">
        <f t="shared" si="11"/>
        <v>0</v>
      </c>
      <c r="LJ32" s="156">
        <f t="shared" si="12"/>
        <v>0</v>
      </c>
      <c r="LK32" s="156">
        <f t="shared" si="13"/>
        <v>0</v>
      </c>
      <c r="LL32" s="156">
        <f t="shared" si="14"/>
        <v>0</v>
      </c>
      <c r="LM32" s="160">
        <f t="shared" si="15"/>
        <v>0</v>
      </c>
      <c r="QX32" s="163">
        <v>45784.0</v>
      </c>
    </row>
    <row r="33">
      <c r="A33" s="12"/>
      <c r="B33" s="12"/>
      <c r="C33" s="12"/>
      <c r="D33" s="12"/>
      <c r="E33" s="12"/>
      <c r="F33" s="12"/>
      <c r="G33" s="12"/>
      <c r="H33" s="12"/>
      <c r="I33" s="143">
        <f t="shared" si="5"/>
        <v>0</v>
      </c>
      <c r="J33" s="236"/>
      <c r="K33" s="145" t="s">
        <v>61</v>
      </c>
      <c r="L33" s="146"/>
      <c r="M33" s="238" t="s">
        <v>107</v>
      </c>
      <c r="N33" s="239">
        <v>246.0</v>
      </c>
      <c r="O33" s="239">
        <v>45.0</v>
      </c>
      <c r="P33" s="240"/>
      <c r="Q33" s="240"/>
      <c r="R33" s="240"/>
      <c r="S33" s="240"/>
      <c r="T33" s="240"/>
      <c r="U33" s="240"/>
      <c r="V33" s="197"/>
      <c r="W33" s="26"/>
      <c r="X33" s="181">
        <v>0.0</v>
      </c>
      <c r="Y33" s="166">
        <f t="shared" si="6"/>
        <v>0</v>
      </c>
      <c r="Z33" s="26">
        <f t="shared" si="7"/>
        <v>0</v>
      </c>
      <c r="AA33" s="26">
        <f t="shared" si="8"/>
        <v>0</v>
      </c>
      <c r="AB33" s="26">
        <f t="shared" si="9"/>
        <v>0</v>
      </c>
      <c r="AC33" s="155">
        <v>0.0</v>
      </c>
      <c r="AD33" s="155">
        <v>0.0</v>
      </c>
      <c r="AE33" s="155">
        <v>0.0</v>
      </c>
      <c r="AF33" s="155">
        <v>0.0</v>
      </c>
      <c r="AG33" s="155">
        <v>0.0</v>
      </c>
      <c r="AH33" s="155">
        <v>0.0</v>
      </c>
      <c r="BN33" s="155">
        <v>0.0</v>
      </c>
      <c r="BO33" s="155">
        <v>0.0</v>
      </c>
      <c r="BP33" s="155">
        <v>0.0</v>
      </c>
      <c r="BQ33" s="155">
        <v>0.0</v>
      </c>
      <c r="BR33" s="155">
        <v>0.0</v>
      </c>
      <c r="BS33" s="155">
        <v>0.0</v>
      </c>
      <c r="CV33" s="156">
        <v>0.0</v>
      </c>
      <c r="CW33" s="156">
        <v>0.0</v>
      </c>
      <c r="CX33" s="156">
        <v>0.0</v>
      </c>
      <c r="CY33" s="156">
        <v>0.0</v>
      </c>
      <c r="CZ33" s="156">
        <v>0.0</v>
      </c>
      <c r="DA33" s="156">
        <v>0.0</v>
      </c>
      <c r="EG33" s="156">
        <v>0.0</v>
      </c>
      <c r="EH33" s="156">
        <v>0.0</v>
      </c>
      <c r="EI33" s="156">
        <v>0.0</v>
      </c>
      <c r="EJ33" s="156">
        <v>0.0</v>
      </c>
      <c r="EK33" s="156">
        <v>0.0</v>
      </c>
      <c r="EL33" s="156">
        <v>0.0</v>
      </c>
      <c r="FQ33" s="156">
        <v>0.0</v>
      </c>
      <c r="FR33" s="156">
        <v>0.0</v>
      </c>
      <c r="FS33" s="156">
        <v>0.0</v>
      </c>
      <c r="FT33" s="156">
        <v>0.0</v>
      </c>
      <c r="FU33" s="156">
        <v>0.0</v>
      </c>
      <c r="FV33" s="156">
        <v>0.0</v>
      </c>
      <c r="FW33" s="157"/>
      <c r="FX33" s="157"/>
      <c r="FY33" s="157"/>
      <c r="FZ33" s="157"/>
      <c r="GA33" s="157"/>
      <c r="GB33" s="157"/>
      <c r="GC33" s="157"/>
      <c r="GD33" s="157"/>
      <c r="GE33" s="157"/>
      <c r="GF33" s="157"/>
      <c r="GG33" s="157"/>
      <c r="GH33" s="157"/>
      <c r="GI33" s="157"/>
      <c r="GJ33" s="157"/>
      <c r="GK33" s="157"/>
      <c r="GL33" s="157"/>
      <c r="GM33" s="157"/>
      <c r="GN33" s="157"/>
      <c r="GO33" s="157"/>
      <c r="GP33" s="158"/>
      <c r="GQ33" s="157"/>
      <c r="GR33" s="157"/>
      <c r="GS33" s="157"/>
      <c r="GT33" s="157"/>
      <c r="GU33" s="157"/>
      <c r="GV33" s="157"/>
      <c r="GW33" s="157"/>
      <c r="GX33" s="157"/>
      <c r="GY33" s="157"/>
      <c r="GZ33" s="157"/>
      <c r="HA33" s="157"/>
      <c r="HB33" s="155">
        <v>0.0</v>
      </c>
      <c r="HC33" s="155">
        <v>0.0</v>
      </c>
      <c r="HD33" s="155">
        <v>0.0</v>
      </c>
      <c r="HE33" s="155">
        <v>0.0</v>
      </c>
      <c r="HF33" s="155">
        <v>0.0</v>
      </c>
      <c r="HG33" s="155">
        <v>0.0</v>
      </c>
      <c r="IL33" s="159">
        <v>0.0</v>
      </c>
      <c r="IM33" s="156">
        <v>0.0</v>
      </c>
      <c r="IN33" s="156">
        <v>0.0</v>
      </c>
      <c r="IO33" s="156">
        <v>0.0</v>
      </c>
      <c r="IP33" s="156">
        <v>0.0</v>
      </c>
      <c r="IQ33" s="160">
        <v>0.0</v>
      </c>
      <c r="JH33" s="25"/>
      <c r="JW33" s="159">
        <v>0.0</v>
      </c>
      <c r="JX33" s="156">
        <v>0.0</v>
      </c>
      <c r="JY33" s="156">
        <v>0.0</v>
      </c>
      <c r="JZ33" s="156">
        <v>0.0</v>
      </c>
      <c r="KA33" s="156">
        <v>0.0</v>
      </c>
      <c r="KB33" s="160">
        <v>0.0</v>
      </c>
      <c r="LH33" s="159">
        <f t="shared" si="10"/>
        <v>0</v>
      </c>
      <c r="LI33" s="156">
        <f t="shared" si="11"/>
        <v>0</v>
      </c>
      <c r="LJ33" s="156">
        <f t="shared" si="12"/>
        <v>0</v>
      </c>
      <c r="LK33" s="156">
        <f t="shared" si="13"/>
        <v>0</v>
      </c>
      <c r="LL33" s="156">
        <f t="shared" si="14"/>
        <v>0</v>
      </c>
      <c r="LM33" s="160">
        <f t="shared" si="15"/>
        <v>0</v>
      </c>
      <c r="QX33" s="163">
        <v>45786.0</v>
      </c>
    </row>
    <row r="34">
      <c r="A34" s="12"/>
      <c r="B34" s="12"/>
      <c r="C34" s="12"/>
      <c r="D34" s="12"/>
      <c r="E34" s="12"/>
      <c r="F34" s="12"/>
      <c r="G34" s="12"/>
      <c r="H34" s="12"/>
      <c r="I34" s="143">
        <f t="shared" si="5"/>
        <v>-29</v>
      </c>
      <c r="J34" s="144">
        <v>45785.0</v>
      </c>
      <c r="K34" s="173" t="s">
        <v>61</v>
      </c>
      <c r="L34" s="144">
        <v>45977.0</v>
      </c>
      <c r="M34" s="147" t="s">
        <v>905</v>
      </c>
      <c r="N34" s="148" t="s">
        <v>467</v>
      </c>
      <c r="O34" s="148">
        <v>30.0</v>
      </c>
      <c r="P34" s="26"/>
      <c r="Q34" s="26"/>
      <c r="R34" s="26"/>
      <c r="S34" s="26"/>
      <c r="T34" s="26"/>
      <c r="U34" s="147" t="s">
        <v>906</v>
      </c>
      <c r="V34" s="149" t="s">
        <v>907</v>
      </c>
      <c r="W34" s="198" t="s">
        <v>908</v>
      </c>
      <c r="X34" s="181">
        <v>29.0</v>
      </c>
      <c r="Y34" s="166">
        <f t="shared" si="6"/>
        <v>29</v>
      </c>
      <c r="Z34" s="26">
        <f t="shared" si="7"/>
        <v>0</v>
      </c>
      <c r="AA34" s="26">
        <f t="shared" si="8"/>
        <v>0</v>
      </c>
      <c r="AB34" s="26">
        <f t="shared" si="9"/>
        <v>0</v>
      </c>
      <c r="AC34" s="155">
        <v>0.0</v>
      </c>
      <c r="AD34" s="155">
        <v>0.0</v>
      </c>
      <c r="AE34" s="155">
        <v>0.0</v>
      </c>
      <c r="AF34" s="155">
        <v>0.0</v>
      </c>
      <c r="AG34" s="155">
        <v>0.0</v>
      </c>
      <c r="AH34" s="155">
        <v>0.0</v>
      </c>
      <c r="BN34" s="155">
        <v>0.0</v>
      </c>
      <c r="BO34" s="155">
        <v>0.0</v>
      </c>
      <c r="BP34" s="155">
        <v>0.0</v>
      </c>
      <c r="BQ34" s="155">
        <v>0.0</v>
      </c>
      <c r="BR34" s="155">
        <v>0.0</v>
      </c>
      <c r="BS34" s="155">
        <v>0.0</v>
      </c>
      <c r="CV34" s="156">
        <v>0.0</v>
      </c>
      <c r="CW34" s="156">
        <v>0.0</v>
      </c>
      <c r="CX34" s="156">
        <v>0.0</v>
      </c>
      <c r="CY34" s="156">
        <v>0.0</v>
      </c>
      <c r="CZ34" s="156">
        <v>0.0</v>
      </c>
      <c r="DA34" s="156">
        <v>0.0</v>
      </c>
      <c r="EG34" s="156">
        <v>0.0</v>
      </c>
      <c r="EH34" s="156">
        <v>0.0</v>
      </c>
      <c r="EI34" s="156">
        <v>0.0</v>
      </c>
      <c r="EJ34" s="156">
        <v>0.0</v>
      </c>
      <c r="EK34" s="156">
        <v>0.0</v>
      </c>
      <c r="EL34" s="156">
        <v>0.0</v>
      </c>
      <c r="FQ34" s="156">
        <v>0.0</v>
      </c>
      <c r="FR34" s="156">
        <v>0.0</v>
      </c>
      <c r="FS34" s="156">
        <v>0.0</v>
      </c>
      <c r="FT34" s="156">
        <v>0.0</v>
      </c>
      <c r="FU34" s="156">
        <v>0.0</v>
      </c>
      <c r="FV34" s="156">
        <v>0.0</v>
      </c>
      <c r="FW34" s="157"/>
      <c r="FX34" s="157"/>
      <c r="FY34" s="157"/>
      <c r="FZ34" s="157"/>
      <c r="GA34" s="157"/>
      <c r="GB34" s="157"/>
      <c r="GC34" s="157"/>
      <c r="GD34" s="157"/>
      <c r="GE34" s="157"/>
      <c r="GF34" s="157"/>
      <c r="GG34" s="157"/>
      <c r="GH34" s="157"/>
      <c r="GI34" s="157"/>
      <c r="GJ34" s="157"/>
      <c r="GK34" s="157"/>
      <c r="GL34" s="157"/>
      <c r="GM34" s="157"/>
      <c r="GN34" s="157"/>
      <c r="GO34" s="157"/>
      <c r="GP34" s="158"/>
      <c r="GQ34" s="157"/>
      <c r="GR34" s="157"/>
      <c r="GS34" s="157"/>
      <c r="GT34" s="157"/>
      <c r="GU34" s="157"/>
      <c r="GV34" s="157"/>
      <c r="GW34" s="157"/>
      <c r="GX34" s="157"/>
      <c r="GY34" s="157"/>
      <c r="GZ34" s="157"/>
      <c r="HA34" s="157"/>
      <c r="HB34" s="155">
        <v>0.0</v>
      </c>
      <c r="HC34" s="155">
        <v>0.0</v>
      </c>
      <c r="HD34" s="155">
        <v>0.0</v>
      </c>
      <c r="HE34" s="155">
        <v>0.0</v>
      </c>
      <c r="HF34" s="155">
        <v>0.0</v>
      </c>
      <c r="HG34" s="155">
        <v>0.0</v>
      </c>
      <c r="IL34" s="159">
        <v>0.0</v>
      </c>
      <c r="IM34" s="156">
        <v>0.0</v>
      </c>
      <c r="IN34" s="156">
        <v>0.0</v>
      </c>
      <c r="IO34" s="156">
        <v>0.0</v>
      </c>
      <c r="IP34" s="156">
        <v>0.0</v>
      </c>
      <c r="IQ34" s="160">
        <v>0.0</v>
      </c>
      <c r="JH34" s="25"/>
      <c r="JW34" s="159">
        <v>0.0</v>
      </c>
      <c r="JX34" s="156">
        <v>0.0</v>
      </c>
      <c r="JY34" s="156">
        <v>0.0</v>
      </c>
      <c r="JZ34" s="156">
        <v>0.0</v>
      </c>
      <c r="KA34" s="156">
        <v>0.0</v>
      </c>
      <c r="KB34" s="160">
        <v>0.0</v>
      </c>
      <c r="LH34" s="159">
        <f t="shared" si="10"/>
        <v>0</v>
      </c>
      <c r="LI34" s="156">
        <f t="shared" si="11"/>
        <v>0</v>
      </c>
      <c r="LJ34" s="156">
        <f t="shared" si="12"/>
        <v>0</v>
      </c>
      <c r="LK34" s="156">
        <f t="shared" si="13"/>
        <v>0</v>
      </c>
      <c r="LL34" s="156">
        <f t="shared" si="14"/>
        <v>0</v>
      </c>
      <c r="LM34" s="160">
        <f t="shared" si="15"/>
        <v>0</v>
      </c>
      <c r="QX34" s="163">
        <v>45787.0</v>
      </c>
    </row>
    <row r="35">
      <c r="A35" s="12"/>
      <c r="B35" s="12"/>
      <c r="C35" s="12"/>
      <c r="D35" s="12"/>
      <c r="E35" s="12"/>
      <c r="F35" s="12"/>
      <c r="G35" s="12"/>
      <c r="H35" s="12"/>
      <c r="I35" s="143">
        <f t="shared" si="5"/>
        <v>-25</v>
      </c>
      <c r="J35" s="144">
        <v>45775.0</v>
      </c>
      <c r="K35" s="145" t="s">
        <v>61</v>
      </c>
      <c r="L35" s="179">
        <v>46038.0</v>
      </c>
      <c r="M35" s="147" t="s">
        <v>228</v>
      </c>
      <c r="N35" s="148" t="s">
        <v>920</v>
      </c>
      <c r="O35" s="148">
        <v>30.0</v>
      </c>
      <c r="P35" s="26"/>
      <c r="Q35" s="26"/>
      <c r="R35" s="26"/>
      <c r="S35" s="26"/>
      <c r="T35" s="26"/>
      <c r="U35" s="147" t="s">
        <v>921</v>
      </c>
      <c r="V35" s="149" t="s">
        <v>922</v>
      </c>
      <c r="W35" s="198" t="s">
        <v>923</v>
      </c>
      <c r="X35" s="181">
        <v>25.0</v>
      </c>
      <c r="Y35" s="166">
        <f t="shared" si="6"/>
        <v>25</v>
      </c>
      <c r="Z35" s="26">
        <f t="shared" si="7"/>
        <v>0</v>
      </c>
      <c r="AA35" s="26">
        <f t="shared" si="8"/>
        <v>0</v>
      </c>
      <c r="AB35" s="26">
        <f t="shared" si="9"/>
        <v>0</v>
      </c>
      <c r="AC35" s="155">
        <v>0.0</v>
      </c>
      <c r="AD35" s="155">
        <v>0.0</v>
      </c>
      <c r="AE35" s="155">
        <v>0.0</v>
      </c>
      <c r="AF35" s="155">
        <v>0.0</v>
      </c>
      <c r="AG35" s="155">
        <v>0.0</v>
      </c>
      <c r="AH35" s="155">
        <v>0.0</v>
      </c>
      <c r="BN35" s="155">
        <v>0.0</v>
      </c>
      <c r="BO35" s="155">
        <v>0.0</v>
      </c>
      <c r="BP35" s="155">
        <v>0.0</v>
      </c>
      <c r="BQ35" s="155">
        <v>0.0</v>
      </c>
      <c r="BR35" s="155">
        <v>0.0</v>
      </c>
      <c r="BS35" s="155">
        <v>0.0</v>
      </c>
      <c r="CV35" s="156">
        <v>0.0</v>
      </c>
      <c r="CW35" s="156">
        <v>0.0</v>
      </c>
      <c r="CX35" s="156">
        <v>0.0</v>
      </c>
      <c r="CY35" s="156">
        <v>0.0</v>
      </c>
      <c r="CZ35" s="156">
        <v>0.0</v>
      </c>
      <c r="DA35" s="156">
        <v>0.0</v>
      </c>
      <c r="EG35" s="156">
        <v>0.0</v>
      </c>
      <c r="EH35" s="156">
        <v>0.0</v>
      </c>
      <c r="EI35" s="156">
        <v>0.0</v>
      </c>
      <c r="EJ35" s="156">
        <v>0.0</v>
      </c>
      <c r="EK35" s="156">
        <v>0.0</v>
      </c>
      <c r="EL35" s="156">
        <v>0.0</v>
      </c>
      <c r="FQ35" s="156">
        <v>0.0</v>
      </c>
      <c r="FR35" s="156">
        <v>0.0</v>
      </c>
      <c r="FS35" s="156">
        <v>0.0</v>
      </c>
      <c r="FT35" s="156">
        <v>0.0</v>
      </c>
      <c r="FU35" s="156">
        <v>0.0</v>
      </c>
      <c r="FV35" s="156">
        <v>0.0</v>
      </c>
      <c r="FW35" s="157"/>
      <c r="FX35" s="157"/>
      <c r="FY35" s="157"/>
      <c r="FZ35" s="157"/>
      <c r="GA35" s="157"/>
      <c r="GB35" s="157"/>
      <c r="GC35" s="157"/>
      <c r="GD35" s="157"/>
      <c r="GE35" s="157"/>
      <c r="GF35" s="157"/>
      <c r="GG35" s="157"/>
      <c r="GH35" s="157"/>
      <c r="GI35" s="157"/>
      <c r="GJ35" s="157"/>
      <c r="GK35" s="157"/>
      <c r="GL35" s="157"/>
      <c r="GM35" s="157"/>
      <c r="GN35" s="157"/>
      <c r="GO35" s="157"/>
      <c r="GP35" s="158"/>
      <c r="GQ35" s="157"/>
      <c r="GR35" s="157"/>
      <c r="GS35" s="157"/>
      <c r="GT35" s="157"/>
      <c r="GU35" s="157"/>
      <c r="GV35" s="157"/>
      <c r="GW35" s="157"/>
      <c r="GX35" s="157"/>
      <c r="GY35" s="157"/>
      <c r="GZ35" s="157"/>
      <c r="HA35" s="157"/>
      <c r="HB35" s="155">
        <v>0.0</v>
      </c>
      <c r="HC35" s="155">
        <v>0.0</v>
      </c>
      <c r="HD35" s="155">
        <v>0.0</v>
      </c>
      <c r="HE35" s="155">
        <v>0.0</v>
      </c>
      <c r="HF35" s="155">
        <v>0.0</v>
      </c>
      <c r="HG35" s="155">
        <v>0.0</v>
      </c>
      <c r="IL35" s="159">
        <v>0.0</v>
      </c>
      <c r="IM35" s="156">
        <v>0.0</v>
      </c>
      <c r="IN35" s="156">
        <v>0.0</v>
      </c>
      <c r="IO35" s="156">
        <v>0.0</v>
      </c>
      <c r="IP35" s="156">
        <v>0.0</v>
      </c>
      <c r="IQ35" s="160">
        <v>0.0</v>
      </c>
      <c r="JH35" s="25"/>
      <c r="JW35" s="159">
        <v>0.0</v>
      </c>
      <c r="JX35" s="156">
        <v>0.0</v>
      </c>
      <c r="JY35" s="156">
        <v>0.0</v>
      </c>
      <c r="JZ35" s="156">
        <v>0.0</v>
      </c>
      <c r="KA35" s="156">
        <v>0.0</v>
      </c>
      <c r="KB35" s="160">
        <v>0.0</v>
      </c>
      <c r="LH35" s="159">
        <f t="shared" si="10"/>
        <v>0</v>
      </c>
      <c r="LI35" s="156">
        <f t="shared" si="11"/>
        <v>0</v>
      </c>
      <c r="LJ35" s="156">
        <f t="shared" si="12"/>
        <v>0</v>
      </c>
      <c r="LK35" s="156">
        <f t="shared" si="13"/>
        <v>0</v>
      </c>
      <c r="LL35" s="156">
        <f t="shared" si="14"/>
        <v>0</v>
      </c>
      <c r="LM35" s="160">
        <f t="shared" si="15"/>
        <v>0</v>
      </c>
      <c r="QX35" s="163">
        <v>45789.0</v>
      </c>
    </row>
    <row r="36">
      <c r="A36" s="12"/>
      <c r="B36" s="12"/>
      <c r="C36" s="12"/>
      <c r="D36" s="12"/>
      <c r="E36" s="12"/>
      <c r="F36" s="12"/>
      <c r="G36" s="12"/>
      <c r="H36" s="12"/>
      <c r="I36" s="143">
        <f t="shared" si="5"/>
        <v>-17</v>
      </c>
      <c r="J36" s="144">
        <v>45790.0</v>
      </c>
      <c r="K36" s="49" t="s">
        <v>61</v>
      </c>
      <c r="L36" s="144">
        <v>45904.0</v>
      </c>
      <c r="M36" s="147" t="s">
        <v>935</v>
      </c>
      <c r="N36" s="148" t="s">
        <v>424</v>
      </c>
      <c r="O36" s="148">
        <v>30.0</v>
      </c>
      <c r="P36" s="26"/>
      <c r="Q36" s="26"/>
      <c r="R36" s="26"/>
      <c r="S36" s="26"/>
      <c r="T36" s="26"/>
      <c r="U36" s="147" t="s">
        <v>763</v>
      </c>
      <c r="V36" s="149" t="s">
        <v>936</v>
      </c>
      <c r="W36" s="248" t="s">
        <v>937</v>
      </c>
      <c r="X36" s="181">
        <v>12.0</v>
      </c>
      <c r="Y36" s="166">
        <f t="shared" si="6"/>
        <v>17</v>
      </c>
      <c r="Z36" s="26">
        <f t="shared" si="7"/>
        <v>0</v>
      </c>
      <c r="AA36" s="26">
        <f t="shared" si="8"/>
        <v>1</v>
      </c>
      <c r="AB36" s="26">
        <f t="shared" si="9"/>
        <v>0</v>
      </c>
      <c r="AC36" s="155">
        <v>0.0</v>
      </c>
      <c r="AD36" s="155">
        <v>0.0</v>
      </c>
      <c r="AE36" s="155">
        <v>0.0</v>
      </c>
      <c r="AF36" s="155">
        <v>0.0</v>
      </c>
      <c r="AG36" s="155">
        <v>0.0</v>
      </c>
      <c r="AH36" s="155">
        <v>0.0</v>
      </c>
      <c r="BN36" s="155">
        <v>0.0</v>
      </c>
      <c r="BO36" s="155">
        <v>0.0</v>
      </c>
      <c r="BP36" s="155">
        <v>0.0</v>
      </c>
      <c r="BQ36" s="155">
        <v>0.0</v>
      </c>
      <c r="BR36" s="155">
        <v>0.0</v>
      </c>
      <c r="BS36" s="155">
        <v>0.0</v>
      </c>
      <c r="CV36" s="156">
        <v>0.0</v>
      </c>
      <c r="CW36" s="156">
        <v>0.0</v>
      </c>
      <c r="CX36" s="156">
        <v>0.0</v>
      </c>
      <c r="CY36" s="156">
        <v>0.0</v>
      </c>
      <c r="CZ36" s="156">
        <v>0.0</v>
      </c>
      <c r="DA36" s="156">
        <v>0.0</v>
      </c>
      <c r="EG36" s="156">
        <v>0.0</v>
      </c>
      <c r="EH36" s="156">
        <v>0.0</v>
      </c>
      <c r="EI36" s="156">
        <v>0.0</v>
      </c>
      <c r="EJ36" s="156">
        <v>0.0</v>
      </c>
      <c r="EK36" s="156">
        <v>0.0</v>
      </c>
      <c r="EL36" s="156">
        <v>0.0</v>
      </c>
      <c r="FQ36" s="156">
        <v>0.0</v>
      </c>
      <c r="FR36" s="156">
        <v>0.0</v>
      </c>
      <c r="FS36" s="156">
        <v>0.0</v>
      </c>
      <c r="FT36" s="156">
        <v>0.0</v>
      </c>
      <c r="FU36" s="156">
        <v>0.0</v>
      </c>
      <c r="FV36" s="156">
        <v>0.0</v>
      </c>
      <c r="FW36" s="157"/>
      <c r="FX36" s="157"/>
      <c r="FY36" s="157"/>
      <c r="FZ36" s="157"/>
      <c r="GA36" s="157"/>
      <c r="GB36" s="157"/>
      <c r="GC36" s="157"/>
      <c r="GD36" s="157"/>
      <c r="GE36" s="157"/>
      <c r="GF36" s="157"/>
      <c r="GG36" s="157"/>
      <c r="GH36" s="157"/>
      <c r="GI36" s="157"/>
      <c r="GJ36" s="157"/>
      <c r="GK36" s="157"/>
      <c r="GL36" s="157"/>
      <c r="GM36" s="157"/>
      <c r="GN36" s="157"/>
      <c r="GO36" s="157"/>
      <c r="GP36" s="158"/>
      <c r="GQ36" s="157"/>
      <c r="GR36" s="157"/>
      <c r="GS36" s="157"/>
      <c r="GT36" s="157"/>
      <c r="GU36" s="157"/>
      <c r="GV36" s="157"/>
      <c r="GW36" s="157"/>
      <c r="GX36" s="157"/>
      <c r="GY36" s="157"/>
      <c r="GZ36" s="157"/>
      <c r="HA36" s="157"/>
      <c r="HB36" s="155">
        <v>3.0</v>
      </c>
      <c r="HC36" s="155">
        <v>0.0</v>
      </c>
      <c r="HD36" s="155">
        <v>0.0</v>
      </c>
      <c r="HE36" s="155">
        <v>0.0</v>
      </c>
      <c r="HF36" s="155">
        <v>0.0</v>
      </c>
      <c r="HG36" s="155">
        <v>0.0</v>
      </c>
      <c r="HX36" s="86">
        <v>1.0</v>
      </c>
      <c r="IC36" s="86">
        <v>1.0</v>
      </c>
      <c r="IE36" s="86">
        <v>1.0</v>
      </c>
      <c r="IL36" s="159">
        <v>2.0</v>
      </c>
      <c r="IM36" s="156">
        <v>0.0</v>
      </c>
      <c r="IN36" s="156">
        <v>0.0</v>
      </c>
      <c r="IO36" s="156">
        <v>1.0</v>
      </c>
      <c r="IP36" s="156">
        <v>0.0</v>
      </c>
      <c r="IQ36" s="160">
        <v>0.0</v>
      </c>
      <c r="IR36" s="86">
        <v>1.0</v>
      </c>
      <c r="IZ36" s="86" t="s">
        <v>947</v>
      </c>
      <c r="JH36" s="25"/>
      <c r="JW36" s="159">
        <v>0.0</v>
      </c>
      <c r="JX36" s="156">
        <v>0.0</v>
      </c>
      <c r="JY36" s="156">
        <v>0.0</v>
      </c>
      <c r="JZ36" s="156">
        <v>0.0</v>
      </c>
      <c r="KA36" s="156">
        <v>0.0</v>
      </c>
      <c r="KB36" s="160">
        <v>0.0</v>
      </c>
      <c r="KS36" s="178"/>
      <c r="LH36" s="159">
        <f t="shared" si="10"/>
        <v>0</v>
      </c>
      <c r="LI36" s="156">
        <f t="shared" si="11"/>
        <v>0</v>
      </c>
      <c r="LJ36" s="156">
        <f t="shared" si="12"/>
        <v>0</v>
      </c>
      <c r="LK36" s="156">
        <f t="shared" si="13"/>
        <v>0</v>
      </c>
      <c r="LL36" s="156">
        <f t="shared" si="14"/>
        <v>0</v>
      </c>
      <c r="LM36" s="160">
        <f t="shared" si="15"/>
        <v>0</v>
      </c>
      <c r="QX36" s="163">
        <v>45789.0</v>
      </c>
    </row>
    <row r="37">
      <c r="A37" s="12"/>
      <c r="B37" s="12"/>
      <c r="C37" s="12"/>
      <c r="D37" s="12"/>
      <c r="E37" s="12"/>
      <c r="F37" s="12"/>
      <c r="G37" s="12"/>
      <c r="H37" s="12"/>
      <c r="I37" s="143">
        <f t="shared" si="5"/>
        <v>-30</v>
      </c>
      <c r="J37" s="144">
        <v>45785.0</v>
      </c>
      <c r="K37" s="173" t="s">
        <v>61</v>
      </c>
      <c r="L37" s="144">
        <v>45948.0</v>
      </c>
      <c r="M37" s="147" t="s">
        <v>107</v>
      </c>
      <c r="N37" s="148">
        <v>357.0</v>
      </c>
      <c r="O37" s="148">
        <v>30.0</v>
      </c>
      <c r="P37" s="26"/>
      <c r="Q37" s="26"/>
      <c r="R37" s="26"/>
      <c r="S37" s="26"/>
      <c r="T37" s="26"/>
      <c r="U37" s="147" t="s">
        <v>955</v>
      </c>
      <c r="V37" s="197"/>
      <c r="W37" s="198" t="s">
        <v>956</v>
      </c>
      <c r="X37" s="181">
        <v>30.0</v>
      </c>
      <c r="Y37" s="166">
        <f t="shared" si="6"/>
        <v>30</v>
      </c>
      <c r="Z37" s="26">
        <f t="shared" si="7"/>
        <v>0</v>
      </c>
      <c r="AA37" s="26">
        <f t="shared" si="8"/>
        <v>0</v>
      </c>
      <c r="AB37" s="26">
        <f t="shared" si="9"/>
        <v>0</v>
      </c>
      <c r="AC37" s="155">
        <v>0.0</v>
      </c>
      <c r="AD37" s="155">
        <v>0.0</v>
      </c>
      <c r="AE37" s="155">
        <v>0.0</v>
      </c>
      <c r="AF37" s="155">
        <v>0.0</v>
      </c>
      <c r="AG37" s="155">
        <v>0.0</v>
      </c>
      <c r="AH37" s="155">
        <v>0.0</v>
      </c>
      <c r="BN37" s="155">
        <v>0.0</v>
      </c>
      <c r="BO37" s="155">
        <v>0.0</v>
      </c>
      <c r="BP37" s="155">
        <v>0.0</v>
      </c>
      <c r="BQ37" s="155">
        <v>0.0</v>
      </c>
      <c r="BR37" s="155">
        <v>0.0</v>
      </c>
      <c r="BS37" s="155">
        <v>0.0</v>
      </c>
      <c r="CV37" s="156">
        <v>0.0</v>
      </c>
      <c r="CW37" s="156">
        <v>0.0</v>
      </c>
      <c r="CX37" s="156">
        <v>0.0</v>
      </c>
      <c r="CY37" s="156">
        <v>0.0</v>
      </c>
      <c r="CZ37" s="156">
        <v>0.0</v>
      </c>
      <c r="DA37" s="156">
        <v>0.0</v>
      </c>
      <c r="EG37" s="156">
        <v>0.0</v>
      </c>
      <c r="EH37" s="156">
        <v>0.0</v>
      </c>
      <c r="EI37" s="156">
        <v>0.0</v>
      </c>
      <c r="EJ37" s="156">
        <v>0.0</v>
      </c>
      <c r="EK37" s="156">
        <v>0.0</v>
      </c>
      <c r="EL37" s="156">
        <v>0.0</v>
      </c>
      <c r="FQ37" s="156">
        <v>0.0</v>
      </c>
      <c r="FR37" s="156">
        <v>0.0</v>
      </c>
      <c r="FS37" s="156">
        <v>0.0</v>
      </c>
      <c r="FT37" s="156">
        <v>0.0</v>
      </c>
      <c r="FU37" s="156">
        <v>0.0</v>
      </c>
      <c r="FV37" s="156">
        <v>0.0</v>
      </c>
      <c r="FW37" s="157"/>
      <c r="FX37" s="157"/>
      <c r="FY37" s="157"/>
      <c r="FZ37" s="157"/>
      <c r="GA37" s="157"/>
      <c r="GB37" s="157"/>
      <c r="GC37" s="157"/>
      <c r="GD37" s="157"/>
      <c r="GE37" s="157"/>
      <c r="GF37" s="157"/>
      <c r="GG37" s="157"/>
      <c r="GH37" s="157"/>
      <c r="GI37" s="157"/>
      <c r="GJ37" s="157"/>
      <c r="GK37" s="157"/>
      <c r="GL37" s="157"/>
      <c r="GM37" s="157"/>
      <c r="GN37" s="157"/>
      <c r="GO37" s="157"/>
      <c r="GP37" s="158"/>
      <c r="GQ37" s="157"/>
      <c r="GR37" s="157"/>
      <c r="GS37" s="157"/>
      <c r="GT37" s="157"/>
      <c r="GU37" s="157"/>
      <c r="GV37" s="157"/>
      <c r="GW37" s="157"/>
      <c r="GX37" s="157"/>
      <c r="GY37" s="157"/>
      <c r="GZ37" s="157"/>
      <c r="HA37" s="157"/>
      <c r="HB37" s="155">
        <v>0.0</v>
      </c>
      <c r="HC37" s="155">
        <v>0.0</v>
      </c>
      <c r="HD37" s="155">
        <v>0.0</v>
      </c>
      <c r="HE37" s="155">
        <v>0.0</v>
      </c>
      <c r="HF37" s="155">
        <v>0.0</v>
      </c>
      <c r="HG37" s="155">
        <v>0.0</v>
      </c>
      <c r="IL37" s="159">
        <v>0.0</v>
      </c>
      <c r="IM37" s="156">
        <v>0.0</v>
      </c>
      <c r="IN37" s="156">
        <v>0.0</v>
      </c>
      <c r="IO37" s="156">
        <v>0.0</v>
      </c>
      <c r="IP37" s="156">
        <v>0.0</v>
      </c>
      <c r="IQ37" s="160">
        <v>0.0</v>
      </c>
      <c r="JH37" s="25"/>
      <c r="JW37" s="159">
        <v>0.0</v>
      </c>
      <c r="JX37" s="156">
        <v>0.0</v>
      </c>
      <c r="JY37" s="156">
        <v>0.0</v>
      </c>
      <c r="JZ37" s="156">
        <v>0.0</v>
      </c>
      <c r="KA37" s="156">
        <v>0.0</v>
      </c>
      <c r="KB37" s="160">
        <v>0.0</v>
      </c>
      <c r="LH37" s="159">
        <f t="shared" si="10"/>
        <v>0</v>
      </c>
      <c r="LI37" s="156">
        <f t="shared" si="11"/>
        <v>0</v>
      </c>
      <c r="LJ37" s="156">
        <f t="shared" si="12"/>
        <v>0</v>
      </c>
      <c r="LK37" s="156">
        <f t="shared" si="13"/>
        <v>0</v>
      </c>
      <c r="LL37" s="156">
        <f t="shared" si="14"/>
        <v>0</v>
      </c>
      <c r="LM37" s="160">
        <f t="shared" si="15"/>
        <v>0</v>
      </c>
      <c r="QX37" s="163">
        <v>45791.0</v>
      </c>
    </row>
    <row r="38">
      <c r="A38" s="12"/>
      <c r="B38" s="12"/>
      <c r="C38" s="12"/>
      <c r="D38" s="12"/>
      <c r="E38" s="12"/>
      <c r="F38" s="12"/>
      <c r="G38" s="12"/>
      <c r="H38" s="12"/>
      <c r="I38" s="143">
        <f t="shared" si="5"/>
        <v>-9</v>
      </c>
      <c r="J38" s="144">
        <v>45780.0</v>
      </c>
      <c r="K38" s="49" t="s">
        <v>61</v>
      </c>
      <c r="L38" s="171">
        <v>46057.0</v>
      </c>
      <c r="M38" s="147" t="s">
        <v>696</v>
      </c>
      <c r="N38" s="148" t="s">
        <v>424</v>
      </c>
      <c r="O38" s="148">
        <v>30.0</v>
      </c>
      <c r="P38" s="26"/>
      <c r="Q38" s="26"/>
      <c r="R38" s="26"/>
      <c r="S38" s="26"/>
      <c r="T38" s="26"/>
      <c r="U38" s="147" t="s">
        <v>721</v>
      </c>
      <c r="V38" s="149" t="s">
        <v>722</v>
      </c>
      <c r="W38" s="198" t="s">
        <v>974</v>
      </c>
      <c r="X38" s="181">
        <v>9.0</v>
      </c>
      <c r="Y38" s="166">
        <f t="shared" si="6"/>
        <v>9</v>
      </c>
      <c r="Z38" s="26">
        <f t="shared" si="7"/>
        <v>0</v>
      </c>
      <c r="AA38" s="26">
        <f t="shared" si="8"/>
        <v>0</v>
      </c>
      <c r="AB38" s="26">
        <f t="shared" si="9"/>
        <v>0</v>
      </c>
      <c r="AC38" s="155">
        <v>0.0</v>
      </c>
      <c r="AD38" s="155">
        <v>0.0</v>
      </c>
      <c r="AE38" s="155">
        <v>0.0</v>
      </c>
      <c r="AF38" s="155">
        <v>0.0</v>
      </c>
      <c r="AG38" s="155">
        <v>0.0</v>
      </c>
      <c r="AH38" s="155">
        <v>0.0</v>
      </c>
      <c r="BN38" s="155">
        <v>0.0</v>
      </c>
      <c r="BO38" s="155">
        <v>0.0</v>
      </c>
      <c r="BP38" s="155">
        <v>0.0</v>
      </c>
      <c r="BQ38" s="155">
        <v>0.0</v>
      </c>
      <c r="BR38" s="155">
        <v>0.0</v>
      </c>
      <c r="BS38" s="155">
        <v>0.0</v>
      </c>
      <c r="CV38" s="156">
        <v>0.0</v>
      </c>
      <c r="CW38" s="156">
        <v>0.0</v>
      </c>
      <c r="CX38" s="156">
        <v>0.0</v>
      </c>
      <c r="CY38" s="156">
        <v>0.0</v>
      </c>
      <c r="CZ38" s="156">
        <v>0.0</v>
      </c>
      <c r="DA38" s="156">
        <v>0.0</v>
      </c>
      <c r="EG38" s="156">
        <v>0.0</v>
      </c>
      <c r="EH38" s="156">
        <v>0.0</v>
      </c>
      <c r="EI38" s="156">
        <v>0.0</v>
      </c>
      <c r="EJ38" s="156">
        <v>0.0</v>
      </c>
      <c r="EK38" s="156">
        <v>0.0</v>
      </c>
      <c r="EL38" s="156">
        <v>0.0</v>
      </c>
      <c r="FQ38" s="156">
        <v>0.0</v>
      </c>
      <c r="FR38" s="156">
        <v>0.0</v>
      </c>
      <c r="FS38" s="156">
        <v>0.0</v>
      </c>
      <c r="FT38" s="156">
        <v>0.0</v>
      </c>
      <c r="FU38" s="156">
        <v>0.0</v>
      </c>
      <c r="FV38" s="156">
        <v>0.0</v>
      </c>
      <c r="FW38" s="157"/>
      <c r="FX38" s="157"/>
      <c r="FY38" s="157"/>
      <c r="FZ38" s="157"/>
      <c r="GA38" s="157"/>
      <c r="GB38" s="157"/>
      <c r="GC38" s="157"/>
      <c r="GD38" s="157"/>
      <c r="GE38" s="157"/>
      <c r="GF38" s="157"/>
      <c r="GG38" s="157"/>
      <c r="GH38" s="157"/>
      <c r="GI38" s="157"/>
      <c r="GJ38" s="157"/>
      <c r="GK38" s="157"/>
      <c r="GL38" s="157"/>
      <c r="GM38" s="157"/>
      <c r="GN38" s="157"/>
      <c r="GO38" s="157"/>
      <c r="GP38" s="158"/>
      <c r="GQ38" s="157"/>
      <c r="GR38" s="157"/>
      <c r="GS38" s="157"/>
      <c r="GT38" s="157"/>
      <c r="GU38" s="157"/>
      <c r="GV38" s="157"/>
      <c r="GW38" s="157"/>
      <c r="GX38" s="157"/>
      <c r="GY38" s="157"/>
      <c r="GZ38" s="157"/>
      <c r="HA38" s="157"/>
      <c r="HB38" s="155">
        <v>0.0</v>
      </c>
      <c r="HC38" s="155">
        <v>0.0</v>
      </c>
      <c r="HD38" s="155">
        <v>0.0</v>
      </c>
      <c r="HE38" s="155">
        <v>0.0</v>
      </c>
      <c r="HF38" s="155">
        <v>0.0</v>
      </c>
      <c r="HG38" s="155">
        <v>0.0</v>
      </c>
      <c r="IL38" s="159">
        <v>0.0</v>
      </c>
      <c r="IM38" s="156">
        <v>0.0</v>
      </c>
      <c r="IN38" s="156">
        <v>0.0</v>
      </c>
      <c r="IO38" s="156">
        <v>0.0</v>
      </c>
      <c r="IP38" s="156">
        <v>0.0</v>
      </c>
      <c r="IQ38" s="160">
        <v>0.0</v>
      </c>
      <c r="JH38" s="25"/>
      <c r="JW38" s="159">
        <v>0.0</v>
      </c>
      <c r="JX38" s="156">
        <v>0.0</v>
      </c>
      <c r="JY38" s="156">
        <v>0.0</v>
      </c>
      <c r="JZ38" s="156">
        <v>0.0</v>
      </c>
      <c r="KA38" s="156">
        <v>0.0</v>
      </c>
      <c r="KB38" s="160">
        <v>0.0</v>
      </c>
      <c r="LH38" s="159">
        <f t="shared" si="10"/>
        <v>0</v>
      </c>
      <c r="LI38" s="156">
        <f t="shared" si="11"/>
        <v>0</v>
      </c>
      <c r="LJ38" s="156">
        <f t="shared" si="12"/>
        <v>0</v>
      </c>
      <c r="LK38" s="156">
        <f t="shared" si="13"/>
        <v>0</v>
      </c>
      <c r="LL38" s="156">
        <f t="shared" si="14"/>
        <v>0</v>
      </c>
      <c r="LM38" s="160">
        <f t="shared" si="15"/>
        <v>0</v>
      </c>
      <c r="QX38" s="163">
        <v>45793.0</v>
      </c>
    </row>
    <row r="39">
      <c r="A39" s="12"/>
      <c r="B39" s="12"/>
      <c r="C39" s="12"/>
      <c r="D39" s="12"/>
      <c r="E39" s="12"/>
      <c r="F39" s="12"/>
      <c r="G39" s="12"/>
      <c r="H39" s="12"/>
      <c r="I39" s="200">
        <f t="shared" si="5"/>
        <v>-30</v>
      </c>
      <c r="J39" s="202">
        <v>45786.0</v>
      </c>
      <c r="K39" s="173" t="s">
        <v>61</v>
      </c>
      <c r="L39" s="144">
        <v>45870.0</v>
      </c>
      <c r="M39" s="204" t="s">
        <v>435</v>
      </c>
      <c r="N39" s="206">
        <v>246.0</v>
      </c>
      <c r="O39" s="206">
        <v>30.0</v>
      </c>
      <c r="P39" s="208"/>
      <c r="Q39" s="208"/>
      <c r="R39" s="208"/>
      <c r="S39" s="208"/>
      <c r="T39" s="208"/>
      <c r="U39" s="204" t="s">
        <v>990</v>
      </c>
      <c r="V39" s="209"/>
      <c r="W39" s="204" t="s">
        <v>992</v>
      </c>
      <c r="X39" s="212">
        <v>30.0</v>
      </c>
      <c r="Y39" s="166">
        <f t="shared" si="6"/>
        <v>30</v>
      </c>
      <c r="Z39" s="208">
        <f t="shared" si="7"/>
        <v>0</v>
      </c>
      <c r="AA39" s="208">
        <f t="shared" si="8"/>
        <v>0</v>
      </c>
      <c r="AB39" s="208">
        <f t="shared" si="9"/>
        <v>0</v>
      </c>
      <c r="AC39" s="155">
        <v>0.0</v>
      </c>
      <c r="AD39" s="155">
        <v>0.0</v>
      </c>
      <c r="AE39" s="155">
        <v>0.0</v>
      </c>
      <c r="AF39" s="155">
        <v>0.0</v>
      </c>
      <c r="AG39" s="155">
        <v>0.0</v>
      </c>
      <c r="AH39" s="155">
        <v>0.0</v>
      </c>
      <c r="BN39" s="155">
        <v>0.0</v>
      </c>
      <c r="BO39" s="155">
        <v>0.0</v>
      </c>
      <c r="BP39" s="155">
        <v>0.0</v>
      </c>
      <c r="BQ39" s="155">
        <v>0.0</v>
      </c>
      <c r="BR39" s="155">
        <v>0.0</v>
      </c>
      <c r="BS39" s="155">
        <v>0.0</v>
      </c>
      <c r="CV39" s="156">
        <v>0.0</v>
      </c>
      <c r="CW39" s="156">
        <v>0.0</v>
      </c>
      <c r="CX39" s="156">
        <v>0.0</v>
      </c>
      <c r="CY39" s="156">
        <v>0.0</v>
      </c>
      <c r="CZ39" s="156">
        <v>0.0</v>
      </c>
      <c r="DA39" s="156">
        <v>0.0</v>
      </c>
      <c r="EG39" s="156">
        <v>0.0</v>
      </c>
      <c r="EH39" s="156">
        <v>0.0</v>
      </c>
      <c r="EI39" s="156">
        <v>0.0</v>
      </c>
      <c r="EJ39" s="156">
        <v>0.0</v>
      </c>
      <c r="EK39" s="156">
        <v>0.0</v>
      </c>
      <c r="EL39" s="156">
        <v>0.0</v>
      </c>
      <c r="FQ39" s="156">
        <v>0.0</v>
      </c>
      <c r="FR39" s="156">
        <v>0.0</v>
      </c>
      <c r="FS39" s="156">
        <v>0.0</v>
      </c>
      <c r="FT39" s="156">
        <v>0.0</v>
      </c>
      <c r="FU39" s="156">
        <v>0.0</v>
      </c>
      <c r="FV39" s="156">
        <v>0.0</v>
      </c>
      <c r="FW39" s="157"/>
      <c r="FX39" s="157"/>
      <c r="FY39" s="157"/>
      <c r="FZ39" s="157"/>
      <c r="GA39" s="157"/>
      <c r="GB39" s="157"/>
      <c r="GC39" s="157"/>
      <c r="GD39" s="157"/>
      <c r="GE39" s="157"/>
      <c r="GF39" s="157"/>
      <c r="GG39" s="157"/>
      <c r="GH39" s="157"/>
      <c r="GI39" s="157"/>
      <c r="GJ39" s="157"/>
      <c r="GK39" s="157"/>
      <c r="GL39" s="157"/>
      <c r="GM39" s="157"/>
      <c r="GN39" s="157"/>
      <c r="GO39" s="157"/>
      <c r="GP39" s="158"/>
      <c r="GQ39" s="157"/>
      <c r="GR39" s="157"/>
      <c r="GS39" s="157"/>
      <c r="GT39" s="157"/>
      <c r="GU39" s="157"/>
      <c r="GV39" s="157"/>
      <c r="GW39" s="157"/>
      <c r="GX39" s="157"/>
      <c r="GY39" s="157"/>
      <c r="GZ39" s="157"/>
      <c r="HA39" s="157"/>
      <c r="HB39" s="155">
        <v>0.0</v>
      </c>
      <c r="HC39" s="155">
        <v>0.0</v>
      </c>
      <c r="HD39" s="155">
        <v>0.0</v>
      </c>
      <c r="HE39" s="155">
        <v>0.0</v>
      </c>
      <c r="HF39" s="155">
        <v>0.0</v>
      </c>
      <c r="HG39" s="155">
        <v>0.0</v>
      </c>
      <c r="IL39" s="159">
        <v>0.0</v>
      </c>
      <c r="IM39" s="156">
        <v>0.0</v>
      </c>
      <c r="IN39" s="156">
        <v>0.0</v>
      </c>
      <c r="IO39" s="156">
        <v>0.0</v>
      </c>
      <c r="IP39" s="156">
        <v>0.0</v>
      </c>
      <c r="IQ39" s="160">
        <v>0.0</v>
      </c>
      <c r="JH39" s="25"/>
      <c r="JW39" s="159">
        <v>0.0</v>
      </c>
      <c r="JX39" s="156">
        <v>0.0</v>
      </c>
      <c r="JY39" s="156">
        <v>0.0</v>
      </c>
      <c r="JZ39" s="156">
        <v>0.0</v>
      </c>
      <c r="KA39" s="156">
        <v>0.0</v>
      </c>
      <c r="KB39" s="160">
        <v>0.0</v>
      </c>
      <c r="LH39" s="159">
        <f t="shared" si="10"/>
        <v>0</v>
      </c>
      <c r="LI39" s="156">
        <f t="shared" si="11"/>
        <v>0</v>
      </c>
      <c r="LJ39" s="156">
        <f t="shared" si="12"/>
        <v>0</v>
      </c>
      <c r="LK39" s="156">
        <f t="shared" si="13"/>
        <v>0</v>
      </c>
      <c r="LL39" s="156">
        <f t="shared" si="14"/>
        <v>0</v>
      </c>
      <c r="LM39" s="160">
        <f t="shared" si="15"/>
        <v>0</v>
      </c>
      <c r="QX39" s="163">
        <v>45794.0</v>
      </c>
    </row>
    <row r="40">
      <c r="A40" s="12"/>
      <c r="B40" s="12"/>
      <c r="C40" s="12"/>
      <c r="D40" s="12"/>
      <c r="E40" s="12"/>
      <c r="F40" s="12"/>
      <c r="G40" s="12"/>
      <c r="H40" s="12"/>
      <c r="I40" s="143">
        <f t="shared" si="5"/>
        <v>-2</v>
      </c>
      <c r="J40" s="144">
        <v>45787.0</v>
      </c>
      <c r="K40" s="49" t="s">
        <v>61</v>
      </c>
      <c r="L40" s="144">
        <v>45799.0</v>
      </c>
      <c r="M40" s="147" t="s">
        <v>435</v>
      </c>
      <c r="N40" s="148">
        <v>357.0</v>
      </c>
      <c r="O40" s="148">
        <v>30.0</v>
      </c>
      <c r="P40" s="26"/>
      <c r="Q40" s="26"/>
      <c r="R40" s="26"/>
      <c r="S40" s="26"/>
      <c r="T40" s="26"/>
      <c r="U40" s="147" t="s">
        <v>1005</v>
      </c>
      <c r="V40" s="149" t="s">
        <v>1006</v>
      </c>
      <c r="W40" s="198" t="s">
        <v>1007</v>
      </c>
      <c r="X40" s="181">
        <v>2.0</v>
      </c>
      <c r="Y40" s="166">
        <f t="shared" si="6"/>
        <v>2</v>
      </c>
      <c r="Z40" s="26">
        <f t="shared" si="7"/>
        <v>0</v>
      </c>
      <c r="AA40" s="26">
        <f t="shared" si="8"/>
        <v>0</v>
      </c>
      <c r="AB40" s="26">
        <f t="shared" si="9"/>
        <v>0</v>
      </c>
      <c r="AC40" s="155">
        <v>0.0</v>
      </c>
      <c r="AD40" s="155">
        <v>0.0</v>
      </c>
      <c r="AE40" s="155">
        <v>0.0</v>
      </c>
      <c r="AF40" s="155">
        <v>0.0</v>
      </c>
      <c r="AG40" s="155">
        <v>0.0</v>
      </c>
      <c r="AH40" s="155">
        <v>0.0</v>
      </c>
      <c r="BN40" s="155">
        <v>0.0</v>
      </c>
      <c r="BO40" s="155">
        <v>0.0</v>
      </c>
      <c r="BP40" s="155">
        <v>0.0</v>
      </c>
      <c r="BQ40" s="155">
        <v>0.0</v>
      </c>
      <c r="BR40" s="155">
        <v>0.0</v>
      </c>
      <c r="BS40" s="155">
        <v>0.0</v>
      </c>
      <c r="CV40" s="156">
        <v>0.0</v>
      </c>
      <c r="CW40" s="156">
        <v>0.0</v>
      </c>
      <c r="CX40" s="156">
        <v>0.0</v>
      </c>
      <c r="CY40" s="156">
        <v>0.0</v>
      </c>
      <c r="CZ40" s="156">
        <v>0.0</v>
      </c>
      <c r="DA40" s="156">
        <v>0.0</v>
      </c>
      <c r="EG40" s="156">
        <v>0.0</v>
      </c>
      <c r="EH40" s="156">
        <v>0.0</v>
      </c>
      <c r="EI40" s="156">
        <v>0.0</v>
      </c>
      <c r="EJ40" s="156">
        <v>0.0</v>
      </c>
      <c r="EK40" s="156">
        <v>0.0</v>
      </c>
      <c r="EL40" s="156">
        <v>0.0</v>
      </c>
      <c r="FQ40" s="156">
        <v>0.0</v>
      </c>
      <c r="FR40" s="156">
        <v>0.0</v>
      </c>
      <c r="FS40" s="156">
        <v>0.0</v>
      </c>
      <c r="FT40" s="156">
        <v>0.0</v>
      </c>
      <c r="FU40" s="156">
        <v>0.0</v>
      </c>
      <c r="FV40" s="156">
        <v>0.0</v>
      </c>
      <c r="FW40" s="157"/>
      <c r="FX40" s="157"/>
      <c r="FY40" s="157"/>
      <c r="FZ40" s="157"/>
      <c r="GA40" s="157"/>
      <c r="GB40" s="157"/>
      <c r="GC40" s="157"/>
      <c r="GD40" s="157"/>
      <c r="GE40" s="157"/>
      <c r="GF40" s="157"/>
      <c r="GG40" s="157"/>
      <c r="GH40" s="157"/>
      <c r="GI40" s="157"/>
      <c r="GJ40" s="157"/>
      <c r="GK40" s="157"/>
      <c r="GL40" s="157"/>
      <c r="GM40" s="157"/>
      <c r="GN40" s="157"/>
      <c r="GO40" s="157"/>
      <c r="GP40" s="158"/>
      <c r="GQ40" s="157"/>
      <c r="GR40" s="157"/>
      <c r="GS40" s="157"/>
      <c r="GT40" s="157"/>
      <c r="GU40" s="157"/>
      <c r="GV40" s="157"/>
      <c r="GW40" s="157"/>
      <c r="GX40" s="157"/>
      <c r="GY40" s="157"/>
      <c r="GZ40" s="157"/>
      <c r="HA40" s="157"/>
      <c r="HB40" s="155">
        <v>0.0</v>
      </c>
      <c r="HC40" s="155">
        <v>0.0</v>
      </c>
      <c r="HD40" s="155">
        <v>0.0</v>
      </c>
      <c r="HE40" s="155">
        <v>0.0</v>
      </c>
      <c r="HF40" s="155">
        <v>0.0</v>
      </c>
      <c r="HG40" s="155">
        <v>0.0</v>
      </c>
      <c r="IL40" s="159">
        <v>0.0</v>
      </c>
      <c r="IM40" s="156">
        <v>0.0</v>
      </c>
      <c r="IN40" s="156">
        <v>0.0</v>
      </c>
      <c r="IO40" s="156">
        <v>0.0</v>
      </c>
      <c r="IP40" s="156">
        <v>0.0</v>
      </c>
      <c r="IQ40" s="160">
        <v>0.0</v>
      </c>
      <c r="JH40" s="25"/>
      <c r="JW40" s="159">
        <v>0.0</v>
      </c>
      <c r="JX40" s="156">
        <v>0.0</v>
      </c>
      <c r="JY40" s="156">
        <v>0.0</v>
      </c>
      <c r="JZ40" s="156">
        <v>0.0</v>
      </c>
      <c r="KA40" s="156">
        <v>0.0</v>
      </c>
      <c r="KB40" s="160">
        <v>0.0</v>
      </c>
      <c r="LH40" s="159">
        <f t="shared" si="10"/>
        <v>0</v>
      </c>
      <c r="LI40" s="156">
        <f t="shared" si="11"/>
        <v>0</v>
      </c>
      <c r="LJ40" s="156">
        <f t="shared" si="12"/>
        <v>0</v>
      </c>
      <c r="LK40" s="156">
        <f t="shared" si="13"/>
        <v>0</v>
      </c>
      <c r="LL40" s="156">
        <f t="shared" si="14"/>
        <v>0</v>
      </c>
      <c r="LM40" s="160">
        <f t="shared" si="15"/>
        <v>0</v>
      </c>
      <c r="QX40" s="163">
        <v>45794.0</v>
      </c>
    </row>
    <row r="41">
      <c r="A41" s="12"/>
      <c r="B41" s="12"/>
      <c r="C41" s="12"/>
      <c r="D41" s="12"/>
      <c r="E41" s="12"/>
      <c r="F41" s="12"/>
      <c r="G41" s="12"/>
      <c r="H41" s="12"/>
      <c r="I41" s="143">
        <f t="shared" si="5"/>
        <v>-30</v>
      </c>
      <c r="J41" s="144">
        <v>45790.0</v>
      </c>
      <c r="K41" s="173" t="s">
        <v>61</v>
      </c>
      <c r="L41" s="144">
        <v>45901.0</v>
      </c>
      <c r="M41" s="147" t="s">
        <v>107</v>
      </c>
      <c r="N41" s="148">
        <v>357.0</v>
      </c>
      <c r="O41" s="148">
        <v>30.0</v>
      </c>
      <c r="P41" s="26"/>
      <c r="Q41" s="26"/>
      <c r="R41" s="26"/>
      <c r="S41" s="26"/>
      <c r="T41" s="26"/>
      <c r="U41" s="147" t="s">
        <v>684</v>
      </c>
      <c r="V41" s="197"/>
      <c r="W41" s="198" t="s">
        <v>1029</v>
      </c>
      <c r="X41" s="181">
        <v>30.0</v>
      </c>
      <c r="Y41" s="166">
        <f t="shared" si="6"/>
        <v>30</v>
      </c>
      <c r="Z41" s="26">
        <f t="shared" si="7"/>
        <v>0</v>
      </c>
      <c r="AA41" s="26">
        <f t="shared" si="8"/>
        <v>0</v>
      </c>
      <c r="AB41" s="26">
        <f t="shared" si="9"/>
        <v>0</v>
      </c>
      <c r="AC41" s="155">
        <v>0.0</v>
      </c>
      <c r="AD41" s="155">
        <v>0.0</v>
      </c>
      <c r="AE41" s="155">
        <v>0.0</v>
      </c>
      <c r="AF41" s="155">
        <v>0.0</v>
      </c>
      <c r="AG41" s="155">
        <v>0.0</v>
      </c>
      <c r="AH41" s="155">
        <v>0.0</v>
      </c>
      <c r="BN41" s="155">
        <v>0.0</v>
      </c>
      <c r="BO41" s="155">
        <v>0.0</v>
      </c>
      <c r="BP41" s="155">
        <v>0.0</v>
      </c>
      <c r="BQ41" s="155">
        <v>0.0</v>
      </c>
      <c r="BR41" s="155">
        <v>0.0</v>
      </c>
      <c r="BS41" s="155">
        <v>0.0</v>
      </c>
      <c r="CV41" s="156">
        <v>0.0</v>
      </c>
      <c r="CW41" s="156">
        <v>0.0</v>
      </c>
      <c r="CX41" s="156">
        <v>0.0</v>
      </c>
      <c r="CY41" s="156">
        <v>0.0</v>
      </c>
      <c r="CZ41" s="156">
        <v>0.0</v>
      </c>
      <c r="DA41" s="156">
        <v>0.0</v>
      </c>
      <c r="EG41" s="156">
        <v>0.0</v>
      </c>
      <c r="EH41" s="156">
        <v>0.0</v>
      </c>
      <c r="EI41" s="156">
        <v>0.0</v>
      </c>
      <c r="EJ41" s="156">
        <v>0.0</v>
      </c>
      <c r="EK41" s="156">
        <v>0.0</v>
      </c>
      <c r="EL41" s="156">
        <v>0.0</v>
      </c>
      <c r="FQ41" s="156">
        <v>0.0</v>
      </c>
      <c r="FR41" s="156">
        <v>0.0</v>
      </c>
      <c r="FS41" s="156">
        <v>0.0</v>
      </c>
      <c r="FT41" s="156">
        <v>0.0</v>
      </c>
      <c r="FU41" s="156">
        <v>0.0</v>
      </c>
      <c r="FV41" s="156">
        <v>0.0</v>
      </c>
      <c r="FW41" s="157"/>
      <c r="FX41" s="157"/>
      <c r="FY41" s="157"/>
      <c r="FZ41" s="157"/>
      <c r="GA41" s="157"/>
      <c r="GB41" s="157"/>
      <c r="GC41" s="157"/>
      <c r="GD41" s="157"/>
      <c r="GE41" s="157"/>
      <c r="GF41" s="157"/>
      <c r="GG41" s="157"/>
      <c r="GH41" s="157"/>
      <c r="GI41" s="157"/>
      <c r="GJ41" s="157"/>
      <c r="GK41" s="157"/>
      <c r="GL41" s="157"/>
      <c r="GM41" s="157"/>
      <c r="GN41" s="157"/>
      <c r="GO41" s="157"/>
      <c r="GP41" s="158"/>
      <c r="GQ41" s="157"/>
      <c r="GR41" s="157"/>
      <c r="GS41" s="157"/>
      <c r="GT41" s="157"/>
      <c r="GU41" s="157"/>
      <c r="GV41" s="157"/>
      <c r="GW41" s="157"/>
      <c r="GX41" s="157"/>
      <c r="GY41" s="157"/>
      <c r="GZ41" s="157"/>
      <c r="HA41" s="157"/>
      <c r="HB41" s="155">
        <v>0.0</v>
      </c>
      <c r="HC41" s="155">
        <v>0.0</v>
      </c>
      <c r="HD41" s="155">
        <v>0.0</v>
      </c>
      <c r="HE41" s="155">
        <v>0.0</v>
      </c>
      <c r="HF41" s="155">
        <v>0.0</v>
      </c>
      <c r="HG41" s="155">
        <v>0.0</v>
      </c>
      <c r="IL41" s="159">
        <v>0.0</v>
      </c>
      <c r="IM41" s="156">
        <v>0.0</v>
      </c>
      <c r="IN41" s="156">
        <v>0.0</v>
      </c>
      <c r="IO41" s="156">
        <v>0.0</v>
      </c>
      <c r="IP41" s="156">
        <v>0.0</v>
      </c>
      <c r="IQ41" s="160">
        <v>0.0</v>
      </c>
      <c r="JH41" s="25"/>
      <c r="JW41" s="159">
        <v>0.0</v>
      </c>
      <c r="JX41" s="156">
        <v>0.0</v>
      </c>
      <c r="JY41" s="156">
        <v>0.0</v>
      </c>
      <c r="JZ41" s="156">
        <v>0.0</v>
      </c>
      <c r="KA41" s="156">
        <v>0.0</v>
      </c>
      <c r="KB41" s="160">
        <v>0.0</v>
      </c>
      <c r="LH41" s="159">
        <f t="shared" si="10"/>
        <v>0</v>
      </c>
      <c r="LI41" s="156">
        <f t="shared" si="11"/>
        <v>0</v>
      </c>
      <c r="LJ41" s="156">
        <f t="shared" si="12"/>
        <v>0</v>
      </c>
      <c r="LK41" s="156">
        <f t="shared" si="13"/>
        <v>0</v>
      </c>
      <c r="LL41" s="156">
        <f t="shared" si="14"/>
        <v>0</v>
      </c>
      <c r="LM41" s="160">
        <f t="shared" si="15"/>
        <v>0</v>
      </c>
      <c r="QX41" s="163">
        <v>45794.0</v>
      </c>
    </row>
    <row r="42">
      <c r="A42" s="12"/>
      <c r="B42" s="12"/>
      <c r="C42" s="12"/>
      <c r="D42" s="12"/>
      <c r="E42" s="12"/>
      <c r="F42" s="12"/>
      <c r="G42" s="12"/>
      <c r="H42" s="12"/>
      <c r="I42" s="143">
        <f t="shared" si="5"/>
        <v>-18</v>
      </c>
      <c r="J42" s="202">
        <v>45791.0</v>
      </c>
      <c r="K42" s="171" t="s">
        <v>61</v>
      </c>
      <c r="L42" s="144">
        <v>45917.0</v>
      </c>
      <c r="M42" s="204" t="s">
        <v>348</v>
      </c>
      <c r="N42" s="253">
        <v>24.0</v>
      </c>
      <c r="O42" s="206">
        <v>30.0</v>
      </c>
      <c r="P42" s="208"/>
      <c r="Q42" s="208"/>
      <c r="R42" s="208"/>
      <c r="S42" s="208"/>
      <c r="T42" s="208"/>
      <c r="U42" s="204" t="s">
        <v>955</v>
      </c>
      <c r="V42" s="254" t="s">
        <v>563</v>
      </c>
      <c r="W42" s="204" t="s">
        <v>1043</v>
      </c>
      <c r="X42" s="212">
        <v>18.0</v>
      </c>
      <c r="Y42" s="166">
        <f t="shared" si="6"/>
        <v>18</v>
      </c>
      <c r="Z42" s="208">
        <f t="shared" si="7"/>
        <v>0</v>
      </c>
      <c r="AA42" s="208">
        <f t="shared" si="8"/>
        <v>0</v>
      </c>
      <c r="AB42" s="208">
        <f t="shared" si="9"/>
        <v>0</v>
      </c>
      <c r="AC42" s="155">
        <v>0.0</v>
      </c>
      <c r="AD42" s="155">
        <v>0.0</v>
      </c>
      <c r="AE42" s="155">
        <v>0.0</v>
      </c>
      <c r="AF42" s="155">
        <v>0.0</v>
      </c>
      <c r="AG42" s="155">
        <v>0.0</v>
      </c>
      <c r="AH42" s="155">
        <v>0.0</v>
      </c>
      <c r="BN42" s="155">
        <v>0.0</v>
      </c>
      <c r="BO42" s="155">
        <v>0.0</v>
      </c>
      <c r="BP42" s="155">
        <v>0.0</v>
      </c>
      <c r="BQ42" s="155">
        <v>0.0</v>
      </c>
      <c r="BR42" s="155">
        <v>0.0</v>
      </c>
      <c r="BS42" s="155">
        <v>0.0</v>
      </c>
      <c r="CV42" s="156">
        <v>0.0</v>
      </c>
      <c r="CW42" s="156">
        <v>0.0</v>
      </c>
      <c r="CX42" s="156">
        <v>0.0</v>
      </c>
      <c r="CY42" s="156">
        <v>0.0</v>
      </c>
      <c r="CZ42" s="156">
        <v>0.0</v>
      </c>
      <c r="DA42" s="156">
        <v>0.0</v>
      </c>
      <c r="EG42" s="156">
        <v>0.0</v>
      </c>
      <c r="EH42" s="156">
        <v>0.0</v>
      </c>
      <c r="EI42" s="156">
        <v>0.0</v>
      </c>
      <c r="EJ42" s="156">
        <v>0.0</v>
      </c>
      <c r="EK42" s="156">
        <v>0.0</v>
      </c>
      <c r="EL42" s="156">
        <v>0.0</v>
      </c>
      <c r="FQ42" s="156">
        <v>0.0</v>
      </c>
      <c r="FR42" s="156">
        <v>0.0</v>
      </c>
      <c r="FS42" s="156">
        <v>0.0</v>
      </c>
      <c r="FT42" s="156">
        <v>0.0</v>
      </c>
      <c r="FU42" s="156">
        <v>0.0</v>
      </c>
      <c r="FV42" s="156">
        <v>0.0</v>
      </c>
      <c r="FW42" s="157"/>
      <c r="FX42" s="157"/>
      <c r="FY42" s="157"/>
      <c r="FZ42" s="157"/>
      <c r="GA42" s="157"/>
      <c r="GB42" s="157"/>
      <c r="GC42" s="157"/>
      <c r="GD42" s="157"/>
      <c r="GE42" s="157"/>
      <c r="GF42" s="157"/>
      <c r="GG42" s="157"/>
      <c r="GH42" s="157"/>
      <c r="GI42" s="157"/>
      <c r="GJ42" s="157"/>
      <c r="GK42" s="157"/>
      <c r="GL42" s="157"/>
      <c r="GM42" s="157"/>
      <c r="GN42" s="157"/>
      <c r="GO42" s="157"/>
      <c r="GP42" s="158"/>
      <c r="GQ42" s="157"/>
      <c r="GR42" s="157"/>
      <c r="GS42" s="157"/>
      <c r="GT42" s="157"/>
      <c r="GU42" s="157"/>
      <c r="GV42" s="157"/>
      <c r="GW42" s="157"/>
      <c r="GX42" s="157"/>
      <c r="GY42" s="157"/>
      <c r="GZ42" s="157"/>
      <c r="HA42" s="157"/>
      <c r="HB42" s="155">
        <v>0.0</v>
      </c>
      <c r="HC42" s="155">
        <v>0.0</v>
      </c>
      <c r="HD42" s="155">
        <v>0.0</v>
      </c>
      <c r="HE42" s="155">
        <v>0.0</v>
      </c>
      <c r="HF42" s="155">
        <v>0.0</v>
      </c>
      <c r="HG42" s="155">
        <v>0.0</v>
      </c>
      <c r="IL42" s="159">
        <v>0.0</v>
      </c>
      <c r="IM42" s="156">
        <v>0.0</v>
      </c>
      <c r="IN42" s="156">
        <v>0.0</v>
      </c>
      <c r="IO42" s="156">
        <v>0.0</v>
      </c>
      <c r="IP42" s="156">
        <v>0.0</v>
      </c>
      <c r="IQ42" s="160">
        <v>0.0</v>
      </c>
      <c r="JH42" s="25"/>
      <c r="JW42" s="159">
        <v>0.0</v>
      </c>
      <c r="JX42" s="156">
        <v>0.0</v>
      </c>
      <c r="JY42" s="156">
        <v>0.0</v>
      </c>
      <c r="JZ42" s="156">
        <v>0.0</v>
      </c>
      <c r="KA42" s="156">
        <v>0.0</v>
      </c>
      <c r="KB42" s="160">
        <v>0.0</v>
      </c>
      <c r="LH42" s="159">
        <f t="shared" si="10"/>
        <v>0</v>
      </c>
      <c r="LI42" s="156">
        <f t="shared" si="11"/>
        <v>0</v>
      </c>
      <c r="LJ42" s="156">
        <f t="shared" si="12"/>
        <v>0</v>
      </c>
      <c r="LK42" s="156">
        <f t="shared" si="13"/>
        <v>0</v>
      </c>
      <c r="LL42" s="156">
        <f t="shared" si="14"/>
        <v>0</v>
      </c>
      <c r="LM42" s="160">
        <f t="shared" si="15"/>
        <v>0</v>
      </c>
      <c r="QX42" s="163">
        <v>45796.0</v>
      </c>
    </row>
    <row r="43">
      <c r="A43" s="12"/>
      <c r="B43" s="12"/>
      <c r="C43" s="12"/>
      <c r="D43" s="12"/>
      <c r="E43" s="12"/>
      <c r="F43" s="12"/>
      <c r="G43" s="12"/>
      <c r="H43" s="12"/>
      <c r="I43" s="143">
        <f t="shared" si="5"/>
        <v>-30</v>
      </c>
      <c r="J43" s="144">
        <v>45793.0</v>
      </c>
      <c r="K43" s="173" t="s">
        <v>61</v>
      </c>
      <c r="L43" s="144">
        <v>45882.0</v>
      </c>
      <c r="M43" s="147" t="s">
        <v>435</v>
      </c>
      <c r="N43" s="148">
        <v>246.0</v>
      </c>
      <c r="O43" s="148">
        <v>30.0</v>
      </c>
      <c r="P43" s="26"/>
      <c r="Q43" s="26"/>
      <c r="R43" s="26"/>
      <c r="S43" s="26"/>
      <c r="T43" s="26"/>
      <c r="U43" s="147" t="s">
        <v>684</v>
      </c>
      <c r="V43" s="197"/>
      <c r="W43" s="198" t="s">
        <v>1057</v>
      </c>
      <c r="X43" s="181">
        <v>30.0</v>
      </c>
      <c r="Y43" s="166">
        <f t="shared" si="6"/>
        <v>30</v>
      </c>
      <c r="Z43" s="26">
        <f t="shared" si="7"/>
        <v>0</v>
      </c>
      <c r="AA43" s="26">
        <f t="shared" si="8"/>
        <v>0</v>
      </c>
      <c r="AB43" s="26">
        <f t="shared" si="9"/>
        <v>0</v>
      </c>
      <c r="AC43" s="155">
        <v>0.0</v>
      </c>
      <c r="AD43" s="155">
        <v>0.0</v>
      </c>
      <c r="AE43" s="155">
        <v>0.0</v>
      </c>
      <c r="AF43" s="155">
        <v>0.0</v>
      </c>
      <c r="AG43" s="155">
        <v>0.0</v>
      </c>
      <c r="AH43" s="155">
        <v>0.0</v>
      </c>
      <c r="BN43" s="155">
        <v>0.0</v>
      </c>
      <c r="BO43" s="155">
        <v>0.0</v>
      </c>
      <c r="BP43" s="155">
        <v>0.0</v>
      </c>
      <c r="BQ43" s="155">
        <v>0.0</v>
      </c>
      <c r="BR43" s="155">
        <v>0.0</v>
      </c>
      <c r="BS43" s="155">
        <v>0.0</v>
      </c>
      <c r="CV43" s="156">
        <v>0.0</v>
      </c>
      <c r="CW43" s="156">
        <v>0.0</v>
      </c>
      <c r="CX43" s="156">
        <v>0.0</v>
      </c>
      <c r="CY43" s="156">
        <v>0.0</v>
      </c>
      <c r="CZ43" s="156">
        <v>0.0</v>
      </c>
      <c r="DA43" s="156">
        <v>0.0</v>
      </c>
      <c r="EG43" s="156">
        <v>0.0</v>
      </c>
      <c r="EH43" s="156">
        <v>0.0</v>
      </c>
      <c r="EI43" s="156">
        <v>0.0</v>
      </c>
      <c r="EJ43" s="156">
        <v>0.0</v>
      </c>
      <c r="EK43" s="156">
        <v>0.0</v>
      </c>
      <c r="EL43" s="156">
        <v>0.0</v>
      </c>
      <c r="FQ43" s="156">
        <v>0.0</v>
      </c>
      <c r="FR43" s="156">
        <v>0.0</v>
      </c>
      <c r="FS43" s="156">
        <v>0.0</v>
      </c>
      <c r="FT43" s="156">
        <v>0.0</v>
      </c>
      <c r="FU43" s="156">
        <v>0.0</v>
      </c>
      <c r="FV43" s="156">
        <v>0.0</v>
      </c>
      <c r="FW43" s="157"/>
      <c r="FX43" s="157"/>
      <c r="FY43" s="157"/>
      <c r="FZ43" s="157"/>
      <c r="GA43" s="157"/>
      <c r="GB43" s="157"/>
      <c r="GC43" s="157"/>
      <c r="GD43" s="157"/>
      <c r="GE43" s="157"/>
      <c r="GF43" s="157"/>
      <c r="GG43" s="157"/>
      <c r="GH43" s="157"/>
      <c r="GI43" s="157"/>
      <c r="GJ43" s="157"/>
      <c r="GK43" s="157"/>
      <c r="GL43" s="157"/>
      <c r="GM43" s="157"/>
      <c r="GN43" s="157"/>
      <c r="GO43" s="157"/>
      <c r="GP43" s="158"/>
      <c r="GQ43" s="157"/>
      <c r="GR43" s="157"/>
      <c r="GS43" s="157"/>
      <c r="GT43" s="157"/>
      <c r="GU43" s="157"/>
      <c r="GV43" s="157"/>
      <c r="GW43" s="157"/>
      <c r="GX43" s="157"/>
      <c r="GY43" s="157"/>
      <c r="GZ43" s="157"/>
      <c r="HA43" s="157"/>
      <c r="HB43" s="155">
        <v>0.0</v>
      </c>
      <c r="HC43" s="155">
        <v>0.0</v>
      </c>
      <c r="HD43" s="155">
        <v>0.0</v>
      </c>
      <c r="HE43" s="155">
        <v>0.0</v>
      </c>
      <c r="HF43" s="155">
        <v>0.0</v>
      </c>
      <c r="HG43" s="155">
        <v>0.0</v>
      </c>
      <c r="IL43" s="159">
        <v>0.0</v>
      </c>
      <c r="IM43" s="156">
        <v>0.0</v>
      </c>
      <c r="IN43" s="156">
        <v>0.0</v>
      </c>
      <c r="IO43" s="156">
        <v>0.0</v>
      </c>
      <c r="IP43" s="156">
        <v>0.0</v>
      </c>
      <c r="IQ43" s="160">
        <v>0.0</v>
      </c>
      <c r="JH43" s="25"/>
      <c r="JW43" s="159">
        <v>0.0</v>
      </c>
      <c r="JX43" s="156">
        <v>0.0</v>
      </c>
      <c r="JY43" s="156">
        <v>0.0</v>
      </c>
      <c r="JZ43" s="156">
        <v>0.0</v>
      </c>
      <c r="KA43" s="156">
        <v>0.0</v>
      </c>
      <c r="KB43" s="160">
        <v>0.0</v>
      </c>
      <c r="LH43" s="159">
        <f t="shared" si="10"/>
        <v>0</v>
      </c>
      <c r="LI43" s="156">
        <f t="shared" si="11"/>
        <v>0</v>
      </c>
      <c r="LJ43" s="156">
        <f t="shared" si="12"/>
        <v>0</v>
      </c>
      <c r="LK43" s="156">
        <f t="shared" si="13"/>
        <v>0</v>
      </c>
      <c r="LL43" s="156">
        <f t="shared" si="14"/>
        <v>0</v>
      </c>
      <c r="LM43" s="160">
        <f t="shared" si="15"/>
        <v>0</v>
      </c>
      <c r="QX43" s="163">
        <v>45796.0</v>
      </c>
    </row>
    <row r="44">
      <c r="A44" s="12"/>
      <c r="B44" s="12"/>
      <c r="C44" s="12"/>
      <c r="D44" s="12"/>
      <c r="E44" s="12"/>
      <c r="F44" s="12"/>
      <c r="G44" s="12"/>
      <c r="H44" s="12"/>
      <c r="I44" s="143">
        <f t="shared" si="5"/>
        <v>-30</v>
      </c>
      <c r="J44" s="144">
        <v>45793.0</v>
      </c>
      <c r="K44" s="173" t="s">
        <v>61</v>
      </c>
      <c r="L44" s="144">
        <v>45861.0</v>
      </c>
      <c r="M44" s="147" t="s">
        <v>1072</v>
      </c>
      <c r="N44" s="148">
        <v>246.0</v>
      </c>
      <c r="O44" s="148">
        <v>30.0</v>
      </c>
      <c r="P44" s="26"/>
      <c r="Q44" s="26"/>
      <c r="R44" s="26"/>
      <c r="S44" s="26"/>
      <c r="T44" s="26"/>
      <c r="U44" s="147" t="s">
        <v>1073</v>
      </c>
      <c r="V44" s="197"/>
      <c r="W44" s="198" t="s">
        <v>1075</v>
      </c>
      <c r="X44" s="181">
        <v>30.0</v>
      </c>
      <c r="Y44" s="166">
        <f t="shared" si="6"/>
        <v>30</v>
      </c>
      <c r="Z44" s="26">
        <f t="shared" si="7"/>
        <v>0</v>
      </c>
      <c r="AA44" s="26">
        <f t="shared" si="8"/>
        <v>0</v>
      </c>
      <c r="AB44" s="26">
        <f t="shared" si="9"/>
        <v>0</v>
      </c>
      <c r="AC44" s="155">
        <v>0.0</v>
      </c>
      <c r="AD44" s="155">
        <v>0.0</v>
      </c>
      <c r="AE44" s="155">
        <v>0.0</v>
      </c>
      <c r="AF44" s="155">
        <v>0.0</v>
      </c>
      <c r="AG44" s="155">
        <v>0.0</v>
      </c>
      <c r="AH44" s="155">
        <v>0.0</v>
      </c>
      <c r="BN44" s="155">
        <v>0.0</v>
      </c>
      <c r="BO44" s="155">
        <v>0.0</v>
      </c>
      <c r="BP44" s="155">
        <v>0.0</v>
      </c>
      <c r="BQ44" s="155">
        <v>0.0</v>
      </c>
      <c r="BR44" s="155">
        <v>0.0</v>
      </c>
      <c r="BS44" s="155">
        <v>0.0</v>
      </c>
      <c r="CV44" s="156">
        <v>0.0</v>
      </c>
      <c r="CW44" s="156">
        <v>0.0</v>
      </c>
      <c r="CX44" s="156">
        <v>0.0</v>
      </c>
      <c r="CY44" s="156">
        <v>0.0</v>
      </c>
      <c r="CZ44" s="156">
        <v>0.0</v>
      </c>
      <c r="DA44" s="156">
        <v>0.0</v>
      </c>
      <c r="EG44" s="156">
        <v>0.0</v>
      </c>
      <c r="EH44" s="156">
        <v>0.0</v>
      </c>
      <c r="EI44" s="156">
        <v>0.0</v>
      </c>
      <c r="EJ44" s="156">
        <v>0.0</v>
      </c>
      <c r="EK44" s="156">
        <v>0.0</v>
      </c>
      <c r="EL44" s="156">
        <v>0.0</v>
      </c>
      <c r="FQ44" s="156">
        <v>0.0</v>
      </c>
      <c r="FR44" s="156">
        <v>0.0</v>
      </c>
      <c r="FS44" s="156">
        <v>0.0</v>
      </c>
      <c r="FT44" s="156">
        <v>0.0</v>
      </c>
      <c r="FU44" s="156">
        <v>0.0</v>
      </c>
      <c r="FV44" s="156">
        <v>0.0</v>
      </c>
      <c r="FW44" s="157"/>
      <c r="FX44" s="157"/>
      <c r="FY44" s="157"/>
      <c r="FZ44" s="157"/>
      <c r="GA44" s="157"/>
      <c r="GB44" s="157"/>
      <c r="GC44" s="157"/>
      <c r="GD44" s="157"/>
      <c r="GE44" s="157"/>
      <c r="GF44" s="157"/>
      <c r="GG44" s="157"/>
      <c r="GH44" s="157"/>
      <c r="GI44" s="157"/>
      <c r="GJ44" s="157"/>
      <c r="GK44" s="157"/>
      <c r="GL44" s="157"/>
      <c r="GM44" s="157"/>
      <c r="GN44" s="157"/>
      <c r="GO44" s="157"/>
      <c r="GP44" s="158"/>
      <c r="GQ44" s="157"/>
      <c r="GR44" s="157"/>
      <c r="GS44" s="157"/>
      <c r="GT44" s="157"/>
      <c r="GU44" s="157"/>
      <c r="GV44" s="157"/>
      <c r="GW44" s="157"/>
      <c r="GX44" s="157"/>
      <c r="GY44" s="157"/>
      <c r="GZ44" s="157"/>
      <c r="HA44" s="157"/>
      <c r="HB44" s="155">
        <v>0.0</v>
      </c>
      <c r="HC44" s="155">
        <v>0.0</v>
      </c>
      <c r="HD44" s="155">
        <v>0.0</v>
      </c>
      <c r="HE44" s="155">
        <v>0.0</v>
      </c>
      <c r="HF44" s="155">
        <v>0.0</v>
      </c>
      <c r="HG44" s="155">
        <v>0.0</v>
      </c>
      <c r="IL44" s="159">
        <v>0.0</v>
      </c>
      <c r="IM44" s="156">
        <v>0.0</v>
      </c>
      <c r="IN44" s="156">
        <v>0.0</v>
      </c>
      <c r="IO44" s="156">
        <v>0.0</v>
      </c>
      <c r="IP44" s="156">
        <v>0.0</v>
      </c>
      <c r="IQ44" s="160">
        <v>0.0</v>
      </c>
      <c r="JH44" s="25"/>
      <c r="JW44" s="159">
        <v>0.0</v>
      </c>
      <c r="JX44" s="156">
        <v>0.0</v>
      </c>
      <c r="JY44" s="156">
        <v>0.0</v>
      </c>
      <c r="JZ44" s="156">
        <v>0.0</v>
      </c>
      <c r="KA44" s="156">
        <v>0.0</v>
      </c>
      <c r="KB44" s="160">
        <v>0.0</v>
      </c>
      <c r="LH44" s="159">
        <f t="shared" si="10"/>
        <v>0</v>
      </c>
      <c r="LI44" s="156">
        <f t="shared" si="11"/>
        <v>0</v>
      </c>
      <c r="LJ44" s="156">
        <f t="shared" si="12"/>
        <v>0</v>
      </c>
      <c r="LK44" s="156">
        <f t="shared" si="13"/>
        <v>0</v>
      </c>
      <c r="LL44" s="156">
        <f t="shared" si="14"/>
        <v>0</v>
      </c>
      <c r="LM44" s="160">
        <f t="shared" si="15"/>
        <v>0</v>
      </c>
      <c r="QX44" s="163">
        <v>45797.0</v>
      </c>
    </row>
    <row r="45">
      <c r="A45" s="12"/>
      <c r="B45" s="12"/>
      <c r="C45" s="12"/>
      <c r="D45" s="12"/>
      <c r="E45" s="12"/>
      <c r="F45" s="12"/>
      <c r="G45" s="12"/>
      <c r="H45" s="12"/>
      <c r="I45" s="143">
        <f t="shared" si="5"/>
        <v>-21</v>
      </c>
      <c r="J45" s="144">
        <v>45810.0</v>
      </c>
      <c r="K45" s="49" t="s">
        <v>61</v>
      </c>
      <c r="L45" s="144">
        <v>45904.0</v>
      </c>
      <c r="M45" s="147" t="s">
        <v>435</v>
      </c>
      <c r="N45" s="148">
        <v>246.0</v>
      </c>
      <c r="O45" s="148">
        <v>30.0</v>
      </c>
      <c r="P45" s="26"/>
      <c r="Q45" s="26"/>
      <c r="R45" s="26"/>
      <c r="S45" s="26"/>
      <c r="T45" s="26"/>
      <c r="U45" s="147" t="s">
        <v>1092</v>
      </c>
      <c r="V45" s="149" t="s">
        <v>1093</v>
      </c>
      <c r="W45" s="147" t="s">
        <v>1095</v>
      </c>
      <c r="X45" s="181">
        <v>21.0</v>
      </c>
      <c r="Y45" s="166">
        <f t="shared" si="6"/>
        <v>21</v>
      </c>
      <c r="Z45" s="26">
        <f t="shared" si="7"/>
        <v>0</v>
      </c>
      <c r="AA45" s="26">
        <f t="shared" si="8"/>
        <v>0</v>
      </c>
      <c r="AB45" s="26">
        <f t="shared" si="9"/>
        <v>0</v>
      </c>
      <c r="AC45" s="155">
        <v>0.0</v>
      </c>
      <c r="AD45" s="155">
        <v>0.0</v>
      </c>
      <c r="AE45" s="155">
        <v>0.0</v>
      </c>
      <c r="AF45" s="155">
        <v>0.0</v>
      </c>
      <c r="AG45" s="155">
        <v>0.0</v>
      </c>
      <c r="AH45" s="155">
        <v>0.0</v>
      </c>
      <c r="BN45" s="155">
        <v>0.0</v>
      </c>
      <c r="BO45" s="155">
        <v>0.0</v>
      </c>
      <c r="BP45" s="155">
        <v>0.0</v>
      </c>
      <c r="BQ45" s="155">
        <v>0.0</v>
      </c>
      <c r="BR45" s="155">
        <v>0.0</v>
      </c>
      <c r="BS45" s="155">
        <v>0.0</v>
      </c>
      <c r="CV45" s="156">
        <v>0.0</v>
      </c>
      <c r="CW45" s="156">
        <v>0.0</v>
      </c>
      <c r="CX45" s="156">
        <v>0.0</v>
      </c>
      <c r="CY45" s="156">
        <v>0.0</v>
      </c>
      <c r="CZ45" s="156">
        <v>0.0</v>
      </c>
      <c r="DA45" s="156">
        <v>0.0</v>
      </c>
      <c r="EG45" s="156">
        <v>0.0</v>
      </c>
      <c r="EH45" s="156">
        <v>0.0</v>
      </c>
      <c r="EI45" s="156">
        <v>0.0</v>
      </c>
      <c r="EJ45" s="156">
        <v>0.0</v>
      </c>
      <c r="EK45" s="156">
        <v>0.0</v>
      </c>
      <c r="EL45" s="156">
        <v>0.0</v>
      </c>
      <c r="FQ45" s="156">
        <v>0.0</v>
      </c>
      <c r="FR45" s="156">
        <v>0.0</v>
      </c>
      <c r="FS45" s="156">
        <v>0.0</v>
      </c>
      <c r="FT45" s="156">
        <v>0.0</v>
      </c>
      <c r="FU45" s="156">
        <v>0.0</v>
      </c>
      <c r="FV45" s="156">
        <v>0.0</v>
      </c>
      <c r="FW45" s="157"/>
      <c r="FX45" s="157"/>
      <c r="FY45" s="157"/>
      <c r="FZ45" s="157"/>
      <c r="GA45" s="157"/>
      <c r="GB45" s="157"/>
      <c r="GC45" s="157"/>
      <c r="GD45" s="157"/>
      <c r="GE45" s="157"/>
      <c r="GF45" s="157"/>
      <c r="GG45" s="157"/>
      <c r="GH45" s="157"/>
      <c r="GI45" s="157"/>
      <c r="GJ45" s="157"/>
      <c r="GK45" s="157"/>
      <c r="GL45" s="157"/>
      <c r="GM45" s="157"/>
      <c r="GN45" s="157"/>
      <c r="GO45" s="157"/>
      <c r="GP45" s="158"/>
      <c r="GQ45" s="157"/>
      <c r="GR45" s="157"/>
      <c r="GS45" s="157"/>
      <c r="GT45" s="157"/>
      <c r="GU45" s="157"/>
      <c r="GV45" s="157"/>
      <c r="GW45" s="157"/>
      <c r="GX45" s="157"/>
      <c r="GY45" s="157"/>
      <c r="GZ45" s="157"/>
      <c r="HA45" s="157"/>
      <c r="HB45" s="155">
        <v>0.0</v>
      </c>
      <c r="HC45" s="155">
        <v>0.0</v>
      </c>
      <c r="HD45" s="155">
        <v>0.0</v>
      </c>
      <c r="HE45" s="155">
        <v>0.0</v>
      </c>
      <c r="HF45" s="155">
        <v>0.0</v>
      </c>
      <c r="HG45" s="155">
        <v>0.0</v>
      </c>
      <c r="IL45" s="159">
        <v>0.0</v>
      </c>
      <c r="IM45" s="156">
        <v>0.0</v>
      </c>
      <c r="IN45" s="156">
        <v>0.0</v>
      </c>
      <c r="IO45" s="156">
        <v>0.0</v>
      </c>
      <c r="IP45" s="156">
        <v>0.0</v>
      </c>
      <c r="IQ45" s="160">
        <v>0.0</v>
      </c>
      <c r="JH45" s="25"/>
      <c r="JW45" s="159">
        <v>0.0</v>
      </c>
      <c r="JX45" s="156">
        <v>0.0</v>
      </c>
      <c r="JY45" s="156">
        <v>0.0</v>
      </c>
      <c r="JZ45" s="156">
        <v>0.0</v>
      </c>
      <c r="KA45" s="156">
        <v>0.0</v>
      </c>
      <c r="KB45" s="160">
        <v>0.0</v>
      </c>
      <c r="LH45" s="159">
        <f t="shared" si="10"/>
        <v>0</v>
      </c>
      <c r="LI45" s="156">
        <f t="shared" si="11"/>
        <v>0</v>
      </c>
      <c r="LJ45" s="156">
        <f t="shared" si="12"/>
        <v>0</v>
      </c>
      <c r="LK45" s="156">
        <f t="shared" si="13"/>
        <v>0</v>
      </c>
      <c r="LL45" s="156">
        <f t="shared" si="14"/>
        <v>0</v>
      </c>
      <c r="LM45" s="160">
        <f t="shared" si="15"/>
        <v>0</v>
      </c>
      <c r="QX45" s="163">
        <v>45797.0</v>
      </c>
    </row>
    <row r="46">
      <c r="A46" s="12"/>
      <c r="B46" s="12"/>
      <c r="C46" s="12"/>
      <c r="D46" s="12"/>
      <c r="E46" s="12"/>
      <c r="F46" s="12"/>
      <c r="G46" s="12"/>
      <c r="H46" s="12"/>
      <c r="I46" s="200">
        <f t="shared" si="5"/>
        <v>-64</v>
      </c>
      <c r="J46" s="202">
        <v>45794.0</v>
      </c>
      <c r="K46" s="173" t="s">
        <v>48</v>
      </c>
      <c r="L46" s="146"/>
      <c r="M46" s="204" t="s">
        <v>348</v>
      </c>
      <c r="N46" s="206" t="s">
        <v>467</v>
      </c>
      <c r="O46" s="206">
        <v>30.0</v>
      </c>
      <c r="P46" s="208"/>
      <c r="Q46" s="208"/>
      <c r="R46" s="208"/>
      <c r="S46" s="208"/>
      <c r="T46" s="208"/>
      <c r="U46" s="204" t="s">
        <v>1106</v>
      </c>
      <c r="V46" s="254" t="s">
        <v>1108</v>
      </c>
      <c r="W46" s="211" t="s">
        <v>1110</v>
      </c>
      <c r="X46" s="212">
        <v>43.0</v>
      </c>
      <c r="Y46" s="166">
        <f t="shared" si="6"/>
        <v>64</v>
      </c>
      <c r="Z46" s="208">
        <f t="shared" si="7"/>
        <v>0</v>
      </c>
      <c r="AA46" s="208">
        <f t="shared" si="8"/>
        <v>0</v>
      </c>
      <c r="AB46" s="208">
        <f t="shared" si="9"/>
        <v>0</v>
      </c>
      <c r="AC46" s="155">
        <v>8.0</v>
      </c>
      <c r="AD46" s="155">
        <v>0.0</v>
      </c>
      <c r="AE46" s="155">
        <v>0.0</v>
      </c>
      <c r="AF46" s="155">
        <v>0.0</v>
      </c>
      <c r="AG46" s="155">
        <v>0.0</v>
      </c>
      <c r="AH46" s="155">
        <v>0.0</v>
      </c>
      <c r="AR46" s="86">
        <v>1.0</v>
      </c>
      <c r="AS46" s="86">
        <v>1.0</v>
      </c>
      <c r="AY46" s="86">
        <v>1.0</v>
      </c>
      <c r="AZ46" s="86">
        <v>1.0</v>
      </c>
      <c r="BF46" s="86">
        <v>1.0</v>
      </c>
      <c r="BG46" s="86">
        <v>1.0</v>
      </c>
      <c r="BL46" s="86">
        <v>1.0</v>
      </c>
      <c r="BM46" s="86">
        <v>1.0</v>
      </c>
      <c r="BN46" s="155">
        <v>1.0</v>
      </c>
      <c r="BO46" s="155">
        <v>0.0</v>
      </c>
      <c r="BP46" s="155">
        <v>0.0</v>
      </c>
      <c r="BQ46" s="155">
        <v>0.0</v>
      </c>
      <c r="BR46" s="155">
        <v>0.0</v>
      </c>
      <c r="BS46" s="155">
        <v>0.0</v>
      </c>
      <c r="BZ46" s="86">
        <v>1.0</v>
      </c>
      <c r="CV46" s="156">
        <v>3.0</v>
      </c>
      <c r="CW46" s="156">
        <v>0.0</v>
      </c>
      <c r="CX46" s="156">
        <v>0.0</v>
      </c>
      <c r="CY46" s="156">
        <v>0.0</v>
      </c>
      <c r="CZ46" s="156">
        <v>0.0</v>
      </c>
      <c r="DA46" s="156">
        <v>0.0</v>
      </c>
      <c r="DH46" s="86">
        <v>1.0</v>
      </c>
      <c r="DV46" s="86">
        <v>1.0</v>
      </c>
      <c r="DW46" s="86">
        <v>1.0</v>
      </c>
      <c r="EG46" s="156">
        <v>2.0</v>
      </c>
      <c r="EH46" s="156">
        <v>0.0</v>
      </c>
      <c r="EI46" s="156">
        <v>0.0</v>
      </c>
      <c r="EJ46" s="156">
        <v>0.0</v>
      </c>
      <c r="EK46" s="156">
        <v>0.0</v>
      </c>
      <c r="EL46" s="156">
        <v>0.0</v>
      </c>
      <c r="EP46" s="86">
        <v>1.0</v>
      </c>
      <c r="FJ46" s="86">
        <v>1.0</v>
      </c>
      <c r="FQ46" s="156">
        <v>2.0</v>
      </c>
      <c r="FR46" s="156">
        <v>0.0</v>
      </c>
      <c r="FS46" s="156">
        <v>0.0</v>
      </c>
      <c r="FT46" s="156">
        <v>0.0</v>
      </c>
      <c r="FU46" s="156">
        <v>0.0</v>
      </c>
      <c r="FV46" s="156">
        <v>0.0</v>
      </c>
      <c r="FW46" s="157"/>
      <c r="FX46" s="157"/>
      <c r="FY46" s="157"/>
      <c r="FZ46" s="157"/>
      <c r="GA46" s="157"/>
      <c r="GB46" s="157"/>
      <c r="GC46" s="157"/>
      <c r="GD46" s="157"/>
      <c r="GE46" s="157"/>
      <c r="GF46" s="188">
        <v>1.0</v>
      </c>
      <c r="GG46" s="157"/>
      <c r="GH46" s="157"/>
      <c r="GI46" s="157"/>
      <c r="GJ46" s="157"/>
      <c r="GK46" s="157"/>
      <c r="GL46" s="157"/>
      <c r="GM46" s="157"/>
      <c r="GN46" s="157"/>
      <c r="GO46" s="157"/>
      <c r="GP46" s="158"/>
      <c r="GQ46" s="157"/>
      <c r="GR46" s="157"/>
      <c r="GS46" s="188">
        <v>1.0</v>
      </c>
      <c r="GT46" s="157"/>
      <c r="GU46" s="157"/>
      <c r="GV46" s="157"/>
      <c r="GW46" s="157"/>
      <c r="GX46" s="157"/>
      <c r="GY46" s="157"/>
      <c r="GZ46" s="157"/>
      <c r="HA46" s="157"/>
      <c r="HB46" s="155">
        <v>2.0</v>
      </c>
      <c r="HC46" s="155">
        <v>0.0</v>
      </c>
      <c r="HD46" s="155">
        <v>0.0</v>
      </c>
      <c r="HE46" s="155">
        <v>0.0</v>
      </c>
      <c r="HF46" s="155">
        <v>0.0</v>
      </c>
      <c r="HG46" s="155">
        <v>0.0</v>
      </c>
      <c r="HM46" s="86">
        <v>1.0</v>
      </c>
      <c r="IH46" s="86">
        <v>1.0</v>
      </c>
      <c r="IL46" s="159">
        <v>0.0</v>
      </c>
      <c r="IM46" s="156">
        <v>0.0</v>
      </c>
      <c r="IN46" s="156">
        <v>0.0</v>
      </c>
      <c r="IO46" s="156">
        <v>0.0</v>
      </c>
      <c r="IP46" s="156">
        <v>0.0</v>
      </c>
      <c r="IQ46" s="160">
        <v>0.0</v>
      </c>
      <c r="JH46" s="25"/>
      <c r="JW46" s="159">
        <v>3.0</v>
      </c>
      <c r="JX46" s="156">
        <v>0.0</v>
      </c>
      <c r="JY46" s="156">
        <v>0.0</v>
      </c>
      <c r="JZ46" s="156">
        <v>0.0</v>
      </c>
      <c r="KA46" s="156">
        <v>0.0</v>
      </c>
      <c r="KB46" s="160">
        <v>0.0</v>
      </c>
      <c r="KC46" s="86">
        <v>1.0</v>
      </c>
      <c r="KD46" s="86">
        <v>1.0</v>
      </c>
      <c r="KS46" s="178"/>
      <c r="KY46" s="86">
        <v>1.0</v>
      </c>
      <c r="LH46" s="159">
        <f t="shared" si="10"/>
        <v>0</v>
      </c>
      <c r="LI46" s="156">
        <f t="shared" si="11"/>
        <v>0</v>
      </c>
      <c r="LJ46" s="156">
        <f t="shared" si="12"/>
        <v>0</v>
      </c>
      <c r="LK46" s="156">
        <f t="shared" si="13"/>
        <v>0</v>
      </c>
      <c r="LL46" s="156">
        <f t="shared" si="14"/>
        <v>0</v>
      </c>
      <c r="LM46" s="160">
        <f t="shared" si="15"/>
        <v>0</v>
      </c>
      <c r="QX46" s="163">
        <v>45799.0</v>
      </c>
    </row>
    <row r="47">
      <c r="A47" s="12"/>
      <c r="B47" s="12"/>
      <c r="C47" s="12"/>
      <c r="D47" s="12"/>
      <c r="E47" s="12"/>
      <c r="F47" s="12"/>
      <c r="G47" s="12"/>
      <c r="H47" s="12"/>
      <c r="I47" s="143">
        <f t="shared" si="5"/>
        <v>-10</v>
      </c>
      <c r="J47" s="144">
        <v>45796.0</v>
      </c>
      <c r="K47" s="173" t="s">
        <v>61</v>
      </c>
      <c r="L47" s="144">
        <v>45840.0</v>
      </c>
      <c r="M47" s="147" t="s">
        <v>1130</v>
      </c>
      <c r="N47" s="148">
        <v>24.0</v>
      </c>
      <c r="O47" s="148">
        <v>30.0</v>
      </c>
      <c r="P47" s="26"/>
      <c r="Q47" s="26"/>
      <c r="R47" s="26"/>
      <c r="S47" s="26"/>
      <c r="T47" s="26"/>
      <c r="U47" s="26" t="s">
        <v>1131</v>
      </c>
      <c r="V47" s="197"/>
      <c r="W47" s="147" t="s">
        <v>1132</v>
      </c>
      <c r="X47" s="181">
        <v>10.0</v>
      </c>
      <c r="Y47" s="166">
        <f t="shared" si="6"/>
        <v>10</v>
      </c>
      <c r="Z47" s="26">
        <f t="shared" si="7"/>
        <v>0</v>
      </c>
      <c r="AA47" s="26">
        <f t="shared" si="8"/>
        <v>0</v>
      </c>
      <c r="AB47" s="26">
        <f t="shared" si="9"/>
        <v>0</v>
      </c>
      <c r="AC47" s="155">
        <v>0.0</v>
      </c>
      <c r="AD47" s="155">
        <v>0.0</v>
      </c>
      <c r="AE47" s="155">
        <v>0.0</v>
      </c>
      <c r="AF47" s="155">
        <v>0.0</v>
      </c>
      <c r="AG47" s="155">
        <v>0.0</v>
      </c>
      <c r="AH47" s="155">
        <v>0.0</v>
      </c>
      <c r="BN47" s="155">
        <v>0.0</v>
      </c>
      <c r="BO47" s="155">
        <v>0.0</v>
      </c>
      <c r="BP47" s="155">
        <v>0.0</v>
      </c>
      <c r="BQ47" s="155">
        <v>0.0</v>
      </c>
      <c r="BR47" s="155">
        <v>0.0</v>
      </c>
      <c r="BS47" s="155">
        <v>0.0</v>
      </c>
      <c r="CV47" s="156">
        <v>0.0</v>
      </c>
      <c r="CW47" s="156">
        <v>0.0</v>
      </c>
      <c r="CX47" s="156">
        <v>0.0</v>
      </c>
      <c r="CY47" s="156">
        <v>0.0</v>
      </c>
      <c r="CZ47" s="156">
        <v>0.0</v>
      </c>
      <c r="DA47" s="156">
        <v>0.0</v>
      </c>
      <c r="EG47" s="156">
        <v>0.0</v>
      </c>
      <c r="EH47" s="156">
        <v>0.0</v>
      </c>
      <c r="EI47" s="156">
        <v>0.0</v>
      </c>
      <c r="EJ47" s="156">
        <v>0.0</v>
      </c>
      <c r="EK47" s="156">
        <v>0.0</v>
      </c>
      <c r="EL47" s="156">
        <v>0.0</v>
      </c>
      <c r="FQ47" s="156">
        <v>0.0</v>
      </c>
      <c r="FR47" s="156">
        <v>0.0</v>
      </c>
      <c r="FS47" s="156">
        <v>0.0</v>
      </c>
      <c r="FT47" s="156">
        <v>0.0</v>
      </c>
      <c r="FU47" s="156">
        <v>0.0</v>
      </c>
      <c r="FV47" s="156">
        <v>0.0</v>
      </c>
      <c r="FW47" s="157"/>
      <c r="FX47" s="157"/>
      <c r="FY47" s="157"/>
      <c r="FZ47" s="157"/>
      <c r="GA47" s="157"/>
      <c r="GB47" s="157"/>
      <c r="GC47" s="157"/>
      <c r="GD47" s="157"/>
      <c r="GE47" s="157"/>
      <c r="GF47" s="157"/>
      <c r="GG47" s="157"/>
      <c r="GH47" s="157"/>
      <c r="GI47" s="157"/>
      <c r="GJ47" s="157"/>
      <c r="GK47" s="157"/>
      <c r="GL47" s="157"/>
      <c r="GM47" s="157"/>
      <c r="GN47" s="157"/>
      <c r="GO47" s="157"/>
      <c r="GP47" s="158"/>
      <c r="GQ47" s="157"/>
      <c r="GR47" s="157"/>
      <c r="GS47" s="157"/>
      <c r="GT47" s="157"/>
      <c r="GU47" s="157"/>
      <c r="GV47" s="157"/>
      <c r="GW47" s="157"/>
      <c r="GX47" s="157"/>
      <c r="GY47" s="157"/>
      <c r="GZ47" s="157"/>
      <c r="HA47" s="157"/>
      <c r="HB47" s="155">
        <v>0.0</v>
      </c>
      <c r="HC47" s="155">
        <v>0.0</v>
      </c>
      <c r="HD47" s="155">
        <v>0.0</v>
      </c>
      <c r="HE47" s="155">
        <v>0.0</v>
      </c>
      <c r="HF47" s="155">
        <v>0.0</v>
      </c>
      <c r="HG47" s="155">
        <v>0.0</v>
      </c>
      <c r="IL47" s="159">
        <v>0.0</v>
      </c>
      <c r="IM47" s="156">
        <v>0.0</v>
      </c>
      <c r="IN47" s="156">
        <v>0.0</v>
      </c>
      <c r="IO47" s="156">
        <v>0.0</v>
      </c>
      <c r="IP47" s="156">
        <v>0.0</v>
      </c>
      <c r="IQ47" s="160">
        <v>0.0</v>
      </c>
      <c r="JH47" s="25"/>
      <c r="JW47" s="159">
        <v>0.0</v>
      </c>
      <c r="JX47" s="156">
        <v>0.0</v>
      </c>
      <c r="JY47" s="156">
        <v>0.0</v>
      </c>
      <c r="JZ47" s="156">
        <v>0.0</v>
      </c>
      <c r="KA47" s="156">
        <v>0.0</v>
      </c>
      <c r="KB47" s="160">
        <v>0.0</v>
      </c>
      <c r="LH47" s="159">
        <f t="shared" si="10"/>
        <v>0</v>
      </c>
      <c r="LI47" s="156">
        <f t="shared" si="11"/>
        <v>0</v>
      </c>
      <c r="LJ47" s="156">
        <f t="shared" si="12"/>
        <v>0</v>
      </c>
      <c r="LK47" s="156">
        <f t="shared" si="13"/>
        <v>0</v>
      </c>
      <c r="LL47" s="156">
        <f t="shared" si="14"/>
        <v>0</v>
      </c>
      <c r="LM47" s="160">
        <f t="shared" si="15"/>
        <v>0</v>
      </c>
      <c r="QX47" s="163">
        <v>45800.0</v>
      </c>
    </row>
    <row r="48">
      <c r="A48" s="12"/>
      <c r="B48" s="12"/>
      <c r="C48" s="12"/>
      <c r="D48" s="12"/>
      <c r="E48" s="12"/>
      <c r="F48" s="12"/>
      <c r="G48" s="12"/>
      <c r="H48" s="12"/>
      <c r="I48" s="143">
        <f t="shared" si="5"/>
        <v>-13</v>
      </c>
      <c r="J48" s="144">
        <v>45800.0</v>
      </c>
      <c r="K48" s="173" t="s">
        <v>61</v>
      </c>
      <c r="L48" s="146"/>
      <c r="M48" s="147" t="s">
        <v>1138</v>
      </c>
      <c r="N48" s="148">
        <v>246.0</v>
      </c>
      <c r="O48" s="148">
        <v>30.0</v>
      </c>
      <c r="P48" s="26"/>
      <c r="Q48" s="26"/>
      <c r="R48" s="26"/>
      <c r="S48" s="26"/>
      <c r="T48" s="26"/>
      <c r="U48" s="147" t="s">
        <v>1140</v>
      </c>
      <c r="V48" s="197"/>
      <c r="W48" s="198" t="s">
        <v>1142</v>
      </c>
      <c r="X48" s="181">
        <v>13.0</v>
      </c>
      <c r="Y48" s="166">
        <f t="shared" si="6"/>
        <v>13</v>
      </c>
      <c r="Z48" s="26">
        <f t="shared" si="7"/>
        <v>0</v>
      </c>
      <c r="AA48" s="26">
        <f t="shared" si="8"/>
        <v>0</v>
      </c>
      <c r="AB48" s="26">
        <f t="shared" si="9"/>
        <v>0</v>
      </c>
      <c r="AC48" s="155">
        <v>0.0</v>
      </c>
      <c r="AD48" s="155">
        <v>0.0</v>
      </c>
      <c r="AE48" s="155">
        <v>0.0</v>
      </c>
      <c r="AF48" s="155">
        <v>0.0</v>
      </c>
      <c r="AG48" s="155">
        <v>0.0</v>
      </c>
      <c r="AH48" s="155">
        <v>0.0</v>
      </c>
      <c r="BN48" s="155">
        <v>0.0</v>
      </c>
      <c r="BO48" s="155">
        <v>0.0</v>
      </c>
      <c r="BP48" s="155">
        <v>0.0</v>
      </c>
      <c r="BQ48" s="155">
        <v>0.0</v>
      </c>
      <c r="BR48" s="155">
        <v>0.0</v>
      </c>
      <c r="BS48" s="155">
        <v>0.0</v>
      </c>
      <c r="CV48" s="156">
        <v>0.0</v>
      </c>
      <c r="CW48" s="156">
        <v>0.0</v>
      </c>
      <c r="CX48" s="156">
        <v>0.0</v>
      </c>
      <c r="CY48" s="156">
        <v>0.0</v>
      </c>
      <c r="CZ48" s="156">
        <v>0.0</v>
      </c>
      <c r="DA48" s="156">
        <v>0.0</v>
      </c>
      <c r="EG48" s="156">
        <v>0.0</v>
      </c>
      <c r="EH48" s="156">
        <v>0.0</v>
      </c>
      <c r="EI48" s="156">
        <v>0.0</v>
      </c>
      <c r="EJ48" s="156">
        <v>0.0</v>
      </c>
      <c r="EK48" s="156">
        <v>0.0</v>
      </c>
      <c r="EL48" s="156">
        <v>0.0</v>
      </c>
      <c r="FQ48" s="156">
        <v>0.0</v>
      </c>
      <c r="FR48" s="156">
        <v>0.0</v>
      </c>
      <c r="FS48" s="156">
        <v>0.0</v>
      </c>
      <c r="FT48" s="156">
        <v>0.0</v>
      </c>
      <c r="FU48" s="156">
        <v>0.0</v>
      </c>
      <c r="FV48" s="156">
        <v>0.0</v>
      </c>
      <c r="FW48" s="157"/>
      <c r="FX48" s="157"/>
      <c r="FY48" s="157"/>
      <c r="FZ48" s="157"/>
      <c r="GA48" s="157"/>
      <c r="GB48" s="157"/>
      <c r="GC48" s="157"/>
      <c r="GD48" s="157"/>
      <c r="GE48" s="157"/>
      <c r="GF48" s="157"/>
      <c r="GG48" s="157"/>
      <c r="GH48" s="157"/>
      <c r="GI48" s="157"/>
      <c r="GJ48" s="157"/>
      <c r="GK48" s="157"/>
      <c r="GL48" s="157"/>
      <c r="GM48" s="157"/>
      <c r="GN48" s="157"/>
      <c r="GO48" s="157"/>
      <c r="GP48" s="158"/>
      <c r="GQ48" s="157"/>
      <c r="GR48" s="157"/>
      <c r="GS48" s="157"/>
      <c r="GT48" s="157"/>
      <c r="GU48" s="157"/>
      <c r="GV48" s="157"/>
      <c r="GW48" s="157"/>
      <c r="GX48" s="157"/>
      <c r="GY48" s="157"/>
      <c r="GZ48" s="157"/>
      <c r="HA48" s="157"/>
      <c r="HB48" s="155">
        <v>0.0</v>
      </c>
      <c r="HC48" s="155">
        <v>0.0</v>
      </c>
      <c r="HD48" s="155">
        <v>0.0</v>
      </c>
      <c r="HE48" s="155">
        <v>0.0</v>
      </c>
      <c r="HF48" s="155">
        <v>0.0</v>
      </c>
      <c r="HG48" s="155">
        <v>0.0</v>
      </c>
      <c r="IL48" s="159">
        <v>0.0</v>
      </c>
      <c r="IM48" s="156">
        <v>0.0</v>
      </c>
      <c r="IN48" s="156">
        <v>0.0</v>
      </c>
      <c r="IO48" s="156">
        <v>0.0</v>
      </c>
      <c r="IP48" s="156">
        <v>0.0</v>
      </c>
      <c r="IQ48" s="160">
        <v>0.0</v>
      </c>
      <c r="JH48" s="25"/>
      <c r="JW48" s="159">
        <v>0.0</v>
      </c>
      <c r="JX48" s="156">
        <v>0.0</v>
      </c>
      <c r="JY48" s="156">
        <v>0.0</v>
      </c>
      <c r="JZ48" s="156">
        <v>0.0</v>
      </c>
      <c r="KA48" s="156">
        <v>0.0</v>
      </c>
      <c r="KB48" s="160">
        <v>0.0</v>
      </c>
      <c r="LH48" s="159">
        <f t="shared" si="10"/>
        <v>0</v>
      </c>
      <c r="LI48" s="156">
        <f t="shared" si="11"/>
        <v>0</v>
      </c>
      <c r="LJ48" s="156">
        <f t="shared" si="12"/>
        <v>0</v>
      </c>
      <c r="LK48" s="156">
        <f t="shared" si="13"/>
        <v>0</v>
      </c>
      <c r="LL48" s="156">
        <f t="shared" si="14"/>
        <v>0</v>
      </c>
      <c r="LM48" s="160">
        <f t="shared" si="15"/>
        <v>0</v>
      </c>
      <c r="QX48" s="163">
        <v>45801.0</v>
      </c>
    </row>
    <row r="49">
      <c r="A49" s="12"/>
      <c r="B49" s="12"/>
      <c r="C49" s="12"/>
      <c r="D49" s="12"/>
      <c r="E49" s="12"/>
      <c r="F49" s="12"/>
      <c r="G49" s="12"/>
      <c r="H49" s="12"/>
      <c r="I49" s="143">
        <f t="shared" si="5"/>
        <v>-30</v>
      </c>
      <c r="J49" s="144">
        <v>45798.0</v>
      </c>
      <c r="K49" s="173" t="s">
        <v>61</v>
      </c>
      <c r="L49" s="144">
        <v>45884.0</v>
      </c>
      <c r="M49" s="147" t="s">
        <v>107</v>
      </c>
      <c r="N49" s="148">
        <v>246.0</v>
      </c>
      <c r="O49" s="148">
        <v>30.0</v>
      </c>
      <c r="P49" s="26"/>
      <c r="Q49" s="26"/>
      <c r="R49" s="26"/>
      <c r="S49" s="26"/>
      <c r="T49" s="26"/>
      <c r="U49" s="147" t="s">
        <v>1147</v>
      </c>
      <c r="V49" s="197"/>
      <c r="W49" s="198" t="s">
        <v>1148</v>
      </c>
      <c r="X49" s="181">
        <v>30.0</v>
      </c>
      <c r="Y49" s="166">
        <f t="shared" si="6"/>
        <v>30</v>
      </c>
      <c r="Z49" s="26">
        <f t="shared" si="7"/>
        <v>0</v>
      </c>
      <c r="AA49" s="26">
        <f t="shared" si="8"/>
        <v>0</v>
      </c>
      <c r="AB49" s="26">
        <f t="shared" si="9"/>
        <v>0</v>
      </c>
      <c r="AC49" s="155">
        <v>0.0</v>
      </c>
      <c r="AD49" s="155">
        <v>0.0</v>
      </c>
      <c r="AE49" s="155">
        <v>0.0</v>
      </c>
      <c r="AF49" s="155">
        <v>0.0</v>
      </c>
      <c r="AG49" s="155">
        <v>0.0</v>
      </c>
      <c r="AH49" s="155">
        <v>0.0</v>
      </c>
      <c r="BN49" s="155">
        <v>0.0</v>
      </c>
      <c r="BO49" s="155">
        <v>0.0</v>
      </c>
      <c r="BP49" s="155">
        <v>0.0</v>
      </c>
      <c r="BQ49" s="155">
        <v>0.0</v>
      </c>
      <c r="BR49" s="155">
        <v>0.0</v>
      </c>
      <c r="BS49" s="155">
        <v>0.0</v>
      </c>
      <c r="CV49" s="156">
        <v>0.0</v>
      </c>
      <c r="CW49" s="156">
        <v>0.0</v>
      </c>
      <c r="CX49" s="156">
        <v>0.0</v>
      </c>
      <c r="CY49" s="156">
        <v>0.0</v>
      </c>
      <c r="CZ49" s="156">
        <v>0.0</v>
      </c>
      <c r="DA49" s="156">
        <v>0.0</v>
      </c>
      <c r="EG49" s="156">
        <v>0.0</v>
      </c>
      <c r="EH49" s="156">
        <v>0.0</v>
      </c>
      <c r="EI49" s="156">
        <v>0.0</v>
      </c>
      <c r="EJ49" s="156">
        <v>0.0</v>
      </c>
      <c r="EK49" s="156">
        <v>0.0</v>
      </c>
      <c r="EL49" s="156">
        <v>0.0</v>
      </c>
      <c r="FQ49" s="156">
        <v>0.0</v>
      </c>
      <c r="FR49" s="156">
        <v>0.0</v>
      </c>
      <c r="FS49" s="156">
        <v>0.0</v>
      </c>
      <c r="FT49" s="156">
        <v>0.0</v>
      </c>
      <c r="FU49" s="156">
        <v>0.0</v>
      </c>
      <c r="FV49" s="156">
        <v>0.0</v>
      </c>
      <c r="FW49" s="157"/>
      <c r="FX49" s="157"/>
      <c r="FY49" s="157"/>
      <c r="FZ49" s="157"/>
      <c r="GA49" s="157"/>
      <c r="GB49" s="157"/>
      <c r="GC49" s="157"/>
      <c r="GD49" s="157"/>
      <c r="GE49" s="157"/>
      <c r="GF49" s="157"/>
      <c r="GG49" s="157"/>
      <c r="GH49" s="157"/>
      <c r="GI49" s="157"/>
      <c r="GJ49" s="157"/>
      <c r="GK49" s="157"/>
      <c r="GL49" s="157"/>
      <c r="GM49" s="157"/>
      <c r="GN49" s="157"/>
      <c r="GO49" s="157"/>
      <c r="GP49" s="158"/>
      <c r="GQ49" s="157"/>
      <c r="GR49" s="157"/>
      <c r="GS49" s="157"/>
      <c r="GT49" s="157"/>
      <c r="GU49" s="157"/>
      <c r="GV49" s="157"/>
      <c r="GW49" s="157"/>
      <c r="GX49" s="157"/>
      <c r="GY49" s="157"/>
      <c r="GZ49" s="157"/>
      <c r="HA49" s="157"/>
      <c r="HB49" s="155">
        <v>0.0</v>
      </c>
      <c r="HC49" s="155">
        <v>0.0</v>
      </c>
      <c r="HD49" s="155">
        <v>0.0</v>
      </c>
      <c r="HE49" s="155">
        <v>0.0</v>
      </c>
      <c r="HF49" s="155">
        <v>0.0</v>
      </c>
      <c r="HG49" s="155">
        <v>0.0</v>
      </c>
      <c r="IL49" s="159">
        <v>0.0</v>
      </c>
      <c r="IM49" s="156">
        <v>0.0</v>
      </c>
      <c r="IN49" s="156">
        <v>0.0</v>
      </c>
      <c r="IO49" s="156">
        <v>0.0</v>
      </c>
      <c r="IP49" s="156">
        <v>0.0</v>
      </c>
      <c r="IQ49" s="160">
        <v>0.0</v>
      </c>
      <c r="JH49" s="25"/>
      <c r="JW49" s="159">
        <v>0.0</v>
      </c>
      <c r="JX49" s="156">
        <v>0.0</v>
      </c>
      <c r="JY49" s="156">
        <v>0.0</v>
      </c>
      <c r="JZ49" s="156">
        <v>0.0</v>
      </c>
      <c r="KA49" s="156">
        <v>0.0</v>
      </c>
      <c r="KB49" s="160">
        <v>0.0</v>
      </c>
      <c r="LH49" s="159">
        <f t="shared" si="10"/>
        <v>0</v>
      </c>
      <c r="LI49" s="156">
        <f t="shared" si="11"/>
        <v>0</v>
      </c>
      <c r="LJ49" s="156">
        <f t="shared" si="12"/>
        <v>0</v>
      </c>
      <c r="LK49" s="156">
        <f t="shared" si="13"/>
        <v>0</v>
      </c>
      <c r="LL49" s="156">
        <f t="shared" si="14"/>
        <v>0</v>
      </c>
      <c r="LM49" s="160">
        <f t="shared" si="15"/>
        <v>0</v>
      </c>
      <c r="QX49" s="163">
        <v>45801.0</v>
      </c>
    </row>
    <row r="50">
      <c r="A50" s="12"/>
      <c r="B50" s="12"/>
      <c r="C50" s="12"/>
      <c r="D50" s="12"/>
      <c r="E50" s="12"/>
      <c r="F50" s="12"/>
      <c r="G50" s="12"/>
      <c r="H50" s="12"/>
      <c r="I50" s="143">
        <f t="shared" si="5"/>
        <v>-30</v>
      </c>
      <c r="J50" s="144">
        <v>45801.0</v>
      </c>
      <c r="K50" s="173" t="s">
        <v>61</v>
      </c>
      <c r="L50" s="144">
        <v>45889.0</v>
      </c>
      <c r="M50" s="147" t="s">
        <v>1157</v>
      </c>
      <c r="N50" s="148">
        <v>246.0</v>
      </c>
      <c r="O50" s="148">
        <v>30.0</v>
      </c>
      <c r="P50" s="26"/>
      <c r="Q50" s="26"/>
      <c r="R50" s="26"/>
      <c r="S50" s="26"/>
      <c r="T50" s="26"/>
      <c r="U50" s="147" t="s">
        <v>1147</v>
      </c>
      <c r="V50" s="197"/>
      <c r="W50" s="198" t="s">
        <v>1158</v>
      </c>
      <c r="X50" s="181">
        <v>30.0</v>
      </c>
      <c r="Y50" s="166">
        <f t="shared" si="6"/>
        <v>30</v>
      </c>
      <c r="Z50" s="26">
        <f t="shared" si="7"/>
        <v>0</v>
      </c>
      <c r="AA50" s="26">
        <f t="shared" si="8"/>
        <v>0</v>
      </c>
      <c r="AB50" s="26">
        <f t="shared" si="9"/>
        <v>0</v>
      </c>
      <c r="AC50" s="155">
        <v>0.0</v>
      </c>
      <c r="AD50" s="155">
        <v>0.0</v>
      </c>
      <c r="AE50" s="155">
        <v>0.0</v>
      </c>
      <c r="AF50" s="155">
        <v>0.0</v>
      </c>
      <c r="AG50" s="155">
        <v>0.0</v>
      </c>
      <c r="AH50" s="155">
        <v>0.0</v>
      </c>
      <c r="BN50" s="155">
        <v>0.0</v>
      </c>
      <c r="BO50" s="155">
        <v>0.0</v>
      </c>
      <c r="BP50" s="155">
        <v>0.0</v>
      </c>
      <c r="BQ50" s="155">
        <v>0.0</v>
      </c>
      <c r="BR50" s="155">
        <v>0.0</v>
      </c>
      <c r="BS50" s="155">
        <v>0.0</v>
      </c>
      <c r="CV50" s="156">
        <v>0.0</v>
      </c>
      <c r="CW50" s="156">
        <v>0.0</v>
      </c>
      <c r="CX50" s="156">
        <v>0.0</v>
      </c>
      <c r="CY50" s="156">
        <v>0.0</v>
      </c>
      <c r="CZ50" s="156">
        <v>0.0</v>
      </c>
      <c r="DA50" s="156">
        <v>0.0</v>
      </c>
      <c r="EG50" s="156">
        <v>0.0</v>
      </c>
      <c r="EH50" s="156">
        <v>0.0</v>
      </c>
      <c r="EI50" s="156">
        <v>0.0</v>
      </c>
      <c r="EJ50" s="156">
        <v>0.0</v>
      </c>
      <c r="EK50" s="156">
        <v>0.0</v>
      </c>
      <c r="EL50" s="156">
        <v>0.0</v>
      </c>
      <c r="FQ50" s="156">
        <v>0.0</v>
      </c>
      <c r="FR50" s="156">
        <v>0.0</v>
      </c>
      <c r="FS50" s="156">
        <v>0.0</v>
      </c>
      <c r="FT50" s="156">
        <v>0.0</v>
      </c>
      <c r="FU50" s="156">
        <v>0.0</v>
      </c>
      <c r="FV50" s="156">
        <v>0.0</v>
      </c>
      <c r="FW50" s="157"/>
      <c r="FX50" s="157"/>
      <c r="FY50" s="157"/>
      <c r="FZ50" s="157"/>
      <c r="GA50" s="157"/>
      <c r="GB50" s="157"/>
      <c r="GC50" s="157"/>
      <c r="GD50" s="157"/>
      <c r="GE50" s="157"/>
      <c r="GF50" s="157"/>
      <c r="GG50" s="157"/>
      <c r="GH50" s="157"/>
      <c r="GI50" s="157"/>
      <c r="GJ50" s="157"/>
      <c r="GK50" s="157"/>
      <c r="GL50" s="157"/>
      <c r="GM50" s="157"/>
      <c r="GN50" s="157"/>
      <c r="GO50" s="157"/>
      <c r="GP50" s="158"/>
      <c r="GQ50" s="157"/>
      <c r="GR50" s="157"/>
      <c r="GS50" s="157"/>
      <c r="GT50" s="157"/>
      <c r="GU50" s="157"/>
      <c r="GV50" s="157"/>
      <c r="GW50" s="157"/>
      <c r="GX50" s="157"/>
      <c r="GY50" s="157"/>
      <c r="GZ50" s="157"/>
      <c r="HA50" s="157"/>
      <c r="HB50" s="155">
        <v>0.0</v>
      </c>
      <c r="HC50" s="155">
        <v>0.0</v>
      </c>
      <c r="HD50" s="155">
        <v>0.0</v>
      </c>
      <c r="HE50" s="155">
        <v>0.0</v>
      </c>
      <c r="HF50" s="155">
        <v>0.0</v>
      </c>
      <c r="HG50" s="155">
        <v>0.0</v>
      </c>
      <c r="IL50" s="159">
        <v>0.0</v>
      </c>
      <c r="IM50" s="156">
        <v>0.0</v>
      </c>
      <c r="IN50" s="156">
        <v>0.0</v>
      </c>
      <c r="IO50" s="156">
        <v>0.0</v>
      </c>
      <c r="IP50" s="156">
        <v>0.0</v>
      </c>
      <c r="IQ50" s="160">
        <v>0.0</v>
      </c>
      <c r="JH50" s="25"/>
      <c r="JW50" s="159">
        <v>0.0</v>
      </c>
      <c r="JX50" s="156">
        <v>0.0</v>
      </c>
      <c r="JY50" s="156">
        <v>0.0</v>
      </c>
      <c r="JZ50" s="156">
        <v>0.0</v>
      </c>
      <c r="KA50" s="156">
        <v>0.0</v>
      </c>
      <c r="KB50" s="160">
        <v>0.0</v>
      </c>
      <c r="LH50" s="159">
        <f t="shared" si="10"/>
        <v>0</v>
      </c>
      <c r="LI50" s="156">
        <f t="shared" si="11"/>
        <v>0</v>
      </c>
      <c r="LJ50" s="156">
        <f t="shared" si="12"/>
        <v>0</v>
      </c>
      <c r="LK50" s="156">
        <f t="shared" si="13"/>
        <v>0</v>
      </c>
      <c r="LL50" s="156">
        <f t="shared" si="14"/>
        <v>0</v>
      </c>
      <c r="LM50" s="160">
        <f t="shared" si="15"/>
        <v>0</v>
      </c>
      <c r="QX50" s="163">
        <v>45803.0</v>
      </c>
    </row>
    <row r="51">
      <c r="A51" s="12"/>
      <c r="B51" s="12"/>
      <c r="C51" s="12"/>
      <c r="D51" s="12"/>
      <c r="E51" s="12"/>
      <c r="F51" s="12"/>
      <c r="G51" s="12"/>
      <c r="H51" s="12"/>
      <c r="I51" s="143">
        <f t="shared" si="5"/>
        <v>-30</v>
      </c>
      <c r="J51" s="144">
        <v>45801.0</v>
      </c>
      <c r="K51" s="173" t="s">
        <v>61</v>
      </c>
      <c r="L51" s="144">
        <v>45884.0</v>
      </c>
      <c r="M51" s="147" t="s">
        <v>228</v>
      </c>
      <c r="N51" s="148">
        <v>357.0</v>
      </c>
      <c r="O51" s="148">
        <v>30.0</v>
      </c>
      <c r="P51" s="26"/>
      <c r="Q51" s="26"/>
      <c r="R51" s="26"/>
      <c r="S51" s="26"/>
      <c r="T51" s="26"/>
      <c r="U51" s="147" t="s">
        <v>745</v>
      </c>
      <c r="V51" s="197"/>
      <c r="W51" s="198" t="s">
        <v>1166</v>
      </c>
      <c r="X51" s="181">
        <v>30.0</v>
      </c>
      <c r="Y51" s="166">
        <f t="shared" si="6"/>
        <v>30</v>
      </c>
      <c r="Z51" s="26">
        <f t="shared" si="7"/>
        <v>0</v>
      </c>
      <c r="AA51" s="26">
        <f t="shared" si="8"/>
        <v>0</v>
      </c>
      <c r="AB51" s="26">
        <f t="shared" si="9"/>
        <v>0</v>
      </c>
      <c r="AC51" s="155">
        <v>0.0</v>
      </c>
      <c r="AD51" s="155">
        <v>0.0</v>
      </c>
      <c r="AE51" s="155">
        <v>0.0</v>
      </c>
      <c r="AF51" s="155">
        <v>0.0</v>
      </c>
      <c r="AG51" s="155">
        <v>0.0</v>
      </c>
      <c r="AH51" s="155">
        <v>0.0</v>
      </c>
      <c r="BN51" s="155">
        <v>0.0</v>
      </c>
      <c r="BO51" s="155">
        <v>0.0</v>
      </c>
      <c r="BP51" s="155">
        <v>0.0</v>
      </c>
      <c r="BQ51" s="155">
        <v>0.0</v>
      </c>
      <c r="BR51" s="155">
        <v>0.0</v>
      </c>
      <c r="BS51" s="155">
        <v>0.0</v>
      </c>
      <c r="CV51" s="156">
        <v>0.0</v>
      </c>
      <c r="CW51" s="156">
        <v>0.0</v>
      </c>
      <c r="CX51" s="156">
        <v>0.0</v>
      </c>
      <c r="CY51" s="156">
        <v>0.0</v>
      </c>
      <c r="CZ51" s="156">
        <v>0.0</v>
      </c>
      <c r="DA51" s="156">
        <v>0.0</v>
      </c>
      <c r="EG51" s="156">
        <v>0.0</v>
      </c>
      <c r="EH51" s="156">
        <v>0.0</v>
      </c>
      <c r="EI51" s="156">
        <v>0.0</v>
      </c>
      <c r="EJ51" s="156">
        <v>0.0</v>
      </c>
      <c r="EK51" s="156">
        <v>0.0</v>
      </c>
      <c r="EL51" s="156">
        <v>0.0</v>
      </c>
      <c r="FQ51" s="156">
        <v>0.0</v>
      </c>
      <c r="FR51" s="156">
        <v>0.0</v>
      </c>
      <c r="FS51" s="156">
        <v>0.0</v>
      </c>
      <c r="FT51" s="156">
        <v>0.0</v>
      </c>
      <c r="FU51" s="156">
        <v>0.0</v>
      </c>
      <c r="FV51" s="156">
        <v>0.0</v>
      </c>
      <c r="FW51" s="157"/>
      <c r="FX51" s="157"/>
      <c r="FY51" s="157"/>
      <c r="FZ51" s="157"/>
      <c r="GA51" s="157"/>
      <c r="GB51" s="157"/>
      <c r="GC51" s="157"/>
      <c r="GD51" s="157"/>
      <c r="GE51" s="157"/>
      <c r="GF51" s="157"/>
      <c r="GG51" s="157"/>
      <c r="GH51" s="157"/>
      <c r="GI51" s="157"/>
      <c r="GJ51" s="157"/>
      <c r="GK51" s="157"/>
      <c r="GL51" s="157"/>
      <c r="GM51" s="157"/>
      <c r="GN51" s="157"/>
      <c r="GO51" s="157"/>
      <c r="GP51" s="158"/>
      <c r="GQ51" s="157"/>
      <c r="GR51" s="157"/>
      <c r="GS51" s="157"/>
      <c r="GT51" s="157"/>
      <c r="GU51" s="157"/>
      <c r="GV51" s="157"/>
      <c r="GW51" s="157"/>
      <c r="GX51" s="157"/>
      <c r="GY51" s="157"/>
      <c r="GZ51" s="157"/>
      <c r="HA51" s="157"/>
      <c r="HB51" s="155">
        <v>0.0</v>
      </c>
      <c r="HC51" s="155">
        <v>0.0</v>
      </c>
      <c r="HD51" s="155">
        <v>0.0</v>
      </c>
      <c r="HE51" s="155">
        <v>0.0</v>
      </c>
      <c r="HF51" s="155">
        <v>0.0</v>
      </c>
      <c r="HG51" s="155">
        <v>0.0</v>
      </c>
      <c r="IL51" s="159">
        <v>0.0</v>
      </c>
      <c r="IM51" s="156">
        <v>0.0</v>
      </c>
      <c r="IN51" s="156">
        <v>0.0</v>
      </c>
      <c r="IO51" s="156">
        <v>0.0</v>
      </c>
      <c r="IP51" s="156">
        <v>0.0</v>
      </c>
      <c r="IQ51" s="160">
        <v>0.0</v>
      </c>
      <c r="JH51" s="25"/>
      <c r="JW51" s="159">
        <v>0.0</v>
      </c>
      <c r="JX51" s="156">
        <v>0.0</v>
      </c>
      <c r="JY51" s="156">
        <v>0.0</v>
      </c>
      <c r="JZ51" s="156">
        <v>0.0</v>
      </c>
      <c r="KA51" s="156">
        <v>0.0</v>
      </c>
      <c r="KB51" s="160">
        <v>0.0</v>
      </c>
      <c r="LH51" s="159">
        <f t="shared" si="10"/>
        <v>0</v>
      </c>
      <c r="LI51" s="156">
        <f t="shared" si="11"/>
        <v>0</v>
      </c>
      <c r="LJ51" s="156">
        <f t="shared" si="12"/>
        <v>0</v>
      </c>
      <c r="LK51" s="156">
        <f t="shared" si="13"/>
        <v>0</v>
      </c>
      <c r="LL51" s="156">
        <f t="shared" si="14"/>
        <v>0</v>
      </c>
      <c r="LM51" s="160">
        <f t="shared" si="15"/>
        <v>0</v>
      </c>
      <c r="QX51" s="163">
        <v>45803.0</v>
      </c>
    </row>
    <row r="52">
      <c r="A52" s="12"/>
      <c r="B52" s="12"/>
      <c r="C52" s="12"/>
      <c r="D52" s="12"/>
      <c r="E52" s="12"/>
      <c r="F52" s="12"/>
      <c r="G52" s="12"/>
      <c r="H52" s="12"/>
      <c r="I52" s="143">
        <f t="shared" si="5"/>
        <v>-30</v>
      </c>
      <c r="J52" s="144">
        <v>45799.0</v>
      </c>
      <c r="K52" s="173" t="s">
        <v>61</v>
      </c>
      <c r="L52" s="144">
        <v>45901.0</v>
      </c>
      <c r="M52" s="147" t="s">
        <v>107</v>
      </c>
      <c r="N52" s="148">
        <v>357.0</v>
      </c>
      <c r="O52" s="148">
        <v>30.0</v>
      </c>
      <c r="P52" s="26"/>
      <c r="Q52" s="26"/>
      <c r="R52" s="26"/>
      <c r="S52" s="26"/>
      <c r="T52" s="26"/>
      <c r="U52" s="147" t="s">
        <v>1172</v>
      </c>
      <c r="V52" s="197"/>
      <c r="W52" s="198" t="s">
        <v>1173</v>
      </c>
      <c r="X52" s="181">
        <v>30.0</v>
      </c>
      <c r="Y52" s="166">
        <f t="shared" si="6"/>
        <v>30</v>
      </c>
      <c r="Z52" s="26">
        <f t="shared" si="7"/>
        <v>0</v>
      </c>
      <c r="AA52" s="26">
        <f t="shared" si="8"/>
        <v>0</v>
      </c>
      <c r="AB52" s="26">
        <f t="shared" si="9"/>
        <v>0</v>
      </c>
      <c r="AC52" s="155">
        <v>0.0</v>
      </c>
      <c r="AD52" s="155">
        <v>0.0</v>
      </c>
      <c r="AE52" s="155">
        <v>0.0</v>
      </c>
      <c r="AF52" s="155">
        <v>0.0</v>
      </c>
      <c r="AG52" s="155">
        <v>0.0</v>
      </c>
      <c r="AH52" s="155">
        <v>0.0</v>
      </c>
      <c r="BN52" s="155">
        <v>0.0</v>
      </c>
      <c r="BO52" s="155">
        <v>0.0</v>
      </c>
      <c r="BP52" s="155">
        <v>0.0</v>
      </c>
      <c r="BQ52" s="155">
        <v>0.0</v>
      </c>
      <c r="BR52" s="155">
        <v>0.0</v>
      </c>
      <c r="BS52" s="155">
        <v>0.0</v>
      </c>
      <c r="CV52" s="156">
        <v>0.0</v>
      </c>
      <c r="CW52" s="156">
        <v>0.0</v>
      </c>
      <c r="CX52" s="156">
        <v>0.0</v>
      </c>
      <c r="CY52" s="156">
        <v>0.0</v>
      </c>
      <c r="CZ52" s="156">
        <v>0.0</v>
      </c>
      <c r="DA52" s="156">
        <v>0.0</v>
      </c>
      <c r="EG52" s="156">
        <v>0.0</v>
      </c>
      <c r="EH52" s="156">
        <v>0.0</v>
      </c>
      <c r="EI52" s="156">
        <v>0.0</v>
      </c>
      <c r="EJ52" s="156">
        <v>0.0</v>
      </c>
      <c r="EK52" s="156">
        <v>0.0</v>
      </c>
      <c r="EL52" s="156">
        <v>0.0</v>
      </c>
      <c r="FQ52" s="156">
        <v>0.0</v>
      </c>
      <c r="FR52" s="156">
        <v>0.0</v>
      </c>
      <c r="FS52" s="156">
        <v>0.0</v>
      </c>
      <c r="FT52" s="156">
        <v>0.0</v>
      </c>
      <c r="FU52" s="156">
        <v>0.0</v>
      </c>
      <c r="FV52" s="156">
        <v>0.0</v>
      </c>
      <c r="FW52" s="157"/>
      <c r="FX52" s="157"/>
      <c r="FY52" s="157"/>
      <c r="FZ52" s="157"/>
      <c r="GA52" s="157"/>
      <c r="GB52" s="157"/>
      <c r="GC52" s="157"/>
      <c r="GD52" s="157"/>
      <c r="GE52" s="157"/>
      <c r="GF52" s="157"/>
      <c r="GG52" s="157"/>
      <c r="GH52" s="157"/>
      <c r="GI52" s="157"/>
      <c r="GJ52" s="157"/>
      <c r="GK52" s="157"/>
      <c r="GL52" s="157"/>
      <c r="GM52" s="157"/>
      <c r="GN52" s="157"/>
      <c r="GO52" s="157"/>
      <c r="GP52" s="158"/>
      <c r="GQ52" s="157"/>
      <c r="GR52" s="157"/>
      <c r="GS52" s="157"/>
      <c r="GT52" s="157"/>
      <c r="GU52" s="157"/>
      <c r="GV52" s="157"/>
      <c r="GW52" s="157"/>
      <c r="GX52" s="157"/>
      <c r="GY52" s="157"/>
      <c r="GZ52" s="157"/>
      <c r="HA52" s="157"/>
      <c r="HB52" s="155">
        <v>0.0</v>
      </c>
      <c r="HC52" s="155">
        <v>0.0</v>
      </c>
      <c r="HD52" s="155">
        <v>0.0</v>
      </c>
      <c r="HE52" s="155">
        <v>0.0</v>
      </c>
      <c r="HF52" s="155">
        <v>0.0</v>
      </c>
      <c r="HG52" s="155">
        <v>0.0</v>
      </c>
      <c r="IL52" s="159">
        <v>0.0</v>
      </c>
      <c r="IM52" s="156">
        <v>0.0</v>
      </c>
      <c r="IN52" s="156">
        <v>0.0</v>
      </c>
      <c r="IO52" s="156">
        <v>0.0</v>
      </c>
      <c r="IP52" s="156">
        <v>0.0</v>
      </c>
      <c r="IQ52" s="160">
        <v>0.0</v>
      </c>
      <c r="JH52" s="25"/>
      <c r="JW52" s="159">
        <v>0.0</v>
      </c>
      <c r="JX52" s="156">
        <v>0.0</v>
      </c>
      <c r="JY52" s="156">
        <v>0.0</v>
      </c>
      <c r="JZ52" s="156">
        <v>0.0</v>
      </c>
      <c r="KA52" s="156">
        <v>0.0</v>
      </c>
      <c r="KB52" s="160">
        <v>0.0</v>
      </c>
      <c r="LH52" s="159">
        <f t="shared" si="10"/>
        <v>0</v>
      </c>
      <c r="LI52" s="156">
        <f t="shared" si="11"/>
        <v>0</v>
      </c>
      <c r="LJ52" s="156">
        <f t="shared" si="12"/>
        <v>0</v>
      </c>
      <c r="LK52" s="156">
        <f t="shared" si="13"/>
        <v>0</v>
      </c>
      <c r="LL52" s="156">
        <f t="shared" si="14"/>
        <v>0</v>
      </c>
      <c r="LM52" s="160">
        <f t="shared" si="15"/>
        <v>0</v>
      </c>
      <c r="QX52" s="163">
        <v>45803.0</v>
      </c>
    </row>
    <row r="53">
      <c r="A53" s="12"/>
      <c r="B53" s="12"/>
      <c r="C53" s="12"/>
      <c r="D53" s="12"/>
      <c r="E53" s="12"/>
      <c r="F53" s="12"/>
      <c r="G53" s="12"/>
      <c r="H53" s="12"/>
      <c r="I53" s="143">
        <f t="shared" si="5"/>
        <v>-1</v>
      </c>
      <c r="J53" s="144">
        <v>45800.0</v>
      </c>
      <c r="K53" s="146" t="s">
        <v>61</v>
      </c>
      <c r="L53" s="144">
        <v>45805.0</v>
      </c>
      <c r="M53" s="147" t="s">
        <v>400</v>
      </c>
      <c r="N53" s="148">
        <v>246.0</v>
      </c>
      <c r="O53" s="148">
        <v>30.0</v>
      </c>
      <c r="P53" s="26"/>
      <c r="Q53" s="26"/>
      <c r="R53" s="26"/>
      <c r="S53" s="26"/>
      <c r="T53" s="26"/>
      <c r="U53" s="147" t="s">
        <v>664</v>
      </c>
      <c r="V53" s="197"/>
      <c r="W53" s="198" t="s">
        <v>1181</v>
      </c>
      <c r="X53" s="181">
        <v>1.0</v>
      </c>
      <c r="Y53" s="166">
        <f t="shared" si="6"/>
        <v>1</v>
      </c>
      <c r="Z53" s="26">
        <f t="shared" si="7"/>
        <v>0</v>
      </c>
      <c r="AA53" s="26">
        <f t="shared" si="8"/>
        <v>0</v>
      </c>
      <c r="AB53" s="26">
        <f t="shared" si="9"/>
        <v>0</v>
      </c>
      <c r="AC53" s="155">
        <v>0.0</v>
      </c>
      <c r="AD53" s="155">
        <v>0.0</v>
      </c>
      <c r="AE53" s="155">
        <v>0.0</v>
      </c>
      <c r="AF53" s="155">
        <v>0.0</v>
      </c>
      <c r="AG53" s="155">
        <v>0.0</v>
      </c>
      <c r="AH53" s="155">
        <v>0.0</v>
      </c>
      <c r="BN53" s="155">
        <v>0.0</v>
      </c>
      <c r="BO53" s="155">
        <v>0.0</v>
      </c>
      <c r="BP53" s="155">
        <v>0.0</v>
      </c>
      <c r="BQ53" s="155">
        <v>0.0</v>
      </c>
      <c r="BR53" s="155">
        <v>0.0</v>
      </c>
      <c r="BS53" s="155">
        <v>0.0</v>
      </c>
      <c r="CV53" s="156">
        <v>0.0</v>
      </c>
      <c r="CW53" s="156">
        <v>0.0</v>
      </c>
      <c r="CX53" s="156">
        <v>0.0</v>
      </c>
      <c r="CY53" s="156">
        <v>0.0</v>
      </c>
      <c r="CZ53" s="156">
        <v>0.0</v>
      </c>
      <c r="DA53" s="156">
        <v>0.0</v>
      </c>
      <c r="EG53" s="156">
        <v>0.0</v>
      </c>
      <c r="EH53" s="156">
        <v>0.0</v>
      </c>
      <c r="EI53" s="156">
        <v>0.0</v>
      </c>
      <c r="EJ53" s="156">
        <v>0.0</v>
      </c>
      <c r="EK53" s="156">
        <v>0.0</v>
      </c>
      <c r="EL53" s="156">
        <v>0.0</v>
      </c>
      <c r="FQ53" s="156">
        <v>0.0</v>
      </c>
      <c r="FR53" s="156">
        <v>0.0</v>
      </c>
      <c r="FS53" s="156">
        <v>0.0</v>
      </c>
      <c r="FT53" s="156">
        <v>0.0</v>
      </c>
      <c r="FU53" s="156">
        <v>0.0</v>
      </c>
      <c r="FV53" s="156">
        <v>0.0</v>
      </c>
      <c r="FW53" s="157"/>
      <c r="FX53" s="157"/>
      <c r="FY53" s="157"/>
      <c r="FZ53" s="157"/>
      <c r="GA53" s="157"/>
      <c r="GB53" s="157"/>
      <c r="GC53" s="157"/>
      <c r="GD53" s="157"/>
      <c r="GE53" s="157"/>
      <c r="GF53" s="157"/>
      <c r="GG53" s="157"/>
      <c r="GH53" s="157"/>
      <c r="GI53" s="157"/>
      <c r="GJ53" s="157"/>
      <c r="GK53" s="157"/>
      <c r="GL53" s="157"/>
      <c r="GM53" s="157"/>
      <c r="GN53" s="157"/>
      <c r="GO53" s="157"/>
      <c r="GP53" s="158"/>
      <c r="GQ53" s="157"/>
      <c r="GR53" s="157"/>
      <c r="GS53" s="157"/>
      <c r="GT53" s="157"/>
      <c r="GU53" s="157"/>
      <c r="GV53" s="157"/>
      <c r="GW53" s="157"/>
      <c r="GX53" s="157"/>
      <c r="GY53" s="157"/>
      <c r="GZ53" s="157"/>
      <c r="HA53" s="157"/>
      <c r="HB53" s="155">
        <v>0.0</v>
      </c>
      <c r="HC53" s="155">
        <v>0.0</v>
      </c>
      <c r="HD53" s="155">
        <v>0.0</v>
      </c>
      <c r="HE53" s="155">
        <v>0.0</v>
      </c>
      <c r="HF53" s="155">
        <v>0.0</v>
      </c>
      <c r="HG53" s="155">
        <v>0.0</v>
      </c>
      <c r="IL53" s="159">
        <v>0.0</v>
      </c>
      <c r="IM53" s="156">
        <v>0.0</v>
      </c>
      <c r="IN53" s="156">
        <v>0.0</v>
      </c>
      <c r="IO53" s="156">
        <v>0.0</v>
      </c>
      <c r="IP53" s="156">
        <v>0.0</v>
      </c>
      <c r="IQ53" s="160">
        <v>0.0</v>
      </c>
      <c r="JH53" s="25"/>
      <c r="JW53" s="159">
        <v>0.0</v>
      </c>
      <c r="JX53" s="156">
        <v>0.0</v>
      </c>
      <c r="JY53" s="156">
        <v>0.0</v>
      </c>
      <c r="JZ53" s="156">
        <v>0.0</v>
      </c>
      <c r="KA53" s="156">
        <v>0.0</v>
      </c>
      <c r="KB53" s="160">
        <v>0.0</v>
      </c>
      <c r="LH53" s="159">
        <f t="shared" si="10"/>
        <v>0</v>
      </c>
      <c r="LI53" s="156">
        <f t="shared" si="11"/>
        <v>0</v>
      </c>
      <c r="LJ53" s="156">
        <f t="shared" si="12"/>
        <v>0</v>
      </c>
      <c r="LK53" s="156">
        <f t="shared" si="13"/>
        <v>0</v>
      </c>
      <c r="LL53" s="156">
        <f t="shared" si="14"/>
        <v>0</v>
      </c>
      <c r="LM53" s="160">
        <f t="shared" si="15"/>
        <v>0</v>
      </c>
      <c r="QX53" s="163">
        <v>45804.0</v>
      </c>
    </row>
    <row r="54">
      <c r="A54" s="12"/>
      <c r="B54" s="12"/>
      <c r="C54" s="12"/>
      <c r="D54" s="12"/>
      <c r="E54" s="12"/>
      <c r="F54" s="12"/>
      <c r="G54" s="12"/>
      <c r="H54" s="12"/>
      <c r="I54" s="143">
        <f t="shared" si="5"/>
        <v>-20</v>
      </c>
      <c r="J54" s="144">
        <v>45807.0</v>
      </c>
      <c r="K54" s="195" t="s">
        <v>61</v>
      </c>
      <c r="L54" s="144">
        <v>46041.0</v>
      </c>
      <c r="M54" s="147" t="s">
        <v>348</v>
      </c>
      <c r="N54" s="148">
        <v>246.0</v>
      </c>
      <c r="O54" s="148">
        <v>30.0</v>
      </c>
      <c r="P54" s="26"/>
      <c r="Q54" s="26"/>
      <c r="R54" s="26"/>
      <c r="S54" s="26"/>
      <c r="T54" s="26"/>
      <c r="U54" s="147" t="s">
        <v>343</v>
      </c>
      <c r="V54" s="149" t="s">
        <v>344</v>
      </c>
      <c r="W54" s="198" t="s">
        <v>1188</v>
      </c>
      <c r="X54" s="181">
        <v>20.0</v>
      </c>
      <c r="Y54" s="166">
        <f t="shared" si="6"/>
        <v>20</v>
      </c>
      <c r="Z54" s="26">
        <f t="shared" si="7"/>
        <v>0</v>
      </c>
      <c r="AA54" s="26">
        <f t="shared" si="8"/>
        <v>0</v>
      </c>
      <c r="AB54" s="26">
        <f t="shared" si="9"/>
        <v>0</v>
      </c>
      <c r="AC54" s="155">
        <v>0.0</v>
      </c>
      <c r="AD54" s="155">
        <v>0.0</v>
      </c>
      <c r="AE54" s="155">
        <v>0.0</v>
      </c>
      <c r="AF54" s="155">
        <v>0.0</v>
      </c>
      <c r="AG54" s="155">
        <v>0.0</v>
      </c>
      <c r="AH54" s="155">
        <v>0.0</v>
      </c>
      <c r="BN54" s="155">
        <v>0.0</v>
      </c>
      <c r="BO54" s="155">
        <v>0.0</v>
      </c>
      <c r="BP54" s="155">
        <v>0.0</v>
      </c>
      <c r="BQ54" s="155">
        <v>0.0</v>
      </c>
      <c r="BR54" s="155">
        <v>0.0</v>
      </c>
      <c r="BS54" s="155">
        <v>0.0</v>
      </c>
      <c r="CV54" s="156">
        <v>0.0</v>
      </c>
      <c r="CW54" s="156">
        <v>0.0</v>
      </c>
      <c r="CX54" s="156">
        <v>0.0</v>
      </c>
      <c r="CY54" s="156">
        <v>0.0</v>
      </c>
      <c r="CZ54" s="156">
        <v>0.0</v>
      </c>
      <c r="DA54" s="156">
        <v>0.0</v>
      </c>
      <c r="EG54" s="156">
        <v>0.0</v>
      </c>
      <c r="EH54" s="156">
        <v>0.0</v>
      </c>
      <c r="EI54" s="156">
        <v>0.0</v>
      </c>
      <c r="EJ54" s="156">
        <v>0.0</v>
      </c>
      <c r="EK54" s="156">
        <v>0.0</v>
      </c>
      <c r="EL54" s="156">
        <v>0.0</v>
      </c>
      <c r="FQ54" s="156">
        <v>0.0</v>
      </c>
      <c r="FR54" s="156">
        <v>0.0</v>
      </c>
      <c r="FS54" s="156">
        <v>0.0</v>
      </c>
      <c r="FT54" s="156">
        <v>0.0</v>
      </c>
      <c r="FU54" s="156">
        <v>0.0</v>
      </c>
      <c r="FV54" s="156">
        <v>0.0</v>
      </c>
      <c r="FW54" s="157"/>
      <c r="FX54" s="157"/>
      <c r="FY54" s="157"/>
      <c r="FZ54" s="157"/>
      <c r="GA54" s="157"/>
      <c r="GB54" s="157"/>
      <c r="GC54" s="157"/>
      <c r="GD54" s="157"/>
      <c r="GE54" s="157"/>
      <c r="GF54" s="157"/>
      <c r="GG54" s="157"/>
      <c r="GH54" s="157"/>
      <c r="GI54" s="157"/>
      <c r="GJ54" s="157"/>
      <c r="GK54" s="157"/>
      <c r="GL54" s="157"/>
      <c r="GM54" s="157"/>
      <c r="GN54" s="157"/>
      <c r="GO54" s="157"/>
      <c r="GP54" s="158"/>
      <c r="GQ54" s="157"/>
      <c r="GR54" s="157"/>
      <c r="GS54" s="157"/>
      <c r="GT54" s="157"/>
      <c r="GU54" s="157"/>
      <c r="GV54" s="157"/>
      <c r="GW54" s="157"/>
      <c r="GX54" s="157"/>
      <c r="GY54" s="157"/>
      <c r="GZ54" s="157"/>
      <c r="HA54" s="157"/>
      <c r="HB54" s="155">
        <v>0.0</v>
      </c>
      <c r="HC54" s="155">
        <v>0.0</v>
      </c>
      <c r="HD54" s="155">
        <v>0.0</v>
      </c>
      <c r="HE54" s="155">
        <v>0.0</v>
      </c>
      <c r="HF54" s="155">
        <v>0.0</v>
      </c>
      <c r="HG54" s="155">
        <v>0.0</v>
      </c>
      <c r="IL54" s="159">
        <v>0.0</v>
      </c>
      <c r="IM54" s="156">
        <v>0.0</v>
      </c>
      <c r="IN54" s="156">
        <v>0.0</v>
      </c>
      <c r="IO54" s="156">
        <v>0.0</v>
      </c>
      <c r="IP54" s="156">
        <v>0.0</v>
      </c>
      <c r="IQ54" s="160">
        <v>0.0</v>
      </c>
      <c r="JH54" s="25"/>
      <c r="JW54" s="159">
        <v>0.0</v>
      </c>
      <c r="JX54" s="156">
        <v>0.0</v>
      </c>
      <c r="JY54" s="156">
        <v>0.0</v>
      </c>
      <c r="JZ54" s="156">
        <v>0.0</v>
      </c>
      <c r="KA54" s="156">
        <v>0.0</v>
      </c>
      <c r="KB54" s="160">
        <v>0.0</v>
      </c>
      <c r="LH54" s="159">
        <f t="shared" si="10"/>
        <v>0</v>
      </c>
      <c r="LI54" s="156">
        <f t="shared" si="11"/>
        <v>0</v>
      </c>
      <c r="LJ54" s="156">
        <f t="shared" si="12"/>
        <v>0</v>
      </c>
      <c r="LK54" s="156">
        <f t="shared" si="13"/>
        <v>0</v>
      </c>
      <c r="LL54" s="156">
        <f t="shared" si="14"/>
        <v>0</v>
      </c>
      <c r="LM54" s="160">
        <f t="shared" si="15"/>
        <v>0</v>
      </c>
      <c r="QX54" s="163">
        <v>45805.0</v>
      </c>
    </row>
    <row r="55">
      <c r="A55" s="12"/>
      <c r="B55" s="12"/>
      <c r="C55" s="12"/>
      <c r="D55" s="12"/>
      <c r="E55" s="12"/>
      <c r="F55" s="12"/>
      <c r="G55" s="12"/>
      <c r="H55" s="12"/>
      <c r="I55" s="143">
        <f t="shared" si="5"/>
        <v>-30</v>
      </c>
      <c r="J55" s="144">
        <v>45813.0</v>
      </c>
      <c r="K55" s="173" t="s">
        <v>61</v>
      </c>
      <c r="L55" s="144">
        <v>45941.0</v>
      </c>
      <c r="M55" s="147" t="s">
        <v>435</v>
      </c>
      <c r="N55" s="148">
        <v>357.0</v>
      </c>
      <c r="O55" s="148">
        <v>30.0</v>
      </c>
      <c r="P55" s="26"/>
      <c r="Q55" s="26"/>
      <c r="R55" s="26"/>
      <c r="S55" s="26"/>
      <c r="T55" s="26"/>
      <c r="U55" s="147" t="s">
        <v>1195</v>
      </c>
      <c r="V55" s="197"/>
      <c r="W55" s="198" t="s">
        <v>1196</v>
      </c>
      <c r="X55" s="181">
        <v>30.0</v>
      </c>
      <c r="Y55" s="166">
        <f t="shared" si="6"/>
        <v>30</v>
      </c>
      <c r="Z55" s="26">
        <f t="shared" si="7"/>
        <v>0</v>
      </c>
      <c r="AA55" s="26">
        <f t="shared" si="8"/>
        <v>0</v>
      </c>
      <c r="AB55" s="26">
        <f t="shared" si="9"/>
        <v>0</v>
      </c>
      <c r="AC55" s="155">
        <v>0.0</v>
      </c>
      <c r="AD55" s="155">
        <v>0.0</v>
      </c>
      <c r="AE55" s="155">
        <v>0.0</v>
      </c>
      <c r="AF55" s="155">
        <v>0.0</v>
      </c>
      <c r="AG55" s="155">
        <v>0.0</v>
      </c>
      <c r="AH55" s="155">
        <v>0.0</v>
      </c>
      <c r="BN55" s="155">
        <v>0.0</v>
      </c>
      <c r="BO55" s="155">
        <v>0.0</v>
      </c>
      <c r="BP55" s="155">
        <v>0.0</v>
      </c>
      <c r="BQ55" s="155">
        <v>0.0</v>
      </c>
      <c r="BR55" s="155">
        <v>0.0</v>
      </c>
      <c r="BS55" s="155">
        <v>0.0</v>
      </c>
      <c r="CV55" s="156">
        <v>0.0</v>
      </c>
      <c r="CW55" s="156">
        <v>0.0</v>
      </c>
      <c r="CX55" s="156">
        <v>0.0</v>
      </c>
      <c r="CY55" s="156">
        <v>0.0</v>
      </c>
      <c r="CZ55" s="156">
        <v>0.0</v>
      </c>
      <c r="DA55" s="156">
        <v>0.0</v>
      </c>
      <c r="EG55" s="156">
        <v>0.0</v>
      </c>
      <c r="EH55" s="156">
        <v>0.0</v>
      </c>
      <c r="EI55" s="156">
        <v>0.0</v>
      </c>
      <c r="EJ55" s="156">
        <v>0.0</v>
      </c>
      <c r="EK55" s="156">
        <v>0.0</v>
      </c>
      <c r="EL55" s="156">
        <v>0.0</v>
      </c>
      <c r="FQ55" s="156">
        <v>0.0</v>
      </c>
      <c r="FR55" s="156">
        <v>0.0</v>
      </c>
      <c r="FS55" s="156">
        <v>0.0</v>
      </c>
      <c r="FT55" s="156">
        <v>0.0</v>
      </c>
      <c r="FU55" s="156">
        <v>0.0</v>
      </c>
      <c r="FV55" s="156">
        <v>0.0</v>
      </c>
      <c r="FW55" s="157"/>
      <c r="FX55" s="157"/>
      <c r="FY55" s="157"/>
      <c r="FZ55" s="157"/>
      <c r="GA55" s="157"/>
      <c r="GB55" s="157"/>
      <c r="GC55" s="157"/>
      <c r="GD55" s="157"/>
      <c r="GE55" s="157"/>
      <c r="GF55" s="157"/>
      <c r="GG55" s="157"/>
      <c r="GH55" s="157"/>
      <c r="GI55" s="157"/>
      <c r="GJ55" s="157"/>
      <c r="GK55" s="157"/>
      <c r="GL55" s="157"/>
      <c r="GM55" s="157"/>
      <c r="GN55" s="157"/>
      <c r="GO55" s="157"/>
      <c r="GP55" s="158"/>
      <c r="GQ55" s="157"/>
      <c r="GR55" s="157"/>
      <c r="GS55" s="157"/>
      <c r="GT55" s="157"/>
      <c r="GU55" s="157"/>
      <c r="GV55" s="157"/>
      <c r="GW55" s="157"/>
      <c r="GX55" s="157"/>
      <c r="GY55" s="157"/>
      <c r="GZ55" s="157"/>
      <c r="HA55" s="157"/>
      <c r="HB55" s="155">
        <v>0.0</v>
      </c>
      <c r="HC55" s="155">
        <v>0.0</v>
      </c>
      <c r="HD55" s="155">
        <v>0.0</v>
      </c>
      <c r="HE55" s="155">
        <v>0.0</v>
      </c>
      <c r="HF55" s="155">
        <v>0.0</v>
      </c>
      <c r="HG55" s="155">
        <v>0.0</v>
      </c>
      <c r="IL55" s="159">
        <v>0.0</v>
      </c>
      <c r="IM55" s="156">
        <v>0.0</v>
      </c>
      <c r="IN55" s="156">
        <v>0.0</v>
      </c>
      <c r="IO55" s="156">
        <v>0.0</v>
      </c>
      <c r="IP55" s="156">
        <v>0.0</v>
      </c>
      <c r="IQ55" s="160">
        <v>0.0</v>
      </c>
      <c r="JH55" s="25"/>
      <c r="JW55" s="159">
        <v>0.0</v>
      </c>
      <c r="JX55" s="156">
        <v>0.0</v>
      </c>
      <c r="JY55" s="156">
        <v>0.0</v>
      </c>
      <c r="JZ55" s="156">
        <v>0.0</v>
      </c>
      <c r="KA55" s="156">
        <v>0.0</v>
      </c>
      <c r="KB55" s="160">
        <v>0.0</v>
      </c>
      <c r="LH55" s="159">
        <f t="shared" si="10"/>
        <v>0</v>
      </c>
      <c r="LI55" s="156">
        <f t="shared" si="11"/>
        <v>0</v>
      </c>
      <c r="LJ55" s="156">
        <f t="shared" si="12"/>
        <v>0</v>
      </c>
      <c r="LK55" s="156">
        <f t="shared" si="13"/>
        <v>0</v>
      </c>
      <c r="LL55" s="156">
        <f t="shared" si="14"/>
        <v>0</v>
      </c>
      <c r="LM55" s="160">
        <f t="shared" si="15"/>
        <v>0</v>
      </c>
      <c r="QX55" s="163">
        <v>45805.0</v>
      </c>
    </row>
    <row r="56">
      <c r="A56" s="12"/>
      <c r="B56" s="12"/>
      <c r="C56" s="12"/>
      <c r="D56" s="12"/>
      <c r="E56" s="12"/>
      <c r="F56" s="12"/>
      <c r="G56" s="12"/>
      <c r="H56" s="12"/>
      <c r="I56" s="143">
        <f t="shared" si="5"/>
        <v>-29</v>
      </c>
      <c r="J56" s="144">
        <v>45807.0</v>
      </c>
      <c r="K56" s="173" t="s">
        <v>61</v>
      </c>
      <c r="L56" s="144">
        <v>45911.0</v>
      </c>
      <c r="M56" s="147" t="s">
        <v>227</v>
      </c>
      <c r="N56" s="148">
        <v>246.0</v>
      </c>
      <c r="O56" s="148">
        <v>30.0</v>
      </c>
      <c r="P56" s="26"/>
      <c r="Q56" s="26"/>
      <c r="R56" s="26"/>
      <c r="S56" s="26"/>
      <c r="T56" s="26"/>
      <c r="U56" s="147" t="s">
        <v>1199</v>
      </c>
      <c r="V56" s="197"/>
      <c r="W56" s="198" t="s">
        <v>1201</v>
      </c>
      <c r="X56" s="181">
        <v>29.0</v>
      </c>
      <c r="Y56" s="166">
        <f t="shared" si="6"/>
        <v>29</v>
      </c>
      <c r="Z56" s="26">
        <f t="shared" si="7"/>
        <v>0</v>
      </c>
      <c r="AA56" s="26">
        <f t="shared" si="8"/>
        <v>0</v>
      </c>
      <c r="AB56" s="26">
        <f t="shared" si="9"/>
        <v>0</v>
      </c>
      <c r="AC56" s="155">
        <v>0.0</v>
      </c>
      <c r="AD56" s="155">
        <v>0.0</v>
      </c>
      <c r="AE56" s="155">
        <v>0.0</v>
      </c>
      <c r="AF56" s="155">
        <v>0.0</v>
      </c>
      <c r="AG56" s="155">
        <v>0.0</v>
      </c>
      <c r="AH56" s="155">
        <v>0.0</v>
      </c>
      <c r="BN56" s="155">
        <v>0.0</v>
      </c>
      <c r="BO56" s="155">
        <v>0.0</v>
      </c>
      <c r="BP56" s="155">
        <v>0.0</v>
      </c>
      <c r="BQ56" s="155">
        <v>0.0</v>
      </c>
      <c r="BR56" s="155">
        <v>0.0</v>
      </c>
      <c r="BS56" s="155">
        <v>0.0</v>
      </c>
      <c r="CV56" s="156">
        <v>0.0</v>
      </c>
      <c r="CW56" s="156">
        <v>0.0</v>
      </c>
      <c r="CX56" s="156">
        <v>0.0</v>
      </c>
      <c r="CY56" s="156">
        <v>0.0</v>
      </c>
      <c r="CZ56" s="156">
        <v>0.0</v>
      </c>
      <c r="DA56" s="156">
        <v>0.0</v>
      </c>
      <c r="EG56" s="156">
        <v>0.0</v>
      </c>
      <c r="EH56" s="156">
        <v>0.0</v>
      </c>
      <c r="EI56" s="156">
        <v>0.0</v>
      </c>
      <c r="EJ56" s="156">
        <v>0.0</v>
      </c>
      <c r="EK56" s="156">
        <v>0.0</v>
      </c>
      <c r="EL56" s="156">
        <v>0.0</v>
      </c>
      <c r="FQ56" s="156">
        <v>0.0</v>
      </c>
      <c r="FR56" s="156">
        <v>0.0</v>
      </c>
      <c r="FS56" s="156">
        <v>0.0</v>
      </c>
      <c r="FT56" s="156">
        <v>0.0</v>
      </c>
      <c r="FU56" s="156">
        <v>0.0</v>
      </c>
      <c r="FV56" s="156">
        <v>0.0</v>
      </c>
      <c r="FW56" s="157"/>
      <c r="FX56" s="157"/>
      <c r="FY56" s="157"/>
      <c r="FZ56" s="157"/>
      <c r="GA56" s="157"/>
      <c r="GB56" s="157"/>
      <c r="GC56" s="157"/>
      <c r="GD56" s="157"/>
      <c r="GE56" s="157"/>
      <c r="GF56" s="157"/>
      <c r="GG56" s="157"/>
      <c r="GH56" s="157"/>
      <c r="GI56" s="157"/>
      <c r="GJ56" s="157"/>
      <c r="GK56" s="157"/>
      <c r="GL56" s="157"/>
      <c r="GM56" s="157"/>
      <c r="GN56" s="157"/>
      <c r="GO56" s="157"/>
      <c r="GP56" s="158"/>
      <c r="GQ56" s="157"/>
      <c r="GR56" s="157"/>
      <c r="GS56" s="157"/>
      <c r="GT56" s="157"/>
      <c r="GU56" s="157"/>
      <c r="GV56" s="157"/>
      <c r="GW56" s="157"/>
      <c r="GX56" s="157"/>
      <c r="GY56" s="157"/>
      <c r="GZ56" s="157"/>
      <c r="HA56" s="157"/>
      <c r="HB56" s="155">
        <v>0.0</v>
      </c>
      <c r="HC56" s="155">
        <v>0.0</v>
      </c>
      <c r="HD56" s="155">
        <v>0.0</v>
      </c>
      <c r="HE56" s="155">
        <v>0.0</v>
      </c>
      <c r="HF56" s="155">
        <v>0.0</v>
      </c>
      <c r="HG56" s="155">
        <v>0.0</v>
      </c>
      <c r="IL56" s="159">
        <v>0.0</v>
      </c>
      <c r="IM56" s="156">
        <v>0.0</v>
      </c>
      <c r="IN56" s="156">
        <v>0.0</v>
      </c>
      <c r="IO56" s="156">
        <v>0.0</v>
      </c>
      <c r="IP56" s="156">
        <v>0.0</v>
      </c>
      <c r="IQ56" s="160">
        <v>0.0</v>
      </c>
      <c r="JH56" s="25"/>
      <c r="JW56" s="159">
        <v>0.0</v>
      </c>
      <c r="JX56" s="156">
        <v>0.0</v>
      </c>
      <c r="JY56" s="156">
        <v>0.0</v>
      </c>
      <c r="JZ56" s="156">
        <v>0.0</v>
      </c>
      <c r="KA56" s="156">
        <v>0.0</v>
      </c>
      <c r="KB56" s="160">
        <v>0.0</v>
      </c>
      <c r="LH56" s="159">
        <f t="shared" si="10"/>
        <v>0</v>
      </c>
      <c r="LI56" s="156">
        <f t="shared" si="11"/>
        <v>0</v>
      </c>
      <c r="LJ56" s="156">
        <f t="shared" si="12"/>
        <v>0</v>
      </c>
      <c r="LK56" s="156">
        <f t="shared" si="13"/>
        <v>0</v>
      </c>
      <c r="LL56" s="156">
        <f t="shared" si="14"/>
        <v>0</v>
      </c>
      <c r="LM56" s="160">
        <f t="shared" si="15"/>
        <v>0</v>
      </c>
      <c r="QX56" s="163">
        <v>45805.0</v>
      </c>
    </row>
    <row r="57">
      <c r="A57" s="12"/>
      <c r="B57" s="12"/>
      <c r="C57" s="12"/>
      <c r="D57" s="12"/>
      <c r="E57" s="12"/>
      <c r="F57" s="12"/>
      <c r="G57" s="12"/>
      <c r="H57" s="12"/>
      <c r="I57" s="200">
        <f t="shared" si="5"/>
        <v>-16</v>
      </c>
      <c r="J57" s="202">
        <v>45807.0</v>
      </c>
      <c r="K57" s="49" t="s">
        <v>61</v>
      </c>
      <c r="L57" s="144">
        <v>45875.0</v>
      </c>
      <c r="M57" s="204" t="s">
        <v>228</v>
      </c>
      <c r="N57" s="206">
        <v>246.0</v>
      </c>
      <c r="O57" s="206">
        <v>30.0</v>
      </c>
      <c r="P57" s="208"/>
      <c r="Q57" s="208"/>
      <c r="R57" s="208"/>
      <c r="S57" s="208"/>
      <c r="T57" s="208"/>
      <c r="U57" s="204" t="s">
        <v>1207</v>
      </c>
      <c r="V57" s="254" t="s">
        <v>1208</v>
      </c>
      <c r="W57" s="256" t="s">
        <v>1209</v>
      </c>
      <c r="X57" s="212">
        <v>16.0</v>
      </c>
      <c r="Y57" s="166">
        <f t="shared" si="6"/>
        <v>16</v>
      </c>
      <c r="Z57" s="208">
        <f t="shared" si="7"/>
        <v>0</v>
      </c>
      <c r="AA57" s="208">
        <f t="shared" si="8"/>
        <v>0</v>
      </c>
      <c r="AB57" s="208">
        <f t="shared" si="9"/>
        <v>0</v>
      </c>
      <c r="AC57" s="155">
        <v>0.0</v>
      </c>
      <c r="AD57" s="155">
        <v>0.0</v>
      </c>
      <c r="AE57" s="155">
        <v>0.0</v>
      </c>
      <c r="AF57" s="155">
        <v>0.0</v>
      </c>
      <c r="AG57" s="155">
        <v>0.0</v>
      </c>
      <c r="AH57" s="155">
        <v>0.0</v>
      </c>
      <c r="BN57" s="155">
        <v>0.0</v>
      </c>
      <c r="BO57" s="155">
        <v>0.0</v>
      </c>
      <c r="BP57" s="155">
        <v>0.0</v>
      </c>
      <c r="BQ57" s="155">
        <v>0.0</v>
      </c>
      <c r="BR57" s="155">
        <v>0.0</v>
      </c>
      <c r="BS57" s="155">
        <v>0.0</v>
      </c>
      <c r="CV57" s="156">
        <v>0.0</v>
      </c>
      <c r="CW57" s="156">
        <v>0.0</v>
      </c>
      <c r="CX57" s="156">
        <v>0.0</v>
      </c>
      <c r="CY57" s="156">
        <v>0.0</v>
      </c>
      <c r="CZ57" s="156">
        <v>0.0</v>
      </c>
      <c r="DA57" s="156">
        <v>0.0</v>
      </c>
      <c r="EG57" s="156">
        <v>0.0</v>
      </c>
      <c r="EH57" s="156">
        <v>0.0</v>
      </c>
      <c r="EI57" s="156">
        <v>0.0</v>
      </c>
      <c r="EJ57" s="156">
        <v>0.0</v>
      </c>
      <c r="EK57" s="156">
        <v>0.0</v>
      </c>
      <c r="EL57" s="156">
        <v>0.0</v>
      </c>
      <c r="FQ57" s="156">
        <v>0.0</v>
      </c>
      <c r="FR57" s="156">
        <v>0.0</v>
      </c>
      <c r="FS57" s="156">
        <v>0.0</v>
      </c>
      <c r="FT57" s="156">
        <v>0.0</v>
      </c>
      <c r="FU57" s="156">
        <v>0.0</v>
      </c>
      <c r="FV57" s="156">
        <v>0.0</v>
      </c>
      <c r="FW57" s="157"/>
      <c r="FX57" s="157"/>
      <c r="FY57" s="157"/>
      <c r="FZ57" s="157"/>
      <c r="GA57" s="157"/>
      <c r="GB57" s="157"/>
      <c r="GC57" s="157"/>
      <c r="GD57" s="157"/>
      <c r="GE57" s="157"/>
      <c r="GF57" s="157"/>
      <c r="GG57" s="157"/>
      <c r="GH57" s="157"/>
      <c r="GI57" s="157"/>
      <c r="GJ57" s="157"/>
      <c r="GK57" s="157"/>
      <c r="GL57" s="157"/>
      <c r="GM57" s="157"/>
      <c r="GN57" s="157"/>
      <c r="GO57" s="157"/>
      <c r="GP57" s="158"/>
      <c r="GQ57" s="157"/>
      <c r="GR57" s="157"/>
      <c r="GS57" s="157"/>
      <c r="GT57" s="157"/>
      <c r="GU57" s="157"/>
      <c r="GV57" s="157"/>
      <c r="GW57" s="157"/>
      <c r="GX57" s="157"/>
      <c r="GY57" s="157"/>
      <c r="GZ57" s="157"/>
      <c r="HA57" s="157"/>
      <c r="HB57" s="155">
        <v>0.0</v>
      </c>
      <c r="HC57" s="155">
        <v>0.0</v>
      </c>
      <c r="HD57" s="155">
        <v>0.0</v>
      </c>
      <c r="HE57" s="155">
        <v>0.0</v>
      </c>
      <c r="HF57" s="155">
        <v>0.0</v>
      </c>
      <c r="HG57" s="155">
        <v>0.0</v>
      </c>
      <c r="IL57" s="159">
        <v>0.0</v>
      </c>
      <c r="IM57" s="156">
        <v>0.0</v>
      </c>
      <c r="IN57" s="156">
        <v>0.0</v>
      </c>
      <c r="IO57" s="156">
        <v>0.0</v>
      </c>
      <c r="IP57" s="156">
        <v>0.0</v>
      </c>
      <c r="IQ57" s="160">
        <v>0.0</v>
      </c>
      <c r="JH57" s="25"/>
      <c r="JW57" s="159">
        <v>0.0</v>
      </c>
      <c r="JX57" s="156">
        <v>0.0</v>
      </c>
      <c r="JY57" s="156">
        <v>0.0</v>
      </c>
      <c r="JZ57" s="156">
        <v>0.0</v>
      </c>
      <c r="KA57" s="156">
        <v>0.0</v>
      </c>
      <c r="KB57" s="160">
        <v>0.0</v>
      </c>
      <c r="LH57" s="159">
        <f t="shared" si="10"/>
        <v>0</v>
      </c>
      <c r="LI57" s="156">
        <f t="shared" si="11"/>
        <v>0</v>
      </c>
      <c r="LJ57" s="156">
        <f t="shared" si="12"/>
        <v>0</v>
      </c>
      <c r="LK57" s="156">
        <f t="shared" si="13"/>
        <v>0</v>
      </c>
      <c r="LL57" s="156">
        <f t="shared" si="14"/>
        <v>0</v>
      </c>
      <c r="LM57" s="160">
        <f t="shared" si="15"/>
        <v>0</v>
      </c>
      <c r="QX57" s="163">
        <v>45806.0</v>
      </c>
    </row>
    <row r="58">
      <c r="A58" s="12"/>
      <c r="B58" s="12"/>
      <c r="C58" s="12"/>
      <c r="D58" s="12"/>
      <c r="E58" s="12"/>
      <c r="F58" s="12"/>
      <c r="G58" s="12"/>
      <c r="H58" s="12"/>
      <c r="I58" s="143">
        <f t="shared" si="5"/>
        <v>-6</v>
      </c>
      <c r="J58" s="144">
        <v>45806.0</v>
      </c>
      <c r="K58" s="173" t="s">
        <v>61</v>
      </c>
      <c r="L58" s="144">
        <v>45979.0</v>
      </c>
      <c r="M58" s="147" t="s">
        <v>228</v>
      </c>
      <c r="N58" s="148">
        <v>357.0</v>
      </c>
      <c r="O58" s="148">
        <v>30.0</v>
      </c>
      <c r="P58" s="26"/>
      <c r="Q58" s="26"/>
      <c r="R58" s="26"/>
      <c r="S58" s="26"/>
      <c r="T58" s="26"/>
      <c r="U58" s="147" t="s">
        <v>1216</v>
      </c>
      <c r="V58" s="149" t="s">
        <v>1217</v>
      </c>
      <c r="W58" s="198" t="s">
        <v>1218</v>
      </c>
      <c r="X58" s="181">
        <v>6.0</v>
      </c>
      <c r="Y58" s="166">
        <f t="shared" si="6"/>
        <v>6</v>
      </c>
      <c r="Z58" s="26">
        <f t="shared" si="7"/>
        <v>0</v>
      </c>
      <c r="AA58" s="26">
        <f t="shared" si="8"/>
        <v>0</v>
      </c>
      <c r="AB58" s="26">
        <f t="shared" si="9"/>
        <v>0</v>
      </c>
      <c r="AC58" s="155">
        <v>0.0</v>
      </c>
      <c r="AD58" s="155">
        <v>0.0</v>
      </c>
      <c r="AE58" s="155">
        <v>0.0</v>
      </c>
      <c r="AF58" s="155">
        <v>0.0</v>
      </c>
      <c r="AG58" s="155">
        <v>0.0</v>
      </c>
      <c r="AH58" s="155">
        <v>0.0</v>
      </c>
      <c r="BN58" s="155">
        <v>0.0</v>
      </c>
      <c r="BO58" s="155">
        <v>0.0</v>
      </c>
      <c r="BP58" s="155">
        <v>0.0</v>
      </c>
      <c r="BQ58" s="155">
        <v>0.0</v>
      </c>
      <c r="BR58" s="155">
        <v>0.0</v>
      </c>
      <c r="BS58" s="155">
        <v>0.0</v>
      </c>
      <c r="CV58" s="156">
        <v>0.0</v>
      </c>
      <c r="CW58" s="156">
        <v>0.0</v>
      </c>
      <c r="CX58" s="156">
        <v>0.0</v>
      </c>
      <c r="CY58" s="156">
        <v>0.0</v>
      </c>
      <c r="CZ58" s="156">
        <v>0.0</v>
      </c>
      <c r="DA58" s="156">
        <v>0.0</v>
      </c>
      <c r="EG58" s="156">
        <v>0.0</v>
      </c>
      <c r="EH58" s="156">
        <v>0.0</v>
      </c>
      <c r="EI58" s="156">
        <v>0.0</v>
      </c>
      <c r="EJ58" s="156">
        <v>0.0</v>
      </c>
      <c r="EK58" s="156">
        <v>0.0</v>
      </c>
      <c r="EL58" s="156">
        <v>0.0</v>
      </c>
      <c r="FQ58" s="156">
        <v>0.0</v>
      </c>
      <c r="FR58" s="156">
        <v>0.0</v>
      </c>
      <c r="FS58" s="156">
        <v>0.0</v>
      </c>
      <c r="FT58" s="156">
        <v>0.0</v>
      </c>
      <c r="FU58" s="156">
        <v>0.0</v>
      </c>
      <c r="FV58" s="156">
        <v>0.0</v>
      </c>
      <c r="FW58" s="157"/>
      <c r="FX58" s="157"/>
      <c r="FY58" s="157"/>
      <c r="FZ58" s="157"/>
      <c r="GA58" s="157"/>
      <c r="GB58" s="157"/>
      <c r="GC58" s="157"/>
      <c r="GD58" s="157"/>
      <c r="GE58" s="157"/>
      <c r="GF58" s="157"/>
      <c r="GG58" s="157"/>
      <c r="GH58" s="157"/>
      <c r="GI58" s="157"/>
      <c r="GJ58" s="157"/>
      <c r="GK58" s="157"/>
      <c r="GL58" s="157"/>
      <c r="GM58" s="157"/>
      <c r="GN58" s="157"/>
      <c r="GO58" s="157"/>
      <c r="GP58" s="158"/>
      <c r="GQ58" s="157"/>
      <c r="GR58" s="157"/>
      <c r="GS58" s="157"/>
      <c r="GT58" s="157"/>
      <c r="GU58" s="157"/>
      <c r="GV58" s="157"/>
      <c r="GW58" s="157"/>
      <c r="GX58" s="157"/>
      <c r="GY58" s="157"/>
      <c r="GZ58" s="157"/>
      <c r="HA58" s="157"/>
      <c r="HB58" s="155">
        <v>0.0</v>
      </c>
      <c r="HC58" s="155">
        <v>0.0</v>
      </c>
      <c r="HD58" s="155">
        <v>0.0</v>
      </c>
      <c r="HE58" s="155">
        <v>0.0</v>
      </c>
      <c r="HF58" s="155">
        <v>0.0</v>
      </c>
      <c r="HG58" s="155">
        <v>0.0</v>
      </c>
      <c r="IL58" s="159">
        <v>0.0</v>
      </c>
      <c r="IM58" s="156">
        <v>0.0</v>
      </c>
      <c r="IN58" s="156">
        <v>0.0</v>
      </c>
      <c r="IO58" s="156">
        <v>0.0</v>
      </c>
      <c r="IP58" s="156">
        <v>0.0</v>
      </c>
      <c r="IQ58" s="160">
        <v>0.0</v>
      </c>
      <c r="JH58" s="25"/>
      <c r="JW58" s="159">
        <v>0.0</v>
      </c>
      <c r="JX58" s="156">
        <v>0.0</v>
      </c>
      <c r="JY58" s="156">
        <v>0.0</v>
      </c>
      <c r="JZ58" s="156">
        <v>0.0</v>
      </c>
      <c r="KA58" s="156">
        <v>0.0</v>
      </c>
      <c r="KB58" s="160">
        <v>0.0</v>
      </c>
      <c r="LH58" s="159">
        <f t="shared" si="10"/>
        <v>0</v>
      </c>
      <c r="LI58" s="156">
        <f t="shared" si="11"/>
        <v>0</v>
      </c>
      <c r="LJ58" s="156">
        <f t="shared" si="12"/>
        <v>0</v>
      </c>
      <c r="LK58" s="156">
        <f t="shared" si="13"/>
        <v>0</v>
      </c>
      <c r="LL58" s="156">
        <f t="shared" si="14"/>
        <v>0</v>
      </c>
      <c r="LM58" s="160">
        <f t="shared" si="15"/>
        <v>0</v>
      </c>
      <c r="QX58" s="163">
        <v>45807.0</v>
      </c>
    </row>
    <row r="59">
      <c r="A59" s="12"/>
      <c r="B59" s="12"/>
      <c r="C59" s="12"/>
      <c r="D59" s="12"/>
      <c r="E59" s="12"/>
      <c r="F59" s="12"/>
      <c r="G59" s="12"/>
      <c r="H59" s="12"/>
      <c r="I59" s="219">
        <f t="shared" si="5"/>
        <v>-14</v>
      </c>
      <c r="J59" s="144">
        <v>45808.0</v>
      </c>
      <c r="K59" s="173" t="s">
        <v>61</v>
      </c>
      <c r="L59" s="144">
        <v>45839.0</v>
      </c>
      <c r="M59" s="147" t="s">
        <v>400</v>
      </c>
      <c r="N59" s="148">
        <v>357.0</v>
      </c>
      <c r="O59" s="148">
        <v>30.0</v>
      </c>
      <c r="P59" s="26"/>
      <c r="Q59" s="26"/>
      <c r="R59" s="26"/>
      <c r="S59" s="26"/>
      <c r="T59" s="26"/>
      <c r="U59" s="147" t="s">
        <v>1226</v>
      </c>
      <c r="V59" s="197"/>
      <c r="W59" s="198" t="s">
        <v>1227</v>
      </c>
      <c r="X59" s="181">
        <v>14.0</v>
      </c>
      <c r="Y59" s="166">
        <f t="shared" si="6"/>
        <v>14</v>
      </c>
      <c r="Z59" s="26">
        <f t="shared" si="7"/>
        <v>0</v>
      </c>
      <c r="AA59" s="26">
        <f t="shared" si="8"/>
        <v>0</v>
      </c>
      <c r="AB59" s="26">
        <f t="shared" si="9"/>
        <v>0</v>
      </c>
      <c r="AC59" s="155">
        <v>0.0</v>
      </c>
      <c r="AD59" s="155">
        <v>0.0</v>
      </c>
      <c r="AE59" s="155">
        <v>0.0</v>
      </c>
      <c r="AF59" s="155">
        <v>0.0</v>
      </c>
      <c r="AG59" s="155">
        <v>0.0</v>
      </c>
      <c r="AH59" s="155">
        <v>0.0</v>
      </c>
      <c r="BN59" s="155">
        <v>0.0</v>
      </c>
      <c r="BO59" s="155">
        <v>0.0</v>
      </c>
      <c r="BP59" s="155">
        <v>0.0</v>
      </c>
      <c r="BQ59" s="155">
        <v>0.0</v>
      </c>
      <c r="BR59" s="155">
        <v>0.0</v>
      </c>
      <c r="BS59" s="155">
        <v>0.0</v>
      </c>
      <c r="CV59" s="156">
        <v>0.0</v>
      </c>
      <c r="CW59" s="156">
        <v>0.0</v>
      </c>
      <c r="CX59" s="156">
        <v>0.0</v>
      </c>
      <c r="CY59" s="156">
        <v>0.0</v>
      </c>
      <c r="CZ59" s="156">
        <v>0.0</v>
      </c>
      <c r="DA59" s="156">
        <v>0.0</v>
      </c>
      <c r="EG59" s="156">
        <v>0.0</v>
      </c>
      <c r="EH59" s="156">
        <v>0.0</v>
      </c>
      <c r="EI59" s="156">
        <v>0.0</v>
      </c>
      <c r="EJ59" s="156">
        <v>0.0</v>
      </c>
      <c r="EK59" s="156">
        <v>0.0</v>
      </c>
      <c r="EL59" s="156">
        <v>0.0</v>
      </c>
      <c r="FQ59" s="156">
        <v>0.0</v>
      </c>
      <c r="FR59" s="156">
        <v>0.0</v>
      </c>
      <c r="FS59" s="156">
        <v>0.0</v>
      </c>
      <c r="FT59" s="156">
        <v>0.0</v>
      </c>
      <c r="FU59" s="156">
        <v>0.0</v>
      </c>
      <c r="FV59" s="156">
        <v>0.0</v>
      </c>
      <c r="FW59" s="157"/>
      <c r="FX59" s="157"/>
      <c r="FY59" s="157"/>
      <c r="FZ59" s="157"/>
      <c r="GA59" s="157"/>
      <c r="GB59" s="157"/>
      <c r="GC59" s="157"/>
      <c r="GD59" s="157"/>
      <c r="GE59" s="157"/>
      <c r="GF59" s="157"/>
      <c r="GG59" s="157"/>
      <c r="GH59" s="157"/>
      <c r="GI59" s="157"/>
      <c r="GJ59" s="157"/>
      <c r="GK59" s="157"/>
      <c r="GL59" s="157"/>
      <c r="GM59" s="157"/>
      <c r="GN59" s="157"/>
      <c r="GO59" s="157"/>
      <c r="GP59" s="158"/>
      <c r="GQ59" s="157"/>
      <c r="GR59" s="157"/>
      <c r="GS59" s="157"/>
      <c r="GT59" s="157"/>
      <c r="GU59" s="157"/>
      <c r="GV59" s="157"/>
      <c r="GW59" s="157"/>
      <c r="GX59" s="157"/>
      <c r="GY59" s="157"/>
      <c r="GZ59" s="157"/>
      <c r="HA59" s="157"/>
      <c r="HB59" s="155">
        <v>0.0</v>
      </c>
      <c r="HC59" s="155">
        <v>0.0</v>
      </c>
      <c r="HD59" s="155">
        <v>0.0</v>
      </c>
      <c r="HE59" s="155">
        <v>0.0</v>
      </c>
      <c r="HF59" s="155">
        <v>0.0</v>
      </c>
      <c r="HG59" s="155">
        <v>0.0</v>
      </c>
      <c r="IL59" s="159">
        <v>0.0</v>
      </c>
      <c r="IM59" s="156">
        <v>0.0</v>
      </c>
      <c r="IN59" s="156">
        <v>0.0</v>
      </c>
      <c r="IO59" s="156">
        <v>0.0</v>
      </c>
      <c r="IP59" s="156">
        <v>0.0</v>
      </c>
      <c r="IQ59" s="160">
        <v>0.0</v>
      </c>
      <c r="JH59" s="25"/>
      <c r="JW59" s="159">
        <v>0.0</v>
      </c>
      <c r="JX59" s="156">
        <v>0.0</v>
      </c>
      <c r="JY59" s="156">
        <v>0.0</v>
      </c>
      <c r="JZ59" s="156">
        <v>0.0</v>
      </c>
      <c r="KA59" s="156">
        <v>0.0</v>
      </c>
      <c r="KB59" s="160">
        <v>0.0</v>
      </c>
      <c r="LH59" s="159">
        <f t="shared" si="10"/>
        <v>0</v>
      </c>
      <c r="LI59" s="156">
        <f t="shared" si="11"/>
        <v>0</v>
      </c>
      <c r="LJ59" s="156">
        <f t="shared" si="12"/>
        <v>0</v>
      </c>
      <c r="LK59" s="156">
        <f t="shared" si="13"/>
        <v>0</v>
      </c>
      <c r="LL59" s="156">
        <f t="shared" si="14"/>
        <v>0</v>
      </c>
      <c r="LM59" s="160">
        <f t="shared" si="15"/>
        <v>0</v>
      </c>
      <c r="QX59" s="163">
        <v>45808.0</v>
      </c>
    </row>
    <row r="60">
      <c r="A60" s="12"/>
      <c r="B60" s="12"/>
      <c r="C60" s="12"/>
      <c r="D60" s="12"/>
      <c r="E60" s="12"/>
      <c r="F60" s="12"/>
      <c r="G60" s="12"/>
      <c r="H60" s="12"/>
      <c r="I60" s="143">
        <f t="shared" si="5"/>
        <v>-13</v>
      </c>
      <c r="J60" s="144">
        <v>45807.0</v>
      </c>
      <c r="K60" s="173" t="s">
        <v>61</v>
      </c>
      <c r="L60" s="144">
        <v>45846.0</v>
      </c>
      <c r="M60" s="147" t="s">
        <v>400</v>
      </c>
      <c r="N60" s="148">
        <v>246.0</v>
      </c>
      <c r="O60" s="148">
        <v>30.0</v>
      </c>
      <c r="P60" s="26"/>
      <c r="Q60" s="26"/>
      <c r="R60" s="26"/>
      <c r="S60" s="26"/>
      <c r="T60" s="26"/>
      <c r="U60" s="147" t="s">
        <v>1231</v>
      </c>
      <c r="V60" s="197"/>
      <c r="W60" s="150" t="s">
        <v>1232</v>
      </c>
      <c r="X60" s="181">
        <v>13.0</v>
      </c>
      <c r="Y60" s="166">
        <f t="shared" si="6"/>
        <v>13</v>
      </c>
      <c r="Z60" s="26">
        <f t="shared" si="7"/>
        <v>0</v>
      </c>
      <c r="AA60" s="26">
        <f t="shared" si="8"/>
        <v>0</v>
      </c>
      <c r="AB60" s="26">
        <f t="shared" si="9"/>
        <v>0</v>
      </c>
      <c r="AC60" s="155">
        <v>0.0</v>
      </c>
      <c r="AD60" s="155">
        <v>0.0</v>
      </c>
      <c r="AE60" s="155">
        <v>0.0</v>
      </c>
      <c r="AF60" s="155">
        <v>0.0</v>
      </c>
      <c r="AG60" s="155">
        <v>0.0</v>
      </c>
      <c r="AH60" s="155">
        <v>0.0</v>
      </c>
      <c r="BN60" s="155">
        <v>0.0</v>
      </c>
      <c r="BO60" s="155">
        <v>0.0</v>
      </c>
      <c r="BP60" s="155">
        <v>0.0</v>
      </c>
      <c r="BQ60" s="155">
        <v>0.0</v>
      </c>
      <c r="BR60" s="155">
        <v>0.0</v>
      </c>
      <c r="BS60" s="155">
        <v>0.0</v>
      </c>
      <c r="CV60" s="156">
        <v>0.0</v>
      </c>
      <c r="CW60" s="156">
        <v>0.0</v>
      </c>
      <c r="CX60" s="156">
        <v>0.0</v>
      </c>
      <c r="CY60" s="156">
        <v>0.0</v>
      </c>
      <c r="CZ60" s="156">
        <v>0.0</v>
      </c>
      <c r="DA60" s="156">
        <v>0.0</v>
      </c>
      <c r="EG60" s="156">
        <v>0.0</v>
      </c>
      <c r="EH60" s="156">
        <v>0.0</v>
      </c>
      <c r="EI60" s="156">
        <v>0.0</v>
      </c>
      <c r="EJ60" s="156">
        <v>0.0</v>
      </c>
      <c r="EK60" s="156">
        <v>0.0</v>
      </c>
      <c r="EL60" s="156">
        <v>0.0</v>
      </c>
      <c r="FQ60" s="156">
        <v>0.0</v>
      </c>
      <c r="FR60" s="156">
        <v>0.0</v>
      </c>
      <c r="FS60" s="156">
        <v>0.0</v>
      </c>
      <c r="FT60" s="156">
        <v>0.0</v>
      </c>
      <c r="FU60" s="156">
        <v>0.0</v>
      </c>
      <c r="FV60" s="156">
        <v>0.0</v>
      </c>
      <c r="FW60" s="157"/>
      <c r="FX60" s="157"/>
      <c r="FY60" s="157"/>
      <c r="FZ60" s="157"/>
      <c r="GA60" s="157"/>
      <c r="GB60" s="157"/>
      <c r="GC60" s="157"/>
      <c r="GD60" s="157"/>
      <c r="GE60" s="157"/>
      <c r="GF60" s="157"/>
      <c r="GG60" s="157"/>
      <c r="GH60" s="157"/>
      <c r="GI60" s="157"/>
      <c r="GJ60" s="157"/>
      <c r="GK60" s="157"/>
      <c r="GL60" s="157"/>
      <c r="GM60" s="157"/>
      <c r="GN60" s="157"/>
      <c r="GO60" s="157"/>
      <c r="GP60" s="158"/>
      <c r="GQ60" s="157"/>
      <c r="GR60" s="157"/>
      <c r="GS60" s="157"/>
      <c r="GT60" s="157"/>
      <c r="GU60" s="157"/>
      <c r="GV60" s="157"/>
      <c r="GW60" s="157"/>
      <c r="GX60" s="157"/>
      <c r="GY60" s="157"/>
      <c r="GZ60" s="157"/>
      <c r="HA60" s="157"/>
      <c r="HB60" s="155">
        <v>0.0</v>
      </c>
      <c r="HC60" s="155">
        <v>0.0</v>
      </c>
      <c r="HD60" s="155">
        <v>0.0</v>
      </c>
      <c r="HE60" s="155">
        <v>0.0</v>
      </c>
      <c r="HF60" s="155">
        <v>0.0</v>
      </c>
      <c r="HG60" s="155">
        <v>0.0</v>
      </c>
      <c r="IL60" s="159">
        <v>0.0</v>
      </c>
      <c r="IM60" s="156">
        <v>0.0</v>
      </c>
      <c r="IN60" s="156">
        <v>0.0</v>
      </c>
      <c r="IO60" s="156">
        <v>0.0</v>
      </c>
      <c r="IP60" s="156">
        <v>0.0</v>
      </c>
      <c r="IQ60" s="160">
        <v>0.0</v>
      </c>
      <c r="JH60" s="25"/>
      <c r="JW60" s="159">
        <v>0.0</v>
      </c>
      <c r="JX60" s="156">
        <v>0.0</v>
      </c>
      <c r="JY60" s="156">
        <v>0.0</v>
      </c>
      <c r="JZ60" s="156">
        <v>0.0</v>
      </c>
      <c r="KA60" s="156">
        <v>0.0</v>
      </c>
      <c r="KB60" s="160">
        <v>0.0</v>
      </c>
      <c r="LH60" s="159">
        <f t="shared" si="10"/>
        <v>0</v>
      </c>
      <c r="LI60" s="156">
        <f t="shared" si="11"/>
        <v>0</v>
      </c>
      <c r="LJ60" s="156">
        <f t="shared" si="12"/>
        <v>0</v>
      </c>
      <c r="LK60" s="156">
        <f t="shared" si="13"/>
        <v>0</v>
      </c>
      <c r="LL60" s="156">
        <f t="shared" si="14"/>
        <v>0</v>
      </c>
      <c r="LM60" s="160">
        <f t="shared" si="15"/>
        <v>0</v>
      </c>
      <c r="QX60" s="163">
        <v>45807.0</v>
      </c>
    </row>
    <row r="61">
      <c r="A61" s="12"/>
      <c r="B61" s="12"/>
      <c r="C61" s="12"/>
      <c r="D61" s="12"/>
      <c r="E61" s="12"/>
      <c r="F61" s="12"/>
      <c r="G61" s="12"/>
      <c r="H61" s="12"/>
      <c r="I61" s="143">
        <f t="shared" si="5"/>
        <v>-27</v>
      </c>
      <c r="J61" s="144">
        <v>45807.0</v>
      </c>
      <c r="K61" s="173" t="s">
        <v>61</v>
      </c>
      <c r="L61" s="144">
        <v>45860.0</v>
      </c>
      <c r="M61" s="147" t="s">
        <v>1236</v>
      </c>
      <c r="N61" s="148">
        <v>256.0</v>
      </c>
      <c r="O61" s="148">
        <v>30.0</v>
      </c>
      <c r="P61" s="26"/>
      <c r="Q61" s="26"/>
      <c r="R61" s="26"/>
      <c r="S61" s="26"/>
      <c r="T61" s="26"/>
      <c r="U61" s="147" t="s">
        <v>447</v>
      </c>
      <c r="V61" s="197"/>
      <c r="W61" s="198" t="s">
        <v>1238</v>
      </c>
      <c r="X61" s="181">
        <v>27.0</v>
      </c>
      <c r="Y61" s="166">
        <f t="shared" si="6"/>
        <v>27</v>
      </c>
      <c r="Z61" s="26">
        <f t="shared" si="7"/>
        <v>0</v>
      </c>
      <c r="AA61" s="26">
        <f t="shared" si="8"/>
        <v>0</v>
      </c>
      <c r="AB61" s="26">
        <f t="shared" si="9"/>
        <v>0</v>
      </c>
      <c r="AC61" s="155">
        <v>0.0</v>
      </c>
      <c r="AD61" s="155">
        <v>0.0</v>
      </c>
      <c r="AE61" s="155">
        <v>0.0</v>
      </c>
      <c r="AF61" s="155">
        <v>0.0</v>
      </c>
      <c r="AG61" s="155">
        <v>0.0</v>
      </c>
      <c r="AH61" s="155">
        <v>0.0</v>
      </c>
      <c r="BN61" s="155">
        <v>0.0</v>
      </c>
      <c r="BO61" s="155">
        <v>0.0</v>
      </c>
      <c r="BP61" s="155">
        <v>0.0</v>
      </c>
      <c r="BQ61" s="155">
        <v>0.0</v>
      </c>
      <c r="BR61" s="155">
        <v>0.0</v>
      </c>
      <c r="BS61" s="155">
        <v>0.0</v>
      </c>
      <c r="CV61" s="156">
        <v>0.0</v>
      </c>
      <c r="CW61" s="156">
        <v>0.0</v>
      </c>
      <c r="CX61" s="156">
        <v>0.0</v>
      </c>
      <c r="CY61" s="156">
        <v>0.0</v>
      </c>
      <c r="CZ61" s="156">
        <v>0.0</v>
      </c>
      <c r="DA61" s="156">
        <v>0.0</v>
      </c>
      <c r="EG61" s="156">
        <v>0.0</v>
      </c>
      <c r="EH61" s="156">
        <v>0.0</v>
      </c>
      <c r="EI61" s="156">
        <v>0.0</v>
      </c>
      <c r="EJ61" s="156">
        <v>0.0</v>
      </c>
      <c r="EK61" s="156">
        <v>0.0</v>
      </c>
      <c r="EL61" s="156">
        <v>0.0</v>
      </c>
      <c r="FQ61" s="156">
        <v>0.0</v>
      </c>
      <c r="FR61" s="156">
        <v>0.0</v>
      </c>
      <c r="FS61" s="156">
        <v>0.0</v>
      </c>
      <c r="FT61" s="156">
        <v>0.0</v>
      </c>
      <c r="FU61" s="156">
        <v>0.0</v>
      </c>
      <c r="FV61" s="156">
        <v>0.0</v>
      </c>
      <c r="FW61" s="157"/>
      <c r="FX61" s="157"/>
      <c r="FY61" s="157"/>
      <c r="FZ61" s="157"/>
      <c r="GA61" s="157"/>
      <c r="GB61" s="157"/>
      <c r="GC61" s="157"/>
      <c r="GD61" s="157"/>
      <c r="GE61" s="157"/>
      <c r="GF61" s="157"/>
      <c r="GG61" s="157"/>
      <c r="GH61" s="157"/>
      <c r="GI61" s="157"/>
      <c r="GJ61" s="157"/>
      <c r="GK61" s="157"/>
      <c r="GL61" s="157"/>
      <c r="GM61" s="157"/>
      <c r="GN61" s="157"/>
      <c r="GO61" s="157"/>
      <c r="GP61" s="158"/>
      <c r="GQ61" s="157"/>
      <c r="GR61" s="157"/>
      <c r="GS61" s="157"/>
      <c r="GT61" s="157"/>
      <c r="GU61" s="157"/>
      <c r="GV61" s="157"/>
      <c r="GW61" s="157"/>
      <c r="GX61" s="157"/>
      <c r="GY61" s="157"/>
      <c r="GZ61" s="157"/>
      <c r="HA61" s="157"/>
      <c r="HB61" s="155">
        <v>0.0</v>
      </c>
      <c r="HC61" s="155">
        <v>0.0</v>
      </c>
      <c r="HD61" s="155">
        <v>0.0</v>
      </c>
      <c r="HE61" s="155">
        <v>0.0</v>
      </c>
      <c r="HF61" s="155">
        <v>0.0</v>
      </c>
      <c r="HG61" s="155">
        <v>0.0</v>
      </c>
      <c r="IL61" s="159">
        <v>0.0</v>
      </c>
      <c r="IM61" s="156">
        <v>0.0</v>
      </c>
      <c r="IN61" s="156">
        <v>0.0</v>
      </c>
      <c r="IO61" s="156">
        <v>0.0</v>
      </c>
      <c r="IP61" s="156">
        <v>0.0</v>
      </c>
      <c r="IQ61" s="160">
        <v>0.0</v>
      </c>
      <c r="JH61" s="25"/>
      <c r="JW61" s="159">
        <v>0.0</v>
      </c>
      <c r="JX61" s="156">
        <v>0.0</v>
      </c>
      <c r="JY61" s="156">
        <v>0.0</v>
      </c>
      <c r="JZ61" s="156">
        <v>0.0</v>
      </c>
      <c r="KA61" s="156">
        <v>0.0</v>
      </c>
      <c r="KB61" s="160">
        <v>0.0</v>
      </c>
      <c r="LH61" s="159">
        <f t="shared" si="10"/>
        <v>0</v>
      </c>
      <c r="LI61" s="156">
        <f t="shared" si="11"/>
        <v>0</v>
      </c>
      <c r="LJ61" s="156">
        <f t="shared" si="12"/>
        <v>0</v>
      </c>
      <c r="LK61" s="156">
        <f t="shared" si="13"/>
        <v>0</v>
      </c>
      <c r="LL61" s="156">
        <f t="shared" si="14"/>
        <v>0</v>
      </c>
      <c r="LM61" s="160">
        <f t="shared" si="15"/>
        <v>0</v>
      </c>
      <c r="QX61" s="163">
        <v>45808.0</v>
      </c>
    </row>
    <row r="62">
      <c r="A62" s="12"/>
      <c r="B62" s="12"/>
      <c r="C62" s="12"/>
      <c r="D62" s="12"/>
      <c r="E62" s="12"/>
      <c r="F62" s="12"/>
      <c r="G62" s="12"/>
      <c r="H62" s="12"/>
      <c r="I62" s="143">
        <f t="shared" si="5"/>
        <v>-3</v>
      </c>
      <c r="J62" s="144">
        <v>45811.0</v>
      </c>
      <c r="K62" s="195" t="s">
        <v>61</v>
      </c>
      <c r="L62" s="144">
        <v>45930.0</v>
      </c>
      <c r="M62" s="147" t="s">
        <v>1243</v>
      </c>
      <c r="N62" s="148">
        <v>347.0</v>
      </c>
      <c r="O62" s="148">
        <v>30.0</v>
      </c>
      <c r="P62" s="26"/>
      <c r="Q62" s="26"/>
      <c r="R62" s="26"/>
      <c r="S62" s="26"/>
      <c r="T62" s="26"/>
      <c r="U62" s="147" t="s">
        <v>1244</v>
      </c>
      <c r="V62" s="149" t="s">
        <v>1245</v>
      </c>
      <c r="W62" s="198" t="s">
        <v>1246</v>
      </c>
      <c r="X62" s="181">
        <v>3.0</v>
      </c>
      <c r="Y62" s="166">
        <f t="shared" si="6"/>
        <v>3</v>
      </c>
      <c r="Z62" s="26">
        <f t="shared" si="7"/>
        <v>0</v>
      </c>
      <c r="AA62" s="26">
        <f t="shared" si="8"/>
        <v>0</v>
      </c>
      <c r="AB62" s="26">
        <f t="shared" si="9"/>
        <v>0</v>
      </c>
      <c r="AC62" s="155">
        <v>0.0</v>
      </c>
      <c r="AD62" s="155">
        <v>0.0</v>
      </c>
      <c r="AE62" s="155">
        <v>0.0</v>
      </c>
      <c r="AF62" s="155">
        <v>0.0</v>
      </c>
      <c r="AG62" s="155">
        <v>0.0</v>
      </c>
      <c r="AH62" s="155">
        <v>0.0</v>
      </c>
      <c r="BN62" s="155">
        <v>0.0</v>
      </c>
      <c r="BO62" s="155">
        <v>0.0</v>
      </c>
      <c r="BP62" s="155">
        <v>0.0</v>
      </c>
      <c r="BQ62" s="155">
        <v>0.0</v>
      </c>
      <c r="BR62" s="155">
        <v>0.0</v>
      </c>
      <c r="BS62" s="155">
        <v>0.0</v>
      </c>
      <c r="CV62" s="156">
        <v>0.0</v>
      </c>
      <c r="CW62" s="156">
        <v>0.0</v>
      </c>
      <c r="CX62" s="156">
        <v>0.0</v>
      </c>
      <c r="CY62" s="156">
        <v>0.0</v>
      </c>
      <c r="CZ62" s="156">
        <v>0.0</v>
      </c>
      <c r="DA62" s="156">
        <v>0.0</v>
      </c>
      <c r="EG62" s="156">
        <v>0.0</v>
      </c>
      <c r="EH62" s="156">
        <v>0.0</v>
      </c>
      <c r="EI62" s="156">
        <v>0.0</v>
      </c>
      <c r="EJ62" s="156">
        <v>0.0</v>
      </c>
      <c r="EK62" s="156">
        <v>0.0</v>
      </c>
      <c r="EL62" s="156">
        <v>0.0</v>
      </c>
      <c r="FQ62" s="156">
        <v>0.0</v>
      </c>
      <c r="FR62" s="156">
        <v>0.0</v>
      </c>
      <c r="FS62" s="156">
        <v>0.0</v>
      </c>
      <c r="FT62" s="156">
        <v>0.0</v>
      </c>
      <c r="FU62" s="156">
        <v>0.0</v>
      </c>
      <c r="FV62" s="156">
        <v>0.0</v>
      </c>
      <c r="FW62" s="157"/>
      <c r="FX62" s="157"/>
      <c r="FY62" s="157"/>
      <c r="FZ62" s="157"/>
      <c r="GA62" s="157"/>
      <c r="GB62" s="157"/>
      <c r="GC62" s="157"/>
      <c r="GD62" s="157"/>
      <c r="GE62" s="157"/>
      <c r="GF62" s="157"/>
      <c r="GG62" s="157"/>
      <c r="GH62" s="157"/>
      <c r="GI62" s="157"/>
      <c r="GJ62" s="157"/>
      <c r="GK62" s="157"/>
      <c r="GL62" s="157"/>
      <c r="GM62" s="157"/>
      <c r="GN62" s="157"/>
      <c r="GO62" s="157"/>
      <c r="GP62" s="158"/>
      <c r="GQ62" s="157"/>
      <c r="GR62" s="157"/>
      <c r="GS62" s="157"/>
      <c r="GT62" s="157"/>
      <c r="GU62" s="157"/>
      <c r="GV62" s="157"/>
      <c r="GW62" s="157"/>
      <c r="GX62" s="157"/>
      <c r="GY62" s="157"/>
      <c r="GZ62" s="157"/>
      <c r="HA62" s="157"/>
      <c r="HB62" s="155">
        <v>0.0</v>
      </c>
      <c r="HC62" s="155">
        <v>0.0</v>
      </c>
      <c r="HD62" s="155">
        <v>0.0</v>
      </c>
      <c r="HE62" s="155">
        <v>0.0</v>
      </c>
      <c r="HF62" s="155">
        <v>0.0</v>
      </c>
      <c r="HG62" s="155">
        <v>0.0</v>
      </c>
      <c r="IL62" s="159">
        <v>0.0</v>
      </c>
      <c r="IM62" s="156">
        <v>0.0</v>
      </c>
      <c r="IN62" s="156">
        <v>0.0</v>
      </c>
      <c r="IO62" s="156">
        <v>0.0</v>
      </c>
      <c r="IP62" s="156">
        <v>0.0</v>
      </c>
      <c r="IQ62" s="160">
        <v>0.0</v>
      </c>
      <c r="JH62" s="25"/>
      <c r="JW62" s="159">
        <v>0.0</v>
      </c>
      <c r="JX62" s="156">
        <v>0.0</v>
      </c>
      <c r="JY62" s="156">
        <v>0.0</v>
      </c>
      <c r="JZ62" s="156">
        <v>0.0</v>
      </c>
      <c r="KA62" s="156">
        <v>0.0</v>
      </c>
      <c r="KB62" s="160">
        <v>0.0</v>
      </c>
      <c r="LH62" s="159">
        <f t="shared" si="10"/>
        <v>0</v>
      </c>
      <c r="LI62" s="156">
        <f t="shared" si="11"/>
        <v>0</v>
      </c>
      <c r="LJ62" s="156">
        <f t="shared" si="12"/>
        <v>0</v>
      </c>
      <c r="LK62" s="156">
        <f t="shared" si="13"/>
        <v>0</v>
      </c>
      <c r="LL62" s="156">
        <f t="shared" si="14"/>
        <v>0</v>
      </c>
      <c r="LM62" s="160">
        <f t="shared" si="15"/>
        <v>0</v>
      </c>
      <c r="QX62" s="163">
        <v>45808.0</v>
      </c>
    </row>
    <row r="63">
      <c r="A63" s="12"/>
      <c r="B63" s="12"/>
      <c r="C63" s="12"/>
      <c r="D63" s="12"/>
      <c r="E63" s="12"/>
      <c r="F63" s="12"/>
      <c r="G63" s="12"/>
      <c r="H63" s="12"/>
      <c r="I63" s="143">
        <f t="shared" si="5"/>
        <v>-30</v>
      </c>
      <c r="J63" s="144">
        <v>45811.0</v>
      </c>
      <c r="K63" s="173" t="s">
        <v>61</v>
      </c>
      <c r="L63" s="144">
        <v>45947.0</v>
      </c>
      <c r="M63" s="147" t="s">
        <v>400</v>
      </c>
      <c r="N63" s="148">
        <v>357.0</v>
      </c>
      <c r="O63" s="148">
        <v>30.0</v>
      </c>
      <c r="P63" s="26"/>
      <c r="Q63" s="26"/>
      <c r="R63" s="26"/>
      <c r="S63" s="26"/>
      <c r="T63" s="26"/>
      <c r="U63" s="147" t="s">
        <v>1251</v>
      </c>
      <c r="V63" s="197"/>
      <c r="W63" s="198" t="s">
        <v>1252</v>
      </c>
      <c r="X63" s="181">
        <v>30.0</v>
      </c>
      <c r="Y63" s="166">
        <f t="shared" si="6"/>
        <v>30</v>
      </c>
      <c r="Z63" s="26">
        <f t="shared" si="7"/>
        <v>0</v>
      </c>
      <c r="AA63" s="26">
        <f t="shared" si="8"/>
        <v>0</v>
      </c>
      <c r="AB63" s="26">
        <f t="shared" si="9"/>
        <v>0</v>
      </c>
      <c r="AC63" s="155">
        <v>0.0</v>
      </c>
      <c r="AD63" s="155">
        <v>0.0</v>
      </c>
      <c r="AE63" s="155">
        <v>0.0</v>
      </c>
      <c r="AF63" s="155">
        <v>0.0</v>
      </c>
      <c r="AG63" s="155">
        <v>0.0</v>
      </c>
      <c r="AH63" s="155">
        <v>0.0</v>
      </c>
      <c r="BN63" s="155">
        <v>0.0</v>
      </c>
      <c r="BO63" s="155">
        <v>0.0</v>
      </c>
      <c r="BP63" s="155">
        <v>0.0</v>
      </c>
      <c r="BQ63" s="155">
        <v>0.0</v>
      </c>
      <c r="BR63" s="155">
        <v>0.0</v>
      </c>
      <c r="BS63" s="155">
        <v>0.0</v>
      </c>
      <c r="CV63" s="156">
        <v>0.0</v>
      </c>
      <c r="CW63" s="156">
        <v>0.0</v>
      </c>
      <c r="CX63" s="156">
        <v>0.0</v>
      </c>
      <c r="CY63" s="156">
        <v>0.0</v>
      </c>
      <c r="CZ63" s="156">
        <v>0.0</v>
      </c>
      <c r="DA63" s="156">
        <v>0.0</v>
      </c>
      <c r="EG63" s="156">
        <v>0.0</v>
      </c>
      <c r="EH63" s="156">
        <v>0.0</v>
      </c>
      <c r="EI63" s="156">
        <v>0.0</v>
      </c>
      <c r="EJ63" s="156">
        <v>0.0</v>
      </c>
      <c r="EK63" s="156">
        <v>0.0</v>
      </c>
      <c r="EL63" s="156">
        <v>0.0</v>
      </c>
      <c r="FQ63" s="156">
        <v>0.0</v>
      </c>
      <c r="FR63" s="156">
        <v>0.0</v>
      </c>
      <c r="FS63" s="156">
        <v>0.0</v>
      </c>
      <c r="FT63" s="156">
        <v>0.0</v>
      </c>
      <c r="FU63" s="156">
        <v>0.0</v>
      </c>
      <c r="FV63" s="156">
        <v>0.0</v>
      </c>
      <c r="FW63" s="157"/>
      <c r="FX63" s="157"/>
      <c r="FY63" s="157"/>
      <c r="FZ63" s="157"/>
      <c r="GA63" s="157"/>
      <c r="GB63" s="157"/>
      <c r="GC63" s="157"/>
      <c r="GD63" s="157"/>
      <c r="GE63" s="157"/>
      <c r="GF63" s="157"/>
      <c r="GG63" s="157"/>
      <c r="GH63" s="157"/>
      <c r="GI63" s="157"/>
      <c r="GJ63" s="157"/>
      <c r="GK63" s="157"/>
      <c r="GL63" s="157"/>
      <c r="GM63" s="157"/>
      <c r="GN63" s="157"/>
      <c r="GO63" s="157"/>
      <c r="GP63" s="158"/>
      <c r="GQ63" s="157"/>
      <c r="GR63" s="157"/>
      <c r="GS63" s="157"/>
      <c r="GT63" s="157"/>
      <c r="GU63" s="157"/>
      <c r="GV63" s="157"/>
      <c r="GW63" s="157"/>
      <c r="GX63" s="157"/>
      <c r="GY63" s="157"/>
      <c r="GZ63" s="157"/>
      <c r="HA63" s="157"/>
      <c r="HB63" s="155">
        <v>0.0</v>
      </c>
      <c r="HC63" s="155">
        <v>0.0</v>
      </c>
      <c r="HD63" s="155">
        <v>0.0</v>
      </c>
      <c r="HE63" s="155">
        <v>0.0</v>
      </c>
      <c r="HF63" s="155">
        <v>0.0</v>
      </c>
      <c r="HG63" s="155">
        <v>0.0</v>
      </c>
      <c r="IL63" s="159">
        <v>0.0</v>
      </c>
      <c r="IM63" s="156">
        <v>0.0</v>
      </c>
      <c r="IN63" s="156">
        <v>0.0</v>
      </c>
      <c r="IO63" s="156">
        <v>0.0</v>
      </c>
      <c r="IP63" s="156">
        <v>0.0</v>
      </c>
      <c r="IQ63" s="160">
        <v>0.0</v>
      </c>
      <c r="JH63" s="25"/>
      <c r="JW63" s="159">
        <v>0.0</v>
      </c>
      <c r="JX63" s="156">
        <v>0.0</v>
      </c>
      <c r="JY63" s="156">
        <v>0.0</v>
      </c>
      <c r="JZ63" s="156">
        <v>0.0</v>
      </c>
      <c r="KA63" s="156">
        <v>0.0</v>
      </c>
      <c r="KB63" s="160">
        <v>0.0</v>
      </c>
      <c r="LH63" s="159">
        <f t="shared" si="10"/>
        <v>0</v>
      </c>
      <c r="LI63" s="156">
        <f t="shared" si="11"/>
        <v>0</v>
      </c>
      <c r="LJ63" s="156">
        <f t="shared" si="12"/>
        <v>0</v>
      </c>
      <c r="LK63" s="156">
        <f t="shared" si="13"/>
        <v>0</v>
      </c>
      <c r="LL63" s="156">
        <f t="shared" si="14"/>
        <v>0</v>
      </c>
      <c r="LM63" s="160">
        <f t="shared" si="15"/>
        <v>0</v>
      </c>
      <c r="QX63" s="163">
        <v>45810.0</v>
      </c>
    </row>
    <row r="64">
      <c r="A64" s="12"/>
      <c r="B64" s="12"/>
      <c r="C64" s="12"/>
      <c r="D64" s="12"/>
      <c r="E64" s="12"/>
      <c r="F64" s="12"/>
      <c r="G64" s="12"/>
      <c r="H64" s="12"/>
      <c r="I64" s="143">
        <f t="shared" si="5"/>
        <v>-30</v>
      </c>
      <c r="J64" s="144">
        <v>45810.0</v>
      </c>
      <c r="K64" s="173" t="s">
        <v>61</v>
      </c>
      <c r="L64" s="144">
        <v>45904.0</v>
      </c>
      <c r="M64" s="147" t="s">
        <v>228</v>
      </c>
      <c r="N64" s="148">
        <v>246.0</v>
      </c>
      <c r="O64" s="148">
        <v>30.0</v>
      </c>
      <c r="P64" s="26"/>
      <c r="Q64" s="26"/>
      <c r="R64" s="26"/>
      <c r="S64" s="26"/>
      <c r="T64" s="26"/>
      <c r="U64" s="147" t="s">
        <v>1259</v>
      </c>
      <c r="V64" s="197"/>
      <c r="W64" s="198" t="s">
        <v>1261</v>
      </c>
      <c r="X64" s="181">
        <v>30.0</v>
      </c>
      <c r="Y64" s="166">
        <f t="shared" si="6"/>
        <v>30</v>
      </c>
      <c r="Z64" s="26">
        <f t="shared" si="7"/>
        <v>0</v>
      </c>
      <c r="AA64" s="26">
        <f t="shared" si="8"/>
        <v>0</v>
      </c>
      <c r="AB64" s="26">
        <f t="shared" si="9"/>
        <v>0</v>
      </c>
      <c r="AC64" s="155">
        <v>0.0</v>
      </c>
      <c r="AD64" s="155">
        <v>0.0</v>
      </c>
      <c r="AE64" s="155">
        <v>0.0</v>
      </c>
      <c r="AF64" s="155">
        <v>0.0</v>
      </c>
      <c r="AG64" s="155">
        <v>0.0</v>
      </c>
      <c r="AH64" s="155">
        <v>0.0</v>
      </c>
      <c r="BN64" s="155">
        <v>0.0</v>
      </c>
      <c r="BO64" s="155">
        <v>0.0</v>
      </c>
      <c r="BP64" s="155">
        <v>0.0</v>
      </c>
      <c r="BQ64" s="155">
        <v>0.0</v>
      </c>
      <c r="BR64" s="155">
        <v>0.0</v>
      </c>
      <c r="BS64" s="155">
        <v>0.0</v>
      </c>
      <c r="CV64" s="156">
        <v>0.0</v>
      </c>
      <c r="CW64" s="156">
        <v>0.0</v>
      </c>
      <c r="CX64" s="156">
        <v>0.0</v>
      </c>
      <c r="CY64" s="156">
        <v>0.0</v>
      </c>
      <c r="CZ64" s="156">
        <v>0.0</v>
      </c>
      <c r="DA64" s="156">
        <v>0.0</v>
      </c>
      <c r="EG64" s="156">
        <v>0.0</v>
      </c>
      <c r="EH64" s="156">
        <v>0.0</v>
      </c>
      <c r="EI64" s="156">
        <v>0.0</v>
      </c>
      <c r="EJ64" s="156">
        <v>0.0</v>
      </c>
      <c r="EK64" s="156">
        <v>0.0</v>
      </c>
      <c r="EL64" s="156">
        <v>0.0</v>
      </c>
      <c r="FQ64" s="156">
        <v>0.0</v>
      </c>
      <c r="FR64" s="156">
        <v>0.0</v>
      </c>
      <c r="FS64" s="156">
        <v>0.0</v>
      </c>
      <c r="FT64" s="156">
        <v>0.0</v>
      </c>
      <c r="FU64" s="156">
        <v>0.0</v>
      </c>
      <c r="FV64" s="156">
        <v>0.0</v>
      </c>
      <c r="FW64" s="157"/>
      <c r="FX64" s="157"/>
      <c r="FY64" s="157"/>
      <c r="FZ64" s="157"/>
      <c r="GA64" s="157"/>
      <c r="GB64" s="157"/>
      <c r="GC64" s="157"/>
      <c r="GD64" s="157"/>
      <c r="GE64" s="157"/>
      <c r="GF64" s="157"/>
      <c r="GG64" s="157"/>
      <c r="GH64" s="157"/>
      <c r="GI64" s="157"/>
      <c r="GJ64" s="157"/>
      <c r="GK64" s="157"/>
      <c r="GL64" s="157"/>
      <c r="GM64" s="157"/>
      <c r="GN64" s="157"/>
      <c r="GO64" s="157"/>
      <c r="GP64" s="158"/>
      <c r="GQ64" s="157"/>
      <c r="GR64" s="157"/>
      <c r="GS64" s="157"/>
      <c r="GT64" s="157"/>
      <c r="GU64" s="157"/>
      <c r="GV64" s="157"/>
      <c r="GW64" s="157"/>
      <c r="GX64" s="157"/>
      <c r="GY64" s="157"/>
      <c r="GZ64" s="157"/>
      <c r="HA64" s="157"/>
      <c r="HB64" s="155">
        <v>0.0</v>
      </c>
      <c r="HC64" s="155">
        <v>0.0</v>
      </c>
      <c r="HD64" s="155">
        <v>0.0</v>
      </c>
      <c r="HE64" s="155">
        <v>0.0</v>
      </c>
      <c r="HF64" s="155">
        <v>0.0</v>
      </c>
      <c r="HG64" s="155">
        <v>0.0</v>
      </c>
      <c r="IL64" s="159">
        <v>0.0</v>
      </c>
      <c r="IM64" s="156">
        <v>0.0</v>
      </c>
      <c r="IN64" s="156">
        <v>0.0</v>
      </c>
      <c r="IO64" s="156">
        <v>0.0</v>
      </c>
      <c r="IP64" s="156">
        <v>0.0</v>
      </c>
      <c r="IQ64" s="160">
        <v>0.0</v>
      </c>
      <c r="JH64" s="25"/>
      <c r="JW64" s="159">
        <v>0.0</v>
      </c>
      <c r="JX64" s="156">
        <v>0.0</v>
      </c>
      <c r="JY64" s="156">
        <v>0.0</v>
      </c>
      <c r="JZ64" s="156">
        <v>0.0</v>
      </c>
      <c r="KA64" s="156">
        <v>0.0</v>
      </c>
      <c r="KB64" s="160">
        <v>0.0</v>
      </c>
      <c r="LH64" s="159">
        <f t="shared" si="10"/>
        <v>0</v>
      </c>
      <c r="LI64" s="156">
        <f t="shared" si="11"/>
        <v>0</v>
      </c>
      <c r="LJ64" s="156">
        <f t="shared" si="12"/>
        <v>0</v>
      </c>
      <c r="LK64" s="156">
        <f t="shared" si="13"/>
        <v>0</v>
      </c>
      <c r="LL64" s="156">
        <f t="shared" si="14"/>
        <v>0</v>
      </c>
      <c r="LM64" s="160">
        <f t="shared" si="15"/>
        <v>0</v>
      </c>
      <c r="QX64" s="163">
        <v>45810.0</v>
      </c>
    </row>
    <row r="65">
      <c r="A65" s="12"/>
      <c r="B65" s="12"/>
      <c r="C65" s="12"/>
      <c r="D65" s="12"/>
      <c r="E65" s="12"/>
      <c r="F65" s="12"/>
      <c r="G65" s="12"/>
      <c r="H65" s="12"/>
      <c r="I65" s="143">
        <f t="shared" si="5"/>
        <v>-30</v>
      </c>
      <c r="J65" s="144">
        <v>45810.0</v>
      </c>
      <c r="K65" s="173" t="s">
        <v>61</v>
      </c>
      <c r="L65" s="144">
        <v>45933.0</v>
      </c>
      <c r="M65" s="147" t="s">
        <v>400</v>
      </c>
      <c r="N65" s="148">
        <v>357.0</v>
      </c>
      <c r="O65" s="148">
        <v>30.0</v>
      </c>
      <c r="P65" s="26"/>
      <c r="Q65" s="26"/>
      <c r="R65" s="26"/>
      <c r="S65" s="26"/>
      <c r="T65" s="26"/>
      <c r="U65" s="147" t="s">
        <v>447</v>
      </c>
      <c r="V65" s="197"/>
      <c r="W65" s="198" t="s">
        <v>1268</v>
      </c>
      <c r="X65" s="181">
        <v>30.0</v>
      </c>
      <c r="Y65" s="166">
        <f t="shared" si="6"/>
        <v>30</v>
      </c>
      <c r="Z65" s="26">
        <f t="shared" si="7"/>
        <v>0</v>
      </c>
      <c r="AA65" s="26">
        <f t="shared" si="8"/>
        <v>0</v>
      </c>
      <c r="AB65" s="26">
        <f t="shared" si="9"/>
        <v>0</v>
      </c>
      <c r="AC65" s="155">
        <v>0.0</v>
      </c>
      <c r="AD65" s="155">
        <v>0.0</v>
      </c>
      <c r="AE65" s="155">
        <v>0.0</v>
      </c>
      <c r="AF65" s="155">
        <v>0.0</v>
      </c>
      <c r="AG65" s="155">
        <v>0.0</v>
      </c>
      <c r="AH65" s="155">
        <v>0.0</v>
      </c>
      <c r="BN65" s="155">
        <v>0.0</v>
      </c>
      <c r="BO65" s="155">
        <v>0.0</v>
      </c>
      <c r="BP65" s="155">
        <v>0.0</v>
      </c>
      <c r="BQ65" s="155">
        <v>0.0</v>
      </c>
      <c r="BR65" s="155">
        <v>0.0</v>
      </c>
      <c r="BS65" s="155">
        <v>0.0</v>
      </c>
      <c r="CV65" s="156">
        <v>0.0</v>
      </c>
      <c r="CW65" s="156">
        <v>0.0</v>
      </c>
      <c r="CX65" s="156">
        <v>0.0</v>
      </c>
      <c r="CY65" s="156">
        <v>0.0</v>
      </c>
      <c r="CZ65" s="156">
        <v>0.0</v>
      </c>
      <c r="DA65" s="156">
        <v>0.0</v>
      </c>
      <c r="EG65" s="156">
        <v>0.0</v>
      </c>
      <c r="EH65" s="156">
        <v>0.0</v>
      </c>
      <c r="EI65" s="156">
        <v>0.0</v>
      </c>
      <c r="EJ65" s="156">
        <v>0.0</v>
      </c>
      <c r="EK65" s="156">
        <v>0.0</v>
      </c>
      <c r="EL65" s="156">
        <v>0.0</v>
      </c>
      <c r="FQ65" s="156">
        <v>0.0</v>
      </c>
      <c r="FR65" s="156">
        <v>0.0</v>
      </c>
      <c r="FS65" s="156">
        <v>0.0</v>
      </c>
      <c r="FT65" s="156">
        <v>0.0</v>
      </c>
      <c r="FU65" s="156">
        <v>0.0</v>
      </c>
      <c r="FV65" s="156">
        <v>0.0</v>
      </c>
      <c r="FW65" s="157"/>
      <c r="FX65" s="157"/>
      <c r="FY65" s="157"/>
      <c r="FZ65" s="157"/>
      <c r="GA65" s="157"/>
      <c r="GB65" s="157"/>
      <c r="GC65" s="157"/>
      <c r="GD65" s="157"/>
      <c r="GE65" s="157"/>
      <c r="GF65" s="157"/>
      <c r="GG65" s="157"/>
      <c r="GH65" s="157"/>
      <c r="GI65" s="157"/>
      <c r="GJ65" s="157"/>
      <c r="GK65" s="157"/>
      <c r="GL65" s="157"/>
      <c r="GM65" s="157"/>
      <c r="GN65" s="157"/>
      <c r="GO65" s="157"/>
      <c r="GP65" s="158"/>
      <c r="GQ65" s="157"/>
      <c r="GR65" s="157"/>
      <c r="GS65" s="157"/>
      <c r="GT65" s="157"/>
      <c r="GU65" s="157"/>
      <c r="GV65" s="157"/>
      <c r="GW65" s="157"/>
      <c r="GX65" s="157"/>
      <c r="GY65" s="157"/>
      <c r="GZ65" s="157"/>
      <c r="HA65" s="157"/>
      <c r="HB65" s="155">
        <v>0.0</v>
      </c>
      <c r="HC65" s="155">
        <v>0.0</v>
      </c>
      <c r="HD65" s="155">
        <v>0.0</v>
      </c>
      <c r="HE65" s="155">
        <v>0.0</v>
      </c>
      <c r="HF65" s="155">
        <v>0.0</v>
      </c>
      <c r="HG65" s="155">
        <v>0.0</v>
      </c>
      <c r="IL65" s="159">
        <v>0.0</v>
      </c>
      <c r="IM65" s="156">
        <v>0.0</v>
      </c>
      <c r="IN65" s="156">
        <v>0.0</v>
      </c>
      <c r="IO65" s="156">
        <v>0.0</v>
      </c>
      <c r="IP65" s="156">
        <v>0.0</v>
      </c>
      <c r="IQ65" s="160">
        <v>0.0</v>
      </c>
      <c r="JH65" s="25"/>
      <c r="JW65" s="159">
        <v>0.0</v>
      </c>
      <c r="JX65" s="156">
        <v>0.0</v>
      </c>
      <c r="JY65" s="156">
        <v>0.0</v>
      </c>
      <c r="JZ65" s="156">
        <v>0.0</v>
      </c>
      <c r="KA65" s="156">
        <v>0.0</v>
      </c>
      <c r="KB65" s="160">
        <v>0.0</v>
      </c>
      <c r="LH65" s="159">
        <f t="shared" si="10"/>
        <v>0</v>
      </c>
      <c r="LI65" s="156">
        <f t="shared" si="11"/>
        <v>0</v>
      </c>
      <c r="LJ65" s="156">
        <f t="shared" si="12"/>
        <v>0</v>
      </c>
      <c r="LK65" s="156">
        <f t="shared" si="13"/>
        <v>0</v>
      </c>
      <c r="LL65" s="156">
        <f t="shared" si="14"/>
        <v>0</v>
      </c>
      <c r="LM65" s="160">
        <f t="shared" si="15"/>
        <v>0</v>
      </c>
      <c r="QX65" s="163">
        <v>45811.0</v>
      </c>
    </row>
    <row r="66">
      <c r="A66" s="12"/>
      <c r="B66" s="12"/>
      <c r="C66" s="12"/>
      <c r="D66" s="12"/>
      <c r="E66" s="12"/>
      <c r="F66" s="12"/>
      <c r="G66" s="12"/>
      <c r="H66" s="12"/>
      <c r="I66" s="143">
        <f t="shared" si="5"/>
        <v>-30</v>
      </c>
      <c r="J66" s="144">
        <v>45819.0</v>
      </c>
      <c r="K66" s="173" t="s">
        <v>61</v>
      </c>
      <c r="L66" s="144">
        <v>45901.0</v>
      </c>
      <c r="M66" s="257" t="s">
        <v>107</v>
      </c>
      <c r="N66" s="258">
        <v>246.0</v>
      </c>
      <c r="O66" s="258">
        <v>60.0</v>
      </c>
      <c r="P66" s="259"/>
      <c r="Q66" s="259"/>
      <c r="R66" s="259"/>
      <c r="S66" s="259"/>
      <c r="T66" s="259"/>
      <c r="U66" s="257" t="s">
        <v>1275</v>
      </c>
      <c r="V66" s="260"/>
      <c r="W66" s="261" t="s">
        <v>1277</v>
      </c>
      <c r="X66" s="181">
        <v>30.0</v>
      </c>
      <c r="Y66" s="166">
        <f t="shared" si="6"/>
        <v>30</v>
      </c>
      <c r="Z66" s="26">
        <f t="shared" si="7"/>
        <v>0</v>
      </c>
      <c r="AA66" s="26">
        <f t="shared" si="8"/>
        <v>0</v>
      </c>
      <c r="AB66" s="26">
        <f t="shared" si="9"/>
        <v>0</v>
      </c>
      <c r="AC66" s="155">
        <v>0.0</v>
      </c>
      <c r="AD66" s="155">
        <v>0.0</v>
      </c>
      <c r="AE66" s="155">
        <v>0.0</v>
      </c>
      <c r="AF66" s="155">
        <v>0.0</v>
      </c>
      <c r="AG66" s="155">
        <v>0.0</v>
      </c>
      <c r="AH66" s="155">
        <v>0.0</v>
      </c>
      <c r="BN66" s="155">
        <v>0.0</v>
      </c>
      <c r="BO66" s="155">
        <v>0.0</v>
      </c>
      <c r="BP66" s="155">
        <v>0.0</v>
      </c>
      <c r="BQ66" s="155">
        <v>0.0</v>
      </c>
      <c r="BR66" s="155">
        <v>0.0</v>
      </c>
      <c r="BS66" s="155">
        <v>0.0</v>
      </c>
      <c r="CV66" s="156">
        <v>0.0</v>
      </c>
      <c r="CW66" s="156">
        <v>0.0</v>
      </c>
      <c r="CX66" s="156">
        <v>0.0</v>
      </c>
      <c r="CY66" s="156">
        <v>0.0</v>
      </c>
      <c r="CZ66" s="156">
        <v>0.0</v>
      </c>
      <c r="DA66" s="156">
        <v>0.0</v>
      </c>
      <c r="EG66" s="156">
        <v>0.0</v>
      </c>
      <c r="EH66" s="156">
        <v>0.0</v>
      </c>
      <c r="EI66" s="156">
        <v>0.0</v>
      </c>
      <c r="EJ66" s="156">
        <v>0.0</v>
      </c>
      <c r="EK66" s="156">
        <v>0.0</v>
      </c>
      <c r="EL66" s="156">
        <v>0.0</v>
      </c>
      <c r="FQ66" s="156">
        <v>0.0</v>
      </c>
      <c r="FR66" s="156">
        <v>0.0</v>
      </c>
      <c r="FS66" s="156">
        <v>0.0</v>
      </c>
      <c r="FT66" s="156">
        <v>0.0</v>
      </c>
      <c r="FU66" s="156">
        <v>0.0</v>
      </c>
      <c r="FV66" s="156">
        <v>0.0</v>
      </c>
      <c r="FW66" s="157"/>
      <c r="FX66" s="157"/>
      <c r="FY66" s="157"/>
      <c r="FZ66" s="157"/>
      <c r="GA66" s="157"/>
      <c r="GB66" s="157"/>
      <c r="GC66" s="157"/>
      <c r="GD66" s="157"/>
      <c r="GE66" s="157"/>
      <c r="GF66" s="157"/>
      <c r="GG66" s="157"/>
      <c r="GH66" s="157"/>
      <c r="GI66" s="157"/>
      <c r="GJ66" s="157"/>
      <c r="GK66" s="157"/>
      <c r="GL66" s="157"/>
      <c r="GM66" s="157"/>
      <c r="GN66" s="157"/>
      <c r="GO66" s="157"/>
      <c r="GP66" s="158"/>
      <c r="GQ66" s="157"/>
      <c r="GR66" s="157"/>
      <c r="GS66" s="157"/>
      <c r="GT66" s="157"/>
      <c r="GU66" s="157"/>
      <c r="GV66" s="157"/>
      <c r="GW66" s="157"/>
      <c r="GX66" s="157"/>
      <c r="GY66" s="157"/>
      <c r="GZ66" s="157"/>
      <c r="HA66" s="157"/>
      <c r="HB66" s="155">
        <v>0.0</v>
      </c>
      <c r="HC66" s="155">
        <v>0.0</v>
      </c>
      <c r="HD66" s="155">
        <v>0.0</v>
      </c>
      <c r="HE66" s="155">
        <v>0.0</v>
      </c>
      <c r="HF66" s="155">
        <v>0.0</v>
      </c>
      <c r="HG66" s="155">
        <v>0.0</v>
      </c>
      <c r="IL66" s="159">
        <v>0.0</v>
      </c>
      <c r="IM66" s="156">
        <v>0.0</v>
      </c>
      <c r="IN66" s="156">
        <v>0.0</v>
      </c>
      <c r="IO66" s="156">
        <v>0.0</v>
      </c>
      <c r="IP66" s="156">
        <v>0.0</v>
      </c>
      <c r="IQ66" s="160">
        <v>0.0</v>
      </c>
      <c r="JH66" s="25"/>
      <c r="JW66" s="159">
        <v>0.0</v>
      </c>
      <c r="JX66" s="156">
        <v>0.0</v>
      </c>
      <c r="JY66" s="156">
        <v>0.0</v>
      </c>
      <c r="JZ66" s="156">
        <v>0.0</v>
      </c>
      <c r="KA66" s="156">
        <v>0.0</v>
      </c>
      <c r="KB66" s="160">
        <v>0.0</v>
      </c>
      <c r="LH66" s="159">
        <f t="shared" si="10"/>
        <v>0</v>
      </c>
      <c r="LI66" s="156">
        <f t="shared" si="11"/>
        <v>0</v>
      </c>
      <c r="LJ66" s="156">
        <f t="shared" si="12"/>
        <v>0</v>
      </c>
      <c r="LK66" s="156">
        <f t="shared" si="13"/>
        <v>0</v>
      </c>
      <c r="LL66" s="156">
        <f t="shared" si="14"/>
        <v>0</v>
      </c>
      <c r="LM66" s="160">
        <f t="shared" si="15"/>
        <v>0</v>
      </c>
      <c r="QX66" s="163">
        <v>45811.0</v>
      </c>
    </row>
    <row r="67">
      <c r="A67" s="12"/>
      <c r="B67" s="12"/>
      <c r="C67" s="12"/>
      <c r="D67" s="12"/>
      <c r="E67" s="12"/>
      <c r="F67" s="12"/>
      <c r="G67" s="12"/>
      <c r="H67" s="12"/>
      <c r="I67" s="143">
        <f t="shared" si="5"/>
        <v>-15</v>
      </c>
      <c r="J67" s="144">
        <v>45812.0</v>
      </c>
      <c r="K67" s="173" t="s">
        <v>61</v>
      </c>
      <c r="L67" s="144">
        <v>45853.0</v>
      </c>
      <c r="M67" s="147" t="s">
        <v>107</v>
      </c>
      <c r="N67" s="148">
        <v>246.0</v>
      </c>
      <c r="O67" s="148">
        <v>30.0</v>
      </c>
      <c r="P67" s="26"/>
      <c r="Q67" s="26"/>
      <c r="R67" s="26"/>
      <c r="S67" s="26"/>
      <c r="T67" s="26"/>
      <c r="U67" s="147" t="s">
        <v>1282</v>
      </c>
      <c r="V67" s="197"/>
      <c r="W67" s="198" t="s">
        <v>1283</v>
      </c>
      <c r="X67" s="181">
        <v>15.0</v>
      </c>
      <c r="Y67" s="166">
        <f t="shared" si="6"/>
        <v>15</v>
      </c>
      <c r="Z67" s="26">
        <f t="shared" si="7"/>
        <v>0</v>
      </c>
      <c r="AA67" s="26">
        <f t="shared" si="8"/>
        <v>0</v>
      </c>
      <c r="AB67" s="26">
        <f t="shared" si="9"/>
        <v>0</v>
      </c>
      <c r="AC67" s="155">
        <v>0.0</v>
      </c>
      <c r="AD67" s="155">
        <v>0.0</v>
      </c>
      <c r="AE67" s="155">
        <v>0.0</v>
      </c>
      <c r="AF67" s="155">
        <v>0.0</v>
      </c>
      <c r="AG67" s="155">
        <v>0.0</v>
      </c>
      <c r="AH67" s="155">
        <v>0.0</v>
      </c>
      <c r="BN67" s="155">
        <v>0.0</v>
      </c>
      <c r="BO67" s="155">
        <v>0.0</v>
      </c>
      <c r="BP67" s="155">
        <v>0.0</v>
      </c>
      <c r="BQ67" s="155">
        <v>0.0</v>
      </c>
      <c r="BR67" s="155">
        <v>0.0</v>
      </c>
      <c r="BS67" s="155">
        <v>0.0</v>
      </c>
      <c r="CV67" s="156">
        <v>0.0</v>
      </c>
      <c r="CW67" s="156">
        <v>0.0</v>
      </c>
      <c r="CX67" s="156">
        <v>0.0</v>
      </c>
      <c r="CY67" s="156">
        <v>0.0</v>
      </c>
      <c r="CZ67" s="156">
        <v>0.0</v>
      </c>
      <c r="DA67" s="156">
        <v>0.0</v>
      </c>
      <c r="EG67" s="156">
        <v>0.0</v>
      </c>
      <c r="EH67" s="156">
        <v>0.0</v>
      </c>
      <c r="EI67" s="156">
        <v>0.0</v>
      </c>
      <c r="EJ67" s="156">
        <v>0.0</v>
      </c>
      <c r="EK67" s="156">
        <v>0.0</v>
      </c>
      <c r="EL67" s="156">
        <v>0.0</v>
      </c>
      <c r="FQ67" s="156">
        <v>0.0</v>
      </c>
      <c r="FR67" s="156">
        <v>0.0</v>
      </c>
      <c r="FS67" s="156">
        <v>0.0</v>
      </c>
      <c r="FT67" s="156">
        <v>0.0</v>
      </c>
      <c r="FU67" s="156">
        <v>0.0</v>
      </c>
      <c r="FV67" s="156">
        <v>0.0</v>
      </c>
      <c r="FW67" s="157"/>
      <c r="FX67" s="157"/>
      <c r="FY67" s="157"/>
      <c r="FZ67" s="157"/>
      <c r="GA67" s="157"/>
      <c r="GB67" s="157"/>
      <c r="GC67" s="157"/>
      <c r="GD67" s="157"/>
      <c r="GE67" s="157"/>
      <c r="GF67" s="157"/>
      <c r="GG67" s="157"/>
      <c r="GH67" s="157"/>
      <c r="GI67" s="157"/>
      <c r="GJ67" s="157"/>
      <c r="GK67" s="157"/>
      <c r="GL67" s="157"/>
      <c r="GM67" s="157"/>
      <c r="GN67" s="157"/>
      <c r="GO67" s="157"/>
      <c r="GP67" s="158"/>
      <c r="GQ67" s="157"/>
      <c r="GR67" s="157"/>
      <c r="GS67" s="157"/>
      <c r="GT67" s="157"/>
      <c r="GU67" s="157"/>
      <c r="GV67" s="157"/>
      <c r="GW67" s="157"/>
      <c r="GX67" s="157"/>
      <c r="GY67" s="157"/>
      <c r="GZ67" s="157"/>
      <c r="HA67" s="157"/>
      <c r="HB67" s="155">
        <v>0.0</v>
      </c>
      <c r="HC67" s="155">
        <v>0.0</v>
      </c>
      <c r="HD67" s="155">
        <v>0.0</v>
      </c>
      <c r="HE67" s="155">
        <v>0.0</v>
      </c>
      <c r="HF67" s="155">
        <v>0.0</v>
      </c>
      <c r="HG67" s="155">
        <v>0.0</v>
      </c>
      <c r="IL67" s="159">
        <v>0.0</v>
      </c>
      <c r="IM67" s="156">
        <v>0.0</v>
      </c>
      <c r="IN67" s="156">
        <v>0.0</v>
      </c>
      <c r="IO67" s="156">
        <v>0.0</v>
      </c>
      <c r="IP67" s="156">
        <v>0.0</v>
      </c>
      <c r="IQ67" s="160">
        <v>0.0</v>
      </c>
      <c r="JH67" s="25"/>
      <c r="JW67" s="159">
        <v>0.0</v>
      </c>
      <c r="JX67" s="156">
        <v>0.0</v>
      </c>
      <c r="JY67" s="156">
        <v>0.0</v>
      </c>
      <c r="JZ67" s="156">
        <v>0.0</v>
      </c>
      <c r="KA67" s="156">
        <v>0.0</v>
      </c>
      <c r="KB67" s="160">
        <v>0.0</v>
      </c>
      <c r="LH67" s="159">
        <f t="shared" si="10"/>
        <v>0</v>
      </c>
      <c r="LI67" s="156">
        <f t="shared" si="11"/>
        <v>0</v>
      </c>
      <c r="LJ67" s="156">
        <f t="shared" si="12"/>
        <v>0</v>
      </c>
      <c r="LK67" s="156">
        <f t="shared" si="13"/>
        <v>0</v>
      </c>
      <c r="LL67" s="156">
        <f t="shared" si="14"/>
        <v>0</v>
      </c>
      <c r="LM67" s="160">
        <f t="shared" si="15"/>
        <v>0</v>
      </c>
      <c r="QX67" s="163">
        <v>45812.0</v>
      </c>
    </row>
    <row r="68">
      <c r="A68" s="12"/>
      <c r="B68" s="12"/>
      <c r="C68" s="12"/>
      <c r="D68" s="12"/>
      <c r="E68" s="12"/>
      <c r="F68" s="12"/>
      <c r="G68" s="12"/>
      <c r="H68" s="12"/>
      <c r="I68" s="200">
        <f t="shared" si="5"/>
        <v>-30</v>
      </c>
      <c r="J68" s="202">
        <v>45819.0</v>
      </c>
      <c r="K68" s="173" t="s">
        <v>61</v>
      </c>
      <c r="L68" s="144">
        <v>45901.0</v>
      </c>
      <c r="M68" s="257" t="s">
        <v>107</v>
      </c>
      <c r="N68" s="258">
        <v>246.0</v>
      </c>
      <c r="O68" s="258">
        <v>60.0</v>
      </c>
      <c r="P68" s="259"/>
      <c r="Q68" s="259"/>
      <c r="R68" s="259"/>
      <c r="S68" s="259"/>
      <c r="T68" s="259"/>
      <c r="U68" s="257" t="s">
        <v>1275</v>
      </c>
      <c r="V68" s="260"/>
      <c r="W68" s="261" t="s">
        <v>1277</v>
      </c>
      <c r="X68" s="212">
        <v>30.0</v>
      </c>
      <c r="Y68" s="166">
        <f t="shared" si="6"/>
        <v>30</v>
      </c>
      <c r="Z68" s="208">
        <f t="shared" si="7"/>
        <v>0</v>
      </c>
      <c r="AA68" s="208">
        <f t="shared" si="8"/>
        <v>0</v>
      </c>
      <c r="AB68" s="208">
        <f t="shared" si="9"/>
        <v>0</v>
      </c>
      <c r="AC68" s="155">
        <v>0.0</v>
      </c>
      <c r="AD68" s="155">
        <v>0.0</v>
      </c>
      <c r="AE68" s="155">
        <v>0.0</v>
      </c>
      <c r="AF68" s="155">
        <v>0.0</v>
      </c>
      <c r="AG68" s="155">
        <v>0.0</v>
      </c>
      <c r="AH68" s="155">
        <v>0.0</v>
      </c>
      <c r="BN68" s="155">
        <v>0.0</v>
      </c>
      <c r="BO68" s="155">
        <v>0.0</v>
      </c>
      <c r="BP68" s="155">
        <v>0.0</v>
      </c>
      <c r="BQ68" s="155">
        <v>0.0</v>
      </c>
      <c r="BR68" s="155">
        <v>0.0</v>
      </c>
      <c r="BS68" s="155">
        <v>0.0</v>
      </c>
      <c r="CV68" s="156">
        <v>0.0</v>
      </c>
      <c r="CW68" s="156">
        <v>0.0</v>
      </c>
      <c r="CX68" s="156">
        <v>0.0</v>
      </c>
      <c r="CY68" s="156">
        <v>0.0</v>
      </c>
      <c r="CZ68" s="156">
        <v>0.0</v>
      </c>
      <c r="DA68" s="156">
        <v>0.0</v>
      </c>
      <c r="EG68" s="156">
        <v>0.0</v>
      </c>
      <c r="EH68" s="156">
        <v>0.0</v>
      </c>
      <c r="EI68" s="156">
        <v>0.0</v>
      </c>
      <c r="EJ68" s="156">
        <v>0.0</v>
      </c>
      <c r="EK68" s="156">
        <v>0.0</v>
      </c>
      <c r="EL68" s="156">
        <v>0.0</v>
      </c>
      <c r="FQ68" s="156">
        <v>0.0</v>
      </c>
      <c r="FR68" s="156">
        <v>0.0</v>
      </c>
      <c r="FS68" s="156">
        <v>0.0</v>
      </c>
      <c r="FT68" s="156">
        <v>0.0</v>
      </c>
      <c r="FU68" s="156">
        <v>0.0</v>
      </c>
      <c r="FV68" s="156">
        <v>0.0</v>
      </c>
      <c r="FW68" s="157"/>
      <c r="FX68" s="157"/>
      <c r="FY68" s="157"/>
      <c r="FZ68" s="157"/>
      <c r="GA68" s="157"/>
      <c r="GB68" s="157"/>
      <c r="GC68" s="157"/>
      <c r="GD68" s="157"/>
      <c r="GE68" s="157"/>
      <c r="GF68" s="157"/>
      <c r="GG68" s="157"/>
      <c r="GH68" s="157"/>
      <c r="GI68" s="157"/>
      <c r="GJ68" s="157"/>
      <c r="GK68" s="157"/>
      <c r="GL68" s="157"/>
      <c r="GM68" s="157"/>
      <c r="GN68" s="157"/>
      <c r="GO68" s="157"/>
      <c r="GP68" s="158"/>
      <c r="GQ68" s="157"/>
      <c r="GR68" s="157"/>
      <c r="GS68" s="157"/>
      <c r="GT68" s="157"/>
      <c r="GU68" s="157"/>
      <c r="GV68" s="157"/>
      <c r="GW68" s="157"/>
      <c r="GX68" s="157"/>
      <c r="GY68" s="157"/>
      <c r="GZ68" s="157"/>
      <c r="HA68" s="157"/>
      <c r="HB68" s="155">
        <v>0.0</v>
      </c>
      <c r="HC68" s="155">
        <v>0.0</v>
      </c>
      <c r="HD68" s="155">
        <v>0.0</v>
      </c>
      <c r="HE68" s="155">
        <v>0.0</v>
      </c>
      <c r="HF68" s="155">
        <v>0.0</v>
      </c>
      <c r="HG68" s="155">
        <v>0.0</v>
      </c>
      <c r="IL68" s="159">
        <v>0.0</v>
      </c>
      <c r="IM68" s="156">
        <v>0.0</v>
      </c>
      <c r="IN68" s="156">
        <v>0.0</v>
      </c>
      <c r="IO68" s="156">
        <v>0.0</v>
      </c>
      <c r="IP68" s="156">
        <v>0.0</v>
      </c>
      <c r="IQ68" s="160">
        <v>0.0</v>
      </c>
      <c r="JH68" s="25"/>
      <c r="JW68" s="159">
        <v>0.0</v>
      </c>
      <c r="JX68" s="156">
        <v>0.0</v>
      </c>
      <c r="JY68" s="156">
        <v>0.0</v>
      </c>
      <c r="JZ68" s="156">
        <v>0.0</v>
      </c>
      <c r="KA68" s="156">
        <v>0.0</v>
      </c>
      <c r="KB68" s="160">
        <v>0.0</v>
      </c>
      <c r="LH68" s="159">
        <f t="shared" si="10"/>
        <v>0</v>
      </c>
      <c r="LI68" s="156">
        <f t="shared" si="11"/>
        <v>0</v>
      </c>
      <c r="LJ68" s="156">
        <f t="shared" si="12"/>
        <v>0</v>
      </c>
      <c r="LK68" s="156">
        <f t="shared" si="13"/>
        <v>0</v>
      </c>
      <c r="LL68" s="156">
        <f t="shared" si="14"/>
        <v>0</v>
      </c>
      <c r="LM68" s="160">
        <f t="shared" si="15"/>
        <v>0</v>
      </c>
      <c r="QX68" s="163">
        <v>45812.0</v>
      </c>
    </row>
    <row r="69">
      <c r="A69" s="12"/>
      <c r="B69" s="12"/>
      <c r="C69" s="12"/>
      <c r="D69" s="12"/>
      <c r="E69" s="12"/>
      <c r="F69" s="12"/>
      <c r="G69" s="12"/>
      <c r="H69" s="12"/>
      <c r="I69" s="143">
        <f t="shared" si="5"/>
        <v>-25</v>
      </c>
      <c r="J69" s="144">
        <v>45826.0</v>
      </c>
      <c r="K69" s="195" t="s">
        <v>61</v>
      </c>
      <c r="L69" s="144">
        <v>45980.0</v>
      </c>
      <c r="M69" s="21" t="s">
        <v>1295</v>
      </c>
      <c r="N69" s="45">
        <v>246.0</v>
      </c>
      <c r="O69" s="45">
        <v>30.0</v>
      </c>
      <c r="P69" s="21"/>
      <c r="Q69" s="21"/>
      <c r="R69" s="21"/>
      <c r="S69" s="21"/>
      <c r="T69" s="21"/>
      <c r="U69" s="26" t="s">
        <v>1131</v>
      </c>
      <c r="V69" s="29" t="s">
        <v>1296</v>
      </c>
      <c r="W69" s="198" t="s">
        <v>1297</v>
      </c>
      <c r="X69" s="181">
        <v>25.0</v>
      </c>
      <c r="Y69" s="166">
        <f t="shared" si="6"/>
        <v>25</v>
      </c>
      <c r="Z69" s="26">
        <f t="shared" si="7"/>
        <v>0</v>
      </c>
      <c r="AA69" s="26">
        <f t="shared" si="8"/>
        <v>0</v>
      </c>
      <c r="AB69" s="26">
        <f t="shared" si="9"/>
        <v>0</v>
      </c>
      <c r="AC69" s="155">
        <v>0.0</v>
      </c>
      <c r="AD69" s="155">
        <v>0.0</v>
      </c>
      <c r="AE69" s="155">
        <v>0.0</v>
      </c>
      <c r="AF69" s="155">
        <v>0.0</v>
      </c>
      <c r="AG69" s="155">
        <v>0.0</v>
      </c>
      <c r="AH69" s="155">
        <v>0.0</v>
      </c>
      <c r="BN69" s="155">
        <v>0.0</v>
      </c>
      <c r="BO69" s="155">
        <v>0.0</v>
      </c>
      <c r="BP69" s="155">
        <v>0.0</v>
      </c>
      <c r="BQ69" s="155">
        <v>0.0</v>
      </c>
      <c r="BR69" s="155">
        <v>0.0</v>
      </c>
      <c r="BS69" s="155">
        <v>0.0</v>
      </c>
      <c r="CV69" s="156">
        <v>0.0</v>
      </c>
      <c r="CW69" s="156">
        <v>0.0</v>
      </c>
      <c r="CX69" s="156">
        <v>0.0</v>
      </c>
      <c r="CY69" s="156">
        <v>0.0</v>
      </c>
      <c r="CZ69" s="156">
        <v>0.0</v>
      </c>
      <c r="DA69" s="156">
        <v>0.0</v>
      </c>
      <c r="EG69" s="156">
        <v>0.0</v>
      </c>
      <c r="EH69" s="156">
        <v>0.0</v>
      </c>
      <c r="EI69" s="156">
        <v>0.0</v>
      </c>
      <c r="EJ69" s="156">
        <v>0.0</v>
      </c>
      <c r="EK69" s="156">
        <v>0.0</v>
      </c>
      <c r="EL69" s="156">
        <v>0.0</v>
      </c>
      <c r="FQ69" s="156">
        <v>0.0</v>
      </c>
      <c r="FR69" s="156">
        <v>0.0</v>
      </c>
      <c r="FS69" s="156">
        <v>0.0</v>
      </c>
      <c r="FT69" s="156">
        <v>0.0</v>
      </c>
      <c r="FU69" s="156">
        <v>0.0</v>
      </c>
      <c r="FV69" s="156">
        <v>0.0</v>
      </c>
      <c r="FW69" s="157"/>
      <c r="FX69" s="157"/>
      <c r="FY69" s="157"/>
      <c r="FZ69" s="157"/>
      <c r="GA69" s="157"/>
      <c r="GB69" s="157"/>
      <c r="GC69" s="157"/>
      <c r="GD69" s="157"/>
      <c r="GE69" s="157"/>
      <c r="GF69" s="157"/>
      <c r="GG69" s="157"/>
      <c r="GH69" s="157"/>
      <c r="GI69" s="157"/>
      <c r="GJ69" s="157"/>
      <c r="GK69" s="157"/>
      <c r="GL69" s="157"/>
      <c r="GM69" s="157"/>
      <c r="GN69" s="157"/>
      <c r="GO69" s="157"/>
      <c r="GP69" s="158"/>
      <c r="GQ69" s="157"/>
      <c r="GR69" s="157"/>
      <c r="GS69" s="157"/>
      <c r="GT69" s="157"/>
      <c r="GU69" s="157"/>
      <c r="GV69" s="157"/>
      <c r="GW69" s="157"/>
      <c r="GX69" s="157"/>
      <c r="GY69" s="157"/>
      <c r="GZ69" s="157"/>
      <c r="HA69" s="157"/>
      <c r="HB69" s="155">
        <v>0.0</v>
      </c>
      <c r="HC69" s="155">
        <v>0.0</v>
      </c>
      <c r="HD69" s="155">
        <v>0.0</v>
      </c>
      <c r="HE69" s="155">
        <v>0.0</v>
      </c>
      <c r="HF69" s="155">
        <v>0.0</v>
      </c>
      <c r="HG69" s="155">
        <v>0.0</v>
      </c>
      <c r="IL69" s="159">
        <v>0.0</v>
      </c>
      <c r="IM69" s="156">
        <v>0.0</v>
      </c>
      <c r="IN69" s="156">
        <v>0.0</v>
      </c>
      <c r="IO69" s="156">
        <v>0.0</v>
      </c>
      <c r="IP69" s="156">
        <v>0.0</v>
      </c>
      <c r="IQ69" s="160">
        <v>0.0</v>
      </c>
      <c r="JH69" s="25"/>
      <c r="JW69" s="159">
        <v>0.0</v>
      </c>
      <c r="JX69" s="156">
        <v>0.0</v>
      </c>
      <c r="JY69" s="156">
        <v>0.0</v>
      </c>
      <c r="JZ69" s="156">
        <v>0.0</v>
      </c>
      <c r="KA69" s="156">
        <v>0.0</v>
      </c>
      <c r="KB69" s="160">
        <v>0.0</v>
      </c>
      <c r="LH69" s="159">
        <f t="shared" si="10"/>
        <v>0</v>
      </c>
      <c r="LI69" s="156">
        <f t="shared" si="11"/>
        <v>0</v>
      </c>
      <c r="LJ69" s="156">
        <f t="shared" si="12"/>
        <v>0</v>
      </c>
      <c r="LK69" s="156">
        <f t="shared" si="13"/>
        <v>0</v>
      </c>
      <c r="LL69" s="156">
        <f t="shared" si="14"/>
        <v>0</v>
      </c>
      <c r="LM69" s="160">
        <f t="shared" si="15"/>
        <v>0</v>
      </c>
      <c r="QX69" s="163">
        <v>45812.0</v>
      </c>
    </row>
    <row r="70">
      <c r="A70" s="12"/>
      <c r="B70" s="12"/>
      <c r="C70" s="12"/>
      <c r="D70" s="12"/>
      <c r="E70" s="12"/>
      <c r="F70" s="12"/>
      <c r="G70" s="12"/>
      <c r="H70" s="12"/>
      <c r="I70" s="143">
        <f t="shared" si="5"/>
        <v>-29</v>
      </c>
      <c r="J70" s="144">
        <v>45812.0</v>
      </c>
      <c r="K70" s="173" t="s">
        <v>61</v>
      </c>
      <c r="L70" s="144">
        <v>45901.0</v>
      </c>
      <c r="M70" s="147" t="s">
        <v>712</v>
      </c>
      <c r="N70" s="148">
        <v>357.0</v>
      </c>
      <c r="O70" s="148">
        <v>30.0</v>
      </c>
      <c r="P70" s="26"/>
      <c r="Q70" s="26"/>
      <c r="R70" s="26"/>
      <c r="S70" s="26"/>
      <c r="T70" s="26"/>
      <c r="U70" s="147" t="s">
        <v>1140</v>
      </c>
      <c r="V70" s="197"/>
      <c r="W70" s="150" t="s">
        <v>1303</v>
      </c>
      <c r="X70" s="181">
        <v>29.0</v>
      </c>
      <c r="Y70" s="166">
        <f t="shared" si="6"/>
        <v>29</v>
      </c>
      <c r="Z70" s="26">
        <f t="shared" si="7"/>
        <v>0</v>
      </c>
      <c r="AA70" s="26">
        <f t="shared" si="8"/>
        <v>0</v>
      </c>
      <c r="AB70" s="26">
        <f t="shared" si="9"/>
        <v>0</v>
      </c>
      <c r="AC70" s="155">
        <v>0.0</v>
      </c>
      <c r="AD70" s="155">
        <v>0.0</v>
      </c>
      <c r="AE70" s="155">
        <v>0.0</v>
      </c>
      <c r="AF70" s="155">
        <v>0.0</v>
      </c>
      <c r="AG70" s="155">
        <v>0.0</v>
      </c>
      <c r="AH70" s="155">
        <v>0.0</v>
      </c>
      <c r="BN70" s="155">
        <v>0.0</v>
      </c>
      <c r="BO70" s="155">
        <v>0.0</v>
      </c>
      <c r="BP70" s="155">
        <v>0.0</v>
      </c>
      <c r="BQ70" s="155">
        <v>0.0</v>
      </c>
      <c r="BR70" s="155">
        <v>0.0</v>
      </c>
      <c r="BS70" s="155">
        <v>0.0</v>
      </c>
      <c r="CV70" s="156">
        <v>0.0</v>
      </c>
      <c r="CW70" s="156">
        <v>0.0</v>
      </c>
      <c r="CX70" s="156">
        <v>0.0</v>
      </c>
      <c r="CY70" s="156">
        <v>0.0</v>
      </c>
      <c r="CZ70" s="156">
        <v>0.0</v>
      </c>
      <c r="DA70" s="156">
        <v>0.0</v>
      </c>
      <c r="EG70" s="156">
        <v>0.0</v>
      </c>
      <c r="EH70" s="156">
        <v>0.0</v>
      </c>
      <c r="EI70" s="156">
        <v>0.0</v>
      </c>
      <c r="EJ70" s="156">
        <v>0.0</v>
      </c>
      <c r="EK70" s="156">
        <v>0.0</v>
      </c>
      <c r="EL70" s="156">
        <v>0.0</v>
      </c>
      <c r="FQ70" s="156">
        <v>0.0</v>
      </c>
      <c r="FR70" s="156">
        <v>0.0</v>
      </c>
      <c r="FS70" s="156">
        <v>0.0</v>
      </c>
      <c r="FT70" s="156">
        <v>0.0</v>
      </c>
      <c r="FU70" s="156">
        <v>0.0</v>
      </c>
      <c r="FV70" s="156">
        <v>0.0</v>
      </c>
      <c r="FW70" s="157"/>
      <c r="FX70" s="157"/>
      <c r="FY70" s="157"/>
      <c r="FZ70" s="157"/>
      <c r="GA70" s="157"/>
      <c r="GB70" s="157"/>
      <c r="GC70" s="157"/>
      <c r="GD70" s="157"/>
      <c r="GE70" s="157"/>
      <c r="GF70" s="157"/>
      <c r="GG70" s="157"/>
      <c r="GH70" s="157"/>
      <c r="GI70" s="157"/>
      <c r="GJ70" s="157"/>
      <c r="GK70" s="157"/>
      <c r="GL70" s="157"/>
      <c r="GM70" s="157"/>
      <c r="GN70" s="157"/>
      <c r="GO70" s="157"/>
      <c r="GP70" s="158"/>
      <c r="GQ70" s="157"/>
      <c r="GR70" s="157"/>
      <c r="GS70" s="157"/>
      <c r="GT70" s="157"/>
      <c r="GU70" s="157"/>
      <c r="GV70" s="157"/>
      <c r="GW70" s="157"/>
      <c r="GX70" s="157"/>
      <c r="GY70" s="157"/>
      <c r="GZ70" s="157"/>
      <c r="HA70" s="157"/>
      <c r="HB70" s="155">
        <v>0.0</v>
      </c>
      <c r="HC70" s="155">
        <v>0.0</v>
      </c>
      <c r="HD70" s="155">
        <v>0.0</v>
      </c>
      <c r="HE70" s="155">
        <v>0.0</v>
      </c>
      <c r="HF70" s="155">
        <v>0.0</v>
      </c>
      <c r="HG70" s="155">
        <v>0.0</v>
      </c>
      <c r="IL70" s="159">
        <v>0.0</v>
      </c>
      <c r="IM70" s="156">
        <v>0.0</v>
      </c>
      <c r="IN70" s="156">
        <v>0.0</v>
      </c>
      <c r="IO70" s="156">
        <v>0.0</v>
      </c>
      <c r="IP70" s="156">
        <v>0.0</v>
      </c>
      <c r="IQ70" s="160">
        <v>0.0</v>
      </c>
      <c r="JH70" s="25"/>
      <c r="JW70" s="159">
        <v>0.0</v>
      </c>
      <c r="JX70" s="156">
        <v>0.0</v>
      </c>
      <c r="JY70" s="156">
        <v>0.0</v>
      </c>
      <c r="JZ70" s="156">
        <v>0.0</v>
      </c>
      <c r="KA70" s="156">
        <v>0.0</v>
      </c>
      <c r="KB70" s="160">
        <v>0.0</v>
      </c>
      <c r="LH70" s="159">
        <f t="shared" si="10"/>
        <v>0</v>
      </c>
      <c r="LI70" s="156">
        <f t="shared" si="11"/>
        <v>0</v>
      </c>
      <c r="LJ70" s="156">
        <f t="shared" si="12"/>
        <v>0</v>
      </c>
      <c r="LK70" s="156">
        <f t="shared" si="13"/>
        <v>0</v>
      </c>
      <c r="LL70" s="156">
        <f t="shared" si="14"/>
        <v>0</v>
      </c>
      <c r="LM70" s="160">
        <f t="shared" si="15"/>
        <v>0</v>
      </c>
      <c r="QX70" s="163">
        <v>45813.0</v>
      </c>
    </row>
    <row r="71">
      <c r="A71" s="12"/>
      <c r="B71" s="12"/>
      <c r="C71" s="12"/>
      <c r="D71" s="12"/>
      <c r="E71" s="12"/>
      <c r="F71" s="12"/>
      <c r="G71" s="12"/>
      <c r="H71" s="12"/>
      <c r="I71" s="143">
        <f t="shared" si="5"/>
        <v>-30</v>
      </c>
      <c r="J71" s="144">
        <v>45819.0</v>
      </c>
      <c r="K71" s="173" t="s">
        <v>61</v>
      </c>
      <c r="L71" s="144">
        <v>45901.0</v>
      </c>
      <c r="M71" s="257" t="s">
        <v>107</v>
      </c>
      <c r="N71" s="258">
        <v>246.0</v>
      </c>
      <c r="O71" s="258">
        <v>60.0</v>
      </c>
      <c r="P71" s="259"/>
      <c r="Q71" s="259"/>
      <c r="R71" s="259"/>
      <c r="S71" s="259"/>
      <c r="T71" s="259"/>
      <c r="U71" s="257" t="s">
        <v>1275</v>
      </c>
      <c r="V71" s="260"/>
      <c r="W71" s="261" t="s">
        <v>1277</v>
      </c>
      <c r="X71" s="181">
        <v>30.0</v>
      </c>
      <c r="Y71" s="166">
        <f t="shared" si="6"/>
        <v>30</v>
      </c>
      <c r="Z71" s="26">
        <f t="shared" si="7"/>
        <v>0</v>
      </c>
      <c r="AA71" s="26">
        <f t="shared" si="8"/>
        <v>0</v>
      </c>
      <c r="AB71" s="26">
        <f t="shared" si="9"/>
        <v>0</v>
      </c>
      <c r="AC71" s="155">
        <v>0.0</v>
      </c>
      <c r="AD71" s="155">
        <v>0.0</v>
      </c>
      <c r="AE71" s="155">
        <v>0.0</v>
      </c>
      <c r="AF71" s="155">
        <v>0.0</v>
      </c>
      <c r="AG71" s="155">
        <v>0.0</v>
      </c>
      <c r="AH71" s="155">
        <v>0.0</v>
      </c>
      <c r="BN71" s="155">
        <v>0.0</v>
      </c>
      <c r="BO71" s="155">
        <v>0.0</v>
      </c>
      <c r="BP71" s="155">
        <v>0.0</v>
      </c>
      <c r="BQ71" s="155">
        <v>0.0</v>
      </c>
      <c r="BR71" s="155">
        <v>0.0</v>
      </c>
      <c r="BS71" s="155">
        <v>0.0</v>
      </c>
      <c r="CV71" s="156">
        <v>0.0</v>
      </c>
      <c r="CW71" s="156">
        <v>0.0</v>
      </c>
      <c r="CX71" s="156">
        <v>0.0</v>
      </c>
      <c r="CY71" s="156">
        <v>0.0</v>
      </c>
      <c r="CZ71" s="156">
        <v>0.0</v>
      </c>
      <c r="DA71" s="156">
        <v>0.0</v>
      </c>
      <c r="EG71" s="156">
        <v>0.0</v>
      </c>
      <c r="EH71" s="156">
        <v>0.0</v>
      </c>
      <c r="EI71" s="156">
        <v>0.0</v>
      </c>
      <c r="EJ71" s="156">
        <v>0.0</v>
      </c>
      <c r="EK71" s="156">
        <v>0.0</v>
      </c>
      <c r="EL71" s="156">
        <v>0.0</v>
      </c>
      <c r="FQ71" s="156">
        <v>0.0</v>
      </c>
      <c r="FR71" s="156">
        <v>0.0</v>
      </c>
      <c r="FS71" s="156">
        <v>0.0</v>
      </c>
      <c r="FT71" s="156">
        <v>0.0</v>
      </c>
      <c r="FU71" s="156">
        <v>0.0</v>
      </c>
      <c r="FV71" s="156">
        <v>0.0</v>
      </c>
      <c r="FW71" s="157"/>
      <c r="FX71" s="157"/>
      <c r="FY71" s="157"/>
      <c r="FZ71" s="157"/>
      <c r="GA71" s="157"/>
      <c r="GB71" s="157"/>
      <c r="GC71" s="157"/>
      <c r="GD71" s="157"/>
      <c r="GE71" s="157"/>
      <c r="GF71" s="157"/>
      <c r="GG71" s="157"/>
      <c r="GH71" s="157"/>
      <c r="GI71" s="157"/>
      <c r="GJ71" s="157"/>
      <c r="GK71" s="157"/>
      <c r="GL71" s="157"/>
      <c r="GM71" s="157"/>
      <c r="GN71" s="157"/>
      <c r="GO71" s="157"/>
      <c r="GP71" s="158"/>
      <c r="GQ71" s="157"/>
      <c r="GR71" s="157"/>
      <c r="GS71" s="157"/>
      <c r="GT71" s="157"/>
      <c r="GU71" s="157"/>
      <c r="GV71" s="157"/>
      <c r="GW71" s="157"/>
      <c r="GX71" s="157"/>
      <c r="GY71" s="157"/>
      <c r="GZ71" s="157"/>
      <c r="HA71" s="157"/>
      <c r="HB71" s="155">
        <v>0.0</v>
      </c>
      <c r="HC71" s="155">
        <v>0.0</v>
      </c>
      <c r="HD71" s="155">
        <v>0.0</v>
      </c>
      <c r="HE71" s="155">
        <v>0.0</v>
      </c>
      <c r="HF71" s="155">
        <v>0.0</v>
      </c>
      <c r="HG71" s="155">
        <v>0.0</v>
      </c>
      <c r="IL71" s="159">
        <v>0.0</v>
      </c>
      <c r="IM71" s="156">
        <v>0.0</v>
      </c>
      <c r="IN71" s="156">
        <v>0.0</v>
      </c>
      <c r="IO71" s="156">
        <v>0.0</v>
      </c>
      <c r="IP71" s="156">
        <v>0.0</v>
      </c>
      <c r="IQ71" s="160">
        <v>0.0</v>
      </c>
      <c r="JH71" s="25"/>
      <c r="JW71" s="159">
        <v>0.0</v>
      </c>
      <c r="JX71" s="156">
        <v>0.0</v>
      </c>
      <c r="JY71" s="156">
        <v>0.0</v>
      </c>
      <c r="JZ71" s="156">
        <v>0.0</v>
      </c>
      <c r="KA71" s="156">
        <v>0.0</v>
      </c>
      <c r="KB71" s="160">
        <v>0.0</v>
      </c>
      <c r="LH71" s="159">
        <f t="shared" si="10"/>
        <v>0</v>
      </c>
      <c r="LI71" s="156">
        <f t="shared" si="11"/>
        <v>0</v>
      </c>
      <c r="LJ71" s="156">
        <f t="shared" si="12"/>
        <v>0</v>
      </c>
      <c r="LK71" s="156">
        <f t="shared" si="13"/>
        <v>0</v>
      </c>
      <c r="LL71" s="156">
        <f t="shared" si="14"/>
        <v>0</v>
      </c>
      <c r="LM71" s="160">
        <f t="shared" si="15"/>
        <v>0</v>
      </c>
      <c r="QX71" s="163">
        <v>45814.0</v>
      </c>
    </row>
    <row r="72">
      <c r="A72" s="12"/>
      <c r="B72" s="12"/>
      <c r="C72" s="12"/>
      <c r="D72" s="12"/>
      <c r="E72" s="12"/>
      <c r="F72" s="12"/>
      <c r="G72" s="12"/>
      <c r="H72" s="12"/>
      <c r="I72" s="143">
        <f t="shared" si="5"/>
        <v>-30</v>
      </c>
      <c r="J72" s="144">
        <v>45821.0</v>
      </c>
      <c r="K72" s="173" t="s">
        <v>61</v>
      </c>
      <c r="L72" s="144">
        <v>45931.0</v>
      </c>
      <c r="M72" s="262" t="s">
        <v>107</v>
      </c>
      <c r="N72" s="263">
        <v>246.0</v>
      </c>
      <c r="O72" s="263">
        <v>45.0</v>
      </c>
      <c r="P72" s="264"/>
      <c r="Q72" s="264"/>
      <c r="R72" s="264"/>
      <c r="S72" s="264"/>
      <c r="T72" s="264"/>
      <c r="U72" s="262" t="s">
        <v>675</v>
      </c>
      <c r="V72" s="265"/>
      <c r="W72" s="266" t="s">
        <v>1313</v>
      </c>
      <c r="X72" s="181">
        <v>30.0</v>
      </c>
      <c r="Y72" s="166">
        <f t="shared" si="6"/>
        <v>30</v>
      </c>
      <c r="Z72" s="26">
        <f t="shared" si="7"/>
        <v>0</v>
      </c>
      <c r="AA72" s="26">
        <f t="shared" si="8"/>
        <v>0</v>
      </c>
      <c r="AB72" s="26">
        <f t="shared" si="9"/>
        <v>0</v>
      </c>
      <c r="AC72" s="155">
        <v>0.0</v>
      </c>
      <c r="AD72" s="155">
        <v>0.0</v>
      </c>
      <c r="AE72" s="155">
        <v>0.0</v>
      </c>
      <c r="AF72" s="155">
        <v>0.0</v>
      </c>
      <c r="AG72" s="155">
        <v>0.0</v>
      </c>
      <c r="AH72" s="155">
        <v>0.0</v>
      </c>
      <c r="BN72" s="155">
        <v>0.0</v>
      </c>
      <c r="BO72" s="155">
        <v>0.0</v>
      </c>
      <c r="BP72" s="155">
        <v>0.0</v>
      </c>
      <c r="BQ72" s="155">
        <v>0.0</v>
      </c>
      <c r="BR72" s="155">
        <v>0.0</v>
      </c>
      <c r="BS72" s="155">
        <v>0.0</v>
      </c>
      <c r="CV72" s="156">
        <v>0.0</v>
      </c>
      <c r="CW72" s="156">
        <v>0.0</v>
      </c>
      <c r="CX72" s="156">
        <v>0.0</v>
      </c>
      <c r="CY72" s="156">
        <v>0.0</v>
      </c>
      <c r="CZ72" s="156">
        <v>0.0</v>
      </c>
      <c r="DA72" s="156">
        <v>0.0</v>
      </c>
      <c r="EG72" s="156">
        <v>0.0</v>
      </c>
      <c r="EH72" s="156">
        <v>0.0</v>
      </c>
      <c r="EI72" s="156">
        <v>0.0</v>
      </c>
      <c r="EJ72" s="156">
        <v>0.0</v>
      </c>
      <c r="EK72" s="156">
        <v>0.0</v>
      </c>
      <c r="EL72" s="156">
        <v>0.0</v>
      </c>
      <c r="FQ72" s="156">
        <v>0.0</v>
      </c>
      <c r="FR72" s="156">
        <v>0.0</v>
      </c>
      <c r="FS72" s="156">
        <v>0.0</v>
      </c>
      <c r="FT72" s="156">
        <v>0.0</v>
      </c>
      <c r="FU72" s="156">
        <v>0.0</v>
      </c>
      <c r="FV72" s="156">
        <v>0.0</v>
      </c>
      <c r="FW72" s="157"/>
      <c r="FX72" s="157"/>
      <c r="FY72" s="157"/>
      <c r="FZ72" s="157"/>
      <c r="GA72" s="157"/>
      <c r="GB72" s="157"/>
      <c r="GC72" s="157"/>
      <c r="GD72" s="157"/>
      <c r="GE72" s="157"/>
      <c r="GF72" s="157"/>
      <c r="GG72" s="157"/>
      <c r="GH72" s="157"/>
      <c r="GI72" s="157"/>
      <c r="GJ72" s="157"/>
      <c r="GK72" s="157"/>
      <c r="GL72" s="157"/>
      <c r="GM72" s="157"/>
      <c r="GN72" s="157"/>
      <c r="GO72" s="157"/>
      <c r="GP72" s="158"/>
      <c r="GQ72" s="157"/>
      <c r="GR72" s="157"/>
      <c r="GS72" s="157"/>
      <c r="GT72" s="157"/>
      <c r="GU72" s="157"/>
      <c r="GV72" s="157"/>
      <c r="GW72" s="157"/>
      <c r="GX72" s="157"/>
      <c r="GY72" s="157"/>
      <c r="GZ72" s="157"/>
      <c r="HA72" s="157"/>
      <c r="HB72" s="155">
        <v>0.0</v>
      </c>
      <c r="HC72" s="155">
        <v>0.0</v>
      </c>
      <c r="HD72" s="155">
        <v>0.0</v>
      </c>
      <c r="HE72" s="155">
        <v>0.0</v>
      </c>
      <c r="HF72" s="155">
        <v>0.0</v>
      </c>
      <c r="HG72" s="155">
        <v>0.0</v>
      </c>
      <c r="IL72" s="159">
        <v>0.0</v>
      </c>
      <c r="IM72" s="156">
        <v>0.0</v>
      </c>
      <c r="IN72" s="156">
        <v>0.0</v>
      </c>
      <c r="IO72" s="156">
        <v>0.0</v>
      </c>
      <c r="IP72" s="156">
        <v>0.0</v>
      </c>
      <c r="IQ72" s="160">
        <v>0.0</v>
      </c>
      <c r="JH72" s="25"/>
      <c r="JW72" s="159">
        <v>0.0</v>
      </c>
      <c r="JX72" s="156">
        <v>0.0</v>
      </c>
      <c r="JY72" s="156">
        <v>0.0</v>
      </c>
      <c r="JZ72" s="156">
        <v>0.0</v>
      </c>
      <c r="KA72" s="156">
        <v>0.0</v>
      </c>
      <c r="KB72" s="160">
        <v>0.0</v>
      </c>
      <c r="LH72" s="159">
        <f t="shared" si="10"/>
        <v>0</v>
      </c>
      <c r="LI72" s="156">
        <f t="shared" si="11"/>
        <v>0</v>
      </c>
      <c r="LJ72" s="156">
        <f t="shared" si="12"/>
        <v>0</v>
      </c>
      <c r="LK72" s="156">
        <f t="shared" si="13"/>
        <v>0</v>
      </c>
      <c r="LL72" s="156">
        <f t="shared" si="14"/>
        <v>0</v>
      </c>
      <c r="LM72" s="160">
        <f t="shared" si="15"/>
        <v>0</v>
      </c>
      <c r="QX72" s="163">
        <v>45814.0</v>
      </c>
    </row>
    <row r="73">
      <c r="A73" s="12"/>
      <c r="B73" s="12"/>
      <c r="C73" s="12"/>
      <c r="D73" s="12"/>
      <c r="E73" s="12"/>
      <c r="F73" s="12"/>
      <c r="G73" s="12"/>
      <c r="H73" s="12"/>
      <c r="I73" s="143">
        <f t="shared" si="5"/>
        <v>-30</v>
      </c>
      <c r="J73" s="144">
        <v>45819.0</v>
      </c>
      <c r="K73" s="173" t="s">
        <v>61</v>
      </c>
      <c r="L73" s="144">
        <v>45901.0</v>
      </c>
      <c r="M73" s="257" t="s">
        <v>107</v>
      </c>
      <c r="N73" s="258">
        <v>246.0</v>
      </c>
      <c r="O73" s="258">
        <v>60.0</v>
      </c>
      <c r="P73" s="259"/>
      <c r="Q73" s="259"/>
      <c r="R73" s="259"/>
      <c r="S73" s="259"/>
      <c r="T73" s="259"/>
      <c r="U73" s="257" t="s">
        <v>1275</v>
      </c>
      <c r="V73" s="260"/>
      <c r="W73" s="261" t="s">
        <v>1277</v>
      </c>
      <c r="X73" s="181">
        <v>30.0</v>
      </c>
      <c r="Y73" s="166">
        <f t="shared" si="6"/>
        <v>30</v>
      </c>
      <c r="Z73" s="26">
        <f t="shared" si="7"/>
        <v>0</v>
      </c>
      <c r="AA73" s="26">
        <f t="shared" si="8"/>
        <v>0</v>
      </c>
      <c r="AB73" s="26">
        <f t="shared" si="9"/>
        <v>0</v>
      </c>
      <c r="AC73" s="155">
        <v>0.0</v>
      </c>
      <c r="AD73" s="155">
        <v>0.0</v>
      </c>
      <c r="AE73" s="155">
        <v>0.0</v>
      </c>
      <c r="AF73" s="155">
        <v>0.0</v>
      </c>
      <c r="AG73" s="155">
        <v>0.0</v>
      </c>
      <c r="AH73" s="155">
        <v>0.0</v>
      </c>
      <c r="BN73" s="155">
        <v>0.0</v>
      </c>
      <c r="BO73" s="155">
        <v>0.0</v>
      </c>
      <c r="BP73" s="155">
        <v>0.0</v>
      </c>
      <c r="BQ73" s="155">
        <v>0.0</v>
      </c>
      <c r="BR73" s="155">
        <v>0.0</v>
      </c>
      <c r="BS73" s="155">
        <v>0.0</v>
      </c>
      <c r="CV73" s="156">
        <v>0.0</v>
      </c>
      <c r="CW73" s="156">
        <v>0.0</v>
      </c>
      <c r="CX73" s="156">
        <v>0.0</v>
      </c>
      <c r="CY73" s="156">
        <v>0.0</v>
      </c>
      <c r="CZ73" s="156">
        <v>0.0</v>
      </c>
      <c r="DA73" s="156">
        <v>0.0</v>
      </c>
      <c r="EG73" s="156">
        <v>0.0</v>
      </c>
      <c r="EH73" s="156">
        <v>0.0</v>
      </c>
      <c r="EI73" s="156">
        <v>0.0</v>
      </c>
      <c r="EJ73" s="156">
        <v>0.0</v>
      </c>
      <c r="EK73" s="156">
        <v>0.0</v>
      </c>
      <c r="EL73" s="156">
        <v>0.0</v>
      </c>
      <c r="FQ73" s="156">
        <v>0.0</v>
      </c>
      <c r="FR73" s="156">
        <v>0.0</v>
      </c>
      <c r="FS73" s="156">
        <v>0.0</v>
      </c>
      <c r="FT73" s="156">
        <v>0.0</v>
      </c>
      <c r="FU73" s="156">
        <v>0.0</v>
      </c>
      <c r="FV73" s="156">
        <v>0.0</v>
      </c>
      <c r="FW73" s="157"/>
      <c r="FX73" s="157"/>
      <c r="FY73" s="157"/>
      <c r="FZ73" s="157"/>
      <c r="GA73" s="157"/>
      <c r="GB73" s="157"/>
      <c r="GC73" s="157"/>
      <c r="GD73" s="157"/>
      <c r="GE73" s="157"/>
      <c r="GF73" s="157"/>
      <c r="GG73" s="157"/>
      <c r="GH73" s="157"/>
      <c r="GI73" s="157"/>
      <c r="GJ73" s="157"/>
      <c r="GK73" s="157"/>
      <c r="GL73" s="157"/>
      <c r="GM73" s="157"/>
      <c r="GN73" s="157"/>
      <c r="GO73" s="157"/>
      <c r="GP73" s="158"/>
      <c r="GQ73" s="157"/>
      <c r="GR73" s="157"/>
      <c r="GS73" s="157"/>
      <c r="GT73" s="157"/>
      <c r="GU73" s="157"/>
      <c r="GV73" s="157"/>
      <c r="GW73" s="157"/>
      <c r="GX73" s="157"/>
      <c r="GY73" s="157"/>
      <c r="GZ73" s="157"/>
      <c r="HA73" s="157"/>
      <c r="HB73" s="155">
        <v>0.0</v>
      </c>
      <c r="HC73" s="155">
        <v>0.0</v>
      </c>
      <c r="HD73" s="155">
        <v>0.0</v>
      </c>
      <c r="HE73" s="155">
        <v>0.0</v>
      </c>
      <c r="HF73" s="155">
        <v>0.0</v>
      </c>
      <c r="HG73" s="155">
        <v>0.0</v>
      </c>
      <c r="IL73" s="159">
        <v>0.0</v>
      </c>
      <c r="IM73" s="156">
        <v>0.0</v>
      </c>
      <c r="IN73" s="156">
        <v>0.0</v>
      </c>
      <c r="IO73" s="156">
        <v>0.0</v>
      </c>
      <c r="IP73" s="156">
        <v>0.0</v>
      </c>
      <c r="IQ73" s="160">
        <v>0.0</v>
      </c>
      <c r="JH73" s="25"/>
      <c r="JW73" s="159">
        <v>0.0</v>
      </c>
      <c r="JX73" s="156">
        <v>0.0</v>
      </c>
      <c r="JY73" s="156">
        <v>0.0</v>
      </c>
      <c r="JZ73" s="156">
        <v>0.0</v>
      </c>
      <c r="KA73" s="156">
        <v>0.0</v>
      </c>
      <c r="KB73" s="160">
        <v>0.0</v>
      </c>
      <c r="LH73" s="159">
        <f t="shared" si="10"/>
        <v>0</v>
      </c>
      <c r="LI73" s="156">
        <f t="shared" si="11"/>
        <v>0</v>
      </c>
      <c r="LJ73" s="156">
        <f t="shared" si="12"/>
        <v>0</v>
      </c>
      <c r="LK73" s="156">
        <f t="shared" si="13"/>
        <v>0</v>
      </c>
      <c r="LL73" s="156">
        <f t="shared" si="14"/>
        <v>0</v>
      </c>
      <c r="LM73" s="160">
        <f t="shared" si="15"/>
        <v>0</v>
      </c>
      <c r="QX73" s="163">
        <v>45814.0</v>
      </c>
    </row>
    <row r="74">
      <c r="A74" s="12"/>
      <c r="B74" s="12"/>
      <c r="C74" s="12"/>
      <c r="D74" s="12"/>
      <c r="E74" s="12"/>
      <c r="F74" s="12"/>
      <c r="G74" s="12"/>
      <c r="H74" s="12"/>
      <c r="I74" s="143">
        <f t="shared" si="5"/>
        <v>-21</v>
      </c>
      <c r="J74" s="144">
        <v>45817.0</v>
      </c>
      <c r="K74" s="49" t="s">
        <v>61</v>
      </c>
      <c r="L74" s="144">
        <v>45900.0</v>
      </c>
      <c r="M74" s="147" t="s">
        <v>107</v>
      </c>
      <c r="N74" s="148">
        <v>246.0</v>
      </c>
      <c r="O74" s="148">
        <v>30.0</v>
      </c>
      <c r="P74" s="26"/>
      <c r="Q74" s="26"/>
      <c r="R74" s="26"/>
      <c r="S74" s="26"/>
      <c r="T74" s="26"/>
      <c r="U74" s="147" t="s">
        <v>1226</v>
      </c>
      <c r="V74" s="149" t="s">
        <v>1324</v>
      </c>
      <c r="W74" s="198" t="s">
        <v>1326</v>
      </c>
      <c r="X74" s="181">
        <v>21.0</v>
      </c>
      <c r="Y74" s="166">
        <f t="shared" si="6"/>
        <v>21</v>
      </c>
      <c r="Z74" s="26">
        <f t="shared" si="7"/>
        <v>0</v>
      </c>
      <c r="AA74" s="26">
        <f t="shared" si="8"/>
        <v>0</v>
      </c>
      <c r="AB74" s="26">
        <f t="shared" si="9"/>
        <v>0</v>
      </c>
      <c r="AC74" s="155">
        <v>0.0</v>
      </c>
      <c r="AD74" s="155">
        <v>0.0</v>
      </c>
      <c r="AE74" s="155">
        <v>0.0</v>
      </c>
      <c r="AF74" s="155">
        <v>0.0</v>
      </c>
      <c r="AG74" s="155">
        <v>0.0</v>
      </c>
      <c r="AH74" s="155">
        <v>0.0</v>
      </c>
      <c r="BN74" s="155">
        <v>0.0</v>
      </c>
      <c r="BO74" s="155">
        <v>0.0</v>
      </c>
      <c r="BP74" s="155">
        <v>0.0</v>
      </c>
      <c r="BQ74" s="155">
        <v>0.0</v>
      </c>
      <c r="BR74" s="155">
        <v>0.0</v>
      </c>
      <c r="BS74" s="155">
        <v>0.0</v>
      </c>
      <c r="CV74" s="156">
        <v>0.0</v>
      </c>
      <c r="CW74" s="156">
        <v>0.0</v>
      </c>
      <c r="CX74" s="156">
        <v>0.0</v>
      </c>
      <c r="CY74" s="156">
        <v>0.0</v>
      </c>
      <c r="CZ74" s="156">
        <v>0.0</v>
      </c>
      <c r="DA74" s="156">
        <v>0.0</v>
      </c>
      <c r="EG74" s="156">
        <v>0.0</v>
      </c>
      <c r="EH74" s="156">
        <v>0.0</v>
      </c>
      <c r="EI74" s="156">
        <v>0.0</v>
      </c>
      <c r="EJ74" s="156">
        <v>0.0</v>
      </c>
      <c r="EK74" s="156">
        <v>0.0</v>
      </c>
      <c r="EL74" s="156">
        <v>0.0</v>
      </c>
      <c r="FQ74" s="156">
        <v>0.0</v>
      </c>
      <c r="FR74" s="156">
        <v>0.0</v>
      </c>
      <c r="FS74" s="156">
        <v>0.0</v>
      </c>
      <c r="FT74" s="156">
        <v>0.0</v>
      </c>
      <c r="FU74" s="156">
        <v>0.0</v>
      </c>
      <c r="FV74" s="156">
        <v>0.0</v>
      </c>
      <c r="FW74" s="157"/>
      <c r="FX74" s="157"/>
      <c r="FY74" s="157"/>
      <c r="FZ74" s="157"/>
      <c r="GA74" s="157"/>
      <c r="GB74" s="157"/>
      <c r="GC74" s="157"/>
      <c r="GD74" s="157"/>
      <c r="GE74" s="157"/>
      <c r="GF74" s="157"/>
      <c r="GG74" s="157"/>
      <c r="GH74" s="157"/>
      <c r="GI74" s="157"/>
      <c r="GJ74" s="157"/>
      <c r="GK74" s="157"/>
      <c r="GL74" s="157"/>
      <c r="GM74" s="157"/>
      <c r="GN74" s="157"/>
      <c r="GO74" s="157"/>
      <c r="GP74" s="158"/>
      <c r="GQ74" s="157"/>
      <c r="GR74" s="157"/>
      <c r="GS74" s="157"/>
      <c r="GT74" s="157"/>
      <c r="GU74" s="157"/>
      <c r="GV74" s="157"/>
      <c r="GW74" s="157"/>
      <c r="GX74" s="157"/>
      <c r="GY74" s="157"/>
      <c r="GZ74" s="157"/>
      <c r="HA74" s="157"/>
      <c r="HB74" s="155">
        <v>0.0</v>
      </c>
      <c r="HC74" s="155">
        <v>0.0</v>
      </c>
      <c r="HD74" s="155">
        <v>0.0</v>
      </c>
      <c r="HE74" s="155">
        <v>0.0</v>
      </c>
      <c r="HF74" s="155">
        <v>0.0</v>
      </c>
      <c r="HG74" s="155">
        <v>0.0</v>
      </c>
      <c r="IL74" s="159">
        <v>0.0</v>
      </c>
      <c r="IM74" s="156">
        <v>0.0</v>
      </c>
      <c r="IN74" s="156">
        <v>0.0</v>
      </c>
      <c r="IO74" s="156">
        <v>0.0</v>
      </c>
      <c r="IP74" s="156">
        <v>0.0</v>
      </c>
      <c r="IQ74" s="160">
        <v>0.0</v>
      </c>
      <c r="JH74" s="25"/>
      <c r="JW74" s="159">
        <v>0.0</v>
      </c>
      <c r="JX74" s="156">
        <v>0.0</v>
      </c>
      <c r="JY74" s="156">
        <v>0.0</v>
      </c>
      <c r="JZ74" s="156">
        <v>0.0</v>
      </c>
      <c r="KA74" s="156">
        <v>0.0</v>
      </c>
      <c r="KB74" s="160">
        <v>0.0</v>
      </c>
      <c r="LH74" s="159">
        <f t="shared" si="10"/>
        <v>0</v>
      </c>
      <c r="LI74" s="156">
        <f t="shared" si="11"/>
        <v>0</v>
      </c>
      <c r="LJ74" s="156">
        <f t="shared" si="12"/>
        <v>0</v>
      </c>
      <c r="LK74" s="156">
        <f t="shared" si="13"/>
        <v>0</v>
      </c>
      <c r="LL74" s="156">
        <f t="shared" si="14"/>
        <v>0</v>
      </c>
      <c r="LM74" s="160">
        <f t="shared" si="15"/>
        <v>0</v>
      </c>
      <c r="QX74" s="163">
        <v>45814.0</v>
      </c>
    </row>
    <row r="75">
      <c r="A75" s="12"/>
      <c r="B75" s="12"/>
      <c r="C75" s="12"/>
      <c r="D75" s="12"/>
      <c r="E75" s="12"/>
      <c r="F75" s="12"/>
      <c r="G75" s="12"/>
      <c r="H75" s="12"/>
      <c r="I75" s="143">
        <f t="shared" si="5"/>
        <v>-30</v>
      </c>
      <c r="J75" s="144">
        <v>45849.0</v>
      </c>
      <c r="K75" s="173" t="s">
        <v>61</v>
      </c>
      <c r="L75" s="144">
        <v>45931.0</v>
      </c>
      <c r="M75" s="267" t="s">
        <v>107</v>
      </c>
      <c r="N75" s="268">
        <v>246.0</v>
      </c>
      <c r="O75" s="268">
        <v>45.0</v>
      </c>
      <c r="P75" s="98"/>
      <c r="Q75" s="98"/>
      <c r="R75" s="98"/>
      <c r="S75" s="98"/>
      <c r="T75" s="98"/>
      <c r="U75" s="267" t="s">
        <v>1331</v>
      </c>
      <c r="V75" s="269"/>
      <c r="W75" s="270" t="s">
        <v>1332</v>
      </c>
      <c r="X75" s="181">
        <v>30.0</v>
      </c>
      <c r="Y75" s="166">
        <f t="shared" si="6"/>
        <v>30</v>
      </c>
      <c r="Z75" s="26">
        <f t="shared" si="7"/>
        <v>0</v>
      </c>
      <c r="AA75" s="26">
        <f t="shared" si="8"/>
        <v>0</v>
      </c>
      <c r="AB75" s="26">
        <f t="shared" si="9"/>
        <v>0</v>
      </c>
      <c r="AC75" s="155">
        <v>0.0</v>
      </c>
      <c r="AD75" s="155">
        <v>0.0</v>
      </c>
      <c r="AE75" s="155">
        <v>0.0</v>
      </c>
      <c r="AF75" s="155">
        <v>0.0</v>
      </c>
      <c r="AG75" s="155">
        <v>0.0</v>
      </c>
      <c r="AH75" s="155">
        <v>0.0</v>
      </c>
      <c r="BN75" s="155">
        <v>0.0</v>
      </c>
      <c r="BO75" s="155">
        <v>0.0</v>
      </c>
      <c r="BP75" s="155">
        <v>0.0</v>
      </c>
      <c r="BQ75" s="155">
        <v>0.0</v>
      </c>
      <c r="BR75" s="155">
        <v>0.0</v>
      </c>
      <c r="BS75" s="155">
        <v>0.0</v>
      </c>
      <c r="CV75" s="156">
        <v>0.0</v>
      </c>
      <c r="CW75" s="156">
        <v>0.0</v>
      </c>
      <c r="CX75" s="156">
        <v>0.0</v>
      </c>
      <c r="CY75" s="156">
        <v>0.0</v>
      </c>
      <c r="CZ75" s="156">
        <v>0.0</v>
      </c>
      <c r="DA75" s="156">
        <v>0.0</v>
      </c>
      <c r="EG75" s="156">
        <v>0.0</v>
      </c>
      <c r="EH75" s="156">
        <v>0.0</v>
      </c>
      <c r="EI75" s="156">
        <v>0.0</v>
      </c>
      <c r="EJ75" s="156">
        <v>0.0</v>
      </c>
      <c r="EK75" s="156">
        <v>0.0</v>
      </c>
      <c r="EL75" s="156">
        <v>0.0</v>
      </c>
      <c r="FQ75" s="156">
        <v>0.0</v>
      </c>
      <c r="FR75" s="156">
        <v>0.0</v>
      </c>
      <c r="FS75" s="156">
        <v>0.0</v>
      </c>
      <c r="FT75" s="156">
        <v>0.0</v>
      </c>
      <c r="FU75" s="156">
        <v>0.0</v>
      </c>
      <c r="FV75" s="156">
        <v>0.0</v>
      </c>
      <c r="FW75" s="157"/>
      <c r="FX75" s="157"/>
      <c r="FY75" s="157"/>
      <c r="FZ75" s="157"/>
      <c r="GA75" s="157"/>
      <c r="GB75" s="157"/>
      <c r="GC75" s="157"/>
      <c r="GD75" s="157"/>
      <c r="GE75" s="157"/>
      <c r="GF75" s="157"/>
      <c r="GG75" s="157"/>
      <c r="GH75" s="157"/>
      <c r="GI75" s="157"/>
      <c r="GJ75" s="157"/>
      <c r="GK75" s="157"/>
      <c r="GL75" s="157"/>
      <c r="GM75" s="157"/>
      <c r="GN75" s="157"/>
      <c r="GO75" s="157"/>
      <c r="GP75" s="158"/>
      <c r="GQ75" s="157"/>
      <c r="GR75" s="157"/>
      <c r="GS75" s="157"/>
      <c r="GT75" s="157"/>
      <c r="GU75" s="157"/>
      <c r="GV75" s="157"/>
      <c r="GW75" s="157"/>
      <c r="GX75" s="157"/>
      <c r="GY75" s="157"/>
      <c r="GZ75" s="157"/>
      <c r="HA75" s="157"/>
      <c r="HB75" s="155">
        <v>0.0</v>
      </c>
      <c r="HC75" s="155">
        <v>0.0</v>
      </c>
      <c r="HD75" s="155">
        <v>0.0</v>
      </c>
      <c r="HE75" s="155">
        <v>0.0</v>
      </c>
      <c r="HF75" s="155">
        <v>0.0</v>
      </c>
      <c r="HG75" s="155">
        <v>0.0</v>
      </c>
      <c r="IL75" s="159">
        <v>0.0</v>
      </c>
      <c r="IM75" s="156">
        <v>0.0</v>
      </c>
      <c r="IN75" s="156">
        <v>0.0</v>
      </c>
      <c r="IO75" s="156">
        <v>0.0</v>
      </c>
      <c r="IP75" s="156">
        <v>0.0</v>
      </c>
      <c r="IQ75" s="160">
        <v>0.0</v>
      </c>
      <c r="JH75" s="25"/>
      <c r="JW75" s="159">
        <v>0.0</v>
      </c>
      <c r="JX75" s="156">
        <v>0.0</v>
      </c>
      <c r="JY75" s="156">
        <v>0.0</v>
      </c>
      <c r="JZ75" s="156">
        <v>0.0</v>
      </c>
      <c r="KA75" s="156">
        <v>0.0</v>
      </c>
      <c r="KB75" s="160">
        <v>0.0</v>
      </c>
      <c r="LH75" s="159">
        <f t="shared" si="10"/>
        <v>0</v>
      </c>
      <c r="LI75" s="156">
        <f t="shared" si="11"/>
        <v>0</v>
      </c>
      <c r="LJ75" s="156">
        <f t="shared" si="12"/>
        <v>0</v>
      </c>
      <c r="LK75" s="156">
        <f t="shared" si="13"/>
        <v>0</v>
      </c>
      <c r="LL75" s="156">
        <f t="shared" si="14"/>
        <v>0</v>
      </c>
      <c r="LM75" s="160">
        <f t="shared" si="15"/>
        <v>0</v>
      </c>
      <c r="QX75" s="107">
        <v>45817.0</v>
      </c>
    </row>
    <row r="76">
      <c r="A76" s="12"/>
      <c r="B76" s="12"/>
      <c r="C76" s="12"/>
      <c r="D76" s="12"/>
      <c r="E76" s="12"/>
      <c r="F76" s="12"/>
      <c r="G76" s="12"/>
      <c r="H76" s="12"/>
      <c r="I76" s="219">
        <f t="shared" si="5"/>
        <v>-12</v>
      </c>
      <c r="J76" s="144">
        <v>45819.0</v>
      </c>
      <c r="K76" s="173" t="s">
        <v>61</v>
      </c>
      <c r="L76" s="144">
        <v>45847.0</v>
      </c>
      <c r="M76" s="147" t="s">
        <v>400</v>
      </c>
      <c r="N76" s="148">
        <v>246.0</v>
      </c>
      <c r="O76" s="148">
        <v>30.0</v>
      </c>
      <c r="P76" s="26"/>
      <c r="Q76" s="26"/>
      <c r="R76" s="26"/>
      <c r="S76" s="26"/>
      <c r="T76" s="26"/>
      <c r="U76" s="147" t="s">
        <v>1338</v>
      </c>
      <c r="V76" s="197"/>
      <c r="W76" s="198" t="s">
        <v>1339</v>
      </c>
      <c r="X76" s="181">
        <v>12.0</v>
      </c>
      <c r="Y76" s="166">
        <f t="shared" si="6"/>
        <v>12</v>
      </c>
      <c r="Z76" s="26">
        <f t="shared" si="7"/>
        <v>0</v>
      </c>
      <c r="AA76" s="26">
        <f t="shared" si="8"/>
        <v>0</v>
      </c>
      <c r="AB76" s="26">
        <f t="shared" si="9"/>
        <v>0</v>
      </c>
      <c r="AC76" s="155">
        <v>0.0</v>
      </c>
      <c r="AD76" s="155">
        <v>0.0</v>
      </c>
      <c r="AE76" s="155">
        <v>0.0</v>
      </c>
      <c r="AF76" s="155">
        <v>0.0</v>
      </c>
      <c r="AG76" s="155">
        <v>0.0</v>
      </c>
      <c r="AH76" s="155">
        <v>0.0</v>
      </c>
      <c r="BN76" s="155">
        <v>0.0</v>
      </c>
      <c r="BO76" s="155">
        <v>0.0</v>
      </c>
      <c r="BP76" s="155">
        <v>0.0</v>
      </c>
      <c r="BQ76" s="155">
        <v>0.0</v>
      </c>
      <c r="BR76" s="155">
        <v>0.0</v>
      </c>
      <c r="BS76" s="155">
        <v>0.0</v>
      </c>
      <c r="CV76" s="156">
        <v>0.0</v>
      </c>
      <c r="CW76" s="156">
        <v>0.0</v>
      </c>
      <c r="CX76" s="156">
        <v>0.0</v>
      </c>
      <c r="CY76" s="156">
        <v>0.0</v>
      </c>
      <c r="CZ76" s="156">
        <v>0.0</v>
      </c>
      <c r="DA76" s="156">
        <v>0.0</v>
      </c>
      <c r="EG76" s="156">
        <v>0.0</v>
      </c>
      <c r="EH76" s="156">
        <v>0.0</v>
      </c>
      <c r="EI76" s="156">
        <v>0.0</v>
      </c>
      <c r="EJ76" s="156">
        <v>0.0</v>
      </c>
      <c r="EK76" s="156">
        <v>0.0</v>
      </c>
      <c r="EL76" s="156">
        <v>0.0</v>
      </c>
      <c r="FQ76" s="156">
        <v>0.0</v>
      </c>
      <c r="FR76" s="156">
        <v>0.0</v>
      </c>
      <c r="FS76" s="156">
        <v>0.0</v>
      </c>
      <c r="FT76" s="156">
        <v>0.0</v>
      </c>
      <c r="FU76" s="156">
        <v>0.0</v>
      </c>
      <c r="FV76" s="156">
        <v>0.0</v>
      </c>
      <c r="FW76" s="157"/>
      <c r="FX76" s="157"/>
      <c r="FY76" s="157"/>
      <c r="FZ76" s="157"/>
      <c r="GA76" s="157"/>
      <c r="GB76" s="157"/>
      <c r="GC76" s="157"/>
      <c r="GD76" s="157"/>
      <c r="GE76" s="157"/>
      <c r="GF76" s="157"/>
      <c r="GG76" s="157"/>
      <c r="GH76" s="157"/>
      <c r="GI76" s="157"/>
      <c r="GJ76" s="157"/>
      <c r="GK76" s="157"/>
      <c r="GL76" s="157"/>
      <c r="GM76" s="157"/>
      <c r="GN76" s="157"/>
      <c r="GO76" s="157"/>
      <c r="GP76" s="158"/>
      <c r="GQ76" s="157"/>
      <c r="GR76" s="157"/>
      <c r="GS76" s="157"/>
      <c r="GT76" s="157"/>
      <c r="GU76" s="157"/>
      <c r="GV76" s="157"/>
      <c r="GW76" s="157"/>
      <c r="GX76" s="157"/>
      <c r="GY76" s="157"/>
      <c r="GZ76" s="157"/>
      <c r="HA76" s="157"/>
      <c r="HB76" s="155">
        <v>0.0</v>
      </c>
      <c r="HC76" s="155">
        <v>0.0</v>
      </c>
      <c r="HD76" s="155">
        <v>0.0</v>
      </c>
      <c r="HE76" s="155">
        <v>0.0</v>
      </c>
      <c r="HF76" s="155">
        <v>0.0</v>
      </c>
      <c r="HG76" s="155">
        <v>0.0</v>
      </c>
      <c r="IL76" s="159">
        <v>0.0</v>
      </c>
      <c r="IM76" s="156">
        <v>0.0</v>
      </c>
      <c r="IN76" s="156">
        <v>0.0</v>
      </c>
      <c r="IO76" s="156">
        <v>0.0</v>
      </c>
      <c r="IP76" s="156">
        <v>0.0</v>
      </c>
      <c r="IQ76" s="160">
        <v>0.0</v>
      </c>
      <c r="JH76" s="25"/>
      <c r="JW76" s="159">
        <v>0.0</v>
      </c>
      <c r="JX76" s="156">
        <v>0.0</v>
      </c>
      <c r="JY76" s="156">
        <v>0.0</v>
      </c>
      <c r="JZ76" s="156">
        <v>0.0</v>
      </c>
      <c r="KA76" s="156">
        <v>0.0</v>
      </c>
      <c r="KB76" s="160">
        <v>0.0</v>
      </c>
      <c r="LH76" s="159">
        <f t="shared" si="10"/>
        <v>0</v>
      </c>
      <c r="LI76" s="156">
        <f t="shared" si="11"/>
        <v>0</v>
      </c>
      <c r="LJ76" s="156">
        <f t="shared" si="12"/>
        <v>0</v>
      </c>
      <c r="LK76" s="156">
        <f t="shared" si="13"/>
        <v>0</v>
      </c>
      <c r="LL76" s="156">
        <f t="shared" si="14"/>
        <v>0</v>
      </c>
      <c r="LM76" s="160">
        <f t="shared" si="15"/>
        <v>0</v>
      </c>
      <c r="QX76" s="107">
        <v>45817.0</v>
      </c>
    </row>
    <row r="77">
      <c r="A77" s="12"/>
      <c r="B77" s="12"/>
      <c r="C77" s="12"/>
      <c r="D77" s="12"/>
      <c r="E77" s="12"/>
      <c r="F77" s="12"/>
      <c r="G77" s="12"/>
      <c r="H77" s="12"/>
      <c r="I77" s="143">
        <f t="shared" si="5"/>
        <v>-6</v>
      </c>
      <c r="J77" s="144">
        <v>45826.0</v>
      </c>
      <c r="K77" s="146" t="s">
        <v>61</v>
      </c>
      <c r="L77" s="144">
        <v>45840.0</v>
      </c>
      <c r="M77" s="147" t="s">
        <v>1157</v>
      </c>
      <c r="N77" s="148">
        <v>246.0</v>
      </c>
      <c r="O77" s="148">
        <v>30.0</v>
      </c>
      <c r="P77" s="26"/>
      <c r="Q77" s="26"/>
      <c r="R77" s="26"/>
      <c r="S77" s="26"/>
      <c r="T77" s="26"/>
      <c r="U77" s="147" t="s">
        <v>1131</v>
      </c>
      <c r="V77" s="197"/>
      <c r="W77" s="198" t="s">
        <v>1345</v>
      </c>
      <c r="X77" s="181">
        <v>6.0</v>
      </c>
      <c r="Y77" s="166">
        <f t="shared" si="6"/>
        <v>6</v>
      </c>
      <c r="Z77" s="26">
        <f t="shared" si="7"/>
        <v>0</v>
      </c>
      <c r="AA77" s="26">
        <f t="shared" si="8"/>
        <v>0</v>
      </c>
      <c r="AB77" s="26">
        <f t="shared" si="9"/>
        <v>0</v>
      </c>
      <c r="AC77" s="155">
        <v>0.0</v>
      </c>
      <c r="AD77" s="155">
        <v>0.0</v>
      </c>
      <c r="AE77" s="155">
        <v>0.0</v>
      </c>
      <c r="AF77" s="155">
        <v>0.0</v>
      </c>
      <c r="AG77" s="155">
        <v>0.0</v>
      </c>
      <c r="AH77" s="155">
        <v>0.0</v>
      </c>
      <c r="BN77" s="155">
        <v>0.0</v>
      </c>
      <c r="BO77" s="155">
        <v>0.0</v>
      </c>
      <c r="BP77" s="155">
        <v>0.0</v>
      </c>
      <c r="BQ77" s="155">
        <v>0.0</v>
      </c>
      <c r="BR77" s="155">
        <v>0.0</v>
      </c>
      <c r="BS77" s="155">
        <v>0.0</v>
      </c>
      <c r="CV77" s="156">
        <v>0.0</v>
      </c>
      <c r="CW77" s="156">
        <v>0.0</v>
      </c>
      <c r="CX77" s="156">
        <v>0.0</v>
      </c>
      <c r="CY77" s="156">
        <v>0.0</v>
      </c>
      <c r="CZ77" s="156">
        <v>0.0</v>
      </c>
      <c r="DA77" s="156">
        <v>0.0</v>
      </c>
      <c r="EG77" s="156">
        <v>0.0</v>
      </c>
      <c r="EH77" s="156">
        <v>0.0</v>
      </c>
      <c r="EI77" s="156">
        <v>0.0</v>
      </c>
      <c r="EJ77" s="156">
        <v>0.0</v>
      </c>
      <c r="EK77" s="156">
        <v>0.0</v>
      </c>
      <c r="EL77" s="156">
        <v>0.0</v>
      </c>
      <c r="FQ77" s="156">
        <v>0.0</v>
      </c>
      <c r="FR77" s="156">
        <v>0.0</v>
      </c>
      <c r="FS77" s="156">
        <v>0.0</v>
      </c>
      <c r="FT77" s="156">
        <v>0.0</v>
      </c>
      <c r="FU77" s="156">
        <v>0.0</v>
      </c>
      <c r="FV77" s="156">
        <v>0.0</v>
      </c>
      <c r="FW77" s="157"/>
      <c r="FX77" s="157"/>
      <c r="FY77" s="157"/>
      <c r="FZ77" s="157"/>
      <c r="GA77" s="157"/>
      <c r="GB77" s="157"/>
      <c r="GC77" s="157"/>
      <c r="GD77" s="157"/>
      <c r="GE77" s="157"/>
      <c r="GF77" s="157"/>
      <c r="GG77" s="157"/>
      <c r="GH77" s="157"/>
      <c r="GI77" s="157"/>
      <c r="GJ77" s="157"/>
      <c r="GK77" s="157"/>
      <c r="GL77" s="157"/>
      <c r="GM77" s="157"/>
      <c r="GN77" s="157"/>
      <c r="GO77" s="157"/>
      <c r="GP77" s="158"/>
      <c r="GQ77" s="157"/>
      <c r="GR77" s="157"/>
      <c r="GS77" s="157"/>
      <c r="GT77" s="157"/>
      <c r="GU77" s="157"/>
      <c r="GV77" s="157"/>
      <c r="GW77" s="157"/>
      <c r="GX77" s="157"/>
      <c r="GY77" s="157"/>
      <c r="GZ77" s="157"/>
      <c r="HA77" s="157"/>
      <c r="HB77" s="155">
        <v>0.0</v>
      </c>
      <c r="HC77" s="155">
        <v>0.0</v>
      </c>
      <c r="HD77" s="155">
        <v>0.0</v>
      </c>
      <c r="HE77" s="155">
        <v>0.0</v>
      </c>
      <c r="HF77" s="155">
        <v>0.0</v>
      </c>
      <c r="HG77" s="155">
        <v>0.0</v>
      </c>
      <c r="IL77" s="159">
        <v>0.0</v>
      </c>
      <c r="IM77" s="156">
        <v>0.0</v>
      </c>
      <c r="IN77" s="156">
        <v>0.0</v>
      </c>
      <c r="IO77" s="156">
        <v>0.0</v>
      </c>
      <c r="IP77" s="156">
        <v>0.0</v>
      </c>
      <c r="IQ77" s="160">
        <v>0.0</v>
      </c>
      <c r="JH77" s="25"/>
      <c r="JW77" s="159">
        <v>0.0</v>
      </c>
      <c r="JX77" s="156">
        <v>0.0</v>
      </c>
      <c r="JY77" s="156">
        <v>0.0</v>
      </c>
      <c r="JZ77" s="156">
        <v>0.0</v>
      </c>
      <c r="KA77" s="156">
        <v>0.0</v>
      </c>
      <c r="KB77" s="160">
        <v>0.0</v>
      </c>
      <c r="LH77" s="159">
        <f t="shared" si="10"/>
        <v>0</v>
      </c>
      <c r="LI77" s="156">
        <f t="shared" si="11"/>
        <v>0</v>
      </c>
      <c r="LJ77" s="156">
        <f t="shared" si="12"/>
        <v>0</v>
      </c>
      <c r="LK77" s="156">
        <f t="shared" si="13"/>
        <v>0</v>
      </c>
      <c r="LL77" s="156">
        <f t="shared" si="14"/>
        <v>0</v>
      </c>
      <c r="LM77" s="160">
        <f t="shared" si="15"/>
        <v>0</v>
      </c>
      <c r="QX77" s="107">
        <v>45818.0</v>
      </c>
    </row>
    <row r="78">
      <c r="A78" s="12"/>
      <c r="B78" s="12"/>
      <c r="C78" s="12"/>
      <c r="D78" s="12"/>
      <c r="E78" s="12"/>
      <c r="F78" s="12"/>
      <c r="G78" s="12"/>
      <c r="H78" s="12"/>
      <c r="I78" s="143">
        <f t="shared" si="5"/>
        <v>-30</v>
      </c>
      <c r="J78" s="144">
        <v>45819.0</v>
      </c>
      <c r="K78" s="173" t="s">
        <v>61</v>
      </c>
      <c r="L78" s="144">
        <v>45901.0</v>
      </c>
      <c r="M78" s="257" t="s">
        <v>107</v>
      </c>
      <c r="N78" s="258">
        <v>246.0</v>
      </c>
      <c r="O78" s="258">
        <v>60.0</v>
      </c>
      <c r="P78" s="259"/>
      <c r="Q78" s="259"/>
      <c r="R78" s="259"/>
      <c r="S78" s="259"/>
      <c r="T78" s="259"/>
      <c r="U78" s="257" t="s">
        <v>1275</v>
      </c>
      <c r="V78" s="260"/>
      <c r="W78" s="261" t="s">
        <v>1277</v>
      </c>
      <c r="X78" s="181">
        <v>30.0</v>
      </c>
      <c r="Y78" s="166">
        <f t="shared" si="6"/>
        <v>30</v>
      </c>
      <c r="Z78" s="26">
        <f t="shared" si="7"/>
        <v>0</v>
      </c>
      <c r="AA78" s="26">
        <f t="shared" si="8"/>
        <v>0</v>
      </c>
      <c r="AB78" s="26">
        <f t="shared" si="9"/>
        <v>0</v>
      </c>
      <c r="AC78" s="155">
        <v>0.0</v>
      </c>
      <c r="AD78" s="155">
        <v>0.0</v>
      </c>
      <c r="AE78" s="155">
        <v>0.0</v>
      </c>
      <c r="AF78" s="155">
        <v>0.0</v>
      </c>
      <c r="AG78" s="155">
        <v>0.0</v>
      </c>
      <c r="AH78" s="155">
        <v>0.0</v>
      </c>
      <c r="BN78" s="155">
        <v>0.0</v>
      </c>
      <c r="BO78" s="155">
        <v>0.0</v>
      </c>
      <c r="BP78" s="155">
        <v>0.0</v>
      </c>
      <c r="BQ78" s="155">
        <v>0.0</v>
      </c>
      <c r="BR78" s="155">
        <v>0.0</v>
      </c>
      <c r="BS78" s="155">
        <v>0.0</v>
      </c>
      <c r="CV78" s="156">
        <v>0.0</v>
      </c>
      <c r="CW78" s="156">
        <v>0.0</v>
      </c>
      <c r="CX78" s="156">
        <v>0.0</v>
      </c>
      <c r="CY78" s="156">
        <v>0.0</v>
      </c>
      <c r="CZ78" s="156">
        <v>0.0</v>
      </c>
      <c r="DA78" s="156">
        <v>0.0</v>
      </c>
      <c r="EG78" s="156">
        <v>0.0</v>
      </c>
      <c r="EH78" s="156">
        <v>0.0</v>
      </c>
      <c r="EI78" s="156">
        <v>0.0</v>
      </c>
      <c r="EJ78" s="156">
        <v>0.0</v>
      </c>
      <c r="EK78" s="156">
        <v>0.0</v>
      </c>
      <c r="EL78" s="156">
        <v>0.0</v>
      </c>
      <c r="FQ78" s="156">
        <v>0.0</v>
      </c>
      <c r="FR78" s="156">
        <v>0.0</v>
      </c>
      <c r="FS78" s="156">
        <v>0.0</v>
      </c>
      <c r="FT78" s="156">
        <v>0.0</v>
      </c>
      <c r="FU78" s="156">
        <v>0.0</v>
      </c>
      <c r="FV78" s="156">
        <v>0.0</v>
      </c>
      <c r="FW78" s="157"/>
      <c r="FX78" s="157"/>
      <c r="FY78" s="157"/>
      <c r="FZ78" s="157"/>
      <c r="GA78" s="157"/>
      <c r="GB78" s="157"/>
      <c r="GC78" s="157"/>
      <c r="GD78" s="157"/>
      <c r="GE78" s="157"/>
      <c r="GF78" s="157"/>
      <c r="GG78" s="157"/>
      <c r="GH78" s="157"/>
      <c r="GI78" s="157"/>
      <c r="GJ78" s="157"/>
      <c r="GK78" s="157"/>
      <c r="GL78" s="157"/>
      <c r="GM78" s="157"/>
      <c r="GN78" s="157"/>
      <c r="GO78" s="157"/>
      <c r="GP78" s="158"/>
      <c r="GQ78" s="157"/>
      <c r="GR78" s="157"/>
      <c r="GS78" s="157"/>
      <c r="GT78" s="157"/>
      <c r="GU78" s="157"/>
      <c r="GV78" s="157"/>
      <c r="GW78" s="157"/>
      <c r="GX78" s="157"/>
      <c r="GY78" s="157"/>
      <c r="GZ78" s="157"/>
      <c r="HA78" s="157"/>
      <c r="HB78" s="155">
        <v>0.0</v>
      </c>
      <c r="HC78" s="155">
        <v>0.0</v>
      </c>
      <c r="HD78" s="155">
        <v>0.0</v>
      </c>
      <c r="HE78" s="155">
        <v>0.0</v>
      </c>
      <c r="HF78" s="155">
        <v>0.0</v>
      </c>
      <c r="HG78" s="155">
        <v>0.0</v>
      </c>
      <c r="IL78" s="159">
        <v>0.0</v>
      </c>
      <c r="IM78" s="156">
        <v>0.0</v>
      </c>
      <c r="IN78" s="156">
        <v>0.0</v>
      </c>
      <c r="IO78" s="156">
        <v>0.0</v>
      </c>
      <c r="IP78" s="156">
        <v>0.0</v>
      </c>
      <c r="IQ78" s="160">
        <v>0.0</v>
      </c>
      <c r="JH78" s="25"/>
      <c r="JW78" s="159">
        <v>0.0</v>
      </c>
      <c r="JX78" s="156">
        <v>0.0</v>
      </c>
      <c r="JY78" s="156">
        <v>0.0</v>
      </c>
      <c r="JZ78" s="156">
        <v>0.0</v>
      </c>
      <c r="KA78" s="156">
        <v>0.0</v>
      </c>
      <c r="KB78" s="160">
        <v>0.0</v>
      </c>
      <c r="LH78" s="159">
        <f t="shared" si="10"/>
        <v>0</v>
      </c>
      <c r="LI78" s="156">
        <f t="shared" si="11"/>
        <v>0</v>
      </c>
      <c r="LJ78" s="156">
        <f t="shared" si="12"/>
        <v>0</v>
      </c>
      <c r="LK78" s="156">
        <f t="shared" si="13"/>
        <v>0</v>
      </c>
      <c r="LL78" s="156">
        <f t="shared" si="14"/>
        <v>0</v>
      </c>
      <c r="LM78" s="160">
        <f t="shared" si="15"/>
        <v>0</v>
      </c>
      <c r="QX78" s="107">
        <v>45817.0</v>
      </c>
    </row>
    <row r="79">
      <c r="A79" s="12"/>
      <c r="B79" s="12"/>
      <c r="C79" s="12"/>
      <c r="D79" s="12"/>
      <c r="E79" s="12"/>
      <c r="F79" s="12"/>
      <c r="G79" s="12"/>
      <c r="H79" s="12"/>
      <c r="I79" s="143">
        <f t="shared" si="5"/>
        <v>-8</v>
      </c>
      <c r="J79" s="144">
        <v>45817.0</v>
      </c>
      <c r="K79" s="195" t="s">
        <v>61</v>
      </c>
      <c r="L79" s="144">
        <v>45849.0</v>
      </c>
      <c r="M79" s="147" t="s">
        <v>348</v>
      </c>
      <c r="N79" s="148">
        <v>246.0</v>
      </c>
      <c r="O79" s="148">
        <v>30.0</v>
      </c>
      <c r="P79" s="26"/>
      <c r="Q79" s="26"/>
      <c r="R79" s="26"/>
      <c r="S79" s="26"/>
      <c r="T79" s="26"/>
      <c r="U79" s="147" t="s">
        <v>1226</v>
      </c>
      <c r="V79" s="149" t="s">
        <v>1324</v>
      </c>
      <c r="W79" s="150" t="s">
        <v>1370</v>
      </c>
      <c r="X79" s="181">
        <v>8.0</v>
      </c>
      <c r="Y79" s="166">
        <f t="shared" si="6"/>
        <v>8</v>
      </c>
      <c r="Z79" s="26">
        <f t="shared" si="7"/>
        <v>0</v>
      </c>
      <c r="AA79" s="26">
        <f t="shared" si="8"/>
        <v>0</v>
      </c>
      <c r="AB79" s="26">
        <f t="shared" si="9"/>
        <v>0</v>
      </c>
      <c r="AC79" s="155">
        <v>0.0</v>
      </c>
      <c r="AD79" s="155">
        <v>0.0</v>
      </c>
      <c r="AE79" s="155">
        <v>0.0</v>
      </c>
      <c r="AF79" s="155">
        <v>0.0</v>
      </c>
      <c r="AG79" s="155">
        <v>0.0</v>
      </c>
      <c r="AH79" s="155">
        <v>0.0</v>
      </c>
      <c r="BN79" s="155">
        <v>0.0</v>
      </c>
      <c r="BO79" s="155">
        <v>0.0</v>
      </c>
      <c r="BP79" s="155">
        <v>0.0</v>
      </c>
      <c r="BQ79" s="155">
        <v>0.0</v>
      </c>
      <c r="BR79" s="155">
        <v>0.0</v>
      </c>
      <c r="BS79" s="155">
        <v>0.0</v>
      </c>
      <c r="CV79" s="156">
        <v>0.0</v>
      </c>
      <c r="CW79" s="156">
        <v>0.0</v>
      </c>
      <c r="CX79" s="156">
        <v>0.0</v>
      </c>
      <c r="CY79" s="156">
        <v>0.0</v>
      </c>
      <c r="CZ79" s="156">
        <v>0.0</v>
      </c>
      <c r="DA79" s="156">
        <v>0.0</v>
      </c>
      <c r="EG79" s="156">
        <v>0.0</v>
      </c>
      <c r="EH79" s="156">
        <v>0.0</v>
      </c>
      <c r="EI79" s="156">
        <v>0.0</v>
      </c>
      <c r="EJ79" s="156">
        <v>0.0</v>
      </c>
      <c r="EK79" s="156">
        <v>0.0</v>
      </c>
      <c r="EL79" s="156">
        <v>0.0</v>
      </c>
      <c r="FQ79" s="156">
        <v>0.0</v>
      </c>
      <c r="FR79" s="156">
        <v>0.0</v>
      </c>
      <c r="FS79" s="156">
        <v>0.0</v>
      </c>
      <c r="FT79" s="156">
        <v>0.0</v>
      </c>
      <c r="FU79" s="156">
        <v>0.0</v>
      </c>
      <c r="FV79" s="156">
        <v>0.0</v>
      </c>
      <c r="FW79" s="157"/>
      <c r="FX79" s="157"/>
      <c r="FY79" s="157"/>
      <c r="FZ79" s="157"/>
      <c r="GA79" s="157"/>
      <c r="GB79" s="157"/>
      <c r="GC79" s="157"/>
      <c r="GD79" s="157"/>
      <c r="GE79" s="157"/>
      <c r="GF79" s="157"/>
      <c r="GG79" s="157"/>
      <c r="GH79" s="157"/>
      <c r="GI79" s="157"/>
      <c r="GJ79" s="157"/>
      <c r="GK79" s="157"/>
      <c r="GL79" s="157"/>
      <c r="GM79" s="157"/>
      <c r="GN79" s="157"/>
      <c r="GO79" s="157"/>
      <c r="GP79" s="158"/>
      <c r="GQ79" s="157"/>
      <c r="GR79" s="157"/>
      <c r="GS79" s="157"/>
      <c r="GT79" s="157"/>
      <c r="GU79" s="157"/>
      <c r="GV79" s="157"/>
      <c r="GW79" s="157"/>
      <c r="GX79" s="157"/>
      <c r="GY79" s="157"/>
      <c r="GZ79" s="157"/>
      <c r="HA79" s="157"/>
      <c r="HB79" s="155">
        <v>0.0</v>
      </c>
      <c r="HC79" s="155">
        <v>0.0</v>
      </c>
      <c r="HD79" s="155">
        <v>0.0</v>
      </c>
      <c r="HE79" s="155">
        <v>0.0</v>
      </c>
      <c r="HF79" s="155">
        <v>0.0</v>
      </c>
      <c r="HG79" s="155">
        <v>0.0</v>
      </c>
      <c r="IL79" s="159">
        <v>0.0</v>
      </c>
      <c r="IM79" s="156">
        <v>0.0</v>
      </c>
      <c r="IN79" s="156">
        <v>0.0</v>
      </c>
      <c r="IO79" s="156">
        <v>0.0</v>
      </c>
      <c r="IP79" s="156">
        <v>0.0</v>
      </c>
      <c r="IQ79" s="160">
        <v>0.0</v>
      </c>
      <c r="JH79" s="25"/>
      <c r="JW79" s="159">
        <v>0.0</v>
      </c>
      <c r="JX79" s="156">
        <v>0.0</v>
      </c>
      <c r="JY79" s="156">
        <v>0.0</v>
      </c>
      <c r="JZ79" s="156">
        <v>0.0</v>
      </c>
      <c r="KA79" s="156">
        <v>0.0</v>
      </c>
      <c r="KB79" s="160">
        <v>0.0</v>
      </c>
      <c r="LH79" s="159">
        <f t="shared" si="10"/>
        <v>0</v>
      </c>
      <c r="LI79" s="156">
        <f t="shared" si="11"/>
        <v>0</v>
      </c>
      <c r="LJ79" s="156">
        <f t="shared" si="12"/>
        <v>0</v>
      </c>
      <c r="LK79" s="156">
        <f t="shared" si="13"/>
        <v>0</v>
      </c>
      <c r="LL79" s="156">
        <f t="shared" si="14"/>
        <v>0</v>
      </c>
      <c r="LM79" s="160">
        <f t="shared" si="15"/>
        <v>0</v>
      </c>
      <c r="QX79" s="107">
        <v>45818.0</v>
      </c>
    </row>
    <row r="80">
      <c r="A80" s="12"/>
      <c r="B80" s="12"/>
      <c r="C80" s="12"/>
      <c r="D80" s="12"/>
      <c r="E80" s="12"/>
      <c r="F80" s="12"/>
      <c r="G80" s="12"/>
      <c r="H80" s="12"/>
      <c r="I80" s="143">
        <f t="shared" si="5"/>
        <v>-12</v>
      </c>
      <c r="J80" s="144">
        <v>45819.0</v>
      </c>
      <c r="K80" s="173" t="s">
        <v>61</v>
      </c>
      <c r="L80" s="144">
        <v>45846.0</v>
      </c>
      <c r="M80" s="147" t="s">
        <v>348</v>
      </c>
      <c r="N80" s="148">
        <v>246.0</v>
      </c>
      <c r="O80" s="148">
        <v>30.0</v>
      </c>
      <c r="P80" s="26"/>
      <c r="Q80" s="26"/>
      <c r="R80" s="26"/>
      <c r="S80" s="26"/>
      <c r="T80" s="26"/>
      <c r="U80" s="147" t="s">
        <v>1391</v>
      </c>
      <c r="V80" s="197"/>
      <c r="W80" s="198" t="s">
        <v>1392</v>
      </c>
      <c r="X80" s="181">
        <v>12.0</v>
      </c>
      <c r="Y80" s="166">
        <f t="shared" si="6"/>
        <v>12</v>
      </c>
      <c r="Z80" s="26">
        <f t="shared" si="7"/>
        <v>0</v>
      </c>
      <c r="AA80" s="26">
        <f t="shared" si="8"/>
        <v>0</v>
      </c>
      <c r="AB80" s="26">
        <f t="shared" si="9"/>
        <v>0</v>
      </c>
      <c r="AC80" s="155">
        <v>0.0</v>
      </c>
      <c r="AD80" s="155">
        <v>0.0</v>
      </c>
      <c r="AE80" s="155">
        <v>0.0</v>
      </c>
      <c r="AF80" s="155">
        <v>0.0</v>
      </c>
      <c r="AG80" s="155">
        <v>0.0</v>
      </c>
      <c r="AH80" s="155">
        <v>0.0</v>
      </c>
      <c r="BN80" s="155">
        <v>0.0</v>
      </c>
      <c r="BO80" s="155">
        <v>0.0</v>
      </c>
      <c r="BP80" s="155">
        <v>0.0</v>
      </c>
      <c r="BQ80" s="155">
        <v>0.0</v>
      </c>
      <c r="BR80" s="155">
        <v>0.0</v>
      </c>
      <c r="BS80" s="155">
        <v>0.0</v>
      </c>
      <c r="CV80" s="156">
        <v>0.0</v>
      </c>
      <c r="CW80" s="156">
        <v>0.0</v>
      </c>
      <c r="CX80" s="156">
        <v>0.0</v>
      </c>
      <c r="CY80" s="156">
        <v>0.0</v>
      </c>
      <c r="CZ80" s="156">
        <v>0.0</v>
      </c>
      <c r="DA80" s="156">
        <v>0.0</v>
      </c>
      <c r="EG80" s="156">
        <v>0.0</v>
      </c>
      <c r="EH80" s="156">
        <v>0.0</v>
      </c>
      <c r="EI80" s="156">
        <v>0.0</v>
      </c>
      <c r="EJ80" s="156">
        <v>0.0</v>
      </c>
      <c r="EK80" s="156">
        <v>0.0</v>
      </c>
      <c r="EL80" s="156">
        <v>0.0</v>
      </c>
      <c r="FQ80" s="156">
        <v>0.0</v>
      </c>
      <c r="FR80" s="156">
        <v>0.0</v>
      </c>
      <c r="FS80" s="156">
        <v>0.0</v>
      </c>
      <c r="FT80" s="156">
        <v>0.0</v>
      </c>
      <c r="FU80" s="156">
        <v>0.0</v>
      </c>
      <c r="FV80" s="156">
        <v>0.0</v>
      </c>
      <c r="FW80" s="157"/>
      <c r="FX80" s="157"/>
      <c r="FY80" s="157"/>
      <c r="FZ80" s="157"/>
      <c r="GA80" s="157"/>
      <c r="GB80" s="157"/>
      <c r="GC80" s="157"/>
      <c r="GD80" s="157"/>
      <c r="GE80" s="157"/>
      <c r="GF80" s="157"/>
      <c r="GG80" s="157"/>
      <c r="GH80" s="157"/>
      <c r="GI80" s="157"/>
      <c r="GJ80" s="157"/>
      <c r="GK80" s="157"/>
      <c r="GL80" s="157"/>
      <c r="GM80" s="157"/>
      <c r="GN80" s="157"/>
      <c r="GO80" s="157"/>
      <c r="GP80" s="158"/>
      <c r="GQ80" s="157"/>
      <c r="GR80" s="157"/>
      <c r="GS80" s="157"/>
      <c r="GT80" s="157"/>
      <c r="GU80" s="157"/>
      <c r="GV80" s="157"/>
      <c r="GW80" s="157"/>
      <c r="GX80" s="157"/>
      <c r="GY80" s="157"/>
      <c r="GZ80" s="157"/>
      <c r="HA80" s="157"/>
      <c r="HB80" s="155">
        <v>0.0</v>
      </c>
      <c r="HC80" s="155">
        <v>0.0</v>
      </c>
      <c r="HD80" s="155">
        <v>0.0</v>
      </c>
      <c r="HE80" s="155">
        <v>0.0</v>
      </c>
      <c r="HF80" s="155">
        <v>0.0</v>
      </c>
      <c r="HG80" s="155">
        <v>0.0</v>
      </c>
      <c r="IL80" s="159">
        <v>0.0</v>
      </c>
      <c r="IM80" s="156">
        <v>0.0</v>
      </c>
      <c r="IN80" s="156">
        <v>0.0</v>
      </c>
      <c r="IO80" s="156">
        <v>0.0</v>
      </c>
      <c r="IP80" s="156">
        <v>0.0</v>
      </c>
      <c r="IQ80" s="160">
        <v>0.0</v>
      </c>
      <c r="JH80" s="25"/>
      <c r="JW80" s="159">
        <v>0.0</v>
      </c>
      <c r="JX80" s="156">
        <v>0.0</v>
      </c>
      <c r="JY80" s="156">
        <v>0.0</v>
      </c>
      <c r="JZ80" s="156">
        <v>0.0</v>
      </c>
      <c r="KA80" s="156">
        <v>0.0</v>
      </c>
      <c r="KB80" s="160">
        <v>0.0</v>
      </c>
      <c r="LH80" s="159">
        <f t="shared" si="10"/>
        <v>0</v>
      </c>
      <c r="LI80" s="156">
        <f t="shared" si="11"/>
        <v>0</v>
      </c>
      <c r="LJ80" s="156">
        <f t="shared" si="12"/>
        <v>0</v>
      </c>
      <c r="LK80" s="156">
        <f t="shared" si="13"/>
        <v>0</v>
      </c>
      <c r="LL80" s="156">
        <f t="shared" si="14"/>
        <v>0</v>
      </c>
      <c r="LM80" s="160">
        <f t="shared" si="15"/>
        <v>0</v>
      </c>
      <c r="QX80" s="107">
        <v>45818.0</v>
      </c>
    </row>
    <row r="81">
      <c r="A81" s="12"/>
      <c r="B81" s="12"/>
      <c r="C81" s="12"/>
      <c r="D81" s="12"/>
      <c r="E81" s="12"/>
      <c r="F81" s="12"/>
      <c r="G81" s="12"/>
      <c r="H81" s="12"/>
      <c r="I81" s="143">
        <f t="shared" si="5"/>
        <v>-30</v>
      </c>
      <c r="J81" s="144">
        <v>45826.0</v>
      </c>
      <c r="K81" s="173" t="s">
        <v>61</v>
      </c>
      <c r="L81" s="144">
        <v>45922.0</v>
      </c>
      <c r="M81" s="147" t="s">
        <v>227</v>
      </c>
      <c r="N81" s="148">
        <v>246.0</v>
      </c>
      <c r="O81" s="148">
        <v>30.0</v>
      </c>
      <c r="P81" s="26"/>
      <c r="Q81" s="26"/>
      <c r="R81" s="26"/>
      <c r="S81" s="26"/>
      <c r="T81" s="26"/>
      <c r="U81" s="147" t="s">
        <v>990</v>
      </c>
      <c r="V81" s="197"/>
      <c r="W81" s="198" t="s">
        <v>1412</v>
      </c>
      <c r="X81" s="181">
        <v>30.0</v>
      </c>
      <c r="Y81" s="166">
        <f t="shared" si="6"/>
        <v>30</v>
      </c>
      <c r="Z81" s="26">
        <f t="shared" si="7"/>
        <v>0</v>
      </c>
      <c r="AA81" s="26">
        <f t="shared" si="8"/>
        <v>0</v>
      </c>
      <c r="AB81" s="26">
        <f t="shared" si="9"/>
        <v>0</v>
      </c>
      <c r="AC81" s="155">
        <v>0.0</v>
      </c>
      <c r="AD81" s="155">
        <v>0.0</v>
      </c>
      <c r="AE81" s="155">
        <v>0.0</v>
      </c>
      <c r="AF81" s="155">
        <v>0.0</v>
      </c>
      <c r="AG81" s="155">
        <v>0.0</v>
      </c>
      <c r="AH81" s="155">
        <v>0.0</v>
      </c>
      <c r="BN81" s="155">
        <v>0.0</v>
      </c>
      <c r="BO81" s="155">
        <v>0.0</v>
      </c>
      <c r="BP81" s="155">
        <v>0.0</v>
      </c>
      <c r="BQ81" s="155">
        <v>0.0</v>
      </c>
      <c r="BR81" s="155">
        <v>0.0</v>
      </c>
      <c r="BS81" s="155">
        <v>0.0</v>
      </c>
      <c r="CV81" s="156">
        <v>0.0</v>
      </c>
      <c r="CW81" s="156">
        <v>0.0</v>
      </c>
      <c r="CX81" s="156">
        <v>0.0</v>
      </c>
      <c r="CY81" s="156">
        <v>0.0</v>
      </c>
      <c r="CZ81" s="156">
        <v>0.0</v>
      </c>
      <c r="DA81" s="156">
        <v>0.0</v>
      </c>
      <c r="EG81" s="156">
        <v>0.0</v>
      </c>
      <c r="EH81" s="156">
        <v>0.0</v>
      </c>
      <c r="EI81" s="156">
        <v>0.0</v>
      </c>
      <c r="EJ81" s="156">
        <v>0.0</v>
      </c>
      <c r="EK81" s="156">
        <v>0.0</v>
      </c>
      <c r="EL81" s="156">
        <v>0.0</v>
      </c>
      <c r="FQ81" s="156">
        <v>0.0</v>
      </c>
      <c r="FR81" s="156">
        <v>0.0</v>
      </c>
      <c r="FS81" s="156">
        <v>0.0</v>
      </c>
      <c r="FT81" s="156">
        <v>0.0</v>
      </c>
      <c r="FU81" s="156">
        <v>0.0</v>
      </c>
      <c r="FV81" s="156">
        <v>0.0</v>
      </c>
      <c r="FW81" s="157"/>
      <c r="FX81" s="157"/>
      <c r="FY81" s="157"/>
      <c r="FZ81" s="157"/>
      <c r="GA81" s="157"/>
      <c r="GB81" s="157"/>
      <c r="GC81" s="157"/>
      <c r="GD81" s="157"/>
      <c r="GE81" s="157"/>
      <c r="GF81" s="157"/>
      <c r="GG81" s="157"/>
      <c r="GH81" s="157"/>
      <c r="GI81" s="157"/>
      <c r="GJ81" s="157"/>
      <c r="GK81" s="157"/>
      <c r="GL81" s="157"/>
      <c r="GM81" s="157"/>
      <c r="GN81" s="157"/>
      <c r="GO81" s="157"/>
      <c r="GP81" s="158"/>
      <c r="GQ81" s="157"/>
      <c r="GR81" s="157"/>
      <c r="GS81" s="157"/>
      <c r="GT81" s="157"/>
      <c r="GU81" s="157"/>
      <c r="GV81" s="157"/>
      <c r="GW81" s="157"/>
      <c r="GX81" s="157"/>
      <c r="GY81" s="157"/>
      <c r="GZ81" s="157"/>
      <c r="HA81" s="157"/>
      <c r="HB81" s="155">
        <v>0.0</v>
      </c>
      <c r="HC81" s="155">
        <v>0.0</v>
      </c>
      <c r="HD81" s="155">
        <v>0.0</v>
      </c>
      <c r="HE81" s="155">
        <v>0.0</v>
      </c>
      <c r="HF81" s="155">
        <v>0.0</v>
      </c>
      <c r="HG81" s="155">
        <v>0.0</v>
      </c>
      <c r="IL81" s="159">
        <v>0.0</v>
      </c>
      <c r="IM81" s="156">
        <v>0.0</v>
      </c>
      <c r="IN81" s="156">
        <v>0.0</v>
      </c>
      <c r="IO81" s="156">
        <v>0.0</v>
      </c>
      <c r="IP81" s="156">
        <v>0.0</v>
      </c>
      <c r="IQ81" s="160">
        <v>0.0</v>
      </c>
      <c r="JH81" s="25"/>
      <c r="JW81" s="159">
        <v>0.0</v>
      </c>
      <c r="JX81" s="156">
        <v>0.0</v>
      </c>
      <c r="JY81" s="156">
        <v>0.0</v>
      </c>
      <c r="JZ81" s="156">
        <v>0.0</v>
      </c>
      <c r="KA81" s="156">
        <v>0.0</v>
      </c>
      <c r="KB81" s="160">
        <v>0.0</v>
      </c>
      <c r="LH81" s="159">
        <f t="shared" si="10"/>
        <v>0</v>
      </c>
      <c r="LI81" s="156">
        <f t="shared" si="11"/>
        <v>0</v>
      </c>
      <c r="LJ81" s="156">
        <f t="shared" si="12"/>
        <v>0</v>
      </c>
      <c r="LK81" s="156">
        <f t="shared" si="13"/>
        <v>0</v>
      </c>
      <c r="LL81" s="156">
        <f t="shared" si="14"/>
        <v>0</v>
      </c>
      <c r="LM81" s="160">
        <f t="shared" si="15"/>
        <v>0</v>
      </c>
      <c r="QX81" s="107">
        <v>45818.0</v>
      </c>
    </row>
    <row r="82">
      <c r="A82" s="12"/>
      <c r="B82" s="12"/>
      <c r="C82" s="12"/>
      <c r="D82" s="12"/>
      <c r="E82" s="12"/>
      <c r="F82" s="12"/>
      <c r="G82" s="12"/>
      <c r="H82" s="12"/>
      <c r="I82" s="143">
        <f t="shared" si="5"/>
        <v>-30</v>
      </c>
      <c r="J82" s="144">
        <v>45821.0</v>
      </c>
      <c r="K82" s="173" t="s">
        <v>61</v>
      </c>
      <c r="L82" s="144">
        <v>45914.0</v>
      </c>
      <c r="M82" s="147" t="s">
        <v>107</v>
      </c>
      <c r="N82" s="148">
        <v>246.0</v>
      </c>
      <c r="O82" s="148">
        <v>30.0</v>
      </c>
      <c r="P82" s="26"/>
      <c r="Q82" s="26"/>
      <c r="R82" s="26"/>
      <c r="S82" s="26"/>
      <c r="T82" s="26"/>
      <c r="U82" s="147" t="s">
        <v>1338</v>
      </c>
      <c r="V82" s="197"/>
      <c r="W82" s="198" t="s">
        <v>1420</v>
      </c>
      <c r="X82" s="181">
        <v>30.0</v>
      </c>
      <c r="Y82" s="166">
        <f t="shared" si="6"/>
        <v>30</v>
      </c>
      <c r="Z82" s="26">
        <f t="shared" si="7"/>
        <v>0</v>
      </c>
      <c r="AA82" s="26">
        <f t="shared" si="8"/>
        <v>0</v>
      </c>
      <c r="AB82" s="26">
        <f t="shared" si="9"/>
        <v>0</v>
      </c>
      <c r="AC82" s="155">
        <v>0.0</v>
      </c>
      <c r="AD82" s="155">
        <v>0.0</v>
      </c>
      <c r="AE82" s="155">
        <v>0.0</v>
      </c>
      <c r="AF82" s="155">
        <v>0.0</v>
      </c>
      <c r="AG82" s="155">
        <v>0.0</v>
      </c>
      <c r="AH82" s="155">
        <v>0.0</v>
      </c>
      <c r="BN82" s="155">
        <v>0.0</v>
      </c>
      <c r="BO82" s="155">
        <v>0.0</v>
      </c>
      <c r="BP82" s="155">
        <v>0.0</v>
      </c>
      <c r="BQ82" s="155">
        <v>0.0</v>
      </c>
      <c r="BR82" s="155">
        <v>0.0</v>
      </c>
      <c r="BS82" s="155">
        <v>0.0</v>
      </c>
      <c r="CV82" s="156">
        <v>0.0</v>
      </c>
      <c r="CW82" s="156">
        <v>0.0</v>
      </c>
      <c r="CX82" s="156">
        <v>0.0</v>
      </c>
      <c r="CY82" s="156">
        <v>0.0</v>
      </c>
      <c r="CZ82" s="156">
        <v>0.0</v>
      </c>
      <c r="DA82" s="156">
        <v>0.0</v>
      </c>
      <c r="EG82" s="156">
        <v>0.0</v>
      </c>
      <c r="EH82" s="156">
        <v>0.0</v>
      </c>
      <c r="EI82" s="156">
        <v>0.0</v>
      </c>
      <c r="EJ82" s="156">
        <v>0.0</v>
      </c>
      <c r="EK82" s="156">
        <v>0.0</v>
      </c>
      <c r="EL82" s="156">
        <v>0.0</v>
      </c>
      <c r="FQ82" s="156">
        <v>0.0</v>
      </c>
      <c r="FR82" s="156">
        <v>0.0</v>
      </c>
      <c r="FS82" s="156">
        <v>0.0</v>
      </c>
      <c r="FT82" s="156">
        <v>0.0</v>
      </c>
      <c r="FU82" s="156">
        <v>0.0</v>
      </c>
      <c r="FV82" s="156">
        <v>0.0</v>
      </c>
      <c r="FW82" s="157"/>
      <c r="FX82" s="157"/>
      <c r="FY82" s="157"/>
      <c r="FZ82" s="157"/>
      <c r="GA82" s="157"/>
      <c r="GB82" s="157"/>
      <c r="GC82" s="157"/>
      <c r="GD82" s="157"/>
      <c r="GE82" s="157"/>
      <c r="GF82" s="157"/>
      <c r="GG82" s="157"/>
      <c r="GH82" s="157"/>
      <c r="GI82" s="157"/>
      <c r="GJ82" s="157"/>
      <c r="GK82" s="157"/>
      <c r="GL82" s="157"/>
      <c r="GM82" s="157"/>
      <c r="GN82" s="157"/>
      <c r="GO82" s="157"/>
      <c r="GP82" s="158"/>
      <c r="GQ82" s="157"/>
      <c r="GR82" s="157"/>
      <c r="GS82" s="157"/>
      <c r="GT82" s="157"/>
      <c r="GU82" s="157"/>
      <c r="GV82" s="157"/>
      <c r="GW82" s="157"/>
      <c r="GX82" s="157"/>
      <c r="GY82" s="157"/>
      <c r="GZ82" s="157"/>
      <c r="HA82" s="157"/>
      <c r="HB82" s="155">
        <v>0.0</v>
      </c>
      <c r="HC82" s="155">
        <v>0.0</v>
      </c>
      <c r="HD82" s="155">
        <v>0.0</v>
      </c>
      <c r="HE82" s="155">
        <v>0.0</v>
      </c>
      <c r="HF82" s="155">
        <v>0.0</v>
      </c>
      <c r="HG82" s="155">
        <v>0.0</v>
      </c>
      <c r="IL82" s="159">
        <v>0.0</v>
      </c>
      <c r="IM82" s="156">
        <v>0.0</v>
      </c>
      <c r="IN82" s="156">
        <v>0.0</v>
      </c>
      <c r="IO82" s="156">
        <v>0.0</v>
      </c>
      <c r="IP82" s="156">
        <v>0.0</v>
      </c>
      <c r="IQ82" s="160">
        <v>0.0</v>
      </c>
      <c r="JH82" s="25"/>
      <c r="JW82" s="159">
        <v>0.0</v>
      </c>
      <c r="JX82" s="156">
        <v>0.0</v>
      </c>
      <c r="JY82" s="156">
        <v>0.0</v>
      </c>
      <c r="JZ82" s="156">
        <v>0.0</v>
      </c>
      <c r="KA82" s="156">
        <v>0.0</v>
      </c>
      <c r="KB82" s="160">
        <v>0.0</v>
      </c>
      <c r="LH82" s="159">
        <f t="shared" si="10"/>
        <v>0</v>
      </c>
      <c r="LI82" s="156">
        <f t="shared" si="11"/>
        <v>0</v>
      </c>
      <c r="LJ82" s="156">
        <f t="shared" si="12"/>
        <v>0</v>
      </c>
      <c r="LK82" s="156">
        <f t="shared" si="13"/>
        <v>0</v>
      </c>
      <c r="LL82" s="156">
        <f t="shared" si="14"/>
        <v>0</v>
      </c>
      <c r="LM82" s="160">
        <f t="shared" si="15"/>
        <v>0</v>
      </c>
      <c r="QX82" s="107">
        <v>45818.0</v>
      </c>
    </row>
    <row r="83">
      <c r="A83" s="12"/>
      <c r="B83" s="12"/>
      <c r="C83" s="12"/>
      <c r="D83" s="12"/>
      <c r="E83" s="12"/>
      <c r="F83" s="12"/>
      <c r="G83" s="12"/>
      <c r="H83" s="12"/>
      <c r="I83" s="143">
        <f t="shared" si="5"/>
        <v>-23</v>
      </c>
      <c r="J83" s="144">
        <v>45824.0</v>
      </c>
      <c r="K83" s="195" t="s">
        <v>61</v>
      </c>
      <c r="L83" s="144">
        <v>45934.0</v>
      </c>
      <c r="M83" s="147" t="s">
        <v>227</v>
      </c>
      <c r="N83" s="148">
        <v>246.0</v>
      </c>
      <c r="O83" s="148">
        <v>30.0</v>
      </c>
      <c r="P83" s="26"/>
      <c r="Q83" s="26"/>
      <c r="R83" s="26"/>
      <c r="S83" s="26"/>
      <c r="T83" s="26"/>
      <c r="U83" s="147" t="s">
        <v>731</v>
      </c>
      <c r="V83" s="149" t="s">
        <v>732</v>
      </c>
      <c r="W83" s="198" t="s">
        <v>1429</v>
      </c>
      <c r="X83" s="181">
        <v>23.0</v>
      </c>
      <c r="Y83" s="166">
        <f t="shared" si="6"/>
        <v>23</v>
      </c>
      <c r="Z83" s="26">
        <f t="shared" si="7"/>
        <v>0</v>
      </c>
      <c r="AA83" s="26">
        <f t="shared" si="8"/>
        <v>0</v>
      </c>
      <c r="AB83" s="26">
        <f t="shared" si="9"/>
        <v>0</v>
      </c>
      <c r="AC83" s="155">
        <v>0.0</v>
      </c>
      <c r="AD83" s="155">
        <v>0.0</v>
      </c>
      <c r="AE83" s="155">
        <v>0.0</v>
      </c>
      <c r="AF83" s="155">
        <v>0.0</v>
      </c>
      <c r="AG83" s="155">
        <v>0.0</v>
      </c>
      <c r="AH83" s="155">
        <v>0.0</v>
      </c>
      <c r="BN83" s="155">
        <v>0.0</v>
      </c>
      <c r="BO83" s="155">
        <v>0.0</v>
      </c>
      <c r="BP83" s="155">
        <v>0.0</v>
      </c>
      <c r="BQ83" s="155">
        <v>0.0</v>
      </c>
      <c r="BR83" s="155">
        <v>0.0</v>
      </c>
      <c r="BS83" s="155">
        <v>0.0</v>
      </c>
      <c r="CV83" s="156">
        <v>0.0</v>
      </c>
      <c r="CW83" s="156">
        <v>0.0</v>
      </c>
      <c r="CX83" s="156">
        <v>0.0</v>
      </c>
      <c r="CY83" s="156">
        <v>0.0</v>
      </c>
      <c r="CZ83" s="156">
        <v>0.0</v>
      </c>
      <c r="DA83" s="156">
        <v>0.0</v>
      </c>
      <c r="EG83" s="156">
        <v>0.0</v>
      </c>
      <c r="EH83" s="156">
        <v>0.0</v>
      </c>
      <c r="EI83" s="156">
        <v>0.0</v>
      </c>
      <c r="EJ83" s="156">
        <v>0.0</v>
      </c>
      <c r="EK83" s="156">
        <v>0.0</v>
      </c>
      <c r="EL83" s="156">
        <v>0.0</v>
      </c>
      <c r="FQ83" s="156">
        <v>0.0</v>
      </c>
      <c r="FR83" s="156">
        <v>0.0</v>
      </c>
      <c r="FS83" s="156">
        <v>0.0</v>
      </c>
      <c r="FT83" s="156">
        <v>0.0</v>
      </c>
      <c r="FU83" s="156">
        <v>0.0</v>
      </c>
      <c r="FV83" s="156">
        <v>0.0</v>
      </c>
      <c r="FW83" s="157"/>
      <c r="FX83" s="157"/>
      <c r="FY83" s="157"/>
      <c r="FZ83" s="157"/>
      <c r="GA83" s="157"/>
      <c r="GB83" s="157"/>
      <c r="GC83" s="157"/>
      <c r="GD83" s="157"/>
      <c r="GE83" s="157"/>
      <c r="GF83" s="157"/>
      <c r="GG83" s="157"/>
      <c r="GH83" s="157"/>
      <c r="GI83" s="157"/>
      <c r="GJ83" s="157"/>
      <c r="GK83" s="157"/>
      <c r="GL83" s="157"/>
      <c r="GM83" s="157"/>
      <c r="GN83" s="157"/>
      <c r="GO83" s="157"/>
      <c r="GP83" s="158"/>
      <c r="GQ83" s="157"/>
      <c r="GR83" s="157"/>
      <c r="GS83" s="157"/>
      <c r="GT83" s="157"/>
      <c r="GU83" s="157"/>
      <c r="GV83" s="157"/>
      <c r="GW83" s="157"/>
      <c r="GX83" s="157"/>
      <c r="GY83" s="157"/>
      <c r="GZ83" s="157"/>
      <c r="HA83" s="157"/>
      <c r="HB83" s="155">
        <v>0.0</v>
      </c>
      <c r="HC83" s="155">
        <v>0.0</v>
      </c>
      <c r="HD83" s="155">
        <v>0.0</v>
      </c>
      <c r="HE83" s="155">
        <v>0.0</v>
      </c>
      <c r="HF83" s="155">
        <v>0.0</v>
      </c>
      <c r="HG83" s="155">
        <v>0.0</v>
      </c>
      <c r="IL83" s="159">
        <v>0.0</v>
      </c>
      <c r="IM83" s="156">
        <v>0.0</v>
      </c>
      <c r="IN83" s="156">
        <v>0.0</v>
      </c>
      <c r="IO83" s="156">
        <v>0.0</v>
      </c>
      <c r="IP83" s="156">
        <v>0.0</v>
      </c>
      <c r="IQ83" s="160">
        <v>0.0</v>
      </c>
      <c r="JH83" s="25"/>
      <c r="JW83" s="159">
        <v>0.0</v>
      </c>
      <c r="JX83" s="156">
        <v>0.0</v>
      </c>
      <c r="JY83" s="156">
        <v>0.0</v>
      </c>
      <c r="JZ83" s="156">
        <v>0.0</v>
      </c>
      <c r="KA83" s="156">
        <v>0.0</v>
      </c>
      <c r="KB83" s="160">
        <v>0.0</v>
      </c>
      <c r="LH83" s="159">
        <f t="shared" si="10"/>
        <v>0</v>
      </c>
      <c r="LI83" s="156">
        <f t="shared" si="11"/>
        <v>0</v>
      </c>
      <c r="LJ83" s="156">
        <f t="shared" si="12"/>
        <v>0</v>
      </c>
      <c r="LK83" s="156">
        <f t="shared" si="13"/>
        <v>0</v>
      </c>
      <c r="LL83" s="156">
        <f t="shared" si="14"/>
        <v>0</v>
      </c>
      <c r="LM83" s="160">
        <f t="shared" si="15"/>
        <v>0</v>
      </c>
      <c r="QX83" s="107">
        <v>45819.0</v>
      </c>
    </row>
    <row r="84">
      <c r="A84" s="12"/>
      <c r="B84" s="12"/>
      <c r="C84" s="12"/>
      <c r="D84" s="12"/>
      <c r="E84" s="12"/>
      <c r="F84" s="12"/>
      <c r="G84" s="12"/>
      <c r="H84" s="12"/>
      <c r="I84" s="219">
        <f t="shared" si="5"/>
        <v>-31</v>
      </c>
      <c r="J84" s="144">
        <v>45819.0</v>
      </c>
      <c r="K84" s="173" t="s">
        <v>61</v>
      </c>
      <c r="L84" s="144">
        <v>45924.0</v>
      </c>
      <c r="M84" s="147" t="s">
        <v>1433</v>
      </c>
      <c r="N84" s="148">
        <v>246.0</v>
      </c>
      <c r="O84" s="148">
        <v>30.0</v>
      </c>
      <c r="P84" s="26"/>
      <c r="Q84" s="26"/>
      <c r="R84" s="26"/>
      <c r="S84" s="26"/>
      <c r="T84" s="26"/>
      <c r="U84" s="147" t="s">
        <v>800</v>
      </c>
      <c r="V84" s="197"/>
      <c r="W84" s="198" t="s">
        <v>1434</v>
      </c>
      <c r="X84" s="181">
        <v>31.0</v>
      </c>
      <c r="Y84" s="166">
        <f t="shared" si="6"/>
        <v>31</v>
      </c>
      <c r="Z84" s="26">
        <f t="shared" si="7"/>
        <v>0</v>
      </c>
      <c r="AA84" s="26">
        <f t="shared" si="8"/>
        <v>0</v>
      </c>
      <c r="AB84" s="26">
        <f t="shared" si="9"/>
        <v>0</v>
      </c>
      <c r="AC84" s="155">
        <v>0.0</v>
      </c>
      <c r="AD84" s="155">
        <v>0.0</v>
      </c>
      <c r="AE84" s="155">
        <v>0.0</v>
      </c>
      <c r="AF84" s="155">
        <v>0.0</v>
      </c>
      <c r="AG84" s="155">
        <v>0.0</v>
      </c>
      <c r="AH84" s="155">
        <v>0.0</v>
      </c>
      <c r="BN84" s="155">
        <v>0.0</v>
      </c>
      <c r="BO84" s="155">
        <v>0.0</v>
      </c>
      <c r="BP84" s="155">
        <v>0.0</v>
      </c>
      <c r="BQ84" s="155">
        <v>0.0</v>
      </c>
      <c r="BR84" s="155">
        <v>0.0</v>
      </c>
      <c r="BS84" s="155">
        <v>0.0</v>
      </c>
      <c r="CV84" s="156">
        <v>0.0</v>
      </c>
      <c r="CW84" s="156">
        <v>0.0</v>
      </c>
      <c r="CX84" s="156">
        <v>0.0</v>
      </c>
      <c r="CY84" s="156">
        <v>0.0</v>
      </c>
      <c r="CZ84" s="156">
        <v>0.0</v>
      </c>
      <c r="DA84" s="156">
        <v>0.0</v>
      </c>
      <c r="EG84" s="156">
        <v>0.0</v>
      </c>
      <c r="EH84" s="156">
        <v>0.0</v>
      </c>
      <c r="EI84" s="156">
        <v>0.0</v>
      </c>
      <c r="EJ84" s="156">
        <v>0.0</v>
      </c>
      <c r="EK84" s="156">
        <v>0.0</v>
      </c>
      <c r="EL84" s="156">
        <v>0.0</v>
      </c>
      <c r="FQ84" s="156">
        <v>0.0</v>
      </c>
      <c r="FR84" s="156">
        <v>0.0</v>
      </c>
      <c r="FS84" s="156">
        <v>0.0</v>
      </c>
      <c r="FT84" s="156">
        <v>0.0</v>
      </c>
      <c r="FU84" s="156">
        <v>0.0</v>
      </c>
      <c r="FV84" s="156">
        <v>0.0</v>
      </c>
      <c r="FW84" s="157"/>
      <c r="FX84" s="157"/>
      <c r="FY84" s="157"/>
      <c r="FZ84" s="157"/>
      <c r="GA84" s="157"/>
      <c r="GB84" s="157"/>
      <c r="GC84" s="157"/>
      <c r="GD84" s="157"/>
      <c r="GE84" s="157"/>
      <c r="GF84" s="157"/>
      <c r="GG84" s="157"/>
      <c r="GH84" s="157"/>
      <c r="GI84" s="157"/>
      <c r="GJ84" s="157"/>
      <c r="GK84" s="157"/>
      <c r="GL84" s="157"/>
      <c r="GM84" s="157"/>
      <c r="GN84" s="157"/>
      <c r="GO84" s="157"/>
      <c r="GP84" s="158"/>
      <c r="GQ84" s="157"/>
      <c r="GR84" s="157"/>
      <c r="GS84" s="157"/>
      <c r="GT84" s="157"/>
      <c r="GU84" s="157"/>
      <c r="GV84" s="157"/>
      <c r="GW84" s="157"/>
      <c r="GX84" s="157"/>
      <c r="GY84" s="157"/>
      <c r="GZ84" s="157"/>
      <c r="HA84" s="157"/>
      <c r="HB84" s="155">
        <v>0.0</v>
      </c>
      <c r="HC84" s="155">
        <v>0.0</v>
      </c>
      <c r="HD84" s="155">
        <v>0.0</v>
      </c>
      <c r="HE84" s="155">
        <v>0.0</v>
      </c>
      <c r="HF84" s="155">
        <v>0.0</v>
      </c>
      <c r="HG84" s="155">
        <v>0.0</v>
      </c>
      <c r="IL84" s="159">
        <v>0.0</v>
      </c>
      <c r="IM84" s="156">
        <v>0.0</v>
      </c>
      <c r="IN84" s="156">
        <v>0.0</v>
      </c>
      <c r="IO84" s="156">
        <v>0.0</v>
      </c>
      <c r="IP84" s="156">
        <v>0.0</v>
      </c>
      <c r="IQ84" s="160">
        <v>0.0</v>
      </c>
      <c r="JH84" s="25"/>
      <c r="JW84" s="159">
        <v>0.0</v>
      </c>
      <c r="JX84" s="156">
        <v>0.0</v>
      </c>
      <c r="JY84" s="156">
        <v>0.0</v>
      </c>
      <c r="JZ84" s="156">
        <v>0.0</v>
      </c>
      <c r="KA84" s="156">
        <v>0.0</v>
      </c>
      <c r="KB84" s="160">
        <v>0.0</v>
      </c>
      <c r="LH84" s="159">
        <f t="shared" si="10"/>
        <v>0</v>
      </c>
      <c r="LI84" s="156">
        <f t="shared" si="11"/>
        <v>0</v>
      </c>
      <c r="LJ84" s="156">
        <f t="shared" si="12"/>
        <v>0</v>
      </c>
      <c r="LK84" s="156">
        <f t="shared" si="13"/>
        <v>0</v>
      </c>
      <c r="LL84" s="156">
        <f t="shared" si="14"/>
        <v>0</v>
      </c>
      <c r="LM84" s="160">
        <f t="shared" si="15"/>
        <v>0</v>
      </c>
      <c r="QX84" s="107">
        <v>45819.0</v>
      </c>
    </row>
    <row r="85">
      <c r="A85" s="12"/>
      <c r="B85" s="12"/>
      <c r="C85" s="12"/>
      <c r="D85" s="12"/>
      <c r="E85" s="12"/>
      <c r="F85" s="12"/>
      <c r="G85" s="12"/>
      <c r="H85" s="12"/>
      <c r="I85" s="143">
        <f t="shared" si="5"/>
        <v>-30</v>
      </c>
      <c r="J85" s="144">
        <v>45822.0</v>
      </c>
      <c r="K85" s="173" t="s">
        <v>61</v>
      </c>
      <c r="L85" s="144">
        <v>45892.0</v>
      </c>
      <c r="M85" s="147" t="s">
        <v>1442</v>
      </c>
      <c r="N85" s="148">
        <v>357.0</v>
      </c>
      <c r="O85" s="148">
        <v>30.0</v>
      </c>
      <c r="P85" s="26"/>
      <c r="Q85" s="26"/>
      <c r="R85" s="26"/>
      <c r="S85" s="26"/>
      <c r="T85" s="26"/>
      <c r="U85" s="147" t="s">
        <v>731</v>
      </c>
      <c r="V85" s="197"/>
      <c r="W85" s="198" t="s">
        <v>1443</v>
      </c>
      <c r="X85" s="181">
        <v>30.0</v>
      </c>
      <c r="Y85" s="166">
        <f t="shared" si="6"/>
        <v>30</v>
      </c>
      <c r="Z85" s="26">
        <f t="shared" si="7"/>
        <v>0</v>
      </c>
      <c r="AA85" s="26">
        <f t="shared" si="8"/>
        <v>0</v>
      </c>
      <c r="AB85" s="26">
        <f t="shared" si="9"/>
        <v>0</v>
      </c>
      <c r="AC85" s="155">
        <v>0.0</v>
      </c>
      <c r="AD85" s="155">
        <v>0.0</v>
      </c>
      <c r="AE85" s="155">
        <v>0.0</v>
      </c>
      <c r="AF85" s="155">
        <v>0.0</v>
      </c>
      <c r="AG85" s="155">
        <v>0.0</v>
      </c>
      <c r="AH85" s="155">
        <v>0.0</v>
      </c>
      <c r="BN85" s="155">
        <v>0.0</v>
      </c>
      <c r="BO85" s="155">
        <v>0.0</v>
      </c>
      <c r="BP85" s="155">
        <v>0.0</v>
      </c>
      <c r="BQ85" s="155">
        <v>0.0</v>
      </c>
      <c r="BR85" s="155">
        <v>0.0</v>
      </c>
      <c r="BS85" s="155">
        <v>0.0</v>
      </c>
      <c r="CV85" s="156">
        <v>0.0</v>
      </c>
      <c r="CW85" s="156">
        <v>0.0</v>
      </c>
      <c r="CX85" s="156">
        <v>0.0</v>
      </c>
      <c r="CY85" s="156">
        <v>0.0</v>
      </c>
      <c r="CZ85" s="156">
        <v>0.0</v>
      </c>
      <c r="DA85" s="156">
        <v>0.0</v>
      </c>
      <c r="EG85" s="156">
        <v>0.0</v>
      </c>
      <c r="EH85" s="156">
        <v>0.0</v>
      </c>
      <c r="EI85" s="156">
        <v>0.0</v>
      </c>
      <c r="EJ85" s="156">
        <v>0.0</v>
      </c>
      <c r="EK85" s="156">
        <v>0.0</v>
      </c>
      <c r="EL85" s="156">
        <v>0.0</v>
      </c>
      <c r="FQ85" s="156">
        <v>0.0</v>
      </c>
      <c r="FR85" s="156">
        <v>0.0</v>
      </c>
      <c r="FS85" s="156">
        <v>0.0</v>
      </c>
      <c r="FT85" s="156">
        <v>0.0</v>
      </c>
      <c r="FU85" s="156">
        <v>0.0</v>
      </c>
      <c r="FV85" s="156">
        <v>0.0</v>
      </c>
      <c r="FW85" s="157"/>
      <c r="FX85" s="157"/>
      <c r="FY85" s="157"/>
      <c r="FZ85" s="157"/>
      <c r="GA85" s="157"/>
      <c r="GB85" s="157"/>
      <c r="GC85" s="157"/>
      <c r="GD85" s="157"/>
      <c r="GE85" s="157"/>
      <c r="GF85" s="157"/>
      <c r="GG85" s="157"/>
      <c r="GH85" s="157"/>
      <c r="GI85" s="157"/>
      <c r="GJ85" s="157"/>
      <c r="GK85" s="157"/>
      <c r="GL85" s="157"/>
      <c r="GM85" s="157"/>
      <c r="GN85" s="157"/>
      <c r="GO85" s="157"/>
      <c r="GP85" s="158"/>
      <c r="GQ85" s="157"/>
      <c r="GR85" s="157"/>
      <c r="GS85" s="157"/>
      <c r="GT85" s="157"/>
      <c r="GU85" s="157"/>
      <c r="GV85" s="157"/>
      <c r="GW85" s="157"/>
      <c r="GX85" s="157"/>
      <c r="GY85" s="157"/>
      <c r="GZ85" s="157"/>
      <c r="HA85" s="157"/>
      <c r="HB85" s="155">
        <v>0.0</v>
      </c>
      <c r="HC85" s="155">
        <v>0.0</v>
      </c>
      <c r="HD85" s="155">
        <v>0.0</v>
      </c>
      <c r="HE85" s="155">
        <v>0.0</v>
      </c>
      <c r="HF85" s="155">
        <v>0.0</v>
      </c>
      <c r="HG85" s="155">
        <v>0.0</v>
      </c>
      <c r="IL85" s="159">
        <v>0.0</v>
      </c>
      <c r="IM85" s="156">
        <v>0.0</v>
      </c>
      <c r="IN85" s="156">
        <v>0.0</v>
      </c>
      <c r="IO85" s="156">
        <v>0.0</v>
      </c>
      <c r="IP85" s="156">
        <v>0.0</v>
      </c>
      <c r="IQ85" s="160">
        <v>0.0</v>
      </c>
      <c r="JH85" s="25"/>
      <c r="JW85" s="159">
        <v>0.0</v>
      </c>
      <c r="JX85" s="156">
        <v>0.0</v>
      </c>
      <c r="JY85" s="156">
        <v>0.0</v>
      </c>
      <c r="JZ85" s="156">
        <v>0.0</v>
      </c>
      <c r="KA85" s="156">
        <v>0.0</v>
      </c>
      <c r="KB85" s="160">
        <v>0.0</v>
      </c>
      <c r="LH85" s="159">
        <f t="shared" si="10"/>
        <v>0</v>
      </c>
      <c r="LI85" s="156">
        <f t="shared" si="11"/>
        <v>0</v>
      </c>
      <c r="LJ85" s="156">
        <f t="shared" si="12"/>
        <v>0</v>
      </c>
      <c r="LK85" s="156">
        <f t="shared" si="13"/>
        <v>0</v>
      </c>
      <c r="LL85" s="156">
        <f t="shared" si="14"/>
        <v>0</v>
      </c>
      <c r="LM85" s="160">
        <f t="shared" si="15"/>
        <v>0</v>
      </c>
      <c r="QX85" s="107">
        <v>45819.0</v>
      </c>
    </row>
    <row r="86">
      <c r="A86" s="12"/>
      <c r="B86" s="12"/>
      <c r="C86" s="12"/>
      <c r="D86" s="12"/>
      <c r="E86" s="12"/>
      <c r="F86" s="12"/>
      <c r="G86" s="12"/>
      <c r="H86" s="12"/>
      <c r="I86" s="143">
        <f t="shared" si="5"/>
        <v>-30</v>
      </c>
      <c r="J86" s="144">
        <v>45824.0</v>
      </c>
      <c r="K86" s="173" t="s">
        <v>61</v>
      </c>
      <c r="L86" s="144">
        <v>45946.0</v>
      </c>
      <c r="M86" s="147" t="s">
        <v>107</v>
      </c>
      <c r="N86" s="148">
        <v>357.0</v>
      </c>
      <c r="O86" s="148">
        <v>30.0</v>
      </c>
      <c r="P86" s="26"/>
      <c r="Q86" s="26"/>
      <c r="R86" s="26"/>
      <c r="S86" s="26"/>
      <c r="T86" s="26"/>
      <c r="U86" s="147" t="s">
        <v>1195</v>
      </c>
      <c r="V86" s="197"/>
      <c r="W86" s="198" t="s">
        <v>1453</v>
      </c>
      <c r="X86" s="181">
        <v>30.0</v>
      </c>
      <c r="Y86" s="166">
        <f t="shared" si="6"/>
        <v>30</v>
      </c>
      <c r="Z86" s="26">
        <f t="shared" si="7"/>
        <v>0</v>
      </c>
      <c r="AA86" s="26">
        <f t="shared" si="8"/>
        <v>0</v>
      </c>
      <c r="AB86" s="26">
        <f t="shared" si="9"/>
        <v>0</v>
      </c>
      <c r="AC86" s="155">
        <v>0.0</v>
      </c>
      <c r="AD86" s="155">
        <v>0.0</v>
      </c>
      <c r="AE86" s="155">
        <v>0.0</v>
      </c>
      <c r="AF86" s="155">
        <v>0.0</v>
      </c>
      <c r="AG86" s="155">
        <v>0.0</v>
      </c>
      <c r="AH86" s="155">
        <v>0.0</v>
      </c>
      <c r="BN86" s="155">
        <v>0.0</v>
      </c>
      <c r="BO86" s="155">
        <v>0.0</v>
      </c>
      <c r="BP86" s="155">
        <v>0.0</v>
      </c>
      <c r="BQ86" s="155">
        <v>0.0</v>
      </c>
      <c r="BR86" s="155">
        <v>0.0</v>
      </c>
      <c r="BS86" s="155">
        <v>0.0</v>
      </c>
      <c r="CV86" s="156">
        <v>0.0</v>
      </c>
      <c r="CW86" s="156">
        <v>0.0</v>
      </c>
      <c r="CX86" s="156">
        <v>0.0</v>
      </c>
      <c r="CY86" s="156">
        <v>0.0</v>
      </c>
      <c r="CZ86" s="156">
        <v>0.0</v>
      </c>
      <c r="DA86" s="156">
        <v>0.0</v>
      </c>
      <c r="EG86" s="156">
        <v>0.0</v>
      </c>
      <c r="EH86" s="156">
        <v>0.0</v>
      </c>
      <c r="EI86" s="156">
        <v>0.0</v>
      </c>
      <c r="EJ86" s="156">
        <v>0.0</v>
      </c>
      <c r="EK86" s="156">
        <v>0.0</v>
      </c>
      <c r="EL86" s="156">
        <v>0.0</v>
      </c>
      <c r="FQ86" s="156">
        <v>0.0</v>
      </c>
      <c r="FR86" s="156">
        <v>0.0</v>
      </c>
      <c r="FS86" s="156">
        <v>0.0</v>
      </c>
      <c r="FT86" s="156">
        <v>0.0</v>
      </c>
      <c r="FU86" s="156">
        <v>0.0</v>
      </c>
      <c r="FV86" s="156">
        <v>0.0</v>
      </c>
      <c r="FW86" s="157"/>
      <c r="FX86" s="157"/>
      <c r="FY86" s="157"/>
      <c r="FZ86" s="157"/>
      <c r="GA86" s="157"/>
      <c r="GB86" s="157"/>
      <c r="GC86" s="157"/>
      <c r="GD86" s="157"/>
      <c r="GE86" s="157"/>
      <c r="GF86" s="157"/>
      <c r="GG86" s="157"/>
      <c r="GH86" s="157"/>
      <c r="GI86" s="157"/>
      <c r="GJ86" s="157"/>
      <c r="GK86" s="157"/>
      <c r="GL86" s="157"/>
      <c r="GM86" s="157"/>
      <c r="GN86" s="157"/>
      <c r="GO86" s="157"/>
      <c r="GP86" s="158"/>
      <c r="GQ86" s="157"/>
      <c r="GR86" s="157"/>
      <c r="GS86" s="157"/>
      <c r="GT86" s="157"/>
      <c r="GU86" s="157"/>
      <c r="GV86" s="157"/>
      <c r="GW86" s="157"/>
      <c r="GX86" s="157"/>
      <c r="GY86" s="157"/>
      <c r="GZ86" s="157"/>
      <c r="HA86" s="157"/>
      <c r="HB86" s="155">
        <v>0.0</v>
      </c>
      <c r="HC86" s="155">
        <v>0.0</v>
      </c>
      <c r="HD86" s="155">
        <v>0.0</v>
      </c>
      <c r="HE86" s="155">
        <v>0.0</v>
      </c>
      <c r="HF86" s="155">
        <v>0.0</v>
      </c>
      <c r="HG86" s="155">
        <v>0.0</v>
      </c>
      <c r="IL86" s="159">
        <v>0.0</v>
      </c>
      <c r="IM86" s="156">
        <v>0.0</v>
      </c>
      <c r="IN86" s="156">
        <v>0.0</v>
      </c>
      <c r="IO86" s="156">
        <v>0.0</v>
      </c>
      <c r="IP86" s="156">
        <v>0.0</v>
      </c>
      <c r="IQ86" s="160">
        <v>0.0</v>
      </c>
      <c r="JH86" s="25"/>
      <c r="JW86" s="159">
        <v>0.0</v>
      </c>
      <c r="JX86" s="156">
        <v>0.0</v>
      </c>
      <c r="JY86" s="156">
        <v>0.0</v>
      </c>
      <c r="JZ86" s="156">
        <v>0.0</v>
      </c>
      <c r="KA86" s="156">
        <v>0.0</v>
      </c>
      <c r="KB86" s="160">
        <v>0.0</v>
      </c>
      <c r="LH86" s="159">
        <f t="shared" si="10"/>
        <v>0</v>
      </c>
      <c r="LI86" s="156">
        <f t="shared" si="11"/>
        <v>0</v>
      </c>
      <c r="LJ86" s="156">
        <f t="shared" si="12"/>
        <v>0</v>
      </c>
      <c r="LK86" s="156">
        <f t="shared" si="13"/>
        <v>0</v>
      </c>
      <c r="LL86" s="156">
        <f t="shared" si="14"/>
        <v>0</v>
      </c>
      <c r="LM86" s="160">
        <f t="shared" si="15"/>
        <v>0</v>
      </c>
      <c r="QX86" s="107">
        <v>45820.0</v>
      </c>
    </row>
    <row r="87">
      <c r="A87" s="12"/>
      <c r="B87" s="12"/>
      <c r="C87" s="12"/>
      <c r="D87" s="12"/>
      <c r="E87" s="12"/>
      <c r="F87" s="12"/>
      <c r="G87" s="12"/>
      <c r="H87" s="12"/>
      <c r="I87" s="143">
        <f t="shared" si="5"/>
        <v>-30</v>
      </c>
      <c r="J87" s="144">
        <v>45821.0</v>
      </c>
      <c r="K87" s="173" t="s">
        <v>61</v>
      </c>
      <c r="L87" s="144">
        <v>45929.0</v>
      </c>
      <c r="M87" s="262" t="s">
        <v>107</v>
      </c>
      <c r="N87" s="263">
        <v>246.0</v>
      </c>
      <c r="O87" s="263">
        <v>45.0</v>
      </c>
      <c r="P87" s="264"/>
      <c r="Q87" s="264"/>
      <c r="R87" s="264"/>
      <c r="S87" s="264"/>
      <c r="T87" s="264"/>
      <c r="U87" s="262" t="s">
        <v>675</v>
      </c>
      <c r="V87" s="265"/>
      <c r="W87" s="266" t="s">
        <v>1313</v>
      </c>
      <c r="X87" s="181">
        <v>30.0</v>
      </c>
      <c r="Y87" s="166">
        <f t="shared" si="6"/>
        <v>30</v>
      </c>
      <c r="Z87" s="26">
        <f t="shared" si="7"/>
        <v>0</v>
      </c>
      <c r="AA87" s="26">
        <f t="shared" si="8"/>
        <v>0</v>
      </c>
      <c r="AB87" s="26">
        <f t="shared" si="9"/>
        <v>0</v>
      </c>
      <c r="AC87" s="155">
        <v>0.0</v>
      </c>
      <c r="AD87" s="155">
        <v>0.0</v>
      </c>
      <c r="AE87" s="155">
        <v>0.0</v>
      </c>
      <c r="AF87" s="155">
        <v>0.0</v>
      </c>
      <c r="AG87" s="155">
        <v>0.0</v>
      </c>
      <c r="AH87" s="155">
        <v>0.0</v>
      </c>
      <c r="BN87" s="155">
        <v>0.0</v>
      </c>
      <c r="BO87" s="155">
        <v>0.0</v>
      </c>
      <c r="BP87" s="155">
        <v>0.0</v>
      </c>
      <c r="BQ87" s="155">
        <v>0.0</v>
      </c>
      <c r="BR87" s="155">
        <v>0.0</v>
      </c>
      <c r="BS87" s="155">
        <v>0.0</v>
      </c>
      <c r="CV87" s="156">
        <v>0.0</v>
      </c>
      <c r="CW87" s="156">
        <v>0.0</v>
      </c>
      <c r="CX87" s="156">
        <v>0.0</v>
      </c>
      <c r="CY87" s="156">
        <v>0.0</v>
      </c>
      <c r="CZ87" s="156">
        <v>0.0</v>
      </c>
      <c r="DA87" s="156">
        <v>0.0</v>
      </c>
      <c r="EG87" s="156">
        <v>0.0</v>
      </c>
      <c r="EH87" s="156">
        <v>0.0</v>
      </c>
      <c r="EI87" s="156">
        <v>0.0</v>
      </c>
      <c r="EJ87" s="156">
        <v>0.0</v>
      </c>
      <c r="EK87" s="156">
        <v>0.0</v>
      </c>
      <c r="EL87" s="156">
        <v>0.0</v>
      </c>
      <c r="FQ87" s="156">
        <v>0.0</v>
      </c>
      <c r="FR87" s="156">
        <v>0.0</v>
      </c>
      <c r="FS87" s="156">
        <v>0.0</v>
      </c>
      <c r="FT87" s="156">
        <v>0.0</v>
      </c>
      <c r="FU87" s="156">
        <v>0.0</v>
      </c>
      <c r="FV87" s="156">
        <v>0.0</v>
      </c>
      <c r="FW87" s="157"/>
      <c r="FX87" s="157"/>
      <c r="FY87" s="157"/>
      <c r="FZ87" s="157"/>
      <c r="GA87" s="157"/>
      <c r="GB87" s="157"/>
      <c r="GC87" s="157"/>
      <c r="GD87" s="157"/>
      <c r="GE87" s="157"/>
      <c r="GF87" s="157"/>
      <c r="GG87" s="157"/>
      <c r="GH87" s="157"/>
      <c r="GI87" s="157"/>
      <c r="GJ87" s="157"/>
      <c r="GK87" s="157"/>
      <c r="GL87" s="157"/>
      <c r="GM87" s="157"/>
      <c r="GN87" s="157"/>
      <c r="GO87" s="157"/>
      <c r="GP87" s="158"/>
      <c r="GQ87" s="157"/>
      <c r="GR87" s="157"/>
      <c r="GS87" s="157"/>
      <c r="GT87" s="157"/>
      <c r="GU87" s="157"/>
      <c r="GV87" s="157"/>
      <c r="GW87" s="157"/>
      <c r="GX87" s="157"/>
      <c r="GY87" s="157"/>
      <c r="GZ87" s="157"/>
      <c r="HA87" s="157"/>
      <c r="HB87" s="155">
        <v>0.0</v>
      </c>
      <c r="HC87" s="155">
        <v>0.0</v>
      </c>
      <c r="HD87" s="155">
        <v>0.0</v>
      </c>
      <c r="HE87" s="155">
        <v>0.0</v>
      </c>
      <c r="HF87" s="155">
        <v>0.0</v>
      </c>
      <c r="HG87" s="155">
        <v>0.0</v>
      </c>
      <c r="IL87" s="159">
        <v>0.0</v>
      </c>
      <c r="IM87" s="156">
        <v>0.0</v>
      </c>
      <c r="IN87" s="156">
        <v>0.0</v>
      </c>
      <c r="IO87" s="156">
        <v>0.0</v>
      </c>
      <c r="IP87" s="156">
        <v>0.0</v>
      </c>
      <c r="IQ87" s="160">
        <v>0.0</v>
      </c>
      <c r="JH87" s="25"/>
      <c r="JW87" s="159">
        <v>0.0</v>
      </c>
      <c r="JX87" s="156">
        <v>0.0</v>
      </c>
      <c r="JY87" s="156">
        <v>0.0</v>
      </c>
      <c r="JZ87" s="156">
        <v>0.0</v>
      </c>
      <c r="KA87" s="156">
        <v>0.0</v>
      </c>
      <c r="KB87" s="160">
        <v>0.0</v>
      </c>
      <c r="LH87" s="159">
        <f t="shared" si="10"/>
        <v>0</v>
      </c>
      <c r="LI87" s="156">
        <f t="shared" si="11"/>
        <v>0</v>
      </c>
      <c r="LJ87" s="156">
        <f t="shared" si="12"/>
        <v>0</v>
      </c>
      <c r="LK87" s="156">
        <f t="shared" si="13"/>
        <v>0</v>
      </c>
      <c r="LL87" s="156">
        <f t="shared" si="14"/>
        <v>0</v>
      </c>
      <c r="LM87" s="160">
        <f t="shared" si="15"/>
        <v>0</v>
      </c>
      <c r="QX87" s="107">
        <v>45820.0</v>
      </c>
    </row>
    <row r="88">
      <c r="A88" s="12"/>
      <c r="B88" s="12"/>
      <c r="C88" s="12"/>
      <c r="D88" s="12"/>
      <c r="E88" s="12"/>
      <c r="F88" s="12"/>
      <c r="G88" s="12"/>
      <c r="H88" s="12"/>
      <c r="I88" s="143">
        <f t="shared" si="5"/>
        <v>-30</v>
      </c>
      <c r="J88" s="144">
        <v>45821.0</v>
      </c>
      <c r="K88" s="173" t="s">
        <v>61</v>
      </c>
      <c r="L88" s="144">
        <v>45910.0</v>
      </c>
      <c r="M88" s="147" t="s">
        <v>1465</v>
      </c>
      <c r="N88" s="148">
        <v>246.0</v>
      </c>
      <c r="O88" s="148">
        <v>30.0</v>
      </c>
      <c r="P88" s="26"/>
      <c r="Q88" s="26"/>
      <c r="R88" s="26"/>
      <c r="S88" s="26"/>
      <c r="T88" s="26"/>
      <c r="U88" s="147" t="s">
        <v>1466</v>
      </c>
      <c r="V88" s="197"/>
      <c r="W88" s="198" t="s">
        <v>1467</v>
      </c>
      <c r="X88" s="181">
        <v>30.0</v>
      </c>
      <c r="Y88" s="166">
        <f t="shared" si="6"/>
        <v>30</v>
      </c>
      <c r="Z88" s="26">
        <f t="shared" si="7"/>
        <v>0</v>
      </c>
      <c r="AA88" s="26">
        <f t="shared" si="8"/>
        <v>0</v>
      </c>
      <c r="AB88" s="26">
        <f t="shared" si="9"/>
        <v>0</v>
      </c>
      <c r="AC88" s="155">
        <v>0.0</v>
      </c>
      <c r="AD88" s="155">
        <v>0.0</v>
      </c>
      <c r="AE88" s="155">
        <v>0.0</v>
      </c>
      <c r="AF88" s="155">
        <v>0.0</v>
      </c>
      <c r="AG88" s="155">
        <v>0.0</v>
      </c>
      <c r="AH88" s="155">
        <v>0.0</v>
      </c>
      <c r="BN88" s="155">
        <v>0.0</v>
      </c>
      <c r="BO88" s="155">
        <v>0.0</v>
      </c>
      <c r="BP88" s="155">
        <v>0.0</v>
      </c>
      <c r="BQ88" s="155">
        <v>0.0</v>
      </c>
      <c r="BR88" s="155">
        <v>0.0</v>
      </c>
      <c r="BS88" s="155">
        <v>0.0</v>
      </c>
      <c r="CV88" s="156">
        <v>0.0</v>
      </c>
      <c r="CW88" s="156">
        <v>0.0</v>
      </c>
      <c r="CX88" s="156">
        <v>0.0</v>
      </c>
      <c r="CY88" s="156">
        <v>0.0</v>
      </c>
      <c r="CZ88" s="156">
        <v>0.0</v>
      </c>
      <c r="DA88" s="156">
        <v>0.0</v>
      </c>
      <c r="EG88" s="156">
        <v>0.0</v>
      </c>
      <c r="EH88" s="156">
        <v>0.0</v>
      </c>
      <c r="EI88" s="156">
        <v>0.0</v>
      </c>
      <c r="EJ88" s="156">
        <v>0.0</v>
      </c>
      <c r="EK88" s="156">
        <v>0.0</v>
      </c>
      <c r="EL88" s="156">
        <v>0.0</v>
      </c>
      <c r="FQ88" s="156">
        <v>0.0</v>
      </c>
      <c r="FR88" s="156">
        <v>0.0</v>
      </c>
      <c r="FS88" s="156">
        <v>0.0</v>
      </c>
      <c r="FT88" s="156">
        <v>0.0</v>
      </c>
      <c r="FU88" s="156">
        <v>0.0</v>
      </c>
      <c r="FV88" s="156">
        <v>0.0</v>
      </c>
      <c r="FW88" s="157"/>
      <c r="FX88" s="157"/>
      <c r="FY88" s="157"/>
      <c r="FZ88" s="157"/>
      <c r="GA88" s="157"/>
      <c r="GB88" s="157"/>
      <c r="GC88" s="157"/>
      <c r="GD88" s="157"/>
      <c r="GE88" s="157"/>
      <c r="GF88" s="157"/>
      <c r="GG88" s="157"/>
      <c r="GH88" s="157"/>
      <c r="GI88" s="157"/>
      <c r="GJ88" s="157"/>
      <c r="GK88" s="157"/>
      <c r="GL88" s="157"/>
      <c r="GM88" s="157"/>
      <c r="GN88" s="157"/>
      <c r="GO88" s="157"/>
      <c r="GP88" s="158"/>
      <c r="GQ88" s="157"/>
      <c r="GR88" s="157"/>
      <c r="GS88" s="157"/>
      <c r="GT88" s="157"/>
      <c r="GU88" s="157"/>
      <c r="GV88" s="157"/>
      <c r="GW88" s="157"/>
      <c r="GX88" s="157"/>
      <c r="GY88" s="157"/>
      <c r="GZ88" s="157"/>
      <c r="HA88" s="157"/>
      <c r="HB88" s="155">
        <v>0.0</v>
      </c>
      <c r="HC88" s="155">
        <v>0.0</v>
      </c>
      <c r="HD88" s="155">
        <v>0.0</v>
      </c>
      <c r="HE88" s="155">
        <v>0.0</v>
      </c>
      <c r="HF88" s="155">
        <v>0.0</v>
      </c>
      <c r="HG88" s="155">
        <v>0.0</v>
      </c>
      <c r="IL88" s="159">
        <v>0.0</v>
      </c>
      <c r="IM88" s="156">
        <v>0.0</v>
      </c>
      <c r="IN88" s="156">
        <v>0.0</v>
      </c>
      <c r="IO88" s="156">
        <v>0.0</v>
      </c>
      <c r="IP88" s="156">
        <v>0.0</v>
      </c>
      <c r="IQ88" s="160">
        <v>0.0</v>
      </c>
      <c r="JH88" s="25"/>
      <c r="JW88" s="159">
        <v>0.0</v>
      </c>
      <c r="JX88" s="156">
        <v>0.0</v>
      </c>
      <c r="JY88" s="156">
        <v>0.0</v>
      </c>
      <c r="JZ88" s="156">
        <v>0.0</v>
      </c>
      <c r="KA88" s="156">
        <v>0.0</v>
      </c>
      <c r="KB88" s="160">
        <v>0.0</v>
      </c>
      <c r="LH88" s="159">
        <f t="shared" si="10"/>
        <v>0</v>
      </c>
      <c r="LI88" s="156">
        <f t="shared" si="11"/>
        <v>0</v>
      </c>
      <c r="LJ88" s="156">
        <f t="shared" si="12"/>
        <v>0</v>
      </c>
      <c r="LK88" s="156">
        <f t="shared" si="13"/>
        <v>0</v>
      </c>
      <c r="LL88" s="156">
        <f t="shared" si="14"/>
        <v>0</v>
      </c>
      <c r="LM88" s="160">
        <f t="shared" si="15"/>
        <v>0</v>
      </c>
      <c r="QX88" s="107">
        <v>45820.0</v>
      </c>
    </row>
    <row r="89">
      <c r="A89" s="12"/>
      <c r="B89" s="12"/>
      <c r="C89" s="12"/>
      <c r="D89" s="12"/>
      <c r="E89" s="12"/>
      <c r="F89" s="12"/>
      <c r="G89" s="12"/>
      <c r="H89" s="12"/>
      <c r="I89" s="143">
        <f t="shared" si="5"/>
        <v>-5</v>
      </c>
      <c r="J89" s="203" t="s">
        <v>1471</v>
      </c>
      <c r="K89" s="173" t="s">
        <v>61</v>
      </c>
      <c r="L89" s="146"/>
      <c r="M89" s="147" t="s">
        <v>228</v>
      </c>
      <c r="N89" s="148">
        <v>246.0</v>
      </c>
      <c r="O89" s="148">
        <v>30.0</v>
      </c>
      <c r="P89" s="26"/>
      <c r="Q89" s="26"/>
      <c r="R89" s="26"/>
      <c r="S89" s="26"/>
      <c r="T89" s="26"/>
      <c r="U89" s="147" t="s">
        <v>1472</v>
      </c>
      <c r="V89" s="197"/>
      <c r="W89" s="198" t="s">
        <v>1473</v>
      </c>
      <c r="X89" s="181">
        <v>5.0</v>
      </c>
      <c r="Y89" s="166">
        <f t="shared" si="6"/>
        <v>5</v>
      </c>
      <c r="Z89" s="26">
        <f t="shared" si="7"/>
        <v>0</v>
      </c>
      <c r="AA89" s="26">
        <f t="shared" si="8"/>
        <v>0</v>
      </c>
      <c r="AB89" s="26">
        <f t="shared" si="9"/>
        <v>0</v>
      </c>
      <c r="AC89" s="155">
        <v>0.0</v>
      </c>
      <c r="AD89" s="155">
        <v>0.0</v>
      </c>
      <c r="AE89" s="155">
        <v>0.0</v>
      </c>
      <c r="AF89" s="155">
        <v>0.0</v>
      </c>
      <c r="AG89" s="155">
        <v>0.0</v>
      </c>
      <c r="AH89" s="155">
        <v>0.0</v>
      </c>
      <c r="BN89" s="155">
        <v>0.0</v>
      </c>
      <c r="BO89" s="155">
        <v>0.0</v>
      </c>
      <c r="BP89" s="155">
        <v>0.0</v>
      </c>
      <c r="BQ89" s="155">
        <v>0.0</v>
      </c>
      <c r="BR89" s="155">
        <v>0.0</v>
      </c>
      <c r="BS89" s="155">
        <v>0.0</v>
      </c>
      <c r="CV89" s="156">
        <v>0.0</v>
      </c>
      <c r="CW89" s="156">
        <v>0.0</v>
      </c>
      <c r="CX89" s="156">
        <v>0.0</v>
      </c>
      <c r="CY89" s="156">
        <v>0.0</v>
      </c>
      <c r="CZ89" s="156">
        <v>0.0</v>
      </c>
      <c r="DA89" s="156">
        <v>0.0</v>
      </c>
      <c r="EG89" s="156">
        <v>0.0</v>
      </c>
      <c r="EH89" s="156">
        <v>0.0</v>
      </c>
      <c r="EI89" s="156">
        <v>0.0</v>
      </c>
      <c r="EJ89" s="156">
        <v>0.0</v>
      </c>
      <c r="EK89" s="156">
        <v>0.0</v>
      </c>
      <c r="EL89" s="156">
        <v>0.0</v>
      </c>
      <c r="FQ89" s="156">
        <v>0.0</v>
      </c>
      <c r="FR89" s="156">
        <v>0.0</v>
      </c>
      <c r="FS89" s="156">
        <v>0.0</v>
      </c>
      <c r="FT89" s="156">
        <v>0.0</v>
      </c>
      <c r="FU89" s="156">
        <v>0.0</v>
      </c>
      <c r="FV89" s="156">
        <v>0.0</v>
      </c>
      <c r="FW89" s="157"/>
      <c r="FX89" s="157"/>
      <c r="FY89" s="157"/>
      <c r="FZ89" s="157"/>
      <c r="GA89" s="157"/>
      <c r="GB89" s="157"/>
      <c r="GC89" s="157"/>
      <c r="GD89" s="157"/>
      <c r="GE89" s="157"/>
      <c r="GF89" s="157"/>
      <c r="GG89" s="157"/>
      <c r="GH89" s="157"/>
      <c r="GI89" s="157"/>
      <c r="GJ89" s="157"/>
      <c r="GK89" s="157"/>
      <c r="GL89" s="157"/>
      <c r="GM89" s="157"/>
      <c r="GN89" s="157"/>
      <c r="GO89" s="157"/>
      <c r="GP89" s="158"/>
      <c r="GQ89" s="157"/>
      <c r="GR89" s="157"/>
      <c r="GS89" s="157"/>
      <c r="GT89" s="157"/>
      <c r="GU89" s="157"/>
      <c r="GV89" s="157"/>
      <c r="GW89" s="157"/>
      <c r="GX89" s="157"/>
      <c r="GY89" s="157"/>
      <c r="GZ89" s="157"/>
      <c r="HA89" s="157"/>
      <c r="HB89" s="155">
        <v>0.0</v>
      </c>
      <c r="HC89" s="155">
        <v>0.0</v>
      </c>
      <c r="HD89" s="155">
        <v>0.0</v>
      </c>
      <c r="HE89" s="155">
        <v>0.0</v>
      </c>
      <c r="HF89" s="155">
        <v>0.0</v>
      </c>
      <c r="HG89" s="155">
        <v>0.0</v>
      </c>
      <c r="IL89" s="159">
        <v>0.0</v>
      </c>
      <c r="IM89" s="156">
        <v>0.0</v>
      </c>
      <c r="IN89" s="156">
        <v>0.0</v>
      </c>
      <c r="IO89" s="156">
        <v>0.0</v>
      </c>
      <c r="IP89" s="156">
        <v>0.0</v>
      </c>
      <c r="IQ89" s="160">
        <v>0.0</v>
      </c>
      <c r="JH89" s="25"/>
      <c r="JW89" s="159">
        <v>0.0</v>
      </c>
      <c r="JX89" s="156">
        <v>0.0</v>
      </c>
      <c r="JY89" s="156">
        <v>0.0</v>
      </c>
      <c r="JZ89" s="156">
        <v>0.0</v>
      </c>
      <c r="KA89" s="156">
        <v>0.0</v>
      </c>
      <c r="KB89" s="160">
        <v>0.0</v>
      </c>
      <c r="LH89" s="159">
        <f t="shared" si="10"/>
        <v>0</v>
      </c>
      <c r="LI89" s="156">
        <f t="shared" si="11"/>
        <v>0</v>
      </c>
      <c r="LJ89" s="156">
        <f t="shared" si="12"/>
        <v>0</v>
      </c>
      <c r="LK89" s="156">
        <f t="shared" si="13"/>
        <v>0</v>
      </c>
      <c r="LL89" s="156">
        <f t="shared" si="14"/>
        <v>0</v>
      </c>
      <c r="LM89" s="160">
        <f t="shared" si="15"/>
        <v>0</v>
      </c>
      <c r="QX89" s="107">
        <v>45821.0</v>
      </c>
    </row>
    <row r="90">
      <c r="A90" s="12"/>
      <c r="B90" s="12"/>
      <c r="C90" s="12"/>
      <c r="D90" s="12"/>
      <c r="E90" s="12"/>
      <c r="F90" s="12"/>
      <c r="G90" s="12"/>
      <c r="H90" s="12"/>
      <c r="I90" s="143">
        <f t="shared" si="5"/>
        <v>-30</v>
      </c>
      <c r="J90" s="144">
        <v>45824.0</v>
      </c>
      <c r="K90" s="173" t="s">
        <v>61</v>
      </c>
      <c r="L90" s="144">
        <v>45896.0</v>
      </c>
      <c r="M90" s="147" t="s">
        <v>107</v>
      </c>
      <c r="N90" s="148">
        <v>246.0</v>
      </c>
      <c r="O90" s="148">
        <v>30.0</v>
      </c>
      <c r="P90" s="26"/>
      <c r="Q90" s="26"/>
      <c r="R90" s="26"/>
      <c r="S90" s="26"/>
      <c r="T90" s="26"/>
      <c r="U90" s="147" t="s">
        <v>1199</v>
      </c>
      <c r="V90" s="197"/>
      <c r="W90" s="198" t="s">
        <v>1477</v>
      </c>
      <c r="X90" s="181">
        <v>30.0</v>
      </c>
      <c r="Y90" s="166">
        <f t="shared" si="6"/>
        <v>30</v>
      </c>
      <c r="Z90" s="26">
        <f t="shared" si="7"/>
        <v>0</v>
      </c>
      <c r="AA90" s="26">
        <f t="shared" si="8"/>
        <v>0</v>
      </c>
      <c r="AB90" s="26">
        <f t="shared" si="9"/>
        <v>0</v>
      </c>
      <c r="AC90" s="155">
        <v>0.0</v>
      </c>
      <c r="AD90" s="155">
        <v>0.0</v>
      </c>
      <c r="AE90" s="155">
        <v>0.0</v>
      </c>
      <c r="AF90" s="155">
        <v>0.0</v>
      </c>
      <c r="AG90" s="155">
        <v>0.0</v>
      </c>
      <c r="AH90" s="155">
        <v>0.0</v>
      </c>
      <c r="BN90" s="155">
        <v>0.0</v>
      </c>
      <c r="BO90" s="155">
        <v>0.0</v>
      </c>
      <c r="BP90" s="155">
        <v>0.0</v>
      </c>
      <c r="BQ90" s="155">
        <v>0.0</v>
      </c>
      <c r="BR90" s="155">
        <v>0.0</v>
      </c>
      <c r="BS90" s="155">
        <v>0.0</v>
      </c>
      <c r="CV90" s="156">
        <v>0.0</v>
      </c>
      <c r="CW90" s="156">
        <v>0.0</v>
      </c>
      <c r="CX90" s="156">
        <v>0.0</v>
      </c>
      <c r="CY90" s="156">
        <v>0.0</v>
      </c>
      <c r="CZ90" s="156">
        <v>0.0</v>
      </c>
      <c r="DA90" s="156">
        <v>0.0</v>
      </c>
      <c r="EG90" s="156">
        <v>0.0</v>
      </c>
      <c r="EH90" s="156">
        <v>0.0</v>
      </c>
      <c r="EI90" s="156">
        <v>0.0</v>
      </c>
      <c r="EJ90" s="156">
        <v>0.0</v>
      </c>
      <c r="EK90" s="156">
        <v>0.0</v>
      </c>
      <c r="EL90" s="156">
        <v>0.0</v>
      </c>
      <c r="FQ90" s="156">
        <v>0.0</v>
      </c>
      <c r="FR90" s="156">
        <v>0.0</v>
      </c>
      <c r="FS90" s="156">
        <v>0.0</v>
      </c>
      <c r="FT90" s="156">
        <v>0.0</v>
      </c>
      <c r="FU90" s="156">
        <v>0.0</v>
      </c>
      <c r="FV90" s="156">
        <v>0.0</v>
      </c>
      <c r="FW90" s="157"/>
      <c r="FX90" s="157"/>
      <c r="FY90" s="157"/>
      <c r="FZ90" s="157"/>
      <c r="GA90" s="157"/>
      <c r="GB90" s="157"/>
      <c r="GC90" s="157"/>
      <c r="GD90" s="157"/>
      <c r="GE90" s="157"/>
      <c r="GF90" s="157"/>
      <c r="GG90" s="157"/>
      <c r="GH90" s="157"/>
      <c r="GI90" s="157"/>
      <c r="GJ90" s="157"/>
      <c r="GK90" s="157"/>
      <c r="GL90" s="157"/>
      <c r="GM90" s="157"/>
      <c r="GN90" s="157"/>
      <c r="GO90" s="157"/>
      <c r="GP90" s="158"/>
      <c r="GQ90" s="157"/>
      <c r="GR90" s="157"/>
      <c r="GS90" s="157"/>
      <c r="GT90" s="157"/>
      <c r="GU90" s="157"/>
      <c r="GV90" s="157"/>
      <c r="GW90" s="157"/>
      <c r="GX90" s="157"/>
      <c r="GY90" s="157"/>
      <c r="GZ90" s="157"/>
      <c r="HA90" s="157"/>
      <c r="HB90" s="155">
        <v>0.0</v>
      </c>
      <c r="HC90" s="155">
        <v>0.0</v>
      </c>
      <c r="HD90" s="155">
        <v>0.0</v>
      </c>
      <c r="HE90" s="155">
        <v>0.0</v>
      </c>
      <c r="HF90" s="155">
        <v>0.0</v>
      </c>
      <c r="HG90" s="155">
        <v>0.0</v>
      </c>
      <c r="IL90" s="159">
        <v>0.0</v>
      </c>
      <c r="IM90" s="156">
        <v>0.0</v>
      </c>
      <c r="IN90" s="156">
        <v>0.0</v>
      </c>
      <c r="IO90" s="156">
        <v>0.0</v>
      </c>
      <c r="IP90" s="156">
        <v>0.0</v>
      </c>
      <c r="IQ90" s="160">
        <v>0.0</v>
      </c>
      <c r="JH90" s="25"/>
      <c r="JW90" s="159">
        <v>0.0</v>
      </c>
      <c r="JX90" s="156">
        <v>0.0</v>
      </c>
      <c r="JY90" s="156">
        <v>0.0</v>
      </c>
      <c r="JZ90" s="156">
        <v>0.0</v>
      </c>
      <c r="KA90" s="156">
        <v>0.0</v>
      </c>
      <c r="KB90" s="160">
        <v>0.0</v>
      </c>
      <c r="LH90" s="159">
        <f t="shared" si="10"/>
        <v>0</v>
      </c>
      <c r="LI90" s="156">
        <f t="shared" si="11"/>
        <v>0</v>
      </c>
      <c r="LJ90" s="156">
        <f t="shared" si="12"/>
        <v>0</v>
      </c>
      <c r="LK90" s="156">
        <f t="shared" si="13"/>
        <v>0</v>
      </c>
      <c r="LL90" s="156">
        <f t="shared" si="14"/>
        <v>0</v>
      </c>
      <c r="LM90" s="160">
        <f t="shared" si="15"/>
        <v>0</v>
      </c>
      <c r="QX90" s="107">
        <v>45821.0</v>
      </c>
    </row>
    <row r="91">
      <c r="A91" s="12"/>
      <c r="B91" s="12"/>
      <c r="C91" s="12"/>
      <c r="D91" s="12"/>
      <c r="E91" s="12"/>
      <c r="F91" s="12"/>
      <c r="G91" s="12"/>
      <c r="H91" s="12"/>
      <c r="I91" s="143">
        <f t="shared" si="5"/>
        <v>-29</v>
      </c>
      <c r="J91" s="144">
        <v>45825.0</v>
      </c>
      <c r="K91" s="173" t="s">
        <v>61</v>
      </c>
      <c r="L91" s="144">
        <v>45930.0</v>
      </c>
      <c r="M91" s="281" t="s">
        <v>107</v>
      </c>
      <c r="N91" s="282">
        <v>357.0</v>
      </c>
      <c r="O91" s="282">
        <v>45.0</v>
      </c>
      <c r="P91" s="283"/>
      <c r="Q91" s="283"/>
      <c r="R91" s="283"/>
      <c r="S91" s="283"/>
      <c r="T91" s="283"/>
      <c r="U91" s="281" t="s">
        <v>1207</v>
      </c>
      <c r="V91" s="284"/>
      <c r="W91" s="285" t="s">
        <v>1483</v>
      </c>
      <c r="X91" s="181">
        <v>29.0</v>
      </c>
      <c r="Y91" s="166">
        <f t="shared" si="6"/>
        <v>29</v>
      </c>
      <c r="Z91" s="26">
        <f t="shared" si="7"/>
        <v>0</v>
      </c>
      <c r="AA91" s="26">
        <f t="shared" si="8"/>
        <v>0</v>
      </c>
      <c r="AB91" s="26">
        <f t="shared" si="9"/>
        <v>0</v>
      </c>
      <c r="AC91" s="155">
        <v>0.0</v>
      </c>
      <c r="AD91" s="155">
        <v>0.0</v>
      </c>
      <c r="AE91" s="155">
        <v>0.0</v>
      </c>
      <c r="AF91" s="155">
        <v>0.0</v>
      </c>
      <c r="AG91" s="155">
        <v>0.0</v>
      </c>
      <c r="AH91" s="155">
        <v>0.0</v>
      </c>
      <c r="BN91" s="155">
        <v>0.0</v>
      </c>
      <c r="BO91" s="155">
        <v>0.0</v>
      </c>
      <c r="BP91" s="155">
        <v>0.0</v>
      </c>
      <c r="BQ91" s="155">
        <v>0.0</v>
      </c>
      <c r="BR91" s="155">
        <v>0.0</v>
      </c>
      <c r="BS91" s="155">
        <v>0.0</v>
      </c>
      <c r="CV91" s="156">
        <v>0.0</v>
      </c>
      <c r="CW91" s="156">
        <v>0.0</v>
      </c>
      <c r="CX91" s="156">
        <v>0.0</v>
      </c>
      <c r="CY91" s="156">
        <v>0.0</v>
      </c>
      <c r="CZ91" s="156">
        <v>0.0</v>
      </c>
      <c r="DA91" s="156">
        <v>0.0</v>
      </c>
      <c r="EG91" s="156">
        <v>0.0</v>
      </c>
      <c r="EH91" s="156">
        <v>0.0</v>
      </c>
      <c r="EI91" s="156">
        <v>0.0</v>
      </c>
      <c r="EJ91" s="156">
        <v>0.0</v>
      </c>
      <c r="EK91" s="156">
        <v>0.0</v>
      </c>
      <c r="EL91" s="156">
        <v>0.0</v>
      </c>
      <c r="FQ91" s="156">
        <v>0.0</v>
      </c>
      <c r="FR91" s="156">
        <v>0.0</v>
      </c>
      <c r="FS91" s="156">
        <v>0.0</v>
      </c>
      <c r="FT91" s="156">
        <v>0.0</v>
      </c>
      <c r="FU91" s="156">
        <v>0.0</v>
      </c>
      <c r="FV91" s="156">
        <v>0.0</v>
      </c>
      <c r="FW91" s="157"/>
      <c r="FX91" s="157"/>
      <c r="FY91" s="157"/>
      <c r="FZ91" s="157"/>
      <c r="GA91" s="157"/>
      <c r="GB91" s="157"/>
      <c r="GC91" s="157"/>
      <c r="GD91" s="157"/>
      <c r="GE91" s="157"/>
      <c r="GF91" s="157"/>
      <c r="GG91" s="157"/>
      <c r="GH91" s="157"/>
      <c r="GI91" s="157"/>
      <c r="GJ91" s="157"/>
      <c r="GK91" s="157"/>
      <c r="GL91" s="157"/>
      <c r="GM91" s="157"/>
      <c r="GN91" s="157"/>
      <c r="GO91" s="157"/>
      <c r="GP91" s="158"/>
      <c r="GQ91" s="157"/>
      <c r="GR91" s="157"/>
      <c r="GS91" s="157"/>
      <c r="GT91" s="157"/>
      <c r="GU91" s="157"/>
      <c r="GV91" s="157"/>
      <c r="GW91" s="157"/>
      <c r="GX91" s="157"/>
      <c r="GY91" s="157"/>
      <c r="GZ91" s="157"/>
      <c r="HA91" s="157"/>
      <c r="HB91" s="155">
        <v>0.0</v>
      </c>
      <c r="HC91" s="155">
        <v>0.0</v>
      </c>
      <c r="HD91" s="155">
        <v>0.0</v>
      </c>
      <c r="HE91" s="155">
        <v>0.0</v>
      </c>
      <c r="HF91" s="155">
        <v>0.0</v>
      </c>
      <c r="HG91" s="155">
        <v>0.0</v>
      </c>
      <c r="IL91" s="159">
        <v>0.0</v>
      </c>
      <c r="IM91" s="156">
        <v>0.0</v>
      </c>
      <c r="IN91" s="156">
        <v>0.0</v>
      </c>
      <c r="IO91" s="156">
        <v>0.0</v>
      </c>
      <c r="IP91" s="156">
        <v>0.0</v>
      </c>
      <c r="IQ91" s="160">
        <v>0.0</v>
      </c>
      <c r="JH91" s="25"/>
      <c r="JW91" s="159">
        <v>0.0</v>
      </c>
      <c r="JX91" s="156">
        <v>0.0</v>
      </c>
      <c r="JY91" s="156">
        <v>0.0</v>
      </c>
      <c r="JZ91" s="156">
        <v>0.0</v>
      </c>
      <c r="KA91" s="156">
        <v>0.0</v>
      </c>
      <c r="KB91" s="160">
        <v>0.0</v>
      </c>
      <c r="LH91" s="159">
        <f t="shared" si="10"/>
        <v>0</v>
      </c>
      <c r="LI91" s="156">
        <f t="shared" si="11"/>
        <v>0</v>
      </c>
      <c r="LJ91" s="156">
        <f t="shared" si="12"/>
        <v>0</v>
      </c>
      <c r="LK91" s="156">
        <f t="shared" si="13"/>
        <v>0</v>
      </c>
      <c r="LL91" s="156">
        <f t="shared" si="14"/>
        <v>0</v>
      </c>
      <c r="LM91" s="160">
        <f t="shared" si="15"/>
        <v>0</v>
      </c>
      <c r="QX91" s="107">
        <v>45821.0</v>
      </c>
    </row>
    <row r="92">
      <c r="A92" s="12"/>
      <c r="B92" s="12"/>
      <c r="C92" s="12"/>
      <c r="D92" s="12"/>
      <c r="E92" s="12"/>
      <c r="F92" s="12"/>
      <c r="G92" s="12"/>
      <c r="H92" s="12"/>
      <c r="I92" s="143">
        <f t="shared" si="5"/>
        <v>-30</v>
      </c>
      <c r="J92" s="144">
        <v>45826.0</v>
      </c>
      <c r="K92" s="173" t="s">
        <v>61</v>
      </c>
      <c r="L92" s="144">
        <v>45981.0</v>
      </c>
      <c r="M92" s="147" t="s">
        <v>1487</v>
      </c>
      <c r="N92" s="148">
        <v>246.0</v>
      </c>
      <c r="O92" s="148">
        <v>30.0</v>
      </c>
      <c r="P92" s="26"/>
      <c r="Q92" s="26"/>
      <c r="R92" s="26"/>
      <c r="S92" s="26"/>
      <c r="T92" s="26"/>
      <c r="U92" s="147" t="s">
        <v>721</v>
      </c>
      <c r="V92" s="149" t="s">
        <v>722</v>
      </c>
      <c r="W92" s="198" t="s">
        <v>1489</v>
      </c>
      <c r="X92" s="181">
        <v>30.0</v>
      </c>
      <c r="Y92" s="166">
        <f t="shared" si="6"/>
        <v>30</v>
      </c>
      <c r="Z92" s="26">
        <f t="shared" si="7"/>
        <v>0</v>
      </c>
      <c r="AA92" s="26">
        <f t="shared" si="8"/>
        <v>0</v>
      </c>
      <c r="AB92" s="26">
        <f t="shared" si="9"/>
        <v>0</v>
      </c>
      <c r="AC92" s="155">
        <v>0.0</v>
      </c>
      <c r="AD92" s="155">
        <v>0.0</v>
      </c>
      <c r="AE92" s="155">
        <v>0.0</v>
      </c>
      <c r="AF92" s="155">
        <v>0.0</v>
      </c>
      <c r="AG92" s="155">
        <v>0.0</v>
      </c>
      <c r="AH92" s="155">
        <v>0.0</v>
      </c>
      <c r="BN92" s="155">
        <v>0.0</v>
      </c>
      <c r="BO92" s="155">
        <v>0.0</v>
      </c>
      <c r="BP92" s="155">
        <v>0.0</v>
      </c>
      <c r="BQ92" s="155">
        <v>0.0</v>
      </c>
      <c r="BR92" s="155">
        <v>0.0</v>
      </c>
      <c r="BS92" s="155">
        <v>0.0</v>
      </c>
      <c r="CV92" s="156">
        <v>0.0</v>
      </c>
      <c r="CW92" s="156">
        <v>0.0</v>
      </c>
      <c r="CX92" s="156">
        <v>0.0</v>
      </c>
      <c r="CY92" s="156">
        <v>0.0</v>
      </c>
      <c r="CZ92" s="156">
        <v>0.0</v>
      </c>
      <c r="DA92" s="156">
        <v>0.0</v>
      </c>
      <c r="EG92" s="156">
        <v>0.0</v>
      </c>
      <c r="EH92" s="156">
        <v>0.0</v>
      </c>
      <c r="EI92" s="156">
        <v>0.0</v>
      </c>
      <c r="EJ92" s="156">
        <v>0.0</v>
      </c>
      <c r="EK92" s="156">
        <v>0.0</v>
      </c>
      <c r="EL92" s="156">
        <v>0.0</v>
      </c>
      <c r="FQ92" s="156">
        <v>0.0</v>
      </c>
      <c r="FR92" s="156">
        <v>0.0</v>
      </c>
      <c r="FS92" s="156">
        <v>0.0</v>
      </c>
      <c r="FT92" s="156">
        <v>0.0</v>
      </c>
      <c r="FU92" s="156">
        <v>0.0</v>
      </c>
      <c r="FV92" s="156">
        <v>0.0</v>
      </c>
      <c r="FW92" s="157"/>
      <c r="FX92" s="157"/>
      <c r="FY92" s="157"/>
      <c r="FZ92" s="157"/>
      <c r="GA92" s="157"/>
      <c r="GB92" s="157"/>
      <c r="GC92" s="157"/>
      <c r="GD92" s="157"/>
      <c r="GE92" s="157"/>
      <c r="GF92" s="157"/>
      <c r="GG92" s="157"/>
      <c r="GH92" s="157"/>
      <c r="GI92" s="157"/>
      <c r="GJ92" s="157"/>
      <c r="GK92" s="157"/>
      <c r="GL92" s="157"/>
      <c r="GM92" s="157"/>
      <c r="GN92" s="157"/>
      <c r="GO92" s="157"/>
      <c r="GP92" s="158"/>
      <c r="GQ92" s="157"/>
      <c r="GR92" s="157"/>
      <c r="GS92" s="157"/>
      <c r="GT92" s="157"/>
      <c r="GU92" s="157"/>
      <c r="GV92" s="157"/>
      <c r="GW92" s="157"/>
      <c r="GX92" s="157"/>
      <c r="GY92" s="157"/>
      <c r="GZ92" s="157"/>
      <c r="HA92" s="157"/>
      <c r="HB92" s="155">
        <v>0.0</v>
      </c>
      <c r="HC92" s="155">
        <v>0.0</v>
      </c>
      <c r="HD92" s="155">
        <v>0.0</v>
      </c>
      <c r="HE92" s="155">
        <v>0.0</v>
      </c>
      <c r="HF92" s="155">
        <v>0.0</v>
      </c>
      <c r="HG92" s="155">
        <v>0.0</v>
      </c>
      <c r="IL92" s="159">
        <v>0.0</v>
      </c>
      <c r="IM92" s="156">
        <v>0.0</v>
      </c>
      <c r="IN92" s="156">
        <v>0.0</v>
      </c>
      <c r="IO92" s="156">
        <v>0.0</v>
      </c>
      <c r="IP92" s="156">
        <v>0.0</v>
      </c>
      <c r="IQ92" s="160">
        <v>0.0</v>
      </c>
      <c r="JH92" s="25"/>
      <c r="JW92" s="159">
        <v>0.0</v>
      </c>
      <c r="JX92" s="156">
        <v>0.0</v>
      </c>
      <c r="JY92" s="156">
        <v>0.0</v>
      </c>
      <c r="JZ92" s="156">
        <v>0.0</v>
      </c>
      <c r="KA92" s="156">
        <v>0.0</v>
      </c>
      <c r="KB92" s="160">
        <v>0.0</v>
      </c>
      <c r="LH92" s="159">
        <f t="shared" si="10"/>
        <v>0</v>
      </c>
      <c r="LI92" s="156">
        <f t="shared" si="11"/>
        <v>0</v>
      </c>
      <c r="LJ92" s="156">
        <f t="shared" si="12"/>
        <v>0</v>
      </c>
      <c r="LK92" s="156">
        <f t="shared" si="13"/>
        <v>0</v>
      </c>
      <c r="LL92" s="156">
        <f t="shared" si="14"/>
        <v>0</v>
      </c>
      <c r="LM92" s="160">
        <f t="shared" si="15"/>
        <v>0</v>
      </c>
      <c r="QX92" s="107">
        <v>45822.0</v>
      </c>
    </row>
    <row r="93">
      <c r="A93" s="12"/>
      <c r="B93" s="12"/>
      <c r="C93" s="12"/>
      <c r="D93" s="12"/>
      <c r="E93" s="12"/>
      <c r="F93" s="12"/>
      <c r="G93" s="12"/>
      <c r="H93" s="12"/>
      <c r="I93" s="143">
        <f t="shared" si="5"/>
        <v>-8</v>
      </c>
      <c r="J93" s="144">
        <v>45829.0</v>
      </c>
      <c r="K93" s="173" t="s">
        <v>61</v>
      </c>
      <c r="L93" s="144">
        <v>45932.0</v>
      </c>
      <c r="M93" s="147" t="s">
        <v>712</v>
      </c>
      <c r="N93" s="148" t="s">
        <v>424</v>
      </c>
      <c r="O93" s="148">
        <v>30.0</v>
      </c>
      <c r="P93" s="26"/>
      <c r="Q93" s="26"/>
      <c r="R93" s="26"/>
      <c r="S93" s="26"/>
      <c r="T93" s="26"/>
      <c r="U93" s="147" t="s">
        <v>763</v>
      </c>
      <c r="V93" s="197"/>
      <c r="W93" s="198" t="s">
        <v>1494</v>
      </c>
      <c r="X93" s="181">
        <v>8.0</v>
      </c>
      <c r="Y93" s="166">
        <f t="shared" si="6"/>
        <v>8</v>
      </c>
      <c r="Z93" s="26">
        <f t="shared" si="7"/>
        <v>0</v>
      </c>
      <c r="AA93" s="26">
        <f t="shared" si="8"/>
        <v>0</v>
      </c>
      <c r="AB93" s="26">
        <f t="shared" si="9"/>
        <v>0</v>
      </c>
      <c r="AC93" s="155">
        <v>0.0</v>
      </c>
      <c r="AD93" s="155">
        <v>0.0</v>
      </c>
      <c r="AE93" s="155">
        <v>0.0</v>
      </c>
      <c r="AF93" s="155">
        <v>0.0</v>
      </c>
      <c r="AG93" s="155">
        <v>0.0</v>
      </c>
      <c r="AH93" s="155">
        <v>0.0</v>
      </c>
      <c r="BN93" s="155">
        <v>0.0</v>
      </c>
      <c r="BO93" s="155">
        <v>0.0</v>
      </c>
      <c r="BP93" s="155">
        <v>0.0</v>
      </c>
      <c r="BQ93" s="155">
        <v>0.0</v>
      </c>
      <c r="BR93" s="155">
        <v>0.0</v>
      </c>
      <c r="BS93" s="155">
        <v>0.0</v>
      </c>
      <c r="CV93" s="156">
        <v>0.0</v>
      </c>
      <c r="CW93" s="156">
        <v>0.0</v>
      </c>
      <c r="CX93" s="156">
        <v>0.0</v>
      </c>
      <c r="CY93" s="156">
        <v>0.0</v>
      </c>
      <c r="CZ93" s="156">
        <v>0.0</v>
      </c>
      <c r="DA93" s="156">
        <v>0.0</v>
      </c>
      <c r="EG93" s="156">
        <v>0.0</v>
      </c>
      <c r="EH93" s="156">
        <v>0.0</v>
      </c>
      <c r="EI93" s="156">
        <v>0.0</v>
      </c>
      <c r="EJ93" s="156">
        <v>0.0</v>
      </c>
      <c r="EK93" s="156">
        <v>0.0</v>
      </c>
      <c r="EL93" s="156">
        <v>0.0</v>
      </c>
      <c r="FQ93" s="156">
        <v>0.0</v>
      </c>
      <c r="FR93" s="156">
        <v>0.0</v>
      </c>
      <c r="FS93" s="156">
        <v>0.0</v>
      </c>
      <c r="FT93" s="156">
        <v>0.0</v>
      </c>
      <c r="FU93" s="156">
        <v>0.0</v>
      </c>
      <c r="FV93" s="156">
        <v>0.0</v>
      </c>
      <c r="FW93" s="157"/>
      <c r="FX93" s="157"/>
      <c r="FY93" s="157"/>
      <c r="FZ93" s="157"/>
      <c r="GA93" s="157"/>
      <c r="GB93" s="157"/>
      <c r="GC93" s="157"/>
      <c r="GD93" s="157"/>
      <c r="GE93" s="157"/>
      <c r="GF93" s="157"/>
      <c r="GG93" s="157"/>
      <c r="GH93" s="157"/>
      <c r="GI93" s="157"/>
      <c r="GJ93" s="157"/>
      <c r="GK93" s="157"/>
      <c r="GL93" s="157"/>
      <c r="GM93" s="157"/>
      <c r="GN93" s="157"/>
      <c r="GO93" s="157"/>
      <c r="GP93" s="158"/>
      <c r="GQ93" s="157"/>
      <c r="GR93" s="157"/>
      <c r="GS93" s="157"/>
      <c r="GT93" s="157"/>
      <c r="GU93" s="157"/>
      <c r="GV93" s="157"/>
      <c r="GW93" s="157"/>
      <c r="GX93" s="157"/>
      <c r="GY93" s="157"/>
      <c r="GZ93" s="157"/>
      <c r="HA93" s="157"/>
      <c r="HB93" s="155">
        <v>0.0</v>
      </c>
      <c r="HC93" s="155">
        <v>0.0</v>
      </c>
      <c r="HD93" s="155">
        <v>0.0</v>
      </c>
      <c r="HE93" s="155">
        <v>0.0</v>
      </c>
      <c r="HF93" s="155">
        <v>0.0</v>
      </c>
      <c r="HG93" s="155">
        <v>0.0</v>
      </c>
      <c r="IL93" s="159">
        <v>0.0</v>
      </c>
      <c r="IM93" s="156">
        <v>0.0</v>
      </c>
      <c r="IN93" s="156">
        <v>0.0</v>
      </c>
      <c r="IO93" s="156">
        <v>0.0</v>
      </c>
      <c r="IP93" s="156">
        <v>0.0</v>
      </c>
      <c r="IQ93" s="160">
        <v>0.0</v>
      </c>
      <c r="JH93" s="25"/>
      <c r="JW93" s="159">
        <v>0.0</v>
      </c>
      <c r="JX93" s="156">
        <v>0.0</v>
      </c>
      <c r="JY93" s="156">
        <v>0.0</v>
      </c>
      <c r="JZ93" s="156">
        <v>0.0</v>
      </c>
      <c r="KA93" s="156">
        <v>0.0</v>
      </c>
      <c r="KB93" s="160">
        <v>0.0</v>
      </c>
      <c r="LH93" s="159">
        <f t="shared" si="10"/>
        <v>0</v>
      </c>
      <c r="LI93" s="156">
        <f t="shared" si="11"/>
        <v>0</v>
      </c>
      <c r="LJ93" s="156">
        <f t="shared" si="12"/>
        <v>0</v>
      </c>
      <c r="LK93" s="156">
        <f t="shared" si="13"/>
        <v>0</v>
      </c>
      <c r="LL93" s="156">
        <f t="shared" si="14"/>
        <v>0</v>
      </c>
      <c r="LM93" s="160">
        <f t="shared" si="15"/>
        <v>0</v>
      </c>
      <c r="QX93" s="107">
        <v>45822.0</v>
      </c>
    </row>
    <row r="94">
      <c r="A94" s="12"/>
      <c r="B94" s="12"/>
      <c r="C94" s="12"/>
      <c r="D94" s="12"/>
      <c r="E94" s="12"/>
      <c r="F94" s="12"/>
      <c r="G94" s="12"/>
      <c r="H94" s="12"/>
      <c r="I94" s="143">
        <f t="shared" si="5"/>
        <v>-28</v>
      </c>
      <c r="J94" s="144">
        <v>45826.0</v>
      </c>
      <c r="K94" s="173" t="s">
        <v>61</v>
      </c>
      <c r="L94" s="144">
        <v>45938.0</v>
      </c>
      <c r="M94" s="147" t="s">
        <v>400</v>
      </c>
      <c r="N94" s="148">
        <v>246.0</v>
      </c>
      <c r="O94" s="148">
        <v>30.0</v>
      </c>
      <c r="P94" s="26"/>
      <c r="Q94" s="26"/>
      <c r="R94" s="26"/>
      <c r="S94" s="26"/>
      <c r="T94" s="26"/>
      <c r="U94" s="147" t="s">
        <v>1231</v>
      </c>
      <c r="V94" s="197"/>
      <c r="W94" s="147" t="s">
        <v>1499</v>
      </c>
      <c r="X94" s="181">
        <v>28.0</v>
      </c>
      <c r="Y94" s="166">
        <f t="shared" si="6"/>
        <v>28</v>
      </c>
      <c r="Z94" s="26">
        <f t="shared" si="7"/>
        <v>0</v>
      </c>
      <c r="AA94" s="26">
        <f t="shared" si="8"/>
        <v>0</v>
      </c>
      <c r="AB94" s="26">
        <f t="shared" si="9"/>
        <v>0</v>
      </c>
      <c r="AC94" s="155">
        <v>0.0</v>
      </c>
      <c r="AD94" s="155">
        <v>0.0</v>
      </c>
      <c r="AE94" s="155">
        <v>0.0</v>
      </c>
      <c r="AF94" s="155">
        <v>0.0</v>
      </c>
      <c r="AG94" s="155">
        <v>0.0</v>
      </c>
      <c r="AH94" s="155">
        <v>0.0</v>
      </c>
      <c r="BN94" s="155">
        <v>0.0</v>
      </c>
      <c r="BO94" s="155">
        <v>0.0</v>
      </c>
      <c r="BP94" s="155">
        <v>0.0</v>
      </c>
      <c r="BQ94" s="155">
        <v>0.0</v>
      </c>
      <c r="BR94" s="155">
        <v>0.0</v>
      </c>
      <c r="BS94" s="155">
        <v>0.0</v>
      </c>
      <c r="CV94" s="156">
        <v>0.0</v>
      </c>
      <c r="CW94" s="156">
        <v>0.0</v>
      </c>
      <c r="CX94" s="156">
        <v>0.0</v>
      </c>
      <c r="CY94" s="156">
        <v>0.0</v>
      </c>
      <c r="CZ94" s="156">
        <v>0.0</v>
      </c>
      <c r="DA94" s="156">
        <v>0.0</v>
      </c>
      <c r="EG94" s="156">
        <v>0.0</v>
      </c>
      <c r="EH94" s="156">
        <v>0.0</v>
      </c>
      <c r="EI94" s="156">
        <v>0.0</v>
      </c>
      <c r="EJ94" s="156">
        <v>0.0</v>
      </c>
      <c r="EK94" s="156">
        <v>0.0</v>
      </c>
      <c r="EL94" s="156">
        <v>0.0</v>
      </c>
      <c r="FQ94" s="156">
        <v>0.0</v>
      </c>
      <c r="FR94" s="156">
        <v>0.0</v>
      </c>
      <c r="FS94" s="156">
        <v>0.0</v>
      </c>
      <c r="FT94" s="156">
        <v>0.0</v>
      </c>
      <c r="FU94" s="156">
        <v>0.0</v>
      </c>
      <c r="FV94" s="156">
        <v>0.0</v>
      </c>
      <c r="FW94" s="157"/>
      <c r="FX94" s="157"/>
      <c r="FY94" s="157"/>
      <c r="FZ94" s="157"/>
      <c r="GA94" s="157"/>
      <c r="GB94" s="157"/>
      <c r="GC94" s="157"/>
      <c r="GD94" s="157"/>
      <c r="GE94" s="157"/>
      <c r="GF94" s="157"/>
      <c r="GG94" s="157"/>
      <c r="GH94" s="157"/>
      <c r="GI94" s="157"/>
      <c r="GJ94" s="157"/>
      <c r="GK94" s="157"/>
      <c r="GL94" s="157"/>
      <c r="GM94" s="157"/>
      <c r="GN94" s="157"/>
      <c r="GO94" s="157"/>
      <c r="GP94" s="158"/>
      <c r="GQ94" s="157"/>
      <c r="GR94" s="157"/>
      <c r="GS94" s="157"/>
      <c r="GT94" s="157"/>
      <c r="GU94" s="157"/>
      <c r="GV94" s="157"/>
      <c r="GW94" s="157"/>
      <c r="GX94" s="157"/>
      <c r="GY94" s="157"/>
      <c r="GZ94" s="157"/>
      <c r="HA94" s="157"/>
      <c r="HB94" s="155">
        <v>0.0</v>
      </c>
      <c r="HC94" s="155">
        <v>0.0</v>
      </c>
      <c r="HD94" s="155">
        <v>0.0</v>
      </c>
      <c r="HE94" s="155">
        <v>0.0</v>
      </c>
      <c r="HF94" s="155">
        <v>0.0</v>
      </c>
      <c r="HG94" s="155">
        <v>0.0</v>
      </c>
      <c r="IL94" s="159">
        <v>0.0</v>
      </c>
      <c r="IM94" s="156">
        <v>0.0</v>
      </c>
      <c r="IN94" s="156">
        <v>0.0</v>
      </c>
      <c r="IO94" s="156">
        <v>0.0</v>
      </c>
      <c r="IP94" s="156">
        <v>0.0</v>
      </c>
      <c r="IQ94" s="160">
        <v>0.0</v>
      </c>
      <c r="JH94" s="25"/>
      <c r="JW94" s="159">
        <v>0.0</v>
      </c>
      <c r="JX94" s="156">
        <v>0.0</v>
      </c>
      <c r="JY94" s="156">
        <v>0.0</v>
      </c>
      <c r="JZ94" s="156">
        <v>0.0</v>
      </c>
      <c r="KA94" s="156">
        <v>0.0</v>
      </c>
      <c r="KB94" s="160">
        <v>0.0</v>
      </c>
      <c r="LH94" s="159">
        <f t="shared" si="10"/>
        <v>0</v>
      </c>
      <c r="LI94" s="156">
        <f t="shared" si="11"/>
        <v>0</v>
      </c>
      <c r="LJ94" s="156">
        <f t="shared" si="12"/>
        <v>0</v>
      </c>
      <c r="LK94" s="156">
        <f t="shared" si="13"/>
        <v>0</v>
      </c>
      <c r="LL94" s="156">
        <f t="shared" si="14"/>
        <v>0</v>
      </c>
      <c r="LM94" s="160">
        <f t="shared" si="15"/>
        <v>0</v>
      </c>
      <c r="QX94" s="107">
        <v>45822.0</v>
      </c>
    </row>
    <row r="95">
      <c r="A95" s="12"/>
      <c r="B95" s="12"/>
      <c r="C95" s="12"/>
      <c r="D95" s="12"/>
      <c r="E95" s="12"/>
      <c r="F95" s="12"/>
      <c r="G95" s="12"/>
      <c r="H95" s="12"/>
      <c r="I95" s="143">
        <f t="shared" si="5"/>
        <v>-23</v>
      </c>
      <c r="J95" s="144">
        <v>45825.0</v>
      </c>
      <c r="K95" s="49" t="s">
        <v>61</v>
      </c>
      <c r="L95" s="144">
        <v>45904.0</v>
      </c>
      <c r="M95" s="147" t="s">
        <v>228</v>
      </c>
      <c r="N95" s="148">
        <v>357.0</v>
      </c>
      <c r="O95" s="148">
        <v>30.0</v>
      </c>
      <c r="P95" s="26"/>
      <c r="Q95" s="26"/>
      <c r="R95" s="26"/>
      <c r="S95" s="26"/>
      <c r="T95" s="26"/>
      <c r="U95" s="147" t="s">
        <v>1199</v>
      </c>
      <c r="V95" s="149" t="s">
        <v>1503</v>
      </c>
      <c r="W95" s="198" t="s">
        <v>1504</v>
      </c>
      <c r="X95" s="181">
        <v>23.0</v>
      </c>
      <c r="Y95" s="166">
        <f t="shared" si="6"/>
        <v>23</v>
      </c>
      <c r="Z95" s="26">
        <f t="shared" si="7"/>
        <v>0</v>
      </c>
      <c r="AA95" s="26">
        <f t="shared" si="8"/>
        <v>0</v>
      </c>
      <c r="AB95" s="26">
        <f t="shared" si="9"/>
        <v>0</v>
      </c>
      <c r="AC95" s="155">
        <v>0.0</v>
      </c>
      <c r="AD95" s="155">
        <v>0.0</v>
      </c>
      <c r="AE95" s="155">
        <v>0.0</v>
      </c>
      <c r="AF95" s="155">
        <v>0.0</v>
      </c>
      <c r="AG95" s="155">
        <v>0.0</v>
      </c>
      <c r="AH95" s="155">
        <v>0.0</v>
      </c>
      <c r="BN95" s="155">
        <v>0.0</v>
      </c>
      <c r="BO95" s="155">
        <v>0.0</v>
      </c>
      <c r="BP95" s="155">
        <v>0.0</v>
      </c>
      <c r="BQ95" s="155">
        <v>0.0</v>
      </c>
      <c r="BR95" s="155">
        <v>0.0</v>
      </c>
      <c r="BS95" s="155">
        <v>0.0</v>
      </c>
      <c r="CV95" s="156">
        <v>0.0</v>
      </c>
      <c r="CW95" s="156">
        <v>0.0</v>
      </c>
      <c r="CX95" s="156">
        <v>0.0</v>
      </c>
      <c r="CY95" s="156">
        <v>0.0</v>
      </c>
      <c r="CZ95" s="156">
        <v>0.0</v>
      </c>
      <c r="DA95" s="156">
        <v>0.0</v>
      </c>
      <c r="EG95" s="156">
        <v>0.0</v>
      </c>
      <c r="EH95" s="156">
        <v>0.0</v>
      </c>
      <c r="EI95" s="156">
        <v>0.0</v>
      </c>
      <c r="EJ95" s="156">
        <v>0.0</v>
      </c>
      <c r="EK95" s="156">
        <v>0.0</v>
      </c>
      <c r="EL95" s="156">
        <v>0.0</v>
      </c>
      <c r="FQ95" s="156">
        <v>0.0</v>
      </c>
      <c r="FR95" s="156">
        <v>0.0</v>
      </c>
      <c r="FS95" s="156">
        <v>0.0</v>
      </c>
      <c r="FT95" s="156">
        <v>0.0</v>
      </c>
      <c r="FU95" s="156">
        <v>0.0</v>
      </c>
      <c r="FV95" s="156">
        <v>0.0</v>
      </c>
      <c r="FW95" s="157"/>
      <c r="FX95" s="157"/>
      <c r="FY95" s="157"/>
      <c r="FZ95" s="157"/>
      <c r="GA95" s="157"/>
      <c r="GB95" s="157"/>
      <c r="GC95" s="157"/>
      <c r="GD95" s="157"/>
      <c r="GE95" s="157"/>
      <c r="GF95" s="157"/>
      <c r="GG95" s="157"/>
      <c r="GH95" s="157"/>
      <c r="GI95" s="157"/>
      <c r="GJ95" s="157"/>
      <c r="GK95" s="157"/>
      <c r="GL95" s="157"/>
      <c r="GM95" s="157"/>
      <c r="GN95" s="157"/>
      <c r="GO95" s="157"/>
      <c r="GP95" s="158"/>
      <c r="GQ95" s="157"/>
      <c r="GR95" s="157"/>
      <c r="GS95" s="157"/>
      <c r="GT95" s="157"/>
      <c r="GU95" s="157"/>
      <c r="GV95" s="157"/>
      <c r="GW95" s="157"/>
      <c r="GX95" s="157"/>
      <c r="GY95" s="157"/>
      <c r="GZ95" s="157"/>
      <c r="HA95" s="157"/>
      <c r="HB95" s="155">
        <v>0.0</v>
      </c>
      <c r="HC95" s="155">
        <v>0.0</v>
      </c>
      <c r="HD95" s="155">
        <v>0.0</v>
      </c>
      <c r="HE95" s="155">
        <v>0.0</v>
      </c>
      <c r="HF95" s="155">
        <v>0.0</v>
      </c>
      <c r="HG95" s="155">
        <v>0.0</v>
      </c>
      <c r="IL95" s="159">
        <v>0.0</v>
      </c>
      <c r="IM95" s="156">
        <v>0.0</v>
      </c>
      <c r="IN95" s="156">
        <v>0.0</v>
      </c>
      <c r="IO95" s="156">
        <v>0.0</v>
      </c>
      <c r="IP95" s="156">
        <v>0.0</v>
      </c>
      <c r="IQ95" s="160">
        <v>0.0</v>
      </c>
      <c r="JH95" s="25"/>
      <c r="JW95" s="159">
        <v>0.0</v>
      </c>
      <c r="JX95" s="156">
        <v>0.0</v>
      </c>
      <c r="JY95" s="156">
        <v>0.0</v>
      </c>
      <c r="JZ95" s="156">
        <v>0.0</v>
      </c>
      <c r="KA95" s="156">
        <v>0.0</v>
      </c>
      <c r="KB95" s="160">
        <v>0.0</v>
      </c>
      <c r="LH95" s="159">
        <f t="shared" si="10"/>
        <v>0</v>
      </c>
      <c r="LI95" s="156">
        <f t="shared" si="11"/>
        <v>0</v>
      </c>
      <c r="LJ95" s="156">
        <f t="shared" si="12"/>
        <v>0</v>
      </c>
      <c r="LK95" s="156">
        <f t="shared" si="13"/>
        <v>0</v>
      </c>
      <c r="LL95" s="156">
        <f t="shared" si="14"/>
        <v>0</v>
      </c>
      <c r="LM95" s="160">
        <f t="shared" si="15"/>
        <v>0</v>
      </c>
      <c r="QX95" s="107">
        <v>45824.0</v>
      </c>
    </row>
    <row r="96">
      <c r="A96" s="12"/>
      <c r="B96" s="12"/>
      <c r="C96" s="12"/>
      <c r="D96" s="12"/>
      <c r="E96" s="12"/>
      <c r="F96" s="12"/>
      <c r="G96" s="12"/>
      <c r="H96" s="12"/>
      <c r="I96" s="143">
        <f t="shared" si="5"/>
        <v>-29</v>
      </c>
      <c r="J96" s="144">
        <v>45825.0</v>
      </c>
      <c r="K96" s="173" t="s">
        <v>61</v>
      </c>
      <c r="L96" s="146"/>
      <c r="M96" s="281" t="s">
        <v>107</v>
      </c>
      <c r="N96" s="282">
        <v>357.0</v>
      </c>
      <c r="O96" s="282">
        <v>45.0</v>
      </c>
      <c r="P96" s="283"/>
      <c r="Q96" s="283"/>
      <c r="R96" s="283"/>
      <c r="S96" s="283"/>
      <c r="T96" s="283"/>
      <c r="U96" s="281" t="s">
        <v>1207</v>
      </c>
      <c r="V96" s="284"/>
      <c r="W96" s="285" t="s">
        <v>1483</v>
      </c>
      <c r="X96" s="181">
        <v>29.0</v>
      </c>
      <c r="Y96" s="166">
        <f t="shared" si="6"/>
        <v>29</v>
      </c>
      <c r="Z96" s="26">
        <f t="shared" si="7"/>
        <v>0</v>
      </c>
      <c r="AA96" s="26">
        <f t="shared" si="8"/>
        <v>0</v>
      </c>
      <c r="AB96" s="26">
        <f t="shared" si="9"/>
        <v>0</v>
      </c>
      <c r="AC96" s="155">
        <v>0.0</v>
      </c>
      <c r="AD96" s="155">
        <v>0.0</v>
      </c>
      <c r="AE96" s="155">
        <v>0.0</v>
      </c>
      <c r="AF96" s="155">
        <v>0.0</v>
      </c>
      <c r="AG96" s="155">
        <v>0.0</v>
      </c>
      <c r="AH96" s="155">
        <v>0.0</v>
      </c>
      <c r="BN96" s="155">
        <v>0.0</v>
      </c>
      <c r="BO96" s="155">
        <v>0.0</v>
      </c>
      <c r="BP96" s="155">
        <v>0.0</v>
      </c>
      <c r="BQ96" s="155">
        <v>0.0</v>
      </c>
      <c r="BR96" s="155">
        <v>0.0</v>
      </c>
      <c r="BS96" s="155">
        <v>0.0</v>
      </c>
      <c r="CV96" s="156">
        <v>0.0</v>
      </c>
      <c r="CW96" s="156">
        <v>0.0</v>
      </c>
      <c r="CX96" s="156">
        <v>0.0</v>
      </c>
      <c r="CY96" s="156">
        <v>0.0</v>
      </c>
      <c r="CZ96" s="156">
        <v>0.0</v>
      </c>
      <c r="DA96" s="156">
        <v>0.0</v>
      </c>
      <c r="EG96" s="156">
        <v>0.0</v>
      </c>
      <c r="EH96" s="156">
        <v>0.0</v>
      </c>
      <c r="EI96" s="156">
        <v>0.0</v>
      </c>
      <c r="EJ96" s="156">
        <v>0.0</v>
      </c>
      <c r="EK96" s="156">
        <v>0.0</v>
      </c>
      <c r="EL96" s="156">
        <v>0.0</v>
      </c>
      <c r="FQ96" s="156">
        <v>0.0</v>
      </c>
      <c r="FR96" s="156">
        <v>0.0</v>
      </c>
      <c r="FS96" s="156">
        <v>0.0</v>
      </c>
      <c r="FT96" s="156">
        <v>0.0</v>
      </c>
      <c r="FU96" s="156">
        <v>0.0</v>
      </c>
      <c r="FV96" s="156">
        <v>0.0</v>
      </c>
      <c r="FW96" s="157"/>
      <c r="FX96" s="157"/>
      <c r="FY96" s="157"/>
      <c r="FZ96" s="157"/>
      <c r="GA96" s="157"/>
      <c r="GB96" s="157"/>
      <c r="GC96" s="157"/>
      <c r="GD96" s="157"/>
      <c r="GE96" s="157"/>
      <c r="GF96" s="157"/>
      <c r="GG96" s="157"/>
      <c r="GH96" s="157"/>
      <c r="GI96" s="157"/>
      <c r="GJ96" s="157"/>
      <c r="GK96" s="157"/>
      <c r="GL96" s="157"/>
      <c r="GM96" s="157"/>
      <c r="GN96" s="157"/>
      <c r="GO96" s="157"/>
      <c r="GP96" s="158"/>
      <c r="GQ96" s="157"/>
      <c r="GR96" s="157"/>
      <c r="GS96" s="157"/>
      <c r="GT96" s="157"/>
      <c r="GU96" s="157"/>
      <c r="GV96" s="157"/>
      <c r="GW96" s="157"/>
      <c r="GX96" s="157"/>
      <c r="GY96" s="157"/>
      <c r="GZ96" s="157"/>
      <c r="HA96" s="157"/>
      <c r="HB96" s="155">
        <v>0.0</v>
      </c>
      <c r="HC96" s="155">
        <v>0.0</v>
      </c>
      <c r="HD96" s="155">
        <v>0.0</v>
      </c>
      <c r="HE96" s="155">
        <v>0.0</v>
      </c>
      <c r="HF96" s="155">
        <v>0.0</v>
      </c>
      <c r="HG96" s="155">
        <v>0.0</v>
      </c>
      <c r="IL96" s="159">
        <v>0.0</v>
      </c>
      <c r="IM96" s="156">
        <v>0.0</v>
      </c>
      <c r="IN96" s="156">
        <v>0.0</v>
      </c>
      <c r="IO96" s="156">
        <v>0.0</v>
      </c>
      <c r="IP96" s="156">
        <v>0.0</v>
      </c>
      <c r="IQ96" s="160">
        <v>0.0</v>
      </c>
      <c r="JH96" s="25"/>
      <c r="JW96" s="159">
        <v>0.0</v>
      </c>
      <c r="JX96" s="156">
        <v>0.0</v>
      </c>
      <c r="JY96" s="156">
        <v>0.0</v>
      </c>
      <c r="JZ96" s="156">
        <v>0.0</v>
      </c>
      <c r="KA96" s="156">
        <v>0.0</v>
      </c>
      <c r="KB96" s="160">
        <v>0.0</v>
      </c>
      <c r="LH96" s="159">
        <f t="shared" si="10"/>
        <v>0</v>
      </c>
      <c r="LI96" s="156">
        <f t="shared" si="11"/>
        <v>0</v>
      </c>
      <c r="LJ96" s="156">
        <f t="shared" si="12"/>
        <v>0</v>
      </c>
      <c r="LK96" s="156">
        <f t="shared" si="13"/>
        <v>0</v>
      </c>
      <c r="LL96" s="156">
        <f t="shared" si="14"/>
        <v>0</v>
      </c>
      <c r="LM96" s="160">
        <f t="shared" si="15"/>
        <v>0</v>
      </c>
      <c r="QX96" s="107">
        <v>45824.0</v>
      </c>
    </row>
    <row r="97">
      <c r="A97" s="12"/>
      <c r="B97" s="12"/>
      <c r="C97" s="12"/>
      <c r="D97" s="12"/>
      <c r="E97" s="12"/>
      <c r="F97" s="12"/>
      <c r="G97" s="12"/>
      <c r="H97" s="12"/>
      <c r="I97" s="143">
        <f t="shared" si="5"/>
        <v>-30</v>
      </c>
      <c r="J97" s="144">
        <v>45825.0</v>
      </c>
      <c r="K97" s="173" t="s">
        <v>61</v>
      </c>
      <c r="L97" s="144">
        <v>45898.0</v>
      </c>
      <c r="M97" s="147" t="s">
        <v>1513</v>
      </c>
      <c r="N97" s="148">
        <v>347.0</v>
      </c>
      <c r="O97" s="148">
        <v>30.0</v>
      </c>
      <c r="P97" s="26"/>
      <c r="Q97" s="26"/>
      <c r="R97" s="26"/>
      <c r="S97" s="26"/>
      <c r="T97" s="26"/>
      <c r="U97" s="147" t="s">
        <v>447</v>
      </c>
      <c r="V97" s="197"/>
      <c r="W97" s="150" t="s">
        <v>1514</v>
      </c>
      <c r="X97" s="181">
        <v>30.0</v>
      </c>
      <c r="Y97" s="166">
        <f t="shared" si="6"/>
        <v>30</v>
      </c>
      <c r="Z97" s="26">
        <f t="shared" si="7"/>
        <v>0</v>
      </c>
      <c r="AA97" s="26">
        <f t="shared" si="8"/>
        <v>0</v>
      </c>
      <c r="AB97" s="26">
        <f t="shared" si="9"/>
        <v>0</v>
      </c>
      <c r="AC97" s="155">
        <v>0.0</v>
      </c>
      <c r="AD97" s="155">
        <v>0.0</v>
      </c>
      <c r="AE97" s="155">
        <v>0.0</v>
      </c>
      <c r="AF97" s="155">
        <v>0.0</v>
      </c>
      <c r="AG97" s="155">
        <v>0.0</v>
      </c>
      <c r="AH97" s="155">
        <v>0.0</v>
      </c>
      <c r="BN97" s="155">
        <v>0.0</v>
      </c>
      <c r="BO97" s="155">
        <v>0.0</v>
      </c>
      <c r="BP97" s="155">
        <v>0.0</v>
      </c>
      <c r="BQ97" s="155">
        <v>0.0</v>
      </c>
      <c r="BR97" s="155">
        <v>0.0</v>
      </c>
      <c r="BS97" s="155">
        <v>0.0</v>
      </c>
      <c r="CV97" s="156">
        <v>0.0</v>
      </c>
      <c r="CW97" s="156">
        <v>0.0</v>
      </c>
      <c r="CX97" s="156">
        <v>0.0</v>
      </c>
      <c r="CY97" s="156">
        <v>0.0</v>
      </c>
      <c r="CZ97" s="156">
        <v>0.0</v>
      </c>
      <c r="DA97" s="156">
        <v>0.0</v>
      </c>
      <c r="EG97" s="156">
        <v>0.0</v>
      </c>
      <c r="EH97" s="156">
        <v>0.0</v>
      </c>
      <c r="EI97" s="156">
        <v>0.0</v>
      </c>
      <c r="EJ97" s="156">
        <v>0.0</v>
      </c>
      <c r="EK97" s="156">
        <v>0.0</v>
      </c>
      <c r="EL97" s="156">
        <v>0.0</v>
      </c>
      <c r="FQ97" s="156">
        <v>0.0</v>
      </c>
      <c r="FR97" s="156">
        <v>0.0</v>
      </c>
      <c r="FS97" s="156">
        <v>0.0</v>
      </c>
      <c r="FT97" s="156">
        <v>0.0</v>
      </c>
      <c r="FU97" s="156">
        <v>0.0</v>
      </c>
      <c r="FV97" s="156">
        <v>0.0</v>
      </c>
      <c r="FW97" s="157"/>
      <c r="FX97" s="157"/>
      <c r="FY97" s="157"/>
      <c r="FZ97" s="157"/>
      <c r="GA97" s="157"/>
      <c r="GB97" s="157"/>
      <c r="GC97" s="157"/>
      <c r="GD97" s="157"/>
      <c r="GE97" s="157"/>
      <c r="GF97" s="157"/>
      <c r="GG97" s="157"/>
      <c r="GH97" s="157"/>
      <c r="GI97" s="157"/>
      <c r="GJ97" s="157"/>
      <c r="GK97" s="157"/>
      <c r="GL97" s="157"/>
      <c r="GM97" s="157"/>
      <c r="GN97" s="157"/>
      <c r="GO97" s="157"/>
      <c r="GP97" s="158"/>
      <c r="GQ97" s="157"/>
      <c r="GR97" s="157"/>
      <c r="GS97" s="157"/>
      <c r="GT97" s="157"/>
      <c r="GU97" s="157"/>
      <c r="GV97" s="157"/>
      <c r="GW97" s="157"/>
      <c r="GX97" s="157"/>
      <c r="GY97" s="157"/>
      <c r="GZ97" s="157"/>
      <c r="HA97" s="157"/>
      <c r="HB97" s="155">
        <v>0.0</v>
      </c>
      <c r="HC97" s="155">
        <v>0.0</v>
      </c>
      <c r="HD97" s="155">
        <v>0.0</v>
      </c>
      <c r="HE97" s="155">
        <v>0.0</v>
      </c>
      <c r="HF97" s="155">
        <v>0.0</v>
      </c>
      <c r="HG97" s="155">
        <v>0.0</v>
      </c>
      <c r="IL97" s="159">
        <v>0.0</v>
      </c>
      <c r="IM97" s="156">
        <v>0.0</v>
      </c>
      <c r="IN97" s="156">
        <v>0.0</v>
      </c>
      <c r="IO97" s="156">
        <v>0.0</v>
      </c>
      <c r="IP97" s="156">
        <v>0.0</v>
      </c>
      <c r="IQ97" s="160">
        <v>0.0</v>
      </c>
      <c r="JH97" s="25"/>
      <c r="JW97" s="159">
        <v>0.0</v>
      </c>
      <c r="JX97" s="156">
        <v>0.0</v>
      </c>
      <c r="JY97" s="156">
        <v>0.0</v>
      </c>
      <c r="JZ97" s="156">
        <v>0.0</v>
      </c>
      <c r="KA97" s="156">
        <v>0.0</v>
      </c>
      <c r="KB97" s="160">
        <v>0.0</v>
      </c>
      <c r="LH97" s="159">
        <f t="shared" si="10"/>
        <v>0</v>
      </c>
      <c r="LI97" s="156">
        <f t="shared" si="11"/>
        <v>0</v>
      </c>
      <c r="LJ97" s="156">
        <f t="shared" si="12"/>
        <v>0</v>
      </c>
      <c r="LK97" s="156">
        <f t="shared" si="13"/>
        <v>0</v>
      </c>
      <c r="LL97" s="156">
        <f t="shared" si="14"/>
        <v>0</v>
      </c>
      <c r="LM97" s="160">
        <f t="shared" si="15"/>
        <v>0</v>
      </c>
      <c r="QX97" s="107">
        <v>45824.0</v>
      </c>
    </row>
    <row r="98">
      <c r="A98" s="12"/>
      <c r="B98" s="12"/>
      <c r="C98" s="12"/>
      <c r="D98" s="12"/>
      <c r="E98" s="12"/>
      <c r="F98" s="12"/>
      <c r="G98" s="12"/>
      <c r="H98" s="12"/>
      <c r="I98" s="143">
        <f t="shared" si="5"/>
        <v>-26</v>
      </c>
      <c r="J98" s="144">
        <v>45832.0</v>
      </c>
      <c r="K98" s="173" t="s">
        <v>61</v>
      </c>
      <c r="L98" s="144">
        <v>45920.0</v>
      </c>
      <c r="M98" s="147" t="s">
        <v>435</v>
      </c>
      <c r="N98" s="148">
        <v>357.0</v>
      </c>
      <c r="O98" s="148">
        <v>30.0</v>
      </c>
      <c r="P98" s="26"/>
      <c r="Q98" s="26"/>
      <c r="R98" s="26"/>
      <c r="S98" s="26"/>
      <c r="T98" s="26"/>
      <c r="U98" s="147" t="s">
        <v>1092</v>
      </c>
      <c r="V98" s="197"/>
      <c r="W98" s="198" t="s">
        <v>1517</v>
      </c>
      <c r="X98" s="181">
        <v>26.0</v>
      </c>
      <c r="Y98" s="166">
        <f t="shared" si="6"/>
        <v>26</v>
      </c>
      <c r="Z98" s="26">
        <f t="shared" si="7"/>
        <v>0</v>
      </c>
      <c r="AA98" s="26">
        <f t="shared" si="8"/>
        <v>0</v>
      </c>
      <c r="AB98" s="26">
        <f t="shared" si="9"/>
        <v>0</v>
      </c>
      <c r="AC98" s="155">
        <v>0.0</v>
      </c>
      <c r="AD98" s="155">
        <v>0.0</v>
      </c>
      <c r="AE98" s="155">
        <v>0.0</v>
      </c>
      <c r="AF98" s="155">
        <v>0.0</v>
      </c>
      <c r="AG98" s="155">
        <v>0.0</v>
      </c>
      <c r="AH98" s="155">
        <v>0.0</v>
      </c>
      <c r="BN98" s="155">
        <v>0.0</v>
      </c>
      <c r="BO98" s="155">
        <v>0.0</v>
      </c>
      <c r="BP98" s="155">
        <v>0.0</v>
      </c>
      <c r="BQ98" s="155">
        <v>0.0</v>
      </c>
      <c r="BR98" s="155">
        <v>0.0</v>
      </c>
      <c r="BS98" s="155">
        <v>0.0</v>
      </c>
      <c r="CV98" s="156">
        <v>0.0</v>
      </c>
      <c r="CW98" s="156">
        <v>0.0</v>
      </c>
      <c r="CX98" s="156">
        <v>0.0</v>
      </c>
      <c r="CY98" s="156">
        <v>0.0</v>
      </c>
      <c r="CZ98" s="156">
        <v>0.0</v>
      </c>
      <c r="DA98" s="156">
        <v>0.0</v>
      </c>
      <c r="EG98" s="156">
        <v>0.0</v>
      </c>
      <c r="EH98" s="156">
        <v>0.0</v>
      </c>
      <c r="EI98" s="156">
        <v>0.0</v>
      </c>
      <c r="EJ98" s="156">
        <v>0.0</v>
      </c>
      <c r="EK98" s="156">
        <v>0.0</v>
      </c>
      <c r="EL98" s="156">
        <v>0.0</v>
      </c>
      <c r="FQ98" s="156">
        <v>0.0</v>
      </c>
      <c r="FR98" s="156">
        <v>0.0</v>
      </c>
      <c r="FS98" s="156">
        <v>0.0</v>
      </c>
      <c r="FT98" s="156">
        <v>0.0</v>
      </c>
      <c r="FU98" s="156">
        <v>0.0</v>
      </c>
      <c r="FV98" s="156">
        <v>0.0</v>
      </c>
      <c r="FW98" s="157"/>
      <c r="FX98" s="157"/>
      <c r="FY98" s="157"/>
      <c r="FZ98" s="157"/>
      <c r="GA98" s="157"/>
      <c r="GB98" s="157"/>
      <c r="GC98" s="157"/>
      <c r="GD98" s="157"/>
      <c r="GE98" s="157"/>
      <c r="GF98" s="157"/>
      <c r="GG98" s="157"/>
      <c r="GH98" s="157"/>
      <c r="GI98" s="157"/>
      <c r="GJ98" s="157"/>
      <c r="GK98" s="157"/>
      <c r="GL98" s="157"/>
      <c r="GM98" s="157"/>
      <c r="GN98" s="157"/>
      <c r="GO98" s="157"/>
      <c r="GP98" s="158"/>
      <c r="GQ98" s="157"/>
      <c r="GR98" s="157"/>
      <c r="GS98" s="157"/>
      <c r="GT98" s="157"/>
      <c r="GU98" s="157"/>
      <c r="GV98" s="157"/>
      <c r="GW98" s="157"/>
      <c r="GX98" s="157"/>
      <c r="GY98" s="157"/>
      <c r="GZ98" s="157"/>
      <c r="HA98" s="157"/>
      <c r="HB98" s="155">
        <v>0.0</v>
      </c>
      <c r="HC98" s="155">
        <v>0.0</v>
      </c>
      <c r="HD98" s="155">
        <v>0.0</v>
      </c>
      <c r="HE98" s="155">
        <v>0.0</v>
      </c>
      <c r="HF98" s="155">
        <v>0.0</v>
      </c>
      <c r="HG98" s="155">
        <v>0.0</v>
      </c>
      <c r="IL98" s="159">
        <v>0.0</v>
      </c>
      <c r="IM98" s="156">
        <v>0.0</v>
      </c>
      <c r="IN98" s="156">
        <v>0.0</v>
      </c>
      <c r="IO98" s="156">
        <v>0.0</v>
      </c>
      <c r="IP98" s="156">
        <v>0.0</v>
      </c>
      <c r="IQ98" s="160">
        <v>0.0</v>
      </c>
      <c r="JH98" s="25"/>
      <c r="JW98" s="159">
        <v>0.0</v>
      </c>
      <c r="JX98" s="156">
        <v>0.0</v>
      </c>
      <c r="JY98" s="156">
        <v>0.0</v>
      </c>
      <c r="JZ98" s="156">
        <v>0.0</v>
      </c>
      <c r="KA98" s="156">
        <v>0.0</v>
      </c>
      <c r="KB98" s="160">
        <v>0.0</v>
      </c>
      <c r="LH98" s="159">
        <f t="shared" si="10"/>
        <v>0</v>
      </c>
      <c r="LI98" s="156">
        <f t="shared" si="11"/>
        <v>0</v>
      </c>
      <c r="LJ98" s="156">
        <f t="shared" si="12"/>
        <v>0</v>
      </c>
      <c r="LK98" s="156">
        <f t="shared" si="13"/>
        <v>0</v>
      </c>
      <c r="LL98" s="156">
        <f t="shared" si="14"/>
        <v>0</v>
      </c>
      <c r="LM98" s="160">
        <f t="shared" si="15"/>
        <v>0</v>
      </c>
      <c r="QX98" s="107">
        <v>45824.0</v>
      </c>
    </row>
    <row r="99">
      <c r="A99" s="12"/>
      <c r="B99" s="12"/>
      <c r="C99" s="12"/>
      <c r="D99" s="12"/>
      <c r="E99" s="12"/>
      <c r="F99" s="12"/>
      <c r="G99" s="12"/>
      <c r="H99" s="12"/>
      <c r="I99" s="143">
        <f t="shared" si="5"/>
        <v>-14</v>
      </c>
      <c r="J99" s="144">
        <v>45827.0</v>
      </c>
      <c r="K99" s="49" t="s">
        <v>61</v>
      </c>
      <c r="L99" s="144">
        <v>45892.0</v>
      </c>
      <c r="M99" s="147" t="s">
        <v>107</v>
      </c>
      <c r="N99" s="148">
        <v>357.0</v>
      </c>
      <c r="O99" s="148">
        <v>30.0</v>
      </c>
      <c r="P99" s="26"/>
      <c r="Q99" s="26"/>
      <c r="R99" s="26"/>
      <c r="S99" s="26"/>
      <c r="T99" s="26"/>
      <c r="U99" s="147" t="s">
        <v>447</v>
      </c>
      <c r="V99" s="149" t="s">
        <v>613</v>
      </c>
      <c r="W99" s="198" t="s">
        <v>1524</v>
      </c>
      <c r="X99" s="181">
        <v>14.0</v>
      </c>
      <c r="Y99" s="166">
        <f t="shared" si="6"/>
        <v>14</v>
      </c>
      <c r="Z99" s="26">
        <f t="shared" si="7"/>
        <v>0</v>
      </c>
      <c r="AA99" s="26">
        <f t="shared" si="8"/>
        <v>0</v>
      </c>
      <c r="AB99" s="26">
        <f t="shared" si="9"/>
        <v>0</v>
      </c>
      <c r="AC99" s="155">
        <v>0.0</v>
      </c>
      <c r="AD99" s="155">
        <v>0.0</v>
      </c>
      <c r="AE99" s="155">
        <v>0.0</v>
      </c>
      <c r="AF99" s="155">
        <v>0.0</v>
      </c>
      <c r="AG99" s="155">
        <v>0.0</v>
      </c>
      <c r="AH99" s="155">
        <v>0.0</v>
      </c>
      <c r="BN99" s="155">
        <v>0.0</v>
      </c>
      <c r="BO99" s="155">
        <v>0.0</v>
      </c>
      <c r="BP99" s="155">
        <v>0.0</v>
      </c>
      <c r="BQ99" s="155">
        <v>0.0</v>
      </c>
      <c r="BR99" s="155">
        <v>0.0</v>
      </c>
      <c r="BS99" s="155">
        <v>0.0</v>
      </c>
      <c r="CV99" s="156">
        <v>0.0</v>
      </c>
      <c r="CW99" s="156">
        <v>0.0</v>
      </c>
      <c r="CX99" s="156">
        <v>0.0</v>
      </c>
      <c r="CY99" s="156">
        <v>0.0</v>
      </c>
      <c r="CZ99" s="156">
        <v>0.0</v>
      </c>
      <c r="DA99" s="156">
        <v>0.0</v>
      </c>
      <c r="EG99" s="156">
        <v>0.0</v>
      </c>
      <c r="EH99" s="156">
        <v>0.0</v>
      </c>
      <c r="EI99" s="156">
        <v>0.0</v>
      </c>
      <c r="EJ99" s="156">
        <v>0.0</v>
      </c>
      <c r="EK99" s="156">
        <v>0.0</v>
      </c>
      <c r="EL99" s="156">
        <v>0.0</v>
      </c>
      <c r="FQ99" s="156">
        <v>0.0</v>
      </c>
      <c r="FR99" s="156">
        <v>0.0</v>
      </c>
      <c r="FS99" s="156">
        <v>0.0</v>
      </c>
      <c r="FT99" s="156">
        <v>0.0</v>
      </c>
      <c r="FU99" s="156">
        <v>0.0</v>
      </c>
      <c r="FV99" s="156">
        <v>0.0</v>
      </c>
      <c r="FW99" s="157"/>
      <c r="FX99" s="157"/>
      <c r="FY99" s="157"/>
      <c r="FZ99" s="157"/>
      <c r="GA99" s="157"/>
      <c r="GB99" s="157"/>
      <c r="GC99" s="157"/>
      <c r="GD99" s="157"/>
      <c r="GE99" s="157"/>
      <c r="GF99" s="157"/>
      <c r="GG99" s="157"/>
      <c r="GH99" s="157"/>
      <c r="GI99" s="157"/>
      <c r="GJ99" s="157"/>
      <c r="GK99" s="157"/>
      <c r="GL99" s="157"/>
      <c r="GM99" s="157"/>
      <c r="GN99" s="157"/>
      <c r="GO99" s="157"/>
      <c r="GP99" s="158"/>
      <c r="GQ99" s="157"/>
      <c r="GR99" s="157"/>
      <c r="GS99" s="157"/>
      <c r="GT99" s="157"/>
      <c r="GU99" s="157"/>
      <c r="GV99" s="157"/>
      <c r="GW99" s="157"/>
      <c r="GX99" s="157"/>
      <c r="GY99" s="157"/>
      <c r="GZ99" s="157"/>
      <c r="HA99" s="157"/>
      <c r="HB99" s="155">
        <v>0.0</v>
      </c>
      <c r="HC99" s="155">
        <v>0.0</v>
      </c>
      <c r="HD99" s="155">
        <v>0.0</v>
      </c>
      <c r="HE99" s="155">
        <v>0.0</v>
      </c>
      <c r="HF99" s="155">
        <v>0.0</v>
      </c>
      <c r="HG99" s="155">
        <v>0.0</v>
      </c>
      <c r="IL99" s="159">
        <v>0.0</v>
      </c>
      <c r="IM99" s="156">
        <v>0.0</v>
      </c>
      <c r="IN99" s="156">
        <v>0.0</v>
      </c>
      <c r="IO99" s="156">
        <v>0.0</v>
      </c>
      <c r="IP99" s="156">
        <v>0.0</v>
      </c>
      <c r="IQ99" s="160">
        <v>0.0</v>
      </c>
      <c r="JH99" s="25"/>
      <c r="JW99" s="159">
        <v>0.0</v>
      </c>
      <c r="JX99" s="156">
        <v>0.0</v>
      </c>
      <c r="JY99" s="156">
        <v>0.0</v>
      </c>
      <c r="JZ99" s="156">
        <v>0.0</v>
      </c>
      <c r="KA99" s="156">
        <v>0.0</v>
      </c>
      <c r="KB99" s="160">
        <v>0.0</v>
      </c>
      <c r="LH99" s="159">
        <f t="shared" si="10"/>
        <v>0</v>
      </c>
      <c r="LI99" s="156">
        <f t="shared" si="11"/>
        <v>0</v>
      </c>
      <c r="LJ99" s="156">
        <f t="shared" si="12"/>
        <v>0</v>
      </c>
      <c r="LK99" s="156">
        <f t="shared" si="13"/>
        <v>0</v>
      </c>
      <c r="LL99" s="156">
        <f t="shared" si="14"/>
        <v>0</v>
      </c>
      <c r="LM99" s="160">
        <f t="shared" si="15"/>
        <v>0</v>
      </c>
      <c r="QX99" s="107">
        <v>45825.0</v>
      </c>
    </row>
    <row r="100">
      <c r="A100" s="12"/>
      <c r="B100" s="12"/>
      <c r="C100" s="12"/>
      <c r="D100" s="12"/>
      <c r="E100" s="12"/>
      <c r="F100" s="12"/>
      <c r="G100" s="12"/>
      <c r="H100" s="12"/>
      <c r="I100" s="143">
        <f t="shared" si="5"/>
        <v>-13</v>
      </c>
      <c r="J100" s="144">
        <v>45827.0</v>
      </c>
      <c r="K100" s="173" t="s">
        <v>61</v>
      </c>
      <c r="L100" s="144">
        <v>45969.0</v>
      </c>
      <c r="M100" s="147" t="s">
        <v>712</v>
      </c>
      <c r="N100" s="148">
        <v>7.0</v>
      </c>
      <c r="O100" s="148">
        <v>60.0</v>
      </c>
      <c r="P100" s="26"/>
      <c r="Q100" s="26"/>
      <c r="R100" s="26"/>
      <c r="S100" s="26"/>
      <c r="T100" s="26"/>
      <c r="U100" s="147" t="s">
        <v>343</v>
      </c>
      <c r="V100" s="149" t="s">
        <v>344</v>
      </c>
      <c r="W100" s="198" t="s">
        <v>1531</v>
      </c>
      <c r="X100" s="181">
        <v>13.0</v>
      </c>
      <c r="Y100" s="166">
        <f t="shared" si="6"/>
        <v>13</v>
      </c>
      <c r="Z100" s="26">
        <f t="shared" si="7"/>
        <v>0</v>
      </c>
      <c r="AA100" s="26">
        <f t="shared" si="8"/>
        <v>0</v>
      </c>
      <c r="AB100" s="26">
        <f t="shared" si="9"/>
        <v>0</v>
      </c>
      <c r="AC100" s="155">
        <v>0.0</v>
      </c>
      <c r="AD100" s="155">
        <v>0.0</v>
      </c>
      <c r="AE100" s="155">
        <v>0.0</v>
      </c>
      <c r="AF100" s="155">
        <v>0.0</v>
      </c>
      <c r="AG100" s="155">
        <v>0.0</v>
      </c>
      <c r="AH100" s="155">
        <v>0.0</v>
      </c>
      <c r="BN100" s="155">
        <v>0.0</v>
      </c>
      <c r="BO100" s="155">
        <v>0.0</v>
      </c>
      <c r="BP100" s="155">
        <v>0.0</v>
      </c>
      <c r="BQ100" s="155">
        <v>0.0</v>
      </c>
      <c r="BR100" s="155">
        <v>0.0</v>
      </c>
      <c r="BS100" s="155">
        <v>0.0</v>
      </c>
      <c r="CV100" s="156">
        <v>0.0</v>
      </c>
      <c r="CW100" s="156">
        <v>0.0</v>
      </c>
      <c r="CX100" s="156">
        <v>0.0</v>
      </c>
      <c r="CY100" s="156">
        <v>0.0</v>
      </c>
      <c r="CZ100" s="156">
        <v>0.0</v>
      </c>
      <c r="DA100" s="156">
        <v>0.0</v>
      </c>
      <c r="EG100" s="156">
        <v>0.0</v>
      </c>
      <c r="EH100" s="156">
        <v>0.0</v>
      </c>
      <c r="EI100" s="156">
        <v>0.0</v>
      </c>
      <c r="EJ100" s="156">
        <v>0.0</v>
      </c>
      <c r="EK100" s="156">
        <v>0.0</v>
      </c>
      <c r="EL100" s="156">
        <v>0.0</v>
      </c>
      <c r="FQ100" s="156">
        <v>0.0</v>
      </c>
      <c r="FR100" s="156">
        <v>0.0</v>
      </c>
      <c r="FS100" s="156">
        <v>0.0</v>
      </c>
      <c r="FT100" s="156">
        <v>0.0</v>
      </c>
      <c r="FU100" s="156">
        <v>0.0</v>
      </c>
      <c r="FV100" s="156">
        <v>0.0</v>
      </c>
      <c r="FW100" s="157"/>
      <c r="FX100" s="157"/>
      <c r="FY100" s="157"/>
      <c r="FZ100" s="157"/>
      <c r="GA100" s="157"/>
      <c r="GB100" s="157"/>
      <c r="GC100" s="157"/>
      <c r="GD100" s="157"/>
      <c r="GE100" s="157"/>
      <c r="GF100" s="157"/>
      <c r="GG100" s="157"/>
      <c r="GH100" s="157"/>
      <c r="GI100" s="157"/>
      <c r="GJ100" s="157"/>
      <c r="GK100" s="157"/>
      <c r="GL100" s="157"/>
      <c r="GM100" s="157"/>
      <c r="GN100" s="157"/>
      <c r="GO100" s="157"/>
      <c r="GP100" s="158"/>
      <c r="GQ100" s="157"/>
      <c r="GR100" s="157"/>
      <c r="GS100" s="157"/>
      <c r="GT100" s="157"/>
      <c r="GU100" s="157"/>
      <c r="GV100" s="157"/>
      <c r="GW100" s="157"/>
      <c r="GX100" s="157"/>
      <c r="GY100" s="157"/>
      <c r="GZ100" s="157"/>
      <c r="HA100" s="157"/>
      <c r="HB100" s="155">
        <v>0.0</v>
      </c>
      <c r="HC100" s="155">
        <v>0.0</v>
      </c>
      <c r="HD100" s="155">
        <v>0.0</v>
      </c>
      <c r="HE100" s="155">
        <v>0.0</v>
      </c>
      <c r="HF100" s="155">
        <v>0.0</v>
      </c>
      <c r="HG100" s="155">
        <v>0.0</v>
      </c>
      <c r="IL100" s="159">
        <v>0.0</v>
      </c>
      <c r="IM100" s="156">
        <v>0.0</v>
      </c>
      <c r="IN100" s="156">
        <v>0.0</v>
      </c>
      <c r="IO100" s="156">
        <v>0.0</v>
      </c>
      <c r="IP100" s="156">
        <v>0.0</v>
      </c>
      <c r="IQ100" s="160">
        <v>0.0</v>
      </c>
      <c r="JH100" s="25"/>
      <c r="JW100" s="159">
        <v>0.0</v>
      </c>
      <c r="JX100" s="156">
        <v>0.0</v>
      </c>
      <c r="JY100" s="156">
        <v>0.0</v>
      </c>
      <c r="JZ100" s="156">
        <v>0.0</v>
      </c>
      <c r="KA100" s="156">
        <v>0.0</v>
      </c>
      <c r="KB100" s="160">
        <v>0.0</v>
      </c>
      <c r="LH100" s="159">
        <f t="shared" si="10"/>
        <v>0</v>
      </c>
      <c r="LI100" s="156">
        <f t="shared" si="11"/>
        <v>0</v>
      </c>
      <c r="LJ100" s="156">
        <f t="shared" si="12"/>
        <v>0</v>
      </c>
      <c r="LK100" s="156">
        <f t="shared" si="13"/>
        <v>0</v>
      </c>
      <c r="LL100" s="156">
        <f t="shared" si="14"/>
        <v>0</v>
      </c>
      <c r="LM100" s="160">
        <f t="shared" si="15"/>
        <v>0</v>
      </c>
      <c r="QX100" s="107">
        <v>45825.0</v>
      </c>
    </row>
    <row r="101">
      <c r="A101" s="12"/>
      <c r="B101" s="12"/>
      <c r="C101" s="12"/>
      <c r="D101" s="12"/>
      <c r="E101" s="12"/>
      <c r="F101" s="12"/>
      <c r="G101" s="12"/>
      <c r="H101" s="12"/>
      <c r="I101" s="143">
        <f t="shared" si="5"/>
        <v>-24</v>
      </c>
      <c r="J101" s="144">
        <v>45828.0</v>
      </c>
      <c r="K101" s="173" t="s">
        <v>61</v>
      </c>
      <c r="L101" s="144">
        <v>45917.0</v>
      </c>
      <c r="M101" s="147" t="s">
        <v>107</v>
      </c>
      <c r="N101" s="148">
        <v>246.0</v>
      </c>
      <c r="O101" s="148">
        <v>30.0</v>
      </c>
      <c r="P101" s="26"/>
      <c r="Q101" s="26"/>
      <c r="R101" s="26"/>
      <c r="S101" s="26"/>
      <c r="T101" s="26"/>
      <c r="U101" s="147" t="s">
        <v>786</v>
      </c>
      <c r="V101" s="197"/>
      <c r="W101" s="198" t="s">
        <v>1540</v>
      </c>
      <c r="X101" s="181">
        <v>24.0</v>
      </c>
      <c r="Y101" s="166">
        <f t="shared" si="6"/>
        <v>24</v>
      </c>
      <c r="Z101" s="26">
        <f t="shared" si="7"/>
        <v>0</v>
      </c>
      <c r="AA101" s="26">
        <f t="shared" si="8"/>
        <v>0</v>
      </c>
      <c r="AB101" s="26">
        <f t="shared" si="9"/>
        <v>0</v>
      </c>
      <c r="AC101" s="155">
        <v>0.0</v>
      </c>
      <c r="AD101" s="155">
        <v>0.0</v>
      </c>
      <c r="AE101" s="155">
        <v>0.0</v>
      </c>
      <c r="AF101" s="155">
        <v>0.0</v>
      </c>
      <c r="AG101" s="155">
        <v>0.0</v>
      </c>
      <c r="AH101" s="155">
        <v>0.0</v>
      </c>
      <c r="BN101" s="155">
        <v>0.0</v>
      </c>
      <c r="BO101" s="155">
        <v>0.0</v>
      </c>
      <c r="BP101" s="155">
        <v>0.0</v>
      </c>
      <c r="BQ101" s="155">
        <v>0.0</v>
      </c>
      <c r="BR101" s="155">
        <v>0.0</v>
      </c>
      <c r="BS101" s="155">
        <v>0.0</v>
      </c>
      <c r="CV101" s="156">
        <v>0.0</v>
      </c>
      <c r="CW101" s="156">
        <v>0.0</v>
      </c>
      <c r="CX101" s="156">
        <v>0.0</v>
      </c>
      <c r="CY101" s="156">
        <v>0.0</v>
      </c>
      <c r="CZ101" s="156">
        <v>0.0</v>
      </c>
      <c r="DA101" s="156">
        <v>0.0</v>
      </c>
      <c r="EG101" s="156">
        <v>0.0</v>
      </c>
      <c r="EH101" s="156">
        <v>0.0</v>
      </c>
      <c r="EI101" s="156">
        <v>0.0</v>
      </c>
      <c r="EJ101" s="156">
        <v>0.0</v>
      </c>
      <c r="EK101" s="156">
        <v>0.0</v>
      </c>
      <c r="EL101" s="156">
        <v>0.0</v>
      </c>
      <c r="FQ101" s="156">
        <v>0.0</v>
      </c>
      <c r="FR101" s="156">
        <v>0.0</v>
      </c>
      <c r="FS101" s="156">
        <v>0.0</v>
      </c>
      <c r="FT101" s="156">
        <v>0.0</v>
      </c>
      <c r="FU101" s="156">
        <v>0.0</v>
      </c>
      <c r="FV101" s="156">
        <v>0.0</v>
      </c>
      <c r="FW101" s="157"/>
      <c r="FX101" s="157"/>
      <c r="FY101" s="157"/>
      <c r="FZ101" s="157"/>
      <c r="GA101" s="157"/>
      <c r="GB101" s="157"/>
      <c r="GC101" s="157"/>
      <c r="GD101" s="157"/>
      <c r="GE101" s="157"/>
      <c r="GF101" s="157"/>
      <c r="GG101" s="157"/>
      <c r="GH101" s="157"/>
      <c r="GI101" s="157"/>
      <c r="GJ101" s="157"/>
      <c r="GK101" s="157"/>
      <c r="GL101" s="157"/>
      <c r="GM101" s="157"/>
      <c r="GN101" s="157"/>
      <c r="GO101" s="157"/>
      <c r="GP101" s="158"/>
      <c r="GQ101" s="157"/>
      <c r="GR101" s="157"/>
      <c r="GS101" s="157"/>
      <c r="GT101" s="157"/>
      <c r="GU101" s="157"/>
      <c r="GV101" s="157"/>
      <c r="GW101" s="157"/>
      <c r="GX101" s="157"/>
      <c r="GY101" s="157"/>
      <c r="GZ101" s="157"/>
      <c r="HA101" s="157"/>
      <c r="HB101" s="155">
        <v>0.0</v>
      </c>
      <c r="HC101" s="155">
        <v>0.0</v>
      </c>
      <c r="HD101" s="155">
        <v>0.0</v>
      </c>
      <c r="HE101" s="155">
        <v>0.0</v>
      </c>
      <c r="HF101" s="155">
        <v>0.0</v>
      </c>
      <c r="HG101" s="155">
        <v>0.0</v>
      </c>
      <c r="IL101" s="159">
        <v>0.0</v>
      </c>
      <c r="IM101" s="156">
        <v>0.0</v>
      </c>
      <c r="IN101" s="156">
        <v>0.0</v>
      </c>
      <c r="IO101" s="156">
        <v>0.0</v>
      </c>
      <c r="IP101" s="156">
        <v>0.0</v>
      </c>
      <c r="IQ101" s="160">
        <v>0.0</v>
      </c>
      <c r="JH101" s="25"/>
      <c r="JW101" s="159">
        <v>0.0</v>
      </c>
      <c r="JX101" s="156">
        <v>0.0</v>
      </c>
      <c r="JY101" s="156">
        <v>0.0</v>
      </c>
      <c r="JZ101" s="156">
        <v>0.0</v>
      </c>
      <c r="KA101" s="156">
        <v>0.0</v>
      </c>
      <c r="KB101" s="160">
        <v>0.0</v>
      </c>
      <c r="LH101" s="159">
        <f t="shared" si="10"/>
        <v>0</v>
      </c>
      <c r="LI101" s="156">
        <f t="shared" si="11"/>
        <v>0</v>
      </c>
      <c r="LJ101" s="156">
        <f t="shared" si="12"/>
        <v>0</v>
      </c>
      <c r="LK101" s="156">
        <f t="shared" si="13"/>
        <v>0</v>
      </c>
      <c r="LL101" s="156">
        <f t="shared" si="14"/>
        <v>0</v>
      </c>
      <c r="LM101" s="160">
        <f t="shared" si="15"/>
        <v>0</v>
      </c>
      <c r="QX101" s="107">
        <v>45825.0</v>
      </c>
    </row>
    <row r="102">
      <c r="A102" s="12"/>
      <c r="B102" s="12"/>
      <c r="C102" s="12"/>
      <c r="D102" s="12"/>
      <c r="E102" s="12"/>
      <c r="F102" s="12"/>
      <c r="G102" s="12"/>
      <c r="H102" s="12"/>
      <c r="I102" s="143">
        <f t="shared" si="5"/>
        <v>-12</v>
      </c>
      <c r="J102" s="144">
        <v>45836.0</v>
      </c>
      <c r="K102" s="145" t="s">
        <v>61</v>
      </c>
      <c r="L102" s="144">
        <v>45938.0</v>
      </c>
      <c r="M102" s="287" t="s">
        <v>227</v>
      </c>
      <c r="N102" s="288" t="s">
        <v>467</v>
      </c>
      <c r="O102" s="288">
        <v>45.0</v>
      </c>
      <c r="P102" s="289"/>
      <c r="Q102" s="289"/>
      <c r="R102" s="289"/>
      <c r="S102" s="289"/>
      <c r="T102" s="289"/>
      <c r="U102" s="287" t="s">
        <v>1552</v>
      </c>
      <c r="V102" s="290" t="s">
        <v>1553</v>
      </c>
      <c r="W102" s="291" t="s">
        <v>1555</v>
      </c>
      <c r="X102" s="181">
        <v>12.0</v>
      </c>
      <c r="Y102" s="166">
        <f t="shared" si="6"/>
        <v>12</v>
      </c>
      <c r="Z102" s="26">
        <f t="shared" si="7"/>
        <v>0</v>
      </c>
      <c r="AA102" s="26">
        <f t="shared" si="8"/>
        <v>0</v>
      </c>
      <c r="AB102" s="26">
        <f t="shared" si="9"/>
        <v>0</v>
      </c>
      <c r="AC102" s="155">
        <v>0.0</v>
      </c>
      <c r="AD102" s="155">
        <v>0.0</v>
      </c>
      <c r="AE102" s="155">
        <v>0.0</v>
      </c>
      <c r="AF102" s="155">
        <v>0.0</v>
      </c>
      <c r="AG102" s="155">
        <v>0.0</v>
      </c>
      <c r="AH102" s="155">
        <v>0.0</v>
      </c>
      <c r="BN102" s="155">
        <v>0.0</v>
      </c>
      <c r="BO102" s="155">
        <v>0.0</v>
      </c>
      <c r="BP102" s="155">
        <v>0.0</v>
      </c>
      <c r="BQ102" s="155">
        <v>0.0</v>
      </c>
      <c r="BR102" s="155">
        <v>0.0</v>
      </c>
      <c r="BS102" s="155">
        <v>0.0</v>
      </c>
      <c r="CV102" s="156">
        <v>0.0</v>
      </c>
      <c r="CW102" s="156">
        <v>0.0</v>
      </c>
      <c r="CX102" s="156">
        <v>0.0</v>
      </c>
      <c r="CY102" s="156">
        <v>0.0</v>
      </c>
      <c r="CZ102" s="156">
        <v>0.0</v>
      </c>
      <c r="DA102" s="156">
        <v>0.0</v>
      </c>
      <c r="EG102" s="156">
        <v>0.0</v>
      </c>
      <c r="EH102" s="156">
        <v>0.0</v>
      </c>
      <c r="EI102" s="156">
        <v>0.0</v>
      </c>
      <c r="EJ102" s="156">
        <v>0.0</v>
      </c>
      <c r="EK102" s="156">
        <v>0.0</v>
      </c>
      <c r="EL102" s="156">
        <v>0.0</v>
      </c>
      <c r="FQ102" s="156">
        <v>0.0</v>
      </c>
      <c r="FR102" s="156">
        <v>0.0</v>
      </c>
      <c r="FS102" s="156">
        <v>0.0</v>
      </c>
      <c r="FT102" s="156">
        <v>0.0</v>
      </c>
      <c r="FU102" s="156">
        <v>0.0</v>
      </c>
      <c r="FV102" s="156">
        <v>0.0</v>
      </c>
      <c r="FW102" s="157"/>
      <c r="FX102" s="157"/>
      <c r="FY102" s="157"/>
      <c r="FZ102" s="157"/>
      <c r="GA102" s="157"/>
      <c r="GB102" s="157"/>
      <c r="GC102" s="157"/>
      <c r="GD102" s="157"/>
      <c r="GE102" s="157"/>
      <c r="GF102" s="157"/>
      <c r="GG102" s="157"/>
      <c r="GH102" s="157"/>
      <c r="GI102" s="157"/>
      <c r="GJ102" s="157"/>
      <c r="GK102" s="157"/>
      <c r="GL102" s="157"/>
      <c r="GM102" s="157"/>
      <c r="GN102" s="157"/>
      <c r="GO102" s="157"/>
      <c r="GP102" s="158"/>
      <c r="GQ102" s="157"/>
      <c r="GR102" s="157"/>
      <c r="GS102" s="157"/>
      <c r="GT102" s="157"/>
      <c r="GU102" s="157"/>
      <c r="GV102" s="157"/>
      <c r="GW102" s="157"/>
      <c r="GX102" s="157"/>
      <c r="GY102" s="157"/>
      <c r="GZ102" s="157"/>
      <c r="HA102" s="157"/>
      <c r="HB102" s="155">
        <v>0.0</v>
      </c>
      <c r="HC102" s="155">
        <v>0.0</v>
      </c>
      <c r="HD102" s="155">
        <v>0.0</v>
      </c>
      <c r="HE102" s="155">
        <v>0.0</v>
      </c>
      <c r="HF102" s="155">
        <v>0.0</v>
      </c>
      <c r="HG102" s="155">
        <v>0.0</v>
      </c>
      <c r="IL102" s="159">
        <v>0.0</v>
      </c>
      <c r="IM102" s="156">
        <v>0.0</v>
      </c>
      <c r="IN102" s="156">
        <v>0.0</v>
      </c>
      <c r="IO102" s="156">
        <v>0.0</v>
      </c>
      <c r="IP102" s="156">
        <v>0.0</v>
      </c>
      <c r="IQ102" s="160">
        <v>0.0</v>
      </c>
      <c r="JH102" s="25"/>
      <c r="JW102" s="159">
        <v>0.0</v>
      </c>
      <c r="JX102" s="156">
        <v>0.0</v>
      </c>
      <c r="JY102" s="156">
        <v>0.0</v>
      </c>
      <c r="JZ102" s="156">
        <v>0.0</v>
      </c>
      <c r="KA102" s="156">
        <v>0.0</v>
      </c>
      <c r="KB102" s="160">
        <v>0.0</v>
      </c>
      <c r="LH102" s="159">
        <f t="shared" si="10"/>
        <v>0</v>
      </c>
      <c r="LI102" s="156">
        <f t="shared" si="11"/>
        <v>0</v>
      </c>
      <c r="LJ102" s="156">
        <f t="shared" si="12"/>
        <v>0</v>
      </c>
      <c r="LK102" s="156">
        <f t="shared" si="13"/>
        <v>0</v>
      </c>
      <c r="LL102" s="156">
        <f t="shared" si="14"/>
        <v>0</v>
      </c>
      <c r="LM102" s="160">
        <f t="shared" si="15"/>
        <v>0</v>
      </c>
      <c r="QX102" s="107">
        <v>45826.0</v>
      </c>
    </row>
    <row r="103">
      <c r="A103" s="12"/>
      <c r="B103" s="12"/>
      <c r="C103" s="12"/>
      <c r="D103" s="12"/>
      <c r="E103" s="12"/>
      <c r="F103" s="12"/>
      <c r="G103" s="12"/>
      <c r="H103" s="12"/>
      <c r="I103" s="143">
        <f t="shared" si="5"/>
        <v>-12</v>
      </c>
      <c r="J103" s="144">
        <v>45836.0</v>
      </c>
      <c r="K103" s="145" t="s">
        <v>61</v>
      </c>
      <c r="L103" s="144">
        <v>45938.0</v>
      </c>
      <c r="M103" s="287" t="s">
        <v>227</v>
      </c>
      <c r="N103" s="288" t="s">
        <v>467</v>
      </c>
      <c r="O103" s="288">
        <v>45.0</v>
      </c>
      <c r="P103" s="289"/>
      <c r="Q103" s="289"/>
      <c r="R103" s="289"/>
      <c r="S103" s="289"/>
      <c r="T103" s="289"/>
      <c r="U103" s="287" t="s">
        <v>1552</v>
      </c>
      <c r="V103" s="290" t="s">
        <v>1553</v>
      </c>
      <c r="W103" s="292" t="s">
        <v>1568</v>
      </c>
      <c r="X103" s="181">
        <v>12.0</v>
      </c>
      <c r="Y103" s="166">
        <f t="shared" si="6"/>
        <v>12</v>
      </c>
      <c r="Z103" s="26">
        <f t="shared" si="7"/>
        <v>0</v>
      </c>
      <c r="AA103" s="26">
        <f t="shared" si="8"/>
        <v>0</v>
      </c>
      <c r="AB103" s="26">
        <f t="shared" si="9"/>
        <v>0</v>
      </c>
      <c r="AC103" s="155">
        <v>0.0</v>
      </c>
      <c r="AD103" s="155">
        <v>0.0</v>
      </c>
      <c r="AE103" s="155">
        <v>0.0</v>
      </c>
      <c r="AF103" s="155">
        <v>0.0</v>
      </c>
      <c r="AG103" s="155">
        <v>0.0</v>
      </c>
      <c r="AH103" s="155">
        <v>0.0</v>
      </c>
      <c r="BN103" s="155">
        <v>0.0</v>
      </c>
      <c r="BO103" s="155">
        <v>0.0</v>
      </c>
      <c r="BP103" s="155">
        <v>0.0</v>
      </c>
      <c r="BQ103" s="155">
        <v>0.0</v>
      </c>
      <c r="BR103" s="155">
        <v>0.0</v>
      </c>
      <c r="BS103" s="155">
        <v>0.0</v>
      </c>
      <c r="CV103" s="156">
        <v>0.0</v>
      </c>
      <c r="CW103" s="156">
        <v>0.0</v>
      </c>
      <c r="CX103" s="156">
        <v>0.0</v>
      </c>
      <c r="CY103" s="156">
        <v>0.0</v>
      </c>
      <c r="CZ103" s="156">
        <v>0.0</v>
      </c>
      <c r="DA103" s="156">
        <v>0.0</v>
      </c>
      <c r="EG103" s="156">
        <v>0.0</v>
      </c>
      <c r="EH103" s="156">
        <v>0.0</v>
      </c>
      <c r="EI103" s="156">
        <v>0.0</v>
      </c>
      <c r="EJ103" s="156">
        <v>0.0</v>
      </c>
      <c r="EK103" s="156">
        <v>0.0</v>
      </c>
      <c r="EL103" s="156">
        <v>0.0</v>
      </c>
      <c r="FQ103" s="156">
        <v>0.0</v>
      </c>
      <c r="FR103" s="156">
        <v>0.0</v>
      </c>
      <c r="FS103" s="156">
        <v>0.0</v>
      </c>
      <c r="FT103" s="156">
        <v>0.0</v>
      </c>
      <c r="FU103" s="156">
        <v>0.0</v>
      </c>
      <c r="FV103" s="156">
        <v>0.0</v>
      </c>
      <c r="FW103" s="157"/>
      <c r="FX103" s="157"/>
      <c r="FY103" s="157"/>
      <c r="FZ103" s="157"/>
      <c r="GA103" s="157"/>
      <c r="GB103" s="157"/>
      <c r="GC103" s="157"/>
      <c r="GD103" s="157"/>
      <c r="GE103" s="157"/>
      <c r="GF103" s="157"/>
      <c r="GG103" s="157"/>
      <c r="GH103" s="157"/>
      <c r="GI103" s="157"/>
      <c r="GJ103" s="157"/>
      <c r="GK103" s="157"/>
      <c r="GL103" s="157"/>
      <c r="GM103" s="157"/>
      <c r="GN103" s="157"/>
      <c r="GO103" s="157"/>
      <c r="GP103" s="158"/>
      <c r="GQ103" s="157"/>
      <c r="GR103" s="157"/>
      <c r="GS103" s="157"/>
      <c r="GT103" s="157"/>
      <c r="GU103" s="157"/>
      <c r="GV103" s="157"/>
      <c r="GW103" s="157"/>
      <c r="GX103" s="157"/>
      <c r="GY103" s="157"/>
      <c r="GZ103" s="157"/>
      <c r="HA103" s="157"/>
      <c r="HB103" s="155">
        <v>0.0</v>
      </c>
      <c r="HC103" s="155">
        <v>0.0</v>
      </c>
      <c r="HD103" s="155">
        <v>0.0</v>
      </c>
      <c r="HE103" s="155">
        <v>0.0</v>
      </c>
      <c r="HF103" s="155">
        <v>0.0</v>
      </c>
      <c r="HG103" s="155">
        <v>0.0</v>
      </c>
      <c r="IL103" s="159">
        <v>0.0</v>
      </c>
      <c r="IM103" s="156">
        <v>0.0</v>
      </c>
      <c r="IN103" s="156">
        <v>0.0</v>
      </c>
      <c r="IO103" s="156">
        <v>0.0</v>
      </c>
      <c r="IP103" s="156">
        <v>0.0</v>
      </c>
      <c r="IQ103" s="160">
        <v>0.0</v>
      </c>
      <c r="JH103" s="25"/>
      <c r="JW103" s="159">
        <v>0.0</v>
      </c>
      <c r="JX103" s="156">
        <v>0.0</v>
      </c>
      <c r="JY103" s="156">
        <v>0.0</v>
      </c>
      <c r="JZ103" s="156">
        <v>0.0</v>
      </c>
      <c r="KA103" s="156">
        <v>0.0</v>
      </c>
      <c r="KB103" s="160">
        <v>0.0</v>
      </c>
      <c r="LH103" s="159">
        <f t="shared" si="10"/>
        <v>0</v>
      </c>
      <c r="LI103" s="156">
        <f t="shared" si="11"/>
        <v>0</v>
      </c>
      <c r="LJ103" s="156">
        <f t="shared" si="12"/>
        <v>0</v>
      </c>
      <c r="LK103" s="156">
        <f t="shared" si="13"/>
        <v>0</v>
      </c>
      <c r="LL103" s="156">
        <f t="shared" si="14"/>
        <v>0</v>
      </c>
      <c r="LM103" s="160">
        <f t="shared" si="15"/>
        <v>0</v>
      </c>
      <c r="QX103" s="107">
        <v>45826.0</v>
      </c>
    </row>
    <row r="104">
      <c r="A104" s="12"/>
      <c r="B104" s="12"/>
      <c r="C104" s="12"/>
      <c r="D104" s="12"/>
      <c r="E104" s="12"/>
      <c r="F104" s="12"/>
      <c r="G104" s="12"/>
      <c r="H104" s="12"/>
      <c r="I104" s="143">
        <f t="shared" si="5"/>
        <v>-30</v>
      </c>
      <c r="J104" s="144">
        <v>45829.0</v>
      </c>
      <c r="K104" s="173" t="s">
        <v>61</v>
      </c>
      <c r="L104" s="144">
        <v>45906.0</v>
      </c>
      <c r="M104" s="147" t="s">
        <v>228</v>
      </c>
      <c r="N104" s="148">
        <v>357.0</v>
      </c>
      <c r="O104" s="148">
        <v>30.0</v>
      </c>
      <c r="P104" s="26"/>
      <c r="Q104" s="26"/>
      <c r="R104" s="26"/>
      <c r="S104" s="26"/>
      <c r="T104" s="26"/>
      <c r="U104" s="147" t="s">
        <v>1172</v>
      </c>
      <c r="V104" s="197"/>
      <c r="W104" s="198" t="s">
        <v>1575</v>
      </c>
      <c r="X104" s="181">
        <v>30.0</v>
      </c>
      <c r="Y104" s="166">
        <f t="shared" si="6"/>
        <v>30</v>
      </c>
      <c r="Z104" s="26">
        <f t="shared" si="7"/>
        <v>0</v>
      </c>
      <c r="AA104" s="26">
        <f t="shared" si="8"/>
        <v>0</v>
      </c>
      <c r="AB104" s="26">
        <f t="shared" si="9"/>
        <v>0</v>
      </c>
      <c r="AC104" s="155">
        <v>0.0</v>
      </c>
      <c r="AD104" s="155">
        <v>0.0</v>
      </c>
      <c r="AE104" s="155">
        <v>0.0</v>
      </c>
      <c r="AF104" s="155">
        <v>0.0</v>
      </c>
      <c r="AG104" s="155">
        <v>0.0</v>
      </c>
      <c r="AH104" s="155">
        <v>0.0</v>
      </c>
      <c r="BN104" s="155">
        <v>0.0</v>
      </c>
      <c r="BO104" s="155">
        <v>0.0</v>
      </c>
      <c r="BP104" s="155">
        <v>0.0</v>
      </c>
      <c r="BQ104" s="155">
        <v>0.0</v>
      </c>
      <c r="BR104" s="155">
        <v>0.0</v>
      </c>
      <c r="BS104" s="155">
        <v>0.0</v>
      </c>
      <c r="CV104" s="156">
        <v>0.0</v>
      </c>
      <c r="CW104" s="156">
        <v>0.0</v>
      </c>
      <c r="CX104" s="156">
        <v>0.0</v>
      </c>
      <c r="CY104" s="156">
        <v>0.0</v>
      </c>
      <c r="CZ104" s="156">
        <v>0.0</v>
      </c>
      <c r="DA104" s="156">
        <v>0.0</v>
      </c>
      <c r="EG104" s="156">
        <v>0.0</v>
      </c>
      <c r="EH104" s="156">
        <v>0.0</v>
      </c>
      <c r="EI104" s="156">
        <v>0.0</v>
      </c>
      <c r="EJ104" s="156">
        <v>0.0</v>
      </c>
      <c r="EK104" s="156">
        <v>0.0</v>
      </c>
      <c r="EL104" s="156">
        <v>0.0</v>
      </c>
      <c r="FQ104" s="156">
        <v>0.0</v>
      </c>
      <c r="FR104" s="156">
        <v>0.0</v>
      </c>
      <c r="FS104" s="156">
        <v>0.0</v>
      </c>
      <c r="FT104" s="156">
        <v>0.0</v>
      </c>
      <c r="FU104" s="156">
        <v>0.0</v>
      </c>
      <c r="FV104" s="156">
        <v>0.0</v>
      </c>
      <c r="FW104" s="157"/>
      <c r="FX104" s="157"/>
      <c r="FY104" s="157"/>
      <c r="FZ104" s="157"/>
      <c r="GA104" s="157"/>
      <c r="GB104" s="157"/>
      <c r="GC104" s="157"/>
      <c r="GD104" s="157"/>
      <c r="GE104" s="157"/>
      <c r="GF104" s="157"/>
      <c r="GG104" s="157"/>
      <c r="GH104" s="157"/>
      <c r="GI104" s="157"/>
      <c r="GJ104" s="157"/>
      <c r="GK104" s="157"/>
      <c r="GL104" s="157"/>
      <c r="GM104" s="157"/>
      <c r="GN104" s="157"/>
      <c r="GO104" s="157"/>
      <c r="GP104" s="158"/>
      <c r="GQ104" s="157"/>
      <c r="GR104" s="157"/>
      <c r="GS104" s="157"/>
      <c r="GT104" s="157"/>
      <c r="GU104" s="157"/>
      <c r="GV104" s="157"/>
      <c r="GW104" s="157"/>
      <c r="GX104" s="157"/>
      <c r="GY104" s="157"/>
      <c r="GZ104" s="157"/>
      <c r="HA104" s="157"/>
      <c r="HB104" s="155">
        <v>0.0</v>
      </c>
      <c r="HC104" s="155">
        <v>0.0</v>
      </c>
      <c r="HD104" s="155">
        <v>0.0</v>
      </c>
      <c r="HE104" s="155">
        <v>0.0</v>
      </c>
      <c r="HF104" s="155">
        <v>0.0</v>
      </c>
      <c r="HG104" s="155">
        <v>0.0</v>
      </c>
      <c r="IL104" s="159">
        <v>0.0</v>
      </c>
      <c r="IM104" s="156">
        <v>0.0</v>
      </c>
      <c r="IN104" s="156">
        <v>0.0</v>
      </c>
      <c r="IO104" s="156">
        <v>0.0</v>
      </c>
      <c r="IP104" s="156">
        <v>0.0</v>
      </c>
      <c r="IQ104" s="160">
        <v>0.0</v>
      </c>
      <c r="JH104" s="25"/>
      <c r="JW104" s="159">
        <v>0.0</v>
      </c>
      <c r="JX104" s="156">
        <v>0.0</v>
      </c>
      <c r="JY104" s="156">
        <v>0.0</v>
      </c>
      <c r="JZ104" s="156">
        <v>0.0</v>
      </c>
      <c r="KA104" s="156">
        <v>0.0</v>
      </c>
      <c r="KB104" s="160">
        <v>0.0</v>
      </c>
      <c r="LH104" s="159">
        <f t="shared" si="10"/>
        <v>0</v>
      </c>
      <c r="LI104" s="156">
        <f t="shared" si="11"/>
        <v>0</v>
      </c>
      <c r="LJ104" s="156">
        <f t="shared" si="12"/>
        <v>0</v>
      </c>
      <c r="LK104" s="156">
        <f t="shared" si="13"/>
        <v>0</v>
      </c>
      <c r="LL104" s="156">
        <f t="shared" si="14"/>
        <v>0</v>
      </c>
      <c r="LM104" s="160">
        <f t="shared" si="15"/>
        <v>0</v>
      </c>
      <c r="QX104" s="107">
        <v>45827.0</v>
      </c>
    </row>
    <row r="105">
      <c r="A105" s="12"/>
      <c r="B105" s="12"/>
      <c r="C105" s="12"/>
      <c r="D105" s="12"/>
      <c r="E105" s="12"/>
      <c r="F105" s="12"/>
      <c r="G105" s="12"/>
      <c r="H105" s="12"/>
      <c r="I105" s="143">
        <f t="shared" si="5"/>
        <v>-27</v>
      </c>
      <c r="J105" s="144">
        <v>45831.0</v>
      </c>
      <c r="K105" s="195" t="s">
        <v>61</v>
      </c>
      <c r="L105" s="171">
        <v>46211.0</v>
      </c>
      <c r="M105" s="147" t="s">
        <v>400</v>
      </c>
      <c r="N105" s="148">
        <v>246.0</v>
      </c>
      <c r="O105" s="148">
        <v>30.0</v>
      </c>
      <c r="P105" s="26"/>
      <c r="Q105" s="26"/>
      <c r="R105" s="26"/>
      <c r="S105" s="26"/>
      <c r="T105" s="26"/>
      <c r="U105" s="147" t="s">
        <v>1584</v>
      </c>
      <c r="V105" s="149" t="s">
        <v>1585</v>
      </c>
      <c r="W105" s="198" t="s">
        <v>1586</v>
      </c>
      <c r="X105" s="181">
        <v>20.0</v>
      </c>
      <c r="Y105" s="166">
        <f t="shared" si="6"/>
        <v>27</v>
      </c>
      <c r="Z105" s="26">
        <f t="shared" si="7"/>
        <v>0</v>
      </c>
      <c r="AA105" s="26">
        <f t="shared" si="8"/>
        <v>0</v>
      </c>
      <c r="AB105" s="26">
        <f t="shared" si="9"/>
        <v>0</v>
      </c>
      <c r="AC105" s="155">
        <v>6.0</v>
      </c>
      <c r="AD105" s="155">
        <v>0.0</v>
      </c>
      <c r="AE105" s="155">
        <v>0.0</v>
      </c>
      <c r="AF105" s="155">
        <v>0.0</v>
      </c>
      <c r="AG105" s="155">
        <v>0.0</v>
      </c>
      <c r="AH105" s="155">
        <v>0.0</v>
      </c>
      <c r="AI105" s="167"/>
      <c r="AJ105" s="167"/>
      <c r="AK105" s="167"/>
      <c r="AL105" s="167"/>
      <c r="AM105" s="167"/>
      <c r="AN105" s="167"/>
      <c r="AO105" s="167"/>
      <c r="AP105" s="167"/>
      <c r="AQ105" s="167"/>
      <c r="AR105" s="167"/>
      <c r="AS105" s="167"/>
      <c r="AT105" s="167">
        <v>1.0</v>
      </c>
      <c r="AU105" s="167"/>
      <c r="AV105" s="167"/>
      <c r="AW105" s="167"/>
      <c r="AX105" s="167"/>
      <c r="AY105" s="167"/>
      <c r="AZ105" s="167"/>
      <c r="BA105" s="167">
        <v>1.0</v>
      </c>
      <c r="BB105" s="167">
        <v>0.0</v>
      </c>
      <c r="BC105" s="167">
        <v>1.0</v>
      </c>
      <c r="BD105" s="167">
        <v>0.0</v>
      </c>
      <c r="BE105" s="167"/>
      <c r="BF105" s="167">
        <v>0.0</v>
      </c>
      <c r="BG105" s="167">
        <v>0.0</v>
      </c>
      <c r="BH105" s="167">
        <v>1.0</v>
      </c>
      <c r="BI105" s="167">
        <v>0.0</v>
      </c>
      <c r="BJ105" s="167">
        <v>1.0</v>
      </c>
      <c r="BK105" s="167">
        <v>0.0</v>
      </c>
      <c r="BL105" s="167">
        <v>1.0</v>
      </c>
      <c r="BM105" s="167">
        <v>0.0</v>
      </c>
      <c r="BN105" s="155">
        <v>1.0</v>
      </c>
      <c r="BO105" s="155">
        <v>0.0</v>
      </c>
      <c r="BP105" s="155">
        <v>0.0</v>
      </c>
      <c r="BQ105" s="155">
        <v>0.0</v>
      </c>
      <c r="BR105" s="155">
        <v>0.0</v>
      </c>
      <c r="BS105" s="155">
        <v>0.0</v>
      </c>
      <c r="BT105" s="167"/>
      <c r="BU105" s="167"/>
      <c r="BV105" s="167"/>
      <c r="BW105" s="167"/>
      <c r="BX105" s="167"/>
      <c r="BY105" s="167"/>
      <c r="BZ105" s="167"/>
      <c r="CA105" s="167"/>
      <c r="CB105" s="167"/>
      <c r="CC105" s="167"/>
      <c r="CD105" s="167"/>
      <c r="CE105" s="168">
        <v>1.0</v>
      </c>
      <c r="CF105" s="167"/>
      <c r="CG105" s="167"/>
      <c r="CH105" s="167"/>
      <c r="CI105" s="167"/>
      <c r="CJ105" s="167"/>
      <c r="CK105" s="167"/>
      <c r="CL105" s="167"/>
      <c r="CM105" s="167"/>
      <c r="CN105" s="167"/>
      <c r="CO105" s="167"/>
      <c r="CP105" s="167"/>
      <c r="CQ105" s="167"/>
      <c r="CR105" s="167"/>
      <c r="CS105" s="167"/>
      <c r="CT105" s="167"/>
      <c r="CU105" s="167"/>
      <c r="CV105" s="156">
        <v>0.0</v>
      </c>
      <c r="CW105" s="156">
        <v>0.0</v>
      </c>
      <c r="CX105" s="156">
        <v>0.0</v>
      </c>
      <c r="CY105" s="156">
        <v>0.0</v>
      </c>
      <c r="CZ105" s="156">
        <v>0.0</v>
      </c>
      <c r="DA105" s="156">
        <v>0.0</v>
      </c>
      <c r="DB105" s="174"/>
      <c r="DC105" s="174"/>
      <c r="DD105" s="174"/>
      <c r="DE105" s="174"/>
      <c r="DF105" s="174"/>
      <c r="DG105" s="174"/>
      <c r="DH105" s="174"/>
      <c r="DI105" s="174"/>
      <c r="DJ105" s="174"/>
      <c r="DK105" s="174"/>
      <c r="DL105" s="174"/>
      <c r="DM105" s="174"/>
      <c r="DN105" s="174"/>
      <c r="DO105" s="174"/>
      <c r="DP105" s="174"/>
      <c r="DQ105" s="174"/>
      <c r="DR105" s="174"/>
      <c r="DS105" s="174"/>
      <c r="DT105" s="174"/>
      <c r="DU105" s="174"/>
      <c r="DV105" s="174"/>
      <c r="DW105" s="174"/>
      <c r="DX105" s="174"/>
      <c r="DY105" s="174"/>
      <c r="DZ105" s="174"/>
      <c r="EA105" s="174"/>
      <c r="EB105" s="174"/>
      <c r="EC105" s="174"/>
      <c r="ED105" s="174"/>
      <c r="EE105" s="174"/>
      <c r="EF105" s="174"/>
      <c r="EG105" s="156">
        <v>0.0</v>
      </c>
      <c r="EH105" s="156">
        <v>0.0</v>
      </c>
      <c r="EI105" s="156">
        <v>0.0</v>
      </c>
      <c r="EJ105" s="156">
        <v>0.0</v>
      </c>
      <c r="EK105" s="156">
        <v>0.0</v>
      </c>
      <c r="EL105" s="156">
        <v>0.0</v>
      </c>
      <c r="EM105" s="174"/>
      <c r="EN105" s="174"/>
      <c r="EO105" s="174"/>
      <c r="EP105" s="174"/>
      <c r="EQ105" s="174"/>
      <c r="ER105" s="174"/>
      <c r="ES105" s="174"/>
      <c r="ET105" s="174"/>
      <c r="EU105" s="174"/>
      <c r="EV105" s="174"/>
      <c r="EW105" s="174"/>
      <c r="EX105" s="174"/>
      <c r="EY105" s="174"/>
      <c r="EZ105" s="174"/>
      <c r="FA105" s="174"/>
      <c r="FB105" s="174"/>
      <c r="FC105" s="174"/>
      <c r="FD105" s="174"/>
      <c r="FE105" s="174"/>
      <c r="FF105" s="174"/>
      <c r="FG105" s="174"/>
      <c r="FH105" s="174"/>
      <c r="FI105" s="174"/>
      <c r="FJ105" s="174"/>
      <c r="FK105" s="174"/>
      <c r="FL105" s="174"/>
      <c r="FM105" s="174"/>
      <c r="FN105" s="174"/>
      <c r="FO105" s="174"/>
      <c r="FP105" s="174"/>
      <c r="FQ105" s="156">
        <v>0.0</v>
      </c>
      <c r="FR105" s="156">
        <v>0.0</v>
      </c>
      <c r="FS105" s="156">
        <v>0.0</v>
      </c>
      <c r="FT105" s="156">
        <v>0.0</v>
      </c>
      <c r="FU105" s="156">
        <v>0.0</v>
      </c>
      <c r="FV105" s="156">
        <v>0.0</v>
      </c>
      <c r="FW105" s="157"/>
      <c r="FX105" s="157"/>
      <c r="FY105" s="157"/>
      <c r="FZ105" s="157"/>
      <c r="GA105" s="157"/>
      <c r="GB105" s="157"/>
      <c r="GC105" s="157"/>
      <c r="GD105" s="157"/>
      <c r="GE105" s="157"/>
      <c r="GF105" s="157"/>
      <c r="GG105" s="157"/>
      <c r="GH105" s="157"/>
      <c r="GI105" s="157"/>
      <c r="GJ105" s="157"/>
      <c r="GK105" s="157"/>
      <c r="GL105" s="157"/>
      <c r="GM105" s="157"/>
      <c r="GN105" s="157"/>
      <c r="GO105" s="157"/>
      <c r="GP105" s="158"/>
      <c r="GQ105" s="157"/>
      <c r="GR105" s="157"/>
      <c r="GS105" s="157"/>
      <c r="GT105" s="157"/>
      <c r="GU105" s="157"/>
      <c r="GV105" s="157"/>
      <c r="GW105" s="157"/>
      <c r="GX105" s="157"/>
      <c r="GY105" s="157"/>
      <c r="GZ105" s="157"/>
      <c r="HA105" s="157"/>
      <c r="HB105" s="155">
        <v>0.0</v>
      </c>
      <c r="HC105" s="155">
        <v>0.0</v>
      </c>
      <c r="HD105" s="155">
        <v>0.0</v>
      </c>
      <c r="HE105" s="155">
        <v>0.0</v>
      </c>
      <c r="HF105" s="155">
        <v>0.0</v>
      </c>
      <c r="HG105" s="155">
        <v>0.0</v>
      </c>
      <c r="IL105" s="159">
        <v>0.0</v>
      </c>
      <c r="IM105" s="156">
        <v>0.0</v>
      </c>
      <c r="IN105" s="156">
        <v>0.0</v>
      </c>
      <c r="IO105" s="156">
        <v>0.0</v>
      </c>
      <c r="IP105" s="156">
        <v>0.0</v>
      </c>
      <c r="IQ105" s="160">
        <v>0.0</v>
      </c>
      <c r="JH105" s="25"/>
      <c r="JW105" s="159">
        <v>0.0</v>
      </c>
      <c r="JX105" s="156">
        <v>0.0</v>
      </c>
      <c r="JY105" s="156">
        <v>0.0</v>
      </c>
      <c r="JZ105" s="156">
        <v>0.0</v>
      </c>
      <c r="KA105" s="156">
        <v>0.0</v>
      </c>
      <c r="KB105" s="160">
        <v>0.0</v>
      </c>
      <c r="LH105" s="159">
        <f t="shared" si="10"/>
        <v>0</v>
      </c>
      <c r="LI105" s="156">
        <f t="shared" si="11"/>
        <v>0</v>
      </c>
      <c r="LJ105" s="156">
        <f t="shared" si="12"/>
        <v>0</v>
      </c>
      <c r="LK105" s="156">
        <f t="shared" si="13"/>
        <v>0</v>
      </c>
      <c r="LL105" s="156">
        <f t="shared" si="14"/>
        <v>0</v>
      </c>
      <c r="LM105" s="160">
        <f t="shared" si="15"/>
        <v>0</v>
      </c>
      <c r="QX105" s="107">
        <v>45827.0</v>
      </c>
    </row>
    <row r="106">
      <c r="A106" s="12"/>
      <c r="B106" s="12"/>
      <c r="C106" s="12"/>
      <c r="D106" s="12"/>
      <c r="E106" s="12"/>
      <c r="F106" s="12"/>
      <c r="G106" s="12"/>
      <c r="H106" s="12"/>
      <c r="I106" s="143">
        <f t="shared" si="5"/>
        <v>-30</v>
      </c>
      <c r="J106" s="144">
        <v>45828.0</v>
      </c>
      <c r="K106" s="173" t="s">
        <v>61</v>
      </c>
      <c r="L106" s="144">
        <v>45910.0</v>
      </c>
      <c r="M106" s="147" t="s">
        <v>228</v>
      </c>
      <c r="N106" s="148">
        <v>246.0</v>
      </c>
      <c r="O106" s="148">
        <v>30.0</v>
      </c>
      <c r="P106" s="26"/>
      <c r="Q106" s="26"/>
      <c r="R106" s="26"/>
      <c r="S106" s="26"/>
      <c r="T106" s="26"/>
      <c r="U106" s="147" t="s">
        <v>1140</v>
      </c>
      <c r="V106" s="197"/>
      <c r="W106" s="198" t="s">
        <v>1602</v>
      </c>
      <c r="X106" s="181">
        <v>30.0</v>
      </c>
      <c r="Y106" s="166">
        <f t="shared" si="6"/>
        <v>30</v>
      </c>
      <c r="Z106" s="26">
        <f t="shared" si="7"/>
        <v>0</v>
      </c>
      <c r="AA106" s="26">
        <f t="shared" si="8"/>
        <v>0</v>
      </c>
      <c r="AB106" s="26">
        <f t="shared" si="9"/>
        <v>0</v>
      </c>
      <c r="AC106" s="155">
        <v>0.0</v>
      </c>
      <c r="AD106" s="155">
        <v>0.0</v>
      </c>
      <c r="AE106" s="155">
        <v>0.0</v>
      </c>
      <c r="AF106" s="155">
        <v>0.0</v>
      </c>
      <c r="AG106" s="155">
        <v>0.0</v>
      </c>
      <c r="AH106" s="155">
        <v>0.0</v>
      </c>
      <c r="BN106" s="155">
        <v>0.0</v>
      </c>
      <c r="BO106" s="155">
        <v>0.0</v>
      </c>
      <c r="BP106" s="155">
        <v>0.0</v>
      </c>
      <c r="BQ106" s="155">
        <v>0.0</v>
      </c>
      <c r="BR106" s="155">
        <v>0.0</v>
      </c>
      <c r="BS106" s="155">
        <v>0.0</v>
      </c>
      <c r="CV106" s="156">
        <v>0.0</v>
      </c>
      <c r="CW106" s="156">
        <v>0.0</v>
      </c>
      <c r="CX106" s="156">
        <v>0.0</v>
      </c>
      <c r="CY106" s="156">
        <v>0.0</v>
      </c>
      <c r="CZ106" s="156">
        <v>0.0</v>
      </c>
      <c r="DA106" s="156">
        <v>0.0</v>
      </c>
      <c r="EG106" s="156">
        <v>0.0</v>
      </c>
      <c r="EH106" s="156">
        <v>0.0</v>
      </c>
      <c r="EI106" s="156">
        <v>0.0</v>
      </c>
      <c r="EJ106" s="156">
        <v>0.0</v>
      </c>
      <c r="EK106" s="156">
        <v>0.0</v>
      </c>
      <c r="EL106" s="156">
        <v>0.0</v>
      </c>
      <c r="FQ106" s="156">
        <v>0.0</v>
      </c>
      <c r="FR106" s="156">
        <v>0.0</v>
      </c>
      <c r="FS106" s="156">
        <v>0.0</v>
      </c>
      <c r="FT106" s="156">
        <v>0.0</v>
      </c>
      <c r="FU106" s="156">
        <v>0.0</v>
      </c>
      <c r="FV106" s="156">
        <v>0.0</v>
      </c>
      <c r="FW106" s="157"/>
      <c r="FX106" s="157"/>
      <c r="FY106" s="157"/>
      <c r="FZ106" s="157"/>
      <c r="GA106" s="157"/>
      <c r="GB106" s="157"/>
      <c r="GC106" s="157"/>
      <c r="GD106" s="157"/>
      <c r="GE106" s="157"/>
      <c r="GF106" s="157"/>
      <c r="GG106" s="157"/>
      <c r="GH106" s="157"/>
      <c r="GI106" s="157"/>
      <c r="GJ106" s="157"/>
      <c r="GK106" s="157"/>
      <c r="GL106" s="157"/>
      <c r="GM106" s="157"/>
      <c r="GN106" s="157"/>
      <c r="GO106" s="157"/>
      <c r="GP106" s="158"/>
      <c r="GQ106" s="157"/>
      <c r="GR106" s="157"/>
      <c r="GS106" s="157"/>
      <c r="GT106" s="157"/>
      <c r="GU106" s="157"/>
      <c r="GV106" s="157"/>
      <c r="GW106" s="157"/>
      <c r="GX106" s="157"/>
      <c r="GY106" s="157"/>
      <c r="GZ106" s="157"/>
      <c r="HA106" s="157"/>
      <c r="HB106" s="155">
        <v>0.0</v>
      </c>
      <c r="HC106" s="155">
        <v>0.0</v>
      </c>
      <c r="HD106" s="155">
        <v>0.0</v>
      </c>
      <c r="HE106" s="155">
        <v>0.0</v>
      </c>
      <c r="HF106" s="155">
        <v>0.0</v>
      </c>
      <c r="HG106" s="155">
        <v>0.0</v>
      </c>
      <c r="IL106" s="159">
        <v>0.0</v>
      </c>
      <c r="IM106" s="156">
        <v>0.0</v>
      </c>
      <c r="IN106" s="156">
        <v>0.0</v>
      </c>
      <c r="IO106" s="156">
        <v>0.0</v>
      </c>
      <c r="IP106" s="156">
        <v>0.0</v>
      </c>
      <c r="IQ106" s="160">
        <v>0.0</v>
      </c>
      <c r="JH106" s="25"/>
      <c r="JW106" s="159">
        <v>0.0</v>
      </c>
      <c r="JX106" s="156">
        <v>0.0</v>
      </c>
      <c r="JY106" s="156">
        <v>0.0</v>
      </c>
      <c r="JZ106" s="156">
        <v>0.0</v>
      </c>
      <c r="KA106" s="156">
        <v>0.0</v>
      </c>
      <c r="KB106" s="160">
        <v>0.0</v>
      </c>
      <c r="LH106" s="159">
        <f t="shared" si="10"/>
        <v>0</v>
      </c>
      <c r="LI106" s="156">
        <f t="shared" si="11"/>
        <v>0</v>
      </c>
      <c r="LJ106" s="156">
        <f t="shared" si="12"/>
        <v>0</v>
      </c>
      <c r="LK106" s="156">
        <f t="shared" si="13"/>
        <v>0</v>
      </c>
      <c r="LL106" s="156">
        <f t="shared" si="14"/>
        <v>0</v>
      </c>
      <c r="LM106" s="160">
        <f t="shared" si="15"/>
        <v>0</v>
      </c>
      <c r="QX106" s="107">
        <v>45827.0</v>
      </c>
    </row>
    <row r="107">
      <c r="A107" s="12"/>
      <c r="B107" s="12"/>
      <c r="C107" s="12"/>
      <c r="D107" s="12"/>
      <c r="E107" s="12"/>
      <c r="F107" s="12"/>
      <c r="G107" s="12"/>
      <c r="H107" s="12"/>
      <c r="I107" s="143">
        <f t="shared" si="5"/>
        <v>-32</v>
      </c>
      <c r="J107" s="170" t="s">
        <v>1612</v>
      </c>
      <c r="K107" s="294" t="s">
        <v>48</v>
      </c>
      <c r="L107" s="295">
        <v>46017.0</v>
      </c>
      <c r="M107" s="164" t="s">
        <v>423</v>
      </c>
      <c r="N107" s="170">
        <v>246.0</v>
      </c>
      <c r="O107" s="148">
        <v>30.0</v>
      </c>
      <c r="P107" s="26"/>
      <c r="Q107" s="26"/>
      <c r="R107" s="26"/>
      <c r="S107" s="26"/>
      <c r="T107" s="26"/>
      <c r="U107" s="164" t="s">
        <v>1615</v>
      </c>
      <c r="V107" s="165" t="s">
        <v>1616</v>
      </c>
      <c r="W107" s="248" t="s">
        <v>1618</v>
      </c>
      <c r="X107" s="181">
        <v>12.0</v>
      </c>
      <c r="Y107" s="166">
        <f t="shared" si="6"/>
        <v>32</v>
      </c>
      <c r="Z107" s="26">
        <f t="shared" si="7"/>
        <v>0</v>
      </c>
      <c r="AA107" s="26">
        <f t="shared" si="8"/>
        <v>1</v>
      </c>
      <c r="AB107" s="26">
        <f t="shared" si="9"/>
        <v>0</v>
      </c>
      <c r="AC107" s="155">
        <v>0.0</v>
      </c>
      <c r="AD107" s="155">
        <v>0.0</v>
      </c>
      <c r="AE107" s="155">
        <v>0.0</v>
      </c>
      <c r="AF107" s="155">
        <v>0.0</v>
      </c>
      <c r="AG107" s="155">
        <v>0.0</v>
      </c>
      <c r="AH107" s="155">
        <v>0.0</v>
      </c>
      <c r="BN107" s="155">
        <v>0.0</v>
      </c>
      <c r="BO107" s="155">
        <v>0.0</v>
      </c>
      <c r="BP107" s="155">
        <v>0.0</v>
      </c>
      <c r="BQ107" s="155">
        <v>0.0</v>
      </c>
      <c r="BR107" s="155">
        <v>0.0</v>
      </c>
      <c r="BS107" s="155">
        <v>0.0</v>
      </c>
      <c r="CV107" s="156">
        <v>0.0</v>
      </c>
      <c r="CW107" s="156">
        <v>0.0</v>
      </c>
      <c r="CX107" s="156">
        <v>0.0</v>
      </c>
      <c r="CY107" s="156">
        <v>0.0</v>
      </c>
      <c r="CZ107" s="156">
        <v>0.0</v>
      </c>
      <c r="DA107" s="156">
        <v>0.0</v>
      </c>
      <c r="EG107" s="156">
        <v>0.0</v>
      </c>
      <c r="EH107" s="156">
        <v>0.0</v>
      </c>
      <c r="EI107" s="156">
        <v>0.0</v>
      </c>
      <c r="EJ107" s="156">
        <v>0.0</v>
      </c>
      <c r="EK107" s="156">
        <v>0.0</v>
      </c>
      <c r="EL107" s="156">
        <v>0.0</v>
      </c>
      <c r="FQ107" s="156">
        <v>0.0</v>
      </c>
      <c r="FR107" s="156">
        <v>0.0</v>
      </c>
      <c r="FS107" s="156">
        <v>0.0</v>
      </c>
      <c r="FT107" s="156">
        <v>0.0</v>
      </c>
      <c r="FU107" s="156">
        <v>0.0</v>
      </c>
      <c r="FV107" s="156">
        <v>0.0</v>
      </c>
      <c r="FW107" s="157"/>
      <c r="FX107" s="157"/>
      <c r="FY107" s="157"/>
      <c r="FZ107" s="157"/>
      <c r="GA107" s="157"/>
      <c r="GB107" s="157"/>
      <c r="GC107" s="157"/>
      <c r="GD107" s="157"/>
      <c r="GE107" s="157"/>
      <c r="GF107" s="157"/>
      <c r="GG107" s="157"/>
      <c r="GH107" s="157"/>
      <c r="GI107" s="157"/>
      <c r="GJ107" s="157"/>
      <c r="GK107" s="157"/>
      <c r="GL107" s="157"/>
      <c r="GM107" s="157"/>
      <c r="GN107" s="157"/>
      <c r="GO107" s="157"/>
      <c r="GP107" s="158"/>
      <c r="GQ107" s="157"/>
      <c r="GR107" s="157"/>
      <c r="GS107" s="157"/>
      <c r="GT107" s="157"/>
      <c r="GU107" s="157"/>
      <c r="GV107" s="157"/>
      <c r="GW107" s="157"/>
      <c r="GX107" s="157"/>
      <c r="GY107" s="157"/>
      <c r="GZ107" s="157"/>
      <c r="HA107" s="157"/>
      <c r="HB107" s="155">
        <v>6.0</v>
      </c>
      <c r="HC107" s="155">
        <v>0.0</v>
      </c>
      <c r="HD107" s="155">
        <v>0.0</v>
      </c>
      <c r="HE107" s="155">
        <v>0.0</v>
      </c>
      <c r="HF107" s="155">
        <v>0.0</v>
      </c>
      <c r="HG107" s="155">
        <v>0.0</v>
      </c>
      <c r="HH107" s="174"/>
      <c r="HI107" s="174"/>
      <c r="HJ107" s="174"/>
      <c r="HK107" s="174"/>
      <c r="HL107" s="174"/>
      <c r="HM107" s="174"/>
      <c r="HN107" s="174"/>
      <c r="HO107" s="174">
        <v>1.0</v>
      </c>
      <c r="HP107" s="174">
        <v>0.0</v>
      </c>
      <c r="HQ107" s="174">
        <v>1.0</v>
      </c>
      <c r="HR107" s="174">
        <v>0.0</v>
      </c>
      <c r="HS107" s="174">
        <v>1.0</v>
      </c>
      <c r="HT107" s="174"/>
      <c r="HU107" s="174"/>
      <c r="HV107" s="174"/>
      <c r="HW107" s="174"/>
      <c r="HX107" s="174"/>
      <c r="HY107" s="174"/>
      <c r="HZ107" s="174">
        <v>1.0</v>
      </c>
      <c r="IA107" s="174"/>
      <c r="IB107" s="174"/>
      <c r="IC107" s="174">
        <v>1.0</v>
      </c>
      <c r="ID107" s="174"/>
      <c r="IE107" s="174"/>
      <c r="IF107" s="174"/>
      <c r="IG107" s="174"/>
      <c r="IH107" s="174"/>
      <c r="II107" s="174"/>
      <c r="IJ107" s="175">
        <v>1.0</v>
      </c>
      <c r="IK107" s="174"/>
      <c r="IL107" s="159">
        <v>5.0</v>
      </c>
      <c r="IM107" s="156">
        <v>0.0</v>
      </c>
      <c r="IN107" s="156">
        <v>0.0</v>
      </c>
      <c r="IO107" s="156">
        <v>0.0</v>
      </c>
      <c r="IP107" s="156">
        <v>0.0</v>
      </c>
      <c r="IQ107" s="160">
        <v>0.0</v>
      </c>
      <c r="IR107" s="174"/>
      <c r="IS107" s="174">
        <v>0.0</v>
      </c>
      <c r="IT107" s="174">
        <v>1.0</v>
      </c>
      <c r="IU107" s="174">
        <v>0.0</v>
      </c>
      <c r="IV107" s="174">
        <v>0.0</v>
      </c>
      <c r="IW107" s="174"/>
      <c r="IX107" s="175"/>
      <c r="IY107" s="174"/>
      <c r="IZ107" s="174">
        <v>0.0</v>
      </c>
      <c r="JA107" s="174">
        <v>1.0</v>
      </c>
      <c r="JB107" s="174">
        <v>0.0</v>
      </c>
      <c r="JC107" s="174">
        <v>0.0</v>
      </c>
      <c r="JD107" s="174"/>
      <c r="JE107" s="174">
        <v>0.0</v>
      </c>
      <c r="JF107" s="174"/>
      <c r="JG107" s="174">
        <v>0.0</v>
      </c>
      <c r="JH107" s="177">
        <v>1.0</v>
      </c>
      <c r="JI107" s="174">
        <v>0.0</v>
      </c>
      <c r="JJ107" s="174">
        <v>0.0</v>
      </c>
      <c r="JK107" s="174">
        <v>1.0</v>
      </c>
      <c r="JL107" s="174">
        <v>0.0</v>
      </c>
      <c r="JM107" s="174"/>
      <c r="JN107" s="174"/>
      <c r="JO107" s="174"/>
      <c r="JP107" s="174"/>
      <c r="JQ107" s="174"/>
      <c r="JR107" s="174">
        <v>1.0</v>
      </c>
      <c r="JS107" s="174">
        <v>0.0</v>
      </c>
      <c r="JT107" s="174"/>
      <c r="JU107" s="174"/>
      <c r="JV107" s="174"/>
      <c r="JW107" s="159">
        <v>4.0</v>
      </c>
      <c r="JX107" s="156">
        <v>0.0</v>
      </c>
      <c r="JY107" s="156">
        <v>0.0</v>
      </c>
      <c r="JZ107" s="156">
        <v>0.0</v>
      </c>
      <c r="KA107" s="156">
        <v>0.0</v>
      </c>
      <c r="KB107" s="160">
        <v>0.0</v>
      </c>
      <c r="KC107" s="174"/>
      <c r="KD107" s="174"/>
      <c r="KE107" s="175">
        <v>1.0</v>
      </c>
      <c r="KF107" s="174"/>
      <c r="KG107" s="174"/>
      <c r="KH107" s="174"/>
      <c r="KI107" s="174"/>
      <c r="KJ107" s="174"/>
      <c r="KK107" s="174"/>
      <c r="KL107" s="174"/>
      <c r="KM107" s="174"/>
      <c r="KN107" s="174"/>
      <c r="KO107" s="174"/>
      <c r="KP107" s="174"/>
      <c r="KQ107" s="174"/>
      <c r="KR107" s="174"/>
      <c r="KS107" s="186">
        <v>1.0</v>
      </c>
      <c r="KT107" s="174"/>
      <c r="KU107" s="174"/>
      <c r="KV107" s="174"/>
      <c r="KW107" s="174"/>
      <c r="KX107" s="174"/>
      <c r="KY107" s="174"/>
      <c r="KZ107" s="175">
        <v>1.0</v>
      </c>
      <c r="LA107" s="174"/>
      <c r="LB107" s="174"/>
      <c r="LC107" s="174"/>
      <c r="LD107" s="175">
        <v>1.0</v>
      </c>
      <c r="LE107" s="174"/>
      <c r="LF107" s="174"/>
      <c r="LG107" s="174"/>
      <c r="LH107" s="159">
        <f t="shared" si="10"/>
        <v>5</v>
      </c>
      <c r="LI107" s="156">
        <f t="shared" si="11"/>
        <v>0</v>
      </c>
      <c r="LJ107" s="156">
        <f t="shared" si="12"/>
        <v>0</v>
      </c>
      <c r="LK107" s="156">
        <f t="shared" si="13"/>
        <v>1</v>
      </c>
      <c r="LL107" s="156">
        <f t="shared" si="14"/>
        <v>0</v>
      </c>
      <c r="LM107" s="160">
        <f t="shared" si="15"/>
        <v>0</v>
      </c>
      <c r="LN107" s="174"/>
      <c r="LO107" s="174"/>
      <c r="LP107" s="174"/>
      <c r="LQ107" s="187">
        <v>1.0</v>
      </c>
      <c r="LR107" s="174"/>
      <c r="LS107" s="174"/>
      <c r="LT107" s="174"/>
      <c r="LU107" s="174"/>
      <c r="LV107" s="187" t="s">
        <v>624</v>
      </c>
      <c r="LW107" s="174">
        <f t="shared" ref="LW107:MQ107" si="17">IFS(TODAY()&lt;=LW$2,0,WEEKDAY(LW$2)=2,1,WEEKDAY(LW$2)=3,0,WEEKDAY(LW$2)=4,1,WEEKDAY(LW$2)=5,0,WEEKDAY(LW$2)=6,1,WEEKDAY(LW$2)=7,0,WEEKDAY(LW$2)=1,0)</f>
        <v>0</v>
      </c>
      <c r="LX107" s="174">
        <f t="shared" si="17"/>
        <v>1</v>
      </c>
      <c r="LY107" s="174">
        <f t="shared" si="17"/>
        <v>0</v>
      </c>
      <c r="LZ107" s="174">
        <f t="shared" si="17"/>
        <v>0</v>
      </c>
      <c r="MA107" s="174">
        <f t="shared" si="17"/>
        <v>1</v>
      </c>
      <c r="MB107" s="174">
        <f t="shared" si="17"/>
        <v>0</v>
      </c>
      <c r="MC107" s="174">
        <f t="shared" si="17"/>
        <v>1</v>
      </c>
      <c r="MD107" s="174">
        <f t="shared" si="17"/>
        <v>0</v>
      </c>
      <c r="ME107" s="174">
        <f t="shared" si="17"/>
        <v>0</v>
      </c>
      <c r="MF107" s="174">
        <f t="shared" si="17"/>
        <v>0</v>
      </c>
      <c r="MG107" s="174">
        <f t="shared" si="17"/>
        <v>0</v>
      </c>
      <c r="MH107" s="174">
        <f t="shared" si="17"/>
        <v>0</v>
      </c>
      <c r="MI107" s="174">
        <f t="shared" si="17"/>
        <v>0</v>
      </c>
      <c r="MJ107" s="174">
        <f t="shared" si="17"/>
        <v>0</v>
      </c>
      <c r="MK107" s="174">
        <f t="shared" si="17"/>
        <v>0</v>
      </c>
      <c r="ML107" s="174">
        <f t="shared" si="17"/>
        <v>0</v>
      </c>
      <c r="MM107" s="174">
        <f t="shared" si="17"/>
        <v>0</v>
      </c>
      <c r="MN107" s="174">
        <f t="shared" si="17"/>
        <v>0</v>
      </c>
      <c r="MO107" s="174">
        <f t="shared" si="17"/>
        <v>0</v>
      </c>
      <c r="MP107" s="174">
        <f t="shared" si="17"/>
        <v>0</v>
      </c>
      <c r="MQ107" s="174">
        <f t="shared" si="17"/>
        <v>0</v>
      </c>
      <c r="QX107" s="107">
        <v>45828.0</v>
      </c>
    </row>
    <row r="108">
      <c r="A108" s="12"/>
      <c r="B108" s="12"/>
      <c r="C108" s="12"/>
      <c r="D108" s="12"/>
      <c r="E108" s="12"/>
      <c r="F108" s="12"/>
      <c r="G108" s="12"/>
      <c r="H108" s="12"/>
      <c r="I108" s="143">
        <f t="shared" si="5"/>
        <v>-6</v>
      </c>
      <c r="J108" s="144">
        <v>45828.0</v>
      </c>
      <c r="K108" s="195" t="s">
        <v>61</v>
      </c>
      <c r="L108" s="144">
        <v>45855.0</v>
      </c>
      <c r="M108" s="147" t="s">
        <v>1157</v>
      </c>
      <c r="N108" s="148">
        <v>26.0</v>
      </c>
      <c r="O108" s="148">
        <v>30.0</v>
      </c>
      <c r="P108" s="26"/>
      <c r="Q108" s="26"/>
      <c r="R108" s="26"/>
      <c r="S108" s="26"/>
      <c r="T108" s="26"/>
      <c r="U108" s="147" t="s">
        <v>402</v>
      </c>
      <c r="V108" s="149" t="s">
        <v>1653</v>
      </c>
      <c r="W108" s="198" t="s">
        <v>1654</v>
      </c>
      <c r="X108" s="181">
        <v>6.0</v>
      </c>
      <c r="Y108" s="166">
        <f t="shared" si="6"/>
        <v>6</v>
      </c>
      <c r="Z108" s="26">
        <f t="shared" si="7"/>
        <v>0</v>
      </c>
      <c r="AA108" s="26">
        <f t="shared" si="8"/>
        <v>0</v>
      </c>
      <c r="AB108" s="26">
        <f t="shared" si="9"/>
        <v>0</v>
      </c>
      <c r="AC108" s="155">
        <v>0.0</v>
      </c>
      <c r="AD108" s="155">
        <v>0.0</v>
      </c>
      <c r="AE108" s="155">
        <v>0.0</v>
      </c>
      <c r="AF108" s="155">
        <v>0.0</v>
      </c>
      <c r="AG108" s="155">
        <v>0.0</v>
      </c>
      <c r="AH108" s="155">
        <v>0.0</v>
      </c>
      <c r="BN108" s="155">
        <v>0.0</v>
      </c>
      <c r="BO108" s="155">
        <v>0.0</v>
      </c>
      <c r="BP108" s="155">
        <v>0.0</v>
      </c>
      <c r="BQ108" s="155">
        <v>0.0</v>
      </c>
      <c r="BR108" s="155">
        <v>0.0</v>
      </c>
      <c r="BS108" s="155">
        <v>0.0</v>
      </c>
      <c r="CV108" s="156">
        <v>0.0</v>
      </c>
      <c r="CW108" s="156">
        <v>0.0</v>
      </c>
      <c r="CX108" s="156">
        <v>0.0</v>
      </c>
      <c r="CY108" s="156">
        <v>0.0</v>
      </c>
      <c r="CZ108" s="156">
        <v>0.0</v>
      </c>
      <c r="DA108" s="156">
        <v>0.0</v>
      </c>
      <c r="EG108" s="156">
        <v>0.0</v>
      </c>
      <c r="EH108" s="156">
        <v>0.0</v>
      </c>
      <c r="EI108" s="156">
        <v>0.0</v>
      </c>
      <c r="EJ108" s="156">
        <v>0.0</v>
      </c>
      <c r="EK108" s="156">
        <v>0.0</v>
      </c>
      <c r="EL108" s="156">
        <v>0.0</v>
      </c>
      <c r="FQ108" s="156">
        <v>0.0</v>
      </c>
      <c r="FR108" s="156">
        <v>0.0</v>
      </c>
      <c r="FS108" s="156">
        <v>0.0</v>
      </c>
      <c r="FT108" s="156">
        <v>0.0</v>
      </c>
      <c r="FU108" s="156">
        <v>0.0</v>
      </c>
      <c r="FV108" s="156">
        <v>0.0</v>
      </c>
      <c r="FW108" s="157"/>
      <c r="FX108" s="157"/>
      <c r="FY108" s="157"/>
      <c r="FZ108" s="157"/>
      <c r="GA108" s="157"/>
      <c r="GB108" s="157"/>
      <c r="GC108" s="157"/>
      <c r="GD108" s="157"/>
      <c r="GE108" s="157"/>
      <c r="GF108" s="157"/>
      <c r="GG108" s="157"/>
      <c r="GH108" s="157"/>
      <c r="GI108" s="157"/>
      <c r="GJ108" s="157"/>
      <c r="GK108" s="157"/>
      <c r="GL108" s="157"/>
      <c r="GM108" s="157"/>
      <c r="GN108" s="157"/>
      <c r="GO108" s="157"/>
      <c r="GP108" s="158"/>
      <c r="GQ108" s="157"/>
      <c r="GR108" s="157"/>
      <c r="GS108" s="157"/>
      <c r="GT108" s="157"/>
      <c r="GU108" s="157"/>
      <c r="GV108" s="157"/>
      <c r="GW108" s="157"/>
      <c r="GX108" s="157"/>
      <c r="GY108" s="157"/>
      <c r="GZ108" s="157"/>
      <c r="HA108" s="157"/>
      <c r="HB108" s="155">
        <v>0.0</v>
      </c>
      <c r="HC108" s="155">
        <v>0.0</v>
      </c>
      <c r="HD108" s="155">
        <v>0.0</v>
      </c>
      <c r="HE108" s="155">
        <v>0.0</v>
      </c>
      <c r="HF108" s="155">
        <v>0.0</v>
      </c>
      <c r="HG108" s="155">
        <v>0.0</v>
      </c>
      <c r="IL108" s="159">
        <v>0.0</v>
      </c>
      <c r="IM108" s="156">
        <v>0.0</v>
      </c>
      <c r="IN108" s="156">
        <v>0.0</v>
      </c>
      <c r="IO108" s="156">
        <v>0.0</v>
      </c>
      <c r="IP108" s="156">
        <v>0.0</v>
      </c>
      <c r="IQ108" s="160">
        <v>0.0</v>
      </c>
      <c r="JH108" s="25"/>
      <c r="JW108" s="159">
        <v>0.0</v>
      </c>
      <c r="JX108" s="156">
        <v>0.0</v>
      </c>
      <c r="JY108" s="156">
        <v>0.0</v>
      </c>
      <c r="JZ108" s="156">
        <v>0.0</v>
      </c>
      <c r="KA108" s="156">
        <v>0.0</v>
      </c>
      <c r="KB108" s="160">
        <v>0.0</v>
      </c>
      <c r="LH108" s="159">
        <f t="shared" si="10"/>
        <v>0</v>
      </c>
      <c r="LI108" s="156">
        <f t="shared" si="11"/>
        <v>0</v>
      </c>
      <c r="LJ108" s="156">
        <f t="shared" si="12"/>
        <v>0</v>
      </c>
      <c r="LK108" s="156">
        <f t="shared" si="13"/>
        <v>0</v>
      </c>
      <c r="LL108" s="156">
        <f t="shared" si="14"/>
        <v>0</v>
      </c>
      <c r="LM108" s="160">
        <f t="shared" si="15"/>
        <v>0</v>
      </c>
      <c r="QX108" s="107">
        <v>45828.0</v>
      </c>
    </row>
    <row r="109">
      <c r="A109" s="12"/>
      <c r="B109" s="12"/>
      <c r="C109" s="12"/>
      <c r="D109" s="12"/>
      <c r="E109" s="12"/>
      <c r="F109" s="12"/>
      <c r="G109" s="12"/>
      <c r="H109" s="12"/>
      <c r="I109" s="143">
        <f t="shared" si="5"/>
        <v>-30</v>
      </c>
      <c r="J109" s="144">
        <v>45838.0</v>
      </c>
      <c r="K109" s="173" t="s">
        <v>61</v>
      </c>
      <c r="L109" s="144">
        <v>45940.0</v>
      </c>
      <c r="M109" s="147" t="s">
        <v>1661</v>
      </c>
      <c r="N109" s="148">
        <v>246.0</v>
      </c>
      <c r="O109" s="148">
        <v>30.0</v>
      </c>
      <c r="P109" s="26"/>
      <c r="Q109" s="26"/>
      <c r="R109" s="26"/>
      <c r="S109" s="26"/>
      <c r="T109" s="26"/>
      <c r="U109" s="147" t="s">
        <v>1663</v>
      </c>
      <c r="V109" s="197"/>
      <c r="W109" s="198" t="s">
        <v>1664</v>
      </c>
      <c r="X109" s="181">
        <v>30.0</v>
      </c>
      <c r="Y109" s="166">
        <f t="shared" si="6"/>
        <v>30</v>
      </c>
      <c r="Z109" s="26">
        <f t="shared" si="7"/>
        <v>0</v>
      </c>
      <c r="AA109" s="26">
        <f t="shared" si="8"/>
        <v>0</v>
      </c>
      <c r="AB109" s="26">
        <f t="shared" si="9"/>
        <v>0</v>
      </c>
      <c r="AC109" s="155">
        <v>0.0</v>
      </c>
      <c r="AD109" s="155">
        <v>0.0</v>
      </c>
      <c r="AE109" s="155">
        <v>0.0</v>
      </c>
      <c r="AF109" s="155">
        <v>0.0</v>
      </c>
      <c r="AG109" s="155">
        <v>0.0</v>
      </c>
      <c r="AH109" s="155">
        <v>0.0</v>
      </c>
      <c r="BN109" s="155">
        <v>0.0</v>
      </c>
      <c r="BO109" s="155">
        <v>0.0</v>
      </c>
      <c r="BP109" s="155">
        <v>0.0</v>
      </c>
      <c r="BQ109" s="155">
        <v>0.0</v>
      </c>
      <c r="BR109" s="155">
        <v>0.0</v>
      </c>
      <c r="BS109" s="155">
        <v>0.0</v>
      </c>
      <c r="CV109" s="156">
        <v>0.0</v>
      </c>
      <c r="CW109" s="156">
        <v>0.0</v>
      </c>
      <c r="CX109" s="156">
        <v>0.0</v>
      </c>
      <c r="CY109" s="156">
        <v>0.0</v>
      </c>
      <c r="CZ109" s="156">
        <v>0.0</v>
      </c>
      <c r="DA109" s="156">
        <v>0.0</v>
      </c>
      <c r="EG109" s="156">
        <v>0.0</v>
      </c>
      <c r="EH109" s="156">
        <v>0.0</v>
      </c>
      <c r="EI109" s="156">
        <v>0.0</v>
      </c>
      <c r="EJ109" s="156">
        <v>0.0</v>
      </c>
      <c r="EK109" s="156">
        <v>0.0</v>
      </c>
      <c r="EL109" s="156">
        <v>0.0</v>
      </c>
      <c r="FQ109" s="156">
        <v>0.0</v>
      </c>
      <c r="FR109" s="156">
        <v>0.0</v>
      </c>
      <c r="FS109" s="156">
        <v>0.0</v>
      </c>
      <c r="FT109" s="156">
        <v>0.0</v>
      </c>
      <c r="FU109" s="156">
        <v>0.0</v>
      </c>
      <c r="FV109" s="156">
        <v>0.0</v>
      </c>
      <c r="FW109" s="157"/>
      <c r="FX109" s="157"/>
      <c r="FY109" s="157"/>
      <c r="FZ109" s="157"/>
      <c r="GA109" s="157"/>
      <c r="GB109" s="157"/>
      <c r="GC109" s="157"/>
      <c r="GD109" s="157"/>
      <c r="GE109" s="157"/>
      <c r="GF109" s="157"/>
      <c r="GG109" s="157"/>
      <c r="GH109" s="157"/>
      <c r="GI109" s="157"/>
      <c r="GJ109" s="157"/>
      <c r="GK109" s="157"/>
      <c r="GL109" s="157"/>
      <c r="GM109" s="157"/>
      <c r="GN109" s="157"/>
      <c r="GO109" s="157"/>
      <c r="GP109" s="158"/>
      <c r="GQ109" s="157"/>
      <c r="GR109" s="157"/>
      <c r="GS109" s="157"/>
      <c r="GT109" s="157"/>
      <c r="GU109" s="157"/>
      <c r="GV109" s="157"/>
      <c r="GW109" s="157"/>
      <c r="GX109" s="157"/>
      <c r="GY109" s="157"/>
      <c r="GZ109" s="157"/>
      <c r="HA109" s="157"/>
      <c r="HB109" s="155">
        <v>0.0</v>
      </c>
      <c r="HC109" s="155">
        <v>0.0</v>
      </c>
      <c r="HD109" s="155">
        <v>0.0</v>
      </c>
      <c r="HE109" s="155">
        <v>0.0</v>
      </c>
      <c r="HF109" s="155">
        <v>0.0</v>
      </c>
      <c r="HG109" s="155">
        <v>0.0</v>
      </c>
      <c r="IL109" s="159">
        <v>0.0</v>
      </c>
      <c r="IM109" s="156">
        <v>0.0</v>
      </c>
      <c r="IN109" s="156">
        <v>0.0</v>
      </c>
      <c r="IO109" s="156">
        <v>0.0</v>
      </c>
      <c r="IP109" s="156">
        <v>0.0</v>
      </c>
      <c r="IQ109" s="160">
        <v>0.0</v>
      </c>
      <c r="JH109" s="25"/>
      <c r="JW109" s="159">
        <v>0.0</v>
      </c>
      <c r="JX109" s="156">
        <v>0.0</v>
      </c>
      <c r="JY109" s="156">
        <v>0.0</v>
      </c>
      <c r="JZ109" s="156">
        <v>0.0</v>
      </c>
      <c r="KA109" s="156">
        <v>0.0</v>
      </c>
      <c r="KB109" s="160">
        <v>0.0</v>
      </c>
      <c r="LH109" s="159">
        <f t="shared" si="10"/>
        <v>0</v>
      </c>
      <c r="LI109" s="156">
        <f t="shared" si="11"/>
        <v>0</v>
      </c>
      <c r="LJ109" s="156">
        <f t="shared" si="12"/>
        <v>0</v>
      </c>
      <c r="LK109" s="156">
        <f t="shared" si="13"/>
        <v>0</v>
      </c>
      <c r="LL109" s="156">
        <f t="shared" si="14"/>
        <v>0</v>
      </c>
      <c r="LM109" s="160">
        <f t="shared" si="15"/>
        <v>0</v>
      </c>
      <c r="QX109" s="107">
        <v>45829.0</v>
      </c>
    </row>
    <row r="110">
      <c r="A110" s="12"/>
      <c r="B110" s="12"/>
      <c r="C110" s="12"/>
      <c r="D110" s="12"/>
      <c r="E110" s="12"/>
      <c r="F110" s="12"/>
      <c r="G110" s="12"/>
      <c r="H110" s="12"/>
      <c r="I110" s="143">
        <f t="shared" si="5"/>
        <v>-30</v>
      </c>
      <c r="J110" s="144">
        <v>45831.0</v>
      </c>
      <c r="K110" s="173" t="s">
        <v>61</v>
      </c>
      <c r="L110" s="144">
        <v>45945.0</v>
      </c>
      <c r="M110" s="147" t="s">
        <v>1670</v>
      </c>
      <c r="N110" s="148">
        <v>246.0</v>
      </c>
      <c r="O110" s="148">
        <v>30.0</v>
      </c>
      <c r="P110" s="26"/>
      <c r="Q110" s="26"/>
      <c r="R110" s="26"/>
      <c r="S110" s="26"/>
      <c r="T110" s="26"/>
      <c r="U110" s="147" t="s">
        <v>1671</v>
      </c>
      <c r="V110" s="197"/>
      <c r="W110" s="198" t="s">
        <v>1672</v>
      </c>
      <c r="X110" s="181">
        <v>30.0</v>
      </c>
      <c r="Y110" s="166">
        <f t="shared" si="6"/>
        <v>30</v>
      </c>
      <c r="Z110" s="26">
        <f t="shared" si="7"/>
        <v>0</v>
      </c>
      <c r="AA110" s="26">
        <f t="shared" si="8"/>
        <v>0</v>
      </c>
      <c r="AB110" s="26">
        <f t="shared" si="9"/>
        <v>0</v>
      </c>
      <c r="AC110" s="155">
        <v>0.0</v>
      </c>
      <c r="AD110" s="155">
        <v>0.0</v>
      </c>
      <c r="AE110" s="155">
        <v>0.0</v>
      </c>
      <c r="AF110" s="155">
        <v>0.0</v>
      </c>
      <c r="AG110" s="155">
        <v>0.0</v>
      </c>
      <c r="AH110" s="155">
        <v>0.0</v>
      </c>
      <c r="BN110" s="155">
        <v>0.0</v>
      </c>
      <c r="BO110" s="155">
        <v>0.0</v>
      </c>
      <c r="BP110" s="155">
        <v>0.0</v>
      </c>
      <c r="BQ110" s="155">
        <v>0.0</v>
      </c>
      <c r="BR110" s="155">
        <v>0.0</v>
      </c>
      <c r="BS110" s="155">
        <v>0.0</v>
      </c>
      <c r="CV110" s="156">
        <v>0.0</v>
      </c>
      <c r="CW110" s="156">
        <v>0.0</v>
      </c>
      <c r="CX110" s="156">
        <v>0.0</v>
      </c>
      <c r="CY110" s="156">
        <v>0.0</v>
      </c>
      <c r="CZ110" s="156">
        <v>0.0</v>
      </c>
      <c r="DA110" s="156">
        <v>0.0</v>
      </c>
      <c r="EG110" s="156">
        <v>0.0</v>
      </c>
      <c r="EH110" s="156">
        <v>0.0</v>
      </c>
      <c r="EI110" s="156">
        <v>0.0</v>
      </c>
      <c r="EJ110" s="156">
        <v>0.0</v>
      </c>
      <c r="EK110" s="156">
        <v>0.0</v>
      </c>
      <c r="EL110" s="156">
        <v>0.0</v>
      </c>
      <c r="FQ110" s="156">
        <v>0.0</v>
      </c>
      <c r="FR110" s="156">
        <v>0.0</v>
      </c>
      <c r="FS110" s="156">
        <v>0.0</v>
      </c>
      <c r="FT110" s="156">
        <v>0.0</v>
      </c>
      <c r="FU110" s="156">
        <v>0.0</v>
      </c>
      <c r="FV110" s="156">
        <v>0.0</v>
      </c>
      <c r="FW110" s="157"/>
      <c r="FX110" s="157"/>
      <c r="FY110" s="157"/>
      <c r="FZ110" s="157"/>
      <c r="GA110" s="157"/>
      <c r="GB110" s="157"/>
      <c r="GC110" s="157"/>
      <c r="GD110" s="157"/>
      <c r="GE110" s="157"/>
      <c r="GF110" s="157"/>
      <c r="GG110" s="157"/>
      <c r="GH110" s="157"/>
      <c r="GI110" s="157"/>
      <c r="GJ110" s="157"/>
      <c r="GK110" s="157"/>
      <c r="GL110" s="157"/>
      <c r="GM110" s="157"/>
      <c r="GN110" s="157"/>
      <c r="GO110" s="157"/>
      <c r="GP110" s="158"/>
      <c r="GQ110" s="157"/>
      <c r="GR110" s="157"/>
      <c r="GS110" s="157"/>
      <c r="GT110" s="157"/>
      <c r="GU110" s="157"/>
      <c r="GV110" s="157"/>
      <c r="GW110" s="157"/>
      <c r="GX110" s="157"/>
      <c r="GY110" s="157"/>
      <c r="GZ110" s="157"/>
      <c r="HA110" s="157"/>
      <c r="HB110" s="155">
        <v>0.0</v>
      </c>
      <c r="HC110" s="155">
        <v>0.0</v>
      </c>
      <c r="HD110" s="155">
        <v>0.0</v>
      </c>
      <c r="HE110" s="155">
        <v>0.0</v>
      </c>
      <c r="HF110" s="155">
        <v>0.0</v>
      </c>
      <c r="HG110" s="155">
        <v>0.0</v>
      </c>
      <c r="IL110" s="159">
        <v>0.0</v>
      </c>
      <c r="IM110" s="156">
        <v>0.0</v>
      </c>
      <c r="IN110" s="156">
        <v>0.0</v>
      </c>
      <c r="IO110" s="156">
        <v>0.0</v>
      </c>
      <c r="IP110" s="156">
        <v>0.0</v>
      </c>
      <c r="IQ110" s="160">
        <v>0.0</v>
      </c>
      <c r="JH110" s="25"/>
      <c r="JW110" s="159">
        <v>0.0</v>
      </c>
      <c r="JX110" s="156">
        <v>0.0</v>
      </c>
      <c r="JY110" s="156">
        <v>0.0</v>
      </c>
      <c r="JZ110" s="156">
        <v>0.0</v>
      </c>
      <c r="KA110" s="156">
        <v>0.0</v>
      </c>
      <c r="KB110" s="160">
        <v>0.0</v>
      </c>
      <c r="LH110" s="159">
        <f t="shared" si="10"/>
        <v>0</v>
      </c>
      <c r="LI110" s="156">
        <f t="shared" si="11"/>
        <v>0</v>
      </c>
      <c r="LJ110" s="156">
        <f t="shared" si="12"/>
        <v>0</v>
      </c>
      <c r="LK110" s="156">
        <f t="shared" si="13"/>
        <v>0</v>
      </c>
      <c r="LL110" s="156">
        <f t="shared" si="14"/>
        <v>0</v>
      </c>
      <c r="LM110" s="160">
        <f t="shared" si="15"/>
        <v>0</v>
      </c>
      <c r="QX110" s="107">
        <v>45829.0</v>
      </c>
    </row>
    <row r="111">
      <c r="A111" s="12"/>
      <c r="B111" s="12"/>
      <c r="C111" s="12"/>
      <c r="D111" s="12"/>
      <c r="E111" s="12"/>
      <c r="F111" s="12"/>
      <c r="G111" s="12"/>
      <c r="H111" s="12"/>
      <c r="I111" s="143">
        <f t="shared" si="5"/>
        <v>-15</v>
      </c>
      <c r="J111" s="144">
        <v>45837.0</v>
      </c>
      <c r="K111" s="49" t="s">
        <v>61</v>
      </c>
      <c r="L111" s="144">
        <v>45897.0</v>
      </c>
      <c r="M111" s="147" t="s">
        <v>348</v>
      </c>
      <c r="N111" s="148">
        <v>246.0</v>
      </c>
      <c r="O111" s="148">
        <v>30.0</v>
      </c>
      <c r="P111" s="26"/>
      <c r="Q111" s="26"/>
      <c r="R111" s="26"/>
      <c r="S111" s="26"/>
      <c r="T111" s="26"/>
      <c r="U111" s="147" t="s">
        <v>1199</v>
      </c>
      <c r="V111" s="149" t="s">
        <v>1503</v>
      </c>
      <c r="W111" s="147" t="s">
        <v>1684</v>
      </c>
      <c r="X111" s="181">
        <v>15.0</v>
      </c>
      <c r="Y111" s="166">
        <f t="shared" si="6"/>
        <v>15</v>
      </c>
      <c r="Z111" s="26">
        <f t="shared" si="7"/>
        <v>0</v>
      </c>
      <c r="AA111" s="26">
        <f t="shared" si="8"/>
        <v>0</v>
      </c>
      <c r="AB111" s="26">
        <f t="shared" si="9"/>
        <v>0</v>
      </c>
      <c r="AC111" s="155">
        <v>0.0</v>
      </c>
      <c r="AD111" s="155">
        <v>0.0</v>
      </c>
      <c r="AE111" s="155">
        <v>0.0</v>
      </c>
      <c r="AF111" s="155">
        <v>0.0</v>
      </c>
      <c r="AG111" s="155">
        <v>0.0</v>
      </c>
      <c r="AH111" s="155">
        <v>0.0</v>
      </c>
      <c r="BN111" s="155">
        <v>0.0</v>
      </c>
      <c r="BO111" s="155">
        <v>0.0</v>
      </c>
      <c r="BP111" s="155">
        <v>0.0</v>
      </c>
      <c r="BQ111" s="155">
        <v>0.0</v>
      </c>
      <c r="BR111" s="155">
        <v>0.0</v>
      </c>
      <c r="BS111" s="155">
        <v>0.0</v>
      </c>
      <c r="CV111" s="156">
        <v>0.0</v>
      </c>
      <c r="CW111" s="156">
        <v>0.0</v>
      </c>
      <c r="CX111" s="156">
        <v>0.0</v>
      </c>
      <c r="CY111" s="156">
        <v>0.0</v>
      </c>
      <c r="CZ111" s="156">
        <v>0.0</v>
      </c>
      <c r="DA111" s="156">
        <v>0.0</v>
      </c>
      <c r="EG111" s="156">
        <v>0.0</v>
      </c>
      <c r="EH111" s="156">
        <v>0.0</v>
      </c>
      <c r="EI111" s="156">
        <v>0.0</v>
      </c>
      <c r="EJ111" s="156">
        <v>0.0</v>
      </c>
      <c r="EK111" s="156">
        <v>0.0</v>
      </c>
      <c r="EL111" s="156">
        <v>0.0</v>
      </c>
      <c r="FQ111" s="156">
        <v>0.0</v>
      </c>
      <c r="FR111" s="156">
        <v>0.0</v>
      </c>
      <c r="FS111" s="156">
        <v>0.0</v>
      </c>
      <c r="FT111" s="156">
        <v>0.0</v>
      </c>
      <c r="FU111" s="156">
        <v>0.0</v>
      </c>
      <c r="FV111" s="156">
        <v>0.0</v>
      </c>
      <c r="FW111" s="157"/>
      <c r="FX111" s="157"/>
      <c r="FY111" s="157"/>
      <c r="FZ111" s="157"/>
      <c r="GA111" s="157"/>
      <c r="GB111" s="157"/>
      <c r="GC111" s="157"/>
      <c r="GD111" s="157"/>
      <c r="GE111" s="157"/>
      <c r="GF111" s="157"/>
      <c r="GG111" s="157"/>
      <c r="GH111" s="157"/>
      <c r="GI111" s="157"/>
      <c r="GJ111" s="157"/>
      <c r="GK111" s="157"/>
      <c r="GL111" s="157"/>
      <c r="GM111" s="157"/>
      <c r="GN111" s="157"/>
      <c r="GO111" s="157"/>
      <c r="GP111" s="158"/>
      <c r="GQ111" s="157"/>
      <c r="GR111" s="157"/>
      <c r="GS111" s="157"/>
      <c r="GT111" s="157"/>
      <c r="GU111" s="157"/>
      <c r="GV111" s="157"/>
      <c r="GW111" s="157"/>
      <c r="GX111" s="157"/>
      <c r="GY111" s="157"/>
      <c r="GZ111" s="157"/>
      <c r="HA111" s="157"/>
      <c r="HB111" s="155">
        <v>0.0</v>
      </c>
      <c r="HC111" s="155">
        <v>0.0</v>
      </c>
      <c r="HD111" s="155">
        <v>0.0</v>
      </c>
      <c r="HE111" s="155">
        <v>0.0</v>
      </c>
      <c r="HF111" s="155">
        <v>0.0</v>
      </c>
      <c r="HG111" s="155">
        <v>0.0</v>
      </c>
      <c r="IL111" s="159">
        <v>0.0</v>
      </c>
      <c r="IM111" s="156">
        <v>0.0</v>
      </c>
      <c r="IN111" s="156">
        <v>0.0</v>
      </c>
      <c r="IO111" s="156">
        <v>0.0</v>
      </c>
      <c r="IP111" s="156">
        <v>0.0</v>
      </c>
      <c r="IQ111" s="160">
        <v>0.0</v>
      </c>
      <c r="JH111" s="25"/>
      <c r="JW111" s="159">
        <v>0.0</v>
      </c>
      <c r="JX111" s="156">
        <v>0.0</v>
      </c>
      <c r="JY111" s="156">
        <v>0.0</v>
      </c>
      <c r="JZ111" s="156">
        <v>0.0</v>
      </c>
      <c r="KA111" s="156">
        <v>0.0</v>
      </c>
      <c r="KB111" s="160">
        <v>0.0</v>
      </c>
      <c r="LH111" s="159">
        <f t="shared" si="10"/>
        <v>0</v>
      </c>
      <c r="LI111" s="156">
        <f t="shared" si="11"/>
        <v>0</v>
      </c>
      <c r="LJ111" s="156">
        <f t="shared" si="12"/>
        <v>0</v>
      </c>
      <c r="LK111" s="156">
        <f t="shared" si="13"/>
        <v>0</v>
      </c>
      <c r="LL111" s="156">
        <f t="shared" si="14"/>
        <v>0</v>
      </c>
      <c r="LM111" s="160">
        <f t="shared" si="15"/>
        <v>0</v>
      </c>
      <c r="QX111" s="107">
        <v>45829.0</v>
      </c>
    </row>
    <row r="112">
      <c r="A112" s="12"/>
      <c r="B112" s="12"/>
      <c r="C112" s="12"/>
      <c r="D112" s="12"/>
      <c r="E112" s="12"/>
      <c r="F112" s="12"/>
      <c r="G112" s="12"/>
      <c r="H112" s="12"/>
      <c r="I112" s="219">
        <f t="shared" si="5"/>
        <v>-30</v>
      </c>
      <c r="J112" s="144">
        <v>45832.0</v>
      </c>
      <c r="K112" s="173" t="s">
        <v>61</v>
      </c>
      <c r="L112" s="144">
        <v>45962.0</v>
      </c>
      <c r="M112" s="147" t="s">
        <v>1693</v>
      </c>
      <c r="N112" s="148">
        <v>357.0</v>
      </c>
      <c r="O112" s="148">
        <v>30.0</v>
      </c>
      <c r="P112" s="26"/>
      <c r="Q112" s="26"/>
      <c r="R112" s="26"/>
      <c r="S112" s="26"/>
      <c r="T112" s="26"/>
      <c r="U112" s="147" t="s">
        <v>1131</v>
      </c>
      <c r="V112" s="149" t="s">
        <v>1296</v>
      </c>
      <c r="W112" s="198" t="s">
        <v>1694</v>
      </c>
      <c r="X112" s="181">
        <v>30.0</v>
      </c>
      <c r="Y112" s="166">
        <f t="shared" si="6"/>
        <v>30</v>
      </c>
      <c r="Z112" s="26">
        <f t="shared" si="7"/>
        <v>0</v>
      </c>
      <c r="AA112" s="26">
        <f t="shared" si="8"/>
        <v>0</v>
      </c>
      <c r="AB112" s="26">
        <f t="shared" si="9"/>
        <v>0</v>
      </c>
      <c r="AC112" s="155">
        <v>0.0</v>
      </c>
      <c r="AD112" s="155">
        <v>0.0</v>
      </c>
      <c r="AE112" s="155">
        <v>0.0</v>
      </c>
      <c r="AF112" s="155">
        <v>0.0</v>
      </c>
      <c r="AG112" s="155">
        <v>0.0</v>
      </c>
      <c r="AH112" s="155">
        <v>0.0</v>
      </c>
      <c r="BN112" s="155">
        <v>0.0</v>
      </c>
      <c r="BO112" s="155">
        <v>0.0</v>
      </c>
      <c r="BP112" s="155">
        <v>0.0</v>
      </c>
      <c r="BQ112" s="155">
        <v>0.0</v>
      </c>
      <c r="BR112" s="155">
        <v>0.0</v>
      </c>
      <c r="BS112" s="155">
        <v>0.0</v>
      </c>
      <c r="CV112" s="156">
        <v>0.0</v>
      </c>
      <c r="CW112" s="156">
        <v>0.0</v>
      </c>
      <c r="CX112" s="156">
        <v>0.0</v>
      </c>
      <c r="CY112" s="156">
        <v>0.0</v>
      </c>
      <c r="CZ112" s="156">
        <v>0.0</v>
      </c>
      <c r="DA112" s="156">
        <v>0.0</v>
      </c>
      <c r="EG112" s="156">
        <v>0.0</v>
      </c>
      <c r="EH112" s="156">
        <v>0.0</v>
      </c>
      <c r="EI112" s="156">
        <v>0.0</v>
      </c>
      <c r="EJ112" s="156">
        <v>0.0</v>
      </c>
      <c r="EK112" s="156">
        <v>0.0</v>
      </c>
      <c r="EL112" s="156">
        <v>0.0</v>
      </c>
      <c r="FQ112" s="156">
        <v>0.0</v>
      </c>
      <c r="FR112" s="156">
        <v>0.0</v>
      </c>
      <c r="FS112" s="156">
        <v>0.0</v>
      </c>
      <c r="FT112" s="156">
        <v>0.0</v>
      </c>
      <c r="FU112" s="156">
        <v>0.0</v>
      </c>
      <c r="FV112" s="156">
        <v>0.0</v>
      </c>
      <c r="FW112" s="157"/>
      <c r="FX112" s="157"/>
      <c r="FY112" s="157"/>
      <c r="FZ112" s="157"/>
      <c r="GA112" s="157"/>
      <c r="GB112" s="157"/>
      <c r="GC112" s="157"/>
      <c r="GD112" s="157"/>
      <c r="GE112" s="157"/>
      <c r="GF112" s="157"/>
      <c r="GG112" s="157"/>
      <c r="GH112" s="157"/>
      <c r="GI112" s="157"/>
      <c r="GJ112" s="157"/>
      <c r="GK112" s="157"/>
      <c r="GL112" s="157"/>
      <c r="GM112" s="157"/>
      <c r="GN112" s="157"/>
      <c r="GO112" s="157"/>
      <c r="GP112" s="158"/>
      <c r="GQ112" s="157"/>
      <c r="GR112" s="157"/>
      <c r="GS112" s="157"/>
      <c r="GT112" s="157"/>
      <c r="GU112" s="157"/>
      <c r="GV112" s="157"/>
      <c r="GW112" s="157"/>
      <c r="GX112" s="157"/>
      <c r="GY112" s="157"/>
      <c r="GZ112" s="157"/>
      <c r="HA112" s="157"/>
      <c r="HB112" s="155">
        <v>0.0</v>
      </c>
      <c r="HC112" s="155">
        <v>0.0</v>
      </c>
      <c r="HD112" s="155">
        <v>0.0</v>
      </c>
      <c r="HE112" s="155">
        <v>0.0</v>
      </c>
      <c r="HF112" s="155">
        <v>0.0</v>
      </c>
      <c r="HG112" s="155">
        <v>0.0</v>
      </c>
      <c r="IL112" s="159">
        <v>0.0</v>
      </c>
      <c r="IM112" s="156">
        <v>0.0</v>
      </c>
      <c r="IN112" s="156">
        <v>0.0</v>
      </c>
      <c r="IO112" s="156">
        <v>0.0</v>
      </c>
      <c r="IP112" s="156">
        <v>0.0</v>
      </c>
      <c r="IQ112" s="160">
        <v>0.0</v>
      </c>
      <c r="JH112" s="25"/>
      <c r="JW112" s="159">
        <v>0.0</v>
      </c>
      <c r="JX112" s="156">
        <v>0.0</v>
      </c>
      <c r="JY112" s="156">
        <v>0.0</v>
      </c>
      <c r="JZ112" s="156">
        <v>0.0</v>
      </c>
      <c r="KA112" s="156">
        <v>0.0</v>
      </c>
      <c r="KB112" s="160">
        <v>0.0</v>
      </c>
      <c r="LH112" s="159">
        <f t="shared" si="10"/>
        <v>0</v>
      </c>
      <c r="LI112" s="156">
        <f t="shared" si="11"/>
        <v>0</v>
      </c>
      <c r="LJ112" s="156">
        <f t="shared" si="12"/>
        <v>0</v>
      </c>
      <c r="LK112" s="156">
        <f t="shared" si="13"/>
        <v>0</v>
      </c>
      <c r="LL112" s="156">
        <f t="shared" si="14"/>
        <v>0</v>
      </c>
      <c r="LM112" s="160">
        <f t="shared" si="15"/>
        <v>0</v>
      </c>
      <c r="QX112" s="107">
        <v>45829.0</v>
      </c>
    </row>
    <row r="113">
      <c r="A113" s="12"/>
      <c r="B113" s="12"/>
      <c r="C113" s="12"/>
      <c r="D113" s="12"/>
      <c r="E113" s="12"/>
      <c r="F113" s="12"/>
      <c r="G113" s="12"/>
      <c r="H113" s="12"/>
      <c r="I113" s="143">
        <f t="shared" si="5"/>
        <v>-29</v>
      </c>
      <c r="J113" s="144">
        <v>45827.0</v>
      </c>
      <c r="K113" s="171" t="s">
        <v>61</v>
      </c>
      <c r="L113" s="179">
        <v>46039.0</v>
      </c>
      <c r="M113" s="147" t="s">
        <v>1703</v>
      </c>
      <c r="N113" s="148">
        <v>2456.0</v>
      </c>
      <c r="O113" s="148">
        <v>60.0</v>
      </c>
      <c r="P113" s="26"/>
      <c r="Q113" s="26"/>
      <c r="R113" s="26"/>
      <c r="S113" s="26"/>
      <c r="T113" s="26"/>
      <c r="U113" s="147" t="s">
        <v>1704</v>
      </c>
      <c r="V113" s="149" t="s">
        <v>1705</v>
      </c>
      <c r="W113" s="198" t="s">
        <v>1706</v>
      </c>
      <c r="X113" s="181">
        <v>27.0</v>
      </c>
      <c r="Y113" s="166">
        <f t="shared" si="6"/>
        <v>29</v>
      </c>
      <c r="Z113" s="26">
        <f t="shared" si="7"/>
        <v>0</v>
      </c>
      <c r="AA113" s="26">
        <f t="shared" si="8"/>
        <v>2</v>
      </c>
      <c r="AB113" s="26">
        <f t="shared" si="9"/>
        <v>0</v>
      </c>
      <c r="AC113" s="155">
        <v>2.0</v>
      </c>
      <c r="AD113" s="155">
        <v>0.0</v>
      </c>
      <c r="AE113" s="155">
        <v>0.0</v>
      </c>
      <c r="AF113" s="155">
        <v>2.0</v>
      </c>
      <c r="AG113" s="155">
        <v>0.0</v>
      </c>
      <c r="AH113" s="155">
        <v>0.0</v>
      </c>
      <c r="AO113" s="86" t="s">
        <v>947</v>
      </c>
      <c r="AV113" s="86" t="s">
        <v>947</v>
      </c>
      <c r="BN113" s="155">
        <v>0.0</v>
      </c>
      <c r="BO113" s="155">
        <v>0.0</v>
      </c>
      <c r="BP113" s="155">
        <v>0.0</v>
      </c>
      <c r="BQ113" s="155">
        <v>0.0</v>
      </c>
      <c r="BR113" s="155">
        <v>0.0</v>
      </c>
      <c r="BS113" s="155">
        <v>0.0</v>
      </c>
      <c r="CV113" s="156">
        <v>0.0</v>
      </c>
      <c r="CW113" s="156">
        <v>0.0</v>
      </c>
      <c r="CX113" s="156">
        <v>0.0</v>
      </c>
      <c r="CY113" s="156">
        <v>0.0</v>
      </c>
      <c r="CZ113" s="156">
        <v>0.0</v>
      </c>
      <c r="DA113" s="156">
        <v>0.0</v>
      </c>
      <c r="EG113" s="156">
        <v>0.0</v>
      </c>
      <c r="EH113" s="156">
        <v>0.0</v>
      </c>
      <c r="EI113" s="156">
        <v>0.0</v>
      </c>
      <c r="EJ113" s="156">
        <v>0.0</v>
      </c>
      <c r="EK113" s="156">
        <v>0.0</v>
      </c>
      <c r="EL113" s="156">
        <v>0.0</v>
      </c>
      <c r="FQ113" s="156">
        <v>0.0</v>
      </c>
      <c r="FR113" s="156">
        <v>0.0</v>
      </c>
      <c r="FS113" s="156">
        <v>0.0</v>
      </c>
      <c r="FT113" s="156">
        <v>0.0</v>
      </c>
      <c r="FU113" s="156">
        <v>0.0</v>
      </c>
      <c r="FV113" s="156">
        <v>0.0</v>
      </c>
      <c r="FW113" s="157"/>
      <c r="FX113" s="157"/>
      <c r="FY113" s="157"/>
      <c r="FZ113" s="157"/>
      <c r="GA113" s="157"/>
      <c r="GB113" s="157"/>
      <c r="GC113" s="157"/>
      <c r="GD113" s="157"/>
      <c r="GE113" s="157"/>
      <c r="GF113" s="157"/>
      <c r="GG113" s="157"/>
      <c r="GH113" s="157"/>
      <c r="GI113" s="157"/>
      <c r="GJ113" s="157"/>
      <c r="GK113" s="157"/>
      <c r="GL113" s="157"/>
      <c r="GM113" s="157"/>
      <c r="GN113" s="157"/>
      <c r="GO113" s="157"/>
      <c r="GP113" s="158"/>
      <c r="GQ113" s="157"/>
      <c r="GR113" s="157"/>
      <c r="GS113" s="157"/>
      <c r="GT113" s="157"/>
      <c r="GU113" s="157"/>
      <c r="GV113" s="157"/>
      <c r="GW113" s="157"/>
      <c r="GX113" s="157"/>
      <c r="GY113" s="157"/>
      <c r="GZ113" s="157"/>
      <c r="HA113" s="157"/>
      <c r="HB113" s="155">
        <v>0.0</v>
      </c>
      <c r="HC113" s="155">
        <v>0.0</v>
      </c>
      <c r="HD113" s="155">
        <v>0.0</v>
      </c>
      <c r="HE113" s="155">
        <v>0.0</v>
      </c>
      <c r="HF113" s="155">
        <v>0.0</v>
      </c>
      <c r="HG113" s="155">
        <v>0.0</v>
      </c>
      <c r="IL113" s="159">
        <v>0.0</v>
      </c>
      <c r="IM113" s="156">
        <v>0.0</v>
      </c>
      <c r="IN113" s="156">
        <v>0.0</v>
      </c>
      <c r="IO113" s="156">
        <v>0.0</v>
      </c>
      <c r="IP113" s="156">
        <v>0.0</v>
      </c>
      <c r="IQ113" s="160">
        <v>0.0</v>
      </c>
      <c r="JH113" s="25"/>
      <c r="JW113" s="159">
        <v>0.0</v>
      </c>
      <c r="JX113" s="156">
        <v>0.0</v>
      </c>
      <c r="JY113" s="156">
        <v>0.0</v>
      </c>
      <c r="JZ113" s="156">
        <v>0.0</v>
      </c>
      <c r="KA113" s="156">
        <v>0.0</v>
      </c>
      <c r="KB113" s="160">
        <v>0.0</v>
      </c>
      <c r="LH113" s="159">
        <f t="shared" si="10"/>
        <v>0</v>
      </c>
      <c r="LI113" s="156">
        <f t="shared" si="11"/>
        <v>0</v>
      </c>
      <c r="LJ113" s="156">
        <f t="shared" si="12"/>
        <v>0</v>
      </c>
      <c r="LK113" s="156">
        <f t="shared" si="13"/>
        <v>0</v>
      </c>
      <c r="LL113" s="156">
        <f t="shared" si="14"/>
        <v>0</v>
      </c>
      <c r="LM113" s="160">
        <f t="shared" si="15"/>
        <v>0</v>
      </c>
      <c r="QX113" s="107">
        <v>45829.0</v>
      </c>
    </row>
    <row r="114">
      <c r="A114" s="12"/>
      <c r="B114" s="12"/>
      <c r="C114" s="12"/>
      <c r="D114" s="12"/>
      <c r="E114" s="12"/>
      <c r="F114" s="12"/>
      <c r="G114" s="12"/>
      <c r="H114" s="12"/>
      <c r="I114" s="143">
        <f t="shared" si="5"/>
        <v>-90</v>
      </c>
      <c r="J114" s="144">
        <v>45831.0</v>
      </c>
      <c r="K114" s="195" t="s">
        <v>61</v>
      </c>
      <c r="L114" s="179">
        <v>46192.0</v>
      </c>
      <c r="M114" s="147" t="s">
        <v>107</v>
      </c>
      <c r="N114" s="148">
        <v>246.0</v>
      </c>
      <c r="O114" s="148">
        <v>30.0</v>
      </c>
      <c r="P114" s="26"/>
      <c r="Q114" s="26"/>
      <c r="R114" s="26"/>
      <c r="S114" s="26"/>
      <c r="T114" s="26"/>
      <c r="U114" s="147" t="s">
        <v>1092</v>
      </c>
      <c r="V114" s="149" t="s">
        <v>1093</v>
      </c>
      <c r="W114" s="248" t="s">
        <v>1716</v>
      </c>
      <c r="X114" s="181">
        <v>60.0</v>
      </c>
      <c r="Y114" s="166">
        <f t="shared" si="6"/>
        <v>90</v>
      </c>
      <c r="Z114" s="26">
        <f t="shared" si="7"/>
        <v>0</v>
      </c>
      <c r="AA114" s="26">
        <f t="shared" si="8"/>
        <v>0</v>
      </c>
      <c r="AB114" s="26">
        <f t="shared" si="9"/>
        <v>0</v>
      </c>
      <c r="AC114" s="155">
        <v>0.0</v>
      </c>
      <c r="AD114" s="155">
        <v>0.0</v>
      </c>
      <c r="AE114" s="155">
        <v>0.0</v>
      </c>
      <c r="AF114" s="155">
        <v>0.0</v>
      </c>
      <c r="AG114" s="155">
        <v>0.0</v>
      </c>
      <c r="AH114" s="155">
        <v>0.0</v>
      </c>
      <c r="BN114" s="155">
        <v>1.0</v>
      </c>
      <c r="BO114" s="155">
        <v>0.0</v>
      </c>
      <c r="BP114" s="155">
        <v>0.0</v>
      </c>
      <c r="BQ114" s="155">
        <v>0.0</v>
      </c>
      <c r="BR114" s="155">
        <v>0.0</v>
      </c>
      <c r="BS114" s="155">
        <v>0.0</v>
      </c>
      <c r="CT114" s="86">
        <v>1.0</v>
      </c>
      <c r="CV114" s="156">
        <v>10.0</v>
      </c>
      <c r="CW114" s="156">
        <v>0.0</v>
      </c>
      <c r="CX114" s="156">
        <v>0.0</v>
      </c>
      <c r="CY114" s="156">
        <v>0.0</v>
      </c>
      <c r="CZ114" s="156">
        <v>0.0</v>
      </c>
      <c r="DA114" s="156">
        <v>0.0</v>
      </c>
      <c r="DC114" s="86">
        <v>1.0</v>
      </c>
      <c r="DE114" s="86">
        <v>1.0</v>
      </c>
      <c r="DJ114" s="86">
        <v>1.0</v>
      </c>
      <c r="DL114" s="86">
        <v>1.0</v>
      </c>
      <c r="DN114" s="86">
        <v>1.0</v>
      </c>
      <c r="DQ114" s="86">
        <v>1.0</v>
      </c>
      <c r="DX114" s="86">
        <v>1.0</v>
      </c>
      <c r="DZ114" s="86">
        <v>1.0</v>
      </c>
      <c r="EB114" s="86">
        <v>1.0</v>
      </c>
      <c r="EE114" s="86">
        <v>1.0</v>
      </c>
      <c r="EG114" s="156">
        <v>8.0</v>
      </c>
      <c r="EH114" s="156">
        <v>0.0</v>
      </c>
      <c r="EI114" s="156">
        <v>0.0</v>
      </c>
      <c r="EJ114" s="156">
        <v>0.0</v>
      </c>
      <c r="EK114" s="156">
        <v>0.0</v>
      </c>
      <c r="EL114" s="156">
        <v>0.0</v>
      </c>
      <c r="EM114" s="174">
        <v>1.0</v>
      </c>
      <c r="EN114" s="174"/>
      <c r="EO114" s="174"/>
      <c r="EP114" s="174"/>
      <c r="EQ114" s="174"/>
      <c r="ER114" s="175">
        <v>1.0</v>
      </c>
      <c r="ES114" s="174"/>
      <c r="ET114" s="174">
        <v>1.0</v>
      </c>
      <c r="EU114" s="174"/>
      <c r="EV114" s="174"/>
      <c r="EW114" s="174"/>
      <c r="EX114" s="174"/>
      <c r="EY114" s="174">
        <v>1.0</v>
      </c>
      <c r="EZ114" s="174">
        <v>0.0</v>
      </c>
      <c r="FA114" s="174"/>
      <c r="FB114" s="174">
        <v>0.0</v>
      </c>
      <c r="FC114" s="174">
        <v>1.0</v>
      </c>
      <c r="FD114" s="174"/>
      <c r="FE114" s="174"/>
      <c r="FF114" s="174"/>
      <c r="FG114" s="175">
        <v>1.0</v>
      </c>
      <c r="FH114" s="174">
        <v>1.0</v>
      </c>
      <c r="FI114" s="174">
        <v>0.0</v>
      </c>
      <c r="FJ114" s="174">
        <v>1.0</v>
      </c>
      <c r="FK114" s="174"/>
      <c r="FL114" s="174"/>
      <c r="FM114" s="174"/>
      <c r="FN114" s="174"/>
      <c r="FO114" s="174"/>
      <c r="FP114" s="174"/>
      <c r="FQ114" s="156">
        <v>9.0</v>
      </c>
      <c r="FR114" s="156">
        <v>0.0</v>
      </c>
      <c r="FS114" s="156">
        <v>0.0</v>
      </c>
      <c r="FT114" s="156">
        <v>0.0</v>
      </c>
      <c r="FU114" s="156">
        <v>0.0</v>
      </c>
      <c r="FV114" s="156">
        <v>0.0</v>
      </c>
      <c r="FW114" s="174"/>
      <c r="FX114" s="174"/>
      <c r="FY114" s="174"/>
      <c r="FZ114" s="174">
        <v>1.0</v>
      </c>
      <c r="GA114" s="174">
        <v>0.0</v>
      </c>
      <c r="GB114" s="174"/>
      <c r="GC114" s="174">
        <v>0.0</v>
      </c>
      <c r="GD114" s="174">
        <v>1.0</v>
      </c>
      <c r="GE114" s="174">
        <v>0.0</v>
      </c>
      <c r="GF114" s="174">
        <v>0.0</v>
      </c>
      <c r="GG114" s="174">
        <v>1.0</v>
      </c>
      <c r="GH114" s="174">
        <v>0.0</v>
      </c>
      <c r="GI114" s="174">
        <v>1.0</v>
      </c>
      <c r="GJ114" s="174"/>
      <c r="GK114" s="174"/>
      <c r="GL114" s="174"/>
      <c r="GM114" s="174"/>
      <c r="GN114" s="174">
        <v>1.0</v>
      </c>
      <c r="GO114" s="174">
        <v>0.0</v>
      </c>
      <c r="GP114" s="176">
        <v>1.0</v>
      </c>
      <c r="GQ114" s="174"/>
      <c r="GR114" s="175">
        <v>1.0</v>
      </c>
      <c r="GS114" s="174"/>
      <c r="GT114" s="174"/>
      <c r="GU114" s="174">
        <v>1.0</v>
      </c>
      <c r="GV114" s="174"/>
      <c r="GW114" s="175">
        <v>1.0</v>
      </c>
      <c r="GX114" s="174"/>
      <c r="GY114" s="174"/>
      <c r="GZ114" s="174"/>
      <c r="HA114" s="174"/>
      <c r="HB114" s="155">
        <v>2.0</v>
      </c>
      <c r="HC114" s="155">
        <v>0.0</v>
      </c>
      <c r="HD114" s="155">
        <v>0.0</v>
      </c>
      <c r="HE114" s="155">
        <v>0.0</v>
      </c>
      <c r="HF114" s="155">
        <v>0.0</v>
      </c>
      <c r="HG114" s="155">
        <v>0.0</v>
      </c>
      <c r="HH114" s="174">
        <v>1.0</v>
      </c>
      <c r="HI114" s="174">
        <v>0.0</v>
      </c>
      <c r="HJ114" s="174">
        <v>1.0</v>
      </c>
      <c r="HK114" s="174"/>
      <c r="HL114" s="174"/>
      <c r="HM114" s="174"/>
      <c r="HN114" s="174"/>
      <c r="HO114" s="174"/>
      <c r="HP114" s="174"/>
      <c r="HQ114" s="174"/>
      <c r="HR114" s="174"/>
      <c r="HS114" s="174"/>
      <c r="HT114" s="174"/>
      <c r="HU114" s="174"/>
      <c r="HV114" s="174"/>
      <c r="HW114" s="174"/>
      <c r="HX114" s="174"/>
      <c r="HY114" s="174"/>
      <c r="HZ114" s="174"/>
      <c r="IA114" s="174"/>
      <c r="IB114" s="174"/>
      <c r="IC114" s="174"/>
      <c r="ID114" s="174"/>
      <c r="IE114" s="174"/>
      <c r="IF114" s="174"/>
      <c r="IG114" s="174"/>
      <c r="IH114" s="174"/>
      <c r="II114" s="174"/>
      <c r="IJ114" s="174"/>
      <c r="IK114" s="174"/>
      <c r="IL114" s="159">
        <v>0.0</v>
      </c>
      <c r="IM114" s="156">
        <v>0.0</v>
      </c>
      <c r="IN114" s="156">
        <v>0.0</v>
      </c>
      <c r="IO114" s="156">
        <v>0.0</v>
      </c>
      <c r="IP114" s="156">
        <v>0.0</v>
      </c>
      <c r="IQ114" s="160">
        <v>0.0</v>
      </c>
      <c r="IR114" s="174"/>
      <c r="IS114" s="174"/>
      <c r="IT114" s="174"/>
      <c r="IU114" s="174"/>
      <c r="IV114" s="174"/>
      <c r="IW114" s="174"/>
      <c r="IX114" s="174"/>
      <c r="IY114" s="174"/>
      <c r="IZ114" s="174"/>
      <c r="JA114" s="174"/>
      <c r="JB114" s="174"/>
      <c r="JC114" s="174"/>
      <c r="JD114" s="174"/>
      <c r="JE114" s="174"/>
      <c r="JF114" s="174"/>
      <c r="JG114" s="174"/>
      <c r="JH114" s="177"/>
      <c r="JI114" s="174"/>
      <c r="JJ114" s="174"/>
      <c r="JK114" s="174"/>
      <c r="JL114" s="174"/>
      <c r="JM114" s="174"/>
      <c r="JN114" s="174"/>
      <c r="JO114" s="174"/>
      <c r="JP114" s="174"/>
      <c r="JQ114" s="174"/>
      <c r="JR114" s="174"/>
      <c r="JS114" s="174"/>
      <c r="JT114" s="174"/>
      <c r="JU114" s="174"/>
      <c r="JV114" s="174"/>
      <c r="JW114" s="159">
        <v>0.0</v>
      </c>
      <c r="JX114" s="156">
        <v>0.0</v>
      </c>
      <c r="JY114" s="156">
        <v>0.0</v>
      </c>
      <c r="JZ114" s="156">
        <v>0.0</v>
      </c>
      <c r="KA114" s="156">
        <v>0.0</v>
      </c>
      <c r="KB114" s="160">
        <v>0.0</v>
      </c>
      <c r="LH114" s="159">
        <f t="shared" si="10"/>
        <v>0</v>
      </c>
      <c r="LI114" s="156">
        <f t="shared" si="11"/>
        <v>0</v>
      </c>
      <c r="LJ114" s="156">
        <f t="shared" si="12"/>
        <v>0</v>
      </c>
      <c r="LK114" s="156">
        <f t="shared" si="13"/>
        <v>0</v>
      </c>
      <c r="LL114" s="156">
        <f t="shared" si="14"/>
        <v>0</v>
      </c>
      <c r="LM114" s="160">
        <f t="shared" si="15"/>
        <v>0</v>
      </c>
      <c r="QX114" s="107">
        <v>45831.0</v>
      </c>
    </row>
    <row r="115">
      <c r="A115" s="12"/>
      <c r="B115" s="12"/>
      <c r="C115" s="12"/>
      <c r="D115" s="12"/>
      <c r="E115" s="12"/>
      <c r="F115" s="12"/>
      <c r="G115" s="12"/>
      <c r="H115" s="12"/>
      <c r="I115" s="143">
        <f t="shared" si="5"/>
        <v>-30</v>
      </c>
      <c r="J115" s="144">
        <v>45834.0</v>
      </c>
      <c r="K115" s="173" t="s">
        <v>61</v>
      </c>
      <c r="L115" s="144">
        <v>45992.0</v>
      </c>
      <c r="M115" s="147" t="s">
        <v>1733</v>
      </c>
      <c r="N115" s="148">
        <v>46.0</v>
      </c>
      <c r="O115" s="148">
        <v>30.0</v>
      </c>
      <c r="P115" s="26"/>
      <c r="Q115" s="26"/>
      <c r="R115" s="26"/>
      <c r="S115" s="26"/>
      <c r="T115" s="26"/>
      <c r="U115" s="147" t="s">
        <v>1734</v>
      </c>
      <c r="V115" s="149" t="s">
        <v>654</v>
      </c>
      <c r="W115" s="198" t="s">
        <v>1735</v>
      </c>
      <c r="X115" s="181">
        <v>30.0</v>
      </c>
      <c r="Y115" s="166">
        <f t="shared" si="6"/>
        <v>30</v>
      </c>
      <c r="Z115" s="26">
        <f t="shared" si="7"/>
        <v>0</v>
      </c>
      <c r="AA115" s="26">
        <f t="shared" si="8"/>
        <v>0</v>
      </c>
      <c r="AB115" s="26">
        <f t="shared" si="9"/>
        <v>0</v>
      </c>
      <c r="AC115" s="155">
        <v>0.0</v>
      </c>
      <c r="AD115" s="155">
        <v>0.0</v>
      </c>
      <c r="AE115" s="155">
        <v>0.0</v>
      </c>
      <c r="AF115" s="155">
        <v>0.0</v>
      </c>
      <c r="AG115" s="155">
        <v>0.0</v>
      </c>
      <c r="AH115" s="155">
        <v>0.0</v>
      </c>
      <c r="BN115" s="155">
        <v>0.0</v>
      </c>
      <c r="BO115" s="155">
        <v>0.0</v>
      </c>
      <c r="BP115" s="155">
        <v>0.0</v>
      </c>
      <c r="BQ115" s="155">
        <v>0.0</v>
      </c>
      <c r="BR115" s="155">
        <v>0.0</v>
      </c>
      <c r="BS115" s="155">
        <v>0.0</v>
      </c>
      <c r="CV115" s="156">
        <v>0.0</v>
      </c>
      <c r="CW115" s="156">
        <v>0.0</v>
      </c>
      <c r="CX115" s="156">
        <v>0.0</v>
      </c>
      <c r="CY115" s="156">
        <v>0.0</v>
      </c>
      <c r="CZ115" s="156">
        <v>0.0</v>
      </c>
      <c r="DA115" s="156">
        <v>0.0</v>
      </c>
      <c r="EG115" s="156">
        <v>0.0</v>
      </c>
      <c r="EH115" s="156">
        <v>0.0</v>
      </c>
      <c r="EI115" s="156">
        <v>0.0</v>
      </c>
      <c r="EJ115" s="156">
        <v>0.0</v>
      </c>
      <c r="EK115" s="156">
        <v>0.0</v>
      </c>
      <c r="EL115" s="156">
        <v>0.0</v>
      </c>
      <c r="FQ115" s="156">
        <v>0.0</v>
      </c>
      <c r="FR115" s="156">
        <v>0.0</v>
      </c>
      <c r="FS115" s="156">
        <v>0.0</v>
      </c>
      <c r="FT115" s="156">
        <v>0.0</v>
      </c>
      <c r="FU115" s="156">
        <v>0.0</v>
      </c>
      <c r="FV115" s="156">
        <v>0.0</v>
      </c>
      <c r="FW115" s="157"/>
      <c r="FX115" s="157"/>
      <c r="FY115" s="157"/>
      <c r="FZ115" s="157"/>
      <c r="GA115" s="157"/>
      <c r="GB115" s="157"/>
      <c r="GC115" s="157"/>
      <c r="GD115" s="157"/>
      <c r="GE115" s="157"/>
      <c r="GF115" s="157"/>
      <c r="GG115" s="157"/>
      <c r="GH115" s="157"/>
      <c r="GI115" s="157"/>
      <c r="GJ115" s="157"/>
      <c r="GK115" s="157"/>
      <c r="GL115" s="157"/>
      <c r="GM115" s="157"/>
      <c r="GN115" s="157"/>
      <c r="GO115" s="157"/>
      <c r="GP115" s="158"/>
      <c r="GQ115" s="157"/>
      <c r="GR115" s="157"/>
      <c r="GS115" s="157"/>
      <c r="GT115" s="157"/>
      <c r="GU115" s="157"/>
      <c r="GV115" s="157"/>
      <c r="GW115" s="157"/>
      <c r="GX115" s="157"/>
      <c r="GY115" s="157"/>
      <c r="GZ115" s="157"/>
      <c r="HA115" s="157"/>
      <c r="HB115" s="155">
        <v>0.0</v>
      </c>
      <c r="HC115" s="155">
        <v>0.0</v>
      </c>
      <c r="HD115" s="155">
        <v>0.0</v>
      </c>
      <c r="HE115" s="155">
        <v>0.0</v>
      </c>
      <c r="HF115" s="155">
        <v>0.0</v>
      </c>
      <c r="HG115" s="155">
        <v>0.0</v>
      </c>
      <c r="IL115" s="159">
        <v>0.0</v>
      </c>
      <c r="IM115" s="156">
        <v>0.0</v>
      </c>
      <c r="IN115" s="156">
        <v>0.0</v>
      </c>
      <c r="IO115" s="156">
        <v>0.0</v>
      </c>
      <c r="IP115" s="156">
        <v>0.0</v>
      </c>
      <c r="IQ115" s="160">
        <v>0.0</v>
      </c>
      <c r="JH115" s="25"/>
      <c r="JW115" s="159">
        <v>0.0</v>
      </c>
      <c r="JX115" s="156">
        <v>0.0</v>
      </c>
      <c r="JY115" s="156">
        <v>0.0</v>
      </c>
      <c r="JZ115" s="156">
        <v>0.0</v>
      </c>
      <c r="KA115" s="156">
        <v>0.0</v>
      </c>
      <c r="KB115" s="160">
        <v>0.0</v>
      </c>
      <c r="LH115" s="159">
        <f t="shared" si="10"/>
        <v>0</v>
      </c>
      <c r="LI115" s="156">
        <f t="shared" si="11"/>
        <v>0</v>
      </c>
      <c r="LJ115" s="156">
        <f t="shared" si="12"/>
        <v>0</v>
      </c>
      <c r="LK115" s="156">
        <f t="shared" si="13"/>
        <v>0</v>
      </c>
      <c r="LL115" s="156">
        <f t="shared" si="14"/>
        <v>0</v>
      </c>
      <c r="LM115" s="160">
        <f t="shared" si="15"/>
        <v>0</v>
      </c>
      <c r="QX115" s="107">
        <v>45831.0</v>
      </c>
    </row>
    <row r="116">
      <c r="A116" s="12"/>
      <c r="B116" s="12"/>
      <c r="C116" s="12"/>
      <c r="D116" s="12"/>
      <c r="E116" s="12"/>
      <c r="F116" s="12"/>
      <c r="G116" s="12"/>
      <c r="H116" s="12"/>
      <c r="I116" s="143">
        <f t="shared" si="5"/>
        <v>-30</v>
      </c>
      <c r="J116" s="144">
        <v>45833.0</v>
      </c>
      <c r="K116" s="173" t="s">
        <v>61</v>
      </c>
      <c r="L116" s="144">
        <v>45936.0</v>
      </c>
      <c r="M116" s="147" t="s">
        <v>435</v>
      </c>
      <c r="N116" s="148">
        <v>246.0</v>
      </c>
      <c r="O116" s="148">
        <v>30.0</v>
      </c>
      <c r="P116" s="26"/>
      <c r="Q116" s="26"/>
      <c r="R116" s="26"/>
      <c r="S116" s="26"/>
      <c r="T116" s="26"/>
      <c r="U116" s="147" t="s">
        <v>1746</v>
      </c>
      <c r="V116" s="197"/>
      <c r="W116" s="198" t="s">
        <v>1747</v>
      </c>
      <c r="X116" s="181">
        <v>30.0</v>
      </c>
      <c r="Y116" s="166">
        <f t="shared" si="6"/>
        <v>30</v>
      </c>
      <c r="Z116" s="26">
        <f t="shared" si="7"/>
        <v>0</v>
      </c>
      <c r="AA116" s="26">
        <f t="shared" si="8"/>
        <v>0</v>
      </c>
      <c r="AB116" s="26">
        <f t="shared" si="9"/>
        <v>0</v>
      </c>
      <c r="AC116" s="155">
        <v>0.0</v>
      </c>
      <c r="AD116" s="155">
        <v>0.0</v>
      </c>
      <c r="AE116" s="155">
        <v>0.0</v>
      </c>
      <c r="AF116" s="155">
        <v>0.0</v>
      </c>
      <c r="AG116" s="155">
        <v>0.0</v>
      </c>
      <c r="AH116" s="155">
        <v>0.0</v>
      </c>
      <c r="BN116" s="155">
        <v>0.0</v>
      </c>
      <c r="BO116" s="155">
        <v>0.0</v>
      </c>
      <c r="BP116" s="155">
        <v>0.0</v>
      </c>
      <c r="BQ116" s="155">
        <v>0.0</v>
      </c>
      <c r="BR116" s="155">
        <v>0.0</v>
      </c>
      <c r="BS116" s="155">
        <v>0.0</v>
      </c>
      <c r="CV116" s="156">
        <v>0.0</v>
      </c>
      <c r="CW116" s="156">
        <v>0.0</v>
      </c>
      <c r="CX116" s="156">
        <v>0.0</v>
      </c>
      <c r="CY116" s="156">
        <v>0.0</v>
      </c>
      <c r="CZ116" s="156">
        <v>0.0</v>
      </c>
      <c r="DA116" s="156">
        <v>0.0</v>
      </c>
      <c r="EG116" s="156">
        <v>0.0</v>
      </c>
      <c r="EH116" s="156">
        <v>0.0</v>
      </c>
      <c r="EI116" s="156">
        <v>0.0</v>
      </c>
      <c r="EJ116" s="156">
        <v>0.0</v>
      </c>
      <c r="EK116" s="156">
        <v>0.0</v>
      </c>
      <c r="EL116" s="156">
        <v>0.0</v>
      </c>
      <c r="FQ116" s="156">
        <v>0.0</v>
      </c>
      <c r="FR116" s="156">
        <v>0.0</v>
      </c>
      <c r="FS116" s="156">
        <v>0.0</v>
      </c>
      <c r="FT116" s="156">
        <v>0.0</v>
      </c>
      <c r="FU116" s="156">
        <v>0.0</v>
      </c>
      <c r="FV116" s="156">
        <v>0.0</v>
      </c>
      <c r="FW116" s="157"/>
      <c r="FX116" s="157"/>
      <c r="FY116" s="157"/>
      <c r="FZ116" s="157"/>
      <c r="GA116" s="157"/>
      <c r="GB116" s="157"/>
      <c r="GC116" s="157"/>
      <c r="GD116" s="157"/>
      <c r="GE116" s="157"/>
      <c r="GF116" s="157"/>
      <c r="GG116" s="157"/>
      <c r="GH116" s="157"/>
      <c r="GI116" s="157"/>
      <c r="GJ116" s="157"/>
      <c r="GK116" s="157"/>
      <c r="GL116" s="157"/>
      <c r="GM116" s="157"/>
      <c r="GN116" s="157"/>
      <c r="GO116" s="157"/>
      <c r="GP116" s="158"/>
      <c r="GQ116" s="157"/>
      <c r="GR116" s="157"/>
      <c r="GS116" s="157"/>
      <c r="GT116" s="157"/>
      <c r="GU116" s="157"/>
      <c r="GV116" s="157"/>
      <c r="GW116" s="157"/>
      <c r="GX116" s="157"/>
      <c r="GY116" s="157"/>
      <c r="GZ116" s="157"/>
      <c r="HA116" s="157"/>
      <c r="HB116" s="155">
        <v>0.0</v>
      </c>
      <c r="HC116" s="155">
        <v>0.0</v>
      </c>
      <c r="HD116" s="155">
        <v>0.0</v>
      </c>
      <c r="HE116" s="155">
        <v>0.0</v>
      </c>
      <c r="HF116" s="155">
        <v>0.0</v>
      </c>
      <c r="HG116" s="155">
        <v>0.0</v>
      </c>
      <c r="IL116" s="159">
        <v>0.0</v>
      </c>
      <c r="IM116" s="156">
        <v>0.0</v>
      </c>
      <c r="IN116" s="156">
        <v>0.0</v>
      </c>
      <c r="IO116" s="156">
        <v>0.0</v>
      </c>
      <c r="IP116" s="156">
        <v>0.0</v>
      </c>
      <c r="IQ116" s="160">
        <v>0.0</v>
      </c>
      <c r="JH116" s="25"/>
      <c r="JW116" s="159">
        <v>0.0</v>
      </c>
      <c r="JX116" s="156">
        <v>0.0</v>
      </c>
      <c r="JY116" s="156">
        <v>0.0</v>
      </c>
      <c r="JZ116" s="156">
        <v>0.0</v>
      </c>
      <c r="KA116" s="156">
        <v>0.0</v>
      </c>
      <c r="KB116" s="160">
        <v>0.0</v>
      </c>
      <c r="LH116" s="159">
        <f t="shared" si="10"/>
        <v>0</v>
      </c>
      <c r="LI116" s="156">
        <f t="shared" si="11"/>
        <v>0</v>
      </c>
      <c r="LJ116" s="156">
        <f t="shared" si="12"/>
        <v>0</v>
      </c>
      <c r="LK116" s="156">
        <f t="shared" si="13"/>
        <v>0</v>
      </c>
      <c r="LL116" s="156">
        <f t="shared" si="14"/>
        <v>0</v>
      </c>
      <c r="LM116" s="160">
        <f t="shared" si="15"/>
        <v>0</v>
      </c>
      <c r="QX116" s="107">
        <v>45831.0</v>
      </c>
    </row>
    <row r="117">
      <c r="A117" s="12"/>
      <c r="B117" s="12"/>
      <c r="C117" s="12"/>
      <c r="D117" s="12"/>
      <c r="E117" s="12"/>
      <c r="F117" s="12"/>
      <c r="G117" s="12"/>
      <c r="H117" s="12"/>
      <c r="I117" s="143">
        <f t="shared" si="5"/>
        <v>-8</v>
      </c>
      <c r="J117" s="144">
        <v>45840.0</v>
      </c>
      <c r="K117" s="49" t="s">
        <v>61</v>
      </c>
      <c r="L117" s="144">
        <v>45884.0</v>
      </c>
      <c r="M117" s="147" t="s">
        <v>348</v>
      </c>
      <c r="N117" s="148">
        <v>246.0</v>
      </c>
      <c r="O117" s="148">
        <v>30.0</v>
      </c>
      <c r="P117" s="26"/>
      <c r="Q117" s="26"/>
      <c r="R117" s="26"/>
      <c r="S117" s="26"/>
      <c r="T117" s="26"/>
      <c r="U117" s="147" t="s">
        <v>1466</v>
      </c>
      <c r="V117" s="149" t="s">
        <v>1757</v>
      </c>
      <c r="W117" s="198" t="s">
        <v>1758</v>
      </c>
      <c r="X117" s="181">
        <v>8.0</v>
      </c>
      <c r="Y117" s="166">
        <f t="shared" si="6"/>
        <v>8</v>
      </c>
      <c r="Z117" s="26">
        <f t="shared" si="7"/>
        <v>0</v>
      </c>
      <c r="AA117" s="26">
        <f t="shared" si="8"/>
        <v>0</v>
      </c>
      <c r="AB117" s="26">
        <f t="shared" si="9"/>
        <v>0</v>
      </c>
      <c r="AC117" s="155">
        <v>0.0</v>
      </c>
      <c r="AD117" s="155">
        <v>0.0</v>
      </c>
      <c r="AE117" s="155">
        <v>0.0</v>
      </c>
      <c r="AF117" s="155">
        <v>0.0</v>
      </c>
      <c r="AG117" s="155">
        <v>0.0</v>
      </c>
      <c r="AH117" s="155">
        <v>0.0</v>
      </c>
      <c r="BN117" s="155">
        <v>0.0</v>
      </c>
      <c r="BO117" s="155">
        <v>0.0</v>
      </c>
      <c r="BP117" s="155">
        <v>0.0</v>
      </c>
      <c r="BQ117" s="155">
        <v>0.0</v>
      </c>
      <c r="BR117" s="155">
        <v>0.0</v>
      </c>
      <c r="BS117" s="155">
        <v>0.0</v>
      </c>
      <c r="CV117" s="156">
        <v>0.0</v>
      </c>
      <c r="CW117" s="156">
        <v>0.0</v>
      </c>
      <c r="CX117" s="156">
        <v>0.0</v>
      </c>
      <c r="CY117" s="156">
        <v>0.0</v>
      </c>
      <c r="CZ117" s="156">
        <v>0.0</v>
      </c>
      <c r="DA117" s="156">
        <v>0.0</v>
      </c>
      <c r="EG117" s="156">
        <v>0.0</v>
      </c>
      <c r="EH117" s="156">
        <v>0.0</v>
      </c>
      <c r="EI117" s="156">
        <v>0.0</v>
      </c>
      <c r="EJ117" s="156">
        <v>0.0</v>
      </c>
      <c r="EK117" s="156">
        <v>0.0</v>
      </c>
      <c r="EL117" s="156">
        <v>0.0</v>
      </c>
      <c r="FQ117" s="156">
        <v>0.0</v>
      </c>
      <c r="FR117" s="156">
        <v>0.0</v>
      </c>
      <c r="FS117" s="156">
        <v>0.0</v>
      </c>
      <c r="FT117" s="156">
        <v>0.0</v>
      </c>
      <c r="FU117" s="156">
        <v>0.0</v>
      </c>
      <c r="FV117" s="156">
        <v>0.0</v>
      </c>
      <c r="FW117" s="157"/>
      <c r="FX117" s="157"/>
      <c r="FY117" s="157"/>
      <c r="FZ117" s="157"/>
      <c r="GA117" s="157"/>
      <c r="GB117" s="157"/>
      <c r="GC117" s="157"/>
      <c r="GD117" s="157"/>
      <c r="GE117" s="157"/>
      <c r="GF117" s="157"/>
      <c r="GG117" s="157"/>
      <c r="GH117" s="157"/>
      <c r="GI117" s="157"/>
      <c r="GJ117" s="157"/>
      <c r="GK117" s="157"/>
      <c r="GL117" s="157"/>
      <c r="GM117" s="157"/>
      <c r="GN117" s="157"/>
      <c r="GO117" s="157"/>
      <c r="GP117" s="158"/>
      <c r="GQ117" s="157"/>
      <c r="GR117" s="157"/>
      <c r="GS117" s="157"/>
      <c r="GT117" s="157"/>
      <c r="GU117" s="157"/>
      <c r="GV117" s="157"/>
      <c r="GW117" s="157"/>
      <c r="GX117" s="157"/>
      <c r="GY117" s="157"/>
      <c r="GZ117" s="157"/>
      <c r="HA117" s="157"/>
      <c r="HB117" s="155">
        <v>0.0</v>
      </c>
      <c r="HC117" s="155">
        <v>0.0</v>
      </c>
      <c r="HD117" s="155">
        <v>0.0</v>
      </c>
      <c r="HE117" s="155">
        <v>0.0</v>
      </c>
      <c r="HF117" s="155">
        <v>0.0</v>
      </c>
      <c r="HG117" s="155">
        <v>0.0</v>
      </c>
      <c r="IL117" s="159">
        <v>0.0</v>
      </c>
      <c r="IM117" s="156">
        <v>0.0</v>
      </c>
      <c r="IN117" s="156">
        <v>0.0</v>
      </c>
      <c r="IO117" s="156">
        <v>0.0</v>
      </c>
      <c r="IP117" s="156">
        <v>0.0</v>
      </c>
      <c r="IQ117" s="160">
        <v>0.0</v>
      </c>
      <c r="JH117" s="25"/>
      <c r="JW117" s="159">
        <v>0.0</v>
      </c>
      <c r="JX117" s="156">
        <v>0.0</v>
      </c>
      <c r="JY117" s="156">
        <v>0.0</v>
      </c>
      <c r="JZ117" s="156">
        <v>0.0</v>
      </c>
      <c r="KA117" s="156">
        <v>0.0</v>
      </c>
      <c r="KB117" s="160">
        <v>0.0</v>
      </c>
      <c r="LH117" s="159">
        <f t="shared" si="10"/>
        <v>0</v>
      </c>
      <c r="LI117" s="156">
        <f t="shared" si="11"/>
        <v>0</v>
      </c>
      <c r="LJ117" s="156">
        <f t="shared" si="12"/>
        <v>0</v>
      </c>
      <c r="LK117" s="156">
        <f t="shared" si="13"/>
        <v>0</v>
      </c>
      <c r="LL117" s="156">
        <f t="shared" si="14"/>
        <v>0</v>
      </c>
      <c r="LM117" s="160">
        <f t="shared" si="15"/>
        <v>0</v>
      </c>
      <c r="QX117" s="107">
        <v>45831.0</v>
      </c>
    </row>
    <row r="118">
      <c r="A118" s="12"/>
      <c r="B118" s="12"/>
      <c r="C118" s="12"/>
      <c r="D118" s="12"/>
      <c r="E118" s="12"/>
      <c r="F118" s="12"/>
      <c r="G118" s="12"/>
      <c r="H118" s="12"/>
      <c r="I118" s="143">
        <f t="shared" si="5"/>
        <v>-43</v>
      </c>
      <c r="J118" s="144">
        <v>45835.0</v>
      </c>
      <c r="K118" s="184" t="s">
        <v>53</v>
      </c>
      <c r="L118" s="297">
        <v>46135.0</v>
      </c>
      <c r="M118" s="147" t="s">
        <v>1768</v>
      </c>
      <c r="N118" s="148">
        <v>56.0</v>
      </c>
      <c r="O118" s="148">
        <v>30.0</v>
      </c>
      <c r="P118" s="26"/>
      <c r="Q118" s="26"/>
      <c r="R118" s="26"/>
      <c r="S118" s="26"/>
      <c r="T118" s="26"/>
      <c r="U118" s="147" t="s">
        <v>1769</v>
      </c>
      <c r="V118" s="149" t="s">
        <v>732</v>
      </c>
      <c r="W118" s="150" t="s">
        <v>1770</v>
      </c>
      <c r="X118" s="181">
        <v>33.0</v>
      </c>
      <c r="Y118" s="166">
        <f t="shared" si="6"/>
        <v>43</v>
      </c>
      <c r="Z118" s="26">
        <f t="shared" si="7"/>
        <v>0</v>
      </c>
      <c r="AA118" s="26">
        <f t="shared" si="8"/>
        <v>0</v>
      </c>
      <c r="AB118" s="26">
        <f t="shared" si="9"/>
        <v>0</v>
      </c>
      <c r="AC118" s="155">
        <v>5.0</v>
      </c>
      <c r="AD118" s="155">
        <v>0.0</v>
      </c>
      <c r="AE118" s="155">
        <v>0.0</v>
      </c>
      <c r="AF118" s="155">
        <v>0.0</v>
      </c>
      <c r="AG118" s="155">
        <v>0.0</v>
      </c>
      <c r="AH118" s="155">
        <v>0.0</v>
      </c>
      <c r="AP118" s="86">
        <v>1.0</v>
      </c>
      <c r="AQ118" s="86">
        <v>1.0</v>
      </c>
      <c r="AW118" s="86">
        <v>1.0</v>
      </c>
      <c r="BE118" s="86">
        <v>1.0</v>
      </c>
      <c r="BK118" s="86">
        <v>1.0</v>
      </c>
      <c r="BN118" s="155">
        <v>2.0</v>
      </c>
      <c r="BO118" s="155">
        <v>0.0</v>
      </c>
      <c r="BP118" s="155">
        <v>0.0</v>
      </c>
      <c r="BQ118" s="155">
        <v>0.0</v>
      </c>
      <c r="BR118" s="155">
        <v>0.0</v>
      </c>
      <c r="BS118" s="155">
        <v>0.0</v>
      </c>
      <c r="CT118" s="86">
        <v>1.0</v>
      </c>
      <c r="CU118" s="86">
        <v>1.0</v>
      </c>
      <c r="CV118" s="156">
        <v>3.0</v>
      </c>
      <c r="CW118" s="156">
        <v>0.0</v>
      </c>
      <c r="CX118" s="156">
        <v>0.0</v>
      </c>
      <c r="CY118" s="156">
        <v>0.0</v>
      </c>
      <c r="CZ118" s="156">
        <v>0.0</v>
      </c>
      <c r="DA118" s="156">
        <v>0.0</v>
      </c>
      <c r="DF118" s="86">
        <v>1.0</v>
      </c>
      <c r="DN118" s="86">
        <v>1.0</v>
      </c>
      <c r="DU118" s="86">
        <v>1.0</v>
      </c>
      <c r="EG118" s="156">
        <v>0.0</v>
      </c>
      <c r="EH118" s="156">
        <v>0.0</v>
      </c>
      <c r="EI118" s="156">
        <v>0.0</v>
      </c>
      <c r="EJ118" s="156">
        <v>0.0</v>
      </c>
      <c r="EK118" s="156">
        <v>0.0</v>
      </c>
      <c r="EL118" s="156">
        <v>0.0</v>
      </c>
      <c r="FQ118" s="156">
        <v>0.0</v>
      </c>
      <c r="FR118" s="156">
        <v>0.0</v>
      </c>
      <c r="FS118" s="156">
        <v>0.0</v>
      </c>
      <c r="FT118" s="156">
        <v>0.0</v>
      </c>
      <c r="FU118" s="156">
        <v>0.0</v>
      </c>
      <c r="FV118" s="156">
        <v>0.0</v>
      </c>
      <c r="FW118" s="157"/>
      <c r="FX118" s="157"/>
      <c r="FY118" s="157"/>
      <c r="FZ118" s="157"/>
      <c r="GA118" s="157"/>
      <c r="GB118" s="157"/>
      <c r="GC118" s="157"/>
      <c r="GD118" s="157"/>
      <c r="GE118" s="157"/>
      <c r="GF118" s="157"/>
      <c r="GG118" s="157"/>
      <c r="GH118" s="157"/>
      <c r="GI118" s="157"/>
      <c r="GJ118" s="157"/>
      <c r="GK118" s="157"/>
      <c r="GL118" s="157"/>
      <c r="GM118" s="157"/>
      <c r="GN118" s="157"/>
      <c r="GO118" s="157"/>
      <c r="GP118" s="158"/>
      <c r="GQ118" s="157"/>
      <c r="GR118" s="157"/>
      <c r="GS118" s="157"/>
      <c r="GT118" s="157"/>
      <c r="GU118" s="157"/>
      <c r="GV118" s="157"/>
      <c r="GW118" s="157"/>
      <c r="GX118" s="157"/>
      <c r="GY118" s="157"/>
      <c r="GZ118" s="157"/>
      <c r="HA118" s="157"/>
      <c r="HB118" s="155">
        <v>0.0</v>
      </c>
      <c r="HC118" s="155">
        <v>0.0</v>
      </c>
      <c r="HD118" s="155">
        <v>0.0</v>
      </c>
      <c r="HE118" s="155">
        <v>0.0</v>
      </c>
      <c r="HF118" s="155">
        <v>0.0</v>
      </c>
      <c r="HG118" s="155">
        <v>0.0</v>
      </c>
      <c r="IL118" s="159">
        <v>0.0</v>
      </c>
      <c r="IM118" s="156">
        <v>0.0</v>
      </c>
      <c r="IN118" s="156">
        <v>0.0</v>
      </c>
      <c r="IO118" s="156">
        <v>0.0</v>
      </c>
      <c r="IP118" s="156">
        <v>0.0</v>
      </c>
      <c r="IQ118" s="160">
        <v>0.0</v>
      </c>
      <c r="JH118" s="25"/>
      <c r="JW118" s="159">
        <v>0.0</v>
      </c>
      <c r="JX118" s="156">
        <v>0.0</v>
      </c>
      <c r="JY118" s="156">
        <v>0.0</v>
      </c>
      <c r="JZ118" s="156">
        <v>0.0</v>
      </c>
      <c r="KA118" s="156">
        <v>0.0</v>
      </c>
      <c r="KB118" s="160">
        <v>0.0</v>
      </c>
      <c r="LH118" s="159">
        <f t="shared" si="10"/>
        <v>0</v>
      </c>
      <c r="LI118" s="156">
        <f t="shared" si="11"/>
        <v>0</v>
      </c>
      <c r="LJ118" s="156">
        <f t="shared" si="12"/>
        <v>0</v>
      </c>
      <c r="LK118" s="156">
        <f t="shared" si="13"/>
        <v>0</v>
      </c>
      <c r="LL118" s="156">
        <f t="shared" si="14"/>
        <v>0</v>
      </c>
      <c r="LM118" s="160">
        <f t="shared" si="15"/>
        <v>0</v>
      </c>
      <c r="QX118" s="107">
        <v>45833.0</v>
      </c>
    </row>
    <row r="119">
      <c r="A119" s="12"/>
      <c r="B119" s="12"/>
      <c r="C119" s="12"/>
      <c r="D119" s="12"/>
      <c r="E119" s="12"/>
      <c r="F119" s="12"/>
      <c r="G119" s="12"/>
      <c r="H119" s="12"/>
      <c r="I119" s="143">
        <f t="shared" si="5"/>
        <v>-23</v>
      </c>
      <c r="J119" s="144">
        <v>45844.0</v>
      </c>
      <c r="K119" s="173" t="s">
        <v>61</v>
      </c>
      <c r="L119" s="144">
        <v>45967.0</v>
      </c>
      <c r="M119" s="147" t="s">
        <v>560</v>
      </c>
      <c r="N119" s="148" t="s">
        <v>467</v>
      </c>
      <c r="O119" s="148">
        <v>30.0</v>
      </c>
      <c r="P119" s="26"/>
      <c r="Q119" s="26"/>
      <c r="R119" s="26"/>
      <c r="S119" s="26"/>
      <c r="T119" s="26"/>
      <c r="U119" s="147" t="s">
        <v>1780</v>
      </c>
      <c r="V119" s="149" t="s">
        <v>1781</v>
      </c>
      <c r="W119" s="198" t="s">
        <v>1782</v>
      </c>
      <c r="X119" s="181">
        <v>23.0</v>
      </c>
      <c r="Y119" s="166">
        <f t="shared" si="6"/>
        <v>23</v>
      </c>
      <c r="Z119" s="26">
        <f t="shared" si="7"/>
        <v>0</v>
      </c>
      <c r="AA119" s="26">
        <f t="shared" si="8"/>
        <v>0</v>
      </c>
      <c r="AB119" s="26">
        <f t="shared" si="9"/>
        <v>0</v>
      </c>
      <c r="AC119" s="155">
        <v>0.0</v>
      </c>
      <c r="AD119" s="155">
        <v>0.0</v>
      </c>
      <c r="AE119" s="155">
        <v>0.0</v>
      </c>
      <c r="AF119" s="155">
        <v>0.0</v>
      </c>
      <c r="AG119" s="155">
        <v>0.0</v>
      </c>
      <c r="AH119" s="155">
        <v>0.0</v>
      </c>
      <c r="BN119" s="155">
        <v>0.0</v>
      </c>
      <c r="BO119" s="155">
        <v>0.0</v>
      </c>
      <c r="BP119" s="155">
        <v>0.0</v>
      </c>
      <c r="BQ119" s="155">
        <v>0.0</v>
      </c>
      <c r="BR119" s="155">
        <v>0.0</v>
      </c>
      <c r="BS119" s="155">
        <v>0.0</v>
      </c>
      <c r="CV119" s="156">
        <v>0.0</v>
      </c>
      <c r="CW119" s="156">
        <v>0.0</v>
      </c>
      <c r="CX119" s="156">
        <v>0.0</v>
      </c>
      <c r="CY119" s="156">
        <v>0.0</v>
      </c>
      <c r="CZ119" s="156">
        <v>0.0</v>
      </c>
      <c r="DA119" s="156">
        <v>0.0</v>
      </c>
      <c r="EG119" s="156">
        <v>0.0</v>
      </c>
      <c r="EH119" s="156">
        <v>0.0</v>
      </c>
      <c r="EI119" s="156">
        <v>0.0</v>
      </c>
      <c r="EJ119" s="156">
        <v>0.0</v>
      </c>
      <c r="EK119" s="156">
        <v>0.0</v>
      </c>
      <c r="EL119" s="156">
        <v>0.0</v>
      </c>
      <c r="FQ119" s="156">
        <v>0.0</v>
      </c>
      <c r="FR119" s="156">
        <v>0.0</v>
      </c>
      <c r="FS119" s="156">
        <v>0.0</v>
      </c>
      <c r="FT119" s="156">
        <v>0.0</v>
      </c>
      <c r="FU119" s="156">
        <v>0.0</v>
      </c>
      <c r="FV119" s="156">
        <v>0.0</v>
      </c>
      <c r="FW119" s="157"/>
      <c r="FX119" s="157"/>
      <c r="FY119" s="157"/>
      <c r="FZ119" s="157"/>
      <c r="GA119" s="157"/>
      <c r="GB119" s="157"/>
      <c r="GC119" s="157"/>
      <c r="GD119" s="157"/>
      <c r="GE119" s="157"/>
      <c r="GF119" s="157"/>
      <c r="GG119" s="157"/>
      <c r="GH119" s="157"/>
      <c r="GI119" s="157"/>
      <c r="GJ119" s="157"/>
      <c r="GK119" s="157"/>
      <c r="GL119" s="157"/>
      <c r="GM119" s="157"/>
      <c r="GN119" s="157"/>
      <c r="GO119" s="157"/>
      <c r="GP119" s="158"/>
      <c r="GQ119" s="157"/>
      <c r="GR119" s="157"/>
      <c r="GS119" s="157"/>
      <c r="GT119" s="157"/>
      <c r="GU119" s="157"/>
      <c r="GV119" s="157"/>
      <c r="GW119" s="157"/>
      <c r="GX119" s="157"/>
      <c r="GY119" s="157"/>
      <c r="GZ119" s="157"/>
      <c r="HA119" s="157"/>
      <c r="HB119" s="155">
        <v>0.0</v>
      </c>
      <c r="HC119" s="155">
        <v>0.0</v>
      </c>
      <c r="HD119" s="155">
        <v>0.0</v>
      </c>
      <c r="HE119" s="155">
        <v>0.0</v>
      </c>
      <c r="HF119" s="155">
        <v>0.0</v>
      </c>
      <c r="HG119" s="155">
        <v>0.0</v>
      </c>
      <c r="IL119" s="159">
        <v>0.0</v>
      </c>
      <c r="IM119" s="156">
        <v>0.0</v>
      </c>
      <c r="IN119" s="156">
        <v>0.0</v>
      </c>
      <c r="IO119" s="156">
        <v>0.0</v>
      </c>
      <c r="IP119" s="156">
        <v>0.0</v>
      </c>
      <c r="IQ119" s="160">
        <v>0.0</v>
      </c>
      <c r="JH119" s="25"/>
      <c r="JW119" s="159">
        <v>0.0</v>
      </c>
      <c r="JX119" s="156">
        <v>0.0</v>
      </c>
      <c r="JY119" s="156">
        <v>0.0</v>
      </c>
      <c r="JZ119" s="156">
        <v>0.0</v>
      </c>
      <c r="KA119" s="156">
        <v>0.0</v>
      </c>
      <c r="KB119" s="160">
        <v>0.0</v>
      </c>
      <c r="LH119" s="159">
        <f t="shared" si="10"/>
        <v>0</v>
      </c>
      <c r="LI119" s="156">
        <f t="shared" si="11"/>
        <v>0</v>
      </c>
      <c r="LJ119" s="156">
        <f t="shared" si="12"/>
        <v>0</v>
      </c>
      <c r="LK119" s="156">
        <f t="shared" si="13"/>
        <v>0</v>
      </c>
      <c r="LL119" s="156">
        <f t="shared" si="14"/>
        <v>0</v>
      </c>
      <c r="LM119" s="160">
        <f t="shared" si="15"/>
        <v>0</v>
      </c>
      <c r="QX119" s="107">
        <v>45833.0</v>
      </c>
    </row>
    <row r="120">
      <c r="A120" s="12"/>
      <c r="B120" s="12"/>
      <c r="C120" s="12"/>
      <c r="D120" s="12"/>
      <c r="E120" s="12"/>
      <c r="F120" s="12"/>
      <c r="G120" s="12"/>
      <c r="H120" s="12"/>
      <c r="I120" s="143">
        <f t="shared" si="5"/>
        <v>-30</v>
      </c>
      <c r="J120" s="144">
        <v>45835.0</v>
      </c>
      <c r="K120" s="173" t="s">
        <v>61</v>
      </c>
      <c r="L120" s="144">
        <v>45919.0</v>
      </c>
      <c r="M120" s="147" t="s">
        <v>400</v>
      </c>
      <c r="N120" s="148">
        <v>246.0</v>
      </c>
      <c r="O120" s="148">
        <v>30.0</v>
      </c>
      <c r="P120" s="26"/>
      <c r="Q120" s="26"/>
      <c r="R120" s="26"/>
      <c r="S120" s="26"/>
      <c r="T120" s="26"/>
      <c r="U120" s="147" t="s">
        <v>1793</v>
      </c>
      <c r="V120" s="197"/>
      <c r="W120" s="198" t="s">
        <v>1794</v>
      </c>
      <c r="X120" s="181">
        <v>30.0</v>
      </c>
      <c r="Y120" s="166">
        <f t="shared" si="6"/>
        <v>30</v>
      </c>
      <c r="Z120" s="26">
        <f t="shared" si="7"/>
        <v>0</v>
      </c>
      <c r="AA120" s="26">
        <f t="shared" si="8"/>
        <v>0</v>
      </c>
      <c r="AB120" s="26">
        <f t="shared" si="9"/>
        <v>0</v>
      </c>
      <c r="AC120" s="155">
        <v>0.0</v>
      </c>
      <c r="AD120" s="155">
        <v>0.0</v>
      </c>
      <c r="AE120" s="155">
        <v>0.0</v>
      </c>
      <c r="AF120" s="155">
        <v>0.0</v>
      </c>
      <c r="AG120" s="155">
        <v>0.0</v>
      </c>
      <c r="AH120" s="155">
        <v>0.0</v>
      </c>
      <c r="BN120" s="155">
        <v>0.0</v>
      </c>
      <c r="BO120" s="155">
        <v>0.0</v>
      </c>
      <c r="BP120" s="155">
        <v>0.0</v>
      </c>
      <c r="BQ120" s="155">
        <v>0.0</v>
      </c>
      <c r="BR120" s="155">
        <v>0.0</v>
      </c>
      <c r="BS120" s="155">
        <v>0.0</v>
      </c>
      <c r="CV120" s="156">
        <v>0.0</v>
      </c>
      <c r="CW120" s="156">
        <v>0.0</v>
      </c>
      <c r="CX120" s="156">
        <v>0.0</v>
      </c>
      <c r="CY120" s="156">
        <v>0.0</v>
      </c>
      <c r="CZ120" s="156">
        <v>0.0</v>
      </c>
      <c r="DA120" s="156">
        <v>0.0</v>
      </c>
      <c r="EG120" s="156">
        <v>0.0</v>
      </c>
      <c r="EH120" s="156">
        <v>0.0</v>
      </c>
      <c r="EI120" s="156">
        <v>0.0</v>
      </c>
      <c r="EJ120" s="156">
        <v>0.0</v>
      </c>
      <c r="EK120" s="156">
        <v>0.0</v>
      </c>
      <c r="EL120" s="156">
        <v>0.0</v>
      </c>
      <c r="FQ120" s="156">
        <v>0.0</v>
      </c>
      <c r="FR120" s="156">
        <v>0.0</v>
      </c>
      <c r="FS120" s="156">
        <v>0.0</v>
      </c>
      <c r="FT120" s="156">
        <v>0.0</v>
      </c>
      <c r="FU120" s="156">
        <v>0.0</v>
      </c>
      <c r="FV120" s="156">
        <v>0.0</v>
      </c>
      <c r="FW120" s="157"/>
      <c r="FX120" s="157"/>
      <c r="FY120" s="157"/>
      <c r="FZ120" s="157"/>
      <c r="GA120" s="157"/>
      <c r="GB120" s="157"/>
      <c r="GC120" s="157"/>
      <c r="GD120" s="157"/>
      <c r="GE120" s="157"/>
      <c r="GF120" s="157"/>
      <c r="GG120" s="157"/>
      <c r="GH120" s="157"/>
      <c r="GI120" s="157"/>
      <c r="GJ120" s="157"/>
      <c r="GK120" s="157"/>
      <c r="GL120" s="157"/>
      <c r="GM120" s="157"/>
      <c r="GN120" s="157"/>
      <c r="GO120" s="157"/>
      <c r="GP120" s="158"/>
      <c r="GQ120" s="157"/>
      <c r="GR120" s="157"/>
      <c r="GS120" s="157"/>
      <c r="GT120" s="157"/>
      <c r="GU120" s="157"/>
      <c r="GV120" s="157"/>
      <c r="GW120" s="157"/>
      <c r="GX120" s="157"/>
      <c r="GY120" s="157"/>
      <c r="GZ120" s="157"/>
      <c r="HA120" s="157"/>
      <c r="HB120" s="155">
        <v>0.0</v>
      </c>
      <c r="HC120" s="155">
        <v>0.0</v>
      </c>
      <c r="HD120" s="155">
        <v>0.0</v>
      </c>
      <c r="HE120" s="155">
        <v>0.0</v>
      </c>
      <c r="HF120" s="155">
        <v>0.0</v>
      </c>
      <c r="HG120" s="155">
        <v>0.0</v>
      </c>
      <c r="IL120" s="159">
        <v>0.0</v>
      </c>
      <c r="IM120" s="156">
        <v>0.0</v>
      </c>
      <c r="IN120" s="156">
        <v>0.0</v>
      </c>
      <c r="IO120" s="156">
        <v>0.0</v>
      </c>
      <c r="IP120" s="156">
        <v>0.0</v>
      </c>
      <c r="IQ120" s="160">
        <v>0.0</v>
      </c>
      <c r="JH120" s="25"/>
      <c r="JW120" s="159">
        <v>0.0</v>
      </c>
      <c r="JX120" s="156">
        <v>0.0</v>
      </c>
      <c r="JY120" s="156">
        <v>0.0</v>
      </c>
      <c r="JZ120" s="156">
        <v>0.0</v>
      </c>
      <c r="KA120" s="156">
        <v>0.0</v>
      </c>
      <c r="KB120" s="160">
        <v>0.0</v>
      </c>
      <c r="LH120" s="159">
        <f t="shared" si="10"/>
        <v>0</v>
      </c>
      <c r="LI120" s="156">
        <f t="shared" si="11"/>
        <v>0</v>
      </c>
      <c r="LJ120" s="156">
        <f t="shared" si="12"/>
        <v>0</v>
      </c>
      <c r="LK120" s="156">
        <f t="shared" si="13"/>
        <v>0</v>
      </c>
      <c r="LL120" s="156">
        <f t="shared" si="14"/>
        <v>0</v>
      </c>
      <c r="LM120" s="160">
        <f t="shared" si="15"/>
        <v>0</v>
      </c>
      <c r="QX120" s="107">
        <v>45834.0</v>
      </c>
    </row>
    <row r="121">
      <c r="A121" s="12"/>
      <c r="B121" s="12"/>
      <c r="C121" s="12"/>
      <c r="D121" s="12"/>
      <c r="E121" s="12"/>
      <c r="F121" s="12"/>
      <c r="G121" s="12"/>
      <c r="H121" s="12"/>
      <c r="I121" s="143">
        <f t="shared" si="5"/>
        <v>-26</v>
      </c>
      <c r="J121" s="144">
        <v>45835.0</v>
      </c>
      <c r="K121" s="145" t="s">
        <v>61</v>
      </c>
      <c r="L121" s="171">
        <v>46090.0</v>
      </c>
      <c r="M121" s="147" t="s">
        <v>107</v>
      </c>
      <c r="N121" s="148">
        <v>246.0</v>
      </c>
      <c r="O121" s="148">
        <v>30.0</v>
      </c>
      <c r="P121" s="26"/>
      <c r="Q121" s="26"/>
      <c r="R121" s="26"/>
      <c r="S121" s="26"/>
      <c r="T121" s="26"/>
      <c r="U121" s="147" t="s">
        <v>1805</v>
      </c>
      <c r="V121" s="149" t="s">
        <v>1807</v>
      </c>
      <c r="W121" s="198" t="s">
        <v>1808</v>
      </c>
      <c r="X121" s="181">
        <v>26.0</v>
      </c>
      <c r="Y121" s="166">
        <f t="shared" si="6"/>
        <v>26</v>
      </c>
      <c r="Z121" s="26">
        <f t="shared" si="7"/>
        <v>0</v>
      </c>
      <c r="AA121" s="26">
        <f t="shared" si="8"/>
        <v>0</v>
      </c>
      <c r="AB121" s="26">
        <f t="shared" si="9"/>
        <v>0</v>
      </c>
      <c r="AC121" s="155">
        <v>0.0</v>
      </c>
      <c r="AD121" s="155">
        <v>0.0</v>
      </c>
      <c r="AE121" s="155">
        <v>0.0</v>
      </c>
      <c r="AF121" s="155">
        <v>0.0</v>
      </c>
      <c r="AG121" s="155">
        <v>0.0</v>
      </c>
      <c r="AH121" s="155">
        <v>0.0</v>
      </c>
      <c r="AI121" s="167"/>
      <c r="AJ121" s="167"/>
      <c r="AK121" s="167"/>
      <c r="AL121" s="167"/>
      <c r="AM121" s="167"/>
      <c r="AN121" s="167"/>
      <c r="AO121" s="167"/>
      <c r="AP121" s="167"/>
      <c r="AQ121" s="167"/>
      <c r="AR121" s="167"/>
      <c r="AS121" s="167"/>
      <c r="AT121" s="167"/>
      <c r="AU121" s="167"/>
      <c r="AV121" s="167"/>
      <c r="AW121" s="167"/>
      <c r="AX121" s="167"/>
      <c r="AY121" s="167"/>
      <c r="AZ121" s="167"/>
      <c r="BA121" s="167"/>
      <c r="BB121" s="167"/>
      <c r="BC121" s="167"/>
      <c r="BD121" s="167"/>
      <c r="BE121" s="167"/>
      <c r="BF121" s="167"/>
      <c r="BG121" s="167"/>
      <c r="BH121" s="167"/>
      <c r="BI121" s="167"/>
      <c r="BJ121" s="167"/>
      <c r="BK121" s="167"/>
      <c r="BL121" s="167"/>
      <c r="BM121" s="167"/>
      <c r="BN121" s="155">
        <v>0.0</v>
      </c>
      <c r="BO121" s="155">
        <v>0.0</v>
      </c>
      <c r="BP121" s="155">
        <v>0.0</v>
      </c>
      <c r="BQ121" s="155">
        <v>0.0</v>
      </c>
      <c r="BR121" s="155">
        <v>0.0</v>
      </c>
      <c r="BS121" s="155">
        <v>0.0</v>
      </c>
      <c r="BT121" s="167"/>
      <c r="BU121" s="167"/>
      <c r="BV121" s="167"/>
      <c r="BW121" s="167"/>
      <c r="BX121" s="167"/>
      <c r="BY121" s="167"/>
      <c r="BZ121" s="167"/>
      <c r="CA121" s="167"/>
      <c r="CB121" s="167"/>
      <c r="CC121" s="167"/>
      <c r="CD121" s="167"/>
      <c r="CE121" s="167"/>
      <c r="CF121" s="167"/>
      <c r="CG121" s="167"/>
      <c r="CH121" s="167"/>
      <c r="CI121" s="167"/>
      <c r="CJ121" s="167"/>
      <c r="CK121" s="167"/>
      <c r="CL121" s="167"/>
      <c r="CM121" s="167"/>
      <c r="CN121" s="167"/>
      <c r="CO121" s="167"/>
      <c r="CP121" s="167"/>
      <c r="CQ121" s="167"/>
      <c r="CR121" s="167"/>
      <c r="CS121" s="167"/>
      <c r="CT121" s="167"/>
      <c r="CU121" s="167"/>
      <c r="CV121" s="156">
        <v>0.0</v>
      </c>
      <c r="CW121" s="156">
        <v>0.0</v>
      </c>
      <c r="CX121" s="156">
        <v>0.0</v>
      </c>
      <c r="CY121" s="156">
        <v>0.0</v>
      </c>
      <c r="CZ121" s="156">
        <v>0.0</v>
      </c>
      <c r="DA121" s="156">
        <v>0.0</v>
      </c>
      <c r="EG121" s="156">
        <v>0.0</v>
      </c>
      <c r="EH121" s="156">
        <v>0.0</v>
      </c>
      <c r="EI121" s="156">
        <v>0.0</v>
      </c>
      <c r="EJ121" s="156">
        <v>0.0</v>
      </c>
      <c r="EK121" s="156">
        <v>0.0</v>
      </c>
      <c r="EL121" s="156">
        <v>0.0</v>
      </c>
      <c r="FQ121" s="156">
        <v>0.0</v>
      </c>
      <c r="FR121" s="156">
        <v>0.0</v>
      </c>
      <c r="FS121" s="156">
        <v>0.0</v>
      </c>
      <c r="FT121" s="156">
        <v>0.0</v>
      </c>
      <c r="FU121" s="156">
        <v>0.0</v>
      </c>
      <c r="FV121" s="156">
        <v>0.0</v>
      </c>
      <c r="FW121" s="157"/>
      <c r="FX121" s="157"/>
      <c r="FY121" s="157"/>
      <c r="FZ121" s="157"/>
      <c r="GA121" s="157"/>
      <c r="GB121" s="157"/>
      <c r="GC121" s="157"/>
      <c r="GD121" s="157"/>
      <c r="GE121" s="157"/>
      <c r="GF121" s="157"/>
      <c r="GG121" s="157"/>
      <c r="GH121" s="157"/>
      <c r="GI121" s="157"/>
      <c r="GJ121" s="157"/>
      <c r="GK121" s="157"/>
      <c r="GL121" s="157"/>
      <c r="GM121" s="157"/>
      <c r="GN121" s="157"/>
      <c r="GO121" s="157"/>
      <c r="GP121" s="158"/>
      <c r="GQ121" s="157"/>
      <c r="GR121" s="157"/>
      <c r="GS121" s="157"/>
      <c r="GT121" s="157"/>
      <c r="GU121" s="157"/>
      <c r="GV121" s="157"/>
      <c r="GW121" s="157"/>
      <c r="GX121" s="157"/>
      <c r="GY121" s="157"/>
      <c r="GZ121" s="157"/>
      <c r="HA121" s="157"/>
      <c r="HB121" s="155">
        <v>0.0</v>
      </c>
      <c r="HC121" s="155">
        <v>0.0</v>
      </c>
      <c r="HD121" s="155">
        <v>0.0</v>
      </c>
      <c r="HE121" s="155">
        <v>0.0</v>
      </c>
      <c r="HF121" s="155">
        <v>0.0</v>
      </c>
      <c r="HG121" s="155">
        <v>0.0</v>
      </c>
      <c r="IL121" s="159">
        <v>0.0</v>
      </c>
      <c r="IM121" s="156">
        <v>0.0</v>
      </c>
      <c r="IN121" s="156">
        <v>0.0</v>
      </c>
      <c r="IO121" s="156">
        <v>0.0</v>
      </c>
      <c r="IP121" s="156">
        <v>0.0</v>
      </c>
      <c r="IQ121" s="160">
        <v>0.0</v>
      </c>
      <c r="JH121" s="25"/>
      <c r="JW121" s="159">
        <v>0.0</v>
      </c>
      <c r="JX121" s="156">
        <v>0.0</v>
      </c>
      <c r="JY121" s="156">
        <v>0.0</v>
      </c>
      <c r="JZ121" s="156">
        <v>0.0</v>
      </c>
      <c r="KA121" s="156">
        <v>0.0</v>
      </c>
      <c r="KB121" s="160">
        <v>0.0</v>
      </c>
      <c r="LH121" s="159">
        <f t="shared" si="10"/>
        <v>0</v>
      </c>
      <c r="LI121" s="156">
        <f t="shared" si="11"/>
        <v>0</v>
      </c>
      <c r="LJ121" s="156">
        <f t="shared" si="12"/>
        <v>0</v>
      </c>
      <c r="LK121" s="156">
        <f t="shared" si="13"/>
        <v>0</v>
      </c>
      <c r="LL121" s="156">
        <f t="shared" si="14"/>
        <v>0</v>
      </c>
      <c r="LM121" s="160">
        <f t="shared" si="15"/>
        <v>0</v>
      </c>
      <c r="QX121" s="107">
        <v>45835.0</v>
      </c>
    </row>
    <row r="122">
      <c r="A122" s="12"/>
      <c r="B122" s="12"/>
      <c r="C122" s="12"/>
      <c r="D122" s="12"/>
      <c r="E122" s="12"/>
      <c r="F122" s="12"/>
      <c r="G122" s="12"/>
      <c r="H122" s="12"/>
      <c r="I122" s="143">
        <f t="shared" si="5"/>
        <v>-30</v>
      </c>
      <c r="J122" s="144">
        <v>45829.0</v>
      </c>
      <c r="K122" s="146" t="s">
        <v>61</v>
      </c>
      <c r="L122" s="144">
        <v>45899.0</v>
      </c>
      <c r="M122" s="147" t="s">
        <v>107</v>
      </c>
      <c r="N122" s="148" t="s">
        <v>467</v>
      </c>
      <c r="O122" s="148">
        <v>60.0</v>
      </c>
      <c r="P122" s="26"/>
      <c r="Q122" s="26"/>
      <c r="R122" s="26"/>
      <c r="S122" s="26"/>
      <c r="T122" s="26"/>
      <c r="U122" s="147" t="s">
        <v>1819</v>
      </c>
      <c r="V122" s="149" t="s">
        <v>1820</v>
      </c>
      <c r="W122" s="198" t="s">
        <v>1821</v>
      </c>
      <c r="X122" s="181">
        <v>30.0</v>
      </c>
      <c r="Y122" s="166">
        <f t="shared" si="6"/>
        <v>30</v>
      </c>
      <c r="Z122" s="26">
        <f t="shared" si="7"/>
        <v>0</v>
      </c>
      <c r="AA122" s="26">
        <f t="shared" si="8"/>
        <v>0</v>
      </c>
      <c r="AB122" s="26">
        <f t="shared" si="9"/>
        <v>0</v>
      </c>
      <c r="AC122" s="155">
        <v>0.0</v>
      </c>
      <c r="AD122" s="155">
        <v>0.0</v>
      </c>
      <c r="AE122" s="155">
        <v>0.0</v>
      </c>
      <c r="AF122" s="155">
        <v>0.0</v>
      </c>
      <c r="AG122" s="155">
        <v>0.0</v>
      </c>
      <c r="AH122" s="155">
        <v>0.0</v>
      </c>
      <c r="BN122" s="155">
        <v>0.0</v>
      </c>
      <c r="BO122" s="155">
        <v>0.0</v>
      </c>
      <c r="BP122" s="155">
        <v>0.0</v>
      </c>
      <c r="BQ122" s="155">
        <v>0.0</v>
      </c>
      <c r="BR122" s="155">
        <v>0.0</v>
      </c>
      <c r="BS122" s="155">
        <v>0.0</v>
      </c>
      <c r="CV122" s="156">
        <v>0.0</v>
      </c>
      <c r="CW122" s="156">
        <v>0.0</v>
      </c>
      <c r="CX122" s="156">
        <v>0.0</v>
      </c>
      <c r="CY122" s="156">
        <v>0.0</v>
      </c>
      <c r="CZ122" s="156">
        <v>0.0</v>
      </c>
      <c r="DA122" s="156">
        <v>0.0</v>
      </c>
      <c r="EG122" s="156">
        <v>0.0</v>
      </c>
      <c r="EH122" s="156">
        <v>0.0</v>
      </c>
      <c r="EI122" s="156">
        <v>0.0</v>
      </c>
      <c r="EJ122" s="156">
        <v>0.0</v>
      </c>
      <c r="EK122" s="156">
        <v>0.0</v>
      </c>
      <c r="EL122" s="156">
        <v>0.0</v>
      </c>
      <c r="FQ122" s="156">
        <v>0.0</v>
      </c>
      <c r="FR122" s="156">
        <v>0.0</v>
      </c>
      <c r="FS122" s="156">
        <v>0.0</v>
      </c>
      <c r="FT122" s="156">
        <v>0.0</v>
      </c>
      <c r="FU122" s="156">
        <v>0.0</v>
      </c>
      <c r="FV122" s="156">
        <v>0.0</v>
      </c>
      <c r="FW122" s="157"/>
      <c r="FX122" s="157"/>
      <c r="FY122" s="157"/>
      <c r="FZ122" s="157"/>
      <c r="GA122" s="157"/>
      <c r="GB122" s="157"/>
      <c r="GC122" s="157"/>
      <c r="GD122" s="157"/>
      <c r="GE122" s="157"/>
      <c r="GF122" s="157"/>
      <c r="GG122" s="157"/>
      <c r="GH122" s="157"/>
      <c r="GI122" s="157"/>
      <c r="GJ122" s="157"/>
      <c r="GK122" s="157"/>
      <c r="GL122" s="157"/>
      <c r="GM122" s="157"/>
      <c r="GN122" s="157"/>
      <c r="GO122" s="157"/>
      <c r="GP122" s="158"/>
      <c r="GQ122" s="157"/>
      <c r="GR122" s="157"/>
      <c r="GS122" s="157"/>
      <c r="GT122" s="157"/>
      <c r="GU122" s="157"/>
      <c r="GV122" s="157"/>
      <c r="GW122" s="157"/>
      <c r="GX122" s="157"/>
      <c r="GY122" s="157"/>
      <c r="GZ122" s="157"/>
      <c r="HA122" s="157"/>
      <c r="HB122" s="155">
        <v>0.0</v>
      </c>
      <c r="HC122" s="155">
        <v>0.0</v>
      </c>
      <c r="HD122" s="155">
        <v>0.0</v>
      </c>
      <c r="HE122" s="155">
        <v>0.0</v>
      </c>
      <c r="HF122" s="155">
        <v>0.0</v>
      </c>
      <c r="HG122" s="155">
        <v>0.0</v>
      </c>
      <c r="IL122" s="159">
        <v>0.0</v>
      </c>
      <c r="IM122" s="156">
        <v>0.0</v>
      </c>
      <c r="IN122" s="156">
        <v>0.0</v>
      </c>
      <c r="IO122" s="156">
        <v>0.0</v>
      </c>
      <c r="IP122" s="156">
        <v>0.0</v>
      </c>
      <c r="IQ122" s="160">
        <v>0.0</v>
      </c>
      <c r="JH122" s="25"/>
      <c r="JW122" s="159">
        <v>0.0</v>
      </c>
      <c r="JX122" s="156">
        <v>0.0</v>
      </c>
      <c r="JY122" s="156">
        <v>0.0</v>
      </c>
      <c r="JZ122" s="156">
        <v>0.0</v>
      </c>
      <c r="KA122" s="156">
        <v>0.0</v>
      </c>
      <c r="KB122" s="160">
        <v>0.0</v>
      </c>
      <c r="LH122" s="159">
        <f t="shared" si="10"/>
        <v>0</v>
      </c>
      <c r="LI122" s="156">
        <f t="shared" si="11"/>
        <v>0</v>
      </c>
      <c r="LJ122" s="156">
        <f t="shared" si="12"/>
        <v>0</v>
      </c>
      <c r="LK122" s="156">
        <f t="shared" si="13"/>
        <v>0</v>
      </c>
      <c r="LL122" s="156">
        <f t="shared" si="14"/>
        <v>0</v>
      </c>
      <c r="LM122" s="160">
        <f t="shared" si="15"/>
        <v>0</v>
      </c>
      <c r="QX122" s="107">
        <v>45835.0</v>
      </c>
    </row>
    <row r="123">
      <c r="A123" s="12"/>
      <c r="B123" s="12"/>
      <c r="C123" s="12"/>
      <c r="D123" s="12"/>
      <c r="E123" s="12"/>
      <c r="F123" s="12"/>
      <c r="G123" s="12"/>
      <c r="H123" s="12"/>
      <c r="I123" s="143">
        <f t="shared" si="5"/>
        <v>-30</v>
      </c>
      <c r="J123" s="144">
        <v>45835.0</v>
      </c>
      <c r="K123" s="173" t="s">
        <v>61</v>
      </c>
      <c r="L123" s="144">
        <v>45919.0</v>
      </c>
      <c r="M123" s="147" t="s">
        <v>228</v>
      </c>
      <c r="N123" s="148">
        <v>246.0</v>
      </c>
      <c r="O123" s="148">
        <v>30.0</v>
      </c>
      <c r="P123" s="26"/>
      <c r="Q123" s="26"/>
      <c r="R123" s="26"/>
      <c r="S123" s="26"/>
      <c r="T123" s="26"/>
      <c r="U123" s="147" t="s">
        <v>1828</v>
      </c>
      <c r="V123" s="197"/>
      <c r="W123" s="198" t="s">
        <v>1829</v>
      </c>
      <c r="X123" s="181">
        <v>30.0</v>
      </c>
      <c r="Y123" s="166">
        <f t="shared" si="6"/>
        <v>30</v>
      </c>
      <c r="Z123" s="26">
        <f t="shared" si="7"/>
        <v>0</v>
      </c>
      <c r="AA123" s="26">
        <f t="shared" si="8"/>
        <v>0</v>
      </c>
      <c r="AB123" s="26">
        <f t="shared" si="9"/>
        <v>0</v>
      </c>
      <c r="AC123" s="155">
        <v>0.0</v>
      </c>
      <c r="AD123" s="155">
        <v>0.0</v>
      </c>
      <c r="AE123" s="155">
        <v>0.0</v>
      </c>
      <c r="AF123" s="155">
        <v>0.0</v>
      </c>
      <c r="AG123" s="155">
        <v>0.0</v>
      </c>
      <c r="AH123" s="155">
        <v>0.0</v>
      </c>
      <c r="BN123" s="155">
        <v>0.0</v>
      </c>
      <c r="BO123" s="155">
        <v>0.0</v>
      </c>
      <c r="BP123" s="155">
        <v>0.0</v>
      </c>
      <c r="BQ123" s="155">
        <v>0.0</v>
      </c>
      <c r="BR123" s="155">
        <v>0.0</v>
      </c>
      <c r="BS123" s="155">
        <v>0.0</v>
      </c>
      <c r="CV123" s="156">
        <v>0.0</v>
      </c>
      <c r="CW123" s="156">
        <v>0.0</v>
      </c>
      <c r="CX123" s="156">
        <v>0.0</v>
      </c>
      <c r="CY123" s="156">
        <v>0.0</v>
      </c>
      <c r="CZ123" s="156">
        <v>0.0</v>
      </c>
      <c r="DA123" s="156">
        <v>0.0</v>
      </c>
      <c r="EG123" s="156">
        <v>0.0</v>
      </c>
      <c r="EH123" s="156">
        <v>0.0</v>
      </c>
      <c r="EI123" s="156">
        <v>0.0</v>
      </c>
      <c r="EJ123" s="156">
        <v>0.0</v>
      </c>
      <c r="EK123" s="156">
        <v>0.0</v>
      </c>
      <c r="EL123" s="156">
        <v>0.0</v>
      </c>
      <c r="FQ123" s="156">
        <v>0.0</v>
      </c>
      <c r="FR123" s="156">
        <v>0.0</v>
      </c>
      <c r="FS123" s="156">
        <v>0.0</v>
      </c>
      <c r="FT123" s="156">
        <v>0.0</v>
      </c>
      <c r="FU123" s="156">
        <v>0.0</v>
      </c>
      <c r="FV123" s="156">
        <v>0.0</v>
      </c>
      <c r="FW123" s="157"/>
      <c r="FX123" s="157"/>
      <c r="FY123" s="157"/>
      <c r="FZ123" s="157"/>
      <c r="GA123" s="157"/>
      <c r="GB123" s="157"/>
      <c r="GC123" s="157"/>
      <c r="GD123" s="157"/>
      <c r="GE123" s="157"/>
      <c r="GF123" s="157"/>
      <c r="GG123" s="157"/>
      <c r="GH123" s="157"/>
      <c r="GI123" s="157"/>
      <c r="GJ123" s="157"/>
      <c r="GK123" s="157"/>
      <c r="GL123" s="157"/>
      <c r="GM123" s="157"/>
      <c r="GN123" s="157"/>
      <c r="GO123" s="157"/>
      <c r="GP123" s="158"/>
      <c r="GQ123" s="157"/>
      <c r="GR123" s="157"/>
      <c r="GS123" s="157"/>
      <c r="GT123" s="157"/>
      <c r="GU123" s="157"/>
      <c r="GV123" s="157"/>
      <c r="GW123" s="157"/>
      <c r="GX123" s="157"/>
      <c r="GY123" s="157"/>
      <c r="GZ123" s="157"/>
      <c r="HA123" s="157"/>
      <c r="HB123" s="155">
        <v>0.0</v>
      </c>
      <c r="HC123" s="155">
        <v>0.0</v>
      </c>
      <c r="HD123" s="155">
        <v>0.0</v>
      </c>
      <c r="HE123" s="155">
        <v>0.0</v>
      </c>
      <c r="HF123" s="155">
        <v>0.0</v>
      </c>
      <c r="HG123" s="155">
        <v>0.0</v>
      </c>
      <c r="IL123" s="159">
        <v>0.0</v>
      </c>
      <c r="IM123" s="156">
        <v>0.0</v>
      </c>
      <c r="IN123" s="156">
        <v>0.0</v>
      </c>
      <c r="IO123" s="156">
        <v>0.0</v>
      </c>
      <c r="IP123" s="156">
        <v>0.0</v>
      </c>
      <c r="IQ123" s="160">
        <v>0.0</v>
      </c>
      <c r="JH123" s="25"/>
      <c r="JW123" s="159">
        <v>0.0</v>
      </c>
      <c r="JX123" s="156">
        <v>0.0</v>
      </c>
      <c r="JY123" s="156">
        <v>0.0</v>
      </c>
      <c r="JZ123" s="156">
        <v>0.0</v>
      </c>
      <c r="KA123" s="156">
        <v>0.0</v>
      </c>
      <c r="KB123" s="160">
        <v>0.0</v>
      </c>
      <c r="LH123" s="159">
        <f t="shared" si="10"/>
        <v>0</v>
      </c>
      <c r="LI123" s="156">
        <f t="shared" si="11"/>
        <v>0</v>
      </c>
      <c r="LJ123" s="156">
        <f t="shared" si="12"/>
        <v>0</v>
      </c>
      <c r="LK123" s="156">
        <f t="shared" si="13"/>
        <v>0</v>
      </c>
      <c r="LL123" s="156">
        <f t="shared" si="14"/>
        <v>0</v>
      </c>
      <c r="LM123" s="160">
        <f t="shared" si="15"/>
        <v>0</v>
      </c>
      <c r="QX123" s="107">
        <v>45836.0</v>
      </c>
    </row>
    <row r="124">
      <c r="A124" s="12"/>
      <c r="B124" s="12"/>
      <c r="C124" s="12"/>
      <c r="D124" s="12"/>
      <c r="E124" s="12"/>
      <c r="F124" s="12"/>
      <c r="G124" s="12"/>
      <c r="H124" s="12"/>
      <c r="I124" s="143">
        <f t="shared" si="5"/>
        <v>-21</v>
      </c>
      <c r="J124" s="144">
        <v>45842.0</v>
      </c>
      <c r="K124" s="195" t="s">
        <v>61</v>
      </c>
      <c r="L124" s="144">
        <v>45939.0</v>
      </c>
      <c r="M124" s="147" t="s">
        <v>720</v>
      </c>
      <c r="N124" s="148">
        <v>257.0</v>
      </c>
      <c r="O124" s="148">
        <v>30.0</v>
      </c>
      <c r="P124" s="26"/>
      <c r="Q124" s="26"/>
      <c r="R124" s="26"/>
      <c r="S124" s="26"/>
      <c r="T124" s="26"/>
      <c r="U124" s="147" t="s">
        <v>1837</v>
      </c>
      <c r="V124" s="149" t="s">
        <v>1838</v>
      </c>
      <c r="W124" s="198" t="s">
        <v>1839</v>
      </c>
      <c r="X124" s="181">
        <v>21.0</v>
      </c>
      <c r="Y124" s="166">
        <f t="shared" si="6"/>
        <v>21</v>
      </c>
      <c r="Z124" s="26">
        <f t="shared" si="7"/>
        <v>0</v>
      </c>
      <c r="AA124" s="26">
        <f t="shared" si="8"/>
        <v>0</v>
      </c>
      <c r="AB124" s="26">
        <f t="shared" si="9"/>
        <v>0</v>
      </c>
      <c r="AC124" s="155">
        <v>0.0</v>
      </c>
      <c r="AD124" s="155">
        <v>0.0</v>
      </c>
      <c r="AE124" s="155">
        <v>0.0</v>
      </c>
      <c r="AF124" s="155">
        <v>0.0</v>
      </c>
      <c r="AG124" s="155">
        <v>0.0</v>
      </c>
      <c r="AH124" s="155">
        <v>0.0</v>
      </c>
      <c r="BN124" s="155">
        <v>0.0</v>
      </c>
      <c r="BO124" s="155">
        <v>0.0</v>
      </c>
      <c r="BP124" s="155">
        <v>0.0</v>
      </c>
      <c r="BQ124" s="155">
        <v>0.0</v>
      </c>
      <c r="BR124" s="155">
        <v>0.0</v>
      </c>
      <c r="BS124" s="155">
        <v>0.0</v>
      </c>
      <c r="CV124" s="156">
        <v>0.0</v>
      </c>
      <c r="CW124" s="156">
        <v>0.0</v>
      </c>
      <c r="CX124" s="156">
        <v>0.0</v>
      </c>
      <c r="CY124" s="156">
        <v>0.0</v>
      </c>
      <c r="CZ124" s="156">
        <v>0.0</v>
      </c>
      <c r="DA124" s="156">
        <v>0.0</v>
      </c>
      <c r="EG124" s="156">
        <v>0.0</v>
      </c>
      <c r="EH124" s="156">
        <v>0.0</v>
      </c>
      <c r="EI124" s="156">
        <v>0.0</v>
      </c>
      <c r="EJ124" s="156">
        <v>0.0</v>
      </c>
      <c r="EK124" s="156">
        <v>0.0</v>
      </c>
      <c r="EL124" s="156">
        <v>0.0</v>
      </c>
      <c r="FQ124" s="156">
        <v>0.0</v>
      </c>
      <c r="FR124" s="156">
        <v>0.0</v>
      </c>
      <c r="FS124" s="156">
        <v>0.0</v>
      </c>
      <c r="FT124" s="156">
        <v>0.0</v>
      </c>
      <c r="FU124" s="156">
        <v>0.0</v>
      </c>
      <c r="FV124" s="156">
        <v>0.0</v>
      </c>
      <c r="FW124" s="157"/>
      <c r="FX124" s="157"/>
      <c r="FY124" s="157"/>
      <c r="FZ124" s="157"/>
      <c r="GA124" s="157"/>
      <c r="GB124" s="157"/>
      <c r="GC124" s="157"/>
      <c r="GD124" s="157"/>
      <c r="GE124" s="157"/>
      <c r="GF124" s="157"/>
      <c r="GG124" s="157"/>
      <c r="GH124" s="157"/>
      <c r="GI124" s="157"/>
      <c r="GJ124" s="157"/>
      <c r="GK124" s="157"/>
      <c r="GL124" s="157"/>
      <c r="GM124" s="157"/>
      <c r="GN124" s="157"/>
      <c r="GO124" s="157"/>
      <c r="GP124" s="158"/>
      <c r="GQ124" s="157"/>
      <c r="GR124" s="157"/>
      <c r="GS124" s="157"/>
      <c r="GT124" s="157"/>
      <c r="GU124" s="157"/>
      <c r="GV124" s="157"/>
      <c r="GW124" s="157"/>
      <c r="GX124" s="157"/>
      <c r="GY124" s="157"/>
      <c r="GZ124" s="157"/>
      <c r="HA124" s="157"/>
      <c r="HB124" s="155">
        <v>0.0</v>
      </c>
      <c r="HC124" s="155">
        <v>0.0</v>
      </c>
      <c r="HD124" s="155">
        <v>0.0</v>
      </c>
      <c r="HE124" s="155">
        <v>0.0</v>
      </c>
      <c r="HF124" s="155">
        <v>0.0</v>
      </c>
      <c r="HG124" s="155">
        <v>0.0</v>
      </c>
      <c r="IL124" s="159">
        <v>0.0</v>
      </c>
      <c r="IM124" s="156">
        <v>0.0</v>
      </c>
      <c r="IN124" s="156">
        <v>0.0</v>
      </c>
      <c r="IO124" s="156">
        <v>0.0</v>
      </c>
      <c r="IP124" s="156">
        <v>0.0</v>
      </c>
      <c r="IQ124" s="160">
        <v>0.0</v>
      </c>
      <c r="JH124" s="25"/>
      <c r="JW124" s="159">
        <v>0.0</v>
      </c>
      <c r="JX124" s="156">
        <v>0.0</v>
      </c>
      <c r="JY124" s="156">
        <v>0.0</v>
      </c>
      <c r="JZ124" s="156">
        <v>0.0</v>
      </c>
      <c r="KA124" s="156">
        <v>0.0</v>
      </c>
      <c r="KB124" s="160">
        <v>0.0</v>
      </c>
      <c r="LH124" s="159">
        <f t="shared" si="10"/>
        <v>0</v>
      </c>
      <c r="LI124" s="156">
        <f t="shared" si="11"/>
        <v>0</v>
      </c>
      <c r="LJ124" s="156">
        <f t="shared" si="12"/>
        <v>0</v>
      </c>
      <c r="LK124" s="156">
        <f t="shared" si="13"/>
        <v>0</v>
      </c>
      <c r="LL124" s="156">
        <f t="shared" si="14"/>
        <v>0</v>
      </c>
      <c r="LM124" s="160">
        <f t="shared" si="15"/>
        <v>0</v>
      </c>
      <c r="QX124" s="107">
        <v>45836.0</v>
      </c>
    </row>
    <row r="125">
      <c r="A125" s="12"/>
      <c r="B125" s="12"/>
      <c r="C125" s="12"/>
      <c r="D125" s="12"/>
      <c r="E125" s="12"/>
      <c r="F125" s="12"/>
      <c r="G125" s="12"/>
      <c r="H125" s="12"/>
      <c r="I125" s="143">
        <f t="shared" si="5"/>
        <v>-30</v>
      </c>
      <c r="J125" s="144">
        <v>45849.0</v>
      </c>
      <c r="K125" s="173" t="s">
        <v>61</v>
      </c>
      <c r="L125" s="144">
        <v>45926.0</v>
      </c>
      <c r="M125" s="267" t="s">
        <v>107</v>
      </c>
      <c r="N125" s="268">
        <v>246.0</v>
      </c>
      <c r="O125" s="268">
        <v>45.0</v>
      </c>
      <c r="P125" s="98"/>
      <c r="Q125" s="98"/>
      <c r="R125" s="98"/>
      <c r="S125" s="98"/>
      <c r="T125" s="98"/>
      <c r="U125" s="267" t="s">
        <v>1331</v>
      </c>
      <c r="V125" s="269"/>
      <c r="W125" s="270" t="s">
        <v>1332</v>
      </c>
      <c r="X125" s="181">
        <v>30.0</v>
      </c>
      <c r="Y125" s="166">
        <f t="shared" si="6"/>
        <v>30</v>
      </c>
      <c r="Z125" s="26">
        <f t="shared" si="7"/>
        <v>0</v>
      </c>
      <c r="AA125" s="26">
        <f t="shared" si="8"/>
        <v>0</v>
      </c>
      <c r="AB125" s="26">
        <f t="shared" si="9"/>
        <v>0</v>
      </c>
      <c r="AC125" s="155">
        <v>0.0</v>
      </c>
      <c r="AD125" s="155">
        <v>0.0</v>
      </c>
      <c r="AE125" s="155">
        <v>0.0</v>
      </c>
      <c r="AF125" s="155">
        <v>0.0</v>
      </c>
      <c r="AG125" s="155">
        <v>0.0</v>
      </c>
      <c r="AH125" s="155">
        <v>0.0</v>
      </c>
      <c r="BN125" s="155">
        <v>0.0</v>
      </c>
      <c r="BO125" s="155">
        <v>0.0</v>
      </c>
      <c r="BP125" s="155">
        <v>0.0</v>
      </c>
      <c r="BQ125" s="155">
        <v>0.0</v>
      </c>
      <c r="BR125" s="155">
        <v>0.0</v>
      </c>
      <c r="BS125" s="155">
        <v>0.0</v>
      </c>
      <c r="CV125" s="156">
        <v>0.0</v>
      </c>
      <c r="CW125" s="156">
        <v>0.0</v>
      </c>
      <c r="CX125" s="156">
        <v>0.0</v>
      </c>
      <c r="CY125" s="156">
        <v>0.0</v>
      </c>
      <c r="CZ125" s="156">
        <v>0.0</v>
      </c>
      <c r="DA125" s="156">
        <v>0.0</v>
      </c>
      <c r="EG125" s="156">
        <v>0.0</v>
      </c>
      <c r="EH125" s="156">
        <v>0.0</v>
      </c>
      <c r="EI125" s="156">
        <v>0.0</v>
      </c>
      <c r="EJ125" s="156">
        <v>0.0</v>
      </c>
      <c r="EK125" s="156">
        <v>0.0</v>
      </c>
      <c r="EL125" s="156">
        <v>0.0</v>
      </c>
      <c r="FQ125" s="156">
        <v>0.0</v>
      </c>
      <c r="FR125" s="156">
        <v>0.0</v>
      </c>
      <c r="FS125" s="156">
        <v>0.0</v>
      </c>
      <c r="FT125" s="156">
        <v>0.0</v>
      </c>
      <c r="FU125" s="156">
        <v>0.0</v>
      </c>
      <c r="FV125" s="156">
        <v>0.0</v>
      </c>
      <c r="FW125" s="157"/>
      <c r="FX125" s="157"/>
      <c r="FY125" s="157"/>
      <c r="FZ125" s="157"/>
      <c r="GA125" s="157"/>
      <c r="GB125" s="157"/>
      <c r="GC125" s="157"/>
      <c r="GD125" s="157"/>
      <c r="GE125" s="157"/>
      <c r="GF125" s="157"/>
      <c r="GG125" s="157"/>
      <c r="GH125" s="157"/>
      <c r="GI125" s="157"/>
      <c r="GJ125" s="157"/>
      <c r="GK125" s="157"/>
      <c r="GL125" s="157"/>
      <c r="GM125" s="157"/>
      <c r="GN125" s="157"/>
      <c r="GO125" s="157"/>
      <c r="GP125" s="158"/>
      <c r="GQ125" s="157"/>
      <c r="GR125" s="157"/>
      <c r="GS125" s="157"/>
      <c r="GT125" s="157"/>
      <c r="GU125" s="157"/>
      <c r="GV125" s="157"/>
      <c r="GW125" s="157"/>
      <c r="GX125" s="157"/>
      <c r="GY125" s="157"/>
      <c r="GZ125" s="157"/>
      <c r="HA125" s="157"/>
      <c r="HB125" s="155">
        <v>0.0</v>
      </c>
      <c r="HC125" s="155">
        <v>0.0</v>
      </c>
      <c r="HD125" s="155">
        <v>0.0</v>
      </c>
      <c r="HE125" s="155">
        <v>0.0</v>
      </c>
      <c r="HF125" s="155">
        <v>0.0</v>
      </c>
      <c r="HG125" s="155">
        <v>0.0</v>
      </c>
      <c r="IL125" s="159">
        <v>0.0</v>
      </c>
      <c r="IM125" s="156">
        <v>0.0</v>
      </c>
      <c r="IN125" s="156">
        <v>0.0</v>
      </c>
      <c r="IO125" s="156">
        <v>0.0</v>
      </c>
      <c r="IP125" s="156">
        <v>0.0</v>
      </c>
      <c r="IQ125" s="160">
        <v>0.0</v>
      </c>
      <c r="JH125" s="25"/>
      <c r="JW125" s="159">
        <v>0.0</v>
      </c>
      <c r="JX125" s="156">
        <v>0.0</v>
      </c>
      <c r="JY125" s="156">
        <v>0.0</v>
      </c>
      <c r="JZ125" s="156">
        <v>0.0</v>
      </c>
      <c r="KA125" s="156">
        <v>0.0</v>
      </c>
      <c r="KB125" s="160">
        <v>0.0</v>
      </c>
      <c r="LH125" s="159">
        <f t="shared" si="10"/>
        <v>0</v>
      </c>
      <c r="LI125" s="156">
        <f t="shared" si="11"/>
        <v>0</v>
      </c>
      <c r="LJ125" s="156">
        <f t="shared" si="12"/>
        <v>0</v>
      </c>
      <c r="LK125" s="156">
        <f t="shared" si="13"/>
        <v>0</v>
      </c>
      <c r="LL125" s="156">
        <f t="shared" si="14"/>
        <v>0</v>
      </c>
      <c r="LM125" s="160">
        <f t="shared" si="15"/>
        <v>0</v>
      </c>
      <c r="QX125" s="107">
        <v>45838.0</v>
      </c>
    </row>
    <row r="126">
      <c r="A126" s="12"/>
      <c r="B126" s="12"/>
      <c r="C126" s="12"/>
      <c r="D126" s="12"/>
      <c r="E126" s="12"/>
      <c r="F126" s="12"/>
      <c r="G126" s="12"/>
      <c r="H126" s="12"/>
      <c r="I126" s="143">
        <f t="shared" si="5"/>
        <v>-30</v>
      </c>
      <c r="J126" s="144">
        <v>45840.0</v>
      </c>
      <c r="K126" s="173" t="s">
        <v>61</v>
      </c>
      <c r="L126" s="144">
        <v>45964.0</v>
      </c>
      <c r="M126" s="298" t="s">
        <v>400</v>
      </c>
      <c r="N126" s="299">
        <v>246.0</v>
      </c>
      <c r="O126" s="299">
        <v>45.0</v>
      </c>
      <c r="P126" s="300"/>
      <c r="Q126" s="300"/>
      <c r="R126" s="300"/>
      <c r="S126" s="300"/>
      <c r="T126" s="300"/>
      <c r="U126" s="298" t="s">
        <v>1852</v>
      </c>
      <c r="V126" s="301" t="s">
        <v>1217</v>
      </c>
      <c r="W126" s="302" t="s">
        <v>1568</v>
      </c>
      <c r="X126" s="181">
        <v>30.0</v>
      </c>
      <c r="Y126" s="166">
        <f t="shared" si="6"/>
        <v>30</v>
      </c>
      <c r="Z126" s="26">
        <f t="shared" si="7"/>
        <v>0</v>
      </c>
      <c r="AA126" s="26">
        <f t="shared" si="8"/>
        <v>0</v>
      </c>
      <c r="AB126" s="26">
        <f t="shared" si="9"/>
        <v>0</v>
      </c>
      <c r="AC126" s="155">
        <v>0.0</v>
      </c>
      <c r="AD126" s="155">
        <v>0.0</v>
      </c>
      <c r="AE126" s="155">
        <v>0.0</v>
      </c>
      <c r="AF126" s="155">
        <v>0.0</v>
      </c>
      <c r="AG126" s="155">
        <v>0.0</v>
      </c>
      <c r="AH126" s="155">
        <v>0.0</v>
      </c>
      <c r="BN126" s="155">
        <v>0.0</v>
      </c>
      <c r="BO126" s="155">
        <v>0.0</v>
      </c>
      <c r="BP126" s="155">
        <v>0.0</v>
      </c>
      <c r="BQ126" s="155">
        <v>0.0</v>
      </c>
      <c r="BR126" s="155">
        <v>0.0</v>
      </c>
      <c r="BS126" s="155">
        <v>0.0</v>
      </c>
      <c r="CV126" s="156">
        <v>0.0</v>
      </c>
      <c r="CW126" s="156">
        <v>0.0</v>
      </c>
      <c r="CX126" s="156">
        <v>0.0</v>
      </c>
      <c r="CY126" s="156">
        <v>0.0</v>
      </c>
      <c r="CZ126" s="156">
        <v>0.0</v>
      </c>
      <c r="DA126" s="156">
        <v>0.0</v>
      </c>
      <c r="EG126" s="156">
        <v>0.0</v>
      </c>
      <c r="EH126" s="156">
        <v>0.0</v>
      </c>
      <c r="EI126" s="156">
        <v>0.0</v>
      </c>
      <c r="EJ126" s="156">
        <v>0.0</v>
      </c>
      <c r="EK126" s="156">
        <v>0.0</v>
      </c>
      <c r="EL126" s="156">
        <v>0.0</v>
      </c>
      <c r="FQ126" s="156">
        <v>0.0</v>
      </c>
      <c r="FR126" s="156">
        <v>0.0</v>
      </c>
      <c r="FS126" s="156">
        <v>0.0</v>
      </c>
      <c r="FT126" s="156">
        <v>0.0</v>
      </c>
      <c r="FU126" s="156">
        <v>0.0</v>
      </c>
      <c r="FV126" s="156">
        <v>0.0</v>
      </c>
      <c r="FW126" s="157"/>
      <c r="FX126" s="157"/>
      <c r="FY126" s="157"/>
      <c r="FZ126" s="157"/>
      <c r="GA126" s="157"/>
      <c r="GB126" s="157"/>
      <c r="GC126" s="157"/>
      <c r="GD126" s="157"/>
      <c r="GE126" s="157"/>
      <c r="GF126" s="157"/>
      <c r="GG126" s="157"/>
      <c r="GH126" s="157"/>
      <c r="GI126" s="157"/>
      <c r="GJ126" s="157"/>
      <c r="GK126" s="157"/>
      <c r="GL126" s="157"/>
      <c r="GM126" s="157"/>
      <c r="GN126" s="157"/>
      <c r="GO126" s="157"/>
      <c r="GP126" s="158"/>
      <c r="GQ126" s="157"/>
      <c r="GR126" s="157"/>
      <c r="GS126" s="157"/>
      <c r="GT126" s="157"/>
      <c r="GU126" s="157"/>
      <c r="GV126" s="157"/>
      <c r="GW126" s="157"/>
      <c r="GX126" s="157"/>
      <c r="GY126" s="157"/>
      <c r="GZ126" s="157"/>
      <c r="HA126" s="157"/>
      <c r="HB126" s="155">
        <v>0.0</v>
      </c>
      <c r="HC126" s="155">
        <v>0.0</v>
      </c>
      <c r="HD126" s="155">
        <v>0.0</v>
      </c>
      <c r="HE126" s="155">
        <v>0.0</v>
      </c>
      <c r="HF126" s="155">
        <v>0.0</v>
      </c>
      <c r="HG126" s="155">
        <v>0.0</v>
      </c>
      <c r="IL126" s="159">
        <v>0.0</v>
      </c>
      <c r="IM126" s="156">
        <v>0.0</v>
      </c>
      <c r="IN126" s="156">
        <v>0.0</v>
      </c>
      <c r="IO126" s="156">
        <v>0.0</v>
      </c>
      <c r="IP126" s="156">
        <v>0.0</v>
      </c>
      <c r="IQ126" s="160">
        <v>0.0</v>
      </c>
      <c r="JH126" s="25"/>
      <c r="JW126" s="159">
        <v>0.0</v>
      </c>
      <c r="JX126" s="156">
        <v>0.0</v>
      </c>
      <c r="JY126" s="156">
        <v>0.0</v>
      </c>
      <c r="JZ126" s="156">
        <v>0.0</v>
      </c>
      <c r="KA126" s="156">
        <v>0.0</v>
      </c>
      <c r="KB126" s="160">
        <v>0.0</v>
      </c>
      <c r="LH126" s="159">
        <f t="shared" si="10"/>
        <v>0</v>
      </c>
      <c r="LI126" s="156">
        <f t="shared" si="11"/>
        <v>0</v>
      </c>
      <c r="LJ126" s="156">
        <f t="shared" si="12"/>
        <v>0</v>
      </c>
      <c r="LK126" s="156">
        <f t="shared" si="13"/>
        <v>0</v>
      </c>
      <c r="LL126" s="156">
        <f t="shared" si="14"/>
        <v>0</v>
      </c>
      <c r="LM126" s="160">
        <f t="shared" si="15"/>
        <v>0</v>
      </c>
      <c r="QX126" s="107">
        <v>45838.0</v>
      </c>
    </row>
    <row r="127">
      <c r="A127" s="12"/>
      <c r="B127" s="12"/>
      <c r="C127" s="12"/>
      <c r="D127" s="12"/>
      <c r="E127" s="12"/>
      <c r="F127" s="12"/>
      <c r="G127" s="12"/>
      <c r="H127" s="12"/>
      <c r="I127" s="143">
        <f t="shared" si="5"/>
        <v>-30</v>
      </c>
      <c r="J127" s="144">
        <v>45840.0</v>
      </c>
      <c r="K127" s="173" t="s">
        <v>61</v>
      </c>
      <c r="L127" s="144">
        <v>45964.0</v>
      </c>
      <c r="M127" s="298" t="s">
        <v>400</v>
      </c>
      <c r="N127" s="299">
        <v>246.0</v>
      </c>
      <c r="O127" s="299">
        <v>45.0</v>
      </c>
      <c r="P127" s="300"/>
      <c r="Q127" s="300"/>
      <c r="R127" s="300"/>
      <c r="S127" s="300"/>
      <c r="T127" s="300"/>
      <c r="U127" s="298" t="s">
        <v>1852</v>
      </c>
      <c r="V127" s="301" t="s">
        <v>1217</v>
      </c>
      <c r="W127" s="303" t="s">
        <v>1568</v>
      </c>
      <c r="X127" s="181">
        <v>30.0</v>
      </c>
      <c r="Y127" s="166">
        <f t="shared" si="6"/>
        <v>30</v>
      </c>
      <c r="Z127" s="26">
        <f t="shared" si="7"/>
        <v>0</v>
      </c>
      <c r="AA127" s="26">
        <f t="shared" si="8"/>
        <v>0</v>
      </c>
      <c r="AB127" s="26">
        <f t="shared" si="9"/>
        <v>0</v>
      </c>
      <c r="AC127" s="155">
        <v>0.0</v>
      </c>
      <c r="AD127" s="155">
        <v>0.0</v>
      </c>
      <c r="AE127" s="155">
        <v>0.0</v>
      </c>
      <c r="AF127" s="155">
        <v>0.0</v>
      </c>
      <c r="AG127" s="155">
        <v>0.0</v>
      </c>
      <c r="AH127" s="155">
        <v>0.0</v>
      </c>
      <c r="BN127" s="155">
        <v>0.0</v>
      </c>
      <c r="BO127" s="155">
        <v>0.0</v>
      </c>
      <c r="BP127" s="155">
        <v>0.0</v>
      </c>
      <c r="BQ127" s="155">
        <v>0.0</v>
      </c>
      <c r="BR127" s="155">
        <v>0.0</v>
      </c>
      <c r="BS127" s="155">
        <v>0.0</v>
      </c>
      <c r="CV127" s="156">
        <v>0.0</v>
      </c>
      <c r="CW127" s="156">
        <v>0.0</v>
      </c>
      <c r="CX127" s="156">
        <v>0.0</v>
      </c>
      <c r="CY127" s="156">
        <v>0.0</v>
      </c>
      <c r="CZ127" s="156">
        <v>0.0</v>
      </c>
      <c r="DA127" s="156">
        <v>0.0</v>
      </c>
      <c r="EG127" s="156">
        <v>0.0</v>
      </c>
      <c r="EH127" s="156">
        <v>0.0</v>
      </c>
      <c r="EI127" s="156">
        <v>0.0</v>
      </c>
      <c r="EJ127" s="156">
        <v>0.0</v>
      </c>
      <c r="EK127" s="156">
        <v>0.0</v>
      </c>
      <c r="EL127" s="156">
        <v>0.0</v>
      </c>
      <c r="FQ127" s="156">
        <v>0.0</v>
      </c>
      <c r="FR127" s="156">
        <v>0.0</v>
      </c>
      <c r="FS127" s="156">
        <v>0.0</v>
      </c>
      <c r="FT127" s="156">
        <v>0.0</v>
      </c>
      <c r="FU127" s="156">
        <v>0.0</v>
      </c>
      <c r="FV127" s="156">
        <v>0.0</v>
      </c>
      <c r="FW127" s="157"/>
      <c r="FX127" s="157"/>
      <c r="FY127" s="157"/>
      <c r="FZ127" s="157"/>
      <c r="GA127" s="157"/>
      <c r="GB127" s="157"/>
      <c r="GC127" s="157"/>
      <c r="GD127" s="157"/>
      <c r="GE127" s="157"/>
      <c r="GF127" s="157"/>
      <c r="GG127" s="157"/>
      <c r="GH127" s="157"/>
      <c r="GI127" s="157"/>
      <c r="GJ127" s="157"/>
      <c r="GK127" s="157"/>
      <c r="GL127" s="157"/>
      <c r="GM127" s="157"/>
      <c r="GN127" s="157"/>
      <c r="GO127" s="157"/>
      <c r="GP127" s="158"/>
      <c r="GQ127" s="157"/>
      <c r="GR127" s="157"/>
      <c r="GS127" s="157"/>
      <c r="GT127" s="157"/>
      <c r="GU127" s="157"/>
      <c r="GV127" s="157"/>
      <c r="GW127" s="157"/>
      <c r="GX127" s="157"/>
      <c r="GY127" s="157"/>
      <c r="GZ127" s="157"/>
      <c r="HA127" s="157"/>
      <c r="HB127" s="155">
        <v>0.0</v>
      </c>
      <c r="HC127" s="155">
        <v>0.0</v>
      </c>
      <c r="HD127" s="155">
        <v>0.0</v>
      </c>
      <c r="HE127" s="155">
        <v>0.0</v>
      </c>
      <c r="HF127" s="155">
        <v>0.0</v>
      </c>
      <c r="HG127" s="155">
        <v>0.0</v>
      </c>
      <c r="IL127" s="159">
        <v>0.0</v>
      </c>
      <c r="IM127" s="156">
        <v>0.0</v>
      </c>
      <c r="IN127" s="156">
        <v>0.0</v>
      </c>
      <c r="IO127" s="156">
        <v>0.0</v>
      </c>
      <c r="IP127" s="156">
        <v>0.0</v>
      </c>
      <c r="IQ127" s="160">
        <v>0.0</v>
      </c>
      <c r="JH127" s="25"/>
      <c r="JW127" s="159">
        <v>0.0</v>
      </c>
      <c r="JX127" s="156">
        <v>0.0</v>
      </c>
      <c r="JY127" s="156">
        <v>0.0</v>
      </c>
      <c r="JZ127" s="156">
        <v>0.0</v>
      </c>
      <c r="KA127" s="156">
        <v>0.0</v>
      </c>
      <c r="KB127" s="160">
        <v>0.0</v>
      </c>
      <c r="LH127" s="159">
        <f t="shared" si="10"/>
        <v>0</v>
      </c>
      <c r="LI127" s="156">
        <f t="shared" si="11"/>
        <v>0</v>
      </c>
      <c r="LJ127" s="156">
        <f t="shared" si="12"/>
        <v>0</v>
      </c>
      <c r="LK127" s="156">
        <f t="shared" si="13"/>
        <v>0</v>
      </c>
      <c r="LL127" s="156">
        <f t="shared" si="14"/>
        <v>0</v>
      </c>
      <c r="LM127" s="160">
        <f t="shared" si="15"/>
        <v>0</v>
      </c>
      <c r="QX127" s="107">
        <v>45838.0</v>
      </c>
    </row>
    <row r="128">
      <c r="A128" s="12"/>
      <c r="B128" s="12"/>
      <c r="C128" s="12"/>
      <c r="D128" s="12"/>
      <c r="E128" s="12"/>
      <c r="F128" s="12"/>
      <c r="G128" s="12"/>
      <c r="H128" s="12"/>
      <c r="I128" s="143">
        <f t="shared" si="5"/>
        <v>-12</v>
      </c>
      <c r="J128" s="144">
        <v>45838.0</v>
      </c>
      <c r="K128" s="173" t="s">
        <v>61</v>
      </c>
      <c r="L128" s="144">
        <v>45871.0</v>
      </c>
      <c r="M128" s="287" t="s">
        <v>1157</v>
      </c>
      <c r="N128" s="288">
        <v>246.0</v>
      </c>
      <c r="O128" s="288">
        <v>45.0</v>
      </c>
      <c r="P128" s="289"/>
      <c r="Q128" s="289"/>
      <c r="R128" s="289"/>
      <c r="S128" s="289"/>
      <c r="T128" s="289"/>
      <c r="U128" s="287" t="s">
        <v>990</v>
      </c>
      <c r="V128" s="304"/>
      <c r="W128" s="291" t="s">
        <v>1864</v>
      </c>
      <c r="X128" s="181">
        <v>12.0</v>
      </c>
      <c r="Y128" s="166">
        <f t="shared" si="6"/>
        <v>12</v>
      </c>
      <c r="Z128" s="26">
        <f t="shared" si="7"/>
        <v>0</v>
      </c>
      <c r="AA128" s="26">
        <f t="shared" si="8"/>
        <v>0</v>
      </c>
      <c r="AB128" s="26">
        <f t="shared" si="9"/>
        <v>0</v>
      </c>
      <c r="AC128" s="155">
        <v>0.0</v>
      </c>
      <c r="AD128" s="155">
        <v>0.0</v>
      </c>
      <c r="AE128" s="155">
        <v>0.0</v>
      </c>
      <c r="AF128" s="155">
        <v>0.0</v>
      </c>
      <c r="AG128" s="155">
        <v>0.0</v>
      </c>
      <c r="AH128" s="155">
        <v>0.0</v>
      </c>
      <c r="BN128" s="155">
        <v>0.0</v>
      </c>
      <c r="BO128" s="155">
        <v>0.0</v>
      </c>
      <c r="BP128" s="155">
        <v>0.0</v>
      </c>
      <c r="BQ128" s="155">
        <v>0.0</v>
      </c>
      <c r="BR128" s="155">
        <v>0.0</v>
      </c>
      <c r="BS128" s="155">
        <v>0.0</v>
      </c>
      <c r="CV128" s="156">
        <v>0.0</v>
      </c>
      <c r="CW128" s="156">
        <v>0.0</v>
      </c>
      <c r="CX128" s="156">
        <v>0.0</v>
      </c>
      <c r="CY128" s="156">
        <v>0.0</v>
      </c>
      <c r="CZ128" s="156">
        <v>0.0</v>
      </c>
      <c r="DA128" s="156">
        <v>0.0</v>
      </c>
      <c r="EG128" s="156">
        <v>0.0</v>
      </c>
      <c r="EH128" s="156">
        <v>0.0</v>
      </c>
      <c r="EI128" s="156">
        <v>0.0</v>
      </c>
      <c r="EJ128" s="156">
        <v>0.0</v>
      </c>
      <c r="EK128" s="156">
        <v>0.0</v>
      </c>
      <c r="EL128" s="156">
        <v>0.0</v>
      </c>
      <c r="FQ128" s="156">
        <v>0.0</v>
      </c>
      <c r="FR128" s="156">
        <v>0.0</v>
      </c>
      <c r="FS128" s="156">
        <v>0.0</v>
      </c>
      <c r="FT128" s="156">
        <v>0.0</v>
      </c>
      <c r="FU128" s="156">
        <v>0.0</v>
      </c>
      <c r="FV128" s="156">
        <v>0.0</v>
      </c>
      <c r="FW128" s="157"/>
      <c r="FX128" s="157"/>
      <c r="FY128" s="157"/>
      <c r="FZ128" s="157"/>
      <c r="GA128" s="157"/>
      <c r="GB128" s="157"/>
      <c r="GC128" s="157"/>
      <c r="GD128" s="157"/>
      <c r="GE128" s="157"/>
      <c r="GF128" s="157"/>
      <c r="GG128" s="157"/>
      <c r="GH128" s="157"/>
      <c r="GI128" s="157"/>
      <c r="GJ128" s="157"/>
      <c r="GK128" s="157"/>
      <c r="GL128" s="157"/>
      <c r="GM128" s="157"/>
      <c r="GN128" s="157"/>
      <c r="GO128" s="157"/>
      <c r="GP128" s="158"/>
      <c r="GQ128" s="157"/>
      <c r="GR128" s="157"/>
      <c r="GS128" s="157"/>
      <c r="GT128" s="157"/>
      <c r="GU128" s="157"/>
      <c r="GV128" s="157"/>
      <c r="GW128" s="157"/>
      <c r="GX128" s="157"/>
      <c r="GY128" s="157"/>
      <c r="GZ128" s="157"/>
      <c r="HA128" s="157"/>
      <c r="HB128" s="155">
        <v>0.0</v>
      </c>
      <c r="HC128" s="155">
        <v>0.0</v>
      </c>
      <c r="HD128" s="155">
        <v>0.0</v>
      </c>
      <c r="HE128" s="155">
        <v>0.0</v>
      </c>
      <c r="HF128" s="155">
        <v>0.0</v>
      </c>
      <c r="HG128" s="155">
        <v>0.0</v>
      </c>
      <c r="IL128" s="159">
        <v>0.0</v>
      </c>
      <c r="IM128" s="156">
        <v>0.0</v>
      </c>
      <c r="IN128" s="156">
        <v>0.0</v>
      </c>
      <c r="IO128" s="156">
        <v>0.0</v>
      </c>
      <c r="IP128" s="156">
        <v>0.0</v>
      </c>
      <c r="IQ128" s="160">
        <v>0.0</v>
      </c>
      <c r="JH128" s="25"/>
      <c r="JW128" s="159">
        <v>0.0</v>
      </c>
      <c r="JX128" s="156">
        <v>0.0</v>
      </c>
      <c r="JY128" s="156">
        <v>0.0</v>
      </c>
      <c r="JZ128" s="156">
        <v>0.0</v>
      </c>
      <c r="KA128" s="156">
        <v>0.0</v>
      </c>
      <c r="KB128" s="160">
        <v>0.0</v>
      </c>
      <c r="LH128" s="159">
        <f t="shared" si="10"/>
        <v>0</v>
      </c>
      <c r="LI128" s="156">
        <f t="shared" si="11"/>
        <v>0</v>
      </c>
      <c r="LJ128" s="156">
        <f t="shared" si="12"/>
        <v>0</v>
      </c>
      <c r="LK128" s="156">
        <f t="shared" si="13"/>
        <v>0</v>
      </c>
      <c r="LL128" s="156">
        <f t="shared" si="14"/>
        <v>0</v>
      </c>
      <c r="LM128" s="160">
        <f t="shared" si="15"/>
        <v>0</v>
      </c>
      <c r="QX128" s="107">
        <v>45838.0</v>
      </c>
    </row>
    <row r="129">
      <c r="A129" s="12"/>
      <c r="B129" s="12"/>
      <c r="C129" s="12"/>
      <c r="D129" s="12"/>
      <c r="E129" s="12"/>
      <c r="F129" s="12"/>
      <c r="G129" s="12"/>
      <c r="H129" s="12"/>
      <c r="I129" s="143">
        <f t="shared" si="5"/>
        <v>-12</v>
      </c>
      <c r="J129" s="144">
        <v>45838.0</v>
      </c>
      <c r="K129" s="173" t="s">
        <v>61</v>
      </c>
      <c r="L129" s="144">
        <v>45871.0</v>
      </c>
      <c r="M129" s="287" t="s">
        <v>1157</v>
      </c>
      <c r="N129" s="288">
        <v>246.0</v>
      </c>
      <c r="O129" s="288">
        <v>45.0</v>
      </c>
      <c r="P129" s="289"/>
      <c r="Q129" s="289"/>
      <c r="R129" s="289"/>
      <c r="S129" s="289"/>
      <c r="T129" s="289"/>
      <c r="U129" s="287" t="s">
        <v>990</v>
      </c>
      <c r="V129" s="304"/>
      <c r="W129" s="292" t="s">
        <v>1864</v>
      </c>
      <c r="X129" s="181">
        <v>12.0</v>
      </c>
      <c r="Y129" s="166">
        <f t="shared" si="6"/>
        <v>12</v>
      </c>
      <c r="Z129" s="26">
        <f t="shared" si="7"/>
        <v>0</v>
      </c>
      <c r="AA129" s="26">
        <f t="shared" si="8"/>
        <v>0</v>
      </c>
      <c r="AB129" s="26">
        <f t="shared" si="9"/>
        <v>0</v>
      </c>
      <c r="AC129" s="155">
        <v>0.0</v>
      </c>
      <c r="AD129" s="155">
        <v>0.0</v>
      </c>
      <c r="AE129" s="155">
        <v>0.0</v>
      </c>
      <c r="AF129" s="155">
        <v>0.0</v>
      </c>
      <c r="AG129" s="155">
        <v>0.0</v>
      </c>
      <c r="AH129" s="155">
        <v>0.0</v>
      </c>
      <c r="BN129" s="155">
        <v>0.0</v>
      </c>
      <c r="BO129" s="155">
        <v>0.0</v>
      </c>
      <c r="BP129" s="155">
        <v>0.0</v>
      </c>
      <c r="BQ129" s="155">
        <v>0.0</v>
      </c>
      <c r="BR129" s="155">
        <v>0.0</v>
      </c>
      <c r="BS129" s="155">
        <v>0.0</v>
      </c>
      <c r="CV129" s="156">
        <v>0.0</v>
      </c>
      <c r="CW129" s="156">
        <v>0.0</v>
      </c>
      <c r="CX129" s="156">
        <v>0.0</v>
      </c>
      <c r="CY129" s="156">
        <v>0.0</v>
      </c>
      <c r="CZ129" s="156">
        <v>0.0</v>
      </c>
      <c r="DA129" s="156">
        <v>0.0</v>
      </c>
      <c r="EG129" s="156">
        <v>0.0</v>
      </c>
      <c r="EH129" s="156">
        <v>0.0</v>
      </c>
      <c r="EI129" s="156">
        <v>0.0</v>
      </c>
      <c r="EJ129" s="156">
        <v>0.0</v>
      </c>
      <c r="EK129" s="156">
        <v>0.0</v>
      </c>
      <c r="EL129" s="156">
        <v>0.0</v>
      </c>
      <c r="FQ129" s="156">
        <v>0.0</v>
      </c>
      <c r="FR129" s="156">
        <v>0.0</v>
      </c>
      <c r="FS129" s="156">
        <v>0.0</v>
      </c>
      <c r="FT129" s="156">
        <v>0.0</v>
      </c>
      <c r="FU129" s="156">
        <v>0.0</v>
      </c>
      <c r="FV129" s="156">
        <v>0.0</v>
      </c>
      <c r="FW129" s="157"/>
      <c r="FX129" s="157"/>
      <c r="FY129" s="157"/>
      <c r="FZ129" s="157"/>
      <c r="GA129" s="157"/>
      <c r="GB129" s="157"/>
      <c r="GC129" s="157"/>
      <c r="GD129" s="157"/>
      <c r="GE129" s="157"/>
      <c r="GF129" s="157"/>
      <c r="GG129" s="157"/>
      <c r="GH129" s="157"/>
      <c r="GI129" s="157"/>
      <c r="GJ129" s="157"/>
      <c r="GK129" s="157"/>
      <c r="GL129" s="157"/>
      <c r="GM129" s="157"/>
      <c r="GN129" s="157"/>
      <c r="GO129" s="157"/>
      <c r="GP129" s="158"/>
      <c r="GQ129" s="157"/>
      <c r="GR129" s="157"/>
      <c r="GS129" s="157"/>
      <c r="GT129" s="157"/>
      <c r="GU129" s="157"/>
      <c r="GV129" s="157"/>
      <c r="GW129" s="157"/>
      <c r="GX129" s="157"/>
      <c r="GY129" s="157"/>
      <c r="GZ129" s="157"/>
      <c r="HA129" s="157"/>
      <c r="HB129" s="155">
        <v>0.0</v>
      </c>
      <c r="HC129" s="155">
        <v>0.0</v>
      </c>
      <c r="HD129" s="155">
        <v>0.0</v>
      </c>
      <c r="HE129" s="155">
        <v>0.0</v>
      </c>
      <c r="HF129" s="155">
        <v>0.0</v>
      </c>
      <c r="HG129" s="155">
        <v>0.0</v>
      </c>
      <c r="IL129" s="159">
        <v>0.0</v>
      </c>
      <c r="IM129" s="156">
        <v>0.0</v>
      </c>
      <c r="IN129" s="156">
        <v>0.0</v>
      </c>
      <c r="IO129" s="156">
        <v>0.0</v>
      </c>
      <c r="IP129" s="156">
        <v>0.0</v>
      </c>
      <c r="IQ129" s="160">
        <v>0.0</v>
      </c>
      <c r="JH129" s="25"/>
      <c r="JW129" s="159">
        <v>0.0</v>
      </c>
      <c r="JX129" s="156">
        <v>0.0</v>
      </c>
      <c r="JY129" s="156">
        <v>0.0</v>
      </c>
      <c r="JZ129" s="156">
        <v>0.0</v>
      </c>
      <c r="KA129" s="156">
        <v>0.0</v>
      </c>
      <c r="KB129" s="160">
        <v>0.0</v>
      </c>
      <c r="LH129" s="159">
        <f t="shared" si="10"/>
        <v>0</v>
      </c>
      <c r="LI129" s="156">
        <f t="shared" si="11"/>
        <v>0</v>
      </c>
      <c r="LJ129" s="156">
        <f t="shared" si="12"/>
        <v>0</v>
      </c>
      <c r="LK129" s="156">
        <f t="shared" si="13"/>
        <v>0</v>
      </c>
      <c r="LL129" s="156">
        <f t="shared" si="14"/>
        <v>0</v>
      </c>
      <c r="LM129" s="160">
        <f t="shared" si="15"/>
        <v>0</v>
      </c>
      <c r="QX129" s="107">
        <v>45838.0</v>
      </c>
    </row>
    <row r="130">
      <c r="A130" s="12"/>
      <c r="B130" s="12"/>
      <c r="C130" s="12"/>
      <c r="D130" s="12"/>
      <c r="E130" s="12"/>
      <c r="F130" s="12"/>
      <c r="G130" s="12"/>
      <c r="H130" s="12"/>
      <c r="I130" s="143">
        <f t="shared" si="5"/>
        <v>-30</v>
      </c>
      <c r="J130" s="144">
        <v>45840.0</v>
      </c>
      <c r="K130" s="173" t="s">
        <v>61</v>
      </c>
      <c r="L130" s="144">
        <v>45968.0</v>
      </c>
      <c r="M130" s="147" t="s">
        <v>227</v>
      </c>
      <c r="N130" s="148">
        <v>246.0</v>
      </c>
      <c r="O130" s="148">
        <v>30.0</v>
      </c>
      <c r="P130" s="26"/>
      <c r="Q130" s="26"/>
      <c r="R130" s="26"/>
      <c r="S130" s="26"/>
      <c r="T130" s="26"/>
      <c r="U130" s="147" t="s">
        <v>1207</v>
      </c>
      <c r="V130" s="149" t="s">
        <v>1208</v>
      </c>
      <c r="W130" s="198" t="s">
        <v>1879</v>
      </c>
      <c r="X130" s="181">
        <v>30.0</v>
      </c>
      <c r="Y130" s="166">
        <f t="shared" si="6"/>
        <v>30</v>
      </c>
      <c r="Z130" s="26">
        <f t="shared" si="7"/>
        <v>0</v>
      </c>
      <c r="AA130" s="26">
        <f t="shared" si="8"/>
        <v>0</v>
      </c>
      <c r="AB130" s="26">
        <f t="shared" si="9"/>
        <v>0</v>
      </c>
      <c r="AC130" s="155">
        <v>0.0</v>
      </c>
      <c r="AD130" s="155">
        <v>0.0</v>
      </c>
      <c r="AE130" s="155">
        <v>0.0</v>
      </c>
      <c r="AF130" s="155">
        <v>0.0</v>
      </c>
      <c r="AG130" s="155">
        <v>0.0</v>
      </c>
      <c r="AH130" s="155">
        <v>0.0</v>
      </c>
      <c r="BN130" s="155">
        <v>0.0</v>
      </c>
      <c r="BO130" s="155">
        <v>0.0</v>
      </c>
      <c r="BP130" s="155">
        <v>0.0</v>
      </c>
      <c r="BQ130" s="155">
        <v>0.0</v>
      </c>
      <c r="BR130" s="155">
        <v>0.0</v>
      </c>
      <c r="BS130" s="155">
        <v>0.0</v>
      </c>
      <c r="CV130" s="156">
        <v>0.0</v>
      </c>
      <c r="CW130" s="156">
        <v>0.0</v>
      </c>
      <c r="CX130" s="156">
        <v>0.0</v>
      </c>
      <c r="CY130" s="156">
        <v>0.0</v>
      </c>
      <c r="CZ130" s="156">
        <v>0.0</v>
      </c>
      <c r="DA130" s="156">
        <v>0.0</v>
      </c>
      <c r="EG130" s="156">
        <v>0.0</v>
      </c>
      <c r="EH130" s="156">
        <v>0.0</v>
      </c>
      <c r="EI130" s="156">
        <v>0.0</v>
      </c>
      <c r="EJ130" s="156">
        <v>0.0</v>
      </c>
      <c r="EK130" s="156">
        <v>0.0</v>
      </c>
      <c r="EL130" s="156">
        <v>0.0</v>
      </c>
      <c r="FQ130" s="156">
        <v>0.0</v>
      </c>
      <c r="FR130" s="156">
        <v>0.0</v>
      </c>
      <c r="FS130" s="156">
        <v>0.0</v>
      </c>
      <c r="FT130" s="156">
        <v>0.0</v>
      </c>
      <c r="FU130" s="156">
        <v>0.0</v>
      </c>
      <c r="FV130" s="156">
        <v>0.0</v>
      </c>
      <c r="FW130" s="157"/>
      <c r="FX130" s="157"/>
      <c r="FY130" s="157"/>
      <c r="FZ130" s="157"/>
      <c r="GA130" s="157"/>
      <c r="GB130" s="157"/>
      <c r="GC130" s="157"/>
      <c r="GD130" s="157"/>
      <c r="GE130" s="157"/>
      <c r="GF130" s="157"/>
      <c r="GG130" s="157"/>
      <c r="GH130" s="157"/>
      <c r="GI130" s="157"/>
      <c r="GJ130" s="157"/>
      <c r="GK130" s="157"/>
      <c r="GL130" s="157"/>
      <c r="GM130" s="157"/>
      <c r="GN130" s="157"/>
      <c r="GO130" s="157"/>
      <c r="GP130" s="158"/>
      <c r="GQ130" s="157"/>
      <c r="GR130" s="157"/>
      <c r="GS130" s="157"/>
      <c r="GT130" s="157"/>
      <c r="GU130" s="157"/>
      <c r="GV130" s="157"/>
      <c r="GW130" s="157"/>
      <c r="GX130" s="157"/>
      <c r="GY130" s="157"/>
      <c r="GZ130" s="157"/>
      <c r="HA130" s="157"/>
      <c r="HB130" s="155">
        <v>0.0</v>
      </c>
      <c r="HC130" s="155">
        <v>0.0</v>
      </c>
      <c r="HD130" s="155">
        <v>0.0</v>
      </c>
      <c r="HE130" s="155">
        <v>0.0</v>
      </c>
      <c r="HF130" s="155">
        <v>0.0</v>
      </c>
      <c r="HG130" s="155">
        <v>0.0</v>
      </c>
      <c r="IL130" s="159">
        <v>0.0</v>
      </c>
      <c r="IM130" s="156">
        <v>0.0</v>
      </c>
      <c r="IN130" s="156">
        <v>0.0</v>
      </c>
      <c r="IO130" s="156">
        <v>0.0</v>
      </c>
      <c r="IP130" s="156">
        <v>0.0</v>
      </c>
      <c r="IQ130" s="160">
        <v>0.0</v>
      </c>
      <c r="JH130" s="25"/>
      <c r="JW130" s="159">
        <v>0.0</v>
      </c>
      <c r="JX130" s="156">
        <v>0.0</v>
      </c>
      <c r="JY130" s="156">
        <v>0.0</v>
      </c>
      <c r="JZ130" s="156">
        <v>0.0</v>
      </c>
      <c r="KA130" s="156">
        <v>0.0</v>
      </c>
      <c r="KB130" s="160">
        <v>0.0</v>
      </c>
      <c r="LH130" s="159">
        <f t="shared" si="10"/>
        <v>0</v>
      </c>
      <c r="LI130" s="156">
        <f t="shared" si="11"/>
        <v>0</v>
      </c>
      <c r="LJ130" s="156">
        <f t="shared" si="12"/>
        <v>0</v>
      </c>
      <c r="LK130" s="156">
        <f t="shared" si="13"/>
        <v>0</v>
      </c>
      <c r="LL130" s="156">
        <f t="shared" si="14"/>
        <v>0</v>
      </c>
      <c r="LM130" s="160">
        <f t="shared" si="15"/>
        <v>0</v>
      </c>
      <c r="QX130" s="107">
        <v>45841.0</v>
      </c>
    </row>
    <row r="131">
      <c r="A131" s="12"/>
      <c r="B131" s="12"/>
      <c r="C131" s="12"/>
      <c r="D131" s="12"/>
      <c r="E131" s="12"/>
      <c r="F131" s="12"/>
      <c r="G131" s="12"/>
      <c r="H131" s="12"/>
      <c r="I131" s="143">
        <f t="shared" si="5"/>
        <v>-29</v>
      </c>
      <c r="J131" s="144">
        <v>45840.0</v>
      </c>
      <c r="K131" s="195" t="s">
        <v>61</v>
      </c>
      <c r="L131" s="146"/>
      <c r="M131" s="147" t="s">
        <v>1884</v>
      </c>
      <c r="N131" s="148">
        <v>7.0</v>
      </c>
      <c r="O131" s="148">
        <v>30.0</v>
      </c>
      <c r="P131" s="26"/>
      <c r="Q131" s="26"/>
      <c r="R131" s="26"/>
      <c r="S131" s="26"/>
      <c r="T131" s="26"/>
      <c r="U131" s="147" t="s">
        <v>1885</v>
      </c>
      <c r="V131" s="149" t="s">
        <v>307</v>
      </c>
      <c r="W131" s="198" t="s">
        <v>1886</v>
      </c>
      <c r="X131" s="181">
        <v>26.0</v>
      </c>
      <c r="Y131" s="166">
        <f t="shared" si="6"/>
        <v>29</v>
      </c>
      <c r="Z131" s="26">
        <f t="shared" si="7"/>
        <v>0</v>
      </c>
      <c r="AA131" s="26">
        <f t="shared" si="8"/>
        <v>0</v>
      </c>
      <c r="AB131" s="26">
        <f t="shared" si="9"/>
        <v>0</v>
      </c>
      <c r="AC131" s="155">
        <v>0.0</v>
      </c>
      <c r="AD131" s="155">
        <v>0.0</v>
      </c>
      <c r="AE131" s="155">
        <v>0.0</v>
      </c>
      <c r="AF131" s="155">
        <v>0.0</v>
      </c>
      <c r="AG131" s="155">
        <v>0.0</v>
      </c>
      <c r="AH131" s="155">
        <v>0.0</v>
      </c>
      <c r="BN131" s="155">
        <v>1.0</v>
      </c>
      <c r="BO131" s="155">
        <v>0.0</v>
      </c>
      <c r="BP131" s="155">
        <v>0.0</v>
      </c>
      <c r="BQ131" s="155">
        <v>0.0</v>
      </c>
      <c r="BR131" s="155">
        <v>0.0</v>
      </c>
      <c r="BS131" s="155">
        <v>0.0</v>
      </c>
      <c r="CU131" s="86">
        <v>1.0</v>
      </c>
      <c r="CV131" s="156">
        <v>2.0</v>
      </c>
      <c r="CW131" s="156">
        <v>0.0</v>
      </c>
      <c r="CX131" s="156">
        <v>0.0</v>
      </c>
      <c r="CY131" s="156">
        <v>0.0</v>
      </c>
      <c r="CZ131" s="156">
        <v>0.0</v>
      </c>
      <c r="DA131" s="156">
        <v>0.0</v>
      </c>
      <c r="DP131" s="86">
        <v>1.0</v>
      </c>
      <c r="DV131" s="86">
        <v>1.0</v>
      </c>
      <c r="EG131" s="156">
        <v>0.0</v>
      </c>
      <c r="EH131" s="156">
        <v>0.0</v>
      </c>
      <c r="EI131" s="156">
        <v>0.0</v>
      </c>
      <c r="EJ131" s="156">
        <v>0.0</v>
      </c>
      <c r="EK131" s="156">
        <v>0.0</v>
      </c>
      <c r="EL131" s="156">
        <v>0.0</v>
      </c>
      <c r="FQ131" s="156">
        <v>0.0</v>
      </c>
      <c r="FR131" s="156">
        <v>0.0</v>
      </c>
      <c r="FS131" s="156">
        <v>0.0</v>
      </c>
      <c r="FT131" s="156">
        <v>0.0</v>
      </c>
      <c r="FU131" s="156">
        <v>0.0</v>
      </c>
      <c r="FV131" s="156">
        <v>0.0</v>
      </c>
      <c r="FW131" s="157"/>
      <c r="FX131" s="188"/>
      <c r="FY131" s="157"/>
      <c r="FZ131" s="157"/>
      <c r="GA131" s="157"/>
      <c r="GB131" s="188"/>
      <c r="GC131" s="157"/>
      <c r="GD131" s="157"/>
      <c r="GE131" s="188"/>
      <c r="GF131" s="157"/>
      <c r="GG131" s="157"/>
      <c r="GH131" s="157"/>
      <c r="GI131" s="157"/>
      <c r="GJ131" s="157"/>
      <c r="GK131" s="157"/>
      <c r="GL131" s="157"/>
      <c r="GM131" s="157"/>
      <c r="GN131" s="157"/>
      <c r="GO131" s="157"/>
      <c r="GP131" s="158"/>
      <c r="GQ131" s="157"/>
      <c r="GR131" s="157"/>
      <c r="GS131" s="157"/>
      <c r="GT131" s="157"/>
      <c r="GU131" s="157"/>
      <c r="GV131" s="157"/>
      <c r="GW131" s="157"/>
      <c r="GX131" s="157"/>
      <c r="GY131" s="157"/>
      <c r="GZ131" s="157"/>
      <c r="HA131" s="157"/>
      <c r="HB131" s="155">
        <v>0.0</v>
      </c>
      <c r="HC131" s="155">
        <v>0.0</v>
      </c>
      <c r="HD131" s="155">
        <v>0.0</v>
      </c>
      <c r="HE131" s="155">
        <v>0.0</v>
      </c>
      <c r="HF131" s="155">
        <v>0.0</v>
      </c>
      <c r="HG131" s="155">
        <v>0.0</v>
      </c>
      <c r="IL131" s="159">
        <v>0.0</v>
      </c>
      <c r="IM131" s="156">
        <v>0.0</v>
      </c>
      <c r="IN131" s="156">
        <v>0.0</v>
      </c>
      <c r="IO131" s="156">
        <v>0.0</v>
      </c>
      <c r="IP131" s="156">
        <v>0.0</v>
      </c>
      <c r="IQ131" s="160">
        <v>0.0</v>
      </c>
      <c r="JH131" s="25"/>
      <c r="JW131" s="159">
        <v>0.0</v>
      </c>
      <c r="JX131" s="156">
        <v>0.0</v>
      </c>
      <c r="JY131" s="156">
        <v>0.0</v>
      </c>
      <c r="JZ131" s="156">
        <v>0.0</v>
      </c>
      <c r="KA131" s="156">
        <v>0.0</v>
      </c>
      <c r="KB131" s="160">
        <v>0.0</v>
      </c>
      <c r="LH131" s="159">
        <f t="shared" si="10"/>
        <v>0</v>
      </c>
      <c r="LI131" s="156">
        <f t="shared" si="11"/>
        <v>0</v>
      </c>
      <c r="LJ131" s="156">
        <f t="shared" si="12"/>
        <v>0</v>
      </c>
      <c r="LK131" s="156">
        <f t="shared" si="13"/>
        <v>0</v>
      </c>
      <c r="LL131" s="156">
        <f t="shared" si="14"/>
        <v>0</v>
      </c>
      <c r="LM131" s="160">
        <f t="shared" si="15"/>
        <v>0</v>
      </c>
      <c r="QX131" s="107">
        <v>45841.0</v>
      </c>
    </row>
    <row r="132">
      <c r="A132" s="12"/>
      <c r="B132" s="12"/>
      <c r="C132" s="12"/>
      <c r="D132" s="12"/>
      <c r="E132" s="12"/>
      <c r="F132" s="12"/>
      <c r="G132" s="12"/>
      <c r="H132" s="12"/>
      <c r="I132" s="143">
        <f t="shared" si="5"/>
        <v>-21</v>
      </c>
      <c r="J132" s="144">
        <v>45840.0</v>
      </c>
      <c r="K132" s="145" t="s">
        <v>61</v>
      </c>
      <c r="L132" s="144">
        <v>45913.0</v>
      </c>
      <c r="M132" s="147" t="s">
        <v>107</v>
      </c>
      <c r="N132" s="148">
        <v>246.0</v>
      </c>
      <c r="O132" s="148">
        <v>30.0</v>
      </c>
      <c r="P132" s="26"/>
      <c r="Q132" s="26"/>
      <c r="R132" s="26"/>
      <c r="S132" s="26"/>
      <c r="T132" s="26"/>
      <c r="U132" s="147" t="s">
        <v>1894</v>
      </c>
      <c r="V132" s="149" t="s">
        <v>654</v>
      </c>
      <c r="W132" s="150" t="s">
        <v>1895</v>
      </c>
      <c r="X132" s="181">
        <v>21.0</v>
      </c>
      <c r="Y132" s="166">
        <f t="shared" si="6"/>
        <v>21</v>
      </c>
      <c r="Z132" s="26">
        <f t="shared" si="7"/>
        <v>0</v>
      </c>
      <c r="AA132" s="26">
        <f t="shared" si="8"/>
        <v>0</v>
      </c>
      <c r="AB132" s="26">
        <f t="shared" si="9"/>
        <v>0</v>
      </c>
      <c r="AC132" s="155">
        <v>0.0</v>
      </c>
      <c r="AD132" s="155">
        <v>0.0</v>
      </c>
      <c r="AE132" s="155">
        <v>0.0</v>
      </c>
      <c r="AF132" s="155">
        <v>0.0</v>
      </c>
      <c r="AG132" s="155">
        <v>0.0</v>
      </c>
      <c r="AH132" s="155">
        <v>0.0</v>
      </c>
      <c r="BN132" s="155">
        <v>0.0</v>
      </c>
      <c r="BO132" s="155">
        <v>0.0</v>
      </c>
      <c r="BP132" s="155">
        <v>0.0</v>
      </c>
      <c r="BQ132" s="155">
        <v>0.0</v>
      </c>
      <c r="BR132" s="155">
        <v>0.0</v>
      </c>
      <c r="BS132" s="155">
        <v>0.0</v>
      </c>
      <c r="CV132" s="156">
        <v>0.0</v>
      </c>
      <c r="CW132" s="156">
        <v>0.0</v>
      </c>
      <c r="CX132" s="156">
        <v>0.0</v>
      </c>
      <c r="CY132" s="156">
        <v>0.0</v>
      </c>
      <c r="CZ132" s="156">
        <v>0.0</v>
      </c>
      <c r="DA132" s="156">
        <v>0.0</v>
      </c>
      <c r="EG132" s="156">
        <v>0.0</v>
      </c>
      <c r="EH132" s="156">
        <v>0.0</v>
      </c>
      <c r="EI132" s="156">
        <v>0.0</v>
      </c>
      <c r="EJ132" s="156">
        <v>0.0</v>
      </c>
      <c r="EK132" s="156">
        <v>0.0</v>
      </c>
      <c r="EL132" s="156">
        <v>0.0</v>
      </c>
      <c r="FQ132" s="156">
        <v>0.0</v>
      </c>
      <c r="FR132" s="156">
        <v>0.0</v>
      </c>
      <c r="FS132" s="156">
        <v>0.0</v>
      </c>
      <c r="FT132" s="156">
        <v>0.0</v>
      </c>
      <c r="FU132" s="156">
        <v>0.0</v>
      </c>
      <c r="FV132" s="156">
        <v>0.0</v>
      </c>
      <c r="FW132" s="157"/>
      <c r="FX132" s="157"/>
      <c r="FY132" s="157"/>
      <c r="FZ132" s="157"/>
      <c r="GA132" s="157"/>
      <c r="GB132" s="157"/>
      <c r="GC132" s="157"/>
      <c r="GD132" s="157"/>
      <c r="GE132" s="157"/>
      <c r="GF132" s="157"/>
      <c r="GG132" s="157"/>
      <c r="GH132" s="157"/>
      <c r="GI132" s="157"/>
      <c r="GJ132" s="157"/>
      <c r="GK132" s="157"/>
      <c r="GL132" s="157"/>
      <c r="GM132" s="157"/>
      <c r="GN132" s="157"/>
      <c r="GO132" s="157"/>
      <c r="GP132" s="158"/>
      <c r="GQ132" s="157"/>
      <c r="GR132" s="157"/>
      <c r="GS132" s="157"/>
      <c r="GT132" s="157"/>
      <c r="GU132" s="157"/>
      <c r="GV132" s="157"/>
      <c r="GW132" s="157"/>
      <c r="GX132" s="157"/>
      <c r="GY132" s="157"/>
      <c r="GZ132" s="157"/>
      <c r="HA132" s="157"/>
      <c r="HB132" s="155">
        <v>0.0</v>
      </c>
      <c r="HC132" s="155">
        <v>0.0</v>
      </c>
      <c r="HD132" s="155">
        <v>0.0</v>
      </c>
      <c r="HE132" s="155">
        <v>0.0</v>
      </c>
      <c r="HF132" s="155">
        <v>0.0</v>
      </c>
      <c r="HG132" s="155">
        <v>0.0</v>
      </c>
      <c r="IL132" s="159">
        <v>0.0</v>
      </c>
      <c r="IM132" s="156">
        <v>0.0</v>
      </c>
      <c r="IN132" s="156">
        <v>0.0</v>
      </c>
      <c r="IO132" s="156">
        <v>0.0</v>
      </c>
      <c r="IP132" s="156">
        <v>0.0</v>
      </c>
      <c r="IQ132" s="160">
        <v>0.0</v>
      </c>
      <c r="JH132" s="25"/>
      <c r="JW132" s="159">
        <v>0.0</v>
      </c>
      <c r="JX132" s="156">
        <v>0.0</v>
      </c>
      <c r="JY132" s="156">
        <v>0.0</v>
      </c>
      <c r="JZ132" s="156">
        <v>0.0</v>
      </c>
      <c r="KA132" s="156">
        <v>0.0</v>
      </c>
      <c r="KB132" s="160">
        <v>0.0</v>
      </c>
      <c r="LH132" s="159">
        <f t="shared" si="10"/>
        <v>0</v>
      </c>
      <c r="LI132" s="156">
        <f t="shared" si="11"/>
        <v>0</v>
      </c>
      <c r="LJ132" s="156">
        <f t="shared" si="12"/>
        <v>0</v>
      </c>
      <c r="LK132" s="156">
        <f t="shared" si="13"/>
        <v>0</v>
      </c>
      <c r="LL132" s="156">
        <f t="shared" si="14"/>
        <v>0</v>
      </c>
      <c r="LM132" s="160">
        <f t="shared" si="15"/>
        <v>0</v>
      </c>
      <c r="QX132" s="107">
        <v>45841.0</v>
      </c>
    </row>
    <row r="133">
      <c r="A133" s="12"/>
      <c r="B133" s="12"/>
      <c r="C133" s="12"/>
      <c r="D133" s="12"/>
      <c r="E133" s="12"/>
      <c r="F133" s="12"/>
      <c r="G133" s="12"/>
      <c r="H133" s="12"/>
      <c r="I133" s="143">
        <f t="shared" si="5"/>
        <v>-60</v>
      </c>
      <c r="J133" s="144">
        <v>45840.0</v>
      </c>
      <c r="K133" s="173" t="s">
        <v>61</v>
      </c>
      <c r="L133" s="144">
        <v>46018.0</v>
      </c>
      <c r="M133" s="147" t="s">
        <v>1901</v>
      </c>
      <c r="N133" s="148">
        <v>246.0</v>
      </c>
      <c r="O133" s="148">
        <v>30.0</v>
      </c>
      <c r="P133" s="26"/>
      <c r="Q133" s="26"/>
      <c r="R133" s="26"/>
      <c r="S133" s="26"/>
      <c r="T133" s="26"/>
      <c r="U133" s="147" t="s">
        <v>1902</v>
      </c>
      <c r="V133" s="149" t="s">
        <v>613</v>
      </c>
      <c r="W133" s="150" t="s">
        <v>1903</v>
      </c>
      <c r="X133" s="181">
        <v>60.0</v>
      </c>
      <c r="Y133" s="166">
        <f t="shared" si="6"/>
        <v>60</v>
      </c>
      <c r="Z133" s="26">
        <f t="shared" si="7"/>
        <v>0</v>
      </c>
      <c r="AA133" s="26">
        <f t="shared" si="8"/>
        <v>0</v>
      </c>
      <c r="AB133" s="26">
        <f t="shared" si="9"/>
        <v>0</v>
      </c>
      <c r="AC133" s="155">
        <v>0.0</v>
      </c>
      <c r="AD133" s="155">
        <v>0.0</v>
      </c>
      <c r="AE133" s="155">
        <v>0.0</v>
      </c>
      <c r="AF133" s="155">
        <v>0.0</v>
      </c>
      <c r="AG133" s="155">
        <v>0.0</v>
      </c>
      <c r="AH133" s="155">
        <v>0.0</v>
      </c>
      <c r="BN133" s="155">
        <v>0.0</v>
      </c>
      <c r="BO133" s="155">
        <v>0.0</v>
      </c>
      <c r="BP133" s="155">
        <v>0.0</v>
      </c>
      <c r="BQ133" s="155">
        <v>0.0</v>
      </c>
      <c r="BR133" s="155">
        <v>0.0</v>
      </c>
      <c r="BS133" s="155">
        <v>0.0</v>
      </c>
      <c r="CV133" s="156">
        <v>0.0</v>
      </c>
      <c r="CW133" s="156">
        <v>0.0</v>
      </c>
      <c r="CX133" s="156">
        <v>0.0</v>
      </c>
      <c r="CY133" s="156">
        <v>0.0</v>
      </c>
      <c r="CZ133" s="156">
        <v>0.0</v>
      </c>
      <c r="DA133" s="156">
        <v>0.0</v>
      </c>
      <c r="EG133" s="156">
        <v>0.0</v>
      </c>
      <c r="EH133" s="156">
        <v>0.0</v>
      </c>
      <c r="EI133" s="156">
        <v>0.0</v>
      </c>
      <c r="EJ133" s="156">
        <v>0.0</v>
      </c>
      <c r="EK133" s="156">
        <v>0.0</v>
      </c>
      <c r="EL133" s="156">
        <v>0.0</v>
      </c>
      <c r="FQ133" s="156">
        <v>0.0</v>
      </c>
      <c r="FR133" s="156">
        <v>0.0</v>
      </c>
      <c r="FS133" s="156">
        <v>0.0</v>
      </c>
      <c r="FT133" s="156">
        <v>0.0</v>
      </c>
      <c r="FU133" s="156">
        <v>0.0</v>
      </c>
      <c r="FV133" s="156">
        <v>0.0</v>
      </c>
      <c r="FW133" s="157"/>
      <c r="FX133" s="157"/>
      <c r="FY133" s="157"/>
      <c r="FZ133" s="157"/>
      <c r="GA133" s="157"/>
      <c r="GB133" s="157"/>
      <c r="GC133" s="157"/>
      <c r="GD133" s="157"/>
      <c r="GE133" s="157"/>
      <c r="GF133" s="157"/>
      <c r="GG133" s="157"/>
      <c r="GH133" s="157"/>
      <c r="GI133" s="157"/>
      <c r="GJ133" s="157"/>
      <c r="GK133" s="157"/>
      <c r="GL133" s="157"/>
      <c r="GM133" s="157"/>
      <c r="GN133" s="157"/>
      <c r="GO133" s="157"/>
      <c r="GP133" s="158"/>
      <c r="GQ133" s="157"/>
      <c r="GR133" s="157"/>
      <c r="GS133" s="157"/>
      <c r="GT133" s="157"/>
      <c r="GU133" s="157"/>
      <c r="GV133" s="157"/>
      <c r="GW133" s="157"/>
      <c r="GX133" s="157"/>
      <c r="GY133" s="157"/>
      <c r="GZ133" s="157"/>
      <c r="HA133" s="157"/>
      <c r="HB133" s="155">
        <v>0.0</v>
      </c>
      <c r="HC133" s="155">
        <v>0.0</v>
      </c>
      <c r="HD133" s="155">
        <v>0.0</v>
      </c>
      <c r="HE133" s="155">
        <v>0.0</v>
      </c>
      <c r="HF133" s="155">
        <v>0.0</v>
      </c>
      <c r="HG133" s="155">
        <v>0.0</v>
      </c>
      <c r="IL133" s="159">
        <v>0.0</v>
      </c>
      <c r="IM133" s="156">
        <v>0.0</v>
      </c>
      <c r="IN133" s="156">
        <v>0.0</v>
      </c>
      <c r="IO133" s="156">
        <v>0.0</v>
      </c>
      <c r="IP133" s="156">
        <v>0.0</v>
      </c>
      <c r="IQ133" s="160">
        <v>0.0</v>
      </c>
      <c r="JH133" s="25"/>
      <c r="JW133" s="159">
        <v>0.0</v>
      </c>
      <c r="JX133" s="156">
        <v>0.0</v>
      </c>
      <c r="JY133" s="156">
        <v>0.0</v>
      </c>
      <c r="JZ133" s="156">
        <v>0.0</v>
      </c>
      <c r="KA133" s="156">
        <v>0.0</v>
      </c>
      <c r="KB133" s="160">
        <v>0.0</v>
      </c>
      <c r="LH133" s="159">
        <f t="shared" si="10"/>
        <v>0</v>
      </c>
      <c r="LI133" s="156">
        <f t="shared" si="11"/>
        <v>0</v>
      </c>
      <c r="LJ133" s="156">
        <f t="shared" si="12"/>
        <v>0</v>
      </c>
      <c r="LK133" s="156">
        <f t="shared" si="13"/>
        <v>0</v>
      </c>
      <c r="LL133" s="156">
        <f t="shared" si="14"/>
        <v>0</v>
      </c>
      <c r="LM133" s="160">
        <f t="shared" si="15"/>
        <v>0</v>
      </c>
      <c r="QX133" s="107">
        <v>45842.0</v>
      </c>
    </row>
    <row r="134">
      <c r="A134" s="12"/>
      <c r="B134" s="12"/>
      <c r="C134" s="12"/>
      <c r="D134" s="12"/>
      <c r="E134" s="12"/>
      <c r="F134" s="12"/>
      <c r="G134" s="12"/>
      <c r="H134" s="12"/>
      <c r="I134" s="143">
        <f t="shared" si="5"/>
        <v>-57</v>
      </c>
      <c r="J134" s="144">
        <v>45841.0</v>
      </c>
      <c r="K134" s="145" t="s">
        <v>61</v>
      </c>
      <c r="L134" s="171">
        <v>46102.0</v>
      </c>
      <c r="M134" s="147" t="s">
        <v>1433</v>
      </c>
      <c r="N134" s="148">
        <v>357.0</v>
      </c>
      <c r="O134" s="148">
        <v>30.0</v>
      </c>
      <c r="P134" s="26"/>
      <c r="Q134" s="26"/>
      <c r="R134" s="26"/>
      <c r="S134" s="26"/>
      <c r="T134" s="26"/>
      <c r="U134" s="164" t="s">
        <v>1908</v>
      </c>
      <c r="V134" s="165" t="s">
        <v>307</v>
      </c>
      <c r="W134" s="150" t="s">
        <v>1909</v>
      </c>
      <c r="X134" s="181">
        <v>42.0</v>
      </c>
      <c r="Y134" s="166">
        <f t="shared" si="6"/>
        <v>57</v>
      </c>
      <c r="Z134" s="26">
        <f t="shared" si="7"/>
        <v>0</v>
      </c>
      <c r="AA134" s="26">
        <f t="shared" si="8"/>
        <v>0</v>
      </c>
      <c r="AB134" s="26">
        <f t="shared" si="9"/>
        <v>0</v>
      </c>
      <c r="AC134" s="155">
        <v>7.0</v>
      </c>
      <c r="AD134" s="155">
        <v>0.0</v>
      </c>
      <c r="AE134" s="155">
        <v>0.0</v>
      </c>
      <c r="AF134" s="155">
        <v>0.0</v>
      </c>
      <c r="AG134" s="155">
        <v>0.0</v>
      </c>
      <c r="AH134" s="155">
        <v>0.0</v>
      </c>
      <c r="AI134" s="167"/>
      <c r="AJ134" s="168">
        <v>1.0</v>
      </c>
      <c r="AK134" s="167"/>
      <c r="AL134" s="167"/>
      <c r="AM134" s="167"/>
      <c r="AN134" s="167"/>
      <c r="AO134" s="167"/>
      <c r="AP134" s="167"/>
      <c r="AQ134" s="167"/>
      <c r="AR134" s="167"/>
      <c r="AS134" s="167"/>
      <c r="AT134" s="167"/>
      <c r="AU134" s="167"/>
      <c r="AV134" s="168">
        <v>1.0</v>
      </c>
      <c r="AW134" s="167"/>
      <c r="AX134" s="167"/>
      <c r="AY134" s="167"/>
      <c r="AZ134" s="167"/>
      <c r="BA134" s="167"/>
      <c r="BB134" s="167">
        <v>1.0</v>
      </c>
      <c r="BC134" s="167"/>
      <c r="BD134" s="167"/>
      <c r="BE134" s="168">
        <v>1.0</v>
      </c>
      <c r="BF134" s="167"/>
      <c r="BG134" s="167">
        <v>0.0</v>
      </c>
      <c r="BH134" s="168">
        <v>1.0</v>
      </c>
      <c r="BI134" s="167"/>
      <c r="BJ134" s="168">
        <v>1.0</v>
      </c>
      <c r="BK134" s="167"/>
      <c r="BL134" s="167"/>
      <c r="BM134" s="167">
        <v>1.0</v>
      </c>
      <c r="BN134" s="155">
        <v>6.0</v>
      </c>
      <c r="BO134" s="155">
        <v>0.0</v>
      </c>
      <c r="BP134" s="155">
        <v>0.0</v>
      </c>
      <c r="BQ134" s="155">
        <v>0.0</v>
      </c>
      <c r="BR134" s="155">
        <v>0.0</v>
      </c>
      <c r="BS134" s="155">
        <v>0.0</v>
      </c>
      <c r="BT134" s="167"/>
      <c r="BU134" s="167"/>
      <c r="BV134" s="167"/>
      <c r="BW134" s="167"/>
      <c r="BX134" s="167">
        <v>1.0</v>
      </c>
      <c r="BY134" s="167">
        <v>0.0</v>
      </c>
      <c r="BZ134" s="167">
        <v>1.0</v>
      </c>
      <c r="CA134" s="167">
        <v>0.0</v>
      </c>
      <c r="CB134" s="167">
        <v>0.0</v>
      </c>
      <c r="CC134" s="167"/>
      <c r="CD134" s="168">
        <v>1.0</v>
      </c>
      <c r="CE134" s="167"/>
      <c r="CF134" s="168">
        <v>1.0</v>
      </c>
      <c r="CG134" s="167"/>
      <c r="CH134" s="167"/>
      <c r="CI134" s="167"/>
      <c r="CJ134" s="167"/>
      <c r="CK134" s="167"/>
      <c r="CL134" s="167"/>
      <c r="CM134" s="167"/>
      <c r="CN134" s="167"/>
      <c r="CO134" s="167"/>
      <c r="CP134" s="167"/>
      <c r="CQ134" s="167"/>
      <c r="CR134" s="167"/>
      <c r="CS134" s="167">
        <v>1.0</v>
      </c>
      <c r="CT134" s="167">
        <v>0.0</v>
      </c>
      <c r="CU134" s="167">
        <v>1.0</v>
      </c>
      <c r="CV134" s="156">
        <v>2.0</v>
      </c>
      <c r="CW134" s="156">
        <v>0.0</v>
      </c>
      <c r="CX134" s="156">
        <v>0.0</v>
      </c>
      <c r="CY134" s="156">
        <v>0.0</v>
      </c>
      <c r="CZ134" s="156">
        <v>0.0</v>
      </c>
      <c r="DA134" s="156">
        <v>0.0</v>
      </c>
      <c r="DG134" s="86">
        <v>1.0</v>
      </c>
      <c r="DJ134" s="86">
        <v>1.0</v>
      </c>
      <c r="EG134" s="156">
        <v>0.0</v>
      </c>
      <c r="EH134" s="156">
        <v>0.0</v>
      </c>
      <c r="EI134" s="156">
        <v>0.0</v>
      </c>
      <c r="EJ134" s="156">
        <v>0.0</v>
      </c>
      <c r="EK134" s="156">
        <v>0.0</v>
      </c>
      <c r="EL134" s="156">
        <v>0.0</v>
      </c>
      <c r="FQ134" s="156">
        <v>0.0</v>
      </c>
      <c r="FR134" s="156">
        <v>0.0</v>
      </c>
      <c r="FS134" s="156">
        <v>0.0</v>
      </c>
      <c r="FT134" s="156">
        <v>0.0</v>
      </c>
      <c r="FU134" s="156">
        <v>0.0</v>
      </c>
      <c r="FV134" s="156">
        <v>0.0</v>
      </c>
      <c r="FW134" s="157"/>
      <c r="FX134" s="157"/>
      <c r="FY134" s="157"/>
      <c r="FZ134" s="157"/>
      <c r="GA134" s="157"/>
      <c r="GB134" s="157"/>
      <c r="GC134" s="157"/>
      <c r="GD134" s="157"/>
      <c r="GE134" s="157"/>
      <c r="GF134" s="157"/>
      <c r="GG134" s="157"/>
      <c r="GH134" s="157"/>
      <c r="GI134" s="157"/>
      <c r="GJ134" s="157"/>
      <c r="GK134" s="157"/>
      <c r="GL134" s="157"/>
      <c r="GM134" s="157"/>
      <c r="GN134" s="157"/>
      <c r="GO134" s="157"/>
      <c r="GP134" s="158"/>
      <c r="GQ134" s="157"/>
      <c r="GR134" s="157"/>
      <c r="GS134" s="157"/>
      <c r="GT134" s="157"/>
      <c r="GU134" s="157"/>
      <c r="GV134" s="157"/>
      <c r="GW134" s="157"/>
      <c r="GX134" s="157"/>
      <c r="GY134" s="157"/>
      <c r="GZ134" s="157"/>
      <c r="HA134" s="157"/>
      <c r="HB134" s="155">
        <v>0.0</v>
      </c>
      <c r="HC134" s="155">
        <v>0.0</v>
      </c>
      <c r="HD134" s="155">
        <v>0.0</v>
      </c>
      <c r="HE134" s="155">
        <v>0.0</v>
      </c>
      <c r="HF134" s="155">
        <v>0.0</v>
      </c>
      <c r="HG134" s="155">
        <v>0.0</v>
      </c>
      <c r="IL134" s="159">
        <v>0.0</v>
      </c>
      <c r="IM134" s="156">
        <v>0.0</v>
      </c>
      <c r="IN134" s="156">
        <v>0.0</v>
      </c>
      <c r="IO134" s="156">
        <v>0.0</v>
      </c>
      <c r="IP134" s="156">
        <v>0.0</v>
      </c>
      <c r="IQ134" s="160">
        <v>0.0</v>
      </c>
      <c r="JH134" s="25"/>
      <c r="JW134" s="159">
        <v>0.0</v>
      </c>
      <c r="JX134" s="156">
        <v>0.0</v>
      </c>
      <c r="JY134" s="156">
        <v>0.0</v>
      </c>
      <c r="JZ134" s="156">
        <v>0.0</v>
      </c>
      <c r="KA134" s="156">
        <v>0.0</v>
      </c>
      <c r="KB134" s="160">
        <v>0.0</v>
      </c>
      <c r="LH134" s="159">
        <f t="shared" si="10"/>
        <v>0</v>
      </c>
      <c r="LI134" s="156">
        <f t="shared" si="11"/>
        <v>0</v>
      </c>
      <c r="LJ134" s="156">
        <f t="shared" si="12"/>
        <v>0</v>
      </c>
      <c r="LK134" s="156">
        <f t="shared" si="13"/>
        <v>0</v>
      </c>
      <c r="LL134" s="156">
        <f t="shared" si="14"/>
        <v>0</v>
      </c>
      <c r="LM134" s="160">
        <f t="shared" si="15"/>
        <v>0</v>
      </c>
      <c r="QX134" s="107">
        <v>45842.0</v>
      </c>
    </row>
    <row r="135">
      <c r="A135" s="12"/>
      <c r="B135" s="12"/>
      <c r="C135" s="12"/>
      <c r="D135" s="12"/>
      <c r="E135" s="12"/>
      <c r="F135" s="12"/>
      <c r="G135" s="12"/>
      <c r="H135" s="12"/>
      <c r="I135" s="219">
        <f t="shared" si="5"/>
        <v>-14</v>
      </c>
      <c r="J135" s="144">
        <v>45846.0</v>
      </c>
      <c r="K135" s="173" t="s">
        <v>61</v>
      </c>
      <c r="L135" s="144">
        <v>45895.0</v>
      </c>
      <c r="M135" s="147" t="s">
        <v>107</v>
      </c>
      <c r="N135" s="148">
        <v>357.0</v>
      </c>
      <c r="O135" s="148">
        <v>30.0</v>
      </c>
      <c r="P135" s="26"/>
      <c r="Q135" s="26"/>
      <c r="R135" s="26"/>
      <c r="S135" s="26"/>
      <c r="T135" s="26"/>
      <c r="U135" s="147" t="s">
        <v>1226</v>
      </c>
      <c r="V135" s="197"/>
      <c r="W135" s="198" t="s">
        <v>1918</v>
      </c>
      <c r="X135" s="181">
        <v>14.0</v>
      </c>
      <c r="Y135" s="166">
        <f t="shared" si="6"/>
        <v>14</v>
      </c>
      <c r="Z135" s="26">
        <f t="shared" si="7"/>
        <v>0</v>
      </c>
      <c r="AA135" s="26">
        <f t="shared" si="8"/>
        <v>0</v>
      </c>
      <c r="AB135" s="26">
        <f t="shared" si="9"/>
        <v>0</v>
      </c>
      <c r="AC135" s="155">
        <v>0.0</v>
      </c>
      <c r="AD135" s="155">
        <v>0.0</v>
      </c>
      <c r="AE135" s="155">
        <v>0.0</v>
      </c>
      <c r="AF135" s="155">
        <v>0.0</v>
      </c>
      <c r="AG135" s="155">
        <v>0.0</v>
      </c>
      <c r="AH135" s="155">
        <v>0.0</v>
      </c>
      <c r="BN135" s="155">
        <v>0.0</v>
      </c>
      <c r="BO135" s="155">
        <v>0.0</v>
      </c>
      <c r="BP135" s="155">
        <v>0.0</v>
      </c>
      <c r="BQ135" s="155">
        <v>0.0</v>
      </c>
      <c r="BR135" s="155">
        <v>0.0</v>
      </c>
      <c r="BS135" s="155">
        <v>0.0</v>
      </c>
      <c r="CV135" s="156">
        <v>0.0</v>
      </c>
      <c r="CW135" s="156">
        <v>0.0</v>
      </c>
      <c r="CX135" s="156">
        <v>0.0</v>
      </c>
      <c r="CY135" s="156">
        <v>0.0</v>
      </c>
      <c r="CZ135" s="156">
        <v>0.0</v>
      </c>
      <c r="DA135" s="156">
        <v>0.0</v>
      </c>
      <c r="EG135" s="156">
        <v>0.0</v>
      </c>
      <c r="EH135" s="156">
        <v>0.0</v>
      </c>
      <c r="EI135" s="156">
        <v>0.0</v>
      </c>
      <c r="EJ135" s="156">
        <v>0.0</v>
      </c>
      <c r="EK135" s="156">
        <v>0.0</v>
      </c>
      <c r="EL135" s="156">
        <v>0.0</v>
      </c>
      <c r="FQ135" s="156">
        <v>0.0</v>
      </c>
      <c r="FR135" s="156">
        <v>0.0</v>
      </c>
      <c r="FS135" s="156">
        <v>0.0</v>
      </c>
      <c r="FT135" s="156">
        <v>0.0</v>
      </c>
      <c r="FU135" s="156">
        <v>0.0</v>
      </c>
      <c r="FV135" s="156">
        <v>0.0</v>
      </c>
      <c r="FW135" s="157"/>
      <c r="FX135" s="157"/>
      <c r="FY135" s="157"/>
      <c r="FZ135" s="157"/>
      <c r="GA135" s="157"/>
      <c r="GB135" s="157"/>
      <c r="GC135" s="157"/>
      <c r="GD135" s="157"/>
      <c r="GE135" s="157"/>
      <c r="GF135" s="157"/>
      <c r="GG135" s="157"/>
      <c r="GH135" s="157"/>
      <c r="GI135" s="157"/>
      <c r="GJ135" s="157"/>
      <c r="GK135" s="157"/>
      <c r="GL135" s="157"/>
      <c r="GM135" s="157"/>
      <c r="GN135" s="157"/>
      <c r="GO135" s="157"/>
      <c r="GP135" s="158"/>
      <c r="GQ135" s="157"/>
      <c r="GR135" s="157"/>
      <c r="GS135" s="157"/>
      <c r="GT135" s="157"/>
      <c r="GU135" s="157"/>
      <c r="GV135" s="157"/>
      <c r="GW135" s="157"/>
      <c r="GX135" s="157"/>
      <c r="GY135" s="157"/>
      <c r="GZ135" s="157"/>
      <c r="HA135" s="157"/>
      <c r="HB135" s="155">
        <v>0.0</v>
      </c>
      <c r="HC135" s="155">
        <v>0.0</v>
      </c>
      <c r="HD135" s="155">
        <v>0.0</v>
      </c>
      <c r="HE135" s="155">
        <v>0.0</v>
      </c>
      <c r="HF135" s="155">
        <v>0.0</v>
      </c>
      <c r="HG135" s="155">
        <v>0.0</v>
      </c>
      <c r="IL135" s="159">
        <v>0.0</v>
      </c>
      <c r="IM135" s="156">
        <v>0.0</v>
      </c>
      <c r="IN135" s="156">
        <v>0.0</v>
      </c>
      <c r="IO135" s="156">
        <v>0.0</v>
      </c>
      <c r="IP135" s="156">
        <v>0.0</v>
      </c>
      <c r="IQ135" s="160">
        <v>0.0</v>
      </c>
      <c r="JH135" s="25"/>
      <c r="JW135" s="159">
        <v>0.0</v>
      </c>
      <c r="JX135" s="156">
        <v>0.0</v>
      </c>
      <c r="JY135" s="156">
        <v>0.0</v>
      </c>
      <c r="JZ135" s="156">
        <v>0.0</v>
      </c>
      <c r="KA135" s="156">
        <v>0.0</v>
      </c>
      <c r="KB135" s="160">
        <v>0.0</v>
      </c>
      <c r="LH135" s="159">
        <f t="shared" si="10"/>
        <v>0</v>
      </c>
      <c r="LI135" s="156">
        <f t="shared" si="11"/>
        <v>0</v>
      </c>
      <c r="LJ135" s="156">
        <f t="shared" si="12"/>
        <v>0</v>
      </c>
      <c r="LK135" s="156">
        <f t="shared" si="13"/>
        <v>0</v>
      </c>
      <c r="LL135" s="156">
        <f t="shared" si="14"/>
        <v>0</v>
      </c>
      <c r="LM135" s="160">
        <f t="shared" si="15"/>
        <v>0</v>
      </c>
      <c r="QX135" s="107">
        <v>45842.0</v>
      </c>
    </row>
    <row r="136">
      <c r="A136" s="12"/>
      <c r="B136" s="12"/>
      <c r="C136" s="12"/>
      <c r="D136" s="12"/>
      <c r="E136" s="12"/>
      <c r="F136" s="12"/>
      <c r="G136" s="12"/>
      <c r="H136" s="12"/>
      <c r="I136" s="143">
        <f t="shared" si="5"/>
        <v>-4</v>
      </c>
      <c r="J136" s="144">
        <v>45845.0</v>
      </c>
      <c r="K136" s="195" t="s">
        <v>61</v>
      </c>
      <c r="L136" s="144">
        <v>45856.0</v>
      </c>
      <c r="M136" s="147" t="s">
        <v>400</v>
      </c>
      <c r="N136" s="148">
        <v>246.0</v>
      </c>
      <c r="O136" s="148">
        <v>30.0</v>
      </c>
      <c r="P136" s="26"/>
      <c r="Q136" s="26"/>
      <c r="R136" s="26"/>
      <c r="S136" s="26"/>
      <c r="T136" s="26"/>
      <c r="U136" s="147" t="s">
        <v>1275</v>
      </c>
      <c r="V136" s="149" t="s">
        <v>1923</v>
      </c>
      <c r="W136" s="198" t="s">
        <v>1924</v>
      </c>
      <c r="X136" s="181">
        <v>4.0</v>
      </c>
      <c r="Y136" s="166">
        <f t="shared" si="6"/>
        <v>4</v>
      </c>
      <c r="Z136" s="26">
        <f t="shared" si="7"/>
        <v>0</v>
      </c>
      <c r="AA136" s="26">
        <f t="shared" si="8"/>
        <v>0</v>
      </c>
      <c r="AB136" s="26">
        <f t="shared" si="9"/>
        <v>0</v>
      </c>
      <c r="AC136" s="155">
        <v>0.0</v>
      </c>
      <c r="AD136" s="155">
        <v>0.0</v>
      </c>
      <c r="AE136" s="155">
        <v>0.0</v>
      </c>
      <c r="AF136" s="155">
        <v>0.0</v>
      </c>
      <c r="AG136" s="155">
        <v>0.0</v>
      </c>
      <c r="AH136" s="155">
        <v>0.0</v>
      </c>
      <c r="BN136" s="155">
        <v>0.0</v>
      </c>
      <c r="BO136" s="155">
        <v>0.0</v>
      </c>
      <c r="BP136" s="155">
        <v>0.0</v>
      </c>
      <c r="BQ136" s="155">
        <v>0.0</v>
      </c>
      <c r="BR136" s="155">
        <v>0.0</v>
      </c>
      <c r="BS136" s="155">
        <v>0.0</v>
      </c>
      <c r="CV136" s="156">
        <v>0.0</v>
      </c>
      <c r="CW136" s="156">
        <v>0.0</v>
      </c>
      <c r="CX136" s="156">
        <v>0.0</v>
      </c>
      <c r="CY136" s="156">
        <v>0.0</v>
      </c>
      <c r="CZ136" s="156">
        <v>0.0</v>
      </c>
      <c r="DA136" s="156">
        <v>0.0</v>
      </c>
      <c r="EG136" s="156">
        <v>0.0</v>
      </c>
      <c r="EH136" s="156">
        <v>0.0</v>
      </c>
      <c r="EI136" s="156">
        <v>0.0</v>
      </c>
      <c r="EJ136" s="156">
        <v>0.0</v>
      </c>
      <c r="EK136" s="156">
        <v>0.0</v>
      </c>
      <c r="EL136" s="156">
        <v>0.0</v>
      </c>
      <c r="FQ136" s="156">
        <v>0.0</v>
      </c>
      <c r="FR136" s="156">
        <v>0.0</v>
      </c>
      <c r="FS136" s="156">
        <v>0.0</v>
      </c>
      <c r="FT136" s="156">
        <v>0.0</v>
      </c>
      <c r="FU136" s="156">
        <v>0.0</v>
      </c>
      <c r="FV136" s="156">
        <v>0.0</v>
      </c>
      <c r="FW136" s="157"/>
      <c r="FX136" s="157"/>
      <c r="FY136" s="157"/>
      <c r="FZ136" s="157"/>
      <c r="GA136" s="157"/>
      <c r="GB136" s="157"/>
      <c r="GC136" s="157"/>
      <c r="GD136" s="157"/>
      <c r="GE136" s="157"/>
      <c r="GF136" s="157"/>
      <c r="GG136" s="157"/>
      <c r="GH136" s="157"/>
      <c r="GI136" s="157"/>
      <c r="GJ136" s="157"/>
      <c r="GK136" s="157"/>
      <c r="GL136" s="157"/>
      <c r="GM136" s="157"/>
      <c r="GN136" s="157"/>
      <c r="GO136" s="157"/>
      <c r="GP136" s="158"/>
      <c r="GQ136" s="157"/>
      <c r="GR136" s="157"/>
      <c r="GS136" s="157"/>
      <c r="GT136" s="157"/>
      <c r="GU136" s="157"/>
      <c r="GV136" s="157"/>
      <c r="GW136" s="157"/>
      <c r="GX136" s="157"/>
      <c r="GY136" s="157"/>
      <c r="GZ136" s="157"/>
      <c r="HA136" s="157"/>
      <c r="HB136" s="155">
        <v>0.0</v>
      </c>
      <c r="HC136" s="155">
        <v>0.0</v>
      </c>
      <c r="HD136" s="155">
        <v>0.0</v>
      </c>
      <c r="HE136" s="155">
        <v>0.0</v>
      </c>
      <c r="HF136" s="155">
        <v>0.0</v>
      </c>
      <c r="HG136" s="155">
        <v>0.0</v>
      </c>
      <c r="IL136" s="159">
        <v>0.0</v>
      </c>
      <c r="IM136" s="156">
        <v>0.0</v>
      </c>
      <c r="IN136" s="156">
        <v>0.0</v>
      </c>
      <c r="IO136" s="156">
        <v>0.0</v>
      </c>
      <c r="IP136" s="156">
        <v>0.0</v>
      </c>
      <c r="IQ136" s="160">
        <v>0.0</v>
      </c>
      <c r="JH136" s="25"/>
      <c r="JW136" s="159">
        <v>0.0</v>
      </c>
      <c r="JX136" s="156">
        <v>0.0</v>
      </c>
      <c r="JY136" s="156">
        <v>0.0</v>
      </c>
      <c r="JZ136" s="156">
        <v>0.0</v>
      </c>
      <c r="KA136" s="156">
        <v>0.0</v>
      </c>
      <c r="KB136" s="160">
        <v>0.0</v>
      </c>
      <c r="LH136" s="159">
        <f t="shared" si="10"/>
        <v>0</v>
      </c>
      <c r="LI136" s="156">
        <f t="shared" si="11"/>
        <v>0</v>
      </c>
      <c r="LJ136" s="156">
        <f t="shared" si="12"/>
        <v>0</v>
      </c>
      <c r="LK136" s="156">
        <f t="shared" si="13"/>
        <v>0</v>
      </c>
      <c r="LL136" s="156">
        <f t="shared" si="14"/>
        <v>0</v>
      </c>
      <c r="LM136" s="160">
        <f t="shared" si="15"/>
        <v>0</v>
      </c>
      <c r="QX136" s="107">
        <v>45842.0</v>
      </c>
    </row>
    <row r="137">
      <c r="A137" s="12"/>
      <c r="B137" s="12"/>
      <c r="C137" s="12"/>
      <c r="D137" s="12"/>
      <c r="E137" s="12"/>
      <c r="F137" s="12"/>
      <c r="G137" s="12"/>
      <c r="H137" s="12"/>
      <c r="I137" s="143">
        <f t="shared" si="5"/>
        <v>-14</v>
      </c>
      <c r="J137" s="144">
        <v>45845.0</v>
      </c>
      <c r="K137" s="173" t="s">
        <v>61</v>
      </c>
      <c r="L137" s="144">
        <v>45893.0</v>
      </c>
      <c r="M137" s="147" t="s">
        <v>1157</v>
      </c>
      <c r="N137" s="148">
        <v>24.0</v>
      </c>
      <c r="O137" s="148">
        <v>30.0</v>
      </c>
      <c r="P137" s="26"/>
      <c r="Q137" s="26"/>
      <c r="R137" s="26"/>
      <c r="S137" s="26"/>
      <c r="T137" s="26"/>
      <c r="U137" s="147" t="s">
        <v>800</v>
      </c>
      <c r="V137" s="197"/>
      <c r="W137" s="198" t="s">
        <v>1928</v>
      </c>
      <c r="X137" s="181">
        <v>14.0</v>
      </c>
      <c r="Y137" s="166">
        <f t="shared" si="6"/>
        <v>14</v>
      </c>
      <c r="Z137" s="26">
        <f t="shared" si="7"/>
        <v>0</v>
      </c>
      <c r="AA137" s="26">
        <f t="shared" si="8"/>
        <v>0</v>
      </c>
      <c r="AB137" s="26">
        <f t="shared" si="9"/>
        <v>0</v>
      </c>
      <c r="AC137" s="155">
        <v>0.0</v>
      </c>
      <c r="AD137" s="155">
        <v>0.0</v>
      </c>
      <c r="AE137" s="155">
        <v>0.0</v>
      </c>
      <c r="AF137" s="155">
        <v>0.0</v>
      </c>
      <c r="AG137" s="155">
        <v>0.0</v>
      </c>
      <c r="AH137" s="155">
        <v>0.0</v>
      </c>
      <c r="BN137" s="155">
        <v>0.0</v>
      </c>
      <c r="BO137" s="155">
        <v>0.0</v>
      </c>
      <c r="BP137" s="155">
        <v>0.0</v>
      </c>
      <c r="BQ137" s="155">
        <v>0.0</v>
      </c>
      <c r="BR137" s="155">
        <v>0.0</v>
      </c>
      <c r="BS137" s="155">
        <v>0.0</v>
      </c>
      <c r="CV137" s="156">
        <v>0.0</v>
      </c>
      <c r="CW137" s="156">
        <v>0.0</v>
      </c>
      <c r="CX137" s="156">
        <v>0.0</v>
      </c>
      <c r="CY137" s="156">
        <v>0.0</v>
      </c>
      <c r="CZ137" s="156">
        <v>0.0</v>
      </c>
      <c r="DA137" s="156">
        <v>0.0</v>
      </c>
      <c r="EG137" s="156">
        <v>0.0</v>
      </c>
      <c r="EH137" s="156">
        <v>0.0</v>
      </c>
      <c r="EI137" s="156">
        <v>0.0</v>
      </c>
      <c r="EJ137" s="156">
        <v>0.0</v>
      </c>
      <c r="EK137" s="156">
        <v>0.0</v>
      </c>
      <c r="EL137" s="156">
        <v>0.0</v>
      </c>
      <c r="FQ137" s="156">
        <v>0.0</v>
      </c>
      <c r="FR137" s="156">
        <v>0.0</v>
      </c>
      <c r="FS137" s="156">
        <v>0.0</v>
      </c>
      <c r="FT137" s="156">
        <v>0.0</v>
      </c>
      <c r="FU137" s="156">
        <v>0.0</v>
      </c>
      <c r="FV137" s="156">
        <v>0.0</v>
      </c>
      <c r="FW137" s="157"/>
      <c r="FX137" s="157"/>
      <c r="FY137" s="157"/>
      <c r="FZ137" s="157"/>
      <c r="GA137" s="157"/>
      <c r="GB137" s="157"/>
      <c r="GC137" s="157"/>
      <c r="GD137" s="157"/>
      <c r="GE137" s="157"/>
      <c r="GF137" s="157"/>
      <c r="GG137" s="157"/>
      <c r="GH137" s="157"/>
      <c r="GI137" s="157"/>
      <c r="GJ137" s="157"/>
      <c r="GK137" s="157"/>
      <c r="GL137" s="157"/>
      <c r="GM137" s="157"/>
      <c r="GN137" s="157"/>
      <c r="GO137" s="157"/>
      <c r="GP137" s="158"/>
      <c r="GQ137" s="157"/>
      <c r="GR137" s="157"/>
      <c r="GS137" s="157"/>
      <c r="GT137" s="157"/>
      <c r="GU137" s="157"/>
      <c r="GV137" s="157"/>
      <c r="GW137" s="157"/>
      <c r="GX137" s="157"/>
      <c r="GY137" s="157"/>
      <c r="GZ137" s="157"/>
      <c r="HA137" s="157"/>
      <c r="HB137" s="155">
        <v>0.0</v>
      </c>
      <c r="HC137" s="155">
        <v>0.0</v>
      </c>
      <c r="HD137" s="155">
        <v>0.0</v>
      </c>
      <c r="HE137" s="155">
        <v>0.0</v>
      </c>
      <c r="HF137" s="155">
        <v>0.0</v>
      </c>
      <c r="HG137" s="155">
        <v>0.0</v>
      </c>
      <c r="IL137" s="159">
        <v>0.0</v>
      </c>
      <c r="IM137" s="156">
        <v>0.0</v>
      </c>
      <c r="IN137" s="156">
        <v>0.0</v>
      </c>
      <c r="IO137" s="156">
        <v>0.0</v>
      </c>
      <c r="IP137" s="156">
        <v>0.0</v>
      </c>
      <c r="IQ137" s="160">
        <v>0.0</v>
      </c>
      <c r="JH137" s="25"/>
      <c r="JW137" s="159">
        <v>0.0</v>
      </c>
      <c r="JX137" s="156">
        <v>0.0</v>
      </c>
      <c r="JY137" s="156">
        <v>0.0</v>
      </c>
      <c r="JZ137" s="156">
        <v>0.0</v>
      </c>
      <c r="KA137" s="156">
        <v>0.0</v>
      </c>
      <c r="KB137" s="160">
        <v>0.0</v>
      </c>
      <c r="LH137" s="159">
        <f t="shared" si="10"/>
        <v>0</v>
      </c>
      <c r="LI137" s="156">
        <f t="shared" si="11"/>
        <v>0</v>
      </c>
      <c r="LJ137" s="156">
        <f t="shared" si="12"/>
        <v>0</v>
      </c>
      <c r="LK137" s="156">
        <f t="shared" si="13"/>
        <v>0</v>
      </c>
      <c r="LL137" s="156">
        <f t="shared" si="14"/>
        <v>0</v>
      </c>
      <c r="LM137" s="160">
        <f t="shared" si="15"/>
        <v>0</v>
      </c>
      <c r="QX137" s="107">
        <v>45843.0</v>
      </c>
    </row>
    <row r="138">
      <c r="A138" s="12"/>
      <c r="B138" s="12"/>
      <c r="C138" s="12"/>
      <c r="D138" s="12"/>
      <c r="E138" s="12"/>
      <c r="F138" s="12"/>
      <c r="G138" s="12"/>
      <c r="H138" s="12"/>
      <c r="I138" s="143">
        <f t="shared" si="5"/>
        <v>-12</v>
      </c>
      <c r="J138" s="144">
        <v>45842.0</v>
      </c>
      <c r="K138" s="173" t="s">
        <v>61</v>
      </c>
      <c r="L138" s="144">
        <v>45873.0</v>
      </c>
      <c r="M138" s="147" t="s">
        <v>696</v>
      </c>
      <c r="N138" s="148">
        <v>246.0</v>
      </c>
      <c r="O138" s="148">
        <v>30.0</v>
      </c>
      <c r="P138" s="26"/>
      <c r="Q138" s="26"/>
      <c r="R138" s="26"/>
      <c r="S138" s="26"/>
      <c r="T138" s="26"/>
      <c r="U138" s="147" t="s">
        <v>1073</v>
      </c>
      <c r="V138" s="197"/>
      <c r="W138" s="198" t="s">
        <v>1933</v>
      </c>
      <c r="X138" s="181">
        <v>12.0</v>
      </c>
      <c r="Y138" s="166">
        <f t="shared" si="6"/>
        <v>12</v>
      </c>
      <c r="Z138" s="26">
        <f t="shared" si="7"/>
        <v>0</v>
      </c>
      <c r="AA138" s="26">
        <f t="shared" si="8"/>
        <v>0</v>
      </c>
      <c r="AB138" s="26">
        <f t="shared" si="9"/>
        <v>0</v>
      </c>
      <c r="AC138" s="155">
        <v>0.0</v>
      </c>
      <c r="AD138" s="155">
        <v>0.0</v>
      </c>
      <c r="AE138" s="155">
        <v>0.0</v>
      </c>
      <c r="AF138" s="155">
        <v>0.0</v>
      </c>
      <c r="AG138" s="155">
        <v>0.0</v>
      </c>
      <c r="AH138" s="155">
        <v>0.0</v>
      </c>
      <c r="BN138" s="155">
        <v>0.0</v>
      </c>
      <c r="BO138" s="155">
        <v>0.0</v>
      </c>
      <c r="BP138" s="155">
        <v>0.0</v>
      </c>
      <c r="BQ138" s="155">
        <v>0.0</v>
      </c>
      <c r="BR138" s="155">
        <v>0.0</v>
      </c>
      <c r="BS138" s="155">
        <v>0.0</v>
      </c>
      <c r="CV138" s="156">
        <v>0.0</v>
      </c>
      <c r="CW138" s="156">
        <v>0.0</v>
      </c>
      <c r="CX138" s="156">
        <v>0.0</v>
      </c>
      <c r="CY138" s="156">
        <v>0.0</v>
      </c>
      <c r="CZ138" s="156">
        <v>0.0</v>
      </c>
      <c r="DA138" s="156">
        <v>0.0</v>
      </c>
      <c r="EG138" s="156">
        <v>0.0</v>
      </c>
      <c r="EH138" s="156">
        <v>0.0</v>
      </c>
      <c r="EI138" s="156">
        <v>0.0</v>
      </c>
      <c r="EJ138" s="156">
        <v>0.0</v>
      </c>
      <c r="EK138" s="156">
        <v>0.0</v>
      </c>
      <c r="EL138" s="156">
        <v>0.0</v>
      </c>
      <c r="FQ138" s="156">
        <v>0.0</v>
      </c>
      <c r="FR138" s="156">
        <v>0.0</v>
      </c>
      <c r="FS138" s="156">
        <v>0.0</v>
      </c>
      <c r="FT138" s="156">
        <v>0.0</v>
      </c>
      <c r="FU138" s="156">
        <v>0.0</v>
      </c>
      <c r="FV138" s="156">
        <v>0.0</v>
      </c>
      <c r="FW138" s="157"/>
      <c r="FX138" s="157"/>
      <c r="FY138" s="157"/>
      <c r="FZ138" s="157"/>
      <c r="GA138" s="157"/>
      <c r="GB138" s="157"/>
      <c r="GC138" s="157"/>
      <c r="GD138" s="157"/>
      <c r="GE138" s="157"/>
      <c r="GF138" s="157"/>
      <c r="GG138" s="157"/>
      <c r="GH138" s="157"/>
      <c r="GI138" s="157"/>
      <c r="GJ138" s="157"/>
      <c r="GK138" s="157"/>
      <c r="GL138" s="157"/>
      <c r="GM138" s="157"/>
      <c r="GN138" s="157"/>
      <c r="GO138" s="157"/>
      <c r="GP138" s="158"/>
      <c r="GQ138" s="157"/>
      <c r="GR138" s="157"/>
      <c r="GS138" s="157"/>
      <c r="GT138" s="157"/>
      <c r="GU138" s="157"/>
      <c r="GV138" s="157"/>
      <c r="GW138" s="157"/>
      <c r="GX138" s="157"/>
      <c r="GY138" s="157"/>
      <c r="GZ138" s="157"/>
      <c r="HA138" s="157"/>
      <c r="HB138" s="155">
        <v>0.0</v>
      </c>
      <c r="HC138" s="155">
        <v>0.0</v>
      </c>
      <c r="HD138" s="155">
        <v>0.0</v>
      </c>
      <c r="HE138" s="155">
        <v>0.0</v>
      </c>
      <c r="HF138" s="155">
        <v>0.0</v>
      </c>
      <c r="HG138" s="155">
        <v>0.0</v>
      </c>
      <c r="IL138" s="159">
        <v>0.0</v>
      </c>
      <c r="IM138" s="156">
        <v>0.0</v>
      </c>
      <c r="IN138" s="156">
        <v>0.0</v>
      </c>
      <c r="IO138" s="156">
        <v>0.0</v>
      </c>
      <c r="IP138" s="156">
        <v>0.0</v>
      </c>
      <c r="IQ138" s="160">
        <v>0.0</v>
      </c>
      <c r="JH138" s="25"/>
      <c r="JW138" s="159">
        <v>0.0</v>
      </c>
      <c r="JX138" s="156">
        <v>0.0</v>
      </c>
      <c r="JY138" s="156">
        <v>0.0</v>
      </c>
      <c r="JZ138" s="156">
        <v>0.0</v>
      </c>
      <c r="KA138" s="156">
        <v>0.0</v>
      </c>
      <c r="KB138" s="160">
        <v>0.0</v>
      </c>
      <c r="LH138" s="159">
        <f t="shared" si="10"/>
        <v>0</v>
      </c>
      <c r="LI138" s="156">
        <f t="shared" si="11"/>
        <v>0</v>
      </c>
      <c r="LJ138" s="156">
        <f t="shared" si="12"/>
        <v>0</v>
      </c>
      <c r="LK138" s="156">
        <f t="shared" si="13"/>
        <v>0</v>
      </c>
      <c r="LL138" s="156">
        <f t="shared" si="14"/>
        <v>0</v>
      </c>
      <c r="LM138" s="160">
        <f t="shared" si="15"/>
        <v>0</v>
      </c>
      <c r="QX138" s="107">
        <v>45845.0</v>
      </c>
    </row>
    <row r="139">
      <c r="A139" s="12"/>
      <c r="B139" s="12"/>
      <c r="C139" s="12"/>
      <c r="D139" s="12"/>
      <c r="E139" s="12"/>
      <c r="F139" s="12"/>
      <c r="G139" s="12"/>
      <c r="H139" s="12"/>
      <c r="I139" s="143">
        <f t="shared" si="5"/>
        <v>-21</v>
      </c>
      <c r="J139" s="144">
        <v>45846.0</v>
      </c>
      <c r="K139" s="173" t="s">
        <v>61</v>
      </c>
      <c r="L139" s="144">
        <v>45930.0</v>
      </c>
      <c r="M139" s="147" t="s">
        <v>348</v>
      </c>
      <c r="N139" s="148">
        <v>357.0</v>
      </c>
      <c r="O139" s="148">
        <v>30.0</v>
      </c>
      <c r="P139" s="26"/>
      <c r="Q139" s="26"/>
      <c r="R139" s="26"/>
      <c r="S139" s="26"/>
      <c r="T139" s="26"/>
      <c r="U139" s="147" t="s">
        <v>1140</v>
      </c>
      <c r="V139" s="197"/>
      <c r="W139" s="198" t="s">
        <v>1939</v>
      </c>
      <c r="X139" s="181">
        <v>21.0</v>
      </c>
      <c r="Y139" s="166">
        <f t="shared" si="6"/>
        <v>21</v>
      </c>
      <c r="Z139" s="26">
        <f t="shared" si="7"/>
        <v>0</v>
      </c>
      <c r="AA139" s="26">
        <f t="shared" si="8"/>
        <v>0</v>
      </c>
      <c r="AB139" s="26">
        <f t="shared" si="9"/>
        <v>0</v>
      </c>
      <c r="AC139" s="155">
        <v>0.0</v>
      </c>
      <c r="AD139" s="155">
        <v>0.0</v>
      </c>
      <c r="AE139" s="155">
        <v>0.0</v>
      </c>
      <c r="AF139" s="155">
        <v>0.0</v>
      </c>
      <c r="AG139" s="155">
        <v>0.0</v>
      </c>
      <c r="AH139" s="155">
        <v>0.0</v>
      </c>
      <c r="BN139" s="155">
        <v>0.0</v>
      </c>
      <c r="BO139" s="155">
        <v>0.0</v>
      </c>
      <c r="BP139" s="155">
        <v>0.0</v>
      </c>
      <c r="BQ139" s="155">
        <v>0.0</v>
      </c>
      <c r="BR139" s="155">
        <v>0.0</v>
      </c>
      <c r="BS139" s="155">
        <v>0.0</v>
      </c>
      <c r="CV139" s="156">
        <v>0.0</v>
      </c>
      <c r="CW139" s="156">
        <v>0.0</v>
      </c>
      <c r="CX139" s="156">
        <v>0.0</v>
      </c>
      <c r="CY139" s="156">
        <v>0.0</v>
      </c>
      <c r="CZ139" s="156">
        <v>0.0</v>
      </c>
      <c r="DA139" s="156">
        <v>0.0</v>
      </c>
      <c r="EG139" s="156">
        <v>0.0</v>
      </c>
      <c r="EH139" s="156">
        <v>0.0</v>
      </c>
      <c r="EI139" s="156">
        <v>0.0</v>
      </c>
      <c r="EJ139" s="156">
        <v>0.0</v>
      </c>
      <c r="EK139" s="156">
        <v>0.0</v>
      </c>
      <c r="EL139" s="156">
        <v>0.0</v>
      </c>
      <c r="FQ139" s="156">
        <v>0.0</v>
      </c>
      <c r="FR139" s="156">
        <v>0.0</v>
      </c>
      <c r="FS139" s="156">
        <v>0.0</v>
      </c>
      <c r="FT139" s="156">
        <v>0.0</v>
      </c>
      <c r="FU139" s="156">
        <v>0.0</v>
      </c>
      <c r="FV139" s="156">
        <v>0.0</v>
      </c>
      <c r="FW139" s="157"/>
      <c r="FX139" s="157"/>
      <c r="FY139" s="157"/>
      <c r="FZ139" s="157"/>
      <c r="GA139" s="157"/>
      <c r="GB139" s="157"/>
      <c r="GC139" s="157"/>
      <c r="GD139" s="157"/>
      <c r="GE139" s="157"/>
      <c r="GF139" s="157"/>
      <c r="GG139" s="157"/>
      <c r="GH139" s="157"/>
      <c r="GI139" s="157"/>
      <c r="GJ139" s="157"/>
      <c r="GK139" s="157"/>
      <c r="GL139" s="157"/>
      <c r="GM139" s="157"/>
      <c r="GN139" s="157"/>
      <c r="GO139" s="157"/>
      <c r="GP139" s="158"/>
      <c r="GQ139" s="157"/>
      <c r="GR139" s="157"/>
      <c r="GS139" s="157"/>
      <c r="GT139" s="157"/>
      <c r="GU139" s="157"/>
      <c r="GV139" s="157"/>
      <c r="GW139" s="157"/>
      <c r="GX139" s="157"/>
      <c r="GY139" s="157"/>
      <c r="GZ139" s="157"/>
      <c r="HA139" s="157"/>
      <c r="HB139" s="155">
        <v>0.0</v>
      </c>
      <c r="HC139" s="155">
        <v>0.0</v>
      </c>
      <c r="HD139" s="155">
        <v>0.0</v>
      </c>
      <c r="HE139" s="155">
        <v>0.0</v>
      </c>
      <c r="HF139" s="155">
        <v>0.0</v>
      </c>
      <c r="HG139" s="155">
        <v>0.0</v>
      </c>
      <c r="IL139" s="159">
        <v>0.0</v>
      </c>
      <c r="IM139" s="156">
        <v>0.0</v>
      </c>
      <c r="IN139" s="156">
        <v>0.0</v>
      </c>
      <c r="IO139" s="156">
        <v>0.0</v>
      </c>
      <c r="IP139" s="156">
        <v>0.0</v>
      </c>
      <c r="IQ139" s="160">
        <v>0.0</v>
      </c>
      <c r="JH139" s="25"/>
      <c r="JW139" s="159">
        <v>0.0</v>
      </c>
      <c r="JX139" s="156">
        <v>0.0</v>
      </c>
      <c r="JY139" s="156">
        <v>0.0</v>
      </c>
      <c r="JZ139" s="156">
        <v>0.0</v>
      </c>
      <c r="KA139" s="156">
        <v>0.0</v>
      </c>
      <c r="KB139" s="160">
        <v>0.0</v>
      </c>
      <c r="LH139" s="159">
        <f t="shared" si="10"/>
        <v>0</v>
      </c>
      <c r="LI139" s="156">
        <f t="shared" si="11"/>
        <v>0</v>
      </c>
      <c r="LJ139" s="156">
        <f t="shared" si="12"/>
        <v>0</v>
      </c>
      <c r="LK139" s="156">
        <f t="shared" si="13"/>
        <v>0</v>
      </c>
      <c r="LL139" s="156">
        <f t="shared" si="14"/>
        <v>0</v>
      </c>
      <c r="LM139" s="160">
        <f t="shared" si="15"/>
        <v>0</v>
      </c>
      <c r="QX139" s="107">
        <v>45845.0</v>
      </c>
    </row>
    <row r="140">
      <c r="A140" s="12"/>
      <c r="B140" s="12"/>
      <c r="C140" s="12"/>
      <c r="D140" s="12"/>
      <c r="E140" s="12"/>
      <c r="F140" s="12"/>
      <c r="G140" s="12"/>
      <c r="H140" s="12"/>
      <c r="I140" s="143">
        <f t="shared" si="5"/>
        <v>-30</v>
      </c>
      <c r="J140" s="144">
        <v>45847.0</v>
      </c>
      <c r="K140" s="173" t="s">
        <v>61</v>
      </c>
      <c r="L140" s="144">
        <v>45931.0</v>
      </c>
      <c r="M140" s="147" t="s">
        <v>107</v>
      </c>
      <c r="N140" s="148">
        <v>246.0</v>
      </c>
      <c r="O140" s="148">
        <v>30.0</v>
      </c>
      <c r="P140" s="26"/>
      <c r="Q140" s="26"/>
      <c r="R140" s="26"/>
      <c r="S140" s="26"/>
      <c r="T140" s="26"/>
      <c r="U140" s="147" t="s">
        <v>990</v>
      </c>
      <c r="V140" s="197"/>
      <c r="W140" s="150" t="s">
        <v>1947</v>
      </c>
      <c r="X140" s="181">
        <v>30.0</v>
      </c>
      <c r="Y140" s="166">
        <f t="shared" si="6"/>
        <v>30</v>
      </c>
      <c r="Z140" s="26">
        <f t="shared" si="7"/>
        <v>0</v>
      </c>
      <c r="AA140" s="26">
        <f t="shared" si="8"/>
        <v>0</v>
      </c>
      <c r="AB140" s="26">
        <f t="shared" si="9"/>
        <v>0</v>
      </c>
      <c r="AC140" s="155">
        <v>0.0</v>
      </c>
      <c r="AD140" s="155">
        <v>0.0</v>
      </c>
      <c r="AE140" s="155">
        <v>0.0</v>
      </c>
      <c r="AF140" s="155">
        <v>0.0</v>
      </c>
      <c r="AG140" s="155">
        <v>0.0</v>
      </c>
      <c r="AH140" s="155">
        <v>0.0</v>
      </c>
      <c r="BN140" s="155">
        <v>0.0</v>
      </c>
      <c r="BO140" s="155">
        <v>0.0</v>
      </c>
      <c r="BP140" s="155">
        <v>0.0</v>
      </c>
      <c r="BQ140" s="155">
        <v>0.0</v>
      </c>
      <c r="BR140" s="155">
        <v>0.0</v>
      </c>
      <c r="BS140" s="155">
        <v>0.0</v>
      </c>
      <c r="CV140" s="156">
        <v>0.0</v>
      </c>
      <c r="CW140" s="156">
        <v>0.0</v>
      </c>
      <c r="CX140" s="156">
        <v>0.0</v>
      </c>
      <c r="CY140" s="156">
        <v>0.0</v>
      </c>
      <c r="CZ140" s="156">
        <v>0.0</v>
      </c>
      <c r="DA140" s="156">
        <v>0.0</v>
      </c>
      <c r="EG140" s="156">
        <v>0.0</v>
      </c>
      <c r="EH140" s="156">
        <v>0.0</v>
      </c>
      <c r="EI140" s="156">
        <v>0.0</v>
      </c>
      <c r="EJ140" s="156">
        <v>0.0</v>
      </c>
      <c r="EK140" s="156">
        <v>0.0</v>
      </c>
      <c r="EL140" s="156">
        <v>0.0</v>
      </c>
      <c r="FQ140" s="156">
        <v>0.0</v>
      </c>
      <c r="FR140" s="156">
        <v>0.0</v>
      </c>
      <c r="FS140" s="156">
        <v>0.0</v>
      </c>
      <c r="FT140" s="156">
        <v>0.0</v>
      </c>
      <c r="FU140" s="156">
        <v>0.0</v>
      </c>
      <c r="FV140" s="156">
        <v>0.0</v>
      </c>
      <c r="FW140" s="157"/>
      <c r="FX140" s="157"/>
      <c r="FY140" s="157"/>
      <c r="FZ140" s="157"/>
      <c r="GA140" s="157"/>
      <c r="GB140" s="157"/>
      <c r="GC140" s="157"/>
      <c r="GD140" s="157"/>
      <c r="GE140" s="157"/>
      <c r="GF140" s="157"/>
      <c r="GG140" s="157"/>
      <c r="GH140" s="157"/>
      <c r="GI140" s="157"/>
      <c r="GJ140" s="157"/>
      <c r="GK140" s="157"/>
      <c r="GL140" s="157"/>
      <c r="GM140" s="157"/>
      <c r="GN140" s="157"/>
      <c r="GO140" s="157"/>
      <c r="GP140" s="158"/>
      <c r="GQ140" s="157"/>
      <c r="GR140" s="157"/>
      <c r="GS140" s="157"/>
      <c r="GT140" s="157"/>
      <c r="GU140" s="157"/>
      <c r="GV140" s="157"/>
      <c r="GW140" s="157"/>
      <c r="GX140" s="157"/>
      <c r="GY140" s="157"/>
      <c r="GZ140" s="157"/>
      <c r="HA140" s="157"/>
      <c r="HB140" s="155">
        <v>0.0</v>
      </c>
      <c r="HC140" s="155">
        <v>0.0</v>
      </c>
      <c r="HD140" s="155">
        <v>0.0</v>
      </c>
      <c r="HE140" s="155">
        <v>0.0</v>
      </c>
      <c r="HF140" s="155">
        <v>0.0</v>
      </c>
      <c r="HG140" s="155">
        <v>0.0</v>
      </c>
      <c r="IL140" s="159">
        <v>0.0</v>
      </c>
      <c r="IM140" s="156">
        <v>0.0</v>
      </c>
      <c r="IN140" s="156">
        <v>0.0</v>
      </c>
      <c r="IO140" s="156">
        <v>0.0</v>
      </c>
      <c r="IP140" s="156">
        <v>0.0</v>
      </c>
      <c r="IQ140" s="160">
        <v>0.0</v>
      </c>
      <c r="JH140" s="25"/>
      <c r="JW140" s="159">
        <v>0.0</v>
      </c>
      <c r="JX140" s="156">
        <v>0.0</v>
      </c>
      <c r="JY140" s="156">
        <v>0.0</v>
      </c>
      <c r="JZ140" s="156">
        <v>0.0</v>
      </c>
      <c r="KA140" s="156">
        <v>0.0</v>
      </c>
      <c r="KB140" s="160">
        <v>0.0</v>
      </c>
      <c r="LH140" s="159">
        <f t="shared" si="10"/>
        <v>0</v>
      </c>
      <c r="LI140" s="156">
        <f t="shared" si="11"/>
        <v>0</v>
      </c>
      <c r="LJ140" s="156">
        <f t="shared" si="12"/>
        <v>0</v>
      </c>
      <c r="LK140" s="156">
        <f t="shared" si="13"/>
        <v>0</v>
      </c>
      <c r="LL140" s="156">
        <f t="shared" si="14"/>
        <v>0</v>
      </c>
      <c r="LM140" s="160">
        <f t="shared" si="15"/>
        <v>0</v>
      </c>
      <c r="QX140" s="107">
        <v>45845.0</v>
      </c>
    </row>
    <row r="141">
      <c r="A141" s="12"/>
      <c r="B141" s="12"/>
      <c r="C141" s="12"/>
      <c r="D141" s="12"/>
      <c r="E141" s="12"/>
      <c r="F141" s="12"/>
      <c r="G141" s="12"/>
      <c r="H141" s="12"/>
      <c r="I141" s="143">
        <f t="shared" si="5"/>
        <v>-24</v>
      </c>
      <c r="J141" s="144">
        <v>45848.0</v>
      </c>
      <c r="K141" s="195" t="s">
        <v>61</v>
      </c>
      <c r="L141" s="144">
        <v>45958.0</v>
      </c>
      <c r="M141" s="147" t="s">
        <v>1951</v>
      </c>
      <c r="N141" s="148">
        <v>357.0</v>
      </c>
      <c r="O141" s="148">
        <v>30.0</v>
      </c>
      <c r="P141" s="26"/>
      <c r="Q141" s="26"/>
      <c r="R141" s="26"/>
      <c r="S141" s="26"/>
      <c r="T141" s="26"/>
      <c r="U141" s="147" t="s">
        <v>1671</v>
      </c>
      <c r="V141" s="149" t="s">
        <v>1108</v>
      </c>
      <c r="W141" s="150" t="s">
        <v>1952</v>
      </c>
      <c r="X141" s="181">
        <v>24.0</v>
      </c>
      <c r="Y141" s="166">
        <f t="shared" si="6"/>
        <v>24</v>
      </c>
      <c r="Z141" s="26">
        <f t="shared" si="7"/>
        <v>0</v>
      </c>
      <c r="AA141" s="26">
        <f t="shared" si="8"/>
        <v>0</v>
      </c>
      <c r="AB141" s="26">
        <f t="shared" si="9"/>
        <v>0</v>
      </c>
      <c r="AC141" s="155">
        <v>0.0</v>
      </c>
      <c r="AD141" s="155">
        <v>0.0</v>
      </c>
      <c r="AE141" s="155">
        <v>0.0</v>
      </c>
      <c r="AF141" s="155">
        <v>0.0</v>
      </c>
      <c r="AG141" s="155">
        <v>0.0</v>
      </c>
      <c r="AH141" s="155">
        <v>0.0</v>
      </c>
      <c r="BN141" s="155">
        <v>0.0</v>
      </c>
      <c r="BO141" s="155">
        <v>0.0</v>
      </c>
      <c r="BP141" s="155">
        <v>0.0</v>
      </c>
      <c r="BQ141" s="155">
        <v>0.0</v>
      </c>
      <c r="BR141" s="155">
        <v>0.0</v>
      </c>
      <c r="BS141" s="155">
        <v>0.0</v>
      </c>
      <c r="CV141" s="156">
        <v>0.0</v>
      </c>
      <c r="CW141" s="156">
        <v>0.0</v>
      </c>
      <c r="CX141" s="156">
        <v>0.0</v>
      </c>
      <c r="CY141" s="156">
        <v>0.0</v>
      </c>
      <c r="CZ141" s="156">
        <v>0.0</v>
      </c>
      <c r="DA141" s="156">
        <v>0.0</v>
      </c>
      <c r="EG141" s="156">
        <v>0.0</v>
      </c>
      <c r="EH141" s="156">
        <v>0.0</v>
      </c>
      <c r="EI141" s="156">
        <v>0.0</v>
      </c>
      <c r="EJ141" s="156">
        <v>0.0</v>
      </c>
      <c r="EK141" s="156">
        <v>0.0</v>
      </c>
      <c r="EL141" s="156">
        <v>0.0</v>
      </c>
      <c r="FQ141" s="156">
        <v>0.0</v>
      </c>
      <c r="FR141" s="156">
        <v>0.0</v>
      </c>
      <c r="FS141" s="156">
        <v>0.0</v>
      </c>
      <c r="FT141" s="156">
        <v>0.0</v>
      </c>
      <c r="FU141" s="156">
        <v>0.0</v>
      </c>
      <c r="FV141" s="156">
        <v>0.0</v>
      </c>
      <c r="FW141" s="157"/>
      <c r="FX141" s="157"/>
      <c r="FY141" s="157"/>
      <c r="FZ141" s="157"/>
      <c r="GA141" s="157"/>
      <c r="GB141" s="157"/>
      <c r="GC141" s="157"/>
      <c r="GD141" s="157"/>
      <c r="GE141" s="157"/>
      <c r="GF141" s="157"/>
      <c r="GG141" s="157"/>
      <c r="GH141" s="157"/>
      <c r="GI141" s="157"/>
      <c r="GJ141" s="157"/>
      <c r="GK141" s="157"/>
      <c r="GL141" s="157"/>
      <c r="GM141" s="157"/>
      <c r="GN141" s="157"/>
      <c r="GO141" s="157"/>
      <c r="GP141" s="158"/>
      <c r="GQ141" s="157"/>
      <c r="GR141" s="157"/>
      <c r="GS141" s="157"/>
      <c r="GT141" s="157"/>
      <c r="GU141" s="157"/>
      <c r="GV141" s="157"/>
      <c r="GW141" s="157"/>
      <c r="GX141" s="157"/>
      <c r="GY141" s="157"/>
      <c r="GZ141" s="157"/>
      <c r="HA141" s="157"/>
      <c r="HB141" s="155">
        <v>0.0</v>
      </c>
      <c r="HC141" s="155">
        <v>0.0</v>
      </c>
      <c r="HD141" s="155">
        <v>0.0</v>
      </c>
      <c r="HE141" s="155">
        <v>0.0</v>
      </c>
      <c r="HF141" s="155">
        <v>0.0</v>
      </c>
      <c r="HG141" s="155">
        <v>0.0</v>
      </c>
      <c r="IL141" s="159">
        <v>0.0</v>
      </c>
      <c r="IM141" s="156">
        <v>0.0</v>
      </c>
      <c r="IN141" s="156">
        <v>0.0</v>
      </c>
      <c r="IO141" s="156">
        <v>0.0</v>
      </c>
      <c r="IP141" s="156">
        <v>0.0</v>
      </c>
      <c r="IQ141" s="160">
        <v>0.0</v>
      </c>
      <c r="JH141" s="25"/>
      <c r="JW141" s="159">
        <v>0.0</v>
      </c>
      <c r="JX141" s="156">
        <v>0.0</v>
      </c>
      <c r="JY141" s="156">
        <v>0.0</v>
      </c>
      <c r="JZ141" s="156">
        <v>0.0</v>
      </c>
      <c r="KA141" s="156">
        <v>0.0</v>
      </c>
      <c r="KB141" s="160">
        <v>0.0</v>
      </c>
      <c r="LH141" s="159">
        <f t="shared" si="10"/>
        <v>0</v>
      </c>
      <c r="LI141" s="156">
        <f t="shared" si="11"/>
        <v>0</v>
      </c>
      <c r="LJ141" s="156">
        <f t="shared" si="12"/>
        <v>0</v>
      </c>
      <c r="LK141" s="156">
        <f t="shared" si="13"/>
        <v>0</v>
      </c>
      <c r="LL141" s="156">
        <f t="shared" si="14"/>
        <v>0</v>
      </c>
      <c r="LM141" s="160">
        <f t="shared" si="15"/>
        <v>0</v>
      </c>
      <c r="QX141" s="107">
        <v>45845.0</v>
      </c>
    </row>
    <row r="142">
      <c r="A142" s="12"/>
      <c r="B142" s="12"/>
      <c r="C142" s="12"/>
      <c r="D142" s="12"/>
      <c r="E142" s="12"/>
      <c r="F142" s="12"/>
      <c r="G142" s="12"/>
      <c r="H142" s="12"/>
      <c r="I142" s="143">
        <f t="shared" si="5"/>
        <v>-21</v>
      </c>
      <c r="J142" s="305" t="s">
        <v>1957</v>
      </c>
      <c r="K142" s="294" t="s">
        <v>48</v>
      </c>
      <c r="L142" s="295">
        <v>46041.0</v>
      </c>
      <c r="M142" s="147" t="s">
        <v>435</v>
      </c>
      <c r="N142" s="148">
        <v>4.0</v>
      </c>
      <c r="O142" s="148">
        <v>60.0</v>
      </c>
      <c r="P142" s="26"/>
      <c r="Q142" s="26"/>
      <c r="R142" s="26"/>
      <c r="S142" s="26"/>
      <c r="T142" s="26"/>
      <c r="U142" s="147" t="s">
        <v>1959</v>
      </c>
      <c r="V142" s="149" t="s">
        <v>307</v>
      </c>
      <c r="W142" s="248" t="s">
        <v>1960</v>
      </c>
      <c r="X142" s="181">
        <v>14.0</v>
      </c>
      <c r="Y142" s="166">
        <f t="shared" si="6"/>
        <v>21</v>
      </c>
      <c r="Z142" s="26">
        <f t="shared" si="7"/>
        <v>0</v>
      </c>
      <c r="AA142" s="26">
        <f t="shared" si="8"/>
        <v>0</v>
      </c>
      <c r="AB142" s="26">
        <f t="shared" si="9"/>
        <v>0</v>
      </c>
      <c r="AC142" s="155">
        <v>1.0</v>
      </c>
      <c r="AD142" s="155">
        <v>0.0</v>
      </c>
      <c r="AE142" s="155">
        <v>0.0</v>
      </c>
      <c r="AF142" s="155">
        <v>0.0</v>
      </c>
      <c r="AG142" s="155">
        <v>0.0</v>
      </c>
      <c r="AH142" s="155">
        <v>0.0</v>
      </c>
      <c r="AO142" s="86">
        <v>1.0</v>
      </c>
      <c r="BN142" s="155">
        <v>0.0</v>
      </c>
      <c r="BO142" s="155">
        <v>0.0</v>
      </c>
      <c r="BP142" s="155">
        <v>0.0</v>
      </c>
      <c r="BQ142" s="155">
        <v>0.0</v>
      </c>
      <c r="BR142" s="155">
        <v>0.0</v>
      </c>
      <c r="BS142" s="155">
        <v>0.0</v>
      </c>
      <c r="CV142" s="156">
        <v>0.0</v>
      </c>
      <c r="CW142" s="156">
        <v>0.0</v>
      </c>
      <c r="CX142" s="156">
        <v>0.0</v>
      </c>
      <c r="CY142" s="156">
        <v>0.0</v>
      </c>
      <c r="CZ142" s="156">
        <v>0.0</v>
      </c>
      <c r="DA142" s="156">
        <v>0.0</v>
      </c>
      <c r="EG142" s="156">
        <v>0.0</v>
      </c>
      <c r="EH142" s="156">
        <v>0.0</v>
      </c>
      <c r="EI142" s="156">
        <v>0.0</v>
      </c>
      <c r="EJ142" s="156">
        <v>0.0</v>
      </c>
      <c r="EK142" s="156">
        <v>0.0</v>
      </c>
      <c r="EL142" s="156">
        <v>0.0</v>
      </c>
      <c r="FQ142" s="156">
        <v>0.0</v>
      </c>
      <c r="FR142" s="156">
        <v>0.0</v>
      </c>
      <c r="FS142" s="156">
        <v>0.0</v>
      </c>
      <c r="FT142" s="156">
        <v>0.0</v>
      </c>
      <c r="FU142" s="156">
        <v>0.0</v>
      </c>
      <c r="FV142" s="156">
        <v>0.0</v>
      </c>
      <c r="FW142" s="157"/>
      <c r="FX142" s="157"/>
      <c r="FY142" s="157"/>
      <c r="FZ142" s="157"/>
      <c r="GA142" s="157"/>
      <c r="GB142" s="157"/>
      <c r="GC142" s="157"/>
      <c r="GD142" s="157"/>
      <c r="GE142" s="157"/>
      <c r="GF142" s="157"/>
      <c r="GG142" s="157"/>
      <c r="GH142" s="157"/>
      <c r="GI142" s="157"/>
      <c r="GJ142" s="157"/>
      <c r="GK142" s="157"/>
      <c r="GL142" s="157"/>
      <c r="GM142" s="157"/>
      <c r="GN142" s="157"/>
      <c r="GO142" s="157"/>
      <c r="GP142" s="158"/>
      <c r="GQ142" s="157"/>
      <c r="GR142" s="157"/>
      <c r="GS142" s="157"/>
      <c r="GT142" s="157"/>
      <c r="GU142" s="157"/>
      <c r="GV142" s="157"/>
      <c r="GW142" s="157"/>
      <c r="GX142" s="157"/>
      <c r="GY142" s="157"/>
      <c r="GZ142" s="157"/>
      <c r="HA142" s="157"/>
      <c r="HB142" s="155">
        <v>0.0</v>
      </c>
      <c r="HC142" s="155">
        <v>0.0</v>
      </c>
      <c r="HD142" s="155">
        <v>0.0</v>
      </c>
      <c r="HE142" s="155">
        <v>0.0</v>
      </c>
      <c r="HF142" s="155">
        <v>0.0</v>
      </c>
      <c r="HG142" s="155">
        <v>0.0</v>
      </c>
      <c r="IL142" s="159">
        <v>2.0</v>
      </c>
      <c r="IM142" s="156">
        <v>0.0</v>
      </c>
      <c r="IN142" s="156">
        <v>0.0</v>
      </c>
      <c r="IO142" s="156">
        <v>0.0</v>
      </c>
      <c r="IP142" s="156">
        <v>0.0</v>
      </c>
      <c r="IQ142" s="160">
        <v>0.0</v>
      </c>
      <c r="JH142" s="25"/>
      <c r="JT142" s="86">
        <v>1.0</v>
      </c>
      <c r="JU142" s="86">
        <v>1.0</v>
      </c>
      <c r="JW142" s="159">
        <v>4.0</v>
      </c>
      <c r="JX142" s="156">
        <v>0.0</v>
      </c>
      <c r="JY142" s="156">
        <v>0.0</v>
      </c>
      <c r="JZ142" s="156">
        <v>0.0</v>
      </c>
      <c r="KA142" s="156">
        <v>0.0</v>
      </c>
      <c r="KB142" s="160">
        <v>0.0</v>
      </c>
      <c r="KG142" s="86">
        <v>1.0</v>
      </c>
      <c r="KM142" s="86">
        <v>1.0</v>
      </c>
      <c r="KS142" s="178"/>
      <c r="LB142" s="86">
        <v>1.0</v>
      </c>
      <c r="LC142" s="86">
        <v>1.0</v>
      </c>
      <c r="LH142" s="159">
        <f t="shared" si="10"/>
        <v>0</v>
      </c>
      <c r="LI142" s="156">
        <f t="shared" si="11"/>
        <v>0</v>
      </c>
      <c r="LJ142" s="156">
        <f t="shared" si="12"/>
        <v>0</v>
      </c>
      <c r="LK142" s="156">
        <f t="shared" si="13"/>
        <v>0</v>
      </c>
      <c r="LL142" s="156">
        <f t="shared" si="14"/>
        <v>0</v>
      </c>
      <c r="LM142" s="160">
        <f t="shared" si="15"/>
        <v>0</v>
      </c>
      <c r="QX142" s="107">
        <v>45845.0</v>
      </c>
    </row>
    <row r="143">
      <c r="A143" s="12"/>
      <c r="B143" s="12"/>
      <c r="C143" s="12"/>
      <c r="D143" s="12"/>
      <c r="E143" s="12"/>
      <c r="F143" s="12"/>
      <c r="G143" s="12"/>
      <c r="H143" s="12"/>
      <c r="I143" s="143">
        <f t="shared" si="5"/>
        <v>-15</v>
      </c>
      <c r="J143" s="144">
        <v>45848.0</v>
      </c>
      <c r="K143" s="195" t="s">
        <v>61</v>
      </c>
      <c r="L143" s="144">
        <v>45929.0</v>
      </c>
      <c r="M143" s="147" t="s">
        <v>400</v>
      </c>
      <c r="N143" s="148">
        <v>357.0</v>
      </c>
      <c r="O143" s="148">
        <v>30.0</v>
      </c>
      <c r="P143" s="26"/>
      <c r="Q143" s="26"/>
      <c r="R143" s="26"/>
      <c r="S143" s="26"/>
      <c r="T143" s="26"/>
      <c r="U143" s="147" t="s">
        <v>1965</v>
      </c>
      <c r="V143" s="149" t="s">
        <v>1838</v>
      </c>
      <c r="W143" s="198" t="s">
        <v>1966</v>
      </c>
      <c r="X143" s="181">
        <v>15.0</v>
      </c>
      <c r="Y143" s="166">
        <f t="shared" si="6"/>
        <v>15</v>
      </c>
      <c r="Z143" s="26">
        <f t="shared" si="7"/>
        <v>0</v>
      </c>
      <c r="AA143" s="26">
        <f t="shared" si="8"/>
        <v>0</v>
      </c>
      <c r="AB143" s="26">
        <f t="shared" si="9"/>
        <v>0</v>
      </c>
      <c r="AC143" s="155">
        <v>0.0</v>
      </c>
      <c r="AD143" s="155">
        <v>0.0</v>
      </c>
      <c r="AE143" s="155">
        <v>0.0</v>
      </c>
      <c r="AF143" s="155">
        <v>0.0</v>
      </c>
      <c r="AG143" s="155">
        <v>0.0</v>
      </c>
      <c r="AH143" s="155">
        <v>0.0</v>
      </c>
      <c r="BN143" s="155">
        <v>0.0</v>
      </c>
      <c r="BO143" s="155">
        <v>0.0</v>
      </c>
      <c r="BP143" s="155">
        <v>0.0</v>
      </c>
      <c r="BQ143" s="155">
        <v>0.0</v>
      </c>
      <c r="BR143" s="155">
        <v>0.0</v>
      </c>
      <c r="BS143" s="155">
        <v>0.0</v>
      </c>
      <c r="CV143" s="156">
        <v>0.0</v>
      </c>
      <c r="CW143" s="156">
        <v>0.0</v>
      </c>
      <c r="CX143" s="156">
        <v>0.0</v>
      </c>
      <c r="CY143" s="156">
        <v>0.0</v>
      </c>
      <c r="CZ143" s="156">
        <v>0.0</v>
      </c>
      <c r="DA143" s="156">
        <v>0.0</v>
      </c>
      <c r="EG143" s="156">
        <v>0.0</v>
      </c>
      <c r="EH143" s="156">
        <v>0.0</v>
      </c>
      <c r="EI143" s="156">
        <v>0.0</v>
      </c>
      <c r="EJ143" s="156">
        <v>0.0</v>
      </c>
      <c r="EK143" s="156">
        <v>0.0</v>
      </c>
      <c r="EL143" s="156">
        <v>0.0</v>
      </c>
      <c r="FQ143" s="156">
        <v>0.0</v>
      </c>
      <c r="FR143" s="156">
        <v>0.0</v>
      </c>
      <c r="FS143" s="156">
        <v>0.0</v>
      </c>
      <c r="FT143" s="156">
        <v>0.0</v>
      </c>
      <c r="FU143" s="156">
        <v>0.0</v>
      </c>
      <c r="FV143" s="156">
        <v>0.0</v>
      </c>
      <c r="FW143" s="157"/>
      <c r="FX143" s="157"/>
      <c r="FY143" s="157"/>
      <c r="FZ143" s="157"/>
      <c r="GA143" s="157"/>
      <c r="GB143" s="157"/>
      <c r="GC143" s="157"/>
      <c r="GD143" s="157"/>
      <c r="GE143" s="157"/>
      <c r="GF143" s="157"/>
      <c r="GG143" s="157"/>
      <c r="GH143" s="157"/>
      <c r="GI143" s="157"/>
      <c r="GJ143" s="157"/>
      <c r="GK143" s="157"/>
      <c r="GL143" s="157"/>
      <c r="GM143" s="157"/>
      <c r="GN143" s="157"/>
      <c r="GO143" s="157"/>
      <c r="GP143" s="158"/>
      <c r="GQ143" s="157"/>
      <c r="GR143" s="157"/>
      <c r="GS143" s="157"/>
      <c r="GT143" s="157"/>
      <c r="GU143" s="157"/>
      <c r="GV143" s="157"/>
      <c r="GW143" s="157"/>
      <c r="GX143" s="157"/>
      <c r="GY143" s="157"/>
      <c r="GZ143" s="157"/>
      <c r="HA143" s="157"/>
      <c r="HB143" s="155">
        <v>0.0</v>
      </c>
      <c r="HC143" s="155">
        <v>0.0</v>
      </c>
      <c r="HD143" s="155">
        <v>0.0</v>
      </c>
      <c r="HE143" s="155">
        <v>0.0</v>
      </c>
      <c r="HF143" s="155">
        <v>0.0</v>
      </c>
      <c r="HG143" s="155">
        <v>0.0</v>
      </c>
      <c r="IL143" s="159">
        <v>0.0</v>
      </c>
      <c r="IM143" s="156">
        <v>0.0</v>
      </c>
      <c r="IN143" s="156">
        <v>0.0</v>
      </c>
      <c r="IO143" s="156">
        <v>0.0</v>
      </c>
      <c r="IP143" s="156">
        <v>0.0</v>
      </c>
      <c r="IQ143" s="160">
        <v>0.0</v>
      </c>
      <c r="JH143" s="25"/>
      <c r="JW143" s="159">
        <v>0.0</v>
      </c>
      <c r="JX143" s="156">
        <v>0.0</v>
      </c>
      <c r="JY143" s="156">
        <v>0.0</v>
      </c>
      <c r="JZ143" s="156">
        <v>0.0</v>
      </c>
      <c r="KA143" s="156">
        <v>0.0</v>
      </c>
      <c r="KB143" s="160">
        <v>0.0</v>
      </c>
      <c r="LH143" s="159">
        <f t="shared" si="10"/>
        <v>0</v>
      </c>
      <c r="LI143" s="156">
        <f t="shared" si="11"/>
        <v>0</v>
      </c>
      <c r="LJ143" s="156">
        <f t="shared" si="12"/>
        <v>0</v>
      </c>
      <c r="LK143" s="156">
        <f t="shared" si="13"/>
        <v>0</v>
      </c>
      <c r="LL143" s="156">
        <f t="shared" si="14"/>
        <v>0</v>
      </c>
      <c r="LM143" s="160">
        <f t="shared" si="15"/>
        <v>0</v>
      </c>
      <c r="QX143" s="107">
        <v>45845.0</v>
      </c>
    </row>
    <row r="144">
      <c r="A144" s="12"/>
      <c r="B144" s="12"/>
      <c r="C144" s="12"/>
      <c r="D144" s="12"/>
      <c r="E144" s="12"/>
      <c r="F144" s="12"/>
      <c r="G144" s="12"/>
      <c r="H144" s="12"/>
      <c r="I144" s="143">
        <f t="shared" si="5"/>
        <v>-28</v>
      </c>
      <c r="J144" s="144">
        <v>45867.0</v>
      </c>
      <c r="K144" s="173" t="s">
        <v>61</v>
      </c>
      <c r="L144" s="144">
        <v>45962.0</v>
      </c>
      <c r="M144" s="307" t="s">
        <v>107</v>
      </c>
      <c r="N144" s="308">
        <v>357.0</v>
      </c>
      <c r="O144" s="308">
        <v>60.0</v>
      </c>
      <c r="P144" s="309"/>
      <c r="Q144" s="309"/>
      <c r="R144" s="309"/>
      <c r="S144" s="309"/>
      <c r="T144" s="309"/>
      <c r="U144" s="307" t="s">
        <v>1973</v>
      </c>
      <c r="V144" s="310" t="s">
        <v>1974</v>
      </c>
      <c r="W144" s="311" t="s">
        <v>1975</v>
      </c>
      <c r="X144" s="181">
        <v>28.0</v>
      </c>
      <c r="Y144" s="166">
        <f t="shared" si="6"/>
        <v>28</v>
      </c>
      <c r="Z144" s="26">
        <f t="shared" si="7"/>
        <v>0</v>
      </c>
      <c r="AA144" s="26">
        <f t="shared" si="8"/>
        <v>0</v>
      </c>
      <c r="AB144" s="26">
        <f t="shared" si="9"/>
        <v>0</v>
      </c>
      <c r="AC144" s="155">
        <v>0.0</v>
      </c>
      <c r="AD144" s="155">
        <v>0.0</v>
      </c>
      <c r="AE144" s="155">
        <v>0.0</v>
      </c>
      <c r="AF144" s="155">
        <v>0.0</v>
      </c>
      <c r="AG144" s="155">
        <v>0.0</v>
      </c>
      <c r="AH144" s="155">
        <v>0.0</v>
      </c>
      <c r="BN144" s="155">
        <v>0.0</v>
      </c>
      <c r="BO144" s="155">
        <v>0.0</v>
      </c>
      <c r="BP144" s="155">
        <v>0.0</v>
      </c>
      <c r="BQ144" s="155">
        <v>0.0</v>
      </c>
      <c r="BR144" s="155">
        <v>0.0</v>
      </c>
      <c r="BS144" s="155">
        <v>0.0</v>
      </c>
      <c r="CV144" s="156">
        <v>0.0</v>
      </c>
      <c r="CW144" s="156">
        <v>0.0</v>
      </c>
      <c r="CX144" s="156">
        <v>0.0</v>
      </c>
      <c r="CY144" s="156">
        <v>0.0</v>
      </c>
      <c r="CZ144" s="156">
        <v>0.0</v>
      </c>
      <c r="DA144" s="156">
        <v>0.0</v>
      </c>
      <c r="EG144" s="156">
        <v>0.0</v>
      </c>
      <c r="EH144" s="156">
        <v>0.0</v>
      </c>
      <c r="EI144" s="156">
        <v>0.0</v>
      </c>
      <c r="EJ144" s="156">
        <v>0.0</v>
      </c>
      <c r="EK144" s="156">
        <v>0.0</v>
      </c>
      <c r="EL144" s="156">
        <v>0.0</v>
      </c>
      <c r="FQ144" s="156">
        <v>0.0</v>
      </c>
      <c r="FR144" s="156">
        <v>0.0</v>
      </c>
      <c r="FS144" s="156">
        <v>0.0</v>
      </c>
      <c r="FT144" s="156">
        <v>0.0</v>
      </c>
      <c r="FU144" s="156">
        <v>0.0</v>
      </c>
      <c r="FV144" s="156">
        <v>0.0</v>
      </c>
      <c r="FW144" s="157"/>
      <c r="FX144" s="157"/>
      <c r="FY144" s="157"/>
      <c r="FZ144" s="157"/>
      <c r="GA144" s="157"/>
      <c r="GB144" s="157"/>
      <c r="GC144" s="157"/>
      <c r="GD144" s="157"/>
      <c r="GE144" s="157"/>
      <c r="GF144" s="157"/>
      <c r="GG144" s="157"/>
      <c r="GH144" s="157"/>
      <c r="GI144" s="157"/>
      <c r="GJ144" s="157"/>
      <c r="GK144" s="157"/>
      <c r="GL144" s="157"/>
      <c r="GM144" s="157"/>
      <c r="GN144" s="157"/>
      <c r="GO144" s="157"/>
      <c r="GP144" s="158"/>
      <c r="GQ144" s="157"/>
      <c r="GR144" s="157"/>
      <c r="GS144" s="157"/>
      <c r="GT144" s="157"/>
      <c r="GU144" s="157"/>
      <c r="GV144" s="157"/>
      <c r="GW144" s="157"/>
      <c r="GX144" s="157"/>
      <c r="GY144" s="157"/>
      <c r="GZ144" s="157"/>
      <c r="HA144" s="157"/>
      <c r="HB144" s="155">
        <v>0.0</v>
      </c>
      <c r="HC144" s="155">
        <v>0.0</v>
      </c>
      <c r="HD144" s="155">
        <v>0.0</v>
      </c>
      <c r="HE144" s="155">
        <v>0.0</v>
      </c>
      <c r="HF144" s="155">
        <v>0.0</v>
      </c>
      <c r="HG144" s="155">
        <v>0.0</v>
      </c>
      <c r="IL144" s="159">
        <v>0.0</v>
      </c>
      <c r="IM144" s="156">
        <v>0.0</v>
      </c>
      <c r="IN144" s="156">
        <v>0.0</v>
      </c>
      <c r="IO144" s="156">
        <v>0.0</v>
      </c>
      <c r="IP144" s="156">
        <v>0.0</v>
      </c>
      <c r="IQ144" s="160">
        <v>0.0</v>
      </c>
      <c r="JH144" s="25"/>
      <c r="JW144" s="159">
        <v>0.0</v>
      </c>
      <c r="JX144" s="156">
        <v>0.0</v>
      </c>
      <c r="JY144" s="156">
        <v>0.0</v>
      </c>
      <c r="JZ144" s="156">
        <v>0.0</v>
      </c>
      <c r="KA144" s="156">
        <v>0.0</v>
      </c>
      <c r="KB144" s="160">
        <v>0.0</v>
      </c>
      <c r="LH144" s="159">
        <f t="shared" si="10"/>
        <v>0</v>
      </c>
      <c r="LI144" s="156">
        <f t="shared" si="11"/>
        <v>0</v>
      </c>
      <c r="LJ144" s="156">
        <f t="shared" si="12"/>
        <v>0</v>
      </c>
      <c r="LK144" s="156">
        <f t="shared" si="13"/>
        <v>0</v>
      </c>
      <c r="LL144" s="156">
        <f t="shared" si="14"/>
        <v>0</v>
      </c>
      <c r="LM144" s="160">
        <f t="shared" si="15"/>
        <v>0</v>
      </c>
      <c r="QX144" s="107">
        <v>45845.0</v>
      </c>
    </row>
    <row r="145">
      <c r="A145" s="12"/>
      <c r="B145" s="12"/>
      <c r="C145" s="12"/>
      <c r="D145" s="12"/>
      <c r="E145" s="12"/>
      <c r="F145" s="12"/>
      <c r="G145" s="12"/>
      <c r="H145" s="12"/>
      <c r="I145" s="143">
        <f t="shared" si="5"/>
        <v>-30</v>
      </c>
      <c r="J145" s="144">
        <v>45848.0</v>
      </c>
      <c r="K145" s="173" t="s">
        <v>61</v>
      </c>
      <c r="L145" s="144">
        <v>45969.0</v>
      </c>
      <c r="M145" s="147" t="s">
        <v>107</v>
      </c>
      <c r="N145" s="148">
        <v>357.0</v>
      </c>
      <c r="O145" s="148">
        <v>30.0</v>
      </c>
      <c r="P145" s="26"/>
      <c r="Q145" s="26"/>
      <c r="R145" s="26"/>
      <c r="S145" s="26"/>
      <c r="T145" s="26"/>
      <c r="U145" s="147" t="s">
        <v>1338</v>
      </c>
      <c r="V145" s="149" t="s">
        <v>1981</v>
      </c>
      <c r="W145" s="198" t="s">
        <v>1982</v>
      </c>
      <c r="X145" s="181">
        <v>30.0</v>
      </c>
      <c r="Y145" s="166">
        <f t="shared" si="6"/>
        <v>30</v>
      </c>
      <c r="Z145" s="26">
        <f t="shared" si="7"/>
        <v>0</v>
      </c>
      <c r="AA145" s="26">
        <f t="shared" si="8"/>
        <v>0</v>
      </c>
      <c r="AB145" s="26">
        <f t="shared" si="9"/>
        <v>0</v>
      </c>
      <c r="AC145" s="155">
        <v>0.0</v>
      </c>
      <c r="AD145" s="155">
        <v>0.0</v>
      </c>
      <c r="AE145" s="155">
        <v>0.0</v>
      </c>
      <c r="AF145" s="155">
        <v>0.0</v>
      </c>
      <c r="AG145" s="155">
        <v>0.0</v>
      </c>
      <c r="AH145" s="155">
        <v>0.0</v>
      </c>
      <c r="BN145" s="155">
        <v>0.0</v>
      </c>
      <c r="BO145" s="155">
        <v>0.0</v>
      </c>
      <c r="BP145" s="155">
        <v>0.0</v>
      </c>
      <c r="BQ145" s="155">
        <v>0.0</v>
      </c>
      <c r="BR145" s="155">
        <v>0.0</v>
      </c>
      <c r="BS145" s="155">
        <v>0.0</v>
      </c>
      <c r="CV145" s="156">
        <v>0.0</v>
      </c>
      <c r="CW145" s="156">
        <v>0.0</v>
      </c>
      <c r="CX145" s="156">
        <v>0.0</v>
      </c>
      <c r="CY145" s="156">
        <v>0.0</v>
      </c>
      <c r="CZ145" s="156">
        <v>0.0</v>
      </c>
      <c r="DA145" s="156">
        <v>0.0</v>
      </c>
      <c r="EG145" s="156">
        <v>0.0</v>
      </c>
      <c r="EH145" s="156">
        <v>0.0</v>
      </c>
      <c r="EI145" s="156">
        <v>0.0</v>
      </c>
      <c r="EJ145" s="156">
        <v>0.0</v>
      </c>
      <c r="EK145" s="156">
        <v>0.0</v>
      </c>
      <c r="EL145" s="156">
        <v>0.0</v>
      </c>
      <c r="FQ145" s="156">
        <v>0.0</v>
      </c>
      <c r="FR145" s="156">
        <v>0.0</v>
      </c>
      <c r="FS145" s="156">
        <v>0.0</v>
      </c>
      <c r="FT145" s="156">
        <v>0.0</v>
      </c>
      <c r="FU145" s="156">
        <v>0.0</v>
      </c>
      <c r="FV145" s="156">
        <v>0.0</v>
      </c>
      <c r="FW145" s="157"/>
      <c r="FX145" s="157"/>
      <c r="FY145" s="157"/>
      <c r="FZ145" s="157"/>
      <c r="GA145" s="157"/>
      <c r="GB145" s="157"/>
      <c r="GC145" s="157"/>
      <c r="GD145" s="157"/>
      <c r="GE145" s="157"/>
      <c r="GF145" s="157"/>
      <c r="GG145" s="157"/>
      <c r="GH145" s="157"/>
      <c r="GI145" s="157"/>
      <c r="GJ145" s="157"/>
      <c r="GK145" s="157"/>
      <c r="GL145" s="157"/>
      <c r="GM145" s="157"/>
      <c r="GN145" s="157"/>
      <c r="GO145" s="157"/>
      <c r="GP145" s="158"/>
      <c r="GQ145" s="157"/>
      <c r="GR145" s="157"/>
      <c r="GS145" s="157"/>
      <c r="GT145" s="157"/>
      <c r="GU145" s="157"/>
      <c r="GV145" s="157"/>
      <c r="GW145" s="157"/>
      <c r="GX145" s="157"/>
      <c r="GY145" s="157"/>
      <c r="GZ145" s="157"/>
      <c r="HA145" s="157"/>
      <c r="HB145" s="155">
        <v>0.0</v>
      </c>
      <c r="HC145" s="155">
        <v>0.0</v>
      </c>
      <c r="HD145" s="155">
        <v>0.0</v>
      </c>
      <c r="HE145" s="155">
        <v>0.0</v>
      </c>
      <c r="HF145" s="155">
        <v>0.0</v>
      </c>
      <c r="HG145" s="155">
        <v>0.0</v>
      </c>
      <c r="IL145" s="159">
        <v>0.0</v>
      </c>
      <c r="IM145" s="156">
        <v>0.0</v>
      </c>
      <c r="IN145" s="156">
        <v>0.0</v>
      </c>
      <c r="IO145" s="156">
        <v>0.0</v>
      </c>
      <c r="IP145" s="156">
        <v>0.0</v>
      </c>
      <c r="IQ145" s="160">
        <v>0.0</v>
      </c>
      <c r="JH145" s="25"/>
      <c r="JW145" s="159">
        <v>0.0</v>
      </c>
      <c r="JX145" s="156">
        <v>0.0</v>
      </c>
      <c r="JY145" s="156">
        <v>0.0</v>
      </c>
      <c r="JZ145" s="156">
        <v>0.0</v>
      </c>
      <c r="KA145" s="156">
        <v>0.0</v>
      </c>
      <c r="KB145" s="160">
        <v>0.0</v>
      </c>
      <c r="LH145" s="159">
        <f t="shared" si="10"/>
        <v>0</v>
      </c>
      <c r="LI145" s="156">
        <f t="shared" si="11"/>
        <v>0</v>
      </c>
      <c r="LJ145" s="156">
        <f t="shared" si="12"/>
        <v>0</v>
      </c>
      <c r="LK145" s="156">
        <f t="shared" si="13"/>
        <v>0</v>
      </c>
      <c r="LL145" s="156">
        <f t="shared" si="14"/>
        <v>0</v>
      </c>
      <c r="LM145" s="160">
        <f t="shared" si="15"/>
        <v>0</v>
      </c>
      <c r="QX145" s="107">
        <v>45845.0</v>
      </c>
    </row>
    <row r="146">
      <c r="A146" s="12"/>
      <c r="B146" s="12"/>
      <c r="C146" s="12"/>
      <c r="D146" s="12"/>
      <c r="E146" s="12"/>
      <c r="F146" s="12"/>
      <c r="G146" s="12"/>
      <c r="H146" s="12"/>
      <c r="I146" s="143">
        <f t="shared" si="5"/>
        <v>-30</v>
      </c>
      <c r="J146" s="144">
        <v>45849.0</v>
      </c>
      <c r="K146" s="173" t="s">
        <v>61</v>
      </c>
      <c r="L146" s="144">
        <v>45933.0</v>
      </c>
      <c r="M146" s="147" t="s">
        <v>1985</v>
      </c>
      <c r="N146" s="148">
        <v>246.0</v>
      </c>
      <c r="O146" s="148">
        <v>30.0</v>
      </c>
      <c r="P146" s="26"/>
      <c r="Q146" s="26"/>
      <c r="R146" s="26"/>
      <c r="S146" s="26"/>
      <c r="T146" s="26"/>
      <c r="U146" s="147" t="s">
        <v>1894</v>
      </c>
      <c r="V146" s="197"/>
      <c r="W146" s="150" t="s">
        <v>1989</v>
      </c>
      <c r="X146" s="181">
        <v>30.0</v>
      </c>
      <c r="Y146" s="166">
        <f t="shared" si="6"/>
        <v>30</v>
      </c>
      <c r="Z146" s="26">
        <f t="shared" si="7"/>
        <v>0</v>
      </c>
      <c r="AA146" s="26">
        <f t="shared" si="8"/>
        <v>0</v>
      </c>
      <c r="AB146" s="26">
        <f t="shared" si="9"/>
        <v>0</v>
      </c>
      <c r="AC146" s="155">
        <v>0.0</v>
      </c>
      <c r="AD146" s="155">
        <v>0.0</v>
      </c>
      <c r="AE146" s="155">
        <v>0.0</v>
      </c>
      <c r="AF146" s="155">
        <v>0.0</v>
      </c>
      <c r="AG146" s="155">
        <v>0.0</v>
      </c>
      <c r="AH146" s="155">
        <v>0.0</v>
      </c>
      <c r="BN146" s="155">
        <v>0.0</v>
      </c>
      <c r="BO146" s="155">
        <v>0.0</v>
      </c>
      <c r="BP146" s="155">
        <v>0.0</v>
      </c>
      <c r="BQ146" s="155">
        <v>0.0</v>
      </c>
      <c r="BR146" s="155">
        <v>0.0</v>
      </c>
      <c r="BS146" s="155">
        <v>0.0</v>
      </c>
      <c r="CV146" s="156">
        <v>0.0</v>
      </c>
      <c r="CW146" s="156">
        <v>0.0</v>
      </c>
      <c r="CX146" s="156">
        <v>0.0</v>
      </c>
      <c r="CY146" s="156">
        <v>0.0</v>
      </c>
      <c r="CZ146" s="156">
        <v>0.0</v>
      </c>
      <c r="DA146" s="156">
        <v>0.0</v>
      </c>
      <c r="EG146" s="156">
        <v>0.0</v>
      </c>
      <c r="EH146" s="156">
        <v>0.0</v>
      </c>
      <c r="EI146" s="156">
        <v>0.0</v>
      </c>
      <c r="EJ146" s="156">
        <v>0.0</v>
      </c>
      <c r="EK146" s="156">
        <v>0.0</v>
      </c>
      <c r="EL146" s="156">
        <v>0.0</v>
      </c>
      <c r="FQ146" s="156">
        <v>0.0</v>
      </c>
      <c r="FR146" s="156">
        <v>0.0</v>
      </c>
      <c r="FS146" s="156">
        <v>0.0</v>
      </c>
      <c r="FT146" s="156">
        <v>0.0</v>
      </c>
      <c r="FU146" s="156">
        <v>0.0</v>
      </c>
      <c r="FV146" s="156">
        <v>0.0</v>
      </c>
      <c r="FW146" s="157"/>
      <c r="FX146" s="157"/>
      <c r="FY146" s="157"/>
      <c r="FZ146" s="157"/>
      <c r="GA146" s="157"/>
      <c r="GB146" s="157"/>
      <c r="GC146" s="157"/>
      <c r="GD146" s="157"/>
      <c r="GE146" s="157"/>
      <c r="GF146" s="157"/>
      <c r="GG146" s="157"/>
      <c r="GH146" s="157"/>
      <c r="GI146" s="157"/>
      <c r="GJ146" s="157"/>
      <c r="GK146" s="157"/>
      <c r="GL146" s="157"/>
      <c r="GM146" s="157"/>
      <c r="GN146" s="157"/>
      <c r="GO146" s="157"/>
      <c r="GP146" s="158"/>
      <c r="GQ146" s="157"/>
      <c r="GR146" s="157"/>
      <c r="GS146" s="157"/>
      <c r="GT146" s="157"/>
      <c r="GU146" s="157"/>
      <c r="GV146" s="157"/>
      <c r="GW146" s="157"/>
      <c r="GX146" s="157"/>
      <c r="GY146" s="157"/>
      <c r="GZ146" s="157"/>
      <c r="HA146" s="157"/>
      <c r="HB146" s="155">
        <v>0.0</v>
      </c>
      <c r="HC146" s="155">
        <v>0.0</v>
      </c>
      <c r="HD146" s="155">
        <v>0.0</v>
      </c>
      <c r="HE146" s="155">
        <v>0.0</v>
      </c>
      <c r="HF146" s="155">
        <v>0.0</v>
      </c>
      <c r="HG146" s="155">
        <v>0.0</v>
      </c>
      <c r="IL146" s="159">
        <v>0.0</v>
      </c>
      <c r="IM146" s="156">
        <v>0.0</v>
      </c>
      <c r="IN146" s="156">
        <v>0.0</v>
      </c>
      <c r="IO146" s="156">
        <v>0.0</v>
      </c>
      <c r="IP146" s="156">
        <v>0.0</v>
      </c>
      <c r="IQ146" s="160">
        <v>0.0</v>
      </c>
      <c r="JH146" s="25"/>
      <c r="JW146" s="159">
        <v>0.0</v>
      </c>
      <c r="JX146" s="156">
        <v>0.0</v>
      </c>
      <c r="JY146" s="156">
        <v>0.0</v>
      </c>
      <c r="JZ146" s="156">
        <v>0.0</v>
      </c>
      <c r="KA146" s="156">
        <v>0.0</v>
      </c>
      <c r="KB146" s="160">
        <v>0.0</v>
      </c>
      <c r="LH146" s="159">
        <f t="shared" si="10"/>
        <v>0</v>
      </c>
      <c r="LI146" s="156">
        <f t="shared" si="11"/>
        <v>0</v>
      </c>
      <c r="LJ146" s="156">
        <f t="shared" si="12"/>
        <v>0</v>
      </c>
      <c r="LK146" s="156">
        <f t="shared" si="13"/>
        <v>0</v>
      </c>
      <c r="LL146" s="156">
        <f t="shared" si="14"/>
        <v>0</v>
      </c>
      <c r="LM146" s="160">
        <f t="shared" si="15"/>
        <v>0</v>
      </c>
      <c r="QX146" s="107">
        <v>45848.0</v>
      </c>
    </row>
    <row r="147">
      <c r="A147" s="12"/>
      <c r="B147" s="12"/>
      <c r="C147" s="12"/>
      <c r="D147" s="12"/>
      <c r="E147" s="12"/>
      <c r="F147" s="12"/>
      <c r="G147" s="12"/>
      <c r="H147" s="12"/>
      <c r="I147" s="143">
        <f t="shared" si="5"/>
        <v>-20</v>
      </c>
      <c r="J147" s="144">
        <v>45849.0</v>
      </c>
      <c r="K147" s="195" t="s">
        <v>61</v>
      </c>
      <c r="L147" s="144">
        <v>45932.0</v>
      </c>
      <c r="M147" s="147" t="s">
        <v>228</v>
      </c>
      <c r="N147" s="148">
        <v>357.0</v>
      </c>
      <c r="O147" s="148">
        <v>30.0</v>
      </c>
      <c r="P147" s="26"/>
      <c r="Q147" s="26"/>
      <c r="R147" s="26"/>
      <c r="S147" s="26"/>
      <c r="T147" s="26"/>
      <c r="U147" s="147" t="s">
        <v>1207</v>
      </c>
      <c r="V147" s="149" t="s">
        <v>1208</v>
      </c>
      <c r="W147" s="150" t="s">
        <v>1994</v>
      </c>
      <c r="X147" s="181">
        <v>20.0</v>
      </c>
      <c r="Y147" s="166">
        <f t="shared" si="6"/>
        <v>20</v>
      </c>
      <c r="Z147" s="26">
        <f t="shared" si="7"/>
        <v>0</v>
      </c>
      <c r="AA147" s="26">
        <f t="shared" si="8"/>
        <v>0</v>
      </c>
      <c r="AB147" s="26">
        <f t="shared" si="9"/>
        <v>0</v>
      </c>
      <c r="AC147" s="155">
        <v>0.0</v>
      </c>
      <c r="AD147" s="155">
        <v>0.0</v>
      </c>
      <c r="AE147" s="155">
        <v>0.0</v>
      </c>
      <c r="AF147" s="155">
        <v>0.0</v>
      </c>
      <c r="AG147" s="155">
        <v>0.0</v>
      </c>
      <c r="AH147" s="155">
        <v>0.0</v>
      </c>
      <c r="BN147" s="155">
        <v>0.0</v>
      </c>
      <c r="BO147" s="155">
        <v>0.0</v>
      </c>
      <c r="BP147" s="155">
        <v>0.0</v>
      </c>
      <c r="BQ147" s="155">
        <v>0.0</v>
      </c>
      <c r="BR147" s="155">
        <v>0.0</v>
      </c>
      <c r="BS147" s="155">
        <v>0.0</v>
      </c>
      <c r="CV147" s="156">
        <v>0.0</v>
      </c>
      <c r="CW147" s="156">
        <v>0.0</v>
      </c>
      <c r="CX147" s="156">
        <v>0.0</v>
      </c>
      <c r="CY147" s="156">
        <v>0.0</v>
      </c>
      <c r="CZ147" s="156">
        <v>0.0</v>
      </c>
      <c r="DA147" s="156">
        <v>0.0</v>
      </c>
      <c r="EG147" s="156">
        <v>0.0</v>
      </c>
      <c r="EH147" s="156">
        <v>0.0</v>
      </c>
      <c r="EI147" s="156">
        <v>0.0</v>
      </c>
      <c r="EJ147" s="156">
        <v>0.0</v>
      </c>
      <c r="EK147" s="156">
        <v>0.0</v>
      </c>
      <c r="EL147" s="156">
        <v>0.0</v>
      </c>
      <c r="FQ147" s="156">
        <v>0.0</v>
      </c>
      <c r="FR147" s="156">
        <v>0.0</v>
      </c>
      <c r="FS147" s="156">
        <v>0.0</v>
      </c>
      <c r="FT147" s="156">
        <v>0.0</v>
      </c>
      <c r="FU147" s="156">
        <v>0.0</v>
      </c>
      <c r="FV147" s="156">
        <v>0.0</v>
      </c>
      <c r="FW147" s="157"/>
      <c r="FX147" s="157"/>
      <c r="FY147" s="157"/>
      <c r="FZ147" s="157"/>
      <c r="GA147" s="157"/>
      <c r="GB147" s="157"/>
      <c r="GC147" s="157"/>
      <c r="GD147" s="157"/>
      <c r="GE147" s="157"/>
      <c r="GF147" s="157"/>
      <c r="GG147" s="157"/>
      <c r="GH147" s="157"/>
      <c r="GI147" s="157"/>
      <c r="GJ147" s="157"/>
      <c r="GK147" s="157"/>
      <c r="GL147" s="157"/>
      <c r="GM147" s="157"/>
      <c r="GN147" s="157"/>
      <c r="GO147" s="157"/>
      <c r="GP147" s="158"/>
      <c r="GQ147" s="157"/>
      <c r="GR147" s="157"/>
      <c r="GS147" s="157"/>
      <c r="GT147" s="157"/>
      <c r="GU147" s="157"/>
      <c r="GV147" s="157"/>
      <c r="GW147" s="157"/>
      <c r="GX147" s="157"/>
      <c r="GY147" s="157"/>
      <c r="GZ147" s="157"/>
      <c r="HA147" s="157"/>
      <c r="HB147" s="155">
        <v>0.0</v>
      </c>
      <c r="HC147" s="155">
        <v>0.0</v>
      </c>
      <c r="HD147" s="155">
        <v>0.0</v>
      </c>
      <c r="HE147" s="155">
        <v>0.0</v>
      </c>
      <c r="HF147" s="155">
        <v>0.0</v>
      </c>
      <c r="HG147" s="155">
        <v>0.0</v>
      </c>
      <c r="IL147" s="159">
        <v>0.0</v>
      </c>
      <c r="IM147" s="156">
        <v>0.0</v>
      </c>
      <c r="IN147" s="156">
        <v>0.0</v>
      </c>
      <c r="IO147" s="156">
        <v>0.0</v>
      </c>
      <c r="IP147" s="156">
        <v>0.0</v>
      </c>
      <c r="IQ147" s="160">
        <v>0.0</v>
      </c>
      <c r="JH147" s="25"/>
      <c r="JW147" s="159">
        <v>0.0</v>
      </c>
      <c r="JX147" s="156">
        <v>0.0</v>
      </c>
      <c r="JY147" s="156">
        <v>0.0</v>
      </c>
      <c r="JZ147" s="156">
        <v>0.0</v>
      </c>
      <c r="KA147" s="156">
        <v>0.0</v>
      </c>
      <c r="KB147" s="160">
        <v>0.0</v>
      </c>
      <c r="LH147" s="159">
        <f t="shared" si="10"/>
        <v>0</v>
      </c>
      <c r="LI147" s="156">
        <f t="shared" si="11"/>
        <v>0</v>
      </c>
      <c r="LJ147" s="156">
        <f t="shared" si="12"/>
        <v>0</v>
      </c>
      <c r="LK147" s="156">
        <f t="shared" si="13"/>
        <v>0</v>
      </c>
      <c r="LL147" s="156">
        <f t="shared" si="14"/>
        <v>0</v>
      </c>
      <c r="LM147" s="160">
        <f t="shared" si="15"/>
        <v>0</v>
      </c>
      <c r="QX147" s="107">
        <v>45848.0</v>
      </c>
    </row>
    <row r="148">
      <c r="A148" s="12"/>
      <c r="B148" s="12"/>
      <c r="C148" s="12"/>
      <c r="D148" s="12"/>
      <c r="E148" s="12"/>
      <c r="F148" s="12"/>
      <c r="G148" s="12"/>
      <c r="H148" s="12"/>
      <c r="I148" s="143">
        <f t="shared" si="5"/>
        <v>-30</v>
      </c>
      <c r="J148" s="144">
        <v>45867.0</v>
      </c>
      <c r="K148" s="173" t="s">
        <v>61</v>
      </c>
      <c r="L148" s="144">
        <v>45962.0</v>
      </c>
      <c r="M148" s="307" t="s">
        <v>107</v>
      </c>
      <c r="N148" s="308">
        <v>357.0</v>
      </c>
      <c r="O148" s="308">
        <v>60.0</v>
      </c>
      <c r="P148" s="309"/>
      <c r="Q148" s="309"/>
      <c r="R148" s="309"/>
      <c r="S148" s="309"/>
      <c r="T148" s="309"/>
      <c r="U148" s="307" t="s">
        <v>1973</v>
      </c>
      <c r="V148" s="310" t="s">
        <v>1974</v>
      </c>
      <c r="W148" s="311" t="s">
        <v>1975</v>
      </c>
      <c r="X148" s="181">
        <v>30.0</v>
      </c>
      <c r="Y148" s="166">
        <f t="shared" si="6"/>
        <v>30</v>
      </c>
      <c r="Z148" s="26">
        <f t="shared" si="7"/>
        <v>0</v>
      </c>
      <c r="AA148" s="26">
        <f t="shared" si="8"/>
        <v>0</v>
      </c>
      <c r="AB148" s="26">
        <f t="shared" si="9"/>
        <v>0</v>
      </c>
      <c r="AC148" s="155">
        <v>0.0</v>
      </c>
      <c r="AD148" s="155">
        <v>0.0</v>
      </c>
      <c r="AE148" s="155">
        <v>0.0</v>
      </c>
      <c r="AF148" s="155">
        <v>0.0</v>
      </c>
      <c r="AG148" s="155">
        <v>0.0</v>
      </c>
      <c r="AH148" s="155">
        <v>0.0</v>
      </c>
      <c r="BN148" s="155">
        <v>0.0</v>
      </c>
      <c r="BO148" s="155">
        <v>0.0</v>
      </c>
      <c r="BP148" s="155">
        <v>0.0</v>
      </c>
      <c r="BQ148" s="155">
        <v>0.0</v>
      </c>
      <c r="BR148" s="155">
        <v>0.0</v>
      </c>
      <c r="BS148" s="155">
        <v>0.0</v>
      </c>
      <c r="CV148" s="156">
        <v>0.0</v>
      </c>
      <c r="CW148" s="156">
        <v>0.0</v>
      </c>
      <c r="CX148" s="156">
        <v>0.0</v>
      </c>
      <c r="CY148" s="156">
        <v>0.0</v>
      </c>
      <c r="CZ148" s="156">
        <v>0.0</v>
      </c>
      <c r="DA148" s="156">
        <v>0.0</v>
      </c>
      <c r="EG148" s="156">
        <v>0.0</v>
      </c>
      <c r="EH148" s="156">
        <v>0.0</v>
      </c>
      <c r="EI148" s="156">
        <v>0.0</v>
      </c>
      <c r="EJ148" s="156">
        <v>0.0</v>
      </c>
      <c r="EK148" s="156">
        <v>0.0</v>
      </c>
      <c r="EL148" s="156">
        <v>0.0</v>
      </c>
      <c r="FQ148" s="156">
        <v>0.0</v>
      </c>
      <c r="FR148" s="156">
        <v>0.0</v>
      </c>
      <c r="FS148" s="156">
        <v>0.0</v>
      </c>
      <c r="FT148" s="156">
        <v>0.0</v>
      </c>
      <c r="FU148" s="156">
        <v>0.0</v>
      </c>
      <c r="FV148" s="156">
        <v>0.0</v>
      </c>
      <c r="FW148" s="157"/>
      <c r="FX148" s="157"/>
      <c r="FY148" s="157"/>
      <c r="FZ148" s="157"/>
      <c r="GA148" s="157"/>
      <c r="GB148" s="157"/>
      <c r="GC148" s="157"/>
      <c r="GD148" s="157"/>
      <c r="GE148" s="157"/>
      <c r="GF148" s="157"/>
      <c r="GG148" s="157"/>
      <c r="GH148" s="157"/>
      <c r="GI148" s="157"/>
      <c r="GJ148" s="157"/>
      <c r="GK148" s="157"/>
      <c r="GL148" s="157"/>
      <c r="GM148" s="157"/>
      <c r="GN148" s="157"/>
      <c r="GO148" s="157"/>
      <c r="GP148" s="158"/>
      <c r="GQ148" s="157"/>
      <c r="GR148" s="157"/>
      <c r="GS148" s="157"/>
      <c r="GT148" s="157"/>
      <c r="GU148" s="157"/>
      <c r="GV148" s="157"/>
      <c r="GW148" s="157"/>
      <c r="GX148" s="157"/>
      <c r="GY148" s="157"/>
      <c r="GZ148" s="157"/>
      <c r="HA148" s="157"/>
      <c r="HB148" s="155">
        <v>0.0</v>
      </c>
      <c r="HC148" s="155">
        <v>0.0</v>
      </c>
      <c r="HD148" s="155">
        <v>0.0</v>
      </c>
      <c r="HE148" s="155">
        <v>0.0</v>
      </c>
      <c r="HF148" s="155">
        <v>0.0</v>
      </c>
      <c r="HG148" s="155">
        <v>0.0</v>
      </c>
      <c r="IL148" s="159">
        <v>0.0</v>
      </c>
      <c r="IM148" s="156">
        <v>0.0</v>
      </c>
      <c r="IN148" s="156">
        <v>0.0</v>
      </c>
      <c r="IO148" s="156">
        <v>0.0</v>
      </c>
      <c r="IP148" s="156">
        <v>0.0</v>
      </c>
      <c r="IQ148" s="160">
        <v>0.0</v>
      </c>
      <c r="JH148" s="25"/>
      <c r="JW148" s="159">
        <v>0.0</v>
      </c>
      <c r="JX148" s="156">
        <v>0.0</v>
      </c>
      <c r="JY148" s="156">
        <v>0.0</v>
      </c>
      <c r="JZ148" s="156">
        <v>0.0</v>
      </c>
      <c r="KA148" s="156">
        <v>0.0</v>
      </c>
      <c r="KB148" s="160">
        <v>0.0</v>
      </c>
      <c r="LH148" s="159">
        <f t="shared" si="10"/>
        <v>0</v>
      </c>
      <c r="LI148" s="156">
        <f t="shared" si="11"/>
        <v>0</v>
      </c>
      <c r="LJ148" s="156">
        <f t="shared" si="12"/>
        <v>0</v>
      </c>
      <c r="LK148" s="156">
        <f t="shared" si="13"/>
        <v>0</v>
      </c>
      <c r="LL148" s="156">
        <f t="shared" si="14"/>
        <v>0</v>
      </c>
      <c r="LM148" s="160">
        <f t="shared" si="15"/>
        <v>0</v>
      </c>
      <c r="QX148" s="107">
        <v>45848.0</v>
      </c>
    </row>
    <row r="149">
      <c r="A149" s="12"/>
      <c r="B149" s="12"/>
      <c r="C149" s="12"/>
      <c r="D149" s="12"/>
      <c r="E149" s="12"/>
      <c r="F149" s="12"/>
      <c r="G149" s="12"/>
      <c r="H149" s="12"/>
      <c r="I149" s="143">
        <f t="shared" si="5"/>
        <v>-16</v>
      </c>
      <c r="J149" s="144">
        <v>45855.0</v>
      </c>
      <c r="K149" s="173" t="s">
        <v>61</v>
      </c>
      <c r="L149" s="144">
        <v>45916.0</v>
      </c>
      <c r="M149" s="147" t="s">
        <v>1157</v>
      </c>
      <c r="N149" s="148">
        <v>357.0</v>
      </c>
      <c r="O149" s="148">
        <v>30.0</v>
      </c>
      <c r="P149" s="26"/>
      <c r="Q149" s="26"/>
      <c r="R149" s="26"/>
      <c r="S149" s="26"/>
      <c r="T149" s="26"/>
      <c r="U149" s="147" t="s">
        <v>1965</v>
      </c>
      <c r="V149" s="197"/>
      <c r="W149" s="198" t="s">
        <v>2006</v>
      </c>
      <c r="X149" s="181">
        <v>16.0</v>
      </c>
      <c r="Y149" s="166">
        <f t="shared" si="6"/>
        <v>16</v>
      </c>
      <c r="Z149" s="26">
        <f t="shared" si="7"/>
        <v>0</v>
      </c>
      <c r="AA149" s="26">
        <f t="shared" si="8"/>
        <v>0</v>
      </c>
      <c r="AB149" s="26">
        <f t="shared" si="9"/>
        <v>0</v>
      </c>
      <c r="AC149" s="155">
        <v>0.0</v>
      </c>
      <c r="AD149" s="155">
        <v>0.0</v>
      </c>
      <c r="AE149" s="155">
        <v>0.0</v>
      </c>
      <c r="AF149" s="155">
        <v>0.0</v>
      </c>
      <c r="AG149" s="155">
        <v>0.0</v>
      </c>
      <c r="AH149" s="155">
        <v>0.0</v>
      </c>
      <c r="BN149" s="155">
        <v>0.0</v>
      </c>
      <c r="BO149" s="155">
        <v>0.0</v>
      </c>
      <c r="BP149" s="155">
        <v>0.0</v>
      </c>
      <c r="BQ149" s="155">
        <v>0.0</v>
      </c>
      <c r="BR149" s="155">
        <v>0.0</v>
      </c>
      <c r="BS149" s="155">
        <v>0.0</v>
      </c>
      <c r="CV149" s="156">
        <v>0.0</v>
      </c>
      <c r="CW149" s="156">
        <v>0.0</v>
      </c>
      <c r="CX149" s="156">
        <v>0.0</v>
      </c>
      <c r="CY149" s="156">
        <v>0.0</v>
      </c>
      <c r="CZ149" s="156">
        <v>0.0</v>
      </c>
      <c r="DA149" s="156">
        <v>0.0</v>
      </c>
      <c r="EG149" s="156">
        <v>0.0</v>
      </c>
      <c r="EH149" s="156">
        <v>0.0</v>
      </c>
      <c r="EI149" s="156">
        <v>0.0</v>
      </c>
      <c r="EJ149" s="156">
        <v>0.0</v>
      </c>
      <c r="EK149" s="156">
        <v>0.0</v>
      </c>
      <c r="EL149" s="156">
        <v>0.0</v>
      </c>
      <c r="FQ149" s="156">
        <v>0.0</v>
      </c>
      <c r="FR149" s="156">
        <v>0.0</v>
      </c>
      <c r="FS149" s="156">
        <v>0.0</v>
      </c>
      <c r="FT149" s="156">
        <v>0.0</v>
      </c>
      <c r="FU149" s="156">
        <v>0.0</v>
      </c>
      <c r="FV149" s="156">
        <v>0.0</v>
      </c>
      <c r="FW149" s="157"/>
      <c r="FX149" s="157"/>
      <c r="FY149" s="157"/>
      <c r="FZ149" s="157"/>
      <c r="GA149" s="157"/>
      <c r="GB149" s="157"/>
      <c r="GC149" s="157"/>
      <c r="GD149" s="157"/>
      <c r="GE149" s="157"/>
      <c r="GF149" s="157"/>
      <c r="GG149" s="157"/>
      <c r="GH149" s="157"/>
      <c r="GI149" s="157"/>
      <c r="GJ149" s="157"/>
      <c r="GK149" s="157"/>
      <c r="GL149" s="157"/>
      <c r="GM149" s="157"/>
      <c r="GN149" s="157"/>
      <c r="GO149" s="157"/>
      <c r="GP149" s="158"/>
      <c r="GQ149" s="157"/>
      <c r="GR149" s="157"/>
      <c r="GS149" s="157"/>
      <c r="GT149" s="157"/>
      <c r="GU149" s="157"/>
      <c r="GV149" s="157"/>
      <c r="GW149" s="157"/>
      <c r="GX149" s="157"/>
      <c r="GY149" s="157"/>
      <c r="GZ149" s="157"/>
      <c r="HA149" s="157"/>
      <c r="HB149" s="155">
        <v>0.0</v>
      </c>
      <c r="HC149" s="155">
        <v>0.0</v>
      </c>
      <c r="HD149" s="155">
        <v>0.0</v>
      </c>
      <c r="HE149" s="155">
        <v>0.0</v>
      </c>
      <c r="HF149" s="155">
        <v>0.0</v>
      </c>
      <c r="HG149" s="155">
        <v>0.0</v>
      </c>
      <c r="IL149" s="159">
        <v>0.0</v>
      </c>
      <c r="IM149" s="156">
        <v>0.0</v>
      </c>
      <c r="IN149" s="156">
        <v>0.0</v>
      </c>
      <c r="IO149" s="156">
        <v>0.0</v>
      </c>
      <c r="IP149" s="156">
        <v>0.0</v>
      </c>
      <c r="IQ149" s="160">
        <v>0.0</v>
      </c>
      <c r="JH149" s="25"/>
      <c r="JW149" s="159">
        <v>0.0</v>
      </c>
      <c r="JX149" s="156">
        <v>0.0</v>
      </c>
      <c r="JY149" s="156">
        <v>0.0</v>
      </c>
      <c r="JZ149" s="156">
        <v>0.0</v>
      </c>
      <c r="KA149" s="156">
        <v>0.0</v>
      </c>
      <c r="KB149" s="160">
        <v>0.0</v>
      </c>
      <c r="LH149" s="159">
        <f t="shared" si="10"/>
        <v>0</v>
      </c>
      <c r="LI149" s="156">
        <f t="shared" si="11"/>
        <v>0</v>
      </c>
      <c r="LJ149" s="156">
        <f t="shared" si="12"/>
        <v>0</v>
      </c>
      <c r="LK149" s="156">
        <f t="shared" si="13"/>
        <v>0</v>
      </c>
      <c r="LL149" s="156">
        <f t="shared" si="14"/>
        <v>0</v>
      </c>
      <c r="LM149" s="160">
        <f t="shared" si="15"/>
        <v>0</v>
      </c>
      <c r="QX149" s="107">
        <v>45849.0</v>
      </c>
    </row>
    <row r="150">
      <c r="A150" s="12"/>
      <c r="B150" s="12"/>
      <c r="C150" s="12"/>
      <c r="D150" s="12"/>
      <c r="E150" s="12"/>
      <c r="F150" s="12"/>
      <c r="G150" s="12"/>
      <c r="H150" s="12"/>
      <c r="I150" s="219">
        <f t="shared" si="5"/>
        <v>-11</v>
      </c>
      <c r="J150" s="144">
        <v>45852.0</v>
      </c>
      <c r="K150" s="173" t="s">
        <v>61</v>
      </c>
      <c r="L150" s="144">
        <v>45969.0</v>
      </c>
      <c r="M150" s="147" t="s">
        <v>348</v>
      </c>
      <c r="N150" s="148">
        <v>246.0</v>
      </c>
      <c r="O150" s="148">
        <v>30.0</v>
      </c>
      <c r="P150" s="26"/>
      <c r="Q150" s="26"/>
      <c r="R150" s="26"/>
      <c r="S150" s="26"/>
      <c r="T150" s="26"/>
      <c r="U150" s="147" t="s">
        <v>1275</v>
      </c>
      <c r="V150" s="197"/>
      <c r="W150" s="198" t="s">
        <v>2017</v>
      </c>
      <c r="X150" s="181">
        <v>11.0</v>
      </c>
      <c r="Y150" s="166">
        <f t="shared" si="6"/>
        <v>11</v>
      </c>
      <c r="Z150" s="26">
        <f t="shared" si="7"/>
        <v>0</v>
      </c>
      <c r="AA150" s="26">
        <f t="shared" si="8"/>
        <v>0</v>
      </c>
      <c r="AB150" s="26">
        <f t="shared" si="9"/>
        <v>0</v>
      </c>
      <c r="AC150" s="155">
        <v>0.0</v>
      </c>
      <c r="AD150" s="155">
        <v>0.0</v>
      </c>
      <c r="AE150" s="155">
        <v>0.0</v>
      </c>
      <c r="AF150" s="155">
        <v>0.0</v>
      </c>
      <c r="AG150" s="155">
        <v>0.0</v>
      </c>
      <c r="AH150" s="155">
        <v>0.0</v>
      </c>
      <c r="BN150" s="155">
        <v>0.0</v>
      </c>
      <c r="BO150" s="155">
        <v>0.0</v>
      </c>
      <c r="BP150" s="155">
        <v>0.0</v>
      </c>
      <c r="BQ150" s="155">
        <v>0.0</v>
      </c>
      <c r="BR150" s="155">
        <v>0.0</v>
      </c>
      <c r="BS150" s="155">
        <v>0.0</v>
      </c>
      <c r="CV150" s="156">
        <v>0.0</v>
      </c>
      <c r="CW150" s="156">
        <v>0.0</v>
      </c>
      <c r="CX150" s="156">
        <v>0.0</v>
      </c>
      <c r="CY150" s="156">
        <v>0.0</v>
      </c>
      <c r="CZ150" s="156">
        <v>0.0</v>
      </c>
      <c r="DA150" s="156">
        <v>0.0</v>
      </c>
      <c r="EG150" s="156">
        <v>0.0</v>
      </c>
      <c r="EH150" s="156">
        <v>0.0</v>
      </c>
      <c r="EI150" s="156">
        <v>0.0</v>
      </c>
      <c r="EJ150" s="156">
        <v>0.0</v>
      </c>
      <c r="EK150" s="156">
        <v>0.0</v>
      </c>
      <c r="EL150" s="156">
        <v>0.0</v>
      </c>
      <c r="FQ150" s="156">
        <v>0.0</v>
      </c>
      <c r="FR150" s="156">
        <v>0.0</v>
      </c>
      <c r="FS150" s="156">
        <v>0.0</v>
      </c>
      <c r="FT150" s="156">
        <v>0.0</v>
      </c>
      <c r="FU150" s="156">
        <v>0.0</v>
      </c>
      <c r="FV150" s="156">
        <v>0.0</v>
      </c>
      <c r="FW150" s="157"/>
      <c r="FX150" s="157"/>
      <c r="FY150" s="157"/>
      <c r="FZ150" s="157"/>
      <c r="GA150" s="157"/>
      <c r="GB150" s="157"/>
      <c r="GC150" s="157"/>
      <c r="GD150" s="157"/>
      <c r="GE150" s="157"/>
      <c r="GF150" s="157"/>
      <c r="GG150" s="157"/>
      <c r="GH150" s="157"/>
      <c r="GI150" s="157"/>
      <c r="GJ150" s="157"/>
      <c r="GK150" s="157"/>
      <c r="GL150" s="157"/>
      <c r="GM150" s="157"/>
      <c r="GN150" s="157"/>
      <c r="GO150" s="157"/>
      <c r="GP150" s="158"/>
      <c r="GQ150" s="157"/>
      <c r="GR150" s="157"/>
      <c r="GS150" s="157"/>
      <c r="GT150" s="157"/>
      <c r="GU150" s="157"/>
      <c r="GV150" s="157"/>
      <c r="GW150" s="157"/>
      <c r="GX150" s="157"/>
      <c r="GY150" s="157"/>
      <c r="GZ150" s="157"/>
      <c r="HA150" s="157"/>
      <c r="HB150" s="155">
        <v>0.0</v>
      </c>
      <c r="HC150" s="155">
        <v>0.0</v>
      </c>
      <c r="HD150" s="155">
        <v>0.0</v>
      </c>
      <c r="HE150" s="155">
        <v>0.0</v>
      </c>
      <c r="HF150" s="155">
        <v>0.0</v>
      </c>
      <c r="HG150" s="155">
        <v>0.0</v>
      </c>
      <c r="IL150" s="159">
        <v>0.0</v>
      </c>
      <c r="IM150" s="156">
        <v>0.0</v>
      </c>
      <c r="IN150" s="156">
        <v>0.0</v>
      </c>
      <c r="IO150" s="156">
        <v>0.0</v>
      </c>
      <c r="IP150" s="156">
        <v>0.0</v>
      </c>
      <c r="IQ150" s="160">
        <v>0.0</v>
      </c>
      <c r="JH150" s="25"/>
      <c r="JW150" s="159">
        <v>0.0</v>
      </c>
      <c r="JX150" s="156">
        <v>0.0</v>
      </c>
      <c r="JY150" s="156">
        <v>0.0</v>
      </c>
      <c r="JZ150" s="156">
        <v>0.0</v>
      </c>
      <c r="KA150" s="156">
        <v>0.0</v>
      </c>
      <c r="KB150" s="160">
        <v>0.0</v>
      </c>
      <c r="LH150" s="159">
        <f t="shared" si="10"/>
        <v>0</v>
      </c>
      <c r="LI150" s="156">
        <f t="shared" si="11"/>
        <v>0</v>
      </c>
      <c r="LJ150" s="156">
        <f t="shared" si="12"/>
        <v>0</v>
      </c>
      <c r="LK150" s="156">
        <f t="shared" si="13"/>
        <v>0</v>
      </c>
      <c r="LL150" s="156">
        <f t="shared" si="14"/>
        <v>0</v>
      </c>
      <c r="LM150" s="160">
        <f t="shared" si="15"/>
        <v>0</v>
      </c>
      <c r="QX150" s="107">
        <v>45849.0</v>
      </c>
    </row>
    <row r="151">
      <c r="A151" s="12"/>
      <c r="B151" s="12"/>
      <c r="C151" s="12"/>
      <c r="D151" s="12"/>
      <c r="E151" s="12"/>
      <c r="F151" s="12"/>
      <c r="G151" s="12"/>
      <c r="H151" s="12"/>
      <c r="I151" s="143">
        <f t="shared" si="5"/>
        <v>-30</v>
      </c>
      <c r="J151" s="144">
        <v>45849.0</v>
      </c>
      <c r="K151" s="173" t="s">
        <v>61</v>
      </c>
      <c r="L151" s="144">
        <v>45945.0</v>
      </c>
      <c r="M151" s="312" t="s">
        <v>107</v>
      </c>
      <c r="N151" s="313">
        <v>246.0</v>
      </c>
      <c r="O151" s="313">
        <v>45.0</v>
      </c>
      <c r="P151" s="314"/>
      <c r="Q151" s="314"/>
      <c r="R151" s="314"/>
      <c r="S151" s="314"/>
      <c r="T151" s="314"/>
      <c r="U151" s="312" t="s">
        <v>1195</v>
      </c>
      <c r="V151" s="315"/>
      <c r="W151" s="316" t="s">
        <v>2026</v>
      </c>
      <c r="X151" s="181">
        <v>30.0</v>
      </c>
      <c r="Y151" s="166">
        <f t="shared" si="6"/>
        <v>30</v>
      </c>
      <c r="Z151" s="26">
        <f t="shared" si="7"/>
        <v>0</v>
      </c>
      <c r="AA151" s="26">
        <f t="shared" si="8"/>
        <v>0</v>
      </c>
      <c r="AB151" s="26">
        <f t="shared" si="9"/>
        <v>0</v>
      </c>
      <c r="AC151" s="155">
        <v>0.0</v>
      </c>
      <c r="AD151" s="155">
        <v>0.0</v>
      </c>
      <c r="AE151" s="155">
        <v>0.0</v>
      </c>
      <c r="AF151" s="155">
        <v>0.0</v>
      </c>
      <c r="AG151" s="155">
        <v>0.0</v>
      </c>
      <c r="AH151" s="155">
        <v>0.0</v>
      </c>
      <c r="BN151" s="155">
        <v>0.0</v>
      </c>
      <c r="BO151" s="155">
        <v>0.0</v>
      </c>
      <c r="BP151" s="155">
        <v>0.0</v>
      </c>
      <c r="BQ151" s="155">
        <v>0.0</v>
      </c>
      <c r="BR151" s="155">
        <v>0.0</v>
      </c>
      <c r="BS151" s="155">
        <v>0.0</v>
      </c>
      <c r="CV151" s="156">
        <v>0.0</v>
      </c>
      <c r="CW151" s="156">
        <v>0.0</v>
      </c>
      <c r="CX151" s="156">
        <v>0.0</v>
      </c>
      <c r="CY151" s="156">
        <v>0.0</v>
      </c>
      <c r="CZ151" s="156">
        <v>0.0</v>
      </c>
      <c r="DA151" s="156">
        <v>0.0</v>
      </c>
      <c r="EG151" s="156">
        <v>0.0</v>
      </c>
      <c r="EH151" s="156">
        <v>0.0</v>
      </c>
      <c r="EI151" s="156">
        <v>0.0</v>
      </c>
      <c r="EJ151" s="156">
        <v>0.0</v>
      </c>
      <c r="EK151" s="156">
        <v>0.0</v>
      </c>
      <c r="EL151" s="156">
        <v>0.0</v>
      </c>
      <c r="FQ151" s="156">
        <v>0.0</v>
      </c>
      <c r="FR151" s="156">
        <v>0.0</v>
      </c>
      <c r="FS151" s="156">
        <v>0.0</v>
      </c>
      <c r="FT151" s="156">
        <v>0.0</v>
      </c>
      <c r="FU151" s="156">
        <v>0.0</v>
      </c>
      <c r="FV151" s="156">
        <v>0.0</v>
      </c>
      <c r="FW151" s="157"/>
      <c r="FX151" s="157"/>
      <c r="FY151" s="157"/>
      <c r="FZ151" s="157"/>
      <c r="GA151" s="157"/>
      <c r="GB151" s="157"/>
      <c r="GC151" s="157"/>
      <c r="GD151" s="157"/>
      <c r="GE151" s="157"/>
      <c r="GF151" s="157"/>
      <c r="GG151" s="157"/>
      <c r="GH151" s="157"/>
      <c r="GI151" s="157"/>
      <c r="GJ151" s="157"/>
      <c r="GK151" s="157"/>
      <c r="GL151" s="157"/>
      <c r="GM151" s="157"/>
      <c r="GN151" s="157"/>
      <c r="GO151" s="157"/>
      <c r="GP151" s="158"/>
      <c r="GQ151" s="157"/>
      <c r="GR151" s="157"/>
      <c r="GS151" s="157"/>
      <c r="GT151" s="157"/>
      <c r="GU151" s="157"/>
      <c r="GV151" s="157"/>
      <c r="GW151" s="157"/>
      <c r="GX151" s="157"/>
      <c r="GY151" s="157"/>
      <c r="GZ151" s="157"/>
      <c r="HA151" s="157"/>
      <c r="HB151" s="155">
        <v>0.0</v>
      </c>
      <c r="HC151" s="155">
        <v>0.0</v>
      </c>
      <c r="HD151" s="155">
        <v>0.0</v>
      </c>
      <c r="HE151" s="155">
        <v>0.0</v>
      </c>
      <c r="HF151" s="155">
        <v>0.0</v>
      </c>
      <c r="HG151" s="155">
        <v>0.0</v>
      </c>
      <c r="IL151" s="159">
        <v>0.0</v>
      </c>
      <c r="IM151" s="156">
        <v>0.0</v>
      </c>
      <c r="IN151" s="156">
        <v>0.0</v>
      </c>
      <c r="IO151" s="156">
        <v>0.0</v>
      </c>
      <c r="IP151" s="156">
        <v>0.0</v>
      </c>
      <c r="IQ151" s="160">
        <v>0.0</v>
      </c>
      <c r="JH151" s="25"/>
      <c r="JW151" s="159">
        <v>0.0</v>
      </c>
      <c r="JX151" s="156">
        <v>0.0</v>
      </c>
      <c r="JY151" s="156">
        <v>0.0</v>
      </c>
      <c r="JZ151" s="156">
        <v>0.0</v>
      </c>
      <c r="KA151" s="156">
        <v>0.0</v>
      </c>
      <c r="KB151" s="160">
        <v>0.0</v>
      </c>
      <c r="LH151" s="159">
        <f t="shared" si="10"/>
        <v>0</v>
      </c>
      <c r="LI151" s="156">
        <f t="shared" si="11"/>
        <v>0</v>
      </c>
      <c r="LJ151" s="156">
        <f t="shared" si="12"/>
        <v>0</v>
      </c>
      <c r="LK151" s="156">
        <f t="shared" si="13"/>
        <v>0</v>
      </c>
      <c r="LL151" s="156">
        <f t="shared" si="14"/>
        <v>0</v>
      </c>
      <c r="LM151" s="160">
        <f t="shared" si="15"/>
        <v>0</v>
      </c>
      <c r="QX151" s="107">
        <v>45849.0</v>
      </c>
    </row>
    <row r="152">
      <c r="A152" s="12"/>
      <c r="B152" s="12"/>
      <c r="C152" s="12"/>
      <c r="D152" s="12"/>
      <c r="E152" s="12"/>
      <c r="F152" s="12"/>
      <c r="G152" s="12"/>
      <c r="H152" s="12"/>
      <c r="I152" s="143">
        <f t="shared" si="5"/>
        <v>-30</v>
      </c>
      <c r="J152" s="144">
        <v>45849.0</v>
      </c>
      <c r="K152" s="173" t="s">
        <v>61</v>
      </c>
      <c r="L152" s="144">
        <v>45945.0</v>
      </c>
      <c r="M152" s="312" t="s">
        <v>107</v>
      </c>
      <c r="N152" s="313">
        <v>246.0</v>
      </c>
      <c r="O152" s="313">
        <v>45.0</v>
      </c>
      <c r="P152" s="314"/>
      <c r="Q152" s="314"/>
      <c r="R152" s="314"/>
      <c r="S152" s="314"/>
      <c r="T152" s="314"/>
      <c r="U152" s="312" t="s">
        <v>1195</v>
      </c>
      <c r="V152" s="315"/>
      <c r="W152" s="316" t="s">
        <v>2026</v>
      </c>
      <c r="X152" s="181">
        <v>30.0</v>
      </c>
      <c r="Y152" s="166">
        <f t="shared" si="6"/>
        <v>30</v>
      </c>
      <c r="Z152" s="26">
        <f t="shared" si="7"/>
        <v>0</v>
      </c>
      <c r="AA152" s="26">
        <f t="shared" si="8"/>
        <v>0</v>
      </c>
      <c r="AB152" s="26">
        <f t="shared" si="9"/>
        <v>0</v>
      </c>
      <c r="AC152" s="155">
        <v>0.0</v>
      </c>
      <c r="AD152" s="155">
        <v>0.0</v>
      </c>
      <c r="AE152" s="155">
        <v>0.0</v>
      </c>
      <c r="AF152" s="155">
        <v>0.0</v>
      </c>
      <c r="AG152" s="155">
        <v>0.0</v>
      </c>
      <c r="AH152" s="155">
        <v>0.0</v>
      </c>
      <c r="BN152" s="155">
        <v>0.0</v>
      </c>
      <c r="BO152" s="155">
        <v>0.0</v>
      </c>
      <c r="BP152" s="155">
        <v>0.0</v>
      </c>
      <c r="BQ152" s="155">
        <v>0.0</v>
      </c>
      <c r="BR152" s="155">
        <v>0.0</v>
      </c>
      <c r="BS152" s="155">
        <v>0.0</v>
      </c>
      <c r="CV152" s="156">
        <v>0.0</v>
      </c>
      <c r="CW152" s="156">
        <v>0.0</v>
      </c>
      <c r="CX152" s="156">
        <v>0.0</v>
      </c>
      <c r="CY152" s="156">
        <v>0.0</v>
      </c>
      <c r="CZ152" s="156">
        <v>0.0</v>
      </c>
      <c r="DA152" s="156">
        <v>0.0</v>
      </c>
      <c r="EG152" s="156">
        <v>0.0</v>
      </c>
      <c r="EH152" s="156">
        <v>0.0</v>
      </c>
      <c r="EI152" s="156">
        <v>0.0</v>
      </c>
      <c r="EJ152" s="156">
        <v>0.0</v>
      </c>
      <c r="EK152" s="156">
        <v>0.0</v>
      </c>
      <c r="EL152" s="156">
        <v>0.0</v>
      </c>
      <c r="FQ152" s="156">
        <v>0.0</v>
      </c>
      <c r="FR152" s="156">
        <v>0.0</v>
      </c>
      <c r="FS152" s="156">
        <v>0.0</v>
      </c>
      <c r="FT152" s="156">
        <v>0.0</v>
      </c>
      <c r="FU152" s="156">
        <v>0.0</v>
      </c>
      <c r="FV152" s="156">
        <v>0.0</v>
      </c>
      <c r="FW152" s="157"/>
      <c r="FX152" s="157"/>
      <c r="FY152" s="157"/>
      <c r="FZ152" s="157"/>
      <c r="GA152" s="157"/>
      <c r="GB152" s="157"/>
      <c r="GC152" s="157"/>
      <c r="GD152" s="157"/>
      <c r="GE152" s="157"/>
      <c r="GF152" s="157"/>
      <c r="GG152" s="157"/>
      <c r="GH152" s="157"/>
      <c r="GI152" s="157"/>
      <c r="GJ152" s="157"/>
      <c r="GK152" s="157"/>
      <c r="GL152" s="157"/>
      <c r="GM152" s="157"/>
      <c r="GN152" s="157"/>
      <c r="GO152" s="157"/>
      <c r="GP152" s="158"/>
      <c r="GQ152" s="157"/>
      <c r="GR152" s="157"/>
      <c r="GS152" s="157"/>
      <c r="GT152" s="157"/>
      <c r="GU152" s="157"/>
      <c r="GV152" s="157"/>
      <c r="GW152" s="157"/>
      <c r="GX152" s="157"/>
      <c r="GY152" s="157"/>
      <c r="GZ152" s="157"/>
      <c r="HA152" s="157"/>
      <c r="HB152" s="155">
        <v>0.0</v>
      </c>
      <c r="HC152" s="155">
        <v>0.0</v>
      </c>
      <c r="HD152" s="155">
        <v>0.0</v>
      </c>
      <c r="HE152" s="155">
        <v>0.0</v>
      </c>
      <c r="HF152" s="155">
        <v>0.0</v>
      </c>
      <c r="HG152" s="155">
        <v>0.0</v>
      </c>
      <c r="IL152" s="159">
        <v>0.0</v>
      </c>
      <c r="IM152" s="156">
        <v>0.0</v>
      </c>
      <c r="IN152" s="156">
        <v>0.0</v>
      </c>
      <c r="IO152" s="156">
        <v>0.0</v>
      </c>
      <c r="IP152" s="156">
        <v>0.0</v>
      </c>
      <c r="IQ152" s="160">
        <v>0.0</v>
      </c>
      <c r="JH152" s="25"/>
      <c r="JW152" s="159">
        <v>0.0</v>
      </c>
      <c r="JX152" s="156">
        <v>0.0</v>
      </c>
      <c r="JY152" s="156">
        <v>0.0</v>
      </c>
      <c r="JZ152" s="156">
        <v>0.0</v>
      </c>
      <c r="KA152" s="156">
        <v>0.0</v>
      </c>
      <c r="KB152" s="160">
        <v>0.0</v>
      </c>
      <c r="LH152" s="159">
        <f t="shared" si="10"/>
        <v>0</v>
      </c>
      <c r="LI152" s="156">
        <f t="shared" si="11"/>
        <v>0</v>
      </c>
      <c r="LJ152" s="156">
        <f t="shared" si="12"/>
        <v>0</v>
      </c>
      <c r="LK152" s="156">
        <f t="shared" si="13"/>
        <v>0</v>
      </c>
      <c r="LL152" s="156">
        <f t="shared" si="14"/>
        <v>0</v>
      </c>
      <c r="LM152" s="160">
        <f t="shared" si="15"/>
        <v>0</v>
      </c>
      <c r="QX152" s="107">
        <v>45849.0</v>
      </c>
    </row>
    <row r="153">
      <c r="A153" s="12"/>
      <c r="B153" s="12"/>
      <c r="C153" s="12"/>
      <c r="D153" s="12"/>
      <c r="E153" s="12"/>
      <c r="F153" s="12"/>
      <c r="G153" s="12"/>
      <c r="H153" s="12"/>
      <c r="I153" s="143">
        <f t="shared" si="5"/>
        <v>-30</v>
      </c>
      <c r="J153" s="144">
        <v>45849.0</v>
      </c>
      <c r="K153" s="173" t="s">
        <v>61</v>
      </c>
      <c r="L153" s="144">
        <v>45933.0</v>
      </c>
      <c r="M153" s="317" t="s">
        <v>107</v>
      </c>
      <c r="N153" s="318">
        <v>246.0</v>
      </c>
      <c r="O153" s="318">
        <v>45.0</v>
      </c>
      <c r="P153" s="319"/>
      <c r="Q153" s="319"/>
      <c r="R153" s="319"/>
      <c r="S153" s="319"/>
      <c r="T153" s="319"/>
      <c r="U153" s="317" t="s">
        <v>2041</v>
      </c>
      <c r="V153" s="320"/>
      <c r="W153" s="321" t="s">
        <v>2042</v>
      </c>
      <c r="X153" s="181">
        <v>30.0</v>
      </c>
      <c r="Y153" s="166">
        <f t="shared" si="6"/>
        <v>30</v>
      </c>
      <c r="Z153" s="26">
        <f t="shared" si="7"/>
        <v>0</v>
      </c>
      <c r="AA153" s="26">
        <f t="shared" si="8"/>
        <v>0</v>
      </c>
      <c r="AB153" s="26">
        <f t="shared" si="9"/>
        <v>0</v>
      </c>
      <c r="AC153" s="155">
        <v>0.0</v>
      </c>
      <c r="AD153" s="155">
        <v>0.0</v>
      </c>
      <c r="AE153" s="155">
        <v>0.0</v>
      </c>
      <c r="AF153" s="155">
        <v>0.0</v>
      </c>
      <c r="AG153" s="155">
        <v>0.0</v>
      </c>
      <c r="AH153" s="155">
        <v>0.0</v>
      </c>
      <c r="BN153" s="155">
        <v>0.0</v>
      </c>
      <c r="BO153" s="155">
        <v>0.0</v>
      </c>
      <c r="BP153" s="155">
        <v>0.0</v>
      </c>
      <c r="BQ153" s="155">
        <v>0.0</v>
      </c>
      <c r="BR153" s="155">
        <v>0.0</v>
      </c>
      <c r="BS153" s="155">
        <v>0.0</v>
      </c>
      <c r="CV153" s="156">
        <v>0.0</v>
      </c>
      <c r="CW153" s="156">
        <v>0.0</v>
      </c>
      <c r="CX153" s="156">
        <v>0.0</v>
      </c>
      <c r="CY153" s="156">
        <v>0.0</v>
      </c>
      <c r="CZ153" s="156">
        <v>0.0</v>
      </c>
      <c r="DA153" s="156">
        <v>0.0</v>
      </c>
      <c r="EG153" s="156">
        <v>0.0</v>
      </c>
      <c r="EH153" s="156">
        <v>0.0</v>
      </c>
      <c r="EI153" s="156">
        <v>0.0</v>
      </c>
      <c r="EJ153" s="156">
        <v>0.0</v>
      </c>
      <c r="EK153" s="156">
        <v>0.0</v>
      </c>
      <c r="EL153" s="156">
        <v>0.0</v>
      </c>
      <c r="FQ153" s="156">
        <v>0.0</v>
      </c>
      <c r="FR153" s="156">
        <v>0.0</v>
      </c>
      <c r="FS153" s="156">
        <v>0.0</v>
      </c>
      <c r="FT153" s="156">
        <v>0.0</v>
      </c>
      <c r="FU153" s="156">
        <v>0.0</v>
      </c>
      <c r="FV153" s="156">
        <v>0.0</v>
      </c>
      <c r="FW153" s="157"/>
      <c r="FX153" s="157"/>
      <c r="FY153" s="157"/>
      <c r="FZ153" s="157"/>
      <c r="GA153" s="157"/>
      <c r="GB153" s="157"/>
      <c r="GC153" s="157"/>
      <c r="GD153" s="157"/>
      <c r="GE153" s="157"/>
      <c r="GF153" s="157"/>
      <c r="GG153" s="157"/>
      <c r="GH153" s="157"/>
      <c r="GI153" s="157"/>
      <c r="GJ153" s="157"/>
      <c r="GK153" s="157"/>
      <c r="GL153" s="157"/>
      <c r="GM153" s="157"/>
      <c r="GN153" s="157"/>
      <c r="GO153" s="157"/>
      <c r="GP153" s="158"/>
      <c r="GQ153" s="157"/>
      <c r="GR153" s="157"/>
      <c r="GS153" s="157"/>
      <c r="GT153" s="157"/>
      <c r="GU153" s="157"/>
      <c r="GV153" s="157"/>
      <c r="GW153" s="157"/>
      <c r="GX153" s="157"/>
      <c r="GY153" s="157"/>
      <c r="GZ153" s="157"/>
      <c r="HA153" s="157"/>
      <c r="HB153" s="155">
        <v>0.0</v>
      </c>
      <c r="HC153" s="155">
        <v>0.0</v>
      </c>
      <c r="HD153" s="155">
        <v>0.0</v>
      </c>
      <c r="HE153" s="155">
        <v>0.0</v>
      </c>
      <c r="HF153" s="155">
        <v>0.0</v>
      </c>
      <c r="HG153" s="155">
        <v>0.0</v>
      </c>
      <c r="IL153" s="159">
        <v>0.0</v>
      </c>
      <c r="IM153" s="156">
        <v>0.0</v>
      </c>
      <c r="IN153" s="156">
        <v>0.0</v>
      </c>
      <c r="IO153" s="156">
        <v>0.0</v>
      </c>
      <c r="IP153" s="156">
        <v>0.0</v>
      </c>
      <c r="IQ153" s="160">
        <v>0.0</v>
      </c>
      <c r="JH153" s="25"/>
      <c r="JW153" s="159">
        <v>0.0</v>
      </c>
      <c r="JX153" s="156">
        <v>0.0</v>
      </c>
      <c r="JY153" s="156">
        <v>0.0</v>
      </c>
      <c r="JZ153" s="156">
        <v>0.0</v>
      </c>
      <c r="KA153" s="156">
        <v>0.0</v>
      </c>
      <c r="KB153" s="160">
        <v>0.0</v>
      </c>
      <c r="LH153" s="159">
        <f t="shared" si="10"/>
        <v>0</v>
      </c>
      <c r="LI153" s="156">
        <f t="shared" si="11"/>
        <v>0</v>
      </c>
      <c r="LJ153" s="156">
        <f t="shared" si="12"/>
        <v>0</v>
      </c>
      <c r="LK153" s="156">
        <f t="shared" si="13"/>
        <v>0</v>
      </c>
      <c r="LL153" s="156">
        <f t="shared" si="14"/>
        <v>0</v>
      </c>
      <c r="LM153" s="160">
        <f t="shared" si="15"/>
        <v>0</v>
      </c>
      <c r="QX153" s="107">
        <v>45849.0</v>
      </c>
    </row>
    <row r="154">
      <c r="A154" s="12"/>
      <c r="B154" s="12"/>
      <c r="C154" s="12"/>
      <c r="D154" s="12"/>
      <c r="E154" s="12"/>
      <c r="F154" s="12"/>
      <c r="G154" s="12"/>
      <c r="H154" s="12"/>
      <c r="I154" s="143">
        <f t="shared" si="5"/>
        <v>-30</v>
      </c>
      <c r="J154" s="144">
        <v>45849.0</v>
      </c>
      <c r="K154" s="173" t="s">
        <v>61</v>
      </c>
      <c r="L154" s="144">
        <v>45933.0</v>
      </c>
      <c r="M154" s="317" t="s">
        <v>107</v>
      </c>
      <c r="N154" s="318">
        <v>246.0</v>
      </c>
      <c r="O154" s="318">
        <v>45.0</v>
      </c>
      <c r="P154" s="319"/>
      <c r="Q154" s="319"/>
      <c r="R154" s="319"/>
      <c r="S154" s="319"/>
      <c r="T154" s="319"/>
      <c r="U154" s="317" t="s">
        <v>2041</v>
      </c>
      <c r="V154" s="320"/>
      <c r="W154" s="321" t="s">
        <v>2042</v>
      </c>
      <c r="X154" s="181">
        <v>30.0</v>
      </c>
      <c r="Y154" s="166">
        <f t="shared" si="6"/>
        <v>30</v>
      </c>
      <c r="Z154" s="26">
        <f t="shared" si="7"/>
        <v>0</v>
      </c>
      <c r="AA154" s="26">
        <f t="shared" si="8"/>
        <v>0</v>
      </c>
      <c r="AB154" s="26">
        <f t="shared" si="9"/>
        <v>0</v>
      </c>
      <c r="AC154" s="155">
        <v>0.0</v>
      </c>
      <c r="AD154" s="155">
        <v>0.0</v>
      </c>
      <c r="AE154" s="155">
        <v>0.0</v>
      </c>
      <c r="AF154" s="155">
        <v>0.0</v>
      </c>
      <c r="AG154" s="155">
        <v>0.0</v>
      </c>
      <c r="AH154" s="155">
        <v>0.0</v>
      </c>
      <c r="BN154" s="155">
        <v>0.0</v>
      </c>
      <c r="BO154" s="155">
        <v>0.0</v>
      </c>
      <c r="BP154" s="155">
        <v>0.0</v>
      </c>
      <c r="BQ154" s="155">
        <v>0.0</v>
      </c>
      <c r="BR154" s="155">
        <v>0.0</v>
      </c>
      <c r="BS154" s="155">
        <v>0.0</v>
      </c>
      <c r="CV154" s="156">
        <v>0.0</v>
      </c>
      <c r="CW154" s="156">
        <v>0.0</v>
      </c>
      <c r="CX154" s="156">
        <v>0.0</v>
      </c>
      <c r="CY154" s="156">
        <v>0.0</v>
      </c>
      <c r="CZ154" s="156">
        <v>0.0</v>
      </c>
      <c r="DA154" s="156">
        <v>0.0</v>
      </c>
      <c r="EG154" s="156">
        <v>0.0</v>
      </c>
      <c r="EH154" s="156">
        <v>0.0</v>
      </c>
      <c r="EI154" s="156">
        <v>0.0</v>
      </c>
      <c r="EJ154" s="156">
        <v>0.0</v>
      </c>
      <c r="EK154" s="156">
        <v>0.0</v>
      </c>
      <c r="EL154" s="156">
        <v>0.0</v>
      </c>
      <c r="FQ154" s="156">
        <v>0.0</v>
      </c>
      <c r="FR154" s="156">
        <v>0.0</v>
      </c>
      <c r="FS154" s="156">
        <v>0.0</v>
      </c>
      <c r="FT154" s="156">
        <v>0.0</v>
      </c>
      <c r="FU154" s="156">
        <v>0.0</v>
      </c>
      <c r="FV154" s="156">
        <v>0.0</v>
      </c>
      <c r="FW154" s="157"/>
      <c r="FX154" s="157"/>
      <c r="FY154" s="157"/>
      <c r="FZ154" s="157"/>
      <c r="GA154" s="157"/>
      <c r="GB154" s="157"/>
      <c r="GC154" s="157"/>
      <c r="GD154" s="157"/>
      <c r="GE154" s="157"/>
      <c r="GF154" s="157"/>
      <c r="GG154" s="157"/>
      <c r="GH154" s="157"/>
      <c r="GI154" s="157"/>
      <c r="GJ154" s="157"/>
      <c r="GK154" s="157"/>
      <c r="GL154" s="157"/>
      <c r="GM154" s="157"/>
      <c r="GN154" s="157"/>
      <c r="GO154" s="157"/>
      <c r="GP154" s="158"/>
      <c r="GQ154" s="157"/>
      <c r="GR154" s="157"/>
      <c r="GS154" s="157"/>
      <c r="GT154" s="157"/>
      <c r="GU154" s="157"/>
      <c r="GV154" s="157"/>
      <c r="GW154" s="157"/>
      <c r="GX154" s="157"/>
      <c r="GY154" s="157"/>
      <c r="GZ154" s="157"/>
      <c r="HA154" s="157"/>
      <c r="HB154" s="155">
        <v>0.0</v>
      </c>
      <c r="HC154" s="155">
        <v>0.0</v>
      </c>
      <c r="HD154" s="155">
        <v>0.0</v>
      </c>
      <c r="HE154" s="155">
        <v>0.0</v>
      </c>
      <c r="HF154" s="155">
        <v>0.0</v>
      </c>
      <c r="HG154" s="155">
        <v>0.0</v>
      </c>
      <c r="IL154" s="159">
        <v>0.0</v>
      </c>
      <c r="IM154" s="156">
        <v>0.0</v>
      </c>
      <c r="IN154" s="156">
        <v>0.0</v>
      </c>
      <c r="IO154" s="156">
        <v>0.0</v>
      </c>
      <c r="IP154" s="156">
        <v>0.0</v>
      </c>
      <c r="IQ154" s="160">
        <v>0.0</v>
      </c>
      <c r="JH154" s="25"/>
      <c r="JW154" s="159">
        <v>0.0</v>
      </c>
      <c r="JX154" s="156">
        <v>0.0</v>
      </c>
      <c r="JY154" s="156">
        <v>0.0</v>
      </c>
      <c r="JZ154" s="156">
        <v>0.0</v>
      </c>
      <c r="KA154" s="156">
        <v>0.0</v>
      </c>
      <c r="KB154" s="160">
        <v>0.0</v>
      </c>
      <c r="LH154" s="159">
        <f t="shared" si="10"/>
        <v>0</v>
      </c>
      <c r="LI154" s="156">
        <f t="shared" si="11"/>
        <v>0</v>
      </c>
      <c r="LJ154" s="156">
        <f t="shared" si="12"/>
        <v>0</v>
      </c>
      <c r="LK154" s="156">
        <f t="shared" si="13"/>
        <v>0</v>
      </c>
      <c r="LL154" s="156">
        <f t="shared" si="14"/>
        <v>0</v>
      </c>
      <c r="LM154" s="160">
        <f t="shared" si="15"/>
        <v>0</v>
      </c>
      <c r="QX154" s="107">
        <v>45849.0</v>
      </c>
    </row>
    <row r="155">
      <c r="A155" s="12"/>
      <c r="B155" s="12"/>
      <c r="C155" s="12"/>
      <c r="D155" s="12"/>
      <c r="E155" s="12"/>
      <c r="F155" s="12"/>
      <c r="G155" s="12"/>
      <c r="H155" s="12"/>
      <c r="I155" s="143">
        <f t="shared" si="5"/>
        <v>-30</v>
      </c>
      <c r="J155" s="144">
        <v>45847.0</v>
      </c>
      <c r="K155" s="173" t="s">
        <v>61</v>
      </c>
      <c r="L155" s="144">
        <v>45933.0</v>
      </c>
      <c r="M155" s="267" t="s">
        <v>107</v>
      </c>
      <c r="N155" s="268">
        <v>246.0</v>
      </c>
      <c r="O155" s="268">
        <v>45.0</v>
      </c>
      <c r="P155" s="98"/>
      <c r="Q155" s="98"/>
      <c r="R155" s="98"/>
      <c r="S155" s="98"/>
      <c r="T155" s="98"/>
      <c r="U155" s="267" t="s">
        <v>1391</v>
      </c>
      <c r="V155" s="269"/>
      <c r="W155" s="270" t="s">
        <v>2059</v>
      </c>
      <c r="X155" s="181">
        <v>30.0</v>
      </c>
      <c r="Y155" s="166">
        <f t="shared" si="6"/>
        <v>30</v>
      </c>
      <c r="Z155" s="26">
        <f t="shared" si="7"/>
        <v>0</v>
      </c>
      <c r="AA155" s="26">
        <f t="shared" si="8"/>
        <v>0</v>
      </c>
      <c r="AB155" s="26">
        <f t="shared" si="9"/>
        <v>0</v>
      </c>
      <c r="AC155" s="155">
        <v>0.0</v>
      </c>
      <c r="AD155" s="155">
        <v>0.0</v>
      </c>
      <c r="AE155" s="155">
        <v>0.0</v>
      </c>
      <c r="AF155" s="155">
        <v>0.0</v>
      </c>
      <c r="AG155" s="155">
        <v>0.0</v>
      </c>
      <c r="AH155" s="155">
        <v>0.0</v>
      </c>
      <c r="BN155" s="155">
        <v>0.0</v>
      </c>
      <c r="BO155" s="155">
        <v>0.0</v>
      </c>
      <c r="BP155" s="155">
        <v>0.0</v>
      </c>
      <c r="BQ155" s="155">
        <v>0.0</v>
      </c>
      <c r="BR155" s="155">
        <v>0.0</v>
      </c>
      <c r="BS155" s="155">
        <v>0.0</v>
      </c>
      <c r="CV155" s="156">
        <v>0.0</v>
      </c>
      <c r="CW155" s="156">
        <v>0.0</v>
      </c>
      <c r="CX155" s="156">
        <v>0.0</v>
      </c>
      <c r="CY155" s="156">
        <v>0.0</v>
      </c>
      <c r="CZ155" s="156">
        <v>0.0</v>
      </c>
      <c r="DA155" s="156">
        <v>0.0</v>
      </c>
      <c r="EG155" s="156">
        <v>0.0</v>
      </c>
      <c r="EH155" s="156">
        <v>0.0</v>
      </c>
      <c r="EI155" s="156">
        <v>0.0</v>
      </c>
      <c r="EJ155" s="156">
        <v>0.0</v>
      </c>
      <c r="EK155" s="156">
        <v>0.0</v>
      </c>
      <c r="EL155" s="156">
        <v>0.0</v>
      </c>
      <c r="FQ155" s="156">
        <v>0.0</v>
      </c>
      <c r="FR155" s="156">
        <v>0.0</v>
      </c>
      <c r="FS155" s="156">
        <v>0.0</v>
      </c>
      <c r="FT155" s="156">
        <v>0.0</v>
      </c>
      <c r="FU155" s="156">
        <v>0.0</v>
      </c>
      <c r="FV155" s="156">
        <v>0.0</v>
      </c>
      <c r="FW155" s="157"/>
      <c r="FX155" s="157"/>
      <c r="FY155" s="157"/>
      <c r="FZ155" s="157"/>
      <c r="GA155" s="157"/>
      <c r="GB155" s="157"/>
      <c r="GC155" s="157"/>
      <c r="GD155" s="157"/>
      <c r="GE155" s="157"/>
      <c r="GF155" s="157"/>
      <c r="GG155" s="157"/>
      <c r="GH155" s="157"/>
      <c r="GI155" s="157"/>
      <c r="GJ155" s="157"/>
      <c r="GK155" s="157"/>
      <c r="GL155" s="157"/>
      <c r="GM155" s="157"/>
      <c r="GN155" s="157"/>
      <c r="GO155" s="157"/>
      <c r="GP155" s="158"/>
      <c r="GQ155" s="157"/>
      <c r="GR155" s="157"/>
      <c r="GS155" s="157"/>
      <c r="GT155" s="157"/>
      <c r="GU155" s="157"/>
      <c r="GV155" s="157"/>
      <c r="GW155" s="157"/>
      <c r="GX155" s="157"/>
      <c r="GY155" s="157"/>
      <c r="GZ155" s="157"/>
      <c r="HA155" s="157"/>
      <c r="HB155" s="155">
        <v>0.0</v>
      </c>
      <c r="HC155" s="155">
        <v>0.0</v>
      </c>
      <c r="HD155" s="155">
        <v>0.0</v>
      </c>
      <c r="HE155" s="155">
        <v>0.0</v>
      </c>
      <c r="HF155" s="155">
        <v>0.0</v>
      </c>
      <c r="HG155" s="155">
        <v>0.0</v>
      </c>
      <c r="IL155" s="159">
        <v>0.0</v>
      </c>
      <c r="IM155" s="156">
        <v>0.0</v>
      </c>
      <c r="IN155" s="156">
        <v>0.0</v>
      </c>
      <c r="IO155" s="156">
        <v>0.0</v>
      </c>
      <c r="IP155" s="156">
        <v>0.0</v>
      </c>
      <c r="IQ155" s="160">
        <v>0.0</v>
      </c>
      <c r="JH155" s="25"/>
      <c r="JW155" s="159">
        <v>0.0</v>
      </c>
      <c r="JX155" s="156">
        <v>0.0</v>
      </c>
      <c r="JY155" s="156">
        <v>0.0</v>
      </c>
      <c r="JZ155" s="156">
        <v>0.0</v>
      </c>
      <c r="KA155" s="156">
        <v>0.0</v>
      </c>
      <c r="KB155" s="160">
        <v>0.0</v>
      </c>
      <c r="LH155" s="159">
        <f t="shared" si="10"/>
        <v>0</v>
      </c>
      <c r="LI155" s="156">
        <f t="shared" si="11"/>
        <v>0</v>
      </c>
      <c r="LJ155" s="156">
        <f t="shared" si="12"/>
        <v>0</v>
      </c>
      <c r="LK155" s="156">
        <f t="shared" si="13"/>
        <v>0</v>
      </c>
      <c r="LL155" s="156">
        <f t="shared" si="14"/>
        <v>0</v>
      </c>
      <c r="LM155" s="160">
        <f t="shared" si="15"/>
        <v>0</v>
      </c>
      <c r="QX155" s="107">
        <v>45849.0</v>
      </c>
    </row>
    <row r="156">
      <c r="A156" s="12"/>
      <c r="B156" s="12"/>
      <c r="C156" s="12"/>
      <c r="D156" s="12"/>
      <c r="E156" s="12"/>
      <c r="F156" s="12"/>
      <c r="G156" s="12"/>
      <c r="H156" s="12"/>
      <c r="I156" s="143">
        <f t="shared" si="5"/>
        <v>-29</v>
      </c>
      <c r="J156" s="144">
        <v>45847.0</v>
      </c>
      <c r="K156" s="173" t="s">
        <v>61</v>
      </c>
      <c r="L156" s="144">
        <v>45933.0</v>
      </c>
      <c r="M156" s="267" t="s">
        <v>107</v>
      </c>
      <c r="N156" s="268">
        <v>246.0</v>
      </c>
      <c r="O156" s="268">
        <v>45.0</v>
      </c>
      <c r="P156" s="98"/>
      <c r="Q156" s="98"/>
      <c r="R156" s="98"/>
      <c r="S156" s="98"/>
      <c r="T156" s="98"/>
      <c r="U156" s="267" t="s">
        <v>1391</v>
      </c>
      <c r="V156" s="269"/>
      <c r="W156" s="270" t="s">
        <v>2059</v>
      </c>
      <c r="X156" s="181">
        <v>29.0</v>
      </c>
      <c r="Y156" s="166">
        <f t="shared" si="6"/>
        <v>29</v>
      </c>
      <c r="Z156" s="26">
        <f t="shared" si="7"/>
        <v>0</v>
      </c>
      <c r="AA156" s="26">
        <f t="shared" si="8"/>
        <v>0</v>
      </c>
      <c r="AB156" s="26">
        <f t="shared" si="9"/>
        <v>0</v>
      </c>
      <c r="AC156" s="155">
        <v>0.0</v>
      </c>
      <c r="AD156" s="155">
        <v>0.0</v>
      </c>
      <c r="AE156" s="155">
        <v>0.0</v>
      </c>
      <c r="AF156" s="155">
        <v>0.0</v>
      </c>
      <c r="AG156" s="155">
        <v>0.0</v>
      </c>
      <c r="AH156" s="155">
        <v>0.0</v>
      </c>
      <c r="BN156" s="155">
        <v>0.0</v>
      </c>
      <c r="BO156" s="155">
        <v>0.0</v>
      </c>
      <c r="BP156" s="155">
        <v>0.0</v>
      </c>
      <c r="BQ156" s="155">
        <v>0.0</v>
      </c>
      <c r="BR156" s="155">
        <v>0.0</v>
      </c>
      <c r="BS156" s="155">
        <v>0.0</v>
      </c>
      <c r="CV156" s="156">
        <v>0.0</v>
      </c>
      <c r="CW156" s="156">
        <v>0.0</v>
      </c>
      <c r="CX156" s="156">
        <v>0.0</v>
      </c>
      <c r="CY156" s="156">
        <v>0.0</v>
      </c>
      <c r="CZ156" s="156">
        <v>0.0</v>
      </c>
      <c r="DA156" s="156">
        <v>0.0</v>
      </c>
      <c r="EG156" s="156">
        <v>0.0</v>
      </c>
      <c r="EH156" s="156">
        <v>0.0</v>
      </c>
      <c r="EI156" s="156">
        <v>0.0</v>
      </c>
      <c r="EJ156" s="156">
        <v>0.0</v>
      </c>
      <c r="EK156" s="156">
        <v>0.0</v>
      </c>
      <c r="EL156" s="156">
        <v>0.0</v>
      </c>
      <c r="FQ156" s="156">
        <v>0.0</v>
      </c>
      <c r="FR156" s="156">
        <v>0.0</v>
      </c>
      <c r="FS156" s="156">
        <v>0.0</v>
      </c>
      <c r="FT156" s="156">
        <v>0.0</v>
      </c>
      <c r="FU156" s="156">
        <v>0.0</v>
      </c>
      <c r="FV156" s="156">
        <v>0.0</v>
      </c>
      <c r="FW156" s="157"/>
      <c r="FX156" s="157"/>
      <c r="FY156" s="157"/>
      <c r="FZ156" s="157"/>
      <c r="GA156" s="157"/>
      <c r="GB156" s="157"/>
      <c r="GC156" s="157"/>
      <c r="GD156" s="157"/>
      <c r="GE156" s="157"/>
      <c r="GF156" s="157"/>
      <c r="GG156" s="157"/>
      <c r="GH156" s="157"/>
      <c r="GI156" s="157"/>
      <c r="GJ156" s="157"/>
      <c r="GK156" s="157"/>
      <c r="GL156" s="157"/>
      <c r="GM156" s="157"/>
      <c r="GN156" s="157"/>
      <c r="GO156" s="157"/>
      <c r="GP156" s="158"/>
      <c r="GQ156" s="157"/>
      <c r="GR156" s="157"/>
      <c r="GS156" s="157"/>
      <c r="GT156" s="157"/>
      <c r="GU156" s="157"/>
      <c r="GV156" s="157"/>
      <c r="GW156" s="157"/>
      <c r="GX156" s="157"/>
      <c r="GY156" s="157"/>
      <c r="GZ156" s="157"/>
      <c r="HA156" s="157"/>
      <c r="HB156" s="155">
        <v>0.0</v>
      </c>
      <c r="HC156" s="155">
        <v>0.0</v>
      </c>
      <c r="HD156" s="155">
        <v>0.0</v>
      </c>
      <c r="HE156" s="155">
        <v>0.0</v>
      </c>
      <c r="HF156" s="155">
        <v>0.0</v>
      </c>
      <c r="HG156" s="155">
        <v>0.0</v>
      </c>
      <c r="IL156" s="159">
        <v>0.0</v>
      </c>
      <c r="IM156" s="156">
        <v>0.0</v>
      </c>
      <c r="IN156" s="156">
        <v>0.0</v>
      </c>
      <c r="IO156" s="156">
        <v>0.0</v>
      </c>
      <c r="IP156" s="156">
        <v>0.0</v>
      </c>
      <c r="IQ156" s="160">
        <v>0.0</v>
      </c>
      <c r="JH156" s="25"/>
      <c r="JW156" s="159">
        <v>0.0</v>
      </c>
      <c r="JX156" s="156">
        <v>0.0</v>
      </c>
      <c r="JY156" s="156">
        <v>0.0</v>
      </c>
      <c r="JZ156" s="156">
        <v>0.0</v>
      </c>
      <c r="KA156" s="156">
        <v>0.0</v>
      </c>
      <c r="KB156" s="160">
        <v>0.0</v>
      </c>
      <c r="LH156" s="159">
        <f t="shared" si="10"/>
        <v>0</v>
      </c>
      <c r="LI156" s="156">
        <f t="shared" si="11"/>
        <v>0</v>
      </c>
      <c r="LJ156" s="156">
        <f t="shared" si="12"/>
        <v>0</v>
      </c>
      <c r="LK156" s="156">
        <f t="shared" si="13"/>
        <v>0</v>
      </c>
      <c r="LL156" s="156">
        <f t="shared" si="14"/>
        <v>0</v>
      </c>
      <c r="LM156" s="160">
        <f t="shared" si="15"/>
        <v>0</v>
      </c>
      <c r="QX156" s="107">
        <v>45849.0</v>
      </c>
    </row>
    <row r="157">
      <c r="A157" s="12"/>
      <c r="B157" s="12"/>
      <c r="C157" s="12"/>
      <c r="D157" s="12"/>
      <c r="E157" s="12"/>
      <c r="F157" s="12"/>
      <c r="G157" s="12"/>
      <c r="H157" s="12"/>
      <c r="I157" s="143">
        <f t="shared" si="5"/>
        <v>-10</v>
      </c>
      <c r="J157" s="144">
        <v>45849.0</v>
      </c>
      <c r="K157" s="173" t="s">
        <v>61</v>
      </c>
      <c r="L157" s="146"/>
      <c r="M157" s="147" t="s">
        <v>107</v>
      </c>
      <c r="N157" s="148">
        <v>246.0</v>
      </c>
      <c r="O157" s="148">
        <v>30.0</v>
      </c>
      <c r="P157" s="26"/>
      <c r="Q157" s="26"/>
      <c r="R157" s="26"/>
      <c r="S157" s="26"/>
      <c r="T157" s="26"/>
      <c r="U157" s="147" t="s">
        <v>664</v>
      </c>
      <c r="V157" s="197"/>
      <c r="W157" s="198" t="s">
        <v>2084</v>
      </c>
      <c r="X157" s="181">
        <v>10.0</v>
      </c>
      <c r="Y157" s="166">
        <f t="shared" si="6"/>
        <v>10</v>
      </c>
      <c r="Z157" s="26">
        <f t="shared" si="7"/>
        <v>0</v>
      </c>
      <c r="AA157" s="26">
        <f t="shared" si="8"/>
        <v>0</v>
      </c>
      <c r="AB157" s="26">
        <f t="shared" si="9"/>
        <v>0</v>
      </c>
      <c r="AC157" s="155">
        <v>0.0</v>
      </c>
      <c r="AD157" s="155">
        <v>0.0</v>
      </c>
      <c r="AE157" s="155">
        <v>0.0</v>
      </c>
      <c r="AF157" s="155">
        <v>0.0</v>
      </c>
      <c r="AG157" s="155">
        <v>0.0</v>
      </c>
      <c r="AH157" s="155">
        <v>0.0</v>
      </c>
      <c r="BN157" s="155">
        <v>0.0</v>
      </c>
      <c r="BO157" s="155">
        <v>0.0</v>
      </c>
      <c r="BP157" s="155">
        <v>0.0</v>
      </c>
      <c r="BQ157" s="155">
        <v>0.0</v>
      </c>
      <c r="BR157" s="155">
        <v>0.0</v>
      </c>
      <c r="BS157" s="155">
        <v>0.0</v>
      </c>
      <c r="CV157" s="156">
        <v>0.0</v>
      </c>
      <c r="CW157" s="156">
        <v>0.0</v>
      </c>
      <c r="CX157" s="156">
        <v>0.0</v>
      </c>
      <c r="CY157" s="156">
        <v>0.0</v>
      </c>
      <c r="CZ157" s="156">
        <v>0.0</v>
      </c>
      <c r="DA157" s="156">
        <v>0.0</v>
      </c>
      <c r="EG157" s="156">
        <v>0.0</v>
      </c>
      <c r="EH157" s="156">
        <v>0.0</v>
      </c>
      <c r="EI157" s="156">
        <v>0.0</v>
      </c>
      <c r="EJ157" s="156">
        <v>0.0</v>
      </c>
      <c r="EK157" s="156">
        <v>0.0</v>
      </c>
      <c r="EL157" s="156">
        <v>0.0</v>
      </c>
      <c r="FQ157" s="156">
        <v>0.0</v>
      </c>
      <c r="FR157" s="156">
        <v>0.0</v>
      </c>
      <c r="FS157" s="156">
        <v>0.0</v>
      </c>
      <c r="FT157" s="156">
        <v>0.0</v>
      </c>
      <c r="FU157" s="156">
        <v>0.0</v>
      </c>
      <c r="FV157" s="156">
        <v>0.0</v>
      </c>
      <c r="FW157" s="157"/>
      <c r="FX157" s="157"/>
      <c r="FY157" s="157"/>
      <c r="FZ157" s="157"/>
      <c r="GA157" s="157"/>
      <c r="GB157" s="157"/>
      <c r="GC157" s="157"/>
      <c r="GD157" s="157"/>
      <c r="GE157" s="157"/>
      <c r="GF157" s="157"/>
      <c r="GG157" s="157"/>
      <c r="GH157" s="157"/>
      <c r="GI157" s="157"/>
      <c r="GJ157" s="157"/>
      <c r="GK157" s="157"/>
      <c r="GL157" s="157"/>
      <c r="GM157" s="157"/>
      <c r="GN157" s="157"/>
      <c r="GO157" s="157"/>
      <c r="GP157" s="158"/>
      <c r="GQ157" s="157"/>
      <c r="GR157" s="157"/>
      <c r="GS157" s="157"/>
      <c r="GT157" s="157"/>
      <c r="GU157" s="157"/>
      <c r="GV157" s="157"/>
      <c r="GW157" s="157"/>
      <c r="GX157" s="157"/>
      <c r="GY157" s="157"/>
      <c r="GZ157" s="157"/>
      <c r="HA157" s="157"/>
      <c r="HB157" s="155">
        <v>0.0</v>
      </c>
      <c r="HC157" s="155">
        <v>0.0</v>
      </c>
      <c r="HD157" s="155">
        <v>0.0</v>
      </c>
      <c r="HE157" s="155">
        <v>0.0</v>
      </c>
      <c r="HF157" s="155">
        <v>0.0</v>
      </c>
      <c r="HG157" s="155">
        <v>0.0</v>
      </c>
      <c r="IL157" s="159">
        <v>0.0</v>
      </c>
      <c r="IM157" s="156">
        <v>0.0</v>
      </c>
      <c r="IN157" s="156">
        <v>0.0</v>
      </c>
      <c r="IO157" s="156">
        <v>0.0</v>
      </c>
      <c r="IP157" s="156">
        <v>0.0</v>
      </c>
      <c r="IQ157" s="160">
        <v>0.0</v>
      </c>
      <c r="JH157" s="25"/>
      <c r="JW157" s="159">
        <v>0.0</v>
      </c>
      <c r="JX157" s="156">
        <v>0.0</v>
      </c>
      <c r="JY157" s="156">
        <v>0.0</v>
      </c>
      <c r="JZ157" s="156">
        <v>0.0</v>
      </c>
      <c r="KA157" s="156">
        <v>0.0</v>
      </c>
      <c r="KB157" s="160">
        <v>0.0</v>
      </c>
      <c r="LH157" s="159">
        <f t="shared" si="10"/>
        <v>0</v>
      </c>
      <c r="LI157" s="156">
        <f t="shared" si="11"/>
        <v>0</v>
      </c>
      <c r="LJ157" s="156">
        <f t="shared" si="12"/>
        <v>0</v>
      </c>
      <c r="LK157" s="156">
        <f t="shared" si="13"/>
        <v>0</v>
      </c>
      <c r="LL157" s="156">
        <f t="shared" si="14"/>
        <v>0</v>
      </c>
      <c r="LM157" s="160">
        <f t="shared" si="15"/>
        <v>0</v>
      </c>
      <c r="QX157" s="107">
        <v>45849.0</v>
      </c>
    </row>
    <row r="158">
      <c r="A158" s="12"/>
      <c r="B158" s="12"/>
      <c r="C158" s="12"/>
      <c r="D158" s="12"/>
      <c r="E158" s="12"/>
      <c r="F158" s="12"/>
      <c r="G158" s="12"/>
      <c r="H158" s="12"/>
      <c r="I158" s="143">
        <f t="shared" si="5"/>
        <v>-30</v>
      </c>
      <c r="J158" s="144">
        <v>45871.0</v>
      </c>
      <c r="K158" s="145" t="s">
        <v>61</v>
      </c>
      <c r="L158" s="179">
        <v>46090.0</v>
      </c>
      <c r="M158" s="147" t="s">
        <v>348</v>
      </c>
      <c r="N158" s="148">
        <v>357.0</v>
      </c>
      <c r="O158" s="148">
        <v>30.0</v>
      </c>
      <c r="P158" s="26"/>
      <c r="Q158" s="26"/>
      <c r="R158" s="26"/>
      <c r="S158" s="26"/>
      <c r="T158" s="26"/>
      <c r="U158" s="147" t="s">
        <v>2094</v>
      </c>
      <c r="V158" s="149" t="s">
        <v>2096</v>
      </c>
      <c r="W158" s="198" t="s">
        <v>2097</v>
      </c>
      <c r="X158" s="181">
        <v>20.0</v>
      </c>
      <c r="Y158" s="166">
        <f t="shared" si="6"/>
        <v>30</v>
      </c>
      <c r="Z158" s="26">
        <f t="shared" si="7"/>
        <v>0</v>
      </c>
      <c r="AA158" s="26">
        <f t="shared" si="8"/>
        <v>1</v>
      </c>
      <c r="AB158" s="26">
        <f t="shared" si="9"/>
        <v>0</v>
      </c>
      <c r="AC158" s="155">
        <v>5.0</v>
      </c>
      <c r="AD158" s="155">
        <v>0.0</v>
      </c>
      <c r="AE158" s="155">
        <v>0.0</v>
      </c>
      <c r="AF158" s="155">
        <v>0.0</v>
      </c>
      <c r="AG158" s="155">
        <v>0.0</v>
      </c>
      <c r="AH158" s="155">
        <v>0.0</v>
      </c>
      <c r="AI158" s="167"/>
      <c r="AJ158" s="167"/>
      <c r="AK158" s="167"/>
      <c r="AL158" s="167"/>
      <c r="AM158" s="167"/>
      <c r="AN158" s="167"/>
      <c r="AO158" s="167"/>
      <c r="AP158" s="167"/>
      <c r="AQ158" s="167"/>
      <c r="AR158" s="167"/>
      <c r="AS158" s="167"/>
      <c r="AT158" s="167"/>
      <c r="AU158" s="167"/>
      <c r="AV158" s="167"/>
      <c r="AW158" s="167"/>
      <c r="AX158" s="167"/>
      <c r="AY158" s="167"/>
      <c r="AZ158" s="167"/>
      <c r="BA158" s="167"/>
      <c r="BB158" s="167">
        <v>1.0</v>
      </c>
      <c r="BC158" s="167">
        <v>0.0</v>
      </c>
      <c r="BD158" s="167">
        <v>1.0</v>
      </c>
      <c r="BE158" s="167">
        <v>0.0</v>
      </c>
      <c r="BF158" s="167"/>
      <c r="BG158" s="168">
        <v>1.0</v>
      </c>
      <c r="BH158" s="167">
        <v>0.0</v>
      </c>
      <c r="BI158" s="167">
        <v>1.0</v>
      </c>
      <c r="BJ158" s="167">
        <v>0.0</v>
      </c>
      <c r="BK158" s="167"/>
      <c r="BL158" s="167">
        <v>0.0</v>
      </c>
      <c r="BM158" s="167">
        <v>1.0</v>
      </c>
      <c r="BN158" s="155">
        <v>4.0</v>
      </c>
      <c r="BO158" s="155">
        <v>0.0</v>
      </c>
      <c r="BP158" s="155">
        <v>0.0</v>
      </c>
      <c r="BQ158" s="155">
        <v>1.0</v>
      </c>
      <c r="BR158" s="155">
        <v>0.0</v>
      </c>
      <c r="BS158" s="155">
        <v>0.0</v>
      </c>
      <c r="BT158" s="168">
        <v>1.0</v>
      </c>
      <c r="BU158" s="167">
        <v>0.0</v>
      </c>
      <c r="BV158" s="167">
        <v>1.0</v>
      </c>
      <c r="BW158" s="167">
        <v>0.0</v>
      </c>
      <c r="BX158" s="167">
        <v>1.0</v>
      </c>
      <c r="BY158" s="167"/>
      <c r="BZ158" s="167"/>
      <c r="CA158" s="167"/>
      <c r="CB158" s="167"/>
      <c r="CC158" s="167"/>
      <c r="CD158" s="167"/>
      <c r="CE158" s="168" t="s">
        <v>947</v>
      </c>
      <c r="CF158" s="167"/>
      <c r="CG158" s="167"/>
      <c r="CH158" s="167"/>
      <c r="CI158" s="167"/>
      <c r="CJ158" s="167"/>
      <c r="CK158" s="167"/>
      <c r="CL158" s="167"/>
      <c r="CM158" s="167"/>
      <c r="CN158" s="167"/>
      <c r="CO158" s="167"/>
      <c r="CP158" s="167"/>
      <c r="CQ158" s="167"/>
      <c r="CR158" s="167"/>
      <c r="CS158" s="167"/>
      <c r="CT158" s="167"/>
      <c r="CU158" s="167"/>
      <c r="CV158" s="156">
        <v>1.0</v>
      </c>
      <c r="CW158" s="156">
        <v>0.0</v>
      </c>
      <c r="CX158" s="156">
        <v>0.0</v>
      </c>
      <c r="CY158" s="156">
        <v>0.0</v>
      </c>
      <c r="CZ158" s="156">
        <v>0.0</v>
      </c>
      <c r="DA158" s="156">
        <v>0.0</v>
      </c>
      <c r="DD158" s="86">
        <v>1.0</v>
      </c>
      <c r="EG158" s="156">
        <v>0.0</v>
      </c>
      <c r="EH158" s="156">
        <v>0.0</v>
      </c>
      <c r="EI158" s="156">
        <v>0.0</v>
      </c>
      <c r="EJ158" s="156">
        <v>0.0</v>
      </c>
      <c r="EK158" s="156">
        <v>0.0</v>
      </c>
      <c r="EL158" s="156">
        <v>0.0</v>
      </c>
      <c r="FQ158" s="156">
        <v>0.0</v>
      </c>
      <c r="FR158" s="156">
        <v>0.0</v>
      </c>
      <c r="FS158" s="156">
        <v>0.0</v>
      </c>
      <c r="FT158" s="156">
        <v>0.0</v>
      </c>
      <c r="FU158" s="156">
        <v>0.0</v>
      </c>
      <c r="FV158" s="156">
        <v>0.0</v>
      </c>
      <c r="FW158" s="157"/>
      <c r="FX158" s="157"/>
      <c r="FY158" s="157"/>
      <c r="FZ158" s="157"/>
      <c r="GA158" s="157"/>
      <c r="GB158" s="157"/>
      <c r="GC158" s="157"/>
      <c r="GD158" s="157"/>
      <c r="GE158" s="157"/>
      <c r="GF158" s="157"/>
      <c r="GG158" s="157"/>
      <c r="GH158" s="157"/>
      <c r="GI158" s="157"/>
      <c r="GJ158" s="157"/>
      <c r="GK158" s="157"/>
      <c r="GL158" s="157"/>
      <c r="GM158" s="157"/>
      <c r="GN158" s="157"/>
      <c r="GO158" s="157"/>
      <c r="GP158" s="158"/>
      <c r="GQ158" s="157"/>
      <c r="GR158" s="157"/>
      <c r="GS158" s="157"/>
      <c r="GT158" s="157"/>
      <c r="GU158" s="157"/>
      <c r="GV158" s="157"/>
      <c r="GW158" s="157"/>
      <c r="GX158" s="157"/>
      <c r="GY158" s="157"/>
      <c r="GZ158" s="157"/>
      <c r="HA158" s="157"/>
      <c r="HB158" s="155">
        <v>0.0</v>
      </c>
      <c r="HC158" s="155">
        <v>0.0</v>
      </c>
      <c r="HD158" s="155">
        <v>0.0</v>
      </c>
      <c r="HE158" s="155">
        <v>0.0</v>
      </c>
      <c r="HF158" s="155">
        <v>0.0</v>
      </c>
      <c r="HG158" s="155">
        <v>0.0</v>
      </c>
      <c r="IL158" s="159">
        <v>0.0</v>
      </c>
      <c r="IM158" s="156">
        <v>0.0</v>
      </c>
      <c r="IN158" s="156">
        <v>0.0</v>
      </c>
      <c r="IO158" s="156">
        <v>0.0</v>
      </c>
      <c r="IP158" s="156">
        <v>0.0</v>
      </c>
      <c r="IQ158" s="160">
        <v>0.0</v>
      </c>
      <c r="JH158" s="25"/>
      <c r="JW158" s="159">
        <v>0.0</v>
      </c>
      <c r="JX158" s="156">
        <v>0.0</v>
      </c>
      <c r="JY158" s="156">
        <v>0.0</v>
      </c>
      <c r="JZ158" s="156">
        <v>0.0</v>
      </c>
      <c r="KA158" s="156">
        <v>0.0</v>
      </c>
      <c r="KB158" s="160">
        <v>0.0</v>
      </c>
      <c r="LH158" s="159">
        <f t="shared" si="10"/>
        <v>0</v>
      </c>
      <c r="LI158" s="156">
        <f t="shared" si="11"/>
        <v>0</v>
      </c>
      <c r="LJ158" s="156">
        <f t="shared" si="12"/>
        <v>0</v>
      </c>
      <c r="LK158" s="156">
        <f t="shared" si="13"/>
        <v>0</v>
      </c>
      <c r="LL158" s="156">
        <f t="shared" si="14"/>
        <v>0</v>
      </c>
      <c r="LM158" s="160">
        <f t="shared" si="15"/>
        <v>0</v>
      </c>
      <c r="QX158" s="107">
        <v>45850.0</v>
      </c>
    </row>
    <row r="159">
      <c r="A159" s="12"/>
      <c r="B159" s="12"/>
      <c r="C159" s="12"/>
      <c r="D159" s="12"/>
      <c r="E159" s="12"/>
      <c r="F159" s="12"/>
      <c r="G159" s="12"/>
      <c r="H159" s="12"/>
      <c r="I159" s="143">
        <f t="shared" si="5"/>
        <v>-30</v>
      </c>
      <c r="J159" s="144">
        <v>45850.0</v>
      </c>
      <c r="K159" s="173" t="s">
        <v>61</v>
      </c>
      <c r="L159" s="144">
        <v>45964.0</v>
      </c>
      <c r="M159" s="322" t="s">
        <v>400</v>
      </c>
      <c r="N159" s="323" t="s">
        <v>467</v>
      </c>
      <c r="O159" s="323">
        <v>45.0</v>
      </c>
      <c r="P159" s="324"/>
      <c r="Q159" s="324"/>
      <c r="R159" s="324"/>
      <c r="S159" s="324"/>
      <c r="T159" s="324"/>
      <c r="U159" s="322" t="s">
        <v>1275</v>
      </c>
      <c r="V159" s="325" t="s">
        <v>1923</v>
      </c>
      <c r="W159" s="326" t="s">
        <v>2110</v>
      </c>
      <c r="X159" s="181">
        <v>30.0</v>
      </c>
      <c r="Y159" s="166">
        <f t="shared" si="6"/>
        <v>30</v>
      </c>
      <c r="Z159" s="26">
        <f t="shared" si="7"/>
        <v>0</v>
      </c>
      <c r="AA159" s="26">
        <f t="shared" si="8"/>
        <v>0</v>
      </c>
      <c r="AB159" s="26">
        <f t="shared" si="9"/>
        <v>0</v>
      </c>
      <c r="AC159" s="155">
        <v>0.0</v>
      </c>
      <c r="AD159" s="155">
        <v>0.0</v>
      </c>
      <c r="AE159" s="155">
        <v>0.0</v>
      </c>
      <c r="AF159" s="155">
        <v>0.0</v>
      </c>
      <c r="AG159" s="155">
        <v>0.0</v>
      </c>
      <c r="AH159" s="155">
        <v>0.0</v>
      </c>
      <c r="BN159" s="155">
        <v>0.0</v>
      </c>
      <c r="BO159" s="155">
        <v>0.0</v>
      </c>
      <c r="BP159" s="155">
        <v>0.0</v>
      </c>
      <c r="BQ159" s="155">
        <v>0.0</v>
      </c>
      <c r="BR159" s="155">
        <v>0.0</v>
      </c>
      <c r="BS159" s="155">
        <v>0.0</v>
      </c>
      <c r="CV159" s="156">
        <v>0.0</v>
      </c>
      <c r="CW159" s="156">
        <v>0.0</v>
      </c>
      <c r="CX159" s="156">
        <v>0.0</v>
      </c>
      <c r="CY159" s="156">
        <v>0.0</v>
      </c>
      <c r="CZ159" s="156">
        <v>0.0</v>
      </c>
      <c r="DA159" s="156">
        <v>0.0</v>
      </c>
      <c r="EG159" s="156">
        <v>0.0</v>
      </c>
      <c r="EH159" s="156">
        <v>0.0</v>
      </c>
      <c r="EI159" s="156">
        <v>0.0</v>
      </c>
      <c r="EJ159" s="156">
        <v>0.0</v>
      </c>
      <c r="EK159" s="156">
        <v>0.0</v>
      </c>
      <c r="EL159" s="156">
        <v>0.0</v>
      </c>
      <c r="FQ159" s="156">
        <v>0.0</v>
      </c>
      <c r="FR159" s="156">
        <v>0.0</v>
      </c>
      <c r="FS159" s="156">
        <v>0.0</v>
      </c>
      <c r="FT159" s="156">
        <v>0.0</v>
      </c>
      <c r="FU159" s="156">
        <v>0.0</v>
      </c>
      <c r="FV159" s="156">
        <v>0.0</v>
      </c>
      <c r="FW159" s="157"/>
      <c r="FX159" s="157"/>
      <c r="FY159" s="157"/>
      <c r="FZ159" s="157"/>
      <c r="GA159" s="157"/>
      <c r="GB159" s="157"/>
      <c r="GC159" s="157"/>
      <c r="GD159" s="157"/>
      <c r="GE159" s="157"/>
      <c r="GF159" s="157"/>
      <c r="GG159" s="157"/>
      <c r="GH159" s="157"/>
      <c r="GI159" s="157"/>
      <c r="GJ159" s="157"/>
      <c r="GK159" s="157"/>
      <c r="GL159" s="157"/>
      <c r="GM159" s="157"/>
      <c r="GN159" s="157"/>
      <c r="GO159" s="157"/>
      <c r="GP159" s="158"/>
      <c r="GQ159" s="157"/>
      <c r="GR159" s="157"/>
      <c r="GS159" s="157"/>
      <c r="GT159" s="157"/>
      <c r="GU159" s="157"/>
      <c r="GV159" s="157"/>
      <c r="GW159" s="157"/>
      <c r="GX159" s="157"/>
      <c r="GY159" s="157"/>
      <c r="GZ159" s="157"/>
      <c r="HA159" s="157"/>
      <c r="HB159" s="155">
        <v>0.0</v>
      </c>
      <c r="HC159" s="155">
        <v>0.0</v>
      </c>
      <c r="HD159" s="155">
        <v>0.0</v>
      </c>
      <c r="HE159" s="155">
        <v>0.0</v>
      </c>
      <c r="HF159" s="155">
        <v>0.0</v>
      </c>
      <c r="HG159" s="155">
        <v>0.0</v>
      </c>
      <c r="IL159" s="159">
        <v>0.0</v>
      </c>
      <c r="IM159" s="156">
        <v>0.0</v>
      </c>
      <c r="IN159" s="156">
        <v>0.0</v>
      </c>
      <c r="IO159" s="156">
        <v>0.0</v>
      </c>
      <c r="IP159" s="156">
        <v>0.0</v>
      </c>
      <c r="IQ159" s="160">
        <v>0.0</v>
      </c>
      <c r="JH159" s="25"/>
      <c r="JW159" s="159">
        <v>0.0</v>
      </c>
      <c r="JX159" s="156">
        <v>0.0</v>
      </c>
      <c r="JY159" s="156">
        <v>0.0</v>
      </c>
      <c r="JZ159" s="156">
        <v>0.0</v>
      </c>
      <c r="KA159" s="156">
        <v>0.0</v>
      </c>
      <c r="KB159" s="160">
        <v>0.0</v>
      </c>
      <c r="LH159" s="159">
        <f t="shared" si="10"/>
        <v>0</v>
      </c>
      <c r="LI159" s="156">
        <f t="shared" si="11"/>
        <v>0</v>
      </c>
      <c r="LJ159" s="156">
        <f t="shared" si="12"/>
        <v>0</v>
      </c>
      <c r="LK159" s="156">
        <f t="shared" si="13"/>
        <v>0</v>
      </c>
      <c r="LL159" s="156">
        <f t="shared" si="14"/>
        <v>0</v>
      </c>
      <c r="LM159" s="160">
        <f t="shared" si="15"/>
        <v>0</v>
      </c>
      <c r="QX159" s="107">
        <v>45852.0</v>
      </c>
    </row>
    <row r="160">
      <c r="A160" s="12"/>
      <c r="B160" s="12"/>
      <c r="C160" s="12"/>
      <c r="D160" s="12"/>
      <c r="E160" s="12"/>
      <c r="F160" s="12"/>
      <c r="G160" s="12"/>
      <c r="H160" s="12"/>
      <c r="I160" s="143">
        <f t="shared" si="5"/>
        <v>-30</v>
      </c>
      <c r="J160" s="144">
        <v>45856.0</v>
      </c>
      <c r="K160" s="173" t="s">
        <v>61</v>
      </c>
      <c r="L160" s="144">
        <v>45955.0</v>
      </c>
      <c r="M160" s="147" t="s">
        <v>400</v>
      </c>
      <c r="N160" s="148">
        <v>246.0</v>
      </c>
      <c r="O160" s="148">
        <v>30.0</v>
      </c>
      <c r="P160" s="26"/>
      <c r="Q160" s="26"/>
      <c r="R160" s="26"/>
      <c r="S160" s="26"/>
      <c r="T160" s="26"/>
      <c r="U160" s="147" t="s">
        <v>675</v>
      </c>
      <c r="V160" s="197"/>
      <c r="W160" s="198" t="s">
        <v>2119</v>
      </c>
      <c r="X160" s="181">
        <v>30.0</v>
      </c>
      <c r="Y160" s="166">
        <f t="shared" si="6"/>
        <v>30</v>
      </c>
      <c r="Z160" s="26">
        <f t="shared" si="7"/>
        <v>0</v>
      </c>
      <c r="AA160" s="26">
        <f t="shared" si="8"/>
        <v>0</v>
      </c>
      <c r="AB160" s="26">
        <f t="shared" si="9"/>
        <v>0</v>
      </c>
      <c r="AC160" s="155">
        <v>0.0</v>
      </c>
      <c r="AD160" s="155">
        <v>0.0</v>
      </c>
      <c r="AE160" s="155">
        <v>0.0</v>
      </c>
      <c r="AF160" s="155">
        <v>0.0</v>
      </c>
      <c r="AG160" s="155">
        <v>0.0</v>
      </c>
      <c r="AH160" s="155">
        <v>0.0</v>
      </c>
      <c r="BN160" s="155">
        <v>0.0</v>
      </c>
      <c r="BO160" s="155">
        <v>0.0</v>
      </c>
      <c r="BP160" s="155">
        <v>0.0</v>
      </c>
      <c r="BQ160" s="155">
        <v>0.0</v>
      </c>
      <c r="BR160" s="155">
        <v>0.0</v>
      </c>
      <c r="BS160" s="155">
        <v>0.0</v>
      </c>
      <c r="CV160" s="156">
        <v>0.0</v>
      </c>
      <c r="CW160" s="156">
        <v>0.0</v>
      </c>
      <c r="CX160" s="156">
        <v>0.0</v>
      </c>
      <c r="CY160" s="156">
        <v>0.0</v>
      </c>
      <c r="CZ160" s="156">
        <v>0.0</v>
      </c>
      <c r="DA160" s="156">
        <v>0.0</v>
      </c>
      <c r="EG160" s="156">
        <v>0.0</v>
      </c>
      <c r="EH160" s="156">
        <v>0.0</v>
      </c>
      <c r="EI160" s="156">
        <v>0.0</v>
      </c>
      <c r="EJ160" s="156">
        <v>0.0</v>
      </c>
      <c r="EK160" s="156">
        <v>0.0</v>
      </c>
      <c r="EL160" s="156">
        <v>0.0</v>
      </c>
      <c r="FQ160" s="156">
        <v>0.0</v>
      </c>
      <c r="FR160" s="156">
        <v>0.0</v>
      </c>
      <c r="FS160" s="156">
        <v>0.0</v>
      </c>
      <c r="FT160" s="156">
        <v>0.0</v>
      </c>
      <c r="FU160" s="156">
        <v>0.0</v>
      </c>
      <c r="FV160" s="156">
        <v>0.0</v>
      </c>
      <c r="FW160" s="157"/>
      <c r="FX160" s="157"/>
      <c r="FY160" s="157"/>
      <c r="FZ160" s="157"/>
      <c r="GA160" s="157"/>
      <c r="GB160" s="157"/>
      <c r="GC160" s="157"/>
      <c r="GD160" s="157"/>
      <c r="GE160" s="157"/>
      <c r="GF160" s="157"/>
      <c r="GG160" s="157"/>
      <c r="GH160" s="157"/>
      <c r="GI160" s="157"/>
      <c r="GJ160" s="157"/>
      <c r="GK160" s="157"/>
      <c r="GL160" s="157"/>
      <c r="GM160" s="157"/>
      <c r="GN160" s="157"/>
      <c r="GO160" s="157"/>
      <c r="GP160" s="158"/>
      <c r="GQ160" s="157"/>
      <c r="GR160" s="157"/>
      <c r="GS160" s="157"/>
      <c r="GT160" s="157"/>
      <c r="GU160" s="157"/>
      <c r="GV160" s="157"/>
      <c r="GW160" s="157"/>
      <c r="GX160" s="157"/>
      <c r="GY160" s="157"/>
      <c r="GZ160" s="157"/>
      <c r="HA160" s="157"/>
      <c r="HB160" s="155">
        <v>0.0</v>
      </c>
      <c r="HC160" s="155">
        <v>0.0</v>
      </c>
      <c r="HD160" s="155">
        <v>0.0</v>
      </c>
      <c r="HE160" s="155">
        <v>0.0</v>
      </c>
      <c r="HF160" s="155">
        <v>0.0</v>
      </c>
      <c r="HG160" s="155">
        <v>0.0</v>
      </c>
      <c r="IL160" s="159">
        <v>0.0</v>
      </c>
      <c r="IM160" s="156">
        <v>0.0</v>
      </c>
      <c r="IN160" s="156">
        <v>0.0</v>
      </c>
      <c r="IO160" s="156">
        <v>0.0</v>
      </c>
      <c r="IP160" s="156">
        <v>0.0</v>
      </c>
      <c r="IQ160" s="160">
        <v>0.0</v>
      </c>
      <c r="JH160" s="25"/>
      <c r="JW160" s="159">
        <v>0.0</v>
      </c>
      <c r="JX160" s="156">
        <v>0.0</v>
      </c>
      <c r="JY160" s="156">
        <v>0.0</v>
      </c>
      <c r="JZ160" s="156">
        <v>0.0</v>
      </c>
      <c r="KA160" s="156">
        <v>0.0</v>
      </c>
      <c r="KB160" s="160">
        <v>0.0</v>
      </c>
      <c r="LH160" s="159">
        <f t="shared" si="10"/>
        <v>0</v>
      </c>
      <c r="LI160" s="156">
        <f t="shared" si="11"/>
        <v>0</v>
      </c>
      <c r="LJ160" s="156">
        <f t="shared" si="12"/>
        <v>0</v>
      </c>
      <c r="LK160" s="156">
        <f t="shared" si="13"/>
        <v>0</v>
      </c>
      <c r="LL160" s="156">
        <f t="shared" si="14"/>
        <v>0</v>
      </c>
      <c r="LM160" s="160">
        <f t="shared" si="15"/>
        <v>0</v>
      </c>
      <c r="QX160" s="107">
        <v>45852.0</v>
      </c>
    </row>
    <row r="161">
      <c r="A161" s="12"/>
      <c r="B161" s="12"/>
      <c r="C161" s="12"/>
      <c r="D161" s="12"/>
      <c r="E161" s="12"/>
      <c r="F161" s="12"/>
      <c r="G161" s="12"/>
      <c r="H161" s="12"/>
      <c r="I161" s="143">
        <f t="shared" si="5"/>
        <v>-29</v>
      </c>
      <c r="J161" s="144">
        <v>45854.0</v>
      </c>
      <c r="K161" s="173" t="s">
        <v>61</v>
      </c>
      <c r="L161" s="144">
        <v>46015.0</v>
      </c>
      <c r="M161" s="147" t="s">
        <v>1985</v>
      </c>
      <c r="N161" s="148">
        <v>246.0</v>
      </c>
      <c r="O161" s="148">
        <v>30.0</v>
      </c>
      <c r="P161" s="26"/>
      <c r="Q161" s="26"/>
      <c r="R161" s="26"/>
      <c r="S161" s="26"/>
      <c r="T161" s="26"/>
      <c r="U161" s="147" t="s">
        <v>1965</v>
      </c>
      <c r="V161" s="149" t="s">
        <v>1838</v>
      </c>
      <c r="W161" s="198" t="s">
        <v>2126</v>
      </c>
      <c r="X161" s="181">
        <v>29.0</v>
      </c>
      <c r="Y161" s="166">
        <f t="shared" si="6"/>
        <v>29</v>
      </c>
      <c r="Z161" s="26">
        <f t="shared" si="7"/>
        <v>0</v>
      </c>
      <c r="AA161" s="26">
        <f t="shared" si="8"/>
        <v>0</v>
      </c>
      <c r="AB161" s="26">
        <f t="shared" si="9"/>
        <v>0</v>
      </c>
      <c r="AC161" s="155">
        <v>0.0</v>
      </c>
      <c r="AD161" s="155">
        <v>0.0</v>
      </c>
      <c r="AE161" s="155">
        <v>0.0</v>
      </c>
      <c r="AF161" s="155">
        <v>0.0</v>
      </c>
      <c r="AG161" s="155">
        <v>0.0</v>
      </c>
      <c r="AH161" s="155">
        <v>0.0</v>
      </c>
      <c r="BN161" s="155">
        <v>0.0</v>
      </c>
      <c r="BO161" s="155">
        <v>0.0</v>
      </c>
      <c r="BP161" s="155">
        <v>0.0</v>
      </c>
      <c r="BQ161" s="155">
        <v>0.0</v>
      </c>
      <c r="BR161" s="155">
        <v>0.0</v>
      </c>
      <c r="BS161" s="155">
        <v>0.0</v>
      </c>
      <c r="CV161" s="156">
        <v>0.0</v>
      </c>
      <c r="CW161" s="156">
        <v>0.0</v>
      </c>
      <c r="CX161" s="156">
        <v>0.0</v>
      </c>
      <c r="CY161" s="156">
        <v>0.0</v>
      </c>
      <c r="CZ161" s="156">
        <v>0.0</v>
      </c>
      <c r="DA161" s="156">
        <v>0.0</v>
      </c>
      <c r="EG161" s="156">
        <v>0.0</v>
      </c>
      <c r="EH161" s="156">
        <v>0.0</v>
      </c>
      <c r="EI161" s="156">
        <v>0.0</v>
      </c>
      <c r="EJ161" s="156">
        <v>0.0</v>
      </c>
      <c r="EK161" s="156">
        <v>0.0</v>
      </c>
      <c r="EL161" s="156">
        <v>0.0</v>
      </c>
      <c r="FQ161" s="156">
        <v>0.0</v>
      </c>
      <c r="FR161" s="156">
        <v>0.0</v>
      </c>
      <c r="FS161" s="156">
        <v>0.0</v>
      </c>
      <c r="FT161" s="156">
        <v>0.0</v>
      </c>
      <c r="FU161" s="156">
        <v>0.0</v>
      </c>
      <c r="FV161" s="156">
        <v>0.0</v>
      </c>
      <c r="FW161" s="157"/>
      <c r="FX161" s="157"/>
      <c r="FY161" s="157"/>
      <c r="FZ161" s="157"/>
      <c r="GA161" s="157"/>
      <c r="GB161" s="157"/>
      <c r="GC161" s="157"/>
      <c r="GD161" s="157"/>
      <c r="GE161" s="157"/>
      <c r="GF161" s="157"/>
      <c r="GG161" s="157"/>
      <c r="GH161" s="157"/>
      <c r="GI161" s="157"/>
      <c r="GJ161" s="157"/>
      <c r="GK161" s="157"/>
      <c r="GL161" s="157"/>
      <c r="GM161" s="157"/>
      <c r="GN161" s="157"/>
      <c r="GO161" s="157"/>
      <c r="GP161" s="158"/>
      <c r="GQ161" s="157"/>
      <c r="GR161" s="157"/>
      <c r="GS161" s="157"/>
      <c r="GT161" s="157"/>
      <c r="GU161" s="157"/>
      <c r="GV161" s="157"/>
      <c r="GW161" s="157"/>
      <c r="GX161" s="157"/>
      <c r="GY161" s="157"/>
      <c r="GZ161" s="157"/>
      <c r="HA161" s="157"/>
      <c r="HB161" s="155">
        <v>0.0</v>
      </c>
      <c r="HC161" s="155">
        <v>0.0</v>
      </c>
      <c r="HD161" s="155">
        <v>0.0</v>
      </c>
      <c r="HE161" s="155">
        <v>0.0</v>
      </c>
      <c r="HF161" s="155">
        <v>0.0</v>
      </c>
      <c r="HG161" s="155">
        <v>0.0</v>
      </c>
      <c r="IL161" s="159">
        <v>0.0</v>
      </c>
      <c r="IM161" s="156">
        <v>0.0</v>
      </c>
      <c r="IN161" s="156">
        <v>0.0</v>
      </c>
      <c r="IO161" s="156">
        <v>0.0</v>
      </c>
      <c r="IP161" s="156">
        <v>0.0</v>
      </c>
      <c r="IQ161" s="160">
        <v>0.0</v>
      </c>
      <c r="JH161" s="25"/>
      <c r="JW161" s="159">
        <v>0.0</v>
      </c>
      <c r="JX161" s="156">
        <v>0.0</v>
      </c>
      <c r="JY161" s="156">
        <v>0.0</v>
      </c>
      <c r="JZ161" s="156">
        <v>0.0</v>
      </c>
      <c r="KA161" s="156">
        <v>0.0</v>
      </c>
      <c r="KB161" s="160">
        <v>0.0</v>
      </c>
      <c r="LH161" s="159">
        <f t="shared" si="10"/>
        <v>0</v>
      </c>
      <c r="LI161" s="156">
        <f t="shared" si="11"/>
        <v>0</v>
      </c>
      <c r="LJ161" s="156">
        <f t="shared" si="12"/>
        <v>0</v>
      </c>
      <c r="LK161" s="156">
        <f t="shared" si="13"/>
        <v>0</v>
      </c>
      <c r="LL161" s="156">
        <f t="shared" si="14"/>
        <v>0</v>
      </c>
      <c r="LM161" s="160">
        <f t="shared" si="15"/>
        <v>0</v>
      </c>
      <c r="QX161" s="107">
        <v>45852.0</v>
      </c>
    </row>
    <row r="162">
      <c r="A162" s="12"/>
      <c r="B162" s="12"/>
      <c r="C162" s="12"/>
      <c r="D162" s="12"/>
      <c r="E162" s="12"/>
      <c r="F162" s="12"/>
      <c r="G162" s="12"/>
      <c r="H162" s="12"/>
      <c r="I162" s="143">
        <f t="shared" si="5"/>
        <v>-30</v>
      </c>
      <c r="J162" s="144">
        <v>45859.0</v>
      </c>
      <c r="K162" s="173" t="s">
        <v>61</v>
      </c>
      <c r="L162" s="144">
        <v>45945.0</v>
      </c>
      <c r="M162" s="327" t="s">
        <v>107</v>
      </c>
      <c r="N162" s="328">
        <v>246.0</v>
      </c>
      <c r="O162" s="328">
        <v>45.0</v>
      </c>
      <c r="P162" s="329"/>
      <c r="Q162" s="329"/>
      <c r="R162" s="329"/>
      <c r="S162" s="329"/>
      <c r="T162" s="329"/>
      <c r="U162" s="327" t="s">
        <v>2133</v>
      </c>
      <c r="V162" s="330"/>
      <c r="W162" s="331" t="s">
        <v>2134</v>
      </c>
      <c r="X162" s="181">
        <v>30.0</v>
      </c>
      <c r="Y162" s="166">
        <f t="shared" si="6"/>
        <v>30</v>
      </c>
      <c r="Z162" s="26">
        <f t="shared" si="7"/>
        <v>0</v>
      </c>
      <c r="AA162" s="26">
        <f t="shared" si="8"/>
        <v>0</v>
      </c>
      <c r="AB162" s="26">
        <f t="shared" si="9"/>
        <v>0</v>
      </c>
      <c r="AC162" s="155">
        <v>0.0</v>
      </c>
      <c r="AD162" s="155">
        <v>0.0</v>
      </c>
      <c r="AE162" s="155">
        <v>0.0</v>
      </c>
      <c r="AF162" s="155">
        <v>0.0</v>
      </c>
      <c r="AG162" s="155">
        <v>0.0</v>
      </c>
      <c r="AH162" s="155">
        <v>0.0</v>
      </c>
      <c r="BN162" s="155">
        <v>0.0</v>
      </c>
      <c r="BO162" s="155">
        <v>0.0</v>
      </c>
      <c r="BP162" s="155">
        <v>0.0</v>
      </c>
      <c r="BQ162" s="155">
        <v>0.0</v>
      </c>
      <c r="BR162" s="155">
        <v>0.0</v>
      </c>
      <c r="BS162" s="155">
        <v>0.0</v>
      </c>
      <c r="CV162" s="156">
        <v>0.0</v>
      </c>
      <c r="CW162" s="156">
        <v>0.0</v>
      </c>
      <c r="CX162" s="156">
        <v>0.0</v>
      </c>
      <c r="CY162" s="156">
        <v>0.0</v>
      </c>
      <c r="CZ162" s="156">
        <v>0.0</v>
      </c>
      <c r="DA162" s="156">
        <v>0.0</v>
      </c>
      <c r="EG162" s="156">
        <v>0.0</v>
      </c>
      <c r="EH162" s="156">
        <v>0.0</v>
      </c>
      <c r="EI162" s="156">
        <v>0.0</v>
      </c>
      <c r="EJ162" s="156">
        <v>0.0</v>
      </c>
      <c r="EK162" s="156">
        <v>0.0</v>
      </c>
      <c r="EL162" s="156">
        <v>0.0</v>
      </c>
      <c r="FQ162" s="156">
        <v>0.0</v>
      </c>
      <c r="FR162" s="156">
        <v>0.0</v>
      </c>
      <c r="FS162" s="156">
        <v>0.0</v>
      </c>
      <c r="FT162" s="156">
        <v>0.0</v>
      </c>
      <c r="FU162" s="156">
        <v>0.0</v>
      </c>
      <c r="FV162" s="156">
        <v>0.0</v>
      </c>
      <c r="FW162" s="157"/>
      <c r="FX162" s="157"/>
      <c r="FY162" s="157"/>
      <c r="FZ162" s="157"/>
      <c r="GA162" s="157"/>
      <c r="GB162" s="157"/>
      <c r="GC162" s="157"/>
      <c r="GD162" s="157"/>
      <c r="GE162" s="157"/>
      <c r="GF162" s="157"/>
      <c r="GG162" s="157"/>
      <c r="GH162" s="157"/>
      <c r="GI162" s="157"/>
      <c r="GJ162" s="157"/>
      <c r="GK162" s="157"/>
      <c r="GL162" s="157"/>
      <c r="GM162" s="157"/>
      <c r="GN162" s="157"/>
      <c r="GO162" s="157"/>
      <c r="GP162" s="158"/>
      <c r="GQ162" s="157"/>
      <c r="GR162" s="157"/>
      <c r="GS162" s="157"/>
      <c r="GT162" s="157"/>
      <c r="GU162" s="157"/>
      <c r="GV162" s="157"/>
      <c r="GW162" s="157"/>
      <c r="GX162" s="157"/>
      <c r="GY162" s="157"/>
      <c r="GZ162" s="157"/>
      <c r="HA162" s="157"/>
      <c r="HB162" s="155">
        <v>0.0</v>
      </c>
      <c r="HC162" s="155">
        <v>0.0</v>
      </c>
      <c r="HD162" s="155">
        <v>0.0</v>
      </c>
      <c r="HE162" s="155">
        <v>0.0</v>
      </c>
      <c r="HF162" s="155">
        <v>0.0</v>
      </c>
      <c r="HG162" s="155">
        <v>0.0</v>
      </c>
      <c r="IL162" s="159">
        <v>0.0</v>
      </c>
      <c r="IM162" s="156">
        <v>0.0</v>
      </c>
      <c r="IN162" s="156">
        <v>0.0</v>
      </c>
      <c r="IO162" s="156">
        <v>0.0</v>
      </c>
      <c r="IP162" s="156">
        <v>0.0</v>
      </c>
      <c r="IQ162" s="160">
        <v>0.0</v>
      </c>
      <c r="JH162" s="25"/>
      <c r="JW162" s="159">
        <v>0.0</v>
      </c>
      <c r="JX162" s="156">
        <v>0.0</v>
      </c>
      <c r="JY162" s="156">
        <v>0.0</v>
      </c>
      <c r="JZ162" s="156">
        <v>0.0</v>
      </c>
      <c r="KA162" s="156">
        <v>0.0</v>
      </c>
      <c r="KB162" s="160">
        <v>0.0</v>
      </c>
      <c r="LH162" s="159">
        <f t="shared" si="10"/>
        <v>0</v>
      </c>
      <c r="LI162" s="156">
        <f t="shared" si="11"/>
        <v>0</v>
      </c>
      <c r="LJ162" s="156">
        <f t="shared" si="12"/>
        <v>0</v>
      </c>
      <c r="LK162" s="156">
        <f t="shared" si="13"/>
        <v>0</v>
      </c>
      <c r="LL162" s="156">
        <f t="shared" si="14"/>
        <v>0</v>
      </c>
      <c r="LM162" s="160">
        <f t="shared" si="15"/>
        <v>0</v>
      </c>
      <c r="QX162" s="107">
        <v>45852.0</v>
      </c>
    </row>
    <row r="163">
      <c r="A163" s="12"/>
      <c r="B163" s="12"/>
      <c r="C163" s="12"/>
      <c r="D163" s="12"/>
      <c r="E163" s="12"/>
      <c r="F163" s="12"/>
      <c r="G163" s="12"/>
      <c r="H163" s="12"/>
      <c r="I163" s="143">
        <f t="shared" si="5"/>
        <v>-30</v>
      </c>
      <c r="J163" s="144">
        <v>45857.0</v>
      </c>
      <c r="K163" s="173" t="s">
        <v>61</v>
      </c>
      <c r="L163" s="144">
        <v>45945.0</v>
      </c>
      <c r="M163" s="147" t="s">
        <v>400</v>
      </c>
      <c r="N163" s="148">
        <v>357.0</v>
      </c>
      <c r="O163" s="148">
        <v>30.0</v>
      </c>
      <c r="P163" s="26"/>
      <c r="Q163" s="26"/>
      <c r="R163" s="26"/>
      <c r="S163" s="26"/>
      <c r="T163" s="26"/>
      <c r="U163" s="147" t="s">
        <v>2144</v>
      </c>
      <c r="V163" s="197"/>
      <c r="W163" s="198" t="s">
        <v>2145</v>
      </c>
      <c r="X163" s="181">
        <v>30.0</v>
      </c>
      <c r="Y163" s="166">
        <f t="shared" si="6"/>
        <v>30</v>
      </c>
      <c r="Z163" s="26">
        <f t="shared" si="7"/>
        <v>0</v>
      </c>
      <c r="AA163" s="26">
        <f t="shared" si="8"/>
        <v>0</v>
      </c>
      <c r="AB163" s="26">
        <f t="shared" si="9"/>
        <v>0</v>
      </c>
      <c r="AC163" s="155">
        <v>0.0</v>
      </c>
      <c r="AD163" s="155">
        <v>0.0</v>
      </c>
      <c r="AE163" s="155">
        <v>0.0</v>
      </c>
      <c r="AF163" s="155">
        <v>0.0</v>
      </c>
      <c r="AG163" s="155">
        <v>0.0</v>
      </c>
      <c r="AH163" s="155">
        <v>0.0</v>
      </c>
      <c r="BN163" s="155">
        <v>0.0</v>
      </c>
      <c r="BO163" s="155">
        <v>0.0</v>
      </c>
      <c r="BP163" s="155">
        <v>0.0</v>
      </c>
      <c r="BQ163" s="155">
        <v>0.0</v>
      </c>
      <c r="BR163" s="155">
        <v>0.0</v>
      </c>
      <c r="BS163" s="155">
        <v>0.0</v>
      </c>
      <c r="CV163" s="156">
        <v>0.0</v>
      </c>
      <c r="CW163" s="156">
        <v>0.0</v>
      </c>
      <c r="CX163" s="156">
        <v>0.0</v>
      </c>
      <c r="CY163" s="156">
        <v>0.0</v>
      </c>
      <c r="CZ163" s="156">
        <v>0.0</v>
      </c>
      <c r="DA163" s="156">
        <v>0.0</v>
      </c>
      <c r="EG163" s="156">
        <v>0.0</v>
      </c>
      <c r="EH163" s="156">
        <v>0.0</v>
      </c>
      <c r="EI163" s="156">
        <v>0.0</v>
      </c>
      <c r="EJ163" s="156">
        <v>0.0</v>
      </c>
      <c r="EK163" s="156">
        <v>0.0</v>
      </c>
      <c r="EL163" s="156">
        <v>0.0</v>
      </c>
      <c r="FQ163" s="156">
        <v>0.0</v>
      </c>
      <c r="FR163" s="156">
        <v>0.0</v>
      </c>
      <c r="FS163" s="156">
        <v>0.0</v>
      </c>
      <c r="FT163" s="156">
        <v>0.0</v>
      </c>
      <c r="FU163" s="156">
        <v>0.0</v>
      </c>
      <c r="FV163" s="156">
        <v>0.0</v>
      </c>
      <c r="FW163" s="157"/>
      <c r="FX163" s="157"/>
      <c r="FY163" s="157"/>
      <c r="FZ163" s="157"/>
      <c r="GA163" s="157"/>
      <c r="GB163" s="157"/>
      <c r="GC163" s="157"/>
      <c r="GD163" s="157"/>
      <c r="GE163" s="157"/>
      <c r="GF163" s="157"/>
      <c r="GG163" s="157"/>
      <c r="GH163" s="157"/>
      <c r="GI163" s="157"/>
      <c r="GJ163" s="157"/>
      <c r="GK163" s="157"/>
      <c r="GL163" s="157"/>
      <c r="GM163" s="157"/>
      <c r="GN163" s="157"/>
      <c r="GO163" s="157"/>
      <c r="GP163" s="158"/>
      <c r="GQ163" s="157"/>
      <c r="GR163" s="157"/>
      <c r="GS163" s="157"/>
      <c r="GT163" s="157"/>
      <c r="GU163" s="157"/>
      <c r="GV163" s="157"/>
      <c r="GW163" s="157"/>
      <c r="GX163" s="157"/>
      <c r="GY163" s="157"/>
      <c r="GZ163" s="157"/>
      <c r="HA163" s="157"/>
      <c r="HB163" s="155">
        <v>0.0</v>
      </c>
      <c r="HC163" s="155">
        <v>0.0</v>
      </c>
      <c r="HD163" s="155">
        <v>0.0</v>
      </c>
      <c r="HE163" s="155">
        <v>0.0</v>
      </c>
      <c r="HF163" s="155">
        <v>0.0</v>
      </c>
      <c r="HG163" s="155">
        <v>0.0</v>
      </c>
      <c r="IL163" s="159">
        <v>0.0</v>
      </c>
      <c r="IM163" s="156">
        <v>0.0</v>
      </c>
      <c r="IN163" s="156">
        <v>0.0</v>
      </c>
      <c r="IO163" s="156">
        <v>0.0</v>
      </c>
      <c r="IP163" s="156">
        <v>0.0</v>
      </c>
      <c r="IQ163" s="160">
        <v>0.0</v>
      </c>
      <c r="JH163" s="25"/>
      <c r="JW163" s="159">
        <v>0.0</v>
      </c>
      <c r="JX163" s="156">
        <v>0.0</v>
      </c>
      <c r="JY163" s="156">
        <v>0.0</v>
      </c>
      <c r="JZ163" s="156">
        <v>0.0</v>
      </c>
      <c r="KA163" s="156">
        <v>0.0</v>
      </c>
      <c r="KB163" s="160">
        <v>0.0</v>
      </c>
      <c r="LH163" s="159">
        <f t="shared" si="10"/>
        <v>0</v>
      </c>
      <c r="LI163" s="156">
        <f t="shared" si="11"/>
        <v>0</v>
      </c>
      <c r="LJ163" s="156">
        <f t="shared" si="12"/>
        <v>0</v>
      </c>
      <c r="LK163" s="156">
        <f t="shared" si="13"/>
        <v>0</v>
      </c>
      <c r="LL163" s="156">
        <f t="shared" si="14"/>
        <v>0</v>
      </c>
      <c r="LM163" s="160">
        <f t="shared" si="15"/>
        <v>0</v>
      </c>
      <c r="QX163" s="107">
        <v>45852.0</v>
      </c>
    </row>
    <row r="164">
      <c r="A164" s="12"/>
      <c r="B164" s="12"/>
      <c r="C164" s="12"/>
      <c r="D164" s="12"/>
      <c r="E164" s="12"/>
      <c r="F164" s="12"/>
      <c r="G164" s="12"/>
      <c r="H164" s="12"/>
      <c r="I164" s="143">
        <f t="shared" si="5"/>
        <v>-30</v>
      </c>
      <c r="J164" s="144">
        <v>45854.0</v>
      </c>
      <c r="K164" s="173" t="s">
        <v>61</v>
      </c>
      <c r="L164" s="144">
        <v>45940.0</v>
      </c>
      <c r="M164" s="147" t="s">
        <v>2155</v>
      </c>
      <c r="N164" s="148">
        <v>246.0</v>
      </c>
      <c r="O164" s="148">
        <v>30.0</v>
      </c>
      <c r="P164" s="26"/>
      <c r="Q164" s="26"/>
      <c r="R164" s="26"/>
      <c r="S164" s="26"/>
      <c r="T164" s="26"/>
      <c r="U164" s="147" t="s">
        <v>1965</v>
      </c>
      <c r="V164" s="197"/>
      <c r="W164" s="198" t="s">
        <v>2157</v>
      </c>
      <c r="X164" s="181">
        <v>30.0</v>
      </c>
      <c r="Y164" s="166">
        <f t="shared" si="6"/>
        <v>30</v>
      </c>
      <c r="Z164" s="26">
        <f t="shared" si="7"/>
        <v>0</v>
      </c>
      <c r="AA164" s="26">
        <f t="shared" si="8"/>
        <v>0</v>
      </c>
      <c r="AB164" s="26">
        <f t="shared" si="9"/>
        <v>0</v>
      </c>
      <c r="AC164" s="155">
        <v>0.0</v>
      </c>
      <c r="AD164" s="155">
        <v>0.0</v>
      </c>
      <c r="AE164" s="155">
        <v>0.0</v>
      </c>
      <c r="AF164" s="155">
        <v>0.0</v>
      </c>
      <c r="AG164" s="155">
        <v>0.0</v>
      </c>
      <c r="AH164" s="155">
        <v>0.0</v>
      </c>
      <c r="BN164" s="155">
        <v>0.0</v>
      </c>
      <c r="BO164" s="155">
        <v>0.0</v>
      </c>
      <c r="BP164" s="155">
        <v>0.0</v>
      </c>
      <c r="BQ164" s="155">
        <v>0.0</v>
      </c>
      <c r="BR164" s="155">
        <v>0.0</v>
      </c>
      <c r="BS164" s="155">
        <v>0.0</v>
      </c>
      <c r="CV164" s="156">
        <v>0.0</v>
      </c>
      <c r="CW164" s="156">
        <v>0.0</v>
      </c>
      <c r="CX164" s="156">
        <v>0.0</v>
      </c>
      <c r="CY164" s="156">
        <v>0.0</v>
      </c>
      <c r="CZ164" s="156">
        <v>0.0</v>
      </c>
      <c r="DA164" s="156">
        <v>0.0</v>
      </c>
      <c r="EG164" s="156">
        <v>0.0</v>
      </c>
      <c r="EH164" s="156">
        <v>0.0</v>
      </c>
      <c r="EI164" s="156">
        <v>0.0</v>
      </c>
      <c r="EJ164" s="156">
        <v>0.0</v>
      </c>
      <c r="EK164" s="156">
        <v>0.0</v>
      </c>
      <c r="EL164" s="156">
        <v>0.0</v>
      </c>
      <c r="FQ164" s="156">
        <v>0.0</v>
      </c>
      <c r="FR164" s="156">
        <v>0.0</v>
      </c>
      <c r="FS164" s="156">
        <v>0.0</v>
      </c>
      <c r="FT164" s="156">
        <v>0.0</v>
      </c>
      <c r="FU164" s="156">
        <v>0.0</v>
      </c>
      <c r="FV164" s="156">
        <v>0.0</v>
      </c>
      <c r="FW164" s="157"/>
      <c r="FX164" s="157"/>
      <c r="FY164" s="157"/>
      <c r="FZ164" s="157"/>
      <c r="GA164" s="157"/>
      <c r="GB164" s="157"/>
      <c r="GC164" s="157"/>
      <c r="GD164" s="157"/>
      <c r="GE164" s="157"/>
      <c r="GF164" s="157"/>
      <c r="GG164" s="157"/>
      <c r="GH164" s="157"/>
      <c r="GI164" s="157"/>
      <c r="GJ164" s="157"/>
      <c r="GK164" s="157"/>
      <c r="GL164" s="157"/>
      <c r="GM164" s="157"/>
      <c r="GN164" s="157"/>
      <c r="GO164" s="157"/>
      <c r="GP164" s="158"/>
      <c r="GQ164" s="157"/>
      <c r="GR164" s="157"/>
      <c r="GS164" s="157"/>
      <c r="GT164" s="157"/>
      <c r="GU164" s="157"/>
      <c r="GV164" s="157"/>
      <c r="GW164" s="157"/>
      <c r="GX164" s="157"/>
      <c r="GY164" s="157"/>
      <c r="GZ164" s="157"/>
      <c r="HA164" s="157"/>
      <c r="HB164" s="155">
        <v>0.0</v>
      </c>
      <c r="HC164" s="155">
        <v>0.0</v>
      </c>
      <c r="HD164" s="155">
        <v>0.0</v>
      </c>
      <c r="HE164" s="155">
        <v>0.0</v>
      </c>
      <c r="HF164" s="155">
        <v>0.0</v>
      </c>
      <c r="HG164" s="155">
        <v>0.0</v>
      </c>
      <c r="IL164" s="159">
        <v>0.0</v>
      </c>
      <c r="IM164" s="156">
        <v>0.0</v>
      </c>
      <c r="IN164" s="156">
        <v>0.0</v>
      </c>
      <c r="IO164" s="156">
        <v>0.0</v>
      </c>
      <c r="IP164" s="156">
        <v>0.0</v>
      </c>
      <c r="IQ164" s="160">
        <v>0.0</v>
      </c>
      <c r="JH164" s="25"/>
      <c r="JW164" s="159">
        <v>0.0</v>
      </c>
      <c r="JX164" s="156">
        <v>0.0</v>
      </c>
      <c r="JY164" s="156">
        <v>0.0</v>
      </c>
      <c r="JZ164" s="156">
        <v>0.0</v>
      </c>
      <c r="KA164" s="156">
        <v>0.0</v>
      </c>
      <c r="KB164" s="160">
        <v>0.0</v>
      </c>
      <c r="LH164" s="159">
        <f t="shared" si="10"/>
        <v>0</v>
      </c>
      <c r="LI164" s="156">
        <f t="shared" si="11"/>
        <v>0</v>
      </c>
      <c r="LJ164" s="156">
        <f t="shared" si="12"/>
        <v>0</v>
      </c>
      <c r="LK164" s="156">
        <f t="shared" si="13"/>
        <v>0</v>
      </c>
      <c r="LL164" s="156">
        <f t="shared" si="14"/>
        <v>0</v>
      </c>
      <c r="LM164" s="160">
        <f t="shared" si="15"/>
        <v>0</v>
      </c>
      <c r="QX164" s="107">
        <v>45852.0</v>
      </c>
    </row>
    <row r="165">
      <c r="A165" s="12"/>
      <c r="B165" s="12"/>
      <c r="C165" s="12"/>
      <c r="D165" s="12"/>
      <c r="E165" s="12"/>
      <c r="F165" s="12"/>
      <c r="G165" s="12"/>
      <c r="H165" s="12"/>
      <c r="I165" s="143">
        <f t="shared" si="5"/>
        <v>-30</v>
      </c>
      <c r="J165" s="144">
        <v>45854.0</v>
      </c>
      <c r="K165" s="173" t="s">
        <v>61</v>
      </c>
      <c r="L165" s="144">
        <v>45971.0</v>
      </c>
      <c r="M165" s="147" t="s">
        <v>2164</v>
      </c>
      <c r="N165" s="148">
        <v>246.0</v>
      </c>
      <c r="O165" s="148">
        <v>30.0</v>
      </c>
      <c r="P165" s="26"/>
      <c r="Q165" s="26"/>
      <c r="R165" s="26"/>
      <c r="S165" s="26"/>
      <c r="T165" s="26"/>
      <c r="U165" s="147" t="s">
        <v>1259</v>
      </c>
      <c r="V165" s="149" t="s">
        <v>732</v>
      </c>
      <c r="W165" s="147" t="s">
        <v>2165</v>
      </c>
      <c r="X165" s="181">
        <v>30.0</v>
      </c>
      <c r="Y165" s="166">
        <f t="shared" si="6"/>
        <v>30</v>
      </c>
      <c r="Z165" s="26">
        <f t="shared" si="7"/>
        <v>0</v>
      </c>
      <c r="AA165" s="26">
        <f t="shared" si="8"/>
        <v>0</v>
      </c>
      <c r="AB165" s="26">
        <f t="shared" si="9"/>
        <v>0</v>
      </c>
      <c r="AC165" s="155">
        <v>0.0</v>
      </c>
      <c r="AD165" s="155">
        <v>0.0</v>
      </c>
      <c r="AE165" s="155">
        <v>0.0</v>
      </c>
      <c r="AF165" s="155">
        <v>0.0</v>
      </c>
      <c r="AG165" s="155">
        <v>0.0</v>
      </c>
      <c r="AH165" s="155">
        <v>0.0</v>
      </c>
      <c r="BN165" s="155">
        <v>0.0</v>
      </c>
      <c r="BO165" s="155">
        <v>0.0</v>
      </c>
      <c r="BP165" s="155">
        <v>0.0</v>
      </c>
      <c r="BQ165" s="155">
        <v>0.0</v>
      </c>
      <c r="BR165" s="155">
        <v>0.0</v>
      </c>
      <c r="BS165" s="155">
        <v>0.0</v>
      </c>
      <c r="CV165" s="156">
        <v>0.0</v>
      </c>
      <c r="CW165" s="156">
        <v>0.0</v>
      </c>
      <c r="CX165" s="156">
        <v>0.0</v>
      </c>
      <c r="CY165" s="156">
        <v>0.0</v>
      </c>
      <c r="CZ165" s="156">
        <v>0.0</v>
      </c>
      <c r="DA165" s="156">
        <v>0.0</v>
      </c>
      <c r="EG165" s="156">
        <v>0.0</v>
      </c>
      <c r="EH165" s="156">
        <v>0.0</v>
      </c>
      <c r="EI165" s="156">
        <v>0.0</v>
      </c>
      <c r="EJ165" s="156">
        <v>0.0</v>
      </c>
      <c r="EK165" s="156">
        <v>0.0</v>
      </c>
      <c r="EL165" s="156">
        <v>0.0</v>
      </c>
      <c r="FQ165" s="156">
        <v>0.0</v>
      </c>
      <c r="FR165" s="156">
        <v>0.0</v>
      </c>
      <c r="FS165" s="156">
        <v>0.0</v>
      </c>
      <c r="FT165" s="156">
        <v>0.0</v>
      </c>
      <c r="FU165" s="156">
        <v>0.0</v>
      </c>
      <c r="FV165" s="156">
        <v>0.0</v>
      </c>
      <c r="FW165" s="157"/>
      <c r="FX165" s="157"/>
      <c r="FY165" s="157"/>
      <c r="FZ165" s="157"/>
      <c r="GA165" s="157"/>
      <c r="GB165" s="157"/>
      <c r="GC165" s="157"/>
      <c r="GD165" s="157"/>
      <c r="GE165" s="157"/>
      <c r="GF165" s="157"/>
      <c r="GG165" s="157"/>
      <c r="GH165" s="157"/>
      <c r="GI165" s="157"/>
      <c r="GJ165" s="157"/>
      <c r="GK165" s="157"/>
      <c r="GL165" s="157"/>
      <c r="GM165" s="157"/>
      <c r="GN165" s="157"/>
      <c r="GO165" s="157"/>
      <c r="GP165" s="158"/>
      <c r="GQ165" s="157"/>
      <c r="GR165" s="157"/>
      <c r="GS165" s="157"/>
      <c r="GT165" s="157"/>
      <c r="GU165" s="157"/>
      <c r="GV165" s="157"/>
      <c r="GW165" s="157"/>
      <c r="GX165" s="157"/>
      <c r="GY165" s="157"/>
      <c r="GZ165" s="157"/>
      <c r="HA165" s="157"/>
      <c r="HB165" s="155">
        <v>0.0</v>
      </c>
      <c r="HC165" s="155">
        <v>0.0</v>
      </c>
      <c r="HD165" s="155">
        <v>0.0</v>
      </c>
      <c r="HE165" s="155">
        <v>0.0</v>
      </c>
      <c r="HF165" s="155">
        <v>0.0</v>
      </c>
      <c r="HG165" s="155">
        <v>0.0</v>
      </c>
      <c r="IL165" s="159">
        <v>0.0</v>
      </c>
      <c r="IM165" s="156">
        <v>0.0</v>
      </c>
      <c r="IN165" s="156">
        <v>0.0</v>
      </c>
      <c r="IO165" s="156">
        <v>0.0</v>
      </c>
      <c r="IP165" s="156">
        <v>0.0</v>
      </c>
      <c r="IQ165" s="160">
        <v>0.0</v>
      </c>
      <c r="JH165" s="25"/>
      <c r="JW165" s="159">
        <v>0.0</v>
      </c>
      <c r="JX165" s="156">
        <v>0.0</v>
      </c>
      <c r="JY165" s="156">
        <v>0.0</v>
      </c>
      <c r="JZ165" s="156">
        <v>0.0</v>
      </c>
      <c r="KA165" s="156">
        <v>0.0</v>
      </c>
      <c r="KB165" s="160">
        <v>0.0</v>
      </c>
      <c r="LH165" s="159">
        <f t="shared" si="10"/>
        <v>0</v>
      </c>
      <c r="LI165" s="156">
        <f t="shared" si="11"/>
        <v>0</v>
      </c>
      <c r="LJ165" s="156">
        <f t="shared" si="12"/>
        <v>0</v>
      </c>
      <c r="LK165" s="156">
        <f t="shared" si="13"/>
        <v>0</v>
      </c>
      <c r="LL165" s="156">
        <f t="shared" si="14"/>
        <v>0</v>
      </c>
      <c r="LM165" s="160">
        <f t="shared" si="15"/>
        <v>0</v>
      </c>
      <c r="QX165" s="107">
        <v>45853.0</v>
      </c>
    </row>
    <row r="166">
      <c r="A166" s="12"/>
      <c r="B166" s="12"/>
      <c r="C166" s="12"/>
      <c r="D166" s="12"/>
      <c r="E166" s="12"/>
      <c r="F166" s="12"/>
      <c r="G166" s="12"/>
      <c r="H166" s="12"/>
      <c r="I166" s="143">
        <f t="shared" si="5"/>
        <v>-68</v>
      </c>
      <c r="J166" s="144">
        <v>45854.0</v>
      </c>
      <c r="K166" s="294" t="s">
        <v>53</v>
      </c>
      <c r="L166" s="297">
        <v>46155.0</v>
      </c>
      <c r="M166" s="147" t="s">
        <v>560</v>
      </c>
      <c r="N166" s="148">
        <v>246.0</v>
      </c>
      <c r="O166" s="148">
        <v>30.0</v>
      </c>
      <c r="P166" s="26"/>
      <c r="Q166" s="26"/>
      <c r="R166" s="26"/>
      <c r="S166" s="26"/>
      <c r="T166" s="26"/>
      <c r="U166" s="164" t="s">
        <v>2183</v>
      </c>
      <c r="V166" s="165" t="s">
        <v>2185</v>
      </c>
      <c r="W166" s="248" t="s">
        <v>2188</v>
      </c>
      <c r="X166" s="181">
        <v>42.0</v>
      </c>
      <c r="Y166" s="166">
        <f t="shared" si="6"/>
        <v>68</v>
      </c>
      <c r="Z166" s="26">
        <f t="shared" si="7"/>
        <v>0</v>
      </c>
      <c r="AA166" s="26">
        <f t="shared" si="8"/>
        <v>1</v>
      </c>
      <c r="AB166" s="26">
        <f t="shared" si="9"/>
        <v>0</v>
      </c>
      <c r="AC166" s="155">
        <v>8.0</v>
      </c>
      <c r="AD166" s="155">
        <v>0.0</v>
      </c>
      <c r="AE166" s="155">
        <v>0.0</v>
      </c>
      <c r="AF166" s="155">
        <v>0.0</v>
      </c>
      <c r="AG166" s="155">
        <v>0.0</v>
      </c>
      <c r="AH166" s="155">
        <v>0.0</v>
      </c>
      <c r="AI166" s="167"/>
      <c r="AJ166" s="167"/>
      <c r="AK166" s="167"/>
      <c r="AL166" s="167"/>
      <c r="AM166" s="167"/>
      <c r="AN166" s="168">
        <v>1.0</v>
      </c>
      <c r="AO166" s="167">
        <v>1.0</v>
      </c>
      <c r="AP166" s="167">
        <v>0.0</v>
      </c>
      <c r="AQ166" s="167"/>
      <c r="AR166" s="168">
        <v>1.0</v>
      </c>
      <c r="AS166" s="167">
        <v>0.0</v>
      </c>
      <c r="AT166" s="167"/>
      <c r="AU166" s="168">
        <v>1.0</v>
      </c>
      <c r="AV166" s="167"/>
      <c r="AW166" s="167">
        <v>0.0</v>
      </c>
      <c r="AX166" s="167">
        <v>1.0</v>
      </c>
      <c r="AY166" s="167">
        <v>0.0</v>
      </c>
      <c r="AZ166" s="167">
        <v>0.0</v>
      </c>
      <c r="BA166" s="167"/>
      <c r="BB166" s="167">
        <v>0.0</v>
      </c>
      <c r="BC166" s="167"/>
      <c r="BD166" s="167">
        <v>0.0</v>
      </c>
      <c r="BE166" s="167">
        <v>1.0</v>
      </c>
      <c r="BF166" s="167">
        <v>0.0</v>
      </c>
      <c r="BG166" s="167">
        <v>0.0</v>
      </c>
      <c r="BH166" s="167"/>
      <c r="BI166" s="168">
        <v>1.0</v>
      </c>
      <c r="BJ166" s="167"/>
      <c r="BK166" s="167">
        <v>0.0</v>
      </c>
      <c r="BL166" s="167">
        <v>1.0</v>
      </c>
      <c r="BM166" s="167">
        <v>0.0</v>
      </c>
      <c r="BN166" s="155">
        <v>4.0</v>
      </c>
      <c r="BO166" s="155">
        <v>0.0</v>
      </c>
      <c r="BP166" s="155">
        <v>0.0</v>
      </c>
      <c r="BQ166" s="155">
        <v>0.0</v>
      </c>
      <c r="BR166" s="155">
        <v>0.0</v>
      </c>
      <c r="BS166" s="155">
        <v>0.0</v>
      </c>
      <c r="BT166" s="167">
        <v>0.0</v>
      </c>
      <c r="BU166" s="167">
        <v>1.0</v>
      </c>
      <c r="BV166" s="167">
        <v>0.0</v>
      </c>
      <c r="BW166" s="167"/>
      <c r="BX166" s="168">
        <v>1.0</v>
      </c>
      <c r="BY166" s="167"/>
      <c r="BZ166" s="167"/>
      <c r="CA166" s="167"/>
      <c r="CB166" s="167"/>
      <c r="CC166" s="167"/>
      <c r="CD166" s="167"/>
      <c r="CE166" s="167"/>
      <c r="CF166" s="167"/>
      <c r="CG166" s="167"/>
      <c r="CH166" s="167"/>
      <c r="CI166" s="167"/>
      <c r="CJ166" s="167"/>
      <c r="CK166" s="167"/>
      <c r="CL166" s="167"/>
      <c r="CM166" s="167"/>
      <c r="CN166" s="167"/>
      <c r="CO166" s="167"/>
      <c r="CP166" s="167">
        <v>1.0</v>
      </c>
      <c r="CQ166" s="168">
        <v>1.0</v>
      </c>
      <c r="CR166" s="167"/>
      <c r="CS166" s="167"/>
      <c r="CT166" s="167"/>
      <c r="CU166" s="167"/>
      <c r="CV166" s="156">
        <v>5.0</v>
      </c>
      <c r="CW166" s="156">
        <v>0.0</v>
      </c>
      <c r="CX166" s="156">
        <v>0.0</v>
      </c>
      <c r="CY166" s="156">
        <v>0.0</v>
      </c>
      <c r="CZ166" s="156">
        <v>0.0</v>
      </c>
      <c r="DA166" s="156">
        <v>0.0</v>
      </c>
      <c r="DB166" s="174"/>
      <c r="DC166" s="174"/>
      <c r="DD166" s="174"/>
      <c r="DE166" s="174"/>
      <c r="DF166" s="174"/>
      <c r="DG166" s="174"/>
      <c r="DH166" s="174"/>
      <c r="DI166" s="174"/>
      <c r="DJ166" s="174"/>
      <c r="DK166" s="174"/>
      <c r="DL166" s="174"/>
      <c r="DM166" s="175">
        <v>1.0</v>
      </c>
      <c r="DN166" s="174"/>
      <c r="DO166" s="174"/>
      <c r="DP166" s="174"/>
      <c r="DQ166" s="174"/>
      <c r="DR166" s="174"/>
      <c r="DS166" s="174"/>
      <c r="DT166" s="175">
        <v>1.0</v>
      </c>
      <c r="DU166" s="174"/>
      <c r="DV166" s="174"/>
      <c r="DW166" s="174"/>
      <c r="DX166" s="174"/>
      <c r="DY166" s="174"/>
      <c r="DZ166" s="174"/>
      <c r="EA166" s="175">
        <v>1.0</v>
      </c>
      <c r="EB166" s="174">
        <v>1.0</v>
      </c>
      <c r="EC166" s="174">
        <v>0.0</v>
      </c>
      <c r="ED166" s="174">
        <v>0.0</v>
      </c>
      <c r="EE166" s="174"/>
      <c r="EF166" s="175">
        <v>1.0</v>
      </c>
      <c r="EG166" s="156">
        <v>9.0</v>
      </c>
      <c r="EH166" s="156">
        <v>0.0</v>
      </c>
      <c r="EI166" s="156">
        <v>0.0</v>
      </c>
      <c r="EJ166" s="156">
        <v>1.0</v>
      </c>
      <c r="EK166" s="156">
        <v>0.0</v>
      </c>
      <c r="EL166" s="156">
        <v>0.0</v>
      </c>
      <c r="EM166" s="174">
        <v>1.0</v>
      </c>
      <c r="EN166" s="174"/>
      <c r="EO166" s="174"/>
      <c r="EP166" s="174"/>
      <c r="EQ166" s="174"/>
      <c r="ER166" s="174">
        <v>1.0</v>
      </c>
      <c r="ES166" s="174">
        <v>0.0</v>
      </c>
      <c r="ET166" s="174">
        <v>1.0</v>
      </c>
      <c r="EU166" s="174"/>
      <c r="EV166" s="174"/>
      <c r="EW166" s="174"/>
      <c r="EX166" s="174"/>
      <c r="EY166" s="174"/>
      <c r="EZ166" s="174"/>
      <c r="FA166" s="174">
        <v>1.0</v>
      </c>
      <c r="FB166" s="174">
        <v>0.0</v>
      </c>
      <c r="FC166" s="174">
        <v>1.0</v>
      </c>
      <c r="FD166" s="174">
        <v>0.0</v>
      </c>
      <c r="FE166" s="174">
        <v>0.0</v>
      </c>
      <c r="FF166" s="174"/>
      <c r="FG166" s="174">
        <v>0.0</v>
      </c>
      <c r="FH166" s="175" t="s">
        <v>947</v>
      </c>
      <c r="FI166" s="175">
        <v>1.0</v>
      </c>
      <c r="FJ166" s="174"/>
      <c r="FK166" s="175">
        <v>1.0</v>
      </c>
      <c r="FL166" s="174"/>
      <c r="FM166" s="174"/>
      <c r="FN166" s="174"/>
      <c r="FO166" s="174">
        <v>1.0</v>
      </c>
      <c r="FP166" s="174">
        <v>0.0</v>
      </c>
      <c r="FQ166" s="156">
        <v>0.0</v>
      </c>
      <c r="FR166" s="156">
        <v>0.0</v>
      </c>
      <c r="FS166" s="156">
        <v>0.0</v>
      </c>
      <c r="FT166" s="156">
        <v>0.0</v>
      </c>
      <c r="FU166" s="156">
        <v>0.0</v>
      </c>
      <c r="FV166" s="156">
        <v>0.0</v>
      </c>
      <c r="FW166" s="174"/>
      <c r="FX166" s="174"/>
      <c r="FY166" s="174"/>
      <c r="FZ166" s="174"/>
      <c r="GA166" s="174"/>
      <c r="GB166" s="174"/>
      <c r="GC166" s="174"/>
      <c r="GD166" s="174"/>
      <c r="GE166" s="174"/>
      <c r="GF166" s="174"/>
      <c r="GG166" s="174"/>
      <c r="GH166" s="174"/>
      <c r="GI166" s="174"/>
      <c r="GJ166" s="174"/>
      <c r="GK166" s="174"/>
      <c r="GL166" s="174"/>
      <c r="GM166" s="174"/>
      <c r="GN166" s="174"/>
      <c r="GO166" s="174"/>
      <c r="GP166" s="176"/>
      <c r="GQ166" s="174"/>
      <c r="GR166" s="174"/>
      <c r="GS166" s="174"/>
      <c r="GT166" s="174"/>
      <c r="GU166" s="174"/>
      <c r="GV166" s="174"/>
      <c r="GW166" s="174"/>
      <c r="GX166" s="174"/>
      <c r="GY166" s="174"/>
      <c r="GZ166" s="174"/>
      <c r="HA166" s="174"/>
      <c r="HB166" s="155">
        <v>0.0</v>
      </c>
      <c r="HC166" s="155">
        <v>0.0</v>
      </c>
      <c r="HD166" s="155">
        <v>0.0</v>
      </c>
      <c r="HE166" s="155">
        <v>0.0</v>
      </c>
      <c r="HF166" s="155">
        <v>0.0</v>
      </c>
      <c r="HG166" s="155">
        <v>0.0</v>
      </c>
      <c r="HH166" s="174"/>
      <c r="HI166" s="174"/>
      <c r="HJ166" s="174"/>
      <c r="HK166" s="174"/>
      <c r="HL166" s="174"/>
      <c r="HM166" s="174"/>
      <c r="HN166" s="174"/>
      <c r="HO166" s="174"/>
      <c r="HP166" s="174"/>
      <c r="HQ166" s="174"/>
      <c r="HR166" s="174"/>
      <c r="HS166" s="174"/>
      <c r="HT166" s="174"/>
      <c r="HU166" s="174"/>
      <c r="HV166" s="174"/>
      <c r="HW166" s="174"/>
      <c r="HX166" s="174"/>
      <c r="HY166" s="174"/>
      <c r="HZ166" s="174"/>
      <c r="IA166" s="174"/>
      <c r="IB166" s="174"/>
      <c r="IC166" s="174"/>
      <c r="ID166" s="174"/>
      <c r="IE166" s="174"/>
      <c r="IF166" s="174"/>
      <c r="IG166" s="174"/>
      <c r="IH166" s="174"/>
      <c r="II166" s="174"/>
      <c r="IJ166" s="174"/>
      <c r="IK166" s="174">
        <v>0.0</v>
      </c>
      <c r="IL166" s="159">
        <v>0.0</v>
      </c>
      <c r="IM166" s="156">
        <v>0.0</v>
      </c>
      <c r="IN166" s="156">
        <v>0.0</v>
      </c>
      <c r="IO166" s="156">
        <v>0.0</v>
      </c>
      <c r="IP166" s="156">
        <v>0.0</v>
      </c>
      <c r="IQ166" s="160">
        <v>0.0</v>
      </c>
      <c r="JH166" s="25"/>
      <c r="JW166" s="159">
        <v>0.0</v>
      </c>
      <c r="JX166" s="156">
        <v>0.0</v>
      </c>
      <c r="JY166" s="156">
        <v>0.0</v>
      </c>
      <c r="JZ166" s="156">
        <v>0.0</v>
      </c>
      <c r="KA166" s="156">
        <v>0.0</v>
      </c>
      <c r="KB166" s="160">
        <v>0.0</v>
      </c>
      <c r="LH166" s="159">
        <f t="shared" si="10"/>
        <v>0</v>
      </c>
      <c r="LI166" s="156">
        <f t="shared" si="11"/>
        <v>0</v>
      </c>
      <c r="LJ166" s="156">
        <f t="shared" si="12"/>
        <v>0</v>
      </c>
      <c r="LK166" s="156">
        <f t="shared" si="13"/>
        <v>0</v>
      </c>
      <c r="LL166" s="156">
        <f t="shared" si="14"/>
        <v>0</v>
      </c>
      <c r="LM166" s="160">
        <f t="shared" si="15"/>
        <v>0</v>
      </c>
      <c r="QX166" s="107">
        <v>45853.0</v>
      </c>
    </row>
    <row r="167">
      <c r="A167" s="12"/>
      <c r="B167" s="12"/>
      <c r="C167" s="12"/>
      <c r="D167" s="12"/>
      <c r="E167" s="12"/>
      <c r="F167" s="12"/>
      <c r="G167" s="12"/>
      <c r="H167" s="12"/>
      <c r="I167" s="219">
        <f t="shared" si="5"/>
        <v>-25</v>
      </c>
      <c r="J167" s="144">
        <v>45855.0</v>
      </c>
      <c r="K167" s="173" t="s">
        <v>61</v>
      </c>
      <c r="L167" s="144">
        <v>45934.0</v>
      </c>
      <c r="M167" s="147" t="s">
        <v>348</v>
      </c>
      <c r="N167" s="148">
        <v>357.0</v>
      </c>
      <c r="O167" s="148">
        <v>30.0</v>
      </c>
      <c r="P167" s="26"/>
      <c r="Q167" s="26"/>
      <c r="R167" s="26"/>
      <c r="S167" s="26"/>
      <c r="T167" s="26"/>
      <c r="U167" s="147" t="s">
        <v>2224</v>
      </c>
      <c r="V167" s="197"/>
      <c r="W167" s="198" t="s">
        <v>2225</v>
      </c>
      <c r="X167" s="181">
        <v>25.0</v>
      </c>
      <c r="Y167" s="166">
        <f t="shared" si="6"/>
        <v>25</v>
      </c>
      <c r="Z167" s="26">
        <f t="shared" si="7"/>
        <v>0</v>
      </c>
      <c r="AA167" s="26">
        <f t="shared" si="8"/>
        <v>0</v>
      </c>
      <c r="AB167" s="26">
        <f t="shared" si="9"/>
        <v>0</v>
      </c>
      <c r="AC167" s="155">
        <v>0.0</v>
      </c>
      <c r="AD167" s="155">
        <v>0.0</v>
      </c>
      <c r="AE167" s="155">
        <v>0.0</v>
      </c>
      <c r="AF167" s="155">
        <v>0.0</v>
      </c>
      <c r="AG167" s="155">
        <v>0.0</v>
      </c>
      <c r="AH167" s="155">
        <v>0.0</v>
      </c>
      <c r="BN167" s="155">
        <v>0.0</v>
      </c>
      <c r="BO167" s="155">
        <v>0.0</v>
      </c>
      <c r="BP167" s="155">
        <v>0.0</v>
      </c>
      <c r="BQ167" s="155">
        <v>0.0</v>
      </c>
      <c r="BR167" s="155">
        <v>0.0</v>
      </c>
      <c r="BS167" s="155">
        <v>0.0</v>
      </c>
      <c r="CV167" s="156">
        <v>0.0</v>
      </c>
      <c r="CW167" s="156">
        <v>0.0</v>
      </c>
      <c r="CX167" s="156">
        <v>0.0</v>
      </c>
      <c r="CY167" s="156">
        <v>0.0</v>
      </c>
      <c r="CZ167" s="156">
        <v>0.0</v>
      </c>
      <c r="DA167" s="156">
        <v>0.0</v>
      </c>
      <c r="EG167" s="156">
        <v>0.0</v>
      </c>
      <c r="EH167" s="156">
        <v>0.0</v>
      </c>
      <c r="EI167" s="156">
        <v>0.0</v>
      </c>
      <c r="EJ167" s="156">
        <v>0.0</v>
      </c>
      <c r="EK167" s="156">
        <v>0.0</v>
      </c>
      <c r="EL167" s="156">
        <v>0.0</v>
      </c>
      <c r="FQ167" s="156">
        <v>0.0</v>
      </c>
      <c r="FR167" s="156">
        <v>0.0</v>
      </c>
      <c r="FS167" s="156">
        <v>0.0</v>
      </c>
      <c r="FT167" s="156">
        <v>0.0</v>
      </c>
      <c r="FU167" s="156">
        <v>0.0</v>
      </c>
      <c r="FV167" s="156">
        <v>0.0</v>
      </c>
      <c r="FW167" s="157"/>
      <c r="FX167" s="157"/>
      <c r="FY167" s="157"/>
      <c r="FZ167" s="157"/>
      <c r="GA167" s="157"/>
      <c r="GB167" s="157"/>
      <c r="GC167" s="157"/>
      <c r="GD167" s="157"/>
      <c r="GE167" s="157"/>
      <c r="GF167" s="157"/>
      <c r="GG167" s="157"/>
      <c r="GH167" s="157"/>
      <c r="GI167" s="157"/>
      <c r="GJ167" s="157"/>
      <c r="GK167" s="157"/>
      <c r="GL167" s="157"/>
      <c r="GM167" s="157"/>
      <c r="GN167" s="157"/>
      <c r="GO167" s="157"/>
      <c r="GP167" s="158"/>
      <c r="GQ167" s="157"/>
      <c r="GR167" s="157"/>
      <c r="GS167" s="157"/>
      <c r="GT167" s="157"/>
      <c r="GU167" s="157"/>
      <c r="GV167" s="157"/>
      <c r="GW167" s="157"/>
      <c r="GX167" s="157"/>
      <c r="GY167" s="157"/>
      <c r="GZ167" s="157"/>
      <c r="HA167" s="157"/>
      <c r="HB167" s="155">
        <v>0.0</v>
      </c>
      <c r="HC167" s="155">
        <v>0.0</v>
      </c>
      <c r="HD167" s="155">
        <v>0.0</v>
      </c>
      <c r="HE167" s="155">
        <v>0.0</v>
      </c>
      <c r="HF167" s="155">
        <v>0.0</v>
      </c>
      <c r="HG167" s="155">
        <v>0.0</v>
      </c>
      <c r="IL167" s="159">
        <v>0.0</v>
      </c>
      <c r="IM167" s="156">
        <v>0.0</v>
      </c>
      <c r="IN167" s="156">
        <v>0.0</v>
      </c>
      <c r="IO167" s="156">
        <v>0.0</v>
      </c>
      <c r="IP167" s="156">
        <v>0.0</v>
      </c>
      <c r="IQ167" s="160">
        <v>0.0</v>
      </c>
      <c r="JH167" s="25"/>
      <c r="JW167" s="159">
        <v>0.0</v>
      </c>
      <c r="JX167" s="156">
        <v>0.0</v>
      </c>
      <c r="JY167" s="156">
        <v>0.0</v>
      </c>
      <c r="JZ167" s="156">
        <v>0.0</v>
      </c>
      <c r="KA167" s="156">
        <v>0.0</v>
      </c>
      <c r="KB167" s="160">
        <v>0.0</v>
      </c>
      <c r="LH167" s="159">
        <f t="shared" si="10"/>
        <v>0</v>
      </c>
      <c r="LI167" s="156">
        <f t="shared" si="11"/>
        <v>0</v>
      </c>
      <c r="LJ167" s="156">
        <f t="shared" si="12"/>
        <v>0</v>
      </c>
      <c r="LK167" s="156">
        <f t="shared" si="13"/>
        <v>0</v>
      </c>
      <c r="LL167" s="156">
        <f t="shared" si="14"/>
        <v>0</v>
      </c>
      <c r="LM167" s="160">
        <f t="shared" si="15"/>
        <v>0</v>
      </c>
      <c r="QX167" s="107">
        <v>45853.0</v>
      </c>
    </row>
    <row r="168">
      <c r="A168" s="12"/>
      <c r="B168" s="12"/>
      <c r="C168" s="12"/>
      <c r="D168" s="12"/>
      <c r="E168" s="12"/>
      <c r="F168" s="12"/>
      <c r="G168" s="12"/>
      <c r="H168" s="12"/>
      <c r="I168" s="143">
        <f t="shared" si="5"/>
        <v>-30</v>
      </c>
      <c r="J168" s="144">
        <v>45867.0</v>
      </c>
      <c r="K168" s="173" t="s">
        <v>61</v>
      </c>
      <c r="L168" s="144">
        <v>45962.0</v>
      </c>
      <c r="M168" s="307" t="s">
        <v>107</v>
      </c>
      <c r="N168" s="308">
        <v>357.0</v>
      </c>
      <c r="O168" s="308">
        <v>60.0</v>
      </c>
      <c r="P168" s="309"/>
      <c r="Q168" s="309"/>
      <c r="R168" s="309"/>
      <c r="S168" s="309"/>
      <c r="T168" s="309"/>
      <c r="U168" s="307" t="s">
        <v>2236</v>
      </c>
      <c r="V168" s="310" t="s">
        <v>1974</v>
      </c>
      <c r="W168" s="311" t="s">
        <v>1975</v>
      </c>
      <c r="X168" s="181">
        <v>30.0</v>
      </c>
      <c r="Y168" s="166">
        <f t="shared" si="6"/>
        <v>30</v>
      </c>
      <c r="Z168" s="26">
        <f t="shared" si="7"/>
        <v>0</v>
      </c>
      <c r="AA168" s="26">
        <f t="shared" si="8"/>
        <v>0</v>
      </c>
      <c r="AB168" s="26">
        <f t="shared" si="9"/>
        <v>0</v>
      </c>
      <c r="AC168" s="155">
        <v>0.0</v>
      </c>
      <c r="AD168" s="155">
        <v>0.0</v>
      </c>
      <c r="AE168" s="155">
        <v>0.0</v>
      </c>
      <c r="AF168" s="155">
        <v>0.0</v>
      </c>
      <c r="AG168" s="155">
        <v>0.0</v>
      </c>
      <c r="AH168" s="155">
        <v>0.0</v>
      </c>
      <c r="BN168" s="155">
        <v>0.0</v>
      </c>
      <c r="BO168" s="155">
        <v>0.0</v>
      </c>
      <c r="BP168" s="155">
        <v>0.0</v>
      </c>
      <c r="BQ168" s="155">
        <v>0.0</v>
      </c>
      <c r="BR168" s="155">
        <v>0.0</v>
      </c>
      <c r="BS168" s="155">
        <v>0.0</v>
      </c>
      <c r="CV168" s="156">
        <v>0.0</v>
      </c>
      <c r="CW168" s="156">
        <v>0.0</v>
      </c>
      <c r="CX168" s="156">
        <v>0.0</v>
      </c>
      <c r="CY168" s="156">
        <v>0.0</v>
      </c>
      <c r="CZ168" s="156">
        <v>0.0</v>
      </c>
      <c r="DA168" s="156">
        <v>0.0</v>
      </c>
      <c r="EG168" s="156">
        <v>0.0</v>
      </c>
      <c r="EH168" s="156">
        <v>0.0</v>
      </c>
      <c r="EI168" s="156">
        <v>0.0</v>
      </c>
      <c r="EJ168" s="156">
        <v>0.0</v>
      </c>
      <c r="EK168" s="156">
        <v>0.0</v>
      </c>
      <c r="EL168" s="156">
        <v>0.0</v>
      </c>
      <c r="FQ168" s="156">
        <v>0.0</v>
      </c>
      <c r="FR168" s="156">
        <v>0.0</v>
      </c>
      <c r="FS168" s="156">
        <v>0.0</v>
      </c>
      <c r="FT168" s="156">
        <v>0.0</v>
      </c>
      <c r="FU168" s="156">
        <v>0.0</v>
      </c>
      <c r="FV168" s="156">
        <v>0.0</v>
      </c>
      <c r="FW168" s="157"/>
      <c r="FX168" s="157"/>
      <c r="FY168" s="157"/>
      <c r="FZ168" s="157"/>
      <c r="GA168" s="157"/>
      <c r="GB168" s="157"/>
      <c r="GC168" s="157"/>
      <c r="GD168" s="157"/>
      <c r="GE168" s="157"/>
      <c r="GF168" s="157"/>
      <c r="GG168" s="157"/>
      <c r="GH168" s="157"/>
      <c r="GI168" s="157"/>
      <c r="GJ168" s="157"/>
      <c r="GK168" s="157"/>
      <c r="GL168" s="157"/>
      <c r="GM168" s="157"/>
      <c r="GN168" s="157"/>
      <c r="GO168" s="157"/>
      <c r="GP168" s="158"/>
      <c r="GQ168" s="157"/>
      <c r="GR168" s="157"/>
      <c r="GS168" s="157"/>
      <c r="GT168" s="157"/>
      <c r="GU168" s="157"/>
      <c r="GV168" s="157"/>
      <c r="GW168" s="157"/>
      <c r="GX168" s="157"/>
      <c r="GY168" s="157"/>
      <c r="GZ168" s="157"/>
      <c r="HA168" s="157"/>
      <c r="HB168" s="155">
        <v>0.0</v>
      </c>
      <c r="HC168" s="155">
        <v>0.0</v>
      </c>
      <c r="HD168" s="155">
        <v>0.0</v>
      </c>
      <c r="HE168" s="155">
        <v>0.0</v>
      </c>
      <c r="HF168" s="155">
        <v>0.0</v>
      </c>
      <c r="HG168" s="155">
        <v>0.0</v>
      </c>
      <c r="IL168" s="159">
        <v>0.0</v>
      </c>
      <c r="IM168" s="156">
        <v>0.0</v>
      </c>
      <c r="IN168" s="156">
        <v>0.0</v>
      </c>
      <c r="IO168" s="156">
        <v>0.0</v>
      </c>
      <c r="IP168" s="156">
        <v>0.0</v>
      </c>
      <c r="IQ168" s="160">
        <v>0.0</v>
      </c>
      <c r="JH168" s="25"/>
      <c r="JW168" s="159">
        <v>0.0</v>
      </c>
      <c r="JX168" s="156">
        <v>0.0</v>
      </c>
      <c r="JY168" s="156">
        <v>0.0</v>
      </c>
      <c r="JZ168" s="156">
        <v>0.0</v>
      </c>
      <c r="KA168" s="156">
        <v>0.0</v>
      </c>
      <c r="KB168" s="160">
        <v>0.0</v>
      </c>
      <c r="LH168" s="159">
        <f t="shared" si="10"/>
        <v>0</v>
      </c>
      <c r="LI168" s="156">
        <f t="shared" si="11"/>
        <v>0</v>
      </c>
      <c r="LJ168" s="156">
        <f t="shared" si="12"/>
        <v>0</v>
      </c>
      <c r="LK168" s="156">
        <f t="shared" si="13"/>
        <v>0</v>
      </c>
      <c r="LL168" s="156">
        <f t="shared" si="14"/>
        <v>0</v>
      </c>
      <c r="LM168" s="160">
        <f t="shared" si="15"/>
        <v>0</v>
      </c>
      <c r="QX168" s="107">
        <v>45854.0</v>
      </c>
    </row>
    <row r="169">
      <c r="A169" s="12"/>
      <c r="B169" s="12"/>
      <c r="C169" s="12"/>
      <c r="D169" s="12"/>
      <c r="E169" s="12"/>
      <c r="F169" s="12"/>
      <c r="G169" s="12"/>
      <c r="H169" s="12"/>
      <c r="I169" s="143">
        <f t="shared" si="5"/>
        <v>-2</v>
      </c>
      <c r="J169" s="144">
        <v>45874.0</v>
      </c>
      <c r="K169" s="173" t="s">
        <v>61</v>
      </c>
      <c r="L169" s="144">
        <v>45897.0</v>
      </c>
      <c r="M169" s="147" t="s">
        <v>400</v>
      </c>
      <c r="N169" s="148" t="s">
        <v>2246</v>
      </c>
      <c r="O169" s="148">
        <v>30.0</v>
      </c>
      <c r="P169" s="26"/>
      <c r="Q169" s="26"/>
      <c r="R169" s="26"/>
      <c r="S169" s="26"/>
      <c r="T169" s="26"/>
      <c r="U169" s="147" t="s">
        <v>2247</v>
      </c>
      <c r="V169" s="197"/>
      <c r="W169" s="198" t="s">
        <v>2248</v>
      </c>
      <c r="X169" s="181">
        <v>2.0</v>
      </c>
      <c r="Y169" s="166">
        <f t="shared" si="6"/>
        <v>2</v>
      </c>
      <c r="Z169" s="26">
        <f t="shared" si="7"/>
        <v>0</v>
      </c>
      <c r="AA169" s="26">
        <f t="shared" si="8"/>
        <v>0</v>
      </c>
      <c r="AB169" s="26">
        <f t="shared" si="9"/>
        <v>0</v>
      </c>
      <c r="AC169" s="155">
        <v>0.0</v>
      </c>
      <c r="AD169" s="155">
        <v>0.0</v>
      </c>
      <c r="AE169" s="155">
        <v>0.0</v>
      </c>
      <c r="AF169" s="155">
        <v>0.0</v>
      </c>
      <c r="AG169" s="155">
        <v>0.0</v>
      </c>
      <c r="AH169" s="155">
        <v>0.0</v>
      </c>
      <c r="BN169" s="155">
        <v>0.0</v>
      </c>
      <c r="BO169" s="155">
        <v>0.0</v>
      </c>
      <c r="BP169" s="155">
        <v>0.0</v>
      </c>
      <c r="BQ169" s="155">
        <v>0.0</v>
      </c>
      <c r="BR169" s="155">
        <v>0.0</v>
      </c>
      <c r="BS169" s="155">
        <v>0.0</v>
      </c>
      <c r="CV169" s="156">
        <v>0.0</v>
      </c>
      <c r="CW169" s="156">
        <v>0.0</v>
      </c>
      <c r="CX169" s="156">
        <v>0.0</v>
      </c>
      <c r="CY169" s="156">
        <v>0.0</v>
      </c>
      <c r="CZ169" s="156">
        <v>0.0</v>
      </c>
      <c r="DA169" s="156">
        <v>0.0</v>
      </c>
      <c r="EG169" s="156">
        <v>0.0</v>
      </c>
      <c r="EH169" s="156">
        <v>0.0</v>
      </c>
      <c r="EI169" s="156">
        <v>0.0</v>
      </c>
      <c r="EJ169" s="156">
        <v>0.0</v>
      </c>
      <c r="EK169" s="156">
        <v>0.0</v>
      </c>
      <c r="EL169" s="156">
        <v>0.0</v>
      </c>
      <c r="FQ169" s="156">
        <v>0.0</v>
      </c>
      <c r="FR169" s="156">
        <v>0.0</v>
      </c>
      <c r="FS169" s="156">
        <v>0.0</v>
      </c>
      <c r="FT169" s="156">
        <v>0.0</v>
      </c>
      <c r="FU169" s="156">
        <v>0.0</v>
      </c>
      <c r="FV169" s="156">
        <v>0.0</v>
      </c>
      <c r="FW169" s="157"/>
      <c r="FX169" s="157"/>
      <c r="FY169" s="157"/>
      <c r="FZ169" s="157"/>
      <c r="GA169" s="157"/>
      <c r="GB169" s="157"/>
      <c r="GC169" s="157"/>
      <c r="GD169" s="157"/>
      <c r="GE169" s="157"/>
      <c r="GF169" s="157"/>
      <c r="GG169" s="157"/>
      <c r="GH169" s="157"/>
      <c r="GI169" s="157"/>
      <c r="GJ169" s="157"/>
      <c r="GK169" s="157"/>
      <c r="GL169" s="157"/>
      <c r="GM169" s="157"/>
      <c r="GN169" s="157"/>
      <c r="GO169" s="157"/>
      <c r="GP169" s="158"/>
      <c r="GQ169" s="157"/>
      <c r="GR169" s="157"/>
      <c r="GS169" s="157"/>
      <c r="GT169" s="157"/>
      <c r="GU169" s="157"/>
      <c r="GV169" s="157"/>
      <c r="GW169" s="157"/>
      <c r="GX169" s="157"/>
      <c r="GY169" s="157"/>
      <c r="GZ169" s="157"/>
      <c r="HA169" s="157"/>
      <c r="HB169" s="155">
        <v>0.0</v>
      </c>
      <c r="HC169" s="155">
        <v>0.0</v>
      </c>
      <c r="HD169" s="155">
        <v>0.0</v>
      </c>
      <c r="HE169" s="155">
        <v>0.0</v>
      </c>
      <c r="HF169" s="155">
        <v>0.0</v>
      </c>
      <c r="HG169" s="155">
        <v>0.0</v>
      </c>
      <c r="IL169" s="159">
        <v>0.0</v>
      </c>
      <c r="IM169" s="156">
        <v>0.0</v>
      </c>
      <c r="IN169" s="156">
        <v>0.0</v>
      </c>
      <c r="IO169" s="156">
        <v>0.0</v>
      </c>
      <c r="IP169" s="156">
        <v>0.0</v>
      </c>
      <c r="IQ169" s="160">
        <v>0.0</v>
      </c>
      <c r="JH169" s="25"/>
      <c r="JW169" s="159">
        <v>0.0</v>
      </c>
      <c r="JX169" s="156">
        <v>0.0</v>
      </c>
      <c r="JY169" s="156">
        <v>0.0</v>
      </c>
      <c r="JZ169" s="156">
        <v>0.0</v>
      </c>
      <c r="KA169" s="156">
        <v>0.0</v>
      </c>
      <c r="KB169" s="160">
        <v>0.0</v>
      </c>
      <c r="LH169" s="159">
        <f t="shared" si="10"/>
        <v>0</v>
      </c>
      <c r="LI169" s="156">
        <f t="shared" si="11"/>
        <v>0</v>
      </c>
      <c r="LJ169" s="156">
        <f t="shared" si="12"/>
        <v>0</v>
      </c>
      <c r="LK169" s="156">
        <f t="shared" si="13"/>
        <v>0</v>
      </c>
      <c r="LL169" s="156">
        <f t="shared" si="14"/>
        <v>0</v>
      </c>
      <c r="LM169" s="160">
        <f t="shared" si="15"/>
        <v>0</v>
      </c>
      <c r="QX169" s="107">
        <v>45854.0</v>
      </c>
    </row>
    <row r="170">
      <c r="A170" s="12"/>
      <c r="B170" s="12"/>
      <c r="C170" s="12"/>
      <c r="D170" s="12"/>
      <c r="E170" s="12"/>
      <c r="F170" s="12"/>
      <c r="G170" s="12"/>
      <c r="H170" s="12"/>
      <c r="I170" s="143">
        <f t="shared" si="5"/>
        <v>-24</v>
      </c>
      <c r="J170" s="144">
        <v>45856.0</v>
      </c>
      <c r="K170" s="195" t="s">
        <v>61</v>
      </c>
      <c r="L170" s="144">
        <v>45964.0</v>
      </c>
      <c r="M170" s="147" t="s">
        <v>107</v>
      </c>
      <c r="N170" s="148">
        <v>246.0</v>
      </c>
      <c r="O170" s="148">
        <v>30.0</v>
      </c>
      <c r="P170" s="26"/>
      <c r="Q170" s="26"/>
      <c r="R170" s="26"/>
      <c r="S170" s="26"/>
      <c r="T170" s="26"/>
      <c r="U170" s="147" t="s">
        <v>1140</v>
      </c>
      <c r="V170" s="149" t="s">
        <v>2274</v>
      </c>
      <c r="W170" s="198" t="s">
        <v>2275</v>
      </c>
      <c r="X170" s="181">
        <v>24.0</v>
      </c>
      <c r="Y170" s="166">
        <f t="shared" si="6"/>
        <v>24</v>
      </c>
      <c r="Z170" s="26">
        <f t="shared" si="7"/>
        <v>0</v>
      </c>
      <c r="AA170" s="26">
        <f t="shared" si="8"/>
        <v>0</v>
      </c>
      <c r="AB170" s="26">
        <f t="shared" si="9"/>
        <v>0</v>
      </c>
      <c r="AC170" s="155">
        <v>0.0</v>
      </c>
      <c r="AD170" s="155">
        <v>0.0</v>
      </c>
      <c r="AE170" s="155">
        <v>0.0</v>
      </c>
      <c r="AF170" s="155">
        <v>0.0</v>
      </c>
      <c r="AG170" s="155">
        <v>0.0</v>
      </c>
      <c r="AH170" s="155">
        <v>0.0</v>
      </c>
      <c r="BN170" s="155">
        <v>0.0</v>
      </c>
      <c r="BO170" s="155">
        <v>0.0</v>
      </c>
      <c r="BP170" s="155">
        <v>0.0</v>
      </c>
      <c r="BQ170" s="155">
        <v>0.0</v>
      </c>
      <c r="BR170" s="155">
        <v>0.0</v>
      </c>
      <c r="BS170" s="155">
        <v>0.0</v>
      </c>
      <c r="CV170" s="156">
        <v>0.0</v>
      </c>
      <c r="CW170" s="156">
        <v>0.0</v>
      </c>
      <c r="CX170" s="156">
        <v>0.0</v>
      </c>
      <c r="CY170" s="156">
        <v>0.0</v>
      </c>
      <c r="CZ170" s="156">
        <v>0.0</v>
      </c>
      <c r="DA170" s="156">
        <v>0.0</v>
      </c>
      <c r="EG170" s="156">
        <v>0.0</v>
      </c>
      <c r="EH170" s="156">
        <v>0.0</v>
      </c>
      <c r="EI170" s="156">
        <v>0.0</v>
      </c>
      <c r="EJ170" s="156">
        <v>0.0</v>
      </c>
      <c r="EK170" s="156">
        <v>0.0</v>
      </c>
      <c r="EL170" s="156">
        <v>0.0</v>
      </c>
      <c r="FQ170" s="156">
        <v>0.0</v>
      </c>
      <c r="FR170" s="156">
        <v>0.0</v>
      </c>
      <c r="FS170" s="156">
        <v>0.0</v>
      </c>
      <c r="FT170" s="156">
        <v>0.0</v>
      </c>
      <c r="FU170" s="156">
        <v>0.0</v>
      </c>
      <c r="FV170" s="156">
        <v>0.0</v>
      </c>
      <c r="FW170" s="157"/>
      <c r="FX170" s="157"/>
      <c r="FY170" s="157"/>
      <c r="FZ170" s="157"/>
      <c r="GA170" s="157"/>
      <c r="GB170" s="157"/>
      <c r="GC170" s="157"/>
      <c r="GD170" s="157"/>
      <c r="GE170" s="157"/>
      <c r="GF170" s="157"/>
      <c r="GG170" s="157"/>
      <c r="GH170" s="157"/>
      <c r="GI170" s="157"/>
      <c r="GJ170" s="157"/>
      <c r="GK170" s="157"/>
      <c r="GL170" s="157"/>
      <c r="GM170" s="157"/>
      <c r="GN170" s="157"/>
      <c r="GO170" s="157"/>
      <c r="GP170" s="158"/>
      <c r="GQ170" s="157"/>
      <c r="GR170" s="157"/>
      <c r="GS170" s="157"/>
      <c r="GT170" s="157"/>
      <c r="GU170" s="157"/>
      <c r="GV170" s="157"/>
      <c r="GW170" s="157"/>
      <c r="GX170" s="157"/>
      <c r="GY170" s="157"/>
      <c r="GZ170" s="157"/>
      <c r="HA170" s="157"/>
      <c r="HB170" s="155">
        <v>0.0</v>
      </c>
      <c r="HC170" s="155">
        <v>0.0</v>
      </c>
      <c r="HD170" s="155">
        <v>0.0</v>
      </c>
      <c r="HE170" s="155">
        <v>0.0</v>
      </c>
      <c r="HF170" s="155">
        <v>0.0</v>
      </c>
      <c r="HG170" s="155">
        <v>0.0</v>
      </c>
      <c r="IL170" s="159">
        <v>0.0</v>
      </c>
      <c r="IM170" s="156">
        <v>0.0</v>
      </c>
      <c r="IN170" s="156">
        <v>0.0</v>
      </c>
      <c r="IO170" s="156">
        <v>0.0</v>
      </c>
      <c r="IP170" s="156">
        <v>0.0</v>
      </c>
      <c r="IQ170" s="160">
        <v>0.0</v>
      </c>
      <c r="JH170" s="25"/>
      <c r="JW170" s="159">
        <v>0.0</v>
      </c>
      <c r="JX170" s="156">
        <v>0.0</v>
      </c>
      <c r="JY170" s="156">
        <v>0.0</v>
      </c>
      <c r="JZ170" s="156">
        <v>0.0</v>
      </c>
      <c r="KA170" s="156">
        <v>0.0</v>
      </c>
      <c r="KB170" s="160">
        <v>0.0</v>
      </c>
      <c r="LH170" s="159">
        <f t="shared" si="10"/>
        <v>0</v>
      </c>
      <c r="LI170" s="156">
        <f t="shared" si="11"/>
        <v>0</v>
      </c>
      <c r="LJ170" s="156">
        <f t="shared" si="12"/>
        <v>0</v>
      </c>
      <c r="LK170" s="156">
        <f t="shared" si="13"/>
        <v>0</v>
      </c>
      <c r="LL170" s="156">
        <f t="shared" si="14"/>
        <v>0</v>
      </c>
      <c r="LM170" s="160">
        <f t="shared" si="15"/>
        <v>0</v>
      </c>
      <c r="QX170" s="107">
        <v>45854.0</v>
      </c>
    </row>
    <row r="171">
      <c r="A171" s="12"/>
      <c r="B171" s="12"/>
      <c r="C171" s="12"/>
      <c r="D171" s="12"/>
      <c r="E171" s="12"/>
      <c r="F171" s="12"/>
      <c r="G171" s="12"/>
      <c r="H171" s="12"/>
      <c r="I171" s="143">
        <f t="shared" si="5"/>
        <v>-30</v>
      </c>
      <c r="J171" s="144">
        <v>45861.0</v>
      </c>
      <c r="K171" s="173" t="s">
        <v>61</v>
      </c>
      <c r="L171" s="144">
        <v>45970.0</v>
      </c>
      <c r="M171" s="147" t="s">
        <v>107</v>
      </c>
      <c r="N171" s="148">
        <v>246.0</v>
      </c>
      <c r="O171" s="148">
        <v>30.0</v>
      </c>
      <c r="P171" s="26"/>
      <c r="Q171" s="26"/>
      <c r="R171" s="26"/>
      <c r="S171" s="26"/>
      <c r="T171" s="26"/>
      <c r="U171" s="147" t="s">
        <v>1207</v>
      </c>
      <c r="V171" s="149" t="s">
        <v>1208</v>
      </c>
      <c r="W171" s="198" t="s">
        <v>2303</v>
      </c>
      <c r="X171" s="181">
        <v>30.0</v>
      </c>
      <c r="Y171" s="166">
        <f t="shared" si="6"/>
        <v>30</v>
      </c>
      <c r="Z171" s="26">
        <f t="shared" si="7"/>
        <v>0</v>
      </c>
      <c r="AA171" s="26">
        <f t="shared" si="8"/>
        <v>0</v>
      </c>
      <c r="AB171" s="26">
        <f t="shared" si="9"/>
        <v>0</v>
      </c>
      <c r="AC171" s="155">
        <v>0.0</v>
      </c>
      <c r="AD171" s="155">
        <v>0.0</v>
      </c>
      <c r="AE171" s="155">
        <v>0.0</v>
      </c>
      <c r="AF171" s="155">
        <v>0.0</v>
      </c>
      <c r="AG171" s="155">
        <v>0.0</v>
      </c>
      <c r="AH171" s="155">
        <v>0.0</v>
      </c>
      <c r="BN171" s="155">
        <v>0.0</v>
      </c>
      <c r="BO171" s="155">
        <v>0.0</v>
      </c>
      <c r="BP171" s="155">
        <v>0.0</v>
      </c>
      <c r="BQ171" s="155">
        <v>0.0</v>
      </c>
      <c r="BR171" s="155">
        <v>0.0</v>
      </c>
      <c r="BS171" s="155">
        <v>0.0</v>
      </c>
      <c r="CV171" s="156">
        <v>0.0</v>
      </c>
      <c r="CW171" s="156">
        <v>0.0</v>
      </c>
      <c r="CX171" s="156">
        <v>0.0</v>
      </c>
      <c r="CY171" s="156">
        <v>0.0</v>
      </c>
      <c r="CZ171" s="156">
        <v>0.0</v>
      </c>
      <c r="DA171" s="156">
        <v>0.0</v>
      </c>
      <c r="EG171" s="156">
        <v>0.0</v>
      </c>
      <c r="EH171" s="156">
        <v>0.0</v>
      </c>
      <c r="EI171" s="156">
        <v>0.0</v>
      </c>
      <c r="EJ171" s="156">
        <v>0.0</v>
      </c>
      <c r="EK171" s="156">
        <v>0.0</v>
      </c>
      <c r="EL171" s="156">
        <v>0.0</v>
      </c>
      <c r="FQ171" s="156">
        <v>0.0</v>
      </c>
      <c r="FR171" s="156">
        <v>0.0</v>
      </c>
      <c r="FS171" s="156">
        <v>0.0</v>
      </c>
      <c r="FT171" s="156">
        <v>0.0</v>
      </c>
      <c r="FU171" s="156">
        <v>0.0</v>
      </c>
      <c r="FV171" s="156">
        <v>0.0</v>
      </c>
      <c r="FW171" s="157"/>
      <c r="FX171" s="157"/>
      <c r="FY171" s="157"/>
      <c r="FZ171" s="157"/>
      <c r="GA171" s="157"/>
      <c r="GB171" s="157"/>
      <c r="GC171" s="157"/>
      <c r="GD171" s="157"/>
      <c r="GE171" s="157"/>
      <c r="GF171" s="157"/>
      <c r="GG171" s="157"/>
      <c r="GH171" s="157"/>
      <c r="GI171" s="157"/>
      <c r="GJ171" s="157"/>
      <c r="GK171" s="157"/>
      <c r="GL171" s="157"/>
      <c r="GM171" s="157"/>
      <c r="GN171" s="157"/>
      <c r="GO171" s="157"/>
      <c r="GP171" s="158"/>
      <c r="GQ171" s="157"/>
      <c r="GR171" s="157"/>
      <c r="GS171" s="157"/>
      <c r="GT171" s="157"/>
      <c r="GU171" s="157"/>
      <c r="GV171" s="157"/>
      <c r="GW171" s="157"/>
      <c r="GX171" s="157"/>
      <c r="GY171" s="157"/>
      <c r="GZ171" s="157"/>
      <c r="HA171" s="157"/>
      <c r="HB171" s="155">
        <v>0.0</v>
      </c>
      <c r="HC171" s="155">
        <v>0.0</v>
      </c>
      <c r="HD171" s="155">
        <v>0.0</v>
      </c>
      <c r="HE171" s="155">
        <v>0.0</v>
      </c>
      <c r="HF171" s="155">
        <v>0.0</v>
      </c>
      <c r="HG171" s="155">
        <v>0.0</v>
      </c>
      <c r="IL171" s="159">
        <v>0.0</v>
      </c>
      <c r="IM171" s="156">
        <v>0.0</v>
      </c>
      <c r="IN171" s="156">
        <v>0.0</v>
      </c>
      <c r="IO171" s="156">
        <v>0.0</v>
      </c>
      <c r="IP171" s="156">
        <v>0.0</v>
      </c>
      <c r="IQ171" s="160">
        <v>0.0</v>
      </c>
      <c r="JH171" s="25"/>
      <c r="JW171" s="159">
        <v>0.0</v>
      </c>
      <c r="JX171" s="156">
        <v>0.0</v>
      </c>
      <c r="JY171" s="156">
        <v>0.0</v>
      </c>
      <c r="JZ171" s="156">
        <v>0.0</v>
      </c>
      <c r="KA171" s="156">
        <v>0.0</v>
      </c>
      <c r="KB171" s="160">
        <v>0.0</v>
      </c>
      <c r="LH171" s="159">
        <f t="shared" si="10"/>
        <v>0</v>
      </c>
      <c r="LI171" s="156">
        <f t="shared" si="11"/>
        <v>0</v>
      </c>
      <c r="LJ171" s="156">
        <f t="shared" si="12"/>
        <v>0</v>
      </c>
      <c r="LK171" s="156">
        <f t="shared" si="13"/>
        <v>0</v>
      </c>
      <c r="LL171" s="156">
        <f t="shared" si="14"/>
        <v>0</v>
      </c>
      <c r="LM171" s="160">
        <f t="shared" si="15"/>
        <v>0</v>
      </c>
      <c r="QX171" s="107">
        <v>45854.0</v>
      </c>
    </row>
    <row r="172">
      <c r="A172" s="12"/>
      <c r="B172" s="12"/>
      <c r="C172" s="12"/>
      <c r="D172" s="12"/>
      <c r="E172" s="12"/>
      <c r="F172" s="12"/>
      <c r="G172" s="12"/>
      <c r="H172" s="12"/>
      <c r="I172" s="143">
        <f t="shared" si="5"/>
        <v>-30</v>
      </c>
      <c r="J172" s="144">
        <v>45859.0</v>
      </c>
      <c r="K172" s="173" t="s">
        <v>61</v>
      </c>
      <c r="L172" s="144">
        <v>45940.0</v>
      </c>
      <c r="M172" s="147" t="s">
        <v>720</v>
      </c>
      <c r="N172" s="148">
        <v>246.0</v>
      </c>
      <c r="O172" s="148">
        <v>30.0</v>
      </c>
      <c r="P172" s="26"/>
      <c r="Q172" s="26"/>
      <c r="R172" s="26"/>
      <c r="S172" s="26"/>
      <c r="T172" s="26"/>
      <c r="U172" s="147" t="s">
        <v>2310</v>
      </c>
      <c r="V172" s="197"/>
      <c r="W172" s="198" t="s">
        <v>2311</v>
      </c>
      <c r="X172" s="181">
        <v>30.0</v>
      </c>
      <c r="Y172" s="166">
        <f t="shared" si="6"/>
        <v>30</v>
      </c>
      <c r="Z172" s="26">
        <f t="shared" si="7"/>
        <v>0</v>
      </c>
      <c r="AA172" s="26">
        <f t="shared" si="8"/>
        <v>0</v>
      </c>
      <c r="AB172" s="26">
        <f t="shared" si="9"/>
        <v>0</v>
      </c>
      <c r="AC172" s="155">
        <v>0.0</v>
      </c>
      <c r="AD172" s="155">
        <v>0.0</v>
      </c>
      <c r="AE172" s="155">
        <v>0.0</v>
      </c>
      <c r="AF172" s="155">
        <v>0.0</v>
      </c>
      <c r="AG172" s="155">
        <v>0.0</v>
      </c>
      <c r="AH172" s="155">
        <v>0.0</v>
      </c>
      <c r="BN172" s="155">
        <v>0.0</v>
      </c>
      <c r="BO172" s="155">
        <v>0.0</v>
      </c>
      <c r="BP172" s="155">
        <v>0.0</v>
      </c>
      <c r="BQ172" s="155">
        <v>0.0</v>
      </c>
      <c r="BR172" s="155">
        <v>0.0</v>
      </c>
      <c r="BS172" s="155">
        <v>0.0</v>
      </c>
      <c r="CV172" s="156">
        <v>0.0</v>
      </c>
      <c r="CW172" s="156">
        <v>0.0</v>
      </c>
      <c r="CX172" s="156">
        <v>0.0</v>
      </c>
      <c r="CY172" s="156">
        <v>0.0</v>
      </c>
      <c r="CZ172" s="156">
        <v>0.0</v>
      </c>
      <c r="DA172" s="156">
        <v>0.0</v>
      </c>
      <c r="EG172" s="156">
        <v>0.0</v>
      </c>
      <c r="EH172" s="156">
        <v>0.0</v>
      </c>
      <c r="EI172" s="156">
        <v>0.0</v>
      </c>
      <c r="EJ172" s="156">
        <v>0.0</v>
      </c>
      <c r="EK172" s="156">
        <v>0.0</v>
      </c>
      <c r="EL172" s="156">
        <v>0.0</v>
      </c>
      <c r="FQ172" s="156">
        <v>0.0</v>
      </c>
      <c r="FR172" s="156">
        <v>0.0</v>
      </c>
      <c r="FS172" s="156">
        <v>0.0</v>
      </c>
      <c r="FT172" s="156">
        <v>0.0</v>
      </c>
      <c r="FU172" s="156">
        <v>0.0</v>
      </c>
      <c r="FV172" s="156">
        <v>0.0</v>
      </c>
      <c r="FW172" s="157"/>
      <c r="FX172" s="157"/>
      <c r="FY172" s="157"/>
      <c r="FZ172" s="157"/>
      <c r="GA172" s="157"/>
      <c r="GB172" s="157"/>
      <c r="GC172" s="157"/>
      <c r="GD172" s="157"/>
      <c r="GE172" s="157"/>
      <c r="GF172" s="157"/>
      <c r="GG172" s="157"/>
      <c r="GH172" s="157"/>
      <c r="GI172" s="157"/>
      <c r="GJ172" s="157"/>
      <c r="GK172" s="157"/>
      <c r="GL172" s="157"/>
      <c r="GM172" s="157"/>
      <c r="GN172" s="157"/>
      <c r="GO172" s="157"/>
      <c r="GP172" s="158"/>
      <c r="GQ172" s="157"/>
      <c r="GR172" s="157"/>
      <c r="GS172" s="157"/>
      <c r="GT172" s="157"/>
      <c r="GU172" s="157"/>
      <c r="GV172" s="157"/>
      <c r="GW172" s="157"/>
      <c r="GX172" s="157"/>
      <c r="GY172" s="157"/>
      <c r="GZ172" s="157"/>
      <c r="HA172" s="157"/>
      <c r="HB172" s="155">
        <v>0.0</v>
      </c>
      <c r="HC172" s="155">
        <v>0.0</v>
      </c>
      <c r="HD172" s="155">
        <v>0.0</v>
      </c>
      <c r="HE172" s="155">
        <v>0.0</v>
      </c>
      <c r="HF172" s="155">
        <v>0.0</v>
      </c>
      <c r="HG172" s="155">
        <v>0.0</v>
      </c>
      <c r="IL172" s="159">
        <v>0.0</v>
      </c>
      <c r="IM172" s="156">
        <v>0.0</v>
      </c>
      <c r="IN172" s="156">
        <v>0.0</v>
      </c>
      <c r="IO172" s="156">
        <v>0.0</v>
      </c>
      <c r="IP172" s="156">
        <v>0.0</v>
      </c>
      <c r="IQ172" s="160">
        <v>0.0</v>
      </c>
      <c r="JH172" s="25"/>
      <c r="JW172" s="159">
        <v>0.0</v>
      </c>
      <c r="JX172" s="156">
        <v>0.0</v>
      </c>
      <c r="JY172" s="156">
        <v>0.0</v>
      </c>
      <c r="JZ172" s="156">
        <v>0.0</v>
      </c>
      <c r="KA172" s="156">
        <v>0.0</v>
      </c>
      <c r="KB172" s="160">
        <v>0.0</v>
      </c>
      <c r="LH172" s="159">
        <f t="shared" si="10"/>
        <v>0</v>
      </c>
      <c r="LI172" s="156">
        <f t="shared" si="11"/>
        <v>0</v>
      </c>
      <c r="LJ172" s="156">
        <f t="shared" si="12"/>
        <v>0</v>
      </c>
      <c r="LK172" s="156">
        <f t="shared" si="13"/>
        <v>0</v>
      </c>
      <c r="LL172" s="156">
        <f t="shared" si="14"/>
        <v>0</v>
      </c>
      <c r="LM172" s="160">
        <f t="shared" si="15"/>
        <v>0</v>
      </c>
      <c r="QX172" s="107">
        <v>45855.0</v>
      </c>
    </row>
    <row r="173">
      <c r="A173" s="12"/>
      <c r="B173" s="12"/>
      <c r="C173" s="12"/>
      <c r="D173" s="12"/>
      <c r="E173" s="12"/>
      <c r="F173" s="12"/>
      <c r="G173" s="12"/>
      <c r="H173" s="12"/>
      <c r="I173" s="143">
        <f t="shared" si="5"/>
        <v>-8</v>
      </c>
      <c r="J173" s="144">
        <v>45859.0</v>
      </c>
      <c r="K173" s="49" t="s">
        <v>61</v>
      </c>
      <c r="L173" s="144">
        <v>45916.0</v>
      </c>
      <c r="M173" s="147" t="s">
        <v>2320</v>
      </c>
      <c r="N173" s="148">
        <v>246.0</v>
      </c>
      <c r="O173" s="148">
        <v>30.0</v>
      </c>
      <c r="P173" s="26"/>
      <c r="Q173" s="26"/>
      <c r="R173" s="26"/>
      <c r="S173" s="26"/>
      <c r="T173" s="26"/>
      <c r="U173" s="147" t="s">
        <v>1131</v>
      </c>
      <c r="V173" s="149" t="s">
        <v>1296</v>
      </c>
      <c r="W173" s="198" t="s">
        <v>2321</v>
      </c>
      <c r="X173" s="181">
        <v>8.0</v>
      </c>
      <c r="Y173" s="166">
        <f t="shared" si="6"/>
        <v>8</v>
      </c>
      <c r="Z173" s="26">
        <f t="shared" si="7"/>
        <v>0</v>
      </c>
      <c r="AA173" s="26">
        <f t="shared" si="8"/>
        <v>0</v>
      </c>
      <c r="AB173" s="26">
        <f t="shared" si="9"/>
        <v>0</v>
      </c>
      <c r="AC173" s="155">
        <v>0.0</v>
      </c>
      <c r="AD173" s="155">
        <v>0.0</v>
      </c>
      <c r="AE173" s="155">
        <v>0.0</v>
      </c>
      <c r="AF173" s="155">
        <v>0.0</v>
      </c>
      <c r="AG173" s="155">
        <v>0.0</v>
      </c>
      <c r="AH173" s="155">
        <v>0.0</v>
      </c>
      <c r="BN173" s="155">
        <v>0.0</v>
      </c>
      <c r="BO173" s="155">
        <v>0.0</v>
      </c>
      <c r="BP173" s="155">
        <v>0.0</v>
      </c>
      <c r="BQ173" s="155">
        <v>0.0</v>
      </c>
      <c r="BR173" s="155">
        <v>0.0</v>
      </c>
      <c r="BS173" s="155">
        <v>0.0</v>
      </c>
      <c r="CV173" s="156">
        <v>0.0</v>
      </c>
      <c r="CW173" s="156">
        <v>0.0</v>
      </c>
      <c r="CX173" s="156">
        <v>0.0</v>
      </c>
      <c r="CY173" s="156">
        <v>0.0</v>
      </c>
      <c r="CZ173" s="156">
        <v>0.0</v>
      </c>
      <c r="DA173" s="156">
        <v>0.0</v>
      </c>
      <c r="EG173" s="156">
        <v>0.0</v>
      </c>
      <c r="EH173" s="156">
        <v>0.0</v>
      </c>
      <c r="EI173" s="156">
        <v>0.0</v>
      </c>
      <c r="EJ173" s="156">
        <v>0.0</v>
      </c>
      <c r="EK173" s="156">
        <v>0.0</v>
      </c>
      <c r="EL173" s="156">
        <v>0.0</v>
      </c>
      <c r="FQ173" s="156">
        <v>0.0</v>
      </c>
      <c r="FR173" s="156">
        <v>0.0</v>
      </c>
      <c r="FS173" s="156">
        <v>0.0</v>
      </c>
      <c r="FT173" s="156">
        <v>0.0</v>
      </c>
      <c r="FU173" s="156">
        <v>0.0</v>
      </c>
      <c r="FV173" s="156">
        <v>0.0</v>
      </c>
      <c r="FW173" s="157"/>
      <c r="FX173" s="157"/>
      <c r="FY173" s="157"/>
      <c r="FZ173" s="157"/>
      <c r="GA173" s="157"/>
      <c r="GB173" s="157"/>
      <c r="GC173" s="157"/>
      <c r="GD173" s="157"/>
      <c r="GE173" s="157"/>
      <c r="GF173" s="157"/>
      <c r="GG173" s="157"/>
      <c r="GH173" s="157"/>
      <c r="GI173" s="157"/>
      <c r="GJ173" s="157"/>
      <c r="GK173" s="157"/>
      <c r="GL173" s="157"/>
      <c r="GM173" s="157"/>
      <c r="GN173" s="157"/>
      <c r="GO173" s="157"/>
      <c r="GP173" s="158"/>
      <c r="GQ173" s="157"/>
      <c r="GR173" s="157"/>
      <c r="GS173" s="157"/>
      <c r="GT173" s="157"/>
      <c r="GU173" s="157"/>
      <c r="GV173" s="157"/>
      <c r="GW173" s="157"/>
      <c r="GX173" s="157"/>
      <c r="GY173" s="157"/>
      <c r="GZ173" s="157"/>
      <c r="HA173" s="157"/>
      <c r="HB173" s="155">
        <v>0.0</v>
      </c>
      <c r="HC173" s="155">
        <v>0.0</v>
      </c>
      <c r="HD173" s="155">
        <v>0.0</v>
      </c>
      <c r="HE173" s="155">
        <v>0.0</v>
      </c>
      <c r="HF173" s="155">
        <v>0.0</v>
      </c>
      <c r="HG173" s="155">
        <v>0.0</v>
      </c>
      <c r="IL173" s="159">
        <v>0.0</v>
      </c>
      <c r="IM173" s="156">
        <v>0.0</v>
      </c>
      <c r="IN173" s="156">
        <v>0.0</v>
      </c>
      <c r="IO173" s="156">
        <v>0.0</v>
      </c>
      <c r="IP173" s="156">
        <v>0.0</v>
      </c>
      <c r="IQ173" s="160">
        <v>0.0</v>
      </c>
      <c r="JH173" s="25"/>
      <c r="JW173" s="159">
        <v>0.0</v>
      </c>
      <c r="JX173" s="156">
        <v>0.0</v>
      </c>
      <c r="JY173" s="156">
        <v>0.0</v>
      </c>
      <c r="JZ173" s="156">
        <v>0.0</v>
      </c>
      <c r="KA173" s="156">
        <v>0.0</v>
      </c>
      <c r="KB173" s="160">
        <v>0.0</v>
      </c>
      <c r="LH173" s="159">
        <f t="shared" si="10"/>
        <v>0</v>
      </c>
      <c r="LI173" s="156">
        <f t="shared" si="11"/>
        <v>0</v>
      </c>
      <c r="LJ173" s="156">
        <f t="shared" si="12"/>
        <v>0</v>
      </c>
      <c r="LK173" s="156">
        <f t="shared" si="13"/>
        <v>0</v>
      </c>
      <c r="LL173" s="156">
        <f t="shared" si="14"/>
        <v>0</v>
      </c>
      <c r="LM173" s="160">
        <f t="shared" si="15"/>
        <v>0</v>
      </c>
      <c r="QX173" s="107">
        <v>45855.0</v>
      </c>
    </row>
    <row r="174">
      <c r="A174" s="12"/>
      <c r="B174" s="12"/>
      <c r="C174" s="12"/>
      <c r="D174" s="12"/>
      <c r="E174" s="12"/>
      <c r="F174" s="12"/>
      <c r="G174" s="12"/>
      <c r="H174" s="12"/>
      <c r="I174" s="143">
        <f t="shared" si="5"/>
        <v>-30</v>
      </c>
      <c r="J174" s="144">
        <v>45859.0</v>
      </c>
      <c r="K174" s="173" t="s">
        <v>61</v>
      </c>
      <c r="L174" s="144">
        <v>45976.0</v>
      </c>
      <c r="M174" s="147" t="s">
        <v>107</v>
      </c>
      <c r="N174" s="148">
        <v>246.0</v>
      </c>
      <c r="O174" s="148">
        <v>30.0</v>
      </c>
      <c r="P174" s="26"/>
      <c r="Q174" s="26"/>
      <c r="R174" s="26"/>
      <c r="S174" s="26"/>
      <c r="T174" s="26"/>
      <c r="U174" s="147" t="s">
        <v>955</v>
      </c>
      <c r="V174" s="149" t="s">
        <v>563</v>
      </c>
      <c r="W174" s="150" t="s">
        <v>2332</v>
      </c>
      <c r="X174" s="181">
        <v>30.0</v>
      </c>
      <c r="Y174" s="166">
        <f t="shared" si="6"/>
        <v>30</v>
      </c>
      <c r="Z174" s="26">
        <f t="shared" si="7"/>
        <v>0</v>
      </c>
      <c r="AA174" s="26">
        <f t="shared" si="8"/>
        <v>0</v>
      </c>
      <c r="AB174" s="26">
        <f t="shared" si="9"/>
        <v>0</v>
      </c>
      <c r="AC174" s="155">
        <v>0.0</v>
      </c>
      <c r="AD174" s="155">
        <v>0.0</v>
      </c>
      <c r="AE174" s="155">
        <v>0.0</v>
      </c>
      <c r="AF174" s="155">
        <v>0.0</v>
      </c>
      <c r="AG174" s="155">
        <v>0.0</v>
      </c>
      <c r="AH174" s="155">
        <v>0.0</v>
      </c>
      <c r="BN174" s="155">
        <v>0.0</v>
      </c>
      <c r="BO174" s="155">
        <v>0.0</v>
      </c>
      <c r="BP174" s="155">
        <v>0.0</v>
      </c>
      <c r="BQ174" s="155">
        <v>0.0</v>
      </c>
      <c r="BR174" s="155">
        <v>0.0</v>
      </c>
      <c r="BS174" s="155">
        <v>0.0</v>
      </c>
      <c r="CV174" s="156">
        <v>0.0</v>
      </c>
      <c r="CW174" s="156">
        <v>0.0</v>
      </c>
      <c r="CX174" s="156">
        <v>0.0</v>
      </c>
      <c r="CY174" s="156">
        <v>0.0</v>
      </c>
      <c r="CZ174" s="156">
        <v>0.0</v>
      </c>
      <c r="DA174" s="156">
        <v>0.0</v>
      </c>
      <c r="EG174" s="156">
        <v>0.0</v>
      </c>
      <c r="EH174" s="156">
        <v>0.0</v>
      </c>
      <c r="EI174" s="156">
        <v>0.0</v>
      </c>
      <c r="EJ174" s="156">
        <v>0.0</v>
      </c>
      <c r="EK174" s="156">
        <v>0.0</v>
      </c>
      <c r="EL174" s="156">
        <v>0.0</v>
      </c>
      <c r="FQ174" s="156">
        <v>0.0</v>
      </c>
      <c r="FR174" s="156">
        <v>0.0</v>
      </c>
      <c r="FS174" s="156">
        <v>0.0</v>
      </c>
      <c r="FT174" s="156">
        <v>0.0</v>
      </c>
      <c r="FU174" s="156">
        <v>0.0</v>
      </c>
      <c r="FV174" s="156">
        <v>0.0</v>
      </c>
      <c r="FW174" s="157"/>
      <c r="FX174" s="157"/>
      <c r="FY174" s="157"/>
      <c r="FZ174" s="157"/>
      <c r="GA174" s="157"/>
      <c r="GB174" s="157"/>
      <c r="GC174" s="157"/>
      <c r="GD174" s="157"/>
      <c r="GE174" s="157"/>
      <c r="GF174" s="157"/>
      <c r="GG174" s="157"/>
      <c r="GH174" s="157"/>
      <c r="GI174" s="157"/>
      <c r="GJ174" s="157"/>
      <c r="GK174" s="157"/>
      <c r="GL174" s="157"/>
      <c r="GM174" s="157"/>
      <c r="GN174" s="157"/>
      <c r="GO174" s="157"/>
      <c r="GP174" s="158"/>
      <c r="GQ174" s="157"/>
      <c r="GR174" s="157"/>
      <c r="GS174" s="157"/>
      <c r="GT174" s="157"/>
      <c r="GU174" s="157"/>
      <c r="GV174" s="157"/>
      <c r="GW174" s="157"/>
      <c r="GX174" s="157"/>
      <c r="GY174" s="157"/>
      <c r="GZ174" s="157"/>
      <c r="HA174" s="157"/>
      <c r="HB174" s="155">
        <v>0.0</v>
      </c>
      <c r="HC174" s="155">
        <v>0.0</v>
      </c>
      <c r="HD174" s="155">
        <v>0.0</v>
      </c>
      <c r="HE174" s="155">
        <v>0.0</v>
      </c>
      <c r="HF174" s="155">
        <v>0.0</v>
      </c>
      <c r="HG174" s="155">
        <v>0.0</v>
      </c>
      <c r="IL174" s="159">
        <v>0.0</v>
      </c>
      <c r="IM174" s="156">
        <v>0.0</v>
      </c>
      <c r="IN174" s="156">
        <v>0.0</v>
      </c>
      <c r="IO174" s="156">
        <v>0.0</v>
      </c>
      <c r="IP174" s="156">
        <v>0.0</v>
      </c>
      <c r="IQ174" s="160">
        <v>0.0</v>
      </c>
      <c r="JH174" s="25"/>
      <c r="JW174" s="159">
        <v>0.0</v>
      </c>
      <c r="JX174" s="156">
        <v>0.0</v>
      </c>
      <c r="JY174" s="156">
        <v>0.0</v>
      </c>
      <c r="JZ174" s="156">
        <v>0.0</v>
      </c>
      <c r="KA174" s="156">
        <v>0.0</v>
      </c>
      <c r="KB174" s="160">
        <v>0.0</v>
      </c>
      <c r="LH174" s="159">
        <f t="shared" si="10"/>
        <v>0</v>
      </c>
      <c r="LI174" s="156">
        <f t="shared" si="11"/>
        <v>0</v>
      </c>
      <c r="LJ174" s="156">
        <f t="shared" si="12"/>
        <v>0</v>
      </c>
      <c r="LK174" s="156">
        <f t="shared" si="13"/>
        <v>0</v>
      </c>
      <c r="LL174" s="156">
        <f t="shared" si="14"/>
        <v>0</v>
      </c>
      <c r="LM174" s="160">
        <f t="shared" si="15"/>
        <v>0</v>
      </c>
      <c r="QX174" s="107">
        <v>45856.0</v>
      </c>
    </row>
    <row r="175">
      <c r="A175" s="12"/>
      <c r="B175" s="12"/>
      <c r="C175" s="12"/>
      <c r="D175" s="12"/>
      <c r="E175" s="12"/>
      <c r="F175" s="12"/>
      <c r="G175" s="12"/>
      <c r="H175" s="12"/>
      <c r="I175" s="143">
        <f t="shared" si="5"/>
        <v>-30</v>
      </c>
      <c r="J175" s="144">
        <v>45857.0</v>
      </c>
      <c r="K175" s="173" t="s">
        <v>61</v>
      </c>
      <c r="L175" s="144">
        <v>45949.0</v>
      </c>
      <c r="M175" s="147" t="s">
        <v>2340</v>
      </c>
      <c r="N175" s="148">
        <v>357.0</v>
      </c>
      <c r="O175" s="148">
        <v>30.0</v>
      </c>
      <c r="P175" s="26"/>
      <c r="Q175" s="26"/>
      <c r="R175" s="26"/>
      <c r="S175" s="26"/>
      <c r="T175" s="26"/>
      <c r="U175" s="147" t="s">
        <v>845</v>
      </c>
      <c r="V175" s="197"/>
      <c r="W175" s="198" t="s">
        <v>2343</v>
      </c>
      <c r="X175" s="181">
        <v>30.0</v>
      </c>
      <c r="Y175" s="166">
        <f t="shared" si="6"/>
        <v>30</v>
      </c>
      <c r="Z175" s="26">
        <f t="shared" si="7"/>
        <v>0</v>
      </c>
      <c r="AA175" s="26">
        <f t="shared" si="8"/>
        <v>0</v>
      </c>
      <c r="AB175" s="26">
        <f t="shared" si="9"/>
        <v>0</v>
      </c>
      <c r="AC175" s="155">
        <v>0.0</v>
      </c>
      <c r="AD175" s="155">
        <v>0.0</v>
      </c>
      <c r="AE175" s="155">
        <v>0.0</v>
      </c>
      <c r="AF175" s="155">
        <v>0.0</v>
      </c>
      <c r="AG175" s="155">
        <v>0.0</v>
      </c>
      <c r="AH175" s="155">
        <v>0.0</v>
      </c>
      <c r="BN175" s="155">
        <v>0.0</v>
      </c>
      <c r="BO175" s="155">
        <v>0.0</v>
      </c>
      <c r="BP175" s="155">
        <v>0.0</v>
      </c>
      <c r="BQ175" s="155">
        <v>0.0</v>
      </c>
      <c r="BR175" s="155">
        <v>0.0</v>
      </c>
      <c r="BS175" s="155">
        <v>0.0</v>
      </c>
      <c r="CV175" s="156">
        <v>0.0</v>
      </c>
      <c r="CW175" s="156">
        <v>0.0</v>
      </c>
      <c r="CX175" s="156">
        <v>0.0</v>
      </c>
      <c r="CY175" s="156">
        <v>0.0</v>
      </c>
      <c r="CZ175" s="156">
        <v>0.0</v>
      </c>
      <c r="DA175" s="156">
        <v>0.0</v>
      </c>
      <c r="EG175" s="156">
        <v>0.0</v>
      </c>
      <c r="EH175" s="156">
        <v>0.0</v>
      </c>
      <c r="EI175" s="156">
        <v>0.0</v>
      </c>
      <c r="EJ175" s="156">
        <v>0.0</v>
      </c>
      <c r="EK175" s="156">
        <v>0.0</v>
      </c>
      <c r="EL175" s="156">
        <v>0.0</v>
      </c>
      <c r="FQ175" s="156">
        <v>0.0</v>
      </c>
      <c r="FR175" s="156">
        <v>0.0</v>
      </c>
      <c r="FS175" s="156">
        <v>0.0</v>
      </c>
      <c r="FT175" s="156">
        <v>0.0</v>
      </c>
      <c r="FU175" s="156">
        <v>0.0</v>
      </c>
      <c r="FV175" s="156">
        <v>0.0</v>
      </c>
      <c r="FW175" s="157"/>
      <c r="FX175" s="157"/>
      <c r="FY175" s="157"/>
      <c r="FZ175" s="157"/>
      <c r="GA175" s="157"/>
      <c r="GB175" s="157"/>
      <c r="GC175" s="157"/>
      <c r="GD175" s="157"/>
      <c r="GE175" s="157"/>
      <c r="GF175" s="157"/>
      <c r="GG175" s="157"/>
      <c r="GH175" s="157"/>
      <c r="GI175" s="157"/>
      <c r="GJ175" s="157"/>
      <c r="GK175" s="157"/>
      <c r="GL175" s="157"/>
      <c r="GM175" s="157"/>
      <c r="GN175" s="157"/>
      <c r="GO175" s="157"/>
      <c r="GP175" s="158"/>
      <c r="GQ175" s="157"/>
      <c r="GR175" s="157"/>
      <c r="GS175" s="157"/>
      <c r="GT175" s="157"/>
      <c r="GU175" s="157"/>
      <c r="GV175" s="157"/>
      <c r="GW175" s="157"/>
      <c r="GX175" s="157"/>
      <c r="GY175" s="157"/>
      <c r="GZ175" s="157"/>
      <c r="HA175" s="157"/>
      <c r="HB175" s="155">
        <v>0.0</v>
      </c>
      <c r="HC175" s="155">
        <v>0.0</v>
      </c>
      <c r="HD175" s="155">
        <v>0.0</v>
      </c>
      <c r="HE175" s="155">
        <v>0.0</v>
      </c>
      <c r="HF175" s="155">
        <v>0.0</v>
      </c>
      <c r="HG175" s="155">
        <v>0.0</v>
      </c>
      <c r="IL175" s="159">
        <v>0.0</v>
      </c>
      <c r="IM175" s="156">
        <v>0.0</v>
      </c>
      <c r="IN175" s="156">
        <v>0.0</v>
      </c>
      <c r="IO175" s="156">
        <v>0.0</v>
      </c>
      <c r="IP175" s="156">
        <v>0.0</v>
      </c>
      <c r="IQ175" s="160">
        <v>0.0</v>
      </c>
      <c r="JH175" s="25"/>
      <c r="JW175" s="159">
        <v>0.0</v>
      </c>
      <c r="JX175" s="156">
        <v>0.0</v>
      </c>
      <c r="JY175" s="156">
        <v>0.0</v>
      </c>
      <c r="JZ175" s="156">
        <v>0.0</v>
      </c>
      <c r="KA175" s="156">
        <v>0.0</v>
      </c>
      <c r="KB175" s="160">
        <v>0.0</v>
      </c>
      <c r="LH175" s="159">
        <f t="shared" si="10"/>
        <v>0</v>
      </c>
      <c r="LI175" s="156">
        <f t="shared" si="11"/>
        <v>0</v>
      </c>
      <c r="LJ175" s="156">
        <f t="shared" si="12"/>
        <v>0</v>
      </c>
      <c r="LK175" s="156">
        <f t="shared" si="13"/>
        <v>0</v>
      </c>
      <c r="LL175" s="156">
        <f t="shared" si="14"/>
        <v>0</v>
      </c>
      <c r="LM175" s="160">
        <f t="shared" si="15"/>
        <v>0</v>
      </c>
      <c r="QX175" s="107">
        <v>45856.0</v>
      </c>
    </row>
    <row r="176">
      <c r="A176" s="12"/>
      <c r="B176" s="12"/>
      <c r="C176" s="12"/>
      <c r="D176" s="12"/>
      <c r="E176" s="12"/>
      <c r="F176" s="12"/>
      <c r="G176" s="12"/>
      <c r="H176" s="12"/>
      <c r="I176" s="143">
        <f t="shared" si="5"/>
        <v>-3</v>
      </c>
      <c r="J176" s="144">
        <v>45859.0</v>
      </c>
      <c r="K176" s="49" t="s">
        <v>61</v>
      </c>
      <c r="L176" s="144">
        <v>45877.0</v>
      </c>
      <c r="M176" s="147" t="s">
        <v>348</v>
      </c>
      <c r="N176" s="148">
        <v>246.0</v>
      </c>
      <c r="O176" s="148">
        <v>30.0</v>
      </c>
      <c r="P176" s="26"/>
      <c r="Q176" s="26"/>
      <c r="R176" s="26"/>
      <c r="S176" s="26"/>
      <c r="T176" s="26"/>
      <c r="U176" s="147" t="s">
        <v>1207</v>
      </c>
      <c r="V176" s="149" t="s">
        <v>1208</v>
      </c>
      <c r="W176" s="198" t="s">
        <v>2350</v>
      </c>
      <c r="X176" s="181">
        <v>3.0</v>
      </c>
      <c r="Y176" s="166">
        <f t="shared" si="6"/>
        <v>3</v>
      </c>
      <c r="Z176" s="26">
        <f t="shared" si="7"/>
        <v>0</v>
      </c>
      <c r="AA176" s="26">
        <f t="shared" si="8"/>
        <v>0</v>
      </c>
      <c r="AB176" s="26">
        <f t="shared" si="9"/>
        <v>0</v>
      </c>
      <c r="AC176" s="155">
        <v>0.0</v>
      </c>
      <c r="AD176" s="155">
        <v>0.0</v>
      </c>
      <c r="AE176" s="155">
        <v>0.0</v>
      </c>
      <c r="AF176" s="155">
        <v>0.0</v>
      </c>
      <c r="AG176" s="155">
        <v>0.0</v>
      </c>
      <c r="AH176" s="155">
        <v>0.0</v>
      </c>
      <c r="BN176" s="155">
        <v>0.0</v>
      </c>
      <c r="BO176" s="155">
        <v>0.0</v>
      </c>
      <c r="BP176" s="155">
        <v>0.0</v>
      </c>
      <c r="BQ176" s="155">
        <v>0.0</v>
      </c>
      <c r="BR176" s="155">
        <v>0.0</v>
      </c>
      <c r="BS176" s="155">
        <v>0.0</v>
      </c>
      <c r="CV176" s="156">
        <v>0.0</v>
      </c>
      <c r="CW176" s="156">
        <v>0.0</v>
      </c>
      <c r="CX176" s="156">
        <v>0.0</v>
      </c>
      <c r="CY176" s="156">
        <v>0.0</v>
      </c>
      <c r="CZ176" s="156">
        <v>0.0</v>
      </c>
      <c r="DA176" s="156">
        <v>0.0</v>
      </c>
      <c r="EG176" s="156">
        <v>0.0</v>
      </c>
      <c r="EH176" s="156">
        <v>0.0</v>
      </c>
      <c r="EI176" s="156">
        <v>0.0</v>
      </c>
      <c r="EJ176" s="156">
        <v>0.0</v>
      </c>
      <c r="EK176" s="156">
        <v>0.0</v>
      </c>
      <c r="EL176" s="156">
        <v>0.0</v>
      </c>
      <c r="FQ176" s="156">
        <v>0.0</v>
      </c>
      <c r="FR176" s="156">
        <v>0.0</v>
      </c>
      <c r="FS176" s="156">
        <v>0.0</v>
      </c>
      <c r="FT176" s="156">
        <v>0.0</v>
      </c>
      <c r="FU176" s="156">
        <v>0.0</v>
      </c>
      <c r="FV176" s="156">
        <v>0.0</v>
      </c>
      <c r="FW176" s="157"/>
      <c r="FX176" s="157"/>
      <c r="FY176" s="157"/>
      <c r="FZ176" s="157"/>
      <c r="GA176" s="157"/>
      <c r="GB176" s="157"/>
      <c r="GC176" s="157"/>
      <c r="GD176" s="157"/>
      <c r="GE176" s="157"/>
      <c r="GF176" s="157"/>
      <c r="GG176" s="157"/>
      <c r="GH176" s="157"/>
      <c r="GI176" s="157"/>
      <c r="GJ176" s="157"/>
      <c r="GK176" s="157"/>
      <c r="GL176" s="157"/>
      <c r="GM176" s="157"/>
      <c r="GN176" s="157"/>
      <c r="GO176" s="157"/>
      <c r="GP176" s="158"/>
      <c r="GQ176" s="157"/>
      <c r="GR176" s="157"/>
      <c r="GS176" s="157"/>
      <c r="GT176" s="157"/>
      <c r="GU176" s="157"/>
      <c r="GV176" s="157"/>
      <c r="GW176" s="157"/>
      <c r="GX176" s="157"/>
      <c r="GY176" s="157"/>
      <c r="GZ176" s="157"/>
      <c r="HA176" s="157"/>
      <c r="HB176" s="155">
        <v>0.0</v>
      </c>
      <c r="HC176" s="155">
        <v>0.0</v>
      </c>
      <c r="HD176" s="155">
        <v>0.0</v>
      </c>
      <c r="HE176" s="155">
        <v>0.0</v>
      </c>
      <c r="HF176" s="155">
        <v>0.0</v>
      </c>
      <c r="HG176" s="155">
        <v>0.0</v>
      </c>
      <c r="IL176" s="159">
        <v>0.0</v>
      </c>
      <c r="IM176" s="156">
        <v>0.0</v>
      </c>
      <c r="IN176" s="156">
        <v>0.0</v>
      </c>
      <c r="IO176" s="156">
        <v>0.0</v>
      </c>
      <c r="IP176" s="156">
        <v>0.0</v>
      </c>
      <c r="IQ176" s="160">
        <v>0.0</v>
      </c>
      <c r="JH176" s="25"/>
      <c r="JW176" s="159">
        <v>0.0</v>
      </c>
      <c r="JX176" s="156">
        <v>0.0</v>
      </c>
      <c r="JY176" s="156">
        <v>0.0</v>
      </c>
      <c r="JZ176" s="156">
        <v>0.0</v>
      </c>
      <c r="KA176" s="156">
        <v>0.0</v>
      </c>
      <c r="KB176" s="160">
        <v>0.0</v>
      </c>
      <c r="LH176" s="159">
        <f t="shared" si="10"/>
        <v>0</v>
      </c>
      <c r="LI176" s="156">
        <f t="shared" si="11"/>
        <v>0</v>
      </c>
      <c r="LJ176" s="156">
        <f t="shared" si="12"/>
        <v>0</v>
      </c>
      <c r="LK176" s="156">
        <f t="shared" si="13"/>
        <v>0</v>
      </c>
      <c r="LL176" s="156">
        <f t="shared" si="14"/>
        <v>0</v>
      </c>
      <c r="LM176" s="160">
        <f t="shared" si="15"/>
        <v>0</v>
      </c>
      <c r="QX176" s="107">
        <v>45856.0</v>
      </c>
    </row>
    <row r="177">
      <c r="A177" s="12"/>
      <c r="B177" s="12"/>
      <c r="C177" s="12"/>
      <c r="D177" s="12"/>
      <c r="E177" s="12"/>
      <c r="F177" s="12"/>
      <c r="G177" s="12"/>
      <c r="H177" s="12"/>
      <c r="I177" s="143">
        <f t="shared" si="5"/>
        <v>-8</v>
      </c>
      <c r="J177" s="144">
        <v>45864.0</v>
      </c>
      <c r="K177" s="49" t="s">
        <v>61</v>
      </c>
      <c r="L177" s="144">
        <v>45892.0</v>
      </c>
      <c r="M177" s="147" t="s">
        <v>107</v>
      </c>
      <c r="N177" s="148">
        <v>357.0</v>
      </c>
      <c r="O177" s="148">
        <v>30.0</v>
      </c>
      <c r="P177" s="26"/>
      <c r="Q177" s="26"/>
      <c r="R177" s="26"/>
      <c r="S177" s="26"/>
      <c r="T177" s="26"/>
      <c r="U177" s="147" t="s">
        <v>1005</v>
      </c>
      <c r="V177" s="197"/>
      <c r="W177" s="198" t="s">
        <v>2362</v>
      </c>
      <c r="X177" s="181">
        <v>8.0</v>
      </c>
      <c r="Y177" s="166">
        <f t="shared" si="6"/>
        <v>8</v>
      </c>
      <c r="Z177" s="26">
        <f t="shared" si="7"/>
        <v>0</v>
      </c>
      <c r="AA177" s="26">
        <f t="shared" si="8"/>
        <v>0</v>
      </c>
      <c r="AB177" s="26">
        <f t="shared" si="9"/>
        <v>0</v>
      </c>
      <c r="AC177" s="155">
        <v>0.0</v>
      </c>
      <c r="AD177" s="155">
        <v>0.0</v>
      </c>
      <c r="AE177" s="155">
        <v>0.0</v>
      </c>
      <c r="AF177" s="155">
        <v>0.0</v>
      </c>
      <c r="AG177" s="155">
        <v>0.0</v>
      </c>
      <c r="AH177" s="155">
        <v>0.0</v>
      </c>
      <c r="BN177" s="155">
        <v>0.0</v>
      </c>
      <c r="BO177" s="155">
        <v>0.0</v>
      </c>
      <c r="BP177" s="155">
        <v>0.0</v>
      </c>
      <c r="BQ177" s="155">
        <v>0.0</v>
      </c>
      <c r="BR177" s="155">
        <v>0.0</v>
      </c>
      <c r="BS177" s="155">
        <v>0.0</v>
      </c>
      <c r="CV177" s="156">
        <v>0.0</v>
      </c>
      <c r="CW177" s="156">
        <v>0.0</v>
      </c>
      <c r="CX177" s="156">
        <v>0.0</v>
      </c>
      <c r="CY177" s="156">
        <v>0.0</v>
      </c>
      <c r="CZ177" s="156">
        <v>0.0</v>
      </c>
      <c r="DA177" s="156">
        <v>0.0</v>
      </c>
      <c r="EG177" s="156">
        <v>0.0</v>
      </c>
      <c r="EH177" s="156">
        <v>0.0</v>
      </c>
      <c r="EI177" s="156">
        <v>0.0</v>
      </c>
      <c r="EJ177" s="156">
        <v>0.0</v>
      </c>
      <c r="EK177" s="156">
        <v>0.0</v>
      </c>
      <c r="EL177" s="156">
        <v>0.0</v>
      </c>
      <c r="FQ177" s="156">
        <v>0.0</v>
      </c>
      <c r="FR177" s="156">
        <v>0.0</v>
      </c>
      <c r="FS177" s="156">
        <v>0.0</v>
      </c>
      <c r="FT177" s="156">
        <v>0.0</v>
      </c>
      <c r="FU177" s="156">
        <v>0.0</v>
      </c>
      <c r="FV177" s="156">
        <v>0.0</v>
      </c>
      <c r="FW177" s="157"/>
      <c r="FX177" s="157"/>
      <c r="FY177" s="157"/>
      <c r="FZ177" s="157"/>
      <c r="GA177" s="157"/>
      <c r="GB177" s="157"/>
      <c r="GC177" s="157"/>
      <c r="GD177" s="157"/>
      <c r="GE177" s="157"/>
      <c r="GF177" s="157"/>
      <c r="GG177" s="157"/>
      <c r="GH177" s="157"/>
      <c r="GI177" s="157"/>
      <c r="GJ177" s="157"/>
      <c r="GK177" s="157"/>
      <c r="GL177" s="157"/>
      <c r="GM177" s="157"/>
      <c r="GN177" s="157"/>
      <c r="GO177" s="157"/>
      <c r="GP177" s="158"/>
      <c r="GQ177" s="157"/>
      <c r="GR177" s="157"/>
      <c r="GS177" s="157"/>
      <c r="GT177" s="157"/>
      <c r="GU177" s="157"/>
      <c r="GV177" s="157"/>
      <c r="GW177" s="157"/>
      <c r="GX177" s="157"/>
      <c r="GY177" s="157"/>
      <c r="GZ177" s="157"/>
      <c r="HA177" s="157"/>
      <c r="HB177" s="155">
        <v>0.0</v>
      </c>
      <c r="HC177" s="155">
        <v>0.0</v>
      </c>
      <c r="HD177" s="155">
        <v>0.0</v>
      </c>
      <c r="HE177" s="155">
        <v>0.0</v>
      </c>
      <c r="HF177" s="155">
        <v>0.0</v>
      </c>
      <c r="HG177" s="155">
        <v>0.0</v>
      </c>
      <c r="IL177" s="159">
        <v>0.0</v>
      </c>
      <c r="IM177" s="156">
        <v>0.0</v>
      </c>
      <c r="IN177" s="156">
        <v>0.0</v>
      </c>
      <c r="IO177" s="156">
        <v>0.0</v>
      </c>
      <c r="IP177" s="156">
        <v>0.0</v>
      </c>
      <c r="IQ177" s="160">
        <v>0.0</v>
      </c>
      <c r="JH177" s="25"/>
      <c r="JW177" s="159">
        <v>0.0</v>
      </c>
      <c r="JX177" s="156">
        <v>0.0</v>
      </c>
      <c r="JY177" s="156">
        <v>0.0</v>
      </c>
      <c r="JZ177" s="156">
        <v>0.0</v>
      </c>
      <c r="KA177" s="156">
        <v>0.0</v>
      </c>
      <c r="KB177" s="160">
        <v>0.0</v>
      </c>
      <c r="LH177" s="159">
        <f t="shared" si="10"/>
        <v>0</v>
      </c>
      <c r="LI177" s="156">
        <f t="shared" si="11"/>
        <v>0</v>
      </c>
      <c r="LJ177" s="156">
        <f t="shared" si="12"/>
        <v>0</v>
      </c>
      <c r="LK177" s="156">
        <f t="shared" si="13"/>
        <v>0</v>
      </c>
      <c r="LL177" s="156">
        <f t="shared" si="14"/>
        <v>0</v>
      </c>
      <c r="LM177" s="160">
        <f t="shared" si="15"/>
        <v>0</v>
      </c>
      <c r="QX177" s="107">
        <v>45856.0</v>
      </c>
    </row>
    <row r="178">
      <c r="A178" s="12"/>
      <c r="B178" s="12"/>
      <c r="C178" s="12"/>
      <c r="D178" s="12"/>
      <c r="E178" s="12"/>
      <c r="F178" s="12"/>
      <c r="G178" s="12"/>
      <c r="H178" s="12"/>
      <c r="I178" s="143">
        <f t="shared" si="5"/>
        <v>-30</v>
      </c>
      <c r="J178" s="144">
        <v>45867.0</v>
      </c>
      <c r="K178" s="173" t="s">
        <v>61</v>
      </c>
      <c r="L178" s="144">
        <v>45982.0</v>
      </c>
      <c r="M178" s="147" t="s">
        <v>228</v>
      </c>
      <c r="N178" s="148">
        <v>357.0</v>
      </c>
      <c r="O178" s="148">
        <v>30.0</v>
      </c>
      <c r="P178" s="26"/>
      <c r="Q178" s="26"/>
      <c r="R178" s="26"/>
      <c r="S178" s="26"/>
      <c r="T178" s="26"/>
      <c r="U178" s="147" t="s">
        <v>2373</v>
      </c>
      <c r="V178" s="149" t="s">
        <v>922</v>
      </c>
      <c r="W178" s="198" t="s">
        <v>2374</v>
      </c>
      <c r="X178" s="181">
        <v>30.0</v>
      </c>
      <c r="Y178" s="166">
        <f t="shared" si="6"/>
        <v>30</v>
      </c>
      <c r="Z178" s="26">
        <f t="shared" si="7"/>
        <v>0</v>
      </c>
      <c r="AA178" s="26">
        <f t="shared" si="8"/>
        <v>0</v>
      </c>
      <c r="AB178" s="26">
        <f t="shared" si="9"/>
        <v>0</v>
      </c>
      <c r="AC178" s="155">
        <v>0.0</v>
      </c>
      <c r="AD178" s="155">
        <v>0.0</v>
      </c>
      <c r="AE178" s="155">
        <v>0.0</v>
      </c>
      <c r="AF178" s="155">
        <v>0.0</v>
      </c>
      <c r="AG178" s="155">
        <v>0.0</v>
      </c>
      <c r="AH178" s="155">
        <v>0.0</v>
      </c>
      <c r="BN178" s="155">
        <v>0.0</v>
      </c>
      <c r="BO178" s="155">
        <v>0.0</v>
      </c>
      <c r="BP178" s="155">
        <v>0.0</v>
      </c>
      <c r="BQ178" s="155">
        <v>0.0</v>
      </c>
      <c r="BR178" s="155">
        <v>0.0</v>
      </c>
      <c r="BS178" s="155">
        <v>0.0</v>
      </c>
      <c r="CV178" s="156">
        <v>0.0</v>
      </c>
      <c r="CW178" s="156">
        <v>0.0</v>
      </c>
      <c r="CX178" s="156">
        <v>0.0</v>
      </c>
      <c r="CY178" s="156">
        <v>0.0</v>
      </c>
      <c r="CZ178" s="156">
        <v>0.0</v>
      </c>
      <c r="DA178" s="156">
        <v>0.0</v>
      </c>
      <c r="EG178" s="156">
        <v>0.0</v>
      </c>
      <c r="EH178" s="156">
        <v>0.0</v>
      </c>
      <c r="EI178" s="156">
        <v>0.0</v>
      </c>
      <c r="EJ178" s="156">
        <v>0.0</v>
      </c>
      <c r="EK178" s="156">
        <v>0.0</v>
      </c>
      <c r="EL178" s="156">
        <v>0.0</v>
      </c>
      <c r="FQ178" s="156">
        <v>0.0</v>
      </c>
      <c r="FR178" s="156">
        <v>0.0</v>
      </c>
      <c r="FS178" s="156">
        <v>0.0</v>
      </c>
      <c r="FT178" s="156">
        <v>0.0</v>
      </c>
      <c r="FU178" s="156">
        <v>0.0</v>
      </c>
      <c r="FV178" s="156">
        <v>0.0</v>
      </c>
      <c r="FW178" s="157"/>
      <c r="FX178" s="157"/>
      <c r="FY178" s="157"/>
      <c r="FZ178" s="157"/>
      <c r="GA178" s="157"/>
      <c r="GB178" s="157"/>
      <c r="GC178" s="157"/>
      <c r="GD178" s="157"/>
      <c r="GE178" s="157"/>
      <c r="GF178" s="157"/>
      <c r="GG178" s="157"/>
      <c r="GH178" s="157"/>
      <c r="GI178" s="157"/>
      <c r="GJ178" s="157"/>
      <c r="GK178" s="157"/>
      <c r="GL178" s="157"/>
      <c r="GM178" s="157"/>
      <c r="GN178" s="157"/>
      <c r="GO178" s="157"/>
      <c r="GP178" s="158"/>
      <c r="GQ178" s="157"/>
      <c r="GR178" s="157"/>
      <c r="GS178" s="157"/>
      <c r="GT178" s="157"/>
      <c r="GU178" s="157"/>
      <c r="GV178" s="157"/>
      <c r="GW178" s="157"/>
      <c r="GX178" s="157"/>
      <c r="GY178" s="157"/>
      <c r="GZ178" s="157"/>
      <c r="HA178" s="157"/>
      <c r="HB178" s="155">
        <v>0.0</v>
      </c>
      <c r="HC178" s="155">
        <v>0.0</v>
      </c>
      <c r="HD178" s="155">
        <v>0.0</v>
      </c>
      <c r="HE178" s="155">
        <v>0.0</v>
      </c>
      <c r="HF178" s="155">
        <v>0.0</v>
      </c>
      <c r="HG178" s="155">
        <v>0.0</v>
      </c>
      <c r="IL178" s="159">
        <v>0.0</v>
      </c>
      <c r="IM178" s="156">
        <v>0.0</v>
      </c>
      <c r="IN178" s="156">
        <v>0.0</v>
      </c>
      <c r="IO178" s="156">
        <v>0.0</v>
      </c>
      <c r="IP178" s="156">
        <v>0.0</v>
      </c>
      <c r="IQ178" s="160">
        <v>0.0</v>
      </c>
      <c r="JH178" s="25"/>
      <c r="JW178" s="159">
        <v>0.0</v>
      </c>
      <c r="JX178" s="156">
        <v>0.0</v>
      </c>
      <c r="JY178" s="156">
        <v>0.0</v>
      </c>
      <c r="JZ178" s="156">
        <v>0.0</v>
      </c>
      <c r="KA178" s="156">
        <v>0.0</v>
      </c>
      <c r="KB178" s="160">
        <v>0.0</v>
      </c>
      <c r="LH178" s="159">
        <f t="shared" si="10"/>
        <v>0</v>
      </c>
      <c r="LI178" s="156">
        <f t="shared" si="11"/>
        <v>0</v>
      </c>
      <c r="LJ178" s="156">
        <f t="shared" si="12"/>
        <v>0</v>
      </c>
      <c r="LK178" s="156">
        <f t="shared" si="13"/>
        <v>0</v>
      </c>
      <c r="LL178" s="156">
        <f t="shared" si="14"/>
        <v>0</v>
      </c>
      <c r="LM178" s="160">
        <f t="shared" si="15"/>
        <v>0</v>
      </c>
      <c r="QX178" s="107">
        <v>45857.0</v>
      </c>
    </row>
    <row r="179">
      <c r="A179" s="12"/>
      <c r="B179" s="12"/>
      <c r="C179" s="12"/>
      <c r="D179" s="12"/>
      <c r="E179" s="12"/>
      <c r="F179" s="12"/>
      <c r="G179" s="12"/>
      <c r="H179" s="12"/>
      <c r="I179" s="143">
        <f t="shared" si="5"/>
        <v>-30</v>
      </c>
      <c r="J179" s="144">
        <v>45887.0</v>
      </c>
      <c r="K179" s="173" t="s">
        <v>61</v>
      </c>
      <c r="L179" s="144">
        <v>45968.0</v>
      </c>
      <c r="M179" s="147" t="s">
        <v>228</v>
      </c>
      <c r="N179" s="148">
        <v>246.0</v>
      </c>
      <c r="O179" s="148">
        <v>30.0</v>
      </c>
      <c r="P179" s="26"/>
      <c r="Q179" s="26"/>
      <c r="R179" s="26"/>
      <c r="S179" s="26"/>
      <c r="T179" s="26"/>
      <c r="U179" s="147" t="s">
        <v>955</v>
      </c>
      <c r="V179" s="149" t="s">
        <v>563</v>
      </c>
      <c r="W179" s="198" t="s">
        <v>2381</v>
      </c>
      <c r="X179" s="181">
        <v>30.0</v>
      </c>
      <c r="Y179" s="166">
        <f t="shared" si="6"/>
        <v>30</v>
      </c>
      <c r="Z179" s="26">
        <f t="shared" si="7"/>
        <v>0</v>
      </c>
      <c r="AA179" s="26">
        <f t="shared" si="8"/>
        <v>0</v>
      </c>
      <c r="AB179" s="26">
        <f t="shared" si="9"/>
        <v>0</v>
      </c>
      <c r="AC179" s="155">
        <v>0.0</v>
      </c>
      <c r="AD179" s="155">
        <v>0.0</v>
      </c>
      <c r="AE179" s="155">
        <v>0.0</v>
      </c>
      <c r="AF179" s="155">
        <v>0.0</v>
      </c>
      <c r="AG179" s="155">
        <v>0.0</v>
      </c>
      <c r="AH179" s="155">
        <v>0.0</v>
      </c>
      <c r="BN179" s="155">
        <v>0.0</v>
      </c>
      <c r="BO179" s="155">
        <v>0.0</v>
      </c>
      <c r="BP179" s="155">
        <v>0.0</v>
      </c>
      <c r="BQ179" s="155">
        <v>0.0</v>
      </c>
      <c r="BR179" s="155">
        <v>0.0</v>
      </c>
      <c r="BS179" s="155">
        <v>0.0</v>
      </c>
      <c r="CV179" s="156">
        <v>0.0</v>
      </c>
      <c r="CW179" s="156">
        <v>0.0</v>
      </c>
      <c r="CX179" s="156">
        <v>0.0</v>
      </c>
      <c r="CY179" s="156">
        <v>0.0</v>
      </c>
      <c r="CZ179" s="156">
        <v>0.0</v>
      </c>
      <c r="DA179" s="156">
        <v>0.0</v>
      </c>
      <c r="EG179" s="156">
        <v>0.0</v>
      </c>
      <c r="EH179" s="156">
        <v>0.0</v>
      </c>
      <c r="EI179" s="156">
        <v>0.0</v>
      </c>
      <c r="EJ179" s="156">
        <v>0.0</v>
      </c>
      <c r="EK179" s="156">
        <v>0.0</v>
      </c>
      <c r="EL179" s="156">
        <v>0.0</v>
      </c>
      <c r="FQ179" s="156">
        <v>0.0</v>
      </c>
      <c r="FR179" s="156">
        <v>0.0</v>
      </c>
      <c r="FS179" s="156">
        <v>0.0</v>
      </c>
      <c r="FT179" s="156">
        <v>0.0</v>
      </c>
      <c r="FU179" s="156">
        <v>0.0</v>
      </c>
      <c r="FV179" s="156">
        <v>0.0</v>
      </c>
      <c r="FW179" s="157"/>
      <c r="FX179" s="157"/>
      <c r="FY179" s="157"/>
      <c r="FZ179" s="157"/>
      <c r="GA179" s="157"/>
      <c r="GB179" s="157"/>
      <c r="GC179" s="157"/>
      <c r="GD179" s="157"/>
      <c r="GE179" s="157"/>
      <c r="GF179" s="157"/>
      <c r="GG179" s="157"/>
      <c r="GH179" s="157"/>
      <c r="GI179" s="157"/>
      <c r="GJ179" s="157"/>
      <c r="GK179" s="157"/>
      <c r="GL179" s="157"/>
      <c r="GM179" s="157"/>
      <c r="GN179" s="157"/>
      <c r="GO179" s="157"/>
      <c r="GP179" s="158"/>
      <c r="GQ179" s="157"/>
      <c r="GR179" s="157"/>
      <c r="GS179" s="157"/>
      <c r="GT179" s="157"/>
      <c r="GU179" s="157"/>
      <c r="GV179" s="157"/>
      <c r="GW179" s="157"/>
      <c r="GX179" s="157"/>
      <c r="GY179" s="157"/>
      <c r="GZ179" s="157"/>
      <c r="HA179" s="157"/>
      <c r="HB179" s="155">
        <v>0.0</v>
      </c>
      <c r="HC179" s="155">
        <v>0.0</v>
      </c>
      <c r="HD179" s="155">
        <v>0.0</v>
      </c>
      <c r="HE179" s="155">
        <v>0.0</v>
      </c>
      <c r="HF179" s="155">
        <v>0.0</v>
      </c>
      <c r="HG179" s="155">
        <v>0.0</v>
      </c>
      <c r="IL179" s="159">
        <v>0.0</v>
      </c>
      <c r="IM179" s="156">
        <v>0.0</v>
      </c>
      <c r="IN179" s="156">
        <v>0.0</v>
      </c>
      <c r="IO179" s="156">
        <v>0.0</v>
      </c>
      <c r="IP179" s="156">
        <v>0.0</v>
      </c>
      <c r="IQ179" s="160">
        <v>0.0</v>
      </c>
      <c r="JH179" s="25"/>
      <c r="JW179" s="159">
        <v>0.0</v>
      </c>
      <c r="JX179" s="156">
        <v>0.0</v>
      </c>
      <c r="JY179" s="156">
        <v>0.0</v>
      </c>
      <c r="JZ179" s="156">
        <v>0.0</v>
      </c>
      <c r="KA179" s="156">
        <v>0.0</v>
      </c>
      <c r="KB179" s="160">
        <v>0.0</v>
      </c>
      <c r="LH179" s="159">
        <f t="shared" si="10"/>
        <v>0</v>
      </c>
      <c r="LI179" s="156">
        <f t="shared" si="11"/>
        <v>0</v>
      </c>
      <c r="LJ179" s="156">
        <f t="shared" si="12"/>
        <v>0</v>
      </c>
      <c r="LK179" s="156">
        <f t="shared" si="13"/>
        <v>0</v>
      </c>
      <c r="LL179" s="156">
        <f t="shared" si="14"/>
        <v>0</v>
      </c>
      <c r="LM179" s="160">
        <f t="shared" si="15"/>
        <v>0</v>
      </c>
      <c r="QX179" s="107">
        <v>45859.0</v>
      </c>
    </row>
    <row r="180">
      <c r="A180" s="12"/>
      <c r="B180" s="12"/>
      <c r="C180" s="12"/>
      <c r="D180" s="12"/>
      <c r="E180" s="12"/>
      <c r="F180" s="12"/>
      <c r="G180" s="12"/>
      <c r="H180" s="12"/>
      <c r="I180" s="143">
        <f t="shared" si="5"/>
        <v>-4</v>
      </c>
      <c r="J180" s="144">
        <v>45868.0</v>
      </c>
      <c r="K180" s="49" t="s">
        <v>61</v>
      </c>
      <c r="L180" s="144">
        <v>45881.0</v>
      </c>
      <c r="M180" s="147" t="s">
        <v>2390</v>
      </c>
      <c r="N180" s="148">
        <v>246.0</v>
      </c>
      <c r="O180" s="148">
        <v>30.0</v>
      </c>
      <c r="P180" s="26"/>
      <c r="Q180" s="26"/>
      <c r="R180" s="26"/>
      <c r="S180" s="26"/>
      <c r="T180" s="26"/>
      <c r="U180" s="147" t="s">
        <v>2391</v>
      </c>
      <c r="V180" s="197"/>
      <c r="W180" s="198" t="s">
        <v>2392</v>
      </c>
      <c r="X180" s="181">
        <v>4.0</v>
      </c>
      <c r="Y180" s="166">
        <f t="shared" si="6"/>
        <v>4</v>
      </c>
      <c r="Z180" s="26">
        <f t="shared" si="7"/>
        <v>0</v>
      </c>
      <c r="AA180" s="26">
        <f t="shared" si="8"/>
        <v>0</v>
      </c>
      <c r="AB180" s="26">
        <f t="shared" si="9"/>
        <v>0</v>
      </c>
      <c r="AC180" s="155">
        <v>0.0</v>
      </c>
      <c r="AD180" s="155">
        <v>0.0</v>
      </c>
      <c r="AE180" s="155">
        <v>0.0</v>
      </c>
      <c r="AF180" s="155">
        <v>0.0</v>
      </c>
      <c r="AG180" s="155">
        <v>0.0</v>
      </c>
      <c r="AH180" s="155">
        <v>0.0</v>
      </c>
      <c r="BN180" s="155">
        <v>0.0</v>
      </c>
      <c r="BO180" s="155">
        <v>0.0</v>
      </c>
      <c r="BP180" s="155">
        <v>0.0</v>
      </c>
      <c r="BQ180" s="155">
        <v>0.0</v>
      </c>
      <c r="BR180" s="155">
        <v>0.0</v>
      </c>
      <c r="BS180" s="155">
        <v>0.0</v>
      </c>
      <c r="CV180" s="156">
        <v>0.0</v>
      </c>
      <c r="CW180" s="156">
        <v>0.0</v>
      </c>
      <c r="CX180" s="156">
        <v>0.0</v>
      </c>
      <c r="CY180" s="156">
        <v>0.0</v>
      </c>
      <c r="CZ180" s="156">
        <v>0.0</v>
      </c>
      <c r="DA180" s="156">
        <v>0.0</v>
      </c>
      <c r="EG180" s="156">
        <v>0.0</v>
      </c>
      <c r="EH180" s="156">
        <v>0.0</v>
      </c>
      <c r="EI180" s="156">
        <v>0.0</v>
      </c>
      <c r="EJ180" s="156">
        <v>0.0</v>
      </c>
      <c r="EK180" s="156">
        <v>0.0</v>
      </c>
      <c r="EL180" s="156">
        <v>0.0</v>
      </c>
      <c r="FQ180" s="156">
        <v>0.0</v>
      </c>
      <c r="FR180" s="156">
        <v>0.0</v>
      </c>
      <c r="FS180" s="156">
        <v>0.0</v>
      </c>
      <c r="FT180" s="156">
        <v>0.0</v>
      </c>
      <c r="FU180" s="156">
        <v>0.0</v>
      </c>
      <c r="FV180" s="156">
        <v>0.0</v>
      </c>
      <c r="FW180" s="157"/>
      <c r="FX180" s="157"/>
      <c r="FY180" s="157"/>
      <c r="FZ180" s="157"/>
      <c r="GA180" s="157"/>
      <c r="GB180" s="157"/>
      <c r="GC180" s="157"/>
      <c r="GD180" s="157"/>
      <c r="GE180" s="157"/>
      <c r="GF180" s="157"/>
      <c r="GG180" s="157"/>
      <c r="GH180" s="157"/>
      <c r="GI180" s="157"/>
      <c r="GJ180" s="157"/>
      <c r="GK180" s="157"/>
      <c r="GL180" s="157"/>
      <c r="GM180" s="157"/>
      <c r="GN180" s="157"/>
      <c r="GO180" s="157"/>
      <c r="GP180" s="158"/>
      <c r="GQ180" s="157"/>
      <c r="GR180" s="157"/>
      <c r="GS180" s="157"/>
      <c r="GT180" s="157"/>
      <c r="GU180" s="157"/>
      <c r="GV180" s="157"/>
      <c r="GW180" s="157"/>
      <c r="GX180" s="157"/>
      <c r="GY180" s="157"/>
      <c r="GZ180" s="157"/>
      <c r="HA180" s="157"/>
      <c r="HB180" s="155">
        <v>0.0</v>
      </c>
      <c r="HC180" s="155">
        <v>0.0</v>
      </c>
      <c r="HD180" s="155">
        <v>0.0</v>
      </c>
      <c r="HE180" s="155">
        <v>0.0</v>
      </c>
      <c r="HF180" s="155">
        <v>0.0</v>
      </c>
      <c r="HG180" s="155">
        <v>0.0</v>
      </c>
      <c r="IL180" s="159">
        <v>0.0</v>
      </c>
      <c r="IM180" s="156">
        <v>0.0</v>
      </c>
      <c r="IN180" s="156">
        <v>0.0</v>
      </c>
      <c r="IO180" s="156">
        <v>0.0</v>
      </c>
      <c r="IP180" s="156">
        <v>0.0</v>
      </c>
      <c r="IQ180" s="160">
        <v>0.0</v>
      </c>
      <c r="JH180" s="25"/>
      <c r="JW180" s="159">
        <v>0.0</v>
      </c>
      <c r="JX180" s="156">
        <v>0.0</v>
      </c>
      <c r="JY180" s="156">
        <v>0.0</v>
      </c>
      <c r="JZ180" s="156">
        <v>0.0</v>
      </c>
      <c r="KA180" s="156">
        <v>0.0</v>
      </c>
      <c r="KB180" s="160">
        <v>0.0</v>
      </c>
      <c r="LH180" s="159">
        <f t="shared" si="10"/>
        <v>0</v>
      </c>
      <c r="LI180" s="156">
        <f t="shared" si="11"/>
        <v>0</v>
      </c>
      <c r="LJ180" s="156">
        <f t="shared" si="12"/>
        <v>0</v>
      </c>
      <c r="LK180" s="156">
        <f t="shared" si="13"/>
        <v>0</v>
      </c>
      <c r="LL180" s="156">
        <f t="shared" si="14"/>
        <v>0</v>
      </c>
      <c r="LM180" s="160">
        <f t="shared" si="15"/>
        <v>0</v>
      </c>
      <c r="QX180" s="107">
        <v>45859.0</v>
      </c>
    </row>
    <row r="181">
      <c r="A181" s="12"/>
      <c r="B181" s="12"/>
      <c r="C181" s="12"/>
      <c r="D181" s="12"/>
      <c r="E181" s="12"/>
      <c r="F181" s="12"/>
      <c r="G181" s="12"/>
      <c r="H181" s="12"/>
      <c r="I181" s="143">
        <f t="shared" si="5"/>
        <v>-30</v>
      </c>
      <c r="J181" s="144">
        <v>45859.0</v>
      </c>
      <c r="K181" s="173" t="s">
        <v>61</v>
      </c>
      <c r="L181" s="375">
        <v>45962.0</v>
      </c>
      <c r="M181" s="327" t="s">
        <v>107</v>
      </c>
      <c r="N181" s="328">
        <v>246.0</v>
      </c>
      <c r="O181" s="328">
        <v>45.0</v>
      </c>
      <c r="P181" s="329"/>
      <c r="Q181" s="329"/>
      <c r="R181" s="329"/>
      <c r="S181" s="329"/>
      <c r="T181" s="329"/>
      <c r="U181" s="327" t="s">
        <v>2399</v>
      </c>
      <c r="V181" s="376" t="s">
        <v>2400</v>
      </c>
      <c r="W181" s="331" t="s">
        <v>2134</v>
      </c>
      <c r="X181" s="181">
        <v>30.0</v>
      </c>
      <c r="Y181" s="166">
        <f t="shared" si="6"/>
        <v>30</v>
      </c>
      <c r="Z181" s="26">
        <f t="shared" si="7"/>
        <v>0</v>
      </c>
      <c r="AA181" s="26">
        <f t="shared" si="8"/>
        <v>0</v>
      </c>
      <c r="AB181" s="26">
        <f t="shared" si="9"/>
        <v>0</v>
      </c>
      <c r="AC181" s="155">
        <v>0.0</v>
      </c>
      <c r="AD181" s="155">
        <v>0.0</v>
      </c>
      <c r="AE181" s="155">
        <v>0.0</v>
      </c>
      <c r="AF181" s="155">
        <v>0.0</v>
      </c>
      <c r="AG181" s="155">
        <v>0.0</v>
      </c>
      <c r="AH181" s="155">
        <v>0.0</v>
      </c>
      <c r="BN181" s="155">
        <v>0.0</v>
      </c>
      <c r="BO181" s="155">
        <v>0.0</v>
      </c>
      <c r="BP181" s="155">
        <v>0.0</v>
      </c>
      <c r="BQ181" s="155">
        <v>0.0</v>
      </c>
      <c r="BR181" s="155">
        <v>0.0</v>
      </c>
      <c r="BS181" s="155">
        <v>0.0</v>
      </c>
      <c r="CV181" s="156">
        <v>0.0</v>
      </c>
      <c r="CW181" s="156">
        <v>0.0</v>
      </c>
      <c r="CX181" s="156">
        <v>0.0</v>
      </c>
      <c r="CY181" s="156">
        <v>0.0</v>
      </c>
      <c r="CZ181" s="156">
        <v>0.0</v>
      </c>
      <c r="DA181" s="156">
        <v>0.0</v>
      </c>
      <c r="EG181" s="156">
        <v>0.0</v>
      </c>
      <c r="EH181" s="156">
        <v>0.0</v>
      </c>
      <c r="EI181" s="156">
        <v>0.0</v>
      </c>
      <c r="EJ181" s="156">
        <v>0.0</v>
      </c>
      <c r="EK181" s="156">
        <v>0.0</v>
      </c>
      <c r="EL181" s="156">
        <v>0.0</v>
      </c>
      <c r="FQ181" s="156">
        <v>0.0</v>
      </c>
      <c r="FR181" s="156">
        <v>0.0</v>
      </c>
      <c r="FS181" s="156">
        <v>0.0</v>
      </c>
      <c r="FT181" s="156">
        <v>0.0</v>
      </c>
      <c r="FU181" s="156">
        <v>0.0</v>
      </c>
      <c r="FV181" s="156">
        <v>0.0</v>
      </c>
      <c r="FW181" s="157"/>
      <c r="FX181" s="157"/>
      <c r="FY181" s="157"/>
      <c r="FZ181" s="157"/>
      <c r="GA181" s="157"/>
      <c r="GB181" s="157"/>
      <c r="GC181" s="157"/>
      <c r="GD181" s="157"/>
      <c r="GE181" s="157"/>
      <c r="GF181" s="157"/>
      <c r="GG181" s="157"/>
      <c r="GH181" s="157"/>
      <c r="GI181" s="157"/>
      <c r="GJ181" s="157"/>
      <c r="GK181" s="157"/>
      <c r="GL181" s="157"/>
      <c r="GM181" s="157"/>
      <c r="GN181" s="157"/>
      <c r="GO181" s="157"/>
      <c r="GP181" s="158"/>
      <c r="GQ181" s="157"/>
      <c r="GR181" s="157"/>
      <c r="GS181" s="157"/>
      <c r="GT181" s="157"/>
      <c r="GU181" s="157"/>
      <c r="GV181" s="157"/>
      <c r="GW181" s="157"/>
      <c r="GX181" s="157"/>
      <c r="GY181" s="157"/>
      <c r="GZ181" s="157"/>
      <c r="HA181" s="157"/>
      <c r="HB181" s="155">
        <v>0.0</v>
      </c>
      <c r="HC181" s="155">
        <v>0.0</v>
      </c>
      <c r="HD181" s="155">
        <v>0.0</v>
      </c>
      <c r="HE181" s="155">
        <v>0.0</v>
      </c>
      <c r="HF181" s="155">
        <v>0.0</v>
      </c>
      <c r="HG181" s="155">
        <v>0.0</v>
      </c>
      <c r="IL181" s="159">
        <v>0.0</v>
      </c>
      <c r="IM181" s="156">
        <v>0.0</v>
      </c>
      <c r="IN181" s="156">
        <v>0.0</v>
      </c>
      <c r="IO181" s="156">
        <v>0.0</v>
      </c>
      <c r="IP181" s="156">
        <v>0.0</v>
      </c>
      <c r="IQ181" s="160">
        <v>0.0</v>
      </c>
      <c r="JH181" s="25"/>
      <c r="JW181" s="159">
        <v>0.0</v>
      </c>
      <c r="JX181" s="156">
        <v>0.0</v>
      </c>
      <c r="JY181" s="156">
        <v>0.0</v>
      </c>
      <c r="JZ181" s="156">
        <v>0.0</v>
      </c>
      <c r="KA181" s="156">
        <v>0.0</v>
      </c>
      <c r="KB181" s="160">
        <v>0.0</v>
      </c>
      <c r="LH181" s="159">
        <f t="shared" si="10"/>
        <v>0</v>
      </c>
      <c r="LI181" s="156">
        <f t="shared" si="11"/>
        <v>0</v>
      </c>
      <c r="LJ181" s="156">
        <f t="shared" si="12"/>
        <v>0</v>
      </c>
      <c r="LK181" s="156">
        <f t="shared" si="13"/>
        <v>0</v>
      </c>
      <c r="LL181" s="156">
        <f t="shared" si="14"/>
        <v>0</v>
      </c>
      <c r="LM181" s="160">
        <f t="shared" si="15"/>
        <v>0</v>
      </c>
      <c r="QX181" s="107">
        <v>45859.0</v>
      </c>
    </row>
    <row r="182">
      <c r="A182" s="12"/>
      <c r="B182" s="12"/>
      <c r="C182" s="12"/>
      <c r="D182" s="12"/>
      <c r="E182" s="12"/>
      <c r="F182" s="12"/>
      <c r="G182" s="12"/>
      <c r="H182" s="12"/>
      <c r="I182" s="143">
        <f t="shared" si="5"/>
        <v>-30</v>
      </c>
      <c r="J182" s="144">
        <v>45861.0</v>
      </c>
      <c r="K182" s="173" t="s">
        <v>61</v>
      </c>
      <c r="L182" s="144">
        <v>45954.0</v>
      </c>
      <c r="M182" s="147" t="s">
        <v>400</v>
      </c>
      <c r="N182" s="148">
        <v>246.0</v>
      </c>
      <c r="O182" s="148">
        <v>30.0</v>
      </c>
      <c r="P182" s="26"/>
      <c r="Q182" s="26"/>
      <c r="R182" s="26"/>
      <c r="S182" s="26"/>
      <c r="T182" s="26"/>
      <c r="U182" s="26" t="s">
        <v>2406</v>
      </c>
      <c r="V182" s="197"/>
      <c r="W182" s="198" t="s">
        <v>2407</v>
      </c>
      <c r="X182" s="181">
        <v>30.0</v>
      </c>
      <c r="Y182" s="166">
        <f t="shared" si="6"/>
        <v>30</v>
      </c>
      <c r="Z182" s="26">
        <f t="shared" si="7"/>
        <v>0</v>
      </c>
      <c r="AA182" s="26">
        <f t="shared" si="8"/>
        <v>0</v>
      </c>
      <c r="AB182" s="26">
        <f t="shared" si="9"/>
        <v>0</v>
      </c>
      <c r="AC182" s="155">
        <v>0.0</v>
      </c>
      <c r="AD182" s="155">
        <v>0.0</v>
      </c>
      <c r="AE182" s="155">
        <v>0.0</v>
      </c>
      <c r="AF182" s="155">
        <v>0.0</v>
      </c>
      <c r="AG182" s="155">
        <v>0.0</v>
      </c>
      <c r="AH182" s="155">
        <v>0.0</v>
      </c>
      <c r="BN182" s="155">
        <v>0.0</v>
      </c>
      <c r="BO182" s="155">
        <v>0.0</v>
      </c>
      <c r="BP182" s="155">
        <v>0.0</v>
      </c>
      <c r="BQ182" s="155">
        <v>0.0</v>
      </c>
      <c r="BR182" s="155">
        <v>0.0</v>
      </c>
      <c r="BS182" s="155">
        <v>0.0</v>
      </c>
      <c r="CV182" s="156">
        <v>0.0</v>
      </c>
      <c r="CW182" s="156">
        <v>0.0</v>
      </c>
      <c r="CX182" s="156">
        <v>0.0</v>
      </c>
      <c r="CY182" s="156">
        <v>0.0</v>
      </c>
      <c r="CZ182" s="156">
        <v>0.0</v>
      </c>
      <c r="DA182" s="156">
        <v>0.0</v>
      </c>
      <c r="EG182" s="156">
        <v>0.0</v>
      </c>
      <c r="EH182" s="156">
        <v>0.0</v>
      </c>
      <c r="EI182" s="156">
        <v>0.0</v>
      </c>
      <c r="EJ182" s="156">
        <v>0.0</v>
      </c>
      <c r="EK182" s="156">
        <v>0.0</v>
      </c>
      <c r="EL182" s="156">
        <v>0.0</v>
      </c>
      <c r="FQ182" s="156">
        <v>0.0</v>
      </c>
      <c r="FR182" s="156">
        <v>0.0</v>
      </c>
      <c r="FS182" s="156">
        <v>0.0</v>
      </c>
      <c r="FT182" s="156">
        <v>0.0</v>
      </c>
      <c r="FU182" s="156">
        <v>0.0</v>
      </c>
      <c r="FV182" s="156">
        <v>0.0</v>
      </c>
      <c r="FW182" s="157"/>
      <c r="FX182" s="157"/>
      <c r="FY182" s="157"/>
      <c r="FZ182" s="157"/>
      <c r="GA182" s="157"/>
      <c r="GB182" s="157"/>
      <c r="GC182" s="157"/>
      <c r="GD182" s="157"/>
      <c r="GE182" s="157"/>
      <c r="GF182" s="157"/>
      <c r="GG182" s="157"/>
      <c r="GH182" s="157"/>
      <c r="GI182" s="157"/>
      <c r="GJ182" s="157"/>
      <c r="GK182" s="157"/>
      <c r="GL182" s="157"/>
      <c r="GM182" s="157"/>
      <c r="GN182" s="157"/>
      <c r="GO182" s="157"/>
      <c r="GP182" s="158"/>
      <c r="GQ182" s="157"/>
      <c r="GR182" s="157"/>
      <c r="GS182" s="157"/>
      <c r="GT182" s="157"/>
      <c r="GU182" s="157"/>
      <c r="GV182" s="157"/>
      <c r="GW182" s="157"/>
      <c r="GX182" s="157"/>
      <c r="GY182" s="157"/>
      <c r="GZ182" s="157"/>
      <c r="HA182" s="157"/>
      <c r="HB182" s="155">
        <v>0.0</v>
      </c>
      <c r="HC182" s="155">
        <v>0.0</v>
      </c>
      <c r="HD182" s="155">
        <v>0.0</v>
      </c>
      <c r="HE182" s="155">
        <v>0.0</v>
      </c>
      <c r="HF182" s="155">
        <v>0.0</v>
      </c>
      <c r="HG182" s="155">
        <v>0.0</v>
      </c>
      <c r="IL182" s="159">
        <v>0.0</v>
      </c>
      <c r="IM182" s="156">
        <v>0.0</v>
      </c>
      <c r="IN182" s="156">
        <v>0.0</v>
      </c>
      <c r="IO182" s="156">
        <v>0.0</v>
      </c>
      <c r="IP182" s="156">
        <v>0.0</v>
      </c>
      <c r="IQ182" s="160">
        <v>0.0</v>
      </c>
      <c r="JH182" s="25"/>
      <c r="JW182" s="159">
        <v>0.0</v>
      </c>
      <c r="JX182" s="156">
        <v>0.0</v>
      </c>
      <c r="JY182" s="156">
        <v>0.0</v>
      </c>
      <c r="JZ182" s="156">
        <v>0.0</v>
      </c>
      <c r="KA182" s="156">
        <v>0.0</v>
      </c>
      <c r="KB182" s="160">
        <v>0.0</v>
      </c>
      <c r="LH182" s="159">
        <f t="shared" si="10"/>
        <v>0</v>
      </c>
      <c r="LI182" s="156">
        <f t="shared" si="11"/>
        <v>0</v>
      </c>
      <c r="LJ182" s="156">
        <f t="shared" si="12"/>
        <v>0</v>
      </c>
      <c r="LK182" s="156">
        <f t="shared" si="13"/>
        <v>0</v>
      </c>
      <c r="LL182" s="156">
        <f t="shared" si="14"/>
        <v>0</v>
      </c>
      <c r="LM182" s="160">
        <f t="shared" si="15"/>
        <v>0</v>
      </c>
      <c r="QX182" s="107">
        <v>45859.0</v>
      </c>
    </row>
    <row r="183">
      <c r="A183" s="12"/>
      <c r="B183" s="12"/>
      <c r="C183" s="12"/>
      <c r="D183" s="12"/>
      <c r="E183" s="12"/>
      <c r="F183" s="12"/>
      <c r="G183" s="12"/>
      <c r="H183" s="12"/>
      <c r="I183" s="143">
        <f t="shared" si="5"/>
        <v>-37</v>
      </c>
      <c r="J183" s="170" t="s">
        <v>2416</v>
      </c>
      <c r="K183" s="294" t="s">
        <v>48</v>
      </c>
      <c r="L183" s="295">
        <v>45947.0</v>
      </c>
      <c r="M183" s="164" t="s">
        <v>348</v>
      </c>
      <c r="N183" s="170">
        <v>26.0</v>
      </c>
      <c r="O183" s="148">
        <v>30.0</v>
      </c>
      <c r="P183" s="26"/>
      <c r="Q183" s="26"/>
      <c r="R183" s="26"/>
      <c r="S183" s="26"/>
      <c r="T183" s="26"/>
      <c r="U183" s="164" t="s">
        <v>2417</v>
      </c>
      <c r="V183" s="165" t="s">
        <v>230</v>
      </c>
      <c r="W183" s="248" t="s">
        <v>2418</v>
      </c>
      <c r="X183" s="181">
        <v>30.0</v>
      </c>
      <c r="Y183" s="166">
        <f t="shared" si="6"/>
        <v>37</v>
      </c>
      <c r="Z183" s="26">
        <f t="shared" si="7"/>
        <v>0</v>
      </c>
      <c r="AA183" s="26">
        <f t="shared" si="8"/>
        <v>0</v>
      </c>
      <c r="AB183" s="26">
        <f t="shared" si="9"/>
        <v>0</v>
      </c>
      <c r="AC183" s="155">
        <v>0.0</v>
      </c>
      <c r="AD183" s="155">
        <v>0.0</v>
      </c>
      <c r="AE183" s="155">
        <v>0.0</v>
      </c>
      <c r="AF183" s="155">
        <v>0.0</v>
      </c>
      <c r="AG183" s="155">
        <v>0.0</v>
      </c>
      <c r="AH183" s="155">
        <v>0.0</v>
      </c>
      <c r="BN183" s="155">
        <v>0.0</v>
      </c>
      <c r="BO183" s="155">
        <v>0.0</v>
      </c>
      <c r="BP183" s="155">
        <v>0.0</v>
      </c>
      <c r="BQ183" s="155">
        <v>0.0</v>
      </c>
      <c r="BR183" s="155">
        <v>0.0</v>
      </c>
      <c r="BS183" s="155">
        <v>0.0</v>
      </c>
      <c r="CV183" s="156">
        <v>0.0</v>
      </c>
      <c r="CW183" s="156">
        <v>0.0</v>
      </c>
      <c r="CX183" s="156">
        <v>0.0</v>
      </c>
      <c r="CY183" s="156">
        <v>0.0</v>
      </c>
      <c r="CZ183" s="156">
        <v>0.0</v>
      </c>
      <c r="DA183" s="156">
        <v>0.0</v>
      </c>
      <c r="EG183" s="156">
        <v>0.0</v>
      </c>
      <c r="EH183" s="156">
        <v>0.0</v>
      </c>
      <c r="EI183" s="156">
        <v>0.0</v>
      </c>
      <c r="EJ183" s="156">
        <v>0.0</v>
      </c>
      <c r="EK183" s="156">
        <v>0.0</v>
      </c>
      <c r="EL183" s="156">
        <v>0.0</v>
      </c>
      <c r="FQ183" s="156">
        <v>0.0</v>
      </c>
      <c r="FR183" s="156">
        <v>0.0</v>
      </c>
      <c r="FS183" s="156">
        <v>0.0</v>
      </c>
      <c r="FT183" s="156">
        <v>0.0</v>
      </c>
      <c r="FU183" s="156">
        <v>0.0</v>
      </c>
      <c r="FV183" s="156">
        <v>0.0</v>
      </c>
      <c r="FW183" s="157"/>
      <c r="FX183" s="157"/>
      <c r="FY183" s="157"/>
      <c r="FZ183" s="157"/>
      <c r="GA183" s="157"/>
      <c r="GB183" s="157"/>
      <c r="GC183" s="157"/>
      <c r="GD183" s="157"/>
      <c r="GE183" s="157"/>
      <c r="GF183" s="157"/>
      <c r="GG183" s="157"/>
      <c r="GH183" s="157"/>
      <c r="GI183" s="157"/>
      <c r="GJ183" s="157"/>
      <c r="GK183" s="157"/>
      <c r="GL183" s="157"/>
      <c r="GM183" s="157"/>
      <c r="GN183" s="157"/>
      <c r="GO183" s="157"/>
      <c r="GP183" s="158"/>
      <c r="GQ183" s="157"/>
      <c r="GR183" s="157"/>
      <c r="GS183" s="157"/>
      <c r="GT183" s="157"/>
      <c r="GU183" s="157"/>
      <c r="GV183" s="157"/>
      <c r="GW183" s="157"/>
      <c r="GX183" s="157"/>
      <c r="GY183" s="157"/>
      <c r="GZ183" s="157"/>
      <c r="HA183" s="157"/>
      <c r="HB183" s="155">
        <v>0.0</v>
      </c>
      <c r="HC183" s="155">
        <v>0.0</v>
      </c>
      <c r="HD183" s="155">
        <v>0.0</v>
      </c>
      <c r="HE183" s="155">
        <v>0.0</v>
      </c>
      <c r="HF183" s="155">
        <v>0.0</v>
      </c>
      <c r="HG183" s="155">
        <v>0.0</v>
      </c>
      <c r="IL183" s="159">
        <v>0.0</v>
      </c>
      <c r="IM183" s="156">
        <v>0.0</v>
      </c>
      <c r="IN183" s="156">
        <v>0.0</v>
      </c>
      <c r="IO183" s="156">
        <v>0.0</v>
      </c>
      <c r="IP183" s="156">
        <v>0.0</v>
      </c>
      <c r="IQ183" s="160">
        <v>0.0</v>
      </c>
      <c r="JH183" s="25"/>
      <c r="JW183" s="159">
        <v>7.0</v>
      </c>
      <c r="JX183" s="156">
        <v>0.0</v>
      </c>
      <c r="JY183" s="156">
        <v>0.0</v>
      </c>
      <c r="JZ183" s="156">
        <v>0.0</v>
      </c>
      <c r="KA183" s="156">
        <v>0.0</v>
      </c>
      <c r="KB183" s="160">
        <v>0.0</v>
      </c>
      <c r="KI183" s="86">
        <v>1.0</v>
      </c>
      <c r="KL183" s="86">
        <v>1.0</v>
      </c>
      <c r="KS183" s="378">
        <v>1.0</v>
      </c>
      <c r="KU183" s="86">
        <v>1.0</v>
      </c>
      <c r="KW183" s="86">
        <v>1.0</v>
      </c>
      <c r="LB183" s="86">
        <v>1.0</v>
      </c>
      <c r="LD183" s="86">
        <v>1.0</v>
      </c>
      <c r="LH183" s="159">
        <f t="shared" si="10"/>
        <v>0</v>
      </c>
      <c r="LI183" s="156">
        <f t="shared" si="11"/>
        <v>0</v>
      </c>
      <c r="LJ183" s="156">
        <f t="shared" si="12"/>
        <v>0</v>
      </c>
      <c r="LK183" s="156">
        <f t="shared" si="13"/>
        <v>0</v>
      </c>
      <c r="LL183" s="156">
        <f t="shared" si="14"/>
        <v>0</v>
      </c>
      <c r="LM183" s="160">
        <f t="shared" si="15"/>
        <v>0</v>
      </c>
      <c r="QX183" s="107">
        <v>45860.0</v>
      </c>
    </row>
    <row r="184">
      <c r="A184" s="12"/>
      <c r="B184" s="12"/>
      <c r="C184" s="12"/>
      <c r="D184" s="12"/>
      <c r="E184" s="12"/>
      <c r="F184" s="12"/>
      <c r="G184" s="12"/>
      <c r="H184" s="12"/>
      <c r="I184" s="143">
        <f t="shared" si="5"/>
        <v>-5</v>
      </c>
      <c r="J184" s="144">
        <v>45862.0</v>
      </c>
      <c r="K184" s="49" t="s">
        <v>61</v>
      </c>
      <c r="L184" s="144">
        <v>45896.0</v>
      </c>
      <c r="M184" s="147" t="s">
        <v>1157</v>
      </c>
      <c r="N184" s="148">
        <v>357.0</v>
      </c>
      <c r="O184" s="148">
        <v>30.0</v>
      </c>
      <c r="P184" s="26"/>
      <c r="Q184" s="26"/>
      <c r="R184" s="26"/>
      <c r="S184" s="26"/>
      <c r="T184" s="26"/>
      <c r="U184" s="147" t="s">
        <v>343</v>
      </c>
      <c r="V184" s="197"/>
      <c r="W184" s="198" t="s">
        <v>2427</v>
      </c>
      <c r="X184" s="181">
        <v>5.0</v>
      </c>
      <c r="Y184" s="166">
        <f t="shared" si="6"/>
        <v>5</v>
      </c>
      <c r="Z184" s="26">
        <f t="shared" si="7"/>
        <v>0</v>
      </c>
      <c r="AA184" s="26">
        <f t="shared" si="8"/>
        <v>0</v>
      </c>
      <c r="AB184" s="26">
        <f t="shared" si="9"/>
        <v>0</v>
      </c>
      <c r="AC184" s="155">
        <v>0.0</v>
      </c>
      <c r="AD184" s="155">
        <v>0.0</v>
      </c>
      <c r="AE184" s="155">
        <v>0.0</v>
      </c>
      <c r="AF184" s="155">
        <v>0.0</v>
      </c>
      <c r="AG184" s="155">
        <v>0.0</v>
      </c>
      <c r="AH184" s="155">
        <v>0.0</v>
      </c>
      <c r="BN184" s="155">
        <v>0.0</v>
      </c>
      <c r="BO184" s="155">
        <v>0.0</v>
      </c>
      <c r="BP184" s="155">
        <v>0.0</v>
      </c>
      <c r="BQ184" s="155">
        <v>0.0</v>
      </c>
      <c r="BR184" s="155">
        <v>0.0</v>
      </c>
      <c r="BS184" s="155">
        <v>0.0</v>
      </c>
      <c r="CV184" s="156">
        <v>0.0</v>
      </c>
      <c r="CW184" s="156">
        <v>0.0</v>
      </c>
      <c r="CX184" s="156">
        <v>0.0</v>
      </c>
      <c r="CY184" s="156">
        <v>0.0</v>
      </c>
      <c r="CZ184" s="156">
        <v>0.0</v>
      </c>
      <c r="DA184" s="156">
        <v>0.0</v>
      </c>
      <c r="EG184" s="156">
        <v>0.0</v>
      </c>
      <c r="EH184" s="156">
        <v>0.0</v>
      </c>
      <c r="EI184" s="156">
        <v>0.0</v>
      </c>
      <c r="EJ184" s="156">
        <v>0.0</v>
      </c>
      <c r="EK184" s="156">
        <v>0.0</v>
      </c>
      <c r="EL184" s="156">
        <v>0.0</v>
      </c>
      <c r="FQ184" s="156">
        <v>0.0</v>
      </c>
      <c r="FR184" s="156">
        <v>0.0</v>
      </c>
      <c r="FS184" s="156">
        <v>0.0</v>
      </c>
      <c r="FT184" s="156">
        <v>0.0</v>
      </c>
      <c r="FU184" s="156">
        <v>0.0</v>
      </c>
      <c r="FV184" s="156">
        <v>0.0</v>
      </c>
      <c r="FW184" s="157"/>
      <c r="FX184" s="157"/>
      <c r="FY184" s="157"/>
      <c r="FZ184" s="157"/>
      <c r="GA184" s="157"/>
      <c r="GB184" s="157"/>
      <c r="GC184" s="157"/>
      <c r="GD184" s="157"/>
      <c r="GE184" s="157"/>
      <c r="GF184" s="157"/>
      <c r="GG184" s="157"/>
      <c r="GH184" s="157"/>
      <c r="GI184" s="157"/>
      <c r="GJ184" s="157"/>
      <c r="GK184" s="157"/>
      <c r="GL184" s="157"/>
      <c r="GM184" s="157"/>
      <c r="GN184" s="157"/>
      <c r="GO184" s="157"/>
      <c r="GP184" s="158"/>
      <c r="GQ184" s="157"/>
      <c r="GR184" s="157"/>
      <c r="GS184" s="157"/>
      <c r="GT184" s="157"/>
      <c r="GU184" s="157"/>
      <c r="GV184" s="157"/>
      <c r="GW184" s="157"/>
      <c r="GX184" s="157"/>
      <c r="GY184" s="157"/>
      <c r="GZ184" s="157"/>
      <c r="HA184" s="157"/>
      <c r="HB184" s="155">
        <v>0.0</v>
      </c>
      <c r="HC184" s="155">
        <v>0.0</v>
      </c>
      <c r="HD184" s="155">
        <v>0.0</v>
      </c>
      <c r="HE184" s="155">
        <v>0.0</v>
      </c>
      <c r="HF184" s="155">
        <v>0.0</v>
      </c>
      <c r="HG184" s="155">
        <v>0.0</v>
      </c>
      <c r="IL184" s="159">
        <v>0.0</v>
      </c>
      <c r="IM184" s="156">
        <v>0.0</v>
      </c>
      <c r="IN184" s="156">
        <v>0.0</v>
      </c>
      <c r="IO184" s="156">
        <v>0.0</v>
      </c>
      <c r="IP184" s="156">
        <v>0.0</v>
      </c>
      <c r="IQ184" s="160">
        <v>0.0</v>
      </c>
      <c r="JH184" s="25"/>
      <c r="JW184" s="159">
        <v>0.0</v>
      </c>
      <c r="JX184" s="156">
        <v>0.0</v>
      </c>
      <c r="JY184" s="156">
        <v>0.0</v>
      </c>
      <c r="JZ184" s="156">
        <v>0.0</v>
      </c>
      <c r="KA184" s="156">
        <v>0.0</v>
      </c>
      <c r="KB184" s="160">
        <v>0.0</v>
      </c>
      <c r="LH184" s="159">
        <f t="shared" si="10"/>
        <v>0</v>
      </c>
      <c r="LI184" s="156">
        <f t="shared" si="11"/>
        <v>0</v>
      </c>
      <c r="LJ184" s="156">
        <f t="shared" si="12"/>
        <v>0</v>
      </c>
      <c r="LK184" s="156">
        <f t="shared" si="13"/>
        <v>0</v>
      </c>
      <c r="LL184" s="156">
        <f t="shared" si="14"/>
        <v>0</v>
      </c>
      <c r="LM184" s="160">
        <f t="shared" si="15"/>
        <v>0</v>
      </c>
      <c r="QX184" s="107">
        <v>45860.0</v>
      </c>
    </row>
    <row r="185">
      <c r="A185" s="12"/>
      <c r="B185" s="12"/>
      <c r="C185" s="12"/>
      <c r="D185" s="12"/>
      <c r="E185" s="12"/>
      <c r="F185" s="12"/>
      <c r="G185" s="12"/>
      <c r="H185" s="12"/>
      <c r="I185" s="143">
        <f t="shared" si="5"/>
        <v>-30</v>
      </c>
      <c r="J185" s="144">
        <v>45870.0</v>
      </c>
      <c r="K185" s="173" t="s">
        <v>61</v>
      </c>
      <c r="L185" s="144">
        <v>45957.0</v>
      </c>
      <c r="M185" s="147" t="s">
        <v>348</v>
      </c>
      <c r="N185" s="148">
        <v>246.0</v>
      </c>
      <c r="O185" s="148">
        <v>30.0</v>
      </c>
      <c r="P185" s="26"/>
      <c r="Q185" s="26"/>
      <c r="R185" s="26"/>
      <c r="S185" s="26"/>
      <c r="T185" s="26"/>
      <c r="U185" s="147" t="s">
        <v>675</v>
      </c>
      <c r="V185" s="149" t="s">
        <v>2439</v>
      </c>
      <c r="W185" s="198" t="s">
        <v>2440</v>
      </c>
      <c r="X185" s="181">
        <v>30.0</v>
      </c>
      <c r="Y185" s="166">
        <f t="shared" si="6"/>
        <v>30</v>
      </c>
      <c r="Z185" s="26">
        <f t="shared" si="7"/>
        <v>0</v>
      </c>
      <c r="AA185" s="26">
        <f t="shared" si="8"/>
        <v>0</v>
      </c>
      <c r="AB185" s="26">
        <f t="shared" si="9"/>
        <v>0</v>
      </c>
      <c r="AC185" s="155">
        <v>0.0</v>
      </c>
      <c r="AD185" s="155">
        <v>0.0</v>
      </c>
      <c r="AE185" s="155">
        <v>0.0</v>
      </c>
      <c r="AF185" s="155">
        <v>0.0</v>
      </c>
      <c r="AG185" s="155">
        <v>0.0</v>
      </c>
      <c r="AH185" s="155">
        <v>0.0</v>
      </c>
      <c r="BN185" s="155">
        <v>0.0</v>
      </c>
      <c r="BO185" s="155">
        <v>0.0</v>
      </c>
      <c r="BP185" s="155">
        <v>0.0</v>
      </c>
      <c r="BQ185" s="155">
        <v>0.0</v>
      </c>
      <c r="BR185" s="155">
        <v>0.0</v>
      </c>
      <c r="BS185" s="155">
        <v>0.0</v>
      </c>
      <c r="CV185" s="156">
        <v>0.0</v>
      </c>
      <c r="CW185" s="156">
        <v>0.0</v>
      </c>
      <c r="CX185" s="156">
        <v>0.0</v>
      </c>
      <c r="CY185" s="156">
        <v>0.0</v>
      </c>
      <c r="CZ185" s="156">
        <v>0.0</v>
      </c>
      <c r="DA185" s="156">
        <v>0.0</v>
      </c>
      <c r="EG185" s="156">
        <v>0.0</v>
      </c>
      <c r="EH185" s="156">
        <v>0.0</v>
      </c>
      <c r="EI185" s="156">
        <v>0.0</v>
      </c>
      <c r="EJ185" s="156">
        <v>0.0</v>
      </c>
      <c r="EK185" s="156">
        <v>0.0</v>
      </c>
      <c r="EL185" s="156">
        <v>0.0</v>
      </c>
      <c r="FQ185" s="156">
        <v>0.0</v>
      </c>
      <c r="FR185" s="156">
        <v>0.0</v>
      </c>
      <c r="FS185" s="156">
        <v>0.0</v>
      </c>
      <c r="FT185" s="156">
        <v>0.0</v>
      </c>
      <c r="FU185" s="156">
        <v>0.0</v>
      </c>
      <c r="FV185" s="156">
        <v>0.0</v>
      </c>
      <c r="FW185" s="157"/>
      <c r="FX185" s="157"/>
      <c r="FY185" s="157"/>
      <c r="FZ185" s="157"/>
      <c r="GA185" s="157"/>
      <c r="GB185" s="157"/>
      <c r="GC185" s="157"/>
      <c r="GD185" s="157"/>
      <c r="GE185" s="157"/>
      <c r="GF185" s="157"/>
      <c r="GG185" s="157"/>
      <c r="GH185" s="157"/>
      <c r="GI185" s="157"/>
      <c r="GJ185" s="157"/>
      <c r="GK185" s="157"/>
      <c r="GL185" s="157"/>
      <c r="GM185" s="157"/>
      <c r="GN185" s="157"/>
      <c r="GO185" s="157"/>
      <c r="GP185" s="158"/>
      <c r="GQ185" s="157"/>
      <c r="GR185" s="157"/>
      <c r="GS185" s="157"/>
      <c r="GT185" s="157"/>
      <c r="GU185" s="157"/>
      <c r="GV185" s="157"/>
      <c r="GW185" s="157"/>
      <c r="GX185" s="157"/>
      <c r="GY185" s="157"/>
      <c r="GZ185" s="157"/>
      <c r="HA185" s="157"/>
      <c r="HB185" s="155">
        <v>0.0</v>
      </c>
      <c r="HC185" s="155">
        <v>0.0</v>
      </c>
      <c r="HD185" s="155">
        <v>0.0</v>
      </c>
      <c r="HE185" s="155">
        <v>0.0</v>
      </c>
      <c r="HF185" s="155">
        <v>0.0</v>
      </c>
      <c r="HG185" s="155">
        <v>0.0</v>
      </c>
      <c r="IL185" s="159">
        <v>0.0</v>
      </c>
      <c r="IM185" s="156">
        <v>0.0</v>
      </c>
      <c r="IN185" s="156">
        <v>0.0</v>
      </c>
      <c r="IO185" s="156">
        <v>0.0</v>
      </c>
      <c r="IP185" s="156">
        <v>0.0</v>
      </c>
      <c r="IQ185" s="160">
        <v>0.0</v>
      </c>
      <c r="JH185" s="25"/>
      <c r="JW185" s="159">
        <v>0.0</v>
      </c>
      <c r="JX185" s="156">
        <v>0.0</v>
      </c>
      <c r="JY185" s="156">
        <v>0.0</v>
      </c>
      <c r="JZ185" s="156">
        <v>0.0</v>
      </c>
      <c r="KA185" s="156">
        <v>0.0</v>
      </c>
      <c r="KB185" s="160">
        <v>0.0</v>
      </c>
      <c r="LH185" s="159">
        <f t="shared" si="10"/>
        <v>0</v>
      </c>
      <c r="LI185" s="156">
        <f t="shared" si="11"/>
        <v>0</v>
      </c>
      <c r="LJ185" s="156">
        <f t="shared" si="12"/>
        <v>0</v>
      </c>
      <c r="LK185" s="156">
        <f t="shared" si="13"/>
        <v>0</v>
      </c>
      <c r="LL185" s="156">
        <f t="shared" si="14"/>
        <v>0</v>
      </c>
      <c r="LM185" s="160">
        <f t="shared" si="15"/>
        <v>0</v>
      </c>
      <c r="QX185" s="107">
        <v>45860.0</v>
      </c>
    </row>
    <row r="186">
      <c r="A186" s="12"/>
      <c r="B186" s="12"/>
      <c r="C186" s="12"/>
      <c r="D186" s="12"/>
      <c r="E186" s="12"/>
      <c r="F186" s="12"/>
      <c r="G186" s="12"/>
      <c r="H186" s="12"/>
      <c r="I186" s="143">
        <f t="shared" si="5"/>
        <v>-30</v>
      </c>
      <c r="J186" s="144">
        <v>45862.0</v>
      </c>
      <c r="K186" s="173" t="s">
        <v>61</v>
      </c>
      <c r="L186" s="144">
        <v>45929.0</v>
      </c>
      <c r="M186" s="147" t="s">
        <v>107</v>
      </c>
      <c r="N186" s="148">
        <v>357.0</v>
      </c>
      <c r="O186" s="148">
        <v>30.0</v>
      </c>
      <c r="P186" s="148">
        <v>30.0</v>
      </c>
      <c r="Q186" s="148">
        <v>30.0</v>
      </c>
      <c r="R186" s="148">
        <v>30.0</v>
      </c>
      <c r="S186" s="148">
        <v>30.0</v>
      </c>
      <c r="T186" s="148">
        <v>30.0</v>
      </c>
      <c r="U186" s="147" t="s">
        <v>2133</v>
      </c>
      <c r="V186" s="197"/>
      <c r="W186" s="198" t="s">
        <v>2450</v>
      </c>
      <c r="X186" s="181">
        <v>30.0</v>
      </c>
      <c r="Y186" s="166">
        <f t="shared" si="6"/>
        <v>30</v>
      </c>
      <c r="Z186" s="26">
        <f t="shared" si="7"/>
        <v>0</v>
      </c>
      <c r="AA186" s="26">
        <f t="shared" si="8"/>
        <v>0</v>
      </c>
      <c r="AB186" s="26">
        <f t="shared" si="9"/>
        <v>0</v>
      </c>
      <c r="AC186" s="155">
        <v>0.0</v>
      </c>
      <c r="AD186" s="155">
        <v>0.0</v>
      </c>
      <c r="AE186" s="155">
        <v>0.0</v>
      </c>
      <c r="AF186" s="155">
        <v>0.0</v>
      </c>
      <c r="AG186" s="155">
        <v>0.0</v>
      </c>
      <c r="AH186" s="155">
        <v>0.0</v>
      </c>
      <c r="BN186" s="155">
        <v>0.0</v>
      </c>
      <c r="BO186" s="155">
        <v>0.0</v>
      </c>
      <c r="BP186" s="155">
        <v>0.0</v>
      </c>
      <c r="BQ186" s="155">
        <v>0.0</v>
      </c>
      <c r="BR186" s="155">
        <v>0.0</v>
      </c>
      <c r="BS186" s="155">
        <v>0.0</v>
      </c>
      <c r="CV186" s="156">
        <v>0.0</v>
      </c>
      <c r="CW186" s="156">
        <v>0.0</v>
      </c>
      <c r="CX186" s="156">
        <v>0.0</v>
      </c>
      <c r="CY186" s="156">
        <v>0.0</v>
      </c>
      <c r="CZ186" s="156">
        <v>0.0</v>
      </c>
      <c r="DA186" s="156">
        <v>0.0</v>
      </c>
      <c r="EG186" s="156">
        <v>0.0</v>
      </c>
      <c r="EH186" s="156">
        <v>0.0</v>
      </c>
      <c r="EI186" s="156">
        <v>0.0</v>
      </c>
      <c r="EJ186" s="156">
        <v>0.0</v>
      </c>
      <c r="EK186" s="156">
        <v>0.0</v>
      </c>
      <c r="EL186" s="156">
        <v>0.0</v>
      </c>
      <c r="FQ186" s="156">
        <v>0.0</v>
      </c>
      <c r="FR186" s="156">
        <v>0.0</v>
      </c>
      <c r="FS186" s="156">
        <v>0.0</v>
      </c>
      <c r="FT186" s="156">
        <v>0.0</v>
      </c>
      <c r="FU186" s="156">
        <v>0.0</v>
      </c>
      <c r="FV186" s="156">
        <v>0.0</v>
      </c>
      <c r="FW186" s="157"/>
      <c r="FX186" s="157"/>
      <c r="FY186" s="157"/>
      <c r="FZ186" s="157"/>
      <c r="GA186" s="157"/>
      <c r="GB186" s="157"/>
      <c r="GC186" s="157"/>
      <c r="GD186" s="157"/>
      <c r="GE186" s="157"/>
      <c r="GF186" s="157"/>
      <c r="GG186" s="157"/>
      <c r="GH186" s="157"/>
      <c r="GI186" s="157"/>
      <c r="GJ186" s="157"/>
      <c r="GK186" s="157"/>
      <c r="GL186" s="157"/>
      <c r="GM186" s="157"/>
      <c r="GN186" s="157"/>
      <c r="GO186" s="157"/>
      <c r="GP186" s="158"/>
      <c r="GQ186" s="157"/>
      <c r="GR186" s="157"/>
      <c r="GS186" s="157"/>
      <c r="GT186" s="157"/>
      <c r="GU186" s="157"/>
      <c r="GV186" s="157"/>
      <c r="GW186" s="157"/>
      <c r="GX186" s="157"/>
      <c r="GY186" s="157"/>
      <c r="GZ186" s="157"/>
      <c r="HA186" s="157"/>
      <c r="HB186" s="155">
        <v>0.0</v>
      </c>
      <c r="HC186" s="155">
        <v>0.0</v>
      </c>
      <c r="HD186" s="155">
        <v>0.0</v>
      </c>
      <c r="HE186" s="155">
        <v>0.0</v>
      </c>
      <c r="HF186" s="155">
        <v>0.0</v>
      </c>
      <c r="HG186" s="155">
        <v>0.0</v>
      </c>
      <c r="IL186" s="159">
        <v>0.0</v>
      </c>
      <c r="IM186" s="156">
        <v>0.0</v>
      </c>
      <c r="IN186" s="156">
        <v>0.0</v>
      </c>
      <c r="IO186" s="156">
        <v>0.0</v>
      </c>
      <c r="IP186" s="156">
        <v>0.0</v>
      </c>
      <c r="IQ186" s="160">
        <v>0.0</v>
      </c>
      <c r="JH186" s="25"/>
      <c r="JW186" s="159">
        <v>0.0</v>
      </c>
      <c r="JX186" s="156">
        <v>0.0</v>
      </c>
      <c r="JY186" s="156">
        <v>0.0</v>
      </c>
      <c r="JZ186" s="156">
        <v>0.0</v>
      </c>
      <c r="KA186" s="156">
        <v>0.0</v>
      </c>
      <c r="KB186" s="160">
        <v>0.0</v>
      </c>
      <c r="LH186" s="159">
        <f t="shared" si="10"/>
        <v>0</v>
      </c>
      <c r="LI186" s="156">
        <f t="shared" si="11"/>
        <v>0</v>
      </c>
      <c r="LJ186" s="156">
        <f t="shared" si="12"/>
        <v>0</v>
      </c>
      <c r="LK186" s="156">
        <f t="shared" si="13"/>
        <v>0</v>
      </c>
      <c r="LL186" s="156">
        <f t="shared" si="14"/>
        <v>0</v>
      </c>
      <c r="LM186" s="160">
        <f t="shared" si="15"/>
        <v>0</v>
      </c>
      <c r="QX186" s="107">
        <v>45860.0</v>
      </c>
    </row>
    <row r="187">
      <c r="A187" s="12"/>
      <c r="B187" s="12"/>
      <c r="C187" s="12"/>
      <c r="D187" s="12"/>
      <c r="E187" s="12"/>
      <c r="F187" s="12"/>
      <c r="G187" s="12"/>
      <c r="H187" s="12"/>
      <c r="I187" s="143">
        <f t="shared" si="5"/>
        <v>-18</v>
      </c>
      <c r="J187" s="144">
        <v>45862.0</v>
      </c>
      <c r="K187" s="173" t="s">
        <v>61</v>
      </c>
      <c r="L187" s="144">
        <v>45905.0</v>
      </c>
      <c r="M187" s="147" t="s">
        <v>107</v>
      </c>
      <c r="N187" s="148">
        <v>357.0</v>
      </c>
      <c r="O187" s="148">
        <v>30.0</v>
      </c>
      <c r="P187" s="26"/>
      <c r="Q187" s="26"/>
      <c r="R187" s="26"/>
      <c r="S187" s="26"/>
      <c r="T187" s="26"/>
      <c r="U187" s="147" t="s">
        <v>1894</v>
      </c>
      <c r="V187" s="197"/>
      <c r="W187" s="150" t="s">
        <v>2464</v>
      </c>
      <c r="X187" s="181">
        <v>18.0</v>
      </c>
      <c r="Y187" s="166">
        <f t="shared" si="6"/>
        <v>18</v>
      </c>
      <c r="Z187" s="26">
        <f t="shared" si="7"/>
        <v>0</v>
      </c>
      <c r="AA187" s="26">
        <f t="shared" si="8"/>
        <v>0</v>
      </c>
      <c r="AB187" s="26">
        <f t="shared" si="9"/>
        <v>0</v>
      </c>
      <c r="AC187" s="155">
        <v>0.0</v>
      </c>
      <c r="AD187" s="155">
        <v>0.0</v>
      </c>
      <c r="AE187" s="155">
        <v>0.0</v>
      </c>
      <c r="AF187" s="155">
        <v>0.0</v>
      </c>
      <c r="AG187" s="155">
        <v>0.0</v>
      </c>
      <c r="AH187" s="155">
        <v>0.0</v>
      </c>
      <c r="BN187" s="155">
        <v>0.0</v>
      </c>
      <c r="BO187" s="155">
        <v>0.0</v>
      </c>
      <c r="BP187" s="155">
        <v>0.0</v>
      </c>
      <c r="BQ187" s="155">
        <v>0.0</v>
      </c>
      <c r="BR187" s="155">
        <v>0.0</v>
      </c>
      <c r="BS187" s="155">
        <v>0.0</v>
      </c>
      <c r="CV187" s="156">
        <v>0.0</v>
      </c>
      <c r="CW187" s="156">
        <v>0.0</v>
      </c>
      <c r="CX187" s="156">
        <v>0.0</v>
      </c>
      <c r="CY187" s="156">
        <v>0.0</v>
      </c>
      <c r="CZ187" s="156">
        <v>0.0</v>
      </c>
      <c r="DA187" s="156">
        <v>0.0</v>
      </c>
      <c r="EG187" s="156">
        <v>0.0</v>
      </c>
      <c r="EH187" s="156">
        <v>0.0</v>
      </c>
      <c r="EI187" s="156">
        <v>0.0</v>
      </c>
      <c r="EJ187" s="156">
        <v>0.0</v>
      </c>
      <c r="EK187" s="156">
        <v>0.0</v>
      </c>
      <c r="EL187" s="156">
        <v>0.0</v>
      </c>
      <c r="FQ187" s="156">
        <v>0.0</v>
      </c>
      <c r="FR187" s="156">
        <v>0.0</v>
      </c>
      <c r="FS187" s="156">
        <v>0.0</v>
      </c>
      <c r="FT187" s="156">
        <v>0.0</v>
      </c>
      <c r="FU187" s="156">
        <v>0.0</v>
      </c>
      <c r="FV187" s="156">
        <v>0.0</v>
      </c>
      <c r="FW187" s="157"/>
      <c r="FX187" s="157"/>
      <c r="FY187" s="157"/>
      <c r="FZ187" s="157"/>
      <c r="GA187" s="157"/>
      <c r="GB187" s="157"/>
      <c r="GC187" s="157"/>
      <c r="GD187" s="157"/>
      <c r="GE187" s="157"/>
      <c r="GF187" s="157"/>
      <c r="GG187" s="157"/>
      <c r="GH187" s="157"/>
      <c r="GI187" s="157"/>
      <c r="GJ187" s="157"/>
      <c r="GK187" s="157"/>
      <c r="GL187" s="157"/>
      <c r="GM187" s="157"/>
      <c r="GN187" s="157"/>
      <c r="GO187" s="157"/>
      <c r="GP187" s="158"/>
      <c r="GQ187" s="157"/>
      <c r="GR187" s="157"/>
      <c r="GS187" s="157"/>
      <c r="GT187" s="157"/>
      <c r="GU187" s="157"/>
      <c r="GV187" s="157"/>
      <c r="GW187" s="157"/>
      <c r="GX187" s="157"/>
      <c r="GY187" s="157"/>
      <c r="GZ187" s="157"/>
      <c r="HA187" s="157"/>
      <c r="HB187" s="155">
        <v>0.0</v>
      </c>
      <c r="HC187" s="155">
        <v>0.0</v>
      </c>
      <c r="HD187" s="155">
        <v>0.0</v>
      </c>
      <c r="HE187" s="155">
        <v>0.0</v>
      </c>
      <c r="HF187" s="155">
        <v>0.0</v>
      </c>
      <c r="HG187" s="155">
        <v>0.0</v>
      </c>
      <c r="IL187" s="159">
        <v>0.0</v>
      </c>
      <c r="IM187" s="156">
        <v>0.0</v>
      </c>
      <c r="IN187" s="156">
        <v>0.0</v>
      </c>
      <c r="IO187" s="156">
        <v>0.0</v>
      </c>
      <c r="IP187" s="156">
        <v>0.0</v>
      </c>
      <c r="IQ187" s="160">
        <v>0.0</v>
      </c>
      <c r="JH187" s="25"/>
      <c r="JW187" s="159">
        <v>0.0</v>
      </c>
      <c r="JX187" s="156">
        <v>0.0</v>
      </c>
      <c r="JY187" s="156">
        <v>0.0</v>
      </c>
      <c r="JZ187" s="156">
        <v>0.0</v>
      </c>
      <c r="KA187" s="156">
        <v>0.0</v>
      </c>
      <c r="KB187" s="160">
        <v>0.0</v>
      </c>
      <c r="LH187" s="159">
        <f t="shared" si="10"/>
        <v>0</v>
      </c>
      <c r="LI187" s="156">
        <f t="shared" si="11"/>
        <v>0</v>
      </c>
      <c r="LJ187" s="156">
        <f t="shared" si="12"/>
        <v>0</v>
      </c>
      <c r="LK187" s="156">
        <f t="shared" si="13"/>
        <v>0</v>
      </c>
      <c r="LL187" s="156">
        <f t="shared" si="14"/>
        <v>0</v>
      </c>
      <c r="LM187" s="160">
        <f t="shared" si="15"/>
        <v>0</v>
      </c>
      <c r="QX187" s="107">
        <v>45860.0</v>
      </c>
    </row>
    <row r="188">
      <c r="A188" s="12"/>
      <c r="B188" s="12"/>
      <c r="C188" s="12"/>
      <c r="D188" s="12"/>
      <c r="E188" s="12"/>
      <c r="F188" s="12"/>
      <c r="G188" s="12"/>
      <c r="H188" s="12"/>
      <c r="I188" s="143">
        <f t="shared" si="5"/>
        <v>-30</v>
      </c>
      <c r="J188" s="144">
        <v>45877.0</v>
      </c>
      <c r="K188" s="173" t="s">
        <v>61</v>
      </c>
      <c r="L188" s="144">
        <v>45958.0</v>
      </c>
      <c r="M188" s="147" t="s">
        <v>107</v>
      </c>
      <c r="N188" s="148">
        <v>246.0</v>
      </c>
      <c r="O188" s="148">
        <v>30.0</v>
      </c>
      <c r="P188" s="26"/>
      <c r="Q188" s="26"/>
      <c r="R188" s="26"/>
      <c r="S188" s="26"/>
      <c r="T188" s="26"/>
      <c r="U188" s="26" t="s">
        <v>763</v>
      </c>
      <c r="V188" s="197"/>
      <c r="W188" s="198" t="s">
        <v>2471</v>
      </c>
      <c r="X188" s="181">
        <v>30.0</v>
      </c>
      <c r="Y188" s="166">
        <f t="shared" si="6"/>
        <v>30</v>
      </c>
      <c r="Z188" s="26">
        <f t="shared" si="7"/>
        <v>0</v>
      </c>
      <c r="AA188" s="26">
        <f t="shared" si="8"/>
        <v>0</v>
      </c>
      <c r="AB188" s="26">
        <f t="shared" si="9"/>
        <v>0</v>
      </c>
      <c r="AC188" s="155">
        <v>0.0</v>
      </c>
      <c r="AD188" s="155">
        <v>0.0</v>
      </c>
      <c r="AE188" s="155">
        <v>0.0</v>
      </c>
      <c r="AF188" s="155">
        <v>0.0</v>
      </c>
      <c r="AG188" s="155">
        <v>0.0</v>
      </c>
      <c r="AH188" s="155">
        <v>0.0</v>
      </c>
      <c r="BN188" s="155">
        <v>0.0</v>
      </c>
      <c r="BO188" s="155">
        <v>0.0</v>
      </c>
      <c r="BP188" s="155">
        <v>0.0</v>
      </c>
      <c r="BQ188" s="155">
        <v>0.0</v>
      </c>
      <c r="BR188" s="155">
        <v>0.0</v>
      </c>
      <c r="BS188" s="155">
        <v>0.0</v>
      </c>
      <c r="CV188" s="156">
        <v>0.0</v>
      </c>
      <c r="CW188" s="156">
        <v>0.0</v>
      </c>
      <c r="CX188" s="156">
        <v>0.0</v>
      </c>
      <c r="CY188" s="156">
        <v>0.0</v>
      </c>
      <c r="CZ188" s="156">
        <v>0.0</v>
      </c>
      <c r="DA188" s="156">
        <v>0.0</v>
      </c>
      <c r="EG188" s="156">
        <v>0.0</v>
      </c>
      <c r="EH188" s="156">
        <v>0.0</v>
      </c>
      <c r="EI188" s="156">
        <v>0.0</v>
      </c>
      <c r="EJ188" s="156">
        <v>0.0</v>
      </c>
      <c r="EK188" s="156">
        <v>0.0</v>
      </c>
      <c r="EL188" s="156">
        <v>0.0</v>
      </c>
      <c r="FQ188" s="156">
        <v>0.0</v>
      </c>
      <c r="FR188" s="156">
        <v>0.0</v>
      </c>
      <c r="FS188" s="156">
        <v>0.0</v>
      </c>
      <c r="FT188" s="156">
        <v>0.0</v>
      </c>
      <c r="FU188" s="156">
        <v>0.0</v>
      </c>
      <c r="FV188" s="156">
        <v>0.0</v>
      </c>
      <c r="FW188" s="157"/>
      <c r="FX188" s="157"/>
      <c r="FY188" s="157"/>
      <c r="FZ188" s="157"/>
      <c r="GA188" s="157"/>
      <c r="GB188" s="157"/>
      <c r="GC188" s="157"/>
      <c r="GD188" s="157"/>
      <c r="GE188" s="157"/>
      <c r="GF188" s="157"/>
      <c r="GG188" s="157"/>
      <c r="GH188" s="157"/>
      <c r="GI188" s="157"/>
      <c r="GJ188" s="157"/>
      <c r="GK188" s="157"/>
      <c r="GL188" s="157"/>
      <c r="GM188" s="157"/>
      <c r="GN188" s="157"/>
      <c r="GO188" s="157"/>
      <c r="GP188" s="158"/>
      <c r="GQ188" s="157"/>
      <c r="GR188" s="157"/>
      <c r="GS188" s="157"/>
      <c r="GT188" s="157"/>
      <c r="GU188" s="157"/>
      <c r="GV188" s="157"/>
      <c r="GW188" s="157"/>
      <c r="GX188" s="157"/>
      <c r="GY188" s="157"/>
      <c r="GZ188" s="157"/>
      <c r="HA188" s="157"/>
      <c r="HB188" s="155">
        <v>0.0</v>
      </c>
      <c r="HC188" s="155">
        <v>0.0</v>
      </c>
      <c r="HD188" s="155">
        <v>0.0</v>
      </c>
      <c r="HE188" s="155">
        <v>0.0</v>
      </c>
      <c r="HF188" s="155">
        <v>0.0</v>
      </c>
      <c r="HG188" s="155">
        <v>0.0</v>
      </c>
      <c r="IL188" s="159">
        <v>0.0</v>
      </c>
      <c r="IM188" s="156">
        <v>0.0</v>
      </c>
      <c r="IN188" s="156">
        <v>0.0</v>
      </c>
      <c r="IO188" s="156">
        <v>0.0</v>
      </c>
      <c r="IP188" s="156">
        <v>0.0</v>
      </c>
      <c r="IQ188" s="160">
        <v>0.0</v>
      </c>
      <c r="JH188" s="25"/>
      <c r="JW188" s="159">
        <v>0.0</v>
      </c>
      <c r="JX188" s="156">
        <v>0.0</v>
      </c>
      <c r="JY188" s="156">
        <v>0.0</v>
      </c>
      <c r="JZ188" s="156">
        <v>0.0</v>
      </c>
      <c r="KA188" s="156">
        <v>0.0</v>
      </c>
      <c r="KB188" s="160">
        <v>0.0</v>
      </c>
      <c r="LH188" s="159">
        <f t="shared" si="10"/>
        <v>0</v>
      </c>
      <c r="LI188" s="156">
        <f t="shared" si="11"/>
        <v>0</v>
      </c>
      <c r="LJ188" s="156">
        <f t="shared" si="12"/>
        <v>0</v>
      </c>
      <c r="LK188" s="156">
        <f t="shared" si="13"/>
        <v>0</v>
      </c>
      <c r="LL188" s="156">
        <f t="shared" si="14"/>
        <v>0</v>
      </c>
      <c r="LM188" s="160">
        <f t="shared" si="15"/>
        <v>0</v>
      </c>
      <c r="QX188" s="107">
        <v>45860.0</v>
      </c>
    </row>
    <row r="189">
      <c r="A189" s="12"/>
      <c r="B189" s="12"/>
      <c r="C189" s="12"/>
      <c r="D189" s="12"/>
      <c r="E189" s="12"/>
      <c r="F189" s="12"/>
      <c r="G189" s="12"/>
      <c r="H189" s="12"/>
      <c r="I189" s="143">
        <f t="shared" si="5"/>
        <v>-23</v>
      </c>
      <c r="J189" s="144">
        <v>45863.0</v>
      </c>
      <c r="K189" s="173" t="s">
        <v>61</v>
      </c>
      <c r="L189" s="144">
        <v>45983.0</v>
      </c>
      <c r="M189" s="147" t="s">
        <v>107</v>
      </c>
      <c r="N189" s="148">
        <v>246.0</v>
      </c>
      <c r="O189" s="148">
        <v>30.0</v>
      </c>
      <c r="P189" s="26"/>
      <c r="Q189" s="26"/>
      <c r="R189" s="26"/>
      <c r="S189" s="26"/>
      <c r="T189" s="26"/>
      <c r="U189" s="147" t="s">
        <v>1828</v>
      </c>
      <c r="V189" s="149" t="s">
        <v>2477</v>
      </c>
      <c r="W189" s="198" t="s">
        <v>2478</v>
      </c>
      <c r="X189" s="181">
        <v>23.0</v>
      </c>
      <c r="Y189" s="166">
        <f t="shared" si="6"/>
        <v>23</v>
      </c>
      <c r="Z189" s="26">
        <f t="shared" si="7"/>
        <v>0</v>
      </c>
      <c r="AA189" s="26">
        <f t="shared" si="8"/>
        <v>0</v>
      </c>
      <c r="AB189" s="26">
        <f t="shared" si="9"/>
        <v>0</v>
      </c>
      <c r="AC189" s="155">
        <v>0.0</v>
      </c>
      <c r="AD189" s="155">
        <v>0.0</v>
      </c>
      <c r="AE189" s="155">
        <v>0.0</v>
      </c>
      <c r="AF189" s="155">
        <v>0.0</v>
      </c>
      <c r="AG189" s="155">
        <v>0.0</v>
      </c>
      <c r="AH189" s="155">
        <v>0.0</v>
      </c>
      <c r="BN189" s="155">
        <v>0.0</v>
      </c>
      <c r="BO189" s="155">
        <v>0.0</v>
      </c>
      <c r="BP189" s="155">
        <v>0.0</v>
      </c>
      <c r="BQ189" s="155">
        <v>0.0</v>
      </c>
      <c r="BR189" s="155">
        <v>0.0</v>
      </c>
      <c r="BS189" s="155">
        <v>0.0</v>
      </c>
      <c r="CV189" s="156">
        <v>0.0</v>
      </c>
      <c r="CW189" s="156">
        <v>0.0</v>
      </c>
      <c r="CX189" s="156">
        <v>0.0</v>
      </c>
      <c r="CY189" s="156">
        <v>0.0</v>
      </c>
      <c r="CZ189" s="156">
        <v>0.0</v>
      </c>
      <c r="DA189" s="156">
        <v>0.0</v>
      </c>
      <c r="EG189" s="156">
        <v>0.0</v>
      </c>
      <c r="EH189" s="156">
        <v>0.0</v>
      </c>
      <c r="EI189" s="156">
        <v>0.0</v>
      </c>
      <c r="EJ189" s="156">
        <v>0.0</v>
      </c>
      <c r="EK189" s="156">
        <v>0.0</v>
      </c>
      <c r="EL189" s="156">
        <v>0.0</v>
      </c>
      <c r="FQ189" s="156">
        <v>0.0</v>
      </c>
      <c r="FR189" s="156">
        <v>0.0</v>
      </c>
      <c r="FS189" s="156">
        <v>0.0</v>
      </c>
      <c r="FT189" s="156">
        <v>0.0</v>
      </c>
      <c r="FU189" s="156">
        <v>0.0</v>
      </c>
      <c r="FV189" s="156">
        <v>0.0</v>
      </c>
      <c r="FW189" s="157"/>
      <c r="FX189" s="157"/>
      <c r="FY189" s="157"/>
      <c r="FZ189" s="157"/>
      <c r="GA189" s="157"/>
      <c r="GB189" s="157"/>
      <c r="GC189" s="157"/>
      <c r="GD189" s="157"/>
      <c r="GE189" s="157"/>
      <c r="GF189" s="157"/>
      <c r="GG189" s="157"/>
      <c r="GH189" s="157"/>
      <c r="GI189" s="157"/>
      <c r="GJ189" s="157"/>
      <c r="GK189" s="157"/>
      <c r="GL189" s="157"/>
      <c r="GM189" s="157"/>
      <c r="GN189" s="157"/>
      <c r="GO189" s="157"/>
      <c r="GP189" s="158"/>
      <c r="GQ189" s="157"/>
      <c r="GR189" s="157"/>
      <c r="GS189" s="157"/>
      <c r="GT189" s="157"/>
      <c r="GU189" s="157"/>
      <c r="GV189" s="157"/>
      <c r="GW189" s="157"/>
      <c r="GX189" s="157"/>
      <c r="GY189" s="157"/>
      <c r="GZ189" s="157"/>
      <c r="HA189" s="157"/>
      <c r="HB189" s="155">
        <v>0.0</v>
      </c>
      <c r="HC189" s="155">
        <v>0.0</v>
      </c>
      <c r="HD189" s="155">
        <v>0.0</v>
      </c>
      <c r="HE189" s="155">
        <v>0.0</v>
      </c>
      <c r="HF189" s="155">
        <v>0.0</v>
      </c>
      <c r="HG189" s="155">
        <v>0.0</v>
      </c>
      <c r="IL189" s="159">
        <v>0.0</v>
      </c>
      <c r="IM189" s="156">
        <v>0.0</v>
      </c>
      <c r="IN189" s="156">
        <v>0.0</v>
      </c>
      <c r="IO189" s="156">
        <v>0.0</v>
      </c>
      <c r="IP189" s="156">
        <v>0.0</v>
      </c>
      <c r="IQ189" s="160">
        <v>0.0</v>
      </c>
      <c r="JH189" s="25"/>
      <c r="JW189" s="159">
        <v>0.0</v>
      </c>
      <c r="JX189" s="156">
        <v>0.0</v>
      </c>
      <c r="JY189" s="156">
        <v>0.0</v>
      </c>
      <c r="JZ189" s="156">
        <v>0.0</v>
      </c>
      <c r="KA189" s="156">
        <v>0.0</v>
      </c>
      <c r="KB189" s="160">
        <v>0.0</v>
      </c>
      <c r="LH189" s="159">
        <f t="shared" si="10"/>
        <v>0</v>
      </c>
      <c r="LI189" s="156">
        <f t="shared" si="11"/>
        <v>0</v>
      </c>
      <c r="LJ189" s="156">
        <f t="shared" si="12"/>
        <v>0</v>
      </c>
      <c r="LK189" s="156">
        <f t="shared" si="13"/>
        <v>0</v>
      </c>
      <c r="LL189" s="156">
        <f t="shared" si="14"/>
        <v>0</v>
      </c>
      <c r="LM189" s="160">
        <f t="shared" si="15"/>
        <v>0</v>
      </c>
      <c r="QX189" s="107">
        <v>45860.0</v>
      </c>
    </row>
    <row r="190">
      <c r="A190" s="12"/>
      <c r="B190" s="12"/>
      <c r="C190" s="12"/>
      <c r="D190" s="12"/>
      <c r="E190" s="12"/>
      <c r="F190" s="12"/>
      <c r="G190" s="12"/>
      <c r="H190" s="12"/>
      <c r="I190" s="143">
        <f t="shared" si="5"/>
        <v>-30</v>
      </c>
      <c r="J190" s="144">
        <v>45864.0</v>
      </c>
      <c r="K190" s="173" t="s">
        <v>61</v>
      </c>
      <c r="L190" s="144">
        <v>45991.0</v>
      </c>
      <c r="M190" s="147" t="s">
        <v>1768</v>
      </c>
      <c r="N190" s="148">
        <v>357.0</v>
      </c>
      <c r="O190" s="148">
        <v>30.0</v>
      </c>
      <c r="P190" s="26"/>
      <c r="Q190" s="26"/>
      <c r="R190" s="26"/>
      <c r="S190" s="26"/>
      <c r="T190" s="26"/>
      <c r="U190" s="147" t="s">
        <v>343</v>
      </c>
      <c r="V190" s="149" t="s">
        <v>344</v>
      </c>
      <c r="W190" s="198" t="s">
        <v>2484</v>
      </c>
      <c r="X190" s="181">
        <v>30.0</v>
      </c>
      <c r="Y190" s="166">
        <f t="shared" si="6"/>
        <v>30</v>
      </c>
      <c r="Z190" s="26">
        <f t="shared" si="7"/>
        <v>0</v>
      </c>
      <c r="AA190" s="26">
        <f t="shared" si="8"/>
        <v>0</v>
      </c>
      <c r="AB190" s="26">
        <f t="shared" si="9"/>
        <v>0</v>
      </c>
      <c r="AC190" s="155">
        <v>0.0</v>
      </c>
      <c r="AD190" s="155">
        <v>0.0</v>
      </c>
      <c r="AE190" s="155">
        <v>0.0</v>
      </c>
      <c r="AF190" s="155">
        <v>0.0</v>
      </c>
      <c r="AG190" s="155">
        <v>0.0</v>
      </c>
      <c r="AH190" s="155">
        <v>0.0</v>
      </c>
      <c r="BN190" s="155">
        <v>0.0</v>
      </c>
      <c r="BO190" s="155">
        <v>0.0</v>
      </c>
      <c r="BP190" s="155">
        <v>0.0</v>
      </c>
      <c r="BQ190" s="155">
        <v>0.0</v>
      </c>
      <c r="BR190" s="155">
        <v>0.0</v>
      </c>
      <c r="BS190" s="155">
        <v>0.0</v>
      </c>
      <c r="CV190" s="156">
        <v>0.0</v>
      </c>
      <c r="CW190" s="156">
        <v>0.0</v>
      </c>
      <c r="CX190" s="156">
        <v>0.0</v>
      </c>
      <c r="CY190" s="156">
        <v>0.0</v>
      </c>
      <c r="CZ190" s="156">
        <v>0.0</v>
      </c>
      <c r="DA190" s="156">
        <v>0.0</v>
      </c>
      <c r="EG190" s="156">
        <v>0.0</v>
      </c>
      <c r="EH190" s="156">
        <v>0.0</v>
      </c>
      <c r="EI190" s="156">
        <v>0.0</v>
      </c>
      <c r="EJ190" s="156">
        <v>0.0</v>
      </c>
      <c r="EK190" s="156">
        <v>0.0</v>
      </c>
      <c r="EL190" s="156">
        <v>0.0</v>
      </c>
      <c r="FQ190" s="156">
        <v>0.0</v>
      </c>
      <c r="FR190" s="156">
        <v>0.0</v>
      </c>
      <c r="FS190" s="156">
        <v>0.0</v>
      </c>
      <c r="FT190" s="156">
        <v>0.0</v>
      </c>
      <c r="FU190" s="156">
        <v>0.0</v>
      </c>
      <c r="FV190" s="156">
        <v>0.0</v>
      </c>
      <c r="FW190" s="157"/>
      <c r="FX190" s="157"/>
      <c r="FY190" s="157"/>
      <c r="FZ190" s="157"/>
      <c r="GA190" s="157"/>
      <c r="GB190" s="157"/>
      <c r="GC190" s="157"/>
      <c r="GD190" s="157"/>
      <c r="GE190" s="157"/>
      <c r="GF190" s="157"/>
      <c r="GG190" s="157"/>
      <c r="GH190" s="157"/>
      <c r="GI190" s="157"/>
      <c r="GJ190" s="157"/>
      <c r="GK190" s="157"/>
      <c r="GL190" s="157"/>
      <c r="GM190" s="157"/>
      <c r="GN190" s="157"/>
      <c r="GO190" s="157"/>
      <c r="GP190" s="158"/>
      <c r="GQ190" s="157"/>
      <c r="GR190" s="157"/>
      <c r="GS190" s="157"/>
      <c r="GT190" s="157"/>
      <c r="GU190" s="157"/>
      <c r="GV190" s="157"/>
      <c r="GW190" s="157"/>
      <c r="GX190" s="157"/>
      <c r="GY190" s="157"/>
      <c r="GZ190" s="157"/>
      <c r="HA190" s="157"/>
      <c r="HB190" s="155">
        <v>0.0</v>
      </c>
      <c r="HC190" s="155">
        <v>0.0</v>
      </c>
      <c r="HD190" s="155">
        <v>0.0</v>
      </c>
      <c r="HE190" s="155">
        <v>0.0</v>
      </c>
      <c r="HF190" s="155">
        <v>0.0</v>
      </c>
      <c r="HG190" s="155">
        <v>0.0</v>
      </c>
      <c r="IL190" s="159">
        <v>0.0</v>
      </c>
      <c r="IM190" s="156">
        <v>0.0</v>
      </c>
      <c r="IN190" s="156">
        <v>0.0</v>
      </c>
      <c r="IO190" s="156">
        <v>0.0</v>
      </c>
      <c r="IP190" s="156">
        <v>0.0</v>
      </c>
      <c r="IQ190" s="160">
        <v>0.0</v>
      </c>
      <c r="JH190" s="25"/>
      <c r="JW190" s="159">
        <v>0.0</v>
      </c>
      <c r="JX190" s="156">
        <v>0.0</v>
      </c>
      <c r="JY190" s="156">
        <v>0.0</v>
      </c>
      <c r="JZ190" s="156">
        <v>0.0</v>
      </c>
      <c r="KA190" s="156">
        <v>0.0</v>
      </c>
      <c r="KB190" s="160">
        <v>0.0</v>
      </c>
      <c r="LH190" s="159">
        <f t="shared" si="10"/>
        <v>0</v>
      </c>
      <c r="LI190" s="156">
        <f t="shared" si="11"/>
        <v>0</v>
      </c>
      <c r="LJ190" s="156">
        <f t="shared" si="12"/>
        <v>0</v>
      </c>
      <c r="LK190" s="156">
        <f t="shared" si="13"/>
        <v>0</v>
      </c>
      <c r="LL190" s="156">
        <f t="shared" si="14"/>
        <v>0</v>
      </c>
      <c r="LM190" s="160">
        <f t="shared" si="15"/>
        <v>0</v>
      </c>
      <c r="QX190" s="107">
        <v>45862.0</v>
      </c>
    </row>
    <row r="191">
      <c r="A191" s="12"/>
      <c r="B191" s="12"/>
      <c r="C191" s="12"/>
      <c r="D191" s="12"/>
      <c r="E191" s="12"/>
      <c r="F191" s="12"/>
      <c r="G191" s="12"/>
      <c r="H191" s="12"/>
      <c r="I191" s="143">
        <f t="shared" si="5"/>
        <v>-29</v>
      </c>
      <c r="J191" s="144">
        <v>45864.0</v>
      </c>
      <c r="K191" s="145" t="s">
        <v>61</v>
      </c>
      <c r="L191" s="171">
        <v>46046.0</v>
      </c>
      <c r="M191" s="147" t="s">
        <v>2490</v>
      </c>
      <c r="N191" s="148" t="s">
        <v>2246</v>
      </c>
      <c r="O191" s="148">
        <v>30.0</v>
      </c>
      <c r="P191" s="26"/>
      <c r="Q191" s="26"/>
      <c r="R191" s="26"/>
      <c r="S191" s="26"/>
      <c r="T191" s="26"/>
      <c r="U191" s="147" t="s">
        <v>2491</v>
      </c>
      <c r="V191" s="149" t="s">
        <v>269</v>
      </c>
      <c r="W191" s="198" t="s">
        <v>2493</v>
      </c>
      <c r="X191" s="181">
        <v>27.0</v>
      </c>
      <c r="Y191" s="166">
        <f t="shared" si="6"/>
        <v>29</v>
      </c>
      <c r="Z191" s="26">
        <f t="shared" si="7"/>
        <v>0</v>
      </c>
      <c r="AA191" s="26">
        <f t="shared" si="8"/>
        <v>0</v>
      </c>
      <c r="AB191" s="26">
        <f t="shared" si="9"/>
        <v>0</v>
      </c>
      <c r="AC191" s="155">
        <v>2.0</v>
      </c>
      <c r="AD191" s="155">
        <v>0.0</v>
      </c>
      <c r="AE191" s="155">
        <v>0.0</v>
      </c>
      <c r="AF191" s="155">
        <v>0.0</v>
      </c>
      <c r="AG191" s="155">
        <v>0.0</v>
      </c>
      <c r="AH191" s="155">
        <v>0.0</v>
      </c>
      <c r="AS191" s="86">
        <v>1.0</v>
      </c>
      <c r="AZ191" s="86">
        <v>1.0</v>
      </c>
      <c r="BN191" s="155">
        <v>0.0</v>
      </c>
      <c r="BO191" s="155">
        <v>0.0</v>
      </c>
      <c r="BP191" s="155">
        <v>0.0</v>
      </c>
      <c r="BQ191" s="155">
        <v>0.0</v>
      </c>
      <c r="BR191" s="155">
        <v>0.0</v>
      </c>
      <c r="BS191" s="155">
        <v>0.0</v>
      </c>
      <c r="CV191" s="156">
        <v>0.0</v>
      </c>
      <c r="CW191" s="156">
        <v>0.0</v>
      </c>
      <c r="CX191" s="156">
        <v>0.0</v>
      </c>
      <c r="CY191" s="156">
        <v>0.0</v>
      </c>
      <c r="CZ191" s="156">
        <v>0.0</v>
      </c>
      <c r="DA191" s="156">
        <v>0.0</v>
      </c>
      <c r="EG191" s="156">
        <v>0.0</v>
      </c>
      <c r="EH191" s="156">
        <v>0.0</v>
      </c>
      <c r="EI191" s="156">
        <v>0.0</v>
      </c>
      <c r="EJ191" s="156">
        <v>0.0</v>
      </c>
      <c r="EK191" s="156">
        <v>0.0</v>
      </c>
      <c r="EL191" s="156">
        <v>0.0</v>
      </c>
      <c r="FQ191" s="156">
        <v>0.0</v>
      </c>
      <c r="FR191" s="156">
        <v>0.0</v>
      </c>
      <c r="FS191" s="156">
        <v>0.0</v>
      </c>
      <c r="FT191" s="156">
        <v>0.0</v>
      </c>
      <c r="FU191" s="156">
        <v>0.0</v>
      </c>
      <c r="FV191" s="156">
        <v>0.0</v>
      </c>
      <c r="FW191" s="157"/>
      <c r="FX191" s="157"/>
      <c r="FY191" s="157"/>
      <c r="FZ191" s="157"/>
      <c r="GA191" s="157"/>
      <c r="GB191" s="157"/>
      <c r="GC191" s="157"/>
      <c r="GD191" s="157"/>
      <c r="GE191" s="157"/>
      <c r="GF191" s="157"/>
      <c r="GG191" s="157"/>
      <c r="GH191" s="157"/>
      <c r="GI191" s="157"/>
      <c r="GJ191" s="157"/>
      <c r="GK191" s="157"/>
      <c r="GL191" s="157"/>
      <c r="GM191" s="157"/>
      <c r="GN191" s="157"/>
      <c r="GO191" s="157"/>
      <c r="GP191" s="158"/>
      <c r="GQ191" s="157"/>
      <c r="GR191" s="157"/>
      <c r="GS191" s="157"/>
      <c r="GT191" s="157"/>
      <c r="GU191" s="157"/>
      <c r="GV191" s="157"/>
      <c r="GW191" s="157"/>
      <c r="GX191" s="157"/>
      <c r="GY191" s="157"/>
      <c r="GZ191" s="157"/>
      <c r="HA191" s="157"/>
      <c r="HB191" s="155">
        <v>0.0</v>
      </c>
      <c r="HC191" s="155">
        <v>0.0</v>
      </c>
      <c r="HD191" s="155">
        <v>0.0</v>
      </c>
      <c r="HE191" s="155">
        <v>0.0</v>
      </c>
      <c r="HF191" s="155">
        <v>0.0</v>
      </c>
      <c r="HG191" s="155">
        <v>0.0</v>
      </c>
      <c r="IL191" s="159">
        <v>0.0</v>
      </c>
      <c r="IM191" s="156">
        <v>0.0</v>
      </c>
      <c r="IN191" s="156">
        <v>0.0</v>
      </c>
      <c r="IO191" s="156">
        <v>0.0</v>
      </c>
      <c r="IP191" s="156">
        <v>0.0</v>
      </c>
      <c r="IQ191" s="160">
        <v>0.0</v>
      </c>
      <c r="JH191" s="25"/>
      <c r="JW191" s="159">
        <v>0.0</v>
      </c>
      <c r="JX191" s="156">
        <v>0.0</v>
      </c>
      <c r="JY191" s="156">
        <v>0.0</v>
      </c>
      <c r="JZ191" s="156">
        <v>0.0</v>
      </c>
      <c r="KA191" s="156">
        <v>0.0</v>
      </c>
      <c r="KB191" s="160">
        <v>0.0</v>
      </c>
      <c r="LH191" s="159">
        <f t="shared" si="10"/>
        <v>0</v>
      </c>
      <c r="LI191" s="156">
        <f t="shared" si="11"/>
        <v>0</v>
      </c>
      <c r="LJ191" s="156">
        <f t="shared" si="12"/>
        <v>0</v>
      </c>
      <c r="LK191" s="156">
        <f t="shared" si="13"/>
        <v>0</v>
      </c>
      <c r="LL191" s="156">
        <f t="shared" si="14"/>
        <v>0</v>
      </c>
      <c r="LM191" s="160">
        <f t="shared" si="15"/>
        <v>0</v>
      </c>
      <c r="QX191" s="107">
        <v>45862.0</v>
      </c>
    </row>
    <row r="192">
      <c r="A192" s="12"/>
      <c r="B192" s="12"/>
      <c r="C192" s="12"/>
      <c r="D192" s="12"/>
      <c r="E192" s="12"/>
      <c r="F192" s="12"/>
      <c r="G192" s="12"/>
      <c r="H192" s="12"/>
      <c r="I192" s="143">
        <f t="shared" si="5"/>
        <v>-30</v>
      </c>
      <c r="J192" s="144">
        <v>45864.0</v>
      </c>
      <c r="K192" s="173" t="s">
        <v>61</v>
      </c>
      <c r="L192" s="144">
        <v>45978.0</v>
      </c>
      <c r="M192" s="147" t="s">
        <v>107</v>
      </c>
      <c r="N192" s="148">
        <v>357.0</v>
      </c>
      <c r="O192" s="148">
        <v>30.0</v>
      </c>
      <c r="P192" s="26"/>
      <c r="Q192" s="26"/>
      <c r="R192" s="26"/>
      <c r="S192" s="26"/>
      <c r="T192" s="26"/>
      <c r="U192" s="147" t="s">
        <v>1140</v>
      </c>
      <c r="V192" s="149" t="s">
        <v>2501</v>
      </c>
      <c r="W192" s="198" t="s">
        <v>2502</v>
      </c>
      <c r="X192" s="181">
        <v>30.0</v>
      </c>
      <c r="Y192" s="166">
        <f t="shared" si="6"/>
        <v>30</v>
      </c>
      <c r="Z192" s="26">
        <f t="shared" si="7"/>
        <v>0</v>
      </c>
      <c r="AA192" s="26">
        <f t="shared" si="8"/>
        <v>0</v>
      </c>
      <c r="AB192" s="26">
        <f t="shared" si="9"/>
        <v>0</v>
      </c>
      <c r="AC192" s="155">
        <v>0.0</v>
      </c>
      <c r="AD192" s="155">
        <v>0.0</v>
      </c>
      <c r="AE192" s="155">
        <v>0.0</v>
      </c>
      <c r="AF192" s="155">
        <v>0.0</v>
      </c>
      <c r="AG192" s="155">
        <v>0.0</v>
      </c>
      <c r="AH192" s="155">
        <v>0.0</v>
      </c>
      <c r="BN192" s="155">
        <v>0.0</v>
      </c>
      <c r="BO192" s="155">
        <v>0.0</v>
      </c>
      <c r="BP192" s="155">
        <v>0.0</v>
      </c>
      <c r="BQ192" s="155">
        <v>0.0</v>
      </c>
      <c r="BR192" s="155">
        <v>0.0</v>
      </c>
      <c r="BS192" s="155">
        <v>0.0</v>
      </c>
      <c r="CV192" s="156">
        <v>0.0</v>
      </c>
      <c r="CW192" s="156">
        <v>0.0</v>
      </c>
      <c r="CX192" s="156">
        <v>0.0</v>
      </c>
      <c r="CY192" s="156">
        <v>0.0</v>
      </c>
      <c r="CZ192" s="156">
        <v>0.0</v>
      </c>
      <c r="DA192" s="156">
        <v>0.0</v>
      </c>
      <c r="EG192" s="156">
        <v>0.0</v>
      </c>
      <c r="EH192" s="156">
        <v>0.0</v>
      </c>
      <c r="EI192" s="156">
        <v>0.0</v>
      </c>
      <c r="EJ192" s="156">
        <v>0.0</v>
      </c>
      <c r="EK192" s="156">
        <v>0.0</v>
      </c>
      <c r="EL192" s="156">
        <v>0.0</v>
      </c>
      <c r="FQ192" s="156">
        <v>0.0</v>
      </c>
      <c r="FR192" s="156">
        <v>0.0</v>
      </c>
      <c r="FS192" s="156">
        <v>0.0</v>
      </c>
      <c r="FT192" s="156">
        <v>0.0</v>
      </c>
      <c r="FU192" s="156">
        <v>0.0</v>
      </c>
      <c r="FV192" s="156">
        <v>0.0</v>
      </c>
      <c r="FW192" s="157"/>
      <c r="FX192" s="157"/>
      <c r="FY192" s="157"/>
      <c r="FZ192" s="157"/>
      <c r="GA192" s="157"/>
      <c r="GB192" s="157"/>
      <c r="GC192" s="157"/>
      <c r="GD192" s="157"/>
      <c r="GE192" s="157"/>
      <c r="GF192" s="157"/>
      <c r="GG192" s="157"/>
      <c r="GH192" s="157"/>
      <c r="GI192" s="157"/>
      <c r="GJ192" s="157"/>
      <c r="GK192" s="157"/>
      <c r="GL192" s="157"/>
      <c r="GM192" s="157"/>
      <c r="GN192" s="157"/>
      <c r="GO192" s="157"/>
      <c r="GP192" s="158"/>
      <c r="GQ192" s="157"/>
      <c r="GR192" s="157"/>
      <c r="GS192" s="157"/>
      <c r="GT192" s="157"/>
      <c r="GU192" s="157"/>
      <c r="GV192" s="157"/>
      <c r="GW192" s="157"/>
      <c r="GX192" s="157"/>
      <c r="GY192" s="157"/>
      <c r="GZ192" s="157"/>
      <c r="HA192" s="157"/>
      <c r="HB192" s="155">
        <v>0.0</v>
      </c>
      <c r="HC192" s="155">
        <v>0.0</v>
      </c>
      <c r="HD192" s="155">
        <v>0.0</v>
      </c>
      <c r="HE192" s="155">
        <v>0.0</v>
      </c>
      <c r="HF192" s="155">
        <v>0.0</v>
      </c>
      <c r="HG192" s="155">
        <v>0.0</v>
      </c>
      <c r="IL192" s="159">
        <v>0.0</v>
      </c>
      <c r="IM192" s="156">
        <v>0.0</v>
      </c>
      <c r="IN192" s="156">
        <v>0.0</v>
      </c>
      <c r="IO192" s="156">
        <v>0.0</v>
      </c>
      <c r="IP192" s="156">
        <v>0.0</v>
      </c>
      <c r="IQ192" s="160">
        <v>0.0</v>
      </c>
      <c r="JH192" s="25"/>
      <c r="JW192" s="159">
        <v>0.0</v>
      </c>
      <c r="JX192" s="156">
        <v>0.0</v>
      </c>
      <c r="JY192" s="156">
        <v>0.0</v>
      </c>
      <c r="JZ192" s="156">
        <v>0.0</v>
      </c>
      <c r="KA192" s="156">
        <v>0.0</v>
      </c>
      <c r="KB192" s="160">
        <v>0.0</v>
      </c>
      <c r="LH192" s="159">
        <f t="shared" si="10"/>
        <v>0</v>
      </c>
      <c r="LI192" s="156">
        <f t="shared" si="11"/>
        <v>0</v>
      </c>
      <c r="LJ192" s="156">
        <f t="shared" si="12"/>
        <v>0</v>
      </c>
      <c r="LK192" s="156">
        <f t="shared" si="13"/>
        <v>0</v>
      </c>
      <c r="LL192" s="156">
        <f t="shared" si="14"/>
        <v>0</v>
      </c>
      <c r="LM192" s="160">
        <f t="shared" si="15"/>
        <v>0</v>
      </c>
      <c r="QX192" s="107">
        <v>45863.0</v>
      </c>
    </row>
    <row r="193">
      <c r="A193" s="12"/>
      <c r="B193" s="12"/>
      <c r="C193" s="12"/>
      <c r="D193" s="12"/>
      <c r="E193" s="12"/>
      <c r="F193" s="12"/>
      <c r="G193" s="12"/>
      <c r="H193" s="12"/>
      <c r="I193" s="143">
        <f t="shared" si="5"/>
        <v>-30</v>
      </c>
      <c r="J193" s="144">
        <v>45864.0</v>
      </c>
      <c r="K193" s="164" t="s">
        <v>61</v>
      </c>
      <c r="L193" s="171">
        <v>46174.0</v>
      </c>
      <c r="M193" s="147" t="s">
        <v>227</v>
      </c>
      <c r="N193" s="148">
        <v>4.0</v>
      </c>
      <c r="O193" s="148">
        <v>30.0</v>
      </c>
      <c r="P193" s="26"/>
      <c r="Q193" s="26"/>
      <c r="R193" s="26"/>
      <c r="S193" s="26"/>
      <c r="T193" s="26"/>
      <c r="U193" s="147" t="s">
        <v>2508</v>
      </c>
      <c r="V193" s="149" t="s">
        <v>613</v>
      </c>
      <c r="W193" s="150" t="s">
        <v>2509</v>
      </c>
      <c r="X193" s="181">
        <v>21.0</v>
      </c>
      <c r="Y193" s="166">
        <f t="shared" si="6"/>
        <v>30</v>
      </c>
      <c r="Z193" s="26">
        <f t="shared" si="7"/>
        <v>0</v>
      </c>
      <c r="AA193" s="26">
        <f t="shared" si="8"/>
        <v>0</v>
      </c>
      <c r="AB193" s="26">
        <f t="shared" si="9"/>
        <v>0</v>
      </c>
      <c r="AC193" s="155">
        <v>2.0</v>
      </c>
      <c r="AD193" s="155">
        <v>0.0</v>
      </c>
      <c r="AE193" s="155">
        <v>0.0</v>
      </c>
      <c r="AF193" s="155">
        <v>0.0</v>
      </c>
      <c r="AG193" s="155">
        <v>0.0</v>
      </c>
      <c r="AH193" s="155">
        <v>0.0</v>
      </c>
      <c r="AO193" s="86">
        <v>1.0</v>
      </c>
      <c r="BJ193" s="86">
        <v>1.0</v>
      </c>
      <c r="BN193" s="155">
        <v>1.0</v>
      </c>
      <c r="BO193" s="155">
        <v>0.0</v>
      </c>
      <c r="BP193" s="155">
        <v>0.0</v>
      </c>
      <c r="BQ193" s="155">
        <v>0.0</v>
      </c>
      <c r="BR193" s="155">
        <v>0.0</v>
      </c>
      <c r="BS193" s="155">
        <v>0.0</v>
      </c>
      <c r="CR193" s="86">
        <v>1.0</v>
      </c>
      <c r="CV193" s="156">
        <v>4.0</v>
      </c>
      <c r="CW193" s="156">
        <v>0.0</v>
      </c>
      <c r="CX193" s="156">
        <v>0.0</v>
      </c>
      <c r="CY193" s="156">
        <v>0.0</v>
      </c>
      <c r="CZ193" s="156">
        <v>0.0</v>
      </c>
      <c r="DA193" s="156">
        <v>0.0</v>
      </c>
      <c r="DE193" s="86">
        <v>1.0</v>
      </c>
      <c r="DL193" s="86">
        <v>1.0</v>
      </c>
      <c r="DS193" s="86">
        <v>1.0</v>
      </c>
      <c r="DZ193" s="86">
        <v>1.0</v>
      </c>
      <c r="EG193" s="156">
        <v>2.0</v>
      </c>
      <c r="EH193" s="156">
        <v>0.0</v>
      </c>
      <c r="EI193" s="156">
        <v>0.0</v>
      </c>
      <c r="EJ193" s="156">
        <v>0.0</v>
      </c>
      <c r="EK193" s="156">
        <v>0.0</v>
      </c>
      <c r="EL193" s="156">
        <v>0.0</v>
      </c>
      <c r="EM193" s="86">
        <v>1.0</v>
      </c>
      <c r="FA193" s="86">
        <v>1.0</v>
      </c>
      <c r="FQ193" s="156">
        <v>0.0</v>
      </c>
      <c r="FR193" s="156">
        <v>0.0</v>
      </c>
      <c r="FS193" s="156">
        <v>0.0</v>
      </c>
      <c r="FT193" s="156">
        <v>0.0</v>
      </c>
      <c r="FU193" s="156">
        <v>0.0</v>
      </c>
      <c r="FV193" s="156">
        <v>0.0</v>
      </c>
      <c r="FW193" s="157"/>
      <c r="FX193" s="157"/>
      <c r="FY193" s="157"/>
      <c r="FZ193" s="157"/>
      <c r="GA193" s="157"/>
      <c r="GB193" s="188"/>
      <c r="GC193" s="157"/>
      <c r="GD193" s="157"/>
      <c r="GE193" s="157"/>
      <c r="GF193" s="157"/>
      <c r="GG193" s="157"/>
      <c r="GH193" s="157"/>
      <c r="GI193" s="188"/>
      <c r="GJ193" s="157"/>
      <c r="GK193" s="157"/>
      <c r="GL193" s="157"/>
      <c r="GM193" s="157"/>
      <c r="GN193" s="157"/>
      <c r="GO193" s="157"/>
      <c r="GP193" s="381"/>
      <c r="GQ193" s="157"/>
      <c r="GR193" s="157"/>
      <c r="GS193" s="157"/>
      <c r="GT193" s="157"/>
      <c r="GU193" s="157"/>
      <c r="GV193" s="157"/>
      <c r="GW193" s="157"/>
      <c r="GX193" s="157"/>
      <c r="GY193" s="157"/>
      <c r="GZ193" s="157"/>
      <c r="HA193" s="157"/>
      <c r="HB193" s="155">
        <v>0.0</v>
      </c>
      <c r="HC193" s="155">
        <v>0.0</v>
      </c>
      <c r="HD193" s="155">
        <v>0.0</v>
      </c>
      <c r="HE193" s="155">
        <v>0.0</v>
      </c>
      <c r="HF193" s="155">
        <v>0.0</v>
      </c>
      <c r="HG193" s="155">
        <v>0.0</v>
      </c>
      <c r="IL193" s="159">
        <v>0.0</v>
      </c>
      <c r="IM193" s="156">
        <v>0.0</v>
      </c>
      <c r="IN193" s="156">
        <v>0.0</v>
      </c>
      <c r="IO193" s="156">
        <v>0.0</v>
      </c>
      <c r="IP193" s="156">
        <v>0.0</v>
      </c>
      <c r="IQ193" s="160">
        <v>0.0</v>
      </c>
      <c r="JH193" s="25"/>
      <c r="JW193" s="159">
        <v>0.0</v>
      </c>
      <c r="JX193" s="156">
        <v>0.0</v>
      </c>
      <c r="JY193" s="156">
        <v>0.0</v>
      </c>
      <c r="JZ193" s="156">
        <v>0.0</v>
      </c>
      <c r="KA193" s="156">
        <v>0.0</v>
      </c>
      <c r="KB193" s="160">
        <v>0.0</v>
      </c>
      <c r="LH193" s="159">
        <f t="shared" si="10"/>
        <v>0</v>
      </c>
      <c r="LI193" s="156">
        <f t="shared" si="11"/>
        <v>0</v>
      </c>
      <c r="LJ193" s="156">
        <f t="shared" si="12"/>
        <v>0</v>
      </c>
      <c r="LK193" s="156">
        <f t="shared" si="13"/>
        <v>0</v>
      </c>
      <c r="LL193" s="156">
        <f t="shared" si="14"/>
        <v>0</v>
      </c>
      <c r="LM193" s="160">
        <f t="shared" si="15"/>
        <v>0</v>
      </c>
      <c r="QX193" s="107">
        <v>45863.0</v>
      </c>
    </row>
    <row r="194">
      <c r="A194" s="12"/>
      <c r="B194" s="12"/>
      <c r="C194" s="12"/>
      <c r="D194" s="12"/>
      <c r="E194" s="12"/>
      <c r="F194" s="12"/>
      <c r="G194" s="12"/>
      <c r="H194" s="12"/>
      <c r="I194" s="143">
        <f t="shared" si="5"/>
        <v>-8</v>
      </c>
      <c r="J194" s="144">
        <v>45873.0</v>
      </c>
      <c r="K194" s="173" t="s">
        <v>61</v>
      </c>
      <c r="L194" s="144">
        <v>45900.0</v>
      </c>
      <c r="M194" s="147" t="s">
        <v>712</v>
      </c>
      <c r="N194" s="148">
        <v>246.0</v>
      </c>
      <c r="O194" s="148">
        <v>30.0</v>
      </c>
      <c r="P194" s="26"/>
      <c r="Q194" s="26"/>
      <c r="R194" s="26"/>
      <c r="S194" s="26"/>
      <c r="T194" s="26"/>
      <c r="U194" s="147" t="s">
        <v>2519</v>
      </c>
      <c r="V194" s="197"/>
      <c r="W194" s="198" t="s">
        <v>2520</v>
      </c>
      <c r="X194" s="181">
        <v>8.0</v>
      </c>
      <c r="Y194" s="166">
        <f t="shared" si="6"/>
        <v>8</v>
      </c>
      <c r="Z194" s="26">
        <f t="shared" si="7"/>
        <v>0</v>
      </c>
      <c r="AA194" s="26">
        <f t="shared" si="8"/>
        <v>0</v>
      </c>
      <c r="AB194" s="26">
        <f t="shared" si="9"/>
        <v>0</v>
      </c>
      <c r="AC194" s="155">
        <v>0.0</v>
      </c>
      <c r="AD194" s="155">
        <v>0.0</v>
      </c>
      <c r="AE194" s="155">
        <v>0.0</v>
      </c>
      <c r="AF194" s="155">
        <v>0.0</v>
      </c>
      <c r="AG194" s="155">
        <v>0.0</v>
      </c>
      <c r="AH194" s="155">
        <v>0.0</v>
      </c>
      <c r="BN194" s="155">
        <v>0.0</v>
      </c>
      <c r="BO194" s="155">
        <v>0.0</v>
      </c>
      <c r="BP194" s="155">
        <v>0.0</v>
      </c>
      <c r="BQ194" s="155">
        <v>0.0</v>
      </c>
      <c r="BR194" s="155">
        <v>0.0</v>
      </c>
      <c r="BS194" s="155">
        <v>0.0</v>
      </c>
      <c r="CV194" s="156">
        <v>0.0</v>
      </c>
      <c r="CW194" s="156">
        <v>0.0</v>
      </c>
      <c r="CX194" s="156">
        <v>0.0</v>
      </c>
      <c r="CY194" s="156">
        <v>0.0</v>
      </c>
      <c r="CZ194" s="156">
        <v>0.0</v>
      </c>
      <c r="DA194" s="156">
        <v>0.0</v>
      </c>
      <c r="EG194" s="156">
        <v>0.0</v>
      </c>
      <c r="EH194" s="156">
        <v>0.0</v>
      </c>
      <c r="EI194" s="156">
        <v>0.0</v>
      </c>
      <c r="EJ194" s="156">
        <v>0.0</v>
      </c>
      <c r="EK194" s="156">
        <v>0.0</v>
      </c>
      <c r="EL194" s="156">
        <v>0.0</v>
      </c>
      <c r="FQ194" s="156">
        <v>0.0</v>
      </c>
      <c r="FR194" s="156">
        <v>0.0</v>
      </c>
      <c r="FS194" s="156">
        <v>0.0</v>
      </c>
      <c r="FT194" s="156">
        <v>0.0</v>
      </c>
      <c r="FU194" s="156">
        <v>0.0</v>
      </c>
      <c r="FV194" s="156">
        <v>0.0</v>
      </c>
      <c r="FW194" s="157"/>
      <c r="FX194" s="157"/>
      <c r="FY194" s="157"/>
      <c r="FZ194" s="157"/>
      <c r="GA194" s="157"/>
      <c r="GB194" s="157"/>
      <c r="GC194" s="157"/>
      <c r="GD194" s="157"/>
      <c r="GE194" s="157"/>
      <c r="GF194" s="157"/>
      <c r="GG194" s="157"/>
      <c r="GH194" s="157"/>
      <c r="GI194" s="157"/>
      <c r="GJ194" s="157"/>
      <c r="GK194" s="157"/>
      <c r="GL194" s="157"/>
      <c r="GM194" s="157"/>
      <c r="GN194" s="157"/>
      <c r="GO194" s="157"/>
      <c r="GP194" s="158"/>
      <c r="GQ194" s="157"/>
      <c r="GR194" s="157"/>
      <c r="GS194" s="157"/>
      <c r="GT194" s="157"/>
      <c r="GU194" s="157"/>
      <c r="GV194" s="157"/>
      <c r="GW194" s="157"/>
      <c r="GX194" s="157"/>
      <c r="GY194" s="157"/>
      <c r="GZ194" s="157"/>
      <c r="HA194" s="157"/>
      <c r="HB194" s="155">
        <v>0.0</v>
      </c>
      <c r="HC194" s="155">
        <v>0.0</v>
      </c>
      <c r="HD194" s="155">
        <v>0.0</v>
      </c>
      <c r="HE194" s="155">
        <v>0.0</v>
      </c>
      <c r="HF194" s="155">
        <v>0.0</v>
      </c>
      <c r="HG194" s="155">
        <v>0.0</v>
      </c>
      <c r="IL194" s="159">
        <v>0.0</v>
      </c>
      <c r="IM194" s="156">
        <v>0.0</v>
      </c>
      <c r="IN194" s="156">
        <v>0.0</v>
      </c>
      <c r="IO194" s="156">
        <v>0.0</v>
      </c>
      <c r="IP194" s="156">
        <v>0.0</v>
      </c>
      <c r="IQ194" s="160">
        <v>0.0</v>
      </c>
      <c r="JH194" s="25"/>
      <c r="JW194" s="159">
        <v>0.0</v>
      </c>
      <c r="JX194" s="156">
        <v>0.0</v>
      </c>
      <c r="JY194" s="156">
        <v>0.0</v>
      </c>
      <c r="JZ194" s="156">
        <v>0.0</v>
      </c>
      <c r="KA194" s="156">
        <v>0.0</v>
      </c>
      <c r="KB194" s="160">
        <v>0.0</v>
      </c>
      <c r="LH194" s="159">
        <f t="shared" si="10"/>
        <v>0</v>
      </c>
      <c r="LI194" s="156">
        <f t="shared" si="11"/>
        <v>0</v>
      </c>
      <c r="LJ194" s="156">
        <f t="shared" si="12"/>
        <v>0</v>
      </c>
      <c r="LK194" s="156">
        <f t="shared" si="13"/>
        <v>0</v>
      </c>
      <c r="LL194" s="156">
        <f t="shared" si="14"/>
        <v>0</v>
      </c>
      <c r="LM194" s="160">
        <f t="shared" si="15"/>
        <v>0</v>
      </c>
      <c r="QX194" s="107">
        <v>45863.0</v>
      </c>
    </row>
    <row r="195">
      <c r="A195" s="12"/>
      <c r="B195" s="12"/>
      <c r="C195" s="12"/>
      <c r="D195" s="12"/>
      <c r="E195" s="12"/>
      <c r="F195" s="12"/>
      <c r="G195" s="12"/>
      <c r="H195" s="12"/>
      <c r="I195" s="143">
        <f t="shared" si="5"/>
        <v>-70</v>
      </c>
      <c r="J195" s="144">
        <v>45870.0</v>
      </c>
      <c r="K195" s="195" t="s">
        <v>61</v>
      </c>
      <c r="L195" s="171">
        <v>46135.0</v>
      </c>
      <c r="M195" s="147" t="s">
        <v>400</v>
      </c>
      <c r="N195" s="148">
        <v>246.0</v>
      </c>
      <c r="O195" s="148">
        <v>30.0</v>
      </c>
      <c r="P195" s="26"/>
      <c r="Q195" s="26"/>
      <c r="R195" s="26"/>
      <c r="S195" s="26"/>
      <c r="T195" s="26"/>
      <c r="U195" s="147" t="s">
        <v>763</v>
      </c>
      <c r="V195" s="149" t="s">
        <v>936</v>
      </c>
      <c r="W195" s="150" t="s">
        <v>2533</v>
      </c>
      <c r="X195" s="181">
        <v>51.0</v>
      </c>
      <c r="Y195" s="166">
        <f t="shared" si="6"/>
        <v>70</v>
      </c>
      <c r="Z195" s="26">
        <f t="shared" si="7"/>
        <v>0</v>
      </c>
      <c r="AA195" s="26">
        <f t="shared" si="8"/>
        <v>0</v>
      </c>
      <c r="AB195" s="26">
        <f t="shared" si="9"/>
        <v>0</v>
      </c>
      <c r="AC195" s="155">
        <v>9.0</v>
      </c>
      <c r="AD195" s="155">
        <v>0.0</v>
      </c>
      <c r="AE195" s="155">
        <v>0.0</v>
      </c>
      <c r="AF195" s="155">
        <v>0.0</v>
      </c>
      <c r="AG195" s="155">
        <v>0.0</v>
      </c>
      <c r="AH195" s="155">
        <v>0.0</v>
      </c>
      <c r="AI195" s="167"/>
      <c r="AJ195" s="167"/>
      <c r="AK195" s="167"/>
      <c r="AL195" s="167"/>
      <c r="AM195" s="167">
        <v>1.0</v>
      </c>
      <c r="AN195" s="167">
        <v>0.0</v>
      </c>
      <c r="AO195" s="167">
        <v>1.0</v>
      </c>
      <c r="AP195" s="167">
        <v>0.0</v>
      </c>
      <c r="AQ195" s="167"/>
      <c r="AR195" s="167">
        <v>0.0</v>
      </c>
      <c r="AS195" s="167">
        <v>0.0</v>
      </c>
      <c r="AT195" s="167">
        <v>1.0</v>
      </c>
      <c r="AU195" s="167">
        <v>0.0</v>
      </c>
      <c r="AV195" s="167">
        <v>1.0</v>
      </c>
      <c r="AW195" s="167">
        <v>0.0</v>
      </c>
      <c r="AX195" s="167"/>
      <c r="AY195" s="167">
        <v>0.0</v>
      </c>
      <c r="AZ195" s="167">
        <v>0.0</v>
      </c>
      <c r="BA195" s="167">
        <v>1.0</v>
      </c>
      <c r="BB195" s="167">
        <v>0.0</v>
      </c>
      <c r="BC195" s="167">
        <v>1.0</v>
      </c>
      <c r="BD195" s="167">
        <v>0.0</v>
      </c>
      <c r="BE195" s="167">
        <v>1.0</v>
      </c>
      <c r="BF195" s="167">
        <v>0.0</v>
      </c>
      <c r="BG195" s="167">
        <v>0.0</v>
      </c>
      <c r="BH195" s="167">
        <v>1.0</v>
      </c>
      <c r="BI195" s="167">
        <v>0.0</v>
      </c>
      <c r="BJ195" s="167">
        <v>1.0</v>
      </c>
      <c r="BK195" s="167">
        <v>0.0</v>
      </c>
      <c r="BL195" s="167"/>
      <c r="BM195" s="167">
        <v>0.0</v>
      </c>
      <c r="BN195" s="155">
        <v>0.0</v>
      </c>
      <c r="BO195" s="155">
        <v>0.0</v>
      </c>
      <c r="BP195" s="155">
        <v>0.0</v>
      </c>
      <c r="BQ195" s="155">
        <v>0.0</v>
      </c>
      <c r="BR195" s="155">
        <v>0.0</v>
      </c>
      <c r="BS195" s="155">
        <v>0.0</v>
      </c>
      <c r="BT195" s="167"/>
      <c r="BU195" s="167"/>
      <c r="BV195" s="167"/>
      <c r="BW195" s="167"/>
      <c r="BX195" s="167"/>
      <c r="BY195" s="167"/>
      <c r="BZ195" s="167"/>
      <c r="CA195" s="167"/>
      <c r="CB195" s="167"/>
      <c r="CC195" s="167"/>
      <c r="CD195" s="167"/>
      <c r="CE195" s="167"/>
      <c r="CF195" s="167"/>
      <c r="CG195" s="167"/>
      <c r="CH195" s="167"/>
      <c r="CI195" s="167"/>
      <c r="CJ195" s="167"/>
      <c r="CK195" s="167"/>
      <c r="CL195" s="167"/>
      <c r="CM195" s="167"/>
      <c r="CN195" s="167"/>
      <c r="CO195" s="167"/>
      <c r="CP195" s="167"/>
      <c r="CQ195" s="167"/>
      <c r="CR195" s="167"/>
      <c r="CS195" s="167"/>
      <c r="CT195" s="167"/>
      <c r="CU195" s="167"/>
      <c r="CV195" s="156">
        <v>4.0</v>
      </c>
      <c r="CW195" s="156">
        <v>0.0</v>
      </c>
      <c r="CX195" s="156">
        <v>0.0</v>
      </c>
      <c r="CY195" s="156">
        <v>0.0</v>
      </c>
      <c r="CZ195" s="156">
        <v>0.0</v>
      </c>
      <c r="DA195" s="156">
        <v>0.0</v>
      </c>
      <c r="DB195" s="174"/>
      <c r="DC195" s="174"/>
      <c r="DD195" s="174"/>
      <c r="DE195" s="174"/>
      <c r="DF195" s="174"/>
      <c r="DG195" s="174"/>
      <c r="DH195" s="174"/>
      <c r="DI195" s="174"/>
      <c r="DJ195" s="174"/>
      <c r="DK195" s="174"/>
      <c r="DL195" s="174"/>
      <c r="DM195" s="174"/>
      <c r="DN195" s="174"/>
      <c r="DO195" s="174"/>
      <c r="DP195" s="174"/>
      <c r="DQ195" s="174"/>
      <c r="DR195" s="174"/>
      <c r="DS195" s="174"/>
      <c r="DT195" s="174"/>
      <c r="DU195" s="174"/>
      <c r="DV195" s="174"/>
      <c r="DW195" s="174"/>
      <c r="DX195" s="174">
        <v>1.0</v>
      </c>
      <c r="DY195" s="174">
        <v>0.0</v>
      </c>
      <c r="DZ195" s="174">
        <v>1.0</v>
      </c>
      <c r="EA195" s="174">
        <v>0.0</v>
      </c>
      <c r="EB195" s="174">
        <v>1.0</v>
      </c>
      <c r="EC195" s="174">
        <v>0.0</v>
      </c>
      <c r="ED195" s="174">
        <v>0.0</v>
      </c>
      <c r="EE195" s="174">
        <v>1.0</v>
      </c>
      <c r="EF195" s="174">
        <v>0.0</v>
      </c>
      <c r="EG195" s="156">
        <v>6.0</v>
      </c>
      <c r="EH195" s="156">
        <v>0.0</v>
      </c>
      <c r="EI195" s="156">
        <v>0.0</v>
      </c>
      <c r="EJ195" s="156">
        <v>0.0</v>
      </c>
      <c r="EK195" s="156">
        <v>0.0</v>
      </c>
      <c r="EL195" s="156">
        <v>0.0</v>
      </c>
      <c r="EM195" s="174">
        <v>1.0</v>
      </c>
      <c r="EN195" s="174"/>
      <c r="EO195" s="174"/>
      <c r="EP195" s="174"/>
      <c r="EQ195" s="174"/>
      <c r="ER195" s="175">
        <v>1.0</v>
      </c>
      <c r="ES195" s="174"/>
      <c r="ET195" s="174">
        <v>1.0</v>
      </c>
      <c r="EU195" s="174">
        <v>0.0</v>
      </c>
      <c r="EV195" s="174">
        <v>1.0</v>
      </c>
      <c r="EW195" s="174">
        <v>0.0</v>
      </c>
      <c r="EX195" s="174">
        <v>0.0</v>
      </c>
      <c r="EY195" s="174">
        <v>1.0</v>
      </c>
      <c r="EZ195" s="174">
        <v>0.0</v>
      </c>
      <c r="FA195" s="174">
        <v>1.0</v>
      </c>
      <c r="FB195" s="174"/>
      <c r="FC195" s="174"/>
      <c r="FD195" s="174"/>
      <c r="FE195" s="174"/>
      <c r="FF195" s="175"/>
      <c r="FG195" s="174"/>
      <c r="FH195" s="174"/>
      <c r="FI195" s="174"/>
      <c r="FJ195" s="174"/>
      <c r="FK195" s="174"/>
      <c r="FL195" s="174"/>
      <c r="FM195" s="174"/>
      <c r="FN195" s="174"/>
      <c r="FO195" s="174"/>
      <c r="FP195" s="174"/>
      <c r="FQ195" s="156">
        <v>0.0</v>
      </c>
      <c r="FR195" s="156">
        <v>0.0</v>
      </c>
      <c r="FS195" s="156">
        <v>0.0</v>
      </c>
      <c r="FT195" s="156">
        <v>0.0</v>
      </c>
      <c r="FU195" s="156">
        <v>0.0</v>
      </c>
      <c r="FV195" s="156">
        <v>0.0</v>
      </c>
      <c r="FW195" s="157"/>
      <c r="FX195" s="157"/>
      <c r="FY195" s="157"/>
      <c r="FZ195" s="157"/>
      <c r="GA195" s="157"/>
      <c r="GB195" s="157"/>
      <c r="GC195" s="157"/>
      <c r="GD195" s="157"/>
      <c r="GE195" s="157"/>
      <c r="GF195" s="157"/>
      <c r="GG195" s="157"/>
      <c r="GH195" s="157"/>
      <c r="GI195" s="157"/>
      <c r="GJ195" s="157"/>
      <c r="GK195" s="157"/>
      <c r="GL195" s="157"/>
      <c r="GM195" s="157"/>
      <c r="GN195" s="157"/>
      <c r="GO195" s="157"/>
      <c r="GP195" s="158"/>
      <c r="GQ195" s="157"/>
      <c r="GR195" s="157"/>
      <c r="GS195" s="157"/>
      <c r="GT195" s="157"/>
      <c r="GU195" s="157"/>
      <c r="GV195" s="157"/>
      <c r="GW195" s="157"/>
      <c r="GX195" s="157"/>
      <c r="GY195" s="157"/>
      <c r="GZ195" s="157"/>
      <c r="HA195" s="157"/>
      <c r="HB195" s="155">
        <v>0.0</v>
      </c>
      <c r="HC195" s="155">
        <v>0.0</v>
      </c>
      <c r="HD195" s="155">
        <v>0.0</v>
      </c>
      <c r="HE195" s="155">
        <v>0.0</v>
      </c>
      <c r="HF195" s="155">
        <v>0.0</v>
      </c>
      <c r="HG195" s="155">
        <v>0.0</v>
      </c>
      <c r="IL195" s="159">
        <v>0.0</v>
      </c>
      <c r="IM195" s="156">
        <v>0.0</v>
      </c>
      <c r="IN195" s="156">
        <v>0.0</v>
      </c>
      <c r="IO195" s="156">
        <v>0.0</v>
      </c>
      <c r="IP195" s="156">
        <v>0.0</v>
      </c>
      <c r="IQ195" s="160">
        <v>0.0</v>
      </c>
      <c r="JH195" s="25"/>
      <c r="JW195" s="159">
        <v>0.0</v>
      </c>
      <c r="JX195" s="156">
        <v>0.0</v>
      </c>
      <c r="JY195" s="156">
        <v>0.0</v>
      </c>
      <c r="JZ195" s="156">
        <v>0.0</v>
      </c>
      <c r="KA195" s="156">
        <v>0.0</v>
      </c>
      <c r="KB195" s="160">
        <v>0.0</v>
      </c>
      <c r="LH195" s="159">
        <f t="shared" si="10"/>
        <v>0</v>
      </c>
      <c r="LI195" s="156">
        <f t="shared" si="11"/>
        <v>0</v>
      </c>
      <c r="LJ195" s="156">
        <f t="shared" si="12"/>
        <v>0</v>
      </c>
      <c r="LK195" s="156">
        <f t="shared" si="13"/>
        <v>0</v>
      </c>
      <c r="LL195" s="156">
        <f t="shared" si="14"/>
        <v>0</v>
      </c>
      <c r="LM195" s="160">
        <f t="shared" si="15"/>
        <v>0</v>
      </c>
      <c r="QX195" s="107">
        <v>45863.0</v>
      </c>
    </row>
    <row r="196">
      <c r="A196" s="12"/>
      <c r="B196" s="12"/>
      <c r="C196" s="12"/>
      <c r="D196" s="12"/>
      <c r="E196" s="12"/>
      <c r="F196" s="12"/>
      <c r="G196" s="12"/>
      <c r="H196" s="12"/>
      <c r="I196" s="143">
        <f t="shared" si="5"/>
        <v>-30</v>
      </c>
      <c r="J196" s="144">
        <v>45866.0</v>
      </c>
      <c r="K196" s="173" t="s">
        <v>61</v>
      </c>
      <c r="L196" s="144">
        <v>45950.0</v>
      </c>
      <c r="M196" s="147" t="s">
        <v>2547</v>
      </c>
      <c r="N196" s="148">
        <v>357.0</v>
      </c>
      <c r="O196" s="148">
        <v>30.0</v>
      </c>
      <c r="P196" s="26"/>
      <c r="Q196" s="26"/>
      <c r="R196" s="26"/>
      <c r="S196" s="26"/>
      <c r="T196" s="26"/>
      <c r="U196" s="147" t="s">
        <v>1073</v>
      </c>
      <c r="V196" s="197"/>
      <c r="W196" s="198" t="s">
        <v>2548</v>
      </c>
      <c r="X196" s="181">
        <v>30.0</v>
      </c>
      <c r="Y196" s="166">
        <f t="shared" si="6"/>
        <v>30</v>
      </c>
      <c r="Z196" s="26">
        <f t="shared" si="7"/>
        <v>0</v>
      </c>
      <c r="AA196" s="26">
        <f t="shared" si="8"/>
        <v>0</v>
      </c>
      <c r="AB196" s="26">
        <f t="shared" si="9"/>
        <v>0</v>
      </c>
      <c r="AC196" s="155">
        <v>0.0</v>
      </c>
      <c r="AD196" s="155">
        <v>0.0</v>
      </c>
      <c r="AE196" s="155">
        <v>0.0</v>
      </c>
      <c r="AF196" s="155">
        <v>0.0</v>
      </c>
      <c r="AG196" s="155">
        <v>0.0</v>
      </c>
      <c r="AH196" s="155">
        <v>0.0</v>
      </c>
      <c r="BN196" s="155">
        <v>0.0</v>
      </c>
      <c r="BO196" s="155">
        <v>0.0</v>
      </c>
      <c r="BP196" s="155">
        <v>0.0</v>
      </c>
      <c r="BQ196" s="155">
        <v>0.0</v>
      </c>
      <c r="BR196" s="155">
        <v>0.0</v>
      </c>
      <c r="BS196" s="155">
        <v>0.0</v>
      </c>
      <c r="CV196" s="156">
        <v>0.0</v>
      </c>
      <c r="CW196" s="156">
        <v>0.0</v>
      </c>
      <c r="CX196" s="156">
        <v>0.0</v>
      </c>
      <c r="CY196" s="156">
        <v>0.0</v>
      </c>
      <c r="CZ196" s="156">
        <v>0.0</v>
      </c>
      <c r="DA196" s="156">
        <v>0.0</v>
      </c>
      <c r="EG196" s="156">
        <v>0.0</v>
      </c>
      <c r="EH196" s="156">
        <v>0.0</v>
      </c>
      <c r="EI196" s="156">
        <v>0.0</v>
      </c>
      <c r="EJ196" s="156">
        <v>0.0</v>
      </c>
      <c r="EK196" s="156">
        <v>0.0</v>
      </c>
      <c r="EL196" s="156">
        <v>0.0</v>
      </c>
      <c r="FQ196" s="156">
        <v>0.0</v>
      </c>
      <c r="FR196" s="156">
        <v>0.0</v>
      </c>
      <c r="FS196" s="156">
        <v>0.0</v>
      </c>
      <c r="FT196" s="156">
        <v>0.0</v>
      </c>
      <c r="FU196" s="156">
        <v>0.0</v>
      </c>
      <c r="FV196" s="156">
        <v>0.0</v>
      </c>
      <c r="FW196" s="157"/>
      <c r="FX196" s="157"/>
      <c r="FY196" s="157"/>
      <c r="FZ196" s="157"/>
      <c r="GA196" s="157"/>
      <c r="GB196" s="157"/>
      <c r="GC196" s="157"/>
      <c r="GD196" s="157"/>
      <c r="GE196" s="157"/>
      <c r="GF196" s="157"/>
      <c r="GG196" s="157"/>
      <c r="GH196" s="157"/>
      <c r="GI196" s="157"/>
      <c r="GJ196" s="157"/>
      <c r="GK196" s="157"/>
      <c r="GL196" s="157"/>
      <c r="GM196" s="157"/>
      <c r="GN196" s="157"/>
      <c r="GO196" s="157"/>
      <c r="GP196" s="158"/>
      <c r="GQ196" s="157"/>
      <c r="GR196" s="157"/>
      <c r="GS196" s="157"/>
      <c r="GT196" s="157"/>
      <c r="GU196" s="157"/>
      <c r="GV196" s="157"/>
      <c r="GW196" s="157"/>
      <c r="GX196" s="157"/>
      <c r="GY196" s="157"/>
      <c r="GZ196" s="157"/>
      <c r="HA196" s="157"/>
      <c r="HB196" s="155">
        <v>0.0</v>
      </c>
      <c r="HC196" s="155">
        <v>0.0</v>
      </c>
      <c r="HD196" s="155">
        <v>0.0</v>
      </c>
      <c r="HE196" s="155">
        <v>0.0</v>
      </c>
      <c r="HF196" s="155">
        <v>0.0</v>
      </c>
      <c r="HG196" s="155">
        <v>0.0</v>
      </c>
      <c r="IL196" s="159">
        <v>0.0</v>
      </c>
      <c r="IM196" s="156">
        <v>0.0</v>
      </c>
      <c r="IN196" s="156">
        <v>0.0</v>
      </c>
      <c r="IO196" s="156">
        <v>0.0</v>
      </c>
      <c r="IP196" s="156">
        <v>0.0</v>
      </c>
      <c r="IQ196" s="160">
        <v>0.0</v>
      </c>
      <c r="JH196" s="25"/>
      <c r="JW196" s="159">
        <v>0.0</v>
      </c>
      <c r="JX196" s="156">
        <v>0.0</v>
      </c>
      <c r="JY196" s="156">
        <v>0.0</v>
      </c>
      <c r="JZ196" s="156">
        <v>0.0</v>
      </c>
      <c r="KA196" s="156">
        <v>0.0</v>
      </c>
      <c r="KB196" s="160">
        <v>0.0</v>
      </c>
      <c r="LH196" s="159">
        <f t="shared" si="10"/>
        <v>0</v>
      </c>
      <c r="LI196" s="156">
        <f t="shared" si="11"/>
        <v>0</v>
      </c>
      <c r="LJ196" s="156">
        <f t="shared" si="12"/>
        <v>0</v>
      </c>
      <c r="LK196" s="156">
        <f t="shared" si="13"/>
        <v>0</v>
      </c>
      <c r="LL196" s="156">
        <f t="shared" si="14"/>
        <v>0</v>
      </c>
      <c r="LM196" s="160">
        <f t="shared" si="15"/>
        <v>0</v>
      </c>
      <c r="QX196" s="107">
        <v>45863.0</v>
      </c>
    </row>
    <row r="197">
      <c r="A197" s="12"/>
      <c r="B197" s="12"/>
      <c r="C197" s="12"/>
      <c r="D197" s="12"/>
      <c r="E197" s="12"/>
      <c r="F197" s="12"/>
      <c r="G197" s="12"/>
      <c r="H197" s="12"/>
      <c r="I197" s="219">
        <f t="shared" si="5"/>
        <v>-60</v>
      </c>
      <c r="J197" s="144">
        <v>45866.0</v>
      </c>
      <c r="K197" s="180" t="s">
        <v>61</v>
      </c>
      <c r="L197" s="146"/>
      <c r="M197" s="147" t="s">
        <v>228</v>
      </c>
      <c r="N197" s="148">
        <v>246.0</v>
      </c>
      <c r="O197" s="148">
        <v>30.0</v>
      </c>
      <c r="P197" s="26"/>
      <c r="Q197" s="26"/>
      <c r="R197" s="26"/>
      <c r="S197" s="26"/>
      <c r="T197" s="26"/>
      <c r="U197" s="147" t="s">
        <v>2554</v>
      </c>
      <c r="V197" s="149" t="s">
        <v>2555</v>
      </c>
      <c r="W197" s="150" t="s">
        <v>2556</v>
      </c>
      <c r="X197" s="181">
        <v>52.0</v>
      </c>
      <c r="Y197" s="166">
        <f t="shared" si="6"/>
        <v>60</v>
      </c>
      <c r="Z197" s="26">
        <f t="shared" si="7"/>
        <v>0</v>
      </c>
      <c r="AA197" s="26">
        <f t="shared" si="8"/>
        <v>0</v>
      </c>
      <c r="AB197" s="26">
        <f t="shared" si="9"/>
        <v>0</v>
      </c>
      <c r="AC197" s="155">
        <v>8.0</v>
      </c>
      <c r="AD197" s="155">
        <v>0.0</v>
      </c>
      <c r="AE197" s="155">
        <v>0.0</v>
      </c>
      <c r="AF197" s="155">
        <v>0.0</v>
      </c>
      <c r="AG197" s="155">
        <v>0.0</v>
      </c>
      <c r="AH197" s="155">
        <v>0.0</v>
      </c>
      <c r="AI197" s="167">
        <v>0.0</v>
      </c>
      <c r="AJ197" s="167">
        <v>1.0</v>
      </c>
      <c r="AK197" s="167">
        <v>0.0</v>
      </c>
      <c r="AL197" s="167">
        <v>0.0</v>
      </c>
      <c r="AM197" s="167">
        <v>1.0</v>
      </c>
      <c r="AN197" s="167">
        <v>0.0</v>
      </c>
      <c r="AO197" s="167">
        <v>1.0</v>
      </c>
      <c r="AP197" s="167">
        <v>0.0</v>
      </c>
      <c r="AQ197" s="167">
        <v>1.0</v>
      </c>
      <c r="AR197" s="167">
        <v>0.0</v>
      </c>
      <c r="AS197" s="167">
        <v>0.0</v>
      </c>
      <c r="AT197" s="167">
        <v>1.0</v>
      </c>
      <c r="AU197" s="167">
        <v>0.0</v>
      </c>
      <c r="AV197" s="167">
        <v>1.0</v>
      </c>
      <c r="AW197" s="167">
        <v>0.0</v>
      </c>
      <c r="AX197" s="167">
        <v>1.0</v>
      </c>
      <c r="AY197" s="167">
        <v>0.0</v>
      </c>
      <c r="AZ197" s="167">
        <v>0.0</v>
      </c>
      <c r="BA197" s="167">
        <v>1.0</v>
      </c>
      <c r="BB197" s="167"/>
      <c r="BC197" s="167"/>
      <c r="BD197" s="167"/>
      <c r="BE197" s="167"/>
      <c r="BF197" s="167"/>
      <c r="BG197" s="167"/>
      <c r="BH197" s="167"/>
      <c r="BI197" s="167"/>
      <c r="BJ197" s="167"/>
      <c r="BK197" s="167"/>
      <c r="BL197" s="167"/>
      <c r="BM197" s="167"/>
      <c r="BN197" s="155">
        <v>0.0</v>
      </c>
      <c r="BO197" s="155">
        <v>0.0</v>
      </c>
      <c r="BP197" s="155">
        <v>0.0</v>
      </c>
      <c r="BQ197" s="155">
        <v>0.0</v>
      </c>
      <c r="BR197" s="155">
        <v>0.0</v>
      </c>
      <c r="BS197" s="155">
        <v>0.0</v>
      </c>
      <c r="CV197" s="156">
        <v>0.0</v>
      </c>
      <c r="CW197" s="156">
        <v>0.0</v>
      </c>
      <c r="CX197" s="156">
        <v>0.0</v>
      </c>
      <c r="CY197" s="156">
        <v>0.0</v>
      </c>
      <c r="CZ197" s="156">
        <v>0.0</v>
      </c>
      <c r="DA197" s="156">
        <v>0.0</v>
      </c>
      <c r="EG197" s="156">
        <v>0.0</v>
      </c>
      <c r="EH197" s="156">
        <v>0.0</v>
      </c>
      <c r="EI197" s="156">
        <v>0.0</v>
      </c>
      <c r="EJ197" s="156">
        <v>0.0</v>
      </c>
      <c r="EK197" s="156">
        <v>0.0</v>
      </c>
      <c r="EL197" s="156">
        <v>0.0</v>
      </c>
      <c r="FQ197" s="156">
        <v>0.0</v>
      </c>
      <c r="FR197" s="156">
        <v>0.0</v>
      </c>
      <c r="FS197" s="156">
        <v>0.0</v>
      </c>
      <c r="FT197" s="156">
        <v>0.0</v>
      </c>
      <c r="FU197" s="156">
        <v>0.0</v>
      </c>
      <c r="FV197" s="156">
        <v>0.0</v>
      </c>
      <c r="FW197" s="157"/>
      <c r="FX197" s="157"/>
      <c r="FY197" s="157"/>
      <c r="FZ197" s="157"/>
      <c r="GA197" s="157"/>
      <c r="GB197" s="157"/>
      <c r="GC197" s="157"/>
      <c r="GD197" s="157"/>
      <c r="GE197" s="157"/>
      <c r="GF197" s="157"/>
      <c r="GG197" s="157"/>
      <c r="GH197" s="157"/>
      <c r="GI197" s="157"/>
      <c r="GJ197" s="157"/>
      <c r="GK197" s="157"/>
      <c r="GL197" s="157"/>
      <c r="GM197" s="157"/>
      <c r="GN197" s="157"/>
      <c r="GO197" s="157"/>
      <c r="GP197" s="158"/>
      <c r="GQ197" s="157"/>
      <c r="GR197" s="157"/>
      <c r="GS197" s="157"/>
      <c r="GT197" s="157"/>
      <c r="GU197" s="157"/>
      <c r="GV197" s="157"/>
      <c r="GW197" s="157"/>
      <c r="GX197" s="157"/>
      <c r="GY197" s="157"/>
      <c r="GZ197" s="157"/>
      <c r="HA197" s="157"/>
      <c r="HB197" s="155">
        <v>0.0</v>
      </c>
      <c r="HC197" s="155">
        <v>0.0</v>
      </c>
      <c r="HD197" s="155">
        <v>0.0</v>
      </c>
      <c r="HE197" s="155">
        <v>0.0</v>
      </c>
      <c r="HF197" s="155">
        <v>0.0</v>
      </c>
      <c r="HG197" s="155">
        <v>0.0</v>
      </c>
      <c r="IL197" s="159">
        <v>0.0</v>
      </c>
      <c r="IM197" s="156">
        <v>0.0</v>
      </c>
      <c r="IN197" s="156">
        <v>0.0</v>
      </c>
      <c r="IO197" s="156">
        <v>0.0</v>
      </c>
      <c r="IP197" s="156">
        <v>0.0</v>
      </c>
      <c r="IQ197" s="160">
        <v>0.0</v>
      </c>
      <c r="JH197" s="25"/>
      <c r="JW197" s="159">
        <v>0.0</v>
      </c>
      <c r="JX197" s="156">
        <v>0.0</v>
      </c>
      <c r="JY197" s="156">
        <v>0.0</v>
      </c>
      <c r="JZ197" s="156">
        <v>0.0</v>
      </c>
      <c r="KA197" s="156">
        <v>0.0</v>
      </c>
      <c r="KB197" s="160">
        <v>0.0</v>
      </c>
      <c r="LH197" s="159">
        <f t="shared" si="10"/>
        <v>0</v>
      </c>
      <c r="LI197" s="156">
        <f t="shared" si="11"/>
        <v>0</v>
      </c>
      <c r="LJ197" s="156">
        <f t="shared" si="12"/>
        <v>0</v>
      </c>
      <c r="LK197" s="156">
        <f t="shared" si="13"/>
        <v>0</v>
      </c>
      <c r="LL197" s="156">
        <f t="shared" si="14"/>
        <v>0</v>
      </c>
      <c r="LM197" s="160">
        <f t="shared" si="15"/>
        <v>0</v>
      </c>
      <c r="QX197" s="107">
        <v>45864.0</v>
      </c>
    </row>
    <row r="198">
      <c r="A198" s="12"/>
      <c r="B198" s="12"/>
      <c r="C198" s="12"/>
      <c r="D198" s="12"/>
      <c r="E198" s="12"/>
      <c r="F198" s="12"/>
      <c r="G198" s="12"/>
      <c r="H198" s="12"/>
      <c r="I198" s="143">
        <f t="shared" si="5"/>
        <v>-30</v>
      </c>
      <c r="J198" s="144">
        <v>45863.0</v>
      </c>
      <c r="K198" s="173" t="s">
        <v>61</v>
      </c>
      <c r="L198" s="384">
        <v>45975.0</v>
      </c>
      <c r="M198" s="147" t="s">
        <v>107</v>
      </c>
      <c r="N198" s="148">
        <v>46.0</v>
      </c>
      <c r="O198" s="148">
        <v>30.0</v>
      </c>
      <c r="P198" s="26"/>
      <c r="Q198" s="26"/>
      <c r="R198" s="26"/>
      <c r="S198" s="26"/>
      <c r="T198" s="26"/>
      <c r="U198" s="147" t="s">
        <v>447</v>
      </c>
      <c r="V198" s="149" t="s">
        <v>613</v>
      </c>
      <c r="W198" s="198" t="s">
        <v>2566</v>
      </c>
      <c r="X198" s="181">
        <v>30.0</v>
      </c>
      <c r="Y198" s="166">
        <f t="shared" si="6"/>
        <v>30</v>
      </c>
      <c r="Z198" s="26">
        <f t="shared" si="7"/>
        <v>0</v>
      </c>
      <c r="AA198" s="26">
        <f t="shared" si="8"/>
        <v>0</v>
      </c>
      <c r="AB198" s="26">
        <f t="shared" si="9"/>
        <v>0</v>
      </c>
      <c r="AC198" s="155">
        <v>0.0</v>
      </c>
      <c r="AD198" s="155">
        <v>0.0</v>
      </c>
      <c r="AE198" s="155">
        <v>0.0</v>
      </c>
      <c r="AF198" s="155">
        <v>0.0</v>
      </c>
      <c r="AG198" s="155">
        <v>0.0</v>
      </c>
      <c r="AH198" s="155">
        <v>0.0</v>
      </c>
      <c r="BN198" s="155">
        <v>0.0</v>
      </c>
      <c r="BO198" s="155">
        <v>0.0</v>
      </c>
      <c r="BP198" s="155">
        <v>0.0</v>
      </c>
      <c r="BQ198" s="155">
        <v>0.0</v>
      </c>
      <c r="BR198" s="155">
        <v>0.0</v>
      </c>
      <c r="BS198" s="155">
        <v>0.0</v>
      </c>
      <c r="CV198" s="156">
        <v>0.0</v>
      </c>
      <c r="CW198" s="156">
        <v>0.0</v>
      </c>
      <c r="CX198" s="156">
        <v>0.0</v>
      </c>
      <c r="CY198" s="156">
        <v>0.0</v>
      </c>
      <c r="CZ198" s="156">
        <v>0.0</v>
      </c>
      <c r="DA198" s="156">
        <v>0.0</v>
      </c>
      <c r="EG198" s="156">
        <v>0.0</v>
      </c>
      <c r="EH198" s="156">
        <v>0.0</v>
      </c>
      <c r="EI198" s="156">
        <v>0.0</v>
      </c>
      <c r="EJ198" s="156">
        <v>0.0</v>
      </c>
      <c r="EK198" s="156">
        <v>0.0</v>
      </c>
      <c r="EL198" s="156">
        <v>0.0</v>
      </c>
      <c r="FQ198" s="156">
        <v>0.0</v>
      </c>
      <c r="FR198" s="156">
        <v>0.0</v>
      </c>
      <c r="FS198" s="156">
        <v>0.0</v>
      </c>
      <c r="FT198" s="156">
        <v>0.0</v>
      </c>
      <c r="FU198" s="156">
        <v>0.0</v>
      </c>
      <c r="FV198" s="156">
        <v>0.0</v>
      </c>
      <c r="FW198" s="157"/>
      <c r="FX198" s="157"/>
      <c r="FY198" s="157"/>
      <c r="FZ198" s="157"/>
      <c r="GA198" s="157"/>
      <c r="GB198" s="157"/>
      <c r="GC198" s="157"/>
      <c r="GD198" s="157"/>
      <c r="GE198" s="157"/>
      <c r="GF198" s="157"/>
      <c r="GG198" s="157"/>
      <c r="GH198" s="157"/>
      <c r="GI198" s="157"/>
      <c r="GJ198" s="157"/>
      <c r="GK198" s="157"/>
      <c r="GL198" s="157"/>
      <c r="GM198" s="157"/>
      <c r="GN198" s="157"/>
      <c r="GO198" s="157"/>
      <c r="GP198" s="158"/>
      <c r="GQ198" s="157"/>
      <c r="GR198" s="157"/>
      <c r="GS198" s="157"/>
      <c r="GT198" s="157"/>
      <c r="GU198" s="157"/>
      <c r="GV198" s="157"/>
      <c r="GW198" s="157"/>
      <c r="GX198" s="157"/>
      <c r="GY198" s="157"/>
      <c r="GZ198" s="157"/>
      <c r="HA198" s="157"/>
      <c r="HB198" s="155">
        <v>0.0</v>
      </c>
      <c r="HC198" s="155">
        <v>0.0</v>
      </c>
      <c r="HD198" s="155">
        <v>0.0</v>
      </c>
      <c r="HE198" s="155">
        <v>0.0</v>
      </c>
      <c r="HF198" s="155">
        <v>0.0</v>
      </c>
      <c r="HG198" s="155">
        <v>0.0</v>
      </c>
      <c r="IL198" s="159">
        <v>0.0</v>
      </c>
      <c r="IM198" s="156">
        <v>0.0</v>
      </c>
      <c r="IN198" s="156">
        <v>0.0</v>
      </c>
      <c r="IO198" s="156">
        <v>0.0</v>
      </c>
      <c r="IP198" s="156">
        <v>0.0</v>
      </c>
      <c r="IQ198" s="160">
        <v>0.0</v>
      </c>
      <c r="JH198" s="25"/>
      <c r="JW198" s="159">
        <v>0.0</v>
      </c>
      <c r="JX198" s="156">
        <v>0.0</v>
      </c>
      <c r="JY198" s="156">
        <v>0.0</v>
      </c>
      <c r="JZ198" s="156">
        <v>0.0</v>
      </c>
      <c r="KA198" s="156">
        <v>0.0</v>
      </c>
      <c r="KB198" s="160">
        <v>0.0</v>
      </c>
      <c r="LH198" s="159">
        <f t="shared" si="10"/>
        <v>0</v>
      </c>
      <c r="LI198" s="156">
        <f t="shared" si="11"/>
        <v>0</v>
      </c>
      <c r="LJ198" s="156">
        <f t="shared" si="12"/>
        <v>0</v>
      </c>
      <c r="LK198" s="156">
        <f t="shared" si="13"/>
        <v>0</v>
      </c>
      <c r="LL198" s="156">
        <f t="shared" si="14"/>
        <v>0</v>
      </c>
      <c r="LM198" s="160">
        <f t="shared" si="15"/>
        <v>0</v>
      </c>
      <c r="QX198" s="107">
        <v>45864.0</v>
      </c>
    </row>
    <row r="199">
      <c r="A199" s="12"/>
      <c r="B199" s="12"/>
      <c r="C199" s="12"/>
      <c r="D199" s="12"/>
      <c r="E199" s="12"/>
      <c r="F199" s="12"/>
      <c r="G199" s="12"/>
      <c r="H199" s="12"/>
      <c r="I199" s="143">
        <f t="shared" si="5"/>
        <v>-30</v>
      </c>
      <c r="J199" s="144">
        <v>45868.0</v>
      </c>
      <c r="K199" s="173" t="s">
        <v>61</v>
      </c>
      <c r="L199" s="384">
        <v>45972.0</v>
      </c>
      <c r="M199" s="147" t="s">
        <v>400</v>
      </c>
      <c r="N199" s="148">
        <v>246.0</v>
      </c>
      <c r="O199" s="148">
        <v>30.0</v>
      </c>
      <c r="P199" s="26"/>
      <c r="Q199" s="26"/>
      <c r="R199" s="26"/>
      <c r="S199" s="26"/>
      <c r="T199" s="26"/>
      <c r="U199" s="147" t="s">
        <v>2573</v>
      </c>
      <c r="V199" s="149" t="s">
        <v>2574</v>
      </c>
      <c r="W199" s="198" t="s">
        <v>2575</v>
      </c>
      <c r="X199" s="181">
        <v>30.0</v>
      </c>
      <c r="Y199" s="166">
        <f t="shared" si="6"/>
        <v>30</v>
      </c>
      <c r="Z199" s="26">
        <f t="shared" si="7"/>
        <v>0</v>
      </c>
      <c r="AA199" s="26">
        <f t="shared" si="8"/>
        <v>0</v>
      </c>
      <c r="AB199" s="26">
        <f t="shared" si="9"/>
        <v>0</v>
      </c>
      <c r="AC199" s="155">
        <v>0.0</v>
      </c>
      <c r="AD199" s="155">
        <v>0.0</v>
      </c>
      <c r="AE199" s="155">
        <v>0.0</v>
      </c>
      <c r="AF199" s="155">
        <v>0.0</v>
      </c>
      <c r="AG199" s="155">
        <v>0.0</v>
      </c>
      <c r="AH199" s="155">
        <v>0.0</v>
      </c>
      <c r="BN199" s="155">
        <v>0.0</v>
      </c>
      <c r="BO199" s="155">
        <v>0.0</v>
      </c>
      <c r="BP199" s="155">
        <v>0.0</v>
      </c>
      <c r="BQ199" s="155">
        <v>0.0</v>
      </c>
      <c r="BR199" s="155">
        <v>0.0</v>
      </c>
      <c r="BS199" s="155">
        <v>0.0</v>
      </c>
      <c r="CV199" s="156">
        <v>0.0</v>
      </c>
      <c r="CW199" s="156">
        <v>0.0</v>
      </c>
      <c r="CX199" s="156">
        <v>0.0</v>
      </c>
      <c r="CY199" s="156">
        <v>0.0</v>
      </c>
      <c r="CZ199" s="156">
        <v>0.0</v>
      </c>
      <c r="DA199" s="156">
        <v>0.0</v>
      </c>
      <c r="EG199" s="156">
        <v>0.0</v>
      </c>
      <c r="EH199" s="156">
        <v>0.0</v>
      </c>
      <c r="EI199" s="156">
        <v>0.0</v>
      </c>
      <c r="EJ199" s="156">
        <v>0.0</v>
      </c>
      <c r="EK199" s="156">
        <v>0.0</v>
      </c>
      <c r="EL199" s="156">
        <v>0.0</v>
      </c>
      <c r="FQ199" s="156">
        <v>0.0</v>
      </c>
      <c r="FR199" s="156">
        <v>0.0</v>
      </c>
      <c r="FS199" s="156">
        <v>0.0</v>
      </c>
      <c r="FT199" s="156">
        <v>0.0</v>
      </c>
      <c r="FU199" s="156">
        <v>0.0</v>
      </c>
      <c r="FV199" s="156">
        <v>0.0</v>
      </c>
      <c r="FW199" s="157"/>
      <c r="FX199" s="157"/>
      <c r="FY199" s="157"/>
      <c r="FZ199" s="157"/>
      <c r="GA199" s="157"/>
      <c r="GB199" s="157"/>
      <c r="GC199" s="157"/>
      <c r="GD199" s="157"/>
      <c r="GE199" s="157"/>
      <c r="GF199" s="157"/>
      <c r="GG199" s="157"/>
      <c r="GH199" s="157"/>
      <c r="GI199" s="157"/>
      <c r="GJ199" s="157"/>
      <c r="GK199" s="157"/>
      <c r="GL199" s="157"/>
      <c r="GM199" s="157"/>
      <c r="GN199" s="157"/>
      <c r="GO199" s="157"/>
      <c r="GP199" s="158"/>
      <c r="GQ199" s="157"/>
      <c r="GR199" s="157"/>
      <c r="GS199" s="157"/>
      <c r="GT199" s="157"/>
      <c r="GU199" s="157"/>
      <c r="GV199" s="157"/>
      <c r="GW199" s="157"/>
      <c r="GX199" s="157"/>
      <c r="GY199" s="157"/>
      <c r="GZ199" s="157"/>
      <c r="HA199" s="157"/>
      <c r="HB199" s="155">
        <v>0.0</v>
      </c>
      <c r="HC199" s="155">
        <v>0.0</v>
      </c>
      <c r="HD199" s="155">
        <v>0.0</v>
      </c>
      <c r="HE199" s="155">
        <v>0.0</v>
      </c>
      <c r="HF199" s="155">
        <v>0.0</v>
      </c>
      <c r="HG199" s="155">
        <v>0.0</v>
      </c>
      <c r="IL199" s="159">
        <v>0.0</v>
      </c>
      <c r="IM199" s="156">
        <v>0.0</v>
      </c>
      <c r="IN199" s="156">
        <v>0.0</v>
      </c>
      <c r="IO199" s="156">
        <v>0.0</v>
      </c>
      <c r="IP199" s="156">
        <v>0.0</v>
      </c>
      <c r="IQ199" s="160">
        <v>0.0</v>
      </c>
      <c r="JH199" s="25"/>
      <c r="JW199" s="159">
        <v>0.0</v>
      </c>
      <c r="JX199" s="156">
        <v>0.0</v>
      </c>
      <c r="JY199" s="156">
        <v>0.0</v>
      </c>
      <c r="JZ199" s="156">
        <v>0.0</v>
      </c>
      <c r="KA199" s="156">
        <v>0.0</v>
      </c>
      <c r="KB199" s="160">
        <v>0.0</v>
      </c>
      <c r="LH199" s="159">
        <f t="shared" si="10"/>
        <v>0</v>
      </c>
      <c r="LI199" s="156">
        <f t="shared" si="11"/>
        <v>0</v>
      </c>
      <c r="LJ199" s="156">
        <f t="shared" si="12"/>
        <v>0</v>
      </c>
      <c r="LK199" s="156">
        <f t="shared" si="13"/>
        <v>0</v>
      </c>
      <c r="LL199" s="156">
        <f t="shared" si="14"/>
        <v>0</v>
      </c>
      <c r="LM199" s="160">
        <f t="shared" si="15"/>
        <v>0</v>
      </c>
      <c r="QX199" s="107">
        <v>45864.0</v>
      </c>
    </row>
    <row r="200">
      <c r="A200" s="12"/>
      <c r="B200" s="12"/>
      <c r="C200" s="12"/>
      <c r="D200" s="12"/>
      <c r="E200" s="12"/>
      <c r="F200" s="12"/>
      <c r="G200" s="12"/>
      <c r="H200" s="12"/>
      <c r="I200" s="143">
        <f t="shared" si="5"/>
        <v>-30</v>
      </c>
      <c r="J200" s="144">
        <v>45867.0</v>
      </c>
      <c r="K200" s="173" t="s">
        <v>61</v>
      </c>
      <c r="L200" s="144">
        <v>45962.0</v>
      </c>
      <c r="M200" s="307" t="s">
        <v>107</v>
      </c>
      <c r="N200" s="308">
        <v>357.0</v>
      </c>
      <c r="O200" s="308">
        <v>60.0</v>
      </c>
      <c r="P200" s="309"/>
      <c r="Q200" s="309"/>
      <c r="R200" s="309"/>
      <c r="S200" s="309"/>
      <c r="T200" s="309"/>
      <c r="U200" s="307" t="s">
        <v>1973</v>
      </c>
      <c r="V200" s="310" t="s">
        <v>1974</v>
      </c>
      <c r="W200" s="311" t="s">
        <v>1975</v>
      </c>
      <c r="X200" s="181">
        <v>30.0</v>
      </c>
      <c r="Y200" s="166">
        <f t="shared" si="6"/>
        <v>30</v>
      </c>
      <c r="Z200" s="26">
        <f t="shared" si="7"/>
        <v>0</v>
      </c>
      <c r="AA200" s="26">
        <f t="shared" si="8"/>
        <v>0</v>
      </c>
      <c r="AB200" s="26">
        <f t="shared" si="9"/>
        <v>0</v>
      </c>
      <c r="AC200" s="155">
        <v>0.0</v>
      </c>
      <c r="AD200" s="155">
        <v>0.0</v>
      </c>
      <c r="AE200" s="155">
        <v>0.0</v>
      </c>
      <c r="AF200" s="155">
        <v>0.0</v>
      </c>
      <c r="AG200" s="155">
        <v>0.0</v>
      </c>
      <c r="AH200" s="155">
        <v>0.0</v>
      </c>
      <c r="BN200" s="155">
        <v>0.0</v>
      </c>
      <c r="BO200" s="155">
        <v>0.0</v>
      </c>
      <c r="BP200" s="155">
        <v>0.0</v>
      </c>
      <c r="BQ200" s="155">
        <v>0.0</v>
      </c>
      <c r="BR200" s="155">
        <v>0.0</v>
      </c>
      <c r="BS200" s="155">
        <v>0.0</v>
      </c>
      <c r="CV200" s="156">
        <v>0.0</v>
      </c>
      <c r="CW200" s="156">
        <v>0.0</v>
      </c>
      <c r="CX200" s="156">
        <v>0.0</v>
      </c>
      <c r="CY200" s="156">
        <v>0.0</v>
      </c>
      <c r="CZ200" s="156">
        <v>0.0</v>
      </c>
      <c r="DA200" s="156">
        <v>0.0</v>
      </c>
      <c r="EG200" s="156">
        <v>0.0</v>
      </c>
      <c r="EH200" s="156">
        <v>0.0</v>
      </c>
      <c r="EI200" s="156">
        <v>0.0</v>
      </c>
      <c r="EJ200" s="156">
        <v>0.0</v>
      </c>
      <c r="EK200" s="156">
        <v>0.0</v>
      </c>
      <c r="EL200" s="156">
        <v>0.0</v>
      </c>
      <c r="FQ200" s="156">
        <v>0.0</v>
      </c>
      <c r="FR200" s="156">
        <v>0.0</v>
      </c>
      <c r="FS200" s="156">
        <v>0.0</v>
      </c>
      <c r="FT200" s="156">
        <v>0.0</v>
      </c>
      <c r="FU200" s="156">
        <v>0.0</v>
      </c>
      <c r="FV200" s="156">
        <v>0.0</v>
      </c>
      <c r="FW200" s="157"/>
      <c r="FX200" s="157"/>
      <c r="FY200" s="157"/>
      <c r="FZ200" s="157"/>
      <c r="GA200" s="157"/>
      <c r="GB200" s="157"/>
      <c r="GC200" s="157"/>
      <c r="GD200" s="157"/>
      <c r="GE200" s="157"/>
      <c r="GF200" s="157"/>
      <c r="GG200" s="157"/>
      <c r="GH200" s="157"/>
      <c r="GI200" s="157"/>
      <c r="GJ200" s="157"/>
      <c r="GK200" s="157"/>
      <c r="GL200" s="157"/>
      <c r="GM200" s="157"/>
      <c r="GN200" s="157"/>
      <c r="GO200" s="157"/>
      <c r="GP200" s="158"/>
      <c r="GQ200" s="157"/>
      <c r="GR200" s="157"/>
      <c r="GS200" s="157"/>
      <c r="GT200" s="157"/>
      <c r="GU200" s="157"/>
      <c r="GV200" s="157"/>
      <c r="GW200" s="157"/>
      <c r="GX200" s="157"/>
      <c r="GY200" s="157"/>
      <c r="GZ200" s="157"/>
      <c r="HA200" s="157"/>
      <c r="HB200" s="155">
        <v>0.0</v>
      </c>
      <c r="HC200" s="155">
        <v>0.0</v>
      </c>
      <c r="HD200" s="155">
        <v>0.0</v>
      </c>
      <c r="HE200" s="155">
        <v>0.0</v>
      </c>
      <c r="HF200" s="155">
        <v>0.0</v>
      </c>
      <c r="HG200" s="155">
        <v>0.0</v>
      </c>
      <c r="IL200" s="159">
        <v>0.0</v>
      </c>
      <c r="IM200" s="156">
        <v>0.0</v>
      </c>
      <c r="IN200" s="156">
        <v>0.0</v>
      </c>
      <c r="IO200" s="156">
        <v>0.0</v>
      </c>
      <c r="IP200" s="156">
        <v>0.0</v>
      </c>
      <c r="IQ200" s="160">
        <v>0.0</v>
      </c>
      <c r="JH200" s="25"/>
      <c r="JW200" s="159">
        <v>0.0</v>
      </c>
      <c r="JX200" s="156">
        <v>0.0</v>
      </c>
      <c r="JY200" s="156">
        <v>0.0</v>
      </c>
      <c r="JZ200" s="156">
        <v>0.0</v>
      </c>
      <c r="KA200" s="156">
        <v>0.0</v>
      </c>
      <c r="KB200" s="160">
        <v>0.0</v>
      </c>
      <c r="LH200" s="159">
        <f t="shared" si="10"/>
        <v>0</v>
      </c>
      <c r="LI200" s="156">
        <f t="shared" si="11"/>
        <v>0</v>
      </c>
      <c r="LJ200" s="156">
        <f t="shared" si="12"/>
        <v>0</v>
      </c>
      <c r="LK200" s="156">
        <f t="shared" si="13"/>
        <v>0</v>
      </c>
      <c r="LL200" s="156">
        <f t="shared" si="14"/>
        <v>0</v>
      </c>
      <c r="LM200" s="160">
        <f t="shared" si="15"/>
        <v>0</v>
      </c>
      <c r="QX200" s="107">
        <v>45864.0</v>
      </c>
    </row>
    <row r="201">
      <c r="A201" s="12"/>
      <c r="B201" s="12"/>
      <c r="C201" s="12"/>
      <c r="D201" s="12"/>
      <c r="E201" s="12"/>
      <c r="F201" s="12"/>
      <c r="G201" s="12"/>
      <c r="H201" s="12"/>
      <c r="I201" s="143">
        <f t="shared" si="5"/>
        <v>-20</v>
      </c>
      <c r="J201" s="144">
        <v>45869.0</v>
      </c>
      <c r="K201" s="49" t="s">
        <v>61</v>
      </c>
      <c r="L201" s="144">
        <v>45940.0</v>
      </c>
      <c r="M201" s="147" t="s">
        <v>2592</v>
      </c>
      <c r="N201" s="148">
        <v>357.0</v>
      </c>
      <c r="O201" s="148">
        <v>30.0</v>
      </c>
      <c r="P201" s="26"/>
      <c r="Q201" s="26"/>
      <c r="R201" s="26"/>
      <c r="S201" s="26"/>
      <c r="T201" s="26"/>
      <c r="U201" s="147" t="s">
        <v>2133</v>
      </c>
      <c r="V201" s="197"/>
      <c r="W201" s="198" t="s">
        <v>2593</v>
      </c>
      <c r="X201" s="181">
        <v>20.0</v>
      </c>
      <c r="Y201" s="166">
        <f t="shared" si="6"/>
        <v>20</v>
      </c>
      <c r="Z201" s="26">
        <f t="shared" si="7"/>
        <v>0</v>
      </c>
      <c r="AA201" s="26">
        <f t="shared" si="8"/>
        <v>0</v>
      </c>
      <c r="AB201" s="26">
        <f t="shared" si="9"/>
        <v>0</v>
      </c>
      <c r="AC201" s="155">
        <v>0.0</v>
      </c>
      <c r="AD201" s="155">
        <v>0.0</v>
      </c>
      <c r="AE201" s="155">
        <v>0.0</v>
      </c>
      <c r="AF201" s="155">
        <v>0.0</v>
      </c>
      <c r="AG201" s="155">
        <v>0.0</v>
      </c>
      <c r="AH201" s="155">
        <v>0.0</v>
      </c>
      <c r="BN201" s="155">
        <v>0.0</v>
      </c>
      <c r="BO201" s="155">
        <v>0.0</v>
      </c>
      <c r="BP201" s="155">
        <v>0.0</v>
      </c>
      <c r="BQ201" s="155">
        <v>0.0</v>
      </c>
      <c r="BR201" s="155">
        <v>0.0</v>
      </c>
      <c r="BS201" s="155">
        <v>0.0</v>
      </c>
      <c r="CV201" s="156">
        <v>0.0</v>
      </c>
      <c r="CW201" s="156">
        <v>0.0</v>
      </c>
      <c r="CX201" s="156">
        <v>0.0</v>
      </c>
      <c r="CY201" s="156">
        <v>0.0</v>
      </c>
      <c r="CZ201" s="156">
        <v>0.0</v>
      </c>
      <c r="DA201" s="156">
        <v>0.0</v>
      </c>
      <c r="EG201" s="156">
        <v>0.0</v>
      </c>
      <c r="EH201" s="156">
        <v>0.0</v>
      </c>
      <c r="EI201" s="156">
        <v>0.0</v>
      </c>
      <c r="EJ201" s="156">
        <v>0.0</v>
      </c>
      <c r="EK201" s="156">
        <v>0.0</v>
      </c>
      <c r="EL201" s="156">
        <v>0.0</v>
      </c>
      <c r="FQ201" s="156">
        <v>0.0</v>
      </c>
      <c r="FR201" s="156">
        <v>0.0</v>
      </c>
      <c r="FS201" s="156">
        <v>0.0</v>
      </c>
      <c r="FT201" s="156">
        <v>0.0</v>
      </c>
      <c r="FU201" s="156">
        <v>0.0</v>
      </c>
      <c r="FV201" s="156">
        <v>0.0</v>
      </c>
      <c r="FW201" s="157"/>
      <c r="FX201" s="157"/>
      <c r="FY201" s="157"/>
      <c r="FZ201" s="157"/>
      <c r="GA201" s="157"/>
      <c r="GB201" s="157"/>
      <c r="GC201" s="157"/>
      <c r="GD201" s="157"/>
      <c r="GE201" s="157"/>
      <c r="GF201" s="157"/>
      <c r="GG201" s="157"/>
      <c r="GH201" s="157"/>
      <c r="GI201" s="157"/>
      <c r="GJ201" s="157"/>
      <c r="GK201" s="157"/>
      <c r="GL201" s="157"/>
      <c r="GM201" s="157"/>
      <c r="GN201" s="157"/>
      <c r="GO201" s="157"/>
      <c r="GP201" s="158"/>
      <c r="GQ201" s="157"/>
      <c r="GR201" s="157"/>
      <c r="GS201" s="157"/>
      <c r="GT201" s="157"/>
      <c r="GU201" s="157"/>
      <c r="GV201" s="157"/>
      <c r="GW201" s="157"/>
      <c r="GX201" s="157"/>
      <c r="GY201" s="157"/>
      <c r="GZ201" s="157"/>
      <c r="HA201" s="157"/>
      <c r="HB201" s="155">
        <v>0.0</v>
      </c>
      <c r="HC201" s="155">
        <v>0.0</v>
      </c>
      <c r="HD201" s="155">
        <v>0.0</v>
      </c>
      <c r="HE201" s="155">
        <v>0.0</v>
      </c>
      <c r="HF201" s="155">
        <v>0.0</v>
      </c>
      <c r="HG201" s="155">
        <v>0.0</v>
      </c>
      <c r="IL201" s="159">
        <v>0.0</v>
      </c>
      <c r="IM201" s="156">
        <v>0.0</v>
      </c>
      <c r="IN201" s="156">
        <v>0.0</v>
      </c>
      <c r="IO201" s="156">
        <v>0.0</v>
      </c>
      <c r="IP201" s="156">
        <v>0.0</v>
      </c>
      <c r="IQ201" s="160">
        <v>0.0</v>
      </c>
      <c r="JH201" s="25"/>
      <c r="JW201" s="159">
        <v>0.0</v>
      </c>
      <c r="JX201" s="156">
        <v>0.0</v>
      </c>
      <c r="JY201" s="156">
        <v>0.0</v>
      </c>
      <c r="JZ201" s="156">
        <v>0.0</v>
      </c>
      <c r="KA201" s="156">
        <v>0.0</v>
      </c>
      <c r="KB201" s="160">
        <v>0.0</v>
      </c>
      <c r="LH201" s="159">
        <f t="shared" si="10"/>
        <v>0</v>
      </c>
      <c r="LI201" s="156">
        <f t="shared" si="11"/>
        <v>0</v>
      </c>
      <c r="LJ201" s="156">
        <f t="shared" si="12"/>
        <v>0</v>
      </c>
      <c r="LK201" s="156">
        <f t="shared" si="13"/>
        <v>0</v>
      </c>
      <c r="LL201" s="156">
        <f t="shared" si="14"/>
        <v>0</v>
      </c>
      <c r="LM201" s="160">
        <f t="shared" si="15"/>
        <v>0</v>
      </c>
      <c r="QX201" s="107">
        <v>45864.0</v>
      </c>
    </row>
    <row r="202">
      <c r="A202" s="12"/>
      <c r="B202" s="12"/>
      <c r="C202" s="12"/>
      <c r="D202" s="12"/>
      <c r="E202" s="12"/>
      <c r="F202" s="12"/>
      <c r="G202" s="12"/>
      <c r="H202" s="12"/>
      <c r="I202" s="143">
        <f t="shared" si="5"/>
        <v>-30</v>
      </c>
      <c r="J202" s="144">
        <v>45868.0</v>
      </c>
      <c r="K202" s="385" t="s">
        <v>61</v>
      </c>
      <c r="L202" s="144">
        <v>45945.0</v>
      </c>
      <c r="M202" s="147" t="s">
        <v>2602</v>
      </c>
      <c r="N202" s="148">
        <v>246.0</v>
      </c>
      <c r="O202" s="148">
        <v>30.0</v>
      </c>
      <c r="P202" s="26"/>
      <c r="Q202" s="26"/>
      <c r="R202" s="26"/>
      <c r="S202" s="26"/>
      <c r="T202" s="26"/>
      <c r="U202" s="147" t="s">
        <v>1466</v>
      </c>
      <c r="V202" s="197"/>
      <c r="W202" s="198" t="s">
        <v>2605</v>
      </c>
      <c r="X202" s="181">
        <v>30.0</v>
      </c>
      <c r="Y202" s="166">
        <f t="shared" si="6"/>
        <v>30</v>
      </c>
      <c r="Z202" s="26">
        <f t="shared" si="7"/>
        <v>0</v>
      </c>
      <c r="AA202" s="26">
        <f t="shared" si="8"/>
        <v>0</v>
      </c>
      <c r="AB202" s="26">
        <f t="shared" si="9"/>
        <v>0</v>
      </c>
      <c r="AC202" s="155">
        <v>0.0</v>
      </c>
      <c r="AD202" s="155">
        <v>0.0</v>
      </c>
      <c r="AE202" s="155">
        <v>0.0</v>
      </c>
      <c r="AF202" s="155">
        <v>0.0</v>
      </c>
      <c r="AG202" s="155">
        <v>0.0</v>
      </c>
      <c r="AH202" s="155">
        <v>0.0</v>
      </c>
      <c r="BN202" s="155">
        <v>0.0</v>
      </c>
      <c r="BO202" s="155">
        <v>0.0</v>
      </c>
      <c r="BP202" s="155">
        <v>0.0</v>
      </c>
      <c r="BQ202" s="155">
        <v>0.0</v>
      </c>
      <c r="BR202" s="155">
        <v>0.0</v>
      </c>
      <c r="BS202" s="155">
        <v>0.0</v>
      </c>
      <c r="CV202" s="156">
        <v>0.0</v>
      </c>
      <c r="CW202" s="156">
        <v>0.0</v>
      </c>
      <c r="CX202" s="156">
        <v>0.0</v>
      </c>
      <c r="CY202" s="156">
        <v>0.0</v>
      </c>
      <c r="CZ202" s="156">
        <v>0.0</v>
      </c>
      <c r="DA202" s="156">
        <v>0.0</v>
      </c>
      <c r="EG202" s="156">
        <v>0.0</v>
      </c>
      <c r="EH202" s="156">
        <v>0.0</v>
      </c>
      <c r="EI202" s="156">
        <v>0.0</v>
      </c>
      <c r="EJ202" s="156">
        <v>0.0</v>
      </c>
      <c r="EK202" s="156">
        <v>0.0</v>
      </c>
      <c r="EL202" s="156">
        <v>0.0</v>
      </c>
      <c r="FQ202" s="156">
        <v>0.0</v>
      </c>
      <c r="FR202" s="156">
        <v>0.0</v>
      </c>
      <c r="FS202" s="156">
        <v>0.0</v>
      </c>
      <c r="FT202" s="156">
        <v>0.0</v>
      </c>
      <c r="FU202" s="156">
        <v>0.0</v>
      </c>
      <c r="FV202" s="156">
        <v>0.0</v>
      </c>
      <c r="FW202" s="157"/>
      <c r="FX202" s="157"/>
      <c r="FY202" s="157"/>
      <c r="FZ202" s="157"/>
      <c r="GA202" s="157"/>
      <c r="GB202" s="157"/>
      <c r="GC202" s="157"/>
      <c r="GD202" s="157"/>
      <c r="GE202" s="157"/>
      <c r="GF202" s="157"/>
      <c r="GG202" s="157"/>
      <c r="GH202" s="157"/>
      <c r="GI202" s="157"/>
      <c r="GJ202" s="157"/>
      <c r="GK202" s="157"/>
      <c r="GL202" s="157"/>
      <c r="GM202" s="157"/>
      <c r="GN202" s="157"/>
      <c r="GO202" s="157"/>
      <c r="GP202" s="158"/>
      <c r="GQ202" s="157"/>
      <c r="GR202" s="157"/>
      <c r="GS202" s="157"/>
      <c r="GT202" s="157"/>
      <c r="GU202" s="157"/>
      <c r="GV202" s="157"/>
      <c r="GW202" s="157"/>
      <c r="GX202" s="157"/>
      <c r="GY202" s="157"/>
      <c r="GZ202" s="157"/>
      <c r="HA202" s="157"/>
      <c r="HB202" s="155">
        <v>0.0</v>
      </c>
      <c r="HC202" s="155">
        <v>0.0</v>
      </c>
      <c r="HD202" s="155">
        <v>0.0</v>
      </c>
      <c r="HE202" s="155">
        <v>0.0</v>
      </c>
      <c r="HF202" s="155">
        <v>0.0</v>
      </c>
      <c r="HG202" s="155">
        <v>0.0</v>
      </c>
      <c r="IL202" s="159">
        <v>0.0</v>
      </c>
      <c r="IM202" s="156">
        <v>0.0</v>
      </c>
      <c r="IN202" s="156">
        <v>0.0</v>
      </c>
      <c r="IO202" s="156">
        <v>0.0</v>
      </c>
      <c r="IP202" s="156">
        <v>0.0</v>
      </c>
      <c r="IQ202" s="160">
        <v>0.0</v>
      </c>
      <c r="JH202" s="25"/>
      <c r="JW202" s="159">
        <v>0.0</v>
      </c>
      <c r="JX202" s="156">
        <v>0.0</v>
      </c>
      <c r="JY202" s="156">
        <v>0.0</v>
      </c>
      <c r="JZ202" s="156">
        <v>0.0</v>
      </c>
      <c r="KA202" s="156">
        <v>0.0</v>
      </c>
      <c r="KB202" s="160">
        <v>0.0</v>
      </c>
      <c r="LH202" s="159">
        <f t="shared" si="10"/>
        <v>0</v>
      </c>
      <c r="LI202" s="156">
        <f t="shared" si="11"/>
        <v>0</v>
      </c>
      <c r="LJ202" s="156">
        <f t="shared" si="12"/>
        <v>0</v>
      </c>
      <c r="LK202" s="156">
        <f t="shared" si="13"/>
        <v>0</v>
      </c>
      <c r="LL202" s="156">
        <f t="shared" si="14"/>
        <v>0</v>
      </c>
      <c r="LM202" s="160">
        <f t="shared" si="15"/>
        <v>0</v>
      </c>
      <c r="QX202" s="107">
        <v>45866.0</v>
      </c>
    </row>
    <row r="203">
      <c r="A203" s="12"/>
      <c r="B203" s="12"/>
      <c r="C203" s="12"/>
      <c r="D203" s="12"/>
      <c r="E203" s="12"/>
      <c r="F203" s="12"/>
      <c r="G203" s="12"/>
      <c r="H203" s="12"/>
      <c r="I203" s="143">
        <f t="shared" si="5"/>
        <v>-13</v>
      </c>
      <c r="J203" s="144">
        <v>45875.0</v>
      </c>
      <c r="K203" s="173" t="s">
        <v>61</v>
      </c>
      <c r="L203" s="144">
        <v>46016.0</v>
      </c>
      <c r="M203" s="386" t="s">
        <v>348</v>
      </c>
      <c r="N203" s="387">
        <v>246.0</v>
      </c>
      <c r="O203" s="387">
        <v>45.0</v>
      </c>
      <c r="P203" s="388"/>
      <c r="Q203" s="388"/>
      <c r="R203" s="388"/>
      <c r="S203" s="388"/>
      <c r="T203" s="388"/>
      <c r="U203" s="386" t="s">
        <v>2617</v>
      </c>
      <c r="V203" s="389" t="s">
        <v>2618</v>
      </c>
      <c r="W203" s="390" t="s">
        <v>2619</v>
      </c>
      <c r="X203" s="181">
        <v>13.0</v>
      </c>
      <c r="Y203" s="166">
        <f t="shared" si="6"/>
        <v>13</v>
      </c>
      <c r="Z203" s="26">
        <f t="shared" si="7"/>
        <v>0</v>
      </c>
      <c r="AA203" s="26">
        <f t="shared" si="8"/>
        <v>0</v>
      </c>
      <c r="AB203" s="26">
        <f t="shared" si="9"/>
        <v>0</v>
      </c>
      <c r="AC203" s="155">
        <v>0.0</v>
      </c>
      <c r="AD203" s="155">
        <v>0.0</v>
      </c>
      <c r="AE203" s="155">
        <v>0.0</v>
      </c>
      <c r="AF203" s="155">
        <v>0.0</v>
      </c>
      <c r="AG203" s="155">
        <v>0.0</v>
      </c>
      <c r="AH203" s="155">
        <v>0.0</v>
      </c>
      <c r="BN203" s="155">
        <v>0.0</v>
      </c>
      <c r="BO203" s="155">
        <v>0.0</v>
      </c>
      <c r="BP203" s="155">
        <v>0.0</v>
      </c>
      <c r="BQ203" s="155">
        <v>0.0</v>
      </c>
      <c r="BR203" s="155">
        <v>0.0</v>
      </c>
      <c r="BS203" s="155">
        <v>0.0</v>
      </c>
      <c r="CV203" s="156">
        <v>0.0</v>
      </c>
      <c r="CW203" s="156">
        <v>0.0</v>
      </c>
      <c r="CX203" s="156">
        <v>0.0</v>
      </c>
      <c r="CY203" s="156">
        <v>0.0</v>
      </c>
      <c r="CZ203" s="156">
        <v>0.0</v>
      </c>
      <c r="DA203" s="156">
        <v>0.0</v>
      </c>
      <c r="EG203" s="156">
        <v>0.0</v>
      </c>
      <c r="EH203" s="156">
        <v>0.0</v>
      </c>
      <c r="EI203" s="156">
        <v>0.0</v>
      </c>
      <c r="EJ203" s="156">
        <v>0.0</v>
      </c>
      <c r="EK203" s="156">
        <v>0.0</v>
      </c>
      <c r="EL203" s="156">
        <v>0.0</v>
      </c>
      <c r="FQ203" s="156">
        <v>0.0</v>
      </c>
      <c r="FR203" s="156">
        <v>0.0</v>
      </c>
      <c r="FS203" s="156">
        <v>0.0</v>
      </c>
      <c r="FT203" s="156">
        <v>0.0</v>
      </c>
      <c r="FU203" s="156">
        <v>0.0</v>
      </c>
      <c r="FV203" s="156">
        <v>0.0</v>
      </c>
      <c r="FW203" s="157"/>
      <c r="FX203" s="157"/>
      <c r="FY203" s="157"/>
      <c r="FZ203" s="157"/>
      <c r="GA203" s="157"/>
      <c r="GB203" s="157"/>
      <c r="GC203" s="157"/>
      <c r="GD203" s="157"/>
      <c r="GE203" s="157"/>
      <c r="GF203" s="157"/>
      <c r="GG203" s="157"/>
      <c r="GH203" s="157"/>
      <c r="GI203" s="157"/>
      <c r="GJ203" s="157"/>
      <c r="GK203" s="157"/>
      <c r="GL203" s="157"/>
      <c r="GM203" s="157"/>
      <c r="GN203" s="157"/>
      <c r="GO203" s="157"/>
      <c r="GP203" s="158"/>
      <c r="GQ203" s="157"/>
      <c r="GR203" s="157"/>
      <c r="GS203" s="157"/>
      <c r="GT203" s="157"/>
      <c r="GU203" s="157"/>
      <c r="GV203" s="157"/>
      <c r="GW203" s="157"/>
      <c r="GX203" s="157"/>
      <c r="GY203" s="157"/>
      <c r="GZ203" s="157"/>
      <c r="HA203" s="157"/>
      <c r="HB203" s="155">
        <v>0.0</v>
      </c>
      <c r="HC203" s="155">
        <v>0.0</v>
      </c>
      <c r="HD203" s="155">
        <v>0.0</v>
      </c>
      <c r="HE203" s="155">
        <v>0.0</v>
      </c>
      <c r="HF203" s="155">
        <v>0.0</v>
      </c>
      <c r="HG203" s="155">
        <v>0.0</v>
      </c>
      <c r="IL203" s="159">
        <v>0.0</v>
      </c>
      <c r="IM203" s="156">
        <v>0.0</v>
      </c>
      <c r="IN203" s="156">
        <v>0.0</v>
      </c>
      <c r="IO203" s="156">
        <v>0.0</v>
      </c>
      <c r="IP203" s="156">
        <v>0.0</v>
      </c>
      <c r="IQ203" s="160">
        <v>0.0</v>
      </c>
      <c r="JH203" s="25"/>
      <c r="JW203" s="159">
        <v>0.0</v>
      </c>
      <c r="JX203" s="156">
        <v>0.0</v>
      </c>
      <c r="JY203" s="156">
        <v>0.0</v>
      </c>
      <c r="JZ203" s="156">
        <v>0.0</v>
      </c>
      <c r="KA203" s="156">
        <v>0.0</v>
      </c>
      <c r="KB203" s="160">
        <v>0.0</v>
      </c>
      <c r="LH203" s="159">
        <f t="shared" si="10"/>
        <v>0</v>
      </c>
      <c r="LI203" s="156">
        <f t="shared" si="11"/>
        <v>0</v>
      </c>
      <c r="LJ203" s="156">
        <f t="shared" si="12"/>
        <v>0</v>
      </c>
      <c r="LK203" s="156">
        <f t="shared" si="13"/>
        <v>0</v>
      </c>
      <c r="LL203" s="156">
        <f t="shared" si="14"/>
        <v>0</v>
      </c>
      <c r="LM203" s="160">
        <f t="shared" si="15"/>
        <v>0</v>
      </c>
      <c r="QX203" s="107">
        <v>45866.0</v>
      </c>
    </row>
    <row r="204">
      <c r="A204" s="12"/>
      <c r="B204" s="12"/>
      <c r="C204" s="12"/>
      <c r="D204" s="12"/>
      <c r="E204" s="12"/>
      <c r="F204" s="12"/>
      <c r="G204" s="12"/>
      <c r="H204" s="12"/>
      <c r="I204" s="143">
        <f t="shared" si="5"/>
        <v>-13</v>
      </c>
      <c r="J204" s="144">
        <v>45871.0</v>
      </c>
      <c r="K204" s="173" t="s">
        <v>61</v>
      </c>
      <c r="L204" s="144">
        <v>45920.0</v>
      </c>
      <c r="M204" s="147" t="s">
        <v>1433</v>
      </c>
      <c r="N204" s="148" t="s">
        <v>467</v>
      </c>
      <c r="O204" s="148">
        <v>30.0</v>
      </c>
      <c r="P204" s="26"/>
      <c r="Q204" s="26"/>
      <c r="R204" s="26"/>
      <c r="S204" s="26"/>
      <c r="T204" s="26"/>
      <c r="U204" s="147" t="s">
        <v>2624</v>
      </c>
      <c r="V204" s="197"/>
      <c r="W204" s="198" t="s">
        <v>2625</v>
      </c>
      <c r="X204" s="181">
        <v>13.0</v>
      </c>
      <c r="Y204" s="166">
        <f t="shared" si="6"/>
        <v>13</v>
      </c>
      <c r="Z204" s="26">
        <f t="shared" si="7"/>
        <v>0</v>
      </c>
      <c r="AA204" s="26">
        <f t="shared" si="8"/>
        <v>0</v>
      </c>
      <c r="AB204" s="26">
        <f t="shared" si="9"/>
        <v>0</v>
      </c>
      <c r="AC204" s="155">
        <v>0.0</v>
      </c>
      <c r="AD204" s="155">
        <v>0.0</v>
      </c>
      <c r="AE204" s="155">
        <v>0.0</v>
      </c>
      <c r="AF204" s="155">
        <v>0.0</v>
      </c>
      <c r="AG204" s="155">
        <v>0.0</v>
      </c>
      <c r="AH204" s="155">
        <v>0.0</v>
      </c>
      <c r="BN204" s="155">
        <v>0.0</v>
      </c>
      <c r="BO204" s="155">
        <v>0.0</v>
      </c>
      <c r="BP204" s="155">
        <v>0.0</v>
      </c>
      <c r="BQ204" s="155">
        <v>0.0</v>
      </c>
      <c r="BR204" s="155">
        <v>0.0</v>
      </c>
      <c r="BS204" s="155">
        <v>0.0</v>
      </c>
      <c r="CV204" s="156">
        <v>0.0</v>
      </c>
      <c r="CW204" s="156">
        <v>0.0</v>
      </c>
      <c r="CX204" s="156">
        <v>0.0</v>
      </c>
      <c r="CY204" s="156">
        <v>0.0</v>
      </c>
      <c r="CZ204" s="156">
        <v>0.0</v>
      </c>
      <c r="DA204" s="156">
        <v>0.0</v>
      </c>
      <c r="EG204" s="156">
        <v>0.0</v>
      </c>
      <c r="EH204" s="156">
        <v>0.0</v>
      </c>
      <c r="EI204" s="156">
        <v>0.0</v>
      </c>
      <c r="EJ204" s="156">
        <v>0.0</v>
      </c>
      <c r="EK204" s="156">
        <v>0.0</v>
      </c>
      <c r="EL204" s="156">
        <v>0.0</v>
      </c>
      <c r="FQ204" s="156">
        <v>0.0</v>
      </c>
      <c r="FR204" s="156">
        <v>0.0</v>
      </c>
      <c r="FS204" s="156">
        <v>0.0</v>
      </c>
      <c r="FT204" s="156">
        <v>0.0</v>
      </c>
      <c r="FU204" s="156">
        <v>0.0</v>
      </c>
      <c r="FV204" s="156">
        <v>0.0</v>
      </c>
      <c r="FW204" s="157"/>
      <c r="FX204" s="157"/>
      <c r="FY204" s="157"/>
      <c r="FZ204" s="157"/>
      <c r="GA204" s="157"/>
      <c r="GB204" s="157"/>
      <c r="GC204" s="157"/>
      <c r="GD204" s="157"/>
      <c r="GE204" s="157"/>
      <c r="GF204" s="157"/>
      <c r="GG204" s="157"/>
      <c r="GH204" s="157"/>
      <c r="GI204" s="157"/>
      <c r="GJ204" s="157"/>
      <c r="GK204" s="157"/>
      <c r="GL204" s="157"/>
      <c r="GM204" s="157"/>
      <c r="GN204" s="157"/>
      <c r="GO204" s="157"/>
      <c r="GP204" s="158"/>
      <c r="GQ204" s="157"/>
      <c r="GR204" s="157"/>
      <c r="GS204" s="157"/>
      <c r="GT204" s="157"/>
      <c r="GU204" s="157"/>
      <c r="GV204" s="157"/>
      <c r="GW204" s="157"/>
      <c r="GX204" s="157"/>
      <c r="GY204" s="157"/>
      <c r="GZ204" s="157"/>
      <c r="HA204" s="157"/>
      <c r="HB204" s="155">
        <v>0.0</v>
      </c>
      <c r="HC204" s="155">
        <v>0.0</v>
      </c>
      <c r="HD204" s="155">
        <v>0.0</v>
      </c>
      <c r="HE204" s="155">
        <v>0.0</v>
      </c>
      <c r="HF204" s="155">
        <v>0.0</v>
      </c>
      <c r="HG204" s="155">
        <v>0.0</v>
      </c>
      <c r="IL204" s="159">
        <v>0.0</v>
      </c>
      <c r="IM204" s="156">
        <v>0.0</v>
      </c>
      <c r="IN204" s="156">
        <v>0.0</v>
      </c>
      <c r="IO204" s="156">
        <v>0.0</v>
      </c>
      <c r="IP204" s="156">
        <v>0.0</v>
      </c>
      <c r="IQ204" s="160">
        <v>0.0</v>
      </c>
      <c r="JH204" s="25"/>
      <c r="JW204" s="159">
        <v>0.0</v>
      </c>
      <c r="JX204" s="156">
        <v>0.0</v>
      </c>
      <c r="JY204" s="156">
        <v>0.0</v>
      </c>
      <c r="JZ204" s="156">
        <v>0.0</v>
      </c>
      <c r="KA204" s="156">
        <v>0.0</v>
      </c>
      <c r="KB204" s="160">
        <v>0.0</v>
      </c>
      <c r="LH204" s="159">
        <f t="shared" si="10"/>
        <v>0</v>
      </c>
      <c r="LI204" s="156">
        <f t="shared" si="11"/>
        <v>0</v>
      </c>
      <c r="LJ204" s="156">
        <f t="shared" si="12"/>
        <v>0</v>
      </c>
      <c r="LK204" s="156">
        <f t="shared" si="13"/>
        <v>0</v>
      </c>
      <c r="LL204" s="156">
        <f t="shared" si="14"/>
        <v>0</v>
      </c>
      <c r="LM204" s="160">
        <f t="shared" si="15"/>
        <v>0</v>
      </c>
      <c r="QX204" s="107">
        <v>45867.0</v>
      </c>
    </row>
    <row r="205">
      <c r="A205" s="12"/>
      <c r="B205" s="12"/>
      <c r="C205" s="12"/>
      <c r="D205" s="12"/>
      <c r="E205" s="12"/>
      <c r="F205" s="12"/>
      <c r="G205" s="12"/>
      <c r="H205" s="12"/>
      <c r="I205" s="143">
        <f t="shared" si="5"/>
        <v>-30</v>
      </c>
      <c r="J205" s="144">
        <v>45871.0</v>
      </c>
      <c r="K205" s="173" t="s">
        <v>61</v>
      </c>
      <c r="L205" s="144">
        <v>45980.0</v>
      </c>
      <c r="M205" s="147" t="s">
        <v>2630</v>
      </c>
      <c r="N205" s="148">
        <v>357.0</v>
      </c>
      <c r="O205" s="148">
        <v>30.0</v>
      </c>
      <c r="P205" s="26"/>
      <c r="Q205" s="26"/>
      <c r="R205" s="26"/>
      <c r="S205" s="26"/>
      <c r="T205" s="26"/>
      <c r="U205" s="147" t="s">
        <v>2133</v>
      </c>
      <c r="V205" s="149" t="s">
        <v>2400</v>
      </c>
      <c r="W205" s="198" t="s">
        <v>2631</v>
      </c>
      <c r="X205" s="181">
        <v>30.0</v>
      </c>
      <c r="Y205" s="166">
        <f t="shared" si="6"/>
        <v>30</v>
      </c>
      <c r="Z205" s="26">
        <f t="shared" si="7"/>
        <v>0</v>
      </c>
      <c r="AA205" s="26">
        <f t="shared" si="8"/>
        <v>0</v>
      </c>
      <c r="AB205" s="26">
        <f t="shared" si="9"/>
        <v>0</v>
      </c>
      <c r="AC205" s="155">
        <v>0.0</v>
      </c>
      <c r="AD205" s="155">
        <v>0.0</v>
      </c>
      <c r="AE205" s="155">
        <v>0.0</v>
      </c>
      <c r="AF205" s="155">
        <v>0.0</v>
      </c>
      <c r="AG205" s="155">
        <v>0.0</v>
      </c>
      <c r="AH205" s="155">
        <v>0.0</v>
      </c>
      <c r="BN205" s="155">
        <v>0.0</v>
      </c>
      <c r="BO205" s="155">
        <v>0.0</v>
      </c>
      <c r="BP205" s="155">
        <v>0.0</v>
      </c>
      <c r="BQ205" s="155">
        <v>0.0</v>
      </c>
      <c r="BR205" s="155">
        <v>0.0</v>
      </c>
      <c r="BS205" s="155">
        <v>0.0</v>
      </c>
      <c r="CV205" s="156">
        <v>0.0</v>
      </c>
      <c r="CW205" s="156">
        <v>0.0</v>
      </c>
      <c r="CX205" s="156">
        <v>0.0</v>
      </c>
      <c r="CY205" s="156">
        <v>0.0</v>
      </c>
      <c r="CZ205" s="156">
        <v>0.0</v>
      </c>
      <c r="DA205" s="156">
        <v>0.0</v>
      </c>
      <c r="EG205" s="156">
        <v>0.0</v>
      </c>
      <c r="EH205" s="156">
        <v>0.0</v>
      </c>
      <c r="EI205" s="156">
        <v>0.0</v>
      </c>
      <c r="EJ205" s="156">
        <v>0.0</v>
      </c>
      <c r="EK205" s="156">
        <v>0.0</v>
      </c>
      <c r="EL205" s="156">
        <v>0.0</v>
      </c>
      <c r="FQ205" s="156">
        <v>0.0</v>
      </c>
      <c r="FR205" s="156">
        <v>0.0</v>
      </c>
      <c r="FS205" s="156">
        <v>0.0</v>
      </c>
      <c r="FT205" s="156">
        <v>0.0</v>
      </c>
      <c r="FU205" s="156">
        <v>0.0</v>
      </c>
      <c r="FV205" s="156">
        <v>0.0</v>
      </c>
      <c r="FW205" s="157"/>
      <c r="FX205" s="157"/>
      <c r="FY205" s="157"/>
      <c r="FZ205" s="157"/>
      <c r="GA205" s="157"/>
      <c r="GB205" s="157"/>
      <c r="GC205" s="157"/>
      <c r="GD205" s="157"/>
      <c r="GE205" s="157"/>
      <c r="GF205" s="157"/>
      <c r="GG205" s="157"/>
      <c r="GH205" s="157"/>
      <c r="GI205" s="157"/>
      <c r="GJ205" s="157"/>
      <c r="GK205" s="157"/>
      <c r="GL205" s="157"/>
      <c r="GM205" s="157"/>
      <c r="GN205" s="157"/>
      <c r="GO205" s="157"/>
      <c r="GP205" s="158"/>
      <c r="GQ205" s="157"/>
      <c r="GR205" s="157"/>
      <c r="GS205" s="157"/>
      <c r="GT205" s="157"/>
      <c r="GU205" s="157"/>
      <c r="GV205" s="157"/>
      <c r="GW205" s="157"/>
      <c r="GX205" s="157"/>
      <c r="GY205" s="157"/>
      <c r="GZ205" s="157"/>
      <c r="HA205" s="157"/>
      <c r="HB205" s="155">
        <v>0.0</v>
      </c>
      <c r="HC205" s="155">
        <v>0.0</v>
      </c>
      <c r="HD205" s="155">
        <v>0.0</v>
      </c>
      <c r="HE205" s="155">
        <v>0.0</v>
      </c>
      <c r="HF205" s="155">
        <v>0.0</v>
      </c>
      <c r="HG205" s="155">
        <v>0.0</v>
      </c>
      <c r="IL205" s="159">
        <v>0.0</v>
      </c>
      <c r="IM205" s="156">
        <v>0.0</v>
      </c>
      <c r="IN205" s="156">
        <v>0.0</v>
      </c>
      <c r="IO205" s="156">
        <v>0.0</v>
      </c>
      <c r="IP205" s="156">
        <v>0.0</v>
      </c>
      <c r="IQ205" s="160">
        <v>0.0</v>
      </c>
      <c r="JH205" s="25"/>
      <c r="JW205" s="159">
        <v>0.0</v>
      </c>
      <c r="JX205" s="156">
        <v>0.0</v>
      </c>
      <c r="JY205" s="156">
        <v>0.0</v>
      </c>
      <c r="JZ205" s="156">
        <v>0.0</v>
      </c>
      <c r="KA205" s="156">
        <v>0.0</v>
      </c>
      <c r="KB205" s="160">
        <v>0.0</v>
      </c>
      <c r="LH205" s="159">
        <f t="shared" si="10"/>
        <v>0</v>
      </c>
      <c r="LI205" s="156">
        <f t="shared" si="11"/>
        <v>0</v>
      </c>
      <c r="LJ205" s="156">
        <f t="shared" si="12"/>
        <v>0</v>
      </c>
      <c r="LK205" s="156">
        <f t="shared" si="13"/>
        <v>0</v>
      </c>
      <c r="LL205" s="156">
        <f t="shared" si="14"/>
        <v>0</v>
      </c>
      <c r="LM205" s="160">
        <f t="shared" si="15"/>
        <v>0</v>
      </c>
      <c r="QX205" s="107">
        <v>45867.0</v>
      </c>
    </row>
    <row r="206">
      <c r="A206" s="12"/>
      <c r="B206" s="12"/>
      <c r="C206" s="12"/>
      <c r="D206" s="12"/>
      <c r="E206" s="12"/>
      <c r="F206" s="12"/>
      <c r="G206" s="12"/>
      <c r="H206" s="12"/>
      <c r="I206" s="143">
        <f t="shared" si="5"/>
        <v>-30</v>
      </c>
      <c r="J206" s="144">
        <v>45870.0</v>
      </c>
      <c r="K206" s="173" t="s">
        <v>61</v>
      </c>
      <c r="L206" s="144">
        <v>45948.0</v>
      </c>
      <c r="M206" s="147" t="s">
        <v>1487</v>
      </c>
      <c r="N206" s="148">
        <v>246.0</v>
      </c>
      <c r="O206" s="148">
        <v>30.0</v>
      </c>
      <c r="P206" s="26"/>
      <c r="Q206" s="26"/>
      <c r="R206" s="26"/>
      <c r="S206" s="26"/>
      <c r="T206" s="26"/>
      <c r="U206" s="147" t="s">
        <v>2640</v>
      </c>
      <c r="V206" s="197"/>
      <c r="W206" s="198" t="s">
        <v>2641</v>
      </c>
      <c r="X206" s="181">
        <v>30.0</v>
      </c>
      <c r="Y206" s="166">
        <f t="shared" si="6"/>
        <v>30</v>
      </c>
      <c r="Z206" s="26">
        <f t="shared" si="7"/>
        <v>0</v>
      </c>
      <c r="AA206" s="26">
        <f t="shared" si="8"/>
        <v>0</v>
      </c>
      <c r="AB206" s="26">
        <f t="shared" si="9"/>
        <v>0</v>
      </c>
      <c r="AC206" s="155">
        <v>0.0</v>
      </c>
      <c r="AD206" s="155">
        <v>0.0</v>
      </c>
      <c r="AE206" s="155">
        <v>0.0</v>
      </c>
      <c r="AF206" s="155">
        <v>0.0</v>
      </c>
      <c r="AG206" s="155">
        <v>0.0</v>
      </c>
      <c r="AH206" s="155">
        <v>0.0</v>
      </c>
      <c r="BN206" s="155">
        <v>0.0</v>
      </c>
      <c r="BO206" s="155">
        <v>0.0</v>
      </c>
      <c r="BP206" s="155">
        <v>0.0</v>
      </c>
      <c r="BQ206" s="155">
        <v>0.0</v>
      </c>
      <c r="BR206" s="155">
        <v>0.0</v>
      </c>
      <c r="BS206" s="155">
        <v>0.0</v>
      </c>
      <c r="CV206" s="156">
        <v>0.0</v>
      </c>
      <c r="CW206" s="156">
        <v>0.0</v>
      </c>
      <c r="CX206" s="156">
        <v>0.0</v>
      </c>
      <c r="CY206" s="156">
        <v>0.0</v>
      </c>
      <c r="CZ206" s="156">
        <v>0.0</v>
      </c>
      <c r="DA206" s="156">
        <v>0.0</v>
      </c>
      <c r="EG206" s="156">
        <v>0.0</v>
      </c>
      <c r="EH206" s="156">
        <v>0.0</v>
      </c>
      <c r="EI206" s="156">
        <v>0.0</v>
      </c>
      <c r="EJ206" s="156">
        <v>0.0</v>
      </c>
      <c r="EK206" s="156">
        <v>0.0</v>
      </c>
      <c r="EL206" s="156">
        <v>0.0</v>
      </c>
      <c r="FQ206" s="156">
        <v>0.0</v>
      </c>
      <c r="FR206" s="156">
        <v>0.0</v>
      </c>
      <c r="FS206" s="156">
        <v>0.0</v>
      </c>
      <c r="FT206" s="156">
        <v>0.0</v>
      </c>
      <c r="FU206" s="156">
        <v>0.0</v>
      </c>
      <c r="FV206" s="156">
        <v>0.0</v>
      </c>
      <c r="FW206" s="157"/>
      <c r="FX206" s="157"/>
      <c r="FY206" s="157"/>
      <c r="FZ206" s="157"/>
      <c r="GA206" s="157"/>
      <c r="GB206" s="157"/>
      <c r="GC206" s="157"/>
      <c r="GD206" s="157"/>
      <c r="GE206" s="157"/>
      <c r="GF206" s="157"/>
      <c r="GG206" s="157"/>
      <c r="GH206" s="157"/>
      <c r="GI206" s="157"/>
      <c r="GJ206" s="157"/>
      <c r="GK206" s="157"/>
      <c r="GL206" s="157"/>
      <c r="GM206" s="157"/>
      <c r="GN206" s="157"/>
      <c r="GO206" s="157"/>
      <c r="GP206" s="158"/>
      <c r="GQ206" s="157"/>
      <c r="GR206" s="157"/>
      <c r="GS206" s="157"/>
      <c r="GT206" s="157"/>
      <c r="GU206" s="157"/>
      <c r="GV206" s="157"/>
      <c r="GW206" s="157"/>
      <c r="GX206" s="157"/>
      <c r="GY206" s="157"/>
      <c r="GZ206" s="157"/>
      <c r="HA206" s="157"/>
      <c r="HB206" s="155">
        <v>0.0</v>
      </c>
      <c r="HC206" s="155">
        <v>0.0</v>
      </c>
      <c r="HD206" s="155">
        <v>0.0</v>
      </c>
      <c r="HE206" s="155">
        <v>0.0</v>
      </c>
      <c r="HF206" s="155">
        <v>0.0</v>
      </c>
      <c r="HG206" s="155">
        <v>0.0</v>
      </c>
      <c r="IL206" s="159">
        <v>0.0</v>
      </c>
      <c r="IM206" s="156">
        <v>0.0</v>
      </c>
      <c r="IN206" s="156">
        <v>0.0</v>
      </c>
      <c r="IO206" s="156">
        <v>0.0</v>
      </c>
      <c r="IP206" s="156">
        <v>0.0</v>
      </c>
      <c r="IQ206" s="160">
        <v>0.0</v>
      </c>
      <c r="JH206" s="25"/>
      <c r="JW206" s="159">
        <v>0.0</v>
      </c>
      <c r="JX206" s="156">
        <v>0.0</v>
      </c>
      <c r="JY206" s="156">
        <v>0.0</v>
      </c>
      <c r="JZ206" s="156">
        <v>0.0</v>
      </c>
      <c r="KA206" s="156">
        <v>0.0</v>
      </c>
      <c r="KB206" s="160">
        <v>0.0</v>
      </c>
      <c r="LH206" s="159">
        <f t="shared" si="10"/>
        <v>0</v>
      </c>
      <c r="LI206" s="156">
        <f t="shared" si="11"/>
        <v>0</v>
      </c>
      <c r="LJ206" s="156">
        <f t="shared" si="12"/>
        <v>0</v>
      </c>
      <c r="LK206" s="156">
        <f t="shared" si="13"/>
        <v>0</v>
      </c>
      <c r="LL206" s="156">
        <f t="shared" si="14"/>
        <v>0</v>
      </c>
      <c r="LM206" s="160">
        <f t="shared" si="15"/>
        <v>0</v>
      </c>
      <c r="QX206" s="107">
        <v>45867.0</v>
      </c>
    </row>
    <row r="207">
      <c r="A207" s="12"/>
      <c r="B207" s="12"/>
      <c r="C207" s="12"/>
      <c r="D207" s="12"/>
      <c r="E207" s="12"/>
      <c r="F207" s="12"/>
      <c r="G207" s="12"/>
      <c r="H207" s="12"/>
      <c r="I207" s="143">
        <f t="shared" si="5"/>
        <v>-30</v>
      </c>
      <c r="J207" s="144">
        <v>45870.0</v>
      </c>
      <c r="K207" s="173" t="s">
        <v>61</v>
      </c>
      <c r="L207" s="144">
        <v>45948.0</v>
      </c>
      <c r="M207" s="147" t="s">
        <v>228</v>
      </c>
      <c r="N207" s="148">
        <v>246.0</v>
      </c>
      <c r="O207" s="148">
        <v>30.0</v>
      </c>
      <c r="P207" s="26"/>
      <c r="Q207" s="26"/>
      <c r="R207" s="26"/>
      <c r="S207" s="26"/>
      <c r="T207" s="26"/>
      <c r="U207" s="147" t="s">
        <v>1331</v>
      </c>
      <c r="V207" s="197"/>
      <c r="W207" s="150" t="s">
        <v>2649</v>
      </c>
      <c r="X207" s="181">
        <v>30.0</v>
      </c>
      <c r="Y207" s="166">
        <f t="shared" si="6"/>
        <v>30</v>
      </c>
      <c r="Z207" s="26">
        <f t="shared" si="7"/>
        <v>0</v>
      </c>
      <c r="AA207" s="26">
        <f t="shared" si="8"/>
        <v>0</v>
      </c>
      <c r="AB207" s="26">
        <f t="shared" si="9"/>
        <v>0</v>
      </c>
      <c r="AC207" s="155">
        <v>0.0</v>
      </c>
      <c r="AD207" s="155">
        <v>0.0</v>
      </c>
      <c r="AE207" s="155">
        <v>0.0</v>
      </c>
      <c r="AF207" s="155">
        <v>0.0</v>
      </c>
      <c r="AG207" s="155">
        <v>0.0</v>
      </c>
      <c r="AH207" s="155">
        <v>0.0</v>
      </c>
      <c r="BN207" s="155">
        <v>0.0</v>
      </c>
      <c r="BO207" s="155">
        <v>0.0</v>
      </c>
      <c r="BP207" s="155">
        <v>0.0</v>
      </c>
      <c r="BQ207" s="155">
        <v>0.0</v>
      </c>
      <c r="BR207" s="155">
        <v>0.0</v>
      </c>
      <c r="BS207" s="155">
        <v>0.0</v>
      </c>
      <c r="CV207" s="156">
        <v>0.0</v>
      </c>
      <c r="CW207" s="156">
        <v>0.0</v>
      </c>
      <c r="CX207" s="156">
        <v>0.0</v>
      </c>
      <c r="CY207" s="156">
        <v>0.0</v>
      </c>
      <c r="CZ207" s="156">
        <v>0.0</v>
      </c>
      <c r="DA207" s="156">
        <v>0.0</v>
      </c>
      <c r="EG207" s="156">
        <v>0.0</v>
      </c>
      <c r="EH207" s="156">
        <v>0.0</v>
      </c>
      <c r="EI207" s="156">
        <v>0.0</v>
      </c>
      <c r="EJ207" s="156">
        <v>0.0</v>
      </c>
      <c r="EK207" s="156">
        <v>0.0</v>
      </c>
      <c r="EL207" s="156">
        <v>0.0</v>
      </c>
      <c r="FQ207" s="156">
        <v>0.0</v>
      </c>
      <c r="FR207" s="156">
        <v>0.0</v>
      </c>
      <c r="FS207" s="156">
        <v>0.0</v>
      </c>
      <c r="FT207" s="156">
        <v>0.0</v>
      </c>
      <c r="FU207" s="156">
        <v>0.0</v>
      </c>
      <c r="FV207" s="156">
        <v>0.0</v>
      </c>
      <c r="FW207" s="157"/>
      <c r="FX207" s="157"/>
      <c r="FY207" s="157"/>
      <c r="FZ207" s="157"/>
      <c r="GA207" s="157"/>
      <c r="GB207" s="157"/>
      <c r="GC207" s="157"/>
      <c r="GD207" s="157"/>
      <c r="GE207" s="157"/>
      <c r="GF207" s="157"/>
      <c r="GG207" s="157"/>
      <c r="GH207" s="157"/>
      <c r="GI207" s="157"/>
      <c r="GJ207" s="157"/>
      <c r="GK207" s="157"/>
      <c r="GL207" s="157"/>
      <c r="GM207" s="157"/>
      <c r="GN207" s="157"/>
      <c r="GO207" s="157"/>
      <c r="GP207" s="158"/>
      <c r="GQ207" s="157"/>
      <c r="GR207" s="157"/>
      <c r="GS207" s="157"/>
      <c r="GT207" s="157"/>
      <c r="GU207" s="157"/>
      <c r="GV207" s="157"/>
      <c r="GW207" s="157"/>
      <c r="GX207" s="157"/>
      <c r="GY207" s="157"/>
      <c r="GZ207" s="157"/>
      <c r="HA207" s="157"/>
      <c r="HB207" s="155">
        <v>0.0</v>
      </c>
      <c r="HC207" s="155">
        <v>0.0</v>
      </c>
      <c r="HD207" s="155">
        <v>0.0</v>
      </c>
      <c r="HE207" s="155">
        <v>0.0</v>
      </c>
      <c r="HF207" s="155">
        <v>0.0</v>
      </c>
      <c r="HG207" s="155">
        <v>0.0</v>
      </c>
      <c r="IL207" s="159">
        <v>0.0</v>
      </c>
      <c r="IM207" s="156">
        <v>0.0</v>
      </c>
      <c r="IN207" s="156">
        <v>0.0</v>
      </c>
      <c r="IO207" s="156">
        <v>0.0</v>
      </c>
      <c r="IP207" s="156">
        <v>0.0</v>
      </c>
      <c r="IQ207" s="160">
        <v>0.0</v>
      </c>
      <c r="JH207" s="25"/>
      <c r="JW207" s="159">
        <v>0.0</v>
      </c>
      <c r="JX207" s="156">
        <v>0.0</v>
      </c>
      <c r="JY207" s="156">
        <v>0.0</v>
      </c>
      <c r="JZ207" s="156">
        <v>0.0</v>
      </c>
      <c r="KA207" s="156">
        <v>0.0</v>
      </c>
      <c r="KB207" s="160">
        <v>0.0</v>
      </c>
      <c r="LH207" s="159">
        <f t="shared" si="10"/>
        <v>0</v>
      </c>
      <c r="LI207" s="156">
        <f t="shared" si="11"/>
        <v>0</v>
      </c>
      <c r="LJ207" s="156">
        <f t="shared" si="12"/>
        <v>0</v>
      </c>
      <c r="LK207" s="156">
        <f t="shared" si="13"/>
        <v>0</v>
      </c>
      <c r="LL207" s="156">
        <f t="shared" si="14"/>
        <v>0</v>
      </c>
      <c r="LM207" s="160">
        <f t="shared" si="15"/>
        <v>0</v>
      </c>
      <c r="QX207" s="107">
        <v>45867.0</v>
      </c>
    </row>
    <row r="208">
      <c r="A208" s="25"/>
      <c r="B208" s="25"/>
      <c r="C208" s="25"/>
      <c r="D208" s="25"/>
      <c r="E208" s="25"/>
      <c r="F208" s="25"/>
      <c r="G208" s="25"/>
      <c r="H208" s="25"/>
      <c r="I208" s="143">
        <f t="shared" si="5"/>
        <v>-44</v>
      </c>
      <c r="J208" s="170" t="s">
        <v>2654</v>
      </c>
      <c r="K208" s="203" t="s">
        <v>48</v>
      </c>
      <c r="L208" s="144">
        <v>45920.0</v>
      </c>
      <c r="M208" s="164" t="s">
        <v>2656</v>
      </c>
      <c r="N208" s="170">
        <v>247.0</v>
      </c>
      <c r="O208" s="148">
        <v>30.0</v>
      </c>
      <c r="P208" s="26"/>
      <c r="Q208" s="26"/>
      <c r="R208" s="26"/>
      <c r="S208" s="26"/>
      <c r="T208" s="26"/>
      <c r="U208" s="164" t="s">
        <v>2657</v>
      </c>
      <c r="V208" s="394" t="s">
        <v>2658</v>
      </c>
      <c r="W208" s="248" t="s">
        <v>2659</v>
      </c>
      <c r="X208" s="181">
        <v>2.0</v>
      </c>
      <c r="Y208" s="166">
        <f t="shared" si="6"/>
        <v>44</v>
      </c>
      <c r="Z208" s="26">
        <f t="shared" si="7"/>
        <v>0</v>
      </c>
      <c r="AA208" s="26">
        <f t="shared" si="8"/>
        <v>1</v>
      </c>
      <c r="AB208" s="26">
        <f t="shared" si="9"/>
        <v>0</v>
      </c>
      <c r="AC208" s="155">
        <v>0.0</v>
      </c>
      <c r="AD208" s="155">
        <v>0.0</v>
      </c>
      <c r="AE208" s="155">
        <v>0.0</v>
      </c>
      <c r="AF208" s="155">
        <v>0.0</v>
      </c>
      <c r="AG208" s="155">
        <v>0.0</v>
      </c>
      <c r="AH208" s="155">
        <v>0.0</v>
      </c>
      <c r="BN208" s="155">
        <v>0.0</v>
      </c>
      <c r="BO208" s="155">
        <v>0.0</v>
      </c>
      <c r="BP208" s="155">
        <v>0.0</v>
      </c>
      <c r="BQ208" s="155">
        <v>0.0</v>
      </c>
      <c r="BR208" s="155">
        <v>0.0</v>
      </c>
      <c r="BS208" s="155">
        <v>0.0</v>
      </c>
      <c r="CV208" s="156">
        <v>2.0</v>
      </c>
      <c r="CW208" s="156">
        <v>0.0</v>
      </c>
      <c r="CX208" s="156">
        <v>0.0</v>
      </c>
      <c r="CY208" s="156">
        <v>0.0</v>
      </c>
      <c r="CZ208" s="156">
        <v>0.0</v>
      </c>
      <c r="DA208" s="156">
        <v>0.0</v>
      </c>
      <c r="EC208" s="86">
        <v>1.0</v>
      </c>
      <c r="EE208" s="86">
        <v>1.0</v>
      </c>
      <c r="EG208" s="156">
        <v>8.0</v>
      </c>
      <c r="EH208" s="156">
        <v>0.0</v>
      </c>
      <c r="EI208" s="156">
        <v>0.0</v>
      </c>
      <c r="EJ208" s="156">
        <v>0.0</v>
      </c>
      <c r="EK208" s="156">
        <v>0.0</v>
      </c>
      <c r="EL208" s="156">
        <v>0.0</v>
      </c>
      <c r="EP208" s="86">
        <v>1.0</v>
      </c>
      <c r="ES208" s="86">
        <v>1.0</v>
      </c>
      <c r="ET208" s="86">
        <v>1.0</v>
      </c>
      <c r="EW208" s="86">
        <v>1.0</v>
      </c>
      <c r="FA208" s="86">
        <v>1.0</v>
      </c>
      <c r="FD208" s="86">
        <v>1.0</v>
      </c>
      <c r="FF208" s="86">
        <v>1.0</v>
      </c>
      <c r="FK208" s="86">
        <v>1.0</v>
      </c>
      <c r="FQ208" s="156">
        <v>7.0</v>
      </c>
      <c r="FR208" s="156">
        <v>0.0</v>
      </c>
      <c r="FS208" s="156">
        <v>0.0</v>
      </c>
      <c r="FT208" s="156">
        <v>0.0</v>
      </c>
      <c r="FU208" s="156">
        <v>0.0</v>
      </c>
      <c r="FV208" s="156">
        <v>0.0</v>
      </c>
      <c r="FW208" s="157"/>
      <c r="FX208" s="188"/>
      <c r="FY208" s="157"/>
      <c r="FZ208" s="188"/>
      <c r="GA208" s="157"/>
      <c r="GB208" s="157"/>
      <c r="GC208" s="157"/>
      <c r="GD208" s="157"/>
      <c r="GE208" s="188"/>
      <c r="GF208" s="157"/>
      <c r="GG208" s="188"/>
      <c r="GH208" s="157"/>
      <c r="GI208" s="188">
        <v>1.0</v>
      </c>
      <c r="GJ208" s="157"/>
      <c r="GK208" s="157"/>
      <c r="GL208" s="188">
        <v>1.0</v>
      </c>
      <c r="GM208" s="157"/>
      <c r="GN208" s="188"/>
      <c r="GO208" s="188">
        <v>1.0</v>
      </c>
      <c r="GP208" s="381">
        <v>1.0</v>
      </c>
      <c r="GQ208" s="157"/>
      <c r="GR208" s="157"/>
      <c r="GS208" s="188">
        <v>1.0</v>
      </c>
      <c r="GT208" s="157"/>
      <c r="GU208" s="157"/>
      <c r="GV208" s="157"/>
      <c r="GW208" s="188">
        <v>1.0</v>
      </c>
      <c r="GX208" s="157"/>
      <c r="GY208" s="157"/>
      <c r="GZ208" s="188">
        <v>1.0</v>
      </c>
      <c r="HA208" s="157"/>
      <c r="HB208" s="155">
        <v>7.0</v>
      </c>
      <c r="HC208" s="155">
        <v>0.0</v>
      </c>
      <c r="HD208" s="155">
        <v>0.0</v>
      </c>
      <c r="HE208" s="155">
        <v>0.0</v>
      </c>
      <c r="HF208" s="155">
        <v>0.0</v>
      </c>
      <c r="HG208" s="155">
        <v>0.0</v>
      </c>
      <c r="HH208" s="86">
        <v>1.0</v>
      </c>
      <c r="HX208" s="86">
        <v>1.0</v>
      </c>
      <c r="IA208" s="86">
        <v>1.0</v>
      </c>
      <c r="IC208" s="86">
        <v>1.0</v>
      </c>
      <c r="IE208" s="86">
        <v>1.0</v>
      </c>
      <c r="IH208" s="86">
        <v>1.0</v>
      </c>
      <c r="IJ208" s="86">
        <v>1.0</v>
      </c>
      <c r="IL208" s="159">
        <v>6.0</v>
      </c>
      <c r="IM208" s="156">
        <v>0.0</v>
      </c>
      <c r="IN208" s="156">
        <v>0.0</v>
      </c>
      <c r="IO208" s="156">
        <v>0.0</v>
      </c>
      <c r="IP208" s="156">
        <v>0.0</v>
      </c>
      <c r="IQ208" s="160">
        <v>0.0</v>
      </c>
      <c r="IS208" s="86">
        <v>1.0</v>
      </c>
      <c r="IW208" s="86">
        <v>1.0</v>
      </c>
      <c r="IX208" s="86">
        <v>1.0</v>
      </c>
      <c r="JH208" s="25"/>
      <c r="JM208" s="86">
        <v>1.0</v>
      </c>
      <c r="JP208" s="86">
        <v>1.0</v>
      </c>
      <c r="JT208" s="86">
        <v>1.0</v>
      </c>
      <c r="JW208" s="159">
        <v>10.0</v>
      </c>
      <c r="JX208" s="156">
        <v>0.0</v>
      </c>
      <c r="JY208" s="156">
        <v>0.0</v>
      </c>
      <c r="JZ208" s="156">
        <v>0.0</v>
      </c>
      <c r="KA208" s="156">
        <v>0.0</v>
      </c>
      <c r="KB208" s="160">
        <v>0.0</v>
      </c>
      <c r="KC208" s="86">
        <v>1.0</v>
      </c>
      <c r="KE208" s="86">
        <v>1.0</v>
      </c>
      <c r="KS208" s="378">
        <v>1.0</v>
      </c>
      <c r="KX208" s="86">
        <v>2.0</v>
      </c>
      <c r="KZ208" s="86">
        <v>1.0</v>
      </c>
      <c r="LA208" s="86">
        <v>1.0</v>
      </c>
      <c r="LB208" s="86">
        <v>1.0</v>
      </c>
      <c r="LC208" s="86">
        <v>1.0</v>
      </c>
      <c r="LE208" s="86">
        <v>1.0</v>
      </c>
      <c r="LH208" s="159">
        <f t="shared" si="10"/>
        <v>2</v>
      </c>
      <c r="LI208" s="156">
        <f t="shared" si="11"/>
        <v>0</v>
      </c>
      <c r="LJ208" s="156">
        <f t="shared" si="12"/>
        <v>0</v>
      </c>
      <c r="LK208" s="156">
        <f t="shared" si="13"/>
        <v>1</v>
      </c>
      <c r="LL208" s="156">
        <f t="shared" si="14"/>
        <v>0</v>
      </c>
      <c r="LM208" s="160">
        <f t="shared" si="15"/>
        <v>0</v>
      </c>
      <c r="LT208" s="189" t="s">
        <v>624</v>
      </c>
      <c r="LV208" s="189">
        <v>1.0</v>
      </c>
      <c r="QX208" s="107">
        <v>45868.0</v>
      </c>
    </row>
    <row r="209">
      <c r="A209" s="12"/>
      <c r="B209" s="12"/>
      <c r="C209" s="12"/>
      <c r="D209" s="12"/>
      <c r="E209" s="12"/>
      <c r="F209" s="12"/>
      <c r="G209" s="12"/>
      <c r="H209" s="12"/>
      <c r="I209" s="143">
        <f t="shared" si="5"/>
        <v>-27</v>
      </c>
      <c r="J209" s="203" t="s">
        <v>2667</v>
      </c>
      <c r="K209" s="195" t="s">
        <v>61</v>
      </c>
      <c r="L209" s="144">
        <v>45890.0</v>
      </c>
      <c r="M209" s="147" t="s">
        <v>228</v>
      </c>
      <c r="N209" s="148">
        <v>357.0</v>
      </c>
      <c r="O209" s="148">
        <v>30.0</v>
      </c>
      <c r="P209" s="26"/>
      <c r="Q209" s="26"/>
      <c r="R209" s="26"/>
      <c r="S209" s="26"/>
      <c r="T209" s="26"/>
      <c r="U209" s="147" t="s">
        <v>2669</v>
      </c>
      <c r="V209" s="165" t="s">
        <v>732</v>
      </c>
      <c r="W209" s="198" t="s">
        <v>2670</v>
      </c>
      <c r="X209" s="181">
        <v>3.0</v>
      </c>
      <c r="Y209" s="166">
        <f t="shared" si="6"/>
        <v>27</v>
      </c>
      <c r="Z209" s="26">
        <f t="shared" si="7"/>
        <v>0</v>
      </c>
      <c r="AA209" s="26">
        <f t="shared" si="8"/>
        <v>13</v>
      </c>
      <c r="AB209" s="26">
        <f t="shared" si="9"/>
        <v>0</v>
      </c>
      <c r="AC209" s="155">
        <v>4.0</v>
      </c>
      <c r="AD209" s="155">
        <v>0.0</v>
      </c>
      <c r="AE209" s="155">
        <v>0.0</v>
      </c>
      <c r="AF209" s="155">
        <v>0.0</v>
      </c>
      <c r="AG209" s="155">
        <v>0.0</v>
      </c>
      <c r="AH209" s="155">
        <v>0.0</v>
      </c>
      <c r="AI209" s="167"/>
      <c r="AJ209" s="167"/>
      <c r="AK209" s="167"/>
      <c r="AL209" s="167"/>
      <c r="AM209" s="167"/>
      <c r="AN209" s="167"/>
      <c r="AO209" s="167"/>
      <c r="AP209" s="167"/>
      <c r="AQ209" s="167"/>
      <c r="AR209" s="167"/>
      <c r="AS209" s="167"/>
      <c r="AT209" s="167"/>
      <c r="AU209" s="167">
        <v>1.0</v>
      </c>
      <c r="AV209" s="167">
        <v>0.0</v>
      </c>
      <c r="AW209" s="167"/>
      <c r="AX209" s="167">
        <v>0.0</v>
      </c>
      <c r="AY209" s="167">
        <v>1.0</v>
      </c>
      <c r="AZ209" s="167"/>
      <c r="BA209" s="167"/>
      <c r="BB209" s="167"/>
      <c r="BC209" s="167"/>
      <c r="BD209" s="167"/>
      <c r="BE209" s="167"/>
      <c r="BF209" s="167"/>
      <c r="BG209" s="167"/>
      <c r="BH209" s="167"/>
      <c r="BI209" s="167">
        <v>1.0</v>
      </c>
      <c r="BJ209" s="168">
        <v>1.0</v>
      </c>
      <c r="BK209" s="167"/>
      <c r="BL209" s="167"/>
      <c r="BM209" s="167"/>
      <c r="BN209" s="155">
        <v>3.0</v>
      </c>
      <c r="BO209" s="155">
        <v>0.0</v>
      </c>
      <c r="BP209" s="155">
        <v>0.0</v>
      </c>
      <c r="BQ209" s="155">
        <v>3.0</v>
      </c>
      <c r="BR209" s="155">
        <v>0.0</v>
      </c>
      <c r="BS209" s="155">
        <v>0.0</v>
      </c>
      <c r="BT209" s="167"/>
      <c r="BU209" s="167"/>
      <c r="BV209" s="167"/>
      <c r="BW209" s="167"/>
      <c r="BX209" s="167"/>
      <c r="BY209" s="167"/>
      <c r="BZ209" s="167"/>
      <c r="CA209" s="167"/>
      <c r="CB209" s="167"/>
      <c r="CC209" s="167"/>
      <c r="CD209" s="167"/>
      <c r="CE209" s="168" t="s">
        <v>947</v>
      </c>
      <c r="CF209" s="167"/>
      <c r="CG209" s="167"/>
      <c r="CH209" s="167"/>
      <c r="CI209" s="167"/>
      <c r="CJ209" s="167"/>
      <c r="CK209" s="167"/>
      <c r="CL209" s="167"/>
      <c r="CM209" s="167"/>
      <c r="CN209" s="167"/>
      <c r="CO209" s="167"/>
      <c r="CP209" s="167"/>
      <c r="CQ209" s="167"/>
      <c r="CR209" s="167"/>
      <c r="CS209" s="168" t="s">
        <v>947</v>
      </c>
      <c r="CT209" s="167"/>
      <c r="CU209" s="168" t="s">
        <v>947</v>
      </c>
      <c r="CV209" s="156">
        <v>6.0</v>
      </c>
      <c r="CW209" s="156">
        <v>0.0</v>
      </c>
      <c r="CX209" s="156">
        <v>0.0</v>
      </c>
      <c r="CY209" s="156">
        <v>3.0</v>
      </c>
      <c r="CZ209" s="156">
        <v>0.0</v>
      </c>
      <c r="DA209" s="156">
        <v>0.0</v>
      </c>
      <c r="DB209" s="395"/>
      <c r="DC209" s="395"/>
      <c r="DD209" s="395">
        <v>1.0</v>
      </c>
      <c r="DE209" s="395"/>
      <c r="DF209" s="395" t="s">
        <v>947</v>
      </c>
      <c r="DG209" s="395"/>
      <c r="DH209" s="395">
        <v>1.0</v>
      </c>
      <c r="DI209" s="395"/>
      <c r="DJ209" s="395"/>
      <c r="DK209" s="395"/>
      <c r="DL209" s="395"/>
      <c r="DM209" s="395"/>
      <c r="DN209" s="395"/>
      <c r="DO209" s="395">
        <v>1.0</v>
      </c>
      <c r="DP209" s="395"/>
      <c r="DQ209" s="395"/>
      <c r="DR209" s="395"/>
      <c r="DS209" s="395"/>
      <c r="DT209" s="395"/>
      <c r="DU209" s="395"/>
      <c r="DV209" s="395"/>
      <c r="DW209" s="395"/>
      <c r="DX209" s="395"/>
      <c r="DY209" s="395"/>
      <c r="DZ209" s="395"/>
      <c r="EA209" s="395" t="s">
        <v>947</v>
      </c>
      <c r="EB209" s="395"/>
      <c r="EC209" s="395"/>
      <c r="ED209" s="395"/>
      <c r="EE209" s="395" t="s">
        <v>947</v>
      </c>
      <c r="EG209" s="156">
        <v>4.0</v>
      </c>
      <c r="EH209" s="156">
        <v>0.0</v>
      </c>
      <c r="EI209" s="156">
        <v>0.0</v>
      </c>
      <c r="EJ209" s="156">
        <v>2.0</v>
      </c>
      <c r="EK209" s="156">
        <v>0.0</v>
      </c>
      <c r="EL209" s="156">
        <v>0.0</v>
      </c>
      <c r="ET209" s="86" t="s">
        <v>947</v>
      </c>
      <c r="EY209" s="86">
        <v>1.0</v>
      </c>
      <c r="FA209" s="86" t="s">
        <v>947</v>
      </c>
      <c r="FC209" s="86">
        <v>1.0</v>
      </c>
      <c r="FQ209" s="156">
        <v>3.0</v>
      </c>
      <c r="FR209" s="156">
        <v>0.0</v>
      </c>
      <c r="FS209" s="156">
        <v>0.0</v>
      </c>
      <c r="FT209" s="156">
        <v>1.0</v>
      </c>
      <c r="FU209" s="156">
        <v>0.0</v>
      </c>
      <c r="FV209" s="156">
        <v>0.0</v>
      </c>
      <c r="FW209" s="172"/>
      <c r="FX209" s="172"/>
      <c r="FY209" s="172"/>
      <c r="FZ209" s="172"/>
      <c r="GA209" s="172"/>
      <c r="GB209" s="172">
        <v>1.0</v>
      </c>
      <c r="GC209" s="172">
        <v>1.0</v>
      </c>
      <c r="GD209" s="172"/>
      <c r="GE209" s="172"/>
      <c r="GF209" s="172"/>
      <c r="GG209" s="172"/>
      <c r="GH209" s="172"/>
      <c r="GI209" s="172" t="s">
        <v>947</v>
      </c>
      <c r="GJ209" s="172"/>
      <c r="GK209" s="172"/>
      <c r="GL209" s="172"/>
      <c r="GM209" s="172"/>
      <c r="GN209" s="172"/>
      <c r="GO209" s="172"/>
      <c r="GP209" s="170"/>
      <c r="GQ209" s="172"/>
      <c r="GR209" s="172"/>
      <c r="GS209" s="172"/>
      <c r="GT209" s="172"/>
      <c r="GU209" s="172"/>
      <c r="GV209" s="172"/>
      <c r="GW209" s="172"/>
      <c r="GX209" s="172"/>
      <c r="GY209" s="172"/>
      <c r="GZ209" s="172"/>
      <c r="HA209" s="172"/>
      <c r="HB209" s="155">
        <v>4.0</v>
      </c>
      <c r="HC209" s="155">
        <v>0.0</v>
      </c>
      <c r="HD209" s="155">
        <v>0.0</v>
      </c>
      <c r="HE209" s="155">
        <v>4.0</v>
      </c>
      <c r="HF209" s="155">
        <v>0.0</v>
      </c>
      <c r="HG209" s="155">
        <v>0.0</v>
      </c>
      <c r="HI209" s="86" t="s">
        <v>947</v>
      </c>
      <c r="HT209" s="86" t="s">
        <v>947</v>
      </c>
      <c r="HY209" s="86" t="s">
        <v>947</v>
      </c>
      <c r="IA209" s="86" t="s">
        <v>947</v>
      </c>
      <c r="IL209" s="159">
        <v>0.0</v>
      </c>
      <c r="IM209" s="156">
        <v>0.0</v>
      </c>
      <c r="IN209" s="156">
        <v>0.0</v>
      </c>
      <c r="IO209" s="156">
        <v>0.0</v>
      </c>
      <c r="IP209" s="156">
        <v>0.0</v>
      </c>
      <c r="IQ209" s="160">
        <v>0.0</v>
      </c>
      <c r="IR209" s="172"/>
      <c r="IS209" s="172"/>
      <c r="IT209" s="172"/>
      <c r="IU209" s="172"/>
      <c r="IV209" s="172"/>
      <c r="IW209" s="172"/>
      <c r="IX209" s="172"/>
      <c r="IY209" s="172"/>
      <c r="IZ209" s="172"/>
      <c r="JA209" s="172"/>
      <c r="JB209" s="172"/>
      <c r="JC209" s="172"/>
      <c r="JD209" s="172"/>
      <c r="JE209" s="172"/>
      <c r="JF209" s="172"/>
      <c r="JG209" s="172"/>
      <c r="JH209" s="170"/>
      <c r="JI209" s="172"/>
      <c r="JJ209" s="172"/>
      <c r="JK209" s="172"/>
      <c r="JL209" s="172"/>
      <c r="JM209" s="172"/>
      <c r="JN209" s="172"/>
      <c r="JO209" s="172"/>
      <c r="JP209" s="172"/>
      <c r="JQ209" s="172"/>
      <c r="JR209" s="172"/>
      <c r="JS209" s="172"/>
      <c r="JT209" s="172"/>
      <c r="JU209" s="172"/>
      <c r="JV209" s="172"/>
      <c r="JW209" s="159">
        <v>0.0</v>
      </c>
      <c r="JX209" s="156">
        <v>0.0</v>
      </c>
      <c r="JY209" s="156">
        <v>0.0</v>
      </c>
      <c r="JZ209" s="156">
        <v>0.0</v>
      </c>
      <c r="KA209" s="156">
        <v>0.0</v>
      </c>
      <c r="KB209" s="160">
        <v>0.0</v>
      </c>
      <c r="LH209" s="159">
        <f t="shared" si="10"/>
        <v>0</v>
      </c>
      <c r="LI209" s="156">
        <f t="shared" si="11"/>
        <v>0</v>
      </c>
      <c r="LJ209" s="156">
        <f t="shared" si="12"/>
        <v>0</v>
      </c>
      <c r="LK209" s="156">
        <f t="shared" si="13"/>
        <v>0</v>
      </c>
      <c r="LL209" s="156">
        <f t="shared" si="14"/>
        <v>0</v>
      </c>
      <c r="LM209" s="160">
        <f t="shared" si="15"/>
        <v>0</v>
      </c>
      <c r="QX209" s="107">
        <v>45868.0</v>
      </c>
    </row>
    <row r="210">
      <c r="A210" s="12"/>
      <c r="B210" s="12"/>
      <c r="C210" s="12"/>
      <c r="D210" s="12"/>
      <c r="E210" s="12"/>
      <c r="F210" s="12"/>
      <c r="G210" s="12"/>
      <c r="H210" s="12"/>
      <c r="I210" s="143">
        <f t="shared" si="5"/>
        <v>-30</v>
      </c>
      <c r="J210" s="144">
        <v>45867.0</v>
      </c>
      <c r="K210" s="173" t="s">
        <v>61</v>
      </c>
      <c r="L210" s="144">
        <v>45962.0</v>
      </c>
      <c r="M210" s="307" t="s">
        <v>107</v>
      </c>
      <c r="N210" s="308">
        <v>357.0</v>
      </c>
      <c r="O210" s="308">
        <v>60.0</v>
      </c>
      <c r="P210" s="309"/>
      <c r="Q210" s="309"/>
      <c r="R210" s="309"/>
      <c r="S210" s="309"/>
      <c r="T210" s="309"/>
      <c r="U210" s="307" t="s">
        <v>1973</v>
      </c>
      <c r="V210" s="310" t="s">
        <v>1974</v>
      </c>
      <c r="W210" s="396" t="s">
        <v>1975</v>
      </c>
      <c r="X210" s="181">
        <v>30.0</v>
      </c>
      <c r="Y210" s="166">
        <f t="shared" si="6"/>
        <v>30</v>
      </c>
      <c r="Z210" s="26">
        <f t="shared" si="7"/>
        <v>0</v>
      </c>
      <c r="AA210" s="26">
        <f t="shared" si="8"/>
        <v>0</v>
      </c>
      <c r="AB210" s="26">
        <f t="shared" si="9"/>
        <v>0</v>
      </c>
      <c r="AC210" s="155">
        <v>0.0</v>
      </c>
      <c r="AD210" s="155">
        <v>0.0</v>
      </c>
      <c r="AE210" s="155">
        <v>0.0</v>
      </c>
      <c r="AF210" s="155">
        <v>0.0</v>
      </c>
      <c r="AG210" s="155">
        <v>0.0</v>
      </c>
      <c r="AH210" s="155">
        <v>0.0</v>
      </c>
      <c r="BN210" s="155">
        <v>0.0</v>
      </c>
      <c r="BO210" s="155">
        <v>0.0</v>
      </c>
      <c r="BP210" s="155">
        <v>0.0</v>
      </c>
      <c r="BQ210" s="155">
        <v>0.0</v>
      </c>
      <c r="BR210" s="155">
        <v>0.0</v>
      </c>
      <c r="BS210" s="155">
        <v>0.0</v>
      </c>
      <c r="CV210" s="156">
        <v>0.0</v>
      </c>
      <c r="CW210" s="156">
        <v>0.0</v>
      </c>
      <c r="CX210" s="156">
        <v>0.0</v>
      </c>
      <c r="CY210" s="156">
        <v>0.0</v>
      </c>
      <c r="CZ210" s="156">
        <v>0.0</v>
      </c>
      <c r="DA210" s="156">
        <v>0.0</v>
      </c>
      <c r="EG210" s="156">
        <v>0.0</v>
      </c>
      <c r="EH210" s="156">
        <v>0.0</v>
      </c>
      <c r="EI210" s="156">
        <v>0.0</v>
      </c>
      <c r="EJ210" s="156">
        <v>0.0</v>
      </c>
      <c r="EK210" s="156">
        <v>0.0</v>
      </c>
      <c r="EL210" s="156">
        <v>0.0</v>
      </c>
      <c r="FQ210" s="156">
        <v>0.0</v>
      </c>
      <c r="FR210" s="156">
        <v>0.0</v>
      </c>
      <c r="FS210" s="156">
        <v>0.0</v>
      </c>
      <c r="FT210" s="156">
        <v>0.0</v>
      </c>
      <c r="FU210" s="156">
        <v>0.0</v>
      </c>
      <c r="FV210" s="156">
        <v>0.0</v>
      </c>
      <c r="FW210" s="157"/>
      <c r="FX210" s="157"/>
      <c r="FY210" s="157"/>
      <c r="FZ210" s="157"/>
      <c r="GA210" s="157"/>
      <c r="GB210" s="157"/>
      <c r="GC210" s="157"/>
      <c r="GD210" s="157"/>
      <c r="GE210" s="157"/>
      <c r="GF210" s="157"/>
      <c r="GG210" s="157"/>
      <c r="GH210" s="157"/>
      <c r="GI210" s="157"/>
      <c r="GJ210" s="157"/>
      <c r="GK210" s="157"/>
      <c r="GL210" s="157"/>
      <c r="GM210" s="157"/>
      <c r="GN210" s="157"/>
      <c r="GO210" s="157"/>
      <c r="GP210" s="158"/>
      <c r="GQ210" s="157"/>
      <c r="GR210" s="157"/>
      <c r="GS210" s="157"/>
      <c r="GT210" s="157"/>
      <c r="GU210" s="157"/>
      <c r="GV210" s="157"/>
      <c r="GW210" s="157"/>
      <c r="GX210" s="157"/>
      <c r="GY210" s="157"/>
      <c r="GZ210" s="157"/>
      <c r="HA210" s="157"/>
      <c r="HB210" s="155">
        <v>0.0</v>
      </c>
      <c r="HC210" s="155">
        <v>0.0</v>
      </c>
      <c r="HD210" s="155">
        <v>0.0</v>
      </c>
      <c r="HE210" s="155">
        <v>0.0</v>
      </c>
      <c r="HF210" s="155">
        <v>0.0</v>
      </c>
      <c r="HG210" s="155">
        <v>0.0</v>
      </c>
      <c r="IL210" s="159">
        <v>0.0</v>
      </c>
      <c r="IM210" s="156">
        <v>0.0</v>
      </c>
      <c r="IN210" s="156">
        <v>0.0</v>
      </c>
      <c r="IO210" s="156">
        <v>0.0</v>
      </c>
      <c r="IP210" s="156">
        <v>0.0</v>
      </c>
      <c r="IQ210" s="160">
        <v>0.0</v>
      </c>
      <c r="JH210" s="25"/>
      <c r="JW210" s="159">
        <v>0.0</v>
      </c>
      <c r="JX210" s="156">
        <v>0.0</v>
      </c>
      <c r="JY210" s="156">
        <v>0.0</v>
      </c>
      <c r="JZ210" s="156">
        <v>0.0</v>
      </c>
      <c r="KA210" s="156">
        <v>0.0</v>
      </c>
      <c r="KB210" s="160">
        <v>0.0</v>
      </c>
      <c r="LH210" s="159">
        <f t="shared" si="10"/>
        <v>0</v>
      </c>
      <c r="LI210" s="156">
        <f t="shared" si="11"/>
        <v>0</v>
      </c>
      <c r="LJ210" s="156">
        <f t="shared" si="12"/>
        <v>0</v>
      </c>
      <c r="LK210" s="156">
        <f t="shared" si="13"/>
        <v>0</v>
      </c>
      <c r="LL210" s="156">
        <f t="shared" si="14"/>
        <v>0</v>
      </c>
      <c r="LM210" s="160">
        <f t="shared" si="15"/>
        <v>0</v>
      </c>
      <c r="QX210" s="107">
        <v>45868.0</v>
      </c>
    </row>
    <row r="211">
      <c r="A211" s="12"/>
      <c r="B211" s="12"/>
      <c r="C211" s="12"/>
      <c r="D211" s="12"/>
      <c r="E211" s="12"/>
      <c r="F211" s="12"/>
      <c r="G211" s="12"/>
      <c r="H211" s="12"/>
      <c r="I211" s="143">
        <f t="shared" si="5"/>
        <v>-30</v>
      </c>
      <c r="J211" s="144">
        <v>45887.0</v>
      </c>
      <c r="K211" s="173" t="s">
        <v>61</v>
      </c>
      <c r="L211" s="144">
        <v>45975.0</v>
      </c>
      <c r="M211" s="147" t="s">
        <v>348</v>
      </c>
      <c r="N211" s="148">
        <v>246.0</v>
      </c>
      <c r="O211" s="148">
        <v>30.0</v>
      </c>
      <c r="P211" s="26"/>
      <c r="Q211" s="26"/>
      <c r="R211" s="26"/>
      <c r="S211" s="26"/>
      <c r="T211" s="26"/>
      <c r="U211" s="147" t="s">
        <v>447</v>
      </c>
      <c r="V211" s="149" t="s">
        <v>613</v>
      </c>
      <c r="W211" s="198" t="s">
        <v>2678</v>
      </c>
      <c r="X211" s="181">
        <v>30.0</v>
      </c>
      <c r="Y211" s="166">
        <f t="shared" si="6"/>
        <v>30</v>
      </c>
      <c r="Z211" s="26">
        <f t="shared" si="7"/>
        <v>0</v>
      </c>
      <c r="AA211" s="26">
        <f t="shared" si="8"/>
        <v>0</v>
      </c>
      <c r="AB211" s="26">
        <f t="shared" si="9"/>
        <v>0</v>
      </c>
      <c r="AC211" s="155">
        <v>0.0</v>
      </c>
      <c r="AD211" s="155">
        <v>0.0</v>
      </c>
      <c r="AE211" s="155">
        <v>0.0</v>
      </c>
      <c r="AF211" s="155">
        <v>0.0</v>
      </c>
      <c r="AG211" s="155">
        <v>0.0</v>
      </c>
      <c r="AH211" s="155">
        <v>0.0</v>
      </c>
      <c r="BN211" s="155">
        <v>0.0</v>
      </c>
      <c r="BO211" s="155">
        <v>0.0</v>
      </c>
      <c r="BP211" s="155">
        <v>0.0</v>
      </c>
      <c r="BQ211" s="155">
        <v>0.0</v>
      </c>
      <c r="BR211" s="155">
        <v>0.0</v>
      </c>
      <c r="BS211" s="155">
        <v>0.0</v>
      </c>
      <c r="CV211" s="156">
        <v>0.0</v>
      </c>
      <c r="CW211" s="156">
        <v>0.0</v>
      </c>
      <c r="CX211" s="156">
        <v>0.0</v>
      </c>
      <c r="CY211" s="156">
        <v>0.0</v>
      </c>
      <c r="CZ211" s="156">
        <v>0.0</v>
      </c>
      <c r="DA211" s="156">
        <v>0.0</v>
      </c>
      <c r="EG211" s="156">
        <v>0.0</v>
      </c>
      <c r="EH211" s="156">
        <v>0.0</v>
      </c>
      <c r="EI211" s="156">
        <v>0.0</v>
      </c>
      <c r="EJ211" s="156">
        <v>0.0</v>
      </c>
      <c r="EK211" s="156">
        <v>0.0</v>
      </c>
      <c r="EL211" s="156">
        <v>0.0</v>
      </c>
      <c r="FQ211" s="156">
        <v>0.0</v>
      </c>
      <c r="FR211" s="156">
        <v>0.0</v>
      </c>
      <c r="FS211" s="156">
        <v>0.0</v>
      </c>
      <c r="FT211" s="156">
        <v>0.0</v>
      </c>
      <c r="FU211" s="156">
        <v>0.0</v>
      </c>
      <c r="FV211" s="156">
        <v>0.0</v>
      </c>
      <c r="FW211" s="157"/>
      <c r="FX211" s="157"/>
      <c r="FY211" s="157"/>
      <c r="FZ211" s="157"/>
      <c r="GA211" s="157"/>
      <c r="GB211" s="157"/>
      <c r="GC211" s="157"/>
      <c r="GD211" s="157"/>
      <c r="GE211" s="157"/>
      <c r="GF211" s="157"/>
      <c r="GG211" s="157"/>
      <c r="GH211" s="157"/>
      <c r="GI211" s="157"/>
      <c r="GJ211" s="157"/>
      <c r="GK211" s="157"/>
      <c r="GL211" s="157"/>
      <c r="GM211" s="157"/>
      <c r="GN211" s="157"/>
      <c r="GO211" s="157"/>
      <c r="GP211" s="158"/>
      <c r="GQ211" s="157"/>
      <c r="GR211" s="157"/>
      <c r="GS211" s="157"/>
      <c r="GT211" s="157"/>
      <c r="GU211" s="157"/>
      <c r="GV211" s="157"/>
      <c r="GW211" s="157"/>
      <c r="GX211" s="157"/>
      <c r="GY211" s="157"/>
      <c r="GZ211" s="157"/>
      <c r="HA211" s="157"/>
      <c r="HB211" s="155">
        <v>0.0</v>
      </c>
      <c r="HC211" s="155">
        <v>0.0</v>
      </c>
      <c r="HD211" s="155">
        <v>0.0</v>
      </c>
      <c r="HE211" s="155">
        <v>0.0</v>
      </c>
      <c r="HF211" s="155">
        <v>0.0</v>
      </c>
      <c r="HG211" s="155">
        <v>0.0</v>
      </c>
      <c r="IL211" s="159">
        <v>0.0</v>
      </c>
      <c r="IM211" s="156">
        <v>0.0</v>
      </c>
      <c r="IN211" s="156">
        <v>0.0</v>
      </c>
      <c r="IO211" s="156">
        <v>0.0</v>
      </c>
      <c r="IP211" s="156">
        <v>0.0</v>
      </c>
      <c r="IQ211" s="160">
        <v>0.0</v>
      </c>
      <c r="JH211" s="25"/>
      <c r="JW211" s="159">
        <v>0.0</v>
      </c>
      <c r="JX211" s="156">
        <v>0.0</v>
      </c>
      <c r="JY211" s="156">
        <v>0.0</v>
      </c>
      <c r="JZ211" s="156">
        <v>0.0</v>
      </c>
      <c r="KA211" s="156">
        <v>0.0</v>
      </c>
      <c r="KB211" s="160">
        <v>0.0</v>
      </c>
      <c r="LH211" s="159">
        <f t="shared" si="10"/>
        <v>0</v>
      </c>
      <c r="LI211" s="156">
        <f t="shared" si="11"/>
        <v>0</v>
      </c>
      <c r="LJ211" s="156">
        <f t="shared" si="12"/>
        <v>0</v>
      </c>
      <c r="LK211" s="156">
        <f t="shared" si="13"/>
        <v>0</v>
      </c>
      <c r="LL211" s="156">
        <f t="shared" si="14"/>
        <v>0</v>
      </c>
      <c r="LM211" s="160">
        <f t="shared" si="15"/>
        <v>0</v>
      </c>
      <c r="QX211" s="107">
        <v>45868.0</v>
      </c>
    </row>
    <row r="212">
      <c r="A212" s="12"/>
      <c r="B212" s="12"/>
      <c r="C212" s="12"/>
      <c r="D212" s="12"/>
      <c r="E212" s="12"/>
      <c r="F212" s="12"/>
      <c r="G212" s="12"/>
      <c r="H212" s="12"/>
      <c r="I212" s="143">
        <f t="shared" si="5"/>
        <v>-30</v>
      </c>
      <c r="J212" s="144">
        <v>45873.0</v>
      </c>
      <c r="K212" s="195" t="s">
        <v>61</v>
      </c>
      <c r="L212" s="144">
        <v>45952.0</v>
      </c>
      <c r="M212" s="147" t="s">
        <v>2681</v>
      </c>
      <c r="N212" s="148">
        <v>245.0</v>
      </c>
      <c r="O212" s="148">
        <v>30.0</v>
      </c>
      <c r="P212" s="26"/>
      <c r="Q212" s="26"/>
      <c r="R212" s="26"/>
      <c r="S212" s="26"/>
      <c r="T212" s="26"/>
      <c r="U212" s="147" t="s">
        <v>990</v>
      </c>
      <c r="V212" s="149" t="s">
        <v>2683</v>
      </c>
      <c r="W212" s="150" t="s">
        <v>2684</v>
      </c>
      <c r="X212" s="181">
        <v>30.0</v>
      </c>
      <c r="Y212" s="166">
        <f t="shared" si="6"/>
        <v>30</v>
      </c>
      <c r="Z212" s="26">
        <f t="shared" si="7"/>
        <v>0</v>
      </c>
      <c r="AA212" s="26">
        <f t="shared" si="8"/>
        <v>0</v>
      </c>
      <c r="AB212" s="26">
        <f t="shared" si="9"/>
        <v>0</v>
      </c>
      <c r="AC212" s="155">
        <v>0.0</v>
      </c>
      <c r="AD212" s="155">
        <v>0.0</v>
      </c>
      <c r="AE212" s="155">
        <v>0.0</v>
      </c>
      <c r="AF212" s="155">
        <v>0.0</v>
      </c>
      <c r="AG212" s="155">
        <v>0.0</v>
      </c>
      <c r="AH212" s="155">
        <v>0.0</v>
      </c>
      <c r="BN212" s="155">
        <v>0.0</v>
      </c>
      <c r="BO212" s="155">
        <v>0.0</v>
      </c>
      <c r="BP212" s="155">
        <v>0.0</v>
      </c>
      <c r="BQ212" s="155">
        <v>0.0</v>
      </c>
      <c r="BR212" s="155">
        <v>0.0</v>
      </c>
      <c r="BS212" s="155">
        <v>0.0</v>
      </c>
      <c r="CV212" s="156">
        <v>0.0</v>
      </c>
      <c r="CW212" s="156">
        <v>0.0</v>
      </c>
      <c r="CX212" s="156">
        <v>0.0</v>
      </c>
      <c r="CY212" s="156">
        <v>0.0</v>
      </c>
      <c r="CZ212" s="156">
        <v>0.0</v>
      </c>
      <c r="DA212" s="156">
        <v>0.0</v>
      </c>
      <c r="EG212" s="156">
        <v>0.0</v>
      </c>
      <c r="EH212" s="156">
        <v>0.0</v>
      </c>
      <c r="EI212" s="156">
        <v>0.0</v>
      </c>
      <c r="EJ212" s="156">
        <v>0.0</v>
      </c>
      <c r="EK212" s="156">
        <v>0.0</v>
      </c>
      <c r="EL212" s="156">
        <v>0.0</v>
      </c>
      <c r="FQ212" s="156">
        <v>0.0</v>
      </c>
      <c r="FR212" s="156">
        <v>0.0</v>
      </c>
      <c r="FS212" s="156">
        <v>0.0</v>
      </c>
      <c r="FT212" s="156">
        <v>0.0</v>
      </c>
      <c r="FU212" s="156">
        <v>0.0</v>
      </c>
      <c r="FV212" s="156">
        <v>0.0</v>
      </c>
      <c r="FW212" s="157"/>
      <c r="FX212" s="157"/>
      <c r="FY212" s="157"/>
      <c r="FZ212" s="157"/>
      <c r="GA212" s="157"/>
      <c r="GB212" s="157"/>
      <c r="GC212" s="157"/>
      <c r="GD212" s="157"/>
      <c r="GE212" s="157"/>
      <c r="GF212" s="157"/>
      <c r="GG212" s="157"/>
      <c r="GH212" s="157"/>
      <c r="GI212" s="157"/>
      <c r="GJ212" s="157"/>
      <c r="GK212" s="157"/>
      <c r="GL212" s="157"/>
      <c r="GM212" s="157"/>
      <c r="GN212" s="157"/>
      <c r="GO212" s="157"/>
      <c r="GP212" s="158"/>
      <c r="GQ212" s="157"/>
      <c r="GR212" s="157"/>
      <c r="GS212" s="157"/>
      <c r="GT212" s="157"/>
      <c r="GU212" s="157"/>
      <c r="GV212" s="157"/>
      <c r="GW212" s="157"/>
      <c r="GX212" s="157"/>
      <c r="GY212" s="157"/>
      <c r="GZ212" s="157"/>
      <c r="HA212" s="157"/>
      <c r="HB212" s="155">
        <v>0.0</v>
      </c>
      <c r="HC212" s="155">
        <v>0.0</v>
      </c>
      <c r="HD212" s="155">
        <v>0.0</v>
      </c>
      <c r="HE212" s="155">
        <v>0.0</v>
      </c>
      <c r="HF212" s="155">
        <v>0.0</v>
      </c>
      <c r="HG212" s="155">
        <v>0.0</v>
      </c>
      <c r="IL212" s="159">
        <v>0.0</v>
      </c>
      <c r="IM212" s="156">
        <v>0.0</v>
      </c>
      <c r="IN212" s="156">
        <v>0.0</v>
      </c>
      <c r="IO212" s="156">
        <v>0.0</v>
      </c>
      <c r="IP212" s="156">
        <v>0.0</v>
      </c>
      <c r="IQ212" s="160">
        <v>0.0</v>
      </c>
      <c r="JH212" s="25"/>
      <c r="JW212" s="159">
        <v>0.0</v>
      </c>
      <c r="JX212" s="156">
        <v>0.0</v>
      </c>
      <c r="JY212" s="156">
        <v>0.0</v>
      </c>
      <c r="JZ212" s="156">
        <v>0.0</v>
      </c>
      <c r="KA212" s="156">
        <v>0.0</v>
      </c>
      <c r="KB212" s="160">
        <v>0.0</v>
      </c>
      <c r="LH212" s="159">
        <f t="shared" si="10"/>
        <v>0</v>
      </c>
      <c r="LI212" s="156">
        <f t="shared" si="11"/>
        <v>0</v>
      </c>
      <c r="LJ212" s="156">
        <f t="shared" si="12"/>
        <v>0</v>
      </c>
      <c r="LK212" s="156">
        <f t="shared" si="13"/>
        <v>0</v>
      </c>
      <c r="LL212" s="156">
        <f t="shared" si="14"/>
        <v>0</v>
      </c>
      <c r="LM212" s="160">
        <f t="shared" si="15"/>
        <v>0</v>
      </c>
      <c r="QX212" s="107">
        <v>45868.0</v>
      </c>
    </row>
    <row r="213">
      <c r="A213" s="12"/>
      <c r="B213" s="12"/>
      <c r="C213" s="12"/>
      <c r="D213" s="12"/>
      <c r="E213" s="12"/>
      <c r="F213" s="12"/>
      <c r="G213" s="12"/>
      <c r="H213" s="12"/>
      <c r="I213" s="143">
        <f t="shared" si="5"/>
        <v>-30</v>
      </c>
      <c r="J213" s="144">
        <v>45868.0</v>
      </c>
      <c r="K213" s="173" t="s">
        <v>61</v>
      </c>
      <c r="L213" s="144">
        <v>46011.0</v>
      </c>
      <c r="M213" s="147" t="s">
        <v>1985</v>
      </c>
      <c r="N213" s="148">
        <v>24.0</v>
      </c>
      <c r="O213" s="148">
        <v>30.0</v>
      </c>
      <c r="P213" s="26"/>
      <c r="Q213" s="26"/>
      <c r="R213" s="26"/>
      <c r="S213" s="26"/>
      <c r="T213" s="26"/>
      <c r="U213" s="147" t="s">
        <v>447</v>
      </c>
      <c r="V213" s="149" t="s">
        <v>613</v>
      </c>
      <c r="W213" s="150" t="s">
        <v>2688</v>
      </c>
      <c r="X213" s="181">
        <v>30.0</v>
      </c>
      <c r="Y213" s="166">
        <f t="shared" si="6"/>
        <v>30</v>
      </c>
      <c r="Z213" s="26">
        <f t="shared" si="7"/>
        <v>0</v>
      </c>
      <c r="AA213" s="26">
        <f t="shared" si="8"/>
        <v>0</v>
      </c>
      <c r="AB213" s="26">
        <f t="shared" si="9"/>
        <v>0</v>
      </c>
      <c r="AC213" s="155">
        <v>0.0</v>
      </c>
      <c r="AD213" s="155">
        <v>0.0</v>
      </c>
      <c r="AE213" s="155">
        <v>0.0</v>
      </c>
      <c r="AF213" s="155">
        <v>0.0</v>
      </c>
      <c r="AG213" s="155">
        <v>0.0</v>
      </c>
      <c r="AH213" s="155">
        <v>0.0</v>
      </c>
      <c r="BN213" s="155">
        <v>0.0</v>
      </c>
      <c r="BO213" s="155">
        <v>0.0</v>
      </c>
      <c r="BP213" s="155">
        <v>0.0</v>
      </c>
      <c r="BQ213" s="155">
        <v>0.0</v>
      </c>
      <c r="BR213" s="155">
        <v>0.0</v>
      </c>
      <c r="BS213" s="155">
        <v>0.0</v>
      </c>
      <c r="CV213" s="156">
        <v>0.0</v>
      </c>
      <c r="CW213" s="156">
        <v>0.0</v>
      </c>
      <c r="CX213" s="156">
        <v>0.0</v>
      </c>
      <c r="CY213" s="156">
        <v>0.0</v>
      </c>
      <c r="CZ213" s="156">
        <v>0.0</v>
      </c>
      <c r="DA213" s="156">
        <v>0.0</v>
      </c>
      <c r="EG213" s="156">
        <v>0.0</v>
      </c>
      <c r="EH213" s="156">
        <v>0.0</v>
      </c>
      <c r="EI213" s="156">
        <v>0.0</v>
      </c>
      <c r="EJ213" s="156">
        <v>0.0</v>
      </c>
      <c r="EK213" s="156">
        <v>0.0</v>
      </c>
      <c r="EL213" s="156">
        <v>0.0</v>
      </c>
      <c r="FQ213" s="156">
        <v>0.0</v>
      </c>
      <c r="FR213" s="156">
        <v>0.0</v>
      </c>
      <c r="FS213" s="156">
        <v>0.0</v>
      </c>
      <c r="FT213" s="156">
        <v>0.0</v>
      </c>
      <c r="FU213" s="156">
        <v>0.0</v>
      </c>
      <c r="FV213" s="156">
        <v>0.0</v>
      </c>
      <c r="FW213" s="157"/>
      <c r="FX213" s="157"/>
      <c r="FY213" s="157"/>
      <c r="FZ213" s="157"/>
      <c r="GA213" s="157"/>
      <c r="GB213" s="157"/>
      <c r="GC213" s="157"/>
      <c r="GD213" s="157"/>
      <c r="GE213" s="157"/>
      <c r="GF213" s="157"/>
      <c r="GG213" s="157"/>
      <c r="GH213" s="157"/>
      <c r="GI213" s="157"/>
      <c r="GJ213" s="157"/>
      <c r="GK213" s="157"/>
      <c r="GL213" s="157"/>
      <c r="GM213" s="157"/>
      <c r="GN213" s="157"/>
      <c r="GO213" s="157"/>
      <c r="GP213" s="158"/>
      <c r="GQ213" s="157"/>
      <c r="GR213" s="157"/>
      <c r="GS213" s="157"/>
      <c r="GT213" s="157"/>
      <c r="GU213" s="157"/>
      <c r="GV213" s="157"/>
      <c r="GW213" s="157"/>
      <c r="GX213" s="157"/>
      <c r="GY213" s="157"/>
      <c r="GZ213" s="157"/>
      <c r="HA213" s="157"/>
      <c r="HB213" s="155">
        <v>0.0</v>
      </c>
      <c r="HC213" s="155">
        <v>0.0</v>
      </c>
      <c r="HD213" s="155">
        <v>0.0</v>
      </c>
      <c r="HE213" s="155">
        <v>0.0</v>
      </c>
      <c r="HF213" s="155">
        <v>0.0</v>
      </c>
      <c r="HG213" s="155">
        <v>0.0</v>
      </c>
      <c r="IL213" s="159">
        <v>0.0</v>
      </c>
      <c r="IM213" s="156">
        <v>0.0</v>
      </c>
      <c r="IN213" s="156">
        <v>0.0</v>
      </c>
      <c r="IO213" s="156">
        <v>0.0</v>
      </c>
      <c r="IP213" s="156">
        <v>0.0</v>
      </c>
      <c r="IQ213" s="160">
        <v>0.0</v>
      </c>
      <c r="JH213" s="25"/>
      <c r="JW213" s="159">
        <v>0.0</v>
      </c>
      <c r="JX213" s="156">
        <v>0.0</v>
      </c>
      <c r="JY213" s="156">
        <v>0.0</v>
      </c>
      <c r="JZ213" s="156">
        <v>0.0</v>
      </c>
      <c r="KA213" s="156">
        <v>0.0</v>
      </c>
      <c r="KB213" s="160">
        <v>0.0</v>
      </c>
      <c r="LH213" s="159">
        <f t="shared" si="10"/>
        <v>0</v>
      </c>
      <c r="LI213" s="156">
        <f t="shared" si="11"/>
        <v>0</v>
      </c>
      <c r="LJ213" s="156">
        <f t="shared" si="12"/>
        <v>0</v>
      </c>
      <c r="LK213" s="156">
        <f t="shared" si="13"/>
        <v>0</v>
      </c>
      <c r="LL213" s="156">
        <f t="shared" si="14"/>
        <v>0</v>
      </c>
      <c r="LM213" s="160">
        <f t="shared" si="15"/>
        <v>0</v>
      </c>
      <c r="QX213" s="107">
        <v>45868.0</v>
      </c>
    </row>
    <row r="214">
      <c r="A214" s="12"/>
      <c r="B214" s="12"/>
      <c r="C214" s="12"/>
      <c r="D214" s="12"/>
      <c r="E214" s="12"/>
      <c r="F214" s="12"/>
      <c r="G214" s="12"/>
      <c r="H214" s="12"/>
      <c r="I214" s="143">
        <f t="shared" si="5"/>
        <v>-29</v>
      </c>
      <c r="J214" s="144">
        <v>45891.0</v>
      </c>
      <c r="K214" s="173" t="s">
        <v>61</v>
      </c>
      <c r="L214" s="144">
        <v>45997.0</v>
      </c>
      <c r="M214" s="415" t="s">
        <v>107</v>
      </c>
      <c r="N214" s="416">
        <v>246.0</v>
      </c>
      <c r="O214" s="416">
        <v>45.0</v>
      </c>
      <c r="P214" s="417"/>
      <c r="Q214" s="417"/>
      <c r="R214" s="417"/>
      <c r="S214" s="417"/>
      <c r="T214" s="417"/>
      <c r="U214" s="415" t="s">
        <v>2690</v>
      </c>
      <c r="V214" s="418" t="s">
        <v>2692</v>
      </c>
      <c r="W214" s="419" t="s">
        <v>2693</v>
      </c>
      <c r="X214" s="181">
        <v>29.0</v>
      </c>
      <c r="Y214" s="166">
        <f t="shared" si="6"/>
        <v>29</v>
      </c>
      <c r="Z214" s="26">
        <f t="shared" si="7"/>
        <v>0</v>
      </c>
      <c r="AA214" s="26">
        <f t="shared" si="8"/>
        <v>0</v>
      </c>
      <c r="AB214" s="26">
        <f t="shared" si="9"/>
        <v>0</v>
      </c>
      <c r="AC214" s="155">
        <v>0.0</v>
      </c>
      <c r="AD214" s="155">
        <v>0.0</v>
      </c>
      <c r="AE214" s="155">
        <v>0.0</v>
      </c>
      <c r="AF214" s="155">
        <v>0.0</v>
      </c>
      <c r="AG214" s="155">
        <v>0.0</v>
      </c>
      <c r="AH214" s="155">
        <v>0.0</v>
      </c>
      <c r="BN214" s="155">
        <v>0.0</v>
      </c>
      <c r="BO214" s="155">
        <v>0.0</v>
      </c>
      <c r="BP214" s="155">
        <v>0.0</v>
      </c>
      <c r="BQ214" s="155">
        <v>0.0</v>
      </c>
      <c r="BR214" s="155">
        <v>0.0</v>
      </c>
      <c r="BS214" s="155">
        <v>0.0</v>
      </c>
      <c r="CV214" s="156">
        <v>0.0</v>
      </c>
      <c r="CW214" s="156">
        <v>0.0</v>
      </c>
      <c r="CX214" s="156">
        <v>0.0</v>
      </c>
      <c r="CY214" s="156">
        <v>0.0</v>
      </c>
      <c r="CZ214" s="156">
        <v>0.0</v>
      </c>
      <c r="DA214" s="156">
        <v>0.0</v>
      </c>
      <c r="EG214" s="156">
        <v>0.0</v>
      </c>
      <c r="EH214" s="156">
        <v>0.0</v>
      </c>
      <c r="EI214" s="156">
        <v>0.0</v>
      </c>
      <c r="EJ214" s="156">
        <v>0.0</v>
      </c>
      <c r="EK214" s="156">
        <v>0.0</v>
      </c>
      <c r="EL214" s="156">
        <v>0.0</v>
      </c>
      <c r="FQ214" s="156">
        <v>0.0</v>
      </c>
      <c r="FR214" s="156">
        <v>0.0</v>
      </c>
      <c r="FS214" s="156">
        <v>0.0</v>
      </c>
      <c r="FT214" s="156">
        <v>0.0</v>
      </c>
      <c r="FU214" s="156">
        <v>0.0</v>
      </c>
      <c r="FV214" s="156">
        <v>0.0</v>
      </c>
      <c r="FW214" s="157"/>
      <c r="FX214" s="157"/>
      <c r="FY214" s="157"/>
      <c r="FZ214" s="157"/>
      <c r="GA214" s="157"/>
      <c r="GB214" s="157"/>
      <c r="GC214" s="157"/>
      <c r="GD214" s="157"/>
      <c r="GE214" s="157"/>
      <c r="GF214" s="157"/>
      <c r="GG214" s="157"/>
      <c r="GH214" s="157"/>
      <c r="GI214" s="157"/>
      <c r="GJ214" s="157"/>
      <c r="GK214" s="157"/>
      <c r="GL214" s="157"/>
      <c r="GM214" s="157"/>
      <c r="GN214" s="157"/>
      <c r="GO214" s="157"/>
      <c r="GP214" s="158"/>
      <c r="GQ214" s="157"/>
      <c r="GR214" s="157"/>
      <c r="GS214" s="157"/>
      <c r="GT214" s="157"/>
      <c r="GU214" s="157"/>
      <c r="GV214" s="157"/>
      <c r="GW214" s="157"/>
      <c r="GX214" s="157"/>
      <c r="GY214" s="157"/>
      <c r="GZ214" s="157"/>
      <c r="HA214" s="157"/>
      <c r="HB214" s="155">
        <v>0.0</v>
      </c>
      <c r="HC214" s="155">
        <v>0.0</v>
      </c>
      <c r="HD214" s="155">
        <v>0.0</v>
      </c>
      <c r="HE214" s="155">
        <v>0.0</v>
      </c>
      <c r="HF214" s="155">
        <v>0.0</v>
      </c>
      <c r="HG214" s="155">
        <v>0.0</v>
      </c>
      <c r="IL214" s="159">
        <v>0.0</v>
      </c>
      <c r="IM214" s="156">
        <v>0.0</v>
      </c>
      <c r="IN214" s="156">
        <v>0.0</v>
      </c>
      <c r="IO214" s="156">
        <v>0.0</v>
      </c>
      <c r="IP214" s="156">
        <v>0.0</v>
      </c>
      <c r="IQ214" s="160">
        <v>0.0</v>
      </c>
      <c r="JH214" s="25"/>
      <c r="JW214" s="159">
        <v>0.0</v>
      </c>
      <c r="JX214" s="156">
        <v>0.0</v>
      </c>
      <c r="JY214" s="156">
        <v>0.0</v>
      </c>
      <c r="JZ214" s="156">
        <v>0.0</v>
      </c>
      <c r="KA214" s="156">
        <v>0.0</v>
      </c>
      <c r="KB214" s="160">
        <v>0.0</v>
      </c>
      <c r="LH214" s="159">
        <f t="shared" si="10"/>
        <v>0</v>
      </c>
      <c r="LI214" s="156">
        <f t="shared" si="11"/>
        <v>0</v>
      </c>
      <c r="LJ214" s="156">
        <f t="shared" si="12"/>
        <v>0</v>
      </c>
      <c r="LK214" s="156">
        <f t="shared" si="13"/>
        <v>0</v>
      </c>
      <c r="LL214" s="156">
        <f t="shared" si="14"/>
        <v>0</v>
      </c>
      <c r="LM214" s="160">
        <f t="shared" si="15"/>
        <v>0</v>
      </c>
      <c r="QX214" s="107">
        <v>45868.0</v>
      </c>
    </row>
    <row r="215">
      <c r="A215" s="12"/>
      <c r="B215" s="12"/>
      <c r="C215" s="12"/>
      <c r="D215" s="12"/>
      <c r="E215" s="12"/>
      <c r="F215" s="12"/>
      <c r="G215" s="12"/>
      <c r="H215" s="12"/>
      <c r="I215" s="143">
        <f t="shared" si="5"/>
        <v>-30</v>
      </c>
      <c r="J215" s="144">
        <v>45870.0</v>
      </c>
      <c r="K215" s="195" t="s">
        <v>61</v>
      </c>
      <c r="L215" s="144">
        <v>45968.0</v>
      </c>
      <c r="M215" s="164" t="s">
        <v>1433</v>
      </c>
      <c r="N215" s="170">
        <v>357.0</v>
      </c>
      <c r="O215" s="148">
        <v>30.0</v>
      </c>
      <c r="P215" s="26"/>
      <c r="Q215" s="26"/>
      <c r="R215" s="26"/>
      <c r="S215" s="26"/>
      <c r="T215" s="26"/>
      <c r="U215" s="147"/>
      <c r="V215" s="149"/>
      <c r="W215" s="198" t="s">
        <v>2695</v>
      </c>
      <c r="X215" s="181">
        <v>23.0</v>
      </c>
      <c r="Y215" s="166">
        <f t="shared" si="6"/>
        <v>30</v>
      </c>
      <c r="Z215" s="26">
        <f t="shared" si="7"/>
        <v>0</v>
      </c>
      <c r="AA215" s="26">
        <f t="shared" si="8"/>
        <v>1</v>
      </c>
      <c r="AB215" s="26">
        <f t="shared" si="9"/>
        <v>0</v>
      </c>
      <c r="AC215" s="155">
        <v>0.0</v>
      </c>
      <c r="AD215" s="155">
        <v>0.0</v>
      </c>
      <c r="AE215" s="155">
        <v>0.0</v>
      </c>
      <c r="AF215" s="155">
        <v>0.0</v>
      </c>
      <c r="AG215" s="155">
        <v>0.0</v>
      </c>
      <c r="AH215" s="155">
        <v>0.0</v>
      </c>
      <c r="BN215" s="155">
        <v>0.0</v>
      </c>
      <c r="BO215" s="155">
        <v>0.0</v>
      </c>
      <c r="BP215" s="155">
        <v>0.0</v>
      </c>
      <c r="BQ215" s="155">
        <v>0.0</v>
      </c>
      <c r="BR215" s="155">
        <v>0.0</v>
      </c>
      <c r="BS215" s="155">
        <v>0.0</v>
      </c>
      <c r="CV215" s="156">
        <v>0.0</v>
      </c>
      <c r="CW215" s="156">
        <v>0.0</v>
      </c>
      <c r="CX215" s="156">
        <v>0.0</v>
      </c>
      <c r="CY215" s="156">
        <v>0.0</v>
      </c>
      <c r="CZ215" s="156">
        <v>0.0</v>
      </c>
      <c r="DA215" s="156">
        <v>0.0</v>
      </c>
      <c r="EG215" s="156">
        <v>0.0</v>
      </c>
      <c r="EH215" s="156">
        <v>0.0</v>
      </c>
      <c r="EI215" s="156">
        <v>0.0</v>
      </c>
      <c r="EJ215" s="156">
        <v>0.0</v>
      </c>
      <c r="EK215" s="156">
        <v>0.0</v>
      </c>
      <c r="EL215" s="156">
        <v>0.0</v>
      </c>
      <c r="FQ215" s="156">
        <v>0.0</v>
      </c>
      <c r="FR215" s="156">
        <v>0.0</v>
      </c>
      <c r="FS215" s="156">
        <v>0.0</v>
      </c>
      <c r="FT215" s="156">
        <v>0.0</v>
      </c>
      <c r="FU215" s="156">
        <v>0.0</v>
      </c>
      <c r="FV215" s="156">
        <v>0.0</v>
      </c>
      <c r="FW215" s="157"/>
      <c r="FX215" s="157"/>
      <c r="FY215" s="157"/>
      <c r="FZ215" s="157"/>
      <c r="GA215" s="157"/>
      <c r="GB215" s="157"/>
      <c r="GC215" s="157"/>
      <c r="GD215" s="157"/>
      <c r="GE215" s="157"/>
      <c r="GF215" s="157"/>
      <c r="GG215" s="157"/>
      <c r="GH215" s="157"/>
      <c r="GI215" s="157"/>
      <c r="GJ215" s="157"/>
      <c r="GK215" s="157"/>
      <c r="GL215" s="157"/>
      <c r="GM215" s="157"/>
      <c r="GN215" s="157"/>
      <c r="GO215" s="157"/>
      <c r="GP215" s="158"/>
      <c r="GQ215" s="157"/>
      <c r="GR215" s="157"/>
      <c r="GS215" s="157"/>
      <c r="GT215" s="157"/>
      <c r="GU215" s="157"/>
      <c r="GV215" s="157"/>
      <c r="GW215" s="157"/>
      <c r="GX215" s="157"/>
      <c r="GY215" s="157"/>
      <c r="GZ215" s="157"/>
      <c r="HA215" s="157"/>
      <c r="HB215" s="155">
        <v>7.0</v>
      </c>
      <c r="HC215" s="155">
        <v>0.0</v>
      </c>
      <c r="HD215" s="155">
        <v>0.0</v>
      </c>
      <c r="HE215" s="155">
        <v>1.0</v>
      </c>
      <c r="HF215" s="155">
        <v>0.0</v>
      </c>
      <c r="HG215" s="421">
        <v>0.0</v>
      </c>
      <c r="HH215" s="172"/>
      <c r="HI215" s="172">
        <v>1.0</v>
      </c>
      <c r="HJ215" s="172">
        <v>0.0</v>
      </c>
      <c r="HK215" s="172"/>
      <c r="HL215" s="172">
        <v>0.0</v>
      </c>
      <c r="HM215" s="172">
        <v>1.0</v>
      </c>
      <c r="HN215" s="172">
        <v>0.0</v>
      </c>
      <c r="HO215" s="172">
        <v>0.0</v>
      </c>
      <c r="HP215" s="172">
        <v>1.0</v>
      </c>
      <c r="HQ215" s="172">
        <v>0.0</v>
      </c>
      <c r="HR215" s="172" t="s">
        <v>947</v>
      </c>
      <c r="HS215" s="172">
        <v>0.0</v>
      </c>
      <c r="HT215" s="172"/>
      <c r="HU215" s="172">
        <v>0.0</v>
      </c>
      <c r="HV215" s="172">
        <v>0.0</v>
      </c>
      <c r="HW215" s="172">
        <v>1.0</v>
      </c>
      <c r="HX215" s="172">
        <v>0.0</v>
      </c>
      <c r="HY215" s="172"/>
      <c r="HZ215" s="172">
        <v>0.0</v>
      </c>
      <c r="IA215" s="172">
        <v>1.0</v>
      </c>
      <c r="IB215" s="172"/>
      <c r="IC215" s="172"/>
      <c r="ID215" s="172"/>
      <c r="IE215" s="172"/>
      <c r="IF215" s="172"/>
      <c r="IG215" s="172">
        <v>1.0</v>
      </c>
      <c r="IH215" s="172"/>
      <c r="II215" s="172"/>
      <c r="IJ215" s="172"/>
      <c r="IK215" s="172"/>
      <c r="IL215" s="159">
        <v>0.0</v>
      </c>
      <c r="IM215" s="156">
        <v>0.0</v>
      </c>
      <c r="IN215" s="156">
        <v>0.0</v>
      </c>
      <c r="IO215" s="156">
        <v>0.0</v>
      </c>
      <c r="IP215" s="156">
        <v>0.0</v>
      </c>
      <c r="IQ215" s="160">
        <v>0.0</v>
      </c>
      <c r="IR215" s="172">
        <v>0.0</v>
      </c>
      <c r="IS215" s="172"/>
      <c r="IT215" s="172">
        <v>0.0</v>
      </c>
      <c r="IU215" s="172"/>
      <c r="IV215" s="172">
        <v>0.0</v>
      </c>
      <c r="IW215" s="172">
        <v>0.0</v>
      </c>
      <c r="IX215" s="172"/>
      <c r="IY215" s="172">
        <v>0.0</v>
      </c>
      <c r="IZ215" s="172"/>
      <c r="JA215" s="172">
        <v>0.0</v>
      </c>
      <c r="JB215" s="172"/>
      <c r="JC215" s="172">
        <v>0.0</v>
      </c>
      <c r="JD215" s="172">
        <v>0.0</v>
      </c>
      <c r="JE215" s="172"/>
      <c r="JF215" s="172">
        <v>0.0</v>
      </c>
      <c r="JG215" s="172"/>
      <c r="JH215" s="170">
        <v>0.0</v>
      </c>
      <c r="JI215" s="172"/>
      <c r="JJ215" s="172">
        <v>0.0</v>
      </c>
      <c r="JK215" s="172">
        <v>0.0</v>
      </c>
      <c r="JL215" s="172"/>
      <c r="JM215" s="172">
        <v>0.0</v>
      </c>
      <c r="JN215" s="172"/>
      <c r="JO215" s="172">
        <v>0.0</v>
      </c>
      <c r="JP215" s="172"/>
      <c r="JQ215" s="172">
        <v>0.0</v>
      </c>
      <c r="JR215" s="172">
        <v>0.0</v>
      </c>
      <c r="JS215" s="172"/>
      <c r="JT215" s="172">
        <v>0.0</v>
      </c>
      <c r="JU215" s="172"/>
      <c r="JV215" s="172">
        <v>0.0</v>
      </c>
      <c r="JW215" s="159">
        <v>0.0</v>
      </c>
      <c r="JX215" s="156">
        <v>0.0</v>
      </c>
      <c r="JY215" s="156">
        <v>0.0</v>
      </c>
      <c r="JZ215" s="156">
        <v>0.0</v>
      </c>
      <c r="KA215" s="156">
        <v>0.0</v>
      </c>
      <c r="KB215" s="160">
        <v>0.0</v>
      </c>
      <c r="LH215" s="159">
        <f t="shared" si="10"/>
        <v>0</v>
      </c>
      <c r="LI215" s="156">
        <f t="shared" si="11"/>
        <v>0</v>
      </c>
      <c r="LJ215" s="156">
        <f t="shared" si="12"/>
        <v>0</v>
      </c>
      <c r="LK215" s="156">
        <f t="shared" si="13"/>
        <v>0</v>
      </c>
      <c r="LL215" s="156">
        <f t="shared" si="14"/>
        <v>0</v>
      </c>
      <c r="LM215" s="160">
        <f t="shared" si="15"/>
        <v>0</v>
      </c>
      <c r="QX215" s="107">
        <v>45869.0</v>
      </c>
    </row>
    <row r="216">
      <c r="A216" s="12"/>
      <c r="B216" s="12"/>
      <c r="C216" s="12"/>
      <c r="D216" s="12"/>
      <c r="E216" s="12"/>
      <c r="F216" s="12"/>
      <c r="G216" s="12"/>
      <c r="H216" s="12"/>
      <c r="I216" s="143">
        <f t="shared" si="5"/>
        <v>-48</v>
      </c>
      <c r="J216" s="144">
        <v>45871.0</v>
      </c>
      <c r="K216" s="180" t="s">
        <v>61</v>
      </c>
      <c r="L216" s="144">
        <v>46035.0</v>
      </c>
      <c r="M216" s="147" t="s">
        <v>107</v>
      </c>
      <c r="N216" s="148">
        <v>357.0</v>
      </c>
      <c r="O216" s="148">
        <v>30.0</v>
      </c>
      <c r="P216" s="26"/>
      <c r="Q216" s="26"/>
      <c r="R216" s="26"/>
      <c r="S216" s="26"/>
      <c r="T216" s="26"/>
      <c r="U216" s="147" t="s">
        <v>1338</v>
      </c>
      <c r="V216" s="149" t="s">
        <v>1981</v>
      </c>
      <c r="W216" s="150" t="s">
        <v>2697</v>
      </c>
      <c r="X216" s="181">
        <v>45.0</v>
      </c>
      <c r="Y216" s="166">
        <f t="shared" si="6"/>
        <v>48</v>
      </c>
      <c r="Z216" s="26">
        <f t="shared" si="7"/>
        <v>0</v>
      </c>
      <c r="AA216" s="26">
        <f t="shared" si="8"/>
        <v>0</v>
      </c>
      <c r="AB216" s="26">
        <f t="shared" si="9"/>
        <v>0</v>
      </c>
      <c r="AC216" s="155">
        <v>3.0</v>
      </c>
      <c r="AD216" s="155">
        <v>0.0</v>
      </c>
      <c r="AE216" s="155">
        <v>0.0</v>
      </c>
      <c r="AF216" s="155">
        <v>0.0</v>
      </c>
      <c r="AG216" s="155">
        <v>0.0</v>
      </c>
      <c r="AH216" s="155">
        <v>0.0</v>
      </c>
      <c r="AI216" s="167"/>
      <c r="AJ216" s="167"/>
      <c r="AK216" s="167"/>
      <c r="AL216" s="167"/>
      <c r="AM216" s="167"/>
      <c r="AN216" s="167">
        <v>1.0</v>
      </c>
      <c r="AO216" s="167">
        <v>0.0</v>
      </c>
      <c r="AP216" s="167"/>
      <c r="AQ216" s="168">
        <v>1.0</v>
      </c>
      <c r="AR216" s="167">
        <v>1.0</v>
      </c>
      <c r="AS216" s="167"/>
      <c r="AT216" s="167"/>
      <c r="AU216" s="167"/>
      <c r="AV216" s="167"/>
      <c r="AW216" s="167"/>
      <c r="AX216" s="167"/>
      <c r="AY216" s="167"/>
      <c r="AZ216" s="167"/>
      <c r="BA216" s="167"/>
      <c r="BB216" s="167"/>
      <c r="BC216" s="167"/>
      <c r="BD216" s="167"/>
      <c r="BE216" s="167"/>
      <c r="BF216" s="167"/>
      <c r="BG216" s="167"/>
      <c r="BH216" s="167"/>
      <c r="BI216" s="167"/>
      <c r="BJ216" s="167"/>
      <c r="BK216" s="167"/>
      <c r="BL216" s="167"/>
      <c r="BM216" s="167"/>
      <c r="BN216" s="155">
        <v>0.0</v>
      </c>
      <c r="BO216" s="155">
        <v>0.0</v>
      </c>
      <c r="BP216" s="155">
        <v>0.0</v>
      </c>
      <c r="BQ216" s="155">
        <v>0.0</v>
      </c>
      <c r="BR216" s="155">
        <v>0.0</v>
      </c>
      <c r="BS216" s="155">
        <v>0.0</v>
      </c>
      <c r="CV216" s="156">
        <v>0.0</v>
      </c>
      <c r="CW216" s="156">
        <v>0.0</v>
      </c>
      <c r="CX216" s="156">
        <v>0.0</v>
      </c>
      <c r="CY216" s="156">
        <v>0.0</v>
      </c>
      <c r="CZ216" s="156">
        <v>0.0</v>
      </c>
      <c r="DA216" s="156">
        <v>0.0</v>
      </c>
      <c r="EG216" s="156">
        <v>0.0</v>
      </c>
      <c r="EH216" s="156">
        <v>0.0</v>
      </c>
      <c r="EI216" s="156">
        <v>0.0</v>
      </c>
      <c r="EJ216" s="156">
        <v>0.0</v>
      </c>
      <c r="EK216" s="156">
        <v>0.0</v>
      </c>
      <c r="EL216" s="156">
        <v>0.0</v>
      </c>
      <c r="FQ216" s="156">
        <v>0.0</v>
      </c>
      <c r="FR216" s="156">
        <v>0.0</v>
      </c>
      <c r="FS216" s="156">
        <v>0.0</v>
      </c>
      <c r="FT216" s="156">
        <v>0.0</v>
      </c>
      <c r="FU216" s="156">
        <v>0.0</v>
      </c>
      <c r="FV216" s="156">
        <v>0.0</v>
      </c>
      <c r="FW216" s="157"/>
      <c r="FX216" s="157"/>
      <c r="FY216" s="157"/>
      <c r="FZ216" s="157"/>
      <c r="GA216" s="157"/>
      <c r="GB216" s="157"/>
      <c r="GC216" s="157"/>
      <c r="GD216" s="157"/>
      <c r="GE216" s="157"/>
      <c r="GF216" s="157"/>
      <c r="GG216" s="157"/>
      <c r="GH216" s="157"/>
      <c r="GI216" s="157"/>
      <c r="GJ216" s="157"/>
      <c r="GK216" s="157"/>
      <c r="GL216" s="157"/>
      <c r="GM216" s="157"/>
      <c r="GN216" s="157"/>
      <c r="GO216" s="157"/>
      <c r="GP216" s="158"/>
      <c r="GQ216" s="157"/>
      <c r="GR216" s="157"/>
      <c r="GS216" s="157"/>
      <c r="GT216" s="157"/>
      <c r="GU216" s="157"/>
      <c r="GV216" s="157"/>
      <c r="GW216" s="157"/>
      <c r="GX216" s="157"/>
      <c r="GY216" s="157"/>
      <c r="GZ216" s="157"/>
      <c r="HA216" s="157"/>
      <c r="HB216" s="155">
        <v>0.0</v>
      </c>
      <c r="HC216" s="155">
        <v>0.0</v>
      </c>
      <c r="HD216" s="155">
        <v>0.0</v>
      </c>
      <c r="HE216" s="155">
        <v>0.0</v>
      </c>
      <c r="HF216" s="155">
        <v>0.0</v>
      </c>
      <c r="HG216" s="155">
        <v>0.0</v>
      </c>
      <c r="IL216" s="159">
        <v>0.0</v>
      </c>
      <c r="IM216" s="156">
        <v>0.0</v>
      </c>
      <c r="IN216" s="156">
        <v>0.0</v>
      </c>
      <c r="IO216" s="156">
        <v>0.0</v>
      </c>
      <c r="IP216" s="156">
        <v>0.0</v>
      </c>
      <c r="IQ216" s="160">
        <v>0.0</v>
      </c>
      <c r="JH216" s="25"/>
      <c r="JW216" s="159">
        <v>0.0</v>
      </c>
      <c r="JX216" s="156">
        <v>0.0</v>
      </c>
      <c r="JY216" s="156">
        <v>0.0</v>
      </c>
      <c r="JZ216" s="156">
        <v>0.0</v>
      </c>
      <c r="KA216" s="156">
        <v>0.0</v>
      </c>
      <c r="KB216" s="160">
        <v>0.0</v>
      </c>
      <c r="LH216" s="159">
        <f t="shared" si="10"/>
        <v>0</v>
      </c>
      <c r="LI216" s="156">
        <f t="shared" si="11"/>
        <v>0</v>
      </c>
      <c r="LJ216" s="156">
        <f t="shared" si="12"/>
        <v>0</v>
      </c>
      <c r="LK216" s="156">
        <f t="shared" si="13"/>
        <v>0</v>
      </c>
      <c r="LL216" s="156">
        <f t="shared" si="14"/>
        <v>0</v>
      </c>
      <c r="LM216" s="160">
        <f t="shared" si="15"/>
        <v>0</v>
      </c>
      <c r="QX216" s="107">
        <v>45869.0</v>
      </c>
    </row>
    <row r="217">
      <c r="A217" s="12"/>
      <c r="B217" s="12"/>
      <c r="C217" s="12"/>
      <c r="D217" s="12"/>
      <c r="E217" s="12"/>
      <c r="F217" s="12"/>
      <c r="G217" s="12"/>
      <c r="H217" s="12"/>
      <c r="I217" s="143">
        <f t="shared" si="5"/>
        <v>-30</v>
      </c>
      <c r="J217" s="144">
        <v>45874.0</v>
      </c>
      <c r="K217" s="145" t="s">
        <v>61</v>
      </c>
      <c r="L217" s="171">
        <v>46042.0</v>
      </c>
      <c r="M217" s="147" t="s">
        <v>1487</v>
      </c>
      <c r="N217" s="148">
        <v>37.0</v>
      </c>
      <c r="O217" s="148">
        <v>30.0</v>
      </c>
      <c r="P217" s="26"/>
      <c r="Q217" s="26"/>
      <c r="R217" s="26"/>
      <c r="S217" s="26"/>
      <c r="T217" s="26"/>
      <c r="U217" s="150" t="s">
        <v>2700</v>
      </c>
      <c r="V217" s="197" t="s">
        <v>907</v>
      </c>
      <c r="W217" s="150" t="s">
        <v>2701</v>
      </c>
      <c r="X217" s="181">
        <v>25.0</v>
      </c>
      <c r="Y217" s="166">
        <f t="shared" si="6"/>
        <v>30</v>
      </c>
      <c r="Z217" s="26">
        <f t="shared" si="7"/>
        <v>0</v>
      </c>
      <c r="AA217" s="26">
        <f t="shared" si="8"/>
        <v>0</v>
      </c>
      <c r="AB217" s="26">
        <f t="shared" si="9"/>
        <v>0</v>
      </c>
      <c r="AC217" s="155">
        <v>5.0</v>
      </c>
      <c r="AD217" s="155">
        <v>0.0</v>
      </c>
      <c r="AE217" s="155">
        <v>0.0</v>
      </c>
      <c r="AF217" s="155">
        <v>0.0</v>
      </c>
      <c r="AG217" s="155">
        <v>0.0</v>
      </c>
      <c r="AH217" s="155">
        <v>0.0</v>
      </c>
      <c r="AK217" s="86">
        <v>1.0</v>
      </c>
      <c r="AN217" s="86">
        <v>1.0</v>
      </c>
      <c r="AR217" s="86">
        <v>1.0</v>
      </c>
      <c r="AU217" s="86">
        <v>1.0</v>
      </c>
      <c r="AY217" s="86">
        <v>1.0</v>
      </c>
      <c r="BN217" s="155">
        <v>0.0</v>
      </c>
      <c r="BO217" s="155">
        <v>0.0</v>
      </c>
      <c r="BP217" s="155">
        <v>0.0</v>
      </c>
      <c r="BQ217" s="155">
        <v>0.0</v>
      </c>
      <c r="BR217" s="155">
        <v>0.0</v>
      </c>
      <c r="BS217" s="155">
        <v>0.0</v>
      </c>
      <c r="CV217" s="156">
        <v>0.0</v>
      </c>
      <c r="CW217" s="156">
        <v>0.0</v>
      </c>
      <c r="CX217" s="156">
        <v>0.0</v>
      </c>
      <c r="CY217" s="156">
        <v>0.0</v>
      </c>
      <c r="CZ217" s="156">
        <v>0.0</v>
      </c>
      <c r="DA217" s="156">
        <v>0.0</v>
      </c>
      <c r="EG217" s="156">
        <v>0.0</v>
      </c>
      <c r="EH217" s="156">
        <v>0.0</v>
      </c>
      <c r="EI217" s="156">
        <v>0.0</v>
      </c>
      <c r="EJ217" s="156">
        <v>0.0</v>
      </c>
      <c r="EK217" s="156">
        <v>0.0</v>
      </c>
      <c r="EL217" s="156">
        <v>0.0</v>
      </c>
      <c r="FQ217" s="156">
        <v>0.0</v>
      </c>
      <c r="FR217" s="156">
        <v>0.0</v>
      </c>
      <c r="FS217" s="156">
        <v>0.0</v>
      </c>
      <c r="FT217" s="156">
        <v>0.0</v>
      </c>
      <c r="FU217" s="156">
        <v>0.0</v>
      </c>
      <c r="FV217" s="156">
        <v>0.0</v>
      </c>
      <c r="FW217" s="157"/>
      <c r="FX217" s="157"/>
      <c r="FY217" s="157"/>
      <c r="FZ217" s="157"/>
      <c r="GA217" s="157"/>
      <c r="GB217" s="157"/>
      <c r="GC217" s="157"/>
      <c r="GD217" s="157"/>
      <c r="GE217" s="157"/>
      <c r="GF217" s="157"/>
      <c r="GG217" s="157"/>
      <c r="GH217" s="157"/>
      <c r="GI217" s="157"/>
      <c r="GJ217" s="157"/>
      <c r="GK217" s="157"/>
      <c r="GL217" s="157"/>
      <c r="GM217" s="157"/>
      <c r="GN217" s="157"/>
      <c r="GO217" s="157"/>
      <c r="GP217" s="158"/>
      <c r="GQ217" s="157"/>
      <c r="GR217" s="157"/>
      <c r="GS217" s="157"/>
      <c r="GT217" s="157"/>
      <c r="GU217" s="157"/>
      <c r="GV217" s="157"/>
      <c r="GW217" s="157"/>
      <c r="GX217" s="157"/>
      <c r="GY217" s="157"/>
      <c r="GZ217" s="157"/>
      <c r="HA217" s="157"/>
      <c r="HB217" s="155">
        <v>0.0</v>
      </c>
      <c r="HC217" s="155">
        <v>0.0</v>
      </c>
      <c r="HD217" s="155">
        <v>0.0</v>
      </c>
      <c r="HE217" s="155">
        <v>0.0</v>
      </c>
      <c r="HF217" s="155">
        <v>0.0</v>
      </c>
      <c r="HG217" s="155">
        <v>0.0</v>
      </c>
      <c r="IL217" s="159">
        <v>0.0</v>
      </c>
      <c r="IM217" s="156">
        <v>0.0</v>
      </c>
      <c r="IN217" s="156">
        <v>0.0</v>
      </c>
      <c r="IO217" s="156">
        <v>0.0</v>
      </c>
      <c r="IP217" s="156">
        <v>0.0</v>
      </c>
      <c r="IQ217" s="160">
        <v>0.0</v>
      </c>
      <c r="JH217" s="25"/>
      <c r="JW217" s="159">
        <v>0.0</v>
      </c>
      <c r="JX217" s="156">
        <v>0.0</v>
      </c>
      <c r="JY217" s="156">
        <v>0.0</v>
      </c>
      <c r="JZ217" s="156">
        <v>0.0</v>
      </c>
      <c r="KA217" s="156">
        <v>0.0</v>
      </c>
      <c r="KB217" s="160">
        <v>0.0</v>
      </c>
      <c r="LH217" s="159">
        <f t="shared" si="10"/>
        <v>0</v>
      </c>
      <c r="LI217" s="156">
        <f t="shared" si="11"/>
        <v>0</v>
      </c>
      <c r="LJ217" s="156">
        <f t="shared" si="12"/>
        <v>0</v>
      </c>
      <c r="LK217" s="156">
        <f t="shared" si="13"/>
        <v>0</v>
      </c>
      <c r="LL217" s="156">
        <f t="shared" si="14"/>
        <v>0</v>
      </c>
      <c r="LM217" s="160">
        <f t="shared" si="15"/>
        <v>0</v>
      </c>
      <c r="QX217" s="107">
        <v>45869.0</v>
      </c>
    </row>
    <row r="218">
      <c r="A218" s="12"/>
      <c r="B218" s="12"/>
      <c r="C218" s="12"/>
      <c r="D218" s="12"/>
      <c r="E218" s="12"/>
      <c r="F218" s="12"/>
      <c r="G218" s="12"/>
      <c r="H218" s="12"/>
      <c r="I218" s="143">
        <f t="shared" si="5"/>
        <v>-8</v>
      </c>
      <c r="J218" s="144">
        <v>45875.0</v>
      </c>
      <c r="K218" s="173" t="s">
        <v>61</v>
      </c>
      <c r="L218" s="146"/>
      <c r="M218" s="422" t="s">
        <v>107</v>
      </c>
      <c r="N218" s="423">
        <v>246.0</v>
      </c>
      <c r="O218" s="423">
        <v>45.0</v>
      </c>
      <c r="P218" s="424"/>
      <c r="Q218" s="424"/>
      <c r="R218" s="424"/>
      <c r="S218" s="424"/>
      <c r="T218" s="424"/>
      <c r="U218" s="422" t="s">
        <v>1231</v>
      </c>
      <c r="V218" s="425"/>
      <c r="W218" s="426" t="s">
        <v>2703</v>
      </c>
      <c r="X218" s="181">
        <v>8.0</v>
      </c>
      <c r="Y218" s="166">
        <f t="shared" si="6"/>
        <v>8</v>
      </c>
      <c r="Z218" s="26">
        <f t="shared" si="7"/>
        <v>0</v>
      </c>
      <c r="AA218" s="26">
        <f t="shared" si="8"/>
        <v>0</v>
      </c>
      <c r="AB218" s="26">
        <f t="shared" si="9"/>
        <v>0</v>
      </c>
      <c r="AC218" s="155">
        <v>0.0</v>
      </c>
      <c r="AD218" s="155">
        <v>0.0</v>
      </c>
      <c r="AE218" s="155">
        <v>0.0</v>
      </c>
      <c r="AF218" s="155">
        <v>0.0</v>
      </c>
      <c r="AG218" s="155">
        <v>0.0</v>
      </c>
      <c r="AH218" s="155">
        <v>0.0</v>
      </c>
      <c r="BN218" s="155">
        <v>0.0</v>
      </c>
      <c r="BO218" s="155">
        <v>0.0</v>
      </c>
      <c r="BP218" s="155">
        <v>0.0</v>
      </c>
      <c r="BQ218" s="155">
        <v>0.0</v>
      </c>
      <c r="BR218" s="155">
        <v>0.0</v>
      </c>
      <c r="BS218" s="155">
        <v>0.0</v>
      </c>
      <c r="CV218" s="156">
        <v>0.0</v>
      </c>
      <c r="CW218" s="156">
        <v>0.0</v>
      </c>
      <c r="CX218" s="156">
        <v>0.0</v>
      </c>
      <c r="CY218" s="156">
        <v>0.0</v>
      </c>
      <c r="CZ218" s="156">
        <v>0.0</v>
      </c>
      <c r="DA218" s="156">
        <v>0.0</v>
      </c>
      <c r="EG218" s="156">
        <v>0.0</v>
      </c>
      <c r="EH218" s="156">
        <v>0.0</v>
      </c>
      <c r="EI218" s="156">
        <v>0.0</v>
      </c>
      <c r="EJ218" s="156">
        <v>0.0</v>
      </c>
      <c r="EK218" s="156">
        <v>0.0</v>
      </c>
      <c r="EL218" s="156">
        <v>0.0</v>
      </c>
      <c r="FQ218" s="156">
        <v>0.0</v>
      </c>
      <c r="FR218" s="156">
        <v>0.0</v>
      </c>
      <c r="FS218" s="156">
        <v>0.0</v>
      </c>
      <c r="FT218" s="156">
        <v>0.0</v>
      </c>
      <c r="FU218" s="156">
        <v>0.0</v>
      </c>
      <c r="FV218" s="156">
        <v>0.0</v>
      </c>
      <c r="FW218" s="157"/>
      <c r="FX218" s="157"/>
      <c r="FY218" s="157"/>
      <c r="FZ218" s="157"/>
      <c r="GA218" s="157"/>
      <c r="GB218" s="157"/>
      <c r="GC218" s="157"/>
      <c r="GD218" s="157"/>
      <c r="GE218" s="157"/>
      <c r="GF218" s="157"/>
      <c r="GG218" s="157"/>
      <c r="GH218" s="157"/>
      <c r="GI218" s="157"/>
      <c r="GJ218" s="157"/>
      <c r="GK218" s="157"/>
      <c r="GL218" s="157"/>
      <c r="GM218" s="157"/>
      <c r="GN218" s="157"/>
      <c r="GO218" s="157"/>
      <c r="GP218" s="158"/>
      <c r="GQ218" s="157"/>
      <c r="GR218" s="157"/>
      <c r="GS218" s="157"/>
      <c r="GT218" s="157"/>
      <c r="GU218" s="157"/>
      <c r="GV218" s="157"/>
      <c r="GW218" s="157"/>
      <c r="GX218" s="157"/>
      <c r="GY218" s="157"/>
      <c r="GZ218" s="157"/>
      <c r="HA218" s="157"/>
      <c r="HB218" s="155">
        <v>0.0</v>
      </c>
      <c r="HC218" s="155">
        <v>0.0</v>
      </c>
      <c r="HD218" s="155">
        <v>0.0</v>
      </c>
      <c r="HE218" s="155">
        <v>0.0</v>
      </c>
      <c r="HF218" s="155">
        <v>0.0</v>
      </c>
      <c r="HG218" s="155">
        <v>0.0</v>
      </c>
      <c r="IL218" s="159">
        <v>0.0</v>
      </c>
      <c r="IM218" s="156">
        <v>0.0</v>
      </c>
      <c r="IN218" s="156">
        <v>0.0</v>
      </c>
      <c r="IO218" s="156">
        <v>0.0</v>
      </c>
      <c r="IP218" s="156">
        <v>0.0</v>
      </c>
      <c r="IQ218" s="160">
        <v>0.0</v>
      </c>
      <c r="JH218" s="25"/>
      <c r="JW218" s="159">
        <v>0.0</v>
      </c>
      <c r="JX218" s="156">
        <v>0.0</v>
      </c>
      <c r="JY218" s="156">
        <v>0.0</v>
      </c>
      <c r="JZ218" s="156">
        <v>0.0</v>
      </c>
      <c r="KA218" s="156">
        <v>0.0</v>
      </c>
      <c r="KB218" s="160">
        <v>0.0</v>
      </c>
      <c r="LH218" s="159">
        <f t="shared" si="10"/>
        <v>0</v>
      </c>
      <c r="LI218" s="156">
        <f t="shared" si="11"/>
        <v>0</v>
      </c>
      <c r="LJ218" s="156">
        <f t="shared" si="12"/>
        <v>0</v>
      </c>
      <c r="LK218" s="156">
        <f t="shared" si="13"/>
        <v>0</v>
      </c>
      <c r="LL218" s="156">
        <f t="shared" si="14"/>
        <v>0</v>
      </c>
      <c r="LM218" s="160">
        <f t="shared" si="15"/>
        <v>0</v>
      </c>
      <c r="QX218" s="107">
        <v>45870.0</v>
      </c>
    </row>
    <row r="219">
      <c r="A219" s="12"/>
      <c r="B219" s="12"/>
      <c r="C219" s="12"/>
      <c r="D219" s="12"/>
      <c r="E219" s="12"/>
      <c r="F219" s="12"/>
      <c r="G219" s="12"/>
      <c r="H219" s="12"/>
      <c r="I219" s="143">
        <f t="shared" si="5"/>
        <v>-17</v>
      </c>
      <c r="J219" s="144">
        <v>45885.0</v>
      </c>
      <c r="K219" s="145" t="s">
        <v>61</v>
      </c>
      <c r="L219" s="171">
        <v>46028.0</v>
      </c>
      <c r="M219" s="147" t="s">
        <v>400</v>
      </c>
      <c r="N219" s="148">
        <v>357.0</v>
      </c>
      <c r="O219" s="148">
        <v>30.0</v>
      </c>
      <c r="P219" s="26"/>
      <c r="Q219" s="26"/>
      <c r="R219" s="26"/>
      <c r="S219" s="26"/>
      <c r="T219" s="26"/>
      <c r="U219" s="147" t="s">
        <v>2704</v>
      </c>
      <c r="V219" s="149" t="s">
        <v>2705</v>
      </c>
      <c r="W219" s="198" t="s">
        <v>2706</v>
      </c>
      <c r="X219" s="181">
        <v>17.0</v>
      </c>
      <c r="Y219" s="166">
        <f t="shared" si="6"/>
        <v>17</v>
      </c>
      <c r="Z219" s="26">
        <f t="shared" si="7"/>
        <v>0</v>
      </c>
      <c r="AA219" s="26">
        <f t="shared" si="8"/>
        <v>0</v>
      </c>
      <c r="AB219" s="26">
        <f t="shared" si="9"/>
        <v>0</v>
      </c>
      <c r="AC219" s="155">
        <v>0.0</v>
      </c>
      <c r="AD219" s="155">
        <v>0.0</v>
      </c>
      <c r="AE219" s="155">
        <v>0.0</v>
      </c>
      <c r="AF219" s="155">
        <v>0.0</v>
      </c>
      <c r="AG219" s="155">
        <v>0.0</v>
      </c>
      <c r="AH219" s="155">
        <v>0.0</v>
      </c>
      <c r="AI219" s="167"/>
      <c r="AJ219" s="167"/>
      <c r="AK219" s="167"/>
      <c r="AL219" s="167"/>
      <c r="AM219" s="167"/>
      <c r="AN219" s="167"/>
      <c r="AO219" s="167"/>
      <c r="AP219" s="167"/>
      <c r="AQ219" s="167"/>
      <c r="AR219" s="167"/>
      <c r="AS219" s="167"/>
      <c r="AT219" s="167"/>
      <c r="AU219" s="167"/>
      <c r="AV219" s="167"/>
      <c r="AW219" s="167"/>
      <c r="AX219" s="167"/>
      <c r="AY219" s="167"/>
      <c r="AZ219" s="167"/>
      <c r="BA219" s="167"/>
      <c r="BB219" s="167"/>
      <c r="BC219" s="167"/>
      <c r="BD219" s="167"/>
      <c r="BE219" s="167"/>
      <c r="BF219" s="167"/>
      <c r="BG219" s="167"/>
      <c r="BH219" s="167"/>
      <c r="BI219" s="167"/>
      <c r="BJ219" s="167"/>
      <c r="BK219" s="167"/>
      <c r="BL219" s="167"/>
      <c r="BM219" s="167"/>
      <c r="BN219" s="155">
        <v>0.0</v>
      </c>
      <c r="BO219" s="155">
        <v>0.0</v>
      </c>
      <c r="BP219" s="155">
        <v>0.0</v>
      </c>
      <c r="BQ219" s="155">
        <v>0.0</v>
      </c>
      <c r="BR219" s="155">
        <v>0.0</v>
      </c>
      <c r="BS219" s="155">
        <v>0.0</v>
      </c>
      <c r="CV219" s="156">
        <v>0.0</v>
      </c>
      <c r="CW219" s="156">
        <v>0.0</v>
      </c>
      <c r="CX219" s="156">
        <v>0.0</v>
      </c>
      <c r="CY219" s="156">
        <v>0.0</v>
      </c>
      <c r="CZ219" s="156">
        <v>0.0</v>
      </c>
      <c r="DA219" s="156">
        <v>0.0</v>
      </c>
      <c r="EG219" s="156">
        <v>0.0</v>
      </c>
      <c r="EH219" s="156">
        <v>0.0</v>
      </c>
      <c r="EI219" s="156">
        <v>0.0</v>
      </c>
      <c r="EJ219" s="156">
        <v>0.0</v>
      </c>
      <c r="EK219" s="156">
        <v>0.0</v>
      </c>
      <c r="EL219" s="156">
        <v>0.0</v>
      </c>
      <c r="FQ219" s="156">
        <v>0.0</v>
      </c>
      <c r="FR219" s="156">
        <v>0.0</v>
      </c>
      <c r="FS219" s="156">
        <v>0.0</v>
      </c>
      <c r="FT219" s="156">
        <v>0.0</v>
      </c>
      <c r="FU219" s="156">
        <v>0.0</v>
      </c>
      <c r="FV219" s="156">
        <v>0.0</v>
      </c>
      <c r="FW219" s="157"/>
      <c r="FX219" s="157"/>
      <c r="FY219" s="157"/>
      <c r="FZ219" s="157"/>
      <c r="GA219" s="157"/>
      <c r="GB219" s="157"/>
      <c r="GC219" s="157"/>
      <c r="GD219" s="157"/>
      <c r="GE219" s="157"/>
      <c r="GF219" s="157"/>
      <c r="GG219" s="157"/>
      <c r="GH219" s="157"/>
      <c r="GI219" s="157"/>
      <c r="GJ219" s="157"/>
      <c r="GK219" s="157"/>
      <c r="GL219" s="157"/>
      <c r="GM219" s="157"/>
      <c r="GN219" s="157"/>
      <c r="GO219" s="157"/>
      <c r="GP219" s="158"/>
      <c r="GQ219" s="157"/>
      <c r="GR219" s="157"/>
      <c r="GS219" s="157"/>
      <c r="GT219" s="157"/>
      <c r="GU219" s="157"/>
      <c r="GV219" s="157"/>
      <c r="GW219" s="157"/>
      <c r="GX219" s="157"/>
      <c r="GY219" s="157"/>
      <c r="GZ219" s="157"/>
      <c r="HA219" s="157"/>
      <c r="HB219" s="155">
        <v>0.0</v>
      </c>
      <c r="HC219" s="155">
        <v>0.0</v>
      </c>
      <c r="HD219" s="155">
        <v>0.0</v>
      </c>
      <c r="HE219" s="155">
        <v>0.0</v>
      </c>
      <c r="HF219" s="155">
        <v>0.0</v>
      </c>
      <c r="HG219" s="155">
        <v>0.0</v>
      </c>
      <c r="IL219" s="159">
        <v>0.0</v>
      </c>
      <c r="IM219" s="156">
        <v>0.0</v>
      </c>
      <c r="IN219" s="156">
        <v>0.0</v>
      </c>
      <c r="IO219" s="156">
        <v>0.0</v>
      </c>
      <c r="IP219" s="156">
        <v>0.0</v>
      </c>
      <c r="IQ219" s="160">
        <v>0.0</v>
      </c>
      <c r="JH219" s="25"/>
      <c r="JW219" s="159">
        <v>0.0</v>
      </c>
      <c r="JX219" s="156">
        <v>0.0</v>
      </c>
      <c r="JY219" s="156">
        <v>0.0</v>
      </c>
      <c r="JZ219" s="156">
        <v>0.0</v>
      </c>
      <c r="KA219" s="156">
        <v>0.0</v>
      </c>
      <c r="KB219" s="160">
        <v>0.0</v>
      </c>
      <c r="LH219" s="159">
        <f t="shared" si="10"/>
        <v>0</v>
      </c>
      <c r="LI219" s="156">
        <f t="shared" si="11"/>
        <v>0</v>
      </c>
      <c r="LJ219" s="156">
        <f t="shared" si="12"/>
        <v>0</v>
      </c>
      <c r="LK219" s="156">
        <f t="shared" si="13"/>
        <v>0</v>
      </c>
      <c r="LL219" s="156">
        <f t="shared" si="14"/>
        <v>0</v>
      </c>
      <c r="LM219" s="160">
        <f t="shared" si="15"/>
        <v>0</v>
      </c>
      <c r="QX219" s="107">
        <v>45870.0</v>
      </c>
    </row>
    <row r="220">
      <c r="A220" s="12"/>
      <c r="B220" s="12"/>
      <c r="C220" s="12"/>
      <c r="D220" s="12"/>
      <c r="E220" s="12"/>
      <c r="F220" s="12"/>
      <c r="G220" s="12"/>
      <c r="H220" s="12"/>
      <c r="I220" s="143">
        <f t="shared" si="5"/>
        <v>-60</v>
      </c>
      <c r="J220" s="144">
        <v>45881.0</v>
      </c>
      <c r="K220" s="145" t="s">
        <v>61</v>
      </c>
      <c r="L220" s="171">
        <v>46085.0</v>
      </c>
      <c r="M220" s="147" t="s">
        <v>107</v>
      </c>
      <c r="N220" s="148">
        <v>357.0</v>
      </c>
      <c r="O220" s="148">
        <v>30.0</v>
      </c>
      <c r="P220" s="26"/>
      <c r="Q220" s="26"/>
      <c r="R220" s="26"/>
      <c r="S220" s="26"/>
      <c r="T220" s="26"/>
      <c r="U220" s="147" t="s">
        <v>2554</v>
      </c>
      <c r="V220" s="149" t="s">
        <v>2555</v>
      </c>
      <c r="W220" s="150" t="s">
        <v>2709</v>
      </c>
      <c r="X220" s="181">
        <v>48.0</v>
      </c>
      <c r="Y220" s="166">
        <f t="shared" si="6"/>
        <v>60</v>
      </c>
      <c r="Z220" s="26">
        <f t="shared" si="7"/>
        <v>0</v>
      </c>
      <c r="AA220" s="26">
        <f t="shared" si="8"/>
        <v>0</v>
      </c>
      <c r="AB220" s="26">
        <f t="shared" si="9"/>
        <v>0</v>
      </c>
      <c r="AC220" s="155">
        <v>6.0</v>
      </c>
      <c r="AD220" s="155">
        <v>0.0</v>
      </c>
      <c r="AE220" s="155">
        <v>0.0</v>
      </c>
      <c r="AF220" s="155">
        <v>0.0</v>
      </c>
      <c r="AG220" s="155">
        <v>0.0</v>
      </c>
      <c r="AH220" s="155">
        <v>0.0</v>
      </c>
      <c r="AI220" s="167"/>
      <c r="AJ220" s="167"/>
      <c r="AK220" s="167"/>
      <c r="AL220" s="167"/>
      <c r="AM220" s="167"/>
      <c r="AN220" s="167">
        <v>1.0</v>
      </c>
      <c r="AO220" s="167">
        <v>0.0</v>
      </c>
      <c r="AP220" s="167">
        <v>1.0</v>
      </c>
      <c r="AQ220" s="167"/>
      <c r="AR220" s="167"/>
      <c r="AS220" s="167"/>
      <c r="AT220" s="167"/>
      <c r="AU220" s="167"/>
      <c r="AV220" s="167"/>
      <c r="AW220" s="167"/>
      <c r="AX220" s="167"/>
      <c r="AY220" s="167">
        <v>1.0</v>
      </c>
      <c r="AZ220" s="167">
        <v>0.0</v>
      </c>
      <c r="BA220" s="167">
        <v>0.0</v>
      </c>
      <c r="BB220" s="167"/>
      <c r="BC220" s="167">
        <v>0.0</v>
      </c>
      <c r="BD220" s="167"/>
      <c r="BE220" s="167">
        <v>0.0</v>
      </c>
      <c r="BF220" s="167">
        <v>1.0</v>
      </c>
      <c r="BG220" s="167">
        <v>0.0</v>
      </c>
      <c r="BH220" s="167">
        <v>0.0</v>
      </c>
      <c r="BI220" s="167">
        <v>1.0</v>
      </c>
      <c r="BJ220" s="167">
        <v>0.0</v>
      </c>
      <c r="BK220" s="167">
        <v>1.0</v>
      </c>
      <c r="BL220" s="167">
        <v>0.0</v>
      </c>
      <c r="BM220" s="167"/>
      <c r="BN220" s="155">
        <v>5.0</v>
      </c>
      <c r="BO220" s="155">
        <v>0.0</v>
      </c>
      <c r="BP220" s="155">
        <v>0.0</v>
      </c>
      <c r="BQ220" s="155">
        <v>0.0</v>
      </c>
      <c r="BR220" s="155">
        <v>0.0</v>
      </c>
      <c r="BS220" s="155">
        <v>0.0</v>
      </c>
      <c r="BT220" s="167">
        <v>0.0</v>
      </c>
      <c r="BU220" s="167">
        <v>0.0</v>
      </c>
      <c r="BV220" s="167">
        <v>1.0</v>
      </c>
      <c r="BW220" s="167"/>
      <c r="BX220" s="167"/>
      <c r="BY220" s="167">
        <v>0.0</v>
      </c>
      <c r="BZ220" s="167">
        <v>1.0</v>
      </c>
      <c r="CA220" s="167"/>
      <c r="CB220" s="167"/>
      <c r="CC220" s="167"/>
      <c r="CD220" s="167">
        <v>0.0</v>
      </c>
      <c r="CE220" s="167">
        <v>1.0</v>
      </c>
      <c r="CF220" s="167"/>
      <c r="CG220" s="167"/>
      <c r="CH220" s="167"/>
      <c r="CI220" s="167"/>
      <c r="CJ220" s="167"/>
      <c r="CK220" s="167"/>
      <c r="CL220" s="167"/>
      <c r="CM220" s="167"/>
      <c r="CN220" s="167"/>
      <c r="CO220" s="167"/>
      <c r="CP220" s="167"/>
      <c r="CQ220" s="167"/>
      <c r="CR220" s="167"/>
      <c r="CS220" s="167">
        <v>1.0</v>
      </c>
      <c r="CT220" s="167">
        <v>0.0</v>
      </c>
      <c r="CU220" s="167">
        <v>1.0</v>
      </c>
      <c r="CV220" s="156">
        <v>1.0</v>
      </c>
      <c r="CW220" s="156">
        <v>0.0</v>
      </c>
      <c r="CX220" s="156">
        <v>0.0</v>
      </c>
      <c r="CY220" s="156">
        <v>0.0</v>
      </c>
      <c r="CZ220" s="156">
        <v>0.0</v>
      </c>
      <c r="DA220" s="156">
        <v>0.0</v>
      </c>
      <c r="DB220" s="395">
        <v>0.0</v>
      </c>
      <c r="DC220" s="395">
        <v>0.0</v>
      </c>
      <c r="DD220" s="395">
        <v>1.0</v>
      </c>
      <c r="DE220" s="395"/>
      <c r="DF220" s="395"/>
      <c r="DG220" s="395"/>
      <c r="DH220" s="395"/>
      <c r="DI220" s="395"/>
      <c r="DJ220" s="395"/>
      <c r="DK220" s="395"/>
      <c r="DL220" s="395"/>
      <c r="DM220" s="395"/>
      <c r="DN220" s="395"/>
      <c r="DO220" s="395"/>
      <c r="DP220" s="395"/>
      <c r="DQ220" s="395"/>
      <c r="DR220" s="395"/>
      <c r="DS220" s="395"/>
      <c r="DT220" s="395"/>
      <c r="DU220" s="395"/>
      <c r="DV220" s="395"/>
      <c r="DW220" s="395"/>
      <c r="DX220" s="395"/>
      <c r="DY220" s="395"/>
      <c r="DZ220" s="395"/>
      <c r="EA220" s="395"/>
      <c r="EB220" s="395"/>
      <c r="EC220" s="395"/>
      <c r="ED220" s="395"/>
      <c r="EE220" s="395"/>
      <c r="EF220" s="395"/>
      <c r="EG220" s="156">
        <v>0.0</v>
      </c>
      <c r="EH220" s="156">
        <v>0.0</v>
      </c>
      <c r="EI220" s="156">
        <v>0.0</v>
      </c>
      <c r="EJ220" s="156">
        <v>0.0</v>
      </c>
      <c r="EK220" s="156">
        <v>0.0</v>
      </c>
      <c r="EL220" s="156">
        <v>0.0</v>
      </c>
      <c r="FQ220" s="156">
        <v>0.0</v>
      </c>
      <c r="FR220" s="156">
        <v>0.0</v>
      </c>
      <c r="FS220" s="156">
        <v>0.0</v>
      </c>
      <c r="FT220" s="156">
        <v>0.0</v>
      </c>
      <c r="FU220" s="156">
        <v>0.0</v>
      </c>
      <c r="FV220" s="156">
        <v>0.0</v>
      </c>
      <c r="FW220" s="157"/>
      <c r="FX220" s="157"/>
      <c r="FY220" s="157"/>
      <c r="FZ220" s="157"/>
      <c r="GA220" s="157"/>
      <c r="GB220" s="157"/>
      <c r="GC220" s="157"/>
      <c r="GD220" s="157"/>
      <c r="GE220" s="157"/>
      <c r="GF220" s="157"/>
      <c r="GG220" s="157"/>
      <c r="GH220" s="157"/>
      <c r="GI220" s="157"/>
      <c r="GJ220" s="157"/>
      <c r="GK220" s="157"/>
      <c r="GL220" s="157"/>
      <c r="GM220" s="157"/>
      <c r="GN220" s="157"/>
      <c r="GO220" s="157"/>
      <c r="GP220" s="158"/>
      <c r="GQ220" s="157"/>
      <c r="GR220" s="157"/>
      <c r="GS220" s="157"/>
      <c r="GT220" s="157"/>
      <c r="GU220" s="157"/>
      <c r="GV220" s="157"/>
      <c r="GW220" s="157"/>
      <c r="GX220" s="157"/>
      <c r="GY220" s="157"/>
      <c r="GZ220" s="157"/>
      <c r="HA220" s="157"/>
      <c r="HB220" s="155">
        <v>0.0</v>
      </c>
      <c r="HC220" s="155">
        <v>0.0</v>
      </c>
      <c r="HD220" s="155">
        <v>0.0</v>
      </c>
      <c r="HE220" s="155">
        <v>0.0</v>
      </c>
      <c r="HF220" s="155">
        <v>0.0</v>
      </c>
      <c r="HG220" s="155">
        <v>0.0</v>
      </c>
      <c r="IL220" s="159">
        <v>0.0</v>
      </c>
      <c r="IM220" s="156">
        <v>0.0</v>
      </c>
      <c r="IN220" s="156">
        <v>0.0</v>
      </c>
      <c r="IO220" s="156">
        <v>0.0</v>
      </c>
      <c r="IP220" s="156">
        <v>0.0</v>
      </c>
      <c r="IQ220" s="160">
        <v>0.0</v>
      </c>
      <c r="JH220" s="25"/>
      <c r="JW220" s="159">
        <v>0.0</v>
      </c>
      <c r="JX220" s="156">
        <v>0.0</v>
      </c>
      <c r="JY220" s="156">
        <v>0.0</v>
      </c>
      <c r="JZ220" s="156">
        <v>0.0</v>
      </c>
      <c r="KA220" s="156">
        <v>0.0</v>
      </c>
      <c r="KB220" s="160">
        <v>0.0</v>
      </c>
      <c r="LH220" s="159">
        <f t="shared" si="10"/>
        <v>0</v>
      </c>
      <c r="LI220" s="156">
        <f t="shared" si="11"/>
        <v>0</v>
      </c>
      <c r="LJ220" s="156">
        <f t="shared" si="12"/>
        <v>0</v>
      </c>
      <c r="LK220" s="156">
        <f t="shared" si="13"/>
        <v>0</v>
      </c>
      <c r="LL220" s="156">
        <f t="shared" si="14"/>
        <v>0</v>
      </c>
      <c r="LM220" s="160">
        <f t="shared" si="15"/>
        <v>0</v>
      </c>
      <c r="QX220" s="107">
        <v>45870.0</v>
      </c>
    </row>
    <row r="221">
      <c r="A221" s="12"/>
      <c r="B221" s="12"/>
      <c r="C221" s="12"/>
      <c r="D221" s="12"/>
      <c r="E221" s="12"/>
      <c r="F221" s="12"/>
      <c r="G221" s="12"/>
      <c r="H221" s="12"/>
      <c r="I221" s="143">
        <f t="shared" si="5"/>
        <v>-60</v>
      </c>
      <c r="J221" s="144">
        <v>45873.0</v>
      </c>
      <c r="K221" s="173" t="s">
        <v>61</v>
      </c>
      <c r="L221" s="144">
        <v>46015.0</v>
      </c>
      <c r="M221" s="147" t="s">
        <v>107</v>
      </c>
      <c r="N221" s="148">
        <v>246.0</v>
      </c>
      <c r="O221" s="148">
        <v>30.0</v>
      </c>
      <c r="P221" s="26"/>
      <c r="Q221" s="26"/>
      <c r="R221" s="26"/>
      <c r="S221" s="26"/>
      <c r="T221" s="26"/>
      <c r="U221" s="147" t="s">
        <v>1259</v>
      </c>
      <c r="V221" s="149" t="s">
        <v>732</v>
      </c>
      <c r="W221" s="150" t="s">
        <v>2710</v>
      </c>
      <c r="X221" s="181">
        <v>60.0</v>
      </c>
      <c r="Y221" s="166">
        <f t="shared" si="6"/>
        <v>60</v>
      </c>
      <c r="Z221" s="26">
        <f t="shared" si="7"/>
        <v>0</v>
      </c>
      <c r="AA221" s="26">
        <f t="shared" si="8"/>
        <v>0</v>
      </c>
      <c r="AB221" s="26">
        <f t="shared" si="9"/>
        <v>0</v>
      </c>
      <c r="AC221" s="155">
        <v>0.0</v>
      </c>
      <c r="AD221" s="155">
        <v>0.0</v>
      </c>
      <c r="AE221" s="155">
        <v>0.0</v>
      </c>
      <c r="AF221" s="155">
        <v>0.0</v>
      </c>
      <c r="AG221" s="155">
        <v>0.0</v>
      </c>
      <c r="AH221" s="155">
        <v>0.0</v>
      </c>
      <c r="BN221" s="155">
        <v>0.0</v>
      </c>
      <c r="BO221" s="155">
        <v>0.0</v>
      </c>
      <c r="BP221" s="155">
        <v>0.0</v>
      </c>
      <c r="BQ221" s="155">
        <v>0.0</v>
      </c>
      <c r="BR221" s="155">
        <v>0.0</v>
      </c>
      <c r="BS221" s="155">
        <v>0.0</v>
      </c>
      <c r="CV221" s="156">
        <v>0.0</v>
      </c>
      <c r="CW221" s="156">
        <v>0.0</v>
      </c>
      <c r="CX221" s="156">
        <v>0.0</v>
      </c>
      <c r="CY221" s="156">
        <v>0.0</v>
      </c>
      <c r="CZ221" s="156">
        <v>0.0</v>
      </c>
      <c r="DA221" s="156">
        <v>0.0</v>
      </c>
      <c r="EG221" s="156">
        <v>0.0</v>
      </c>
      <c r="EH221" s="156">
        <v>0.0</v>
      </c>
      <c r="EI221" s="156">
        <v>0.0</v>
      </c>
      <c r="EJ221" s="156">
        <v>0.0</v>
      </c>
      <c r="EK221" s="156">
        <v>0.0</v>
      </c>
      <c r="EL221" s="156">
        <v>0.0</v>
      </c>
      <c r="FQ221" s="156">
        <v>0.0</v>
      </c>
      <c r="FR221" s="156">
        <v>0.0</v>
      </c>
      <c r="FS221" s="156">
        <v>0.0</v>
      </c>
      <c r="FT221" s="156">
        <v>0.0</v>
      </c>
      <c r="FU221" s="156">
        <v>0.0</v>
      </c>
      <c r="FV221" s="156">
        <v>0.0</v>
      </c>
      <c r="FW221" s="157"/>
      <c r="FX221" s="157"/>
      <c r="FY221" s="157"/>
      <c r="FZ221" s="157"/>
      <c r="GA221" s="157"/>
      <c r="GB221" s="157"/>
      <c r="GC221" s="157"/>
      <c r="GD221" s="157"/>
      <c r="GE221" s="157"/>
      <c r="GF221" s="157"/>
      <c r="GG221" s="157"/>
      <c r="GH221" s="157"/>
      <c r="GI221" s="157"/>
      <c r="GJ221" s="157"/>
      <c r="GK221" s="157"/>
      <c r="GL221" s="157"/>
      <c r="GM221" s="157"/>
      <c r="GN221" s="157"/>
      <c r="GO221" s="157"/>
      <c r="GP221" s="158"/>
      <c r="GQ221" s="157"/>
      <c r="GR221" s="157"/>
      <c r="GS221" s="157"/>
      <c r="GT221" s="157"/>
      <c r="GU221" s="157"/>
      <c r="GV221" s="157"/>
      <c r="GW221" s="157"/>
      <c r="GX221" s="157"/>
      <c r="GY221" s="157"/>
      <c r="GZ221" s="157"/>
      <c r="HA221" s="157"/>
      <c r="HB221" s="155">
        <v>0.0</v>
      </c>
      <c r="HC221" s="155">
        <v>0.0</v>
      </c>
      <c r="HD221" s="155">
        <v>0.0</v>
      </c>
      <c r="HE221" s="155">
        <v>0.0</v>
      </c>
      <c r="HF221" s="155">
        <v>0.0</v>
      </c>
      <c r="HG221" s="155">
        <v>0.0</v>
      </c>
      <c r="IL221" s="159">
        <v>0.0</v>
      </c>
      <c r="IM221" s="156">
        <v>0.0</v>
      </c>
      <c r="IN221" s="156">
        <v>0.0</v>
      </c>
      <c r="IO221" s="156">
        <v>0.0</v>
      </c>
      <c r="IP221" s="156">
        <v>0.0</v>
      </c>
      <c r="IQ221" s="160">
        <v>0.0</v>
      </c>
      <c r="JH221" s="25"/>
      <c r="JW221" s="159">
        <v>0.0</v>
      </c>
      <c r="JX221" s="156">
        <v>0.0</v>
      </c>
      <c r="JY221" s="156">
        <v>0.0</v>
      </c>
      <c r="JZ221" s="156">
        <v>0.0</v>
      </c>
      <c r="KA221" s="156">
        <v>0.0</v>
      </c>
      <c r="KB221" s="160">
        <v>0.0</v>
      </c>
      <c r="LH221" s="159">
        <f t="shared" si="10"/>
        <v>0</v>
      </c>
      <c r="LI221" s="156">
        <f t="shared" si="11"/>
        <v>0</v>
      </c>
      <c r="LJ221" s="156">
        <f t="shared" si="12"/>
        <v>0</v>
      </c>
      <c r="LK221" s="156">
        <f t="shared" si="13"/>
        <v>0</v>
      </c>
      <c r="LL221" s="156">
        <f t="shared" si="14"/>
        <v>0</v>
      </c>
      <c r="LM221" s="160">
        <f t="shared" si="15"/>
        <v>0</v>
      </c>
      <c r="QX221" s="107">
        <v>45870.0</v>
      </c>
    </row>
    <row r="222">
      <c r="A222" s="12"/>
      <c r="B222" s="12"/>
      <c r="C222" s="12"/>
      <c r="D222" s="12"/>
      <c r="E222" s="12"/>
      <c r="F222" s="12"/>
      <c r="G222" s="12"/>
      <c r="H222" s="12"/>
      <c r="I222" s="143">
        <f t="shared" si="5"/>
        <v>-30</v>
      </c>
      <c r="J222" s="144">
        <v>45882.0</v>
      </c>
      <c r="K222" s="173" t="s">
        <v>61</v>
      </c>
      <c r="L222" s="144">
        <v>45966.0</v>
      </c>
      <c r="M222" s="147" t="s">
        <v>107</v>
      </c>
      <c r="N222" s="148">
        <v>246.0</v>
      </c>
      <c r="O222" s="148">
        <v>30.0</v>
      </c>
      <c r="P222" s="26"/>
      <c r="Q222" s="26"/>
      <c r="R222" s="26"/>
      <c r="S222" s="26"/>
      <c r="T222" s="26"/>
      <c r="U222" s="147" t="s">
        <v>800</v>
      </c>
      <c r="V222" s="149" t="s">
        <v>1616</v>
      </c>
      <c r="W222" s="150" t="s">
        <v>2711</v>
      </c>
      <c r="X222" s="181">
        <v>30.0</v>
      </c>
      <c r="Y222" s="166">
        <f t="shared" si="6"/>
        <v>30</v>
      </c>
      <c r="Z222" s="26">
        <f t="shared" si="7"/>
        <v>0</v>
      </c>
      <c r="AA222" s="26">
        <f t="shared" si="8"/>
        <v>0</v>
      </c>
      <c r="AB222" s="26">
        <f t="shared" si="9"/>
        <v>0</v>
      </c>
      <c r="AC222" s="155">
        <v>0.0</v>
      </c>
      <c r="AD222" s="155">
        <v>0.0</v>
      </c>
      <c r="AE222" s="155">
        <v>0.0</v>
      </c>
      <c r="AF222" s="155">
        <v>0.0</v>
      </c>
      <c r="AG222" s="155">
        <v>0.0</v>
      </c>
      <c r="AH222" s="155">
        <v>0.0</v>
      </c>
      <c r="BN222" s="155">
        <v>0.0</v>
      </c>
      <c r="BO222" s="155">
        <v>0.0</v>
      </c>
      <c r="BP222" s="155">
        <v>0.0</v>
      </c>
      <c r="BQ222" s="155">
        <v>0.0</v>
      </c>
      <c r="BR222" s="155">
        <v>0.0</v>
      </c>
      <c r="BS222" s="155">
        <v>0.0</v>
      </c>
      <c r="CV222" s="156">
        <v>0.0</v>
      </c>
      <c r="CW222" s="156">
        <v>0.0</v>
      </c>
      <c r="CX222" s="156">
        <v>0.0</v>
      </c>
      <c r="CY222" s="156">
        <v>0.0</v>
      </c>
      <c r="CZ222" s="156">
        <v>0.0</v>
      </c>
      <c r="DA222" s="156">
        <v>0.0</v>
      </c>
      <c r="EG222" s="156">
        <v>0.0</v>
      </c>
      <c r="EH222" s="156">
        <v>0.0</v>
      </c>
      <c r="EI222" s="156">
        <v>0.0</v>
      </c>
      <c r="EJ222" s="156">
        <v>0.0</v>
      </c>
      <c r="EK222" s="156">
        <v>0.0</v>
      </c>
      <c r="EL222" s="156">
        <v>0.0</v>
      </c>
      <c r="FQ222" s="156">
        <v>0.0</v>
      </c>
      <c r="FR222" s="156">
        <v>0.0</v>
      </c>
      <c r="FS222" s="156">
        <v>0.0</v>
      </c>
      <c r="FT222" s="156">
        <v>0.0</v>
      </c>
      <c r="FU222" s="156">
        <v>0.0</v>
      </c>
      <c r="FV222" s="156">
        <v>0.0</v>
      </c>
      <c r="FW222" s="157"/>
      <c r="FX222" s="157"/>
      <c r="FY222" s="157"/>
      <c r="FZ222" s="157"/>
      <c r="GA222" s="157"/>
      <c r="GB222" s="157"/>
      <c r="GC222" s="157"/>
      <c r="GD222" s="157"/>
      <c r="GE222" s="157"/>
      <c r="GF222" s="157"/>
      <c r="GG222" s="157"/>
      <c r="GH222" s="157"/>
      <c r="GI222" s="157"/>
      <c r="GJ222" s="157"/>
      <c r="GK222" s="157"/>
      <c r="GL222" s="157"/>
      <c r="GM222" s="157"/>
      <c r="GN222" s="157"/>
      <c r="GO222" s="157"/>
      <c r="GP222" s="158"/>
      <c r="GQ222" s="157"/>
      <c r="GR222" s="157"/>
      <c r="GS222" s="157"/>
      <c r="GT222" s="157"/>
      <c r="GU222" s="157"/>
      <c r="GV222" s="157"/>
      <c r="GW222" s="157"/>
      <c r="GX222" s="157"/>
      <c r="GY222" s="157"/>
      <c r="GZ222" s="157"/>
      <c r="HA222" s="157"/>
      <c r="HB222" s="155">
        <v>0.0</v>
      </c>
      <c r="HC222" s="155">
        <v>0.0</v>
      </c>
      <c r="HD222" s="155">
        <v>0.0</v>
      </c>
      <c r="HE222" s="155">
        <v>0.0</v>
      </c>
      <c r="HF222" s="155">
        <v>0.0</v>
      </c>
      <c r="HG222" s="155">
        <v>0.0</v>
      </c>
      <c r="IL222" s="159">
        <v>0.0</v>
      </c>
      <c r="IM222" s="156">
        <v>0.0</v>
      </c>
      <c r="IN222" s="156">
        <v>0.0</v>
      </c>
      <c r="IO222" s="156">
        <v>0.0</v>
      </c>
      <c r="IP222" s="156">
        <v>0.0</v>
      </c>
      <c r="IQ222" s="160">
        <v>0.0</v>
      </c>
      <c r="JH222" s="25"/>
      <c r="JW222" s="159">
        <v>0.0</v>
      </c>
      <c r="JX222" s="156">
        <v>0.0</v>
      </c>
      <c r="JY222" s="156">
        <v>0.0</v>
      </c>
      <c r="JZ222" s="156">
        <v>0.0</v>
      </c>
      <c r="KA222" s="156">
        <v>0.0</v>
      </c>
      <c r="KB222" s="160">
        <v>0.0</v>
      </c>
      <c r="LH222" s="159">
        <f t="shared" si="10"/>
        <v>0</v>
      </c>
      <c r="LI222" s="156">
        <f t="shared" si="11"/>
        <v>0</v>
      </c>
      <c r="LJ222" s="156">
        <f t="shared" si="12"/>
        <v>0</v>
      </c>
      <c r="LK222" s="156">
        <f t="shared" si="13"/>
        <v>0</v>
      </c>
      <c r="LL222" s="156">
        <f t="shared" si="14"/>
        <v>0</v>
      </c>
      <c r="LM222" s="160">
        <f t="shared" si="15"/>
        <v>0</v>
      </c>
      <c r="QX222" s="107">
        <v>45870.0</v>
      </c>
    </row>
    <row r="223">
      <c r="A223" s="12"/>
      <c r="B223" s="12"/>
      <c r="C223" s="12"/>
      <c r="D223" s="12"/>
      <c r="E223" s="12"/>
      <c r="F223" s="12"/>
      <c r="G223" s="12"/>
      <c r="H223" s="12"/>
      <c r="I223" s="143">
        <f t="shared" si="5"/>
        <v>-28</v>
      </c>
      <c r="J223" s="144">
        <v>45876.0</v>
      </c>
      <c r="K223" s="164" t="s">
        <v>61</v>
      </c>
      <c r="L223" s="171">
        <v>46151.0</v>
      </c>
      <c r="M223" s="147" t="s">
        <v>228</v>
      </c>
      <c r="N223" s="148">
        <v>357.0</v>
      </c>
      <c r="O223" s="148">
        <v>30.0</v>
      </c>
      <c r="P223" s="26"/>
      <c r="Q223" s="26"/>
      <c r="R223" s="26"/>
      <c r="S223" s="26"/>
      <c r="T223" s="26"/>
      <c r="U223" s="147" t="s">
        <v>2573</v>
      </c>
      <c r="V223" s="149" t="s">
        <v>2574</v>
      </c>
      <c r="W223" s="198" t="s">
        <v>2713</v>
      </c>
      <c r="X223" s="181">
        <v>22.0</v>
      </c>
      <c r="Y223" s="166">
        <f t="shared" si="6"/>
        <v>28</v>
      </c>
      <c r="Z223" s="26">
        <f t="shared" si="7"/>
        <v>0</v>
      </c>
      <c r="AA223" s="26">
        <f t="shared" si="8"/>
        <v>2</v>
      </c>
      <c r="AB223" s="26">
        <f t="shared" si="9"/>
        <v>0</v>
      </c>
      <c r="AC223" s="155">
        <v>6.0</v>
      </c>
      <c r="AD223" s="155">
        <v>0.0</v>
      </c>
      <c r="AE223" s="155">
        <v>0.0</v>
      </c>
      <c r="AF223" s="155">
        <v>2.0</v>
      </c>
      <c r="AG223" s="155">
        <v>0.0</v>
      </c>
      <c r="AH223" s="155">
        <v>0.0</v>
      </c>
      <c r="AI223" s="167"/>
      <c r="AJ223" s="167"/>
      <c r="AK223" s="167"/>
      <c r="AL223" s="167"/>
      <c r="AM223" s="167"/>
      <c r="AN223" s="168" t="s">
        <v>947</v>
      </c>
      <c r="AO223" s="167"/>
      <c r="AP223" s="167"/>
      <c r="AQ223" s="167"/>
      <c r="AR223" s="167">
        <v>1.0</v>
      </c>
      <c r="AS223" s="167">
        <v>0.0</v>
      </c>
      <c r="AT223" s="167">
        <v>0.0</v>
      </c>
      <c r="AU223" s="167">
        <v>1.0</v>
      </c>
      <c r="AV223" s="167"/>
      <c r="AW223" s="168">
        <v>1.0</v>
      </c>
      <c r="AX223" s="167"/>
      <c r="AY223" s="167"/>
      <c r="AZ223" s="167"/>
      <c r="BA223" s="167"/>
      <c r="BB223" s="167">
        <v>1.0</v>
      </c>
      <c r="BC223" s="167"/>
      <c r="BD223" s="167"/>
      <c r="BE223" s="167"/>
      <c r="BF223" s="167"/>
      <c r="BG223" s="167"/>
      <c r="BH223" s="167"/>
      <c r="BI223" s="168" t="s">
        <v>947</v>
      </c>
      <c r="BJ223" s="167"/>
      <c r="BK223" s="167"/>
      <c r="BL223" s="167"/>
      <c r="BM223" s="167"/>
      <c r="BN223" s="155">
        <v>0.0</v>
      </c>
      <c r="BO223" s="155">
        <v>0.0</v>
      </c>
      <c r="BP223" s="155">
        <v>0.0</v>
      </c>
      <c r="BQ223" s="155">
        <v>0.0</v>
      </c>
      <c r="BR223" s="155">
        <v>0.0</v>
      </c>
      <c r="BS223" s="155">
        <v>0.0</v>
      </c>
      <c r="BT223" s="167"/>
      <c r="BU223" s="167"/>
      <c r="BV223" s="167"/>
      <c r="BW223" s="167"/>
      <c r="BX223" s="167"/>
      <c r="BY223" s="167"/>
      <c r="BZ223" s="167"/>
      <c r="CA223" s="167"/>
      <c r="CB223" s="167"/>
      <c r="CC223" s="167"/>
      <c r="CD223" s="167"/>
      <c r="CE223" s="167"/>
      <c r="CF223" s="167"/>
      <c r="CG223" s="167"/>
      <c r="CH223" s="167"/>
      <c r="CI223" s="167"/>
      <c r="CJ223" s="167"/>
      <c r="CK223" s="167"/>
      <c r="CL223" s="167"/>
      <c r="CM223" s="167"/>
      <c r="CN223" s="167"/>
      <c r="CO223" s="167"/>
      <c r="CP223" s="167"/>
      <c r="CQ223" s="167"/>
      <c r="CR223" s="167"/>
      <c r="CS223" s="167"/>
      <c r="CT223" s="167"/>
      <c r="CU223" s="167"/>
      <c r="CV223" s="156">
        <v>0.0</v>
      </c>
      <c r="CW223" s="156">
        <v>0.0</v>
      </c>
      <c r="CX223" s="156">
        <v>0.0</v>
      </c>
      <c r="CY223" s="156">
        <v>0.0</v>
      </c>
      <c r="CZ223" s="156">
        <v>0.0</v>
      </c>
      <c r="DA223" s="156">
        <v>0.0</v>
      </c>
      <c r="DB223" s="395"/>
      <c r="DC223" s="395"/>
      <c r="DD223" s="395"/>
      <c r="DE223" s="395"/>
      <c r="DF223" s="395"/>
      <c r="DG223" s="395"/>
      <c r="DH223" s="395"/>
      <c r="DI223" s="395"/>
      <c r="DJ223" s="395"/>
      <c r="DK223" s="395"/>
      <c r="DL223" s="395"/>
      <c r="DM223" s="395"/>
      <c r="DN223" s="395"/>
      <c r="DO223" s="395"/>
      <c r="DP223" s="395"/>
      <c r="DQ223" s="395"/>
      <c r="DR223" s="395"/>
      <c r="DS223" s="395"/>
      <c r="DT223" s="395"/>
      <c r="DU223" s="395"/>
      <c r="DV223" s="395"/>
      <c r="DW223" s="395"/>
      <c r="DX223" s="395"/>
      <c r="DY223" s="395"/>
      <c r="DZ223" s="395"/>
      <c r="EA223" s="395"/>
      <c r="EB223" s="395"/>
      <c r="EC223" s="395"/>
      <c r="ED223" s="395"/>
      <c r="EE223" s="395"/>
      <c r="EF223" s="395"/>
      <c r="EG223" s="156">
        <v>0.0</v>
      </c>
      <c r="EH223" s="156">
        <v>0.0</v>
      </c>
      <c r="EI223" s="156">
        <v>0.0</v>
      </c>
      <c r="EJ223" s="156">
        <v>0.0</v>
      </c>
      <c r="EK223" s="156">
        <v>0.0</v>
      </c>
      <c r="EL223" s="156">
        <v>0.0</v>
      </c>
      <c r="FQ223" s="156">
        <v>0.0</v>
      </c>
      <c r="FR223" s="156">
        <v>0.0</v>
      </c>
      <c r="FS223" s="156">
        <v>0.0</v>
      </c>
      <c r="FT223" s="156">
        <v>0.0</v>
      </c>
      <c r="FU223" s="156">
        <v>0.0</v>
      </c>
      <c r="FV223" s="156">
        <v>0.0</v>
      </c>
      <c r="FW223" s="157"/>
      <c r="FX223" s="157"/>
      <c r="FY223" s="157"/>
      <c r="FZ223" s="157"/>
      <c r="GA223" s="157"/>
      <c r="GB223" s="157"/>
      <c r="GC223" s="157"/>
      <c r="GD223" s="157"/>
      <c r="GE223" s="157"/>
      <c r="GF223" s="157"/>
      <c r="GG223" s="157"/>
      <c r="GH223" s="157"/>
      <c r="GI223" s="157"/>
      <c r="GJ223" s="157"/>
      <c r="GK223" s="157"/>
      <c r="GL223" s="157"/>
      <c r="GM223" s="157"/>
      <c r="GN223" s="157"/>
      <c r="GO223" s="157"/>
      <c r="GP223" s="158"/>
      <c r="GQ223" s="157"/>
      <c r="GR223" s="157"/>
      <c r="GS223" s="157"/>
      <c r="GT223" s="157"/>
      <c r="GU223" s="157"/>
      <c r="GV223" s="157"/>
      <c r="GW223" s="157"/>
      <c r="GX223" s="157"/>
      <c r="GY223" s="157"/>
      <c r="GZ223" s="157"/>
      <c r="HA223" s="157"/>
      <c r="HB223" s="155">
        <v>0.0</v>
      </c>
      <c r="HC223" s="155">
        <v>0.0</v>
      </c>
      <c r="HD223" s="155">
        <v>0.0</v>
      </c>
      <c r="HE223" s="155">
        <v>0.0</v>
      </c>
      <c r="HF223" s="155">
        <v>0.0</v>
      </c>
      <c r="HG223" s="155">
        <v>0.0</v>
      </c>
      <c r="IL223" s="159">
        <v>0.0</v>
      </c>
      <c r="IM223" s="156">
        <v>0.0</v>
      </c>
      <c r="IN223" s="156">
        <v>0.0</v>
      </c>
      <c r="IO223" s="156">
        <v>0.0</v>
      </c>
      <c r="IP223" s="156">
        <v>0.0</v>
      </c>
      <c r="IQ223" s="160">
        <v>0.0</v>
      </c>
      <c r="JH223" s="25"/>
      <c r="JW223" s="159">
        <v>0.0</v>
      </c>
      <c r="JX223" s="156">
        <v>0.0</v>
      </c>
      <c r="JY223" s="156">
        <v>0.0</v>
      </c>
      <c r="JZ223" s="156">
        <v>0.0</v>
      </c>
      <c r="KA223" s="156">
        <v>0.0</v>
      </c>
      <c r="KB223" s="160">
        <v>0.0</v>
      </c>
      <c r="LH223" s="159">
        <f t="shared" si="10"/>
        <v>0</v>
      </c>
      <c r="LI223" s="156">
        <f t="shared" si="11"/>
        <v>0</v>
      </c>
      <c r="LJ223" s="156">
        <f t="shared" si="12"/>
        <v>0</v>
      </c>
      <c r="LK223" s="156">
        <f t="shared" si="13"/>
        <v>0</v>
      </c>
      <c r="LL223" s="156">
        <f t="shared" si="14"/>
        <v>0</v>
      </c>
      <c r="LM223" s="160">
        <f t="shared" si="15"/>
        <v>0</v>
      </c>
      <c r="QX223" s="107">
        <v>45870.0</v>
      </c>
    </row>
    <row r="224">
      <c r="A224" s="12"/>
      <c r="B224" s="12"/>
      <c r="C224" s="12"/>
      <c r="D224" s="12"/>
      <c r="E224" s="12"/>
      <c r="F224" s="12"/>
      <c r="G224" s="12"/>
      <c r="H224" s="12"/>
      <c r="I224" s="143">
        <f t="shared" si="5"/>
        <v>-15</v>
      </c>
      <c r="J224" s="144">
        <v>45873.0</v>
      </c>
      <c r="K224" s="171" t="s">
        <v>61</v>
      </c>
      <c r="L224" s="144">
        <v>45943.0</v>
      </c>
      <c r="M224" s="147" t="s">
        <v>400</v>
      </c>
      <c r="N224" s="148">
        <v>36.0</v>
      </c>
      <c r="O224" s="148">
        <v>30.0</v>
      </c>
      <c r="P224" s="26"/>
      <c r="Q224" s="26"/>
      <c r="R224" s="26"/>
      <c r="S224" s="26"/>
      <c r="T224" s="26"/>
      <c r="U224" s="147" t="s">
        <v>1275</v>
      </c>
      <c r="V224" s="197"/>
      <c r="W224" s="198" t="s">
        <v>2717</v>
      </c>
      <c r="X224" s="181">
        <v>15.0</v>
      </c>
      <c r="Y224" s="166">
        <f t="shared" si="6"/>
        <v>15</v>
      </c>
      <c r="Z224" s="26">
        <f t="shared" si="7"/>
        <v>0</v>
      </c>
      <c r="AA224" s="26">
        <f t="shared" si="8"/>
        <v>0</v>
      </c>
      <c r="AB224" s="26">
        <f t="shared" si="9"/>
        <v>0</v>
      </c>
      <c r="AC224" s="155">
        <v>0.0</v>
      </c>
      <c r="AD224" s="155">
        <v>0.0</v>
      </c>
      <c r="AE224" s="155">
        <v>0.0</v>
      </c>
      <c r="AF224" s="155">
        <v>0.0</v>
      </c>
      <c r="AG224" s="155">
        <v>0.0</v>
      </c>
      <c r="AH224" s="155">
        <v>0.0</v>
      </c>
      <c r="BN224" s="155">
        <v>0.0</v>
      </c>
      <c r="BO224" s="155">
        <v>0.0</v>
      </c>
      <c r="BP224" s="155">
        <v>0.0</v>
      </c>
      <c r="BQ224" s="155">
        <v>0.0</v>
      </c>
      <c r="BR224" s="155">
        <v>0.0</v>
      </c>
      <c r="BS224" s="155">
        <v>0.0</v>
      </c>
      <c r="CV224" s="156">
        <v>0.0</v>
      </c>
      <c r="CW224" s="156">
        <v>0.0</v>
      </c>
      <c r="CX224" s="156">
        <v>0.0</v>
      </c>
      <c r="CY224" s="156">
        <v>0.0</v>
      </c>
      <c r="CZ224" s="156">
        <v>0.0</v>
      </c>
      <c r="DA224" s="156">
        <v>0.0</v>
      </c>
      <c r="EG224" s="156">
        <v>0.0</v>
      </c>
      <c r="EH224" s="156">
        <v>0.0</v>
      </c>
      <c r="EI224" s="156">
        <v>0.0</v>
      </c>
      <c r="EJ224" s="156">
        <v>0.0</v>
      </c>
      <c r="EK224" s="156">
        <v>0.0</v>
      </c>
      <c r="EL224" s="156">
        <v>0.0</v>
      </c>
      <c r="FQ224" s="156">
        <v>0.0</v>
      </c>
      <c r="FR224" s="156">
        <v>0.0</v>
      </c>
      <c r="FS224" s="156">
        <v>0.0</v>
      </c>
      <c r="FT224" s="156">
        <v>0.0</v>
      </c>
      <c r="FU224" s="156">
        <v>0.0</v>
      </c>
      <c r="FV224" s="156">
        <v>0.0</v>
      </c>
      <c r="FW224" s="157"/>
      <c r="FX224" s="157"/>
      <c r="FY224" s="157"/>
      <c r="FZ224" s="157"/>
      <c r="GA224" s="157"/>
      <c r="GB224" s="157"/>
      <c r="GC224" s="157"/>
      <c r="GD224" s="157"/>
      <c r="GE224" s="157"/>
      <c r="GF224" s="157"/>
      <c r="GG224" s="157"/>
      <c r="GH224" s="157"/>
      <c r="GI224" s="157"/>
      <c r="GJ224" s="157"/>
      <c r="GK224" s="157"/>
      <c r="GL224" s="157"/>
      <c r="GM224" s="157"/>
      <c r="GN224" s="157"/>
      <c r="GO224" s="157"/>
      <c r="GP224" s="158"/>
      <c r="GQ224" s="157"/>
      <c r="GR224" s="157"/>
      <c r="GS224" s="157"/>
      <c r="GT224" s="157"/>
      <c r="GU224" s="157"/>
      <c r="GV224" s="157"/>
      <c r="GW224" s="157"/>
      <c r="GX224" s="157"/>
      <c r="GY224" s="157"/>
      <c r="GZ224" s="157"/>
      <c r="HA224" s="157"/>
      <c r="HB224" s="155">
        <v>0.0</v>
      </c>
      <c r="HC224" s="155">
        <v>0.0</v>
      </c>
      <c r="HD224" s="155">
        <v>0.0</v>
      </c>
      <c r="HE224" s="155">
        <v>0.0</v>
      </c>
      <c r="HF224" s="155">
        <v>0.0</v>
      </c>
      <c r="HG224" s="155">
        <v>0.0</v>
      </c>
      <c r="IL224" s="159">
        <v>0.0</v>
      </c>
      <c r="IM224" s="156">
        <v>0.0</v>
      </c>
      <c r="IN224" s="156">
        <v>0.0</v>
      </c>
      <c r="IO224" s="156">
        <v>0.0</v>
      </c>
      <c r="IP224" s="156">
        <v>0.0</v>
      </c>
      <c r="IQ224" s="160">
        <v>0.0</v>
      </c>
      <c r="JH224" s="25"/>
      <c r="JW224" s="159">
        <v>0.0</v>
      </c>
      <c r="JX224" s="156">
        <v>0.0</v>
      </c>
      <c r="JY224" s="156">
        <v>0.0</v>
      </c>
      <c r="JZ224" s="156">
        <v>0.0</v>
      </c>
      <c r="KA224" s="156">
        <v>0.0</v>
      </c>
      <c r="KB224" s="160">
        <v>0.0</v>
      </c>
      <c r="LH224" s="159">
        <f t="shared" si="10"/>
        <v>0</v>
      </c>
      <c r="LI224" s="156">
        <f t="shared" si="11"/>
        <v>0</v>
      </c>
      <c r="LJ224" s="156">
        <f t="shared" si="12"/>
        <v>0</v>
      </c>
      <c r="LK224" s="156">
        <f t="shared" si="13"/>
        <v>0</v>
      </c>
      <c r="LL224" s="156">
        <f t="shared" si="14"/>
        <v>0</v>
      </c>
      <c r="LM224" s="160">
        <f t="shared" si="15"/>
        <v>0</v>
      </c>
      <c r="QX224" s="107">
        <v>45870.0</v>
      </c>
    </row>
    <row r="225">
      <c r="A225" s="12"/>
      <c r="B225" s="12"/>
      <c r="C225" s="12"/>
      <c r="D225" s="12"/>
      <c r="E225" s="12"/>
      <c r="F225" s="12"/>
      <c r="G225" s="12"/>
      <c r="H225" s="12"/>
      <c r="I225" s="143">
        <f t="shared" si="5"/>
        <v>-30</v>
      </c>
      <c r="J225" s="144">
        <v>45876.0</v>
      </c>
      <c r="K225" s="173" t="s">
        <v>61</v>
      </c>
      <c r="L225" s="144">
        <v>45954.0</v>
      </c>
      <c r="M225" s="147" t="s">
        <v>400</v>
      </c>
      <c r="N225" s="148">
        <v>357.0</v>
      </c>
      <c r="O225" s="148">
        <v>30.0</v>
      </c>
      <c r="P225" s="26"/>
      <c r="Q225" s="26"/>
      <c r="R225" s="26"/>
      <c r="S225" s="26"/>
      <c r="T225" s="26"/>
      <c r="U225" s="147" t="s">
        <v>1140</v>
      </c>
      <c r="V225" s="197"/>
      <c r="W225" s="198" t="s">
        <v>2719</v>
      </c>
      <c r="X225" s="181">
        <v>30.0</v>
      </c>
      <c r="Y225" s="166">
        <f t="shared" si="6"/>
        <v>30</v>
      </c>
      <c r="Z225" s="26">
        <f t="shared" si="7"/>
        <v>0</v>
      </c>
      <c r="AA225" s="26">
        <f t="shared" si="8"/>
        <v>0</v>
      </c>
      <c r="AB225" s="26">
        <f t="shared" si="9"/>
        <v>0</v>
      </c>
      <c r="AC225" s="155">
        <v>0.0</v>
      </c>
      <c r="AD225" s="155">
        <v>0.0</v>
      </c>
      <c r="AE225" s="155">
        <v>0.0</v>
      </c>
      <c r="AF225" s="155">
        <v>0.0</v>
      </c>
      <c r="AG225" s="155">
        <v>0.0</v>
      </c>
      <c r="AH225" s="155">
        <v>0.0</v>
      </c>
      <c r="BN225" s="155">
        <v>0.0</v>
      </c>
      <c r="BO225" s="155">
        <v>0.0</v>
      </c>
      <c r="BP225" s="155">
        <v>0.0</v>
      </c>
      <c r="BQ225" s="155">
        <v>0.0</v>
      </c>
      <c r="BR225" s="155">
        <v>0.0</v>
      </c>
      <c r="BS225" s="155">
        <v>0.0</v>
      </c>
      <c r="CV225" s="156">
        <v>0.0</v>
      </c>
      <c r="CW225" s="156">
        <v>0.0</v>
      </c>
      <c r="CX225" s="156">
        <v>0.0</v>
      </c>
      <c r="CY225" s="156">
        <v>0.0</v>
      </c>
      <c r="CZ225" s="156">
        <v>0.0</v>
      </c>
      <c r="DA225" s="156">
        <v>0.0</v>
      </c>
      <c r="EG225" s="156">
        <v>0.0</v>
      </c>
      <c r="EH225" s="156">
        <v>0.0</v>
      </c>
      <c r="EI225" s="156">
        <v>0.0</v>
      </c>
      <c r="EJ225" s="156">
        <v>0.0</v>
      </c>
      <c r="EK225" s="156">
        <v>0.0</v>
      </c>
      <c r="EL225" s="156">
        <v>0.0</v>
      </c>
      <c r="FQ225" s="156">
        <v>0.0</v>
      </c>
      <c r="FR225" s="156">
        <v>0.0</v>
      </c>
      <c r="FS225" s="156">
        <v>0.0</v>
      </c>
      <c r="FT225" s="156">
        <v>0.0</v>
      </c>
      <c r="FU225" s="156">
        <v>0.0</v>
      </c>
      <c r="FV225" s="156">
        <v>0.0</v>
      </c>
      <c r="FW225" s="157"/>
      <c r="FX225" s="157"/>
      <c r="FY225" s="157"/>
      <c r="FZ225" s="157"/>
      <c r="GA225" s="157"/>
      <c r="GB225" s="157"/>
      <c r="GC225" s="157"/>
      <c r="GD225" s="157"/>
      <c r="GE225" s="157"/>
      <c r="GF225" s="157"/>
      <c r="GG225" s="157"/>
      <c r="GH225" s="157"/>
      <c r="GI225" s="157"/>
      <c r="GJ225" s="157"/>
      <c r="GK225" s="157"/>
      <c r="GL225" s="157"/>
      <c r="GM225" s="157"/>
      <c r="GN225" s="157"/>
      <c r="GO225" s="157"/>
      <c r="GP225" s="158"/>
      <c r="GQ225" s="157"/>
      <c r="GR225" s="157"/>
      <c r="GS225" s="157"/>
      <c r="GT225" s="157"/>
      <c r="GU225" s="157"/>
      <c r="GV225" s="157"/>
      <c r="GW225" s="157"/>
      <c r="GX225" s="157"/>
      <c r="GY225" s="157"/>
      <c r="GZ225" s="157"/>
      <c r="HA225" s="157"/>
      <c r="HB225" s="155">
        <v>0.0</v>
      </c>
      <c r="HC225" s="155">
        <v>0.0</v>
      </c>
      <c r="HD225" s="155">
        <v>0.0</v>
      </c>
      <c r="HE225" s="155">
        <v>0.0</v>
      </c>
      <c r="HF225" s="155">
        <v>0.0</v>
      </c>
      <c r="HG225" s="155">
        <v>0.0</v>
      </c>
      <c r="IL225" s="159">
        <v>0.0</v>
      </c>
      <c r="IM225" s="156">
        <v>0.0</v>
      </c>
      <c r="IN225" s="156">
        <v>0.0</v>
      </c>
      <c r="IO225" s="156">
        <v>0.0</v>
      </c>
      <c r="IP225" s="156">
        <v>0.0</v>
      </c>
      <c r="IQ225" s="160">
        <v>0.0</v>
      </c>
      <c r="JH225" s="25"/>
      <c r="JW225" s="159">
        <v>0.0</v>
      </c>
      <c r="JX225" s="156">
        <v>0.0</v>
      </c>
      <c r="JY225" s="156">
        <v>0.0</v>
      </c>
      <c r="JZ225" s="156">
        <v>0.0</v>
      </c>
      <c r="KA225" s="156">
        <v>0.0</v>
      </c>
      <c r="KB225" s="160">
        <v>0.0</v>
      </c>
      <c r="LH225" s="159">
        <f t="shared" si="10"/>
        <v>0</v>
      </c>
      <c r="LI225" s="156">
        <f t="shared" si="11"/>
        <v>0</v>
      </c>
      <c r="LJ225" s="156">
        <f t="shared" si="12"/>
        <v>0</v>
      </c>
      <c r="LK225" s="156">
        <f t="shared" si="13"/>
        <v>0</v>
      </c>
      <c r="LL225" s="156">
        <f t="shared" si="14"/>
        <v>0</v>
      </c>
      <c r="LM225" s="160">
        <f t="shared" si="15"/>
        <v>0</v>
      </c>
      <c r="QX225" s="107">
        <v>45870.0</v>
      </c>
    </row>
    <row r="226">
      <c r="A226" s="12"/>
      <c r="B226" s="12"/>
      <c r="C226" s="12"/>
      <c r="D226" s="12"/>
      <c r="E226" s="12"/>
      <c r="F226" s="12"/>
      <c r="G226" s="12"/>
      <c r="H226" s="12"/>
      <c r="I226" s="143">
        <f t="shared" si="5"/>
        <v>-30</v>
      </c>
      <c r="J226" s="144">
        <v>45875.0</v>
      </c>
      <c r="K226" s="173" t="s">
        <v>61</v>
      </c>
      <c r="L226" s="144">
        <v>45966.0</v>
      </c>
      <c r="M226" s="147" t="s">
        <v>348</v>
      </c>
      <c r="N226" s="148">
        <v>246.0</v>
      </c>
      <c r="O226" s="148">
        <v>30.0</v>
      </c>
      <c r="P226" s="26"/>
      <c r="Q226" s="26"/>
      <c r="R226" s="26"/>
      <c r="S226" s="26"/>
      <c r="T226" s="26"/>
      <c r="U226" s="147" t="s">
        <v>1331</v>
      </c>
      <c r="V226" s="149" t="s">
        <v>2720</v>
      </c>
      <c r="W226" s="198" t="s">
        <v>2721</v>
      </c>
      <c r="X226" s="181">
        <v>30.0</v>
      </c>
      <c r="Y226" s="166">
        <f t="shared" si="6"/>
        <v>30</v>
      </c>
      <c r="Z226" s="26">
        <f t="shared" si="7"/>
        <v>0</v>
      </c>
      <c r="AA226" s="26">
        <f t="shared" si="8"/>
        <v>0</v>
      </c>
      <c r="AB226" s="26">
        <f t="shared" si="9"/>
        <v>0</v>
      </c>
      <c r="AC226" s="155">
        <v>0.0</v>
      </c>
      <c r="AD226" s="155">
        <v>0.0</v>
      </c>
      <c r="AE226" s="155">
        <v>0.0</v>
      </c>
      <c r="AF226" s="155">
        <v>0.0</v>
      </c>
      <c r="AG226" s="155">
        <v>0.0</v>
      </c>
      <c r="AH226" s="155">
        <v>0.0</v>
      </c>
      <c r="BN226" s="155">
        <v>0.0</v>
      </c>
      <c r="BO226" s="155">
        <v>0.0</v>
      </c>
      <c r="BP226" s="155">
        <v>0.0</v>
      </c>
      <c r="BQ226" s="155">
        <v>0.0</v>
      </c>
      <c r="BR226" s="155">
        <v>0.0</v>
      </c>
      <c r="BS226" s="155">
        <v>0.0</v>
      </c>
      <c r="CV226" s="156">
        <v>0.0</v>
      </c>
      <c r="CW226" s="156">
        <v>0.0</v>
      </c>
      <c r="CX226" s="156">
        <v>0.0</v>
      </c>
      <c r="CY226" s="156">
        <v>0.0</v>
      </c>
      <c r="CZ226" s="156">
        <v>0.0</v>
      </c>
      <c r="DA226" s="156">
        <v>0.0</v>
      </c>
      <c r="EG226" s="156">
        <v>0.0</v>
      </c>
      <c r="EH226" s="156">
        <v>0.0</v>
      </c>
      <c r="EI226" s="156">
        <v>0.0</v>
      </c>
      <c r="EJ226" s="156">
        <v>0.0</v>
      </c>
      <c r="EK226" s="156">
        <v>0.0</v>
      </c>
      <c r="EL226" s="156">
        <v>0.0</v>
      </c>
      <c r="FQ226" s="156">
        <v>0.0</v>
      </c>
      <c r="FR226" s="156">
        <v>0.0</v>
      </c>
      <c r="FS226" s="156">
        <v>0.0</v>
      </c>
      <c r="FT226" s="156">
        <v>0.0</v>
      </c>
      <c r="FU226" s="156">
        <v>0.0</v>
      </c>
      <c r="FV226" s="156">
        <v>0.0</v>
      </c>
      <c r="FW226" s="157"/>
      <c r="FX226" s="157"/>
      <c r="FY226" s="157"/>
      <c r="FZ226" s="157"/>
      <c r="GA226" s="157"/>
      <c r="GB226" s="157"/>
      <c r="GC226" s="157"/>
      <c r="GD226" s="157"/>
      <c r="GE226" s="157"/>
      <c r="GF226" s="157"/>
      <c r="GG226" s="157"/>
      <c r="GH226" s="157"/>
      <c r="GI226" s="157"/>
      <c r="GJ226" s="157"/>
      <c r="GK226" s="157"/>
      <c r="GL226" s="157"/>
      <c r="GM226" s="157"/>
      <c r="GN226" s="157"/>
      <c r="GO226" s="157"/>
      <c r="GP226" s="158"/>
      <c r="GQ226" s="157"/>
      <c r="GR226" s="157"/>
      <c r="GS226" s="157"/>
      <c r="GT226" s="157"/>
      <c r="GU226" s="157"/>
      <c r="GV226" s="157"/>
      <c r="GW226" s="157"/>
      <c r="GX226" s="157"/>
      <c r="GY226" s="157"/>
      <c r="GZ226" s="157"/>
      <c r="HA226" s="157"/>
      <c r="HB226" s="155">
        <v>0.0</v>
      </c>
      <c r="HC226" s="155">
        <v>0.0</v>
      </c>
      <c r="HD226" s="155">
        <v>0.0</v>
      </c>
      <c r="HE226" s="155">
        <v>0.0</v>
      </c>
      <c r="HF226" s="155">
        <v>0.0</v>
      </c>
      <c r="HG226" s="155">
        <v>0.0</v>
      </c>
      <c r="IL226" s="159">
        <v>0.0</v>
      </c>
      <c r="IM226" s="156">
        <v>0.0</v>
      </c>
      <c r="IN226" s="156">
        <v>0.0</v>
      </c>
      <c r="IO226" s="156">
        <v>0.0</v>
      </c>
      <c r="IP226" s="156">
        <v>0.0</v>
      </c>
      <c r="IQ226" s="160">
        <v>0.0</v>
      </c>
      <c r="JH226" s="25"/>
      <c r="JW226" s="159">
        <v>0.0</v>
      </c>
      <c r="JX226" s="156">
        <v>0.0</v>
      </c>
      <c r="JY226" s="156">
        <v>0.0</v>
      </c>
      <c r="JZ226" s="156">
        <v>0.0</v>
      </c>
      <c r="KA226" s="156">
        <v>0.0</v>
      </c>
      <c r="KB226" s="160">
        <v>0.0</v>
      </c>
      <c r="LH226" s="159">
        <f t="shared" si="10"/>
        <v>0</v>
      </c>
      <c r="LI226" s="156">
        <f t="shared" si="11"/>
        <v>0</v>
      </c>
      <c r="LJ226" s="156">
        <f t="shared" si="12"/>
        <v>0</v>
      </c>
      <c r="LK226" s="156">
        <f t="shared" si="13"/>
        <v>0</v>
      </c>
      <c r="LL226" s="156">
        <f t="shared" si="14"/>
        <v>0</v>
      </c>
      <c r="LM226" s="160">
        <f t="shared" si="15"/>
        <v>0</v>
      </c>
      <c r="QX226" s="107">
        <v>45870.0</v>
      </c>
    </row>
    <row r="227">
      <c r="A227" s="12"/>
      <c r="B227" s="12"/>
      <c r="C227" s="12"/>
      <c r="D227" s="12"/>
      <c r="E227" s="12"/>
      <c r="F227" s="12"/>
      <c r="G227" s="12"/>
      <c r="H227" s="12"/>
      <c r="I227" s="143">
        <f t="shared" si="5"/>
        <v>-60</v>
      </c>
      <c r="J227" s="144">
        <v>45873.0</v>
      </c>
      <c r="K227" s="173" t="s">
        <v>61</v>
      </c>
      <c r="L227" s="144">
        <v>46022.0</v>
      </c>
      <c r="M227" s="147" t="s">
        <v>2490</v>
      </c>
      <c r="N227" s="148">
        <v>246.0</v>
      </c>
      <c r="O227" s="148">
        <v>30.0</v>
      </c>
      <c r="P227" s="26"/>
      <c r="Q227" s="26"/>
      <c r="R227" s="26"/>
      <c r="S227" s="26"/>
      <c r="T227" s="26"/>
      <c r="U227" s="147" t="s">
        <v>1073</v>
      </c>
      <c r="V227" s="149" t="s">
        <v>2185</v>
      </c>
      <c r="W227" s="150" t="s">
        <v>2722</v>
      </c>
      <c r="X227" s="181">
        <v>60.0</v>
      </c>
      <c r="Y227" s="166">
        <f t="shared" si="6"/>
        <v>60</v>
      </c>
      <c r="Z227" s="26">
        <f t="shared" si="7"/>
        <v>0</v>
      </c>
      <c r="AA227" s="26">
        <f t="shared" si="8"/>
        <v>0</v>
      </c>
      <c r="AB227" s="26">
        <f t="shared" si="9"/>
        <v>0</v>
      </c>
      <c r="AC227" s="155">
        <v>0.0</v>
      </c>
      <c r="AD227" s="155">
        <v>0.0</v>
      </c>
      <c r="AE227" s="155">
        <v>0.0</v>
      </c>
      <c r="AF227" s="155">
        <v>0.0</v>
      </c>
      <c r="AG227" s="155">
        <v>0.0</v>
      </c>
      <c r="AH227" s="155">
        <v>0.0</v>
      </c>
      <c r="BN227" s="155">
        <v>0.0</v>
      </c>
      <c r="BO227" s="155">
        <v>0.0</v>
      </c>
      <c r="BP227" s="155">
        <v>0.0</v>
      </c>
      <c r="BQ227" s="155">
        <v>0.0</v>
      </c>
      <c r="BR227" s="155">
        <v>0.0</v>
      </c>
      <c r="BS227" s="155">
        <v>0.0</v>
      </c>
      <c r="CV227" s="156">
        <v>0.0</v>
      </c>
      <c r="CW227" s="156">
        <v>0.0</v>
      </c>
      <c r="CX227" s="156">
        <v>0.0</v>
      </c>
      <c r="CY227" s="156">
        <v>0.0</v>
      </c>
      <c r="CZ227" s="156">
        <v>0.0</v>
      </c>
      <c r="DA227" s="156">
        <v>0.0</v>
      </c>
      <c r="EG227" s="156">
        <v>0.0</v>
      </c>
      <c r="EH227" s="156">
        <v>0.0</v>
      </c>
      <c r="EI227" s="156">
        <v>0.0</v>
      </c>
      <c r="EJ227" s="156">
        <v>0.0</v>
      </c>
      <c r="EK227" s="156">
        <v>0.0</v>
      </c>
      <c r="EL227" s="156">
        <v>0.0</v>
      </c>
      <c r="FQ227" s="156">
        <v>0.0</v>
      </c>
      <c r="FR227" s="156">
        <v>0.0</v>
      </c>
      <c r="FS227" s="156">
        <v>0.0</v>
      </c>
      <c r="FT227" s="156">
        <v>0.0</v>
      </c>
      <c r="FU227" s="156">
        <v>0.0</v>
      </c>
      <c r="FV227" s="156">
        <v>0.0</v>
      </c>
      <c r="FW227" s="157"/>
      <c r="FX227" s="157"/>
      <c r="FY227" s="157"/>
      <c r="FZ227" s="157"/>
      <c r="GA227" s="157"/>
      <c r="GB227" s="157"/>
      <c r="GC227" s="157"/>
      <c r="GD227" s="157"/>
      <c r="GE227" s="157"/>
      <c r="GF227" s="157"/>
      <c r="GG227" s="157"/>
      <c r="GH227" s="157"/>
      <c r="GI227" s="157"/>
      <c r="GJ227" s="157"/>
      <c r="GK227" s="157"/>
      <c r="GL227" s="157"/>
      <c r="GM227" s="157"/>
      <c r="GN227" s="157"/>
      <c r="GO227" s="157"/>
      <c r="GP227" s="158"/>
      <c r="GQ227" s="157"/>
      <c r="GR227" s="157"/>
      <c r="GS227" s="157"/>
      <c r="GT227" s="157"/>
      <c r="GU227" s="157"/>
      <c r="GV227" s="157"/>
      <c r="GW227" s="157"/>
      <c r="GX227" s="157"/>
      <c r="GY227" s="157"/>
      <c r="GZ227" s="157"/>
      <c r="HA227" s="157"/>
      <c r="HB227" s="155">
        <v>0.0</v>
      </c>
      <c r="HC227" s="155">
        <v>0.0</v>
      </c>
      <c r="HD227" s="155">
        <v>0.0</v>
      </c>
      <c r="HE227" s="155">
        <v>0.0</v>
      </c>
      <c r="HF227" s="155">
        <v>0.0</v>
      </c>
      <c r="HG227" s="155">
        <v>0.0</v>
      </c>
      <c r="IL227" s="159">
        <v>0.0</v>
      </c>
      <c r="IM227" s="156">
        <v>0.0</v>
      </c>
      <c r="IN227" s="156">
        <v>0.0</v>
      </c>
      <c r="IO227" s="156">
        <v>0.0</v>
      </c>
      <c r="IP227" s="156">
        <v>0.0</v>
      </c>
      <c r="IQ227" s="160">
        <v>0.0</v>
      </c>
      <c r="JH227" s="25"/>
      <c r="JW227" s="159">
        <v>0.0</v>
      </c>
      <c r="JX227" s="156">
        <v>0.0</v>
      </c>
      <c r="JY227" s="156">
        <v>0.0</v>
      </c>
      <c r="JZ227" s="156">
        <v>0.0</v>
      </c>
      <c r="KA227" s="156">
        <v>0.0</v>
      </c>
      <c r="KB227" s="160">
        <v>0.0</v>
      </c>
      <c r="LH227" s="159">
        <f t="shared" si="10"/>
        <v>0</v>
      </c>
      <c r="LI227" s="156">
        <f t="shared" si="11"/>
        <v>0</v>
      </c>
      <c r="LJ227" s="156">
        <f t="shared" si="12"/>
        <v>0</v>
      </c>
      <c r="LK227" s="156">
        <f t="shared" si="13"/>
        <v>0</v>
      </c>
      <c r="LL227" s="156">
        <f t="shared" si="14"/>
        <v>0</v>
      </c>
      <c r="LM227" s="160">
        <f t="shared" si="15"/>
        <v>0</v>
      </c>
      <c r="QX227" s="107">
        <v>45871.0</v>
      </c>
    </row>
    <row r="228">
      <c r="A228" s="12"/>
      <c r="B228" s="12"/>
      <c r="C228" s="12"/>
      <c r="D228" s="12"/>
      <c r="E228" s="12"/>
      <c r="F228" s="12"/>
      <c r="G228" s="12"/>
      <c r="H228" s="12"/>
      <c r="I228" s="143">
        <f t="shared" si="5"/>
        <v>-11</v>
      </c>
      <c r="J228" s="144">
        <v>45896.0</v>
      </c>
      <c r="K228" s="173" t="s">
        <v>61</v>
      </c>
      <c r="L228" s="144">
        <v>45930.0</v>
      </c>
      <c r="M228" s="147" t="s">
        <v>348</v>
      </c>
      <c r="N228" s="148">
        <v>246.0</v>
      </c>
      <c r="O228" s="148">
        <v>30.0</v>
      </c>
      <c r="P228" s="26"/>
      <c r="Q228" s="26"/>
      <c r="R228" s="26"/>
      <c r="S228" s="26"/>
      <c r="T228" s="26"/>
      <c r="U228" s="147" t="s">
        <v>2724</v>
      </c>
      <c r="V228" s="197"/>
      <c r="W228" s="198" t="s">
        <v>2725</v>
      </c>
      <c r="X228" s="181">
        <v>11.0</v>
      </c>
      <c r="Y228" s="166">
        <f t="shared" si="6"/>
        <v>11</v>
      </c>
      <c r="Z228" s="26">
        <f t="shared" si="7"/>
        <v>0</v>
      </c>
      <c r="AA228" s="26">
        <f t="shared" si="8"/>
        <v>0</v>
      </c>
      <c r="AB228" s="26">
        <f t="shared" si="9"/>
        <v>0</v>
      </c>
      <c r="AC228" s="155">
        <v>0.0</v>
      </c>
      <c r="AD228" s="155">
        <v>0.0</v>
      </c>
      <c r="AE228" s="155">
        <v>0.0</v>
      </c>
      <c r="AF228" s="155">
        <v>0.0</v>
      </c>
      <c r="AG228" s="155">
        <v>0.0</v>
      </c>
      <c r="AH228" s="155">
        <v>0.0</v>
      </c>
      <c r="BN228" s="155">
        <v>0.0</v>
      </c>
      <c r="BO228" s="155">
        <v>0.0</v>
      </c>
      <c r="BP228" s="155">
        <v>0.0</v>
      </c>
      <c r="BQ228" s="155">
        <v>0.0</v>
      </c>
      <c r="BR228" s="155">
        <v>0.0</v>
      </c>
      <c r="BS228" s="155">
        <v>0.0</v>
      </c>
      <c r="CV228" s="156">
        <v>0.0</v>
      </c>
      <c r="CW228" s="156">
        <v>0.0</v>
      </c>
      <c r="CX228" s="156">
        <v>0.0</v>
      </c>
      <c r="CY228" s="156">
        <v>0.0</v>
      </c>
      <c r="CZ228" s="156">
        <v>0.0</v>
      </c>
      <c r="DA228" s="156">
        <v>0.0</v>
      </c>
      <c r="EG228" s="156">
        <v>0.0</v>
      </c>
      <c r="EH228" s="156">
        <v>0.0</v>
      </c>
      <c r="EI228" s="156">
        <v>0.0</v>
      </c>
      <c r="EJ228" s="156">
        <v>0.0</v>
      </c>
      <c r="EK228" s="156">
        <v>0.0</v>
      </c>
      <c r="EL228" s="156">
        <v>0.0</v>
      </c>
      <c r="FQ228" s="156">
        <v>0.0</v>
      </c>
      <c r="FR228" s="156">
        <v>0.0</v>
      </c>
      <c r="FS228" s="156">
        <v>0.0</v>
      </c>
      <c r="FT228" s="156">
        <v>0.0</v>
      </c>
      <c r="FU228" s="156">
        <v>0.0</v>
      </c>
      <c r="FV228" s="156">
        <v>0.0</v>
      </c>
      <c r="FW228" s="157"/>
      <c r="FX228" s="157"/>
      <c r="FY228" s="157"/>
      <c r="FZ228" s="157"/>
      <c r="GA228" s="157"/>
      <c r="GB228" s="157"/>
      <c r="GC228" s="157"/>
      <c r="GD228" s="157"/>
      <c r="GE228" s="157"/>
      <c r="GF228" s="157"/>
      <c r="GG228" s="157"/>
      <c r="GH228" s="157"/>
      <c r="GI228" s="157"/>
      <c r="GJ228" s="157"/>
      <c r="GK228" s="157"/>
      <c r="GL228" s="157"/>
      <c r="GM228" s="157"/>
      <c r="GN228" s="157"/>
      <c r="GO228" s="157"/>
      <c r="GP228" s="158"/>
      <c r="GQ228" s="157"/>
      <c r="GR228" s="157"/>
      <c r="GS228" s="157"/>
      <c r="GT228" s="157"/>
      <c r="GU228" s="157"/>
      <c r="GV228" s="157"/>
      <c r="GW228" s="157"/>
      <c r="GX228" s="157"/>
      <c r="GY228" s="157"/>
      <c r="GZ228" s="157"/>
      <c r="HA228" s="157"/>
      <c r="HB228" s="155">
        <v>0.0</v>
      </c>
      <c r="HC228" s="155">
        <v>0.0</v>
      </c>
      <c r="HD228" s="155">
        <v>0.0</v>
      </c>
      <c r="HE228" s="155">
        <v>0.0</v>
      </c>
      <c r="HF228" s="155">
        <v>0.0</v>
      </c>
      <c r="HG228" s="155">
        <v>0.0</v>
      </c>
      <c r="IL228" s="159">
        <v>0.0</v>
      </c>
      <c r="IM228" s="156">
        <v>0.0</v>
      </c>
      <c r="IN228" s="156">
        <v>0.0</v>
      </c>
      <c r="IO228" s="156">
        <v>0.0</v>
      </c>
      <c r="IP228" s="156">
        <v>0.0</v>
      </c>
      <c r="IQ228" s="160">
        <v>0.0</v>
      </c>
      <c r="JH228" s="25"/>
      <c r="JW228" s="159">
        <v>0.0</v>
      </c>
      <c r="JX228" s="156">
        <v>0.0</v>
      </c>
      <c r="JY228" s="156">
        <v>0.0</v>
      </c>
      <c r="JZ228" s="156">
        <v>0.0</v>
      </c>
      <c r="KA228" s="156">
        <v>0.0</v>
      </c>
      <c r="KB228" s="160">
        <v>0.0</v>
      </c>
      <c r="LH228" s="159">
        <f t="shared" si="10"/>
        <v>0</v>
      </c>
      <c r="LI228" s="156">
        <f t="shared" si="11"/>
        <v>0</v>
      </c>
      <c r="LJ228" s="156">
        <f t="shared" si="12"/>
        <v>0</v>
      </c>
      <c r="LK228" s="156">
        <f t="shared" si="13"/>
        <v>0</v>
      </c>
      <c r="LL228" s="156">
        <f t="shared" si="14"/>
        <v>0</v>
      </c>
      <c r="LM228" s="160">
        <f t="shared" si="15"/>
        <v>0</v>
      </c>
      <c r="QX228" s="107">
        <v>45873.0</v>
      </c>
    </row>
    <row r="229">
      <c r="A229" s="12"/>
      <c r="B229" s="12"/>
      <c r="C229" s="12"/>
      <c r="D229" s="12"/>
      <c r="E229" s="12"/>
      <c r="F229" s="12"/>
      <c r="G229" s="12"/>
      <c r="H229" s="12"/>
      <c r="I229" s="143">
        <f t="shared" si="5"/>
        <v>-32</v>
      </c>
      <c r="J229" s="144">
        <v>45886.0</v>
      </c>
      <c r="K229" s="145" t="s">
        <v>53</v>
      </c>
      <c r="L229" s="171">
        <v>46135.0</v>
      </c>
      <c r="M229" s="147" t="s">
        <v>2728</v>
      </c>
      <c r="N229" s="148">
        <v>357.0</v>
      </c>
      <c r="O229" s="148">
        <v>30.0</v>
      </c>
      <c r="P229" s="26"/>
      <c r="Q229" s="26"/>
      <c r="R229" s="26"/>
      <c r="S229" s="26"/>
      <c r="T229" s="26"/>
      <c r="U229" s="147" t="s">
        <v>343</v>
      </c>
      <c r="V229" s="149" t="s">
        <v>344</v>
      </c>
      <c r="W229" s="198" t="s">
        <v>2729</v>
      </c>
      <c r="X229" s="181">
        <v>29.0</v>
      </c>
      <c r="Y229" s="166">
        <f t="shared" si="6"/>
        <v>32</v>
      </c>
      <c r="Z229" s="26">
        <f t="shared" si="7"/>
        <v>0</v>
      </c>
      <c r="AA229" s="26">
        <f t="shared" si="8"/>
        <v>0</v>
      </c>
      <c r="AB229" s="26">
        <f t="shared" si="9"/>
        <v>0</v>
      </c>
      <c r="AC229" s="155">
        <v>0.0</v>
      </c>
      <c r="AD229" s="155">
        <v>0.0</v>
      </c>
      <c r="AE229" s="155">
        <v>0.0</v>
      </c>
      <c r="AF229" s="155">
        <v>0.0</v>
      </c>
      <c r="AG229" s="155">
        <v>0.0</v>
      </c>
      <c r="AH229" s="155">
        <v>0.0</v>
      </c>
      <c r="AI229" s="167"/>
      <c r="AJ229" s="167"/>
      <c r="AK229" s="167"/>
      <c r="AL229" s="167"/>
      <c r="AM229" s="167"/>
      <c r="AN229" s="167"/>
      <c r="AO229" s="167"/>
      <c r="AP229" s="167"/>
      <c r="AQ229" s="167"/>
      <c r="AR229" s="167"/>
      <c r="AS229" s="167"/>
      <c r="AT229" s="167"/>
      <c r="AU229" s="167"/>
      <c r="AV229" s="167"/>
      <c r="AW229" s="167"/>
      <c r="AX229" s="167"/>
      <c r="AY229" s="167"/>
      <c r="AZ229" s="167"/>
      <c r="BA229" s="167"/>
      <c r="BB229" s="167"/>
      <c r="BC229" s="167"/>
      <c r="BD229" s="167"/>
      <c r="BE229" s="167"/>
      <c r="BF229" s="167"/>
      <c r="BG229" s="167"/>
      <c r="BH229" s="167"/>
      <c r="BI229" s="167"/>
      <c r="BJ229" s="167"/>
      <c r="BK229" s="167"/>
      <c r="BL229" s="167"/>
      <c r="BM229" s="167"/>
      <c r="BN229" s="155">
        <v>3.0</v>
      </c>
      <c r="BO229" s="155">
        <v>0.0</v>
      </c>
      <c r="BP229" s="155">
        <v>0.0</v>
      </c>
      <c r="BQ229" s="155">
        <v>0.0</v>
      </c>
      <c r="BR229" s="155">
        <v>0.0</v>
      </c>
      <c r="BS229" s="155">
        <v>0.0</v>
      </c>
      <c r="BT229" s="167"/>
      <c r="BU229" s="167"/>
      <c r="BV229" s="167"/>
      <c r="BW229" s="167"/>
      <c r="BX229" s="167"/>
      <c r="BY229" s="167"/>
      <c r="BZ229" s="167"/>
      <c r="CA229" s="168">
        <v>1.0</v>
      </c>
      <c r="CB229" s="167"/>
      <c r="CC229" s="167"/>
      <c r="CD229" s="167"/>
      <c r="CE229" s="168">
        <v>1.0</v>
      </c>
      <c r="CF229" s="167"/>
      <c r="CG229" s="167"/>
      <c r="CH229" s="168">
        <v>1.0</v>
      </c>
      <c r="CI229" s="167"/>
      <c r="CJ229" s="167"/>
      <c r="CK229" s="167"/>
      <c r="CL229" s="167"/>
      <c r="CM229" s="167"/>
      <c r="CN229" s="167"/>
      <c r="CO229" s="167"/>
      <c r="CP229" s="167"/>
      <c r="CQ229" s="167"/>
      <c r="CR229" s="167"/>
      <c r="CS229" s="167"/>
      <c r="CT229" s="167"/>
      <c r="CU229" s="167"/>
      <c r="CV229" s="156">
        <v>0.0</v>
      </c>
      <c r="CW229" s="156">
        <v>0.0</v>
      </c>
      <c r="CX229" s="156">
        <v>0.0</v>
      </c>
      <c r="CY229" s="156">
        <v>0.0</v>
      </c>
      <c r="CZ229" s="156">
        <v>0.0</v>
      </c>
      <c r="DA229" s="156">
        <v>0.0</v>
      </c>
      <c r="DB229" s="395"/>
      <c r="DC229" s="395"/>
      <c r="DD229" s="395"/>
      <c r="DE229" s="395"/>
      <c r="DF229" s="395"/>
      <c r="DG229" s="395"/>
      <c r="DH229" s="395"/>
      <c r="DI229" s="395"/>
      <c r="DJ229" s="395"/>
      <c r="DK229" s="395"/>
      <c r="DL229" s="395"/>
      <c r="DM229" s="395"/>
      <c r="DN229" s="395"/>
      <c r="DO229" s="395"/>
      <c r="DP229" s="395"/>
      <c r="DQ229" s="395"/>
      <c r="DR229" s="395"/>
      <c r="DS229" s="395"/>
      <c r="DT229" s="395"/>
      <c r="DU229" s="395"/>
      <c r="DV229" s="395"/>
      <c r="DW229" s="395"/>
      <c r="DX229" s="395"/>
      <c r="DY229" s="395"/>
      <c r="DZ229" s="395"/>
      <c r="EA229" s="395"/>
      <c r="EB229" s="395"/>
      <c r="EC229" s="395"/>
      <c r="ED229" s="395"/>
      <c r="EE229" s="395"/>
      <c r="EF229" s="395"/>
      <c r="EG229" s="156">
        <v>0.0</v>
      </c>
      <c r="EH229" s="156">
        <v>0.0</v>
      </c>
      <c r="EI229" s="156">
        <v>0.0</v>
      </c>
      <c r="EJ229" s="156">
        <v>0.0</v>
      </c>
      <c r="EK229" s="156">
        <v>0.0</v>
      </c>
      <c r="EL229" s="156">
        <v>0.0</v>
      </c>
      <c r="FQ229" s="156">
        <v>0.0</v>
      </c>
      <c r="FR229" s="156">
        <v>0.0</v>
      </c>
      <c r="FS229" s="156">
        <v>0.0</v>
      </c>
      <c r="FT229" s="156">
        <v>0.0</v>
      </c>
      <c r="FU229" s="156">
        <v>0.0</v>
      </c>
      <c r="FV229" s="156">
        <v>0.0</v>
      </c>
      <c r="FW229" s="157"/>
      <c r="FX229" s="157"/>
      <c r="FY229" s="157"/>
      <c r="FZ229" s="157"/>
      <c r="GA229" s="157"/>
      <c r="GB229" s="157"/>
      <c r="GC229" s="157"/>
      <c r="GD229" s="157"/>
      <c r="GE229" s="157"/>
      <c r="GF229" s="157"/>
      <c r="GG229" s="157"/>
      <c r="GH229" s="157"/>
      <c r="GI229" s="157"/>
      <c r="GJ229" s="157"/>
      <c r="GK229" s="157"/>
      <c r="GL229" s="157"/>
      <c r="GM229" s="157"/>
      <c r="GN229" s="157"/>
      <c r="GO229" s="157"/>
      <c r="GP229" s="158"/>
      <c r="GQ229" s="157"/>
      <c r="GR229" s="157"/>
      <c r="GS229" s="157"/>
      <c r="GT229" s="157"/>
      <c r="GU229" s="157"/>
      <c r="GV229" s="157"/>
      <c r="GW229" s="157"/>
      <c r="GX229" s="157"/>
      <c r="GY229" s="157"/>
      <c r="GZ229" s="157"/>
      <c r="HA229" s="157"/>
      <c r="HB229" s="155">
        <v>0.0</v>
      </c>
      <c r="HC229" s="155">
        <v>0.0</v>
      </c>
      <c r="HD229" s="155">
        <v>0.0</v>
      </c>
      <c r="HE229" s="155">
        <v>0.0</v>
      </c>
      <c r="HF229" s="155">
        <v>0.0</v>
      </c>
      <c r="HG229" s="155">
        <v>0.0</v>
      </c>
      <c r="IL229" s="159">
        <v>0.0</v>
      </c>
      <c r="IM229" s="156">
        <v>0.0</v>
      </c>
      <c r="IN229" s="156">
        <v>0.0</v>
      </c>
      <c r="IO229" s="156">
        <v>0.0</v>
      </c>
      <c r="IP229" s="156">
        <v>0.0</v>
      </c>
      <c r="IQ229" s="160">
        <v>0.0</v>
      </c>
      <c r="JH229" s="25"/>
      <c r="JW229" s="159">
        <v>0.0</v>
      </c>
      <c r="JX229" s="156">
        <v>0.0</v>
      </c>
      <c r="JY229" s="156">
        <v>0.0</v>
      </c>
      <c r="JZ229" s="156">
        <v>0.0</v>
      </c>
      <c r="KA229" s="156">
        <v>0.0</v>
      </c>
      <c r="KB229" s="160">
        <v>0.0</v>
      </c>
      <c r="LH229" s="159">
        <f t="shared" si="10"/>
        <v>0</v>
      </c>
      <c r="LI229" s="156">
        <f t="shared" si="11"/>
        <v>0</v>
      </c>
      <c r="LJ229" s="156">
        <f t="shared" si="12"/>
        <v>0</v>
      </c>
      <c r="LK229" s="156">
        <f t="shared" si="13"/>
        <v>0</v>
      </c>
      <c r="LL229" s="156">
        <f t="shared" si="14"/>
        <v>0</v>
      </c>
      <c r="LM229" s="160">
        <f t="shared" si="15"/>
        <v>0</v>
      </c>
      <c r="QX229" s="107">
        <v>45873.0</v>
      </c>
    </row>
    <row r="230">
      <c r="A230" s="12"/>
      <c r="B230" s="12"/>
      <c r="C230" s="12"/>
      <c r="D230" s="12"/>
      <c r="E230" s="12"/>
      <c r="F230" s="12"/>
      <c r="G230" s="12"/>
      <c r="H230" s="12"/>
      <c r="I230" s="143">
        <f t="shared" si="5"/>
        <v>-13</v>
      </c>
      <c r="J230" s="144">
        <v>45875.0</v>
      </c>
      <c r="K230" s="173" t="s">
        <v>61</v>
      </c>
      <c r="L230" s="144">
        <v>46008.0</v>
      </c>
      <c r="M230" s="386" t="s">
        <v>348</v>
      </c>
      <c r="N230" s="387">
        <v>246.0</v>
      </c>
      <c r="O230" s="387">
        <v>45.0</v>
      </c>
      <c r="P230" s="388"/>
      <c r="Q230" s="388"/>
      <c r="R230" s="388"/>
      <c r="S230" s="388"/>
      <c r="T230" s="388"/>
      <c r="U230" s="386" t="s">
        <v>2617</v>
      </c>
      <c r="V230" s="389" t="s">
        <v>2618</v>
      </c>
      <c r="W230" s="390" t="s">
        <v>2619</v>
      </c>
      <c r="X230" s="181">
        <v>13.0</v>
      </c>
      <c r="Y230" s="166">
        <f t="shared" si="6"/>
        <v>13</v>
      </c>
      <c r="Z230" s="26">
        <f t="shared" si="7"/>
        <v>0</v>
      </c>
      <c r="AA230" s="26">
        <f t="shared" si="8"/>
        <v>0</v>
      </c>
      <c r="AB230" s="26">
        <f t="shared" si="9"/>
        <v>0</v>
      </c>
      <c r="AC230" s="155">
        <v>0.0</v>
      </c>
      <c r="AD230" s="155">
        <v>0.0</v>
      </c>
      <c r="AE230" s="155">
        <v>0.0</v>
      </c>
      <c r="AF230" s="155">
        <v>0.0</v>
      </c>
      <c r="AG230" s="155">
        <v>0.0</v>
      </c>
      <c r="AH230" s="155">
        <v>0.0</v>
      </c>
      <c r="BN230" s="155">
        <v>0.0</v>
      </c>
      <c r="BO230" s="155">
        <v>0.0</v>
      </c>
      <c r="BP230" s="155">
        <v>0.0</v>
      </c>
      <c r="BQ230" s="155">
        <v>0.0</v>
      </c>
      <c r="BR230" s="155">
        <v>0.0</v>
      </c>
      <c r="BS230" s="155">
        <v>0.0</v>
      </c>
      <c r="CV230" s="156">
        <v>0.0</v>
      </c>
      <c r="CW230" s="156">
        <v>0.0</v>
      </c>
      <c r="CX230" s="156">
        <v>0.0</v>
      </c>
      <c r="CY230" s="156">
        <v>0.0</v>
      </c>
      <c r="CZ230" s="156">
        <v>0.0</v>
      </c>
      <c r="DA230" s="156">
        <v>0.0</v>
      </c>
      <c r="EG230" s="156">
        <v>0.0</v>
      </c>
      <c r="EH230" s="156">
        <v>0.0</v>
      </c>
      <c r="EI230" s="156">
        <v>0.0</v>
      </c>
      <c r="EJ230" s="156">
        <v>0.0</v>
      </c>
      <c r="EK230" s="156">
        <v>0.0</v>
      </c>
      <c r="EL230" s="156">
        <v>0.0</v>
      </c>
      <c r="FQ230" s="156">
        <v>0.0</v>
      </c>
      <c r="FR230" s="156">
        <v>0.0</v>
      </c>
      <c r="FS230" s="156">
        <v>0.0</v>
      </c>
      <c r="FT230" s="156">
        <v>0.0</v>
      </c>
      <c r="FU230" s="156">
        <v>0.0</v>
      </c>
      <c r="FV230" s="156">
        <v>0.0</v>
      </c>
      <c r="FW230" s="157"/>
      <c r="FX230" s="157"/>
      <c r="FY230" s="157"/>
      <c r="FZ230" s="157"/>
      <c r="GA230" s="157"/>
      <c r="GB230" s="157"/>
      <c r="GC230" s="157"/>
      <c r="GD230" s="157"/>
      <c r="GE230" s="157"/>
      <c r="GF230" s="157"/>
      <c r="GG230" s="157"/>
      <c r="GH230" s="157"/>
      <c r="GI230" s="157"/>
      <c r="GJ230" s="157"/>
      <c r="GK230" s="157"/>
      <c r="GL230" s="157"/>
      <c r="GM230" s="157"/>
      <c r="GN230" s="157"/>
      <c r="GO230" s="157"/>
      <c r="GP230" s="158"/>
      <c r="GQ230" s="157"/>
      <c r="GR230" s="157"/>
      <c r="GS230" s="157"/>
      <c r="GT230" s="157"/>
      <c r="GU230" s="157"/>
      <c r="GV230" s="157"/>
      <c r="GW230" s="157"/>
      <c r="GX230" s="157"/>
      <c r="GY230" s="157"/>
      <c r="GZ230" s="157"/>
      <c r="HA230" s="157"/>
      <c r="HB230" s="155">
        <v>0.0</v>
      </c>
      <c r="HC230" s="155">
        <v>0.0</v>
      </c>
      <c r="HD230" s="155">
        <v>0.0</v>
      </c>
      <c r="HE230" s="155">
        <v>0.0</v>
      </c>
      <c r="HF230" s="155">
        <v>0.0</v>
      </c>
      <c r="HG230" s="155">
        <v>0.0</v>
      </c>
      <c r="IL230" s="159">
        <v>0.0</v>
      </c>
      <c r="IM230" s="156">
        <v>0.0</v>
      </c>
      <c r="IN230" s="156">
        <v>0.0</v>
      </c>
      <c r="IO230" s="156">
        <v>0.0</v>
      </c>
      <c r="IP230" s="156">
        <v>0.0</v>
      </c>
      <c r="IQ230" s="160">
        <v>0.0</v>
      </c>
      <c r="JH230" s="25"/>
      <c r="JW230" s="159">
        <v>0.0</v>
      </c>
      <c r="JX230" s="156">
        <v>0.0</v>
      </c>
      <c r="JY230" s="156">
        <v>0.0</v>
      </c>
      <c r="JZ230" s="156">
        <v>0.0</v>
      </c>
      <c r="KA230" s="156">
        <v>0.0</v>
      </c>
      <c r="KB230" s="160">
        <v>0.0</v>
      </c>
      <c r="LH230" s="159">
        <f t="shared" si="10"/>
        <v>0</v>
      </c>
      <c r="LI230" s="156">
        <f t="shared" si="11"/>
        <v>0</v>
      </c>
      <c r="LJ230" s="156">
        <f t="shared" si="12"/>
        <v>0</v>
      </c>
      <c r="LK230" s="156">
        <f t="shared" si="13"/>
        <v>0</v>
      </c>
      <c r="LL230" s="156">
        <f t="shared" si="14"/>
        <v>0</v>
      </c>
      <c r="LM230" s="160">
        <f t="shared" si="15"/>
        <v>0</v>
      </c>
      <c r="QX230" s="107">
        <v>45873.0</v>
      </c>
    </row>
    <row r="231">
      <c r="A231" s="12"/>
      <c r="B231" s="12"/>
      <c r="C231" s="12"/>
      <c r="D231" s="12"/>
      <c r="E231" s="12"/>
      <c r="F231" s="12"/>
      <c r="G231" s="12"/>
      <c r="H231" s="12"/>
      <c r="I231" s="143">
        <f t="shared" si="5"/>
        <v>-11</v>
      </c>
      <c r="J231" s="144">
        <v>45882.0</v>
      </c>
      <c r="K231" s="195" t="s">
        <v>61</v>
      </c>
      <c r="L231" s="144">
        <v>45958.0</v>
      </c>
      <c r="M231" s="147" t="s">
        <v>228</v>
      </c>
      <c r="N231" s="148">
        <v>246.0</v>
      </c>
      <c r="O231" s="148">
        <v>30.0</v>
      </c>
      <c r="P231" s="26"/>
      <c r="Q231" s="26"/>
      <c r="R231" s="26"/>
      <c r="S231" s="26"/>
      <c r="T231" s="26"/>
      <c r="U231" s="147" t="s">
        <v>2732</v>
      </c>
      <c r="V231" s="197"/>
      <c r="W231" s="198" t="s">
        <v>2733</v>
      </c>
      <c r="X231" s="181">
        <v>11.0</v>
      </c>
      <c r="Y231" s="166">
        <f t="shared" si="6"/>
        <v>11</v>
      </c>
      <c r="Z231" s="26">
        <f t="shared" si="7"/>
        <v>0</v>
      </c>
      <c r="AA231" s="26">
        <f t="shared" si="8"/>
        <v>0</v>
      </c>
      <c r="AB231" s="26">
        <f t="shared" si="9"/>
        <v>0</v>
      </c>
      <c r="AC231" s="155">
        <v>0.0</v>
      </c>
      <c r="AD231" s="155">
        <v>0.0</v>
      </c>
      <c r="AE231" s="155">
        <v>0.0</v>
      </c>
      <c r="AF231" s="155">
        <v>0.0</v>
      </c>
      <c r="AG231" s="155">
        <v>0.0</v>
      </c>
      <c r="AH231" s="155">
        <v>0.0</v>
      </c>
      <c r="BN231" s="155">
        <v>0.0</v>
      </c>
      <c r="BO231" s="155">
        <v>0.0</v>
      </c>
      <c r="BP231" s="155">
        <v>0.0</v>
      </c>
      <c r="BQ231" s="155">
        <v>0.0</v>
      </c>
      <c r="BR231" s="155">
        <v>0.0</v>
      </c>
      <c r="BS231" s="155">
        <v>0.0</v>
      </c>
      <c r="CV231" s="156">
        <v>0.0</v>
      </c>
      <c r="CW231" s="156">
        <v>0.0</v>
      </c>
      <c r="CX231" s="156">
        <v>0.0</v>
      </c>
      <c r="CY231" s="156">
        <v>0.0</v>
      </c>
      <c r="CZ231" s="156">
        <v>0.0</v>
      </c>
      <c r="DA231" s="156">
        <v>0.0</v>
      </c>
      <c r="EG231" s="156">
        <v>0.0</v>
      </c>
      <c r="EH231" s="156">
        <v>0.0</v>
      </c>
      <c r="EI231" s="156">
        <v>0.0</v>
      </c>
      <c r="EJ231" s="156">
        <v>0.0</v>
      </c>
      <c r="EK231" s="156">
        <v>0.0</v>
      </c>
      <c r="EL231" s="156">
        <v>0.0</v>
      </c>
      <c r="FQ231" s="156">
        <v>0.0</v>
      </c>
      <c r="FR231" s="156">
        <v>0.0</v>
      </c>
      <c r="FS231" s="156">
        <v>0.0</v>
      </c>
      <c r="FT231" s="156">
        <v>0.0</v>
      </c>
      <c r="FU231" s="156">
        <v>0.0</v>
      </c>
      <c r="FV231" s="156">
        <v>0.0</v>
      </c>
      <c r="FW231" s="157"/>
      <c r="FX231" s="157"/>
      <c r="FY231" s="157"/>
      <c r="FZ231" s="157"/>
      <c r="GA231" s="157"/>
      <c r="GB231" s="157"/>
      <c r="GC231" s="157"/>
      <c r="GD231" s="157"/>
      <c r="GE231" s="157"/>
      <c r="GF231" s="157"/>
      <c r="GG231" s="157"/>
      <c r="GH231" s="157"/>
      <c r="GI231" s="157"/>
      <c r="GJ231" s="157"/>
      <c r="GK231" s="157"/>
      <c r="GL231" s="157"/>
      <c r="GM231" s="157"/>
      <c r="GN231" s="157"/>
      <c r="GO231" s="157"/>
      <c r="GP231" s="158"/>
      <c r="GQ231" s="157"/>
      <c r="GR231" s="157"/>
      <c r="GS231" s="157"/>
      <c r="GT231" s="157"/>
      <c r="GU231" s="157"/>
      <c r="GV231" s="157"/>
      <c r="GW231" s="157"/>
      <c r="GX231" s="157"/>
      <c r="GY231" s="157"/>
      <c r="GZ231" s="157"/>
      <c r="HA231" s="157"/>
      <c r="HB231" s="155">
        <v>0.0</v>
      </c>
      <c r="HC231" s="155">
        <v>0.0</v>
      </c>
      <c r="HD231" s="155">
        <v>0.0</v>
      </c>
      <c r="HE231" s="155">
        <v>0.0</v>
      </c>
      <c r="HF231" s="155">
        <v>0.0</v>
      </c>
      <c r="HG231" s="155">
        <v>0.0</v>
      </c>
      <c r="IL231" s="159">
        <v>0.0</v>
      </c>
      <c r="IM231" s="156">
        <v>0.0</v>
      </c>
      <c r="IN231" s="156">
        <v>0.0</v>
      </c>
      <c r="IO231" s="156">
        <v>0.0</v>
      </c>
      <c r="IP231" s="156">
        <v>0.0</v>
      </c>
      <c r="IQ231" s="160">
        <v>0.0</v>
      </c>
      <c r="JH231" s="25"/>
      <c r="JW231" s="159">
        <v>0.0</v>
      </c>
      <c r="JX231" s="156">
        <v>0.0</v>
      </c>
      <c r="JY231" s="156">
        <v>0.0</v>
      </c>
      <c r="JZ231" s="156">
        <v>0.0</v>
      </c>
      <c r="KA231" s="156">
        <v>0.0</v>
      </c>
      <c r="KB231" s="160">
        <v>0.0</v>
      </c>
      <c r="LH231" s="159">
        <f t="shared" si="10"/>
        <v>0</v>
      </c>
      <c r="LI231" s="156">
        <f t="shared" si="11"/>
        <v>0</v>
      </c>
      <c r="LJ231" s="156">
        <f t="shared" si="12"/>
        <v>0</v>
      </c>
      <c r="LK231" s="156">
        <f t="shared" si="13"/>
        <v>0</v>
      </c>
      <c r="LL231" s="156">
        <f t="shared" si="14"/>
        <v>0</v>
      </c>
      <c r="LM231" s="160">
        <f t="shared" si="15"/>
        <v>0</v>
      </c>
      <c r="QX231" s="107">
        <v>45873.0</v>
      </c>
    </row>
    <row r="232">
      <c r="A232" s="12"/>
      <c r="B232" s="12"/>
      <c r="C232" s="12"/>
      <c r="D232" s="12"/>
      <c r="E232" s="12"/>
      <c r="F232" s="12"/>
      <c r="G232" s="12"/>
      <c r="H232" s="12"/>
      <c r="I232" s="143">
        <f t="shared" si="5"/>
        <v>-30</v>
      </c>
      <c r="J232" s="144">
        <v>45875.0</v>
      </c>
      <c r="K232" s="173" t="s">
        <v>61</v>
      </c>
      <c r="L232" s="144">
        <v>45996.0</v>
      </c>
      <c r="M232" s="147" t="s">
        <v>348</v>
      </c>
      <c r="N232" s="148">
        <v>246.0</v>
      </c>
      <c r="O232" s="148">
        <v>30.0</v>
      </c>
      <c r="P232" s="26"/>
      <c r="Q232" s="26"/>
      <c r="R232" s="26"/>
      <c r="S232" s="26"/>
      <c r="T232" s="26"/>
      <c r="U232" s="147" t="s">
        <v>786</v>
      </c>
      <c r="V232" s="149" t="s">
        <v>1974</v>
      </c>
      <c r="W232" s="198" t="s">
        <v>2735</v>
      </c>
      <c r="X232" s="181">
        <v>30.0</v>
      </c>
      <c r="Y232" s="166">
        <f t="shared" si="6"/>
        <v>30</v>
      </c>
      <c r="Z232" s="26">
        <f t="shared" si="7"/>
        <v>0</v>
      </c>
      <c r="AA232" s="26">
        <f t="shared" si="8"/>
        <v>0</v>
      </c>
      <c r="AB232" s="26">
        <f t="shared" si="9"/>
        <v>0</v>
      </c>
      <c r="AC232" s="155">
        <v>0.0</v>
      </c>
      <c r="AD232" s="155">
        <v>0.0</v>
      </c>
      <c r="AE232" s="155">
        <v>0.0</v>
      </c>
      <c r="AF232" s="155">
        <v>0.0</v>
      </c>
      <c r="AG232" s="155">
        <v>0.0</v>
      </c>
      <c r="AH232" s="155">
        <v>0.0</v>
      </c>
      <c r="BN232" s="155">
        <v>0.0</v>
      </c>
      <c r="BO232" s="155">
        <v>0.0</v>
      </c>
      <c r="BP232" s="155">
        <v>0.0</v>
      </c>
      <c r="BQ232" s="155">
        <v>0.0</v>
      </c>
      <c r="BR232" s="155">
        <v>0.0</v>
      </c>
      <c r="BS232" s="155">
        <v>0.0</v>
      </c>
      <c r="CV232" s="156">
        <v>0.0</v>
      </c>
      <c r="CW232" s="156">
        <v>0.0</v>
      </c>
      <c r="CX232" s="156">
        <v>0.0</v>
      </c>
      <c r="CY232" s="156">
        <v>0.0</v>
      </c>
      <c r="CZ232" s="156">
        <v>0.0</v>
      </c>
      <c r="DA232" s="156">
        <v>0.0</v>
      </c>
      <c r="EG232" s="156">
        <v>0.0</v>
      </c>
      <c r="EH232" s="156">
        <v>0.0</v>
      </c>
      <c r="EI232" s="156">
        <v>0.0</v>
      </c>
      <c r="EJ232" s="156">
        <v>0.0</v>
      </c>
      <c r="EK232" s="156">
        <v>0.0</v>
      </c>
      <c r="EL232" s="156">
        <v>0.0</v>
      </c>
      <c r="FQ232" s="156">
        <v>0.0</v>
      </c>
      <c r="FR232" s="156">
        <v>0.0</v>
      </c>
      <c r="FS232" s="156">
        <v>0.0</v>
      </c>
      <c r="FT232" s="156">
        <v>0.0</v>
      </c>
      <c r="FU232" s="156">
        <v>0.0</v>
      </c>
      <c r="FV232" s="156">
        <v>0.0</v>
      </c>
      <c r="FW232" s="157"/>
      <c r="FX232" s="157"/>
      <c r="FY232" s="157"/>
      <c r="FZ232" s="157"/>
      <c r="GA232" s="157"/>
      <c r="GB232" s="157"/>
      <c r="GC232" s="157"/>
      <c r="GD232" s="157"/>
      <c r="GE232" s="157"/>
      <c r="GF232" s="157"/>
      <c r="GG232" s="157"/>
      <c r="GH232" s="157"/>
      <c r="GI232" s="157"/>
      <c r="GJ232" s="157"/>
      <c r="GK232" s="157"/>
      <c r="GL232" s="157"/>
      <c r="GM232" s="157"/>
      <c r="GN232" s="157"/>
      <c r="GO232" s="157"/>
      <c r="GP232" s="158"/>
      <c r="GQ232" s="157"/>
      <c r="GR232" s="157"/>
      <c r="GS232" s="157"/>
      <c r="GT232" s="157"/>
      <c r="GU232" s="157"/>
      <c r="GV232" s="157"/>
      <c r="GW232" s="157"/>
      <c r="GX232" s="157"/>
      <c r="GY232" s="157"/>
      <c r="GZ232" s="157"/>
      <c r="HA232" s="157"/>
      <c r="HB232" s="155">
        <v>0.0</v>
      </c>
      <c r="HC232" s="155">
        <v>0.0</v>
      </c>
      <c r="HD232" s="155">
        <v>0.0</v>
      </c>
      <c r="HE232" s="155">
        <v>0.0</v>
      </c>
      <c r="HF232" s="155">
        <v>0.0</v>
      </c>
      <c r="HG232" s="155">
        <v>0.0</v>
      </c>
      <c r="IL232" s="159">
        <v>0.0</v>
      </c>
      <c r="IM232" s="156">
        <v>0.0</v>
      </c>
      <c r="IN232" s="156">
        <v>0.0</v>
      </c>
      <c r="IO232" s="156">
        <v>0.0</v>
      </c>
      <c r="IP232" s="156">
        <v>0.0</v>
      </c>
      <c r="IQ232" s="160">
        <v>0.0</v>
      </c>
      <c r="JH232" s="25"/>
      <c r="JW232" s="159">
        <v>0.0</v>
      </c>
      <c r="JX232" s="156">
        <v>0.0</v>
      </c>
      <c r="JY232" s="156">
        <v>0.0</v>
      </c>
      <c r="JZ232" s="156">
        <v>0.0</v>
      </c>
      <c r="KA232" s="156">
        <v>0.0</v>
      </c>
      <c r="KB232" s="160">
        <v>0.0</v>
      </c>
      <c r="LH232" s="159">
        <f t="shared" si="10"/>
        <v>0</v>
      </c>
      <c r="LI232" s="156">
        <f t="shared" si="11"/>
        <v>0</v>
      </c>
      <c r="LJ232" s="156">
        <f t="shared" si="12"/>
        <v>0</v>
      </c>
      <c r="LK232" s="156">
        <f t="shared" si="13"/>
        <v>0</v>
      </c>
      <c r="LL232" s="156">
        <f t="shared" si="14"/>
        <v>0</v>
      </c>
      <c r="LM232" s="160">
        <f t="shared" si="15"/>
        <v>0</v>
      </c>
      <c r="QX232" s="107">
        <v>45873.0</v>
      </c>
    </row>
    <row r="233">
      <c r="A233" s="12"/>
      <c r="B233" s="12"/>
      <c r="C233" s="12"/>
      <c r="D233" s="12"/>
      <c r="E233" s="12"/>
      <c r="F233" s="12"/>
      <c r="G233" s="12"/>
      <c r="H233" s="12"/>
      <c r="I233" s="143">
        <f t="shared" si="5"/>
        <v>-30</v>
      </c>
      <c r="J233" s="144">
        <v>45875.0</v>
      </c>
      <c r="K233" s="173" t="s">
        <v>61</v>
      </c>
      <c r="L233" s="144">
        <v>45964.0</v>
      </c>
      <c r="M233" s="147" t="s">
        <v>348</v>
      </c>
      <c r="N233" s="148">
        <v>246.0</v>
      </c>
      <c r="O233" s="148">
        <v>30.0</v>
      </c>
      <c r="P233" s="26"/>
      <c r="Q233" s="26"/>
      <c r="R233" s="26"/>
      <c r="S233" s="26"/>
      <c r="T233" s="26"/>
      <c r="U233" s="147" t="s">
        <v>990</v>
      </c>
      <c r="V233" s="149" t="s">
        <v>2683</v>
      </c>
      <c r="W233" s="198" t="s">
        <v>2737</v>
      </c>
      <c r="X233" s="181">
        <v>30.0</v>
      </c>
      <c r="Y233" s="166">
        <f t="shared" si="6"/>
        <v>30</v>
      </c>
      <c r="Z233" s="26">
        <f t="shared" si="7"/>
        <v>0</v>
      </c>
      <c r="AA233" s="26">
        <f t="shared" si="8"/>
        <v>0</v>
      </c>
      <c r="AB233" s="26">
        <f t="shared" si="9"/>
        <v>0</v>
      </c>
      <c r="AC233" s="155">
        <v>0.0</v>
      </c>
      <c r="AD233" s="155">
        <v>0.0</v>
      </c>
      <c r="AE233" s="155">
        <v>0.0</v>
      </c>
      <c r="AF233" s="155">
        <v>0.0</v>
      </c>
      <c r="AG233" s="155">
        <v>0.0</v>
      </c>
      <c r="AH233" s="155">
        <v>0.0</v>
      </c>
      <c r="BN233" s="155">
        <v>0.0</v>
      </c>
      <c r="BO233" s="155">
        <v>0.0</v>
      </c>
      <c r="BP233" s="155">
        <v>0.0</v>
      </c>
      <c r="BQ233" s="155">
        <v>0.0</v>
      </c>
      <c r="BR233" s="155">
        <v>0.0</v>
      </c>
      <c r="BS233" s="155">
        <v>0.0</v>
      </c>
      <c r="CV233" s="156">
        <v>0.0</v>
      </c>
      <c r="CW233" s="156">
        <v>0.0</v>
      </c>
      <c r="CX233" s="156">
        <v>0.0</v>
      </c>
      <c r="CY233" s="156">
        <v>0.0</v>
      </c>
      <c r="CZ233" s="156">
        <v>0.0</v>
      </c>
      <c r="DA233" s="156">
        <v>0.0</v>
      </c>
      <c r="EG233" s="156">
        <v>0.0</v>
      </c>
      <c r="EH233" s="156">
        <v>0.0</v>
      </c>
      <c r="EI233" s="156">
        <v>0.0</v>
      </c>
      <c r="EJ233" s="156">
        <v>0.0</v>
      </c>
      <c r="EK233" s="156">
        <v>0.0</v>
      </c>
      <c r="EL233" s="156">
        <v>0.0</v>
      </c>
      <c r="FQ233" s="156">
        <v>0.0</v>
      </c>
      <c r="FR233" s="156">
        <v>0.0</v>
      </c>
      <c r="FS233" s="156">
        <v>0.0</v>
      </c>
      <c r="FT233" s="156">
        <v>0.0</v>
      </c>
      <c r="FU233" s="156">
        <v>0.0</v>
      </c>
      <c r="FV233" s="156">
        <v>0.0</v>
      </c>
      <c r="FW233" s="157"/>
      <c r="FX233" s="157"/>
      <c r="FY233" s="157"/>
      <c r="FZ233" s="157"/>
      <c r="GA233" s="157"/>
      <c r="GB233" s="157"/>
      <c r="GC233" s="157"/>
      <c r="GD233" s="157"/>
      <c r="GE233" s="157"/>
      <c r="GF233" s="157"/>
      <c r="GG233" s="157"/>
      <c r="GH233" s="157"/>
      <c r="GI233" s="157"/>
      <c r="GJ233" s="157"/>
      <c r="GK233" s="157"/>
      <c r="GL233" s="157"/>
      <c r="GM233" s="157"/>
      <c r="GN233" s="157"/>
      <c r="GO233" s="157"/>
      <c r="GP233" s="158"/>
      <c r="GQ233" s="157"/>
      <c r="GR233" s="157"/>
      <c r="GS233" s="157"/>
      <c r="GT233" s="157"/>
      <c r="GU233" s="157"/>
      <c r="GV233" s="157"/>
      <c r="GW233" s="157"/>
      <c r="GX233" s="157"/>
      <c r="GY233" s="157"/>
      <c r="GZ233" s="157"/>
      <c r="HA233" s="157"/>
      <c r="HB233" s="155">
        <v>0.0</v>
      </c>
      <c r="HC233" s="155">
        <v>0.0</v>
      </c>
      <c r="HD233" s="155">
        <v>0.0</v>
      </c>
      <c r="HE233" s="155">
        <v>0.0</v>
      </c>
      <c r="HF233" s="155">
        <v>0.0</v>
      </c>
      <c r="HG233" s="155">
        <v>0.0</v>
      </c>
      <c r="IL233" s="159">
        <v>0.0</v>
      </c>
      <c r="IM233" s="156">
        <v>0.0</v>
      </c>
      <c r="IN233" s="156">
        <v>0.0</v>
      </c>
      <c r="IO233" s="156">
        <v>0.0</v>
      </c>
      <c r="IP233" s="156">
        <v>0.0</v>
      </c>
      <c r="IQ233" s="160">
        <v>0.0</v>
      </c>
      <c r="JH233" s="25"/>
      <c r="JW233" s="159">
        <v>0.0</v>
      </c>
      <c r="JX233" s="156">
        <v>0.0</v>
      </c>
      <c r="JY233" s="156">
        <v>0.0</v>
      </c>
      <c r="JZ233" s="156">
        <v>0.0</v>
      </c>
      <c r="KA233" s="156">
        <v>0.0</v>
      </c>
      <c r="KB233" s="160">
        <v>0.0</v>
      </c>
      <c r="LH233" s="159">
        <f t="shared" si="10"/>
        <v>0</v>
      </c>
      <c r="LI233" s="156">
        <f t="shared" si="11"/>
        <v>0</v>
      </c>
      <c r="LJ233" s="156">
        <f t="shared" si="12"/>
        <v>0</v>
      </c>
      <c r="LK233" s="156">
        <f t="shared" si="13"/>
        <v>0</v>
      </c>
      <c r="LL233" s="156">
        <f t="shared" si="14"/>
        <v>0</v>
      </c>
      <c r="LM233" s="160">
        <f t="shared" si="15"/>
        <v>0</v>
      </c>
      <c r="QX233" s="107">
        <v>45876.0</v>
      </c>
    </row>
    <row r="234">
      <c r="A234" s="12"/>
      <c r="B234" s="12"/>
      <c r="C234" s="12"/>
      <c r="D234" s="12"/>
      <c r="E234" s="12"/>
      <c r="F234" s="12"/>
      <c r="G234" s="12"/>
      <c r="H234" s="12"/>
      <c r="I234" s="143">
        <f t="shared" si="5"/>
        <v>-3</v>
      </c>
      <c r="J234" s="144">
        <v>45880.0</v>
      </c>
      <c r="K234" s="195" t="s">
        <v>61</v>
      </c>
      <c r="L234" s="144">
        <v>45889.0</v>
      </c>
      <c r="M234" s="147" t="s">
        <v>172</v>
      </c>
      <c r="N234" s="148">
        <v>246.0</v>
      </c>
      <c r="O234" s="148">
        <v>30.0</v>
      </c>
      <c r="P234" s="26"/>
      <c r="Q234" s="26"/>
      <c r="R234" s="26"/>
      <c r="S234" s="26"/>
      <c r="T234" s="26"/>
      <c r="U234" s="147" t="s">
        <v>2739</v>
      </c>
      <c r="V234" s="197"/>
      <c r="W234" s="198" t="s">
        <v>2740</v>
      </c>
      <c r="X234" s="181">
        <v>3.0</v>
      </c>
      <c r="Y234" s="166">
        <f t="shared" si="6"/>
        <v>3</v>
      </c>
      <c r="Z234" s="26">
        <f t="shared" si="7"/>
        <v>0</v>
      </c>
      <c r="AA234" s="26">
        <f t="shared" si="8"/>
        <v>0</v>
      </c>
      <c r="AB234" s="26">
        <f t="shared" si="9"/>
        <v>0</v>
      </c>
      <c r="AC234" s="155">
        <v>0.0</v>
      </c>
      <c r="AD234" s="155">
        <v>0.0</v>
      </c>
      <c r="AE234" s="155">
        <v>0.0</v>
      </c>
      <c r="AF234" s="155">
        <v>0.0</v>
      </c>
      <c r="AG234" s="155">
        <v>0.0</v>
      </c>
      <c r="AH234" s="155">
        <v>0.0</v>
      </c>
      <c r="BN234" s="155">
        <v>0.0</v>
      </c>
      <c r="BO234" s="155">
        <v>0.0</v>
      </c>
      <c r="BP234" s="155">
        <v>0.0</v>
      </c>
      <c r="BQ234" s="155">
        <v>0.0</v>
      </c>
      <c r="BR234" s="155">
        <v>0.0</v>
      </c>
      <c r="BS234" s="155">
        <v>0.0</v>
      </c>
      <c r="CV234" s="156">
        <v>0.0</v>
      </c>
      <c r="CW234" s="156">
        <v>0.0</v>
      </c>
      <c r="CX234" s="156">
        <v>0.0</v>
      </c>
      <c r="CY234" s="156">
        <v>0.0</v>
      </c>
      <c r="CZ234" s="156">
        <v>0.0</v>
      </c>
      <c r="DA234" s="156">
        <v>0.0</v>
      </c>
      <c r="EG234" s="156">
        <v>0.0</v>
      </c>
      <c r="EH234" s="156">
        <v>0.0</v>
      </c>
      <c r="EI234" s="156">
        <v>0.0</v>
      </c>
      <c r="EJ234" s="156">
        <v>0.0</v>
      </c>
      <c r="EK234" s="156">
        <v>0.0</v>
      </c>
      <c r="EL234" s="156">
        <v>0.0</v>
      </c>
      <c r="FQ234" s="156">
        <v>0.0</v>
      </c>
      <c r="FR234" s="156">
        <v>0.0</v>
      </c>
      <c r="FS234" s="156">
        <v>0.0</v>
      </c>
      <c r="FT234" s="156">
        <v>0.0</v>
      </c>
      <c r="FU234" s="156">
        <v>0.0</v>
      </c>
      <c r="FV234" s="156">
        <v>0.0</v>
      </c>
      <c r="FW234" s="157"/>
      <c r="FX234" s="157"/>
      <c r="FY234" s="157"/>
      <c r="FZ234" s="157"/>
      <c r="GA234" s="157"/>
      <c r="GB234" s="157"/>
      <c r="GC234" s="157"/>
      <c r="GD234" s="157"/>
      <c r="GE234" s="157"/>
      <c r="GF234" s="157"/>
      <c r="GG234" s="157"/>
      <c r="GH234" s="157"/>
      <c r="GI234" s="157"/>
      <c r="GJ234" s="157"/>
      <c r="GK234" s="157"/>
      <c r="GL234" s="157"/>
      <c r="GM234" s="157"/>
      <c r="GN234" s="157"/>
      <c r="GO234" s="157"/>
      <c r="GP234" s="158"/>
      <c r="GQ234" s="157"/>
      <c r="GR234" s="157"/>
      <c r="GS234" s="157"/>
      <c r="GT234" s="157"/>
      <c r="GU234" s="157"/>
      <c r="GV234" s="157"/>
      <c r="GW234" s="157"/>
      <c r="GX234" s="157"/>
      <c r="GY234" s="157"/>
      <c r="GZ234" s="157"/>
      <c r="HA234" s="157"/>
      <c r="HB234" s="155">
        <v>0.0</v>
      </c>
      <c r="HC234" s="155">
        <v>0.0</v>
      </c>
      <c r="HD234" s="155">
        <v>0.0</v>
      </c>
      <c r="HE234" s="155">
        <v>0.0</v>
      </c>
      <c r="HF234" s="155">
        <v>0.0</v>
      </c>
      <c r="HG234" s="155">
        <v>0.0</v>
      </c>
      <c r="IL234" s="159">
        <v>0.0</v>
      </c>
      <c r="IM234" s="156">
        <v>0.0</v>
      </c>
      <c r="IN234" s="156">
        <v>0.0</v>
      </c>
      <c r="IO234" s="156">
        <v>0.0</v>
      </c>
      <c r="IP234" s="156">
        <v>0.0</v>
      </c>
      <c r="IQ234" s="160">
        <v>0.0</v>
      </c>
      <c r="JH234" s="25"/>
      <c r="JW234" s="159">
        <v>0.0</v>
      </c>
      <c r="JX234" s="156">
        <v>0.0</v>
      </c>
      <c r="JY234" s="156">
        <v>0.0</v>
      </c>
      <c r="JZ234" s="156">
        <v>0.0</v>
      </c>
      <c r="KA234" s="156">
        <v>0.0</v>
      </c>
      <c r="KB234" s="160">
        <v>0.0</v>
      </c>
      <c r="LH234" s="159">
        <f t="shared" si="10"/>
        <v>0</v>
      </c>
      <c r="LI234" s="156">
        <f t="shared" si="11"/>
        <v>0</v>
      </c>
      <c r="LJ234" s="156">
        <f t="shared" si="12"/>
        <v>0</v>
      </c>
      <c r="LK234" s="156">
        <f t="shared" si="13"/>
        <v>0</v>
      </c>
      <c r="LL234" s="156">
        <f t="shared" si="14"/>
        <v>0</v>
      </c>
      <c r="LM234" s="160">
        <f t="shared" si="15"/>
        <v>0</v>
      </c>
      <c r="QX234" s="107">
        <v>45876.0</v>
      </c>
    </row>
    <row r="235">
      <c r="A235" s="12"/>
      <c r="B235" s="12"/>
      <c r="C235" s="12"/>
      <c r="D235" s="12"/>
      <c r="E235" s="12"/>
      <c r="F235" s="12"/>
      <c r="G235" s="12"/>
      <c r="H235" s="12"/>
      <c r="I235" s="143">
        <f t="shared" si="5"/>
        <v>-25</v>
      </c>
      <c r="J235" s="144">
        <v>45887.0</v>
      </c>
      <c r="K235" s="195" t="s">
        <v>61</v>
      </c>
      <c r="L235" s="144">
        <v>45980.0</v>
      </c>
      <c r="M235" s="147" t="s">
        <v>348</v>
      </c>
      <c r="N235" s="148">
        <v>246.0</v>
      </c>
      <c r="O235" s="148">
        <v>30.0</v>
      </c>
      <c r="P235" s="26"/>
      <c r="Q235" s="26"/>
      <c r="R235" s="26"/>
      <c r="S235" s="26"/>
      <c r="T235" s="26"/>
      <c r="U235" s="147" t="s">
        <v>763</v>
      </c>
      <c r="V235" s="149" t="s">
        <v>936</v>
      </c>
      <c r="W235" s="150" t="s">
        <v>2742</v>
      </c>
      <c r="X235" s="181">
        <v>25.0</v>
      </c>
      <c r="Y235" s="166">
        <f t="shared" si="6"/>
        <v>25</v>
      </c>
      <c r="Z235" s="26">
        <f t="shared" si="7"/>
        <v>0</v>
      </c>
      <c r="AA235" s="26">
        <f t="shared" si="8"/>
        <v>0</v>
      </c>
      <c r="AB235" s="26">
        <f t="shared" si="9"/>
        <v>0</v>
      </c>
      <c r="AC235" s="155">
        <v>0.0</v>
      </c>
      <c r="AD235" s="155">
        <v>0.0</v>
      </c>
      <c r="AE235" s="155">
        <v>0.0</v>
      </c>
      <c r="AF235" s="155">
        <v>0.0</v>
      </c>
      <c r="AG235" s="155">
        <v>0.0</v>
      </c>
      <c r="AH235" s="155">
        <v>0.0</v>
      </c>
      <c r="BN235" s="155">
        <v>0.0</v>
      </c>
      <c r="BO235" s="155">
        <v>0.0</v>
      </c>
      <c r="BP235" s="155">
        <v>0.0</v>
      </c>
      <c r="BQ235" s="155">
        <v>0.0</v>
      </c>
      <c r="BR235" s="155">
        <v>0.0</v>
      </c>
      <c r="BS235" s="155">
        <v>0.0</v>
      </c>
      <c r="CV235" s="156">
        <v>0.0</v>
      </c>
      <c r="CW235" s="156">
        <v>0.0</v>
      </c>
      <c r="CX235" s="156">
        <v>0.0</v>
      </c>
      <c r="CY235" s="156">
        <v>0.0</v>
      </c>
      <c r="CZ235" s="156">
        <v>0.0</v>
      </c>
      <c r="DA235" s="156">
        <v>0.0</v>
      </c>
      <c r="EG235" s="156">
        <v>0.0</v>
      </c>
      <c r="EH235" s="156">
        <v>0.0</v>
      </c>
      <c r="EI235" s="156">
        <v>0.0</v>
      </c>
      <c r="EJ235" s="156">
        <v>0.0</v>
      </c>
      <c r="EK235" s="156">
        <v>0.0</v>
      </c>
      <c r="EL235" s="156">
        <v>0.0</v>
      </c>
      <c r="FQ235" s="156">
        <v>0.0</v>
      </c>
      <c r="FR235" s="156">
        <v>0.0</v>
      </c>
      <c r="FS235" s="156">
        <v>0.0</v>
      </c>
      <c r="FT235" s="156">
        <v>0.0</v>
      </c>
      <c r="FU235" s="156">
        <v>0.0</v>
      </c>
      <c r="FV235" s="156">
        <v>0.0</v>
      </c>
      <c r="FW235" s="157"/>
      <c r="FX235" s="157"/>
      <c r="FY235" s="157"/>
      <c r="FZ235" s="157"/>
      <c r="GA235" s="157"/>
      <c r="GB235" s="157"/>
      <c r="GC235" s="157"/>
      <c r="GD235" s="157"/>
      <c r="GE235" s="157"/>
      <c r="GF235" s="157"/>
      <c r="GG235" s="157"/>
      <c r="GH235" s="157"/>
      <c r="GI235" s="157"/>
      <c r="GJ235" s="157"/>
      <c r="GK235" s="157"/>
      <c r="GL235" s="157"/>
      <c r="GM235" s="157"/>
      <c r="GN235" s="157"/>
      <c r="GO235" s="157"/>
      <c r="GP235" s="158"/>
      <c r="GQ235" s="157"/>
      <c r="GR235" s="157"/>
      <c r="GS235" s="157"/>
      <c r="GT235" s="157"/>
      <c r="GU235" s="157"/>
      <c r="GV235" s="157"/>
      <c r="GW235" s="157"/>
      <c r="GX235" s="157"/>
      <c r="GY235" s="157"/>
      <c r="GZ235" s="157"/>
      <c r="HA235" s="157"/>
      <c r="HB235" s="155">
        <v>0.0</v>
      </c>
      <c r="HC235" s="155">
        <v>0.0</v>
      </c>
      <c r="HD235" s="155">
        <v>0.0</v>
      </c>
      <c r="HE235" s="155">
        <v>0.0</v>
      </c>
      <c r="HF235" s="155">
        <v>0.0</v>
      </c>
      <c r="HG235" s="155">
        <v>0.0</v>
      </c>
      <c r="IL235" s="159">
        <v>0.0</v>
      </c>
      <c r="IM235" s="156">
        <v>0.0</v>
      </c>
      <c r="IN235" s="156">
        <v>0.0</v>
      </c>
      <c r="IO235" s="156">
        <v>0.0</v>
      </c>
      <c r="IP235" s="156">
        <v>0.0</v>
      </c>
      <c r="IQ235" s="160">
        <v>0.0</v>
      </c>
      <c r="JH235" s="25"/>
      <c r="JW235" s="159">
        <v>0.0</v>
      </c>
      <c r="JX235" s="156">
        <v>0.0</v>
      </c>
      <c r="JY235" s="156">
        <v>0.0</v>
      </c>
      <c r="JZ235" s="156">
        <v>0.0</v>
      </c>
      <c r="KA235" s="156">
        <v>0.0</v>
      </c>
      <c r="KB235" s="160">
        <v>0.0</v>
      </c>
      <c r="LH235" s="159">
        <f t="shared" si="10"/>
        <v>0</v>
      </c>
      <c r="LI235" s="156">
        <f t="shared" si="11"/>
        <v>0</v>
      </c>
      <c r="LJ235" s="156">
        <f t="shared" si="12"/>
        <v>0</v>
      </c>
      <c r="LK235" s="156">
        <f t="shared" si="13"/>
        <v>0</v>
      </c>
      <c r="LL235" s="156">
        <f t="shared" si="14"/>
        <v>0</v>
      </c>
      <c r="LM235" s="160">
        <f t="shared" si="15"/>
        <v>0</v>
      </c>
      <c r="QX235" s="107">
        <v>45876.0</v>
      </c>
    </row>
    <row r="236">
      <c r="A236" s="12"/>
      <c r="B236" s="12"/>
      <c r="C236" s="12"/>
      <c r="D236" s="12"/>
      <c r="E236" s="12"/>
      <c r="F236" s="12"/>
      <c r="G236" s="12"/>
      <c r="H236" s="12"/>
      <c r="I236" s="143">
        <f t="shared" si="5"/>
        <v>-20</v>
      </c>
      <c r="J236" s="144">
        <v>45888.0</v>
      </c>
      <c r="K236" s="195" t="s">
        <v>61</v>
      </c>
      <c r="L236" s="144">
        <v>45965.0</v>
      </c>
      <c r="M236" s="147" t="s">
        <v>1157</v>
      </c>
      <c r="N236" s="148">
        <v>357.0</v>
      </c>
      <c r="O236" s="148">
        <v>30.0</v>
      </c>
      <c r="P236" s="26"/>
      <c r="Q236" s="26"/>
      <c r="R236" s="26"/>
      <c r="S236" s="26"/>
      <c r="T236" s="26"/>
      <c r="U236" s="147" t="s">
        <v>2744</v>
      </c>
      <c r="V236" s="149" t="s">
        <v>1981</v>
      </c>
      <c r="W236" s="198" t="s">
        <v>2745</v>
      </c>
      <c r="X236" s="181">
        <v>20.0</v>
      </c>
      <c r="Y236" s="166">
        <f t="shared" si="6"/>
        <v>20</v>
      </c>
      <c r="Z236" s="26">
        <f t="shared" si="7"/>
        <v>0</v>
      </c>
      <c r="AA236" s="26">
        <f t="shared" si="8"/>
        <v>0</v>
      </c>
      <c r="AB236" s="26">
        <f t="shared" si="9"/>
        <v>0</v>
      </c>
      <c r="AC236" s="155">
        <v>0.0</v>
      </c>
      <c r="AD236" s="155">
        <v>0.0</v>
      </c>
      <c r="AE236" s="155">
        <v>0.0</v>
      </c>
      <c r="AF236" s="155">
        <v>0.0</v>
      </c>
      <c r="AG236" s="155">
        <v>0.0</v>
      </c>
      <c r="AH236" s="155">
        <v>0.0</v>
      </c>
      <c r="BN236" s="155">
        <v>0.0</v>
      </c>
      <c r="BO236" s="155">
        <v>0.0</v>
      </c>
      <c r="BP236" s="155">
        <v>0.0</v>
      </c>
      <c r="BQ236" s="155">
        <v>0.0</v>
      </c>
      <c r="BR236" s="155">
        <v>0.0</v>
      </c>
      <c r="BS236" s="155">
        <v>0.0</v>
      </c>
      <c r="CV236" s="156">
        <v>0.0</v>
      </c>
      <c r="CW236" s="156">
        <v>0.0</v>
      </c>
      <c r="CX236" s="156">
        <v>0.0</v>
      </c>
      <c r="CY236" s="156">
        <v>0.0</v>
      </c>
      <c r="CZ236" s="156">
        <v>0.0</v>
      </c>
      <c r="DA236" s="156">
        <v>0.0</v>
      </c>
      <c r="EG236" s="156">
        <v>0.0</v>
      </c>
      <c r="EH236" s="156">
        <v>0.0</v>
      </c>
      <c r="EI236" s="156">
        <v>0.0</v>
      </c>
      <c r="EJ236" s="156">
        <v>0.0</v>
      </c>
      <c r="EK236" s="156">
        <v>0.0</v>
      </c>
      <c r="EL236" s="156">
        <v>0.0</v>
      </c>
      <c r="FQ236" s="156">
        <v>0.0</v>
      </c>
      <c r="FR236" s="156">
        <v>0.0</v>
      </c>
      <c r="FS236" s="156">
        <v>0.0</v>
      </c>
      <c r="FT236" s="156">
        <v>0.0</v>
      </c>
      <c r="FU236" s="156">
        <v>0.0</v>
      </c>
      <c r="FV236" s="156">
        <v>0.0</v>
      </c>
      <c r="FW236" s="157"/>
      <c r="FX236" s="157"/>
      <c r="FY236" s="157"/>
      <c r="FZ236" s="157"/>
      <c r="GA236" s="157"/>
      <c r="GB236" s="157"/>
      <c r="GC236" s="157"/>
      <c r="GD236" s="157"/>
      <c r="GE236" s="157"/>
      <c r="GF236" s="157"/>
      <c r="GG236" s="157"/>
      <c r="GH236" s="157"/>
      <c r="GI236" s="157"/>
      <c r="GJ236" s="157"/>
      <c r="GK236" s="157"/>
      <c r="GL236" s="157"/>
      <c r="GM236" s="157"/>
      <c r="GN236" s="157"/>
      <c r="GO236" s="157"/>
      <c r="GP236" s="158"/>
      <c r="GQ236" s="157"/>
      <c r="GR236" s="157"/>
      <c r="GS236" s="157"/>
      <c r="GT236" s="157"/>
      <c r="GU236" s="157"/>
      <c r="GV236" s="157"/>
      <c r="GW236" s="157"/>
      <c r="GX236" s="157"/>
      <c r="GY236" s="157"/>
      <c r="GZ236" s="157"/>
      <c r="HA236" s="157"/>
      <c r="HB236" s="155">
        <v>0.0</v>
      </c>
      <c r="HC236" s="155">
        <v>0.0</v>
      </c>
      <c r="HD236" s="155">
        <v>0.0</v>
      </c>
      <c r="HE236" s="155">
        <v>0.0</v>
      </c>
      <c r="HF236" s="155">
        <v>0.0</v>
      </c>
      <c r="HG236" s="155">
        <v>0.0</v>
      </c>
      <c r="IL236" s="159">
        <v>0.0</v>
      </c>
      <c r="IM236" s="156">
        <v>0.0</v>
      </c>
      <c r="IN236" s="156">
        <v>0.0</v>
      </c>
      <c r="IO236" s="156">
        <v>0.0</v>
      </c>
      <c r="IP236" s="156">
        <v>0.0</v>
      </c>
      <c r="IQ236" s="160">
        <v>0.0</v>
      </c>
      <c r="JH236" s="25"/>
      <c r="JW236" s="159">
        <v>0.0</v>
      </c>
      <c r="JX236" s="156">
        <v>0.0</v>
      </c>
      <c r="JY236" s="156">
        <v>0.0</v>
      </c>
      <c r="JZ236" s="156">
        <v>0.0</v>
      </c>
      <c r="KA236" s="156">
        <v>0.0</v>
      </c>
      <c r="KB236" s="160">
        <v>0.0</v>
      </c>
      <c r="LH236" s="159">
        <f t="shared" si="10"/>
        <v>0</v>
      </c>
      <c r="LI236" s="156">
        <f t="shared" si="11"/>
        <v>0</v>
      </c>
      <c r="LJ236" s="156">
        <f t="shared" si="12"/>
        <v>0</v>
      </c>
      <c r="LK236" s="156">
        <f t="shared" si="13"/>
        <v>0</v>
      </c>
      <c r="LL236" s="156">
        <f t="shared" si="14"/>
        <v>0</v>
      </c>
      <c r="LM236" s="160">
        <f t="shared" si="15"/>
        <v>0</v>
      </c>
      <c r="QX236" s="107">
        <v>45876.0</v>
      </c>
    </row>
    <row r="237">
      <c r="A237" s="12"/>
      <c r="B237" s="12"/>
      <c r="C237" s="12"/>
      <c r="D237" s="12"/>
      <c r="E237" s="12"/>
      <c r="F237" s="12"/>
      <c r="G237" s="12"/>
      <c r="H237" s="12"/>
      <c r="I237" s="143">
        <f t="shared" si="5"/>
        <v>-30</v>
      </c>
      <c r="J237" s="144">
        <v>45877.0</v>
      </c>
      <c r="K237" s="173" t="s">
        <v>61</v>
      </c>
      <c r="L237" s="144">
        <v>45959.0</v>
      </c>
      <c r="M237" s="147" t="s">
        <v>2746</v>
      </c>
      <c r="N237" s="148">
        <v>246.0</v>
      </c>
      <c r="O237" s="430">
        <v>30.0</v>
      </c>
      <c r="P237" s="26"/>
      <c r="Q237" s="26"/>
      <c r="R237" s="26"/>
      <c r="S237" s="26"/>
      <c r="T237" s="26"/>
      <c r="U237" s="147" t="s">
        <v>684</v>
      </c>
      <c r="V237" s="197"/>
      <c r="W237" s="198" t="s">
        <v>2747</v>
      </c>
      <c r="X237" s="181">
        <v>30.0</v>
      </c>
      <c r="Y237" s="166">
        <f t="shared" si="6"/>
        <v>30</v>
      </c>
      <c r="Z237" s="26">
        <f t="shared" si="7"/>
        <v>0</v>
      </c>
      <c r="AA237" s="26">
        <f t="shared" si="8"/>
        <v>0</v>
      </c>
      <c r="AB237" s="26">
        <f t="shared" si="9"/>
        <v>0</v>
      </c>
      <c r="AC237" s="155">
        <v>0.0</v>
      </c>
      <c r="AD237" s="155">
        <v>0.0</v>
      </c>
      <c r="AE237" s="155">
        <v>0.0</v>
      </c>
      <c r="AF237" s="155">
        <v>0.0</v>
      </c>
      <c r="AG237" s="155">
        <v>0.0</v>
      </c>
      <c r="AH237" s="155">
        <v>0.0</v>
      </c>
      <c r="BN237" s="155">
        <v>0.0</v>
      </c>
      <c r="BO237" s="155">
        <v>0.0</v>
      </c>
      <c r="BP237" s="155">
        <v>0.0</v>
      </c>
      <c r="BQ237" s="155">
        <v>0.0</v>
      </c>
      <c r="BR237" s="155">
        <v>0.0</v>
      </c>
      <c r="BS237" s="155">
        <v>0.0</v>
      </c>
      <c r="CV237" s="156">
        <v>0.0</v>
      </c>
      <c r="CW237" s="156">
        <v>0.0</v>
      </c>
      <c r="CX237" s="156">
        <v>0.0</v>
      </c>
      <c r="CY237" s="156">
        <v>0.0</v>
      </c>
      <c r="CZ237" s="156">
        <v>0.0</v>
      </c>
      <c r="DA237" s="156">
        <v>0.0</v>
      </c>
      <c r="EG237" s="156">
        <v>0.0</v>
      </c>
      <c r="EH237" s="156">
        <v>0.0</v>
      </c>
      <c r="EI237" s="156">
        <v>0.0</v>
      </c>
      <c r="EJ237" s="156">
        <v>0.0</v>
      </c>
      <c r="EK237" s="156">
        <v>0.0</v>
      </c>
      <c r="EL237" s="156">
        <v>0.0</v>
      </c>
      <c r="FQ237" s="156">
        <v>0.0</v>
      </c>
      <c r="FR237" s="156">
        <v>0.0</v>
      </c>
      <c r="FS237" s="156">
        <v>0.0</v>
      </c>
      <c r="FT237" s="156">
        <v>0.0</v>
      </c>
      <c r="FU237" s="156">
        <v>0.0</v>
      </c>
      <c r="FV237" s="156">
        <v>0.0</v>
      </c>
      <c r="FW237" s="157"/>
      <c r="FX237" s="157"/>
      <c r="FY237" s="157"/>
      <c r="FZ237" s="157"/>
      <c r="GA237" s="157"/>
      <c r="GB237" s="157"/>
      <c r="GC237" s="157"/>
      <c r="GD237" s="157"/>
      <c r="GE237" s="157"/>
      <c r="GF237" s="157"/>
      <c r="GG237" s="157"/>
      <c r="GH237" s="157"/>
      <c r="GI237" s="157"/>
      <c r="GJ237" s="157"/>
      <c r="GK237" s="157"/>
      <c r="GL237" s="157"/>
      <c r="GM237" s="157"/>
      <c r="GN237" s="157"/>
      <c r="GO237" s="157"/>
      <c r="GP237" s="158"/>
      <c r="GQ237" s="157"/>
      <c r="GR237" s="157"/>
      <c r="GS237" s="157"/>
      <c r="GT237" s="157"/>
      <c r="GU237" s="157"/>
      <c r="GV237" s="157"/>
      <c r="GW237" s="157"/>
      <c r="GX237" s="157"/>
      <c r="GY237" s="157"/>
      <c r="GZ237" s="157"/>
      <c r="HA237" s="157"/>
      <c r="HB237" s="155">
        <v>0.0</v>
      </c>
      <c r="HC237" s="155">
        <v>0.0</v>
      </c>
      <c r="HD237" s="155">
        <v>0.0</v>
      </c>
      <c r="HE237" s="155">
        <v>0.0</v>
      </c>
      <c r="HF237" s="155">
        <v>0.0</v>
      </c>
      <c r="HG237" s="155">
        <v>0.0</v>
      </c>
      <c r="IL237" s="159">
        <v>0.0</v>
      </c>
      <c r="IM237" s="156">
        <v>0.0</v>
      </c>
      <c r="IN237" s="156">
        <v>0.0</v>
      </c>
      <c r="IO237" s="156">
        <v>0.0</v>
      </c>
      <c r="IP237" s="156">
        <v>0.0</v>
      </c>
      <c r="IQ237" s="160">
        <v>0.0</v>
      </c>
      <c r="JH237" s="25"/>
      <c r="JW237" s="159">
        <v>0.0</v>
      </c>
      <c r="JX237" s="156">
        <v>0.0</v>
      </c>
      <c r="JY237" s="156">
        <v>0.0</v>
      </c>
      <c r="JZ237" s="156">
        <v>0.0</v>
      </c>
      <c r="KA237" s="156">
        <v>0.0</v>
      </c>
      <c r="KB237" s="160">
        <v>0.0</v>
      </c>
      <c r="LH237" s="159">
        <f t="shared" si="10"/>
        <v>0</v>
      </c>
      <c r="LI237" s="156">
        <f t="shared" si="11"/>
        <v>0</v>
      </c>
      <c r="LJ237" s="156">
        <f t="shared" si="12"/>
        <v>0</v>
      </c>
      <c r="LK237" s="156">
        <f t="shared" si="13"/>
        <v>0</v>
      </c>
      <c r="LL237" s="156">
        <f t="shared" si="14"/>
        <v>0</v>
      </c>
      <c r="LM237" s="160">
        <f t="shared" si="15"/>
        <v>0</v>
      </c>
      <c r="QX237" s="107">
        <v>45876.0</v>
      </c>
    </row>
    <row r="238">
      <c r="A238" s="12"/>
      <c r="B238" s="12"/>
      <c r="C238" s="12"/>
      <c r="D238" s="12"/>
      <c r="E238" s="12"/>
      <c r="F238" s="12"/>
      <c r="G238" s="12"/>
      <c r="H238" s="12"/>
      <c r="I238" s="143">
        <f t="shared" si="5"/>
        <v>-63</v>
      </c>
      <c r="J238" s="144">
        <v>45880.0</v>
      </c>
      <c r="K238" s="180" t="s">
        <v>61</v>
      </c>
      <c r="L238" s="171">
        <v>46099.0</v>
      </c>
      <c r="M238" s="147" t="s">
        <v>2749</v>
      </c>
      <c r="N238" s="148">
        <v>246.0</v>
      </c>
      <c r="O238" s="430">
        <v>30.0</v>
      </c>
      <c r="P238" s="26"/>
      <c r="Q238" s="26"/>
      <c r="R238" s="26"/>
      <c r="S238" s="26"/>
      <c r="T238" s="26"/>
      <c r="U238" s="147" t="s">
        <v>343</v>
      </c>
      <c r="V238" s="149" t="s">
        <v>344</v>
      </c>
      <c r="W238" s="150" t="s">
        <v>2750</v>
      </c>
      <c r="X238" s="181">
        <v>42.0</v>
      </c>
      <c r="Y238" s="166">
        <f t="shared" si="6"/>
        <v>63</v>
      </c>
      <c r="Z238" s="26">
        <f t="shared" si="7"/>
        <v>0</v>
      </c>
      <c r="AA238" s="26">
        <f t="shared" si="8"/>
        <v>1</v>
      </c>
      <c r="AB238" s="26">
        <f t="shared" si="9"/>
        <v>0</v>
      </c>
      <c r="AC238" s="155">
        <v>10.0</v>
      </c>
      <c r="AD238" s="155">
        <v>0.0</v>
      </c>
      <c r="AE238" s="155">
        <v>0.0</v>
      </c>
      <c r="AF238" s="155">
        <v>0.0</v>
      </c>
      <c r="AG238" s="155">
        <v>0.0</v>
      </c>
      <c r="AH238" s="155">
        <v>0.0</v>
      </c>
      <c r="AI238" s="167"/>
      <c r="AJ238" s="167"/>
      <c r="AK238" s="167"/>
      <c r="AL238" s="167"/>
      <c r="AM238" s="167">
        <v>1.0</v>
      </c>
      <c r="AN238" s="167">
        <v>0.0</v>
      </c>
      <c r="AO238" s="167">
        <v>1.0</v>
      </c>
      <c r="AP238" s="167">
        <v>0.0</v>
      </c>
      <c r="AQ238" s="167">
        <v>1.0</v>
      </c>
      <c r="AR238" s="167">
        <v>0.0</v>
      </c>
      <c r="AS238" s="167">
        <v>0.0</v>
      </c>
      <c r="AT238" s="167"/>
      <c r="AU238" s="167">
        <v>0.0</v>
      </c>
      <c r="AV238" s="167"/>
      <c r="AW238" s="168">
        <v>1.0</v>
      </c>
      <c r="AX238" s="167">
        <v>1.0</v>
      </c>
      <c r="AY238" s="167">
        <v>0.0</v>
      </c>
      <c r="AZ238" s="167">
        <v>0.0</v>
      </c>
      <c r="BA238" s="167">
        <v>1.0</v>
      </c>
      <c r="BB238" s="167">
        <v>0.0</v>
      </c>
      <c r="BC238" s="167"/>
      <c r="BD238" s="167">
        <v>0.0</v>
      </c>
      <c r="BE238" s="167">
        <v>1.0</v>
      </c>
      <c r="BF238" s="167">
        <v>0.0</v>
      </c>
      <c r="BG238" s="167">
        <v>0.0</v>
      </c>
      <c r="BH238" s="167"/>
      <c r="BI238" s="167">
        <v>0.0</v>
      </c>
      <c r="BJ238" s="167">
        <v>1.0</v>
      </c>
      <c r="BK238" s="168">
        <v>1.0</v>
      </c>
      <c r="BL238" s="167">
        <v>1.0</v>
      </c>
      <c r="BM238" s="167">
        <v>0.0</v>
      </c>
      <c r="BN238" s="155">
        <v>8.0</v>
      </c>
      <c r="BO238" s="155">
        <v>0.0</v>
      </c>
      <c r="BP238" s="155">
        <v>0.0</v>
      </c>
      <c r="BQ238" s="155">
        <v>1.0</v>
      </c>
      <c r="BR238" s="155">
        <v>0.0</v>
      </c>
      <c r="BS238" s="155">
        <v>0.0</v>
      </c>
      <c r="BT238" s="167">
        <v>0.0</v>
      </c>
      <c r="BU238" s="167">
        <v>1.0</v>
      </c>
      <c r="BV238" s="167">
        <v>0.0</v>
      </c>
      <c r="BW238" s="167">
        <v>1.0</v>
      </c>
      <c r="BX238" s="167">
        <v>0.0</v>
      </c>
      <c r="BY238" s="167"/>
      <c r="BZ238" s="167">
        <v>0.0</v>
      </c>
      <c r="CA238" s="167">
        <v>0.0</v>
      </c>
      <c r="CB238" s="167">
        <v>1.0</v>
      </c>
      <c r="CC238" s="167">
        <v>0.0</v>
      </c>
      <c r="CD238" s="167">
        <v>1.0</v>
      </c>
      <c r="CE238" s="168">
        <v>1.0</v>
      </c>
      <c r="CF238" s="167"/>
      <c r="CG238" s="167"/>
      <c r="CH238" s="167"/>
      <c r="CI238" s="167"/>
      <c r="CJ238" s="167"/>
      <c r="CK238" s="167"/>
      <c r="CL238" s="167"/>
      <c r="CM238" s="167"/>
      <c r="CN238" s="167"/>
      <c r="CO238" s="167"/>
      <c r="CP238" s="168" t="s">
        <v>947</v>
      </c>
      <c r="CQ238" s="168">
        <v>1.0</v>
      </c>
      <c r="CR238" s="167"/>
      <c r="CS238" s="168">
        <v>1.0</v>
      </c>
      <c r="CT238" s="167"/>
      <c r="CU238" s="167">
        <v>0.0</v>
      </c>
      <c r="CV238" s="156">
        <v>3.0</v>
      </c>
      <c r="CW238" s="156">
        <v>0.0</v>
      </c>
      <c r="CX238" s="156">
        <v>0.0</v>
      </c>
      <c r="CY238" s="156">
        <v>0.0</v>
      </c>
      <c r="CZ238" s="156">
        <v>0.0</v>
      </c>
      <c r="DA238" s="156">
        <v>0.0</v>
      </c>
      <c r="DB238" s="174"/>
      <c r="DC238" s="174"/>
      <c r="DD238" s="175">
        <v>1.0</v>
      </c>
      <c r="DE238" s="174"/>
      <c r="DF238" s="175">
        <v>1.0</v>
      </c>
      <c r="DG238" s="174"/>
      <c r="DH238" s="174"/>
      <c r="DI238" s="174"/>
      <c r="DJ238" s="174"/>
      <c r="DK238" s="174"/>
      <c r="DL238" s="175">
        <v>1.0</v>
      </c>
      <c r="DM238" s="174"/>
      <c r="DN238" s="174"/>
      <c r="DO238" s="174"/>
      <c r="DP238" s="174"/>
      <c r="DQ238" s="174"/>
      <c r="DR238" s="174"/>
      <c r="DS238" s="174"/>
      <c r="DT238" s="174"/>
      <c r="DU238" s="174"/>
      <c r="DV238" s="174"/>
      <c r="DW238" s="174"/>
      <c r="DX238" s="174"/>
      <c r="DY238" s="174"/>
      <c r="DZ238" s="174"/>
      <c r="EA238" s="174"/>
      <c r="EB238" s="174"/>
      <c r="EC238" s="174"/>
      <c r="ED238" s="174"/>
      <c r="EE238" s="174"/>
      <c r="EF238" s="174"/>
      <c r="EG238" s="156">
        <v>0.0</v>
      </c>
      <c r="EH238" s="156">
        <v>0.0</v>
      </c>
      <c r="EI238" s="156">
        <v>0.0</v>
      </c>
      <c r="EJ238" s="156">
        <v>0.0</v>
      </c>
      <c r="EK238" s="156">
        <v>0.0</v>
      </c>
      <c r="EL238" s="156">
        <v>0.0</v>
      </c>
      <c r="FQ238" s="156">
        <v>0.0</v>
      </c>
      <c r="FR238" s="156">
        <v>0.0</v>
      </c>
      <c r="FS238" s="156">
        <v>0.0</v>
      </c>
      <c r="FT238" s="156">
        <v>0.0</v>
      </c>
      <c r="FU238" s="156">
        <v>0.0</v>
      </c>
      <c r="FV238" s="156">
        <v>0.0</v>
      </c>
      <c r="FW238" s="157"/>
      <c r="FX238" s="157"/>
      <c r="FY238" s="157"/>
      <c r="FZ238" s="157"/>
      <c r="GA238" s="157"/>
      <c r="GB238" s="157"/>
      <c r="GC238" s="157"/>
      <c r="GD238" s="157"/>
      <c r="GE238" s="157"/>
      <c r="GF238" s="157"/>
      <c r="GG238" s="157"/>
      <c r="GH238" s="157"/>
      <c r="GI238" s="157"/>
      <c r="GJ238" s="157"/>
      <c r="GK238" s="157"/>
      <c r="GL238" s="157"/>
      <c r="GM238" s="157"/>
      <c r="GN238" s="157"/>
      <c r="GO238" s="157"/>
      <c r="GP238" s="158"/>
      <c r="GQ238" s="157"/>
      <c r="GR238" s="157"/>
      <c r="GS238" s="157"/>
      <c r="GT238" s="157"/>
      <c r="GU238" s="157"/>
      <c r="GV238" s="157"/>
      <c r="GW238" s="157"/>
      <c r="GX238" s="157"/>
      <c r="GY238" s="157"/>
      <c r="GZ238" s="157"/>
      <c r="HA238" s="157"/>
      <c r="HB238" s="155">
        <v>0.0</v>
      </c>
      <c r="HC238" s="155">
        <v>0.0</v>
      </c>
      <c r="HD238" s="155">
        <v>0.0</v>
      </c>
      <c r="HE238" s="155">
        <v>0.0</v>
      </c>
      <c r="HF238" s="155">
        <v>0.0</v>
      </c>
      <c r="HG238" s="155">
        <v>0.0</v>
      </c>
      <c r="IL238" s="159">
        <v>0.0</v>
      </c>
      <c r="IM238" s="156">
        <v>0.0</v>
      </c>
      <c r="IN238" s="156">
        <v>0.0</v>
      </c>
      <c r="IO238" s="156">
        <v>0.0</v>
      </c>
      <c r="IP238" s="156">
        <v>0.0</v>
      </c>
      <c r="IQ238" s="160">
        <v>0.0</v>
      </c>
      <c r="JH238" s="25"/>
      <c r="JW238" s="159">
        <v>0.0</v>
      </c>
      <c r="JX238" s="156">
        <v>0.0</v>
      </c>
      <c r="JY238" s="156">
        <v>0.0</v>
      </c>
      <c r="JZ238" s="156">
        <v>0.0</v>
      </c>
      <c r="KA238" s="156">
        <v>0.0</v>
      </c>
      <c r="KB238" s="160">
        <v>0.0</v>
      </c>
      <c r="LH238" s="159">
        <f t="shared" si="10"/>
        <v>0</v>
      </c>
      <c r="LI238" s="156">
        <f t="shared" si="11"/>
        <v>0</v>
      </c>
      <c r="LJ238" s="156">
        <f t="shared" si="12"/>
        <v>0</v>
      </c>
      <c r="LK238" s="156">
        <f t="shared" si="13"/>
        <v>0</v>
      </c>
      <c r="LL238" s="156">
        <f t="shared" si="14"/>
        <v>0</v>
      </c>
      <c r="LM238" s="160">
        <f t="shared" si="15"/>
        <v>0</v>
      </c>
      <c r="QX238" s="107">
        <v>45878.0</v>
      </c>
    </row>
    <row r="239">
      <c r="A239" s="12"/>
      <c r="B239" s="12"/>
      <c r="C239" s="12"/>
      <c r="D239" s="12"/>
      <c r="E239" s="12"/>
      <c r="F239" s="12"/>
      <c r="G239" s="12"/>
      <c r="H239" s="12"/>
      <c r="I239" s="143">
        <f t="shared" si="5"/>
        <v>-30</v>
      </c>
      <c r="J239" s="144">
        <v>45877.0</v>
      </c>
      <c r="K239" s="173" t="s">
        <v>61</v>
      </c>
      <c r="L239" s="144">
        <v>45975.0</v>
      </c>
      <c r="M239" s="147" t="s">
        <v>348</v>
      </c>
      <c r="N239" s="148">
        <v>246.0</v>
      </c>
      <c r="O239" s="430">
        <v>30.0</v>
      </c>
      <c r="P239" s="430">
        <v>30.0</v>
      </c>
      <c r="Q239" s="430">
        <v>30.0</v>
      </c>
      <c r="R239" s="430">
        <v>30.0</v>
      </c>
      <c r="S239" s="430">
        <v>30.0</v>
      </c>
      <c r="T239" s="430">
        <v>30.0</v>
      </c>
      <c r="U239" s="147" t="s">
        <v>2519</v>
      </c>
      <c r="V239" s="149" t="s">
        <v>307</v>
      </c>
      <c r="W239" s="198" t="s">
        <v>2754</v>
      </c>
      <c r="X239" s="181">
        <v>30.0</v>
      </c>
      <c r="Y239" s="166">
        <f t="shared" si="6"/>
        <v>30</v>
      </c>
      <c r="Z239" s="26">
        <f t="shared" si="7"/>
        <v>0</v>
      </c>
      <c r="AA239" s="26">
        <f t="shared" si="8"/>
        <v>0</v>
      </c>
      <c r="AB239" s="26">
        <f t="shared" si="9"/>
        <v>0</v>
      </c>
      <c r="AC239" s="155">
        <v>0.0</v>
      </c>
      <c r="AD239" s="155">
        <v>0.0</v>
      </c>
      <c r="AE239" s="155">
        <v>0.0</v>
      </c>
      <c r="AF239" s="155">
        <v>0.0</v>
      </c>
      <c r="AG239" s="155">
        <v>0.0</v>
      </c>
      <c r="AH239" s="155">
        <v>0.0</v>
      </c>
      <c r="BN239" s="155">
        <v>0.0</v>
      </c>
      <c r="BO239" s="155">
        <v>0.0</v>
      </c>
      <c r="BP239" s="155">
        <v>0.0</v>
      </c>
      <c r="BQ239" s="155">
        <v>0.0</v>
      </c>
      <c r="BR239" s="155">
        <v>0.0</v>
      </c>
      <c r="BS239" s="155">
        <v>0.0</v>
      </c>
      <c r="CV239" s="156">
        <v>0.0</v>
      </c>
      <c r="CW239" s="156">
        <v>0.0</v>
      </c>
      <c r="CX239" s="156">
        <v>0.0</v>
      </c>
      <c r="CY239" s="156">
        <v>0.0</v>
      </c>
      <c r="CZ239" s="156">
        <v>0.0</v>
      </c>
      <c r="DA239" s="156">
        <v>0.0</v>
      </c>
      <c r="EG239" s="156">
        <v>0.0</v>
      </c>
      <c r="EH239" s="156">
        <v>0.0</v>
      </c>
      <c r="EI239" s="156">
        <v>0.0</v>
      </c>
      <c r="EJ239" s="156">
        <v>0.0</v>
      </c>
      <c r="EK239" s="156">
        <v>0.0</v>
      </c>
      <c r="EL239" s="156">
        <v>0.0</v>
      </c>
      <c r="FQ239" s="156">
        <v>0.0</v>
      </c>
      <c r="FR239" s="156">
        <v>0.0</v>
      </c>
      <c r="FS239" s="156">
        <v>0.0</v>
      </c>
      <c r="FT239" s="156">
        <v>0.0</v>
      </c>
      <c r="FU239" s="156">
        <v>0.0</v>
      </c>
      <c r="FV239" s="156">
        <v>0.0</v>
      </c>
      <c r="FW239" s="157"/>
      <c r="FX239" s="157"/>
      <c r="FY239" s="157"/>
      <c r="FZ239" s="157"/>
      <c r="GA239" s="157"/>
      <c r="GB239" s="157"/>
      <c r="GC239" s="157"/>
      <c r="GD239" s="157"/>
      <c r="GE239" s="157"/>
      <c r="GF239" s="157"/>
      <c r="GG239" s="157"/>
      <c r="GH239" s="157"/>
      <c r="GI239" s="157"/>
      <c r="GJ239" s="157"/>
      <c r="GK239" s="157"/>
      <c r="GL239" s="157"/>
      <c r="GM239" s="157"/>
      <c r="GN239" s="157"/>
      <c r="GO239" s="157"/>
      <c r="GP239" s="158"/>
      <c r="GQ239" s="157"/>
      <c r="GR239" s="157"/>
      <c r="GS239" s="157"/>
      <c r="GT239" s="157"/>
      <c r="GU239" s="157"/>
      <c r="GV239" s="157"/>
      <c r="GW239" s="157"/>
      <c r="GX239" s="157"/>
      <c r="GY239" s="157"/>
      <c r="GZ239" s="157"/>
      <c r="HA239" s="157"/>
      <c r="HB239" s="155">
        <v>0.0</v>
      </c>
      <c r="HC239" s="155">
        <v>0.0</v>
      </c>
      <c r="HD239" s="155">
        <v>0.0</v>
      </c>
      <c r="HE239" s="155">
        <v>0.0</v>
      </c>
      <c r="HF239" s="155">
        <v>0.0</v>
      </c>
      <c r="HG239" s="155">
        <v>0.0</v>
      </c>
      <c r="IL239" s="159">
        <v>0.0</v>
      </c>
      <c r="IM239" s="156">
        <v>0.0</v>
      </c>
      <c r="IN239" s="156">
        <v>0.0</v>
      </c>
      <c r="IO239" s="156">
        <v>0.0</v>
      </c>
      <c r="IP239" s="156">
        <v>0.0</v>
      </c>
      <c r="IQ239" s="160">
        <v>0.0</v>
      </c>
      <c r="JH239" s="25"/>
      <c r="JW239" s="159">
        <v>0.0</v>
      </c>
      <c r="JX239" s="156">
        <v>0.0</v>
      </c>
      <c r="JY239" s="156">
        <v>0.0</v>
      </c>
      <c r="JZ239" s="156">
        <v>0.0</v>
      </c>
      <c r="KA239" s="156">
        <v>0.0</v>
      </c>
      <c r="KB239" s="160">
        <v>0.0</v>
      </c>
      <c r="LH239" s="159">
        <f t="shared" si="10"/>
        <v>0</v>
      </c>
      <c r="LI239" s="156">
        <f t="shared" si="11"/>
        <v>0</v>
      </c>
      <c r="LJ239" s="156">
        <f t="shared" si="12"/>
        <v>0</v>
      </c>
      <c r="LK239" s="156">
        <f t="shared" si="13"/>
        <v>0</v>
      </c>
      <c r="LL239" s="156">
        <f t="shared" si="14"/>
        <v>0</v>
      </c>
      <c r="LM239" s="160">
        <f t="shared" si="15"/>
        <v>0</v>
      </c>
      <c r="QX239" s="107">
        <v>45878.0</v>
      </c>
    </row>
    <row r="240">
      <c r="A240" s="12"/>
      <c r="B240" s="12"/>
      <c r="C240" s="12"/>
      <c r="D240" s="12"/>
      <c r="E240" s="12"/>
      <c r="F240" s="12"/>
      <c r="G240" s="12"/>
      <c r="H240" s="12"/>
      <c r="I240" s="143">
        <f t="shared" si="5"/>
        <v>-29</v>
      </c>
      <c r="J240" s="144">
        <v>45878.0</v>
      </c>
      <c r="K240" s="173" t="s">
        <v>61</v>
      </c>
      <c r="L240" s="144">
        <v>45981.0</v>
      </c>
      <c r="M240" s="147" t="s">
        <v>348</v>
      </c>
      <c r="N240" s="148">
        <v>357.0</v>
      </c>
      <c r="O240" s="430">
        <v>30.0</v>
      </c>
      <c r="P240" s="26"/>
      <c r="Q240" s="26"/>
      <c r="R240" s="26"/>
      <c r="S240" s="26"/>
      <c r="T240" s="26"/>
      <c r="U240" s="147" t="s">
        <v>2757</v>
      </c>
      <c r="V240" s="197"/>
      <c r="W240" s="198" t="s">
        <v>2758</v>
      </c>
      <c r="X240" s="181">
        <v>29.0</v>
      </c>
      <c r="Y240" s="166">
        <f t="shared" si="6"/>
        <v>29</v>
      </c>
      <c r="Z240" s="26">
        <f t="shared" si="7"/>
        <v>0</v>
      </c>
      <c r="AA240" s="26">
        <f t="shared" si="8"/>
        <v>0</v>
      </c>
      <c r="AB240" s="26">
        <f t="shared" si="9"/>
        <v>0</v>
      </c>
      <c r="AC240" s="155">
        <v>0.0</v>
      </c>
      <c r="AD240" s="155">
        <v>0.0</v>
      </c>
      <c r="AE240" s="155">
        <v>0.0</v>
      </c>
      <c r="AF240" s="155">
        <v>0.0</v>
      </c>
      <c r="AG240" s="155">
        <v>0.0</v>
      </c>
      <c r="AH240" s="155">
        <v>0.0</v>
      </c>
      <c r="BN240" s="155">
        <v>0.0</v>
      </c>
      <c r="BO240" s="155">
        <v>0.0</v>
      </c>
      <c r="BP240" s="155">
        <v>0.0</v>
      </c>
      <c r="BQ240" s="155">
        <v>0.0</v>
      </c>
      <c r="BR240" s="155">
        <v>0.0</v>
      </c>
      <c r="BS240" s="155">
        <v>0.0</v>
      </c>
      <c r="CV240" s="156">
        <v>0.0</v>
      </c>
      <c r="CW240" s="156">
        <v>0.0</v>
      </c>
      <c r="CX240" s="156">
        <v>0.0</v>
      </c>
      <c r="CY240" s="156">
        <v>0.0</v>
      </c>
      <c r="CZ240" s="156">
        <v>0.0</v>
      </c>
      <c r="DA240" s="156">
        <v>0.0</v>
      </c>
      <c r="EG240" s="156">
        <v>0.0</v>
      </c>
      <c r="EH240" s="156">
        <v>0.0</v>
      </c>
      <c r="EI240" s="156">
        <v>0.0</v>
      </c>
      <c r="EJ240" s="156">
        <v>0.0</v>
      </c>
      <c r="EK240" s="156">
        <v>0.0</v>
      </c>
      <c r="EL240" s="156">
        <v>0.0</v>
      </c>
      <c r="FQ240" s="156">
        <v>0.0</v>
      </c>
      <c r="FR240" s="156">
        <v>0.0</v>
      </c>
      <c r="FS240" s="156">
        <v>0.0</v>
      </c>
      <c r="FT240" s="156">
        <v>0.0</v>
      </c>
      <c r="FU240" s="156">
        <v>0.0</v>
      </c>
      <c r="FV240" s="156">
        <v>0.0</v>
      </c>
      <c r="FW240" s="157"/>
      <c r="FX240" s="157"/>
      <c r="FY240" s="157"/>
      <c r="FZ240" s="157"/>
      <c r="GA240" s="157"/>
      <c r="GB240" s="157"/>
      <c r="GC240" s="157"/>
      <c r="GD240" s="157"/>
      <c r="GE240" s="157"/>
      <c r="GF240" s="157"/>
      <c r="GG240" s="157"/>
      <c r="GH240" s="157"/>
      <c r="GI240" s="157"/>
      <c r="GJ240" s="157"/>
      <c r="GK240" s="157"/>
      <c r="GL240" s="157"/>
      <c r="GM240" s="157"/>
      <c r="GN240" s="157"/>
      <c r="GO240" s="157"/>
      <c r="GP240" s="158"/>
      <c r="GQ240" s="157"/>
      <c r="GR240" s="157"/>
      <c r="GS240" s="157"/>
      <c r="GT240" s="157"/>
      <c r="GU240" s="157"/>
      <c r="GV240" s="157"/>
      <c r="GW240" s="157"/>
      <c r="GX240" s="157"/>
      <c r="GY240" s="157"/>
      <c r="GZ240" s="157"/>
      <c r="HA240" s="157"/>
      <c r="HB240" s="155">
        <v>0.0</v>
      </c>
      <c r="HC240" s="155">
        <v>0.0</v>
      </c>
      <c r="HD240" s="155">
        <v>0.0</v>
      </c>
      <c r="HE240" s="155">
        <v>0.0</v>
      </c>
      <c r="HF240" s="155">
        <v>0.0</v>
      </c>
      <c r="HG240" s="155">
        <v>0.0</v>
      </c>
      <c r="IL240" s="159">
        <v>0.0</v>
      </c>
      <c r="IM240" s="156">
        <v>0.0</v>
      </c>
      <c r="IN240" s="156">
        <v>0.0</v>
      </c>
      <c r="IO240" s="156">
        <v>0.0</v>
      </c>
      <c r="IP240" s="156">
        <v>0.0</v>
      </c>
      <c r="IQ240" s="160">
        <v>0.0</v>
      </c>
      <c r="JH240" s="25"/>
      <c r="JW240" s="159">
        <v>0.0</v>
      </c>
      <c r="JX240" s="156">
        <v>0.0</v>
      </c>
      <c r="JY240" s="156">
        <v>0.0</v>
      </c>
      <c r="JZ240" s="156">
        <v>0.0</v>
      </c>
      <c r="KA240" s="156">
        <v>0.0</v>
      </c>
      <c r="KB240" s="160">
        <v>0.0</v>
      </c>
      <c r="LH240" s="159">
        <f t="shared" si="10"/>
        <v>0</v>
      </c>
      <c r="LI240" s="156">
        <f t="shared" si="11"/>
        <v>0</v>
      </c>
      <c r="LJ240" s="156">
        <f t="shared" si="12"/>
        <v>0</v>
      </c>
      <c r="LK240" s="156">
        <f t="shared" si="13"/>
        <v>0</v>
      </c>
      <c r="LL240" s="156">
        <f t="shared" si="14"/>
        <v>0</v>
      </c>
      <c r="LM240" s="160">
        <f t="shared" si="15"/>
        <v>0</v>
      </c>
      <c r="QX240" s="107">
        <v>45878.0</v>
      </c>
    </row>
    <row r="241">
      <c r="A241" s="12"/>
      <c r="B241" s="12"/>
      <c r="C241" s="12"/>
      <c r="D241" s="12"/>
      <c r="E241" s="12"/>
      <c r="F241" s="12"/>
      <c r="G241" s="12"/>
      <c r="H241" s="12"/>
      <c r="I241" s="143">
        <f t="shared" si="5"/>
        <v>-3</v>
      </c>
      <c r="J241" s="144">
        <v>45881.0</v>
      </c>
      <c r="K241" s="49" t="s">
        <v>61</v>
      </c>
      <c r="L241" s="144">
        <v>45885.0</v>
      </c>
      <c r="M241" s="147" t="s">
        <v>227</v>
      </c>
      <c r="N241" s="148">
        <v>357.0</v>
      </c>
      <c r="O241" s="148">
        <v>30.0</v>
      </c>
      <c r="P241" s="26"/>
      <c r="Q241" s="26"/>
      <c r="R241" s="26"/>
      <c r="S241" s="26"/>
      <c r="T241" s="26"/>
      <c r="U241" s="147" t="s">
        <v>2759</v>
      </c>
      <c r="V241" s="197"/>
      <c r="W241" s="198" t="s">
        <v>2760</v>
      </c>
      <c r="X241" s="181">
        <v>3.0</v>
      </c>
      <c r="Y241" s="166">
        <f t="shared" si="6"/>
        <v>3</v>
      </c>
      <c r="Z241" s="26">
        <f t="shared" si="7"/>
        <v>0</v>
      </c>
      <c r="AA241" s="26">
        <f t="shared" si="8"/>
        <v>0</v>
      </c>
      <c r="AB241" s="26">
        <f t="shared" si="9"/>
        <v>0</v>
      </c>
      <c r="AC241" s="155">
        <v>0.0</v>
      </c>
      <c r="AD241" s="155">
        <v>0.0</v>
      </c>
      <c r="AE241" s="155">
        <v>0.0</v>
      </c>
      <c r="AF241" s="155">
        <v>0.0</v>
      </c>
      <c r="AG241" s="155">
        <v>0.0</v>
      </c>
      <c r="AH241" s="155">
        <v>0.0</v>
      </c>
      <c r="BN241" s="155">
        <v>0.0</v>
      </c>
      <c r="BO241" s="155">
        <v>0.0</v>
      </c>
      <c r="BP241" s="155">
        <v>0.0</v>
      </c>
      <c r="BQ241" s="155">
        <v>0.0</v>
      </c>
      <c r="BR241" s="155">
        <v>0.0</v>
      </c>
      <c r="BS241" s="155">
        <v>0.0</v>
      </c>
      <c r="CV241" s="156">
        <v>0.0</v>
      </c>
      <c r="CW241" s="156">
        <v>0.0</v>
      </c>
      <c r="CX241" s="156">
        <v>0.0</v>
      </c>
      <c r="CY241" s="156">
        <v>0.0</v>
      </c>
      <c r="CZ241" s="156">
        <v>0.0</v>
      </c>
      <c r="DA241" s="156">
        <v>0.0</v>
      </c>
      <c r="EG241" s="156">
        <v>0.0</v>
      </c>
      <c r="EH241" s="156">
        <v>0.0</v>
      </c>
      <c r="EI241" s="156">
        <v>0.0</v>
      </c>
      <c r="EJ241" s="156">
        <v>0.0</v>
      </c>
      <c r="EK241" s="156">
        <v>0.0</v>
      </c>
      <c r="EL241" s="156">
        <v>0.0</v>
      </c>
      <c r="FQ241" s="156">
        <v>0.0</v>
      </c>
      <c r="FR241" s="156">
        <v>0.0</v>
      </c>
      <c r="FS241" s="156">
        <v>0.0</v>
      </c>
      <c r="FT241" s="156">
        <v>0.0</v>
      </c>
      <c r="FU241" s="156">
        <v>0.0</v>
      </c>
      <c r="FV241" s="156">
        <v>0.0</v>
      </c>
      <c r="FW241" s="157"/>
      <c r="FX241" s="157"/>
      <c r="FY241" s="157"/>
      <c r="FZ241" s="157"/>
      <c r="GA241" s="157"/>
      <c r="GB241" s="157"/>
      <c r="GC241" s="157"/>
      <c r="GD241" s="157"/>
      <c r="GE241" s="157"/>
      <c r="GF241" s="157"/>
      <c r="GG241" s="157"/>
      <c r="GH241" s="157"/>
      <c r="GI241" s="157"/>
      <c r="GJ241" s="157"/>
      <c r="GK241" s="157"/>
      <c r="GL241" s="157"/>
      <c r="GM241" s="157"/>
      <c r="GN241" s="157"/>
      <c r="GO241" s="157"/>
      <c r="GP241" s="158"/>
      <c r="GQ241" s="157"/>
      <c r="GR241" s="157"/>
      <c r="GS241" s="157"/>
      <c r="GT241" s="157"/>
      <c r="GU241" s="157"/>
      <c r="GV241" s="157"/>
      <c r="GW241" s="157"/>
      <c r="GX241" s="157"/>
      <c r="GY241" s="157"/>
      <c r="GZ241" s="157"/>
      <c r="HA241" s="157"/>
      <c r="HB241" s="155">
        <v>0.0</v>
      </c>
      <c r="HC241" s="155">
        <v>0.0</v>
      </c>
      <c r="HD241" s="155">
        <v>0.0</v>
      </c>
      <c r="HE241" s="155">
        <v>0.0</v>
      </c>
      <c r="HF241" s="155">
        <v>0.0</v>
      </c>
      <c r="HG241" s="155">
        <v>0.0</v>
      </c>
      <c r="IL241" s="159">
        <v>0.0</v>
      </c>
      <c r="IM241" s="156">
        <v>0.0</v>
      </c>
      <c r="IN241" s="156">
        <v>0.0</v>
      </c>
      <c r="IO241" s="156">
        <v>0.0</v>
      </c>
      <c r="IP241" s="156">
        <v>0.0</v>
      </c>
      <c r="IQ241" s="160">
        <v>0.0</v>
      </c>
      <c r="JH241" s="25"/>
      <c r="JW241" s="159">
        <v>0.0</v>
      </c>
      <c r="JX241" s="156">
        <v>0.0</v>
      </c>
      <c r="JY241" s="156">
        <v>0.0</v>
      </c>
      <c r="JZ241" s="156">
        <v>0.0</v>
      </c>
      <c r="KA241" s="156">
        <v>0.0</v>
      </c>
      <c r="KB241" s="160">
        <v>0.0</v>
      </c>
      <c r="LH241" s="159">
        <f t="shared" si="10"/>
        <v>0</v>
      </c>
      <c r="LI241" s="156">
        <f t="shared" si="11"/>
        <v>0</v>
      </c>
      <c r="LJ241" s="156">
        <f t="shared" si="12"/>
        <v>0</v>
      </c>
      <c r="LK241" s="156">
        <f t="shared" si="13"/>
        <v>0</v>
      </c>
      <c r="LL241" s="156">
        <f t="shared" si="14"/>
        <v>0</v>
      </c>
      <c r="LM241" s="160">
        <f t="shared" si="15"/>
        <v>0</v>
      </c>
      <c r="QX241" s="107">
        <v>45881.0</v>
      </c>
    </row>
    <row r="242">
      <c r="A242" s="12"/>
      <c r="B242" s="12"/>
      <c r="C242" s="12"/>
      <c r="D242" s="12"/>
      <c r="E242" s="12"/>
      <c r="F242" s="12"/>
      <c r="G242" s="12"/>
      <c r="H242" s="12"/>
      <c r="I242" s="143">
        <f t="shared" si="5"/>
        <v>-14</v>
      </c>
      <c r="J242" s="144">
        <v>45881.0</v>
      </c>
      <c r="K242" s="195" t="s">
        <v>61</v>
      </c>
      <c r="L242" s="144">
        <v>45936.0</v>
      </c>
      <c r="M242" s="147" t="s">
        <v>2763</v>
      </c>
      <c r="N242" s="148">
        <v>357.0</v>
      </c>
      <c r="O242" s="148">
        <v>30.0</v>
      </c>
      <c r="P242" s="26"/>
      <c r="Q242" s="26"/>
      <c r="R242" s="26"/>
      <c r="S242" s="26"/>
      <c r="T242" s="26"/>
      <c r="U242" s="147" t="s">
        <v>1259</v>
      </c>
      <c r="V242" s="197"/>
      <c r="W242" s="198" t="s">
        <v>2764</v>
      </c>
      <c r="X242" s="181">
        <v>14.0</v>
      </c>
      <c r="Y242" s="166">
        <f t="shared" si="6"/>
        <v>14</v>
      </c>
      <c r="Z242" s="26">
        <f t="shared" si="7"/>
        <v>0</v>
      </c>
      <c r="AA242" s="26">
        <f t="shared" si="8"/>
        <v>0</v>
      </c>
      <c r="AB242" s="26">
        <f t="shared" si="9"/>
        <v>0</v>
      </c>
      <c r="AC242" s="155">
        <v>0.0</v>
      </c>
      <c r="AD242" s="155">
        <v>0.0</v>
      </c>
      <c r="AE242" s="155">
        <v>0.0</v>
      </c>
      <c r="AF242" s="155">
        <v>0.0</v>
      </c>
      <c r="AG242" s="155">
        <v>0.0</v>
      </c>
      <c r="AH242" s="155">
        <v>0.0</v>
      </c>
      <c r="BN242" s="155">
        <v>0.0</v>
      </c>
      <c r="BO242" s="155">
        <v>0.0</v>
      </c>
      <c r="BP242" s="155">
        <v>0.0</v>
      </c>
      <c r="BQ242" s="155">
        <v>0.0</v>
      </c>
      <c r="BR242" s="155">
        <v>0.0</v>
      </c>
      <c r="BS242" s="155">
        <v>0.0</v>
      </c>
      <c r="CV242" s="156">
        <v>0.0</v>
      </c>
      <c r="CW242" s="156">
        <v>0.0</v>
      </c>
      <c r="CX242" s="156">
        <v>0.0</v>
      </c>
      <c r="CY242" s="156">
        <v>0.0</v>
      </c>
      <c r="CZ242" s="156">
        <v>0.0</v>
      </c>
      <c r="DA242" s="156">
        <v>0.0</v>
      </c>
      <c r="EG242" s="156">
        <v>0.0</v>
      </c>
      <c r="EH242" s="156">
        <v>0.0</v>
      </c>
      <c r="EI242" s="156">
        <v>0.0</v>
      </c>
      <c r="EJ242" s="156">
        <v>0.0</v>
      </c>
      <c r="EK242" s="156">
        <v>0.0</v>
      </c>
      <c r="EL242" s="156">
        <v>0.0</v>
      </c>
      <c r="FQ242" s="156">
        <v>0.0</v>
      </c>
      <c r="FR242" s="156">
        <v>0.0</v>
      </c>
      <c r="FS242" s="156">
        <v>0.0</v>
      </c>
      <c r="FT242" s="156">
        <v>0.0</v>
      </c>
      <c r="FU242" s="156">
        <v>0.0</v>
      </c>
      <c r="FV242" s="156">
        <v>0.0</v>
      </c>
      <c r="FW242" s="157"/>
      <c r="FX242" s="157"/>
      <c r="FY242" s="157"/>
      <c r="FZ242" s="157"/>
      <c r="GA242" s="157"/>
      <c r="GB242" s="157"/>
      <c r="GC242" s="157"/>
      <c r="GD242" s="157"/>
      <c r="GE242" s="157"/>
      <c r="GF242" s="157"/>
      <c r="GG242" s="157"/>
      <c r="GH242" s="157"/>
      <c r="GI242" s="157"/>
      <c r="GJ242" s="157"/>
      <c r="GK242" s="157"/>
      <c r="GL242" s="157"/>
      <c r="GM242" s="157"/>
      <c r="GN242" s="157"/>
      <c r="GO242" s="157"/>
      <c r="GP242" s="158"/>
      <c r="GQ242" s="157"/>
      <c r="GR242" s="157"/>
      <c r="GS242" s="157"/>
      <c r="GT242" s="157"/>
      <c r="GU242" s="157"/>
      <c r="GV242" s="157"/>
      <c r="GW242" s="157"/>
      <c r="GX242" s="157"/>
      <c r="GY242" s="157"/>
      <c r="GZ242" s="157"/>
      <c r="HA242" s="157"/>
      <c r="HB242" s="155">
        <v>0.0</v>
      </c>
      <c r="HC242" s="155">
        <v>0.0</v>
      </c>
      <c r="HD242" s="155">
        <v>0.0</v>
      </c>
      <c r="HE242" s="155">
        <v>0.0</v>
      </c>
      <c r="HF242" s="155">
        <v>0.0</v>
      </c>
      <c r="HG242" s="155">
        <v>0.0</v>
      </c>
      <c r="IL242" s="159">
        <v>0.0</v>
      </c>
      <c r="IM242" s="156">
        <v>0.0</v>
      </c>
      <c r="IN242" s="156">
        <v>0.0</v>
      </c>
      <c r="IO242" s="156">
        <v>0.0</v>
      </c>
      <c r="IP242" s="156">
        <v>0.0</v>
      </c>
      <c r="IQ242" s="160">
        <v>0.0</v>
      </c>
      <c r="JH242" s="25"/>
      <c r="JW242" s="159">
        <v>0.0</v>
      </c>
      <c r="JX242" s="156">
        <v>0.0</v>
      </c>
      <c r="JY242" s="156">
        <v>0.0</v>
      </c>
      <c r="JZ242" s="156">
        <v>0.0</v>
      </c>
      <c r="KA242" s="156">
        <v>0.0</v>
      </c>
      <c r="KB242" s="160">
        <v>0.0</v>
      </c>
      <c r="LH242" s="159">
        <f t="shared" si="10"/>
        <v>0</v>
      </c>
      <c r="LI242" s="156">
        <f t="shared" si="11"/>
        <v>0</v>
      </c>
      <c r="LJ242" s="156">
        <f t="shared" si="12"/>
        <v>0</v>
      </c>
      <c r="LK242" s="156">
        <f t="shared" si="13"/>
        <v>0</v>
      </c>
      <c r="LL242" s="156">
        <f t="shared" si="14"/>
        <v>0</v>
      </c>
      <c r="LM242" s="160">
        <f t="shared" si="15"/>
        <v>0</v>
      </c>
      <c r="QX242" s="107">
        <v>45881.0</v>
      </c>
    </row>
    <row r="243">
      <c r="A243" s="12"/>
      <c r="B243" s="12"/>
      <c r="C243" s="12"/>
      <c r="D243" s="12"/>
      <c r="E243" s="12"/>
      <c r="F243" s="12"/>
      <c r="G243" s="12"/>
      <c r="H243" s="12"/>
      <c r="I243" s="143">
        <f t="shared" si="5"/>
        <v>-25</v>
      </c>
      <c r="J243" s="144">
        <v>45890.0</v>
      </c>
      <c r="K243" s="195" t="s">
        <v>61</v>
      </c>
      <c r="L243" s="171">
        <v>45979.0</v>
      </c>
      <c r="M243" s="147" t="s">
        <v>2765</v>
      </c>
      <c r="N243" s="148">
        <v>2356.0</v>
      </c>
      <c r="O243" s="148">
        <v>30.0</v>
      </c>
      <c r="P243" s="26"/>
      <c r="Q243" s="26"/>
      <c r="R243" s="26"/>
      <c r="S243" s="26"/>
      <c r="T243" s="26"/>
      <c r="U243" s="147" t="s">
        <v>2519</v>
      </c>
      <c r="V243" s="149" t="s">
        <v>307</v>
      </c>
      <c r="W243" s="198" t="s">
        <v>2766</v>
      </c>
      <c r="X243" s="181">
        <v>25.0</v>
      </c>
      <c r="Y243" s="166">
        <f t="shared" si="6"/>
        <v>25</v>
      </c>
      <c r="Z243" s="26">
        <f t="shared" si="7"/>
        <v>0</v>
      </c>
      <c r="AA243" s="26">
        <f t="shared" si="8"/>
        <v>0</v>
      </c>
      <c r="AB243" s="26">
        <f t="shared" si="9"/>
        <v>0</v>
      </c>
      <c r="AC243" s="155">
        <v>0.0</v>
      </c>
      <c r="AD243" s="155">
        <v>0.0</v>
      </c>
      <c r="AE243" s="155">
        <v>0.0</v>
      </c>
      <c r="AF243" s="155">
        <v>0.0</v>
      </c>
      <c r="AG243" s="155">
        <v>0.0</v>
      </c>
      <c r="AH243" s="155">
        <v>0.0</v>
      </c>
      <c r="BN243" s="155">
        <v>0.0</v>
      </c>
      <c r="BO243" s="155">
        <v>0.0</v>
      </c>
      <c r="BP243" s="155">
        <v>0.0</v>
      </c>
      <c r="BQ243" s="155">
        <v>0.0</v>
      </c>
      <c r="BR243" s="155">
        <v>0.0</v>
      </c>
      <c r="BS243" s="155">
        <v>0.0</v>
      </c>
      <c r="CV243" s="156">
        <v>0.0</v>
      </c>
      <c r="CW243" s="156">
        <v>0.0</v>
      </c>
      <c r="CX243" s="156">
        <v>0.0</v>
      </c>
      <c r="CY243" s="156">
        <v>0.0</v>
      </c>
      <c r="CZ243" s="156">
        <v>0.0</v>
      </c>
      <c r="DA243" s="156">
        <v>0.0</v>
      </c>
      <c r="EG243" s="156">
        <v>0.0</v>
      </c>
      <c r="EH243" s="156">
        <v>0.0</v>
      </c>
      <c r="EI243" s="156">
        <v>0.0</v>
      </c>
      <c r="EJ243" s="156">
        <v>0.0</v>
      </c>
      <c r="EK243" s="156">
        <v>0.0</v>
      </c>
      <c r="EL243" s="156">
        <v>0.0</v>
      </c>
      <c r="FQ243" s="156">
        <v>0.0</v>
      </c>
      <c r="FR243" s="156">
        <v>0.0</v>
      </c>
      <c r="FS243" s="156">
        <v>0.0</v>
      </c>
      <c r="FT243" s="156">
        <v>0.0</v>
      </c>
      <c r="FU243" s="156">
        <v>0.0</v>
      </c>
      <c r="FV243" s="156">
        <v>0.0</v>
      </c>
      <c r="FW243" s="157"/>
      <c r="FX243" s="157"/>
      <c r="FY243" s="157"/>
      <c r="FZ243" s="157"/>
      <c r="GA243" s="157"/>
      <c r="GB243" s="157"/>
      <c r="GC243" s="157"/>
      <c r="GD243" s="157"/>
      <c r="GE243" s="157"/>
      <c r="GF243" s="157"/>
      <c r="GG243" s="157"/>
      <c r="GH243" s="157"/>
      <c r="GI243" s="157"/>
      <c r="GJ243" s="157"/>
      <c r="GK243" s="157"/>
      <c r="GL243" s="157"/>
      <c r="GM243" s="157"/>
      <c r="GN243" s="157"/>
      <c r="GO243" s="157"/>
      <c r="GP243" s="158"/>
      <c r="GQ243" s="157"/>
      <c r="GR243" s="157"/>
      <c r="GS243" s="157"/>
      <c r="GT243" s="157"/>
      <c r="GU243" s="157"/>
      <c r="GV243" s="157"/>
      <c r="GW243" s="157"/>
      <c r="GX243" s="157"/>
      <c r="GY243" s="157"/>
      <c r="GZ243" s="157"/>
      <c r="HA243" s="157"/>
      <c r="HB243" s="155">
        <v>0.0</v>
      </c>
      <c r="HC243" s="155">
        <v>0.0</v>
      </c>
      <c r="HD243" s="155">
        <v>0.0</v>
      </c>
      <c r="HE243" s="155">
        <v>0.0</v>
      </c>
      <c r="HF243" s="155">
        <v>0.0</v>
      </c>
      <c r="HG243" s="155">
        <v>0.0</v>
      </c>
      <c r="IL243" s="159">
        <v>0.0</v>
      </c>
      <c r="IM243" s="156">
        <v>0.0</v>
      </c>
      <c r="IN243" s="156">
        <v>0.0</v>
      </c>
      <c r="IO243" s="156">
        <v>0.0</v>
      </c>
      <c r="IP243" s="156">
        <v>0.0</v>
      </c>
      <c r="IQ243" s="160">
        <v>0.0</v>
      </c>
      <c r="JH243" s="25"/>
      <c r="JW243" s="159">
        <v>0.0</v>
      </c>
      <c r="JX243" s="156">
        <v>0.0</v>
      </c>
      <c r="JY243" s="156">
        <v>0.0</v>
      </c>
      <c r="JZ243" s="156">
        <v>0.0</v>
      </c>
      <c r="KA243" s="156">
        <v>0.0</v>
      </c>
      <c r="KB243" s="160">
        <v>0.0</v>
      </c>
      <c r="LH243" s="159">
        <f t="shared" si="10"/>
        <v>0</v>
      </c>
      <c r="LI243" s="156">
        <f t="shared" si="11"/>
        <v>0</v>
      </c>
      <c r="LJ243" s="156">
        <f t="shared" si="12"/>
        <v>0</v>
      </c>
      <c r="LK243" s="156">
        <f t="shared" si="13"/>
        <v>0</v>
      </c>
      <c r="LL243" s="156">
        <f t="shared" si="14"/>
        <v>0</v>
      </c>
      <c r="LM243" s="160">
        <f t="shared" si="15"/>
        <v>0</v>
      </c>
      <c r="QX243" s="107">
        <v>45881.0</v>
      </c>
    </row>
    <row r="244">
      <c r="A244" s="12"/>
      <c r="B244" s="12"/>
      <c r="C244" s="12"/>
      <c r="D244" s="12"/>
      <c r="E244" s="12"/>
      <c r="F244" s="12"/>
      <c r="G244" s="12"/>
      <c r="H244" s="12"/>
      <c r="I244" s="143">
        <f t="shared" si="5"/>
        <v>-30</v>
      </c>
      <c r="J244" s="144">
        <v>45882.0</v>
      </c>
      <c r="K244" s="173" t="s">
        <v>61</v>
      </c>
      <c r="L244" s="144">
        <v>45991.0</v>
      </c>
      <c r="M244" s="147" t="s">
        <v>1433</v>
      </c>
      <c r="N244" s="148">
        <v>246.0</v>
      </c>
      <c r="O244" s="148">
        <v>30.0</v>
      </c>
      <c r="P244" s="26"/>
      <c r="Q244" s="26"/>
      <c r="R244" s="26"/>
      <c r="S244" s="26"/>
      <c r="T244" s="26"/>
      <c r="U244" s="147" t="s">
        <v>1894</v>
      </c>
      <c r="V244" s="149" t="s">
        <v>654</v>
      </c>
      <c r="W244" s="147" t="s">
        <v>2767</v>
      </c>
      <c r="X244" s="181">
        <v>30.0</v>
      </c>
      <c r="Y244" s="166">
        <f t="shared" si="6"/>
        <v>30</v>
      </c>
      <c r="Z244" s="26">
        <f t="shared" si="7"/>
        <v>0</v>
      </c>
      <c r="AA244" s="26">
        <f t="shared" si="8"/>
        <v>0</v>
      </c>
      <c r="AB244" s="26">
        <f t="shared" si="9"/>
        <v>0</v>
      </c>
      <c r="AC244" s="155">
        <v>0.0</v>
      </c>
      <c r="AD244" s="155">
        <v>0.0</v>
      </c>
      <c r="AE244" s="155">
        <v>0.0</v>
      </c>
      <c r="AF244" s="155">
        <v>0.0</v>
      </c>
      <c r="AG244" s="155">
        <v>0.0</v>
      </c>
      <c r="AH244" s="155">
        <v>0.0</v>
      </c>
      <c r="BN244" s="155">
        <v>0.0</v>
      </c>
      <c r="BO244" s="155">
        <v>0.0</v>
      </c>
      <c r="BP244" s="155">
        <v>0.0</v>
      </c>
      <c r="BQ244" s="155">
        <v>0.0</v>
      </c>
      <c r="BR244" s="155">
        <v>0.0</v>
      </c>
      <c r="BS244" s="155">
        <v>0.0</v>
      </c>
      <c r="CV244" s="156">
        <v>0.0</v>
      </c>
      <c r="CW244" s="156">
        <v>0.0</v>
      </c>
      <c r="CX244" s="156">
        <v>0.0</v>
      </c>
      <c r="CY244" s="156">
        <v>0.0</v>
      </c>
      <c r="CZ244" s="156">
        <v>0.0</v>
      </c>
      <c r="DA244" s="156">
        <v>0.0</v>
      </c>
      <c r="EG244" s="156">
        <v>0.0</v>
      </c>
      <c r="EH244" s="156">
        <v>0.0</v>
      </c>
      <c r="EI244" s="156">
        <v>0.0</v>
      </c>
      <c r="EJ244" s="156">
        <v>0.0</v>
      </c>
      <c r="EK244" s="156">
        <v>0.0</v>
      </c>
      <c r="EL244" s="156">
        <v>0.0</v>
      </c>
      <c r="FQ244" s="156">
        <v>0.0</v>
      </c>
      <c r="FR244" s="156">
        <v>0.0</v>
      </c>
      <c r="FS244" s="156">
        <v>0.0</v>
      </c>
      <c r="FT244" s="156">
        <v>0.0</v>
      </c>
      <c r="FU244" s="156">
        <v>0.0</v>
      </c>
      <c r="FV244" s="156">
        <v>0.0</v>
      </c>
      <c r="FW244" s="157"/>
      <c r="FX244" s="157"/>
      <c r="FY244" s="157"/>
      <c r="FZ244" s="157"/>
      <c r="GA244" s="157"/>
      <c r="GB244" s="157"/>
      <c r="GC244" s="157"/>
      <c r="GD244" s="157"/>
      <c r="GE244" s="157"/>
      <c r="GF244" s="157"/>
      <c r="GG244" s="157"/>
      <c r="GH244" s="157"/>
      <c r="GI244" s="157"/>
      <c r="GJ244" s="157"/>
      <c r="GK244" s="157"/>
      <c r="GL244" s="157"/>
      <c r="GM244" s="157"/>
      <c r="GN244" s="157"/>
      <c r="GO244" s="157"/>
      <c r="GP244" s="158"/>
      <c r="GQ244" s="157"/>
      <c r="GR244" s="157"/>
      <c r="GS244" s="157"/>
      <c r="GT244" s="157"/>
      <c r="GU244" s="157"/>
      <c r="GV244" s="157"/>
      <c r="GW244" s="157"/>
      <c r="GX244" s="157"/>
      <c r="GY244" s="157"/>
      <c r="GZ244" s="157"/>
      <c r="HA244" s="157"/>
      <c r="HB244" s="155">
        <v>0.0</v>
      </c>
      <c r="HC244" s="155">
        <v>0.0</v>
      </c>
      <c r="HD244" s="155">
        <v>0.0</v>
      </c>
      <c r="HE244" s="155">
        <v>0.0</v>
      </c>
      <c r="HF244" s="155">
        <v>0.0</v>
      </c>
      <c r="HG244" s="155">
        <v>0.0</v>
      </c>
      <c r="IL244" s="159">
        <v>0.0</v>
      </c>
      <c r="IM244" s="156">
        <v>0.0</v>
      </c>
      <c r="IN244" s="156">
        <v>0.0</v>
      </c>
      <c r="IO244" s="156">
        <v>0.0</v>
      </c>
      <c r="IP244" s="156">
        <v>0.0</v>
      </c>
      <c r="IQ244" s="160">
        <v>0.0</v>
      </c>
      <c r="JH244" s="25"/>
      <c r="JW244" s="159">
        <v>0.0</v>
      </c>
      <c r="JX244" s="156">
        <v>0.0</v>
      </c>
      <c r="JY244" s="156">
        <v>0.0</v>
      </c>
      <c r="JZ244" s="156">
        <v>0.0</v>
      </c>
      <c r="KA244" s="156">
        <v>0.0</v>
      </c>
      <c r="KB244" s="160">
        <v>0.0</v>
      </c>
      <c r="LH244" s="159">
        <f t="shared" si="10"/>
        <v>0</v>
      </c>
      <c r="LI244" s="156">
        <f t="shared" si="11"/>
        <v>0</v>
      </c>
      <c r="LJ244" s="156">
        <f t="shared" si="12"/>
        <v>0</v>
      </c>
      <c r="LK244" s="156">
        <f t="shared" si="13"/>
        <v>0</v>
      </c>
      <c r="LL244" s="156">
        <f t="shared" si="14"/>
        <v>0</v>
      </c>
      <c r="LM244" s="160">
        <f t="shared" si="15"/>
        <v>0</v>
      </c>
      <c r="QX244" s="107">
        <v>45881.0</v>
      </c>
    </row>
    <row r="245">
      <c r="A245" s="12"/>
      <c r="B245" s="12"/>
      <c r="C245" s="12"/>
      <c r="D245" s="12"/>
      <c r="E245" s="12"/>
      <c r="F245" s="12"/>
      <c r="G245" s="12"/>
      <c r="H245" s="12"/>
      <c r="I245" s="143">
        <f t="shared" si="5"/>
        <v>-66</v>
      </c>
      <c r="J245" s="144">
        <v>45895.0</v>
      </c>
      <c r="K245" s="164" t="s">
        <v>53</v>
      </c>
      <c r="L245" s="170" t="s">
        <v>2769</v>
      </c>
      <c r="M245" s="147" t="s">
        <v>435</v>
      </c>
      <c r="N245" s="148">
        <v>357.0</v>
      </c>
      <c r="O245" s="148">
        <v>30.0</v>
      </c>
      <c r="P245" s="26"/>
      <c r="Q245" s="26"/>
      <c r="R245" s="26"/>
      <c r="S245" s="26"/>
      <c r="T245" s="26"/>
      <c r="U245" s="147" t="s">
        <v>2573</v>
      </c>
      <c r="V245" s="149" t="s">
        <v>2574</v>
      </c>
      <c r="W245" s="248" t="s">
        <v>2770</v>
      </c>
      <c r="X245" s="181">
        <v>19.0</v>
      </c>
      <c r="Y245" s="166">
        <f t="shared" si="6"/>
        <v>66</v>
      </c>
      <c r="Z245" s="26">
        <f t="shared" si="7"/>
        <v>0</v>
      </c>
      <c r="AA245" s="26">
        <f t="shared" si="8"/>
        <v>0</v>
      </c>
      <c r="AB245" s="26">
        <f t="shared" si="9"/>
        <v>0</v>
      </c>
      <c r="AC245" s="155">
        <v>0.0</v>
      </c>
      <c r="AD245" s="155">
        <v>0.0</v>
      </c>
      <c r="AE245" s="155">
        <v>0.0</v>
      </c>
      <c r="AF245" s="155">
        <v>0.0</v>
      </c>
      <c r="AG245" s="155">
        <v>0.0</v>
      </c>
      <c r="AH245" s="155">
        <v>0.0</v>
      </c>
      <c r="BN245" s="155">
        <v>0.0</v>
      </c>
      <c r="BO245" s="155">
        <v>0.0</v>
      </c>
      <c r="BP245" s="155">
        <v>0.0</v>
      </c>
      <c r="BQ245" s="155">
        <v>0.0</v>
      </c>
      <c r="BR245" s="155">
        <v>0.0</v>
      </c>
      <c r="BS245" s="155">
        <v>0.0</v>
      </c>
      <c r="CV245" s="156">
        <v>0.0</v>
      </c>
      <c r="CW245" s="156">
        <v>0.0</v>
      </c>
      <c r="CX245" s="156">
        <v>0.0</v>
      </c>
      <c r="CY245" s="156">
        <v>0.0</v>
      </c>
      <c r="CZ245" s="156">
        <v>0.0</v>
      </c>
      <c r="DA245" s="156">
        <v>0.0</v>
      </c>
      <c r="EG245" s="156">
        <v>4.0</v>
      </c>
      <c r="EH245" s="156">
        <v>0.0</v>
      </c>
      <c r="EI245" s="156">
        <v>0.0</v>
      </c>
      <c r="EJ245" s="156">
        <v>0.0</v>
      </c>
      <c r="EK245" s="156">
        <v>0.0</v>
      </c>
      <c r="EL245" s="156">
        <v>0.0</v>
      </c>
      <c r="FA245" s="86">
        <v>1.0</v>
      </c>
      <c r="FC245" s="86">
        <v>1.0</v>
      </c>
      <c r="FF245" s="86">
        <v>1.0</v>
      </c>
      <c r="FH245" s="86">
        <v>1.0</v>
      </c>
      <c r="FQ245" s="156">
        <v>9.0</v>
      </c>
      <c r="FR245" s="156">
        <v>0.0</v>
      </c>
      <c r="FS245" s="156">
        <v>0.0</v>
      </c>
      <c r="FT245" s="156">
        <v>0.0</v>
      </c>
      <c r="FU245" s="156">
        <v>0.0</v>
      </c>
      <c r="FV245" s="156">
        <v>0.0</v>
      </c>
      <c r="FW245" s="172"/>
      <c r="FX245" s="172"/>
      <c r="FY245" s="172"/>
      <c r="FZ245" s="172"/>
      <c r="GA245" s="172"/>
      <c r="GB245" s="172">
        <v>1.0</v>
      </c>
      <c r="GC245" s="172">
        <v>0.0</v>
      </c>
      <c r="GD245" s="172">
        <v>1.0</v>
      </c>
      <c r="GE245" s="172">
        <v>0.0</v>
      </c>
      <c r="GF245" s="172">
        <v>0.0</v>
      </c>
      <c r="GG245" s="172">
        <v>1.0</v>
      </c>
      <c r="GH245" s="172">
        <v>0.0</v>
      </c>
      <c r="GI245" s="172">
        <v>1.0</v>
      </c>
      <c r="GJ245" s="172">
        <v>0.0</v>
      </c>
      <c r="GK245" s="172">
        <v>1.0</v>
      </c>
      <c r="GL245" s="172"/>
      <c r="GM245" s="172"/>
      <c r="GN245" s="172"/>
      <c r="GO245" s="172"/>
      <c r="GP245" s="170">
        <v>1.0</v>
      </c>
      <c r="GQ245" s="172"/>
      <c r="GR245" s="172"/>
      <c r="GS245" s="172"/>
      <c r="GT245" s="172"/>
      <c r="GU245" s="172">
        <v>1.0</v>
      </c>
      <c r="GV245" s="172"/>
      <c r="GW245" s="172">
        <v>1.0</v>
      </c>
      <c r="GX245" s="172"/>
      <c r="GY245" s="172">
        <v>1.0</v>
      </c>
      <c r="GZ245" s="172"/>
      <c r="HA245" s="172">
        <v>0.0</v>
      </c>
      <c r="HB245" s="155">
        <v>10.0</v>
      </c>
      <c r="HC245" s="155">
        <v>0.0</v>
      </c>
      <c r="HD245" s="155">
        <v>0.0</v>
      </c>
      <c r="HE245" s="155">
        <v>0.0</v>
      </c>
      <c r="HF245" s="155">
        <v>0.0</v>
      </c>
      <c r="HG245" s="155">
        <v>0.0</v>
      </c>
      <c r="HH245" s="172">
        <v>1.0</v>
      </c>
      <c r="HI245" s="172"/>
      <c r="HJ245" s="172">
        <v>1.0</v>
      </c>
      <c r="HK245" s="172"/>
      <c r="HL245" s="172">
        <v>1.0</v>
      </c>
      <c r="HM245" s="172"/>
      <c r="HN245" s="172"/>
      <c r="HO245" s="172">
        <v>1.0</v>
      </c>
      <c r="HP245" s="172"/>
      <c r="HQ245" s="172"/>
      <c r="HR245" s="172"/>
      <c r="HS245" s="172">
        <v>1.0</v>
      </c>
      <c r="HT245" s="172"/>
      <c r="HU245" s="172"/>
      <c r="HV245" s="172"/>
      <c r="HW245" s="172"/>
      <c r="HX245" s="172">
        <v>1.0</v>
      </c>
      <c r="HY245" s="172"/>
      <c r="HZ245" s="172"/>
      <c r="IA245" s="172"/>
      <c r="IB245" s="172"/>
      <c r="IC245" s="172">
        <v>1.0</v>
      </c>
      <c r="ID245" s="172">
        <v>0.0</v>
      </c>
      <c r="IE245" s="172">
        <v>1.0</v>
      </c>
      <c r="IF245" s="172"/>
      <c r="IG245" s="172">
        <v>1.0</v>
      </c>
      <c r="IH245" s="172"/>
      <c r="II245" s="172">
        <v>0.0</v>
      </c>
      <c r="IJ245" s="172">
        <v>0.0</v>
      </c>
      <c r="IK245" s="172">
        <v>1.0</v>
      </c>
      <c r="IL245" s="159">
        <v>8.0</v>
      </c>
      <c r="IM245" s="156">
        <v>0.0</v>
      </c>
      <c r="IN245" s="156">
        <v>0.0</v>
      </c>
      <c r="IO245" s="156">
        <v>0.0</v>
      </c>
      <c r="IP245" s="156">
        <v>0.0</v>
      </c>
      <c r="IQ245" s="160">
        <v>0.0</v>
      </c>
      <c r="IR245" s="172">
        <v>1.0</v>
      </c>
      <c r="IS245" s="172"/>
      <c r="IT245" s="172">
        <v>0.0</v>
      </c>
      <c r="IU245" s="172"/>
      <c r="IV245" s="172">
        <v>0.0</v>
      </c>
      <c r="IW245" s="172">
        <v>1.0</v>
      </c>
      <c r="IX245" s="172"/>
      <c r="IY245" s="172">
        <v>1.0</v>
      </c>
      <c r="IZ245" s="172"/>
      <c r="JA245" s="172">
        <v>1.0</v>
      </c>
      <c r="JB245" s="172"/>
      <c r="JC245" s="172">
        <v>0.0</v>
      </c>
      <c r="JD245" s="172">
        <v>1.0</v>
      </c>
      <c r="JE245" s="172"/>
      <c r="JF245" s="172">
        <v>1.0</v>
      </c>
      <c r="JG245" s="172"/>
      <c r="JH245" s="170">
        <v>1.0</v>
      </c>
      <c r="JI245" s="172"/>
      <c r="JJ245" s="172">
        <v>0.0</v>
      </c>
      <c r="JK245" s="172">
        <v>0.0</v>
      </c>
      <c r="JL245" s="172"/>
      <c r="JM245" s="172">
        <v>0.0</v>
      </c>
      <c r="JN245" s="172"/>
      <c r="JO245" s="172">
        <v>0.0</v>
      </c>
      <c r="JP245" s="172"/>
      <c r="JQ245" s="172">
        <v>0.0</v>
      </c>
      <c r="JR245" s="172">
        <v>0.0</v>
      </c>
      <c r="JS245" s="172"/>
      <c r="JT245" s="172">
        <v>0.0</v>
      </c>
      <c r="JU245" s="172"/>
      <c r="JV245" s="172">
        <v>1.0</v>
      </c>
      <c r="JW245" s="159">
        <v>9.0</v>
      </c>
      <c r="JX245" s="156">
        <v>0.0</v>
      </c>
      <c r="JY245" s="156">
        <v>0.0</v>
      </c>
      <c r="JZ245" s="156">
        <v>0.0</v>
      </c>
      <c r="KA245" s="156">
        <v>0.0</v>
      </c>
      <c r="KB245" s="160">
        <v>0.0</v>
      </c>
      <c r="KC245" s="172"/>
      <c r="KD245" s="172"/>
      <c r="KE245" s="172">
        <v>1.0</v>
      </c>
      <c r="KF245" s="172"/>
      <c r="KG245" s="172">
        <v>1.0</v>
      </c>
      <c r="KH245" s="172"/>
      <c r="KI245" s="172"/>
      <c r="KJ245" s="172"/>
      <c r="KK245" s="172"/>
      <c r="KL245" s="172">
        <v>1.0</v>
      </c>
      <c r="KM245" s="172"/>
      <c r="KN245" s="172"/>
      <c r="KO245" s="172">
        <v>1.0</v>
      </c>
      <c r="KP245" s="172"/>
      <c r="KQ245" s="172"/>
      <c r="KR245" s="172"/>
      <c r="KS245" s="432"/>
      <c r="KT245" s="172"/>
      <c r="KU245" s="172">
        <v>1.0</v>
      </c>
      <c r="KV245" s="172"/>
      <c r="KW245" s="172">
        <v>1.0</v>
      </c>
      <c r="KX245" s="172"/>
      <c r="KY245" s="172"/>
      <c r="KZ245" s="172">
        <v>1.0</v>
      </c>
      <c r="LA245" s="172"/>
      <c r="LB245" s="172">
        <v>2.0</v>
      </c>
      <c r="LC245" s="172"/>
      <c r="LD245" s="172"/>
      <c r="LE245" s="172"/>
      <c r="LF245" s="172"/>
      <c r="LG245" s="172"/>
      <c r="LH245" s="159">
        <f t="shared" si="10"/>
        <v>7</v>
      </c>
      <c r="LI245" s="156">
        <f t="shared" si="11"/>
        <v>0</v>
      </c>
      <c r="LJ245" s="156">
        <f t="shared" si="12"/>
        <v>0</v>
      </c>
      <c r="LK245" s="156">
        <f t="shared" si="13"/>
        <v>0</v>
      </c>
      <c r="LL245" s="156">
        <f t="shared" si="14"/>
        <v>0</v>
      </c>
      <c r="LM245" s="160">
        <f t="shared" si="15"/>
        <v>0</v>
      </c>
      <c r="LW245" s="12">
        <f t="shared" ref="LW245:MQ245" si="18">IFS(TODAY()&lt;=LC$2,0,WEEKDAY(LC$2)=2,0,WEEKDAY(LC$2)=3,1,WEEKDAY(LC$2)=4,0,WEEKDAY(LC$2)=5,1,WEEKDAY(LC$2)=6,0,WEEKDAY(LC$2)=7,1,WEEKDAY(LC$2)=1,0)</f>
        <v>1</v>
      </c>
      <c r="LX245" s="12">
        <f t="shared" si="18"/>
        <v>0</v>
      </c>
      <c r="LY245" s="12">
        <f t="shared" si="18"/>
        <v>1</v>
      </c>
      <c r="LZ245" s="12">
        <f t="shared" si="18"/>
        <v>0</v>
      </c>
      <c r="MA245" s="12">
        <f t="shared" si="18"/>
        <v>0</v>
      </c>
      <c r="MB245" s="12">
        <f t="shared" si="18"/>
        <v>0</v>
      </c>
      <c r="MC245" s="12">
        <f t="shared" si="18"/>
        <v>0</v>
      </c>
      <c r="MD245" s="12">
        <f t="shared" si="18"/>
        <v>0</v>
      </c>
      <c r="ME245" s="12">
        <f t="shared" si="18"/>
        <v>0</v>
      </c>
      <c r="MF245" s="12">
        <f t="shared" si="18"/>
        <v>0</v>
      </c>
      <c r="MG245" s="12">
        <f t="shared" si="18"/>
        <v>0</v>
      </c>
      <c r="MH245" s="12">
        <f t="shared" si="18"/>
        <v>1</v>
      </c>
      <c r="MI245" s="12">
        <f t="shared" si="18"/>
        <v>0</v>
      </c>
      <c r="MJ245" s="12">
        <f t="shared" si="18"/>
        <v>1</v>
      </c>
      <c r="MK245" s="12">
        <f t="shared" si="18"/>
        <v>0</v>
      </c>
      <c r="ML245" s="12">
        <f t="shared" si="18"/>
        <v>1</v>
      </c>
      <c r="MM245" s="12">
        <f t="shared" si="18"/>
        <v>0</v>
      </c>
      <c r="MN245" s="12">
        <f t="shared" si="18"/>
        <v>0</v>
      </c>
      <c r="MO245" s="12">
        <f t="shared" si="18"/>
        <v>1</v>
      </c>
      <c r="MP245" s="12">
        <f t="shared" si="18"/>
        <v>0</v>
      </c>
      <c r="MQ245" s="12">
        <f t="shared" si="18"/>
        <v>1</v>
      </c>
      <c r="QX245" s="107">
        <v>45882.0</v>
      </c>
    </row>
    <row r="246">
      <c r="A246" s="12"/>
      <c r="B246" s="12"/>
      <c r="C246" s="12"/>
      <c r="D246" s="12"/>
      <c r="E246" s="12"/>
      <c r="F246" s="12"/>
      <c r="G246" s="12"/>
      <c r="H246" s="12"/>
      <c r="I246" s="143">
        <f t="shared" si="5"/>
        <v>-20</v>
      </c>
      <c r="J246" s="144">
        <v>45882.0</v>
      </c>
      <c r="K246" s="173" t="s">
        <v>61</v>
      </c>
      <c r="L246" s="146"/>
      <c r="M246" s="422" t="s">
        <v>107</v>
      </c>
      <c r="N246" s="423">
        <v>246.0</v>
      </c>
      <c r="O246" s="423">
        <v>45.0</v>
      </c>
      <c r="P246" s="424"/>
      <c r="Q246" s="424"/>
      <c r="R246" s="424"/>
      <c r="S246" s="424"/>
      <c r="T246" s="424"/>
      <c r="U246" s="422" t="s">
        <v>1231</v>
      </c>
      <c r="V246" s="425"/>
      <c r="W246" s="426" t="s">
        <v>2703</v>
      </c>
      <c r="X246" s="181">
        <v>20.0</v>
      </c>
      <c r="Y246" s="166">
        <f t="shared" si="6"/>
        <v>20</v>
      </c>
      <c r="Z246" s="26">
        <f t="shared" si="7"/>
        <v>0</v>
      </c>
      <c r="AA246" s="26">
        <f t="shared" si="8"/>
        <v>0</v>
      </c>
      <c r="AB246" s="26">
        <f t="shared" si="9"/>
        <v>0</v>
      </c>
      <c r="AC246" s="155">
        <v>0.0</v>
      </c>
      <c r="AD246" s="155">
        <v>0.0</v>
      </c>
      <c r="AE246" s="155">
        <v>0.0</v>
      </c>
      <c r="AF246" s="155">
        <v>0.0</v>
      </c>
      <c r="AG246" s="155">
        <v>0.0</v>
      </c>
      <c r="AH246" s="155">
        <v>0.0</v>
      </c>
      <c r="BN246" s="155">
        <v>0.0</v>
      </c>
      <c r="BO246" s="155">
        <v>0.0</v>
      </c>
      <c r="BP246" s="155">
        <v>0.0</v>
      </c>
      <c r="BQ246" s="155">
        <v>0.0</v>
      </c>
      <c r="BR246" s="155">
        <v>0.0</v>
      </c>
      <c r="BS246" s="155">
        <v>0.0</v>
      </c>
      <c r="CV246" s="156">
        <v>0.0</v>
      </c>
      <c r="CW246" s="156">
        <v>0.0</v>
      </c>
      <c r="CX246" s="156">
        <v>0.0</v>
      </c>
      <c r="CY246" s="156">
        <v>0.0</v>
      </c>
      <c r="CZ246" s="156">
        <v>0.0</v>
      </c>
      <c r="DA246" s="156">
        <v>0.0</v>
      </c>
      <c r="EG246" s="156">
        <v>0.0</v>
      </c>
      <c r="EH246" s="156">
        <v>0.0</v>
      </c>
      <c r="EI246" s="156">
        <v>0.0</v>
      </c>
      <c r="EJ246" s="156">
        <v>0.0</v>
      </c>
      <c r="EK246" s="156">
        <v>0.0</v>
      </c>
      <c r="EL246" s="156">
        <v>0.0</v>
      </c>
      <c r="FQ246" s="156">
        <v>0.0</v>
      </c>
      <c r="FR246" s="156">
        <v>0.0</v>
      </c>
      <c r="FS246" s="156">
        <v>0.0</v>
      </c>
      <c r="FT246" s="156">
        <v>0.0</v>
      </c>
      <c r="FU246" s="156">
        <v>0.0</v>
      </c>
      <c r="FV246" s="156">
        <v>0.0</v>
      </c>
      <c r="FW246" s="157"/>
      <c r="FX246" s="157"/>
      <c r="FY246" s="157"/>
      <c r="FZ246" s="157"/>
      <c r="GA246" s="157"/>
      <c r="GB246" s="157"/>
      <c r="GC246" s="157"/>
      <c r="GD246" s="157"/>
      <c r="GE246" s="157"/>
      <c r="GF246" s="157"/>
      <c r="GG246" s="157"/>
      <c r="GH246" s="157"/>
      <c r="GI246" s="157"/>
      <c r="GJ246" s="157"/>
      <c r="GK246" s="157"/>
      <c r="GL246" s="157"/>
      <c r="GM246" s="157"/>
      <c r="GN246" s="157"/>
      <c r="GO246" s="157"/>
      <c r="GP246" s="158"/>
      <c r="GQ246" s="157"/>
      <c r="GR246" s="157"/>
      <c r="GS246" s="157"/>
      <c r="GT246" s="157"/>
      <c r="GU246" s="157"/>
      <c r="GV246" s="157"/>
      <c r="GW246" s="157"/>
      <c r="GX246" s="157"/>
      <c r="GY246" s="157"/>
      <c r="GZ246" s="157"/>
      <c r="HA246" s="157"/>
      <c r="HB246" s="155">
        <v>0.0</v>
      </c>
      <c r="HC246" s="155">
        <v>0.0</v>
      </c>
      <c r="HD246" s="155">
        <v>0.0</v>
      </c>
      <c r="HE246" s="155">
        <v>0.0</v>
      </c>
      <c r="HF246" s="155">
        <v>0.0</v>
      </c>
      <c r="HG246" s="155">
        <v>0.0</v>
      </c>
      <c r="IL246" s="159">
        <v>0.0</v>
      </c>
      <c r="IM246" s="156">
        <v>0.0</v>
      </c>
      <c r="IN246" s="156">
        <v>0.0</v>
      </c>
      <c r="IO246" s="156">
        <v>0.0</v>
      </c>
      <c r="IP246" s="156">
        <v>0.0</v>
      </c>
      <c r="IQ246" s="160">
        <v>0.0</v>
      </c>
      <c r="JH246" s="25"/>
      <c r="JW246" s="159">
        <v>0.0</v>
      </c>
      <c r="JX246" s="156">
        <v>0.0</v>
      </c>
      <c r="JY246" s="156">
        <v>0.0</v>
      </c>
      <c r="JZ246" s="156">
        <v>0.0</v>
      </c>
      <c r="KA246" s="156">
        <v>0.0</v>
      </c>
      <c r="KB246" s="160">
        <v>0.0</v>
      </c>
      <c r="LH246" s="159">
        <f t="shared" si="10"/>
        <v>0</v>
      </c>
      <c r="LI246" s="156">
        <f t="shared" si="11"/>
        <v>0</v>
      </c>
      <c r="LJ246" s="156">
        <f t="shared" si="12"/>
        <v>0</v>
      </c>
      <c r="LK246" s="156">
        <f t="shared" si="13"/>
        <v>0</v>
      </c>
      <c r="LL246" s="156">
        <f t="shared" si="14"/>
        <v>0</v>
      </c>
      <c r="LM246" s="160">
        <f t="shared" si="15"/>
        <v>0</v>
      </c>
      <c r="QX246" s="107">
        <v>45882.0</v>
      </c>
    </row>
    <row r="247">
      <c r="A247" s="12"/>
      <c r="B247" s="12"/>
      <c r="C247" s="12"/>
      <c r="D247" s="12"/>
      <c r="E247" s="12"/>
      <c r="F247" s="12"/>
      <c r="G247" s="12"/>
      <c r="H247" s="12"/>
      <c r="I247" s="143">
        <f t="shared" si="5"/>
        <v>-30</v>
      </c>
      <c r="J247" s="144">
        <v>45883.0</v>
      </c>
      <c r="K247" s="173" t="s">
        <v>61</v>
      </c>
      <c r="L247" s="144">
        <v>45962.0</v>
      </c>
      <c r="M247" s="147" t="s">
        <v>228</v>
      </c>
      <c r="N247" s="148">
        <v>357.0</v>
      </c>
      <c r="O247" s="148">
        <v>30.0</v>
      </c>
      <c r="P247" s="26"/>
      <c r="Q247" s="26"/>
      <c r="R247" s="26"/>
      <c r="S247" s="26"/>
      <c r="T247" s="26"/>
      <c r="U247" s="147" t="s">
        <v>955</v>
      </c>
      <c r="V247" s="149" t="s">
        <v>563</v>
      </c>
      <c r="W247" s="198" t="s">
        <v>2778</v>
      </c>
      <c r="X247" s="181">
        <v>30.0</v>
      </c>
      <c r="Y247" s="166">
        <f t="shared" si="6"/>
        <v>30</v>
      </c>
      <c r="Z247" s="26">
        <f t="shared" si="7"/>
        <v>0</v>
      </c>
      <c r="AA247" s="26">
        <f t="shared" si="8"/>
        <v>0</v>
      </c>
      <c r="AB247" s="26">
        <f t="shared" si="9"/>
        <v>0</v>
      </c>
      <c r="AC247" s="155">
        <v>0.0</v>
      </c>
      <c r="AD247" s="155">
        <v>0.0</v>
      </c>
      <c r="AE247" s="155">
        <v>0.0</v>
      </c>
      <c r="AF247" s="155">
        <v>0.0</v>
      </c>
      <c r="AG247" s="155">
        <v>0.0</v>
      </c>
      <c r="AH247" s="155">
        <v>0.0</v>
      </c>
      <c r="BN247" s="155">
        <v>0.0</v>
      </c>
      <c r="BO247" s="155">
        <v>0.0</v>
      </c>
      <c r="BP247" s="155">
        <v>0.0</v>
      </c>
      <c r="BQ247" s="155">
        <v>0.0</v>
      </c>
      <c r="BR247" s="155">
        <v>0.0</v>
      </c>
      <c r="BS247" s="155">
        <v>0.0</v>
      </c>
      <c r="CV247" s="156">
        <v>0.0</v>
      </c>
      <c r="CW247" s="156">
        <v>0.0</v>
      </c>
      <c r="CX247" s="156">
        <v>0.0</v>
      </c>
      <c r="CY247" s="156">
        <v>0.0</v>
      </c>
      <c r="CZ247" s="156">
        <v>0.0</v>
      </c>
      <c r="DA247" s="156">
        <v>0.0</v>
      </c>
      <c r="EG247" s="156">
        <v>0.0</v>
      </c>
      <c r="EH247" s="156">
        <v>0.0</v>
      </c>
      <c r="EI247" s="156">
        <v>0.0</v>
      </c>
      <c r="EJ247" s="156">
        <v>0.0</v>
      </c>
      <c r="EK247" s="156">
        <v>0.0</v>
      </c>
      <c r="EL247" s="156">
        <v>0.0</v>
      </c>
      <c r="FQ247" s="156">
        <v>0.0</v>
      </c>
      <c r="FR247" s="156">
        <v>0.0</v>
      </c>
      <c r="FS247" s="156">
        <v>0.0</v>
      </c>
      <c r="FT247" s="156">
        <v>0.0</v>
      </c>
      <c r="FU247" s="156">
        <v>0.0</v>
      </c>
      <c r="FV247" s="156">
        <v>0.0</v>
      </c>
      <c r="FW247" s="157"/>
      <c r="FX247" s="157"/>
      <c r="FY247" s="157"/>
      <c r="FZ247" s="157"/>
      <c r="GA247" s="157"/>
      <c r="GB247" s="157"/>
      <c r="GC247" s="157"/>
      <c r="GD247" s="157"/>
      <c r="GE247" s="157"/>
      <c r="GF247" s="157"/>
      <c r="GG247" s="157"/>
      <c r="GH247" s="157"/>
      <c r="GI247" s="157"/>
      <c r="GJ247" s="157"/>
      <c r="GK247" s="157"/>
      <c r="GL247" s="157"/>
      <c r="GM247" s="157"/>
      <c r="GN247" s="157"/>
      <c r="GO247" s="157"/>
      <c r="GP247" s="158"/>
      <c r="GQ247" s="157"/>
      <c r="GR247" s="157"/>
      <c r="GS247" s="157"/>
      <c r="GT247" s="157"/>
      <c r="GU247" s="157"/>
      <c r="GV247" s="157"/>
      <c r="GW247" s="157"/>
      <c r="GX247" s="157"/>
      <c r="GY247" s="157"/>
      <c r="GZ247" s="157"/>
      <c r="HA247" s="157"/>
      <c r="HB247" s="155">
        <v>0.0</v>
      </c>
      <c r="HC247" s="155">
        <v>0.0</v>
      </c>
      <c r="HD247" s="155">
        <v>0.0</v>
      </c>
      <c r="HE247" s="155">
        <v>0.0</v>
      </c>
      <c r="HF247" s="155">
        <v>0.0</v>
      </c>
      <c r="HG247" s="155">
        <v>0.0</v>
      </c>
      <c r="IL247" s="159">
        <v>0.0</v>
      </c>
      <c r="IM247" s="156">
        <v>0.0</v>
      </c>
      <c r="IN247" s="156">
        <v>0.0</v>
      </c>
      <c r="IO247" s="156">
        <v>0.0</v>
      </c>
      <c r="IP247" s="156">
        <v>0.0</v>
      </c>
      <c r="IQ247" s="160">
        <v>0.0</v>
      </c>
      <c r="JH247" s="25"/>
      <c r="JW247" s="159">
        <v>0.0</v>
      </c>
      <c r="JX247" s="156">
        <v>0.0</v>
      </c>
      <c r="JY247" s="156">
        <v>0.0</v>
      </c>
      <c r="JZ247" s="156">
        <v>0.0</v>
      </c>
      <c r="KA247" s="156">
        <v>0.0</v>
      </c>
      <c r="KB247" s="160">
        <v>0.0</v>
      </c>
      <c r="LH247" s="159">
        <f t="shared" si="10"/>
        <v>0</v>
      </c>
      <c r="LI247" s="156">
        <f t="shared" si="11"/>
        <v>0</v>
      </c>
      <c r="LJ247" s="156">
        <f t="shared" si="12"/>
        <v>0</v>
      </c>
      <c r="LK247" s="156">
        <f t="shared" si="13"/>
        <v>0</v>
      </c>
      <c r="LL247" s="156">
        <f t="shared" si="14"/>
        <v>0</v>
      </c>
      <c r="LM247" s="160">
        <f t="shared" si="15"/>
        <v>0</v>
      </c>
      <c r="QX247" s="107">
        <v>45882.0</v>
      </c>
    </row>
    <row r="248">
      <c r="A248" s="12"/>
      <c r="B248" s="12"/>
      <c r="C248" s="12"/>
      <c r="D248" s="12"/>
      <c r="E248" s="12"/>
      <c r="F248" s="12"/>
      <c r="G248" s="12"/>
      <c r="H248" s="12"/>
      <c r="I248" s="143">
        <f t="shared" si="5"/>
        <v>-29</v>
      </c>
      <c r="J248" s="144">
        <v>45891.0</v>
      </c>
      <c r="K248" s="173" t="s">
        <v>61</v>
      </c>
      <c r="L248" s="144">
        <v>45996.0</v>
      </c>
      <c r="M248" s="415" t="s">
        <v>107</v>
      </c>
      <c r="N248" s="416">
        <v>246.0</v>
      </c>
      <c r="O248" s="416">
        <v>45.0</v>
      </c>
      <c r="P248" s="417"/>
      <c r="Q248" s="417"/>
      <c r="R248" s="417"/>
      <c r="S248" s="417"/>
      <c r="T248" s="417"/>
      <c r="U248" s="415" t="s">
        <v>2690</v>
      </c>
      <c r="V248" s="418" t="s">
        <v>2692</v>
      </c>
      <c r="W248" s="419" t="s">
        <v>2693</v>
      </c>
      <c r="X248" s="181">
        <v>29.0</v>
      </c>
      <c r="Y248" s="166">
        <f t="shared" si="6"/>
        <v>29</v>
      </c>
      <c r="Z248" s="26">
        <f t="shared" si="7"/>
        <v>0</v>
      </c>
      <c r="AA248" s="26">
        <f t="shared" si="8"/>
        <v>0</v>
      </c>
      <c r="AB248" s="26">
        <f t="shared" si="9"/>
        <v>0</v>
      </c>
      <c r="AC248" s="155">
        <v>0.0</v>
      </c>
      <c r="AD248" s="155">
        <v>0.0</v>
      </c>
      <c r="AE248" s="155">
        <v>0.0</v>
      </c>
      <c r="AF248" s="155">
        <v>0.0</v>
      </c>
      <c r="AG248" s="155">
        <v>0.0</v>
      </c>
      <c r="AH248" s="155">
        <v>0.0</v>
      </c>
      <c r="BN248" s="155">
        <v>0.0</v>
      </c>
      <c r="BO248" s="155">
        <v>0.0</v>
      </c>
      <c r="BP248" s="155">
        <v>0.0</v>
      </c>
      <c r="BQ248" s="155">
        <v>0.0</v>
      </c>
      <c r="BR248" s="155">
        <v>0.0</v>
      </c>
      <c r="BS248" s="155">
        <v>0.0</v>
      </c>
      <c r="CV248" s="156">
        <v>0.0</v>
      </c>
      <c r="CW248" s="156">
        <v>0.0</v>
      </c>
      <c r="CX248" s="156">
        <v>0.0</v>
      </c>
      <c r="CY248" s="156">
        <v>0.0</v>
      </c>
      <c r="CZ248" s="156">
        <v>0.0</v>
      </c>
      <c r="DA248" s="156">
        <v>0.0</v>
      </c>
      <c r="EG248" s="156">
        <v>0.0</v>
      </c>
      <c r="EH248" s="156">
        <v>0.0</v>
      </c>
      <c r="EI248" s="156">
        <v>0.0</v>
      </c>
      <c r="EJ248" s="156">
        <v>0.0</v>
      </c>
      <c r="EK248" s="156">
        <v>0.0</v>
      </c>
      <c r="EL248" s="156">
        <v>0.0</v>
      </c>
      <c r="FQ248" s="156">
        <v>0.0</v>
      </c>
      <c r="FR248" s="156">
        <v>0.0</v>
      </c>
      <c r="FS248" s="156">
        <v>0.0</v>
      </c>
      <c r="FT248" s="156">
        <v>0.0</v>
      </c>
      <c r="FU248" s="156">
        <v>0.0</v>
      </c>
      <c r="FV248" s="156">
        <v>0.0</v>
      </c>
      <c r="FW248" s="157"/>
      <c r="FX248" s="157"/>
      <c r="FY248" s="157"/>
      <c r="FZ248" s="157"/>
      <c r="GA248" s="157"/>
      <c r="GB248" s="157"/>
      <c r="GC248" s="157"/>
      <c r="GD248" s="157"/>
      <c r="GE248" s="157"/>
      <c r="GF248" s="157"/>
      <c r="GG248" s="157"/>
      <c r="GH248" s="157"/>
      <c r="GI248" s="157"/>
      <c r="GJ248" s="157"/>
      <c r="GK248" s="157"/>
      <c r="GL248" s="157"/>
      <c r="GM248" s="157"/>
      <c r="GN248" s="157"/>
      <c r="GO248" s="157"/>
      <c r="GP248" s="158"/>
      <c r="GQ248" s="157"/>
      <c r="GR248" s="157"/>
      <c r="GS248" s="157"/>
      <c r="GT248" s="157"/>
      <c r="GU248" s="157"/>
      <c r="GV248" s="157"/>
      <c r="GW248" s="157"/>
      <c r="GX248" s="157"/>
      <c r="GY248" s="157"/>
      <c r="GZ248" s="157"/>
      <c r="HA248" s="157"/>
      <c r="HB248" s="155">
        <v>0.0</v>
      </c>
      <c r="HC248" s="155">
        <v>0.0</v>
      </c>
      <c r="HD248" s="155">
        <v>0.0</v>
      </c>
      <c r="HE248" s="155">
        <v>0.0</v>
      </c>
      <c r="HF248" s="155">
        <v>0.0</v>
      </c>
      <c r="HG248" s="155">
        <v>0.0</v>
      </c>
      <c r="IL248" s="159">
        <v>0.0</v>
      </c>
      <c r="IM248" s="156">
        <v>0.0</v>
      </c>
      <c r="IN248" s="156">
        <v>0.0</v>
      </c>
      <c r="IO248" s="156">
        <v>0.0</v>
      </c>
      <c r="IP248" s="156">
        <v>0.0</v>
      </c>
      <c r="IQ248" s="160">
        <v>0.0</v>
      </c>
      <c r="JH248" s="25"/>
      <c r="JW248" s="159">
        <v>0.0</v>
      </c>
      <c r="JX248" s="156">
        <v>0.0</v>
      </c>
      <c r="JY248" s="156">
        <v>0.0</v>
      </c>
      <c r="JZ248" s="156">
        <v>0.0</v>
      </c>
      <c r="KA248" s="156">
        <v>0.0</v>
      </c>
      <c r="KB248" s="160">
        <v>0.0</v>
      </c>
      <c r="LH248" s="159">
        <f t="shared" si="10"/>
        <v>0</v>
      </c>
      <c r="LI248" s="156">
        <f t="shared" si="11"/>
        <v>0</v>
      </c>
      <c r="LJ248" s="156">
        <f t="shared" si="12"/>
        <v>0</v>
      </c>
      <c r="LK248" s="156">
        <f t="shared" si="13"/>
        <v>0</v>
      </c>
      <c r="LL248" s="156">
        <f t="shared" si="14"/>
        <v>0</v>
      </c>
      <c r="LM248" s="160">
        <f t="shared" si="15"/>
        <v>0</v>
      </c>
      <c r="QX248" s="107">
        <v>45882.0</v>
      </c>
    </row>
    <row r="249">
      <c r="A249" s="12"/>
      <c r="B249" s="12"/>
      <c r="C249" s="12"/>
      <c r="D249" s="12"/>
      <c r="E249" s="12"/>
      <c r="F249" s="12"/>
      <c r="G249" s="12"/>
      <c r="H249" s="12"/>
      <c r="I249" s="143">
        <f t="shared" si="5"/>
        <v>-30</v>
      </c>
      <c r="J249" s="144">
        <v>45887.0</v>
      </c>
      <c r="K249" s="145" t="s">
        <v>61</v>
      </c>
      <c r="L249" s="171">
        <v>46087.0</v>
      </c>
      <c r="M249" s="147" t="s">
        <v>2781</v>
      </c>
      <c r="N249" s="148">
        <v>246.0</v>
      </c>
      <c r="O249" s="148">
        <v>30.0</v>
      </c>
      <c r="P249" s="26"/>
      <c r="Q249" s="26"/>
      <c r="R249" s="26"/>
      <c r="S249" s="26"/>
      <c r="T249" s="26"/>
      <c r="U249" s="147" t="s">
        <v>2782</v>
      </c>
      <c r="V249" s="149" t="s">
        <v>1757</v>
      </c>
      <c r="W249" s="150" t="s">
        <v>2783</v>
      </c>
      <c r="X249" s="181">
        <v>25.0</v>
      </c>
      <c r="Y249" s="166">
        <f t="shared" si="6"/>
        <v>30</v>
      </c>
      <c r="Z249" s="26">
        <f t="shared" si="7"/>
        <v>0</v>
      </c>
      <c r="AA249" s="26">
        <f t="shared" si="8"/>
        <v>0</v>
      </c>
      <c r="AB249" s="26">
        <f t="shared" si="9"/>
        <v>0</v>
      </c>
      <c r="AC249" s="155">
        <v>5.0</v>
      </c>
      <c r="AD249" s="155">
        <v>0.0</v>
      </c>
      <c r="AE249" s="155">
        <v>0.0</v>
      </c>
      <c r="AF249" s="155">
        <v>0.0</v>
      </c>
      <c r="AG249" s="155">
        <v>0.0</v>
      </c>
      <c r="AH249" s="155">
        <v>0.0</v>
      </c>
      <c r="AI249" s="167"/>
      <c r="AJ249" s="167"/>
      <c r="AK249" s="167"/>
      <c r="AL249" s="167"/>
      <c r="AM249" s="167">
        <v>1.0</v>
      </c>
      <c r="AN249" s="167"/>
      <c r="AO249" s="167"/>
      <c r="AP249" s="167"/>
      <c r="AQ249" s="167"/>
      <c r="AR249" s="167"/>
      <c r="AS249" s="167"/>
      <c r="AT249" s="167">
        <v>1.0</v>
      </c>
      <c r="AU249" s="167">
        <v>0.0</v>
      </c>
      <c r="AV249" s="167"/>
      <c r="AW249" s="168">
        <v>1.0</v>
      </c>
      <c r="AX249" s="167"/>
      <c r="AY249" s="167">
        <v>0.0</v>
      </c>
      <c r="AZ249" s="167">
        <v>0.0</v>
      </c>
      <c r="BA249" s="167">
        <v>1.0</v>
      </c>
      <c r="BB249" s="167"/>
      <c r="BC249" s="167"/>
      <c r="BD249" s="167"/>
      <c r="BE249" s="167"/>
      <c r="BF249" s="167"/>
      <c r="BG249" s="167"/>
      <c r="BH249" s="167"/>
      <c r="BI249" s="167"/>
      <c r="BJ249" s="167">
        <v>1.0</v>
      </c>
      <c r="BK249" s="167">
        <v>0.0</v>
      </c>
      <c r="BL249" s="167"/>
      <c r="BM249" s="167">
        <v>0.0</v>
      </c>
      <c r="BN249" s="155">
        <v>0.0</v>
      </c>
      <c r="BO249" s="155">
        <v>0.0</v>
      </c>
      <c r="BP249" s="155">
        <v>0.0</v>
      </c>
      <c r="BQ249" s="155">
        <v>0.0</v>
      </c>
      <c r="BR249" s="155">
        <v>0.0</v>
      </c>
      <c r="BS249" s="155">
        <v>0.0</v>
      </c>
      <c r="BT249" s="167"/>
      <c r="BU249" s="167"/>
      <c r="BV249" s="167"/>
      <c r="BW249" s="167"/>
      <c r="BX249" s="167"/>
      <c r="BY249" s="167"/>
      <c r="BZ249" s="167"/>
      <c r="CA249" s="167"/>
      <c r="CB249" s="167"/>
      <c r="CC249" s="167"/>
      <c r="CD249" s="167"/>
      <c r="CE249" s="167"/>
      <c r="CF249" s="167"/>
      <c r="CG249" s="167"/>
      <c r="CH249" s="167"/>
      <c r="CI249" s="167"/>
      <c r="CJ249" s="167"/>
      <c r="CK249" s="167"/>
      <c r="CL249" s="167"/>
      <c r="CM249" s="167"/>
      <c r="CN249" s="167"/>
      <c r="CO249" s="167"/>
      <c r="CP249" s="167"/>
      <c r="CQ249" s="167"/>
      <c r="CR249" s="167"/>
      <c r="CS249" s="167"/>
      <c r="CT249" s="167"/>
      <c r="CU249" s="167"/>
      <c r="CV249" s="156">
        <v>0.0</v>
      </c>
      <c r="CW249" s="156">
        <v>0.0</v>
      </c>
      <c r="CX249" s="156">
        <v>0.0</v>
      </c>
      <c r="CY249" s="156">
        <v>0.0</v>
      </c>
      <c r="CZ249" s="156">
        <v>0.0</v>
      </c>
      <c r="DA249" s="156">
        <v>0.0</v>
      </c>
      <c r="EG249" s="156">
        <v>0.0</v>
      </c>
      <c r="EH249" s="156">
        <v>0.0</v>
      </c>
      <c r="EI249" s="156">
        <v>0.0</v>
      </c>
      <c r="EJ249" s="156">
        <v>0.0</v>
      </c>
      <c r="EK249" s="156">
        <v>0.0</v>
      </c>
      <c r="EL249" s="156">
        <v>0.0</v>
      </c>
      <c r="FQ249" s="156">
        <v>0.0</v>
      </c>
      <c r="FR249" s="156">
        <v>0.0</v>
      </c>
      <c r="FS249" s="156">
        <v>0.0</v>
      </c>
      <c r="FT249" s="156">
        <v>0.0</v>
      </c>
      <c r="FU249" s="156">
        <v>0.0</v>
      </c>
      <c r="FV249" s="156">
        <v>0.0</v>
      </c>
      <c r="FW249" s="157"/>
      <c r="FX249" s="157"/>
      <c r="FY249" s="157"/>
      <c r="FZ249" s="157"/>
      <c r="GA249" s="157"/>
      <c r="GB249" s="157"/>
      <c r="GC249" s="157"/>
      <c r="GD249" s="157"/>
      <c r="GE249" s="157"/>
      <c r="GF249" s="157"/>
      <c r="GG249" s="157"/>
      <c r="GH249" s="157"/>
      <c r="GI249" s="157"/>
      <c r="GJ249" s="157"/>
      <c r="GK249" s="157"/>
      <c r="GL249" s="157"/>
      <c r="GM249" s="157"/>
      <c r="GN249" s="157"/>
      <c r="GO249" s="157"/>
      <c r="GP249" s="158"/>
      <c r="GQ249" s="157"/>
      <c r="GR249" s="157"/>
      <c r="GS249" s="157"/>
      <c r="GT249" s="157"/>
      <c r="GU249" s="157"/>
      <c r="GV249" s="157"/>
      <c r="GW249" s="157"/>
      <c r="GX249" s="157"/>
      <c r="GY249" s="157"/>
      <c r="GZ249" s="157"/>
      <c r="HA249" s="157"/>
      <c r="HB249" s="155">
        <v>0.0</v>
      </c>
      <c r="HC249" s="155">
        <v>0.0</v>
      </c>
      <c r="HD249" s="155">
        <v>0.0</v>
      </c>
      <c r="HE249" s="155">
        <v>0.0</v>
      </c>
      <c r="HF249" s="155">
        <v>0.0</v>
      </c>
      <c r="HG249" s="155">
        <v>0.0</v>
      </c>
      <c r="IL249" s="159">
        <v>0.0</v>
      </c>
      <c r="IM249" s="156">
        <v>0.0</v>
      </c>
      <c r="IN249" s="156">
        <v>0.0</v>
      </c>
      <c r="IO249" s="156">
        <v>0.0</v>
      </c>
      <c r="IP249" s="156">
        <v>0.0</v>
      </c>
      <c r="IQ249" s="160">
        <v>0.0</v>
      </c>
      <c r="JH249" s="25"/>
      <c r="JW249" s="159">
        <v>0.0</v>
      </c>
      <c r="JX249" s="156">
        <v>0.0</v>
      </c>
      <c r="JY249" s="156">
        <v>0.0</v>
      </c>
      <c r="JZ249" s="156">
        <v>0.0</v>
      </c>
      <c r="KA249" s="156">
        <v>0.0</v>
      </c>
      <c r="KB249" s="160">
        <v>0.0</v>
      </c>
      <c r="LH249" s="159">
        <f t="shared" si="10"/>
        <v>0</v>
      </c>
      <c r="LI249" s="156">
        <f t="shared" si="11"/>
        <v>0</v>
      </c>
      <c r="LJ249" s="156">
        <f t="shared" si="12"/>
        <v>0</v>
      </c>
      <c r="LK249" s="156">
        <f t="shared" si="13"/>
        <v>0</v>
      </c>
      <c r="LL249" s="156">
        <f t="shared" si="14"/>
        <v>0</v>
      </c>
      <c r="LM249" s="160">
        <f t="shared" si="15"/>
        <v>0</v>
      </c>
      <c r="QX249" s="107">
        <v>45882.0</v>
      </c>
    </row>
    <row r="250">
      <c r="A250" s="12"/>
      <c r="B250" s="12"/>
      <c r="C250" s="12"/>
      <c r="D250" s="12"/>
      <c r="E250" s="12"/>
      <c r="F250" s="12"/>
      <c r="G250" s="12"/>
      <c r="H250" s="12"/>
      <c r="I250" s="143">
        <f t="shared" si="5"/>
        <v>-30</v>
      </c>
      <c r="J250" s="144">
        <v>45890.0</v>
      </c>
      <c r="K250" s="173" t="s">
        <v>61</v>
      </c>
      <c r="L250" s="144">
        <v>45998.0</v>
      </c>
      <c r="M250" s="147" t="s">
        <v>348</v>
      </c>
      <c r="N250" s="148" t="s">
        <v>467</v>
      </c>
      <c r="O250" s="148">
        <v>30.0</v>
      </c>
      <c r="P250" s="26"/>
      <c r="Q250" s="26"/>
      <c r="R250" s="26"/>
      <c r="S250" s="26"/>
      <c r="T250" s="26"/>
      <c r="U250" s="147" t="s">
        <v>2784</v>
      </c>
      <c r="V250" s="149" t="s">
        <v>1217</v>
      </c>
      <c r="W250" s="198" t="s">
        <v>2785</v>
      </c>
      <c r="X250" s="181">
        <v>30.0</v>
      </c>
      <c r="Y250" s="166">
        <f t="shared" si="6"/>
        <v>30</v>
      </c>
      <c r="Z250" s="26">
        <f t="shared" si="7"/>
        <v>0</v>
      </c>
      <c r="AA250" s="26">
        <f t="shared" si="8"/>
        <v>0</v>
      </c>
      <c r="AB250" s="26">
        <f t="shared" si="9"/>
        <v>0</v>
      </c>
      <c r="AC250" s="155">
        <v>0.0</v>
      </c>
      <c r="AD250" s="155">
        <v>0.0</v>
      </c>
      <c r="AE250" s="155">
        <v>0.0</v>
      </c>
      <c r="AF250" s="155">
        <v>0.0</v>
      </c>
      <c r="AG250" s="155">
        <v>0.0</v>
      </c>
      <c r="AH250" s="155">
        <v>0.0</v>
      </c>
      <c r="BN250" s="155">
        <v>0.0</v>
      </c>
      <c r="BO250" s="155">
        <v>0.0</v>
      </c>
      <c r="BP250" s="155">
        <v>0.0</v>
      </c>
      <c r="BQ250" s="155">
        <v>0.0</v>
      </c>
      <c r="BR250" s="155">
        <v>0.0</v>
      </c>
      <c r="BS250" s="155">
        <v>0.0</v>
      </c>
      <c r="CV250" s="156">
        <v>0.0</v>
      </c>
      <c r="CW250" s="156">
        <v>0.0</v>
      </c>
      <c r="CX250" s="156">
        <v>0.0</v>
      </c>
      <c r="CY250" s="156">
        <v>0.0</v>
      </c>
      <c r="CZ250" s="156">
        <v>0.0</v>
      </c>
      <c r="DA250" s="156">
        <v>0.0</v>
      </c>
      <c r="EG250" s="156">
        <v>0.0</v>
      </c>
      <c r="EH250" s="156">
        <v>0.0</v>
      </c>
      <c r="EI250" s="156">
        <v>0.0</v>
      </c>
      <c r="EJ250" s="156">
        <v>0.0</v>
      </c>
      <c r="EK250" s="156">
        <v>0.0</v>
      </c>
      <c r="EL250" s="156">
        <v>0.0</v>
      </c>
      <c r="FQ250" s="156">
        <v>0.0</v>
      </c>
      <c r="FR250" s="156">
        <v>0.0</v>
      </c>
      <c r="FS250" s="156">
        <v>0.0</v>
      </c>
      <c r="FT250" s="156">
        <v>0.0</v>
      </c>
      <c r="FU250" s="156">
        <v>0.0</v>
      </c>
      <c r="FV250" s="156">
        <v>0.0</v>
      </c>
      <c r="FW250" s="157"/>
      <c r="FX250" s="157"/>
      <c r="FY250" s="157"/>
      <c r="FZ250" s="157"/>
      <c r="GA250" s="157"/>
      <c r="GB250" s="157"/>
      <c r="GC250" s="157"/>
      <c r="GD250" s="157"/>
      <c r="GE250" s="157"/>
      <c r="GF250" s="157"/>
      <c r="GG250" s="157"/>
      <c r="GH250" s="157"/>
      <c r="GI250" s="157"/>
      <c r="GJ250" s="157"/>
      <c r="GK250" s="157"/>
      <c r="GL250" s="157"/>
      <c r="GM250" s="157"/>
      <c r="GN250" s="157"/>
      <c r="GO250" s="157"/>
      <c r="GP250" s="158"/>
      <c r="GQ250" s="157"/>
      <c r="GR250" s="157"/>
      <c r="GS250" s="157"/>
      <c r="GT250" s="157"/>
      <c r="GU250" s="157"/>
      <c r="GV250" s="157"/>
      <c r="GW250" s="157"/>
      <c r="GX250" s="157"/>
      <c r="GY250" s="157"/>
      <c r="GZ250" s="157"/>
      <c r="HA250" s="157"/>
      <c r="HB250" s="155">
        <v>0.0</v>
      </c>
      <c r="HC250" s="155">
        <v>0.0</v>
      </c>
      <c r="HD250" s="155">
        <v>0.0</v>
      </c>
      <c r="HE250" s="155">
        <v>0.0</v>
      </c>
      <c r="HF250" s="155">
        <v>0.0</v>
      </c>
      <c r="HG250" s="155">
        <v>0.0</v>
      </c>
      <c r="IL250" s="159">
        <v>0.0</v>
      </c>
      <c r="IM250" s="156">
        <v>0.0</v>
      </c>
      <c r="IN250" s="156">
        <v>0.0</v>
      </c>
      <c r="IO250" s="156">
        <v>0.0</v>
      </c>
      <c r="IP250" s="156">
        <v>0.0</v>
      </c>
      <c r="IQ250" s="160">
        <v>0.0</v>
      </c>
      <c r="JH250" s="25"/>
      <c r="JW250" s="159">
        <v>0.0</v>
      </c>
      <c r="JX250" s="156">
        <v>0.0</v>
      </c>
      <c r="JY250" s="156">
        <v>0.0</v>
      </c>
      <c r="JZ250" s="156">
        <v>0.0</v>
      </c>
      <c r="KA250" s="156">
        <v>0.0</v>
      </c>
      <c r="KB250" s="160">
        <v>0.0</v>
      </c>
      <c r="LH250" s="159">
        <f t="shared" si="10"/>
        <v>0</v>
      </c>
      <c r="LI250" s="156">
        <f t="shared" si="11"/>
        <v>0</v>
      </c>
      <c r="LJ250" s="156">
        <f t="shared" si="12"/>
        <v>0</v>
      </c>
      <c r="LK250" s="156">
        <f t="shared" si="13"/>
        <v>0</v>
      </c>
      <c r="LL250" s="156">
        <f t="shared" si="14"/>
        <v>0</v>
      </c>
      <c r="LM250" s="160">
        <f t="shared" si="15"/>
        <v>0</v>
      </c>
      <c r="QX250" s="107">
        <v>45882.0</v>
      </c>
    </row>
    <row r="251">
      <c r="A251" s="12"/>
      <c r="B251" s="12"/>
      <c r="C251" s="12"/>
      <c r="D251" s="12"/>
      <c r="E251" s="12"/>
      <c r="F251" s="12"/>
      <c r="G251" s="12"/>
      <c r="H251" s="12"/>
      <c r="I251" s="143">
        <f t="shared" si="5"/>
        <v>-30</v>
      </c>
      <c r="J251" s="144">
        <v>45887.0</v>
      </c>
      <c r="K251" s="173" t="s">
        <v>61</v>
      </c>
      <c r="L251" s="144">
        <v>45994.0</v>
      </c>
      <c r="M251" s="147" t="s">
        <v>1130</v>
      </c>
      <c r="N251" s="148">
        <v>246.0</v>
      </c>
      <c r="O251" s="148">
        <v>30.0</v>
      </c>
      <c r="P251" s="26"/>
      <c r="Q251" s="26"/>
      <c r="R251" s="26"/>
      <c r="S251" s="26"/>
      <c r="T251" s="26"/>
      <c r="U251" s="147" t="s">
        <v>2519</v>
      </c>
      <c r="V251" s="149" t="s">
        <v>307</v>
      </c>
      <c r="W251" s="198" t="s">
        <v>2788</v>
      </c>
      <c r="X251" s="181">
        <v>30.0</v>
      </c>
      <c r="Y251" s="166">
        <f t="shared" si="6"/>
        <v>30</v>
      </c>
      <c r="Z251" s="26">
        <f t="shared" si="7"/>
        <v>0</v>
      </c>
      <c r="AA251" s="26">
        <f t="shared" si="8"/>
        <v>0</v>
      </c>
      <c r="AB251" s="26">
        <f t="shared" si="9"/>
        <v>0</v>
      </c>
      <c r="AC251" s="155">
        <v>0.0</v>
      </c>
      <c r="AD251" s="155">
        <v>0.0</v>
      </c>
      <c r="AE251" s="155">
        <v>0.0</v>
      </c>
      <c r="AF251" s="155">
        <v>0.0</v>
      </c>
      <c r="AG251" s="155">
        <v>0.0</v>
      </c>
      <c r="AH251" s="155">
        <v>0.0</v>
      </c>
      <c r="BN251" s="155">
        <v>0.0</v>
      </c>
      <c r="BO251" s="155">
        <v>0.0</v>
      </c>
      <c r="BP251" s="155">
        <v>0.0</v>
      </c>
      <c r="BQ251" s="155">
        <v>0.0</v>
      </c>
      <c r="BR251" s="155">
        <v>0.0</v>
      </c>
      <c r="BS251" s="155">
        <v>0.0</v>
      </c>
      <c r="CV251" s="156">
        <v>0.0</v>
      </c>
      <c r="CW251" s="156">
        <v>0.0</v>
      </c>
      <c r="CX251" s="156">
        <v>0.0</v>
      </c>
      <c r="CY251" s="156">
        <v>0.0</v>
      </c>
      <c r="CZ251" s="156">
        <v>0.0</v>
      </c>
      <c r="DA251" s="156">
        <v>0.0</v>
      </c>
      <c r="EG251" s="156">
        <v>0.0</v>
      </c>
      <c r="EH251" s="156">
        <v>0.0</v>
      </c>
      <c r="EI251" s="156">
        <v>0.0</v>
      </c>
      <c r="EJ251" s="156">
        <v>0.0</v>
      </c>
      <c r="EK251" s="156">
        <v>0.0</v>
      </c>
      <c r="EL251" s="156">
        <v>0.0</v>
      </c>
      <c r="FQ251" s="156">
        <v>0.0</v>
      </c>
      <c r="FR251" s="156">
        <v>0.0</v>
      </c>
      <c r="FS251" s="156">
        <v>0.0</v>
      </c>
      <c r="FT251" s="156">
        <v>0.0</v>
      </c>
      <c r="FU251" s="156">
        <v>0.0</v>
      </c>
      <c r="FV251" s="156">
        <v>0.0</v>
      </c>
      <c r="FW251" s="157"/>
      <c r="FX251" s="157"/>
      <c r="FY251" s="157"/>
      <c r="FZ251" s="157"/>
      <c r="GA251" s="157"/>
      <c r="GB251" s="157"/>
      <c r="GC251" s="157"/>
      <c r="GD251" s="157"/>
      <c r="GE251" s="157"/>
      <c r="GF251" s="157"/>
      <c r="GG251" s="157"/>
      <c r="GH251" s="157"/>
      <c r="GI251" s="157"/>
      <c r="GJ251" s="157"/>
      <c r="GK251" s="157"/>
      <c r="GL251" s="157"/>
      <c r="GM251" s="157"/>
      <c r="GN251" s="157"/>
      <c r="GO251" s="157"/>
      <c r="GP251" s="158"/>
      <c r="GQ251" s="157"/>
      <c r="GR251" s="157"/>
      <c r="GS251" s="157"/>
      <c r="GT251" s="157"/>
      <c r="GU251" s="157"/>
      <c r="GV251" s="157"/>
      <c r="GW251" s="157"/>
      <c r="GX251" s="157"/>
      <c r="GY251" s="157"/>
      <c r="GZ251" s="157"/>
      <c r="HA251" s="157"/>
      <c r="HB251" s="155">
        <v>0.0</v>
      </c>
      <c r="HC251" s="155">
        <v>0.0</v>
      </c>
      <c r="HD251" s="155">
        <v>0.0</v>
      </c>
      <c r="HE251" s="155">
        <v>0.0</v>
      </c>
      <c r="HF251" s="155">
        <v>0.0</v>
      </c>
      <c r="HG251" s="155">
        <v>0.0</v>
      </c>
      <c r="IL251" s="159">
        <v>0.0</v>
      </c>
      <c r="IM251" s="156">
        <v>0.0</v>
      </c>
      <c r="IN251" s="156">
        <v>0.0</v>
      </c>
      <c r="IO251" s="156">
        <v>0.0</v>
      </c>
      <c r="IP251" s="156">
        <v>0.0</v>
      </c>
      <c r="IQ251" s="160">
        <v>0.0</v>
      </c>
      <c r="JH251" s="25"/>
      <c r="JW251" s="159">
        <v>0.0</v>
      </c>
      <c r="JX251" s="156">
        <v>0.0</v>
      </c>
      <c r="JY251" s="156">
        <v>0.0</v>
      </c>
      <c r="JZ251" s="156">
        <v>0.0</v>
      </c>
      <c r="KA251" s="156">
        <v>0.0</v>
      </c>
      <c r="KB251" s="160">
        <v>0.0</v>
      </c>
      <c r="LH251" s="159">
        <f t="shared" si="10"/>
        <v>0</v>
      </c>
      <c r="LI251" s="156">
        <f t="shared" si="11"/>
        <v>0</v>
      </c>
      <c r="LJ251" s="156">
        <f t="shared" si="12"/>
        <v>0</v>
      </c>
      <c r="LK251" s="156">
        <f t="shared" si="13"/>
        <v>0</v>
      </c>
      <c r="LL251" s="156">
        <f t="shared" si="14"/>
        <v>0</v>
      </c>
      <c r="LM251" s="160">
        <f t="shared" si="15"/>
        <v>0</v>
      </c>
      <c r="QX251" s="107">
        <v>45882.0</v>
      </c>
    </row>
    <row r="252">
      <c r="A252" s="12"/>
      <c r="B252" s="12"/>
      <c r="C252" s="12"/>
      <c r="D252" s="12"/>
      <c r="E252" s="12"/>
      <c r="F252" s="12"/>
      <c r="G252" s="12"/>
      <c r="H252" s="12"/>
      <c r="I252" s="143">
        <f t="shared" si="5"/>
        <v>-30</v>
      </c>
      <c r="J252" s="144">
        <v>45889.0</v>
      </c>
      <c r="K252" s="173" t="s">
        <v>61</v>
      </c>
      <c r="L252" s="144">
        <v>45983.0</v>
      </c>
      <c r="M252" s="147" t="s">
        <v>107</v>
      </c>
      <c r="N252" s="148">
        <v>246.0</v>
      </c>
      <c r="O252" s="148">
        <v>30.0</v>
      </c>
      <c r="P252" s="26"/>
      <c r="Q252" s="26"/>
      <c r="R252" s="26"/>
      <c r="S252" s="26"/>
      <c r="T252" s="26"/>
      <c r="U252" s="147" t="s">
        <v>2791</v>
      </c>
      <c r="V252" s="149" t="s">
        <v>2792</v>
      </c>
      <c r="W252" s="198" t="s">
        <v>2793</v>
      </c>
      <c r="X252" s="181">
        <v>30.0</v>
      </c>
      <c r="Y252" s="166">
        <f t="shared" si="6"/>
        <v>30</v>
      </c>
      <c r="Z252" s="26">
        <f t="shared" si="7"/>
        <v>0</v>
      </c>
      <c r="AA252" s="26">
        <f t="shared" si="8"/>
        <v>0</v>
      </c>
      <c r="AB252" s="26">
        <f t="shared" si="9"/>
        <v>0</v>
      </c>
      <c r="AC252" s="155">
        <v>0.0</v>
      </c>
      <c r="AD252" s="155">
        <v>0.0</v>
      </c>
      <c r="AE252" s="155">
        <v>0.0</v>
      </c>
      <c r="AF252" s="155">
        <v>0.0</v>
      </c>
      <c r="AG252" s="155">
        <v>0.0</v>
      </c>
      <c r="AH252" s="155">
        <v>0.0</v>
      </c>
      <c r="BN252" s="155">
        <v>0.0</v>
      </c>
      <c r="BO252" s="155">
        <v>0.0</v>
      </c>
      <c r="BP252" s="155">
        <v>0.0</v>
      </c>
      <c r="BQ252" s="155">
        <v>0.0</v>
      </c>
      <c r="BR252" s="155">
        <v>0.0</v>
      </c>
      <c r="BS252" s="155">
        <v>0.0</v>
      </c>
      <c r="CV252" s="156">
        <v>0.0</v>
      </c>
      <c r="CW252" s="156">
        <v>0.0</v>
      </c>
      <c r="CX252" s="156">
        <v>0.0</v>
      </c>
      <c r="CY252" s="156">
        <v>0.0</v>
      </c>
      <c r="CZ252" s="156">
        <v>0.0</v>
      </c>
      <c r="DA252" s="156">
        <v>0.0</v>
      </c>
      <c r="EG252" s="156">
        <v>0.0</v>
      </c>
      <c r="EH252" s="156">
        <v>0.0</v>
      </c>
      <c r="EI252" s="156">
        <v>0.0</v>
      </c>
      <c r="EJ252" s="156">
        <v>0.0</v>
      </c>
      <c r="EK252" s="156">
        <v>0.0</v>
      </c>
      <c r="EL252" s="156">
        <v>0.0</v>
      </c>
      <c r="FQ252" s="156">
        <v>0.0</v>
      </c>
      <c r="FR252" s="156">
        <v>0.0</v>
      </c>
      <c r="FS252" s="156">
        <v>0.0</v>
      </c>
      <c r="FT252" s="156">
        <v>0.0</v>
      </c>
      <c r="FU252" s="156">
        <v>0.0</v>
      </c>
      <c r="FV252" s="156">
        <v>0.0</v>
      </c>
      <c r="FW252" s="157"/>
      <c r="FX252" s="157"/>
      <c r="FY252" s="157"/>
      <c r="FZ252" s="157"/>
      <c r="GA252" s="157"/>
      <c r="GB252" s="157"/>
      <c r="GC252" s="157"/>
      <c r="GD252" s="157"/>
      <c r="GE252" s="157"/>
      <c r="GF252" s="157"/>
      <c r="GG252" s="157"/>
      <c r="GH252" s="157"/>
      <c r="GI252" s="157"/>
      <c r="GJ252" s="157"/>
      <c r="GK252" s="157"/>
      <c r="GL252" s="157"/>
      <c r="GM252" s="157"/>
      <c r="GN252" s="157"/>
      <c r="GO252" s="157"/>
      <c r="GP252" s="158"/>
      <c r="GQ252" s="157"/>
      <c r="GR252" s="157"/>
      <c r="GS252" s="157"/>
      <c r="GT252" s="157"/>
      <c r="GU252" s="157"/>
      <c r="GV252" s="157"/>
      <c r="GW252" s="157"/>
      <c r="GX252" s="157"/>
      <c r="GY252" s="157"/>
      <c r="GZ252" s="157"/>
      <c r="HA252" s="157"/>
      <c r="HB252" s="155">
        <v>0.0</v>
      </c>
      <c r="HC252" s="155">
        <v>0.0</v>
      </c>
      <c r="HD252" s="155">
        <v>0.0</v>
      </c>
      <c r="HE252" s="155">
        <v>0.0</v>
      </c>
      <c r="HF252" s="155">
        <v>0.0</v>
      </c>
      <c r="HG252" s="155">
        <v>0.0</v>
      </c>
      <c r="IL252" s="159">
        <v>0.0</v>
      </c>
      <c r="IM252" s="156">
        <v>0.0</v>
      </c>
      <c r="IN252" s="156">
        <v>0.0</v>
      </c>
      <c r="IO252" s="156">
        <v>0.0</v>
      </c>
      <c r="IP252" s="156">
        <v>0.0</v>
      </c>
      <c r="IQ252" s="160">
        <v>0.0</v>
      </c>
      <c r="JH252" s="25"/>
      <c r="JW252" s="159">
        <v>0.0</v>
      </c>
      <c r="JX252" s="156">
        <v>0.0</v>
      </c>
      <c r="JY252" s="156">
        <v>0.0</v>
      </c>
      <c r="JZ252" s="156">
        <v>0.0</v>
      </c>
      <c r="KA252" s="156">
        <v>0.0</v>
      </c>
      <c r="KB252" s="160">
        <v>0.0</v>
      </c>
      <c r="LH252" s="159">
        <f t="shared" si="10"/>
        <v>0</v>
      </c>
      <c r="LI252" s="156">
        <f t="shared" si="11"/>
        <v>0</v>
      </c>
      <c r="LJ252" s="156">
        <f t="shared" si="12"/>
        <v>0</v>
      </c>
      <c r="LK252" s="156">
        <f t="shared" si="13"/>
        <v>0</v>
      </c>
      <c r="LL252" s="156">
        <f t="shared" si="14"/>
        <v>0</v>
      </c>
      <c r="LM252" s="160">
        <f t="shared" si="15"/>
        <v>0</v>
      </c>
      <c r="QX252" s="107">
        <v>45882.0</v>
      </c>
    </row>
    <row r="253">
      <c r="A253" s="12"/>
      <c r="B253" s="12"/>
      <c r="C253" s="12"/>
      <c r="D253" s="12"/>
      <c r="E253" s="12"/>
      <c r="F253" s="12"/>
      <c r="G253" s="12"/>
      <c r="H253" s="12"/>
      <c r="I253" s="143">
        <f t="shared" si="5"/>
        <v>-30</v>
      </c>
      <c r="J253" s="144">
        <v>45892.0</v>
      </c>
      <c r="K253" s="173" t="s">
        <v>61</v>
      </c>
      <c r="L253" s="144">
        <v>45991.0</v>
      </c>
      <c r="M253" s="147" t="s">
        <v>1768</v>
      </c>
      <c r="N253" s="148">
        <v>257.0</v>
      </c>
      <c r="O253" s="148">
        <v>30.0</v>
      </c>
      <c r="P253" s="26"/>
      <c r="Q253" s="26"/>
      <c r="R253" s="26"/>
      <c r="S253" s="26"/>
      <c r="T253" s="26"/>
      <c r="U253" s="147" t="s">
        <v>1338</v>
      </c>
      <c r="V253" s="149" t="s">
        <v>1981</v>
      </c>
      <c r="W253" s="198" t="s">
        <v>2795</v>
      </c>
      <c r="X253" s="181">
        <v>30.0</v>
      </c>
      <c r="Y253" s="166">
        <f t="shared" si="6"/>
        <v>30</v>
      </c>
      <c r="Z253" s="26">
        <f t="shared" si="7"/>
        <v>0</v>
      </c>
      <c r="AA253" s="26">
        <f t="shared" si="8"/>
        <v>0</v>
      </c>
      <c r="AB253" s="26">
        <f t="shared" si="9"/>
        <v>0</v>
      </c>
      <c r="AC253" s="155">
        <v>0.0</v>
      </c>
      <c r="AD253" s="155">
        <v>0.0</v>
      </c>
      <c r="AE253" s="155">
        <v>0.0</v>
      </c>
      <c r="AF253" s="155">
        <v>0.0</v>
      </c>
      <c r="AG253" s="155">
        <v>0.0</v>
      </c>
      <c r="AH253" s="155">
        <v>0.0</v>
      </c>
      <c r="BN253" s="155">
        <v>0.0</v>
      </c>
      <c r="BO253" s="155">
        <v>0.0</v>
      </c>
      <c r="BP253" s="155">
        <v>0.0</v>
      </c>
      <c r="BQ253" s="155">
        <v>0.0</v>
      </c>
      <c r="BR253" s="155">
        <v>0.0</v>
      </c>
      <c r="BS253" s="155">
        <v>0.0</v>
      </c>
      <c r="CV253" s="156">
        <v>0.0</v>
      </c>
      <c r="CW253" s="156">
        <v>0.0</v>
      </c>
      <c r="CX253" s="156">
        <v>0.0</v>
      </c>
      <c r="CY253" s="156">
        <v>0.0</v>
      </c>
      <c r="CZ253" s="156">
        <v>0.0</v>
      </c>
      <c r="DA253" s="156">
        <v>0.0</v>
      </c>
      <c r="EG253" s="156">
        <v>0.0</v>
      </c>
      <c r="EH253" s="156">
        <v>0.0</v>
      </c>
      <c r="EI253" s="156">
        <v>0.0</v>
      </c>
      <c r="EJ253" s="156">
        <v>0.0</v>
      </c>
      <c r="EK253" s="156">
        <v>0.0</v>
      </c>
      <c r="EL253" s="156">
        <v>0.0</v>
      </c>
      <c r="FQ253" s="156">
        <v>0.0</v>
      </c>
      <c r="FR253" s="156">
        <v>0.0</v>
      </c>
      <c r="FS253" s="156">
        <v>0.0</v>
      </c>
      <c r="FT253" s="156">
        <v>0.0</v>
      </c>
      <c r="FU253" s="156">
        <v>0.0</v>
      </c>
      <c r="FV253" s="156">
        <v>0.0</v>
      </c>
      <c r="FW253" s="157"/>
      <c r="FX253" s="157"/>
      <c r="FY253" s="157"/>
      <c r="FZ253" s="157"/>
      <c r="GA253" s="157"/>
      <c r="GB253" s="157"/>
      <c r="GC253" s="157"/>
      <c r="GD253" s="157"/>
      <c r="GE253" s="157"/>
      <c r="GF253" s="157"/>
      <c r="GG253" s="157"/>
      <c r="GH253" s="157"/>
      <c r="GI253" s="157"/>
      <c r="GJ253" s="157"/>
      <c r="GK253" s="157"/>
      <c r="GL253" s="157"/>
      <c r="GM253" s="157"/>
      <c r="GN253" s="157"/>
      <c r="GO253" s="157"/>
      <c r="GP253" s="158"/>
      <c r="GQ253" s="157"/>
      <c r="GR253" s="157"/>
      <c r="GS253" s="157"/>
      <c r="GT253" s="157"/>
      <c r="GU253" s="157"/>
      <c r="GV253" s="157"/>
      <c r="GW253" s="157"/>
      <c r="GX253" s="157"/>
      <c r="GY253" s="157"/>
      <c r="GZ253" s="157"/>
      <c r="HA253" s="157"/>
      <c r="HB253" s="155">
        <v>0.0</v>
      </c>
      <c r="HC253" s="155">
        <v>0.0</v>
      </c>
      <c r="HD253" s="155">
        <v>0.0</v>
      </c>
      <c r="HE253" s="155">
        <v>0.0</v>
      </c>
      <c r="HF253" s="155">
        <v>0.0</v>
      </c>
      <c r="HG253" s="155">
        <v>0.0</v>
      </c>
      <c r="IL253" s="159">
        <v>0.0</v>
      </c>
      <c r="IM253" s="156">
        <v>0.0</v>
      </c>
      <c r="IN253" s="156">
        <v>0.0</v>
      </c>
      <c r="IO253" s="156">
        <v>0.0</v>
      </c>
      <c r="IP253" s="156">
        <v>0.0</v>
      </c>
      <c r="IQ253" s="160">
        <v>0.0</v>
      </c>
      <c r="JH253" s="25"/>
      <c r="JW253" s="159">
        <v>0.0</v>
      </c>
      <c r="JX253" s="156">
        <v>0.0</v>
      </c>
      <c r="JY253" s="156">
        <v>0.0</v>
      </c>
      <c r="JZ253" s="156">
        <v>0.0</v>
      </c>
      <c r="KA253" s="156">
        <v>0.0</v>
      </c>
      <c r="KB253" s="160">
        <v>0.0</v>
      </c>
      <c r="LH253" s="159">
        <f t="shared" si="10"/>
        <v>0</v>
      </c>
      <c r="LI253" s="156">
        <f t="shared" si="11"/>
        <v>0</v>
      </c>
      <c r="LJ253" s="156">
        <f t="shared" si="12"/>
        <v>0</v>
      </c>
      <c r="LK253" s="156">
        <f t="shared" si="13"/>
        <v>0</v>
      </c>
      <c r="LL253" s="156">
        <f t="shared" si="14"/>
        <v>0</v>
      </c>
      <c r="LM253" s="160">
        <f t="shared" si="15"/>
        <v>0</v>
      </c>
      <c r="QX253" s="107">
        <v>45887.0</v>
      </c>
    </row>
    <row r="254">
      <c r="A254" s="12"/>
      <c r="B254" s="12"/>
      <c r="C254" s="12"/>
      <c r="D254" s="12"/>
      <c r="E254" s="12"/>
      <c r="F254" s="12"/>
      <c r="G254" s="12"/>
      <c r="H254" s="12"/>
      <c r="I254" s="143">
        <f t="shared" si="5"/>
        <v>-30</v>
      </c>
      <c r="J254" s="144">
        <v>45887.0</v>
      </c>
      <c r="K254" s="173" t="s">
        <v>61</v>
      </c>
      <c r="L254" s="144">
        <v>45978.0</v>
      </c>
      <c r="M254" s="147" t="s">
        <v>2796</v>
      </c>
      <c r="N254" s="148">
        <v>246.0</v>
      </c>
      <c r="O254" s="148">
        <v>30.0</v>
      </c>
      <c r="P254" s="26"/>
      <c r="Q254" s="26"/>
      <c r="R254" s="26"/>
      <c r="S254" s="26"/>
      <c r="T254" s="26"/>
      <c r="U254" s="147" t="s">
        <v>447</v>
      </c>
      <c r="V254" s="149" t="s">
        <v>613</v>
      </c>
      <c r="W254" s="150" t="s">
        <v>2797</v>
      </c>
      <c r="X254" s="181">
        <v>30.0</v>
      </c>
      <c r="Y254" s="166">
        <f t="shared" si="6"/>
        <v>30</v>
      </c>
      <c r="Z254" s="26">
        <f t="shared" si="7"/>
        <v>0</v>
      </c>
      <c r="AA254" s="26">
        <f t="shared" si="8"/>
        <v>0</v>
      </c>
      <c r="AB254" s="26">
        <f t="shared" si="9"/>
        <v>0</v>
      </c>
      <c r="AC254" s="155">
        <v>0.0</v>
      </c>
      <c r="AD254" s="155">
        <v>0.0</v>
      </c>
      <c r="AE254" s="155">
        <v>0.0</v>
      </c>
      <c r="AF254" s="155">
        <v>0.0</v>
      </c>
      <c r="AG254" s="155">
        <v>0.0</v>
      </c>
      <c r="AH254" s="155">
        <v>0.0</v>
      </c>
      <c r="BN254" s="155">
        <v>0.0</v>
      </c>
      <c r="BO254" s="155">
        <v>0.0</v>
      </c>
      <c r="BP254" s="155">
        <v>0.0</v>
      </c>
      <c r="BQ254" s="155">
        <v>0.0</v>
      </c>
      <c r="BR254" s="155">
        <v>0.0</v>
      </c>
      <c r="BS254" s="155">
        <v>0.0</v>
      </c>
      <c r="CV254" s="156">
        <v>0.0</v>
      </c>
      <c r="CW254" s="156">
        <v>0.0</v>
      </c>
      <c r="CX254" s="156">
        <v>0.0</v>
      </c>
      <c r="CY254" s="156">
        <v>0.0</v>
      </c>
      <c r="CZ254" s="156">
        <v>0.0</v>
      </c>
      <c r="DA254" s="156">
        <v>0.0</v>
      </c>
      <c r="EG254" s="156">
        <v>0.0</v>
      </c>
      <c r="EH254" s="156">
        <v>0.0</v>
      </c>
      <c r="EI254" s="156">
        <v>0.0</v>
      </c>
      <c r="EJ254" s="156">
        <v>0.0</v>
      </c>
      <c r="EK254" s="156">
        <v>0.0</v>
      </c>
      <c r="EL254" s="156">
        <v>0.0</v>
      </c>
      <c r="FQ254" s="156">
        <v>0.0</v>
      </c>
      <c r="FR254" s="156">
        <v>0.0</v>
      </c>
      <c r="FS254" s="156">
        <v>0.0</v>
      </c>
      <c r="FT254" s="156">
        <v>0.0</v>
      </c>
      <c r="FU254" s="156">
        <v>0.0</v>
      </c>
      <c r="FV254" s="156">
        <v>0.0</v>
      </c>
      <c r="FW254" s="157"/>
      <c r="FX254" s="157"/>
      <c r="FY254" s="157"/>
      <c r="FZ254" s="157"/>
      <c r="GA254" s="157"/>
      <c r="GB254" s="157"/>
      <c r="GC254" s="157"/>
      <c r="GD254" s="157"/>
      <c r="GE254" s="157"/>
      <c r="GF254" s="157"/>
      <c r="GG254" s="157"/>
      <c r="GH254" s="157"/>
      <c r="GI254" s="157"/>
      <c r="GJ254" s="157"/>
      <c r="GK254" s="157"/>
      <c r="GL254" s="157"/>
      <c r="GM254" s="157"/>
      <c r="GN254" s="157"/>
      <c r="GO254" s="157"/>
      <c r="GP254" s="158"/>
      <c r="GQ254" s="157"/>
      <c r="GR254" s="157"/>
      <c r="GS254" s="157"/>
      <c r="GT254" s="157"/>
      <c r="GU254" s="157"/>
      <c r="GV254" s="157"/>
      <c r="GW254" s="157"/>
      <c r="GX254" s="157"/>
      <c r="GY254" s="157"/>
      <c r="GZ254" s="157"/>
      <c r="HA254" s="157"/>
      <c r="HB254" s="155">
        <v>0.0</v>
      </c>
      <c r="HC254" s="155">
        <v>0.0</v>
      </c>
      <c r="HD254" s="155">
        <v>0.0</v>
      </c>
      <c r="HE254" s="155">
        <v>0.0</v>
      </c>
      <c r="HF254" s="155">
        <v>0.0</v>
      </c>
      <c r="HG254" s="155">
        <v>0.0</v>
      </c>
      <c r="IL254" s="159">
        <v>0.0</v>
      </c>
      <c r="IM254" s="156">
        <v>0.0</v>
      </c>
      <c r="IN254" s="156">
        <v>0.0</v>
      </c>
      <c r="IO254" s="156">
        <v>0.0</v>
      </c>
      <c r="IP254" s="156">
        <v>0.0</v>
      </c>
      <c r="IQ254" s="160">
        <v>0.0</v>
      </c>
      <c r="JH254" s="25"/>
      <c r="JW254" s="159">
        <v>0.0</v>
      </c>
      <c r="JX254" s="156">
        <v>0.0</v>
      </c>
      <c r="JY254" s="156">
        <v>0.0</v>
      </c>
      <c r="JZ254" s="156">
        <v>0.0</v>
      </c>
      <c r="KA254" s="156">
        <v>0.0</v>
      </c>
      <c r="KB254" s="160">
        <v>0.0</v>
      </c>
      <c r="LH254" s="159">
        <f t="shared" si="10"/>
        <v>0</v>
      </c>
      <c r="LI254" s="156">
        <f t="shared" si="11"/>
        <v>0</v>
      </c>
      <c r="LJ254" s="156">
        <f t="shared" si="12"/>
        <v>0</v>
      </c>
      <c r="LK254" s="156">
        <f t="shared" si="13"/>
        <v>0</v>
      </c>
      <c r="LL254" s="156">
        <f t="shared" si="14"/>
        <v>0</v>
      </c>
      <c r="LM254" s="160">
        <f t="shared" si="15"/>
        <v>0</v>
      </c>
      <c r="QX254" s="107">
        <v>45887.0</v>
      </c>
    </row>
    <row r="255">
      <c r="A255" s="12"/>
      <c r="B255" s="12"/>
      <c r="C255" s="12"/>
      <c r="D255" s="12"/>
      <c r="E255" s="12"/>
      <c r="F255" s="12"/>
      <c r="G255" s="12"/>
      <c r="H255" s="12"/>
      <c r="I255" s="143">
        <f t="shared" si="5"/>
        <v>-30</v>
      </c>
      <c r="J255" s="144">
        <v>45890.0</v>
      </c>
      <c r="K255" s="173" t="s">
        <v>61</v>
      </c>
      <c r="L255" s="144">
        <v>45996.0</v>
      </c>
      <c r="M255" s="147" t="s">
        <v>1768</v>
      </c>
      <c r="N255" s="148">
        <v>357.0</v>
      </c>
      <c r="O255" s="148">
        <v>30.0</v>
      </c>
      <c r="P255" s="26"/>
      <c r="Q255" s="26"/>
      <c r="R255" s="26"/>
      <c r="S255" s="26"/>
      <c r="T255" s="26"/>
      <c r="U255" s="147" t="s">
        <v>2800</v>
      </c>
      <c r="V255" s="149" t="s">
        <v>2801</v>
      </c>
      <c r="W255" s="198" t="s">
        <v>2802</v>
      </c>
      <c r="X255" s="181">
        <v>30.0</v>
      </c>
      <c r="Y255" s="166">
        <f t="shared" si="6"/>
        <v>30</v>
      </c>
      <c r="Z255" s="26">
        <f t="shared" si="7"/>
        <v>0</v>
      </c>
      <c r="AA255" s="26">
        <f t="shared" si="8"/>
        <v>0</v>
      </c>
      <c r="AB255" s="26">
        <f t="shared" si="9"/>
        <v>0</v>
      </c>
      <c r="AC255" s="155">
        <v>0.0</v>
      </c>
      <c r="AD255" s="155">
        <v>0.0</v>
      </c>
      <c r="AE255" s="155">
        <v>0.0</v>
      </c>
      <c r="AF255" s="155">
        <v>0.0</v>
      </c>
      <c r="AG255" s="155">
        <v>0.0</v>
      </c>
      <c r="AH255" s="155">
        <v>0.0</v>
      </c>
      <c r="BN255" s="155">
        <v>0.0</v>
      </c>
      <c r="BO255" s="155">
        <v>0.0</v>
      </c>
      <c r="BP255" s="155">
        <v>0.0</v>
      </c>
      <c r="BQ255" s="155">
        <v>0.0</v>
      </c>
      <c r="BR255" s="155">
        <v>0.0</v>
      </c>
      <c r="BS255" s="155">
        <v>0.0</v>
      </c>
      <c r="CV255" s="156">
        <v>0.0</v>
      </c>
      <c r="CW255" s="156">
        <v>0.0</v>
      </c>
      <c r="CX255" s="156">
        <v>0.0</v>
      </c>
      <c r="CY255" s="156">
        <v>0.0</v>
      </c>
      <c r="CZ255" s="156">
        <v>0.0</v>
      </c>
      <c r="DA255" s="156">
        <v>0.0</v>
      </c>
      <c r="EG255" s="156">
        <v>0.0</v>
      </c>
      <c r="EH255" s="156">
        <v>0.0</v>
      </c>
      <c r="EI255" s="156">
        <v>0.0</v>
      </c>
      <c r="EJ255" s="156">
        <v>0.0</v>
      </c>
      <c r="EK255" s="156">
        <v>0.0</v>
      </c>
      <c r="EL255" s="156">
        <v>0.0</v>
      </c>
      <c r="FQ255" s="156">
        <v>0.0</v>
      </c>
      <c r="FR255" s="156">
        <v>0.0</v>
      </c>
      <c r="FS255" s="156">
        <v>0.0</v>
      </c>
      <c r="FT255" s="156">
        <v>0.0</v>
      </c>
      <c r="FU255" s="156">
        <v>0.0</v>
      </c>
      <c r="FV255" s="156">
        <v>0.0</v>
      </c>
      <c r="FW255" s="157"/>
      <c r="FX255" s="157"/>
      <c r="FY255" s="157"/>
      <c r="FZ255" s="157"/>
      <c r="GA255" s="157"/>
      <c r="GB255" s="157"/>
      <c r="GC255" s="157"/>
      <c r="GD255" s="157"/>
      <c r="GE255" s="157"/>
      <c r="GF255" s="157"/>
      <c r="GG255" s="157"/>
      <c r="GH255" s="157"/>
      <c r="GI255" s="157"/>
      <c r="GJ255" s="157"/>
      <c r="GK255" s="157"/>
      <c r="GL255" s="157"/>
      <c r="GM255" s="157"/>
      <c r="GN255" s="157"/>
      <c r="GO255" s="157"/>
      <c r="GP255" s="158"/>
      <c r="GQ255" s="157"/>
      <c r="GR255" s="157"/>
      <c r="GS255" s="157"/>
      <c r="GT255" s="157"/>
      <c r="GU255" s="157"/>
      <c r="GV255" s="157"/>
      <c r="GW255" s="157"/>
      <c r="GX255" s="157"/>
      <c r="GY255" s="157"/>
      <c r="GZ255" s="157"/>
      <c r="HA255" s="157"/>
      <c r="HB255" s="155">
        <v>0.0</v>
      </c>
      <c r="HC255" s="155">
        <v>0.0</v>
      </c>
      <c r="HD255" s="155">
        <v>0.0</v>
      </c>
      <c r="HE255" s="155">
        <v>0.0</v>
      </c>
      <c r="HF255" s="155">
        <v>0.0</v>
      </c>
      <c r="HG255" s="155">
        <v>0.0</v>
      </c>
      <c r="IL255" s="159">
        <v>0.0</v>
      </c>
      <c r="IM255" s="156">
        <v>0.0</v>
      </c>
      <c r="IN255" s="156">
        <v>0.0</v>
      </c>
      <c r="IO255" s="156">
        <v>0.0</v>
      </c>
      <c r="IP255" s="156">
        <v>0.0</v>
      </c>
      <c r="IQ255" s="160">
        <v>0.0</v>
      </c>
      <c r="JH255" s="25"/>
      <c r="JW255" s="159">
        <v>0.0</v>
      </c>
      <c r="JX255" s="156">
        <v>0.0</v>
      </c>
      <c r="JY255" s="156">
        <v>0.0</v>
      </c>
      <c r="JZ255" s="156">
        <v>0.0</v>
      </c>
      <c r="KA255" s="156">
        <v>0.0</v>
      </c>
      <c r="KB255" s="160">
        <v>0.0</v>
      </c>
      <c r="LH255" s="159">
        <f t="shared" si="10"/>
        <v>0</v>
      </c>
      <c r="LI255" s="156">
        <f t="shared" si="11"/>
        <v>0</v>
      </c>
      <c r="LJ255" s="156">
        <f t="shared" si="12"/>
        <v>0</v>
      </c>
      <c r="LK255" s="156">
        <f t="shared" si="13"/>
        <v>0</v>
      </c>
      <c r="LL255" s="156">
        <f t="shared" si="14"/>
        <v>0</v>
      </c>
      <c r="LM255" s="160">
        <f t="shared" si="15"/>
        <v>0</v>
      </c>
      <c r="QX255" s="107">
        <v>45887.0</v>
      </c>
    </row>
    <row r="256">
      <c r="A256" s="12"/>
      <c r="B256" s="12"/>
      <c r="C256" s="12"/>
      <c r="D256" s="12"/>
      <c r="E256" s="12"/>
      <c r="F256" s="12"/>
      <c r="G256" s="12"/>
      <c r="H256" s="12"/>
      <c r="I256" s="143">
        <f t="shared" si="5"/>
        <v>-29</v>
      </c>
      <c r="J256" s="144">
        <v>45892.0</v>
      </c>
      <c r="K256" s="184" t="s">
        <v>53</v>
      </c>
      <c r="L256" s="297">
        <v>46127.0</v>
      </c>
      <c r="M256" s="164" t="s">
        <v>2805</v>
      </c>
      <c r="N256" s="170">
        <v>357.0</v>
      </c>
      <c r="O256" s="148">
        <v>30.0</v>
      </c>
      <c r="P256" s="26"/>
      <c r="Q256" s="26"/>
      <c r="R256" s="26"/>
      <c r="S256" s="26"/>
      <c r="T256" s="26"/>
      <c r="U256" s="164" t="s">
        <v>2806</v>
      </c>
      <c r="V256" s="165" t="s">
        <v>563</v>
      </c>
      <c r="W256" s="248" t="s">
        <v>2807</v>
      </c>
      <c r="X256" s="181">
        <v>17.0</v>
      </c>
      <c r="Y256" s="166">
        <f t="shared" si="6"/>
        <v>29</v>
      </c>
      <c r="Z256" s="26">
        <f t="shared" si="7"/>
        <v>0</v>
      </c>
      <c r="AA256" s="26">
        <f t="shared" si="8"/>
        <v>0</v>
      </c>
      <c r="AB256" s="26">
        <f t="shared" si="9"/>
        <v>0</v>
      </c>
      <c r="AC256" s="155">
        <v>5.0</v>
      </c>
      <c r="AD256" s="155">
        <v>0.0</v>
      </c>
      <c r="AE256" s="155">
        <v>0.0</v>
      </c>
      <c r="AF256" s="155">
        <v>0.0</v>
      </c>
      <c r="AG256" s="155">
        <v>0.0</v>
      </c>
      <c r="AH256" s="155">
        <v>0.0</v>
      </c>
      <c r="AW256" s="86">
        <v>1.0</v>
      </c>
      <c r="BB256" s="86">
        <v>1.0</v>
      </c>
      <c r="BD256" s="86">
        <v>1.0</v>
      </c>
      <c r="BF256" s="86">
        <v>1.0</v>
      </c>
      <c r="BK256" s="86">
        <v>1.0</v>
      </c>
      <c r="BN256" s="155">
        <v>6.0</v>
      </c>
      <c r="BO256" s="155">
        <v>0.0</v>
      </c>
      <c r="BP256" s="155">
        <v>0.0</v>
      </c>
      <c r="BQ256" s="155">
        <v>0.0</v>
      </c>
      <c r="BR256" s="155">
        <v>0.0</v>
      </c>
      <c r="BS256" s="155">
        <v>0.0</v>
      </c>
      <c r="BT256" s="167">
        <v>0.0</v>
      </c>
      <c r="BU256" s="167">
        <v>0.0</v>
      </c>
      <c r="BV256" s="167">
        <v>1.0</v>
      </c>
      <c r="BW256" s="167">
        <v>0.0</v>
      </c>
      <c r="BX256" s="167">
        <v>1.0</v>
      </c>
      <c r="BY256" s="167"/>
      <c r="BZ256" s="167"/>
      <c r="CA256" s="167"/>
      <c r="CB256" s="167"/>
      <c r="CC256" s="167">
        <v>1.0</v>
      </c>
      <c r="CD256" s="167">
        <v>0.0</v>
      </c>
      <c r="CE256" s="167">
        <v>1.0</v>
      </c>
      <c r="CF256" s="167"/>
      <c r="CG256" s="167"/>
      <c r="CH256" s="167"/>
      <c r="CI256" s="167"/>
      <c r="CJ256" s="167"/>
      <c r="CK256" s="167"/>
      <c r="CL256" s="167"/>
      <c r="CM256" s="167"/>
      <c r="CN256" s="167"/>
      <c r="CO256" s="167"/>
      <c r="CP256" s="167"/>
      <c r="CQ256" s="167">
        <v>1.0</v>
      </c>
      <c r="CR256" s="167">
        <v>0.0</v>
      </c>
      <c r="CS256" s="167">
        <v>1.0</v>
      </c>
      <c r="CT256" s="167"/>
      <c r="CU256" s="167"/>
      <c r="CV256" s="156">
        <v>1.0</v>
      </c>
      <c r="CW256" s="156">
        <v>0.0</v>
      </c>
      <c r="CX256" s="156">
        <v>0.0</v>
      </c>
      <c r="CY256" s="156">
        <v>0.0</v>
      </c>
      <c r="CZ256" s="156">
        <v>0.0</v>
      </c>
      <c r="DA256" s="156">
        <v>0.0</v>
      </c>
      <c r="DB256" s="395"/>
      <c r="DC256" s="395"/>
      <c r="DD256" s="395"/>
      <c r="DE256" s="395"/>
      <c r="DF256" s="395"/>
      <c r="DG256" s="395"/>
      <c r="DH256" s="395">
        <v>1.0</v>
      </c>
      <c r="DI256" s="395"/>
      <c r="DJ256" s="395"/>
      <c r="DK256" s="395"/>
      <c r="DL256" s="395"/>
      <c r="DM256" s="395"/>
      <c r="DN256" s="395"/>
      <c r="DO256" s="395"/>
      <c r="DP256" s="395"/>
      <c r="DQ256" s="395"/>
      <c r="DR256" s="395"/>
      <c r="DS256" s="395"/>
      <c r="DT256" s="395"/>
      <c r="DU256" s="395"/>
      <c r="DV256" s="395"/>
      <c r="DW256" s="395"/>
      <c r="DX256" s="395"/>
      <c r="DY256" s="395"/>
      <c r="DZ256" s="395"/>
      <c r="EA256" s="395"/>
      <c r="EB256" s="395"/>
      <c r="EC256" s="395"/>
      <c r="ED256" s="395"/>
      <c r="EE256" s="395"/>
      <c r="EF256" s="395"/>
      <c r="EG256" s="156">
        <v>0.0</v>
      </c>
      <c r="EH256" s="156">
        <v>0.0</v>
      </c>
      <c r="EI256" s="156">
        <v>0.0</v>
      </c>
      <c r="EJ256" s="156">
        <v>0.0</v>
      </c>
      <c r="EK256" s="156">
        <v>0.0</v>
      </c>
      <c r="EL256" s="156">
        <v>0.0</v>
      </c>
      <c r="FQ256" s="156">
        <v>0.0</v>
      </c>
      <c r="FR256" s="156">
        <v>0.0</v>
      </c>
      <c r="FS256" s="156">
        <v>0.0</v>
      </c>
      <c r="FT256" s="156">
        <v>0.0</v>
      </c>
      <c r="FU256" s="156">
        <v>0.0</v>
      </c>
      <c r="FV256" s="156">
        <v>0.0</v>
      </c>
      <c r="FW256" s="157"/>
      <c r="FX256" s="157"/>
      <c r="FY256" s="157"/>
      <c r="FZ256" s="157"/>
      <c r="GA256" s="157"/>
      <c r="GB256" s="157"/>
      <c r="GC256" s="157"/>
      <c r="GD256" s="157"/>
      <c r="GE256" s="157"/>
      <c r="GF256" s="157"/>
      <c r="GG256" s="157"/>
      <c r="GH256" s="157"/>
      <c r="GI256" s="157"/>
      <c r="GJ256" s="157"/>
      <c r="GK256" s="157"/>
      <c r="GL256" s="157"/>
      <c r="GM256" s="157"/>
      <c r="GN256" s="157"/>
      <c r="GO256" s="157"/>
      <c r="GP256" s="158"/>
      <c r="GQ256" s="157"/>
      <c r="GR256" s="157"/>
      <c r="GS256" s="157"/>
      <c r="GT256" s="157"/>
      <c r="GU256" s="157"/>
      <c r="GV256" s="157"/>
      <c r="GW256" s="157"/>
      <c r="GX256" s="157"/>
      <c r="GY256" s="157"/>
      <c r="GZ256" s="157"/>
      <c r="HA256" s="157"/>
      <c r="HB256" s="155">
        <v>0.0</v>
      </c>
      <c r="HC256" s="155">
        <v>0.0</v>
      </c>
      <c r="HD256" s="155">
        <v>0.0</v>
      </c>
      <c r="HE256" s="155">
        <v>0.0</v>
      </c>
      <c r="HF256" s="155">
        <v>0.0</v>
      </c>
      <c r="HG256" s="155">
        <v>0.0</v>
      </c>
      <c r="IL256" s="159">
        <v>0.0</v>
      </c>
      <c r="IM256" s="156">
        <v>0.0</v>
      </c>
      <c r="IN256" s="156">
        <v>0.0</v>
      </c>
      <c r="IO256" s="156">
        <v>0.0</v>
      </c>
      <c r="IP256" s="156">
        <v>0.0</v>
      </c>
      <c r="IQ256" s="160">
        <v>0.0</v>
      </c>
      <c r="JH256" s="25"/>
      <c r="JW256" s="159">
        <v>0.0</v>
      </c>
      <c r="JX256" s="156">
        <v>0.0</v>
      </c>
      <c r="JY256" s="156">
        <v>0.0</v>
      </c>
      <c r="JZ256" s="156">
        <v>0.0</v>
      </c>
      <c r="KA256" s="156">
        <v>0.0</v>
      </c>
      <c r="KB256" s="160">
        <v>0.0</v>
      </c>
      <c r="LH256" s="159">
        <f t="shared" si="10"/>
        <v>0</v>
      </c>
      <c r="LI256" s="156">
        <f t="shared" si="11"/>
        <v>0</v>
      </c>
      <c r="LJ256" s="156">
        <f t="shared" si="12"/>
        <v>0</v>
      </c>
      <c r="LK256" s="156">
        <f t="shared" si="13"/>
        <v>0</v>
      </c>
      <c r="LL256" s="156">
        <f t="shared" si="14"/>
        <v>0</v>
      </c>
      <c r="LM256" s="160">
        <f t="shared" si="15"/>
        <v>0</v>
      </c>
      <c r="QX256" s="107">
        <v>45887.0</v>
      </c>
    </row>
    <row r="257">
      <c r="A257" s="12"/>
      <c r="B257" s="12"/>
      <c r="C257" s="12"/>
      <c r="D257" s="12"/>
      <c r="E257" s="12"/>
      <c r="F257" s="12"/>
      <c r="G257" s="12"/>
      <c r="H257" s="12"/>
      <c r="I257" s="143">
        <f t="shared" si="5"/>
        <v>-30</v>
      </c>
      <c r="J257" s="144">
        <v>45894.0</v>
      </c>
      <c r="K257" s="173" t="s">
        <v>61</v>
      </c>
      <c r="L257" s="144">
        <v>45987.0</v>
      </c>
      <c r="M257" s="147" t="s">
        <v>348</v>
      </c>
      <c r="N257" s="148">
        <v>246.0</v>
      </c>
      <c r="O257" s="148">
        <v>30.0</v>
      </c>
      <c r="P257" s="26"/>
      <c r="Q257" s="26"/>
      <c r="R257" s="26"/>
      <c r="S257" s="26"/>
      <c r="T257" s="26"/>
      <c r="U257" s="147" t="s">
        <v>1140</v>
      </c>
      <c r="V257" s="149" t="s">
        <v>2501</v>
      </c>
      <c r="W257" s="198" t="s">
        <v>2811</v>
      </c>
      <c r="X257" s="181">
        <v>30.0</v>
      </c>
      <c r="Y257" s="166">
        <f t="shared" si="6"/>
        <v>30</v>
      </c>
      <c r="Z257" s="26">
        <f t="shared" si="7"/>
        <v>0</v>
      </c>
      <c r="AA257" s="26">
        <f t="shared" si="8"/>
        <v>0</v>
      </c>
      <c r="AB257" s="26">
        <f t="shared" si="9"/>
        <v>0</v>
      </c>
      <c r="AC257" s="155">
        <v>0.0</v>
      </c>
      <c r="AD257" s="155">
        <v>0.0</v>
      </c>
      <c r="AE257" s="155">
        <v>0.0</v>
      </c>
      <c r="AF257" s="155">
        <v>0.0</v>
      </c>
      <c r="AG257" s="155">
        <v>0.0</v>
      </c>
      <c r="AH257" s="155">
        <v>0.0</v>
      </c>
      <c r="BN257" s="155">
        <v>0.0</v>
      </c>
      <c r="BO257" s="155">
        <v>0.0</v>
      </c>
      <c r="BP257" s="155">
        <v>0.0</v>
      </c>
      <c r="BQ257" s="155">
        <v>0.0</v>
      </c>
      <c r="BR257" s="155">
        <v>0.0</v>
      </c>
      <c r="BS257" s="155">
        <v>0.0</v>
      </c>
      <c r="CV257" s="156">
        <v>0.0</v>
      </c>
      <c r="CW257" s="156">
        <v>0.0</v>
      </c>
      <c r="CX257" s="156">
        <v>0.0</v>
      </c>
      <c r="CY257" s="156">
        <v>0.0</v>
      </c>
      <c r="CZ257" s="156">
        <v>0.0</v>
      </c>
      <c r="DA257" s="156">
        <v>0.0</v>
      </c>
      <c r="EG257" s="156">
        <v>0.0</v>
      </c>
      <c r="EH257" s="156">
        <v>0.0</v>
      </c>
      <c r="EI257" s="156">
        <v>0.0</v>
      </c>
      <c r="EJ257" s="156">
        <v>0.0</v>
      </c>
      <c r="EK257" s="156">
        <v>0.0</v>
      </c>
      <c r="EL257" s="156">
        <v>0.0</v>
      </c>
      <c r="FQ257" s="156">
        <v>0.0</v>
      </c>
      <c r="FR257" s="156">
        <v>0.0</v>
      </c>
      <c r="FS257" s="156">
        <v>0.0</v>
      </c>
      <c r="FT257" s="156">
        <v>0.0</v>
      </c>
      <c r="FU257" s="156">
        <v>0.0</v>
      </c>
      <c r="FV257" s="156">
        <v>0.0</v>
      </c>
      <c r="FW257" s="157"/>
      <c r="FX257" s="157"/>
      <c r="FY257" s="157"/>
      <c r="FZ257" s="157"/>
      <c r="GA257" s="157"/>
      <c r="GB257" s="157"/>
      <c r="GC257" s="157"/>
      <c r="GD257" s="157"/>
      <c r="GE257" s="157"/>
      <c r="GF257" s="157"/>
      <c r="GG257" s="157"/>
      <c r="GH257" s="157"/>
      <c r="GI257" s="157"/>
      <c r="GJ257" s="157"/>
      <c r="GK257" s="157"/>
      <c r="GL257" s="157"/>
      <c r="GM257" s="157"/>
      <c r="GN257" s="157"/>
      <c r="GO257" s="157"/>
      <c r="GP257" s="158"/>
      <c r="GQ257" s="157"/>
      <c r="GR257" s="157"/>
      <c r="GS257" s="157"/>
      <c r="GT257" s="157"/>
      <c r="GU257" s="157"/>
      <c r="GV257" s="157"/>
      <c r="GW257" s="157"/>
      <c r="GX257" s="157"/>
      <c r="GY257" s="157"/>
      <c r="GZ257" s="157"/>
      <c r="HA257" s="157"/>
      <c r="HB257" s="155">
        <v>0.0</v>
      </c>
      <c r="HC257" s="155">
        <v>0.0</v>
      </c>
      <c r="HD257" s="155">
        <v>0.0</v>
      </c>
      <c r="HE257" s="155">
        <v>0.0</v>
      </c>
      <c r="HF257" s="155">
        <v>0.0</v>
      </c>
      <c r="HG257" s="155">
        <v>0.0</v>
      </c>
      <c r="IL257" s="159">
        <v>0.0</v>
      </c>
      <c r="IM257" s="156">
        <v>0.0</v>
      </c>
      <c r="IN257" s="156">
        <v>0.0</v>
      </c>
      <c r="IO257" s="156">
        <v>0.0</v>
      </c>
      <c r="IP257" s="156">
        <v>0.0</v>
      </c>
      <c r="IQ257" s="160">
        <v>0.0</v>
      </c>
      <c r="JH257" s="25"/>
      <c r="JW257" s="159">
        <v>0.0</v>
      </c>
      <c r="JX257" s="156">
        <v>0.0</v>
      </c>
      <c r="JY257" s="156">
        <v>0.0</v>
      </c>
      <c r="JZ257" s="156">
        <v>0.0</v>
      </c>
      <c r="KA257" s="156">
        <v>0.0</v>
      </c>
      <c r="KB257" s="160">
        <v>0.0</v>
      </c>
      <c r="LH257" s="159">
        <f t="shared" si="10"/>
        <v>0</v>
      </c>
      <c r="LI257" s="156">
        <f t="shared" si="11"/>
        <v>0</v>
      </c>
      <c r="LJ257" s="156">
        <f t="shared" si="12"/>
        <v>0</v>
      </c>
      <c r="LK257" s="156">
        <f t="shared" si="13"/>
        <v>0</v>
      </c>
      <c r="LL257" s="156">
        <f t="shared" si="14"/>
        <v>0</v>
      </c>
      <c r="LM257" s="160">
        <f t="shared" si="15"/>
        <v>0</v>
      </c>
      <c r="QX257" s="107">
        <v>45888.0</v>
      </c>
    </row>
    <row r="258">
      <c r="A258" s="12"/>
      <c r="B258" s="12"/>
      <c r="C258" s="12"/>
      <c r="D258" s="12"/>
      <c r="E258" s="12"/>
      <c r="F258" s="12"/>
      <c r="G258" s="12"/>
      <c r="H258" s="12"/>
      <c r="I258" s="143">
        <f t="shared" si="5"/>
        <v>-30</v>
      </c>
      <c r="J258" s="144">
        <v>45890.0</v>
      </c>
      <c r="K258" s="173" t="s">
        <v>61</v>
      </c>
      <c r="L258" s="144">
        <v>45978.0</v>
      </c>
      <c r="M258" s="147" t="s">
        <v>400</v>
      </c>
      <c r="N258" s="148">
        <v>357.0</v>
      </c>
      <c r="O258" s="148">
        <v>30.0</v>
      </c>
      <c r="P258" s="26"/>
      <c r="Q258" s="26"/>
      <c r="R258" s="26"/>
      <c r="S258" s="26"/>
      <c r="T258" s="26"/>
      <c r="U258" s="147" t="s">
        <v>2724</v>
      </c>
      <c r="V258" s="149" t="s">
        <v>2813</v>
      </c>
      <c r="W258" s="198" t="s">
        <v>2814</v>
      </c>
      <c r="X258" s="181">
        <v>30.0</v>
      </c>
      <c r="Y258" s="166">
        <f t="shared" si="6"/>
        <v>30</v>
      </c>
      <c r="Z258" s="26">
        <f t="shared" si="7"/>
        <v>0</v>
      </c>
      <c r="AA258" s="26">
        <f t="shared" si="8"/>
        <v>0</v>
      </c>
      <c r="AB258" s="26">
        <f t="shared" si="9"/>
        <v>0</v>
      </c>
      <c r="AC258" s="155">
        <v>0.0</v>
      </c>
      <c r="AD258" s="155">
        <v>0.0</v>
      </c>
      <c r="AE258" s="155">
        <v>0.0</v>
      </c>
      <c r="AF258" s="155">
        <v>0.0</v>
      </c>
      <c r="AG258" s="155">
        <v>0.0</v>
      </c>
      <c r="AH258" s="155">
        <v>0.0</v>
      </c>
      <c r="BN258" s="155">
        <v>0.0</v>
      </c>
      <c r="BO258" s="155">
        <v>0.0</v>
      </c>
      <c r="BP258" s="155">
        <v>0.0</v>
      </c>
      <c r="BQ258" s="155">
        <v>0.0</v>
      </c>
      <c r="BR258" s="155">
        <v>0.0</v>
      </c>
      <c r="BS258" s="155">
        <v>0.0</v>
      </c>
      <c r="CV258" s="156">
        <v>0.0</v>
      </c>
      <c r="CW258" s="156">
        <v>0.0</v>
      </c>
      <c r="CX258" s="156">
        <v>0.0</v>
      </c>
      <c r="CY258" s="156">
        <v>0.0</v>
      </c>
      <c r="CZ258" s="156">
        <v>0.0</v>
      </c>
      <c r="DA258" s="156">
        <v>0.0</v>
      </c>
      <c r="EG258" s="156">
        <v>0.0</v>
      </c>
      <c r="EH258" s="156">
        <v>0.0</v>
      </c>
      <c r="EI258" s="156">
        <v>0.0</v>
      </c>
      <c r="EJ258" s="156">
        <v>0.0</v>
      </c>
      <c r="EK258" s="156">
        <v>0.0</v>
      </c>
      <c r="EL258" s="156">
        <v>0.0</v>
      </c>
      <c r="FQ258" s="156">
        <v>0.0</v>
      </c>
      <c r="FR258" s="156">
        <v>0.0</v>
      </c>
      <c r="FS258" s="156">
        <v>0.0</v>
      </c>
      <c r="FT258" s="156">
        <v>0.0</v>
      </c>
      <c r="FU258" s="156">
        <v>0.0</v>
      </c>
      <c r="FV258" s="156">
        <v>0.0</v>
      </c>
      <c r="FW258" s="157"/>
      <c r="FX258" s="157"/>
      <c r="FY258" s="157"/>
      <c r="FZ258" s="157"/>
      <c r="GA258" s="157"/>
      <c r="GB258" s="157"/>
      <c r="GC258" s="157"/>
      <c r="GD258" s="157"/>
      <c r="GE258" s="157"/>
      <c r="GF258" s="157"/>
      <c r="GG258" s="157"/>
      <c r="GH258" s="157"/>
      <c r="GI258" s="157"/>
      <c r="GJ258" s="157"/>
      <c r="GK258" s="157"/>
      <c r="GL258" s="157"/>
      <c r="GM258" s="157"/>
      <c r="GN258" s="157"/>
      <c r="GO258" s="157"/>
      <c r="GP258" s="158"/>
      <c r="GQ258" s="157"/>
      <c r="GR258" s="157"/>
      <c r="GS258" s="157"/>
      <c r="GT258" s="157"/>
      <c r="GU258" s="157"/>
      <c r="GV258" s="157"/>
      <c r="GW258" s="157"/>
      <c r="GX258" s="157"/>
      <c r="GY258" s="157"/>
      <c r="GZ258" s="157"/>
      <c r="HA258" s="157"/>
      <c r="HB258" s="155">
        <v>0.0</v>
      </c>
      <c r="HC258" s="155">
        <v>0.0</v>
      </c>
      <c r="HD258" s="155">
        <v>0.0</v>
      </c>
      <c r="HE258" s="155">
        <v>0.0</v>
      </c>
      <c r="HF258" s="155">
        <v>0.0</v>
      </c>
      <c r="HG258" s="155">
        <v>0.0</v>
      </c>
      <c r="IL258" s="159">
        <v>0.0</v>
      </c>
      <c r="IM258" s="156">
        <v>0.0</v>
      </c>
      <c r="IN258" s="156">
        <v>0.0</v>
      </c>
      <c r="IO258" s="156">
        <v>0.0</v>
      </c>
      <c r="IP258" s="156">
        <v>0.0</v>
      </c>
      <c r="IQ258" s="160">
        <v>0.0</v>
      </c>
      <c r="JH258" s="25"/>
      <c r="JW258" s="159">
        <v>0.0</v>
      </c>
      <c r="JX258" s="156">
        <v>0.0</v>
      </c>
      <c r="JY258" s="156">
        <v>0.0</v>
      </c>
      <c r="JZ258" s="156">
        <v>0.0</v>
      </c>
      <c r="KA258" s="156">
        <v>0.0</v>
      </c>
      <c r="KB258" s="160">
        <v>0.0</v>
      </c>
      <c r="LH258" s="159">
        <f t="shared" si="10"/>
        <v>0</v>
      </c>
      <c r="LI258" s="156">
        <f t="shared" si="11"/>
        <v>0</v>
      </c>
      <c r="LJ258" s="156">
        <f t="shared" si="12"/>
        <v>0</v>
      </c>
      <c r="LK258" s="156">
        <f t="shared" si="13"/>
        <v>0</v>
      </c>
      <c r="LL258" s="156">
        <f t="shared" si="14"/>
        <v>0</v>
      </c>
      <c r="LM258" s="160">
        <f t="shared" si="15"/>
        <v>0</v>
      </c>
      <c r="QX258" s="107">
        <v>45888.0</v>
      </c>
    </row>
    <row r="259">
      <c r="A259" s="12"/>
      <c r="B259" s="12"/>
      <c r="C259" s="12"/>
      <c r="D259" s="12"/>
      <c r="E259" s="12"/>
      <c r="F259" s="12"/>
      <c r="G259" s="12"/>
      <c r="H259" s="12"/>
      <c r="I259" s="143">
        <f t="shared" si="5"/>
        <v>-30</v>
      </c>
      <c r="J259" s="144">
        <v>45890.0</v>
      </c>
      <c r="K259" s="173" t="s">
        <v>61</v>
      </c>
      <c r="L259" s="144">
        <v>45969.0</v>
      </c>
      <c r="M259" s="147" t="s">
        <v>400</v>
      </c>
      <c r="N259" s="148">
        <v>357.0</v>
      </c>
      <c r="O259" s="148">
        <v>30.0</v>
      </c>
      <c r="P259" s="26"/>
      <c r="Q259" s="26"/>
      <c r="R259" s="26"/>
      <c r="S259" s="26"/>
      <c r="T259" s="26"/>
      <c r="U259" s="147" t="s">
        <v>2519</v>
      </c>
      <c r="V259" s="149" t="s">
        <v>307</v>
      </c>
      <c r="W259" s="198" t="s">
        <v>2816</v>
      </c>
      <c r="X259" s="181">
        <v>30.0</v>
      </c>
      <c r="Y259" s="166">
        <f t="shared" si="6"/>
        <v>30</v>
      </c>
      <c r="Z259" s="26">
        <f t="shared" si="7"/>
        <v>0</v>
      </c>
      <c r="AA259" s="26">
        <f t="shared" si="8"/>
        <v>0</v>
      </c>
      <c r="AB259" s="26">
        <f t="shared" si="9"/>
        <v>0</v>
      </c>
      <c r="AC259" s="155">
        <v>0.0</v>
      </c>
      <c r="AD259" s="155">
        <v>0.0</v>
      </c>
      <c r="AE259" s="155">
        <v>0.0</v>
      </c>
      <c r="AF259" s="155">
        <v>0.0</v>
      </c>
      <c r="AG259" s="155">
        <v>0.0</v>
      </c>
      <c r="AH259" s="155">
        <v>0.0</v>
      </c>
      <c r="BN259" s="155">
        <v>0.0</v>
      </c>
      <c r="BO259" s="155">
        <v>0.0</v>
      </c>
      <c r="BP259" s="155">
        <v>0.0</v>
      </c>
      <c r="BQ259" s="155">
        <v>0.0</v>
      </c>
      <c r="BR259" s="155">
        <v>0.0</v>
      </c>
      <c r="BS259" s="155">
        <v>0.0</v>
      </c>
      <c r="CV259" s="156">
        <v>0.0</v>
      </c>
      <c r="CW259" s="156">
        <v>0.0</v>
      </c>
      <c r="CX259" s="156">
        <v>0.0</v>
      </c>
      <c r="CY259" s="156">
        <v>0.0</v>
      </c>
      <c r="CZ259" s="156">
        <v>0.0</v>
      </c>
      <c r="DA259" s="156">
        <v>0.0</v>
      </c>
      <c r="EG259" s="156">
        <v>0.0</v>
      </c>
      <c r="EH259" s="156">
        <v>0.0</v>
      </c>
      <c r="EI259" s="156">
        <v>0.0</v>
      </c>
      <c r="EJ259" s="156">
        <v>0.0</v>
      </c>
      <c r="EK259" s="156">
        <v>0.0</v>
      </c>
      <c r="EL259" s="156">
        <v>0.0</v>
      </c>
      <c r="FQ259" s="156">
        <v>0.0</v>
      </c>
      <c r="FR259" s="156">
        <v>0.0</v>
      </c>
      <c r="FS259" s="156">
        <v>0.0</v>
      </c>
      <c r="FT259" s="156">
        <v>0.0</v>
      </c>
      <c r="FU259" s="156">
        <v>0.0</v>
      </c>
      <c r="FV259" s="156">
        <v>0.0</v>
      </c>
      <c r="FW259" s="157"/>
      <c r="FX259" s="157"/>
      <c r="FY259" s="157"/>
      <c r="FZ259" s="157"/>
      <c r="GA259" s="157"/>
      <c r="GB259" s="157"/>
      <c r="GC259" s="157"/>
      <c r="GD259" s="157"/>
      <c r="GE259" s="157"/>
      <c r="GF259" s="157"/>
      <c r="GG259" s="157"/>
      <c r="GH259" s="157"/>
      <c r="GI259" s="157"/>
      <c r="GJ259" s="157"/>
      <c r="GK259" s="157"/>
      <c r="GL259" s="157"/>
      <c r="GM259" s="157"/>
      <c r="GN259" s="157"/>
      <c r="GO259" s="157"/>
      <c r="GP259" s="158"/>
      <c r="GQ259" s="157"/>
      <c r="GR259" s="157"/>
      <c r="GS259" s="157"/>
      <c r="GT259" s="157"/>
      <c r="GU259" s="157"/>
      <c r="GV259" s="157"/>
      <c r="GW259" s="157"/>
      <c r="GX259" s="157"/>
      <c r="GY259" s="157"/>
      <c r="GZ259" s="157"/>
      <c r="HA259" s="157"/>
      <c r="HB259" s="155">
        <v>0.0</v>
      </c>
      <c r="HC259" s="155">
        <v>0.0</v>
      </c>
      <c r="HD259" s="155">
        <v>0.0</v>
      </c>
      <c r="HE259" s="155">
        <v>0.0</v>
      </c>
      <c r="HF259" s="155">
        <v>0.0</v>
      </c>
      <c r="HG259" s="155">
        <v>0.0</v>
      </c>
      <c r="IL259" s="159">
        <v>0.0</v>
      </c>
      <c r="IM259" s="156">
        <v>0.0</v>
      </c>
      <c r="IN259" s="156">
        <v>0.0</v>
      </c>
      <c r="IO259" s="156">
        <v>0.0</v>
      </c>
      <c r="IP259" s="156">
        <v>0.0</v>
      </c>
      <c r="IQ259" s="160">
        <v>0.0</v>
      </c>
      <c r="JH259" s="25"/>
      <c r="JW259" s="159">
        <v>0.0</v>
      </c>
      <c r="JX259" s="156">
        <v>0.0</v>
      </c>
      <c r="JY259" s="156">
        <v>0.0</v>
      </c>
      <c r="JZ259" s="156">
        <v>0.0</v>
      </c>
      <c r="KA259" s="156">
        <v>0.0</v>
      </c>
      <c r="KB259" s="160">
        <v>0.0</v>
      </c>
      <c r="LH259" s="159">
        <f t="shared" si="10"/>
        <v>0</v>
      </c>
      <c r="LI259" s="156">
        <f t="shared" si="11"/>
        <v>0</v>
      </c>
      <c r="LJ259" s="156">
        <f t="shared" si="12"/>
        <v>0</v>
      </c>
      <c r="LK259" s="156">
        <f t="shared" si="13"/>
        <v>0</v>
      </c>
      <c r="LL259" s="156">
        <f t="shared" si="14"/>
        <v>0</v>
      </c>
      <c r="LM259" s="160">
        <f t="shared" si="15"/>
        <v>0</v>
      </c>
      <c r="QX259" s="107">
        <v>45889.0</v>
      </c>
    </row>
    <row r="260">
      <c r="A260" s="12"/>
      <c r="B260" s="12"/>
      <c r="C260" s="12"/>
      <c r="D260" s="12"/>
      <c r="E260" s="12"/>
      <c r="F260" s="12"/>
      <c r="G260" s="12"/>
      <c r="H260" s="12"/>
      <c r="I260" s="143">
        <f t="shared" si="5"/>
        <v>-22</v>
      </c>
      <c r="J260" s="295">
        <v>45929.0</v>
      </c>
      <c r="K260" s="439" t="s">
        <v>53</v>
      </c>
      <c r="L260" s="295">
        <v>46008.0</v>
      </c>
      <c r="M260" s="147" t="s">
        <v>400</v>
      </c>
      <c r="N260" s="148">
        <v>246.0</v>
      </c>
      <c r="O260" s="148">
        <v>30.0</v>
      </c>
      <c r="P260" s="26"/>
      <c r="Q260" s="26"/>
      <c r="R260" s="26"/>
      <c r="S260" s="26"/>
      <c r="T260" s="26"/>
      <c r="U260" s="147" t="s">
        <v>2818</v>
      </c>
      <c r="V260" s="149" t="s">
        <v>2819</v>
      </c>
      <c r="W260" s="198" t="s">
        <v>2820</v>
      </c>
      <c r="X260" s="181">
        <v>22.0</v>
      </c>
      <c r="Y260" s="166">
        <f t="shared" si="6"/>
        <v>22</v>
      </c>
      <c r="Z260" s="26">
        <f t="shared" si="7"/>
        <v>0</v>
      </c>
      <c r="AA260" s="26">
        <f t="shared" si="8"/>
        <v>0</v>
      </c>
      <c r="AB260" s="26">
        <f t="shared" si="9"/>
        <v>0</v>
      </c>
      <c r="AC260" s="155">
        <v>0.0</v>
      </c>
      <c r="AD260" s="155">
        <v>0.0</v>
      </c>
      <c r="AE260" s="155">
        <v>0.0</v>
      </c>
      <c r="AF260" s="155">
        <v>0.0</v>
      </c>
      <c r="AG260" s="155">
        <v>0.0</v>
      </c>
      <c r="AH260" s="155">
        <v>0.0</v>
      </c>
      <c r="BN260" s="155">
        <v>0.0</v>
      </c>
      <c r="BO260" s="155">
        <v>0.0</v>
      </c>
      <c r="BP260" s="155">
        <v>0.0</v>
      </c>
      <c r="BQ260" s="155">
        <v>0.0</v>
      </c>
      <c r="BR260" s="155">
        <v>0.0</v>
      </c>
      <c r="BS260" s="155">
        <v>0.0</v>
      </c>
      <c r="CV260" s="156">
        <v>0.0</v>
      </c>
      <c r="CW260" s="156">
        <v>0.0</v>
      </c>
      <c r="CX260" s="156">
        <v>0.0</v>
      </c>
      <c r="CY260" s="156">
        <v>0.0</v>
      </c>
      <c r="CZ260" s="156">
        <v>0.0</v>
      </c>
      <c r="DA260" s="156">
        <v>0.0</v>
      </c>
      <c r="EG260" s="156">
        <v>0.0</v>
      </c>
      <c r="EH260" s="156">
        <v>0.0</v>
      </c>
      <c r="EI260" s="156">
        <v>0.0</v>
      </c>
      <c r="EJ260" s="156">
        <v>0.0</v>
      </c>
      <c r="EK260" s="156">
        <v>0.0</v>
      </c>
      <c r="EL260" s="156">
        <v>0.0</v>
      </c>
      <c r="FQ260" s="156">
        <v>0.0</v>
      </c>
      <c r="FR260" s="156">
        <v>0.0</v>
      </c>
      <c r="FS260" s="156">
        <v>0.0</v>
      </c>
      <c r="FT260" s="156">
        <v>0.0</v>
      </c>
      <c r="FU260" s="156">
        <v>0.0</v>
      </c>
      <c r="FV260" s="156">
        <v>0.0</v>
      </c>
      <c r="FW260" s="157"/>
      <c r="FX260" s="157"/>
      <c r="FY260" s="157"/>
      <c r="FZ260" s="157"/>
      <c r="GA260" s="157"/>
      <c r="GB260" s="157"/>
      <c r="GC260" s="157"/>
      <c r="GD260" s="157"/>
      <c r="GE260" s="157"/>
      <c r="GF260" s="157"/>
      <c r="GG260" s="157"/>
      <c r="GH260" s="157"/>
      <c r="GI260" s="157"/>
      <c r="GJ260" s="157"/>
      <c r="GK260" s="157"/>
      <c r="GL260" s="157"/>
      <c r="GM260" s="157"/>
      <c r="GN260" s="157"/>
      <c r="GO260" s="157"/>
      <c r="GP260" s="158"/>
      <c r="GQ260" s="157"/>
      <c r="GR260" s="157"/>
      <c r="GS260" s="157"/>
      <c r="GT260" s="157"/>
      <c r="GU260" s="157"/>
      <c r="GV260" s="157"/>
      <c r="GW260" s="157"/>
      <c r="GX260" s="157"/>
      <c r="GY260" s="157"/>
      <c r="GZ260" s="157"/>
      <c r="HA260" s="157"/>
      <c r="HB260" s="155">
        <v>0.0</v>
      </c>
      <c r="HC260" s="155">
        <v>0.0</v>
      </c>
      <c r="HD260" s="155">
        <v>0.0</v>
      </c>
      <c r="HE260" s="155">
        <v>0.0</v>
      </c>
      <c r="HF260" s="155">
        <v>0.0</v>
      </c>
      <c r="HG260" s="155">
        <v>0.0</v>
      </c>
      <c r="IL260" s="159">
        <v>0.0</v>
      </c>
      <c r="IM260" s="156">
        <v>0.0</v>
      </c>
      <c r="IN260" s="156">
        <v>0.0</v>
      </c>
      <c r="IO260" s="156">
        <v>0.0</v>
      </c>
      <c r="IP260" s="156">
        <v>0.0</v>
      </c>
      <c r="IQ260" s="160">
        <v>0.0</v>
      </c>
      <c r="JH260" s="25"/>
      <c r="JW260" s="159">
        <v>0.0</v>
      </c>
      <c r="JX260" s="156">
        <v>0.0</v>
      </c>
      <c r="JY260" s="156">
        <v>0.0</v>
      </c>
      <c r="JZ260" s="156">
        <v>0.0</v>
      </c>
      <c r="KA260" s="156">
        <v>0.0</v>
      </c>
      <c r="KB260" s="160">
        <v>0.0</v>
      </c>
      <c r="LH260" s="159">
        <f t="shared" si="10"/>
        <v>0</v>
      </c>
      <c r="LI260" s="156">
        <f t="shared" si="11"/>
        <v>0</v>
      </c>
      <c r="LJ260" s="156">
        <f t="shared" si="12"/>
        <v>0</v>
      </c>
      <c r="LK260" s="156">
        <f t="shared" si="13"/>
        <v>0</v>
      </c>
      <c r="LL260" s="156">
        <f t="shared" si="14"/>
        <v>0</v>
      </c>
      <c r="LM260" s="160">
        <f t="shared" si="15"/>
        <v>0</v>
      </c>
      <c r="QX260" s="107">
        <v>45890.0</v>
      </c>
    </row>
    <row r="261">
      <c r="A261" s="12"/>
      <c r="B261" s="12"/>
      <c r="C261" s="12"/>
      <c r="D261" s="12"/>
      <c r="E261" s="12"/>
      <c r="F261" s="12"/>
      <c r="G261" s="12"/>
      <c r="H261" s="12"/>
      <c r="I261" s="143">
        <f t="shared" si="5"/>
        <v>-10</v>
      </c>
      <c r="J261" s="295">
        <v>45889.0</v>
      </c>
      <c r="K261" s="294" t="s">
        <v>53</v>
      </c>
      <c r="L261" s="295">
        <v>45910.0</v>
      </c>
      <c r="M261" s="147" t="s">
        <v>2822</v>
      </c>
      <c r="N261" s="148">
        <v>246.0</v>
      </c>
      <c r="O261" s="148">
        <v>30.0</v>
      </c>
      <c r="P261" s="26"/>
      <c r="Q261" s="26"/>
      <c r="R261" s="26"/>
      <c r="S261" s="26"/>
      <c r="T261" s="26"/>
      <c r="U261" s="147" t="s">
        <v>2823</v>
      </c>
      <c r="V261" s="197"/>
      <c r="W261" s="198" t="s">
        <v>2824</v>
      </c>
      <c r="X261" s="181">
        <v>10.0</v>
      </c>
      <c r="Y261" s="166">
        <f t="shared" si="6"/>
        <v>10</v>
      </c>
      <c r="Z261" s="26">
        <f t="shared" si="7"/>
        <v>0</v>
      </c>
      <c r="AA261" s="26">
        <f t="shared" si="8"/>
        <v>0</v>
      </c>
      <c r="AB261" s="26">
        <f t="shared" si="9"/>
        <v>0</v>
      </c>
      <c r="AC261" s="155">
        <v>0.0</v>
      </c>
      <c r="AD261" s="155">
        <v>0.0</v>
      </c>
      <c r="AE261" s="155">
        <v>0.0</v>
      </c>
      <c r="AF261" s="155">
        <v>0.0</v>
      </c>
      <c r="AG261" s="155">
        <v>0.0</v>
      </c>
      <c r="AH261" s="155">
        <v>0.0</v>
      </c>
      <c r="BN261" s="155">
        <v>0.0</v>
      </c>
      <c r="BO261" s="155">
        <v>0.0</v>
      </c>
      <c r="BP261" s="155">
        <v>0.0</v>
      </c>
      <c r="BQ261" s="155">
        <v>0.0</v>
      </c>
      <c r="BR261" s="155">
        <v>0.0</v>
      </c>
      <c r="BS261" s="155">
        <v>0.0</v>
      </c>
      <c r="CV261" s="156">
        <v>0.0</v>
      </c>
      <c r="CW261" s="156">
        <v>0.0</v>
      </c>
      <c r="CX261" s="156">
        <v>0.0</v>
      </c>
      <c r="CY261" s="156">
        <v>0.0</v>
      </c>
      <c r="CZ261" s="156">
        <v>0.0</v>
      </c>
      <c r="DA261" s="156">
        <v>0.0</v>
      </c>
      <c r="EG261" s="156">
        <v>0.0</v>
      </c>
      <c r="EH261" s="156">
        <v>0.0</v>
      </c>
      <c r="EI261" s="156">
        <v>0.0</v>
      </c>
      <c r="EJ261" s="156">
        <v>0.0</v>
      </c>
      <c r="EK261" s="156">
        <v>0.0</v>
      </c>
      <c r="EL261" s="156">
        <v>0.0</v>
      </c>
      <c r="FQ261" s="156">
        <v>0.0</v>
      </c>
      <c r="FR261" s="156">
        <v>0.0</v>
      </c>
      <c r="FS261" s="156">
        <v>0.0</v>
      </c>
      <c r="FT261" s="156">
        <v>0.0</v>
      </c>
      <c r="FU261" s="156">
        <v>0.0</v>
      </c>
      <c r="FV261" s="156">
        <v>0.0</v>
      </c>
      <c r="FW261" s="157"/>
      <c r="FX261" s="157"/>
      <c r="FY261" s="157"/>
      <c r="FZ261" s="157"/>
      <c r="GA261" s="157"/>
      <c r="GB261" s="157"/>
      <c r="GC261" s="157"/>
      <c r="GD261" s="157"/>
      <c r="GE261" s="157"/>
      <c r="GF261" s="157"/>
      <c r="GG261" s="157"/>
      <c r="GH261" s="157"/>
      <c r="GI261" s="157"/>
      <c r="GJ261" s="157"/>
      <c r="GK261" s="157"/>
      <c r="GL261" s="157"/>
      <c r="GM261" s="157"/>
      <c r="GN261" s="157"/>
      <c r="GO261" s="157"/>
      <c r="GP261" s="158"/>
      <c r="GQ261" s="157"/>
      <c r="GR261" s="157"/>
      <c r="GS261" s="157"/>
      <c r="GT261" s="157"/>
      <c r="GU261" s="157"/>
      <c r="GV261" s="157"/>
      <c r="GW261" s="157"/>
      <c r="GX261" s="157"/>
      <c r="GY261" s="157"/>
      <c r="GZ261" s="157"/>
      <c r="HA261" s="157"/>
      <c r="HB261" s="155">
        <v>0.0</v>
      </c>
      <c r="HC261" s="155">
        <v>0.0</v>
      </c>
      <c r="HD261" s="155">
        <v>0.0</v>
      </c>
      <c r="HE261" s="155">
        <v>0.0</v>
      </c>
      <c r="HF261" s="155">
        <v>0.0</v>
      </c>
      <c r="HG261" s="155">
        <v>0.0</v>
      </c>
      <c r="IL261" s="159">
        <v>0.0</v>
      </c>
      <c r="IM261" s="156">
        <v>0.0</v>
      </c>
      <c r="IN261" s="156">
        <v>0.0</v>
      </c>
      <c r="IO261" s="156">
        <v>0.0</v>
      </c>
      <c r="IP261" s="156">
        <v>0.0</v>
      </c>
      <c r="IQ261" s="160">
        <v>0.0</v>
      </c>
      <c r="JH261" s="25"/>
      <c r="JW261" s="159">
        <v>0.0</v>
      </c>
      <c r="JX261" s="156">
        <v>0.0</v>
      </c>
      <c r="JY261" s="156">
        <v>0.0</v>
      </c>
      <c r="JZ261" s="156">
        <v>0.0</v>
      </c>
      <c r="KA261" s="156">
        <v>0.0</v>
      </c>
      <c r="KB261" s="160">
        <v>0.0</v>
      </c>
      <c r="LH261" s="159">
        <f t="shared" si="10"/>
        <v>0</v>
      </c>
      <c r="LI261" s="156">
        <f t="shared" si="11"/>
        <v>0</v>
      </c>
      <c r="LJ261" s="156">
        <f t="shared" si="12"/>
        <v>0</v>
      </c>
      <c r="LK261" s="156">
        <f t="shared" si="13"/>
        <v>0</v>
      </c>
      <c r="LL261" s="156">
        <f t="shared" si="14"/>
        <v>0</v>
      </c>
      <c r="LM261" s="160">
        <f t="shared" si="15"/>
        <v>0</v>
      </c>
      <c r="QX261" s="107">
        <v>45890.0</v>
      </c>
    </row>
    <row r="262">
      <c r="A262" s="12"/>
      <c r="B262" s="12"/>
      <c r="C262" s="12"/>
      <c r="D262" s="12"/>
      <c r="E262" s="12"/>
      <c r="F262" s="12"/>
      <c r="G262" s="12"/>
      <c r="H262" s="12"/>
      <c r="I262" s="143">
        <f t="shared" si="5"/>
        <v>-30</v>
      </c>
      <c r="J262" s="144">
        <v>45892.0</v>
      </c>
      <c r="K262" s="173" t="s">
        <v>61</v>
      </c>
      <c r="L262" s="144">
        <v>45972.0</v>
      </c>
      <c r="M262" s="147" t="s">
        <v>348</v>
      </c>
      <c r="N262" s="148">
        <v>357.0</v>
      </c>
      <c r="O262" s="148">
        <v>30.0</v>
      </c>
      <c r="P262" s="26"/>
      <c r="Q262" s="26"/>
      <c r="R262" s="26"/>
      <c r="S262" s="26"/>
      <c r="T262" s="26"/>
      <c r="U262" s="147" t="s">
        <v>1140</v>
      </c>
      <c r="V262" s="149" t="s">
        <v>2501</v>
      </c>
      <c r="W262" s="198" t="s">
        <v>2826</v>
      </c>
      <c r="X262" s="181">
        <v>30.0</v>
      </c>
      <c r="Y262" s="166">
        <f t="shared" si="6"/>
        <v>30</v>
      </c>
      <c r="Z262" s="26">
        <f t="shared" si="7"/>
        <v>0</v>
      </c>
      <c r="AA262" s="26">
        <f t="shared" si="8"/>
        <v>0</v>
      </c>
      <c r="AB262" s="26">
        <f t="shared" si="9"/>
        <v>0</v>
      </c>
      <c r="AC262" s="155">
        <v>0.0</v>
      </c>
      <c r="AD262" s="155">
        <v>0.0</v>
      </c>
      <c r="AE262" s="155">
        <v>0.0</v>
      </c>
      <c r="AF262" s="155">
        <v>0.0</v>
      </c>
      <c r="AG262" s="155">
        <v>0.0</v>
      </c>
      <c r="AH262" s="155">
        <v>0.0</v>
      </c>
      <c r="BN262" s="155">
        <v>0.0</v>
      </c>
      <c r="BO262" s="155">
        <v>0.0</v>
      </c>
      <c r="BP262" s="155">
        <v>0.0</v>
      </c>
      <c r="BQ262" s="155">
        <v>0.0</v>
      </c>
      <c r="BR262" s="155">
        <v>0.0</v>
      </c>
      <c r="BS262" s="155">
        <v>0.0</v>
      </c>
      <c r="CV262" s="156">
        <v>0.0</v>
      </c>
      <c r="CW262" s="156">
        <v>0.0</v>
      </c>
      <c r="CX262" s="156">
        <v>0.0</v>
      </c>
      <c r="CY262" s="156">
        <v>0.0</v>
      </c>
      <c r="CZ262" s="156">
        <v>0.0</v>
      </c>
      <c r="DA262" s="156">
        <v>0.0</v>
      </c>
      <c r="EG262" s="156">
        <v>0.0</v>
      </c>
      <c r="EH262" s="156">
        <v>0.0</v>
      </c>
      <c r="EI262" s="156">
        <v>0.0</v>
      </c>
      <c r="EJ262" s="156">
        <v>0.0</v>
      </c>
      <c r="EK262" s="156">
        <v>0.0</v>
      </c>
      <c r="EL262" s="156">
        <v>0.0</v>
      </c>
      <c r="FQ262" s="156">
        <v>0.0</v>
      </c>
      <c r="FR262" s="156">
        <v>0.0</v>
      </c>
      <c r="FS262" s="156">
        <v>0.0</v>
      </c>
      <c r="FT262" s="156">
        <v>0.0</v>
      </c>
      <c r="FU262" s="156">
        <v>0.0</v>
      </c>
      <c r="FV262" s="156">
        <v>0.0</v>
      </c>
      <c r="FW262" s="157"/>
      <c r="FX262" s="157"/>
      <c r="FY262" s="157"/>
      <c r="FZ262" s="157"/>
      <c r="GA262" s="157"/>
      <c r="GB262" s="157"/>
      <c r="GC262" s="157"/>
      <c r="GD262" s="157"/>
      <c r="GE262" s="157"/>
      <c r="GF262" s="157"/>
      <c r="GG262" s="157"/>
      <c r="GH262" s="157"/>
      <c r="GI262" s="157"/>
      <c r="GJ262" s="157"/>
      <c r="GK262" s="157"/>
      <c r="GL262" s="157"/>
      <c r="GM262" s="157"/>
      <c r="GN262" s="157"/>
      <c r="GO262" s="157"/>
      <c r="GP262" s="158"/>
      <c r="GQ262" s="157"/>
      <c r="GR262" s="157"/>
      <c r="GS262" s="157"/>
      <c r="GT262" s="157"/>
      <c r="GU262" s="157"/>
      <c r="GV262" s="157"/>
      <c r="GW262" s="157"/>
      <c r="GX262" s="157"/>
      <c r="GY262" s="157"/>
      <c r="GZ262" s="157"/>
      <c r="HA262" s="157"/>
      <c r="HB262" s="155">
        <v>0.0</v>
      </c>
      <c r="HC262" s="155">
        <v>0.0</v>
      </c>
      <c r="HD262" s="155">
        <v>0.0</v>
      </c>
      <c r="HE262" s="155">
        <v>0.0</v>
      </c>
      <c r="HF262" s="155">
        <v>0.0</v>
      </c>
      <c r="HG262" s="155">
        <v>0.0</v>
      </c>
      <c r="IL262" s="159">
        <v>0.0</v>
      </c>
      <c r="IM262" s="156">
        <v>0.0</v>
      </c>
      <c r="IN262" s="156">
        <v>0.0</v>
      </c>
      <c r="IO262" s="156">
        <v>0.0</v>
      </c>
      <c r="IP262" s="156">
        <v>0.0</v>
      </c>
      <c r="IQ262" s="160">
        <v>0.0</v>
      </c>
      <c r="JH262" s="25"/>
      <c r="JW262" s="159">
        <v>0.0</v>
      </c>
      <c r="JX262" s="156">
        <v>0.0</v>
      </c>
      <c r="JY262" s="156">
        <v>0.0</v>
      </c>
      <c r="JZ262" s="156">
        <v>0.0</v>
      </c>
      <c r="KA262" s="156">
        <v>0.0</v>
      </c>
      <c r="KB262" s="160">
        <v>0.0</v>
      </c>
      <c r="LH262" s="159">
        <f t="shared" si="10"/>
        <v>0</v>
      </c>
      <c r="LI262" s="156">
        <f t="shared" si="11"/>
        <v>0</v>
      </c>
      <c r="LJ262" s="156">
        <f t="shared" si="12"/>
        <v>0</v>
      </c>
      <c r="LK262" s="156">
        <f t="shared" si="13"/>
        <v>0</v>
      </c>
      <c r="LL262" s="156">
        <f t="shared" si="14"/>
        <v>0</v>
      </c>
      <c r="LM262" s="160">
        <f t="shared" si="15"/>
        <v>0</v>
      </c>
      <c r="QX262" s="107">
        <v>45890.0</v>
      </c>
    </row>
    <row r="263">
      <c r="A263" s="12"/>
      <c r="B263" s="12"/>
      <c r="C263" s="12"/>
      <c r="D263" s="12"/>
      <c r="E263" s="12"/>
      <c r="F263" s="12"/>
      <c r="G263" s="12"/>
      <c r="H263" s="12"/>
      <c r="I263" s="143">
        <f t="shared" si="5"/>
        <v>-12</v>
      </c>
      <c r="J263" s="144">
        <v>45892.0</v>
      </c>
      <c r="K263" s="173" t="s">
        <v>61</v>
      </c>
      <c r="L263" s="144">
        <v>45923.0</v>
      </c>
      <c r="M263" s="147" t="s">
        <v>228</v>
      </c>
      <c r="N263" s="148">
        <v>357.0</v>
      </c>
      <c r="O263" s="148">
        <v>30.0</v>
      </c>
      <c r="P263" s="26"/>
      <c r="Q263" s="26"/>
      <c r="R263" s="26"/>
      <c r="S263" s="26"/>
      <c r="T263" s="26"/>
      <c r="U263" s="147" t="s">
        <v>2829</v>
      </c>
      <c r="V263" s="197"/>
      <c r="W263" s="198" t="s">
        <v>2830</v>
      </c>
      <c r="X263" s="181">
        <v>12.0</v>
      </c>
      <c r="Y263" s="166">
        <f t="shared" si="6"/>
        <v>12</v>
      </c>
      <c r="Z263" s="26">
        <f t="shared" si="7"/>
        <v>0</v>
      </c>
      <c r="AA263" s="26">
        <f t="shared" si="8"/>
        <v>0</v>
      </c>
      <c r="AB263" s="26">
        <f t="shared" si="9"/>
        <v>0</v>
      </c>
      <c r="AC263" s="155">
        <v>0.0</v>
      </c>
      <c r="AD263" s="155">
        <v>0.0</v>
      </c>
      <c r="AE263" s="155">
        <v>0.0</v>
      </c>
      <c r="AF263" s="155">
        <v>0.0</v>
      </c>
      <c r="AG263" s="155">
        <v>0.0</v>
      </c>
      <c r="AH263" s="155">
        <v>0.0</v>
      </c>
      <c r="BN263" s="155">
        <v>0.0</v>
      </c>
      <c r="BO263" s="155">
        <v>0.0</v>
      </c>
      <c r="BP263" s="155">
        <v>0.0</v>
      </c>
      <c r="BQ263" s="155">
        <v>0.0</v>
      </c>
      <c r="BR263" s="155">
        <v>0.0</v>
      </c>
      <c r="BS263" s="155">
        <v>0.0</v>
      </c>
      <c r="CV263" s="156">
        <v>0.0</v>
      </c>
      <c r="CW263" s="156">
        <v>0.0</v>
      </c>
      <c r="CX263" s="156">
        <v>0.0</v>
      </c>
      <c r="CY263" s="156">
        <v>0.0</v>
      </c>
      <c r="CZ263" s="156">
        <v>0.0</v>
      </c>
      <c r="DA263" s="156">
        <v>0.0</v>
      </c>
      <c r="EG263" s="156">
        <v>0.0</v>
      </c>
      <c r="EH263" s="156">
        <v>0.0</v>
      </c>
      <c r="EI263" s="156">
        <v>0.0</v>
      </c>
      <c r="EJ263" s="156">
        <v>0.0</v>
      </c>
      <c r="EK263" s="156">
        <v>0.0</v>
      </c>
      <c r="EL263" s="156">
        <v>0.0</v>
      </c>
      <c r="FQ263" s="156">
        <v>0.0</v>
      </c>
      <c r="FR263" s="156">
        <v>0.0</v>
      </c>
      <c r="FS263" s="156">
        <v>0.0</v>
      </c>
      <c r="FT263" s="156">
        <v>0.0</v>
      </c>
      <c r="FU263" s="156">
        <v>0.0</v>
      </c>
      <c r="FV263" s="156">
        <v>0.0</v>
      </c>
      <c r="FW263" s="157"/>
      <c r="FX263" s="157"/>
      <c r="FY263" s="157"/>
      <c r="FZ263" s="157"/>
      <c r="GA263" s="157"/>
      <c r="GB263" s="157"/>
      <c r="GC263" s="157"/>
      <c r="GD263" s="157"/>
      <c r="GE263" s="157"/>
      <c r="GF263" s="157"/>
      <c r="GG263" s="157"/>
      <c r="GH263" s="157"/>
      <c r="GI263" s="157"/>
      <c r="GJ263" s="157"/>
      <c r="GK263" s="157"/>
      <c r="GL263" s="157"/>
      <c r="GM263" s="157"/>
      <c r="GN263" s="157"/>
      <c r="GO263" s="157"/>
      <c r="GP263" s="158"/>
      <c r="GQ263" s="157"/>
      <c r="GR263" s="157"/>
      <c r="GS263" s="157"/>
      <c r="GT263" s="157"/>
      <c r="GU263" s="157"/>
      <c r="GV263" s="157"/>
      <c r="GW263" s="157"/>
      <c r="GX263" s="157"/>
      <c r="GY263" s="157"/>
      <c r="GZ263" s="157"/>
      <c r="HA263" s="157"/>
      <c r="HB263" s="155">
        <v>0.0</v>
      </c>
      <c r="HC263" s="155">
        <v>0.0</v>
      </c>
      <c r="HD263" s="155">
        <v>0.0</v>
      </c>
      <c r="HE263" s="155">
        <v>0.0</v>
      </c>
      <c r="HF263" s="155">
        <v>0.0</v>
      </c>
      <c r="HG263" s="155">
        <v>0.0</v>
      </c>
      <c r="IL263" s="159">
        <v>0.0</v>
      </c>
      <c r="IM263" s="156">
        <v>0.0</v>
      </c>
      <c r="IN263" s="156">
        <v>0.0</v>
      </c>
      <c r="IO263" s="156">
        <v>0.0</v>
      </c>
      <c r="IP263" s="156">
        <v>0.0</v>
      </c>
      <c r="IQ263" s="160">
        <v>0.0</v>
      </c>
      <c r="JH263" s="25"/>
      <c r="JW263" s="159">
        <v>0.0</v>
      </c>
      <c r="JX263" s="156">
        <v>0.0</v>
      </c>
      <c r="JY263" s="156">
        <v>0.0</v>
      </c>
      <c r="JZ263" s="156">
        <v>0.0</v>
      </c>
      <c r="KA263" s="156">
        <v>0.0</v>
      </c>
      <c r="KB263" s="160">
        <v>0.0</v>
      </c>
      <c r="LH263" s="159">
        <f t="shared" si="10"/>
        <v>0</v>
      </c>
      <c r="LI263" s="156">
        <f t="shared" si="11"/>
        <v>0</v>
      </c>
      <c r="LJ263" s="156">
        <f t="shared" si="12"/>
        <v>0</v>
      </c>
      <c r="LK263" s="156">
        <f t="shared" si="13"/>
        <v>0</v>
      </c>
      <c r="LL263" s="156">
        <f t="shared" si="14"/>
        <v>0</v>
      </c>
      <c r="LM263" s="160">
        <f t="shared" si="15"/>
        <v>0</v>
      </c>
      <c r="QX263" s="107">
        <v>45890.0</v>
      </c>
    </row>
    <row r="264">
      <c r="A264" s="12"/>
      <c r="B264" s="12"/>
      <c r="C264" s="12"/>
      <c r="D264" s="12"/>
      <c r="E264" s="12"/>
      <c r="F264" s="12"/>
      <c r="G264" s="12"/>
      <c r="H264" s="12"/>
      <c r="I264" s="143">
        <f t="shared" si="5"/>
        <v>-1</v>
      </c>
      <c r="J264" s="144">
        <v>45894.0</v>
      </c>
      <c r="K264" s="173" t="s">
        <v>61</v>
      </c>
      <c r="L264" s="146"/>
      <c r="M264" s="147" t="s">
        <v>107</v>
      </c>
      <c r="N264" s="148">
        <v>246.0</v>
      </c>
      <c r="O264" s="148">
        <v>30.0</v>
      </c>
      <c r="P264" s="26"/>
      <c r="Q264" s="26"/>
      <c r="R264" s="26"/>
      <c r="S264" s="26"/>
      <c r="T264" s="26"/>
      <c r="U264" s="147" t="s">
        <v>2406</v>
      </c>
      <c r="V264" s="197"/>
      <c r="W264" s="198" t="s">
        <v>2833</v>
      </c>
      <c r="X264" s="181">
        <v>1.0</v>
      </c>
      <c r="Y264" s="166">
        <f t="shared" si="6"/>
        <v>1</v>
      </c>
      <c r="Z264" s="26">
        <f t="shared" si="7"/>
        <v>0</v>
      </c>
      <c r="AA264" s="26">
        <f t="shared" si="8"/>
        <v>0</v>
      </c>
      <c r="AB264" s="26">
        <f t="shared" si="9"/>
        <v>0</v>
      </c>
      <c r="AC264" s="155">
        <v>0.0</v>
      </c>
      <c r="AD264" s="155">
        <v>0.0</v>
      </c>
      <c r="AE264" s="155">
        <v>0.0</v>
      </c>
      <c r="AF264" s="155">
        <v>0.0</v>
      </c>
      <c r="AG264" s="155">
        <v>0.0</v>
      </c>
      <c r="AH264" s="155">
        <v>0.0</v>
      </c>
      <c r="BN264" s="155">
        <v>0.0</v>
      </c>
      <c r="BO264" s="155">
        <v>0.0</v>
      </c>
      <c r="BP264" s="155">
        <v>0.0</v>
      </c>
      <c r="BQ264" s="155">
        <v>0.0</v>
      </c>
      <c r="BR264" s="155">
        <v>0.0</v>
      </c>
      <c r="BS264" s="155">
        <v>0.0</v>
      </c>
      <c r="CV264" s="156">
        <v>0.0</v>
      </c>
      <c r="CW264" s="156">
        <v>0.0</v>
      </c>
      <c r="CX264" s="156">
        <v>0.0</v>
      </c>
      <c r="CY264" s="156">
        <v>0.0</v>
      </c>
      <c r="CZ264" s="156">
        <v>0.0</v>
      </c>
      <c r="DA264" s="156">
        <v>0.0</v>
      </c>
      <c r="EG264" s="156">
        <v>0.0</v>
      </c>
      <c r="EH264" s="156">
        <v>0.0</v>
      </c>
      <c r="EI264" s="156">
        <v>0.0</v>
      </c>
      <c r="EJ264" s="156">
        <v>0.0</v>
      </c>
      <c r="EK264" s="156">
        <v>0.0</v>
      </c>
      <c r="EL264" s="156">
        <v>0.0</v>
      </c>
      <c r="FQ264" s="156">
        <v>0.0</v>
      </c>
      <c r="FR264" s="156">
        <v>0.0</v>
      </c>
      <c r="FS264" s="156">
        <v>0.0</v>
      </c>
      <c r="FT264" s="156">
        <v>0.0</v>
      </c>
      <c r="FU264" s="156">
        <v>0.0</v>
      </c>
      <c r="FV264" s="156">
        <v>0.0</v>
      </c>
      <c r="FW264" s="157"/>
      <c r="FX264" s="157"/>
      <c r="FY264" s="157"/>
      <c r="FZ264" s="157"/>
      <c r="GA264" s="157"/>
      <c r="GB264" s="157"/>
      <c r="GC264" s="157"/>
      <c r="GD264" s="157"/>
      <c r="GE264" s="157"/>
      <c r="GF264" s="157"/>
      <c r="GG264" s="157"/>
      <c r="GH264" s="157"/>
      <c r="GI264" s="157"/>
      <c r="GJ264" s="157"/>
      <c r="GK264" s="157"/>
      <c r="GL264" s="157"/>
      <c r="GM264" s="157"/>
      <c r="GN264" s="157"/>
      <c r="GO264" s="157"/>
      <c r="GP264" s="158"/>
      <c r="GQ264" s="157"/>
      <c r="GR264" s="157"/>
      <c r="GS264" s="157"/>
      <c r="GT264" s="157"/>
      <c r="GU264" s="157"/>
      <c r="GV264" s="157"/>
      <c r="GW264" s="157"/>
      <c r="GX264" s="157"/>
      <c r="GY264" s="157"/>
      <c r="GZ264" s="157"/>
      <c r="HA264" s="157"/>
      <c r="HB264" s="155">
        <v>0.0</v>
      </c>
      <c r="HC264" s="155">
        <v>0.0</v>
      </c>
      <c r="HD264" s="155">
        <v>0.0</v>
      </c>
      <c r="HE264" s="155">
        <v>0.0</v>
      </c>
      <c r="HF264" s="155">
        <v>0.0</v>
      </c>
      <c r="HG264" s="155">
        <v>0.0</v>
      </c>
      <c r="IL264" s="159">
        <v>0.0</v>
      </c>
      <c r="IM264" s="156">
        <v>0.0</v>
      </c>
      <c r="IN264" s="156">
        <v>0.0</v>
      </c>
      <c r="IO264" s="156">
        <v>0.0</v>
      </c>
      <c r="IP264" s="156">
        <v>0.0</v>
      </c>
      <c r="IQ264" s="160">
        <v>0.0</v>
      </c>
      <c r="JH264" s="25"/>
      <c r="JW264" s="159">
        <v>0.0</v>
      </c>
      <c r="JX264" s="156">
        <v>0.0</v>
      </c>
      <c r="JY264" s="156">
        <v>0.0</v>
      </c>
      <c r="JZ264" s="156">
        <v>0.0</v>
      </c>
      <c r="KA264" s="156">
        <v>0.0</v>
      </c>
      <c r="KB264" s="160">
        <v>0.0</v>
      </c>
      <c r="LH264" s="159">
        <f t="shared" si="10"/>
        <v>0</v>
      </c>
      <c r="LI264" s="156">
        <f t="shared" si="11"/>
        <v>0</v>
      </c>
      <c r="LJ264" s="156">
        <f t="shared" si="12"/>
        <v>0</v>
      </c>
      <c r="LK264" s="156">
        <f t="shared" si="13"/>
        <v>0</v>
      </c>
      <c r="LL264" s="156">
        <f t="shared" si="14"/>
        <v>0</v>
      </c>
      <c r="LM264" s="160">
        <f t="shared" si="15"/>
        <v>0</v>
      </c>
      <c r="QX264" s="107">
        <v>45891.0</v>
      </c>
    </row>
    <row r="265">
      <c r="A265" s="12"/>
      <c r="B265" s="12"/>
      <c r="C265" s="12"/>
      <c r="D265" s="12"/>
      <c r="E265" s="12"/>
      <c r="F265" s="12"/>
      <c r="G265" s="12"/>
      <c r="H265" s="12"/>
      <c r="I265" s="143">
        <f t="shared" si="5"/>
        <v>-6</v>
      </c>
      <c r="J265" s="144">
        <v>45894.0</v>
      </c>
      <c r="K265" s="49" t="s">
        <v>61</v>
      </c>
      <c r="L265" s="144">
        <v>45915.0</v>
      </c>
      <c r="M265" s="147" t="s">
        <v>435</v>
      </c>
      <c r="N265" s="148">
        <v>246.0</v>
      </c>
      <c r="O265" s="148">
        <v>30.0</v>
      </c>
      <c r="P265" s="26"/>
      <c r="Q265" s="26"/>
      <c r="R265" s="26"/>
      <c r="S265" s="26"/>
      <c r="T265" s="26"/>
      <c r="U265" s="147" t="s">
        <v>2791</v>
      </c>
      <c r="V265" s="197"/>
      <c r="W265" s="198" t="s">
        <v>2836</v>
      </c>
      <c r="X265" s="181">
        <v>6.0</v>
      </c>
      <c r="Y265" s="166">
        <f t="shared" si="6"/>
        <v>6</v>
      </c>
      <c r="Z265" s="26">
        <f t="shared" si="7"/>
        <v>0</v>
      </c>
      <c r="AA265" s="26">
        <f t="shared" si="8"/>
        <v>0</v>
      </c>
      <c r="AB265" s="26">
        <f t="shared" si="9"/>
        <v>0</v>
      </c>
      <c r="AC265" s="155">
        <v>0.0</v>
      </c>
      <c r="AD265" s="155">
        <v>0.0</v>
      </c>
      <c r="AE265" s="155">
        <v>0.0</v>
      </c>
      <c r="AF265" s="155">
        <v>0.0</v>
      </c>
      <c r="AG265" s="155">
        <v>0.0</v>
      </c>
      <c r="AH265" s="155">
        <v>0.0</v>
      </c>
      <c r="BN265" s="155">
        <v>0.0</v>
      </c>
      <c r="BO265" s="155">
        <v>0.0</v>
      </c>
      <c r="BP265" s="155">
        <v>0.0</v>
      </c>
      <c r="BQ265" s="155">
        <v>0.0</v>
      </c>
      <c r="BR265" s="155">
        <v>0.0</v>
      </c>
      <c r="BS265" s="155">
        <v>0.0</v>
      </c>
      <c r="CV265" s="156">
        <v>0.0</v>
      </c>
      <c r="CW265" s="156">
        <v>0.0</v>
      </c>
      <c r="CX265" s="156">
        <v>0.0</v>
      </c>
      <c r="CY265" s="156">
        <v>0.0</v>
      </c>
      <c r="CZ265" s="156">
        <v>0.0</v>
      </c>
      <c r="DA265" s="156">
        <v>0.0</v>
      </c>
      <c r="EG265" s="156">
        <v>0.0</v>
      </c>
      <c r="EH265" s="156">
        <v>0.0</v>
      </c>
      <c r="EI265" s="156">
        <v>0.0</v>
      </c>
      <c r="EJ265" s="156">
        <v>0.0</v>
      </c>
      <c r="EK265" s="156">
        <v>0.0</v>
      </c>
      <c r="EL265" s="156">
        <v>0.0</v>
      </c>
      <c r="FQ265" s="156">
        <v>0.0</v>
      </c>
      <c r="FR265" s="156">
        <v>0.0</v>
      </c>
      <c r="FS265" s="156">
        <v>0.0</v>
      </c>
      <c r="FT265" s="156">
        <v>0.0</v>
      </c>
      <c r="FU265" s="156">
        <v>0.0</v>
      </c>
      <c r="FV265" s="156">
        <v>0.0</v>
      </c>
      <c r="FW265" s="157"/>
      <c r="FX265" s="157"/>
      <c r="FY265" s="157"/>
      <c r="FZ265" s="157"/>
      <c r="GA265" s="157"/>
      <c r="GB265" s="157"/>
      <c r="GC265" s="157"/>
      <c r="GD265" s="157"/>
      <c r="GE265" s="157"/>
      <c r="GF265" s="157"/>
      <c r="GG265" s="157"/>
      <c r="GH265" s="157"/>
      <c r="GI265" s="157"/>
      <c r="GJ265" s="157"/>
      <c r="GK265" s="157"/>
      <c r="GL265" s="157"/>
      <c r="GM265" s="157"/>
      <c r="GN265" s="157"/>
      <c r="GO265" s="157"/>
      <c r="GP265" s="158"/>
      <c r="GQ265" s="157"/>
      <c r="GR265" s="157"/>
      <c r="GS265" s="157"/>
      <c r="GT265" s="157"/>
      <c r="GU265" s="157"/>
      <c r="GV265" s="157"/>
      <c r="GW265" s="157"/>
      <c r="GX265" s="157"/>
      <c r="GY265" s="157"/>
      <c r="GZ265" s="157"/>
      <c r="HA265" s="157"/>
      <c r="HB265" s="155">
        <v>0.0</v>
      </c>
      <c r="HC265" s="155">
        <v>0.0</v>
      </c>
      <c r="HD265" s="155">
        <v>0.0</v>
      </c>
      <c r="HE265" s="155">
        <v>0.0</v>
      </c>
      <c r="HF265" s="155">
        <v>0.0</v>
      </c>
      <c r="HG265" s="155">
        <v>0.0</v>
      </c>
      <c r="IL265" s="159">
        <v>0.0</v>
      </c>
      <c r="IM265" s="156">
        <v>0.0</v>
      </c>
      <c r="IN265" s="156">
        <v>0.0</v>
      </c>
      <c r="IO265" s="156">
        <v>0.0</v>
      </c>
      <c r="IP265" s="156">
        <v>0.0</v>
      </c>
      <c r="IQ265" s="160">
        <v>0.0</v>
      </c>
      <c r="JH265" s="25"/>
      <c r="JW265" s="159">
        <v>0.0</v>
      </c>
      <c r="JX265" s="156">
        <v>0.0</v>
      </c>
      <c r="JY265" s="156">
        <v>0.0</v>
      </c>
      <c r="JZ265" s="156">
        <v>0.0</v>
      </c>
      <c r="KA265" s="156">
        <v>0.0</v>
      </c>
      <c r="KB265" s="160">
        <v>0.0</v>
      </c>
      <c r="LH265" s="159">
        <f t="shared" si="10"/>
        <v>0</v>
      </c>
      <c r="LI265" s="156">
        <f t="shared" si="11"/>
        <v>0</v>
      </c>
      <c r="LJ265" s="156">
        <f t="shared" si="12"/>
        <v>0</v>
      </c>
      <c r="LK265" s="156">
        <f t="shared" si="13"/>
        <v>0</v>
      </c>
      <c r="LL265" s="156">
        <f t="shared" si="14"/>
        <v>0</v>
      </c>
      <c r="LM265" s="160">
        <f t="shared" si="15"/>
        <v>0</v>
      </c>
      <c r="QX265" s="107">
        <v>45891.0</v>
      </c>
    </row>
    <row r="266">
      <c r="A266" s="12"/>
      <c r="B266" s="12"/>
      <c r="C266" s="12"/>
      <c r="D266" s="12"/>
      <c r="E266" s="12"/>
      <c r="F266" s="12"/>
      <c r="G266" s="12"/>
      <c r="H266" s="12"/>
      <c r="I266" s="143">
        <f t="shared" si="5"/>
        <v>-60</v>
      </c>
      <c r="J266" s="144">
        <v>45955.0</v>
      </c>
      <c r="K266" s="195" t="s">
        <v>61</v>
      </c>
      <c r="L266" s="171">
        <v>46121.0</v>
      </c>
      <c r="M266" s="147" t="s">
        <v>1157</v>
      </c>
      <c r="N266" s="148">
        <v>357.0</v>
      </c>
      <c r="O266" s="148">
        <v>30.0</v>
      </c>
      <c r="P266" s="26"/>
      <c r="Q266" s="26"/>
      <c r="R266" s="26"/>
      <c r="S266" s="26"/>
      <c r="T266" s="26"/>
      <c r="U266" s="147" t="s">
        <v>2839</v>
      </c>
      <c r="V266" s="149" t="s">
        <v>2801</v>
      </c>
      <c r="W266" s="150" t="s">
        <v>2840</v>
      </c>
      <c r="X266" s="181">
        <v>33.0</v>
      </c>
      <c r="Y266" s="166">
        <f t="shared" si="6"/>
        <v>60</v>
      </c>
      <c r="Z266" s="26">
        <f t="shared" si="7"/>
        <v>0</v>
      </c>
      <c r="AA266" s="26">
        <f t="shared" si="8"/>
        <v>0</v>
      </c>
      <c r="AB266" s="26">
        <f t="shared" si="9"/>
        <v>0</v>
      </c>
      <c r="AC266" s="155">
        <v>11.0</v>
      </c>
      <c r="AD266" s="155">
        <v>0.0</v>
      </c>
      <c r="AE266" s="155">
        <v>0.0</v>
      </c>
      <c r="AF266" s="155">
        <v>0.0</v>
      </c>
      <c r="AG266" s="155">
        <v>0.0</v>
      </c>
      <c r="AH266" s="155">
        <v>0.0</v>
      </c>
      <c r="AI266" s="167"/>
      <c r="AJ266" s="167"/>
      <c r="AK266" s="167">
        <v>1.0</v>
      </c>
      <c r="AL266" s="167">
        <v>0.0</v>
      </c>
      <c r="AM266" s="167">
        <v>0.0</v>
      </c>
      <c r="AN266" s="167">
        <v>1.0</v>
      </c>
      <c r="AO266" s="167">
        <v>0.0</v>
      </c>
      <c r="AP266" s="167">
        <v>1.0</v>
      </c>
      <c r="AQ266" s="167">
        <v>0.0</v>
      </c>
      <c r="AR266" s="167">
        <v>1.0</v>
      </c>
      <c r="AS266" s="167">
        <v>0.0</v>
      </c>
      <c r="AT266" s="167">
        <v>0.0</v>
      </c>
      <c r="AU266" s="167"/>
      <c r="AV266" s="167">
        <v>0.0</v>
      </c>
      <c r="AW266" s="167">
        <v>1.0</v>
      </c>
      <c r="AX266" s="167">
        <v>0.0</v>
      </c>
      <c r="AY266" s="167">
        <v>1.0</v>
      </c>
      <c r="AZ266" s="167">
        <v>0.0</v>
      </c>
      <c r="BA266" s="167">
        <v>0.0</v>
      </c>
      <c r="BB266" s="167"/>
      <c r="BC266" s="167">
        <v>0.0</v>
      </c>
      <c r="BD266" s="167">
        <v>1.0</v>
      </c>
      <c r="BE266" s="167">
        <v>0.0</v>
      </c>
      <c r="BF266" s="167">
        <v>1.0</v>
      </c>
      <c r="BG266" s="167">
        <v>0.0</v>
      </c>
      <c r="BH266" s="167">
        <v>0.0</v>
      </c>
      <c r="BI266" s="167">
        <v>1.0</v>
      </c>
      <c r="BJ266" s="167">
        <v>0.0</v>
      </c>
      <c r="BK266" s="167">
        <v>1.0</v>
      </c>
      <c r="BL266" s="167">
        <v>0.0</v>
      </c>
      <c r="BM266" s="167">
        <v>1.0</v>
      </c>
      <c r="BN266" s="155">
        <v>4.0</v>
      </c>
      <c r="BO266" s="155">
        <v>0.0</v>
      </c>
      <c r="BP266" s="155">
        <v>0.0</v>
      </c>
      <c r="BQ266" s="155">
        <v>0.0</v>
      </c>
      <c r="BR266" s="155">
        <v>0.0</v>
      </c>
      <c r="BS266" s="155">
        <v>0.0</v>
      </c>
      <c r="BT266" s="167">
        <v>0.0</v>
      </c>
      <c r="BU266" s="167">
        <v>0.0</v>
      </c>
      <c r="BV266" s="167">
        <v>1.0</v>
      </c>
      <c r="BW266" s="167">
        <v>0.0</v>
      </c>
      <c r="BX266" s="167"/>
      <c r="BY266" s="167">
        <v>0.0</v>
      </c>
      <c r="BZ266" s="167">
        <v>1.0</v>
      </c>
      <c r="CA266" s="167">
        <v>0.0</v>
      </c>
      <c r="CB266" s="167">
        <v>0.0</v>
      </c>
      <c r="CC266" s="167"/>
      <c r="CD266" s="167">
        <v>0.0</v>
      </c>
      <c r="CE266" s="167">
        <v>1.0</v>
      </c>
      <c r="CF266" s="167"/>
      <c r="CG266" s="167"/>
      <c r="CH266" s="167"/>
      <c r="CI266" s="167"/>
      <c r="CJ266" s="167"/>
      <c r="CK266" s="167"/>
      <c r="CL266" s="167"/>
      <c r="CM266" s="167"/>
      <c r="CN266" s="167"/>
      <c r="CO266" s="167"/>
      <c r="CP266" s="167"/>
      <c r="CQ266" s="167">
        <v>1.0</v>
      </c>
      <c r="CR266" s="167"/>
      <c r="CS266" s="167"/>
      <c r="CT266" s="167"/>
      <c r="CU266" s="167"/>
      <c r="CV266" s="156">
        <v>11.0</v>
      </c>
      <c r="CW266" s="156">
        <v>0.0</v>
      </c>
      <c r="CX266" s="156">
        <v>0.0</v>
      </c>
      <c r="CY266" s="156">
        <v>0.0</v>
      </c>
      <c r="CZ266" s="156">
        <v>0.0</v>
      </c>
      <c r="DA266" s="156">
        <v>0.0</v>
      </c>
      <c r="DB266" s="395">
        <v>0.0</v>
      </c>
      <c r="DC266" s="395">
        <v>0.0</v>
      </c>
      <c r="DD266" s="395">
        <v>1.0</v>
      </c>
      <c r="DE266" s="395">
        <v>0.0</v>
      </c>
      <c r="DF266" s="395">
        <v>1.0</v>
      </c>
      <c r="DG266" s="395">
        <v>0.0</v>
      </c>
      <c r="DH266" s="395">
        <v>1.0</v>
      </c>
      <c r="DI266" s="395">
        <v>0.0</v>
      </c>
      <c r="DJ266" s="395">
        <v>0.0</v>
      </c>
      <c r="DK266" s="395">
        <v>1.0</v>
      </c>
      <c r="DL266" s="395">
        <v>0.0</v>
      </c>
      <c r="DM266" s="395">
        <v>1.0</v>
      </c>
      <c r="DN266" s="395">
        <v>0.0</v>
      </c>
      <c r="DO266" s="395"/>
      <c r="DP266" s="395">
        <v>0.0</v>
      </c>
      <c r="DQ266" s="395">
        <v>1.0</v>
      </c>
      <c r="DR266" s="395"/>
      <c r="DS266" s="395">
        <v>0.0</v>
      </c>
      <c r="DT266" s="395">
        <v>1.0</v>
      </c>
      <c r="DU266" s="395">
        <v>1.0</v>
      </c>
      <c r="DV266" s="395"/>
      <c r="DW266" s="395">
        <v>0.0</v>
      </c>
      <c r="DX266" s="395">
        <v>0.0</v>
      </c>
      <c r="DY266" s="395"/>
      <c r="DZ266" s="395">
        <v>0.0</v>
      </c>
      <c r="EA266" s="395">
        <v>1.0</v>
      </c>
      <c r="EB266" s="395">
        <v>0.0</v>
      </c>
      <c r="EC266" s="395">
        <v>1.0</v>
      </c>
      <c r="ED266" s="395">
        <v>0.0</v>
      </c>
      <c r="EE266" s="395">
        <v>0.0</v>
      </c>
      <c r="EF266" s="395">
        <v>1.0</v>
      </c>
      <c r="EG266" s="156">
        <v>1.0</v>
      </c>
      <c r="EH266" s="156">
        <v>0.0</v>
      </c>
      <c r="EI266" s="156">
        <v>0.0</v>
      </c>
      <c r="EJ266" s="156">
        <v>0.0</v>
      </c>
      <c r="EK266" s="156">
        <v>0.0</v>
      </c>
      <c r="EL266" s="156">
        <v>0.0</v>
      </c>
      <c r="EN266" s="86">
        <v>1.0</v>
      </c>
      <c r="FQ266" s="156">
        <v>0.0</v>
      </c>
      <c r="FR266" s="156">
        <v>0.0</v>
      </c>
      <c r="FS266" s="156">
        <v>0.0</v>
      </c>
      <c r="FT266" s="156">
        <v>0.0</v>
      </c>
      <c r="FU266" s="156">
        <v>0.0</v>
      </c>
      <c r="FV266" s="156">
        <v>0.0</v>
      </c>
      <c r="FW266" s="157"/>
      <c r="FX266" s="157"/>
      <c r="FY266" s="157"/>
      <c r="FZ266" s="157"/>
      <c r="GA266" s="157"/>
      <c r="GB266" s="157"/>
      <c r="GC266" s="157"/>
      <c r="GD266" s="157"/>
      <c r="GE266" s="157"/>
      <c r="GF266" s="157"/>
      <c r="GG266" s="157"/>
      <c r="GH266" s="157"/>
      <c r="GI266" s="157"/>
      <c r="GJ266" s="157"/>
      <c r="GK266" s="157"/>
      <c r="GL266" s="157"/>
      <c r="GM266" s="157"/>
      <c r="GN266" s="157"/>
      <c r="GO266" s="157"/>
      <c r="GP266" s="158"/>
      <c r="GQ266" s="157"/>
      <c r="GR266" s="157"/>
      <c r="GS266" s="157"/>
      <c r="GT266" s="157"/>
      <c r="GU266" s="157"/>
      <c r="GV266" s="157"/>
      <c r="GW266" s="157"/>
      <c r="GX266" s="157"/>
      <c r="GY266" s="157"/>
      <c r="GZ266" s="157"/>
      <c r="HA266" s="157"/>
      <c r="HB266" s="155">
        <v>0.0</v>
      </c>
      <c r="HC266" s="155">
        <v>0.0</v>
      </c>
      <c r="HD266" s="155">
        <v>0.0</v>
      </c>
      <c r="HE266" s="155">
        <v>0.0</v>
      </c>
      <c r="HF266" s="155">
        <v>0.0</v>
      </c>
      <c r="HG266" s="155">
        <v>0.0</v>
      </c>
      <c r="IL266" s="159">
        <v>0.0</v>
      </c>
      <c r="IM266" s="156">
        <v>0.0</v>
      </c>
      <c r="IN266" s="156">
        <v>0.0</v>
      </c>
      <c r="IO266" s="156">
        <v>0.0</v>
      </c>
      <c r="IP266" s="156">
        <v>0.0</v>
      </c>
      <c r="IQ266" s="160">
        <v>0.0</v>
      </c>
      <c r="JH266" s="25"/>
      <c r="JW266" s="159">
        <v>0.0</v>
      </c>
      <c r="JX266" s="156">
        <v>0.0</v>
      </c>
      <c r="JY266" s="156">
        <v>0.0</v>
      </c>
      <c r="JZ266" s="156">
        <v>0.0</v>
      </c>
      <c r="KA266" s="156">
        <v>0.0</v>
      </c>
      <c r="KB266" s="160">
        <v>0.0</v>
      </c>
      <c r="LH266" s="159">
        <f t="shared" si="10"/>
        <v>0</v>
      </c>
      <c r="LI266" s="156">
        <f t="shared" si="11"/>
        <v>0</v>
      </c>
      <c r="LJ266" s="156">
        <f t="shared" si="12"/>
        <v>0</v>
      </c>
      <c r="LK266" s="156">
        <f t="shared" si="13"/>
        <v>0</v>
      </c>
      <c r="LL266" s="156">
        <f t="shared" si="14"/>
        <v>0</v>
      </c>
      <c r="LM266" s="160">
        <f t="shared" si="15"/>
        <v>0</v>
      </c>
      <c r="QX266" s="107">
        <v>45892.0</v>
      </c>
    </row>
    <row r="267">
      <c r="A267" s="12"/>
      <c r="B267" s="12"/>
      <c r="C267" s="12"/>
      <c r="D267" s="12"/>
      <c r="E267" s="12"/>
      <c r="F267" s="12"/>
      <c r="G267" s="12"/>
      <c r="H267" s="12"/>
      <c r="I267" s="143">
        <f t="shared" si="5"/>
        <v>-29</v>
      </c>
      <c r="J267" s="144">
        <v>45896.0</v>
      </c>
      <c r="K267" s="145" t="s">
        <v>61</v>
      </c>
      <c r="L267" s="171">
        <v>46023.0</v>
      </c>
      <c r="M267" s="147" t="s">
        <v>2845</v>
      </c>
      <c r="N267" s="148">
        <v>246.0</v>
      </c>
      <c r="O267" s="148">
        <v>30.0</v>
      </c>
      <c r="P267" s="26"/>
      <c r="Q267" s="26"/>
      <c r="R267" s="26"/>
      <c r="S267" s="26"/>
      <c r="T267" s="26"/>
      <c r="U267" s="147" t="s">
        <v>2519</v>
      </c>
      <c r="V267" s="149" t="s">
        <v>307</v>
      </c>
      <c r="W267" s="198" t="s">
        <v>2846</v>
      </c>
      <c r="X267" s="181">
        <v>29.0</v>
      </c>
      <c r="Y267" s="166">
        <f t="shared" si="6"/>
        <v>29</v>
      </c>
      <c r="Z267" s="26">
        <f t="shared" si="7"/>
        <v>0</v>
      </c>
      <c r="AA267" s="26">
        <f t="shared" si="8"/>
        <v>0</v>
      </c>
      <c r="AB267" s="26">
        <f t="shared" si="9"/>
        <v>0</v>
      </c>
      <c r="AC267" s="155">
        <v>0.0</v>
      </c>
      <c r="AD267" s="155">
        <v>0.0</v>
      </c>
      <c r="AE267" s="155">
        <v>0.0</v>
      </c>
      <c r="AF267" s="155">
        <v>0.0</v>
      </c>
      <c r="AG267" s="155">
        <v>0.0</v>
      </c>
      <c r="AH267" s="155">
        <v>0.0</v>
      </c>
      <c r="AI267" s="167"/>
      <c r="AJ267" s="167"/>
      <c r="AK267" s="167"/>
      <c r="AL267" s="167"/>
      <c r="AM267" s="167"/>
      <c r="AN267" s="167"/>
      <c r="AO267" s="167"/>
      <c r="AP267" s="167"/>
      <c r="AQ267" s="167"/>
      <c r="AR267" s="167"/>
      <c r="AS267" s="167"/>
      <c r="AT267" s="167"/>
      <c r="AU267" s="167"/>
      <c r="AV267" s="167"/>
      <c r="AW267" s="167"/>
      <c r="AX267" s="167"/>
      <c r="AY267" s="167"/>
      <c r="AZ267" s="167"/>
      <c r="BA267" s="167"/>
      <c r="BB267" s="167"/>
      <c r="BC267" s="167"/>
      <c r="BD267" s="167"/>
      <c r="BE267" s="167"/>
      <c r="BF267" s="167"/>
      <c r="BG267" s="167"/>
      <c r="BH267" s="167"/>
      <c r="BI267" s="167"/>
      <c r="BJ267" s="167"/>
      <c r="BK267" s="167"/>
      <c r="BL267" s="167"/>
      <c r="BM267" s="167"/>
      <c r="BN267" s="155">
        <v>0.0</v>
      </c>
      <c r="BO267" s="155">
        <v>0.0</v>
      </c>
      <c r="BP267" s="155">
        <v>0.0</v>
      </c>
      <c r="BQ267" s="155">
        <v>0.0</v>
      </c>
      <c r="BR267" s="155">
        <v>0.0</v>
      </c>
      <c r="BS267" s="155">
        <v>0.0</v>
      </c>
      <c r="CV267" s="156">
        <v>0.0</v>
      </c>
      <c r="CW267" s="156">
        <v>0.0</v>
      </c>
      <c r="CX267" s="156">
        <v>0.0</v>
      </c>
      <c r="CY267" s="156">
        <v>0.0</v>
      </c>
      <c r="CZ267" s="156">
        <v>0.0</v>
      </c>
      <c r="DA267" s="156">
        <v>0.0</v>
      </c>
      <c r="EG267" s="156">
        <v>0.0</v>
      </c>
      <c r="EH267" s="156">
        <v>0.0</v>
      </c>
      <c r="EI267" s="156">
        <v>0.0</v>
      </c>
      <c r="EJ267" s="156">
        <v>0.0</v>
      </c>
      <c r="EK267" s="156">
        <v>0.0</v>
      </c>
      <c r="EL267" s="156">
        <v>0.0</v>
      </c>
      <c r="FQ267" s="156">
        <v>0.0</v>
      </c>
      <c r="FR267" s="156">
        <v>0.0</v>
      </c>
      <c r="FS267" s="156">
        <v>0.0</v>
      </c>
      <c r="FT267" s="156">
        <v>0.0</v>
      </c>
      <c r="FU267" s="156">
        <v>0.0</v>
      </c>
      <c r="FV267" s="156">
        <v>0.0</v>
      </c>
      <c r="FW267" s="157"/>
      <c r="FX267" s="157"/>
      <c r="FY267" s="157"/>
      <c r="FZ267" s="157"/>
      <c r="GA267" s="157"/>
      <c r="GB267" s="157"/>
      <c r="GC267" s="157"/>
      <c r="GD267" s="157"/>
      <c r="GE267" s="157"/>
      <c r="GF267" s="157"/>
      <c r="GG267" s="157"/>
      <c r="GH267" s="157"/>
      <c r="GI267" s="157"/>
      <c r="GJ267" s="157"/>
      <c r="GK267" s="157"/>
      <c r="GL267" s="157"/>
      <c r="GM267" s="157"/>
      <c r="GN267" s="157"/>
      <c r="GO267" s="157"/>
      <c r="GP267" s="158"/>
      <c r="GQ267" s="157"/>
      <c r="GR267" s="157"/>
      <c r="GS267" s="157"/>
      <c r="GT267" s="157"/>
      <c r="GU267" s="157"/>
      <c r="GV267" s="157"/>
      <c r="GW267" s="157"/>
      <c r="GX267" s="157"/>
      <c r="GY267" s="157"/>
      <c r="GZ267" s="157"/>
      <c r="HA267" s="157"/>
      <c r="HB267" s="155">
        <v>0.0</v>
      </c>
      <c r="HC267" s="155">
        <v>0.0</v>
      </c>
      <c r="HD267" s="155">
        <v>0.0</v>
      </c>
      <c r="HE267" s="155">
        <v>0.0</v>
      </c>
      <c r="HF267" s="155">
        <v>0.0</v>
      </c>
      <c r="HG267" s="155">
        <v>0.0</v>
      </c>
      <c r="IL267" s="159">
        <v>0.0</v>
      </c>
      <c r="IM267" s="156">
        <v>0.0</v>
      </c>
      <c r="IN267" s="156">
        <v>0.0</v>
      </c>
      <c r="IO267" s="156">
        <v>0.0</v>
      </c>
      <c r="IP267" s="156">
        <v>0.0</v>
      </c>
      <c r="IQ267" s="160">
        <v>0.0</v>
      </c>
      <c r="JH267" s="25"/>
      <c r="JW267" s="159">
        <v>0.0</v>
      </c>
      <c r="JX267" s="156">
        <v>0.0</v>
      </c>
      <c r="JY267" s="156">
        <v>0.0</v>
      </c>
      <c r="JZ267" s="156">
        <v>0.0</v>
      </c>
      <c r="KA267" s="156">
        <v>0.0</v>
      </c>
      <c r="KB267" s="160">
        <v>0.0</v>
      </c>
      <c r="LH267" s="159">
        <f t="shared" si="10"/>
        <v>0</v>
      </c>
      <c r="LI267" s="156">
        <f t="shared" si="11"/>
        <v>0</v>
      </c>
      <c r="LJ267" s="156">
        <f t="shared" si="12"/>
        <v>0</v>
      </c>
      <c r="LK267" s="156">
        <f t="shared" si="13"/>
        <v>0</v>
      </c>
      <c r="LL267" s="156">
        <f t="shared" si="14"/>
        <v>0</v>
      </c>
      <c r="LM267" s="160">
        <f t="shared" si="15"/>
        <v>0</v>
      </c>
      <c r="QX267" s="107">
        <v>45892.0</v>
      </c>
    </row>
    <row r="268">
      <c r="A268" s="12"/>
      <c r="B268" s="12"/>
      <c r="C268" s="12"/>
      <c r="D268" s="12"/>
      <c r="E268" s="12"/>
      <c r="F268" s="12"/>
      <c r="G268" s="12"/>
      <c r="H268" s="12"/>
      <c r="I268" s="143">
        <f t="shared" si="5"/>
        <v>-30</v>
      </c>
      <c r="J268" s="144">
        <v>45893.0</v>
      </c>
      <c r="K268" s="173" t="s">
        <v>61</v>
      </c>
      <c r="L268" s="144">
        <v>45970.0</v>
      </c>
      <c r="M268" s="147" t="s">
        <v>2849</v>
      </c>
      <c r="N268" s="148" t="s">
        <v>2850</v>
      </c>
      <c r="O268" s="148">
        <v>30.0</v>
      </c>
      <c r="P268" s="26"/>
      <c r="Q268" s="26"/>
      <c r="R268" s="26"/>
      <c r="S268" s="26"/>
      <c r="T268" s="26"/>
      <c r="U268" s="147" t="s">
        <v>2744</v>
      </c>
      <c r="V268" s="149" t="s">
        <v>2851</v>
      </c>
      <c r="W268" s="198" t="s">
        <v>2852</v>
      </c>
      <c r="X268" s="181">
        <v>30.0</v>
      </c>
      <c r="Y268" s="166">
        <f t="shared" si="6"/>
        <v>30</v>
      </c>
      <c r="Z268" s="26">
        <f t="shared" si="7"/>
        <v>0</v>
      </c>
      <c r="AA268" s="26">
        <f t="shared" si="8"/>
        <v>0</v>
      </c>
      <c r="AB268" s="26">
        <f t="shared" si="9"/>
        <v>0</v>
      </c>
      <c r="AC268" s="155">
        <v>0.0</v>
      </c>
      <c r="AD268" s="155">
        <v>0.0</v>
      </c>
      <c r="AE268" s="155">
        <v>0.0</v>
      </c>
      <c r="AF268" s="155">
        <v>0.0</v>
      </c>
      <c r="AG268" s="155">
        <v>0.0</v>
      </c>
      <c r="AH268" s="155">
        <v>0.0</v>
      </c>
      <c r="BN268" s="155">
        <v>0.0</v>
      </c>
      <c r="BO268" s="155">
        <v>0.0</v>
      </c>
      <c r="BP268" s="155">
        <v>0.0</v>
      </c>
      <c r="BQ268" s="155">
        <v>0.0</v>
      </c>
      <c r="BR268" s="155">
        <v>0.0</v>
      </c>
      <c r="BS268" s="155">
        <v>0.0</v>
      </c>
      <c r="CV268" s="156">
        <v>0.0</v>
      </c>
      <c r="CW268" s="156">
        <v>0.0</v>
      </c>
      <c r="CX268" s="156">
        <v>0.0</v>
      </c>
      <c r="CY268" s="156">
        <v>0.0</v>
      </c>
      <c r="CZ268" s="156">
        <v>0.0</v>
      </c>
      <c r="DA268" s="156">
        <v>0.0</v>
      </c>
      <c r="EG268" s="156">
        <v>0.0</v>
      </c>
      <c r="EH268" s="156">
        <v>0.0</v>
      </c>
      <c r="EI268" s="156">
        <v>0.0</v>
      </c>
      <c r="EJ268" s="156">
        <v>0.0</v>
      </c>
      <c r="EK268" s="156">
        <v>0.0</v>
      </c>
      <c r="EL268" s="156">
        <v>0.0</v>
      </c>
      <c r="FQ268" s="156">
        <v>0.0</v>
      </c>
      <c r="FR268" s="156">
        <v>0.0</v>
      </c>
      <c r="FS268" s="156">
        <v>0.0</v>
      </c>
      <c r="FT268" s="156">
        <v>0.0</v>
      </c>
      <c r="FU268" s="156">
        <v>0.0</v>
      </c>
      <c r="FV268" s="156">
        <v>0.0</v>
      </c>
      <c r="FW268" s="157"/>
      <c r="FX268" s="157"/>
      <c r="FY268" s="157"/>
      <c r="FZ268" s="157"/>
      <c r="GA268" s="157"/>
      <c r="GB268" s="157"/>
      <c r="GC268" s="157"/>
      <c r="GD268" s="157"/>
      <c r="GE268" s="157"/>
      <c r="GF268" s="157"/>
      <c r="GG268" s="157"/>
      <c r="GH268" s="157"/>
      <c r="GI268" s="157"/>
      <c r="GJ268" s="157"/>
      <c r="GK268" s="157"/>
      <c r="GL268" s="157"/>
      <c r="GM268" s="157"/>
      <c r="GN268" s="157"/>
      <c r="GO268" s="157"/>
      <c r="GP268" s="158"/>
      <c r="GQ268" s="157"/>
      <c r="GR268" s="157"/>
      <c r="GS268" s="157"/>
      <c r="GT268" s="157"/>
      <c r="GU268" s="157"/>
      <c r="GV268" s="157"/>
      <c r="GW268" s="157"/>
      <c r="GX268" s="157"/>
      <c r="GY268" s="157"/>
      <c r="GZ268" s="157"/>
      <c r="HA268" s="157"/>
      <c r="HB268" s="155">
        <v>0.0</v>
      </c>
      <c r="HC268" s="155">
        <v>0.0</v>
      </c>
      <c r="HD268" s="155">
        <v>0.0</v>
      </c>
      <c r="HE268" s="155">
        <v>0.0</v>
      </c>
      <c r="HF268" s="155">
        <v>0.0</v>
      </c>
      <c r="HG268" s="155">
        <v>0.0</v>
      </c>
      <c r="IL268" s="159">
        <v>0.0</v>
      </c>
      <c r="IM268" s="156">
        <v>0.0</v>
      </c>
      <c r="IN268" s="156">
        <v>0.0</v>
      </c>
      <c r="IO268" s="156">
        <v>0.0</v>
      </c>
      <c r="IP268" s="156">
        <v>0.0</v>
      </c>
      <c r="IQ268" s="160">
        <v>0.0</v>
      </c>
      <c r="JH268" s="25"/>
      <c r="JW268" s="159">
        <v>0.0</v>
      </c>
      <c r="JX268" s="156">
        <v>0.0</v>
      </c>
      <c r="JY268" s="156">
        <v>0.0</v>
      </c>
      <c r="JZ268" s="156">
        <v>0.0</v>
      </c>
      <c r="KA268" s="156">
        <v>0.0</v>
      </c>
      <c r="KB268" s="160">
        <v>0.0</v>
      </c>
      <c r="LH268" s="159">
        <f t="shared" si="10"/>
        <v>0</v>
      </c>
      <c r="LI268" s="156">
        <f t="shared" si="11"/>
        <v>0</v>
      </c>
      <c r="LJ268" s="156">
        <f t="shared" si="12"/>
        <v>0</v>
      </c>
      <c r="LK268" s="156">
        <f t="shared" si="13"/>
        <v>0</v>
      </c>
      <c r="LL268" s="156">
        <f t="shared" si="14"/>
        <v>0</v>
      </c>
      <c r="LM268" s="160">
        <f t="shared" si="15"/>
        <v>0</v>
      </c>
      <c r="QX268" s="440">
        <v>45894.0</v>
      </c>
    </row>
    <row r="269">
      <c r="A269" s="12"/>
      <c r="B269" s="12"/>
      <c r="C269" s="12"/>
      <c r="D269" s="12"/>
      <c r="E269" s="12"/>
      <c r="F269" s="12"/>
      <c r="G269" s="12"/>
      <c r="H269" s="12"/>
      <c r="I269" s="143">
        <f t="shared" si="5"/>
        <v>-60</v>
      </c>
      <c r="J269" s="144">
        <v>45896.0</v>
      </c>
      <c r="K269" s="145" t="s">
        <v>61</v>
      </c>
      <c r="L269" s="171">
        <v>46101.0</v>
      </c>
      <c r="M269" s="147" t="s">
        <v>696</v>
      </c>
      <c r="N269" s="148">
        <v>246.0</v>
      </c>
      <c r="O269" s="148">
        <v>30.0</v>
      </c>
      <c r="P269" s="26"/>
      <c r="Q269" s="26"/>
      <c r="R269" s="26"/>
      <c r="S269" s="26"/>
      <c r="T269" s="26"/>
      <c r="U269" s="147" t="s">
        <v>447</v>
      </c>
      <c r="V269" s="149" t="s">
        <v>613</v>
      </c>
      <c r="W269" s="198" t="s">
        <v>2855</v>
      </c>
      <c r="X269" s="181">
        <v>43.0</v>
      </c>
      <c r="Y269" s="166">
        <f t="shared" si="6"/>
        <v>60</v>
      </c>
      <c r="Z269" s="26">
        <f t="shared" si="7"/>
        <v>0</v>
      </c>
      <c r="AA269" s="26">
        <f t="shared" si="8"/>
        <v>4</v>
      </c>
      <c r="AB269" s="26">
        <f t="shared" si="9"/>
        <v>0</v>
      </c>
      <c r="AC269" s="155">
        <v>8.0</v>
      </c>
      <c r="AD269" s="155">
        <v>0.0</v>
      </c>
      <c r="AE269" s="155">
        <v>0.0</v>
      </c>
      <c r="AF269" s="155">
        <v>3.0</v>
      </c>
      <c r="AG269" s="155">
        <v>0.0</v>
      </c>
      <c r="AH269" s="155">
        <v>0.0</v>
      </c>
      <c r="AI269" s="167">
        <v>0.0</v>
      </c>
      <c r="AJ269" s="168" t="s">
        <v>947</v>
      </c>
      <c r="AK269" s="167">
        <v>0.0</v>
      </c>
      <c r="AL269" s="167">
        <v>0.0</v>
      </c>
      <c r="AM269" s="167">
        <v>1.0</v>
      </c>
      <c r="AN269" s="168">
        <v>1.0</v>
      </c>
      <c r="AO269" s="167"/>
      <c r="AP269" s="167"/>
      <c r="AQ269" s="167"/>
      <c r="AR269" s="167"/>
      <c r="AS269" s="167"/>
      <c r="AT269" s="168" t="s">
        <v>947</v>
      </c>
      <c r="AU269" s="167"/>
      <c r="AV269" s="167"/>
      <c r="AW269" s="167"/>
      <c r="AX269" s="168" t="s">
        <v>947</v>
      </c>
      <c r="AY269" s="167">
        <v>0.0</v>
      </c>
      <c r="AZ269" s="167">
        <v>0.0</v>
      </c>
      <c r="BA269" s="167">
        <v>1.0</v>
      </c>
      <c r="BB269" s="167">
        <v>0.0</v>
      </c>
      <c r="BC269" s="167"/>
      <c r="BD269" s="167">
        <v>0.0</v>
      </c>
      <c r="BE269" s="167">
        <v>1.0</v>
      </c>
      <c r="BF269" s="167"/>
      <c r="BG269" s="167"/>
      <c r="BH269" s="167"/>
      <c r="BI269" s="167"/>
      <c r="BJ269" s="167"/>
      <c r="BK269" s="167"/>
      <c r="BL269" s="167">
        <v>1.0</v>
      </c>
      <c r="BM269" s="167">
        <v>0.0</v>
      </c>
      <c r="BN269" s="155">
        <v>4.0</v>
      </c>
      <c r="BO269" s="155">
        <v>0.0</v>
      </c>
      <c r="BP269" s="155">
        <v>0.0</v>
      </c>
      <c r="BQ269" s="155">
        <v>0.0</v>
      </c>
      <c r="BR269" s="155">
        <v>0.0</v>
      </c>
      <c r="BS269" s="155">
        <v>0.0</v>
      </c>
      <c r="BT269" s="167">
        <v>0.0</v>
      </c>
      <c r="BU269" s="167">
        <v>1.0</v>
      </c>
      <c r="BV269" s="167">
        <v>0.0</v>
      </c>
      <c r="BW269" s="167"/>
      <c r="BX269" s="167">
        <v>0.0</v>
      </c>
      <c r="BY269" s="167">
        <v>1.0</v>
      </c>
      <c r="BZ269" s="167"/>
      <c r="CA269" s="167"/>
      <c r="CB269" s="167"/>
      <c r="CC269" s="167"/>
      <c r="CD269" s="167"/>
      <c r="CE269" s="167"/>
      <c r="CF269" s="167">
        <v>1.0</v>
      </c>
      <c r="CG269" s="167"/>
      <c r="CH269" s="167"/>
      <c r="CI269" s="167"/>
      <c r="CJ269" s="167"/>
      <c r="CK269" s="167"/>
      <c r="CL269" s="167"/>
      <c r="CM269" s="167"/>
      <c r="CN269" s="167"/>
      <c r="CO269" s="167"/>
      <c r="CP269" s="167"/>
      <c r="CQ269" s="167"/>
      <c r="CR269" s="167"/>
      <c r="CS269" s="167"/>
      <c r="CT269" s="167">
        <v>1.0</v>
      </c>
      <c r="CU269" s="167">
        <v>0.0</v>
      </c>
      <c r="CV269" s="156">
        <v>5.0</v>
      </c>
      <c r="CW269" s="156">
        <v>0.0</v>
      </c>
      <c r="CX269" s="156">
        <v>0.0</v>
      </c>
      <c r="CY269" s="156">
        <v>1.0</v>
      </c>
      <c r="CZ269" s="156">
        <v>0.0</v>
      </c>
      <c r="DA269" s="156">
        <v>0.0</v>
      </c>
      <c r="DB269" s="174">
        <v>0.0</v>
      </c>
      <c r="DC269" s="174">
        <v>1.0</v>
      </c>
      <c r="DD269" s="174"/>
      <c r="DE269" s="174"/>
      <c r="DF269" s="174"/>
      <c r="DG269" s="175" t="s">
        <v>947</v>
      </c>
      <c r="DH269" s="174">
        <v>0.0</v>
      </c>
      <c r="DI269" s="174">
        <v>0.0</v>
      </c>
      <c r="DJ269" s="174">
        <v>1.0</v>
      </c>
      <c r="DK269" s="174">
        <v>0.0</v>
      </c>
      <c r="DL269" s="174"/>
      <c r="DM269" s="174">
        <v>0.0</v>
      </c>
      <c r="DN269" s="174">
        <v>1.0</v>
      </c>
      <c r="DO269" s="174"/>
      <c r="DP269" s="174"/>
      <c r="DQ269" s="174"/>
      <c r="DR269" s="174"/>
      <c r="DS269" s="174"/>
      <c r="DT269" s="174"/>
      <c r="DU269" s="174">
        <v>1.0</v>
      </c>
      <c r="DV269" s="174"/>
      <c r="DW269" s="174"/>
      <c r="DX269" s="174"/>
      <c r="DY269" s="174"/>
      <c r="DZ269" s="174"/>
      <c r="EA269" s="174"/>
      <c r="EB269" s="174"/>
      <c r="EC269" s="174"/>
      <c r="ED269" s="174"/>
      <c r="EE269" s="174"/>
      <c r="EF269" s="174"/>
      <c r="EG269" s="156">
        <v>0.0</v>
      </c>
      <c r="EH269" s="156">
        <v>0.0</v>
      </c>
      <c r="EI269" s="156">
        <v>0.0</v>
      </c>
      <c r="EJ269" s="156">
        <v>0.0</v>
      </c>
      <c r="EK269" s="156">
        <v>0.0</v>
      </c>
      <c r="EL269" s="156">
        <v>0.0</v>
      </c>
      <c r="FQ269" s="156">
        <v>0.0</v>
      </c>
      <c r="FR269" s="156">
        <v>0.0</v>
      </c>
      <c r="FS269" s="156">
        <v>0.0</v>
      </c>
      <c r="FT269" s="156">
        <v>0.0</v>
      </c>
      <c r="FU269" s="156">
        <v>0.0</v>
      </c>
      <c r="FV269" s="156">
        <v>0.0</v>
      </c>
      <c r="FW269" s="157"/>
      <c r="FX269" s="157"/>
      <c r="FY269" s="157"/>
      <c r="FZ269" s="157"/>
      <c r="GA269" s="157"/>
      <c r="GB269" s="157"/>
      <c r="GC269" s="157"/>
      <c r="GD269" s="157"/>
      <c r="GE269" s="157"/>
      <c r="GF269" s="157"/>
      <c r="GG269" s="157"/>
      <c r="GH269" s="157"/>
      <c r="GI269" s="157"/>
      <c r="GJ269" s="157"/>
      <c r="GK269" s="157"/>
      <c r="GL269" s="157"/>
      <c r="GM269" s="157"/>
      <c r="GN269" s="157"/>
      <c r="GO269" s="157"/>
      <c r="GP269" s="158"/>
      <c r="GQ269" s="157"/>
      <c r="GR269" s="157"/>
      <c r="GS269" s="157"/>
      <c r="GT269" s="157"/>
      <c r="GU269" s="157"/>
      <c r="GV269" s="157"/>
      <c r="GW269" s="157"/>
      <c r="GX269" s="157"/>
      <c r="GY269" s="157"/>
      <c r="GZ269" s="157"/>
      <c r="HA269" s="157"/>
      <c r="HB269" s="155">
        <v>0.0</v>
      </c>
      <c r="HC269" s="155">
        <v>0.0</v>
      </c>
      <c r="HD269" s="155">
        <v>0.0</v>
      </c>
      <c r="HE269" s="155">
        <v>0.0</v>
      </c>
      <c r="HF269" s="155">
        <v>0.0</v>
      </c>
      <c r="HG269" s="155">
        <v>0.0</v>
      </c>
      <c r="IL269" s="159">
        <v>0.0</v>
      </c>
      <c r="IM269" s="156">
        <v>0.0</v>
      </c>
      <c r="IN269" s="156">
        <v>0.0</v>
      </c>
      <c r="IO269" s="156">
        <v>0.0</v>
      </c>
      <c r="IP269" s="156">
        <v>0.0</v>
      </c>
      <c r="IQ269" s="160">
        <v>0.0</v>
      </c>
      <c r="JH269" s="25"/>
      <c r="JW269" s="159">
        <v>0.0</v>
      </c>
      <c r="JX269" s="156">
        <v>0.0</v>
      </c>
      <c r="JY269" s="156">
        <v>0.0</v>
      </c>
      <c r="JZ269" s="156">
        <v>0.0</v>
      </c>
      <c r="KA269" s="156">
        <v>0.0</v>
      </c>
      <c r="KB269" s="160">
        <v>0.0</v>
      </c>
      <c r="LH269" s="159">
        <f t="shared" si="10"/>
        <v>0</v>
      </c>
      <c r="LI269" s="156">
        <f t="shared" si="11"/>
        <v>0</v>
      </c>
      <c r="LJ269" s="156">
        <f t="shared" si="12"/>
        <v>0</v>
      </c>
      <c r="LK269" s="156">
        <f t="shared" si="13"/>
        <v>0</v>
      </c>
      <c r="LL269" s="156">
        <f t="shared" si="14"/>
        <v>0</v>
      </c>
      <c r="LM269" s="160">
        <f t="shared" si="15"/>
        <v>0</v>
      </c>
      <c r="QX269" s="107">
        <v>45894.0</v>
      </c>
    </row>
    <row r="270">
      <c r="A270" s="12"/>
      <c r="B270" s="12"/>
      <c r="C270" s="12"/>
      <c r="D270" s="12"/>
      <c r="E270" s="12"/>
      <c r="F270" s="12"/>
      <c r="G270" s="12"/>
      <c r="H270" s="12"/>
      <c r="I270" s="143">
        <f t="shared" si="5"/>
        <v>-82</v>
      </c>
      <c r="J270" s="170" t="s">
        <v>2859</v>
      </c>
      <c r="K270" s="145" t="s">
        <v>48</v>
      </c>
      <c r="L270" s="171">
        <v>46079.0</v>
      </c>
      <c r="M270" s="164" t="s">
        <v>107</v>
      </c>
      <c r="N270" s="170">
        <v>246.0</v>
      </c>
      <c r="O270" s="148">
        <v>30.0</v>
      </c>
      <c r="P270" s="26"/>
      <c r="Q270" s="26"/>
      <c r="R270" s="26"/>
      <c r="S270" s="26"/>
      <c r="T270" s="26"/>
      <c r="U270" s="164" t="s">
        <v>2861</v>
      </c>
      <c r="V270" s="165" t="s">
        <v>1981</v>
      </c>
      <c r="W270" s="248" t="s">
        <v>2862</v>
      </c>
      <c r="X270" s="181">
        <v>27.0</v>
      </c>
      <c r="Y270" s="166">
        <f t="shared" si="6"/>
        <v>82</v>
      </c>
      <c r="Z270" s="26">
        <f t="shared" si="7"/>
        <v>0</v>
      </c>
      <c r="AA270" s="26">
        <f t="shared" si="8"/>
        <v>0</v>
      </c>
      <c r="AB270" s="26">
        <f t="shared" si="9"/>
        <v>0</v>
      </c>
      <c r="AC270" s="155">
        <v>5.0</v>
      </c>
      <c r="AD270" s="155">
        <v>0.0</v>
      </c>
      <c r="AE270" s="155">
        <v>0.0</v>
      </c>
      <c r="AF270" s="155">
        <v>0.0</v>
      </c>
      <c r="AG270" s="155">
        <v>0.0</v>
      </c>
      <c r="AH270" s="155">
        <v>0.0</v>
      </c>
      <c r="AP270" s="86">
        <v>1.0</v>
      </c>
      <c r="AU270" s="86">
        <v>1.0</v>
      </c>
      <c r="AW270" s="86">
        <v>1.0</v>
      </c>
      <c r="BB270" s="86">
        <v>1.0</v>
      </c>
      <c r="BD270" s="86">
        <v>1.0</v>
      </c>
      <c r="BN270" s="155">
        <v>3.0</v>
      </c>
      <c r="BO270" s="155">
        <v>0.0</v>
      </c>
      <c r="BP270" s="155">
        <v>0.0</v>
      </c>
      <c r="BQ270" s="155">
        <v>0.0</v>
      </c>
      <c r="BR270" s="155">
        <v>0.0</v>
      </c>
      <c r="BS270" s="155">
        <v>0.0</v>
      </c>
      <c r="BT270" s="168">
        <v>1.0</v>
      </c>
      <c r="BU270" s="167">
        <v>0.0</v>
      </c>
      <c r="BV270" s="167">
        <v>1.0</v>
      </c>
      <c r="BW270" s="167">
        <v>0.0</v>
      </c>
      <c r="BX270" s="167">
        <v>1.0</v>
      </c>
      <c r="BY270" s="167"/>
      <c r="BZ270" s="167"/>
      <c r="CA270" s="167"/>
      <c r="CB270" s="167"/>
      <c r="CC270" s="167"/>
      <c r="CD270" s="167"/>
      <c r="CE270" s="167"/>
      <c r="CF270" s="167"/>
      <c r="CG270" s="167"/>
      <c r="CH270" s="167"/>
      <c r="CI270" s="167"/>
      <c r="CJ270" s="167"/>
      <c r="CK270" s="167"/>
      <c r="CL270" s="167"/>
      <c r="CM270" s="167"/>
      <c r="CN270" s="167"/>
      <c r="CO270" s="167"/>
      <c r="CP270" s="167"/>
      <c r="CQ270" s="167"/>
      <c r="CR270" s="167"/>
      <c r="CS270" s="167"/>
      <c r="CT270" s="167"/>
      <c r="CU270" s="167"/>
      <c r="CV270" s="156">
        <v>0.0</v>
      </c>
      <c r="CW270" s="156">
        <v>0.0</v>
      </c>
      <c r="CX270" s="156">
        <v>0.0</v>
      </c>
      <c r="CY270" s="156">
        <v>0.0</v>
      </c>
      <c r="CZ270" s="156">
        <v>0.0</v>
      </c>
      <c r="DA270" s="156">
        <v>0.0</v>
      </c>
      <c r="EG270" s="156">
        <v>7.0</v>
      </c>
      <c r="EH270" s="156">
        <v>0.0</v>
      </c>
      <c r="EI270" s="156">
        <v>0.0</v>
      </c>
      <c r="EJ270" s="156">
        <v>0.0</v>
      </c>
      <c r="EK270" s="156">
        <v>0.0</v>
      </c>
      <c r="EL270" s="156">
        <v>0.0</v>
      </c>
      <c r="EM270" s="174"/>
      <c r="EN270" s="174"/>
      <c r="EO270" s="174"/>
      <c r="EP270" s="174"/>
      <c r="EQ270" s="174"/>
      <c r="ER270" s="174"/>
      <c r="ES270" s="174"/>
      <c r="ET270" s="174"/>
      <c r="EU270" s="174"/>
      <c r="EV270" s="174"/>
      <c r="EW270" s="174"/>
      <c r="EX270" s="174"/>
      <c r="EY270" s="174">
        <v>1.0</v>
      </c>
      <c r="EZ270" s="174">
        <v>0.0</v>
      </c>
      <c r="FA270" s="174">
        <v>1.0</v>
      </c>
      <c r="FB270" s="174">
        <v>0.0</v>
      </c>
      <c r="FC270" s="174">
        <v>1.0</v>
      </c>
      <c r="FD270" s="174">
        <v>0.0</v>
      </c>
      <c r="FE270" s="174">
        <v>0.0</v>
      </c>
      <c r="FF270" s="174">
        <v>1.0</v>
      </c>
      <c r="FG270" s="174">
        <v>0.0</v>
      </c>
      <c r="FH270" s="174"/>
      <c r="FI270" s="175">
        <v>1.0</v>
      </c>
      <c r="FJ270" s="174">
        <v>1.0</v>
      </c>
      <c r="FK270" s="174"/>
      <c r="FL270" s="174"/>
      <c r="FM270" s="174"/>
      <c r="FN270" s="174"/>
      <c r="FO270" s="174">
        <v>1.0</v>
      </c>
      <c r="FP270" s="174">
        <v>0.0</v>
      </c>
      <c r="FQ270" s="156">
        <v>10.0</v>
      </c>
      <c r="FR270" s="156">
        <v>0.0</v>
      </c>
      <c r="FS270" s="156">
        <v>0.0</v>
      </c>
      <c r="FT270" s="156">
        <v>0.0</v>
      </c>
      <c r="FU270" s="156">
        <v>0.0</v>
      </c>
      <c r="FV270" s="156">
        <v>0.0</v>
      </c>
      <c r="FW270" s="174"/>
      <c r="FX270" s="174"/>
      <c r="FY270" s="174"/>
      <c r="FZ270" s="174"/>
      <c r="GA270" s="174"/>
      <c r="GB270" s="174">
        <v>1.0</v>
      </c>
      <c r="GC270" s="174">
        <v>0.0</v>
      </c>
      <c r="GD270" s="174">
        <v>1.0</v>
      </c>
      <c r="GE270" s="174">
        <v>0.0</v>
      </c>
      <c r="GF270" s="174">
        <v>0.0</v>
      </c>
      <c r="GG270" s="174">
        <v>1.0</v>
      </c>
      <c r="GH270" s="174">
        <v>0.0</v>
      </c>
      <c r="GI270" s="174"/>
      <c r="GJ270" s="174">
        <v>0.0</v>
      </c>
      <c r="GK270" s="174">
        <v>1.0</v>
      </c>
      <c r="GL270" s="174">
        <v>0.0</v>
      </c>
      <c r="GM270" s="174">
        <v>0.0</v>
      </c>
      <c r="GN270" s="174">
        <v>1.0</v>
      </c>
      <c r="GO270" s="174">
        <v>0.0</v>
      </c>
      <c r="GP270" s="176">
        <v>1.0</v>
      </c>
      <c r="GQ270" s="174">
        <v>0.0</v>
      </c>
      <c r="GR270" s="175">
        <v>1.0</v>
      </c>
      <c r="GS270" s="174">
        <v>0.0</v>
      </c>
      <c r="GT270" s="174">
        <v>0.0</v>
      </c>
      <c r="GU270" s="174">
        <v>1.0</v>
      </c>
      <c r="GV270" s="174">
        <v>0.0</v>
      </c>
      <c r="GW270" s="174"/>
      <c r="GX270" s="174">
        <v>0.0</v>
      </c>
      <c r="GY270" s="174">
        <v>1.0</v>
      </c>
      <c r="GZ270" s="175">
        <v>1.0</v>
      </c>
      <c r="HA270" s="174">
        <v>0.0</v>
      </c>
      <c r="HB270" s="155">
        <v>11.0</v>
      </c>
      <c r="HC270" s="155">
        <v>0.0</v>
      </c>
      <c r="HD270" s="155">
        <v>0.0</v>
      </c>
      <c r="HE270" s="155">
        <v>0.0</v>
      </c>
      <c r="HF270" s="155">
        <v>0.0</v>
      </c>
      <c r="HG270" s="155">
        <v>0.0</v>
      </c>
      <c r="HH270" s="174">
        <v>1.0</v>
      </c>
      <c r="HI270" s="174">
        <v>0.0</v>
      </c>
      <c r="HJ270" s="174">
        <v>1.0</v>
      </c>
      <c r="HK270" s="174">
        <v>0.0</v>
      </c>
      <c r="HL270" s="174">
        <v>1.0</v>
      </c>
      <c r="HM270" s="174"/>
      <c r="HN270" s="174"/>
      <c r="HO270" s="174"/>
      <c r="HP270" s="174"/>
      <c r="HQ270" s="174">
        <v>1.0</v>
      </c>
      <c r="HR270" s="174">
        <v>0.0</v>
      </c>
      <c r="HS270" s="174">
        <v>1.0</v>
      </c>
      <c r="HT270" s="174">
        <v>0.0</v>
      </c>
      <c r="HU270" s="174">
        <v>0.0</v>
      </c>
      <c r="HV270" s="175">
        <v>1.0</v>
      </c>
      <c r="HW270" s="174">
        <v>0.0</v>
      </c>
      <c r="HX270" s="174">
        <v>1.0</v>
      </c>
      <c r="HY270" s="174"/>
      <c r="HZ270" s="174">
        <v>1.0</v>
      </c>
      <c r="IA270" s="174">
        <v>0.0</v>
      </c>
      <c r="IB270" s="174">
        <v>0.0</v>
      </c>
      <c r="IC270" s="174">
        <v>1.0</v>
      </c>
      <c r="ID270" s="174">
        <v>0.0</v>
      </c>
      <c r="IE270" s="174"/>
      <c r="IF270" s="174">
        <v>0.0</v>
      </c>
      <c r="IG270" s="174">
        <v>1.0</v>
      </c>
      <c r="IH270" s="174">
        <v>0.0</v>
      </c>
      <c r="II270" s="174">
        <v>0.0</v>
      </c>
      <c r="IJ270" s="174">
        <v>1.0</v>
      </c>
      <c r="IK270" s="174">
        <v>0.0</v>
      </c>
      <c r="IL270" s="159">
        <v>7.0</v>
      </c>
      <c r="IM270" s="156">
        <v>0.0</v>
      </c>
      <c r="IN270" s="156">
        <v>0.0</v>
      </c>
      <c r="IO270" s="156">
        <v>0.0</v>
      </c>
      <c r="IP270" s="156">
        <v>0.0</v>
      </c>
      <c r="IQ270" s="160">
        <v>0.0</v>
      </c>
      <c r="IR270" s="174"/>
      <c r="IS270" s="174">
        <v>0.0</v>
      </c>
      <c r="IT270" s="174"/>
      <c r="IU270" s="174">
        <v>0.0</v>
      </c>
      <c r="IV270" s="175">
        <v>1.0</v>
      </c>
      <c r="IW270" s="174"/>
      <c r="IX270" s="174">
        <v>0.0</v>
      </c>
      <c r="IY270" s="174"/>
      <c r="IZ270" s="174">
        <v>0.0</v>
      </c>
      <c r="JA270" s="174"/>
      <c r="JB270" s="174">
        <v>0.0</v>
      </c>
      <c r="JC270" s="175">
        <v>0.0</v>
      </c>
      <c r="JD270" s="174">
        <v>1.0</v>
      </c>
      <c r="JE270" s="174">
        <v>0.0</v>
      </c>
      <c r="JF270" s="174"/>
      <c r="JG270" s="174">
        <v>0.0</v>
      </c>
      <c r="JH270" s="177">
        <v>1.0</v>
      </c>
      <c r="JI270" s="174">
        <v>0.0</v>
      </c>
      <c r="JJ270" s="175">
        <v>1.0</v>
      </c>
      <c r="JK270" s="174">
        <v>1.0</v>
      </c>
      <c r="JL270" s="174">
        <v>0.0</v>
      </c>
      <c r="JM270" s="174"/>
      <c r="JN270" s="174">
        <v>0.0</v>
      </c>
      <c r="JO270" s="174">
        <v>1.0</v>
      </c>
      <c r="JP270" s="174">
        <v>0.0</v>
      </c>
      <c r="JQ270" s="174">
        <v>0.0</v>
      </c>
      <c r="JR270" s="174"/>
      <c r="JS270" s="174">
        <v>0.0</v>
      </c>
      <c r="JT270" s="174"/>
      <c r="JU270" s="174">
        <v>0.0</v>
      </c>
      <c r="JV270" s="174">
        <v>1.0</v>
      </c>
      <c r="JW270" s="159">
        <v>7.0</v>
      </c>
      <c r="JX270" s="156">
        <v>0.0</v>
      </c>
      <c r="JY270" s="156">
        <v>0.0</v>
      </c>
      <c r="JZ270" s="156">
        <v>0.0</v>
      </c>
      <c r="KA270" s="156">
        <v>0.0</v>
      </c>
      <c r="KB270" s="160">
        <v>0.0</v>
      </c>
      <c r="KC270" s="174"/>
      <c r="KD270" s="174"/>
      <c r="KE270" s="174"/>
      <c r="KF270" s="174"/>
      <c r="KG270" s="175">
        <v>1.0</v>
      </c>
      <c r="KH270" s="174"/>
      <c r="KI270" s="175">
        <v>1.0</v>
      </c>
      <c r="KJ270" s="174"/>
      <c r="KK270" s="174"/>
      <c r="KL270" s="175">
        <v>1.0</v>
      </c>
      <c r="KM270" s="174"/>
      <c r="KN270" s="174"/>
      <c r="KO270" s="174"/>
      <c r="KP270" s="174"/>
      <c r="KQ270" s="174"/>
      <c r="KR270" s="174"/>
      <c r="KS270" s="186">
        <v>1.0</v>
      </c>
      <c r="KT270" s="174"/>
      <c r="KU270" s="174"/>
      <c r="KV270" s="174"/>
      <c r="KW270" s="174"/>
      <c r="KX270" s="175">
        <v>1.0</v>
      </c>
      <c r="KY270" s="174"/>
      <c r="KZ270" s="175">
        <v>1.0</v>
      </c>
      <c r="LA270" s="174"/>
      <c r="LB270" s="174"/>
      <c r="LC270" s="174"/>
      <c r="LD270" s="175">
        <v>1.0</v>
      </c>
      <c r="LE270" s="174"/>
      <c r="LF270" s="174"/>
      <c r="LG270" s="174"/>
      <c r="LH270" s="159">
        <f t="shared" si="10"/>
        <v>5</v>
      </c>
      <c r="LI270" s="156">
        <f t="shared" si="11"/>
        <v>0</v>
      </c>
      <c r="LJ270" s="156">
        <f t="shared" si="12"/>
        <v>0</v>
      </c>
      <c r="LK270" s="156">
        <f t="shared" si="13"/>
        <v>0</v>
      </c>
      <c r="LL270" s="156">
        <f t="shared" si="14"/>
        <v>0</v>
      </c>
      <c r="LM270" s="160">
        <f t="shared" si="15"/>
        <v>0</v>
      </c>
      <c r="LN270" s="174"/>
      <c r="LO270" s="174"/>
      <c r="LP270" s="174"/>
      <c r="LQ270" s="187">
        <v>1.0</v>
      </c>
      <c r="LR270" s="174"/>
      <c r="LS270" s="174"/>
      <c r="LT270" s="187">
        <v>1.0</v>
      </c>
      <c r="LU270" s="174"/>
      <c r="LV270" s="174"/>
      <c r="LW270" s="174">
        <f t="shared" ref="LW270:MQ270" si="19">IFS(TODAY()&lt;=LW$2,0,WEEKDAY(LW$2)=2,1,WEEKDAY(LW$2)=3,0,WEEKDAY(LW$2)=4,1,WEEKDAY(LW$2)=5,0,WEEKDAY(LW$2)=6,1,WEEKDAY(LW$2)=7,0,WEEKDAY(LW$2)=1,0)</f>
        <v>0</v>
      </c>
      <c r="LX270" s="174">
        <f t="shared" si="19"/>
        <v>1</v>
      </c>
      <c r="LY270" s="174">
        <f t="shared" si="19"/>
        <v>0</v>
      </c>
      <c r="LZ270" s="174">
        <f t="shared" si="19"/>
        <v>0</v>
      </c>
      <c r="MA270" s="174">
        <f t="shared" si="19"/>
        <v>1</v>
      </c>
      <c r="MB270" s="174">
        <f t="shared" si="19"/>
        <v>0</v>
      </c>
      <c r="MC270" s="174">
        <f t="shared" si="19"/>
        <v>1</v>
      </c>
      <c r="MD270" s="174">
        <f t="shared" si="19"/>
        <v>0</v>
      </c>
      <c r="ME270" s="174">
        <f t="shared" si="19"/>
        <v>0</v>
      </c>
      <c r="MF270" s="174">
        <f t="shared" si="19"/>
        <v>0</v>
      </c>
      <c r="MG270" s="174">
        <f t="shared" si="19"/>
        <v>0</v>
      </c>
      <c r="MH270" s="174">
        <f t="shared" si="19"/>
        <v>0</v>
      </c>
      <c r="MI270" s="174">
        <f t="shared" si="19"/>
        <v>0</v>
      </c>
      <c r="MJ270" s="174">
        <f t="shared" si="19"/>
        <v>0</v>
      </c>
      <c r="MK270" s="174">
        <f t="shared" si="19"/>
        <v>0</v>
      </c>
      <c r="ML270" s="174">
        <f t="shared" si="19"/>
        <v>0</v>
      </c>
      <c r="MM270" s="174">
        <f t="shared" si="19"/>
        <v>0</v>
      </c>
      <c r="MN270" s="174">
        <f t="shared" si="19"/>
        <v>0</v>
      </c>
      <c r="MO270" s="174">
        <f t="shared" si="19"/>
        <v>0</v>
      </c>
      <c r="MP270" s="174">
        <f t="shared" si="19"/>
        <v>0</v>
      </c>
      <c r="MQ270" s="174">
        <f t="shared" si="19"/>
        <v>0</v>
      </c>
      <c r="QX270" s="107">
        <v>45894.0</v>
      </c>
    </row>
    <row r="271">
      <c r="A271" s="12"/>
      <c r="B271" s="12"/>
      <c r="C271" s="12"/>
      <c r="D271" s="12"/>
      <c r="E271" s="12"/>
      <c r="F271" s="12"/>
      <c r="G271" s="12"/>
      <c r="H271" s="12"/>
      <c r="I271" s="143">
        <f t="shared" si="5"/>
        <v>-60</v>
      </c>
      <c r="J271" s="144">
        <v>45896.0</v>
      </c>
      <c r="K271" s="145" t="s">
        <v>61</v>
      </c>
      <c r="L271" s="171">
        <v>46106.0</v>
      </c>
      <c r="M271" s="147" t="s">
        <v>1157</v>
      </c>
      <c r="N271" s="148">
        <v>246.0</v>
      </c>
      <c r="O271" s="148">
        <v>30.0</v>
      </c>
      <c r="P271" s="26"/>
      <c r="Q271" s="26"/>
      <c r="R271" s="26"/>
      <c r="S271" s="26"/>
      <c r="T271" s="26"/>
      <c r="U271" s="147" t="s">
        <v>447</v>
      </c>
      <c r="V271" s="149" t="s">
        <v>613</v>
      </c>
      <c r="W271" s="198" t="s">
        <v>2864</v>
      </c>
      <c r="X271" s="181">
        <v>41.0</v>
      </c>
      <c r="Y271" s="166">
        <f t="shared" si="6"/>
        <v>60</v>
      </c>
      <c r="Z271" s="26">
        <f t="shared" si="7"/>
        <v>0</v>
      </c>
      <c r="AA271" s="26">
        <f t="shared" si="8"/>
        <v>2</v>
      </c>
      <c r="AB271" s="26">
        <f t="shared" si="9"/>
        <v>0</v>
      </c>
      <c r="AC271" s="155">
        <v>6.0</v>
      </c>
      <c r="AD271" s="155">
        <v>0.0</v>
      </c>
      <c r="AE271" s="155">
        <v>0.0</v>
      </c>
      <c r="AF271" s="155">
        <v>1.0</v>
      </c>
      <c r="AG271" s="155">
        <v>0.0</v>
      </c>
      <c r="AH271" s="155">
        <v>0.0</v>
      </c>
      <c r="AI271" s="167"/>
      <c r="AJ271" s="167"/>
      <c r="AK271" s="167"/>
      <c r="AL271" s="167"/>
      <c r="AM271" s="167"/>
      <c r="AN271" s="167"/>
      <c r="AO271" s="167">
        <v>1.0</v>
      </c>
      <c r="AP271" s="167"/>
      <c r="AQ271" s="167"/>
      <c r="AR271" s="167"/>
      <c r="AS271" s="167"/>
      <c r="AT271" s="168" t="s">
        <v>947</v>
      </c>
      <c r="AU271" s="167"/>
      <c r="AV271" s="167"/>
      <c r="AW271" s="167"/>
      <c r="AX271" s="167"/>
      <c r="AY271" s="167"/>
      <c r="AZ271" s="167"/>
      <c r="BA271" s="167">
        <v>1.0</v>
      </c>
      <c r="BB271" s="167">
        <v>0.0</v>
      </c>
      <c r="BC271" s="167">
        <v>1.0</v>
      </c>
      <c r="BD271" s="167">
        <v>0.0</v>
      </c>
      <c r="BE271" s="167"/>
      <c r="BF271" s="167">
        <v>0.0</v>
      </c>
      <c r="BG271" s="167">
        <v>0.0</v>
      </c>
      <c r="BH271" s="167">
        <v>1.0</v>
      </c>
      <c r="BI271" s="167">
        <v>0.0</v>
      </c>
      <c r="BJ271" s="167">
        <v>1.0</v>
      </c>
      <c r="BK271" s="167"/>
      <c r="BL271" s="167"/>
      <c r="BM271" s="167"/>
      <c r="BN271" s="155">
        <v>4.0</v>
      </c>
      <c r="BO271" s="155">
        <v>0.0</v>
      </c>
      <c r="BP271" s="155">
        <v>0.0</v>
      </c>
      <c r="BQ271" s="155">
        <v>1.0</v>
      </c>
      <c r="BR271" s="155">
        <v>0.0</v>
      </c>
      <c r="BS271" s="155">
        <v>0.0</v>
      </c>
      <c r="BT271" s="167"/>
      <c r="BU271" s="167"/>
      <c r="BV271" s="167"/>
      <c r="BW271" s="167">
        <v>1.0</v>
      </c>
      <c r="BX271" s="167"/>
      <c r="BY271" s="167"/>
      <c r="BZ271" s="167"/>
      <c r="CA271" s="167"/>
      <c r="CB271" s="167"/>
      <c r="CC271" s="167"/>
      <c r="CD271" s="167">
        <v>1.0</v>
      </c>
      <c r="CE271" s="167">
        <v>0.0</v>
      </c>
      <c r="CF271" s="168" t="s">
        <v>947</v>
      </c>
      <c r="CG271" s="167"/>
      <c r="CH271" s="167"/>
      <c r="CI271" s="167"/>
      <c r="CJ271" s="167"/>
      <c r="CK271" s="167"/>
      <c r="CL271" s="167"/>
      <c r="CM271" s="167"/>
      <c r="CN271" s="167"/>
      <c r="CO271" s="167"/>
      <c r="CP271" s="167"/>
      <c r="CQ271" s="167"/>
      <c r="CR271" s="168">
        <v>1.0</v>
      </c>
      <c r="CS271" s="167"/>
      <c r="CT271" s="167"/>
      <c r="CU271" s="167"/>
      <c r="CV271" s="156">
        <v>9.0</v>
      </c>
      <c r="CW271" s="156">
        <v>0.0</v>
      </c>
      <c r="CX271" s="156">
        <v>0.0</v>
      </c>
      <c r="CY271" s="156">
        <v>0.0</v>
      </c>
      <c r="CZ271" s="156">
        <v>0.0</v>
      </c>
      <c r="DA271" s="156">
        <v>0.0</v>
      </c>
      <c r="DB271" s="174">
        <v>0.0</v>
      </c>
      <c r="DC271" s="174">
        <v>1.0</v>
      </c>
      <c r="DD271" s="174">
        <v>0.0</v>
      </c>
      <c r="DE271" s="174">
        <v>1.0</v>
      </c>
      <c r="DF271" s="174">
        <v>0.0</v>
      </c>
      <c r="DG271" s="174">
        <v>1.0</v>
      </c>
      <c r="DH271" s="174">
        <v>0.0</v>
      </c>
      <c r="DI271" s="174">
        <v>0.0</v>
      </c>
      <c r="DJ271" s="174">
        <v>1.0</v>
      </c>
      <c r="DK271" s="174">
        <v>0.0</v>
      </c>
      <c r="DL271" s="174">
        <v>1.0</v>
      </c>
      <c r="DM271" s="174">
        <v>0.0</v>
      </c>
      <c r="DN271" s="174"/>
      <c r="DO271" s="174">
        <v>0.0</v>
      </c>
      <c r="DP271" s="174">
        <v>0.0</v>
      </c>
      <c r="DQ271" s="174">
        <v>1.0</v>
      </c>
      <c r="DR271" s="174"/>
      <c r="DS271" s="174"/>
      <c r="DT271" s="174"/>
      <c r="DU271" s="174">
        <v>1.0</v>
      </c>
      <c r="DV271" s="174">
        <v>0.0</v>
      </c>
      <c r="DW271" s="174">
        <v>0.0</v>
      </c>
      <c r="DX271" s="174">
        <v>1.0</v>
      </c>
      <c r="DY271" s="174">
        <v>0.0</v>
      </c>
      <c r="DZ271" s="174">
        <v>1.0</v>
      </c>
      <c r="EA271" s="174"/>
      <c r="EB271" s="174"/>
      <c r="EC271" s="174"/>
      <c r="ED271" s="174"/>
      <c r="EE271" s="174"/>
      <c r="EF271" s="174"/>
      <c r="EG271" s="156">
        <v>0.0</v>
      </c>
      <c r="EH271" s="156">
        <v>0.0</v>
      </c>
      <c r="EI271" s="156">
        <v>0.0</v>
      </c>
      <c r="EJ271" s="156">
        <v>0.0</v>
      </c>
      <c r="EK271" s="156">
        <v>0.0</v>
      </c>
      <c r="EL271" s="156">
        <v>0.0</v>
      </c>
      <c r="FQ271" s="156">
        <v>0.0</v>
      </c>
      <c r="FR271" s="156">
        <v>0.0</v>
      </c>
      <c r="FS271" s="156">
        <v>0.0</v>
      </c>
      <c r="FT271" s="156">
        <v>0.0</v>
      </c>
      <c r="FU271" s="156">
        <v>0.0</v>
      </c>
      <c r="FV271" s="156">
        <v>0.0</v>
      </c>
      <c r="FW271" s="157"/>
      <c r="FX271" s="157"/>
      <c r="FY271" s="157"/>
      <c r="FZ271" s="157"/>
      <c r="GA271" s="157"/>
      <c r="GB271" s="157"/>
      <c r="GC271" s="157"/>
      <c r="GD271" s="157"/>
      <c r="GE271" s="157"/>
      <c r="GF271" s="157"/>
      <c r="GG271" s="157"/>
      <c r="GH271" s="157"/>
      <c r="GI271" s="157"/>
      <c r="GJ271" s="157"/>
      <c r="GK271" s="157"/>
      <c r="GL271" s="157"/>
      <c r="GM271" s="157"/>
      <c r="GN271" s="157"/>
      <c r="GO271" s="157"/>
      <c r="GP271" s="158"/>
      <c r="GQ271" s="157"/>
      <c r="GR271" s="157"/>
      <c r="GS271" s="157"/>
      <c r="GT271" s="157"/>
      <c r="GU271" s="157"/>
      <c r="GV271" s="157"/>
      <c r="GW271" s="157"/>
      <c r="GX271" s="157"/>
      <c r="GY271" s="157"/>
      <c r="GZ271" s="157"/>
      <c r="HA271" s="157"/>
      <c r="HB271" s="155">
        <v>0.0</v>
      </c>
      <c r="HC271" s="155">
        <v>0.0</v>
      </c>
      <c r="HD271" s="155">
        <v>0.0</v>
      </c>
      <c r="HE271" s="155">
        <v>0.0</v>
      </c>
      <c r="HF271" s="155">
        <v>0.0</v>
      </c>
      <c r="HG271" s="155">
        <v>0.0</v>
      </c>
      <c r="IL271" s="159">
        <v>0.0</v>
      </c>
      <c r="IM271" s="156">
        <v>0.0</v>
      </c>
      <c r="IN271" s="156">
        <v>0.0</v>
      </c>
      <c r="IO271" s="156">
        <v>0.0</v>
      </c>
      <c r="IP271" s="156">
        <v>0.0</v>
      </c>
      <c r="IQ271" s="160">
        <v>0.0</v>
      </c>
      <c r="JH271" s="25"/>
      <c r="JW271" s="159">
        <v>0.0</v>
      </c>
      <c r="JX271" s="156">
        <v>0.0</v>
      </c>
      <c r="JY271" s="156">
        <v>0.0</v>
      </c>
      <c r="JZ271" s="156">
        <v>0.0</v>
      </c>
      <c r="KA271" s="156">
        <v>0.0</v>
      </c>
      <c r="KB271" s="160">
        <v>0.0</v>
      </c>
      <c r="LH271" s="159">
        <f t="shared" si="10"/>
        <v>0</v>
      </c>
      <c r="LI271" s="156">
        <f t="shared" si="11"/>
        <v>0</v>
      </c>
      <c r="LJ271" s="156">
        <f t="shared" si="12"/>
        <v>0</v>
      </c>
      <c r="LK271" s="156">
        <f t="shared" si="13"/>
        <v>0</v>
      </c>
      <c r="LL271" s="156">
        <f t="shared" si="14"/>
        <v>0</v>
      </c>
      <c r="LM271" s="160">
        <f t="shared" si="15"/>
        <v>0</v>
      </c>
      <c r="QX271" s="107">
        <v>45894.0</v>
      </c>
    </row>
    <row r="272">
      <c r="A272" s="12"/>
      <c r="B272" s="12"/>
      <c r="C272" s="12"/>
      <c r="D272" s="12"/>
      <c r="E272" s="12"/>
      <c r="F272" s="12"/>
      <c r="G272" s="12"/>
      <c r="H272" s="12"/>
      <c r="I272" s="143">
        <f t="shared" si="5"/>
        <v>-17</v>
      </c>
      <c r="J272" s="144">
        <v>45909.0</v>
      </c>
      <c r="K272" s="173" t="s">
        <v>61</v>
      </c>
      <c r="L272" s="146"/>
      <c r="M272" s="442" t="s">
        <v>107</v>
      </c>
      <c r="N272" s="443">
        <v>357.0</v>
      </c>
      <c r="O272" s="443">
        <v>45.0</v>
      </c>
      <c r="P272" s="444"/>
      <c r="Q272" s="444"/>
      <c r="R272" s="444"/>
      <c r="S272" s="444"/>
      <c r="T272" s="444"/>
      <c r="U272" s="442" t="s">
        <v>2829</v>
      </c>
      <c r="V272" s="445" t="s">
        <v>2868</v>
      </c>
      <c r="W272" s="446" t="s">
        <v>2869</v>
      </c>
      <c r="X272" s="181">
        <v>17.0</v>
      </c>
      <c r="Y272" s="166">
        <f t="shared" si="6"/>
        <v>17</v>
      </c>
      <c r="Z272" s="26">
        <f t="shared" si="7"/>
        <v>0</v>
      </c>
      <c r="AA272" s="26">
        <f t="shared" si="8"/>
        <v>0</v>
      </c>
      <c r="AB272" s="26">
        <f t="shared" si="9"/>
        <v>0</v>
      </c>
      <c r="AC272" s="155">
        <v>0.0</v>
      </c>
      <c r="AD272" s="155">
        <v>0.0</v>
      </c>
      <c r="AE272" s="155">
        <v>0.0</v>
      </c>
      <c r="AF272" s="155">
        <v>0.0</v>
      </c>
      <c r="AG272" s="155">
        <v>0.0</v>
      </c>
      <c r="AH272" s="155">
        <v>0.0</v>
      </c>
      <c r="BN272" s="155">
        <v>0.0</v>
      </c>
      <c r="BO272" s="155">
        <v>0.0</v>
      </c>
      <c r="BP272" s="155">
        <v>0.0</v>
      </c>
      <c r="BQ272" s="155">
        <v>0.0</v>
      </c>
      <c r="BR272" s="155">
        <v>0.0</v>
      </c>
      <c r="BS272" s="155">
        <v>0.0</v>
      </c>
      <c r="CV272" s="156">
        <v>0.0</v>
      </c>
      <c r="CW272" s="156">
        <v>0.0</v>
      </c>
      <c r="CX272" s="156">
        <v>0.0</v>
      </c>
      <c r="CY272" s="156">
        <v>0.0</v>
      </c>
      <c r="CZ272" s="156">
        <v>0.0</v>
      </c>
      <c r="DA272" s="156">
        <v>0.0</v>
      </c>
      <c r="EG272" s="156">
        <v>0.0</v>
      </c>
      <c r="EH272" s="156">
        <v>0.0</v>
      </c>
      <c r="EI272" s="156">
        <v>0.0</v>
      </c>
      <c r="EJ272" s="156">
        <v>0.0</v>
      </c>
      <c r="EK272" s="156">
        <v>0.0</v>
      </c>
      <c r="EL272" s="156">
        <v>0.0</v>
      </c>
      <c r="FQ272" s="156">
        <v>0.0</v>
      </c>
      <c r="FR272" s="156">
        <v>0.0</v>
      </c>
      <c r="FS272" s="156">
        <v>0.0</v>
      </c>
      <c r="FT272" s="156">
        <v>0.0</v>
      </c>
      <c r="FU272" s="156">
        <v>0.0</v>
      </c>
      <c r="FV272" s="156">
        <v>0.0</v>
      </c>
      <c r="FW272" s="157"/>
      <c r="FX272" s="157"/>
      <c r="FY272" s="157"/>
      <c r="FZ272" s="157"/>
      <c r="GA272" s="157"/>
      <c r="GB272" s="157"/>
      <c r="GC272" s="157"/>
      <c r="GD272" s="157"/>
      <c r="GE272" s="157"/>
      <c r="GF272" s="157"/>
      <c r="GG272" s="157"/>
      <c r="GH272" s="157"/>
      <c r="GI272" s="157"/>
      <c r="GJ272" s="157"/>
      <c r="GK272" s="157"/>
      <c r="GL272" s="157"/>
      <c r="GM272" s="157"/>
      <c r="GN272" s="157"/>
      <c r="GO272" s="157"/>
      <c r="GP272" s="158"/>
      <c r="GQ272" s="157"/>
      <c r="GR272" s="157"/>
      <c r="GS272" s="157"/>
      <c r="GT272" s="157"/>
      <c r="GU272" s="157"/>
      <c r="GV272" s="157"/>
      <c r="GW272" s="157"/>
      <c r="GX272" s="157"/>
      <c r="GY272" s="157"/>
      <c r="GZ272" s="157"/>
      <c r="HA272" s="157"/>
      <c r="HB272" s="155">
        <v>0.0</v>
      </c>
      <c r="HC272" s="155">
        <v>0.0</v>
      </c>
      <c r="HD272" s="155">
        <v>0.0</v>
      </c>
      <c r="HE272" s="155">
        <v>0.0</v>
      </c>
      <c r="HF272" s="155">
        <v>0.0</v>
      </c>
      <c r="HG272" s="155">
        <v>0.0</v>
      </c>
      <c r="IL272" s="159">
        <v>0.0</v>
      </c>
      <c r="IM272" s="156">
        <v>0.0</v>
      </c>
      <c r="IN272" s="156">
        <v>0.0</v>
      </c>
      <c r="IO272" s="156">
        <v>0.0</v>
      </c>
      <c r="IP272" s="156">
        <v>0.0</v>
      </c>
      <c r="IQ272" s="160">
        <v>0.0</v>
      </c>
      <c r="JH272" s="25"/>
      <c r="JW272" s="159">
        <v>0.0</v>
      </c>
      <c r="JX272" s="156">
        <v>0.0</v>
      </c>
      <c r="JY272" s="156">
        <v>0.0</v>
      </c>
      <c r="JZ272" s="156">
        <v>0.0</v>
      </c>
      <c r="KA272" s="156">
        <v>0.0</v>
      </c>
      <c r="KB272" s="160">
        <v>0.0</v>
      </c>
      <c r="LH272" s="159">
        <f t="shared" si="10"/>
        <v>0</v>
      </c>
      <c r="LI272" s="156">
        <f t="shared" si="11"/>
        <v>0</v>
      </c>
      <c r="LJ272" s="156">
        <f t="shared" si="12"/>
        <v>0</v>
      </c>
      <c r="LK272" s="156">
        <f t="shared" si="13"/>
        <v>0</v>
      </c>
      <c r="LL272" s="156">
        <f t="shared" si="14"/>
        <v>0</v>
      </c>
      <c r="LM272" s="160">
        <f t="shared" si="15"/>
        <v>0</v>
      </c>
      <c r="QX272" s="107">
        <v>45894.0</v>
      </c>
    </row>
    <row r="273">
      <c r="A273" s="12"/>
      <c r="B273" s="12"/>
      <c r="C273" s="12"/>
      <c r="D273" s="12"/>
      <c r="E273" s="12"/>
      <c r="F273" s="12"/>
      <c r="G273" s="12"/>
      <c r="H273" s="12"/>
      <c r="I273" s="143">
        <f t="shared" si="5"/>
        <v>-20</v>
      </c>
      <c r="J273" s="144">
        <v>45896.0</v>
      </c>
      <c r="K273" s="195" t="s">
        <v>61</v>
      </c>
      <c r="L273" s="144">
        <v>45954.0</v>
      </c>
      <c r="M273" s="147" t="s">
        <v>2871</v>
      </c>
      <c r="N273" s="148">
        <v>246.0</v>
      </c>
      <c r="O273" s="148">
        <v>30.0</v>
      </c>
      <c r="P273" s="26"/>
      <c r="Q273" s="26"/>
      <c r="R273" s="26"/>
      <c r="S273" s="26"/>
      <c r="T273" s="26"/>
      <c r="U273" s="147" t="s">
        <v>2784</v>
      </c>
      <c r="V273" s="197"/>
      <c r="W273" s="198" t="s">
        <v>2872</v>
      </c>
      <c r="X273" s="181">
        <v>20.0</v>
      </c>
      <c r="Y273" s="166">
        <f t="shared" si="6"/>
        <v>20</v>
      </c>
      <c r="Z273" s="26">
        <f t="shared" si="7"/>
        <v>0</v>
      </c>
      <c r="AA273" s="26">
        <f t="shared" si="8"/>
        <v>0</v>
      </c>
      <c r="AB273" s="26">
        <f t="shared" si="9"/>
        <v>0</v>
      </c>
      <c r="AC273" s="155">
        <v>0.0</v>
      </c>
      <c r="AD273" s="155">
        <v>0.0</v>
      </c>
      <c r="AE273" s="155">
        <v>0.0</v>
      </c>
      <c r="AF273" s="155">
        <v>0.0</v>
      </c>
      <c r="AG273" s="155">
        <v>0.0</v>
      </c>
      <c r="AH273" s="155">
        <v>0.0</v>
      </c>
      <c r="BN273" s="155">
        <v>0.0</v>
      </c>
      <c r="BO273" s="155">
        <v>0.0</v>
      </c>
      <c r="BP273" s="155">
        <v>0.0</v>
      </c>
      <c r="BQ273" s="155">
        <v>0.0</v>
      </c>
      <c r="BR273" s="155">
        <v>0.0</v>
      </c>
      <c r="BS273" s="155">
        <v>0.0</v>
      </c>
      <c r="CV273" s="156">
        <v>0.0</v>
      </c>
      <c r="CW273" s="156">
        <v>0.0</v>
      </c>
      <c r="CX273" s="156">
        <v>0.0</v>
      </c>
      <c r="CY273" s="156">
        <v>0.0</v>
      </c>
      <c r="CZ273" s="156">
        <v>0.0</v>
      </c>
      <c r="DA273" s="156">
        <v>0.0</v>
      </c>
      <c r="EG273" s="156">
        <v>0.0</v>
      </c>
      <c r="EH273" s="156">
        <v>0.0</v>
      </c>
      <c r="EI273" s="156">
        <v>0.0</v>
      </c>
      <c r="EJ273" s="156">
        <v>0.0</v>
      </c>
      <c r="EK273" s="156">
        <v>0.0</v>
      </c>
      <c r="EL273" s="156">
        <v>0.0</v>
      </c>
      <c r="FQ273" s="156">
        <v>0.0</v>
      </c>
      <c r="FR273" s="156">
        <v>0.0</v>
      </c>
      <c r="FS273" s="156">
        <v>0.0</v>
      </c>
      <c r="FT273" s="156">
        <v>0.0</v>
      </c>
      <c r="FU273" s="156">
        <v>0.0</v>
      </c>
      <c r="FV273" s="156">
        <v>0.0</v>
      </c>
      <c r="FW273" s="157"/>
      <c r="FX273" s="157"/>
      <c r="FY273" s="157"/>
      <c r="FZ273" s="157"/>
      <c r="GA273" s="157"/>
      <c r="GB273" s="157"/>
      <c r="GC273" s="157"/>
      <c r="GD273" s="157"/>
      <c r="GE273" s="157"/>
      <c r="GF273" s="157"/>
      <c r="GG273" s="157"/>
      <c r="GH273" s="157"/>
      <c r="GI273" s="157"/>
      <c r="GJ273" s="157"/>
      <c r="GK273" s="157"/>
      <c r="GL273" s="157"/>
      <c r="GM273" s="157"/>
      <c r="GN273" s="157"/>
      <c r="GO273" s="157"/>
      <c r="GP273" s="158"/>
      <c r="GQ273" s="157"/>
      <c r="GR273" s="157"/>
      <c r="GS273" s="157"/>
      <c r="GT273" s="157"/>
      <c r="GU273" s="157"/>
      <c r="GV273" s="157"/>
      <c r="GW273" s="157"/>
      <c r="GX273" s="157"/>
      <c r="GY273" s="157"/>
      <c r="GZ273" s="157"/>
      <c r="HA273" s="157"/>
      <c r="HB273" s="155">
        <v>0.0</v>
      </c>
      <c r="HC273" s="155">
        <v>0.0</v>
      </c>
      <c r="HD273" s="155">
        <v>0.0</v>
      </c>
      <c r="HE273" s="155">
        <v>0.0</v>
      </c>
      <c r="HF273" s="155">
        <v>0.0</v>
      </c>
      <c r="HG273" s="155">
        <v>0.0</v>
      </c>
      <c r="IL273" s="159">
        <v>0.0</v>
      </c>
      <c r="IM273" s="156">
        <v>0.0</v>
      </c>
      <c r="IN273" s="156">
        <v>0.0</v>
      </c>
      <c r="IO273" s="156">
        <v>0.0</v>
      </c>
      <c r="IP273" s="156">
        <v>0.0</v>
      </c>
      <c r="IQ273" s="160">
        <v>0.0</v>
      </c>
      <c r="JH273" s="25"/>
      <c r="JW273" s="159">
        <v>0.0</v>
      </c>
      <c r="JX273" s="156">
        <v>0.0</v>
      </c>
      <c r="JY273" s="156">
        <v>0.0</v>
      </c>
      <c r="JZ273" s="156">
        <v>0.0</v>
      </c>
      <c r="KA273" s="156">
        <v>0.0</v>
      </c>
      <c r="KB273" s="160">
        <v>0.0</v>
      </c>
      <c r="LH273" s="159">
        <f t="shared" si="10"/>
        <v>0</v>
      </c>
      <c r="LI273" s="156">
        <f t="shared" si="11"/>
        <v>0</v>
      </c>
      <c r="LJ273" s="156">
        <f t="shared" si="12"/>
        <v>0</v>
      </c>
      <c r="LK273" s="156">
        <f t="shared" si="13"/>
        <v>0</v>
      </c>
      <c r="LL273" s="156">
        <f t="shared" si="14"/>
        <v>0</v>
      </c>
      <c r="LM273" s="160">
        <f t="shared" si="15"/>
        <v>0</v>
      </c>
      <c r="QX273" s="107">
        <v>45896.0</v>
      </c>
    </row>
    <row r="274">
      <c r="A274" s="12"/>
      <c r="B274" s="12"/>
      <c r="C274" s="12"/>
      <c r="D274" s="12"/>
      <c r="E274" s="12"/>
      <c r="F274" s="12"/>
      <c r="G274" s="12"/>
      <c r="H274" s="12"/>
      <c r="I274" s="143">
        <f t="shared" si="5"/>
        <v>-30</v>
      </c>
      <c r="J274" s="144">
        <v>45898.0</v>
      </c>
      <c r="K274" s="173" t="s">
        <v>61</v>
      </c>
      <c r="L274" s="144">
        <v>45991.0</v>
      </c>
      <c r="M274" s="147" t="s">
        <v>2875</v>
      </c>
      <c r="N274" s="148">
        <v>246.0</v>
      </c>
      <c r="O274" s="148">
        <v>30.0</v>
      </c>
      <c r="P274" s="26"/>
      <c r="Q274" s="26"/>
      <c r="R274" s="26"/>
      <c r="S274" s="26"/>
      <c r="T274" s="26"/>
      <c r="U274" s="147" t="s">
        <v>731</v>
      </c>
      <c r="V274" s="149" t="s">
        <v>732</v>
      </c>
      <c r="W274" s="198" t="s">
        <v>2876</v>
      </c>
      <c r="X274" s="181">
        <v>30.0</v>
      </c>
      <c r="Y274" s="166">
        <f t="shared" si="6"/>
        <v>30</v>
      </c>
      <c r="Z274" s="26">
        <f t="shared" si="7"/>
        <v>0</v>
      </c>
      <c r="AA274" s="26">
        <f t="shared" si="8"/>
        <v>0</v>
      </c>
      <c r="AB274" s="26">
        <f t="shared" si="9"/>
        <v>0</v>
      </c>
      <c r="AC274" s="155">
        <v>0.0</v>
      </c>
      <c r="AD274" s="155">
        <v>0.0</v>
      </c>
      <c r="AE274" s="155">
        <v>0.0</v>
      </c>
      <c r="AF274" s="155">
        <v>0.0</v>
      </c>
      <c r="AG274" s="155">
        <v>0.0</v>
      </c>
      <c r="AH274" s="155">
        <v>0.0</v>
      </c>
      <c r="BN274" s="155">
        <v>0.0</v>
      </c>
      <c r="BO274" s="155">
        <v>0.0</v>
      </c>
      <c r="BP274" s="155">
        <v>0.0</v>
      </c>
      <c r="BQ274" s="155">
        <v>0.0</v>
      </c>
      <c r="BR274" s="155">
        <v>0.0</v>
      </c>
      <c r="BS274" s="155">
        <v>0.0</v>
      </c>
      <c r="CV274" s="156">
        <v>0.0</v>
      </c>
      <c r="CW274" s="156">
        <v>0.0</v>
      </c>
      <c r="CX274" s="156">
        <v>0.0</v>
      </c>
      <c r="CY274" s="156">
        <v>0.0</v>
      </c>
      <c r="CZ274" s="156">
        <v>0.0</v>
      </c>
      <c r="DA274" s="156">
        <v>0.0</v>
      </c>
      <c r="EG274" s="156">
        <v>0.0</v>
      </c>
      <c r="EH274" s="156">
        <v>0.0</v>
      </c>
      <c r="EI274" s="156">
        <v>0.0</v>
      </c>
      <c r="EJ274" s="156">
        <v>0.0</v>
      </c>
      <c r="EK274" s="156">
        <v>0.0</v>
      </c>
      <c r="EL274" s="156">
        <v>0.0</v>
      </c>
      <c r="FQ274" s="156">
        <v>0.0</v>
      </c>
      <c r="FR274" s="156">
        <v>0.0</v>
      </c>
      <c r="FS274" s="156">
        <v>0.0</v>
      </c>
      <c r="FT274" s="156">
        <v>0.0</v>
      </c>
      <c r="FU274" s="156">
        <v>0.0</v>
      </c>
      <c r="FV274" s="156">
        <v>0.0</v>
      </c>
      <c r="FW274" s="157"/>
      <c r="FX274" s="157"/>
      <c r="FY274" s="157"/>
      <c r="FZ274" s="157"/>
      <c r="GA274" s="157"/>
      <c r="GB274" s="157"/>
      <c r="GC274" s="157"/>
      <c r="GD274" s="157"/>
      <c r="GE274" s="157"/>
      <c r="GF274" s="157"/>
      <c r="GG274" s="157"/>
      <c r="GH274" s="157"/>
      <c r="GI274" s="157"/>
      <c r="GJ274" s="157"/>
      <c r="GK274" s="157"/>
      <c r="GL274" s="157"/>
      <c r="GM274" s="157"/>
      <c r="GN274" s="157"/>
      <c r="GO274" s="157"/>
      <c r="GP274" s="158"/>
      <c r="GQ274" s="157"/>
      <c r="GR274" s="157"/>
      <c r="GS274" s="157"/>
      <c r="GT274" s="157"/>
      <c r="GU274" s="157"/>
      <c r="GV274" s="157"/>
      <c r="GW274" s="157"/>
      <c r="GX274" s="157"/>
      <c r="GY274" s="157"/>
      <c r="GZ274" s="157"/>
      <c r="HA274" s="157"/>
      <c r="HB274" s="155">
        <v>0.0</v>
      </c>
      <c r="HC274" s="155">
        <v>0.0</v>
      </c>
      <c r="HD274" s="155">
        <v>0.0</v>
      </c>
      <c r="HE274" s="155">
        <v>0.0</v>
      </c>
      <c r="HF274" s="155">
        <v>0.0</v>
      </c>
      <c r="HG274" s="155">
        <v>0.0</v>
      </c>
      <c r="IL274" s="159">
        <v>0.0</v>
      </c>
      <c r="IM274" s="156">
        <v>0.0</v>
      </c>
      <c r="IN274" s="156">
        <v>0.0</v>
      </c>
      <c r="IO274" s="156">
        <v>0.0</v>
      </c>
      <c r="IP274" s="156">
        <v>0.0</v>
      </c>
      <c r="IQ274" s="160">
        <v>0.0</v>
      </c>
      <c r="JH274" s="25"/>
      <c r="JW274" s="159">
        <v>0.0</v>
      </c>
      <c r="JX274" s="156">
        <v>0.0</v>
      </c>
      <c r="JY274" s="156">
        <v>0.0</v>
      </c>
      <c r="JZ274" s="156">
        <v>0.0</v>
      </c>
      <c r="KA274" s="156">
        <v>0.0</v>
      </c>
      <c r="KB274" s="160">
        <v>0.0</v>
      </c>
      <c r="LH274" s="159">
        <f t="shared" si="10"/>
        <v>0</v>
      </c>
      <c r="LI274" s="156">
        <f t="shared" si="11"/>
        <v>0</v>
      </c>
      <c r="LJ274" s="156">
        <f t="shared" si="12"/>
        <v>0</v>
      </c>
      <c r="LK274" s="156">
        <f t="shared" si="13"/>
        <v>0</v>
      </c>
      <c r="LL274" s="156">
        <f t="shared" si="14"/>
        <v>0</v>
      </c>
      <c r="LM274" s="160">
        <f t="shared" si="15"/>
        <v>0</v>
      </c>
      <c r="QX274" s="107">
        <v>45896.0</v>
      </c>
    </row>
    <row r="275">
      <c r="A275" s="12"/>
      <c r="B275" s="12"/>
      <c r="C275" s="12"/>
      <c r="D275" s="12"/>
      <c r="E275" s="12"/>
      <c r="F275" s="12"/>
      <c r="G275" s="12"/>
      <c r="H275" s="12"/>
      <c r="I275" s="143">
        <f t="shared" si="5"/>
        <v>-30</v>
      </c>
      <c r="J275" s="144">
        <v>45899.0</v>
      </c>
      <c r="K275" s="173" t="s">
        <v>61</v>
      </c>
      <c r="L275" s="144">
        <v>45978.0</v>
      </c>
      <c r="M275" s="147" t="s">
        <v>2877</v>
      </c>
      <c r="N275" s="148">
        <v>357.0</v>
      </c>
      <c r="O275" s="148">
        <v>30.0</v>
      </c>
      <c r="P275" s="26"/>
      <c r="Q275" s="26"/>
      <c r="R275" s="26"/>
      <c r="S275" s="26"/>
      <c r="T275" s="26"/>
      <c r="U275" s="147" t="s">
        <v>731</v>
      </c>
      <c r="V275" s="149" t="s">
        <v>732</v>
      </c>
      <c r="W275" s="198" t="s">
        <v>2879</v>
      </c>
      <c r="X275" s="181">
        <v>30.0</v>
      </c>
      <c r="Y275" s="166">
        <f t="shared" si="6"/>
        <v>30</v>
      </c>
      <c r="Z275" s="26">
        <f t="shared" si="7"/>
        <v>0</v>
      </c>
      <c r="AA275" s="26">
        <f t="shared" si="8"/>
        <v>0</v>
      </c>
      <c r="AB275" s="26">
        <f t="shared" si="9"/>
        <v>0</v>
      </c>
      <c r="AC275" s="155">
        <v>0.0</v>
      </c>
      <c r="AD275" s="155">
        <v>0.0</v>
      </c>
      <c r="AE275" s="155">
        <v>0.0</v>
      </c>
      <c r="AF275" s="155">
        <v>0.0</v>
      </c>
      <c r="AG275" s="155">
        <v>0.0</v>
      </c>
      <c r="AH275" s="155">
        <v>0.0</v>
      </c>
      <c r="BN275" s="155">
        <v>0.0</v>
      </c>
      <c r="BO275" s="155">
        <v>0.0</v>
      </c>
      <c r="BP275" s="155">
        <v>0.0</v>
      </c>
      <c r="BQ275" s="155">
        <v>0.0</v>
      </c>
      <c r="BR275" s="155">
        <v>0.0</v>
      </c>
      <c r="BS275" s="155">
        <v>0.0</v>
      </c>
      <c r="CV275" s="156">
        <v>0.0</v>
      </c>
      <c r="CW275" s="156">
        <v>0.0</v>
      </c>
      <c r="CX275" s="156">
        <v>0.0</v>
      </c>
      <c r="CY275" s="156">
        <v>0.0</v>
      </c>
      <c r="CZ275" s="156">
        <v>0.0</v>
      </c>
      <c r="DA275" s="156">
        <v>0.0</v>
      </c>
      <c r="EG275" s="156">
        <v>0.0</v>
      </c>
      <c r="EH275" s="156">
        <v>0.0</v>
      </c>
      <c r="EI275" s="156">
        <v>0.0</v>
      </c>
      <c r="EJ275" s="156">
        <v>0.0</v>
      </c>
      <c r="EK275" s="156">
        <v>0.0</v>
      </c>
      <c r="EL275" s="156">
        <v>0.0</v>
      </c>
      <c r="FQ275" s="156">
        <v>0.0</v>
      </c>
      <c r="FR275" s="156">
        <v>0.0</v>
      </c>
      <c r="FS275" s="156">
        <v>0.0</v>
      </c>
      <c r="FT275" s="156">
        <v>0.0</v>
      </c>
      <c r="FU275" s="156">
        <v>0.0</v>
      </c>
      <c r="FV275" s="156">
        <v>0.0</v>
      </c>
      <c r="FW275" s="157"/>
      <c r="FX275" s="157"/>
      <c r="FY275" s="157"/>
      <c r="FZ275" s="157"/>
      <c r="GA275" s="157"/>
      <c r="GB275" s="157"/>
      <c r="GC275" s="157"/>
      <c r="GD275" s="157"/>
      <c r="GE275" s="157"/>
      <c r="GF275" s="157"/>
      <c r="GG275" s="157"/>
      <c r="GH275" s="157"/>
      <c r="GI275" s="157"/>
      <c r="GJ275" s="157"/>
      <c r="GK275" s="157"/>
      <c r="GL275" s="157"/>
      <c r="GM275" s="157"/>
      <c r="GN275" s="157"/>
      <c r="GO275" s="157"/>
      <c r="GP275" s="158"/>
      <c r="GQ275" s="157"/>
      <c r="GR275" s="157"/>
      <c r="GS275" s="157"/>
      <c r="GT275" s="157"/>
      <c r="GU275" s="157"/>
      <c r="GV275" s="157"/>
      <c r="GW275" s="157"/>
      <c r="GX275" s="157"/>
      <c r="GY275" s="157"/>
      <c r="GZ275" s="157"/>
      <c r="HA275" s="157"/>
      <c r="HB275" s="155">
        <v>0.0</v>
      </c>
      <c r="HC275" s="155">
        <v>0.0</v>
      </c>
      <c r="HD275" s="155">
        <v>0.0</v>
      </c>
      <c r="HE275" s="155">
        <v>0.0</v>
      </c>
      <c r="HF275" s="155">
        <v>0.0</v>
      </c>
      <c r="HG275" s="155">
        <v>0.0</v>
      </c>
      <c r="IL275" s="159">
        <v>0.0</v>
      </c>
      <c r="IM275" s="156">
        <v>0.0</v>
      </c>
      <c r="IN275" s="156">
        <v>0.0</v>
      </c>
      <c r="IO275" s="156">
        <v>0.0</v>
      </c>
      <c r="IP275" s="156">
        <v>0.0</v>
      </c>
      <c r="IQ275" s="160">
        <v>0.0</v>
      </c>
      <c r="JH275" s="25"/>
      <c r="JW275" s="159">
        <v>0.0</v>
      </c>
      <c r="JX275" s="156">
        <v>0.0</v>
      </c>
      <c r="JY275" s="156">
        <v>0.0</v>
      </c>
      <c r="JZ275" s="156">
        <v>0.0</v>
      </c>
      <c r="KA275" s="156">
        <v>0.0</v>
      </c>
      <c r="KB275" s="160">
        <v>0.0</v>
      </c>
      <c r="LH275" s="159">
        <f t="shared" si="10"/>
        <v>0</v>
      </c>
      <c r="LI275" s="156">
        <f t="shared" si="11"/>
        <v>0</v>
      </c>
      <c r="LJ275" s="156">
        <f t="shared" si="12"/>
        <v>0</v>
      </c>
      <c r="LK275" s="156">
        <f t="shared" si="13"/>
        <v>0</v>
      </c>
      <c r="LL275" s="156">
        <f t="shared" si="14"/>
        <v>0</v>
      </c>
      <c r="LM275" s="160">
        <f t="shared" si="15"/>
        <v>0</v>
      </c>
      <c r="QX275" s="107">
        <v>45896.0</v>
      </c>
    </row>
    <row r="276">
      <c r="A276" s="12"/>
      <c r="B276" s="12"/>
      <c r="C276" s="12"/>
      <c r="D276" s="12"/>
      <c r="E276" s="12"/>
      <c r="F276" s="12"/>
      <c r="G276" s="12"/>
      <c r="H276" s="12"/>
      <c r="I276" s="143">
        <f t="shared" si="5"/>
        <v>-17</v>
      </c>
      <c r="J276" s="144">
        <v>45909.0</v>
      </c>
      <c r="K276" s="173" t="s">
        <v>61</v>
      </c>
      <c r="L276" s="146"/>
      <c r="M276" s="442" t="s">
        <v>107</v>
      </c>
      <c r="N276" s="443">
        <v>357.0</v>
      </c>
      <c r="O276" s="443">
        <v>45.0</v>
      </c>
      <c r="P276" s="444"/>
      <c r="Q276" s="444"/>
      <c r="R276" s="444"/>
      <c r="S276" s="444"/>
      <c r="T276" s="444"/>
      <c r="U276" s="442" t="s">
        <v>2829</v>
      </c>
      <c r="V276" s="445" t="s">
        <v>2868</v>
      </c>
      <c r="W276" s="446" t="s">
        <v>2869</v>
      </c>
      <c r="X276" s="181">
        <v>17.0</v>
      </c>
      <c r="Y276" s="166">
        <f t="shared" si="6"/>
        <v>17</v>
      </c>
      <c r="Z276" s="26">
        <f t="shared" si="7"/>
        <v>0</v>
      </c>
      <c r="AA276" s="26">
        <f t="shared" si="8"/>
        <v>0</v>
      </c>
      <c r="AB276" s="26">
        <f t="shared" si="9"/>
        <v>0</v>
      </c>
      <c r="AC276" s="155">
        <v>0.0</v>
      </c>
      <c r="AD276" s="155">
        <v>0.0</v>
      </c>
      <c r="AE276" s="155">
        <v>0.0</v>
      </c>
      <c r="AF276" s="155">
        <v>0.0</v>
      </c>
      <c r="AG276" s="155">
        <v>0.0</v>
      </c>
      <c r="AH276" s="155">
        <v>0.0</v>
      </c>
      <c r="BN276" s="155">
        <v>0.0</v>
      </c>
      <c r="BO276" s="155">
        <v>0.0</v>
      </c>
      <c r="BP276" s="155">
        <v>0.0</v>
      </c>
      <c r="BQ276" s="155">
        <v>0.0</v>
      </c>
      <c r="BR276" s="155">
        <v>0.0</v>
      </c>
      <c r="BS276" s="155">
        <v>0.0</v>
      </c>
      <c r="CV276" s="156">
        <v>0.0</v>
      </c>
      <c r="CW276" s="156">
        <v>0.0</v>
      </c>
      <c r="CX276" s="156">
        <v>0.0</v>
      </c>
      <c r="CY276" s="156">
        <v>0.0</v>
      </c>
      <c r="CZ276" s="156">
        <v>0.0</v>
      </c>
      <c r="DA276" s="156">
        <v>0.0</v>
      </c>
      <c r="EG276" s="156">
        <v>0.0</v>
      </c>
      <c r="EH276" s="156">
        <v>0.0</v>
      </c>
      <c r="EI276" s="156">
        <v>0.0</v>
      </c>
      <c r="EJ276" s="156">
        <v>0.0</v>
      </c>
      <c r="EK276" s="156">
        <v>0.0</v>
      </c>
      <c r="EL276" s="156">
        <v>0.0</v>
      </c>
      <c r="FQ276" s="156">
        <v>0.0</v>
      </c>
      <c r="FR276" s="156">
        <v>0.0</v>
      </c>
      <c r="FS276" s="156">
        <v>0.0</v>
      </c>
      <c r="FT276" s="156">
        <v>0.0</v>
      </c>
      <c r="FU276" s="156">
        <v>0.0</v>
      </c>
      <c r="FV276" s="156">
        <v>0.0</v>
      </c>
      <c r="FW276" s="157"/>
      <c r="FX276" s="157"/>
      <c r="FY276" s="157"/>
      <c r="FZ276" s="157"/>
      <c r="GA276" s="157"/>
      <c r="GB276" s="157"/>
      <c r="GC276" s="157"/>
      <c r="GD276" s="157"/>
      <c r="GE276" s="157"/>
      <c r="GF276" s="157"/>
      <c r="GG276" s="157"/>
      <c r="GH276" s="157"/>
      <c r="GI276" s="157"/>
      <c r="GJ276" s="157"/>
      <c r="GK276" s="157"/>
      <c r="GL276" s="157"/>
      <c r="GM276" s="157"/>
      <c r="GN276" s="157"/>
      <c r="GO276" s="157"/>
      <c r="GP276" s="158"/>
      <c r="GQ276" s="157"/>
      <c r="GR276" s="157"/>
      <c r="GS276" s="157"/>
      <c r="GT276" s="157"/>
      <c r="GU276" s="157"/>
      <c r="GV276" s="157"/>
      <c r="GW276" s="157"/>
      <c r="GX276" s="157"/>
      <c r="GY276" s="157"/>
      <c r="GZ276" s="157"/>
      <c r="HA276" s="157"/>
      <c r="HB276" s="155">
        <v>0.0</v>
      </c>
      <c r="HC276" s="155">
        <v>0.0</v>
      </c>
      <c r="HD276" s="155">
        <v>0.0</v>
      </c>
      <c r="HE276" s="155">
        <v>0.0</v>
      </c>
      <c r="HF276" s="155">
        <v>0.0</v>
      </c>
      <c r="HG276" s="155">
        <v>0.0</v>
      </c>
      <c r="IL276" s="159">
        <v>0.0</v>
      </c>
      <c r="IM276" s="156">
        <v>0.0</v>
      </c>
      <c r="IN276" s="156">
        <v>0.0</v>
      </c>
      <c r="IO276" s="156">
        <v>0.0</v>
      </c>
      <c r="IP276" s="156">
        <v>0.0</v>
      </c>
      <c r="IQ276" s="160">
        <v>0.0</v>
      </c>
      <c r="JH276" s="25"/>
      <c r="JW276" s="159">
        <v>0.0</v>
      </c>
      <c r="JX276" s="156">
        <v>0.0</v>
      </c>
      <c r="JY276" s="156">
        <v>0.0</v>
      </c>
      <c r="JZ276" s="156">
        <v>0.0</v>
      </c>
      <c r="KA276" s="156">
        <v>0.0</v>
      </c>
      <c r="KB276" s="160">
        <v>0.0</v>
      </c>
      <c r="LH276" s="159">
        <f t="shared" si="10"/>
        <v>0</v>
      </c>
      <c r="LI276" s="156">
        <f t="shared" si="11"/>
        <v>0</v>
      </c>
      <c r="LJ276" s="156">
        <f t="shared" si="12"/>
        <v>0</v>
      </c>
      <c r="LK276" s="156">
        <f t="shared" si="13"/>
        <v>0</v>
      </c>
      <c r="LL276" s="156">
        <f t="shared" si="14"/>
        <v>0</v>
      </c>
      <c r="LM276" s="160">
        <f t="shared" si="15"/>
        <v>0</v>
      </c>
      <c r="QX276" s="107">
        <v>45896.0</v>
      </c>
    </row>
    <row r="277">
      <c r="A277" s="25"/>
      <c r="B277" s="25"/>
      <c r="C277" s="25"/>
      <c r="D277" s="25"/>
      <c r="E277" s="25"/>
      <c r="F277" s="25"/>
      <c r="G277" s="25"/>
      <c r="H277" s="25"/>
      <c r="I277" s="143">
        <f t="shared" si="5"/>
        <v>-45</v>
      </c>
      <c r="J277" s="144">
        <v>45898.0</v>
      </c>
      <c r="K277" s="195" t="s">
        <v>61</v>
      </c>
      <c r="L277" s="171">
        <v>46162.0</v>
      </c>
      <c r="M277" s="147" t="s">
        <v>1157</v>
      </c>
      <c r="N277" s="148">
        <v>246.0</v>
      </c>
      <c r="O277" s="148">
        <v>30.0</v>
      </c>
      <c r="P277" s="26"/>
      <c r="Q277" s="26"/>
      <c r="R277" s="26"/>
      <c r="S277" s="26"/>
      <c r="T277" s="26"/>
      <c r="U277" s="147" t="s">
        <v>2519</v>
      </c>
      <c r="V277" s="149" t="s">
        <v>307</v>
      </c>
      <c r="W277" s="150" t="s">
        <v>2880</v>
      </c>
      <c r="X277" s="181">
        <v>25.0</v>
      </c>
      <c r="Y277" s="166">
        <f t="shared" si="6"/>
        <v>45</v>
      </c>
      <c r="Z277" s="26">
        <f t="shared" si="7"/>
        <v>0</v>
      </c>
      <c r="AA277" s="26">
        <f t="shared" si="8"/>
        <v>4</v>
      </c>
      <c r="AB277" s="26">
        <f t="shared" si="9"/>
        <v>0</v>
      </c>
      <c r="AC277" s="155">
        <v>7.0</v>
      </c>
      <c r="AD277" s="155">
        <v>0.0</v>
      </c>
      <c r="AE277" s="155">
        <v>0.0</v>
      </c>
      <c r="AF277" s="155">
        <v>0.0</v>
      </c>
      <c r="AG277" s="155">
        <v>0.0</v>
      </c>
      <c r="AH277" s="155">
        <v>0.0</v>
      </c>
      <c r="AI277" s="167">
        <v>0.0</v>
      </c>
      <c r="AJ277" s="167">
        <v>1.0</v>
      </c>
      <c r="AK277" s="167"/>
      <c r="AL277" s="167"/>
      <c r="AM277" s="167"/>
      <c r="AN277" s="167"/>
      <c r="AO277" s="167">
        <v>1.0</v>
      </c>
      <c r="AP277" s="167">
        <v>0.0</v>
      </c>
      <c r="AQ277" s="167">
        <v>1.0</v>
      </c>
      <c r="AR277" s="167"/>
      <c r="AS277" s="167"/>
      <c r="AT277" s="167"/>
      <c r="AU277" s="167"/>
      <c r="AV277" s="167"/>
      <c r="AW277" s="167"/>
      <c r="AX277" s="167">
        <v>1.0</v>
      </c>
      <c r="AY277" s="167">
        <v>0.0</v>
      </c>
      <c r="AZ277" s="167">
        <v>0.0</v>
      </c>
      <c r="BA277" s="167">
        <v>1.0</v>
      </c>
      <c r="BB277" s="167">
        <v>0.0</v>
      </c>
      <c r="BC277" s="167"/>
      <c r="BD277" s="167">
        <v>0.0</v>
      </c>
      <c r="BE277" s="167">
        <v>1.0</v>
      </c>
      <c r="BF277" s="167">
        <v>0.0</v>
      </c>
      <c r="BG277" s="167">
        <v>0.0</v>
      </c>
      <c r="BH277" s="167">
        <v>1.0</v>
      </c>
      <c r="BI277" s="167"/>
      <c r="BJ277" s="167"/>
      <c r="BK277" s="167"/>
      <c r="BL277" s="167"/>
      <c r="BM277" s="167"/>
      <c r="BN277" s="155">
        <v>4.0</v>
      </c>
      <c r="BO277" s="155">
        <v>0.0</v>
      </c>
      <c r="BP277" s="155">
        <v>0.0</v>
      </c>
      <c r="BQ277" s="155">
        <v>2.0</v>
      </c>
      <c r="BR277" s="155">
        <v>0.0</v>
      </c>
      <c r="BS277" s="155">
        <v>0.0</v>
      </c>
      <c r="BT277" s="167"/>
      <c r="BU277" s="167"/>
      <c r="BV277" s="167"/>
      <c r="BW277" s="167"/>
      <c r="BX277" s="167"/>
      <c r="BY277" s="167"/>
      <c r="BZ277" s="167"/>
      <c r="CA277" s="167"/>
      <c r="CB277" s="167"/>
      <c r="CC277" s="167"/>
      <c r="CD277" s="167">
        <v>1.0</v>
      </c>
      <c r="CE277" s="167">
        <v>0.0</v>
      </c>
      <c r="CF277" s="167">
        <v>1.0</v>
      </c>
      <c r="CG277" s="167"/>
      <c r="CH277" s="167"/>
      <c r="CI277" s="167"/>
      <c r="CJ277" s="167"/>
      <c r="CK277" s="167"/>
      <c r="CL277" s="167"/>
      <c r="CM277" s="167"/>
      <c r="CN277" s="167"/>
      <c r="CO277" s="167"/>
      <c r="CP277" s="168" t="s">
        <v>947</v>
      </c>
      <c r="CQ277" s="167">
        <v>0.0</v>
      </c>
      <c r="CR277" s="167"/>
      <c r="CS277" s="167">
        <v>0.0</v>
      </c>
      <c r="CT277" s="168" t="s">
        <v>947</v>
      </c>
      <c r="CU277" s="167">
        <v>0.0</v>
      </c>
      <c r="CV277" s="156">
        <v>4.0</v>
      </c>
      <c r="CW277" s="156">
        <v>0.0</v>
      </c>
      <c r="CX277" s="156">
        <v>0.0</v>
      </c>
      <c r="CY277" s="156">
        <v>1.0</v>
      </c>
      <c r="CZ277" s="156">
        <v>0.0</v>
      </c>
      <c r="DA277" s="156">
        <v>0.0</v>
      </c>
      <c r="DB277" s="174"/>
      <c r="DC277" s="174"/>
      <c r="DD277" s="174"/>
      <c r="DE277" s="174">
        <v>1.0</v>
      </c>
      <c r="DF277" s="174">
        <v>0.0</v>
      </c>
      <c r="DG277" s="175" t="s">
        <v>947</v>
      </c>
      <c r="DH277" s="174">
        <v>0.0</v>
      </c>
      <c r="DI277" s="174">
        <v>0.0</v>
      </c>
      <c r="DJ277" s="174">
        <v>1.0</v>
      </c>
      <c r="DK277" s="174"/>
      <c r="DL277" s="174"/>
      <c r="DM277" s="174"/>
      <c r="DN277" s="174"/>
      <c r="DO277" s="174"/>
      <c r="DP277" s="174"/>
      <c r="DQ277" s="174"/>
      <c r="DR277" s="174"/>
      <c r="DS277" s="174"/>
      <c r="DT277" s="174"/>
      <c r="DU277" s="174">
        <v>1.0</v>
      </c>
      <c r="DV277" s="174"/>
      <c r="DW277" s="174"/>
      <c r="DX277" s="174"/>
      <c r="DY277" s="174"/>
      <c r="DZ277" s="174"/>
      <c r="EA277" s="174"/>
      <c r="EB277" s="174"/>
      <c r="EC277" s="174"/>
      <c r="ED277" s="174"/>
      <c r="EE277" s="174"/>
      <c r="EF277" s="174"/>
      <c r="EG277" s="156">
        <v>1.0</v>
      </c>
      <c r="EH277" s="156">
        <v>0.0</v>
      </c>
      <c r="EI277" s="156">
        <v>0.0</v>
      </c>
      <c r="EJ277" s="156">
        <v>0.0</v>
      </c>
      <c r="EK277" s="156">
        <v>0.0</v>
      </c>
      <c r="EL277" s="156">
        <v>0.0</v>
      </c>
      <c r="EM277" s="174"/>
      <c r="EN277" s="174"/>
      <c r="EO277" s="174"/>
      <c r="EP277" s="174"/>
      <c r="EQ277" s="174"/>
      <c r="ER277" s="174"/>
      <c r="ES277" s="174"/>
      <c r="ET277" s="174"/>
      <c r="EU277" s="174"/>
      <c r="EV277" s="174"/>
      <c r="EW277" s="174"/>
      <c r="EX277" s="174"/>
      <c r="EY277" s="174"/>
      <c r="EZ277" s="174"/>
      <c r="FA277" s="174"/>
      <c r="FB277" s="174"/>
      <c r="FC277" s="174"/>
      <c r="FD277" s="174"/>
      <c r="FE277" s="174"/>
      <c r="FF277" s="174"/>
      <c r="FG277" s="174"/>
      <c r="FH277" s="175">
        <v>1.0</v>
      </c>
      <c r="FI277" s="174"/>
      <c r="FJ277" s="174"/>
      <c r="FK277" s="174"/>
      <c r="FL277" s="174"/>
      <c r="FM277" s="174"/>
      <c r="FN277" s="174"/>
      <c r="FO277" s="174"/>
      <c r="FP277" s="174"/>
      <c r="FQ277" s="156">
        <v>4.0</v>
      </c>
      <c r="FR277" s="156">
        <v>0.0</v>
      </c>
      <c r="FS277" s="156">
        <v>0.0</v>
      </c>
      <c r="FT277" s="156">
        <v>1.0</v>
      </c>
      <c r="FU277" s="156">
        <v>0.0</v>
      </c>
      <c r="FV277" s="156">
        <v>0.0</v>
      </c>
      <c r="FW277" s="174"/>
      <c r="FX277" s="174"/>
      <c r="FY277" s="174"/>
      <c r="FZ277" s="174">
        <v>1.0</v>
      </c>
      <c r="GA277" s="174">
        <v>0.0</v>
      </c>
      <c r="GB277" s="174"/>
      <c r="GC277" s="174">
        <v>0.0</v>
      </c>
      <c r="GD277" s="174">
        <v>1.0</v>
      </c>
      <c r="GE277" s="174">
        <v>0.0</v>
      </c>
      <c r="GF277" s="174">
        <v>0.0</v>
      </c>
      <c r="GG277" s="174">
        <v>1.0</v>
      </c>
      <c r="GH277" s="174"/>
      <c r="GI277" s="174"/>
      <c r="GJ277" s="174"/>
      <c r="GK277" s="174"/>
      <c r="GL277" s="174"/>
      <c r="GM277" s="174"/>
      <c r="GN277" s="174"/>
      <c r="GO277" s="174"/>
      <c r="GP277" s="176" t="s">
        <v>947</v>
      </c>
      <c r="GQ277" s="174"/>
      <c r="GR277" s="174"/>
      <c r="GS277" s="174"/>
      <c r="GT277" s="174"/>
      <c r="GU277" s="174"/>
      <c r="GV277" s="174"/>
      <c r="GW277" s="174"/>
      <c r="GX277" s="174"/>
      <c r="GY277" s="174"/>
      <c r="GZ277" s="174"/>
      <c r="HA277" s="174"/>
      <c r="HB277" s="155">
        <v>0.0</v>
      </c>
      <c r="HC277" s="155">
        <v>0.0</v>
      </c>
      <c r="HD277" s="155">
        <v>0.0</v>
      </c>
      <c r="HE277" s="155">
        <v>0.0</v>
      </c>
      <c r="HF277" s="155">
        <v>0.0</v>
      </c>
      <c r="HG277" s="155">
        <v>0.0</v>
      </c>
      <c r="HH277" s="174"/>
      <c r="HI277" s="174"/>
      <c r="HJ277" s="174"/>
      <c r="HK277" s="174"/>
      <c r="HL277" s="174"/>
      <c r="HM277" s="174"/>
      <c r="HN277" s="174"/>
      <c r="HO277" s="174"/>
      <c r="HP277" s="174"/>
      <c r="HQ277" s="174"/>
      <c r="HR277" s="174"/>
      <c r="HS277" s="174"/>
      <c r="HT277" s="174"/>
      <c r="HU277" s="174"/>
      <c r="HV277" s="174"/>
      <c r="HW277" s="174"/>
      <c r="HX277" s="174"/>
      <c r="HY277" s="174"/>
      <c r="HZ277" s="174"/>
      <c r="IA277" s="174"/>
      <c r="IB277" s="174"/>
      <c r="IC277" s="174"/>
      <c r="ID277" s="174"/>
      <c r="IE277" s="174"/>
      <c r="IF277" s="174"/>
      <c r="IG277" s="174"/>
      <c r="IH277" s="174"/>
      <c r="II277" s="174"/>
      <c r="IJ277" s="174"/>
      <c r="IK277" s="174"/>
      <c r="IL277" s="159">
        <v>0.0</v>
      </c>
      <c r="IM277" s="156">
        <v>0.0</v>
      </c>
      <c r="IN277" s="156">
        <v>0.0</v>
      </c>
      <c r="IO277" s="156">
        <v>0.0</v>
      </c>
      <c r="IP277" s="156">
        <v>0.0</v>
      </c>
      <c r="IQ277" s="160">
        <v>0.0</v>
      </c>
      <c r="JH277" s="25"/>
      <c r="JW277" s="159">
        <v>0.0</v>
      </c>
      <c r="JX277" s="156">
        <v>0.0</v>
      </c>
      <c r="JY277" s="156">
        <v>0.0</v>
      </c>
      <c r="JZ277" s="156">
        <v>0.0</v>
      </c>
      <c r="KA277" s="156">
        <v>0.0</v>
      </c>
      <c r="KB277" s="160">
        <v>0.0</v>
      </c>
      <c r="LH277" s="159">
        <f t="shared" si="10"/>
        <v>0</v>
      </c>
      <c r="LI277" s="156">
        <f t="shared" si="11"/>
        <v>0</v>
      </c>
      <c r="LJ277" s="156">
        <f t="shared" si="12"/>
        <v>0</v>
      </c>
      <c r="LK277" s="156">
        <f t="shared" si="13"/>
        <v>0</v>
      </c>
      <c r="LL277" s="156">
        <f t="shared" si="14"/>
        <v>0</v>
      </c>
      <c r="LM277" s="160">
        <f t="shared" si="15"/>
        <v>0</v>
      </c>
      <c r="QX277" s="440">
        <v>45896.0</v>
      </c>
    </row>
    <row r="278">
      <c r="A278" s="12"/>
      <c r="B278" s="12"/>
      <c r="C278" s="12"/>
      <c r="D278" s="12"/>
      <c r="E278" s="12"/>
      <c r="F278" s="12"/>
      <c r="G278" s="12"/>
      <c r="H278" s="12"/>
      <c r="I278" s="447">
        <f t="shared" si="5"/>
        <v>-14</v>
      </c>
      <c r="J278" s="448">
        <v>45898.0</v>
      </c>
      <c r="K278" s="449" t="s">
        <v>61</v>
      </c>
      <c r="L278" s="146"/>
      <c r="M278" s="450" t="s">
        <v>348</v>
      </c>
      <c r="N278" s="451">
        <v>246.0</v>
      </c>
      <c r="O278" s="451">
        <v>45.0</v>
      </c>
      <c r="P278" s="452"/>
      <c r="Q278" s="452"/>
      <c r="R278" s="452"/>
      <c r="S278" s="452"/>
      <c r="T278" s="452"/>
      <c r="U278" s="450" t="s">
        <v>2823</v>
      </c>
      <c r="V278" s="453"/>
      <c r="W278" s="454" t="s">
        <v>2881</v>
      </c>
      <c r="X278" s="181">
        <v>14.0</v>
      </c>
      <c r="Y278" s="166">
        <f t="shared" si="6"/>
        <v>14</v>
      </c>
      <c r="Z278" s="455">
        <f t="shared" si="7"/>
        <v>0</v>
      </c>
      <c r="AA278" s="455">
        <f t="shared" si="8"/>
        <v>0</v>
      </c>
      <c r="AB278" s="455">
        <f t="shared" si="9"/>
        <v>0</v>
      </c>
      <c r="AC278" s="155">
        <v>0.0</v>
      </c>
      <c r="AD278" s="155">
        <v>0.0</v>
      </c>
      <c r="AE278" s="155">
        <v>0.0</v>
      </c>
      <c r="AF278" s="155">
        <v>0.0</v>
      </c>
      <c r="AG278" s="155">
        <v>0.0</v>
      </c>
      <c r="AH278" s="155">
        <v>0.0</v>
      </c>
      <c r="BN278" s="155">
        <v>0.0</v>
      </c>
      <c r="BO278" s="155">
        <v>0.0</v>
      </c>
      <c r="BP278" s="155">
        <v>0.0</v>
      </c>
      <c r="BQ278" s="155">
        <v>0.0</v>
      </c>
      <c r="BR278" s="155">
        <v>0.0</v>
      </c>
      <c r="BS278" s="155">
        <v>0.0</v>
      </c>
      <c r="CV278" s="156">
        <v>0.0</v>
      </c>
      <c r="CW278" s="156">
        <v>0.0</v>
      </c>
      <c r="CX278" s="156">
        <v>0.0</v>
      </c>
      <c r="CY278" s="156">
        <v>0.0</v>
      </c>
      <c r="CZ278" s="156">
        <v>0.0</v>
      </c>
      <c r="DA278" s="156">
        <v>0.0</v>
      </c>
      <c r="EG278" s="156">
        <v>0.0</v>
      </c>
      <c r="EH278" s="156">
        <v>0.0</v>
      </c>
      <c r="EI278" s="156">
        <v>0.0</v>
      </c>
      <c r="EJ278" s="156">
        <v>0.0</v>
      </c>
      <c r="EK278" s="156">
        <v>0.0</v>
      </c>
      <c r="EL278" s="156">
        <v>0.0</v>
      </c>
      <c r="FQ278" s="156">
        <v>0.0</v>
      </c>
      <c r="FR278" s="156">
        <v>0.0</v>
      </c>
      <c r="FS278" s="156">
        <v>0.0</v>
      </c>
      <c r="FT278" s="156">
        <v>0.0</v>
      </c>
      <c r="FU278" s="156">
        <v>0.0</v>
      </c>
      <c r="FV278" s="156">
        <v>0.0</v>
      </c>
      <c r="FW278" s="157"/>
      <c r="FX278" s="157"/>
      <c r="FY278" s="157"/>
      <c r="FZ278" s="157"/>
      <c r="GA278" s="157"/>
      <c r="GB278" s="157"/>
      <c r="GC278" s="157"/>
      <c r="GD278" s="157"/>
      <c r="GE278" s="157"/>
      <c r="GF278" s="157"/>
      <c r="GG278" s="157"/>
      <c r="GH278" s="157"/>
      <c r="GI278" s="157"/>
      <c r="GJ278" s="157"/>
      <c r="GK278" s="157"/>
      <c r="GL278" s="157"/>
      <c r="GM278" s="157"/>
      <c r="GN278" s="157"/>
      <c r="GO278" s="157"/>
      <c r="GP278" s="158"/>
      <c r="GQ278" s="157"/>
      <c r="GR278" s="157"/>
      <c r="GS278" s="157"/>
      <c r="GT278" s="157"/>
      <c r="GU278" s="157"/>
      <c r="GV278" s="157"/>
      <c r="GW278" s="157"/>
      <c r="GX278" s="157"/>
      <c r="GY278" s="157"/>
      <c r="GZ278" s="157"/>
      <c r="HA278" s="157"/>
      <c r="HB278" s="155">
        <v>0.0</v>
      </c>
      <c r="HC278" s="155">
        <v>0.0</v>
      </c>
      <c r="HD278" s="155">
        <v>0.0</v>
      </c>
      <c r="HE278" s="155">
        <v>0.0</v>
      </c>
      <c r="HF278" s="155">
        <v>0.0</v>
      </c>
      <c r="HG278" s="155">
        <v>0.0</v>
      </c>
      <c r="IL278" s="159">
        <v>0.0</v>
      </c>
      <c r="IM278" s="156">
        <v>0.0</v>
      </c>
      <c r="IN278" s="156">
        <v>0.0</v>
      </c>
      <c r="IO278" s="156">
        <v>0.0</v>
      </c>
      <c r="IP278" s="156">
        <v>0.0</v>
      </c>
      <c r="IQ278" s="160">
        <v>0.0</v>
      </c>
      <c r="JH278" s="25"/>
      <c r="JW278" s="159">
        <v>0.0</v>
      </c>
      <c r="JX278" s="156">
        <v>0.0</v>
      </c>
      <c r="JY278" s="156">
        <v>0.0</v>
      </c>
      <c r="JZ278" s="156">
        <v>0.0</v>
      </c>
      <c r="KA278" s="156">
        <v>0.0</v>
      </c>
      <c r="KB278" s="160">
        <v>0.0</v>
      </c>
      <c r="LH278" s="159">
        <f t="shared" si="10"/>
        <v>0</v>
      </c>
      <c r="LI278" s="156">
        <f t="shared" si="11"/>
        <v>0</v>
      </c>
      <c r="LJ278" s="156">
        <f t="shared" si="12"/>
        <v>0</v>
      </c>
      <c r="LK278" s="156">
        <f t="shared" si="13"/>
        <v>0</v>
      </c>
      <c r="LL278" s="156">
        <f t="shared" si="14"/>
        <v>0</v>
      </c>
      <c r="LM278" s="160">
        <f t="shared" si="15"/>
        <v>0</v>
      </c>
      <c r="QX278" s="107">
        <v>45897.0</v>
      </c>
    </row>
    <row r="279">
      <c r="A279" s="12"/>
      <c r="B279" s="12"/>
      <c r="C279" s="12"/>
      <c r="D279" s="12"/>
      <c r="E279" s="12"/>
      <c r="F279" s="12"/>
      <c r="G279" s="12"/>
      <c r="H279" s="12"/>
      <c r="I279" s="143">
        <f t="shared" si="5"/>
        <v>-11</v>
      </c>
      <c r="J279" s="144">
        <v>45904.0</v>
      </c>
      <c r="K279" s="164" t="s">
        <v>61</v>
      </c>
      <c r="L279" s="144">
        <v>45937.0</v>
      </c>
      <c r="M279" s="147" t="s">
        <v>400</v>
      </c>
      <c r="N279" s="148">
        <v>357.0</v>
      </c>
      <c r="O279" s="148">
        <v>30.0</v>
      </c>
      <c r="P279" s="26"/>
      <c r="Q279" s="26"/>
      <c r="R279" s="26"/>
      <c r="S279" s="26"/>
      <c r="T279" s="26"/>
      <c r="U279" s="147" t="s">
        <v>1172</v>
      </c>
      <c r="V279" s="197"/>
      <c r="W279" s="198" t="s">
        <v>2884</v>
      </c>
      <c r="X279" s="181">
        <v>11.0</v>
      </c>
      <c r="Y279" s="166">
        <f t="shared" si="6"/>
        <v>11</v>
      </c>
      <c r="Z279" s="26">
        <f t="shared" si="7"/>
        <v>0</v>
      </c>
      <c r="AA279" s="26">
        <f t="shared" si="8"/>
        <v>0</v>
      </c>
      <c r="AB279" s="26">
        <f t="shared" si="9"/>
        <v>0</v>
      </c>
      <c r="AC279" s="155">
        <v>0.0</v>
      </c>
      <c r="AD279" s="155">
        <v>0.0</v>
      </c>
      <c r="AE279" s="155">
        <v>0.0</v>
      </c>
      <c r="AF279" s="155">
        <v>0.0</v>
      </c>
      <c r="AG279" s="155">
        <v>0.0</v>
      </c>
      <c r="AH279" s="155">
        <v>0.0</v>
      </c>
      <c r="BN279" s="155">
        <v>0.0</v>
      </c>
      <c r="BO279" s="155">
        <v>0.0</v>
      </c>
      <c r="BP279" s="155">
        <v>0.0</v>
      </c>
      <c r="BQ279" s="155">
        <v>0.0</v>
      </c>
      <c r="BR279" s="155">
        <v>0.0</v>
      </c>
      <c r="BS279" s="155">
        <v>0.0</v>
      </c>
      <c r="CV279" s="156">
        <v>0.0</v>
      </c>
      <c r="CW279" s="156">
        <v>0.0</v>
      </c>
      <c r="CX279" s="156">
        <v>0.0</v>
      </c>
      <c r="CY279" s="156">
        <v>0.0</v>
      </c>
      <c r="CZ279" s="156">
        <v>0.0</v>
      </c>
      <c r="DA279" s="156">
        <v>0.0</v>
      </c>
      <c r="EG279" s="156">
        <v>0.0</v>
      </c>
      <c r="EH279" s="156">
        <v>0.0</v>
      </c>
      <c r="EI279" s="156">
        <v>0.0</v>
      </c>
      <c r="EJ279" s="156">
        <v>0.0</v>
      </c>
      <c r="EK279" s="156">
        <v>0.0</v>
      </c>
      <c r="EL279" s="156">
        <v>0.0</v>
      </c>
      <c r="FQ279" s="156">
        <v>0.0</v>
      </c>
      <c r="FR279" s="156">
        <v>0.0</v>
      </c>
      <c r="FS279" s="156">
        <v>0.0</v>
      </c>
      <c r="FT279" s="156">
        <v>0.0</v>
      </c>
      <c r="FU279" s="156">
        <v>0.0</v>
      </c>
      <c r="FV279" s="156">
        <v>0.0</v>
      </c>
      <c r="FW279" s="157"/>
      <c r="FX279" s="157"/>
      <c r="FY279" s="157"/>
      <c r="FZ279" s="157"/>
      <c r="GA279" s="157"/>
      <c r="GB279" s="157"/>
      <c r="GC279" s="157"/>
      <c r="GD279" s="157"/>
      <c r="GE279" s="157"/>
      <c r="GF279" s="157"/>
      <c r="GG279" s="157"/>
      <c r="GH279" s="157"/>
      <c r="GI279" s="157"/>
      <c r="GJ279" s="157"/>
      <c r="GK279" s="157"/>
      <c r="GL279" s="157"/>
      <c r="GM279" s="157"/>
      <c r="GN279" s="157"/>
      <c r="GO279" s="157"/>
      <c r="GP279" s="158"/>
      <c r="GQ279" s="157"/>
      <c r="GR279" s="157"/>
      <c r="GS279" s="157"/>
      <c r="GT279" s="157"/>
      <c r="GU279" s="157"/>
      <c r="GV279" s="157"/>
      <c r="GW279" s="157"/>
      <c r="GX279" s="157"/>
      <c r="GY279" s="157"/>
      <c r="GZ279" s="157"/>
      <c r="HA279" s="157"/>
      <c r="HB279" s="155">
        <v>0.0</v>
      </c>
      <c r="HC279" s="155">
        <v>0.0</v>
      </c>
      <c r="HD279" s="155">
        <v>0.0</v>
      </c>
      <c r="HE279" s="155">
        <v>0.0</v>
      </c>
      <c r="HF279" s="155">
        <v>0.0</v>
      </c>
      <c r="HG279" s="155">
        <v>0.0</v>
      </c>
      <c r="IL279" s="159">
        <v>0.0</v>
      </c>
      <c r="IM279" s="156">
        <v>0.0</v>
      </c>
      <c r="IN279" s="156">
        <v>0.0</v>
      </c>
      <c r="IO279" s="156">
        <v>0.0</v>
      </c>
      <c r="IP279" s="156">
        <v>0.0</v>
      </c>
      <c r="IQ279" s="160">
        <v>0.0</v>
      </c>
      <c r="JH279" s="25"/>
      <c r="JW279" s="159">
        <v>0.0</v>
      </c>
      <c r="JX279" s="156">
        <v>0.0</v>
      </c>
      <c r="JY279" s="156">
        <v>0.0</v>
      </c>
      <c r="JZ279" s="156">
        <v>0.0</v>
      </c>
      <c r="KA279" s="156">
        <v>0.0</v>
      </c>
      <c r="KB279" s="160">
        <v>0.0</v>
      </c>
      <c r="LH279" s="159">
        <f t="shared" si="10"/>
        <v>0</v>
      </c>
      <c r="LI279" s="156">
        <f t="shared" si="11"/>
        <v>0</v>
      </c>
      <c r="LJ279" s="156">
        <f t="shared" si="12"/>
        <v>0</v>
      </c>
      <c r="LK279" s="156">
        <f t="shared" si="13"/>
        <v>0</v>
      </c>
      <c r="LL279" s="156">
        <f t="shared" si="14"/>
        <v>0</v>
      </c>
      <c r="LM279" s="160">
        <f t="shared" si="15"/>
        <v>0</v>
      </c>
      <c r="QX279" s="107">
        <v>45897.0</v>
      </c>
    </row>
    <row r="280">
      <c r="A280" s="12"/>
      <c r="B280" s="12"/>
      <c r="C280" s="12"/>
      <c r="D280" s="12"/>
      <c r="E280" s="12"/>
      <c r="F280" s="12"/>
      <c r="G280" s="12"/>
      <c r="H280" s="12"/>
      <c r="I280" s="143">
        <f t="shared" si="5"/>
        <v>-30</v>
      </c>
      <c r="J280" s="144">
        <v>45904.0</v>
      </c>
      <c r="K280" s="173" t="s">
        <v>61</v>
      </c>
      <c r="L280" s="144">
        <v>45976.0</v>
      </c>
      <c r="M280" s="147" t="s">
        <v>107</v>
      </c>
      <c r="N280" s="148">
        <v>357.0</v>
      </c>
      <c r="O280" s="148">
        <v>30.0</v>
      </c>
      <c r="P280" s="26"/>
      <c r="Q280" s="26"/>
      <c r="R280" s="26"/>
      <c r="S280" s="26"/>
      <c r="T280" s="26"/>
      <c r="U280" s="147" t="s">
        <v>1140</v>
      </c>
      <c r="V280" s="149" t="s">
        <v>2501</v>
      </c>
      <c r="W280" s="198" t="s">
        <v>2886</v>
      </c>
      <c r="X280" s="181">
        <v>30.0</v>
      </c>
      <c r="Y280" s="166">
        <f t="shared" si="6"/>
        <v>30</v>
      </c>
      <c r="Z280" s="26">
        <f t="shared" si="7"/>
        <v>0</v>
      </c>
      <c r="AA280" s="26">
        <f t="shared" si="8"/>
        <v>0</v>
      </c>
      <c r="AB280" s="26">
        <f t="shared" si="9"/>
        <v>0</v>
      </c>
      <c r="AC280" s="155">
        <v>0.0</v>
      </c>
      <c r="AD280" s="155">
        <v>0.0</v>
      </c>
      <c r="AE280" s="155">
        <v>0.0</v>
      </c>
      <c r="AF280" s="155">
        <v>0.0</v>
      </c>
      <c r="AG280" s="155">
        <v>0.0</v>
      </c>
      <c r="AH280" s="155">
        <v>0.0</v>
      </c>
      <c r="BN280" s="155">
        <v>0.0</v>
      </c>
      <c r="BO280" s="155">
        <v>0.0</v>
      </c>
      <c r="BP280" s="155">
        <v>0.0</v>
      </c>
      <c r="BQ280" s="155">
        <v>0.0</v>
      </c>
      <c r="BR280" s="155">
        <v>0.0</v>
      </c>
      <c r="BS280" s="155">
        <v>0.0</v>
      </c>
      <c r="CV280" s="156">
        <v>0.0</v>
      </c>
      <c r="CW280" s="156">
        <v>0.0</v>
      </c>
      <c r="CX280" s="156">
        <v>0.0</v>
      </c>
      <c r="CY280" s="156">
        <v>0.0</v>
      </c>
      <c r="CZ280" s="156">
        <v>0.0</v>
      </c>
      <c r="DA280" s="156">
        <v>0.0</v>
      </c>
      <c r="EG280" s="156">
        <v>0.0</v>
      </c>
      <c r="EH280" s="156">
        <v>0.0</v>
      </c>
      <c r="EI280" s="156">
        <v>0.0</v>
      </c>
      <c r="EJ280" s="156">
        <v>0.0</v>
      </c>
      <c r="EK280" s="156">
        <v>0.0</v>
      </c>
      <c r="EL280" s="156">
        <v>0.0</v>
      </c>
      <c r="FQ280" s="156">
        <v>0.0</v>
      </c>
      <c r="FR280" s="156">
        <v>0.0</v>
      </c>
      <c r="FS280" s="156">
        <v>0.0</v>
      </c>
      <c r="FT280" s="156">
        <v>0.0</v>
      </c>
      <c r="FU280" s="156">
        <v>0.0</v>
      </c>
      <c r="FV280" s="156">
        <v>0.0</v>
      </c>
      <c r="FW280" s="157"/>
      <c r="FX280" s="157"/>
      <c r="FY280" s="157"/>
      <c r="FZ280" s="157"/>
      <c r="GA280" s="157"/>
      <c r="GB280" s="157"/>
      <c r="GC280" s="157"/>
      <c r="GD280" s="157"/>
      <c r="GE280" s="157"/>
      <c r="GF280" s="157"/>
      <c r="GG280" s="157"/>
      <c r="GH280" s="157"/>
      <c r="GI280" s="157"/>
      <c r="GJ280" s="157"/>
      <c r="GK280" s="157"/>
      <c r="GL280" s="157"/>
      <c r="GM280" s="157"/>
      <c r="GN280" s="157"/>
      <c r="GO280" s="157"/>
      <c r="GP280" s="158"/>
      <c r="GQ280" s="157"/>
      <c r="GR280" s="157"/>
      <c r="GS280" s="157"/>
      <c r="GT280" s="157"/>
      <c r="GU280" s="157"/>
      <c r="GV280" s="157"/>
      <c r="GW280" s="157"/>
      <c r="GX280" s="157"/>
      <c r="GY280" s="157"/>
      <c r="GZ280" s="157"/>
      <c r="HA280" s="157"/>
      <c r="HB280" s="155">
        <v>0.0</v>
      </c>
      <c r="HC280" s="155">
        <v>0.0</v>
      </c>
      <c r="HD280" s="155">
        <v>0.0</v>
      </c>
      <c r="HE280" s="155">
        <v>0.0</v>
      </c>
      <c r="HF280" s="155">
        <v>0.0</v>
      </c>
      <c r="HG280" s="155">
        <v>0.0</v>
      </c>
      <c r="IL280" s="159">
        <v>0.0</v>
      </c>
      <c r="IM280" s="156">
        <v>0.0</v>
      </c>
      <c r="IN280" s="156">
        <v>0.0</v>
      </c>
      <c r="IO280" s="156">
        <v>0.0</v>
      </c>
      <c r="IP280" s="156">
        <v>0.0</v>
      </c>
      <c r="IQ280" s="160">
        <v>0.0</v>
      </c>
      <c r="JH280" s="25"/>
      <c r="JW280" s="159">
        <v>0.0</v>
      </c>
      <c r="JX280" s="156">
        <v>0.0</v>
      </c>
      <c r="JY280" s="156">
        <v>0.0</v>
      </c>
      <c r="JZ280" s="156">
        <v>0.0</v>
      </c>
      <c r="KA280" s="156">
        <v>0.0</v>
      </c>
      <c r="KB280" s="160">
        <v>0.0</v>
      </c>
      <c r="LH280" s="159">
        <f t="shared" si="10"/>
        <v>0</v>
      </c>
      <c r="LI280" s="156">
        <f t="shared" si="11"/>
        <v>0</v>
      </c>
      <c r="LJ280" s="156">
        <f t="shared" si="12"/>
        <v>0</v>
      </c>
      <c r="LK280" s="156">
        <f t="shared" si="13"/>
        <v>0</v>
      </c>
      <c r="LL280" s="156">
        <f t="shared" si="14"/>
        <v>0</v>
      </c>
      <c r="LM280" s="160">
        <f t="shared" si="15"/>
        <v>0</v>
      </c>
      <c r="QX280" s="107">
        <v>45897.0</v>
      </c>
    </row>
    <row r="281">
      <c r="A281" s="12"/>
      <c r="B281" s="12"/>
      <c r="C281" s="12"/>
      <c r="D281" s="12"/>
      <c r="E281" s="12"/>
      <c r="F281" s="12"/>
      <c r="G281" s="12"/>
      <c r="H281" s="12"/>
      <c r="I281" s="143">
        <f t="shared" si="5"/>
        <v>-24</v>
      </c>
      <c r="J281" s="144">
        <v>45898.0</v>
      </c>
      <c r="K281" s="173" t="s">
        <v>61</v>
      </c>
      <c r="L281" s="144">
        <v>45991.0</v>
      </c>
      <c r="M281" s="456" t="s">
        <v>348</v>
      </c>
      <c r="N281" s="457">
        <v>246.0</v>
      </c>
      <c r="O281" s="457">
        <v>45.0</v>
      </c>
      <c r="P281" s="452"/>
      <c r="Q281" s="452"/>
      <c r="R281" s="452"/>
      <c r="S281" s="452"/>
      <c r="T281" s="452"/>
      <c r="U281" s="456" t="s">
        <v>2888</v>
      </c>
      <c r="V281" s="458" t="s">
        <v>2889</v>
      </c>
      <c r="W281" s="459" t="s">
        <v>2881</v>
      </c>
      <c r="X281" s="181">
        <v>24.0</v>
      </c>
      <c r="Y281" s="166">
        <f t="shared" si="6"/>
        <v>24</v>
      </c>
      <c r="Z281" s="26">
        <f t="shared" si="7"/>
        <v>0</v>
      </c>
      <c r="AA281" s="26">
        <f t="shared" si="8"/>
        <v>0</v>
      </c>
      <c r="AB281" s="26">
        <f t="shared" si="9"/>
        <v>0</v>
      </c>
      <c r="AC281" s="155">
        <v>0.0</v>
      </c>
      <c r="AD281" s="155">
        <v>0.0</v>
      </c>
      <c r="AE281" s="155">
        <v>0.0</v>
      </c>
      <c r="AF281" s="155">
        <v>0.0</v>
      </c>
      <c r="AG281" s="155">
        <v>0.0</v>
      </c>
      <c r="AH281" s="155">
        <v>0.0</v>
      </c>
      <c r="BN281" s="155">
        <v>0.0</v>
      </c>
      <c r="BO281" s="155">
        <v>0.0</v>
      </c>
      <c r="BP281" s="155">
        <v>0.0</v>
      </c>
      <c r="BQ281" s="155">
        <v>0.0</v>
      </c>
      <c r="BR281" s="155">
        <v>0.0</v>
      </c>
      <c r="BS281" s="155">
        <v>0.0</v>
      </c>
      <c r="CV281" s="156">
        <v>0.0</v>
      </c>
      <c r="CW281" s="156">
        <v>0.0</v>
      </c>
      <c r="CX281" s="156">
        <v>0.0</v>
      </c>
      <c r="CY281" s="156">
        <v>0.0</v>
      </c>
      <c r="CZ281" s="156">
        <v>0.0</v>
      </c>
      <c r="DA281" s="156">
        <v>0.0</v>
      </c>
      <c r="EG281" s="156">
        <v>0.0</v>
      </c>
      <c r="EH281" s="156">
        <v>0.0</v>
      </c>
      <c r="EI281" s="156">
        <v>0.0</v>
      </c>
      <c r="EJ281" s="156">
        <v>0.0</v>
      </c>
      <c r="EK281" s="156">
        <v>0.0</v>
      </c>
      <c r="EL281" s="156">
        <v>0.0</v>
      </c>
      <c r="FQ281" s="156">
        <v>0.0</v>
      </c>
      <c r="FR281" s="156">
        <v>0.0</v>
      </c>
      <c r="FS281" s="156">
        <v>0.0</v>
      </c>
      <c r="FT281" s="156">
        <v>0.0</v>
      </c>
      <c r="FU281" s="156">
        <v>0.0</v>
      </c>
      <c r="FV281" s="156">
        <v>0.0</v>
      </c>
      <c r="FW281" s="157"/>
      <c r="FX281" s="157"/>
      <c r="FY281" s="157"/>
      <c r="FZ281" s="157"/>
      <c r="GA281" s="157"/>
      <c r="GB281" s="157"/>
      <c r="GC281" s="157"/>
      <c r="GD281" s="157"/>
      <c r="GE281" s="157"/>
      <c r="GF281" s="157"/>
      <c r="GG281" s="157"/>
      <c r="GH281" s="157"/>
      <c r="GI281" s="157"/>
      <c r="GJ281" s="157"/>
      <c r="GK281" s="157"/>
      <c r="GL281" s="157"/>
      <c r="GM281" s="157"/>
      <c r="GN281" s="157"/>
      <c r="GO281" s="157"/>
      <c r="GP281" s="158"/>
      <c r="GQ281" s="157"/>
      <c r="GR281" s="157"/>
      <c r="GS281" s="157"/>
      <c r="GT281" s="157"/>
      <c r="GU281" s="157"/>
      <c r="GV281" s="157"/>
      <c r="GW281" s="157"/>
      <c r="GX281" s="157"/>
      <c r="GY281" s="157"/>
      <c r="GZ281" s="157"/>
      <c r="HA281" s="157"/>
      <c r="HB281" s="155">
        <v>0.0</v>
      </c>
      <c r="HC281" s="155">
        <v>0.0</v>
      </c>
      <c r="HD281" s="155">
        <v>0.0</v>
      </c>
      <c r="HE281" s="155">
        <v>0.0</v>
      </c>
      <c r="HF281" s="155">
        <v>0.0</v>
      </c>
      <c r="HG281" s="155">
        <v>0.0</v>
      </c>
      <c r="IL281" s="159">
        <v>0.0</v>
      </c>
      <c r="IM281" s="156">
        <v>0.0</v>
      </c>
      <c r="IN281" s="156">
        <v>0.0</v>
      </c>
      <c r="IO281" s="156">
        <v>0.0</v>
      </c>
      <c r="IP281" s="156">
        <v>0.0</v>
      </c>
      <c r="IQ281" s="160">
        <v>0.0</v>
      </c>
      <c r="JH281" s="25"/>
      <c r="JW281" s="159">
        <v>0.0</v>
      </c>
      <c r="JX281" s="156">
        <v>0.0</v>
      </c>
      <c r="JY281" s="156">
        <v>0.0</v>
      </c>
      <c r="JZ281" s="156">
        <v>0.0</v>
      </c>
      <c r="KA281" s="156">
        <v>0.0</v>
      </c>
      <c r="KB281" s="160">
        <v>0.0</v>
      </c>
      <c r="LH281" s="159">
        <f t="shared" si="10"/>
        <v>0</v>
      </c>
      <c r="LI281" s="156">
        <f t="shared" si="11"/>
        <v>0</v>
      </c>
      <c r="LJ281" s="156">
        <f t="shared" si="12"/>
        <v>0</v>
      </c>
      <c r="LK281" s="156">
        <f t="shared" si="13"/>
        <v>0</v>
      </c>
      <c r="LL281" s="156">
        <f t="shared" si="14"/>
        <v>0</v>
      </c>
      <c r="LM281" s="160">
        <f t="shared" si="15"/>
        <v>0</v>
      </c>
      <c r="QX281" s="107">
        <v>45897.0</v>
      </c>
    </row>
    <row r="282">
      <c r="A282" s="12"/>
      <c r="B282" s="12"/>
      <c r="C282" s="12"/>
      <c r="D282" s="12"/>
      <c r="E282" s="12"/>
      <c r="F282" s="12"/>
      <c r="G282" s="12"/>
      <c r="H282" s="12"/>
      <c r="I282" s="143">
        <f t="shared" si="5"/>
        <v>-11</v>
      </c>
      <c r="J282" s="144">
        <v>45905.0</v>
      </c>
      <c r="K282" s="195" t="s">
        <v>61</v>
      </c>
      <c r="L282" s="171">
        <v>46023.0</v>
      </c>
      <c r="M282" s="147" t="s">
        <v>2891</v>
      </c>
      <c r="N282" s="148">
        <v>246.0</v>
      </c>
      <c r="O282" s="148">
        <v>30.0</v>
      </c>
      <c r="P282" s="26"/>
      <c r="Q282" s="26"/>
      <c r="R282" s="26"/>
      <c r="S282" s="26"/>
      <c r="T282" s="26"/>
      <c r="U282" s="147" t="s">
        <v>2892</v>
      </c>
      <c r="V282" s="149" t="s">
        <v>2893</v>
      </c>
      <c r="W282" s="198" t="s">
        <v>2894</v>
      </c>
      <c r="X282" s="181">
        <v>11.0</v>
      </c>
      <c r="Y282" s="166">
        <f t="shared" si="6"/>
        <v>11</v>
      </c>
      <c r="Z282" s="26">
        <f t="shared" si="7"/>
        <v>0</v>
      </c>
      <c r="AA282" s="26">
        <f t="shared" si="8"/>
        <v>0</v>
      </c>
      <c r="AB282" s="26">
        <f t="shared" si="9"/>
        <v>0</v>
      </c>
      <c r="AC282" s="155">
        <v>0.0</v>
      </c>
      <c r="AD282" s="155">
        <v>0.0</v>
      </c>
      <c r="AE282" s="155">
        <v>0.0</v>
      </c>
      <c r="AF282" s="155">
        <v>0.0</v>
      </c>
      <c r="AG282" s="155">
        <v>0.0</v>
      </c>
      <c r="AH282" s="155">
        <v>0.0</v>
      </c>
      <c r="AI282" s="167"/>
      <c r="AJ282" s="167"/>
      <c r="AK282" s="167"/>
      <c r="AL282" s="167"/>
      <c r="AM282" s="167"/>
      <c r="AN282" s="167"/>
      <c r="AO282" s="167"/>
      <c r="AP282" s="167"/>
      <c r="AQ282" s="167"/>
      <c r="AR282" s="167"/>
      <c r="AS282" s="167"/>
      <c r="AT282" s="167"/>
      <c r="AU282" s="167"/>
      <c r="AV282" s="167"/>
      <c r="AW282" s="167"/>
      <c r="AX282" s="167"/>
      <c r="AY282" s="167"/>
      <c r="AZ282" s="167"/>
      <c r="BA282" s="167"/>
      <c r="BB282" s="167"/>
      <c r="BC282" s="167"/>
      <c r="BD282" s="167"/>
      <c r="BE282" s="167"/>
      <c r="BF282" s="167"/>
      <c r="BG282" s="167"/>
      <c r="BH282" s="167"/>
      <c r="BI282" s="167"/>
      <c r="BJ282" s="167"/>
      <c r="BK282" s="167"/>
      <c r="BL282" s="167"/>
      <c r="BM282" s="167"/>
      <c r="BN282" s="155">
        <v>0.0</v>
      </c>
      <c r="BO282" s="155">
        <v>0.0</v>
      </c>
      <c r="BP282" s="155">
        <v>0.0</v>
      </c>
      <c r="BQ282" s="155">
        <v>0.0</v>
      </c>
      <c r="BR282" s="155">
        <v>0.0</v>
      </c>
      <c r="BS282" s="155">
        <v>0.0</v>
      </c>
      <c r="CV282" s="156">
        <v>0.0</v>
      </c>
      <c r="CW282" s="156">
        <v>0.0</v>
      </c>
      <c r="CX282" s="156">
        <v>0.0</v>
      </c>
      <c r="CY282" s="156">
        <v>0.0</v>
      </c>
      <c r="CZ282" s="156">
        <v>0.0</v>
      </c>
      <c r="DA282" s="156">
        <v>0.0</v>
      </c>
      <c r="EG282" s="156">
        <v>0.0</v>
      </c>
      <c r="EH282" s="156">
        <v>0.0</v>
      </c>
      <c r="EI282" s="156">
        <v>0.0</v>
      </c>
      <c r="EJ282" s="156">
        <v>0.0</v>
      </c>
      <c r="EK282" s="156">
        <v>0.0</v>
      </c>
      <c r="EL282" s="156">
        <v>0.0</v>
      </c>
      <c r="FQ282" s="156">
        <v>0.0</v>
      </c>
      <c r="FR282" s="156">
        <v>0.0</v>
      </c>
      <c r="FS282" s="156">
        <v>0.0</v>
      </c>
      <c r="FT282" s="156">
        <v>0.0</v>
      </c>
      <c r="FU282" s="156">
        <v>0.0</v>
      </c>
      <c r="FV282" s="156">
        <v>0.0</v>
      </c>
      <c r="FW282" s="157"/>
      <c r="FX282" s="157"/>
      <c r="FY282" s="157"/>
      <c r="FZ282" s="157"/>
      <c r="GA282" s="157"/>
      <c r="GB282" s="157"/>
      <c r="GC282" s="157"/>
      <c r="GD282" s="157"/>
      <c r="GE282" s="157"/>
      <c r="GF282" s="157"/>
      <c r="GG282" s="157"/>
      <c r="GH282" s="157"/>
      <c r="GI282" s="157"/>
      <c r="GJ282" s="157"/>
      <c r="GK282" s="157"/>
      <c r="GL282" s="157"/>
      <c r="GM282" s="157"/>
      <c r="GN282" s="157"/>
      <c r="GO282" s="157"/>
      <c r="GP282" s="158"/>
      <c r="GQ282" s="157"/>
      <c r="GR282" s="157"/>
      <c r="GS282" s="157"/>
      <c r="GT282" s="157"/>
      <c r="GU282" s="157"/>
      <c r="GV282" s="157"/>
      <c r="GW282" s="157"/>
      <c r="GX282" s="157"/>
      <c r="GY282" s="157"/>
      <c r="GZ282" s="157"/>
      <c r="HA282" s="157"/>
      <c r="HB282" s="155">
        <v>0.0</v>
      </c>
      <c r="HC282" s="155">
        <v>0.0</v>
      </c>
      <c r="HD282" s="155">
        <v>0.0</v>
      </c>
      <c r="HE282" s="155">
        <v>0.0</v>
      </c>
      <c r="HF282" s="155">
        <v>0.0</v>
      </c>
      <c r="HG282" s="155">
        <v>0.0</v>
      </c>
      <c r="IL282" s="159">
        <v>0.0</v>
      </c>
      <c r="IM282" s="156">
        <v>0.0</v>
      </c>
      <c r="IN282" s="156">
        <v>0.0</v>
      </c>
      <c r="IO282" s="156">
        <v>0.0</v>
      </c>
      <c r="IP282" s="156">
        <v>0.0</v>
      </c>
      <c r="IQ282" s="160">
        <v>0.0</v>
      </c>
      <c r="JH282" s="25"/>
      <c r="JW282" s="159">
        <v>0.0</v>
      </c>
      <c r="JX282" s="156">
        <v>0.0</v>
      </c>
      <c r="JY282" s="156">
        <v>0.0</v>
      </c>
      <c r="JZ282" s="156">
        <v>0.0</v>
      </c>
      <c r="KA282" s="156">
        <v>0.0</v>
      </c>
      <c r="KB282" s="160">
        <v>0.0</v>
      </c>
      <c r="LH282" s="159">
        <f t="shared" si="10"/>
        <v>0</v>
      </c>
      <c r="LI282" s="156">
        <f t="shared" si="11"/>
        <v>0</v>
      </c>
      <c r="LJ282" s="156">
        <f t="shared" si="12"/>
        <v>0</v>
      </c>
      <c r="LK282" s="156">
        <f t="shared" si="13"/>
        <v>0</v>
      </c>
      <c r="LL282" s="156">
        <f t="shared" si="14"/>
        <v>0</v>
      </c>
      <c r="LM282" s="160">
        <f t="shared" si="15"/>
        <v>0</v>
      </c>
      <c r="QX282" s="107">
        <v>45898.0</v>
      </c>
    </row>
    <row r="283">
      <c r="A283" s="12"/>
      <c r="B283" s="12"/>
      <c r="C283" s="12"/>
      <c r="D283" s="12"/>
      <c r="E283" s="12"/>
      <c r="F283" s="12"/>
      <c r="G283" s="12"/>
      <c r="H283" s="12"/>
      <c r="I283" s="143">
        <f t="shared" si="5"/>
        <v>-30</v>
      </c>
      <c r="J283" s="144">
        <v>45899.0</v>
      </c>
      <c r="K283" s="173" t="s">
        <v>61</v>
      </c>
      <c r="L283" s="144">
        <v>46019.0</v>
      </c>
      <c r="M283" s="147" t="s">
        <v>107</v>
      </c>
      <c r="N283" s="148">
        <v>357.0</v>
      </c>
      <c r="O283" s="148">
        <v>30.0</v>
      </c>
      <c r="P283" s="26"/>
      <c r="Q283" s="26"/>
      <c r="R283" s="26"/>
      <c r="S283" s="26"/>
      <c r="T283" s="26"/>
      <c r="U283" s="147" t="s">
        <v>2896</v>
      </c>
      <c r="V283" s="149" t="s">
        <v>2897</v>
      </c>
      <c r="W283" s="150" t="s">
        <v>2898</v>
      </c>
      <c r="X283" s="181">
        <v>30.0</v>
      </c>
      <c r="Y283" s="166">
        <f t="shared" si="6"/>
        <v>30</v>
      </c>
      <c r="Z283" s="26">
        <f t="shared" si="7"/>
        <v>0</v>
      </c>
      <c r="AA283" s="26">
        <f t="shared" si="8"/>
        <v>0</v>
      </c>
      <c r="AB283" s="26">
        <f t="shared" si="9"/>
        <v>0</v>
      </c>
      <c r="AC283" s="155">
        <v>0.0</v>
      </c>
      <c r="AD283" s="155">
        <v>0.0</v>
      </c>
      <c r="AE283" s="155">
        <v>0.0</v>
      </c>
      <c r="AF283" s="155">
        <v>0.0</v>
      </c>
      <c r="AG283" s="155">
        <v>0.0</v>
      </c>
      <c r="AH283" s="155">
        <v>0.0</v>
      </c>
      <c r="BN283" s="155">
        <v>0.0</v>
      </c>
      <c r="BO283" s="155">
        <v>0.0</v>
      </c>
      <c r="BP283" s="155">
        <v>0.0</v>
      </c>
      <c r="BQ283" s="155">
        <v>0.0</v>
      </c>
      <c r="BR283" s="155">
        <v>0.0</v>
      </c>
      <c r="BS283" s="155">
        <v>0.0</v>
      </c>
      <c r="CV283" s="156">
        <v>0.0</v>
      </c>
      <c r="CW283" s="156">
        <v>0.0</v>
      </c>
      <c r="CX283" s="156">
        <v>0.0</v>
      </c>
      <c r="CY283" s="156">
        <v>0.0</v>
      </c>
      <c r="CZ283" s="156">
        <v>0.0</v>
      </c>
      <c r="DA283" s="156">
        <v>0.0</v>
      </c>
      <c r="EG283" s="156">
        <v>0.0</v>
      </c>
      <c r="EH283" s="156">
        <v>0.0</v>
      </c>
      <c r="EI283" s="156">
        <v>0.0</v>
      </c>
      <c r="EJ283" s="156">
        <v>0.0</v>
      </c>
      <c r="EK283" s="156">
        <v>0.0</v>
      </c>
      <c r="EL283" s="156">
        <v>0.0</v>
      </c>
      <c r="FQ283" s="156">
        <v>0.0</v>
      </c>
      <c r="FR283" s="156">
        <v>0.0</v>
      </c>
      <c r="FS283" s="156">
        <v>0.0</v>
      </c>
      <c r="FT283" s="156">
        <v>0.0</v>
      </c>
      <c r="FU283" s="156">
        <v>0.0</v>
      </c>
      <c r="FV283" s="156">
        <v>0.0</v>
      </c>
      <c r="FW283" s="157"/>
      <c r="FX283" s="157"/>
      <c r="FY283" s="157"/>
      <c r="FZ283" s="157"/>
      <c r="GA283" s="157"/>
      <c r="GB283" s="157"/>
      <c r="GC283" s="157"/>
      <c r="GD283" s="157"/>
      <c r="GE283" s="157"/>
      <c r="GF283" s="157"/>
      <c r="GG283" s="157"/>
      <c r="GH283" s="157"/>
      <c r="GI283" s="157"/>
      <c r="GJ283" s="157"/>
      <c r="GK283" s="157"/>
      <c r="GL283" s="157"/>
      <c r="GM283" s="157"/>
      <c r="GN283" s="157"/>
      <c r="GO283" s="157"/>
      <c r="GP283" s="158"/>
      <c r="GQ283" s="157"/>
      <c r="GR283" s="157"/>
      <c r="GS283" s="157"/>
      <c r="GT283" s="157"/>
      <c r="GU283" s="157"/>
      <c r="GV283" s="157"/>
      <c r="GW283" s="157"/>
      <c r="GX283" s="157"/>
      <c r="GY283" s="157"/>
      <c r="GZ283" s="157"/>
      <c r="HA283" s="157"/>
      <c r="HB283" s="155">
        <v>0.0</v>
      </c>
      <c r="HC283" s="155">
        <v>0.0</v>
      </c>
      <c r="HD283" s="155">
        <v>0.0</v>
      </c>
      <c r="HE283" s="155">
        <v>0.0</v>
      </c>
      <c r="HF283" s="155">
        <v>0.0</v>
      </c>
      <c r="HG283" s="155">
        <v>0.0</v>
      </c>
      <c r="IL283" s="159">
        <v>0.0</v>
      </c>
      <c r="IM283" s="156">
        <v>0.0</v>
      </c>
      <c r="IN283" s="156">
        <v>0.0</v>
      </c>
      <c r="IO283" s="156">
        <v>0.0</v>
      </c>
      <c r="IP283" s="156">
        <v>0.0</v>
      </c>
      <c r="IQ283" s="160">
        <v>0.0</v>
      </c>
      <c r="JH283" s="25"/>
      <c r="JW283" s="159">
        <v>0.0</v>
      </c>
      <c r="JX283" s="156">
        <v>0.0</v>
      </c>
      <c r="JY283" s="156">
        <v>0.0</v>
      </c>
      <c r="JZ283" s="156">
        <v>0.0</v>
      </c>
      <c r="KA283" s="156">
        <v>0.0</v>
      </c>
      <c r="KB283" s="160">
        <v>0.0</v>
      </c>
      <c r="LH283" s="159">
        <f t="shared" si="10"/>
        <v>0</v>
      </c>
      <c r="LI283" s="156">
        <f t="shared" si="11"/>
        <v>0</v>
      </c>
      <c r="LJ283" s="156">
        <f t="shared" si="12"/>
        <v>0</v>
      </c>
      <c r="LK283" s="156">
        <f t="shared" si="13"/>
        <v>0</v>
      </c>
      <c r="LL283" s="156">
        <f t="shared" si="14"/>
        <v>0</v>
      </c>
      <c r="LM283" s="160">
        <f t="shared" si="15"/>
        <v>0</v>
      </c>
      <c r="QX283" s="107">
        <v>45899.0</v>
      </c>
    </row>
    <row r="284">
      <c r="A284" s="12"/>
      <c r="B284" s="12"/>
      <c r="C284" s="12"/>
      <c r="D284" s="12"/>
      <c r="E284" s="12"/>
      <c r="F284" s="12"/>
      <c r="G284" s="12"/>
      <c r="H284" s="12"/>
      <c r="I284" s="143">
        <f t="shared" si="5"/>
        <v>-12</v>
      </c>
      <c r="J284" s="144">
        <v>45909.0</v>
      </c>
      <c r="K284" s="173" t="s">
        <v>61</v>
      </c>
      <c r="L284" s="144">
        <v>45960.0</v>
      </c>
      <c r="M284" s="147" t="s">
        <v>435</v>
      </c>
      <c r="N284" s="148">
        <v>357.0</v>
      </c>
      <c r="O284" s="148">
        <v>30.0</v>
      </c>
      <c r="P284" s="26"/>
      <c r="Q284" s="26"/>
      <c r="R284" s="26"/>
      <c r="S284" s="26"/>
      <c r="T284" s="26"/>
      <c r="U284" s="147" t="s">
        <v>1894</v>
      </c>
      <c r="V284" s="197"/>
      <c r="W284" s="198" t="s">
        <v>2901</v>
      </c>
      <c r="X284" s="181">
        <v>12.0</v>
      </c>
      <c r="Y284" s="166">
        <f t="shared" si="6"/>
        <v>12</v>
      </c>
      <c r="Z284" s="26">
        <f t="shared" si="7"/>
        <v>0</v>
      </c>
      <c r="AA284" s="26">
        <f t="shared" si="8"/>
        <v>0</v>
      </c>
      <c r="AB284" s="26">
        <f t="shared" si="9"/>
        <v>0</v>
      </c>
      <c r="AC284" s="155">
        <v>0.0</v>
      </c>
      <c r="AD284" s="155">
        <v>0.0</v>
      </c>
      <c r="AE284" s="155">
        <v>0.0</v>
      </c>
      <c r="AF284" s="155">
        <v>0.0</v>
      </c>
      <c r="AG284" s="155">
        <v>0.0</v>
      </c>
      <c r="AH284" s="155">
        <v>0.0</v>
      </c>
      <c r="BN284" s="155">
        <v>0.0</v>
      </c>
      <c r="BO284" s="155">
        <v>0.0</v>
      </c>
      <c r="BP284" s="155">
        <v>0.0</v>
      </c>
      <c r="BQ284" s="155">
        <v>0.0</v>
      </c>
      <c r="BR284" s="155">
        <v>0.0</v>
      </c>
      <c r="BS284" s="155">
        <v>0.0</v>
      </c>
      <c r="CV284" s="156">
        <v>0.0</v>
      </c>
      <c r="CW284" s="156">
        <v>0.0</v>
      </c>
      <c r="CX284" s="156">
        <v>0.0</v>
      </c>
      <c r="CY284" s="156">
        <v>0.0</v>
      </c>
      <c r="CZ284" s="156">
        <v>0.0</v>
      </c>
      <c r="DA284" s="156">
        <v>0.0</v>
      </c>
      <c r="EG284" s="156">
        <v>0.0</v>
      </c>
      <c r="EH284" s="156">
        <v>0.0</v>
      </c>
      <c r="EI284" s="156">
        <v>0.0</v>
      </c>
      <c r="EJ284" s="156">
        <v>0.0</v>
      </c>
      <c r="EK284" s="156">
        <v>0.0</v>
      </c>
      <c r="EL284" s="156">
        <v>0.0</v>
      </c>
      <c r="FQ284" s="156">
        <v>0.0</v>
      </c>
      <c r="FR284" s="156">
        <v>0.0</v>
      </c>
      <c r="FS284" s="156">
        <v>0.0</v>
      </c>
      <c r="FT284" s="156">
        <v>0.0</v>
      </c>
      <c r="FU284" s="156">
        <v>0.0</v>
      </c>
      <c r="FV284" s="156">
        <v>0.0</v>
      </c>
      <c r="FW284" s="157"/>
      <c r="FX284" s="157"/>
      <c r="FY284" s="157"/>
      <c r="FZ284" s="157"/>
      <c r="GA284" s="157"/>
      <c r="GB284" s="157"/>
      <c r="GC284" s="157"/>
      <c r="GD284" s="157"/>
      <c r="GE284" s="157"/>
      <c r="GF284" s="157"/>
      <c r="GG284" s="157"/>
      <c r="GH284" s="157"/>
      <c r="GI284" s="157"/>
      <c r="GJ284" s="157"/>
      <c r="GK284" s="157"/>
      <c r="GL284" s="157"/>
      <c r="GM284" s="157"/>
      <c r="GN284" s="157"/>
      <c r="GO284" s="157"/>
      <c r="GP284" s="158"/>
      <c r="GQ284" s="157"/>
      <c r="GR284" s="157"/>
      <c r="GS284" s="157"/>
      <c r="GT284" s="157"/>
      <c r="GU284" s="157"/>
      <c r="GV284" s="157"/>
      <c r="GW284" s="157"/>
      <c r="GX284" s="157"/>
      <c r="GY284" s="157"/>
      <c r="GZ284" s="157"/>
      <c r="HA284" s="157"/>
      <c r="HB284" s="155">
        <v>0.0</v>
      </c>
      <c r="HC284" s="155">
        <v>0.0</v>
      </c>
      <c r="HD284" s="155">
        <v>0.0</v>
      </c>
      <c r="HE284" s="155">
        <v>0.0</v>
      </c>
      <c r="HF284" s="155">
        <v>0.0</v>
      </c>
      <c r="HG284" s="155">
        <v>0.0</v>
      </c>
      <c r="IL284" s="159">
        <v>0.0</v>
      </c>
      <c r="IM284" s="156">
        <v>0.0</v>
      </c>
      <c r="IN284" s="156">
        <v>0.0</v>
      </c>
      <c r="IO284" s="156">
        <v>0.0</v>
      </c>
      <c r="IP284" s="156">
        <v>0.0</v>
      </c>
      <c r="IQ284" s="160">
        <v>0.0</v>
      </c>
      <c r="JH284" s="25"/>
      <c r="JW284" s="159">
        <v>0.0</v>
      </c>
      <c r="JX284" s="156">
        <v>0.0</v>
      </c>
      <c r="JY284" s="156">
        <v>0.0</v>
      </c>
      <c r="JZ284" s="156">
        <v>0.0</v>
      </c>
      <c r="KA284" s="156">
        <v>0.0</v>
      </c>
      <c r="KB284" s="160">
        <v>0.0</v>
      </c>
      <c r="LH284" s="159">
        <f t="shared" si="10"/>
        <v>0</v>
      </c>
      <c r="LI284" s="156">
        <f t="shared" si="11"/>
        <v>0</v>
      </c>
      <c r="LJ284" s="156">
        <f t="shared" si="12"/>
        <v>0</v>
      </c>
      <c r="LK284" s="156">
        <f t="shared" si="13"/>
        <v>0</v>
      </c>
      <c r="LL284" s="156">
        <f t="shared" si="14"/>
        <v>0</v>
      </c>
      <c r="LM284" s="160">
        <f t="shared" si="15"/>
        <v>0</v>
      </c>
      <c r="QX284" s="107">
        <v>45899.0</v>
      </c>
    </row>
    <row r="285">
      <c r="A285" s="12"/>
      <c r="B285" s="12"/>
      <c r="C285" s="12"/>
      <c r="D285" s="12"/>
      <c r="E285" s="12"/>
      <c r="F285" s="12"/>
      <c r="G285" s="12"/>
      <c r="H285" s="12"/>
      <c r="I285" s="143">
        <f t="shared" si="5"/>
        <v>-15</v>
      </c>
      <c r="J285" s="144">
        <v>45906.0</v>
      </c>
      <c r="K285" s="195" t="s">
        <v>61</v>
      </c>
      <c r="L285" s="144">
        <v>45954.0</v>
      </c>
      <c r="M285" s="147" t="s">
        <v>1442</v>
      </c>
      <c r="N285" s="148">
        <v>357.0</v>
      </c>
      <c r="O285" s="148">
        <v>30.0</v>
      </c>
      <c r="P285" s="26"/>
      <c r="Q285" s="26"/>
      <c r="R285" s="26"/>
      <c r="S285" s="26"/>
      <c r="T285" s="26"/>
      <c r="U285" s="147" t="s">
        <v>2133</v>
      </c>
      <c r="V285" s="197"/>
      <c r="W285" s="198" t="s">
        <v>2902</v>
      </c>
      <c r="X285" s="181">
        <v>15.0</v>
      </c>
      <c r="Y285" s="166">
        <f t="shared" si="6"/>
        <v>15</v>
      </c>
      <c r="Z285" s="26">
        <f t="shared" si="7"/>
        <v>0</v>
      </c>
      <c r="AA285" s="26">
        <f t="shared" si="8"/>
        <v>0</v>
      </c>
      <c r="AB285" s="26">
        <f t="shared" si="9"/>
        <v>0</v>
      </c>
      <c r="AC285" s="155">
        <v>0.0</v>
      </c>
      <c r="AD285" s="155">
        <v>0.0</v>
      </c>
      <c r="AE285" s="155">
        <v>0.0</v>
      </c>
      <c r="AF285" s="155">
        <v>0.0</v>
      </c>
      <c r="AG285" s="155">
        <v>0.0</v>
      </c>
      <c r="AH285" s="155">
        <v>0.0</v>
      </c>
      <c r="BN285" s="155">
        <v>0.0</v>
      </c>
      <c r="BO285" s="155">
        <v>0.0</v>
      </c>
      <c r="BP285" s="155">
        <v>0.0</v>
      </c>
      <c r="BQ285" s="155">
        <v>0.0</v>
      </c>
      <c r="BR285" s="155">
        <v>0.0</v>
      </c>
      <c r="BS285" s="155">
        <v>0.0</v>
      </c>
      <c r="CV285" s="156">
        <v>0.0</v>
      </c>
      <c r="CW285" s="156">
        <v>0.0</v>
      </c>
      <c r="CX285" s="156">
        <v>0.0</v>
      </c>
      <c r="CY285" s="156">
        <v>0.0</v>
      </c>
      <c r="CZ285" s="156">
        <v>0.0</v>
      </c>
      <c r="DA285" s="156">
        <v>0.0</v>
      </c>
      <c r="EG285" s="156">
        <v>0.0</v>
      </c>
      <c r="EH285" s="156">
        <v>0.0</v>
      </c>
      <c r="EI285" s="156">
        <v>0.0</v>
      </c>
      <c r="EJ285" s="156">
        <v>0.0</v>
      </c>
      <c r="EK285" s="156">
        <v>0.0</v>
      </c>
      <c r="EL285" s="156">
        <v>0.0</v>
      </c>
      <c r="FQ285" s="156">
        <v>0.0</v>
      </c>
      <c r="FR285" s="156">
        <v>0.0</v>
      </c>
      <c r="FS285" s="156">
        <v>0.0</v>
      </c>
      <c r="FT285" s="156">
        <v>0.0</v>
      </c>
      <c r="FU285" s="156">
        <v>0.0</v>
      </c>
      <c r="FV285" s="156">
        <v>0.0</v>
      </c>
      <c r="FW285" s="157"/>
      <c r="FX285" s="157"/>
      <c r="FY285" s="157"/>
      <c r="FZ285" s="157"/>
      <c r="GA285" s="157"/>
      <c r="GB285" s="157"/>
      <c r="GC285" s="157"/>
      <c r="GD285" s="157"/>
      <c r="GE285" s="157"/>
      <c r="GF285" s="157"/>
      <c r="GG285" s="157"/>
      <c r="GH285" s="157"/>
      <c r="GI285" s="157"/>
      <c r="GJ285" s="157"/>
      <c r="GK285" s="157"/>
      <c r="GL285" s="157"/>
      <c r="GM285" s="157"/>
      <c r="GN285" s="157"/>
      <c r="GO285" s="157"/>
      <c r="GP285" s="158"/>
      <c r="GQ285" s="157"/>
      <c r="GR285" s="157"/>
      <c r="GS285" s="157"/>
      <c r="GT285" s="157"/>
      <c r="GU285" s="157"/>
      <c r="GV285" s="157"/>
      <c r="GW285" s="157"/>
      <c r="GX285" s="157"/>
      <c r="GY285" s="157"/>
      <c r="GZ285" s="157"/>
      <c r="HA285" s="157"/>
      <c r="HB285" s="155">
        <v>0.0</v>
      </c>
      <c r="HC285" s="155">
        <v>0.0</v>
      </c>
      <c r="HD285" s="155">
        <v>0.0</v>
      </c>
      <c r="HE285" s="155">
        <v>0.0</v>
      </c>
      <c r="HF285" s="155">
        <v>0.0</v>
      </c>
      <c r="HG285" s="155">
        <v>0.0</v>
      </c>
      <c r="IL285" s="159">
        <v>0.0</v>
      </c>
      <c r="IM285" s="156">
        <v>0.0</v>
      </c>
      <c r="IN285" s="156">
        <v>0.0</v>
      </c>
      <c r="IO285" s="156">
        <v>0.0</v>
      </c>
      <c r="IP285" s="156">
        <v>0.0</v>
      </c>
      <c r="IQ285" s="160">
        <v>0.0</v>
      </c>
      <c r="JH285" s="25"/>
      <c r="JW285" s="159">
        <v>0.0</v>
      </c>
      <c r="JX285" s="156">
        <v>0.0</v>
      </c>
      <c r="JY285" s="156">
        <v>0.0</v>
      </c>
      <c r="JZ285" s="156">
        <v>0.0</v>
      </c>
      <c r="KA285" s="156">
        <v>0.0</v>
      </c>
      <c r="KB285" s="160">
        <v>0.0</v>
      </c>
      <c r="LH285" s="159">
        <f t="shared" si="10"/>
        <v>0</v>
      </c>
      <c r="LI285" s="156">
        <f t="shared" si="11"/>
        <v>0</v>
      </c>
      <c r="LJ285" s="156">
        <f t="shared" si="12"/>
        <v>0</v>
      </c>
      <c r="LK285" s="156">
        <f t="shared" si="13"/>
        <v>0</v>
      </c>
      <c r="LL285" s="156">
        <f t="shared" si="14"/>
        <v>0</v>
      </c>
      <c r="LM285" s="160">
        <f t="shared" si="15"/>
        <v>0</v>
      </c>
      <c r="QX285" s="107">
        <v>45899.0</v>
      </c>
    </row>
    <row r="286">
      <c r="A286" s="12"/>
      <c r="B286" s="12"/>
      <c r="C286" s="12"/>
      <c r="D286" s="12"/>
      <c r="E286" s="12"/>
      <c r="F286" s="12"/>
      <c r="G286" s="12"/>
      <c r="H286" s="12"/>
      <c r="I286" s="143">
        <f t="shared" si="5"/>
        <v>-30</v>
      </c>
      <c r="J286" s="144">
        <v>45908.0</v>
      </c>
      <c r="K286" s="145" t="s">
        <v>61</v>
      </c>
      <c r="L286" s="171">
        <v>46094.0</v>
      </c>
      <c r="M286" s="147" t="s">
        <v>1733</v>
      </c>
      <c r="N286" s="148">
        <v>26.0</v>
      </c>
      <c r="O286" s="148">
        <v>30.0</v>
      </c>
      <c r="P286" s="26"/>
      <c r="Q286" s="26"/>
      <c r="R286" s="26"/>
      <c r="S286" s="26"/>
      <c r="T286" s="26"/>
      <c r="U286" s="147" t="s">
        <v>2519</v>
      </c>
      <c r="V286" s="149" t="s">
        <v>307</v>
      </c>
      <c r="W286" s="150" t="s">
        <v>2904</v>
      </c>
      <c r="X286" s="181">
        <v>23.0</v>
      </c>
      <c r="Y286" s="166">
        <f t="shared" si="6"/>
        <v>30</v>
      </c>
      <c r="Z286" s="26">
        <f t="shared" si="7"/>
        <v>0</v>
      </c>
      <c r="AA286" s="26">
        <f t="shared" si="8"/>
        <v>0</v>
      </c>
      <c r="AB286" s="26">
        <f t="shared" si="9"/>
        <v>0</v>
      </c>
      <c r="AC286" s="155">
        <v>4.0</v>
      </c>
      <c r="AD286" s="155">
        <v>0.0</v>
      </c>
      <c r="AE286" s="155">
        <v>0.0</v>
      </c>
      <c r="AF286" s="155">
        <v>0.0</v>
      </c>
      <c r="AG286" s="155">
        <v>0.0</v>
      </c>
      <c r="AH286" s="155">
        <v>0.0</v>
      </c>
      <c r="AP286" s="86">
        <v>1.0</v>
      </c>
      <c r="AW286" s="86">
        <v>1.0</v>
      </c>
      <c r="BD286" s="86">
        <v>1.0</v>
      </c>
      <c r="BK286" s="86">
        <v>1.0</v>
      </c>
      <c r="BN286" s="155">
        <v>3.0</v>
      </c>
      <c r="BO286" s="155">
        <v>0.0</v>
      </c>
      <c r="BP286" s="155">
        <v>0.0</v>
      </c>
      <c r="BQ286" s="155">
        <v>0.0</v>
      </c>
      <c r="BR286" s="155">
        <v>0.0</v>
      </c>
      <c r="BS286" s="155">
        <v>0.0</v>
      </c>
      <c r="BX286" s="86">
        <v>1.0</v>
      </c>
      <c r="CA286" s="86">
        <v>1.0</v>
      </c>
      <c r="CE286" s="86">
        <v>1.0</v>
      </c>
      <c r="CV286" s="156">
        <v>0.0</v>
      </c>
      <c r="CW286" s="156">
        <v>0.0</v>
      </c>
      <c r="CX286" s="156">
        <v>0.0</v>
      </c>
      <c r="CY286" s="156">
        <v>0.0</v>
      </c>
      <c r="CZ286" s="156">
        <v>0.0</v>
      </c>
      <c r="DA286" s="156">
        <v>0.0</v>
      </c>
      <c r="EG286" s="156">
        <v>0.0</v>
      </c>
      <c r="EH286" s="156">
        <v>0.0</v>
      </c>
      <c r="EI286" s="156">
        <v>0.0</v>
      </c>
      <c r="EJ286" s="156">
        <v>0.0</v>
      </c>
      <c r="EK286" s="156">
        <v>0.0</v>
      </c>
      <c r="EL286" s="156">
        <v>0.0</v>
      </c>
      <c r="FQ286" s="156">
        <v>0.0</v>
      </c>
      <c r="FR286" s="156">
        <v>0.0</v>
      </c>
      <c r="FS286" s="156">
        <v>0.0</v>
      </c>
      <c r="FT286" s="156">
        <v>0.0</v>
      </c>
      <c r="FU286" s="156">
        <v>0.0</v>
      </c>
      <c r="FV286" s="156">
        <v>0.0</v>
      </c>
      <c r="FW286" s="157"/>
      <c r="FX286" s="157"/>
      <c r="FY286" s="157"/>
      <c r="FZ286" s="157"/>
      <c r="GA286" s="157"/>
      <c r="GB286" s="157"/>
      <c r="GC286" s="157"/>
      <c r="GD286" s="157"/>
      <c r="GE286" s="157"/>
      <c r="GF286" s="157"/>
      <c r="GG286" s="157"/>
      <c r="GH286" s="157"/>
      <c r="GI286" s="157"/>
      <c r="GJ286" s="157"/>
      <c r="GK286" s="157"/>
      <c r="GL286" s="157"/>
      <c r="GM286" s="157"/>
      <c r="GN286" s="157"/>
      <c r="GO286" s="157"/>
      <c r="GP286" s="158"/>
      <c r="GQ286" s="157"/>
      <c r="GR286" s="157"/>
      <c r="GS286" s="157"/>
      <c r="GT286" s="157"/>
      <c r="GU286" s="157"/>
      <c r="GV286" s="157"/>
      <c r="GW286" s="157"/>
      <c r="GX286" s="157"/>
      <c r="GY286" s="157"/>
      <c r="GZ286" s="157"/>
      <c r="HA286" s="157"/>
      <c r="HB286" s="155">
        <v>0.0</v>
      </c>
      <c r="HC286" s="155">
        <v>0.0</v>
      </c>
      <c r="HD286" s="155">
        <v>0.0</v>
      </c>
      <c r="HE286" s="155">
        <v>0.0</v>
      </c>
      <c r="HF286" s="155">
        <v>0.0</v>
      </c>
      <c r="HG286" s="155">
        <v>0.0</v>
      </c>
      <c r="IL286" s="159">
        <v>0.0</v>
      </c>
      <c r="IM286" s="156">
        <v>0.0</v>
      </c>
      <c r="IN286" s="156">
        <v>0.0</v>
      </c>
      <c r="IO286" s="156">
        <v>0.0</v>
      </c>
      <c r="IP286" s="156">
        <v>0.0</v>
      </c>
      <c r="IQ286" s="160">
        <v>0.0</v>
      </c>
      <c r="JH286" s="25"/>
      <c r="JW286" s="159">
        <v>0.0</v>
      </c>
      <c r="JX286" s="156">
        <v>0.0</v>
      </c>
      <c r="JY286" s="156">
        <v>0.0</v>
      </c>
      <c r="JZ286" s="156">
        <v>0.0</v>
      </c>
      <c r="KA286" s="156">
        <v>0.0</v>
      </c>
      <c r="KB286" s="160">
        <v>0.0</v>
      </c>
      <c r="LH286" s="159">
        <f t="shared" si="10"/>
        <v>0</v>
      </c>
      <c r="LI286" s="156">
        <f t="shared" si="11"/>
        <v>0</v>
      </c>
      <c r="LJ286" s="156">
        <f t="shared" si="12"/>
        <v>0</v>
      </c>
      <c r="LK286" s="156">
        <f t="shared" si="13"/>
        <v>0</v>
      </c>
      <c r="LL286" s="156">
        <f t="shared" si="14"/>
        <v>0</v>
      </c>
      <c r="LM286" s="160">
        <f t="shared" si="15"/>
        <v>0</v>
      </c>
      <c r="QX286" s="107">
        <v>45899.0</v>
      </c>
    </row>
    <row r="287">
      <c r="A287" s="12"/>
      <c r="B287" s="12"/>
      <c r="C287" s="12"/>
      <c r="D287" s="12"/>
      <c r="E287" s="12"/>
      <c r="F287" s="12"/>
      <c r="G287" s="12"/>
      <c r="H287" s="12"/>
      <c r="I287" s="447">
        <f t="shared" si="5"/>
        <v>0</v>
      </c>
      <c r="J287" s="146"/>
      <c r="K287" s="449" t="s">
        <v>42</v>
      </c>
      <c r="L287" s="460" t="s">
        <v>2905</v>
      </c>
      <c r="M287" s="461" t="s">
        <v>2907</v>
      </c>
      <c r="N287" s="462">
        <v>246.0</v>
      </c>
      <c r="O287" s="462">
        <v>30.0</v>
      </c>
      <c r="P287" s="26"/>
      <c r="Q287" s="26"/>
      <c r="R287" s="26"/>
      <c r="S287" s="26"/>
      <c r="T287" s="26"/>
      <c r="U287" s="26"/>
      <c r="V287" s="197"/>
      <c r="W287" s="463" t="s">
        <v>2908</v>
      </c>
      <c r="X287" s="181">
        <v>0.0</v>
      </c>
      <c r="Y287" s="166">
        <f t="shared" si="6"/>
        <v>0</v>
      </c>
      <c r="Z287" s="455">
        <f t="shared" si="7"/>
        <v>0</v>
      </c>
      <c r="AA287" s="455">
        <f t="shared" si="8"/>
        <v>0</v>
      </c>
      <c r="AB287" s="455">
        <f t="shared" si="9"/>
        <v>0</v>
      </c>
      <c r="AC287" s="155">
        <v>0.0</v>
      </c>
      <c r="AD287" s="155">
        <v>0.0</v>
      </c>
      <c r="AE287" s="155">
        <v>0.0</v>
      </c>
      <c r="AF287" s="155">
        <v>0.0</v>
      </c>
      <c r="AG287" s="155">
        <v>0.0</v>
      </c>
      <c r="AH287" s="155">
        <v>0.0</v>
      </c>
      <c r="BN287" s="155">
        <v>0.0</v>
      </c>
      <c r="BO287" s="155">
        <v>0.0</v>
      </c>
      <c r="BP287" s="155">
        <v>0.0</v>
      </c>
      <c r="BQ287" s="155">
        <v>0.0</v>
      </c>
      <c r="BR287" s="155">
        <v>0.0</v>
      </c>
      <c r="BS287" s="155">
        <v>0.0</v>
      </c>
      <c r="CV287" s="156">
        <v>0.0</v>
      </c>
      <c r="CW287" s="156">
        <v>0.0</v>
      </c>
      <c r="CX287" s="156">
        <v>0.0</v>
      </c>
      <c r="CY287" s="156">
        <v>0.0</v>
      </c>
      <c r="CZ287" s="156">
        <v>0.0</v>
      </c>
      <c r="DA287" s="156">
        <v>0.0</v>
      </c>
      <c r="EG287" s="156">
        <v>0.0</v>
      </c>
      <c r="EH287" s="156">
        <v>0.0</v>
      </c>
      <c r="EI287" s="156">
        <v>0.0</v>
      </c>
      <c r="EJ287" s="156">
        <v>0.0</v>
      </c>
      <c r="EK287" s="156">
        <v>0.0</v>
      </c>
      <c r="EL287" s="156">
        <v>0.0</v>
      </c>
      <c r="FQ287" s="156">
        <v>0.0</v>
      </c>
      <c r="FR287" s="156">
        <v>0.0</v>
      </c>
      <c r="FS287" s="156">
        <v>0.0</v>
      </c>
      <c r="FT287" s="156">
        <v>0.0</v>
      </c>
      <c r="FU287" s="156">
        <v>0.0</v>
      </c>
      <c r="FV287" s="156">
        <v>0.0</v>
      </c>
      <c r="FW287" s="157"/>
      <c r="FX287" s="157"/>
      <c r="FY287" s="157"/>
      <c r="FZ287" s="157"/>
      <c r="GA287" s="157"/>
      <c r="GB287" s="157"/>
      <c r="GC287" s="157"/>
      <c r="GD287" s="157"/>
      <c r="GE287" s="157"/>
      <c r="GF287" s="157"/>
      <c r="GG287" s="157"/>
      <c r="GH287" s="157"/>
      <c r="GI287" s="157"/>
      <c r="GJ287" s="157"/>
      <c r="GK287" s="157"/>
      <c r="GL287" s="157"/>
      <c r="GM287" s="157"/>
      <c r="GN287" s="157"/>
      <c r="GO287" s="157"/>
      <c r="GP287" s="158"/>
      <c r="GQ287" s="157"/>
      <c r="GR287" s="157"/>
      <c r="GS287" s="157"/>
      <c r="GT287" s="157"/>
      <c r="GU287" s="157"/>
      <c r="GV287" s="157"/>
      <c r="GW287" s="157"/>
      <c r="GX287" s="157"/>
      <c r="GY287" s="157"/>
      <c r="GZ287" s="157"/>
      <c r="HA287" s="157"/>
      <c r="HB287" s="155">
        <v>0.0</v>
      </c>
      <c r="HC287" s="155">
        <v>0.0</v>
      </c>
      <c r="HD287" s="155">
        <v>0.0</v>
      </c>
      <c r="HE287" s="155">
        <v>0.0</v>
      </c>
      <c r="HF287" s="155">
        <v>0.0</v>
      </c>
      <c r="HG287" s="155">
        <v>0.0</v>
      </c>
      <c r="IL287" s="159">
        <v>0.0</v>
      </c>
      <c r="IM287" s="156">
        <v>0.0</v>
      </c>
      <c r="IN287" s="156">
        <v>0.0</v>
      </c>
      <c r="IO287" s="156">
        <v>0.0</v>
      </c>
      <c r="IP287" s="156">
        <v>0.0</v>
      </c>
      <c r="IQ287" s="160">
        <v>0.0</v>
      </c>
      <c r="JH287" s="25"/>
      <c r="JW287" s="159">
        <v>0.0</v>
      </c>
      <c r="JX287" s="156">
        <v>0.0</v>
      </c>
      <c r="JY287" s="156">
        <v>0.0</v>
      </c>
      <c r="JZ287" s="156">
        <v>0.0</v>
      </c>
      <c r="KA287" s="156">
        <v>0.0</v>
      </c>
      <c r="KB287" s="160">
        <v>0.0</v>
      </c>
      <c r="LH287" s="159">
        <f t="shared" si="10"/>
        <v>0</v>
      </c>
      <c r="LI287" s="156">
        <f t="shared" si="11"/>
        <v>0</v>
      </c>
      <c r="LJ287" s="156">
        <f t="shared" si="12"/>
        <v>0</v>
      </c>
      <c r="LK287" s="156">
        <f t="shared" si="13"/>
        <v>0</v>
      </c>
      <c r="LL287" s="156">
        <f t="shared" si="14"/>
        <v>0</v>
      </c>
      <c r="LM287" s="160">
        <f t="shared" si="15"/>
        <v>0</v>
      </c>
      <c r="QX287" s="107">
        <v>45899.0</v>
      </c>
    </row>
    <row r="288">
      <c r="A288" s="12"/>
      <c r="B288" s="12"/>
      <c r="C288" s="12"/>
      <c r="D288" s="12"/>
      <c r="E288" s="12"/>
      <c r="F288" s="12"/>
      <c r="G288" s="12"/>
      <c r="H288" s="12"/>
      <c r="I288" s="143">
        <f t="shared" si="5"/>
        <v>-33</v>
      </c>
      <c r="J288" s="144">
        <v>45909.0</v>
      </c>
      <c r="K288" s="145" t="s">
        <v>61</v>
      </c>
      <c r="L288" s="171">
        <v>46030.0</v>
      </c>
      <c r="M288" s="147" t="s">
        <v>348</v>
      </c>
      <c r="N288" s="148">
        <v>357.0</v>
      </c>
      <c r="O288" s="148">
        <v>30.0</v>
      </c>
      <c r="P288" s="26"/>
      <c r="Q288" s="26"/>
      <c r="R288" s="26"/>
      <c r="S288" s="26"/>
      <c r="T288" s="26"/>
      <c r="U288" s="147" t="s">
        <v>1092</v>
      </c>
      <c r="V288" s="149" t="s">
        <v>1093</v>
      </c>
      <c r="W288" s="150" t="s">
        <v>2910</v>
      </c>
      <c r="X288" s="181">
        <v>31.0</v>
      </c>
      <c r="Y288" s="166">
        <f t="shared" si="6"/>
        <v>33</v>
      </c>
      <c r="Z288" s="26">
        <f t="shared" si="7"/>
        <v>0</v>
      </c>
      <c r="AA288" s="26">
        <f t="shared" si="8"/>
        <v>0</v>
      </c>
      <c r="AB288" s="26">
        <f t="shared" si="9"/>
        <v>0</v>
      </c>
      <c r="AC288" s="155">
        <v>2.0</v>
      </c>
      <c r="AD288" s="155">
        <v>0.0</v>
      </c>
      <c r="AE288" s="155">
        <v>0.0</v>
      </c>
      <c r="AF288" s="155">
        <v>0.0</v>
      </c>
      <c r="AG288" s="155">
        <v>0.0</v>
      </c>
      <c r="AH288" s="155">
        <v>0.0</v>
      </c>
      <c r="AI288" s="167"/>
      <c r="AJ288" s="167"/>
      <c r="AK288" s="167"/>
      <c r="AL288" s="167"/>
      <c r="AM288" s="167"/>
      <c r="AN288" s="167">
        <v>1.0</v>
      </c>
      <c r="AO288" s="167">
        <v>0.0</v>
      </c>
      <c r="AP288" s="167">
        <v>1.0</v>
      </c>
      <c r="AQ288" s="167"/>
      <c r="AR288" s="167"/>
      <c r="AS288" s="167"/>
      <c r="AT288" s="167"/>
      <c r="AU288" s="167"/>
      <c r="AV288" s="167"/>
      <c r="AW288" s="167"/>
      <c r="AX288" s="167"/>
      <c r="AY288" s="167"/>
      <c r="AZ288" s="167"/>
      <c r="BA288" s="167"/>
      <c r="BB288" s="167"/>
      <c r="BC288" s="167"/>
      <c r="BD288" s="167"/>
      <c r="BE288" s="167"/>
      <c r="BF288" s="167"/>
      <c r="BG288" s="167"/>
      <c r="BH288" s="167"/>
      <c r="BI288" s="167"/>
      <c r="BJ288" s="167"/>
      <c r="BK288" s="167"/>
      <c r="BL288" s="167"/>
      <c r="BM288" s="167"/>
      <c r="BN288" s="155">
        <v>0.0</v>
      </c>
      <c r="BO288" s="155">
        <v>0.0</v>
      </c>
      <c r="BP288" s="155">
        <v>0.0</v>
      </c>
      <c r="BQ288" s="155">
        <v>0.0</v>
      </c>
      <c r="BR288" s="155">
        <v>0.0</v>
      </c>
      <c r="BS288" s="155">
        <v>0.0</v>
      </c>
      <c r="CV288" s="156">
        <v>0.0</v>
      </c>
      <c r="CW288" s="156">
        <v>0.0</v>
      </c>
      <c r="CX288" s="156">
        <v>0.0</v>
      </c>
      <c r="CY288" s="156">
        <v>0.0</v>
      </c>
      <c r="CZ288" s="156">
        <v>0.0</v>
      </c>
      <c r="DA288" s="156">
        <v>0.0</v>
      </c>
      <c r="EG288" s="156">
        <v>0.0</v>
      </c>
      <c r="EH288" s="156">
        <v>0.0</v>
      </c>
      <c r="EI288" s="156">
        <v>0.0</v>
      </c>
      <c r="EJ288" s="156">
        <v>0.0</v>
      </c>
      <c r="EK288" s="156">
        <v>0.0</v>
      </c>
      <c r="EL288" s="156">
        <v>0.0</v>
      </c>
      <c r="FQ288" s="156">
        <v>0.0</v>
      </c>
      <c r="FR288" s="156">
        <v>0.0</v>
      </c>
      <c r="FS288" s="156">
        <v>0.0</v>
      </c>
      <c r="FT288" s="156">
        <v>0.0</v>
      </c>
      <c r="FU288" s="156">
        <v>0.0</v>
      </c>
      <c r="FV288" s="156">
        <v>0.0</v>
      </c>
      <c r="FW288" s="157"/>
      <c r="FX288" s="157"/>
      <c r="FY288" s="157"/>
      <c r="FZ288" s="157"/>
      <c r="GA288" s="157"/>
      <c r="GB288" s="157"/>
      <c r="GC288" s="157"/>
      <c r="GD288" s="157"/>
      <c r="GE288" s="157"/>
      <c r="GF288" s="157"/>
      <c r="GG288" s="157"/>
      <c r="GH288" s="157"/>
      <c r="GI288" s="157"/>
      <c r="GJ288" s="157"/>
      <c r="GK288" s="157"/>
      <c r="GL288" s="157"/>
      <c r="GM288" s="157"/>
      <c r="GN288" s="157"/>
      <c r="GO288" s="157"/>
      <c r="GP288" s="158"/>
      <c r="GQ288" s="157"/>
      <c r="GR288" s="157"/>
      <c r="GS288" s="157"/>
      <c r="GT288" s="157"/>
      <c r="GU288" s="157"/>
      <c r="GV288" s="157"/>
      <c r="GW288" s="157"/>
      <c r="GX288" s="157"/>
      <c r="GY288" s="157"/>
      <c r="GZ288" s="157"/>
      <c r="HA288" s="157"/>
      <c r="HB288" s="155">
        <v>0.0</v>
      </c>
      <c r="HC288" s="155">
        <v>0.0</v>
      </c>
      <c r="HD288" s="155">
        <v>0.0</v>
      </c>
      <c r="HE288" s="155">
        <v>0.0</v>
      </c>
      <c r="HF288" s="155">
        <v>0.0</v>
      </c>
      <c r="HG288" s="155">
        <v>0.0</v>
      </c>
      <c r="IL288" s="159">
        <v>0.0</v>
      </c>
      <c r="IM288" s="156">
        <v>0.0</v>
      </c>
      <c r="IN288" s="156">
        <v>0.0</v>
      </c>
      <c r="IO288" s="156">
        <v>0.0</v>
      </c>
      <c r="IP288" s="156">
        <v>0.0</v>
      </c>
      <c r="IQ288" s="160">
        <v>0.0</v>
      </c>
      <c r="JH288" s="25"/>
      <c r="JW288" s="159">
        <v>0.0</v>
      </c>
      <c r="JX288" s="156">
        <v>0.0</v>
      </c>
      <c r="JY288" s="156">
        <v>0.0</v>
      </c>
      <c r="JZ288" s="156">
        <v>0.0</v>
      </c>
      <c r="KA288" s="156">
        <v>0.0</v>
      </c>
      <c r="KB288" s="160">
        <v>0.0</v>
      </c>
      <c r="LH288" s="159">
        <f t="shared" si="10"/>
        <v>0</v>
      </c>
      <c r="LI288" s="156">
        <f t="shared" si="11"/>
        <v>0</v>
      </c>
      <c r="LJ288" s="156">
        <f t="shared" si="12"/>
        <v>0</v>
      </c>
      <c r="LK288" s="156">
        <f t="shared" si="13"/>
        <v>0</v>
      </c>
      <c r="LL288" s="156">
        <f t="shared" si="14"/>
        <v>0</v>
      </c>
      <c r="LM288" s="160">
        <f t="shared" si="15"/>
        <v>0</v>
      </c>
      <c r="QX288" s="107">
        <v>45899.0</v>
      </c>
    </row>
    <row r="289">
      <c r="A289" s="12"/>
      <c r="B289" s="12"/>
      <c r="C289" s="12"/>
      <c r="D289" s="12"/>
      <c r="E289" s="12"/>
      <c r="F289" s="12"/>
      <c r="G289" s="12"/>
      <c r="H289" s="12"/>
      <c r="I289" s="143">
        <f t="shared" si="5"/>
        <v>-34</v>
      </c>
      <c r="J289" s="295">
        <v>45906.0</v>
      </c>
      <c r="K289" s="184" t="s">
        <v>53</v>
      </c>
      <c r="L289" s="297">
        <v>46015.0</v>
      </c>
      <c r="M289" s="147" t="s">
        <v>2911</v>
      </c>
      <c r="N289" s="148">
        <v>357.0</v>
      </c>
      <c r="O289" s="148">
        <v>30.0</v>
      </c>
      <c r="P289" s="26"/>
      <c r="Q289" s="26"/>
      <c r="R289" s="26"/>
      <c r="S289" s="26"/>
      <c r="T289" s="26"/>
      <c r="U289" s="147" t="s">
        <v>2519</v>
      </c>
      <c r="V289" s="149" t="s">
        <v>307</v>
      </c>
      <c r="W289" s="150" t="s">
        <v>2912</v>
      </c>
      <c r="X289" s="181">
        <v>29.0</v>
      </c>
      <c r="Y289" s="166">
        <f t="shared" si="6"/>
        <v>34</v>
      </c>
      <c r="Z289" s="26">
        <f t="shared" si="7"/>
        <v>0</v>
      </c>
      <c r="AA289" s="26">
        <f t="shared" si="8"/>
        <v>0</v>
      </c>
      <c r="AB289" s="26">
        <f t="shared" si="9"/>
        <v>0</v>
      </c>
      <c r="AC289" s="155">
        <v>5.0</v>
      </c>
      <c r="AD289" s="155">
        <v>0.0</v>
      </c>
      <c r="AE289" s="155">
        <v>0.0</v>
      </c>
      <c r="AF289" s="155">
        <v>0.0</v>
      </c>
      <c r="AG289" s="155">
        <v>0.0</v>
      </c>
      <c r="AH289" s="155">
        <v>0.0</v>
      </c>
      <c r="AI289" s="167"/>
      <c r="AJ289" s="167"/>
      <c r="AK289" s="167">
        <v>1.0</v>
      </c>
      <c r="AL289" s="167"/>
      <c r="AM289" s="167"/>
      <c r="AN289" s="167"/>
      <c r="AO289" s="167"/>
      <c r="AP289" s="167">
        <v>1.0</v>
      </c>
      <c r="AQ289" s="167"/>
      <c r="AR289" s="167"/>
      <c r="AS289" s="167"/>
      <c r="AT289" s="167"/>
      <c r="AU289" s="167"/>
      <c r="AV289" s="167"/>
      <c r="AW289" s="167">
        <v>1.0</v>
      </c>
      <c r="AX289" s="167">
        <v>0.0</v>
      </c>
      <c r="AY289" s="167">
        <v>1.0</v>
      </c>
      <c r="AZ289" s="167"/>
      <c r="BA289" s="167"/>
      <c r="BB289" s="167"/>
      <c r="BC289" s="167"/>
      <c r="BD289" s="167">
        <v>1.0</v>
      </c>
      <c r="BE289" s="167"/>
      <c r="BF289" s="167"/>
      <c r="BG289" s="167"/>
      <c r="BH289" s="167"/>
      <c r="BI289" s="167"/>
      <c r="BJ289" s="167"/>
      <c r="BK289" s="167"/>
      <c r="BL289" s="167"/>
      <c r="BM289" s="167"/>
      <c r="BN289" s="155">
        <v>0.0</v>
      </c>
      <c r="BO289" s="155">
        <v>0.0</v>
      </c>
      <c r="BP289" s="155">
        <v>0.0</v>
      </c>
      <c r="BQ289" s="155">
        <v>0.0</v>
      </c>
      <c r="BR289" s="155">
        <v>0.0</v>
      </c>
      <c r="BS289" s="155">
        <v>0.0</v>
      </c>
      <c r="CV289" s="156">
        <v>0.0</v>
      </c>
      <c r="CW289" s="156">
        <v>0.0</v>
      </c>
      <c r="CX289" s="156">
        <v>0.0</v>
      </c>
      <c r="CY289" s="156">
        <v>0.0</v>
      </c>
      <c r="CZ289" s="156">
        <v>0.0</v>
      </c>
      <c r="DA289" s="156">
        <v>0.0</v>
      </c>
      <c r="EG289" s="156">
        <v>0.0</v>
      </c>
      <c r="EH289" s="156">
        <v>0.0</v>
      </c>
      <c r="EI289" s="156">
        <v>0.0</v>
      </c>
      <c r="EJ289" s="156">
        <v>0.0</v>
      </c>
      <c r="EK289" s="156">
        <v>0.0</v>
      </c>
      <c r="EL289" s="156">
        <v>0.0</v>
      </c>
      <c r="FQ289" s="156">
        <v>0.0</v>
      </c>
      <c r="FR289" s="156">
        <v>0.0</v>
      </c>
      <c r="FS289" s="156">
        <v>0.0</v>
      </c>
      <c r="FT289" s="156">
        <v>0.0</v>
      </c>
      <c r="FU289" s="156">
        <v>0.0</v>
      </c>
      <c r="FV289" s="156">
        <v>0.0</v>
      </c>
      <c r="FW289" s="157"/>
      <c r="FX289" s="157"/>
      <c r="FY289" s="157"/>
      <c r="FZ289" s="157"/>
      <c r="GA289" s="157"/>
      <c r="GB289" s="157"/>
      <c r="GC289" s="157"/>
      <c r="GD289" s="157"/>
      <c r="GE289" s="157"/>
      <c r="GF289" s="157"/>
      <c r="GG289" s="157"/>
      <c r="GH289" s="157"/>
      <c r="GI289" s="157"/>
      <c r="GJ289" s="157"/>
      <c r="GK289" s="157"/>
      <c r="GL289" s="157"/>
      <c r="GM289" s="157"/>
      <c r="GN289" s="157"/>
      <c r="GO289" s="157"/>
      <c r="GP289" s="158"/>
      <c r="GQ289" s="157"/>
      <c r="GR289" s="157"/>
      <c r="GS289" s="157"/>
      <c r="GT289" s="157"/>
      <c r="GU289" s="157"/>
      <c r="GV289" s="157"/>
      <c r="GW289" s="157"/>
      <c r="GX289" s="157"/>
      <c r="GY289" s="157"/>
      <c r="GZ289" s="157"/>
      <c r="HA289" s="157"/>
      <c r="HB289" s="155">
        <v>0.0</v>
      </c>
      <c r="HC289" s="155">
        <v>0.0</v>
      </c>
      <c r="HD289" s="155">
        <v>0.0</v>
      </c>
      <c r="HE289" s="155">
        <v>0.0</v>
      </c>
      <c r="HF289" s="155">
        <v>0.0</v>
      </c>
      <c r="HG289" s="155">
        <v>0.0</v>
      </c>
      <c r="IL289" s="159">
        <v>0.0</v>
      </c>
      <c r="IM289" s="156">
        <v>0.0</v>
      </c>
      <c r="IN289" s="156">
        <v>0.0</v>
      </c>
      <c r="IO289" s="156">
        <v>0.0</v>
      </c>
      <c r="IP289" s="156">
        <v>0.0</v>
      </c>
      <c r="IQ289" s="160">
        <v>0.0</v>
      </c>
      <c r="JH289" s="25"/>
      <c r="JW289" s="159">
        <v>0.0</v>
      </c>
      <c r="JX289" s="156">
        <v>0.0</v>
      </c>
      <c r="JY289" s="156">
        <v>0.0</v>
      </c>
      <c r="JZ289" s="156">
        <v>0.0</v>
      </c>
      <c r="KA289" s="156">
        <v>0.0</v>
      </c>
      <c r="KB289" s="160">
        <v>0.0</v>
      </c>
      <c r="LH289" s="159">
        <f t="shared" si="10"/>
        <v>0</v>
      </c>
      <c r="LI289" s="156">
        <f t="shared" si="11"/>
        <v>0</v>
      </c>
      <c r="LJ289" s="156">
        <f t="shared" si="12"/>
        <v>0</v>
      </c>
      <c r="LK289" s="156">
        <f t="shared" si="13"/>
        <v>0</v>
      </c>
      <c r="LL289" s="156">
        <f t="shared" si="14"/>
        <v>0</v>
      </c>
      <c r="LM289" s="160">
        <f t="shared" si="15"/>
        <v>0</v>
      </c>
      <c r="QX289" s="107">
        <v>45899.0</v>
      </c>
    </row>
    <row r="290">
      <c r="A290" s="12"/>
      <c r="B290" s="12"/>
      <c r="C290" s="12"/>
      <c r="D290" s="12"/>
      <c r="E290" s="12"/>
      <c r="F290" s="12"/>
      <c r="G290" s="12"/>
      <c r="H290" s="12"/>
      <c r="I290" s="143">
        <f t="shared" si="5"/>
        <v>-30</v>
      </c>
      <c r="J290" s="144">
        <v>45908.0</v>
      </c>
      <c r="K290" s="173" t="s">
        <v>61</v>
      </c>
      <c r="L290" s="144">
        <v>45991.0</v>
      </c>
      <c r="M290" s="147" t="s">
        <v>435</v>
      </c>
      <c r="N290" s="148">
        <v>246.0</v>
      </c>
      <c r="O290" s="148">
        <v>30.0</v>
      </c>
      <c r="P290" s="26"/>
      <c r="Q290" s="26"/>
      <c r="R290" s="26"/>
      <c r="S290" s="26"/>
      <c r="T290" s="26"/>
      <c r="U290" s="147" t="s">
        <v>1466</v>
      </c>
      <c r="V290" s="149" t="s">
        <v>1757</v>
      </c>
      <c r="W290" s="198" t="s">
        <v>2915</v>
      </c>
      <c r="X290" s="181">
        <v>30.0</v>
      </c>
      <c r="Y290" s="166">
        <f t="shared" si="6"/>
        <v>30</v>
      </c>
      <c r="Z290" s="26">
        <f t="shared" si="7"/>
        <v>0</v>
      </c>
      <c r="AA290" s="26">
        <f t="shared" si="8"/>
        <v>0</v>
      </c>
      <c r="AB290" s="26">
        <f t="shared" si="9"/>
        <v>0</v>
      </c>
      <c r="AC290" s="155">
        <v>0.0</v>
      </c>
      <c r="AD290" s="155">
        <v>0.0</v>
      </c>
      <c r="AE290" s="155">
        <v>0.0</v>
      </c>
      <c r="AF290" s="155">
        <v>0.0</v>
      </c>
      <c r="AG290" s="155">
        <v>0.0</v>
      </c>
      <c r="AH290" s="155">
        <v>0.0</v>
      </c>
      <c r="BN290" s="155">
        <v>0.0</v>
      </c>
      <c r="BO290" s="155">
        <v>0.0</v>
      </c>
      <c r="BP290" s="155">
        <v>0.0</v>
      </c>
      <c r="BQ290" s="155">
        <v>0.0</v>
      </c>
      <c r="BR290" s="155">
        <v>0.0</v>
      </c>
      <c r="BS290" s="155">
        <v>0.0</v>
      </c>
      <c r="CV290" s="156">
        <v>0.0</v>
      </c>
      <c r="CW290" s="156">
        <v>0.0</v>
      </c>
      <c r="CX290" s="156">
        <v>0.0</v>
      </c>
      <c r="CY290" s="156">
        <v>0.0</v>
      </c>
      <c r="CZ290" s="156">
        <v>0.0</v>
      </c>
      <c r="DA290" s="156">
        <v>0.0</v>
      </c>
      <c r="EG290" s="156">
        <v>0.0</v>
      </c>
      <c r="EH290" s="156">
        <v>0.0</v>
      </c>
      <c r="EI290" s="156">
        <v>0.0</v>
      </c>
      <c r="EJ290" s="156">
        <v>0.0</v>
      </c>
      <c r="EK290" s="156">
        <v>0.0</v>
      </c>
      <c r="EL290" s="156">
        <v>0.0</v>
      </c>
      <c r="FQ290" s="156">
        <v>0.0</v>
      </c>
      <c r="FR290" s="156">
        <v>0.0</v>
      </c>
      <c r="FS290" s="156">
        <v>0.0</v>
      </c>
      <c r="FT290" s="156">
        <v>0.0</v>
      </c>
      <c r="FU290" s="156">
        <v>0.0</v>
      </c>
      <c r="FV290" s="156">
        <v>0.0</v>
      </c>
      <c r="FW290" s="157"/>
      <c r="FX290" s="157"/>
      <c r="FY290" s="157"/>
      <c r="FZ290" s="157"/>
      <c r="GA290" s="157"/>
      <c r="GB290" s="157"/>
      <c r="GC290" s="157"/>
      <c r="GD290" s="157"/>
      <c r="GE290" s="157"/>
      <c r="GF290" s="157"/>
      <c r="GG290" s="157"/>
      <c r="GH290" s="157"/>
      <c r="GI290" s="157"/>
      <c r="GJ290" s="157"/>
      <c r="GK290" s="157"/>
      <c r="GL290" s="157"/>
      <c r="GM290" s="157"/>
      <c r="GN290" s="157"/>
      <c r="GO290" s="157"/>
      <c r="GP290" s="158"/>
      <c r="GQ290" s="157"/>
      <c r="GR290" s="157"/>
      <c r="GS290" s="157"/>
      <c r="GT290" s="157"/>
      <c r="GU290" s="157"/>
      <c r="GV290" s="157"/>
      <c r="GW290" s="157"/>
      <c r="GX290" s="157"/>
      <c r="GY290" s="157"/>
      <c r="GZ290" s="157"/>
      <c r="HA290" s="157"/>
      <c r="HB290" s="155">
        <v>0.0</v>
      </c>
      <c r="HC290" s="155">
        <v>0.0</v>
      </c>
      <c r="HD290" s="155">
        <v>0.0</v>
      </c>
      <c r="HE290" s="155">
        <v>0.0</v>
      </c>
      <c r="HF290" s="155">
        <v>0.0</v>
      </c>
      <c r="HG290" s="155">
        <v>0.0</v>
      </c>
      <c r="IL290" s="159">
        <v>0.0</v>
      </c>
      <c r="IM290" s="156">
        <v>0.0</v>
      </c>
      <c r="IN290" s="156">
        <v>0.0</v>
      </c>
      <c r="IO290" s="156">
        <v>0.0</v>
      </c>
      <c r="IP290" s="156">
        <v>0.0</v>
      </c>
      <c r="IQ290" s="160">
        <v>0.0</v>
      </c>
      <c r="JH290" s="25"/>
      <c r="JW290" s="159">
        <v>0.0</v>
      </c>
      <c r="JX290" s="156">
        <v>0.0</v>
      </c>
      <c r="JY290" s="156">
        <v>0.0</v>
      </c>
      <c r="JZ290" s="156">
        <v>0.0</v>
      </c>
      <c r="KA290" s="156">
        <v>0.0</v>
      </c>
      <c r="KB290" s="160">
        <v>0.0</v>
      </c>
      <c r="LH290" s="159">
        <f t="shared" si="10"/>
        <v>0</v>
      </c>
      <c r="LI290" s="156">
        <f t="shared" si="11"/>
        <v>0</v>
      </c>
      <c r="LJ290" s="156">
        <f t="shared" si="12"/>
        <v>0</v>
      </c>
      <c r="LK290" s="156">
        <f t="shared" si="13"/>
        <v>0</v>
      </c>
      <c r="LL290" s="156">
        <f t="shared" si="14"/>
        <v>0</v>
      </c>
      <c r="LM290" s="160">
        <f t="shared" si="15"/>
        <v>0</v>
      </c>
      <c r="QX290" s="107">
        <v>45903.0</v>
      </c>
    </row>
    <row r="291">
      <c r="A291" s="12"/>
      <c r="B291" s="12"/>
      <c r="C291" s="12"/>
      <c r="D291" s="12"/>
      <c r="E291" s="12"/>
      <c r="F291" s="12"/>
      <c r="G291" s="12"/>
      <c r="H291" s="12"/>
      <c r="I291" s="143">
        <f t="shared" si="5"/>
        <v>-30</v>
      </c>
      <c r="J291" s="144">
        <v>45910.0</v>
      </c>
      <c r="K291" s="173" t="s">
        <v>61</v>
      </c>
      <c r="L291" s="144">
        <v>45981.0</v>
      </c>
      <c r="M291" s="147" t="s">
        <v>348</v>
      </c>
      <c r="N291" s="148">
        <v>246.0</v>
      </c>
      <c r="O291" s="148">
        <v>30.0</v>
      </c>
      <c r="P291" s="371"/>
      <c r="Q291" s="371"/>
      <c r="R291" s="371"/>
      <c r="S291" s="371"/>
      <c r="T291" s="371"/>
      <c r="U291" s="147" t="s">
        <v>2406</v>
      </c>
      <c r="V291" s="149" t="s">
        <v>1820</v>
      </c>
      <c r="W291" s="198" t="s">
        <v>2916</v>
      </c>
      <c r="X291" s="181">
        <v>30.0</v>
      </c>
      <c r="Y291" s="166">
        <f t="shared" si="6"/>
        <v>30</v>
      </c>
      <c r="Z291" s="26">
        <f t="shared" si="7"/>
        <v>0</v>
      </c>
      <c r="AA291" s="26">
        <f t="shared" si="8"/>
        <v>0</v>
      </c>
      <c r="AB291" s="26">
        <f t="shared" si="9"/>
        <v>0</v>
      </c>
      <c r="AC291" s="155">
        <v>0.0</v>
      </c>
      <c r="AD291" s="155">
        <v>0.0</v>
      </c>
      <c r="AE291" s="155">
        <v>0.0</v>
      </c>
      <c r="AF291" s="155">
        <v>0.0</v>
      </c>
      <c r="AG291" s="155">
        <v>0.0</v>
      </c>
      <c r="AH291" s="155">
        <v>0.0</v>
      </c>
      <c r="BN291" s="155">
        <v>0.0</v>
      </c>
      <c r="BO291" s="155">
        <v>0.0</v>
      </c>
      <c r="BP291" s="155">
        <v>0.0</v>
      </c>
      <c r="BQ291" s="155">
        <v>0.0</v>
      </c>
      <c r="BR291" s="155">
        <v>0.0</v>
      </c>
      <c r="BS291" s="155">
        <v>0.0</v>
      </c>
      <c r="CV291" s="156">
        <v>0.0</v>
      </c>
      <c r="CW291" s="156">
        <v>0.0</v>
      </c>
      <c r="CX291" s="156">
        <v>0.0</v>
      </c>
      <c r="CY291" s="156">
        <v>0.0</v>
      </c>
      <c r="CZ291" s="156">
        <v>0.0</v>
      </c>
      <c r="DA291" s="156">
        <v>0.0</v>
      </c>
      <c r="EG291" s="156">
        <v>0.0</v>
      </c>
      <c r="EH291" s="156">
        <v>0.0</v>
      </c>
      <c r="EI291" s="156">
        <v>0.0</v>
      </c>
      <c r="EJ291" s="156">
        <v>0.0</v>
      </c>
      <c r="EK291" s="156">
        <v>0.0</v>
      </c>
      <c r="EL291" s="156">
        <v>0.0</v>
      </c>
      <c r="FQ291" s="156">
        <v>0.0</v>
      </c>
      <c r="FR291" s="156">
        <v>0.0</v>
      </c>
      <c r="FS291" s="156">
        <v>0.0</v>
      </c>
      <c r="FT291" s="156">
        <v>0.0</v>
      </c>
      <c r="FU291" s="156">
        <v>0.0</v>
      </c>
      <c r="FV291" s="156">
        <v>0.0</v>
      </c>
      <c r="FW291" s="157"/>
      <c r="FX291" s="157"/>
      <c r="FY291" s="157"/>
      <c r="FZ291" s="157"/>
      <c r="GA291" s="157"/>
      <c r="GB291" s="157"/>
      <c r="GC291" s="157"/>
      <c r="GD291" s="157"/>
      <c r="GE291" s="157"/>
      <c r="GF291" s="157"/>
      <c r="GG291" s="157"/>
      <c r="GH291" s="157"/>
      <c r="GI291" s="157"/>
      <c r="GJ291" s="157"/>
      <c r="GK291" s="157"/>
      <c r="GL291" s="157"/>
      <c r="GM291" s="157"/>
      <c r="GN291" s="157"/>
      <c r="GO291" s="157"/>
      <c r="GP291" s="158"/>
      <c r="GQ291" s="157"/>
      <c r="GR291" s="157"/>
      <c r="GS291" s="157"/>
      <c r="GT291" s="157"/>
      <c r="GU291" s="157"/>
      <c r="GV291" s="157"/>
      <c r="GW291" s="157"/>
      <c r="GX291" s="157"/>
      <c r="GY291" s="157"/>
      <c r="GZ291" s="157"/>
      <c r="HA291" s="157"/>
      <c r="HB291" s="155">
        <v>0.0</v>
      </c>
      <c r="HC291" s="155">
        <v>0.0</v>
      </c>
      <c r="HD291" s="155">
        <v>0.0</v>
      </c>
      <c r="HE291" s="155">
        <v>0.0</v>
      </c>
      <c r="HF291" s="155">
        <v>0.0</v>
      </c>
      <c r="HG291" s="155">
        <v>0.0</v>
      </c>
      <c r="IL291" s="159">
        <v>0.0</v>
      </c>
      <c r="IM291" s="156">
        <v>0.0</v>
      </c>
      <c r="IN291" s="156">
        <v>0.0</v>
      </c>
      <c r="IO291" s="156">
        <v>0.0</v>
      </c>
      <c r="IP291" s="156">
        <v>0.0</v>
      </c>
      <c r="IQ291" s="160">
        <v>0.0</v>
      </c>
      <c r="JH291" s="25"/>
      <c r="JW291" s="159">
        <v>0.0</v>
      </c>
      <c r="JX291" s="156">
        <v>0.0</v>
      </c>
      <c r="JY291" s="156">
        <v>0.0</v>
      </c>
      <c r="JZ291" s="156">
        <v>0.0</v>
      </c>
      <c r="KA291" s="156">
        <v>0.0</v>
      </c>
      <c r="KB291" s="160">
        <v>0.0</v>
      </c>
      <c r="LH291" s="159">
        <f t="shared" si="10"/>
        <v>0</v>
      </c>
      <c r="LI291" s="156">
        <f t="shared" si="11"/>
        <v>0</v>
      </c>
      <c r="LJ291" s="156">
        <f t="shared" si="12"/>
        <v>0</v>
      </c>
      <c r="LK291" s="156">
        <f t="shared" si="13"/>
        <v>0</v>
      </c>
      <c r="LL291" s="156">
        <f t="shared" si="14"/>
        <v>0</v>
      </c>
      <c r="LM291" s="160">
        <f t="shared" si="15"/>
        <v>0</v>
      </c>
      <c r="QX291" s="107">
        <v>45903.0</v>
      </c>
    </row>
    <row r="292">
      <c r="A292" s="12"/>
      <c r="B292" s="12"/>
      <c r="C292" s="12"/>
      <c r="D292" s="12"/>
      <c r="E292" s="12"/>
      <c r="F292" s="12"/>
      <c r="G292" s="12"/>
      <c r="H292" s="12"/>
      <c r="I292" s="143">
        <f t="shared" si="5"/>
        <v>-36</v>
      </c>
      <c r="J292" s="144">
        <v>45907.0</v>
      </c>
      <c r="K292" s="180" t="s">
        <v>53</v>
      </c>
      <c r="L292" s="171">
        <v>46055.0</v>
      </c>
      <c r="M292" s="147" t="s">
        <v>1157</v>
      </c>
      <c r="N292" s="148">
        <v>246.0</v>
      </c>
      <c r="O292" s="148">
        <v>30.0</v>
      </c>
      <c r="P292" s="26"/>
      <c r="Q292" s="26"/>
      <c r="R292" s="26"/>
      <c r="S292" s="26"/>
      <c r="T292" s="26"/>
      <c r="U292" s="147" t="s">
        <v>1140</v>
      </c>
      <c r="V292" s="149" t="s">
        <v>2501</v>
      </c>
      <c r="W292" s="150" t="s">
        <v>2918</v>
      </c>
      <c r="X292" s="181">
        <v>36.0</v>
      </c>
      <c r="Y292" s="166">
        <f t="shared" si="6"/>
        <v>36</v>
      </c>
      <c r="Z292" s="26">
        <f t="shared" si="7"/>
        <v>0</v>
      </c>
      <c r="AA292" s="26">
        <f t="shared" si="8"/>
        <v>0</v>
      </c>
      <c r="AB292" s="26">
        <f t="shared" si="9"/>
        <v>0</v>
      </c>
      <c r="AC292" s="155">
        <v>0.0</v>
      </c>
      <c r="AD292" s="155">
        <v>0.0</v>
      </c>
      <c r="AE292" s="155">
        <v>0.0</v>
      </c>
      <c r="AF292" s="155">
        <v>0.0</v>
      </c>
      <c r="AG292" s="155">
        <v>0.0</v>
      </c>
      <c r="AH292" s="155">
        <v>0.0</v>
      </c>
      <c r="AI292" s="167"/>
      <c r="AJ292" s="167"/>
      <c r="AK292" s="167"/>
      <c r="AL292" s="167"/>
      <c r="AM292" s="167"/>
      <c r="AN292" s="167"/>
      <c r="AO292" s="167"/>
      <c r="AP292" s="167"/>
      <c r="AQ292" s="167"/>
      <c r="AR292" s="167"/>
      <c r="AS292" s="167"/>
      <c r="AT292" s="167"/>
      <c r="AU292" s="167"/>
      <c r="AV292" s="167"/>
      <c r="AW292" s="167"/>
      <c r="AX292" s="167"/>
      <c r="AY292" s="167"/>
      <c r="AZ292" s="167"/>
      <c r="BA292" s="167"/>
      <c r="BB292" s="167"/>
      <c r="BC292" s="167"/>
      <c r="BD292" s="167"/>
      <c r="BE292" s="167"/>
      <c r="BF292" s="167"/>
      <c r="BG292" s="167"/>
      <c r="BH292" s="167"/>
      <c r="BI292" s="167"/>
      <c r="BJ292" s="167"/>
      <c r="BK292" s="167"/>
      <c r="BL292" s="167"/>
      <c r="BM292" s="167"/>
      <c r="BN292" s="155">
        <v>0.0</v>
      </c>
      <c r="BO292" s="155">
        <v>0.0</v>
      </c>
      <c r="BP292" s="155">
        <v>0.0</v>
      </c>
      <c r="BQ292" s="155">
        <v>0.0</v>
      </c>
      <c r="BR292" s="155">
        <v>0.0</v>
      </c>
      <c r="BS292" s="155">
        <v>0.0</v>
      </c>
      <c r="CV292" s="156">
        <v>0.0</v>
      </c>
      <c r="CW292" s="156">
        <v>0.0</v>
      </c>
      <c r="CX292" s="156">
        <v>0.0</v>
      </c>
      <c r="CY292" s="156">
        <v>0.0</v>
      </c>
      <c r="CZ292" s="156">
        <v>0.0</v>
      </c>
      <c r="DA292" s="156">
        <v>0.0</v>
      </c>
      <c r="EG292" s="156">
        <v>0.0</v>
      </c>
      <c r="EH292" s="156">
        <v>0.0</v>
      </c>
      <c r="EI292" s="156">
        <v>0.0</v>
      </c>
      <c r="EJ292" s="156">
        <v>0.0</v>
      </c>
      <c r="EK292" s="156">
        <v>0.0</v>
      </c>
      <c r="EL292" s="156">
        <v>0.0</v>
      </c>
      <c r="FQ292" s="156">
        <v>0.0</v>
      </c>
      <c r="FR292" s="156">
        <v>0.0</v>
      </c>
      <c r="FS292" s="156">
        <v>0.0</v>
      </c>
      <c r="FT292" s="156">
        <v>0.0</v>
      </c>
      <c r="FU292" s="156">
        <v>0.0</v>
      </c>
      <c r="FV292" s="156">
        <v>0.0</v>
      </c>
      <c r="FW292" s="157"/>
      <c r="FX292" s="157"/>
      <c r="FY292" s="157"/>
      <c r="FZ292" s="157"/>
      <c r="GA292" s="157"/>
      <c r="GB292" s="157"/>
      <c r="GC292" s="157"/>
      <c r="GD292" s="157"/>
      <c r="GE292" s="157"/>
      <c r="GF292" s="157"/>
      <c r="GG292" s="157"/>
      <c r="GH292" s="157"/>
      <c r="GI292" s="157"/>
      <c r="GJ292" s="157"/>
      <c r="GK292" s="157"/>
      <c r="GL292" s="157"/>
      <c r="GM292" s="157"/>
      <c r="GN292" s="157"/>
      <c r="GO292" s="157"/>
      <c r="GP292" s="158"/>
      <c r="GQ292" s="157"/>
      <c r="GR292" s="157"/>
      <c r="GS292" s="157"/>
      <c r="GT292" s="157"/>
      <c r="GU292" s="157"/>
      <c r="GV292" s="157"/>
      <c r="GW292" s="157"/>
      <c r="GX292" s="157"/>
      <c r="GY292" s="157"/>
      <c r="GZ292" s="157"/>
      <c r="HA292" s="157"/>
      <c r="HB292" s="155">
        <v>0.0</v>
      </c>
      <c r="HC292" s="155">
        <v>0.0</v>
      </c>
      <c r="HD292" s="155">
        <v>0.0</v>
      </c>
      <c r="HE292" s="155">
        <v>0.0</v>
      </c>
      <c r="HF292" s="155">
        <v>0.0</v>
      </c>
      <c r="HG292" s="155">
        <v>0.0</v>
      </c>
      <c r="IL292" s="159">
        <v>0.0</v>
      </c>
      <c r="IM292" s="156">
        <v>0.0</v>
      </c>
      <c r="IN292" s="156">
        <v>0.0</v>
      </c>
      <c r="IO292" s="156">
        <v>0.0</v>
      </c>
      <c r="IP292" s="156">
        <v>0.0</v>
      </c>
      <c r="IQ292" s="160">
        <v>0.0</v>
      </c>
      <c r="JH292" s="25"/>
      <c r="JW292" s="159">
        <v>0.0</v>
      </c>
      <c r="JX292" s="156">
        <v>0.0</v>
      </c>
      <c r="JY292" s="156">
        <v>0.0</v>
      </c>
      <c r="JZ292" s="156">
        <v>0.0</v>
      </c>
      <c r="KA292" s="156">
        <v>0.0</v>
      </c>
      <c r="KB292" s="160">
        <v>0.0</v>
      </c>
      <c r="LH292" s="159">
        <f t="shared" si="10"/>
        <v>0</v>
      </c>
      <c r="LI292" s="156">
        <f t="shared" si="11"/>
        <v>0</v>
      </c>
      <c r="LJ292" s="156">
        <f t="shared" si="12"/>
        <v>0</v>
      </c>
      <c r="LK292" s="156">
        <f t="shared" si="13"/>
        <v>0</v>
      </c>
      <c r="LL292" s="156">
        <f t="shared" si="14"/>
        <v>0</v>
      </c>
      <c r="LM292" s="160">
        <f t="shared" si="15"/>
        <v>0</v>
      </c>
      <c r="QX292" s="107">
        <v>45903.0</v>
      </c>
    </row>
    <row r="293">
      <c r="A293" s="12"/>
      <c r="B293" s="12"/>
      <c r="C293" s="12"/>
      <c r="D293" s="12"/>
      <c r="E293" s="12"/>
      <c r="F293" s="12"/>
      <c r="G293" s="12"/>
      <c r="H293" s="12"/>
      <c r="I293" s="143">
        <f t="shared" si="5"/>
        <v>-60</v>
      </c>
      <c r="J293" s="464">
        <v>45911.0</v>
      </c>
      <c r="K293" s="195" t="s">
        <v>61</v>
      </c>
      <c r="L293" s="171">
        <v>46127.0</v>
      </c>
      <c r="M293" s="238" t="s">
        <v>400</v>
      </c>
      <c r="N293" s="239">
        <v>357.0</v>
      </c>
      <c r="O293" s="239">
        <v>45.0</v>
      </c>
      <c r="P293" s="240"/>
      <c r="Q293" s="240"/>
      <c r="R293" s="240"/>
      <c r="S293" s="240"/>
      <c r="T293" s="240"/>
      <c r="U293" s="238" t="s">
        <v>1391</v>
      </c>
      <c r="V293" s="465" t="s">
        <v>2920</v>
      </c>
      <c r="W293" s="466" t="s">
        <v>2921</v>
      </c>
      <c r="X293" s="181">
        <v>30.0</v>
      </c>
      <c r="Y293" s="166">
        <f t="shared" si="6"/>
        <v>60</v>
      </c>
      <c r="Z293" s="26">
        <f t="shared" si="7"/>
        <v>0</v>
      </c>
      <c r="AA293" s="26">
        <f t="shared" si="8"/>
        <v>0</v>
      </c>
      <c r="AB293" s="26">
        <f t="shared" si="9"/>
        <v>0</v>
      </c>
      <c r="AC293" s="155">
        <v>9.0</v>
      </c>
      <c r="AD293" s="155">
        <v>0.0</v>
      </c>
      <c r="AE293" s="155">
        <v>0.0</v>
      </c>
      <c r="AF293" s="155">
        <v>0.0</v>
      </c>
      <c r="AG293" s="155">
        <v>0.0</v>
      </c>
      <c r="AH293" s="155">
        <v>0.0</v>
      </c>
      <c r="AI293" s="167"/>
      <c r="AJ293" s="167"/>
      <c r="AK293" s="167"/>
      <c r="AL293" s="167"/>
      <c r="AM293" s="167"/>
      <c r="AN293" s="167"/>
      <c r="AO293" s="167"/>
      <c r="AP293" s="167">
        <v>1.0</v>
      </c>
      <c r="AQ293" s="167">
        <v>0.0</v>
      </c>
      <c r="AR293" s="167">
        <v>1.0</v>
      </c>
      <c r="AS293" s="167">
        <v>0.0</v>
      </c>
      <c r="AT293" s="167">
        <v>0.0</v>
      </c>
      <c r="AU293" s="167">
        <v>1.0</v>
      </c>
      <c r="AV293" s="167">
        <v>0.0</v>
      </c>
      <c r="AW293" s="167">
        <v>1.0</v>
      </c>
      <c r="AX293" s="167">
        <v>0.0</v>
      </c>
      <c r="AY293" s="167"/>
      <c r="AZ293" s="167">
        <v>0.0</v>
      </c>
      <c r="BA293" s="167">
        <v>0.0</v>
      </c>
      <c r="BB293" s="167">
        <v>1.0</v>
      </c>
      <c r="BC293" s="167">
        <v>0.0</v>
      </c>
      <c r="BD293" s="167">
        <v>1.0</v>
      </c>
      <c r="BE293" s="167"/>
      <c r="BF293" s="167"/>
      <c r="BG293" s="167"/>
      <c r="BH293" s="167"/>
      <c r="BI293" s="167">
        <v>1.0</v>
      </c>
      <c r="BJ293" s="167">
        <v>0.0</v>
      </c>
      <c r="BK293" s="167">
        <v>1.0</v>
      </c>
      <c r="BL293" s="167">
        <v>0.0</v>
      </c>
      <c r="BM293" s="167">
        <v>1.0</v>
      </c>
      <c r="BN293" s="155">
        <v>12.0</v>
      </c>
      <c r="BO293" s="155">
        <v>0.0</v>
      </c>
      <c r="BP293" s="155">
        <v>0.0</v>
      </c>
      <c r="BQ293" s="155">
        <v>0.0</v>
      </c>
      <c r="BR293" s="155">
        <v>0.0</v>
      </c>
      <c r="BS293" s="155">
        <v>0.0</v>
      </c>
      <c r="BT293" s="167">
        <v>0.0</v>
      </c>
      <c r="BU293" s="167">
        <v>0.0</v>
      </c>
      <c r="BV293" s="167">
        <v>1.0</v>
      </c>
      <c r="BW293" s="167">
        <v>0.0</v>
      </c>
      <c r="BX293" s="167">
        <v>1.0</v>
      </c>
      <c r="BY293" s="167">
        <v>0.0</v>
      </c>
      <c r="BZ293" s="167">
        <v>1.0</v>
      </c>
      <c r="CA293" s="167">
        <v>0.0</v>
      </c>
      <c r="CB293" s="167">
        <v>0.0</v>
      </c>
      <c r="CC293" s="167">
        <v>1.0</v>
      </c>
      <c r="CD293" s="167">
        <v>0.0</v>
      </c>
      <c r="CE293" s="167">
        <v>1.0</v>
      </c>
      <c r="CF293" s="167">
        <v>0.0</v>
      </c>
      <c r="CG293" s="167">
        <v>1.0</v>
      </c>
      <c r="CH293" s="167">
        <v>0.0</v>
      </c>
      <c r="CI293" s="167">
        <v>0.0</v>
      </c>
      <c r="CJ293" s="167">
        <v>1.0</v>
      </c>
      <c r="CK293" s="167">
        <v>0.0</v>
      </c>
      <c r="CL293" s="167">
        <v>1.0</v>
      </c>
      <c r="CM293" s="167">
        <v>0.0</v>
      </c>
      <c r="CN293" s="167">
        <v>1.0</v>
      </c>
      <c r="CO293" s="167">
        <v>0.0</v>
      </c>
      <c r="CP293" s="167">
        <v>0.0</v>
      </c>
      <c r="CQ293" s="167">
        <v>1.0</v>
      </c>
      <c r="CR293" s="167">
        <v>0.0</v>
      </c>
      <c r="CS293" s="167">
        <v>1.0</v>
      </c>
      <c r="CT293" s="167">
        <v>0.0</v>
      </c>
      <c r="CU293" s="167">
        <v>1.0</v>
      </c>
      <c r="CV293" s="156">
        <v>6.0</v>
      </c>
      <c r="CW293" s="156">
        <v>0.0</v>
      </c>
      <c r="CX293" s="156">
        <v>0.0</v>
      </c>
      <c r="CY293" s="156">
        <v>0.0</v>
      </c>
      <c r="CZ293" s="156">
        <v>0.0</v>
      </c>
      <c r="DA293" s="156">
        <v>0.0</v>
      </c>
      <c r="DB293" s="395"/>
      <c r="DC293" s="395"/>
      <c r="DD293" s="395"/>
      <c r="DE293" s="395"/>
      <c r="DF293" s="395">
        <v>1.0</v>
      </c>
      <c r="DG293" s="395">
        <v>0.0</v>
      </c>
      <c r="DH293" s="395">
        <v>1.0</v>
      </c>
      <c r="DI293" s="395">
        <v>0.0</v>
      </c>
      <c r="DJ293" s="395">
        <v>0.0</v>
      </c>
      <c r="DK293" s="395">
        <v>1.0</v>
      </c>
      <c r="DL293" s="395"/>
      <c r="DM293" s="395"/>
      <c r="DN293" s="395"/>
      <c r="DO293" s="395"/>
      <c r="DP293" s="395"/>
      <c r="DQ293" s="395"/>
      <c r="DR293" s="395"/>
      <c r="DS293" s="395"/>
      <c r="DT293" s="395">
        <v>1.0</v>
      </c>
      <c r="DU293" s="395"/>
      <c r="DV293" s="395"/>
      <c r="DW293" s="395"/>
      <c r="DX293" s="395"/>
      <c r="DY293" s="395">
        <v>1.0</v>
      </c>
      <c r="DZ293" s="395"/>
      <c r="EA293" s="395"/>
      <c r="EB293" s="395"/>
      <c r="EC293" s="395"/>
      <c r="ED293" s="395"/>
      <c r="EE293" s="395"/>
      <c r="EF293" s="395">
        <v>1.0</v>
      </c>
      <c r="EG293" s="156">
        <v>3.0</v>
      </c>
      <c r="EH293" s="156">
        <v>0.0</v>
      </c>
      <c r="EI293" s="156">
        <v>0.0</v>
      </c>
      <c r="EJ293" s="156">
        <v>0.0</v>
      </c>
      <c r="EK293" s="156">
        <v>0.0</v>
      </c>
      <c r="EL293" s="156">
        <v>0.0</v>
      </c>
      <c r="EN293" s="86">
        <v>1.0</v>
      </c>
      <c r="EU293" s="86">
        <v>1.0</v>
      </c>
      <c r="EY293" s="86">
        <v>1.0</v>
      </c>
      <c r="FQ293" s="156">
        <v>0.0</v>
      </c>
      <c r="FR293" s="156">
        <v>0.0</v>
      </c>
      <c r="FS293" s="156">
        <v>0.0</v>
      </c>
      <c r="FT293" s="156">
        <v>0.0</v>
      </c>
      <c r="FU293" s="156">
        <v>0.0</v>
      </c>
      <c r="FV293" s="156">
        <v>0.0</v>
      </c>
      <c r="FW293" s="157"/>
      <c r="FX293" s="157"/>
      <c r="FY293" s="157"/>
      <c r="FZ293" s="157"/>
      <c r="GA293" s="157"/>
      <c r="GB293" s="157"/>
      <c r="GC293" s="157"/>
      <c r="GD293" s="157"/>
      <c r="GE293" s="157"/>
      <c r="GF293" s="157"/>
      <c r="GG293" s="157"/>
      <c r="GH293" s="157"/>
      <c r="GI293" s="157"/>
      <c r="GJ293" s="157"/>
      <c r="GK293" s="157"/>
      <c r="GL293" s="157"/>
      <c r="GM293" s="157"/>
      <c r="GN293" s="157"/>
      <c r="GO293" s="157"/>
      <c r="GP293" s="158"/>
      <c r="GQ293" s="157"/>
      <c r="GR293" s="157"/>
      <c r="GS293" s="157"/>
      <c r="GT293" s="157"/>
      <c r="GU293" s="157"/>
      <c r="GV293" s="157"/>
      <c r="GW293" s="157"/>
      <c r="GX293" s="157"/>
      <c r="GY293" s="157"/>
      <c r="GZ293" s="157"/>
      <c r="HA293" s="157"/>
      <c r="HB293" s="155">
        <v>0.0</v>
      </c>
      <c r="HC293" s="155">
        <v>0.0</v>
      </c>
      <c r="HD293" s="155">
        <v>0.0</v>
      </c>
      <c r="HE293" s="155">
        <v>0.0</v>
      </c>
      <c r="HF293" s="155">
        <v>0.0</v>
      </c>
      <c r="HG293" s="155">
        <v>0.0</v>
      </c>
      <c r="IL293" s="159">
        <v>0.0</v>
      </c>
      <c r="IM293" s="156">
        <v>0.0</v>
      </c>
      <c r="IN293" s="156">
        <v>0.0</v>
      </c>
      <c r="IO293" s="156">
        <v>0.0</v>
      </c>
      <c r="IP293" s="156">
        <v>0.0</v>
      </c>
      <c r="IQ293" s="160">
        <v>0.0</v>
      </c>
      <c r="JH293" s="25"/>
      <c r="JW293" s="159">
        <v>0.0</v>
      </c>
      <c r="JX293" s="156">
        <v>0.0</v>
      </c>
      <c r="JY293" s="156">
        <v>0.0</v>
      </c>
      <c r="JZ293" s="156">
        <v>0.0</v>
      </c>
      <c r="KA293" s="156">
        <v>0.0</v>
      </c>
      <c r="KB293" s="160">
        <v>0.0</v>
      </c>
      <c r="LH293" s="159">
        <f t="shared" si="10"/>
        <v>0</v>
      </c>
      <c r="LI293" s="156">
        <f t="shared" si="11"/>
        <v>0</v>
      </c>
      <c r="LJ293" s="156">
        <f t="shared" si="12"/>
        <v>0</v>
      </c>
      <c r="LK293" s="156">
        <f t="shared" si="13"/>
        <v>0</v>
      </c>
      <c r="LL293" s="156">
        <f t="shared" si="14"/>
        <v>0</v>
      </c>
      <c r="LM293" s="160">
        <f t="shared" si="15"/>
        <v>0</v>
      </c>
      <c r="QX293" s="107">
        <v>45903.0</v>
      </c>
    </row>
    <row r="294">
      <c r="A294" s="12"/>
      <c r="B294" s="12"/>
      <c r="C294" s="12"/>
      <c r="D294" s="12"/>
      <c r="E294" s="12"/>
      <c r="F294" s="12"/>
      <c r="G294" s="12"/>
      <c r="H294" s="12"/>
      <c r="I294" s="143">
        <f t="shared" si="5"/>
        <v>-57</v>
      </c>
      <c r="J294" s="464">
        <v>45911.0</v>
      </c>
      <c r="K294" s="195" t="s">
        <v>61</v>
      </c>
      <c r="L294" s="171">
        <v>46127.0</v>
      </c>
      <c r="M294" s="238" t="s">
        <v>400</v>
      </c>
      <c r="N294" s="239">
        <v>357.0</v>
      </c>
      <c r="O294" s="239">
        <v>45.0</v>
      </c>
      <c r="P294" s="240"/>
      <c r="Q294" s="240"/>
      <c r="R294" s="240"/>
      <c r="S294" s="240"/>
      <c r="T294" s="240"/>
      <c r="U294" s="238" t="s">
        <v>1391</v>
      </c>
      <c r="V294" s="465" t="s">
        <v>2920</v>
      </c>
      <c r="W294" s="466" t="s">
        <v>2921</v>
      </c>
      <c r="X294" s="181">
        <v>30.0</v>
      </c>
      <c r="Y294" s="166">
        <f t="shared" si="6"/>
        <v>57</v>
      </c>
      <c r="Z294" s="26">
        <f t="shared" si="7"/>
        <v>0</v>
      </c>
      <c r="AA294" s="26">
        <f t="shared" si="8"/>
        <v>0</v>
      </c>
      <c r="AB294" s="26">
        <f t="shared" si="9"/>
        <v>0</v>
      </c>
      <c r="AC294" s="155">
        <v>9.0</v>
      </c>
      <c r="AD294" s="155">
        <v>0.0</v>
      </c>
      <c r="AE294" s="155">
        <v>0.0</v>
      </c>
      <c r="AF294" s="155">
        <v>0.0</v>
      </c>
      <c r="AG294" s="155">
        <v>0.0</v>
      </c>
      <c r="AH294" s="155">
        <v>0.0</v>
      </c>
      <c r="AI294" s="167"/>
      <c r="AJ294" s="167"/>
      <c r="AK294" s="167"/>
      <c r="AL294" s="167"/>
      <c r="AM294" s="167"/>
      <c r="AN294" s="167"/>
      <c r="AO294" s="167"/>
      <c r="AP294" s="167">
        <v>1.0</v>
      </c>
      <c r="AQ294" s="167">
        <v>0.0</v>
      </c>
      <c r="AR294" s="167">
        <v>1.0</v>
      </c>
      <c r="AS294" s="167">
        <v>0.0</v>
      </c>
      <c r="AT294" s="167">
        <v>0.0</v>
      </c>
      <c r="AU294" s="167">
        <v>1.0</v>
      </c>
      <c r="AV294" s="167">
        <v>0.0</v>
      </c>
      <c r="AW294" s="167">
        <v>1.0</v>
      </c>
      <c r="AX294" s="167">
        <v>0.0</v>
      </c>
      <c r="AY294" s="167"/>
      <c r="AZ294" s="167">
        <v>0.0</v>
      </c>
      <c r="BA294" s="167">
        <v>0.0</v>
      </c>
      <c r="BB294" s="167">
        <v>1.0</v>
      </c>
      <c r="BC294" s="167">
        <v>0.0</v>
      </c>
      <c r="BD294" s="167">
        <v>1.0</v>
      </c>
      <c r="BE294" s="167"/>
      <c r="BF294" s="167"/>
      <c r="BG294" s="167"/>
      <c r="BH294" s="167"/>
      <c r="BI294" s="167">
        <v>1.0</v>
      </c>
      <c r="BJ294" s="167">
        <v>0.0</v>
      </c>
      <c r="BK294" s="167">
        <v>1.0</v>
      </c>
      <c r="BL294" s="167">
        <v>0.0</v>
      </c>
      <c r="BM294" s="167">
        <v>1.0</v>
      </c>
      <c r="BN294" s="155">
        <v>12.0</v>
      </c>
      <c r="BO294" s="155">
        <v>0.0</v>
      </c>
      <c r="BP294" s="155">
        <v>0.0</v>
      </c>
      <c r="BQ294" s="155">
        <v>0.0</v>
      </c>
      <c r="BR294" s="155">
        <v>0.0</v>
      </c>
      <c r="BS294" s="155">
        <v>0.0</v>
      </c>
      <c r="BT294" s="167">
        <v>0.0</v>
      </c>
      <c r="BU294" s="167">
        <v>0.0</v>
      </c>
      <c r="BV294" s="167">
        <v>1.0</v>
      </c>
      <c r="BW294" s="167">
        <v>0.0</v>
      </c>
      <c r="BX294" s="167">
        <v>1.0</v>
      </c>
      <c r="BY294" s="167">
        <v>0.0</v>
      </c>
      <c r="BZ294" s="167">
        <v>1.0</v>
      </c>
      <c r="CA294" s="167">
        <v>0.0</v>
      </c>
      <c r="CB294" s="167">
        <v>0.0</v>
      </c>
      <c r="CC294" s="167">
        <v>1.0</v>
      </c>
      <c r="CD294" s="167">
        <v>0.0</v>
      </c>
      <c r="CE294" s="167">
        <v>1.0</v>
      </c>
      <c r="CF294" s="167">
        <v>0.0</v>
      </c>
      <c r="CG294" s="167">
        <v>1.0</v>
      </c>
      <c r="CH294" s="167">
        <v>0.0</v>
      </c>
      <c r="CI294" s="167">
        <v>0.0</v>
      </c>
      <c r="CJ294" s="167">
        <v>1.0</v>
      </c>
      <c r="CK294" s="167">
        <v>0.0</v>
      </c>
      <c r="CL294" s="167">
        <v>1.0</v>
      </c>
      <c r="CM294" s="167">
        <v>0.0</v>
      </c>
      <c r="CN294" s="167">
        <v>1.0</v>
      </c>
      <c r="CO294" s="167">
        <v>0.0</v>
      </c>
      <c r="CP294" s="167">
        <v>0.0</v>
      </c>
      <c r="CQ294" s="167">
        <v>1.0</v>
      </c>
      <c r="CR294" s="167">
        <v>0.0</v>
      </c>
      <c r="CS294" s="167">
        <v>1.0</v>
      </c>
      <c r="CT294" s="167">
        <v>0.0</v>
      </c>
      <c r="CU294" s="167">
        <v>1.0</v>
      </c>
      <c r="CV294" s="156">
        <v>6.0</v>
      </c>
      <c r="CW294" s="156">
        <v>0.0</v>
      </c>
      <c r="CX294" s="156">
        <v>0.0</v>
      </c>
      <c r="CY294" s="156">
        <v>0.0</v>
      </c>
      <c r="CZ294" s="156">
        <v>0.0</v>
      </c>
      <c r="DA294" s="156">
        <v>0.0</v>
      </c>
      <c r="DB294" s="395"/>
      <c r="DC294" s="395"/>
      <c r="DD294" s="395"/>
      <c r="DE294" s="395"/>
      <c r="DF294" s="395">
        <v>1.0</v>
      </c>
      <c r="DG294" s="395">
        <v>0.0</v>
      </c>
      <c r="DH294" s="395">
        <v>1.0</v>
      </c>
      <c r="DI294" s="395">
        <v>0.0</v>
      </c>
      <c r="DJ294" s="395">
        <v>0.0</v>
      </c>
      <c r="DK294" s="395">
        <v>1.0</v>
      </c>
      <c r="DL294" s="395"/>
      <c r="DM294" s="395"/>
      <c r="DN294" s="395"/>
      <c r="DO294" s="395"/>
      <c r="DP294" s="395"/>
      <c r="DQ294" s="395"/>
      <c r="DR294" s="395"/>
      <c r="DS294" s="395"/>
      <c r="DT294" s="395">
        <v>1.0</v>
      </c>
      <c r="DU294" s="395"/>
      <c r="DV294" s="395"/>
      <c r="DW294" s="395"/>
      <c r="DX294" s="395"/>
      <c r="DY294" s="395">
        <v>1.0</v>
      </c>
      <c r="DZ294" s="395"/>
      <c r="EA294" s="395"/>
      <c r="EB294" s="395"/>
      <c r="EC294" s="395"/>
      <c r="ED294" s="395"/>
      <c r="EE294" s="395"/>
      <c r="EF294" s="395">
        <v>1.0</v>
      </c>
      <c r="EG294" s="156">
        <v>0.0</v>
      </c>
      <c r="EH294" s="156">
        <v>0.0</v>
      </c>
      <c r="EI294" s="156">
        <v>0.0</v>
      </c>
      <c r="EJ294" s="156">
        <v>0.0</v>
      </c>
      <c r="EK294" s="156">
        <v>0.0</v>
      </c>
      <c r="EL294" s="156">
        <v>0.0</v>
      </c>
      <c r="FQ294" s="156">
        <v>0.0</v>
      </c>
      <c r="FR294" s="156">
        <v>0.0</v>
      </c>
      <c r="FS294" s="156">
        <v>0.0</v>
      </c>
      <c r="FT294" s="156">
        <v>0.0</v>
      </c>
      <c r="FU294" s="156">
        <v>0.0</v>
      </c>
      <c r="FV294" s="156">
        <v>0.0</v>
      </c>
      <c r="FW294" s="157"/>
      <c r="FX294" s="157"/>
      <c r="FY294" s="157"/>
      <c r="FZ294" s="157"/>
      <c r="GA294" s="157"/>
      <c r="GB294" s="157"/>
      <c r="GC294" s="157"/>
      <c r="GD294" s="157"/>
      <c r="GE294" s="157"/>
      <c r="GF294" s="157"/>
      <c r="GG294" s="157"/>
      <c r="GH294" s="157"/>
      <c r="GI294" s="157"/>
      <c r="GJ294" s="157"/>
      <c r="GK294" s="157"/>
      <c r="GL294" s="157"/>
      <c r="GM294" s="157"/>
      <c r="GN294" s="157"/>
      <c r="GO294" s="157"/>
      <c r="GP294" s="158"/>
      <c r="GQ294" s="157"/>
      <c r="GR294" s="157"/>
      <c r="GS294" s="157"/>
      <c r="GT294" s="157"/>
      <c r="GU294" s="157"/>
      <c r="GV294" s="157"/>
      <c r="GW294" s="157"/>
      <c r="GX294" s="157"/>
      <c r="GY294" s="157"/>
      <c r="GZ294" s="157"/>
      <c r="HA294" s="157"/>
      <c r="HB294" s="155">
        <v>0.0</v>
      </c>
      <c r="HC294" s="155">
        <v>0.0</v>
      </c>
      <c r="HD294" s="155">
        <v>0.0</v>
      </c>
      <c r="HE294" s="155">
        <v>0.0</v>
      </c>
      <c r="HF294" s="155">
        <v>0.0</v>
      </c>
      <c r="HG294" s="155">
        <v>0.0</v>
      </c>
      <c r="IL294" s="159">
        <v>0.0</v>
      </c>
      <c r="IM294" s="156">
        <v>0.0</v>
      </c>
      <c r="IN294" s="156">
        <v>0.0</v>
      </c>
      <c r="IO294" s="156">
        <v>0.0</v>
      </c>
      <c r="IP294" s="156">
        <v>0.0</v>
      </c>
      <c r="IQ294" s="160">
        <v>0.0</v>
      </c>
      <c r="JH294" s="25"/>
      <c r="JW294" s="159">
        <v>0.0</v>
      </c>
      <c r="JX294" s="156">
        <v>0.0</v>
      </c>
      <c r="JY294" s="156">
        <v>0.0</v>
      </c>
      <c r="JZ294" s="156">
        <v>0.0</v>
      </c>
      <c r="KA294" s="156">
        <v>0.0</v>
      </c>
      <c r="KB294" s="160">
        <v>0.0</v>
      </c>
      <c r="LH294" s="159">
        <f t="shared" si="10"/>
        <v>0</v>
      </c>
      <c r="LI294" s="156">
        <f t="shared" si="11"/>
        <v>0</v>
      </c>
      <c r="LJ294" s="156">
        <f t="shared" si="12"/>
        <v>0</v>
      </c>
      <c r="LK294" s="156">
        <f t="shared" si="13"/>
        <v>0</v>
      </c>
      <c r="LL294" s="156">
        <f t="shared" si="14"/>
        <v>0</v>
      </c>
      <c r="LM294" s="160">
        <f t="shared" si="15"/>
        <v>0</v>
      </c>
      <c r="QX294" s="107">
        <v>45903.0</v>
      </c>
    </row>
    <row r="295">
      <c r="A295" s="12"/>
      <c r="B295" s="12"/>
      <c r="C295" s="12"/>
      <c r="D295" s="12"/>
      <c r="E295" s="12"/>
      <c r="F295" s="12"/>
      <c r="G295" s="12"/>
      <c r="H295" s="12"/>
      <c r="I295" s="219">
        <f t="shared" si="5"/>
        <v>-31</v>
      </c>
      <c r="J295" s="144">
        <v>45908.0</v>
      </c>
      <c r="K295" s="173" t="s">
        <v>61</v>
      </c>
      <c r="L295" s="203">
        <v>45980.0</v>
      </c>
      <c r="M295" s="147" t="s">
        <v>2925</v>
      </c>
      <c r="N295" s="148">
        <v>246.0</v>
      </c>
      <c r="O295" s="26"/>
      <c r="P295" s="26"/>
      <c r="Q295" s="26"/>
      <c r="R295" s="26"/>
      <c r="S295" s="26"/>
      <c r="T295" s="26"/>
      <c r="U295" s="147" t="s">
        <v>1466</v>
      </c>
      <c r="V295" s="149" t="s">
        <v>1757</v>
      </c>
      <c r="W295" s="198" t="s">
        <v>2926</v>
      </c>
      <c r="X295" s="181">
        <v>31.0</v>
      </c>
      <c r="Y295" s="166">
        <f t="shared" si="6"/>
        <v>31</v>
      </c>
      <c r="Z295" s="26">
        <f t="shared" si="7"/>
        <v>0</v>
      </c>
      <c r="AA295" s="26">
        <f t="shared" si="8"/>
        <v>0</v>
      </c>
      <c r="AB295" s="26">
        <f t="shared" si="9"/>
        <v>0</v>
      </c>
      <c r="AC295" s="155">
        <v>0.0</v>
      </c>
      <c r="AD295" s="155">
        <v>0.0</v>
      </c>
      <c r="AE295" s="155">
        <v>0.0</v>
      </c>
      <c r="AF295" s="155">
        <v>0.0</v>
      </c>
      <c r="AG295" s="155">
        <v>0.0</v>
      </c>
      <c r="AH295" s="155">
        <v>0.0</v>
      </c>
      <c r="BN295" s="155">
        <v>0.0</v>
      </c>
      <c r="BO295" s="155">
        <v>0.0</v>
      </c>
      <c r="BP295" s="155">
        <v>0.0</v>
      </c>
      <c r="BQ295" s="155">
        <v>0.0</v>
      </c>
      <c r="BR295" s="155">
        <v>0.0</v>
      </c>
      <c r="BS295" s="155">
        <v>0.0</v>
      </c>
      <c r="CV295" s="156">
        <v>0.0</v>
      </c>
      <c r="CW295" s="156">
        <v>0.0</v>
      </c>
      <c r="CX295" s="156">
        <v>0.0</v>
      </c>
      <c r="CY295" s="156">
        <v>0.0</v>
      </c>
      <c r="CZ295" s="156">
        <v>0.0</v>
      </c>
      <c r="DA295" s="156">
        <v>0.0</v>
      </c>
      <c r="EG295" s="156">
        <v>0.0</v>
      </c>
      <c r="EH295" s="156">
        <v>0.0</v>
      </c>
      <c r="EI295" s="156">
        <v>0.0</v>
      </c>
      <c r="EJ295" s="156">
        <v>0.0</v>
      </c>
      <c r="EK295" s="156">
        <v>0.0</v>
      </c>
      <c r="EL295" s="156">
        <v>0.0</v>
      </c>
      <c r="FQ295" s="156">
        <v>0.0</v>
      </c>
      <c r="FR295" s="156">
        <v>0.0</v>
      </c>
      <c r="FS295" s="156">
        <v>0.0</v>
      </c>
      <c r="FT295" s="156">
        <v>0.0</v>
      </c>
      <c r="FU295" s="156">
        <v>0.0</v>
      </c>
      <c r="FV295" s="156">
        <v>0.0</v>
      </c>
      <c r="FW295" s="157"/>
      <c r="FX295" s="157"/>
      <c r="FY295" s="157"/>
      <c r="FZ295" s="157"/>
      <c r="GA295" s="157"/>
      <c r="GB295" s="157"/>
      <c r="GC295" s="157"/>
      <c r="GD295" s="157"/>
      <c r="GE295" s="157"/>
      <c r="GF295" s="157"/>
      <c r="GG295" s="157"/>
      <c r="GH295" s="157"/>
      <c r="GI295" s="157"/>
      <c r="GJ295" s="157"/>
      <c r="GK295" s="157"/>
      <c r="GL295" s="157"/>
      <c r="GM295" s="157"/>
      <c r="GN295" s="157"/>
      <c r="GO295" s="157"/>
      <c r="GP295" s="158"/>
      <c r="GQ295" s="157"/>
      <c r="GR295" s="157"/>
      <c r="GS295" s="157"/>
      <c r="GT295" s="157"/>
      <c r="GU295" s="157"/>
      <c r="GV295" s="157"/>
      <c r="GW295" s="157"/>
      <c r="GX295" s="157"/>
      <c r="GY295" s="157"/>
      <c r="GZ295" s="157"/>
      <c r="HA295" s="157"/>
      <c r="HB295" s="155">
        <v>0.0</v>
      </c>
      <c r="HC295" s="155">
        <v>0.0</v>
      </c>
      <c r="HD295" s="155">
        <v>0.0</v>
      </c>
      <c r="HE295" s="155">
        <v>0.0</v>
      </c>
      <c r="HF295" s="155">
        <v>0.0</v>
      </c>
      <c r="HG295" s="155">
        <v>0.0</v>
      </c>
      <c r="IL295" s="159">
        <v>0.0</v>
      </c>
      <c r="IM295" s="156">
        <v>0.0</v>
      </c>
      <c r="IN295" s="156">
        <v>0.0</v>
      </c>
      <c r="IO295" s="156">
        <v>0.0</v>
      </c>
      <c r="IP295" s="156">
        <v>0.0</v>
      </c>
      <c r="IQ295" s="160">
        <v>0.0</v>
      </c>
      <c r="JH295" s="25"/>
      <c r="JW295" s="159">
        <v>0.0</v>
      </c>
      <c r="JX295" s="156">
        <v>0.0</v>
      </c>
      <c r="JY295" s="156">
        <v>0.0</v>
      </c>
      <c r="JZ295" s="156">
        <v>0.0</v>
      </c>
      <c r="KA295" s="156">
        <v>0.0</v>
      </c>
      <c r="KB295" s="160">
        <v>0.0</v>
      </c>
      <c r="LH295" s="159">
        <f t="shared" si="10"/>
        <v>0</v>
      </c>
      <c r="LI295" s="156">
        <f t="shared" si="11"/>
        <v>0</v>
      </c>
      <c r="LJ295" s="156">
        <f t="shared" si="12"/>
        <v>0</v>
      </c>
      <c r="LK295" s="156">
        <f t="shared" si="13"/>
        <v>0</v>
      </c>
      <c r="LL295" s="156">
        <f t="shared" si="14"/>
        <v>0</v>
      </c>
      <c r="LM295" s="160">
        <f t="shared" si="15"/>
        <v>0</v>
      </c>
      <c r="QX295" s="107">
        <v>45903.0</v>
      </c>
    </row>
    <row r="296">
      <c r="A296" s="12"/>
      <c r="B296" s="12"/>
      <c r="C296" s="12"/>
      <c r="D296" s="12"/>
      <c r="E296" s="12"/>
      <c r="F296" s="12"/>
      <c r="G296" s="12"/>
      <c r="H296" s="12"/>
      <c r="I296" s="143">
        <f t="shared" si="5"/>
        <v>-30</v>
      </c>
      <c r="J296" s="170" t="s">
        <v>2928</v>
      </c>
      <c r="K296" s="164" t="s">
        <v>61</v>
      </c>
      <c r="L296" s="144">
        <v>45943.0</v>
      </c>
      <c r="M296" s="147" t="s">
        <v>400</v>
      </c>
      <c r="N296" s="148">
        <v>246.0</v>
      </c>
      <c r="O296" s="148">
        <v>30.0</v>
      </c>
      <c r="P296" s="26"/>
      <c r="Q296" s="26"/>
      <c r="R296" s="26"/>
      <c r="S296" s="26"/>
      <c r="T296" s="26"/>
      <c r="U296" s="164" t="s">
        <v>2929</v>
      </c>
      <c r="V296" s="394" t="s">
        <v>2658</v>
      </c>
      <c r="W296" s="198" t="s">
        <v>2930</v>
      </c>
      <c r="X296" s="181">
        <v>14.0</v>
      </c>
      <c r="Y296" s="166">
        <f t="shared" si="6"/>
        <v>30</v>
      </c>
      <c r="Z296" s="26">
        <f t="shared" si="7"/>
        <v>0</v>
      </c>
      <c r="AA296" s="26">
        <f t="shared" si="8"/>
        <v>0</v>
      </c>
      <c r="AB296" s="26">
        <f t="shared" si="9"/>
        <v>0</v>
      </c>
      <c r="AC296" s="155">
        <v>0.0</v>
      </c>
      <c r="AD296" s="155">
        <v>0.0</v>
      </c>
      <c r="AE296" s="155">
        <v>0.0</v>
      </c>
      <c r="AF296" s="155">
        <v>0.0</v>
      </c>
      <c r="AG296" s="155">
        <v>0.0</v>
      </c>
      <c r="AH296" s="155">
        <v>0.0</v>
      </c>
      <c r="BN296" s="155">
        <v>0.0</v>
      </c>
      <c r="BO296" s="155">
        <v>0.0</v>
      </c>
      <c r="BP296" s="155">
        <v>0.0</v>
      </c>
      <c r="BQ296" s="155">
        <v>0.0</v>
      </c>
      <c r="BR296" s="155">
        <v>0.0</v>
      </c>
      <c r="BS296" s="155">
        <v>0.0</v>
      </c>
      <c r="CV296" s="156">
        <v>4.0</v>
      </c>
      <c r="CW296" s="156">
        <v>0.0</v>
      </c>
      <c r="CX296" s="156">
        <v>0.0</v>
      </c>
      <c r="CY296" s="156">
        <v>0.0</v>
      </c>
      <c r="CZ296" s="156">
        <v>0.0</v>
      </c>
      <c r="DA296" s="156">
        <v>0.0</v>
      </c>
      <c r="DX296" s="86">
        <v>1.0</v>
      </c>
      <c r="DZ296" s="86">
        <v>1.0</v>
      </c>
      <c r="EB296" s="86">
        <v>1.0</v>
      </c>
      <c r="EE296" s="86">
        <v>1.0</v>
      </c>
      <c r="EG296" s="156">
        <v>11.0</v>
      </c>
      <c r="EH296" s="156">
        <v>0.0</v>
      </c>
      <c r="EI296" s="156">
        <v>0.0</v>
      </c>
      <c r="EJ296" s="156">
        <v>0.0</v>
      </c>
      <c r="EK296" s="156">
        <v>0.0</v>
      </c>
      <c r="EL296" s="156">
        <v>0.0</v>
      </c>
      <c r="EM296" s="174">
        <v>1.0</v>
      </c>
      <c r="EN296" s="174"/>
      <c r="EO296" s="174"/>
      <c r="EP296" s="175">
        <v>1.0</v>
      </c>
      <c r="EQ296" s="174"/>
      <c r="ER296" s="174"/>
      <c r="ES296" s="174"/>
      <c r="ET296" s="174">
        <v>1.0</v>
      </c>
      <c r="EU296" s="174">
        <v>0.0</v>
      </c>
      <c r="EV296" s="174">
        <v>1.0</v>
      </c>
      <c r="EW296" s="174">
        <v>0.0</v>
      </c>
      <c r="EX296" s="174">
        <v>0.0</v>
      </c>
      <c r="EY296" s="174">
        <v>1.0</v>
      </c>
      <c r="EZ296" s="174">
        <v>0.0</v>
      </c>
      <c r="FA296" s="174">
        <v>1.0</v>
      </c>
      <c r="FB296" s="174">
        <v>0.0</v>
      </c>
      <c r="FC296" s="174">
        <v>1.0</v>
      </c>
      <c r="FD296" s="174">
        <v>0.0</v>
      </c>
      <c r="FE296" s="174">
        <v>0.0</v>
      </c>
      <c r="FF296" s="174">
        <v>1.0</v>
      </c>
      <c r="FG296" s="174">
        <v>0.0</v>
      </c>
      <c r="FH296" s="174">
        <v>1.0</v>
      </c>
      <c r="FI296" s="174">
        <v>0.0</v>
      </c>
      <c r="FJ296" s="174">
        <v>1.0</v>
      </c>
      <c r="FK296" s="174"/>
      <c r="FL296" s="174"/>
      <c r="FM296" s="174"/>
      <c r="FN296" s="174"/>
      <c r="FO296" s="174">
        <v>1.0</v>
      </c>
      <c r="FP296" s="174">
        <v>0.0</v>
      </c>
      <c r="FQ296" s="156">
        <v>1.0</v>
      </c>
      <c r="FR296" s="156">
        <v>0.0</v>
      </c>
      <c r="FS296" s="156">
        <v>0.0</v>
      </c>
      <c r="FT296" s="156">
        <v>0.0</v>
      </c>
      <c r="FU296" s="156">
        <v>0.0</v>
      </c>
      <c r="FV296" s="156">
        <v>0.0</v>
      </c>
      <c r="FW296" s="175">
        <v>1.0</v>
      </c>
      <c r="FX296" s="174"/>
      <c r="FY296" s="174"/>
      <c r="FZ296" s="174"/>
      <c r="GA296" s="174"/>
      <c r="GB296" s="174"/>
      <c r="GC296" s="174"/>
      <c r="GD296" s="174"/>
      <c r="GE296" s="174"/>
      <c r="GF296" s="174"/>
      <c r="GG296" s="174"/>
      <c r="GH296" s="174"/>
      <c r="GI296" s="174"/>
      <c r="GJ296" s="174"/>
      <c r="GK296" s="174"/>
      <c r="GL296" s="174"/>
      <c r="GM296" s="174"/>
      <c r="GN296" s="174"/>
      <c r="GO296" s="174"/>
      <c r="GP296" s="177"/>
      <c r="GQ296" s="174"/>
      <c r="GR296" s="174"/>
      <c r="GS296" s="174"/>
      <c r="GT296" s="174"/>
      <c r="GU296" s="174"/>
      <c r="GV296" s="174"/>
      <c r="GW296" s="174"/>
      <c r="GX296" s="174"/>
      <c r="GY296" s="174"/>
      <c r="GZ296" s="174"/>
      <c r="HA296" s="174"/>
      <c r="HB296" s="155">
        <v>0.0</v>
      </c>
      <c r="HC296" s="155">
        <v>0.0</v>
      </c>
      <c r="HD296" s="155">
        <v>0.0</v>
      </c>
      <c r="HE296" s="155">
        <v>0.0</v>
      </c>
      <c r="HF296" s="155">
        <v>0.0</v>
      </c>
      <c r="HG296" s="155">
        <v>0.0</v>
      </c>
      <c r="HH296" s="174"/>
      <c r="HI296" s="174"/>
      <c r="HJ296" s="174"/>
      <c r="HK296" s="174"/>
      <c r="HL296" s="174"/>
      <c r="HM296" s="174"/>
      <c r="HN296" s="174"/>
      <c r="HO296" s="174"/>
      <c r="HP296" s="174"/>
      <c r="HQ296" s="174"/>
      <c r="HR296" s="174"/>
      <c r="HS296" s="174"/>
      <c r="HT296" s="174"/>
      <c r="HU296" s="174"/>
      <c r="HV296" s="174"/>
      <c r="HW296" s="174"/>
      <c r="HX296" s="174"/>
      <c r="HY296" s="174"/>
      <c r="HZ296" s="174"/>
      <c r="IA296" s="174"/>
      <c r="IB296" s="174"/>
      <c r="IC296" s="174"/>
      <c r="ID296" s="174"/>
      <c r="IE296" s="174"/>
      <c r="IF296" s="174"/>
      <c r="IG296" s="174"/>
      <c r="IH296" s="174"/>
      <c r="II296" s="174"/>
      <c r="IJ296" s="174"/>
      <c r="IK296" s="174"/>
      <c r="IL296" s="159">
        <v>0.0</v>
      </c>
      <c r="IM296" s="156">
        <v>0.0</v>
      </c>
      <c r="IN296" s="156">
        <v>0.0</v>
      </c>
      <c r="IO296" s="156">
        <v>0.0</v>
      </c>
      <c r="IP296" s="156">
        <v>0.0</v>
      </c>
      <c r="IQ296" s="160">
        <v>0.0</v>
      </c>
      <c r="JH296" s="25"/>
      <c r="JW296" s="159">
        <v>0.0</v>
      </c>
      <c r="JX296" s="156">
        <v>0.0</v>
      </c>
      <c r="JY296" s="156">
        <v>0.0</v>
      </c>
      <c r="JZ296" s="156">
        <v>0.0</v>
      </c>
      <c r="KA296" s="156">
        <v>0.0</v>
      </c>
      <c r="KB296" s="160">
        <v>0.0</v>
      </c>
      <c r="LH296" s="159">
        <f t="shared" si="10"/>
        <v>0</v>
      </c>
      <c r="LI296" s="156">
        <f t="shared" si="11"/>
        <v>0</v>
      </c>
      <c r="LJ296" s="156">
        <f t="shared" si="12"/>
        <v>0</v>
      </c>
      <c r="LK296" s="156">
        <f t="shared" si="13"/>
        <v>0</v>
      </c>
      <c r="LL296" s="156">
        <f t="shared" si="14"/>
        <v>0</v>
      </c>
      <c r="LM296" s="160">
        <f t="shared" si="15"/>
        <v>0</v>
      </c>
      <c r="QX296" s="107">
        <v>45903.0</v>
      </c>
    </row>
    <row r="297">
      <c r="A297" s="12"/>
      <c r="B297" s="12"/>
      <c r="C297" s="12"/>
      <c r="D297" s="12"/>
      <c r="E297" s="12"/>
      <c r="F297" s="12"/>
      <c r="G297" s="12"/>
      <c r="H297" s="12"/>
      <c r="I297" s="143">
        <f t="shared" si="5"/>
        <v>-15</v>
      </c>
      <c r="J297" s="144">
        <v>45909.0</v>
      </c>
      <c r="K297" s="164" t="s">
        <v>61</v>
      </c>
      <c r="L297" s="144">
        <v>46006.0</v>
      </c>
      <c r="M297" s="147" t="s">
        <v>107</v>
      </c>
      <c r="N297" s="148">
        <v>357.0</v>
      </c>
      <c r="O297" s="148">
        <v>30.0</v>
      </c>
      <c r="P297" s="26"/>
      <c r="Q297" s="26"/>
      <c r="R297" s="26"/>
      <c r="S297" s="26"/>
      <c r="T297" s="26"/>
      <c r="U297" s="147" t="s">
        <v>2519</v>
      </c>
      <c r="V297" s="149" t="s">
        <v>307</v>
      </c>
      <c r="W297" s="198" t="s">
        <v>2933</v>
      </c>
      <c r="X297" s="181">
        <v>15.0</v>
      </c>
      <c r="Y297" s="166">
        <f t="shared" si="6"/>
        <v>15</v>
      </c>
      <c r="Z297" s="26">
        <f t="shared" si="7"/>
        <v>0</v>
      </c>
      <c r="AA297" s="26">
        <f t="shared" si="8"/>
        <v>0</v>
      </c>
      <c r="AB297" s="26">
        <f t="shared" si="9"/>
        <v>0</v>
      </c>
      <c r="AC297" s="155">
        <v>0.0</v>
      </c>
      <c r="AD297" s="155">
        <v>0.0</v>
      </c>
      <c r="AE297" s="155">
        <v>0.0</v>
      </c>
      <c r="AF297" s="155">
        <v>0.0</v>
      </c>
      <c r="AG297" s="155">
        <v>0.0</v>
      </c>
      <c r="AH297" s="155">
        <v>0.0</v>
      </c>
      <c r="BN297" s="155">
        <v>0.0</v>
      </c>
      <c r="BO297" s="155">
        <v>0.0</v>
      </c>
      <c r="BP297" s="155">
        <v>0.0</v>
      </c>
      <c r="BQ297" s="155">
        <v>0.0</v>
      </c>
      <c r="BR297" s="155">
        <v>0.0</v>
      </c>
      <c r="BS297" s="155">
        <v>0.0</v>
      </c>
      <c r="CV297" s="156">
        <v>0.0</v>
      </c>
      <c r="CW297" s="156">
        <v>0.0</v>
      </c>
      <c r="CX297" s="156">
        <v>0.0</v>
      </c>
      <c r="CY297" s="156">
        <v>0.0</v>
      </c>
      <c r="CZ297" s="156">
        <v>0.0</v>
      </c>
      <c r="DA297" s="156">
        <v>0.0</v>
      </c>
      <c r="EG297" s="156">
        <v>0.0</v>
      </c>
      <c r="EH297" s="156">
        <v>0.0</v>
      </c>
      <c r="EI297" s="156">
        <v>0.0</v>
      </c>
      <c r="EJ297" s="156">
        <v>0.0</v>
      </c>
      <c r="EK297" s="156">
        <v>0.0</v>
      </c>
      <c r="EL297" s="156">
        <v>0.0</v>
      </c>
      <c r="FQ297" s="156">
        <v>0.0</v>
      </c>
      <c r="FR297" s="156">
        <v>0.0</v>
      </c>
      <c r="FS297" s="156">
        <v>0.0</v>
      </c>
      <c r="FT297" s="156">
        <v>0.0</v>
      </c>
      <c r="FU297" s="156">
        <v>0.0</v>
      </c>
      <c r="FV297" s="156">
        <v>0.0</v>
      </c>
      <c r="FW297" s="157"/>
      <c r="FX297" s="157"/>
      <c r="FY297" s="157"/>
      <c r="FZ297" s="157"/>
      <c r="GA297" s="157"/>
      <c r="GB297" s="157"/>
      <c r="GC297" s="157"/>
      <c r="GD297" s="157"/>
      <c r="GE297" s="157"/>
      <c r="GF297" s="157"/>
      <c r="GG297" s="157"/>
      <c r="GH297" s="157"/>
      <c r="GI297" s="157"/>
      <c r="GJ297" s="157"/>
      <c r="GK297" s="157"/>
      <c r="GL297" s="157"/>
      <c r="GM297" s="157"/>
      <c r="GN297" s="157"/>
      <c r="GO297" s="157"/>
      <c r="GP297" s="158"/>
      <c r="GQ297" s="157"/>
      <c r="GR297" s="157"/>
      <c r="GS297" s="157"/>
      <c r="GT297" s="157"/>
      <c r="GU297" s="157"/>
      <c r="GV297" s="157"/>
      <c r="GW297" s="157"/>
      <c r="GX297" s="157"/>
      <c r="GY297" s="157"/>
      <c r="GZ297" s="157"/>
      <c r="HA297" s="157"/>
      <c r="HB297" s="155">
        <v>0.0</v>
      </c>
      <c r="HC297" s="155">
        <v>0.0</v>
      </c>
      <c r="HD297" s="155">
        <v>0.0</v>
      </c>
      <c r="HE297" s="155">
        <v>0.0</v>
      </c>
      <c r="HF297" s="155">
        <v>0.0</v>
      </c>
      <c r="HG297" s="155">
        <v>0.0</v>
      </c>
      <c r="IL297" s="159">
        <v>0.0</v>
      </c>
      <c r="IM297" s="156">
        <v>0.0</v>
      </c>
      <c r="IN297" s="156">
        <v>0.0</v>
      </c>
      <c r="IO297" s="156">
        <v>0.0</v>
      </c>
      <c r="IP297" s="156">
        <v>0.0</v>
      </c>
      <c r="IQ297" s="160">
        <v>0.0</v>
      </c>
      <c r="JH297" s="25"/>
      <c r="JW297" s="159">
        <v>0.0</v>
      </c>
      <c r="JX297" s="156">
        <v>0.0</v>
      </c>
      <c r="JY297" s="156">
        <v>0.0</v>
      </c>
      <c r="JZ297" s="156">
        <v>0.0</v>
      </c>
      <c r="KA297" s="156">
        <v>0.0</v>
      </c>
      <c r="KB297" s="160">
        <v>0.0</v>
      </c>
      <c r="LH297" s="159">
        <f t="shared" si="10"/>
        <v>0</v>
      </c>
      <c r="LI297" s="156">
        <f t="shared" si="11"/>
        <v>0</v>
      </c>
      <c r="LJ297" s="156">
        <f t="shared" si="12"/>
        <v>0</v>
      </c>
      <c r="LK297" s="156">
        <f t="shared" si="13"/>
        <v>0</v>
      </c>
      <c r="LL297" s="156">
        <f t="shared" si="14"/>
        <v>0</v>
      </c>
      <c r="LM297" s="160">
        <f t="shared" si="15"/>
        <v>0</v>
      </c>
      <c r="QX297" s="107">
        <v>45904.0</v>
      </c>
    </row>
    <row r="298">
      <c r="A298" s="12"/>
      <c r="B298" s="12"/>
      <c r="C298" s="12"/>
      <c r="D298" s="12"/>
      <c r="E298" s="12"/>
      <c r="F298" s="12"/>
      <c r="G298" s="12"/>
      <c r="H298" s="12"/>
      <c r="I298" s="143">
        <f t="shared" si="5"/>
        <v>-14</v>
      </c>
      <c r="J298" s="144">
        <v>45911.0</v>
      </c>
      <c r="K298" s="195" t="s">
        <v>61</v>
      </c>
      <c r="L298" s="144">
        <v>46001.0</v>
      </c>
      <c r="M298" s="147" t="s">
        <v>1733</v>
      </c>
      <c r="N298" s="148">
        <v>357.0</v>
      </c>
      <c r="O298" s="148">
        <v>30.0</v>
      </c>
      <c r="P298" s="26"/>
      <c r="Q298" s="26"/>
      <c r="R298" s="26"/>
      <c r="S298" s="26"/>
      <c r="T298" s="26"/>
      <c r="U298" s="147" t="s">
        <v>2936</v>
      </c>
      <c r="V298" s="149" t="s">
        <v>2937</v>
      </c>
      <c r="W298" s="198" t="s">
        <v>2938</v>
      </c>
      <c r="X298" s="181">
        <v>14.0</v>
      </c>
      <c r="Y298" s="166">
        <f t="shared" si="6"/>
        <v>14</v>
      </c>
      <c r="Z298" s="26">
        <f t="shared" si="7"/>
        <v>0</v>
      </c>
      <c r="AA298" s="26">
        <f t="shared" si="8"/>
        <v>0</v>
      </c>
      <c r="AB298" s="26">
        <f t="shared" si="9"/>
        <v>0</v>
      </c>
      <c r="AC298" s="155">
        <v>0.0</v>
      </c>
      <c r="AD298" s="155">
        <v>0.0</v>
      </c>
      <c r="AE298" s="155">
        <v>0.0</v>
      </c>
      <c r="AF298" s="155">
        <v>0.0</v>
      </c>
      <c r="AG298" s="155">
        <v>0.0</v>
      </c>
      <c r="AH298" s="155">
        <v>0.0</v>
      </c>
      <c r="BN298" s="155">
        <v>0.0</v>
      </c>
      <c r="BO298" s="155">
        <v>0.0</v>
      </c>
      <c r="BP298" s="155">
        <v>0.0</v>
      </c>
      <c r="BQ298" s="155">
        <v>0.0</v>
      </c>
      <c r="BR298" s="155">
        <v>0.0</v>
      </c>
      <c r="BS298" s="155">
        <v>0.0</v>
      </c>
      <c r="CV298" s="156">
        <v>0.0</v>
      </c>
      <c r="CW298" s="156">
        <v>0.0</v>
      </c>
      <c r="CX298" s="156">
        <v>0.0</v>
      </c>
      <c r="CY298" s="156">
        <v>0.0</v>
      </c>
      <c r="CZ298" s="156">
        <v>0.0</v>
      </c>
      <c r="DA298" s="156">
        <v>0.0</v>
      </c>
      <c r="EG298" s="156">
        <v>0.0</v>
      </c>
      <c r="EH298" s="156">
        <v>0.0</v>
      </c>
      <c r="EI298" s="156">
        <v>0.0</v>
      </c>
      <c r="EJ298" s="156">
        <v>0.0</v>
      </c>
      <c r="EK298" s="156">
        <v>0.0</v>
      </c>
      <c r="EL298" s="156">
        <v>0.0</v>
      </c>
      <c r="FQ298" s="156">
        <v>0.0</v>
      </c>
      <c r="FR298" s="156">
        <v>0.0</v>
      </c>
      <c r="FS298" s="156">
        <v>0.0</v>
      </c>
      <c r="FT298" s="156">
        <v>0.0</v>
      </c>
      <c r="FU298" s="156">
        <v>0.0</v>
      </c>
      <c r="FV298" s="156">
        <v>0.0</v>
      </c>
      <c r="FW298" s="157"/>
      <c r="FX298" s="157"/>
      <c r="FY298" s="157"/>
      <c r="FZ298" s="157"/>
      <c r="GA298" s="157"/>
      <c r="GB298" s="157"/>
      <c r="GC298" s="157"/>
      <c r="GD298" s="157"/>
      <c r="GE298" s="157"/>
      <c r="GF298" s="157"/>
      <c r="GG298" s="157"/>
      <c r="GH298" s="157"/>
      <c r="GI298" s="157"/>
      <c r="GJ298" s="157"/>
      <c r="GK298" s="157"/>
      <c r="GL298" s="157"/>
      <c r="GM298" s="157"/>
      <c r="GN298" s="157"/>
      <c r="GO298" s="157"/>
      <c r="GP298" s="158"/>
      <c r="GQ298" s="157"/>
      <c r="GR298" s="157"/>
      <c r="GS298" s="157"/>
      <c r="GT298" s="157"/>
      <c r="GU298" s="157"/>
      <c r="GV298" s="157"/>
      <c r="GW298" s="157"/>
      <c r="GX298" s="157"/>
      <c r="GY298" s="157"/>
      <c r="GZ298" s="157"/>
      <c r="HA298" s="157"/>
      <c r="HB298" s="155">
        <v>0.0</v>
      </c>
      <c r="HC298" s="155">
        <v>0.0</v>
      </c>
      <c r="HD298" s="155">
        <v>0.0</v>
      </c>
      <c r="HE298" s="155">
        <v>0.0</v>
      </c>
      <c r="HF298" s="155">
        <v>0.0</v>
      </c>
      <c r="HG298" s="155">
        <v>0.0</v>
      </c>
      <c r="IL298" s="159">
        <v>0.0</v>
      </c>
      <c r="IM298" s="156">
        <v>0.0</v>
      </c>
      <c r="IN298" s="156">
        <v>0.0</v>
      </c>
      <c r="IO298" s="156">
        <v>0.0</v>
      </c>
      <c r="IP298" s="156">
        <v>0.0</v>
      </c>
      <c r="IQ298" s="160">
        <v>0.0</v>
      </c>
      <c r="JH298" s="25"/>
      <c r="JW298" s="159">
        <v>0.0</v>
      </c>
      <c r="JX298" s="156">
        <v>0.0</v>
      </c>
      <c r="JY298" s="156">
        <v>0.0</v>
      </c>
      <c r="JZ298" s="156">
        <v>0.0</v>
      </c>
      <c r="KA298" s="156">
        <v>0.0</v>
      </c>
      <c r="KB298" s="160">
        <v>0.0</v>
      </c>
      <c r="LH298" s="159">
        <f t="shared" si="10"/>
        <v>0</v>
      </c>
      <c r="LI298" s="156">
        <f t="shared" si="11"/>
        <v>0</v>
      </c>
      <c r="LJ298" s="156">
        <f t="shared" si="12"/>
        <v>0</v>
      </c>
      <c r="LK298" s="156">
        <f t="shared" si="13"/>
        <v>0</v>
      </c>
      <c r="LL298" s="156">
        <f t="shared" si="14"/>
        <v>0</v>
      </c>
      <c r="LM298" s="160">
        <f t="shared" si="15"/>
        <v>0</v>
      </c>
      <c r="QX298" s="107">
        <v>45905.0</v>
      </c>
    </row>
    <row r="299">
      <c r="A299" s="12"/>
      <c r="B299" s="12"/>
      <c r="C299" s="12"/>
      <c r="D299" s="12"/>
      <c r="E299" s="12"/>
      <c r="F299" s="12"/>
      <c r="G299" s="12"/>
      <c r="H299" s="12"/>
      <c r="I299" s="143">
        <f t="shared" si="5"/>
        <v>-31</v>
      </c>
      <c r="J299" s="144">
        <v>45910.0</v>
      </c>
      <c r="K299" s="173" t="s">
        <v>61</v>
      </c>
      <c r="L299" s="144">
        <v>46009.0</v>
      </c>
      <c r="M299" s="147" t="s">
        <v>107</v>
      </c>
      <c r="N299" s="148">
        <v>246.0</v>
      </c>
      <c r="O299" s="148">
        <v>30.0</v>
      </c>
      <c r="P299" s="26"/>
      <c r="Q299" s="26"/>
      <c r="R299" s="26"/>
      <c r="S299" s="26"/>
      <c r="T299" s="26"/>
      <c r="U299" s="147" t="s">
        <v>1005</v>
      </c>
      <c r="V299" s="149" t="s">
        <v>1006</v>
      </c>
      <c r="W299" s="147" t="s">
        <v>2940</v>
      </c>
      <c r="X299" s="181">
        <v>31.0</v>
      </c>
      <c r="Y299" s="166">
        <f t="shared" si="6"/>
        <v>31</v>
      </c>
      <c r="Z299" s="26">
        <f t="shared" si="7"/>
        <v>0</v>
      </c>
      <c r="AA299" s="26">
        <f t="shared" si="8"/>
        <v>0</v>
      </c>
      <c r="AB299" s="26">
        <f t="shared" si="9"/>
        <v>0</v>
      </c>
      <c r="AC299" s="155">
        <v>0.0</v>
      </c>
      <c r="AD299" s="155">
        <v>0.0</v>
      </c>
      <c r="AE299" s="155">
        <v>0.0</v>
      </c>
      <c r="AF299" s="155">
        <v>0.0</v>
      </c>
      <c r="AG299" s="155">
        <v>0.0</v>
      </c>
      <c r="AH299" s="155">
        <v>0.0</v>
      </c>
      <c r="BN299" s="155">
        <v>0.0</v>
      </c>
      <c r="BO299" s="155">
        <v>0.0</v>
      </c>
      <c r="BP299" s="155">
        <v>0.0</v>
      </c>
      <c r="BQ299" s="155">
        <v>0.0</v>
      </c>
      <c r="BR299" s="155">
        <v>0.0</v>
      </c>
      <c r="BS299" s="155">
        <v>0.0</v>
      </c>
      <c r="CV299" s="156">
        <v>0.0</v>
      </c>
      <c r="CW299" s="156">
        <v>0.0</v>
      </c>
      <c r="CX299" s="156">
        <v>0.0</v>
      </c>
      <c r="CY299" s="156">
        <v>0.0</v>
      </c>
      <c r="CZ299" s="156">
        <v>0.0</v>
      </c>
      <c r="DA299" s="156">
        <v>0.0</v>
      </c>
      <c r="EG299" s="156">
        <v>0.0</v>
      </c>
      <c r="EH299" s="156">
        <v>0.0</v>
      </c>
      <c r="EI299" s="156">
        <v>0.0</v>
      </c>
      <c r="EJ299" s="156">
        <v>0.0</v>
      </c>
      <c r="EK299" s="156">
        <v>0.0</v>
      </c>
      <c r="EL299" s="156">
        <v>0.0</v>
      </c>
      <c r="FQ299" s="156">
        <v>0.0</v>
      </c>
      <c r="FR299" s="156">
        <v>0.0</v>
      </c>
      <c r="FS299" s="156">
        <v>0.0</v>
      </c>
      <c r="FT299" s="156">
        <v>0.0</v>
      </c>
      <c r="FU299" s="156">
        <v>0.0</v>
      </c>
      <c r="FV299" s="156">
        <v>0.0</v>
      </c>
      <c r="FW299" s="157"/>
      <c r="FX299" s="157"/>
      <c r="FY299" s="157"/>
      <c r="FZ299" s="157"/>
      <c r="GA299" s="157"/>
      <c r="GB299" s="157"/>
      <c r="GC299" s="157"/>
      <c r="GD299" s="157"/>
      <c r="GE299" s="157"/>
      <c r="GF299" s="157"/>
      <c r="GG299" s="157"/>
      <c r="GH299" s="157"/>
      <c r="GI299" s="157"/>
      <c r="GJ299" s="157"/>
      <c r="GK299" s="157"/>
      <c r="GL299" s="157"/>
      <c r="GM299" s="157"/>
      <c r="GN299" s="157"/>
      <c r="GO299" s="157"/>
      <c r="GP299" s="158"/>
      <c r="GQ299" s="157"/>
      <c r="GR299" s="157"/>
      <c r="GS299" s="157"/>
      <c r="GT299" s="157"/>
      <c r="GU299" s="157"/>
      <c r="GV299" s="157"/>
      <c r="GW299" s="157"/>
      <c r="GX299" s="157"/>
      <c r="GY299" s="157"/>
      <c r="GZ299" s="157"/>
      <c r="HA299" s="157"/>
      <c r="HB299" s="155">
        <v>0.0</v>
      </c>
      <c r="HC299" s="155">
        <v>0.0</v>
      </c>
      <c r="HD299" s="155">
        <v>0.0</v>
      </c>
      <c r="HE299" s="155">
        <v>0.0</v>
      </c>
      <c r="HF299" s="155">
        <v>0.0</v>
      </c>
      <c r="HG299" s="155">
        <v>0.0</v>
      </c>
      <c r="IL299" s="159">
        <v>0.0</v>
      </c>
      <c r="IM299" s="156">
        <v>0.0</v>
      </c>
      <c r="IN299" s="156">
        <v>0.0</v>
      </c>
      <c r="IO299" s="156">
        <v>0.0</v>
      </c>
      <c r="IP299" s="156">
        <v>0.0</v>
      </c>
      <c r="IQ299" s="160">
        <v>0.0</v>
      </c>
      <c r="JH299" s="25"/>
      <c r="JW299" s="159">
        <v>0.0</v>
      </c>
      <c r="JX299" s="156">
        <v>0.0</v>
      </c>
      <c r="JY299" s="156">
        <v>0.0</v>
      </c>
      <c r="JZ299" s="156">
        <v>0.0</v>
      </c>
      <c r="KA299" s="156">
        <v>0.0</v>
      </c>
      <c r="KB299" s="160">
        <v>0.0</v>
      </c>
      <c r="LH299" s="159">
        <f t="shared" si="10"/>
        <v>0</v>
      </c>
      <c r="LI299" s="156">
        <f t="shared" si="11"/>
        <v>0</v>
      </c>
      <c r="LJ299" s="156">
        <f t="shared" si="12"/>
        <v>0</v>
      </c>
      <c r="LK299" s="156">
        <f t="shared" si="13"/>
        <v>0</v>
      </c>
      <c r="LL299" s="156">
        <f t="shared" si="14"/>
        <v>0</v>
      </c>
      <c r="LM299" s="160">
        <f t="shared" si="15"/>
        <v>0</v>
      </c>
      <c r="QX299" s="107">
        <v>45905.0</v>
      </c>
    </row>
    <row r="300">
      <c r="A300" s="12"/>
      <c r="B300" s="12"/>
      <c r="C300" s="12"/>
      <c r="D300" s="12"/>
      <c r="E300" s="12"/>
      <c r="F300" s="12"/>
      <c r="G300" s="12"/>
      <c r="H300" s="12"/>
      <c r="I300" s="143">
        <f t="shared" si="5"/>
        <v>-30</v>
      </c>
      <c r="J300" s="144">
        <v>45909.0</v>
      </c>
      <c r="K300" s="173" t="s">
        <v>61</v>
      </c>
      <c r="L300" s="144">
        <v>45991.0</v>
      </c>
      <c r="M300" s="147" t="s">
        <v>2942</v>
      </c>
      <c r="N300" s="148">
        <v>357.0</v>
      </c>
      <c r="O300" s="148">
        <v>30.0</v>
      </c>
      <c r="P300" s="26"/>
      <c r="Q300" s="26"/>
      <c r="R300" s="26"/>
      <c r="S300" s="26"/>
      <c r="T300" s="26"/>
      <c r="U300" s="147" t="s">
        <v>2744</v>
      </c>
      <c r="V300" s="149" t="s">
        <v>2851</v>
      </c>
      <c r="W300" s="198" t="s">
        <v>2943</v>
      </c>
      <c r="X300" s="181">
        <v>30.0</v>
      </c>
      <c r="Y300" s="166">
        <f t="shared" si="6"/>
        <v>30</v>
      </c>
      <c r="Z300" s="26">
        <f t="shared" si="7"/>
        <v>0</v>
      </c>
      <c r="AA300" s="26">
        <f t="shared" si="8"/>
        <v>0</v>
      </c>
      <c r="AB300" s="26">
        <f t="shared" si="9"/>
        <v>0</v>
      </c>
      <c r="AC300" s="155">
        <v>0.0</v>
      </c>
      <c r="AD300" s="155">
        <v>0.0</v>
      </c>
      <c r="AE300" s="155">
        <v>0.0</v>
      </c>
      <c r="AF300" s="155">
        <v>0.0</v>
      </c>
      <c r="AG300" s="155">
        <v>0.0</v>
      </c>
      <c r="AH300" s="155">
        <v>0.0</v>
      </c>
      <c r="BN300" s="155">
        <v>0.0</v>
      </c>
      <c r="BO300" s="155">
        <v>0.0</v>
      </c>
      <c r="BP300" s="155">
        <v>0.0</v>
      </c>
      <c r="BQ300" s="155">
        <v>0.0</v>
      </c>
      <c r="BR300" s="155">
        <v>0.0</v>
      </c>
      <c r="BS300" s="155">
        <v>0.0</v>
      </c>
      <c r="CV300" s="156">
        <v>0.0</v>
      </c>
      <c r="CW300" s="156">
        <v>0.0</v>
      </c>
      <c r="CX300" s="156">
        <v>0.0</v>
      </c>
      <c r="CY300" s="156">
        <v>0.0</v>
      </c>
      <c r="CZ300" s="156">
        <v>0.0</v>
      </c>
      <c r="DA300" s="156">
        <v>0.0</v>
      </c>
      <c r="EG300" s="156">
        <v>0.0</v>
      </c>
      <c r="EH300" s="156">
        <v>0.0</v>
      </c>
      <c r="EI300" s="156">
        <v>0.0</v>
      </c>
      <c r="EJ300" s="156">
        <v>0.0</v>
      </c>
      <c r="EK300" s="156">
        <v>0.0</v>
      </c>
      <c r="EL300" s="156">
        <v>0.0</v>
      </c>
      <c r="FQ300" s="156">
        <v>0.0</v>
      </c>
      <c r="FR300" s="156">
        <v>0.0</v>
      </c>
      <c r="FS300" s="156">
        <v>0.0</v>
      </c>
      <c r="FT300" s="156">
        <v>0.0</v>
      </c>
      <c r="FU300" s="156">
        <v>0.0</v>
      </c>
      <c r="FV300" s="156">
        <v>0.0</v>
      </c>
      <c r="FW300" s="157"/>
      <c r="FX300" s="157"/>
      <c r="FY300" s="157"/>
      <c r="FZ300" s="157"/>
      <c r="GA300" s="157"/>
      <c r="GB300" s="157"/>
      <c r="GC300" s="157"/>
      <c r="GD300" s="157"/>
      <c r="GE300" s="157"/>
      <c r="GF300" s="157"/>
      <c r="GG300" s="157"/>
      <c r="GH300" s="157"/>
      <c r="GI300" s="157"/>
      <c r="GJ300" s="157"/>
      <c r="GK300" s="157"/>
      <c r="GL300" s="157"/>
      <c r="GM300" s="157"/>
      <c r="GN300" s="157"/>
      <c r="GO300" s="157"/>
      <c r="GP300" s="158"/>
      <c r="GQ300" s="157"/>
      <c r="GR300" s="157"/>
      <c r="GS300" s="157"/>
      <c r="GT300" s="157"/>
      <c r="GU300" s="157"/>
      <c r="GV300" s="157"/>
      <c r="GW300" s="157"/>
      <c r="GX300" s="157"/>
      <c r="GY300" s="157"/>
      <c r="GZ300" s="157"/>
      <c r="HA300" s="157"/>
      <c r="HB300" s="155">
        <v>0.0</v>
      </c>
      <c r="HC300" s="155">
        <v>0.0</v>
      </c>
      <c r="HD300" s="155">
        <v>0.0</v>
      </c>
      <c r="HE300" s="155">
        <v>0.0</v>
      </c>
      <c r="HF300" s="155">
        <v>0.0</v>
      </c>
      <c r="HG300" s="155">
        <v>0.0</v>
      </c>
      <c r="IL300" s="159">
        <v>0.0</v>
      </c>
      <c r="IM300" s="156">
        <v>0.0</v>
      </c>
      <c r="IN300" s="156">
        <v>0.0</v>
      </c>
      <c r="IO300" s="156">
        <v>0.0</v>
      </c>
      <c r="IP300" s="156">
        <v>0.0</v>
      </c>
      <c r="IQ300" s="160">
        <v>0.0</v>
      </c>
      <c r="JH300" s="25"/>
      <c r="JW300" s="159">
        <v>0.0</v>
      </c>
      <c r="JX300" s="156">
        <v>0.0</v>
      </c>
      <c r="JY300" s="156">
        <v>0.0</v>
      </c>
      <c r="JZ300" s="156">
        <v>0.0</v>
      </c>
      <c r="KA300" s="156">
        <v>0.0</v>
      </c>
      <c r="KB300" s="160">
        <v>0.0</v>
      </c>
      <c r="LH300" s="159">
        <f t="shared" si="10"/>
        <v>0</v>
      </c>
      <c r="LI300" s="156">
        <f t="shared" si="11"/>
        <v>0</v>
      </c>
      <c r="LJ300" s="156">
        <f t="shared" si="12"/>
        <v>0</v>
      </c>
      <c r="LK300" s="156">
        <f t="shared" si="13"/>
        <v>0</v>
      </c>
      <c r="LL300" s="156">
        <f t="shared" si="14"/>
        <v>0</v>
      </c>
      <c r="LM300" s="160">
        <f t="shared" si="15"/>
        <v>0</v>
      </c>
      <c r="QX300" s="107">
        <v>45905.0</v>
      </c>
    </row>
    <row r="301">
      <c r="A301" s="12"/>
      <c r="B301" s="12"/>
      <c r="C301" s="12"/>
      <c r="D301" s="12"/>
      <c r="E301" s="12"/>
      <c r="F301" s="12"/>
      <c r="G301" s="12"/>
      <c r="H301" s="12"/>
      <c r="I301" s="143">
        <f t="shared" si="5"/>
        <v>-30</v>
      </c>
      <c r="J301" s="144">
        <v>45910.0</v>
      </c>
      <c r="K301" s="145" t="s">
        <v>61</v>
      </c>
      <c r="L301" s="171">
        <v>46081.0</v>
      </c>
      <c r="M301" s="147" t="s">
        <v>107</v>
      </c>
      <c r="N301" s="148">
        <v>246.0</v>
      </c>
      <c r="O301" s="148">
        <v>30.0</v>
      </c>
      <c r="P301" s="26"/>
      <c r="Q301" s="26"/>
      <c r="R301" s="26"/>
      <c r="S301" s="26"/>
      <c r="T301" s="26"/>
      <c r="U301" s="147" t="s">
        <v>2945</v>
      </c>
      <c r="V301" s="149" t="s">
        <v>2946</v>
      </c>
      <c r="W301" s="198" t="s">
        <v>2947</v>
      </c>
      <c r="X301" s="181">
        <v>22.0</v>
      </c>
      <c r="Y301" s="166">
        <f t="shared" si="6"/>
        <v>30</v>
      </c>
      <c r="Z301" s="26">
        <f t="shared" si="7"/>
        <v>0</v>
      </c>
      <c r="AA301" s="26">
        <f t="shared" si="8"/>
        <v>0</v>
      </c>
      <c r="AB301" s="26">
        <f t="shared" si="9"/>
        <v>0</v>
      </c>
      <c r="AC301" s="155">
        <v>7.0</v>
      </c>
      <c r="AD301" s="155">
        <v>0.0</v>
      </c>
      <c r="AE301" s="155">
        <v>0.0</v>
      </c>
      <c r="AF301" s="155">
        <v>0.0</v>
      </c>
      <c r="AG301" s="155">
        <v>0.0</v>
      </c>
      <c r="AH301" s="155">
        <v>0.0</v>
      </c>
      <c r="AI301" s="167"/>
      <c r="AJ301" s="167"/>
      <c r="AK301" s="167"/>
      <c r="AL301" s="167"/>
      <c r="AM301" s="167"/>
      <c r="AN301" s="167"/>
      <c r="AO301" s="167"/>
      <c r="AP301" s="167"/>
      <c r="AQ301" s="167">
        <v>1.0</v>
      </c>
      <c r="AR301" s="167">
        <v>0.0</v>
      </c>
      <c r="AS301" s="167">
        <v>0.0</v>
      </c>
      <c r="AT301" s="167">
        <v>1.0</v>
      </c>
      <c r="AU301" s="167">
        <v>0.0</v>
      </c>
      <c r="AV301" s="167">
        <v>1.0</v>
      </c>
      <c r="AW301" s="167"/>
      <c r="AX301" s="167"/>
      <c r="AY301" s="167"/>
      <c r="AZ301" s="167"/>
      <c r="BA301" s="167"/>
      <c r="BB301" s="168">
        <v>1.0</v>
      </c>
      <c r="BC301" s="167">
        <v>1.0</v>
      </c>
      <c r="BD301" s="167">
        <v>0.0</v>
      </c>
      <c r="BE301" s="167">
        <v>1.0</v>
      </c>
      <c r="BF301" s="167">
        <v>0.0</v>
      </c>
      <c r="BG301" s="167">
        <v>0.0</v>
      </c>
      <c r="BH301" s="167"/>
      <c r="BI301" s="167">
        <v>0.0</v>
      </c>
      <c r="BJ301" s="167">
        <v>1.0</v>
      </c>
      <c r="BK301" s="167">
        <v>0.0</v>
      </c>
      <c r="BL301" s="167"/>
      <c r="BM301" s="167">
        <v>0.0</v>
      </c>
      <c r="BN301" s="155">
        <v>1.0</v>
      </c>
      <c r="BO301" s="155">
        <v>0.0</v>
      </c>
      <c r="BP301" s="155">
        <v>0.0</v>
      </c>
      <c r="BQ301" s="155">
        <v>0.0</v>
      </c>
      <c r="BR301" s="155">
        <v>0.0</v>
      </c>
      <c r="BS301" s="155">
        <v>0.0</v>
      </c>
      <c r="BT301" s="167">
        <v>0.0</v>
      </c>
      <c r="BU301" s="167">
        <v>1.0</v>
      </c>
      <c r="BV301" s="167"/>
      <c r="BW301" s="167"/>
      <c r="BX301" s="167"/>
      <c r="BY301" s="167"/>
      <c r="BZ301" s="167"/>
      <c r="CA301" s="167"/>
      <c r="CB301" s="167"/>
      <c r="CC301" s="167"/>
      <c r="CD301" s="167"/>
      <c r="CE301" s="167"/>
      <c r="CF301" s="167"/>
      <c r="CG301" s="167"/>
      <c r="CH301" s="167"/>
      <c r="CI301" s="167"/>
      <c r="CJ301" s="167"/>
      <c r="CK301" s="167"/>
      <c r="CL301" s="167"/>
      <c r="CM301" s="167"/>
      <c r="CN301" s="167"/>
      <c r="CO301" s="167"/>
      <c r="CP301" s="167"/>
      <c r="CQ301" s="167"/>
      <c r="CR301" s="167"/>
      <c r="CS301" s="167"/>
      <c r="CT301" s="167"/>
      <c r="CU301" s="167"/>
      <c r="CV301" s="156">
        <v>0.0</v>
      </c>
      <c r="CW301" s="156">
        <v>0.0</v>
      </c>
      <c r="CX301" s="156">
        <v>0.0</v>
      </c>
      <c r="CY301" s="156">
        <v>0.0</v>
      </c>
      <c r="CZ301" s="156">
        <v>0.0</v>
      </c>
      <c r="DA301" s="156">
        <v>0.0</v>
      </c>
      <c r="EG301" s="156">
        <v>0.0</v>
      </c>
      <c r="EH301" s="156">
        <v>0.0</v>
      </c>
      <c r="EI301" s="156">
        <v>0.0</v>
      </c>
      <c r="EJ301" s="156">
        <v>0.0</v>
      </c>
      <c r="EK301" s="156">
        <v>0.0</v>
      </c>
      <c r="EL301" s="156">
        <v>0.0</v>
      </c>
      <c r="FQ301" s="156">
        <v>0.0</v>
      </c>
      <c r="FR301" s="156">
        <v>0.0</v>
      </c>
      <c r="FS301" s="156">
        <v>0.0</v>
      </c>
      <c r="FT301" s="156">
        <v>0.0</v>
      </c>
      <c r="FU301" s="156">
        <v>0.0</v>
      </c>
      <c r="FV301" s="156">
        <v>0.0</v>
      </c>
      <c r="FW301" s="157"/>
      <c r="FX301" s="157"/>
      <c r="FY301" s="157"/>
      <c r="FZ301" s="157"/>
      <c r="GA301" s="157"/>
      <c r="GB301" s="157"/>
      <c r="GC301" s="157"/>
      <c r="GD301" s="157"/>
      <c r="GE301" s="157"/>
      <c r="GF301" s="157"/>
      <c r="GG301" s="157"/>
      <c r="GH301" s="157"/>
      <c r="GI301" s="157"/>
      <c r="GJ301" s="157"/>
      <c r="GK301" s="157"/>
      <c r="GL301" s="157"/>
      <c r="GM301" s="157"/>
      <c r="GN301" s="157"/>
      <c r="GO301" s="157"/>
      <c r="GP301" s="158"/>
      <c r="GQ301" s="157"/>
      <c r="GR301" s="157"/>
      <c r="GS301" s="157"/>
      <c r="GT301" s="157"/>
      <c r="GU301" s="157"/>
      <c r="GV301" s="157"/>
      <c r="GW301" s="157"/>
      <c r="GX301" s="157"/>
      <c r="GY301" s="157"/>
      <c r="GZ301" s="157"/>
      <c r="HA301" s="157"/>
      <c r="HB301" s="155">
        <v>0.0</v>
      </c>
      <c r="HC301" s="155">
        <v>0.0</v>
      </c>
      <c r="HD301" s="155">
        <v>0.0</v>
      </c>
      <c r="HE301" s="155">
        <v>0.0</v>
      </c>
      <c r="HF301" s="155">
        <v>0.0</v>
      </c>
      <c r="HG301" s="155">
        <v>0.0</v>
      </c>
      <c r="IL301" s="159">
        <v>0.0</v>
      </c>
      <c r="IM301" s="156">
        <v>0.0</v>
      </c>
      <c r="IN301" s="156">
        <v>0.0</v>
      </c>
      <c r="IO301" s="156">
        <v>0.0</v>
      </c>
      <c r="IP301" s="156">
        <v>0.0</v>
      </c>
      <c r="IQ301" s="160">
        <v>0.0</v>
      </c>
      <c r="JH301" s="25"/>
      <c r="JW301" s="159">
        <v>0.0</v>
      </c>
      <c r="JX301" s="156">
        <v>0.0</v>
      </c>
      <c r="JY301" s="156">
        <v>0.0</v>
      </c>
      <c r="JZ301" s="156">
        <v>0.0</v>
      </c>
      <c r="KA301" s="156">
        <v>0.0</v>
      </c>
      <c r="KB301" s="160">
        <v>0.0</v>
      </c>
      <c r="LH301" s="159">
        <f t="shared" si="10"/>
        <v>0</v>
      </c>
      <c r="LI301" s="156">
        <f t="shared" si="11"/>
        <v>0</v>
      </c>
      <c r="LJ301" s="156">
        <f t="shared" si="12"/>
        <v>0</v>
      </c>
      <c r="LK301" s="156">
        <f t="shared" si="13"/>
        <v>0</v>
      </c>
      <c r="LL301" s="156">
        <f t="shared" si="14"/>
        <v>0</v>
      </c>
      <c r="LM301" s="160">
        <f t="shared" si="15"/>
        <v>0</v>
      </c>
      <c r="QX301" s="107">
        <v>45908.0</v>
      </c>
    </row>
    <row r="302">
      <c r="A302" s="12"/>
      <c r="B302" s="12"/>
      <c r="C302" s="12"/>
      <c r="D302" s="12"/>
      <c r="E302" s="12"/>
      <c r="F302" s="12"/>
      <c r="G302" s="12"/>
      <c r="H302" s="12"/>
      <c r="I302" s="143">
        <f t="shared" si="5"/>
        <v>-30</v>
      </c>
      <c r="J302" s="144">
        <v>45911.0</v>
      </c>
      <c r="K302" s="173" t="s">
        <v>61</v>
      </c>
      <c r="L302" s="144">
        <v>45991.0</v>
      </c>
      <c r="M302" s="147" t="s">
        <v>107</v>
      </c>
      <c r="N302" s="148">
        <v>357.0</v>
      </c>
      <c r="O302" s="148">
        <v>30.0</v>
      </c>
      <c r="P302" s="26"/>
      <c r="Q302" s="26"/>
      <c r="R302" s="26"/>
      <c r="S302" s="26"/>
      <c r="T302" s="26"/>
      <c r="U302" s="467" t="s">
        <v>1259</v>
      </c>
      <c r="V302" s="149" t="s">
        <v>732</v>
      </c>
      <c r="W302" s="198" t="s">
        <v>2950</v>
      </c>
      <c r="X302" s="181">
        <v>30.0</v>
      </c>
      <c r="Y302" s="166">
        <f t="shared" si="6"/>
        <v>30</v>
      </c>
      <c r="Z302" s="26">
        <f t="shared" si="7"/>
        <v>0</v>
      </c>
      <c r="AA302" s="26">
        <f t="shared" si="8"/>
        <v>0</v>
      </c>
      <c r="AB302" s="26">
        <f t="shared" si="9"/>
        <v>0</v>
      </c>
      <c r="AC302" s="155">
        <v>0.0</v>
      </c>
      <c r="AD302" s="155">
        <v>0.0</v>
      </c>
      <c r="AE302" s="155">
        <v>0.0</v>
      </c>
      <c r="AF302" s="155">
        <v>0.0</v>
      </c>
      <c r="AG302" s="155">
        <v>0.0</v>
      </c>
      <c r="AH302" s="155">
        <v>0.0</v>
      </c>
      <c r="BN302" s="155">
        <v>0.0</v>
      </c>
      <c r="BO302" s="155">
        <v>0.0</v>
      </c>
      <c r="BP302" s="155">
        <v>0.0</v>
      </c>
      <c r="BQ302" s="155">
        <v>0.0</v>
      </c>
      <c r="BR302" s="155">
        <v>0.0</v>
      </c>
      <c r="BS302" s="155">
        <v>0.0</v>
      </c>
      <c r="CV302" s="156">
        <v>0.0</v>
      </c>
      <c r="CW302" s="156">
        <v>0.0</v>
      </c>
      <c r="CX302" s="156">
        <v>0.0</v>
      </c>
      <c r="CY302" s="156">
        <v>0.0</v>
      </c>
      <c r="CZ302" s="156">
        <v>0.0</v>
      </c>
      <c r="DA302" s="156">
        <v>0.0</v>
      </c>
      <c r="EG302" s="156">
        <v>0.0</v>
      </c>
      <c r="EH302" s="156">
        <v>0.0</v>
      </c>
      <c r="EI302" s="156">
        <v>0.0</v>
      </c>
      <c r="EJ302" s="156">
        <v>0.0</v>
      </c>
      <c r="EK302" s="156">
        <v>0.0</v>
      </c>
      <c r="EL302" s="156">
        <v>0.0</v>
      </c>
      <c r="FQ302" s="156">
        <v>0.0</v>
      </c>
      <c r="FR302" s="156">
        <v>0.0</v>
      </c>
      <c r="FS302" s="156">
        <v>0.0</v>
      </c>
      <c r="FT302" s="156">
        <v>0.0</v>
      </c>
      <c r="FU302" s="156">
        <v>0.0</v>
      </c>
      <c r="FV302" s="156">
        <v>0.0</v>
      </c>
      <c r="FW302" s="157"/>
      <c r="FX302" s="157"/>
      <c r="FY302" s="157"/>
      <c r="FZ302" s="157"/>
      <c r="GA302" s="157"/>
      <c r="GB302" s="157"/>
      <c r="GC302" s="157"/>
      <c r="GD302" s="157"/>
      <c r="GE302" s="157"/>
      <c r="GF302" s="157"/>
      <c r="GG302" s="157"/>
      <c r="GH302" s="157"/>
      <c r="GI302" s="157"/>
      <c r="GJ302" s="157"/>
      <c r="GK302" s="157"/>
      <c r="GL302" s="157"/>
      <c r="GM302" s="157"/>
      <c r="GN302" s="157"/>
      <c r="GO302" s="157"/>
      <c r="GP302" s="158"/>
      <c r="GQ302" s="157"/>
      <c r="GR302" s="157"/>
      <c r="GS302" s="157"/>
      <c r="GT302" s="157"/>
      <c r="GU302" s="157"/>
      <c r="GV302" s="157"/>
      <c r="GW302" s="157"/>
      <c r="GX302" s="157"/>
      <c r="GY302" s="157"/>
      <c r="GZ302" s="157"/>
      <c r="HA302" s="157"/>
      <c r="HB302" s="155">
        <v>0.0</v>
      </c>
      <c r="HC302" s="155">
        <v>0.0</v>
      </c>
      <c r="HD302" s="155">
        <v>0.0</v>
      </c>
      <c r="HE302" s="155">
        <v>0.0</v>
      </c>
      <c r="HF302" s="155">
        <v>0.0</v>
      </c>
      <c r="HG302" s="155">
        <v>0.0</v>
      </c>
      <c r="IL302" s="159">
        <v>0.0</v>
      </c>
      <c r="IM302" s="156">
        <v>0.0</v>
      </c>
      <c r="IN302" s="156">
        <v>0.0</v>
      </c>
      <c r="IO302" s="156">
        <v>0.0</v>
      </c>
      <c r="IP302" s="156">
        <v>0.0</v>
      </c>
      <c r="IQ302" s="160">
        <v>0.0</v>
      </c>
      <c r="JH302" s="25"/>
      <c r="JW302" s="159">
        <v>0.0</v>
      </c>
      <c r="JX302" s="156">
        <v>0.0</v>
      </c>
      <c r="JY302" s="156">
        <v>0.0</v>
      </c>
      <c r="JZ302" s="156">
        <v>0.0</v>
      </c>
      <c r="KA302" s="156">
        <v>0.0</v>
      </c>
      <c r="KB302" s="160">
        <v>0.0</v>
      </c>
      <c r="LH302" s="159">
        <f t="shared" si="10"/>
        <v>0</v>
      </c>
      <c r="LI302" s="156">
        <f t="shared" si="11"/>
        <v>0</v>
      </c>
      <c r="LJ302" s="156">
        <f t="shared" si="12"/>
        <v>0</v>
      </c>
      <c r="LK302" s="156">
        <f t="shared" si="13"/>
        <v>0</v>
      </c>
      <c r="LL302" s="156">
        <f t="shared" si="14"/>
        <v>0</v>
      </c>
      <c r="LM302" s="160">
        <f t="shared" si="15"/>
        <v>0</v>
      </c>
      <c r="QX302" s="107">
        <v>45908.0</v>
      </c>
    </row>
    <row r="303">
      <c r="A303" s="12"/>
      <c r="B303" s="12"/>
      <c r="C303" s="12"/>
      <c r="D303" s="12"/>
      <c r="E303" s="12"/>
      <c r="F303" s="12"/>
      <c r="G303" s="12"/>
      <c r="H303" s="12"/>
      <c r="I303" s="143">
        <f t="shared" si="5"/>
        <v>-30</v>
      </c>
      <c r="J303" s="144">
        <v>45910.0</v>
      </c>
      <c r="K303" s="173" t="s">
        <v>61</v>
      </c>
      <c r="L303" s="144">
        <v>45985.0</v>
      </c>
      <c r="M303" s="147" t="s">
        <v>107</v>
      </c>
      <c r="N303" s="148">
        <v>246.0</v>
      </c>
      <c r="O303" s="148">
        <v>30.0</v>
      </c>
      <c r="P303" s="26"/>
      <c r="Q303" s="26"/>
      <c r="R303" s="26"/>
      <c r="S303" s="26"/>
      <c r="T303" s="26"/>
      <c r="U303" s="147" t="s">
        <v>845</v>
      </c>
      <c r="V303" s="149" t="s">
        <v>2952</v>
      </c>
      <c r="W303" s="198" t="s">
        <v>2953</v>
      </c>
      <c r="X303" s="181">
        <v>30.0</v>
      </c>
      <c r="Y303" s="166">
        <f t="shared" si="6"/>
        <v>30</v>
      </c>
      <c r="Z303" s="26">
        <f t="shared" si="7"/>
        <v>0</v>
      </c>
      <c r="AA303" s="26">
        <f t="shared" si="8"/>
        <v>0</v>
      </c>
      <c r="AB303" s="26">
        <f t="shared" si="9"/>
        <v>0</v>
      </c>
      <c r="AC303" s="155">
        <v>0.0</v>
      </c>
      <c r="AD303" s="155">
        <v>0.0</v>
      </c>
      <c r="AE303" s="155">
        <v>0.0</v>
      </c>
      <c r="AF303" s="155">
        <v>0.0</v>
      </c>
      <c r="AG303" s="155">
        <v>0.0</v>
      </c>
      <c r="AH303" s="155">
        <v>0.0</v>
      </c>
      <c r="BN303" s="155">
        <v>0.0</v>
      </c>
      <c r="BO303" s="155">
        <v>0.0</v>
      </c>
      <c r="BP303" s="155">
        <v>0.0</v>
      </c>
      <c r="BQ303" s="155">
        <v>0.0</v>
      </c>
      <c r="BR303" s="155">
        <v>0.0</v>
      </c>
      <c r="BS303" s="155">
        <v>0.0</v>
      </c>
      <c r="CV303" s="156">
        <v>0.0</v>
      </c>
      <c r="CW303" s="156">
        <v>0.0</v>
      </c>
      <c r="CX303" s="156">
        <v>0.0</v>
      </c>
      <c r="CY303" s="156">
        <v>0.0</v>
      </c>
      <c r="CZ303" s="156">
        <v>0.0</v>
      </c>
      <c r="DA303" s="156">
        <v>0.0</v>
      </c>
      <c r="EG303" s="156">
        <v>0.0</v>
      </c>
      <c r="EH303" s="156">
        <v>0.0</v>
      </c>
      <c r="EI303" s="156">
        <v>0.0</v>
      </c>
      <c r="EJ303" s="156">
        <v>0.0</v>
      </c>
      <c r="EK303" s="156">
        <v>0.0</v>
      </c>
      <c r="EL303" s="156">
        <v>0.0</v>
      </c>
      <c r="FQ303" s="156">
        <v>0.0</v>
      </c>
      <c r="FR303" s="156">
        <v>0.0</v>
      </c>
      <c r="FS303" s="156">
        <v>0.0</v>
      </c>
      <c r="FT303" s="156">
        <v>0.0</v>
      </c>
      <c r="FU303" s="156">
        <v>0.0</v>
      </c>
      <c r="FV303" s="156">
        <v>0.0</v>
      </c>
      <c r="FW303" s="157"/>
      <c r="FX303" s="157"/>
      <c r="FY303" s="157"/>
      <c r="FZ303" s="157"/>
      <c r="GA303" s="157"/>
      <c r="GB303" s="157"/>
      <c r="GC303" s="157"/>
      <c r="GD303" s="157"/>
      <c r="GE303" s="157"/>
      <c r="GF303" s="157"/>
      <c r="GG303" s="157"/>
      <c r="GH303" s="157"/>
      <c r="GI303" s="157"/>
      <c r="GJ303" s="157"/>
      <c r="GK303" s="157"/>
      <c r="GL303" s="157"/>
      <c r="GM303" s="157"/>
      <c r="GN303" s="157"/>
      <c r="GO303" s="157"/>
      <c r="GP303" s="158"/>
      <c r="GQ303" s="157"/>
      <c r="GR303" s="157"/>
      <c r="GS303" s="157"/>
      <c r="GT303" s="157"/>
      <c r="GU303" s="157"/>
      <c r="GV303" s="157"/>
      <c r="GW303" s="157"/>
      <c r="GX303" s="157"/>
      <c r="GY303" s="157"/>
      <c r="GZ303" s="157"/>
      <c r="HA303" s="157"/>
      <c r="HB303" s="155">
        <v>0.0</v>
      </c>
      <c r="HC303" s="155">
        <v>0.0</v>
      </c>
      <c r="HD303" s="155">
        <v>0.0</v>
      </c>
      <c r="HE303" s="155">
        <v>0.0</v>
      </c>
      <c r="HF303" s="155">
        <v>0.0</v>
      </c>
      <c r="HG303" s="155">
        <v>0.0</v>
      </c>
      <c r="IL303" s="159">
        <v>0.0</v>
      </c>
      <c r="IM303" s="156">
        <v>0.0</v>
      </c>
      <c r="IN303" s="156">
        <v>0.0</v>
      </c>
      <c r="IO303" s="156">
        <v>0.0</v>
      </c>
      <c r="IP303" s="156">
        <v>0.0</v>
      </c>
      <c r="IQ303" s="160">
        <v>0.0</v>
      </c>
      <c r="JH303" s="25"/>
      <c r="JW303" s="159">
        <v>0.0</v>
      </c>
      <c r="JX303" s="156">
        <v>0.0</v>
      </c>
      <c r="JY303" s="156">
        <v>0.0</v>
      </c>
      <c r="JZ303" s="156">
        <v>0.0</v>
      </c>
      <c r="KA303" s="156">
        <v>0.0</v>
      </c>
      <c r="KB303" s="160">
        <v>0.0</v>
      </c>
      <c r="LH303" s="159">
        <f t="shared" si="10"/>
        <v>0</v>
      </c>
      <c r="LI303" s="156">
        <f t="shared" si="11"/>
        <v>0</v>
      </c>
      <c r="LJ303" s="156">
        <f t="shared" si="12"/>
        <v>0</v>
      </c>
      <c r="LK303" s="156">
        <f t="shared" si="13"/>
        <v>0</v>
      </c>
      <c r="LL303" s="156">
        <f t="shared" si="14"/>
        <v>0</v>
      </c>
      <c r="LM303" s="160">
        <f t="shared" si="15"/>
        <v>0</v>
      </c>
      <c r="QX303" s="107">
        <v>45908.0</v>
      </c>
    </row>
    <row r="304">
      <c r="A304" s="12"/>
      <c r="B304" s="12"/>
      <c r="C304" s="12"/>
      <c r="D304" s="12"/>
      <c r="E304" s="12"/>
      <c r="F304" s="12"/>
      <c r="G304" s="12"/>
      <c r="H304" s="12"/>
      <c r="I304" s="143">
        <f t="shared" si="5"/>
        <v>-1</v>
      </c>
      <c r="J304" s="144">
        <v>45918.0</v>
      </c>
      <c r="K304" s="173" t="s">
        <v>61</v>
      </c>
      <c r="L304" s="146"/>
      <c r="M304" s="147" t="s">
        <v>348</v>
      </c>
      <c r="N304" s="148">
        <v>357.0</v>
      </c>
      <c r="O304" s="148">
        <v>30.0</v>
      </c>
      <c r="P304" s="26"/>
      <c r="Q304" s="26"/>
      <c r="R304" s="26"/>
      <c r="S304" s="26"/>
      <c r="T304" s="26"/>
      <c r="U304" s="147" t="s">
        <v>343</v>
      </c>
      <c r="V304" s="197"/>
      <c r="W304" s="150" t="s">
        <v>2954</v>
      </c>
      <c r="X304" s="181">
        <v>1.0</v>
      </c>
      <c r="Y304" s="166">
        <f t="shared" si="6"/>
        <v>1</v>
      </c>
      <c r="Z304" s="26">
        <f t="shared" si="7"/>
        <v>0</v>
      </c>
      <c r="AA304" s="26">
        <f t="shared" si="8"/>
        <v>0</v>
      </c>
      <c r="AB304" s="26">
        <f t="shared" si="9"/>
        <v>0</v>
      </c>
      <c r="AC304" s="155">
        <v>0.0</v>
      </c>
      <c r="AD304" s="155">
        <v>0.0</v>
      </c>
      <c r="AE304" s="155">
        <v>0.0</v>
      </c>
      <c r="AF304" s="155">
        <v>0.0</v>
      </c>
      <c r="AG304" s="155">
        <v>0.0</v>
      </c>
      <c r="AH304" s="155">
        <v>0.0</v>
      </c>
      <c r="BN304" s="155">
        <v>0.0</v>
      </c>
      <c r="BO304" s="155">
        <v>0.0</v>
      </c>
      <c r="BP304" s="155">
        <v>0.0</v>
      </c>
      <c r="BQ304" s="155">
        <v>0.0</v>
      </c>
      <c r="BR304" s="155">
        <v>0.0</v>
      </c>
      <c r="BS304" s="155">
        <v>0.0</v>
      </c>
      <c r="CV304" s="156">
        <v>0.0</v>
      </c>
      <c r="CW304" s="156">
        <v>0.0</v>
      </c>
      <c r="CX304" s="156">
        <v>0.0</v>
      </c>
      <c r="CY304" s="156">
        <v>0.0</v>
      </c>
      <c r="CZ304" s="156">
        <v>0.0</v>
      </c>
      <c r="DA304" s="156">
        <v>0.0</v>
      </c>
      <c r="EG304" s="156">
        <v>0.0</v>
      </c>
      <c r="EH304" s="156">
        <v>0.0</v>
      </c>
      <c r="EI304" s="156">
        <v>0.0</v>
      </c>
      <c r="EJ304" s="156">
        <v>0.0</v>
      </c>
      <c r="EK304" s="156">
        <v>0.0</v>
      </c>
      <c r="EL304" s="156">
        <v>0.0</v>
      </c>
      <c r="FQ304" s="156">
        <v>0.0</v>
      </c>
      <c r="FR304" s="156">
        <v>0.0</v>
      </c>
      <c r="FS304" s="156">
        <v>0.0</v>
      </c>
      <c r="FT304" s="156">
        <v>0.0</v>
      </c>
      <c r="FU304" s="156">
        <v>0.0</v>
      </c>
      <c r="FV304" s="156">
        <v>0.0</v>
      </c>
      <c r="FW304" s="157"/>
      <c r="FX304" s="157"/>
      <c r="FY304" s="157"/>
      <c r="FZ304" s="157"/>
      <c r="GA304" s="157"/>
      <c r="GB304" s="157"/>
      <c r="GC304" s="157"/>
      <c r="GD304" s="157"/>
      <c r="GE304" s="157"/>
      <c r="GF304" s="157"/>
      <c r="GG304" s="157"/>
      <c r="GH304" s="157"/>
      <c r="GI304" s="157"/>
      <c r="GJ304" s="157"/>
      <c r="GK304" s="157"/>
      <c r="GL304" s="157"/>
      <c r="GM304" s="157"/>
      <c r="GN304" s="157"/>
      <c r="GO304" s="157"/>
      <c r="GP304" s="158"/>
      <c r="GQ304" s="157"/>
      <c r="GR304" s="157"/>
      <c r="GS304" s="157"/>
      <c r="GT304" s="157"/>
      <c r="GU304" s="157"/>
      <c r="GV304" s="157"/>
      <c r="GW304" s="157"/>
      <c r="GX304" s="157"/>
      <c r="GY304" s="157"/>
      <c r="GZ304" s="157"/>
      <c r="HA304" s="157"/>
      <c r="HB304" s="155">
        <v>0.0</v>
      </c>
      <c r="HC304" s="155">
        <v>0.0</v>
      </c>
      <c r="HD304" s="155">
        <v>0.0</v>
      </c>
      <c r="HE304" s="155">
        <v>0.0</v>
      </c>
      <c r="HF304" s="155">
        <v>0.0</v>
      </c>
      <c r="HG304" s="155">
        <v>0.0</v>
      </c>
      <c r="IL304" s="159">
        <v>0.0</v>
      </c>
      <c r="IM304" s="156">
        <v>0.0</v>
      </c>
      <c r="IN304" s="156">
        <v>0.0</v>
      </c>
      <c r="IO304" s="156">
        <v>0.0</v>
      </c>
      <c r="IP304" s="156">
        <v>0.0</v>
      </c>
      <c r="IQ304" s="160">
        <v>0.0</v>
      </c>
      <c r="JH304" s="25"/>
      <c r="JW304" s="159">
        <v>0.0</v>
      </c>
      <c r="JX304" s="156">
        <v>0.0</v>
      </c>
      <c r="JY304" s="156">
        <v>0.0</v>
      </c>
      <c r="JZ304" s="156">
        <v>0.0</v>
      </c>
      <c r="KA304" s="156">
        <v>0.0</v>
      </c>
      <c r="KB304" s="160">
        <v>0.0</v>
      </c>
      <c r="LH304" s="159">
        <f t="shared" si="10"/>
        <v>0</v>
      </c>
      <c r="LI304" s="156">
        <f t="shared" si="11"/>
        <v>0</v>
      </c>
      <c r="LJ304" s="156">
        <f t="shared" si="12"/>
        <v>0</v>
      </c>
      <c r="LK304" s="156">
        <f t="shared" si="13"/>
        <v>0</v>
      </c>
      <c r="LL304" s="156">
        <f t="shared" si="14"/>
        <v>0</v>
      </c>
      <c r="LM304" s="160">
        <f t="shared" si="15"/>
        <v>0</v>
      </c>
      <c r="QX304" s="107">
        <v>45908.0</v>
      </c>
    </row>
    <row r="305">
      <c r="A305" s="12"/>
      <c r="B305" s="12"/>
      <c r="C305" s="12"/>
      <c r="D305" s="12"/>
      <c r="E305" s="12"/>
      <c r="F305" s="12"/>
      <c r="G305" s="12"/>
      <c r="H305" s="12"/>
      <c r="I305" s="143">
        <f t="shared" si="5"/>
        <v>-30</v>
      </c>
      <c r="J305" s="144">
        <v>45909.0</v>
      </c>
      <c r="K305" s="173" t="s">
        <v>61</v>
      </c>
      <c r="L305" s="144">
        <v>45992.0</v>
      </c>
      <c r="M305" s="147" t="s">
        <v>423</v>
      </c>
      <c r="N305" s="148">
        <v>356.0</v>
      </c>
      <c r="O305" s="148">
        <v>30.0</v>
      </c>
      <c r="P305" s="26"/>
      <c r="Q305" s="26"/>
      <c r="R305" s="26"/>
      <c r="S305" s="26"/>
      <c r="T305" s="26"/>
      <c r="U305" s="147" t="s">
        <v>684</v>
      </c>
      <c r="V305" s="149" t="s">
        <v>230</v>
      </c>
      <c r="W305" s="198" t="s">
        <v>2955</v>
      </c>
      <c r="X305" s="181">
        <v>30.0</v>
      </c>
      <c r="Y305" s="166">
        <f t="shared" si="6"/>
        <v>30</v>
      </c>
      <c r="Z305" s="26">
        <f t="shared" si="7"/>
        <v>0</v>
      </c>
      <c r="AA305" s="26">
        <f t="shared" si="8"/>
        <v>0</v>
      </c>
      <c r="AB305" s="26">
        <f t="shared" si="9"/>
        <v>0</v>
      </c>
      <c r="AC305" s="155">
        <v>0.0</v>
      </c>
      <c r="AD305" s="155">
        <v>0.0</v>
      </c>
      <c r="AE305" s="155">
        <v>0.0</v>
      </c>
      <c r="AF305" s="155">
        <v>0.0</v>
      </c>
      <c r="AG305" s="155">
        <v>0.0</v>
      </c>
      <c r="AH305" s="155">
        <v>0.0</v>
      </c>
      <c r="BN305" s="155">
        <v>0.0</v>
      </c>
      <c r="BO305" s="155">
        <v>0.0</v>
      </c>
      <c r="BP305" s="155">
        <v>0.0</v>
      </c>
      <c r="BQ305" s="155">
        <v>0.0</v>
      </c>
      <c r="BR305" s="155">
        <v>0.0</v>
      </c>
      <c r="BS305" s="155">
        <v>0.0</v>
      </c>
      <c r="CV305" s="156">
        <v>0.0</v>
      </c>
      <c r="CW305" s="156">
        <v>0.0</v>
      </c>
      <c r="CX305" s="156">
        <v>0.0</v>
      </c>
      <c r="CY305" s="156">
        <v>0.0</v>
      </c>
      <c r="CZ305" s="156">
        <v>0.0</v>
      </c>
      <c r="DA305" s="156">
        <v>0.0</v>
      </c>
      <c r="EG305" s="156">
        <v>0.0</v>
      </c>
      <c r="EH305" s="156">
        <v>0.0</v>
      </c>
      <c r="EI305" s="156">
        <v>0.0</v>
      </c>
      <c r="EJ305" s="156">
        <v>0.0</v>
      </c>
      <c r="EK305" s="156">
        <v>0.0</v>
      </c>
      <c r="EL305" s="156">
        <v>0.0</v>
      </c>
      <c r="FQ305" s="156">
        <v>0.0</v>
      </c>
      <c r="FR305" s="156">
        <v>0.0</v>
      </c>
      <c r="FS305" s="156">
        <v>0.0</v>
      </c>
      <c r="FT305" s="156">
        <v>0.0</v>
      </c>
      <c r="FU305" s="156">
        <v>0.0</v>
      </c>
      <c r="FV305" s="156">
        <v>0.0</v>
      </c>
      <c r="FW305" s="157"/>
      <c r="FX305" s="157"/>
      <c r="FY305" s="157"/>
      <c r="FZ305" s="157"/>
      <c r="GA305" s="157"/>
      <c r="GB305" s="157"/>
      <c r="GC305" s="157"/>
      <c r="GD305" s="157"/>
      <c r="GE305" s="157"/>
      <c r="GF305" s="157"/>
      <c r="GG305" s="157"/>
      <c r="GH305" s="157"/>
      <c r="GI305" s="157"/>
      <c r="GJ305" s="157"/>
      <c r="GK305" s="157"/>
      <c r="GL305" s="157"/>
      <c r="GM305" s="157"/>
      <c r="GN305" s="157"/>
      <c r="GO305" s="157"/>
      <c r="GP305" s="158"/>
      <c r="GQ305" s="157"/>
      <c r="GR305" s="157"/>
      <c r="GS305" s="157"/>
      <c r="GT305" s="157"/>
      <c r="GU305" s="157"/>
      <c r="GV305" s="157"/>
      <c r="GW305" s="157"/>
      <c r="GX305" s="157"/>
      <c r="GY305" s="157"/>
      <c r="GZ305" s="157"/>
      <c r="HA305" s="157"/>
      <c r="HB305" s="155">
        <v>0.0</v>
      </c>
      <c r="HC305" s="155">
        <v>0.0</v>
      </c>
      <c r="HD305" s="155">
        <v>0.0</v>
      </c>
      <c r="HE305" s="155">
        <v>0.0</v>
      </c>
      <c r="HF305" s="155">
        <v>0.0</v>
      </c>
      <c r="HG305" s="155">
        <v>0.0</v>
      </c>
      <c r="IL305" s="159">
        <v>0.0</v>
      </c>
      <c r="IM305" s="156">
        <v>0.0</v>
      </c>
      <c r="IN305" s="156">
        <v>0.0</v>
      </c>
      <c r="IO305" s="156">
        <v>0.0</v>
      </c>
      <c r="IP305" s="156">
        <v>0.0</v>
      </c>
      <c r="IQ305" s="160">
        <v>0.0</v>
      </c>
      <c r="JH305" s="25"/>
      <c r="JW305" s="159">
        <v>0.0</v>
      </c>
      <c r="JX305" s="156">
        <v>0.0</v>
      </c>
      <c r="JY305" s="156">
        <v>0.0</v>
      </c>
      <c r="JZ305" s="156">
        <v>0.0</v>
      </c>
      <c r="KA305" s="156">
        <v>0.0</v>
      </c>
      <c r="KB305" s="160">
        <v>0.0</v>
      </c>
      <c r="LH305" s="159">
        <f t="shared" si="10"/>
        <v>0</v>
      </c>
      <c r="LI305" s="156">
        <f t="shared" si="11"/>
        <v>0</v>
      </c>
      <c r="LJ305" s="156">
        <f t="shared" si="12"/>
        <v>0</v>
      </c>
      <c r="LK305" s="156">
        <f t="shared" si="13"/>
        <v>0</v>
      </c>
      <c r="LL305" s="156">
        <f t="shared" si="14"/>
        <v>0</v>
      </c>
      <c r="LM305" s="160">
        <f t="shared" si="15"/>
        <v>0</v>
      </c>
      <c r="QX305" s="107">
        <v>45910.0</v>
      </c>
    </row>
    <row r="306">
      <c r="A306" s="12"/>
      <c r="B306" s="12"/>
      <c r="C306" s="12"/>
      <c r="D306" s="12"/>
      <c r="E306" s="12"/>
      <c r="F306" s="12"/>
      <c r="G306" s="12"/>
      <c r="H306" s="12"/>
      <c r="I306" s="143">
        <f t="shared" si="5"/>
        <v>-4</v>
      </c>
      <c r="J306" s="144">
        <v>45910.0</v>
      </c>
      <c r="K306" s="195" t="s">
        <v>61</v>
      </c>
      <c r="L306" s="144">
        <v>45965.0</v>
      </c>
      <c r="M306" s="147" t="s">
        <v>712</v>
      </c>
      <c r="N306" s="148">
        <v>47.0</v>
      </c>
      <c r="O306" s="148">
        <v>30.0</v>
      </c>
      <c r="P306" s="26"/>
      <c r="Q306" s="26"/>
      <c r="R306" s="26"/>
      <c r="S306" s="26"/>
      <c r="T306" s="26"/>
      <c r="U306" s="147" t="s">
        <v>2957</v>
      </c>
      <c r="V306" s="149" t="s">
        <v>1781</v>
      </c>
      <c r="W306" s="198" t="s">
        <v>2958</v>
      </c>
      <c r="X306" s="181">
        <v>4.0</v>
      </c>
      <c r="Y306" s="166">
        <f t="shared" si="6"/>
        <v>4</v>
      </c>
      <c r="Z306" s="26">
        <f t="shared" si="7"/>
        <v>0</v>
      </c>
      <c r="AA306" s="26">
        <f t="shared" si="8"/>
        <v>0</v>
      </c>
      <c r="AB306" s="26">
        <f t="shared" si="9"/>
        <v>0</v>
      </c>
      <c r="AC306" s="155">
        <v>0.0</v>
      </c>
      <c r="AD306" s="155">
        <v>0.0</v>
      </c>
      <c r="AE306" s="155">
        <v>0.0</v>
      </c>
      <c r="AF306" s="155">
        <v>0.0</v>
      </c>
      <c r="AG306" s="155">
        <v>0.0</v>
      </c>
      <c r="AH306" s="155">
        <v>0.0</v>
      </c>
      <c r="BN306" s="155">
        <v>0.0</v>
      </c>
      <c r="BO306" s="155">
        <v>0.0</v>
      </c>
      <c r="BP306" s="155">
        <v>0.0</v>
      </c>
      <c r="BQ306" s="155">
        <v>0.0</v>
      </c>
      <c r="BR306" s="155">
        <v>0.0</v>
      </c>
      <c r="BS306" s="155">
        <v>0.0</v>
      </c>
      <c r="CV306" s="156">
        <v>0.0</v>
      </c>
      <c r="CW306" s="156">
        <v>0.0</v>
      </c>
      <c r="CX306" s="156">
        <v>0.0</v>
      </c>
      <c r="CY306" s="156">
        <v>0.0</v>
      </c>
      <c r="CZ306" s="156">
        <v>0.0</v>
      </c>
      <c r="DA306" s="156">
        <v>0.0</v>
      </c>
      <c r="EG306" s="156">
        <v>0.0</v>
      </c>
      <c r="EH306" s="156">
        <v>0.0</v>
      </c>
      <c r="EI306" s="156">
        <v>0.0</v>
      </c>
      <c r="EJ306" s="156">
        <v>0.0</v>
      </c>
      <c r="EK306" s="156">
        <v>0.0</v>
      </c>
      <c r="EL306" s="156">
        <v>0.0</v>
      </c>
      <c r="FQ306" s="156">
        <v>0.0</v>
      </c>
      <c r="FR306" s="156">
        <v>0.0</v>
      </c>
      <c r="FS306" s="156">
        <v>0.0</v>
      </c>
      <c r="FT306" s="156">
        <v>0.0</v>
      </c>
      <c r="FU306" s="156">
        <v>0.0</v>
      </c>
      <c r="FV306" s="156">
        <v>0.0</v>
      </c>
      <c r="FW306" s="157"/>
      <c r="FX306" s="157"/>
      <c r="FY306" s="157"/>
      <c r="FZ306" s="157"/>
      <c r="GA306" s="157"/>
      <c r="GB306" s="157"/>
      <c r="GC306" s="157"/>
      <c r="GD306" s="157"/>
      <c r="GE306" s="157"/>
      <c r="GF306" s="157"/>
      <c r="GG306" s="157"/>
      <c r="GH306" s="157"/>
      <c r="GI306" s="157"/>
      <c r="GJ306" s="157"/>
      <c r="GK306" s="157"/>
      <c r="GL306" s="157"/>
      <c r="GM306" s="157"/>
      <c r="GN306" s="157"/>
      <c r="GO306" s="157"/>
      <c r="GP306" s="158"/>
      <c r="GQ306" s="157"/>
      <c r="GR306" s="157"/>
      <c r="GS306" s="157"/>
      <c r="GT306" s="157"/>
      <c r="GU306" s="157"/>
      <c r="GV306" s="157"/>
      <c r="GW306" s="157"/>
      <c r="GX306" s="157"/>
      <c r="GY306" s="157"/>
      <c r="GZ306" s="157"/>
      <c r="HA306" s="157"/>
      <c r="HB306" s="155">
        <v>0.0</v>
      </c>
      <c r="HC306" s="155">
        <v>0.0</v>
      </c>
      <c r="HD306" s="155">
        <v>0.0</v>
      </c>
      <c r="HE306" s="155">
        <v>0.0</v>
      </c>
      <c r="HF306" s="155">
        <v>0.0</v>
      </c>
      <c r="HG306" s="155">
        <v>0.0</v>
      </c>
      <c r="IL306" s="159">
        <v>0.0</v>
      </c>
      <c r="IM306" s="156">
        <v>0.0</v>
      </c>
      <c r="IN306" s="156">
        <v>0.0</v>
      </c>
      <c r="IO306" s="156">
        <v>0.0</v>
      </c>
      <c r="IP306" s="156">
        <v>0.0</v>
      </c>
      <c r="IQ306" s="160">
        <v>0.0</v>
      </c>
      <c r="JH306" s="25"/>
      <c r="JW306" s="159">
        <v>0.0</v>
      </c>
      <c r="JX306" s="156">
        <v>0.0</v>
      </c>
      <c r="JY306" s="156">
        <v>0.0</v>
      </c>
      <c r="JZ306" s="156">
        <v>0.0</v>
      </c>
      <c r="KA306" s="156">
        <v>0.0</v>
      </c>
      <c r="KB306" s="160">
        <v>0.0</v>
      </c>
      <c r="LH306" s="159">
        <f t="shared" si="10"/>
        <v>0</v>
      </c>
      <c r="LI306" s="156">
        <f t="shared" si="11"/>
        <v>0</v>
      </c>
      <c r="LJ306" s="156">
        <f t="shared" si="12"/>
        <v>0</v>
      </c>
      <c r="LK306" s="156">
        <f t="shared" si="13"/>
        <v>0</v>
      </c>
      <c r="LL306" s="156">
        <f t="shared" si="14"/>
        <v>0</v>
      </c>
      <c r="LM306" s="160">
        <f t="shared" si="15"/>
        <v>0</v>
      </c>
      <c r="QX306" s="107">
        <v>45910.0</v>
      </c>
    </row>
    <row r="307">
      <c r="A307" s="12"/>
      <c r="B307" s="12"/>
      <c r="C307" s="12"/>
      <c r="D307" s="12"/>
      <c r="E307" s="12"/>
      <c r="F307" s="12"/>
      <c r="G307" s="12"/>
      <c r="H307" s="12"/>
      <c r="I307" s="143">
        <f t="shared" si="5"/>
        <v>-8</v>
      </c>
      <c r="J307" s="144">
        <v>45911.0</v>
      </c>
      <c r="K307" s="173" t="s">
        <v>61</v>
      </c>
      <c r="L307" s="144">
        <v>45934.0</v>
      </c>
      <c r="M307" s="147" t="s">
        <v>107</v>
      </c>
      <c r="N307" s="148">
        <v>357.0</v>
      </c>
      <c r="O307" s="148">
        <v>30.0</v>
      </c>
      <c r="P307" s="26"/>
      <c r="Q307" s="26"/>
      <c r="R307" s="26"/>
      <c r="S307" s="26"/>
      <c r="T307" s="26"/>
      <c r="U307" s="147" t="s">
        <v>2791</v>
      </c>
      <c r="V307" s="197"/>
      <c r="W307" s="198" t="s">
        <v>2961</v>
      </c>
      <c r="X307" s="181">
        <v>8.0</v>
      </c>
      <c r="Y307" s="166">
        <f t="shared" si="6"/>
        <v>8</v>
      </c>
      <c r="Z307" s="26">
        <f t="shared" si="7"/>
        <v>0</v>
      </c>
      <c r="AA307" s="26">
        <f t="shared" si="8"/>
        <v>0</v>
      </c>
      <c r="AB307" s="26">
        <f t="shared" si="9"/>
        <v>0</v>
      </c>
      <c r="AC307" s="155">
        <v>0.0</v>
      </c>
      <c r="AD307" s="155">
        <v>0.0</v>
      </c>
      <c r="AE307" s="155">
        <v>0.0</v>
      </c>
      <c r="AF307" s="155">
        <v>0.0</v>
      </c>
      <c r="AG307" s="155">
        <v>0.0</v>
      </c>
      <c r="AH307" s="155">
        <v>0.0</v>
      </c>
      <c r="BN307" s="155">
        <v>0.0</v>
      </c>
      <c r="BO307" s="155">
        <v>0.0</v>
      </c>
      <c r="BP307" s="155">
        <v>0.0</v>
      </c>
      <c r="BQ307" s="155">
        <v>0.0</v>
      </c>
      <c r="BR307" s="155">
        <v>0.0</v>
      </c>
      <c r="BS307" s="155">
        <v>0.0</v>
      </c>
      <c r="CV307" s="156">
        <v>0.0</v>
      </c>
      <c r="CW307" s="156">
        <v>0.0</v>
      </c>
      <c r="CX307" s="156">
        <v>0.0</v>
      </c>
      <c r="CY307" s="156">
        <v>0.0</v>
      </c>
      <c r="CZ307" s="156">
        <v>0.0</v>
      </c>
      <c r="DA307" s="156">
        <v>0.0</v>
      </c>
      <c r="EG307" s="156">
        <v>0.0</v>
      </c>
      <c r="EH307" s="156">
        <v>0.0</v>
      </c>
      <c r="EI307" s="156">
        <v>0.0</v>
      </c>
      <c r="EJ307" s="156">
        <v>0.0</v>
      </c>
      <c r="EK307" s="156">
        <v>0.0</v>
      </c>
      <c r="EL307" s="156">
        <v>0.0</v>
      </c>
      <c r="FQ307" s="156">
        <v>0.0</v>
      </c>
      <c r="FR307" s="156">
        <v>0.0</v>
      </c>
      <c r="FS307" s="156">
        <v>0.0</v>
      </c>
      <c r="FT307" s="156">
        <v>0.0</v>
      </c>
      <c r="FU307" s="156">
        <v>0.0</v>
      </c>
      <c r="FV307" s="156">
        <v>0.0</v>
      </c>
      <c r="FW307" s="157"/>
      <c r="FX307" s="157"/>
      <c r="FY307" s="157"/>
      <c r="FZ307" s="157"/>
      <c r="GA307" s="157"/>
      <c r="GB307" s="157"/>
      <c r="GC307" s="157"/>
      <c r="GD307" s="157"/>
      <c r="GE307" s="157"/>
      <c r="GF307" s="157"/>
      <c r="GG307" s="157"/>
      <c r="GH307" s="157"/>
      <c r="GI307" s="157"/>
      <c r="GJ307" s="157"/>
      <c r="GK307" s="157"/>
      <c r="GL307" s="157"/>
      <c r="GM307" s="157"/>
      <c r="GN307" s="157"/>
      <c r="GO307" s="157"/>
      <c r="GP307" s="158"/>
      <c r="GQ307" s="157"/>
      <c r="GR307" s="157"/>
      <c r="GS307" s="157"/>
      <c r="GT307" s="157"/>
      <c r="GU307" s="157"/>
      <c r="GV307" s="157"/>
      <c r="GW307" s="157"/>
      <c r="GX307" s="157"/>
      <c r="GY307" s="157"/>
      <c r="GZ307" s="157"/>
      <c r="HA307" s="157"/>
      <c r="HB307" s="155">
        <v>0.0</v>
      </c>
      <c r="HC307" s="155">
        <v>0.0</v>
      </c>
      <c r="HD307" s="155">
        <v>0.0</v>
      </c>
      <c r="HE307" s="155">
        <v>0.0</v>
      </c>
      <c r="HF307" s="155">
        <v>0.0</v>
      </c>
      <c r="HG307" s="155">
        <v>0.0</v>
      </c>
      <c r="IL307" s="159">
        <v>0.0</v>
      </c>
      <c r="IM307" s="156">
        <v>0.0</v>
      </c>
      <c r="IN307" s="156">
        <v>0.0</v>
      </c>
      <c r="IO307" s="156">
        <v>0.0</v>
      </c>
      <c r="IP307" s="156">
        <v>0.0</v>
      </c>
      <c r="IQ307" s="160">
        <v>0.0</v>
      </c>
      <c r="JH307" s="25"/>
      <c r="JW307" s="159">
        <v>0.0</v>
      </c>
      <c r="JX307" s="156">
        <v>0.0</v>
      </c>
      <c r="JY307" s="156">
        <v>0.0</v>
      </c>
      <c r="JZ307" s="156">
        <v>0.0</v>
      </c>
      <c r="KA307" s="156">
        <v>0.0</v>
      </c>
      <c r="KB307" s="160">
        <v>0.0</v>
      </c>
      <c r="LH307" s="159">
        <f t="shared" si="10"/>
        <v>0</v>
      </c>
      <c r="LI307" s="156">
        <f t="shared" si="11"/>
        <v>0</v>
      </c>
      <c r="LJ307" s="156">
        <f t="shared" si="12"/>
        <v>0</v>
      </c>
      <c r="LK307" s="156">
        <f t="shared" si="13"/>
        <v>0</v>
      </c>
      <c r="LL307" s="156">
        <f t="shared" si="14"/>
        <v>0</v>
      </c>
      <c r="LM307" s="160">
        <f t="shared" si="15"/>
        <v>0</v>
      </c>
      <c r="QX307" s="107">
        <v>45910.0</v>
      </c>
    </row>
    <row r="308">
      <c r="A308" s="12"/>
      <c r="B308" s="12"/>
      <c r="C308" s="12"/>
      <c r="D308" s="12"/>
      <c r="E308" s="12"/>
      <c r="F308" s="12"/>
      <c r="G308" s="12"/>
      <c r="H308" s="12"/>
      <c r="I308" s="143">
        <f t="shared" si="5"/>
        <v>-8</v>
      </c>
      <c r="J308" s="144">
        <v>45915.0</v>
      </c>
      <c r="K308" s="195" t="s">
        <v>61</v>
      </c>
      <c r="L308" s="144">
        <v>46005.0</v>
      </c>
      <c r="M308" s="147" t="s">
        <v>1985</v>
      </c>
      <c r="N308" s="148">
        <v>246.0</v>
      </c>
      <c r="O308" s="148">
        <v>30.0</v>
      </c>
      <c r="P308" s="26"/>
      <c r="Q308" s="26"/>
      <c r="R308" s="26"/>
      <c r="S308" s="26"/>
      <c r="T308" s="26"/>
      <c r="U308" s="147" t="s">
        <v>2519</v>
      </c>
      <c r="V308" s="149" t="s">
        <v>307</v>
      </c>
      <c r="W308" s="198" t="s">
        <v>2962</v>
      </c>
      <c r="X308" s="181">
        <v>8.0</v>
      </c>
      <c r="Y308" s="166">
        <f t="shared" si="6"/>
        <v>8</v>
      </c>
      <c r="Z308" s="26">
        <f t="shared" si="7"/>
        <v>0</v>
      </c>
      <c r="AA308" s="26">
        <f t="shared" si="8"/>
        <v>0</v>
      </c>
      <c r="AB308" s="26">
        <f t="shared" si="9"/>
        <v>0</v>
      </c>
      <c r="AC308" s="155">
        <v>0.0</v>
      </c>
      <c r="AD308" s="155">
        <v>0.0</v>
      </c>
      <c r="AE308" s="155">
        <v>0.0</v>
      </c>
      <c r="AF308" s="155">
        <v>0.0</v>
      </c>
      <c r="AG308" s="155">
        <v>0.0</v>
      </c>
      <c r="AH308" s="155">
        <v>0.0</v>
      </c>
      <c r="BN308" s="155">
        <v>0.0</v>
      </c>
      <c r="BO308" s="155">
        <v>0.0</v>
      </c>
      <c r="BP308" s="155">
        <v>0.0</v>
      </c>
      <c r="BQ308" s="155">
        <v>0.0</v>
      </c>
      <c r="BR308" s="155">
        <v>0.0</v>
      </c>
      <c r="BS308" s="155">
        <v>0.0</v>
      </c>
      <c r="CV308" s="156">
        <v>0.0</v>
      </c>
      <c r="CW308" s="156">
        <v>0.0</v>
      </c>
      <c r="CX308" s="156">
        <v>0.0</v>
      </c>
      <c r="CY308" s="156">
        <v>0.0</v>
      </c>
      <c r="CZ308" s="156">
        <v>0.0</v>
      </c>
      <c r="DA308" s="156">
        <v>0.0</v>
      </c>
      <c r="EG308" s="156">
        <v>0.0</v>
      </c>
      <c r="EH308" s="156">
        <v>0.0</v>
      </c>
      <c r="EI308" s="156">
        <v>0.0</v>
      </c>
      <c r="EJ308" s="156">
        <v>0.0</v>
      </c>
      <c r="EK308" s="156">
        <v>0.0</v>
      </c>
      <c r="EL308" s="156">
        <v>0.0</v>
      </c>
      <c r="FQ308" s="156">
        <v>0.0</v>
      </c>
      <c r="FR308" s="156">
        <v>0.0</v>
      </c>
      <c r="FS308" s="156">
        <v>0.0</v>
      </c>
      <c r="FT308" s="156">
        <v>0.0</v>
      </c>
      <c r="FU308" s="156">
        <v>0.0</v>
      </c>
      <c r="FV308" s="156">
        <v>0.0</v>
      </c>
      <c r="FW308" s="157"/>
      <c r="FX308" s="157"/>
      <c r="FY308" s="157"/>
      <c r="FZ308" s="157"/>
      <c r="GA308" s="157"/>
      <c r="GB308" s="157"/>
      <c r="GC308" s="157"/>
      <c r="GD308" s="157"/>
      <c r="GE308" s="157"/>
      <c r="GF308" s="157"/>
      <c r="GG308" s="157"/>
      <c r="GH308" s="157"/>
      <c r="GI308" s="157"/>
      <c r="GJ308" s="157"/>
      <c r="GK308" s="157"/>
      <c r="GL308" s="157"/>
      <c r="GM308" s="157"/>
      <c r="GN308" s="157"/>
      <c r="GO308" s="157"/>
      <c r="GP308" s="158"/>
      <c r="GQ308" s="157"/>
      <c r="GR308" s="157"/>
      <c r="GS308" s="157"/>
      <c r="GT308" s="157"/>
      <c r="GU308" s="157"/>
      <c r="GV308" s="157"/>
      <c r="GW308" s="157"/>
      <c r="GX308" s="157"/>
      <c r="GY308" s="157"/>
      <c r="GZ308" s="157"/>
      <c r="HA308" s="157"/>
      <c r="HB308" s="155">
        <v>0.0</v>
      </c>
      <c r="HC308" s="155">
        <v>0.0</v>
      </c>
      <c r="HD308" s="155">
        <v>0.0</v>
      </c>
      <c r="HE308" s="155">
        <v>0.0</v>
      </c>
      <c r="HF308" s="155">
        <v>0.0</v>
      </c>
      <c r="HG308" s="155">
        <v>0.0</v>
      </c>
      <c r="IL308" s="159">
        <v>0.0</v>
      </c>
      <c r="IM308" s="156">
        <v>0.0</v>
      </c>
      <c r="IN308" s="156">
        <v>0.0</v>
      </c>
      <c r="IO308" s="156">
        <v>0.0</v>
      </c>
      <c r="IP308" s="156">
        <v>0.0</v>
      </c>
      <c r="IQ308" s="160">
        <v>0.0</v>
      </c>
      <c r="JH308" s="25"/>
      <c r="JW308" s="159">
        <v>0.0</v>
      </c>
      <c r="JX308" s="156">
        <v>0.0</v>
      </c>
      <c r="JY308" s="156">
        <v>0.0</v>
      </c>
      <c r="JZ308" s="156">
        <v>0.0</v>
      </c>
      <c r="KA308" s="156">
        <v>0.0</v>
      </c>
      <c r="KB308" s="160">
        <v>0.0</v>
      </c>
      <c r="LH308" s="159">
        <f t="shared" si="10"/>
        <v>0</v>
      </c>
      <c r="LI308" s="156">
        <f t="shared" si="11"/>
        <v>0</v>
      </c>
      <c r="LJ308" s="156">
        <f t="shared" si="12"/>
        <v>0</v>
      </c>
      <c r="LK308" s="156">
        <f t="shared" si="13"/>
        <v>0</v>
      </c>
      <c r="LL308" s="156">
        <f t="shared" si="14"/>
        <v>0</v>
      </c>
      <c r="LM308" s="160">
        <f t="shared" si="15"/>
        <v>0</v>
      </c>
      <c r="QX308" s="107">
        <v>45910.0</v>
      </c>
    </row>
    <row r="309">
      <c r="A309" s="12"/>
      <c r="B309" s="12"/>
      <c r="C309" s="12"/>
      <c r="D309" s="12"/>
      <c r="E309" s="12"/>
      <c r="F309" s="12"/>
      <c r="G309" s="12"/>
      <c r="H309" s="12"/>
      <c r="I309" s="143">
        <f t="shared" si="5"/>
        <v>-43</v>
      </c>
      <c r="J309" s="295">
        <v>45917.0</v>
      </c>
      <c r="K309" s="184" t="s">
        <v>53</v>
      </c>
      <c r="L309" s="297">
        <v>46114.0</v>
      </c>
      <c r="M309" s="147" t="s">
        <v>1157</v>
      </c>
      <c r="N309" s="148">
        <v>246.0</v>
      </c>
      <c r="O309" s="148">
        <v>30.0</v>
      </c>
      <c r="P309" s="26"/>
      <c r="Q309" s="26"/>
      <c r="R309" s="26"/>
      <c r="S309" s="26"/>
      <c r="T309" s="26"/>
      <c r="U309" s="147" t="s">
        <v>684</v>
      </c>
      <c r="V309" s="149" t="s">
        <v>230</v>
      </c>
      <c r="W309" s="150" t="s">
        <v>2963</v>
      </c>
      <c r="X309" s="181">
        <v>33.0</v>
      </c>
      <c r="Y309" s="166">
        <f t="shared" si="6"/>
        <v>43</v>
      </c>
      <c r="Z309" s="26">
        <f t="shared" si="7"/>
        <v>0</v>
      </c>
      <c r="AA309" s="26">
        <f t="shared" si="8"/>
        <v>0</v>
      </c>
      <c r="AB309" s="26">
        <f t="shared" si="9"/>
        <v>0</v>
      </c>
      <c r="AC309" s="155">
        <v>6.0</v>
      </c>
      <c r="AD309" s="155">
        <v>0.0</v>
      </c>
      <c r="AE309" s="155">
        <v>0.0</v>
      </c>
      <c r="AF309" s="155">
        <v>0.0</v>
      </c>
      <c r="AG309" s="155">
        <v>0.0</v>
      </c>
      <c r="AH309" s="155">
        <v>0.0</v>
      </c>
      <c r="AI309" s="167"/>
      <c r="AJ309" s="167"/>
      <c r="AK309" s="167"/>
      <c r="AL309" s="167"/>
      <c r="AM309" s="167"/>
      <c r="AN309" s="168">
        <v>1.0</v>
      </c>
      <c r="AO309" s="167">
        <v>1.0</v>
      </c>
      <c r="AP309" s="167"/>
      <c r="AQ309" s="167"/>
      <c r="AR309" s="167"/>
      <c r="AS309" s="167"/>
      <c r="AT309" s="167"/>
      <c r="AU309" s="168">
        <v>1.0</v>
      </c>
      <c r="AV309" s="167"/>
      <c r="AW309" s="168">
        <v>1.0</v>
      </c>
      <c r="AX309" s="167"/>
      <c r="AY309" s="167"/>
      <c r="AZ309" s="167"/>
      <c r="BA309" s="167"/>
      <c r="BB309" s="168">
        <v>1.0</v>
      </c>
      <c r="BC309" s="167">
        <v>1.0</v>
      </c>
      <c r="BD309" s="167"/>
      <c r="BE309" s="167"/>
      <c r="BF309" s="167"/>
      <c r="BG309" s="167"/>
      <c r="BH309" s="167"/>
      <c r="BI309" s="167"/>
      <c r="BJ309" s="167"/>
      <c r="BK309" s="167"/>
      <c r="BL309" s="167"/>
      <c r="BM309" s="167"/>
      <c r="BN309" s="155">
        <v>4.0</v>
      </c>
      <c r="BO309" s="155">
        <v>0.0</v>
      </c>
      <c r="BP309" s="155">
        <v>0.0</v>
      </c>
      <c r="BQ309" s="155">
        <v>0.0</v>
      </c>
      <c r="BR309" s="155">
        <v>0.0</v>
      </c>
      <c r="BS309" s="155">
        <v>0.0</v>
      </c>
      <c r="BT309" s="167">
        <v>0.0</v>
      </c>
      <c r="BU309" s="167">
        <v>1.0</v>
      </c>
      <c r="BV309" s="168">
        <v>1.0</v>
      </c>
      <c r="BW309" s="167"/>
      <c r="BX309" s="168">
        <v>1.0</v>
      </c>
      <c r="BY309" s="167"/>
      <c r="BZ309" s="167"/>
      <c r="CA309" s="167"/>
      <c r="CB309" s="167"/>
      <c r="CC309" s="167"/>
      <c r="CD309" s="167"/>
      <c r="CE309" s="167"/>
      <c r="CF309" s="167"/>
      <c r="CG309" s="167"/>
      <c r="CH309" s="167"/>
      <c r="CI309" s="167"/>
      <c r="CJ309" s="167"/>
      <c r="CK309" s="167"/>
      <c r="CL309" s="167"/>
      <c r="CM309" s="167"/>
      <c r="CN309" s="167"/>
      <c r="CO309" s="167"/>
      <c r="CP309" s="167">
        <v>1.0</v>
      </c>
      <c r="CQ309" s="167"/>
      <c r="CR309" s="167"/>
      <c r="CS309" s="167"/>
      <c r="CT309" s="167"/>
      <c r="CU309" s="167"/>
      <c r="CV309" s="156">
        <v>0.0</v>
      </c>
      <c r="CW309" s="156">
        <v>0.0</v>
      </c>
      <c r="CX309" s="156">
        <v>0.0</v>
      </c>
      <c r="CY309" s="156">
        <v>0.0</v>
      </c>
      <c r="CZ309" s="156">
        <v>0.0</v>
      </c>
      <c r="DA309" s="156">
        <v>0.0</v>
      </c>
      <c r="DB309" s="174"/>
      <c r="DC309" s="174"/>
      <c r="DD309" s="174"/>
      <c r="DE309" s="174"/>
      <c r="DF309" s="174"/>
      <c r="DG309" s="174"/>
      <c r="DH309" s="174"/>
      <c r="DI309" s="174"/>
      <c r="DJ309" s="174"/>
      <c r="DK309" s="174"/>
      <c r="DL309" s="174"/>
      <c r="DM309" s="174"/>
      <c r="DN309" s="174"/>
      <c r="DO309" s="174"/>
      <c r="DP309" s="174"/>
      <c r="DQ309" s="174"/>
      <c r="DR309" s="174"/>
      <c r="DS309" s="174"/>
      <c r="DT309" s="174"/>
      <c r="DU309" s="174"/>
      <c r="DV309" s="174"/>
      <c r="DW309" s="174"/>
      <c r="DX309" s="174"/>
      <c r="DY309" s="174"/>
      <c r="DZ309" s="174"/>
      <c r="EA309" s="174"/>
      <c r="EB309" s="174"/>
      <c r="EC309" s="174"/>
      <c r="ED309" s="174"/>
      <c r="EE309" s="174"/>
      <c r="EF309" s="174"/>
      <c r="EG309" s="156">
        <v>0.0</v>
      </c>
      <c r="EH309" s="156">
        <v>0.0</v>
      </c>
      <c r="EI309" s="156">
        <v>0.0</v>
      </c>
      <c r="EJ309" s="156">
        <v>0.0</v>
      </c>
      <c r="EK309" s="156">
        <v>0.0</v>
      </c>
      <c r="EL309" s="156">
        <v>0.0</v>
      </c>
      <c r="FQ309" s="156">
        <v>0.0</v>
      </c>
      <c r="FR309" s="156">
        <v>0.0</v>
      </c>
      <c r="FS309" s="156">
        <v>0.0</v>
      </c>
      <c r="FT309" s="156">
        <v>0.0</v>
      </c>
      <c r="FU309" s="156">
        <v>0.0</v>
      </c>
      <c r="FV309" s="156">
        <v>0.0</v>
      </c>
      <c r="FW309" s="157"/>
      <c r="FX309" s="157"/>
      <c r="FY309" s="157"/>
      <c r="FZ309" s="157"/>
      <c r="GA309" s="157"/>
      <c r="GB309" s="157"/>
      <c r="GC309" s="157"/>
      <c r="GD309" s="157"/>
      <c r="GE309" s="157"/>
      <c r="GF309" s="157"/>
      <c r="GG309" s="157"/>
      <c r="GH309" s="157"/>
      <c r="GI309" s="157"/>
      <c r="GJ309" s="157"/>
      <c r="GK309" s="157"/>
      <c r="GL309" s="157"/>
      <c r="GM309" s="157"/>
      <c r="GN309" s="157"/>
      <c r="GO309" s="157"/>
      <c r="GP309" s="158"/>
      <c r="GQ309" s="157"/>
      <c r="GR309" s="157"/>
      <c r="GS309" s="157"/>
      <c r="GT309" s="157"/>
      <c r="GU309" s="157"/>
      <c r="GV309" s="157"/>
      <c r="GW309" s="157"/>
      <c r="GX309" s="157"/>
      <c r="GY309" s="157"/>
      <c r="GZ309" s="157"/>
      <c r="HA309" s="157"/>
      <c r="HB309" s="155">
        <v>0.0</v>
      </c>
      <c r="HC309" s="155">
        <v>0.0</v>
      </c>
      <c r="HD309" s="155">
        <v>0.0</v>
      </c>
      <c r="HE309" s="155">
        <v>0.0</v>
      </c>
      <c r="HF309" s="155">
        <v>0.0</v>
      </c>
      <c r="HG309" s="155">
        <v>0.0</v>
      </c>
      <c r="IL309" s="159">
        <v>0.0</v>
      </c>
      <c r="IM309" s="156">
        <v>0.0</v>
      </c>
      <c r="IN309" s="156">
        <v>0.0</v>
      </c>
      <c r="IO309" s="156">
        <v>0.0</v>
      </c>
      <c r="IP309" s="156">
        <v>0.0</v>
      </c>
      <c r="IQ309" s="160">
        <v>0.0</v>
      </c>
      <c r="JH309" s="25"/>
      <c r="JW309" s="159">
        <v>0.0</v>
      </c>
      <c r="JX309" s="156">
        <v>0.0</v>
      </c>
      <c r="JY309" s="156">
        <v>0.0</v>
      </c>
      <c r="JZ309" s="156">
        <v>0.0</v>
      </c>
      <c r="KA309" s="156">
        <v>0.0</v>
      </c>
      <c r="KB309" s="160">
        <v>0.0</v>
      </c>
      <c r="LH309" s="159">
        <f t="shared" si="10"/>
        <v>0</v>
      </c>
      <c r="LI309" s="156">
        <f t="shared" si="11"/>
        <v>0</v>
      </c>
      <c r="LJ309" s="156">
        <f t="shared" si="12"/>
        <v>0</v>
      </c>
      <c r="LK309" s="156">
        <f t="shared" si="13"/>
        <v>0</v>
      </c>
      <c r="LL309" s="156">
        <f t="shared" si="14"/>
        <v>0</v>
      </c>
      <c r="LM309" s="160">
        <f t="shared" si="15"/>
        <v>0</v>
      </c>
      <c r="QX309" s="107">
        <v>45911.0</v>
      </c>
    </row>
    <row r="310">
      <c r="A310" s="12"/>
      <c r="B310" s="12"/>
      <c r="C310" s="12"/>
      <c r="D310" s="12"/>
      <c r="E310" s="12"/>
      <c r="F310" s="12"/>
      <c r="G310" s="12"/>
      <c r="H310" s="12"/>
      <c r="I310" s="143">
        <f t="shared" si="5"/>
        <v>-47</v>
      </c>
      <c r="J310" s="144">
        <v>45910.0</v>
      </c>
      <c r="K310" s="164" t="s">
        <v>61</v>
      </c>
      <c r="L310" s="171">
        <v>46104.0</v>
      </c>
      <c r="M310" s="147" t="s">
        <v>435</v>
      </c>
      <c r="N310" s="148">
        <v>246.0</v>
      </c>
      <c r="O310" s="148">
        <v>30.0</v>
      </c>
      <c r="P310" s="26"/>
      <c r="Q310" s="26"/>
      <c r="R310" s="26"/>
      <c r="S310" s="26"/>
      <c r="T310" s="26"/>
      <c r="U310" s="147" t="s">
        <v>1092</v>
      </c>
      <c r="V310" s="149" t="s">
        <v>1093</v>
      </c>
      <c r="W310" s="150" t="s">
        <v>2964</v>
      </c>
      <c r="X310" s="181">
        <v>27.0</v>
      </c>
      <c r="Y310" s="166">
        <f t="shared" si="6"/>
        <v>47</v>
      </c>
      <c r="Z310" s="26">
        <f t="shared" si="7"/>
        <v>0</v>
      </c>
      <c r="AA310" s="26">
        <f t="shared" si="8"/>
        <v>0</v>
      </c>
      <c r="AB310" s="26">
        <f t="shared" si="9"/>
        <v>0</v>
      </c>
      <c r="AC310" s="155">
        <v>9.0</v>
      </c>
      <c r="AD310" s="155">
        <v>0.0</v>
      </c>
      <c r="AE310" s="155">
        <v>0.0</v>
      </c>
      <c r="AF310" s="155">
        <v>0.0</v>
      </c>
      <c r="AG310" s="155">
        <v>0.0</v>
      </c>
      <c r="AH310" s="155">
        <v>0.0</v>
      </c>
      <c r="AI310" s="167"/>
      <c r="AJ310" s="167"/>
      <c r="AK310" s="167"/>
      <c r="AL310" s="167"/>
      <c r="AM310" s="167">
        <v>1.0</v>
      </c>
      <c r="AN310" s="167">
        <v>0.0</v>
      </c>
      <c r="AO310" s="167">
        <v>1.0</v>
      </c>
      <c r="AP310" s="167"/>
      <c r="AQ310" s="167"/>
      <c r="AR310" s="167"/>
      <c r="AS310" s="167"/>
      <c r="AT310" s="167">
        <v>1.0</v>
      </c>
      <c r="AU310" s="167">
        <v>0.0</v>
      </c>
      <c r="AV310" s="167"/>
      <c r="AW310" s="167">
        <v>0.0</v>
      </c>
      <c r="AX310" s="167"/>
      <c r="AY310" s="168">
        <v>1.0</v>
      </c>
      <c r="AZ310" s="167">
        <v>0.0</v>
      </c>
      <c r="BA310" s="167">
        <v>1.0</v>
      </c>
      <c r="BB310" s="167"/>
      <c r="BC310" s="167"/>
      <c r="BD310" s="167"/>
      <c r="BE310" s="167">
        <v>1.0</v>
      </c>
      <c r="BF310" s="167">
        <v>0.0</v>
      </c>
      <c r="BG310" s="167">
        <v>0.0</v>
      </c>
      <c r="BH310" s="167">
        <v>1.0</v>
      </c>
      <c r="BI310" s="167">
        <v>0.0</v>
      </c>
      <c r="BJ310" s="167">
        <v>1.0</v>
      </c>
      <c r="BK310" s="167">
        <v>0.0</v>
      </c>
      <c r="BL310" s="167">
        <v>1.0</v>
      </c>
      <c r="BM310" s="167">
        <v>0.0</v>
      </c>
      <c r="BN310" s="155">
        <v>4.0</v>
      </c>
      <c r="BO310" s="155">
        <v>0.0</v>
      </c>
      <c r="BP310" s="155">
        <v>0.0</v>
      </c>
      <c r="BQ310" s="155">
        <v>0.0</v>
      </c>
      <c r="BR310" s="155">
        <v>0.0</v>
      </c>
      <c r="BS310" s="155">
        <v>0.0</v>
      </c>
      <c r="BT310" s="167"/>
      <c r="BU310" s="167"/>
      <c r="BV310" s="167"/>
      <c r="BW310" s="167"/>
      <c r="BX310" s="167"/>
      <c r="BY310" s="167">
        <v>1.0</v>
      </c>
      <c r="BZ310" s="167">
        <v>0.0</v>
      </c>
      <c r="CA310" s="167">
        <v>0.0</v>
      </c>
      <c r="CB310" s="167">
        <v>1.0</v>
      </c>
      <c r="CC310" s="167">
        <v>0.0</v>
      </c>
      <c r="CD310" s="167">
        <v>1.0</v>
      </c>
      <c r="CE310" s="167"/>
      <c r="CF310" s="167"/>
      <c r="CG310" s="167"/>
      <c r="CH310" s="167"/>
      <c r="CI310" s="167"/>
      <c r="CJ310" s="167"/>
      <c r="CK310" s="167"/>
      <c r="CL310" s="167"/>
      <c r="CM310" s="167"/>
      <c r="CN310" s="167"/>
      <c r="CO310" s="167"/>
      <c r="CP310" s="167"/>
      <c r="CQ310" s="167"/>
      <c r="CR310" s="167">
        <v>1.0</v>
      </c>
      <c r="CS310" s="167"/>
      <c r="CT310" s="167"/>
      <c r="CU310" s="167"/>
      <c r="CV310" s="156">
        <v>7.0</v>
      </c>
      <c r="CW310" s="156">
        <v>0.0</v>
      </c>
      <c r="CX310" s="156">
        <v>0.0</v>
      </c>
      <c r="CY310" s="156">
        <v>0.0</v>
      </c>
      <c r="CZ310" s="156">
        <v>0.0</v>
      </c>
      <c r="DA310" s="156">
        <v>0.0</v>
      </c>
      <c r="DB310" s="174">
        <v>0.0</v>
      </c>
      <c r="DC310" s="174">
        <v>1.0</v>
      </c>
      <c r="DD310" s="174">
        <v>0.0</v>
      </c>
      <c r="DE310" s="174">
        <v>1.0</v>
      </c>
      <c r="DF310" s="174">
        <v>0.0</v>
      </c>
      <c r="DG310" s="174"/>
      <c r="DH310" s="174">
        <v>0.0</v>
      </c>
      <c r="DI310" s="174">
        <v>0.0</v>
      </c>
      <c r="DJ310" s="174">
        <v>1.0</v>
      </c>
      <c r="DK310" s="174">
        <v>0.0</v>
      </c>
      <c r="DL310" s="174">
        <v>1.0</v>
      </c>
      <c r="DM310" s="174">
        <v>0.0</v>
      </c>
      <c r="DN310" s="174">
        <v>1.0</v>
      </c>
      <c r="DO310" s="174">
        <v>0.0</v>
      </c>
      <c r="DP310" s="174">
        <v>0.0</v>
      </c>
      <c r="DQ310" s="174">
        <v>1.0</v>
      </c>
      <c r="DR310" s="174"/>
      <c r="DS310" s="174"/>
      <c r="DT310" s="174"/>
      <c r="DU310" s="174">
        <v>1.0</v>
      </c>
      <c r="DV310" s="174"/>
      <c r="DW310" s="174"/>
      <c r="DX310" s="174"/>
      <c r="DY310" s="174"/>
      <c r="DZ310" s="174"/>
      <c r="EA310" s="174"/>
      <c r="EB310" s="174"/>
      <c r="EC310" s="174"/>
      <c r="ED310" s="174"/>
      <c r="EE310" s="174"/>
      <c r="EF310" s="174"/>
      <c r="EG310" s="156">
        <v>0.0</v>
      </c>
      <c r="EH310" s="156">
        <v>0.0</v>
      </c>
      <c r="EI310" s="156">
        <v>0.0</v>
      </c>
      <c r="EJ310" s="156">
        <v>0.0</v>
      </c>
      <c r="EK310" s="156">
        <v>0.0</v>
      </c>
      <c r="EL310" s="156">
        <v>0.0</v>
      </c>
      <c r="FQ310" s="156">
        <v>0.0</v>
      </c>
      <c r="FR310" s="156">
        <v>0.0</v>
      </c>
      <c r="FS310" s="156">
        <v>0.0</v>
      </c>
      <c r="FT310" s="156">
        <v>0.0</v>
      </c>
      <c r="FU310" s="156">
        <v>0.0</v>
      </c>
      <c r="FV310" s="156">
        <v>0.0</v>
      </c>
      <c r="FW310" s="157"/>
      <c r="FX310" s="157"/>
      <c r="FY310" s="157"/>
      <c r="FZ310" s="157"/>
      <c r="GA310" s="157"/>
      <c r="GB310" s="157"/>
      <c r="GC310" s="157"/>
      <c r="GD310" s="157"/>
      <c r="GE310" s="157"/>
      <c r="GF310" s="157"/>
      <c r="GG310" s="157"/>
      <c r="GH310" s="157"/>
      <c r="GI310" s="157"/>
      <c r="GJ310" s="157"/>
      <c r="GK310" s="157"/>
      <c r="GL310" s="157"/>
      <c r="GM310" s="157"/>
      <c r="GN310" s="157"/>
      <c r="GO310" s="157"/>
      <c r="GP310" s="158"/>
      <c r="GQ310" s="157"/>
      <c r="GR310" s="157"/>
      <c r="GS310" s="157"/>
      <c r="GT310" s="157"/>
      <c r="GU310" s="157"/>
      <c r="GV310" s="157"/>
      <c r="GW310" s="157"/>
      <c r="GX310" s="157"/>
      <c r="GY310" s="157"/>
      <c r="GZ310" s="157"/>
      <c r="HA310" s="157"/>
      <c r="HB310" s="155">
        <v>0.0</v>
      </c>
      <c r="HC310" s="155">
        <v>0.0</v>
      </c>
      <c r="HD310" s="155">
        <v>0.0</v>
      </c>
      <c r="HE310" s="155">
        <v>0.0</v>
      </c>
      <c r="HF310" s="155">
        <v>0.0</v>
      </c>
      <c r="HG310" s="155">
        <v>0.0</v>
      </c>
      <c r="IL310" s="159">
        <v>0.0</v>
      </c>
      <c r="IM310" s="156">
        <v>0.0</v>
      </c>
      <c r="IN310" s="156">
        <v>0.0</v>
      </c>
      <c r="IO310" s="156">
        <v>0.0</v>
      </c>
      <c r="IP310" s="156">
        <v>0.0</v>
      </c>
      <c r="IQ310" s="160">
        <v>0.0</v>
      </c>
      <c r="JH310" s="25"/>
      <c r="JW310" s="159">
        <v>0.0</v>
      </c>
      <c r="JX310" s="156">
        <v>0.0</v>
      </c>
      <c r="JY310" s="156">
        <v>0.0</v>
      </c>
      <c r="JZ310" s="156">
        <v>0.0</v>
      </c>
      <c r="KA310" s="156">
        <v>0.0</v>
      </c>
      <c r="KB310" s="160">
        <v>0.0</v>
      </c>
      <c r="LH310" s="159">
        <f t="shared" si="10"/>
        <v>0</v>
      </c>
      <c r="LI310" s="156">
        <f t="shared" si="11"/>
        <v>0</v>
      </c>
      <c r="LJ310" s="156">
        <f t="shared" si="12"/>
        <v>0</v>
      </c>
      <c r="LK310" s="156">
        <f t="shared" si="13"/>
        <v>0</v>
      </c>
      <c r="LL310" s="156">
        <f t="shared" si="14"/>
        <v>0</v>
      </c>
      <c r="LM310" s="160">
        <f t="shared" si="15"/>
        <v>0</v>
      </c>
      <c r="QX310" s="107">
        <v>45911.0</v>
      </c>
    </row>
    <row r="311">
      <c r="A311" s="12"/>
      <c r="B311" s="12"/>
      <c r="C311" s="12"/>
      <c r="D311" s="12"/>
      <c r="E311" s="12"/>
      <c r="F311" s="12"/>
      <c r="G311" s="12"/>
      <c r="H311" s="12"/>
      <c r="I311" s="143">
        <f t="shared" si="5"/>
        <v>-6</v>
      </c>
      <c r="J311" s="295">
        <v>45912.0</v>
      </c>
      <c r="K311" s="439" t="s">
        <v>53</v>
      </c>
      <c r="L311" s="469">
        <v>46055.0</v>
      </c>
      <c r="M311" s="147" t="s">
        <v>107</v>
      </c>
      <c r="N311" s="148">
        <v>246.0</v>
      </c>
      <c r="O311" s="148">
        <v>30.0</v>
      </c>
      <c r="P311" s="26"/>
      <c r="Q311" s="26"/>
      <c r="R311" s="26"/>
      <c r="S311" s="26"/>
      <c r="T311" s="26"/>
      <c r="U311" s="147" t="s">
        <v>2966</v>
      </c>
      <c r="V311" s="149" t="s">
        <v>2967</v>
      </c>
      <c r="W311" s="198" t="s">
        <v>2968</v>
      </c>
      <c r="X311" s="181">
        <v>6.0</v>
      </c>
      <c r="Y311" s="166">
        <f t="shared" si="6"/>
        <v>6</v>
      </c>
      <c r="Z311" s="26">
        <f t="shared" si="7"/>
        <v>0</v>
      </c>
      <c r="AA311" s="26">
        <f t="shared" si="8"/>
        <v>0</v>
      </c>
      <c r="AB311" s="26">
        <f t="shared" si="9"/>
        <v>0</v>
      </c>
      <c r="AC311" s="155">
        <v>0.0</v>
      </c>
      <c r="AD311" s="155">
        <v>0.0</v>
      </c>
      <c r="AE311" s="155">
        <v>0.0</v>
      </c>
      <c r="AF311" s="155">
        <v>0.0</v>
      </c>
      <c r="AG311" s="155">
        <v>0.0</v>
      </c>
      <c r="AH311" s="155">
        <v>0.0</v>
      </c>
      <c r="BN311" s="155">
        <v>0.0</v>
      </c>
      <c r="BO311" s="155">
        <v>0.0</v>
      </c>
      <c r="BP311" s="155">
        <v>0.0</v>
      </c>
      <c r="BQ311" s="155">
        <v>0.0</v>
      </c>
      <c r="BR311" s="155">
        <v>0.0</v>
      </c>
      <c r="BS311" s="155">
        <v>0.0</v>
      </c>
      <c r="CV311" s="156">
        <v>0.0</v>
      </c>
      <c r="CW311" s="156">
        <v>0.0</v>
      </c>
      <c r="CX311" s="156">
        <v>0.0</v>
      </c>
      <c r="CY311" s="156">
        <v>0.0</v>
      </c>
      <c r="CZ311" s="156">
        <v>0.0</v>
      </c>
      <c r="DA311" s="156">
        <v>0.0</v>
      </c>
      <c r="EG311" s="156">
        <v>0.0</v>
      </c>
      <c r="EH311" s="156">
        <v>0.0</v>
      </c>
      <c r="EI311" s="156">
        <v>0.0</v>
      </c>
      <c r="EJ311" s="156">
        <v>0.0</v>
      </c>
      <c r="EK311" s="156">
        <v>0.0</v>
      </c>
      <c r="EL311" s="156">
        <v>0.0</v>
      </c>
      <c r="FQ311" s="156">
        <v>0.0</v>
      </c>
      <c r="FR311" s="156">
        <v>0.0</v>
      </c>
      <c r="FS311" s="156">
        <v>0.0</v>
      </c>
      <c r="FT311" s="156">
        <v>0.0</v>
      </c>
      <c r="FU311" s="156">
        <v>0.0</v>
      </c>
      <c r="FV311" s="156">
        <v>0.0</v>
      </c>
      <c r="FW311" s="157"/>
      <c r="FX311" s="157"/>
      <c r="FY311" s="157"/>
      <c r="FZ311" s="157"/>
      <c r="GA311" s="157"/>
      <c r="GB311" s="157"/>
      <c r="GC311" s="157"/>
      <c r="GD311" s="157"/>
      <c r="GE311" s="157"/>
      <c r="GF311" s="157"/>
      <c r="GG311" s="157"/>
      <c r="GH311" s="157"/>
      <c r="GI311" s="157"/>
      <c r="GJ311" s="157"/>
      <c r="GK311" s="157"/>
      <c r="GL311" s="157"/>
      <c r="GM311" s="157"/>
      <c r="GN311" s="157"/>
      <c r="GO311" s="157"/>
      <c r="GP311" s="158"/>
      <c r="GQ311" s="157"/>
      <c r="GR311" s="157"/>
      <c r="GS311" s="157"/>
      <c r="GT311" s="157"/>
      <c r="GU311" s="157"/>
      <c r="GV311" s="157"/>
      <c r="GW311" s="157"/>
      <c r="GX311" s="157"/>
      <c r="GY311" s="157"/>
      <c r="GZ311" s="157"/>
      <c r="HA311" s="157"/>
      <c r="HB311" s="155">
        <v>0.0</v>
      </c>
      <c r="HC311" s="155">
        <v>0.0</v>
      </c>
      <c r="HD311" s="155">
        <v>0.0</v>
      </c>
      <c r="HE311" s="155">
        <v>0.0</v>
      </c>
      <c r="HF311" s="155">
        <v>0.0</v>
      </c>
      <c r="HG311" s="155">
        <v>0.0</v>
      </c>
      <c r="IL311" s="159">
        <v>0.0</v>
      </c>
      <c r="IM311" s="156">
        <v>0.0</v>
      </c>
      <c r="IN311" s="156">
        <v>0.0</v>
      </c>
      <c r="IO311" s="156">
        <v>0.0</v>
      </c>
      <c r="IP311" s="156">
        <v>0.0</v>
      </c>
      <c r="IQ311" s="160">
        <v>0.0</v>
      </c>
      <c r="JH311" s="25"/>
      <c r="JW311" s="159">
        <v>0.0</v>
      </c>
      <c r="JX311" s="156">
        <v>0.0</v>
      </c>
      <c r="JY311" s="156">
        <v>0.0</v>
      </c>
      <c r="JZ311" s="156">
        <v>0.0</v>
      </c>
      <c r="KA311" s="156">
        <v>0.0</v>
      </c>
      <c r="KB311" s="160">
        <v>0.0</v>
      </c>
      <c r="LH311" s="159">
        <f t="shared" si="10"/>
        <v>0</v>
      </c>
      <c r="LI311" s="156">
        <f t="shared" si="11"/>
        <v>0</v>
      </c>
      <c r="LJ311" s="156">
        <f t="shared" si="12"/>
        <v>0</v>
      </c>
      <c r="LK311" s="156">
        <f t="shared" si="13"/>
        <v>0</v>
      </c>
      <c r="LL311" s="156">
        <f t="shared" si="14"/>
        <v>0</v>
      </c>
      <c r="LM311" s="160">
        <f t="shared" si="15"/>
        <v>0</v>
      </c>
      <c r="QX311" s="107">
        <v>45912.0</v>
      </c>
    </row>
    <row r="312">
      <c r="A312" s="12"/>
      <c r="B312" s="12"/>
      <c r="C312" s="12"/>
      <c r="D312" s="12"/>
      <c r="E312" s="12"/>
      <c r="F312" s="12"/>
      <c r="G312" s="12"/>
      <c r="H312" s="12"/>
      <c r="I312" s="143">
        <f t="shared" si="5"/>
        <v>-32</v>
      </c>
      <c r="J312" s="144">
        <v>45917.0</v>
      </c>
      <c r="K312" s="180" t="s">
        <v>61</v>
      </c>
      <c r="L312" s="171">
        <v>46049.0</v>
      </c>
      <c r="M312" s="147" t="s">
        <v>228</v>
      </c>
      <c r="N312" s="148">
        <v>35.0</v>
      </c>
      <c r="O312" s="148">
        <v>30.0</v>
      </c>
      <c r="P312" s="26"/>
      <c r="Q312" s="26"/>
      <c r="R312" s="26"/>
      <c r="S312" s="26"/>
      <c r="T312" s="26"/>
      <c r="U312" s="147" t="s">
        <v>2554</v>
      </c>
      <c r="V312" s="149" t="s">
        <v>2555</v>
      </c>
      <c r="W312" s="198" t="s">
        <v>2970</v>
      </c>
      <c r="X312" s="181">
        <v>27.0</v>
      </c>
      <c r="Y312" s="166">
        <f t="shared" si="6"/>
        <v>32</v>
      </c>
      <c r="Z312" s="26">
        <f t="shared" si="7"/>
        <v>0</v>
      </c>
      <c r="AA312" s="26">
        <f t="shared" si="8"/>
        <v>0</v>
      </c>
      <c r="AB312" s="26">
        <f t="shared" si="9"/>
        <v>0</v>
      </c>
      <c r="AC312" s="155">
        <v>5.0</v>
      </c>
      <c r="AD312" s="155">
        <v>0.0</v>
      </c>
      <c r="AE312" s="155">
        <v>0.0</v>
      </c>
      <c r="AF312" s="155">
        <v>0.0</v>
      </c>
      <c r="AG312" s="155">
        <v>0.0</v>
      </c>
      <c r="AH312" s="155">
        <v>0.0</v>
      </c>
      <c r="AN312" s="86">
        <v>1.0</v>
      </c>
      <c r="AP312" s="86">
        <v>1.0</v>
      </c>
      <c r="AV312" s="86">
        <v>1.0</v>
      </c>
      <c r="AX312" s="86">
        <v>1.0</v>
      </c>
      <c r="BF312" s="86">
        <v>1.0</v>
      </c>
      <c r="BN312" s="155">
        <v>0.0</v>
      </c>
      <c r="BO312" s="155">
        <v>0.0</v>
      </c>
      <c r="BP312" s="155">
        <v>0.0</v>
      </c>
      <c r="BQ312" s="155">
        <v>0.0</v>
      </c>
      <c r="BR312" s="155">
        <v>0.0</v>
      </c>
      <c r="BS312" s="155">
        <v>0.0</v>
      </c>
      <c r="CV312" s="156">
        <v>0.0</v>
      </c>
      <c r="CW312" s="156">
        <v>0.0</v>
      </c>
      <c r="CX312" s="156">
        <v>0.0</v>
      </c>
      <c r="CY312" s="156">
        <v>0.0</v>
      </c>
      <c r="CZ312" s="156">
        <v>0.0</v>
      </c>
      <c r="DA312" s="156">
        <v>0.0</v>
      </c>
      <c r="EG312" s="156">
        <v>0.0</v>
      </c>
      <c r="EH312" s="156">
        <v>0.0</v>
      </c>
      <c r="EI312" s="156">
        <v>0.0</v>
      </c>
      <c r="EJ312" s="156">
        <v>0.0</v>
      </c>
      <c r="EK312" s="156">
        <v>0.0</v>
      </c>
      <c r="EL312" s="156">
        <v>0.0</v>
      </c>
      <c r="FQ312" s="156">
        <v>0.0</v>
      </c>
      <c r="FR312" s="156">
        <v>0.0</v>
      </c>
      <c r="FS312" s="156">
        <v>0.0</v>
      </c>
      <c r="FT312" s="156">
        <v>0.0</v>
      </c>
      <c r="FU312" s="156">
        <v>0.0</v>
      </c>
      <c r="FV312" s="156">
        <v>0.0</v>
      </c>
      <c r="FW312" s="157"/>
      <c r="FX312" s="157"/>
      <c r="FY312" s="157"/>
      <c r="FZ312" s="157"/>
      <c r="GA312" s="157"/>
      <c r="GB312" s="157"/>
      <c r="GC312" s="157"/>
      <c r="GD312" s="157"/>
      <c r="GE312" s="157"/>
      <c r="GF312" s="157"/>
      <c r="GG312" s="157"/>
      <c r="GH312" s="157"/>
      <c r="GI312" s="157"/>
      <c r="GJ312" s="157"/>
      <c r="GK312" s="157"/>
      <c r="GL312" s="157"/>
      <c r="GM312" s="157"/>
      <c r="GN312" s="157"/>
      <c r="GO312" s="157"/>
      <c r="GP312" s="158"/>
      <c r="GQ312" s="157"/>
      <c r="GR312" s="157"/>
      <c r="GS312" s="157"/>
      <c r="GT312" s="157"/>
      <c r="GU312" s="157"/>
      <c r="GV312" s="157"/>
      <c r="GW312" s="157"/>
      <c r="GX312" s="157"/>
      <c r="GY312" s="157"/>
      <c r="GZ312" s="157"/>
      <c r="HA312" s="157"/>
      <c r="HB312" s="155">
        <v>0.0</v>
      </c>
      <c r="HC312" s="155">
        <v>0.0</v>
      </c>
      <c r="HD312" s="155">
        <v>0.0</v>
      </c>
      <c r="HE312" s="155">
        <v>0.0</v>
      </c>
      <c r="HF312" s="155">
        <v>0.0</v>
      </c>
      <c r="HG312" s="155">
        <v>0.0</v>
      </c>
      <c r="IL312" s="159">
        <v>0.0</v>
      </c>
      <c r="IM312" s="156">
        <v>0.0</v>
      </c>
      <c r="IN312" s="156">
        <v>0.0</v>
      </c>
      <c r="IO312" s="156">
        <v>0.0</v>
      </c>
      <c r="IP312" s="156">
        <v>0.0</v>
      </c>
      <c r="IQ312" s="160">
        <v>0.0</v>
      </c>
      <c r="JH312" s="25"/>
      <c r="JW312" s="159">
        <v>0.0</v>
      </c>
      <c r="JX312" s="156">
        <v>0.0</v>
      </c>
      <c r="JY312" s="156">
        <v>0.0</v>
      </c>
      <c r="JZ312" s="156">
        <v>0.0</v>
      </c>
      <c r="KA312" s="156">
        <v>0.0</v>
      </c>
      <c r="KB312" s="160">
        <v>0.0</v>
      </c>
      <c r="LH312" s="159">
        <f t="shared" si="10"/>
        <v>0</v>
      </c>
      <c r="LI312" s="156">
        <f t="shared" si="11"/>
        <v>0</v>
      </c>
      <c r="LJ312" s="156">
        <f t="shared" si="12"/>
        <v>0</v>
      </c>
      <c r="LK312" s="156">
        <f t="shared" si="13"/>
        <v>0</v>
      </c>
      <c r="LL312" s="156">
        <f t="shared" si="14"/>
        <v>0</v>
      </c>
      <c r="LM312" s="160">
        <f t="shared" si="15"/>
        <v>0</v>
      </c>
      <c r="QX312" s="107">
        <v>45912.0</v>
      </c>
    </row>
    <row r="313">
      <c r="A313" s="12"/>
      <c r="B313" s="12"/>
      <c r="C313" s="12"/>
      <c r="D313" s="12"/>
      <c r="E313" s="12"/>
      <c r="F313" s="12"/>
      <c r="G313" s="12"/>
      <c r="H313" s="12"/>
      <c r="I313" s="143">
        <f t="shared" si="5"/>
        <v>-30</v>
      </c>
      <c r="J313" s="144">
        <v>45912.0</v>
      </c>
      <c r="K313" s="145" t="s">
        <v>61</v>
      </c>
      <c r="L313" s="144">
        <v>45990.0</v>
      </c>
      <c r="M313" s="147" t="s">
        <v>2971</v>
      </c>
      <c r="N313" s="148" t="s">
        <v>467</v>
      </c>
      <c r="O313" s="148">
        <v>30.0</v>
      </c>
      <c r="P313" s="26"/>
      <c r="Q313" s="26"/>
      <c r="R313" s="26"/>
      <c r="S313" s="26"/>
      <c r="T313" s="26"/>
      <c r="U313" s="147" t="s">
        <v>2784</v>
      </c>
      <c r="V313" s="149" t="s">
        <v>1217</v>
      </c>
      <c r="W313" s="198" t="s">
        <v>2972</v>
      </c>
      <c r="X313" s="181">
        <v>20.0</v>
      </c>
      <c r="Y313" s="166">
        <f t="shared" si="6"/>
        <v>30</v>
      </c>
      <c r="Z313" s="26">
        <f t="shared" si="7"/>
        <v>0</v>
      </c>
      <c r="AA313" s="26">
        <f t="shared" si="8"/>
        <v>0</v>
      </c>
      <c r="AB313" s="26">
        <f t="shared" si="9"/>
        <v>0</v>
      </c>
      <c r="AC313" s="155">
        <v>6.0</v>
      </c>
      <c r="AD313" s="155">
        <v>0.0</v>
      </c>
      <c r="AE313" s="155">
        <v>0.0</v>
      </c>
      <c r="AF313" s="155">
        <v>0.0</v>
      </c>
      <c r="AG313" s="155">
        <v>0.0</v>
      </c>
      <c r="AH313" s="155">
        <v>0.0</v>
      </c>
      <c r="AY313" s="86">
        <v>2.0</v>
      </c>
      <c r="AZ313" s="86">
        <v>2.0</v>
      </c>
      <c r="BG313" s="86">
        <v>2.0</v>
      </c>
      <c r="BN313" s="155">
        <v>4.0</v>
      </c>
      <c r="BO313" s="155">
        <v>0.0</v>
      </c>
      <c r="BP313" s="155">
        <v>0.0</v>
      </c>
      <c r="BQ313" s="155">
        <v>0.0</v>
      </c>
      <c r="BR313" s="155">
        <v>0.0</v>
      </c>
      <c r="BS313" s="155">
        <v>0.0</v>
      </c>
      <c r="BT313" s="86">
        <v>2.0</v>
      </c>
      <c r="CA313" s="86">
        <v>2.0</v>
      </c>
      <c r="CV313" s="156">
        <v>0.0</v>
      </c>
      <c r="CW313" s="156">
        <v>0.0</v>
      </c>
      <c r="CX313" s="156">
        <v>0.0</v>
      </c>
      <c r="CY313" s="156">
        <v>0.0</v>
      </c>
      <c r="CZ313" s="156">
        <v>0.0</v>
      </c>
      <c r="DA313" s="156">
        <v>0.0</v>
      </c>
      <c r="EG313" s="156">
        <v>0.0</v>
      </c>
      <c r="EH313" s="156">
        <v>0.0</v>
      </c>
      <c r="EI313" s="156">
        <v>0.0</v>
      </c>
      <c r="EJ313" s="156">
        <v>0.0</v>
      </c>
      <c r="EK313" s="156">
        <v>0.0</v>
      </c>
      <c r="EL313" s="156">
        <v>0.0</v>
      </c>
      <c r="FQ313" s="156">
        <v>0.0</v>
      </c>
      <c r="FR313" s="156">
        <v>0.0</v>
      </c>
      <c r="FS313" s="156">
        <v>0.0</v>
      </c>
      <c r="FT313" s="156">
        <v>0.0</v>
      </c>
      <c r="FU313" s="156">
        <v>0.0</v>
      </c>
      <c r="FV313" s="156">
        <v>0.0</v>
      </c>
      <c r="FW313" s="157"/>
      <c r="FX313" s="157"/>
      <c r="FY313" s="157"/>
      <c r="FZ313" s="157"/>
      <c r="GA313" s="157"/>
      <c r="GB313" s="157"/>
      <c r="GC313" s="157"/>
      <c r="GD313" s="157"/>
      <c r="GE313" s="157"/>
      <c r="GF313" s="157"/>
      <c r="GG313" s="157"/>
      <c r="GH313" s="157"/>
      <c r="GI313" s="157"/>
      <c r="GJ313" s="157"/>
      <c r="GK313" s="157"/>
      <c r="GL313" s="157"/>
      <c r="GM313" s="157"/>
      <c r="GN313" s="157"/>
      <c r="GO313" s="157"/>
      <c r="GP313" s="158"/>
      <c r="GQ313" s="157"/>
      <c r="GR313" s="157"/>
      <c r="GS313" s="157"/>
      <c r="GT313" s="157"/>
      <c r="GU313" s="157"/>
      <c r="GV313" s="157"/>
      <c r="GW313" s="157"/>
      <c r="GX313" s="157"/>
      <c r="GY313" s="157"/>
      <c r="GZ313" s="157"/>
      <c r="HA313" s="157"/>
      <c r="HB313" s="155">
        <v>0.0</v>
      </c>
      <c r="HC313" s="155">
        <v>0.0</v>
      </c>
      <c r="HD313" s="155">
        <v>0.0</v>
      </c>
      <c r="HE313" s="155">
        <v>0.0</v>
      </c>
      <c r="HF313" s="155">
        <v>0.0</v>
      </c>
      <c r="HG313" s="155">
        <v>0.0</v>
      </c>
      <c r="IL313" s="159">
        <v>0.0</v>
      </c>
      <c r="IM313" s="156">
        <v>0.0</v>
      </c>
      <c r="IN313" s="156">
        <v>0.0</v>
      </c>
      <c r="IO313" s="156">
        <v>0.0</v>
      </c>
      <c r="IP313" s="156">
        <v>0.0</v>
      </c>
      <c r="IQ313" s="160">
        <v>0.0</v>
      </c>
      <c r="JH313" s="25"/>
      <c r="JW313" s="159">
        <v>0.0</v>
      </c>
      <c r="JX313" s="156">
        <v>0.0</v>
      </c>
      <c r="JY313" s="156">
        <v>0.0</v>
      </c>
      <c r="JZ313" s="156">
        <v>0.0</v>
      </c>
      <c r="KA313" s="156">
        <v>0.0</v>
      </c>
      <c r="KB313" s="160">
        <v>0.0</v>
      </c>
      <c r="LH313" s="159">
        <f t="shared" si="10"/>
        <v>0</v>
      </c>
      <c r="LI313" s="156">
        <f t="shared" si="11"/>
        <v>0</v>
      </c>
      <c r="LJ313" s="156">
        <f t="shared" si="12"/>
        <v>0</v>
      </c>
      <c r="LK313" s="156">
        <f t="shared" si="13"/>
        <v>0</v>
      </c>
      <c r="LL313" s="156">
        <f t="shared" si="14"/>
        <v>0</v>
      </c>
      <c r="LM313" s="160">
        <f t="shared" si="15"/>
        <v>0</v>
      </c>
      <c r="QX313" s="107">
        <v>45912.0</v>
      </c>
    </row>
    <row r="314">
      <c r="A314" s="25"/>
      <c r="B314" s="25"/>
      <c r="C314" s="25"/>
      <c r="D314" s="25"/>
      <c r="E314" s="25"/>
      <c r="F314" s="25"/>
      <c r="G314" s="25"/>
      <c r="H314" s="25"/>
      <c r="I314" s="143">
        <f t="shared" si="5"/>
        <v>-63</v>
      </c>
      <c r="J314" s="470">
        <v>45916.0</v>
      </c>
      <c r="K314" s="471" t="s">
        <v>48</v>
      </c>
      <c r="L314" s="470">
        <v>46018.0</v>
      </c>
      <c r="M314" s="164" t="s">
        <v>107</v>
      </c>
      <c r="N314" s="170">
        <v>246.0</v>
      </c>
      <c r="O314" s="148">
        <v>30.0</v>
      </c>
      <c r="P314" s="26"/>
      <c r="Q314" s="26"/>
      <c r="R314" s="26"/>
      <c r="S314" s="26"/>
      <c r="T314" s="26"/>
      <c r="U314" s="147" t="s">
        <v>2519</v>
      </c>
      <c r="V314" s="149" t="s">
        <v>307</v>
      </c>
      <c r="W314" s="248" t="s">
        <v>2973</v>
      </c>
      <c r="X314" s="181">
        <v>19.0</v>
      </c>
      <c r="Y314" s="166">
        <f t="shared" si="6"/>
        <v>63</v>
      </c>
      <c r="Z314" s="26">
        <f t="shared" si="7"/>
        <v>0</v>
      </c>
      <c r="AA314" s="26">
        <f t="shared" si="8"/>
        <v>0</v>
      </c>
      <c r="AB314" s="26">
        <f t="shared" si="9"/>
        <v>0</v>
      </c>
      <c r="AC314" s="155">
        <v>3.0</v>
      </c>
      <c r="AD314" s="155">
        <v>0.0</v>
      </c>
      <c r="AE314" s="155">
        <v>0.0</v>
      </c>
      <c r="AF314" s="155">
        <v>0.0</v>
      </c>
      <c r="AG314" s="155">
        <v>0.0</v>
      </c>
      <c r="AH314" s="155">
        <v>0.0</v>
      </c>
      <c r="AI314" s="167"/>
      <c r="AJ314" s="167"/>
      <c r="AK314" s="167"/>
      <c r="AL314" s="167"/>
      <c r="AM314" s="167"/>
      <c r="AN314" s="167"/>
      <c r="AO314" s="167"/>
      <c r="AP314" s="167"/>
      <c r="AQ314" s="167"/>
      <c r="AR314" s="167"/>
      <c r="AS314" s="167"/>
      <c r="AT314" s="167"/>
      <c r="AU314" s="167">
        <v>1.0</v>
      </c>
      <c r="AV314" s="167"/>
      <c r="AW314" s="167"/>
      <c r="AX314" s="167"/>
      <c r="AY314" s="167">
        <v>1.0</v>
      </c>
      <c r="AZ314" s="167"/>
      <c r="BA314" s="167"/>
      <c r="BB314" s="167"/>
      <c r="BC314" s="167"/>
      <c r="BD314" s="167"/>
      <c r="BE314" s="168">
        <v>1.0</v>
      </c>
      <c r="BF314" s="167"/>
      <c r="BG314" s="167"/>
      <c r="BH314" s="167"/>
      <c r="BI314" s="167"/>
      <c r="BJ314" s="167"/>
      <c r="BK314" s="167"/>
      <c r="BL314" s="167"/>
      <c r="BM314" s="167"/>
      <c r="BN314" s="155">
        <v>6.0</v>
      </c>
      <c r="BO314" s="155">
        <v>0.0</v>
      </c>
      <c r="BP314" s="155">
        <v>0.0</v>
      </c>
      <c r="BQ314" s="155">
        <v>0.0</v>
      </c>
      <c r="BR314" s="155">
        <v>0.0</v>
      </c>
      <c r="BS314" s="155">
        <v>0.0</v>
      </c>
      <c r="BT314" s="167">
        <v>0.0</v>
      </c>
      <c r="BU314" s="167">
        <v>0.0</v>
      </c>
      <c r="BV314" s="167">
        <v>1.0</v>
      </c>
      <c r="BW314" s="167">
        <v>0.0</v>
      </c>
      <c r="BX314" s="167"/>
      <c r="BY314" s="168">
        <v>1.0</v>
      </c>
      <c r="BZ314" s="167"/>
      <c r="CA314" s="167"/>
      <c r="CB314" s="167"/>
      <c r="CC314" s="167"/>
      <c r="CD314" s="168">
        <v>1.0</v>
      </c>
      <c r="CE314" s="167"/>
      <c r="CF314" s="168">
        <v>1.0</v>
      </c>
      <c r="CG314" s="167"/>
      <c r="CH314" s="167"/>
      <c r="CI314" s="167"/>
      <c r="CJ314" s="167"/>
      <c r="CK314" s="167"/>
      <c r="CL314" s="167"/>
      <c r="CM314" s="167"/>
      <c r="CN314" s="167"/>
      <c r="CO314" s="167"/>
      <c r="CP314" s="167"/>
      <c r="CQ314" s="167"/>
      <c r="CR314" s="168">
        <v>1.0</v>
      </c>
      <c r="CS314" s="167">
        <v>1.0</v>
      </c>
      <c r="CT314" s="167">
        <v>0.0</v>
      </c>
      <c r="CU314" s="167"/>
      <c r="CV314" s="156">
        <v>9.0</v>
      </c>
      <c r="CW314" s="156">
        <v>0.0</v>
      </c>
      <c r="CX314" s="156">
        <v>0.0</v>
      </c>
      <c r="CY314" s="156">
        <v>0.0</v>
      </c>
      <c r="CZ314" s="156">
        <v>0.0</v>
      </c>
      <c r="DA314" s="156">
        <v>0.0</v>
      </c>
      <c r="DB314" s="395">
        <v>0.0</v>
      </c>
      <c r="DC314" s="395">
        <v>0.0</v>
      </c>
      <c r="DD314" s="395">
        <v>1.0</v>
      </c>
      <c r="DE314" s="395">
        <v>0.0</v>
      </c>
      <c r="DF314" s="395"/>
      <c r="DG314" s="395">
        <v>1.0</v>
      </c>
      <c r="DH314" s="395"/>
      <c r="DI314" s="395">
        <v>0.0</v>
      </c>
      <c r="DJ314" s="395">
        <v>1.0</v>
      </c>
      <c r="DK314" s="395"/>
      <c r="DL314" s="395">
        <v>1.0</v>
      </c>
      <c r="DM314" s="395"/>
      <c r="DN314" s="395"/>
      <c r="DO314" s="395"/>
      <c r="DP314" s="395"/>
      <c r="DQ314" s="395">
        <v>1.0</v>
      </c>
      <c r="DR314" s="395"/>
      <c r="DS314" s="395"/>
      <c r="DT314" s="395"/>
      <c r="DU314" s="395">
        <v>1.0</v>
      </c>
      <c r="DV314" s="395"/>
      <c r="DW314" s="395"/>
      <c r="DX314" s="395">
        <v>1.0</v>
      </c>
      <c r="DY314" s="395"/>
      <c r="DZ314" s="395">
        <v>1.0</v>
      </c>
      <c r="EA314" s="395"/>
      <c r="EB314" s="395"/>
      <c r="EC314" s="395"/>
      <c r="ED314" s="395"/>
      <c r="EE314" s="395">
        <v>1.0</v>
      </c>
      <c r="EF314" s="395"/>
      <c r="EG314" s="156">
        <v>8.0</v>
      </c>
      <c r="EH314" s="156">
        <v>0.0</v>
      </c>
      <c r="EI314" s="156">
        <v>0.0</v>
      </c>
      <c r="EJ314" s="156">
        <v>0.0</v>
      </c>
      <c r="EK314" s="156">
        <v>0.0</v>
      </c>
      <c r="EL314" s="156">
        <v>0.0</v>
      </c>
      <c r="EM314" s="174"/>
      <c r="EN314" s="174"/>
      <c r="EO314" s="174">
        <v>1.0</v>
      </c>
      <c r="EP314" s="174"/>
      <c r="EQ314" s="174"/>
      <c r="ER314" s="175">
        <v>1.0</v>
      </c>
      <c r="ES314" s="174"/>
      <c r="ET314" s="174">
        <v>1.0</v>
      </c>
      <c r="EU314" s="174"/>
      <c r="EV314" s="174"/>
      <c r="EW314" s="174"/>
      <c r="EX314" s="174"/>
      <c r="EY314" s="174"/>
      <c r="EZ314" s="174"/>
      <c r="FA314" s="174">
        <v>1.0</v>
      </c>
      <c r="FB314" s="174">
        <v>0.0</v>
      </c>
      <c r="FC314" s="174">
        <v>1.0</v>
      </c>
      <c r="FD314" s="174"/>
      <c r="FE314" s="174"/>
      <c r="FF314" s="174"/>
      <c r="FG314" s="174"/>
      <c r="FH314" s="174">
        <v>1.0</v>
      </c>
      <c r="FI314" s="174">
        <v>0.0</v>
      </c>
      <c r="FJ314" s="174">
        <v>1.0</v>
      </c>
      <c r="FK314" s="174"/>
      <c r="FL314" s="174"/>
      <c r="FM314" s="174"/>
      <c r="FN314" s="174"/>
      <c r="FO314" s="174">
        <v>1.0</v>
      </c>
      <c r="FP314" s="174">
        <v>0.0</v>
      </c>
      <c r="FQ314" s="156">
        <v>7.0</v>
      </c>
      <c r="FR314" s="156">
        <v>0.0</v>
      </c>
      <c r="FS314" s="156">
        <v>0.0</v>
      </c>
      <c r="FT314" s="156">
        <v>0.0</v>
      </c>
      <c r="FU314" s="156">
        <v>0.0</v>
      </c>
      <c r="FV314" s="156">
        <v>0.0</v>
      </c>
      <c r="FW314" s="174"/>
      <c r="FX314" s="174"/>
      <c r="FY314" s="174"/>
      <c r="FZ314" s="174">
        <v>1.0</v>
      </c>
      <c r="GA314" s="174">
        <v>0.0</v>
      </c>
      <c r="GB314" s="174"/>
      <c r="GC314" s="174">
        <v>0.0</v>
      </c>
      <c r="GD314" s="174">
        <v>1.0</v>
      </c>
      <c r="GE314" s="174">
        <v>0.0</v>
      </c>
      <c r="GF314" s="174">
        <v>0.0</v>
      </c>
      <c r="GG314" s="174">
        <v>1.0</v>
      </c>
      <c r="GH314" s="174">
        <v>0.0</v>
      </c>
      <c r="GI314" s="174"/>
      <c r="GJ314" s="175">
        <v>1.0</v>
      </c>
      <c r="GK314" s="174"/>
      <c r="GL314" s="174"/>
      <c r="GM314" s="174"/>
      <c r="GN314" s="174"/>
      <c r="GO314" s="174">
        <v>0.0</v>
      </c>
      <c r="GP314" s="176">
        <v>2.0</v>
      </c>
      <c r="GQ314" s="174"/>
      <c r="GR314" s="175"/>
      <c r="GS314" s="174"/>
      <c r="GT314" s="174"/>
      <c r="GU314" s="174">
        <v>1.0</v>
      </c>
      <c r="GV314" s="174"/>
      <c r="GW314" s="174"/>
      <c r="GX314" s="174"/>
      <c r="GY314" s="174"/>
      <c r="GZ314" s="174"/>
      <c r="HA314" s="174"/>
      <c r="HB314" s="155">
        <v>8.0</v>
      </c>
      <c r="HC314" s="155">
        <v>0.0</v>
      </c>
      <c r="HD314" s="155">
        <v>0.0</v>
      </c>
      <c r="HE314" s="155">
        <v>0.0</v>
      </c>
      <c r="HF314" s="155">
        <v>0.0</v>
      </c>
      <c r="HG314" s="155">
        <v>0.0</v>
      </c>
      <c r="HH314" s="175">
        <v>1.0</v>
      </c>
      <c r="HI314" s="174">
        <v>0.0</v>
      </c>
      <c r="HJ314" s="174">
        <v>1.0</v>
      </c>
      <c r="HK314" s="174">
        <v>0.0</v>
      </c>
      <c r="HL314" s="174">
        <v>1.0</v>
      </c>
      <c r="HM314" s="174">
        <v>0.0</v>
      </c>
      <c r="HN314" s="174">
        <v>0.0</v>
      </c>
      <c r="HO314" s="174">
        <v>1.0</v>
      </c>
      <c r="HP314" s="174">
        <v>0.0</v>
      </c>
      <c r="HQ314" s="174">
        <v>1.0</v>
      </c>
      <c r="HR314" s="174">
        <v>0.0</v>
      </c>
      <c r="HS314" s="174"/>
      <c r="HT314" s="174">
        <v>0.0</v>
      </c>
      <c r="HU314" s="174">
        <v>0.0</v>
      </c>
      <c r="HV314" s="174">
        <v>1.0</v>
      </c>
      <c r="HW314" s="174">
        <v>0.0</v>
      </c>
      <c r="HX314" s="174">
        <v>1.0</v>
      </c>
      <c r="HY314" s="174">
        <v>0.0</v>
      </c>
      <c r="HZ314" s="174"/>
      <c r="IA314" s="174">
        <v>0.0</v>
      </c>
      <c r="IB314" s="174">
        <v>0.0</v>
      </c>
      <c r="IC314" s="174"/>
      <c r="ID314" s="174">
        <v>0.0</v>
      </c>
      <c r="IE314" s="174">
        <v>1.0</v>
      </c>
      <c r="IF314" s="174"/>
      <c r="IG314" s="174"/>
      <c r="IH314" s="174"/>
      <c r="II314" s="174"/>
      <c r="IJ314" s="174"/>
      <c r="IK314" s="174"/>
      <c r="IL314" s="159">
        <v>0.0</v>
      </c>
      <c r="IM314" s="156">
        <v>0.0</v>
      </c>
      <c r="IN314" s="156">
        <v>0.0</v>
      </c>
      <c r="IO314" s="156">
        <v>0.0</v>
      </c>
      <c r="IP314" s="156">
        <v>0.0</v>
      </c>
      <c r="IQ314" s="160">
        <v>0.0</v>
      </c>
      <c r="IR314" s="174"/>
      <c r="IS314" s="174"/>
      <c r="IT314" s="174"/>
      <c r="IU314" s="175">
        <v>0.0</v>
      </c>
      <c r="IV314" s="174"/>
      <c r="IW314" s="174"/>
      <c r="IX314" s="174"/>
      <c r="IY314" s="175">
        <v>0.0</v>
      </c>
      <c r="IZ314" s="174"/>
      <c r="JA314" s="174"/>
      <c r="JB314" s="174"/>
      <c r="JC314" s="174"/>
      <c r="JD314" s="174"/>
      <c r="JE314" s="175">
        <v>0.0</v>
      </c>
      <c r="JF314" s="174"/>
      <c r="JG314" s="175">
        <v>0.0</v>
      </c>
      <c r="JH314" s="177"/>
      <c r="JI314" s="174"/>
      <c r="JJ314" s="174"/>
      <c r="JK314" s="174"/>
      <c r="JL314" s="174"/>
      <c r="JM314" s="174"/>
      <c r="JN314" s="174"/>
      <c r="JO314" s="174"/>
      <c r="JP314" s="174"/>
      <c r="JQ314" s="174"/>
      <c r="JR314" s="174"/>
      <c r="JS314" s="174"/>
      <c r="JT314" s="174"/>
      <c r="JU314" s="174"/>
      <c r="JV314" s="174"/>
      <c r="JW314" s="159">
        <v>0.0</v>
      </c>
      <c r="JX314" s="156">
        <v>0.0</v>
      </c>
      <c r="JY314" s="156">
        <v>0.0</v>
      </c>
      <c r="JZ314" s="156">
        <v>0.0</v>
      </c>
      <c r="KA314" s="156">
        <v>0.0</v>
      </c>
      <c r="KB314" s="160">
        <v>0.0</v>
      </c>
      <c r="KC314" s="174"/>
      <c r="KD314" s="174"/>
      <c r="KE314" s="174"/>
      <c r="KF314" s="174"/>
      <c r="KG314" s="174"/>
      <c r="KH314" s="174"/>
      <c r="KI314" s="174"/>
      <c r="KJ314" s="174"/>
      <c r="KK314" s="174"/>
      <c r="KL314" s="174"/>
      <c r="KM314" s="174"/>
      <c r="KN314" s="174"/>
      <c r="KO314" s="174"/>
      <c r="KP314" s="174"/>
      <c r="KQ314" s="174"/>
      <c r="KR314" s="174"/>
      <c r="KS314" s="472"/>
      <c r="KT314" s="174"/>
      <c r="KU314" s="174"/>
      <c r="KV314" s="174"/>
      <c r="KW314" s="174"/>
      <c r="KX314" s="174"/>
      <c r="KY314" s="174"/>
      <c r="KZ314" s="174"/>
      <c r="LA314" s="174"/>
      <c r="LB314" s="174"/>
      <c r="LC314" s="174"/>
      <c r="LD314" s="174"/>
      <c r="LE314" s="174"/>
      <c r="LF314" s="174"/>
      <c r="LG314" s="174"/>
      <c r="LH314" s="159">
        <f t="shared" si="10"/>
        <v>3</v>
      </c>
      <c r="LI314" s="156">
        <f t="shared" si="11"/>
        <v>0</v>
      </c>
      <c r="LJ314" s="156">
        <f t="shared" si="12"/>
        <v>0</v>
      </c>
      <c r="LK314" s="156">
        <f t="shared" si="13"/>
        <v>0</v>
      </c>
      <c r="LL314" s="156">
        <f t="shared" si="14"/>
        <v>0</v>
      </c>
      <c r="LM314" s="160">
        <f t="shared" si="15"/>
        <v>0</v>
      </c>
      <c r="LN314" s="174"/>
      <c r="LO314" s="174"/>
      <c r="LP314" s="174"/>
      <c r="LQ314" s="174"/>
      <c r="LR314" s="174"/>
      <c r="LS314" s="174"/>
      <c r="LT314" s="174"/>
      <c r="LU314" s="174"/>
      <c r="LV314" s="174"/>
      <c r="LW314" s="174">
        <f t="shared" ref="LW314:MQ314" si="20">IFS(TODAY()&lt;=LW$2,0,WEEKDAY(LW$2)=2,1,WEEKDAY(LW$2)=3,0,WEEKDAY(LW$2)=4,1,WEEKDAY(LW$2)=5,0,WEEKDAY(LW$2)=6,1,WEEKDAY(LW$2)=7,0,WEEKDAY(LW$2)=1,0)</f>
        <v>0</v>
      </c>
      <c r="LX314" s="174">
        <f t="shared" si="20"/>
        <v>1</v>
      </c>
      <c r="LY314" s="174">
        <f t="shared" si="20"/>
        <v>0</v>
      </c>
      <c r="LZ314" s="174">
        <f t="shared" si="20"/>
        <v>0</v>
      </c>
      <c r="MA314" s="174">
        <f t="shared" si="20"/>
        <v>1</v>
      </c>
      <c r="MB314" s="174">
        <f t="shared" si="20"/>
        <v>0</v>
      </c>
      <c r="MC314" s="174">
        <f t="shared" si="20"/>
        <v>1</v>
      </c>
      <c r="MD314" s="174">
        <f t="shared" si="20"/>
        <v>0</v>
      </c>
      <c r="ME314" s="174">
        <f t="shared" si="20"/>
        <v>0</v>
      </c>
      <c r="MF314" s="174">
        <f t="shared" si="20"/>
        <v>0</v>
      </c>
      <c r="MG314" s="174">
        <f t="shared" si="20"/>
        <v>0</v>
      </c>
      <c r="MH314" s="174">
        <f t="shared" si="20"/>
        <v>0</v>
      </c>
      <c r="MI314" s="174">
        <f t="shared" si="20"/>
        <v>0</v>
      </c>
      <c r="MJ314" s="174">
        <f t="shared" si="20"/>
        <v>0</v>
      </c>
      <c r="MK314" s="174">
        <f t="shared" si="20"/>
        <v>0</v>
      </c>
      <c r="ML314" s="174">
        <f t="shared" si="20"/>
        <v>0</v>
      </c>
      <c r="MM314" s="174">
        <f t="shared" si="20"/>
        <v>0</v>
      </c>
      <c r="MN314" s="174">
        <f t="shared" si="20"/>
        <v>0</v>
      </c>
      <c r="MO314" s="174">
        <f t="shared" si="20"/>
        <v>0</v>
      </c>
      <c r="MP314" s="174">
        <f t="shared" si="20"/>
        <v>0</v>
      </c>
      <c r="MQ314" s="174">
        <f t="shared" si="20"/>
        <v>0</v>
      </c>
      <c r="QX314" s="107">
        <v>45912.0</v>
      </c>
    </row>
    <row r="315">
      <c r="A315" s="12"/>
      <c r="B315" s="12"/>
      <c r="C315" s="12"/>
      <c r="D315" s="12"/>
      <c r="E315" s="12"/>
      <c r="F315" s="12"/>
      <c r="G315" s="12"/>
      <c r="H315" s="12"/>
      <c r="I315" s="143">
        <f t="shared" si="5"/>
        <v>-30</v>
      </c>
      <c r="J315" s="144">
        <v>45916.0</v>
      </c>
      <c r="K315" s="173" t="s">
        <v>61</v>
      </c>
      <c r="L315" s="144">
        <v>46017.0</v>
      </c>
      <c r="M315" s="147" t="s">
        <v>348</v>
      </c>
      <c r="N315" s="148">
        <v>357.0</v>
      </c>
      <c r="O315" s="148">
        <v>30.0</v>
      </c>
      <c r="P315" s="26"/>
      <c r="Q315" s="26"/>
      <c r="R315" s="26"/>
      <c r="S315" s="26"/>
      <c r="T315" s="26"/>
      <c r="U315" s="147" t="s">
        <v>447</v>
      </c>
      <c r="V315" s="149" t="s">
        <v>613</v>
      </c>
      <c r="W315" s="198" t="s">
        <v>2978</v>
      </c>
      <c r="X315" s="181">
        <v>30.0</v>
      </c>
      <c r="Y315" s="166">
        <f t="shared" si="6"/>
        <v>30</v>
      </c>
      <c r="Z315" s="26">
        <f t="shared" si="7"/>
        <v>0</v>
      </c>
      <c r="AA315" s="26">
        <f t="shared" si="8"/>
        <v>0</v>
      </c>
      <c r="AB315" s="26">
        <f t="shared" si="9"/>
        <v>0</v>
      </c>
      <c r="AC315" s="155">
        <v>0.0</v>
      </c>
      <c r="AD315" s="155">
        <v>0.0</v>
      </c>
      <c r="AE315" s="155">
        <v>0.0</v>
      </c>
      <c r="AF315" s="155">
        <v>0.0</v>
      </c>
      <c r="AG315" s="155">
        <v>0.0</v>
      </c>
      <c r="AH315" s="155">
        <v>0.0</v>
      </c>
      <c r="BN315" s="155">
        <v>0.0</v>
      </c>
      <c r="BO315" s="155">
        <v>0.0</v>
      </c>
      <c r="BP315" s="155">
        <v>0.0</v>
      </c>
      <c r="BQ315" s="155">
        <v>0.0</v>
      </c>
      <c r="BR315" s="155">
        <v>0.0</v>
      </c>
      <c r="BS315" s="155">
        <v>0.0</v>
      </c>
      <c r="CV315" s="156">
        <v>0.0</v>
      </c>
      <c r="CW315" s="156">
        <v>0.0</v>
      </c>
      <c r="CX315" s="156">
        <v>0.0</v>
      </c>
      <c r="CY315" s="156">
        <v>0.0</v>
      </c>
      <c r="CZ315" s="156">
        <v>0.0</v>
      </c>
      <c r="DA315" s="156">
        <v>0.0</v>
      </c>
      <c r="EG315" s="156">
        <v>0.0</v>
      </c>
      <c r="EH315" s="156">
        <v>0.0</v>
      </c>
      <c r="EI315" s="156">
        <v>0.0</v>
      </c>
      <c r="EJ315" s="156">
        <v>0.0</v>
      </c>
      <c r="EK315" s="156">
        <v>0.0</v>
      </c>
      <c r="EL315" s="156">
        <v>0.0</v>
      </c>
      <c r="FQ315" s="156">
        <v>0.0</v>
      </c>
      <c r="FR315" s="156">
        <v>0.0</v>
      </c>
      <c r="FS315" s="156">
        <v>0.0</v>
      </c>
      <c r="FT315" s="156">
        <v>0.0</v>
      </c>
      <c r="FU315" s="156">
        <v>0.0</v>
      </c>
      <c r="FV315" s="156">
        <v>0.0</v>
      </c>
      <c r="FW315" s="157"/>
      <c r="FX315" s="157"/>
      <c r="FY315" s="157"/>
      <c r="FZ315" s="157"/>
      <c r="GA315" s="157"/>
      <c r="GB315" s="157"/>
      <c r="GC315" s="157"/>
      <c r="GD315" s="157"/>
      <c r="GE315" s="157"/>
      <c r="GF315" s="157"/>
      <c r="GG315" s="157"/>
      <c r="GH315" s="157"/>
      <c r="GI315" s="157"/>
      <c r="GJ315" s="157"/>
      <c r="GK315" s="157"/>
      <c r="GL315" s="157"/>
      <c r="GM315" s="157"/>
      <c r="GN315" s="157"/>
      <c r="GO315" s="157"/>
      <c r="GP315" s="158"/>
      <c r="GQ315" s="157"/>
      <c r="GR315" s="157"/>
      <c r="GS315" s="157"/>
      <c r="GT315" s="157"/>
      <c r="GU315" s="157"/>
      <c r="GV315" s="157"/>
      <c r="GW315" s="157"/>
      <c r="GX315" s="157"/>
      <c r="GY315" s="157"/>
      <c r="GZ315" s="157"/>
      <c r="HA315" s="157"/>
      <c r="HB315" s="155">
        <v>0.0</v>
      </c>
      <c r="HC315" s="155">
        <v>0.0</v>
      </c>
      <c r="HD315" s="155">
        <v>0.0</v>
      </c>
      <c r="HE315" s="155">
        <v>0.0</v>
      </c>
      <c r="HF315" s="155">
        <v>0.0</v>
      </c>
      <c r="HG315" s="155">
        <v>0.0</v>
      </c>
      <c r="IL315" s="159">
        <v>0.0</v>
      </c>
      <c r="IM315" s="156">
        <v>0.0</v>
      </c>
      <c r="IN315" s="156">
        <v>0.0</v>
      </c>
      <c r="IO315" s="156">
        <v>0.0</v>
      </c>
      <c r="IP315" s="156">
        <v>0.0</v>
      </c>
      <c r="IQ315" s="160">
        <v>0.0</v>
      </c>
      <c r="JH315" s="25"/>
      <c r="JW315" s="159">
        <v>0.0</v>
      </c>
      <c r="JX315" s="156">
        <v>0.0</v>
      </c>
      <c r="JY315" s="156">
        <v>0.0</v>
      </c>
      <c r="JZ315" s="156">
        <v>0.0</v>
      </c>
      <c r="KA315" s="156">
        <v>0.0</v>
      </c>
      <c r="KB315" s="160">
        <v>0.0</v>
      </c>
      <c r="LH315" s="159">
        <f t="shared" si="10"/>
        <v>0</v>
      </c>
      <c r="LI315" s="156">
        <f t="shared" si="11"/>
        <v>0</v>
      </c>
      <c r="LJ315" s="156">
        <f t="shared" si="12"/>
        <v>0</v>
      </c>
      <c r="LK315" s="156">
        <f t="shared" si="13"/>
        <v>0</v>
      </c>
      <c r="LL315" s="156">
        <f t="shared" si="14"/>
        <v>0</v>
      </c>
      <c r="LM315" s="160">
        <f t="shared" si="15"/>
        <v>0</v>
      </c>
      <c r="QX315" s="107">
        <v>45912.0</v>
      </c>
    </row>
    <row r="316">
      <c r="A316" s="12"/>
      <c r="B316" s="12"/>
      <c r="C316" s="12"/>
      <c r="D316" s="12"/>
      <c r="E316" s="12"/>
      <c r="F316" s="12"/>
      <c r="G316" s="12"/>
      <c r="H316" s="12"/>
      <c r="I316" s="143">
        <f t="shared" si="5"/>
        <v>-9</v>
      </c>
      <c r="J316" s="144">
        <v>45923.0</v>
      </c>
      <c r="K316" s="173" t="s">
        <v>61</v>
      </c>
      <c r="L316" s="146"/>
      <c r="M316" s="147" t="s">
        <v>400</v>
      </c>
      <c r="N316" s="148">
        <v>357.0</v>
      </c>
      <c r="O316" s="148">
        <v>30.0</v>
      </c>
      <c r="P316" s="26"/>
      <c r="Q316" s="26"/>
      <c r="R316" s="26"/>
      <c r="S316" s="26"/>
      <c r="T316" s="26"/>
      <c r="U316" s="147" t="s">
        <v>2980</v>
      </c>
      <c r="V316" s="197"/>
      <c r="W316" s="198" t="s">
        <v>2981</v>
      </c>
      <c r="X316" s="181">
        <v>9.0</v>
      </c>
      <c r="Y316" s="166">
        <f t="shared" si="6"/>
        <v>9</v>
      </c>
      <c r="Z316" s="26">
        <f t="shared" si="7"/>
        <v>0</v>
      </c>
      <c r="AA316" s="26">
        <f t="shared" si="8"/>
        <v>0</v>
      </c>
      <c r="AB316" s="26">
        <f t="shared" si="9"/>
        <v>0</v>
      </c>
      <c r="AC316" s="155">
        <v>0.0</v>
      </c>
      <c r="AD316" s="155">
        <v>0.0</v>
      </c>
      <c r="AE316" s="155">
        <v>0.0</v>
      </c>
      <c r="AF316" s="155">
        <v>0.0</v>
      </c>
      <c r="AG316" s="155">
        <v>0.0</v>
      </c>
      <c r="AH316" s="155">
        <v>0.0</v>
      </c>
      <c r="BN316" s="155">
        <v>0.0</v>
      </c>
      <c r="BO316" s="155">
        <v>0.0</v>
      </c>
      <c r="BP316" s="155">
        <v>0.0</v>
      </c>
      <c r="BQ316" s="155">
        <v>0.0</v>
      </c>
      <c r="BR316" s="155">
        <v>0.0</v>
      </c>
      <c r="BS316" s="155">
        <v>0.0</v>
      </c>
      <c r="CV316" s="156">
        <v>0.0</v>
      </c>
      <c r="CW316" s="156">
        <v>0.0</v>
      </c>
      <c r="CX316" s="156">
        <v>0.0</v>
      </c>
      <c r="CY316" s="156">
        <v>0.0</v>
      </c>
      <c r="CZ316" s="156">
        <v>0.0</v>
      </c>
      <c r="DA316" s="156">
        <v>0.0</v>
      </c>
      <c r="EG316" s="156">
        <v>0.0</v>
      </c>
      <c r="EH316" s="156">
        <v>0.0</v>
      </c>
      <c r="EI316" s="156">
        <v>0.0</v>
      </c>
      <c r="EJ316" s="156">
        <v>0.0</v>
      </c>
      <c r="EK316" s="156">
        <v>0.0</v>
      </c>
      <c r="EL316" s="156">
        <v>0.0</v>
      </c>
      <c r="FQ316" s="156">
        <v>0.0</v>
      </c>
      <c r="FR316" s="156">
        <v>0.0</v>
      </c>
      <c r="FS316" s="156">
        <v>0.0</v>
      </c>
      <c r="FT316" s="156">
        <v>0.0</v>
      </c>
      <c r="FU316" s="156">
        <v>0.0</v>
      </c>
      <c r="FV316" s="156">
        <v>0.0</v>
      </c>
      <c r="FW316" s="157"/>
      <c r="FX316" s="157"/>
      <c r="FY316" s="157"/>
      <c r="FZ316" s="157"/>
      <c r="GA316" s="157"/>
      <c r="GB316" s="157"/>
      <c r="GC316" s="157"/>
      <c r="GD316" s="157"/>
      <c r="GE316" s="157"/>
      <c r="GF316" s="157"/>
      <c r="GG316" s="157"/>
      <c r="GH316" s="157"/>
      <c r="GI316" s="157"/>
      <c r="GJ316" s="157"/>
      <c r="GK316" s="157"/>
      <c r="GL316" s="157"/>
      <c r="GM316" s="157"/>
      <c r="GN316" s="157"/>
      <c r="GO316" s="157"/>
      <c r="GP316" s="158"/>
      <c r="GQ316" s="157"/>
      <c r="GR316" s="157"/>
      <c r="GS316" s="157"/>
      <c r="GT316" s="157"/>
      <c r="GU316" s="157"/>
      <c r="GV316" s="157"/>
      <c r="GW316" s="157"/>
      <c r="GX316" s="157"/>
      <c r="GY316" s="157"/>
      <c r="GZ316" s="157"/>
      <c r="HA316" s="157"/>
      <c r="HB316" s="155">
        <v>0.0</v>
      </c>
      <c r="HC316" s="155">
        <v>0.0</v>
      </c>
      <c r="HD316" s="155">
        <v>0.0</v>
      </c>
      <c r="HE316" s="155">
        <v>0.0</v>
      </c>
      <c r="HF316" s="155">
        <v>0.0</v>
      </c>
      <c r="HG316" s="155">
        <v>0.0</v>
      </c>
      <c r="IL316" s="159">
        <v>0.0</v>
      </c>
      <c r="IM316" s="156">
        <v>0.0</v>
      </c>
      <c r="IN316" s="156">
        <v>0.0</v>
      </c>
      <c r="IO316" s="156">
        <v>0.0</v>
      </c>
      <c r="IP316" s="156">
        <v>0.0</v>
      </c>
      <c r="IQ316" s="160">
        <v>0.0</v>
      </c>
      <c r="JH316" s="25"/>
      <c r="JW316" s="159">
        <v>0.0</v>
      </c>
      <c r="JX316" s="156">
        <v>0.0</v>
      </c>
      <c r="JY316" s="156">
        <v>0.0</v>
      </c>
      <c r="JZ316" s="156">
        <v>0.0</v>
      </c>
      <c r="KA316" s="156">
        <v>0.0</v>
      </c>
      <c r="KB316" s="160">
        <v>0.0</v>
      </c>
      <c r="LH316" s="159">
        <f t="shared" si="10"/>
        <v>0</v>
      </c>
      <c r="LI316" s="156">
        <f t="shared" si="11"/>
        <v>0</v>
      </c>
      <c r="LJ316" s="156">
        <f t="shared" si="12"/>
        <v>0</v>
      </c>
      <c r="LK316" s="156">
        <f t="shared" si="13"/>
        <v>0</v>
      </c>
      <c r="LL316" s="156">
        <f t="shared" si="14"/>
        <v>0</v>
      </c>
      <c r="LM316" s="160">
        <f t="shared" si="15"/>
        <v>0</v>
      </c>
      <c r="QX316" s="107">
        <v>45912.0</v>
      </c>
    </row>
    <row r="317">
      <c r="A317" s="12"/>
      <c r="B317" s="12"/>
      <c r="C317" s="12"/>
      <c r="D317" s="12"/>
      <c r="E317" s="12"/>
      <c r="F317" s="12"/>
      <c r="G317" s="12"/>
      <c r="H317" s="12"/>
      <c r="I317" s="143">
        <f t="shared" si="5"/>
        <v>-12</v>
      </c>
      <c r="J317" s="144">
        <v>45916.0</v>
      </c>
      <c r="K317" s="173" t="s">
        <v>61</v>
      </c>
      <c r="L317" s="144">
        <v>45962.0</v>
      </c>
      <c r="M317" s="147" t="s">
        <v>1733</v>
      </c>
      <c r="N317" s="148">
        <v>357.0</v>
      </c>
      <c r="O317" s="148">
        <v>30.0</v>
      </c>
      <c r="P317" s="26"/>
      <c r="Q317" s="26"/>
      <c r="R317" s="26"/>
      <c r="S317" s="26"/>
      <c r="T317" s="26"/>
      <c r="U317" s="147" t="s">
        <v>2784</v>
      </c>
      <c r="V317" s="197"/>
      <c r="W317" s="198" t="s">
        <v>2984</v>
      </c>
      <c r="X317" s="181">
        <v>12.0</v>
      </c>
      <c r="Y317" s="166">
        <f t="shared" si="6"/>
        <v>12</v>
      </c>
      <c r="Z317" s="26">
        <f t="shared" si="7"/>
        <v>0</v>
      </c>
      <c r="AA317" s="26">
        <f t="shared" si="8"/>
        <v>0</v>
      </c>
      <c r="AB317" s="26">
        <f t="shared" si="9"/>
        <v>0</v>
      </c>
      <c r="AC317" s="155">
        <v>0.0</v>
      </c>
      <c r="AD317" s="155">
        <v>0.0</v>
      </c>
      <c r="AE317" s="155">
        <v>0.0</v>
      </c>
      <c r="AF317" s="155">
        <v>0.0</v>
      </c>
      <c r="AG317" s="155">
        <v>0.0</v>
      </c>
      <c r="AH317" s="155">
        <v>0.0</v>
      </c>
      <c r="BN317" s="155">
        <v>0.0</v>
      </c>
      <c r="BO317" s="155">
        <v>0.0</v>
      </c>
      <c r="BP317" s="155">
        <v>0.0</v>
      </c>
      <c r="BQ317" s="155">
        <v>0.0</v>
      </c>
      <c r="BR317" s="155">
        <v>0.0</v>
      </c>
      <c r="BS317" s="155">
        <v>0.0</v>
      </c>
      <c r="CV317" s="156">
        <v>0.0</v>
      </c>
      <c r="CW317" s="156">
        <v>0.0</v>
      </c>
      <c r="CX317" s="156">
        <v>0.0</v>
      </c>
      <c r="CY317" s="156">
        <v>0.0</v>
      </c>
      <c r="CZ317" s="156">
        <v>0.0</v>
      </c>
      <c r="DA317" s="156">
        <v>0.0</v>
      </c>
      <c r="EG317" s="156">
        <v>0.0</v>
      </c>
      <c r="EH317" s="156">
        <v>0.0</v>
      </c>
      <c r="EI317" s="156">
        <v>0.0</v>
      </c>
      <c r="EJ317" s="156">
        <v>0.0</v>
      </c>
      <c r="EK317" s="156">
        <v>0.0</v>
      </c>
      <c r="EL317" s="156">
        <v>0.0</v>
      </c>
      <c r="FQ317" s="156">
        <v>0.0</v>
      </c>
      <c r="FR317" s="156">
        <v>0.0</v>
      </c>
      <c r="FS317" s="156">
        <v>0.0</v>
      </c>
      <c r="FT317" s="156">
        <v>0.0</v>
      </c>
      <c r="FU317" s="156">
        <v>0.0</v>
      </c>
      <c r="FV317" s="156">
        <v>0.0</v>
      </c>
      <c r="FW317" s="157"/>
      <c r="FX317" s="157"/>
      <c r="FY317" s="157"/>
      <c r="FZ317" s="157"/>
      <c r="GA317" s="157"/>
      <c r="GB317" s="157"/>
      <c r="GC317" s="157"/>
      <c r="GD317" s="157"/>
      <c r="GE317" s="157"/>
      <c r="GF317" s="157"/>
      <c r="GG317" s="157"/>
      <c r="GH317" s="157"/>
      <c r="GI317" s="157"/>
      <c r="GJ317" s="157"/>
      <c r="GK317" s="157"/>
      <c r="GL317" s="157"/>
      <c r="GM317" s="157"/>
      <c r="GN317" s="157"/>
      <c r="GO317" s="157"/>
      <c r="GP317" s="158"/>
      <c r="GQ317" s="157"/>
      <c r="GR317" s="157"/>
      <c r="GS317" s="157"/>
      <c r="GT317" s="157"/>
      <c r="GU317" s="157"/>
      <c r="GV317" s="157"/>
      <c r="GW317" s="157"/>
      <c r="GX317" s="157"/>
      <c r="GY317" s="157"/>
      <c r="GZ317" s="157"/>
      <c r="HA317" s="157"/>
      <c r="HB317" s="155">
        <v>0.0</v>
      </c>
      <c r="HC317" s="155">
        <v>0.0</v>
      </c>
      <c r="HD317" s="155">
        <v>0.0</v>
      </c>
      <c r="HE317" s="155">
        <v>0.0</v>
      </c>
      <c r="HF317" s="155">
        <v>0.0</v>
      </c>
      <c r="HG317" s="155">
        <v>0.0</v>
      </c>
      <c r="IL317" s="159">
        <v>0.0</v>
      </c>
      <c r="IM317" s="156">
        <v>0.0</v>
      </c>
      <c r="IN317" s="156">
        <v>0.0</v>
      </c>
      <c r="IO317" s="156">
        <v>0.0</v>
      </c>
      <c r="IP317" s="156">
        <v>0.0</v>
      </c>
      <c r="IQ317" s="160">
        <v>0.0</v>
      </c>
      <c r="JH317" s="25"/>
      <c r="JW317" s="159">
        <v>0.0</v>
      </c>
      <c r="JX317" s="156">
        <v>0.0</v>
      </c>
      <c r="JY317" s="156">
        <v>0.0</v>
      </c>
      <c r="JZ317" s="156">
        <v>0.0</v>
      </c>
      <c r="KA317" s="156">
        <v>0.0</v>
      </c>
      <c r="KB317" s="160">
        <v>0.0</v>
      </c>
      <c r="LH317" s="159">
        <f t="shared" si="10"/>
        <v>0</v>
      </c>
      <c r="LI317" s="156">
        <f t="shared" si="11"/>
        <v>0</v>
      </c>
      <c r="LJ317" s="156">
        <f t="shared" si="12"/>
        <v>0</v>
      </c>
      <c r="LK317" s="156">
        <f t="shared" si="13"/>
        <v>0</v>
      </c>
      <c r="LL317" s="156">
        <f t="shared" si="14"/>
        <v>0</v>
      </c>
      <c r="LM317" s="160">
        <f t="shared" si="15"/>
        <v>0</v>
      </c>
      <c r="QX317" s="107">
        <v>45912.0</v>
      </c>
    </row>
    <row r="318">
      <c r="A318" s="12"/>
      <c r="B318" s="12"/>
      <c r="C318" s="12"/>
      <c r="D318" s="12"/>
      <c r="E318" s="12"/>
      <c r="F318" s="12"/>
      <c r="G318" s="12"/>
      <c r="H318" s="12"/>
      <c r="I318" s="143">
        <f t="shared" si="5"/>
        <v>-10</v>
      </c>
      <c r="J318" s="144">
        <v>45917.0</v>
      </c>
      <c r="K318" s="173" t="s">
        <v>61</v>
      </c>
      <c r="L318" s="144">
        <v>45940.0</v>
      </c>
      <c r="M318" s="147" t="s">
        <v>435</v>
      </c>
      <c r="N318" s="148">
        <v>246.0</v>
      </c>
      <c r="O318" s="148">
        <v>30.0</v>
      </c>
      <c r="P318" s="26"/>
      <c r="Q318" s="26"/>
      <c r="R318" s="26"/>
      <c r="S318" s="26"/>
      <c r="T318" s="26"/>
      <c r="U318" s="147" t="s">
        <v>2986</v>
      </c>
      <c r="V318" s="197"/>
      <c r="W318" s="198" t="s">
        <v>2987</v>
      </c>
      <c r="X318" s="181">
        <v>10.0</v>
      </c>
      <c r="Y318" s="166">
        <f t="shared" si="6"/>
        <v>10</v>
      </c>
      <c r="Z318" s="26">
        <f t="shared" si="7"/>
        <v>0</v>
      </c>
      <c r="AA318" s="26">
        <f t="shared" si="8"/>
        <v>0</v>
      </c>
      <c r="AB318" s="26">
        <f t="shared" si="9"/>
        <v>0</v>
      </c>
      <c r="AC318" s="155">
        <v>0.0</v>
      </c>
      <c r="AD318" s="155">
        <v>0.0</v>
      </c>
      <c r="AE318" s="155">
        <v>0.0</v>
      </c>
      <c r="AF318" s="155">
        <v>0.0</v>
      </c>
      <c r="AG318" s="155">
        <v>0.0</v>
      </c>
      <c r="AH318" s="155">
        <v>0.0</v>
      </c>
      <c r="BN318" s="155">
        <v>0.0</v>
      </c>
      <c r="BO318" s="155">
        <v>0.0</v>
      </c>
      <c r="BP318" s="155">
        <v>0.0</v>
      </c>
      <c r="BQ318" s="155">
        <v>0.0</v>
      </c>
      <c r="BR318" s="155">
        <v>0.0</v>
      </c>
      <c r="BS318" s="155">
        <v>0.0</v>
      </c>
      <c r="CV318" s="156">
        <v>0.0</v>
      </c>
      <c r="CW318" s="156">
        <v>0.0</v>
      </c>
      <c r="CX318" s="156">
        <v>0.0</v>
      </c>
      <c r="CY318" s="156">
        <v>0.0</v>
      </c>
      <c r="CZ318" s="156">
        <v>0.0</v>
      </c>
      <c r="DA318" s="156">
        <v>0.0</v>
      </c>
      <c r="EG318" s="156">
        <v>0.0</v>
      </c>
      <c r="EH318" s="156">
        <v>0.0</v>
      </c>
      <c r="EI318" s="156">
        <v>0.0</v>
      </c>
      <c r="EJ318" s="156">
        <v>0.0</v>
      </c>
      <c r="EK318" s="156">
        <v>0.0</v>
      </c>
      <c r="EL318" s="156">
        <v>0.0</v>
      </c>
      <c r="FQ318" s="156">
        <v>0.0</v>
      </c>
      <c r="FR318" s="156">
        <v>0.0</v>
      </c>
      <c r="FS318" s="156">
        <v>0.0</v>
      </c>
      <c r="FT318" s="156">
        <v>0.0</v>
      </c>
      <c r="FU318" s="156">
        <v>0.0</v>
      </c>
      <c r="FV318" s="156">
        <v>0.0</v>
      </c>
      <c r="FW318" s="157"/>
      <c r="FX318" s="157"/>
      <c r="FY318" s="157"/>
      <c r="FZ318" s="157"/>
      <c r="GA318" s="157"/>
      <c r="GB318" s="157"/>
      <c r="GC318" s="157"/>
      <c r="GD318" s="157"/>
      <c r="GE318" s="157"/>
      <c r="GF318" s="157"/>
      <c r="GG318" s="157"/>
      <c r="GH318" s="157"/>
      <c r="GI318" s="157"/>
      <c r="GJ318" s="157"/>
      <c r="GK318" s="157"/>
      <c r="GL318" s="157"/>
      <c r="GM318" s="157"/>
      <c r="GN318" s="157"/>
      <c r="GO318" s="157"/>
      <c r="GP318" s="158"/>
      <c r="GQ318" s="157"/>
      <c r="GR318" s="157"/>
      <c r="GS318" s="157"/>
      <c r="GT318" s="157"/>
      <c r="GU318" s="157"/>
      <c r="GV318" s="157"/>
      <c r="GW318" s="157"/>
      <c r="GX318" s="157"/>
      <c r="GY318" s="157"/>
      <c r="GZ318" s="157"/>
      <c r="HA318" s="157"/>
      <c r="HB318" s="155">
        <v>0.0</v>
      </c>
      <c r="HC318" s="155">
        <v>0.0</v>
      </c>
      <c r="HD318" s="155">
        <v>0.0</v>
      </c>
      <c r="HE318" s="155">
        <v>0.0</v>
      </c>
      <c r="HF318" s="155">
        <v>0.0</v>
      </c>
      <c r="HG318" s="155">
        <v>0.0</v>
      </c>
      <c r="IL318" s="159">
        <v>0.0</v>
      </c>
      <c r="IM318" s="156">
        <v>0.0</v>
      </c>
      <c r="IN318" s="156">
        <v>0.0</v>
      </c>
      <c r="IO318" s="156">
        <v>0.0</v>
      </c>
      <c r="IP318" s="156">
        <v>0.0</v>
      </c>
      <c r="IQ318" s="160">
        <v>0.0</v>
      </c>
      <c r="JH318" s="25"/>
      <c r="JW318" s="159">
        <v>0.0</v>
      </c>
      <c r="JX318" s="156">
        <v>0.0</v>
      </c>
      <c r="JY318" s="156">
        <v>0.0</v>
      </c>
      <c r="JZ318" s="156">
        <v>0.0</v>
      </c>
      <c r="KA318" s="156">
        <v>0.0</v>
      </c>
      <c r="KB318" s="160">
        <v>0.0</v>
      </c>
      <c r="LH318" s="159">
        <f t="shared" si="10"/>
        <v>0</v>
      </c>
      <c r="LI318" s="156">
        <f t="shared" si="11"/>
        <v>0</v>
      </c>
      <c r="LJ318" s="156">
        <f t="shared" si="12"/>
        <v>0</v>
      </c>
      <c r="LK318" s="156">
        <f t="shared" si="13"/>
        <v>0</v>
      </c>
      <c r="LL318" s="156">
        <f t="shared" si="14"/>
        <v>0</v>
      </c>
      <c r="LM318" s="160">
        <f t="shared" si="15"/>
        <v>0</v>
      </c>
      <c r="QX318" s="107">
        <v>45912.0</v>
      </c>
    </row>
    <row r="319">
      <c r="A319" s="12"/>
      <c r="B319" s="12"/>
      <c r="C319" s="12"/>
      <c r="D319" s="12"/>
      <c r="E319" s="12"/>
      <c r="F319" s="12"/>
      <c r="G319" s="12"/>
      <c r="H319" s="12"/>
      <c r="I319" s="143">
        <f t="shared" si="5"/>
        <v>-30</v>
      </c>
      <c r="J319" s="144">
        <v>45917.0</v>
      </c>
      <c r="K319" s="173" t="s">
        <v>61</v>
      </c>
      <c r="L319" s="144">
        <v>46009.0</v>
      </c>
      <c r="M319" s="147" t="s">
        <v>400</v>
      </c>
      <c r="N319" s="148">
        <v>246.0</v>
      </c>
      <c r="O319" s="148">
        <v>30.0</v>
      </c>
      <c r="P319" s="26"/>
      <c r="Q319" s="26"/>
      <c r="R319" s="26"/>
      <c r="S319" s="26"/>
      <c r="T319" s="26"/>
      <c r="U319" s="147" t="s">
        <v>2989</v>
      </c>
      <c r="V319" s="149" t="s">
        <v>654</v>
      </c>
      <c r="W319" s="198" t="s">
        <v>2990</v>
      </c>
      <c r="X319" s="181">
        <v>30.0</v>
      </c>
      <c r="Y319" s="166">
        <f t="shared" si="6"/>
        <v>30</v>
      </c>
      <c r="Z319" s="26">
        <f t="shared" si="7"/>
        <v>0</v>
      </c>
      <c r="AA319" s="26">
        <f t="shared" si="8"/>
        <v>0</v>
      </c>
      <c r="AB319" s="26">
        <f t="shared" si="9"/>
        <v>0</v>
      </c>
      <c r="AC319" s="155">
        <v>0.0</v>
      </c>
      <c r="AD319" s="155">
        <v>0.0</v>
      </c>
      <c r="AE319" s="155">
        <v>0.0</v>
      </c>
      <c r="AF319" s="155">
        <v>0.0</v>
      </c>
      <c r="AG319" s="155">
        <v>0.0</v>
      </c>
      <c r="AH319" s="155">
        <v>0.0</v>
      </c>
      <c r="BN319" s="155">
        <v>0.0</v>
      </c>
      <c r="BO319" s="155">
        <v>0.0</v>
      </c>
      <c r="BP319" s="155">
        <v>0.0</v>
      </c>
      <c r="BQ319" s="155">
        <v>0.0</v>
      </c>
      <c r="BR319" s="155">
        <v>0.0</v>
      </c>
      <c r="BS319" s="155">
        <v>0.0</v>
      </c>
      <c r="CV319" s="156">
        <v>0.0</v>
      </c>
      <c r="CW319" s="156">
        <v>0.0</v>
      </c>
      <c r="CX319" s="156">
        <v>0.0</v>
      </c>
      <c r="CY319" s="156">
        <v>0.0</v>
      </c>
      <c r="CZ319" s="156">
        <v>0.0</v>
      </c>
      <c r="DA319" s="156">
        <v>0.0</v>
      </c>
      <c r="EG319" s="156">
        <v>0.0</v>
      </c>
      <c r="EH319" s="156">
        <v>0.0</v>
      </c>
      <c r="EI319" s="156">
        <v>0.0</v>
      </c>
      <c r="EJ319" s="156">
        <v>0.0</v>
      </c>
      <c r="EK319" s="156">
        <v>0.0</v>
      </c>
      <c r="EL319" s="156">
        <v>0.0</v>
      </c>
      <c r="FQ319" s="156">
        <v>0.0</v>
      </c>
      <c r="FR319" s="156">
        <v>0.0</v>
      </c>
      <c r="FS319" s="156">
        <v>0.0</v>
      </c>
      <c r="FT319" s="156">
        <v>0.0</v>
      </c>
      <c r="FU319" s="156">
        <v>0.0</v>
      </c>
      <c r="FV319" s="156">
        <v>0.0</v>
      </c>
      <c r="FW319" s="157"/>
      <c r="FX319" s="157"/>
      <c r="FY319" s="157"/>
      <c r="FZ319" s="157"/>
      <c r="GA319" s="157"/>
      <c r="GB319" s="157"/>
      <c r="GC319" s="157"/>
      <c r="GD319" s="157"/>
      <c r="GE319" s="157"/>
      <c r="GF319" s="157"/>
      <c r="GG319" s="157"/>
      <c r="GH319" s="157"/>
      <c r="GI319" s="157"/>
      <c r="GJ319" s="157"/>
      <c r="GK319" s="157"/>
      <c r="GL319" s="157"/>
      <c r="GM319" s="157"/>
      <c r="GN319" s="157"/>
      <c r="GO319" s="157"/>
      <c r="GP319" s="158"/>
      <c r="GQ319" s="157"/>
      <c r="GR319" s="157"/>
      <c r="GS319" s="157"/>
      <c r="GT319" s="157"/>
      <c r="GU319" s="157"/>
      <c r="GV319" s="157"/>
      <c r="GW319" s="157"/>
      <c r="GX319" s="157"/>
      <c r="GY319" s="157"/>
      <c r="GZ319" s="157"/>
      <c r="HA319" s="157"/>
      <c r="HB319" s="155">
        <v>0.0</v>
      </c>
      <c r="HC319" s="155">
        <v>0.0</v>
      </c>
      <c r="HD319" s="155">
        <v>0.0</v>
      </c>
      <c r="HE319" s="155">
        <v>0.0</v>
      </c>
      <c r="HF319" s="155">
        <v>0.0</v>
      </c>
      <c r="HG319" s="155">
        <v>0.0</v>
      </c>
      <c r="IL319" s="159">
        <v>0.0</v>
      </c>
      <c r="IM319" s="156">
        <v>0.0</v>
      </c>
      <c r="IN319" s="156">
        <v>0.0</v>
      </c>
      <c r="IO319" s="156">
        <v>0.0</v>
      </c>
      <c r="IP319" s="156">
        <v>0.0</v>
      </c>
      <c r="IQ319" s="160">
        <v>0.0</v>
      </c>
      <c r="JH319" s="25"/>
      <c r="JW319" s="159">
        <v>0.0</v>
      </c>
      <c r="JX319" s="156">
        <v>0.0</v>
      </c>
      <c r="JY319" s="156">
        <v>0.0</v>
      </c>
      <c r="JZ319" s="156">
        <v>0.0</v>
      </c>
      <c r="KA319" s="156">
        <v>0.0</v>
      </c>
      <c r="KB319" s="160">
        <v>0.0</v>
      </c>
      <c r="LH319" s="159">
        <f t="shared" si="10"/>
        <v>0</v>
      </c>
      <c r="LI319" s="156">
        <f t="shared" si="11"/>
        <v>0</v>
      </c>
      <c r="LJ319" s="156">
        <f t="shared" si="12"/>
        <v>0</v>
      </c>
      <c r="LK319" s="156">
        <f t="shared" si="13"/>
        <v>0</v>
      </c>
      <c r="LL319" s="156">
        <f t="shared" si="14"/>
        <v>0</v>
      </c>
      <c r="LM319" s="160">
        <f t="shared" si="15"/>
        <v>0</v>
      </c>
      <c r="QX319" s="107">
        <v>45915.0</v>
      </c>
    </row>
    <row r="320">
      <c r="A320" s="12"/>
      <c r="B320" s="12"/>
      <c r="C320" s="12"/>
      <c r="D320" s="12"/>
      <c r="E320" s="12"/>
      <c r="F320" s="12"/>
      <c r="G320" s="12"/>
      <c r="H320" s="12"/>
      <c r="I320" s="143">
        <f t="shared" si="5"/>
        <v>-30</v>
      </c>
      <c r="J320" s="144">
        <v>45917.0</v>
      </c>
      <c r="K320" s="195" t="s">
        <v>61</v>
      </c>
      <c r="L320" s="179">
        <v>46135.0</v>
      </c>
      <c r="M320" s="147" t="s">
        <v>228</v>
      </c>
      <c r="N320" s="148">
        <v>246.0</v>
      </c>
      <c r="O320" s="148">
        <v>30.0</v>
      </c>
      <c r="P320" s="26"/>
      <c r="Q320" s="26"/>
      <c r="R320" s="26"/>
      <c r="S320" s="26"/>
      <c r="T320" s="26"/>
      <c r="U320" s="164" t="s">
        <v>2992</v>
      </c>
      <c r="V320" s="165" t="s">
        <v>2993</v>
      </c>
      <c r="W320" s="198" t="s">
        <v>2994</v>
      </c>
      <c r="X320" s="181">
        <v>7.0</v>
      </c>
      <c r="Y320" s="166">
        <f t="shared" si="6"/>
        <v>30</v>
      </c>
      <c r="Z320" s="26">
        <f t="shared" si="7"/>
        <v>0</v>
      </c>
      <c r="AA320" s="26">
        <f t="shared" si="8"/>
        <v>0</v>
      </c>
      <c r="AB320" s="26">
        <f t="shared" si="9"/>
        <v>0</v>
      </c>
      <c r="AC320" s="155">
        <v>0.0</v>
      </c>
      <c r="AD320" s="155">
        <v>0.0</v>
      </c>
      <c r="AE320" s="155">
        <v>0.0</v>
      </c>
      <c r="AF320" s="155">
        <v>0.0</v>
      </c>
      <c r="AG320" s="155">
        <v>0.0</v>
      </c>
      <c r="AH320" s="155">
        <v>0.0</v>
      </c>
      <c r="BN320" s="155">
        <v>8.0</v>
      </c>
      <c r="BO320" s="155">
        <v>0.0</v>
      </c>
      <c r="BP320" s="155">
        <v>0.0</v>
      </c>
      <c r="BQ320" s="155">
        <v>0.0</v>
      </c>
      <c r="BR320" s="155">
        <v>0.0</v>
      </c>
      <c r="BS320" s="155">
        <v>0.0</v>
      </c>
      <c r="BT320" s="167"/>
      <c r="BU320" s="167"/>
      <c r="BV320" s="167"/>
      <c r="BW320" s="167">
        <v>1.0</v>
      </c>
      <c r="BX320" s="167">
        <v>0.0</v>
      </c>
      <c r="BY320" s="167">
        <v>1.0</v>
      </c>
      <c r="BZ320" s="167">
        <v>0.0</v>
      </c>
      <c r="CA320" s="167">
        <v>0.0</v>
      </c>
      <c r="CB320" s="167">
        <v>1.0</v>
      </c>
      <c r="CC320" s="167">
        <v>0.0</v>
      </c>
      <c r="CD320" s="167">
        <v>1.0</v>
      </c>
      <c r="CE320" s="167">
        <v>0.0</v>
      </c>
      <c r="CF320" s="167">
        <v>1.0</v>
      </c>
      <c r="CG320" s="167"/>
      <c r="CH320" s="167"/>
      <c r="CI320" s="167"/>
      <c r="CJ320" s="167"/>
      <c r="CK320" s="167"/>
      <c r="CL320" s="167"/>
      <c r="CM320" s="167"/>
      <c r="CN320" s="167"/>
      <c r="CO320" s="167"/>
      <c r="CP320" s="167">
        <v>1.0</v>
      </c>
      <c r="CQ320" s="167">
        <v>0.0</v>
      </c>
      <c r="CR320" s="167">
        <v>1.0</v>
      </c>
      <c r="CS320" s="167">
        <v>0.0</v>
      </c>
      <c r="CT320" s="167">
        <v>1.0</v>
      </c>
      <c r="CU320" s="167">
        <v>0.0</v>
      </c>
      <c r="CV320" s="156">
        <v>12.0</v>
      </c>
      <c r="CW320" s="156">
        <v>0.0</v>
      </c>
      <c r="CX320" s="156">
        <v>0.0</v>
      </c>
      <c r="CY320" s="156">
        <v>0.0</v>
      </c>
      <c r="CZ320" s="156">
        <v>0.0</v>
      </c>
      <c r="DA320" s="156">
        <v>0.0</v>
      </c>
      <c r="DB320" s="174">
        <v>0.0</v>
      </c>
      <c r="DC320" s="174">
        <v>1.0</v>
      </c>
      <c r="DD320" s="174">
        <v>0.0</v>
      </c>
      <c r="DE320" s="175">
        <v>1.0</v>
      </c>
      <c r="DF320" s="174">
        <v>0.0</v>
      </c>
      <c r="DG320" s="174">
        <v>1.0</v>
      </c>
      <c r="DH320" s="174">
        <v>0.0</v>
      </c>
      <c r="DI320" s="174">
        <v>0.0</v>
      </c>
      <c r="DJ320" s="174">
        <v>1.0</v>
      </c>
      <c r="DK320" s="174">
        <v>0.0</v>
      </c>
      <c r="DL320" s="174">
        <v>1.0</v>
      </c>
      <c r="DM320" s="174">
        <v>0.0</v>
      </c>
      <c r="DN320" s="174">
        <v>1.0</v>
      </c>
      <c r="DO320" s="174">
        <v>0.0</v>
      </c>
      <c r="DP320" s="174">
        <v>0.0</v>
      </c>
      <c r="DQ320" s="174"/>
      <c r="DR320" s="174">
        <v>0.0</v>
      </c>
      <c r="DS320" s="174">
        <v>1.0</v>
      </c>
      <c r="DT320" s="174">
        <v>0.0</v>
      </c>
      <c r="DU320" s="174">
        <v>1.0</v>
      </c>
      <c r="DV320" s="174">
        <v>0.0</v>
      </c>
      <c r="DW320" s="174">
        <v>0.0</v>
      </c>
      <c r="DX320" s="174">
        <v>1.0</v>
      </c>
      <c r="DY320" s="174">
        <v>0.0</v>
      </c>
      <c r="DZ320" s="174">
        <v>1.0</v>
      </c>
      <c r="EA320" s="174">
        <v>0.0</v>
      </c>
      <c r="EB320" s="174">
        <v>1.0</v>
      </c>
      <c r="EC320" s="174">
        <v>0.0</v>
      </c>
      <c r="ED320" s="174">
        <v>0.0</v>
      </c>
      <c r="EE320" s="174">
        <v>1.0</v>
      </c>
      <c r="EF320" s="174">
        <v>0.0</v>
      </c>
      <c r="EG320" s="156">
        <v>3.0</v>
      </c>
      <c r="EH320" s="156">
        <v>0.0</v>
      </c>
      <c r="EI320" s="156">
        <v>0.0</v>
      </c>
      <c r="EJ320" s="156">
        <v>0.0</v>
      </c>
      <c r="EK320" s="156">
        <v>0.0</v>
      </c>
      <c r="EL320" s="156">
        <v>0.0</v>
      </c>
      <c r="EM320" s="174">
        <v>1.0</v>
      </c>
      <c r="EN320" s="174"/>
      <c r="EO320" s="174"/>
      <c r="EP320" s="174"/>
      <c r="EQ320" s="174"/>
      <c r="ER320" s="175">
        <v>1.0</v>
      </c>
      <c r="ES320" s="174"/>
      <c r="ET320" s="174">
        <v>1.0</v>
      </c>
      <c r="EU320" s="174"/>
      <c r="EV320" s="174"/>
      <c r="EW320" s="174"/>
      <c r="EX320" s="174"/>
      <c r="EY320" s="174"/>
      <c r="EZ320" s="174"/>
      <c r="FA320" s="174"/>
      <c r="FB320" s="174"/>
      <c r="FC320" s="174"/>
      <c r="FD320" s="174"/>
      <c r="FE320" s="174"/>
      <c r="FF320" s="174"/>
      <c r="FG320" s="174"/>
      <c r="FH320" s="174"/>
      <c r="FI320" s="174"/>
      <c r="FJ320" s="174"/>
      <c r="FK320" s="174"/>
      <c r="FL320" s="174"/>
      <c r="FM320" s="174"/>
      <c r="FN320" s="174"/>
      <c r="FO320" s="174"/>
      <c r="FP320" s="174"/>
      <c r="FQ320" s="156">
        <v>0.0</v>
      </c>
      <c r="FR320" s="156">
        <v>0.0</v>
      </c>
      <c r="FS320" s="156">
        <v>0.0</v>
      </c>
      <c r="FT320" s="156">
        <v>0.0</v>
      </c>
      <c r="FU320" s="156">
        <v>0.0</v>
      </c>
      <c r="FV320" s="156">
        <v>0.0</v>
      </c>
      <c r="FW320" s="157"/>
      <c r="FX320" s="157"/>
      <c r="FY320" s="157"/>
      <c r="FZ320" s="157"/>
      <c r="GA320" s="157"/>
      <c r="GB320" s="157"/>
      <c r="GC320" s="157"/>
      <c r="GD320" s="157"/>
      <c r="GE320" s="157"/>
      <c r="GF320" s="157"/>
      <c r="GG320" s="157"/>
      <c r="GH320" s="157"/>
      <c r="GI320" s="157"/>
      <c r="GJ320" s="157"/>
      <c r="GK320" s="157"/>
      <c r="GL320" s="157"/>
      <c r="GM320" s="157"/>
      <c r="GN320" s="157"/>
      <c r="GO320" s="157"/>
      <c r="GP320" s="158"/>
      <c r="GQ320" s="157"/>
      <c r="GR320" s="157"/>
      <c r="GS320" s="157"/>
      <c r="GT320" s="157"/>
      <c r="GU320" s="157"/>
      <c r="GV320" s="157"/>
      <c r="GW320" s="157"/>
      <c r="GX320" s="157"/>
      <c r="GY320" s="157"/>
      <c r="GZ320" s="157"/>
      <c r="HA320" s="157"/>
      <c r="HB320" s="155">
        <v>0.0</v>
      </c>
      <c r="HC320" s="155">
        <v>0.0</v>
      </c>
      <c r="HD320" s="155">
        <v>0.0</v>
      </c>
      <c r="HE320" s="155">
        <v>0.0</v>
      </c>
      <c r="HF320" s="155">
        <v>0.0</v>
      </c>
      <c r="HG320" s="155">
        <v>0.0</v>
      </c>
      <c r="IL320" s="159">
        <v>0.0</v>
      </c>
      <c r="IM320" s="156">
        <v>0.0</v>
      </c>
      <c r="IN320" s="156">
        <v>0.0</v>
      </c>
      <c r="IO320" s="156">
        <v>0.0</v>
      </c>
      <c r="IP320" s="156">
        <v>0.0</v>
      </c>
      <c r="IQ320" s="160">
        <v>0.0</v>
      </c>
      <c r="JH320" s="25"/>
      <c r="JW320" s="159">
        <v>0.0</v>
      </c>
      <c r="JX320" s="156">
        <v>0.0</v>
      </c>
      <c r="JY320" s="156">
        <v>0.0</v>
      </c>
      <c r="JZ320" s="156">
        <v>0.0</v>
      </c>
      <c r="KA320" s="156">
        <v>0.0</v>
      </c>
      <c r="KB320" s="160">
        <v>0.0</v>
      </c>
      <c r="LH320" s="159">
        <f t="shared" si="10"/>
        <v>0</v>
      </c>
      <c r="LI320" s="156">
        <f t="shared" si="11"/>
        <v>0</v>
      </c>
      <c r="LJ320" s="156">
        <f t="shared" si="12"/>
        <v>0</v>
      </c>
      <c r="LK320" s="156">
        <f t="shared" si="13"/>
        <v>0</v>
      </c>
      <c r="LL320" s="156">
        <f t="shared" si="14"/>
        <v>0</v>
      </c>
      <c r="LM320" s="160">
        <f t="shared" si="15"/>
        <v>0</v>
      </c>
      <c r="QX320" s="107">
        <v>45915.0</v>
      </c>
    </row>
    <row r="321">
      <c r="A321" s="12"/>
      <c r="B321" s="12"/>
      <c r="C321" s="12"/>
      <c r="D321" s="12"/>
      <c r="E321" s="12"/>
      <c r="F321" s="12"/>
      <c r="G321" s="12"/>
      <c r="H321" s="12"/>
      <c r="I321" s="143">
        <f t="shared" si="5"/>
        <v>-21</v>
      </c>
      <c r="J321" s="295">
        <v>45920.0</v>
      </c>
      <c r="K321" s="294" t="s">
        <v>61</v>
      </c>
      <c r="L321" s="297">
        <v>46042.0</v>
      </c>
      <c r="M321" s="147" t="s">
        <v>1157</v>
      </c>
      <c r="N321" s="148" t="s">
        <v>2246</v>
      </c>
      <c r="O321" s="148">
        <v>30.0</v>
      </c>
      <c r="P321" s="26"/>
      <c r="Q321" s="26"/>
      <c r="R321" s="26"/>
      <c r="S321" s="26"/>
      <c r="T321" s="26"/>
      <c r="U321" s="147" t="s">
        <v>2996</v>
      </c>
      <c r="V321" s="149" t="s">
        <v>269</v>
      </c>
      <c r="W321" s="150" t="s">
        <v>2997</v>
      </c>
      <c r="X321" s="181">
        <v>21.0</v>
      </c>
      <c r="Y321" s="166">
        <f t="shared" si="6"/>
        <v>21</v>
      </c>
      <c r="Z321" s="26">
        <f t="shared" si="7"/>
        <v>0</v>
      </c>
      <c r="AA321" s="26">
        <f t="shared" si="8"/>
        <v>0</v>
      </c>
      <c r="AB321" s="26">
        <f t="shared" si="9"/>
        <v>0</v>
      </c>
      <c r="AC321" s="155">
        <v>0.0</v>
      </c>
      <c r="AD321" s="155">
        <v>0.0</v>
      </c>
      <c r="AE321" s="155">
        <v>0.0</v>
      </c>
      <c r="AF321" s="155">
        <v>0.0</v>
      </c>
      <c r="AG321" s="155">
        <v>0.0</v>
      </c>
      <c r="AH321" s="155">
        <v>0.0</v>
      </c>
      <c r="BN321" s="155">
        <v>0.0</v>
      </c>
      <c r="BO321" s="155">
        <v>0.0</v>
      </c>
      <c r="BP321" s="155">
        <v>0.0</v>
      </c>
      <c r="BQ321" s="155">
        <v>0.0</v>
      </c>
      <c r="BR321" s="155">
        <v>0.0</v>
      </c>
      <c r="BS321" s="155">
        <v>0.0</v>
      </c>
      <c r="CV321" s="156">
        <v>0.0</v>
      </c>
      <c r="CW321" s="156">
        <v>0.0</v>
      </c>
      <c r="CX321" s="156">
        <v>0.0</v>
      </c>
      <c r="CY321" s="156">
        <v>0.0</v>
      </c>
      <c r="CZ321" s="156">
        <v>0.0</v>
      </c>
      <c r="DA321" s="156">
        <v>0.0</v>
      </c>
      <c r="EG321" s="156">
        <v>0.0</v>
      </c>
      <c r="EH321" s="156">
        <v>0.0</v>
      </c>
      <c r="EI321" s="156">
        <v>0.0</v>
      </c>
      <c r="EJ321" s="156">
        <v>0.0</v>
      </c>
      <c r="EK321" s="156">
        <v>0.0</v>
      </c>
      <c r="EL321" s="156">
        <v>0.0</v>
      </c>
      <c r="FQ321" s="156">
        <v>0.0</v>
      </c>
      <c r="FR321" s="156">
        <v>0.0</v>
      </c>
      <c r="FS321" s="156">
        <v>0.0</v>
      </c>
      <c r="FT321" s="156">
        <v>0.0</v>
      </c>
      <c r="FU321" s="156">
        <v>0.0</v>
      </c>
      <c r="FV321" s="156">
        <v>0.0</v>
      </c>
      <c r="FW321" s="157"/>
      <c r="FX321" s="157"/>
      <c r="FY321" s="157"/>
      <c r="FZ321" s="157"/>
      <c r="GA321" s="157"/>
      <c r="GB321" s="157"/>
      <c r="GC321" s="157"/>
      <c r="GD321" s="157"/>
      <c r="GE321" s="157"/>
      <c r="GF321" s="157"/>
      <c r="GG321" s="157"/>
      <c r="GH321" s="157"/>
      <c r="GI321" s="157"/>
      <c r="GJ321" s="157"/>
      <c r="GK321" s="157"/>
      <c r="GL321" s="157"/>
      <c r="GM321" s="157"/>
      <c r="GN321" s="157"/>
      <c r="GO321" s="157"/>
      <c r="GP321" s="158"/>
      <c r="GQ321" s="157"/>
      <c r="GR321" s="157"/>
      <c r="GS321" s="157"/>
      <c r="GT321" s="157"/>
      <c r="GU321" s="157"/>
      <c r="GV321" s="157"/>
      <c r="GW321" s="157"/>
      <c r="GX321" s="157"/>
      <c r="GY321" s="157"/>
      <c r="GZ321" s="157"/>
      <c r="HA321" s="157"/>
      <c r="HB321" s="155">
        <v>0.0</v>
      </c>
      <c r="HC321" s="155">
        <v>0.0</v>
      </c>
      <c r="HD321" s="155">
        <v>0.0</v>
      </c>
      <c r="HE321" s="155">
        <v>0.0</v>
      </c>
      <c r="HF321" s="155">
        <v>0.0</v>
      </c>
      <c r="HG321" s="155">
        <v>0.0</v>
      </c>
      <c r="IL321" s="159">
        <v>0.0</v>
      </c>
      <c r="IM321" s="156">
        <v>0.0</v>
      </c>
      <c r="IN321" s="156">
        <v>0.0</v>
      </c>
      <c r="IO321" s="156">
        <v>0.0</v>
      </c>
      <c r="IP321" s="156">
        <v>0.0</v>
      </c>
      <c r="IQ321" s="160">
        <v>0.0</v>
      </c>
      <c r="JH321" s="25"/>
      <c r="JW321" s="159">
        <v>0.0</v>
      </c>
      <c r="JX321" s="156">
        <v>0.0</v>
      </c>
      <c r="JY321" s="156">
        <v>0.0</v>
      </c>
      <c r="JZ321" s="156">
        <v>0.0</v>
      </c>
      <c r="KA321" s="156">
        <v>0.0</v>
      </c>
      <c r="KB321" s="160">
        <v>0.0</v>
      </c>
      <c r="LH321" s="159">
        <f t="shared" si="10"/>
        <v>0</v>
      </c>
      <c r="LI321" s="156">
        <f t="shared" si="11"/>
        <v>0</v>
      </c>
      <c r="LJ321" s="156">
        <f t="shared" si="12"/>
        <v>0</v>
      </c>
      <c r="LK321" s="156">
        <f t="shared" si="13"/>
        <v>0</v>
      </c>
      <c r="LL321" s="156">
        <f t="shared" si="14"/>
        <v>0</v>
      </c>
      <c r="LM321" s="160">
        <f t="shared" si="15"/>
        <v>0</v>
      </c>
      <c r="QX321" s="107">
        <v>45916.0</v>
      </c>
    </row>
    <row r="322">
      <c r="A322" s="12"/>
      <c r="B322" s="12"/>
      <c r="C322" s="12"/>
      <c r="D322" s="12"/>
      <c r="E322" s="12"/>
      <c r="F322" s="12"/>
      <c r="G322" s="12"/>
      <c r="H322" s="12"/>
      <c r="I322" s="143">
        <f t="shared" si="5"/>
        <v>-7</v>
      </c>
      <c r="J322" s="144">
        <v>45923.0</v>
      </c>
      <c r="K322" s="173" t="s">
        <v>61</v>
      </c>
      <c r="L322" s="146"/>
      <c r="M322" s="21" t="s">
        <v>107</v>
      </c>
      <c r="N322" s="45">
        <v>35.0</v>
      </c>
      <c r="O322" s="45">
        <v>30.0</v>
      </c>
      <c r="P322" s="21"/>
      <c r="Q322" s="21"/>
      <c r="R322" s="21"/>
      <c r="S322" s="21"/>
      <c r="T322" s="21"/>
      <c r="U322" s="26" t="s">
        <v>675</v>
      </c>
      <c r="V322" s="29"/>
      <c r="W322" s="198" t="s">
        <v>3000</v>
      </c>
      <c r="X322" s="181">
        <v>7.0</v>
      </c>
      <c r="Y322" s="166">
        <f t="shared" si="6"/>
        <v>7</v>
      </c>
      <c r="Z322" s="26">
        <f t="shared" si="7"/>
        <v>0</v>
      </c>
      <c r="AA322" s="26">
        <f t="shared" si="8"/>
        <v>0</v>
      </c>
      <c r="AB322" s="26">
        <f t="shared" si="9"/>
        <v>0</v>
      </c>
      <c r="AC322" s="155">
        <v>0.0</v>
      </c>
      <c r="AD322" s="155">
        <v>0.0</v>
      </c>
      <c r="AE322" s="155">
        <v>0.0</v>
      </c>
      <c r="AF322" s="155">
        <v>0.0</v>
      </c>
      <c r="AG322" s="155">
        <v>0.0</v>
      </c>
      <c r="AH322" s="155">
        <v>0.0</v>
      </c>
      <c r="BN322" s="155">
        <v>0.0</v>
      </c>
      <c r="BO322" s="155">
        <v>0.0</v>
      </c>
      <c r="BP322" s="155">
        <v>0.0</v>
      </c>
      <c r="BQ322" s="155">
        <v>0.0</v>
      </c>
      <c r="BR322" s="155">
        <v>0.0</v>
      </c>
      <c r="BS322" s="155">
        <v>0.0</v>
      </c>
      <c r="CV322" s="156">
        <v>0.0</v>
      </c>
      <c r="CW322" s="156">
        <v>0.0</v>
      </c>
      <c r="CX322" s="156">
        <v>0.0</v>
      </c>
      <c r="CY322" s="156">
        <v>0.0</v>
      </c>
      <c r="CZ322" s="156">
        <v>0.0</v>
      </c>
      <c r="DA322" s="156">
        <v>0.0</v>
      </c>
      <c r="EG322" s="156">
        <v>0.0</v>
      </c>
      <c r="EH322" s="156">
        <v>0.0</v>
      </c>
      <c r="EI322" s="156">
        <v>0.0</v>
      </c>
      <c r="EJ322" s="156">
        <v>0.0</v>
      </c>
      <c r="EK322" s="156">
        <v>0.0</v>
      </c>
      <c r="EL322" s="156">
        <v>0.0</v>
      </c>
      <c r="FQ322" s="156">
        <v>0.0</v>
      </c>
      <c r="FR322" s="156">
        <v>0.0</v>
      </c>
      <c r="FS322" s="156">
        <v>0.0</v>
      </c>
      <c r="FT322" s="156">
        <v>0.0</v>
      </c>
      <c r="FU322" s="156">
        <v>0.0</v>
      </c>
      <c r="FV322" s="156">
        <v>0.0</v>
      </c>
      <c r="FW322" s="157"/>
      <c r="FX322" s="157"/>
      <c r="FY322" s="157"/>
      <c r="FZ322" s="157"/>
      <c r="GA322" s="157"/>
      <c r="GB322" s="157"/>
      <c r="GC322" s="157"/>
      <c r="GD322" s="157"/>
      <c r="GE322" s="157"/>
      <c r="GF322" s="157"/>
      <c r="GG322" s="157"/>
      <c r="GH322" s="157"/>
      <c r="GI322" s="157"/>
      <c r="GJ322" s="157"/>
      <c r="GK322" s="157"/>
      <c r="GL322" s="157"/>
      <c r="GM322" s="157"/>
      <c r="GN322" s="157"/>
      <c r="GO322" s="157"/>
      <c r="GP322" s="158"/>
      <c r="GQ322" s="157"/>
      <c r="GR322" s="157"/>
      <c r="GS322" s="157"/>
      <c r="GT322" s="157"/>
      <c r="GU322" s="157"/>
      <c r="GV322" s="157"/>
      <c r="GW322" s="157"/>
      <c r="GX322" s="157"/>
      <c r="GY322" s="157"/>
      <c r="GZ322" s="157"/>
      <c r="HA322" s="157"/>
      <c r="HB322" s="155">
        <v>0.0</v>
      </c>
      <c r="HC322" s="155">
        <v>0.0</v>
      </c>
      <c r="HD322" s="155">
        <v>0.0</v>
      </c>
      <c r="HE322" s="155">
        <v>0.0</v>
      </c>
      <c r="HF322" s="155">
        <v>0.0</v>
      </c>
      <c r="HG322" s="155">
        <v>0.0</v>
      </c>
      <c r="IL322" s="159">
        <v>0.0</v>
      </c>
      <c r="IM322" s="156">
        <v>0.0</v>
      </c>
      <c r="IN322" s="156">
        <v>0.0</v>
      </c>
      <c r="IO322" s="156">
        <v>0.0</v>
      </c>
      <c r="IP322" s="156">
        <v>0.0</v>
      </c>
      <c r="IQ322" s="160">
        <v>0.0</v>
      </c>
      <c r="JH322" s="25"/>
      <c r="JW322" s="159">
        <v>0.0</v>
      </c>
      <c r="JX322" s="156">
        <v>0.0</v>
      </c>
      <c r="JY322" s="156">
        <v>0.0</v>
      </c>
      <c r="JZ322" s="156">
        <v>0.0</v>
      </c>
      <c r="KA322" s="156">
        <v>0.0</v>
      </c>
      <c r="KB322" s="160">
        <v>0.0</v>
      </c>
      <c r="LH322" s="159">
        <f t="shared" si="10"/>
        <v>0</v>
      </c>
      <c r="LI322" s="156">
        <f t="shared" si="11"/>
        <v>0</v>
      </c>
      <c r="LJ322" s="156">
        <f t="shared" si="12"/>
        <v>0</v>
      </c>
      <c r="LK322" s="156">
        <f t="shared" si="13"/>
        <v>0</v>
      </c>
      <c r="LL322" s="156">
        <f t="shared" si="14"/>
        <v>0</v>
      </c>
      <c r="LM322" s="160">
        <f t="shared" si="15"/>
        <v>0</v>
      </c>
      <c r="QX322" s="107">
        <v>45916.0</v>
      </c>
    </row>
    <row r="323">
      <c r="A323" s="12"/>
      <c r="B323" s="12"/>
      <c r="C323" s="12"/>
      <c r="D323" s="12"/>
      <c r="E323" s="12"/>
      <c r="F323" s="12"/>
      <c r="G323" s="12"/>
      <c r="H323" s="12"/>
      <c r="I323" s="143">
        <f t="shared" si="5"/>
        <v>-30</v>
      </c>
      <c r="J323" s="144">
        <v>45922.0</v>
      </c>
      <c r="K323" s="173" t="s">
        <v>61</v>
      </c>
      <c r="L323" s="144">
        <v>45992.0</v>
      </c>
      <c r="M323" s="327" t="s">
        <v>107</v>
      </c>
      <c r="N323" s="328">
        <v>246.0</v>
      </c>
      <c r="O323" s="328">
        <v>45.0</v>
      </c>
      <c r="P323" s="329"/>
      <c r="Q323" s="329"/>
      <c r="R323" s="329"/>
      <c r="S323" s="329"/>
      <c r="T323" s="329"/>
      <c r="U323" s="327" t="s">
        <v>3004</v>
      </c>
      <c r="V323" s="376" t="s">
        <v>3005</v>
      </c>
      <c r="W323" s="331" t="s">
        <v>3006</v>
      </c>
      <c r="X323" s="181">
        <v>30.0</v>
      </c>
      <c r="Y323" s="166">
        <f t="shared" si="6"/>
        <v>30</v>
      </c>
      <c r="Z323" s="26">
        <f t="shared" si="7"/>
        <v>0</v>
      </c>
      <c r="AA323" s="26">
        <f t="shared" si="8"/>
        <v>0</v>
      </c>
      <c r="AB323" s="26">
        <f t="shared" si="9"/>
        <v>0</v>
      </c>
      <c r="AC323" s="155">
        <v>0.0</v>
      </c>
      <c r="AD323" s="155">
        <v>0.0</v>
      </c>
      <c r="AE323" s="155">
        <v>0.0</v>
      </c>
      <c r="AF323" s="155">
        <v>0.0</v>
      </c>
      <c r="AG323" s="155">
        <v>0.0</v>
      </c>
      <c r="AH323" s="155">
        <v>0.0</v>
      </c>
      <c r="BN323" s="155">
        <v>0.0</v>
      </c>
      <c r="BO323" s="155">
        <v>0.0</v>
      </c>
      <c r="BP323" s="155">
        <v>0.0</v>
      </c>
      <c r="BQ323" s="155">
        <v>0.0</v>
      </c>
      <c r="BR323" s="155">
        <v>0.0</v>
      </c>
      <c r="BS323" s="155">
        <v>0.0</v>
      </c>
      <c r="CV323" s="156">
        <v>0.0</v>
      </c>
      <c r="CW323" s="156">
        <v>0.0</v>
      </c>
      <c r="CX323" s="156">
        <v>0.0</v>
      </c>
      <c r="CY323" s="156">
        <v>0.0</v>
      </c>
      <c r="CZ323" s="156">
        <v>0.0</v>
      </c>
      <c r="DA323" s="156">
        <v>0.0</v>
      </c>
      <c r="EG323" s="156">
        <v>0.0</v>
      </c>
      <c r="EH323" s="156">
        <v>0.0</v>
      </c>
      <c r="EI323" s="156">
        <v>0.0</v>
      </c>
      <c r="EJ323" s="156">
        <v>0.0</v>
      </c>
      <c r="EK323" s="156">
        <v>0.0</v>
      </c>
      <c r="EL323" s="156">
        <v>0.0</v>
      </c>
      <c r="FQ323" s="156">
        <v>0.0</v>
      </c>
      <c r="FR323" s="156">
        <v>0.0</v>
      </c>
      <c r="FS323" s="156">
        <v>0.0</v>
      </c>
      <c r="FT323" s="156">
        <v>0.0</v>
      </c>
      <c r="FU323" s="156">
        <v>0.0</v>
      </c>
      <c r="FV323" s="156">
        <v>0.0</v>
      </c>
      <c r="FW323" s="157"/>
      <c r="FX323" s="157"/>
      <c r="FY323" s="157"/>
      <c r="FZ323" s="157"/>
      <c r="GA323" s="157"/>
      <c r="GB323" s="157"/>
      <c r="GC323" s="157"/>
      <c r="GD323" s="157"/>
      <c r="GE323" s="157"/>
      <c r="GF323" s="157"/>
      <c r="GG323" s="157"/>
      <c r="GH323" s="157"/>
      <c r="GI323" s="157"/>
      <c r="GJ323" s="157"/>
      <c r="GK323" s="157"/>
      <c r="GL323" s="157"/>
      <c r="GM323" s="157"/>
      <c r="GN323" s="157"/>
      <c r="GO323" s="157"/>
      <c r="GP323" s="158"/>
      <c r="GQ323" s="157"/>
      <c r="GR323" s="157"/>
      <c r="GS323" s="157"/>
      <c r="GT323" s="157"/>
      <c r="GU323" s="157"/>
      <c r="GV323" s="157"/>
      <c r="GW323" s="157"/>
      <c r="GX323" s="157"/>
      <c r="GY323" s="157"/>
      <c r="GZ323" s="157"/>
      <c r="HA323" s="157"/>
      <c r="HB323" s="155">
        <v>0.0</v>
      </c>
      <c r="HC323" s="155">
        <v>0.0</v>
      </c>
      <c r="HD323" s="155">
        <v>0.0</v>
      </c>
      <c r="HE323" s="155">
        <v>0.0</v>
      </c>
      <c r="HF323" s="155">
        <v>0.0</v>
      </c>
      <c r="HG323" s="155">
        <v>0.0</v>
      </c>
      <c r="IL323" s="159">
        <v>0.0</v>
      </c>
      <c r="IM323" s="156">
        <v>0.0</v>
      </c>
      <c r="IN323" s="156">
        <v>0.0</v>
      </c>
      <c r="IO323" s="156">
        <v>0.0</v>
      </c>
      <c r="IP323" s="156">
        <v>0.0</v>
      </c>
      <c r="IQ323" s="160">
        <v>0.0</v>
      </c>
      <c r="JH323" s="25"/>
      <c r="JW323" s="159">
        <v>0.0</v>
      </c>
      <c r="JX323" s="156">
        <v>0.0</v>
      </c>
      <c r="JY323" s="156">
        <v>0.0</v>
      </c>
      <c r="JZ323" s="156">
        <v>0.0</v>
      </c>
      <c r="KA323" s="156">
        <v>0.0</v>
      </c>
      <c r="KB323" s="160">
        <v>0.0</v>
      </c>
      <c r="LH323" s="159">
        <f t="shared" si="10"/>
        <v>0</v>
      </c>
      <c r="LI323" s="156">
        <f t="shared" si="11"/>
        <v>0</v>
      </c>
      <c r="LJ323" s="156">
        <f t="shared" si="12"/>
        <v>0</v>
      </c>
      <c r="LK323" s="156">
        <f t="shared" si="13"/>
        <v>0</v>
      </c>
      <c r="LL323" s="156">
        <f t="shared" si="14"/>
        <v>0</v>
      </c>
      <c r="LM323" s="160">
        <f t="shared" si="15"/>
        <v>0</v>
      </c>
      <c r="QX323" s="107">
        <v>45916.0</v>
      </c>
    </row>
    <row r="324">
      <c r="A324" s="12"/>
      <c r="B324" s="12"/>
      <c r="C324" s="12"/>
      <c r="D324" s="12"/>
      <c r="E324" s="12"/>
      <c r="F324" s="12"/>
      <c r="G324" s="12"/>
      <c r="H324" s="12"/>
      <c r="I324" s="143">
        <f t="shared" si="5"/>
        <v>-30</v>
      </c>
      <c r="J324" s="144">
        <v>45923.0</v>
      </c>
      <c r="K324" s="173" t="s">
        <v>61</v>
      </c>
      <c r="L324" s="144">
        <v>46007.0</v>
      </c>
      <c r="M324" s="474" t="s">
        <v>107</v>
      </c>
      <c r="N324" s="475">
        <v>246.0</v>
      </c>
      <c r="O324" s="475">
        <v>45.0</v>
      </c>
      <c r="P324" s="476"/>
      <c r="Q324" s="476"/>
      <c r="R324" s="476"/>
      <c r="S324" s="476"/>
      <c r="T324" s="476"/>
      <c r="U324" s="474" t="s">
        <v>1391</v>
      </c>
      <c r="V324" s="477" t="s">
        <v>2920</v>
      </c>
      <c r="W324" s="478" t="s">
        <v>3008</v>
      </c>
      <c r="X324" s="181">
        <v>30.0</v>
      </c>
      <c r="Y324" s="166">
        <f t="shared" si="6"/>
        <v>30</v>
      </c>
      <c r="Z324" s="26">
        <f t="shared" si="7"/>
        <v>0</v>
      </c>
      <c r="AA324" s="26">
        <f t="shared" si="8"/>
        <v>0</v>
      </c>
      <c r="AB324" s="26">
        <f t="shared" si="9"/>
        <v>0</v>
      </c>
      <c r="AC324" s="155">
        <v>0.0</v>
      </c>
      <c r="AD324" s="155">
        <v>0.0</v>
      </c>
      <c r="AE324" s="155">
        <v>0.0</v>
      </c>
      <c r="AF324" s="155">
        <v>0.0</v>
      </c>
      <c r="AG324" s="155">
        <v>0.0</v>
      </c>
      <c r="AH324" s="155">
        <v>0.0</v>
      </c>
      <c r="BN324" s="155">
        <v>0.0</v>
      </c>
      <c r="BO324" s="155">
        <v>0.0</v>
      </c>
      <c r="BP324" s="155">
        <v>0.0</v>
      </c>
      <c r="BQ324" s="155">
        <v>0.0</v>
      </c>
      <c r="BR324" s="155">
        <v>0.0</v>
      </c>
      <c r="BS324" s="155">
        <v>0.0</v>
      </c>
      <c r="CV324" s="156">
        <v>0.0</v>
      </c>
      <c r="CW324" s="156">
        <v>0.0</v>
      </c>
      <c r="CX324" s="156">
        <v>0.0</v>
      </c>
      <c r="CY324" s="156">
        <v>0.0</v>
      </c>
      <c r="CZ324" s="156">
        <v>0.0</v>
      </c>
      <c r="DA324" s="156">
        <v>0.0</v>
      </c>
      <c r="EG324" s="156">
        <v>0.0</v>
      </c>
      <c r="EH324" s="156">
        <v>0.0</v>
      </c>
      <c r="EI324" s="156">
        <v>0.0</v>
      </c>
      <c r="EJ324" s="156">
        <v>0.0</v>
      </c>
      <c r="EK324" s="156">
        <v>0.0</v>
      </c>
      <c r="EL324" s="156">
        <v>0.0</v>
      </c>
      <c r="FQ324" s="156">
        <v>0.0</v>
      </c>
      <c r="FR324" s="156">
        <v>0.0</v>
      </c>
      <c r="FS324" s="156">
        <v>0.0</v>
      </c>
      <c r="FT324" s="156">
        <v>0.0</v>
      </c>
      <c r="FU324" s="156">
        <v>0.0</v>
      </c>
      <c r="FV324" s="156">
        <v>0.0</v>
      </c>
      <c r="FW324" s="157"/>
      <c r="FX324" s="157"/>
      <c r="FY324" s="157"/>
      <c r="FZ324" s="157"/>
      <c r="GA324" s="157"/>
      <c r="GB324" s="157"/>
      <c r="GC324" s="157"/>
      <c r="GD324" s="157"/>
      <c r="GE324" s="157"/>
      <c r="GF324" s="157"/>
      <c r="GG324" s="157"/>
      <c r="GH324" s="157"/>
      <c r="GI324" s="157"/>
      <c r="GJ324" s="157"/>
      <c r="GK324" s="157"/>
      <c r="GL324" s="157"/>
      <c r="GM324" s="157"/>
      <c r="GN324" s="157"/>
      <c r="GO324" s="157"/>
      <c r="GP324" s="158"/>
      <c r="GQ324" s="157"/>
      <c r="GR324" s="157"/>
      <c r="GS324" s="157"/>
      <c r="GT324" s="157"/>
      <c r="GU324" s="157"/>
      <c r="GV324" s="157"/>
      <c r="GW324" s="157"/>
      <c r="GX324" s="157"/>
      <c r="GY324" s="157"/>
      <c r="GZ324" s="157"/>
      <c r="HA324" s="157"/>
      <c r="HB324" s="155">
        <v>0.0</v>
      </c>
      <c r="HC324" s="155">
        <v>0.0</v>
      </c>
      <c r="HD324" s="155">
        <v>0.0</v>
      </c>
      <c r="HE324" s="155">
        <v>0.0</v>
      </c>
      <c r="HF324" s="155">
        <v>0.0</v>
      </c>
      <c r="HG324" s="155">
        <v>0.0</v>
      </c>
      <c r="IL324" s="159">
        <v>0.0</v>
      </c>
      <c r="IM324" s="156">
        <v>0.0</v>
      </c>
      <c r="IN324" s="156">
        <v>0.0</v>
      </c>
      <c r="IO324" s="156">
        <v>0.0</v>
      </c>
      <c r="IP324" s="156">
        <v>0.0</v>
      </c>
      <c r="IQ324" s="160">
        <v>0.0</v>
      </c>
      <c r="JH324" s="25"/>
      <c r="JW324" s="159">
        <v>0.0</v>
      </c>
      <c r="JX324" s="156">
        <v>0.0</v>
      </c>
      <c r="JY324" s="156">
        <v>0.0</v>
      </c>
      <c r="JZ324" s="156">
        <v>0.0</v>
      </c>
      <c r="KA324" s="156">
        <v>0.0</v>
      </c>
      <c r="KB324" s="160">
        <v>0.0</v>
      </c>
      <c r="LH324" s="159">
        <f t="shared" si="10"/>
        <v>0</v>
      </c>
      <c r="LI324" s="156">
        <f t="shared" si="11"/>
        <v>0</v>
      </c>
      <c r="LJ324" s="156">
        <f t="shared" si="12"/>
        <v>0</v>
      </c>
      <c r="LK324" s="156">
        <f t="shared" si="13"/>
        <v>0</v>
      </c>
      <c r="LL324" s="156">
        <f t="shared" si="14"/>
        <v>0</v>
      </c>
      <c r="LM324" s="160">
        <f t="shared" si="15"/>
        <v>0</v>
      </c>
      <c r="QX324" s="107">
        <v>45917.0</v>
      </c>
    </row>
    <row r="325">
      <c r="A325" s="12"/>
      <c r="B325" s="12"/>
      <c r="C325" s="12"/>
      <c r="D325" s="12"/>
      <c r="E325" s="12"/>
      <c r="F325" s="12"/>
      <c r="G325" s="12"/>
      <c r="H325" s="12"/>
      <c r="I325" s="143">
        <f t="shared" si="5"/>
        <v>-30</v>
      </c>
      <c r="J325" s="144">
        <v>45924.0</v>
      </c>
      <c r="K325" s="173" t="s">
        <v>61</v>
      </c>
      <c r="L325" s="144">
        <v>45992.0</v>
      </c>
      <c r="M325" s="479" t="s">
        <v>107</v>
      </c>
      <c r="N325" s="480">
        <v>246.0</v>
      </c>
      <c r="O325" s="480">
        <v>45.0</v>
      </c>
      <c r="P325" s="481"/>
      <c r="Q325" s="481"/>
      <c r="R325" s="481"/>
      <c r="S325" s="481"/>
      <c r="T325" s="481"/>
      <c r="U325" s="479" t="s">
        <v>2818</v>
      </c>
      <c r="V325" s="482" t="s">
        <v>2819</v>
      </c>
      <c r="W325" s="483" t="s">
        <v>3009</v>
      </c>
      <c r="X325" s="181">
        <v>30.0</v>
      </c>
      <c r="Y325" s="166">
        <f t="shared" si="6"/>
        <v>30</v>
      </c>
      <c r="Z325" s="26">
        <f t="shared" si="7"/>
        <v>0</v>
      </c>
      <c r="AA325" s="26">
        <f t="shared" si="8"/>
        <v>0</v>
      </c>
      <c r="AB325" s="26">
        <f t="shared" si="9"/>
        <v>0</v>
      </c>
      <c r="AC325" s="155">
        <v>0.0</v>
      </c>
      <c r="AD325" s="155">
        <v>0.0</v>
      </c>
      <c r="AE325" s="155">
        <v>0.0</v>
      </c>
      <c r="AF325" s="155">
        <v>0.0</v>
      </c>
      <c r="AG325" s="155">
        <v>0.0</v>
      </c>
      <c r="AH325" s="155">
        <v>0.0</v>
      </c>
      <c r="BN325" s="155">
        <v>0.0</v>
      </c>
      <c r="BO325" s="155">
        <v>0.0</v>
      </c>
      <c r="BP325" s="155">
        <v>0.0</v>
      </c>
      <c r="BQ325" s="155">
        <v>0.0</v>
      </c>
      <c r="BR325" s="155">
        <v>0.0</v>
      </c>
      <c r="BS325" s="155">
        <v>0.0</v>
      </c>
      <c r="CV325" s="156">
        <v>0.0</v>
      </c>
      <c r="CW325" s="156">
        <v>0.0</v>
      </c>
      <c r="CX325" s="156">
        <v>0.0</v>
      </c>
      <c r="CY325" s="156">
        <v>0.0</v>
      </c>
      <c r="CZ325" s="156">
        <v>0.0</v>
      </c>
      <c r="DA325" s="156">
        <v>0.0</v>
      </c>
      <c r="EG325" s="156">
        <v>0.0</v>
      </c>
      <c r="EH325" s="156">
        <v>0.0</v>
      </c>
      <c r="EI325" s="156">
        <v>0.0</v>
      </c>
      <c r="EJ325" s="156">
        <v>0.0</v>
      </c>
      <c r="EK325" s="156">
        <v>0.0</v>
      </c>
      <c r="EL325" s="156">
        <v>0.0</v>
      </c>
      <c r="FQ325" s="156">
        <v>0.0</v>
      </c>
      <c r="FR325" s="156">
        <v>0.0</v>
      </c>
      <c r="FS325" s="156">
        <v>0.0</v>
      </c>
      <c r="FT325" s="156">
        <v>0.0</v>
      </c>
      <c r="FU325" s="156">
        <v>0.0</v>
      </c>
      <c r="FV325" s="156">
        <v>0.0</v>
      </c>
      <c r="FW325" s="157"/>
      <c r="FX325" s="157"/>
      <c r="FY325" s="157"/>
      <c r="FZ325" s="157"/>
      <c r="GA325" s="157"/>
      <c r="GB325" s="157"/>
      <c r="GC325" s="157"/>
      <c r="GD325" s="157"/>
      <c r="GE325" s="157"/>
      <c r="GF325" s="157"/>
      <c r="GG325" s="157"/>
      <c r="GH325" s="157"/>
      <c r="GI325" s="157"/>
      <c r="GJ325" s="157"/>
      <c r="GK325" s="157"/>
      <c r="GL325" s="157"/>
      <c r="GM325" s="157"/>
      <c r="GN325" s="157"/>
      <c r="GO325" s="157"/>
      <c r="GP325" s="158"/>
      <c r="GQ325" s="157"/>
      <c r="GR325" s="157"/>
      <c r="GS325" s="157"/>
      <c r="GT325" s="157"/>
      <c r="GU325" s="157"/>
      <c r="GV325" s="157"/>
      <c r="GW325" s="157"/>
      <c r="GX325" s="157"/>
      <c r="GY325" s="157"/>
      <c r="GZ325" s="157"/>
      <c r="HA325" s="157"/>
      <c r="HB325" s="155">
        <v>0.0</v>
      </c>
      <c r="HC325" s="155">
        <v>0.0</v>
      </c>
      <c r="HD325" s="155">
        <v>0.0</v>
      </c>
      <c r="HE325" s="155">
        <v>0.0</v>
      </c>
      <c r="HF325" s="155">
        <v>0.0</v>
      </c>
      <c r="HG325" s="155">
        <v>0.0</v>
      </c>
      <c r="IL325" s="159">
        <v>0.0</v>
      </c>
      <c r="IM325" s="156">
        <v>0.0</v>
      </c>
      <c r="IN325" s="156">
        <v>0.0</v>
      </c>
      <c r="IO325" s="156">
        <v>0.0</v>
      </c>
      <c r="IP325" s="156">
        <v>0.0</v>
      </c>
      <c r="IQ325" s="160">
        <v>0.0</v>
      </c>
      <c r="JH325" s="25"/>
      <c r="JW325" s="159">
        <v>0.0</v>
      </c>
      <c r="JX325" s="156">
        <v>0.0</v>
      </c>
      <c r="JY325" s="156">
        <v>0.0</v>
      </c>
      <c r="JZ325" s="156">
        <v>0.0</v>
      </c>
      <c r="KA325" s="156">
        <v>0.0</v>
      </c>
      <c r="KB325" s="160">
        <v>0.0</v>
      </c>
      <c r="LH325" s="159">
        <f t="shared" si="10"/>
        <v>0</v>
      </c>
      <c r="LI325" s="156">
        <f t="shared" si="11"/>
        <v>0</v>
      </c>
      <c r="LJ325" s="156">
        <f t="shared" si="12"/>
        <v>0</v>
      </c>
      <c r="LK325" s="156">
        <f t="shared" si="13"/>
        <v>0</v>
      </c>
      <c r="LL325" s="156">
        <f t="shared" si="14"/>
        <v>0</v>
      </c>
      <c r="LM325" s="160">
        <f t="shared" si="15"/>
        <v>0</v>
      </c>
      <c r="QX325" s="107">
        <v>45917.0</v>
      </c>
    </row>
    <row r="326">
      <c r="A326" s="12"/>
      <c r="B326" s="12"/>
      <c r="C326" s="12"/>
      <c r="D326" s="12"/>
      <c r="E326" s="12"/>
      <c r="F326" s="12"/>
      <c r="G326" s="12"/>
      <c r="H326" s="12"/>
      <c r="I326" s="143">
        <f t="shared" si="5"/>
        <v>-30</v>
      </c>
      <c r="J326" s="144">
        <v>45924.0</v>
      </c>
      <c r="K326" s="173" t="s">
        <v>61</v>
      </c>
      <c r="L326" s="144">
        <v>45992.0</v>
      </c>
      <c r="M326" s="479" t="s">
        <v>107</v>
      </c>
      <c r="N326" s="480">
        <v>246.0</v>
      </c>
      <c r="O326" s="480">
        <v>45.0</v>
      </c>
      <c r="P326" s="481"/>
      <c r="Q326" s="481"/>
      <c r="R326" s="481"/>
      <c r="S326" s="481"/>
      <c r="T326" s="481"/>
      <c r="U326" s="479" t="s">
        <v>2818</v>
      </c>
      <c r="V326" s="482" t="s">
        <v>2819</v>
      </c>
      <c r="W326" s="483" t="s">
        <v>3009</v>
      </c>
      <c r="X326" s="181">
        <v>30.0</v>
      </c>
      <c r="Y326" s="166">
        <f t="shared" si="6"/>
        <v>30</v>
      </c>
      <c r="Z326" s="26">
        <f t="shared" si="7"/>
        <v>0</v>
      </c>
      <c r="AA326" s="26">
        <f t="shared" si="8"/>
        <v>0</v>
      </c>
      <c r="AB326" s="26">
        <f t="shared" si="9"/>
        <v>0</v>
      </c>
      <c r="AC326" s="155">
        <v>0.0</v>
      </c>
      <c r="AD326" s="155">
        <v>0.0</v>
      </c>
      <c r="AE326" s="155">
        <v>0.0</v>
      </c>
      <c r="AF326" s="155">
        <v>0.0</v>
      </c>
      <c r="AG326" s="155">
        <v>0.0</v>
      </c>
      <c r="AH326" s="155">
        <v>0.0</v>
      </c>
      <c r="BN326" s="155">
        <v>0.0</v>
      </c>
      <c r="BO326" s="155">
        <v>0.0</v>
      </c>
      <c r="BP326" s="155">
        <v>0.0</v>
      </c>
      <c r="BQ326" s="155">
        <v>0.0</v>
      </c>
      <c r="BR326" s="155">
        <v>0.0</v>
      </c>
      <c r="BS326" s="155">
        <v>0.0</v>
      </c>
      <c r="CV326" s="156">
        <v>0.0</v>
      </c>
      <c r="CW326" s="156">
        <v>0.0</v>
      </c>
      <c r="CX326" s="156">
        <v>0.0</v>
      </c>
      <c r="CY326" s="156">
        <v>0.0</v>
      </c>
      <c r="CZ326" s="156">
        <v>0.0</v>
      </c>
      <c r="DA326" s="156">
        <v>0.0</v>
      </c>
      <c r="EG326" s="156">
        <v>0.0</v>
      </c>
      <c r="EH326" s="156">
        <v>0.0</v>
      </c>
      <c r="EI326" s="156">
        <v>0.0</v>
      </c>
      <c r="EJ326" s="156">
        <v>0.0</v>
      </c>
      <c r="EK326" s="156">
        <v>0.0</v>
      </c>
      <c r="EL326" s="156">
        <v>0.0</v>
      </c>
      <c r="FQ326" s="156">
        <v>0.0</v>
      </c>
      <c r="FR326" s="156">
        <v>0.0</v>
      </c>
      <c r="FS326" s="156">
        <v>0.0</v>
      </c>
      <c r="FT326" s="156">
        <v>0.0</v>
      </c>
      <c r="FU326" s="156">
        <v>0.0</v>
      </c>
      <c r="FV326" s="156">
        <v>0.0</v>
      </c>
      <c r="FW326" s="157"/>
      <c r="FX326" s="157"/>
      <c r="FY326" s="157"/>
      <c r="FZ326" s="157"/>
      <c r="GA326" s="157"/>
      <c r="GB326" s="157"/>
      <c r="GC326" s="157"/>
      <c r="GD326" s="157"/>
      <c r="GE326" s="157"/>
      <c r="GF326" s="157"/>
      <c r="GG326" s="157"/>
      <c r="GH326" s="157"/>
      <c r="GI326" s="157"/>
      <c r="GJ326" s="157"/>
      <c r="GK326" s="157"/>
      <c r="GL326" s="157"/>
      <c r="GM326" s="157"/>
      <c r="GN326" s="157"/>
      <c r="GO326" s="157"/>
      <c r="GP326" s="158"/>
      <c r="GQ326" s="157"/>
      <c r="GR326" s="157"/>
      <c r="GS326" s="157"/>
      <c r="GT326" s="157"/>
      <c r="GU326" s="157"/>
      <c r="GV326" s="157"/>
      <c r="GW326" s="157"/>
      <c r="GX326" s="157"/>
      <c r="GY326" s="157"/>
      <c r="GZ326" s="157"/>
      <c r="HA326" s="157"/>
      <c r="HB326" s="155">
        <v>0.0</v>
      </c>
      <c r="HC326" s="155">
        <v>0.0</v>
      </c>
      <c r="HD326" s="155">
        <v>0.0</v>
      </c>
      <c r="HE326" s="155">
        <v>0.0</v>
      </c>
      <c r="HF326" s="155">
        <v>0.0</v>
      </c>
      <c r="HG326" s="155">
        <v>0.0</v>
      </c>
      <c r="IL326" s="159">
        <v>0.0</v>
      </c>
      <c r="IM326" s="156">
        <v>0.0</v>
      </c>
      <c r="IN326" s="156">
        <v>0.0</v>
      </c>
      <c r="IO326" s="156">
        <v>0.0</v>
      </c>
      <c r="IP326" s="156">
        <v>0.0</v>
      </c>
      <c r="IQ326" s="160">
        <v>0.0</v>
      </c>
      <c r="JH326" s="25"/>
      <c r="JW326" s="159">
        <v>0.0</v>
      </c>
      <c r="JX326" s="156">
        <v>0.0</v>
      </c>
      <c r="JY326" s="156">
        <v>0.0</v>
      </c>
      <c r="JZ326" s="156">
        <v>0.0</v>
      </c>
      <c r="KA326" s="156">
        <v>0.0</v>
      </c>
      <c r="KB326" s="160">
        <v>0.0</v>
      </c>
      <c r="LH326" s="159">
        <f t="shared" si="10"/>
        <v>0</v>
      </c>
      <c r="LI326" s="156">
        <f t="shared" si="11"/>
        <v>0</v>
      </c>
      <c r="LJ326" s="156">
        <f t="shared" si="12"/>
        <v>0</v>
      </c>
      <c r="LK326" s="156">
        <f t="shared" si="13"/>
        <v>0</v>
      </c>
      <c r="LL326" s="156">
        <f t="shared" si="14"/>
        <v>0</v>
      </c>
      <c r="LM326" s="160">
        <f t="shared" si="15"/>
        <v>0</v>
      </c>
      <c r="QX326" s="107">
        <v>45918.0</v>
      </c>
    </row>
    <row r="327">
      <c r="A327" s="12"/>
      <c r="B327" s="12"/>
      <c r="C327" s="12"/>
      <c r="D327" s="12"/>
      <c r="E327" s="12"/>
      <c r="F327" s="12"/>
      <c r="G327" s="12"/>
      <c r="H327" s="12"/>
      <c r="I327" s="143">
        <f t="shared" si="5"/>
        <v>-30</v>
      </c>
      <c r="J327" s="144">
        <v>45922.0</v>
      </c>
      <c r="K327" s="173" t="s">
        <v>61</v>
      </c>
      <c r="L327" s="144">
        <v>45992.0</v>
      </c>
      <c r="M327" s="327" t="s">
        <v>107</v>
      </c>
      <c r="N327" s="328">
        <v>246.0</v>
      </c>
      <c r="O327" s="328">
        <v>45.0</v>
      </c>
      <c r="P327" s="329"/>
      <c r="Q327" s="329"/>
      <c r="R327" s="329"/>
      <c r="S327" s="329"/>
      <c r="T327" s="329"/>
      <c r="U327" s="327" t="s">
        <v>3004</v>
      </c>
      <c r="V327" s="376" t="s">
        <v>3005</v>
      </c>
      <c r="W327" s="331" t="s">
        <v>3006</v>
      </c>
      <c r="X327" s="181">
        <v>30.0</v>
      </c>
      <c r="Y327" s="166">
        <f t="shared" si="6"/>
        <v>30</v>
      </c>
      <c r="Z327" s="26">
        <f t="shared" si="7"/>
        <v>0</v>
      </c>
      <c r="AA327" s="26">
        <f t="shared" si="8"/>
        <v>0</v>
      </c>
      <c r="AB327" s="26">
        <f t="shared" si="9"/>
        <v>0</v>
      </c>
      <c r="AC327" s="155">
        <v>0.0</v>
      </c>
      <c r="AD327" s="155">
        <v>0.0</v>
      </c>
      <c r="AE327" s="155">
        <v>0.0</v>
      </c>
      <c r="AF327" s="155">
        <v>0.0</v>
      </c>
      <c r="AG327" s="155">
        <v>0.0</v>
      </c>
      <c r="AH327" s="155">
        <v>0.0</v>
      </c>
      <c r="BN327" s="155">
        <v>0.0</v>
      </c>
      <c r="BO327" s="155">
        <v>0.0</v>
      </c>
      <c r="BP327" s="155">
        <v>0.0</v>
      </c>
      <c r="BQ327" s="155">
        <v>0.0</v>
      </c>
      <c r="BR327" s="155">
        <v>0.0</v>
      </c>
      <c r="BS327" s="155">
        <v>0.0</v>
      </c>
      <c r="CV327" s="156">
        <v>0.0</v>
      </c>
      <c r="CW327" s="156">
        <v>0.0</v>
      </c>
      <c r="CX327" s="156">
        <v>0.0</v>
      </c>
      <c r="CY327" s="156">
        <v>0.0</v>
      </c>
      <c r="CZ327" s="156">
        <v>0.0</v>
      </c>
      <c r="DA327" s="156">
        <v>0.0</v>
      </c>
      <c r="EG327" s="156">
        <v>0.0</v>
      </c>
      <c r="EH327" s="156">
        <v>0.0</v>
      </c>
      <c r="EI327" s="156">
        <v>0.0</v>
      </c>
      <c r="EJ327" s="156">
        <v>0.0</v>
      </c>
      <c r="EK327" s="156">
        <v>0.0</v>
      </c>
      <c r="EL327" s="156">
        <v>0.0</v>
      </c>
      <c r="FQ327" s="156">
        <v>0.0</v>
      </c>
      <c r="FR327" s="156">
        <v>0.0</v>
      </c>
      <c r="FS327" s="156">
        <v>0.0</v>
      </c>
      <c r="FT327" s="156">
        <v>0.0</v>
      </c>
      <c r="FU327" s="156">
        <v>0.0</v>
      </c>
      <c r="FV327" s="156">
        <v>0.0</v>
      </c>
      <c r="FW327" s="157"/>
      <c r="FX327" s="157"/>
      <c r="FY327" s="157"/>
      <c r="FZ327" s="157"/>
      <c r="GA327" s="157"/>
      <c r="GB327" s="157"/>
      <c r="GC327" s="157"/>
      <c r="GD327" s="157"/>
      <c r="GE327" s="157"/>
      <c r="GF327" s="157"/>
      <c r="GG327" s="157"/>
      <c r="GH327" s="157"/>
      <c r="GI327" s="157"/>
      <c r="GJ327" s="157"/>
      <c r="GK327" s="157"/>
      <c r="GL327" s="157"/>
      <c r="GM327" s="157"/>
      <c r="GN327" s="157"/>
      <c r="GO327" s="157"/>
      <c r="GP327" s="158"/>
      <c r="GQ327" s="157"/>
      <c r="GR327" s="157"/>
      <c r="GS327" s="157"/>
      <c r="GT327" s="157"/>
      <c r="GU327" s="157"/>
      <c r="GV327" s="157"/>
      <c r="GW327" s="157"/>
      <c r="GX327" s="157"/>
      <c r="GY327" s="157"/>
      <c r="GZ327" s="157"/>
      <c r="HA327" s="157"/>
      <c r="HB327" s="155">
        <v>0.0</v>
      </c>
      <c r="HC327" s="155">
        <v>0.0</v>
      </c>
      <c r="HD327" s="155">
        <v>0.0</v>
      </c>
      <c r="HE327" s="155">
        <v>0.0</v>
      </c>
      <c r="HF327" s="155">
        <v>0.0</v>
      </c>
      <c r="HG327" s="155">
        <v>0.0</v>
      </c>
      <c r="IL327" s="159">
        <v>0.0</v>
      </c>
      <c r="IM327" s="156">
        <v>0.0</v>
      </c>
      <c r="IN327" s="156">
        <v>0.0</v>
      </c>
      <c r="IO327" s="156">
        <v>0.0</v>
      </c>
      <c r="IP327" s="156">
        <v>0.0</v>
      </c>
      <c r="IQ327" s="160">
        <v>0.0</v>
      </c>
      <c r="JH327" s="25"/>
      <c r="JW327" s="159">
        <v>0.0</v>
      </c>
      <c r="JX327" s="156">
        <v>0.0</v>
      </c>
      <c r="JY327" s="156">
        <v>0.0</v>
      </c>
      <c r="JZ327" s="156">
        <v>0.0</v>
      </c>
      <c r="KA327" s="156">
        <v>0.0</v>
      </c>
      <c r="KB327" s="160">
        <v>0.0</v>
      </c>
      <c r="LH327" s="159">
        <f t="shared" si="10"/>
        <v>0</v>
      </c>
      <c r="LI327" s="156">
        <f t="shared" si="11"/>
        <v>0</v>
      </c>
      <c r="LJ327" s="156">
        <f t="shared" si="12"/>
        <v>0</v>
      </c>
      <c r="LK327" s="156">
        <f t="shared" si="13"/>
        <v>0</v>
      </c>
      <c r="LL327" s="156">
        <f t="shared" si="14"/>
        <v>0</v>
      </c>
      <c r="LM327" s="160">
        <f t="shared" si="15"/>
        <v>0</v>
      </c>
      <c r="QX327" s="107">
        <v>45918.0</v>
      </c>
    </row>
    <row r="328">
      <c r="A328" s="12"/>
      <c r="B328" s="12"/>
      <c r="C328" s="12"/>
      <c r="D328" s="12"/>
      <c r="E328" s="12"/>
      <c r="F328" s="12"/>
      <c r="G328" s="12"/>
      <c r="H328" s="12"/>
      <c r="I328" s="143">
        <f t="shared" si="5"/>
        <v>-30</v>
      </c>
      <c r="J328" s="144">
        <v>45923.0</v>
      </c>
      <c r="K328" s="173" t="s">
        <v>61</v>
      </c>
      <c r="L328" s="144">
        <v>46007.0</v>
      </c>
      <c r="M328" s="484" t="s">
        <v>107</v>
      </c>
      <c r="N328" s="485">
        <v>246.0</v>
      </c>
      <c r="O328" s="485">
        <v>45.0</v>
      </c>
      <c r="P328" s="486"/>
      <c r="Q328" s="486"/>
      <c r="R328" s="486"/>
      <c r="S328" s="486"/>
      <c r="T328" s="486"/>
      <c r="U328" s="474" t="s">
        <v>1391</v>
      </c>
      <c r="V328" s="487" t="s">
        <v>2920</v>
      </c>
      <c r="W328" s="478" t="s">
        <v>3008</v>
      </c>
      <c r="X328" s="181">
        <v>30.0</v>
      </c>
      <c r="Y328" s="166">
        <f t="shared" si="6"/>
        <v>30</v>
      </c>
      <c r="Z328" s="26">
        <f t="shared" si="7"/>
        <v>0</v>
      </c>
      <c r="AA328" s="26">
        <f t="shared" si="8"/>
        <v>0</v>
      </c>
      <c r="AB328" s="26">
        <f t="shared" si="9"/>
        <v>0</v>
      </c>
      <c r="AC328" s="155">
        <v>0.0</v>
      </c>
      <c r="AD328" s="155">
        <v>0.0</v>
      </c>
      <c r="AE328" s="155">
        <v>0.0</v>
      </c>
      <c r="AF328" s="155">
        <v>0.0</v>
      </c>
      <c r="AG328" s="155">
        <v>0.0</v>
      </c>
      <c r="AH328" s="155">
        <v>0.0</v>
      </c>
      <c r="BN328" s="155">
        <v>0.0</v>
      </c>
      <c r="BO328" s="155">
        <v>0.0</v>
      </c>
      <c r="BP328" s="155">
        <v>0.0</v>
      </c>
      <c r="BQ328" s="155">
        <v>0.0</v>
      </c>
      <c r="BR328" s="155">
        <v>0.0</v>
      </c>
      <c r="BS328" s="155">
        <v>0.0</v>
      </c>
      <c r="CV328" s="156">
        <v>0.0</v>
      </c>
      <c r="CW328" s="156">
        <v>0.0</v>
      </c>
      <c r="CX328" s="156">
        <v>0.0</v>
      </c>
      <c r="CY328" s="156">
        <v>0.0</v>
      </c>
      <c r="CZ328" s="156">
        <v>0.0</v>
      </c>
      <c r="DA328" s="156">
        <v>0.0</v>
      </c>
      <c r="EG328" s="156">
        <v>0.0</v>
      </c>
      <c r="EH328" s="156">
        <v>0.0</v>
      </c>
      <c r="EI328" s="156">
        <v>0.0</v>
      </c>
      <c r="EJ328" s="156">
        <v>0.0</v>
      </c>
      <c r="EK328" s="156">
        <v>0.0</v>
      </c>
      <c r="EL328" s="156">
        <v>0.0</v>
      </c>
      <c r="FQ328" s="156">
        <v>0.0</v>
      </c>
      <c r="FR328" s="156">
        <v>0.0</v>
      </c>
      <c r="FS328" s="156">
        <v>0.0</v>
      </c>
      <c r="FT328" s="156">
        <v>0.0</v>
      </c>
      <c r="FU328" s="156">
        <v>0.0</v>
      </c>
      <c r="FV328" s="156">
        <v>0.0</v>
      </c>
      <c r="FW328" s="157"/>
      <c r="FX328" s="157"/>
      <c r="FY328" s="157"/>
      <c r="FZ328" s="157"/>
      <c r="GA328" s="157"/>
      <c r="GB328" s="157"/>
      <c r="GC328" s="157"/>
      <c r="GD328" s="157"/>
      <c r="GE328" s="157"/>
      <c r="GF328" s="157"/>
      <c r="GG328" s="157"/>
      <c r="GH328" s="157"/>
      <c r="GI328" s="157"/>
      <c r="GJ328" s="157"/>
      <c r="GK328" s="157"/>
      <c r="GL328" s="157"/>
      <c r="GM328" s="157"/>
      <c r="GN328" s="157"/>
      <c r="GO328" s="157"/>
      <c r="GP328" s="158"/>
      <c r="GQ328" s="157"/>
      <c r="GR328" s="157"/>
      <c r="GS328" s="157"/>
      <c r="GT328" s="157"/>
      <c r="GU328" s="157"/>
      <c r="GV328" s="157"/>
      <c r="GW328" s="157"/>
      <c r="GX328" s="157"/>
      <c r="GY328" s="157"/>
      <c r="GZ328" s="157"/>
      <c r="HA328" s="157"/>
      <c r="HB328" s="155">
        <v>0.0</v>
      </c>
      <c r="HC328" s="155">
        <v>0.0</v>
      </c>
      <c r="HD328" s="155">
        <v>0.0</v>
      </c>
      <c r="HE328" s="155">
        <v>0.0</v>
      </c>
      <c r="HF328" s="155">
        <v>0.0</v>
      </c>
      <c r="HG328" s="155">
        <v>0.0</v>
      </c>
      <c r="IL328" s="159">
        <v>0.0</v>
      </c>
      <c r="IM328" s="156">
        <v>0.0</v>
      </c>
      <c r="IN328" s="156">
        <v>0.0</v>
      </c>
      <c r="IO328" s="156">
        <v>0.0</v>
      </c>
      <c r="IP328" s="156">
        <v>0.0</v>
      </c>
      <c r="IQ328" s="160">
        <v>0.0</v>
      </c>
      <c r="JH328" s="25"/>
      <c r="JW328" s="159">
        <v>0.0</v>
      </c>
      <c r="JX328" s="156">
        <v>0.0</v>
      </c>
      <c r="JY328" s="156">
        <v>0.0</v>
      </c>
      <c r="JZ328" s="156">
        <v>0.0</v>
      </c>
      <c r="KA328" s="156">
        <v>0.0</v>
      </c>
      <c r="KB328" s="160">
        <v>0.0</v>
      </c>
      <c r="LH328" s="159">
        <f t="shared" si="10"/>
        <v>0</v>
      </c>
      <c r="LI328" s="156">
        <f t="shared" si="11"/>
        <v>0</v>
      </c>
      <c r="LJ328" s="156">
        <f t="shared" si="12"/>
        <v>0</v>
      </c>
      <c r="LK328" s="156">
        <f t="shared" si="13"/>
        <v>0</v>
      </c>
      <c r="LL328" s="156">
        <f t="shared" si="14"/>
        <v>0</v>
      </c>
      <c r="LM328" s="160">
        <f t="shared" si="15"/>
        <v>0</v>
      </c>
      <c r="QX328" s="107">
        <v>45918.0</v>
      </c>
    </row>
    <row r="329">
      <c r="A329" s="12"/>
      <c r="B329" s="12"/>
      <c r="C329" s="12"/>
      <c r="D329" s="12"/>
      <c r="E329" s="12"/>
      <c r="F329" s="12"/>
      <c r="G329" s="12"/>
      <c r="H329" s="12"/>
      <c r="I329" s="143">
        <f t="shared" si="5"/>
        <v>-30</v>
      </c>
      <c r="J329" s="144">
        <v>45923.0</v>
      </c>
      <c r="K329" s="173" t="s">
        <v>61</v>
      </c>
      <c r="L329" s="144">
        <v>46013.0</v>
      </c>
      <c r="M329" s="147" t="s">
        <v>1985</v>
      </c>
      <c r="N329" s="148">
        <v>246.0</v>
      </c>
      <c r="O329" s="148">
        <v>30.0</v>
      </c>
      <c r="P329" s="26"/>
      <c r="Q329" s="26"/>
      <c r="R329" s="26"/>
      <c r="S329" s="26"/>
      <c r="T329" s="26"/>
      <c r="U329" s="147" t="s">
        <v>3013</v>
      </c>
      <c r="V329" s="149" t="s">
        <v>563</v>
      </c>
      <c r="W329" s="150" t="s">
        <v>3014</v>
      </c>
      <c r="X329" s="181">
        <v>30.0</v>
      </c>
      <c r="Y329" s="166">
        <f t="shared" si="6"/>
        <v>30</v>
      </c>
      <c r="Z329" s="26">
        <f t="shared" si="7"/>
        <v>0</v>
      </c>
      <c r="AA329" s="26">
        <f t="shared" si="8"/>
        <v>0</v>
      </c>
      <c r="AB329" s="26">
        <f t="shared" si="9"/>
        <v>0</v>
      </c>
      <c r="AC329" s="155">
        <v>0.0</v>
      </c>
      <c r="AD329" s="155">
        <v>0.0</v>
      </c>
      <c r="AE329" s="155">
        <v>0.0</v>
      </c>
      <c r="AF329" s="155">
        <v>0.0</v>
      </c>
      <c r="AG329" s="155">
        <v>0.0</v>
      </c>
      <c r="AH329" s="155">
        <v>0.0</v>
      </c>
      <c r="BN329" s="155">
        <v>0.0</v>
      </c>
      <c r="BO329" s="155">
        <v>0.0</v>
      </c>
      <c r="BP329" s="155">
        <v>0.0</v>
      </c>
      <c r="BQ329" s="155">
        <v>0.0</v>
      </c>
      <c r="BR329" s="155">
        <v>0.0</v>
      </c>
      <c r="BS329" s="155">
        <v>0.0</v>
      </c>
      <c r="CV329" s="156">
        <v>0.0</v>
      </c>
      <c r="CW329" s="156">
        <v>0.0</v>
      </c>
      <c r="CX329" s="156">
        <v>0.0</v>
      </c>
      <c r="CY329" s="156">
        <v>0.0</v>
      </c>
      <c r="CZ329" s="156">
        <v>0.0</v>
      </c>
      <c r="DA329" s="156">
        <v>0.0</v>
      </c>
      <c r="EG329" s="156">
        <v>0.0</v>
      </c>
      <c r="EH329" s="156">
        <v>0.0</v>
      </c>
      <c r="EI329" s="156">
        <v>0.0</v>
      </c>
      <c r="EJ329" s="156">
        <v>0.0</v>
      </c>
      <c r="EK329" s="156">
        <v>0.0</v>
      </c>
      <c r="EL329" s="156">
        <v>0.0</v>
      </c>
      <c r="FQ329" s="156">
        <v>0.0</v>
      </c>
      <c r="FR329" s="156">
        <v>0.0</v>
      </c>
      <c r="FS329" s="156">
        <v>0.0</v>
      </c>
      <c r="FT329" s="156">
        <v>0.0</v>
      </c>
      <c r="FU329" s="156">
        <v>0.0</v>
      </c>
      <c r="FV329" s="156">
        <v>0.0</v>
      </c>
      <c r="FW329" s="157"/>
      <c r="FX329" s="157"/>
      <c r="FY329" s="157"/>
      <c r="FZ329" s="157"/>
      <c r="GA329" s="157"/>
      <c r="GB329" s="157"/>
      <c r="GC329" s="157"/>
      <c r="GD329" s="157"/>
      <c r="GE329" s="157"/>
      <c r="GF329" s="157"/>
      <c r="GG329" s="157"/>
      <c r="GH329" s="157"/>
      <c r="GI329" s="157"/>
      <c r="GJ329" s="157"/>
      <c r="GK329" s="157"/>
      <c r="GL329" s="157"/>
      <c r="GM329" s="157"/>
      <c r="GN329" s="157"/>
      <c r="GO329" s="157"/>
      <c r="GP329" s="158"/>
      <c r="GQ329" s="157"/>
      <c r="GR329" s="157"/>
      <c r="GS329" s="157"/>
      <c r="GT329" s="157"/>
      <c r="GU329" s="157"/>
      <c r="GV329" s="157"/>
      <c r="GW329" s="157"/>
      <c r="GX329" s="157"/>
      <c r="GY329" s="157"/>
      <c r="GZ329" s="157"/>
      <c r="HA329" s="157"/>
      <c r="HB329" s="155">
        <v>0.0</v>
      </c>
      <c r="HC329" s="155">
        <v>0.0</v>
      </c>
      <c r="HD329" s="155">
        <v>0.0</v>
      </c>
      <c r="HE329" s="155">
        <v>0.0</v>
      </c>
      <c r="HF329" s="155">
        <v>0.0</v>
      </c>
      <c r="HG329" s="155">
        <v>0.0</v>
      </c>
      <c r="IL329" s="159">
        <v>0.0</v>
      </c>
      <c r="IM329" s="156">
        <v>0.0</v>
      </c>
      <c r="IN329" s="156">
        <v>0.0</v>
      </c>
      <c r="IO329" s="156">
        <v>0.0</v>
      </c>
      <c r="IP329" s="156">
        <v>0.0</v>
      </c>
      <c r="IQ329" s="160">
        <v>0.0</v>
      </c>
      <c r="JH329" s="25"/>
      <c r="JW329" s="159">
        <v>0.0</v>
      </c>
      <c r="JX329" s="156">
        <v>0.0</v>
      </c>
      <c r="JY329" s="156">
        <v>0.0</v>
      </c>
      <c r="JZ329" s="156">
        <v>0.0</v>
      </c>
      <c r="KA329" s="156">
        <v>0.0</v>
      </c>
      <c r="KB329" s="160">
        <v>0.0</v>
      </c>
      <c r="LH329" s="159">
        <f t="shared" si="10"/>
        <v>0</v>
      </c>
      <c r="LI329" s="156">
        <f t="shared" si="11"/>
        <v>0</v>
      </c>
      <c r="LJ329" s="156">
        <f t="shared" si="12"/>
        <v>0</v>
      </c>
      <c r="LK329" s="156">
        <f t="shared" si="13"/>
        <v>0</v>
      </c>
      <c r="LL329" s="156">
        <f t="shared" si="14"/>
        <v>0</v>
      </c>
      <c r="LM329" s="160">
        <f t="shared" si="15"/>
        <v>0</v>
      </c>
      <c r="QX329" s="107">
        <v>45918.0</v>
      </c>
    </row>
    <row r="330">
      <c r="A330" s="12"/>
      <c r="B330" s="12"/>
      <c r="C330" s="12"/>
      <c r="D330" s="12"/>
      <c r="E330" s="12"/>
      <c r="F330" s="12"/>
      <c r="G330" s="12"/>
      <c r="H330" s="12"/>
      <c r="I330" s="219">
        <f t="shared" si="5"/>
        <v>-30</v>
      </c>
      <c r="J330" s="144">
        <v>45924.0</v>
      </c>
      <c r="K330" s="145" t="s">
        <v>61</v>
      </c>
      <c r="L330" s="171">
        <v>46037.0</v>
      </c>
      <c r="M330" s="147" t="s">
        <v>1703</v>
      </c>
      <c r="N330" s="148">
        <v>246.0</v>
      </c>
      <c r="O330" s="148">
        <v>30.0</v>
      </c>
      <c r="P330" s="26"/>
      <c r="Q330" s="26"/>
      <c r="R330" s="26"/>
      <c r="S330" s="26"/>
      <c r="T330" s="26"/>
      <c r="U330" s="147" t="s">
        <v>3016</v>
      </c>
      <c r="V330" s="149" t="s">
        <v>1616</v>
      </c>
      <c r="W330" s="150" t="s">
        <v>3017</v>
      </c>
      <c r="X330" s="181">
        <v>27.0</v>
      </c>
      <c r="Y330" s="166">
        <f t="shared" si="6"/>
        <v>30</v>
      </c>
      <c r="Z330" s="26">
        <f t="shared" si="7"/>
        <v>0</v>
      </c>
      <c r="AA330" s="26">
        <f t="shared" si="8"/>
        <v>0</v>
      </c>
      <c r="AB330" s="26">
        <f t="shared" si="9"/>
        <v>0</v>
      </c>
      <c r="AC330" s="155">
        <v>3.0</v>
      </c>
      <c r="AD330" s="155">
        <v>0.0</v>
      </c>
      <c r="AE330" s="155">
        <v>0.0</v>
      </c>
      <c r="AF330" s="155">
        <v>0.0</v>
      </c>
      <c r="AG330" s="155">
        <v>0.0</v>
      </c>
      <c r="AH330" s="155">
        <v>0.0</v>
      </c>
      <c r="AI330" s="167"/>
      <c r="AJ330" s="167"/>
      <c r="AK330" s="167"/>
      <c r="AL330" s="167"/>
      <c r="AM330" s="167"/>
      <c r="AN330" s="167"/>
      <c r="AO330" s="167">
        <v>1.0</v>
      </c>
      <c r="AP330" s="167">
        <v>0.0</v>
      </c>
      <c r="AQ330" s="167">
        <v>1.0</v>
      </c>
      <c r="AR330" s="167">
        <v>0.0</v>
      </c>
      <c r="AS330" s="167">
        <v>0.0</v>
      </c>
      <c r="AT330" s="167"/>
      <c r="AU330" s="167">
        <v>0.0</v>
      </c>
      <c r="AV330" s="167">
        <v>1.0</v>
      </c>
      <c r="AW330" s="167"/>
      <c r="AX330" s="167"/>
      <c r="AY330" s="167"/>
      <c r="AZ330" s="167"/>
      <c r="BA330" s="167"/>
      <c r="BB330" s="167"/>
      <c r="BC330" s="167"/>
      <c r="BD330" s="167"/>
      <c r="BE330" s="167"/>
      <c r="BF330" s="167"/>
      <c r="BG330" s="167"/>
      <c r="BH330" s="167"/>
      <c r="BI330" s="167"/>
      <c r="BJ330" s="167"/>
      <c r="BK330" s="167"/>
      <c r="BL330" s="167"/>
      <c r="BM330" s="167"/>
      <c r="BN330" s="155">
        <v>0.0</v>
      </c>
      <c r="BO330" s="155">
        <v>0.0</v>
      </c>
      <c r="BP330" s="155">
        <v>0.0</v>
      </c>
      <c r="BQ330" s="155">
        <v>0.0</v>
      </c>
      <c r="BR330" s="155">
        <v>0.0</v>
      </c>
      <c r="BS330" s="155">
        <v>0.0</v>
      </c>
      <c r="CV330" s="156">
        <v>0.0</v>
      </c>
      <c r="CW330" s="156">
        <v>0.0</v>
      </c>
      <c r="CX330" s="156">
        <v>0.0</v>
      </c>
      <c r="CY330" s="156">
        <v>0.0</v>
      </c>
      <c r="CZ330" s="156">
        <v>0.0</v>
      </c>
      <c r="DA330" s="156">
        <v>0.0</v>
      </c>
      <c r="EG330" s="156">
        <v>0.0</v>
      </c>
      <c r="EH330" s="156">
        <v>0.0</v>
      </c>
      <c r="EI330" s="156">
        <v>0.0</v>
      </c>
      <c r="EJ330" s="156">
        <v>0.0</v>
      </c>
      <c r="EK330" s="156">
        <v>0.0</v>
      </c>
      <c r="EL330" s="156">
        <v>0.0</v>
      </c>
      <c r="FQ330" s="156">
        <v>0.0</v>
      </c>
      <c r="FR330" s="156">
        <v>0.0</v>
      </c>
      <c r="FS330" s="156">
        <v>0.0</v>
      </c>
      <c r="FT330" s="156">
        <v>0.0</v>
      </c>
      <c r="FU330" s="156">
        <v>0.0</v>
      </c>
      <c r="FV330" s="156">
        <v>0.0</v>
      </c>
      <c r="FW330" s="157"/>
      <c r="FX330" s="157"/>
      <c r="FY330" s="157"/>
      <c r="FZ330" s="157"/>
      <c r="GA330" s="157"/>
      <c r="GB330" s="157"/>
      <c r="GC330" s="157"/>
      <c r="GD330" s="157"/>
      <c r="GE330" s="157"/>
      <c r="GF330" s="157"/>
      <c r="GG330" s="157"/>
      <c r="GH330" s="157"/>
      <c r="GI330" s="157"/>
      <c r="GJ330" s="157"/>
      <c r="GK330" s="157"/>
      <c r="GL330" s="157"/>
      <c r="GM330" s="157"/>
      <c r="GN330" s="157"/>
      <c r="GO330" s="157"/>
      <c r="GP330" s="158"/>
      <c r="GQ330" s="157"/>
      <c r="GR330" s="157"/>
      <c r="GS330" s="157"/>
      <c r="GT330" s="157"/>
      <c r="GU330" s="157"/>
      <c r="GV330" s="157"/>
      <c r="GW330" s="157"/>
      <c r="GX330" s="157"/>
      <c r="GY330" s="157"/>
      <c r="GZ330" s="157"/>
      <c r="HA330" s="157"/>
      <c r="HB330" s="155">
        <v>0.0</v>
      </c>
      <c r="HC330" s="155">
        <v>0.0</v>
      </c>
      <c r="HD330" s="155">
        <v>0.0</v>
      </c>
      <c r="HE330" s="155">
        <v>0.0</v>
      </c>
      <c r="HF330" s="155">
        <v>0.0</v>
      </c>
      <c r="HG330" s="155">
        <v>0.0</v>
      </c>
      <c r="IL330" s="159">
        <v>0.0</v>
      </c>
      <c r="IM330" s="156">
        <v>0.0</v>
      </c>
      <c r="IN330" s="156">
        <v>0.0</v>
      </c>
      <c r="IO330" s="156">
        <v>0.0</v>
      </c>
      <c r="IP330" s="156">
        <v>0.0</v>
      </c>
      <c r="IQ330" s="160">
        <v>0.0</v>
      </c>
      <c r="JH330" s="25"/>
      <c r="JW330" s="159">
        <v>0.0</v>
      </c>
      <c r="JX330" s="156">
        <v>0.0</v>
      </c>
      <c r="JY330" s="156">
        <v>0.0</v>
      </c>
      <c r="JZ330" s="156">
        <v>0.0</v>
      </c>
      <c r="KA330" s="156">
        <v>0.0</v>
      </c>
      <c r="KB330" s="160">
        <v>0.0</v>
      </c>
      <c r="LH330" s="159">
        <f t="shared" si="10"/>
        <v>0</v>
      </c>
      <c r="LI330" s="156">
        <f t="shared" si="11"/>
        <v>0</v>
      </c>
      <c r="LJ330" s="156">
        <f t="shared" si="12"/>
        <v>0</v>
      </c>
      <c r="LK330" s="156">
        <f t="shared" si="13"/>
        <v>0</v>
      </c>
      <c r="LL330" s="156">
        <f t="shared" si="14"/>
        <v>0</v>
      </c>
      <c r="LM330" s="160">
        <f t="shared" si="15"/>
        <v>0</v>
      </c>
      <c r="QX330" s="107">
        <v>45918.0</v>
      </c>
    </row>
    <row r="331">
      <c r="A331" s="12"/>
      <c r="B331" s="12"/>
      <c r="C331" s="12"/>
      <c r="D331" s="12"/>
      <c r="E331" s="12"/>
      <c r="F331" s="12"/>
      <c r="G331" s="12"/>
      <c r="H331" s="12"/>
      <c r="I331" s="143">
        <f t="shared" si="5"/>
        <v>-44</v>
      </c>
      <c r="J331" s="144">
        <v>45923.0</v>
      </c>
      <c r="K331" s="164" t="s">
        <v>61</v>
      </c>
      <c r="L331" s="171">
        <v>46133.0</v>
      </c>
      <c r="M331" s="147" t="s">
        <v>435</v>
      </c>
      <c r="N331" s="148">
        <v>37.0</v>
      </c>
      <c r="O331" s="148">
        <v>30.0</v>
      </c>
      <c r="P331" s="26"/>
      <c r="Q331" s="26"/>
      <c r="R331" s="26"/>
      <c r="S331" s="26"/>
      <c r="T331" s="26"/>
      <c r="U331" s="147" t="s">
        <v>3004</v>
      </c>
      <c r="V331" s="149" t="s">
        <v>3005</v>
      </c>
      <c r="W331" s="248" t="s">
        <v>3019</v>
      </c>
      <c r="X331" s="181">
        <v>26.0</v>
      </c>
      <c r="Y331" s="166">
        <f t="shared" si="6"/>
        <v>44</v>
      </c>
      <c r="Z331" s="26">
        <f t="shared" si="7"/>
        <v>0</v>
      </c>
      <c r="AA331" s="26">
        <f t="shared" si="8"/>
        <v>0</v>
      </c>
      <c r="AB331" s="26">
        <f t="shared" si="9"/>
        <v>0</v>
      </c>
      <c r="AC331" s="155">
        <v>7.0</v>
      </c>
      <c r="AD331" s="155">
        <v>0.0</v>
      </c>
      <c r="AE331" s="155">
        <v>0.0</v>
      </c>
      <c r="AF331" s="155">
        <v>0.0</v>
      </c>
      <c r="AG331" s="155">
        <v>0.0</v>
      </c>
      <c r="AH331" s="155">
        <v>0.0</v>
      </c>
      <c r="AN331" s="86">
        <v>1.0</v>
      </c>
      <c r="AU331" s="86">
        <v>1.0</v>
      </c>
      <c r="AY331" s="86">
        <v>1.0</v>
      </c>
      <c r="BB331" s="86">
        <v>1.0</v>
      </c>
      <c r="BF331" s="86">
        <v>1.0</v>
      </c>
      <c r="BI331" s="86">
        <v>1.0</v>
      </c>
      <c r="BM331" s="86">
        <v>1.0</v>
      </c>
      <c r="BN331" s="155">
        <v>3.0</v>
      </c>
      <c r="BO331" s="155">
        <v>0.0</v>
      </c>
      <c r="BP331" s="155">
        <v>0.0</v>
      </c>
      <c r="BQ331" s="155">
        <v>0.0</v>
      </c>
      <c r="BR331" s="155">
        <v>0.0</v>
      </c>
      <c r="BS331" s="155">
        <v>0.0</v>
      </c>
      <c r="BV331" s="86">
        <v>1.0</v>
      </c>
      <c r="CC331" s="86">
        <v>1.0</v>
      </c>
      <c r="CQ331" s="86">
        <v>1.0</v>
      </c>
      <c r="CV331" s="156">
        <v>5.0</v>
      </c>
      <c r="CW331" s="156">
        <v>0.0</v>
      </c>
      <c r="CX331" s="156">
        <v>0.0</v>
      </c>
      <c r="CY331" s="156">
        <v>0.0</v>
      </c>
      <c r="CZ331" s="156">
        <v>0.0</v>
      </c>
      <c r="DA331" s="156">
        <v>0.0</v>
      </c>
      <c r="DM331" s="86">
        <v>1.0</v>
      </c>
      <c r="DR331" s="86">
        <v>1.0</v>
      </c>
      <c r="DY331" s="86">
        <v>1.0</v>
      </c>
      <c r="EC331" s="86">
        <v>1.0</v>
      </c>
      <c r="EF331" s="86">
        <v>1.0</v>
      </c>
      <c r="EG331" s="156">
        <v>3.0</v>
      </c>
      <c r="EH331" s="156">
        <v>0.0</v>
      </c>
      <c r="EI331" s="156">
        <v>0.0</v>
      </c>
      <c r="EJ331" s="156">
        <v>0.0</v>
      </c>
      <c r="EK331" s="156">
        <v>0.0</v>
      </c>
      <c r="EL331" s="156">
        <v>0.0</v>
      </c>
      <c r="ET331" s="86">
        <v>1.0</v>
      </c>
      <c r="FA331" s="86">
        <v>1.0</v>
      </c>
      <c r="FC331" s="86">
        <v>1.0</v>
      </c>
      <c r="FQ331" s="156">
        <v>0.0</v>
      </c>
      <c r="FR331" s="156">
        <v>0.0</v>
      </c>
      <c r="FS331" s="156">
        <v>0.0</v>
      </c>
      <c r="FT331" s="156">
        <v>0.0</v>
      </c>
      <c r="FU331" s="156">
        <v>0.0</v>
      </c>
      <c r="FV331" s="156">
        <v>0.0</v>
      </c>
      <c r="FW331" s="157"/>
      <c r="FX331" s="157"/>
      <c r="FY331" s="157"/>
      <c r="FZ331" s="157"/>
      <c r="GA331" s="157"/>
      <c r="GB331" s="157"/>
      <c r="GC331" s="157"/>
      <c r="GD331" s="157"/>
      <c r="GE331" s="157"/>
      <c r="GF331" s="157"/>
      <c r="GG331" s="157"/>
      <c r="GH331" s="157"/>
      <c r="GI331" s="157"/>
      <c r="GJ331" s="157"/>
      <c r="GK331" s="157"/>
      <c r="GL331" s="157"/>
      <c r="GM331" s="157"/>
      <c r="GN331" s="157"/>
      <c r="GO331" s="157"/>
      <c r="GP331" s="158"/>
      <c r="GQ331" s="157"/>
      <c r="GR331" s="157"/>
      <c r="GS331" s="157"/>
      <c r="GT331" s="157"/>
      <c r="GU331" s="157"/>
      <c r="GV331" s="157"/>
      <c r="GW331" s="157"/>
      <c r="GX331" s="157"/>
      <c r="GY331" s="157"/>
      <c r="GZ331" s="157"/>
      <c r="HA331" s="157"/>
      <c r="HB331" s="155">
        <v>0.0</v>
      </c>
      <c r="HC331" s="155">
        <v>0.0</v>
      </c>
      <c r="HD331" s="155">
        <v>0.0</v>
      </c>
      <c r="HE331" s="155">
        <v>0.0</v>
      </c>
      <c r="HF331" s="155">
        <v>0.0</v>
      </c>
      <c r="HG331" s="155">
        <v>0.0</v>
      </c>
      <c r="IL331" s="159">
        <v>0.0</v>
      </c>
      <c r="IM331" s="156">
        <v>0.0</v>
      </c>
      <c r="IN331" s="156">
        <v>0.0</v>
      </c>
      <c r="IO331" s="156">
        <v>0.0</v>
      </c>
      <c r="IP331" s="156">
        <v>0.0</v>
      </c>
      <c r="IQ331" s="160">
        <v>0.0</v>
      </c>
      <c r="JH331" s="25"/>
      <c r="JW331" s="159">
        <v>0.0</v>
      </c>
      <c r="JX331" s="156">
        <v>0.0</v>
      </c>
      <c r="JY331" s="156">
        <v>0.0</v>
      </c>
      <c r="JZ331" s="156">
        <v>0.0</v>
      </c>
      <c r="KA331" s="156">
        <v>0.0</v>
      </c>
      <c r="KB331" s="160">
        <v>0.0</v>
      </c>
      <c r="LH331" s="159">
        <f t="shared" si="10"/>
        <v>0</v>
      </c>
      <c r="LI331" s="156">
        <f t="shared" si="11"/>
        <v>0</v>
      </c>
      <c r="LJ331" s="156">
        <f t="shared" si="12"/>
        <v>0</v>
      </c>
      <c r="LK331" s="156">
        <f t="shared" si="13"/>
        <v>0</v>
      </c>
      <c r="LL331" s="156">
        <f t="shared" si="14"/>
        <v>0</v>
      </c>
      <c r="LM331" s="160">
        <f t="shared" si="15"/>
        <v>0</v>
      </c>
      <c r="QX331" s="107">
        <v>45918.0</v>
      </c>
    </row>
    <row r="332">
      <c r="A332" s="12"/>
      <c r="B332" s="12"/>
      <c r="C332" s="12"/>
      <c r="D332" s="12"/>
      <c r="E332" s="12"/>
      <c r="F332" s="12"/>
      <c r="G332" s="12"/>
      <c r="H332" s="12"/>
      <c r="I332" s="143">
        <f t="shared" si="5"/>
        <v>-30</v>
      </c>
      <c r="J332" s="144">
        <v>45919.0</v>
      </c>
      <c r="K332" s="173" t="s">
        <v>61</v>
      </c>
      <c r="L332" s="144">
        <v>45991.0</v>
      </c>
      <c r="M332" s="267" t="s">
        <v>107</v>
      </c>
      <c r="N332" s="268">
        <v>246.0</v>
      </c>
      <c r="O332" s="268">
        <v>30.0</v>
      </c>
      <c r="P332" s="98"/>
      <c r="Q332" s="98"/>
      <c r="R332" s="98"/>
      <c r="S332" s="98"/>
      <c r="T332" s="98"/>
      <c r="U332" s="267" t="s">
        <v>3020</v>
      </c>
      <c r="V332" s="488" t="s">
        <v>2889</v>
      </c>
      <c r="W332" s="489" t="s">
        <v>2881</v>
      </c>
      <c r="X332" s="181">
        <v>30.0</v>
      </c>
      <c r="Y332" s="166">
        <f t="shared" si="6"/>
        <v>30</v>
      </c>
      <c r="Z332" s="26">
        <f t="shared" si="7"/>
        <v>0</v>
      </c>
      <c r="AA332" s="26">
        <f t="shared" si="8"/>
        <v>0</v>
      </c>
      <c r="AB332" s="26">
        <f t="shared" si="9"/>
        <v>0</v>
      </c>
      <c r="AC332" s="155">
        <v>0.0</v>
      </c>
      <c r="AD332" s="155">
        <v>0.0</v>
      </c>
      <c r="AE332" s="155">
        <v>0.0</v>
      </c>
      <c r="AF332" s="155">
        <v>0.0</v>
      </c>
      <c r="AG332" s="155">
        <v>0.0</v>
      </c>
      <c r="AH332" s="155">
        <v>0.0</v>
      </c>
      <c r="BN332" s="155">
        <v>0.0</v>
      </c>
      <c r="BO332" s="155">
        <v>0.0</v>
      </c>
      <c r="BP332" s="155">
        <v>0.0</v>
      </c>
      <c r="BQ332" s="155">
        <v>0.0</v>
      </c>
      <c r="BR332" s="155">
        <v>0.0</v>
      </c>
      <c r="BS332" s="155">
        <v>0.0</v>
      </c>
      <c r="CV332" s="156">
        <v>0.0</v>
      </c>
      <c r="CW332" s="156">
        <v>0.0</v>
      </c>
      <c r="CX332" s="156">
        <v>0.0</v>
      </c>
      <c r="CY332" s="156">
        <v>0.0</v>
      </c>
      <c r="CZ332" s="156">
        <v>0.0</v>
      </c>
      <c r="DA332" s="156">
        <v>0.0</v>
      </c>
      <c r="EG332" s="156">
        <v>0.0</v>
      </c>
      <c r="EH332" s="156">
        <v>0.0</v>
      </c>
      <c r="EI332" s="156">
        <v>0.0</v>
      </c>
      <c r="EJ332" s="156">
        <v>0.0</v>
      </c>
      <c r="EK332" s="156">
        <v>0.0</v>
      </c>
      <c r="EL332" s="156">
        <v>0.0</v>
      </c>
      <c r="FQ332" s="156">
        <v>0.0</v>
      </c>
      <c r="FR332" s="156">
        <v>0.0</v>
      </c>
      <c r="FS332" s="156">
        <v>0.0</v>
      </c>
      <c r="FT332" s="156">
        <v>0.0</v>
      </c>
      <c r="FU332" s="156">
        <v>0.0</v>
      </c>
      <c r="FV332" s="156">
        <v>0.0</v>
      </c>
      <c r="FW332" s="157"/>
      <c r="FX332" s="157"/>
      <c r="FY332" s="157"/>
      <c r="FZ332" s="157"/>
      <c r="GA332" s="157"/>
      <c r="GB332" s="157"/>
      <c r="GC332" s="157"/>
      <c r="GD332" s="157"/>
      <c r="GE332" s="157"/>
      <c r="GF332" s="157"/>
      <c r="GG332" s="157"/>
      <c r="GH332" s="157"/>
      <c r="GI332" s="157"/>
      <c r="GJ332" s="157"/>
      <c r="GK332" s="157"/>
      <c r="GL332" s="157"/>
      <c r="GM332" s="157"/>
      <c r="GN332" s="157"/>
      <c r="GO332" s="157"/>
      <c r="GP332" s="158"/>
      <c r="GQ332" s="157"/>
      <c r="GR332" s="157"/>
      <c r="GS332" s="157"/>
      <c r="GT332" s="157"/>
      <c r="GU332" s="157"/>
      <c r="GV332" s="157"/>
      <c r="GW332" s="157"/>
      <c r="GX332" s="157"/>
      <c r="GY332" s="157"/>
      <c r="GZ332" s="157"/>
      <c r="HA332" s="157"/>
      <c r="HB332" s="155">
        <v>0.0</v>
      </c>
      <c r="HC332" s="155">
        <v>0.0</v>
      </c>
      <c r="HD332" s="155">
        <v>0.0</v>
      </c>
      <c r="HE332" s="155">
        <v>0.0</v>
      </c>
      <c r="HF332" s="155">
        <v>0.0</v>
      </c>
      <c r="HG332" s="155">
        <v>0.0</v>
      </c>
      <c r="IL332" s="159">
        <v>0.0</v>
      </c>
      <c r="IM332" s="156">
        <v>0.0</v>
      </c>
      <c r="IN332" s="156">
        <v>0.0</v>
      </c>
      <c r="IO332" s="156">
        <v>0.0</v>
      </c>
      <c r="IP332" s="156">
        <v>0.0</v>
      </c>
      <c r="IQ332" s="160">
        <v>0.0</v>
      </c>
      <c r="JH332" s="25"/>
      <c r="JW332" s="159">
        <v>0.0</v>
      </c>
      <c r="JX332" s="156">
        <v>0.0</v>
      </c>
      <c r="JY332" s="156">
        <v>0.0</v>
      </c>
      <c r="JZ332" s="156">
        <v>0.0</v>
      </c>
      <c r="KA332" s="156">
        <v>0.0</v>
      </c>
      <c r="KB332" s="160">
        <v>0.0</v>
      </c>
      <c r="LH332" s="159">
        <f t="shared" si="10"/>
        <v>0</v>
      </c>
      <c r="LI332" s="156">
        <f t="shared" si="11"/>
        <v>0</v>
      </c>
      <c r="LJ332" s="156">
        <f t="shared" si="12"/>
        <v>0</v>
      </c>
      <c r="LK332" s="156">
        <f t="shared" si="13"/>
        <v>0</v>
      </c>
      <c r="LL332" s="156">
        <f t="shared" si="14"/>
        <v>0</v>
      </c>
      <c r="LM332" s="160">
        <f t="shared" si="15"/>
        <v>0</v>
      </c>
      <c r="QX332" s="107">
        <v>45918.0</v>
      </c>
    </row>
    <row r="333">
      <c r="A333" s="12"/>
      <c r="B333" s="12"/>
      <c r="C333" s="12"/>
      <c r="D333" s="12"/>
      <c r="E333" s="12"/>
      <c r="F333" s="12"/>
      <c r="G333" s="12"/>
      <c r="H333" s="12"/>
      <c r="I333" s="143">
        <f t="shared" si="5"/>
        <v>-30</v>
      </c>
      <c r="J333" s="144">
        <v>45923.0</v>
      </c>
      <c r="K333" s="145" t="s">
        <v>61</v>
      </c>
      <c r="L333" s="171">
        <v>46032.0</v>
      </c>
      <c r="M333" s="147" t="s">
        <v>435</v>
      </c>
      <c r="N333" s="148">
        <v>357.0</v>
      </c>
      <c r="O333" s="148">
        <v>30.0</v>
      </c>
      <c r="P333" s="26"/>
      <c r="Q333" s="26"/>
      <c r="R333" s="26"/>
      <c r="S333" s="26"/>
      <c r="T333" s="26"/>
      <c r="U333" s="26" t="s">
        <v>3021</v>
      </c>
      <c r="V333" s="149" t="s">
        <v>1093</v>
      </c>
      <c r="W333" s="198" t="s">
        <v>3022</v>
      </c>
      <c r="X333" s="181">
        <v>28.0</v>
      </c>
      <c r="Y333" s="166">
        <f t="shared" si="6"/>
        <v>30</v>
      </c>
      <c r="Z333" s="26">
        <f t="shared" si="7"/>
        <v>0</v>
      </c>
      <c r="AA333" s="26">
        <f t="shared" si="8"/>
        <v>0</v>
      </c>
      <c r="AB333" s="26">
        <f t="shared" si="9"/>
        <v>0</v>
      </c>
      <c r="AC333" s="155">
        <v>2.0</v>
      </c>
      <c r="AD333" s="155">
        <v>0.0</v>
      </c>
      <c r="AE333" s="155">
        <v>0.0</v>
      </c>
      <c r="AF333" s="155">
        <v>0.0</v>
      </c>
      <c r="AG333" s="155">
        <v>0.0</v>
      </c>
      <c r="AH333" s="155">
        <v>0.0</v>
      </c>
      <c r="AI333" s="167"/>
      <c r="AJ333" s="167"/>
      <c r="AK333" s="167"/>
      <c r="AL333" s="167"/>
      <c r="AM333" s="167"/>
      <c r="AN333" s="167">
        <v>1.0</v>
      </c>
      <c r="AO333" s="167">
        <v>0.0</v>
      </c>
      <c r="AP333" s="167">
        <v>1.0</v>
      </c>
      <c r="AQ333" s="167"/>
      <c r="AR333" s="167"/>
      <c r="AS333" s="167"/>
      <c r="AT333" s="167"/>
      <c r="AU333" s="167"/>
      <c r="AV333" s="167"/>
      <c r="AW333" s="167"/>
      <c r="AX333" s="167"/>
      <c r="AY333" s="167"/>
      <c r="AZ333" s="167"/>
      <c r="BA333" s="167"/>
      <c r="BB333" s="167"/>
      <c r="BC333" s="167"/>
      <c r="BD333" s="167"/>
      <c r="BE333" s="167"/>
      <c r="BF333" s="167"/>
      <c r="BG333" s="167"/>
      <c r="BH333" s="167"/>
      <c r="BI333" s="167"/>
      <c r="BJ333" s="167"/>
      <c r="BK333" s="167"/>
      <c r="BL333" s="167"/>
      <c r="BM333" s="167"/>
      <c r="BN333" s="155">
        <v>0.0</v>
      </c>
      <c r="BO333" s="155">
        <v>0.0</v>
      </c>
      <c r="BP333" s="155">
        <v>0.0</v>
      </c>
      <c r="BQ333" s="155">
        <v>0.0</v>
      </c>
      <c r="BR333" s="155">
        <v>0.0</v>
      </c>
      <c r="BS333" s="155">
        <v>0.0</v>
      </c>
      <c r="CV333" s="156">
        <v>0.0</v>
      </c>
      <c r="CW333" s="156">
        <v>0.0</v>
      </c>
      <c r="CX333" s="156">
        <v>0.0</v>
      </c>
      <c r="CY333" s="156">
        <v>0.0</v>
      </c>
      <c r="CZ333" s="156">
        <v>0.0</v>
      </c>
      <c r="DA333" s="156">
        <v>0.0</v>
      </c>
      <c r="EG333" s="156">
        <v>0.0</v>
      </c>
      <c r="EH333" s="156">
        <v>0.0</v>
      </c>
      <c r="EI333" s="156">
        <v>0.0</v>
      </c>
      <c r="EJ333" s="156">
        <v>0.0</v>
      </c>
      <c r="EK333" s="156">
        <v>0.0</v>
      </c>
      <c r="EL333" s="156">
        <v>0.0</v>
      </c>
      <c r="FQ333" s="156">
        <v>0.0</v>
      </c>
      <c r="FR333" s="156">
        <v>0.0</v>
      </c>
      <c r="FS333" s="156">
        <v>0.0</v>
      </c>
      <c r="FT333" s="156">
        <v>0.0</v>
      </c>
      <c r="FU333" s="156">
        <v>0.0</v>
      </c>
      <c r="FV333" s="156">
        <v>0.0</v>
      </c>
      <c r="FW333" s="157"/>
      <c r="FX333" s="157"/>
      <c r="FY333" s="157"/>
      <c r="FZ333" s="157"/>
      <c r="GA333" s="157"/>
      <c r="GB333" s="157"/>
      <c r="GC333" s="157"/>
      <c r="GD333" s="157"/>
      <c r="GE333" s="157"/>
      <c r="GF333" s="157"/>
      <c r="GG333" s="157"/>
      <c r="GH333" s="157"/>
      <c r="GI333" s="157"/>
      <c r="GJ333" s="157"/>
      <c r="GK333" s="157"/>
      <c r="GL333" s="157"/>
      <c r="GM333" s="157"/>
      <c r="GN333" s="157"/>
      <c r="GO333" s="157"/>
      <c r="GP333" s="158"/>
      <c r="GQ333" s="157"/>
      <c r="GR333" s="157"/>
      <c r="GS333" s="157"/>
      <c r="GT333" s="157"/>
      <c r="GU333" s="157"/>
      <c r="GV333" s="157"/>
      <c r="GW333" s="157"/>
      <c r="GX333" s="157"/>
      <c r="GY333" s="157"/>
      <c r="GZ333" s="157"/>
      <c r="HA333" s="157"/>
      <c r="HB333" s="155">
        <v>0.0</v>
      </c>
      <c r="HC333" s="155">
        <v>0.0</v>
      </c>
      <c r="HD333" s="155">
        <v>0.0</v>
      </c>
      <c r="HE333" s="155">
        <v>0.0</v>
      </c>
      <c r="HF333" s="155">
        <v>0.0</v>
      </c>
      <c r="HG333" s="155">
        <v>0.0</v>
      </c>
      <c r="IL333" s="159">
        <v>0.0</v>
      </c>
      <c r="IM333" s="156">
        <v>0.0</v>
      </c>
      <c r="IN333" s="156">
        <v>0.0</v>
      </c>
      <c r="IO333" s="156">
        <v>0.0</v>
      </c>
      <c r="IP333" s="156">
        <v>0.0</v>
      </c>
      <c r="IQ333" s="160">
        <v>0.0</v>
      </c>
      <c r="JH333" s="25"/>
      <c r="JW333" s="159">
        <v>0.0</v>
      </c>
      <c r="JX333" s="156">
        <v>0.0</v>
      </c>
      <c r="JY333" s="156">
        <v>0.0</v>
      </c>
      <c r="JZ333" s="156">
        <v>0.0</v>
      </c>
      <c r="KA333" s="156">
        <v>0.0</v>
      </c>
      <c r="KB333" s="160">
        <v>0.0</v>
      </c>
      <c r="LH333" s="159">
        <f t="shared" si="10"/>
        <v>0</v>
      </c>
      <c r="LI333" s="156">
        <f t="shared" si="11"/>
        <v>0</v>
      </c>
      <c r="LJ333" s="156">
        <f t="shared" si="12"/>
        <v>0</v>
      </c>
      <c r="LK333" s="156">
        <f t="shared" si="13"/>
        <v>0</v>
      </c>
      <c r="LL333" s="156">
        <f t="shared" si="14"/>
        <v>0</v>
      </c>
      <c r="LM333" s="160">
        <f t="shared" si="15"/>
        <v>0</v>
      </c>
      <c r="QX333" s="107">
        <v>45922.0</v>
      </c>
    </row>
    <row r="334">
      <c r="A334" s="12"/>
      <c r="B334" s="12"/>
      <c r="C334" s="12"/>
      <c r="D334" s="12"/>
      <c r="E334" s="12"/>
      <c r="F334" s="12"/>
      <c r="G334" s="12"/>
      <c r="H334" s="12"/>
      <c r="I334" s="143">
        <f t="shared" si="5"/>
        <v>-30</v>
      </c>
      <c r="J334" s="144">
        <v>45925.0</v>
      </c>
      <c r="K334" s="173" t="s">
        <v>61</v>
      </c>
      <c r="L334" s="144">
        <v>45999.0</v>
      </c>
      <c r="M334" s="147" t="s">
        <v>107</v>
      </c>
      <c r="N334" s="148">
        <v>357.0</v>
      </c>
      <c r="O334" s="148">
        <v>30.0</v>
      </c>
      <c r="P334" s="26"/>
      <c r="Q334" s="26"/>
      <c r="R334" s="26"/>
      <c r="S334" s="26"/>
      <c r="T334" s="26"/>
      <c r="U334" s="147" t="s">
        <v>3025</v>
      </c>
      <c r="V334" s="149" t="s">
        <v>469</v>
      </c>
      <c r="W334" s="198" t="s">
        <v>3026</v>
      </c>
      <c r="X334" s="181">
        <v>30.0</v>
      </c>
      <c r="Y334" s="166">
        <f t="shared" si="6"/>
        <v>30</v>
      </c>
      <c r="Z334" s="26">
        <f t="shared" si="7"/>
        <v>0</v>
      </c>
      <c r="AA334" s="26">
        <f t="shared" si="8"/>
        <v>0</v>
      </c>
      <c r="AB334" s="26">
        <f t="shared" si="9"/>
        <v>0</v>
      </c>
      <c r="AC334" s="155">
        <v>0.0</v>
      </c>
      <c r="AD334" s="155">
        <v>0.0</v>
      </c>
      <c r="AE334" s="155">
        <v>0.0</v>
      </c>
      <c r="AF334" s="155">
        <v>0.0</v>
      </c>
      <c r="AG334" s="155">
        <v>0.0</v>
      </c>
      <c r="AH334" s="155">
        <v>0.0</v>
      </c>
      <c r="BN334" s="155">
        <v>0.0</v>
      </c>
      <c r="BO334" s="155">
        <v>0.0</v>
      </c>
      <c r="BP334" s="155">
        <v>0.0</v>
      </c>
      <c r="BQ334" s="155">
        <v>0.0</v>
      </c>
      <c r="BR334" s="155">
        <v>0.0</v>
      </c>
      <c r="BS334" s="155">
        <v>0.0</v>
      </c>
      <c r="CV334" s="156">
        <v>0.0</v>
      </c>
      <c r="CW334" s="156">
        <v>0.0</v>
      </c>
      <c r="CX334" s="156">
        <v>0.0</v>
      </c>
      <c r="CY334" s="156">
        <v>0.0</v>
      </c>
      <c r="CZ334" s="156">
        <v>0.0</v>
      </c>
      <c r="DA334" s="156">
        <v>0.0</v>
      </c>
      <c r="EG334" s="156">
        <v>0.0</v>
      </c>
      <c r="EH334" s="156">
        <v>0.0</v>
      </c>
      <c r="EI334" s="156">
        <v>0.0</v>
      </c>
      <c r="EJ334" s="156">
        <v>0.0</v>
      </c>
      <c r="EK334" s="156">
        <v>0.0</v>
      </c>
      <c r="EL334" s="156">
        <v>0.0</v>
      </c>
      <c r="FQ334" s="156">
        <v>0.0</v>
      </c>
      <c r="FR334" s="156">
        <v>0.0</v>
      </c>
      <c r="FS334" s="156">
        <v>0.0</v>
      </c>
      <c r="FT334" s="156">
        <v>0.0</v>
      </c>
      <c r="FU334" s="156">
        <v>0.0</v>
      </c>
      <c r="FV334" s="156">
        <v>0.0</v>
      </c>
      <c r="FW334" s="157"/>
      <c r="FX334" s="157"/>
      <c r="FY334" s="157"/>
      <c r="FZ334" s="157"/>
      <c r="GA334" s="157"/>
      <c r="GB334" s="157"/>
      <c r="GC334" s="157"/>
      <c r="GD334" s="157"/>
      <c r="GE334" s="157"/>
      <c r="GF334" s="157"/>
      <c r="GG334" s="157"/>
      <c r="GH334" s="157"/>
      <c r="GI334" s="157"/>
      <c r="GJ334" s="157"/>
      <c r="GK334" s="157"/>
      <c r="GL334" s="157"/>
      <c r="GM334" s="157"/>
      <c r="GN334" s="157"/>
      <c r="GO334" s="157"/>
      <c r="GP334" s="158"/>
      <c r="GQ334" s="157"/>
      <c r="GR334" s="157"/>
      <c r="GS334" s="157"/>
      <c r="GT334" s="157"/>
      <c r="GU334" s="157"/>
      <c r="GV334" s="157"/>
      <c r="GW334" s="157"/>
      <c r="GX334" s="157"/>
      <c r="GY334" s="157"/>
      <c r="GZ334" s="157"/>
      <c r="HA334" s="157"/>
      <c r="HB334" s="155">
        <v>0.0</v>
      </c>
      <c r="HC334" s="155">
        <v>0.0</v>
      </c>
      <c r="HD334" s="155">
        <v>0.0</v>
      </c>
      <c r="HE334" s="155">
        <v>0.0</v>
      </c>
      <c r="HF334" s="155">
        <v>0.0</v>
      </c>
      <c r="HG334" s="155">
        <v>0.0</v>
      </c>
      <c r="IL334" s="159">
        <v>0.0</v>
      </c>
      <c r="IM334" s="156">
        <v>0.0</v>
      </c>
      <c r="IN334" s="156">
        <v>0.0</v>
      </c>
      <c r="IO334" s="156">
        <v>0.0</v>
      </c>
      <c r="IP334" s="156">
        <v>0.0</v>
      </c>
      <c r="IQ334" s="160">
        <v>0.0</v>
      </c>
      <c r="JH334" s="25"/>
      <c r="JW334" s="159">
        <v>0.0</v>
      </c>
      <c r="JX334" s="156">
        <v>0.0</v>
      </c>
      <c r="JY334" s="156">
        <v>0.0</v>
      </c>
      <c r="JZ334" s="156">
        <v>0.0</v>
      </c>
      <c r="KA334" s="156">
        <v>0.0</v>
      </c>
      <c r="KB334" s="160">
        <v>0.0</v>
      </c>
      <c r="LH334" s="159">
        <f t="shared" si="10"/>
        <v>0</v>
      </c>
      <c r="LI334" s="156">
        <f t="shared" si="11"/>
        <v>0</v>
      </c>
      <c r="LJ334" s="156">
        <f t="shared" si="12"/>
        <v>0</v>
      </c>
      <c r="LK334" s="156">
        <f t="shared" si="13"/>
        <v>0</v>
      </c>
      <c r="LL334" s="156">
        <f t="shared" si="14"/>
        <v>0</v>
      </c>
      <c r="LM334" s="160">
        <f t="shared" si="15"/>
        <v>0</v>
      </c>
      <c r="QX334" s="107">
        <v>45922.0</v>
      </c>
    </row>
    <row r="335">
      <c r="A335" s="12"/>
      <c r="B335" s="12"/>
      <c r="C335" s="12"/>
      <c r="D335" s="12"/>
      <c r="E335" s="12"/>
      <c r="F335" s="12"/>
      <c r="G335" s="12"/>
      <c r="H335" s="12"/>
      <c r="I335" s="143">
        <f t="shared" si="5"/>
        <v>-30</v>
      </c>
      <c r="J335" s="144">
        <v>45923.0</v>
      </c>
      <c r="K335" s="173" t="s">
        <v>61</v>
      </c>
      <c r="L335" s="144">
        <v>46004.0</v>
      </c>
      <c r="M335" s="147" t="s">
        <v>3028</v>
      </c>
      <c r="N335" s="148">
        <v>357.0</v>
      </c>
      <c r="O335" s="148">
        <v>30.0</v>
      </c>
      <c r="P335" s="26"/>
      <c r="Q335" s="26"/>
      <c r="R335" s="26"/>
      <c r="S335" s="26"/>
      <c r="T335" s="26"/>
      <c r="U335" s="147" t="s">
        <v>1466</v>
      </c>
      <c r="V335" s="149" t="s">
        <v>1757</v>
      </c>
      <c r="W335" s="198" t="s">
        <v>3029</v>
      </c>
      <c r="X335" s="181">
        <v>30.0</v>
      </c>
      <c r="Y335" s="166">
        <f t="shared" si="6"/>
        <v>30</v>
      </c>
      <c r="Z335" s="26">
        <f t="shared" si="7"/>
        <v>0</v>
      </c>
      <c r="AA335" s="26">
        <f t="shared" si="8"/>
        <v>0</v>
      </c>
      <c r="AB335" s="26">
        <f t="shared" si="9"/>
        <v>0</v>
      </c>
      <c r="AC335" s="155">
        <v>0.0</v>
      </c>
      <c r="AD335" s="155">
        <v>0.0</v>
      </c>
      <c r="AE335" s="155">
        <v>0.0</v>
      </c>
      <c r="AF335" s="155">
        <v>0.0</v>
      </c>
      <c r="AG335" s="155">
        <v>0.0</v>
      </c>
      <c r="AH335" s="155">
        <v>0.0</v>
      </c>
      <c r="BN335" s="155">
        <v>0.0</v>
      </c>
      <c r="BO335" s="155">
        <v>0.0</v>
      </c>
      <c r="BP335" s="155">
        <v>0.0</v>
      </c>
      <c r="BQ335" s="155">
        <v>0.0</v>
      </c>
      <c r="BR335" s="155">
        <v>0.0</v>
      </c>
      <c r="BS335" s="155">
        <v>0.0</v>
      </c>
      <c r="CV335" s="156">
        <v>0.0</v>
      </c>
      <c r="CW335" s="156">
        <v>0.0</v>
      </c>
      <c r="CX335" s="156">
        <v>0.0</v>
      </c>
      <c r="CY335" s="156">
        <v>0.0</v>
      </c>
      <c r="CZ335" s="156">
        <v>0.0</v>
      </c>
      <c r="DA335" s="156">
        <v>0.0</v>
      </c>
      <c r="EG335" s="156">
        <v>0.0</v>
      </c>
      <c r="EH335" s="156">
        <v>0.0</v>
      </c>
      <c r="EI335" s="156">
        <v>0.0</v>
      </c>
      <c r="EJ335" s="156">
        <v>0.0</v>
      </c>
      <c r="EK335" s="156">
        <v>0.0</v>
      </c>
      <c r="EL335" s="156">
        <v>0.0</v>
      </c>
      <c r="FQ335" s="156">
        <v>0.0</v>
      </c>
      <c r="FR335" s="156">
        <v>0.0</v>
      </c>
      <c r="FS335" s="156">
        <v>0.0</v>
      </c>
      <c r="FT335" s="156">
        <v>0.0</v>
      </c>
      <c r="FU335" s="156">
        <v>0.0</v>
      </c>
      <c r="FV335" s="156">
        <v>0.0</v>
      </c>
      <c r="FW335" s="157"/>
      <c r="FX335" s="157"/>
      <c r="FY335" s="157"/>
      <c r="FZ335" s="157"/>
      <c r="GA335" s="157"/>
      <c r="GB335" s="157"/>
      <c r="GC335" s="157"/>
      <c r="GD335" s="157"/>
      <c r="GE335" s="157"/>
      <c r="GF335" s="157"/>
      <c r="GG335" s="157"/>
      <c r="GH335" s="157"/>
      <c r="GI335" s="157"/>
      <c r="GJ335" s="157"/>
      <c r="GK335" s="157"/>
      <c r="GL335" s="157"/>
      <c r="GM335" s="157"/>
      <c r="GN335" s="157"/>
      <c r="GO335" s="157"/>
      <c r="GP335" s="158"/>
      <c r="GQ335" s="157"/>
      <c r="GR335" s="157"/>
      <c r="GS335" s="157"/>
      <c r="GT335" s="157"/>
      <c r="GU335" s="157"/>
      <c r="GV335" s="157"/>
      <c r="GW335" s="157"/>
      <c r="GX335" s="157"/>
      <c r="GY335" s="157"/>
      <c r="GZ335" s="157"/>
      <c r="HA335" s="157"/>
      <c r="HB335" s="155">
        <v>0.0</v>
      </c>
      <c r="HC335" s="155">
        <v>0.0</v>
      </c>
      <c r="HD335" s="155">
        <v>0.0</v>
      </c>
      <c r="HE335" s="155">
        <v>0.0</v>
      </c>
      <c r="HF335" s="155">
        <v>0.0</v>
      </c>
      <c r="HG335" s="155">
        <v>0.0</v>
      </c>
      <c r="IL335" s="159">
        <v>0.0</v>
      </c>
      <c r="IM335" s="156">
        <v>0.0</v>
      </c>
      <c r="IN335" s="156">
        <v>0.0</v>
      </c>
      <c r="IO335" s="156">
        <v>0.0</v>
      </c>
      <c r="IP335" s="156">
        <v>0.0</v>
      </c>
      <c r="IQ335" s="160">
        <v>0.0</v>
      </c>
      <c r="JH335" s="25"/>
      <c r="JW335" s="159">
        <v>0.0</v>
      </c>
      <c r="JX335" s="156">
        <v>0.0</v>
      </c>
      <c r="JY335" s="156">
        <v>0.0</v>
      </c>
      <c r="JZ335" s="156">
        <v>0.0</v>
      </c>
      <c r="KA335" s="156">
        <v>0.0</v>
      </c>
      <c r="KB335" s="160">
        <v>0.0</v>
      </c>
      <c r="LH335" s="159">
        <f t="shared" si="10"/>
        <v>0</v>
      </c>
      <c r="LI335" s="156">
        <f t="shared" si="11"/>
        <v>0</v>
      </c>
      <c r="LJ335" s="156">
        <f t="shared" si="12"/>
        <v>0</v>
      </c>
      <c r="LK335" s="156">
        <f t="shared" si="13"/>
        <v>0</v>
      </c>
      <c r="LL335" s="156">
        <f t="shared" si="14"/>
        <v>0</v>
      </c>
      <c r="LM335" s="160">
        <f t="shared" si="15"/>
        <v>0</v>
      </c>
      <c r="QX335" s="107">
        <v>45922.0</v>
      </c>
    </row>
    <row r="336">
      <c r="A336" s="12"/>
      <c r="B336" s="12"/>
      <c r="C336" s="12"/>
      <c r="D336" s="12"/>
      <c r="E336" s="12"/>
      <c r="F336" s="12"/>
      <c r="G336" s="12"/>
      <c r="H336" s="12"/>
      <c r="I336" s="143">
        <f t="shared" si="5"/>
        <v>-12</v>
      </c>
      <c r="J336" s="144">
        <v>45926.0</v>
      </c>
      <c r="K336" s="173" t="s">
        <v>61</v>
      </c>
      <c r="L336" s="144">
        <v>45957.0</v>
      </c>
      <c r="M336" s="147" t="s">
        <v>228</v>
      </c>
      <c r="N336" s="148">
        <v>246.0</v>
      </c>
      <c r="O336" s="148">
        <v>30.0</v>
      </c>
      <c r="P336" s="26"/>
      <c r="Q336" s="26"/>
      <c r="R336" s="26"/>
      <c r="S336" s="26"/>
      <c r="T336" s="26"/>
      <c r="U336" s="147" t="s">
        <v>3020</v>
      </c>
      <c r="V336" s="197"/>
      <c r="W336" s="198" t="s">
        <v>3030</v>
      </c>
      <c r="X336" s="181">
        <v>12.0</v>
      </c>
      <c r="Y336" s="166">
        <f t="shared" si="6"/>
        <v>12</v>
      </c>
      <c r="Z336" s="26">
        <f t="shared" si="7"/>
        <v>0</v>
      </c>
      <c r="AA336" s="26">
        <f t="shared" si="8"/>
        <v>0</v>
      </c>
      <c r="AB336" s="26">
        <f t="shared" si="9"/>
        <v>0</v>
      </c>
      <c r="AC336" s="155">
        <v>0.0</v>
      </c>
      <c r="AD336" s="155">
        <v>0.0</v>
      </c>
      <c r="AE336" s="155">
        <v>0.0</v>
      </c>
      <c r="AF336" s="155">
        <v>0.0</v>
      </c>
      <c r="AG336" s="155">
        <v>0.0</v>
      </c>
      <c r="AH336" s="155">
        <v>0.0</v>
      </c>
      <c r="BN336" s="155">
        <v>0.0</v>
      </c>
      <c r="BO336" s="155">
        <v>0.0</v>
      </c>
      <c r="BP336" s="155">
        <v>0.0</v>
      </c>
      <c r="BQ336" s="155">
        <v>0.0</v>
      </c>
      <c r="BR336" s="155">
        <v>0.0</v>
      </c>
      <c r="BS336" s="155">
        <v>0.0</v>
      </c>
      <c r="CV336" s="156">
        <v>0.0</v>
      </c>
      <c r="CW336" s="156">
        <v>0.0</v>
      </c>
      <c r="CX336" s="156">
        <v>0.0</v>
      </c>
      <c r="CY336" s="156">
        <v>0.0</v>
      </c>
      <c r="CZ336" s="156">
        <v>0.0</v>
      </c>
      <c r="DA336" s="156">
        <v>0.0</v>
      </c>
      <c r="EG336" s="156">
        <v>0.0</v>
      </c>
      <c r="EH336" s="156">
        <v>0.0</v>
      </c>
      <c r="EI336" s="156">
        <v>0.0</v>
      </c>
      <c r="EJ336" s="156">
        <v>0.0</v>
      </c>
      <c r="EK336" s="156">
        <v>0.0</v>
      </c>
      <c r="EL336" s="156">
        <v>0.0</v>
      </c>
      <c r="FQ336" s="156">
        <v>0.0</v>
      </c>
      <c r="FR336" s="156">
        <v>0.0</v>
      </c>
      <c r="FS336" s="156">
        <v>0.0</v>
      </c>
      <c r="FT336" s="156">
        <v>0.0</v>
      </c>
      <c r="FU336" s="156">
        <v>0.0</v>
      </c>
      <c r="FV336" s="156">
        <v>0.0</v>
      </c>
      <c r="FW336" s="157"/>
      <c r="FX336" s="157"/>
      <c r="FY336" s="157"/>
      <c r="FZ336" s="157"/>
      <c r="GA336" s="157"/>
      <c r="GB336" s="157"/>
      <c r="GC336" s="157"/>
      <c r="GD336" s="157"/>
      <c r="GE336" s="157"/>
      <c r="GF336" s="157"/>
      <c r="GG336" s="157"/>
      <c r="GH336" s="157"/>
      <c r="GI336" s="157"/>
      <c r="GJ336" s="157"/>
      <c r="GK336" s="157"/>
      <c r="GL336" s="157"/>
      <c r="GM336" s="157"/>
      <c r="GN336" s="157"/>
      <c r="GO336" s="157"/>
      <c r="GP336" s="158"/>
      <c r="GQ336" s="157"/>
      <c r="GR336" s="157"/>
      <c r="GS336" s="157"/>
      <c r="GT336" s="157"/>
      <c r="GU336" s="157"/>
      <c r="GV336" s="157"/>
      <c r="GW336" s="157"/>
      <c r="GX336" s="157"/>
      <c r="GY336" s="157"/>
      <c r="GZ336" s="157"/>
      <c r="HA336" s="157"/>
      <c r="HB336" s="155">
        <v>0.0</v>
      </c>
      <c r="HC336" s="155">
        <v>0.0</v>
      </c>
      <c r="HD336" s="155">
        <v>0.0</v>
      </c>
      <c r="HE336" s="155">
        <v>0.0</v>
      </c>
      <c r="HF336" s="155">
        <v>0.0</v>
      </c>
      <c r="HG336" s="155">
        <v>0.0</v>
      </c>
      <c r="IL336" s="159">
        <v>0.0</v>
      </c>
      <c r="IM336" s="156">
        <v>0.0</v>
      </c>
      <c r="IN336" s="156">
        <v>0.0</v>
      </c>
      <c r="IO336" s="156">
        <v>0.0</v>
      </c>
      <c r="IP336" s="156">
        <v>0.0</v>
      </c>
      <c r="IQ336" s="160">
        <v>0.0</v>
      </c>
      <c r="JH336" s="25"/>
      <c r="JW336" s="159">
        <v>0.0</v>
      </c>
      <c r="JX336" s="156">
        <v>0.0</v>
      </c>
      <c r="JY336" s="156">
        <v>0.0</v>
      </c>
      <c r="JZ336" s="156">
        <v>0.0</v>
      </c>
      <c r="KA336" s="156">
        <v>0.0</v>
      </c>
      <c r="KB336" s="160">
        <v>0.0</v>
      </c>
      <c r="LH336" s="159">
        <f t="shared" si="10"/>
        <v>0</v>
      </c>
      <c r="LI336" s="156">
        <f t="shared" si="11"/>
        <v>0</v>
      </c>
      <c r="LJ336" s="156">
        <f t="shared" si="12"/>
        <v>0</v>
      </c>
      <c r="LK336" s="156">
        <f t="shared" si="13"/>
        <v>0</v>
      </c>
      <c r="LL336" s="156">
        <f t="shared" si="14"/>
        <v>0</v>
      </c>
      <c r="LM336" s="160">
        <f t="shared" si="15"/>
        <v>0</v>
      </c>
      <c r="QX336" s="107">
        <v>45922.0</v>
      </c>
    </row>
    <row r="337">
      <c r="A337" s="12"/>
      <c r="B337" s="12"/>
      <c r="C337" s="12"/>
      <c r="D337" s="12"/>
      <c r="E337" s="12"/>
      <c r="F337" s="12"/>
      <c r="G337" s="12"/>
      <c r="H337" s="12"/>
      <c r="I337" s="143">
        <f t="shared" si="5"/>
        <v>-23</v>
      </c>
      <c r="J337" s="295">
        <v>45925.0</v>
      </c>
      <c r="K337" s="184" t="s">
        <v>53</v>
      </c>
      <c r="L337" s="297">
        <v>46090.0</v>
      </c>
      <c r="M337" s="147" t="s">
        <v>2971</v>
      </c>
      <c r="N337" s="148" t="s">
        <v>2246</v>
      </c>
      <c r="O337" s="148">
        <v>30.0</v>
      </c>
      <c r="P337" s="26"/>
      <c r="Q337" s="26"/>
      <c r="R337" s="26"/>
      <c r="S337" s="26"/>
      <c r="T337" s="26"/>
      <c r="U337" s="147" t="s">
        <v>1466</v>
      </c>
      <c r="V337" s="149" t="s">
        <v>1757</v>
      </c>
      <c r="W337" s="150" t="s">
        <v>3032</v>
      </c>
      <c r="X337" s="181">
        <v>17.0</v>
      </c>
      <c r="Y337" s="166">
        <f t="shared" si="6"/>
        <v>23</v>
      </c>
      <c r="Z337" s="26">
        <f t="shared" si="7"/>
        <v>0</v>
      </c>
      <c r="AA337" s="26">
        <f t="shared" si="8"/>
        <v>0</v>
      </c>
      <c r="AB337" s="26">
        <f t="shared" si="9"/>
        <v>0</v>
      </c>
      <c r="AC337" s="155">
        <v>6.0</v>
      </c>
      <c r="AD337" s="155">
        <v>0.0</v>
      </c>
      <c r="AE337" s="155">
        <v>0.0</v>
      </c>
      <c r="AF337" s="155">
        <v>0.0</v>
      </c>
      <c r="AG337" s="155">
        <v>0.0</v>
      </c>
      <c r="AH337" s="155">
        <v>0.0</v>
      </c>
      <c r="AT337" s="86">
        <v>2.0</v>
      </c>
      <c r="AZ337" s="86">
        <v>2.0</v>
      </c>
      <c r="BG337" s="86">
        <v>2.0</v>
      </c>
      <c r="BN337" s="155">
        <v>0.0</v>
      </c>
      <c r="BO337" s="155">
        <v>0.0</v>
      </c>
      <c r="BP337" s="155">
        <v>0.0</v>
      </c>
      <c r="BQ337" s="155">
        <v>0.0</v>
      </c>
      <c r="BR337" s="155">
        <v>0.0</v>
      </c>
      <c r="BS337" s="155">
        <v>0.0</v>
      </c>
      <c r="CV337" s="156">
        <v>0.0</v>
      </c>
      <c r="CW337" s="156">
        <v>0.0</v>
      </c>
      <c r="CX337" s="156">
        <v>0.0</v>
      </c>
      <c r="CY337" s="156">
        <v>0.0</v>
      </c>
      <c r="CZ337" s="156">
        <v>0.0</v>
      </c>
      <c r="DA337" s="156">
        <v>0.0</v>
      </c>
      <c r="EG337" s="156">
        <v>0.0</v>
      </c>
      <c r="EH337" s="156">
        <v>0.0</v>
      </c>
      <c r="EI337" s="156">
        <v>0.0</v>
      </c>
      <c r="EJ337" s="156">
        <v>0.0</v>
      </c>
      <c r="EK337" s="156">
        <v>0.0</v>
      </c>
      <c r="EL337" s="156">
        <v>0.0</v>
      </c>
      <c r="FQ337" s="156">
        <v>0.0</v>
      </c>
      <c r="FR337" s="156">
        <v>0.0</v>
      </c>
      <c r="FS337" s="156">
        <v>0.0</v>
      </c>
      <c r="FT337" s="156">
        <v>0.0</v>
      </c>
      <c r="FU337" s="156">
        <v>0.0</v>
      </c>
      <c r="FV337" s="156">
        <v>0.0</v>
      </c>
      <c r="FW337" s="157"/>
      <c r="FX337" s="157"/>
      <c r="FY337" s="157"/>
      <c r="FZ337" s="157"/>
      <c r="GA337" s="157"/>
      <c r="GB337" s="157"/>
      <c r="GC337" s="157"/>
      <c r="GD337" s="157"/>
      <c r="GE337" s="157"/>
      <c r="GF337" s="157"/>
      <c r="GG337" s="157"/>
      <c r="GH337" s="157"/>
      <c r="GI337" s="157"/>
      <c r="GJ337" s="157"/>
      <c r="GK337" s="157"/>
      <c r="GL337" s="157"/>
      <c r="GM337" s="157"/>
      <c r="GN337" s="157"/>
      <c r="GO337" s="157"/>
      <c r="GP337" s="158"/>
      <c r="GQ337" s="157"/>
      <c r="GR337" s="157"/>
      <c r="GS337" s="157"/>
      <c r="GT337" s="157"/>
      <c r="GU337" s="157"/>
      <c r="GV337" s="157"/>
      <c r="GW337" s="157"/>
      <c r="GX337" s="157"/>
      <c r="GY337" s="157"/>
      <c r="GZ337" s="157"/>
      <c r="HA337" s="157"/>
      <c r="HB337" s="155">
        <v>0.0</v>
      </c>
      <c r="HC337" s="155">
        <v>0.0</v>
      </c>
      <c r="HD337" s="155">
        <v>0.0</v>
      </c>
      <c r="HE337" s="155">
        <v>0.0</v>
      </c>
      <c r="HF337" s="155">
        <v>0.0</v>
      </c>
      <c r="HG337" s="155">
        <v>0.0</v>
      </c>
      <c r="IL337" s="159">
        <v>0.0</v>
      </c>
      <c r="IM337" s="156">
        <v>0.0</v>
      </c>
      <c r="IN337" s="156">
        <v>0.0</v>
      </c>
      <c r="IO337" s="156">
        <v>0.0</v>
      </c>
      <c r="IP337" s="156">
        <v>0.0</v>
      </c>
      <c r="IQ337" s="160">
        <v>0.0</v>
      </c>
      <c r="JH337" s="25"/>
      <c r="JW337" s="159">
        <v>0.0</v>
      </c>
      <c r="JX337" s="156">
        <v>0.0</v>
      </c>
      <c r="JY337" s="156">
        <v>0.0</v>
      </c>
      <c r="JZ337" s="156">
        <v>0.0</v>
      </c>
      <c r="KA337" s="156">
        <v>0.0</v>
      </c>
      <c r="KB337" s="160">
        <v>0.0</v>
      </c>
      <c r="LH337" s="159">
        <f t="shared" si="10"/>
        <v>0</v>
      </c>
      <c r="LI337" s="156">
        <f t="shared" si="11"/>
        <v>0</v>
      </c>
      <c r="LJ337" s="156">
        <f t="shared" si="12"/>
        <v>0</v>
      </c>
      <c r="LK337" s="156">
        <f t="shared" si="13"/>
        <v>0</v>
      </c>
      <c r="LL337" s="156">
        <f t="shared" si="14"/>
        <v>0</v>
      </c>
      <c r="LM337" s="160">
        <f t="shared" si="15"/>
        <v>0</v>
      </c>
      <c r="QX337" s="107">
        <v>45922.0</v>
      </c>
    </row>
    <row r="338">
      <c r="A338" s="12"/>
      <c r="B338" s="12"/>
      <c r="C338" s="12"/>
      <c r="D338" s="12"/>
      <c r="E338" s="12"/>
      <c r="F338" s="12"/>
      <c r="G338" s="12"/>
      <c r="H338" s="12"/>
      <c r="I338" s="143">
        <f t="shared" si="5"/>
        <v>-30</v>
      </c>
      <c r="J338" s="295">
        <v>45924.0</v>
      </c>
      <c r="K338" s="294" t="s">
        <v>53</v>
      </c>
      <c r="L338" s="297">
        <v>46148.0</v>
      </c>
      <c r="M338" s="147" t="s">
        <v>3034</v>
      </c>
      <c r="N338" s="148">
        <v>246.0</v>
      </c>
      <c r="O338" s="148">
        <v>30.0</v>
      </c>
      <c r="P338" s="26"/>
      <c r="Q338" s="26"/>
      <c r="R338" s="26"/>
      <c r="S338" s="26"/>
      <c r="T338" s="26"/>
      <c r="U338" s="147" t="s">
        <v>3035</v>
      </c>
      <c r="V338" s="149" t="s">
        <v>3036</v>
      </c>
      <c r="W338" s="198" t="s">
        <v>3037</v>
      </c>
      <c r="X338" s="181">
        <v>30.0</v>
      </c>
      <c r="Y338" s="166">
        <f t="shared" si="6"/>
        <v>30</v>
      </c>
      <c r="Z338" s="26">
        <f t="shared" si="7"/>
        <v>0</v>
      </c>
      <c r="AA338" s="26">
        <f t="shared" si="8"/>
        <v>0</v>
      </c>
      <c r="AB338" s="26">
        <f t="shared" si="9"/>
        <v>0</v>
      </c>
      <c r="AC338" s="155">
        <v>0.0</v>
      </c>
      <c r="AD338" s="155">
        <v>0.0</v>
      </c>
      <c r="AE338" s="155">
        <v>0.0</v>
      </c>
      <c r="AF338" s="155">
        <v>0.0</v>
      </c>
      <c r="AG338" s="155">
        <v>0.0</v>
      </c>
      <c r="AH338" s="155">
        <v>0.0</v>
      </c>
      <c r="AI338" s="167"/>
      <c r="AJ338" s="167"/>
      <c r="AK338" s="167"/>
      <c r="AL338" s="167"/>
      <c r="AM338" s="167"/>
      <c r="AN338" s="167"/>
      <c r="AO338" s="167"/>
      <c r="AP338" s="167"/>
      <c r="AQ338" s="167"/>
      <c r="AR338" s="167"/>
      <c r="AS338" s="167"/>
      <c r="AT338" s="167"/>
      <c r="AU338" s="167"/>
      <c r="AV338" s="167"/>
      <c r="AW338" s="167"/>
      <c r="AX338" s="167"/>
      <c r="AY338" s="167"/>
      <c r="AZ338" s="167"/>
      <c r="BA338" s="167"/>
      <c r="BB338" s="167"/>
      <c r="BC338" s="167"/>
      <c r="BD338" s="167"/>
      <c r="BE338" s="167"/>
      <c r="BF338" s="167"/>
      <c r="BG338" s="167"/>
      <c r="BH338" s="167"/>
      <c r="BI338" s="167"/>
      <c r="BJ338" s="167"/>
      <c r="BK338" s="167"/>
      <c r="BL338" s="167"/>
      <c r="BM338" s="167"/>
      <c r="BN338" s="155">
        <v>0.0</v>
      </c>
      <c r="BO338" s="155">
        <v>0.0</v>
      </c>
      <c r="BP338" s="155">
        <v>0.0</v>
      </c>
      <c r="BQ338" s="155">
        <v>0.0</v>
      </c>
      <c r="BR338" s="155">
        <v>0.0</v>
      </c>
      <c r="BS338" s="155">
        <v>0.0</v>
      </c>
      <c r="BT338" s="167"/>
      <c r="BU338" s="167"/>
      <c r="BV338" s="167"/>
      <c r="BW338" s="167"/>
      <c r="BX338" s="167"/>
      <c r="BY338" s="167"/>
      <c r="BZ338" s="167"/>
      <c r="CA338" s="167"/>
      <c r="CB338" s="167"/>
      <c r="CC338" s="167"/>
      <c r="CD338" s="167"/>
      <c r="CE338" s="167"/>
      <c r="CF338" s="167"/>
      <c r="CG338" s="167"/>
      <c r="CH338" s="167"/>
      <c r="CI338" s="167"/>
      <c r="CJ338" s="167"/>
      <c r="CK338" s="167"/>
      <c r="CL338" s="167"/>
      <c r="CM338" s="167"/>
      <c r="CN338" s="167"/>
      <c r="CO338" s="167"/>
      <c r="CP338" s="167"/>
      <c r="CQ338" s="167"/>
      <c r="CR338" s="167"/>
      <c r="CS338" s="167"/>
      <c r="CT338" s="167"/>
      <c r="CU338" s="167"/>
      <c r="CV338" s="156">
        <v>0.0</v>
      </c>
      <c r="CW338" s="156">
        <v>0.0</v>
      </c>
      <c r="CX338" s="156">
        <v>0.0</v>
      </c>
      <c r="CY338" s="156">
        <v>0.0</v>
      </c>
      <c r="CZ338" s="156">
        <v>0.0</v>
      </c>
      <c r="DA338" s="156">
        <v>0.0</v>
      </c>
      <c r="DB338" s="174"/>
      <c r="DC338" s="174"/>
      <c r="DD338" s="174"/>
      <c r="DE338" s="174"/>
      <c r="DF338" s="174"/>
      <c r="DG338" s="174"/>
      <c r="DH338" s="174"/>
      <c r="DI338" s="174"/>
      <c r="DJ338" s="174"/>
      <c r="DK338" s="174"/>
      <c r="DL338" s="174"/>
      <c r="DM338" s="174"/>
      <c r="DN338" s="174"/>
      <c r="DO338" s="174"/>
      <c r="DP338" s="174"/>
      <c r="DQ338" s="174"/>
      <c r="DR338" s="174"/>
      <c r="DS338" s="174"/>
      <c r="DT338" s="174"/>
      <c r="DU338" s="174"/>
      <c r="DV338" s="174"/>
      <c r="DW338" s="174"/>
      <c r="DX338" s="174"/>
      <c r="DY338" s="174"/>
      <c r="DZ338" s="174"/>
      <c r="EA338" s="174"/>
      <c r="EB338" s="174"/>
      <c r="EC338" s="174"/>
      <c r="ED338" s="174"/>
      <c r="EE338" s="174"/>
      <c r="EF338" s="174"/>
      <c r="EG338" s="156">
        <v>0.0</v>
      </c>
      <c r="EH338" s="156">
        <v>0.0</v>
      </c>
      <c r="EI338" s="156">
        <v>0.0</v>
      </c>
      <c r="EJ338" s="156">
        <v>0.0</v>
      </c>
      <c r="EK338" s="156">
        <v>0.0</v>
      </c>
      <c r="EL338" s="156">
        <v>0.0</v>
      </c>
      <c r="EM338" s="174"/>
      <c r="EN338" s="174"/>
      <c r="EO338" s="174"/>
      <c r="EP338" s="174"/>
      <c r="EQ338" s="174"/>
      <c r="ER338" s="174"/>
      <c r="ES338" s="174"/>
      <c r="ET338" s="174"/>
      <c r="EU338" s="174"/>
      <c r="EV338" s="174"/>
      <c r="EW338" s="174"/>
      <c r="EX338" s="174"/>
      <c r="EY338" s="174"/>
      <c r="EZ338" s="174"/>
      <c r="FA338" s="174"/>
      <c r="FB338" s="174"/>
      <c r="FC338" s="174"/>
      <c r="FD338" s="174"/>
      <c r="FE338" s="174"/>
      <c r="FF338" s="174"/>
      <c r="FG338" s="174"/>
      <c r="FH338" s="174"/>
      <c r="FI338" s="174"/>
      <c r="FJ338" s="174"/>
      <c r="FK338" s="174"/>
      <c r="FL338" s="174"/>
      <c r="FM338" s="174"/>
      <c r="FN338" s="174"/>
      <c r="FO338" s="174"/>
      <c r="FP338" s="174"/>
      <c r="FQ338" s="156">
        <v>0.0</v>
      </c>
      <c r="FR338" s="156">
        <v>0.0</v>
      </c>
      <c r="FS338" s="156">
        <v>0.0</v>
      </c>
      <c r="FT338" s="156">
        <v>0.0</v>
      </c>
      <c r="FU338" s="156">
        <v>0.0</v>
      </c>
      <c r="FV338" s="156">
        <v>0.0</v>
      </c>
      <c r="FW338" s="157"/>
      <c r="FX338" s="157"/>
      <c r="FY338" s="157"/>
      <c r="FZ338" s="157"/>
      <c r="GA338" s="157"/>
      <c r="GB338" s="157"/>
      <c r="GC338" s="157"/>
      <c r="GD338" s="157"/>
      <c r="GE338" s="157"/>
      <c r="GF338" s="157"/>
      <c r="GG338" s="157"/>
      <c r="GH338" s="157"/>
      <c r="GI338" s="157"/>
      <c r="GJ338" s="157"/>
      <c r="GK338" s="157"/>
      <c r="GL338" s="157"/>
      <c r="GM338" s="157"/>
      <c r="GN338" s="157"/>
      <c r="GO338" s="157"/>
      <c r="GP338" s="158"/>
      <c r="GQ338" s="157"/>
      <c r="GR338" s="157"/>
      <c r="GS338" s="157"/>
      <c r="GT338" s="157"/>
      <c r="GU338" s="157"/>
      <c r="GV338" s="157"/>
      <c r="GW338" s="157"/>
      <c r="GX338" s="157"/>
      <c r="GY338" s="157"/>
      <c r="GZ338" s="157"/>
      <c r="HA338" s="157"/>
      <c r="HB338" s="155">
        <v>0.0</v>
      </c>
      <c r="HC338" s="155">
        <v>0.0</v>
      </c>
      <c r="HD338" s="155">
        <v>0.0</v>
      </c>
      <c r="HE338" s="155">
        <v>0.0</v>
      </c>
      <c r="HF338" s="155">
        <v>0.0</v>
      </c>
      <c r="HG338" s="155">
        <v>0.0</v>
      </c>
      <c r="IL338" s="159">
        <v>0.0</v>
      </c>
      <c r="IM338" s="156">
        <v>0.0</v>
      </c>
      <c r="IN338" s="156">
        <v>0.0</v>
      </c>
      <c r="IO338" s="156">
        <v>0.0</v>
      </c>
      <c r="IP338" s="156">
        <v>0.0</v>
      </c>
      <c r="IQ338" s="160">
        <v>0.0</v>
      </c>
      <c r="JH338" s="25"/>
      <c r="JW338" s="159">
        <v>0.0</v>
      </c>
      <c r="JX338" s="156">
        <v>0.0</v>
      </c>
      <c r="JY338" s="156">
        <v>0.0</v>
      </c>
      <c r="JZ338" s="156">
        <v>0.0</v>
      </c>
      <c r="KA338" s="156">
        <v>0.0</v>
      </c>
      <c r="KB338" s="160">
        <v>0.0</v>
      </c>
      <c r="LH338" s="159">
        <f t="shared" si="10"/>
        <v>0</v>
      </c>
      <c r="LI338" s="156">
        <f t="shared" si="11"/>
        <v>0</v>
      </c>
      <c r="LJ338" s="156">
        <f t="shared" si="12"/>
        <v>0</v>
      </c>
      <c r="LK338" s="156">
        <f t="shared" si="13"/>
        <v>0</v>
      </c>
      <c r="LL338" s="156">
        <f t="shared" si="14"/>
        <v>0</v>
      </c>
      <c r="LM338" s="160">
        <f t="shared" si="15"/>
        <v>0</v>
      </c>
      <c r="QX338" s="107">
        <v>45926.0</v>
      </c>
    </row>
    <row r="339">
      <c r="A339" s="12"/>
      <c r="B339" s="12"/>
      <c r="C339" s="12"/>
      <c r="D339" s="12"/>
      <c r="E339" s="12"/>
      <c r="F339" s="12"/>
      <c r="G339" s="12"/>
      <c r="H339" s="12"/>
      <c r="I339" s="143">
        <f t="shared" si="5"/>
        <v>-12</v>
      </c>
      <c r="J339" s="144">
        <v>45924.0</v>
      </c>
      <c r="K339" s="173" t="s">
        <v>61</v>
      </c>
      <c r="L339" s="144">
        <v>45967.0</v>
      </c>
      <c r="M339" s="147" t="s">
        <v>400</v>
      </c>
      <c r="N339" s="148">
        <v>246.0</v>
      </c>
      <c r="O339" s="148">
        <v>30.0</v>
      </c>
      <c r="P339" s="26"/>
      <c r="Q339" s="26"/>
      <c r="R339" s="26"/>
      <c r="S339" s="26"/>
      <c r="T339" s="26"/>
      <c r="U339" s="147" t="s">
        <v>3040</v>
      </c>
      <c r="V339" s="149" t="s">
        <v>3041</v>
      </c>
      <c r="W339" s="198" t="s">
        <v>3042</v>
      </c>
      <c r="X339" s="181">
        <v>12.0</v>
      </c>
      <c r="Y339" s="166">
        <f t="shared" si="6"/>
        <v>12</v>
      </c>
      <c r="Z339" s="26">
        <f t="shared" si="7"/>
        <v>0</v>
      </c>
      <c r="AA339" s="26">
        <f t="shared" si="8"/>
        <v>0</v>
      </c>
      <c r="AB339" s="26">
        <f t="shared" si="9"/>
        <v>0</v>
      </c>
      <c r="AC339" s="155">
        <v>0.0</v>
      </c>
      <c r="AD339" s="155">
        <v>0.0</v>
      </c>
      <c r="AE339" s="155">
        <v>0.0</v>
      </c>
      <c r="AF339" s="155">
        <v>0.0</v>
      </c>
      <c r="AG339" s="155">
        <v>0.0</v>
      </c>
      <c r="AH339" s="155">
        <v>0.0</v>
      </c>
      <c r="BN339" s="155">
        <v>0.0</v>
      </c>
      <c r="BO339" s="155">
        <v>0.0</v>
      </c>
      <c r="BP339" s="155">
        <v>0.0</v>
      </c>
      <c r="BQ339" s="155">
        <v>0.0</v>
      </c>
      <c r="BR339" s="155">
        <v>0.0</v>
      </c>
      <c r="BS339" s="155">
        <v>0.0</v>
      </c>
      <c r="CV339" s="156">
        <v>0.0</v>
      </c>
      <c r="CW339" s="156">
        <v>0.0</v>
      </c>
      <c r="CX339" s="156">
        <v>0.0</v>
      </c>
      <c r="CY339" s="156">
        <v>0.0</v>
      </c>
      <c r="CZ339" s="156">
        <v>0.0</v>
      </c>
      <c r="DA339" s="156">
        <v>0.0</v>
      </c>
      <c r="EG339" s="156">
        <v>0.0</v>
      </c>
      <c r="EH339" s="156">
        <v>0.0</v>
      </c>
      <c r="EI339" s="156">
        <v>0.0</v>
      </c>
      <c r="EJ339" s="156">
        <v>0.0</v>
      </c>
      <c r="EK339" s="156">
        <v>0.0</v>
      </c>
      <c r="EL339" s="156">
        <v>0.0</v>
      </c>
      <c r="FQ339" s="156">
        <v>0.0</v>
      </c>
      <c r="FR339" s="156">
        <v>0.0</v>
      </c>
      <c r="FS339" s="156">
        <v>0.0</v>
      </c>
      <c r="FT339" s="156">
        <v>0.0</v>
      </c>
      <c r="FU339" s="156">
        <v>0.0</v>
      </c>
      <c r="FV339" s="156">
        <v>0.0</v>
      </c>
      <c r="FW339" s="157"/>
      <c r="FX339" s="157"/>
      <c r="FY339" s="157"/>
      <c r="FZ339" s="157"/>
      <c r="GA339" s="157"/>
      <c r="GB339" s="157"/>
      <c r="GC339" s="157"/>
      <c r="GD339" s="157"/>
      <c r="GE339" s="157"/>
      <c r="GF339" s="157"/>
      <c r="GG339" s="157"/>
      <c r="GH339" s="157"/>
      <c r="GI339" s="157"/>
      <c r="GJ339" s="157"/>
      <c r="GK339" s="157"/>
      <c r="GL339" s="157"/>
      <c r="GM339" s="157"/>
      <c r="GN339" s="157"/>
      <c r="GO339" s="157"/>
      <c r="GP339" s="158"/>
      <c r="GQ339" s="157"/>
      <c r="GR339" s="157"/>
      <c r="GS339" s="157"/>
      <c r="GT339" s="157"/>
      <c r="GU339" s="157"/>
      <c r="GV339" s="157"/>
      <c r="GW339" s="157"/>
      <c r="GX339" s="157"/>
      <c r="GY339" s="157"/>
      <c r="GZ339" s="157"/>
      <c r="HA339" s="157"/>
      <c r="HB339" s="155">
        <v>0.0</v>
      </c>
      <c r="HC339" s="155">
        <v>0.0</v>
      </c>
      <c r="HD339" s="155">
        <v>0.0</v>
      </c>
      <c r="HE339" s="155">
        <v>0.0</v>
      </c>
      <c r="HF339" s="155">
        <v>0.0</v>
      </c>
      <c r="HG339" s="155">
        <v>0.0</v>
      </c>
      <c r="IL339" s="159">
        <v>0.0</v>
      </c>
      <c r="IM339" s="156">
        <v>0.0</v>
      </c>
      <c r="IN339" s="156">
        <v>0.0</v>
      </c>
      <c r="IO339" s="156">
        <v>0.0</v>
      </c>
      <c r="IP339" s="156">
        <v>0.0</v>
      </c>
      <c r="IQ339" s="160">
        <v>0.0</v>
      </c>
      <c r="JH339" s="25"/>
      <c r="JW339" s="159">
        <v>0.0</v>
      </c>
      <c r="JX339" s="156">
        <v>0.0</v>
      </c>
      <c r="JY339" s="156">
        <v>0.0</v>
      </c>
      <c r="JZ339" s="156">
        <v>0.0</v>
      </c>
      <c r="KA339" s="156">
        <v>0.0</v>
      </c>
      <c r="KB339" s="160">
        <v>0.0</v>
      </c>
      <c r="LH339" s="159">
        <f t="shared" si="10"/>
        <v>0</v>
      </c>
      <c r="LI339" s="156">
        <f t="shared" si="11"/>
        <v>0</v>
      </c>
      <c r="LJ339" s="156">
        <f t="shared" si="12"/>
        <v>0</v>
      </c>
      <c r="LK339" s="156">
        <f t="shared" si="13"/>
        <v>0</v>
      </c>
      <c r="LL339" s="156">
        <f t="shared" si="14"/>
        <v>0</v>
      </c>
      <c r="LM339" s="160">
        <f t="shared" si="15"/>
        <v>0</v>
      </c>
      <c r="QX339" s="107">
        <v>45926.0</v>
      </c>
    </row>
    <row r="340">
      <c r="A340" s="12"/>
      <c r="B340" s="12"/>
      <c r="C340" s="12"/>
      <c r="D340" s="12"/>
      <c r="E340" s="12"/>
      <c r="F340" s="12"/>
      <c r="G340" s="12"/>
      <c r="H340" s="12"/>
      <c r="I340" s="143">
        <f t="shared" si="5"/>
        <v>-30</v>
      </c>
      <c r="J340" s="144">
        <v>45927.0</v>
      </c>
      <c r="K340" s="145" t="s">
        <v>61</v>
      </c>
      <c r="L340" s="171">
        <v>46055.0</v>
      </c>
      <c r="M340" s="147" t="s">
        <v>1157</v>
      </c>
      <c r="N340" s="148" t="s">
        <v>467</v>
      </c>
      <c r="O340" s="148">
        <v>30.0</v>
      </c>
      <c r="P340" s="26"/>
      <c r="Q340" s="26"/>
      <c r="R340" s="26"/>
      <c r="S340" s="26"/>
      <c r="T340" s="26"/>
      <c r="U340" s="147" t="s">
        <v>3043</v>
      </c>
      <c r="V340" s="149" t="s">
        <v>1553</v>
      </c>
      <c r="W340" s="198" t="s">
        <v>3044</v>
      </c>
      <c r="X340" s="181">
        <v>22.0</v>
      </c>
      <c r="Y340" s="166">
        <f t="shared" si="6"/>
        <v>30</v>
      </c>
      <c r="Z340" s="26">
        <f t="shared" si="7"/>
        <v>0</v>
      </c>
      <c r="AA340" s="26">
        <f t="shared" si="8"/>
        <v>0</v>
      </c>
      <c r="AB340" s="26">
        <f t="shared" si="9"/>
        <v>0</v>
      </c>
      <c r="AC340" s="155">
        <v>7.0</v>
      </c>
      <c r="AD340" s="155">
        <v>0.0</v>
      </c>
      <c r="AE340" s="155">
        <v>0.0</v>
      </c>
      <c r="AF340" s="155">
        <v>0.0</v>
      </c>
      <c r="AG340" s="155">
        <v>0.0</v>
      </c>
      <c r="AH340" s="155">
        <v>0.0</v>
      </c>
      <c r="AK340" s="86">
        <v>1.0</v>
      </c>
      <c r="AL340" s="86">
        <v>1.0</v>
      </c>
      <c r="AR340" s="86">
        <v>1.0</v>
      </c>
      <c r="AS340" s="86">
        <v>1.0</v>
      </c>
      <c r="AZ340" s="86">
        <v>1.0</v>
      </c>
      <c r="BG340" s="86">
        <v>1.0</v>
      </c>
      <c r="BM340" s="86">
        <v>1.0</v>
      </c>
      <c r="BN340" s="155">
        <v>1.0</v>
      </c>
      <c r="BO340" s="155">
        <v>0.0</v>
      </c>
      <c r="BP340" s="155">
        <v>0.0</v>
      </c>
      <c r="BQ340" s="155">
        <v>0.0</v>
      </c>
      <c r="BR340" s="155">
        <v>0.0</v>
      </c>
      <c r="BS340" s="155">
        <v>0.0</v>
      </c>
      <c r="BT340" s="86">
        <v>1.0</v>
      </c>
      <c r="CV340" s="156">
        <v>0.0</v>
      </c>
      <c r="CW340" s="156">
        <v>0.0</v>
      </c>
      <c r="CX340" s="156">
        <v>0.0</v>
      </c>
      <c r="CY340" s="156">
        <v>0.0</v>
      </c>
      <c r="CZ340" s="156">
        <v>0.0</v>
      </c>
      <c r="DA340" s="156">
        <v>0.0</v>
      </c>
      <c r="EG340" s="156">
        <v>0.0</v>
      </c>
      <c r="EH340" s="156">
        <v>0.0</v>
      </c>
      <c r="EI340" s="156">
        <v>0.0</v>
      </c>
      <c r="EJ340" s="156">
        <v>0.0</v>
      </c>
      <c r="EK340" s="156">
        <v>0.0</v>
      </c>
      <c r="EL340" s="156">
        <v>0.0</v>
      </c>
      <c r="FQ340" s="156">
        <v>0.0</v>
      </c>
      <c r="FR340" s="156">
        <v>0.0</v>
      </c>
      <c r="FS340" s="156">
        <v>0.0</v>
      </c>
      <c r="FT340" s="156">
        <v>0.0</v>
      </c>
      <c r="FU340" s="156">
        <v>0.0</v>
      </c>
      <c r="FV340" s="156">
        <v>0.0</v>
      </c>
      <c r="FW340" s="157"/>
      <c r="FX340" s="157"/>
      <c r="FY340" s="157"/>
      <c r="FZ340" s="157"/>
      <c r="GA340" s="157"/>
      <c r="GB340" s="157"/>
      <c r="GC340" s="157"/>
      <c r="GD340" s="157"/>
      <c r="GE340" s="157"/>
      <c r="GF340" s="157"/>
      <c r="GG340" s="157"/>
      <c r="GH340" s="157"/>
      <c r="GI340" s="157"/>
      <c r="GJ340" s="157"/>
      <c r="GK340" s="157"/>
      <c r="GL340" s="157"/>
      <c r="GM340" s="157"/>
      <c r="GN340" s="157"/>
      <c r="GO340" s="157"/>
      <c r="GP340" s="158"/>
      <c r="GQ340" s="157"/>
      <c r="GR340" s="157"/>
      <c r="GS340" s="157"/>
      <c r="GT340" s="157"/>
      <c r="GU340" s="157"/>
      <c r="GV340" s="157"/>
      <c r="GW340" s="157"/>
      <c r="GX340" s="157"/>
      <c r="GY340" s="157"/>
      <c r="GZ340" s="157"/>
      <c r="HA340" s="157"/>
      <c r="HB340" s="155">
        <v>0.0</v>
      </c>
      <c r="HC340" s="155">
        <v>0.0</v>
      </c>
      <c r="HD340" s="155">
        <v>0.0</v>
      </c>
      <c r="HE340" s="155">
        <v>0.0</v>
      </c>
      <c r="HF340" s="155">
        <v>0.0</v>
      </c>
      <c r="HG340" s="155">
        <v>0.0</v>
      </c>
      <c r="IL340" s="159">
        <v>0.0</v>
      </c>
      <c r="IM340" s="156">
        <v>0.0</v>
      </c>
      <c r="IN340" s="156">
        <v>0.0</v>
      </c>
      <c r="IO340" s="156">
        <v>0.0</v>
      </c>
      <c r="IP340" s="156">
        <v>0.0</v>
      </c>
      <c r="IQ340" s="160">
        <v>0.0</v>
      </c>
      <c r="JH340" s="25"/>
      <c r="JW340" s="159">
        <v>0.0</v>
      </c>
      <c r="JX340" s="156">
        <v>0.0</v>
      </c>
      <c r="JY340" s="156">
        <v>0.0</v>
      </c>
      <c r="JZ340" s="156">
        <v>0.0</v>
      </c>
      <c r="KA340" s="156">
        <v>0.0</v>
      </c>
      <c r="KB340" s="160">
        <v>0.0</v>
      </c>
      <c r="LH340" s="159">
        <f t="shared" si="10"/>
        <v>0</v>
      </c>
      <c r="LI340" s="156">
        <f t="shared" si="11"/>
        <v>0</v>
      </c>
      <c r="LJ340" s="156">
        <f t="shared" si="12"/>
        <v>0</v>
      </c>
      <c r="LK340" s="156">
        <f t="shared" si="13"/>
        <v>0</v>
      </c>
      <c r="LL340" s="156">
        <f t="shared" si="14"/>
        <v>0</v>
      </c>
      <c r="LM340" s="160">
        <f t="shared" si="15"/>
        <v>0</v>
      </c>
      <c r="QX340" s="107">
        <v>45926.0</v>
      </c>
    </row>
    <row r="341">
      <c r="A341" s="12"/>
      <c r="B341" s="12"/>
      <c r="C341" s="12"/>
      <c r="D341" s="12"/>
      <c r="E341" s="12"/>
      <c r="F341" s="12"/>
      <c r="G341" s="12"/>
      <c r="H341" s="12"/>
      <c r="I341" s="143">
        <f t="shared" si="5"/>
        <v>-30</v>
      </c>
      <c r="J341" s="144">
        <v>45925.0</v>
      </c>
      <c r="K341" s="145" t="s">
        <v>61</v>
      </c>
      <c r="L341" s="171">
        <v>46048.0</v>
      </c>
      <c r="M341" s="147" t="s">
        <v>2781</v>
      </c>
      <c r="N341" s="148">
        <v>25.0</v>
      </c>
      <c r="O341" s="148">
        <v>30.0</v>
      </c>
      <c r="P341" s="26"/>
      <c r="Q341" s="26"/>
      <c r="R341" s="26"/>
      <c r="S341" s="26"/>
      <c r="T341" s="26"/>
      <c r="U341" s="147" t="s">
        <v>1073</v>
      </c>
      <c r="V341" s="149" t="s">
        <v>2185</v>
      </c>
      <c r="W341" s="198" t="s">
        <v>3046</v>
      </c>
      <c r="X341" s="181">
        <v>25.0</v>
      </c>
      <c r="Y341" s="166">
        <f t="shared" si="6"/>
        <v>30</v>
      </c>
      <c r="Z341" s="26">
        <f t="shared" si="7"/>
        <v>0</v>
      </c>
      <c r="AA341" s="26">
        <f t="shared" si="8"/>
        <v>1</v>
      </c>
      <c r="AB341" s="26">
        <f t="shared" si="9"/>
        <v>0</v>
      </c>
      <c r="AC341" s="155">
        <v>5.0</v>
      </c>
      <c r="AD341" s="155">
        <v>0.0</v>
      </c>
      <c r="AE341" s="155">
        <v>0.0</v>
      </c>
      <c r="AF341" s="155">
        <v>1.0</v>
      </c>
      <c r="AG341" s="155">
        <v>0.0</v>
      </c>
      <c r="AH341" s="155">
        <v>0.0</v>
      </c>
      <c r="AT341" s="86">
        <v>1.0</v>
      </c>
      <c r="AW341" s="86">
        <v>1.0</v>
      </c>
      <c r="BA341" s="86">
        <v>1.0</v>
      </c>
      <c r="BD341" s="86">
        <v>1.0</v>
      </c>
      <c r="BH341" s="86" t="s">
        <v>947</v>
      </c>
      <c r="BN341" s="155">
        <v>0.0</v>
      </c>
      <c r="BO341" s="155">
        <v>0.0</v>
      </c>
      <c r="BP341" s="155">
        <v>0.0</v>
      </c>
      <c r="BQ341" s="155">
        <v>0.0</v>
      </c>
      <c r="BR341" s="155">
        <v>0.0</v>
      </c>
      <c r="BS341" s="155">
        <v>0.0</v>
      </c>
      <c r="CV341" s="156">
        <v>0.0</v>
      </c>
      <c r="CW341" s="156">
        <v>0.0</v>
      </c>
      <c r="CX341" s="156">
        <v>0.0</v>
      </c>
      <c r="CY341" s="156">
        <v>0.0</v>
      </c>
      <c r="CZ341" s="156">
        <v>0.0</v>
      </c>
      <c r="DA341" s="156">
        <v>0.0</v>
      </c>
      <c r="EG341" s="156">
        <v>0.0</v>
      </c>
      <c r="EH341" s="156">
        <v>0.0</v>
      </c>
      <c r="EI341" s="156">
        <v>0.0</v>
      </c>
      <c r="EJ341" s="156">
        <v>0.0</v>
      </c>
      <c r="EK341" s="156">
        <v>0.0</v>
      </c>
      <c r="EL341" s="156">
        <v>0.0</v>
      </c>
      <c r="FQ341" s="156">
        <v>0.0</v>
      </c>
      <c r="FR341" s="156">
        <v>0.0</v>
      </c>
      <c r="FS341" s="156">
        <v>0.0</v>
      </c>
      <c r="FT341" s="156">
        <v>0.0</v>
      </c>
      <c r="FU341" s="156">
        <v>0.0</v>
      </c>
      <c r="FV341" s="156">
        <v>0.0</v>
      </c>
      <c r="FW341" s="157"/>
      <c r="FX341" s="157"/>
      <c r="FY341" s="157"/>
      <c r="FZ341" s="157"/>
      <c r="GA341" s="157"/>
      <c r="GB341" s="157"/>
      <c r="GC341" s="157"/>
      <c r="GD341" s="157"/>
      <c r="GE341" s="157"/>
      <c r="GF341" s="157"/>
      <c r="GG341" s="157"/>
      <c r="GH341" s="157"/>
      <c r="GI341" s="157"/>
      <c r="GJ341" s="157"/>
      <c r="GK341" s="157"/>
      <c r="GL341" s="157"/>
      <c r="GM341" s="157"/>
      <c r="GN341" s="157"/>
      <c r="GO341" s="157"/>
      <c r="GP341" s="158"/>
      <c r="GQ341" s="157"/>
      <c r="GR341" s="157"/>
      <c r="GS341" s="157"/>
      <c r="GT341" s="157"/>
      <c r="GU341" s="157"/>
      <c r="GV341" s="157"/>
      <c r="GW341" s="157"/>
      <c r="GX341" s="157"/>
      <c r="GY341" s="157"/>
      <c r="GZ341" s="157"/>
      <c r="HA341" s="157"/>
      <c r="HB341" s="155">
        <v>0.0</v>
      </c>
      <c r="HC341" s="155">
        <v>0.0</v>
      </c>
      <c r="HD341" s="155">
        <v>0.0</v>
      </c>
      <c r="HE341" s="155">
        <v>0.0</v>
      </c>
      <c r="HF341" s="155">
        <v>0.0</v>
      </c>
      <c r="HG341" s="155">
        <v>0.0</v>
      </c>
      <c r="IL341" s="159">
        <v>0.0</v>
      </c>
      <c r="IM341" s="156">
        <v>0.0</v>
      </c>
      <c r="IN341" s="156">
        <v>0.0</v>
      </c>
      <c r="IO341" s="156">
        <v>0.0</v>
      </c>
      <c r="IP341" s="156">
        <v>0.0</v>
      </c>
      <c r="IQ341" s="160">
        <v>0.0</v>
      </c>
      <c r="JH341" s="25"/>
      <c r="JW341" s="159">
        <v>0.0</v>
      </c>
      <c r="JX341" s="156">
        <v>0.0</v>
      </c>
      <c r="JY341" s="156">
        <v>0.0</v>
      </c>
      <c r="JZ341" s="156">
        <v>0.0</v>
      </c>
      <c r="KA341" s="156">
        <v>0.0</v>
      </c>
      <c r="KB341" s="160">
        <v>0.0</v>
      </c>
      <c r="LH341" s="159">
        <f t="shared" si="10"/>
        <v>0</v>
      </c>
      <c r="LI341" s="156">
        <f t="shared" si="11"/>
        <v>0</v>
      </c>
      <c r="LJ341" s="156">
        <f t="shared" si="12"/>
        <v>0</v>
      </c>
      <c r="LK341" s="156">
        <f t="shared" si="13"/>
        <v>0</v>
      </c>
      <c r="LL341" s="156">
        <f t="shared" si="14"/>
        <v>0</v>
      </c>
      <c r="LM341" s="160">
        <f t="shared" si="15"/>
        <v>0</v>
      </c>
      <c r="QX341" s="107">
        <v>45926.0</v>
      </c>
    </row>
    <row r="342">
      <c r="A342" s="12"/>
      <c r="B342" s="12"/>
      <c r="C342" s="12"/>
      <c r="D342" s="12"/>
      <c r="E342" s="12"/>
      <c r="F342" s="12"/>
      <c r="G342" s="12"/>
      <c r="H342" s="12"/>
      <c r="I342" s="143">
        <f t="shared" si="5"/>
        <v>-30</v>
      </c>
      <c r="J342" s="144">
        <v>45927.0</v>
      </c>
      <c r="K342" s="145" t="s">
        <v>61</v>
      </c>
      <c r="L342" s="171">
        <v>46097.0</v>
      </c>
      <c r="M342" s="147" t="s">
        <v>400</v>
      </c>
      <c r="N342" s="148">
        <v>37.0</v>
      </c>
      <c r="O342" s="148">
        <v>30.0</v>
      </c>
      <c r="P342" s="26"/>
      <c r="Q342" s="26"/>
      <c r="R342" s="26"/>
      <c r="S342" s="26"/>
      <c r="T342" s="26"/>
      <c r="U342" s="147" t="s">
        <v>955</v>
      </c>
      <c r="V342" s="149" t="s">
        <v>563</v>
      </c>
      <c r="W342" s="198" t="s">
        <v>3048</v>
      </c>
      <c r="X342" s="181">
        <v>21.0</v>
      </c>
      <c r="Y342" s="166">
        <f t="shared" si="6"/>
        <v>30</v>
      </c>
      <c r="Z342" s="26">
        <f t="shared" si="7"/>
        <v>0</v>
      </c>
      <c r="AA342" s="26">
        <f t="shared" si="8"/>
        <v>0</v>
      </c>
      <c r="AB342" s="26">
        <f t="shared" si="9"/>
        <v>0</v>
      </c>
      <c r="AC342" s="155">
        <v>5.0</v>
      </c>
      <c r="AD342" s="155">
        <v>0.0</v>
      </c>
      <c r="AE342" s="155">
        <v>0.0</v>
      </c>
      <c r="AF342" s="155">
        <v>0.0</v>
      </c>
      <c r="AG342" s="155">
        <v>0.0</v>
      </c>
      <c r="AH342" s="155">
        <v>0.0</v>
      </c>
      <c r="AN342" s="86">
        <v>1.0</v>
      </c>
      <c r="AR342" s="86">
        <v>1.0</v>
      </c>
      <c r="AU342" s="86">
        <v>1.0</v>
      </c>
      <c r="BI342" s="86">
        <v>1.0</v>
      </c>
      <c r="BL342" s="86">
        <v>1.0</v>
      </c>
      <c r="BN342" s="155">
        <v>4.0</v>
      </c>
      <c r="BO342" s="155">
        <v>0.0</v>
      </c>
      <c r="BP342" s="155">
        <v>0.0</v>
      </c>
      <c r="BQ342" s="155">
        <v>0.0</v>
      </c>
      <c r="BR342" s="155">
        <v>0.0</v>
      </c>
      <c r="BS342" s="155">
        <v>0.0</v>
      </c>
      <c r="BV342" s="86">
        <v>1.0</v>
      </c>
      <c r="BZ342" s="86">
        <v>1.0</v>
      </c>
      <c r="CC342" s="86">
        <v>1.0</v>
      </c>
      <c r="CQ342" s="86">
        <v>1.0</v>
      </c>
      <c r="CV342" s="156">
        <v>0.0</v>
      </c>
      <c r="CW342" s="156">
        <v>0.0</v>
      </c>
      <c r="CX342" s="156">
        <v>0.0</v>
      </c>
      <c r="CY342" s="156">
        <v>0.0</v>
      </c>
      <c r="CZ342" s="156">
        <v>0.0</v>
      </c>
      <c r="DA342" s="156">
        <v>0.0</v>
      </c>
      <c r="EG342" s="156">
        <v>0.0</v>
      </c>
      <c r="EH342" s="156">
        <v>0.0</v>
      </c>
      <c r="EI342" s="156">
        <v>0.0</v>
      </c>
      <c r="EJ342" s="156">
        <v>0.0</v>
      </c>
      <c r="EK342" s="156">
        <v>0.0</v>
      </c>
      <c r="EL342" s="156">
        <v>0.0</v>
      </c>
      <c r="FQ342" s="156">
        <v>0.0</v>
      </c>
      <c r="FR342" s="156">
        <v>0.0</v>
      </c>
      <c r="FS342" s="156">
        <v>0.0</v>
      </c>
      <c r="FT342" s="156">
        <v>0.0</v>
      </c>
      <c r="FU342" s="156">
        <v>0.0</v>
      </c>
      <c r="FV342" s="156">
        <v>0.0</v>
      </c>
      <c r="FW342" s="157"/>
      <c r="FX342" s="157"/>
      <c r="FY342" s="157"/>
      <c r="FZ342" s="157"/>
      <c r="GA342" s="157"/>
      <c r="GB342" s="157"/>
      <c r="GC342" s="157"/>
      <c r="GD342" s="157"/>
      <c r="GE342" s="157"/>
      <c r="GF342" s="157"/>
      <c r="GG342" s="157"/>
      <c r="GH342" s="157"/>
      <c r="GI342" s="157"/>
      <c r="GJ342" s="157"/>
      <c r="GK342" s="157"/>
      <c r="GL342" s="157"/>
      <c r="GM342" s="157"/>
      <c r="GN342" s="157"/>
      <c r="GO342" s="157"/>
      <c r="GP342" s="158"/>
      <c r="GQ342" s="157"/>
      <c r="GR342" s="157"/>
      <c r="GS342" s="157"/>
      <c r="GT342" s="157"/>
      <c r="GU342" s="157"/>
      <c r="GV342" s="157"/>
      <c r="GW342" s="157"/>
      <c r="GX342" s="157"/>
      <c r="GY342" s="157"/>
      <c r="GZ342" s="157"/>
      <c r="HA342" s="157"/>
      <c r="HB342" s="155">
        <v>0.0</v>
      </c>
      <c r="HC342" s="155">
        <v>0.0</v>
      </c>
      <c r="HD342" s="155">
        <v>0.0</v>
      </c>
      <c r="HE342" s="155">
        <v>0.0</v>
      </c>
      <c r="HF342" s="155">
        <v>0.0</v>
      </c>
      <c r="HG342" s="155">
        <v>0.0</v>
      </c>
      <c r="IL342" s="159">
        <v>0.0</v>
      </c>
      <c r="IM342" s="156">
        <v>0.0</v>
      </c>
      <c r="IN342" s="156">
        <v>0.0</v>
      </c>
      <c r="IO342" s="156">
        <v>0.0</v>
      </c>
      <c r="IP342" s="156">
        <v>0.0</v>
      </c>
      <c r="IQ342" s="160">
        <v>0.0</v>
      </c>
      <c r="JH342" s="25"/>
      <c r="JW342" s="159">
        <v>0.0</v>
      </c>
      <c r="JX342" s="156">
        <v>0.0</v>
      </c>
      <c r="JY342" s="156">
        <v>0.0</v>
      </c>
      <c r="JZ342" s="156">
        <v>0.0</v>
      </c>
      <c r="KA342" s="156">
        <v>0.0</v>
      </c>
      <c r="KB342" s="160">
        <v>0.0</v>
      </c>
      <c r="LH342" s="159">
        <f t="shared" si="10"/>
        <v>0</v>
      </c>
      <c r="LI342" s="156">
        <f t="shared" si="11"/>
        <v>0</v>
      </c>
      <c r="LJ342" s="156">
        <f t="shared" si="12"/>
        <v>0</v>
      </c>
      <c r="LK342" s="156">
        <f t="shared" si="13"/>
        <v>0</v>
      </c>
      <c r="LL342" s="156">
        <f t="shared" si="14"/>
        <v>0</v>
      </c>
      <c r="LM342" s="160">
        <f t="shared" si="15"/>
        <v>0</v>
      </c>
      <c r="QX342" s="107">
        <v>45929.0</v>
      </c>
    </row>
    <row r="343">
      <c r="A343" s="25"/>
      <c r="B343" s="25"/>
      <c r="C343" s="25"/>
      <c r="D343" s="25"/>
      <c r="E343" s="25"/>
      <c r="F343" s="25"/>
      <c r="G343" s="25"/>
      <c r="H343" s="25"/>
      <c r="I343" s="143">
        <f t="shared" si="5"/>
        <v>-30</v>
      </c>
      <c r="J343" s="170" t="s">
        <v>3050</v>
      </c>
      <c r="K343" s="164" t="s">
        <v>61</v>
      </c>
      <c r="L343" s="179">
        <v>46182.0</v>
      </c>
      <c r="M343" s="147" t="s">
        <v>400</v>
      </c>
      <c r="N343" s="148">
        <v>357.0</v>
      </c>
      <c r="O343" s="148">
        <v>30.0</v>
      </c>
      <c r="P343" s="26"/>
      <c r="Q343" s="26"/>
      <c r="R343" s="26"/>
      <c r="S343" s="26"/>
      <c r="T343" s="26"/>
      <c r="U343" s="164" t="s">
        <v>3051</v>
      </c>
      <c r="V343" s="394" t="s">
        <v>2897</v>
      </c>
      <c r="W343" s="248" t="s">
        <v>3052</v>
      </c>
      <c r="X343" s="181">
        <v>9.0</v>
      </c>
      <c r="Y343" s="166">
        <f t="shared" si="6"/>
        <v>30</v>
      </c>
      <c r="Z343" s="26">
        <f t="shared" si="7"/>
        <v>0</v>
      </c>
      <c r="AA343" s="26">
        <f t="shared" si="8"/>
        <v>0</v>
      </c>
      <c r="AB343" s="26">
        <f t="shared" si="9"/>
        <v>0</v>
      </c>
      <c r="AC343" s="155">
        <v>0.0</v>
      </c>
      <c r="AD343" s="155">
        <v>0.0</v>
      </c>
      <c r="AE343" s="155">
        <v>0.0</v>
      </c>
      <c r="AF343" s="155">
        <v>0.0</v>
      </c>
      <c r="AG343" s="155">
        <v>0.0</v>
      </c>
      <c r="AH343" s="155">
        <v>0.0</v>
      </c>
      <c r="BN343" s="155">
        <v>0.0</v>
      </c>
      <c r="BO343" s="155">
        <v>0.0</v>
      </c>
      <c r="BP343" s="155">
        <v>0.0</v>
      </c>
      <c r="BQ343" s="155">
        <v>0.0</v>
      </c>
      <c r="BR343" s="155">
        <v>0.0</v>
      </c>
      <c r="BS343" s="155">
        <v>0.0</v>
      </c>
      <c r="CV343" s="156">
        <v>1.0</v>
      </c>
      <c r="CW343" s="156">
        <v>0.0</v>
      </c>
      <c r="CX343" s="156">
        <v>0.0</v>
      </c>
      <c r="CY343" s="156">
        <v>0.0</v>
      </c>
      <c r="CZ343" s="156">
        <v>0.0</v>
      </c>
      <c r="DA343" s="156">
        <v>0.0</v>
      </c>
      <c r="EC343" s="86">
        <v>1.0</v>
      </c>
      <c r="EG343" s="156">
        <v>9.0</v>
      </c>
      <c r="EH343" s="156">
        <v>0.0</v>
      </c>
      <c r="EI343" s="156">
        <v>0.0</v>
      </c>
      <c r="EJ343" s="156">
        <v>0.0</v>
      </c>
      <c r="EK343" s="156">
        <v>0.0</v>
      </c>
      <c r="EL343" s="156">
        <v>0.0</v>
      </c>
      <c r="EN343" s="86">
        <v>1.0</v>
      </c>
      <c r="EP343" s="86">
        <v>1.0</v>
      </c>
      <c r="EU343" s="86">
        <v>1.0</v>
      </c>
      <c r="EW343" s="86">
        <v>1.0</v>
      </c>
      <c r="FB343" s="86">
        <v>1.0</v>
      </c>
      <c r="FD343" s="86">
        <v>1.0</v>
      </c>
      <c r="FG343" s="86">
        <v>1.0</v>
      </c>
      <c r="FK343" s="86">
        <v>1.0</v>
      </c>
      <c r="FN343" s="86">
        <v>1.0</v>
      </c>
      <c r="FQ343" s="156">
        <v>11.0</v>
      </c>
      <c r="FR343" s="156">
        <v>0.0</v>
      </c>
      <c r="FS343" s="156">
        <v>0.0</v>
      </c>
      <c r="FT343" s="156">
        <v>0.0</v>
      </c>
      <c r="FU343" s="156">
        <v>0.0</v>
      </c>
      <c r="FV343" s="156">
        <v>0.0</v>
      </c>
      <c r="FW343" s="172"/>
      <c r="FX343" s="172"/>
      <c r="FY343" s="172"/>
      <c r="FZ343" s="172"/>
      <c r="GA343" s="172"/>
      <c r="GB343" s="172"/>
      <c r="GC343" s="172">
        <v>2.0</v>
      </c>
      <c r="GD343" s="172">
        <v>0.0</v>
      </c>
      <c r="GE343" s="172">
        <v>1.0</v>
      </c>
      <c r="GF343" s="172">
        <v>0.0</v>
      </c>
      <c r="GG343" s="172">
        <v>0.0</v>
      </c>
      <c r="GH343" s="172">
        <v>1.0</v>
      </c>
      <c r="GI343" s="172">
        <v>0.0</v>
      </c>
      <c r="GJ343" s="172">
        <v>1.0</v>
      </c>
      <c r="GK343" s="172"/>
      <c r="GL343" s="172"/>
      <c r="GM343" s="172"/>
      <c r="GN343" s="172"/>
      <c r="GO343" s="172">
        <v>1.0</v>
      </c>
      <c r="GP343" s="170">
        <v>0.0</v>
      </c>
      <c r="GQ343" s="172">
        <v>1.0</v>
      </c>
      <c r="GR343" s="172">
        <v>0.0</v>
      </c>
      <c r="GS343" s="172">
        <v>1.0</v>
      </c>
      <c r="GT343" s="172">
        <v>0.0</v>
      </c>
      <c r="GU343" s="172">
        <v>0.0</v>
      </c>
      <c r="GV343" s="172">
        <v>1.0</v>
      </c>
      <c r="GW343" s="172">
        <v>0.0</v>
      </c>
      <c r="GX343" s="172">
        <v>1.0</v>
      </c>
      <c r="GY343" s="172">
        <v>0.0</v>
      </c>
      <c r="GZ343" s="172">
        <v>1.0</v>
      </c>
      <c r="HA343" s="172">
        <v>0.0</v>
      </c>
      <c r="HB343" s="155">
        <v>0.0</v>
      </c>
      <c r="HC343" s="155">
        <v>0.0</v>
      </c>
      <c r="HD343" s="155">
        <v>0.0</v>
      </c>
      <c r="HE343" s="155">
        <v>0.0</v>
      </c>
      <c r="HF343" s="155">
        <v>0.0</v>
      </c>
      <c r="HG343" s="155">
        <v>0.0</v>
      </c>
      <c r="HH343" s="172"/>
      <c r="HI343" s="172"/>
      <c r="HJ343" s="172"/>
      <c r="HK343" s="172"/>
      <c r="HL343" s="172"/>
      <c r="HM343" s="172"/>
      <c r="HN343" s="172"/>
      <c r="HO343" s="172"/>
      <c r="HP343" s="172"/>
      <c r="HQ343" s="172"/>
      <c r="HR343" s="172"/>
      <c r="HS343" s="172"/>
      <c r="HT343" s="172"/>
      <c r="HU343" s="172"/>
      <c r="HV343" s="172"/>
      <c r="HW343" s="172"/>
      <c r="HX343" s="172"/>
      <c r="HY343" s="172"/>
      <c r="HZ343" s="172"/>
      <c r="IA343" s="172"/>
      <c r="IB343" s="172"/>
      <c r="IC343" s="172"/>
      <c r="ID343" s="172"/>
      <c r="IE343" s="172"/>
      <c r="IF343" s="172"/>
      <c r="IG343" s="172"/>
      <c r="IH343" s="172"/>
      <c r="II343" s="172"/>
      <c r="IJ343" s="172"/>
      <c r="IK343" s="172"/>
      <c r="IL343" s="159">
        <v>0.0</v>
      </c>
      <c r="IM343" s="156">
        <v>0.0</v>
      </c>
      <c r="IN343" s="156">
        <v>0.0</v>
      </c>
      <c r="IO343" s="156">
        <v>0.0</v>
      </c>
      <c r="IP343" s="156">
        <v>0.0</v>
      </c>
      <c r="IQ343" s="160">
        <v>0.0</v>
      </c>
      <c r="JH343" s="25"/>
      <c r="JW343" s="159">
        <v>0.0</v>
      </c>
      <c r="JX343" s="156">
        <v>0.0</v>
      </c>
      <c r="JY343" s="156">
        <v>0.0</v>
      </c>
      <c r="JZ343" s="156">
        <v>0.0</v>
      </c>
      <c r="KA343" s="156">
        <v>0.0</v>
      </c>
      <c r="KB343" s="160">
        <v>0.0</v>
      </c>
      <c r="LH343" s="159">
        <f t="shared" si="10"/>
        <v>0</v>
      </c>
      <c r="LI343" s="156">
        <f t="shared" si="11"/>
        <v>0</v>
      </c>
      <c r="LJ343" s="156">
        <f t="shared" si="12"/>
        <v>0</v>
      </c>
      <c r="LK343" s="156">
        <f t="shared" si="13"/>
        <v>0</v>
      </c>
      <c r="LL343" s="156">
        <f t="shared" si="14"/>
        <v>0</v>
      </c>
      <c r="LM343" s="160">
        <f t="shared" si="15"/>
        <v>0</v>
      </c>
      <c r="QX343" s="107">
        <v>45929.0</v>
      </c>
    </row>
    <row r="344">
      <c r="A344" s="12"/>
      <c r="B344" s="12"/>
      <c r="C344" s="12"/>
      <c r="D344" s="12"/>
      <c r="E344" s="12"/>
      <c r="F344" s="12"/>
      <c r="G344" s="12"/>
      <c r="H344" s="12"/>
      <c r="I344" s="143">
        <f t="shared" si="5"/>
        <v>-16</v>
      </c>
      <c r="J344" s="295">
        <v>45930.0</v>
      </c>
      <c r="K344" s="184" t="s">
        <v>53</v>
      </c>
      <c r="L344" s="297">
        <v>46035.0</v>
      </c>
      <c r="M344" s="147" t="s">
        <v>348</v>
      </c>
      <c r="N344" s="148">
        <v>35.0</v>
      </c>
      <c r="O344" s="148">
        <v>30.0</v>
      </c>
      <c r="P344" s="26"/>
      <c r="Q344" s="26"/>
      <c r="R344" s="26"/>
      <c r="S344" s="26"/>
      <c r="T344" s="26"/>
      <c r="U344" s="147" t="s">
        <v>1805</v>
      </c>
      <c r="V344" s="149" t="s">
        <v>1807</v>
      </c>
      <c r="W344" s="150" t="s">
        <v>3053</v>
      </c>
      <c r="X344" s="181">
        <v>16.0</v>
      </c>
      <c r="Y344" s="166">
        <f t="shared" si="6"/>
        <v>16</v>
      </c>
      <c r="Z344" s="26">
        <f t="shared" si="7"/>
        <v>0</v>
      </c>
      <c r="AA344" s="26">
        <f t="shared" si="8"/>
        <v>0</v>
      </c>
      <c r="AB344" s="26">
        <f t="shared" si="9"/>
        <v>0</v>
      </c>
      <c r="AC344" s="155">
        <v>0.0</v>
      </c>
      <c r="AD344" s="155">
        <v>0.0</v>
      </c>
      <c r="AE344" s="155">
        <v>0.0</v>
      </c>
      <c r="AF344" s="155">
        <v>0.0</v>
      </c>
      <c r="AG344" s="155">
        <v>0.0</v>
      </c>
      <c r="AH344" s="155">
        <v>0.0</v>
      </c>
      <c r="BN344" s="155">
        <v>0.0</v>
      </c>
      <c r="BO344" s="155">
        <v>0.0</v>
      </c>
      <c r="BP344" s="155">
        <v>0.0</v>
      </c>
      <c r="BQ344" s="155">
        <v>0.0</v>
      </c>
      <c r="BR344" s="155">
        <v>0.0</v>
      </c>
      <c r="BS344" s="155">
        <v>0.0</v>
      </c>
      <c r="CV344" s="156">
        <v>0.0</v>
      </c>
      <c r="CW344" s="156">
        <v>0.0</v>
      </c>
      <c r="CX344" s="156">
        <v>0.0</v>
      </c>
      <c r="CY344" s="156">
        <v>0.0</v>
      </c>
      <c r="CZ344" s="156">
        <v>0.0</v>
      </c>
      <c r="DA344" s="156">
        <v>0.0</v>
      </c>
      <c r="EG344" s="156">
        <v>0.0</v>
      </c>
      <c r="EH344" s="156">
        <v>0.0</v>
      </c>
      <c r="EI344" s="156">
        <v>0.0</v>
      </c>
      <c r="EJ344" s="156">
        <v>0.0</v>
      </c>
      <c r="EK344" s="156">
        <v>0.0</v>
      </c>
      <c r="EL344" s="156">
        <v>0.0</v>
      </c>
      <c r="FQ344" s="156">
        <v>0.0</v>
      </c>
      <c r="FR344" s="156">
        <v>0.0</v>
      </c>
      <c r="FS344" s="156">
        <v>0.0</v>
      </c>
      <c r="FT344" s="156">
        <v>0.0</v>
      </c>
      <c r="FU344" s="156">
        <v>0.0</v>
      </c>
      <c r="FV344" s="156">
        <v>0.0</v>
      </c>
      <c r="FW344" s="157"/>
      <c r="FX344" s="157"/>
      <c r="FY344" s="157"/>
      <c r="FZ344" s="157"/>
      <c r="GA344" s="157"/>
      <c r="GB344" s="157"/>
      <c r="GC344" s="157"/>
      <c r="GD344" s="157"/>
      <c r="GE344" s="157"/>
      <c r="GF344" s="157"/>
      <c r="GG344" s="157"/>
      <c r="GH344" s="157"/>
      <c r="GI344" s="157"/>
      <c r="GJ344" s="157"/>
      <c r="GK344" s="157"/>
      <c r="GL344" s="157"/>
      <c r="GM344" s="157"/>
      <c r="GN344" s="157"/>
      <c r="GO344" s="157"/>
      <c r="GP344" s="158"/>
      <c r="GQ344" s="157"/>
      <c r="GR344" s="157"/>
      <c r="GS344" s="157"/>
      <c r="GT344" s="157"/>
      <c r="GU344" s="157"/>
      <c r="GV344" s="157"/>
      <c r="GW344" s="157"/>
      <c r="GX344" s="157"/>
      <c r="GY344" s="157"/>
      <c r="GZ344" s="157"/>
      <c r="HA344" s="157"/>
      <c r="HB344" s="155">
        <v>0.0</v>
      </c>
      <c r="HC344" s="155">
        <v>0.0</v>
      </c>
      <c r="HD344" s="155">
        <v>0.0</v>
      </c>
      <c r="HE344" s="155">
        <v>0.0</v>
      </c>
      <c r="HF344" s="155">
        <v>0.0</v>
      </c>
      <c r="HG344" s="155">
        <v>0.0</v>
      </c>
      <c r="IL344" s="159">
        <v>0.0</v>
      </c>
      <c r="IM344" s="156">
        <v>0.0</v>
      </c>
      <c r="IN344" s="156">
        <v>0.0</v>
      </c>
      <c r="IO344" s="156">
        <v>0.0</v>
      </c>
      <c r="IP344" s="156">
        <v>0.0</v>
      </c>
      <c r="IQ344" s="160">
        <v>0.0</v>
      </c>
      <c r="JH344" s="25"/>
      <c r="JW344" s="159">
        <v>0.0</v>
      </c>
      <c r="JX344" s="156">
        <v>0.0</v>
      </c>
      <c r="JY344" s="156">
        <v>0.0</v>
      </c>
      <c r="JZ344" s="156">
        <v>0.0</v>
      </c>
      <c r="KA344" s="156">
        <v>0.0</v>
      </c>
      <c r="KB344" s="160">
        <v>0.0</v>
      </c>
      <c r="LH344" s="159">
        <f t="shared" si="10"/>
        <v>0</v>
      </c>
      <c r="LI344" s="156">
        <f t="shared" si="11"/>
        <v>0</v>
      </c>
      <c r="LJ344" s="156">
        <f t="shared" si="12"/>
        <v>0</v>
      </c>
      <c r="LK344" s="156">
        <f t="shared" si="13"/>
        <v>0</v>
      </c>
      <c r="LL344" s="156">
        <f t="shared" si="14"/>
        <v>0</v>
      </c>
      <c r="LM344" s="160">
        <f t="shared" si="15"/>
        <v>0</v>
      </c>
      <c r="QX344" s="107">
        <v>45929.0</v>
      </c>
    </row>
    <row r="345">
      <c r="A345" s="12"/>
      <c r="B345" s="12"/>
      <c r="C345" s="12"/>
      <c r="D345" s="12"/>
      <c r="E345" s="12"/>
      <c r="F345" s="12"/>
      <c r="G345" s="12"/>
      <c r="H345" s="12"/>
      <c r="I345" s="143">
        <f t="shared" si="5"/>
        <v>-19</v>
      </c>
      <c r="J345" s="144">
        <v>45953.0</v>
      </c>
      <c r="K345" s="145" t="s">
        <v>61</v>
      </c>
      <c r="L345" s="179">
        <v>46106.0</v>
      </c>
      <c r="M345" s="147" t="s">
        <v>400</v>
      </c>
      <c r="N345" s="148">
        <v>357.0</v>
      </c>
      <c r="O345" s="148">
        <v>30.0</v>
      </c>
      <c r="P345" s="26"/>
      <c r="Q345" s="26"/>
      <c r="R345" s="26"/>
      <c r="S345" s="26"/>
      <c r="T345" s="26"/>
      <c r="U345" s="164" t="s">
        <v>3055</v>
      </c>
      <c r="V345" s="165" t="s">
        <v>2801</v>
      </c>
      <c r="W345" s="198" t="s">
        <v>3056</v>
      </c>
      <c r="X345" s="181">
        <v>12.0</v>
      </c>
      <c r="Y345" s="166">
        <f t="shared" si="6"/>
        <v>19</v>
      </c>
      <c r="Z345" s="26">
        <f t="shared" si="7"/>
        <v>0</v>
      </c>
      <c r="AA345" s="26">
        <f t="shared" si="8"/>
        <v>1</v>
      </c>
      <c r="AB345" s="26">
        <f t="shared" si="9"/>
        <v>0</v>
      </c>
      <c r="AC345" s="155">
        <v>0.0</v>
      </c>
      <c r="AD345" s="155">
        <v>0.0</v>
      </c>
      <c r="AE345" s="155">
        <v>0.0</v>
      </c>
      <c r="AF345" s="155">
        <v>0.0</v>
      </c>
      <c r="AG345" s="155">
        <v>0.0</v>
      </c>
      <c r="AH345" s="155">
        <v>0.0</v>
      </c>
      <c r="BN345" s="155">
        <v>0.0</v>
      </c>
      <c r="BO345" s="155">
        <v>0.0</v>
      </c>
      <c r="BP345" s="155">
        <v>0.0</v>
      </c>
      <c r="BQ345" s="155">
        <v>0.0</v>
      </c>
      <c r="BR345" s="155">
        <v>0.0</v>
      </c>
      <c r="BS345" s="155">
        <v>0.0</v>
      </c>
      <c r="CV345" s="156">
        <v>7.0</v>
      </c>
      <c r="CW345" s="156">
        <v>0.0</v>
      </c>
      <c r="CX345" s="156">
        <v>0.0</v>
      </c>
      <c r="CY345" s="156">
        <v>1.0</v>
      </c>
      <c r="CZ345" s="156">
        <v>0.0</v>
      </c>
      <c r="DA345" s="156">
        <v>0.0</v>
      </c>
      <c r="DB345" s="395"/>
      <c r="DC345" s="395"/>
      <c r="DD345" s="395"/>
      <c r="DE345" s="395"/>
      <c r="DF345" s="395"/>
      <c r="DG345" s="395">
        <v>1.0</v>
      </c>
      <c r="DH345" s="395"/>
      <c r="DI345" s="395">
        <v>0.0</v>
      </c>
      <c r="DJ345" s="395">
        <v>1.0</v>
      </c>
      <c r="DK345" s="395"/>
      <c r="DL345" s="395">
        <v>0.0</v>
      </c>
      <c r="DM345" s="395">
        <v>1.0</v>
      </c>
      <c r="DN345" s="395">
        <v>0.0</v>
      </c>
      <c r="DO345" s="395"/>
      <c r="DP345" s="395">
        <v>0.0</v>
      </c>
      <c r="DQ345" s="395">
        <v>1.0</v>
      </c>
      <c r="DR345" s="395"/>
      <c r="DS345" s="395">
        <v>0.0</v>
      </c>
      <c r="DT345" s="395">
        <v>1.0</v>
      </c>
      <c r="DU345" s="395">
        <v>1.0</v>
      </c>
      <c r="DV345" s="395"/>
      <c r="DW345" s="395">
        <v>0.0</v>
      </c>
      <c r="DX345" s="395" t="s">
        <v>947</v>
      </c>
      <c r="DY345" s="395"/>
      <c r="DZ345" s="395"/>
      <c r="EA345" s="395"/>
      <c r="EB345" s="395"/>
      <c r="EC345" s="395"/>
      <c r="ED345" s="395"/>
      <c r="EE345" s="395"/>
      <c r="EF345" s="395"/>
      <c r="EG345" s="156">
        <v>0.0</v>
      </c>
      <c r="EH345" s="156">
        <v>0.0</v>
      </c>
      <c r="EI345" s="156">
        <v>0.0</v>
      </c>
      <c r="EJ345" s="156">
        <v>0.0</v>
      </c>
      <c r="EK345" s="156">
        <v>0.0</v>
      </c>
      <c r="EL345" s="156">
        <v>0.0</v>
      </c>
      <c r="FQ345" s="156">
        <v>0.0</v>
      </c>
      <c r="FR345" s="156">
        <v>0.0</v>
      </c>
      <c r="FS345" s="156">
        <v>0.0</v>
      </c>
      <c r="FT345" s="156">
        <v>0.0</v>
      </c>
      <c r="FU345" s="156">
        <v>0.0</v>
      </c>
      <c r="FV345" s="156">
        <v>0.0</v>
      </c>
      <c r="FW345" s="157"/>
      <c r="FX345" s="157"/>
      <c r="FY345" s="157"/>
      <c r="FZ345" s="157"/>
      <c r="GA345" s="157"/>
      <c r="GB345" s="157"/>
      <c r="GC345" s="157"/>
      <c r="GD345" s="157"/>
      <c r="GE345" s="157"/>
      <c r="GF345" s="157"/>
      <c r="GG345" s="157"/>
      <c r="GH345" s="157"/>
      <c r="GI345" s="157"/>
      <c r="GJ345" s="157"/>
      <c r="GK345" s="157"/>
      <c r="GL345" s="157"/>
      <c r="GM345" s="157"/>
      <c r="GN345" s="157"/>
      <c r="GO345" s="157"/>
      <c r="GP345" s="158"/>
      <c r="GQ345" s="157"/>
      <c r="GR345" s="157"/>
      <c r="GS345" s="157"/>
      <c r="GT345" s="157"/>
      <c r="GU345" s="157"/>
      <c r="GV345" s="157"/>
      <c r="GW345" s="157"/>
      <c r="GX345" s="157"/>
      <c r="GY345" s="157"/>
      <c r="GZ345" s="157"/>
      <c r="HA345" s="157"/>
      <c r="HB345" s="155">
        <v>0.0</v>
      </c>
      <c r="HC345" s="155">
        <v>0.0</v>
      </c>
      <c r="HD345" s="155">
        <v>0.0</v>
      </c>
      <c r="HE345" s="155">
        <v>0.0</v>
      </c>
      <c r="HF345" s="155">
        <v>0.0</v>
      </c>
      <c r="HG345" s="155">
        <v>0.0</v>
      </c>
      <c r="IL345" s="159">
        <v>0.0</v>
      </c>
      <c r="IM345" s="156">
        <v>0.0</v>
      </c>
      <c r="IN345" s="156">
        <v>0.0</v>
      </c>
      <c r="IO345" s="156">
        <v>0.0</v>
      </c>
      <c r="IP345" s="156">
        <v>0.0</v>
      </c>
      <c r="IQ345" s="160">
        <v>0.0</v>
      </c>
      <c r="JH345" s="25"/>
      <c r="JW345" s="159">
        <v>0.0</v>
      </c>
      <c r="JX345" s="156">
        <v>0.0</v>
      </c>
      <c r="JY345" s="156">
        <v>0.0</v>
      </c>
      <c r="JZ345" s="156">
        <v>0.0</v>
      </c>
      <c r="KA345" s="156">
        <v>0.0</v>
      </c>
      <c r="KB345" s="160">
        <v>0.0</v>
      </c>
      <c r="LH345" s="159">
        <f t="shared" si="10"/>
        <v>0</v>
      </c>
      <c r="LI345" s="156">
        <f t="shared" si="11"/>
        <v>0</v>
      </c>
      <c r="LJ345" s="156">
        <f t="shared" si="12"/>
        <v>0</v>
      </c>
      <c r="LK345" s="156">
        <f t="shared" si="13"/>
        <v>0</v>
      </c>
      <c r="LL345" s="156">
        <f t="shared" si="14"/>
        <v>0</v>
      </c>
      <c r="LM345" s="160">
        <f t="shared" si="15"/>
        <v>0</v>
      </c>
      <c r="QX345" s="107">
        <v>45929.0</v>
      </c>
    </row>
    <row r="346">
      <c r="A346" s="126"/>
      <c r="B346" s="126"/>
      <c r="C346" s="12"/>
      <c r="D346" s="12"/>
      <c r="E346" s="126"/>
      <c r="F346" s="12"/>
      <c r="G346" s="12"/>
      <c r="H346" s="12"/>
      <c r="I346" s="143">
        <f t="shared" si="5"/>
        <v>-60</v>
      </c>
      <c r="J346" s="170" t="s">
        <v>3058</v>
      </c>
      <c r="K346" s="164" t="s">
        <v>61</v>
      </c>
      <c r="L346" s="171">
        <v>46164.0</v>
      </c>
      <c r="M346" s="147" t="s">
        <v>435</v>
      </c>
      <c r="N346" s="148">
        <v>246.0</v>
      </c>
      <c r="O346" s="148">
        <v>30.0</v>
      </c>
      <c r="P346" s="26"/>
      <c r="Q346" s="26"/>
      <c r="R346" s="26"/>
      <c r="S346" s="26"/>
      <c r="T346" s="26"/>
      <c r="U346" s="147" t="s">
        <v>3059</v>
      </c>
      <c r="V346" s="149" t="s">
        <v>613</v>
      </c>
      <c r="W346" s="150" t="s">
        <v>3060</v>
      </c>
      <c r="X346" s="181">
        <v>34.0</v>
      </c>
      <c r="Y346" s="166">
        <f t="shared" si="6"/>
        <v>60</v>
      </c>
      <c r="Z346" s="26">
        <f t="shared" si="7"/>
        <v>0</v>
      </c>
      <c r="AA346" s="26">
        <f t="shared" si="8"/>
        <v>0</v>
      </c>
      <c r="AB346" s="26">
        <f t="shared" si="9"/>
        <v>0</v>
      </c>
      <c r="AC346" s="155">
        <v>11.0</v>
      </c>
      <c r="AD346" s="155">
        <v>0.0</v>
      </c>
      <c r="AE346" s="155">
        <v>0.0</v>
      </c>
      <c r="AF346" s="155">
        <v>0.0</v>
      </c>
      <c r="AG346" s="155">
        <v>0.0</v>
      </c>
      <c r="AH346" s="155">
        <v>0.0</v>
      </c>
      <c r="AI346" s="167">
        <v>0.0</v>
      </c>
      <c r="AJ346" s="167">
        <v>1.0</v>
      </c>
      <c r="AK346" s="167">
        <v>0.0</v>
      </c>
      <c r="AL346" s="167">
        <v>0.0</v>
      </c>
      <c r="AM346" s="167">
        <v>1.0</v>
      </c>
      <c r="AN346" s="167">
        <v>0.0</v>
      </c>
      <c r="AO346" s="167">
        <v>1.0</v>
      </c>
      <c r="AP346" s="167">
        <v>0.0</v>
      </c>
      <c r="AQ346" s="167">
        <v>1.0</v>
      </c>
      <c r="AR346" s="167">
        <v>0.0</v>
      </c>
      <c r="AS346" s="167">
        <v>0.0</v>
      </c>
      <c r="AT346" s="167">
        <v>1.0</v>
      </c>
      <c r="AU346" s="167">
        <v>0.0</v>
      </c>
      <c r="AV346" s="167">
        <v>1.0</v>
      </c>
      <c r="AW346" s="167">
        <v>0.0</v>
      </c>
      <c r="AX346" s="167">
        <v>1.0</v>
      </c>
      <c r="AY346" s="167"/>
      <c r="AZ346" s="167"/>
      <c r="BA346" s="167"/>
      <c r="BB346" s="167"/>
      <c r="BC346" s="167">
        <v>1.0</v>
      </c>
      <c r="BD346" s="167">
        <v>0.0</v>
      </c>
      <c r="BE346" s="167"/>
      <c r="BF346" s="167">
        <v>0.0</v>
      </c>
      <c r="BG346" s="167">
        <v>0.0</v>
      </c>
      <c r="BH346" s="167">
        <v>1.0</v>
      </c>
      <c r="BI346" s="167">
        <v>0.0</v>
      </c>
      <c r="BJ346" s="167">
        <v>1.0</v>
      </c>
      <c r="BK346" s="167">
        <v>0.0</v>
      </c>
      <c r="BL346" s="167">
        <v>1.0</v>
      </c>
      <c r="BM346" s="167">
        <v>0.0</v>
      </c>
      <c r="BN346" s="155">
        <v>7.0</v>
      </c>
      <c r="BO346" s="155">
        <v>0.0</v>
      </c>
      <c r="BP346" s="155">
        <v>0.0</v>
      </c>
      <c r="BQ346" s="155">
        <v>0.0</v>
      </c>
      <c r="BR346" s="155">
        <v>0.0</v>
      </c>
      <c r="BS346" s="155">
        <v>0.0</v>
      </c>
      <c r="BT346" s="167">
        <v>0.0</v>
      </c>
      <c r="BU346" s="167">
        <v>1.0</v>
      </c>
      <c r="BV346" s="167">
        <v>0.0</v>
      </c>
      <c r="BW346" s="167">
        <v>1.0</v>
      </c>
      <c r="BX346" s="167">
        <v>0.0</v>
      </c>
      <c r="BY346" s="167"/>
      <c r="BZ346" s="167">
        <v>0.0</v>
      </c>
      <c r="CA346" s="167">
        <v>0.0</v>
      </c>
      <c r="CB346" s="167">
        <v>1.0</v>
      </c>
      <c r="CC346" s="167">
        <v>0.0</v>
      </c>
      <c r="CD346" s="167">
        <v>1.0</v>
      </c>
      <c r="CE346" s="167"/>
      <c r="CF346" s="167"/>
      <c r="CG346" s="167"/>
      <c r="CH346" s="167"/>
      <c r="CI346" s="167"/>
      <c r="CJ346" s="167"/>
      <c r="CK346" s="167"/>
      <c r="CL346" s="167"/>
      <c r="CM346" s="167"/>
      <c r="CN346" s="167"/>
      <c r="CO346" s="167"/>
      <c r="CP346" s="167">
        <v>1.0</v>
      </c>
      <c r="CQ346" s="167">
        <v>0.0</v>
      </c>
      <c r="CR346" s="167">
        <v>1.0</v>
      </c>
      <c r="CS346" s="167">
        <v>0.0</v>
      </c>
      <c r="CT346" s="167">
        <v>1.0</v>
      </c>
      <c r="CU346" s="167">
        <v>0.0</v>
      </c>
      <c r="CV346" s="156">
        <v>0.0</v>
      </c>
      <c r="CW346" s="156">
        <v>0.0</v>
      </c>
      <c r="CX346" s="156">
        <v>0.0</v>
      </c>
      <c r="CY346" s="156">
        <v>0.0</v>
      </c>
      <c r="CZ346" s="156">
        <v>0.0</v>
      </c>
      <c r="DA346" s="156">
        <v>0.0</v>
      </c>
      <c r="EG346" s="156">
        <v>0.0</v>
      </c>
      <c r="EH346" s="156">
        <v>0.0</v>
      </c>
      <c r="EI346" s="156">
        <v>0.0</v>
      </c>
      <c r="EJ346" s="156">
        <v>0.0</v>
      </c>
      <c r="EK346" s="156">
        <v>0.0</v>
      </c>
      <c r="EL346" s="156">
        <v>0.0</v>
      </c>
      <c r="FQ346" s="156">
        <v>8.0</v>
      </c>
      <c r="FR346" s="156">
        <v>0.0</v>
      </c>
      <c r="FS346" s="156">
        <v>0.0</v>
      </c>
      <c r="FT346" s="156">
        <v>0.0</v>
      </c>
      <c r="FU346" s="156">
        <v>0.0</v>
      </c>
      <c r="FV346" s="156">
        <v>0.0</v>
      </c>
      <c r="FW346" s="174"/>
      <c r="FX346" s="174"/>
      <c r="FY346" s="174"/>
      <c r="FZ346" s="174"/>
      <c r="GA346" s="174"/>
      <c r="GB346" s="174"/>
      <c r="GC346" s="174"/>
      <c r="GD346" s="174">
        <v>1.0</v>
      </c>
      <c r="GE346" s="174">
        <v>0.0</v>
      </c>
      <c r="GF346" s="174">
        <v>0.0</v>
      </c>
      <c r="GG346" s="174">
        <v>1.0</v>
      </c>
      <c r="GH346" s="174">
        <v>0.0</v>
      </c>
      <c r="GI346" s="174">
        <v>1.0</v>
      </c>
      <c r="GJ346" s="174">
        <v>0.0</v>
      </c>
      <c r="GK346" s="174">
        <v>1.0</v>
      </c>
      <c r="GL346" s="174">
        <v>0.0</v>
      </c>
      <c r="GM346" s="174">
        <v>0.0</v>
      </c>
      <c r="GN346" s="174">
        <v>1.0</v>
      </c>
      <c r="GO346" s="174">
        <v>0.0</v>
      </c>
      <c r="GP346" s="176">
        <v>1.0</v>
      </c>
      <c r="GQ346" s="174">
        <v>0.0</v>
      </c>
      <c r="GR346" s="174">
        <v>1.0</v>
      </c>
      <c r="GS346" s="174">
        <v>0.0</v>
      </c>
      <c r="GT346" s="174">
        <v>0.0</v>
      </c>
      <c r="GU346" s="174">
        <v>1.0</v>
      </c>
      <c r="GV346" s="174"/>
      <c r="GW346" s="174"/>
      <c r="GX346" s="174"/>
      <c r="GY346" s="174"/>
      <c r="GZ346" s="174"/>
      <c r="HA346" s="174"/>
      <c r="HB346" s="155">
        <v>0.0</v>
      </c>
      <c r="HC346" s="155">
        <v>0.0</v>
      </c>
      <c r="HD346" s="155">
        <v>0.0</v>
      </c>
      <c r="HE346" s="155">
        <v>0.0</v>
      </c>
      <c r="HF346" s="155">
        <v>0.0</v>
      </c>
      <c r="HG346" s="155">
        <v>0.0</v>
      </c>
      <c r="HH346" s="174"/>
      <c r="HI346" s="174"/>
      <c r="HJ346" s="174"/>
      <c r="HK346" s="174"/>
      <c r="HL346" s="174"/>
      <c r="HM346" s="174"/>
      <c r="HN346" s="174"/>
      <c r="HO346" s="174"/>
      <c r="HP346" s="174"/>
      <c r="HQ346" s="174"/>
      <c r="HR346" s="174"/>
      <c r="HS346" s="174"/>
      <c r="HT346" s="174"/>
      <c r="HU346" s="174"/>
      <c r="HV346" s="174"/>
      <c r="HW346" s="174"/>
      <c r="HX346" s="174"/>
      <c r="HY346" s="174"/>
      <c r="HZ346" s="174"/>
      <c r="IA346" s="174"/>
      <c r="IB346" s="174"/>
      <c r="IC346" s="174"/>
      <c r="ID346" s="174"/>
      <c r="IE346" s="174"/>
      <c r="IF346" s="174"/>
      <c r="IG346" s="174"/>
      <c r="IH346" s="174"/>
      <c r="II346" s="174"/>
      <c r="IJ346" s="174"/>
      <c r="IK346" s="174"/>
      <c r="IL346" s="159">
        <v>0.0</v>
      </c>
      <c r="IM346" s="156">
        <v>0.0</v>
      </c>
      <c r="IN346" s="156">
        <v>0.0</v>
      </c>
      <c r="IO346" s="156">
        <v>0.0</v>
      </c>
      <c r="IP346" s="156">
        <v>0.0</v>
      </c>
      <c r="IQ346" s="160">
        <v>0.0</v>
      </c>
      <c r="JH346" s="25"/>
      <c r="JW346" s="159">
        <v>0.0</v>
      </c>
      <c r="JX346" s="156">
        <v>0.0</v>
      </c>
      <c r="JY346" s="156">
        <v>0.0</v>
      </c>
      <c r="JZ346" s="156">
        <v>0.0</v>
      </c>
      <c r="KA346" s="156">
        <v>0.0</v>
      </c>
      <c r="KB346" s="160">
        <v>0.0</v>
      </c>
      <c r="LH346" s="159">
        <f t="shared" si="10"/>
        <v>0</v>
      </c>
      <c r="LI346" s="156">
        <f t="shared" si="11"/>
        <v>0</v>
      </c>
      <c r="LJ346" s="156">
        <f t="shared" si="12"/>
        <v>0</v>
      </c>
      <c r="LK346" s="156">
        <f t="shared" si="13"/>
        <v>0</v>
      </c>
      <c r="LL346" s="156">
        <f t="shared" si="14"/>
        <v>0</v>
      </c>
      <c r="LM346" s="160">
        <f t="shared" si="15"/>
        <v>0</v>
      </c>
      <c r="QX346" s="107">
        <v>45930.0</v>
      </c>
    </row>
    <row r="347">
      <c r="A347" s="12"/>
      <c r="B347" s="12"/>
      <c r="C347" s="12"/>
      <c r="D347" s="12"/>
      <c r="E347" s="12"/>
      <c r="F347" s="12"/>
      <c r="G347" s="12"/>
      <c r="H347" s="12"/>
      <c r="I347" s="143">
        <f t="shared" si="5"/>
        <v>-60</v>
      </c>
      <c r="J347" s="170" t="s">
        <v>3062</v>
      </c>
      <c r="K347" s="180" t="s">
        <v>48</v>
      </c>
      <c r="L347" s="171">
        <v>46059.0</v>
      </c>
      <c r="M347" s="164" t="s">
        <v>712</v>
      </c>
      <c r="N347" s="170" t="s">
        <v>2246</v>
      </c>
      <c r="O347" s="148">
        <v>30.0</v>
      </c>
      <c r="P347" s="26"/>
      <c r="Q347" s="26"/>
      <c r="R347" s="26"/>
      <c r="S347" s="26"/>
      <c r="T347" s="26"/>
      <c r="U347" s="164" t="s">
        <v>3063</v>
      </c>
      <c r="V347" s="165" t="s">
        <v>3064</v>
      </c>
      <c r="W347" s="248" t="s">
        <v>3065</v>
      </c>
      <c r="X347" s="181">
        <v>23.0</v>
      </c>
      <c r="Y347" s="166">
        <f t="shared" si="6"/>
        <v>60</v>
      </c>
      <c r="Z347" s="26">
        <f t="shared" si="7"/>
        <v>0</v>
      </c>
      <c r="AA347" s="26">
        <f t="shared" si="8"/>
        <v>0</v>
      </c>
      <c r="AB347" s="26">
        <f t="shared" si="9"/>
        <v>0</v>
      </c>
      <c r="AC347" s="155">
        <v>5.0</v>
      </c>
      <c r="AD347" s="155">
        <v>0.0</v>
      </c>
      <c r="AE347" s="155">
        <v>0.0</v>
      </c>
      <c r="AF347" s="155">
        <v>0.0</v>
      </c>
      <c r="AG347" s="155">
        <v>0.0</v>
      </c>
      <c r="AH347" s="155">
        <v>0.0</v>
      </c>
      <c r="AI347" s="167"/>
      <c r="AJ347" s="167"/>
      <c r="AK347" s="167">
        <v>1.0</v>
      </c>
      <c r="AL347" s="167"/>
      <c r="AM347" s="167"/>
      <c r="AN347" s="167"/>
      <c r="AO347" s="167"/>
      <c r="AP347" s="167">
        <v>1.0</v>
      </c>
      <c r="AQ347" s="167"/>
      <c r="AR347" s="167"/>
      <c r="AS347" s="167"/>
      <c r="AT347" s="167"/>
      <c r="AU347" s="167"/>
      <c r="AV347" s="167"/>
      <c r="AW347" s="167">
        <v>1.0</v>
      </c>
      <c r="AX347" s="167"/>
      <c r="AY347" s="167"/>
      <c r="AZ347" s="167"/>
      <c r="BA347" s="167"/>
      <c r="BB347" s="167">
        <v>1.0</v>
      </c>
      <c r="BC347" s="167"/>
      <c r="BD347" s="167"/>
      <c r="BE347" s="167"/>
      <c r="BF347" s="167"/>
      <c r="BG347" s="167"/>
      <c r="BH347" s="167"/>
      <c r="BI347" s="167">
        <v>1.0</v>
      </c>
      <c r="BJ347" s="167"/>
      <c r="BK347" s="167"/>
      <c r="BL347" s="167"/>
      <c r="BM347" s="167"/>
      <c r="BN347" s="155">
        <v>2.0</v>
      </c>
      <c r="BO347" s="155">
        <v>0.0</v>
      </c>
      <c r="BP347" s="155">
        <v>0.0</v>
      </c>
      <c r="BQ347" s="155">
        <v>0.0</v>
      </c>
      <c r="BR347" s="155">
        <v>0.0</v>
      </c>
      <c r="BS347" s="155">
        <v>0.0</v>
      </c>
      <c r="BT347" s="167">
        <v>0.0</v>
      </c>
      <c r="BU347" s="168">
        <v>2.0</v>
      </c>
      <c r="BV347" s="167"/>
      <c r="BW347" s="167"/>
      <c r="BX347" s="167"/>
      <c r="BY347" s="167"/>
      <c r="BZ347" s="167"/>
      <c r="CA347" s="167"/>
      <c r="CB347" s="167"/>
      <c r="CC347" s="167"/>
      <c r="CD347" s="167"/>
      <c r="CE347" s="167"/>
      <c r="CF347" s="167"/>
      <c r="CG347" s="167"/>
      <c r="CH347" s="167"/>
      <c r="CI347" s="167"/>
      <c r="CJ347" s="167"/>
      <c r="CK347" s="167"/>
      <c r="CL347" s="167"/>
      <c r="CM347" s="167"/>
      <c r="CN347" s="167"/>
      <c r="CO347" s="167"/>
      <c r="CP347" s="167"/>
      <c r="CQ347" s="167"/>
      <c r="CR347" s="167"/>
      <c r="CS347" s="167"/>
      <c r="CT347" s="167"/>
      <c r="CU347" s="167"/>
      <c r="CV347" s="156">
        <v>0.0</v>
      </c>
      <c r="CW347" s="156">
        <v>0.0</v>
      </c>
      <c r="CX347" s="156">
        <v>0.0</v>
      </c>
      <c r="CY347" s="156">
        <v>0.0</v>
      </c>
      <c r="CZ347" s="156">
        <v>0.0</v>
      </c>
      <c r="DA347" s="156">
        <v>0.0</v>
      </c>
      <c r="DB347" s="395"/>
      <c r="DC347" s="395"/>
      <c r="DD347" s="395"/>
      <c r="DE347" s="395"/>
      <c r="DF347" s="395"/>
      <c r="DG347" s="395"/>
      <c r="DH347" s="395"/>
      <c r="DI347" s="395"/>
      <c r="DJ347" s="395"/>
      <c r="DK347" s="395"/>
      <c r="DL347" s="395"/>
      <c r="DM347" s="395"/>
      <c r="DN347" s="395"/>
      <c r="DO347" s="395"/>
      <c r="DP347" s="395"/>
      <c r="DQ347" s="395"/>
      <c r="DR347" s="395"/>
      <c r="DS347" s="395"/>
      <c r="DT347" s="395"/>
      <c r="DU347" s="395"/>
      <c r="DV347" s="395"/>
      <c r="DW347" s="395"/>
      <c r="DX347" s="395"/>
      <c r="DY347" s="395"/>
      <c r="DZ347" s="395"/>
      <c r="EA347" s="395"/>
      <c r="EB347" s="395"/>
      <c r="EC347" s="395"/>
      <c r="ED347" s="395"/>
      <c r="EE347" s="395"/>
      <c r="EF347" s="395"/>
      <c r="EG347" s="156">
        <v>2.0</v>
      </c>
      <c r="EH347" s="156">
        <v>0.0</v>
      </c>
      <c r="EI347" s="156">
        <v>0.0</v>
      </c>
      <c r="EJ347" s="156">
        <v>0.0</v>
      </c>
      <c r="EK347" s="156">
        <v>0.0</v>
      </c>
      <c r="EL347" s="156">
        <v>0.0</v>
      </c>
      <c r="EX347" s="86">
        <v>2.0</v>
      </c>
      <c r="FQ347" s="156">
        <v>6.0</v>
      </c>
      <c r="FR347" s="156">
        <v>0.0</v>
      </c>
      <c r="FS347" s="156">
        <v>0.0</v>
      </c>
      <c r="FT347" s="156">
        <v>0.0</v>
      </c>
      <c r="FU347" s="156">
        <v>0.0</v>
      </c>
      <c r="FV347" s="156">
        <v>0.0</v>
      </c>
      <c r="FW347" s="157"/>
      <c r="FX347" s="157"/>
      <c r="FY347" s="188"/>
      <c r="FZ347" s="157"/>
      <c r="GA347" s="157"/>
      <c r="GB347" s="157"/>
      <c r="GC347" s="157"/>
      <c r="GD347" s="157"/>
      <c r="GE347" s="157"/>
      <c r="GF347" s="188">
        <v>2.0</v>
      </c>
      <c r="GG347" s="157"/>
      <c r="GH347" s="157"/>
      <c r="GI347" s="157"/>
      <c r="GJ347" s="157"/>
      <c r="GK347" s="157"/>
      <c r="GL347" s="157"/>
      <c r="GM347" s="188">
        <v>2.0</v>
      </c>
      <c r="GN347" s="157"/>
      <c r="GO347" s="157"/>
      <c r="GP347" s="158"/>
      <c r="GQ347" s="157"/>
      <c r="GR347" s="157"/>
      <c r="GS347" s="157"/>
      <c r="GT347" s="188">
        <v>1.0</v>
      </c>
      <c r="GU347" s="157"/>
      <c r="GV347" s="157"/>
      <c r="GW347" s="157"/>
      <c r="GX347" s="157"/>
      <c r="GY347" s="157"/>
      <c r="GZ347" s="188">
        <v>1.0</v>
      </c>
      <c r="HA347" s="157"/>
      <c r="HB347" s="155">
        <v>3.0</v>
      </c>
      <c r="HC347" s="155">
        <v>0.0</v>
      </c>
      <c r="HD347" s="155">
        <v>0.0</v>
      </c>
      <c r="HE347" s="155">
        <v>0.0</v>
      </c>
      <c r="HF347" s="155">
        <v>0.0</v>
      </c>
      <c r="HG347" s="155">
        <v>0.0</v>
      </c>
      <c r="HU347" s="86">
        <v>1.0</v>
      </c>
      <c r="IB347" s="86">
        <v>1.0</v>
      </c>
      <c r="II347" s="86">
        <v>1.0</v>
      </c>
      <c r="IL347" s="159">
        <v>6.0</v>
      </c>
      <c r="IM347" s="156">
        <v>0.0</v>
      </c>
      <c r="IN347" s="156">
        <v>0.0</v>
      </c>
      <c r="IO347" s="156">
        <v>0.0</v>
      </c>
      <c r="IP347" s="156">
        <v>0.0</v>
      </c>
      <c r="IQ347" s="160">
        <v>0.0</v>
      </c>
      <c r="JC347" s="86">
        <v>1.0</v>
      </c>
      <c r="JH347" s="25"/>
      <c r="JL347" s="86">
        <v>1.0</v>
      </c>
      <c r="JN347" s="86">
        <v>1.0</v>
      </c>
      <c r="JP347" s="86">
        <v>1.0</v>
      </c>
      <c r="JS347" s="86">
        <v>1.0</v>
      </c>
      <c r="JU347" s="86">
        <v>1.0</v>
      </c>
      <c r="JW347" s="159">
        <v>13.0</v>
      </c>
      <c r="JX347" s="156">
        <v>0.0</v>
      </c>
      <c r="JY347" s="156">
        <v>0.0</v>
      </c>
      <c r="JZ347" s="156">
        <v>0.0</v>
      </c>
      <c r="KA347" s="156">
        <v>0.0</v>
      </c>
      <c r="KB347" s="160">
        <v>0.0</v>
      </c>
      <c r="KD347" s="86">
        <v>1.0</v>
      </c>
      <c r="KF347" s="86">
        <v>1.0</v>
      </c>
      <c r="KH347" s="86">
        <v>1.0</v>
      </c>
      <c r="KK347" s="86">
        <v>1.0</v>
      </c>
      <c r="KM347" s="86">
        <v>1.0</v>
      </c>
      <c r="KO347" s="86">
        <v>1.0</v>
      </c>
      <c r="KR347" s="86">
        <v>1.0</v>
      </c>
      <c r="KS347" s="178"/>
      <c r="KT347" s="86">
        <v>1.0</v>
      </c>
      <c r="KV347" s="86">
        <v>1.0</v>
      </c>
      <c r="KY347" s="86">
        <v>1.0</v>
      </c>
      <c r="LA347" s="86">
        <v>1.0</v>
      </c>
      <c r="LC347" s="86">
        <v>1.0</v>
      </c>
      <c r="LE347" s="86">
        <v>1.0</v>
      </c>
      <c r="LH347" s="159">
        <f t="shared" si="10"/>
        <v>0</v>
      </c>
      <c r="LI347" s="156">
        <f t="shared" si="11"/>
        <v>0</v>
      </c>
      <c r="LJ347" s="156">
        <f t="shared" si="12"/>
        <v>0</v>
      </c>
      <c r="LK347" s="156">
        <f t="shared" si="13"/>
        <v>0</v>
      </c>
      <c r="LL347" s="156">
        <f t="shared" si="14"/>
        <v>0</v>
      </c>
      <c r="LM347" s="160">
        <f t="shared" si="15"/>
        <v>0</v>
      </c>
      <c r="QX347" s="107">
        <v>45930.0</v>
      </c>
    </row>
    <row r="348">
      <c r="A348" s="12"/>
      <c r="B348" s="12"/>
      <c r="C348" s="12"/>
      <c r="D348" s="12"/>
      <c r="E348" s="12"/>
      <c r="F348" s="12"/>
      <c r="G348" s="12"/>
      <c r="H348" s="12"/>
      <c r="I348" s="143">
        <f t="shared" si="5"/>
        <v>-30</v>
      </c>
      <c r="J348" s="144">
        <v>45950.0</v>
      </c>
      <c r="K348" s="145" t="s">
        <v>61</v>
      </c>
      <c r="L348" s="490">
        <v>46036.0</v>
      </c>
      <c r="M348" s="312" t="s">
        <v>107</v>
      </c>
      <c r="N348" s="313">
        <v>246.0</v>
      </c>
      <c r="O348" s="313">
        <v>45.0</v>
      </c>
      <c r="P348" s="314"/>
      <c r="Q348" s="314"/>
      <c r="R348" s="314"/>
      <c r="S348" s="314"/>
      <c r="T348" s="314"/>
      <c r="U348" s="312" t="s">
        <v>2373</v>
      </c>
      <c r="V348" s="491" t="s">
        <v>922</v>
      </c>
      <c r="W348" s="492" t="s">
        <v>3070</v>
      </c>
      <c r="X348" s="181">
        <v>28.0</v>
      </c>
      <c r="Y348" s="166">
        <f t="shared" si="6"/>
        <v>30</v>
      </c>
      <c r="Z348" s="26">
        <f t="shared" si="7"/>
        <v>0</v>
      </c>
      <c r="AA348" s="26">
        <f t="shared" si="8"/>
        <v>0</v>
      </c>
      <c r="AB348" s="26">
        <f t="shared" si="9"/>
        <v>0</v>
      </c>
      <c r="AC348" s="155">
        <v>2.0</v>
      </c>
      <c r="AD348" s="155">
        <v>0.0</v>
      </c>
      <c r="AE348" s="155">
        <v>0.0</v>
      </c>
      <c r="AF348" s="155">
        <v>0.0</v>
      </c>
      <c r="AG348" s="155">
        <v>0.0</v>
      </c>
      <c r="AH348" s="155">
        <v>0.0</v>
      </c>
      <c r="AI348" s="167"/>
      <c r="AJ348" s="167"/>
      <c r="AK348" s="167"/>
      <c r="AL348" s="167"/>
      <c r="AM348" s="167"/>
      <c r="AN348" s="167">
        <v>0.0</v>
      </c>
      <c r="AO348" s="167">
        <v>1.0</v>
      </c>
      <c r="AP348" s="167"/>
      <c r="AQ348" s="167"/>
      <c r="AR348" s="167"/>
      <c r="AS348" s="167"/>
      <c r="AT348" s="167">
        <v>1.0</v>
      </c>
      <c r="AU348" s="167"/>
      <c r="AV348" s="167"/>
      <c r="AW348" s="167"/>
      <c r="AX348" s="167"/>
      <c r="AY348" s="167"/>
      <c r="AZ348" s="167"/>
      <c r="BA348" s="167"/>
      <c r="BB348" s="167"/>
      <c r="BC348" s="167"/>
      <c r="BD348" s="167"/>
      <c r="BE348" s="167"/>
      <c r="BF348" s="167"/>
      <c r="BG348" s="167"/>
      <c r="BH348" s="167"/>
      <c r="BI348" s="167"/>
      <c r="BJ348" s="167"/>
      <c r="BK348" s="167"/>
      <c r="BL348" s="167"/>
      <c r="BM348" s="167"/>
      <c r="BN348" s="155">
        <v>0.0</v>
      </c>
      <c r="BO348" s="155">
        <v>0.0</v>
      </c>
      <c r="BP348" s="155">
        <v>0.0</v>
      </c>
      <c r="BQ348" s="155">
        <v>0.0</v>
      </c>
      <c r="BR348" s="155">
        <v>0.0</v>
      </c>
      <c r="BS348" s="155">
        <v>0.0</v>
      </c>
      <c r="BT348" s="167"/>
      <c r="BU348" s="167"/>
      <c r="BV348" s="167"/>
      <c r="BW348" s="167"/>
      <c r="BX348" s="167"/>
      <c r="BY348" s="167"/>
      <c r="BZ348" s="167"/>
      <c r="CA348" s="167"/>
      <c r="CB348" s="167"/>
      <c r="CC348" s="167"/>
      <c r="CD348" s="167"/>
      <c r="CE348" s="167"/>
      <c r="CF348" s="167"/>
      <c r="CG348" s="167"/>
      <c r="CH348" s="167"/>
      <c r="CI348" s="167"/>
      <c r="CJ348" s="167"/>
      <c r="CK348" s="167"/>
      <c r="CL348" s="167"/>
      <c r="CM348" s="167"/>
      <c r="CN348" s="167"/>
      <c r="CO348" s="167"/>
      <c r="CP348" s="167"/>
      <c r="CQ348" s="167"/>
      <c r="CR348" s="167"/>
      <c r="CS348" s="167"/>
      <c r="CT348" s="167"/>
      <c r="CU348" s="167"/>
      <c r="CV348" s="156">
        <v>0.0</v>
      </c>
      <c r="CW348" s="156">
        <v>0.0</v>
      </c>
      <c r="CX348" s="156">
        <v>0.0</v>
      </c>
      <c r="CY348" s="156">
        <v>0.0</v>
      </c>
      <c r="CZ348" s="156">
        <v>0.0</v>
      </c>
      <c r="DA348" s="156">
        <v>0.0</v>
      </c>
      <c r="EG348" s="156">
        <v>0.0</v>
      </c>
      <c r="EH348" s="156">
        <v>0.0</v>
      </c>
      <c r="EI348" s="156">
        <v>0.0</v>
      </c>
      <c r="EJ348" s="156">
        <v>0.0</v>
      </c>
      <c r="EK348" s="156">
        <v>0.0</v>
      </c>
      <c r="EL348" s="156">
        <v>0.0</v>
      </c>
      <c r="FQ348" s="156">
        <v>0.0</v>
      </c>
      <c r="FR348" s="156">
        <v>0.0</v>
      </c>
      <c r="FS348" s="156">
        <v>0.0</v>
      </c>
      <c r="FT348" s="156">
        <v>0.0</v>
      </c>
      <c r="FU348" s="156">
        <v>0.0</v>
      </c>
      <c r="FV348" s="156">
        <v>0.0</v>
      </c>
      <c r="FW348" s="157"/>
      <c r="FX348" s="157"/>
      <c r="FY348" s="157"/>
      <c r="FZ348" s="157"/>
      <c r="GA348" s="157"/>
      <c r="GB348" s="157"/>
      <c r="GC348" s="157"/>
      <c r="GD348" s="157"/>
      <c r="GE348" s="157"/>
      <c r="GF348" s="157"/>
      <c r="GG348" s="157"/>
      <c r="GH348" s="157"/>
      <c r="GI348" s="157"/>
      <c r="GJ348" s="157"/>
      <c r="GK348" s="157"/>
      <c r="GL348" s="157"/>
      <c r="GM348" s="157"/>
      <c r="GN348" s="157"/>
      <c r="GO348" s="157"/>
      <c r="GP348" s="158"/>
      <c r="GQ348" s="157"/>
      <c r="GR348" s="157"/>
      <c r="GS348" s="157"/>
      <c r="GT348" s="157"/>
      <c r="GU348" s="157"/>
      <c r="GV348" s="157"/>
      <c r="GW348" s="157"/>
      <c r="GX348" s="157"/>
      <c r="GY348" s="157"/>
      <c r="GZ348" s="157"/>
      <c r="HA348" s="157"/>
      <c r="HB348" s="155">
        <v>0.0</v>
      </c>
      <c r="HC348" s="155">
        <v>0.0</v>
      </c>
      <c r="HD348" s="155">
        <v>0.0</v>
      </c>
      <c r="HE348" s="155">
        <v>0.0</v>
      </c>
      <c r="HF348" s="155">
        <v>0.0</v>
      </c>
      <c r="HG348" s="155">
        <v>0.0</v>
      </c>
      <c r="IL348" s="159">
        <v>0.0</v>
      </c>
      <c r="IM348" s="156">
        <v>0.0</v>
      </c>
      <c r="IN348" s="156">
        <v>0.0</v>
      </c>
      <c r="IO348" s="156">
        <v>0.0</v>
      </c>
      <c r="IP348" s="156">
        <v>0.0</v>
      </c>
      <c r="IQ348" s="160">
        <v>0.0</v>
      </c>
      <c r="JH348" s="25"/>
      <c r="JW348" s="159">
        <v>0.0</v>
      </c>
      <c r="JX348" s="156">
        <v>0.0</v>
      </c>
      <c r="JY348" s="156">
        <v>0.0</v>
      </c>
      <c r="JZ348" s="156">
        <v>0.0</v>
      </c>
      <c r="KA348" s="156">
        <v>0.0</v>
      </c>
      <c r="KB348" s="160">
        <v>0.0</v>
      </c>
      <c r="LH348" s="159">
        <f t="shared" si="10"/>
        <v>0</v>
      </c>
      <c r="LI348" s="156">
        <f t="shared" si="11"/>
        <v>0</v>
      </c>
      <c r="LJ348" s="156">
        <f t="shared" si="12"/>
        <v>0</v>
      </c>
      <c r="LK348" s="156">
        <f t="shared" si="13"/>
        <v>0</v>
      </c>
      <c r="LL348" s="156">
        <f t="shared" si="14"/>
        <v>0</v>
      </c>
      <c r="LM348" s="160">
        <f t="shared" si="15"/>
        <v>0</v>
      </c>
      <c r="QX348" s="107">
        <v>45931.0</v>
      </c>
    </row>
    <row r="349">
      <c r="A349" s="12"/>
      <c r="B349" s="12"/>
      <c r="C349" s="12"/>
      <c r="D349" s="12"/>
      <c r="E349" s="12"/>
      <c r="F349" s="12"/>
      <c r="G349" s="12"/>
      <c r="H349" s="12"/>
      <c r="I349" s="143">
        <f t="shared" si="5"/>
        <v>-30</v>
      </c>
      <c r="J349" s="144">
        <v>45932.0</v>
      </c>
      <c r="K349" s="180" t="s">
        <v>61</v>
      </c>
      <c r="L349" s="171">
        <v>46053.0</v>
      </c>
      <c r="M349" s="147" t="s">
        <v>400</v>
      </c>
      <c r="N349" s="148">
        <v>357.0</v>
      </c>
      <c r="O349" s="148">
        <v>30.0</v>
      </c>
      <c r="P349" s="26"/>
      <c r="Q349" s="26"/>
      <c r="R349" s="26"/>
      <c r="S349" s="26"/>
      <c r="T349" s="26"/>
      <c r="U349" s="147" t="s">
        <v>2224</v>
      </c>
      <c r="V349" s="149" t="s">
        <v>2897</v>
      </c>
      <c r="W349" s="198" t="s">
        <v>3073</v>
      </c>
      <c r="X349" s="181">
        <v>23.0</v>
      </c>
      <c r="Y349" s="166">
        <f t="shared" si="6"/>
        <v>30</v>
      </c>
      <c r="Z349" s="26">
        <f t="shared" si="7"/>
        <v>0</v>
      </c>
      <c r="AA349" s="26">
        <f t="shared" si="8"/>
        <v>0</v>
      </c>
      <c r="AB349" s="26">
        <f t="shared" si="9"/>
        <v>0</v>
      </c>
      <c r="AC349" s="155">
        <v>7.0</v>
      </c>
      <c r="AD349" s="155">
        <v>0.0</v>
      </c>
      <c r="AE349" s="155">
        <v>0.0</v>
      </c>
      <c r="AF349" s="155">
        <v>0.0</v>
      </c>
      <c r="AG349" s="155">
        <v>0.0</v>
      </c>
      <c r="AH349" s="155">
        <v>0.0</v>
      </c>
      <c r="AI349" s="167"/>
      <c r="AJ349" s="167"/>
      <c r="AK349" s="167"/>
      <c r="AL349" s="167"/>
      <c r="AM349" s="167"/>
      <c r="AN349" s="167">
        <v>1.0</v>
      </c>
      <c r="AO349" s="167"/>
      <c r="AP349" s="167"/>
      <c r="AQ349" s="167"/>
      <c r="AR349" s="167"/>
      <c r="AS349" s="167"/>
      <c r="AT349" s="167"/>
      <c r="AU349" s="167">
        <v>1.0</v>
      </c>
      <c r="AV349" s="167">
        <v>0.0</v>
      </c>
      <c r="AW349" s="167">
        <v>1.0</v>
      </c>
      <c r="AX349" s="167">
        <v>0.0</v>
      </c>
      <c r="AY349" s="167"/>
      <c r="AZ349" s="168">
        <v>1.0</v>
      </c>
      <c r="BA349" s="167">
        <v>0.0</v>
      </c>
      <c r="BB349" s="167">
        <v>1.0</v>
      </c>
      <c r="BC349" s="167">
        <v>0.0</v>
      </c>
      <c r="BD349" s="167"/>
      <c r="BE349" s="167"/>
      <c r="BF349" s="167"/>
      <c r="BG349" s="167"/>
      <c r="BH349" s="167"/>
      <c r="BI349" s="167"/>
      <c r="BJ349" s="167"/>
      <c r="BK349" s="167"/>
      <c r="BL349" s="167"/>
      <c r="BM349" s="168">
        <v>2.0</v>
      </c>
      <c r="BN349" s="155">
        <v>0.0</v>
      </c>
      <c r="BO349" s="155">
        <v>0.0</v>
      </c>
      <c r="BP349" s="155">
        <v>0.0</v>
      </c>
      <c r="BQ349" s="155">
        <v>0.0</v>
      </c>
      <c r="BR349" s="155">
        <v>0.0</v>
      </c>
      <c r="BS349" s="155">
        <v>0.0</v>
      </c>
      <c r="BT349" s="167"/>
      <c r="BU349" s="167"/>
      <c r="BV349" s="167"/>
      <c r="BW349" s="167"/>
      <c r="BX349" s="167"/>
      <c r="BY349" s="167"/>
      <c r="BZ349" s="167"/>
      <c r="CA349" s="167"/>
      <c r="CB349" s="167"/>
      <c r="CC349" s="167"/>
      <c r="CD349" s="167"/>
      <c r="CE349" s="167"/>
      <c r="CF349" s="167"/>
      <c r="CG349" s="167"/>
      <c r="CH349" s="167"/>
      <c r="CI349" s="167"/>
      <c r="CJ349" s="167"/>
      <c r="CK349" s="167"/>
      <c r="CL349" s="167"/>
      <c r="CM349" s="167"/>
      <c r="CN349" s="167"/>
      <c r="CO349" s="167"/>
      <c r="CP349" s="167"/>
      <c r="CQ349" s="167"/>
      <c r="CR349" s="167"/>
      <c r="CS349" s="167"/>
      <c r="CT349" s="167"/>
      <c r="CU349" s="167"/>
      <c r="CV349" s="156">
        <v>0.0</v>
      </c>
      <c r="CW349" s="156">
        <v>0.0</v>
      </c>
      <c r="CX349" s="156">
        <v>0.0</v>
      </c>
      <c r="CY349" s="156">
        <v>0.0</v>
      </c>
      <c r="CZ349" s="156">
        <v>0.0</v>
      </c>
      <c r="DA349" s="156">
        <v>0.0</v>
      </c>
      <c r="EG349" s="156">
        <v>0.0</v>
      </c>
      <c r="EH349" s="156">
        <v>0.0</v>
      </c>
      <c r="EI349" s="156">
        <v>0.0</v>
      </c>
      <c r="EJ349" s="156">
        <v>0.0</v>
      </c>
      <c r="EK349" s="156">
        <v>0.0</v>
      </c>
      <c r="EL349" s="156">
        <v>0.0</v>
      </c>
      <c r="FQ349" s="156">
        <v>0.0</v>
      </c>
      <c r="FR349" s="156">
        <v>0.0</v>
      </c>
      <c r="FS349" s="156">
        <v>0.0</v>
      </c>
      <c r="FT349" s="156">
        <v>0.0</v>
      </c>
      <c r="FU349" s="156">
        <v>0.0</v>
      </c>
      <c r="FV349" s="156">
        <v>0.0</v>
      </c>
      <c r="FW349" s="157"/>
      <c r="FX349" s="157"/>
      <c r="FY349" s="157"/>
      <c r="FZ349" s="157"/>
      <c r="GA349" s="157"/>
      <c r="GB349" s="157"/>
      <c r="GC349" s="157"/>
      <c r="GD349" s="157"/>
      <c r="GE349" s="157"/>
      <c r="GF349" s="157"/>
      <c r="GG349" s="157"/>
      <c r="GH349" s="157"/>
      <c r="GI349" s="157"/>
      <c r="GJ349" s="157"/>
      <c r="GK349" s="157"/>
      <c r="GL349" s="157"/>
      <c r="GM349" s="157"/>
      <c r="GN349" s="157"/>
      <c r="GO349" s="157"/>
      <c r="GP349" s="158"/>
      <c r="GQ349" s="157"/>
      <c r="GR349" s="157"/>
      <c r="GS349" s="157"/>
      <c r="GT349" s="157"/>
      <c r="GU349" s="157"/>
      <c r="GV349" s="157"/>
      <c r="GW349" s="157"/>
      <c r="GX349" s="157"/>
      <c r="GY349" s="157"/>
      <c r="GZ349" s="157"/>
      <c r="HA349" s="157"/>
      <c r="HB349" s="155">
        <v>0.0</v>
      </c>
      <c r="HC349" s="155">
        <v>0.0</v>
      </c>
      <c r="HD349" s="155">
        <v>0.0</v>
      </c>
      <c r="HE349" s="155">
        <v>0.0</v>
      </c>
      <c r="HF349" s="155">
        <v>0.0</v>
      </c>
      <c r="HG349" s="155">
        <v>0.0</v>
      </c>
      <c r="IL349" s="159">
        <v>0.0</v>
      </c>
      <c r="IM349" s="156">
        <v>0.0</v>
      </c>
      <c r="IN349" s="156">
        <v>0.0</v>
      </c>
      <c r="IO349" s="156">
        <v>0.0</v>
      </c>
      <c r="IP349" s="156">
        <v>0.0</v>
      </c>
      <c r="IQ349" s="160">
        <v>0.0</v>
      </c>
      <c r="JH349" s="25"/>
      <c r="JW349" s="159">
        <v>0.0</v>
      </c>
      <c r="JX349" s="156">
        <v>0.0</v>
      </c>
      <c r="JY349" s="156">
        <v>0.0</v>
      </c>
      <c r="JZ349" s="156">
        <v>0.0</v>
      </c>
      <c r="KA349" s="156">
        <v>0.0</v>
      </c>
      <c r="KB349" s="160">
        <v>0.0</v>
      </c>
      <c r="LH349" s="159">
        <f t="shared" si="10"/>
        <v>0</v>
      </c>
      <c r="LI349" s="156">
        <f t="shared" si="11"/>
        <v>0</v>
      </c>
      <c r="LJ349" s="156">
        <f t="shared" si="12"/>
        <v>0</v>
      </c>
      <c r="LK349" s="156">
        <f t="shared" si="13"/>
        <v>0</v>
      </c>
      <c r="LL349" s="156">
        <f t="shared" si="14"/>
        <v>0</v>
      </c>
      <c r="LM349" s="160">
        <f t="shared" si="15"/>
        <v>0</v>
      </c>
      <c r="QX349" s="107">
        <v>45931.0</v>
      </c>
    </row>
    <row r="350">
      <c r="A350" s="12"/>
      <c r="B350" s="12"/>
      <c r="C350" s="12"/>
      <c r="D350" s="12"/>
      <c r="E350" s="12"/>
      <c r="F350" s="12"/>
      <c r="G350" s="12"/>
      <c r="H350" s="12"/>
      <c r="I350" s="143">
        <f t="shared" si="5"/>
        <v>-20</v>
      </c>
      <c r="J350" s="295">
        <v>45933.0</v>
      </c>
      <c r="K350" s="439" t="s">
        <v>53</v>
      </c>
      <c r="L350" s="295">
        <v>46029.0</v>
      </c>
      <c r="M350" s="147" t="s">
        <v>107</v>
      </c>
      <c r="N350" s="148">
        <v>246.0</v>
      </c>
      <c r="O350" s="148">
        <v>30.0</v>
      </c>
      <c r="P350" s="26"/>
      <c r="Q350" s="26"/>
      <c r="R350" s="26"/>
      <c r="S350" s="26"/>
      <c r="T350" s="26"/>
      <c r="U350" s="147" t="s">
        <v>990</v>
      </c>
      <c r="V350" s="149" t="s">
        <v>2683</v>
      </c>
      <c r="W350" s="198" t="s">
        <v>3075</v>
      </c>
      <c r="X350" s="181">
        <v>20.0</v>
      </c>
      <c r="Y350" s="166">
        <f t="shared" si="6"/>
        <v>20</v>
      </c>
      <c r="Z350" s="26">
        <f t="shared" si="7"/>
        <v>0</v>
      </c>
      <c r="AA350" s="26">
        <f t="shared" si="8"/>
        <v>0</v>
      </c>
      <c r="AB350" s="26">
        <f t="shared" si="9"/>
        <v>0</v>
      </c>
      <c r="AC350" s="155">
        <v>0.0</v>
      </c>
      <c r="AD350" s="155">
        <v>0.0</v>
      </c>
      <c r="AE350" s="155">
        <v>0.0</v>
      </c>
      <c r="AF350" s="155">
        <v>0.0</v>
      </c>
      <c r="AG350" s="155">
        <v>0.0</v>
      </c>
      <c r="AH350" s="155">
        <v>0.0</v>
      </c>
      <c r="BN350" s="155">
        <v>0.0</v>
      </c>
      <c r="BO350" s="155">
        <v>0.0</v>
      </c>
      <c r="BP350" s="155">
        <v>0.0</v>
      </c>
      <c r="BQ350" s="155">
        <v>0.0</v>
      </c>
      <c r="BR350" s="155">
        <v>0.0</v>
      </c>
      <c r="BS350" s="155">
        <v>0.0</v>
      </c>
      <c r="CV350" s="156">
        <v>0.0</v>
      </c>
      <c r="CW350" s="156">
        <v>0.0</v>
      </c>
      <c r="CX350" s="156">
        <v>0.0</v>
      </c>
      <c r="CY350" s="156">
        <v>0.0</v>
      </c>
      <c r="CZ350" s="156">
        <v>0.0</v>
      </c>
      <c r="DA350" s="156">
        <v>0.0</v>
      </c>
      <c r="EG350" s="156">
        <v>0.0</v>
      </c>
      <c r="EH350" s="156">
        <v>0.0</v>
      </c>
      <c r="EI350" s="156">
        <v>0.0</v>
      </c>
      <c r="EJ350" s="156">
        <v>0.0</v>
      </c>
      <c r="EK350" s="156">
        <v>0.0</v>
      </c>
      <c r="EL350" s="156">
        <v>0.0</v>
      </c>
      <c r="FQ350" s="156">
        <v>0.0</v>
      </c>
      <c r="FR350" s="156">
        <v>0.0</v>
      </c>
      <c r="FS350" s="156">
        <v>0.0</v>
      </c>
      <c r="FT350" s="156">
        <v>0.0</v>
      </c>
      <c r="FU350" s="156">
        <v>0.0</v>
      </c>
      <c r="FV350" s="156">
        <v>0.0</v>
      </c>
      <c r="FW350" s="157"/>
      <c r="FX350" s="157"/>
      <c r="FY350" s="157"/>
      <c r="FZ350" s="157"/>
      <c r="GA350" s="157"/>
      <c r="GB350" s="157"/>
      <c r="GC350" s="157"/>
      <c r="GD350" s="157"/>
      <c r="GE350" s="157"/>
      <c r="GF350" s="157"/>
      <c r="GG350" s="157"/>
      <c r="GH350" s="157"/>
      <c r="GI350" s="157"/>
      <c r="GJ350" s="157"/>
      <c r="GK350" s="157"/>
      <c r="GL350" s="157"/>
      <c r="GM350" s="157"/>
      <c r="GN350" s="157"/>
      <c r="GO350" s="157"/>
      <c r="GP350" s="158"/>
      <c r="GQ350" s="157"/>
      <c r="GR350" s="157"/>
      <c r="GS350" s="157"/>
      <c r="GT350" s="157"/>
      <c r="GU350" s="157"/>
      <c r="GV350" s="157"/>
      <c r="GW350" s="157"/>
      <c r="GX350" s="157"/>
      <c r="GY350" s="157"/>
      <c r="GZ350" s="157"/>
      <c r="HA350" s="157"/>
      <c r="HB350" s="155">
        <v>0.0</v>
      </c>
      <c r="HC350" s="155">
        <v>0.0</v>
      </c>
      <c r="HD350" s="155">
        <v>0.0</v>
      </c>
      <c r="HE350" s="155">
        <v>0.0</v>
      </c>
      <c r="HF350" s="155">
        <v>0.0</v>
      </c>
      <c r="HG350" s="155">
        <v>0.0</v>
      </c>
      <c r="IL350" s="159">
        <v>0.0</v>
      </c>
      <c r="IM350" s="156">
        <v>0.0</v>
      </c>
      <c r="IN350" s="156">
        <v>0.0</v>
      </c>
      <c r="IO350" s="156">
        <v>0.0</v>
      </c>
      <c r="IP350" s="156">
        <v>0.0</v>
      </c>
      <c r="IQ350" s="160">
        <v>0.0</v>
      </c>
      <c r="JH350" s="25"/>
      <c r="JW350" s="159">
        <v>0.0</v>
      </c>
      <c r="JX350" s="156">
        <v>0.0</v>
      </c>
      <c r="JY350" s="156">
        <v>0.0</v>
      </c>
      <c r="JZ350" s="156">
        <v>0.0</v>
      </c>
      <c r="KA350" s="156">
        <v>0.0</v>
      </c>
      <c r="KB350" s="160">
        <v>0.0</v>
      </c>
      <c r="LH350" s="159">
        <f t="shared" si="10"/>
        <v>0</v>
      </c>
      <c r="LI350" s="156">
        <f t="shared" si="11"/>
        <v>0</v>
      </c>
      <c r="LJ350" s="156">
        <f t="shared" si="12"/>
        <v>0</v>
      </c>
      <c r="LK350" s="156">
        <f t="shared" si="13"/>
        <v>0</v>
      </c>
      <c r="LL350" s="156">
        <f t="shared" si="14"/>
        <v>0</v>
      </c>
      <c r="LM350" s="160">
        <f t="shared" si="15"/>
        <v>0</v>
      </c>
      <c r="QX350" s="107">
        <v>45931.0</v>
      </c>
    </row>
    <row r="351">
      <c r="A351" s="12"/>
      <c r="B351" s="12"/>
      <c r="C351" s="12"/>
      <c r="D351" s="12"/>
      <c r="E351" s="12"/>
      <c r="F351" s="12"/>
      <c r="G351" s="12"/>
      <c r="H351" s="12"/>
      <c r="I351" s="143">
        <f t="shared" si="5"/>
        <v>-30</v>
      </c>
      <c r="J351" s="144">
        <v>45938.0</v>
      </c>
      <c r="K351" s="145" t="s">
        <v>61</v>
      </c>
      <c r="L351" s="171">
        <v>46027.0</v>
      </c>
      <c r="M351" s="147" t="s">
        <v>107</v>
      </c>
      <c r="N351" s="148">
        <v>246.0</v>
      </c>
      <c r="O351" s="148">
        <v>30.0</v>
      </c>
      <c r="P351" s="26"/>
      <c r="Q351" s="26"/>
      <c r="R351" s="26"/>
      <c r="S351" s="26"/>
      <c r="T351" s="26"/>
      <c r="U351" s="147" t="s">
        <v>2669</v>
      </c>
      <c r="V351" s="149" t="s">
        <v>3076</v>
      </c>
      <c r="W351" s="493" t="s">
        <v>3077</v>
      </c>
      <c r="X351" s="181">
        <v>29.0</v>
      </c>
      <c r="Y351" s="166">
        <f t="shared" si="6"/>
        <v>30</v>
      </c>
      <c r="Z351" s="26">
        <f t="shared" si="7"/>
        <v>0</v>
      </c>
      <c r="AA351" s="26">
        <f t="shared" si="8"/>
        <v>0</v>
      </c>
      <c r="AB351" s="26">
        <f t="shared" si="9"/>
        <v>0</v>
      </c>
      <c r="AC351" s="155">
        <v>1.0</v>
      </c>
      <c r="AD351" s="155">
        <v>0.0</v>
      </c>
      <c r="AE351" s="155">
        <v>0.0</v>
      </c>
      <c r="AF351" s="155">
        <v>0.0</v>
      </c>
      <c r="AG351" s="155">
        <v>0.0</v>
      </c>
      <c r="AH351" s="155">
        <v>0.0</v>
      </c>
      <c r="AI351" s="167"/>
      <c r="AJ351" s="167"/>
      <c r="AK351" s="167"/>
      <c r="AL351" s="167"/>
      <c r="AM351" s="167">
        <v>1.0</v>
      </c>
      <c r="AN351" s="167"/>
      <c r="AO351" s="167"/>
      <c r="AP351" s="167"/>
      <c r="AQ351" s="167"/>
      <c r="AR351" s="167"/>
      <c r="AS351" s="167"/>
      <c r="AT351" s="167"/>
      <c r="AU351" s="167"/>
      <c r="AV351" s="167"/>
      <c r="AW351" s="167"/>
      <c r="AX351" s="167"/>
      <c r="AY351" s="167"/>
      <c r="AZ351" s="167"/>
      <c r="BA351" s="167"/>
      <c r="BB351" s="167"/>
      <c r="BC351" s="167"/>
      <c r="BD351" s="167"/>
      <c r="BE351" s="167"/>
      <c r="BF351" s="167"/>
      <c r="BG351" s="167"/>
      <c r="BH351" s="167"/>
      <c r="BI351" s="167"/>
      <c r="BJ351" s="167"/>
      <c r="BK351" s="167"/>
      <c r="BL351" s="167"/>
      <c r="BM351" s="167"/>
      <c r="BN351" s="155">
        <v>0.0</v>
      </c>
      <c r="BO351" s="155">
        <v>0.0</v>
      </c>
      <c r="BP351" s="155">
        <v>0.0</v>
      </c>
      <c r="BQ351" s="155">
        <v>0.0</v>
      </c>
      <c r="BR351" s="155">
        <v>0.0</v>
      </c>
      <c r="BS351" s="155">
        <v>0.0</v>
      </c>
      <c r="CV351" s="156">
        <v>0.0</v>
      </c>
      <c r="CW351" s="156">
        <v>0.0</v>
      </c>
      <c r="CX351" s="156">
        <v>0.0</v>
      </c>
      <c r="CY351" s="156">
        <v>0.0</v>
      </c>
      <c r="CZ351" s="156">
        <v>0.0</v>
      </c>
      <c r="DA351" s="156">
        <v>0.0</v>
      </c>
      <c r="EG351" s="156">
        <v>0.0</v>
      </c>
      <c r="EH351" s="156">
        <v>0.0</v>
      </c>
      <c r="EI351" s="156">
        <v>0.0</v>
      </c>
      <c r="EJ351" s="156">
        <v>0.0</v>
      </c>
      <c r="EK351" s="156">
        <v>0.0</v>
      </c>
      <c r="EL351" s="156">
        <v>0.0</v>
      </c>
      <c r="FQ351" s="156">
        <v>0.0</v>
      </c>
      <c r="FR351" s="156">
        <v>0.0</v>
      </c>
      <c r="FS351" s="156">
        <v>0.0</v>
      </c>
      <c r="FT351" s="156">
        <v>0.0</v>
      </c>
      <c r="FU351" s="156">
        <v>0.0</v>
      </c>
      <c r="FV351" s="156">
        <v>0.0</v>
      </c>
      <c r="FW351" s="157"/>
      <c r="FX351" s="157"/>
      <c r="FY351" s="157"/>
      <c r="FZ351" s="157"/>
      <c r="GA351" s="157"/>
      <c r="GB351" s="157"/>
      <c r="GC351" s="157"/>
      <c r="GD351" s="157"/>
      <c r="GE351" s="157"/>
      <c r="GF351" s="157"/>
      <c r="GG351" s="157"/>
      <c r="GH351" s="157"/>
      <c r="GI351" s="157"/>
      <c r="GJ351" s="157"/>
      <c r="GK351" s="157"/>
      <c r="GL351" s="157"/>
      <c r="GM351" s="157"/>
      <c r="GN351" s="157"/>
      <c r="GO351" s="157"/>
      <c r="GP351" s="158"/>
      <c r="GQ351" s="157"/>
      <c r="GR351" s="157"/>
      <c r="GS351" s="157"/>
      <c r="GT351" s="157"/>
      <c r="GU351" s="157"/>
      <c r="GV351" s="157"/>
      <c r="GW351" s="157"/>
      <c r="GX351" s="157"/>
      <c r="GY351" s="157"/>
      <c r="GZ351" s="157"/>
      <c r="HA351" s="157"/>
      <c r="HB351" s="155">
        <v>0.0</v>
      </c>
      <c r="HC351" s="155">
        <v>0.0</v>
      </c>
      <c r="HD351" s="155">
        <v>0.0</v>
      </c>
      <c r="HE351" s="155">
        <v>0.0</v>
      </c>
      <c r="HF351" s="155">
        <v>0.0</v>
      </c>
      <c r="HG351" s="155">
        <v>0.0</v>
      </c>
      <c r="IL351" s="159">
        <v>0.0</v>
      </c>
      <c r="IM351" s="156">
        <v>0.0</v>
      </c>
      <c r="IN351" s="156">
        <v>0.0</v>
      </c>
      <c r="IO351" s="156">
        <v>0.0</v>
      </c>
      <c r="IP351" s="156">
        <v>0.0</v>
      </c>
      <c r="IQ351" s="160">
        <v>0.0</v>
      </c>
      <c r="JH351" s="25"/>
      <c r="JW351" s="159">
        <v>0.0</v>
      </c>
      <c r="JX351" s="156">
        <v>0.0</v>
      </c>
      <c r="JY351" s="156">
        <v>0.0</v>
      </c>
      <c r="JZ351" s="156">
        <v>0.0</v>
      </c>
      <c r="KA351" s="156">
        <v>0.0</v>
      </c>
      <c r="KB351" s="160">
        <v>0.0</v>
      </c>
      <c r="LH351" s="159">
        <f t="shared" si="10"/>
        <v>0</v>
      </c>
      <c r="LI351" s="156">
        <f t="shared" si="11"/>
        <v>0</v>
      </c>
      <c r="LJ351" s="156">
        <f t="shared" si="12"/>
        <v>0</v>
      </c>
      <c r="LK351" s="156">
        <f t="shared" si="13"/>
        <v>0</v>
      </c>
      <c r="LL351" s="156">
        <f t="shared" si="14"/>
        <v>0</v>
      </c>
      <c r="LM351" s="160">
        <f t="shared" si="15"/>
        <v>0</v>
      </c>
      <c r="QX351" s="107">
        <v>45931.0</v>
      </c>
    </row>
    <row r="352">
      <c r="A352" s="12"/>
      <c r="B352" s="12"/>
      <c r="C352" s="12"/>
      <c r="D352" s="12"/>
      <c r="E352" s="12"/>
      <c r="F352" s="12"/>
      <c r="G352" s="12"/>
      <c r="H352" s="12"/>
      <c r="I352" s="219">
        <f t="shared" si="5"/>
        <v>-15</v>
      </c>
      <c r="J352" s="144">
        <v>45933.0</v>
      </c>
      <c r="K352" s="173" t="s">
        <v>61</v>
      </c>
      <c r="L352" s="144">
        <v>45971.0</v>
      </c>
      <c r="M352" s="147" t="s">
        <v>400</v>
      </c>
      <c r="N352" s="148">
        <v>246.0</v>
      </c>
      <c r="O352" s="148">
        <v>30.0</v>
      </c>
      <c r="P352" s="26"/>
      <c r="Q352" s="26"/>
      <c r="R352" s="26"/>
      <c r="S352" s="26"/>
      <c r="T352" s="26"/>
      <c r="U352" s="147" t="s">
        <v>845</v>
      </c>
      <c r="V352" s="149" t="s">
        <v>2952</v>
      </c>
      <c r="W352" s="198" t="s">
        <v>3078</v>
      </c>
      <c r="X352" s="181">
        <v>15.0</v>
      </c>
      <c r="Y352" s="166">
        <f t="shared" si="6"/>
        <v>15</v>
      </c>
      <c r="Z352" s="26">
        <f t="shared" si="7"/>
        <v>0</v>
      </c>
      <c r="AA352" s="26">
        <f t="shared" si="8"/>
        <v>0</v>
      </c>
      <c r="AB352" s="26">
        <f t="shared" si="9"/>
        <v>0</v>
      </c>
      <c r="AC352" s="155">
        <v>0.0</v>
      </c>
      <c r="AD352" s="155">
        <v>0.0</v>
      </c>
      <c r="AE352" s="155">
        <v>0.0</v>
      </c>
      <c r="AF352" s="155">
        <v>0.0</v>
      </c>
      <c r="AG352" s="155">
        <v>0.0</v>
      </c>
      <c r="AH352" s="155">
        <v>0.0</v>
      </c>
      <c r="BN352" s="155">
        <v>0.0</v>
      </c>
      <c r="BO352" s="155">
        <v>0.0</v>
      </c>
      <c r="BP352" s="155">
        <v>0.0</v>
      </c>
      <c r="BQ352" s="155">
        <v>0.0</v>
      </c>
      <c r="BR352" s="155">
        <v>0.0</v>
      </c>
      <c r="BS352" s="155">
        <v>0.0</v>
      </c>
      <c r="CV352" s="156">
        <v>0.0</v>
      </c>
      <c r="CW352" s="156">
        <v>0.0</v>
      </c>
      <c r="CX352" s="156">
        <v>0.0</v>
      </c>
      <c r="CY352" s="156">
        <v>0.0</v>
      </c>
      <c r="CZ352" s="156">
        <v>0.0</v>
      </c>
      <c r="DA352" s="156">
        <v>0.0</v>
      </c>
      <c r="EG352" s="156">
        <v>0.0</v>
      </c>
      <c r="EH352" s="156">
        <v>0.0</v>
      </c>
      <c r="EI352" s="156">
        <v>0.0</v>
      </c>
      <c r="EJ352" s="156">
        <v>0.0</v>
      </c>
      <c r="EK352" s="156">
        <v>0.0</v>
      </c>
      <c r="EL352" s="156">
        <v>0.0</v>
      </c>
      <c r="FQ352" s="156">
        <v>0.0</v>
      </c>
      <c r="FR352" s="156">
        <v>0.0</v>
      </c>
      <c r="FS352" s="156">
        <v>0.0</v>
      </c>
      <c r="FT352" s="156">
        <v>0.0</v>
      </c>
      <c r="FU352" s="156">
        <v>0.0</v>
      </c>
      <c r="FV352" s="156">
        <v>0.0</v>
      </c>
      <c r="FW352" s="157"/>
      <c r="FX352" s="157"/>
      <c r="FY352" s="157"/>
      <c r="FZ352" s="157"/>
      <c r="GA352" s="157"/>
      <c r="GB352" s="157"/>
      <c r="GC352" s="157"/>
      <c r="GD352" s="157"/>
      <c r="GE352" s="157"/>
      <c r="GF352" s="157"/>
      <c r="GG352" s="157"/>
      <c r="GH352" s="157"/>
      <c r="GI352" s="157"/>
      <c r="GJ352" s="157"/>
      <c r="GK352" s="157"/>
      <c r="GL352" s="157"/>
      <c r="GM352" s="157"/>
      <c r="GN352" s="157"/>
      <c r="GO352" s="157"/>
      <c r="GP352" s="158"/>
      <c r="GQ352" s="157"/>
      <c r="GR352" s="157"/>
      <c r="GS352" s="157"/>
      <c r="GT352" s="157"/>
      <c r="GU352" s="157"/>
      <c r="GV352" s="157"/>
      <c r="GW352" s="157"/>
      <c r="GX352" s="157"/>
      <c r="GY352" s="157"/>
      <c r="GZ352" s="157"/>
      <c r="HA352" s="157"/>
      <c r="HB352" s="155">
        <v>0.0</v>
      </c>
      <c r="HC352" s="155">
        <v>0.0</v>
      </c>
      <c r="HD352" s="155">
        <v>0.0</v>
      </c>
      <c r="HE352" s="155">
        <v>0.0</v>
      </c>
      <c r="HF352" s="155">
        <v>0.0</v>
      </c>
      <c r="HG352" s="155">
        <v>0.0</v>
      </c>
      <c r="IL352" s="159">
        <v>0.0</v>
      </c>
      <c r="IM352" s="156">
        <v>0.0</v>
      </c>
      <c r="IN352" s="156">
        <v>0.0</v>
      </c>
      <c r="IO352" s="156">
        <v>0.0</v>
      </c>
      <c r="IP352" s="156">
        <v>0.0</v>
      </c>
      <c r="IQ352" s="160">
        <v>0.0</v>
      </c>
      <c r="JH352" s="25"/>
      <c r="JW352" s="159">
        <v>0.0</v>
      </c>
      <c r="JX352" s="156">
        <v>0.0</v>
      </c>
      <c r="JY352" s="156">
        <v>0.0</v>
      </c>
      <c r="JZ352" s="156">
        <v>0.0</v>
      </c>
      <c r="KA352" s="156">
        <v>0.0</v>
      </c>
      <c r="KB352" s="160">
        <v>0.0</v>
      </c>
      <c r="LH352" s="159">
        <f t="shared" si="10"/>
        <v>0</v>
      </c>
      <c r="LI352" s="156">
        <f t="shared" si="11"/>
        <v>0</v>
      </c>
      <c r="LJ352" s="156">
        <f t="shared" si="12"/>
        <v>0</v>
      </c>
      <c r="LK352" s="156">
        <f t="shared" si="13"/>
        <v>0</v>
      </c>
      <c r="LL352" s="156">
        <f t="shared" si="14"/>
        <v>0</v>
      </c>
      <c r="LM352" s="160">
        <f t="shared" si="15"/>
        <v>0</v>
      </c>
      <c r="QX352" s="107">
        <v>45932.0</v>
      </c>
    </row>
    <row r="353">
      <c r="A353" s="12"/>
      <c r="B353" s="12"/>
      <c r="C353" s="12"/>
      <c r="D353" s="12"/>
      <c r="E353" s="12"/>
      <c r="F353" s="12"/>
      <c r="G353" s="12"/>
      <c r="H353" s="12"/>
      <c r="I353" s="143">
        <f t="shared" si="5"/>
        <v>-60</v>
      </c>
      <c r="J353" s="144">
        <v>45936.0</v>
      </c>
      <c r="K353" s="145" t="s">
        <v>61</v>
      </c>
      <c r="L353" s="171">
        <v>46111.0</v>
      </c>
      <c r="M353" s="147" t="s">
        <v>107</v>
      </c>
      <c r="N353" s="148">
        <v>246.0</v>
      </c>
      <c r="O353" s="148">
        <v>30.0</v>
      </c>
      <c r="P353" s="26"/>
      <c r="Q353" s="26"/>
      <c r="R353" s="26"/>
      <c r="S353" s="26"/>
      <c r="T353" s="26"/>
      <c r="U353" s="147" t="s">
        <v>3079</v>
      </c>
      <c r="V353" s="149" t="s">
        <v>3080</v>
      </c>
      <c r="W353" s="150" t="s">
        <v>3081</v>
      </c>
      <c r="X353" s="181">
        <v>31.0</v>
      </c>
      <c r="Y353" s="166">
        <f t="shared" si="6"/>
        <v>60</v>
      </c>
      <c r="Z353" s="26">
        <f t="shared" si="7"/>
        <v>0</v>
      </c>
      <c r="AA353" s="26">
        <f t="shared" si="8"/>
        <v>0</v>
      </c>
      <c r="AB353" s="26">
        <f t="shared" si="9"/>
        <v>0</v>
      </c>
      <c r="AC353" s="155">
        <v>10.0</v>
      </c>
      <c r="AD353" s="155">
        <v>0.0</v>
      </c>
      <c r="AE353" s="155">
        <v>0.0</v>
      </c>
      <c r="AF353" s="155">
        <v>0.0</v>
      </c>
      <c r="AG353" s="155">
        <v>0.0</v>
      </c>
      <c r="AH353" s="155">
        <v>0.0</v>
      </c>
      <c r="AI353" s="167">
        <v>0.0</v>
      </c>
      <c r="AJ353" s="167">
        <v>1.0</v>
      </c>
      <c r="AK353" s="167">
        <v>0.0</v>
      </c>
      <c r="AL353" s="167">
        <v>0.0</v>
      </c>
      <c r="AM353" s="167">
        <v>1.0</v>
      </c>
      <c r="AN353" s="167">
        <v>0.0</v>
      </c>
      <c r="AO353" s="167">
        <v>1.0</v>
      </c>
      <c r="AP353" s="167">
        <v>0.0</v>
      </c>
      <c r="AQ353" s="167">
        <v>1.0</v>
      </c>
      <c r="AR353" s="167">
        <v>0.0</v>
      </c>
      <c r="AS353" s="167">
        <v>0.0</v>
      </c>
      <c r="AT353" s="167">
        <v>1.0</v>
      </c>
      <c r="AU353" s="167">
        <v>0.0</v>
      </c>
      <c r="AV353" s="167">
        <v>1.0</v>
      </c>
      <c r="AW353" s="167">
        <v>0.0</v>
      </c>
      <c r="AX353" s="167">
        <v>1.0</v>
      </c>
      <c r="AY353" s="167">
        <v>0.0</v>
      </c>
      <c r="AZ353" s="167">
        <v>0.0</v>
      </c>
      <c r="BA353" s="167">
        <v>1.0</v>
      </c>
      <c r="BB353" s="167">
        <v>0.0</v>
      </c>
      <c r="BC353" s="167">
        <v>1.0</v>
      </c>
      <c r="BD353" s="167"/>
      <c r="BE353" s="167"/>
      <c r="BF353" s="167"/>
      <c r="BG353" s="167"/>
      <c r="BH353" s="167"/>
      <c r="BI353" s="167"/>
      <c r="BJ353" s="167"/>
      <c r="BK353" s="167"/>
      <c r="BL353" s="167">
        <v>1.0</v>
      </c>
      <c r="BM353" s="167">
        <v>0.0</v>
      </c>
      <c r="BN353" s="155">
        <v>6.0</v>
      </c>
      <c r="BO353" s="155">
        <v>0.0</v>
      </c>
      <c r="BP353" s="155">
        <v>0.0</v>
      </c>
      <c r="BQ353" s="155">
        <v>0.0</v>
      </c>
      <c r="BR353" s="155">
        <v>0.0</v>
      </c>
      <c r="BS353" s="155">
        <v>0.0</v>
      </c>
      <c r="BT353" s="167">
        <v>0.0</v>
      </c>
      <c r="BU353" s="167">
        <v>1.0</v>
      </c>
      <c r="BV353" s="167">
        <v>0.0</v>
      </c>
      <c r="BW353" s="167">
        <v>1.0</v>
      </c>
      <c r="BX353" s="167">
        <v>0.0</v>
      </c>
      <c r="BY353" s="167">
        <v>1.0</v>
      </c>
      <c r="BZ353" s="167">
        <v>0.0</v>
      </c>
      <c r="CA353" s="167">
        <v>0.0</v>
      </c>
      <c r="CB353" s="167">
        <v>1.0</v>
      </c>
      <c r="CC353" s="167">
        <v>0.0</v>
      </c>
      <c r="CD353" s="167">
        <v>1.0</v>
      </c>
      <c r="CE353" s="167">
        <v>0.0</v>
      </c>
      <c r="CF353" s="167">
        <v>1.0</v>
      </c>
      <c r="CG353" s="167"/>
      <c r="CH353" s="167"/>
      <c r="CI353" s="167"/>
      <c r="CJ353" s="167"/>
      <c r="CK353" s="167"/>
      <c r="CL353" s="167"/>
      <c r="CM353" s="167"/>
      <c r="CN353" s="167"/>
      <c r="CO353" s="167"/>
      <c r="CP353" s="167"/>
      <c r="CQ353" s="167"/>
      <c r="CR353" s="167"/>
      <c r="CS353" s="167"/>
      <c r="CT353" s="167"/>
      <c r="CU353" s="167"/>
      <c r="CV353" s="156">
        <v>13.0</v>
      </c>
      <c r="CW353" s="156">
        <v>0.0</v>
      </c>
      <c r="CX353" s="156">
        <v>0.0</v>
      </c>
      <c r="CY353" s="156">
        <v>0.0</v>
      </c>
      <c r="CZ353" s="156">
        <v>0.0</v>
      </c>
      <c r="DA353" s="156">
        <v>0.0</v>
      </c>
      <c r="DB353" s="174">
        <v>0.0</v>
      </c>
      <c r="DC353" s="174">
        <v>1.0</v>
      </c>
      <c r="DD353" s="174">
        <v>0.0</v>
      </c>
      <c r="DE353" s="174">
        <v>1.0</v>
      </c>
      <c r="DF353" s="174">
        <v>0.0</v>
      </c>
      <c r="DG353" s="174">
        <v>1.0</v>
      </c>
      <c r="DH353" s="174">
        <v>0.0</v>
      </c>
      <c r="DI353" s="174">
        <v>0.0</v>
      </c>
      <c r="DJ353" s="174">
        <v>1.0</v>
      </c>
      <c r="DK353" s="174">
        <v>0.0</v>
      </c>
      <c r="DL353" s="174">
        <v>1.0</v>
      </c>
      <c r="DM353" s="174">
        <v>0.0</v>
      </c>
      <c r="DN353" s="174">
        <v>1.0</v>
      </c>
      <c r="DO353" s="174">
        <v>0.0</v>
      </c>
      <c r="DP353" s="174">
        <v>0.0</v>
      </c>
      <c r="DQ353" s="175">
        <v>1.0</v>
      </c>
      <c r="DR353" s="174">
        <v>0.0</v>
      </c>
      <c r="DS353" s="174">
        <v>1.0</v>
      </c>
      <c r="DT353" s="174">
        <v>0.0</v>
      </c>
      <c r="DU353" s="174">
        <v>1.0</v>
      </c>
      <c r="DV353" s="174">
        <v>0.0</v>
      </c>
      <c r="DW353" s="174">
        <v>0.0</v>
      </c>
      <c r="DX353" s="174">
        <v>1.0</v>
      </c>
      <c r="DY353" s="174">
        <v>0.0</v>
      </c>
      <c r="DZ353" s="174">
        <v>1.0</v>
      </c>
      <c r="EA353" s="174">
        <v>0.0</v>
      </c>
      <c r="EB353" s="174">
        <v>1.0</v>
      </c>
      <c r="EC353" s="174">
        <v>0.0</v>
      </c>
      <c r="ED353" s="174">
        <v>0.0</v>
      </c>
      <c r="EE353" s="174">
        <v>1.0</v>
      </c>
      <c r="EF353" s="174">
        <v>0.0</v>
      </c>
      <c r="EG353" s="156">
        <v>0.0</v>
      </c>
      <c r="EH353" s="156">
        <v>0.0</v>
      </c>
      <c r="EI353" s="156">
        <v>0.0</v>
      </c>
      <c r="EJ353" s="156">
        <v>0.0</v>
      </c>
      <c r="EK353" s="156">
        <v>0.0</v>
      </c>
      <c r="EL353" s="156">
        <v>0.0</v>
      </c>
      <c r="FQ353" s="156">
        <v>0.0</v>
      </c>
      <c r="FR353" s="156">
        <v>0.0</v>
      </c>
      <c r="FS353" s="156">
        <v>0.0</v>
      </c>
      <c r="FT353" s="156">
        <v>0.0</v>
      </c>
      <c r="FU353" s="156">
        <v>0.0</v>
      </c>
      <c r="FV353" s="156">
        <v>0.0</v>
      </c>
      <c r="FW353" s="157"/>
      <c r="FX353" s="157"/>
      <c r="FY353" s="157"/>
      <c r="FZ353" s="157"/>
      <c r="GA353" s="157"/>
      <c r="GB353" s="157"/>
      <c r="GC353" s="157"/>
      <c r="GD353" s="157"/>
      <c r="GE353" s="157"/>
      <c r="GF353" s="157"/>
      <c r="GG353" s="157"/>
      <c r="GH353" s="157"/>
      <c r="GI353" s="157"/>
      <c r="GJ353" s="157"/>
      <c r="GK353" s="157"/>
      <c r="GL353" s="157"/>
      <c r="GM353" s="157"/>
      <c r="GN353" s="157"/>
      <c r="GO353" s="157"/>
      <c r="GP353" s="158"/>
      <c r="GQ353" s="157"/>
      <c r="GR353" s="157"/>
      <c r="GS353" s="157"/>
      <c r="GT353" s="157"/>
      <c r="GU353" s="157"/>
      <c r="GV353" s="157"/>
      <c r="GW353" s="157"/>
      <c r="GX353" s="157"/>
      <c r="GY353" s="157"/>
      <c r="GZ353" s="157"/>
      <c r="HA353" s="157"/>
      <c r="HB353" s="155">
        <v>0.0</v>
      </c>
      <c r="HC353" s="155">
        <v>0.0</v>
      </c>
      <c r="HD353" s="155">
        <v>0.0</v>
      </c>
      <c r="HE353" s="155">
        <v>0.0</v>
      </c>
      <c r="HF353" s="155">
        <v>0.0</v>
      </c>
      <c r="HG353" s="155">
        <v>0.0</v>
      </c>
      <c r="IL353" s="159">
        <v>0.0</v>
      </c>
      <c r="IM353" s="156">
        <v>0.0</v>
      </c>
      <c r="IN353" s="156">
        <v>0.0</v>
      </c>
      <c r="IO353" s="156">
        <v>0.0</v>
      </c>
      <c r="IP353" s="156">
        <v>0.0</v>
      </c>
      <c r="IQ353" s="160">
        <v>0.0</v>
      </c>
      <c r="JH353" s="25"/>
      <c r="JW353" s="159">
        <v>0.0</v>
      </c>
      <c r="JX353" s="156">
        <v>0.0</v>
      </c>
      <c r="JY353" s="156">
        <v>0.0</v>
      </c>
      <c r="JZ353" s="156">
        <v>0.0</v>
      </c>
      <c r="KA353" s="156">
        <v>0.0</v>
      </c>
      <c r="KB353" s="160">
        <v>0.0</v>
      </c>
      <c r="LH353" s="159">
        <f t="shared" si="10"/>
        <v>0</v>
      </c>
      <c r="LI353" s="156">
        <f t="shared" si="11"/>
        <v>0</v>
      </c>
      <c r="LJ353" s="156">
        <f t="shared" si="12"/>
        <v>0</v>
      </c>
      <c r="LK353" s="156">
        <f t="shared" si="13"/>
        <v>0</v>
      </c>
      <c r="LL353" s="156">
        <f t="shared" si="14"/>
        <v>0</v>
      </c>
      <c r="LM353" s="160">
        <f t="shared" si="15"/>
        <v>0</v>
      </c>
      <c r="QX353" s="107">
        <v>45932.0</v>
      </c>
    </row>
    <row r="354">
      <c r="A354" s="12"/>
      <c r="B354" s="12"/>
      <c r="C354" s="12"/>
      <c r="D354" s="12"/>
      <c r="E354" s="12"/>
      <c r="F354" s="12"/>
      <c r="G354" s="12"/>
      <c r="H354" s="12"/>
      <c r="I354" s="143">
        <f t="shared" si="5"/>
        <v>-29</v>
      </c>
      <c r="J354" s="144">
        <v>45935.0</v>
      </c>
      <c r="K354" s="145" t="s">
        <v>61</v>
      </c>
      <c r="L354" s="171">
        <v>46053.0</v>
      </c>
      <c r="M354" s="147" t="s">
        <v>348</v>
      </c>
      <c r="N354" s="148" t="s">
        <v>467</v>
      </c>
      <c r="O354" s="148">
        <v>30.0</v>
      </c>
      <c r="P354" s="26"/>
      <c r="Q354" s="26"/>
      <c r="R354" s="26"/>
      <c r="S354" s="26"/>
      <c r="T354" s="26"/>
      <c r="U354" s="147" t="s">
        <v>2791</v>
      </c>
      <c r="V354" s="149" t="s">
        <v>2792</v>
      </c>
      <c r="W354" s="198" t="s">
        <v>3082</v>
      </c>
      <c r="X354" s="181">
        <v>24.0</v>
      </c>
      <c r="Y354" s="166">
        <f t="shared" si="6"/>
        <v>29</v>
      </c>
      <c r="Z354" s="26">
        <f t="shared" si="7"/>
        <v>0</v>
      </c>
      <c r="AA354" s="26">
        <f t="shared" si="8"/>
        <v>0</v>
      </c>
      <c r="AB354" s="26">
        <f t="shared" si="9"/>
        <v>0</v>
      </c>
      <c r="AC354" s="155">
        <v>5.0</v>
      </c>
      <c r="AD354" s="155">
        <v>0.0</v>
      </c>
      <c r="AE354" s="155">
        <v>0.0</v>
      </c>
      <c r="AF354" s="155">
        <v>0.0</v>
      </c>
      <c r="AG354" s="155">
        <v>0.0</v>
      </c>
      <c r="AH354" s="155">
        <v>0.0</v>
      </c>
      <c r="AL354" s="86">
        <v>1.0</v>
      </c>
      <c r="AY354" s="86">
        <v>1.0</v>
      </c>
      <c r="BF354" s="86">
        <v>1.0</v>
      </c>
      <c r="BG354" s="86">
        <v>2.0</v>
      </c>
      <c r="BN354" s="155">
        <v>0.0</v>
      </c>
      <c r="BO354" s="155">
        <v>0.0</v>
      </c>
      <c r="BP354" s="155">
        <v>0.0</v>
      </c>
      <c r="BQ354" s="155">
        <v>0.0</v>
      </c>
      <c r="BR354" s="155">
        <v>0.0</v>
      </c>
      <c r="BS354" s="155">
        <v>0.0</v>
      </c>
      <c r="CV354" s="156">
        <v>0.0</v>
      </c>
      <c r="CW354" s="156">
        <v>0.0</v>
      </c>
      <c r="CX354" s="156">
        <v>0.0</v>
      </c>
      <c r="CY354" s="156">
        <v>0.0</v>
      </c>
      <c r="CZ354" s="156">
        <v>0.0</v>
      </c>
      <c r="DA354" s="156">
        <v>0.0</v>
      </c>
      <c r="EG354" s="156">
        <v>0.0</v>
      </c>
      <c r="EH354" s="156">
        <v>0.0</v>
      </c>
      <c r="EI354" s="156">
        <v>0.0</v>
      </c>
      <c r="EJ354" s="156">
        <v>0.0</v>
      </c>
      <c r="EK354" s="156">
        <v>0.0</v>
      </c>
      <c r="EL354" s="156">
        <v>0.0</v>
      </c>
      <c r="FQ354" s="156">
        <v>0.0</v>
      </c>
      <c r="FR354" s="156">
        <v>0.0</v>
      </c>
      <c r="FS354" s="156">
        <v>0.0</v>
      </c>
      <c r="FT354" s="156">
        <v>0.0</v>
      </c>
      <c r="FU354" s="156">
        <v>0.0</v>
      </c>
      <c r="FV354" s="156">
        <v>0.0</v>
      </c>
      <c r="FW354" s="157"/>
      <c r="FX354" s="157"/>
      <c r="FY354" s="157"/>
      <c r="FZ354" s="157"/>
      <c r="GA354" s="157"/>
      <c r="GB354" s="157"/>
      <c r="GC354" s="157"/>
      <c r="GD354" s="157"/>
      <c r="GE354" s="157"/>
      <c r="GF354" s="157"/>
      <c r="GG354" s="157"/>
      <c r="GH354" s="157"/>
      <c r="GI354" s="157"/>
      <c r="GJ354" s="157"/>
      <c r="GK354" s="157"/>
      <c r="GL354" s="157"/>
      <c r="GM354" s="157"/>
      <c r="GN354" s="157"/>
      <c r="GO354" s="157"/>
      <c r="GP354" s="158"/>
      <c r="GQ354" s="157"/>
      <c r="GR354" s="157"/>
      <c r="GS354" s="157"/>
      <c r="GT354" s="157"/>
      <c r="GU354" s="157"/>
      <c r="GV354" s="157"/>
      <c r="GW354" s="157"/>
      <c r="GX354" s="157"/>
      <c r="GY354" s="157"/>
      <c r="GZ354" s="157"/>
      <c r="HA354" s="157"/>
      <c r="HB354" s="155">
        <v>0.0</v>
      </c>
      <c r="HC354" s="155">
        <v>0.0</v>
      </c>
      <c r="HD354" s="155">
        <v>0.0</v>
      </c>
      <c r="HE354" s="155">
        <v>0.0</v>
      </c>
      <c r="HF354" s="155">
        <v>0.0</v>
      </c>
      <c r="HG354" s="155">
        <v>0.0</v>
      </c>
      <c r="IL354" s="159">
        <v>0.0</v>
      </c>
      <c r="IM354" s="156">
        <v>0.0</v>
      </c>
      <c r="IN354" s="156">
        <v>0.0</v>
      </c>
      <c r="IO354" s="156">
        <v>0.0</v>
      </c>
      <c r="IP354" s="156">
        <v>0.0</v>
      </c>
      <c r="IQ354" s="160">
        <v>0.0</v>
      </c>
      <c r="JH354" s="25"/>
      <c r="JW354" s="159">
        <v>0.0</v>
      </c>
      <c r="JX354" s="156">
        <v>0.0</v>
      </c>
      <c r="JY354" s="156">
        <v>0.0</v>
      </c>
      <c r="JZ354" s="156">
        <v>0.0</v>
      </c>
      <c r="KA354" s="156">
        <v>0.0</v>
      </c>
      <c r="KB354" s="160">
        <v>0.0</v>
      </c>
      <c r="LH354" s="159">
        <f t="shared" si="10"/>
        <v>0</v>
      </c>
      <c r="LI354" s="156">
        <f t="shared" si="11"/>
        <v>0</v>
      </c>
      <c r="LJ354" s="156">
        <f t="shared" si="12"/>
        <v>0</v>
      </c>
      <c r="LK354" s="156">
        <f t="shared" si="13"/>
        <v>0</v>
      </c>
      <c r="LL354" s="156">
        <f t="shared" si="14"/>
        <v>0</v>
      </c>
      <c r="LM354" s="160">
        <f t="shared" si="15"/>
        <v>0</v>
      </c>
      <c r="QX354" s="107">
        <v>45934.0</v>
      </c>
    </row>
    <row r="355">
      <c r="A355" s="12"/>
      <c r="B355" s="12"/>
      <c r="C355" s="12"/>
      <c r="D355" s="12"/>
      <c r="E355" s="12"/>
      <c r="F355" s="12"/>
      <c r="G355" s="12"/>
      <c r="H355" s="12"/>
      <c r="I355" s="143">
        <f t="shared" si="5"/>
        <v>-24</v>
      </c>
      <c r="J355" s="144">
        <v>45948.0</v>
      </c>
      <c r="K355" s="180" t="s">
        <v>53</v>
      </c>
      <c r="L355" s="170" t="s">
        <v>3083</v>
      </c>
      <c r="M355" s="147" t="s">
        <v>1703</v>
      </c>
      <c r="N355" s="148">
        <v>357.0</v>
      </c>
      <c r="O355" s="148">
        <v>30.0</v>
      </c>
      <c r="P355" s="26"/>
      <c r="Q355" s="26"/>
      <c r="R355" s="26"/>
      <c r="S355" s="26"/>
      <c r="T355" s="26"/>
      <c r="U355" s="147" t="s">
        <v>2519</v>
      </c>
      <c r="V355" s="149" t="s">
        <v>307</v>
      </c>
      <c r="W355" s="198" t="s">
        <v>3084</v>
      </c>
      <c r="X355" s="181">
        <v>13.0</v>
      </c>
      <c r="Y355" s="166">
        <f t="shared" si="6"/>
        <v>24</v>
      </c>
      <c r="Z355" s="26">
        <f t="shared" si="7"/>
        <v>0</v>
      </c>
      <c r="AA355" s="26">
        <f t="shared" si="8"/>
        <v>0</v>
      </c>
      <c r="AB355" s="26">
        <f t="shared" si="9"/>
        <v>0</v>
      </c>
      <c r="AC355" s="155">
        <v>9.0</v>
      </c>
      <c r="AD355" s="155">
        <v>0.0</v>
      </c>
      <c r="AE355" s="155">
        <v>0.0</v>
      </c>
      <c r="AF355" s="155">
        <v>0.0</v>
      </c>
      <c r="AG355" s="155">
        <v>0.0</v>
      </c>
      <c r="AH355" s="155">
        <v>0.0</v>
      </c>
      <c r="AI355" s="167"/>
      <c r="AJ355" s="167"/>
      <c r="AK355" s="167"/>
      <c r="AL355" s="167"/>
      <c r="AM355" s="167"/>
      <c r="AN355" s="167">
        <v>1.0</v>
      </c>
      <c r="AO355" s="167"/>
      <c r="AP355" s="167"/>
      <c r="AQ355" s="167"/>
      <c r="AR355" s="167">
        <v>1.0</v>
      </c>
      <c r="AS355" s="167"/>
      <c r="AT355" s="167"/>
      <c r="AU355" s="167"/>
      <c r="AV355" s="167"/>
      <c r="AW355" s="167">
        <v>1.0</v>
      </c>
      <c r="AX355" s="167">
        <v>0.0</v>
      </c>
      <c r="AY355" s="167">
        <v>1.0</v>
      </c>
      <c r="AZ355" s="167">
        <v>0.0</v>
      </c>
      <c r="BA355" s="167">
        <v>0.0</v>
      </c>
      <c r="BB355" s="167">
        <v>1.0</v>
      </c>
      <c r="BC355" s="167">
        <v>0.0</v>
      </c>
      <c r="BD355" s="167">
        <v>1.0</v>
      </c>
      <c r="BE355" s="167">
        <v>0.0</v>
      </c>
      <c r="BF355" s="167">
        <v>1.0</v>
      </c>
      <c r="BG355" s="167">
        <v>0.0</v>
      </c>
      <c r="BH355" s="167">
        <v>0.0</v>
      </c>
      <c r="BI355" s="167"/>
      <c r="BJ355" s="167">
        <v>0.0</v>
      </c>
      <c r="BK355" s="167">
        <v>1.0</v>
      </c>
      <c r="BL355" s="167">
        <v>0.0</v>
      </c>
      <c r="BM355" s="167">
        <v>1.0</v>
      </c>
      <c r="BN355" s="155">
        <v>2.0</v>
      </c>
      <c r="BO355" s="155">
        <v>0.0</v>
      </c>
      <c r="BP355" s="155">
        <v>0.0</v>
      </c>
      <c r="BQ355" s="155">
        <v>0.0</v>
      </c>
      <c r="BR355" s="155">
        <v>0.0</v>
      </c>
      <c r="BS355" s="155">
        <v>0.0</v>
      </c>
      <c r="BT355" s="167"/>
      <c r="BU355" s="167"/>
      <c r="BV355" s="167"/>
      <c r="BW355" s="167"/>
      <c r="BX355" s="167">
        <v>1.0</v>
      </c>
      <c r="BY355" s="167"/>
      <c r="BZ355" s="167"/>
      <c r="CA355" s="167"/>
      <c r="CB355" s="167"/>
      <c r="CC355" s="167">
        <v>1.0</v>
      </c>
      <c r="CD355" s="167"/>
      <c r="CE355" s="167"/>
      <c r="CF355" s="167"/>
      <c r="CG355" s="167"/>
      <c r="CH355" s="167"/>
      <c r="CI355" s="167"/>
      <c r="CJ355" s="167"/>
      <c r="CK355" s="167"/>
      <c r="CL355" s="167"/>
      <c r="CM355" s="167"/>
      <c r="CN355" s="167"/>
      <c r="CO355" s="167"/>
      <c r="CP355" s="167"/>
      <c r="CQ355" s="167"/>
      <c r="CR355" s="167"/>
      <c r="CS355" s="167"/>
      <c r="CT355" s="167"/>
      <c r="CU355" s="167"/>
      <c r="CV355" s="156">
        <v>0.0</v>
      </c>
      <c r="CW355" s="156">
        <v>0.0</v>
      </c>
      <c r="CX355" s="156">
        <v>0.0</v>
      </c>
      <c r="CY355" s="156">
        <v>0.0</v>
      </c>
      <c r="CZ355" s="156">
        <v>0.0</v>
      </c>
      <c r="DA355" s="156">
        <v>0.0</v>
      </c>
      <c r="DB355" s="395"/>
      <c r="DC355" s="395"/>
      <c r="DD355" s="395"/>
      <c r="DE355" s="395"/>
      <c r="DF355" s="395"/>
      <c r="DG355" s="395"/>
      <c r="DH355" s="395"/>
      <c r="DI355" s="395"/>
      <c r="DJ355" s="395"/>
      <c r="DK355" s="395"/>
      <c r="DL355" s="395"/>
      <c r="DM355" s="395"/>
      <c r="DN355" s="395"/>
      <c r="DO355" s="395"/>
      <c r="DP355" s="395"/>
      <c r="DQ355" s="395"/>
      <c r="DR355" s="395"/>
      <c r="DS355" s="395"/>
      <c r="DT355" s="395"/>
      <c r="DU355" s="395"/>
      <c r="DV355" s="395"/>
      <c r="DW355" s="395"/>
      <c r="DX355" s="395"/>
      <c r="DY355" s="395"/>
      <c r="DZ355" s="395"/>
      <c r="EA355" s="395"/>
      <c r="EB355" s="395"/>
      <c r="EC355" s="395"/>
      <c r="ED355" s="395"/>
      <c r="EE355" s="395"/>
      <c r="EF355" s="395"/>
      <c r="EG355" s="156">
        <v>0.0</v>
      </c>
      <c r="EH355" s="156">
        <v>0.0</v>
      </c>
      <c r="EI355" s="156">
        <v>0.0</v>
      </c>
      <c r="EJ355" s="156">
        <v>0.0</v>
      </c>
      <c r="EK355" s="156">
        <v>0.0</v>
      </c>
      <c r="EL355" s="156">
        <v>0.0</v>
      </c>
      <c r="FQ355" s="156">
        <v>0.0</v>
      </c>
      <c r="FR355" s="156">
        <v>0.0</v>
      </c>
      <c r="FS355" s="156">
        <v>0.0</v>
      </c>
      <c r="FT355" s="156">
        <v>0.0</v>
      </c>
      <c r="FU355" s="156">
        <v>0.0</v>
      </c>
      <c r="FV355" s="156">
        <v>0.0</v>
      </c>
      <c r="FW355" s="157"/>
      <c r="FX355" s="157"/>
      <c r="FY355" s="157"/>
      <c r="FZ355" s="157"/>
      <c r="GA355" s="157"/>
      <c r="GB355" s="157"/>
      <c r="GC355" s="157"/>
      <c r="GD355" s="157"/>
      <c r="GE355" s="157"/>
      <c r="GF355" s="157"/>
      <c r="GG355" s="157"/>
      <c r="GH355" s="157"/>
      <c r="GI355" s="157"/>
      <c r="GJ355" s="157"/>
      <c r="GK355" s="157"/>
      <c r="GL355" s="157"/>
      <c r="GM355" s="157"/>
      <c r="GN355" s="157"/>
      <c r="GO355" s="157"/>
      <c r="GP355" s="158"/>
      <c r="GQ355" s="157"/>
      <c r="GR355" s="157"/>
      <c r="GS355" s="157"/>
      <c r="GT355" s="157"/>
      <c r="GU355" s="157"/>
      <c r="GV355" s="157"/>
      <c r="GW355" s="157"/>
      <c r="GX355" s="157"/>
      <c r="GY355" s="157"/>
      <c r="GZ355" s="157"/>
      <c r="HA355" s="157"/>
      <c r="HB355" s="155">
        <v>0.0</v>
      </c>
      <c r="HC355" s="155">
        <v>0.0</v>
      </c>
      <c r="HD355" s="155">
        <v>0.0</v>
      </c>
      <c r="HE355" s="155">
        <v>0.0</v>
      </c>
      <c r="HF355" s="155">
        <v>0.0</v>
      </c>
      <c r="HG355" s="155">
        <v>0.0</v>
      </c>
      <c r="IL355" s="159">
        <v>0.0</v>
      </c>
      <c r="IM355" s="156">
        <v>0.0</v>
      </c>
      <c r="IN355" s="156">
        <v>0.0</v>
      </c>
      <c r="IO355" s="156">
        <v>0.0</v>
      </c>
      <c r="IP355" s="156">
        <v>0.0</v>
      </c>
      <c r="IQ355" s="160">
        <v>0.0</v>
      </c>
      <c r="JH355" s="25"/>
      <c r="JW355" s="159">
        <v>0.0</v>
      </c>
      <c r="JX355" s="156">
        <v>0.0</v>
      </c>
      <c r="JY355" s="156">
        <v>0.0</v>
      </c>
      <c r="JZ355" s="156">
        <v>0.0</v>
      </c>
      <c r="KA355" s="156">
        <v>0.0</v>
      </c>
      <c r="KB355" s="160">
        <v>0.0</v>
      </c>
      <c r="LH355" s="159">
        <f t="shared" si="10"/>
        <v>0</v>
      </c>
      <c r="LI355" s="156">
        <f t="shared" si="11"/>
        <v>0</v>
      </c>
      <c r="LJ355" s="156">
        <f t="shared" si="12"/>
        <v>0</v>
      </c>
      <c r="LK355" s="156">
        <f t="shared" si="13"/>
        <v>0</v>
      </c>
      <c r="LL355" s="156">
        <f t="shared" si="14"/>
        <v>0</v>
      </c>
      <c r="LM355" s="160">
        <f t="shared" si="15"/>
        <v>0</v>
      </c>
      <c r="QX355" s="107">
        <v>45934.0</v>
      </c>
    </row>
    <row r="356">
      <c r="A356" s="12"/>
      <c r="B356" s="12"/>
      <c r="C356" s="12"/>
      <c r="D356" s="12"/>
      <c r="E356" s="12"/>
      <c r="F356" s="12"/>
      <c r="G356" s="12"/>
      <c r="H356" s="12"/>
      <c r="I356" s="143">
        <f t="shared" si="5"/>
        <v>-4</v>
      </c>
      <c r="J356" s="144">
        <v>45937.0</v>
      </c>
      <c r="K356" s="173" t="s">
        <v>61</v>
      </c>
      <c r="L356" s="144">
        <v>45971.0</v>
      </c>
      <c r="M356" s="147" t="s">
        <v>400</v>
      </c>
      <c r="N356" s="148">
        <v>357.0</v>
      </c>
      <c r="O356" s="148">
        <v>30.0</v>
      </c>
      <c r="P356" s="26"/>
      <c r="Q356" s="26"/>
      <c r="R356" s="26"/>
      <c r="S356" s="26"/>
      <c r="T356" s="26"/>
      <c r="U356" s="147" t="s">
        <v>447</v>
      </c>
      <c r="V356" s="197"/>
      <c r="W356" s="198" t="s">
        <v>3085</v>
      </c>
      <c r="X356" s="181">
        <v>4.0</v>
      </c>
      <c r="Y356" s="166">
        <f t="shared" si="6"/>
        <v>4</v>
      </c>
      <c r="Z356" s="26">
        <f t="shared" si="7"/>
        <v>0</v>
      </c>
      <c r="AA356" s="26">
        <f t="shared" si="8"/>
        <v>0</v>
      </c>
      <c r="AB356" s="26">
        <f t="shared" si="9"/>
        <v>0</v>
      </c>
      <c r="AC356" s="155">
        <v>0.0</v>
      </c>
      <c r="AD356" s="155">
        <v>0.0</v>
      </c>
      <c r="AE356" s="155">
        <v>0.0</v>
      </c>
      <c r="AF356" s="155">
        <v>0.0</v>
      </c>
      <c r="AG356" s="155">
        <v>0.0</v>
      </c>
      <c r="AH356" s="155">
        <v>0.0</v>
      </c>
      <c r="BN356" s="155">
        <v>0.0</v>
      </c>
      <c r="BO356" s="155">
        <v>0.0</v>
      </c>
      <c r="BP356" s="155">
        <v>0.0</v>
      </c>
      <c r="BQ356" s="155">
        <v>0.0</v>
      </c>
      <c r="BR356" s="155">
        <v>0.0</v>
      </c>
      <c r="BS356" s="155">
        <v>0.0</v>
      </c>
      <c r="CV356" s="156">
        <v>0.0</v>
      </c>
      <c r="CW356" s="156">
        <v>0.0</v>
      </c>
      <c r="CX356" s="156">
        <v>0.0</v>
      </c>
      <c r="CY356" s="156">
        <v>0.0</v>
      </c>
      <c r="CZ356" s="156">
        <v>0.0</v>
      </c>
      <c r="DA356" s="156">
        <v>0.0</v>
      </c>
      <c r="EG356" s="156">
        <v>0.0</v>
      </c>
      <c r="EH356" s="156">
        <v>0.0</v>
      </c>
      <c r="EI356" s="156">
        <v>0.0</v>
      </c>
      <c r="EJ356" s="156">
        <v>0.0</v>
      </c>
      <c r="EK356" s="156">
        <v>0.0</v>
      </c>
      <c r="EL356" s="156">
        <v>0.0</v>
      </c>
      <c r="FQ356" s="156">
        <v>0.0</v>
      </c>
      <c r="FR356" s="156">
        <v>0.0</v>
      </c>
      <c r="FS356" s="156">
        <v>0.0</v>
      </c>
      <c r="FT356" s="156">
        <v>0.0</v>
      </c>
      <c r="FU356" s="156">
        <v>0.0</v>
      </c>
      <c r="FV356" s="156">
        <v>0.0</v>
      </c>
      <c r="FW356" s="157"/>
      <c r="FX356" s="157"/>
      <c r="FY356" s="157"/>
      <c r="FZ356" s="157"/>
      <c r="GA356" s="157"/>
      <c r="GB356" s="157"/>
      <c r="GC356" s="157"/>
      <c r="GD356" s="157"/>
      <c r="GE356" s="157"/>
      <c r="GF356" s="157"/>
      <c r="GG356" s="157"/>
      <c r="GH356" s="157"/>
      <c r="GI356" s="157"/>
      <c r="GJ356" s="157"/>
      <c r="GK356" s="157"/>
      <c r="GL356" s="157"/>
      <c r="GM356" s="157"/>
      <c r="GN356" s="157"/>
      <c r="GO356" s="157"/>
      <c r="GP356" s="158"/>
      <c r="GQ356" s="157"/>
      <c r="GR356" s="157"/>
      <c r="GS356" s="157"/>
      <c r="GT356" s="157"/>
      <c r="GU356" s="157"/>
      <c r="GV356" s="157"/>
      <c r="GW356" s="157"/>
      <c r="GX356" s="157"/>
      <c r="GY356" s="157"/>
      <c r="GZ356" s="157"/>
      <c r="HA356" s="157"/>
      <c r="HB356" s="155">
        <v>0.0</v>
      </c>
      <c r="HC356" s="155">
        <v>0.0</v>
      </c>
      <c r="HD356" s="155">
        <v>0.0</v>
      </c>
      <c r="HE356" s="155">
        <v>0.0</v>
      </c>
      <c r="HF356" s="155">
        <v>0.0</v>
      </c>
      <c r="HG356" s="155">
        <v>0.0</v>
      </c>
      <c r="IL356" s="159">
        <v>0.0</v>
      </c>
      <c r="IM356" s="156">
        <v>0.0</v>
      </c>
      <c r="IN356" s="156">
        <v>0.0</v>
      </c>
      <c r="IO356" s="156">
        <v>0.0</v>
      </c>
      <c r="IP356" s="156">
        <v>0.0</v>
      </c>
      <c r="IQ356" s="160">
        <v>0.0</v>
      </c>
      <c r="JH356" s="25"/>
      <c r="JW356" s="159">
        <v>0.0</v>
      </c>
      <c r="JX356" s="156">
        <v>0.0</v>
      </c>
      <c r="JY356" s="156">
        <v>0.0</v>
      </c>
      <c r="JZ356" s="156">
        <v>0.0</v>
      </c>
      <c r="KA356" s="156">
        <v>0.0</v>
      </c>
      <c r="KB356" s="160">
        <v>0.0</v>
      </c>
      <c r="LH356" s="159">
        <f t="shared" si="10"/>
        <v>0</v>
      </c>
      <c r="LI356" s="156">
        <f t="shared" si="11"/>
        <v>0</v>
      </c>
      <c r="LJ356" s="156">
        <f t="shared" si="12"/>
        <v>0</v>
      </c>
      <c r="LK356" s="156">
        <f t="shared" si="13"/>
        <v>0</v>
      </c>
      <c r="LL356" s="156">
        <f t="shared" si="14"/>
        <v>0</v>
      </c>
      <c r="LM356" s="160">
        <f t="shared" si="15"/>
        <v>0</v>
      </c>
      <c r="QX356" s="107">
        <v>45934.0</v>
      </c>
    </row>
    <row r="357">
      <c r="A357" s="12"/>
      <c r="B357" s="12"/>
      <c r="C357" s="12"/>
      <c r="D357" s="12"/>
      <c r="E357" s="12"/>
      <c r="F357" s="12"/>
      <c r="G357" s="12"/>
      <c r="H357" s="12"/>
      <c r="I357" s="143">
        <f t="shared" si="5"/>
        <v>-17</v>
      </c>
      <c r="J357" s="170" t="s">
        <v>3086</v>
      </c>
      <c r="K357" s="195" t="s">
        <v>48</v>
      </c>
      <c r="L357" s="144">
        <v>45982.0</v>
      </c>
      <c r="M357" s="164" t="s">
        <v>107</v>
      </c>
      <c r="N357" s="148">
        <v>26.0</v>
      </c>
      <c r="O357" s="148">
        <v>30.0</v>
      </c>
      <c r="P357" s="26"/>
      <c r="Q357" s="26"/>
      <c r="R357" s="26"/>
      <c r="S357" s="26"/>
      <c r="T357" s="26"/>
      <c r="U357" s="164" t="s">
        <v>3087</v>
      </c>
      <c r="V357" s="165" t="s">
        <v>581</v>
      </c>
      <c r="W357" s="248" t="s">
        <v>3088</v>
      </c>
      <c r="X357" s="181">
        <v>8.0</v>
      </c>
      <c r="Y357" s="166">
        <f t="shared" si="6"/>
        <v>17</v>
      </c>
      <c r="Z357" s="26">
        <f t="shared" si="7"/>
        <v>0</v>
      </c>
      <c r="AA357" s="26">
        <f t="shared" si="8"/>
        <v>4</v>
      </c>
      <c r="AB357" s="26">
        <f t="shared" si="9"/>
        <v>0</v>
      </c>
      <c r="AC357" s="155">
        <v>0.0</v>
      </c>
      <c r="AD357" s="155">
        <v>0.0</v>
      </c>
      <c r="AE357" s="155">
        <v>0.0</v>
      </c>
      <c r="AF357" s="155">
        <v>0.0</v>
      </c>
      <c r="AG357" s="155">
        <v>0.0</v>
      </c>
      <c r="AH357" s="155">
        <v>0.0</v>
      </c>
      <c r="BN357" s="155">
        <v>0.0</v>
      </c>
      <c r="BO357" s="155">
        <v>0.0</v>
      </c>
      <c r="BP357" s="155">
        <v>0.0</v>
      </c>
      <c r="BQ357" s="155">
        <v>0.0</v>
      </c>
      <c r="BR357" s="155">
        <v>0.0</v>
      </c>
      <c r="BS357" s="155">
        <v>0.0</v>
      </c>
      <c r="CV357" s="156">
        <v>0.0</v>
      </c>
      <c r="CW357" s="156">
        <v>0.0</v>
      </c>
      <c r="CX357" s="156">
        <v>0.0</v>
      </c>
      <c r="CY357" s="156">
        <v>0.0</v>
      </c>
      <c r="CZ357" s="156">
        <v>0.0</v>
      </c>
      <c r="DA357" s="156">
        <v>0.0</v>
      </c>
      <c r="EG357" s="156">
        <v>0.0</v>
      </c>
      <c r="EH357" s="156">
        <v>0.0</v>
      </c>
      <c r="EI357" s="156">
        <v>0.0</v>
      </c>
      <c r="EJ357" s="156">
        <v>0.0</v>
      </c>
      <c r="EK357" s="156">
        <v>0.0</v>
      </c>
      <c r="EL357" s="156">
        <v>0.0</v>
      </c>
      <c r="FQ357" s="156">
        <v>0.0</v>
      </c>
      <c r="FR357" s="156">
        <v>0.0</v>
      </c>
      <c r="FS357" s="156">
        <v>0.0</v>
      </c>
      <c r="FT357" s="156">
        <v>0.0</v>
      </c>
      <c r="FU357" s="156">
        <v>0.0</v>
      </c>
      <c r="FV357" s="156">
        <v>0.0</v>
      </c>
      <c r="FW357" s="157"/>
      <c r="FX357" s="157"/>
      <c r="FY357" s="157"/>
      <c r="FZ357" s="157"/>
      <c r="GA357" s="157"/>
      <c r="GB357" s="157"/>
      <c r="GC357" s="157"/>
      <c r="GD357" s="157"/>
      <c r="GE357" s="157"/>
      <c r="GF357" s="157"/>
      <c r="GG357" s="157"/>
      <c r="GH357" s="157"/>
      <c r="GI357" s="157"/>
      <c r="GJ357" s="157"/>
      <c r="GK357" s="157"/>
      <c r="GL357" s="157"/>
      <c r="GM357" s="157"/>
      <c r="GN357" s="157"/>
      <c r="GO357" s="157"/>
      <c r="GP357" s="158"/>
      <c r="GQ357" s="157"/>
      <c r="GR357" s="157"/>
      <c r="GS357" s="157"/>
      <c r="GT357" s="157"/>
      <c r="GU357" s="157"/>
      <c r="GV357" s="157"/>
      <c r="GW357" s="157"/>
      <c r="GX357" s="157"/>
      <c r="GY357" s="157"/>
      <c r="GZ357" s="157"/>
      <c r="HA357" s="157"/>
      <c r="HB357" s="155">
        <v>1.0</v>
      </c>
      <c r="HC357" s="155">
        <v>0.0</v>
      </c>
      <c r="HD357" s="155">
        <v>0.0</v>
      </c>
      <c r="HE357" s="155">
        <v>0.0</v>
      </c>
      <c r="HF357" s="155">
        <v>0.0</v>
      </c>
      <c r="HG357" s="155">
        <v>0.0</v>
      </c>
      <c r="IJ357" s="86">
        <v>1.0</v>
      </c>
      <c r="IL357" s="159">
        <v>4.0</v>
      </c>
      <c r="IM357" s="156">
        <v>0.0</v>
      </c>
      <c r="IN357" s="156">
        <v>0.0</v>
      </c>
      <c r="IO357" s="156">
        <v>1.0</v>
      </c>
      <c r="IP357" s="156">
        <v>0.0</v>
      </c>
      <c r="IQ357" s="160">
        <v>0.0</v>
      </c>
      <c r="IT357" s="86">
        <v>1.0</v>
      </c>
      <c r="JH357" s="25"/>
      <c r="JK357" s="86">
        <v>1.0</v>
      </c>
      <c r="JR357" s="86" t="s">
        <v>947</v>
      </c>
      <c r="JV357" s="86">
        <v>1.0</v>
      </c>
      <c r="JW357" s="159">
        <v>4.0</v>
      </c>
      <c r="JX357" s="156">
        <v>0.0</v>
      </c>
      <c r="JY357" s="156">
        <v>0.0</v>
      </c>
      <c r="JZ357" s="156">
        <v>3.0</v>
      </c>
      <c r="KA357" s="156">
        <v>0.0</v>
      </c>
      <c r="KB357" s="160">
        <v>0.0</v>
      </c>
      <c r="KE357" s="86">
        <v>1.0</v>
      </c>
      <c r="KL357" s="86" t="s">
        <v>624</v>
      </c>
      <c r="KP357" s="86" t="s">
        <v>624</v>
      </c>
      <c r="KS357" s="378" t="s">
        <v>624</v>
      </c>
      <c r="LH357" s="159">
        <f t="shared" si="10"/>
        <v>0</v>
      </c>
      <c r="LI357" s="156">
        <f t="shared" si="11"/>
        <v>0</v>
      </c>
      <c r="LJ357" s="156">
        <f t="shared" si="12"/>
        <v>0</v>
      </c>
      <c r="LK357" s="156">
        <f t="shared" si="13"/>
        <v>0</v>
      </c>
      <c r="LL357" s="156">
        <f t="shared" si="14"/>
        <v>0</v>
      </c>
      <c r="LM357" s="160">
        <f t="shared" si="15"/>
        <v>0</v>
      </c>
      <c r="QX357" s="107">
        <v>45936.0</v>
      </c>
    </row>
    <row r="358">
      <c r="A358" s="12"/>
      <c r="B358" s="12"/>
      <c r="C358" s="12"/>
      <c r="D358" s="12"/>
      <c r="E358" s="12"/>
      <c r="F358" s="12"/>
      <c r="G358" s="12"/>
      <c r="H358" s="12"/>
      <c r="I358" s="143">
        <f t="shared" si="5"/>
        <v>-30</v>
      </c>
      <c r="J358" s="144">
        <v>45937.0</v>
      </c>
      <c r="K358" s="173" t="s">
        <v>61</v>
      </c>
      <c r="L358" s="144">
        <v>45985.0</v>
      </c>
      <c r="M358" s="147" t="s">
        <v>3089</v>
      </c>
      <c r="N358" s="148">
        <v>234.0</v>
      </c>
      <c r="O358" s="148">
        <v>30.0</v>
      </c>
      <c r="P358" s="26"/>
      <c r="Q358" s="26"/>
      <c r="R358" s="26"/>
      <c r="S358" s="26"/>
      <c r="T358" s="26"/>
      <c r="U358" s="147" t="s">
        <v>3090</v>
      </c>
      <c r="V358" s="149" t="s">
        <v>1705</v>
      </c>
      <c r="W358" s="198" t="s">
        <v>3091</v>
      </c>
      <c r="X358" s="181">
        <v>30.0</v>
      </c>
      <c r="Y358" s="166">
        <f t="shared" si="6"/>
        <v>30</v>
      </c>
      <c r="Z358" s="26">
        <f t="shared" si="7"/>
        <v>0</v>
      </c>
      <c r="AA358" s="26">
        <f t="shared" si="8"/>
        <v>0</v>
      </c>
      <c r="AB358" s="26">
        <f t="shared" si="9"/>
        <v>0</v>
      </c>
      <c r="AC358" s="155">
        <v>0.0</v>
      </c>
      <c r="AD358" s="155">
        <v>0.0</v>
      </c>
      <c r="AE358" s="155">
        <v>0.0</v>
      </c>
      <c r="AF358" s="155">
        <v>0.0</v>
      </c>
      <c r="AG358" s="155">
        <v>0.0</v>
      </c>
      <c r="AH358" s="155">
        <v>0.0</v>
      </c>
      <c r="BN358" s="155">
        <v>0.0</v>
      </c>
      <c r="BO358" s="155">
        <v>0.0</v>
      </c>
      <c r="BP358" s="155">
        <v>0.0</v>
      </c>
      <c r="BQ358" s="155">
        <v>0.0</v>
      </c>
      <c r="BR358" s="155">
        <v>0.0</v>
      </c>
      <c r="BS358" s="155">
        <v>0.0</v>
      </c>
      <c r="CV358" s="156">
        <v>0.0</v>
      </c>
      <c r="CW358" s="156">
        <v>0.0</v>
      </c>
      <c r="CX358" s="156">
        <v>0.0</v>
      </c>
      <c r="CY358" s="156">
        <v>0.0</v>
      </c>
      <c r="CZ358" s="156">
        <v>0.0</v>
      </c>
      <c r="DA358" s="156">
        <v>0.0</v>
      </c>
      <c r="EG358" s="156">
        <v>0.0</v>
      </c>
      <c r="EH358" s="156">
        <v>0.0</v>
      </c>
      <c r="EI358" s="156">
        <v>0.0</v>
      </c>
      <c r="EJ358" s="156">
        <v>0.0</v>
      </c>
      <c r="EK358" s="156">
        <v>0.0</v>
      </c>
      <c r="EL358" s="156">
        <v>0.0</v>
      </c>
      <c r="FQ358" s="156">
        <v>0.0</v>
      </c>
      <c r="FR358" s="156">
        <v>0.0</v>
      </c>
      <c r="FS358" s="156">
        <v>0.0</v>
      </c>
      <c r="FT358" s="156">
        <v>0.0</v>
      </c>
      <c r="FU358" s="156">
        <v>0.0</v>
      </c>
      <c r="FV358" s="156">
        <v>0.0</v>
      </c>
      <c r="FW358" s="157"/>
      <c r="FX358" s="157"/>
      <c r="FY358" s="157"/>
      <c r="FZ358" s="157"/>
      <c r="GA358" s="157"/>
      <c r="GB358" s="157"/>
      <c r="GC358" s="157"/>
      <c r="GD358" s="157"/>
      <c r="GE358" s="157"/>
      <c r="GF358" s="157"/>
      <c r="GG358" s="157"/>
      <c r="GH358" s="157"/>
      <c r="GI358" s="157"/>
      <c r="GJ358" s="157"/>
      <c r="GK358" s="157"/>
      <c r="GL358" s="157"/>
      <c r="GM358" s="157"/>
      <c r="GN358" s="157"/>
      <c r="GO358" s="157"/>
      <c r="GP358" s="158"/>
      <c r="GQ358" s="157"/>
      <c r="GR358" s="157"/>
      <c r="GS358" s="157"/>
      <c r="GT358" s="157"/>
      <c r="GU358" s="157"/>
      <c r="GV358" s="157"/>
      <c r="GW358" s="157"/>
      <c r="GX358" s="157"/>
      <c r="GY358" s="157"/>
      <c r="GZ358" s="157"/>
      <c r="HA358" s="157"/>
      <c r="HB358" s="155">
        <v>0.0</v>
      </c>
      <c r="HC358" s="155">
        <v>0.0</v>
      </c>
      <c r="HD358" s="155">
        <v>0.0</v>
      </c>
      <c r="HE358" s="155">
        <v>0.0</v>
      </c>
      <c r="HF358" s="155">
        <v>0.0</v>
      </c>
      <c r="HG358" s="155">
        <v>0.0</v>
      </c>
      <c r="IL358" s="159">
        <v>0.0</v>
      </c>
      <c r="IM358" s="156">
        <v>0.0</v>
      </c>
      <c r="IN358" s="156">
        <v>0.0</v>
      </c>
      <c r="IO358" s="156">
        <v>0.0</v>
      </c>
      <c r="IP358" s="156">
        <v>0.0</v>
      </c>
      <c r="IQ358" s="160">
        <v>0.0</v>
      </c>
      <c r="JH358" s="25"/>
      <c r="JW358" s="159">
        <v>0.0</v>
      </c>
      <c r="JX358" s="156">
        <v>0.0</v>
      </c>
      <c r="JY358" s="156">
        <v>0.0</v>
      </c>
      <c r="JZ358" s="156">
        <v>0.0</v>
      </c>
      <c r="KA358" s="156">
        <v>0.0</v>
      </c>
      <c r="KB358" s="160">
        <v>0.0</v>
      </c>
      <c r="LH358" s="159">
        <f t="shared" si="10"/>
        <v>0</v>
      </c>
      <c r="LI358" s="156">
        <f t="shared" si="11"/>
        <v>0</v>
      </c>
      <c r="LJ358" s="156">
        <f t="shared" si="12"/>
        <v>0</v>
      </c>
      <c r="LK358" s="156">
        <f t="shared" si="13"/>
        <v>0</v>
      </c>
      <c r="LL358" s="156">
        <f t="shared" si="14"/>
        <v>0</v>
      </c>
      <c r="LM358" s="160">
        <f t="shared" si="15"/>
        <v>0</v>
      </c>
      <c r="QX358" s="107">
        <v>45936.0</v>
      </c>
    </row>
    <row r="359">
      <c r="A359" s="12"/>
      <c r="B359" s="12"/>
      <c r="C359" s="12"/>
      <c r="D359" s="12"/>
      <c r="E359" s="12"/>
      <c r="F359" s="12"/>
      <c r="G359" s="12"/>
      <c r="H359" s="12"/>
      <c r="I359" s="143">
        <f t="shared" si="5"/>
        <v>-7</v>
      </c>
      <c r="J359" s="144">
        <v>46004.0</v>
      </c>
      <c r="K359" s="145" t="s">
        <v>61</v>
      </c>
      <c r="L359" s="179">
        <v>46028.0</v>
      </c>
      <c r="M359" s="147" t="s">
        <v>435</v>
      </c>
      <c r="N359" s="148">
        <v>37.0</v>
      </c>
      <c r="O359" s="148">
        <v>30.0</v>
      </c>
      <c r="P359" s="26"/>
      <c r="Q359" s="26"/>
      <c r="R359" s="26"/>
      <c r="S359" s="26"/>
      <c r="T359" s="26"/>
      <c r="U359" s="147" t="s">
        <v>3092</v>
      </c>
      <c r="V359" s="149" t="s">
        <v>230</v>
      </c>
      <c r="W359" s="198" t="s">
        <v>3093</v>
      </c>
      <c r="X359" s="181">
        <v>7.0</v>
      </c>
      <c r="Y359" s="166">
        <f t="shared" si="6"/>
        <v>7</v>
      </c>
      <c r="Z359" s="26">
        <f t="shared" si="7"/>
        <v>0</v>
      </c>
      <c r="AA359" s="26">
        <f t="shared" si="8"/>
        <v>0</v>
      </c>
      <c r="AB359" s="26">
        <f t="shared" si="9"/>
        <v>0</v>
      </c>
      <c r="AC359" s="155">
        <v>0.0</v>
      </c>
      <c r="AD359" s="155">
        <v>0.0</v>
      </c>
      <c r="AE359" s="155">
        <v>0.0</v>
      </c>
      <c r="AF359" s="155">
        <v>0.0</v>
      </c>
      <c r="AG359" s="155">
        <v>0.0</v>
      </c>
      <c r="AH359" s="155">
        <v>0.0</v>
      </c>
      <c r="BN359" s="155">
        <v>0.0</v>
      </c>
      <c r="BO359" s="155">
        <v>0.0</v>
      </c>
      <c r="BP359" s="155">
        <v>0.0</v>
      </c>
      <c r="BQ359" s="155">
        <v>0.0</v>
      </c>
      <c r="BR359" s="155">
        <v>0.0</v>
      </c>
      <c r="BS359" s="155">
        <v>0.0</v>
      </c>
      <c r="CV359" s="156">
        <v>0.0</v>
      </c>
      <c r="CW359" s="156">
        <v>0.0</v>
      </c>
      <c r="CX359" s="156">
        <v>0.0</v>
      </c>
      <c r="CY359" s="156">
        <v>0.0</v>
      </c>
      <c r="CZ359" s="156">
        <v>0.0</v>
      </c>
      <c r="DA359" s="156">
        <v>0.0</v>
      </c>
      <c r="EG359" s="156">
        <v>0.0</v>
      </c>
      <c r="EH359" s="156">
        <v>0.0</v>
      </c>
      <c r="EI359" s="156">
        <v>0.0</v>
      </c>
      <c r="EJ359" s="156">
        <v>0.0</v>
      </c>
      <c r="EK359" s="156">
        <v>0.0</v>
      </c>
      <c r="EL359" s="156">
        <v>0.0</v>
      </c>
      <c r="FQ359" s="156">
        <v>0.0</v>
      </c>
      <c r="FR359" s="156">
        <v>0.0</v>
      </c>
      <c r="FS359" s="156">
        <v>0.0</v>
      </c>
      <c r="FT359" s="156">
        <v>0.0</v>
      </c>
      <c r="FU359" s="156">
        <v>0.0</v>
      </c>
      <c r="FV359" s="156">
        <v>0.0</v>
      </c>
      <c r="FW359" s="157"/>
      <c r="FX359" s="157"/>
      <c r="FY359" s="157"/>
      <c r="FZ359" s="157"/>
      <c r="GA359" s="157"/>
      <c r="GB359" s="157"/>
      <c r="GC359" s="157"/>
      <c r="GD359" s="157"/>
      <c r="GE359" s="157"/>
      <c r="GF359" s="157"/>
      <c r="GG359" s="157"/>
      <c r="GH359" s="157"/>
      <c r="GI359" s="157"/>
      <c r="GJ359" s="157"/>
      <c r="GK359" s="157"/>
      <c r="GL359" s="157"/>
      <c r="GM359" s="157"/>
      <c r="GN359" s="157"/>
      <c r="GO359" s="157"/>
      <c r="GP359" s="158"/>
      <c r="GQ359" s="157"/>
      <c r="GR359" s="157"/>
      <c r="GS359" s="157"/>
      <c r="GT359" s="157"/>
      <c r="GU359" s="157"/>
      <c r="GV359" s="157"/>
      <c r="GW359" s="157"/>
      <c r="GX359" s="157"/>
      <c r="GY359" s="157"/>
      <c r="GZ359" s="157"/>
      <c r="HA359" s="157"/>
      <c r="HB359" s="155">
        <v>0.0</v>
      </c>
      <c r="HC359" s="155">
        <v>0.0</v>
      </c>
      <c r="HD359" s="155">
        <v>0.0</v>
      </c>
      <c r="HE359" s="155">
        <v>0.0</v>
      </c>
      <c r="HF359" s="155">
        <v>0.0</v>
      </c>
      <c r="HG359" s="155">
        <v>0.0</v>
      </c>
      <c r="IL359" s="159">
        <v>0.0</v>
      </c>
      <c r="IM359" s="156">
        <v>0.0</v>
      </c>
      <c r="IN359" s="156">
        <v>0.0</v>
      </c>
      <c r="IO359" s="156">
        <v>0.0</v>
      </c>
      <c r="IP359" s="156">
        <v>0.0</v>
      </c>
      <c r="IQ359" s="160">
        <v>0.0</v>
      </c>
      <c r="JH359" s="25"/>
      <c r="JW359" s="159">
        <v>0.0</v>
      </c>
      <c r="JX359" s="156">
        <v>0.0</v>
      </c>
      <c r="JY359" s="156">
        <v>0.0</v>
      </c>
      <c r="JZ359" s="156">
        <v>0.0</v>
      </c>
      <c r="KA359" s="156">
        <v>0.0</v>
      </c>
      <c r="KB359" s="160">
        <v>0.0</v>
      </c>
      <c r="LH359" s="159">
        <f t="shared" si="10"/>
        <v>0</v>
      </c>
      <c r="LI359" s="156">
        <f t="shared" si="11"/>
        <v>0</v>
      </c>
      <c r="LJ359" s="156">
        <f t="shared" si="12"/>
        <v>0</v>
      </c>
      <c r="LK359" s="156">
        <f t="shared" si="13"/>
        <v>0</v>
      </c>
      <c r="LL359" s="156">
        <f t="shared" si="14"/>
        <v>0</v>
      </c>
      <c r="LM359" s="160">
        <f t="shared" si="15"/>
        <v>0</v>
      </c>
      <c r="QX359" s="107">
        <v>45937.0</v>
      </c>
    </row>
    <row r="360">
      <c r="A360" s="12"/>
      <c r="B360" s="12"/>
      <c r="C360" s="12"/>
      <c r="D360" s="12"/>
      <c r="E360" s="12"/>
      <c r="F360" s="12"/>
      <c r="G360" s="12"/>
      <c r="H360" s="12"/>
      <c r="I360" s="143">
        <f t="shared" si="5"/>
        <v>-27</v>
      </c>
      <c r="J360" s="144">
        <v>45934.0</v>
      </c>
      <c r="K360" s="145" t="s">
        <v>61</v>
      </c>
      <c r="L360" s="179">
        <v>46028.0</v>
      </c>
      <c r="M360" s="147" t="s">
        <v>227</v>
      </c>
      <c r="N360" s="148">
        <v>357.0</v>
      </c>
      <c r="O360" s="148">
        <v>30.0</v>
      </c>
      <c r="P360" s="26"/>
      <c r="Q360" s="26"/>
      <c r="R360" s="26"/>
      <c r="S360" s="26"/>
      <c r="T360" s="26"/>
      <c r="U360" s="147" t="s">
        <v>3094</v>
      </c>
      <c r="V360" s="149" t="s">
        <v>3095</v>
      </c>
      <c r="W360" s="198" t="s">
        <v>3096</v>
      </c>
      <c r="X360" s="181">
        <v>27.0</v>
      </c>
      <c r="Y360" s="166">
        <f t="shared" si="6"/>
        <v>27</v>
      </c>
      <c r="Z360" s="26">
        <f t="shared" si="7"/>
        <v>0</v>
      </c>
      <c r="AA360" s="26">
        <f t="shared" si="8"/>
        <v>0</v>
      </c>
      <c r="AB360" s="26">
        <f t="shared" si="9"/>
        <v>0</v>
      </c>
      <c r="AC360" s="155">
        <v>0.0</v>
      </c>
      <c r="AD360" s="155">
        <v>0.0</v>
      </c>
      <c r="AE360" s="155">
        <v>0.0</v>
      </c>
      <c r="AF360" s="155">
        <v>0.0</v>
      </c>
      <c r="AG360" s="155">
        <v>0.0</v>
      </c>
      <c r="AH360" s="155">
        <v>0.0</v>
      </c>
      <c r="AI360" s="167"/>
      <c r="AJ360" s="167"/>
      <c r="AK360" s="167"/>
      <c r="AL360" s="167"/>
      <c r="AM360" s="167"/>
      <c r="AN360" s="167"/>
      <c r="AO360" s="167"/>
      <c r="AP360" s="167"/>
      <c r="AQ360" s="167"/>
      <c r="AR360" s="167"/>
      <c r="AS360" s="167"/>
      <c r="AT360" s="167"/>
      <c r="AU360" s="167"/>
      <c r="AV360" s="167"/>
      <c r="AW360" s="167"/>
      <c r="AX360" s="167"/>
      <c r="AY360" s="167"/>
      <c r="AZ360" s="167"/>
      <c r="BA360" s="167"/>
      <c r="BB360" s="167"/>
      <c r="BC360" s="167"/>
      <c r="BD360" s="167"/>
      <c r="BE360" s="167"/>
      <c r="BF360" s="167"/>
      <c r="BG360" s="167"/>
      <c r="BH360" s="167"/>
      <c r="BI360" s="167"/>
      <c r="BJ360" s="167"/>
      <c r="BK360" s="167"/>
      <c r="BL360" s="167"/>
      <c r="BM360" s="167"/>
      <c r="BN360" s="155">
        <v>0.0</v>
      </c>
      <c r="BO360" s="155">
        <v>0.0</v>
      </c>
      <c r="BP360" s="155">
        <v>0.0</v>
      </c>
      <c r="BQ360" s="155">
        <v>0.0</v>
      </c>
      <c r="BR360" s="155">
        <v>0.0</v>
      </c>
      <c r="BS360" s="155">
        <v>0.0</v>
      </c>
      <c r="CV360" s="156">
        <v>0.0</v>
      </c>
      <c r="CW360" s="156">
        <v>0.0</v>
      </c>
      <c r="CX360" s="156">
        <v>0.0</v>
      </c>
      <c r="CY360" s="156">
        <v>0.0</v>
      </c>
      <c r="CZ360" s="156">
        <v>0.0</v>
      </c>
      <c r="DA360" s="156">
        <v>0.0</v>
      </c>
      <c r="EG360" s="156">
        <v>0.0</v>
      </c>
      <c r="EH360" s="156">
        <v>0.0</v>
      </c>
      <c r="EI360" s="156">
        <v>0.0</v>
      </c>
      <c r="EJ360" s="156">
        <v>0.0</v>
      </c>
      <c r="EK360" s="156">
        <v>0.0</v>
      </c>
      <c r="EL360" s="156">
        <v>0.0</v>
      </c>
      <c r="FQ360" s="156">
        <v>0.0</v>
      </c>
      <c r="FR360" s="156">
        <v>0.0</v>
      </c>
      <c r="FS360" s="156">
        <v>0.0</v>
      </c>
      <c r="FT360" s="156">
        <v>0.0</v>
      </c>
      <c r="FU360" s="156">
        <v>0.0</v>
      </c>
      <c r="FV360" s="156">
        <v>0.0</v>
      </c>
      <c r="FW360" s="157"/>
      <c r="FX360" s="157"/>
      <c r="FY360" s="157"/>
      <c r="FZ360" s="157"/>
      <c r="GA360" s="157"/>
      <c r="GB360" s="157"/>
      <c r="GC360" s="157"/>
      <c r="GD360" s="157"/>
      <c r="GE360" s="157"/>
      <c r="GF360" s="157"/>
      <c r="GG360" s="157"/>
      <c r="GH360" s="157"/>
      <c r="GI360" s="157"/>
      <c r="GJ360" s="157"/>
      <c r="GK360" s="157"/>
      <c r="GL360" s="157"/>
      <c r="GM360" s="157"/>
      <c r="GN360" s="157"/>
      <c r="GO360" s="157"/>
      <c r="GP360" s="158"/>
      <c r="GQ360" s="157"/>
      <c r="GR360" s="157"/>
      <c r="GS360" s="157"/>
      <c r="GT360" s="157"/>
      <c r="GU360" s="157"/>
      <c r="GV360" s="157"/>
      <c r="GW360" s="157"/>
      <c r="GX360" s="157"/>
      <c r="GY360" s="157"/>
      <c r="GZ360" s="157"/>
      <c r="HA360" s="157"/>
      <c r="HB360" s="155">
        <v>0.0</v>
      </c>
      <c r="HC360" s="155">
        <v>0.0</v>
      </c>
      <c r="HD360" s="155">
        <v>0.0</v>
      </c>
      <c r="HE360" s="155">
        <v>0.0</v>
      </c>
      <c r="HF360" s="155">
        <v>0.0</v>
      </c>
      <c r="HG360" s="155">
        <v>0.0</v>
      </c>
      <c r="IL360" s="159">
        <v>0.0</v>
      </c>
      <c r="IM360" s="156">
        <v>0.0</v>
      </c>
      <c r="IN360" s="156">
        <v>0.0</v>
      </c>
      <c r="IO360" s="156">
        <v>0.0</v>
      </c>
      <c r="IP360" s="156">
        <v>0.0</v>
      </c>
      <c r="IQ360" s="160">
        <v>0.0</v>
      </c>
      <c r="JH360" s="25"/>
      <c r="JW360" s="159">
        <v>0.0</v>
      </c>
      <c r="JX360" s="156">
        <v>0.0</v>
      </c>
      <c r="JY360" s="156">
        <v>0.0</v>
      </c>
      <c r="JZ360" s="156">
        <v>0.0</v>
      </c>
      <c r="KA360" s="156">
        <v>0.0</v>
      </c>
      <c r="KB360" s="160">
        <v>0.0</v>
      </c>
      <c r="LH360" s="159">
        <f t="shared" si="10"/>
        <v>0</v>
      </c>
      <c r="LI360" s="156">
        <f t="shared" si="11"/>
        <v>0</v>
      </c>
      <c r="LJ360" s="156">
        <f t="shared" si="12"/>
        <v>0</v>
      </c>
      <c r="LK360" s="156">
        <f t="shared" si="13"/>
        <v>0</v>
      </c>
      <c r="LL360" s="156">
        <f t="shared" si="14"/>
        <v>0</v>
      </c>
      <c r="LM360" s="160">
        <f t="shared" si="15"/>
        <v>0</v>
      </c>
      <c r="QX360" s="107">
        <v>45937.0</v>
      </c>
    </row>
    <row r="361">
      <c r="A361" s="12"/>
      <c r="B361" s="12"/>
      <c r="C361" s="12"/>
      <c r="D361" s="12"/>
      <c r="E361" s="12"/>
      <c r="F361" s="12"/>
      <c r="G361" s="12"/>
      <c r="H361" s="12"/>
      <c r="I361" s="143">
        <f t="shared" si="5"/>
        <v>-29</v>
      </c>
      <c r="J361" s="144">
        <v>45934.0</v>
      </c>
      <c r="K361" s="145" t="s">
        <v>53</v>
      </c>
      <c r="L361" s="171">
        <v>46105.0</v>
      </c>
      <c r="M361" s="164" t="s">
        <v>107</v>
      </c>
      <c r="N361" s="148">
        <v>357.0</v>
      </c>
      <c r="O361" s="148">
        <v>30.0</v>
      </c>
      <c r="P361" s="26"/>
      <c r="Q361" s="26"/>
      <c r="R361" s="26"/>
      <c r="S361" s="26"/>
      <c r="T361" s="26"/>
      <c r="U361" s="147" t="s">
        <v>3097</v>
      </c>
      <c r="V361" s="149" t="s">
        <v>3098</v>
      </c>
      <c r="W361" s="150" t="s">
        <v>3099</v>
      </c>
      <c r="X361" s="181">
        <v>15.0</v>
      </c>
      <c r="Y361" s="166">
        <f t="shared" si="6"/>
        <v>29</v>
      </c>
      <c r="Z361" s="26">
        <f t="shared" si="7"/>
        <v>0</v>
      </c>
      <c r="AA361" s="26">
        <f t="shared" si="8"/>
        <v>0</v>
      </c>
      <c r="AB361" s="26">
        <f t="shared" si="9"/>
        <v>0</v>
      </c>
      <c r="AC361" s="155">
        <v>8.0</v>
      </c>
      <c r="AD361" s="155">
        <v>0.0</v>
      </c>
      <c r="AE361" s="155">
        <v>0.0</v>
      </c>
      <c r="AF361" s="155">
        <v>0.0</v>
      </c>
      <c r="AG361" s="155">
        <v>0.0</v>
      </c>
      <c r="AH361" s="155">
        <v>0.0</v>
      </c>
      <c r="AI361" s="167"/>
      <c r="AJ361" s="167"/>
      <c r="AK361" s="167"/>
      <c r="AL361" s="167"/>
      <c r="AM361" s="167"/>
      <c r="AN361" s="167"/>
      <c r="AO361" s="167"/>
      <c r="AP361" s="167"/>
      <c r="AQ361" s="167"/>
      <c r="AR361" s="167"/>
      <c r="AS361" s="167"/>
      <c r="AT361" s="167"/>
      <c r="AU361" s="167">
        <v>1.0</v>
      </c>
      <c r="AV361" s="167">
        <v>0.0</v>
      </c>
      <c r="AW361" s="167">
        <v>1.0</v>
      </c>
      <c r="AX361" s="167">
        <v>0.0</v>
      </c>
      <c r="AY361" s="167">
        <v>1.0</v>
      </c>
      <c r="AZ361" s="167">
        <v>0.0</v>
      </c>
      <c r="BA361" s="167">
        <v>0.0</v>
      </c>
      <c r="BB361" s="167">
        <v>1.0</v>
      </c>
      <c r="BC361" s="167"/>
      <c r="BD361" s="167"/>
      <c r="BE361" s="167"/>
      <c r="BF361" s="167"/>
      <c r="BG361" s="167"/>
      <c r="BH361" s="167"/>
      <c r="BI361" s="167">
        <v>1.0</v>
      </c>
      <c r="BJ361" s="167">
        <v>0.0</v>
      </c>
      <c r="BK361" s="167">
        <v>1.0</v>
      </c>
      <c r="BL361" s="167">
        <v>0.0</v>
      </c>
      <c r="BM361" s="168">
        <v>2.0</v>
      </c>
      <c r="BN361" s="155">
        <v>4.0</v>
      </c>
      <c r="BO361" s="155">
        <v>0.0</v>
      </c>
      <c r="BP361" s="155">
        <v>0.0</v>
      </c>
      <c r="BQ361" s="155">
        <v>0.0</v>
      </c>
      <c r="BR361" s="155">
        <v>0.0</v>
      </c>
      <c r="BS361" s="155">
        <v>0.0</v>
      </c>
      <c r="BT361" s="167"/>
      <c r="BU361" s="167"/>
      <c r="BV361" s="167"/>
      <c r="BW361" s="167"/>
      <c r="BX361" s="167"/>
      <c r="BY361" s="167"/>
      <c r="BZ361" s="167">
        <v>1.0</v>
      </c>
      <c r="CA361" s="167">
        <v>0.0</v>
      </c>
      <c r="CB361" s="167">
        <v>0.0</v>
      </c>
      <c r="CC361" s="167"/>
      <c r="CD361" s="167">
        <v>0.0</v>
      </c>
      <c r="CE361" s="167">
        <v>1.0</v>
      </c>
      <c r="CF361" s="167"/>
      <c r="CG361" s="167"/>
      <c r="CH361" s="167"/>
      <c r="CI361" s="167"/>
      <c r="CJ361" s="167"/>
      <c r="CK361" s="167"/>
      <c r="CL361" s="167"/>
      <c r="CM361" s="167"/>
      <c r="CN361" s="167"/>
      <c r="CO361" s="167"/>
      <c r="CP361" s="167"/>
      <c r="CQ361" s="167">
        <v>1.0</v>
      </c>
      <c r="CR361" s="167"/>
      <c r="CS361" s="167"/>
      <c r="CT361" s="167"/>
      <c r="CU361" s="167">
        <v>1.0</v>
      </c>
      <c r="CV361" s="156">
        <v>2.0</v>
      </c>
      <c r="CW361" s="156">
        <v>0.0</v>
      </c>
      <c r="CX361" s="156">
        <v>0.0</v>
      </c>
      <c r="CY361" s="156">
        <v>0.0</v>
      </c>
      <c r="CZ361" s="156">
        <v>0.0</v>
      </c>
      <c r="DA361" s="156">
        <v>0.0</v>
      </c>
      <c r="DB361" s="395">
        <v>0.0</v>
      </c>
      <c r="DC361" s="395">
        <v>0.0</v>
      </c>
      <c r="DD361" s="395">
        <v>1.0</v>
      </c>
      <c r="DE361" s="395">
        <v>0.0</v>
      </c>
      <c r="DF361" s="395">
        <v>1.0</v>
      </c>
      <c r="DG361" s="395"/>
      <c r="DH361" s="395"/>
      <c r="DI361" s="395"/>
      <c r="DJ361" s="395"/>
      <c r="DK361" s="395"/>
      <c r="DL361" s="395"/>
      <c r="DM361" s="395"/>
      <c r="DN361" s="395"/>
      <c r="DO361" s="395"/>
      <c r="DP361" s="395"/>
      <c r="DQ361" s="395"/>
      <c r="DR361" s="395"/>
      <c r="DS361" s="395"/>
      <c r="DT361" s="395"/>
      <c r="DU361" s="395"/>
      <c r="DV361" s="395"/>
      <c r="DW361" s="395"/>
      <c r="DX361" s="395"/>
      <c r="DY361" s="395"/>
      <c r="DZ361" s="395"/>
      <c r="EA361" s="395"/>
      <c r="EB361" s="395"/>
      <c r="EC361" s="395"/>
      <c r="ED361" s="395"/>
      <c r="EE361" s="395"/>
      <c r="EF361" s="395"/>
      <c r="EG361" s="156">
        <v>0.0</v>
      </c>
      <c r="EH361" s="156">
        <v>0.0</v>
      </c>
      <c r="EI361" s="156">
        <v>0.0</v>
      </c>
      <c r="EJ361" s="156">
        <v>0.0</v>
      </c>
      <c r="EK361" s="156">
        <v>0.0</v>
      </c>
      <c r="EL361" s="156">
        <v>0.0</v>
      </c>
      <c r="FQ361" s="156">
        <v>0.0</v>
      </c>
      <c r="FR361" s="156">
        <v>0.0</v>
      </c>
      <c r="FS361" s="156">
        <v>0.0</v>
      </c>
      <c r="FT361" s="156">
        <v>0.0</v>
      </c>
      <c r="FU361" s="156">
        <v>0.0</v>
      </c>
      <c r="FV361" s="156">
        <v>0.0</v>
      </c>
      <c r="FW361" s="157"/>
      <c r="FX361" s="157"/>
      <c r="FY361" s="157"/>
      <c r="FZ361" s="157"/>
      <c r="GA361" s="157"/>
      <c r="GB361" s="157"/>
      <c r="GC361" s="157"/>
      <c r="GD361" s="157"/>
      <c r="GE361" s="157"/>
      <c r="GF361" s="157"/>
      <c r="GG361" s="157"/>
      <c r="GH361" s="157"/>
      <c r="GI361" s="157"/>
      <c r="GJ361" s="157"/>
      <c r="GK361" s="157"/>
      <c r="GL361" s="157"/>
      <c r="GM361" s="157"/>
      <c r="GN361" s="157"/>
      <c r="GO361" s="157"/>
      <c r="GP361" s="158"/>
      <c r="GQ361" s="157"/>
      <c r="GR361" s="157"/>
      <c r="GS361" s="157"/>
      <c r="GT361" s="157"/>
      <c r="GU361" s="157"/>
      <c r="GV361" s="157"/>
      <c r="GW361" s="157"/>
      <c r="GX361" s="157"/>
      <c r="GY361" s="157"/>
      <c r="GZ361" s="157"/>
      <c r="HA361" s="157"/>
      <c r="HB361" s="155">
        <v>0.0</v>
      </c>
      <c r="HC361" s="155">
        <v>0.0</v>
      </c>
      <c r="HD361" s="155">
        <v>0.0</v>
      </c>
      <c r="HE361" s="155">
        <v>0.0</v>
      </c>
      <c r="HF361" s="155">
        <v>0.0</v>
      </c>
      <c r="HG361" s="155">
        <v>0.0</v>
      </c>
      <c r="IL361" s="159">
        <v>0.0</v>
      </c>
      <c r="IM361" s="156">
        <v>0.0</v>
      </c>
      <c r="IN361" s="156">
        <v>0.0</v>
      </c>
      <c r="IO361" s="156">
        <v>0.0</v>
      </c>
      <c r="IP361" s="156">
        <v>0.0</v>
      </c>
      <c r="IQ361" s="160">
        <v>0.0</v>
      </c>
      <c r="JH361" s="25"/>
      <c r="JW361" s="159">
        <v>0.0</v>
      </c>
      <c r="JX361" s="156">
        <v>0.0</v>
      </c>
      <c r="JY361" s="156">
        <v>0.0</v>
      </c>
      <c r="JZ361" s="156">
        <v>0.0</v>
      </c>
      <c r="KA361" s="156">
        <v>0.0</v>
      </c>
      <c r="KB361" s="160">
        <v>0.0</v>
      </c>
      <c r="LH361" s="159">
        <f t="shared" si="10"/>
        <v>0</v>
      </c>
      <c r="LI361" s="156">
        <f t="shared" si="11"/>
        <v>0</v>
      </c>
      <c r="LJ361" s="156">
        <f t="shared" si="12"/>
        <v>0</v>
      </c>
      <c r="LK361" s="156">
        <f t="shared" si="13"/>
        <v>0</v>
      </c>
      <c r="LL361" s="156">
        <f t="shared" si="14"/>
        <v>0</v>
      </c>
      <c r="LM361" s="160">
        <f t="shared" si="15"/>
        <v>0</v>
      </c>
      <c r="QX361" s="107">
        <v>45937.0</v>
      </c>
    </row>
    <row r="362">
      <c r="A362" s="12"/>
      <c r="B362" s="12"/>
      <c r="C362" s="12"/>
      <c r="D362" s="12"/>
      <c r="E362" s="12"/>
      <c r="F362" s="12"/>
      <c r="G362" s="12"/>
      <c r="H362" s="12"/>
      <c r="I362" s="143">
        <f t="shared" si="5"/>
        <v>-30</v>
      </c>
      <c r="J362" s="144">
        <v>45938.0</v>
      </c>
      <c r="K362" s="145" t="s">
        <v>61</v>
      </c>
      <c r="L362" s="171">
        <v>46030.0</v>
      </c>
      <c r="M362" s="147" t="s">
        <v>435</v>
      </c>
      <c r="N362" s="148">
        <v>246.0</v>
      </c>
      <c r="O362" s="148">
        <v>30.0</v>
      </c>
      <c r="P362" s="26"/>
      <c r="Q362" s="26"/>
      <c r="R362" s="26"/>
      <c r="S362" s="26"/>
      <c r="T362" s="26"/>
      <c r="U362" s="147" t="s">
        <v>1894</v>
      </c>
      <c r="V362" s="149" t="s">
        <v>654</v>
      </c>
      <c r="W362" s="198" t="s">
        <v>3100</v>
      </c>
      <c r="X362" s="181">
        <v>28.0</v>
      </c>
      <c r="Y362" s="166">
        <f t="shared" si="6"/>
        <v>30</v>
      </c>
      <c r="Z362" s="26">
        <f t="shared" si="7"/>
        <v>0</v>
      </c>
      <c r="AA362" s="26">
        <f t="shared" si="8"/>
        <v>0</v>
      </c>
      <c r="AB362" s="26">
        <f t="shared" si="9"/>
        <v>0</v>
      </c>
      <c r="AC362" s="155">
        <v>2.0</v>
      </c>
      <c r="AD362" s="155">
        <v>0.0</v>
      </c>
      <c r="AE362" s="155">
        <v>0.0</v>
      </c>
      <c r="AF362" s="155">
        <v>0.0</v>
      </c>
      <c r="AG362" s="155">
        <v>0.0</v>
      </c>
      <c r="AH362" s="155">
        <v>0.0</v>
      </c>
      <c r="AI362" s="167">
        <v>0.0</v>
      </c>
      <c r="AJ362" s="167">
        <v>1.0</v>
      </c>
      <c r="AK362" s="167"/>
      <c r="AL362" s="167"/>
      <c r="AM362" s="167"/>
      <c r="AN362" s="167"/>
      <c r="AO362" s="167">
        <v>1.0</v>
      </c>
      <c r="AP362" s="167"/>
      <c r="AQ362" s="167"/>
      <c r="AR362" s="167"/>
      <c r="AS362" s="167"/>
      <c r="AT362" s="167"/>
      <c r="AU362" s="167"/>
      <c r="AV362" s="167"/>
      <c r="AW362" s="167"/>
      <c r="AX362" s="167"/>
      <c r="AY362" s="167"/>
      <c r="AZ362" s="167"/>
      <c r="BA362" s="167"/>
      <c r="BB362" s="167"/>
      <c r="BC362" s="167"/>
      <c r="BD362" s="167"/>
      <c r="BE362" s="167"/>
      <c r="BF362" s="167"/>
      <c r="BG362" s="167"/>
      <c r="BH362" s="167"/>
      <c r="BI362" s="167"/>
      <c r="BJ362" s="167"/>
      <c r="BK362" s="167"/>
      <c r="BL362" s="167"/>
      <c r="BM362" s="167"/>
      <c r="BN362" s="155">
        <v>0.0</v>
      </c>
      <c r="BO362" s="155">
        <v>0.0</v>
      </c>
      <c r="BP362" s="155">
        <v>0.0</v>
      </c>
      <c r="BQ362" s="155">
        <v>0.0</v>
      </c>
      <c r="BR362" s="155">
        <v>0.0</v>
      </c>
      <c r="BS362" s="155">
        <v>0.0</v>
      </c>
      <c r="CV362" s="156">
        <v>0.0</v>
      </c>
      <c r="CW362" s="156">
        <v>0.0</v>
      </c>
      <c r="CX362" s="156">
        <v>0.0</v>
      </c>
      <c r="CY362" s="156">
        <v>0.0</v>
      </c>
      <c r="CZ362" s="156">
        <v>0.0</v>
      </c>
      <c r="DA362" s="156">
        <v>0.0</v>
      </c>
      <c r="EG362" s="156">
        <v>0.0</v>
      </c>
      <c r="EH362" s="156">
        <v>0.0</v>
      </c>
      <c r="EI362" s="156">
        <v>0.0</v>
      </c>
      <c r="EJ362" s="156">
        <v>0.0</v>
      </c>
      <c r="EK362" s="156">
        <v>0.0</v>
      </c>
      <c r="EL362" s="156">
        <v>0.0</v>
      </c>
      <c r="FQ362" s="156">
        <v>0.0</v>
      </c>
      <c r="FR362" s="156">
        <v>0.0</v>
      </c>
      <c r="FS362" s="156">
        <v>0.0</v>
      </c>
      <c r="FT362" s="156">
        <v>0.0</v>
      </c>
      <c r="FU362" s="156">
        <v>0.0</v>
      </c>
      <c r="FV362" s="156">
        <v>0.0</v>
      </c>
      <c r="FW362" s="157"/>
      <c r="FX362" s="157"/>
      <c r="FY362" s="157"/>
      <c r="FZ362" s="157"/>
      <c r="GA362" s="157"/>
      <c r="GB362" s="157"/>
      <c r="GC362" s="157"/>
      <c r="GD362" s="157"/>
      <c r="GE362" s="157"/>
      <c r="GF362" s="157"/>
      <c r="GG362" s="157"/>
      <c r="GH362" s="157"/>
      <c r="GI362" s="157"/>
      <c r="GJ362" s="157"/>
      <c r="GK362" s="157"/>
      <c r="GL362" s="157"/>
      <c r="GM362" s="157"/>
      <c r="GN362" s="157"/>
      <c r="GO362" s="157"/>
      <c r="GP362" s="158"/>
      <c r="GQ362" s="157"/>
      <c r="GR362" s="157"/>
      <c r="GS362" s="157"/>
      <c r="GT362" s="157"/>
      <c r="GU362" s="157"/>
      <c r="GV362" s="157"/>
      <c r="GW362" s="157"/>
      <c r="GX362" s="157"/>
      <c r="GY362" s="157"/>
      <c r="GZ362" s="157"/>
      <c r="HA362" s="157"/>
      <c r="HB362" s="155">
        <v>0.0</v>
      </c>
      <c r="HC362" s="155">
        <v>0.0</v>
      </c>
      <c r="HD362" s="155">
        <v>0.0</v>
      </c>
      <c r="HE362" s="155">
        <v>0.0</v>
      </c>
      <c r="HF362" s="155">
        <v>0.0</v>
      </c>
      <c r="HG362" s="155">
        <v>0.0</v>
      </c>
      <c r="IL362" s="159">
        <v>0.0</v>
      </c>
      <c r="IM362" s="156">
        <v>0.0</v>
      </c>
      <c r="IN362" s="156">
        <v>0.0</v>
      </c>
      <c r="IO362" s="156">
        <v>0.0</v>
      </c>
      <c r="IP362" s="156">
        <v>0.0</v>
      </c>
      <c r="IQ362" s="160">
        <v>0.0</v>
      </c>
      <c r="JH362" s="25"/>
      <c r="JW362" s="159">
        <v>0.0</v>
      </c>
      <c r="JX362" s="156">
        <v>0.0</v>
      </c>
      <c r="JY362" s="156">
        <v>0.0</v>
      </c>
      <c r="JZ362" s="156">
        <v>0.0</v>
      </c>
      <c r="KA362" s="156">
        <v>0.0</v>
      </c>
      <c r="KB362" s="160">
        <v>0.0</v>
      </c>
      <c r="LH362" s="159">
        <f t="shared" si="10"/>
        <v>0</v>
      </c>
      <c r="LI362" s="156">
        <f t="shared" si="11"/>
        <v>0</v>
      </c>
      <c r="LJ362" s="156">
        <f t="shared" si="12"/>
        <v>0</v>
      </c>
      <c r="LK362" s="156">
        <f t="shared" si="13"/>
        <v>0</v>
      </c>
      <c r="LL362" s="156">
        <f t="shared" si="14"/>
        <v>0</v>
      </c>
      <c r="LM362" s="160">
        <f t="shared" si="15"/>
        <v>0</v>
      </c>
      <c r="QX362" s="107">
        <v>45937.0</v>
      </c>
    </row>
    <row r="363">
      <c r="A363" s="12"/>
      <c r="B363" s="12"/>
      <c r="C363" s="12"/>
      <c r="D363" s="12"/>
      <c r="E363" s="12"/>
      <c r="F363" s="12"/>
      <c r="G363" s="12"/>
      <c r="H363" s="12"/>
      <c r="I363" s="143">
        <f t="shared" si="5"/>
        <v>-30</v>
      </c>
      <c r="J363" s="144">
        <v>45938.0</v>
      </c>
      <c r="K363" s="145" t="s">
        <v>61</v>
      </c>
      <c r="L363" s="171">
        <v>46042.0</v>
      </c>
      <c r="M363" s="147" t="s">
        <v>348</v>
      </c>
      <c r="N363" s="148">
        <v>246.0</v>
      </c>
      <c r="O363" s="148">
        <v>30.0</v>
      </c>
      <c r="P363" s="26"/>
      <c r="Q363" s="26"/>
      <c r="R363" s="26"/>
      <c r="S363" s="26"/>
      <c r="T363" s="26"/>
      <c r="U363" s="147" t="s">
        <v>3101</v>
      </c>
      <c r="V363" s="149" t="s">
        <v>3102</v>
      </c>
      <c r="W363" s="198" t="s">
        <v>3103</v>
      </c>
      <c r="X363" s="181">
        <v>25.0</v>
      </c>
      <c r="Y363" s="166">
        <f t="shared" si="6"/>
        <v>30</v>
      </c>
      <c r="Z363" s="26">
        <f t="shared" si="7"/>
        <v>0</v>
      </c>
      <c r="AA363" s="26">
        <f t="shared" si="8"/>
        <v>0</v>
      </c>
      <c r="AB363" s="26">
        <f t="shared" si="9"/>
        <v>0</v>
      </c>
      <c r="AC363" s="155">
        <v>5.0</v>
      </c>
      <c r="AD363" s="155">
        <v>0.0</v>
      </c>
      <c r="AE363" s="155">
        <v>0.0</v>
      </c>
      <c r="AF363" s="155">
        <v>0.0</v>
      </c>
      <c r="AG363" s="155">
        <v>0.0</v>
      </c>
      <c r="AH363" s="155">
        <v>0.0</v>
      </c>
      <c r="AI363" s="167"/>
      <c r="AJ363" s="167"/>
      <c r="AK363" s="167"/>
      <c r="AL363" s="167"/>
      <c r="AM363" s="167"/>
      <c r="AN363" s="167"/>
      <c r="AO363" s="167">
        <v>1.0</v>
      </c>
      <c r="AP363" s="167">
        <v>0.0</v>
      </c>
      <c r="AQ363" s="167"/>
      <c r="AR363" s="167">
        <v>0.0</v>
      </c>
      <c r="AS363" s="167">
        <v>0.0</v>
      </c>
      <c r="AT363" s="167">
        <v>1.0</v>
      </c>
      <c r="AU363" s="167">
        <v>0.0</v>
      </c>
      <c r="AV363" s="167">
        <v>1.0</v>
      </c>
      <c r="AW363" s="167">
        <v>0.0</v>
      </c>
      <c r="AX363" s="167">
        <v>1.0</v>
      </c>
      <c r="AY363" s="167">
        <v>0.0</v>
      </c>
      <c r="AZ363" s="167">
        <v>0.0</v>
      </c>
      <c r="BA363" s="167">
        <v>1.0</v>
      </c>
      <c r="BB363" s="167"/>
      <c r="BC363" s="167"/>
      <c r="BD363" s="167"/>
      <c r="BE363" s="167"/>
      <c r="BF363" s="167"/>
      <c r="BG363" s="167"/>
      <c r="BH363" s="167"/>
      <c r="BI363" s="167"/>
      <c r="BJ363" s="167"/>
      <c r="BK363" s="167"/>
      <c r="BL363" s="167"/>
      <c r="BM363" s="167"/>
      <c r="BN363" s="155">
        <v>0.0</v>
      </c>
      <c r="BO363" s="155">
        <v>0.0</v>
      </c>
      <c r="BP363" s="155">
        <v>0.0</v>
      </c>
      <c r="BQ363" s="155">
        <v>0.0</v>
      </c>
      <c r="BR363" s="155">
        <v>0.0</v>
      </c>
      <c r="BS363" s="155">
        <v>0.0</v>
      </c>
      <c r="CV363" s="156">
        <v>0.0</v>
      </c>
      <c r="CW363" s="156">
        <v>0.0</v>
      </c>
      <c r="CX363" s="156">
        <v>0.0</v>
      </c>
      <c r="CY363" s="156">
        <v>0.0</v>
      </c>
      <c r="CZ363" s="156">
        <v>0.0</v>
      </c>
      <c r="DA363" s="156">
        <v>0.0</v>
      </c>
      <c r="EG363" s="156">
        <v>0.0</v>
      </c>
      <c r="EH363" s="156">
        <v>0.0</v>
      </c>
      <c r="EI363" s="156">
        <v>0.0</v>
      </c>
      <c r="EJ363" s="156">
        <v>0.0</v>
      </c>
      <c r="EK363" s="156">
        <v>0.0</v>
      </c>
      <c r="EL363" s="156">
        <v>0.0</v>
      </c>
      <c r="FQ363" s="156">
        <v>0.0</v>
      </c>
      <c r="FR363" s="156">
        <v>0.0</v>
      </c>
      <c r="FS363" s="156">
        <v>0.0</v>
      </c>
      <c r="FT363" s="156">
        <v>0.0</v>
      </c>
      <c r="FU363" s="156">
        <v>0.0</v>
      </c>
      <c r="FV363" s="156">
        <v>0.0</v>
      </c>
      <c r="FW363" s="157"/>
      <c r="FX363" s="157"/>
      <c r="FY363" s="157"/>
      <c r="FZ363" s="157"/>
      <c r="GA363" s="157"/>
      <c r="GB363" s="157"/>
      <c r="GC363" s="157"/>
      <c r="GD363" s="157"/>
      <c r="GE363" s="157"/>
      <c r="GF363" s="157"/>
      <c r="GG363" s="157"/>
      <c r="GH363" s="157"/>
      <c r="GI363" s="157"/>
      <c r="GJ363" s="157"/>
      <c r="GK363" s="157"/>
      <c r="GL363" s="157"/>
      <c r="GM363" s="157"/>
      <c r="GN363" s="157"/>
      <c r="GO363" s="157"/>
      <c r="GP363" s="158"/>
      <c r="GQ363" s="157"/>
      <c r="GR363" s="157"/>
      <c r="GS363" s="157"/>
      <c r="GT363" s="157"/>
      <c r="GU363" s="157"/>
      <c r="GV363" s="157"/>
      <c r="GW363" s="157"/>
      <c r="GX363" s="157"/>
      <c r="GY363" s="157"/>
      <c r="GZ363" s="157"/>
      <c r="HA363" s="157"/>
      <c r="HB363" s="155">
        <v>0.0</v>
      </c>
      <c r="HC363" s="155">
        <v>0.0</v>
      </c>
      <c r="HD363" s="155">
        <v>0.0</v>
      </c>
      <c r="HE363" s="155">
        <v>0.0</v>
      </c>
      <c r="HF363" s="155">
        <v>0.0</v>
      </c>
      <c r="HG363" s="155">
        <v>0.0</v>
      </c>
      <c r="IL363" s="159">
        <v>0.0</v>
      </c>
      <c r="IM363" s="156">
        <v>0.0</v>
      </c>
      <c r="IN363" s="156">
        <v>0.0</v>
      </c>
      <c r="IO363" s="156">
        <v>0.0</v>
      </c>
      <c r="IP363" s="156">
        <v>0.0</v>
      </c>
      <c r="IQ363" s="160">
        <v>0.0</v>
      </c>
      <c r="JH363" s="25"/>
      <c r="JW363" s="159">
        <v>0.0</v>
      </c>
      <c r="JX363" s="156">
        <v>0.0</v>
      </c>
      <c r="JY363" s="156">
        <v>0.0</v>
      </c>
      <c r="JZ363" s="156">
        <v>0.0</v>
      </c>
      <c r="KA363" s="156">
        <v>0.0</v>
      </c>
      <c r="KB363" s="160">
        <v>0.0</v>
      </c>
      <c r="LH363" s="159">
        <f t="shared" si="10"/>
        <v>0</v>
      </c>
      <c r="LI363" s="156">
        <f t="shared" si="11"/>
        <v>0</v>
      </c>
      <c r="LJ363" s="156">
        <f t="shared" si="12"/>
        <v>0</v>
      </c>
      <c r="LK363" s="156">
        <f t="shared" si="13"/>
        <v>0</v>
      </c>
      <c r="LL363" s="156">
        <f t="shared" si="14"/>
        <v>0</v>
      </c>
      <c r="LM363" s="160">
        <f t="shared" si="15"/>
        <v>0</v>
      </c>
      <c r="QX363" s="107">
        <v>45937.0</v>
      </c>
    </row>
    <row r="364">
      <c r="A364" s="126"/>
      <c r="B364" s="126"/>
      <c r="C364" s="12"/>
      <c r="D364" s="12"/>
      <c r="E364" s="58"/>
      <c r="F364" s="12"/>
      <c r="G364" s="12"/>
      <c r="H364" s="12"/>
      <c r="I364" s="219">
        <f t="shared" si="5"/>
        <v>-30</v>
      </c>
      <c r="J364" s="144">
        <v>45943.0</v>
      </c>
      <c r="K364" s="145" t="s">
        <v>61</v>
      </c>
      <c r="L364" s="171">
        <v>46037.0</v>
      </c>
      <c r="M364" s="147" t="s">
        <v>400</v>
      </c>
      <c r="N364" s="148">
        <v>246.0</v>
      </c>
      <c r="O364" s="148">
        <v>30.0</v>
      </c>
      <c r="P364" s="26"/>
      <c r="Q364" s="26"/>
      <c r="R364" s="26"/>
      <c r="S364" s="26"/>
      <c r="T364" s="26"/>
      <c r="U364" s="147" t="s">
        <v>3104</v>
      </c>
      <c r="V364" s="149" t="s">
        <v>3105</v>
      </c>
      <c r="W364" s="198" t="s">
        <v>3106</v>
      </c>
      <c r="X364" s="181">
        <v>28.0</v>
      </c>
      <c r="Y364" s="166">
        <f t="shared" si="6"/>
        <v>30</v>
      </c>
      <c r="Z364" s="26">
        <f t="shared" si="7"/>
        <v>0</v>
      </c>
      <c r="AA364" s="26">
        <f t="shared" si="8"/>
        <v>0</v>
      </c>
      <c r="AB364" s="26">
        <f t="shared" si="9"/>
        <v>0</v>
      </c>
      <c r="AC364" s="155">
        <v>2.0</v>
      </c>
      <c r="AD364" s="155">
        <v>0.0</v>
      </c>
      <c r="AE364" s="155">
        <v>0.0</v>
      </c>
      <c r="AF364" s="155">
        <v>0.0</v>
      </c>
      <c r="AG364" s="155">
        <v>0.0</v>
      </c>
      <c r="AH364" s="155">
        <v>0.0</v>
      </c>
      <c r="AI364" s="167"/>
      <c r="AJ364" s="167"/>
      <c r="AK364" s="167"/>
      <c r="AL364" s="167"/>
      <c r="AM364" s="167">
        <v>1.0</v>
      </c>
      <c r="AN364" s="167"/>
      <c r="AO364" s="167"/>
      <c r="AP364" s="167"/>
      <c r="AQ364" s="167"/>
      <c r="AR364" s="167"/>
      <c r="AS364" s="167"/>
      <c r="AT364" s="167"/>
      <c r="AU364" s="167"/>
      <c r="AV364" s="167">
        <v>1.0</v>
      </c>
      <c r="AW364" s="167"/>
      <c r="AX364" s="167"/>
      <c r="AY364" s="167"/>
      <c r="AZ364" s="167"/>
      <c r="BA364" s="167"/>
      <c r="BB364" s="167"/>
      <c r="BC364" s="167"/>
      <c r="BD364" s="167"/>
      <c r="BE364" s="167"/>
      <c r="BF364" s="167"/>
      <c r="BG364" s="167"/>
      <c r="BH364" s="167"/>
      <c r="BI364" s="167"/>
      <c r="BJ364" s="167"/>
      <c r="BK364" s="167"/>
      <c r="BL364" s="167"/>
      <c r="BM364" s="167"/>
      <c r="BN364" s="155">
        <v>0.0</v>
      </c>
      <c r="BO364" s="155">
        <v>0.0</v>
      </c>
      <c r="BP364" s="155">
        <v>0.0</v>
      </c>
      <c r="BQ364" s="155">
        <v>0.0</v>
      </c>
      <c r="BR364" s="155">
        <v>0.0</v>
      </c>
      <c r="BS364" s="155">
        <v>0.0</v>
      </c>
      <c r="CV364" s="156">
        <v>0.0</v>
      </c>
      <c r="CW364" s="156">
        <v>0.0</v>
      </c>
      <c r="CX364" s="156">
        <v>0.0</v>
      </c>
      <c r="CY364" s="156">
        <v>0.0</v>
      </c>
      <c r="CZ364" s="156">
        <v>0.0</v>
      </c>
      <c r="DA364" s="156">
        <v>0.0</v>
      </c>
      <c r="EG364" s="156">
        <v>0.0</v>
      </c>
      <c r="EH364" s="156">
        <v>0.0</v>
      </c>
      <c r="EI364" s="156">
        <v>0.0</v>
      </c>
      <c r="EJ364" s="156">
        <v>0.0</v>
      </c>
      <c r="EK364" s="156">
        <v>0.0</v>
      </c>
      <c r="EL364" s="156">
        <v>0.0</v>
      </c>
      <c r="FQ364" s="156">
        <v>0.0</v>
      </c>
      <c r="FR364" s="156">
        <v>0.0</v>
      </c>
      <c r="FS364" s="156">
        <v>0.0</v>
      </c>
      <c r="FT364" s="156">
        <v>0.0</v>
      </c>
      <c r="FU364" s="156">
        <v>0.0</v>
      </c>
      <c r="FV364" s="156">
        <v>0.0</v>
      </c>
      <c r="FW364" s="157"/>
      <c r="FX364" s="157"/>
      <c r="FY364" s="157"/>
      <c r="FZ364" s="157"/>
      <c r="GA364" s="157"/>
      <c r="GB364" s="157"/>
      <c r="GC364" s="157"/>
      <c r="GD364" s="157"/>
      <c r="GE364" s="157"/>
      <c r="GF364" s="157"/>
      <c r="GG364" s="157"/>
      <c r="GH364" s="157"/>
      <c r="GI364" s="157"/>
      <c r="GJ364" s="157"/>
      <c r="GK364" s="157"/>
      <c r="GL364" s="157"/>
      <c r="GM364" s="157"/>
      <c r="GN364" s="157"/>
      <c r="GO364" s="157"/>
      <c r="GP364" s="158"/>
      <c r="GQ364" s="157"/>
      <c r="GR364" s="157"/>
      <c r="GS364" s="157"/>
      <c r="GT364" s="157"/>
      <c r="GU364" s="157"/>
      <c r="GV364" s="157"/>
      <c r="GW364" s="157"/>
      <c r="GX364" s="157"/>
      <c r="GY364" s="157"/>
      <c r="GZ364" s="157"/>
      <c r="HA364" s="157"/>
      <c r="HB364" s="155">
        <v>0.0</v>
      </c>
      <c r="HC364" s="155">
        <v>0.0</v>
      </c>
      <c r="HD364" s="155">
        <v>0.0</v>
      </c>
      <c r="HE364" s="155">
        <v>0.0</v>
      </c>
      <c r="HF364" s="155">
        <v>0.0</v>
      </c>
      <c r="HG364" s="155">
        <v>0.0</v>
      </c>
      <c r="IL364" s="159">
        <v>0.0</v>
      </c>
      <c r="IM364" s="156">
        <v>0.0</v>
      </c>
      <c r="IN364" s="156">
        <v>0.0</v>
      </c>
      <c r="IO364" s="156">
        <v>0.0</v>
      </c>
      <c r="IP364" s="156">
        <v>0.0</v>
      </c>
      <c r="IQ364" s="160">
        <v>0.0</v>
      </c>
      <c r="JH364" s="25"/>
      <c r="JW364" s="159">
        <v>0.0</v>
      </c>
      <c r="JX364" s="156">
        <v>0.0</v>
      </c>
      <c r="JY364" s="156">
        <v>0.0</v>
      </c>
      <c r="JZ364" s="156">
        <v>0.0</v>
      </c>
      <c r="KA364" s="156">
        <v>0.0</v>
      </c>
      <c r="KB364" s="160">
        <v>0.0</v>
      </c>
      <c r="LH364" s="159">
        <f t="shared" si="10"/>
        <v>0</v>
      </c>
      <c r="LI364" s="156">
        <f t="shared" si="11"/>
        <v>0</v>
      </c>
      <c r="LJ364" s="156">
        <f t="shared" si="12"/>
        <v>0</v>
      </c>
      <c r="LK364" s="156">
        <f t="shared" si="13"/>
        <v>0</v>
      </c>
      <c r="LL364" s="156">
        <f t="shared" si="14"/>
        <v>0</v>
      </c>
      <c r="LM364" s="160">
        <f t="shared" si="15"/>
        <v>0</v>
      </c>
      <c r="QX364" s="107">
        <v>45941.0</v>
      </c>
    </row>
    <row r="365">
      <c r="A365" s="12"/>
      <c r="B365" s="12"/>
      <c r="C365" s="12"/>
      <c r="D365" s="12"/>
      <c r="E365" s="12"/>
      <c r="F365" s="12"/>
      <c r="G365" s="12"/>
      <c r="H365" s="12"/>
      <c r="I365" s="143">
        <f t="shared" si="5"/>
        <v>-30</v>
      </c>
      <c r="J365" s="144">
        <v>45943.0</v>
      </c>
      <c r="K365" s="195" t="s">
        <v>61</v>
      </c>
      <c r="L365" s="171">
        <v>46058.0</v>
      </c>
      <c r="M365" s="147" t="s">
        <v>1733</v>
      </c>
      <c r="N365" s="148">
        <v>246.0</v>
      </c>
      <c r="O365" s="148">
        <v>30.0</v>
      </c>
      <c r="P365" s="26"/>
      <c r="Q365" s="26"/>
      <c r="R365" s="26"/>
      <c r="S365" s="26"/>
      <c r="T365" s="26"/>
      <c r="U365" s="147" t="s">
        <v>1466</v>
      </c>
      <c r="V365" s="149" t="s">
        <v>1757</v>
      </c>
      <c r="W365" s="150" t="s">
        <v>3107</v>
      </c>
      <c r="X365" s="181">
        <v>21.0</v>
      </c>
      <c r="Y365" s="166">
        <f t="shared" si="6"/>
        <v>30</v>
      </c>
      <c r="Z365" s="26">
        <f t="shared" si="7"/>
        <v>0</v>
      </c>
      <c r="AA365" s="26">
        <f t="shared" si="8"/>
        <v>0</v>
      </c>
      <c r="AB365" s="26">
        <f t="shared" si="9"/>
        <v>0</v>
      </c>
      <c r="AC365" s="155">
        <v>9.0</v>
      </c>
      <c r="AD365" s="155">
        <v>0.0</v>
      </c>
      <c r="AE365" s="155">
        <v>0.0</v>
      </c>
      <c r="AF365" s="155">
        <v>0.0</v>
      </c>
      <c r="AG365" s="155">
        <v>0.0</v>
      </c>
      <c r="AH365" s="155">
        <v>0.0</v>
      </c>
      <c r="AI365" s="167"/>
      <c r="AJ365" s="167"/>
      <c r="AK365" s="167"/>
      <c r="AL365" s="167"/>
      <c r="AM365" s="167"/>
      <c r="AN365" s="167"/>
      <c r="AO365" s="167">
        <v>1.0</v>
      </c>
      <c r="AP365" s="167">
        <v>0.0</v>
      </c>
      <c r="AQ365" s="167">
        <v>1.0</v>
      </c>
      <c r="AR365" s="167"/>
      <c r="AS365" s="167"/>
      <c r="AT365" s="167"/>
      <c r="AU365" s="167"/>
      <c r="AV365" s="167"/>
      <c r="AW365" s="167"/>
      <c r="AX365" s="167">
        <v>1.0</v>
      </c>
      <c r="AY365" s="167">
        <v>0.0</v>
      </c>
      <c r="AZ365" s="167">
        <v>0.0</v>
      </c>
      <c r="BA365" s="167">
        <v>1.0</v>
      </c>
      <c r="BB365" s="167">
        <v>0.0</v>
      </c>
      <c r="BC365" s="167">
        <v>1.0</v>
      </c>
      <c r="BD365" s="167">
        <v>0.0</v>
      </c>
      <c r="BE365" s="167">
        <v>1.0</v>
      </c>
      <c r="BF365" s="167">
        <v>0.0</v>
      </c>
      <c r="BG365" s="167">
        <v>0.0</v>
      </c>
      <c r="BH365" s="167">
        <v>1.0</v>
      </c>
      <c r="BI365" s="167">
        <v>0.0</v>
      </c>
      <c r="BJ365" s="167">
        <v>1.0</v>
      </c>
      <c r="BK365" s="167">
        <v>0.0</v>
      </c>
      <c r="BL365" s="167">
        <v>1.0</v>
      </c>
      <c r="BM365" s="167">
        <v>0.0</v>
      </c>
      <c r="BN365" s="155">
        <v>0.0</v>
      </c>
      <c r="BO365" s="155">
        <v>0.0</v>
      </c>
      <c r="BP365" s="155">
        <v>0.0</v>
      </c>
      <c r="BQ365" s="155">
        <v>0.0</v>
      </c>
      <c r="BR365" s="155">
        <v>0.0</v>
      </c>
      <c r="BS365" s="155">
        <v>0.0</v>
      </c>
      <c r="CV365" s="156">
        <v>0.0</v>
      </c>
      <c r="CW365" s="156">
        <v>0.0</v>
      </c>
      <c r="CX365" s="156">
        <v>0.0</v>
      </c>
      <c r="CY365" s="156">
        <v>0.0</v>
      </c>
      <c r="CZ365" s="156">
        <v>0.0</v>
      </c>
      <c r="DA365" s="156">
        <v>0.0</v>
      </c>
      <c r="EG365" s="156">
        <v>0.0</v>
      </c>
      <c r="EH365" s="156">
        <v>0.0</v>
      </c>
      <c r="EI365" s="156">
        <v>0.0</v>
      </c>
      <c r="EJ365" s="156">
        <v>0.0</v>
      </c>
      <c r="EK365" s="156">
        <v>0.0</v>
      </c>
      <c r="EL365" s="156">
        <v>0.0</v>
      </c>
      <c r="EM365" s="174"/>
      <c r="EN365" s="174"/>
      <c r="EO365" s="174"/>
      <c r="EP365" s="174"/>
      <c r="EQ365" s="174"/>
      <c r="ER365" s="174"/>
      <c r="ES365" s="174"/>
      <c r="ET365" s="174"/>
      <c r="EU365" s="174"/>
      <c r="EV365" s="174"/>
      <c r="EW365" s="174"/>
      <c r="EX365" s="174"/>
      <c r="EY365" s="174"/>
      <c r="EZ365" s="174"/>
      <c r="FA365" s="174"/>
      <c r="FB365" s="174"/>
      <c r="FC365" s="174"/>
      <c r="FD365" s="174"/>
      <c r="FE365" s="174"/>
      <c r="FF365" s="174"/>
      <c r="FG365" s="174"/>
      <c r="FH365" s="174"/>
      <c r="FI365" s="174"/>
      <c r="FJ365" s="174"/>
      <c r="FK365" s="174"/>
      <c r="FL365" s="174"/>
      <c r="FM365" s="174"/>
      <c r="FN365" s="174"/>
      <c r="FO365" s="174"/>
      <c r="FP365" s="174"/>
      <c r="FQ365" s="156">
        <v>0.0</v>
      </c>
      <c r="FR365" s="156">
        <v>0.0</v>
      </c>
      <c r="FS365" s="156">
        <v>0.0</v>
      </c>
      <c r="FT365" s="156">
        <v>0.0</v>
      </c>
      <c r="FU365" s="156">
        <v>0.0</v>
      </c>
      <c r="FV365" s="156">
        <v>0.0</v>
      </c>
      <c r="FW365" s="157"/>
      <c r="FX365" s="157"/>
      <c r="FY365" s="157"/>
      <c r="FZ365" s="157"/>
      <c r="GA365" s="157"/>
      <c r="GB365" s="157"/>
      <c r="GC365" s="157"/>
      <c r="GD365" s="157"/>
      <c r="GE365" s="157"/>
      <c r="GF365" s="157"/>
      <c r="GG365" s="157"/>
      <c r="GH365" s="157"/>
      <c r="GI365" s="157"/>
      <c r="GJ365" s="157"/>
      <c r="GK365" s="157"/>
      <c r="GL365" s="157"/>
      <c r="GM365" s="157"/>
      <c r="GN365" s="157"/>
      <c r="GO365" s="157"/>
      <c r="GP365" s="158"/>
      <c r="GQ365" s="157"/>
      <c r="GR365" s="157"/>
      <c r="GS365" s="157"/>
      <c r="GT365" s="157"/>
      <c r="GU365" s="157"/>
      <c r="GV365" s="157"/>
      <c r="GW365" s="157"/>
      <c r="GX365" s="157"/>
      <c r="GY365" s="157"/>
      <c r="GZ365" s="157"/>
      <c r="HA365" s="157"/>
      <c r="HB365" s="155">
        <v>0.0</v>
      </c>
      <c r="HC365" s="155">
        <v>0.0</v>
      </c>
      <c r="HD365" s="155">
        <v>0.0</v>
      </c>
      <c r="HE365" s="155">
        <v>0.0</v>
      </c>
      <c r="HF365" s="155">
        <v>0.0</v>
      </c>
      <c r="HG365" s="155">
        <v>0.0</v>
      </c>
      <c r="IL365" s="159">
        <v>0.0</v>
      </c>
      <c r="IM365" s="156">
        <v>0.0</v>
      </c>
      <c r="IN365" s="156">
        <v>0.0</v>
      </c>
      <c r="IO365" s="156">
        <v>0.0</v>
      </c>
      <c r="IP365" s="156">
        <v>0.0</v>
      </c>
      <c r="IQ365" s="160">
        <v>0.0</v>
      </c>
      <c r="JH365" s="25"/>
      <c r="JW365" s="159">
        <v>0.0</v>
      </c>
      <c r="JX365" s="156">
        <v>0.0</v>
      </c>
      <c r="JY365" s="156">
        <v>0.0</v>
      </c>
      <c r="JZ365" s="156">
        <v>0.0</v>
      </c>
      <c r="KA365" s="156">
        <v>0.0</v>
      </c>
      <c r="KB365" s="160">
        <v>0.0</v>
      </c>
      <c r="LH365" s="159">
        <f t="shared" si="10"/>
        <v>0</v>
      </c>
      <c r="LI365" s="156">
        <f t="shared" si="11"/>
        <v>0</v>
      </c>
      <c r="LJ365" s="156">
        <f t="shared" si="12"/>
        <v>0</v>
      </c>
      <c r="LK365" s="156">
        <f t="shared" si="13"/>
        <v>0</v>
      </c>
      <c r="LL365" s="156">
        <f t="shared" si="14"/>
        <v>0</v>
      </c>
      <c r="LM365" s="160">
        <f t="shared" si="15"/>
        <v>0</v>
      </c>
      <c r="QX365" s="107">
        <v>45943.0</v>
      </c>
    </row>
    <row r="366">
      <c r="A366" s="12"/>
      <c r="B366" s="12"/>
      <c r="C366" s="12"/>
      <c r="D366" s="12"/>
      <c r="E366" s="12"/>
      <c r="F366" s="12"/>
      <c r="G366" s="12"/>
      <c r="H366" s="12"/>
      <c r="I366" s="143">
        <f t="shared" si="5"/>
        <v>-2</v>
      </c>
      <c r="J366" s="295">
        <v>45948.0</v>
      </c>
      <c r="K366" s="173" t="s">
        <v>53</v>
      </c>
      <c r="L366" s="375">
        <v>45987.0</v>
      </c>
      <c r="M366" s="147" t="s">
        <v>107</v>
      </c>
      <c r="N366" s="148">
        <v>357.0</v>
      </c>
      <c r="O366" s="148">
        <v>30.0</v>
      </c>
      <c r="P366" s="26"/>
      <c r="Q366" s="26"/>
      <c r="R366" s="26"/>
      <c r="S366" s="26"/>
      <c r="T366" s="26"/>
      <c r="U366" s="147" t="s">
        <v>664</v>
      </c>
      <c r="V366" s="149" t="s">
        <v>3108</v>
      </c>
      <c r="W366" s="198" t="s">
        <v>3109</v>
      </c>
      <c r="X366" s="181">
        <v>2.0</v>
      </c>
      <c r="Y366" s="166">
        <f t="shared" si="6"/>
        <v>2</v>
      </c>
      <c r="Z366" s="26">
        <f t="shared" si="7"/>
        <v>0</v>
      </c>
      <c r="AA366" s="26">
        <f t="shared" si="8"/>
        <v>0</v>
      </c>
      <c r="AB366" s="26">
        <f t="shared" si="9"/>
        <v>0</v>
      </c>
      <c r="AC366" s="155">
        <v>0.0</v>
      </c>
      <c r="AD366" s="155">
        <v>0.0</v>
      </c>
      <c r="AE366" s="155">
        <v>0.0</v>
      </c>
      <c r="AF366" s="155">
        <v>0.0</v>
      </c>
      <c r="AG366" s="155">
        <v>0.0</v>
      </c>
      <c r="AH366" s="155">
        <v>0.0</v>
      </c>
      <c r="BN366" s="155">
        <v>0.0</v>
      </c>
      <c r="BO366" s="155">
        <v>0.0</v>
      </c>
      <c r="BP366" s="155">
        <v>0.0</v>
      </c>
      <c r="BQ366" s="155">
        <v>0.0</v>
      </c>
      <c r="BR366" s="155">
        <v>0.0</v>
      </c>
      <c r="BS366" s="155">
        <v>0.0</v>
      </c>
      <c r="CV366" s="156">
        <v>0.0</v>
      </c>
      <c r="CW366" s="156">
        <v>0.0</v>
      </c>
      <c r="CX366" s="156">
        <v>0.0</v>
      </c>
      <c r="CY366" s="156">
        <v>0.0</v>
      </c>
      <c r="CZ366" s="156">
        <v>0.0</v>
      </c>
      <c r="DA366" s="156">
        <v>0.0</v>
      </c>
      <c r="EG366" s="156">
        <v>0.0</v>
      </c>
      <c r="EH366" s="156">
        <v>0.0</v>
      </c>
      <c r="EI366" s="156">
        <v>0.0</v>
      </c>
      <c r="EJ366" s="156">
        <v>0.0</v>
      </c>
      <c r="EK366" s="156">
        <v>0.0</v>
      </c>
      <c r="EL366" s="156">
        <v>0.0</v>
      </c>
      <c r="FQ366" s="156">
        <v>0.0</v>
      </c>
      <c r="FR366" s="156">
        <v>0.0</v>
      </c>
      <c r="FS366" s="156">
        <v>0.0</v>
      </c>
      <c r="FT366" s="156">
        <v>0.0</v>
      </c>
      <c r="FU366" s="156">
        <v>0.0</v>
      </c>
      <c r="FV366" s="156">
        <v>0.0</v>
      </c>
      <c r="FW366" s="157"/>
      <c r="FX366" s="157"/>
      <c r="FY366" s="157"/>
      <c r="FZ366" s="157"/>
      <c r="GA366" s="157"/>
      <c r="GB366" s="157"/>
      <c r="GC366" s="157"/>
      <c r="GD366" s="157"/>
      <c r="GE366" s="157"/>
      <c r="GF366" s="157"/>
      <c r="GG366" s="157"/>
      <c r="GH366" s="157"/>
      <c r="GI366" s="157"/>
      <c r="GJ366" s="157"/>
      <c r="GK366" s="157"/>
      <c r="GL366" s="157"/>
      <c r="GM366" s="157"/>
      <c r="GN366" s="157"/>
      <c r="GO366" s="157"/>
      <c r="GP366" s="158"/>
      <c r="GQ366" s="157"/>
      <c r="GR366" s="157"/>
      <c r="GS366" s="157"/>
      <c r="GT366" s="157"/>
      <c r="GU366" s="157"/>
      <c r="GV366" s="157"/>
      <c r="GW366" s="157"/>
      <c r="GX366" s="157"/>
      <c r="GY366" s="157"/>
      <c r="GZ366" s="157"/>
      <c r="HA366" s="157"/>
      <c r="HB366" s="155">
        <v>0.0</v>
      </c>
      <c r="HC366" s="155">
        <v>0.0</v>
      </c>
      <c r="HD366" s="155">
        <v>0.0</v>
      </c>
      <c r="HE366" s="155">
        <v>0.0</v>
      </c>
      <c r="HF366" s="155">
        <v>0.0</v>
      </c>
      <c r="HG366" s="155">
        <v>0.0</v>
      </c>
      <c r="IL366" s="159">
        <v>0.0</v>
      </c>
      <c r="IM366" s="156">
        <v>0.0</v>
      </c>
      <c r="IN366" s="156">
        <v>0.0</v>
      </c>
      <c r="IO366" s="156">
        <v>0.0</v>
      </c>
      <c r="IP366" s="156">
        <v>0.0</v>
      </c>
      <c r="IQ366" s="160">
        <v>0.0</v>
      </c>
      <c r="JH366" s="25"/>
      <c r="JW366" s="159">
        <v>0.0</v>
      </c>
      <c r="JX366" s="156">
        <v>0.0</v>
      </c>
      <c r="JY366" s="156">
        <v>0.0</v>
      </c>
      <c r="JZ366" s="156">
        <v>0.0</v>
      </c>
      <c r="KA366" s="156">
        <v>0.0</v>
      </c>
      <c r="KB366" s="160">
        <v>0.0</v>
      </c>
      <c r="LH366" s="159">
        <f t="shared" si="10"/>
        <v>0</v>
      </c>
      <c r="LI366" s="156">
        <f t="shared" si="11"/>
        <v>0</v>
      </c>
      <c r="LJ366" s="156">
        <f t="shared" si="12"/>
        <v>0</v>
      </c>
      <c r="LK366" s="156">
        <f t="shared" si="13"/>
        <v>0</v>
      </c>
      <c r="LL366" s="156">
        <f t="shared" si="14"/>
        <v>0</v>
      </c>
      <c r="LM366" s="160">
        <f t="shared" si="15"/>
        <v>0</v>
      </c>
      <c r="QX366" s="107">
        <v>45946.0</v>
      </c>
    </row>
    <row r="367">
      <c r="A367" s="12"/>
      <c r="B367" s="12"/>
      <c r="C367" s="12"/>
      <c r="D367" s="12"/>
      <c r="E367" s="12"/>
      <c r="F367" s="12"/>
      <c r="G367" s="12"/>
      <c r="H367" s="12"/>
      <c r="I367" s="143">
        <f t="shared" si="5"/>
        <v>-60</v>
      </c>
      <c r="J367" s="144">
        <v>45943.0</v>
      </c>
      <c r="K367" s="145" t="s">
        <v>61</v>
      </c>
      <c r="L367" s="171">
        <v>46106.0</v>
      </c>
      <c r="M367" s="147" t="s">
        <v>107</v>
      </c>
      <c r="N367" s="148">
        <v>246.0</v>
      </c>
      <c r="O367" s="148">
        <v>30.0</v>
      </c>
      <c r="P367" s="26"/>
      <c r="Q367" s="26"/>
      <c r="R367" s="26"/>
      <c r="S367" s="26"/>
      <c r="T367" s="26"/>
      <c r="U367" s="147" t="s">
        <v>3110</v>
      </c>
      <c r="V367" s="149" t="s">
        <v>3111</v>
      </c>
      <c r="W367" s="150" t="s">
        <v>3112</v>
      </c>
      <c r="X367" s="181">
        <v>33.0</v>
      </c>
      <c r="Y367" s="166">
        <f t="shared" si="6"/>
        <v>60</v>
      </c>
      <c r="Z367" s="26">
        <f t="shared" si="7"/>
        <v>0</v>
      </c>
      <c r="AA367" s="26">
        <f t="shared" si="8"/>
        <v>0</v>
      </c>
      <c r="AB367" s="26">
        <f t="shared" si="9"/>
        <v>0</v>
      </c>
      <c r="AC367" s="155">
        <v>12.0</v>
      </c>
      <c r="AD367" s="155">
        <v>0.0</v>
      </c>
      <c r="AE367" s="155">
        <v>0.0</v>
      </c>
      <c r="AF367" s="155">
        <v>0.0</v>
      </c>
      <c r="AG367" s="155">
        <v>0.0</v>
      </c>
      <c r="AH367" s="155">
        <v>0.0</v>
      </c>
      <c r="AI367" s="167"/>
      <c r="AJ367" s="167"/>
      <c r="AK367" s="167"/>
      <c r="AL367" s="167"/>
      <c r="AM367" s="167">
        <v>1.0</v>
      </c>
      <c r="AN367" s="167">
        <v>0.0</v>
      </c>
      <c r="AO367" s="167">
        <v>1.0</v>
      </c>
      <c r="AP367" s="167">
        <v>0.0</v>
      </c>
      <c r="AQ367" s="167">
        <v>1.0</v>
      </c>
      <c r="AR367" s="167">
        <v>0.0</v>
      </c>
      <c r="AS367" s="167">
        <v>0.0</v>
      </c>
      <c r="AT367" s="167">
        <v>1.0</v>
      </c>
      <c r="AU367" s="167">
        <v>0.0</v>
      </c>
      <c r="AV367" s="167">
        <v>1.0</v>
      </c>
      <c r="AW367" s="167">
        <v>0.0</v>
      </c>
      <c r="AX367" s="167">
        <v>1.0</v>
      </c>
      <c r="AY367" s="167">
        <v>0.0</v>
      </c>
      <c r="AZ367" s="167">
        <v>0.0</v>
      </c>
      <c r="BA367" s="167">
        <v>1.0</v>
      </c>
      <c r="BB367" s="167">
        <v>0.0</v>
      </c>
      <c r="BC367" s="167"/>
      <c r="BD367" s="168">
        <v>1.0</v>
      </c>
      <c r="BE367" s="167">
        <v>1.0</v>
      </c>
      <c r="BF367" s="167">
        <v>0.0</v>
      </c>
      <c r="BG367" s="167">
        <v>0.0</v>
      </c>
      <c r="BH367" s="167">
        <v>1.0</v>
      </c>
      <c r="BI367" s="167">
        <v>0.0</v>
      </c>
      <c r="BJ367" s="167">
        <v>1.0</v>
      </c>
      <c r="BK367" s="167">
        <v>0.0</v>
      </c>
      <c r="BL367" s="167">
        <v>1.0</v>
      </c>
      <c r="BM367" s="167">
        <v>0.0</v>
      </c>
      <c r="BN367" s="155">
        <v>5.0</v>
      </c>
      <c r="BO367" s="155">
        <v>0.0</v>
      </c>
      <c r="BP367" s="155">
        <v>0.0</v>
      </c>
      <c r="BQ367" s="155">
        <v>0.0</v>
      </c>
      <c r="BR367" s="155">
        <v>0.0</v>
      </c>
      <c r="BS367" s="155">
        <v>0.0</v>
      </c>
      <c r="BT367" s="167"/>
      <c r="BU367" s="167"/>
      <c r="BV367" s="167"/>
      <c r="BW367" s="167"/>
      <c r="BX367" s="167"/>
      <c r="BY367" s="167">
        <v>1.0</v>
      </c>
      <c r="BZ367" s="167"/>
      <c r="CA367" s="167"/>
      <c r="CB367" s="167"/>
      <c r="CC367" s="167"/>
      <c r="CD367" s="167">
        <v>1.0</v>
      </c>
      <c r="CE367" s="167"/>
      <c r="CF367" s="167"/>
      <c r="CG367" s="167"/>
      <c r="CH367" s="167"/>
      <c r="CI367" s="167"/>
      <c r="CJ367" s="167"/>
      <c r="CK367" s="167"/>
      <c r="CL367" s="167"/>
      <c r="CM367" s="167"/>
      <c r="CN367" s="167"/>
      <c r="CO367" s="167"/>
      <c r="CP367" s="167">
        <v>1.0</v>
      </c>
      <c r="CQ367" s="167">
        <v>0.0</v>
      </c>
      <c r="CR367" s="167">
        <v>1.0</v>
      </c>
      <c r="CS367" s="167">
        <v>0.0</v>
      </c>
      <c r="CT367" s="167">
        <v>1.0</v>
      </c>
      <c r="CU367" s="167">
        <v>0.0</v>
      </c>
      <c r="CV367" s="156">
        <v>10.0</v>
      </c>
      <c r="CW367" s="156">
        <v>0.0</v>
      </c>
      <c r="CX367" s="156">
        <v>0.0</v>
      </c>
      <c r="CY367" s="156">
        <v>0.0</v>
      </c>
      <c r="CZ367" s="156">
        <v>0.0</v>
      </c>
      <c r="DA367" s="156">
        <v>0.0</v>
      </c>
      <c r="DB367" s="174">
        <v>0.0</v>
      </c>
      <c r="DC367" s="174">
        <v>1.0</v>
      </c>
      <c r="DD367" s="174">
        <v>0.0</v>
      </c>
      <c r="DE367" s="174">
        <v>1.0</v>
      </c>
      <c r="DF367" s="174">
        <v>0.0</v>
      </c>
      <c r="DG367" s="174">
        <v>1.0</v>
      </c>
      <c r="DH367" s="174">
        <v>0.0</v>
      </c>
      <c r="DI367" s="174">
        <v>0.0</v>
      </c>
      <c r="DJ367" s="174">
        <v>1.0</v>
      </c>
      <c r="DK367" s="174"/>
      <c r="DL367" s="174"/>
      <c r="DM367" s="174"/>
      <c r="DN367" s="174"/>
      <c r="DO367" s="174">
        <v>0.0</v>
      </c>
      <c r="DP367" s="175">
        <v>1.0</v>
      </c>
      <c r="DQ367" s="174">
        <v>1.0</v>
      </c>
      <c r="DR367" s="174">
        <v>0.0</v>
      </c>
      <c r="DS367" s="174">
        <v>1.0</v>
      </c>
      <c r="DT367" s="174">
        <v>0.0</v>
      </c>
      <c r="DU367" s="174">
        <v>1.0</v>
      </c>
      <c r="DV367" s="174">
        <v>0.0</v>
      </c>
      <c r="DW367" s="174">
        <v>0.0</v>
      </c>
      <c r="DX367" s="174">
        <v>1.0</v>
      </c>
      <c r="DY367" s="174">
        <v>0.0</v>
      </c>
      <c r="DZ367" s="174">
        <v>1.0</v>
      </c>
      <c r="EA367" s="174"/>
      <c r="EB367" s="174"/>
      <c r="EC367" s="174"/>
      <c r="ED367" s="174"/>
      <c r="EE367" s="174"/>
      <c r="EF367" s="174"/>
      <c r="EG367" s="156">
        <v>0.0</v>
      </c>
      <c r="EH367" s="156">
        <v>0.0</v>
      </c>
      <c r="EI367" s="156">
        <v>0.0</v>
      </c>
      <c r="EJ367" s="156">
        <v>0.0</v>
      </c>
      <c r="EK367" s="156">
        <v>0.0</v>
      </c>
      <c r="EL367" s="156">
        <v>0.0</v>
      </c>
      <c r="FQ367" s="156">
        <v>0.0</v>
      </c>
      <c r="FR367" s="156">
        <v>0.0</v>
      </c>
      <c r="FS367" s="156">
        <v>0.0</v>
      </c>
      <c r="FT367" s="156">
        <v>0.0</v>
      </c>
      <c r="FU367" s="156">
        <v>0.0</v>
      </c>
      <c r="FV367" s="156">
        <v>0.0</v>
      </c>
      <c r="FW367" s="157"/>
      <c r="FX367" s="157"/>
      <c r="FY367" s="157"/>
      <c r="FZ367" s="157"/>
      <c r="GA367" s="157"/>
      <c r="GB367" s="157"/>
      <c r="GC367" s="157"/>
      <c r="GD367" s="157"/>
      <c r="GE367" s="157"/>
      <c r="GF367" s="157"/>
      <c r="GG367" s="157"/>
      <c r="GH367" s="157"/>
      <c r="GI367" s="157"/>
      <c r="GJ367" s="157"/>
      <c r="GK367" s="157"/>
      <c r="GL367" s="157"/>
      <c r="GM367" s="157"/>
      <c r="GN367" s="157"/>
      <c r="GO367" s="157"/>
      <c r="GP367" s="158"/>
      <c r="GQ367" s="157"/>
      <c r="GR367" s="157"/>
      <c r="GS367" s="157"/>
      <c r="GT367" s="157"/>
      <c r="GU367" s="157"/>
      <c r="GV367" s="157"/>
      <c r="GW367" s="157"/>
      <c r="GX367" s="157"/>
      <c r="GY367" s="157"/>
      <c r="GZ367" s="157"/>
      <c r="HA367" s="157"/>
      <c r="HB367" s="155">
        <v>0.0</v>
      </c>
      <c r="HC367" s="155">
        <v>0.0</v>
      </c>
      <c r="HD367" s="155">
        <v>0.0</v>
      </c>
      <c r="HE367" s="155">
        <v>0.0</v>
      </c>
      <c r="HF367" s="155">
        <v>0.0</v>
      </c>
      <c r="HG367" s="155">
        <v>0.0</v>
      </c>
      <c r="IL367" s="159">
        <v>0.0</v>
      </c>
      <c r="IM367" s="156">
        <v>0.0</v>
      </c>
      <c r="IN367" s="156">
        <v>0.0</v>
      </c>
      <c r="IO367" s="156">
        <v>0.0</v>
      </c>
      <c r="IP367" s="156">
        <v>0.0</v>
      </c>
      <c r="IQ367" s="160">
        <v>0.0</v>
      </c>
      <c r="JH367" s="25"/>
      <c r="JW367" s="159">
        <v>0.0</v>
      </c>
      <c r="JX367" s="156">
        <v>0.0</v>
      </c>
      <c r="JY367" s="156">
        <v>0.0</v>
      </c>
      <c r="JZ367" s="156">
        <v>0.0</v>
      </c>
      <c r="KA367" s="156">
        <v>0.0</v>
      </c>
      <c r="KB367" s="160">
        <v>0.0</v>
      </c>
      <c r="LH367" s="159">
        <f t="shared" si="10"/>
        <v>0</v>
      </c>
      <c r="LI367" s="156">
        <f t="shared" si="11"/>
        <v>0</v>
      </c>
      <c r="LJ367" s="156">
        <f t="shared" si="12"/>
        <v>0</v>
      </c>
      <c r="LK367" s="156">
        <f t="shared" si="13"/>
        <v>0</v>
      </c>
      <c r="LL367" s="156">
        <f t="shared" si="14"/>
        <v>0</v>
      </c>
      <c r="LM367" s="160">
        <f t="shared" si="15"/>
        <v>0</v>
      </c>
      <c r="QX367" s="107">
        <v>45946.0</v>
      </c>
    </row>
    <row r="368">
      <c r="A368" s="12"/>
      <c r="B368" s="12"/>
      <c r="C368" s="12"/>
      <c r="D368" s="12"/>
      <c r="E368" s="12"/>
      <c r="F368" s="12"/>
      <c r="G368" s="12"/>
      <c r="H368" s="12"/>
      <c r="I368" s="143">
        <f t="shared" si="5"/>
        <v>-30</v>
      </c>
      <c r="J368" s="144">
        <v>45941.0</v>
      </c>
      <c r="K368" s="173" t="s">
        <v>61</v>
      </c>
      <c r="L368" s="144">
        <v>46009.0</v>
      </c>
      <c r="M368" s="147" t="s">
        <v>712</v>
      </c>
      <c r="N368" s="148">
        <v>357.0</v>
      </c>
      <c r="O368" s="148">
        <v>30.0</v>
      </c>
      <c r="P368" s="26"/>
      <c r="Q368" s="26"/>
      <c r="R368" s="26"/>
      <c r="S368" s="26"/>
      <c r="T368" s="26"/>
      <c r="U368" s="147" t="s">
        <v>684</v>
      </c>
      <c r="V368" s="149" t="s">
        <v>230</v>
      </c>
      <c r="W368" s="198" t="s">
        <v>3113</v>
      </c>
      <c r="X368" s="181">
        <v>30.0</v>
      </c>
      <c r="Y368" s="166">
        <f t="shared" si="6"/>
        <v>30</v>
      </c>
      <c r="Z368" s="26">
        <f t="shared" si="7"/>
        <v>0</v>
      </c>
      <c r="AA368" s="26">
        <f t="shared" si="8"/>
        <v>0</v>
      </c>
      <c r="AB368" s="26">
        <f t="shared" si="9"/>
        <v>0</v>
      </c>
      <c r="AC368" s="155">
        <v>0.0</v>
      </c>
      <c r="AD368" s="155">
        <v>0.0</v>
      </c>
      <c r="AE368" s="155">
        <v>0.0</v>
      </c>
      <c r="AF368" s="155">
        <v>0.0</v>
      </c>
      <c r="AG368" s="155">
        <v>0.0</v>
      </c>
      <c r="AH368" s="155">
        <v>0.0</v>
      </c>
      <c r="BN368" s="155">
        <v>0.0</v>
      </c>
      <c r="BO368" s="155">
        <v>0.0</v>
      </c>
      <c r="BP368" s="155">
        <v>0.0</v>
      </c>
      <c r="BQ368" s="155">
        <v>0.0</v>
      </c>
      <c r="BR368" s="155">
        <v>0.0</v>
      </c>
      <c r="BS368" s="155">
        <v>0.0</v>
      </c>
      <c r="CV368" s="156">
        <v>0.0</v>
      </c>
      <c r="CW368" s="156">
        <v>0.0</v>
      </c>
      <c r="CX368" s="156">
        <v>0.0</v>
      </c>
      <c r="CY368" s="156">
        <v>0.0</v>
      </c>
      <c r="CZ368" s="156">
        <v>0.0</v>
      </c>
      <c r="DA368" s="156">
        <v>0.0</v>
      </c>
      <c r="EG368" s="156">
        <v>0.0</v>
      </c>
      <c r="EH368" s="156">
        <v>0.0</v>
      </c>
      <c r="EI368" s="156">
        <v>0.0</v>
      </c>
      <c r="EJ368" s="156">
        <v>0.0</v>
      </c>
      <c r="EK368" s="156">
        <v>0.0</v>
      </c>
      <c r="EL368" s="156">
        <v>0.0</v>
      </c>
      <c r="FQ368" s="156">
        <v>0.0</v>
      </c>
      <c r="FR368" s="156">
        <v>0.0</v>
      </c>
      <c r="FS368" s="156">
        <v>0.0</v>
      </c>
      <c r="FT368" s="156">
        <v>0.0</v>
      </c>
      <c r="FU368" s="156">
        <v>0.0</v>
      </c>
      <c r="FV368" s="156">
        <v>0.0</v>
      </c>
      <c r="FW368" s="157"/>
      <c r="FX368" s="157"/>
      <c r="FY368" s="157"/>
      <c r="FZ368" s="157"/>
      <c r="GA368" s="157"/>
      <c r="GB368" s="157"/>
      <c r="GC368" s="157"/>
      <c r="GD368" s="157"/>
      <c r="GE368" s="157"/>
      <c r="GF368" s="157"/>
      <c r="GG368" s="157"/>
      <c r="GH368" s="157"/>
      <c r="GI368" s="157"/>
      <c r="GJ368" s="157"/>
      <c r="GK368" s="157"/>
      <c r="GL368" s="157"/>
      <c r="GM368" s="157"/>
      <c r="GN368" s="157"/>
      <c r="GO368" s="157"/>
      <c r="GP368" s="158"/>
      <c r="GQ368" s="157"/>
      <c r="GR368" s="157"/>
      <c r="GS368" s="157"/>
      <c r="GT368" s="157"/>
      <c r="GU368" s="157"/>
      <c r="GV368" s="157"/>
      <c r="GW368" s="157"/>
      <c r="GX368" s="157"/>
      <c r="GY368" s="157"/>
      <c r="GZ368" s="157"/>
      <c r="HA368" s="157"/>
      <c r="HB368" s="155">
        <v>0.0</v>
      </c>
      <c r="HC368" s="155">
        <v>0.0</v>
      </c>
      <c r="HD368" s="155">
        <v>0.0</v>
      </c>
      <c r="HE368" s="155">
        <v>0.0</v>
      </c>
      <c r="HF368" s="155">
        <v>0.0</v>
      </c>
      <c r="HG368" s="155">
        <v>0.0</v>
      </c>
      <c r="IL368" s="159">
        <v>0.0</v>
      </c>
      <c r="IM368" s="156">
        <v>0.0</v>
      </c>
      <c r="IN368" s="156">
        <v>0.0</v>
      </c>
      <c r="IO368" s="156">
        <v>0.0</v>
      </c>
      <c r="IP368" s="156">
        <v>0.0</v>
      </c>
      <c r="IQ368" s="160">
        <v>0.0</v>
      </c>
      <c r="JH368" s="25"/>
      <c r="JW368" s="159">
        <v>0.0</v>
      </c>
      <c r="JX368" s="156">
        <v>0.0</v>
      </c>
      <c r="JY368" s="156">
        <v>0.0</v>
      </c>
      <c r="JZ368" s="156">
        <v>0.0</v>
      </c>
      <c r="KA368" s="156">
        <v>0.0</v>
      </c>
      <c r="KB368" s="160">
        <v>0.0</v>
      </c>
      <c r="LH368" s="159">
        <f t="shared" si="10"/>
        <v>0</v>
      </c>
      <c r="LI368" s="156">
        <f t="shared" si="11"/>
        <v>0</v>
      </c>
      <c r="LJ368" s="156">
        <f t="shared" si="12"/>
        <v>0</v>
      </c>
      <c r="LK368" s="156">
        <f t="shared" si="13"/>
        <v>0</v>
      </c>
      <c r="LL368" s="156">
        <f t="shared" si="14"/>
        <v>0</v>
      </c>
      <c r="LM368" s="160">
        <f t="shared" si="15"/>
        <v>0</v>
      </c>
      <c r="QX368" s="107">
        <v>45946.0</v>
      </c>
    </row>
    <row r="369">
      <c r="A369" s="12"/>
      <c r="B369" s="12"/>
      <c r="C369" s="12"/>
      <c r="D369" s="12"/>
      <c r="E369" s="12"/>
      <c r="F369" s="12"/>
      <c r="G369" s="12"/>
      <c r="H369" s="12"/>
      <c r="I369" s="143">
        <f t="shared" si="5"/>
        <v>-30</v>
      </c>
      <c r="J369" s="144">
        <v>45950.0</v>
      </c>
      <c r="K369" s="145" t="s">
        <v>61</v>
      </c>
      <c r="L369" s="490">
        <v>46036.0</v>
      </c>
      <c r="M369" s="312" t="s">
        <v>107</v>
      </c>
      <c r="N369" s="313">
        <v>246.0</v>
      </c>
      <c r="O369" s="313">
        <v>45.0</v>
      </c>
      <c r="P369" s="314"/>
      <c r="Q369" s="314"/>
      <c r="R369" s="314"/>
      <c r="S369" s="314"/>
      <c r="T369" s="314"/>
      <c r="U369" s="312" t="s">
        <v>2373</v>
      </c>
      <c r="V369" s="491" t="s">
        <v>922</v>
      </c>
      <c r="W369" s="316" t="s">
        <v>3070</v>
      </c>
      <c r="X369" s="181">
        <v>28.0</v>
      </c>
      <c r="Y369" s="166">
        <f t="shared" si="6"/>
        <v>30</v>
      </c>
      <c r="Z369" s="26">
        <f t="shared" si="7"/>
        <v>0</v>
      </c>
      <c r="AA369" s="26">
        <f t="shared" si="8"/>
        <v>0</v>
      </c>
      <c r="AB369" s="26">
        <f t="shared" si="9"/>
        <v>0</v>
      </c>
      <c r="AC369" s="155">
        <v>2.0</v>
      </c>
      <c r="AD369" s="155">
        <v>0.0</v>
      </c>
      <c r="AE369" s="155">
        <v>0.0</v>
      </c>
      <c r="AF369" s="155">
        <v>0.0</v>
      </c>
      <c r="AG369" s="155">
        <v>0.0</v>
      </c>
      <c r="AH369" s="155">
        <v>0.0</v>
      </c>
      <c r="AI369" s="167"/>
      <c r="AJ369" s="167"/>
      <c r="AK369" s="167"/>
      <c r="AL369" s="167"/>
      <c r="AM369" s="167"/>
      <c r="AN369" s="167">
        <v>0.0</v>
      </c>
      <c r="AO369" s="167">
        <v>1.0</v>
      </c>
      <c r="AP369" s="167"/>
      <c r="AQ369" s="167"/>
      <c r="AR369" s="167"/>
      <c r="AS369" s="167"/>
      <c r="AT369" s="167">
        <v>1.0</v>
      </c>
      <c r="AU369" s="167"/>
      <c r="AV369" s="167"/>
      <c r="AW369" s="167"/>
      <c r="AX369" s="167"/>
      <c r="AY369" s="167"/>
      <c r="AZ369" s="167"/>
      <c r="BA369" s="167"/>
      <c r="BB369" s="167"/>
      <c r="BC369" s="167"/>
      <c r="BD369" s="167"/>
      <c r="BE369" s="167"/>
      <c r="BF369" s="167"/>
      <c r="BG369" s="167"/>
      <c r="BH369" s="167"/>
      <c r="BI369" s="167"/>
      <c r="BJ369" s="167"/>
      <c r="BK369" s="167"/>
      <c r="BL369" s="167"/>
      <c r="BM369" s="167"/>
      <c r="BN369" s="155">
        <v>0.0</v>
      </c>
      <c r="BO369" s="155">
        <v>0.0</v>
      </c>
      <c r="BP369" s="155">
        <v>0.0</v>
      </c>
      <c r="BQ369" s="155">
        <v>0.0</v>
      </c>
      <c r="BR369" s="155">
        <v>0.0</v>
      </c>
      <c r="BS369" s="155">
        <v>0.0</v>
      </c>
      <c r="CV369" s="156">
        <v>0.0</v>
      </c>
      <c r="CW369" s="156">
        <v>0.0</v>
      </c>
      <c r="CX369" s="156">
        <v>0.0</v>
      </c>
      <c r="CY369" s="156">
        <v>0.0</v>
      </c>
      <c r="CZ369" s="156">
        <v>0.0</v>
      </c>
      <c r="DA369" s="156">
        <v>0.0</v>
      </c>
      <c r="EG369" s="156">
        <v>0.0</v>
      </c>
      <c r="EH369" s="156">
        <v>0.0</v>
      </c>
      <c r="EI369" s="156">
        <v>0.0</v>
      </c>
      <c r="EJ369" s="156">
        <v>0.0</v>
      </c>
      <c r="EK369" s="156">
        <v>0.0</v>
      </c>
      <c r="EL369" s="156">
        <v>0.0</v>
      </c>
      <c r="FQ369" s="156">
        <v>0.0</v>
      </c>
      <c r="FR369" s="156">
        <v>0.0</v>
      </c>
      <c r="FS369" s="156">
        <v>0.0</v>
      </c>
      <c r="FT369" s="156">
        <v>0.0</v>
      </c>
      <c r="FU369" s="156">
        <v>0.0</v>
      </c>
      <c r="FV369" s="156">
        <v>0.0</v>
      </c>
      <c r="FW369" s="157"/>
      <c r="FX369" s="157"/>
      <c r="FY369" s="157"/>
      <c r="FZ369" s="157"/>
      <c r="GA369" s="157"/>
      <c r="GB369" s="157"/>
      <c r="GC369" s="157"/>
      <c r="GD369" s="157"/>
      <c r="GE369" s="157"/>
      <c r="GF369" s="157"/>
      <c r="GG369" s="157"/>
      <c r="GH369" s="157"/>
      <c r="GI369" s="157"/>
      <c r="GJ369" s="157"/>
      <c r="GK369" s="157"/>
      <c r="GL369" s="157"/>
      <c r="GM369" s="157"/>
      <c r="GN369" s="157"/>
      <c r="GO369" s="157"/>
      <c r="GP369" s="158"/>
      <c r="GQ369" s="157"/>
      <c r="GR369" s="157"/>
      <c r="GS369" s="157"/>
      <c r="GT369" s="157"/>
      <c r="GU369" s="157"/>
      <c r="GV369" s="157"/>
      <c r="GW369" s="157"/>
      <c r="GX369" s="157"/>
      <c r="GY369" s="157"/>
      <c r="GZ369" s="157"/>
      <c r="HA369" s="157"/>
      <c r="HB369" s="155">
        <v>0.0</v>
      </c>
      <c r="HC369" s="155">
        <v>0.0</v>
      </c>
      <c r="HD369" s="155">
        <v>0.0</v>
      </c>
      <c r="HE369" s="155">
        <v>0.0</v>
      </c>
      <c r="HF369" s="155">
        <v>0.0</v>
      </c>
      <c r="HG369" s="155">
        <v>0.0</v>
      </c>
      <c r="IL369" s="159">
        <v>0.0</v>
      </c>
      <c r="IM369" s="156">
        <v>0.0</v>
      </c>
      <c r="IN369" s="156">
        <v>0.0</v>
      </c>
      <c r="IO369" s="156">
        <v>0.0</v>
      </c>
      <c r="IP369" s="156">
        <v>0.0</v>
      </c>
      <c r="IQ369" s="160">
        <v>0.0</v>
      </c>
      <c r="JH369" s="25"/>
      <c r="JW369" s="159">
        <v>0.0</v>
      </c>
      <c r="JX369" s="156">
        <v>0.0</v>
      </c>
      <c r="JY369" s="156">
        <v>0.0</v>
      </c>
      <c r="JZ369" s="156">
        <v>0.0</v>
      </c>
      <c r="KA369" s="156">
        <v>0.0</v>
      </c>
      <c r="KB369" s="160">
        <v>0.0</v>
      </c>
      <c r="LH369" s="159">
        <f t="shared" si="10"/>
        <v>0</v>
      </c>
      <c r="LI369" s="156">
        <f t="shared" si="11"/>
        <v>0</v>
      </c>
      <c r="LJ369" s="156">
        <f t="shared" si="12"/>
        <v>0</v>
      </c>
      <c r="LK369" s="156">
        <f t="shared" si="13"/>
        <v>0</v>
      </c>
      <c r="LL369" s="156">
        <f t="shared" si="14"/>
        <v>0</v>
      </c>
      <c r="LM369" s="160">
        <f t="shared" si="15"/>
        <v>0</v>
      </c>
      <c r="QX369" s="107">
        <v>45946.0</v>
      </c>
    </row>
    <row r="370">
      <c r="A370" s="12"/>
      <c r="B370" s="12"/>
      <c r="C370" s="12"/>
      <c r="D370" s="12"/>
      <c r="E370" s="12"/>
      <c r="F370" s="12"/>
      <c r="G370" s="12"/>
      <c r="H370" s="12"/>
      <c r="I370" s="143">
        <f t="shared" si="5"/>
        <v>-28</v>
      </c>
      <c r="J370" s="170" t="s">
        <v>3114</v>
      </c>
      <c r="K370" s="164" t="s">
        <v>53</v>
      </c>
      <c r="L370" s="49" t="s">
        <v>3115</v>
      </c>
      <c r="M370" s="164" t="s">
        <v>348</v>
      </c>
      <c r="N370" s="170">
        <v>26.0</v>
      </c>
      <c r="O370" s="148">
        <v>30.0</v>
      </c>
      <c r="P370" s="26"/>
      <c r="Q370" s="26"/>
      <c r="R370" s="26"/>
      <c r="S370" s="26"/>
      <c r="T370" s="26"/>
      <c r="U370" s="164" t="s">
        <v>3116</v>
      </c>
      <c r="V370" s="165" t="s">
        <v>3117</v>
      </c>
      <c r="W370" s="150" t="s">
        <v>3118</v>
      </c>
      <c r="X370" s="181">
        <v>23.0</v>
      </c>
      <c r="Y370" s="166">
        <f t="shared" si="6"/>
        <v>28</v>
      </c>
      <c r="Z370" s="26">
        <f t="shared" si="7"/>
        <v>0</v>
      </c>
      <c r="AA370" s="26">
        <f t="shared" si="8"/>
        <v>0</v>
      </c>
      <c r="AB370" s="26">
        <f t="shared" si="9"/>
        <v>0</v>
      </c>
      <c r="AC370" s="155">
        <v>1.0</v>
      </c>
      <c r="AD370" s="155">
        <v>0.0</v>
      </c>
      <c r="AE370" s="155">
        <v>0.0</v>
      </c>
      <c r="AF370" s="155">
        <v>0.0</v>
      </c>
      <c r="AG370" s="155">
        <v>0.0</v>
      </c>
      <c r="AH370" s="155">
        <v>0.0</v>
      </c>
      <c r="AI370" s="167"/>
      <c r="AJ370" s="167"/>
      <c r="AK370" s="167"/>
      <c r="AL370" s="167"/>
      <c r="AM370" s="167"/>
      <c r="AN370" s="167"/>
      <c r="AO370" s="167">
        <v>1.0</v>
      </c>
      <c r="AP370" s="167"/>
      <c r="AQ370" s="167"/>
      <c r="AR370" s="167"/>
      <c r="AS370" s="167"/>
      <c r="AT370" s="167"/>
      <c r="AU370" s="167"/>
      <c r="AV370" s="167"/>
      <c r="AW370" s="167"/>
      <c r="AX370" s="167"/>
      <c r="AY370" s="167"/>
      <c r="AZ370" s="167"/>
      <c r="BA370" s="167"/>
      <c r="BB370" s="167"/>
      <c r="BC370" s="167"/>
      <c r="BD370" s="167"/>
      <c r="BE370" s="167"/>
      <c r="BF370" s="167"/>
      <c r="BG370" s="167"/>
      <c r="BH370" s="167"/>
      <c r="BI370" s="167"/>
      <c r="BJ370" s="167"/>
      <c r="BK370" s="167"/>
      <c r="BL370" s="167"/>
      <c r="BM370" s="167"/>
      <c r="BN370" s="155">
        <v>0.0</v>
      </c>
      <c r="BO370" s="155">
        <v>0.0</v>
      </c>
      <c r="BP370" s="155">
        <v>0.0</v>
      </c>
      <c r="BQ370" s="155">
        <v>0.0</v>
      </c>
      <c r="BR370" s="155">
        <v>0.0</v>
      </c>
      <c r="BS370" s="155">
        <v>0.0</v>
      </c>
      <c r="CV370" s="156">
        <v>0.0</v>
      </c>
      <c r="CW370" s="156">
        <v>0.0</v>
      </c>
      <c r="CX370" s="156">
        <v>0.0</v>
      </c>
      <c r="CY370" s="156">
        <v>0.0</v>
      </c>
      <c r="CZ370" s="156">
        <v>0.0</v>
      </c>
      <c r="DA370" s="156">
        <v>0.0</v>
      </c>
      <c r="EG370" s="156">
        <v>3.0</v>
      </c>
      <c r="EH370" s="156">
        <v>0.0</v>
      </c>
      <c r="EI370" s="156">
        <v>0.0</v>
      </c>
      <c r="EJ370" s="156">
        <v>0.0</v>
      </c>
      <c r="EK370" s="156">
        <v>0.0</v>
      </c>
      <c r="EL370" s="156">
        <v>0.0</v>
      </c>
      <c r="ER370" s="86">
        <v>1.0</v>
      </c>
      <c r="EY370" s="86">
        <v>1.0</v>
      </c>
      <c r="FF370" s="86">
        <v>1.0</v>
      </c>
      <c r="FQ370" s="156">
        <v>1.0</v>
      </c>
      <c r="FR370" s="156">
        <v>0.0</v>
      </c>
      <c r="FS370" s="156">
        <v>0.0</v>
      </c>
      <c r="FT370" s="156">
        <v>0.0</v>
      </c>
      <c r="FU370" s="156">
        <v>0.0</v>
      </c>
      <c r="FV370" s="156">
        <v>0.0</v>
      </c>
      <c r="FW370" s="188"/>
      <c r="FX370" s="157"/>
      <c r="FY370" s="157"/>
      <c r="FZ370" s="188"/>
      <c r="GA370" s="157"/>
      <c r="GB370" s="157"/>
      <c r="GC370" s="157"/>
      <c r="GD370" s="188"/>
      <c r="GE370" s="157"/>
      <c r="GF370" s="157"/>
      <c r="GG370" s="188"/>
      <c r="GH370" s="157"/>
      <c r="GI370" s="157"/>
      <c r="GJ370" s="157"/>
      <c r="GK370" s="188"/>
      <c r="GL370" s="157"/>
      <c r="GM370" s="157"/>
      <c r="GN370" s="188">
        <v>1.0</v>
      </c>
      <c r="GO370" s="157"/>
      <c r="GP370" s="158"/>
      <c r="GQ370" s="157"/>
      <c r="GR370" s="157"/>
      <c r="GS370" s="157"/>
      <c r="GT370" s="157"/>
      <c r="GU370" s="157"/>
      <c r="GV370" s="157"/>
      <c r="GW370" s="157"/>
      <c r="GX370" s="157"/>
      <c r="GY370" s="157"/>
      <c r="GZ370" s="157"/>
      <c r="HA370" s="157"/>
      <c r="HB370" s="155">
        <v>0.0</v>
      </c>
      <c r="HC370" s="155">
        <v>0.0</v>
      </c>
      <c r="HD370" s="155">
        <v>0.0</v>
      </c>
      <c r="HE370" s="155">
        <v>0.0</v>
      </c>
      <c r="HF370" s="155">
        <v>0.0</v>
      </c>
      <c r="HG370" s="155">
        <v>0.0</v>
      </c>
      <c r="IL370" s="159">
        <v>0.0</v>
      </c>
      <c r="IM370" s="156">
        <v>0.0</v>
      </c>
      <c r="IN370" s="156">
        <v>0.0</v>
      </c>
      <c r="IO370" s="156">
        <v>0.0</v>
      </c>
      <c r="IP370" s="156">
        <v>0.0</v>
      </c>
      <c r="IQ370" s="160">
        <v>0.0</v>
      </c>
      <c r="JH370" s="25"/>
      <c r="JW370" s="159">
        <v>0.0</v>
      </c>
      <c r="JX370" s="156">
        <v>0.0</v>
      </c>
      <c r="JY370" s="156">
        <v>0.0</v>
      </c>
      <c r="JZ370" s="156">
        <v>0.0</v>
      </c>
      <c r="KA370" s="156">
        <v>0.0</v>
      </c>
      <c r="KB370" s="160">
        <v>0.0</v>
      </c>
      <c r="LH370" s="159">
        <f t="shared" si="10"/>
        <v>0</v>
      </c>
      <c r="LI370" s="156">
        <f t="shared" si="11"/>
        <v>0</v>
      </c>
      <c r="LJ370" s="156">
        <f t="shared" si="12"/>
        <v>0</v>
      </c>
      <c r="LK370" s="156">
        <f t="shared" si="13"/>
        <v>0</v>
      </c>
      <c r="LL370" s="156">
        <f t="shared" si="14"/>
        <v>0</v>
      </c>
      <c r="LM370" s="160">
        <f t="shared" si="15"/>
        <v>0</v>
      </c>
      <c r="QX370" s="107">
        <v>45948.0</v>
      </c>
    </row>
    <row r="371">
      <c r="A371" s="12"/>
      <c r="B371" s="12"/>
      <c r="C371" s="494"/>
      <c r="D371" s="12"/>
      <c r="E371" s="12"/>
      <c r="F371" s="12"/>
      <c r="G371" s="12"/>
      <c r="H371" s="12"/>
      <c r="I371" s="143">
        <f t="shared" si="5"/>
        <v>-32</v>
      </c>
      <c r="J371" s="144">
        <v>45952.0</v>
      </c>
      <c r="K371" s="173" t="s">
        <v>48</v>
      </c>
      <c r="L371" s="146"/>
      <c r="M371" s="164" t="s">
        <v>2845</v>
      </c>
      <c r="N371" s="170">
        <v>235.0</v>
      </c>
      <c r="O371" s="148">
        <v>30.0</v>
      </c>
      <c r="P371" s="26"/>
      <c r="Q371" s="26"/>
      <c r="R371" s="26"/>
      <c r="S371" s="26"/>
      <c r="T371" s="26"/>
      <c r="U371" s="164" t="s">
        <v>3119</v>
      </c>
      <c r="V371" s="165" t="s">
        <v>307</v>
      </c>
      <c r="W371" s="248" t="s">
        <v>3120</v>
      </c>
      <c r="X371" s="181">
        <v>6.0</v>
      </c>
      <c r="Y371" s="166">
        <f t="shared" si="6"/>
        <v>32</v>
      </c>
      <c r="Z371" s="26">
        <f t="shared" si="7"/>
        <v>0</v>
      </c>
      <c r="AA371" s="26">
        <f t="shared" si="8"/>
        <v>1</v>
      </c>
      <c r="AB371" s="26">
        <f t="shared" si="9"/>
        <v>0</v>
      </c>
      <c r="AC371" s="155">
        <v>5.0</v>
      </c>
      <c r="AD371" s="155">
        <v>0.0</v>
      </c>
      <c r="AE371" s="155">
        <v>0.0</v>
      </c>
      <c r="AF371" s="155">
        <v>0.0</v>
      </c>
      <c r="AG371" s="155">
        <v>0.0</v>
      </c>
      <c r="AH371" s="155">
        <v>0.0</v>
      </c>
      <c r="AI371" s="167"/>
      <c r="AJ371" s="167"/>
      <c r="AK371" s="167"/>
      <c r="AL371" s="167"/>
      <c r="AM371" s="167"/>
      <c r="AN371" s="167"/>
      <c r="AO371" s="167"/>
      <c r="AP371" s="167"/>
      <c r="AQ371" s="167">
        <v>1.0</v>
      </c>
      <c r="AR371" s="167"/>
      <c r="AS371" s="167"/>
      <c r="AT371" s="167"/>
      <c r="AU371" s="167"/>
      <c r="AV371" s="167"/>
      <c r="AW371" s="167"/>
      <c r="AX371" s="167"/>
      <c r="AY371" s="167"/>
      <c r="AZ371" s="167"/>
      <c r="BA371" s="167"/>
      <c r="BB371" s="167"/>
      <c r="BC371" s="167">
        <v>1.0</v>
      </c>
      <c r="BD371" s="167"/>
      <c r="BE371" s="167"/>
      <c r="BF371" s="167"/>
      <c r="BG371" s="167"/>
      <c r="BH371" s="167"/>
      <c r="BI371" s="167"/>
      <c r="BJ371" s="168">
        <v>2.0</v>
      </c>
      <c r="BK371" s="167">
        <v>0.0</v>
      </c>
      <c r="BL371" s="167">
        <v>1.0</v>
      </c>
      <c r="BM371" s="167">
        <v>0.0</v>
      </c>
      <c r="BN371" s="155">
        <v>2.0</v>
      </c>
      <c r="BO371" s="155">
        <v>0.0</v>
      </c>
      <c r="BP371" s="155">
        <v>0.0</v>
      </c>
      <c r="BQ371" s="155">
        <v>0.0</v>
      </c>
      <c r="BR371" s="155">
        <v>0.0</v>
      </c>
      <c r="BS371" s="155">
        <v>0.0</v>
      </c>
      <c r="BT371" s="167"/>
      <c r="BU371" s="167"/>
      <c r="BV371" s="167"/>
      <c r="BW371" s="168">
        <v>1.0</v>
      </c>
      <c r="BX371" s="167"/>
      <c r="BY371" s="167"/>
      <c r="BZ371" s="167"/>
      <c r="CA371" s="167"/>
      <c r="CB371" s="167"/>
      <c r="CC371" s="167"/>
      <c r="CD371" s="167">
        <v>1.0</v>
      </c>
      <c r="CE371" s="167"/>
      <c r="CF371" s="167"/>
      <c r="CG371" s="167"/>
      <c r="CH371" s="167"/>
      <c r="CI371" s="167"/>
      <c r="CJ371" s="167"/>
      <c r="CK371" s="167"/>
      <c r="CL371" s="167"/>
      <c r="CM371" s="167"/>
      <c r="CN371" s="167"/>
      <c r="CO371" s="167"/>
      <c r="CP371" s="167"/>
      <c r="CQ371" s="167"/>
      <c r="CR371" s="167"/>
      <c r="CS371" s="167"/>
      <c r="CT371" s="167"/>
      <c r="CU371" s="167"/>
      <c r="CV371" s="156">
        <v>1.0</v>
      </c>
      <c r="CW371" s="156">
        <v>0.0</v>
      </c>
      <c r="CX371" s="156">
        <v>0.0</v>
      </c>
      <c r="CY371" s="156">
        <v>0.0</v>
      </c>
      <c r="CZ371" s="156">
        <v>0.0</v>
      </c>
      <c r="DA371" s="156">
        <v>0.0</v>
      </c>
      <c r="DB371" s="174"/>
      <c r="DC371" s="174"/>
      <c r="DD371" s="174"/>
      <c r="DE371" s="174">
        <v>1.0</v>
      </c>
      <c r="DF371" s="174"/>
      <c r="DG371" s="174"/>
      <c r="DH371" s="174"/>
      <c r="DI371" s="174"/>
      <c r="DJ371" s="174"/>
      <c r="DK371" s="174"/>
      <c r="DL371" s="174"/>
      <c r="DM371" s="174"/>
      <c r="DN371" s="174"/>
      <c r="DO371" s="174"/>
      <c r="DP371" s="174"/>
      <c r="DQ371" s="174"/>
      <c r="DR371" s="174"/>
      <c r="DS371" s="174"/>
      <c r="DT371" s="174"/>
      <c r="DU371" s="174"/>
      <c r="DV371" s="174"/>
      <c r="DW371" s="174"/>
      <c r="DX371" s="174"/>
      <c r="DY371" s="174"/>
      <c r="DZ371" s="174"/>
      <c r="EA371" s="174"/>
      <c r="EB371" s="174"/>
      <c r="EC371" s="174"/>
      <c r="ED371" s="174"/>
      <c r="EE371" s="174"/>
      <c r="EF371" s="174"/>
      <c r="EG371" s="156">
        <v>3.0</v>
      </c>
      <c r="EH371" s="156">
        <v>0.0</v>
      </c>
      <c r="EI371" s="156">
        <v>0.0</v>
      </c>
      <c r="EJ371" s="156">
        <v>0.0</v>
      </c>
      <c r="EK371" s="156">
        <v>0.0</v>
      </c>
      <c r="EL371" s="156">
        <v>0.0</v>
      </c>
      <c r="EM371" s="174"/>
      <c r="EN371" s="174"/>
      <c r="EO371" s="174"/>
      <c r="EP371" s="174"/>
      <c r="EQ371" s="174"/>
      <c r="ER371" s="174"/>
      <c r="ES371" s="175">
        <v>1.0</v>
      </c>
      <c r="ET371" s="174"/>
      <c r="EU371" s="174"/>
      <c r="EV371" s="174"/>
      <c r="EW371" s="175">
        <v>1.0</v>
      </c>
      <c r="EX371" s="174">
        <v>0.0</v>
      </c>
      <c r="EY371" s="174"/>
      <c r="EZ371" s="175">
        <v>1.0</v>
      </c>
      <c r="FA371" s="174"/>
      <c r="FB371" s="174"/>
      <c r="FC371" s="174"/>
      <c r="FD371" s="174"/>
      <c r="FE371" s="174"/>
      <c r="FF371" s="174"/>
      <c r="FG371" s="174"/>
      <c r="FH371" s="174"/>
      <c r="FI371" s="174"/>
      <c r="FJ371" s="174"/>
      <c r="FK371" s="174"/>
      <c r="FL371" s="174"/>
      <c r="FM371" s="174"/>
      <c r="FN371" s="174"/>
      <c r="FO371" s="174"/>
      <c r="FP371" s="174"/>
      <c r="FQ371" s="156">
        <v>3.0</v>
      </c>
      <c r="FR371" s="156">
        <v>0.0</v>
      </c>
      <c r="FS371" s="156">
        <v>0.0</v>
      </c>
      <c r="FT371" s="156">
        <v>0.0</v>
      </c>
      <c r="FU371" s="156">
        <v>0.0</v>
      </c>
      <c r="FV371" s="156">
        <v>0.0</v>
      </c>
      <c r="FW371" s="174"/>
      <c r="FX371" s="174"/>
      <c r="FY371" s="174"/>
      <c r="FZ371" s="174"/>
      <c r="GA371" s="174"/>
      <c r="GB371" s="174"/>
      <c r="GC371" s="174"/>
      <c r="GD371" s="174"/>
      <c r="GE371" s="174"/>
      <c r="GF371" s="174"/>
      <c r="GG371" s="174"/>
      <c r="GH371" s="174"/>
      <c r="GI371" s="174"/>
      <c r="GJ371" s="174"/>
      <c r="GK371" s="174"/>
      <c r="GL371" s="174"/>
      <c r="GM371" s="174"/>
      <c r="GN371" s="174"/>
      <c r="GO371" s="175">
        <v>1.0</v>
      </c>
      <c r="GP371" s="177"/>
      <c r="GQ371" s="175">
        <v>1.0</v>
      </c>
      <c r="GR371" s="174"/>
      <c r="GS371" s="174"/>
      <c r="GT371" s="174"/>
      <c r="GU371" s="174"/>
      <c r="GV371" s="174"/>
      <c r="GW371" s="174"/>
      <c r="GX371" s="175">
        <v>1.0</v>
      </c>
      <c r="GY371" s="174"/>
      <c r="GZ371" s="174"/>
      <c r="HA371" s="174"/>
      <c r="HB371" s="155">
        <v>5.0</v>
      </c>
      <c r="HC371" s="155">
        <v>0.0</v>
      </c>
      <c r="HD371" s="155">
        <v>0.0</v>
      </c>
      <c r="HE371" s="155">
        <v>1.0</v>
      </c>
      <c r="HF371" s="155">
        <v>0.0</v>
      </c>
      <c r="HG371" s="155">
        <v>0.0</v>
      </c>
      <c r="HK371" s="86">
        <v>1.0</v>
      </c>
      <c r="HP371" s="86">
        <v>1.0</v>
      </c>
      <c r="HY371" s="86">
        <v>1.0</v>
      </c>
      <c r="ID371" s="86" t="s">
        <v>947</v>
      </c>
      <c r="IF371" s="86">
        <v>1.0</v>
      </c>
      <c r="IL371" s="159">
        <v>3.0</v>
      </c>
      <c r="IM371" s="156">
        <v>0.0</v>
      </c>
      <c r="IN371" s="156">
        <v>0.0</v>
      </c>
      <c r="IO371" s="156">
        <v>0.0</v>
      </c>
      <c r="IP371" s="156">
        <v>0.0</v>
      </c>
      <c r="IQ371" s="160">
        <v>0.0</v>
      </c>
      <c r="IX371" s="86">
        <v>1.0</v>
      </c>
      <c r="JH371" s="25"/>
      <c r="JL371" s="86">
        <v>1.0</v>
      </c>
      <c r="JS371" s="86">
        <v>1.0</v>
      </c>
      <c r="JW371" s="159">
        <v>3.0</v>
      </c>
      <c r="JX371" s="156">
        <v>0.0</v>
      </c>
      <c r="JY371" s="156">
        <v>0.0</v>
      </c>
      <c r="JZ371" s="156">
        <v>0.0</v>
      </c>
      <c r="KA371" s="156">
        <v>0.0</v>
      </c>
      <c r="KB371" s="160">
        <v>0.0</v>
      </c>
      <c r="KF371" s="86">
        <v>1.0</v>
      </c>
      <c r="KS371" s="178"/>
      <c r="LA371" s="86">
        <v>1.0</v>
      </c>
      <c r="LC371" s="86">
        <v>1.0</v>
      </c>
      <c r="LH371" s="159">
        <f t="shared" si="10"/>
        <v>1</v>
      </c>
      <c r="LI371" s="156">
        <f t="shared" si="11"/>
        <v>0</v>
      </c>
      <c r="LJ371" s="156">
        <f t="shared" si="12"/>
        <v>0</v>
      </c>
      <c r="LK371" s="156">
        <f t="shared" si="13"/>
        <v>0</v>
      </c>
      <c r="LL371" s="156">
        <f t="shared" si="14"/>
        <v>0</v>
      </c>
      <c r="LM371" s="160">
        <f t="shared" si="15"/>
        <v>0</v>
      </c>
      <c r="LU371" s="189">
        <v>1.0</v>
      </c>
      <c r="QX371" s="107">
        <v>45948.0</v>
      </c>
    </row>
    <row r="372">
      <c r="A372" s="12"/>
      <c r="B372" s="12"/>
      <c r="C372" s="12"/>
      <c r="D372" s="12"/>
      <c r="E372" s="12"/>
      <c r="F372" s="12"/>
      <c r="G372" s="12"/>
      <c r="H372" s="12"/>
      <c r="I372" s="143">
        <f t="shared" si="5"/>
        <v>-30</v>
      </c>
      <c r="J372" s="144">
        <v>45950.0</v>
      </c>
      <c r="K372" s="145" t="s">
        <v>61</v>
      </c>
      <c r="L372" s="490">
        <v>46036.0</v>
      </c>
      <c r="M372" s="312" t="s">
        <v>107</v>
      </c>
      <c r="N372" s="313">
        <v>246.0</v>
      </c>
      <c r="O372" s="313">
        <v>45.0</v>
      </c>
      <c r="P372" s="314"/>
      <c r="Q372" s="314"/>
      <c r="R372" s="314"/>
      <c r="S372" s="314"/>
      <c r="T372" s="314"/>
      <c r="U372" s="312" t="s">
        <v>2373</v>
      </c>
      <c r="V372" s="491" t="s">
        <v>922</v>
      </c>
      <c r="W372" s="492" t="s">
        <v>3070</v>
      </c>
      <c r="X372" s="181">
        <v>28.0</v>
      </c>
      <c r="Y372" s="166">
        <f t="shared" si="6"/>
        <v>30</v>
      </c>
      <c r="Z372" s="26">
        <f t="shared" si="7"/>
        <v>0</v>
      </c>
      <c r="AA372" s="26">
        <f t="shared" si="8"/>
        <v>0</v>
      </c>
      <c r="AB372" s="26">
        <f t="shared" si="9"/>
        <v>0</v>
      </c>
      <c r="AC372" s="155">
        <v>2.0</v>
      </c>
      <c r="AD372" s="155">
        <v>0.0</v>
      </c>
      <c r="AE372" s="155">
        <v>0.0</v>
      </c>
      <c r="AF372" s="155">
        <v>0.0</v>
      </c>
      <c r="AG372" s="155">
        <v>0.0</v>
      </c>
      <c r="AH372" s="155">
        <v>0.0</v>
      </c>
      <c r="AI372" s="167"/>
      <c r="AJ372" s="167"/>
      <c r="AK372" s="167"/>
      <c r="AL372" s="167"/>
      <c r="AM372" s="167"/>
      <c r="AN372" s="167">
        <v>0.0</v>
      </c>
      <c r="AO372" s="167">
        <v>1.0</v>
      </c>
      <c r="AP372" s="167"/>
      <c r="AQ372" s="167"/>
      <c r="AR372" s="167"/>
      <c r="AS372" s="167"/>
      <c r="AT372" s="167">
        <v>1.0</v>
      </c>
      <c r="AU372" s="167"/>
      <c r="AV372" s="167"/>
      <c r="AW372" s="167"/>
      <c r="AX372" s="167"/>
      <c r="AY372" s="167"/>
      <c r="AZ372" s="167"/>
      <c r="BA372" s="167"/>
      <c r="BB372" s="167"/>
      <c r="BC372" s="167"/>
      <c r="BD372" s="167"/>
      <c r="BE372" s="167"/>
      <c r="BF372" s="167"/>
      <c r="BG372" s="167"/>
      <c r="BH372" s="167"/>
      <c r="BI372" s="167"/>
      <c r="BJ372" s="167"/>
      <c r="BK372" s="167"/>
      <c r="BL372" s="167"/>
      <c r="BM372" s="167"/>
      <c r="BN372" s="155">
        <v>0.0</v>
      </c>
      <c r="BO372" s="155">
        <v>0.0</v>
      </c>
      <c r="BP372" s="155">
        <v>0.0</v>
      </c>
      <c r="BQ372" s="155">
        <v>0.0</v>
      </c>
      <c r="BR372" s="155">
        <v>0.0</v>
      </c>
      <c r="BS372" s="155">
        <v>0.0</v>
      </c>
      <c r="CV372" s="156">
        <v>0.0</v>
      </c>
      <c r="CW372" s="156">
        <v>0.0</v>
      </c>
      <c r="CX372" s="156">
        <v>0.0</v>
      </c>
      <c r="CY372" s="156">
        <v>0.0</v>
      </c>
      <c r="CZ372" s="156">
        <v>0.0</v>
      </c>
      <c r="DA372" s="156">
        <v>0.0</v>
      </c>
      <c r="EG372" s="156">
        <v>0.0</v>
      </c>
      <c r="EH372" s="156">
        <v>0.0</v>
      </c>
      <c r="EI372" s="156">
        <v>0.0</v>
      </c>
      <c r="EJ372" s="156">
        <v>0.0</v>
      </c>
      <c r="EK372" s="156">
        <v>0.0</v>
      </c>
      <c r="EL372" s="156">
        <v>0.0</v>
      </c>
      <c r="FQ372" s="156">
        <v>0.0</v>
      </c>
      <c r="FR372" s="156">
        <v>0.0</v>
      </c>
      <c r="FS372" s="156">
        <v>0.0</v>
      </c>
      <c r="FT372" s="156">
        <v>0.0</v>
      </c>
      <c r="FU372" s="156">
        <v>0.0</v>
      </c>
      <c r="FV372" s="156">
        <v>0.0</v>
      </c>
      <c r="FW372" s="157"/>
      <c r="FX372" s="157"/>
      <c r="FY372" s="157"/>
      <c r="FZ372" s="157"/>
      <c r="GA372" s="157"/>
      <c r="GB372" s="157"/>
      <c r="GC372" s="157"/>
      <c r="GD372" s="157"/>
      <c r="GE372" s="157"/>
      <c r="GF372" s="157"/>
      <c r="GG372" s="157"/>
      <c r="GH372" s="157"/>
      <c r="GI372" s="157"/>
      <c r="GJ372" s="157"/>
      <c r="GK372" s="157"/>
      <c r="GL372" s="157"/>
      <c r="GM372" s="157"/>
      <c r="GN372" s="157"/>
      <c r="GO372" s="157"/>
      <c r="GP372" s="158"/>
      <c r="GQ372" s="157"/>
      <c r="GR372" s="157"/>
      <c r="GS372" s="157"/>
      <c r="GT372" s="157"/>
      <c r="GU372" s="157"/>
      <c r="GV372" s="157"/>
      <c r="GW372" s="157"/>
      <c r="GX372" s="157"/>
      <c r="GY372" s="157"/>
      <c r="GZ372" s="157"/>
      <c r="HA372" s="157"/>
      <c r="HB372" s="155">
        <v>0.0</v>
      </c>
      <c r="HC372" s="155">
        <v>0.0</v>
      </c>
      <c r="HD372" s="155">
        <v>0.0</v>
      </c>
      <c r="HE372" s="155">
        <v>0.0</v>
      </c>
      <c r="HF372" s="155">
        <v>0.0</v>
      </c>
      <c r="HG372" s="155">
        <v>0.0</v>
      </c>
      <c r="IL372" s="159">
        <v>0.0</v>
      </c>
      <c r="IM372" s="156">
        <v>0.0</v>
      </c>
      <c r="IN372" s="156">
        <v>0.0</v>
      </c>
      <c r="IO372" s="156">
        <v>0.0</v>
      </c>
      <c r="IP372" s="156">
        <v>0.0</v>
      </c>
      <c r="IQ372" s="160">
        <v>0.0</v>
      </c>
      <c r="JH372" s="25"/>
      <c r="JW372" s="159">
        <v>0.0</v>
      </c>
      <c r="JX372" s="156">
        <v>0.0</v>
      </c>
      <c r="JY372" s="156">
        <v>0.0</v>
      </c>
      <c r="JZ372" s="156">
        <v>0.0</v>
      </c>
      <c r="KA372" s="156">
        <v>0.0</v>
      </c>
      <c r="KB372" s="160">
        <v>0.0</v>
      </c>
      <c r="LH372" s="159">
        <f t="shared" si="10"/>
        <v>0</v>
      </c>
      <c r="LI372" s="156">
        <f t="shared" si="11"/>
        <v>0</v>
      </c>
      <c r="LJ372" s="156">
        <f t="shared" si="12"/>
        <v>0</v>
      </c>
      <c r="LK372" s="156">
        <f t="shared" si="13"/>
        <v>0</v>
      </c>
      <c r="LL372" s="156">
        <f t="shared" si="14"/>
        <v>0</v>
      </c>
      <c r="LM372" s="160">
        <f t="shared" si="15"/>
        <v>0</v>
      </c>
      <c r="QX372" s="107">
        <v>45948.0</v>
      </c>
    </row>
    <row r="373">
      <c r="A373" s="12"/>
      <c r="B373" s="12"/>
      <c r="C373" s="12"/>
      <c r="D373" s="12"/>
      <c r="E373" s="12"/>
      <c r="F373" s="12"/>
      <c r="G373" s="12"/>
      <c r="H373" s="12"/>
      <c r="I373" s="143">
        <f t="shared" si="5"/>
        <v>-30</v>
      </c>
      <c r="J373" s="144">
        <v>45950.0</v>
      </c>
      <c r="K373" s="145" t="s">
        <v>61</v>
      </c>
      <c r="L373" s="490">
        <v>46036.0</v>
      </c>
      <c r="M373" s="312" t="s">
        <v>107</v>
      </c>
      <c r="N373" s="313">
        <v>246.0</v>
      </c>
      <c r="O373" s="313">
        <v>45.0</v>
      </c>
      <c r="P373" s="314"/>
      <c r="Q373" s="314"/>
      <c r="R373" s="314"/>
      <c r="S373" s="314"/>
      <c r="T373" s="314"/>
      <c r="U373" s="312" t="s">
        <v>2373</v>
      </c>
      <c r="V373" s="491" t="s">
        <v>922</v>
      </c>
      <c r="W373" s="492" t="s">
        <v>3070</v>
      </c>
      <c r="X373" s="181">
        <v>28.0</v>
      </c>
      <c r="Y373" s="166">
        <f t="shared" si="6"/>
        <v>30</v>
      </c>
      <c r="Z373" s="26">
        <f t="shared" si="7"/>
        <v>0</v>
      </c>
      <c r="AA373" s="26">
        <f t="shared" si="8"/>
        <v>0</v>
      </c>
      <c r="AB373" s="26">
        <f t="shared" si="9"/>
        <v>0</v>
      </c>
      <c r="AC373" s="155">
        <v>2.0</v>
      </c>
      <c r="AD373" s="155">
        <v>0.0</v>
      </c>
      <c r="AE373" s="155">
        <v>0.0</v>
      </c>
      <c r="AF373" s="155">
        <v>0.0</v>
      </c>
      <c r="AG373" s="155">
        <v>0.0</v>
      </c>
      <c r="AH373" s="155">
        <v>0.0</v>
      </c>
      <c r="AI373" s="167"/>
      <c r="AJ373" s="167"/>
      <c r="AK373" s="167"/>
      <c r="AL373" s="167"/>
      <c r="AM373" s="167"/>
      <c r="AN373" s="167">
        <v>0.0</v>
      </c>
      <c r="AO373" s="167">
        <v>1.0</v>
      </c>
      <c r="AP373" s="167"/>
      <c r="AQ373" s="167"/>
      <c r="AR373" s="167"/>
      <c r="AS373" s="167"/>
      <c r="AT373" s="167">
        <v>1.0</v>
      </c>
      <c r="AU373" s="167"/>
      <c r="AV373" s="167"/>
      <c r="AW373" s="167"/>
      <c r="AX373" s="167"/>
      <c r="AY373" s="167"/>
      <c r="AZ373" s="167"/>
      <c r="BA373" s="167"/>
      <c r="BB373" s="167"/>
      <c r="BC373" s="167"/>
      <c r="BD373" s="167"/>
      <c r="BE373" s="167"/>
      <c r="BF373" s="167"/>
      <c r="BG373" s="167"/>
      <c r="BH373" s="167"/>
      <c r="BI373" s="167"/>
      <c r="BJ373" s="167"/>
      <c r="BK373" s="167"/>
      <c r="BL373" s="167"/>
      <c r="BM373" s="167"/>
      <c r="BN373" s="155">
        <v>0.0</v>
      </c>
      <c r="BO373" s="155">
        <v>0.0</v>
      </c>
      <c r="BP373" s="155">
        <v>0.0</v>
      </c>
      <c r="BQ373" s="155">
        <v>0.0</v>
      </c>
      <c r="BR373" s="155">
        <v>0.0</v>
      </c>
      <c r="BS373" s="155">
        <v>0.0</v>
      </c>
      <c r="CV373" s="156">
        <v>0.0</v>
      </c>
      <c r="CW373" s="156">
        <v>0.0</v>
      </c>
      <c r="CX373" s="156">
        <v>0.0</v>
      </c>
      <c r="CY373" s="156">
        <v>0.0</v>
      </c>
      <c r="CZ373" s="156">
        <v>0.0</v>
      </c>
      <c r="DA373" s="156">
        <v>0.0</v>
      </c>
      <c r="EG373" s="156">
        <v>0.0</v>
      </c>
      <c r="EH373" s="156">
        <v>0.0</v>
      </c>
      <c r="EI373" s="156">
        <v>0.0</v>
      </c>
      <c r="EJ373" s="156">
        <v>0.0</v>
      </c>
      <c r="EK373" s="156">
        <v>0.0</v>
      </c>
      <c r="EL373" s="156">
        <v>0.0</v>
      </c>
      <c r="FQ373" s="156">
        <v>0.0</v>
      </c>
      <c r="FR373" s="156">
        <v>0.0</v>
      </c>
      <c r="FS373" s="156">
        <v>0.0</v>
      </c>
      <c r="FT373" s="156">
        <v>0.0</v>
      </c>
      <c r="FU373" s="156">
        <v>0.0</v>
      </c>
      <c r="FV373" s="156">
        <v>0.0</v>
      </c>
      <c r="FW373" s="157"/>
      <c r="FX373" s="157"/>
      <c r="FY373" s="157"/>
      <c r="FZ373" s="157"/>
      <c r="GA373" s="157"/>
      <c r="GB373" s="157"/>
      <c r="GC373" s="157"/>
      <c r="GD373" s="157"/>
      <c r="GE373" s="157"/>
      <c r="GF373" s="157"/>
      <c r="GG373" s="157"/>
      <c r="GH373" s="157"/>
      <c r="GI373" s="157"/>
      <c r="GJ373" s="157"/>
      <c r="GK373" s="157"/>
      <c r="GL373" s="157"/>
      <c r="GM373" s="157"/>
      <c r="GN373" s="157"/>
      <c r="GO373" s="157"/>
      <c r="GP373" s="158"/>
      <c r="GQ373" s="157"/>
      <c r="GR373" s="157"/>
      <c r="GS373" s="157"/>
      <c r="GT373" s="157"/>
      <c r="GU373" s="157"/>
      <c r="GV373" s="157"/>
      <c r="GW373" s="157"/>
      <c r="GX373" s="157"/>
      <c r="GY373" s="157"/>
      <c r="GZ373" s="157"/>
      <c r="HA373" s="157"/>
      <c r="HB373" s="155">
        <v>0.0</v>
      </c>
      <c r="HC373" s="155">
        <v>0.0</v>
      </c>
      <c r="HD373" s="155">
        <v>0.0</v>
      </c>
      <c r="HE373" s="155">
        <v>0.0</v>
      </c>
      <c r="HF373" s="155">
        <v>0.0</v>
      </c>
      <c r="HG373" s="155">
        <v>0.0</v>
      </c>
      <c r="IL373" s="159">
        <v>0.0</v>
      </c>
      <c r="IM373" s="156">
        <v>0.0</v>
      </c>
      <c r="IN373" s="156">
        <v>0.0</v>
      </c>
      <c r="IO373" s="156">
        <v>0.0</v>
      </c>
      <c r="IP373" s="156">
        <v>0.0</v>
      </c>
      <c r="IQ373" s="160">
        <v>0.0</v>
      </c>
      <c r="JH373" s="25"/>
      <c r="JW373" s="159">
        <v>0.0</v>
      </c>
      <c r="JX373" s="156">
        <v>0.0</v>
      </c>
      <c r="JY373" s="156">
        <v>0.0</v>
      </c>
      <c r="JZ373" s="156">
        <v>0.0</v>
      </c>
      <c r="KA373" s="156">
        <v>0.0</v>
      </c>
      <c r="KB373" s="160">
        <v>0.0</v>
      </c>
      <c r="LH373" s="159">
        <f t="shared" si="10"/>
        <v>0</v>
      </c>
      <c r="LI373" s="156">
        <f t="shared" si="11"/>
        <v>0</v>
      </c>
      <c r="LJ373" s="156">
        <f t="shared" si="12"/>
        <v>0</v>
      </c>
      <c r="LK373" s="156">
        <f t="shared" si="13"/>
        <v>0</v>
      </c>
      <c r="LL373" s="156">
        <f t="shared" si="14"/>
        <v>0</v>
      </c>
      <c r="LM373" s="160">
        <f t="shared" si="15"/>
        <v>0</v>
      </c>
      <c r="QX373" s="107">
        <v>45950.0</v>
      </c>
    </row>
    <row r="374">
      <c r="A374" s="12"/>
      <c r="B374" s="12"/>
      <c r="C374" s="12"/>
      <c r="D374" s="12"/>
      <c r="E374" s="12"/>
      <c r="F374" s="12"/>
      <c r="G374" s="12"/>
      <c r="H374" s="12"/>
      <c r="I374" s="143">
        <f t="shared" si="5"/>
        <v>-9</v>
      </c>
      <c r="J374" s="144">
        <v>45950.0</v>
      </c>
      <c r="K374" s="173" t="s">
        <v>53</v>
      </c>
      <c r="L374" s="144">
        <v>45978.0</v>
      </c>
      <c r="M374" s="147" t="s">
        <v>1733</v>
      </c>
      <c r="N374" s="148">
        <v>246.0</v>
      </c>
      <c r="O374" s="148">
        <v>30.0</v>
      </c>
      <c r="P374" s="26"/>
      <c r="Q374" s="26"/>
      <c r="R374" s="26"/>
      <c r="S374" s="26"/>
      <c r="T374" s="26"/>
      <c r="U374" s="147" t="s">
        <v>3121</v>
      </c>
      <c r="V374" s="149" t="s">
        <v>2893</v>
      </c>
      <c r="W374" s="198" t="s">
        <v>3122</v>
      </c>
      <c r="X374" s="181">
        <v>9.0</v>
      </c>
      <c r="Y374" s="166">
        <f t="shared" si="6"/>
        <v>9</v>
      </c>
      <c r="Z374" s="26">
        <f t="shared" si="7"/>
        <v>0</v>
      </c>
      <c r="AA374" s="26">
        <f t="shared" si="8"/>
        <v>0</v>
      </c>
      <c r="AB374" s="26">
        <f t="shared" si="9"/>
        <v>0</v>
      </c>
      <c r="AC374" s="155">
        <v>0.0</v>
      </c>
      <c r="AD374" s="155">
        <v>0.0</v>
      </c>
      <c r="AE374" s="155">
        <v>0.0</v>
      </c>
      <c r="AF374" s="155">
        <v>0.0</v>
      </c>
      <c r="AG374" s="155">
        <v>0.0</v>
      </c>
      <c r="AH374" s="155">
        <v>0.0</v>
      </c>
      <c r="BN374" s="155">
        <v>0.0</v>
      </c>
      <c r="BO374" s="155">
        <v>0.0</v>
      </c>
      <c r="BP374" s="155">
        <v>0.0</v>
      </c>
      <c r="BQ374" s="155">
        <v>0.0</v>
      </c>
      <c r="BR374" s="155">
        <v>0.0</v>
      </c>
      <c r="BS374" s="155">
        <v>0.0</v>
      </c>
      <c r="CV374" s="156">
        <v>0.0</v>
      </c>
      <c r="CW374" s="156">
        <v>0.0</v>
      </c>
      <c r="CX374" s="156">
        <v>0.0</v>
      </c>
      <c r="CY374" s="156">
        <v>0.0</v>
      </c>
      <c r="CZ374" s="156">
        <v>0.0</v>
      </c>
      <c r="DA374" s="156">
        <v>0.0</v>
      </c>
      <c r="EG374" s="156">
        <v>0.0</v>
      </c>
      <c r="EH374" s="156">
        <v>0.0</v>
      </c>
      <c r="EI374" s="156">
        <v>0.0</v>
      </c>
      <c r="EJ374" s="156">
        <v>0.0</v>
      </c>
      <c r="EK374" s="156">
        <v>0.0</v>
      </c>
      <c r="EL374" s="156">
        <v>0.0</v>
      </c>
      <c r="FQ374" s="156">
        <v>0.0</v>
      </c>
      <c r="FR374" s="156">
        <v>0.0</v>
      </c>
      <c r="FS374" s="156">
        <v>0.0</v>
      </c>
      <c r="FT374" s="156">
        <v>0.0</v>
      </c>
      <c r="FU374" s="156">
        <v>0.0</v>
      </c>
      <c r="FV374" s="156">
        <v>0.0</v>
      </c>
      <c r="FW374" s="157"/>
      <c r="FX374" s="157"/>
      <c r="FY374" s="157"/>
      <c r="FZ374" s="157"/>
      <c r="GA374" s="157"/>
      <c r="GB374" s="157"/>
      <c r="GC374" s="157"/>
      <c r="GD374" s="157"/>
      <c r="GE374" s="157"/>
      <c r="GF374" s="157"/>
      <c r="GG374" s="157"/>
      <c r="GH374" s="157"/>
      <c r="GI374" s="157"/>
      <c r="GJ374" s="157"/>
      <c r="GK374" s="157"/>
      <c r="GL374" s="157"/>
      <c r="GM374" s="157"/>
      <c r="GN374" s="157"/>
      <c r="GO374" s="157"/>
      <c r="GP374" s="158"/>
      <c r="GQ374" s="157"/>
      <c r="GR374" s="157"/>
      <c r="GS374" s="157"/>
      <c r="GT374" s="157"/>
      <c r="GU374" s="157"/>
      <c r="GV374" s="157"/>
      <c r="GW374" s="157"/>
      <c r="GX374" s="157"/>
      <c r="GY374" s="157"/>
      <c r="GZ374" s="157"/>
      <c r="HA374" s="157"/>
      <c r="HB374" s="155">
        <v>0.0</v>
      </c>
      <c r="HC374" s="155">
        <v>0.0</v>
      </c>
      <c r="HD374" s="155">
        <v>0.0</v>
      </c>
      <c r="HE374" s="155">
        <v>0.0</v>
      </c>
      <c r="HF374" s="155">
        <v>0.0</v>
      </c>
      <c r="HG374" s="155">
        <v>0.0</v>
      </c>
      <c r="IL374" s="159">
        <v>0.0</v>
      </c>
      <c r="IM374" s="156">
        <v>0.0</v>
      </c>
      <c r="IN374" s="156">
        <v>0.0</v>
      </c>
      <c r="IO374" s="156">
        <v>0.0</v>
      </c>
      <c r="IP374" s="156">
        <v>0.0</v>
      </c>
      <c r="IQ374" s="160">
        <v>0.0</v>
      </c>
      <c r="JH374" s="25"/>
      <c r="JW374" s="159">
        <v>0.0</v>
      </c>
      <c r="JX374" s="156">
        <v>0.0</v>
      </c>
      <c r="JY374" s="156">
        <v>0.0</v>
      </c>
      <c r="JZ374" s="156">
        <v>0.0</v>
      </c>
      <c r="KA374" s="156">
        <v>0.0</v>
      </c>
      <c r="KB374" s="160">
        <v>0.0</v>
      </c>
      <c r="LH374" s="159">
        <f t="shared" si="10"/>
        <v>0</v>
      </c>
      <c r="LI374" s="156">
        <f t="shared" si="11"/>
        <v>0</v>
      </c>
      <c r="LJ374" s="156">
        <f t="shared" si="12"/>
        <v>0</v>
      </c>
      <c r="LK374" s="156">
        <f t="shared" si="13"/>
        <v>0</v>
      </c>
      <c r="LL374" s="156">
        <f t="shared" si="14"/>
        <v>0</v>
      </c>
      <c r="LM374" s="160">
        <f t="shared" si="15"/>
        <v>0</v>
      </c>
      <c r="QX374" s="107">
        <v>45950.0</v>
      </c>
    </row>
    <row r="375">
      <c r="A375" s="25"/>
      <c r="B375" s="25"/>
      <c r="C375" s="25"/>
      <c r="D375" s="25"/>
      <c r="E375" s="25"/>
      <c r="F375" s="25"/>
      <c r="G375" s="25"/>
      <c r="H375" s="25"/>
      <c r="I375" s="143">
        <f t="shared" si="5"/>
        <v>-30</v>
      </c>
      <c r="J375" s="144">
        <v>45953.0</v>
      </c>
      <c r="K375" s="145" t="s">
        <v>61</v>
      </c>
      <c r="L375" s="171">
        <v>46037.0</v>
      </c>
      <c r="M375" s="147" t="s">
        <v>3123</v>
      </c>
      <c r="N375" s="148">
        <v>357.0</v>
      </c>
      <c r="O375" s="148">
        <v>30.0</v>
      </c>
      <c r="P375" s="26"/>
      <c r="Q375" s="26"/>
      <c r="R375" s="26"/>
      <c r="S375" s="26"/>
      <c r="T375" s="26"/>
      <c r="U375" s="147" t="s">
        <v>3124</v>
      </c>
      <c r="V375" s="149" t="s">
        <v>2801</v>
      </c>
      <c r="W375" s="150" t="s">
        <v>3125</v>
      </c>
      <c r="X375" s="181">
        <v>28.0</v>
      </c>
      <c r="Y375" s="166">
        <f t="shared" si="6"/>
        <v>30</v>
      </c>
      <c r="Z375" s="26">
        <f t="shared" si="7"/>
        <v>0</v>
      </c>
      <c r="AA375" s="26">
        <f t="shared" si="8"/>
        <v>0</v>
      </c>
      <c r="AB375" s="26">
        <f t="shared" si="9"/>
        <v>0</v>
      </c>
      <c r="AC375" s="155">
        <v>2.0</v>
      </c>
      <c r="AD375" s="155">
        <v>0.0</v>
      </c>
      <c r="AE375" s="155">
        <v>0.0</v>
      </c>
      <c r="AF375" s="155">
        <v>0.0</v>
      </c>
      <c r="AG375" s="155">
        <v>0.0</v>
      </c>
      <c r="AH375" s="155">
        <v>0.0</v>
      </c>
      <c r="AI375" s="167"/>
      <c r="AJ375" s="167"/>
      <c r="AK375" s="167"/>
      <c r="AL375" s="167"/>
      <c r="AM375" s="167"/>
      <c r="AN375" s="168">
        <v>1.0</v>
      </c>
      <c r="AO375" s="167"/>
      <c r="AP375" s="168">
        <v>1.0</v>
      </c>
      <c r="AQ375" s="167"/>
      <c r="AR375" s="167"/>
      <c r="AS375" s="167"/>
      <c r="AT375" s="167"/>
      <c r="AU375" s="167"/>
      <c r="AV375" s="167"/>
      <c r="AW375" s="167"/>
      <c r="AX375" s="167"/>
      <c r="AY375" s="167"/>
      <c r="AZ375" s="167"/>
      <c r="BA375" s="167"/>
      <c r="BB375" s="167"/>
      <c r="BC375" s="167"/>
      <c r="BD375" s="167"/>
      <c r="BE375" s="167"/>
      <c r="BF375" s="167"/>
      <c r="BG375" s="167"/>
      <c r="BH375" s="167"/>
      <c r="BI375" s="167"/>
      <c r="BJ375" s="167"/>
      <c r="BK375" s="167"/>
      <c r="BL375" s="167"/>
      <c r="BM375" s="167"/>
      <c r="BN375" s="155">
        <v>0.0</v>
      </c>
      <c r="BO375" s="155">
        <v>0.0</v>
      </c>
      <c r="BP375" s="155">
        <v>0.0</v>
      </c>
      <c r="BQ375" s="155">
        <v>0.0</v>
      </c>
      <c r="BR375" s="155">
        <v>0.0</v>
      </c>
      <c r="BS375" s="155">
        <v>0.0</v>
      </c>
      <c r="CV375" s="156">
        <v>0.0</v>
      </c>
      <c r="CW375" s="156">
        <v>0.0</v>
      </c>
      <c r="CX375" s="156">
        <v>0.0</v>
      </c>
      <c r="CY375" s="156">
        <v>0.0</v>
      </c>
      <c r="CZ375" s="156">
        <v>0.0</v>
      </c>
      <c r="DA375" s="156">
        <v>0.0</v>
      </c>
      <c r="EG375" s="156">
        <v>0.0</v>
      </c>
      <c r="EH375" s="156">
        <v>0.0</v>
      </c>
      <c r="EI375" s="156">
        <v>0.0</v>
      </c>
      <c r="EJ375" s="156">
        <v>0.0</v>
      </c>
      <c r="EK375" s="156">
        <v>0.0</v>
      </c>
      <c r="EL375" s="156">
        <v>0.0</v>
      </c>
      <c r="FQ375" s="156">
        <v>0.0</v>
      </c>
      <c r="FR375" s="156">
        <v>0.0</v>
      </c>
      <c r="FS375" s="156">
        <v>0.0</v>
      </c>
      <c r="FT375" s="156">
        <v>0.0</v>
      </c>
      <c r="FU375" s="156">
        <v>0.0</v>
      </c>
      <c r="FV375" s="156">
        <v>0.0</v>
      </c>
      <c r="FW375" s="157"/>
      <c r="FX375" s="157"/>
      <c r="FY375" s="157"/>
      <c r="FZ375" s="157"/>
      <c r="GA375" s="157"/>
      <c r="GB375" s="157"/>
      <c r="GC375" s="157"/>
      <c r="GD375" s="157"/>
      <c r="GE375" s="157"/>
      <c r="GF375" s="157"/>
      <c r="GG375" s="157"/>
      <c r="GH375" s="157"/>
      <c r="GI375" s="157"/>
      <c r="GJ375" s="157"/>
      <c r="GK375" s="157"/>
      <c r="GL375" s="157"/>
      <c r="GM375" s="157"/>
      <c r="GN375" s="157"/>
      <c r="GO375" s="157"/>
      <c r="GP375" s="158"/>
      <c r="GQ375" s="157"/>
      <c r="GR375" s="157"/>
      <c r="GS375" s="157"/>
      <c r="GT375" s="157"/>
      <c r="GU375" s="157"/>
      <c r="GV375" s="157"/>
      <c r="GW375" s="157"/>
      <c r="GX375" s="157"/>
      <c r="GY375" s="157"/>
      <c r="GZ375" s="157"/>
      <c r="HA375" s="157"/>
      <c r="HB375" s="155">
        <v>0.0</v>
      </c>
      <c r="HC375" s="155">
        <v>0.0</v>
      </c>
      <c r="HD375" s="155">
        <v>0.0</v>
      </c>
      <c r="HE375" s="155">
        <v>0.0</v>
      </c>
      <c r="HF375" s="155">
        <v>0.0</v>
      </c>
      <c r="HG375" s="155">
        <v>0.0</v>
      </c>
      <c r="IL375" s="159">
        <v>0.0</v>
      </c>
      <c r="IM375" s="156">
        <v>0.0</v>
      </c>
      <c r="IN375" s="156">
        <v>0.0</v>
      </c>
      <c r="IO375" s="156">
        <v>0.0</v>
      </c>
      <c r="IP375" s="156">
        <v>0.0</v>
      </c>
      <c r="IQ375" s="160">
        <v>0.0</v>
      </c>
      <c r="JH375" s="25"/>
      <c r="JW375" s="159">
        <v>0.0</v>
      </c>
      <c r="JX375" s="156">
        <v>0.0</v>
      </c>
      <c r="JY375" s="156">
        <v>0.0</v>
      </c>
      <c r="JZ375" s="156">
        <v>0.0</v>
      </c>
      <c r="KA375" s="156">
        <v>0.0</v>
      </c>
      <c r="KB375" s="160">
        <v>0.0</v>
      </c>
      <c r="LH375" s="159">
        <f t="shared" si="10"/>
        <v>0</v>
      </c>
      <c r="LI375" s="156">
        <f t="shared" si="11"/>
        <v>0</v>
      </c>
      <c r="LJ375" s="156">
        <f t="shared" si="12"/>
        <v>0</v>
      </c>
      <c r="LK375" s="156">
        <f t="shared" si="13"/>
        <v>0</v>
      </c>
      <c r="LL375" s="156">
        <f t="shared" si="14"/>
        <v>0</v>
      </c>
      <c r="LM375" s="160">
        <f t="shared" si="15"/>
        <v>0</v>
      </c>
      <c r="QX375" s="107">
        <v>45951.0</v>
      </c>
    </row>
    <row r="376">
      <c r="A376" s="126"/>
      <c r="B376" s="126"/>
      <c r="C376" s="12"/>
      <c r="D376" s="12"/>
      <c r="E376" s="12"/>
      <c r="F376" s="12"/>
      <c r="G376" s="12"/>
      <c r="H376" s="12"/>
      <c r="I376" s="143">
        <f t="shared" si="5"/>
        <v>-30</v>
      </c>
      <c r="J376" s="144">
        <v>45952.0</v>
      </c>
      <c r="K376" s="145" t="s">
        <v>61</v>
      </c>
      <c r="L376" s="171">
        <v>46040.0</v>
      </c>
      <c r="M376" s="147" t="s">
        <v>400</v>
      </c>
      <c r="N376" s="148">
        <v>246.0</v>
      </c>
      <c r="O376" s="148">
        <v>30.0</v>
      </c>
      <c r="P376" s="26"/>
      <c r="Q376" s="26"/>
      <c r="R376" s="26"/>
      <c r="S376" s="26"/>
      <c r="T376" s="26"/>
      <c r="U376" s="147" t="s">
        <v>3126</v>
      </c>
      <c r="V376" s="149" t="s">
        <v>3117</v>
      </c>
      <c r="W376" s="198" t="s">
        <v>3127</v>
      </c>
      <c r="X376" s="181">
        <v>25.0</v>
      </c>
      <c r="Y376" s="166">
        <f t="shared" si="6"/>
        <v>30</v>
      </c>
      <c r="Z376" s="26">
        <f t="shared" si="7"/>
        <v>0</v>
      </c>
      <c r="AA376" s="26">
        <f t="shared" si="8"/>
        <v>0</v>
      </c>
      <c r="AB376" s="26">
        <f t="shared" si="9"/>
        <v>0</v>
      </c>
      <c r="AC376" s="155">
        <v>5.0</v>
      </c>
      <c r="AD376" s="155">
        <v>0.0</v>
      </c>
      <c r="AE376" s="155">
        <v>0.0</v>
      </c>
      <c r="AF376" s="155">
        <v>0.0</v>
      </c>
      <c r="AG376" s="155">
        <v>0.0</v>
      </c>
      <c r="AH376" s="155">
        <v>0.0</v>
      </c>
      <c r="AI376" s="167"/>
      <c r="AJ376" s="167"/>
      <c r="AK376" s="167"/>
      <c r="AL376" s="167"/>
      <c r="AM376" s="167"/>
      <c r="AN376" s="167"/>
      <c r="AO376" s="167"/>
      <c r="AP376" s="167"/>
      <c r="AQ376" s="167">
        <v>1.0</v>
      </c>
      <c r="AR376" s="167">
        <v>0.0</v>
      </c>
      <c r="AS376" s="167">
        <v>0.0</v>
      </c>
      <c r="AT376" s="167">
        <v>1.0</v>
      </c>
      <c r="AU376" s="167">
        <v>0.0</v>
      </c>
      <c r="AV376" s="167">
        <v>1.0</v>
      </c>
      <c r="AW376" s="167">
        <v>0.0</v>
      </c>
      <c r="AX376" s="167">
        <v>1.0</v>
      </c>
      <c r="AY376" s="167"/>
      <c r="AZ376" s="167"/>
      <c r="BA376" s="168">
        <v>1.0</v>
      </c>
      <c r="BB376" s="167"/>
      <c r="BC376" s="167"/>
      <c r="BD376" s="167"/>
      <c r="BE376" s="167"/>
      <c r="BF376" s="167"/>
      <c r="BG376" s="167"/>
      <c r="BH376" s="167"/>
      <c r="BI376" s="167"/>
      <c r="BJ376" s="167"/>
      <c r="BK376" s="167"/>
      <c r="BL376" s="167"/>
      <c r="BM376" s="167"/>
      <c r="BN376" s="155">
        <v>0.0</v>
      </c>
      <c r="BO376" s="155">
        <v>0.0</v>
      </c>
      <c r="BP376" s="155">
        <v>0.0</v>
      </c>
      <c r="BQ376" s="155">
        <v>0.0</v>
      </c>
      <c r="BR376" s="155">
        <v>0.0</v>
      </c>
      <c r="BS376" s="155">
        <v>0.0</v>
      </c>
      <c r="CV376" s="156">
        <v>0.0</v>
      </c>
      <c r="CW376" s="156">
        <v>0.0</v>
      </c>
      <c r="CX376" s="156">
        <v>0.0</v>
      </c>
      <c r="CY376" s="156">
        <v>0.0</v>
      </c>
      <c r="CZ376" s="156">
        <v>0.0</v>
      </c>
      <c r="DA376" s="156">
        <v>0.0</v>
      </c>
      <c r="EG376" s="156">
        <v>0.0</v>
      </c>
      <c r="EH376" s="156">
        <v>0.0</v>
      </c>
      <c r="EI376" s="156">
        <v>0.0</v>
      </c>
      <c r="EJ376" s="156">
        <v>0.0</v>
      </c>
      <c r="EK376" s="156">
        <v>0.0</v>
      </c>
      <c r="EL376" s="156">
        <v>0.0</v>
      </c>
      <c r="FQ376" s="156">
        <v>0.0</v>
      </c>
      <c r="FR376" s="156">
        <v>0.0</v>
      </c>
      <c r="FS376" s="156">
        <v>0.0</v>
      </c>
      <c r="FT376" s="156">
        <v>0.0</v>
      </c>
      <c r="FU376" s="156">
        <v>0.0</v>
      </c>
      <c r="FV376" s="156">
        <v>0.0</v>
      </c>
      <c r="FW376" s="157"/>
      <c r="FX376" s="157"/>
      <c r="FY376" s="157"/>
      <c r="FZ376" s="157"/>
      <c r="GA376" s="157"/>
      <c r="GB376" s="157"/>
      <c r="GC376" s="157"/>
      <c r="GD376" s="157"/>
      <c r="GE376" s="157"/>
      <c r="GF376" s="157"/>
      <c r="GG376" s="157"/>
      <c r="GH376" s="157"/>
      <c r="GI376" s="157"/>
      <c r="GJ376" s="157"/>
      <c r="GK376" s="157"/>
      <c r="GL376" s="157"/>
      <c r="GM376" s="157"/>
      <c r="GN376" s="157"/>
      <c r="GO376" s="157"/>
      <c r="GP376" s="158"/>
      <c r="GQ376" s="157"/>
      <c r="GR376" s="157"/>
      <c r="GS376" s="157"/>
      <c r="GT376" s="157"/>
      <c r="GU376" s="157"/>
      <c r="GV376" s="157"/>
      <c r="GW376" s="157"/>
      <c r="GX376" s="157"/>
      <c r="GY376" s="157"/>
      <c r="GZ376" s="157"/>
      <c r="HA376" s="157"/>
      <c r="HB376" s="155">
        <v>0.0</v>
      </c>
      <c r="HC376" s="155">
        <v>0.0</v>
      </c>
      <c r="HD376" s="155">
        <v>0.0</v>
      </c>
      <c r="HE376" s="155">
        <v>0.0</v>
      </c>
      <c r="HF376" s="155">
        <v>0.0</v>
      </c>
      <c r="HG376" s="155">
        <v>0.0</v>
      </c>
      <c r="IL376" s="159">
        <v>0.0</v>
      </c>
      <c r="IM376" s="156">
        <v>0.0</v>
      </c>
      <c r="IN376" s="156">
        <v>0.0</v>
      </c>
      <c r="IO376" s="156">
        <v>0.0</v>
      </c>
      <c r="IP376" s="156">
        <v>0.0</v>
      </c>
      <c r="IQ376" s="160">
        <v>0.0</v>
      </c>
      <c r="JH376" s="25"/>
      <c r="JW376" s="159">
        <v>0.0</v>
      </c>
      <c r="JX376" s="156">
        <v>0.0</v>
      </c>
      <c r="JY376" s="156">
        <v>0.0</v>
      </c>
      <c r="JZ376" s="156">
        <v>0.0</v>
      </c>
      <c r="KA376" s="156">
        <v>0.0</v>
      </c>
      <c r="KB376" s="160">
        <v>0.0</v>
      </c>
      <c r="LH376" s="159">
        <f t="shared" si="10"/>
        <v>0</v>
      </c>
      <c r="LI376" s="156">
        <f t="shared" si="11"/>
        <v>0</v>
      </c>
      <c r="LJ376" s="156">
        <f t="shared" si="12"/>
        <v>0</v>
      </c>
      <c r="LK376" s="156">
        <f t="shared" si="13"/>
        <v>0</v>
      </c>
      <c r="LL376" s="156">
        <f t="shared" si="14"/>
        <v>0</v>
      </c>
      <c r="LM376" s="160">
        <f t="shared" si="15"/>
        <v>0</v>
      </c>
      <c r="QX376" s="107">
        <v>45951.0</v>
      </c>
    </row>
    <row r="377">
      <c r="A377" s="126"/>
      <c r="B377" s="126"/>
      <c r="C377" s="12"/>
      <c r="D377" s="12"/>
      <c r="E377" s="12"/>
      <c r="F377" s="12"/>
      <c r="G377" s="12"/>
      <c r="H377" s="12"/>
      <c r="I377" s="143">
        <f t="shared" si="5"/>
        <v>-30</v>
      </c>
      <c r="J377" s="295">
        <v>45952.0</v>
      </c>
      <c r="K377" s="294" t="s">
        <v>53</v>
      </c>
      <c r="L377" s="297">
        <v>46227.0</v>
      </c>
      <c r="M377" s="147" t="s">
        <v>3128</v>
      </c>
      <c r="N377" s="148">
        <v>247.0</v>
      </c>
      <c r="O377" s="148">
        <v>30.0</v>
      </c>
      <c r="P377" s="26"/>
      <c r="Q377" s="26"/>
      <c r="R377" s="26"/>
      <c r="S377" s="26"/>
      <c r="T377" s="26"/>
      <c r="U377" s="147" t="s">
        <v>447</v>
      </c>
      <c r="V377" s="149" t="s">
        <v>613</v>
      </c>
      <c r="W377" s="198" t="s">
        <v>3129</v>
      </c>
      <c r="X377" s="181">
        <v>28.0</v>
      </c>
      <c r="Y377" s="166">
        <f t="shared" si="6"/>
        <v>30</v>
      </c>
      <c r="Z377" s="26">
        <f t="shared" si="7"/>
        <v>0</v>
      </c>
      <c r="AA377" s="26">
        <f t="shared" si="8"/>
        <v>0</v>
      </c>
      <c r="AB377" s="26">
        <f t="shared" si="9"/>
        <v>0</v>
      </c>
      <c r="AC377" s="155">
        <v>2.0</v>
      </c>
      <c r="AD377" s="155">
        <v>0.0</v>
      </c>
      <c r="AE377" s="155">
        <v>0.0</v>
      </c>
      <c r="AF377" s="155">
        <v>0.0</v>
      </c>
      <c r="AG377" s="155">
        <v>0.0</v>
      </c>
      <c r="AH377" s="155">
        <v>0.0</v>
      </c>
      <c r="AM377" s="86">
        <v>1.0</v>
      </c>
      <c r="AO377" s="86">
        <v>1.0</v>
      </c>
      <c r="BN377" s="155">
        <v>0.0</v>
      </c>
      <c r="BO377" s="155">
        <v>0.0</v>
      </c>
      <c r="BP377" s="155">
        <v>0.0</v>
      </c>
      <c r="BQ377" s="155">
        <v>0.0</v>
      </c>
      <c r="BR377" s="155">
        <v>0.0</v>
      </c>
      <c r="BS377" s="155">
        <v>0.0</v>
      </c>
      <c r="CV377" s="156">
        <v>0.0</v>
      </c>
      <c r="CW377" s="156">
        <v>0.0</v>
      </c>
      <c r="CX377" s="156">
        <v>0.0</v>
      </c>
      <c r="CY377" s="156">
        <v>0.0</v>
      </c>
      <c r="CZ377" s="156">
        <v>0.0</v>
      </c>
      <c r="DA377" s="156">
        <v>0.0</v>
      </c>
      <c r="EG377" s="156">
        <v>0.0</v>
      </c>
      <c r="EH377" s="156">
        <v>0.0</v>
      </c>
      <c r="EI377" s="156">
        <v>0.0</v>
      </c>
      <c r="EJ377" s="156">
        <v>0.0</v>
      </c>
      <c r="EK377" s="156">
        <v>0.0</v>
      </c>
      <c r="EL377" s="156">
        <v>0.0</v>
      </c>
      <c r="FQ377" s="156">
        <v>0.0</v>
      </c>
      <c r="FR377" s="156">
        <v>0.0</v>
      </c>
      <c r="FS377" s="156">
        <v>0.0</v>
      </c>
      <c r="FT377" s="156">
        <v>0.0</v>
      </c>
      <c r="FU377" s="156">
        <v>0.0</v>
      </c>
      <c r="FV377" s="156">
        <v>0.0</v>
      </c>
      <c r="FW377" s="157"/>
      <c r="FX377" s="157"/>
      <c r="FY377" s="157"/>
      <c r="FZ377" s="157"/>
      <c r="GA377" s="157"/>
      <c r="GB377" s="157"/>
      <c r="GC377" s="157"/>
      <c r="GD377" s="157"/>
      <c r="GE377" s="157"/>
      <c r="GF377" s="157"/>
      <c r="GG377" s="157"/>
      <c r="GH377" s="157"/>
      <c r="GI377" s="157"/>
      <c r="GJ377" s="157"/>
      <c r="GK377" s="157"/>
      <c r="GL377" s="157"/>
      <c r="GM377" s="157"/>
      <c r="GN377" s="157"/>
      <c r="GO377" s="157"/>
      <c r="GP377" s="158"/>
      <c r="GQ377" s="157"/>
      <c r="GR377" s="157"/>
      <c r="GS377" s="157"/>
      <c r="GT377" s="157"/>
      <c r="GU377" s="157"/>
      <c r="GV377" s="157"/>
      <c r="GW377" s="157"/>
      <c r="GX377" s="157"/>
      <c r="GY377" s="157"/>
      <c r="GZ377" s="157"/>
      <c r="HA377" s="157"/>
      <c r="HB377" s="155">
        <v>0.0</v>
      </c>
      <c r="HC377" s="155">
        <v>0.0</v>
      </c>
      <c r="HD377" s="155">
        <v>0.0</v>
      </c>
      <c r="HE377" s="155">
        <v>0.0</v>
      </c>
      <c r="HF377" s="155">
        <v>0.0</v>
      </c>
      <c r="HG377" s="155">
        <v>0.0</v>
      </c>
      <c r="IL377" s="159">
        <v>0.0</v>
      </c>
      <c r="IM377" s="156">
        <v>0.0</v>
      </c>
      <c r="IN377" s="156">
        <v>0.0</v>
      </c>
      <c r="IO377" s="156">
        <v>0.0</v>
      </c>
      <c r="IP377" s="156">
        <v>0.0</v>
      </c>
      <c r="IQ377" s="160">
        <v>0.0</v>
      </c>
      <c r="JH377" s="25"/>
      <c r="JW377" s="159">
        <v>0.0</v>
      </c>
      <c r="JX377" s="156">
        <v>0.0</v>
      </c>
      <c r="JY377" s="156">
        <v>0.0</v>
      </c>
      <c r="JZ377" s="156">
        <v>0.0</v>
      </c>
      <c r="KA377" s="156">
        <v>0.0</v>
      </c>
      <c r="KB377" s="160">
        <v>0.0</v>
      </c>
      <c r="LH377" s="159">
        <f t="shared" si="10"/>
        <v>0</v>
      </c>
      <c r="LI377" s="156">
        <f t="shared" si="11"/>
        <v>0</v>
      </c>
      <c r="LJ377" s="156">
        <f t="shared" si="12"/>
        <v>0</v>
      </c>
      <c r="LK377" s="156">
        <f t="shared" si="13"/>
        <v>0</v>
      </c>
      <c r="LL377" s="156">
        <f t="shared" si="14"/>
        <v>0</v>
      </c>
      <c r="LM377" s="160">
        <f t="shared" si="15"/>
        <v>0</v>
      </c>
      <c r="QX377" s="107">
        <v>45951.0</v>
      </c>
    </row>
    <row r="378">
      <c r="A378" s="12"/>
      <c r="B378" s="12"/>
      <c r="C378" s="12"/>
      <c r="D378" s="12"/>
      <c r="E378" s="12"/>
      <c r="F378" s="12"/>
      <c r="G378" s="12"/>
      <c r="H378" s="12"/>
      <c r="I378" s="143">
        <f t="shared" si="5"/>
        <v>-30</v>
      </c>
      <c r="J378" s="144">
        <v>45954.0</v>
      </c>
      <c r="K378" s="180" t="s">
        <v>61</v>
      </c>
      <c r="L378" s="171">
        <v>46050.0</v>
      </c>
      <c r="M378" s="147" t="s">
        <v>1243</v>
      </c>
      <c r="N378" s="148">
        <v>246.0</v>
      </c>
      <c r="O378" s="148">
        <v>30.0</v>
      </c>
      <c r="P378" s="26"/>
      <c r="Q378" s="26"/>
      <c r="R378" s="26"/>
      <c r="S378" s="26"/>
      <c r="T378" s="26"/>
      <c r="U378" s="147" t="s">
        <v>3130</v>
      </c>
      <c r="V378" s="149" t="s">
        <v>3131</v>
      </c>
      <c r="W378" s="198" t="s">
        <v>3132</v>
      </c>
      <c r="X378" s="181">
        <v>22.0</v>
      </c>
      <c r="Y378" s="166">
        <f t="shared" si="6"/>
        <v>30</v>
      </c>
      <c r="Z378" s="26">
        <f t="shared" si="7"/>
        <v>0</v>
      </c>
      <c r="AA378" s="26">
        <f t="shared" si="8"/>
        <v>0</v>
      </c>
      <c r="AB378" s="26">
        <f t="shared" si="9"/>
        <v>0</v>
      </c>
      <c r="AC378" s="155">
        <v>8.0</v>
      </c>
      <c r="AD378" s="155">
        <v>0.0</v>
      </c>
      <c r="AE378" s="155">
        <v>0.0</v>
      </c>
      <c r="AF378" s="155">
        <v>0.0</v>
      </c>
      <c r="AG378" s="155">
        <v>0.0</v>
      </c>
      <c r="AH378" s="155">
        <v>0.0</v>
      </c>
      <c r="AI378" s="167"/>
      <c r="AJ378" s="167"/>
      <c r="AK378" s="167"/>
      <c r="AL378" s="167"/>
      <c r="AM378" s="167"/>
      <c r="AN378" s="168">
        <v>1.0</v>
      </c>
      <c r="AO378" s="167">
        <v>1.0</v>
      </c>
      <c r="AP378" s="168">
        <v>1.0</v>
      </c>
      <c r="AQ378" s="167"/>
      <c r="AR378" s="167"/>
      <c r="AS378" s="167"/>
      <c r="AT378" s="167"/>
      <c r="AU378" s="167"/>
      <c r="AV378" s="167"/>
      <c r="AW378" s="167"/>
      <c r="AX378" s="167"/>
      <c r="AY378" s="167"/>
      <c r="AZ378" s="167"/>
      <c r="BA378" s="167"/>
      <c r="BB378" s="168">
        <v>1.0</v>
      </c>
      <c r="BC378" s="167">
        <v>1.0</v>
      </c>
      <c r="BD378" s="167"/>
      <c r="BE378" s="167"/>
      <c r="BF378" s="167"/>
      <c r="BG378" s="167"/>
      <c r="BH378" s="167"/>
      <c r="BI378" s="168">
        <v>1.0</v>
      </c>
      <c r="BJ378" s="167">
        <v>1.0</v>
      </c>
      <c r="BK378" s="168">
        <v>1.0</v>
      </c>
      <c r="BL378" s="167"/>
      <c r="BM378" s="167"/>
      <c r="BN378" s="155">
        <v>0.0</v>
      </c>
      <c r="BO378" s="155">
        <v>0.0</v>
      </c>
      <c r="BP378" s="155">
        <v>0.0</v>
      </c>
      <c r="BQ378" s="155">
        <v>0.0</v>
      </c>
      <c r="BR378" s="155">
        <v>0.0</v>
      </c>
      <c r="BS378" s="155">
        <v>0.0</v>
      </c>
      <c r="BT378" s="167"/>
      <c r="BU378" s="167"/>
      <c r="BV378" s="167"/>
      <c r="BW378" s="167"/>
      <c r="BX378" s="167"/>
      <c r="BY378" s="167"/>
      <c r="BZ378" s="167"/>
      <c r="CA378" s="167"/>
      <c r="CB378" s="167"/>
      <c r="CC378" s="167"/>
      <c r="CD378" s="167"/>
      <c r="CE378" s="167"/>
      <c r="CF378" s="167"/>
      <c r="CG378" s="167"/>
      <c r="CH378" s="167"/>
      <c r="CI378" s="167"/>
      <c r="CJ378" s="167"/>
      <c r="CK378" s="167"/>
      <c r="CL378" s="167"/>
      <c r="CM378" s="167"/>
      <c r="CN378" s="167"/>
      <c r="CO378" s="167"/>
      <c r="CP378" s="167"/>
      <c r="CQ378" s="167"/>
      <c r="CR378" s="167"/>
      <c r="CS378" s="167"/>
      <c r="CT378" s="167"/>
      <c r="CU378" s="167"/>
      <c r="CV378" s="156">
        <v>0.0</v>
      </c>
      <c r="CW378" s="156">
        <v>0.0</v>
      </c>
      <c r="CX378" s="156">
        <v>0.0</v>
      </c>
      <c r="CY378" s="156">
        <v>0.0</v>
      </c>
      <c r="CZ378" s="156">
        <v>0.0</v>
      </c>
      <c r="DA378" s="156">
        <v>0.0</v>
      </c>
      <c r="EG378" s="156">
        <v>0.0</v>
      </c>
      <c r="EH378" s="156">
        <v>0.0</v>
      </c>
      <c r="EI378" s="156">
        <v>0.0</v>
      </c>
      <c r="EJ378" s="156">
        <v>0.0</v>
      </c>
      <c r="EK378" s="156">
        <v>0.0</v>
      </c>
      <c r="EL378" s="156">
        <v>0.0</v>
      </c>
      <c r="FQ378" s="156">
        <v>0.0</v>
      </c>
      <c r="FR378" s="156">
        <v>0.0</v>
      </c>
      <c r="FS378" s="156">
        <v>0.0</v>
      </c>
      <c r="FT378" s="156">
        <v>0.0</v>
      </c>
      <c r="FU378" s="156">
        <v>0.0</v>
      </c>
      <c r="FV378" s="156">
        <v>0.0</v>
      </c>
      <c r="FW378" s="157"/>
      <c r="FX378" s="157"/>
      <c r="FY378" s="157"/>
      <c r="FZ378" s="157"/>
      <c r="GA378" s="157"/>
      <c r="GB378" s="157"/>
      <c r="GC378" s="157"/>
      <c r="GD378" s="157"/>
      <c r="GE378" s="157"/>
      <c r="GF378" s="157"/>
      <c r="GG378" s="157"/>
      <c r="GH378" s="157"/>
      <c r="GI378" s="157"/>
      <c r="GJ378" s="157"/>
      <c r="GK378" s="157"/>
      <c r="GL378" s="157"/>
      <c r="GM378" s="157"/>
      <c r="GN378" s="157"/>
      <c r="GO378" s="157"/>
      <c r="GP378" s="158"/>
      <c r="GQ378" s="157"/>
      <c r="GR378" s="157"/>
      <c r="GS378" s="157"/>
      <c r="GT378" s="157"/>
      <c r="GU378" s="157"/>
      <c r="GV378" s="157"/>
      <c r="GW378" s="157"/>
      <c r="GX378" s="157"/>
      <c r="GY378" s="157"/>
      <c r="GZ378" s="157"/>
      <c r="HA378" s="157"/>
      <c r="HB378" s="155">
        <v>0.0</v>
      </c>
      <c r="HC378" s="155">
        <v>0.0</v>
      </c>
      <c r="HD378" s="155">
        <v>0.0</v>
      </c>
      <c r="HE378" s="155">
        <v>0.0</v>
      </c>
      <c r="HF378" s="155">
        <v>0.0</v>
      </c>
      <c r="HG378" s="155">
        <v>0.0</v>
      </c>
      <c r="IL378" s="159">
        <v>0.0</v>
      </c>
      <c r="IM378" s="156">
        <v>0.0</v>
      </c>
      <c r="IN378" s="156">
        <v>0.0</v>
      </c>
      <c r="IO378" s="156">
        <v>0.0</v>
      </c>
      <c r="IP378" s="156">
        <v>0.0</v>
      </c>
      <c r="IQ378" s="160">
        <v>0.0</v>
      </c>
      <c r="JH378" s="25"/>
      <c r="JW378" s="159">
        <v>0.0</v>
      </c>
      <c r="JX378" s="156">
        <v>0.0</v>
      </c>
      <c r="JY378" s="156">
        <v>0.0</v>
      </c>
      <c r="JZ378" s="156">
        <v>0.0</v>
      </c>
      <c r="KA378" s="156">
        <v>0.0</v>
      </c>
      <c r="KB378" s="160">
        <v>0.0</v>
      </c>
      <c r="LH378" s="159">
        <f t="shared" si="10"/>
        <v>0</v>
      </c>
      <c r="LI378" s="156">
        <f t="shared" si="11"/>
        <v>0</v>
      </c>
      <c r="LJ378" s="156">
        <f t="shared" si="12"/>
        <v>0</v>
      </c>
      <c r="LK378" s="156">
        <f t="shared" si="13"/>
        <v>0</v>
      </c>
      <c r="LL378" s="156">
        <f t="shared" si="14"/>
        <v>0</v>
      </c>
      <c r="LM378" s="160">
        <f t="shared" si="15"/>
        <v>0</v>
      </c>
      <c r="QX378" s="107">
        <v>45951.0</v>
      </c>
    </row>
    <row r="379">
      <c r="A379" s="12"/>
      <c r="B379" s="12"/>
      <c r="C379" s="12"/>
      <c r="D379" s="12"/>
      <c r="E379" s="12"/>
      <c r="F379" s="12"/>
      <c r="G379" s="12"/>
      <c r="H379" s="12"/>
      <c r="I379" s="143">
        <f t="shared" si="5"/>
        <v>-30</v>
      </c>
      <c r="J379" s="144">
        <v>45952.0</v>
      </c>
      <c r="K379" s="180" t="s">
        <v>61</v>
      </c>
      <c r="L379" s="171">
        <v>46036.0</v>
      </c>
      <c r="M379" s="147" t="s">
        <v>107</v>
      </c>
      <c r="N379" s="148">
        <v>246.0</v>
      </c>
      <c r="O379" s="148">
        <v>30.0</v>
      </c>
      <c r="P379" s="26"/>
      <c r="Q379" s="26"/>
      <c r="R379" s="26"/>
      <c r="S379" s="26"/>
      <c r="T379" s="26"/>
      <c r="U379" s="147" t="s">
        <v>3025</v>
      </c>
      <c r="V379" s="149" t="s">
        <v>3064</v>
      </c>
      <c r="W379" s="198" t="s">
        <v>3133</v>
      </c>
      <c r="X379" s="181">
        <v>26.0</v>
      </c>
      <c r="Y379" s="166">
        <f t="shared" si="6"/>
        <v>30</v>
      </c>
      <c r="Z379" s="26">
        <f t="shared" si="7"/>
        <v>0</v>
      </c>
      <c r="AA379" s="26">
        <f t="shared" si="8"/>
        <v>0</v>
      </c>
      <c r="AB379" s="26">
        <f t="shared" si="9"/>
        <v>0</v>
      </c>
      <c r="AC379" s="155">
        <v>4.0</v>
      </c>
      <c r="AD379" s="155">
        <v>0.0</v>
      </c>
      <c r="AE379" s="155">
        <v>0.0</v>
      </c>
      <c r="AF379" s="155">
        <v>0.0</v>
      </c>
      <c r="AG379" s="155">
        <v>0.0</v>
      </c>
      <c r="AH379" s="155">
        <v>0.0</v>
      </c>
      <c r="AI379" s="167"/>
      <c r="AJ379" s="167"/>
      <c r="AK379" s="167"/>
      <c r="AL379" s="167"/>
      <c r="AM379" s="167">
        <v>1.0</v>
      </c>
      <c r="AN379" s="167">
        <v>0.0</v>
      </c>
      <c r="AO379" s="167">
        <v>1.0</v>
      </c>
      <c r="AP379" s="167">
        <v>0.0</v>
      </c>
      <c r="AQ379" s="167">
        <v>1.0</v>
      </c>
      <c r="AR379" s="167">
        <v>0.0</v>
      </c>
      <c r="AS379" s="167">
        <v>0.0</v>
      </c>
      <c r="AT379" s="167">
        <v>1.0</v>
      </c>
      <c r="AU379" s="167"/>
      <c r="AV379" s="167"/>
      <c r="AW379" s="167"/>
      <c r="AX379" s="167"/>
      <c r="AY379" s="167"/>
      <c r="AZ379" s="167"/>
      <c r="BA379" s="167"/>
      <c r="BB379" s="167"/>
      <c r="BC379" s="167"/>
      <c r="BD379" s="167"/>
      <c r="BE379" s="167"/>
      <c r="BF379" s="167"/>
      <c r="BG379" s="167"/>
      <c r="BH379" s="167"/>
      <c r="BI379" s="167"/>
      <c r="BJ379" s="167"/>
      <c r="BK379" s="167"/>
      <c r="BL379" s="167"/>
      <c r="BM379" s="167"/>
      <c r="BN379" s="155">
        <v>0.0</v>
      </c>
      <c r="BO379" s="155">
        <v>0.0</v>
      </c>
      <c r="BP379" s="155">
        <v>0.0</v>
      </c>
      <c r="BQ379" s="155">
        <v>0.0</v>
      </c>
      <c r="BR379" s="155">
        <v>0.0</v>
      </c>
      <c r="BS379" s="155">
        <v>0.0</v>
      </c>
      <c r="CV379" s="156">
        <v>0.0</v>
      </c>
      <c r="CW379" s="156">
        <v>0.0</v>
      </c>
      <c r="CX379" s="156">
        <v>0.0</v>
      </c>
      <c r="CY379" s="156">
        <v>0.0</v>
      </c>
      <c r="CZ379" s="156">
        <v>0.0</v>
      </c>
      <c r="DA379" s="156">
        <v>0.0</v>
      </c>
      <c r="EG379" s="156">
        <v>0.0</v>
      </c>
      <c r="EH379" s="156">
        <v>0.0</v>
      </c>
      <c r="EI379" s="156">
        <v>0.0</v>
      </c>
      <c r="EJ379" s="156">
        <v>0.0</v>
      </c>
      <c r="EK379" s="156">
        <v>0.0</v>
      </c>
      <c r="EL379" s="156">
        <v>0.0</v>
      </c>
      <c r="FQ379" s="156">
        <v>0.0</v>
      </c>
      <c r="FR379" s="156">
        <v>0.0</v>
      </c>
      <c r="FS379" s="156">
        <v>0.0</v>
      </c>
      <c r="FT379" s="156">
        <v>0.0</v>
      </c>
      <c r="FU379" s="156">
        <v>0.0</v>
      </c>
      <c r="FV379" s="156">
        <v>0.0</v>
      </c>
      <c r="FW379" s="157"/>
      <c r="FX379" s="157"/>
      <c r="FY379" s="157"/>
      <c r="FZ379" s="157"/>
      <c r="GA379" s="157"/>
      <c r="GB379" s="157"/>
      <c r="GC379" s="157"/>
      <c r="GD379" s="157"/>
      <c r="GE379" s="157"/>
      <c r="GF379" s="157"/>
      <c r="GG379" s="157"/>
      <c r="GH379" s="157"/>
      <c r="GI379" s="157"/>
      <c r="GJ379" s="157"/>
      <c r="GK379" s="157"/>
      <c r="GL379" s="157"/>
      <c r="GM379" s="157"/>
      <c r="GN379" s="157"/>
      <c r="GO379" s="157"/>
      <c r="GP379" s="158"/>
      <c r="GQ379" s="157"/>
      <c r="GR379" s="157"/>
      <c r="GS379" s="157"/>
      <c r="GT379" s="157"/>
      <c r="GU379" s="157"/>
      <c r="GV379" s="157"/>
      <c r="GW379" s="157"/>
      <c r="GX379" s="157"/>
      <c r="GY379" s="157"/>
      <c r="GZ379" s="157"/>
      <c r="HA379" s="157"/>
      <c r="HB379" s="155">
        <v>0.0</v>
      </c>
      <c r="HC379" s="155">
        <v>0.0</v>
      </c>
      <c r="HD379" s="155">
        <v>0.0</v>
      </c>
      <c r="HE379" s="155">
        <v>0.0</v>
      </c>
      <c r="HF379" s="155">
        <v>0.0</v>
      </c>
      <c r="HG379" s="155">
        <v>0.0</v>
      </c>
      <c r="IL379" s="159">
        <v>0.0</v>
      </c>
      <c r="IM379" s="156">
        <v>0.0</v>
      </c>
      <c r="IN379" s="156">
        <v>0.0</v>
      </c>
      <c r="IO379" s="156">
        <v>0.0</v>
      </c>
      <c r="IP379" s="156">
        <v>0.0</v>
      </c>
      <c r="IQ379" s="160">
        <v>0.0</v>
      </c>
      <c r="JH379" s="25"/>
      <c r="JW379" s="159">
        <v>0.0</v>
      </c>
      <c r="JX379" s="156">
        <v>0.0</v>
      </c>
      <c r="JY379" s="156">
        <v>0.0</v>
      </c>
      <c r="JZ379" s="156">
        <v>0.0</v>
      </c>
      <c r="KA379" s="156">
        <v>0.0</v>
      </c>
      <c r="KB379" s="160">
        <v>0.0</v>
      </c>
      <c r="LH379" s="159">
        <f t="shared" si="10"/>
        <v>0</v>
      </c>
      <c r="LI379" s="156">
        <f t="shared" si="11"/>
        <v>0</v>
      </c>
      <c r="LJ379" s="156">
        <f t="shared" si="12"/>
        <v>0</v>
      </c>
      <c r="LK379" s="156">
        <f t="shared" si="13"/>
        <v>0</v>
      </c>
      <c r="LL379" s="156">
        <f t="shared" si="14"/>
        <v>0</v>
      </c>
      <c r="LM379" s="160">
        <f t="shared" si="15"/>
        <v>0</v>
      </c>
      <c r="QX379" s="107">
        <v>45951.0</v>
      </c>
    </row>
    <row r="380">
      <c r="A380" s="12"/>
      <c r="B380" s="12"/>
      <c r="C380" s="12"/>
      <c r="D380" s="12"/>
      <c r="E380" s="12"/>
      <c r="F380" s="12"/>
      <c r="G380" s="12"/>
      <c r="H380" s="12"/>
      <c r="I380" s="143">
        <f t="shared" si="5"/>
        <v>-3</v>
      </c>
      <c r="J380" s="144">
        <v>45953.0</v>
      </c>
      <c r="K380" s="195" t="s">
        <v>61</v>
      </c>
      <c r="L380" s="144">
        <v>45962.0</v>
      </c>
      <c r="M380" s="147" t="s">
        <v>400</v>
      </c>
      <c r="N380" s="148">
        <v>357.0</v>
      </c>
      <c r="O380" s="148">
        <v>30.0</v>
      </c>
      <c r="P380" s="26"/>
      <c r="Q380" s="26"/>
      <c r="R380" s="26"/>
      <c r="S380" s="26"/>
      <c r="T380" s="26"/>
      <c r="U380" s="147" t="s">
        <v>3134</v>
      </c>
      <c r="V380" s="149" t="s">
        <v>3135</v>
      </c>
      <c r="W380" s="198" t="s">
        <v>3136</v>
      </c>
      <c r="X380" s="181">
        <v>3.0</v>
      </c>
      <c r="Y380" s="166">
        <f t="shared" si="6"/>
        <v>3</v>
      </c>
      <c r="Z380" s="26">
        <f t="shared" si="7"/>
        <v>0</v>
      </c>
      <c r="AA380" s="26">
        <f t="shared" si="8"/>
        <v>0</v>
      </c>
      <c r="AB380" s="26">
        <f t="shared" si="9"/>
        <v>0</v>
      </c>
      <c r="AC380" s="155">
        <v>0.0</v>
      </c>
      <c r="AD380" s="155">
        <v>0.0</v>
      </c>
      <c r="AE380" s="155">
        <v>0.0</v>
      </c>
      <c r="AF380" s="155">
        <v>0.0</v>
      </c>
      <c r="AG380" s="155">
        <v>0.0</v>
      </c>
      <c r="AH380" s="155">
        <v>0.0</v>
      </c>
      <c r="BN380" s="155">
        <v>0.0</v>
      </c>
      <c r="BO380" s="155">
        <v>0.0</v>
      </c>
      <c r="BP380" s="155">
        <v>0.0</v>
      </c>
      <c r="BQ380" s="155">
        <v>0.0</v>
      </c>
      <c r="BR380" s="155">
        <v>0.0</v>
      </c>
      <c r="BS380" s="155">
        <v>0.0</v>
      </c>
      <c r="CV380" s="156">
        <v>0.0</v>
      </c>
      <c r="CW380" s="156">
        <v>0.0</v>
      </c>
      <c r="CX380" s="156">
        <v>0.0</v>
      </c>
      <c r="CY380" s="156">
        <v>0.0</v>
      </c>
      <c r="CZ380" s="156">
        <v>0.0</v>
      </c>
      <c r="DA380" s="156">
        <v>0.0</v>
      </c>
      <c r="EG380" s="156">
        <v>0.0</v>
      </c>
      <c r="EH380" s="156">
        <v>0.0</v>
      </c>
      <c r="EI380" s="156">
        <v>0.0</v>
      </c>
      <c r="EJ380" s="156">
        <v>0.0</v>
      </c>
      <c r="EK380" s="156">
        <v>0.0</v>
      </c>
      <c r="EL380" s="156">
        <v>0.0</v>
      </c>
      <c r="FQ380" s="156">
        <v>0.0</v>
      </c>
      <c r="FR380" s="156">
        <v>0.0</v>
      </c>
      <c r="FS380" s="156">
        <v>0.0</v>
      </c>
      <c r="FT380" s="156">
        <v>0.0</v>
      </c>
      <c r="FU380" s="156">
        <v>0.0</v>
      </c>
      <c r="FV380" s="156">
        <v>0.0</v>
      </c>
      <c r="FW380" s="157"/>
      <c r="FX380" s="157"/>
      <c r="FY380" s="157"/>
      <c r="FZ380" s="157"/>
      <c r="GA380" s="157"/>
      <c r="GB380" s="157"/>
      <c r="GC380" s="157"/>
      <c r="GD380" s="157"/>
      <c r="GE380" s="157"/>
      <c r="GF380" s="157"/>
      <c r="GG380" s="157"/>
      <c r="GH380" s="157"/>
      <c r="GI380" s="157"/>
      <c r="GJ380" s="157"/>
      <c r="GK380" s="157"/>
      <c r="GL380" s="157"/>
      <c r="GM380" s="157"/>
      <c r="GN380" s="157"/>
      <c r="GO380" s="157"/>
      <c r="GP380" s="158"/>
      <c r="GQ380" s="157"/>
      <c r="GR380" s="157"/>
      <c r="GS380" s="157"/>
      <c r="GT380" s="157"/>
      <c r="GU380" s="157"/>
      <c r="GV380" s="157"/>
      <c r="GW380" s="157"/>
      <c r="GX380" s="157"/>
      <c r="GY380" s="157"/>
      <c r="GZ380" s="157"/>
      <c r="HA380" s="157"/>
      <c r="HB380" s="155">
        <v>0.0</v>
      </c>
      <c r="HC380" s="155">
        <v>0.0</v>
      </c>
      <c r="HD380" s="155">
        <v>0.0</v>
      </c>
      <c r="HE380" s="155">
        <v>0.0</v>
      </c>
      <c r="HF380" s="155">
        <v>0.0</v>
      </c>
      <c r="HG380" s="155">
        <v>0.0</v>
      </c>
      <c r="IL380" s="159">
        <v>0.0</v>
      </c>
      <c r="IM380" s="156">
        <v>0.0</v>
      </c>
      <c r="IN380" s="156">
        <v>0.0</v>
      </c>
      <c r="IO380" s="156">
        <v>0.0</v>
      </c>
      <c r="IP380" s="156">
        <v>0.0</v>
      </c>
      <c r="IQ380" s="160">
        <v>0.0</v>
      </c>
      <c r="JH380" s="25"/>
      <c r="JW380" s="159">
        <v>0.0</v>
      </c>
      <c r="JX380" s="156">
        <v>0.0</v>
      </c>
      <c r="JY380" s="156">
        <v>0.0</v>
      </c>
      <c r="JZ380" s="156">
        <v>0.0</v>
      </c>
      <c r="KA380" s="156">
        <v>0.0</v>
      </c>
      <c r="KB380" s="160">
        <v>0.0</v>
      </c>
      <c r="LH380" s="159">
        <f t="shared" si="10"/>
        <v>0</v>
      </c>
      <c r="LI380" s="156">
        <f t="shared" si="11"/>
        <v>0</v>
      </c>
      <c r="LJ380" s="156">
        <f t="shared" si="12"/>
        <v>0</v>
      </c>
      <c r="LK380" s="156">
        <f t="shared" si="13"/>
        <v>0</v>
      </c>
      <c r="LL380" s="156">
        <f t="shared" si="14"/>
        <v>0</v>
      </c>
      <c r="LM380" s="160">
        <f t="shared" si="15"/>
        <v>0</v>
      </c>
      <c r="QX380" s="107">
        <v>45957.0</v>
      </c>
    </row>
    <row r="381">
      <c r="A381" s="12"/>
      <c r="B381" s="12"/>
      <c r="C381" s="12"/>
      <c r="D381" s="12"/>
      <c r="E381" s="12"/>
      <c r="F381" s="12"/>
      <c r="G381" s="12"/>
      <c r="H381" s="12"/>
      <c r="I381" s="143">
        <f t="shared" si="5"/>
        <v>-25</v>
      </c>
      <c r="J381" s="305" t="s">
        <v>3137</v>
      </c>
      <c r="K381" s="294" t="s">
        <v>48</v>
      </c>
      <c r="L381" s="305" t="s">
        <v>3138</v>
      </c>
      <c r="M381" s="495" t="s">
        <v>3139</v>
      </c>
      <c r="N381" s="148">
        <v>6.0</v>
      </c>
      <c r="O381" s="170">
        <v>30.0</v>
      </c>
      <c r="P381" s="26"/>
      <c r="Q381" s="26"/>
      <c r="R381" s="26"/>
      <c r="S381" s="26"/>
      <c r="T381" s="26"/>
      <c r="U381" s="147" t="s">
        <v>1894</v>
      </c>
      <c r="V381" s="149" t="s">
        <v>654</v>
      </c>
      <c r="W381" s="248" t="s">
        <v>3140</v>
      </c>
      <c r="X381" s="181">
        <v>16.0</v>
      </c>
      <c r="Y381" s="166">
        <f t="shared" si="6"/>
        <v>25</v>
      </c>
      <c r="Z381" s="26">
        <f t="shared" si="7"/>
        <v>0</v>
      </c>
      <c r="AA381" s="26">
        <f t="shared" si="8"/>
        <v>2</v>
      </c>
      <c r="AB381" s="26">
        <f t="shared" si="9"/>
        <v>0</v>
      </c>
      <c r="AC381" s="155">
        <v>0.0</v>
      </c>
      <c r="AD381" s="155">
        <v>0.0</v>
      </c>
      <c r="AE381" s="155">
        <v>0.0</v>
      </c>
      <c r="AF381" s="155">
        <v>0.0</v>
      </c>
      <c r="AG381" s="155">
        <v>0.0</v>
      </c>
      <c r="AH381" s="155">
        <v>0.0</v>
      </c>
      <c r="BN381" s="155">
        <v>0.0</v>
      </c>
      <c r="BO381" s="155">
        <v>0.0</v>
      </c>
      <c r="BP381" s="155">
        <v>0.0</v>
      </c>
      <c r="BQ381" s="155">
        <v>0.0</v>
      </c>
      <c r="BR381" s="155">
        <v>0.0</v>
      </c>
      <c r="BS381" s="155">
        <v>0.0</v>
      </c>
      <c r="CV381" s="156">
        <v>0.0</v>
      </c>
      <c r="CW381" s="156">
        <v>0.0</v>
      </c>
      <c r="CX381" s="156">
        <v>0.0</v>
      </c>
      <c r="CY381" s="156">
        <v>0.0</v>
      </c>
      <c r="CZ381" s="156">
        <v>0.0</v>
      </c>
      <c r="DA381" s="156">
        <v>0.0</v>
      </c>
      <c r="EG381" s="156">
        <v>0.0</v>
      </c>
      <c r="EH381" s="156">
        <v>0.0</v>
      </c>
      <c r="EI381" s="156">
        <v>0.0</v>
      </c>
      <c r="EJ381" s="156">
        <v>0.0</v>
      </c>
      <c r="EK381" s="156">
        <v>0.0</v>
      </c>
      <c r="EL381" s="156">
        <v>0.0</v>
      </c>
      <c r="FQ381" s="156">
        <v>0.0</v>
      </c>
      <c r="FR381" s="156">
        <v>0.0</v>
      </c>
      <c r="FS381" s="156">
        <v>0.0</v>
      </c>
      <c r="FT381" s="156">
        <v>0.0</v>
      </c>
      <c r="FU381" s="156">
        <v>0.0</v>
      </c>
      <c r="FV381" s="156">
        <v>0.0</v>
      </c>
      <c r="FW381" s="157"/>
      <c r="FX381" s="157"/>
      <c r="FY381" s="157"/>
      <c r="FZ381" s="157"/>
      <c r="GA381" s="157"/>
      <c r="GB381" s="157"/>
      <c r="GC381" s="157"/>
      <c r="GD381" s="157"/>
      <c r="GE381" s="157"/>
      <c r="GF381" s="157"/>
      <c r="GG381" s="157"/>
      <c r="GH381" s="157"/>
      <c r="GI381" s="157"/>
      <c r="GJ381" s="157"/>
      <c r="GK381" s="157"/>
      <c r="GL381" s="157"/>
      <c r="GM381" s="157"/>
      <c r="GN381" s="157"/>
      <c r="GO381" s="157"/>
      <c r="GP381" s="158"/>
      <c r="GQ381" s="157"/>
      <c r="GR381" s="157"/>
      <c r="GS381" s="157"/>
      <c r="GT381" s="157"/>
      <c r="GU381" s="157"/>
      <c r="GV381" s="157"/>
      <c r="GW381" s="157"/>
      <c r="GX381" s="157"/>
      <c r="GY381" s="157"/>
      <c r="GZ381" s="157"/>
      <c r="HA381" s="157"/>
      <c r="HB381" s="155">
        <v>0.0</v>
      </c>
      <c r="HC381" s="155">
        <v>0.0</v>
      </c>
      <c r="HD381" s="155">
        <v>0.0</v>
      </c>
      <c r="HE381" s="155">
        <v>0.0</v>
      </c>
      <c r="HF381" s="155">
        <v>0.0</v>
      </c>
      <c r="HG381" s="155">
        <v>0.0</v>
      </c>
      <c r="IL381" s="159">
        <v>6.0</v>
      </c>
      <c r="IM381" s="156">
        <v>0.0</v>
      </c>
      <c r="IN381" s="156">
        <v>0.0</v>
      </c>
      <c r="IO381" s="156">
        <v>1.0</v>
      </c>
      <c r="IP381" s="156">
        <v>0.0</v>
      </c>
      <c r="IQ381" s="160">
        <v>0.0</v>
      </c>
      <c r="JE381" s="86">
        <v>1.0</v>
      </c>
      <c r="JH381" s="162">
        <v>1.0</v>
      </c>
      <c r="JL381" s="86" t="s">
        <v>947</v>
      </c>
      <c r="JN381" s="86">
        <v>1.0</v>
      </c>
      <c r="JS381" s="86">
        <v>1.0</v>
      </c>
      <c r="JV381" s="86">
        <v>1.0</v>
      </c>
      <c r="JW381" s="159">
        <v>3.0</v>
      </c>
      <c r="JX381" s="156">
        <v>0.0</v>
      </c>
      <c r="JY381" s="156">
        <v>0.0</v>
      </c>
      <c r="JZ381" s="156">
        <v>1.0</v>
      </c>
      <c r="KA381" s="156">
        <v>0.0</v>
      </c>
      <c r="KB381" s="160">
        <v>0.0</v>
      </c>
      <c r="KF381" s="86">
        <v>1.0</v>
      </c>
      <c r="KH381" s="86">
        <v>1.0</v>
      </c>
      <c r="KM381" s="86" t="s">
        <v>947</v>
      </c>
      <c r="KS381" s="178"/>
      <c r="LH381" s="159">
        <f t="shared" si="10"/>
        <v>0</v>
      </c>
      <c r="LI381" s="156">
        <f t="shared" si="11"/>
        <v>0</v>
      </c>
      <c r="LJ381" s="156">
        <f t="shared" si="12"/>
        <v>0</v>
      </c>
      <c r="LK381" s="156">
        <f t="shared" si="13"/>
        <v>0</v>
      </c>
      <c r="LL381" s="156">
        <f t="shared" si="14"/>
        <v>0</v>
      </c>
      <c r="LM381" s="160">
        <f t="shared" si="15"/>
        <v>0</v>
      </c>
      <c r="QX381" s="107">
        <v>45957.0</v>
      </c>
    </row>
    <row r="382">
      <c r="A382" s="25"/>
      <c r="B382" s="25"/>
      <c r="C382" s="25"/>
      <c r="D382" s="25"/>
      <c r="E382" s="25"/>
      <c r="F382" s="25"/>
      <c r="G382" s="25"/>
      <c r="H382" s="25"/>
      <c r="I382" s="143">
        <f t="shared" si="5"/>
        <v>-6</v>
      </c>
      <c r="J382" s="144">
        <v>45955.0</v>
      </c>
      <c r="K382" s="164" t="s">
        <v>61</v>
      </c>
      <c r="L382" s="144">
        <v>46031.0</v>
      </c>
      <c r="M382" s="147" t="s">
        <v>228</v>
      </c>
      <c r="N382" s="148">
        <v>37.0</v>
      </c>
      <c r="O382" s="148">
        <v>30.0</v>
      </c>
      <c r="P382" s="26"/>
      <c r="Q382" s="26"/>
      <c r="R382" s="26"/>
      <c r="S382" s="26"/>
      <c r="T382" s="26"/>
      <c r="U382" s="147" t="s">
        <v>3141</v>
      </c>
      <c r="V382" s="197"/>
      <c r="W382" s="198" t="s">
        <v>3142</v>
      </c>
      <c r="X382" s="181">
        <v>6.0</v>
      </c>
      <c r="Y382" s="166">
        <f t="shared" si="6"/>
        <v>6</v>
      </c>
      <c r="Z382" s="26">
        <f t="shared" si="7"/>
        <v>0</v>
      </c>
      <c r="AA382" s="26">
        <f t="shared" si="8"/>
        <v>0</v>
      </c>
      <c r="AB382" s="26">
        <f t="shared" si="9"/>
        <v>0</v>
      </c>
      <c r="AC382" s="496">
        <v>0.0</v>
      </c>
      <c r="AD382" s="496">
        <v>0.0</v>
      </c>
      <c r="AE382" s="496">
        <v>0.0</v>
      </c>
      <c r="AF382" s="496">
        <v>0.0</v>
      </c>
      <c r="AG382" s="496">
        <v>0.0</v>
      </c>
      <c r="AH382" s="496">
        <v>0.0</v>
      </c>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5"/>
      <c r="BJ382" s="25"/>
      <c r="BK382" s="25"/>
      <c r="BL382" s="25"/>
      <c r="BM382" s="25"/>
      <c r="BN382" s="496">
        <v>0.0</v>
      </c>
      <c r="BO382" s="496">
        <v>0.0</v>
      </c>
      <c r="BP382" s="496">
        <v>0.0</v>
      </c>
      <c r="BQ382" s="496">
        <v>0.0</v>
      </c>
      <c r="BR382" s="496">
        <v>0.0</v>
      </c>
      <c r="BS382" s="496">
        <v>0.0</v>
      </c>
      <c r="BT382" s="25"/>
      <c r="BU382" s="25"/>
      <c r="BV382" s="25"/>
      <c r="BW382" s="25"/>
      <c r="BX382" s="25"/>
      <c r="BY382" s="25"/>
      <c r="BZ382" s="25"/>
      <c r="CA382" s="25"/>
      <c r="CB382" s="25"/>
      <c r="CC382" s="25"/>
      <c r="CD382" s="25"/>
      <c r="CE382" s="25"/>
      <c r="CF382" s="25"/>
      <c r="CG382" s="25"/>
      <c r="CH382" s="25"/>
      <c r="CI382" s="25"/>
      <c r="CJ382" s="25"/>
      <c r="CK382" s="25"/>
      <c r="CL382" s="25"/>
      <c r="CM382" s="25"/>
      <c r="CN382" s="25"/>
      <c r="CO382" s="25"/>
      <c r="CP382" s="25"/>
      <c r="CQ382" s="25"/>
      <c r="CR382" s="25"/>
      <c r="CS382" s="25"/>
      <c r="CT382" s="25"/>
      <c r="CU382" s="25"/>
      <c r="CV382" s="167">
        <v>0.0</v>
      </c>
      <c r="CW382" s="167">
        <v>0.0</v>
      </c>
      <c r="CX382" s="167">
        <v>0.0</v>
      </c>
      <c r="CY382" s="167">
        <v>0.0</v>
      </c>
      <c r="CZ382" s="167">
        <v>0.0</v>
      </c>
      <c r="DA382" s="167">
        <v>0.0</v>
      </c>
      <c r="DB382" s="25"/>
      <c r="DC382" s="25"/>
      <c r="DD382" s="25"/>
      <c r="DE382" s="25"/>
      <c r="DF382" s="25"/>
      <c r="DG382" s="25"/>
      <c r="DH382" s="25"/>
      <c r="DI382" s="25"/>
      <c r="DJ382" s="25"/>
      <c r="DK382" s="25"/>
      <c r="DL382" s="25"/>
      <c r="DM382" s="25"/>
      <c r="DN382" s="25"/>
      <c r="DO382" s="25"/>
      <c r="DP382" s="25"/>
      <c r="DQ382" s="25"/>
      <c r="DR382" s="25"/>
      <c r="DS382" s="25"/>
      <c r="DT382" s="25"/>
      <c r="DU382" s="25"/>
      <c r="DV382" s="25"/>
      <c r="DW382" s="25"/>
      <c r="DX382" s="25"/>
      <c r="DY382" s="25"/>
      <c r="DZ382" s="25"/>
      <c r="EA382" s="25"/>
      <c r="EB382" s="25"/>
      <c r="EC382" s="25"/>
      <c r="ED382" s="25"/>
      <c r="EE382" s="25"/>
      <c r="EF382" s="25"/>
      <c r="EG382" s="167">
        <v>0.0</v>
      </c>
      <c r="EH382" s="167">
        <v>0.0</v>
      </c>
      <c r="EI382" s="167">
        <v>0.0</v>
      </c>
      <c r="EJ382" s="167">
        <v>0.0</v>
      </c>
      <c r="EK382" s="167">
        <v>0.0</v>
      </c>
      <c r="EL382" s="167">
        <v>0.0</v>
      </c>
      <c r="EM382" s="25"/>
      <c r="EN382" s="25"/>
      <c r="EO382" s="25"/>
      <c r="EP382" s="25"/>
      <c r="EQ382" s="25"/>
      <c r="ER382" s="25"/>
      <c r="ES382" s="25"/>
      <c r="ET382" s="25"/>
      <c r="EU382" s="25"/>
      <c r="EV382" s="25"/>
      <c r="EW382" s="25"/>
      <c r="EX382" s="25"/>
      <c r="EY382" s="25"/>
      <c r="EZ382" s="25"/>
      <c r="FA382" s="25"/>
      <c r="FB382" s="25"/>
      <c r="FC382" s="25"/>
      <c r="FD382" s="25"/>
      <c r="FE382" s="25"/>
      <c r="FF382" s="25"/>
      <c r="FG382" s="25"/>
      <c r="FH382" s="25"/>
      <c r="FI382" s="25"/>
      <c r="FJ382" s="25"/>
      <c r="FK382" s="25"/>
      <c r="FL382" s="25"/>
      <c r="FM382" s="25"/>
      <c r="FN382" s="25"/>
      <c r="FO382" s="25"/>
      <c r="FP382" s="25"/>
      <c r="FQ382" s="167">
        <v>0.0</v>
      </c>
      <c r="FR382" s="167">
        <v>0.0</v>
      </c>
      <c r="FS382" s="167">
        <v>0.0</v>
      </c>
      <c r="FT382" s="167">
        <v>0.0</v>
      </c>
      <c r="FU382" s="167">
        <v>0.0</v>
      </c>
      <c r="FV382" s="167">
        <v>0.0</v>
      </c>
      <c r="FW382" s="158"/>
      <c r="FX382" s="158"/>
      <c r="FY382" s="158"/>
      <c r="FZ382" s="158"/>
      <c r="GA382" s="158"/>
      <c r="GB382" s="158"/>
      <c r="GC382" s="158"/>
      <c r="GD382" s="158"/>
      <c r="GE382" s="158"/>
      <c r="GF382" s="158"/>
      <c r="GG382" s="158"/>
      <c r="GH382" s="158"/>
      <c r="GI382" s="158"/>
      <c r="GJ382" s="158"/>
      <c r="GK382" s="158"/>
      <c r="GL382" s="158"/>
      <c r="GM382" s="158"/>
      <c r="GN382" s="158"/>
      <c r="GO382" s="158"/>
      <c r="GP382" s="158"/>
      <c r="GQ382" s="158"/>
      <c r="GR382" s="158"/>
      <c r="GS382" s="158"/>
      <c r="GT382" s="158"/>
      <c r="GU382" s="158"/>
      <c r="GV382" s="158"/>
      <c r="GW382" s="158"/>
      <c r="GX382" s="158"/>
      <c r="GY382" s="158"/>
      <c r="GZ382" s="158"/>
      <c r="HA382" s="158"/>
      <c r="HB382" s="496">
        <v>0.0</v>
      </c>
      <c r="HC382" s="496">
        <v>0.0</v>
      </c>
      <c r="HD382" s="496">
        <v>0.0</v>
      </c>
      <c r="HE382" s="496">
        <v>0.0</v>
      </c>
      <c r="HF382" s="496">
        <v>0.0</v>
      </c>
      <c r="HG382" s="496">
        <v>0.0</v>
      </c>
      <c r="HH382" s="25"/>
      <c r="HI382" s="25"/>
      <c r="HJ382" s="25"/>
      <c r="HK382" s="25"/>
      <c r="HL382" s="25"/>
      <c r="HM382" s="25"/>
      <c r="HN382" s="25"/>
      <c r="HO382" s="25"/>
      <c r="HP382" s="25"/>
      <c r="HQ382" s="25"/>
      <c r="HR382" s="25"/>
      <c r="HS382" s="25"/>
      <c r="HT382" s="25"/>
      <c r="HU382" s="25"/>
      <c r="HV382" s="25"/>
      <c r="HW382" s="25"/>
      <c r="HX382" s="25"/>
      <c r="HY382" s="25"/>
      <c r="HZ382" s="25"/>
      <c r="IA382" s="25"/>
      <c r="IB382" s="25"/>
      <c r="IC382" s="25"/>
      <c r="ID382" s="25"/>
      <c r="IE382" s="25"/>
      <c r="IF382" s="25"/>
      <c r="IG382" s="25"/>
      <c r="IH382" s="25"/>
      <c r="II382" s="25"/>
      <c r="IJ382" s="25"/>
      <c r="IK382" s="25"/>
      <c r="IL382" s="497">
        <v>0.0</v>
      </c>
      <c r="IM382" s="167">
        <v>0.0</v>
      </c>
      <c r="IN382" s="167">
        <v>0.0</v>
      </c>
      <c r="IO382" s="167">
        <v>0.0</v>
      </c>
      <c r="IP382" s="167">
        <v>0.0</v>
      </c>
      <c r="IQ382" s="498">
        <v>0.0</v>
      </c>
      <c r="IR382" s="25"/>
      <c r="IS382" s="25"/>
      <c r="IT382" s="25"/>
      <c r="IU382" s="25"/>
      <c r="IV382" s="25"/>
      <c r="IW382" s="25"/>
      <c r="IX382" s="25"/>
      <c r="IY382" s="25"/>
      <c r="IZ382" s="25"/>
      <c r="JA382" s="25"/>
      <c r="JB382" s="25"/>
      <c r="JC382" s="25"/>
      <c r="JD382" s="25"/>
      <c r="JE382" s="25"/>
      <c r="JF382" s="25"/>
      <c r="JG382" s="25"/>
      <c r="JH382" s="25"/>
      <c r="JI382" s="25"/>
      <c r="JJ382" s="25"/>
      <c r="JK382" s="25"/>
      <c r="JL382" s="25"/>
      <c r="JM382" s="25"/>
      <c r="JN382" s="25"/>
      <c r="JO382" s="25"/>
      <c r="JP382" s="25"/>
      <c r="JQ382" s="25"/>
      <c r="JR382" s="25"/>
      <c r="JS382" s="25"/>
      <c r="JT382" s="25"/>
      <c r="JU382" s="25"/>
      <c r="JV382" s="25"/>
      <c r="JW382" s="159">
        <v>0.0</v>
      </c>
      <c r="JX382" s="156">
        <v>0.0</v>
      </c>
      <c r="JY382" s="156">
        <v>0.0</v>
      </c>
      <c r="JZ382" s="156">
        <v>0.0</v>
      </c>
      <c r="KA382" s="156">
        <v>0.0</v>
      </c>
      <c r="KB382" s="160">
        <v>0.0</v>
      </c>
      <c r="KC382" s="25"/>
      <c r="KD382" s="25"/>
      <c r="KE382" s="25"/>
      <c r="KF382" s="25"/>
      <c r="KG382" s="25"/>
      <c r="KH382" s="25"/>
      <c r="KI382" s="25"/>
      <c r="KJ382" s="25"/>
      <c r="KK382" s="25"/>
      <c r="KL382" s="25"/>
      <c r="KM382" s="25"/>
      <c r="KN382" s="25"/>
      <c r="KO382" s="25"/>
      <c r="KP382" s="25"/>
      <c r="KQ382" s="25"/>
      <c r="KR382" s="25"/>
      <c r="KS382" s="25"/>
      <c r="KT382" s="25"/>
      <c r="KU382" s="25"/>
      <c r="KV382" s="25"/>
      <c r="KW382" s="25"/>
      <c r="KX382" s="25"/>
      <c r="KY382" s="25"/>
      <c r="KZ382" s="25"/>
      <c r="LA382" s="25"/>
      <c r="LB382" s="25"/>
      <c r="LC382" s="25"/>
      <c r="LD382" s="25"/>
      <c r="LE382" s="25"/>
      <c r="LF382" s="25"/>
      <c r="LG382" s="25"/>
      <c r="LH382" s="159">
        <f t="shared" si="10"/>
        <v>0</v>
      </c>
      <c r="LI382" s="156">
        <f t="shared" si="11"/>
        <v>0</v>
      </c>
      <c r="LJ382" s="156">
        <f t="shared" si="12"/>
        <v>0</v>
      </c>
      <c r="LK382" s="156">
        <f t="shared" si="13"/>
        <v>0</v>
      </c>
      <c r="LL382" s="156">
        <f t="shared" si="14"/>
        <v>0</v>
      </c>
      <c r="LM382" s="160">
        <f t="shared" si="15"/>
        <v>0</v>
      </c>
      <c r="LN382" s="25"/>
      <c r="LO382" s="25"/>
      <c r="LP382" s="25"/>
      <c r="LQ382" s="25"/>
      <c r="LR382" s="25"/>
      <c r="LS382" s="25"/>
      <c r="LT382" s="25"/>
      <c r="LU382" s="25"/>
      <c r="LV382" s="25"/>
      <c r="LW382" s="25"/>
      <c r="LX382" s="25"/>
      <c r="LY382" s="25"/>
      <c r="LZ382" s="25"/>
      <c r="MA382" s="25"/>
      <c r="MB382" s="25"/>
      <c r="MC382" s="25"/>
      <c r="MD382" s="25"/>
      <c r="ME382" s="25"/>
      <c r="MF382" s="25"/>
      <c r="MG382" s="25"/>
      <c r="MH382" s="25"/>
      <c r="MI382" s="25"/>
      <c r="MJ382" s="25"/>
      <c r="MK382" s="25"/>
      <c r="ML382" s="25"/>
      <c r="MM382" s="25"/>
      <c r="MN382" s="25"/>
      <c r="MO382" s="25"/>
      <c r="MP382" s="25"/>
      <c r="MQ382" s="25"/>
      <c r="MR382" s="25"/>
      <c r="MS382" s="25"/>
      <c r="MT382" s="25"/>
      <c r="MU382" s="25"/>
      <c r="MV382" s="25"/>
      <c r="MW382" s="25"/>
      <c r="MX382" s="25"/>
      <c r="MY382" s="25"/>
      <c r="MZ382" s="25"/>
      <c r="NA382" s="25"/>
      <c r="NB382" s="25"/>
      <c r="NC382" s="25"/>
      <c r="ND382" s="25"/>
      <c r="NE382" s="25"/>
      <c r="NF382" s="25"/>
      <c r="NG382" s="25"/>
      <c r="NH382" s="25"/>
      <c r="NI382" s="25"/>
      <c r="NJ382" s="25"/>
      <c r="NK382" s="25"/>
      <c r="NL382" s="25"/>
      <c r="NM382" s="25"/>
      <c r="NN382" s="25"/>
      <c r="NO382" s="25"/>
      <c r="NP382" s="25"/>
      <c r="NQ382" s="25"/>
      <c r="NR382" s="25"/>
      <c r="NS382" s="25"/>
      <c r="NT382" s="25"/>
      <c r="NU382" s="25"/>
      <c r="NV382" s="25"/>
      <c r="NW382" s="25"/>
      <c r="NX382" s="25"/>
      <c r="NY382" s="25"/>
      <c r="NZ382" s="25"/>
      <c r="OA382" s="25"/>
      <c r="OB382" s="25"/>
      <c r="OC382" s="25"/>
      <c r="OD382" s="25"/>
      <c r="OE382" s="25"/>
      <c r="OF382" s="25"/>
      <c r="OG382" s="25"/>
      <c r="OH382" s="25"/>
      <c r="OI382" s="25"/>
      <c r="OJ382" s="25"/>
      <c r="OK382" s="25"/>
      <c r="OL382" s="25"/>
      <c r="OM382" s="25"/>
      <c r="ON382" s="25"/>
      <c r="OO382" s="25"/>
      <c r="OP382" s="25"/>
      <c r="OQ382" s="25"/>
      <c r="OR382" s="25"/>
      <c r="OS382" s="25"/>
      <c r="OT382" s="25"/>
      <c r="OU382" s="25"/>
      <c r="OV382" s="25"/>
      <c r="OW382" s="25"/>
      <c r="OX382" s="25"/>
      <c r="OY382" s="25"/>
      <c r="OZ382" s="25"/>
      <c r="PA382" s="25"/>
      <c r="PB382" s="25"/>
      <c r="PC382" s="25"/>
      <c r="PD382" s="25"/>
      <c r="PE382" s="25"/>
      <c r="PF382" s="25"/>
      <c r="PG382" s="25"/>
      <c r="PH382" s="25"/>
      <c r="PI382" s="25"/>
      <c r="PJ382" s="25"/>
      <c r="PK382" s="25"/>
      <c r="PL382" s="25"/>
      <c r="PM382" s="25"/>
      <c r="PN382" s="25"/>
      <c r="PO382" s="25"/>
      <c r="PP382" s="25"/>
      <c r="PQ382" s="25"/>
      <c r="PR382" s="25"/>
      <c r="PS382" s="25"/>
      <c r="PT382" s="25"/>
      <c r="PU382" s="25"/>
      <c r="PV382" s="25"/>
      <c r="PW382" s="25"/>
      <c r="PX382" s="25"/>
      <c r="PY382" s="25"/>
      <c r="PZ382" s="25"/>
      <c r="QA382" s="25"/>
      <c r="QB382" s="25"/>
      <c r="QC382" s="25"/>
      <c r="QD382" s="25"/>
      <c r="QE382" s="25"/>
      <c r="QF382" s="25"/>
      <c r="QG382" s="25"/>
      <c r="QH382" s="25"/>
      <c r="QI382" s="25"/>
      <c r="QJ382" s="25"/>
      <c r="QK382" s="25"/>
      <c r="QL382" s="25"/>
      <c r="QM382" s="25"/>
      <c r="QN382" s="25"/>
      <c r="QO382" s="25"/>
      <c r="QP382" s="25"/>
      <c r="QQ382" s="25"/>
      <c r="QR382" s="25"/>
      <c r="QS382" s="25"/>
      <c r="QT382" s="25"/>
      <c r="QU382" s="25"/>
      <c r="QV382" s="25"/>
      <c r="QW382" s="25"/>
      <c r="QX382" s="499">
        <v>45958.0</v>
      </c>
    </row>
    <row r="383">
      <c r="A383" s="12"/>
      <c r="B383" s="12"/>
      <c r="C383" s="12"/>
      <c r="D383" s="12"/>
      <c r="E383" s="12"/>
      <c r="F383" s="12"/>
      <c r="G383" s="12"/>
      <c r="H383" s="12"/>
      <c r="I383" s="143">
        <f t="shared" si="5"/>
        <v>-2</v>
      </c>
      <c r="J383" s="144">
        <v>45958.0</v>
      </c>
      <c r="K383" s="195" t="s">
        <v>61</v>
      </c>
      <c r="L383" s="144">
        <v>45964.0</v>
      </c>
      <c r="M383" s="147" t="s">
        <v>348</v>
      </c>
      <c r="N383" s="148">
        <v>357.0</v>
      </c>
      <c r="O383" s="148">
        <v>30.0</v>
      </c>
      <c r="P383" s="26"/>
      <c r="Q383" s="26"/>
      <c r="R383" s="26"/>
      <c r="S383" s="26"/>
      <c r="T383" s="26"/>
      <c r="U383" s="147" t="s">
        <v>2519</v>
      </c>
      <c r="V383" s="149" t="s">
        <v>307</v>
      </c>
      <c r="W383" s="150" t="s">
        <v>3143</v>
      </c>
      <c r="X383" s="181">
        <v>2.0</v>
      </c>
      <c r="Y383" s="166">
        <f t="shared" si="6"/>
        <v>2</v>
      </c>
      <c r="Z383" s="26">
        <f t="shared" si="7"/>
        <v>0</v>
      </c>
      <c r="AA383" s="26">
        <f t="shared" si="8"/>
        <v>0</v>
      </c>
      <c r="AB383" s="26">
        <f t="shared" si="9"/>
        <v>0</v>
      </c>
      <c r="AC383" s="155">
        <v>0.0</v>
      </c>
      <c r="AD383" s="155">
        <v>0.0</v>
      </c>
      <c r="AE383" s="155">
        <v>0.0</v>
      </c>
      <c r="AF383" s="155">
        <v>0.0</v>
      </c>
      <c r="AG383" s="155">
        <v>0.0</v>
      </c>
      <c r="AH383" s="155">
        <v>0.0</v>
      </c>
      <c r="BN383" s="155">
        <v>0.0</v>
      </c>
      <c r="BO383" s="155">
        <v>0.0</v>
      </c>
      <c r="BP383" s="155">
        <v>0.0</v>
      </c>
      <c r="BQ383" s="155">
        <v>0.0</v>
      </c>
      <c r="BR383" s="155">
        <v>0.0</v>
      </c>
      <c r="BS383" s="155">
        <v>0.0</v>
      </c>
      <c r="CV383" s="156">
        <v>0.0</v>
      </c>
      <c r="CW383" s="156">
        <v>0.0</v>
      </c>
      <c r="CX383" s="156">
        <v>0.0</v>
      </c>
      <c r="CY383" s="156">
        <v>0.0</v>
      </c>
      <c r="CZ383" s="156">
        <v>0.0</v>
      </c>
      <c r="DA383" s="156">
        <v>0.0</v>
      </c>
      <c r="EG383" s="156">
        <v>0.0</v>
      </c>
      <c r="EH383" s="156">
        <v>0.0</v>
      </c>
      <c r="EI383" s="156">
        <v>0.0</v>
      </c>
      <c r="EJ383" s="156">
        <v>0.0</v>
      </c>
      <c r="EK383" s="156">
        <v>0.0</v>
      </c>
      <c r="EL383" s="156">
        <v>0.0</v>
      </c>
      <c r="FQ383" s="156">
        <v>0.0</v>
      </c>
      <c r="FR383" s="156">
        <v>0.0</v>
      </c>
      <c r="FS383" s="156">
        <v>0.0</v>
      </c>
      <c r="FT383" s="156">
        <v>0.0</v>
      </c>
      <c r="FU383" s="156">
        <v>0.0</v>
      </c>
      <c r="FV383" s="156">
        <v>0.0</v>
      </c>
      <c r="FW383" s="157"/>
      <c r="FX383" s="157"/>
      <c r="FY383" s="157"/>
      <c r="FZ383" s="157"/>
      <c r="GA383" s="157"/>
      <c r="GB383" s="157"/>
      <c r="GC383" s="157"/>
      <c r="GD383" s="157"/>
      <c r="GE383" s="157"/>
      <c r="GF383" s="157"/>
      <c r="GG383" s="157"/>
      <c r="GH383" s="157"/>
      <c r="GI383" s="157"/>
      <c r="GJ383" s="157"/>
      <c r="GK383" s="157"/>
      <c r="GL383" s="157"/>
      <c r="GM383" s="157"/>
      <c r="GN383" s="157"/>
      <c r="GO383" s="157"/>
      <c r="GP383" s="158"/>
      <c r="GQ383" s="157"/>
      <c r="GR383" s="157"/>
      <c r="GS383" s="157"/>
      <c r="GT383" s="157"/>
      <c r="GU383" s="157"/>
      <c r="GV383" s="157"/>
      <c r="GW383" s="157"/>
      <c r="GX383" s="157"/>
      <c r="GY383" s="157"/>
      <c r="GZ383" s="157"/>
      <c r="HA383" s="157"/>
      <c r="HB383" s="155">
        <v>0.0</v>
      </c>
      <c r="HC383" s="155">
        <v>0.0</v>
      </c>
      <c r="HD383" s="155">
        <v>0.0</v>
      </c>
      <c r="HE383" s="155">
        <v>0.0</v>
      </c>
      <c r="HF383" s="155">
        <v>0.0</v>
      </c>
      <c r="HG383" s="155">
        <v>0.0</v>
      </c>
      <c r="IL383" s="159">
        <v>0.0</v>
      </c>
      <c r="IM383" s="156">
        <v>0.0</v>
      </c>
      <c r="IN383" s="156">
        <v>0.0</v>
      </c>
      <c r="IO383" s="156">
        <v>0.0</v>
      </c>
      <c r="IP383" s="156">
        <v>0.0</v>
      </c>
      <c r="IQ383" s="160">
        <v>0.0</v>
      </c>
      <c r="JH383" s="25"/>
      <c r="JW383" s="159">
        <v>0.0</v>
      </c>
      <c r="JX383" s="156">
        <v>0.0</v>
      </c>
      <c r="JY383" s="156">
        <v>0.0</v>
      </c>
      <c r="JZ383" s="156">
        <v>0.0</v>
      </c>
      <c r="KA383" s="156">
        <v>0.0</v>
      </c>
      <c r="KB383" s="160">
        <v>0.0</v>
      </c>
      <c r="LH383" s="159">
        <f t="shared" si="10"/>
        <v>0</v>
      </c>
      <c r="LI383" s="156">
        <f t="shared" si="11"/>
        <v>0</v>
      </c>
      <c r="LJ383" s="156">
        <f t="shared" si="12"/>
        <v>0</v>
      </c>
      <c r="LK383" s="156">
        <f t="shared" si="13"/>
        <v>0</v>
      </c>
      <c r="LL383" s="156">
        <f t="shared" si="14"/>
        <v>0</v>
      </c>
      <c r="LM383" s="160">
        <f t="shared" si="15"/>
        <v>0</v>
      </c>
      <c r="QX383" s="107">
        <v>45959.0</v>
      </c>
    </row>
    <row r="384">
      <c r="A384" s="12"/>
      <c r="B384" s="12"/>
      <c r="C384" s="12"/>
      <c r="D384" s="12"/>
      <c r="E384" s="12"/>
      <c r="F384" s="12"/>
      <c r="G384" s="12"/>
      <c r="H384" s="12"/>
      <c r="I384" s="143">
        <f t="shared" si="5"/>
        <v>-30</v>
      </c>
      <c r="J384" s="500">
        <v>45985.0</v>
      </c>
      <c r="K384" s="145" t="s">
        <v>61</v>
      </c>
      <c r="L384" s="501">
        <v>46084.0</v>
      </c>
      <c r="M384" s="502" t="s">
        <v>3144</v>
      </c>
      <c r="N384" s="503">
        <v>246.0</v>
      </c>
      <c r="O384" s="503">
        <v>30.0</v>
      </c>
      <c r="P384" s="504"/>
      <c r="Q384" s="504"/>
      <c r="R384" s="504"/>
      <c r="S384" s="504"/>
      <c r="T384" s="504"/>
      <c r="U384" s="502" t="s">
        <v>3145</v>
      </c>
      <c r="V384" s="505"/>
      <c r="W384" s="506" t="s">
        <v>3146</v>
      </c>
      <c r="X384" s="181">
        <v>14.0</v>
      </c>
      <c r="Y384" s="166">
        <f t="shared" si="6"/>
        <v>30</v>
      </c>
      <c r="Z384" s="26">
        <f t="shared" si="7"/>
        <v>0</v>
      </c>
      <c r="AA384" s="26">
        <f t="shared" si="8"/>
        <v>0</v>
      </c>
      <c r="AB384" s="26">
        <f t="shared" si="9"/>
        <v>0</v>
      </c>
      <c r="AC384" s="155">
        <v>10.0</v>
      </c>
      <c r="AD384" s="155">
        <v>0.0</v>
      </c>
      <c r="AE384" s="155">
        <v>0.0</v>
      </c>
      <c r="AF384" s="155">
        <v>0.0</v>
      </c>
      <c r="AG384" s="155">
        <v>0.0</v>
      </c>
      <c r="AH384" s="155">
        <v>0.0</v>
      </c>
      <c r="AI384" s="167"/>
      <c r="AJ384" s="167"/>
      <c r="AK384" s="167"/>
      <c r="AL384" s="167"/>
      <c r="AM384" s="167"/>
      <c r="AN384" s="167"/>
      <c r="AO384" s="167">
        <v>1.0</v>
      </c>
      <c r="AP384" s="168">
        <v>1.0</v>
      </c>
      <c r="AQ384" s="167">
        <v>1.0</v>
      </c>
      <c r="AR384" s="167"/>
      <c r="AS384" s="167"/>
      <c r="AT384" s="167"/>
      <c r="AU384" s="167"/>
      <c r="AV384" s="167">
        <v>1.0</v>
      </c>
      <c r="AW384" s="167">
        <v>0.0</v>
      </c>
      <c r="AX384" s="167"/>
      <c r="AY384" s="167">
        <v>0.0</v>
      </c>
      <c r="AZ384" s="167">
        <v>0.0</v>
      </c>
      <c r="BA384" s="167">
        <v>1.0</v>
      </c>
      <c r="BB384" s="167">
        <v>0.0</v>
      </c>
      <c r="BC384" s="167">
        <v>1.0</v>
      </c>
      <c r="BD384" s="167">
        <v>0.0</v>
      </c>
      <c r="BE384" s="167">
        <v>1.0</v>
      </c>
      <c r="BF384" s="167">
        <v>0.0</v>
      </c>
      <c r="BG384" s="167">
        <v>0.0</v>
      </c>
      <c r="BH384" s="167">
        <v>1.0</v>
      </c>
      <c r="BI384" s="167">
        <v>0.0</v>
      </c>
      <c r="BJ384" s="167">
        <v>1.0</v>
      </c>
      <c r="BK384" s="167">
        <v>0.0</v>
      </c>
      <c r="BL384" s="167">
        <v>1.0</v>
      </c>
      <c r="BM384" s="167">
        <v>0.0</v>
      </c>
      <c r="BN384" s="155">
        <v>6.0</v>
      </c>
      <c r="BO384" s="155">
        <v>0.0</v>
      </c>
      <c r="BP384" s="155">
        <v>0.0</v>
      </c>
      <c r="BQ384" s="155">
        <v>0.0</v>
      </c>
      <c r="BR384" s="155">
        <v>0.0</v>
      </c>
      <c r="BS384" s="155">
        <v>0.0</v>
      </c>
      <c r="BT384" s="167">
        <v>0.0</v>
      </c>
      <c r="BU384" s="167">
        <v>1.0</v>
      </c>
      <c r="BV384" s="167">
        <v>0.0</v>
      </c>
      <c r="BW384" s="167">
        <v>1.0</v>
      </c>
      <c r="BX384" s="167"/>
      <c r="BY384" s="167"/>
      <c r="BZ384" s="167"/>
      <c r="CA384" s="167"/>
      <c r="CB384" s="167"/>
      <c r="CC384" s="167"/>
      <c r="CD384" s="167">
        <v>1.0</v>
      </c>
      <c r="CE384" s="167"/>
      <c r="CF384" s="167"/>
      <c r="CG384" s="167"/>
      <c r="CH384" s="167"/>
      <c r="CI384" s="167"/>
      <c r="CJ384" s="167"/>
      <c r="CK384" s="167"/>
      <c r="CL384" s="167"/>
      <c r="CM384" s="167"/>
      <c r="CN384" s="167"/>
      <c r="CO384" s="167"/>
      <c r="CP384" s="167">
        <v>1.0</v>
      </c>
      <c r="CQ384" s="167">
        <v>0.0</v>
      </c>
      <c r="CR384" s="167">
        <v>1.0</v>
      </c>
      <c r="CS384" s="167">
        <v>0.0</v>
      </c>
      <c r="CT384" s="167">
        <v>1.0</v>
      </c>
      <c r="CU384" s="167">
        <v>0.0</v>
      </c>
      <c r="CV384" s="156">
        <v>0.0</v>
      </c>
      <c r="CW384" s="156">
        <v>0.0</v>
      </c>
      <c r="CX384" s="156">
        <v>0.0</v>
      </c>
      <c r="CY384" s="156">
        <v>0.0</v>
      </c>
      <c r="CZ384" s="156">
        <v>0.0</v>
      </c>
      <c r="DA384" s="156">
        <v>0.0</v>
      </c>
      <c r="EG384" s="156">
        <v>0.0</v>
      </c>
      <c r="EH384" s="156">
        <v>0.0</v>
      </c>
      <c r="EI384" s="156">
        <v>0.0</v>
      </c>
      <c r="EJ384" s="156">
        <v>0.0</v>
      </c>
      <c r="EK384" s="156">
        <v>0.0</v>
      </c>
      <c r="EL384" s="156">
        <v>0.0</v>
      </c>
      <c r="FQ384" s="156">
        <v>0.0</v>
      </c>
      <c r="FR384" s="156">
        <v>0.0</v>
      </c>
      <c r="FS384" s="156">
        <v>0.0</v>
      </c>
      <c r="FT384" s="156">
        <v>0.0</v>
      </c>
      <c r="FU384" s="156">
        <v>0.0</v>
      </c>
      <c r="FV384" s="156">
        <v>0.0</v>
      </c>
      <c r="FW384" s="157"/>
      <c r="FX384" s="157"/>
      <c r="FY384" s="157"/>
      <c r="FZ384" s="157"/>
      <c r="GA384" s="157"/>
      <c r="GB384" s="157"/>
      <c r="GC384" s="157"/>
      <c r="GD384" s="157"/>
      <c r="GE384" s="157"/>
      <c r="GF384" s="157"/>
      <c r="GG384" s="157"/>
      <c r="GH384" s="157"/>
      <c r="GI384" s="157"/>
      <c r="GJ384" s="157"/>
      <c r="GK384" s="157"/>
      <c r="GL384" s="157"/>
      <c r="GM384" s="157"/>
      <c r="GN384" s="157"/>
      <c r="GO384" s="157"/>
      <c r="GP384" s="158"/>
      <c r="GQ384" s="157"/>
      <c r="GR384" s="157"/>
      <c r="GS384" s="157"/>
      <c r="GT384" s="157"/>
      <c r="GU384" s="157"/>
      <c r="GV384" s="157"/>
      <c r="GW384" s="157"/>
      <c r="GX384" s="157"/>
      <c r="GY384" s="157"/>
      <c r="GZ384" s="157"/>
      <c r="HA384" s="157"/>
      <c r="HB384" s="155">
        <v>0.0</v>
      </c>
      <c r="HC384" s="155">
        <v>0.0</v>
      </c>
      <c r="HD384" s="155">
        <v>0.0</v>
      </c>
      <c r="HE384" s="155">
        <v>0.0</v>
      </c>
      <c r="HF384" s="155">
        <v>0.0</v>
      </c>
      <c r="HG384" s="155">
        <v>0.0</v>
      </c>
      <c r="IL384" s="159">
        <v>0.0</v>
      </c>
      <c r="IM384" s="156">
        <v>0.0</v>
      </c>
      <c r="IN384" s="156">
        <v>0.0</v>
      </c>
      <c r="IO384" s="156">
        <v>0.0</v>
      </c>
      <c r="IP384" s="156">
        <v>0.0</v>
      </c>
      <c r="IQ384" s="160">
        <v>0.0</v>
      </c>
      <c r="JH384" s="25"/>
      <c r="JW384" s="159">
        <v>0.0</v>
      </c>
      <c r="JX384" s="156">
        <v>0.0</v>
      </c>
      <c r="JY384" s="156">
        <v>0.0</v>
      </c>
      <c r="JZ384" s="156">
        <v>0.0</v>
      </c>
      <c r="KA384" s="156">
        <v>0.0</v>
      </c>
      <c r="KB384" s="160">
        <v>0.0</v>
      </c>
      <c r="LH384" s="159">
        <f t="shared" si="10"/>
        <v>0</v>
      </c>
      <c r="LI384" s="156">
        <f t="shared" si="11"/>
        <v>0</v>
      </c>
      <c r="LJ384" s="156">
        <f t="shared" si="12"/>
        <v>0</v>
      </c>
      <c r="LK384" s="156">
        <f t="shared" si="13"/>
        <v>0</v>
      </c>
      <c r="LL384" s="156">
        <f t="shared" si="14"/>
        <v>0</v>
      </c>
      <c r="LM384" s="160">
        <f t="shared" si="15"/>
        <v>0</v>
      </c>
      <c r="QX384" s="107">
        <v>45959.0</v>
      </c>
    </row>
    <row r="385">
      <c r="A385" s="12"/>
      <c r="B385" s="12"/>
      <c r="C385" s="12"/>
      <c r="D385" s="12"/>
      <c r="E385" s="12"/>
      <c r="F385" s="12"/>
      <c r="G385" s="12"/>
      <c r="H385" s="12"/>
      <c r="I385" s="143">
        <f t="shared" si="5"/>
        <v>-30</v>
      </c>
      <c r="J385" s="144">
        <v>45957.0</v>
      </c>
      <c r="K385" s="195" t="s">
        <v>61</v>
      </c>
      <c r="L385" s="171">
        <v>46155.0</v>
      </c>
      <c r="M385" s="147" t="s">
        <v>400</v>
      </c>
      <c r="N385" s="148">
        <v>26.0</v>
      </c>
      <c r="O385" s="148">
        <v>30.0</v>
      </c>
      <c r="P385" s="26"/>
      <c r="Q385" s="26"/>
      <c r="R385" s="26"/>
      <c r="S385" s="26"/>
      <c r="T385" s="26"/>
      <c r="U385" s="147" t="s">
        <v>3147</v>
      </c>
      <c r="V385" s="149" t="s">
        <v>2893</v>
      </c>
      <c r="W385" s="198" t="s">
        <v>3148</v>
      </c>
      <c r="X385" s="181">
        <v>14.0</v>
      </c>
      <c r="Y385" s="166">
        <f t="shared" si="6"/>
        <v>30</v>
      </c>
      <c r="Z385" s="26">
        <f t="shared" si="7"/>
        <v>0</v>
      </c>
      <c r="AA385" s="26">
        <f t="shared" si="8"/>
        <v>0</v>
      </c>
      <c r="AB385" s="26">
        <f t="shared" si="9"/>
        <v>0</v>
      </c>
      <c r="AC385" s="155">
        <v>4.0</v>
      </c>
      <c r="AD385" s="155">
        <v>0.0</v>
      </c>
      <c r="AE385" s="155">
        <v>0.0</v>
      </c>
      <c r="AF385" s="155">
        <v>0.0</v>
      </c>
      <c r="AG385" s="155">
        <v>0.0</v>
      </c>
      <c r="AH385" s="155">
        <v>0.0</v>
      </c>
      <c r="AQ385" s="86">
        <v>1.0</v>
      </c>
      <c r="AT385" s="86">
        <v>1.0</v>
      </c>
      <c r="BE385" s="86">
        <v>1.0</v>
      </c>
      <c r="BH385" s="86">
        <v>1.0</v>
      </c>
      <c r="BN385" s="155">
        <v>3.0</v>
      </c>
      <c r="BO385" s="155">
        <v>0.0</v>
      </c>
      <c r="BP385" s="155">
        <v>0.0</v>
      </c>
      <c r="BQ385" s="155">
        <v>0.0</v>
      </c>
      <c r="BR385" s="155">
        <v>0.0</v>
      </c>
      <c r="BS385" s="155">
        <v>0.0</v>
      </c>
      <c r="BY385" s="86">
        <v>1.0</v>
      </c>
      <c r="CF385" s="86">
        <v>1.0</v>
      </c>
      <c r="CT385" s="86">
        <v>1.0</v>
      </c>
      <c r="CV385" s="156">
        <v>6.0</v>
      </c>
      <c r="CW385" s="156">
        <v>0.0</v>
      </c>
      <c r="CX385" s="156">
        <v>0.0</v>
      </c>
      <c r="CY385" s="156">
        <v>0.0</v>
      </c>
      <c r="CZ385" s="156">
        <v>0.0</v>
      </c>
      <c r="DA385" s="156">
        <v>0.0</v>
      </c>
      <c r="DC385" s="86">
        <v>1.0</v>
      </c>
      <c r="DG385" s="86">
        <v>1.0</v>
      </c>
      <c r="DN385" s="86">
        <v>1.0</v>
      </c>
      <c r="DU385" s="86">
        <v>1.0</v>
      </c>
      <c r="DX385" s="86">
        <v>1.0</v>
      </c>
      <c r="EB385" s="86">
        <v>1.0</v>
      </c>
      <c r="EG385" s="156">
        <v>3.0</v>
      </c>
      <c r="EH385" s="156">
        <v>0.0</v>
      </c>
      <c r="EI385" s="156">
        <v>0.0</v>
      </c>
      <c r="EJ385" s="156">
        <v>0.0</v>
      </c>
      <c r="EK385" s="156">
        <v>0.0</v>
      </c>
      <c r="EL385" s="156">
        <v>0.0</v>
      </c>
      <c r="EO385" s="86">
        <v>1.0</v>
      </c>
      <c r="ER385" s="86">
        <v>1.0</v>
      </c>
      <c r="FC385" s="86">
        <v>1.0</v>
      </c>
      <c r="FQ385" s="156">
        <v>0.0</v>
      </c>
      <c r="FR385" s="156">
        <v>0.0</v>
      </c>
      <c r="FS385" s="156">
        <v>0.0</v>
      </c>
      <c r="FT385" s="156">
        <v>0.0</v>
      </c>
      <c r="FU385" s="156">
        <v>0.0</v>
      </c>
      <c r="FV385" s="156">
        <v>0.0</v>
      </c>
      <c r="FW385" s="157"/>
      <c r="FX385" s="157"/>
      <c r="FY385" s="157"/>
      <c r="FZ385" s="157"/>
      <c r="GA385" s="157"/>
      <c r="GB385" s="157"/>
      <c r="GC385" s="157"/>
      <c r="GD385" s="157"/>
      <c r="GE385" s="157"/>
      <c r="GF385" s="157"/>
      <c r="GG385" s="157"/>
      <c r="GH385" s="157"/>
      <c r="GI385" s="157"/>
      <c r="GJ385" s="157"/>
      <c r="GK385" s="157"/>
      <c r="GL385" s="157"/>
      <c r="GM385" s="157"/>
      <c r="GN385" s="157"/>
      <c r="GO385" s="157"/>
      <c r="GP385" s="158"/>
      <c r="GQ385" s="157"/>
      <c r="GR385" s="157"/>
      <c r="GS385" s="157"/>
      <c r="GT385" s="157"/>
      <c r="GU385" s="157"/>
      <c r="GV385" s="157"/>
      <c r="GW385" s="157"/>
      <c r="GX385" s="157"/>
      <c r="GY385" s="157"/>
      <c r="GZ385" s="157"/>
      <c r="HA385" s="157"/>
      <c r="HB385" s="155">
        <v>0.0</v>
      </c>
      <c r="HC385" s="155">
        <v>0.0</v>
      </c>
      <c r="HD385" s="155">
        <v>0.0</v>
      </c>
      <c r="HE385" s="155">
        <v>0.0</v>
      </c>
      <c r="HF385" s="155">
        <v>0.0</v>
      </c>
      <c r="HG385" s="155">
        <v>0.0</v>
      </c>
      <c r="IL385" s="159">
        <v>0.0</v>
      </c>
      <c r="IM385" s="156">
        <v>0.0</v>
      </c>
      <c r="IN385" s="156">
        <v>0.0</v>
      </c>
      <c r="IO385" s="156">
        <v>0.0</v>
      </c>
      <c r="IP385" s="156">
        <v>0.0</v>
      </c>
      <c r="IQ385" s="160">
        <v>0.0</v>
      </c>
      <c r="JH385" s="25"/>
      <c r="JW385" s="159">
        <v>0.0</v>
      </c>
      <c r="JX385" s="156">
        <v>0.0</v>
      </c>
      <c r="JY385" s="156">
        <v>0.0</v>
      </c>
      <c r="JZ385" s="156">
        <v>0.0</v>
      </c>
      <c r="KA385" s="156">
        <v>0.0</v>
      </c>
      <c r="KB385" s="160">
        <v>0.0</v>
      </c>
      <c r="LH385" s="159">
        <f t="shared" si="10"/>
        <v>0</v>
      </c>
      <c r="LI385" s="156">
        <f t="shared" si="11"/>
        <v>0</v>
      </c>
      <c r="LJ385" s="156">
        <f t="shared" si="12"/>
        <v>0</v>
      </c>
      <c r="LK385" s="156">
        <f t="shared" si="13"/>
        <v>0</v>
      </c>
      <c r="LL385" s="156">
        <f t="shared" si="14"/>
        <v>0</v>
      </c>
      <c r="LM385" s="160">
        <f t="shared" si="15"/>
        <v>0</v>
      </c>
      <c r="QX385" s="107">
        <v>45959.0</v>
      </c>
    </row>
    <row r="386">
      <c r="A386" s="126"/>
      <c r="B386" s="126"/>
      <c r="C386" s="12"/>
      <c r="D386" s="12"/>
      <c r="E386" s="58"/>
      <c r="F386" s="12"/>
      <c r="G386" s="12"/>
      <c r="H386" s="12"/>
      <c r="I386" s="143">
        <f t="shared" si="5"/>
        <v>-60</v>
      </c>
      <c r="J386" s="144">
        <v>45960.0</v>
      </c>
      <c r="K386" s="164" t="s">
        <v>61</v>
      </c>
      <c r="L386" s="171">
        <v>46203.0</v>
      </c>
      <c r="M386" s="147" t="s">
        <v>107</v>
      </c>
      <c r="N386" s="148">
        <v>357.0</v>
      </c>
      <c r="O386" s="148">
        <v>30.0</v>
      </c>
      <c r="P386" s="26"/>
      <c r="Q386" s="26"/>
      <c r="R386" s="26"/>
      <c r="S386" s="26"/>
      <c r="T386" s="26"/>
      <c r="U386" s="147" t="s">
        <v>3149</v>
      </c>
      <c r="V386" s="149" t="s">
        <v>1553</v>
      </c>
      <c r="W386" s="248" t="s">
        <v>3150</v>
      </c>
      <c r="X386" s="181">
        <v>22.0</v>
      </c>
      <c r="Y386" s="166">
        <f t="shared" si="6"/>
        <v>60</v>
      </c>
      <c r="Z386" s="26">
        <f t="shared" si="7"/>
        <v>0</v>
      </c>
      <c r="AA386" s="26">
        <f t="shared" si="8"/>
        <v>0</v>
      </c>
      <c r="AB386" s="26">
        <f t="shared" si="9"/>
        <v>0</v>
      </c>
      <c r="AC386" s="155">
        <v>7.0</v>
      </c>
      <c r="AD386" s="155">
        <v>0.0</v>
      </c>
      <c r="AE386" s="155">
        <v>0.0</v>
      </c>
      <c r="AF386" s="155">
        <v>0.0</v>
      </c>
      <c r="AG386" s="155">
        <v>0.0</v>
      </c>
      <c r="AH386" s="155">
        <v>0.0</v>
      </c>
      <c r="AI386" s="167"/>
      <c r="AJ386" s="167"/>
      <c r="AK386" s="167">
        <v>1.0</v>
      </c>
      <c r="AL386" s="167">
        <v>0.0</v>
      </c>
      <c r="AM386" s="167">
        <v>0.0</v>
      </c>
      <c r="AN386" s="167">
        <v>1.0</v>
      </c>
      <c r="AO386" s="167">
        <v>0.0</v>
      </c>
      <c r="AP386" s="167">
        <v>1.0</v>
      </c>
      <c r="AQ386" s="167">
        <v>0.0</v>
      </c>
      <c r="AR386" s="167">
        <v>1.0</v>
      </c>
      <c r="AS386" s="167">
        <v>0.0</v>
      </c>
      <c r="AT386" s="167">
        <v>0.0</v>
      </c>
      <c r="AU386" s="167"/>
      <c r="AV386" s="167">
        <v>0.0</v>
      </c>
      <c r="AW386" s="167">
        <v>1.0</v>
      </c>
      <c r="AX386" s="167">
        <v>0.0</v>
      </c>
      <c r="AY386" s="167">
        <v>1.0</v>
      </c>
      <c r="AZ386" s="167"/>
      <c r="BA386" s="167"/>
      <c r="BB386" s="167"/>
      <c r="BC386" s="167"/>
      <c r="BD386" s="167"/>
      <c r="BE386" s="167"/>
      <c r="BF386" s="167"/>
      <c r="BG386" s="167"/>
      <c r="BH386" s="167"/>
      <c r="BI386" s="167"/>
      <c r="BJ386" s="167"/>
      <c r="BK386" s="167"/>
      <c r="BL386" s="167"/>
      <c r="BM386" s="167">
        <v>1.0</v>
      </c>
      <c r="BN386" s="155">
        <v>6.0</v>
      </c>
      <c r="BO386" s="155">
        <v>0.0</v>
      </c>
      <c r="BP386" s="155">
        <v>0.0</v>
      </c>
      <c r="BQ386" s="155">
        <v>0.0</v>
      </c>
      <c r="BR386" s="155">
        <v>0.0</v>
      </c>
      <c r="BS386" s="155">
        <v>0.0</v>
      </c>
      <c r="BT386" s="167">
        <v>0.0</v>
      </c>
      <c r="BU386" s="168">
        <v>1.0</v>
      </c>
      <c r="BV386" s="167"/>
      <c r="BW386" s="167"/>
      <c r="BX386" s="167"/>
      <c r="BY386" s="167"/>
      <c r="BZ386" s="167">
        <v>1.0</v>
      </c>
      <c r="CA386" s="167">
        <v>0.0</v>
      </c>
      <c r="CB386" s="167">
        <v>0.0</v>
      </c>
      <c r="CC386" s="167">
        <v>1.0</v>
      </c>
      <c r="CD386" s="167">
        <v>0.0</v>
      </c>
      <c r="CE386" s="167"/>
      <c r="CF386" s="168">
        <v>1.0</v>
      </c>
      <c r="CG386" s="167"/>
      <c r="CH386" s="167"/>
      <c r="CI386" s="167"/>
      <c r="CJ386" s="167"/>
      <c r="CK386" s="167"/>
      <c r="CL386" s="167"/>
      <c r="CM386" s="167"/>
      <c r="CN386" s="167"/>
      <c r="CO386" s="167"/>
      <c r="CP386" s="167"/>
      <c r="CQ386" s="167">
        <v>1.0</v>
      </c>
      <c r="CR386" s="167">
        <v>0.0</v>
      </c>
      <c r="CS386" s="167">
        <v>1.0</v>
      </c>
      <c r="CT386" s="167"/>
      <c r="CU386" s="167"/>
      <c r="CV386" s="156">
        <v>10.0</v>
      </c>
      <c r="CW386" s="156">
        <v>0.0</v>
      </c>
      <c r="CX386" s="156">
        <v>0.0</v>
      </c>
      <c r="CY386" s="156">
        <v>0.0</v>
      </c>
      <c r="CZ386" s="156">
        <v>0.0</v>
      </c>
      <c r="DA386" s="156">
        <v>0.0</v>
      </c>
      <c r="DB386" s="395">
        <v>0.0</v>
      </c>
      <c r="DC386" s="395">
        <v>0.0</v>
      </c>
      <c r="DD386" s="395">
        <v>1.0</v>
      </c>
      <c r="DE386" s="395">
        <v>0.0</v>
      </c>
      <c r="DF386" s="395">
        <v>1.0</v>
      </c>
      <c r="DG386" s="395">
        <v>0.0</v>
      </c>
      <c r="DH386" s="395">
        <v>1.0</v>
      </c>
      <c r="DI386" s="395">
        <v>0.0</v>
      </c>
      <c r="DJ386" s="395">
        <v>0.0</v>
      </c>
      <c r="DK386" s="395">
        <v>1.0</v>
      </c>
      <c r="DL386" s="395">
        <v>0.0</v>
      </c>
      <c r="DM386" s="395"/>
      <c r="DN386" s="395">
        <v>0.0</v>
      </c>
      <c r="DO386" s="395">
        <v>1.0</v>
      </c>
      <c r="DP386" s="395">
        <v>0.0</v>
      </c>
      <c r="DQ386" s="395">
        <v>0.0</v>
      </c>
      <c r="DR386" s="395">
        <v>1.0</v>
      </c>
      <c r="DS386" s="395">
        <v>0.0</v>
      </c>
      <c r="DT386" s="395">
        <v>1.0</v>
      </c>
      <c r="DU386" s="395">
        <v>0.0</v>
      </c>
      <c r="DV386" s="395">
        <v>1.0</v>
      </c>
      <c r="DW386" s="395">
        <v>0.0</v>
      </c>
      <c r="DX386" s="395">
        <v>1.0</v>
      </c>
      <c r="DY386" s="395"/>
      <c r="DZ386" s="395"/>
      <c r="EA386" s="395"/>
      <c r="EB386" s="395"/>
      <c r="EC386" s="395"/>
      <c r="ED386" s="395"/>
      <c r="EE386" s="395"/>
      <c r="EF386" s="395">
        <v>1.0</v>
      </c>
      <c r="EG386" s="156">
        <v>8.0</v>
      </c>
      <c r="EH386" s="156">
        <v>0.0</v>
      </c>
      <c r="EI386" s="156">
        <v>0.0</v>
      </c>
      <c r="EJ386" s="156">
        <v>0.0</v>
      </c>
      <c r="EK386" s="156">
        <v>0.0</v>
      </c>
      <c r="EL386" s="156">
        <v>0.0</v>
      </c>
      <c r="ER386" s="86">
        <v>1.0</v>
      </c>
      <c r="EU386" s="86">
        <v>1.0</v>
      </c>
      <c r="EW386" s="86">
        <v>1.0</v>
      </c>
      <c r="EZ386" s="86">
        <v>1.0</v>
      </c>
      <c r="FD386" s="86">
        <v>1.0</v>
      </c>
      <c r="FG386" s="86">
        <v>1.0</v>
      </c>
      <c r="FK386" s="86">
        <v>1.0</v>
      </c>
      <c r="FN386" s="86">
        <v>1.0</v>
      </c>
      <c r="FQ386" s="156">
        <v>7.0</v>
      </c>
      <c r="FR386" s="156">
        <v>0.0</v>
      </c>
      <c r="FS386" s="156">
        <v>0.0</v>
      </c>
      <c r="FT386" s="156">
        <v>0.0</v>
      </c>
      <c r="FU386" s="156">
        <v>0.0</v>
      </c>
      <c r="FV386" s="156">
        <v>0.0</v>
      </c>
      <c r="FW386" s="172"/>
      <c r="FX386" s="172"/>
      <c r="FY386" s="172"/>
      <c r="FZ386" s="172"/>
      <c r="GA386" s="172">
        <v>1.0</v>
      </c>
      <c r="GB386" s="172">
        <v>0.0</v>
      </c>
      <c r="GC386" s="172">
        <v>1.0</v>
      </c>
      <c r="GD386" s="172">
        <v>0.0</v>
      </c>
      <c r="GE386" s="172">
        <v>1.0</v>
      </c>
      <c r="GF386" s="172"/>
      <c r="GG386" s="172"/>
      <c r="GH386" s="172"/>
      <c r="GI386" s="172"/>
      <c r="GJ386" s="172">
        <v>1.0</v>
      </c>
      <c r="GK386" s="172">
        <v>0.0</v>
      </c>
      <c r="GL386" s="172"/>
      <c r="GM386" s="172">
        <v>0.0</v>
      </c>
      <c r="GN386" s="172">
        <v>0.0</v>
      </c>
      <c r="GO386" s="172">
        <v>1.0</v>
      </c>
      <c r="GP386" s="170">
        <v>0.0</v>
      </c>
      <c r="GQ386" s="172"/>
      <c r="GR386" s="172">
        <v>0.0</v>
      </c>
      <c r="GS386" s="172">
        <v>1.0</v>
      </c>
      <c r="GT386" s="172">
        <v>0.0</v>
      </c>
      <c r="GU386" s="172">
        <v>0.0</v>
      </c>
      <c r="GV386" s="172">
        <v>1.0</v>
      </c>
      <c r="GW386" s="172"/>
      <c r="GX386" s="172"/>
      <c r="GY386" s="172"/>
      <c r="GZ386" s="172"/>
      <c r="HA386" s="172"/>
      <c r="HB386" s="155">
        <v>0.0</v>
      </c>
      <c r="HC386" s="155">
        <v>0.0</v>
      </c>
      <c r="HD386" s="155">
        <v>0.0</v>
      </c>
      <c r="HE386" s="155">
        <v>0.0</v>
      </c>
      <c r="HF386" s="155">
        <v>0.0</v>
      </c>
      <c r="HG386" s="155">
        <v>0.0</v>
      </c>
      <c r="HH386" s="172"/>
      <c r="HI386" s="172"/>
      <c r="HJ386" s="172"/>
      <c r="HK386" s="172"/>
      <c r="HL386" s="172"/>
      <c r="HM386" s="172"/>
      <c r="HN386" s="172"/>
      <c r="HO386" s="172"/>
      <c r="HP386" s="172"/>
      <c r="HQ386" s="172"/>
      <c r="HR386" s="172"/>
      <c r="HS386" s="172"/>
      <c r="HT386" s="172"/>
      <c r="HU386" s="172"/>
      <c r="HV386" s="172"/>
      <c r="HW386" s="172"/>
      <c r="HX386" s="172"/>
      <c r="HY386" s="172"/>
      <c r="HZ386" s="172"/>
      <c r="IA386" s="172"/>
      <c r="IB386" s="172"/>
      <c r="IC386" s="172"/>
      <c r="ID386" s="172"/>
      <c r="IE386" s="172"/>
      <c r="IF386" s="172"/>
      <c r="IG386" s="172"/>
      <c r="IH386" s="172"/>
      <c r="II386" s="172"/>
      <c r="IJ386" s="172"/>
      <c r="IK386" s="172"/>
      <c r="IL386" s="159">
        <v>0.0</v>
      </c>
      <c r="IM386" s="156">
        <v>0.0</v>
      </c>
      <c r="IN386" s="156">
        <v>0.0</v>
      </c>
      <c r="IO386" s="156">
        <v>0.0</v>
      </c>
      <c r="IP386" s="156">
        <v>0.0</v>
      </c>
      <c r="IQ386" s="160">
        <v>0.0</v>
      </c>
      <c r="IR386" s="172"/>
      <c r="IS386" s="172"/>
      <c r="IT386" s="172"/>
      <c r="IU386" s="172"/>
      <c r="IV386" s="172"/>
      <c r="IW386" s="172"/>
      <c r="IX386" s="172"/>
      <c r="IY386" s="172"/>
      <c r="IZ386" s="172"/>
      <c r="JA386" s="172"/>
      <c r="JB386" s="172"/>
      <c r="JC386" s="172"/>
      <c r="JD386" s="172"/>
      <c r="JE386" s="172"/>
      <c r="JF386" s="172"/>
      <c r="JG386" s="172"/>
      <c r="JH386" s="170"/>
      <c r="JI386" s="172"/>
      <c r="JJ386" s="172"/>
      <c r="JK386" s="172"/>
      <c r="JL386" s="172"/>
      <c r="JM386" s="172"/>
      <c r="JN386" s="172"/>
      <c r="JO386" s="172"/>
      <c r="JP386" s="172"/>
      <c r="JQ386" s="172"/>
      <c r="JR386" s="172"/>
      <c r="JS386" s="172"/>
      <c r="JT386" s="172"/>
      <c r="JU386" s="172"/>
      <c r="JV386" s="172"/>
      <c r="JW386" s="159">
        <v>0.0</v>
      </c>
      <c r="JX386" s="156">
        <v>0.0</v>
      </c>
      <c r="JY386" s="156">
        <v>0.0</v>
      </c>
      <c r="JZ386" s="156">
        <v>0.0</v>
      </c>
      <c r="KA386" s="156">
        <v>0.0</v>
      </c>
      <c r="KB386" s="160">
        <v>0.0</v>
      </c>
      <c r="KC386" s="172"/>
      <c r="KD386" s="172"/>
      <c r="KE386" s="172"/>
      <c r="KF386" s="172"/>
      <c r="KG386" s="172"/>
      <c r="KH386" s="172"/>
      <c r="KI386" s="172"/>
      <c r="KJ386" s="172"/>
      <c r="KK386" s="172"/>
      <c r="KL386" s="172"/>
      <c r="KM386" s="172"/>
      <c r="KN386" s="172"/>
      <c r="KO386" s="172"/>
      <c r="KP386" s="172"/>
      <c r="KQ386" s="172"/>
      <c r="KR386" s="172"/>
      <c r="KS386" s="172"/>
      <c r="KT386" s="172"/>
      <c r="KU386" s="172"/>
      <c r="KV386" s="172"/>
      <c r="KW386" s="172"/>
      <c r="KX386" s="172"/>
      <c r="KY386" s="172"/>
      <c r="KZ386" s="172"/>
      <c r="LA386" s="172"/>
      <c r="LB386" s="172"/>
      <c r="LC386" s="172"/>
      <c r="LD386" s="172"/>
      <c r="LE386" s="172"/>
      <c r="LF386" s="172"/>
      <c r="LG386" s="172"/>
      <c r="LH386" s="159">
        <f t="shared" si="10"/>
        <v>0</v>
      </c>
      <c r="LI386" s="156">
        <f t="shared" si="11"/>
        <v>0</v>
      </c>
      <c r="LJ386" s="156">
        <f t="shared" si="12"/>
        <v>0</v>
      </c>
      <c r="LK386" s="156">
        <f t="shared" si="13"/>
        <v>0</v>
      </c>
      <c r="LL386" s="156">
        <f t="shared" si="14"/>
        <v>0</v>
      </c>
      <c r="LM386" s="160">
        <f t="shared" si="15"/>
        <v>0</v>
      </c>
      <c r="QX386" s="107">
        <v>45960.0</v>
      </c>
    </row>
    <row r="387">
      <c r="A387" s="12"/>
      <c r="B387" s="12"/>
      <c r="C387" s="12"/>
      <c r="D387" s="12"/>
      <c r="E387" s="12"/>
      <c r="F387" s="12"/>
      <c r="G387" s="12"/>
      <c r="H387" s="12"/>
      <c r="I387" s="143">
        <f t="shared" si="5"/>
        <v>-12</v>
      </c>
      <c r="J387" s="144">
        <v>45961.0</v>
      </c>
      <c r="K387" s="164" t="s">
        <v>61</v>
      </c>
      <c r="L387" s="171">
        <v>46017.0</v>
      </c>
      <c r="M387" s="147" t="s">
        <v>107</v>
      </c>
      <c r="N387" s="148">
        <v>246.0</v>
      </c>
      <c r="O387" s="148">
        <v>30.0</v>
      </c>
      <c r="P387" s="26"/>
      <c r="Q387" s="26"/>
      <c r="R387" s="26"/>
      <c r="S387" s="26"/>
      <c r="T387" s="26"/>
      <c r="U387" s="147" t="s">
        <v>1231</v>
      </c>
      <c r="V387" s="149" t="s">
        <v>2705</v>
      </c>
      <c r="W387" s="198" t="s">
        <v>3151</v>
      </c>
      <c r="X387" s="181">
        <v>12.0</v>
      </c>
      <c r="Y387" s="166">
        <f t="shared" si="6"/>
        <v>12</v>
      </c>
      <c r="Z387" s="26">
        <f t="shared" si="7"/>
        <v>0</v>
      </c>
      <c r="AA387" s="26">
        <f t="shared" si="8"/>
        <v>0</v>
      </c>
      <c r="AB387" s="26">
        <f t="shared" si="9"/>
        <v>0</v>
      </c>
      <c r="AC387" s="155">
        <v>0.0</v>
      </c>
      <c r="AD387" s="155">
        <v>0.0</v>
      </c>
      <c r="AE387" s="155">
        <v>0.0</v>
      </c>
      <c r="AF387" s="155">
        <v>0.0</v>
      </c>
      <c r="AG387" s="155">
        <v>0.0</v>
      </c>
      <c r="AH387" s="155">
        <v>0.0</v>
      </c>
      <c r="AI387" s="167"/>
      <c r="AJ387" s="167"/>
      <c r="AK387" s="167"/>
      <c r="AL387" s="167"/>
      <c r="AM387" s="167"/>
      <c r="AN387" s="167"/>
      <c r="AO387" s="167"/>
      <c r="AP387" s="167"/>
      <c r="AQ387" s="167"/>
      <c r="AR387" s="167"/>
      <c r="AS387" s="167"/>
      <c r="AT387" s="167"/>
      <c r="AU387" s="167"/>
      <c r="AV387" s="167"/>
      <c r="AW387" s="167"/>
      <c r="AX387" s="167"/>
      <c r="AY387" s="167"/>
      <c r="AZ387" s="167"/>
      <c r="BA387" s="167"/>
      <c r="BB387" s="167"/>
      <c r="BC387" s="167"/>
      <c r="BD387" s="167"/>
      <c r="BE387" s="167"/>
      <c r="BF387" s="167"/>
      <c r="BG387" s="167"/>
      <c r="BH387" s="167"/>
      <c r="BI387" s="167"/>
      <c r="BJ387" s="167"/>
      <c r="BK387" s="167"/>
      <c r="BL387" s="167"/>
      <c r="BM387" s="167"/>
      <c r="BN387" s="155">
        <v>0.0</v>
      </c>
      <c r="BO387" s="155">
        <v>0.0</v>
      </c>
      <c r="BP387" s="155">
        <v>0.0</v>
      </c>
      <c r="BQ387" s="155">
        <v>0.0</v>
      </c>
      <c r="BR387" s="155">
        <v>0.0</v>
      </c>
      <c r="BS387" s="155">
        <v>0.0</v>
      </c>
      <c r="CV387" s="156">
        <v>0.0</v>
      </c>
      <c r="CW387" s="156">
        <v>0.0</v>
      </c>
      <c r="CX387" s="156">
        <v>0.0</v>
      </c>
      <c r="CY387" s="156">
        <v>0.0</v>
      </c>
      <c r="CZ387" s="156">
        <v>0.0</v>
      </c>
      <c r="DA387" s="156">
        <v>0.0</v>
      </c>
      <c r="EG387" s="156">
        <v>0.0</v>
      </c>
      <c r="EH387" s="156">
        <v>0.0</v>
      </c>
      <c r="EI387" s="156">
        <v>0.0</v>
      </c>
      <c r="EJ387" s="156">
        <v>0.0</v>
      </c>
      <c r="EK387" s="156">
        <v>0.0</v>
      </c>
      <c r="EL387" s="156">
        <v>0.0</v>
      </c>
      <c r="FQ387" s="156">
        <v>0.0</v>
      </c>
      <c r="FR387" s="156">
        <v>0.0</v>
      </c>
      <c r="FS387" s="156">
        <v>0.0</v>
      </c>
      <c r="FT387" s="156">
        <v>0.0</v>
      </c>
      <c r="FU387" s="156">
        <v>0.0</v>
      </c>
      <c r="FV387" s="156">
        <v>0.0</v>
      </c>
      <c r="FW387" s="157"/>
      <c r="FX387" s="157"/>
      <c r="FY387" s="157"/>
      <c r="FZ387" s="157"/>
      <c r="GA387" s="157"/>
      <c r="GB387" s="157"/>
      <c r="GC387" s="157"/>
      <c r="GD387" s="157"/>
      <c r="GE387" s="157"/>
      <c r="GF387" s="157"/>
      <c r="GG387" s="157"/>
      <c r="GH387" s="157"/>
      <c r="GI387" s="157"/>
      <c r="GJ387" s="157"/>
      <c r="GK387" s="157"/>
      <c r="GL387" s="157"/>
      <c r="GM387" s="157"/>
      <c r="GN387" s="157"/>
      <c r="GO387" s="157"/>
      <c r="GP387" s="158"/>
      <c r="GQ387" s="157"/>
      <c r="GR387" s="157"/>
      <c r="GS387" s="157"/>
      <c r="GT387" s="157"/>
      <c r="GU387" s="157"/>
      <c r="GV387" s="157"/>
      <c r="GW387" s="157"/>
      <c r="GX387" s="157"/>
      <c r="GY387" s="157"/>
      <c r="GZ387" s="157"/>
      <c r="HA387" s="157"/>
      <c r="HB387" s="155">
        <v>0.0</v>
      </c>
      <c r="HC387" s="155">
        <v>0.0</v>
      </c>
      <c r="HD387" s="155">
        <v>0.0</v>
      </c>
      <c r="HE387" s="155">
        <v>0.0</v>
      </c>
      <c r="HF387" s="155">
        <v>0.0</v>
      </c>
      <c r="HG387" s="155">
        <v>0.0</v>
      </c>
      <c r="IL387" s="159">
        <v>0.0</v>
      </c>
      <c r="IM387" s="156">
        <v>0.0</v>
      </c>
      <c r="IN387" s="156">
        <v>0.0</v>
      </c>
      <c r="IO387" s="156">
        <v>0.0</v>
      </c>
      <c r="IP387" s="156">
        <v>0.0</v>
      </c>
      <c r="IQ387" s="160">
        <v>0.0</v>
      </c>
      <c r="JH387" s="25"/>
      <c r="JW387" s="159">
        <v>0.0</v>
      </c>
      <c r="JX387" s="156">
        <v>0.0</v>
      </c>
      <c r="JY387" s="156">
        <v>0.0</v>
      </c>
      <c r="JZ387" s="156">
        <v>0.0</v>
      </c>
      <c r="KA387" s="156">
        <v>0.0</v>
      </c>
      <c r="KB387" s="160">
        <v>0.0</v>
      </c>
      <c r="LH387" s="159">
        <f t="shared" si="10"/>
        <v>0</v>
      </c>
      <c r="LI387" s="156">
        <f t="shared" si="11"/>
        <v>0</v>
      </c>
      <c r="LJ387" s="156">
        <f t="shared" si="12"/>
        <v>0</v>
      </c>
      <c r="LK387" s="156">
        <f t="shared" si="13"/>
        <v>0</v>
      </c>
      <c r="LL387" s="156">
        <f t="shared" si="14"/>
        <v>0</v>
      </c>
      <c r="LM387" s="160">
        <f t="shared" si="15"/>
        <v>0</v>
      </c>
      <c r="QX387" s="107">
        <v>45960.0</v>
      </c>
    </row>
    <row r="388">
      <c r="A388" s="12"/>
      <c r="B388" s="12"/>
      <c r="C388" s="12"/>
      <c r="D388" s="12"/>
      <c r="E388" s="12"/>
      <c r="F388" s="12"/>
      <c r="G388" s="12"/>
      <c r="H388" s="12"/>
      <c r="I388" s="143">
        <f t="shared" si="5"/>
        <v>-27</v>
      </c>
      <c r="J388" s="144">
        <v>45971.0</v>
      </c>
      <c r="K388" s="145" t="s">
        <v>61</v>
      </c>
      <c r="L388" s="171">
        <v>46080.0</v>
      </c>
      <c r="M388" s="281" t="s">
        <v>107</v>
      </c>
      <c r="N388" s="282">
        <v>246.0</v>
      </c>
      <c r="O388" s="416">
        <v>45.0</v>
      </c>
      <c r="P388" s="417"/>
      <c r="Q388" s="417"/>
      <c r="R388" s="417"/>
      <c r="S388" s="417"/>
      <c r="T388" s="417"/>
      <c r="U388" s="415" t="s">
        <v>3152</v>
      </c>
      <c r="V388" s="418" t="s">
        <v>3153</v>
      </c>
      <c r="W388" s="507" t="s">
        <v>3154</v>
      </c>
      <c r="X388" s="181">
        <v>13.0</v>
      </c>
      <c r="Y388" s="166">
        <f t="shared" si="6"/>
        <v>27</v>
      </c>
      <c r="Z388" s="26">
        <f t="shared" si="7"/>
        <v>0</v>
      </c>
      <c r="AA388" s="26">
        <f t="shared" si="8"/>
        <v>1</v>
      </c>
      <c r="AB388" s="26">
        <f t="shared" si="9"/>
        <v>0</v>
      </c>
      <c r="AC388" s="155">
        <v>11.0</v>
      </c>
      <c r="AD388" s="155">
        <v>0.0</v>
      </c>
      <c r="AE388" s="155">
        <v>0.0</v>
      </c>
      <c r="AF388" s="155">
        <v>1.0</v>
      </c>
      <c r="AG388" s="155">
        <v>0.0</v>
      </c>
      <c r="AH388" s="155">
        <v>0.0</v>
      </c>
      <c r="AI388" s="167"/>
      <c r="AJ388" s="167"/>
      <c r="AK388" s="167"/>
      <c r="AL388" s="167"/>
      <c r="AM388" s="167">
        <v>1.0</v>
      </c>
      <c r="AN388" s="167">
        <v>0.0</v>
      </c>
      <c r="AO388" s="167">
        <v>1.0</v>
      </c>
      <c r="AP388" s="167">
        <v>0.0</v>
      </c>
      <c r="AQ388" s="167">
        <v>1.0</v>
      </c>
      <c r="AR388" s="167">
        <v>0.0</v>
      </c>
      <c r="AS388" s="167">
        <v>0.0</v>
      </c>
      <c r="AT388" s="167">
        <v>1.0</v>
      </c>
      <c r="AU388" s="167">
        <v>0.0</v>
      </c>
      <c r="AV388" s="168" t="s">
        <v>947</v>
      </c>
      <c r="AW388" s="167">
        <v>0.0</v>
      </c>
      <c r="AX388" s="167">
        <v>1.0</v>
      </c>
      <c r="AY388" s="167">
        <v>0.0</v>
      </c>
      <c r="AZ388" s="167">
        <v>0.0</v>
      </c>
      <c r="BA388" s="167">
        <v>1.0</v>
      </c>
      <c r="BB388" s="167">
        <v>0.0</v>
      </c>
      <c r="BC388" s="167">
        <v>1.0</v>
      </c>
      <c r="BD388" s="167">
        <v>0.0</v>
      </c>
      <c r="BE388" s="167">
        <v>1.0</v>
      </c>
      <c r="BF388" s="167">
        <v>0.0</v>
      </c>
      <c r="BG388" s="167">
        <v>0.0</v>
      </c>
      <c r="BH388" s="167"/>
      <c r="BI388" s="167">
        <v>0.0</v>
      </c>
      <c r="BJ388" s="167">
        <v>1.0</v>
      </c>
      <c r="BK388" s="167">
        <v>0.0</v>
      </c>
      <c r="BL388" s="167">
        <v>1.0</v>
      </c>
      <c r="BM388" s="167">
        <v>0.0</v>
      </c>
      <c r="BN388" s="155">
        <v>3.0</v>
      </c>
      <c r="BO388" s="155">
        <v>0.0</v>
      </c>
      <c r="BP388" s="155">
        <v>0.0</v>
      </c>
      <c r="BQ388" s="155">
        <v>0.0</v>
      </c>
      <c r="BR388" s="155">
        <v>0.0</v>
      </c>
      <c r="BS388" s="155">
        <v>0.0</v>
      </c>
      <c r="BT388" s="167">
        <v>0.0</v>
      </c>
      <c r="BU388" s="167">
        <v>1.0</v>
      </c>
      <c r="BV388" s="167"/>
      <c r="BW388" s="167"/>
      <c r="BX388" s="167"/>
      <c r="BY388" s="167"/>
      <c r="BZ388" s="167"/>
      <c r="CA388" s="168">
        <v>1.0</v>
      </c>
      <c r="CB388" s="167"/>
      <c r="CC388" s="167">
        <v>0.0</v>
      </c>
      <c r="CD388" s="167">
        <v>1.0</v>
      </c>
      <c r="CE388" s="167"/>
      <c r="CF388" s="167"/>
      <c r="CG388" s="167"/>
      <c r="CH388" s="167"/>
      <c r="CI388" s="167"/>
      <c r="CJ388" s="167"/>
      <c r="CK388" s="167"/>
      <c r="CL388" s="167"/>
      <c r="CM388" s="167"/>
      <c r="CN388" s="167"/>
      <c r="CO388" s="167"/>
      <c r="CP388" s="167"/>
      <c r="CQ388" s="167"/>
      <c r="CR388" s="167"/>
      <c r="CS388" s="167"/>
      <c r="CT388" s="167"/>
      <c r="CU388" s="167"/>
      <c r="CV388" s="156">
        <v>0.0</v>
      </c>
      <c r="CW388" s="156">
        <v>0.0</v>
      </c>
      <c r="CX388" s="156">
        <v>0.0</v>
      </c>
      <c r="CY388" s="156">
        <v>0.0</v>
      </c>
      <c r="CZ388" s="156">
        <v>0.0</v>
      </c>
      <c r="DA388" s="156">
        <v>0.0</v>
      </c>
      <c r="EG388" s="156">
        <v>0.0</v>
      </c>
      <c r="EH388" s="156">
        <v>0.0</v>
      </c>
      <c r="EI388" s="156">
        <v>0.0</v>
      </c>
      <c r="EJ388" s="156">
        <v>0.0</v>
      </c>
      <c r="EK388" s="156">
        <v>0.0</v>
      </c>
      <c r="EL388" s="156">
        <v>0.0</v>
      </c>
      <c r="FQ388" s="156">
        <v>0.0</v>
      </c>
      <c r="FR388" s="156">
        <v>0.0</v>
      </c>
      <c r="FS388" s="156">
        <v>0.0</v>
      </c>
      <c r="FT388" s="156">
        <v>0.0</v>
      </c>
      <c r="FU388" s="156">
        <v>0.0</v>
      </c>
      <c r="FV388" s="156">
        <v>0.0</v>
      </c>
      <c r="FW388" s="157"/>
      <c r="FX388" s="157"/>
      <c r="FY388" s="157"/>
      <c r="FZ388" s="157"/>
      <c r="GA388" s="157"/>
      <c r="GB388" s="157"/>
      <c r="GC388" s="157"/>
      <c r="GD388" s="157"/>
      <c r="GE388" s="157"/>
      <c r="GF388" s="157"/>
      <c r="GG388" s="157"/>
      <c r="GH388" s="157"/>
      <c r="GI388" s="157"/>
      <c r="GJ388" s="157"/>
      <c r="GK388" s="157"/>
      <c r="GL388" s="157"/>
      <c r="GM388" s="157"/>
      <c r="GN388" s="157"/>
      <c r="GO388" s="157"/>
      <c r="GP388" s="158"/>
      <c r="GQ388" s="157"/>
      <c r="GR388" s="157"/>
      <c r="GS388" s="157"/>
      <c r="GT388" s="157"/>
      <c r="GU388" s="157"/>
      <c r="GV388" s="157"/>
      <c r="GW388" s="157"/>
      <c r="GX388" s="157"/>
      <c r="GY388" s="157"/>
      <c r="GZ388" s="157"/>
      <c r="HA388" s="157"/>
      <c r="HB388" s="155">
        <v>0.0</v>
      </c>
      <c r="HC388" s="155">
        <v>0.0</v>
      </c>
      <c r="HD388" s="155">
        <v>0.0</v>
      </c>
      <c r="HE388" s="155">
        <v>0.0</v>
      </c>
      <c r="HF388" s="155">
        <v>0.0</v>
      </c>
      <c r="HG388" s="155">
        <v>0.0</v>
      </c>
      <c r="IL388" s="159">
        <v>0.0</v>
      </c>
      <c r="IM388" s="156">
        <v>0.0</v>
      </c>
      <c r="IN388" s="156">
        <v>0.0</v>
      </c>
      <c r="IO388" s="156">
        <v>0.0</v>
      </c>
      <c r="IP388" s="156">
        <v>0.0</v>
      </c>
      <c r="IQ388" s="160">
        <v>0.0</v>
      </c>
      <c r="JH388" s="25"/>
      <c r="JW388" s="159">
        <v>0.0</v>
      </c>
      <c r="JX388" s="156">
        <v>0.0</v>
      </c>
      <c r="JY388" s="156">
        <v>0.0</v>
      </c>
      <c r="JZ388" s="156">
        <v>0.0</v>
      </c>
      <c r="KA388" s="156">
        <v>0.0</v>
      </c>
      <c r="KB388" s="160">
        <v>0.0</v>
      </c>
      <c r="LH388" s="159">
        <f t="shared" si="10"/>
        <v>0</v>
      </c>
      <c r="LI388" s="156">
        <f t="shared" si="11"/>
        <v>0</v>
      </c>
      <c r="LJ388" s="156">
        <f t="shared" si="12"/>
        <v>0</v>
      </c>
      <c r="LK388" s="156">
        <f t="shared" si="13"/>
        <v>0</v>
      </c>
      <c r="LL388" s="156">
        <f t="shared" si="14"/>
        <v>0</v>
      </c>
      <c r="LM388" s="160">
        <f t="shared" si="15"/>
        <v>0</v>
      </c>
      <c r="QX388" s="107">
        <v>45960.0</v>
      </c>
    </row>
    <row r="389">
      <c r="A389" s="12"/>
      <c r="B389" s="12"/>
      <c r="C389" s="12"/>
      <c r="D389" s="12"/>
      <c r="E389" s="12"/>
      <c r="F389" s="12"/>
      <c r="G389" s="12"/>
      <c r="H389" s="12"/>
      <c r="I389" s="143">
        <f t="shared" si="5"/>
        <v>-27</v>
      </c>
      <c r="J389" s="144">
        <v>45971.0</v>
      </c>
      <c r="K389" s="180" t="s">
        <v>61</v>
      </c>
      <c r="L389" s="171">
        <v>46080.0</v>
      </c>
      <c r="M389" s="281" t="s">
        <v>107</v>
      </c>
      <c r="N389" s="282">
        <v>246.0</v>
      </c>
      <c r="O389" s="416">
        <v>45.0</v>
      </c>
      <c r="P389" s="417"/>
      <c r="Q389" s="417"/>
      <c r="R389" s="417"/>
      <c r="S389" s="417"/>
      <c r="T389" s="417"/>
      <c r="U389" s="415" t="s">
        <v>3152</v>
      </c>
      <c r="V389" s="418" t="s">
        <v>3153</v>
      </c>
      <c r="W389" s="507" t="s">
        <v>3154</v>
      </c>
      <c r="X389" s="181">
        <v>13.0</v>
      </c>
      <c r="Y389" s="166">
        <f t="shared" si="6"/>
        <v>27</v>
      </c>
      <c r="Z389" s="26">
        <f t="shared" si="7"/>
        <v>0</v>
      </c>
      <c r="AA389" s="26">
        <f t="shared" si="8"/>
        <v>1</v>
      </c>
      <c r="AB389" s="26">
        <f t="shared" si="9"/>
        <v>0</v>
      </c>
      <c r="AC389" s="155">
        <v>11.0</v>
      </c>
      <c r="AD389" s="155">
        <v>0.0</v>
      </c>
      <c r="AE389" s="155">
        <v>0.0</v>
      </c>
      <c r="AF389" s="155">
        <v>1.0</v>
      </c>
      <c r="AG389" s="155">
        <v>0.0</v>
      </c>
      <c r="AH389" s="155">
        <v>0.0</v>
      </c>
      <c r="AI389" s="167"/>
      <c r="AJ389" s="167"/>
      <c r="AK389" s="167"/>
      <c r="AL389" s="167"/>
      <c r="AM389" s="167">
        <v>1.0</v>
      </c>
      <c r="AN389" s="167">
        <v>0.0</v>
      </c>
      <c r="AO389" s="167">
        <v>1.0</v>
      </c>
      <c r="AP389" s="167">
        <v>0.0</v>
      </c>
      <c r="AQ389" s="167">
        <v>1.0</v>
      </c>
      <c r="AR389" s="167">
        <v>0.0</v>
      </c>
      <c r="AS389" s="167">
        <v>0.0</v>
      </c>
      <c r="AT389" s="167">
        <v>1.0</v>
      </c>
      <c r="AU389" s="167">
        <v>0.0</v>
      </c>
      <c r="AV389" s="168" t="s">
        <v>947</v>
      </c>
      <c r="AW389" s="167">
        <v>0.0</v>
      </c>
      <c r="AX389" s="167">
        <v>1.0</v>
      </c>
      <c r="AY389" s="167">
        <v>0.0</v>
      </c>
      <c r="AZ389" s="167">
        <v>0.0</v>
      </c>
      <c r="BA389" s="167">
        <v>1.0</v>
      </c>
      <c r="BB389" s="167">
        <v>0.0</v>
      </c>
      <c r="BC389" s="167">
        <v>1.0</v>
      </c>
      <c r="BD389" s="167">
        <v>0.0</v>
      </c>
      <c r="BE389" s="167">
        <v>1.0</v>
      </c>
      <c r="BF389" s="167">
        <v>0.0</v>
      </c>
      <c r="BG389" s="167">
        <v>0.0</v>
      </c>
      <c r="BH389" s="167"/>
      <c r="BI389" s="167">
        <v>0.0</v>
      </c>
      <c r="BJ389" s="167">
        <v>1.0</v>
      </c>
      <c r="BK389" s="167">
        <v>0.0</v>
      </c>
      <c r="BL389" s="167">
        <v>1.0</v>
      </c>
      <c r="BM389" s="167">
        <v>0.0</v>
      </c>
      <c r="BN389" s="155">
        <v>3.0</v>
      </c>
      <c r="BO389" s="155">
        <v>0.0</v>
      </c>
      <c r="BP389" s="155">
        <v>0.0</v>
      </c>
      <c r="BQ389" s="155">
        <v>0.0</v>
      </c>
      <c r="BR389" s="155">
        <v>0.0</v>
      </c>
      <c r="BS389" s="155">
        <v>0.0</v>
      </c>
      <c r="BT389" s="167">
        <v>0.0</v>
      </c>
      <c r="BU389" s="167">
        <v>1.0</v>
      </c>
      <c r="BV389" s="167"/>
      <c r="BW389" s="167"/>
      <c r="BX389" s="167"/>
      <c r="BY389" s="167"/>
      <c r="BZ389" s="167"/>
      <c r="CA389" s="168">
        <v>1.0</v>
      </c>
      <c r="CB389" s="167"/>
      <c r="CC389" s="167">
        <v>0.0</v>
      </c>
      <c r="CD389" s="167">
        <v>1.0</v>
      </c>
      <c r="CE389" s="167"/>
      <c r="CF389" s="167"/>
      <c r="CG389" s="167"/>
      <c r="CH389" s="167"/>
      <c r="CI389" s="167"/>
      <c r="CJ389" s="167"/>
      <c r="CK389" s="167"/>
      <c r="CL389" s="167"/>
      <c r="CM389" s="167"/>
      <c r="CN389" s="167"/>
      <c r="CO389" s="167"/>
      <c r="CP389" s="167"/>
      <c r="CQ389" s="167"/>
      <c r="CR389" s="167"/>
      <c r="CS389" s="167"/>
      <c r="CT389" s="167"/>
      <c r="CU389" s="167"/>
      <c r="CV389" s="156">
        <v>0.0</v>
      </c>
      <c r="CW389" s="156">
        <v>0.0</v>
      </c>
      <c r="CX389" s="156">
        <v>0.0</v>
      </c>
      <c r="CY389" s="156">
        <v>0.0</v>
      </c>
      <c r="CZ389" s="156">
        <v>0.0</v>
      </c>
      <c r="DA389" s="156">
        <v>0.0</v>
      </c>
      <c r="EG389" s="156">
        <v>0.0</v>
      </c>
      <c r="EH389" s="156">
        <v>0.0</v>
      </c>
      <c r="EI389" s="156">
        <v>0.0</v>
      </c>
      <c r="EJ389" s="156">
        <v>0.0</v>
      </c>
      <c r="EK389" s="156">
        <v>0.0</v>
      </c>
      <c r="EL389" s="156">
        <v>0.0</v>
      </c>
      <c r="FQ389" s="156">
        <v>0.0</v>
      </c>
      <c r="FR389" s="156">
        <v>0.0</v>
      </c>
      <c r="FS389" s="156">
        <v>0.0</v>
      </c>
      <c r="FT389" s="156">
        <v>0.0</v>
      </c>
      <c r="FU389" s="156">
        <v>0.0</v>
      </c>
      <c r="FV389" s="156">
        <v>0.0</v>
      </c>
      <c r="FW389" s="157"/>
      <c r="FX389" s="157"/>
      <c r="FY389" s="157"/>
      <c r="FZ389" s="157"/>
      <c r="GA389" s="157"/>
      <c r="GB389" s="157"/>
      <c r="GC389" s="157"/>
      <c r="GD389" s="157"/>
      <c r="GE389" s="157"/>
      <c r="GF389" s="157"/>
      <c r="GG389" s="157"/>
      <c r="GH389" s="157"/>
      <c r="GI389" s="157"/>
      <c r="GJ389" s="157"/>
      <c r="GK389" s="157"/>
      <c r="GL389" s="157"/>
      <c r="GM389" s="157"/>
      <c r="GN389" s="157"/>
      <c r="GO389" s="157"/>
      <c r="GP389" s="158"/>
      <c r="GQ389" s="157"/>
      <c r="GR389" s="157"/>
      <c r="GS389" s="157"/>
      <c r="GT389" s="157"/>
      <c r="GU389" s="157"/>
      <c r="GV389" s="157"/>
      <c r="GW389" s="157"/>
      <c r="GX389" s="157"/>
      <c r="GY389" s="157"/>
      <c r="GZ389" s="157"/>
      <c r="HA389" s="157"/>
      <c r="HB389" s="155">
        <v>0.0</v>
      </c>
      <c r="HC389" s="155">
        <v>0.0</v>
      </c>
      <c r="HD389" s="155">
        <v>0.0</v>
      </c>
      <c r="HE389" s="155">
        <v>0.0</v>
      </c>
      <c r="HF389" s="155">
        <v>0.0</v>
      </c>
      <c r="HG389" s="155">
        <v>0.0</v>
      </c>
      <c r="IL389" s="159">
        <v>0.0</v>
      </c>
      <c r="IM389" s="156">
        <v>0.0</v>
      </c>
      <c r="IN389" s="156">
        <v>0.0</v>
      </c>
      <c r="IO389" s="156">
        <v>0.0</v>
      </c>
      <c r="IP389" s="156">
        <v>0.0</v>
      </c>
      <c r="IQ389" s="160">
        <v>0.0</v>
      </c>
      <c r="JH389" s="25"/>
      <c r="JW389" s="159">
        <v>0.0</v>
      </c>
      <c r="JX389" s="156">
        <v>0.0</v>
      </c>
      <c r="JY389" s="156">
        <v>0.0</v>
      </c>
      <c r="JZ389" s="156">
        <v>0.0</v>
      </c>
      <c r="KA389" s="156">
        <v>0.0</v>
      </c>
      <c r="KB389" s="160">
        <v>0.0</v>
      </c>
      <c r="LH389" s="159">
        <f t="shared" si="10"/>
        <v>0</v>
      </c>
      <c r="LI389" s="156">
        <f t="shared" si="11"/>
        <v>0</v>
      </c>
      <c r="LJ389" s="156">
        <f t="shared" si="12"/>
        <v>0</v>
      </c>
      <c r="LK389" s="156">
        <f t="shared" si="13"/>
        <v>0</v>
      </c>
      <c r="LL389" s="156">
        <f t="shared" si="14"/>
        <v>0</v>
      </c>
      <c r="LM389" s="160">
        <f t="shared" si="15"/>
        <v>0</v>
      </c>
      <c r="QX389" s="107">
        <v>45962.0</v>
      </c>
    </row>
    <row r="390">
      <c r="A390" s="12"/>
      <c r="B390" s="12"/>
      <c r="C390" s="12"/>
      <c r="D390" s="12"/>
      <c r="E390" s="12"/>
      <c r="F390" s="12"/>
      <c r="G390" s="12"/>
      <c r="H390" s="12"/>
      <c r="I390" s="143">
        <f t="shared" si="5"/>
        <v>-26</v>
      </c>
      <c r="J390" s="144">
        <v>45962.0</v>
      </c>
      <c r="K390" s="145" t="s">
        <v>61</v>
      </c>
      <c r="L390" s="171">
        <v>46027.0</v>
      </c>
      <c r="M390" s="147" t="s">
        <v>400</v>
      </c>
      <c r="N390" s="148">
        <v>357.0</v>
      </c>
      <c r="O390" s="148">
        <v>30.0</v>
      </c>
      <c r="P390" s="26"/>
      <c r="Q390" s="26"/>
      <c r="R390" s="26"/>
      <c r="S390" s="26"/>
      <c r="T390" s="26"/>
      <c r="U390" s="147" t="s">
        <v>3155</v>
      </c>
      <c r="V390" s="149" t="s">
        <v>269</v>
      </c>
      <c r="W390" s="198" t="s">
        <v>3156</v>
      </c>
      <c r="X390" s="181">
        <v>26.0</v>
      </c>
      <c r="Y390" s="166">
        <f t="shared" si="6"/>
        <v>26</v>
      </c>
      <c r="Z390" s="26">
        <f t="shared" si="7"/>
        <v>0</v>
      </c>
      <c r="AA390" s="26">
        <f t="shared" si="8"/>
        <v>0</v>
      </c>
      <c r="AB390" s="26">
        <f t="shared" si="9"/>
        <v>0</v>
      </c>
      <c r="AC390" s="155">
        <v>0.0</v>
      </c>
      <c r="AD390" s="155">
        <v>0.0</v>
      </c>
      <c r="AE390" s="155">
        <v>0.0</v>
      </c>
      <c r="AF390" s="155">
        <v>0.0</v>
      </c>
      <c r="AG390" s="155">
        <v>0.0</v>
      </c>
      <c r="AH390" s="155">
        <v>0.0</v>
      </c>
      <c r="AI390" s="167"/>
      <c r="AJ390" s="167"/>
      <c r="AK390" s="167"/>
      <c r="AL390" s="167"/>
      <c r="AM390" s="167"/>
      <c r="AN390" s="167"/>
      <c r="AO390" s="167"/>
      <c r="AP390" s="167"/>
      <c r="AQ390" s="167"/>
      <c r="AR390" s="167"/>
      <c r="AS390" s="167"/>
      <c r="AT390" s="167"/>
      <c r="AU390" s="167"/>
      <c r="AV390" s="167"/>
      <c r="AW390" s="167"/>
      <c r="AX390" s="167"/>
      <c r="AY390" s="167"/>
      <c r="AZ390" s="167"/>
      <c r="BA390" s="167"/>
      <c r="BB390" s="167"/>
      <c r="BC390" s="167"/>
      <c r="BD390" s="167"/>
      <c r="BE390" s="167"/>
      <c r="BF390" s="167"/>
      <c r="BG390" s="167"/>
      <c r="BH390" s="167"/>
      <c r="BI390" s="167"/>
      <c r="BJ390" s="167"/>
      <c r="BK390" s="167"/>
      <c r="BL390" s="167"/>
      <c r="BM390" s="167"/>
      <c r="BN390" s="155">
        <v>0.0</v>
      </c>
      <c r="BO390" s="155">
        <v>0.0</v>
      </c>
      <c r="BP390" s="155">
        <v>0.0</v>
      </c>
      <c r="BQ390" s="155">
        <v>0.0</v>
      </c>
      <c r="BR390" s="155">
        <v>0.0</v>
      </c>
      <c r="BS390" s="155">
        <v>0.0</v>
      </c>
      <c r="CV390" s="156">
        <v>0.0</v>
      </c>
      <c r="CW390" s="156">
        <v>0.0</v>
      </c>
      <c r="CX390" s="156">
        <v>0.0</v>
      </c>
      <c r="CY390" s="156">
        <v>0.0</v>
      </c>
      <c r="CZ390" s="156">
        <v>0.0</v>
      </c>
      <c r="DA390" s="156">
        <v>0.0</v>
      </c>
      <c r="EG390" s="156">
        <v>0.0</v>
      </c>
      <c r="EH390" s="156">
        <v>0.0</v>
      </c>
      <c r="EI390" s="156">
        <v>0.0</v>
      </c>
      <c r="EJ390" s="156">
        <v>0.0</v>
      </c>
      <c r="EK390" s="156">
        <v>0.0</v>
      </c>
      <c r="EL390" s="156">
        <v>0.0</v>
      </c>
      <c r="FQ390" s="156">
        <v>0.0</v>
      </c>
      <c r="FR390" s="156">
        <v>0.0</v>
      </c>
      <c r="FS390" s="156">
        <v>0.0</v>
      </c>
      <c r="FT390" s="156">
        <v>0.0</v>
      </c>
      <c r="FU390" s="156">
        <v>0.0</v>
      </c>
      <c r="FV390" s="156">
        <v>0.0</v>
      </c>
      <c r="FW390" s="157"/>
      <c r="FX390" s="157"/>
      <c r="FY390" s="157"/>
      <c r="FZ390" s="157"/>
      <c r="GA390" s="157"/>
      <c r="GB390" s="157"/>
      <c r="GC390" s="157"/>
      <c r="GD390" s="157"/>
      <c r="GE390" s="157"/>
      <c r="GF390" s="157"/>
      <c r="GG390" s="157"/>
      <c r="GH390" s="157"/>
      <c r="GI390" s="157"/>
      <c r="GJ390" s="157"/>
      <c r="GK390" s="157"/>
      <c r="GL390" s="157"/>
      <c r="GM390" s="157"/>
      <c r="GN390" s="157"/>
      <c r="GO390" s="157"/>
      <c r="GP390" s="158"/>
      <c r="GQ390" s="157"/>
      <c r="GR390" s="157"/>
      <c r="GS390" s="157"/>
      <c r="GT390" s="157"/>
      <c r="GU390" s="157"/>
      <c r="GV390" s="157"/>
      <c r="GW390" s="157"/>
      <c r="GX390" s="157"/>
      <c r="GY390" s="157"/>
      <c r="GZ390" s="157"/>
      <c r="HA390" s="157"/>
      <c r="HB390" s="155">
        <v>0.0</v>
      </c>
      <c r="HC390" s="155">
        <v>0.0</v>
      </c>
      <c r="HD390" s="155">
        <v>0.0</v>
      </c>
      <c r="HE390" s="155">
        <v>0.0</v>
      </c>
      <c r="HF390" s="155">
        <v>0.0</v>
      </c>
      <c r="HG390" s="155">
        <v>0.0</v>
      </c>
      <c r="IL390" s="159">
        <v>0.0</v>
      </c>
      <c r="IM390" s="156">
        <v>0.0</v>
      </c>
      <c r="IN390" s="156">
        <v>0.0</v>
      </c>
      <c r="IO390" s="156">
        <v>0.0</v>
      </c>
      <c r="IP390" s="156">
        <v>0.0</v>
      </c>
      <c r="IQ390" s="160">
        <v>0.0</v>
      </c>
      <c r="JH390" s="25"/>
      <c r="JW390" s="159">
        <v>0.0</v>
      </c>
      <c r="JX390" s="156">
        <v>0.0</v>
      </c>
      <c r="JY390" s="156">
        <v>0.0</v>
      </c>
      <c r="JZ390" s="156">
        <v>0.0</v>
      </c>
      <c r="KA390" s="156">
        <v>0.0</v>
      </c>
      <c r="KB390" s="160">
        <v>0.0</v>
      </c>
      <c r="LH390" s="159">
        <f t="shared" si="10"/>
        <v>0</v>
      </c>
      <c r="LI390" s="156">
        <f t="shared" si="11"/>
        <v>0</v>
      </c>
      <c r="LJ390" s="156">
        <f t="shared" si="12"/>
        <v>0</v>
      </c>
      <c r="LK390" s="156">
        <f t="shared" si="13"/>
        <v>0</v>
      </c>
      <c r="LL390" s="156">
        <f t="shared" si="14"/>
        <v>0</v>
      </c>
      <c r="LM390" s="160">
        <f t="shared" si="15"/>
        <v>0</v>
      </c>
      <c r="QX390" s="107">
        <v>45962.0</v>
      </c>
    </row>
    <row r="391">
      <c r="A391" s="12"/>
      <c r="B391" s="12"/>
      <c r="C391" s="12"/>
      <c r="D391" s="12"/>
      <c r="E391" s="12"/>
      <c r="F391" s="12"/>
      <c r="G391" s="12"/>
      <c r="H391" s="12"/>
      <c r="I391" s="219">
        <f t="shared" si="5"/>
        <v>-13</v>
      </c>
      <c r="J391" s="144">
        <v>45964.0</v>
      </c>
      <c r="K391" s="173" t="s">
        <v>61</v>
      </c>
      <c r="L391" s="144">
        <v>45994.0</v>
      </c>
      <c r="M391" s="147" t="s">
        <v>400</v>
      </c>
      <c r="N391" s="148">
        <v>246.0</v>
      </c>
      <c r="O391" s="148">
        <v>30.0</v>
      </c>
      <c r="P391" s="26"/>
      <c r="Q391" s="26"/>
      <c r="R391" s="26"/>
      <c r="S391" s="26"/>
      <c r="T391" s="26"/>
      <c r="U391" s="147" t="s">
        <v>3157</v>
      </c>
      <c r="V391" s="149" t="s">
        <v>3158</v>
      </c>
      <c r="W391" s="198" t="s">
        <v>3159</v>
      </c>
      <c r="X391" s="181">
        <v>13.0</v>
      </c>
      <c r="Y391" s="166">
        <f t="shared" si="6"/>
        <v>13</v>
      </c>
      <c r="Z391" s="26">
        <f t="shared" si="7"/>
        <v>0</v>
      </c>
      <c r="AA391" s="26">
        <f t="shared" si="8"/>
        <v>0</v>
      </c>
      <c r="AB391" s="26">
        <f t="shared" si="9"/>
        <v>0</v>
      </c>
      <c r="AC391" s="155">
        <v>0.0</v>
      </c>
      <c r="AD391" s="155">
        <v>0.0</v>
      </c>
      <c r="AE391" s="155">
        <v>0.0</v>
      </c>
      <c r="AF391" s="155">
        <v>0.0</v>
      </c>
      <c r="AG391" s="155">
        <v>0.0</v>
      </c>
      <c r="AH391" s="155">
        <v>0.0</v>
      </c>
      <c r="BN391" s="155">
        <v>0.0</v>
      </c>
      <c r="BO391" s="155">
        <v>0.0</v>
      </c>
      <c r="BP391" s="155">
        <v>0.0</v>
      </c>
      <c r="BQ391" s="155">
        <v>0.0</v>
      </c>
      <c r="BR391" s="155">
        <v>0.0</v>
      </c>
      <c r="BS391" s="155">
        <v>0.0</v>
      </c>
      <c r="CV391" s="156">
        <v>0.0</v>
      </c>
      <c r="CW391" s="156">
        <v>0.0</v>
      </c>
      <c r="CX391" s="156">
        <v>0.0</v>
      </c>
      <c r="CY391" s="156">
        <v>0.0</v>
      </c>
      <c r="CZ391" s="156">
        <v>0.0</v>
      </c>
      <c r="DA391" s="156">
        <v>0.0</v>
      </c>
      <c r="EG391" s="156">
        <v>0.0</v>
      </c>
      <c r="EH391" s="156">
        <v>0.0</v>
      </c>
      <c r="EI391" s="156">
        <v>0.0</v>
      </c>
      <c r="EJ391" s="156">
        <v>0.0</v>
      </c>
      <c r="EK391" s="156">
        <v>0.0</v>
      </c>
      <c r="EL391" s="156">
        <v>0.0</v>
      </c>
      <c r="FQ391" s="156">
        <v>0.0</v>
      </c>
      <c r="FR391" s="156">
        <v>0.0</v>
      </c>
      <c r="FS391" s="156">
        <v>0.0</v>
      </c>
      <c r="FT391" s="156">
        <v>0.0</v>
      </c>
      <c r="FU391" s="156">
        <v>0.0</v>
      </c>
      <c r="FV391" s="156">
        <v>0.0</v>
      </c>
      <c r="FW391" s="157"/>
      <c r="FX391" s="157"/>
      <c r="FY391" s="157"/>
      <c r="FZ391" s="157"/>
      <c r="GA391" s="157"/>
      <c r="GB391" s="157"/>
      <c r="GC391" s="157"/>
      <c r="GD391" s="157"/>
      <c r="GE391" s="157"/>
      <c r="GF391" s="157"/>
      <c r="GG391" s="157"/>
      <c r="GH391" s="157"/>
      <c r="GI391" s="157"/>
      <c r="GJ391" s="157"/>
      <c r="GK391" s="157"/>
      <c r="GL391" s="157"/>
      <c r="GM391" s="157"/>
      <c r="GN391" s="157"/>
      <c r="GO391" s="157"/>
      <c r="GP391" s="158"/>
      <c r="GQ391" s="157"/>
      <c r="GR391" s="157"/>
      <c r="GS391" s="157"/>
      <c r="GT391" s="157"/>
      <c r="GU391" s="157"/>
      <c r="GV391" s="157"/>
      <c r="GW391" s="157"/>
      <c r="GX391" s="157"/>
      <c r="GY391" s="157"/>
      <c r="GZ391" s="157"/>
      <c r="HA391" s="157"/>
      <c r="HB391" s="155">
        <v>0.0</v>
      </c>
      <c r="HC391" s="155">
        <v>0.0</v>
      </c>
      <c r="HD391" s="155">
        <v>0.0</v>
      </c>
      <c r="HE391" s="155">
        <v>0.0</v>
      </c>
      <c r="HF391" s="155">
        <v>0.0</v>
      </c>
      <c r="HG391" s="155">
        <v>0.0</v>
      </c>
      <c r="IL391" s="159">
        <v>0.0</v>
      </c>
      <c r="IM391" s="156">
        <v>0.0</v>
      </c>
      <c r="IN391" s="156">
        <v>0.0</v>
      </c>
      <c r="IO391" s="156">
        <v>0.0</v>
      </c>
      <c r="IP391" s="156">
        <v>0.0</v>
      </c>
      <c r="IQ391" s="160">
        <v>0.0</v>
      </c>
      <c r="JH391" s="25"/>
      <c r="JW391" s="159">
        <v>0.0</v>
      </c>
      <c r="JX391" s="156">
        <v>0.0</v>
      </c>
      <c r="JY391" s="156">
        <v>0.0</v>
      </c>
      <c r="JZ391" s="156">
        <v>0.0</v>
      </c>
      <c r="KA391" s="156">
        <v>0.0</v>
      </c>
      <c r="KB391" s="160">
        <v>0.0</v>
      </c>
      <c r="LH391" s="159">
        <f t="shared" si="10"/>
        <v>0</v>
      </c>
      <c r="LI391" s="156">
        <f t="shared" si="11"/>
        <v>0</v>
      </c>
      <c r="LJ391" s="156">
        <f t="shared" si="12"/>
        <v>0</v>
      </c>
      <c r="LK391" s="156">
        <f t="shared" si="13"/>
        <v>0</v>
      </c>
      <c r="LL391" s="156">
        <f t="shared" si="14"/>
        <v>0</v>
      </c>
      <c r="LM391" s="160">
        <f t="shared" si="15"/>
        <v>0</v>
      </c>
      <c r="QX391" s="107">
        <v>45962.0</v>
      </c>
    </row>
    <row r="392">
      <c r="A392" s="12"/>
      <c r="B392" s="12"/>
      <c r="C392" s="12"/>
      <c r="D392" s="12"/>
      <c r="E392" s="12"/>
      <c r="F392" s="12"/>
      <c r="G392" s="12"/>
      <c r="H392" s="12"/>
      <c r="I392" s="143">
        <f t="shared" si="5"/>
        <v>-30</v>
      </c>
      <c r="J392" s="144">
        <v>45966.0</v>
      </c>
      <c r="K392" s="180" t="s">
        <v>61</v>
      </c>
      <c r="L392" s="171">
        <v>46049.0</v>
      </c>
      <c r="M392" s="147" t="s">
        <v>107</v>
      </c>
      <c r="N392" s="148">
        <v>246.0</v>
      </c>
      <c r="O392" s="148">
        <v>30.0</v>
      </c>
      <c r="P392" s="26"/>
      <c r="Q392" s="26"/>
      <c r="R392" s="26"/>
      <c r="S392" s="26"/>
      <c r="T392" s="26"/>
      <c r="U392" s="147" t="s">
        <v>3160</v>
      </c>
      <c r="V392" s="149" t="s">
        <v>3161</v>
      </c>
      <c r="W392" s="198" t="s">
        <v>3162</v>
      </c>
      <c r="X392" s="181">
        <v>21.0</v>
      </c>
      <c r="Y392" s="166">
        <f t="shared" si="6"/>
        <v>30</v>
      </c>
      <c r="Z392" s="26">
        <f t="shared" si="7"/>
        <v>0</v>
      </c>
      <c r="AA392" s="26">
        <f t="shared" si="8"/>
        <v>0</v>
      </c>
      <c r="AB392" s="26">
        <f t="shared" si="9"/>
        <v>0</v>
      </c>
      <c r="AC392" s="155">
        <v>9.0</v>
      </c>
      <c r="AD392" s="155">
        <v>0.0</v>
      </c>
      <c r="AE392" s="155">
        <v>0.0</v>
      </c>
      <c r="AF392" s="155">
        <v>0.0</v>
      </c>
      <c r="AG392" s="155">
        <v>0.0</v>
      </c>
      <c r="AH392" s="155">
        <v>0.0</v>
      </c>
      <c r="AI392" s="167"/>
      <c r="AJ392" s="167"/>
      <c r="AK392" s="167"/>
      <c r="AL392" s="167"/>
      <c r="AM392" s="167"/>
      <c r="AN392" s="167"/>
      <c r="AO392" s="167">
        <v>1.0</v>
      </c>
      <c r="AP392" s="167">
        <v>0.0</v>
      </c>
      <c r="AQ392" s="167">
        <v>1.0</v>
      </c>
      <c r="AR392" s="167">
        <v>0.0</v>
      </c>
      <c r="AS392" s="167">
        <v>0.0</v>
      </c>
      <c r="AT392" s="167">
        <v>1.0</v>
      </c>
      <c r="AU392" s="167">
        <v>0.0</v>
      </c>
      <c r="AV392" s="167">
        <v>1.0</v>
      </c>
      <c r="AW392" s="167">
        <v>0.0</v>
      </c>
      <c r="AX392" s="167">
        <v>1.0</v>
      </c>
      <c r="AY392" s="167">
        <v>0.0</v>
      </c>
      <c r="AZ392" s="167">
        <v>0.0</v>
      </c>
      <c r="BA392" s="167">
        <v>1.0</v>
      </c>
      <c r="BB392" s="167">
        <v>0.0</v>
      </c>
      <c r="BC392" s="167">
        <v>1.0</v>
      </c>
      <c r="BD392" s="167">
        <v>0.0</v>
      </c>
      <c r="BE392" s="167"/>
      <c r="BF392" s="167">
        <v>0.0</v>
      </c>
      <c r="BG392" s="167">
        <v>0.0</v>
      </c>
      <c r="BH392" s="167">
        <v>1.0</v>
      </c>
      <c r="BI392" s="167">
        <v>0.0</v>
      </c>
      <c r="BJ392" s="167">
        <v>1.0</v>
      </c>
      <c r="BK392" s="167"/>
      <c r="BL392" s="167"/>
      <c r="BM392" s="167"/>
      <c r="BN392" s="155">
        <v>0.0</v>
      </c>
      <c r="BO392" s="155">
        <v>0.0</v>
      </c>
      <c r="BP392" s="155">
        <v>0.0</v>
      </c>
      <c r="BQ392" s="155">
        <v>0.0</v>
      </c>
      <c r="BR392" s="155">
        <v>0.0</v>
      </c>
      <c r="BS392" s="155">
        <v>0.0</v>
      </c>
      <c r="CV392" s="156">
        <v>0.0</v>
      </c>
      <c r="CW392" s="156">
        <v>0.0</v>
      </c>
      <c r="CX392" s="156">
        <v>0.0</v>
      </c>
      <c r="CY392" s="156">
        <v>0.0</v>
      </c>
      <c r="CZ392" s="156">
        <v>0.0</v>
      </c>
      <c r="DA392" s="156">
        <v>0.0</v>
      </c>
      <c r="EG392" s="156">
        <v>0.0</v>
      </c>
      <c r="EH392" s="156">
        <v>0.0</v>
      </c>
      <c r="EI392" s="156">
        <v>0.0</v>
      </c>
      <c r="EJ392" s="156">
        <v>0.0</v>
      </c>
      <c r="EK392" s="156">
        <v>0.0</v>
      </c>
      <c r="EL392" s="156">
        <v>0.0</v>
      </c>
      <c r="FQ392" s="156">
        <v>0.0</v>
      </c>
      <c r="FR392" s="156">
        <v>0.0</v>
      </c>
      <c r="FS392" s="156">
        <v>0.0</v>
      </c>
      <c r="FT392" s="156">
        <v>0.0</v>
      </c>
      <c r="FU392" s="156">
        <v>0.0</v>
      </c>
      <c r="FV392" s="156">
        <v>0.0</v>
      </c>
      <c r="FW392" s="157"/>
      <c r="FX392" s="157"/>
      <c r="FY392" s="157"/>
      <c r="FZ392" s="157"/>
      <c r="GA392" s="157"/>
      <c r="GB392" s="157"/>
      <c r="GC392" s="157"/>
      <c r="GD392" s="157"/>
      <c r="GE392" s="157"/>
      <c r="GF392" s="157"/>
      <c r="GG392" s="157"/>
      <c r="GH392" s="157"/>
      <c r="GI392" s="157"/>
      <c r="GJ392" s="157"/>
      <c r="GK392" s="157"/>
      <c r="GL392" s="157"/>
      <c r="GM392" s="157"/>
      <c r="GN392" s="157"/>
      <c r="GO392" s="157"/>
      <c r="GP392" s="158"/>
      <c r="GQ392" s="157"/>
      <c r="GR392" s="157"/>
      <c r="GS392" s="157"/>
      <c r="GT392" s="157"/>
      <c r="GU392" s="157"/>
      <c r="GV392" s="157"/>
      <c r="GW392" s="157"/>
      <c r="GX392" s="157"/>
      <c r="GY392" s="157"/>
      <c r="GZ392" s="157"/>
      <c r="HA392" s="157"/>
      <c r="HB392" s="155">
        <v>0.0</v>
      </c>
      <c r="HC392" s="155">
        <v>0.0</v>
      </c>
      <c r="HD392" s="155">
        <v>0.0</v>
      </c>
      <c r="HE392" s="155">
        <v>0.0</v>
      </c>
      <c r="HF392" s="155">
        <v>0.0</v>
      </c>
      <c r="HG392" s="155">
        <v>0.0</v>
      </c>
      <c r="IL392" s="159">
        <v>0.0</v>
      </c>
      <c r="IM392" s="156">
        <v>0.0</v>
      </c>
      <c r="IN392" s="156">
        <v>0.0</v>
      </c>
      <c r="IO392" s="156">
        <v>0.0</v>
      </c>
      <c r="IP392" s="156">
        <v>0.0</v>
      </c>
      <c r="IQ392" s="160">
        <v>0.0</v>
      </c>
      <c r="JH392" s="25"/>
      <c r="JW392" s="159">
        <v>0.0</v>
      </c>
      <c r="JX392" s="156">
        <v>0.0</v>
      </c>
      <c r="JY392" s="156">
        <v>0.0</v>
      </c>
      <c r="JZ392" s="156">
        <v>0.0</v>
      </c>
      <c r="KA392" s="156">
        <v>0.0</v>
      </c>
      <c r="KB392" s="160">
        <v>0.0</v>
      </c>
      <c r="LH392" s="159">
        <f t="shared" si="10"/>
        <v>0</v>
      </c>
      <c r="LI392" s="156">
        <f t="shared" si="11"/>
        <v>0</v>
      </c>
      <c r="LJ392" s="156">
        <f t="shared" si="12"/>
        <v>0</v>
      </c>
      <c r="LK392" s="156">
        <f t="shared" si="13"/>
        <v>0</v>
      </c>
      <c r="LL392" s="156">
        <f t="shared" si="14"/>
        <v>0</v>
      </c>
      <c r="LM392" s="160">
        <f t="shared" si="15"/>
        <v>0</v>
      </c>
      <c r="QX392" s="107">
        <v>45964.0</v>
      </c>
    </row>
    <row r="393">
      <c r="A393" s="12"/>
      <c r="B393" s="12"/>
      <c r="C393" s="12"/>
      <c r="D393" s="12"/>
      <c r="E393" s="12"/>
      <c r="F393" s="12"/>
      <c r="G393" s="12"/>
      <c r="H393" s="12"/>
      <c r="I393" s="143">
        <f t="shared" si="5"/>
        <v>-15</v>
      </c>
      <c r="J393" s="144">
        <v>45969.0</v>
      </c>
      <c r="K393" s="164" t="s">
        <v>61</v>
      </c>
      <c r="L393" s="171">
        <v>46034.0</v>
      </c>
      <c r="M393" s="147" t="s">
        <v>435</v>
      </c>
      <c r="N393" s="148">
        <v>357.0</v>
      </c>
      <c r="O393" s="148">
        <v>30.0</v>
      </c>
      <c r="P393" s="26"/>
      <c r="Q393" s="26"/>
      <c r="R393" s="26"/>
      <c r="S393" s="26"/>
      <c r="T393" s="26"/>
      <c r="U393" s="147" t="s">
        <v>3149</v>
      </c>
      <c r="V393" s="149" t="s">
        <v>1553</v>
      </c>
      <c r="W393" s="198" t="s">
        <v>3163</v>
      </c>
      <c r="X393" s="181">
        <v>13.0</v>
      </c>
      <c r="Y393" s="166">
        <f t="shared" si="6"/>
        <v>15</v>
      </c>
      <c r="Z393" s="26">
        <f t="shared" si="7"/>
        <v>0</v>
      </c>
      <c r="AA393" s="26">
        <f t="shared" si="8"/>
        <v>0</v>
      </c>
      <c r="AB393" s="26">
        <f t="shared" si="9"/>
        <v>0</v>
      </c>
      <c r="AC393" s="155">
        <v>2.0</v>
      </c>
      <c r="AD393" s="155">
        <v>0.0</v>
      </c>
      <c r="AE393" s="155">
        <v>0.0</v>
      </c>
      <c r="AF393" s="155">
        <v>0.0</v>
      </c>
      <c r="AG393" s="155">
        <v>0.0</v>
      </c>
      <c r="AH393" s="155">
        <v>0.0</v>
      </c>
      <c r="AI393" s="167"/>
      <c r="AJ393" s="167"/>
      <c r="AK393" s="168">
        <v>2.0</v>
      </c>
      <c r="AL393" s="167"/>
      <c r="AM393" s="167"/>
      <c r="AN393" s="167"/>
      <c r="AO393" s="167"/>
      <c r="AP393" s="167"/>
      <c r="AQ393" s="167"/>
      <c r="AR393" s="167"/>
      <c r="AS393" s="167"/>
      <c r="AT393" s="167"/>
      <c r="AU393" s="167"/>
      <c r="AV393" s="167"/>
      <c r="AW393" s="167"/>
      <c r="AX393" s="167"/>
      <c r="AY393" s="167"/>
      <c r="AZ393" s="167"/>
      <c r="BA393" s="167"/>
      <c r="BB393" s="167"/>
      <c r="BC393" s="167"/>
      <c r="BD393" s="167"/>
      <c r="BE393" s="167"/>
      <c r="BF393" s="167"/>
      <c r="BG393" s="167"/>
      <c r="BH393" s="167"/>
      <c r="BI393" s="167"/>
      <c r="BJ393" s="167"/>
      <c r="BK393" s="167"/>
      <c r="BL393" s="167"/>
      <c r="BM393" s="167"/>
      <c r="BN393" s="155">
        <v>0.0</v>
      </c>
      <c r="BO393" s="155">
        <v>0.0</v>
      </c>
      <c r="BP393" s="155">
        <v>0.0</v>
      </c>
      <c r="BQ393" s="155">
        <v>0.0</v>
      </c>
      <c r="BR393" s="155">
        <v>0.0</v>
      </c>
      <c r="BS393" s="155">
        <v>0.0</v>
      </c>
      <c r="CV393" s="156">
        <v>0.0</v>
      </c>
      <c r="CW393" s="156">
        <v>0.0</v>
      </c>
      <c r="CX393" s="156">
        <v>0.0</v>
      </c>
      <c r="CY393" s="156">
        <v>0.0</v>
      </c>
      <c r="CZ393" s="156">
        <v>0.0</v>
      </c>
      <c r="DA393" s="156">
        <v>0.0</v>
      </c>
      <c r="EG393" s="156">
        <v>0.0</v>
      </c>
      <c r="EH393" s="156">
        <v>0.0</v>
      </c>
      <c r="EI393" s="156">
        <v>0.0</v>
      </c>
      <c r="EJ393" s="156">
        <v>0.0</v>
      </c>
      <c r="EK393" s="156">
        <v>0.0</v>
      </c>
      <c r="EL393" s="156">
        <v>0.0</v>
      </c>
      <c r="FQ393" s="156">
        <v>0.0</v>
      </c>
      <c r="FR393" s="156">
        <v>0.0</v>
      </c>
      <c r="FS393" s="156">
        <v>0.0</v>
      </c>
      <c r="FT393" s="156">
        <v>0.0</v>
      </c>
      <c r="FU393" s="156">
        <v>0.0</v>
      </c>
      <c r="FV393" s="156">
        <v>0.0</v>
      </c>
      <c r="FW393" s="157"/>
      <c r="FX393" s="157"/>
      <c r="FY393" s="157"/>
      <c r="FZ393" s="157"/>
      <c r="GA393" s="157"/>
      <c r="GB393" s="157"/>
      <c r="GC393" s="157"/>
      <c r="GD393" s="157"/>
      <c r="GE393" s="157"/>
      <c r="GF393" s="157"/>
      <c r="GG393" s="157"/>
      <c r="GH393" s="157"/>
      <c r="GI393" s="157"/>
      <c r="GJ393" s="157"/>
      <c r="GK393" s="157"/>
      <c r="GL393" s="157"/>
      <c r="GM393" s="157"/>
      <c r="GN393" s="157"/>
      <c r="GO393" s="157"/>
      <c r="GP393" s="158"/>
      <c r="GQ393" s="157"/>
      <c r="GR393" s="157"/>
      <c r="GS393" s="157"/>
      <c r="GT393" s="157"/>
      <c r="GU393" s="157"/>
      <c r="GV393" s="157"/>
      <c r="GW393" s="157"/>
      <c r="GX393" s="157"/>
      <c r="GY393" s="157"/>
      <c r="GZ393" s="157"/>
      <c r="HA393" s="157"/>
      <c r="HB393" s="155">
        <v>0.0</v>
      </c>
      <c r="HC393" s="155">
        <v>0.0</v>
      </c>
      <c r="HD393" s="155">
        <v>0.0</v>
      </c>
      <c r="HE393" s="155">
        <v>0.0</v>
      </c>
      <c r="HF393" s="155">
        <v>0.0</v>
      </c>
      <c r="HG393" s="155">
        <v>0.0</v>
      </c>
      <c r="IL393" s="159">
        <v>0.0</v>
      </c>
      <c r="IM393" s="156">
        <v>0.0</v>
      </c>
      <c r="IN393" s="156">
        <v>0.0</v>
      </c>
      <c r="IO393" s="156">
        <v>0.0</v>
      </c>
      <c r="IP393" s="156">
        <v>0.0</v>
      </c>
      <c r="IQ393" s="160">
        <v>0.0</v>
      </c>
      <c r="JH393" s="25"/>
      <c r="JW393" s="159">
        <v>0.0</v>
      </c>
      <c r="JX393" s="156">
        <v>0.0</v>
      </c>
      <c r="JY393" s="156">
        <v>0.0</v>
      </c>
      <c r="JZ393" s="156">
        <v>0.0</v>
      </c>
      <c r="KA393" s="156">
        <v>0.0</v>
      </c>
      <c r="KB393" s="160">
        <v>0.0</v>
      </c>
      <c r="LH393" s="159">
        <f t="shared" si="10"/>
        <v>0</v>
      </c>
      <c r="LI393" s="156">
        <f t="shared" si="11"/>
        <v>0</v>
      </c>
      <c r="LJ393" s="156">
        <f t="shared" si="12"/>
        <v>0</v>
      </c>
      <c r="LK393" s="156">
        <f t="shared" si="13"/>
        <v>0</v>
      </c>
      <c r="LL393" s="156">
        <f t="shared" si="14"/>
        <v>0</v>
      </c>
      <c r="LM393" s="160">
        <f t="shared" si="15"/>
        <v>0</v>
      </c>
      <c r="QX393" s="107">
        <v>45965.0</v>
      </c>
    </row>
    <row r="394">
      <c r="A394" s="12"/>
      <c r="B394" s="12"/>
      <c r="C394" s="12"/>
      <c r="D394" s="12"/>
      <c r="E394" s="12"/>
      <c r="F394" s="12"/>
      <c r="G394" s="12"/>
      <c r="H394" s="12"/>
      <c r="I394" s="143">
        <f t="shared" si="5"/>
        <v>-49</v>
      </c>
      <c r="J394" s="144">
        <v>45965.0</v>
      </c>
      <c r="K394" s="195" t="s">
        <v>53</v>
      </c>
      <c r="L394" s="171">
        <v>46272.0</v>
      </c>
      <c r="M394" s="147" t="s">
        <v>712</v>
      </c>
      <c r="N394" s="170" t="s">
        <v>2246</v>
      </c>
      <c r="O394" s="148">
        <v>30.0</v>
      </c>
      <c r="P394" s="26"/>
      <c r="Q394" s="26"/>
      <c r="R394" s="26"/>
      <c r="S394" s="26"/>
      <c r="T394" s="26"/>
      <c r="U394" s="147" t="s">
        <v>3164</v>
      </c>
      <c r="V394" s="149" t="s">
        <v>2801</v>
      </c>
      <c r="W394" s="248" t="s">
        <v>3165</v>
      </c>
      <c r="X394" s="181">
        <v>20.0</v>
      </c>
      <c r="Y394" s="166">
        <f t="shared" si="6"/>
        <v>49</v>
      </c>
      <c r="Z394" s="26">
        <f t="shared" si="7"/>
        <v>0</v>
      </c>
      <c r="AA394" s="26">
        <f t="shared" si="8"/>
        <v>7</v>
      </c>
      <c r="AB394" s="26">
        <f t="shared" si="9"/>
        <v>0</v>
      </c>
      <c r="AC394" s="155">
        <v>11.0</v>
      </c>
      <c r="AD394" s="155">
        <v>0.0</v>
      </c>
      <c r="AE394" s="155">
        <v>0.0</v>
      </c>
      <c r="AF394" s="155">
        <v>2.0</v>
      </c>
      <c r="AG394" s="155">
        <v>0.0</v>
      </c>
      <c r="AH394" s="155">
        <v>0.0</v>
      </c>
      <c r="AI394" s="167"/>
      <c r="AJ394" s="167"/>
      <c r="AK394" s="167">
        <v>1.0</v>
      </c>
      <c r="AL394" s="167">
        <v>0.0</v>
      </c>
      <c r="AM394" s="167">
        <v>0.0</v>
      </c>
      <c r="AN394" s="167">
        <v>1.0</v>
      </c>
      <c r="AO394" s="167">
        <v>0.0</v>
      </c>
      <c r="AP394" s="167"/>
      <c r="AQ394" s="167">
        <v>0.0</v>
      </c>
      <c r="AR394" s="167">
        <v>1.0</v>
      </c>
      <c r="AS394" s="167">
        <v>0.0</v>
      </c>
      <c r="AT394" s="167">
        <v>0.0</v>
      </c>
      <c r="AU394" s="167">
        <v>1.0</v>
      </c>
      <c r="AV394" s="167">
        <v>0.0</v>
      </c>
      <c r="AW394" s="167">
        <v>1.0</v>
      </c>
      <c r="AX394" s="167">
        <v>0.0</v>
      </c>
      <c r="AY394" s="167">
        <v>1.0</v>
      </c>
      <c r="AZ394" s="167">
        <v>0.0</v>
      </c>
      <c r="BA394" s="167">
        <v>0.0</v>
      </c>
      <c r="BB394" s="168" t="s">
        <v>947</v>
      </c>
      <c r="BC394" s="167">
        <v>0.0</v>
      </c>
      <c r="BD394" s="167">
        <v>1.0</v>
      </c>
      <c r="BE394" s="167">
        <v>0.0</v>
      </c>
      <c r="BF394" s="168" t="s">
        <v>947</v>
      </c>
      <c r="BG394" s="167">
        <v>0.0</v>
      </c>
      <c r="BH394" s="167">
        <v>0.0</v>
      </c>
      <c r="BI394" s="167">
        <v>1.0</v>
      </c>
      <c r="BJ394" s="167">
        <v>0.0</v>
      </c>
      <c r="BK394" s="167">
        <v>1.0</v>
      </c>
      <c r="BL394" s="167">
        <v>0.0</v>
      </c>
      <c r="BM394" s="167"/>
      <c r="BN394" s="155">
        <v>2.0</v>
      </c>
      <c r="BO394" s="155">
        <v>0.0</v>
      </c>
      <c r="BP394" s="155">
        <v>0.0</v>
      </c>
      <c r="BQ394" s="155">
        <v>0.0</v>
      </c>
      <c r="BR394" s="155">
        <v>0.0</v>
      </c>
      <c r="BS394" s="155">
        <v>0.0</v>
      </c>
      <c r="BT394" s="167"/>
      <c r="BU394" s="167"/>
      <c r="BV394" s="167"/>
      <c r="BW394" s="167"/>
      <c r="BX394" s="167">
        <v>1.0</v>
      </c>
      <c r="BY394" s="167">
        <v>0.0</v>
      </c>
      <c r="BZ394" s="167">
        <v>1.0</v>
      </c>
      <c r="CA394" s="167"/>
      <c r="CB394" s="167"/>
      <c r="CC394" s="167"/>
      <c r="CD394" s="167"/>
      <c r="CE394" s="167"/>
      <c r="CF394" s="167"/>
      <c r="CG394" s="167"/>
      <c r="CH394" s="167"/>
      <c r="CI394" s="167"/>
      <c r="CJ394" s="167"/>
      <c r="CK394" s="167"/>
      <c r="CL394" s="167"/>
      <c r="CM394" s="167"/>
      <c r="CN394" s="167"/>
      <c r="CO394" s="167"/>
      <c r="CP394" s="167"/>
      <c r="CQ394" s="167"/>
      <c r="CR394" s="167"/>
      <c r="CS394" s="167"/>
      <c r="CT394" s="167"/>
      <c r="CU394" s="167"/>
      <c r="CV394" s="156">
        <v>5.0</v>
      </c>
      <c r="CW394" s="156">
        <v>0.0</v>
      </c>
      <c r="CX394" s="156">
        <v>0.0</v>
      </c>
      <c r="CY394" s="156">
        <v>1.0</v>
      </c>
      <c r="CZ394" s="156">
        <v>0.0</v>
      </c>
      <c r="DA394" s="156">
        <v>0.0</v>
      </c>
      <c r="DB394" s="395">
        <v>1.0</v>
      </c>
      <c r="DC394" s="395"/>
      <c r="DD394" s="395"/>
      <c r="DE394" s="395"/>
      <c r="DF394" s="395"/>
      <c r="DG394" s="395"/>
      <c r="DH394" s="395"/>
      <c r="DI394" s="395">
        <v>1.0</v>
      </c>
      <c r="DJ394" s="395"/>
      <c r="DK394" s="395"/>
      <c r="DL394" s="395"/>
      <c r="DM394" s="395"/>
      <c r="DN394" s="395"/>
      <c r="DO394" s="395"/>
      <c r="DP394" s="395">
        <v>1.0</v>
      </c>
      <c r="DQ394" s="395"/>
      <c r="DR394" s="395"/>
      <c r="DS394" s="395"/>
      <c r="DT394" s="395"/>
      <c r="DU394" s="395"/>
      <c r="DV394" s="395"/>
      <c r="DW394" s="395">
        <v>1.0</v>
      </c>
      <c r="DX394" s="395"/>
      <c r="DY394" s="395"/>
      <c r="DZ394" s="395"/>
      <c r="EA394" s="395"/>
      <c r="EB394" s="395"/>
      <c r="EC394" s="395"/>
      <c r="ED394" s="395" t="s">
        <v>947</v>
      </c>
      <c r="EE394" s="395"/>
      <c r="EF394" s="395"/>
      <c r="EG394" s="156">
        <v>3.0</v>
      </c>
      <c r="EH394" s="156">
        <v>0.0</v>
      </c>
      <c r="EI394" s="156">
        <v>0.0</v>
      </c>
      <c r="EJ394" s="156">
        <v>1.0</v>
      </c>
      <c r="EK394" s="156">
        <v>0.0</v>
      </c>
      <c r="EL394" s="156">
        <v>0.0</v>
      </c>
      <c r="EQ394" s="86">
        <v>1.0</v>
      </c>
      <c r="EX394" s="86">
        <v>1.0</v>
      </c>
      <c r="FE394" s="86" t="s">
        <v>947</v>
      </c>
      <c r="FQ394" s="156">
        <v>4.0</v>
      </c>
      <c r="FR394" s="156">
        <v>0.0</v>
      </c>
      <c r="FS394" s="156">
        <v>0.0</v>
      </c>
      <c r="FT394" s="156">
        <v>1.0</v>
      </c>
      <c r="FU394" s="156">
        <v>0.0</v>
      </c>
      <c r="FV394" s="156">
        <v>0.0</v>
      </c>
      <c r="FW394" s="157"/>
      <c r="FX394" s="157"/>
      <c r="FY394" s="188">
        <v>1.0</v>
      </c>
      <c r="FZ394" s="157"/>
      <c r="GA394" s="157"/>
      <c r="GB394" s="157"/>
      <c r="GC394" s="157"/>
      <c r="GD394" s="157"/>
      <c r="GE394" s="157"/>
      <c r="GF394" s="188"/>
      <c r="GG394" s="157"/>
      <c r="GH394" s="157"/>
      <c r="GI394" s="157"/>
      <c r="GJ394" s="157"/>
      <c r="GK394" s="157"/>
      <c r="GL394" s="157"/>
      <c r="GM394" s="188">
        <v>1.0</v>
      </c>
      <c r="GN394" s="157"/>
      <c r="GO394" s="157"/>
      <c r="GP394" s="158"/>
      <c r="GQ394" s="157"/>
      <c r="GR394" s="157"/>
      <c r="GS394" s="157"/>
      <c r="GT394" s="188" t="s">
        <v>947</v>
      </c>
      <c r="GU394" s="157"/>
      <c r="GV394" s="157"/>
      <c r="GW394" s="157"/>
      <c r="GX394" s="157"/>
      <c r="GY394" s="157"/>
      <c r="GZ394" s="157"/>
      <c r="HA394" s="188">
        <v>1.0</v>
      </c>
      <c r="HB394" s="155">
        <v>3.0</v>
      </c>
      <c r="HC394" s="155">
        <v>0.0</v>
      </c>
      <c r="HD394" s="155">
        <v>0.0</v>
      </c>
      <c r="HE394" s="155">
        <v>1.0</v>
      </c>
      <c r="HF394" s="155">
        <v>0.0</v>
      </c>
      <c r="HG394" s="155">
        <v>0.0</v>
      </c>
      <c r="HN394" s="86">
        <v>1.0</v>
      </c>
      <c r="IB394" s="86">
        <v>1.0</v>
      </c>
      <c r="II394" s="86" t="s">
        <v>947</v>
      </c>
      <c r="IL394" s="159">
        <v>1.0</v>
      </c>
      <c r="IM394" s="156">
        <v>0.0</v>
      </c>
      <c r="IN394" s="156">
        <v>0.0</v>
      </c>
      <c r="IO394" s="156">
        <v>1.0</v>
      </c>
      <c r="IP394" s="156">
        <v>0.0</v>
      </c>
      <c r="IQ394" s="160">
        <v>0.0</v>
      </c>
      <c r="JC394" s="86" t="s">
        <v>947</v>
      </c>
      <c r="JH394" s="25"/>
      <c r="JW394" s="159">
        <v>0.0</v>
      </c>
      <c r="JX394" s="156">
        <v>0.0</v>
      </c>
      <c r="JY394" s="156">
        <v>0.0</v>
      </c>
      <c r="JZ394" s="156">
        <v>0.0</v>
      </c>
      <c r="KA394" s="156">
        <v>0.0</v>
      </c>
      <c r="KB394" s="160">
        <v>0.0</v>
      </c>
      <c r="KS394" s="178"/>
      <c r="LH394" s="159">
        <f t="shared" si="10"/>
        <v>0</v>
      </c>
      <c r="LI394" s="156">
        <f t="shared" si="11"/>
        <v>0</v>
      </c>
      <c r="LJ394" s="156">
        <f t="shared" si="12"/>
        <v>0</v>
      </c>
      <c r="LK394" s="156">
        <f t="shared" si="13"/>
        <v>0</v>
      </c>
      <c r="LL394" s="156">
        <f t="shared" si="14"/>
        <v>0</v>
      </c>
      <c r="LM394" s="160">
        <f t="shared" si="15"/>
        <v>0</v>
      </c>
      <c r="QX394" s="107">
        <v>45965.0</v>
      </c>
    </row>
    <row r="395">
      <c r="A395" s="12"/>
      <c r="B395" s="12"/>
      <c r="C395" s="12"/>
      <c r="D395" s="12"/>
      <c r="E395" s="12"/>
      <c r="F395" s="12"/>
      <c r="G395" s="12"/>
      <c r="H395" s="12"/>
      <c r="I395" s="143">
        <f t="shared" si="5"/>
        <v>-30</v>
      </c>
      <c r="J395" s="144">
        <v>46015.0</v>
      </c>
      <c r="K395" s="145" t="s">
        <v>61</v>
      </c>
      <c r="L395" s="508">
        <v>46092.0</v>
      </c>
      <c r="M395" s="509" t="s">
        <v>107</v>
      </c>
      <c r="N395" s="510">
        <v>246.0</v>
      </c>
      <c r="O395" s="510">
        <v>60.0</v>
      </c>
      <c r="P395" s="511"/>
      <c r="Q395" s="511"/>
      <c r="R395" s="511"/>
      <c r="S395" s="511"/>
      <c r="T395" s="511"/>
      <c r="U395" s="509" t="s">
        <v>1140</v>
      </c>
      <c r="V395" s="512"/>
      <c r="W395" s="513" t="s">
        <v>3166</v>
      </c>
      <c r="X395" s="181">
        <v>4.0</v>
      </c>
      <c r="Y395" s="166">
        <f t="shared" si="6"/>
        <v>30</v>
      </c>
      <c r="Z395" s="26">
        <f t="shared" si="7"/>
        <v>0</v>
      </c>
      <c r="AA395" s="26">
        <f t="shared" si="8"/>
        <v>0</v>
      </c>
      <c r="AB395" s="26">
        <f t="shared" si="9"/>
        <v>0</v>
      </c>
      <c r="AC395" s="155">
        <v>13.0</v>
      </c>
      <c r="AD395" s="155">
        <v>0.0</v>
      </c>
      <c r="AE395" s="155">
        <v>0.0</v>
      </c>
      <c r="AF395" s="155">
        <v>0.0</v>
      </c>
      <c r="AG395" s="155">
        <v>0.0</v>
      </c>
      <c r="AH395" s="155">
        <v>0.0</v>
      </c>
      <c r="AI395" s="167">
        <v>0.0</v>
      </c>
      <c r="AJ395" s="167">
        <v>1.0</v>
      </c>
      <c r="AK395" s="167">
        <v>0.0</v>
      </c>
      <c r="AL395" s="167">
        <v>0.0</v>
      </c>
      <c r="AM395" s="167">
        <v>1.0</v>
      </c>
      <c r="AN395" s="167">
        <v>0.0</v>
      </c>
      <c r="AO395" s="167">
        <v>1.0</v>
      </c>
      <c r="AP395" s="167">
        <v>0.0</v>
      </c>
      <c r="AQ395" s="167">
        <v>1.0</v>
      </c>
      <c r="AR395" s="167">
        <v>0.0</v>
      </c>
      <c r="AS395" s="167">
        <v>0.0</v>
      </c>
      <c r="AT395" s="167">
        <v>1.0</v>
      </c>
      <c r="AU395" s="167">
        <v>0.0</v>
      </c>
      <c r="AV395" s="167">
        <v>1.0</v>
      </c>
      <c r="AW395" s="167">
        <v>0.0</v>
      </c>
      <c r="AX395" s="167">
        <v>1.0</v>
      </c>
      <c r="AY395" s="167">
        <v>0.0</v>
      </c>
      <c r="AZ395" s="167">
        <v>0.0</v>
      </c>
      <c r="BA395" s="167">
        <v>1.0</v>
      </c>
      <c r="BB395" s="167">
        <v>0.0</v>
      </c>
      <c r="BC395" s="167">
        <v>1.0</v>
      </c>
      <c r="BD395" s="167">
        <v>0.0</v>
      </c>
      <c r="BE395" s="167">
        <v>1.0</v>
      </c>
      <c r="BF395" s="167">
        <v>0.0</v>
      </c>
      <c r="BG395" s="167">
        <v>0.0</v>
      </c>
      <c r="BH395" s="167">
        <v>1.0</v>
      </c>
      <c r="BI395" s="167">
        <v>0.0</v>
      </c>
      <c r="BJ395" s="167">
        <v>1.0</v>
      </c>
      <c r="BK395" s="167">
        <v>0.0</v>
      </c>
      <c r="BL395" s="167">
        <v>1.0</v>
      </c>
      <c r="BM395" s="167">
        <v>0.0</v>
      </c>
      <c r="BN395" s="155">
        <v>9.0</v>
      </c>
      <c r="BO395" s="155">
        <v>0.0</v>
      </c>
      <c r="BP395" s="155">
        <v>0.0</v>
      </c>
      <c r="BQ395" s="155">
        <v>0.0</v>
      </c>
      <c r="BR395" s="155">
        <v>0.0</v>
      </c>
      <c r="BS395" s="155">
        <v>0.0</v>
      </c>
      <c r="BT395" s="167">
        <v>0.0</v>
      </c>
      <c r="BU395" s="167">
        <v>1.0</v>
      </c>
      <c r="BV395" s="167">
        <v>0.0</v>
      </c>
      <c r="BW395" s="167">
        <v>1.0</v>
      </c>
      <c r="BX395" s="167">
        <v>0.0</v>
      </c>
      <c r="BY395" s="167">
        <v>1.0</v>
      </c>
      <c r="BZ395" s="167">
        <v>0.0</v>
      </c>
      <c r="CA395" s="167">
        <v>0.0</v>
      </c>
      <c r="CB395" s="167">
        <v>1.0</v>
      </c>
      <c r="CC395" s="167">
        <v>0.0</v>
      </c>
      <c r="CD395" s="167">
        <v>1.0</v>
      </c>
      <c r="CE395" s="167">
        <v>0.0</v>
      </c>
      <c r="CF395" s="167">
        <v>1.0</v>
      </c>
      <c r="CG395" s="167"/>
      <c r="CH395" s="167"/>
      <c r="CI395" s="167"/>
      <c r="CJ395" s="167"/>
      <c r="CK395" s="167"/>
      <c r="CL395" s="167"/>
      <c r="CM395" s="167"/>
      <c r="CN395" s="167"/>
      <c r="CO395" s="167"/>
      <c r="CP395" s="167">
        <v>1.0</v>
      </c>
      <c r="CQ395" s="167">
        <v>0.0</v>
      </c>
      <c r="CR395" s="167">
        <v>1.0</v>
      </c>
      <c r="CS395" s="167">
        <v>0.0</v>
      </c>
      <c r="CT395" s="167">
        <v>1.0</v>
      </c>
      <c r="CU395" s="167">
        <v>0.0</v>
      </c>
      <c r="CV395" s="156">
        <v>4.0</v>
      </c>
      <c r="CW395" s="156">
        <v>0.0</v>
      </c>
      <c r="CX395" s="156">
        <v>0.0</v>
      </c>
      <c r="CY395" s="156">
        <v>0.0</v>
      </c>
      <c r="CZ395" s="156">
        <v>0.0</v>
      </c>
      <c r="DA395" s="156">
        <v>0.0</v>
      </c>
      <c r="DB395" s="174">
        <v>0.0</v>
      </c>
      <c r="DC395" s="174">
        <v>1.0</v>
      </c>
      <c r="DD395" s="174">
        <v>0.0</v>
      </c>
      <c r="DE395" s="174">
        <v>1.0</v>
      </c>
      <c r="DF395" s="174">
        <v>0.0</v>
      </c>
      <c r="DG395" s="174">
        <v>1.0</v>
      </c>
      <c r="DH395" s="174">
        <v>0.0</v>
      </c>
      <c r="DI395" s="174">
        <v>0.0</v>
      </c>
      <c r="DJ395" s="174">
        <v>1.0</v>
      </c>
      <c r="DK395" s="174"/>
      <c r="DL395" s="174"/>
      <c r="DM395" s="174"/>
      <c r="DN395" s="174"/>
      <c r="DO395" s="174"/>
      <c r="DP395" s="174"/>
      <c r="DQ395" s="174"/>
      <c r="DR395" s="174"/>
      <c r="DS395" s="174"/>
      <c r="DT395" s="174"/>
      <c r="DU395" s="174"/>
      <c r="DV395" s="174"/>
      <c r="DW395" s="174"/>
      <c r="DX395" s="174"/>
      <c r="DY395" s="174"/>
      <c r="DZ395" s="174"/>
      <c r="EA395" s="174"/>
      <c r="EB395" s="174"/>
      <c r="EC395" s="174"/>
      <c r="ED395" s="174"/>
      <c r="EE395" s="174"/>
      <c r="EF395" s="174"/>
      <c r="EG395" s="156">
        <v>0.0</v>
      </c>
      <c r="EH395" s="156">
        <v>0.0</v>
      </c>
      <c r="EI395" s="156">
        <v>0.0</v>
      </c>
      <c r="EJ395" s="156">
        <v>0.0</v>
      </c>
      <c r="EK395" s="156">
        <v>0.0</v>
      </c>
      <c r="EL395" s="156">
        <v>0.0</v>
      </c>
      <c r="EM395" s="174"/>
      <c r="EN395" s="174"/>
      <c r="EO395" s="174"/>
      <c r="EP395" s="174"/>
      <c r="EQ395" s="174"/>
      <c r="ER395" s="174"/>
      <c r="ES395" s="174"/>
      <c r="ET395" s="174"/>
      <c r="EU395" s="174"/>
      <c r="EV395" s="174"/>
      <c r="EW395" s="174"/>
      <c r="EX395" s="174"/>
      <c r="EY395" s="174"/>
      <c r="EZ395" s="174"/>
      <c r="FA395" s="174"/>
      <c r="FB395" s="174"/>
      <c r="FC395" s="174"/>
      <c r="FD395" s="174"/>
      <c r="FE395" s="174"/>
      <c r="FF395" s="174"/>
      <c r="FG395" s="174"/>
      <c r="FH395" s="174"/>
      <c r="FI395" s="174"/>
      <c r="FJ395" s="174"/>
      <c r="FK395" s="174"/>
      <c r="FL395" s="174"/>
      <c r="FM395" s="174"/>
      <c r="FN395" s="174"/>
      <c r="FO395" s="174"/>
      <c r="FP395" s="174"/>
      <c r="FQ395" s="156">
        <v>0.0</v>
      </c>
      <c r="FR395" s="156">
        <v>0.0</v>
      </c>
      <c r="FS395" s="156">
        <v>0.0</v>
      </c>
      <c r="FT395" s="156">
        <v>0.0</v>
      </c>
      <c r="FU395" s="156">
        <v>0.0</v>
      </c>
      <c r="FV395" s="156">
        <v>0.0</v>
      </c>
      <c r="FW395" s="157"/>
      <c r="FX395" s="157"/>
      <c r="FY395" s="157"/>
      <c r="FZ395" s="157"/>
      <c r="GA395" s="157"/>
      <c r="GB395" s="157"/>
      <c r="GC395" s="157"/>
      <c r="GD395" s="157"/>
      <c r="GE395" s="157"/>
      <c r="GF395" s="157"/>
      <c r="GG395" s="157"/>
      <c r="GH395" s="157"/>
      <c r="GI395" s="157"/>
      <c r="GJ395" s="157"/>
      <c r="GK395" s="157"/>
      <c r="GL395" s="157"/>
      <c r="GM395" s="157"/>
      <c r="GN395" s="157"/>
      <c r="GO395" s="157"/>
      <c r="GP395" s="158"/>
      <c r="GQ395" s="157"/>
      <c r="GR395" s="157"/>
      <c r="GS395" s="157"/>
      <c r="GT395" s="157"/>
      <c r="GU395" s="157"/>
      <c r="GV395" s="157"/>
      <c r="GW395" s="157"/>
      <c r="GX395" s="157"/>
      <c r="GY395" s="157"/>
      <c r="GZ395" s="157"/>
      <c r="HA395" s="157"/>
      <c r="HB395" s="155">
        <v>0.0</v>
      </c>
      <c r="HC395" s="155">
        <v>0.0</v>
      </c>
      <c r="HD395" s="155">
        <v>0.0</v>
      </c>
      <c r="HE395" s="155">
        <v>0.0</v>
      </c>
      <c r="HF395" s="155">
        <v>0.0</v>
      </c>
      <c r="HG395" s="155">
        <v>0.0</v>
      </c>
      <c r="IL395" s="159">
        <v>0.0</v>
      </c>
      <c r="IM395" s="156">
        <v>0.0</v>
      </c>
      <c r="IN395" s="156">
        <v>0.0</v>
      </c>
      <c r="IO395" s="156">
        <v>0.0</v>
      </c>
      <c r="IP395" s="156">
        <v>0.0</v>
      </c>
      <c r="IQ395" s="160">
        <v>0.0</v>
      </c>
      <c r="JH395" s="25"/>
      <c r="JW395" s="159">
        <v>0.0</v>
      </c>
      <c r="JX395" s="156">
        <v>0.0</v>
      </c>
      <c r="JY395" s="156">
        <v>0.0</v>
      </c>
      <c r="JZ395" s="156">
        <v>0.0</v>
      </c>
      <c r="KA395" s="156">
        <v>0.0</v>
      </c>
      <c r="KB395" s="160">
        <v>0.0</v>
      </c>
      <c r="LH395" s="159">
        <f t="shared" si="10"/>
        <v>0</v>
      </c>
      <c r="LI395" s="156">
        <f t="shared" si="11"/>
        <v>0</v>
      </c>
      <c r="LJ395" s="156">
        <f t="shared" si="12"/>
        <v>0</v>
      </c>
      <c r="LK395" s="156">
        <f t="shared" si="13"/>
        <v>0</v>
      </c>
      <c r="LL395" s="156">
        <f t="shared" si="14"/>
        <v>0</v>
      </c>
      <c r="LM395" s="160">
        <f t="shared" si="15"/>
        <v>0</v>
      </c>
      <c r="QX395" s="107">
        <v>45967.0</v>
      </c>
    </row>
    <row r="396">
      <c r="A396" s="12"/>
      <c r="B396" s="12"/>
      <c r="C396" s="12"/>
      <c r="D396" s="12"/>
      <c r="E396" s="12"/>
      <c r="F396" s="12"/>
      <c r="G396" s="12"/>
      <c r="H396" s="12"/>
      <c r="I396" s="143">
        <f t="shared" si="5"/>
        <v>-6</v>
      </c>
      <c r="J396" s="144">
        <v>45966.0</v>
      </c>
      <c r="K396" s="173" t="s">
        <v>61</v>
      </c>
      <c r="L396" s="144">
        <v>45962.0</v>
      </c>
      <c r="M396" s="147" t="s">
        <v>400</v>
      </c>
      <c r="N396" s="148">
        <v>246.0</v>
      </c>
      <c r="O396" s="148">
        <v>30.0</v>
      </c>
      <c r="P396" s="26"/>
      <c r="Q396" s="26"/>
      <c r="R396" s="26"/>
      <c r="S396" s="26"/>
      <c r="T396" s="26"/>
      <c r="U396" s="147" t="s">
        <v>3167</v>
      </c>
      <c r="V396" s="149" t="s">
        <v>3168</v>
      </c>
      <c r="W396" s="198" t="s">
        <v>3169</v>
      </c>
      <c r="X396" s="181">
        <v>6.0</v>
      </c>
      <c r="Y396" s="166">
        <f t="shared" si="6"/>
        <v>6</v>
      </c>
      <c r="Z396" s="26">
        <f t="shared" si="7"/>
        <v>0</v>
      </c>
      <c r="AA396" s="26">
        <f t="shared" si="8"/>
        <v>0</v>
      </c>
      <c r="AB396" s="26">
        <f t="shared" si="9"/>
        <v>0</v>
      </c>
      <c r="AC396" s="155">
        <v>0.0</v>
      </c>
      <c r="AD396" s="155">
        <v>0.0</v>
      </c>
      <c r="AE396" s="155">
        <v>0.0</v>
      </c>
      <c r="AF396" s="155">
        <v>0.0</v>
      </c>
      <c r="AG396" s="155">
        <v>0.0</v>
      </c>
      <c r="AH396" s="155">
        <v>0.0</v>
      </c>
      <c r="BN396" s="155">
        <v>0.0</v>
      </c>
      <c r="BO396" s="155">
        <v>0.0</v>
      </c>
      <c r="BP396" s="155">
        <v>0.0</v>
      </c>
      <c r="BQ396" s="155">
        <v>0.0</v>
      </c>
      <c r="BR396" s="155">
        <v>0.0</v>
      </c>
      <c r="BS396" s="155">
        <v>0.0</v>
      </c>
      <c r="CV396" s="156">
        <v>0.0</v>
      </c>
      <c r="CW396" s="156">
        <v>0.0</v>
      </c>
      <c r="CX396" s="156">
        <v>0.0</v>
      </c>
      <c r="CY396" s="156">
        <v>0.0</v>
      </c>
      <c r="CZ396" s="156">
        <v>0.0</v>
      </c>
      <c r="DA396" s="156">
        <v>0.0</v>
      </c>
      <c r="EG396" s="156">
        <v>0.0</v>
      </c>
      <c r="EH396" s="156">
        <v>0.0</v>
      </c>
      <c r="EI396" s="156">
        <v>0.0</v>
      </c>
      <c r="EJ396" s="156">
        <v>0.0</v>
      </c>
      <c r="EK396" s="156">
        <v>0.0</v>
      </c>
      <c r="EL396" s="156">
        <v>0.0</v>
      </c>
      <c r="FQ396" s="156">
        <v>0.0</v>
      </c>
      <c r="FR396" s="156">
        <v>0.0</v>
      </c>
      <c r="FS396" s="156">
        <v>0.0</v>
      </c>
      <c r="FT396" s="156">
        <v>0.0</v>
      </c>
      <c r="FU396" s="156">
        <v>0.0</v>
      </c>
      <c r="FV396" s="156">
        <v>0.0</v>
      </c>
      <c r="FW396" s="157"/>
      <c r="FX396" s="157"/>
      <c r="FY396" s="157"/>
      <c r="FZ396" s="157"/>
      <c r="GA396" s="157"/>
      <c r="GB396" s="157"/>
      <c r="GC396" s="157"/>
      <c r="GD396" s="157"/>
      <c r="GE396" s="157"/>
      <c r="GF396" s="157"/>
      <c r="GG396" s="157"/>
      <c r="GH396" s="157"/>
      <c r="GI396" s="157"/>
      <c r="GJ396" s="157"/>
      <c r="GK396" s="157"/>
      <c r="GL396" s="157"/>
      <c r="GM396" s="157"/>
      <c r="GN396" s="157"/>
      <c r="GO396" s="157"/>
      <c r="GP396" s="158"/>
      <c r="GQ396" s="157"/>
      <c r="GR396" s="157"/>
      <c r="GS396" s="157"/>
      <c r="GT396" s="157"/>
      <c r="GU396" s="157"/>
      <c r="GV396" s="157"/>
      <c r="GW396" s="157"/>
      <c r="GX396" s="157"/>
      <c r="GY396" s="157"/>
      <c r="GZ396" s="157"/>
      <c r="HA396" s="157"/>
      <c r="HB396" s="155">
        <v>0.0</v>
      </c>
      <c r="HC396" s="155">
        <v>0.0</v>
      </c>
      <c r="HD396" s="155">
        <v>0.0</v>
      </c>
      <c r="HE396" s="155">
        <v>0.0</v>
      </c>
      <c r="HF396" s="155">
        <v>0.0</v>
      </c>
      <c r="HG396" s="155">
        <v>0.0</v>
      </c>
      <c r="IL396" s="159">
        <v>0.0</v>
      </c>
      <c r="IM396" s="156">
        <v>0.0</v>
      </c>
      <c r="IN396" s="156">
        <v>0.0</v>
      </c>
      <c r="IO396" s="156">
        <v>0.0</v>
      </c>
      <c r="IP396" s="156">
        <v>0.0</v>
      </c>
      <c r="IQ396" s="160">
        <v>0.0</v>
      </c>
      <c r="JH396" s="25"/>
      <c r="JW396" s="159">
        <v>0.0</v>
      </c>
      <c r="JX396" s="156">
        <v>0.0</v>
      </c>
      <c r="JY396" s="156">
        <v>0.0</v>
      </c>
      <c r="JZ396" s="156">
        <v>0.0</v>
      </c>
      <c r="KA396" s="156">
        <v>0.0</v>
      </c>
      <c r="KB396" s="160">
        <v>0.0</v>
      </c>
      <c r="LH396" s="159">
        <f t="shared" si="10"/>
        <v>0</v>
      </c>
      <c r="LI396" s="156">
        <f t="shared" si="11"/>
        <v>0</v>
      </c>
      <c r="LJ396" s="156">
        <f t="shared" si="12"/>
        <v>0</v>
      </c>
      <c r="LK396" s="156">
        <f t="shared" si="13"/>
        <v>0</v>
      </c>
      <c r="LL396" s="156">
        <f t="shared" si="14"/>
        <v>0</v>
      </c>
      <c r="LM396" s="160">
        <f t="shared" si="15"/>
        <v>0</v>
      </c>
      <c r="QX396" s="107">
        <v>45971.0</v>
      </c>
    </row>
    <row r="397">
      <c r="A397" s="12"/>
      <c r="B397" s="12"/>
      <c r="C397" s="12"/>
      <c r="D397" s="12"/>
      <c r="E397" s="12"/>
      <c r="F397" s="12"/>
      <c r="G397" s="12"/>
      <c r="H397" s="12"/>
      <c r="I397" s="143">
        <f t="shared" si="5"/>
        <v>-59</v>
      </c>
      <c r="J397" s="144">
        <v>45964.0</v>
      </c>
      <c r="K397" s="164" t="s">
        <v>61</v>
      </c>
      <c r="L397" s="171">
        <v>46201.0</v>
      </c>
      <c r="M397" s="147" t="s">
        <v>400</v>
      </c>
      <c r="N397" s="148">
        <v>246.0</v>
      </c>
      <c r="O397" s="148">
        <v>30.0</v>
      </c>
      <c r="P397" s="26"/>
      <c r="Q397" s="26"/>
      <c r="R397" s="26"/>
      <c r="S397" s="26"/>
      <c r="T397" s="26"/>
      <c r="U397" s="164" t="s">
        <v>3170</v>
      </c>
      <c r="V397" s="165" t="s">
        <v>581</v>
      </c>
      <c r="W397" s="248" t="s">
        <v>3171</v>
      </c>
      <c r="X397" s="181">
        <v>20.0</v>
      </c>
      <c r="Y397" s="166">
        <f t="shared" si="6"/>
        <v>59</v>
      </c>
      <c r="Z397" s="26">
        <f t="shared" si="7"/>
        <v>0</v>
      </c>
      <c r="AA397" s="26">
        <f t="shared" si="8"/>
        <v>6</v>
      </c>
      <c r="AB397" s="26">
        <f t="shared" si="9"/>
        <v>0</v>
      </c>
      <c r="AC397" s="155">
        <v>7.0</v>
      </c>
      <c r="AD397" s="155">
        <v>0.0</v>
      </c>
      <c r="AE397" s="155">
        <v>0.0</v>
      </c>
      <c r="AF397" s="155">
        <v>1.0</v>
      </c>
      <c r="AG397" s="155">
        <v>0.0</v>
      </c>
      <c r="AH397" s="155">
        <v>0.0</v>
      </c>
      <c r="AI397" s="167">
        <v>0.0</v>
      </c>
      <c r="AJ397" s="168" t="s">
        <v>947</v>
      </c>
      <c r="AK397" s="167"/>
      <c r="AL397" s="167"/>
      <c r="AM397" s="167"/>
      <c r="AN397" s="167"/>
      <c r="AO397" s="167"/>
      <c r="AP397" s="167"/>
      <c r="AQ397" s="167">
        <v>1.0</v>
      </c>
      <c r="AR397" s="167">
        <v>0.0</v>
      </c>
      <c r="AS397" s="167">
        <v>0.0</v>
      </c>
      <c r="AT397" s="167">
        <v>1.0</v>
      </c>
      <c r="AU397" s="167"/>
      <c r="AV397" s="167"/>
      <c r="AW397" s="167"/>
      <c r="AX397" s="167"/>
      <c r="AY397" s="168">
        <v>1.0</v>
      </c>
      <c r="AZ397" s="167">
        <v>0.0</v>
      </c>
      <c r="BA397" s="167">
        <v>1.0</v>
      </c>
      <c r="BB397" s="167"/>
      <c r="BC397" s="167"/>
      <c r="BD397" s="167"/>
      <c r="BE397" s="167"/>
      <c r="BF397" s="167"/>
      <c r="BG397" s="167"/>
      <c r="BH397" s="167">
        <v>1.0</v>
      </c>
      <c r="BI397" s="167">
        <v>0.0</v>
      </c>
      <c r="BJ397" s="167">
        <v>1.0</v>
      </c>
      <c r="BK397" s="167"/>
      <c r="BL397" s="167"/>
      <c r="BM397" s="167"/>
      <c r="BN397" s="155">
        <v>6.0</v>
      </c>
      <c r="BO397" s="155">
        <v>0.0</v>
      </c>
      <c r="BP397" s="155">
        <v>0.0</v>
      </c>
      <c r="BQ397" s="155">
        <v>0.0</v>
      </c>
      <c r="BR397" s="155">
        <v>0.0</v>
      </c>
      <c r="BS397" s="155">
        <v>0.0</v>
      </c>
      <c r="BT397" s="167">
        <v>0.0</v>
      </c>
      <c r="BU397" s="167">
        <v>1.0</v>
      </c>
      <c r="BV397" s="167">
        <v>0.0</v>
      </c>
      <c r="BW397" s="167"/>
      <c r="BX397" s="167">
        <v>0.0</v>
      </c>
      <c r="BY397" s="167">
        <v>1.0</v>
      </c>
      <c r="BZ397" s="167">
        <v>0.0</v>
      </c>
      <c r="CA397" s="167">
        <v>0.0</v>
      </c>
      <c r="CB397" s="167">
        <v>1.0</v>
      </c>
      <c r="CC397" s="167">
        <v>0.0</v>
      </c>
      <c r="CD397" s="167">
        <v>1.0</v>
      </c>
      <c r="CE397" s="167"/>
      <c r="CF397" s="167"/>
      <c r="CG397" s="167"/>
      <c r="CH397" s="167"/>
      <c r="CI397" s="167"/>
      <c r="CJ397" s="167"/>
      <c r="CK397" s="167"/>
      <c r="CL397" s="167"/>
      <c r="CM397" s="167"/>
      <c r="CN397" s="167"/>
      <c r="CO397" s="167"/>
      <c r="CP397" s="167">
        <v>1.0</v>
      </c>
      <c r="CQ397" s="167">
        <v>0.0</v>
      </c>
      <c r="CR397" s="167"/>
      <c r="CS397" s="167">
        <v>0.0</v>
      </c>
      <c r="CT397" s="167">
        <v>1.0</v>
      </c>
      <c r="CU397" s="167">
        <v>0.0</v>
      </c>
      <c r="CV397" s="156">
        <v>8.0</v>
      </c>
      <c r="CW397" s="156">
        <v>0.0</v>
      </c>
      <c r="CX397" s="156">
        <v>0.0</v>
      </c>
      <c r="CY397" s="156">
        <v>2.0</v>
      </c>
      <c r="CZ397" s="156">
        <v>0.0</v>
      </c>
      <c r="DA397" s="156">
        <v>0.0</v>
      </c>
      <c r="DB397" s="174"/>
      <c r="DC397" s="174"/>
      <c r="DD397" s="174"/>
      <c r="DE397" s="174">
        <v>1.0</v>
      </c>
      <c r="DF397" s="174">
        <v>0.0</v>
      </c>
      <c r="DG397" s="174">
        <v>1.0</v>
      </c>
      <c r="DH397" s="174"/>
      <c r="DI397" s="174"/>
      <c r="DJ397" s="174"/>
      <c r="DK397" s="174"/>
      <c r="DL397" s="174">
        <v>1.0</v>
      </c>
      <c r="DM397" s="174">
        <v>0.0</v>
      </c>
      <c r="DN397" s="175" t="s">
        <v>947</v>
      </c>
      <c r="DO397" s="174">
        <v>0.0</v>
      </c>
      <c r="DP397" s="174">
        <v>0.0</v>
      </c>
      <c r="DQ397" s="174">
        <v>1.0</v>
      </c>
      <c r="DR397" s="174">
        <v>0.0</v>
      </c>
      <c r="DS397" s="174"/>
      <c r="DT397" s="174">
        <v>0.0</v>
      </c>
      <c r="DU397" s="175" t="s">
        <v>947</v>
      </c>
      <c r="DV397" s="174">
        <v>0.0</v>
      </c>
      <c r="DW397" s="174">
        <v>0.0</v>
      </c>
      <c r="DX397" s="174"/>
      <c r="DY397" s="174">
        <v>0.0</v>
      </c>
      <c r="DZ397" s="174">
        <v>1.0</v>
      </c>
      <c r="EA397" s="174">
        <v>0.0</v>
      </c>
      <c r="EB397" s="174">
        <v>1.0</v>
      </c>
      <c r="EC397" s="174"/>
      <c r="ED397" s="174"/>
      <c r="EE397" s="174"/>
      <c r="EF397" s="174"/>
      <c r="EG397" s="156">
        <v>7.0</v>
      </c>
      <c r="EH397" s="156">
        <v>0.0</v>
      </c>
      <c r="EI397" s="156">
        <v>0.0</v>
      </c>
      <c r="EJ397" s="156">
        <v>1.0</v>
      </c>
      <c r="EK397" s="156">
        <v>0.0</v>
      </c>
      <c r="EL397" s="156">
        <v>0.0</v>
      </c>
      <c r="EM397" s="174"/>
      <c r="EN397" s="174"/>
      <c r="EO397" s="175" t="s">
        <v>947</v>
      </c>
      <c r="EP397" s="174">
        <v>0.0</v>
      </c>
      <c r="EQ397" s="174">
        <v>0.0</v>
      </c>
      <c r="ER397" s="174">
        <v>1.0</v>
      </c>
      <c r="ES397" s="174"/>
      <c r="ET397" s="174"/>
      <c r="EU397" s="174"/>
      <c r="EV397" s="174"/>
      <c r="EW397" s="174"/>
      <c r="EX397" s="174"/>
      <c r="EY397" s="174">
        <v>1.0</v>
      </c>
      <c r="EZ397" s="174">
        <v>0.0</v>
      </c>
      <c r="FA397" s="174">
        <v>1.0</v>
      </c>
      <c r="FB397" s="174"/>
      <c r="FC397" s="174"/>
      <c r="FD397" s="174"/>
      <c r="FE397" s="174"/>
      <c r="FF397" s="174">
        <v>1.0</v>
      </c>
      <c r="FG397" s="174">
        <v>0.0</v>
      </c>
      <c r="FH397" s="174">
        <v>1.0</v>
      </c>
      <c r="FI397" s="174"/>
      <c r="FJ397" s="174"/>
      <c r="FK397" s="174"/>
      <c r="FL397" s="174"/>
      <c r="FM397" s="174"/>
      <c r="FN397" s="174"/>
      <c r="FO397" s="174">
        <v>1.0</v>
      </c>
      <c r="FP397" s="174">
        <v>0.0</v>
      </c>
      <c r="FQ397" s="156">
        <v>6.0</v>
      </c>
      <c r="FR397" s="156">
        <v>0.0</v>
      </c>
      <c r="FS397" s="156">
        <v>0.0</v>
      </c>
      <c r="FT397" s="156">
        <v>1.0</v>
      </c>
      <c r="FU397" s="156">
        <v>0.0</v>
      </c>
      <c r="FV397" s="156">
        <v>0.0</v>
      </c>
      <c r="FW397" s="174"/>
      <c r="FX397" s="174"/>
      <c r="FY397" s="174"/>
      <c r="FZ397" s="174"/>
      <c r="GA397" s="174"/>
      <c r="GB397" s="174"/>
      <c r="GC397" s="174"/>
      <c r="GD397" s="174"/>
      <c r="GE397" s="174"/>
      <c r="GF397" s="174"/>
      <c r="GG397" s="174">
        <v>1.0</v>
      </c>
      <c r="GH397" s="174">
        <v>0.0</v>
      </c>
      <c r="GI397" s="174">
        <v>1.0</v>
      </c>
      <c r="GJ397" s="175">
        <v>1.0</v>
      </c>
      <c r="GK397" s="174"/>
      <c r="GL397" s="174">
        <v>0.0</v>
      </c>
      <c r="GM397" s="174">
        <v>0.0</v>
      </c>
      <c r="GN397" s="174">
        <v>1.0</v>
      </c>
      <c r="GO397" s="174">
        <v>0.0</v>
      </c>
      <c r="GP397" s="176">
        <v>1.0</v>
      </c>
      <c r="GQ397" s="174"/>
      <c r="GR397" s="174"/>
      <c r="GS397" s="174"/>
      <c r="GT397" s="174"/>
      <c r="GU397" s="175" t="s">
        <v>947</v>
      </c>
      <c r="GV397" s="174"/>
      <c r="GW397" s="174"/>
      <c r="GX397" s="174"/>
      <c r="GY397" s="174"/>
      <c r="GZ397" s="174"/>
      <c r="HA397" s="174"/>
      <c r="HB397" s="155">
        <v>5.0</v>
      </c>
      <c r="HC397" s="155">
        <v>0.0</v>
      </c>
      <c r="HD397" s="155">
        <v>0.0</v>
      </c>
      <c r="HE397" s="155">
        <v>1.0</v>
      </c>
      <c r="HF397" s="155">
        <v>0.0</v>
      </c>
      <c r="HG397" s="155">
        <v>0.0</v>
      </c>
      <c r="HH397" s="174"/>
      <c r="HI397" s="174"/>
      <c r="HJ397" s="174">
        <v>1.0</v>
      </c>
      <c r="HK397" s="174">
        <v>0.0</v>
      </c>
      <c r="HL397" s="174">
        <v>1.0</v>
      </c>
      <c r="HM397" s="174">
        <v>0.0</v>
      </c>
      <c r="HN397" s="174">
        <v>0.0</v>
      </c>
      <c r="HO397" s="174"/>
      <c r="HP397" s="174"/>
      <c r="HQ397" s="175">
        <v>1.0</v>
      </c>
      <c r="HR397" s="174"/>
      <c r="HS397" s="174"/>
      <c r="HT397" s="174"/>
      <c r="HU397" s="175">
        <v>1.0</v>
      </c>
      <c r="HV397" s="174"/>
      <c r="HW397" s="174"/>
      <c r="HX397" s="174"/>
      <c r="HY397" s="174"/>
      <c r="HZ397" s="174"/>
      <c r="IA397" s="174"/>
      <c r="IB397" s="175" t="s">
        <v>947</v>
      </c>
      <c r="IC397" s="174"/>
      <c r="ID397" s="174"/>
      <c r="IE397" s="174"/>
      <c r="IF397" s="174"/>
      <c r="IG397" s="174"/>
      <c r="IH397" s="174"/>
      <c r="II397" s="174"/>
      <c r="IJ397" s="174"/>
      <c r="IK397" s="174"/>
      <c r="IL397" s="159">
        <v>0.0</v>
      </c>
      <c r="IM397" s="156">
        <v>0.0</v>
      </c>
      <c r="IN397" s="156">
        <v>0.0</v>
      </c>
      <c r="IO397" s="156">
        <v>0.0</v>
      </c>
      <c r="IP397" s="156">
        <v>0.0</v>
      </c>
      <c r="IQ397" s="160">
        <v>0.0</v>
      </c>
      <c r="IR397" s="175"/>
      <c r="IS397" s="174"/>
      <c r="IT397" s="174"/>
      <c r="IU397" s="174"/>
      <c r="IV397" s="174"/>
      <c r="IW397" s="174"/>
      <c r="IX397" s="174"/>
      <c r="IY397" s="174"/>
      <c r="IZ397" s="174"/>
      <c r="JA397" s="174"/>
      <c r="JB397" s="174"/>
      <c r="JC397" s="174"/>
      <c r="JD397" s="174"/>
      <c r="JE397" s="174"/>
      <c r="JF397" s="174"/>
      <c r="JG397" s="174"/>
      <c r="JH397" s="177"/>
      <c r="JI397" s="174"/>
      <c r="JJ397" s="174"/>
      <c r="JK397" s="174"/>
      <c r="JL397" s="174"/>
      <c r="JM397" s="174"/>
      <c r="JN397" s="174"/>
      <c r="JO397" s="174"/>
      <c r="JP397" s="174"/>
      <c r="JQ397" s="174"/>
      <c r="JR397" s="174"/>
      <c r="JS397" s="174"/>
      <c r="JT397" s="174"/>
      <c r="JU397" s="174"/>
      <c r="JV397" s="174"/>
      <c r="JW397" s="159">
        <v>0.0</v>
      </c>
      <c r="JX397" s="156">
        <v>0.0</v>
      </c>
      <c r="JY397" s="156">
        <v>0.0</v>
      </c>
      <c r="JZ397" s="156">
        <v>0.0</v>
      </c>
      <c r="KA397" s="156">
        <v>0.0</v>
      </c>
      <c r="KB397" s="160">
        <v>0.0</v>
      </c>
      <c r="LH397" s="159">
        <f t="shared" si="10"/>
        <v>0</v>
      </c>
      <c r="LI397" s="156">
        <f t="shared" si="11"/>
        <v>0</v>
      </c>
      <c r="LJ397" s="156">
        <f t="shared" si="12"/>
        <v>0</v>
      </c>
      <c r="LK397" s="156">
        <f t="shared" si="13"/>
        <v>0</v>
      </c>
      <c r="LL397" s="156">
        <f t="shared" si="14"/>
        <v>0</v>
      </c>
      <c r="LM397" s="160">
        <f t="shared" si="15"/>
        <v>0</v>
      </c>
      <c r="QX397" s="107">
        <v>45971.0</v>
      </c>
    </row>
    <row r="398">
      <c r="A398" s="12"/>
      <c r="B398" s="12"/>
      <c r="C398" s="12"/>
      <c r="D398" s="12"/>
      <c r="E398" s="12"/>
      <c r="F398" s="12"/>
      <c r="G398" s="12"/>
      <c r="H398" s="12"/>
      <c r="I398" s="143">
        <f t="shared" si="5"/>
        <v>-13</v>
      </c>
      <c r="J398" s="144">
        <v>46015.0</v>
      </c>
      <c r="K398" s="145" t="s">
        <v>61</v>
      </c>
      <c r="L398" s="508">
        <v>46092.0</v>
      </c>
      <c r="M398" s="509" t="s">
        <v>107</v>
      </c>
      <c r="N398" s="510">
        <v>246.0</v>
      </c>
      <c r="O398" s="510">
        <v>60.0</v>
      </c>
      <c r="P398" s="511"/>
      <c r="Q398" s="511"/>
      <c r="R398" s="511"/>
      <c r="S398" s="511"/>
      <c r="T398" s="511"/>
      <c r="U398" s="509" t="s">
        <v>1140</v>
      </c>
      <c r="V398" s="512"/>
      <c r="W398" s="514" t="s">
        <v>3166</v>
      </c>
      <c r="X398" s="181">
        <v>0.0</v>
      </c>
      <c r="Y398" s="166">
        <f t="shared" si="6"/>
        <v>13</v>
      </c>
      <c r="Z398" s="26">
        <f t="shared" si="7"/>
        <v>0</v>
      </c>
      <c r="AA398" s="26">
        <f t="shared" si="8"/>
        <v>0</v>
      </c>
      <c r="AB398" s="26">
        <f t="shared" si="9"/>
        <v>0</v>
      </c>
      <c r="AC398" s="155">
        <v>0.0</v>
      </c>
      <c r="AD398" s="155">
        <v>0.0</v>
      </c>
      <c r="AE398" s="155">
        <v>0.0</v>
      </c>
      <c r="AF398" s="155">
        <v>0.0</v>
      </c>
      <c r="AG398" s="155">
        <v>0.0</v>
      </c>
      <c r="AH398" s="155">
        <v>0.0</v>
      </c>
      <c r="BN398" s="155">
        <v>9.0</v>
      </c>
      <c r="BO398" s="155">
        <v>0.0</v>
      </c>
      <c r="BP398" s="155">
        <v>0.0</v>
      </c>
      <c r="BQ398" s="155">
        <v>0.0</v>
      </c>
      <c r="BR398" s="155">
        <v>0.0</v>
      </c>
      <c r="BS398" s="155">
        <v>0.0</v>
      </c>
      <c r="BT398" s="167">
        <v>0.0</v>
      </c>
      <c r="BU398" s="167">
        <v>1.0</v>
      </c>
      <c r="BV398" s="167">
        <v>0.0</v>
      </c>
      <c r="BW398" s="167">
        <v>1.0</v>
      </c>
      <c r="BX398" s="167">
        <v>0.0</v>
      </c>
      <c r="BY398" s="167">
        <v>1.0</v>
      </c>
      <c r="BZ398" s="167">
        <v>0.0</v>
      </c>
      <c r="CA398" s="167">
        <v>0.0</v>
      </c>
      <c r="CB398" s="167">
        <v>1.0</v>
      </c>
      <c r="CC398" s="167">
        <v>0.0</v>
      </c>
      <c r="CD398" s="167">
        <v>1.0</v>
      </c>
      <c r="CE398" s="167">
        <v>0.0</v>
      </c>
      <c r="CF398" s="167">
        <v>1.0</v>
      </c>
      <c r="CG398" s="167"/>
      <c r="CH398" s="167"/>
      <c r="CI398" s="167"/>
      <c r="CJ398" s="167"/>
      <c r="CK398" s="167"/>
      <c r="CL398" s="167"/>
      <c r="CM398" s="167"/>
      <c r="CN398" s="167"/>
      <c r="CO398" s="167"/>
      <c r="CP398" s="167">
        <v>1.0</v>
      </c>
      <c r="CQ398" s="167">
        <v>0.0</v>
      </c>
      <c r="CR398" s="167">
        <v>1.0</v>
      </c>
      <c r="CS398" s="167">
        <v>0.0</v>
      </c>
      <c r="CT398" s="167">
        <v>1.0</v>
      </c>
      <c r="CU398" s="167">
        <v>0.0</v>
      </c>
      <c r="CV398" s="156">
        <v>4.0</v>
      </c>
      <c r="CW398" s="156">
        <v>0.0</v>
      </c>
      <c r="CX398" s="156">
        <v>0.0</v>
      </c>
      <c r="CY398" s="156">
        <v>0.0</v>
      </c>
      <c r="CZ398" s="156">
        <v>0.0</v>
      </c>
      <c r="DA398" s="156">
        <v>0.0</v>
      </c>
      <c r="DB398" s="174">
        <v>0.0</v>
      </c>
      <c r="DC398" s="174">
        <v>1.0</v>
      </c>
      <c r="DD398" s="174">
        <v>0.0</v>
      </c>
      <c r="DE398" s="174">
        <v>1.0</v>
      </c>
      <c r="DF398" s="174">
        <v>0.0</v>
      </c>
      <c r="DG398" s="174">
        <v>1.0</v>
      </c>
      <c r="DH398" s="174">
        <v>0.0</v>
      </c>
      <c r="DI398" s="174">
        <v>0.0</v>
      </c>
      <c r="DJ398" s="174">
        <v>1.0</v>
      </c>
      <c r="DK398" s="174"/>
      <c r="DL398" s="174"/>
      <c r="DM398" s="174"/>
      <c r="DN398" s="174"/>
      <c r="DO398" s="174"/>
      <c r="DP398" s="174"/>
      <c r="DQ398" s="174"/>
      <c r="DR398" s="174"/>
      <c r="DS398" s="174"/>
      <c r="DT398" s="174"/>
      <c r="DU398" s="174"/>
      <c r="DV398" s="174"/>
      <c r="DW398" s="174"/>
      <c r="DX398" s="174"/>
      <c r="DY398" s="174"/>
      <c r="DZ398" s="174"/>
      <c r="EA398" s="174"/>
      <c r="EB398" s="174"/>
      <c r="EC398" s="174"/>
      <c r="ED398" s="174"/>
      <c r="EE398" s="174"/>
      <c r="EF398" s="174"/>
      <c r="EG398" s="156">
        <v>0.0</v>
      </c>
      <c r="EH398" s="156">
        <v>0.0</v>
      </c>
      <c r="EI398" s="156">
        <v>0.0</v>
      </c>
      <c r="EJ398" s="156">
        <v>0.0</v>
      </c>
      <c r="EK398" s="156">
        <v>0.0</v>
      </c>
      <c r="EL398" s="156">
        <v>0.0</v>
      </c>
      <c r="EM398" s="174"/>
      <c r="EN398" s="174"/>
      <c r="EO398" s="174"/>
      <c r="EP398" s="174"/>
      <c r="EQ398" s="174"/>
      <c r="ER398" s="174"/>
      <c r="ES398" s="174"/>
      <c r="ET398" s="174"/>
      <c r="EU398" s="174"/>
      <c r="EV398" s="174"/>
      <c r="EW398" s="174"/>
      <c r="EX398" s="174"/>
      <c r="EY398" s="174"/>
      <c r="EZ398" s="174"/>
      <c r="FA398" s="174"/>
      <c r="FB398" s="174"/>
      <c r="FC398" s="174"/>
      <c r="FD398" s="174"/>
      <c r="FE398" s="174"/>
      <c r="FF398" s="174"/>
      <c r="FG398" s="174"/>
      <c r="FH398" s="174"/>
      <c r="FI398" s="174"/>
      <c r="FJ398" s="174"/>
      <c r="FK398" s="174"/>
      <c r="FL398" s="174"/>
      <c r="FM398" s="174"/>
      <c r="FN398" s="174"/>
      <c r="FO398" s="174"/>
      <c r="FP398" s="174"/>
      <c r="FQ398" s="156">
        <v>0.0</v>
      </c>
      <c r="FR398" s="156">
        <v>0.0</v>
      </c>
      <c r="FS398" s="156">
        <v>0.0</v>
      </c>
      <c r="FT398" s="156">
        <v>0.0</v>
      </c>
      <c r="FU398" s="156">
        <v>0.0</v>
      </c>
      <c r="FV398" s="156">
        <v>0.0</v>
      </c>
      <c r="FW398" s="157"/>
      <c r="FX398" s="157"/>
      <c r="FY398" s="157"/>
      <c r="FZ398" s="157"/>
      <c r="GA398" s="157"/>
      <c r="GB398" s="157"/>
      <c r="GC398" s="157"/>
      <c r="GD398" s="157"/>
      <c r="GE398" s="157"/>
      <c r="GF398" s="157"/>
      <c r="GG398" s="157"/>
      <c r="GH398" s="157"/>
      <c r="GI398" s="157"/>
      <c r="GJ398" s="157"/>
      <c r="GK398" s="157"/>
      <c r="GL398" s="157"/>
      <c r="GM398" s="157"/>
      <c r="GN398" s="157"/>
      <c r="GO398" s="157"/>
      <c r="GP398" s="158"/>
      <c r="GQ398" s="157"/>
      <c r="GR398" s="157"/>
      <c r="GS398" s="157"/>
      <c r="GT398" s="157"/>
      <c r="GU398" s="157"/>
      <c r="GV398" s="157"/>
      <c r="GW398" s="157"/>
      <c r="GX398" s="157"/>
      <c r="GY398" s="157"/>
      <c r="GZ398" s="157"/>
      <c r="HA398" s="157"/>
      <c r="HB398" s="155">
        <v>0.0</v>
      </c>
      <c r="HC398" s="155">
        <v>0.0</v>
      </c>
      <c r="HD398" s="155">
        <v>0.0</v>
      </c>
      <c r="HE398" s="155">
        <v>0.0</v>
      </c>
      <c r="HF398" s="155">
        <v>0.0</v>
      </c>
      <c r="HG398" s="155">
        <v>0.0</v>
      </c>
      <c r="IL398" s="159">
        <v>0.0</v>
      </c>
      <c r="IM398" s="156">
        <v>0.0</v>
      </c>
      <c r="IN398" s="156">
        <v>0.0</v>
      </c>
      <c r="IO398" s="156">
        <v>0.0</v>
      </c>
      <c r="IP398" s="156">
        <v>0.0</v>
      </c>
      <c r="IQ398" s="160">
        <v>0.0</v>
      </c>
      <c r="JH398" s="25"/>
      <c r="JW398" s="159">
        <v>0.0</v>
      </c>
      <c r="JX398" s="156">
        <v>0.0</v>
      </c>
      <c r="JY398" s="156">
        <v>0.0</v>
      </c>
      <c r="JZ398" s="156">
        <v>0.0</v>
      </c>
      <c r="KA398" s="156">
        <v>0.0</v>
      </c>
      <c r="KB398" s="160">
        <v>0.0</v>
      </c>
      <c r="LH398" s="159">
        <f t="shared" si="10"/>
        <v>0</v>
      </c>
      <c r="LI398" s="156">
        <f t="shared" si="11"/>
        <v>0</v>
      </c>
      <c r="LJ398" s="156">
        <f t="shared" si="12"/>
        <v>0</v>
      </c>
      <c r="LK398" s="156">
        <f t="shared" si="13"/>
        <v>0</v>
      </c>
      <c r="LL398" s="156">
        <f t="shared" si="14"/>
        <v>0</v>
      </c>
      <c r="LM398" s="160">
        <f t="shared" si="15"/>
        <v>0</v>
      </c>
      <c r="QX398" s="107">
        <v>45971.0</v>
      </c>
    </row>
    <row r="399">
      <c r="A399" s="12"/>
      <c r="B399" s="12"/>
      <c r="C399" s="12"/>
      <c r="D399" s="12"/>
      <c r="E399" s="12"/>
      <c r="F399" s="12"/>
      <c r="G399" s="12"/>
      <c r="H399" s="12"/>
      <c r="I399" s="143">
        <f t="shared" si="5"/>
        <v>-5</v>
      </c>
      <c r="J399" s="144">
        <v>45975.0</v>
      </c>
      <c r="K399" s="180" t="s">
        <v>61</v>
      </c>
      <c r="L399" s="171">
        <v>46035.0</v>
      </c>
      <c r="M399" s="147" t="s">
        <v>3172</v>
      </c>
      <c r="N399" s="148">
        <v>246.0</v>
      </c>
      <c r="O399" s="148">
        <v>30.0</v>
      </c>
      <c r="P399" s="26"/>
      <c r="Q399" s="26"/>
      <c r="R399" s="26"/>
      <c r="S399" s="26"/>
      <c r="T399" s="26"/>
      <c r="U399" s="147" t="s">
        <v>2519</v>
      </c>
      <c r="V399" s="149" t="s">
        <v>307</v>
      </c>
      <c r="W399" s="198" t="s">
        <v>3173</v>
      </c>
      <c r="X399" s="181">
        <v>5.0</v>
      </c>
      <c r="Y399" s="166">
        <f t="shared" si="6"/>
        <v>5</v>
      </c>
      <c r="Z399" s="26">
        <f t="shared" si="7"/>
        <v>0</v>
      </c>
      <c r="AA399" s="26">
        <f t="shared" si="8"/>
        <v>0</v>
      </c>
      <c r="AB399" s="26">
        <f t="shared" si="9"/>
        <v>0</v>
      </c>
      <c r="AC399" s="155">
        <v>0.0</v>
      </c>
      <c r="AD399" s="155">
        <v>0.0</v>
      </c>
      <c r="AE399" s="155">
        <v>0.0</v>
      </c>
      <c r="AF399" s="155">
        <v>0.0</v>
      </c>
      <c r="AG399" s="155">
        <v>0.0</v>
      </c>
      <c r="AH399" s="155">
        <v>0.0</v>
      </c>
      <c r="AI399" s="167"/>
      <c r="AJ399" s="167"/>
      <c r="AK399" s="167"/>
      <c r="AL399" s="167"/>
      <c r="AM399" s="167"/>
      <c r="AN399" s="167"/>
      <c r="AO399" s="167"/>
      <c r="AP399" s="167"/>
      <c r="AQ399" s="167"/>
      <c r="AR399" s="167"/>
      <c r="AS399" s="167"/>
      <c r="AT399" s="167"/>
      <c r="AU399" s="167"/>
      <c r="AV399" s="167"/>
      <c r="AW399" s="167"/>
      <c r="AX399" s="167"/>
      <c r="AY399" s="167"/>
      <c r="AZ399" s="167"/>
      <c r="BA399" s="167"/>
      <c r="BB399" s="167"/>
      <c r="BC399" s="167"/>
      <c r="BD399" s="167"/>
      <c r="BE399" s="167"/>
      <c r="BF399" s="167"/>
      <c r="BG399" s="167"/>
      <c r="BH399" s="167"/>
      <c r="BI399" s="167"/>
      <c r="BJ399" s="167"/>
      <c r="BK399" s="167"/>
      <c r="BL399" s="167"/>
      <c r="BM399" s="167"/>
      <c r="BN399" s="155">
        <v>0.0</v>
      </c>
      <c r="BO399" s="155">
        <v>0.0</v>
      </c>
      <c r="BP399" s="155">
        <v>0.0</v>
      </c>
      <c r="BQ399" s="155">
        <v>0.0</v>
      </c>
      <c r="BR399" s="155">
        <v>0.0</v>
      </c>
      <c r="BS399" s="155">
        <v>0.0</v>
      </c>
      <c r="CV399" s="156">
        <v>0.0</v>
      </c>
      <c r="CW399" s="156">
        <v>0.0</v>
      </c>
      <c r="CX399" s="156">
        <v>0.0</v>
      </c>
      <c r="CY399" s="156">
        <v>0.0</v>
      </c>
      <c r="CZ399" s="156">
        <v>0.0</v>
      </c>
      <c r="DA399" s="156">
        <v>0.0</v>
      </c>
      <c r="EG399" s="156">
        <v>0.0</v>
      </c>
      <c r="EH399" s="156">
        <v>0.0</v>
      </c>
      <c r="EI399" s="156">
        <v>0.0</v>
      </c>
      <c r="EJ399" s="156">
        <v>0.0</v>
      </c>
      <c r="EK399" s="156">
        <v>0.0</v>
      </c>
      <c r="EL399" s="156">
        <v>0.0</v>
      </c>
      <c r="FQ399" s="156">
        <v>0.0</v>
      </c>
      <c r="FR399" s="156">
        <v>0.0</v>
      </c>
      <c r="FS399" s="156">
        <v>0.0</v>
      </c>
      <c r="FT399" s="156">
        <v>0.0</v>
      </c>
      <c r="FU399" s="156">
        <v>0.0</v>
      </c>
      <c r="FV399" s="156">
        <v>0.0</v>
      </c>
      <c r="FW399" s="157"/>
      <c r="FX399" s="157"/>
      <c r="FY399" s="157"/>
      <c r="FZ399" s="157"/>
      <c r="GA399" s="157"/>
      <c r="GB399" s="157"/>
      <c r="GC399" s="157"/>
      <c r="GD399" s="157"/>
      <c r="GE399" s="157"/>
      <c r="GF399" s="157"/>
      <c r="GG399" s="157"/>
      <c r="GH399" s="157"/>
      <c r="GI399" s="157"/>
      <c r="GJ399" s="157"/>
      <c r="GK399" s="157"/>
      <c r="GL399" s="157"/>
      <c r="GM399" s="157"/>
      <c r="GN399" s="157"/>
      <c r="GO399" s="157"/>
      <c r="GP399" s="158"/>
      <c r="GQ399" s="157"/>
      <c r="GR399" s="157"/>
      <c r="GS399" s="157"/>
      <c r="GT399" s="157"/>
      <c r="GU399" s="157"/>
      <c r="GV399" s="157"/>
      <c r="GW399" s="157"/>
      <c r="GX399" s="157"/>
      <c r="GY399" s="157"/>
      <c r="GZ399" s="157"/>
      <c r="HA399" s="157"/>
      <c r="HB399" s="155">
        <v>0.0</v>
      </c>
      <c r="HC399" s="155">
        <v>0.0</v>
      </c>
      <c r="HD399" s="155">
        <v>0.0</v>
      </c>
      <c r="HE399" s="155">
        <v>0.0</v>
      </c>
      <c r="HF399" s="155">
        <v>0.0</v>
      </c>
      <c r="HG399" s="155">
        <v>0.0</v>
      </c>
      <c r="IL399" s="159">
        <v>0.0</v>
      </c>
      <c r="IM399" s="156">
        <v>0.0</v>
      </c>
      <c r="IN399" s="156">
        <v>0.0</v>
      </c>
      <c r="IO399" s="156">
        <v>0.0</v>
      </c>
      <c r="IP399" s="156">
        <v>0.0</v>
      </c>
      <c r="IQ399" s="160">
        <v>0.0</v>
      </c>
      <c r="JH399" s="25"/>
      <c r="JW399" s="159">
        <v>0.0</v>
      </c>
      <c r="JX399" s="156">
        <v>0.0</v>
      </c>
      <c r="JY399" s="156">
        <v>0.0</v>
      </c>
      <c r="JZ399" s="156">
        <v>0.0</v>
      </c>
      <c r="KA399" s="156">
        <v>0.0</v>
      </c>
      <c r="KB399" s="160">
        <v>0.0</v>
      </c>
      <c r="LH399" s="159">
        <f t="shared" si="10"/>
        <v>0</v>
      </c>
      <c r="LI399" s="156">
        <f t="shared" si="11"/>
        <v>0</v>
      </c>
      <c r="LJ399" s="156">
        <f t="shared" si="12"/>
        <v>0</v>
      </c>
      <c r="LK399" s="156">
        <f t="shared" si="13"/>
        <v>0</v>
      </c>
      <c r="LL399" s="156">
        <f t="shared" si="14"/>
        <v>0</v>
      </c>
      <c r="LM399" s="160">
        <f t="shared" si="15"/>
        <v>0</v>
      </c>
      <c r="QX399" s="107">
        <v>45971.0</v>
      </c>
    </row>
    <row r="400">
      <c r="A400" s="25"/>
      <c r="B400" s="25"/>
      <c r="C400" s="12"/>
      <c r="D400" s="12"/>
      <c r="E400" s="12"/>
      <c r="F400" s="12"/>
      <c r="G400" s="12"/>
      <c r="H400" s="12"/>
      <c r="I400" s="143">
        <f t="shared" si="5"/>
        <v>-30</v>
      </c>
      <c r="J400" s="144">
        <v>45967.0</v>
      </c>
      <c r="K400" s="145" t="s">
        <v>61</v>
      </c>
      <c r="L400" s="171">
        <v>46079.0</v>
      </c>
      <c r="M400" s="147" t="s">
        <v>107</v>
      </c>
      <c r="N400" s="148">
        <v>357.0</v>
      </c>
      <c r="O400" s="148">
        <v>30.0</v>
      </c>
      <c r="P400" s="26"/>
      <c r="Q400" s="26"/>
      <c r="R400" s="26"/>
      <c r="S400" s="26"/>
      <c r="T400" s="26"/>
      <c r="U400" s="147" t="s">
        <v>786</v>
      </c>
      <c r="V400" s="149" t="s">
        <v>1974</v>
      </c>
      <c r="W400" s="198" t="s">
        <v>3174</v>
      </c>
      <c r="X400" s="181">
        <v>14.0</v>
      </c>
      <c r="Y400" s="166">
        <f t="shared" si="6"/>
        <v>30</v>
      </c>
      <c r="Z400" s="26">
        <f t="shared" si="7"/>
        <v>0</v>
      </c>
      <c r="AA400" s="26">
        <f t="shared" si="8"/>
        <v>0</v>
      </c>
      <c r="AB400" s="26">
        <f t="shared" si="9"/>
        <v>0</v>
      </c>
      <c r="AC400" s="155">
        <v>9.0</v>
      </c>
      <c r="AD400" s="155">
        <v>0.0</v>
      </c>
      <c r="AE400" s="155">
        <v>0.0</v>
      </c>
      <c r="AF400" s="155">
        <v>0.0</v>
      </c>
      <c r="AG400" s="155">
        <v>0.0</v>
      </c>
      <c r="AH400" s="155">
        <v>0.0</v>
      </c>
      <c r="AI400" s="167"/>
      <c r="AJ400" s="167"/>
      <c r="AK400" s="167"/>
      <c r="AL400" s="167"/>
      <c r="AM400" s="167"/>
      <c r="AN400" s="167"/>
      <c r="AO400" s="167"/>
      <c r="AP400" s="167"/>
      <c r="AQ400" s="167"/>
      <c r="AR400" s="167"/>
      <c r="AS400" s="167"/>
      <c r="AT400" s="167"/>
      <c r="AU400" s="167">
        <v>1.0</v>
      </c>
      <c r="AV400" s="167">
        <v>0.0</v>
      </c>
      <c r="AW400" s="167">
        <v>1.0</v>
      </c>
      <c r="AX400" s="167">
        <v>0.0</v>
      </c>
      <c r="AY400" s="167"/>
      <c r="AZ400" s="168">
        <v>1.0</v>
      </c>
      <c r="BA400" s="167">
        <v>0.0</v>
      </c>
      <c r="BB400" s="167">
        <v>1.0</v>
      </c>
      <c r="BC400" s="167">
        <v>0.0</v>
      </c>
      <c r="BD400" s="167"/>
      <c r="BE400" s="168">
        <v>1.0</v>
      </c>
      <c r="BF400" s="167"/>
      <c r="BG400" s="168">
        <v>1.0</v>
      </c>
      <c r="BH400" s="167">
        <v>0.0</v>
      </c>
      <c r="BI400" s="167">
        <v>1.0</v>
      </c>
      <c r="BJ400" s="167">
        <v>0.0</v>
      </c>
      <c r="BK400" s="167">
        <v>1.0</v>
      </c>
      <c r="BL400" s="167">
        <v>0.0</v>
      </c>
      <c r="BM400" s="167">
        <v>1.0</v>
      </c>
      <c r="BN400" s="155">
        <v>7.0</v>
      </c>
      <c r="BO400" s="155">
        <v>0.0</v>
      </c>
      <c r="BP400" s="155">
        <v>0.0</v>
      </c>
      <c r="BQ400" s="155">
        <v>0.0</v>
      </c>
      <c r="BR400" s="155">
        <v>0.0</v>
      </c>
      <c r="BS400" s="155">
        <v>0.0</v>
      </c>
      <c r="BT400" s="167">
        <v>0.0</v>
      </c>
      <c r="BU400" s="167">
        <v>0.0</v>
      </c>
      <c r="BV400" s="167">
        <v>1.0</v>
      </c>
      <c r="BW400" s="167">
        <v>0.0</v>
      </c>
      <c r="BX400" s="167">
        <v>1.0</v>
      </c>
      <c r="BY400" s="167"/>
      <c r="BZ400" s="167"/>
      <c r="CA400" s="167"/>
      <c r="CB400" s="167"/>
      <c r="CC400" s="167">
        <v>1.0</v>
      </c>
      <c r="CD400" s="167">
        <v>0.0</v>
      </c>
      <c r="CE400" s="167">
        <v>1.0</v>
      </c>
      <c r="CF400" s="167">
        <v>0.0</v>
      </c>
      <c r="CG400" s="167">
        <v>1.0</v>
      </c>
      <c r="CH400" s="167"/>
      <c r="CI400" s="167"/>
      <c r="CJ400" s="167"/>
      <c r="CK400" s="167"/>
      <c r="CL400" s="167"/>
      <c r="CM400" s="167"/>
      <c r="CN400" s="167"/>
      <c r="CO400" s="167"/>
      <c r="CP400" s="167"/>
      <c r="CQ400" s="167">
        <v>1.0</v>
      </c>
      <c r="CR400" s="167">
        <v>0.0</v>
      </c>
      <c r="CS400" s="167">
        <v>1.0</v>
      </c>
      <c r="CT400" s="167"/>
      <c r="CU400" s="167"/>
      <c r="CV400" s="156">
        <v>0.0</v>
      </c>
      <c r="CW400" s="156">
        <v>0.0</v>
      </c>
      <c r="CX400" s="156">
        <v>0.0</v>
      </c>
      <c r="CY400" s="156">
        <v>0.0</v>
      </c>
      <c r="CZ400" s="156">
        <v>0.0</v>
      </c>
      <c r="DA400" s="156">
        <v>0.0</v>
      </c>
      <c r="EG400" s="156">
        <v>0.0</v>
      </c>
      <c r="EH400" s="156">
        <v>0.0</v>
      </c>
      <c r="EI400" s="156">
        <v>0.0</v>
      </c>
      <c r="EJ400" s="156">
        <v>0.0</v>
      </c>
      <c r="EK400" s="156">
        <v>0.0</v>
      </c>
      <c r="EL400" s="156">
        <v>0.0</v>
      </c>
      <c r="FQ400" s="156">
        <v>0.0</v>
      </c>
      <c r="FR400" s="156">
        <v>0.0</v>
      </c>
      <c r="FS400" s="156">
        <v>0.0</v>
      </c>
      <c r="FT400" s="156">
        <v>0.0</v>
      </c>
      <c r="FU400" s="156">
        <v>0.0</v>
      </c>
      <c r="FV400" s="156">
        <v>0.0</v>
      </c>
      <c r="FW400" s="157"/>
      <c r="FX400" s="157"/>
      <c r="FY400" s="157"/>
      <c r="FZ400" s="157"/>
      <c r="GA400" s="157"/>
      <c r="GB400" s="157"/>
      <c r="GC400" s="157"/>
      <c r="GD400" s="157"/>
      <c r="GE400" s="157"/>
      <c r="GF400" s="157"/>
      <c r="GG400" s="157"/>
      <c r="GH400" s="157"/>
      <c r="GI400" s="157"/>
      <c r="GJ400" s="157"/>
      <c r="GK400" s="157"/>
      <c r="GL400" s="157"/>
      <c r="GM400" s="157"/>
      <c r="GN400" s="157"/>
      <c r="GO400" s="157"/>
      <c r="GP400" s="158"/>
      <c r="GQ400" s="157"/>
      <c r="GR400" s="157"/>
      <c r="GS400" s="157"/>
      <c r="GT400" s="157"/>
      <c r="GU400" s="157"/>
      <c r="GV400" s="157"/>
      <c r="GW400" s="157"/>
      <c r="GX400" s="157"/>
      <c r="GY400" s="157"/>
      <c r="GZ400" s="157"/>
      <c r="HA400" s="157"/>
      <c r="HB400" s="155">
        <v>0.0</v>
      </c>
      <c r="HC400" s="155">
        <v>0.0</v>
      </c>
      <c r="HD400" s="155">
        <v>0.0</v>
      </c>
      <c r="HE400" s="155">
        <v>0.0</v>
      </c>
      <c r="HF400" s="155">
        <v>0.0</v>
      </c>
      <c r="HG400" s="155">
        <v>0.0</v>
      </c>
      <c r="IL400" s="159">
        <v>0.0</v>
      </c>
      <c r="IM400" s="156">
        <v>0.0</v>
      </c>
      <c r="IN400" s="156">
        <v>0.0</v>
      </c>
      <c r="IO400" s="156">
        <v>0.0</v>
      </c>
      <c r="IP400" s="156">
        <v>0.0</v>
      </c>
      <c r="IQ400" s="160">
        <v>0.0</v>
      </c>
      <c r="JH400" s="25"/>
      <c r="JW400" s="159">
        <v>0.0</v>
      </c>
      <c r="JX400" s="156">
        <v>0.0</v>
      </c>
      <c r="JY400" s="156">
        <v>0.0</v>
      </c>
      <c r="JZ400" s="156">
        <v>0.0</v>
      </c>
      <c r="KA400" s="156">
        <v>0.0</v>
      </c>
      <c r="KB400" s="160">
        <v>0.0</v>
      </c>
      <c r="LH400" s="159">
        <f t="shared" si="10"/>
        <v>0</v>
      </c>
      <c r="LI400" s="156">
        <f t="shared" si="11"/>
        <v>0</v>
      </c>
      <c r="LJ400" s="156">
        <f t="shared" si="12"/>
        <v>0</v>
      </c>
      <c r="LK400" s="156">
        <f t="shared" si="13"/>
        <v>0</v>
      </c>
      <c r="LL400" s="156">
        <f t="shared" si="14"/>
        <v>0</v>
      </c>
      <c r="LM400" s="160">
        <f t="shared" si="15"/>
        <v>0</v>
      </c>
      <c r="QX400" s="107">
        <v>45974.0</v>
      </c>
    </row>
    <row r="401">
      <c r="A401" s="12"/>
      <c r="B401" s="12"/>
      <c r="C401" s="12"/>
      <c r="D401" s="12"/>
      <c r="E401" s="12"/>
      <c r="F401" s="12"/>
      <c r="G401" s="12"/>
      <c r="H401" s="12"/>
      <c r="I401" s="143">
        <f t="shared" si="5"/>
        <v>-30</v>
      </c>
      <c r="J401" s="144">
        <v>45973.0</v>
      </c>
      <c r="K401" s="145" t="s">
        <v>61</v>
      </c>
      <c r="L401" s="171">
        <v>46100.0</v>
      </c>
      <c r="M401" s="147" t="s">
        <v>1157</v>
      </c>
      <c r="N401" s="148">
        <v>47.0</v>
      </c>
      <c r="O401" s="148">
        <v>30.0</v>
      </c>
      <c r="P401" s="26"/>
      <c r="Q401" s="26"/>
      <c r="R401" s="26"/>
      <c r="S401" s="26"/>
      <c r="T401" s="26"/>
      <c r="U401" s="147" t="s">
        <v>3175</v>
      </c>
      <c r="V401" s="149" t="s">
        <v>3176</v>
      </c>
      <c r="W401" s="198" t="s">
        <v>3177</v>
      </c>
      <c r="X401" s="181">
        <v>12.0</v>
      </c>
      <c r="Y401" s="166">
        <f t="shared" si="6"/>
        <v>30</v>
      </c>
      <c r="Z401" s="26">
        <f t="shared" si="7"/>
        <v>0</v>
      </c>
      <c r="AA401" s="26">
        <f t="shared" si="8"/>
        <v>0</v>
      </c>
      <c r="AB401" s="26">
        <f t="shared" si="9"/>
        <v>0</v>
      </c>
      <c r="AC401" s="155">
        <v>7.0</v>
      </c>
      <c r="AD401" s="155">
        <v>0.0</v>
      </c>
      <c r="AE401" s="155">
        <v>0.0</v>
      </c>
      <c r="AF401" s="155">
        <v>0.0</v>
      </c>
      <c r="AG401" s="155">
        <v>0.0</v>
      </c>
      <c r="AH401" s="155">
        <v>0.0</v>
      </c>
      <c r="AQ401" s="86">
        <v>1.0</v>
      </c>
      <c r="AR401" s="86">
        <v>1.0</v>
      </c>
      <c r="AY401" s="86">
        <v>1.0</v>
      </c>
      <c r="BC401" s="86">
        <v>1.0</v>
      </c>
      <c r="BF401" s="86">
        <v>1.0</v>
      </c>
      <c r="BJ401" s="86">
        <v>1.0</v>
      </c>
      <c r="BL401" s="86">
        <v>1.0</v>
      </c>
      <c r="BN401" s="155">
        <v>5.0</v>
      </c>
      <c r="BO401" s="155">
        <v>0.0</v>
      </c>
      <c r="BP401" s="155">
        <v>0.0</v>
      </c>
      <c r="BQ401" s="155">
        <v>0.0</v>
      </c>
      <c r="BR401" s="155">
        <v>0.0</v>
      </c>
      <c r="BS401" s="155">
        <v>0.0</v>
      </c>
      <c r="BY401" s="86">
        <v>1.0</v>
      </c>
      <c r="BZ401" s="86">
        <v>1.0</v>
      </c>
      <c r="CR401" s="86">
        <v>2.0</v>
      </c>
      <c r="CT401" s="86">
        <v>1.0</v>
      </c>
      <c r="CV401" s="156">
        <v>6.0</v>
      </c>
      <c r="CW401" s="156">
        <v>0.0</v>
      </c>
      <c r="CX401" s="156">
        <v>0.0</v>
      </c>
      <c r="CY401" s="156">
        <v>0.0</v>
      </c>
      <c r="CZ401" s="156">
        <v>0.0</v>
      </c>
      <c r="DA401" s="156">
        <v>0.0</v>
      </c>
      <c r="DF401" s="86">
        <v>2.0</v>
      </c>
      <c r="DI401" s="86">
        <v>1.0</v>
      </c>
      <c r="DK401" s="86">
        <v>1.0</v>
      </c>
      <c r="DO401" s="86">
        <v>1.0</v>
      </c>
      <c r="DR401" s="86">
        <v>1.0</v>
      </c>
      <c r="EG401" s="156">
        <v>0.0</v>
      </c>
      <c r="EH401" s="156">
        <v>0.0</v>
      </c>
      <c r="EI401" s="156">
        <v>0.0</v>
      </c>
      <c r="EJ401" s="156">
        <v>0.0</v>
      </c>
      <c r="EK401" s="156">
        <v>0.0</v>
      </c>
      <c r="EL401" s="156">
        <v>0.0</v>
      </c>
      <c r="FQ401" s="156">
        <v>0.0</v>
      </c>
      <c r="FR401" s="156">
        <v>0.0</v>
      </c>
      <c r="FS401" s="156">
        <v>0.0</v>
      </c>
      <c r="FT401" s="156">
        <v>0.0</v>
      </c>
      <c r="FU401" s="156">
        <v>0.0</v>
      </c>
      <c r="FV401" s="156">
        <v>0.0</v>
      </c>
      <c r="FW401" s="157"/>
      <c r="FX401" s="157"/>
      <c r="FY401" s="157"/>
      <c r="FZ401" s="157"/>
      <c r="GA401" s="157"/>
      <c r="GB401" s="157"/>
      <c r="GC401" s="157"/>
      <c r="GD401" s="157"/>
      <c r="GE401" s="157"/>
      <c r="GF401" s="157"/>
      <c r="GG401" s="157"/>
      <c r="GH401" s="157"/>
      <c r="GI401" s="157"/>
      <c r="GJ401" s="157"/>
      <c r="GK401" s="157"/>
      <c r="GL401" s="157"/>
      <c r="GM401" s="157"/>
      <c r="GN401" s="157"/>
      <c r="GO401" s="157"/>
      <c r="GP401" s="158"/>
      <c r="GQ401" s="157"/>
      <c r="GR401" s="157"/>
      <c r="GS401" s="157"/>
      <c r="GT401" s="157"/>
      <c r="GU401" s="157"/>
      <c r="GV401" s="157"/>
      <c r="GW401" s="157"/>
      <c r="GX401" s="157"/>
      <c r="GY401" s="157"/>
      <c r="GZ401" s="157"/>
      <c r="HA401" s="157"/>
      <c r="HB401" s="155">
        <v>0.0</v>
      </c>
      <c r="HC401" s="155">
        <v>0.0</v>
      </c>
      <c r="HD401" s="155">
        <v>0.0</v>
      </c>
      <c r="HE401" s="155">
        <v>0.0</v>
      </c>
      <c r="HF401" s="155">
        <v>0.0</v>
      </c>
      <c r="HG401" s="155">
        <v>0.0</v>
      </c>
      <c r="IL401" s="159">
        <v>0.0</v>
      </c>
      <c r="IM401" s="156">
        <v>0.0</v>
      </c>
      <c r="IN401" s="156">
        <v>0.0</v>
      </c>
      <c r="IO401" s="156">
        <v>0.0</v>
      </c>
      <c r="IP401" s="156">
        <v>0.0</v>
      </c>
      <c r="IQ401" s="160">
        <v>0.0</v>
      </c>
      <c r="JH401" s="25"/>
      <c r="JW401" s="159">
        <v>0.0</v>
      </c>
      <c r="JX401" s="156">
        <v>0.0</v>
      </c>
      <c r="JY401" s="156">
        <v>0.0</v>
      </c>
      <c r="JZ401" s="156">
        <v>0.0</v>
      </c>
      <c r="KA401" s="156">
        <v>0.0</v>
      </c>
      <c r="KB401" s="160">
        <v>0.0</v>
      </c>
      <c r="LH401" s="159">
        <f t="shared" si="10"/>
        <v>0</v>
      </c>
      <c r="LI401" s="156">
        <f t="shared" si="11"/>
        <v>0</v>
      </c>
      <c r="LJ401" s="156">
        <f t="shared" si="12"/>
        <v>0</v>
      </c>
      <c r="LK401" s="156">
        <f t="shared" si="13"/>
        <v>0</v>
      </c>
      <c r="LL401" s="156">
        <f t="shared" si="14"/>
        <v>0</v>
      </c>
      <c r="LM401" s="160">
        <f t="shared" si="15"/>
        <v>0</v>
      </c>
      <c r="QX401" s="107">
        <v>45974.0</v>
      </c>
    </row>
    <row r="402">
      <c r="A402" s="12"/>
      <c r="B402" s="12"/>
      <c r="C402" s="12"/>
      <c r="D402" s="12"/>
      <c r="E402" s="12"/>
      <c r="F402" s="12"/>
      <c r="G402" s="12"/>
      <c r="H402" s="12"/>
      <c r="I402" s="143">
        <f t="shared" si="5"/>
        <v>-23</v>
      </c>
      <c r="J402" s="144">
        <v>45971.0</v>
      </c>
      <c r="K402" s="180" t="s">
        <v>53</v>
      </c>
      <c r="L402" s="171">
        <v>46090.0</v>
      </c>
      <c r="M402" s="147" t="s">
        <v>107</v>
      </c>
      <c r="N402" s="148">
        <v>246.0</v>
      </c>
      <c r="O402" s="148">
        <v>30.0</v>
      </c>
      <c r="P402" s="26"/>
      <c r="Q402" s="26"/>
      <c r="R402" s="26"/>
      <c r="S402" s="26"/>
      <c r="T402" s="26"/>
      <c r="U402" s="147" t="s">
        <v>3178</v>
      </c>
      <c r="V402" s="149" t="s">
        <v>3179</v>
      </c>
      <c r="W402" s="198" t="s">
        <v>3180</v>
      </c>
      <c r="X402" s="181">
        <v>17.0</v>
      </c>
      <c r="Y402" s="166">
        <f t="shared" si="6"/>
        <v>23</v>
      </c>
      <c r="Z402" s="26">
        <f t="shared" si="7"/>
        <v>0</v>
      </c>
      <c r="AA402" s="26">
        <f t="shared" si="8"/>
        <v>0</v>
      </c>
      <c r="AB402" s="26">
        <f t="shared" si="9"/>
        <v>0</v>
      </c>
      <c r="AC402" s="155">
        <v>6.0</v>
      </c>
      <c r="AD402" s="155">
        <v>0.0</v>
      </c>
      <c r="AE402" s="155">
        <v>0.0</v>
      </c>
      <c r="AF402" s="155">
        <v>0.0</v>
      </c>
      <c r="AG402" s="155">
        <v>0.0</v>
      </c>
      <c r="AH402" s="155">
        <v>0.0</v>
      </c>
      <c r="AI402" s="167">
        <v>0.0</v>
      </c>
      <c r="AJ402" s="167">
        <v>1.0</v>
      </c>
      <c r="AK402" s="167"/>
      <c r="AL402" s="167"/>
      <c r="AM402" s="167"/>
      <c r="AN402" s="167"/>
      <c r="AO402" s="167">
        <v>1.0</v>
      </c>
      <c r="AP402" s="167">
        <v>0.0</v>
      </c>
      <c r="AQ402" s="167">
        <v>1.0</v>
      </c>
      <c r="AR402" s="167"/>
      <c r="AS402" s="167"/>
      <c r="AT402" s="167"/>
      <c r="AU402" s="167"/>
      <c r="AV402" s="167">
        <v>1.0</v>
      </c>
      <c r="AW402" s="167">
        <v>0.0</v>
      </c>
      <c r="AX402" s="167">
        <v>1.0</v>
      </c>
      <c r="AY402" s="167">
        <v>0.0</v>
      </c>
      <c r="AZ402" s="167">
        <v>0.0</v>
      </c>
      <c r="BA402" s="167">
        <v>1.0</v>
      </c>
      <c r="BB402" s="167"/>
      <c r="BC402" s="167"/>
      <c r="BD402" s="167"/>
      <c r="BE402" s="167"/>
      <c r="BF402" s="167"/>
      <c r="BG402" s="167"/>
      <c r="BH402" s="167"/>
      <c r="BI402" s="167"/>
      <c r="BJ402" s="167"/>
      <c r="BK402" s="167"/>
      <c r="BL402" s="167"/>
      <c r="BM402" s="167"/>
      <c r="BN402" s="155">
        <v>0.0</v>
      </c>
      <c r="BO402" s="155">
        <v>0.0</v>
      </c>
      <c r="BP402" s="155">
        <v>0.0</v>
      </c>
      <c r="BQ402" s="155">
        <v>0.0</v>
      </c>
      <c r="BR402" s="155">
        <v>0.0</v>
      </c>
      <c r="BS402" s="155">
        <v>0.0</v>
      </c>
      <c r="BT402" s="167"/>
      <c r="BU402" s="167"/>
      <c r="BV402" s="167"/>
      <c r="BW402" s="167"/>
      <c r="BX402" s="167"/>
      <c r="BY402" s="167"/>
      <c r="BZ402" s="167"/>
      <c r="CA402" s="167"/>
      <c r="CB402" s="167"/>
      <c r="CC402" s="167"/>
      <c r="CD402" s="167"/>
      <c r="CE402" s="167"/>
      <c r="CF402" s="167"/>
      <c r="CG402" s="167"/>
      <c r="CH402" s="167"/>
      <c r="CI402" s="167"/>
      <c r="CJ402" s="167"/>
      <c r="CK402" s="167"/>
      <c r="CL402" s="167"/>
      <c r="CM402" s="167"/>
      <c r="CN402" s="167"/>
      <c r="CO402" s="167"/>
      <c r="CP402" s="167"/>
      <c r="CQ402" s="167"/>
      <c r="CR402" s="167"/>
      <c r="CS402" s="167"/>
      <c r="CT402" s="167"/>
      <c r="CU402" s="167"/>
      <c r="CV402" s="156">
        <v>0.0</v>
      </c>
      <c r="CW402" s="156">
        <v>0.0</v>
      </c>
      <c r="CX402" s="156">
        <v>0.0</v>
      </c>
      <c r="CY402" s="156">
        <v>0.0</v>
      </c>
      <c r="CZ402" s="156">
        <v>0.0</v>
      </c>
      <c r="DA402" s="156">
        <v>0.0</v>
      </c>
      <c r="EG402" s="156">
        <v>0.0</v>
      </c>
      <c r="EH402" s="156">
        <v>0.0</v>
      </c>
      <c r="EI402" s="156">
        <v>0.0</v>
      </c>
      <c r="EJ402" s="156">
        <v>0.0</v>
      </c>
      <c r="EK402" s="156">
        <v>0.0</v>
      </c>
      <c r="EL402" s="156">
        <v>0.0</v>
      </c>
      <c r="FQ402" s="156">
        <v>0.0</v>
      </c>
      <c r="FR402" s="156">
        <v>0.0</v>
      </c>
      <c r="FS402" s="156">
        <v>0.0</v>
      </c>
      <c r="FT402" s="156">
        <v>0.0</v>
      </c>
      <c r="FU402" s="156">
        <v>0.0</v>
      </c>
      <c r="FV402" s="156">
        <v>0.0</v>
      </c>
      <c r="FW402" s="157"/>
      <c r="FX402" s="157"/>
      <c r="FY402" s="157"/>
      <c r="FZ402" s="157"/>
      <c r="GA402" s="157"/>
      <c r="GB402" s="157"/>
      <c r="GC402" s="157"/>
      <c r="GD402" s="157"/>
      <c r="GE402" s="157"/>
      <c r="GF402" s="157"/>
      <c r="GG402" s="157"/>
      <c r="GH402" s="157"/>
      <c r="GI402" s="157"/>
      <c r="GJ402" s="157"/>
      <c r="GK402" s="157"/>
      <c r="GL402" s="157"/>
      <c r="GM402" s="157"/>
      <c r="GN402" s="157"/>
      <c r="GO402" s="157"/>
      <c r="GP402" s="158"/>
      <c r="GQ402" s="157"/>
      <c r="GR402" s="157"/>
      <c r="GS402" s="157"/>
      <c r="GT402" s="157"/>
      <c r="GU402" s="157"/>
      <c r="GV402" s="157"/>
      <c r="GW402" s="157"/>
      <c r="GX402" s="157"/>
      <c r="GY402" s="157"/>
      <c r="GZ402" s="157"/>
      <c r="HA402" s="157"/>
      <c r="HB402" s="155">
        <v>0.0</v>
      </c>
      <c r="HC402" s="155">
        <v>0.0</v>
      </c>
      <c r="HD402" s="155">
        <v>0.0</v>
      </c>
      <c r="HE402" s="155">
        <v>0.0</v>
      </c>
      <c r="HF402" s="155">
        <v>0.0</v>
      </c>
      <c r="HG402" s="155">
        <v>0.0</v>
      </c>
      <c r="IL402" s="159">
        <v>0.0</v>
      </c>
      <c r="IM402" s="156">
        <v>0.0</v>
      </c>
      <c r="IN402" s="156">
        <v>0.0</v>
      </c>
      <c r="IO402" s="156">
        <v>0.0</v>
      </c>
      <c r="IP402" s="156">
        <v>0.0</v>
      </c>
      <c r="IQ402" s="160">
        <v>0.0</v>
      </c>
      <c r="JH402" s="25"/>
      <c r="JW402" s="159">
        <v>0.0</v>
      </c>
      <c r="JX402" s="156">
        <v>0.0</v>
      </c>
      <c r="JY402" s="156">
        <v>0.0</v>
      </c>
      <c r="JZ402" s="156">
        <v>0.0</v>
      </c>
      <c r="KA402" s="156">
        <v>0.0</v>
      </c>
      <c r="KB402" s="160">
        <v>0.0</v>
      </c>
      <c r="LH402" s="159">
        <f t="shared" si="10"/>
        <v>0</v>
      </c>
      <c r="LI402" s="156">
        <f t="shared" si="11"/>
        <v>0</v>
      </c>
      <c r="LJ402" s="156">
        <f t="shared" si="12"/>
        <v>0</v>
      </c>
      <c r="LK402" s="156">
        <f t="shared" si="13"/>
        <v>0</v>
      </c>
      <c r="LL402" s="156">
        <f t="shared" si="14"/>
        <v>0</v>
      </c>
      <c r="LM402" s="160">
        <f t="shared" si="15"/>
        <v>0</v>
      </c>
      <c r="QX402" s="107">
        <v>45978.0</v>
      </c>
    </row>
    <row r="403">
      <c r="A403" s="58"/>
      <c r="B403" s="58"/>
      <c r="C403" s="25"/>
      <c r="D403" s="25"/>
      <c r="E403" s="169"/>
      <c r="F403" s="25"/>
      <c r="G403" s="25"/>
      <c r="H403" s="25"/>
      <c r="I403" s="143">
        <f t="shared" si="5"/>
        <v>-56</v>
      </c>
      <c r="J403" s="144">
        <v>45969.0</v>
      </c>
      <c r="K403" s="203" t="s">
        <v>48</v>
      </c>
      <c r="L403" s="146"/>
      <c r="M403" s="147" t="s">
        <v>435</v>
      </c>
      <c r="N403" s="148" t="s">
        <v>467</v>
      </c>
      <c r="O403" s="148">
        <v>30.0</v>
      </c>
      <c r="P403" s="26"/>
      <c r="Q403" s="26"/>
      <c r="R403" s="26"/>
      <c r="S403" s="26"/>
      <c r="T403" s="26"/>
      <c r="U403" s="164" t="s">
        <v>3181</v>
      </c>
      <c r="V403" s="165" t="s">
        <v>907</v>
      </c>
      <c r="W403" s="248" t="s">
        <v>3182</v>
      </c>
      <c r="X403" s="181">
        <v>13.0</v>
      </c>
      <c r="Y403" s="166">
        <f t="shared" si="6"/>
        <v>56</v>
      </c>
      <c r="Z403" s="26">
        <f t="shared" si="7"/>
        <v>0</v>
      </c>
      <c r="AA403" s="26">
        <f t="shared" si="8"/>
        <v>0</v>
      </c>
      <c r="AB403" s="26">
        <f t="shared" si="9"/>
        <v>0</v>
      </c>
      <c r="AC403" s="155">
        <v>4.0</v>
      </c>
      <c r="AD403" s="155">
        <v>0.0</v>
      </c>
      <c r="AE403" s="155">
        <v>0.0</v>
      </c>
      <c r="AF403" s="155">
        <v>0.0</v>
      </c>
      <c r="AG403" s="155">
        <v>0.0</v>
      </c>
      <c r="AH403" s="155">
        <v>0.0</v>
      </c>
      <c r="AY403" s="86">
        <v>1.0</v>
      </c>
      <c r="AZ403" s="86">
        <v>1.0</v>
      </c>
      <c r="BF403" s="86">
        <v>1.0</v>
      </c>
      <c r="BG403" s="86">
        <v>1.0</v>
      </c>
      <c r="BN403" s="155">
        <v>5.0</v>
      </c>
      <c r="BO403" s="155">
        <v>0.0</v>
      </c>
      <c r="BP403" s="155">
        <v>0.0</v>
      </c>
      <c r="BQ403" s="155">
        <v>0.0</v>
      </c>
      <c r="BR403" s="155">
        <v>0.0</v>
      </c>
      <c r="BS403" s="155">
        <v>0.0</v>
      </c>
      <c r="BT403" s="86">
        <v>1.0</v>
      </c>
      <c r="BZ403" s="86">
        <v>1.0</v>
      </c>
      <c r="CA403" s="86">
        <v>1.0</v>
      </c>
      <c r="CG403" s="86">
        <v>1.0</v>
      </c>
      <c r="CU403" s="86">
        <v>1.0</v>
      </c>
      <c r="CV403" s="156">
        <v>8.0</v>
      </c>
      <c r="CW403" s="156">
        <v>0.0</v>
      </c>
      <c r="CX403" s="156">
        <v>0.0</v>
      </c>
      <c r="CY403" s="156">
        <v>0.0</v>
      </c>
      <c r="CZ403" s="156">
        <v>0.0</v>
      </c>
      <c r="DA403" s="156">
        <v>0.0</v>
      </c>
      <c r="DB403" s="86">
        <v>1.0</v>
      </c>
      <c r="DH403" s="86">
        <v>1.0</v>
      </c>
      <c r="DI403" s="86">
        <v>1.0</v>
      </c>
      <c r="DO403" s="86">
        <v>1.0</v>
      </c>
      <c r="DP403" s="86">
        <v>1.0</v>
      </c>
      <c r="DV403" s="86">
        <v>1.0</v>
      </c>
      <c r="DW403" s="86">
        <v>1.0</v>
      </c>
      <c r="EC403" s="86">
        <v>1.0</v>
      </c>
      <c r="EG403" s="156">
        <v>4.0</v>
      </c>
      <c r="EH403" s="156">
        <v>0.0</v>
      </c>
      <c r="EI403" s="156">
        <v>0.0</v>
      </c>
      <c r="EJ403" s="156">
        <v>0.0</v>
      </c>
      <c r="EK403" s="156">
        <v>0.0</v>
      </c>
      <c r="EL403" s="156">
        <v>0.0</v>
      </c>
      <c r="FD403" s="86">
        <v>1.0</v>
      </c>
      <c r="FE403" s="86">
        <v>1.0</v>
      </c>
      <c r="FK403" s="86">
        <v>1.0</v>
      </c>
      <c r="FL403" s="86">
        <v>1.0</v>
      </c>
      <c r="FQ403" s="156">
        <v>6.0</v>
      </c>
      <c r="FR403" s="156">
        <v>0.0</v>
      </c>
      <c r="FS403" s="156">
        <v>0.0</v>
      </c>
      <c r="FT403" s="156">
        <v>0.0</v>
      </c>
      <c r="FU403" s="156">
        <v>0.0</v>
      </c>
      <c r="FV403" s="156">
        <v>0.0</v>
      </c>
      <c r="FW403" s="157"/>
      <c r="FX403" s="188">
        <v>1.0</v>
      </c>
      <c r="FY403" s="188">
        <v>1.0</v>
      </c>
      <c r="FZ403" s="157"/>
      <c r="GA403" s="157"/>
      <c r="GB403" s="157"/>
      <c r="GC403" s="157"/>
      <c r="GD403" s="157"/>
      <c r="GE403" s="188">
        <v>1.0</v>
      </c>
      <c r="GF403" s="188">
        <v>1.0</v>
      </c>
      <c r="GG403" s="157"/>
      <c r="GH403" s="157"/>
      <c r="GI403" s="157"/>
      <c r="GJ403" s="157"/>
      <c r="GK403" s="157"/>
      <c r="GL403" s="188">
        <v>1.0</v>
      </c>
      <c r="GM403" s="188">
        <v>1.0</v>
      </c>
      <c r="GN403" s="157"/>
      <c r="GO403" s="157"/>
      <c r="GP403" s="158"/>
      <c r="GQ403" s="157"/>
      <c r="GR403" s="157"/>
      <c r="GS403" s="157"/>
      <c r="GT403" s="157"/>
      <c r="GU403" s="157"/>
      <c r="GV403" s="157"/>
      <c r="GW403" s="157"/>
      <c r="GX403" s="157"/>
      <c r="GY403" s="157"/>
      <c r="GZ403" s="157"/>
      <c r="HA403" s="157"/>
      <c r="HB403" s="155">
        <v>6.0</v>
      </c>
      <c r="HC403" s="155">
        <v>0.0</v>
      </c>
      <c r="HD403" s="155">
        <v>0.0</v>
      </c>
      <c r="HE403" s="155">
        <v>0.0</v>
      </c>
      <c r="HF403" s="155">
        <v>0.0</v>
      </c>
      <c r="HG403" s="155">
        <v>0.0</v>
      </c>
      <c r="HN403" s="86">
        <v>1.0</v>
      </c>
      <c r="HT403" s="86">
        <v>1.0</v>
      </c>
      <c r="HU403" s="86">
        <v>1.0</v>
      </c>
      <c r="IA403" s="86">
        <v>1.0</v>
      </c>
      <c r="IH403" s="86">
        <v>1.0</v>
      </c>
      <c r="II403" s="86">
        <v>1.0</v>
      </c>
      <c r="IL403" s="159">
        <v>6.0</v>
      </c>
      <c r="IM403" s="156">
        <v>0.0</v>
      </c>
      <c r="IN403" s="156">
        <v>0.0</v>
      </c>
      <c r="IO403" s="156">
        <v>0.0</v>
      </c>
      <c r="IP403" s="156">
        <v>0.0</v>
      </c>
      <c r="IQ403" s="160">
        <v>0.0</v>
      </c>
      <c r="IU403" s="86">
        <v>1.0</v>
      </c>
      <c r="IV403" s="86">
        <v>1.0</v>
      </c>
      <c r="JB403" s="86">
        <v>1.0</v>
      </c>
      <c r="JC403" s="86">
        <v>1.0</v>
      </c>
      <c r="JH403" s="25"/>
      <c r="JI403" s="86">
        <v>1.0</v>
      </c>
      <c r="JQ403" s="86">
        <v>1.0</v>
      </c>
      <c r="JW403" s="159">
        <v>3.0</v>
      </c>
      <c r="JX403" s="156">
        <v>0.0</v>
      </c>
      <c r="JY403" s="156">
        <v>0.0</v>
      </c>
      <c r="JZ403" s="156">
        <v>0.0</v>
      </c>
      <c r="KA403" s="156">
        <v>0.0</v>
      </c>
      <c r="KB403" s="160">
        <v>0.0</v>
      </c>
      <c r="KD403" s="86">
        <v>1.0</v>
      </c>
      <c r="KE403" s="86">
        <v>1.0</v>
      </c>
      <c r="KS403" s="178"/>
      <c r="KX403" s="86">
        <v>1.0</v>
      </c>
      <c r="LH403" s="159">
        <f t="shared" si="10"/>
        <v>1</v>
      </c>
      <c r="LI403" s="156">
        <f t="shared" si="11"/>
        <v>0</v>
      </c>
      <c r="LJ403" s="156">
        <f t="shared" si="12"/>
        <v>0</v>
      </c>
      <c r="LK403" s="156">
        <f t="shared" si="13"/>
        <v>0</v>
      </c>
      <c r="LL403" s="156">
        <f t="shared" si="14"/>
        <v>0</v>
      </c>
      <c r="LM403" s="160">
        <f t="shared" si="15"/>
        <v>0</v>
      </c>
      <c r="LR403" s="189">
        <v>1.0</v>
      </c>
      <c r="QX403" s="107">
        <v>45978.0</v>
      </c>
    </row>
    <row r="404">
      <c r="A404" s="12"/>
      <c r="B404" s="12"/>
      <c r="C404" s="12"/>
      <c r="D404" s="12"/>
      <c r="E404" s="12"/>
      <c r="F404" s="12"/>
      <c r="G404" s="12"/>
      <c r="H404" s="12"/>
      <c r="I404" s="143">
        <f t="shared" si="5"/>
        <v>-30</v>
      </c>
      <c r="J404" s="144">
        <v>45975.0</v>
      </c>
      <c r="K404" s="145" t="s">
        <v>61</v>
      </c>
      <c r="L404" s="171">
        <v>46076.0</v>
      </c>
      <c r="M404" s="147" t="s">
        <v>435</v>
      </c>
      <c r="N404" s="148">
        <v>246.0</v>
      </c>
      <c r="O404" s="148">
        <v>30.0</v>
      </c>
      <c r="P404" s="26"/>
      <c r="Q404" s="26"/>
      <c r="R404" s="26"/>
      <c r="S404" s="26"/>
      <c r="T404" s="26"/>
      <c r="U404" s="147" t="s">
        <v>3145</v>
      </c>
      <c r="V404" s="149" t="s">
        <v>469</v>
      </c>
      <c r="W404" s="198" t="s">
        <v>3183</v>
      </c>
      <c r="X404" s="181">
        <v>18.0</v>
      </c>
      <c r="Y404" s="166">
        <f t="shared" si="6"/>
        <v>30</v>
      </c>
      <c r="Z404" s="26">
        <f t="shared" si="7"/>
        <v>0</v>
      </c>
      <c r="AA404" s="26">
        <f t="shared" si="8"/>
        <v>0</v>
      </c>
      <c r="AB404" s="26">
        <f t="shared" si="9"/>
        <v>0</v>
      </c>
      <c r="AC404" s="155">
        <v>10.0</v>
      </c>
      <c r="AD404" s="155">
        <v>0.0</v>
      </c>
      <c r="AE404" s="155">
        <v>0.0</v>
      </c>
      <c r="AF404" s="155">
        <v>0.0</v>
      </c>
      <c r="AG404" s="155">
        <v>0.0</v>
      </c>
      <c r="AH404" s="155">
        <v>0.0</v>
      </c>
      <c r="AI404" s="167"/>
      <c r="AJ404" s="167"/>
      <c r="AK404" s="167"/>
      <c r="AL404" s="167"/>
      <c r="AM404" s="167"/>
      <c r="AN404" s="168">
        <v>1.0</v>
      </c>
      <c r="AO404" s="167">
        <v>1.0</v>
      </c>
      <c r="AP404" s="167"/>
      <c r="AQ404" s="167"/>
      <c r="AR404" s="168">
        <v>1.0</v>
      </c>
      <c r="AS404" s="167">
        <v>0.0</v>
      </c>
      <c r="AT404" s="167"/>
      <c r="AU404" s="168">
        <v>1.0</v>
      </c>
      <c r="AV404" s="167">
        <v>1.0</v>
      </c>
      <c r="AW404" s="167"/>
      <c r="AX404" s="167"/>
      <c r="AY404" s="167"/>
      <c r="AZ404" s="167"/>
      <c r="BA404" s="167">
        <v>1.0</v>
      </c>
      <c r="BB404" s="167"/>
      <c r="BC404" s="168">
        <v>1.0</v>
      </c>
      <c r="BD404" s="167"/>
      <c r="BE404" s="167">
        <v>1.0</v>
      </c>
      <c r="BF404" s="167"/>
      <c r="BG404" s="167"/>
      <c r="BH404" s="167"/>
      <c r="BI404" s="167"/>
      <c r="BJ404" s="168">
        <v>2.0</v>
      </c>
      <c r="BK404" s="167"/>
      <c r="BL404" s="167"/>
      <c r="BM404" s="167"/>
      <c r="BN404" s="155">
        <v>2.0</v>
      </c>
      <c r="BO404" s="155">
        <v>0.0</v>
      </c>
      <c r="BP404" s="155">
        <v>0.0</v>
      </c>
      <c r="BQ404" s="155">
        <v>0.0</v>
      </c>
      <c r="BR404" s="155">
        <v>0.0</v>
      </c>
      <c r="BS404" s="155">
        <v>0.0</v>
      </c>
      <c r="BT404" s="168">
        <v>1.0</v>
      </c>
      <c r="BU404" s="167"/>
      <c r="BV404" s="167"/>
      <c r="BW404" s="167">
        <v>1.0</v>
      </c>
      <c r="BX404" s="167"/>
      <c r="BY404" s="167"/>
      <c r="BZ404" s="167"/>
      <c r="CA404" s="167"/>
      <c r="CB404" s="167"/>
      <c r="CC404" s="167"/>
      <c r="CD404" s="167"/>
      <c r="CE404" s="167"/>
      <c r="CF404" s="167"/>
      <c r="CG404" s="167"/>
      <c r="CH404" s="167"/>
      <c r="CI404" s="167"/>
      <c r="CJ404" s="167"/>
      <c r="CK404" s="167"/>
      <c r="CL404" s="167"/>
      <c r="CM404" s="167"/>
      <c r="CN404" s="167"/>
      <c r="CO404" s="167"/>
      <c r="CP404" s="167"/>
      <c r="CQ404" s="167"/>
      <c r="CR404" s="167"/>
      <c r="CS404" s="167"/>
      <c r="CT404" s="167"/>
      <c r="CU404" s="167"/>
      <c r="CV404" s="156">
        <v>0.0</v>
      </c>
      <c r="CW404" s="156">
        <v>0.0</v>
      </c>
      <c r="CX404" s="156">
        <v>0.0</v>
      </c>
      <c r="CY404" s="156">
        <v>0.0</v>
      </c>
      <c r="CZ404" s="156">
        <v>0.0</v>
      </c>
      <c r="DA404" s="156">
        <v>0.0</v>
      </c>
      <c r="EG404" s="156">
        <v>0.0</v>
      </c>
      <c r="EH404" s="156">
        <v>0.0</v>
      </c>
      <c r="EI404" s="156">
        <v>0.0</v>
      </c>
      <c r="EJ404" s="156">
        <v>0.0</v>
      </c>
      <c r="EK404" s="156">
        <v>0.0</v>
      </c>
      <c r="EL404" s="156">
        <v>0.0</v>
      </c>
      <c r="FQ404" s="156">
        <v>0.0</v>
      </c>
      <c r="FR404" s="156">
        <v>0.0</v>
      </c>
      <c r="FS404" s="156">
        <v>0.0</v>
      </c>
      <c r="FT404" s="156">
        <v>0.0</v>
      </c>
      <c r="FU404" s="156">
        <v>0.0</v>
      </c>
      <c r="FV404" s="156">
        <v>0.0</v>
      </c>
      <c r="FW404" s="157"/>
      <c r="FX404" s="157"/>
      <c r="FY404" s="157"/>
      <c r="FZ404" s="157"/>
      <c r="GA404" s="157"/>
      <c r="GB404" s="157"/>
      <c r="GC404" s="157"/>
      <c r="GD404" s="157"/>
      <c r="GE404" s="157"/>
      <c r="GF404" s="157"/>
      <c r="GG404" s="157"/>
      <c r="GH404" s="157"/>
      <c r="GI404" s="157"/>
      <c r="GJ404" s="157"/>
      <c r="GK404" s="157"/>
      <c r="GL404" s="157"/>
      <c r="GM404" s="157"/>
      <c r="GN404" s="157"/>
      <c r="GO404" s="157"/>
      <c r="GP404" s="158"/>
      <c r="GQ404" s="157"/>
      <c r="GR404" s="157"/>
      <c r="GS404" s="157"/>
      <c r="GT404" s="157"/>
      <c r="GU404" s="157"/>
      <c r="GV404" s="157"/>
      <c r="GW404" s="157"/>
      <c r="GX404" s="157"/>
      <c r="GY404" s="157"/>
      <c r="GZ404" s="157"/>
      <c r="HA404" s="157"/>
      <c r="HB404" s="155">
        <v>0.0</v>
      </c>
      <c r="HC404" s="155">
        <v>0.0</v>
      </c>
      <c r="HD404" s="155">
        <v>0.0</v>
      </c>
      <c r="HE404" s="155">
        <v>0.0</v>
      </c>
      <c r="HF404" s="155">
        <v>0.0</v>
      </c>
      <c r="HG404" s="155">
        <v>0.0</v>
      </c>
      <c r="IL404" s="159">
        <v>0.0</v>
      </c>
      <c r="IM404" s="156">
        <v>0.0</v>
      </c>
      <c r="IN404" s="156">
        <v>0.0</v>
      </c>
      <c r="IO404" s="156">
        <v>0.0</v>
      </c>
      <c r="IP404" s="156">
        <v>0.0</v>
      </c>
      <c r="IQ404" s="160">
        <v>0.0</v>
      </c>
      <c r="JH404" s="25"/>
      <c r="JW404" s="159">
        <v>0.0</v>
      </c>
      <c r="JX404" s="156">
        <v>0.0</v>
      </c>
      <c r="JY404" s="156">
        <v>0.0</v>
      </c>
      <c r="JZ404" s="156">
        <v>0.0</v>
      </c>
      <c r="KA404" s="156">
        <v>0.0</v>
      </c>
      <c r="KB404" s="160">
        <v>0.0</v>
      </c>
      <c r="LH404" s="159">
        <f t="shared" si="10"/>
        <v>0</v>
      </c>
      <c r="LI404" s="156">
        <f t="shared" si="11"/>
        <v>0</v>
      </c>
      <c r="LJ404" s="156">
        <f t="shared" si="12"/>
        <v>0</v>
      </c>
      <c r="LK404" s="156">
        <f t="shared" si="13"/>
        <v>0</v>
      </c>
      <c r="LL404" s="156">
        <f t="shared" si="14"/>
        <v>0</v>
      </c>
      <c r="LM404" s="160">
        <f t="shared" si="15"/>
        <v>0</v>
      </c>
      <c r="QX404" s="107">
        <v>45979.0</v>
      </c>
    </row>
    <row r="405">
      <c r="A405" s="12"/>
      <c r="B405" s="12"/>
      <c r="C405" s="12"/>
      <c r="D405" s="12"/>
      <c r="E405" s="12"/>
      <c r="F405" s="12"/>
      <c r="G405" s="12"/>
      <c r="H405" s="12"/>
      <c r="I405" s="143">
        <f t="shared" si="5"/>
        <v>-6</v>
      </c>
      <c r="J405" s="144">
        <v>45973.0</v>
      </c>
      <c r="K405" s="195" t="s">
        <v>61</v>
      </c>
      <c r="L405" s="144">
        <v>46010.0</v>
      </c>
      <c r="M405" s="147" t="s">
        <v>400</v>
      </c>
      <c r="N405" s="148">
        <v>246.0</v>
      </c>
      <c r="O405" s="148">
        <v>30.0</v>
      </c>
      <c r="P405" s="26"/>
      <c r="Q405" s="26"/>
      <c r="R405" s="26"/>
      <c r="S405" s="26"/>
      <c r="T405" s="26"/>
      <c r="U405" s="147" t="s">
        <v>2573</v>
      </c>
      <c r="V405" s="149" t="s">
        <v>2574</v>
      </c>
      <c r="W405" s="198" t="s">
        <v>3184</v>
      </c>
      <c r="X405" s="181">
        <v>6.0</v>
      </c>
      <c r="Y405" s="166">
        <f t="shared" si="6"/>
        <v>6</v>
      </c>
      <c r="Z405" s="26">
        <f t="shared" si="7"/>
        <v>0</v>
      </c>
      <c r="AA405" s="26">
        <f t="shared" si="8"/>
        <v>0</v>
      </c>
      <c r="AB405" s="26">
        <f t="shared" si="9"/>
        <v>0</v>
      </c>
      <c r="AC405" s="155">
        <v>0.0</v>
      </c>
      <c r="AD405" s="155">
        <v>0.0</v>
      </c>
      <c r="AE405" s="155">
        <v>0.0</v>
      </c>
      <c r="AF405" s="155">
        <v>0.0</v>
      </c>
      <c r="AG405" s="155">
        <v>0.0</v>
      </c>
      <c r="AH405" s="155">
        <v>0.0</v>
      </c>
      <c r="BN405" s="155">
        <v>0.0</v>
      </c>
      <c r="BO405" s="155">
        <v>0.0</v>
      </c>
      <c r="BP405" s="155">
        <v>0.0</v>
      </c>
      <c r="BQ405" s="155">
        <v>0.0</v>
      </c>
      <c r="BR405" s="155">
        <v>0.0</v>
      </c>
      <c r="BS405" s="155">
        <v>0.0</v>
      </c>
      <c r="CV405" s="156">
        <v>0.0</v>
      </c>
      <c r="CW405" s="156">
        <v>0.0</v>
      </c>
      <c r="CX405" s="156">
        <v>0.0</v>
      </c>
      <c r="CY405" s="156">
        <v>0.0</v>
      </c>
      <c r="CZ405" s="156">
        <v>0.0</v>
      </c>
      <c r="DA405" s="156">
        <v>0.0</v>
      </c>
      <c r="EG405" s="156">
        <v>0.0</v>
      </c>
      <c r="EH405" s="156">
        <v>0.0</v>
      </c>
      <c r="EI405" s="156">
        <v>0.0</v>
      </c>
      <c r="EJ405" s="156">
        <v>0.0</v>
      </c>
      <c r="EK405" s="156">
        <v>0.0</v>
      </c>
      <c r="EL405" s="156">
        <v>0.0</v>
      </c>
      <c r="FQ405" s="156">
        <v>0.0</v>
      </c>
      <c r="FR405" s="156">
        <v>0.0</v>
      </c>
      <c r="FS405" s="156">
        <v>0.0</v>
      </c>
      <c r="FT405" s="156">
        <v>0.0</v>
      </c>
      <c r="FU405" s="156">
        <v>0.0</v>
      </c>
      <c r="FV405" s="156">
        <v>0.0</v>
      </c>
      <c r="FW405" s="157"/>
      <c r="FX405" s="157"/>
      <c r="FY405" s="157"/>
      <c r="FZ405" s="157"/>
      <c r="GA405" s="157"/>
      <c r="GB405" s="157"/>
      <c r="GC405" s="157"/>
      <c r="GD405" s="157"/>
      <c r="GE405" s="157"/>
      <c r="GF405" s="157"/>
      <c r="GG405" s="157"/>
      <c r="GH405" s="157"/>
      <c r="GI405" s="157"/>
      <c r="GJ405" s="157"/>
      <c r="GK405" s="157"/>
      <c r="GL405" s="157"/>
      <c r="GM405" s="157"/>
      <c r="GN405" s="157"/>
      <c r="GO405" s="157"/>
      <c r="GP405" s="158"/>
      <c r="GQ405" s="157"/>
      <c r="GR405" s="157"/>
      <c r="GS405" s="157"/>
      <c r="GT405" s="157"/>
      <c r="GU405" s="157"/>
      <c r="GV405" s="157"/>
      <c r="GW405" s="157"/>
      <c r="GX405" s="157"/>
      <c r="GY405" s="157"/>
      <c r="GZ405" s="157"/>
      <c r="HA405" s="157"/>
      <c r="HB405" s="155">
        <v>0.0</v>
      </c>
      <c r="HC405" s="155">
        <v>0.0</v>
      </c>
      <c r="HD405" s="155">
        <v>0.0</v>
      </c>
      <c r="HE405" s="155">
        <v>0.0</v>
      </c>
      <c r="HF405" s="155">
        <v>0.0</v>
      </c>
      <c r="HG405" s="155">
        <v>0.0</v>
      </c>
      <c r="IL405" s="159">
        <v>0.0</v>
      </c>
      <c r="IM405" s="156">
        <v>0.0</v>
      </c>
      <c r="IN405" s="156">
        <v>0.0</v>
      </c>
      <c r="IO405" s="156">
        <v>0.0</v>
      </c>
      <c r="IP405" s="156">
        <v>0.0</v>
      </c>
      <c r="IQ405" s="160">
        <v>0.0</v>
      </c>
      <c r="JH405" s="25"/>
      <c r="JW405" s="159">
        <v>0.0</v>
      </c>
      <c r="JX405" s="156">
        <v>0.0</v>
      </c>
      <c r="JY405" s="156">
        <v>0.0</v>
      </c>
      <c r="JZ405" s="156">
        <v>0.0</v>
      </c>
      <c r="KA405" s="156">
        <v>0.0</v>
      </c>
      <c r="KB405" s="160">
        <v>0.0</v>
      </c>
      <c r="LH405" s="159">
        <f t="shared" si="10"/>
        <v>0</v>
      </c>
      <c r="LI405" s="156">
        <f t="shared" si="11"/>
        <v>0</v>
      </c>
      <c r="LJ405" s="156">
        <f t="shared" si="12"/>
        <v>0</v>
      </c>
      <c r="LK405" s="156">
        <f t="shared" si="13"/>
        <v>0</v>
      </c>
      <c r="LL405" s="156">
        <f t="shared" si="14"/>
        <v>0</v>
      </c>
      <c r="LM405" s="160">
        <f t="shared" si="15"/>
        <v>0</v>
      </c>
      <c r="QX405" s="107">
        <v>45979.0</v>
      </c>
    </row>
    <row r="406">
      <c r="A406" s="12"/>
      <c r="B406" s="12"/>
      <c r="C406" s="12"/>
      <c r="D406" s="12"/>
      <c r="E406" s="12"/>
      <c r="F406" s="12"/>
      <c r="G406" s="12"/>
      <c r="H406" s="25"/>
      <c r="I406" s="143">
        <f t="shared" si="5"/>
        <v>-30</v>
      </c>
      <c r="J406" s="144">
        <v>46001.0</v>
      </c>
      <c r="K406" s="180" t="s">
        <v>61</v>
      </c>
      <c r="L406" s="171">
        <v>46116.0</v>
      </c>
      <c r="M406" s="147" t="s">
        <v>107</v>
      </c>
      <c r="N406" s="148">
        <v>246.0</v>
      </c>
      <c r="O406" s="148">
        <v>30.0</v>
      </c>
      <c r="P406" s="26"/>
      <c r="Q406" s="26"/>
      <c r="R406" s="26"/>
      <c r="S406" s="26"/>
      <c r="T406" s="26"/>
      <c r="U406" s="164" t="s">
        <v>3185</v>
      </c>
      <c r="V406" s="165" t="s">
        <v>3186</v>
      </c>
      <c r="W406" s="198" t="s">
        <v>3187</v>
      </c>
      <c r="X406" s="181">
        <v>8.0</v>
      </c>
      <c r="Y406" s="166">
        <f t="shared" si="6"/>
        <v>30</v>
      </c>
      <c r="Z406" s="26">
        <f t="shared" si="7"/>
        <v>0</v>
      </c>
      <c r="AA406" s="26">
        <f t="shared" si="8"/>
        <v>0</v>
      </c>
      <c r="AB406" s="26">
        <f t="shared" si="9"/>
        <v>0</v>
      </c>
      <c r="AC406" s="155">
        <v>7.0</v>
      </c>
      <c r="AD406" s="155">
        <v>0.0</v>
      </c>
      <c r="AE406" s="155">
        <v>0.0</v>
      </c>
      <c r="AF406" s="155">
        <v>0.0</v>
      </c>
      <c r="AG406" s="155">
        <v>0.0</v>
      </c>
      <c r="AH406" s="155">
        <v>0.0</v>
      </c>
      <c r="AI406" s="167"/>
      <c r="AJ406" s="167"/>
      <c r="AK406" s="167"/>
      <c r="AL406" s="167"/>
      <c r="AM406" s="167"/>
      <c r="AN406" s="167"/>
      <c r="AO406" s="167">
        <v>1.0</v>
      </c>
      <c r="AP406" s="167">
        <v>0.0</v>
      </c>
      <c r="AQ406" s="167">
        <v>1.0</v>
      </c>
      <c r="AR406" s="167">
        <v>0.0</v>
      </c>
      <c r="AS406" s="167">
        <v>0.0</v>
      </c>
      <c r="AT406" s="167"/>
      <c r="AU406" s="167">
        <v>0.0</v>
      </c>
      <c r="AV406" s="167">
        <v>1.0</v>
      </c>
      <c r="AW406" s="167">
        <v>0.0</v>
      </c>
      <c r="AX406" s="167">
        <v>1.0</v>
      </c>
      <c r="AY406" s="167"/>
      <c r="AZ406" s="167"/>
      <c r="BA406" s="167"/>
      <c r="BB406" s="167"/>
      <c r="BC406" s="167">
        <v>1.0</v>
      </c>
      <c r="BD406" s="167">
        <v>0.0</v>
      </c>
      <c r="BE406" s="167">
        <v>1.0</v>
      </c>
      <c r="BF406" s="167">
        <v>0.0</v>
      </c>
      <c r="BG406" s="167">
        <v>0.0</v>
      </c>
      <c r="BH406" s="167"/>
      <c r="BI406" s="167">
        <v>0.0</v>
      </c>
      <c r="BJ406" s="167">
        <v>1.0</v>
      </c>
      <c r="BK406" s="167">
        <v>0.0</v>
      </c>
      <c r="BL406" s="167"/>
      <c r="BM406" s="167"/>
      <c r="BN406" s="155">
        <v>5.0</v>
      </c>
      <c r="BO406" s="155">
        <v>0.0</v>
      </c>
      <c r="BP406" s="155">
        <v>0.0</v>
      </c>
      <c r="BQ406" s="155">
        <v>0.0</v>
      </c>
      <c r="BR406" s="155">
        <v>0.0</v>
      </c>
      <c r="BS406" s="155">
        <v>0.0</v>
      </c>
      <c r="BT406" s="167"/>
      <c r="BU406" s="167"/>
      <c r="BV406" s="168">
        <v>1.0</v>
      </c>
      <c r="BW406" s="167"/>
      <c r="BX406" s="168">
        <v>1.0</v>
      </c>
      <c r="BY406" s="167"/>
      <c r="BZ406" s="168">
        <v>1.0</v>
      </c>
      <c r="CA406" s="167"/>
      <c r="CB406" s="167"/>
      <c r="CC406" s="167"/>
      <c r="CD406" s="167">
        <v>1.0</v>
      </c>
      <c r="CE406" s="168">
        <v>1.0</v>
      </c>
      <c r="CF406" s="167"/>
      <c r="CG406" s="167"/>
      <c r="CH406" s="167"/>
      <c r="CI406" s="167"/>
      <c r="CJ406" s="167"/>
      <c r="CK406" s="167"/>
      <c r="CL406" s="167"/>
      <c r="CM406" s="167"/>
      <c r="CN406" s="167"/>
      <c r="CO406" s="167"/>
      <c r="CP406" s="167"/>
      <c r="CQ406" s="167"/>
      <c r="CR406" s="167"/>
      <c r="CS406" s="167"/>
      <c r="CT406" s="167"/>
      <c r="CU406" s="167"/>
      <c r="CV406" s="156">
        <v>10.0</v>
      </c>
      <c r="CW406" s="156">
        <v>0.0</v>
      </c>
      <c r="CX406" s="156">
        <v>0.0</v>
      </c>
      <c r="CY406" s="156">
        <v>0.0</v>
      </c>
      <c r="CZ406" s="156">
        <v>0.0</v>
      </c>
      <c r="DA406" s="156">
        <v>0.0</v>
      </c>
      <c r="DB406" s="174"/>
      <c r="DC406" s="174"/>
      <c r="DD406" s="174"/>
      <c r="DE406" s="174"/>
      <c r="DF406" s="175">
        <v>1.0</v>
      </c>
      <c r="DG406" s="174"/>
      <c r="DH406" s="174"/>
      <c r="DI406" s="174"/>
      <c r="DJ406" s="174"/>
      <c r="DK406" s="174"/>
      <c r="DL406" s="174">
        <v>1.0</v>
      </c>
      <c r="DM406" s="175">
        <v>1.0</v>
      </c>
      <c r="DN406" s="174">
        <v>1.0</v>
      </c>
      <c r="DO406" s="175">
        <v>1.0</v>
      </c>
      <c r="DP406" s="174">
        <v>0.0</v>
      </c>
      <c r="DQ406" s="174">
        <v>1.0</v>
      </c>
      <c r="DR406" s="175">
        <v>1.0</v>
      </c>
      <c r="DS406" s="174">
        <v>1.0</v>
      </c>
      <c r="DT406" s="174">
        <v>0.0</v>
      </c>
      <c r="DU406" s="174">
        <v>1.0</v>
      </c>
      <c r="DV406" s="174"/>
      <c r="DW406" s="174"/>
      <c r="DX406" s="174"/>
      <c r="DY406" s="174"/>
      <c r="DZ406" s="174"/>
      <c r="EA406" s="174"/>
      <c r="EB406" s="174"/>
      <c r="EC406" s="174"/>
      <c r="ED406" s="174">
        <v>0.0</v>
      </c>
      <c r="EE406" s="174">
        <v>1.0</v>
      </c>
      <c r="EF406" s="174">
        <v>0.0</v>
      </c>
      <c r="EG406" s="156">
        <v>0.0</v>
      </c>
      <c r="EH406" s="156">
        <v>0.0</v>
      </c>
      <c r="EI406" s="156">
        <v>0.0</v>
      </c>
      <c r="EJ406" s="156">
        <v>0.0</v>
      </c>
      <c r="EK406" s="156">
        <v>0.0</v>
      </c>
      <c r="EL406" s="156">
        <v>0.0</v>
      </c>
      <c r="FQ406" s="156">
        <v>0.0</v>
      </c>
      <c r="FR406" s="156">
        <v>0.0</v>
      </c>
      <c r="FS406" s="156">
        <v>0.0</v>
      </c>
      <c r="FT406" s="156">
        <v>0.0</v>
      </c>
      <c r="FU406" s="156">
        <v>0.0</v>
      </c>
      <c r="FV406" s="156">
        <v>0.0</v>
      </c>
      <c r="FW406" s="157"/>
      <c r="FX406" s="157"/>
      <c r="FY406" s="157"/>
      <c r="FZ406" s="157"/>
      <c r="GA406" s="157"/>
      <c r="GB406" s="157"/>
      <c r="GC406" s="157"/>
      <c r="GD406" s="157"/>
      <c r="GE406" s="157"/>
      <c r="GF406" s="157"/>
      <c r="GG406" s="157"/>
      <c r="GH406" s="157"/>
      <c r="GI406" s="157"/>
      <c r="GJ406" s="157"/>
      <c r="GK406" s="157"/>
      <c r="GL406" s="157"/>
      <c r="GM406" s="157"/>
      <c r="GN406" s="157"/>
      <c r="GO406" s="157"/>
      <c r="GP406" s="158"/>
      <c r="GQ406" s="157"/>
      <c r="GR406" s="157"/>
      <c r="GS406" s="157"/>
      <c r="GT406" s="157"/>
      <c r="GU406" s="157"/>
      <c r="GV406" s="157"/>
      <c r="GW406" s="157"/>
      <c r="GX406" s="157"/>
      <c r="GY406" s="157"/>
      <c r="GZ406" s="157"/>
      <c r="HA406" s="157"/>
      <c r="HB406" s="155">
        <v>0.0</v>
      </c>
      <c r="HC406" s="155">
        <v>0.0</v>
      </c>
      <c r="HD406" s="155">
        <v>0.0</v>
      </c>
      <c r="HE406" s="155">
        <v>0.0</v>
      </c>
      <c r="HF406" s="155">
        <v>0.0</v>
      </c>
      <c r="HG406" s="155">
        <v>0.0</v>
      </c>
      <c r="IL406" s="159">
        <v>0.0</v>
      </c>
      <c r="IM406" s="156">
        <v>0.0</v>
      </c>
      <c r="IN406" s="156">
        <v>0.0</v>
      </c>
      <c r="IO406" s="156">
        <v>0.0</v>
      </c>
      <c r="IP406" s="156">
        <v>0.0</v>
      </c>
      <c r="IQ406" s="160">
        <v>0.0</v>
      </c>
      <c r="JH406" s="25"/>
      <c r="JW406" s="159">
        <v>0.0</v>
      </c>
      <c r="JX406" s="156">
        <v>0.0</v>
      </c>
      <c r="JY406" s="156">
        <v>0.0</v>
      </c>
      <c r="JZ406" s="156">
        <v>0.0</v>
      </c>
      <c r="KA406" s="156">
        <v>0.0</v>
      </c>
      <c r="KB406" s="160">
        <v>0.0</v>
      </c>
      <c r="LH406" s="159">
        <f t="shared" si="10"/>
        <v>0</v>
      </c>
      <c r="LI406" s="156">
        <f t="shared" si="11"/>
        <v>0</v>
      </c>
      <c r="LJ406" s="156">
        <f t="shared" si="12"/>
        <v>0</v>
      </c>
      <c r="LK406" s="156">
        <f t="shared" si="13"/>
        <v>0</v>
      </c>
      <c r="LL406" s="156">
        <f t="shared" si="14"/>
        <v>0</v>
      </c>
      <c r="LM406" s="160">
        <f t="shared" si="15"/>
        <v>0</v>
      </c>
      <c r="QX406" s="107">
        <v>45980.0</v>
      </c>
    </row>
    <row r="407">
      <c r="A407" s="12"/>
      <c r="B407" s="12"/>
      <c r="C407" s="12"/>
      <c r="D407" s="12"/>
      <c r="E407" s="12"/>
      <c r="F407" s="12"/>
      <c r="G407" s="12"/>
      <c r="H407" s="12"/>
      <c r="I407" s="143">
        <f t="shared" si="5"/>
        <v>-20</v>
      </c>
      <c r="J407" s="295">
        <v>45983.0</v>
      </c>
      <c r="K407" s="184" t="s">
        <v>53</v>
      </c>
      <c r="L407" s="297">
        <v>46084.0</v>
      </c>
      <c r="M407" s="147" t="s">
        <v>1157</v>
      </c>
      <c r="N407" s="148" t="s">
        <v>2246</v>
      </c>
      <c r="O407" s="148">
        <v>60.0</v>
      </c>
      <c r="P407" s="26"/>
      <c r="Q407" s="26"/>
      <c r="R407" s="26"/>
      <c r="S407" s="26"/>
      <c r="T407" s="26"/>
      <c r="U407" s="147" t="s">
        <v>3188</v>
      </c>
      <c r="V407" s="149" t="s">
        <v>2801</v>
      </c>
      <c r="W407" s="150" t="s">
        <v>3189</v>
      </c>
      <c r="X407" s="181">
        <v>12.0</v>
      </c>
      <c r="Y407" s="166">
        <f t="shared" si="6"/>
        <v>20</v>
      </c>
      <c r="Z407" s="26">
        <f t="shared" si="7"/>
        <v>0</v>
      </c>
      <c r="AA407" s="26">
        <f t="shared" si="8"/>
        <v>0</v>
      </c>
      <c r="AB407" s="26">
        <f t="shared" si="9"/>
        <v>0</v>
      </c>
      <c r="AC407" s="155">
        <v>6.0</v>
      </c>
      <c r="AD407" s="155">
        <v>0.0</v>
      </c>
      <c r="AE407" s="155">
        <v>0.0</v>
      </c>
      <c r="AF407" s="155">
        <v>0.0</v>
      </c>
      <c r="AG407" s="155">
        <v>0.0</v>
      </c>
      <c r="AH407" s="155">
        <v>0.0</v>
      </c>
      <c r="AS407" s="86">
        <v>2.0</v>
      </c>
      <c r="AZ407" s="86">
        <v>2.0</v>
      </c>
      <c r="BG407" s="86">
        <v>2.0</v>
      </c>
      <c r="BN407" s="155">
        <v>2.0</v>
      </c>
      <c r="BO407" s="155">
        <v>0.0</v>
      </c>
      <c r="BP407" s="155">
        <v>0.0</v>
      </c>
      <c r="BQ407" s="155">
        <v>0.0</v>
      </c>
      <c r="BR407" s="155">
        <v>0.0</v>
      </c>
      <c r="BS407" s="155">
        <v>0.0</v>
      </c>
      <c r="CA407" s="86">
        <v>2.0</v>
      </c>
      <c r="CV407" s="156">
        <v>0.0</v>
      </c>
      <c r="CW407" s="156">
        <v>0.0</v>
      </c>
      <c r="CX407" s="156">
        <v>0.0</v>
      </c>
      <c r="CY407" s="156">
        <v>0.0</v>
      </c>
      <c r="CZ407" s="156">
        <v>0.0</v>
      </c>
      <c r="DA407" s="156">
        <v>0.0</v>
      </c>
      <c r="EG407" s="156">
        <v>0.0</v>
      </c>
      <c r="EH407" s="156">
        <v>0.0</v>
      </c>
      <c r="EI407" s="156">
        <v>0.0</v>
      </c>
      <c r="EJ407" s="156">
        <v>0.0</v>
      </c>
      <c r="EK407" s="156">
        <v>0.0</v>
      </c>
      <c r="EL407" s="156">
        <v>0.0</v>
      </c>
      <c r="FQ407" s="156">
        <v>0.0</v>
      </c>
      <c r="FR407" s="156">
        <v>0.0</v>
      </c>
      <c r="FS407" s="156">
        <v>0.0</v>
      </c>
      <c r="FT407" s="156">
        <v>0.0</v>
      </c>
      <c r="FU407" s="156">
        <v>0.0</v>
      </c>
      <c r="FV407" s="156">
        <v>0.0</v>
      </c>
      <c r="FW407" s="157"/>
      <c r="FX407" s="157"/>
      <c r="FY407" s="157"/>
      <c r="FZ407" s="157"/>
      <c r="GA407" s="157"/>
      <c r="GB407" s="157"/>
      <c r="GC407" s="157"/>
      <c r="GD407" s="157"/>
      <c r="GE407" s="157"/>
      <c r="GF407" s="157"/>
      <c r="GG407" s="157"/>
      <c r="GH407" s="157"/>
      <c r="GI407" s="157"/>
      <c r="GJ407" s="157"/>
      <c r="GK407" s="157"/>
      <c r="GL407" s="157"/>
      <c r="GM407" s="157"/>
      <c r="GN407" s="157"/>
      <c r="GO407" s="157"/>
      <c r="GP407" s="158"/>
      <c r="GQ407" s="157"/>
      <c r="GR407" s="157"/>
      <c r="GS407" s="157"/>
      <c r="GT407" s="157"/>
      <c r="GU407" s="157"/>
      <c r="GV407" s="157"/>
      <c r="GW407" s="157"/>
      <c r="GX407" s="157"/>
      <c r="GY407" s="157"/>
      <c r="GZ407" s="157"/>
      <c r="HA407" s="157"/>
      <c r="HB407" s="155">
        <v>0.0</v>
      </c>
      <c r="HC407" s="155">
        <v>0.0</v>
      </c>
      <c r="HD407" s="155">
        <v>0.0</v>
      </c>
      <c r="HE407" s="155">
        <v>0.0</v>
      </c>
      <c r="HF407" s="155">
        <v>0.0</v>
      </c>
      <c r="HG407" s="155">
        <v>0.0</v>
      </c>
      <c r="IL407" s="159">
        <v>0.0</v>
      </c>
      <c r="IM407" s="156">
        <v>0.0</v>
      </c>
      <c r="IN407" s="156">
        <v>0.0</v>
      </c>
      <c r="IO407" s="156">
        <v>0.0</v>
      </c>
      <c r="IP407" s="156">
        <v>0.0</v>
      </c>
      <c r="IQ407" s="160">
        <v>0.0</v>
      </c>
      <c r="JH407" s="25"/>
      <c r="JW407" s="159">
        <v>0.0</v>
      </c>
      <c r="JX407" s="156">
        <v>0.0</v>
      </c>
      <c r="JY407" s="156">
        <v>0.0</v>
      </c>
      <c r="JZ407" s="156">
        <v>0.0</v>
      </c>
      <c r="KA407" s="156">
        <v>0.0</v>
      </c>
      <c r="KB407" s="160">
        <v>0.0</v>
      </c>
      <c r="LH407" s="159">
        <f t="shared" si="10"/>
        <v>0</v>
      </c>
      <c r="LI407" s="156">
        <f t="shared" si="11"/>
        <v>0</v>
      </c>
      <c r="LJ407" s="156">
        <f t="shared" si="12"/>
        <v>0</v>
      </c>
      <c r="LK407" s="156">
        <f t="shared" si="13"/>
        <v>0</v>
      </c>
      <c r="LL407" s="156">
        <f t="shared" si="14"/>
        <v>0</v>
      </c>
      <c r="LM407" s="160">
        <f t="shared" si="15"/>
        <v>0</v>
      </c>
      <c r="QX407" s="107">
        <v>45980.0</v>
      </c>
    </row>
    <row r="408">
      <c r="A408" s="12"/>
      <c r="B408" s="12"/>
      <c r="C408" s="12"/>
      <c r="D408" s="12"/>
      <c r="E408" s="12"/>
      <c r="F408" s="12"/>
      <c r="G408" s="12"/>
      <c r="H408" s="12"/>
      <c r="I408" s="143">
        <f t="shared" si="5"/>
        <v>-25</v>
      </c>
      <c r="J408" s="144">
        <v>45975.0</v>
      </c>
      <c r="K408" s="145" t="s">
        <v>61</v>
      </c>
      <c r="L408" s="171">
        <v>46036.0</v>
      </c>
      <c r="M408" s="147" t="s">
        <v>107</v>
      </c>
      <c r="N408" s="148">
        <v>246.0</v>
      </c>
      <c r="O408" s="148">
        <v>30.0</v>
      </c>
      <c r="P408" s="26"/>
      <c r="Q408" s="26"/>
      <c r="R408" s="26"/>
      <c r="S408" s="26"/>
      <c r="T408" s="26"/>
      <c r="U408" s="147" t="s">
        <v>3190</v>
      </c>
      <c r="V408" s="149" t="s">
        <v>3191</v>
      </c>
      <c r="W408" s="150" t="s">
        <v>3192</v>
      </c>
      <c r="X408" s="181">
        <v>20.0</v>
      </c>
      <c r="Y408" s="166">
        <f t="shared" si="6"/>
        <v>25</v>
      </c>
      <c r="Z408" s="26">
        <f t="shared" si="7"/>
        <v>0</v>
      </c>
      <c r="AA408" s="26">
        <f t="shared" si="8"/>
        <v>0</v>
      </c>
      <c r="AB408" s="26">
        <f t="shared" si="9"/>
        <v>0</v>
      </c>
      <c r="AC408" s="155">
        <v>5.0</v>
      </c>
      <c r="AD408" s="155">
        <v>0.0</v>
      </c>
      <c r="AE408" s="155">
        <v>0.0</v>
      </c>
      <c r="AF408" s="155">
        <v>0.0</v>
      </c>
      <c r="AG408" s="155">
        <v>0.0</v>
      </c>
      <c r="AH408" s="155">
        <v>0.0</v>
      </c>
      <c r="AI408" s="167">
        <v>0.0</v>
      </c>
      <c r="AJ408" s="167">
        <v>1.0</v>
      </c>
      <c r="AK408" s="167">
        <v>0.0</v>
      </c>
      <c r="AL408" s="167">
        <v>0.0</v>
      </c>
      <c r="AM408" s="167">
        <v>1.0</v>
      </c>
      <c r="AN408" s="167">
        <v>0.0</v>
      </c>
      <c r="AO408" s="167">
        <v>1.0</v>
      </c>
      <c r="AP408" s="167">
        <v>0.0</v>
      </c>
      <c r="AQ408" s="167">
        <v>1.0</v>
      </c>
      <c r="AR408" s="167">
        <v>0.0</v>
      </c>
      <c r="AS408" s="167">
        <v>0.0</v>
      </c>
      <c r="AT408" s="167">
        <v>1.0</v>
      </c>
      <c r="AU408" s="167"/>
      <c r="AV408" s="167"/>
      <c r="AW408" s="167"/>
      <c r="AX408" s="167"/>
      <c r="AY408" s="167"/>
      <c r="AZ408" s="167"/>
      <c r="BA408" s="167"/>
      <c r="BB408" s="167"/>
      <c r="BC408" s="167"/>
      <c r="BD408" s="167"/>
      <c r="BE408" s="167"/>
      <c r="BF408" s="167"/>
      <c r="BG408" s="167"/>
      <c r="BH408" s="167"/>
      <c r="BI408" s="167"/>
      <c r="BJ408" s="167"/>
      <c r="BK408" s="167"/>
      <c r="BL408" s="167"/>
      <c r="BM408" s="167"/>
      <c r="BN408" s="155">
        <v>0.0</v>
      </c>
      <c r="BO408" s="155">
        <v>0.0</v>
      </c>
      <c r="BP408" s="155">
        <v>0.0</v>
      </c>
      <c r="BQ408" s="155">
        <v>0.0</v>
      </c>
      <c r="BR408" s="155">
        <v>0.0</v>
      </c>
      <c r="BS408" s="155">
        <v>0.0</v>
      </c>
      <c r="CV408" s="156">
        <v>0.0</v>
      </c>
      <c r="CW408" s="156">
        <v>0.0</v>
      </c>
      <c r="CX408" s="156">
        <v>0.0</v>
      </c>
      <c r="CY408" s="156">
        <v>0.0</v>
      </c>
      <c r="CZ408" s="156">
        <v>0.0</v>
      </c>
      <c r="DA408" s="156">
        <v>0.0</v>
      </c>
      <c r="EG408" s="156">
        <v>0.0</v>
      </c>
      <c r="EH408" s="156">
        <v>0.0</v>
      </c>
      <c r="EI408" s="156">
        <v>0.0</v>
      </c>
      <c r="EJ408" s="156">
        <v>0.0</v>
      </c>
      <c r="EK408" s="156">
        <v>0.0</v>
      </c>
      <c r="EL408" s="156">
        <v>0.0</v>
      </c>
      <c r="FQ408" s="156">
        <v>0.0</v>
      </c>
      <c r="FR408" s="156">
        <v>0.0</v>
      </c>
      <c r="FS408" s="156">
        <v>0.0</v>
      </c>
      <c r="FT408" s="156">
        <v>0.0</v>
      </c>
      <c r="FU408" s="156">
        <v>0.0</v>
      </c>
      <c r="FV408" s="156">
        <v>0.0</v>
      </c>
      <c r="FW408" s="157"/>
      <c r="FX408" s="157"/>
      <c r="FY408" s="157"/>
      <c r="FZ408" s="157"/>
      <c r="GA408" s="157"/>
      <c r="GB408" s="157"/>
      <c r="GC408" s="157"/>
      <c r="GD408" s="157"/>
      <c r="GE408" s="157"/>
      <c r="GF408" s="157"/>
      <c r="GG408" s="157"/>
      <c r="GH408" s="157"/>
      <c r="GI408" s="157"/>
      <c r="GJ408" s="157"/>
      <c r="GK408" s="157"/>
      <c r="GL408" s="157"/>
      <c r="GM408" s="157"/>
      <c r="GN408" s="157"/>
      <c r="GO408" s="157"/>
      <c r="GP408" s="158"/>
      <c r="GQ408" s="157"/>
      <c r="GR408" s="157"/>
      <c r="GS408" s="157"/>
      <c r="GT408" s="157"/>
      <c r="GU408" s="157"/>
      <c r="GV408" s="157"/>
      <c r="GW408" s="157"/>
      <c r="GX408" s="157"/>
      <c r="GY408" s="157"/>
      <c r="GZ408" s="157"/>
      <c r="HA408" s="157"/>
      <c r="HB408" s="155">
        <v>0.0</v>
      </c>
      <c r="HC408" s="155">
        <v>0.0</v>
      </c>
      <c r="HD408" s="155">
        <v>0.0</v>
      </c>
      <c r="HE408" s="155">
        <v>0.0</v>
      </c>
      <c r="HF408" s="155">
        <v>0.0</v>
      </c>
      <c r="HG408" s="155">
        <v>0.0</v>
      </c>
      <c r="IL408" s="159">
        <v>0.0</v>
      </c>
      <c r="IM408" s="156">
        <v>0.0</v>
      </c>
      <c r="IN408" s="156">
        <v>0.0</v>
      </c>
      <c r="IO408" s="156">
        <v>0.0</v>
      </c>
      <c r="IP408" s="156">
        <v>0.0</v>
      </c>
      <c r="IQ408" s="160">
        <v>0.0</v>
      </c>
      <c r="JH408" s="25"/>
      <c r="JW408" s="159">
        <v>0.0</v>
      </c>
      <c r="JX408" s="156">
        <v>0.0</v>
      </c>
      <c r="JY408" s="156">
        <v>0.0</v>
      </c>
      <c r="JZ408" s="156">
        <v>0.0</v>
      </c>
      <c r="KA408" s="156">
        <v>0.0</v>
      </c>
      <c r="KB408" s="160">
        <v>0.0</v>
      </c>
      <c r="LH408" s="159">
        <f t="shared" si="10"/>
        <v>0</v>
      </c>
      <c r="LI408" s="156">
        <f t="shared" si="11"/>
        <v>0</v>
      </c>
      <c r="LJ408" s="156">
        <f t="shared" si="12"/>
        <v>0</v>
      </c>
      <c r="LK408" s="156">
        <f t="shared" si="13"/>
        <v>0</v>
      </c>
      <c r="LL408" s="156">
        <f t="shared" si="14"/>
        <v>0</v>
      </c>
      <c r="LM408" s="160">
        <f t="shared" si="15"/>
        <v>0</v>
      </c>
      <c r="QX408" s="107">
        <v>45980.0</v>
      </c>
    </row>
    <row r="409">
      <c r="A409" s="126"/>
      <c r="B409" s="126"/>
      <c r="C409" s="12"/>
      <c r="D409" s="12"/>
      <c r="E409" s="12"/>
      <c r="F409" s="12"/>
      <c r="G409" s="12"/>
      <c r="H409" s="12"/>
      <c r="I409" s="219">
        <f t="shared" si="5"/>
        <v>-29</v>
      </c>
      <c r="J409" s="144">
        <v>45975.0</v>
      </c>
      <c r="K409" s="195" t="s">
        <v>53</v>
      </c>
      <c r="L409" s="171">
        <v>46149.0</v>
      </c>
      <c r="M409" s="147" t="s">
        <v>3193</v>
      </c>
      <c r="N409" s="148">
        <v>246.0</v>
      </c>
      <c r="O409" s="148">
        <v>30.0</v>
      </c>
      <c r="P409" s="26"/>
      <c r="Q409" s="26"/>
      <c r="R409" s="26"/>
      <c r="S409" s="26"/>
      <c r="T409" s="26"/>
      <c r="U409" s="147" t="s">
        <v>1140</v>
      </c>
      <c r="V409" s="149" t="s">
        <v>2501</v>
      </c>
      <c r="W409" s="198" t="s">
        <v>3194</v>
      </c>
      <c r="X409" s="181">
        <v>16.0</v>
      </c>
      <c r="Y409" s="166">
        <f t="shared" si="6"/>
        <v>29</v>
      </c>
      <c r="Z409" s="26">
        <f t="shared" si="7"/>
        <v>0</v>
      </c>
      <c r="AA409" s="26">
        <f t="shared" si="8"/>
        <v>0</v>
      </c>
      <c r="AB409" s="26">
        <f t="shared" si="9"/>
        <v>0</v>
      </c>
      <c r="AC409" s="155">
        <v>10.0</v>
      </c>
      <c r="AD409" s="155">
        <v>0.0</v>
      </c>
      <c r="AE409" s="155">
        <v>0.0</v>
      </c>
      <c r="AF409" s="155">
        <v>0.0</v>
      </c>
      <c r="AG409" s="155">
        <v>0.0</v>
      </c>
      <c r="AH409" s="155">
        <v>0.0</v>
      </c>
      <c r="AI409" s="167"/>
      <c r="AJ409" s="167"/>
      <c r="AK409" s="167"/>
      <c r="AL409" s="167"/>
      <c r="AM409" s="167"/>
      <c r="AN409" s="167"/>
      <c r="AO409" s="167">
        <v>1.0</v>
      </c>
      <c r="AP409" s="167">
        <v>0.0</v>
      </c>
      <c r="AQ409" s="167">
        <v>1.0</v>
      </c>
      <c r="AR409" s="167">
        <v>0.0</v>
      </c>
      <c r="AS409" s="167">
        <v>0.0</v>
      </c>
      <c r="AT409" s="167">
        <v>1.0</v>
      </c>
      <c r="AU409" s="167">
        <v>0.0</v>
      </c>
      <c r="AV409" s="167">
        <v>1.0</v>
      </c>
      <c r="AW409" s="167">
        <v>0.0</v>
      </c>
      <c r="AX409" s="167">
        <v>1.0</v>
      </c>
      <c r="AY409" s="167">
        <v>0.0</v>
      </c>
      <c r="AZ409" s="167">
        <v>0.0</v>
      </c>
      <c r="BA409" s="167">
        <v>1.0</v>
      </c>
      <c r="BB409" s="167">
        <v>0.0</v>
      </c>
      <c r="BC409" s="167">
        <v>1.0</v>
      </c>
      <c r="BD409" s="167"/>
      <c r="BE409" s="167"/>
      <c r="BF409" s="167"/>
      <c r="BG409" s="167"/>
      <c r="BH409" s="167">
        <v>1.0</v>
      </c>
      <c r="BI409" s="167">
        <v>0.0</v>
      </c>
      <c r="BJ409" s="167">
        <v>1.0</v>
      </c>
      <c r="BK409" s="167">
        <v>0.0</v>
      </c>
      <c r="BL409" s="167">
        <v>1.0</v>
      </c>
      <c r="BM409" s="167">
        <v>0.0</v>
      </c>
      <c r="BN409" s="155">
        <v>1.0</v>
      </c>
      <c r="BO409" s="155">
        <v>0.0</v>
      </c>
      <c r="BP409" s="155">
        <v>0.0</v>
      </c>
      <c r="BQ409" s="155">
        <v>0.0</v>
      </c>
      <c r="BR409" s="155">
        <v>0.0</v>
      </c>
      <c r="BS409" s="155">
        <v>0.0</v>
      </c>
      <c r="BT409" s="167"/>
      <c r="BU409" s="167"/>
      <c r="BV409" s="167"/>
      <c r="BW409" s="167"/>
      <c r="BX409" s="168">
        <v>1.0</v>
      </c>
      <c r="BY409" s="167"/>
      <c r="BZ409" s="167"/>
      <c r="CA409" s="167"/>
      <c r="CB409" s="167"/>
      <c r="CC409" s="167"/>
      <c r="CD409" s="167"/>
      <c r="CE409" s="167"/>
      <c r="CF409" s="167"/>
      <c r="CG409" s="167"/>
      <c r="CH409" s="167"/>
      <c r="CI409" s="167"/>
      <c r="CJ409" s="167"/>
      <c r="CK409" s="167"/>
      <c r="CL409" s="167"/>
      <c r="CM409" s="167"/>
      <c r="CN409" s="167"/>
      <c r="CO409" s="167"/>
      <c r="CP409" s="167"/>
      <c r="CQ409" s="167"/>
      <c r="CR409" s="167"/>
      <c r="CS409" s="167"/>
      <c r="CT409" s="167"/>
      <c r="CU409" s="167"/>
      <c r="CV409" s="156">
        <v>2.0</v>
      </c>
      <c r="CW409" s="156">
        <v>0.0</v>
      </c>
      <c r="CX409" s="156">
        <v>0.0</v>
      </c>
      <c r="CY409" s="156">
        <v>0.0</v>
      </c>
      <c r="CZ409" s="156">
        <v>0.0</v>
      </c>
      <c r="DA409" s="156">
        <v>0.0</v>
      </c>
      <c r="DB409" s="174"/>
      <c r="DC409" s="174"/>
      <c r="DD409" s="175">
        <v>1.0</v>
      </c>
      <c r="DE409" s="174"/>
      <c r="DF409" s="175">
        <v>1.0</v>
      </c>
      <c r="DG409" s="174"/>
      <c r="DH409" s="174"/>
      <c r="DI409" s="174"/>
      <c r="DJ409" s="174"/>
      <c r="DK409" s="174"/>
      <c r="DL409" s="174"/>
      <c r="DM409" s="174"/>
      <c r="DN409" s="174"/>
      <c r="DO409" s="174"/>
      <c r="DP409" s="174"/>
      <c r="DQ409" s="174"/>
      <c r="DR409" s="174"/>
      <c r="DS409" s="174"/>
      <c r="DT409" s="174"/>
      <c r="DU409" s="174"/>
      <c r="DV409" s="174"/>
      <c r="DW409" s="174"/>
      <c r="DX409" s="174"/>
      <c r="DY409" s="174"/>
      <c r="DZ409" s="174"/>
      <c r="EA409" s="174"/>
      <c r="EB409" s="174"/>
      <c r="EC409" s="174"/>
      <c r="ED409" s="174"/>
      <c r="EE409" s="174"/>
      <c r="EF409" s="174"/>
      <c r="EG409" s="156">
        <v>0.0</v>
      </c>
      <c r="EH409" s="156">
        <v>0.0</v>
      </c>
      <c r="EI409" s="156">
        <v>0.0</v>
      </c>
      <c r="EJ409" s="156">
        <v>0.0</v>
      </c>
      <c r="EK409" s="156">
        <v>0.0</v>
      </c>
      <c r="EL409" s="156">
        <v>0.0</v>
      </c>
      <c r="EM409" s="174"/>
      <c r="EN409" s="174"/>
      <c r="EO409" s="174"/>
      <c r="EP409" s="174"/>
      <c r="EQ409" s="174"/>
      <c r="ER409" s="174"/>
      <c r="ES409" s="174"/>
      <c r="ET409" s="174"/>
      <c r="EU409" s="174"/>
      <c r="EV409" s="174"/>
      <c r="EW409" s="174"/>
      <c r="EX409" s="174"/>
      <c r="EY409" s="174"/>
      <c r="EZ409" s="174"/>
      <c r="FA409" s="174"/>
      <c r="FB409" s="174"/>
      <c r="FC409" s="174"/>
      <c r="FD409" s="174"/>
      <c r="FE409" s="174"/>
      <c r="FF409" s="174"/>
      <c r="FG409" s="174"/>
      <c r="FH409" s="174"/>
      <c r="FI409" s="174"/>
      <c r="FJ409" s="174"/>
      <c r="FK409" s="174"/>
      <c r="FL409" s="174"/>
      <c r="FM409" s="174"/>
      <c r="FN409" s="174"/>
      <c r="FO409" s="174"/>
      <c r="FP409" s="174"/>
      <c r="FQ409" s="156">
        <v>0.0</v>
      </c>
      <c r="FR409" s="156">
        <v>0.0</v>
      </c>
      <c r="FS409" s="156">
        <v>0.0</v>
      </c>
      <c r="FT409" s="156">
        <v>0.0</v>
      </c>
      <c r="FU409" s="156">
        <v>0.0</v>
      </c>
      <c r="FV409" s="156">
        <v>0.0</v>
      </c>
      <c r="FW409" s="157"/>
      <c r="FX409" s="157"/>
      <c r="FY409" s="157"/>
      <c r="FZ409" s="157"/>
      <c r="GA409" s="157"/>
      <c r="GB409" s="157"/>
      <c r="GC409" s="157"/>
      <c r="GD409" s="157"/>
      <c r="GE409" s="157"/>
      <c r="GF409" s="157"/>
      <c r="GG409" s="157"/>
      <c r="GH409" s="157"/>
      <c r="GI409" s="157"/>
      <c r="GJ409" s="157"/>
      <c r="GK409" s="157"/>
      <c r="GL409" s="157"/>
      <c r="GM409" s="157"/>
      <c r="GN409" s="157"/>
      <c r="GO409" s="157"/>
      <c r="GP409" s="158"/>
      <c r="GQ409" s="157"/>
      <c r="GR409" s="157"/>
      <c r="GS409" s="157"/>
      <c r="GT409" s="157"/>
      <c r="GU409" s="157"/>
      <c r="GV409" s="157"/>
      <c r="GW409" s="157"/>
      <c r="GX409" s="157"/>
      <c r="GY409" s="157"/>
      <c r="GZ409" s="157"/>
      <c r="HA409" s="157"/>
      <c r="HB409" s="155">
        <v>0.0</v>
      </c>
      <c r="HC409" s="155">
        <v>0.0</v>
      </c>
      <c r="HD409" s="155">
        <v>0.0</v>
      </c>
      <c r="HE409" s="155">
        <v>0.0</v>
      </c>
      <c r="HF409" s="155">
        <v>0.0</v>
      </c>
      <c r="HG409" s="155">
        <v>0.0</v>
      </c>
      <c r="IL409" s="159">
        <v>0.0</v>
      </c>
      <c r="IM409" s="156">
        <v>0.0</v>
      </c>
      <c r="IN409" s="156">
        <v>0.0</v>
      </c>
      <c r="IO409" s="156">
        <v>0.0</v>
      </c>
      <c r="IP409" s="156">
        <v>0.0</v>
      </c>
      <c r="IQ409" s="160">
        <v>0.0</v>
      </c>
      <c r="JH409" s="25"/>
      <c r="JW409" s="159">
        <v>0.0</v>
      </c>
      <c r="JX409" s="156">
        <v>0.0</v>
      </c>
      <c r="JY409" s="156">
        <v>0.0</v>
      </c>
      <c r="JZ409" s="156">
        <v>0.0</v>
      </c>
      <c r="KA409" s="156">
        <v>0.0</v>
      </c>
      <c r="KB409" s="160">
        <v>0.0</v>
      </c>
      <c r="LH409" s="159">
        <f t="shared" si="10"/>
        <v>0</v>
      </c>
      <c r="LI409" s="156">
        <f t="shared" si="11"/>
        <v>0</v>
      </c>
      <c r="LJ409" s="156">
        <f t="shared" si="12"/>
        <v>0</v>
      </c>
      <c r="LK409" s="156">
        <f t="shared" si="13"/>
        <v>0</v>
      </c>
      <c r="LL409" s="156">
        <f t="shared" si="14"/>
        <v>0</v>
      </c>
      <c r="LM409" s="160">
        <f t="shared" si="15"/>
        <v>0</v>
      </c>
      <c r="QX409" s="107">
        <v>45980.0</v>
      </c>
    </row>
    <row r="410">
      <c r="A410" s="12"/>
      <c r="B410" s="12"/>
      <c r="C410" s="12"/>
      <c r="D410" s="12"/>
      <c r="E410" s="12"/>
      <c r="F410" s="12"/>
      <c r="G410" s="12"/>
      <c r="H410" s="12"/>
      <c r="I410" s="143">
        <f t="shared" si="5"/>
        <v>-30</v>
      </c>
      <c r="J410" s="144">
        <v>45980.0</v>
      </c>
      <c r="K410" s="145" t="s">
        <v>61</v>
      </c>
      <c r="L410" s="171">
        <v>46079.0</v>
      </c>
      <c r="M410" s="147" t="s">
        <v>423</v>
      </c>
      <c r="N410" s="148">
        <v>246.0</v>
      </c>
      <c r="O410" s="148">
        <v>30.0</v>
      </c>
      <c r="P410" s="26"/>
      <c r="Q410" s="26"/>
      <c r="R410" s="26"/>
      <c r="S410" s="26"/>
      <c r="T410" s="26"/>
      <c r="U410" s="164" t="s">
        <v>3195</v>
      </c>
      <c r="V410" s="165" t="s">
        <v>3196</v>
      </c>
      <c r="W410" s="198" t="s">
        <v>3197</v>
      </c>
      <c r="X410" s="181">
        <v>14.0</v>
      </c>
      <c r="Y410" s="166">
        <f t="shared" si="6"/>
        <v>30</v>
      </c>
      <c r="Z410" s="26">
        <f t="shared" si="7"/>
        <v>0</v>
      </c>
      <c r="AA410" s="26">
        <f t="shared" si="8"/>
        <v>0</v>
      </c>
      <c r="AB410" s="26">
        <f t="shared" si="9"/>
        <v>0</v>
      </c>
      <c r="AC410" s="155">
        <v>9.0</v>
      </c>
      <c r="AD410" s="155">
        <v>0.0</v>
      </c>
      <c r="AE410" s="155">
        <v>0.0</v>
      </c>
      <c r="AF410" s="155">
        <v>0.0</v>
      </c>
      <c r="AG410" s="155">
        <v>0.0</v>
      </c>
      <c r="AH410" s="155">
        <v>0.0</v>
      </c>
      <c r="AI410" s="167"/>
      <c r="AJ410" s="167"/>
      <c r="AK410" s="167"/>
      <c r="AL410" s="167"/>
      <c r="AM410" s="167">
        <v>1.0</v>
      </c>
      <c r="AN410" s="167">
        <v>0.0</v>
      </c>
      <c r="AO410" s="167">
        <v>1.0</v>
      </c>
      <c r="AP410" s="167">
        <v>0.0</v>
      </c>
      <c r="AQ410" s="167">
        <v>1.0</v>
      </c>
      <c r="AR410" s="167">
        <v>0.0</v>
      </c>
      <c r="AS410" s="167">
        <v>0.0</v>
      </c>
      <c r="AT410" s="167">
        <v>1.0</v>
      </c>
      <c r="AU410" s="167">
        <v>0.0</v>
      </c>
      <c r="AV410" s="167">
        <v>1.0</v>
      </c>
      <c r="AW410" s="167">
        <v>0.0</v>
      </c>
      <c r="AX410" s="167">
        <v>1.0</v>
      </c>
      <c r="AY410" s="167">
        <v>0.0</v>
      </c>
      <c r="AZ410" s="167">
        <v>0.0</v>
      </c>
      <c r="BA410" s="167">
        <v>1.0</v>
      </c>
      <c r="BB410" s="167">
        <v>0.0</v>
      </c>
      <c r="BC410" s="167">
        <v>1.0</v>
      </c>
      <c r="BD410" s="167"/>
      <c r="BE410" s="167"/>
      <c r="BF410" s="167"/>
      <c r="BG410" s="167"/>
      <c r="BH410" s="167"/>
      <c r="BI410" s="167"/>
      <c r="BJ410" s="167"/>
      <c r="BK410" s="167"/>
      <c r="BL410" s="167">
        <v>1.0</v>
      </c>
      <c r="BM410" s="167">
        <v>0.0</v>
      </c>
      <c r="BN410" s="155">
        <v>7.0</v>
      </c>
      <c r="BO410" s="155">
        <v>0.0</v>
      </c>
      <c r="BP410" s="155">
        <v>0.0</v>
      </c>
      <c r="BQ410" s="155">
        <v>0.0</v>
      </c>
      <c r="BR410" s="155">
        <v>0.0</v>
      </c>
      <c r="BS410" s="155">
        <v>0.0</v>
      </c>
      <c r="BT410" s="167">
        <v>0.0</v>
      </c>
      <c r="BU410" s="167">
        <v>1.0</v>
      </c>
      <c r="BV410" s="167">
        <v>0.0</v>
      </c>
      <c r="BW410" s="167">
        <v>1.0</v>
      </c>
      <c r="BX410" s="167"/>
      <c r="BY410" s="168">
        <v>1.0</v>
      </c>
      <c r="BZ410" s="167"/>
      <c r="CA410" s="167"/>
      <c r="CB410" s="167">
        <v>1.0</v>
      </c>
      <c r="CC410" s="167"/>
      <c r="CD410" s="167"/>
      <c r="CE410" s="168">
        <v>1.0</v>
      </c>
      <c r="CF410" s="168">
        <v>1.0</v>
      </c>
      <c r="CG410" s="167"/>
      <c r="CH410" s="167"/>
      <c r="CI410" s="167"/>
      <c r="CJ410" s="167"/>
      <c r="CK410" s="167"/>
      <c r="CL410" s="167"/>
      <c r="CM410" s="167"/>
      <c r="CN410" s="167"/>
      <c r="CO410" s="167"/>
      <c r="CP410" s="168">
        <v>1.0</v>
      </c>
      <c r="CQ410" s="167"/>
      <c r="CR410" s="167"/>
      <c r="CS410" s="167"/>
      <c r="CT410" s="167"/>
      <c r="CU410" s="167"/>
      <c r="CV410" s="156">
        <v>0.0</v>
      </c>
      <c r="CW410" s="156">
        <v>0.0</v>
      </c>
      <c r="CX410" s="156">
        <v>0.0</v>
      </c>
      <c r="CY410" s="156">
        <v>0.0</v>
      </c>
      <c r="CZ410" s="156">
        <v>0.0</v>
      </c>
      <c r="DA410" s="156">
        <v>0.0</v>
      </c>
      <c r="EG410" s="156">
        <v>0.0</v>
      </c>
      <c r="EH410" s="156">
        <v>0.0</v>
      </c>
      <c r="EI410" s="156">
        <v>0.0</v>
      </c>
      <c r="EJ410" s="156">
        <v>0.0</v>
      </c>
      <c r="EK410" s="156">
        <v>0.0</v>
      </c>
      <c r="EL410" s="156">
        <v>0.0</v>
      </c>
      <c r="FQ410" s="156">
        <v>0.0</v>
      </c>
      <c r="FR410" s="156">
        <v>0.0</v>
      </c>
      <c r="FS410" s="156">
        <v>0.0</v>
      </c>
      <c r="FT410" s="156">
        <v>0.0</v>
      </c>
      <c r="FU410" s="156">
        <v>0.0</v>
      </c>
      <c r="FV410" s="156">
        <v>0.0</v>
      </c>
      <c r="FW410" s="157"/>
      <c r="FX410" s="157"/>
      <c r="FY410" s="157"/>
      <c r="FZ410" s="157"/>
      <c r="GA410" s="157"/>
      <c r="GB410" s="157"/>
      <c r="GC410" s="157"/>
      <c r="GD410" s="157"/>
      <c r="GE410" s="157"/>
      <c r="GF410" s="157"/>
      <c r="GG410" s="157"/>
      <c r="GH410" s="157"/>
      <c r="GI410" s="157"/>
      <c r="GJ410" s="157"/>
      <c r="GK410" s="157"/>
      <c r="GL410" s="157"/>
      <c r="GM410" s="157"/>
      <c r="GN410" s="157"/>
      <c r="GO410" s="157"/>
      <c r="GP410" s="158"/>
      <c r="GQ410" s="157"/>
      <c r="GR410" s="157"/>
      <c r="GS410" s="157"/>
      <c r="GT410" s="157"/>
      <c r="GU410" s="157"/>
      <c r="GV410" s="157"/>
      <c r="GW410" s="157"/>
      <c r="GX410" s="157"/>
      <c r="GY410" s="157"/>
      <c r="GZ410" s="157"/>
      <c r="HA410" s="157"/>
      <c r="HB410" s="155">
        <v>0.0</v>
      </c>
      <c r="HC410" s="155">
        <v>0.0</v>
      </c>
      <c r="HD410" s="155">
        <v>0.0</v>
      </c>
      <c r="HE410" s="155">
        <v>0.0</v>
      </c>
      <c r="HF410" s="155">
        <v>0.0</v>
      </c>
      <c r="HG410" s="155">
        <v>0.0</v>
      </c>
      <c r="IL410" s="159">
        <v>0.0</v>
      </c>
      <c r="IM410" s="156">
        <v>0.0</v>
      </c>
      <c r="IN410" s="156">
        <v>0.0</v>
      </c>
      <c r="IO410" s="156">
        <v>0.0</v>
      </c>
      <c r="IP410" s="156">
        <v>0.0</v>
      </c>
      <c r="IQ410" s="160">
        <v>0.0</v>
      </c>
      <c r="JH410" s="25"/>
      <c r="JW410" s="159">
        <v>0.0</v>
      </c>
      <c r="JX410" s="156">
        <v>0.0</v>
      </c>
      <c r="JY410" s="156">
        <v>0.0</v>
      </c>
      <c r="JZ410" s="156">
        <v>0.0</v>
      </c>
      <c r="KA410" s="156">
        <v>0.0</v>
      </c>
      <c r="KB410" s="160">
        <v>0.0</v>
      </c>
      <c r="LH410" s="159">
        <f t="shared" si="10"/>
        <v>0</v>
      </c>
      <c r="LI410" s="156">
        <f t="shared" si="11"/>
        <v>0</v>
      </c>
      <c r="LJ410" s="156">
        <f t="shared" si="12"/>
        <v>0</v>
      </c>
      <c r="LK410" s="156">
        <f t="shared" si="13"/>
        <v>0</v>
      </c>
      <c r="LL410" s="156">
        <f t="shared" si="14"/>
        <v>0</v>
      </c>
      <c r="LM410" s="160">
        <f t="shared" si="15"/>
        <v>0</v>
      </c>
      <c r="QX410" s="107">
        <v>45981.0</v>
      </c>
    </row>
    <row r="411">
      <c r="A411" s="12"/>
      <c r="B411" s="12"/>
      <c r="C411" s="12"/>
      <c r="D411" s="12"/>
      <c r="E411" s="12"/>
      <c r="F411" s="12"/>
      <c r="G411" s="12"/>
      <c r="H411" s="12"/>
      <c r="I411" s="143">
        <f t="shared" si="5"/>
        <v>-30</v>
      </c>
      <c r="J411" s="144">
        <v>45979.0</v>
      </c>
      <c r="K411" s="145" t="s">
        <v>61</v>
      </c>
      <c r="L411" s="171">
        <v>46046.0</v>
      </c>
      <c r="M411" s="147" t="s">
        <v>435</v>
      </c>
      <c r="N411" s="148">
        <v>357.0</v>
      </c>
      <c r="O411" s="148">
        <v>30.0</v>
      </c>
      <c r="P411" s="26"/>
      <c r="Q411" s="26"/>
      <c r="R411" s="26"/>
      <c r="S411" s="26"/>
      <c r="T411" s="26"/>
      <c r="U411" s="147" t="s">
        <v>3198</v>
      </c>
      <c r="V411" s="149" t="s">
        <v>3186</v>
      </c>
      <c r="W411" s="198" t="s">
        <v>3199</v>
      </c>
      <c r="X411" s="181">
        <v>19.0</v>
      </c>
      <c r="Y411" s="166">
        <f t="shared" si="6"/>
        <v>30</v>
      </c>
      <c r="Z411" s="26">
        <f t="shared" si="7"/>
        <v>0</v>
      </c>
      <c r="AA411" s="26">
        <f t="shared" si="8"/>
        <v>0</v>
      </c>
      <c r="AB411" s="26">
        <f t="shared" si="9"/>
        <v>0</v>
      </c>
      <c r="AC411" s="155">
        <v>11.0</v>
      </c>
      <c r="AD411" s="155">
        <v>0.0</v>
      </c>
      <c r="AE411" s="155">
        <v>0.0</v>
      </c>
      <c r="AF411" s="155">
        <v>0.0</v>
      </c>
      <c r="AG411" s="155">
        <v>0.0</v>
      </c>
      <c r="AH411" s="155">
        <v>0.0</v>
      </c>
      <c r="AI411" s="167"/>
      <c r="AJ411" s="167"/>
      <c r="AK411" s="168">
        <v>2.0</v>
      </c>
      <c r="AL411" s="167">
        <v>0.0</v>
      </c>
      <c r="AM411" s="167">
        <v>0.0</v>
      </c>
      <c r="AN411" s="167">
        <v>1.0</v>
      </c>
      <c r="AO411" s="167">
        <v>0.0</v>
      </c>
      <c r="AP411" s="167">
        <v>1.0</v>
      </c>
      <c r="AQ411" s="167">
        <v>0.0</v>
      </c>
      <c r="AR411" s="167">
        <v>1.0</v>
      </c>
      <c r="AS411" s="167">
        <v>0.0</v>
      </c>
      <c r="AT411" s="167">
        <v>0.0</v>
      </c>
      <c r="AU411" s="167">
        <v>1.0</v>
      </c>
      <c r="AV411" s="167">
        <v>0.0</v>
      </c>
      <c r="AW411" s="167">
        <v>1.0</v>
      </c>
      <c r="AX411" s="167">
        <v>0.0</v>
      </c>
      <c r="AY411" s="167">
        <v>1.0</v>
      </c>
      <c r="AZ411" s="167">
        <v>0.0</v>
      </c>
      <c r="BA411" s="167">
        <v>0.0</v>
      </c>
      <c r="BB411" s="167">
        <v>1.0</v>
      </c>
      <c r="BC411" s="167">
        <v>0.0</v>
      </c>
      <c r="BD411" s="167">
        <v>1.0</v>
      </c>
      <c r="BE411" s="167">
        <v>0.0</v>
      </c>
      <c r="BF411" s="167"/>
      <c r="BG411" s="168">
        <v>1.0</v>
      </c>
      <c r="BH411" s="167"/>
      <c r="BI411" s="167"/>
      <c r="BJ411" s="167"/>
      <c r="BK411" s="167"/>
      <c r="BL411" s="167"/>
      <c r="BM411" s="167"/>
      <c r="BN411" s="155">
        <v>0.0</v>
      </c>
      <c r="BO411" s="155">
        <v>0.0</v>
      </c>
      <c r="BP411" s="155">
        <v>0.0</v>
      </c>
      <c r="BQ411" s="155">
        <v>0.0</v>
      </c>
      <c r="BR411" s="155">
        <v>0.0</v>
      </c>
      <c r="BS411" s="155">
        <v>0.0</v>
      </c>
      <c r="CV411" s="156">
        <v>0.0</v>
      </c>
      <c r="CW411" s="156">
        <v>0.0</v>
      </c>
      <c r="CX411" s="156">
        <v>0.0</v>
      </c>
      <c r="CY411" s="156">
        <v>0.0</v>
      </c>
      <c r="CZ411" s="156">
        <v>0.0</v>
      </c>
      <c r="DA411" s="156">
        <v>0.0</v>
      </c>
      <c r="EG411" s="156">
        <v>0.0</v>
      </c>
      <c r="EH411" s="156">
        <v>0.0</v>
      </c>
      <c r="EI411" s="156">
        <v>0.0</v>
      </c>
      <c r="EJ411" s="156">
        <v>0.0</v>
      </c>
      <c r="EK411" s="156">
        <v>0.0</v>
      </c>
      <c r="EL411" s="156">
        <v>0.0</v>
      </c>
      <c r="FQ411" s="156">
        <v>0.0</v>
      </c>
      <c r="FR411" s="156">
        <v>0.0</v>
      </c>
      <c r="FS411" s="156">
        <v>0.0</v>
      </c>
      <c r="FT411" s="156">
        <v>0.0</v>
      </c>
      <c r="FU411" s="156">
        <v>0.0</v>
      </c>
      <c r="FV411" s="156">
        <v>0.0</v>
      </c>
      <c r="FW411" s="157"/>
      <c r="FX411" s="157"/>
      <c r="FY411" s="157"/>
      <c r="FZ411" s="157"/>
      <c r="GA411" s="157"/>
      <c r="GB411" s="157"/>
      <c r="GC411" s="157"/>
      <c r="GD411" s="157"/>
      <c r="GE411" s="157"/>
      <c r="GF411" s="157"/>
      <c r="GG411" s="157"/>
      <c r="GH411" s="157"/>
      <c r="GI411" s="157"/>
      <c r="GJ411" s="157"/>
      <c r="GK411" s="157"/>
      <c r="GL411" s="157"/>
      <c r="GM411" s="157"/>
      <c r="GN411" s="157"/>
      <c r="GO411" s="157"/>
      <c r="GP411" s="158"/>
      <c r="GQ411" s="157"/>
      <c r="GR411" s="157"/>
      <c r="GS411" s="157"/>
      <c r="GT411" s="157"/>
      <c r="GU411" s="157"/>
      <c r="GV411" s="157"/>
      <c r="GW411" s="157"/>
      <c r="GX411" s="157"/>
      <c r="GY411" s="157"/>
      <c r="GZ411" s="157"/>
      <c r="HA411" s="157"/>
      <c r="HB411" s="155">
        <v>0.0</v>
      </c>
      <c r="HC411" s="155">
        <v>0.0</v>
      </c>
      <c r="HD411" s="155">
        <v>0.0</v>
      </c>
      <c r="HE411" s="155">
        <v>0.0</v>
      </c>
      <c r="HF411" s="155">
        <v>0.0</v>
      </c>
      <c r="HG411" s="155">
        <v>0.0</v>
      </c>
      <c r="IL411" s="159">
        <v>0.0</v>
      </c>
      <c r="IM411" s="156">
        <v>0.0</v>
      </c>
      <c r="IN411" s="156">
        <v>0.0</v>
      </c>
      <c r="IO411" s="156">
        <v>0.0</v>
      </c>
      <c r="IP411" s="156">
        <v>0.0</v>
      </c>
      <c r="IQ411" s="160">
        <v>0.0</v>
      </c>
      <c r="JH411" s="25"/>
      <c r="JW411" s="159">
        <v>0.0</v>
      </c>
      <c r="JX411" s="156">
        <v>0.0</v>
      </c>
      <c r="JY411" s="156">
        <v>0.0</v>
      </c>
      <c r="JZ411" s="156">
        <v>0.0</v>
      </c>
      <c r="KA411" s="156">
        <v>0.0</v>
      </c>
      <c r="KB411" s="160">
        <v>0.0</v>
      </c>
      <c r="LH411" s="159">
        <f t="shared" si="10"/>
        <v>0</v>
      </c>
      <c r="LI411" s="156">
        <f t="shared" si="11"/>
        <v>0</v>
      </c>
      <c r="LJ411" s="156">
        <f t="shared" si="12"/>
        <v>0</v>
      </c>
      <c r="LK411" s="156">
        <f t="shared" si="13"/>
        <v>0</v>
      </c>
      <c r="LL411" s="156">
        <f t="shared" si="14"/>
        <v>0</v>
      </c>
      <c r="LM411" s="160">
        <f t="shared" si="15"/>
        <v>0</v>
      </c>
      <c r="QX411" s="107">
        <v>45981.0</v>
      </c>
    </row>
    <row r="412">
      <c r="A412" s="12"/>
      <c r="B412" s="12"/>
      <c r="C412" s="12"/>
      <c r="D412" s="12"/>
      <c r="E412" s="12"/>
      <c r="F412" s="12"/>
      <c r="G412" s="12"/>
      <c r="H412" s="12"/>
      <c r="I412" s="143">
        <f t="shared" si="5"/>
        <v>-9</v>
      </c>
      <c r="J412" s="144">
        <v>45985.0</v>
      </c>
      <c r="K412" s="195" t="s">
        <v>61</v>
      </c>
      <c r="L412" s="144">
        <v>46006.0</v>
      </c>
      <c r="M412" s="147" t="s">
        <v>400</v>
      </c>
      <c r="N412" s="148">
        <v>234567.0</v>
      </c>
      <c r="O412" s="148">
        <v>30.0</v>
      </c>
      <c r="P412" s="26"/>
      <c r="Q412" s="26"/>
      <c r="R412" s="26"/>
      <c r="S412" s="26"/>
      <c r="T412" s="26"/>
      <c r="U412" s="147" t="s">
        <v>3200</v>
      </c>
      <c r="V412" s="149" t="s">
        <v>3201</v>
      </c>
      <c r="W412" s="198" t="s">
        <v>3202</v>
      </c>
      <c r="X412" s="181">
        <v>9.0</v>
      </c>
      <c r="Y412" s="166">
        <f t="shared" si="6"/>
        <v>9</v>
      </c>
      <c r="Z412" s="26">
        <f t="shared" si="7"/>
        <v>0</v>
      </c>
      <c r="AA412" s="26">
        <f t="shared" si="8"/>
        <v>0</v>
      </c>
      <c r="AB412" s="26">
        <f t="shared" si="9"/>
        <v>0</v>
      </c>
      <c r="AC412" s="155">
        <v>0.0</v>
      </c>
      <c r="AD412" s="155">
        <v>0.0</v>
      </c>
      <c r="AE412" s="155">
        <v>0.0</v>
      </c>
      <c r="AF412" s="155">
        <v>0.0</v>
      </c>
      <c r="AG412" s="155">
        <v>0.0</v>
      </c>
      <c r="AH412" s="155">
        <v>0.0</v>
      </c>
      <c r="BN412" s="155">
        <v>0.0</v>
      </c>
      <c r="BO412" s="155">
        <v>0.0</v>
      </c>
      <c r="BP412" s="155">
        <v>0.0</v>
      </c>
      <c r="BQ412" s="155">
        <v>0.0</v>
      </c>
      <c r="BR412" s="155">
        <v>0.0</v>
      </c>
      <c r="BS412" s="155">
        <v>0.0</v>
      </c>
      <c r="CV412" s="156">
        <v>0.0</v>
      </c>
      <c r="CW412" s="156">
        <v>0.0</v>
      </c>
      <c r="CX412" s="156">
        <v>0.0</v>
      </c>
      <c r="CY412" s="156">
        <v>0.0</v>
      </c>
      <c r="CZ412" s="156">
        <v>0.0</v>
      </c>
      <c r="DA412" s="156">
        <v>0.0</v>
      </c>
      <c r="EG412" s="156">
        <v>0.0</v>
      </c>
      <c r="EH412" s="156">
        <v>0.0</v>
      </c>
      <c r="EI412" s="156">
        <v>0.0</v>
      </c>
      <c r="EJ412" s="156">
        <v>0.0</v>
      </c>
      <c r="EK412" s="156">
        <v>0.0</v>
      </c>
      <c r="EL412" s="156">
        <v>0.0</v>
      </c>
      <c r="FQ412" s="156">
        <v>0.0</v>
      </c>
      <c r="FR412" s="156">
        <v>0.0</v>
      </c>
      <c r="FS412" s="156">
        <v>0.0</v>
      </c>
      <c r="FT412" s="156">
        <v>0.0</v>
      </c>
      <c r="FU412" s="156">
        <v>0.0</v>
      </c>
      <c r="FV412" s="156">
        <v>0.0</v>
      </c>
      <c r="FW412" s="157"/>
      <c r="FX412" s="157"/>
      <c r="FY412" s="157"/>
      <c r="FZ412" s="157"/>
      <c r="GA412" s="157"/>
      <c r="GB412" s="157"/>
      <c r="GC412" s="157"/>
      <c r="GD412" s="157"/>
      <c r="GE412" s="157"/>
      <c r="GF412" s="157"/>
      <c r="GG412" s="157"/>
      <c r="GH412" s="157"/>
      <c r="GI412" s="157"/>
      <c r="GJ412" s="157"/>
      <c r="GK412" s="157"/>
      <c r="GL412" s="157"/>
      <c r="GM412" s="157"/>
      <c r="GN412" s="157"/>
      <c r="GO412" s="157"/>
      <c r="GP412" s="158"/>
      <c r="GQ412" s="157"/>
      <c r="GR412" s="157"/>
      <c r="GS412" s="157"/>
      <c r="GT412" s="157"/>
      <c r="GU412" s="157"/>
      <c r="GV412" s="157"/>
      <c r="GW412" s="157"/>
      <c r="GX412" s="157"/>
      <c r="GY412" s="157"/>
      <c r="GZ412" s="157"/>
      <c r="HA412" s="157"/>
      <c r="HB412" s="155">
        <v>0.0</v>
      </c>
      <c r="HC412" s="155">
        <v>0.0</v>
      </c>
      <c r="HD412" s="155">
        <v>0.0</v>
      </c>
      <c r="HE412" s="155">
        <v>0.0</v>
      </c>
      <c r="HF412" s="155">
        <v>0.0</v>
      </c>
      <c r="HG412" s="155">
        <v>0.0</v>
      </c>
      <c r="IL412" s="159">
        <v>0.0</v>
      </c>
      <c r="IM412" s="156">
        <v>0.0</v>
      </c>
      <c r="IN412" s="156">
        <v>0.0</v>
      </c>
      <c r="IO412" s="156">
        <v>0.0</v>
      </c>
      <c r="IP412" s="156">
        <v>0.0</v>
      </c>
      <c r="IQ412" s="160">
        <v>0.0</v>
      </c>
      <c r="JH412" s="25"/>
      <c r="JW412" s="159">
        <v>0.0</v>
      </c>
      <c r="JX412" s="156">
        <v>0.0</v>
      </c>
      <c r="JY412" s="156">
        <v>0.0</v>
      </c>
      <c r="JZ412" s="156">
        <v>0.0</v>
      </c>
      <c r="KA412" s="156">
        <v>0.0</v>
      </c>
      <c r="KB412" s="160">
        <v>0.0</v>
      </c>
      <c r="LH412" s="159">
        <f t="shared" si="10"/>
        <v>0</v>
      </c>
      <c r="LI412" s="156">
        <f t="shared" si="11"/>
        <v>0</v>
      </c>
      <c r="LJ412" s="156">
        <f t="shared" si="12"/>
        <v>0</v>
      </c>
      <c r="LK412" s="156">
        <f t="shared" si="13"/>
        <v>0</v>
      </c>
      <c r="LL412" s="156">
        <f t="shared" si="14"/>
        <v>0</v>
      </c>
      <c r="LM412" s="160">
        <f t="shared" si="15"/>
        <v>0</v>
      </c>
      <c r="QX412" s="107">
        <v>45985.0</v>
      </c>
    </row>
    <row r="413">
      <c r="A413" s="12"/>
      <c r="B413" s="12"/>
      <c r="C413" s="12"/>
      <c r="D413" s="12"/>
      <c r="E413" s="12"/>
      <c r="F413" s="12"/>
      <c r="G413" s="12"/>
      <c r="H413" s="12"/>
      <c r="I413" s="143">
        <f t="shared" si="5"/>
        <v>-29</v>
      </c>
      <c r="J413" s="144">
        <v>45985.0</v>
      </c>
      <c r="K413" s="195" t="s">
        <v>53</v>
      </c>
      <c r="L413" s="515">
        <v>46112.0</v>
      </c>
      <c r="M413" s="147" t="s">
        <v>3203</v>
      </c>
      <c r="N413" s="148">
        <v>246.0</v>
      </c>
      <c r="O413" s="148">
        <v>30.0</v>
      </c>
      <c r="P413" s="26"/>
      <c r="Q413" s="26"/>
      <c r="R413" s="26"/>
      <c r="S413" s="26"/>
      <c r="T413" s="26"/>
      <c r="U413" s="147" t="s">
        <v>3149</v>
      </c>
      <c r="V413" s="149" t="s">
        <v>1553</v>
      </c>
      <c r="W413" s="198" t="s">
        <v>3204</v>
      </c>
      <c r="X413" s="181">
        <v>6.0</v>
      </c>
      <c r="Y413" s="166">
        <f t="shared" si="6"/>
        <v>29</v>
      </c>
      <c r="Z413" s="26">
        <f t="shared" si="7"/>
        <v>0</v>
      </c>
      <c r="AA413" s="26">
        <f t="shared" si="8"/>
        <v>2</v>
      </c>
      <c r="AB413" s="26">
        <f t="shared" si="9"/>
        <v>0</v>
      </c>
      <c r="AC413" s="155">
        <v>5.0</v>
      </c>
      <c r="AD413" s="155">
        <v>0.0</v>
      </c>
      <c r="AE413" s="155">
        <v>0.0</v>
      </c>
      <c r="AF413" s="155">
        <v>1.0</v>
      </c>
      <c r="AG413" s="155">
        <v>0.0</v>
      </c>
      <c r="AH413" s="155">
        <v>0.0</v>
      </c>
      <c r="AI413" s="167"/>
      <c r="AJ413" s="167"/>
      <c r="AK413" s="167"/>
      <c r="AL413" s="167"/>
      <c r="AM413" s="167"/>
      <c r="AN413" s="167"/>
      <c r="AO413" s="167"/>
      <c r="AP413" s="167"/>
      <c r="AQ413" s="167"/>
      <c r="AR413" s="167"/>
      <c r="AS413" s="167"/>
      <c r="AT413" s="167"/>
      <c r="AU413" s="167"/>
      <c r="AV413" s="167"/>
      <c r="AW413" s="167"/>
      <c r="AX413" s="167"/>
      <c r="AY413" s="167"/>
      <c r="AZ413" s="167"/>
      <c r="BA413" s="167"/>
      <c r="BB413" s="167"/>
      <c r="BC413" s="167">
        <v>1.0</v>
      </c>
      <c r="BD413" s="167">
        <v>0.0</v>
      </c>
      <c r="BE413" s="167">
        <v>1.0</v>
      </c>
      <c r="BF413" s="167">
        <v>0.0</v>
      </c>
      <c r="BG413" s="167">
        <v>0.0</v>
      </c>
      <c r="BH413" s="167">
        <v>1.0</v>
      </c>
      <c r="BI413" s="167">
        <v>0.0</v>
      </c>
      <c r="BJ413" s="167">
        <v>1.0</v>
      </c>
      <c r="BK413" s="167">
        <v>0.0</v>
      </c>
      <c r="BL413" s="168" t="s">
        <v>947</v>
      </c>
      <c r="BM413" s="167">
        <v>0.0</v>
      </c>
      <c r="BN413" s="155">
        <v>9.0</v>
      </c>
      <c r="BO413" s="155">
        <v>0.0</v>
      </c>
      <c r="BP413" s="155">
        <v>0.0</v>
      </c>
      <c r="BQ413" s="155">
        <v>0.0</v>
      </c>
      <c r="BR413" s="155">
        <v>0.0</v>
      </c>
      <c r="BS413" s="155">
        <v>0.0</v>
      </c>
      <c r="BT413" s="167">
        <v>0.0</v>
      </c>
      <c r="BU413" s="167">
        <v>1.0</v>
      </c>
      <c r="BV413" s="167">
        <v>0.0</v>
      </c>
      <c r="BW413" s="167">
        <v>1.0</v>
      </c>
      <c r="BX413" s="167">
        <v>0.0</v>
      </c>
      <c r="BY413" s="167">
        <v>1.0</v>
      </c>
      <c r="BZ413" s="167">
        <v>0.0</v>
      </c>
      <c r="CA413" s="167">
        <v>0.0</v>
      </c>
      <c r="CB413" s="167">
        <v>1.0</v>
      </c>
      <c r="CC413" s="167">
        <v>0.0</v>
      </c>
      <c r="CD413" s="167">
        <v>1.0</v>
      </c>
      <c r="CE413" s="167">
        <v>0.0</v>
      </c>
      <c r="CF413" s="167">
        <v>1.0</v>
      </c>
      <c r="CG413" s="167"/>
      <c r="CH413" s="167"/>
      <c r="CI413" s="167"/>
      <c r="CJ413" s="167"/>
      <c r="CK413" s="167"/>
      <c r="CL413" s="167"/>
      <c r="CM413" s="167"/>
      <c r="CN413" s="167"/>
      <c r="CO413" s="167"/>
      <c r="CP413" s="167">
        <v>1.0</v>
      </c>
      <c r="CQ413" s="167">
        <v>0.0</v>
      </c>
      <c r="CR413" s="167">
        <v>1.0</v>
      </c>
      <c r="CS413" s="167">
        <v>0.0</v>
      </c>
      <c r="CT413" s="167">
        <v>1.0</v>
      </c>
      <c r="CU413" s="167">
        <v>0.0</v>
      </c>
      <c r="CV413" s="156">
        <v>9.0</v>
      </c>
      <c r="CW413" s="156">
        <v>0.0</v>
      </c>
      <c r="CX413" s="156">
        <v>0.0</v>
      </c>
      <c r="CY413" s="156">
        <v>1.0</v>
      </c>
      <c r="CZ413" s="156">
        <v>0.0</v>
      </c>
      <c r="DA413" s="156">
        <v>0.0</v>
      </c>
      <c r="DB413" s="174"/>
      <c r="DC413" s="174"/>
      <c r="DD413" s="174"/>
      <c r="DE413" s="174">
        <v>1.0</v>
      </c>
      <c r="DF413" s="174"/>
      <c r="DG413" s="174"/>
      <c r="DH413" s="174"/>
      <c r="DI413" s="174"/>
      <c r="DJ413" s="174">
        <v>1.0</v>
      </c>
      <c r="DK413" s="174">
        <v>0.0</v>
      </c>
      <c r="DL413" s="174"/>
      <c r="DM413" s="174">
        <v>0.0</v>
      </c>
      <c r="DN413" s="174">
        <v>1.0</v>
      </c>
      <c r="DO413" s="174">
        <v>0.0</v>
      </c>
      <c r="DP413" s="174">
        <v>0.0</v>
      </c>
      <c r="DQ413" s="174">
        <v>1.0</v>
      </c>
      <c r="DR413" s="174">
        <v>0.0</v>
      </c>
      <c r="DS413" s="174">
        <v>1.0</v>
      </c>
      <c r="DT413" s="174">
        <v>0.0</v>
      </c>
      <c r="DU413" s="175" t="s">
        <v>947</v>
      </c>
      <c r="DV413" s="174">
        <v>0.0</v>
      </c>
      <c r="DW413" s="174">
        <v>0.0</v>
      </c>
      <c r="DX413" s="174">
        <v>1.0</v>
      </c>
      <c r="DY413" s="174">
        <v>0.0</v>
      </c>
      <c r="DZ413" s="174">
        <v>1.0</v>
      </c>
      <c r="EA413" s="174">
        <v>0.0</v>
      </c>
      <c r="EB413" s="174">
        <v>1.0</v>
      </c>
      <c r="EC413" s="174"/>
      <c r="ED413" s="174"/>
      <c r="EE413" s="174"/>
      <c r="EF413" s="174">
        <v>0.0</v>
      </c>
      <c r="EG413" s="156">
        <v>0.0</v>
      </c>
      <c r="EH413" s="156">
        <v>0.0</v>
      </c>
      <c r="EI413" s="156">
        <v>0.0</v>
      </c>
      <c r="EJ413" s="156">
        <v>0.0</v>
      </c>
      <c r="EK413" s="156">
        <v>0.0</v>
      </c>
      <c r="EL413" s="156">
        <v>0.0</v>
      </c>
      <c r="EM413" s="174"/>
      <c r="EN413" s="174"/>
      <c r="EO413" s="174"/>
      <c r="EP413" s="174"/>
      <c r="EQ413" s="174"/>
      <c r="ER413" s="174"/>
      <c r="ES413" s="174"/>
      <c r="ET413" s="174"/>
      <c r="EU413" s="174"/>
      <c r="EV413" s="174"/>
      <c r="EW413" s="174"/>
      <c r="EX413" s="174"/>
      <c r="EY413" s="174"/>
      <c r="EZ413" s="174"/>
      <c r="FA413" s="174"/>
      <c r="FB413" s="174"/>
      <c r="FC413" s="174"/>
      <c r="FD413" s="174"/>
      <c r="FE413" s="174"/>
      <c r="FF413" s="174"/>
      <c r="FG413" s="174"/>
      <c r="FH413" s="174"/>
      <c r="FI413" s="174"/>
      <c r="FJ413" s="174"/>
      <c r="FK413" s="174"/>
      <c r="FL413" s="174"/>
      <c r="FM413" s="174"/>
      <c r="FN413" s="174"/>
      <c r="FO413" s="174"/>
      <c r="FP413" s="174"/>
      <c r="FQ413" s="156">
        <v>0.0</v>
      </c>
      <c r="FR413" s="156">
        <v>0.0</v>
      </c>
      <c r="FS413" s="156">
        <v>0.0</v>
      </c>
      <c r="FT413" s="156">
        <v>0.0</v>
      </c>
      <c r="FU413" s="156">
        <v>0.0</v>
      </c>
      <c r="FV413" s="156">
        <v>0.0</v>
      </c>
      <c r="FW413" s="157"/>
      <c r="FX413" s="157"/>
      <c r="FY413" s="157"/>
      <c r="FZ413" s="157"/>
      <c r="GA413" s="157"/>
      <c r="GB413" s="157"/>
      <c r="GC413" s="157"/>
      <c r="GD413" s="157"/>
      <c r="GE413" s="157"/>
      <c r="GF413" s="157"/>
      <c r="GG413" s="157"/>
      <c r="GH413" s="157"/>
      <c r="GI413" s="157"/>
      <c r="GJ413" s="157"/>
      <c r="GK413" s="157"/>
      <c r="GL413" s="157"/>
      <c r="GM413" s="157"/>
      <c r="GN413" s="157"/>
      <c r="GO413" s="157"/>
      <c r="GP413" s="158"/>
      <c r="GQ413" s="157"/>
      <c r="GR413" s="157"/>
      <c r="GS413" s="157"/>
      <c r="GT413" s="157"/>
      <c r="GU413" s="157"/>
      <c r="GV413" s="157"/>
      <c r="GW413" s="157"/>
      <c r="GX413" s="157"/>
      <c r="GY413" s="157"/>
      <c r="GZ413" s="157"/>
      <c r="HA413" s="157"/>
      <c r="HB413" s="155">
        <v>0.0</v>
      </c>
      <c r="HC413" s="155">
        <v>0.0</v>
      </c>
      <c r="HD413" s="155">
        <v>0.0</v>
      </c>
      <c r="HE413" s="155">
        <v>0.0</v>
      </c>
      <c r="HF413" s="155">
        <v>0.0</v>
      </c>
      <c r="HG413" s="155">
        <v>0.0</v>
      </c>
      <c r="IL413" s="159">
        <v>0.0</v>
      </c>
      <c r="IM413" s="156">
        <v>0.0</v>
      </c>
      <c r="IN413" s="156">
        <v>0.0</v>
      </c>
      <c r="IO413" s="156">
        <v>0.0</v>
      </c>
      <c r="IP413" s="156">
        <v>0.0</v>
      </c>
      <c r="IQ413" s="160">
        <v>0.0</v>
      </c>
      <c r="JH413" s="25"/>
      <c r="JW413" s="159">
        <v>0.0</v>
      </c>
      <c r="JX413" s="156">
        <v>0.0</v>
      </c>
      <c r="JY413" s="156">
        <v>0.0</v>
      </c>
      <c r="JZ413" s="156">
        <v>0.0</v>
      </c>
      <c r="KA413" s="156">
        <v>0.0</v>
      </c>
      <c r="KB413" s="160">
        <v>0.0</v>
      </c>
      <c r="LH413" s="159">
        <f t="shared" si="10"/>
        <v>0</v>
      </c>
      <c r="LI413" s="156">
        <f t="shared" si="11"/>
        <v>0</v>
      </c>
      <c r="LJ413" s="156">
        <f t="shared" si="12"/>
        <v>0</v>
      </c>
      <c r="LK413" s="156">
        <f t="shared" si="13"/>
        <v>0</v>
      </c>
      <c r="LL413" s="156">
        <f t="shared" si="14"/>
        <v>0</v>
      </c>
      <c r="LM413" s="160">
        <f t="shared" si="15"/>
        <v>0</v>
      </c>
      <c r="QX413" s="107">
        <v>45985.0</v>
      </c>
    </row>
    <row r="414">
      <c r="A414" s="12"/>
      <c r="B414" s="12"/>
      <c r="C414" s="12"/>
      <c r="D414" s="12"/>
      <c r="E414" s="12"/>
      <c r="F414" s="12"/>
      <c r="G414" s="12"/>
      <c r="H414" s="12"/>
      <c r="I414" s="143">
        <f t="shared" si="5"/>
        <v>-9</v>
      </c>
      <c r="J414" s="144">
        <v>46000.0</v>
      </c>
      <c r="K414" s="145" t="s">
        <v>53</v>
      </c>
      <c r="L414" s="171">
        <v>46032.0</v>
      </c>
      <c r="M414" s="147" t="s">
        <v>400</v>
      </c>
      <c r="N414" s="148">
        <v>357.0</v>
      </c>
      <c r="O414" s="148">
        <v>30.0</v>
      </c>
      <c r="P414" s="26"/>
      <c r="Q414" s="26"/>
      <c r="R414" s="26"/>
      <c r="S414" s="26"/>
      <c r="T414" s="26"/>
      <c r="U414" s="147" t="s">
        <v>3205</v>
      </c>
      <c r="V414" s="149" t="s">
        <v>3206</v>
      </c>
      <c r="W414" s="198" t="s">
        <v>3207</v>
      </c>
      <c r="X414" s="181">
        <v>6.0</v>
      </c>
      <c r="Y414" s="166">
        <f t="shared" si="6"/>
        <v>9</v>
      </c>
      <c r="Z414" s="26">
        <f t="shared" si="7"/>
        <v>0</v>
      </c>
      <c r="AA414" s="26">
        <f t="shared" si="8"/>
        <v>2</v>
      </c>
      <c r="AB414" s="26">
        <f t="shared" si="9"/>
        <v>0</v>
      </c>
      <c r="AC414" s="155">
        <v>3.0</v>
      </c>
      <c r="AD414" s="155">
        <v>0.0</v>
      </c>
      <c r="AE414" s="155">
        <v>0.0</v>
      </c>
      <c r="AF414" s="155">
        <v>2.0</v>
      </c>
      <c r="AG414" s="155">
        <v>0.0</v>
      </c>
      <c r="AH414" s="155">
        <v>0.0</v>
      </c>
      <c r="AI414" s="167"/>
      <c r="AJ414" s="167"/>
      <c r="AK414" s="168">
        <v>1.0</v>
      </c>
      <c r="AL414" s="167"/>
      <c r="AM414" s="167"/>
      <c r="AN414" s="167"/>
      <c r="AO414" s="167"/>
      <c r="AP414" s="168" t="s">
        <v>947</v>
      </c>
      <c r="AQ414" s="167"/>
      <c r="AR414" s="168" t="s">
        <v>947</v>
      </c>
      <c r="AS414" s="167"/>
      <c r="AT414" s="167"/>
      <c r="AU414" s="167"/>
      <c r="AV414" s="167"/>
      <c r="AW414" s="167"/>
      <c r="AX414" s="167"/>
      <c r="AY414" s="167"/>
      <c r="AZ414" s="167"/>
      <c r="BA414" s="167"/>
      <c r="BB414" s="167"/>
      <c r="BC414" s="167"/>
      <c r="BD414" s="167"/>
      <c r="BE414" s="167"/>
      <c r="BF414" s="167"/>
      <c r="BG414" s="167"/>
      <c r="BH414" s="167"/>
      <c r="BI414" s="167"/>
      <c r="BJ414" s="167"/>
      <c r="BK414" s="167"/>
      <c r="BL414" s="167"/>
      <c r="BM414" s="167"/>
      <c r="BN414" s="155">
        <v>0.0</v>
      </c>
      <c r="BO414" s="155">
        <v>0.0</v>
      </c>
      <c r="BP414" s="155">
        <v>0.0</v>
      </c>
      <c r="BQ414" s="155">
        <v>0.0</v>
      </c>
      <c r="BR414" s="155">
        <v>0.0</v>
      </c>
      <c r="BS414" s="155">
        <v>0.0</v>
      </c>
      <c r="CV414" s="156">
        <v>0.0</v>
      </c>
      <c r="CW414" s="156">
        <v>0.0</v>
      </c>
      <c r="CX414" s="156">
        <v>0.0</v>
      </c>
      <c r="CY414" s="156">
        <v>0.0</v>
      </c>
      <c r="CZ414" s="156">
        <v>0.0</v>
      </c>
      <c r="DA414" s="156">
        <v>0.0</v>
      </c>
      <c r="EG414" s="156">
        <v>0.0</v>
      </c>
      <c r="EH414" s="156">
        <v>0.0</v>
      </c>
      <c r="EI414" s="156">
        <v>0.0</v>
      </c>
      <c r="EJ414" s="156">
        <v>0.0</v>
      </c>
      <c r="EK414" s="156">
        <v>0.0</v>
      </c>
      <c r="EL414" s="156">
        <v>0.0</v>
      </c>
      <c r="FQ414" s="156">
        <v>0.0</v>
      </c>
      <c r="FR414" s="156">
        <v>0.0</v>
      </c>
      <c r="FS414" s="156">
        <v>0.0</v>
      </c>
      <c r="FT414" s="156">
        <v>0.0</v>
      </c>
      <c r="FU414" s="156">
        <v>0.0</v>
      </c>
      <c r="FV414" s="156">
        <v>0.0</v>
      </c>
      <c r="FW414" s="157"/>
      <c r="FX414" s="157"/>
      <c r="FY414" s="157"/>
      <c r="FZ414" s="157"/>
      <c r="GA414" s="157"/>
      <c r="GB414" s="157"/>
      <c r="GC414" s="157"/>
      <c r="GD414" s="157"/>
      <c r="GE414" s="157"/>
      <c r="GF414" s="157"/>
      <c r="GG414" s="157"/>
      <c r="GH414" s="157"/>
      <c r="GI414" s="157"/>
      <c r="GJ414" s="157"/>
      <c r="GK414" s="157"/>
      <c r="GL414" s="157"/>
      <c r="GM414" s="157"/>
      <c r="GN414" s="157"/>
      <c r="GO414" s="157"/>
      <c r="GP414" s="158"/>
      <c r="GQ414" s="157"/>
      <c r="GR414" s="157"/>
      <c r="GS414" s="157"/>
      <c r="GT414" s="157"/>
      <c r="GU414" s="157"/>
      <c r="GV414" s="157"/>
      <c r="GW414" s="157"/>
      <c r="GX414" s="157"/>
      <c r="GY414" s="157"/>
      <c r="GZ414" s="157"/>
      <c r="HA414" s="157"/>
      <c r="HB414" s="155">
        <v>0.0</v>
      </c>
      <c r="HC414" s="155">
        <v>0.0</v>
      </c>
      <c r="HD414" s="155">
        <v>0.0</v>
      </c>
      <c r="HE414" s="155">
        <v>0.0</v>
      </c>
      <c r="HF414" s="155">
        <v>0.0</v>
      </c>
      <c r="HG414" s="155">
        <v>0.0</v>
      </c>
      <c r="IL414" s="159">
        <v>0.0</v>
      </c>
      <c r="IM414" s="156">
        <v>0.0</v>
      </c>
      <c r="IN414" s="156">
        <v>0.0</v>
      </c>
      <c r="IO414" s="156">
        <v>0.0</v>
      </c>
      <c r="IP414" s="156">
        <v>0.0</v>
      </c>
      <c r="IQ414" s="160">
        <v>0.0</v>
      </c>
      <c r="JH414" s="25"/>
      <c r="JW414" s="159">
        <v>0.0</v>
      </c>
      <c r="JX414" s="156">
        <v>0.0</v>
      </c>
      <c r="JY414" s="156">
        <v>0.0</v>
      </c>
      <c r="JZ414" s="156">
        <v>0.0</v>
      </c>
      <c r="KA414" s="156">
        <v>0.0</v>
      </c>
      <c r="KB414" s="160">
        <v>0.0</v>
      </c>
      <c r="LH414" s="159">
        <f t="shared" si="10"/>
        <v>0</v>
      </c>
      <c r="LI414" s="156">
        <f t="shared" si="11"/>
        <v>0</v>
      </c>
      <c r="LJ414" s="156">
        <f t="shared" si="12"/>
        <v>0</v>
      </c>
      <c r="LK414" s="156">
        <f t="shared" si="13"/>
        <v>0</v>
      </c>
      <c r="LL414" s="156">
        <f t="shared" si="14"/>
        <v>0</v>
      </c>
      <c r="LM414" s="160">
        <f t="shared" si="15"/>
        <v>0</v>
      </c>
      <c r="QX414" s="107">
        <v>45986.0</v>
      </c>
    </row>
    <row r="415">
      <c r="A415" s="12"/>
      <c r="B415" s="12"/>
      <c r="C415" s="12"/>
      <c r="D415" s="12"/>
      <c r="E415" s="58"/>
      <c r="F415" s="12"/>
      <c r="G415" s="12"/>
      <c r="H415" s="12"/>
      <c r="I415" s="143">
        <f t="shared" si="5"/>
        <v>-20</v>
      </c>
      <c r="J415" s="144">
        <v>46001.0</v>
      </c>
      <c r="K415" s="145" t="s">
        <v>53</v>
      </c>
      <c r="L415" s="171">
        <v>46091.0</v>
      </c>
      <c r="M415" s="164" t="s">
        <v>228</v>
      </c>
      <c r="N415" s="170">
        <v>357.0</v>
      </c>
      <c r="O415" s="148">
        <v>30.0</v>
      </c>
      <c r="P415" s="26"/>
      <c r="Q415" s="26"/>
      <c r="R415" s="26"/>
      <c r="S415" s="26"/>
      <c r="T415" s="26"/>
      <c r="U415" s="147" t="s">
        <v>3208</v>
      </c>
      <c r="V415" s="149" t="s">
        <v>3201</v>
      </c>
      <c r="W415" s="198" t="s">
        <v>3209</v>
      </c>
      <c r="X415" s="181">
        <v>7.0</v>
      </c>
      <c r="Y415" s="166">
        <f t="shared" si="6"/>
        <v>20</v>
      </c>
      <c r="Z415" s="26">
        <f t="shared" si="7"/>
        <v>0</v>
      </c>
      <c r="AA415" s="26">
        <f t="shared" si="8"/>
        <v>1</v>
      </c>
      <c r="AB415" s="26">
        <f t="shared" si="9"/>
        <v>0</v>
      </c>
      <c r="AC415" s="155">
        <v>10.0</v>
      </c>
      <c r="AD415" s="155">
        <v>0.0</v>
      </c>
      <c r="AE415" s="155">
        <v>0.0</v>
      </c>
      <c r="AF415" s="155">
        <v>0.0</v>
      </c>
      <c r="AG415" s="155">
        <v>0.0</v>
      </c>
      <c r="AH415" s="155">
        <v>0.0</v>
      </c>
      <c r="AI415" s="167">
        <v>0.0</v>
      </c>
      <c r="AJ415" s="167">
        <v>1.0</v>
      </c>
      <c r="AK415" s="167">
        <v>0.0</v>
      </c>
      <c r="AL415" s="167">
        <v>0.0</v>
      </c>
      <c r="AM415" s="167"/>
      <c r="AN415" s="167"/>
      <c r="AO415" s="167"/>
      <c r="AP415" s="168">
        <v>1.0</v>
      </c>
      <c r="AQ415" s="167"/>
      <c r="AR415" s="168">
        <v>1.0</v>
      </c>
      <c r="AS415" s="167">
        <v>0.0</v>
      </c>
      <c r="AT415" s="167"/>
      <c r="AU415" s="168">
        <v>1.0</v>
      </c>
      <c r="AV415" s="167"/>
      <c r="AW415" s="168">
        <v>1.0</v>
      </c>
      <c r="AX415" s="167"/>
      <c r="AY415" s="167">
        <v>0.0</v>
      </c>
      <c r="AZ415" s="167">
        <v>0.0</v>
      </c>
      <c r="BA415" s="167"/>
      <c r="BB415" s="168">
        <v>1.0</v>
      </c>
      <c r="BC415" s="167"/>
      <c r="BD415" s="168">
        <v>1.0</v>
      </c>
      <c r="BE415" s="167"/>
      <c r="BF415" s="168">
        <v>1.0</v>
      </c>
      <c r="BG415" s="167"/>
      <c r="BH415" s="167"/>
      <c r="BI415" s="168">
        <v>1.0</v>
      </c>
      <c r="BJ415" s="167"/>
      <c r="BK415" s="167"/>
      <c r="BL415" s="167"/>
      <c r="BM415" s="168">
        <v>1.0</v>
      </c>
      <c r="BN415" s="155">
        <v>3.0</v>
      </c>
      <c r="BO415" s="155">
        <v>0.0</v>
      </c>
      <c r="BP415" s="155">
        <v>0.0</v>
      </c>
      <c r="BQ415" s="155">
        <v>1.0</v>
      </c>
      <c r="BR415" s="155">
        <v>0.0</v>
      </c>
      <c r="BS415" s="155">
        <v>0.0</v>
      </c>
      <c r="BT415" s="167">
        <v>0.0</v>
      </c>
      <c r="BU415" s="167">
        <v>0.0</v>
      </c>
      <c r="BV415" s="167">
        <v>1.0</v>
      </c>
      <c r="BW415" s="167"/>
      <c r="BX415" s="167"/>
      <c r="BY415" s="167"/>
      <c r="BZ415" s="167"/>
      <c r="CA415" s="167"/>
      <c r="CB415" s="167"/>
      <c r="CC415" s="167">
        <v>1.0</v>
      </c>
      <c r="CD415" s="167">
        <v>0.0</v>
      </c>
      <c r="CE415" s="168" t="s">
        <v>947</v>
      </c>
      <c r="CF415" s="167"/>
      <c r="CG415" s="167"/>
      <c r="CH415" s="167"/>
      <c r="CI415" s="167"/>
      <c r="CJ415" s="167"/>
      <c r="CK415" s="167"/>
      <c r="CL415" s="167"/>
      <c r="CM415" s="167"/>
      <c r="CN415" s="167"/>
      <c r="CO415" s="167"/>
      <c r="CP415" s="167"/>
      <c r="CQ415" s="167"/>
      <c r="CR415" s="167"/>
      <c r="CS415" s="167"/>
      <c r="CT415" s="167"/>
      <c r="CU415" s="167"/>
      <c r="CV415" s="156">
        <v>0.0</v>
      </c>
      <c r="CW415" s="156">
        <v>0.0</v>
      </c>
      <c r="CX415" s="156">
        <v>0.0</v>
      </c>
      <c r="CY415" s="156">
        <v>0.0</v>
      </c>
      <c r="CZ415" s="156">
        <v>0.0</v>
      </c>
      <c r="DA415" s="156">
        <v>0.0</v>
      </c>
      <c r="EG415" s="156">
        <v>0.0</v>
      </c>
      <c r="EH415" s="156">
        <v>0.0</v>
      </c>
      <c r="EI415" s="156">
        <v>0.0</v>
      </c>
      <c r="EJ415" s="156">
        <v>0.0</v>
      </c>
      <c r="EK415" s="156">
        <v>0.0</v>
      </c>
      <c r="EL415" s="156">
        <v>0.0</v>
      </c>
      <c r="FQ415" s="156">
        <v>0.0</v>
      </c>
      <c r="FR415" s="156">
        <v>0.0</v>
      </c>
      <c r="FS415" s="156">
        <v>0.0</v>
      </c>
      <c r="FT415" s="156">
        <v>0.0</v>
      </c>
      <c r="FU415" s="156">
        <v>0.0</v>
      </c>
      <c r="FV415" s="156">
        <v>0.0</v>
      </c>
      <c r="FW415" s="157"/>
      <c r="FX415" s="157"/>
      <c r="FY415" s="157"/>
      <c r="FZ415" s="157"/>
      <c r="GA415" s="157"/>
      <c r="GB415" s="157"/>
      <c r="GC415" s="157"/>
      <c r="GD415" s="157"/>
      <c r="GE415" s="157"/>
      <c r="GF415" s="157"/>
      <c r="GG415" s="157"/>
      <c r="GH415" s="157"/>
      <c r="GI415" s="157"/>
      <c r="GJ415" s="157"/>
      <c r="GK415" s="157"/>
      <c r="GL415" s="157"/>
      <c r="GM415" s="157"/>
      <c r="GN415" s="157"/>
      <c r="GO415" s="157"/>
      <c r="GP415" s="158"/>
      <c r="GQ415" s="157"/>
      <c r="GR415" s="157"/>
      <c r="GS415" s="157"/>
      <c r="GT415" s="157"/>
      <c r="GU415" s="157"/>
      <c r="GV415" s="157"/>
      <c r="GW415" s="157"/>
      <c r="GX415" s="157"/>
      <c r="GY415" s="157"/>
      <c r="GZ415" s="157"/>
      <c r="HA415" s="157"/>
      <c r="HB415" s="155">
        <v>0.0</v>
      </c>
      <c r="HC415" s="155">
        <v>0.0</v>
      </c>
      <c r="HD415" s="155">
        <v>0.0</v>
      </c>
      <c r="HE415" s="155">
        <v>0.0</v>
      </c>
      <c r="HF415" s="155">
        <v>0.0</v>
      </c>
      <c r="HG415" s="155">
        <v>0.0</v>
      </c>
      <c r="IL415" s="159">
        <v>0.0</v>
      </c>
      <c r="IM415" s="156">
        <v>0.0</v>
      </c>
      <c r="IN415" s="156">
        <v>0.0</v>
      </c>
      <c r="IO415" s="156">
        <v>0.0</v>
      </c>
      <c r="IP415" s="156">
        <v>0.0</v>
      </c>
      <c r="IQ415" s="160">
        <v>0.0</v>
      </c>
      <c r="JH415" s="25"/>
      <c r="JW415" s="159">
        <v>0.0</v>
      </c>
      <c r="JX415" s="156">
        <v>0.0</v>
      </c>
      <c r="JY415" s="156">
        <v>0.0</v>
      </c>
      <c r="JZ415" s="156">
        <v>0.0</v>
      </c>
      <c r="KA415" s="156">
        <v>0.0</v>
      </c>
      <c r="KB415" s="160">
        <v>0.0</v>
      </c>
      <c r="LH415" s="159">
        <f t="shared" si="10"/>
        <v>0</v>
      </c>
      <c r="LI415" s="156">
        <f t="shared" si="11"/>
        <v>0</v>
      </c>
      <c r="LJ415" s="156">
        <f t="shared" si="12"/>
        <v>0</v>
      </c>
      <c r="LK415" s="156">
        <f t="shared" si="13"/>
        <v>0</v>
      </c>
      <c r="LL415" s="156">
        <f t="shared" si="14"/>
        <v>0</v>
      </c>
      <c r="LM415" s="160">
        <f t="shared" si="15"/>
        <v>0</v>
      </c>
      <c r="QX415" s="107">
        <v>45986.0</v>
      </c>
    </row>
    <row r="416">
      <c r="A416" s="12"/>
      <c r="B416" s="12"/>
      <c r="C416" s="12"/>
      <c r="D416" s="12"/>
      <c r="E416" s="12"/>
      <c r="F416" s="12"/>
      <c r="G416" s="12"/>
      <c r="H416" s="12"/>
      <c r="I416" s="143">
        <f t="shared" si="5"/>
        <v>-30</v>
      </c>
      <c r="J416" s="144">
        <v>45985.0</v>
      </c>
      <c r="K416" s="145" t="s">
        <v>61</v>
      </c>
      <c r="L416" s="501">
        <v>46084.0</v>
      </c>
      <c r="M416" s="502" t="s">
        <v>3144</v>
      </c>
      <c r="N416" s="503">
        <v>246.0</v>
      </c>
      <c r="O416" s="503">
        <v>30.0</v>
      </c>
      <c r="P416" s="504"/>
      <c r="Q416" s="504"/>
      <c r="R416" s="504"/>
      <c r="S416" s="504"/>
      <c r="T416" s="504"/>
      <c r="U416" s="502" t="s">
        <v>3145</v>
      </c>
      <c r="V416" s="516" t="s">
        <v>469</v>
      </c>
      <c r="W416" s="517" t="s">
        <v>3146</v>
      </c>
      <c r="X416" s="181">
        <v>14.0</v>
      </c>
      <c r="Y416" s="166">
        <f t="shared" si="6"/>
        <v>30</v>
      </c>
      <c r="Z416" s="26">
        <f t="shared" si="7"/>
        <v>0</v>
      </c>
      <c r="AA416" s="26">
        <f t="shared" si="8"/>
        <v>0</v>
      </c>
      <c r="AB416" s="26">
        <f t="shared" si="9"/>
        <v>0</v>
      </c>
      <c r="AC416" s="155">
        <v>10.0</v>
      </c>
      <c r="AD416" s="155">
        <v>0.0</v>
      </c>
      <c r="AE416" s="155">
        <v>0.0</v>
      </c>
      <c r="AF416" s="155">
        <v>0.0</v>
      </c>
      <c r="AG416" s="155">
        <v>0.0</v>
      </c>
      <c r="AH416" s="155">
        <v>0.0</v>
      </c>
      <c r="AI416" s="167"/>
      <c r="AJ416" s="167"/>
      <c r="AK416" s="167"/>
      <c r="AL416" s="167"/>
      <c r="AM416" s="167"/>
      <c r="AN416" s="167"/>
      <c r="AO416" s="167">
        <v>1.0</v>
      </c>
      <c r="AP416" s="168">
        <v>1.0</v>
      </c>
      <c r="AQ416" s="167">
        <v>1.0</v>
      </c>
      <c r="AR416" s="167"/>
      <c r="AS416" s="167"/>
      <c r="AT416" s="167"/>
      <c r="AU416" s="167"/>
      <c r="AV416" s="167">
        <v>1.0</v>
      </c>
      <c r="AW416" s="167">
        <v>0.0</v>
      </c>
      <c r="AX416" s="167"/>
      <c r="AY416" s="167">
        <v>0.0</v>
      </c>
      <c r="AZ416" s="167">
        <v>0.0</v>
      </c>
      <c r="BA416" s="167">
        <v>1.0</v>
      </c>
      <c r="BB416" s="167">
        <v>0.0</v>
      </c>
      <c r="BC416" s="167">
        <v>1.0</v>
      </c>
      <c r="BD416" s="167">
        <v>0.0</v>
      </c>
      <c r="BE416" s="167">
        <v>1.0</v>
      </c>
      <c r="BF416" s="167">
        <v>0.0</v>
      </c>
      <c r="BG416" s="167">
        <v>0.0</v>
      </c>
      <c r="BH416" s="167">
        <v>1.0</v>
      </c>
      <c r="BI416" s="167">
        <v>0.0</v>
      </c>
      <c r="BJ416" s="167">
        <v>1.0</v>
      </c>
      <c r="BK416" s="167">
        <v>0.0</v>
      </c>
      <c r="BL416" s="167">
        <v>1.0</v>
      </c>
      <c r="BM416" s="167">
        <v>0.0</v>
      </c>
      <c r="BN416" s="155">
        <v>6.0</v>
      </c>
      <c r="BO416" s="155">
        <v>0.0</v>
      </c>
      <c r="BP416" s="155">
        <v>0.0</v>
      </c>
      <c r="BQ416" s="155">
        <v>0.0</v>
      </c>
      <c r="BR416" s="155">
        <v>0.0</v>
      </c>
      <c r="BS416" s="155">
        <v>0.0</v>
      </c>
      <c r="BT416" s="167">
        <v>0.0</v>
      </c>
      <c r="BU416" s="167">
        <v>1.0</v>
      </c>
      <c r="BV416" s="167">
        <v>0.0</v>
      </c>
      <c r="BW416" s="167">
        <v>1.0</v>
      </c>
      <c r="BX416" s="167"/>
      <c r="BY416" s="167"/>
      <c r="BZ416" s="167"/>
      <c r="CA416" s="167"/>
      <c r="CB416" s="167"/>
      <c r="CC416" s="167"/>
      <c r="CD416" s="167">
        <v>1.0</v>
      </c>
      <c r="CE416" s="167"/>
      <c r="CF416" s="167"/>
      <c r="CG416" s="167"/>
      <c r="CH416" s="167"/>
      <c r="CI416" s="167"/>
      <c r="CJ416" s="167"/>
      <c r="CK416" s="167"/>
      <c r="CL416" s="167"/>
      <c r="CM416" s="167"/>
      <c r="CN416" s="167"/>
      <c r="CO416" s="167"/>
      <c r="CP416" s="167">
        <v>1.0</v>
      </c>
      <c r="CQ416" s="167">
        <v>0.0</v>
      </c>
      <c r="CR416" s="167">
        <v>1.0</v>
      </c>
      <c r="CS416" s="167">
        <v>0.0</v>
      </c>
      <c r="CT416" s="167">
        <v>1.0</v>
      </c>
      <c r="CU416" s="167">
        <v>0.0</v>
      </c>
      <c r="CV416" s="156">
        <v>0.0</v>
      </c>
      <c r="CW416" s="156">
        <v>0.0</v>
      </c>
      <c r="CX416" s="156">
        <v>0.0</v>
      </c>
      <c r="CY416" s="156">
        <v>0.0</v>
      </c>
      <c r="CZ416" s="156">
        <v>0.0</v>
      </c>
      <c r="DA416" s="156">
        <v>0.0</v>
      </c>
      <c r="EG416" s="156">
        <v>0.0</v>
      </c>
      <c r="EH416" s="156">
        <v>0.0</v>
      </c>
      <c r="EI416" s="156">
        <v>0.0</v>
      </c>
      <c r="EJ416" s="156">
        <v>0.0</v>
      </c>
      <c r="EK416" s="156">
        <v>0.0</v>
      </c>
      <c r="EL416" s="156">
        <v>0.0</v>
      </c>
      <c r="FQ416" s="156">
        <v>0.0</v>
      </c>
      <c r="FR416" s="156">
        <v>0.0</v>
      </c>
      <c r="FS416" s="156">
        <v>0.0</v>
      </c>
      <c r="FT416" s="156">
        <v>0.0</v>
      </c>
      <c r="FU416" s="156">
        <v>0.0</v>
      </c>
      <c r="FV416" s="156">
        <v>0.0</v>
      </c>
      <c r="FW416" s="157"/>
      <c r="FX416" s="157"/>
      <c r="FY416" s="157"/>
      <c r="FZ416" s="157"/>
      <c r="GA416" s="157"/>
      <c r="GB416" s="157"/>
      <c r="GC416" s="157"/>
      <c r="GD416" s="157"/>
      <c r="GE416" s="157"/>
      <c r="GF416" s="157"/>
      <c r="GG416" s="157"/>
      <c r="GH416" s="157"/>
      <c r="GI416" s="157"/>
      <c r="GJ416" s="157"/>
      <c r="GK416" s="157"/>
      <c r="GL416" s="157"/>
      <c r="GM416" s="157"/>
      <c r="GN416" s="157"/>
      <c r="GO416" s="157"/>
      <c r="GP416" s="158"/>
      <c r="GQ416" s="157"/>
      <c r="GR416" s="157"/>
      <c r="GS416" s="157"/>
      <c r="GT416" s="157"/>
      <c r="GU416" s="157"/>
      <c r="GV416" s="157"/>
      <c r="GW416" s="157"/>
      <c r="GX416" s="157"/>
      <c r="GY416" s="157"/>
      <c r="GZ416" s="157"/>
      <c r="HA416" s="157"/>
      <c r="HB416" s="155">
        <v>0.0</v>
      </c>
      <c r="HC416" s="155">
        <v>0.0</v>
      </c>
      <c r="HD416" s="155">
        <v>0.0</v>
      </c>
      <c r="HE416" s="155">
        <v>0.0</v>
      </c>
      <c r="HF416" s="155">
        <v>0.0</v>
      </c>
      <c r="HG416" s="155">
        <v>0.0</v>
      </c>
      <c r="IL416" s="159">
        <v>0.0</v>
      </c>
      <c r="IM416" s="156">
        <v>0.0</v>
      </c>
      <c r="IN416" s="156">
        <v>0.0</v>
      </c>
      <c r="IO416" s="156">
        <v>0.0</v>
      </c>
      <c r="IP416" s="156">
        <v>0.0</v>
      </c>
      <c r="IQ416" s="160">
        <v>0.0</v>
      </c>
      <c r="JH416" s="25"/>
      <c r="JW416" s="159">
        <v>0.0</v>
      </c>
      <c r="JX416" s="156">
        <v>0.0</v>
      </c>
      <c r="JY416" s="156">
        <v>0.0</v>
      </c>
      <c r="JZ416" s="156">
        <v>0.0</v>
      </c>
      <c r="KA416" s="156">
        <v>0.0</v>
      </c>
      <c r="KB416" s="160">
        <v>0.0</v>
      </c>
      <c r="LH416" s="159">
        <f t="shared" si="10"/>
        <v>0</v>
      </c>
      <c r="LI416" s="156">
        <f t="shared" si="11"/>
        <v>0</v>
      </c>
      <c r="LJ416" s="156">
        <f t="shared" si="12"/>
        <v>0</v>
      </c>
      <c r="LK416" s="156">
        <f t="shared" si="13"/>
        <v>0</v>
      </c>
      <c r="LL416" s="156">
        <f t="shared" si="14"/>
        <v>0</v>
      </c>
      <c r="LM416" s="160">
        <f t="shared" si="15"/>
        <v>0</v>
      </c>
      <c r="QX416" s="107">
        <v>45986.0</v>
      </c>
    </row>
    <row r="417">
      <c r="A417" s="12"/>
      <c r="B417" s="12"/>
      <c r="C417" s="12"/>
      <c r="D417" s="12"/>
      <c r="E417" s="12"/>
      <c r="F417" s="12"/>
      <c r="G417" s="12"/>
      <c r="H417" s="12"/>
      <c r="I417" s="143">
        <f t="shared" si="5"/>
        <v>-14</v>
      </c>
      <c r="J417" s="144">
        <v>45986.0</v>
      </c>
      <c r="K417" s="145" t="s">
        <v>61</v>
      </c>
      <c r="L417" s="171">
        <v>46044.0</v>
      </c>
      <c r="M417" s="147" t="s">
        <v>227</v>
      </c>
      <c r="N417" s="148">
        <v>357.0</v>
      </c>
      <c r="O417" s="148">
        <v>30.0</v>
      </c>
      <c r="P417" s="26"/>
      <c r="Q417" s="26"/>
      <c r="R417" s="26"/>
      <c r="S417" s="26"/>
      <c r="T417" s="26"/>
      <c r="U417" s="147" t="s">
        <v>3210</v>
      </c>
      <c r="V417" s="149" t="s">
        <v>3186</v>
      </c>
      <c r="W417" s="198" t="s">
        <v>3211</v>
      </c>
      <c r="X417" s="181">
        <v>9.0</v>
      </c>
      <c r="Y417" s="166">
        <f t="shared" si="6"/>
        <v>14</v>
      </c>
      <c r="Z417" s="26">
        <f t="shared" si="7"/>
        <v>0</v>
      </c>
      <c r="AA417" s="26">
        <f t="shared" si="8"/>
        <v>0</v>
      </c>
      <c r="AB417" s="26">
        <f t="shared" si="9"/>
        <v>0</v>
      </c>
      <c r="AC417" s="155">
        <v>5.0</v>
      </c>
      <c r="AD417" s="155">
        <v>0.0</v>
      </c>
      <c r="AE417" s="155">
        <v>0.0</v>
      </c>
      <c r="AF417" s="155">
        <v>0.0</v>
      </c>
      <c r="AG417" s="155">
        <v>0.0</v>
      </c>
      <c r="AH417" s="155">
        <v>0.0</v>
      </c>
      <c r="AI417" s="167"/>
      <c r="AJ417" s="167"/>
      <c r="AK417" s="167"/>
      <c r="AL417" s="167"/>
      <c r="AM417" s="167"/>
      <c r="AN417" s="167"/>
      <c r="AO417" s="167"/>
      <c r="AP417" s="167">
        <v>1.0</v>
      </c>
      <c r="AQ417" s="167">
        <v>0.0</v>
      </c>
      <c r="AR417" s="167">
        <v>1.0</v>
      </c>
      <c r="AS417" s="167">
        <v>0.0</v>
      </c>
      <c r="AT417" s="167">
        <v>0.0</v>
      </c>
      <c r="AU417" s="167">
        <v>1.0</v>
      </c>
      <c r="AV417" s="167">
        <v>0.0</v>
      </c>
      <c r="AW417" s="167">
        <v>1.0</v>
      </c>
      <c r="AX417" s="167"/>
      <c r="AY417" s="167"/>
      <c r="AZ417" s="167"/>
      <c r="BA417" s="167"/>
      <c r="BB417" s="167">
        <v>1.0</v>
      </c>
      <c r="BC417" s="167"/>
      <c r="BD417" s="167"/>
      <c r="BE417" s="167"/>
      <c r="BF417" s="167"/>
      <c r="BG417" s="167"/>
      <c r="BH417" s="167"/>
      <c r="BI417" s="167"/>
      <c r="BJ417" s="167"/>
      <c r="BK417" s="167"/>
      <c r="BL417" s="167"/>
      <c r="BM417" s="167"/>
      <c r="BN417" s="155">
        <v>0.0</v>
      </c>
      <c r="BO417" s="155">
        <v>0.0</v>
      </c>
      <c r="BP417" s="155">
        <v>0.0</v>
      </c>
      <c r="BQ417" s="155">
        <v>0.0</v>
      </c>
      <c r="BR417" s="155">
        <v>0.0</v>
      </c>
      <c r="BS417" s="155">
        <v>0.0</v>
      </c>
      <c r="CV417" s="156">
        <v>0.0</v>
      </c>
      <c r="CW417" s="156">
        <v>0.0</v>
      </c>
      <c r="CX417" s="156">
        <v>0.0</v>
      </c>
      <c r="CY417" s="156">
        <v>0.0</v>
      </c>
      <c r="CZ417" s="156">
        <v>0.0</v>
      </c>
      <c r="DA417" s="156">
        <v>0.0</v>
      </c>
      <c r="EG417" s="156">
        <v>0.0</v>
      </c>
      <c r="EH417" s="156">
        <v>0.0</v>
      </c>
      <c r="EI417" s="156">
        <v>0.0</v>
      </c>
      <c r="EJ417" s="156">
        <v>0.0</v>
      </c>
      <c r="EK417" s="156">
        <v>0.0</v>
      </c>
      <c r="EL417" s="156">
        <v>0.0</v>
      </c>
      <c r="FQ417" s="156">
        <v>0.0</v>
      </c>
      <c r="FR417" s="156">
        <v>0.0</v>
      </c>
      <c r="FS417" s="156">
        <v>0.0</v>
      </c>
      <c r="FT417" s="156">
        <v>0.0</v>
      </c>
      <c r="FU417" s="156">
        <v>0.0</v>
      </c>
      <c r="FV417" s="156">
        <v>0.0</v>
      </c>
      <c r="FW417" s="157"/>
      <c r="FX417" s="157"/>
      <c r="FY417" s="157"/>
      <c r="FZ417" s="157"/>
      <c r="GA417" s="157"/>
      <c r="GB417" s="157"/>
      <c r="GC417" s="157"/>
      <c r="GD417" s="157"/>
      <c r="GE417" s="157"/>
      <c r="GF417" s="157"/>
      <c r="GG417" s="157"/>
      <c r="GH417" s="157"/>
      <c r="GI417" s="157"/>
      <c r="GJ417" s="157"/>
      <c r="GK417" s="157"/>
      <c r="GL417" s="157"/>
      <c r="GM417" s="157"/>
      <c r="GN417" s="157"/>
      <c r="GO417" s="157"/>
      <c r="GP417" s="158"/>
      <c r="GQ417" s="157"/>
      <c r="GR417" s="157"/>
      <c r="GS417" s="157"/>
      <c r="GT417" s="157"/>
      <c r="GU417" s="157"/>
      <c r="GV417" s="157"/>
      <c r="GW417" s="157"/>
      <c r="GX417" s="157"/>
      <c r="GY417" s="157"/>
      <c r="GZ417" s="157"/>
      <c r="HA417" s="157"/>
      <c r="HB417" s="155">
        <v>0.0</v>
      </c>
      <c r="HC417" s="155">
        <v>0.0</v>
      </c>
      <c r="HD417" s="155">
        <v>0.0</v>
      </c>
      <c r="HE417" s="155">
        <v>0.0</v>
      </c>
      <c r="HF417" s="155">
        <v>0.0</v>
      </c>
      <c r="HG417" s="155">
        <v>0.0</v>
      </c>
      <c r="IL417" s="159">
        <v>0.0</v>
      </c>
      <c r="IM417" s="156">
        <v>0.0</v>
      </c>
      <c r="IN417" s="156">
        <v>0.0</v>
      </c>
      <c r="IO417" s="156">
        <v>0.0</v>
      </c>
      <c r="IP417" s="156">
        <v>0.0</v>
      </c>
      <c r="IQ417" s="160">
        <v>0.0</v>
      </c>
      <c r="JH417" s="25"/>
      <c r="JW417" s="159">
        <v>0.0</v>
      </c>
      <c r="JX417" s="156">
        <v>0.0</v>
      </c>
      <c r="JY417" s="156">
        <v>0.0</v>
      </c>
      <c r="JZ417" s="156">
        <v>0.0</v>
      </c>
      <c r="KA417" s="156">
        <v>0.0</v>
      </c>
      <c r="KB417" s="160">
        <v>0.0</v>
      </c>
      <c r="LH417" s="159">
        <f t="shared" si="10"/>
        <v>0</v>
      </c>
      <c r="LI417" s="156">
        <f t="shared" si="11"/>
        <v>0</v>
      </c>
      <c r="LJ417" s="156">
        <f t="shared" si="12"/>
        <v>0</v>
      </c>
      <c r="LK417" s="156">
        <f t="shared" si="13"/>
        <v>0</v>
      </c>
      <c r="LL417" s="156">
        <f t="shared" si="14"/>
        <v>0</v>
      </c>
      <c r="LM417" s="160">
        <f t="shared" si="15"/>
        <v>0</v>
      </c>
      <c r="QX417" s="107">
        <v>45986.0</v>
      </c>
    </row>
    <row r="418">
      <c r="A418" s="12"/>
      <c r="B418" s="12"/>
      <c r="C418" s="12"/>
      <c r="D418" s="12"/>
      <c r="E418" s="12"/>
      <c r="F418" s="12"/>
      <c r="G418" s="12"/>
      <c r="H418" s="12"/>
      <c r="I418" s="143">
        <f t="shared" si="5"/>
        <v>-20</v>
      </c>
      <c r="J418" s="295">
        <v>45987.0</v>
      </c>
      <c r="K418" s="184" t="s">
        <v>53</v>
      </c>
      <c r="L418" s="295">
        <v>46034.0</v>
      </c>
      <c r="M418" s="147" t="s">
        <v>3212</v>
      </c>
      <c r="N418" s="148">
        <v>246.0</v>
      </c>
      <c r="O418" s="148">
        <v>30.0</v>
      </c>
      <c r="P418" s="26"/>
      <c r="Q418" s="26"/>
      <c r="R418" s="26"/>
      <c r="S418" s="26"/>
      <c r="T418" s="26"/>
      <c r="U418" s="147" t="s">
        <v>3149</v>
      </c>
      <c r="V418" s="149" t="s">
        <v>1553</v>
      </c>
      <c r="W418" s="198" t="s">
        <v>3213</v>
      </c>
      <c r="X418" s="181">
        <v>16.0</v>
      </c>
      <c r="Y418" s="166">
        <f t="shared" si="6"/>
        <v>20</v>
      </c>
      <c r="Z418" s="26">
        <f t="shared" si="7"/>
        <v>0</v>
      </c>
      <c r="AA418" s="26">
        <f t="shared" si="8"/>
        <v>0</v>
      </c>
      <c r="AB418" s="26">
        <f t="shared" si="9"/>
        <v>0</v>
      </c>
      <c r="AC418" s="155">
        <v>4.0</v>
      </c>
      <c r="AD418" s="155">
        <v>0.0</v>
      </c>
      <c r="AE418" s="155">
        <v>0.0</v>
      </c>
      <c r="AF418" s="155">
        <v>0.0</v>
      </c>
      <c r="AG418" s="155">
        <v>0.0</v>
      </c>
      <c r="AH418" s="155">
        <v>0.0</v>
      </c>
      <c r="AI418" s="167">
        <v>0.0</v>
      </c>
      <c r="AJ418" s="167">
        <v>1.0</v>
      </c>
      <c r="AK418" s="167">
        <v>0.0</v>
      </c>
      <c r="AL418" s="167">
        <v>0.0</v>
      </c>
      <c r="AM418" s="167">
        <v>1.0</v>
      </c>
      <c r="AN418" s="167">
        <v>0.0</v>
      </c>
      <c r="AO418" s="167">
        <v>1.0</v>
      </c>
      <c r="AP418" s="167">
        <v>0.0</v>
      </c>
      <c r="AQ418" s="167">
        <v>1.0</v>
      </c>
      <c r="AR418" s="167"/>
      <c r="AS418" s="167"/>
      <c r="AT418" s="167"/>
      <c r="AU418" s="167"/>
      <c r="AV418" s="167"/>
      <c r="AW418" s="167"/>
      <c r="AX418" s="167"/>
      <c r="AY418" s="167"/>
      <c r="AZ418" s="167"/>
      <c r="BA418" s="167"/>
      <c r="BB418" s="167"/>
      <c r="BC418" s="167"/>
      <c r="BD418" s="167"/>
      <c r="BE418" s="167"/>
      <c r="BF418" s="167"/>
      <c r="BG418" s="167"/>
      <c r="BH418" s="167"/>
      <c r="BI418" s="167"/>
      <c r="BJ418" s="167"/>
      <c r="BK418" s="167"/>
      <c r="BL418" s="167"/>
      <c r="BM418" s="167"/>
      <c r="BN418" s="155">
        <v>0.0</v>
      </c>
      <c r="BO418" s="155">
        <v>0.0</v>
      </c>
      <c r="BP418" s="155">
        <v>0.0</v>
      </c>
      <c r="BQ418" s="155">
        <v>0.0</v>
      </c>
      <c r="BR418" s="155">
        <v>0.0</v>
      </c>
      <c r="BS418" s="155">
        <v>0.0</v>
      </c>
      <c r="CV418" s="156">
        <v>0.0</v>
      </c>
      <c r="CW418" s="156">
        <v>0.0</v>
      </c>
      <c r="CX418" s="156">
        <v>0.0</v>
      </c>
      <c r="CY418" s="156">
        <v>0.0</v>
      </c>
      <c r="CZ418" s="156">
        <v>0.0</v>
      </c>
      <c r="DA418" s="156">
        <v>0.0</v>
      </c>
      <c r="EG418" s="156">
        <v>0.0</v>
      </c>
      <c r="EH418" s="156">
        <v>0.0</v>
      </c>
      <c r="EI418" s="156">
        <v>0.0</v>
      </c>
      <c r="EJ418" s="156">
        <v>0.0</v>
      </c>
      <c r="EK418" s="156">
        <v>0.0</v>
      </c>
      <c r="EL418" s="156">
        <v>0.0</v>
      </c>
      <c r="FQ418" s="156">
        <v>0.0</v>
      </c>
      <c r="FR418" s="156">
        <v>0.0</v>
      </c>
      <c r="FS418" s="156">
        <v>0.0</v>
      </c>
      <c r="FT418" s="156">
        <v>0.0</v>
      </c>
      <c r="FU418" s="156">
        <v>0.0</v>
      </c>
      <c r="FV418" s="156">
        <v>0.0</v>
      </c>
      <c r="FW418" s="157"/>
      <c r="FX418" s="157"/>
      <c r="FY418" s="157"/>
      <c r="FZ418" s="157"/>
      <c r="GA418" s="157"/>
      <c r="GB418" s="157"/>
      <c r="GC418" s="157"/>
      <c r="GD418" s="157"/>
      <c r="GE418" s="157"/>
      <c r="GF418" s="157"/>
      <c r="GG418" s="157"/>
      <c r="GH418" s="157"/>
      <c r="GI418" s="157"/>
      <c r="GJ418" s="157"/>
      <c r="GK418" s="157"/>
      <c r="GL418" s="157"/>
      <c r="GM418" s="157"/>
      <c r="GN418" s="157"/>
      <c r="GO418" s="157"/>
      <c r="GP418" s="158"/>
      <c r="GQ418" s="157"/>
      <c r="GR418" s="157"/>
      <c r="GS418" s="157"/>
      <c r="GT418" s="157"/>
      <c r="GU418" s="157"/>
      <c r="GV418" s="157"/>
      <c r="GW418" s="157"/>
      <c r="GX418" s="157"/>
      <c r="GY418" s="157"/>
      <c r="GZ418" s="157"/>
      <c r="HA418" s="157"/>
      <c r="HB418" s="155">
        <v>0.0</v>
      </c>
      <c r="HC418" s="155">
        <v>0.0</v>
      </c>
      <c r="HD418" s="155">
        <v>0.0</v>
      </c>
      <c r="HE418" s="155">
        <v>0.0</v>
      </c>
      <c r="HF418" s="155">
        <v>0.0</v>
      </c>
      <c r="HG418" s="155">
        <v>0.0</v>
      </c>
      <c r="IL418" s="159">
        <v>0.0</v>
      </c>
      <c r="IM418" s="156">
        <v>0.0</v>
      </c>
      <c r="IN418" s="156">
        <v>0.0</v>
      </c>
      <c r="IO418" s="156">
        <v>0.0</v>
      </c>
      <c r="IP418" s="156">
        <v>0.0</v>
      </c>
      <c r="IQ418" s="160">
        <v>0.0</v>
      </c>
      <c r="JH418" s="25"/>
      <c r="JW418" s="159">
        <v>0.0</v>
      </c>
      <c r="JX418" s="156">
        <v>0.0</v>
      </c>
      <c r="JY418" s="156">
        <v>0.0</v>
      </c>
      <c r="JZ418" s="156">
        <v>0.0</v>
      </c>
      <c r="KA418" s="156">
        <v>0.0</v>
      </c>
      <c r="KB418" s="160">
        <v>0.0</v>
      </c>
      <c r="LH418" s="159">
        <f t="shared" si="10"/>
        <v>0</v>
      </c>
      <c r="LI418" s="156">
        <f t="shared" si="11"/>
        <v>0</v>
      </c>
      <c r="LJ418" s="156">
        <f t="shared" si="12"/>
        <v>0</v>
      </c>
      <c r="LK418" s="156">
        <f t="shared" si="13"/>
        <v>0</v>
      </c>
      <c r="LL418" s="156">
        <f t="shared" si="14"/>
        <v>0</v>
      </c>
      <c r="LM418" s="160">
        <f t="shared" si="15"/>
        <v>0</v>
      </c>
      <c r="QX418" s="107">
        <v>45987.0</v>
      </c>
    </row>
    <row r="419">
      <c r="A419" s="12"/>
      <c r="B419" s="12"/>
      <c r="C419" s="12"/>
      <c r="D419" s="12"/>
      <c r="E419" s="12"/>
      <c r="F419" s="12"/>
      <c r="G419" s="12"/>
      <c r="H419" s="12"/>
      <c r="I419" s="143">
        <f t="shared" si="5"/>
        <v>-10</v>
      </c>
      <c r="J419" s="144">
        <v>45987.0</v>
      </c>
      <c r="K419" s="145" t="s">
        <v>53</v>
      </c>
      <c r="L419" s="171">
        <v>46027.0</v>
      </c>
      <c r="M419" s="147" t="s">
        <v>1157</v>
      </c>
      <c r="N419" s="148">
        <v>246.0</v>
      </c>
      <c r="O419" s="148">
        <v>30.0</v>
      </c>
      <c r="P419" s="26"/>
      <c r="Q419" s="26"/>
      <c r="R419" s="26"/>
      <c r="S419" s="26"/>
      <c r="T419" s="26"/>
      <c r="U419" s="147" t="s">
        <v>3214</v>
      </c>
      <c r="V419" s="149" t="s">
        <v>3215</v>
      </c>
      <c r="W419" s="198" t="s">
        <v>3216</v>
      </c>
      <c r="X419" s="181">
        <v>10.0</v>
      </c>
      <c r="Y419" s="166">
        <f t="shared" si="6"/>
        <v>10</v>
      </c>
      <c r="Z419" s="26">
        <f t="shared" si="7"/>
        <v>0</v>
      </c>
      <c r="AA419" s="26">
        <f t="shared" si="8"/>
        <v>0</v>
      </c>
      <c r="AB419" s="26">
        <f t="shared" si="9"/>
        <v>0</v>
      </c>
      <c r="AC419" s="155">
        <v>0.0</v>
      </c>
      <c r="AD419" s="155">
        <v>0.0</v>
      </c>
      <c r="AE419" s="155">
        <v>0.0</v>
      </c>
      <c r="AF419" s="155">
        <v>0.0</v>
      </c>
      <c r="AG419" s="155">
        <v>0.0</v>
      </c>
      <c r="AH419" s="155">
        <v>0.0</v>
      </c>
      <c r="AI419" s="167"/>
      <c r="AJ419" s="167"/>
      <c r="AK419" s="167"/>
      <c r="AL419" s="167"/>
      <c r="AM419" s="167"/>
      <c r="AN419" s="167"/>
      <c r="AO419" s="167"/>
      <c r="AP419" s="167"/>
      <c r="AQ419" s="167"/>
      <c r="AR419" s="167"/>
      <c r="AS419" s="167"/>
      <c r="AT419" s="167"/>
      <c r="AU419" s="167"/>
      <c r="AV419" s="167"/>
      <c r="AW419" s="167"/>
      <c r="AX419" s="167"/>
      <c r="AY419" s="167"/>
      <c r="AZ419" s="167"/>
      <c r="BA419" s="167"/>
      <c r="BB419" s="167"/>
      <c r="BC419" s="167"/>
      <c r="BD419" s="167"/>
      <c r="BE419" s="167"/>
      <c r="BF419" s="167"/>
      <c r="BG419" s="167"/>
      <c r="BH419" s="167"/>
      <c r="BI419" s="167"/>
      <c r="BJ419" s="167"/>
      <c r="BK419" s="167"/>
      <c r="BL419" s="167"/>
      <c r="BM419" s="167"/>
      <c r="BN419" s="155">
        <v>0.0</v>
      </c>
      <c r="BO419" s="155">
        <v>0.0</v>
      </c>
      <c r="BP419" s="155">
        <v>0.0</v>
      </c>
      <c r="BQ419" s="155">
        <v>0.0</v>
      </c>
      <c r="BR419" s="155">
        <v>0.0</v>
      </c>
      <c r="BS419" s="155">
        <v>0.0</v>
      </c>
      <c r="CV419" s="156">
        <v>0.0</v>
      </c>
      <c r="CW419" s="156">
        <v>0.0</v>
      </c>
      <c r="CX419" s="156">
        <v>0.0</v>
      </c>
      <c r="CY419" s="156">
        <v>0.0</v>
      </c>
      <c r="CZ419" s="156">
        <v>0.0</v>
      </c>
      <c r="DA419" s="156">
        <v>0.0</v>
      </c>
      <c r="EG419" s="156">
        <v>0.0</v>
      </c>
      <c r="EH419" s="156">
        <v>0.0</v>
      </c>
      <c r="EI419" s="156">
        <v>0.0</v>
      </c>
      <c r="EJ419" s="156">
        <v>0.0</v>
      </c>
      <c r="EK419" s="156">
        <v>0.0</v>
      </c>
      <c r="EL419" s="156">
        <v>0.0</v>
      </c>
      <c r="FQ419" s="156">
        <v>0.0</v>
      </c>
      <c r="FR419" s="156">
        <v>0.0</v>
      </c>
      <c r="FS419" s="156">
        <v>0.0</v>
      </c>
      <c r="FT419" s="156">
        <v>0.0</v>
      </c>
      <c r="FU419" s="156">
        <v>0.0</v>
      </c>
      <c r="FV419" s="156">
        <v>0.0</v>
      </c>
      <c r="FW419" s="157"/>
      <c r="FX419" s="157"/>
      <c r="FY419" s="157"/>
      <c r="FZ419" s="157"/>
      <c r="GA419" s="157"/>
      <c r="GB419" s="157"/>
      <c r="GC419" s="157"/>
      <c r="GD419" s="157"/>
      <c r="GE419" s="157"/>
      <c r="GF419" s="157"/>
      <c r="GG419" s="157"/>
      <c r="GH419" s="157"/>
      <c r="GI419" s="157"/>
      <c r="GJ419" s="157"/>
      <c r="GK419" s="157"/>
      <c r="GL419" s="157"/>
      <c r="GM419" s="157"/>
      <c r="GN419" s="157"/>
      <c r="GO419" s="157"/>
      <c r="GP419" s="158"/>
      <c r="GQ419" s="157"/>
      <c r="GR419" s="157"/>
      <c r="GS419" s="157"/>
      <c r="GT419" s="157"/>
      <c r="GU419" s="157"/>
      <c r="GV419" s="157"/>
      <c r="GW419" s="157"/>
      <c r="GX419" s="157"/>
      <c r="GY419" s="157"/>
      <c r="GZ419" s="157"/>
      <c r="HA419" s="157"/>
      <c r="HB419" s="155">
        <v>0.0</v>
      </c>
      <c r="HC419" s="155">
        <v>0.0</v>
      </c>
      <c r="HD419" s="155">
        <v>0.0</v>
      </c>
      <c r="HE419" s="155">
        <v>0.0</v>
      </c>
      <c r="HF419" s="155">
        <v>0.0</v>
      </c>
      <c r="HG419" s="155">
        <v>0.0</v>
      </c>
      <c r="IL419" s="159">
        <v>0.0</v>
      </c>
      <c r="IM419" s="156">
        <v>0.0</v>
      </c>
      <c r="IN419" s="156">
        <v>0.0</v>
      </c>
      <c r="IO419" s="156">
        <v>0.0</v>
      </c>
      <c r="IP419" s="156">
        <v>0.0</v>
      </c>
      <c r="IQ419" s="160">
        <v>0.0</v>
      </c>
      <c r="JH419" s="25"/>
      <c r="JW419" s="159">
        <v>0.0</v>
      </c>
      <c r="JX419" s="156">
        <v>0.0</v>
      </c>
      <c r="JY419" s="156">
        <v>0.0</v>
      </c>
      <c r="JZ419" s="156">
        <v>0.0</v>
      </c>
      <c r="KA419" s="156">
        <v>0.0</v>
      </c>
      <c r="KB419" s="160">
        <v>0.0</v>
      </c>
      <c r="LH419" s="159">
        <f t="shared" si="10"/>
        <v>0</v>
      </c>
      <c r="LI419" s="156">
        <f t="shared" si="11"/>
        <v>0</v>
      </c>
      <c r="LJ419" s="156">
        <f t="shared" si="12"/>
        <v>0</v>
      </c>
      <c r="LK419" s="156">
        <f t="shared" si="13"/>
        <v>0</v>
      </c>
      <c r="LL419" s="156">
        <f t="shared" si="14"/>
        <v>0</v>
      </c>
      <c r="LM419" s="160">
        <f t="shared" si="15"/>
        <v>0</v>
      </c>
      <c r="QX419" s="107">
        <v>45987.0</v>
      </c>
    </row>
    <row r="420">
      <c r="A420" s="12"/>
      <c r="B420" s="12"/>
      <c r="C420" s="12"/>
      <c r="D420" s="12"/>
      <c r="E420" s="12"/>
      <c r="F420" s="12"/>
      <c r="G420" s="12"/>
      <c r="H420" s="12"/>
      <c r="I420" s="143">
        <f t="shared" si="5"/>
        <v>-30</v>
      </c>
      <c r="J420" s="144">
        <v>46015.0</v>
      </c>
      <c r="K420" s="145" t="s">
        <v>61</v>
      </c>
      <c r="L420" s="508">
        <v>46092.0</v>
      </c>
      <c r="M420" s="509" t="s">
        <v>107</v>
      </c>
      <c r="N420" s="510">
        <v>246.0</v>
      </c>
      <c r="O420" s="510">
        <v>60.0</v>
      </c>
      <c r="P420" s="511"/>
      <c r="Q420" s="511"/>
      <c r="R420" s="511"/>
      <c r="S420" s="511"/>
      <c r="T420" s="511"/>
      <c r="U420" s="509" t="s">
        <v>1140</v>
      </c>
      <c r="V420" s="518" t="s">
        <v>2501</v>
      </c>
      <c r="W420" s="513" t="s">
        <v>3166</v>
      </c>
      <c r="X420" s="181">
        <v>4.0</v>
      </c>
      <c r="Y420" s="166">
        <f t="shared" si="6"/>
        <v>30</v>
      </c>
      <c r="Z420" s="26">
        <f t="shared" si="7"/>
        <v>0</v>
      </c>
      <c r="AA420" s="26">
        <f t="shared" si="8"/>
        <v>0</v>
      </c>
      <c r="AB420" s="26">
        <f t="shared" si="9"/>
        <v>0</v>
      </c>
      <c r="AC420" s="155">
        <v>13.0</v>
      </c>
      <c r="AD420" s="155">
        <v>0.0</v>
      </c>
      <c r="AE420" s="155">
        <v>0.0</v>
      </c>
      <c r="AF420" s="155">
        <v>0.0</v>
      </c>
      <c r="AG420" s="155">
        <v>0.0</v>
      </c>
      <c r="AH420" s="155">
        <v>0.0</v>
      </c>
      <c r="AI420" s="167">
        <v>0.0</v>
      </c>
      <c r="AJ420" s="167">
        <v>1.0</v>
      </c>
      <c r="AK420" s="167">
        <v>0.0</v>
      </c>
      <c r="AL420" s="167">
        <v>0.0</v>
      </c>
      <c r="AM420" s="167">
        <v>1.0</v>
      </c>
      <c r="AN420" s="167">
        <v>0.0</v>
      </c>
      <c r="AO420" s="167">
        <v>1.0</v>
      </c>
      <c r="AP420" s="167">
        <v>0.0</v>
      </c>
      <c r="AQ420" s="167">
        <v>1.0</v>
      </c>
      <c r="AR420" s="167">
        <v>0.0</v>
      </c>
      <c r="AS420" s="167">
        <v>0.0</v>
      </c>
      <c r="AT420" s="167">
        <v>1.0</v>
      </c>
      <c r="AU420" s="167">
        <v>0.0</v>
      </c>
      <c r="AV420" s="167">
        <v>1.0</v>
      </c>
      <c r="AW420" s="167">
        <v>0.0</v>
      </c>
      <c r="AX420" s="167">
        <v>1.0</v>
      </c>
      <c r="AY420" s="167">
        <v>0.0</v>
      </c>
      <c r="AZ420" s="167">
        <v>0.0</v>
      </c>
      <c r="BA420" s="167">
        <v>1.0</v>
      </c>
      <c r="BB420" s="167">
        <v>0.0</v>
      </c>
      <c r="BC420" s="167">
        <v>1.0</v>
      </c>
      <c r="BD420" s="167">
        <v>0.0</v>
      </c>
      <c r="BE420" s="167">
        <v>1.0</v>
      </c>
      <c r="BF420" s="167">
        <v>0.0</v>
      </c>
      <c r="BG420" s="167">
        <v>0.0</v>
      </c>
      <c r="BH420" s="167">
        <v>1.0</v>
      </c>
      <c r="BI420" s="167">
        <v>0.0</v>
      </c>
      <c r="BJ420" s="167">
        <v>1.0</v>
      </c>
      <c r="BK420" s="167">
        <v>0.0</v>
      </c>
      <c r="BL420" s="167">
        <v>1.0</v>
      </c>
      <c r="BM420" s="167">
        <v>0.0</v>
      </c>
      <c r="BN420" s="155">
        <v>9.0</v>
      </c>
      <c r="BO420" s="155">
        <v>0.0</v>
      </c>
      <c r="BP420" s="155">
        <v>0.0</v>
      </c>
      <c r="BQ420" s="155">
        <v>0.0</v>
      </c>
      <c r="BR420" s="155">
        <v>0.0</v>
      </c>
      <c r="BS420" s="155">
        <v>0.0</v>
      </c>
      <c r="BT420" s="167">
        <v>0.0</v>
      </c>
      <c r="BU420" s="167">
        <v>1.0</v>
      </c>
      <c r="BV420" s="167">
        <v>0.0</v>
      </c>
      <c r="BW420" s="167">
        <v>1.0</v>
      </c>
      <c r="BX420" s="167">
        <v>0.0</v>
      </c>
      <c r="BY420" s="167">
        <v>1.0</v>
      </c>
      <c r="BZ420" s="167">
        <v>0.0</v>
      </c>
      <c r="CA420" s="167">
        <v>0.0</v>
      </c>
      <c r="CB420" s="167">
        <v>1.0</v>
      </c>
      <c r="CC420" s="167">
        <v>0.0</v>
      </c>
      <c r="CD420" s="167">
        <v>1.0</v>
      </c>
      <c r="CE420" s="167">
        <v>0.0</v>
      </c>
      <c r="CF420" s="167">
        <v>1.0</v>
      </c>
      <c r="CG420" s="167"/>
      <c r="CH420" s="167"/>
      <c r="CI420" s="167"/>
      <c r="CJ420" s="167"/>
      <c r="CK420" s="167"/>
      <c r="CL420" s="167"/>
      <c r="CM420" s="167"/>
      <c r="CN420" s="167"/>
      <c r="CO420" s="167"/>
      <c r="CP420" s="167">
        <v>1.0</v>
      </c>
      <c r="CQ420" s="167">
        <v>0.0</v>
      </c>
      <c r="CR420" s="167">
        <v>1.0</v>
      </c>
      <c r="CS420" s="167">
        <v>0.0</v>
      </c>
      <c r="CT420" s="167">
        <v>1.0</v>
      </c>
      <c r="CU420" s="167">
        <v>0.0</v>
      </c>
      <c r="CV420" s="156">
        <v>4.0</v>
      </c>
      <c r="CW420" s="156">
        <v>0.0</v>
      </c>
      <c r="CX420" s="156">
        <v>0.0</v>
      </c>
      <c r="CY420" s="156">
        <v>0.0</v>
      </c>
      <c r="CZ420" s="156">
        <v>0.0</v>
      </c>
      <c r="DA420" s="156">
        <v>0.0</v>
      </c>
      <c r="DB420" s="174">
        <v>0.0</v>
      </c>
      <c r="DC420" s="174">
        <v>1.0</v>
      </c>
      <c r="DD420" s="174">
        <v>0.0</v>
      </c>
      <c r="DE420" s="174">
        <v>1.0</v>
      </c>
      <c r="DF420" s="174">
        <v>0.0</v>
      </c>
      <c r="DG420" s="174">
        <v>1.0</v>
      </c>
      <c r="DH420" s="174">
        <v>0.0</v>
      </c>
      <c r="DI420" s="174">
        <v>0.0</v>
      </c>
      <c r="DJ420" s="174">
        <v>1.0</v>
      </c>
      <c r="DK420" s="174"/>
      <c r="DL420" s="174"/>
      <c r="DM420" s="174"/>
      <c r="DN420" s="174"/>
      <c r="DO420" s="174"/>
      <c r="DP420" s="174"/>
      <c r="DQ420" s="174"/>
      <c r="DR420" s="174"/>
      <c r="DS420" s="174"/>
      <c r="DT420" s="174"/>
      <c r="DU420" s="174"/>
      <c r="DV420" s="174"/>
      <c r="DW420" s="174"/>
      <c r="DX420" s="174"/>
      <c r="DY420" s="174"/>
      <c r="DZ420" s="174"/>
      <c r="EA420" s="174"/>
      <c r="EB420" s="174"/>
      <c r="EC420" s="174"/>
      <c r="ED420" s="174"/>
      <c r="EE420" s="174"/>
      <c r="EF420" s="174"/>
      <c r="EG420" s="156">
        <v>0.0</v>
      </c>
      <c r="EH420" s="156">
        <v>0.0</v>
      </c>
      <c r="EI420" s="156">
        <v>0.0</v>
      </c>
      <c r="EJ420" s="156">
        <v>0.0</v>
      </c>
      <c r="EK420" s="156">
        <v>0.0</v>
      </c>
      <c r="EL420" s="156">
        <v>0.0</v>
      </c>
      <c r="EM420" s="174"/>
      <c r="EN420" s="174"/>
      <c r="EO420" s="174"/>
      <c r="EP420" s="174"/>
      <c r="EQ420" s="174"/>
      <c r="ER420" s="174"/>
      <c r="ES420" s="174"/>
      <c r="ET420" s="174"/>
      <c r="EU420" s="174"/>
      <c r="EV420" s="174"/>
      <c r="EW420" s="174"/>
      <c r="EX420" s="174"/>
      <c r="EY420" s="174"/>
      <c r="EZ420" s="174"/>
      <c r="FA420" s="174"/>
      <c r="FB420" s="174"/>
      <c r="FC420" s="174"/>
      <c r="FD420" s="174"/>
      <c r="FE420" s="174"/>
      <c r="FF420" s="174"/>
      <c r="FG420" s="174"/>
      <c r="FH420" s="174"/>
      <c r="FI420" s="174"/>
      <c r="FJ420" s="174"/>
      <c r="FK420" s="174"/>
      <c r="FL420" s="174"/>
      <c r="FM420" s="174"/>
      <c r="FN420" s="174"/>
      <c r="FO420" s="174"/>
      <c r="FP420" s="174"/>
      <c r="FQ420" s="156">
        <v>0.0</v>
      </c>
      <c r="FR420" s="156">
        <v>0.0</v>
      </c>
      <c r="FS420" s="156">
        <v>0.0</v>
      </c>
      <c r="FT420" s="156">
        <v>0.0</v>
      </c>
      <c r="FU420" s="156">
        <v>0.0</v>
      </c>
      <c r="FV420" s="156">
        <v>0.0</v>
      </c>
      <c r="FW420" s="157"/>
      <c r="FX420" s="157"/>
      <c r="FY420" s="157"/>
      <c r="FZ420" s="157"/>
      <c r="GA420" s="157"/>
      <c r="GB420" s="157"/>
      <c r="GC420" s="157"/>
      <c r="GD420" s="157"/>
      <c r="GE420" s="157"/>
      <c r="GF420" s="157"/>
      <c r="GG420" s="157"/>
      <c r="GH420" s="157"/>
      <c r="GI420" s="157"/>
      <c r="GJ420" s="157"/>
      <c r="GK420" s="157"/>
      <c r="GL420" s="157"/>
      <c r="GM420" s="157"/>
      <c r="GN420" s="157"/>
      <c r="GO420" s="157"/>
      <c r="GP420" s="158"/>
      <c r="GQ420" s="157"/>
      <c r="GR420" s="157"/>
      <c r="GS420" s="157"/>
      <c r="GT420" s="157"/>
      <c r="GU420" s="157"/>
      <c r="GV420" s="157"/>
      <c r="GW420" s="157"/>
      <c r="GX420" s="157"/>
      <c r="GY420" s="157"/>
      <c r="GZ420" s="157"/>
      <c r="HA420" s="157"/>
      <c r="HB420" s="155">
        <v>0.0</v>
      </c>
      <c r="HC420" s="155">
        <v>0.0</v>
      </c>
      <c r="HD420" s="155">
        <v>0.0</v>
      </c>
      <c r="HE420" s="155">
        <v>0.0</v>
      </c>
      <c r="HF420" s="155">
        <v>0.0</v>
      </c>
      <c r="HG420" s="155">
        <v>0.0</v>
      </c>
      <c r="IL420" s="159">
        <v>0.0</v>
      </c>
      <c r="IM420" s="156">
        <v>0.0</v>
      </c>
      <c r="IN420" s="156">
        <v>0.0</v>
      </c>
      <c r="IO420" s="156">
        <v>0.0</v>
      </c>
      <c r="IP420" s="156">
        <v>0.0</v>
      </c>
      <c r="IQ420" s="160">
        <v>0.0</v>
      </c>
      <c r="JH420" s="25"/>
      <c r="JW420" s="159">
        <v>0.0</v>
      </c>
      <c r="JX420" s="156">
        <v>0.0</v>
      </c>
      <c r="JY420" s="156">
        <v>0.0</v>
      </c>
      <c r="JZ420" s="156">
        <v>0.0</v>
      </c>
      <c r="KA420" s="156">
        <v>0.0</v>
      </c>
      <c r="KB420" s="160">
        <v>0.0</v>
      </c>
      <c r="LH420" s="159">
        <f t="shared" si="10"/>
        <v>0</v>
      </c>
      <c r="LI420" s="156">
        <f t="shared" si="11"/>
        <v>0</v>
      </c>
      <c r="LJ420" s="156">
        <f t="shared" si="12"/>
        <v>0</v>
      </c>
      <c r="LK420" s="156">
        <f t="shared" si="13"/>
        <v>0</v>
      </c>
      <c r="LL420" s="156">
        <f t="shared" si="14"/>
        <v>0</v>
      </c>
      <c r="LM420" s="160">
        <f t="shared" si="15"/>
        <v>0</v>
      </c>
      <c r="QX420" s="107">
        <v>45989.0</v>
      </c>
    </row>
    <row r="421">
      <c r="A421" s="12"/>
      <c r="B421" s="12"/>
      <c r="C421" s="12"/>
      <c r="D421" s="12"/>
      <c r="E421" s="12"/>
      <c r="F421" s="12"/>
      <c r="G421" s="12"/>
      <c r="H421" s="12"/>
      <c r="I421" s="143">
        <f t="shared" si="5"/>
        <v>-30</v>
      </c>
      <c r="J421" s="144">
        <v>45989.0</v>
      </c>
      <c r="K421" s="145" t="s">
        <v>61</v>
      </c>
      <c r="L421" s="171">
        <v>46065.0</v>
      </c>
      <c r="M421" s="147" t="s">
        <v>1157</v>
      </c>
      <c r="N421" s="148">
        <v>246.0</v>
      </c>
      <c r="O421" s="148">
        <v>30.0</v>
      </c>
      <c r="P421" s="26"/>
      <c r="Q421" s="26"/>
      <c r="R421" s="26"/>
      <c r="S421" s="26"/>
      <c r="T421" s="26"/>
      <c r="U421" s="147" t="s">
        <v>3164</v>
      </c>
      <c r="V421" s="149" t="s">
        <v>2801</v>
      </c>
      <c r="W421" s="198" t="s">
        <v>3217</v>
      </c>
      <c r="X421" s="181">
        <v>13.0</v>
      </c>
      <c r="Y421" s="166">
        <f t="shared" si="6"/>
        <v>30</v>
      </c>
      <c r="Z421" s="26">
        <f t="shared" si="7"/>
        <v>0</v>
      </c>
      <c r="AA421" s="26">
        <f t="shared" si="8"/>
        <v>0</v>
      </c>
      <c r="AB421" s="26">
        <f t="shared" si="9"/>
        <v>0</v>
      </c>
      <c r="AC421" s="155">
        <v>13.0</v>
      </c>
      <c r="AD421" s="155">
        <v>0.0</v>
      </c>
      <c r="AE421" s="155">
        <v>0.0</v>
      </c>
      <c r="AF421" s="155">
        <v>0.0</v>
      </c>
      <c r="AG421" s="155">
        <v>0.0</v>
      </c>
      <c r="AH421" s="155">
        <v>0.0</v>
      </c>
      <c r="AI421" s="167">
        <v>0.0</v>
      </c>
      <c r="AJ421" s="167">
        <v>1.0</v>
      </c>
      <c r="AK421" s="167">
        <v>0.0</v>
      </c>
      <c r="AL421" s="167">
        <v>0.0</v>
      </c>
      <c r="AM421" s="167">
        <v>1.0</v>
      </c>
      <c r="AN421" s="167">
        <v>0.0</v>
      </c>
      <c r="AO421" s="167">
        <v>1.0</v>
      </c>
      <c r="AP421" s="167">
        <v>0.0</v>
      </c>
      <c r="AQ421" s="167">
        <v>1.0</v>
      </c>
      <c r="AR421" s="167">
        <v>0.0</v>
      </c>
      <c r="AS421" s="167">
        <v>0.0</v>
      </c>
      <c r="AT421" s="167">
        <v>1.0</v>
      </c>
      <c r="AU421" s="167">
        <v>0.0</v>
      </c>
      <c r="AV421" s="167">
        <v>1.0</v>
      </c>
      <c r="AW421" s="167">
        <v>0.0</v>
      </c>
      <c r="AX421" s="167"/>
      <c r="AY421" s="168">
        <v>1.0</v>
      </c>
      <c r="AZ421" s="167">
        <v>0.0</v>
      </c>
      <c r="BA421" s="167"/>
      <c r="BB421" s="168">
        <v>1.0</v>
      </c>
      <c r="BC421" s="167">
        <v>1.0</v>
      </c>
      <c r="BD421" s="167">
        <v>0.0</v>
      </c>
      <c r="BE421" s="167">
        <v>1.0</v>
      </c>
      <c r="BF421" s="167">
        <v>0.0</v>
      </c>
      <c r="BG421" s="167">
        <v>0.0</v>
      </c>
      <c r="BH421" s="167">
        <v>1.0</v>
      </c>
      <c r="BI421" s="167">
        <v>0.0</v>
      </c>
      <c r="BJ421" s="167">
        <v>1.0</v>
      </c>
      <c r="BK421" s="167">
        <v>0.0</v>
      </c>
      <c r="BL421" s="167">
        <v>1.0</v>
      </c>
      <c r="BM421" s="167">
        <v>0.0</v>
      </c>
      <c r="BN421" s="155">
        <v>4.0</v>
      </c>
      <c r="BO421" s="155">
        <v>0.0</v>
      </c>
      <c r="BP421" s="155">
        <v>0.0</v>
      </c>
      <c r="BQ421" s="155">
        <v>0.0</v>
      </c>
      <c r="BR421" s="155">
        <v>0.0</v>
      </c>
      <c r="BS421" s="155">
        <v>0.0</v>
      </c>
      <c r="BT421" s="167">
        <v>0.0</v>
      </c>
      <c r="BU421" s="167">
        <v>1.0</v>
      </c>
      <c r="BV421" s="167">
        <v>0.0</v>
      </c>
      <c r="BW421" s="167">
        <v>1.0</v>
      </c>
      <c r="BX421" s="167">
        <v>0.0</v>
      </c>
      <c r="BY421" s="167">
        <v>1.0</v>
      </c>
      <c r="BZ421" s="167">
        <v>0.0</v>
      </c>
      <c r="CA421" s="167">
        <v>0.0</v>
      </c>
      <c r="CB421" s="167">
        <v>1.0</v>
      </c>
      <c r="CC421" s="167"/>
      <c r="CD421" s="167"/>
      <c r="CE421" s="167"/>
      <c r="CF421" s="167"/>
      <c r="CG421" s="167"/>
      <c r="CH421" s="167"/>
      <c r="CI421" s="167"/>
      <c r="CJ421" s="167"/>
      <c r="CK421" s="167"/>
      <c r="CL421" s="167"/>
      <c r="CM421" s="167"/>
      <c r="CN421" s="167"/>
      <c r="CO421" s="167"/>
      <c r="CP421" s="167"/>
      <c r="CQ421" s="167"/>
      <c r="CR421" s="167"/>
      <c r="CS421" s="167"/>
      <c r="CT421" s="167"/>
      <c r="CU421" s="167"/>
      <c r="CV421" s="156">
        <v>0.0</v>
      </c>
      <c r="CW421" s="156">
        <v>0.0</v>
      </c>
      <c r="CX421" s="156">
        <v>0.0</v>
      </c>
      <c r="CY421" s="156">
        <v>0.0</v>
      </c>
      <c r="CZ421" s="156">
        <v>0.0</v>
      </c>
      <c r="DA421" s="156">
        <v>0.0</v>
      </c>
      <c r="EG421" s="156">
        <v>0.0</v>
      </c>
      <c r="EH421" s="156">
        <v>0.0</v>
      </c>
      <c r="EI421" s="156">
        <v>0.0</v>
      </c>
      <c r="EJ421" s="156">
        <v>0.0</v>
      </c>
      <c r="EK421" s="156">
        <v>0.0</v>
      </c>
      <c r="EL421" s="156">
        <v>0.0</v>
      </c>
      <c r="FQ421" s="156">
        <v>0.0</v>
      </c>
      <c r="FR421" s="156">
        <v>0.0</v>
      </c>
      <c r="FS421" s="156">
        <v>0.0</v>
      </c>
      <c r="FT421" s="156">
        <v>0.0</v>
      </c>
      <c r="FU421" s="156">
        <v>0.0</v>
      </c>
      <c r="FV421" s="156">
        <v>0.0</v>
      </c>
      <c r="FW421" s="157"/>
      <c r="FX421" s="157"/>
      <c r="FY421" s="157"/>
      <c r="FZ421" s="157"/>
      <c r="GA421" s="157"/>
      <c r="GB421" s="157"/>
      <c r="GC421" s="157"/>
      <c r="GD421" s="157"/>
      <c r="GE421" s="157"/>
      <c r="GF421" s="157"/>
      <c r="GG421" s="157"/>
      <c r="GH421" s="157"/>
      <c r="GI421" s="157"/>
      <c r="GJ421" s="157"/>
      <c r="GK421" s="157"/>
      <c r="GL421" s="157"/>
      <c r="GM421" s="157"/>
      <c r="GN421" s="157"/>
      <c r="GO421" s="157"/>
      <c r="GP421" s="158"/>
      <c r="GQ421" s="157"/>
      <c r="GR421" s="157"/>
      <c r="GS421" s="157"/>
      <c r="GT421" s="157"/>
      <c r="GU421" s="157"/>
      <c r="GV421" s="157"/>
      <c r="GW421" s="157"/>
      <c r="GX421" s="157"/>
      <c r="GY421" s="157"/>
      <c r="GZ421" s="157"/>
      <c r="HA421" s="157"/>
      <c r="HB421" s="155">
        <v>0.0</v>
      </c>
      <c r="HC421" s="155">
        <v>0.0</v>
      </c>
      <c r="HD421" s="155">
        <v>0.0</v>
      </c>
      <c r="HE421" s="155">
        <v>0.0</v>
      </c>
      <c r="HF421" s="155">
        <v>0.0</v>
      </c>
      <c r="HG421" s="155">
        <v>0.0</v>
      </c>
      <c r="IL421" s="159">
        <v>0.0</v>
      </c>
      <c r="IM421" s="156">
        <v>0.0</v>
      </c>
      <c r="IN421" s="156">
        <v>0.0</v>
      </c>
      <c r="IO421" s="156">
        <v>0.0</v>
      </c>
      <c r="IP421" s="156">
        <v>0.0</v>
      </c>
      <c r="IQ421" s="160">
        <v>0.0</v>
      </c>
      <c r="JH421" s="25"/>
      <c r="JW421" s="159">
        <v>0.0</v>
      </c>
      <c r="JX421" s="156">
        <v>0.0</v>
      </c>
      <c r="JY421" s="156">
        <v>0.0</v>
      </c>
      <c r="JZ421" s="156">
        <v>0.0</v>
      </c>
      <c r="KA421" s="156">
        <v>0.0</v>
      </c>
      <c r="KB421" s="160">
        <v>0.0</v>
      </c>
      <c r="LH421" s="159">
        <f t="shared" si="10"/>
        <v>0</v>
      </c>
      <c r="LI421" s="156">
        <f t="shared" si="11"/>
        <v>0</v>
      </c>
      <c r="LJ421" s="156">
        <f t="shared" si="12"/>
        <v>0</v>
      </c>
      <c r="LK421" s="156">
        <f t="shared" si="13"/>
        <v>0</v>
      </c>
      <c r="LL421" s="156">
        <f t="shared" si="14"/>
        <v>0</v>
      </c>
      <c r="LM421" s="160">
        <f t="shared" si="15"/>
        <v>0</v>
      </c>
      <c r="QX421" s="107">
        <v>45990.0</v>
      </c>
    </row>
    <row r="422">
      <c r="A422" s="12"/>
      <c r="B422" s="12"/>
      <c r="C422" s="12"/>
      <c r="D422" s="12"/>
      <c r="E422" s="12"/>
      <c r="F422" s="12"/>
      <c r="G422" s="12"/>
      <c r="H422" s="12"/>
      <c r="I422" s="143">
        <f t="shared" si="5"/>
        <v>-30</v>
      </c>
      <c r="J422" s="144">
        <v>45988.0</v>
      </c>
      <c r="K422" s="195" t="s">
        <v>61</v>
      </c>
      <c r="L422" s="171">
        <v>46129.0</v>
      </c>
      <c r="M422" s="147" t="s">
        <v>107</v>
      </c>
      <c r="N422" s="148">
        <v>357.0</v>
      </c>
      <c r="O422" s="148">
        <v>30.0</v>
      </c>
      <c r="P422" s="26"/>
      <c r="Q422" s="26"/>
      <c r="R422" s="26"/>
      <c r="S422" s="26"/>
      <c r="T422" s="26"/>
      <c r="U422" s="147" t="s">
        <v>664</v>
      </c>
      <c r="V422" s="149" t="s">
        <v>3108</v>
      </c>
      <c r="W422" s="198" t="s">
        <v>3218</v>
      </c>
      <c r="X422" s="181">
        <v>12.0</v>
      </c>
      <c r="Y422" s="166">
        <f t="shared" si="6"/>
        <v>30</v>
      </c>
      <c r="Z422" s="26">
        <f t="shared" si="7"/>
        <v>0</v>
      </c>
      <c r="AA422" s="26">
        <f t="shared" si="8"/>
        <v>1</v>
      </c>
      <c r="AB422" s="26">
        <f t="shared" si="9"/>
        <v>0</v>
      </c>
      <c r="AC422" s="155">
        <v>7.0</v>
      </c>
      <c r="AD422" s="155">
        <v>0.0</v>
      </c>
      <c r="AE422" s="155">
        <v>0.0</v>
      </c>
      <c r="AF422" s="155">
        <v>1.0</v>
      </c>
      <c r="AG422" s="155">
        <v>0.0</v>
      </c>
      <c r="AH422" s="155">
        <v>0.0</v>
      </c>
      <c r="AI422" s="167"/>
      <c r="AJ422" s="167"/>
      <c r="AK422" s="168">
        <v>1.0</v>
      </c>
      <c r="AL422" s="167">
        <v>0.0</v>
      </c>
      <c r="AM422" s="167">
        <v>0.0</v>
      </c>
      <c r="AN422" s="167"/>
      <c r="AO422" s="167">
        <v>0.0</v>
      </c>
      <c r="AP422" s="167">
        <v>1.0</v>
      </c>
      <c r="AQ422" s="167">
        <v>0.0</v>
      </c>
      <c r="AR422" s="168">
        <v>1.0</v>
      </c>
      <c r="AS422" s="167"/>
      <c r="AT422" s="167"/>
      <c r="AU422" s="167"/>
      <c r="AV422" s="167"/>
      <c r="AW422" s="167"/>
      <c r="AX422" s="167"/>
      <c r="AY422" s="167">
        <v>1.0</v>
      </c>
      <c r="AZ422" s="167"/>
      <c r="BA422" s="167"/>
      <c r="BB422" s="167"/>
      <c r="BC422" s="167"/>
      <c r="BD422" s="167"/>
      <c r="BE422" s="167"/>
      <c r="BF422" s="168" t="s">
        <v>947</v>
      </c>
      <c r="BG422" s="167"/>
      <c r="BH422" s="167"/>
      <c r="BI422" s="167"/>
      <c r="BJ422" s="167">
        <v>0.0</v>
      </c>
      <c r="BK422" s="167">
        <v>1.0</v>
      </c>
      <c r="BL422" s="167">
        <v>0.0</v>
      </c>
      <c r="BM422" s="167">
        <v>1.0</v>
      </c>
      <c r="BN422" s="155">
        <v>3.0</v>
      </c>
      <c r="BO422" s="155">
        <v>0.0</v>
      </c>
      <c r="BP422" s="155">
        <v>0.0</v>
      </c>
      <c r="BQ422" s="155">
        <v>0.0</v>
      </c>
      <c r="BR422" s="155">
        <v>0.0</v>
      </c>
      <c r="BS422" s="155">
        <v>0.0</v>
      </c>
      <c r="BT422" s="167"/>
      <c r="BU422" s="167"/>
      <c r="BV422" s="167"/>
      <c r="BW422" s="167"/>
      <c r="BX422" s="167">
        <v>1.0</v>
      </c>
      <c r="BY422" s="167">
        <v>0.0</v>
      </c>
      <c r="BZ422" s="167">
        <v>1.0</v>
      </c>
      <c r="CA422" s="167">
        <v>0.0</v>
      </c>
      <c r="CB422" s="167">
        <v>0.0</v>
      </c>
      <c r="CC422" s="167">
        <v>1.0</v>
      </c>
      <c r="CD422" s="167"/>
      <c r="CE422" s="167"/>
      <c r="CF422" s="167"/>
      <c r="CG422" s="167"/>
      <c r="CH422" s="167"/>
      <c r="CI422" s="167"/>
      <c r="CJ422" s="167"/>
      <c r="CK422" s="167"/>
      <c r="CL422" s="167"/>
      <c r="CM422" s="167"/>
      <c r="CN422" s="167"/>
      <c r="CO422" s="167"/>
      <c r="CP422" s="167"/>
      <c r="CQ422" s="167"/>
      <c r="CR422" s="167"/>
      <c r="CS422" s="167"/>
      <c r="CT422" s="167"/>
      <c r="CU422" s="167"/>
      <c r="CV422" s="156">
        <v>5.0</v>
      </c>
      <c r="CW422" s="156">
        <v>0.0</v>
      </c>
      <c r="CX422" s="156">
        <v>0.0</v>
      </c>
      <c r="CY422" s="156">
        <v>0.0</v>
      </c>
      <c r="CZ422" s="156">
        <v>0.0</v>
      </c>
      <c r="DA422" s="156">
        <v>0.0</v>
      </c>
      <c r="DB422" s="395">
        <v>1.0</v>
      </c>
      <c r="DC422" s="395"/>
      <c r="DD422" s="395"/>
      <c r="DE422" s="395"/>
      <c r="DF422" s="395"/>
      <c r="DG422" s="395"/>
      <c r="DH422" s="395"/>
      <c r="DI422" s="395"/>
      <c r="DJ422" s="395"/>
      <c r="DK422" s="395"/>
      <c r="DL422" s="395"/>
      <c r="DM422" s="395"/>
      <c r="DN422" s="395"/>
      <c r="DO422" s="395"/>
      <c r="DP422" s="395"/>
      <c r="DQ422" s="395"/>
      <c r="DR422" s="395">
        <v>1.0</v>
      </c>
      <c r="DS422" s="395">
        <v>0.0</v>
      </c>
      <c r="DT422" s="395"/>
      <c r="DU422" s="395">
        <v>1.0</v>
      </c>
      <c r="DV422" s="395"/>
      <c r="DW422" s="395"/>
      <c r="DX422" s="395"/>
      <c r="DY422" s="395"/>
      <c r="DZ422" s="395"/>
      <c r="EA422" s="395">
        <v>1.0</v>
      </c>
      <c r="EB422" s="395">
        <v>0.0</v>
      </c>
      <c r="EC422" s="395">
        <v>1.0</v>
      </c>
      <c r="ED422" s="395">
        <v>0.0</v>
      </c>
      <c r="EE422" s="395">
        <v>0.0</v>
      </c>
      <c r="EF422" s="395"/>
      <c r="EG422" s="156">
        <v>3.0</v>
      </c>
      <c r="EH422" s="156">
        <v>0.0</v>
      </c>
      <c r="EI422" s="156">
        <v>0.0</v>
      </c>
      <c r="EJ422" s="156">
        <v>0.0</v>
      </c>
      <c r="EK422" s="156">
        <v>0.0</v>
      </c>
      <c r="EL422" s="156">
        <v>0.0</v>
      </c>
      <c r="EP422" s="86">
        <v>1.0</v>
      </c>
      <c r="EW422" s="86">
        <v>1.0</v>
      </c>
      <c r="EZ422" s="86">
        <v>1.0</v>
      </c>
      <c r="FQ422" s="156">
        <v>0.0</v>
      </c>
      <c r="FR422" s="156">
        <v>0.0</v>
      </c>
      <c r="FS422" s="156">
        <v>0.0</v>
      </c>
      <c r="FT422" s="156">
        <v>0.0</v>
      </c>
      <c r="FU422" s="156">
        <v>0.0</v>
      </c>
      <c r="FV422" s="156">
        <v>0.0</v>
      </c>
      <c r="FW422" s="157"/>
      <c r="FX422" s="157"/>
      <c r="FY422" s="157"/>
      <c r="FZ422" s="157"/>
      <c r="GA422" s="157"/>
      <c r="GB422" s="157"/>
      <c r="GC422" s="157"/>
      <c r="GD422" s="157"/>
      <c r="GE422" s="157"/>
      <c r="GF422" s="157"/>
      <c r="GG422" s="157"/>
      <c r="GH422" s="157"/>
      <c r="GI422" s="157"/>
      <c r="GJ422" s="157"/>
      <c r="GK422" s="157"/>
      <c r="GL422" s="157"/>
      <c r="GM422" s="157"/>
      <c r="GN422" s="157"/>
      <c r="GO422" s="157"/>
      <c r="GP422" s="158"/>
      <c r="GQ422" s="157"/>
      <c r="GR422" s="157"/>
      <c r="GS422" s="157"/>
      <c r="GT422" s="157"/>
      <c r="GU422" s="157"/>
      <c r="GV422" s="157"/>
      <c r="GW422" s="157"/>
      <c r="GX422" s="157"/>
      <c r="GY422" s="157"/>
      <c r="GZ422" s="157"/>
      <c r="HA422" s="157"/>
      <c r="HB422" s="155">
        <v>0.0</v>
      </c>
      <c r="HC422" s="155">
        <v>0.0</v>
      </c>
      <c r="HD422" s="155">
        <v>0.0</v>
      </c>
      <c r="HE422" s="155">
        <v>0.0</v>
      </c>
      <c r="HF422" s="155">
        <v>0.0</v>
      </c>
      <c r="HG422" s="155">
        <v>0.0</v>
      </c>
      <c r="IL422" s="159">
        <v>0.0</v>
      </c>
      <c r="IM422" s="156">
        <v>0.0</v>
      </c>
      <c r="IN422" s="156">
        <v>0.0</v>
      </c>
      <c r="IO422" s="156">
        <v>0.0</v>
      </c>
      <c r="IP422" s="156">
        <v>0.0</v>
      </c>
      <c r="IQ422" s="160">
        <v>0.0</v>
      </c>
      <c r="JH422" s="25"/>
      <c r="JW422" s="159">
        <v>0.0</v>
      </c>
      <c r="JX422" s="156">
        <v>0.0</v>
      </c>
      <c r="JY422" s="156">
        <v>0.0</v>
      </c>
      <c r="JZ422" s="156">
        <v>0.0</v>
      </c>
      <c r="KA422" s="156">
        <v>0.0</v>
      </c>
      <c r="KB422" s="160">
        <v>0.0</v>
      </c>
      <c r="LH422" s="159">
        <f t="shared" si="10"/>
        <v>0</v>
      </c>
      <c r="LI422" s="156">
        <f t="shared" si="11"/>
        <v>0</v>
      </c>
      <c r="LJ422" s="156">
        <f t="shared" si="12"/>
        <v>0</v>
      </c>
      <c r="LK422" s="156">
        <f t="shared" si="13"/>
        <v>0</v>
      </c>
      <c r="LL422" s="156">
        <f t="shared" si="14"/>
        <v>0</v>
      </c>
      <c r="LM422" s="160">
        <f t="shared" si="15"/>
        <v>0</v>
      </c>
      <c r="QX422" s="107">
        <v>45990.0</v>
      </c>
    </row>
    <row r="423">
      <c r="A423" s="12"/>
      <c r="B423" s="12"/>
      <c r="C423" s="12"/>
      <c r="D423" s="12"/>
      <c r="E423" s="12"/>
      <c r="F423" s="12"/>
      <c r="G423" s="12"/>
      <c r="H423" s="12"/>
      <c r="I423" s="143">
        <f t="shared" si="5"/>
        <v>-30</v>
      </c>
      <c r="J423" s="144">
        <v>45989.0</v>
      </c>
      <c r="K423" s="195" t="s">
        <v>61</v>
      </c>
      <c r="L423" s="171">
        <v>46128.0</v>
      </c>
      <c r="M423" s="147" t="s">
        <v>2877</v>
      </c>
      <c r="N423" s="148">
        <v>36.0</v>
      </c>
      <c r="O423" s="148">
        <v>30.0</v>
      </c>
      <c r="P423" s="26"/>
      <c r="Q423" s="26"/>
      <c r="R423" s="26"/>
      <c r="S423" s="26"/>
      <c r="T423" s="26"/>
      <c r="U423" s="147" t="s">
        <v>1259</v>
      </c>
      <c r="V423" s="149" t="s">
        <v>732</v>
      </c>
      <c r="W423" s="198" t="s">
        <v>3219</v>
      </c>
      <c r="X423" s="181">
        <v>9.0</v>
      </c>
      <c r="Y423" s="166">
        <f t="shared" si="6"/>
        <v>30</v>
      </c>
      <c r="Z423" s="26">
        <f t="shared" si="7"/>
        <v>0</v>
      </c>
      <c r="AA423" s="26">
        <f t="shared" si="8"/>
        <v>0</v>
      </c>
      <c r="AB423" s="26">
        <f t="shared" si="9"/>
        <v>0</v>
      </c>
      <c r="AC423" s="155">
        <v>4.0</v>
      </c>
      <c r="AD423" s="155">
        <v>0.0</v>
      </c>
      <c r="AE423" s="155">
        <v>0.0</v>
      </c>
      <c r="AF423" s="155">
        <v>0.0</v>
      </c>
      <c r="AG423" s="155">
        <v>0.0</v>
      </c>
      <c r="AH423" s="155">
        <v>0.0</v>
      </c>
      <c r="AU423" s="86">
        <v>1.0</v>
      </c>
      <c r="BA423" s="86">
        <v>1.0</v>
      </c>
      <c r="BB423" s="86">
        <v>1.0</v>
      </c>
      <c r="BI423" s="86">
        <v>1.0</v>
      </c>
      <c r="BN423" s="155">
        <v>5.0</v>
      </c>
      <c r="BO423" s="155">
        <v>0.0</v>
      </c>
      <c r="BP423" s="155">
        <v>0.0</v>
      </c>
      <c r="BQ423" s="155">
        <v>0.0</v>
      </c>
      <c r="BR423" s="155">
        <v>0.0</v>
      </c>
      <c r="BS423" s="155">
        <v>0.0</v>
      </c>
      <c r="BW423" s="86">
        <v>1.0</v>
      </c>
      <c r="CH423" s="86">
        <v>2.0</v>
      </c>
      <c r="CQ423" s="86">
        <v>1.0</v>
      </c>
      <c r="CS423" s="86">
        <v>1.0</v>
      </c>
      <c r="CV423" s="156">
        <v>8.0</v>
      </c>
      <c r="CW423" s="156">
        <v>0.0</v>
      </c>
      <c r="CX423" s="156">
        <v>0.0</v>
      </c>
      <c r="CY423" s="156">
        <v>0.0</v>
      </c>
      <c r="CZ423" s="156">
        <v>0.0</v>
      </c>
      <c r="DA423" s="156">
        <v>0.0</v>
      </c>
      <c r="DD423" s="86">
        <v>1.0</v>
      </c>
      <c r="DI423" s="86">
        <v>1.0</v>
      </c>
      <c r="DP423" s="86">
        <v>1.0</v>
      </c>
      <c r="DR423" s="86">
        <v>1.0</v>
      </c>
      <c r="DW423" s="86">
        <v>1.0</v>
      </c>
      <c r="DZ423" s="86">
        <v>1.0</v>
      </c>
      <c r="ED423" s="86">
        <v>1.0</v>
      </c>
      <c r="EF423" s="86">
        <v>1.0</v>
      </c>
      <c r="EG423" s="156">
        <v>4.0</v>
      </c>
      <c r="EH423" s="156">
        <v>0.0</v>
      </c>
      <c r="EI423" s="156">
        <v>0.0</v>
      </c>
      <c r="EJ423" s="156">
        <v>0.0</v>
      </c>
      <c r="EK423" s="156">
        <v>0.0</v>
      </c>
      <c r="EL423" s="156">
        <v>0.0</v>
      </c>
      <c r="EP423" s="86">
        <v>1.0</v>
      </c>
      <c r="EX423" s="86">
        <v>1.0</v>
      </c>
      <c r="EZ423" s="86">
        <v>2.0</v>
      </c>
      <c r="FQ423" s="156">
        <v>0.0</v>
      </c>
      <c r="FR423" s="156">
        <v>0.0</v>
      </c>
      <c r="FS423" s="156">
        <v>0.0</v>
      </c>
      <c r="FT423" s="156">
        <v>0.0</v>
      </c>
      <c r="FU423" s="156">
        <v>0.0</v>
      </c>
      <c r="FV423" s="156">
        <v>0.0</v>
      </c>
      <c r="FW423" s="157"/>
      <c r="FX423" s="157"/>
      <c r="FY423" s="157"/>
      <c r="FZ423" s="157"/>
      <c r="GA423" s="157"/>
      <c r="GB423" s="157"/>
      <c r="GC423" s="157"/>
      <c r="GD423" s="157"/>
      <c r="GE423" s="157"/>
      <c r="GF423" s="157"/>
      <c r="GG423" s="157"/>
      <c r="GH423" s="157"/>
      <c r="GI423" s="157"/>
      <c r="GJ423" s="157"/>
      <c r="GK423" s="157"/>
      <c r="GL423" s="157"/>
      <c r="GM423" s="157"/>
      <c r="GN423" s="157"/>
      <c r="GO423" s="157"/>
      <c r="GP423" s="158"/>
      <c r="GQ423" s="157"/>
      <c r="GR423" s="157"/>
      <c r="GS423" s="157"/>
      <c r="GT423" s="157"/>
      <c r="GU423" s="157"/>
      <c r="GV423" s="157"/>
      <c r="GW423" s="157"/>
      <c r="GX423" s="157"/>
      <c r="GY423" s="157"/>
      <c r="GZ423" s="157"/>
      <c r="HA423" s="157"/>
      <c r="HB423" s="155">
        <v>0.0</v>
      </c>
      <c r="HC423" s="155">
        <v>0.0</v>
      </c>
      <c r="HD423" s="155">
        <v>0.0</v>
      </c>
      <c r="HE423" s="155">
        <v>0.0</v>
      </c>
      <c r="HF423" s="155">
        <v>0.0</v>
      </c>
      <c r="HG423" s="155">
        <v>0.0</v>
      </c>
      <c r="IL423" s="159">
        <v>0.0</v>
      </c>
      <c r="IM423" s="156">
        <v>0.0</v>
      </c>
      <c r="IN423" s="156">
        <v>0.0</v>
      </c>
      <c r="IO423" s="156">
        <v>0.0</v>
      </c>
      <c r="IP423" s="156">
        <v>0.0</v>
      </c>
      <c r="IQ423" s="160">
        <v>0.0</v>
      </c>
      <c r="JH423" s="25"/>
      <c r="JW423" s="159">
        <v>0.0</v>
      </c>
      <c r="JX423" s="156">
        <v>0.0</v>
      </c>
      <c r="JY423" s="156">
        <v>0.0</v>
      </c>
      <c r="JZ423" s="156">
        <v>0.0</v>
      </c>
      <c r="KA423" s="156">
        <v>0.0</v>
      </c>
      <c r="KB423" s="160">
        <v>0.0</v>
      </c>
      <c r="LH423" s="159">
        <f t="shared" si="10"/>
        <v>0</v>
      </c>
      <c r="LI423" s="156">
        <f t="shared" si="11"/>
        <v>0</v>
      </c>
      <c r="LJ423" s="156">
        <f t="shared" si="12"/>
        <v>0</v>
      </c>
      <c r="LK423" s="156">
        <f t="shared" si="13"/>
        <v>0</v>
      </c>
      <c r="LL423" s="156">
        <f t="shared" si="14"/>
        <v>0</v>
      </c>
      <c r="LM423" s="160">
        <f t="shared" si="15"/>
        <v>0</v>
      </c>
      <c r="QX423" s="107">
        <v>45990.0</v>
      </c>
    </row>
    <row r="424">
      <c r="A424" s="12"/>
      <c r="B424" s="12"/>
      <c r="C424" s="12"/>
      <c r="D424" s="12"/>
      <c r="E424" s="12"/>
      <c r="F424" s="12"/>
      <c r="G424" s="12"/>
      <c r="H424" s="12"/>
      <c r="I424" s="143">
        <f t="shared" si="5"/>
        <v>-25</v>
      </c>
      <c r="J424" s="144">
        <v>45996.0</v>
      </c>
      <c r="K424" s="195" t="s">
        <v>53</v>
      </c>
      <c r="L424" s="171">
        <v>46203.0</v>
      </c>
      <c r="M424" s="147" t="s">
        <v>1733</v>
      </c>
      <c r="N424" s="147" t="s">
        <v>424</v>
      </c>
      <c r="O424" s="148">
        <v>30.0</v>
      </c>
      <c r="P424" s="26"/>
      <c r="Q424" s="26"/>
      <c r="R424" s="26"/>
      <c r="S424" s="26"/>
      <c r="T424" s="26"/>
      <c r="U424" s="147" t="s">
        <v>684</v>
      </c>
      <c r="V424" s="149" t="s">
        <v>230</v>
      </c>
      <c r="W424" s="198" t="s">
        <v>3220</v>
      </c>
      <c r="X424" s="181">
        <v>7.0</v>
      </c>
      <c r="Y424" s="166">
        <f t="shared" si="6"/>
        <v>25</v>
      </c>
      <c r="Z424" s="26">
        <f t="shared" si="7"/>
        <v>0</v>
      </c>
      <c r="AA424" s="26">
        <f t="shared" si="8"/>
        <v>0</v>
      </c>
      <c r="AB424" s="26">
        <f t="shared" si="9"/>
        <v>0</v>
      </c>
      <c r="AC424" s="155">
        <v>6.0</v>
      </c>
      <c r="AD424" s="155">
        <v>0.0</v>
      </c>
      <c r="AE424" s="155">
        <v>0.0</v>
      </c>
      <c r="AF424" s="155">
        <v>0.0</v>
      </c>
      <c r="AG424" s="155">
        <v>0.0</v>
      </c>
      <c r="AH424" s="155">
        <v>0.0</v>
      </c>
      <c r="AQ424" s="86">
        <v>1.0</v>
      </c>
      <c r="AU424" s="86">
        <v>1.0</v>
      </c>
      <c r="AW424" s="86">
        <v>1.0</v>
      </c>
      <c r="BC424" s="86">
        <v>1.0</v>
      </c>
      <c r="BE424" s="86">
        <v>1.0</v>
      </c>
      <c r="BM424" s="86">
        <v>1.0</v>
      </c>
      <c r="BN424" s="155">
        <v>2.0</v>
      </c>
      <c r="BO424" s="155">
        <v>0.0</v>
      </c>
      <c r="BP424" s="155">
        <v>0.0</v>
      </c>
      <c r="BQ424" s="155">
        <v>0.0</v>
      </c>
      <c r="BR424" s="155">
        <v>0.0</v>
      </c>
      <c r="BS424" s="155">
        <v>0.0</v>
      </c>
      <c r="BX424" s="86">
        <v>1.0</v>
      </c>
      <c r="CC424" s="86">
        <v>1.0</v>
      </c>
      <c r="CV424" s="156">
        <v>5.0</v>
      </c>
      <c r="CW424" s="156">
        <v>0.0</v>
      </c>
      <c r="CX424" s="156">
        <v>0.0</v>
      </c>
      <c r="CY424" s="156">
        <v>0.0</v>
      </c>
      <c r="CZ424" s="156">
        <v>0.0</v>
      </c>
      <c r="DA424" s="156">
        <v>0.0</v>
      </c>
      <c r="DF424" s="86">
        <v>1.0</v>
      </c>
      <c r="DM424" s="86">
        <v>1.0</v>
      </c>
      <c r="DR424" s="86">
        <v>1.0</v>
      </c>
      <c r="DU424" s="86">
        <v>1.0</v>
      </c>
      <c r="DY424" s="86">
        <v>1.0</v>
      </c>
      <c r="EG424" s="156">
        <v>2.0</v>
      </c>
      <c r="EH424" s="156">
        <v>0.0</v>
      </c>
      <c r="EI424" s="156">
        <v>0.0</v>
      </c>
      <c r="EJ424" s="156">
        <v>0.0</v>
      </c>
      <c r="EK424" s="156">
        <v>0.0</v>
      </c>
      <c r="EL424" s="156">
        <v>0.0</v>
      </c>
      <c r="EZ424" s="86">
        <v>1.0</v>
      </c>
      <c r="FA424" s="86">
        <v>1.0</v>
      </c>
      <c r="FQ424" s="156">
        <v>2.0</v>
      </c>
      <c r="FR424" s="156">
        <v>0.0</v>
      </c>
      <c r="FS424" s="156">
        <v>0.0</v>
      </c>
      <c r="FT424" s="156">
        <v>0.0</v>
      </c>
      <c r="FU424" s="156">
        <v>0.0</v>
      </c>
      <c r="FV424" s="156">
        <v>0.0</v>
      </c>
      <c r="FW424" s="157"/>
      <c r="FX424" s="157"/>
      <c r="FY424" s="157"/>
      <c r="FZ424" s="157"/>
      <c r="GA424" s="188"/>
      <c r="GB424" s="188"/>
      <c r="GC424" s="157"/>
      <c r="GD424" s="157"/>
      <c r="GE424" s="157"/>
      <c r="GF424" s="157"/>
      <c r="GG424" s="157"/>
      <c r="GH424" s="188">
        <v>1.0</v>
      </c>
      <c r="GI424" s="157"/>
      <c r="GJ424" s="157"/>
      <c r="GK424" s="188">
        <v>1.0</v>
      </c>
      <c r="GL424" s="157"/>
      <c r="GM424" s="157"/>
      <c r="GN424" s="157"/>
      <c r="GO424" s="188"/>
      <c r="GP424" s="158"/>
      <c r="GQ424" s="157"/>
      <c r="GR424" s="157"/>
      <c r="GS424" s="157"/>
      <c r="GT424" s="157"/>
      <c r="GU424" s="157"/>
      <c r="GV424" s="157"/>
      <c r="GW424" s="157"/>
      <c r="GX424" s="157"/>
      <c r="GY424" s="157"/>
      <c r="GZ424" s="157"/>
      <c r="HA424" s="157"/>
      <c r="HB424" s="155">
        <v>1.0</v>
      </c>
      <c r="HC424" s="155">
        <v>0.0</v>
      </c>
      <c r="HD424" s="155">
        <v>0.0</v>
      </c>
      <c r="HE424" s="155">
        <v>0.0</v>
      </c>
      <c r="HF424" s="155">
        <v>0.0</v>
      </c>
      <c r="HG424" s="155">
        <v>0.0</v>
      </c>
      <c r="HR424" s="86">
        <v>1.0</v>
      </c>
      <c r="IL424" s="159">
        <v>0.0</v>
      </c>
      <c r="IM424" s="156">
        <v>0.0</v>
      </c>
      <c r="IN424" s="156">
        <v>0.0</v>
      </c>
      <c r="IO424" s="156">
        <v>0.0</v>
      </c>
      <c r="IP424" s="156">
        <v>0.0</v>
      </c>
      <c r="IQ424" s="160">
        <v>0.0</v>
      </c>
      <c r="JH424" s="25"/>
      <c r="JW424" s="159">
        <v>0.0</v>
      </c>
      <c r="JX424" s="156">
        <v>0.0</v>
      </c>
      <c r="JY424" s="156">
        <v>0.0</v>
      </c>
      <c r="JZ424" s="156">
        <v>0.0</v>
      </c>
      <c r="KA424" s="156">
        <v>0.0</v>
      </c>
      <c r="KB424" s="160">
        <v>0.0</v>
      </c>
      <c r="LH424" s="159">
        <f t="shared" si="10"/>
        <v>0</v>
      </c>
      <c r="LI424" s="156">
        <f t="shared" si="11"/>
        <v>0</v>
      </c>
      <c r="LJ424" s="156">
        <f t="shared" si="12"/>
        <v>0</v>
      </c>
      <c r="LK424" s="156">
        <f t="shared" si="13"/>
        <v>0</v>
      </c>
      <c r="LL424" s="156">
        <f t="shared" si="14"/>
        <v>0</v>
      </c>
      <c r="LM424" s="160">
        <f t="shared" si="15"/>
        <v>0</v>
      </c>
      <c r="QX424" s="107">
        <v>45992.0</v>
      </c>
    </row>
    <row r="425">
      <c r="A425" s="12"/>
      <c r="B425" s="12"/>
      <c r="C425" s="12"/>
      <c r="D425" s="12"/>
      <c r="E425" s="12"/>
      <c r="F425" s="12"/>
      <c r="G425" s="12"/>
      <c r="H425" s="12"/>
      <c r="I425" s="143">
        <f t="shared" si="5"/>
        <v>-46</v>
      </c>
      <c r="J425" s="144">
        <v>45993.0</v>
      </c>
      <c r="K425" s="164" t="s">
        <v>61</v>
      </c>
      <c r="L425" s="171">
        <v>46174.0</v>
      </c>
      <c r="M425" s="147" t="s">
        <v>2845</v>
      </c>
      <c r="N425" s="148">
        <v>357.0</v>
      </c>
      <c r="O425" s="148">
        <v>30.0</v>
      </c>
      <c r="P425" s="26"/>
      <c r="Q425" s="26"/>
      <c r="R425" s="26"/>
      <c r="S425" s="26"/>
      <c r="T425" s="26"/>
      <c r="U425" s="147" t="s">
        <v>3200</v>
      </c>
      <c r="V425" s="149" t="s">
        <v>3201</v>
      </c>
      <c r="W425" s="150" t="s">
        <v>3221</v>
      </c>
      <c r="X425" s="181">
        <v>11.0</v>
      </c>
      <c r="Y425" s="166">
        <f t="shared" si="6"/>
        <v>46</v>
      </c>
      <c r="Z425" s="26">
        <f t="shared" si="7"/>
        <v>0</v>
      </c>
      <c r="AA425" s="26">
        <f t="shared" si="8"/>
        <v>0</v>
      </c>
      <c r="AB425" s="26">
        <f t="shared" si="9"/>
        <v>0</v>
      </c>
      <c r="AC425" s="155">
        <v>9.0</v>
      </c>
      <c r="AD425" s="155">
        <v>0.0</v>
      </c>
      <c r="AE425" s="155">
        <v>0.0</v>
      </c>
      <c r="AF425" s="155">
        <v>0.0</v>
      </c>
      <c r="AG425" s="155">
        <v>0.0</v>
      </c>
      <c r="AH425" s="155">
        <v>0.0</v>
      </c>
      <c r="AI425" s="167"/>
      <c r="AJ425" s="167"/>
      <c r="AK425" s="167"/>
      <c r="AL425" s="167"/>
      <c r="AM425" s="167"/>
      <c r="AN425" s="167"/>
      <c r="AO425" s="167"/>
      <c r="AP425" s="167">
        <v>1.0</v>
      </c>
      <c r="AQ425" s="167">
        <v>0.0</v>
      </c>
      <c r="AR425" s="167">
        <v>1.0</v>
      </c>
      <c r="AS425" s="167">
        <v>0.0</v>
      </c>
      <c r="AT425" s="167">
        <v>0.0</v>
      </c>
      <c r="AU425" s="167">
        <v>1.0</v>
      </c>
      <c r="AV425" s="167">
        <v>0.0</v>
      </c>
      <c r="AW425" s="167">
        <v>1.0</v>
      </c>
      <c r="AX425" s="167">
        <v>0.0</v>
      </c>
      <c r="AY425" s="167">
        <v>1.0</v>
      </c>
      <c r="AZ425" s="167">
        <v>0.0</v>
      </c>
      <c r="BA425" s="167">
        <v>0.0</v>
      </c>
      <c r="BB425" s="167">
        <v>1.0</v>
      </c>
      <c r="BC425" s="167">
        <v>0.0</v>
      </c>
      <c r="BD425" s="167"/>
      <c r="BE425" s="167">
        <v>0.0</v>
      </c>
      <c r="BF425" s="167">
        <v>1.0</v>
      </c>
      <c r="BG425" s="167">
        <v>0.0</v>
      </c>
      <c r="BH425" s="167">
        <v>0.0</v>
      </c>
      <c r="BI425" s="167">
        <v>1.0</v>
      </c>
      <c r="BJ425" s="167">
        <v>0.0</v>
      </c>
      <c r="BK425" s="167"/>
      <c r="BL425" s="167">
        <v>0.0</v>
      </c>
      <c r="BM425" s="167">
        <v>1.0</v>
      </c>
      <c r="BN425" s="155">
        <v>3.0</v>
      </c>
      <c r="BO425" s="155">
        <v>0.0</v>
      </c>
      <c r="BP425" s="155">
        <v>0.0</v>
      </c>
      <c r="BQ425" s="155">
        <v>0.0</v>
      </c>
      <c r="BR425" s="155">
        <v>0.0</v>
      </c>
      <c r="BS425" s="155">
        <v>0.0</v>
      </c>
      <c r="BT425" s="167"/>
      <c r="BU425" s="167"/>
      <c r="BV425" s="167"/>
      <c r="BW425" s="167"/>
      <c r="BX425" s="167"/>
      <c r="BY425" s="167"/>
      <c r="BZ425" s="167"/>
      <c r="CA425" s="167"/>
      <c r="CB425" s="167"/>
      <c r="CC425" s="167">
        <v>1.0</v>
      </c>
      <c r="CD425" s="167">
        <v>0.0</v>
      </c>
      <c r="CE425" s="167"/>
      <c r="CF425" s="167">
        <v>0.0</v>
      </c>
      <c r="CG425" s="167">
        <v>1.0</v>
      </c>
      <c r="CH425" s="167"/>
      <c r="CI425" s="167"/>
      <c r="CJ425" s="167"/>
      <c r="CK425" s="167"/>
      <c r="CL425" s="167"/>
      <c r="CM425" s="167"/>
      <c r="CN425" s="167"/>
      <c r="CO425" s="167"/>
      <c r="CP425" s="167"/>
      <c r="CQ425" s="167">
        <v>1.0</v>
      </c>
      <c r="CR425" s="167"/>
      <c r="CS425" s="167"/>
      <c r="CT425" s="167"/>
      <c r="CU425" s="167"/>
      <c r="CV425" s="156">
        <v>9.0</v>
      </c>
      <c r="CW425" s="156">
        <v>0.0</v>
      </c>
      <c r="CX425" s="156">
        <v>0.0</v>
      </c>
      <c r="CY425" s="156">
        <v>0.0</v>
      </c>
      <c r="CZ425" s="156">
        <v>0.0</v>
      </c>
      <c r="DA425" s="156">
        <v>0.0</v>
      </c>
      <c r="DB425" s="395"/>
      <c r="DC425" s="395"/>
      <c r="DD425" s="395"/>
      <c r="DE425" s="395"/>
      <c r="DF425" s="395"/>
      <c r="DG425" s="395"/>
      <c r="DH425" s="395"/>
      <c r="DI425" s="395"/>
      <c r="DJ425" s="395"/>
      <c r="DK425" s="395">
        <v>1.0</v>
      </c>
      <c r="DL425" s="395">
        <v>0.0</v>
      </c>
      <c r="DM425" s="395">
        <v>1.0</v>
      </c>
      <c r="DN425" s="395">
        <v>0.0</v>
      </c>
      <c r="DO425" s="395">
        <v>1.0</v>
      </c>
      <c r="DP425" s="395">
        <v>0.0</v>
      </c>
      <c r="DQ425" s="395">
        <v>0.0</v>
      </c>
      <c r="DR425" s="395">
        <v>1.0</v>
      </c>
      <c r="DS425" s="395">
        <v>0.0</v>
      </c>
      <c r="DT425" s="395">
        <v>1.0</v>
      </c>
      <c r="DU425" s="395">
        <v>0.0</v>
      </c>
      <c r="DV425" s="395">
        <v>1.0</v>
      </c>
      <c r="DW425" s="395">
        <v>0.0</v>
      </c>
      <c r="DX425" s="395">
        <v>0.0</v>
      </c>
      <c r="DY425" s="395">
        <v>1.0</v>
      </c>
      <c r="DZ425" s="395">
        <v>0.0</v>
      </c>
      <c r="EA425" s="395"/>
      <c r="EB425" s="395">
        <v>0.0</v>
      </c>
      <c r="EC425" s="395">
        <v>1.0</v>
      </c>
      <c r="ED425" s="395">
        <v>0.0</v>
      </c>
      <c r="EE425" s="395">
        <v>0.0</v>
      </c>
      <c r="EF425" s="395">
        <v>1.0</v>
      </c>
      <c r="EG425" s="156">
        <v>6.0</v>
      </c>
      <c r="EH425" s="156">
        <v>0.0</v>
      </c>
      <c r="EI425" s="156">
        <v>0.0</v>
      </c>
      <c r="EJ425" s="156">
        <v>0.0</v>
      </c>
      <c r="EK425" s="156">
        <v>0.0</v>
      </c>
      <c r="EL425" s="156">
        <v>0.0</v>
      </c>
      <c r="EM425" s="395">
        <v>0.0</v>
      </c>
      <c r="EN425" s="395">
        <v>1.0</v>
      </c>
      <c r="EO425" s="395">
        <v>0.0</v>
      </c>
      <c r="EP425" s="395">
        <v>1.0</v>
      </c>
      <c r="EQ425" s="395"/>
      <c r="ER425" s="395"/>
      <c r="ES425" s="395">
        <v>1.0</v>
      </c>
      <c r="ET425" s="395"/>
      <c r="EU425" s="395"/>
      <c r="EV425" s="395"/>
      <c r="EW425" s="395"/>
      <c r="EX425" s="395"/>
      <c r="EY425" s="395"/>
      <c r="EZ425" s="395"/>
      <c r="FA425" s="395"/>
      <c r="FB425" s="395"/>
      <c r="FC425" s="395"/>
      <c r="FD425" s="395"/>
      <c r="FE425" s="395"/>
      <c r="FF425" s="395"/>
      <c r="FG425" s="395"/>
      <c r="FH425" s="395"/>
      <c r="FI425" s="395">
        <v>1.0</v>
      </c>
      <c r="FJ425" s="395">
        <v>0.0</v>
      </c>
      <c r="FK425" s="395">
        <v>1.0</v>
      </c>
      <c r="FL425" s="395">
        <v>0.0</v>
      </c>
      <c r="FM425" s="395">
        <v>0.0</v>
      </c>
      <c r="FN425" s="395">
        <v>1.0</v>
      </c>
      <c r="FO425" s="395"/>
      <c r="FP425" s="395"/>
      <c r="FQ425" s="156">
        <v>8.0</v>
      </c>
      <c r="FR425" s="156">
        <v>0.0</v>
      </c>
      <c r="FS425" s="156">
        <v>0.0</v>
      </c>
      <c r="FT425" s="156">
        <v>0.0</v>
      </c>
      <c r="FU425" s="156">
        <v>0.0</v>
      </c>
      <c r="FV425" s="156">
        <v>0.0</v>
      </c>
      <c r="FW425" s="172"/>
      <c r="FX425" s="172"/>
      <c r="FY425" s="172"/>
      <c r="FZ425" s="172"/>
      <c r="GA425" s="172"/>
      <c r="GB425" s="172"/>
      <c r="GC425" s="172"/>
      <c r="GD425" s="172"/>
      <c r="GE425" s="172"/>
      <c r="GF425" s="172"/>
      <c r="GG425" s="172"/>
      <c r="GH425" s="172">
        <v>1.0</v>
      </c>
      <c r="GI425" s="172">
        <v>0.0</v>
      </c>
      <c r="GJ425" s="172">
        <v>1.0</v>
      </c>
      <c r="GK425" s="172">
        <v>0.0</v>
      </c>
      <c r="GL425" s="172">
        <v>1.0</v>
      </c>
      <c r="GM425" s="172">
        <v>0.0</v>
      </c>
      <c r="GN425" s="172">
        <v>0.0</v>
      </c>
      <c r="GO425" s="172">
        <v>1.0</v>
      </c>
      <c r="GP425" s="172">
        <v>0.0</v>
      </c>
      <c r="GQ425" s="172">
        <v>1.0</v>
      </c>
      <c r="GR425" s="172">
        <v>0.0</v>
      </c>
      <c r="GS425" s="172">
        <v>1.0</v>
      </c>
      <c r="GT425" s="172">
        <v>0.0</v>
      </c>
      <c r="GU425" s="172">
        <v>0.0</v>
      </c>
      <c r="GV425" s="172"/>
      <c r="GW425" s="172">
        <v>0.0</v>
      </c>
      <c r="GX425" s="172">
        <v>1.0</v>
      </c>
      <c r="GY425" s="172">
        <v>0.0</v>
      </c>
      <c r="GZ425" s="172">
        <v>1.0</v>
      </c>
      <c r="HA425" s="172">
        <v>0.0</v>
      </c>
      <c r="HB425" s="155">
        <v>0.0</v>
      </c>
      <c r="HC425" s="155">
        <v>0.0</v>
      </c>
      <c r="HD425" s="155">
        <v>0.0</v>
      </c>
      <c r="HE425" s="155">
        <v>0.0</v>
      </c>
      <c r="HF425" s="155">
        <v>0.0</v>
      </c>
      <c r="HG425" s="155">
        <v>0.0</v>
      </c>
      <c r="HH425" s="172"/>
      <c r="HI425" s="172"/>
      <c r="HJ425" s="172"/>
      <c r="HK425" s="172"/>
      <c r="HL425" s="172"/>
      <c r="HM425" s="172"/>
      <c r="HN425" s="172"/>
      <c r="HO425" s="172"/>
      <c r="HP425" s="172"/>
      <c r="HQ425" s="172"/>
      <c r="HR425" s="172"/>
      <c r="HS425" s="172"/>
      <c r="HT425" s="172"/>
      <c r="HU425" s="172"/>
      <c r="HV425" s="172"/>
      <c r="HW425" s="172"/>
      <c r="HX425" s="172"/>
      <c r="HY425" s="172"/>
      <c r="HZ425" s="172"/>
      <c r="IA425" s="172"/>
      <c r="IB425" s="172"/>
      <c r="IC425" s="172"/>
      <c r="ID425" s="172"/>
      <c r="IE425" s="172"/>
      <c r="IF425" s="172"/>
      <c r="IG425" s="172"/>
      <c r="IH425" s="172"/>
      <c r="II425" s="172"/>
      <c r="IJ425" s="172"/>
      <c r="IK425" s="172"/>
      <c r="IL425" s="159">
        <v>0.0</v>
      </c>
      <c r="IM425" s="156">
        <v>0.0</v>
      </c>
      <c r="IN425" s="156">
        <v>0.0</v>
      </c>
      <c r="IO425" s="156">
        <v>0.0</v>
      </c>
      <c r="IP425" s="156">
        <v>0.0</v>
      </c>
      <c r="IQ425" s="160">
        <v>0.0</v>
      </c>
      <c r="JH425" s="25"/>
      <c r="JW425" s="159">
        <v>0.0</v>
      </c>
      <c r="JX425" s="156">
        <v>0.0</v>
      </c>
      <c r="JY425" s="156">
        <v>0.0</v>
      </c>
      <c r="JZ425" s="156">
        <v>0.0</v>
      </c>
      <c r="KA425" s="156">
        <v>0.0</v>
      </c>
      <c r="KB425" s="160">
        <v>0.0</v>
      </c>
      <c r="LH425" s="159">
        <f t="shared" si="10"/>
        <v>0</v>
      </c>
      <c r="LI425" s="156">
        <f t="shared" si="11"/>
        <v>0</v>
      </c>
      <c r="LJ425" s="156">
        <f t="shared" si="12"/>
        <v>0</v>
      </c>
      <c r="LK425" s="156">
        <f t="shared" si="13"/>
        <v>0</v>
      </c>
      <c r="LL425" s="156">
        <f t="shared" si="14"/>
        <v>0</v>
      </c>
      <c r="LM425" s="160">
        <f t="shared" si="15"/>
        <v>0</v>
      </c>
      <c r="QX425" s="107">
        <v>45992.0</v>
      </c>
    </row>
    <row r="426">
      <c r="A426" s="12"/>
      <c r="B426" s="12"/>
      <c r="C426" s="12"/>
      <c r="D426" s="12"/>
      <c r="E426" s="12"/>
      <c r="F426" s="12"/>
      <c r="G426" s="12"/>
      <c r="H426" s="12"/>
      <c r="I426" s="143">
        <f t="shared" si="5"/>
        <v>-31</v>
      </c>
      <c r="J426" s="295">
        <v>45992.0</v>
      </c>
      <c r="K426" s="184" t="s">
        <v>53</v>
      </c>
      <c r="L426" s="297">
        <v>46111.0</v>
      </c>
      <c r="M426" s="147" t="s">
        <v>2877</v>
      </c>
      <c r="N426" s="148">
        <v>246.0</v>
      </c>
      <c r="O426" s="148">
        <v>30.0</v>
      </c>
      <c r="P426" s="26"/>
      <c r="Q426" s="26"/>
      <c r="R426" s="26"/>
      <c r="S426" s="26"/>
      <c r="T426" s="26"/>
      <c r="U426" s="147" t="s">
        <v>3222</v>
      </c>
      <c r="V426" s="149" t="s">
        <v>3223</v>
      </c>
      <c r="W426" s="150" t="s">
        <v>3224</v>
      </c>
      <c r="X426" s="181">
        <v>12.0</v>
      </c>
      <c r="Y426" s="166">
        <f t="shared" si="6"/>
        <v>31</v>
      </c>
      <c r="Z426" s="26">
        <f t="shared" si="7"/>
        <v>0</v>
      </c>
      <c r="AA426" s="26">
        <f t="shared" si="8"/>
        <v>0</v>
      </c>
      <c r="AB426" s="26">
        <f t="shared" si="9"/>
        <v>0</v>
      </c>
      <c r="AC426" s="155">
        <v>10.0</v>
      </c>
      <c r="AD426" s="155">
        <v>0.0</v>
      </c>
      <c r="AE426" s="155">
        <v>0.0</v>
      </c>
      <c r="AF426" s="155">
        <v>0.0</v>
      </c>
      <c r="AG426" s="155">
        <v>0.0</v>
      </c>
      <c r="AH426" s="155">
        <v>0.0</v>
      </c>
      <c r="AI426" s="167"/>
      <c r="AJ426" s="167"/>
      <c r="AK426" s="167"/>
      <c r="AL426" s="167"/>
      <c r="AM426" s="167"/>
      <c r="AN426" s="167"/>
      <c r="AO426" s="167">
        <v>1.0</v>
      </c>
      <c r="AP426" s="167">
        <v>0.0</v>
      </c>
      <c r="AQ426" s="167"/>
      <c r="AR426" s="168">
        <v>1.0</v>
      </c>
      <c r="AS426" s="167">
        <v>0.0</v>
      </c>
      <c r="AT426" s="167">
        <v>1.0</v>
      </c>
      <c r="AU426" s="167">
        <v>0.0</v>
      </c>
      <c r="AV426" s="167">
        <v>1.0</v>
      </c>
      <c r="AW426" s="167"/>
      <c r="AX426" s="167"/>
      <c r="AY426" s="168">
        <v>1.0</v>
      </c>
      <c r="AZ426" s="167">
        <v>0.0</v>
      </c>
      <c r="BA426" s="167">
        <v>1.0</v>
      </c>
      <c r="BB426" s="167">
        <v>0.0</v>
      </c>
      <c r="BC426" s="167">
        <v>1.0</v>
      </c>
      <c r="BD426" s="167"/>
      <c r="BE426" s="167"/>
      <c r="BF426" s="168">
        <v>1.0</v>
      </c>
      <c r="BG426" s="167"/>
      <c r="BH426" s="167">
        <v>1.0</v>
      </c>
      <c r="BI426" s="167">
        <v>0.0</v>
      </c>
      <c r="BJ426" s="167"/>
      <c r="BK426" s="167">
        <v>0.0</v>
      </c>
      <c r="BL426" s="167">
        <v>1.0</v>
      </c>
      <c r="BM426" s="167">
        <v>0.0</v>
      </c>
      <c r="BN426" s="155">
        <v>5.0</v>
      </c>
      <c r="BO426" s="155">
        <v>0.0</v>
      </c>
      <c r="BP426" s="155">
        <v>0.0</v>
      </c>
      <c r="BQ426" s="155">
        <v>0.0</v>
      </c>
      <c r="BR426" s="155">
        <v>0.0</v>
      </c>
      <c r="BS426" s="155">
        <v>0.0</v>
      </c>
      <c r="BT426" s="167">
        <v>0.0</v>
      </c>
      <c r="BU426" s="167">
        <v>1.0</v>
      </c>
      <c r="BV426" s="167"/>
      <c r="BW426" s="167"/>
      <c r="BX426" s="167"/>
      <c r="BY426" s="167"/>
      <c r="BZ426" s="167"/>
      <c r="CA426" s="167"/>
      <c r="CB426" s="167">
        <v>1.0</v>
      </c>
      <c r="CC426" s="167">
        <v>0.0</v>
      </c>
      <c r="CD426" s="167">
        <v>1.0</v>
      </c>
      <c r="CE426" s="168">
        <v>1.0</v>
      </c>
      <c r="CF426" s="167"/>
      <c r="CG426" s="167"/>
      <c r="CH426" s="167"/>
      <c r="CI426" s="167"/>
      <c r="CJ426" s="167"/>
      <c r="CK426" s="167"/>
      <c r="CL426" s="167"/>
      <c r="CM426" s="167"/>
      <c r="CN426" s="167"/>
      <c r="CO426" s="167"/>
      <c r="CP426" s="167"/>
      <c r="CQ426" s="167"/>
      <c r="CR426" s="167">
        <v>1.0</v>
      </c>
      <c r="CS426" s="167"/>
      <c r="CT426" s="167"/>
      <c r="CU426" s="167"/>
      <c r="CV426" s="156">
        <v>4.0</v>
      </c>
      <c r="CW426" s="156">
        <v>0.0</v>
      </c>
      <c r="CX426" s="156">
        <v>0.0</v>
      </c>
      <c r="CY426" s="156">
        <v>0.0</v>
      </c>
      <c r="CZ426" s="156">
        <v>0.0</v>
      </c>
      <c r="DA426" s="156">
        <v>0.0</v>
      </c>
      <c r="DB426" s="175">
        <v>1.0</v>
      </c>
      <c r="DC426" s="174"/>
      <c r="DD426" s="175">
        <v>1.0</v>
      </c>
      <c r="DE426" s="174">
        <v>1.0</v>
      </c>
      <c r="DF426" s="174"/>
      <c r="DG426" s="174"/>
      <c r="DH426" s="174"/>
      <c r="DI426" s="174"/>
      <c r="DJ426" s="174"/>
      <c r="DK426" s="174"/>
      <c r="DL426" s="174"/>
      <c r="DM426" s="174"/>
      <c r="DN426" s="174"/>
      <c r="DO426" s="174"/>
      <c r="DP426" s="175">
        <v>1.0</v>
      </c>
      <c r="DQ426" s="174"/>
      <c r="DR426" s="174"/>
      <c r="DS426" s="174"/>
      <c r="DT426" s="174"/>
      <c r="DU426" s="174"/>
      <c r="DV426" s="174"/>
      <c r="DW426" s="174"/>
      <c r="DX426" s="174"/>
      <c r="DY426" s="174"/>
      <c r="DZ426" s="174"/>
      <c r="EA426" s="174"/>
      <c r="EB426" s="174"/>
      <c r="EC426" s="174"/>
      <c r="ED426" s="174"/>
      <c r="EE426" s="174"/>
      <c r="EF426" s="174"/>
      <c r="EG426" s="156">
        <v>0.0</v>
      </c>
      <c r="EH426" s="156">
        <v>0.0</v>
      </c>
      <c r="EI426" s="156">
        <v>0.0</v>
      </c>
      <c r="EJ426" s="156">
        <v>0.0</v>
      </c>
      <c r="EK426" s="156">
        <v>0.0</v>
      </c>
      <c r="EL426" s="156">
        <v>0.0</v>
      </c>
      <c r="FQ426" s="156">
        <v>0.0</v>
      </c>
      <c r="FR426" s="156">
        <v>0.0</v>
      </c>
      <c r="FS426" s="156">
        <v>0.0</v>
      </c>
      <c r="FT426" s="156">
        <v>0.0</v>
      </c>
      <c r="FU426" s="156">
        <v>0.0</v>
      </c>
      <c r="FV426" s="156">
        <v>0.0</v>
      </c>
      <c r="FW426" s="157"/>
      <c r="FX426" s="157"/>
      <c r="FY426" s="157"/>
      <c r="FZ426" s="157"/>
      <c r="GA426" s="157"/>
      <c r="GB426" s="157"/>
      <c r="GC426" s="157"/>
      <c r="GD426" s="157"/>
      <c r="GE426" s="157"/>
      <c r="GF426" s="157"/>
      <c r="GG426" s="157"/>
      <c r="GH426" s="157"/>
      <c r="GI426" s="157"/>
      <c r="GJ426" s="157"/>
      <c r="GK426" s="157"/>
      <c r="GL426" s="157"/>
      <c r="GM426" s="157"/>
      <c r="GN426" s="157"/>
      <c r="GO426" s="157"/>
      <c r="GP426" s="158"/>
      <c r="GQ426" s="157"/>
      <c r="GR426" s="157"/>
      <c r="GS426" s="157"/>
      <c r="GT426" s="157"/>
      <c r="GU426" s="157"/>
      <c r="GV426" s="157"/>
      <c r="GW426" s="157"/>
      <c r="GX426" s="157"/>
      <c r="GY426" s="157"/>
      <c r="GZ426" s="157"/>
      <c r="HA426" s="157"/>
      <c r="HB426" s="155">
        <v>0.0</v>
      </c>
      <c r="HC426" s="155">
        <v>0.0</v>
      </c>
      <c r="HD426" s="155">
        <v>0.0</v>
      </c>
      <c r="HE426" s="155">
        <v>0.0</v>
      </c>
      <c r="HF426" s="155">
        <v>0.0</v>
      </c>
      <c r="HG426" s="155">
        <v>0.0</v>
      </c>
      <c r="IL426" s="159">
        <v>0.0</v>
      </c>
      <c r="IM426" s="156">
        <v>0.0</v>
      </c>
      <c r="IN426" s="156">
        <v>0.0</v>
      </c>
      <c r="IO426" s="156">
        <v>0.0</v>
      </c>
      <c r="IP426" s="156">
        <v>0.0</v>
      </c>
      <c r="IQ426" s="160">
        <v>0.0</v>
      </c>
      <c r="JH426" s="25"/>
      <c r="JW426" s="159">
        <v>0.0</v>
      </c>
      <c r="JX426" s="156">
        <v>0.0</v>
      </c>
      <c r="JY426" s="156">
        <v>0.0</v>
      </c>
      <c r="JZ426" s="156">
        <v>0.0</v>
      </c>
      <c r="KA426" s="156">
        <v>0.0</v>
      </c>
      <c r="KB426" s="160">
        <v>0.0</v>
      </c>
      <c r="LH426" s="159">
        <f t="shared" si="10"/>
        <v>0</v>
      </c>
      <c r="LI426" s="156">
        <f t="shared" si="11"/>
        <v>0</v>
      </c>
      <c r="LJ426" s="156">
        <f t="shared" si="12"/>
        <v>0</v>
      </c>
      <c r="LK426" s="156">
        <f t="shared" si="13"/>
        <v>0</v>
      </c>
      <c r="LL426" s="156">
        <f t="shared" si="14"/>
        <v>0</v>
      </c>
      <c r="LM426" s="160">
        <f t="shared" si="15"/>
        <v>0</v>
      </c>
      <c r="QX426" s="107">
        <v>45993.0</v>
      </c>
    </row>
    <row r="427">
      <c r="A427" s="12"/>
      <c r="B427" s="12"/>
      <c r="C427" s="12"/>
      <c r="D427" s="12"/>
      <c r="E427" s="12"/>
      <c r="F427" s="12"/>
      <c r="G427" s="12"/>
      <c r="H427" s="12"/>
      <c r="I427" s="143">
        <f t="shared" si="5"/>
        <v>-60</v>
      </c>
      <c r="J427" s="144">
        <v>45989.0</v>
      </c>
      <c r="K427" s="164" t="s">
        <v>61</v>
      </c>
      <c r="L427" s="171">
        <v>46140.0</v>
      </c>
      <c r="M427" s="147" t="s">
        <v>3225</v>
      </c>
      <c r="N427" s="148">
        <v>246.0</v>
      </c>
      <c r="O427" s="148">
        <v>30.0</v>
      </c>
      <c r="P427" s="26"/>
      <c r="Q427" s="26"/>
      <c r="R427" s="26"/>
      <c r="S427" s="26"/>
      <c r="T427" s="26"/>
      <c r="U427" s="147" t="s">
        <v>3200</v>
      </c>
      <c r="V427" s="149" t="s">
        <v>3201</v>
      </c>
      <c r="W427" s="248" t="s">
        <v>3226</v>
      </c>
      <c r="X427" s="181">
        <v>15.0</v>
      </c>
      <c r="Y427" s="166">
        <f t="shared" si="6"/>
        <v>60</v>
      </c>
      <c r="Z427" s="26">
        <f t="shared" si="7"/>
        <v>0</v>
      </c>
      <c r="AA427" s="26">
        <f t="shared" si="8"/>
        <v>0</v>
      </c>
      <c r="AB427" s="26">
        <f t="shared" si="9"/>
        <v>0</v>
      </c>
      <c r="AC427" s="155">
        <v>13.0</v>
      </c>
      <c r="AD427" s="155">
        <v>0.0</v>
      </c>
      <c r="AE427" s="155">
        <v>0.0</v>
      </c>
      <c r="AF427" s="155">
        <v>0.0</v>
      </c>
      <c r="AG427" s="155">
        <v>0.0</v>
      </c>
      <c r="AH427" s="155">
        <v>0.0</v>
      </c>
      <c r="AI427" s="167">
        <v>0.0</v>
      </c>
      <c r="AJ427" s="167">
        <v>1.0</v>
      </c>
      <c r="AK427" s="167">
        <v>0.0</v>
      </c>
      <c r="AL427" s="167">
        <v>0.0</v>
      </c>
      <c r="AM427" s="167">
        <v>1.0</v>
      </c>
      <c r="AN427" s="167">
        <v>0.0</v>
      </c>
      <c r="AO427" s="167">
        <v>1.0</v>
      </c>
      <c r="AP427" s="167">
        <v>0.0</v>
      </c>
      <c r="AQ427" s="167">
        <v>1.0</v>
      </c>
      <c r="AR427" s="167">
        <v>0.0</v>
      </c>
      <c r="AS427" s="167">
        <v>0.0</v>
      </c>
      <c r="AT427" s="167">
        <v>1.0</v>
      </c>
      <c r="AU427" s="167">
        <v>0.0</v>
      </c>
      <c r="AV427" s="167">
        <v>1.0</v>
      </c>
      <c r="AW427" s="167">
        <v>0.0</v>
      </c>
      <c r="AX427" s="167">
        <v>1.0</v>
      </c>
      <c r="AY427" s="167">
        <v>0.0</v>
      </c>
      <c r="AZ427" s="167">
        <v>0.0</v>
      </c>
      <c r="BA427" s="167">
        <v>1.0</v>
      </c>
      <c r="BB427" s="167">
        <v>0.0</v>
      </c>
      <c r="BC427" s="167">
        <v>1.0</v>
      </c>
      <c r="BD427" s="167">
        <v>0.0</v>
      </c>
      <c r="BE427" s="167">
        <v>1.0</v>
      </c>
      <c r="BF427" s="167">
        <v>0.0</v>
      </c>
      <c r="BG427" s="167">
        <v>0.0</v>
      </c>
      <c r="BH427" s="167">
        <v>1.0</v>
      </c>
      <c r="BI427" s="167">
        <v>0.0</v>
      </c>
      <c r="BJ427" s="167">
        <v>1.0</v>
      </c>
      <c r="BK427" s="167">
        <v>0.0</v>
      </c>
      <c r="BL427" s="167">
        <v>1.0</v>
      </c>
      <c r="BM427" s="167">
        <v>0.0</v>
      </c>
      <c r="BN427" s="155">
        <v>9.0</v>
      </c>
      <c r="BO427" s="155">
        <v>0.0</v>
      </c>
      <c r="BP427" s="155">
        <v>0.0</v>
      </c>
      <c r="BQ427" s="155">
        <v>0.0</v>
      </c>
      <c r="BR427" s="155">
        <v>0.0</v>
      </c>
      <c r="BS427" s="155">
        <v>0.0</v>
      </c>
      <c r="BT427" s="167">
        <v>0.0</v>
      </c>
      <c r="BU427" s="167">
        <v>1.0</v>
      </c>
      <c r="BV427" s="167">
        <v>0.0</v>
      </c>
      <c r="BW427" s="167">
        <v>1.0</v>
      </c>
      <c r="BX427" s="167">
        <v>0.0</v>
      </c>
      <c r="BY427" s="167">
        <v>1.0</v>
      </c>
      <c r="BZ427" s="167">
        <v>0.0</v>
      </c>
      <c r="CA427" s="167">
        <v>0.0</v>
      </c>
      <c r="CB427" s="167">
        <v>1.0</v>
      </c>
      <c r="CC427" s="167">
        <v>0.0</v>
      </c>
      <c r="CD427" s="167">
        <v>1.0</v>
      </c>
      <c r="CE427" s="167">
        <v>0.0</v>
      </c>
      <c r="CF427" s="167">
        <v>1.0</v>
      </c>
      <c r="CG427" s="167"/>
      <c r="CH427" s="167"/>
      <c r="CI427" s="167"/>
      <c r="CJ427" s="167"/>
      <c r="CK427" s="167"/>
      <c r="CL427" s="167"/>
      <c r="CM427" s="167"/>
      <c r="CN427" s="167"/>
      <c r="CO427" s="167"/>
      <c r="CP427" s="167">
        <v>1.0</v>
      </c>
      <c r="CQ427" s="167">
        <v>0.0</v>
      </c>
      <c r="CR427" s="167">
        <v>1.0</v>
      </c>
      <c r="CS427" s="167">
        <v>0.0</v>
      </c>
      <c r="CT427" s="167">
        <v>1.0</v>
      </c>
      <c r="CU427" s="167">
        <v>0.0</v>
      </c>
      <c r="CV427" s="156">
        <v>11.0</v>
      </c>
      <c r="CW427" s="156">
        <v>0.0</v>
      </c>
      <c r="CX427" s="156">
        <v>0.0</v>
      </c>
      <c r="CY427" s="156">
        <v>0.0</v>
      </c>
      <c r="CZ427" s="156">
        <v>0.0</v>
      </c>
      <c r="DA427" s="156">
        <v>0.0</v>
      </c>
      <c r="DB427" s="174">
        <v>0.0</v>
      </c>
      <c r="DC427" s="174">
        <v>1.0</v>
      </c>
      <c r="DD427" s="174">
        <v>0.0</v>
      </c>
      <c r="DE427" s="174">
        <v>1.0</v>
      </c>
      <c r="DF427" s="174">
        <v>0.0</v>
      </c>
      <c r="DG427" s="174">
        <v>1.0</v>
      </c>
      <c r="DH427" s="174">
        <v>0.0</v>
      </c>
      <c r="DI427" s="174">
        <v>0.0</v>
      </c>
      <c r="DJ427" s="174">
        <v>1.0</v>
      </c>
      <c r="DK427" s="174">
        <v>0.0</v>
      </c>
      <c r="DL427" s="174">
        <v>1.0</v>
      </c>
      <c r="DM427" s="174">
        <v>0.0</v>
      </c>
      <c r="DN427" s="174">
        <v>1.0</v>
      </c>
      <c r="DO427" s="174"/>
      <c r="DP427" s="174"/>
      <c r="DQ427" s="174"/>
      <c r="DR427" s="174"/>
      <c r="DS427" s="174">
        <v>1.0</v>
      </c>
      <c r="DT427" s="174">
        <v>0.0</v>
      </c>
      <c r="DU427" s="174">
        <v>1.0</v>
      </c>
      <c r="DV427" s="174">
        <v>0.0</v>
      </c>
      <c r="DW427" s="174">
        <v>0.0</v>
      </c>
      <c r="DX427" s="175"/>
      <c r="DY427" s="174">
        <v>0.0</v>
      </c>
      <c r="DZ427" s="174"/>
      <c r="EA427" s="175">
        <v>1.0</v>
      </c>
      <c r="EB427" s="174"/>
      <c r="EC427" s="175">
        <v>1.0</v>
      </c>
      <c r="ED427" s="174">
        <v>0.0</v>
      </c>
      <c r="EE427" s="174"/>
      <c r="EF427" s="175">
        <v>1.0</v>
      </c>
      <c r="EG427" s="156">
        <v>12.0</v>
      </c>
      <c r="EH427" s="156">
        <v>0.0</v>
      </c>
      <c r="EI427" s="156">
        <v>0.0</v>
      </c>
      <c r="EJ427" s="156">
        <v>0.0</v>
      </c>
      <c r="EK427" s="156">
        <v>0.0</v>
      </c>
      <c r="EL427" s="156">
        <v>0.0</v>
      </c>
      <c r="EM427" s="174"/>
      <c r="EN427" s="175">
        <v>1.0</v>
      </c>
      <c r="EO427" s="174"/>
      <c r="EP427" s="175">
        <v>1.0</v>
      </c>
      <c r="EQ427" s="174"/>
      <c r="ER427" s="174"/>
      <c r="ES427" s="175">
        <v>1.0</v>
      </c>
      <c r="ET427" s="174"/>
      <c r="EU427" s="175">
        <v>1.0</v>
      </c>
      <c r="EV427" s="174"/>
      <c r="EW427" s="175">
        <v>1.0</v>
      </c>
      <c r="EX427" s="174"/>
      <c r="EY427" s="174"/>
      <c r="EZ427" s="175">
        <v>1.0</v>
      </c>
      <c r="FA427" s="174"/>
      <c r="FB427" s="175">
        <v>1.0</v>
      </c>
      <c r="FC427" s="174"/>
      <c r="FD427" s="175">
        <v>1.0</v>
      </c>
      <c r="FE427" s="174"/>
      <c r="FF427" s="174"/>
      <c r="FG427" s="175">
        <v>1.0</v>
      </c>
      <c r="FH427" s="174"/>
      <c r="FI427" s="175">
        <v>1.0</v>
      </c>
      <c r="FJ427" s="174"/>
      <c r="FK427" s="175">
        <v>1.0</v>
      </c>
      <c r="FL427" s="174"/>
      <c r="FM427" s="174"/>
      <c r="FN427" s="175">
        <v>1.0</v>
      </c>
      <c r="FO427" s="174"/>
      <c r="FP427" s="174"/>
      <c r="FQ427" s="156">
        <v>0.0</v>
      </c>
      <c r="FR427" s="156">
        <v>0.0</v>
      </c>
      <c r="FS427" s="156">
        <v>0.0</v>
      </c>
      <c r="FT427" s="156">
        <v>0.0</v>
      </c>
      <c r="FU427" s="156">
        <v>0.0</v>
      </c>
      <c r="FV427" s="156">
        <v>0.0</v>
      </c>
      <c r="FW427" s="174"/>
      <c r="FX427" s="174"/>
      <c r="FY427" s="174"/>
      <c r="FZ427" s="174"/>
      <c r="GA427" s="174"/>
      <c r="GB427" s="174"/>
      <c r="GC427" s="174"/>
      <c r="GD427" s="174"/>
      <c r="GE427" s="174"/>
      <c r="GF427" s="174"/>
      <c r="GG427" s="174"/>
      <c r="GH427" s="174"/>
      <c r="GI427" s="174"/>
      <c r="GJ427" s="174"/>
      <c r="GK427" s="174"/>
      <c r="GL427" s="174"/>
      <c r="GM427" s="174"/>
      <c r="GN427" s="174"/>
      <c r="GO427" s="174"/>
      <c r="GP427" s="177"/>
      <c r="GQ427" s="174"/>
      <c r="GR427" s="174"/>
      <c r="GS427" s="174"/>
      <c r="GT427" s="174"/>
      <c r="GU427" s="174"/>
      <c r="GV427" s="174"/>
      <c r="GW427" s="174"/>
      <c r="GX427" s="174"/>
      <c r="GY427" s="174"/>
      <c r="GZ427" s="174"/>
      <c r="HA427" s="174"/>
      <c r="HB427" s="155">
        <v>0.0</v>
      </c>
      <c r="HC427" s="155">
        <v>0.0</v>
      </c>
      <c r="HD427" s="155">
        <v>0.0</v>
      </c>
      <c r="HE427" s="155">
        <v>0.0</v>
      </c>
      <c r="HF427" s="155">
        <v>0.0</v>
      </c>
      <c r="HG427" s="155">
        <v>0.0</v>
      </c>
      <c r="HH427" s="174"/>
      <c r="HI427" s="174"/>
      <c r="HJ427" s="174"/>
      <c r="HK427" s="174"/>
      <c r="HL427" s="174"/>
      <c r="HM427" s="174"/>
      <c r="HN427" s="174"/>
      <c r="HO427" s="174"/>
      <c r="HP427" s="174"/>
      <c r="HQ427" s="174"/>
      <c r="HR427" s="174"/>
      <c r="HS427" s="174"/>
      <c r="HT427" s="174"/>
      <c r="HU427" s="174"/>
      <c r="HV427" s="174"/>
      <c r="HW427" s="174"/>
      <c r="HX427" s="174"/>
      <c r="HY427" s="174"/>
      <c r="HZ427" s="174"/>
      <c r="IA427" s="174"/>
      <c r="IB427" s="174"/>
      <c r="IC427" s="174"/>
      <c r="ID427" s="174"/>
      <c r="IE427" s="174"/>
      <c r="IF427" s="174"/>
      <c r="IG427" s="174"/>
      <c r="IH427" s="174"/>
      <c r="II427" s="174"/>
      <c r="IJ427" s="174"/>
      <c r="IK427" s="174"/>
      <c r="IL427" s="159">
        <v>0.0</v>
      </c>
      <c r="IM427" s="156">
        <v>0.0</v>
      </c>
      <c r="IN427" s="156">
        <v>0.0</v>
      </c>
      <c r="IO427" s="156">
        <v>0.0</v>
      </c>
      <c r="IP427" s="156">
        <v>0.0</v>
      </c>
      <c r="IQ427" s="160">
        <v>0.0</v>
      </c>
      <c r="JH427" s="25"/>
      <c r="JW427" s="159">
        <v>0.0</v>
      </c>
      <c r="JX427" s="156">
        <v>0.0</v>
      </c>
      <c r="JY427" s="156">
        <v>0.0</v>
      </c>
      <c r="JZ427" s="156">
        <v>0.0</v>
      </c>
      <c r="KA427" s="156">
        <v>0.0</v>
      </c>
      <c r="KB427" s="160">
        <v>0.0</v>
      </c>
      <c r="LH427" s="159">
        <f t="shared" si="10"/>
        <v>0</v>
      </c>
      <c r="LI427" s="156">
        <f t="shared" si="11"/>
        <v>0</v>
      </c>
      <c r="LJ427" s="156">
        <f t="shared" si="12"/>
        <v>0</v>
      </c>
      <c r="LK427" s="156">
        <f t="shared" si="13"/>
        <v>0</v>
      </c>
      <c r="LL427" s="156">
        <f t="shared" si="14"/>
        <v>0</v>
      </c>
      <c r="LM427" s="160">
        <f t="shared" si="15"/>
        <v>0</v>
      </c>
      <c r="QX427" s="107">
        <v>45995.0</v>
      </c>
    </row>
    <row r="428">
      <c r="A428" s="12"/>
      <c r="B428" s="12"/>
      <c r="C428" s="12"/>
      <c r="D428" s="12"/>
      <c r="E428" s="12"/>
      <c r="F428" s="12"/>
      <c r="G428" s="12"/>
      <c r="H428" s="12"/>
      <c r="I428" s="143">
        <f t="shared" si="5"/>
        <v>-3</v>
      </c>
      <c r="J428" s="144">
        <v>45992.0</v>
      </c>
      <c r="K428" s="145" t="s">
        <v>61</v>
      </c>
      <c r="L428" s="146"/>
      <c r="M428" s="147" t="s">
        <v>107</v>
      </c>
      <c r="N428" s="148">
        <v>246.0</v>
      </c>
      <c r="O428" s="148">
        <v>30.0</v>
      </c>
      <c r="P428" s="26"/>
      <c r="Q428" s="26"/>
      <c r="R428" s="26"/>
      <c r="S428" s="26"/>
      <c r="T428" s="26"/>
      <c r="U428" s="147" t="s">
        <v>3227</v>
      </c>
      <c r="V428" s="149" t="s">
        <v>3131</v>
      </c>
      <c r="W428" s="198" t="s">
        <v>3228</v>
      </c>
      <c r="X428" s="181">
        <v>3.0</v>
      </c>
      <c r="Y428" s="166">
        <f t="shared" si="6"/>
        <v>3</v>
      </c>
      <c r="Z428" s="26">
        <f t="shared" si="7"/>
        <v>0</v>
      </c>
      <c r="AA428" s="26">
        <f t="shared" si="8"/>
        <v>0</v>
      </c>
      <c r="AB428" s="26">
        <f t="shared" si="9"/>
        <v>0</v>
      </c>
      <c r="AC428" s="155">
        <v>0.0</v>
      </c>
      <c r="AD428" s="155">
        <v>0.0</v>
      </c>
      <c r="AE428" s="155">
        <v>0.0</v>
      </c>
      <c r="AF428" s="155">
        <v>0.0</v>
      </c>
      <c r="AG428" s="155">
        <v>0.0</v>
      </c>
      <c r="AH428" s="155">
        <v>0.0</v>
      </c>
      <c r="AI428" s="167"/>
      <c r="AJ428" s="167"/>
      <c r="AK428" s="167"/>
      <c r="AL428" s="167"/>
      <c r="AM428" s="167"/>
      <c r="AN428" s="167"/>
      <c r="AO428" s="167"/>
      <c r="AP428" s="167"/>
      <c r="AQ428" s="167"/>
      <c r="AR428" s="167"/>
      <c r="AS428" s="167"/>
      <c r="AT428" s="167"/>
      <c r="AU428" s="167"/>
      <c r="AV428" s="167"/>
      <c r="AW428" s="167"/>
      <c r="AX428" s="167"/>
      <c r="AY428" s="167"/>
      <c r="AZ428" s="167"/>
      <c r="BA428" s="167"/>
      <c r="BB428" s="167"/>
      <c r="BC428" s="167"/>
      <c r="BD428" s="167"/>
      <c r="BE428" s="167"/>
      <c r="BF428" s="167"/>
      <c r="BG428" s="167"/>
      <c r="BH428" s="167"/>
      <c r="BI428" s="167"/>
      <c r="BJ428" s="167"/>
      <c r="BK428" s="167"/>
      <c r="BL428" s="167"/>
      <c r="BM428" s="167"/>
      <c r="BN428" s="155">
        <v>0.0</v>
      </c>
      <c r="BO428" s="155">
        <v>0.0</v>
      </c>
      <c r="BP428" s="155">
        <v>0.0</v>
      </c>
      <c r="BQ428" s="155">
        <v>0.0</v>
      </c>
      <c r="BR428" s="155">
        <v>0.0</v>
      </c>
      <c r="BS428" s="155">
        <v>0.0</v>
      </c>
      <c r="CV428" s="156">
        <v>0.0</v>
      </c>
      <c r="CW428" s="156">
        <v>0.0</v>
      </c>
      <c r="CX428" s="156">
        <v>0.0</v>
      </c>
      <c r="CY428" s="156">
        <v>0.0</v>
      </c>
      <c r="CZ428" s="156">
        <v>0.0</v>
      </c>
      <c r="DA428" s="156">
        <v>0.0</v>
      </c>
      <c r="EG428" s="156">
        <v>0.0</v>
      </c>
      <c r="EH428" s="156">
        <v>0.0</v>
      </c>
      <c r="EI428" s="156">
        <v>0.0</v>
      </c>
      <c r="EJ428" s="156">
        <v>0.0</v>
      </c>
      <c r="EK428" s="156">
        <v>0.0</v>
      </c>
      <c r="EL428" s="156">
        <v>0.0</v>
      </c>
      <c r="FQ428" s="156">
        <v>0.0</v>
      </c>
      <c r="FR428" s="156">
        <v>0.0</v>
      </c>
      <c r="FS428" s="156">
        <v>0.0</v>
      </c>
      <c r="FT428" s="156">
        <v>0.0</v>
      </c>
      <c r="FU428" s="156">
        <v>0.0</v>
      </c>
      <c r="FV428" s="156">
        <v>0.0</v>
      </c>
      <c r="FW428" s="157"/>
      <c r="FX428" s="157"/>
      <c r="FY428" s="157"/>
      <c r="FZ428" s="157"/>
      <c r="GA428" s="157"/>
      <c r="GB428" s="157"/>
      <c r="GC428" s="157"/>
      <c r="GD428" s="157"/>
      <c r="GE428" s="157"/>
      <c r="GF428" s="157"/>
      <c r="GG428" s="157"/>
      <c r="GH428" s="157"/>
      <c r="GI428" s="157"/>
      <c r="GJ428" s="157"/>
      <c r="GK428" s="157"/>
      <c r="GL428" s="157"/>
      <c r="GM428" s="157"/>
      <c r="GN428" s="157"/>
      <c r="GO428" s="157"/>
      <c r="GP428" s="158"/>
      <c r="GQ428" s="157"/>
      <c r="GR428" s="157"/>
      <c r="GS428" s="157"/>
      <c r="GT428" s="157"/>
      <c r="GU428" s="157"/>
      <c r="GV428" s="157"/>
      <c r="GW428" s="157"/>
      <c r="GX428" s="157"/>
      <c r="GY428" s="157"/>
      <c r="GZ428" s="157"/>
      <c r="HA428" s="157"/>
      <c r="HB428" s="155">
        <v>0.0</v>
      </c>
      <c r="HC428" s="155">
        <v>0.0</v>
      </c>
      <c r="HD428" s="155">
        <v>0.0</v>
      </c>
      <c r="HE428" s="155">
        <v>0.0</v>
      </c>
      <c r="HF428" s="155">
        <v>0.0</v>
      </c>
      <c r="HG428" s="155">
        <v>0.0</v>
      </c>
      <c r="IL428" s="159">
        <v>0.0</v>
      </c>
      <c r="IM428" s="156">
        <v>0.0</v>
      </c>
      <c r="IN428" s="156">
        <v>0.0</v>
      </c>
      <c r="IO428" s="156">
        <v>0.0</v>
      </c>
      <c r="IP428" s="156">
        <v>0.0</v>
      </c>
      <c r="IQ428" s="160">
        <v>0.0</v>
      </c>
      <c r="JH428" s="25"/>
      <c r="JW428" s="159">
        <v>0.0</v>
      </c>
      <c r="JX428" s="156">
        <v>0.0</v>
      </c>
      <c r="JY428" s="156">
        <v>0.0</v>
      </c>
      <c r="JZ428" s="156">
        <v>0.0</v>
      </c>
      <c r="KA428" s="156">
        <v>0.0</v>
      </c>
      <c r="KB428" s="160">
        <v>0.0</v>
      </c>
      <c r="LH428" s="159">
        <f t="shared" si="10"/>
        <v>0</v>
      </c>
      <c r="LI428" s="156">
        <f t="shared" si="11"/>
        <v>0</v>
      </c>
      <c r="LJ428" s="156">
        <f t="shared" si="12"/>
        <v>0</v>
      </c>
      <c r="LK428" s="156">
        <f t="shared" si="13"/>
        <v>0</v>
      </c>
      <c r="LL428" s="156">
        <f t="shared" si="14"/>
        <v>0</v>
      </c>
      <c r="LM428" s="160">
        <f t="shared" si="15"/>
        <v>0</v>
      </c>
      <c r="QX428" s="107">
        <v>45995.0</v>
      </c>
    </row>
    <row r="429">
      <c r="A429" s="25"/>
      <c r="B429" s="25"/>
      <c r="C429" s="25"/>
      <c r="D429" s="25"/>
      <c r="E429" s="25"/>
      <c r="F429" s="25"/>
      <c r="G429" s="25"/>
      <c r="H429" s="25"/>
      <c r="I429" s="143">
        <f t="shared" si="5"/>
        <v>-30</v>
      </c>
      <c r="J429" s="144">
        <v>45993.0</v>
      </c>
      <c r="K429" s="180" t="s">
        <v>61</v>
      </c>
      <c r="L429" s="171">
        <v>46081.0</v>
      </c>
      <c r="M429" s="147" t="s">
        <v>3229</v>
      </c>
      <c r="N429" s="148">
        <v>357.0</v>
      </c>
      <c r="O429" s="148">
        <v>30.0</v>
      </c>
      <c r="P429" s="26"/>
      <c r="Q429" s="26"/>
      <c r="R429" s="26"/>
      <c r="S429" s="26"/>
      <c r="T429" s="26"/>
      <c r="U429" s="164" t="s">
        <v>3230</v>
      </c>
      <c r="V429" s="165" t="s">
        <v>3201</v>
      </c>
      <c r="W429" s="198" t="s">
        <v>3231</v>
      </c>
      <c r="X429" s="181">
        <v>9.0</v>
      </c>
      <c r="Y429" s="166">
        <f t="shared" si="6"/>
        <v>30</v>
      </c>
      <c r="Z429" s="26">
        <f t="shared" si="7"/>
        <v>0</v>
      </c>
      <c r="AA429" s="26">
        <f t="shared" si="8"/>
        <v>0</v>
      </c>
      <c r="AB429" s="26">
        <f t="shared" si="9"/>
        <v>0</v>
      </c>
      <c r="AC429" s="155">
        <v>12.0</v>
      </c>
      <c r="AD429" s="155">
        <v>0.0</v>
      </c>
      <c r="AE429" s="155">
        <v>0.0</v>
      </c>
      <c r="AF429" s="155">
        <v>0.0</v>
      </c>
      <c r="AG429" s="155">
        <v>0.0</v>
      </c>
      <c r="AH429" s="155">
        <v>0.0</v>
      </c>
      <c r="AI429" s="167"/>
      <c r="AJ429" s="167"/>
      <c r="AK429" s="167">
        <v>1.0</v>
      </c>
      <c r="AL429" s="167">
        <v>0.0</v>
      </c>
      <c r="AM429" s="167">
        <v>0.0</v>
      </c>
      <c r="AN429" s="167">
        <v>1.0</v>
      </c>
      <c r="AO429" s="167">
        <v>0.0</v>
      </c>
      <c r="AP429" s="167">
        <v>1.0</v>
      </c>
      <c r="AQ429" s="167">
        <v>0.0</v>
      </c>
      <c r="AR429" s="167">
        <v>1.0</v>
      </c>
      <c r="AS429" s="167">
        <v>0.0</v>
      </c>
      <c r="AT429" s="167">
        <v>0.0</v>
      </c>
      <c r="AU429" s="167">
        <v>1.0</v>
      </c>
      <c r="AV429" s="167">
        <v>0.0</v>
      </c>
      <c r="AW429" s="167">
        <v>1.0</v>
      </c>
      <c r="AX429" s="167">
        <v>0.0</v>
      </c>
      <c r="AY429" s="167">
        <v>1.0</v>
      </c>
      <c r="AZ429" s="167">
        <v>0.0</v>
      </c>
      <c r="BA429" s="167">
        <v>0.0</v>
      </c>
      <c r="BB429" s="167">
        <v>1.0</v>
      </c>
      <c r="BC429" s="167">
        <v>0.0</v>
      </c>
      <c r="BD429" s="167"/>
      <c r="BE429" s="167">
        <v>0.0</v>
      </c>
      <c r="BF429" s="167">
        <v>1.0</v>
      </c>
      <c r="BG429" s="167">
        <v>0.0</v>
      </c>
      <c r="BH429" s="167">
        <v>0.0</v>
      </c>
      <c r="BI429" s="167">
        <v>1.0</v>
      </c>
      <c r="BJ429" s="167">
        <v>0.0</v>
      </c>
      <c r="BK429" s="167">
        <v>1.0</v>
      </c>
      <c r="BL429" s="167">
        <v>0.0</v>
      </c>
      <c r="BM429" s="167">
        <v>1.0</v>
      </c>
      <c r="BN429" s="155">
        <v>8.0</v>
      </c>
      <c r="BO429" s="155">
        <v>0.0</v>
      </c>
      <c r="BP429" s="155">
        <v>0.0</v>
      </c>
      <c r="BQ429" s="155">
        <v>0.0</v>
      </c>
      <c r="BR429" s="155">
        <v>0.0</v>
      </c>
      <c r="BS429" s="155">
        <v>0.0</v>
      </c>
      <c r="BT429" s="167">
        <v>0.0</v>
      </c>
      <c r="BU429" s="167">
        <v>0.0</v>
      </c>
      <c r="BV429" s="167">
        <v>1.0</v>
      </c>
      <c r="BW429" s="167"/>
      <c r="BX429" s="167"/>
      <c r="BY429" s="167"/>
      <c r="BZ429" s="167">
        <v>1.0</v>
      </c>
      <c r="CA429" s="167">
        <v>0.0</v>
      </c>
      <c r="CB429" s="167">
        <v>0.0</v>
      </c>
      <c r="CC429" s="167">
        <v>1.0</v>
      </c>
      <c r="CD429" s="167">
        <v>0.0</v>
      </c>
      <c r="CE429" s="167"/>
      <c r="CF429" s="168">
        <v>1.0</v>
      </c>
      <c r="CG429" s="167">
        <v>1.0</v>
      </c>
      <c r="CH429" s="167"/>
      <c r="CI429" s="167"/>
      <c r="CJ429" s="167"/>
      <c r="CK429" s="167"/>
      <c r="CL429" s="167"/>
      <c r="CM429" s="167"/>
      <c r="CN429" s="167"/>
      <c r="CO429" s="167"/>
      <c r="CP429" s="167"/>
      <c r="CQ429" s="167">
        <v>1.0</v>
      </c>
      <c r="CR429" s="167">
        <v>0.0</v>
      </c>
      <c r="CS429" s="167">
        <v>1.0</v>
      </c>
      <c r="CT429" s="167">
        <v>0.0</v>
      </c>
      <c r="CU429" s="167">
        <v>1.0</v>
      </c>
      <c r="CV429" s="156">
        <v>1.0</v>
      </c>
      <c r="CW429" s="156">
        <v>0.0</v>
      </c>
      <c r="CX429" s="156">
        <v>0.0</v>
      </c>
      <c r="CY429" s="156">
        <v>0.0</v>
      </c>
      <c r="CZ429" s="156">
        <v>0.0</v>
      </c>
      <c r="DA429" s="156">
        <v>0.0</v>
      </c>
      <c r="DD429" s="86">
        <v>1.0</v>
      </c>
      <c r="EG429" s="156">
        <v>0.0</v>
      </c>
      <c r="EH429" s="156">
        <v>0.0</v>
      </c>
      <c r="EI429" s="156">
        <v>0.0</v>
      </c>
      <c r="EJ429" s="156">
        <v>0.0</v>
      </c>
      <c r="EK429" s="156">
        <v>0.0</v>
      </c>
      <c r="EL429" s="156">
        <v>0.0</v>
      </c>
      <c r="FQ429" s="156">
        <v>0.0</v>
      </c>
      <c r="FR429" s="156">
        <v>0.0</v>
      </c>
      <c r="FS429" s="156">
        <v>0.0</v>
      </c>
      <c r="FT429" s="156">
        <v>0.0</v>
      </c>
      <c r="FU429" s="156">
        <v>0.0</v>
      </c>
      <c r="FV429" s="156">
        <v>0.0</v>
      </c>
      <c r="FW429" s="157"/>
      <c r="FX429" s="157"/>
      <c r="FY429" s="157"/>
      <c r="FZ429" s="157"/>
      <c r="GA429" s="157"/>
      <c r="GB429" s="157"/>
      <c r="GC429" s="157"/>
      <c r="GD429" s="157"/>
      <c r="GE429" s="157"/>
      <c r="GF429" s="157"/>
      <c r="GG429" s="157"/>
      <c r="GH429" s="157"/>
      <c r="GI429" s="157"/>
      <c r="GJ429" s="157"/>
      <c r="GK429" s="157"/>
      <c r="GL429" s="157"/>
      <c r="GM429" s="157"/>
      <c r="GN429" s="157"/>
      <c r="GO429" s="157"/>
      <c r="GP429" s="158"/>
      <c r="GQ429" s="157"/>
      <c r="GR429" s="157"/>
      <c r="GS429" s="157"/>
      <c r="GT429" s="157"/>
      <c r="GU429" s="157"/>
      <c r="GV429" s="157"/>
      <c r="GW429" s="157"/>
      <c r="GX429" s="157"/>
      <c r="GY429" s="157"/>
      <c r="GZ429" s="157"/>
      <c r="HA429" s="157"/>
      <c r="HB429" s="155">
        <v>0.0</v>
      </c>
      <c r="HC429" s="155">
        <v>0.0</v>
      </c>
      <c r="HD429" s="155">
        <v>0.0</v>
      </c>
      <c r="HE429" s="155">
        <v>0.0</v>
      </c>
      <c r="HF429" s="155">
        <v>0.0</v>
      </c>
      <c r="HG429" s="155">
        <v>0.0</v>
      </c>
      <c r="IL429" s="159">
        <v>0.0</v>
      </c>
      <c r="IM429" s="156">
        <v>0.0</v>
      </c>
      <c r="IN429" s="156">
        <v>0.0</v>
      </c>
      <c r="IO429" s="156">
        <v>0.0</v>
      </c>
      <c r="IP429" s="156">
        <v>0.0</v>
      </c>
      <c r="IQ429" s="160">
        <v>0.0</v>
      </c>
      <c r="JH429" s="25"/>
      <c r="JW429" s="159">
        <v>0.0</v>
      </c>
      <c r="JX429" s="156">
        <v>0.0</v>
      </c>
      <c r="JY429" s="156">
        <v>0.0</v>
      </c>
      <c r="JZ429" s="156">
        <v>0.0</v>
      </c>
      <c r="KA429" s="156">
        <v>0.0</v>
      </c>
      <c r="KB429" s="160">
        <v>0.0</v>
      </c>
      <c r="LH429" s="159">
        <f t="shared" si="10"/>
        <v>0</v>
      </c>
      <c r="LI429" s="156">
        <f t="shared" si="11"/>
        <v>0</v>
      </c>
      <c r="LJ429" s="156">
        <f t="shared" si="12"/>
        <v>0</v>
      </c>
      <c r="LK429" s="156">
        <f t="shared" si="13"/>
        <v>0</v>
      </c>
      <c r="LL429" s="156">
        <f t="shared" si="14"/>
        <v>0</v>
      </c>
      <c r="LM429" s="160">
        <f t="shared" si="15"/>
        <v>0</v>
      </c>
      <c r="QX429" s="107">
        <v>45996.0</v>
      </c>
    </row>
    <row r="430">
      <c r="A430" s="126"/>
      <c r="B430" s="126"/>
      <c r="C430" s="12"/>
      <c r="D430" s="12"/>
      <c r="E430" s="12"/>
      <c r="F430" s="12"/>
      <c r="G430" s="12"/>
      <c r="H430" s="12"/>
      <c r="I430" s="143">
        <f t="shared" si="5"/>
        <v>-30</v>
      </c>
      <c r="J430" s="144">
        <v>45994.0</v>
      </c>
      <c r="K430" s="145" t="s">
        <v>61</v>
      </c>
      <c r="L430" s="171">
        <v>46046.0</v>
      </c>
      <c r="M430" s="147" t="s">
        <v>1703</v>
      </c>
      <c r="N430" s="148">
        <v>246.0</v>
      </c>
      <c r="O430" s="148">
        <v>30.0</v>
      </c>
      <c r="P430" s="26"/>
      <c r="Q430" s="26"/>
      <c r="R430" s="26"/>
      <c r="S430" s="26"/>
      <c r="T430" s="26"/>
      <c r="U430" s="147" t="s">
        <v>3200</v>
      </c>
      <c r="V430" s="149" t="s">
        <v>3201</v>
      </c>
      <c r="W430" s="198" t="s">
        <v>3232</v>
      </c>
      <c r="X430" s="181">
        <v>11.0</v>
      </c>
      <c r="Y430" s="166">
        <f t="shared" si="6"/>
        <v>30</v>
      </c>
      <c r="Z430" s="26">
        <f t="shared" si="7"/>
        <v>0</v>
      </c>
      <c r="AA430" s="26">
        <f t="shared" si="8"/>
        <v>0</v>
      </c>
      <c r="AB430" s="26">
        <f t="shared" si="9"/>
        <v>0</v>
      </c>
      <c r="AC430" s="155">
        <v>12.0</v>
      </c>
      <c r="AD430" s="155">
        <v>0.0</v>
      </c>
      <c r="AE430" s="155">
        <v>0.0</v>
      </c>
      <c r="AF430" s="155">
        <v>0.0</v>
      </c>
      <c r="AG430" s="155">
        <v>0.0</v>
      </c>
      <c r="AH430" s="155">
        <v>0.0</v>
      </c>
      <c r="AI430" s="167">
        <v>0.0</v>
      </c>
      <c r="AJ430" s="167">
        <v>1.0</v>
      </c>
      <c r="AK430" s="167">
        <v>0.0</v>
      </c>
      <c r="AL430" s="167">
        <v>0.0</v>
      </c>
      <c r="AM430" s="167">
        <v>1.0</v>
      </c>
      <c r="AN430" s="168">
        <v>1.0</v>
      </c>
      <c r="AO430" s="167"/>
      <c r="AP430" s="168">
        <v>1.0</v>
      </c>
      <c r="AQ430" s="167"/>
      <c r="AR430" s="167">
        <v>0.0</v>
      </c>
      <c r="AS430" s="167">
        <v>0.0</v>
      </c>
      <c r="AT430" s="167">
        <v>1.0</v>
      </c>
      <c r="AU430" s="167">
        <v>0.0</v>
      </c>
      <c r="AV430" s="167">
        <v>1.0</v>
      </c>
      <c r="AW430" s="168">
        <v>1.0</v>
      </c>
      <c r="AX430" s="167"/>
      <c r="AY430" s="167">
        <v>0.0</v>
      </c>
      <c r="AZ430" s="167">
        <v>0.0</v>
      </c>
      <c r="BA430" s="167">
        <v>1.0</v>
      </c>
      <c r="BB430" s="167">
        <v>0.0</v>
      </c>
      <c r="BC430" s="167">
        <v>1.0</v>
      </c>
      <c r="BD430" s="167">
        <v>0.0</v>
      </c>
      <c r="BE430" s="167">
        <v>1.0</v>
      </c>
      <c r="BF430" s="167">
        <v>0.0</v>
      </c>
      <c r="BG430" s="167">
        <v>0.0</v>
      </c>
      <c r="BH430" s="167">
        <v>1.0</v>
      </c>
      <c r="BI430" s="167">
        <v>0.0</v>
      </c>
      <c r="BJ430" s="167"/>
      <c r="BK430" s="167">
        <v>0.0</v>
      </c>
      <c r="BL430" s="167">
        <v>1.0</v>
      </c>
      <c r="BM430" s="167">
        <v>0.0</v>
      </c>
      <c r="BN430" s="155">
        <v>7.0</v>
      </c>
      <c r="BO430" s="155">
        <v>0.0</v>
      </c>
      <c r="BP430" s="155">
        <v>0.0</v>
      </c>
      <c r="BQ430" s="155">
        <v>0.0</v>
      </c>
      <c r="BR430" s="155">
        <v>0.0</v>
      </c>
      <c r="BS430" s="155">
        <v>0.0</v>
      </c>
      <c r="BT430" s="167">
        <v>0.0</v>
      </c>
      <c r="BU430" s="167">
        <v>1.0</v>
      </c>
      <c r="BV430" s="167">
        <v>0.0</v>
      </c>
      <c r="BW430" s="167">
        <v>1.0</v>
      </c>
      <c r="BX430" s="167">
        <v>0.0</v>
      </c>
      <c r="BY430" s="167"/>
      <c r="BZ430" s="168">
        <v>1.0</v>
      </c>
      <c r="CA430" s="167">
        <v>0.0</v>
      </c>
      <c r="CB430" s="167">
        <v>1.0</v>
      </c>
      <c r="CC430" s="167">
        <v>0.0</v>
      </c>
      <c r="CD430" s="167">
        <v>1.0</v>
      </c>
      <c r="CE430" s="167">
        <v>0.0</v>
      </c>
      <c r="CF430" s="167">
        <v>1.0</v>
      </c>
      <c r="CG430" s="168">
        <v>1.0</v>
      </c>
      <c r="CH430" s="167"/>
      <c r="CI430" s="167"/>
      <c r="CJ430" s="167"/>
      <c r="CK430" s="167"/>
      <c r="CL430" s="167"/>
      <c r="CM430" s="167"/>
      <c r="CN430" s="167"/>
      <c r="CO430" s="167"/>
      <c r="CP430" s="167"/>
      <c r="CQ430" s="167"/>
      <c r="CR430" s="167"/>
      <c r="CS430" s="167"/>
      <c r="CT430" s="167"/>
      <c r="CU430" s="167"/>
      <c r="CV430" s="156">
        <v>0.0</v>
      </c>
      <c r="CW430" s="156">
        <v>0.0</v>
      </c>
      <c r="CX430" s="156">
        <v>0.0</v>
      </c>
      <c r="CY430" s="156">
        <v>0.0</v>
      </c>
      <c r="CZ430" s="156">
        <v>0.0</v>
      </c>
      <c r="DA430" s="156">
        <v>0.0</v>
      </c>
      <c r="EG430" s="156">
        <v>0.0</v>
      </c>
      <c r="EH430" s="156">
        <v>0.0</v>
      </c>
      <c r="EI430" s="156">
        <v>0.0</v>
      </c>
      <c r="EJ430" s="156">
        <v>0.0</v>
      </c>
      <c r="EK430" s="156">
        <v>0.0</v>
      </c>
      <c r="EL430" s="156">
        <v>0.0</v>
      </c>
      <c r="FQ430" s="156">
        <v>0.0</v>
      </c>
      <c r="FR430" s="156">
        <v>0.0</v>
      </c>
      <c r="FS430" s="156">
        <v>0.0</v>
      </c>
      <c r="FT430" s="156">
        <v>0.0</v>
      </c>
      <c r="FU430" s="156">
        <v>0.0</v>
      </c>
      <c r="FV430" s="156">
        <v>0.0</v>
      </c>
      <c r="FW430" s="157"/>
      <c r="FX430" s="157"/>
      <c r="FY430" s="157"/>
      <c r="FZ430" s="157"/>
      <c r="GA430" s="157"/>
      <c r="GB430" s="157"/>
      <c r="GC430" s="157"/>
      <c r="GD430" s="157"/>
      <c r="GE430" s="157"/>
      <c r="GF430" s="157"/>
      <c r="GG430" s="157"/>
      <c r="GH430" s="157"/>
      <c r="GI430" s="157"/>
      <c r="GJ430" s="157"/>
      <c r="GK430" s="157"/>
      <c r="GL430" s="157"/>
      <c r="GM430" s="157"/>
      <c r="GN430" s="157"/>
      <c r="GO430" s="157"/>
      <c r="GP430" s="158"/>
      <c r="GQ430" s="157"/>
      <c r="GR430" s="157"/>
      <c r="GS430" s="157"/>
      <c r="GT430" s="157"/>
      <c r="GU430" s="157"/>
      <c r="GV430" s="157"/>
      <c r="GW430" s="157"/>
      <c r="GX430" s="157"/>
      <c r="GY430" s="157"/>
      <c r="GZ430" s="157"/>
      <c r="HA430" s="157"/>
      <c r="HB430" s="155">
        <v>0.0</v>
      </c>
      <c r="HC430" s="155">
        <v>0.0</v>
      </c>
      <c r="HD430" s="155">
        <v>0.0</v>
      </c>
      <c r="HE430" s="155">
        <v>0.0</v>
      </c>
      <c r="HF430" s="155">
        <v>0.0</v>
      </c>
      <c r="HG430" s="155">
        <v>0.0</v>
      </c>
      <c r="IL430" s="159">
        <v>0.0</v>
      </c>
      <c r="IM430" s="156">
        <v>0.0</v>
      </c>
      <c r="IN430" s="156">
        <v>0.0</v>
      </c>
      <c r="IO430" s="156">
        <v>0.0</v>
      </c>
      <c r="IP430" s="156">
        <v>0.0</v>
      </c>
      <c r="IQ430" s="160">
        <v>0.0</v>
      </c>
      <c r="JH430" s="25"/>
      <c r="JW430" s="159">
        <v>0.0</v>
      </c>
      <c r="JX430" s="156">
        <v>0.0</v>
      </c>
      <c r="JY430" s="156">
        <v>0.0</v>
      </c>
      <c r="JZ430" s="156">
        <v>0.0</v>
      </c>
      <c r="KA430" s="156">
        <v>0.0</v>
      </c>
      <c r="KB430" s="160">
        <v>0.0</v>
      </c>
      <c r="LH430" s="159">
        <f t="shared" si="10"/>
        <v>0</v>
      </c>
      <c r="LI430" s="156">
        <f t="shared" si="11"/>
        <v>0</v>
      </c>
      <c r="LJ430" s="156">
        <f t="shared" si="12"/>
        <v>0</v>
      </c>
      <c r="LK430" s="156">
        <f t="shared" si="13"/>
        <v>0</v>
      </c>
      <c r="LL430" s="156">
        <f t="shared" si="14"/>
        <v>0</v>
      </c>
      <c r="LM430" s="160">
        <f t="shared" si="15"/>
        <v>0</v>
      </c>
      <c r="QX430" s="107">
        <v>45996.0</v>
      </c>
    </row>
    <row r="431">
      <c r="A431" s="12"/>
      <c r="B431" s="12"/>
      <c r="C431" s="12"/>
      <c r="D431" s="12"/>
      <c r="E431" s="12"/>
      <c r="F431" s="12"/>
      <c r="G431" s="12"/>
      <c r="H431" s="12"/>
      <c r="I431" s="143">
        <f t="shared" si="5"/>
        <v>-11</v>
      </c>
      <c r="J431" s="144">
        <v>46002.0</v>
      </c>
      <c r="K431" s="145" t="s">
        <v>61</v>
      </c>
      <c r="L431" s="171">
        <v>46034.0</v>
      </c>
      <c r="M431" s="147" t="s">
        <v>107</v>
      </c>
      <c r="N431" s="148">
        <v>357.0</v>
      </c>
      <c r="O431" s="148">
        <v>30.0</v>
      </c>
      <c r="P431" s="26"/>
      <c r="Q431" s="26"/>
      <c r="R431" s="26"/>
      <c r="S431" s="26"/>
      <c r="T431" s="26"/>
      <c r="U431" s="147" t="s">
        <v>3200</v>
      </c>
      <c r="V431" s="149" t="s">
        <v>3201</v>
      </c>
      <c r="W431" s="198" t="s">
        <v>3233</v>
      </c>
      <c r="X431" s="181">
        <v>7.0</v>
      </c>
      <c r="Y431" s="166">
        <f t="shared" si="6"/>
        <v>11</v>
      </c>
      <c r="Z431" s="26">
        <f t="shared" si="7"/>
        <v>0</v>
      </c>
      <c r="AA431" s="26">
        <f t="shared" si="8"/>
        <v>0</v>
      </c>
      <c r="AB431" s="26">
        <f t="shared" si="9"/>
        <v>0</v>
      </c>
      <c r="AC431" s="155">
        <v>4.0</v>
      </c>
      <c r="AD431" s="155">
        <v>0.0</v>
      </c>
      <c r="AE431" s="155">
        <v>0.0</v>
      </c>
      <c r="AF431" s="155">
        <v>0.0</v>
      </c>
      <c r="AG431" s="155">
        <v>0.0</v>
      </c>
      <c r="AH431" s="155">
        <v>0.0</v>
      </c>
      <c r="AI431" s="167"/>
      <c r="AJ431" s="167"/>
      <c r="AK431" s="167">
        <v>1.0</v>
      </c>
      <c r="AL431" s="167">
        <v>0.0</v>
      </c>
      <c r="AM431" s="167">
        <v>0.0</v>
      </c>
      <c r="AN431" s="167">
        <v>1.0</v>
      </c>
      <c r="AO431" s="167">
        <v>0.0</v>
      </c>
      <c r="AP431" s="167">
        <v>1.0</v>
      </c>
      <c r="AQ431" s="167">
        <v>0.0</v>
      </c>
      <c r="AR431" s="167">
        <v>1.0</v>
      </c>
      <c r="AS431" s="167"/>
      <c r="AT431" s="167"/>
      <c r="AU431" s="167"/>
      <c r="AV431" s="167"/>
      <c r="AW431" s="167"/>
      <c r="AX431" s="167"/>
      <c r="AY431" s="167"/>
      <c r="AZ431" s="167"/>
      <c r="BA431" s="167"/>
      <c r="BB431" s="167"/>
      <c r="BC431" s="167"/>
      <c r="BD431" s="167"/>
      <c r="BE431" s="167"/>
      <c r="BF431" s="167"/>
      <c r="BG431" s="167"/>
      <c r="BH431" s="167"/>
      <c r="BI431" s="167"/>
      <c r="BJ431" s="167"/>
      <c r="BK431" s="167"/>
      <c r="BL431" s="167"/>
      <c r="BM431" s="167"/>
      <c r="BN431" s="155">
        <v>0.0</v>
      </c>
      <c r="BO431" s="155">
        <v>0.0</v>
      </c>
      <c r="BP431" s="155">
        <v>0.0</v>
      </c>
      <c r="BQ431" s="155">
        <v>0.0</v>
      </c>
      <c r="BR431" s="155">
        <v>0.0</v>
      </c>
      <c r="BS431" s="155">
        <v>0.0</v>
      </c>
      <c r="CV431" s="156">
        <v>0.0</v>
      </c>
      <c r="CW431" s="156">
        <v>0.0</v>
      </c>
      <c r="CX431" s="156">
        <v>0.0</v>
      </c>
      <c r="CY431" s="156">
        <v>0.0</v>
      </c>
      <c r="CZ431" s="156">
        <v>0.0</v>
      </c>
      <c r="DA431" s="156">
        <v>0.0</v>
      </c>
      <c r="EG431" s="156">
        <v>0.0</v>
      </c>
      <c r="EH431" s="156">
        <v>0.0</v>
      </c>
      <c r="EI431" s="156">
        <v>0.0</v>
      </c>
      <c r="EJ431" s="156">
        <v>0.0</v>
      </c>
      <c r="EK431" s="156">
        <v>0.0</v>
      </c>
      <c r="EL431" s="156">
        <v>0.0</v>
      </c>
      <c r="FQ431" s="156">
        <v>0.0</v>
      </c>
      <c r="FR431" s="156">
        <v>0.0</v>
      </c>
      <c r="FS431" s="156">
        <v>0.0</v>
      </c>
      <c r="FT431" s="156">
        <v>0.0</v>
      </c>
      <c r="FU431" s="156">
        <v>0.0</v>
      </c>
      <c r="FV431" s="156">
        <v>0.0</v>
      </c>
      <c r="FW431" s="157"/>
      <c r="FX431" s="157"/>
      <c r="FY431" s="157"/>
      <c r="FZ431" s="157"/>
      <c r="GA431" s="157"/>
      <c r="GB431" s="157"/>
      <c r="GC431" s="157"/>
      <c r="GD431" s="157"/>
      <c r="GE431" s="157"/>
      <c r="GF431" s="157"/>
      <c r="GG431" s="157"/>
      <c r="GH431" s="157"/>
      <c r="GI431" s="157"/>
      <c r="GJ431" s="157"/>
      <c r="GK431" s="157"/>
      <c r="GL431" s="157"/>
      <c r="GM431" s="157"/>
      <c r="GN431" s="157"/>
      <c r="GO431" s="157"/>
      <c r="GP431" s="158"/>
      <c r="GQ431" s="157"/>
      <c r="GR431" s="157"/>
      <c r="GS431" s="157"/>
      <c r="GT431" s="157"/>
      <c r="GU431" s="157"/>
      <c r="GV431" s="157"/>
      <c r="GW431" s="157"/>
      <c r="GX431" s="157"/>
      <c r="GY431" s="157"/>
      <c r="GZ431" s="157"/>
      <c r="HA431" s="157"/>
      <c r="HB431" s="155">
        <v>0.0</v>
      </c>
      <c r="HC431" s="155">
        <v>0.0</v>
      </c>
      <c r="HD431" s="155">
        <v>0.0</v>
      </c>
      <c r="HE431" s="155">
        <v>0.0</v>
      </c>
      <c r="HF431" s="155">
        <v>0.0</v>
      </c>
      <c r="HG431" s="155">
        <v>0.0</v>
      </c>
      <c r="IL431" s="159">
        <v>0.0</v>
      </c>
      <c r="IM431" s="156">
        <v>0.0</v>
      </c>
      <c r="IN431" s="156">
        <v>0.0</v>
      </c>
      <c r="IO431" s="156">
        <v>0.0</v>
      </c>
      <c r="IP431" s="156">
        <v>0.0</v>
      </c>
      <c r="IQ431" s="160">
        <v>0.0</v>
      </c>
      <c r="JH431" s="25"/>
      <c r="JW431" s="159">
        <v>0.0</v>
      </c>
      <c r="JX431" s="156">
        <v>0.0</v>
      </c>
      <c r="JY431" s="156">
        <v>0.0</v>
      </c>
      <c r="JZ431" s="156">
        <v>0.0</v>
      </c>
      <c r="KA431" s="156">
        <v>0.0</v>
      </c>
      <c r="KB431" s="160">
        <v>0.0</v>
      </c>
      <c r="LH431" s="159">
        <f t="shared" si="10"/>
        <v>0</v>
      </c>
      <c r="LI431" s="156">
        <f t="shared" si="11"/>
        <v>0</v>
      </c>
      <c r="LJ431" s="156">
        <f t="shared" si="12"/>
        <v>0</v>
      </c>
      <c r="LK431" s="156">
        <f t="shared" si="13"/>
        <v>0</v>
      </c>
      <c r="LL431" s="156">
        <f t="shared" si="14"/>
        <v>0</v>
      </c>
      <c r="LM431" s="160">
        <f t="shared" si="15"/>
        <v>0</v>
      </c>
      <c r="QX431" s="107">
        <v>45997.0</v>
      </c>
    </row>
    <row r="432">
      <c r="A432" s="12"/>
      <c r="B432" s="12"/>
      <c r="C432" s="12"/>
      <c r="D432" s="12"/>
      <c r="E432" s="12"/>
      <c r="F432" s="12"/>
      <c r="G432" s="12"/>
      <c r="H432" s="12"/>
      <c r="I432" s="143">
        <f t="shared" si="5"/>
        <v>-16</v>
      </c>
      <c r="J432" s="295">
        <v>45995.0</v>
      </c>
      <c r="K432" s="184" t="s">
        <v>53</v>
      </c>
      <c r="L432" s="297">
        <v>46098.0</v>
      </c>
      <c r="M432" s="147" t="s">
        <v>348</v>
      </c>
      <c r="N432" s="148">
        <v>35.0</v>
      </c>
      <c r="O432" s="148">
        <v>30.0</v>
      </c>
      <c r="P432" s="26"/>
      <c r="Q432" s="26"/>
      <c r="R432" s="26"/>
      <c r="S432" s="26"/>
      <c r="T432" s="26"/>
      <c r="U432" s="147" t="s">
        <v>845</v>
      </c>
      <c r="V432" s="149" t="s">
        <v>2952</v>
      </c>
      <c r="W432" s="198" t="s">
        <v>3234</v>
      </c>
      <c r="X432" s="181">
        <v>6.0</v>
      </c>
      <c r="Y432" s="166">
        <f t="shared" si="6"/>
        <v>16</v>
      </c>
      <c r="Z432" s="26">
        <f t="shared" si="7"/>
        <v>0</v>
      </c>
      <c r="AA432" s="26">
        <f t="shared" si="8"/>
        <v>0</v>
      </c>
      <c r="AB432" s="26">
        <f t="shared" si="9"/>
        <v>0</v>
      </c>
      <c r="AC432" s="155">
        <v>3.0</v>
      </c>
      <c r="AD432" s="155">
        <v>0.0</v>
      </c>
      <c r="AE432" s="155">
        <v>0.0</v>
      </c>
      <c r="AF432" s="155">
        <v>0.0</v>
      </c>
      <c r="AG432" s="155">
        <v>0.0</v>
      </c>
      <c r="AH432" s="155">
        <v>0.0</v>
      </c>
      <c r="AN432" s="86">
        <v>1.0</v>
      </c>
      <c r="AR432" s="86">
        <v>1.0</v>
      </c>
      <c r="AU432" s="86">
        <v>1.0</v>
      </c>
      <c r="BN432" s="155">
        <v>6.0</v>
      </c>
      <c r="BO432" s="155">
        <v>0.0</v>
      </c>
      <c r="BP432" s="155">
        <v>0.0</v>
      </c>
      <c r="BQ432" s="155">
        <v>0.0</v>
      </c>
      <c r="BR432" s="155">
        <v>0.0</v>
      </c>
      <c r="BS432" s="155">
        <v>0.0</v>
      </c>
      <c r="BV432" s="86">
        <v>1.0</v>
      </c>
      <c r="BX432" s="86">
        <v>1.0</v>
      </c>
      <c r="CE432" s="86">
        <v>2.0</v>
      </c>
      <c r="CQ432" s="86">
        <v>1.0</v>
      </c>
      <c r="CS432" s="86">
        <v>1.0</v>
      </c>
      <c r="CV432" s="156">
        <v>1.0</v>
      </c>
      <c r="CW432" s="156">
        <v>0.0</v>
      </c>
      <c r="CX432" s="156">
        <v>0.0</v>
      </c>
      <c r="CY432" s="156">
        <v>0.0</v>
      </c>
      <c r="CZ432" s="156">
        <v>0.0</v>
      </c>
      <c r="DA432" s="156">
        <v>0.0</v>
      </c>
      <c r="DF432" s="86">
        <v>1.0</v>
      </c>
      <c r="EG432" s="156">
        <v>0.0</v>
      </c>
      <c r="EH432" s="156">
        <v>0.0</v>
      </c>
      <c r="EI432" s="156">
        <v>0.0</v>
      </c>
      <c r="EJ432" s="156">
        <v>0.0</v>
      </c>
      <c r="EK432" s="156">
        <v>0.0</v>
      </c>
      <c r="EL432" s="156">
        <v>0.0</v>
      </c>
      <c r="FQ432" s="156">
        <v>0.0</v>
      </c>
      <c r="FR432" s="156">
        <v>0.0</v>
      </c>
      <c r="FS432" s="156">
        <v>0.0</v>
      </c>
      <c r="FT432" s="156">
        <v>0.0</v>
      </c>
      <c r="FU432" s="156">
        <v>0.0</v>
      </c>
      <c r="FV432" s="156">
        <v>0.0</v>
      </c>
      <c r="FW432" s="157"/>
      <c r="FX432" s="157"/>
      <c r="FY432" s="157"/>
      <c r="FZ432" s="157"/>
      <c r="GA432" s="157"/>
      <c r="GB432" s="157"/>
      <c r="GC432" s="157"/>
      <c r="GD432" s="157"/>
      <c r="GE432" s="157"/>
      <c r="GF432" s="157"/>
      <c r="GG432" s="157"/>
      <c r="GH432" s="157"/>
      <c r="GI432" s="157"/>
      <c r="GJ432" s="157"/>
      <c r="GK432" s="157"/>
      <c r="GL432" s="157"/>
      <c r="GM432" s="157"/>
      <c r="GN432" s="157"/>
      <c r="GO432" s="157"/>
      <c r="GP432" s="158"/>
      <c r="GQ432" s="157"/>
      <c r="GR432" s="157"/>
      <c r="GS432" s="157"/>
      <c r="GT432" s="157"/>
      <c r="GU432" s="157"/>
      <c r="GV432" s="157"/>
      <c r="GW432" s="157"/>
      <c r="GX432" s="157"/>
      <c r="GY432" s="157"/>
      <c r="GZ432" s="157"/>
      <c r="HA432" s="157"/>
      <c r="HB432" s="155">
        <v>0.0</v>
      </c>
      <c r="HC432" s="155">
        <v>0.0</v>
      </c>
      <c r="HD432" s="155">
        <v>0.0</v>
      </c>
      <c r="HE432" s="155">
        <v>0.0</v>
      </c>
      <c r="HF432" s="155">
        <v>0.0</v>
      </c>
      <c r="HG432" s="155">
        <v>0.0</v>
      </c>
      <c r="IL432" s="159">
        <v>0.0</v>
      </c>
      <c r="IM432" s="156">
        <v>0.0</v>
      </c>
      <c r="IN432" s="156">
        <v>0.0</v>
      </c>
      <c r="IO432" s="156">
        <v>0.0</v>
      </c>
      <c r="IP432" s="156">
        <v>0.0</v>
      </c>
      <c r="IQ432" s="160">
        <v>0.0</v>
      </c>
      <c r="JH432" s="25"/>
      <c r="JW432" s="159">
        <v>0.0</v>
      </c>
      <c r="JX432" s="156">
        <v>0.0</v>
      </c>
      <c r="JY432" s="156">
        <v>0.0</v>
      </c>
      <c r="JZ432" s="156">
        <v>0.0</v>
      </c>
      <c r="KA432" s="156">
        <v>0.0</v>
      </c>
      <c r="KB432" s="160">
        <v>0.0</v>
      </c>
      <c r="LH432" s="159">
        <f t="shared" si="10"/>
        <v>0</v>
      </c>
      <c r="LI432" s="156">
        <f t="shared" si="11"/>
        <v>0</v>
      </c>
      <c r="LJ432" s="156">
        <f t="shared" si="12"/>
        <v>0</v>
      </c>
      <c r="LK432" s="156">
        <f t="shared" si="13"/>
        <v>0</v>
      </c>
      <c r="LL432" s="156">
        <f t="shared" si="14"/>
        <v>0</v>
      </c>
      <c r="LM432" s="160">
        <f t="shared" si="15"/>
        <v>0</v>
      </c>
      <c r="QX432" s="107">
        <v>45997.0</v>
      </c>
    </row>
    <row r="433">
      <c r="A433" s="12"/>
      <c r="B433" s="12"/>
      <c r="C433" s="12"/>
      <c r="D433" s="12"/>
      <c r="E433" s="12"/>
      <c r="F433" s="12"/>
      <c r="G433" s="12"/>
      <c r="H433" s="12"/>
      <c r="I433" s="143">
        <f t="shared" si="5"/>
        <v>-30</v>
      </c>
      <c r="J433" s="144">
        <v>45998.0</v>
      </c>
      <c r="K433" s="195" t="s">
        <v>61</v>
      </c>
      <c r="L433" s="171">
        <v>46121.0</v>
      </c>
      <c r="M433" s="147" t="s">
        <v>348</v>
      </c>
      <c r="N433" s="148">
        <v>37.0</v>
      </c>
      <c r="O433" s="148">
        <v>30.0</v>
      </c>
      <c r="P433" s="26"/>
      <c r="Q433" s="26"/>
      <c r="R433" s="26"/>
      <c r="S433" s="26"/>
      <c r="T433" s="26"/>
      <c r="U433" s="147" t="s">
        <v>3164</v>
      </c>
      <c r="V433" s="149" t="s">
        <v>2801</v>
      </c>
      <c r="W433" s="198" t="s">
        <v>3235</v>
      </c>
      <c r="X433" s="181">
        <v>8.0</v>
      </c>
      <c r="Y433" s="166">
        <f t="shared" si="6"/>
        <v>30</v>
      </c>
      <c r="Z433" s="26">
        <f t="shared" si="7"/>
        <v>0</v>
      </c>
      <c r="AA433" s="26">
        <f t="shared" si="8"/>
        <v>0</v>
      </c>
      <c r="AB433" s="26">
        <f t="shared" si="9"/>
        <v>0</v>
      </c>
      <c r="AC433" s="155">
        <v>5.0</v>
      </c>
      <c r="AD433" s="155">
        <v>0.0</v>
      </c>
      <c r="AE433" s="155">
        <v>0.0</v>
      </c>
      <c r="AF433" s="155">
        <v>0.0</v>
      </c>
      <c r="AG433" s="155">
        <v>0.0</v>
      </c>
      <c r="AH433" s="155">
        <v>0.0</v>
      </c>
      <c r="AK433" s="86">
        <v>1.0</v>
      </c>
      <c r="AN433" s="86">
        <v>1.0</v>
      </c>
      <c r="AR433" s="86">
        <v>1.0</v>
      </c>
      <c r="AU433" s="86">
        <v>1.0</v>
      </c>
      <c r="AY433" s="86">
        <v>1.0</v>
      </c>
      <c r="BN433" s="155">
        <v>6.0</v>
      </c>
      <c r="BO433" s="155">
        <v>0.0</v>
      </c>
      <c r="BP433" s="155">
        <v>0.0</v>
      </c>
      <c r="BQ433" s="155">
        <v>0.0</v>
      </c>
      <c r="BR433" s="155">
        <v>0.0</v>
      </c>
      <c r="BS433" s="155">
        <v>0.0</v>
      </c>
      <c r="BV433" s="86">
        <v>1.0</v>
      </c>
      <c r="BX433" s="86">
        <v>1.0</v>
      </c>
      <c r="CC433" s="86">
        <v>1.0</v>
      </c>
      <c r="CE433" s="86">
        <v>1.0</v>
      </c>
      <c r="CQ433" s="86">
        <v>1.0</v>
      </c>
      <c r="CU433" s="86">
        <v>1.0</v>
      </c>
      <c r="CV433" s="156">
        <v>8.0</v>
      </c>
      <c r="CW433" s="156">
        <v>0.0</v>
      </c>
      <c r="CX433" s="156">
        <v>0.0</v>
      </c>
      <c r="CY433" s="156">
        <v>0.0</v>
      </c>
      <c r="CZ433" s="156">
        <v>0.0</v>
      </c>
      <c r="DA433" s="156">
        <v>0.0</v>
      </c>
      <c r="DD433" s="86">
        <v>1.0</v>
      </c>
      <c r="DH433" s="86">
        <v>1.0</v>
      </c>
      <c r="DM433" s="86">
        <v>1.0</v>
      </c>
      <c r="DO433" s="86">
        <v>1.0</v>
      </c>
      <c r="DT433" s="86">
        <v>1.0</v>
      </c>
      <c r="DV433" s="86">
        <v>1.0</v>
      </c>
      <c r="DZ433" s="86">
        <v>1.0</v>
      </c>
      <c r="EC433" s="86">
        <v>1.0</v>
      </c>
      <c r="EG433" s="156">
        <v>3.0</v>
      </c>
      <c r="EH433" s="156">
        <v>0.0</v>
      </c>
      <c r="EI433" s="156">
        <v>0.0</v>
      </c>
      <c r="EJ433" s="156">
        <v>0.0</v>
      </c>
      <c r="EK433" s="156">
        <v>0.0</v>
      </c>
      <c r="EL433" s="156">
        <v>0.0</v>
      </c>
      <c r="EN433" s="86">
        <v>1.0</v>
      </c>
      <c r="EP433" s="86">
        <v>1.0</v>
      </c>
      <c r="ES433" s="86">
        <v>1.0</v>
      </c>
      <c r="FQ433" s="156">
        <v>0.0</v>
      </c>
      <c r="FR433" s="156">
        <v>0.0</v>
      </c>
      <c r="FS433" s="156">
        <v>0.0</v>
      </c>
      <c r="FT433" s="156">
        <v>0.0</v>
      </c>
      <c r="FU433" s="156">
        <v>0.0</v>
      </c>
      <c r="FV433" s="156">
        <v>0.0</v>
      </c>
      <c r="FW433" s="157"/>
      <c r="FX433" s="157"/>
      <c r="FY433" s="157"/>
      <c r="FZ433" s="157"/>
      <c r="GA433" s="157"/>
      <c r="GB433" s="157"/>
      <c r="GC433" s="157"/>
      <c r="GD433" s="157"/>
      <c r="GE433" s="157"/>
      <c r="GF433" s="157"/>
      <c r="GG433" s="157"/>
      <c r="GH433" s="157"/>
      <c r="GI433" s="157"/>
      <c r="GJ433" s="157"/>
      <c r="GK433" s="157"/>
      <c r="GL433" s="157"/>
      <c r="GM433" s="157"/>
      <c r="GN433" s="157"/>
      <c r="GO433" s="157"/>
      <c r="GP433" s="158"/>
      <c r="GQ433" s="157"/>
      <c r="GR433" s="157"/>
      <c r="GS433" s="157"/>
      <c r="GT433" s="157"/>
      <c r="GU433" s="157"/>
      <c r="GV433" s="157"/>
      <c r="GW433" s="157"/>
      <c r="GX433" s="157"/>
      <c r="GY433" s="157"/>
      <c r="GZ433" s="157"/>
      <c r="HA433" s="157"/>
      <c r="HB433" s="155">
        <v>0.0</v>
      </c>
      <c r="HC433" s="155">
        <v>0.0</v>
      </c>
      <c r="HD433" s="155">
        <v>0.0</v>
      </c>
      <c r="HE433" s="155">
        <v>0.0</v>
      </c>
      <c r="HF433" s="155">
        <v>0.0</v>
      </c>
      <c r="HG433" s="155">
        <v>0.0</v>
      </c>
      <c r="IL433" s="159">
        <v>0.0</v>
      </c>
      <c r="IM433" s="156">
        <v>0.0</v>
      </c>
      <c r="IN433" s="156">
        <v>0.0</v>
      </c>
      <c r="IO433" s="156">
        <v>0.0</v>
      </c>
      <c r="IP433" s="156">
        <v>0.0</v>
      </c>
      <c r="IQ433" s="160">
        <v>0.0</v>
      </c>
      <c r="JH433" s="25"/>
      <c r="JW433" s="159">
        <v>0.0</v>
      </c>
      <c r="JX433" s="156">
        <v>0.0</v>
      </c>
      <c r="JY433" s="156">
        <v>0.0</v>
      </c>
      <c r="JZ433" s="156">
        <v>0.0</v>
      </c>
      <c r="KA433" s="156">
        <v>0.0</v>
      </c>
      <c r="KB433" s="160">
        <v>0.0</v>
      </c>
      <c r="LH433" s="159">
        <f t="shared" si="10"/>
        <v>0</v>
      </c>
      <c r="LI433" s="156">
        <f t="shared" si="11"/>
        <v>0</v>
      </c>
      <c r="LJ433" s="156">
        <f t="shared" si="12"/>
        <v>0</v>
      </c>
      <c r="LK433" s="156">
        <f t="shared" si="13"/>
        <v>0</v>
      </c>
      <c r="LL433" s="156">
        <f t="shared" si="14"/>
        <v>0</v>
      </c>
      <c r="LM433" s="160">
        <f t="shared" si="15"/>
        <v>0</v>
      </c>
      <c r="QX433" s="107">
        <v>45997.0</v>
      </c>
    </row>
    <row r="434">
      <c r="A434" s="12"/>
      <c r="B434" s="12"/>
      <c r="C434" s="12"/>
      <c r="D434" s="12"/>
      <c r="E434" s="12"/>
      <c r="F434" s="12"/>
      <c r="G434" s="12"/>
      <c r="H434" s="12"/>
      <c r="I434" s="143">
        <f t="shared" si="5"/>
        <v>-8</v>
      </c>
      <c r="J434" s="144">
        <v>45997.0</v>
      </c>
      <c r="K434" s="145" t="s">
        <v>61</v>
      </c>
      <c r="L434" s="171">
        <v>46027.0</v>
      </c>
      <c r="M434" s="147" t="s">
        <v>348</v>
      </c>
      <c r="N434" s="148">
        <v>357.0</v>
      </c>
      <c r="O434" s="148">
        <v>30.0</v>
      </c>
      <c r="P434" s="26"/>
      <c r="Q434" s="26"/>
      <c r="R434" s="26"/>
      <c r="S434" s="26"/>
      <c r="T434" s="26"/>
      <c r="U434" s="147" t="s">
        <v>3035</v>
      </c>
      <c r="V434" s="149" t="s">
        <v>3036</v>
      </c>
      <c r="W434" s="198" t="s">
        <v>3236</v>
      </c>
      <c r="X434" s="181">
        <v>6.0</v>
      </c>
      <c r="Y434" s="166">
        <f t="shared" si="6"/>
        <v>8</v>
      </c>
      <c r="Z434" s="26">
        <f t="shared" si="7"/>
        <v>0</v>
      </c>
      <c r="AA434" s="26">
        <f t="shared" si="8"/>
        <v>1</v>
      </c>
      <c r="AB434" s="26">
        <f t="shared" si="9"/>
        <v>0</v>
      </c>
      <c r="AC434" s="155">
        <v>2.0</v>
      </c>
      <c r="AD434" s="155">
        <v>0.0</v>
      </c>
      <c r="AE434" s="155">
        <v>0.0</v>
      </c>
      <c r="AF434" s="155">
        <v>1.0</v>
      </c>
      <c r="AG434" s="155">
        <v>0.0</v>
      </c>
      <c r="AH434" s="155">
        <v>0.0</v>
      </c>
      <c r="AI434" s="167"/>
      <c r="AJ434" s="167"/>
      <c r="AK434" s="167">
        <v>1.0</v>
      </c>
      <c r="AL434" s="167"/>
      <c r="AM434" s="167"/>
      <c r="AN434" s="168" t="s">
        <v>947</v>
      </c>
      <c r="AO434" s="167"/>
      <c r="AP434" s="167"/>
      <c r="AQ434" s="167"/>
      <c r="AR434" s="167"/>
      <c r="AS434" s="167"/>
      <c r="AT434" s="167"/>
      <c r="AU434" s="167"/>
      <c r="AV434" s="167"/>
      <c r="AW434" s="167"/>
      <c r="AX434" s="167"/>
      <c r="AY434" s="167"/>
      <c r="AZ434" s="167"/>
      <c r="BA434" s="167"/>
      <c r="BB434" s="167"/>
      <c r="BC434" s="167"/>
      <c r="BD434" s="167"/>
      <c r="BE434" s="167"/>
      <c r="BF434" s="167"/>
      <c r="BG434" s="167"/>
      <c r="BH434" s="167"/>
      <c r="BI434" s="167"/>
      <c r="BJ434" s="167"/>
      <c r="BK434" s="167"/>
      <c r="BL434" s="167"/>
      <c r="BM434" s="167"/>
      <c r="BN434" s="155">
        <v>0.0</v>
      </c>
      <c r="BO434" s="155">
        <v>0.0</v>
      </c>
      <c r="BP434" s="155">
        <v>0.0</v>
      </c>
      <c r="BQ434" s="155">
        <v>0.0</v>
      </c>
      <c r="BR434" s="155">
        <v>0.0</v>
      </c>
      <c r="BS434" s="155">
        <v>0.0</v>
      </c>
      <c r="CV434" s="156">
        <v>0.0</v>
      </c>
      <c r="CW434" s="156">
        <v>0.0</v>
      </c>
      <c r="CX434" s="156">
        <v>0.0</v>
      </c>
      <c r="CY434" s="156">
        <v>0.0</v>
      </c>
      <c r="CZ434" s="156">
        <v>0.0</v>
      </c>
      <c r="DA434" s="156">
        <v>0.0</v>
      </c>
      <c r="EG434" s="156">
        <v>0.0</v>
      </c>
      <c r="EH434" s="156">
        <v>0.0</v>
      </c>
      <c r="EI434" s="156">
        <v>0.0</v>
      </c>
      <c r="EJ434" s="156">
        <v>0.0</v>
      </c>
      <c r="EK434" s="156">
        <v>0.0</v>
      </c>
      <c r="EL434" s="156">
        <v>0.0</v>
      </c>
      <c r="FQ434" s="156">
        <v>0.0</v>
      </c>
      <c r="FR434" s="156">
        <v>0.0</v>
      </c>
      <c r="FS434" s="156">
        <v>0.0</v>
      </c>
      <c r="FT434" s="156">
        <v>0.0</v>
      </c>
      <c r="FU434" s="156">
        <v>0.0</v>
      </c>
      <c r="FV434" s="156">
        <v>0.0</v>
      </c>
      <c r="FW434" s="157"/>
      <c r="FX434" s="157"/>
      <c r="FY434" s="157"/>
      <c r="FZ434" s="157"/>
      <c r="GA434" s="157"/>
      <c r="GB434" s="157"/>
      <c r="GC434" s="157"/>
      <c r="GD434" s="157"/>
      <c r="GE434" s="157"/>
      <c r="GF434" s="157"/>
      <c r="GG434" s="157"/>
      <c r="GH434" s="157"/>
      <c r="GI434" s="157"/>
      <c r="GJ434" s="157"/>
      <c r="GK434" s="157"/>
      <c r="GL434" s="157"/>
      <c r="GM434" s="157"/>
      <c r="GN434" s="157"/>
      <c r="GO434" s="157"/>
      <c r="GP434" s="158"/>
      <c r="GQ434" s="157"/>
      <c r="GR434" s="157"/>
      <c r="GS434" s="157"/>
      <c r="GT434" s="157"/>
      <c r="GU434" s="157"/>
      <c r="GV434" s="157"/>
      <c r="GW434" s="157"/>
      <c r="GX434" s="157"/>
      <c r="GY434" s="157"/>
      <c r="GZ434" s="157"/>
      <c r="HA434" s="157"/>
      <c r="HB434" s="155">
        <v>0.0</v>
      </c>
      <c r="HC434" s="155">
        <v>0.0</v>
      </c>
      <c r="HD434" s="155">
        <v>0.0</v>
      </c>
      <c r="HE434" s="155">
        <v>0.0</v>
      </c>
      <c r="HF434" s="155">
        <v>0.0</v>
      </c>
      <c r="HG434" s="155">
        <v>0.0</v>
      </c>
      <c r="IL434" s="159">
        <v>0.0</v>
      </c>
      <c r="IM434" s="156">
        <v>0.0</v>
      </c>
      <c r="IN434" s="156">
        <v>0.0</v>
      </c>
      <c r="IO434" s="156">
        <v>0.0</v>
      </c>
      <c r="IP434" s="156">
        <v>0.0</v>
      </c>
      <c r="IQ434" s="160">
        <v>0.0</v>
      </c>
      <c r="JH434" s="25"/>
      <c r="JW434" s="159">
        <v>0.0</v>
      </c>
      <c r="JX434" s="156">
        <v>0.0</v>
      </c>
      <c r="JY434" s="156">
        <v>0.0</v>
      </c>
      <c r="JZ434" s="156">
        <v>0.0</v>
      </c>
      <c r="KA434" s="156">
        <v>0.0</v>
      </c>
      <c r="KB434" s="160">
        <v>0.0</v>
      </c>
      <c r="LH434" s="159">
        <f t="shared" si="10"/>
        <v>0</v>
      </c>
      <c r="LI434" s="156">
        <f t="shared" si="11"/>
        <v>0</v>
      </c>
      <c r="LJ434" s="156">
        <f t="shared" si="12"/>
        <v>0</v>
      </c>
      <c r="LK434" s="156">
        <f t="shared" si="13"/>
        <v>0</v>
      </c>
      <c r="LL434" s="156">
        <f t="shared" si="14"/>
        <v>0</v>
      </c>
      <c r="LM434" s="160">
        <f t="shared" si="15"/>
        <v>0</v>
      </c>
      <c r="QX434" s="107">
        <v>45997.0</v>
      </c>
    </row>
    <row r="435">
      <c r="A435" s="126"/>
      <c r="B435" s="126"/>
      <c r="C435" s="12"/>
      <c r="D435" s="12"/>
      <c r="E435" s="12"/>
      <c r="F435" s="12"/>
      <c r="G435" s="12"/>
      <c r="H435" s="12"/>
      <c r="I435" s="143">
        <f t="shared" si="5"/>
        <v>-29</v>
      </c>
      <c r="J435" s="144">
        <v>46008.0</v>
      </c>
      <c r="K435" s="195" t="s">
        <v>61</v>
      </c>
      <c r="L435" s="171">
        <v>46114.0</v>
      </c>
      <c r="M435" s="147" t="s">
        <v>107</v>
      </c>
      <c r="N435" s="148">
        <v>246.0</v>
      </c>
      <c r="O435" s="148">
        <v>45.0</v>
      </c>
      <c r="P435" s="26"/>
      <c r="Q435" s="26"/>
      <c r="R435" s="26"/>
      <c r="S435" s="26"/>
      <c r="T435" s="26"/>
      <c r="U435" s="164" t="s">
        <v>3237</v>
      </c>
      <c r="V435" s="165" t="s">
        <v>3238</v>
      </c>
      <c r="W435" s="198" t="s">
        <v>3239</v>
      </c>
      <c r="X435" s="181">
        <v>4.0</v>
      </c>
      <c r="Y435" s="166">
        <f t="shared" si="6"/>
        <v>29</v>
      </c>
      <c r="Z435" s="26">
        <f t="shared" si="7"/>
        <v>0</v>
      </c>
      <c r="AA435" s="26">
        <f t="shared" si="8"/>
        <v>1</v>
      </c>
      <c r="AB435" s="26">
        <f t="shared" si="9"/>
        <v>0</v>
      </c>
      <c r="AC435" s="155">
        <v>7.0</v>
      </c>
      <c r="AD435" s="155">
        <v>0.0</v>
      </c>
      <c r="AE435" s="155">
        <v>0.0</v>
      </c>
      <c r="AF435" s="155">
        <v>0.0</v>
      </c>
      <c r="AG435" s="155">
        <v>0.0</v>
      </c>
      <c r="AH435" s="155">
        <v>0.0</v>
      </c>
      <c r="AI435" s="167">
        <v>0.0</v>
      </c>
      <c r="AJ435" s="167">
        <v>1.0</v>
      </c>
      <c r="AK435" s="167">
        <v>0.0</v>
      </c>
      <c r="AL435" s="167">
        <v>0.0</v>
      </c>
      <c r="AM435" s="167">
        <v>1.0</v>
      </c>
      <c r="AN435" s="167">
        <v>0.0</v>
      </c>
      <c r="AO435" s="167">
        <v>1.0</v>
      </c>
      <c r="AP435" s="167">
        <v>0.0</v>
      </c>
      <c r="AQ435" s="167">
        <v>1.0</v>
      </c>
      <c r="AR435" s="167">
        <v>0.0</v>
      </c>
      <c r="AS435" s="167">
        <v>0.0</v>
      </c>
      <c r="AT435" s="167"/>
      <c r="AU435" s="167">
        <v>0.0</v>
      </c>
      <c r="AV435" s="167">
        <v>1.0</v>
      </c>
      <c r="AW435" s="167"/>
      <c r="AX435" s="167"/>
      <c r="AY435" s="167"/>
      <c r="AZ435" s="167"/>
      <c r="BA435" s="167">
        <v>1.0</v>
      </c>
      <c r="BB435" s="167"/>
      <c r="BC435" s="167"/>
      <c r="BD435" s="167"/>
      <c r="BE435" s="167"/>
      <c r="BF435" s="167"/>
      <c r="BG435" s="167"/>
      <c r="BH435" s="167"/>
      <c r="BI435" s="167"/>
      <c r="BJ435" s="167"/>
      <c r="BK435" s="167"/>
      <c r="BL435" s="167">
        <v>1.0</v>
      </c>
      <c r="BM435" s="167">
        <v>0.0</v>
      </c>
      <c r="BN435" s="155">
        <v>8.0</v>
      </c>
      <c r="BO435" s="155">
        <v>0.0</v>
      </c>
      <c r="BP435" s="155">
        <v>0.0</v>
      </c>
      <c r="BQ435" s="155">
        <v>0.0</v>
      </c>
      <c r="BR435" s="155">
        <v>0.0</v>
      </c>
      <c r="BS435" s="155">
        <v>0.0</v>
      </c>
      <c r="BT435" s="167">
        <v>0.0</v>
      </c>
      <c r="BU435" s="167">
        <v>1.0</v>
      </c>
      <c r="BV435" s="167">
        <v>0.0</v>
      </c>
      <c r="BW435" s="167">
        <v>1.0</v>
      </c>
      <c r="BX435" s="167">
        <v>0.0</v>
      </c>
      <c r="BY435" s="167">
        <v>1.0</v>
      </c>
      <c r="BZ435" s="167">
        <v>0.0</v>
      </c>
      <c r="CA435" s="167">
        <v>0.0</v>
      </c>
      <c r="CB435" s="167"/>
      <c r="CC435" s="167">
        <v>0.0</v>
      </c>
      <c r="CD435" s="167">
        <v>1.0</v>
      </c>
      <c r="CE435" s="167">
        <v>0.0</v>
      </c>
      <c r="CF435" s="167">
        <v>1.0</v>
      </c>
      <c r="CG435" s="167"/>
      <c r="CH435" s="167"/>
      <c r="CI435" s="167"/>
      <c r="CJ435" s="167"/>
      <c r="CK435" s="167"/>
      <c r="CL435" s="167"/>
      <c r="CM435" s="167"/>
      <c r="CN435" s="167"/>
      <c r="CO435" s="167"/>
      <c r="CP435" s="167">
        <v>1.0</v>
      </c>
      <c r="CQ435" s="167">
        <v>0.0</v>
      </c>
      <c r="CR435" s="167">
        <v>1.0</v>
      </c>
      <c r="CS435" s="167">
        <v>0.0</v>
      </c>
      <c r="CT435" s="167">
        <v>1.0</v>
      </c>
      <c r="CU435" s="167">
        <v>0.0</v>
      </c>
      <c r="CV435" s="156">
        <v>10.0</v>
      </c>
      <c r="CW435" s="156">
        <v>0.0</v>
      </c>
      <c r="CX435" s="156">
        <v>0.0</v>
      </c>
      <c r="CY435" s="156">
        <v>1.0</v>
      </c>
      <c r="CZ435" s="156">
        <v>0.0</v>
      </c>
      <c r="DA435" s="156">
        <v>0.0</v>
      </c>
      <c r="DB435" s="174">
        <v>0.0</v>
      </c>
      <c r="DC435" s="174">
        <v>1.0</v>
      </c>
      <c r="DD435" s="174">
        <v>0.0</v>
      </c>
      <c r="DE435" s="174">
        <v>1.0</v>
      </c>
      <c r="DF435" s="174">
        <v>0.0</v>
      </c>
      <c r="DG435" s="174">
        <v>1.0</v>
      </c>
      <c r="DH435" s="174">
        <v>0.0</v>
      </c>
      <c r="DI435" s="174">
        <v>0.0</v>
      </c>
      <c r="DJ435" s="174">
        <v>1.0</v>
      </c>
      <c r="DK435" s="174">
        <v>0.0</v>
      </c>
      <c r="DL435" s="175" t="s">
        <v>947</v>
      </c>
      <c r="DM435" s="174">
        <v>0.0</v>
      </c>
      <c r="DN435" s="174">
        <v>1.0</v>
      </c>
      <c r="DO435" s="174">
        <v>0.0</v>
      </c>
      <c r="DP435" s="174">
        <v>0.0</v>
      </c>
      <c r="DQ435" s="174">
        <v>1.0</v>
      </c>
      <c r="DR435" s="174">
        <v>0.0</v>
      </c>
      <c r="DS435" s="174">
        <v>1.0</v>
      </c>
      <c r="DT435" s="174">
        <v>0.0</v>
      </c>
      <c r="DU435" s="174">
        <v>1.0</v>
      </c>
      <c r="DV435" s="174">
        <v>0.0</v>
      </c>
      <c r="DW435" s="174">
        <v>0.0</v>
      </c>
      <c r="DX435" s="174">
        <v>1.0</v>
      </c>
      <c r="DY435" s="174"/>
      <c r="DZ435" s="174"/>
      <c r="EA435" s="174"/>
      <c r="EB435" s="174"/>
      <c r="EC435" s="174"/>
      <c r="ED435" s="174"/>
      <c r="EE435" s="174"/>
      <c r="EF435" s="174"/>
      <c r="EG435" s="156">
        <v>0.0</v>
      </c>
      <c r="EH435" s="156">
        <v>0.0</v>
      </c>
      <c r="EI435" s="156">
        <v>0.0</v>
      </c>
      <c r="EJ435" s="156">
        <v>0.0</v>
      </c>
      <c r="EK435" s="156">
        <v>0.0</v>
      </c>
      <c r="EL435" s="156">
        <v>0.0</v>
      </c>
      <c r="EM435" s="174"/>
      <c r="EN435" s="174"/>
      <c r="EO435" s="174"/>
      <c r="EP435" s="174"/>
      <c r="EQ435" s="174"/>
      <c r="ER435" s="174"/>
      <c r="ES435" s="174"/>
      <c r="ET435" s="174"/>
      <c r="EU435" s="174"/>
      <c r="EV435" s="174"/>
      <c r="EW435" s="174"/>
      <c r="EX435" s="174"/>
      <c r="EY435" s="174"/>
      <c r="EZ435" s="174"/>
      <c r="FA435" s="174"/>
      <c r="FB435" s="174"/>
      <c r="FC435" s="174"/>
      <c r="FD435" s="174"/>
      <c r="FE435" s="174"/>
      <c r="FF435" s="174"/>
      <c r="FG435" s="174"/>
      <c r="FH435" s="174"/>
      <c r="FI435" s="174"/>
      <c r="FJ435" s="174"/>
      <c r="FK435" s="174"/>
      <c r="FL435" s="174"/>
      <c r="FM435" s="174"/>
      <c r="FN435" s="174"/>
      <c r="FO435" s="174"/>
      <c r="FP435" s="174"/>
      <c r="FQ435" s="156">
        <v>0.0</v>
      </c>
      <c r="FR435" s="156">
        <v>0.0</v>
      </c>
      <c r="FS435" s="156">
        <v>0.0</v>
      </c>
      <c r="FT435" s="156">
        <v>0.0</v>
      </c>
      <c r="FU435" s="156">
        <v>0.0</v>
      </c>
      <c r="FV435" s="156">
        <v>0.0</v>
      </c>
      <c r="FW435" s="157"/>
      <c r="FX435" s="157"/>
      <c r="FY435" s="157"/>
      <c r="FZ435" s="157"/>
      <c r="GA435" s="157"/>
      <c r="GB435" s="157"/>
      <c r="GC435" s="157"/>
      <c r="GD435" s="157"/>
      <c r="GE435" s="157"/>
      <c r="GF435" s="157"/>
      <c r="GG435" s="157"/>
      <c r="GH435" s="157"/>
      <c r="GI435" s="157"/>
      <c r="GJ435" s="157"/>
      <c r="GK435" s="157"/>
      <c r="GL435" s="157"/>
      <c r="GM435" s="157"/>
      <c r="GN435" s="157"/>
      <c r="GO435" s="157"/>
      <c r="GP435" s="158"/>
      <c r="GQ435" s="157"/>
      <c r="GR435" s="157"/>
      <c r="GS435" s="157"/>
      <c r="GT435" s="157"/>
      <c r="GU435" s="157"/>
      <c r="GV435" s="157"/>
      <c r="GW435" s="157"/>
      <c r="GX435" s="157"/>
      <c r="GY435" s="157"/>
      <c r="GZ435" s="157"/>
      <c r="HA435" s="157"/>
      <c r="HB435" s="155">
        <v>0.0</v>
      </c>
      <c r="HC435" s="155">
        <v>0.0</v>
      </c>
      <c r="HD435" s="155">
        <v>0.0</v>
      </c>
      <c r="HE435" s="155">
        <v>0.0</v>
      </c>
      <c r="HF435" s="155">
        <v>0.0</v>
      </c>
      <c r="HG435" s="155">
        <v>0.0</v>
      </c>
      <c r="IL435" s="159">
        <v>0.0</v>
      </c>
      <c r="IM435" s="156">
        <v>0.0</v>
      </c>
      <c r="IN435" s="156">
        <v>0.0</v>
      </c>
      <c r="IO435" s="156">
        <v>0.0</v>
      </c>
      <c r="IP435" s="156">
        <v>0.0</v>
      </c>
      <c r="IQ435" s="160">
        <v>0.0</v>
      </c>
      <c r="JH435" s="25"/>
      <c r="JW435" s="159">
        <v>0.0</v>
      </c>
      <c r="JX435" s="156">
        <v>0.0</v>
      </c>
      <c r="JY435" s="156">
        <v>0.0</v>
      </c>
      <c r="JZ435" s="156">
        <v>0.0</v>
      </c>
      <c r="KA435" s="156">
        <v>0.0</v>
      </c>
      <c r="KB435" s="160">
        <v>0.0</v>
      </c>
      <c r="LH435" s="159">
        <f t="shared" si="10"/>
        <v>0</v>
      </c>
      <c r="LI435" s="156">
        <f t="shared" si="11"/>
        <v>0</v>
      </c>
      <c r="LJ435" s="156">
        <f t="shared" si="12"/>
        <v>0</v>
      </c>
      <c r="LK435" s="156">
        <f t="shared" si="13"/>
        <v>0</v>
      </c>
      <c r="LL435" s="156">
        <f t="shared" si="14"/>
        <v>0</v>
      </c>
      <c r="LM435" s="160">
        <f t="shared" si="15"/>
        <v>0</v>
      </c>
      <c r="QX435" s="107">
        <v>45997.0</v>
      </c>
    </row>
    <row r="436">
      <c r="A436" s="12"/>
      <c r="B436" s="12"/>
      <c r="C436" s="12"/>
      <c r="D436" s="12"/>
      <c r="E436" s="12"/>
      <c r="F436" s="12"/>
      <c r="G436" s="12"/>
      <c r="H436" s="12"/>
      <c r="I436" s="143">
        <f t="shared" si="5"/>
        <v>-13</v>
      </c>
      <c r="J436" s="144">
        <v>45997.0</v>
      </c>
      <c r="K436" s="145" t="s">
        <v>61</v>
      </c>
      <c r="L436" s="171">
        <v>46037.0</v>
      </c>
      <c r="M436" s="147" t="s">
        <v>3240</v>
      </c>
      <c r="N436" s="148">
        <v>357.0</v>
      </c>
      <c r="O436" s="148">
        <v>30.0</v>
      </c>
      <c r="P436" s="26"/>
      <c r="Q436" s="26"/>
      <c r="R436" s="26"/>
      <c r="S436" s="26"/>
      <c r="T436" s="26"/>
      <c r="U436" s="147" t="s">
        <v>3241</v>
      </c>
      <c r="V436" s="149" t="s">
        <v>613</v>
      </c>
      <c r="W436" s="198" t="s">
        <v>3242</v>
      </c>
      <c r="X436" s="181">
        <v>11.0</v>
      </c>
      <c r="Y436" s="166">
        <f t="shared" si="6"/>
        <v>13</v>
      </c>
      <c r="Z436" s="26">
        <f t="shared" si="7"/>
        <v>0</v>
      </c>
      <c r="AA436" s="26">
        <f t="shared" si="8"/>
        <v>0</v>
      </c>
      <c r="AB436" s="26">
        <f t="shared" si="9"/>
        <v>0</v>
      </c>
      <c r="AC436" s="155">
        <v>2.0</v>
      </c>
      <c r="AD436" s="155">
        <v>0.0</v>
      </c>
      <c r="AE436" s="155">
        <v>0.0</v>
      </c>
      <c r="AF436" s="155">
        <v>0.0</v>
      </c>
      <c r="AG436" s="155">
        <v>0.0</v>
      </c>
      <c r="AH436" s="155">
        <v>0.0</v>
      </c>
      <c r="AI436" s="167"/>
      <c r="AJ436" s="167"/>
      <c r="AK436" s="167">
        <v>1.0</v>
      </c>
      <c r="AL436" s="167">
        <v>0.0</v>
      </c>
      <c r="AM436" s="167">
        <v>0.0</v>
      </c>
      <c r="AN436" s="167">
        <v>1.0</v>
      </c>
      <c r="AO436" s="167"/>
      <c r="AP436" s="167"/>
      <c r="AQ436" s="167"/>
      <c r="AR436" s="167"/>
      <c r="AS436" s="167"/>
      <c r="AT436" s="167"/>
      <c r="AU436" s="167"/>
      <c r="AV436" s="167"/>
      <c r="AW436" s="167"/>
      <c r="AX436" s="167"/>
      <c r="AY436" s="167"/>
      <c r="AZ436" s="167"/>
      <c r="BA436" s="167"/>
      <c r="BB436" s="167"/>
      <c r="BC436" s="167"/>
      <c r="BD436" s="167"/>
      <c r="BE436" s="167"/>
      <c r="BF436" s="167"/>
      <c r="BG436" s="167"/>
      <c r="BH436" s="167"/>
      <c r="BI436" s="167"/>
      <c r="BJ436" s="167"/>
      <c r="BK436" s="167"/>
      <c r="BL436" s="167"/>
      <c r="BM436" s="167"/>
      <c r="BN436" s="155">
        <v>0.0</v>
      </c>
      <c r="BO436" s="155">
        <v>0.0</v>
      </c>
      <c r="BP436" s="155">
        <v>0.0</v>
      </c>
      <c r="BQ436" s="155">
        <v>0.0</v>
      </c>
      <c r="BR436" s="155">
        <v>0.0</v>
      </c>
      <c r="BS436" s="155">
        <v>0.0</v>
      </c>
      <c r="CV436" s="156">
        <v>0.0</v>
      </c>
      <c r="CW436" s="156">
        <v>0.0</v>
      </c>
      <c r="CX436" s="156">
        <v>0.0</v>
      </c>
      <c r="CY436" s="156">
        <v>0.0</v>
      </c>
      <c r="CZ436" s="156">
        <v>0.0</v>
      </c>
      <c r="DA436" s="156">
        <v>0.0</v>
      </c>
      <c r="EG436" s="156">
        <v>0.0</v>
      </c>
      <c r="EH436" s="156">
        <v>0.0</v>
      </c>
      <c r="EI436" s="156">
        <v>0.0</v>
      </c>
      <c r="EJ436" s="156">
        <v>0.0</v>
      </c>
      <c r="EK436" s="156">
        <v>0.0</v>
      </c>
      <c r="EL436" s="156">
        <v>0.0</v>
      </c>
      <c r="FQ436" s="156">
        <v>0.0</v>
      </c>
      <c r="FR436" s="156">
        <v>0.0</v>
      </c>
      <c r="FS436" s="156">
        <v>0.0</v>
      </c>
      <c r="FT436" s="156">
        <v>0.0</v>
      </c>
      <c r="FU436" s="156">
        <v>0.0</v>
      </c>
      <c r="FV436" s="156">
        <v>0.0</v>
      </c>
      <c r="FW436" s="157"/>
      <c r="FX436" s="157"/>
      <c r="FY436" s="157"/>
      <c r="FZ436" s="157"/>
      <c r="GA436" s="157"/>
      <c r="GB436" s="157"/>
      <c r="GC436" s="157"/>
      <c r="GD436" s="157"/>
      <c r="GE436" s="157"/>
      <c r="GF436" s="157"/>
      <c r="GG436" s="157"/>
      <c r="GH436" s="157"/>
      <c r="GI436" s="157"/>
      <c r="GJ436" s="157"/>
      <c r="GK436" s="157"/>
      <c r="GL436" s="157"/>
      <c r="GM436" s="157"/>
      <c r="GN436" s="157"/>
      <c r="GO436" s="157"/>
      <c r="GP436" s="158"/>
      <c r="GQ436" s="157"/>
      <c r="GR436" s="157"/>
      <c r="GS436" s="157"/>
      <c r="GT436" s="157"/>
      <c r="GU436" s="157"/>
      <c r="GV436" s="157"/>
      <c r="GW436" s="157"/>
      <c r="GX436" s="157"/>
      <c r="GY436" s="157"/>
      <c r="GZ436" s="157"/>
      <c r="HA436" s="157"/>
      <c r="HB436" s="155">
        <v>0.0</v>
      </c>
      <c r="HC436" s="155">
        <v>0.0</v>
      </c>
      <c r="HD436" s="155">
        <v>0.0</v>
      </c>
      <c r="HE436" s="155">
        <v>0.0</v>
      </c>
      <c r="HF436" s="155">
        <v>0.0</v>
      </c>
      <c r="HG436" s="155">
        <v>0.0</v>
      </c>
      <c r="IL436" s="159">
        <v>0.0</v>
      </c>
      <c r="IM436" s="156">
        <v>0.0</v>
      </c>
      <c r="IN436" s="156">
        <v>0.0</v>
      </c>
      <c r="IO436" s="156">
        <v>0.0</v>
      </c>
      <c r="IP436" s="156">
        <v>0.0</v>
      </c>
      <c r="IQ436" s="160">
        <v>0.0</v>
      </c>
      <c r="JH436" s="25"/>
      <c r="JW436" s="159">
        <v>0.0</v>
      </c>
      <c r="JX436" s="156">
        <v>0.0</v>
      </c>
      <c r="JY436" s="156">
        <v>0.0</v>
      </c>
      <c r="JZ436" s="156">
        <v>0.0</v>
      </c>
      <c r="KA436" s="156">
        <v>0.0</v>
      </c>
      <c r="KB436" s="160">
        <v>0.0</v>
      </c>
      <c r="LH436" s="159">
        <f t="shared" si="10"/>
        <v>0</v>
      </c>
      <c r="LI436" s="156">
        <f t="shared" si="11"/>
        <v>0</v>
      </c>
      <c r="LJ436" s="156">
        <f t="shared" si="12"/>
        <v>0</v>
      </c>
      <c r="LK436" s="156">
        <f t="shared" si="13"/>
        <v>0</v>
      </c>
      <c r="LL436" s="156">
        <f t="shared" si="14"/>
        <v>0</v>
      </c>
      <c r="LM436" s="160">
        <f t="shared" si="15"/>
        <v>0</v>
      </c>
      <c r="QX436" s="107">
        <v>46000.0</v>
      </c>
    </row>
    <row r="437">
      <c r="A437" s="12"/>
      <c r="B437" s="12"/>
      <c r="C437" s="12"/>
      <c r="D437" s="12"/>
      <c r="E437" s="12"/>
      <c r="F437" s="12"/>
      <c r="G437" s="12"/>
      <c r="H437" s="12"/>
      <c r="I437" s="143">
        <f t="shared" si="5"/>
        <v>-30</v>
      </c>
      <c r="J437" s="144">
        <v>46003.0</v>
      </c>
      <c r="K437" s="145" t="s">
        <v>61</v>
      </c>
      <c r="L437" s="171">
        <v>46098.0</v>
      </c>
      <c r="M437" s="147" t="s">
        <v>107</v>
      </c>
      <c r="N437" s="148">
        <v>246.0</v>
      </c>
      <c r="O437" s="148">
        <v>30.0</v>
      </c>
      <c r="P437" s="26"/>
      <c r="Q437" s="26"/>
      <c r="R437" s="26"/>
      <c r="S437" s="26"/>
      <c r="T437" s="26"/>
      <c r="U437" s="147" t="s">
        <v>3243</v>
      </c>
      <c r="V437" s="149" t="s">
        <v>2889</v>
      </c>
      <c r="W437" s="198" t="s">
        <v>3244</v>
      </c>
      <c r="X437" s="181">
        <v>7.0</v>
      </c>
      <c r="Y437" s="166">
        <f t="shared" si="6"/>
        <v>30</v>
      </c>
      <c r="Z437" s="26">
        <f t="shared" si="7"/>
        <v>0</v>
      </c>
      <c r="AA437" s="26">
        <f t="shared" si="8"/>
        <v>0</v>
      </c>
      <c r="AB437" s="26">
        <f t="shared" si="9"/>
        <v>0</v>
      </c>
      <c r="AC437" s="155">
        <v>10.0</v>
      </c>
      <c r="AD437" s="155">
        <v>0.0</v>
      </c>
      <c r="AE437" s="155">
        <v>0.0</v>
      </c>
      <c r="AF437" s="155">
        <v>0.0</v>
      </c>
      <c r="AG437" s="155">
        <v>0.0</v>
      </c>
      <c r="AH437" s="155">
        <v>0.0</v>
      </c>
      <c r="AI437" s="167">
        <v>0.0</v>
      </c>
      <c r="AJ437" s="167">
        <v>1.0</v>
      </c>
      <c r="AK437" s="167">
        <v>0.0</v>
      </c>
      <c r="AL437" s="167">
        <v>0.0</v>
      </c>
      <c r="AM437" s="167">
        <v>1.0</v>
      </c>
      <c r="AN437" s="167">
        <v>0.0</v>
      </c>
      <c r="AO437" s="167"/>
      <c r="AP437" s="167">
        <v>0.0</v>
      </c>
      <c r="AQ437" s="167">
        <v>1.0</v>
      </c>
      <c r="AR437" s="167">
        <v>0.0</v>
      </c>
      <c r="AS437" s="167">
        <v>0.0</v>
      </c>
      <c r="AT437" s="167">
        <v>1.0</v>
      </c>
      <c r="AU437" s="167">
        <v>0.0</v>
      </c>
      <c r="AV437" s="167">
        <v>1.0</v>
      </c>
      <c r="AW437" s="167">
        <v>0.0</v>
      </c>
      <c r="AX437" s="167"/>
      <c r="AY437" s="167">
        <v>0.0</v>
      </c>
      <c r="AZ437" s="167">
        <v>0.0</v>
      </c>
      <c r="BA437" s="167">
        <v>1.0</v>
      </c>
      <c r="BB437" s="167">
        <v>0.0</v>
      </c>
      <c r="BC437" s="167">
        <v>1.0</v>
      </c>
      <c r="BD437" s="167">
        <v>0.0</v>
      </c>
      <c r="BE437" s="167"/>
      <c r="BF437" s="168">
        <v>1.0</v>
      </c>
      <c r="BG437" s="167">
        <v>0.0</v>
      </c>
      <c r="BH437" s="167">
        <v>1.0</v>
      </c>
      <c r="BI437" s="167">
        <v>0.0</v>
      </c>
      <c r="BJ437" s="167">
        <v>1.0</v>
      </c>
      <c r="BK437" s="167">
        <v>0.0</v>
      </c>
      <c r="BL437" s="167"/>
      <c r="BM437" s="167">
        <v>0.0</v>
      </c>
      <c r="BN437" s="155">
        <v>7.0</v>
      </c>
      <c r="BO437" s="155">
        <v>0.0</v>
      </c>
      <c r="BP437" s="155">
        <v>0.0</v>
      </c>
      <c r="BQ437" s="155">
        <v>0.0</v>
      </c>
      <c r="BR437" s="155">
        <v>0.0</v>
      </c>
      <c r="BS437" s="155">
        <v>0.0</v>
      </c>
      <c r="BT437" s="167">
        <v>0.0</v>
      </c>
      <c r="BU437" s="167">
        <v>1.0</v>
      </c>
      <c r="BV437" s="167">
        <v>0.0</v>
      </c>
      <c r="BW437" s="167">
        <v>1.0</v>
      </c>
      <c r="BX437" s="167"/>
      <c r="BY437" s="167"/>
      <c r="BZ437" s="167"/>
      <c r="CA437" s="167"/>
      <c r="CB437" s="167">
        <v>1.0</v>
      </c>
      <c r="CC437" s="167">
        <v>0.0</v>
      </c>
      <c r="CD437" s="167">
        <v>1.0</v>
      </c>
      <c r="CE437" s="167"/>
      <c r="CF437" s="167"/>
      <c r="CG437" s="167"/>
      <c r="CH437" s="167"/>
      <c r="CI437" s="167"/>
      <c r="CJ437" s="167"/>
      <c r="CK437" s="167"/>
      <c r="CL437" s="167"/>
      <c r="CM437" s="167"/>
      <c r="CN437" s="167"/>
      <c r="CO437" s="167"/>
      <c r="CP437" s="167">
        <v>1.0</v>
      </c>
      <c r="CQ437" s="167">
        <v>0.0</v>
      </c>
      <c r="CR437" s="168">
        <v>1.0</v>
      </c>
      <c r="CS437" s="167">
        <v>0.0</v>
      </c>
      <c r="CT437" s="167">
        <v>1.0</v>
      </c>
      <c r="CU437" s="167">
        <v>0.0</v>
      </c>
      <c r="CV437" s="156">
        <v>6.0</v>
      </c>
      <c r="CW437" s="156">
        <v>0.0</v>
      </c>
      <c r="CX437" s="156">
        <v>0.0</v>
      </c>
      <c r="CY437" s="156">
        <v>0.0</v>
      </c>
      <c r="CZ437" s="156">
        <v>0.0</v>
      </c>
      <c r="DA437" s="156">
        <v>0.0</v>
      </c>
      <c r="DB437" s="174"/>
      <c r="DC437" s="174"/>
      <c r="DD437" s="174"/>
      <c r="DE437" s="174">
        <v>1.0</v>
      </c>
      <c r="DF437" s="174">
        <v>0.0</v>
      </c>
      <c r="DG437" s="174">
        <v>1.0</v>
      </c>
      <c r="DH437" s="174">
        <v>0.0</v>
      </c>
      <c r="DI437" s="174">
        <v>0.0</v>
      </c>
      <c r="DJ437" s="174">
        <v>1.0</v>
      </c>
      <c r="DK437" s="174">
        <v>0.0</v>
      </c>
      <c r="DL437" s="174">
        <v>1.0</v>
      </c>
      <c r="DM437" s="174">
        <v>0.0</v>
      </c>
      <c r="DN437" s="174">
        <v>1.0</v>
      </c>
      <c r="DO437" s="174">
        <v>0.0</v>
      </c>
      <c r="DP437" s="174">
        <v>0.0</v>
      </c>
      <c r="DQ437" s="174">
        <v>1.0</v>
      </c>
      <c r="DR437" s="174"/>
      <c r="DS437" s="174"/>
      <c r="DT437" s="174"/>
      <c r="DU437" s="174"/>
      <c r="DV437" s="174"/>
      <c r="DW437" s="174"/>
      <c r="DX437" s="174"/>
      <c r="DY437" s="174"/>
      <c r="DZ437" s="174"/>
      <c r="EA437" s="174"/>
      <c r="EB437" s="174"/>
      <c r="EC437" s="174"/>
      <c r="ED437" s="174"/>
      <c r="EE437" s="174"/>
      <c r="EF437" s="174"/>
      <c r="EG437" s="156">
        <v>0.0</v>
      </c>
      <c r="EH437" s="156">
        <v>0.0</v>
      </c>
      <c r="EI437" s="156">
        <v>0.0</v>
      </c>
      <c r="EJ437" s="156">
        <v>0.0</v>
      </c>
      <c r="EK437" s="156">
        <v>0.0</v>
      </c>
      <c r="EL437" s="156">
        <v>0.0</v>
      </c>
      <c r="FQ437" s="156">
        <v>0.0</v>
      </c>
      <c r="FR437" s="156">
        <v>0.0</v>
      </c>
      <c r="FS437" s="156">
        <v>0.0</v>
      </c>
      <c r="FT437" s="156">
        <v>0.0</v>
      </c>
      <c r="FU437" s="156">
        <v>0.0</v>
      </c>
      <c r="FV437" s="156">
        <v>0.0</v>
      </c>
      <c r="FW437" s="157"/>
      <c r="FX437" s="157"/>
      <c r="FY437" s="157"/>
      <c r="FZ437" s="157"/>
      <c r="GA437" s="157"/>
      <c r="GB437" s="157"/>
      <c r="GC437" s="157"/>
      <c r="GD437" s="157"/>
      <c r="GE437" s="157"/>
      <c r="GF437" s="157"/>
      <c r="GG437" s="157"/>
      <c r="GH437" s="157"/>
      <c r="GI437" s="157"/>
      <c r="GJ437" s="157"/>
      <c r="GK437" s="157"/>
      <c r="GL437" s="157"/>
      <c r="GM437" s="157"/>
      <c r="GN437" s="157"/>
      <c r="GO437" s="157"/>
      <c r="GP437" s="158"/>
      <c r="GQ437" s="157"/>
      <c r="GR437" s="157"/>
      <c r="GS437" s="157"/>
      <c r="GT437" s="157"/>
      <c r="GU437" s="157"/>
      <c r="GV437" s="157"/>
      <c r="GW437" s="157"/>
      <c r="GX437" s="157"/>
      <c r="GY437" s="157"/>
      <c r="GZ437" s="157"/>
      <c r="HA437" s="157"/>
      <c r="HB437" s="155">
        <v>0.0</v>
      </c>
      <c r="HC437" s="155">
        <v>0.0</v>
      </c>
      <c r="HD437" s="155">
        <v>0.0</v>
      </c>
      <c r="HE437" s="155">
        <v>0.0</v>
      </c>
      <c r="HF437" s="155">
        <v>0.0</v>
      </c>
      <c r="HG437" s="155">
        <v>0.0</v>
      </c>
      <c r="IL437" s="159">
        <v>0.0</v>
      </c>
      <c r="IM437" s="156">
        <v>0.0</v>
      </c>
      <c r="IN437" s="156">
        <v>0.0</v>
      </c>
      <c r="IO437" s="156">
        <v>0.0</v>
      </c>
      <c r="IP437" s="156">
        <v>0.0</v>
      </c>
      <c r="IQ437" s="160">
        <v>0.0</v>
      </c>
      <c r="JH437" s="25"/>
      <c r="JW437" s="159">
        <v>0.0</v>
      </c>
      <c r="JX437" s="156">
        <v>0.0</v>
      </c>
      <c r="JY437" s="156">
        <v>0.0</v>
      </c>
      <c r="JZ437" s="156">
        <v>0.0</v>
      </c>
      <c r="KA437" s="156">
        <v>0.0</v>
      </c>
      <c r="KB437" s="160">
        <v>0.0</v>
      </c>
      <c r="LH437" s="159">
        <f t="shared" si="10"/>
        <v>0</v>
      </c>
      <c r="LI437" s="156">
        <f t="shared" si="11"/>
        <v>0</v>
      </c>
      <c r="LJ437" s="156">
        <f t="shared" si="12"/>
        <v>0</v>
      </c>
      <c r="LK437" s="156">
        <f t="shared" si="13"/>
        <v>0</v>
      </c>
      <c r="LL437" s="156">
        <f t="shared" si="14"/>
        <v>0</v>
      </c>
      <c r="LM437" s="160">
        <f t="shared" si="15"/>
        <v>0</v>
      </c>
      <c r="QX437" s="107">
        <v>46001.0</v>
      </c>
    </row>
    <row r="438">
      <c r="A438" s="126"/>
      <c r="B438" s="126"/>
      <c r="C438" s="12"/>
      <c r="D438" s="12"/>
      <c r="E438" s="12"/>
      <c r="F438" s="12"/>
      <c r="G438" s="12"/>
      <c r="H438" s="12"/>
      <c r="I438" s="143">
        <f t="shared" si="5"/>
        <v>-48</v>
      </c>
      <c r="J438" s="470">
        <v>46001.0</v>
      </c>
      <c r="K438" s="471" t="s">
        <v>48</v>
      </c>
      <c r="L438" s="519">
        <v>46113.0</v>
      </c>
      <c r="M438" s="147" t="s">
        <v>348</v>
      </c>
      <c r="N438" s="148">
        <v>246.0</v>
      </c>
      <c r="O438" s="148">
        <v>30.0</v>
      </c>
      <c r="P438" s="26"/>
      <c r="Q438" s="26"/>
      <c r="R438" s="26"/>
      <c r="S438" s="26"/>
      <c r="T438" s="26"/>
      <c r="U438" s="147" t="s">
        <v>3210</v>
      </c>
      <c r="V438" s="149" t="s">
        <v>3186</v>
      </c>
      <c r="W438" s="248" t="s">
        <v>3245</v>
      </c>
      <c r="X438" s="181">
        <v>7.0</v>
      </c>
      <c r="Y438" s="166">
        <f t="shared" si="6"/>
        <v>48</v>
      </c>
      <c r="Z438" s="26">
        <f t="shared" si="7"/>
        <v>0</v>
      </c>
      <c r="AA438" s="26">
        <f t="shared" si="8"/>
        <v>0</v>
      </c>
      <c r="AB438" s="26">
        <f t="shared" si="9"/>
        <v>0</v>
      </c>
      <c r="AC438" s="155">
        <v>10.0</v>
      </c>
      <c r="AD438" s="155">
        <v>0.0</v>
      </c>
      <c r="AE438" s="155">
        <v>0.0</v>
      </c>
      <c r="AF438" s="155">
        <v>0.0</v>
      </c>
      <c r="AG438" s="155">
        <v>0.0</v>
      </c>
      <c r="AH438" s="155">
        <v>0.0</v>
      </c>
      <c r="AI438" s="167"/>
      <c r="AJ438" s="167"/>
      <c r="AK438" s="167"/>
      <c r="AL438" s="167"/>
      <c r="AM438" s="167">
        <v>1.0</v>
      </c>
      <c r="AN438" s="167">
        <v>0.0</v>
      </c>
      <c r="AO438" s="167">
        <v>1.0</v>
      </c>
      <c r="AP438" s="167">
        <v>0.0</v>
      </c>
      <c r="AQ438" s="167">
        <v>1.0</v>
      </c>
      <c r="AR438" s="167">
        <v>0.0</v>
      </c>
      <c r="AS438" s="167">
        <v>0.0</v>
      </c>
      <c r="AT438" s="167">
        <v>1.0</v>
      </c>
      <c r="AU438" s="167">
        <v>0.0</v>
      </c>
      <c r="AV438" s="167">
        <v>1.0</v>
      </c>
      <c r="AW438" s="167">
        <v>0.0</v>
      </c>
      <c r="AX438" s="167"/>
      <c r="AY438" s="167">
        <v>0.0</v>
      </c>
      <c r="AZ438" s="167">
        <v>0.0</v>
      </c>
      <c r="BA438" s="167">
        <v>1.0</v>
      </c>
      <c r="BB438" s="167">
        <v>0.0</v>
      </c>
      <c r="BC438" s="167">
        <v>1.0</v>
      </c>
      <c r="BD438" s="167">
        <v>0.0</v>
      </c>
      <c r="BE438" s="167">
        <v>1.0</v>
      </c>
      <c r="BF438" s="167">
        <v>0.0</v>
      </c>
      <c r="BG438" s="167">
        <v>0.0</v>
      </c>
      <c r="BH438" s="167"/>
      <c r="BI438" s="168">
        <v>1.0</v>
      </c>
      <c r="BJ438" s="167">
        <v>1.0</v>
      </c>
      <c r="BK438" s="167"/>
      <c r="BL438" s="167"/>
      <c r="BM438" s="167"/>
      <c r="BN438" s="155">
        <v>7.0</v>
      </c>
      <c r="BO438" s="155">
        <v>0.0</v>
      </c>
      <c r="BP438" s="155">
        <v>0.0</v>
      </c>
      <c r="BQ438" s="155">
        <v>0.0</v>
      </c>
      <c r="BR438" s="155">
        <v>0.0</v>
      </c>
      <c r="BS438" s="155">
        <v>0.0</v>
      </c>
      <c r="BT438" s="168">
        <v>1.0</v>
      </c>
      <c r="BU438" s="167">
        <v>1.0</v>
      </c>
      <c r="BV438" s="167">
        <v>0.0</v>
      </c>
      <c r="BW438" s="167">
        <v>1.0</v>
      </c>
      <c r="BX438" s="167">
        <v>0.0</v>
      </c>
      <c r="BY438" s="167">
        <v>1.0</v>
      </c>
      <c r="BZ438" s="167">
        <v>0.0</v>
      </c>
      <c r="CA438" s="167">
        <v>0.0</v>
      </c>
      <c r="CB438" s="167">
        <v>1.0</v>
      </c>
      <c r="CC438" s="167">
        <v>0.0</v>
      </c>
      <c r="CD438" s="167">
        <v>1.0</v>
      </c>
      <c r="CE438" s="167">
        <v>0.0</v>
      </c>
      <c r="CF438" s="167">
        <v>1.0</v>
      </c>
      <c r="CG438" s="167"/>
      <c r="CH438" s="167"/>
      <c r="CI438" s="167"/>
      <c r="CJ438" s="167"/>
      <c r="CK438" s="167"/>
      <c r="CL438" s="167"/>
      <c r="CM438" s="167"/>
      <c r="CN438" s="167"/>
      <c r="CO438" s="167"/>
      <c r="CP438" s="167"/>
      <c r="CQ438" s="167"/>
      <c r="CR438" s="167"/>
      <c r="CS438" s="167"/>
      <c r="CT438" s="167"/>
      <c r="CU438" s="167"/>
      <c r="CV438" s="156">
        <v>11.0</v>
      </c>
      <c r="CW438" s="156">
        <v>0.0</v>
      </c>
      <c r="CX438" s="156">
        <v>0.0</v>
      </c>
      <c r="CY438" s="156">
        <v>0.0</v>
      </c>
      <c r="CZ438" s="156">
        <v>0.0</v>
      </c>
      <c r="DA438" s="156">
        <v>0.0</v>
      </c>
      <c r="DB438" s="174">
        <v>0.0</v>
      </c>
      <c r="DC438" s="174">
        <v>1.0</v>
      </c>
      <c r="DD438" s="174">
        <v>0.0</v>
      </c>
      <c r="DE438" s="174"/>
      <c r="DF438" s="174">
        <v>0.0</v>
      </c>
      <c r="DG438" s="174">
        <v>1.0</v>
      </c>
      <c r="DH438" s="174">
        <v>0.0</v>
      </c>
      <c r="DI438" s="174">
        <v>0.0</v>
      </c>
      <c r="DJ438" s="174">
        <v>1.0</v>
      </c>
      <c r="DK438" s="174">
        <v>0.0</v>
      </c>
      <c r="DL438" s="174">
        <v>1.0</v>
      </c>
      <c r="DM438" s="174">
        <v>0.0</v>
      </c>
      <c r="DN438" s="174">
        <v>1.0</v>
      </c>
      <c r="DO438" s="174">
        <v>0.0</v>
      </c>
      <c r="DP438" s="174">
        <v>0.0</v>
      </c>
      <c r="DQ438" s="174">
        <v>1.0</v>
      </c>
      <c r="DR438" s="174">
        <v>0.0</v>
      </c>
      <c r="DS438" s="174">
        <v>1.0</v>
      </c>
      <c r="DT438" s="174">
        <v>0.0</v>
      </c>
      <c r="DU438" s="174"/>
      <c r="DV438" s="174">
        <v>0.0</v>
      </c>
      <c r="DW438" s="174">
        <v>0.0</v>
      </c>
      <c r="DX438" s="174">
        <v>1.0</v>
      </c>
      <c r="DY438" s="174">
        <v>0.0</v>
      </c>
      <c r="DZ438" s="174">
        <v>1.0</v>
      </c>
      <c r="EA438" s="174">
        <v>0.0</v>
      </c>
      <c r="EB438" s="174">
        <v>1.0</v>
      </c>
      <c r="EC438" s="174">
        <v>0.0</v>
      </c>
      <c r="ED438" s="174">
        <v>0.0</v>
      </c>
      <c r="EE438" s="174">
        <v>1.0</v>
      </c>
      <c r="EF438" s="174">
        <v>0.0</v>
      </c>
      <c r="EG438" s="156">
        <v>0.0</v>
      </c>
      <c r="EH438" s="156">
        <v>0.0</v>
      </c>
      <c r="EI438" s="156">
        <v>0.0</v>
      </c>
      <c r="EJ438" s="156">
        <v>0.0</v>
      </c>
      <c r="EK438" s="156">
        <v>0.0</v>
      </c>
      <c r="EL438" s="156">
        <v>0.0</v>
      </c>
      <c r="EM438" s="174"/>
      <c r="EN438" s="174"/>
      <c r="EO438" s="174"/>
      <c r="EP438" s="174"/>
      <c r="EQ438" s="174"/>
      <c r="ER438" s="174"/>
      <c r="ES438" s="174"/>
      <c r="ET438" s="174"/>
      <c r="EU438" s="174"/>
      <c r="EV438" s="174"/>
      <c r="EW438" s="174"/>
      <c r="EX438" s="174"/>
      <c r="EY438" s="174"/>
      <c r="EZ438" s="174"/>
      <c r="FA438" s="174"/>
      <c r="FB438" s="174"/>
      <c r="FC438" s="174"/>
      <c r="FD438" s="174"/>
      <c r="FE438" s="174"/>
      <c r="FF438" s="174"/>
      <c r="FG438" s="174"/>
      <c r="FH438" s="174"/>
      <c r="FI438" s="174"/>
      <c r="FJ438" s="174"/>
      <c r="FK438" s="174"/>
      <c r="FL438" s="174"/>
      <c r="FM438" s="174"/>
      <c r="FN438" s="174"/>
      <c r="FO438" s="174"/>
      <c r="FP438" s="174"/>
      <c r="FQ438" s="156">
        <v>7.0</v>
      </c>
      <c r="FR438" s="156">
        <v>0.0</v>
      </c>
      <c r="FS438" s="156">
        <v>0.0</v>
      </c>
      <c r="FT438" s="156">
        <v>0.0</v>
      </c>
      <c r="FU438" s="156">
        <v>0.0</v>
      </c>
      <c r="FV438" s="156">
        <v>0.0</v>
      </c>
      <c r="FW438" s="174"/>
      <c r="FX438" s="174"/>
      <c r="FY438" s="174"/>
      <c r="FZ438" s="174"/>
      <c r="GA438" s="174"/>
      <c r="GB438" s="174"/>
      <c r="GC438" s="174"/>
      <c r="GD438" s="174">
        <v>1.0</v>
      </c>
      <c r="GE438" s="174">
        <v>0.0</v>
      </c>
      <c r="GF438" s="174">
        <v>0.0</v>
      </c>
      <c r="GG438" s="174">
        <v>1.0</v>
      </c>
      <c r="GH438" s="174">
        <v>0.0</v>
      </c>
      <c r="GI438" s="174">
        <v>1.0</v>
      </c>
      <c r="GJ438" s="174"/>
      <c r="GK438" s="174"/>
      <c r="GL438" s="174"/>
      <c r="GM438" s="174"/>
      <c r="GN438" s="174">
        <v>1.0</v>
      </c>
      <c r="GO438" s="174">
        <v>0.0</v>
      </c>
      <c r="GP438" s="176"/>
      <c r="GQ438" s="174">
        <v>0.0</v>
      </c>
      <c r="GR438" s="174">
        <v>1.0</v>
      </c>
      <c r="GS438" s="174"/>
      <c r="GT438" s="174"/>
      <c r="GU438" s="174"/>
      <c r="GV438" s="174"/>
      <c r="GW438" s="174">
        <v>1.0</v>
      </c>
      <c r="GX438" s="174">
        <v>0.0</v>
      </c>
      <c r="GY438" s="174">
        <v>1.0</v>
      </c>
      <c r="GZ438" s="174">
        <v>0.0</v>
      </c>
      <c r="HA438" s="174">
        <v>0.0</v>
      </c>
      <c r="HB438" s="155">
        <v>3.0</v>
      </c>
      <c r="HC438" s="155">
        <v>0.0</v>
      </c>
      <c r="HD438" s="155">
        <v>0.0</v>
      </c>
      <c r="HE438" s="155">
        <v>0.0</v>
      </c>
      <c r="HF438" s="155">
        <v>0.0</v>
      </c>
      <c r="HG438" s="155">
        <v>0.0</v>
      </c>
      <c r="HH438" s="174">
        <v>1.0</v>
      </c>
      <c r="HI438" s="174"/>
      <c r="HJ438" s="174">
        <v>1.0</v>
      </c>
      <c r="HK438" s="174"/>
      <c r="HL438" s="174">
        <v>1.0</v>
      </c>
      <c r="HM438" s="174"/>
      <c r="HN438" s="174"/>
      <c r="HO438" s="174"/>
      <c r="HP438" s="174"/>
      <c r="HQ438" s="174"/>
      <c r="HR438" s="174"/>
      <c r="HS438" s="174"/>
      <c r="HT438" s="174"/>
      <c r="HU438" s="174"/>
      <c r="HV438" s="174"/>
      <c r="HW438" s="174"/>
      <c r="HX438" s="174"/>
      <c r="HY438" s="174"/>
      <c r="HZ438" s="174"/>
      <c r="IA438" s="174"/>
      <c r="IB438" s="174"/>
      <c r="IC438" s="174"/>
      <c r="ID438" s="174"/>
      <c r="IE438" s="174"/>
      <c r="IF438" s="174"/>
      <c r="IG438" s="174"/>
      <c r="IH438" s="174"/>
      <c r="II438" s="174"/>
      <c r="IJ438" s="174"/>
      <c r="IK438" s="174"/>
      <c r="IL438" s="159">
        <v>0.0</v>
      </c>
      <c r="IM438" s="156">
        <v>0.0</v>
      </c>
      <c r="IN438" s="156">
        <v>0.0</v>
      </c>
      <c r="IO438" s="156">
        <v>0.0</v>
      </c>
      <c r="IP438" s="156">
        <v>0.0</v>
      </c>
      <c r="IQ438" s="160">
        <v>0.0</v>
      </c>
      <c r="IR438" s="174"/>
      <c r="IS438" s="174"/>
      <c r="IT438" s="174"/>
      <c r="IU438" s="174"/>
      <c r="IV438" s="174"/>
      <c r="IW438" s="174"/>
      <c r="IX438" s="174"/>
      <c r="IY438" s="174"/>
      <c r="IZ438" s="174"/>
      <c r="JA438" s="174"/>
      <c r="JB438" s="174"/>
      <c r="JC438" s="174"/>
      <c r="JD438" s="174"/>
      <c r="JE438" s="174"/>
      <c r="JF438" s="174"/>
      <c r="JG438" s="174"/>
      <c r="JH438" s="177"/>
      <c r="JI438" s="174"/>
      <c r="JJ438" s="174"/>
      <c r="JK438" s="174"/>
      <c r="JL438" s="174"/>
      <c r="JM438" s="174"/>
      <c r="JN438" s="174"/>
      <c r="JO438" s="174"/>
      <c r="JP438" s="174"/>
      <c r="JQ438" s="174"/>
      <c r="JR438" s="174"/>
      <c r="JS438" s="174"/>
      <c r="JT438" s="174"/>
      <c r="JU438" s="174"/>
      <c r="JV438" s="174"/>
      <c r="JW438" s="159">
        <v>0.0</v>
      </c>
      <c r="JX438" s="156">
        <v>0.0</v>
      </c>
      <c r="JY438" s="156">
        <v>0.0</v>
      </c>
      <c r="JZ438" s="156">
        <v>0.0</v>
      </c>
      <c r="KA438" s="156">
        <v>0.0</v>
      </c>
      <c r="KB438" s="160">
        <v>0.0</v>
      </c>
      <c r="KC438" s="174"/>
      <c r="KD438" s="174"/>
      <c r="KE438" s="174"/>
      <c r="KF438" s="174"/>
      <c r="KG438" s="174"/>
      <c r="KH438" s="174"/>
      <c r="KI438" s="174"/>
      <c r="KJ438" s="174"/>
      <c r="KK438" s="174"/>
      <c r="KL438" s="174"/>
      <c r="KM438" s="174"/>
      <c r="KN438" s="174"/>
      <c r="KO438" s="174"/>
      <c r="KP438" s="174"/>
      <c r="KQ438" s="174"/>
      <c r="KR438" s="174"/>
      <c r="KS438" s="472"/>
      <c r="KT438" s="174"/>
      <c r="KU438" s="174"/>
      <c r="KV438" s="174"/>
      <c r="KW438" s="174"/>
      <c r="KX438" s="174"/>
      <c r="KY438" s="174"/>
      <c r="KZ438" s="174"/>
      <c r="LA438" s="174"/>
      <c r="LB438" s="174"/>
      <c r="LC438" s="174"/>
      <c r="LD438" s="174"/>
      <c r="LE438" s="174"/>
      <c r="LF438" s="174"/>
      <c r="LG438" s="174"/>
      <c r="LH438" s="159">
        <f t="shared" si="10"/>
        <v>3</v>
      </c>
      <c r="LI438" s="156">
        <f t="shared" si="11"/>
        <v>0</v>
      </c>
      <c r="LJ438" s="156">
        <f t="shared" si="12"/>
        <v>0</v>
      </c>
      <c r="LK438" s="156">
        <f t="shared" si="13"/>
        <v>0</v>
      </c>
      <c r="LL438" s="156">
        <f t="shared" si="14"/>
        <v>0</v>
      </c>
      <c r="LM438" s="160">
        <f t="shared" si="15"/>
        <v>0</v>
      </c>
      <c r="LN438" s="174"/>
      <c r="LO438" s="174"/>
      <c r="LP438" s="174"/>
      <c r="LQ438" s="174"/>
      <c r="LR438" s="174"/>
      <c r="LS438" s="174"/>
      <c r="LT438" s="174"/>
      <c r="LU438" s="174"/>
      <c r="LV438" s="174"/>
      <c r="LW438" s="174">
        <f t="shared" ref="LW438:MQ438" si="21">IFS(TODAY()&lt;=LW$2,0,WEEKDAY(LW$2)=2,1,WEEKDAY(LW$2)=3,0,WEEKDAY(LW$2)=4,1,WEEKDAY(LW$2)=5,0,WEEKDAY(LW$2)=6,1,WEEKDAY(LW$2)=7,0,WEEKDAY(LW$2)=1,0)</f>
        <v>0</v>
      </c>
      <c r="LX438" s="174">
        <f t="shared" si="21"/>
        <v>1</v>
      </c>
      <c r="LY438" s="174">
        <f t="shared" si="21"/>
        <v>0</v>
      </c>
      <c r="LZ438" s="174">
        <f t="shared" si="21"/>
        <v>0</v>
      </c>
      <c r="MA438" s="174">
        <f t="shared" si="21"/>
        <v>1</v>
      </c>
      <c r="MB438" s="174">
        <f t="shared" si="21"/>
        <v>0</v>
      </c>
      <c r="MC438" s="174">
        <f t="shared" si="21"/>
        <v>1</v>
      </c>
      <c r="MD438" s="174">
        <f t="shared" si="21"/>
        <v>0</v>
      </c>
      <c r="ME438" s="174">
        <f t="shared" si="21"/>
        <v>0</v>
      </c>
      <c r="MF438" s="174">
        <f t="shared" si="21"/>
        <v>0</v>
      </c>
      <c r="MG438" s="174">
        <f t="shared" si="21"/>
        <v>0</v>
      </c>
      <c r="MH438" s="174">
        <f t="shared" si="21"/>
        <v>0</v>
      </c>
      <c r="MI438" s="174">
        <f t="shared" si="21"/>
        <v>0</v>
      </c>
      <c r="MJ438" s="174">
        <f t="shared" si="21"/>
        <v>0</v>
      </c>
      <c r="MK438" s="174">
        <f t="shared" si="21"/>
        <v>0</v>
      </c>
      <c r="ML438" s="174">
        <f t="shared" si="21"/>
        <v>0</v>
      </c>
      <c r="MM438" s="174">
        <f t="shared" si="21"/>
        <v>0</v>
      </c>
      <c r="MN438" s="174">
        <f t="shared" si="21"/>
        <v>0</v>
      </c>
      <c r="MO438" s="174">
        <f t="shared" si="21"/>
        <v>0</v>
      </c>
      <c r="MP438" s="174">
        <f t="shared" si="21"/>
        <v>0</v>
      </c>
      <c r="MQ438" s="174">
        <f t="shared" si="21"/>
        <v>0</v>
      </c>
      <c r="QX438" s="107">
        <v>46001.0</v>
      </c>
    </row>
    <row r="439">
      <c r="A439" s="12"/>
      <c r="B439" s="12"/>
      <c r="C439" s="12"/>
      <c r="D439" s="12"/>
      <c r="E439" s="12"/>
      <c r="F439" s="12"/>
      <c r="G439" s="12"/>
      <c r="H439" s="12"/>
      <c r="I439" s="143">
        <f t="shared" si="5"/>
        <v>-9</v>
      </c>
      <c r="J439" s="144">
        <v>46001.0</v>
      </c>
      <c r="K439" s="145" t="s">
        <v>61</v>
      </c>
      <c r="L439" s="171">
        <v>46032.0</v>
      </c>
      <c r="M439" s="147" t="s">
        <v>712</v>
      </c>
      <c r="N439" s="148">
        <v>246.0</v>
      </c>
      <c r="O439" s="148">
        <v>30.0</v>
      </c>
      <c r="P439" s="26"/>
      <c r="Q439" s="26"/>
      <c r="R439" s="26"/>
      <c r="S439" s="26"/>
      <c r="T439" s="26"/>
      <c r="U439" s="147" t="s">
        <v>3246</v>
      </c>
      <c r="V439" s="149" t="s">
        <v>3247</v>
      </c>
      <c r="W439" s="248" t="s">
        <v>3248</v>
      </c>
      <c r="X439" s="181">
        <v>7.0</v>
      </c>
      <c r="Y439" s="166">
        <f t="shared" si="6"/>
        <v>9</v>
      </c>
      <c r="Z439" s="26">
        <f t="shared" si="7"/>
        <v>0</v>
      </c>
      <c r="AA439" s="26">
        <f t="shared" si="8"/>
        <v>0</v>
      </c>
      <c r="AB439" s="26">
        <f t="shared" si="9"/>
        <v>0</v>
      </c>
      <c r="AC439" s="155">
        <v>2.0</v>
      </c>
      <c r="AD439" s="155">
        <v>0.0</v>
      </c>
      <c r="AE439" s="155">
        <v>0.0</v>
      </c>
      <c r="AF439" s="155">
        <v>0.0</v>
      </c>
      <c r="AG439" s="155">
        <v>0.0</v>
      </c>
      <c r="AH439" s="155">
        <v>0.0</v>
      </c>
      <c r="AI439" s="167"/>
      <c r="AJ439" s="167"/>
      <c r="AK439" s="167"/>
      <c r="AL439" s="167"/>
      <c r="AM439" s="167">
        <v>1.0</v>
      </c>
      <c r="AN439" s="167">
        <v>0.0</v>
      </c>
      <c r="AO439" s="167">
        <v>1.0</v>
      </c>
      <c r="AP439" s="167"/>
      <c r="AQ439" s="167"/>
      <c r="AR439" s="167"/>
      <c r="AS439" s="167"/>
      <c r="AT439" s="167"/>
      <c r="AU439" s="167"/>
      <c r="AV439" s="167"/>
      <c r="AW439" s="167"/>
      <c r="AX439" s="167"/>
      <c r="AY439" s="167"/>
      <c r="AZ439" s="167"/>
      <c r="BA439" s="167"/>
      <c r="BB439" s="167"/>
      <c r="BC439" s="167"/>
      <c r="BD439" s="167"/>
      <c r="BE439" s="167"/>
      <c r="BF439" s="167"/>
      <c r="BG439" s="167"/>
      <c r="BH439" s="167"/>
      <c r="BI439" s="167"/>
      <c r="BJ439" s="167"/>
      <c r="BK439" s="167"/>
      <c r="BL439" s="167"/>
      <c r="BM439" s="167"/>
      <c r="BN439" s="155">
        <v>0.0</v>
      </c>
      <c r="BO439" s="155">
        <v>0.0</v>
      </c>
      <c r="BP439" s="155">
        <v>0.0</v>
      </c>
      <c r="BQ439" s="155">
        <v>0.0</v>
      </c>
      <c r="BR439" s="155">
        <v>0.0</v>
      </c>
      <c r="BS439" s="155">
        <v>0.0</v>
      </c>
      <c r="CV439" s="156">
        <v>0.0</v>
      </c>
      <c r="CW439" s="156">
        <v>0.0</v>
      </c>
      <c r="CX439" s="156">
        <v>0.0</v>
      </c>
      <c r="CY439" s="156">
        <v>0.0</v>
      </c>
      <c r="CZ439" s="156">
        <v>0.0</v>
      </c>
      <c r="DA439" s="156">
        <v>0.0</v>
      </c>
      <c r="EG439" s="156">
        <v>0.0</v>
      </c>
      <c r="EH439" s="156">
        <v>0.0</v>
      </c>
      <c r="EI439" s="156">
        <v>0.0</v>
      </c>
      <c r="EJ439" s="156">
        <v>0.0</v>
      </c>
      <c r="EK439" s="156">
        <v>0.0</v>
      </c>
      <c r="EL439" s="156">
        <v>0.0</v>
      </c>
      <c r="FQ439" s="156">
        <v>0.0</v>
      </c>
      <c r="FR439" s="156">
        <v>0.0</v>
      </c>
      <c r="FS439" s="156">
        <v>0.0</v>
      </c>
      <c r="FT439" s="156">
        <v>0.0</v>
      </c>
      <c r="FU439" s="156">
        <v>0.0</v>
      </c>
      <c r="FV439" s="156">
        <v>0.0</v>
      </c>
      <c r="FW439" s="157"/>
      <c r="FX439" s="157"/>
      <c r="FY439" s="157"/>
      <c r="FZ439" s="157"/>
      <c r="GA439" s="157"/>
      <c r="GB439" s="157"/>
      <c r="GC439" s="157"/>
      <c r="GD439" s="157"/>
      <c r="GE439" s="157"/>
      <c r="GF439" s="157"/>
      <c r="GG439" s="157"/>
      <c r="GH439" s="157"/>
      <c r="GI439" s="157"/>
      <c r="GJ439" s="157"/>
      <c r="GK439" s="157"/>
      <c r="GL439" s="157"/>
      <c r="GM439" s="157"/>
      <c r="GN439" s="157"/>
      <c r="GO439" s="157"/>
      <c r="GP439" s="158"/>
      <c r="GQ439" s="157"/>
      <c r="GR439" s="157"/>
      <c r="GS439" s="157"/>
      <c r="GT439" s="157"/>
      <c r="GU439" s="157"/>
      <c r="GV439" s="157"/>
      <c r="GW439" s="157"/>
      <c r="GX439" s="157"/>
      <c r="GY439" s="157"/>
      <c r="GZ439" s="157"/>
      <c r="HA439" s="157"/>
      <c r="HB439" s="155">
        <v>0.0</v>
      </c>
      <c r="HC439" s="155">
        <v>0.0</v>
      </c>
      <c r="HD439" s="155">
        <v>0.0</v>
      </c>
      <c r="HE439" s="155">
        <v>0.0</v>
      </c>
      <c r="HF439" s="155">
        <v>0.0</v>
      </c>
      <c r="HG439" s="155">
        <v>0.0</v>
      </c>
      <c r="IL439" s="159">
        <v>0.0</v>
      </c>
      <c r="IM439" s="156">
        <v>0.0</v>
      </c>
      <c r="IN439" s="156">
        <v>0.0</v>
      </c>
      <c r="IO439" s="156">
        <v>0.0</v>
      </c>
      <c r="IP439" s="156">
        <v>0.0</v>
      </c>
      <c r="IQ439" s="160">
        <v>0.0</v>
      </c>
      <c r="JH439" s="25"/>
      <c r="JW439" s="159">
        <v>0.0</v>
      </c>
      <c r="JX439" s="156">
        <v>0.0</v>
      </c>
      <c r="JY439" s="156">
        <v>0.0</v>
      </c>
      <c r="JZ439" s="156">
        <v>0.0</v>
      </c>
      <c r="KA439" s="156">
        <v>0.0</v>
      </c>
      <c r="KB439" s="160">
        <v>0.0</v>
      </c>
      <c r="LH439" s="159">
        <f t="shared" si="10"/>
        <v>0</v>
      </c>
      <c r="LI439" s="156">
        <f t="shared" si="11"/>
        <v>0</v>
      </c>
      <c r="LJ439" s="156">
        <f t="shared" si="12"/>
        <v>0</v>
      </c>
      <c r="LK439" s="156">
        <f t="shared" si="13"/>
        <v>0</v>
      </c>
      <c r="LL439" s="156">
        <f t="shared" si="14"/>
        <v>0</v>
      </c>
      <c r="LM439" s="160">
        <f t="shared" si="15"/>
        <v>0</v>
      </c>
      <c r="QX439" s="107">
        <v>46002.0</v>
      </c>
    </row>
    <row r="440">
      <c r="A440" s="25"/>
      <c r="B440" s="25"/>
      <c r="C440" s="25"/>
      <c r="D440" s="25"/>
      <c r="E440" s="25"/>
      <c r="F440" s="12"/>
      <c r="G440" s="12"/>
      <c r="H440" s="12"/>
      <c r="I440" s="143">
        <f t="shared" si="5"/>
        <v>-28</v>
      </c>
      <c r="J440" s="144">
        <v>46001.0</v>
      </c>
      <c r="K440" s="195" t="s">
        <v>61</v>
      </c>
      <c r="L440" s="171">
        <v>46148.0</v>
      </c>
      <c r="M440" s="147" t="s">
        <v>107</v>
      </c>
      <c r="N440" s="148">
        <v>246.0</v>
      </c>
      <c r="O440" s="148">
        <v>30.0</v>
      </c>
      <c r="P440" s="26"/>
      <c r="Q440" s="26"/>
      <c r="R440" s="26"/>
      <c r="S440" s="26"/>
      <c r="T440" s="26"/>
      <c r="U440" s="147" t="s">
        <v>3210</v>
      </c>
      <c r="V440" s="149" t="s">
        <v>3186</v>
      </c>
      <c r="W440" s="164" t="s">
        <v>3249</v>
      </c>
      <c r="X440" s="181">
        <v>9.0</v>
      </c>
      <c r="Y440" s="166">
        <f t="shared" si="6"/>
        <v>28</v>
      </c>
      <c r="Z440" s="26">
        <f t="shared" si="7"/>
        <v>0</v>
      </c>
      <c r="AA440" s="26">
        <f t="shared" si="8"/>
        <v>0</v>
      </c>
      <c r="AB440" s="26">
        <f t="shared" si="9"/>
        <v>0</v>
      </c>
      <c r="AC440" s="155">
        <v>12.0</v>
      </c>
      <c r="AD440" s="155">
        <v>0.0</v>
      </c>
      <c r="AE440" s="155">
        <v>0.0</v>
      </c>
      <c r="AF440" s="155">
        <v>0.0</v>
      </c>
      <c r="AG440" s="155">
        <v>0.0</v>
      </c>
      <c r="AH440" s="155">
        <v>0.0</v>
      </c>
      <c r="AI440" s="167"/>
      <c r="AJ440" s="167"/>
      <c r="AK440" s="168">
        <v>1.0</v>
      </c>
      <c r="AL440" s="167"/>
      <c r="AM440" s="167"/>
      <c r="AN440" s="167"/>
      <c r="AO440" s="167">
        <v>1.0</v>
      </c>
      <c r="AP440" s="167">
        <v>0.0</v>
      </c>
      <c r="AQ440" s="167">
        <v>1.0</v>
      </c>
      <c r="AR440" s="167"/>
      <c r="AS440" s="167"/>
      <c r="AT440" s="167"/>
      <c r="AU440" s="167"/>
      <c r="AV440" s="167"/>
      <c r="AW440" s="167"/>
      <c r="AX440" s="167">
        <v>1.0</v>
      </c>
      <c r="AY440" s="168">
        <v>1.0</v>
      </c>
      <c r="AZ440" s="168">
        <v>1.0</v>
      </c>
      <c r="BA440" s="167">
        <v>1.0</v>
      </c>
      <c r="BB440" s="167">
        <v>0.0</v>
      </c>
      <c r="BC440" s="167">
        <v>1.0</v>
      </c>
      <c r="BD440" s="167">
        <v>0.0</v>
      </c>
      <c r="BE440" s="167">
        <v>1.0</v>
      </c>
      <c r="BF440" s="167">
        <v>0.0</v>
      </c>
      <c r="BG440" s="167">
        <v>0.0</v>
      </c>
      <c r="BH440" s="167">
        <v>1.0</v>
      </c>
      <c r="BI440" s="167">
        <v>0.0</v>
      </c>
      <c r="BJ440" s="167">
        <v>1.0</v>
      </c>
      <c r="BK440" s="167">
        <v>0.0</v>
      </c>
      <c r="BL440" s="167">
        <v>1.0</v>
      </c>
      <c r="BM440" s="167">
        <v>0.0</v>
      </c>
      <c r="BN440" s="155">
        <v>4.0</v>
      </c>
      <c r="BO440" s="155">
        <v>0.0</v>
      </c>
      <c r="BP440" s="155">
        <v>0.0</v>
      </c>
      <c r="BQ440" s="155">
        <v>0.0</v>
      </c>
      <c r="BR440" s="155">
        <v>0.0</v>
      </c>
      <c r="BS440" s="155">
        <v>0.0</v>
      </c>
      <c r="BT440" s="167"/>
      <c r="BU440" s="167"/>
      <c r="BV440" s="167"/>
      <c r="BW440" s="167">
        <v>1.0</v>
      </c>
      <c r="BX440" s="167">
        <v>0.0</v>
      </c>
      <c r="BY440" s="167">
        <v>1.0</v>
      </c>
      <c r="BZ440" s="167">
        <v>0.0</v>
      </c>
      <c r="CA440" s="167">
        <v>0.0</v>
      </c>
      <c r="CB440" s="167">
        <v>1.0</v>
      </c>
      <c r="CC440" s="167">
        <v>0.0</v>
      </c>
      <c r="CD440" s="167">
        <v>1.0</v>
      </c>
      <c r="CE440" s="167"/>
      <c r="CF440" s="167"/>
      <c r="CG440" s="167"/>
      <c r="CH440" s="167"/>
      <c r="CI440" s="167"/>
      <c r="CJ440" s="167"/>
      <c r="CK440" s="167"/>
      <c r="CL440" s="167"/>
      <c r="CM440" s="167"/>
      <c r="CN440" s="167"/>
      <c r="CO440" s="167"/>
      <c r="CP440" s="167"/>
      <c r="CQ440" s="167"/>
      <c r="CR440" s="167"/>
      <c r="CS440" s="167"/>
      <c r="CT440" s="167"/>
      <c r="CU440" s="167"/>
      <c r="CV440" s="156">
        <v>3.0</v>
      </c>
      <c r="CW440" s="156">
        <v>0.0</v>
      </c>
      <c r="CX440" s="156">
        <v>0.0</v>
      </c>
      <c r="CY440" s="156">
        <v>0.0</v>
      </c>
      <c r="CZ440" s="156">
        <v>0.0</v>
      </c>
      <c r="DA440" s="156">
        <v>0.0</v>
      </c>
      <c r="DB440" s="174"/>
      <c r="DC440" s="174"/>
      <c r="DD440" s="174"/>
      <c r="DE440" s="174"/>
      <c r="DF440" s="174"/>
      <c r="DG440" s="174">
        <v>1.0</v>
      </c>
      <c r="DH440" s="174"/>
      <c r="DI440" s="174"/>
      <c r="DJ440" s="174"/>
      <c r="DK440" s="174"/>
      <c r="DL440" s="174"/>
      <c r="DM440" s="174"/>
      <c r="DN440" s="174"/>
      <c r="DO440" s="174"/>
      <c r="DP440" s="174"/>
      <c r="DQ440" s="174"/>
      <c r="DR440" s="174"/>
      <c r="DS440" s="174"/>
      <c r="DT440" s="174"/>
      <c r="DU440" s="174">
        <v>1.0</v>
      </c>
      <c r="DV440" s="174"/>
      <c r="DW440" s="174"/>
      <c r="DX440" s="174"/>
      <c r="DY440" s="174"/>
      <c r="DZ440" s="174"/>
      <c r="EA440" s="174"/>
      <c r="EB440" s="174"/>
      <c r="EC440" s="174"/>
      <c r="ED440" s="175">
        <v>1.0</v>
      </c>
      <c r="EE440" s="174"/>
      <c r="EF440" s="174"/>
      <c r="EG440" s="156">
        <v>0.0</v>
      </c>
      <c r="EH440" s="156">
        <v>0.0</v>
      </c>
      <c r="EI440" s="156">
        <v>0.0</v>
      </c>
      <c r="EJ440" s="156">
        <v>0.0</v>
      </c>
      <c r="EK440" s="156">
        <v>0.0</v>
      </c>
      <c r="EL440" s="156">
        <v>0.0</v>
      </c>
      <c r="EM440" s="174"/>
      <c r="EN440" s="174"/>
      <c r="EO440" s="174"/>
      <c r="EP440" s="174"/>
      <c r="EQ440" s="174"/>
      <c r="ER440" s="174"/>
      <c r="ES440" s="174"/>
      <c r="ET440" s="174"/>
      <c r="EU440" s="174"/>
      <c r="EV440" s="174"/>
      <c r="EW440" s="174"/>
      <c r="EX440" s="174"/>
      <c r="EY440" s="174"/>
      <c r="EZ440" s="174"/>
      <c r="FA440" s="174"/>
      <c r="FB440" s="174"/>
      <c r="FC440" s="174"/>
      <c r="FD440" s="174"/>
      <c r="FE440" s="174"/>
      <c r="FF440" s="174"/>
      <c r="FG440" s="174"/>
      <c r="FH440" s="174"/>
      <c r="FI440" s="174"/>
      <c r="FJ440" s="174"/>
      <c r="FK440" s="174"/>
      <c r="FL440" s="174"/>
      <c r="FM440" s="174"/>
      <c r="FN440" s="174"/>
      <c r="FO440" s="174"/>
      <c r="FP440" s="174"/>
      <c r="FQ440" s="156">
        <v>0.0</v>
      </c>
      <c r="FR440" s="156">
        <v>0.0</v>
      </c>
      <c r="FS440" s="156">
        <v>0.0</v>
      </c>
      <c r="FT440" s="156">
        <v>0.0</v>
      </c>
      <c r="FU440" s="156">
        <v>0.0</v>
      </c>
      <c r="FV440" s="156">
        <v>0.0</v>
      </c>
      <c r="FW440" s="174"/>
      <c r="FX440" s="174"/>
      <c r="FY440" s="174"/>
      <c r="FZ440" s="174"/>
      <c r="GA440" s="174"/>
      <c r="GB440" s="174"/>
      <c r="GC440" s="174"/>
      <c r="GD440" s="174"/>
      <c r="GE440" s="174"/>
      <c r="GF440" s="174"/>
      <c r="GG440" s="174"/>
      <c r="GH440" s="174"/>
      <c r="GI440" s="174"/>
      <c r="GJ440" s="174"/>
      <c r="GK440" s="174"/>
      <c r="GL440" s="174"/>
      <c r="GM440" s="174"/>
      <c r="GN440" s="174"/>
      <c r="GO440" s="174"/>
      <c r="GP440" s="177"/>
      <c r="GQ440" s="174"/>
      <c r="GR440" s="174"/>
      <c r="GS440" s="174"/>
      <c r="GT440" s="174"/>
      <c r="GU440" s="174"/>
      <c r="GV440" s="174"/>
      <c r="GW440" s="174"/>
      <c r="GX440" s="174"/>
      <c r="GY440" s="174"/>
      <c r="GZ440" s="174"/>
      <c r="HA440" s="174"/>
      <c r="HB440" s="155">
        <v>0.0</v>
      </c>
      <c r="HC440" s="155">
        <v>0.0</v>
      </c>
      <c r="HD440" s="155">
        <v>0.0</v>
      </c>
      <c r="HE440" s="155">
        <v>0.0</v>
      </c>
      <c r="HF440" s="155">
        <v>0.0</v>
      </c>
      <c r="HG440" s="155">
        <v>0.0</v>
      </c>
      <c r="HH440" s="174"/>
      <c r="HI440" s="174"/>
      <c r="HJ440" s="174"/>
      <c r="HK440" s="174"/>
      <c r="HL440" s="174"/>
      <c r="HM440" s="174"/>
      <c r="HN440" s="174"/>
      <c r="HO440" s="174"/>
      <c r="HP440" s="174"/>
      <c r="HQ440" s="174"/>
      <c r="HR440" s="174"/>
      <c r="HS440" s="174"/>
      <c r="HT440" s="174"/>
      <c r="HU440" s="174"/>
      <c r="HV440" s="174"/>
      <c r="HW440" s="174"/>
      <c r="HX440" s="174"/>
      <c r="HY440" s="174"/>
      <c r="HZ440" s="174"/>
      <c r="IA440" s="174"/>
      <c r="IB440" s="174"/>
      <c r="IC440" s="174"/>
      <c r="ID440" s="174"/>
      <c r="IE440" s="174"/>
      <c r="IF440" s="174"/>
      <c r="IG440" s="174"/>
      <c r="IH440" s="174"/>
      <c r="II440" s="174"/>
      <c r="IJ440" s="174"/>
      <c r="IK440" s="174"/>
      <c r="IL440" s="159">
        <v>0.0</v>
      </c>
      <c r="IM440" s="156">
        <v>0.0</v>
      </c>
      <c r="IN440" s="156">
        <v>0.0</v>
      </c>
      <c r="IO440" s="156">
        <v>0.0</v>
      </c>
      <c r="IP440" s="156">
        <v>0.0</v>
      </c>
      <c r="IQ440" s="160">
        <v>0.0</v>
      </c>
      <c r="JH440" s="25"/>
      <c r="JW440" s="159">
        <v>0.0</v>
      </c>
      <c r="JX440" s="156">
        <v>0.0</v>
      </c>
      <c r="JY440" s="156">
        <v>0.0</v>
      </c>
      <c r="JZ440" s="156">
        <v>0.0</v>
      </c>
      <c r="KA440" s="156">
        <v>0.0</v>
      </c>
      <c r="KB440" s="160">
        <v>0.0</v>
      </c>
      <c r="LH440" s="159">
        <f t="shared" si="10"/>
        <v>0</v>
      </c>
      <c r="LI440" s="156">
        <f t="shared" si="11"/>
        <v>0</v>
      </c>
      <c r="LJ440" s="156">
        <f t="shared" si="12"/>
        <v>0</v>
      </c>
      <c r="LK440" s="156">
        <f t="shared" si="13"/>
        <v>0</v>
      </c>
      <c r="LL440" s="156">
        <f t="shared" si="14"/>
        <v>0</v>
      </c>
      <c r="LM440" s="160">
        <f t="shared" si="15"/>
        <v>0</v>
      </c>
      <c r="QX440" s="107">
        <v>46002.0</v>
      </c>
    </row>
    <row r="441">
      <c r="A441" s="12"/>
      <c r="B441" s="12"/>
      <c r="C441" s="12"/>
      <c r="D441" s="12"/>
      <c r="E441" s="12"/>
      <c r="F441" s="12"/>
      <c r="G441" s="12"/>
      <c r="H441" s="12"/>
      <c r="I441" s="143">
        <f t="shared" si="5"/>
        <v>-14</v>
      </c>
      <c r="J441" s="144">
        <v>46002.0</v>
      </c>
      <c r="K441" s="180" t="s">
        <v>61</v>
      </c>
      <c r="L441" s="171">
        <v>46045.0</v>
      </c>
      <c r="M441" s="147" t="s">
        <v>3250</v>
      </c>
      <c r="N441" s="148">
        <v>357.0</v>
      </c>
      <c r="O441" s="148">
        <v>30.0</v>
      </c>
      <c r="P441" s="26"/>
      <c r="Q441" s="26"/>
      <c r="R441" s="26"/>
      <c r="S441" s="26"/>
      <c r="T441" s="26"/>
      <c r="U441" s="147" t="s">
        <v>3205</v>
      </c>
      <c r="V441" s="149" t="s">
        <v>3206</v>
      </c>
      <c r="W441" s="198" t="s">
        <v>3251</v>
      </c>
      <c r="X441" s="181">
        <v>5.0</v>
      </c>
      <c r="Y441" s="166">
        <f t="shared" si="6"/>
        <v>14</v>
      </c>
      <c r="Z441" s="26">
        <f t="shared" si="7"/>
        <v>0</v>
      </c>
      <c r="AA441" s="26">
        <f t="shared" si="8"/>
        <v>0</v>
      </c>
      <c r="AB441" s="26">
        <f t="shared" si="9"/>
        <v>0</v>
      </c>
      <c r="AC441" s="155">
        <v>9.0</v>
      </c>
      <c r="AD441" s="155">
        <v>0.0</v>
      </c>
      <c r="AE441" s="155">
        <v>0.0</v>
      </c>
      <c r="AF441" s="155">
        <v>0.0</v>
      </c>
      <c r="AG441" s="155">
        <v>0.0</v>
      </c>
      <c r="AH441" s="155">
        <v>0.0</v>
      </c>
      <c r="AI441" s="167"/>
      <c r="AJ441" s="167"/>
      <c r="AK441" s="167"/>
      <c r="AL441" s="167"/>
      <c r="AM441" s="167"/>
      <c r="AN441" s="167"/>
      <c r="AO441" s="167"/>
      <c r="AP441" s="167">
        <v>1.0</v>
      </c>
      <c r="AQ441" s="167">
        <v>0.0</v>
      </c>
      <c r="AR441" s="167">
        <v>1.0</v>
      </c>
      <c r="AS441" s="167">
        <v>0.0</v>
      </c>
      <c r="AT441" s="168">
        <v>1.0</v>
      </c>
      <c r="AU441" s="167">
        <v>1.0</v>
      </c>
      <c r="AV441" s="168">
        <v>1.0</v>
      </c>
      <c r="AW441" s="167">
        <v>1.0</v>
      </c>
      <c r="AX441" s="168">
        <v>1.0</v>
      </c>
      <c r="AY441" s="167">
        <v>1.0</v>
      </c>
      <c r="AZ441" s="167">
        <v>0.0</v>
      </c>
      <c r="BA441" s="168">
        <v>1.0</v>
      </c>
      <c r="BB441" s="167"/>
      <c r="BC441" s="167"/>
      <c r="BD441" s="167"/>
      <c r="BE441" s="167"/>
      <c r="BF441" s="167"/>
      <c r="BG441" s="167"/>
      <c r="BH441" s="167"/>
      <c r="BI441" s="167"/>
      <c r="BJ441" s="167"/>
      <c r="BK441" s="167"/>
      <c r="BL441" s="167"/>
      <c r="BM441" s="167"/>
      <c r="BN441" s="155">
        <v>0.0</v>
      </c>
      <c r="BO441" s="155">
        <v>0.0</v>
      </c>
      <c r="BP441" s="155">
        <v>0.0</v>
      </c>
      <c r="BQ441" s="155">
        <v>0.0</v>
      </c>
      <c r="BR441" s="155">
        <v>0.0</v>
      </c>
      <c r="BS441" s="155">
        <v>0.0</v>
      </c>
      <c r="CV441" s="156">
        <v>0.0</v>
      </c>
      <c r="CW441" s="156">
        <v>0.0</v>
      </c>
      <c r="CX441" s="156">
        <v>0.0</v>
      </c>
      <c r="CY441" s="156">
        <v>0.0</v>
      </c>
      <c r="CZ441" s="156">
        <v>0.0</v>
      </c>
      <c r="DA441" s="156">
        <v>0.0</v>
      </c>
      <c r="EG441" s="156">
        <v>0.0</v>
      </c>
      <c r="EH441" s="156">
        <v>0.0</v>
      </c>
      <c r="EI441" s="156">
        <v>0.0</v>
      </c>
      <c r="EJ441" s="156">
        <v>0.0</v>
      </c>
      <c r="EK441" s="156">
        <v>0.0</v>
      </c>
      <c r="EL441" s="156">
        <v>0.0</v>
      </c>
      <c r="FQ441" s="156">
        <v>0.0</v>
      </c>
      <c r="FR441" s="156">
        <v>0.0</v>
      </c>
      <c r="FS441" s="156">
        <v>0.0</v>
      </c>
      <c r="FT441" s="156">
        <v>0.0</v>
      </c>
      <c r="FU441" s="156">
        <v>0.0</v>
      </c>
      <c r="FV441" s="156">
        <v>0.0</v>
      </c>
      <c r="FW441" s="157"/>
      <c r="FX441" s="157"/>
      <c r="FY441" s="157"/>
      <c r="FZ441" s="157"/>
      <c r="GA441" s="157"/>
      <c r="GB441" s="157"/>
      <c r="GC441" s="157"/>
      <c r="GD441" s="157"/>
      <c r="GE441" s="157"/>
      <c r="GF441" s="157"/>
      <c r="GG441" s="157"/>
      <c r="GH441" s="157"/>
      <c r="GI441" s="157"/>
      <c r="GJ441" s="157"/>
      <c r="GK441" s="157"/>
      <c r="GL441" s="157"/>
      <c r="GM441" s="157"/>
      <c r="GN441" s="157"/>
      <c r="GO441" s="157"/>
      <c r="GP441" s="158"/>
      <c r="GQ441" s="157"/>
      <c r="GR441" s="157"/>
      <c r="GS441" s="157"/>
      <c r="GT441" s="157"/>
      <c r="GU441" s="157"/>
      <c r="GV441" s="157"/>
      <c r="GW441" s="157"/>
      <c r="GX441" s="157"/>
      <c r="GY441" s="157"/>
      <c r="GZ441" s="157"/>
      <c r="HA441" s="157"/>
      <c r="HB441" s="155">
        <v>0.0</v>
      </c>
      <c r="HC441" s="155">
        <v>0.0</v>
      </c>
      <c r="HD441" s="155">
        <v>0.0</v>
      </c>
      <c r="HE441" s="155">
        <v>0.0</v>
      </c>
      <c r="HF441" s="155">
        <v>0.0</v>
      </c>
      <c r="HG441" s="155">
        <v>0.0</v>
      </c>
      <c r="IL441" s="159">
        <v>0.0</v>
      </c>
      <c r="IM441" s="156">
        <v>0.0</v>
      </c>
      <c r="IN441" s="156">
        <v>0.0</v>
      </c>
      <c r="IO441" s="156">
        <v>0.0</v>
      </c>
      <c r="IP441" s="156">
        <v>0.0</v>
      </c>
      <c r="IQ441" s="160">
        <v>0.0</v>
      </c>
      <c r="JH441" s="25"/>
      <c r="JW441" s="159">
        <v>0.0</v>
      </c>
      <c r="JX441" s="156">
        <v>0.0</v>
      </c>
      <c r="JY441" s="156">
        <v>0.0</v>
      </c>
      <c r="JZ441" s="156">
        <v>0.0</v>
      </c>
      <c r="KA441" s="156">
        <v>0.0</v>
      </c>
      <c r="KB441" s="160">
        <v>0.0</v>
      </c>
      <c r="LH441" s="159">
        <f t="shared" si="10"/>
        <v>0</v>
      </c>
      <c r="LI441" s="156">
        <f t="shared" si="11"/>
        <v>0</v>
      </c>
      <c r="LJ441" s="156">
        <f t="shared" si="12"/>
        <v>0</v>
      </c>
      <c r="LK441" s="156">
        <f t="shared" si="13"/>
        <v>0</v>
      </c>
      <c r="LL441" s="156">
        <f t="shared" si="14"/>
        <v>0</v>
      </c>
      <c r="LM441" s="160">
        <f t="shared" si="15"/>
        <v>0</v>
      </c>
      <c r="QX441" s="107">
        <v>46002.0</v>
      </c>
    </row>
    <row r="442">
      <c r="A442" s="25"/>
      <c r="B442" s="25"/>
      <c r="C442" s="25"/>
      <c r="D442" s="25"/>
      <c r="E442" s="25"/>
      <c r="F442" s="25"/>
      <c r="G442" s="25"/>
      <c r="H442" s="25"/>
      <c r="I442" s="143">
        <f t="shared" si="5"/>
        <v>-28</v>
      </c>
      <c r="J442" s="144">
        <v>46002.0</v>
      </c>
      <c r="K442" s="180" t="s">
        <v>61</v>
      </c>
      <c r="L442" s="520">
        <v>46101.0</v>
      </c>
      <c r="M442" s="307" t="s">
        <v>1433</v>
      </c>
      <c r="N442" s="308">
        <v>357.0</v>
      </c>
      <c r="O442" s="308">
        <v>90.0</v>
      </c>
      <c r="P442" s="309"/>
      <c r="Q442" s="309"/>
      <c r="R442" s="309"/>
      <c r="S442" s="309"/>
      <c r="T442" s="309"/>
      <c r="U442" s="307" t="s">
        <v>3252</v>
      </c>
      <c r="V442" s="310" t="s">
        <v>2801</v>
      </c>
      <c r="W442" s="521" t="s">
        <v>3253</v>
      </c>
      <c r="X442" s="181">
        <v>9.0</v>
      </c>
      <c r="Y442" s="166">
        <f t="shared" si="6"/>
        <v>28</v>
      </c>
      <c r="Z442" s="26">
        <f t="shared" si="7"/>
        <v>0</v>
      </c>
      <c r="AA442" s="26">
        <f t="shared" si="8"/>
        <v>0</v>
      </c>
      <c r="AB442" s="26">
        <f t="shared" si="9"/>
        <v>0</v>
      </c>
      <c r="AC442" s="155">
        <v>8.0</v>
      </c>
      <c r="AD442" s="155">
        <v>0.0</v>
      </c>
      <c r="AE442" s="155">
        <v>0.0</v>
      </c>
      <c r="AF442" s="155">
        <v>0.0</v>
      </c>
      <c r="AG442" s="155">
        <v>0.0</v>
      </c>
      <c r="AH442" s="155">
        <v>0.0</v>
      </c>
      <c r="AI442" s="167"/>
      <c r="AJ442" s="168">
        <v>1.0</v>
      </c>
      <c r="AK442" s="167"/>
      <c r="AL442" s="167"/>
      <c r="AM442" s="167"/>
      <c r="AN442" s="167">
        <v>1.0</v>
      </c>
      <c r="AO442" s="167">
        <v>0.0</v>
      </c>
      <c r="AP442" s="167">
        <v>1.0</v>
      </c>
      <c r="AQ442" s="167">
        <v>0.0</v>
      </c>
      <c r="AR442" s="167">
        <v>1.0</v>
      </c>
      <c r="AS442" s="167">
        <v>0.0</v>
      </c>
      <c r="AT442" s="167">
        <v>0.0</v>
      </c>
      <c r="AU442" s="167">
        <v>1.0</v>
      </c>
      <c r="AV442" s="167">
        <v>0.0</v>
      </c>
      <c r="AW442" s="167"/>
      <c r="AX442" s="168">
        <v>1.0</v>
      </c>
      <c r="AY442" s="167"/>
      <c r="AZ442" s="167"/>
      <c r="BA442" s="167"/>
      <c r="BB442" s="167">
        <v>1.0</v>
      </c>
      <c r="BC442" s="167">
        <v>0.0</v>
      </c>
      <c r="BD442" s="167">
        <v>1.0</v>
      </c>
      <c r="BE442" s="167"/>
      <c r="BF442" s="167"/>
      <c r="BG442" s="167"/>
      <c r="BH442" s="167"/>
      <c r="BI442" s="167"/>
      <c r="BJ442" s="167"/>
      <c r="BK442" s="167"/>
      <c r="BL442" s="167"/>
      <c r="BM442" s="167"/>
      <c r="BN442" s="155">
        <v>7.0</v>
      </c>
      <c r="BO442" s="155">
        <v>0.0</v>
      </c>
      <c r="BP442" s="155">
        <v>0.0</v>
      </c>
      <c r="BQ442" s="155">
        <v>0.0</v>
      </c>
      <c r="BR442" s="155">
        <v>0.0</v>
      </c>
      <c r="BS442" s="155">
        <v>0.0</v>
      </c>
      <c r="BT442" s="167"/>
      <c r="BU442" s="167"/>
      <c r="BV442" s="167">
        <v>1.0</v>
      </c>
      <c r="BW442" s="167">
        <v>0.0</v>
      </c>
      <c r="BX442" s="167"/>
      <c r="BY442" s="167">
        <v>0.0</v>
      </c>
      <c r="BZ442" s="167">
        <v>1.0</v>
      </c>
      <c r="CA442" s="167">
        <v>0.0</v>
      </c>
      <c r="CB442" s="167">
        <v>0.0</v>
      </c>
      <c r="CC442" s="167">
        <v>1.0</v>
      </c>
      <c r="CD442" s="167">
        <v>0.0</v>
      </c>
      <c r="CE442" s="167">
        <v>1.0</v>
      </c>
      <c r="CF442" s="167">
        <v>0.0</v>
      </c>
      <c r="CG442" s="167">
        <v>1.0</v>
      </c>
      <c r="CH442" s="167"/>
      <c r="CI442" s="167"/>
      <c r="CJ442" s="167"/>
      <c r="CK442" s="167"/>
      <c r="CL442" s="167"/>
      <c r="CM442" s="167"/>
      <c r="CN442" s="167"/>
      <c r="CO442" s="167"/>
      <c r="CP442" s="167"/>
      <c r="CQ442" s="167">
        <v>1.0</v>
      </c>
      <c r="CR442" s="167">
        <v>0.0</v>
      </c>
      <c r="CS442" s="167">
        <v>1.0</v>
      </c>
      <c r="CT442" s="167"/>
      <c r="CU442" s="167"/>
      <c r="CV442" s="156">
        <v>4.0</v>
      </c>
      <c r="CW442" s="156">
        <v>0.0</v>
      </c>
      <c r="CX442" s="156">
        <v>0.0</v>
      </c>
      <c r="CY442" s="156">
        <v>0.0</v>
      </c>
      <c r="CZ442" s="156">
        <v>0.0</v>
      </c>
      <c r="DA442" s="156">
        <v>0.0</v>
      </c>
      <c r="DB442" s="395"/>
      <c r="DC442" s="395"/>
      <c r="DD442" s="395"/>
      <c r="DE442" s="395"/>
      <c r="DF442" s="395">
        <v>1.0</v>
      </c>
      <c r="DG442" s="395">
        <v>0.0</v>
      </c>
      <c r="DH442" s="395">
        <v>1.0</v>
      </c>
      <c r="DI442" s="395"/>
      <c r="DJ442" s="395"/>
      <c r="DK442" s="395"/>
      <c r="DL442" s="395"/>
      <c r="DM442" s="395">
        <v>1.0</v>
      </c>
      <c r="DN442" s="395"/>
      <c r="DO442" s="395"/>
      <c r="DP442" s="395"/>
      <c r="DQ442" s="395"/>
      <c r="DR442" s="395">
        <v>1.0</v>
      </c>
      <c r="DS442" s="395"/>
      <c r="DT442" s="395"/>
      <c r="DU442" s="395"/>
      <c r="DV442" s="395"/>
      <c r="DW442" s="395"/>
      <c r="DX442" s="395"/>
      <c r="DY442" s="395"/>
      <c r="DZ442" s="395"/>
      <c r="EA442" s="395"/>
      <c r="EB442" s="395"/>
      <c r="EC442" s="395"/>
      <c r="ED442" s="395"/>
      <c r="EE442" s="395"/>
      <c r="EF442" s="395"/>
      <c r="EG442" s="156">
        <v>0.0</v>
      </c>
      <c r="EH442" s="156">
        <v>0.0</v>
      </c>
      <c r="EI442" s="156">
        <v>0.0</v>
      </c>
      <c r="EJ442" s="156">
        <v>0.0</v>
      </c>
      <c r="EK442" s="156">
        <v>0.0</v>
      </c>
      <c r="EL442" s="156">
        <v>0.0</v>
      </c>
      <c r="FQ442" s="156">
        <v>0.0</v>
      </c>
      <c r="FR442" s="156">
        <v>0.0</v>
      </c>
      <c r="FS442" s="156">
        <v>0.0</v>
      </c>
      <c r="FT442" s="156">
        <v>0.0</v>
      </c>
      <c r="FU442" s="156">
        <v>0.0</v>
      </c>
      <c r="FV442" s="156">
        <v>0.0</v>
      </c>
      <c r="FW442" s="157"/>
      <c r="FX442" s="157"/>
      <c r="FY442" s="157"/>
      <c r="FZ442" s="157"/>
      <c r="GA442" s="157"/>
      <c r="GB442" s="157"/>
      <c r="GC442" s="157"/>
      <c r="GD442" s="157"/>
      <c r="GE442" s="157"/>
      <c r="GF442" s="157"/>
      <c r="GG442" s="157"/>
      <c r="GH442" s="157"/>
      <c r="GI442" s="157"/>
      <c r="GJ442" s="157"/>
      <c r="GK442" s="157"/>
      <c r="GL442" s="157"/>
      <c r="GM442" s="157"/>
      <c r="GN442" s="157"/>
      <c r="GO442" s="157"/>
      <c r="GP442" s="158"/>
      <c r="GQ442" s="157"/>
      <c r="GR442" s="157"/>
      <c r="GS442" s="157"/>
      <c r="GT442" s="157"/>
      <c r="GU442" s="157"/>
      <c r="GV442" s="157"/>
      <c r="GW442" s="157"/>
      <c r="GX442" s="157"/>
      <c r="GY442" s="157"/>
      <c r="GZ442" s="157"/>
      <c r="HA442" s="157"/>
      <c r="HB442" s="155">
        <v>0.0</v>
      </c>
      <c r="HC442" s="155">
        <v>0.0</v>
      </c>
      <c r="HD442" s="155">
        <v>0.0</v>
      </c>
      <c r="HE442" s="155">
        <v>0.0</v>
      </c>
      <c r="HF442" s="155">
        <v>0.0</v>
      </c>
      <c r="HG442" s="155">
        <v>0.0</v>
      </c>
      <c r="IL442" s="159">
        <v>0.0</v>
      </c>
      <c r="IM442" s="156">
        <v>0.0</v>
      </c>
      <c r="IN442" s="156">
        <v>0.0</v>
      </c>
      <c r="IO442" s="156">
        <v>0.0</v>
      </c>
      <c r="IP442" s="156">
        <v>0.0</v>
      </c>
      <c r="IQ442" s="160">
        <v>0.0</v>
      </c>
      <c r="JH442" s="25"/>
      <c r="JW442" s="159">
        <v>0.0</v>
      </c>
      <c r="JX442" s="156">
        <v>0.0</v>
      </c>
      <c r="JY442" s="156">
        <v>0.0</v>
      </c>
      <c r="JZ442" s="156">
        <v>0.0</v>
      </c>
      <c r="KA442" s="156">
        <v>0.0</v>
      </c>
      <c r="KB442" s="160">
        <v>0.0</v>
      </c>
      <c r="LH442" s="159">
        <f t="shared" si="10"/>
        <v>0</v>
      </c>
      <c r="LI442" s="156">
        <f t="shared" si="11"/>
        <v>0</v>
      </c>
      <c r="LJ442" s="156">
        <f t="shared" si="12"/>
        <v>0</v>
      </c>
      <c r="LK442" s="156">
        <f t="shared" si="13"/>
        <v>0</v>
      </c>
      <c r="LL442" s="156">
        <f t="shared" si="14"/>
        <v>0</v>
      </c>
      <c r="LM442" s="160">
        <f t="shared" si="15"/>
        <v>0</v>
      </c>
      <c r="QX442" s="107">
        <v>46003.0</v>
      </c>
    </row>
    <row r="443">
      <c r="A443" s="25"/>
      <c r="B443" s="25"/>
      <c r="C443" s="25"/>
      <c r="D443" s="25"/>
      <c r="E443" s="25"/>
      <c r="F443" s="25"/>
      <c r="G443" s="25"/>
      <c r="H443" s="25"/>
      <c r="I443" s="143">
        <f t="shared" si="5"/>
        <v>-28</v>
      </c>
      <c r="J443" s="144">
        <v>46002.0</v>
      </c>
      <c r="K443" s="180" t="s">
        <v>61</v>
      </c>
      <c r="L443" s="520">
        <v>46101.0</v>
      </c>
      <c r="M443" s="307" t="s">
        <v>1433</v>
      </c>
      <c r="N443" s="308">
        <v>357.0</v>
      </c>
      <c r="O443" s="308">
        <v>90.0</v>
      </c>
      <c r="P443" s="309"/>
      <c r="Q443" s="309"/>
      <c r="R443" s="309"/>
      <c r="S443" s="309"/>
      <c r="T443" s="309"/>
      <c r="U443" s="307" t="s">
        <v>3252</v>
      </c>
      <c r="V443" s="310" t="s">
        <v>2801</v>
      </c>
      <c r="W443" s="521" t="s">
        <v>3253</v>
      </c>
      <c r="X443" s="181">
        <v>9.0</v>
      </c>
      <c r="Y443" s="166">
        <f t="shared" si="6"/>
        <v>28</v>
      </c>
      <c r="Z443" s="26">
        <f t="shared" si="7"/>
        <v>0</v>
      </c>
      <c r="AA443" s="26">
        <f t="shared" si="8"/>
        <v>0</v>
      </c>
      <c r="AB443" s="26">
        <f t="shared" si="9"/>
        <v>0</v>
      </c>
      <c r="AC443" s="155">
        <v>8.0</v>
      </c>
      <c r="AD443" s="155">
        <v>0.0</v>
      </c>
      <c r="AE443" s="155">
        <v>0.0</v>
      </c>
      <c r="AF443" s="155">
        <v>0.0</v>
      </c>
      <c r="AG443" s="155">
        <v>0.0</v>
      </c>
      <c r="AH443" s="155">
        <v>0.0</v>
      </c>
      <c r="AI443" s="167"/>
      <c r="AJ443" s="168">
        <v>1.0</v>
      </c>
      <c r="AK443" s="167"/>
      <c r="AL443" s="167"/>
      <c r="AM443" s="167"/>
      <c r="AN443" s="167">
        <v>1.0</v>
      </c>
      <c r="AO443" s="167">
        <v>0.0</v>
      </c>
      <c r="AP443" s="167">
        <v>1.0</v>
      </c>
      <c r="AQ443" s="167">
        <v>0.0</v>
      </c>
      <c r="AR443" s="167">
        <v>1.0</v>
      </c>
      <c r="AS443" s="167">
        <v>0.0</v>
      </c>
      <c r="AT443" s="167">
        <v>0.0</v>
      </c>
      <c r="AU443" s="167">
        <v>1.0</v>
      </c>
      <c r="AV443" s="167">
        <v>0.0</v>
      </c>
      <c r="AW443" s="167"/>
      <c r="AX443" s="168">
        <v>1.0</v>
      </c>
      <c r="AY443" s="167"/>
      <c r="AZ443" s="167"/>
      <c r="BA443" s="167"/>
      <c r="BB443" s="167">
        <v>1.0</v>
      </c>
      <c r="BC443" s="167">
        <v>0.0</v>
      </c>
      <c r="BD443" s="167">
        <v>1.0</v>
      </c>
      <c r="BE443" s="167"/>
      <c r="BF443" s="167"/>
      <c r="BG443" s="167"/>
      <c r="BH443" s="167"/>
      <c r="BI443" s="167"/>
      <c r="BJ443" s="167"/>
      <c r="BK443" s="167"/>
      <c r="BL443" s="167"/>
      <c r="BM443" s="167"/>
      <c r="BN443" s="155">
        <v>7.0</v>
      </c>
      <c r="BO443" s="155">
        <v>0.0</v>
      </c>
      <c r="BP443" s="155">
        <v>0.0</v>
      </c>
      <c r="BQ443" s="155">
        <v>0.0</v>
      </c>
      <c r="BR443" s="155">
        <v>0.0</v>
      </c>
      <c r="BS443" s="155">
        <v>0.0</v>
      </c>
      <c r="BT443" s="167"/>
      <c r="BU443" s="167"/>
      <c r="BV443" s="167">
        <v>1.0</v>
      </c>
      <c r="BW443" s="167">
        <v>0.0</v>
      </c>
      <c r="BX443" s="167"/>
      <c r="BY443" s="167">
        <v>0.0</v>
      </c>
      <c r="BZ443" s="167">
        <v>1.0</v>
      </c>
      <c r="CA443" s="167">
        <v>0.0</v>
      </c>
      <c r="CB443" s="167">
        <v>0.0</v>
      </c>
      <c r="CC443" s="167">
        <v>1.0</v>
      </c>
      <c r="CD443" s="167">
        <v>0.0</v>
      </c>
      <c r="CE443" s="167">
        <v>1.0</v>
      </c>
      <c r="CF443" s="167">
        <v>0.0</v>
      </c>
      <c r="CG443" s="167">
        <v>1.0</v>
      </c>
      <c r="CH443" s="167"/>
      <c r="CI443" s="167"/>
      <c r="CJ443" s="167"/>
      <c r="CK443" s="167"/>
      <c r="CL443" s="167"/>
      <c r="CM443" s="167"/>
      <c r="CN443" s="167"/>
      <c r="CO443" s="167"/>
      <c r="CP443" s="167"/>
      <c r="CQ443" s="167">
        <v>1.0</v>
      </c>
      <c r="CR443" s="167">
        <v>0.0</v>
      </c>
      <c r="CS443" s="167">
        <v>1.0</v>
      </c>
      <c r="CT443" s="167"/>
      <c r="CU443" s="167"/>
      <c r="CV443" s="156">
        <v>4.0</v>
      </c>
      <c r="CW443" s="156">
        <v>0.0</v>
      </c>
      <c r="CX443" s="156">
        <v>0.0</v>
      </c>
      <c r="CY443" s="156">
        <v>0.0</v>
      </c>
      <c r="CZ443" s="156">
        <v>0.0</v>
      </c>
      <c r="DA443" s="156">
        <v>0.0</v>
      </c>
      <c r="DB443" s="395"/>
      <c r="DC443" s="395"/>
      <c r="DD443" s="395"/>
      <c r="DE443" s="395"/>
      <c r="DF443" s="395">
        <v>1.0</v>
      </c>
      <c r="DG443" s="395">
        <v>0.0</v>
      </c>
      <c r="DH443" s="395">
        <v>1.0</v>
      </c>
      <c r="DI443" s="395"/>
      <c r="DJ443" s="395"/>
      <c r="DK443" s="395"/>
      <c r="DL443" s="395"/>
      <c r="DM443" s="395">
        <v>1.0</v>
      </c>
      <c r="DN443" s="395"/>
      <c r="DO443" s="395"/>
      <c r="DP443" s="395"/>
      <c r="DQ443" s="395"/>
      <c r="DR443" s="395">
        <v>1.0</v>
      </c>
      <c r="DS443" s="395"/>
      <c r="DT443" s="395"/>
      <c r="DU443" s="395"/>
      <c r="DV443" s="395"/>
      <c r="DW443" s="395"/>
      <c r="DX443" s="395"/>
      <c r="DY443" s="395"/>
      <c r="DZ443" s="395"/>
      <c r="EA443" s="395"/>
      <c r="EB443" s="395"/>
      <c r="EC443" s="395"/>
      <c r="ED443" s="395"/>
      <c r="EE443" s="395"/>
      <c r="EF443" s="395"/>
      <c r="EG443" s="156">
        <v>0.0</v>
      </c>
      <c r="EH443" s="156">
        <v>0.0</v>
      </c>
      <c r="EI443" s="156">
        <v>0.0</v>
      </c>
      <c r="EJ443" s="156">
        <v>0.0</v>
      </c>
      <c r="EK443" s="156">
        <v>0.0</v>
      </c>
      <c r="EL443" s="156">
        <v>0.0</v>
      </c>
      <c r="FQ443" s="156">
        <v>0.0</v>
      </c>
      <c r="FR443" s="156">
        <v>0.0</v>
      </c>
      <c r="FS443" s="156">
        <v>0.0</v>
      </c>
      <c r="FT443" s="156">
        <v>0.0</v>
      </c>
      <c r="FU443" s="156">
        <v>0.0</v>
      </c>
      <c r="FV443" s="156">
        <v>0.0</v>
      </c>
      <c r="FW443" s="157"/>
      <c r="FX443" s="157"/>
      <c r="FY443" s="157"/>
      <c r="FZ443" s="157"/>
      <c r="GA443" s="157"/>
      <c r="GB443" s="157"/>
      <c r="GC443" s="157"/>
      <c r="GD443" s="157"/>
      <c r="GE443" s="157"/>
      <c r="GF443" s="157"/>
      <c r="GG443" s="157"/>
      <c r="GH443" s="157"/>
      <c r="GI443" s="157"/>
      <c r="GJ443" s="157"/>
      <c r="GK443" s="157"/>
      <c r="GL443" s="157"/>
      <c r="GM443" s="157"/>
      <c r="GN443" s="157"/>
      <c r="GO443" s="157"/>
      <c r="GP443" s="158"/>
      <c r="GQ443" s="157"/>
      <c r="GR443" s="157"/>
      <c r="GS443" s="157"/>
      <c r="GT443" s="157"/>
      <c r="GU443" s="157"/>
      <c r="GV443" s="157"/>
      <c r="GW443" s="157"/>
      <c r="GX443" s="157"/>
      <c r="GY443" s="157"/>
      <c r="GZ443" s="157"/>
      <c r="HA443" s="157"/>
      <c r="HB443" s="155">
        <v>0.0</v>
      </c>
      <c r="HC443" s="155">
        <v>0.0</v>
      </c>
      <c r="HD443" s="155">
        <v>0.0</v>
      </c>
      <c r="HE443" s="155">
        <v>0.0</v>
      </c>
      <c r="HF443" s="155">
        <v>0.0</v>
      </c>
      <c r="HG443" s="155">
        <v>0.0</v>
      </c>
      <c r="IL443" s="159">
        <v>0.0</v>
      </c>
      <c r="IM443" s="156">
        <v>0.0</v>
      </c>
      <c r="IN443" s="156">
        <v>0.0</v>
      </c>
      <c r="IO443" s="156">
        <v>0.0</v>
      </c>
      <c r="IP443" s="156">
        <v>0.0</v>
      </c>
      <c r="IQ443" s="160">
        <v>0.0</v>
      </c>
      <c r="JH443" s="25"/>
      <c r="JW443" s="159">
        <v>0.0</v>
      </c>
      <c r="JX443" s="156">
        <v>0.0</v>
      </c>
      <c r="JY443" s="156">
        <v>0.0</v>
      </c>
      <c r="JZ443" s="156">
        <v>0.0</v>
      </c>
      <c r="KA443" s="156">
        <v>0.0</v>
      </c>
      <c r="KB443" s="160">
        <v>0.0</v>
      </c>
      <c r="LH443" s="159">
        <f t="shared" si="10"/>
        <v>0</v>
      </c>
      <c r="LI443" s="156">
        <f t="shared" si="11"/>
        <v>0</v>
      </c>
      <c r="LJ443" s="156">
        <f t="shared" si="12"/>
        <v>0</v>
      </c>
      <c r="LK443" s="156">
        <f t="shared" si="13"/>
        <v>0</v>
      </c>
      <c r="LL443" s="156">
        <f t="shared" si="14"/>
        <v>0</v>
      </c>
      <c r="LM443" s="160">
        <f t="shared" si="15"/>
        <v>0</v>
      </c>
      <c r="QX443" s="107">
        <v>46003.0</v>
      </c>
    </row>
    <row r="444">
      <c r="A444" s="25"/>
      <c r="B444" s="25"/>
      <c r="C444" s="25"/>
      <c r="D444" s="25"/>
      <c r="E444" s="25"/>
      <c r="F444" s="25"/>
      <c r="G444" s="25"/>
      <c r="H444" s="25"/>
      <c r="I444" s="143">
        <f t="shared" si="5"/>
        <v>-28</v>
      </c>
      <c r="J444" s="144">
        <v>46002.0</v>
      </c>
      <c r="K444" s="180" t="s">
        <v>61</v>
      </c>
      <c r="L444" s="520">
        <v>46101.0</v>
      </c>
      <c r="M444" s="307" t="s">
        <v>1433</v>
      </c>
      <c r="N444" s="308">
        <v>357.0</v>
      </c>
      <c r="O444" s="308">
        <v>90.0</v>
      </c>
      <c r="P444" s="309"/>
      <c r="Q444" s="309"/>
      <c r="R444" s="309"/>
      <c r="S444" s="309"/>
      <c r="T444" s="309"/>
      <c r="U444" s="307" t="s">
        <v>3252</v>
      </c>
      <c r="V444" s="310" t="s">
        <v>2801</v>
      </c>
      <c r="W444" s="521" t="s">
        <v>3253</v>
      </c>
      <c r="X444" s="181">
        <v>9.0</v>
      </c>
      <c r="Y444" s="166">
        <f t="shared" si="6"/>
        <v>28</v>
      </c>
      <c r="Z444" s="26">
        <f t="shared" si="7"/>
        <v>0</v>
      </c>
      <c r="AA444" s="26">
        <f t="shared" si="8"/>
        <v>0</v>
      </c>
      <c r="AB444" s="26">
        <f t="shared" si="9"/>
        <v>0</v>
      </c>
      <c r="AC444" s="155">
        <v>8.0</v>
      </c>
      <c r="AD444" s="155">
        <v>0.0</v>
      </c>
      <c r="AE444" s="155">
        <v>0.0</v>
      </c>
      <c r="AF444" s="155">
        <v>0.0</v>
      </c>
      <c r="AG444" s="155">
        <v>0.0</v>
      </c>
      <c r="AH444" s="155">
        <v>0.0</v>
      </c>
      <c r="AI444" s="167"/>
      <c r="AJ444" s="168">
        <v>1.0</v>
      </c>
      <c r="AK444" s="167"/>
      <c r="AL444" s="167"/>
      <c r="AM444" s="167"/>
      <c r="AN444" s="167">
        <v>1.0</v>
      </c>
      <c r="AO444" s="167">
        <v>0.0</v>
      </c>
      <c r="AP444" s="167">
        <v>1.0</v>
      </c>
      <c r="AQ444" s="167">
        <v>0.0</v>
      </c>
      <c r="AR444" s="167">
        <v>1.0</v>
      </c>
      <c r="AS444" s="167">
        <v>0.0</v>
      </c>
      <c r="AT444" s="167">
        <v>0.0</v>
      </c>
      <c r="AU444" s="167">
        <v>1.0</v>
      </c>
      <c r="AV444" s="167">
        <v>0.0</v>
      </c>
      <c r="AW444" s="167"/>
      <c r="AX444" s="168">
        <v>1.0</v>
      </c>
      <c r="AY444" s="167"/>
      <c r="AZ444" s="167"/>
      <c r="BA444" s="167"/>
      <c r="BB444" s="167">
        <v>1.0</v>
      </c>
      <c r="BC444" s="167">
        <v>0.0</v>
      </c>
      <c r="BD444" s="167">
        <v>1.0</v>
      </c>
      <c r="BE444" s="167"/>
      <c r="BF444" s="167"/>
      <c r="BG444" s="167"/>
      <c r="BH444" s="167"/>
      <c r="BI444" s="167"/>
      <c r="BJ444" s="167"/>
      <c r="BK444" s="167"/>
      <c r="BL444" s="167"/>
      <c r="BM444" s="167"/>
      <c r="BN444" s="155">
        <v>7.0</v>
      </c>
      <c r="BO444" s="155">
        <v>0.0</v>
      </c>
      <c r="BP444" s="155">
        <v>0.0</v>
      </c>
      <c r="BQ444" s="155">
        <v>0.0</v>
      </c>
      <c r="BR444" s="155">
        <v>0.0</v>
      </c>
      <c r="BS444" s="155">
        <v>0.0</v>
      </c>
      <c r="BT444" s="167"/>
      <c r="BU444" s="167"/>
      <c r="BV444" s="167">
        <v>1.0</v>
      </c>
      <c r="BW444" s="167">
        <v>0.0</v>
      </c>
      <c r="BX444" s="167"/>
      <c r="BY444" s="167">
        <v>0.0</v>
      </c>
      <c r="BZ444" s="167">
        <v>1.0</v>
      </c>
      <c r="CA444" s="167">
        <v>0.0</v>
      </c>
      <c r="CB444" s="167">
        <v>0.0</v>
      </c>
      <c r="CC444" s="167">
        <v>1.0</v>
      </c>
      <c r="CD444" s="167">
        <v>0.0</v>
      </c>
      <c r="CE444" s="167">
        <v>1.0</v>
      </c>
      <c r="CF444" s="167">
        <v>0.0</v>
      </c>
      <c r="CG444" s="167">
        <v>1.0</v>
      </c>
      <c r="CH444" s="167"/>
      <c r="CI444" s="167"/>
      <c r="CJ444" s="167"/>
      <c r="CK444" s="167"/>
      <c r="CL444" s="167"/>
      <c r="CM444" s="167"/>
      <c r="CN444" s="167"/>
      <c r="CO444" s="167"/>
      <c r="CP444" s="167"/>
      <c r="CQ444" s="167">
        <v>1.0</v>
      </c>
      <c r="CR444" s="167">
        <v>0.0</v>
      </c>
      <c r="CS444" s="167">
        <v>1.0</v>
      </c>
      <c r="CT444" s="167"/>
      <c r="CU444" s="167"/>
      <c r="CV444" s="156">
        <v>4.0</v>
      </c>
      <c r="CW444" s="156">
        <v>0.0</v>
      </c>
      <c r="CX444" s="156">
        <v>0.0</v>
      </c>
      <c r="CY444" s="156">
        <v>0.0</v>
      </c>
      <c r="CZ444" s="156">
        <v>0.0</v>
      </c>
      <c r="DA444" s="156">
        <v>0.0</v>
      </c>
      <c r="DB444" s="395"/>
      <c r="DC444" s="395"/>
      <c r="DD444" s="395"/>
      <c r="DE444" s="395"/>
      <c r="DF444" s="395">
        <v>1.0</v>
      </c>
      <c r="DG444" s="395">
        <v>0.0</v>
      </c>
      <c r="DH444" s="395">
        <v>1.0</v>
      </c>
      <c r="DI444" s="395"/>
      <c r="DJ444" s="395"/>
      <c r="DK444" s="395"/>
      <c r="DL444" s="395"/>
      <c r="DM444" s="395">
        <v>1.0</v>
      </c>
      <c r="DN444" s="395"/>
      <c r="DO444" s="395"/>
      <c r="DP444" s="395"/>
      <c r="DQ444" s="395"/>
      <c r="DR444" s="395">
        <v>1.0</v>
      </c>
      <c r="DS444" s="395"/>
      <c r="DT444" s="395"/>
      <c r="DU444" s="395"/>
      <c r="DV444" s="395"/>
      <c r="DW444" s="395"/>
      <c r="DX444" s="395"/>
      <c r="DY444" s="395"/>
      <c r="DZ444" s="395"/>
      <c r="EA444" s="395"/>
      <c r="EB444" s="395"/>
      <c r="EC444" s="395"/>
      <c r="ED444" s="395"/>
      <c r="EE444" s="395"/>
      <c r="EF444" s="395"/>
      <c r="EG444" s="156">
        <v>0.0</v>
      </c>
      <c r="EH444" s="156">
        <v>0.0</v>
      </c>
      <c r="EI444" s="156">
        <v>0.0</v>
      </c>
      <c r="EJ444" s="156">
        <v>0.0</v>
      </c>
      <c r="EK444" s="156">
        <v>0.0</v>
      </c>
      <c r="EL444" s="156">
        <v>0.0</v>
      </c>
      <c r="FQ444" s="156">
        <v>0.0</v>
      </c>
      <c r="FR444" s="156">
        <v>0.0</v>
      </c>
      <c r="FS444" s="156">
        <v>0.0</v>
      </c>
      <c r="FT444" s="156">
        <v>0.0</v>
      </c>
      <c r="FU444" s="156">
        <v>0.0</v>
      </c>
      <c r="FV444" s="156">
        <v>0.0</v>
      </c>
      <c r="FW444" s="157"/>
      <c r="FX444" s="157"/>
      <c r="FY444" s="157"/>
      <c r="FZ444" s="157"/>
      <c r="GA444" s="157"/>
      <c r="GB444" s="157"/>
      <c r="GC444" s="157"/>
      <c r="GD444" s="157"/>
      <c r="GE444" s="157"/>
      <c r="GF444" s="157"/>
      <c r="GG444" s="157"/>
      <c r="GH444" s="157"/>
      <c r="GI444" s="157"/>
      <c r="GJ444" s="157"/>
      <c r="GK444" s="157"/>
      <c r="GL444" s="157"/>
      <c r="GM444" s="157"/>
      <c r="GN444" s="157"/>
      <c r="GO444" s="157"/>
      <c r="GP444" s="158"/>
      <c r="GQ444" s="157"/>
      <c r="GR444" s="157"/>
      <c r="GS444" s="157"/>
      <c r="GT444" s="157"/>
      <c r="GU444" s="157"/>
      <c r="GV444" s="157"/>
      <c r="GW444" s="157"/>
      <c r="GX444" s="157"/>
      <c r="GY444" s="157"/>
      <c r="GZ444" s="157"/>
      <c r="HA444" s="157"/>
      <c r="HB444" s="155">
        <v>0.0</v>
      </c>
      <c r="HC444" s="155">
        <v>0.0</v>
      </c>
      <c r="HD444" s="155">
        <v>0.0</v>
      </c>
      <c r="HE444" s="155">
        <v>0.0</v>
      </c>
      <c r="HF444" s="155">
        <v>0.0</v>
      </c>
      <c r="HG444" s="155">
        <v>0.0</v>
      </c>
      <c r="IL444" s="159">
        <v>0.0</v>
      </c>
      <c r="IM444" s="156">
        <v>0.0</v>
      </c>
      <c r="IN444" s="156">
        <v>0.0</v>
      </c>
      <c r="IO444" s="156">
        <v>0.0</v>
      </c>
      <c r="IP444" s="156">
        <v>0.0</v>
      </c>
      <c r="IQ444" s="160">
        <v>0.0</v>
      </c>
      <c r="JH444" s="25"/>
      <c r="JW444" s="159">
        <v>0.0</v>
      </c>
      <c r="JX444" s="156">
        <v>0.0</v>
      </c>
      <c r="JY444" s="156">
        <v>0.0</v>
      </c>
      <c r="JZ444" s="156">
        <v>0.0</v>
      </c>
      <c r="KA444" s="156">
        <v>0.0</v>
      </c>
      <c r="KB444" s="160">
        <v>0.0</v>
      </c>
      <c r="LH444" s="159">
        <f t="shared" si="10"/>
        <v>0</v>
      </c>
      <c r="LI444" s="156">
        <f t="shared" si="11"/>
        <v>0</v>
      </c>
      <c r="LJ444" s="156">
        <f t="shared" si="12"/>
        <v>0</v>
      </c>
      <c r="LK444" s="156">
        <f t="shared" si="13"/>
        <v>0</v>
      </c>
      <c r="LL444" s="156">
        <f t="shared" si="14"/>
        <v>0</v>
      </c>
      <c r="LM444" s="160">
        <f t="shared" si="15"/>
        <v>0</v>
      </c>
      <c r="QX444" s="107">
        <v>46006.0</v>
      </c>
    </row>
    <row r="445">
      <c r="A445" s="25"/>
      <c r="B445" s="25"/>
      <c r="C445" s="25"/>
      <c r="D445" s="25"/>
      <c r="E445" s="25"/>
      <c r="F445" s="25"/>
      <c r="G445" s="25"/>
      <c r="H445" s="25"/>
      <c r="I445" s="143">
        <f t="shared" si="5"/>
        <v>-28</v>
      </c>
      <c r="J445" s="144">
        <v>46002.0</v>
      </c>
      <c r="K445" s="180" t="s">
        <v>61</v>
      </c>
      <c r="L445" s="520">
        <v>46101.0</v>
      </c>
      <c r="M445" s="307" t="s">
        <v>1433</v>
      </c>
      <c r="N445" s="308">
        <v>357.0</v>
      </c>
      <c r="O445" s="308">
        <v>90.0</v>
      </c>
      <c r="P445" s="309"/>
      <c r="Q445" s="309"/>
      <c r="R445" s="309"/>
      <c r="S445" s="309"/>
      <c r="T445" s="309"/>
      <c r="U445" s="307" t="s">
        <v>3252</v>
      </c>
      <c r="V445" s="310" t="s">
        <v>2801</v>
      </c>
      <c r="W445" s="521" t="s">
        <v>3253</v>
      </c>
      <c r="X445" s="181">
        <v>9.0</v>
      </c>
      <c r="Y445" s="166">
        <f t="shared" si="6"/>
        <v>28</v>
      </c>
      <c r="Z445" s="26">
        <f t="shared" si="7"/>
        <v>0</v>
      </c>
      <c r="AA445" s="26">
        <f t="shared" si="8"/>
        <v>0</v>
      </c>
      <c r="AB445" s="26">
        <f t="shared" si="9"/>
        <v>0</v>
      </c>
      <c r="AC445" s="155">
        <v>8.0</v>
      </c>
      <c r="AD445" s="155">
        <v>0.0</v>
      </c>
      <c r="AE445" s="155">
        <v>0.0</v>
      </c>
      <c r="AF445" s="155">
        <v>0.0</v>
      </c>
      <c r="AG445" s="155">
        <v>0.0</v>
      </c>
      <c r="AH445" s="155">
        <v>0.0</v>
      </c>
      <c r="AI445" s="167"/>
      <c r="AJ445" s="168">
        <v>1.0</v>
      </c>
      <c r="AK445" s="167"/>
      <c r="AL445" s="167"/>
      <c r="AM445" s="167"/>
      <c r="AN445" s="167">
        <v>1.0</v>
      </c>
      <c r="AO445" s="167">
        <v>0.0</v>
      </c>
      <c r="AP445" s="167">
        <v>1.0</v>
      </c>
      <c r="AQ445" s="167">
        <v>0.0</v>
      </c>
      <c r="AR445" s="167">
        <v>1.0</v>
      </c>
      <c r="AS445" s="167">
        <v>0.0</v>
      </c>
      <c r="AT445" s="167">
        <v>0.0</v>
      </c>
      <c r="AU445" s="167">
        <v>1.0</v>
      </c>
      <c r="AV445" s="167">
        <v>0.0</v>
      </c>
      <c r="AW445" s="167"/>
      <c r="AX445" s="168">
        <v>1.0</v>
      </c>
      <c r="AY445" s="167"/>
      <c r="AZ445" s="167"/>
      <c r="BA445" s="167"/>
      <c r="BB445" s="167">
        <v>1.0</v>
      </c>
      <c r="BC445" s="167">
        <v>0.0</v>
      </c>
      <c r="BD445" s="167">
        <v>1.0</v>
      </c>
      <c r="BE445" s="167"/>
      <c r="BF445" s="167"/>
      <c r="BG445" s="167"/>
      <c r="BH445" s="167"/>
      <c r="BI445" s="167"/>
      <c r="BJ445" s="167"/>
      <c r="BK445" s="167"/>
      <c r="BL445" s="167"/>
      <c r="BM445" s="167"/>
      <c r="BN445" s="155">
        <v>7.0</v>
      </c>
      <c r="BO445" s="155">
        <v>0.0</v>
      </c>
      <c r="BP445" s="155">
        <v>0.0</v>
      </c>
      <c r="BQ445" s="155">
        <v>0.0</v>
      </c>
      <c r="BR445" s="155">
        <v>0.0</v>
      </c>
      <c r="BS445" s="155">
        <v>0.0</v>
      </c>
      <c r="BT445" s="167"/>
      <c r="BU445" s="167"/>
      <c r="BV445" s="167">
        <v>1.0</v>
      </c>
      <c r="BW445" s="167">
        <v>0.0</v>
      </c>
      <c r="BX445" s="167"/>
      <c r="BY445" s="167">
        <v>0.0</v>
      </c>
      <c r="BZ445" s="167">
        <v>1.0</v>
      </c>
      <c r="CA445" s="167">
        <v>0.0</v>
      </c>
      <c r="CB445" s="167">
        <v>0.0</v>
      </c>
      <c r="CC445" s="167">
        <v>1.0</v>
      </c>
      <c r="CD445" s="167">
        <v>0.0</v>
      </c>
      <c r="CE445" s="167">
        <v>1.0</v>
      </c>
      <c r="CF445" s="167">
        <v>0.0</v>
      </c>
      <c r="CG445" s="167">
        <v>1.0</v>
      </c>
      <c r="CH445" s="167"/>
      <c r="CI445" s="167"/>
      <c r="CJ445" s="167"/>
      <c r="CK445" s="167"/>
      <c r="CL445" s="167"/>
      <c r="CM445" s="167"/>
      <c r="CN445" s="167"/>
      <c r="CO445" s="167"/>
      <c r="CP445" s="167"/>
      <c r="CQ445" s="167">
        <v>1.0</v>
      </c>
      <c r="CR445" s="167">
        <v>0.0</v>
      </c>
      <c r="CS445" s="167">
        <v>1.0</v>
      </c>
      <c r="CT445" s="167"/>
      <c r="CU445" s="167"/>
      <c r="CV445" s="156">
        <v>4.0</v>
      </c>
      <c r="CW445" s="156">
        <v>0.0</v>
      </c>
      <c r="CX445" s="156">
        <v>0.0</v>
      </c>
      <c r="CY445" s="156">
        <v>0.0</v>
      </c>
      <c r="CZ445" s="156">
        <v>0.0</v>
      </c>
      <c r="DA445" s="156">
        <v>0.0</v>
      </c>
      <c r="DB445" s="395"/>
      <c r="DC445" s="395"/>
      <c r="DD445" s="395"/>
      <c r="DE445" s="395"/>
      <c r="DF445" s="395">
        <v>1.0</v>
      </c>
      <c r="DG445" s="395">
        <v>0.0</v>
      </c>
      <c r="DH445" s="395">
        <v>1.0</v>
      </c>
      <c r="DI445" s="395"/>
      <c r="DJ445" s="395"/>
      <c r="DK445" s="395"/>
      <c r="DL445" s="395"/>
      <c r="DM445" s="395">
        <v>1.0</v>
      </c>
      <c r="DN445" s="395"/>
      <c r="DO445" s="395"/>
      <c r="DP445" s="395"/>
      <c r="DQ445" s="395"/>
      <c r="DR445" s="395">
        <v>1.0</v>
      </c>
      <c r="DS445" s="395"/>
      <c r="DT445" s="395"/>
      <c r="DU445" s="395"/>
      <c r="DV445" s="395"/>
      <c r="DW445" s="395"/>
      <c r="DX445" s="395"/>
      <c r="DY445" s="395"/>
      <c r="DZ445" s="395"/>
      <c r="EA445" s="395"/>
      <c r="EB445" s="395"/>
      <c r="EC445" s="395"/>
      <c r="ED445" s="395"/>
      <c r="EE445" s="395"/>
      <c r="EF445" s="395"/>
      <c r="EG445" s="156">
        <v>0.0</v>
      </c>
      <c r="EH445" s="156">
        <v>0.0</v>
      </c>
      <c r="EI445" s="156">
        <v>0.0</v>
      </c>
      <c r="EJ445" s="156">
        <v>0.0</v>
      </c>
      <c r="EK445" s="156">
        <v>0.0</v>
      </c>
      <c r="EL445" s="156">
        <v>0.0</v>
      </c>
      <c r="FQ445" s="156">
        <v>0.0</v>
      </c>
      <c r="FR445" s="156">
        <v>0.0</v>
      </c>
      <c r="FS445" s="156">
        <v>0.0</v>
      </c>
      <c r="FT445" s="156">
        <v>0.0</v>
      </c>
      <c r="FU445" s="156">
        <v>0.0</v>
      </c>
      <c r="FV445" s="156">
        <v>0.0</v>
      </c>
      <c r="FW445" s="157"/>
      <c r="FX445" s="157"/>
      <c r="FY445" s="157"/>
      <c r="FZ445" s="157"/>
      <c r="GA445" s="157"/>
      <c r="GB445" s="157"/>
      <c r="GC445" s="157"/>
      <c r="GD445" s="157"/>
      <c r="GE445" s="157"/>
      <c r="GF445" s="157"/>
      <c r="GG445" s="157"/>
      <c r="GH445" s="157"/>
      <c r="GI445" s="157"/>
      <c r="GJ445" s="157"/>
      <c r="GK445" s="157"/>
      <c r="GL445" s="157"/>
      <c r="GM445" s="157"/>
      <c r="GN445" s="157"/>
      <c r="GO445" s="157"/>
      <c r="GP445" s="158"/>
      <c r="GQ445" s="157"/>
      <c r="GR445" s="157"/>
      <c r="GS445" s="157"/>
      <c r="GT445" s="157"/>
      <c r="GU445" s="157"/>
      <c r="GV445" s="157"/>
      <c r="GW445" s="157"/>
      <c r="GX445" s="157"/>
      <c r="GY445" s="157"/>
      <c r="GZ445" s="157"/>
      <c r="HA445" s="157"/>
      <c r="HB445" s="155">
        <v>0.0</v>
      </c>
      <c r="HC445" s="155">
        <v>0.0</v>
      </c>
      <c r="HD445" s="155">
        <v>0.0</v>
      </c>
      <c r="HE445" s="155">
        <v>0.0</v>
      </c>
      <c r="HF445" s="155">
        <v>0.0</v>
      </c>
      <c r="HG445" s="155">
        <v>0.0</v>
      </c>
      <c r="IL445" s="159">
        <v>0.0</v>
      </c>
      <c r="IM445" s="156">
        <v>0.0</v>
      </c>
      <c r="IN445" s="156">
        <v>0.0</v>
      </c>
      <c r="IO445" s="156">
        <v>0.0</v>
      </c>
      <c r="IP445" s="156">
        <v>0.0</v>
      </c>
      <c r="IQ445" s="160">
        <v>0.0</v>
      </c>
      <c r="JH445" s="25"/>
      <c r="JW445" s="159">
        <v>0.0</v>
      </c>
      <c r="JX445" s="156">
        <v>0.0</v>
      </c>
      <c r="JY445" s="156">
        <v>0.0</v>
      </c>
      <c r="JZ445" s="156">
        <v>0.0</v>
      </c>
      <c r="KA445" s="156">
        <v>0.0</v>
      </c>
      <c r="KB445" s="160">
        <v>0.0</v>
      </c>
      <c r="LH445" s="159">
        <f t="shared" si="10"/>
        <v>0</v>
      </c>
      <c r="LI445" s="156">
        <f t="shared" si="11"/>
        <v>0</v>
      </c>
      <c r="LJ445" s="156">
        <f t="shared" si="12"/>
        <v>0</v>
      </c>
      <c r="LK445" s="156">
        <f t="shared" si="13"/>
        <v>0</v>
      </c>
      <c r="LL445" s="156">
        <f t="shared" si="14"/>
        <v>0</v>
      </c>
      <c r="LM445" s="160">
        <f t="shared" si="15"/>
        <v>0</v>
      </c>
      <c r="QX445" s="107">
        <v>46006.0</v>
      </c>
    </row>
    <row r="446">
      <c r="A446" s="25"/>
      <c r="B446" s="25"/>
      <c r="C446" s="25"/>
      <c r="D446" s="12"/>
      <c r="E446" s="12"/>
      <c r="F446" s="12"/>
      <c r="G446" s="12"/>
      <c r="H446" s="12"/>
      <c r="I446" s="143">
        <f t="shared" si="5"/>
        <v>-30</v>
      </c>
      <c r="J446" s="144">
        <v>46006.0</v>
      </c>
      <c r="K446" s="195" t="s">
        <v>61</v>
      </c>
      <c r="L446" s="171">
        <v>46146.0</v>
      </c>
      <c r="M446" s="147" t="s">
        <v>348</v>
      </c>
      <c r="N446" s="148">
        <v>26.0</v>
      </c>
      <c r="O446" s="148">
        <v>30.0</v>
      </c>
      <c r="P446" s="26"/>
      <c r="Q446" s="26"/>
      <c r="R446" s="26"/>
      <c r="S446" s="26"/>
      <c r="T446" s="26"/>
      <c r="U446" s="164" t="s">
        <v>3254</v>
      </c>
      <c r="V446" s="165" t="s">
        <v>230</v>
      </c>
      <c r="W446" s="248" t="s">
        <v>3255</v>
      </c>
      <c r="X446" s="181">
        <v>3.0</v>
      </c>
      <c r="Y446" s="166">
        <f t="shared" si="6"/>
        <v>30</v>
      </c>
      <c r="Z446" s="26">
        <f t="shared" si="7"/>
        <v>0</v>
      </c>
      <c r="AA446" s="26">
        <f t="shared" si="8"/>
        <v>1</v>
      </c>
      <c r="AB446" s="26">
        <f t="shared" si="9"/>
        <v>0</v>
      </c>
      <c r="AC446" s="155">
        <v>4.0</v>
      </c>
      <c r="AD446" s="155">
        <v>0.0</v>
      </c>
      <c r="AE446" s="155">
        <v>0.0</v>
      </c>
      <c r="AF446" s="155">
        <v>0.0</v>
      </c>
      <c r="AG446" s="155">
        <v>0.0</v>
      </c>
      <c r="AH446" s="155">
        <v>0.0</v>
      </c>
      <c r="AM446" s="86">
        <v>1.0</v>
      </c>
      <c r="AQ446" s="86">
        <v>1.0</v>
      </c>
      <c r="AT446" s="86">
        <v>1.0</v>
      </c>
      <c r="BL446" s="86">
        <v>1.0</v>
      </c>
      <c r="BN446" s="155">
        <v>4.0</v>
      </c>
      <c r="BO446" s="155">
        <v>0.0</v>
      </c>
      <c r="BP446" s="155">
        <v>0.0</v>
      </c>
      <c r="BQ446" s="155">
        <v>1.0</v>
      </c>
      <c r="BR446" s="155">
        <v>0.0</v>
      </c>
      <c r="BS446" s="155">
        <v>0.0</v>
      </c>
      <c r="BU446" s="86">
        <v>1.0</v>
      </c>
      <c r="BY446" s="86">
        <v>1.0</v>
      </c>
      <c r="CF446" s="86">
        <v>1.0</v>
      </c>
      <c r="CP446" s="86" t="s">
        <v>947</v>
      </c>
      <c r="CV446" s="156">
        <v>11.0</v>
      </c>
      <c r="CW446" s="156">
        <v>0.0</v>
      </c>
      <c r="CX446" s="156">
        <v>0.0</v>
      </c>
      <c r="CY446" s="156">
        <v>0.0</v>
      </c>
      <c r="CZ446" s="156">
        <v>0.0</v>
      </c>
      <c r="DA446" s="156">
        <v>0.0</v>
      </c>
      <c r="DB446" s="86">
        <v>1.0</v>
      </c>
      <c r="DC446" s="86">
        <v>1.0</v>
      </c>
      <c r="DG446" s="86">
        <v>1.0</v>
      </c>
      <c r="DJ446" s="86">
        <v>1.0</v>
      </c>
      <c r="DN446" s="86">
        <v>1.0</v>
      </c>
      <c r="DQ446" s="86">
        <v>1.0</v>
      </c>
      <c r="DS446" s="86">
        <v>1.0</v>
      </c>
      <c r="DU446" s="86">
        <v>1.0</v>
      </c>
      <c r="DX446" s="86">
        <v>1.0</v>
      </c>
      <c r="EB446" s="86">
        <v>1.0</v>
      </c>
      <c r="EE446" s="86">
        <v>1.0</v>
      </c>
      <c r="EG446" s="156">
        <v>8.0</v>
      </c>
      <c r="EH446" s="156">
        <v>0.0</v>
      </c>
      <c r="EI446" s="156">
        <v>0.0</v>
      </c>
      <c r="EJ446" s="156">
        <v>0.0</v>
      </c>
      <c r="EK446" s="156">
        <v>0.0</v>
      </c>
      <c r="EL446" s="156">
        <v>0.0</v>
      </c>
      <c r="EM446" s="86">
        <v>1.0</v>
      </c>
      <c r="ER446" s="86">
        <v>1.0</v>
      </c>
      <c r="ET446" s="86">
        <v>1.0</v>
      </c>
      <c r="EV446" s="86">
        <v>1.0</v>
      </c>
      <c r="EY446" s="86">
        <v>1.0</v>
      </c>
      <c r="FC446" s="86">
        <v>1.0</v>
      </c>
      <c r="FF446" s="86">
        <v>1.0</v>
      </c>
      <c r="FO446" s="86">
        <v>1.0</v>
      </c>
      <c r="FQ446" s="156">
        <v>0.0</v>
      </c>
      <c r="FR446" s="156">
        <v>0.0</v>
      </c>
      <c r="FS446" s="156">
        <v>0.0</v>
      </c>
      <c r="FT446" s="156">
        <v>0.0</v>
      </c>
      <c r="FU446" s="156">
        <v>0.0</v>
      </c>
      <c r="FV446" s="156">
        <v>0.0</v>
      </c>
      <c r="FW446" s="188"/>
      <c r="FX446" s="157"/>
      <c r="FY446" s="157"/>
      <c r="FZ446" s="188"/>
      <c r="GA446" s="188"/>
      <c r="GB446" s="188"/>
      <c r="GC446" s="157"/>
      <c r="GD446" s="188"/>
      <c r="GE446" s="157"/>
      <c r="GF446" s="157"/>
      <c r="GG446" s="188"/>
      <c r="GH446" s="157"/>
      <c r="GI446" s="188"/>
      <c r="GJ446" s="157"/>
      <c r="GK446" s="188"/>
      <c r="GL446" s="157"/>
      <c r="GM446" s="157"/>
      <c r="GN446" s="188"/>
      <c r="GO446" s="157"/>
      <c r="GP446" s="381"/>
      <c r="GQ446" s="157"/>
      <c r="GR446" s="157"/>
      <c r="GS446" s="157"/>
      <c r="GT446" s="157"/>
      <c r="GU446" s="157"/>
      <c r="GV446" s="157"/>
      <c r="GW446" s="157"/>
      <c r="GX446" s="157"/>
      <c r="GY446" s="157"/>
      <c r="GZ446" s="157"/>
      <c r="HA446" s="157"/>
      <c r="HB446" s="155">
        <v>0.0</v>
      </c>
      <c r="HC446" s="155">
        <v>0.0</v>
      </c>
      <c r="HD446" s="155">
        <v>0.0</v>
      </c>
      <c r="HE446" s="155">
        <v>0.0</v>
      </c>
      <c r="HF446" s="155">
        <v>0.0</v>
      </c>
      <c r="HG446" s="155">
        <v>0.0</v>
      </c>
      <c r="IL446" s="159">
        <v>0.0</v>
      </c>
      <c r="IM446" s="156">
        <v>0.0</v>
      </c>
      <c r="IN446" s="156">
        <v>0.0</v>
      </c>
      <c r="IO446" s="156">
        <v>0.0</v>
      </c>
      <c r="IP446" s="156">
        <v>0.0</v>
      </c>
      <c r="IQ446" s="160">
        <v>0.0</v>
      </c>
      <c r="JH446" s="25"/>
      <c r="JW446" s="159">
        <v>0.0</v>
      </c>
      <c r="JX446" s="156">
        <v>0.0</v>
      </c>
      <c r="JY446" s="156">
        <v>0.0</v>
      </c>
      <c r="JZ446" s="156">
        <v>0.0</v>
      </c>
      <c r="KA446" s="156">
        <v>0.0</v>
      </c>
      <c r="KB446" s="160">
        <v>0.0</v>
      </c>
      <c r="LH446" s="159">
        <f t="shared" si="10"/>
        <v>0</v>
      </c>
      <c r="LI446" s="156">
        <f t="shared" si="11"/>
        <v>0</v>
      </c>
      <c r="LJ446" s="156">
        <f t="shared" si="12"/>
        <v>0</v>
      </c>
      <c r="LK446" s="156">
        <f t="shared" si="13"/>
        <v>0</v>
      </c>
      <c r="LL446" s="156">
        <f t="shared" si="14"/>
        <v>0</v>
      </c>
      <c r="LM446" s="160">
        <f t="shared" si="15"/>
        <v>0</v>
      </c>
      <c r="QX446" s="107">
        <v>46006.0</v>
      </c>
    </row>
    <row r="447">
      <c r="A447" s="12"/>
      <c r="B447" s="12"/>
      <c r="C447" s="12"/>
      <c r="D447" s="12"/>
      <c r="E447" s="12"/>
      <c r="F447" s="12"/>
      <c r="G447" s="12"/>
      <c r="H447" s="12"/>
      <c r="I447" s="143">
        <f t="shared" si="5"/>
        <v>-3</v>
      </c>
      <c r="J447" s="144">
        <v>46006.0</v>
      </c>
      <c r="K447" s="195" t="s">
        <v>61</v>
      </c>
      <c r="L447" s="171">
        <v>46029.0</v>
      </c>
      <c r="M447" s="147" t="s">
        <v>400</v>
      </c>
      <c r="N447" s="148">
        <v>25.0</v>
      </c>
      <c r="O447" s="148">
        <v>30.0</v>
      </c>
      <c r="P447" s="26"/>
      <c r="Q447" s="26"/>
      <c r="R447" s="26"/>
      <c r="S447" s="26"/>
      <c r="T447" s="26"/>
      <c r="U447" s="467" t="s">
        <v>3210</v>
      </c>
      <c r="V447" s="522" t="s">
        <v>3186</v>
      </c>
      <c r="W447" s="198" t="s">
        <v>3256</v>
      </c>
      <c r="X447" s="181">
        <v>3.0</v>
      </c>
      <c r="Y447" s="166">
        <f t="shared" si="6"/>
        <v>3</v>
      </c>
      <c r="Z447" s="26">
        <f t="shared" si="7"/>
        <v>0</v>
      </c>
      <c r="AA447" s="26">
        <f t="shared" si="8"/>
        <v>0</v>
      </c>
      <c r="AB447" s="26">
        <f t="shared" si="9"/>
        <v>0</v>
      </c>
      <c r="AC447" s="155">
        <v>0.0</v>
      </c>
      <c r="AD447" s="155">
        <v>0.0</v>
      </c>
      <c r="AE447" s="155">
        <v>0.0</v>
      </c>
      <c r="AF447" s="155">
        <v>0.0</v>
      </c>
      <c r="AG447" s="155">
        <v>0.0</v>
      </c>
      <c r="AH447" s="155">
        <v>0.0</v>
      </c>
      <c r="BN447" s="155">
        <v>0.0</v>
      </c>
      <c r="BO447" s="155">
        <v>0.0</v>
      </c>
      <c r="BP447" s="155">
        <v>0.0</v>
      </c>
      <c r="BQ447" s="155">
        <v>0.0</v>
      </c>
      <c r="BR447" s="155">
        <v>0.0</v>
      </c>
      <c r="BS447" s="155">
        <v>0.0</v>
      </c>
      <c r="CV447" s="156">
        <v>0.0</v>
      </c>
      <c r="CW447" s="156">
        <v>0.0</v>
      </c>
      <c r="CX447" s="156">
        <v>0.0</v>
      </c>
      <c r="CY447" s="156">
        <v>0.0</v>
      </c>
      <c r="CZ447" s="156">
        <v>0.0</v>
      </c>
      <c r="DA447" s="156">
        <v>0.0</v>
      </c>
      <c r="EG447" s="156">
        <v>0.0</v>
      </c>
      <c r="EH447" s="156">
        <v>0.0</v>
      </c>
      <c r="EI447" s="156">
        <v>0.0</v>
      </c>
      <c r="EJ447" s="156">
        <v>0.0</v>
      </c>
      <c r="EK447" s="156">
        <v>0.0</v>
      </c>
      <c r="EL447" s="156">
        <v>0.0</v>
      </c>
      <c r="FQ447" s="156">
        <v>0.0</v>
      </c>
      <c r="FR447" s="156">
        <v>0.0</v>
      </c>
      <c r="FS447" s="156">
        <v>0.0</v>
      </c>
      <c r="FT447" s="156">
        <v>0.0</v>
      </c>
      <c r="FU447" s="156">
        <v>0.0</v>
      </c>
      <c r="FV447" s="156">
        <v>0.0</v>
      </c>
      <c r="FW447" s="157"/>
      <c r="FX447" s="157"/>
      <c r="FY447" s="157"/>
      <c r="FZ447" s="157"/>
      <c r="GA447" s="157"/>
      <c r="GB447" s="157"/>
      <c r="GC447" s="157"/>
      <c r="GD447" s="157"/>
      <c r="GE447" s="157"/>
      <c r="GF447" s="157"/>
      <c r="GG447" s="157"/>
      <c r="GH447" s="157"/>
      <c r="GI447" s="157"/>
      <c r="GJ447" s="157"/>
      <c r="GK447" s="157"/>
      <c r="GL447" s="157"/>
      <c r="GM447" s="157"/>
      <c r="GN447" s="157"/>
      <c r="GO447" s="157"/>
      <c r="GP447" s="158"/>
      <c r="GQ447" s="157"/>
      <c r="GR447" s="157"/>
      <c r="GS447" s="157"/>
      <c r="GT447" s="157"/>
      <c r="GU447" s="157"/>
      <c r="GV447" s="157"/>
      <c r="GW447" s="157"/>
      <c r="GX447" s="157"/>
      <c r="GY447" s="157"/>
      <c r="GZ447" s="157"/>
      <c r="HA447" s="157"/>
      <c r="HB447" s="155">
        <v>0.0</v>
      </c>
      <c r="HC447" s="155">
        <v>0.0</v>
      </c>
      <c r="HD447" s="155">
        <v>0.0</v>
      </c>
      <c r="HE447" s="155">
        <v>0.0</v>
      </c>
      <c r="HF447" s="155">
        <v>0.0</v>
      </c>
      <c r="HG447" s="155">
        <v>0.0</v>
      </c>
      <c r="IL447" s="159">
        <v>0.0</v>
      </c>
      <c r="IM447" s="156">
        <v>0.0</v>
      </c>
      <c r="IN447" s="156">
        <v>0.0</v>
      </c>
      <c r="IO447" s="156">
        <v>0.0</v>
      </c>
      <c r="IP447" s="156">
        <v>0.0</v>
      </c>
      <c r="IQ447" s="160">
        <v>0.0</v>
      </c>
      <c r="JH447" s="25"/>
      <c r="JW447" s="159">
        <v>0.0</v>
      </c>
      <c r="JX447" s="156">
        <v>0.0</v>
      </c>
      <c r="JY447" s="156">
        <v>0.0</v>
      </c>
      <c r="JZ447" s="156">
        <v>0.0</v>
      </c>
      <c r="KA447" s="156">
        <v>0.0</v>
      </c>
      <c r="KB447" s="160">
        <v>0.0</v>
      </c>
      <c r="LH447" s="159">
        <f t="shared" si="10"/>
        <v>0</v>
      </c>
      <c r="LI447" s="156">
        <f t="shared" si="11"/>
        <v>0</v>
      </c>
      <c r="LJ447" s="156">
        <f t="shared" si="12"/>
        <v>0</v>
      </c>
      <c r="LK447" s="156">
        <f t="shared" si="13"/>
        <v>0</v>
      </c>
      <c r="LL447" s="156">
        <f t="shared" si="14"/>
        <v>0</v>
      </c>
      <c r="LM447" s="160">
        <f t="shared" si="15"/>
        <v>0</v>
      </c>
      <c r="QX447" s="107">
        <v>46007.0</v>
      </c>
    </row>
    <row r="448">
      <c r="A448" s="12"/>
      <c r="B448" s="12"/>
      <c r="C448" s="12"/>
      <c r="D448" s="12"/>
      <c r="E448" s="12"/>
      <c r="F448" s="12"/>
      <c r="G448" s="12"/>
      <c r="H448" s="12"/>
      <c r="I448" s="143">
        <f>E447-Y448</f>
        <v>-8</v>
      </c>
      <c r="J448" s="144">
        <v>46006.0</v>
      </c>
      <c r="K448" s="523" t="s">
        <v>61</v>
      </c>
      <c r="L448" s="171">
        <v>46083.0</v>
      </c>
      <c r="M448" s="147" t="s">
        <v>348</v>
      </c>
      <c r="N448" s="148">
        <v>246.0</v>
      </c>
      <c r="O448" s="148">
        <v>30.0</v>
      </c>
      <c r="P448" s="26"/>
      <c r="Q448" s="26"/>
      <c r="R448" s="26"/>
      <c r="S448" s="26"/>
      <c r="T448" s="26"/>
      <c r="U448" s="47" t="s">
        <v>3200</v>
      </c>
      <c r="V448" s="524" t="s">
        <v>3201</v>
      </c>
      <c r="W448" s="198" t="s">
        <v>3257</v>
      </c>
      <c r="X448" s="181">
        <v>8.0</v>
      </c>
      <c r="Y448" s="190">
        <v>8.0</v>
      </c>
      <c r="Z448" s="26">
        <f t="shared" si="7"/>
        <v>0</v>
      </c>
      <c r="AA448" s="26">
        <f t="shared" si="8"/>
        <v>0</v>
      </c>
      <c r="AB448" s="26">
        <f t="shared" si="9"/>
        <v>0</v>
      </c>
      <c r="AC448" s="155">
        <v>13.0</v>
      </c>
      <c r="AD448" s="155">
        <v>0.0</v>
      </c>
      <c r="AE448" s="155">
        <v>0.0</v>
      </c>
      <c r="AF448" s="155">
        <v>0.0</v>
      </c>
      <c r="AG448" s="155">
        <v>0.0</v>
      </c>
      <c r="AH448" s="155">
        <v>0.0</v>
      </c>
      <c r="AI448" s="167">
        <v>0.0</v>
      </c>
      <c r="AJ448" s="167">
        <v>1.0</v>
      </c>
      <c r="AK448" s="167">
        <v>0.0</v>
      </c>
      <c r="AL448" s="167">
        <v>0.0</v>
      </c>
      <c r="AM448" s="167">
        <v>1.0</v>
      </c>
      <c r="AN448" s="167">
        <v>0.0</v>
      </c>
      <c r="AO448" s="167">
        <v>1.0</v>
      </c>
      <c r="AP448" s="167">
        <v>0.0</v>
      </c>
      <c r="AQ448" s="167">
        <v>1.0</v>
      </c>
      <c r="AR448" s="167">
        <v>0.0</v>
      </c>
      <c r="AS448" s="167">
        <v>0.0</v>
      </c>
      <c r="AT448" s="167">
        <v>1.0</v>
      </c>
      <c r="AU448" s="167">
        <v>0.0</v>
      </c>
      <c r="AV448" s="167">
        <v>1.0</v>
      </c>
      <c r="AW448" s="167">
        <v>0.0</v>
      </c>
      <c r="AX448" s="167">
        <v>1.0</v>
      </c>
      <c r="AY448" s="167">
        <v>0.0</v>
      </c>
      <c r="AZ448" s="167">
        <v>0.0</v>
      </c>
      <c r="BA448" s="167">
        <v>1.0</v>
      </c>
      <c r="BB448" s="167">
        <v>0.0</v>
      </c>
      <c r="BC448" s="167">
        <v>1.0</v>
      </c>
      <c r="BD448" s="167">
        <v>0.0</v>
      </c>
      <c r="BE448" s="167">
        <v>1.0</v>
      </c>
      <c r="BF448" s="167">
        <v>0.0</v>
      </c>
      <c r="BG448" s="167">
        <v>0.0</v>
      </c>
      <c r="BH448" s="167">
        <v>1.0</v>
      </c>
      <c r="BI448" s="167">
        <v>0.0</v>
      </c>
      <c r="BJ448" s="167">
        <v>1.0</v>
      </c>
      <c r="BK448" s="167">
        <v>0.0</v>
      </c>
      <c r="BL448" s="167">
        <v>1.0</v>
      </c>
      <c r="BM448" s="167">
        <v>0.0</v>
      </c>
      <c r="BN448" s="155">
        <v>9.0</v>
      </c>
      <c r="BO448" s="155">
        <v>0.0</v>
      </c>
      <c r="BP448" s="155">
        <v>0.0</v>
      </c>
      <c r="BQ448" s="155">
        <v>0.0</v>
      </c>
      <c r="BR448" s="155">
        <v>0.0</v>
      </c>
      <c r="BS448" s="155">
        <v>0.0</v>
      </c>
      <c r="BT448" s="167">
        <v>0.0</v>
      </c>
      <c r="BU448" s="167">
        <v>1.0</v>
      </c>
      <c r="BV448" s="167">
        <v>0.0</v>
      </c>
      <c r="BW448" s="167">
        <v>1.0</v>
      </c>
      <c r="BX448" s="167">
        <v>0.0</v>
      </c>
      <c r="BY448" s="167">
        <v>1.0</v>
      </c>
      <c r="BZ448" s="167">
        <v>0.0</v>
      </c>
      <c r="CA448" s="167">
        <v>0.0</v>
      </c>
      <c r="CB448" s="167">
        <v>1.0</v>
      </c>
      <c r="CC448" s="167">
        <v>0.0</v>
      </c>
      <c r="CD448" s="167">
        <v>1.0</v>
      </c>
      <c r="CE448" s="167">
        <v>0.0</v>
      </c>
      <c r="CF448" s="167">
        <v>1.0</v>
      </c>
      <c r="CG448" s="167"/>
      <c r="CH448" s="167"/>
      <c r="CI448" s="167"/>
      <c r="CJ448" s="167"/>
      <c r="CK448" s="167"/>
      <c r="CL448" s="167"/>
      <c r="CM448" s="167"/>
      <c r="CN448" s="167"/>
      <c r="CO448" s="167"/>
      <c r="CP448" s="167">
        <v>1.0</v>
      </c>
      <c r="CQ448" s="167"/>
      <c r="CR448" s="168">
        <v>1.0</v>
      </c>
      <c r="CS448" s="168"/>
      <c r="CT448" s="167">
        <v>1.0</v>
      </c>
      <c r="CU448" s="167">
        <v>0.0</v>
      </c>
      <c r="CV448" s="156">
        <v>0.0</v>
      </c>
      <c r="CW448" s="156">
        <v>0.0</v>
      </c>
      <c r="CX448" s="156">
        <v>0.0</v>
      </c>
      <c r="CY448" s="156">
        <v>0.0</v>
      </c>
      <c r="CZ448" s="156">
        <v>0.0</v>
      </c>
      <c r="DA448" s="156">
        <v>0.0</v>
      </c>
      <c r="EG448" s="156">
        <v>0.0</v>
      </c>
      <c r="EH448" s="156">
        <v>0.0</v>
      </c>
      <c r="EI448" s="156">
        <v>0.0</v>
      </c>
      <c r="EJ448" s="156">
        <v>0.0</v>
      </c>
      <c r="EK448" s="156">
        <v>0.0</v>
      </c>
      <c r="EL448" s="156">
        <v>0.0</v>
      </c>
      <c r="FQ448" s="156">
        <v>0.0</v>
      </c>
      <c r="FR448" s="156">
        <v>0.0</v>
      </c>
      <c r="FS448" s="156">
        <v>0.0</v>
      </c>
      <c r="FT448" s="156">
        <v>0.0</v>
      </c>
      <c r="FU448" s="156">
        <v>0.0</v>
      </c>
      <c r="FV448" s="156">
        <v>0.0</v>
      </c>
      <c r="FW448" s="157"/>
      <c r="FX448" s="157"/>
      <c r="FY448" s="157"/>
      <c r="FZ448" s="157"/>
      <c r="GA448" s="157"/>
      <c r="GB448" s="157"/>
      <c r="GC448" s="157"/>
      <c r="GD448" s="157"/>
      <c r="GE448" s="157"/>
      <c r="GF448" s="157"/>
      <c r="GG448" s="157"/>
      <c r="GH448" s="157"/>
      <c r="GI448" s="157"/>
      <c r="GJ448" s="157"/>
      <c r="GK448" s="157"/>
      <c r="GL448" s="157"/>
      <c r="GM448" s="157"/>
      <c r="GN448" s="157"/>
      <c r="GO448" s="157"/>
      <c r="GP448" s="158"/>
      <c r="GQ448" s="157"/>
      <c r="GR448" s="157"/>
      <c r="GS448" s="157"/>
      <c r="GT448" s="157"/>
      <c r="GU448" s="157"/>
      <c r="GV448" s="157"/>
      <c r="GW448" s="157"/>
      <c r="GX448" s="157"/>
      <c r="GY448" s="157"/>
      <c r="GZ448" s="157"/>
      <c r="HA448" s="157"/>
      <c r="HB448" s="155">
        <v>0.0</v>
      </c>
      <c r="HC448" s="155">
        <v>0.0</v>
      </c>
      <c r="HD448" s="155">
        <v>0.0</v>
      </c>
      <c r="HE448" s="155">
        <v>0.0</v>
      </c>
      <c r="HF448" s="155">
        <v>0.0</v>
      </c>
      <c r="HG448" s="155">
        <v>0.0</v>
      </c>
      <c r="IL448" s="159">
        <v>0.0</v>
      </c>
      <c r="IM448" s="156">
        <v>0.0</v>
      </c>
      <c r="IN448" s="156">
        <v>0.0</v>
      </c>
      <c r="IO448" s="156">
        <v>0.0</v>
      </c>
      <c r="IP448" s="156">
        <v>0.0</v>
      </c>
      <c r="IQ448" s="160">
        <v>0.0</v>
      </c>
      <c r="JH448" s="25"/>
      <c r="JW448" s="159">
        <v>0.0</v>
      </c>
      <c r="JX448" s="156">
        <v>0.0</v>
      </c>
      <c r="JY448" s="156">
        <v>0.0</v>
      </c>
      <c r="JZ448" s="156">
        <v>0.0</v>
      </c>
      <c r="KA448" s="156">
        <v>0.0</v>
      </c>
      <c r="KB448" s="160">
        <v>0.0</v>
      </c>
      <c r="LH448" s="159">
        <f t="shared" si="10"/>
        <v>0</v>
      </c>
      <c r="LI448" s="156">
        <f t="shared" si="11"/>
        <v>0</v>
      </c>
      <c r="LJ448" s="156">
        <f t="shared" si="12"/>
        <v>0</v>
      </c>
      <c r="LK448" s="156">
        <f t="shared" si="13"/>
        <v>0</v>
      </c>
      <c r="LL448" s="156">
        <f t="shared" si="14"/>
        <v>0</v>
      </c>
      <c r="LM448" s="160">
        <f t="shared" si="15"/>
        <v>0</v>
      </c>
      <c r="QX448" s="107">
        <v>46007.0</v>
      </c>
    </row>
    <row r="449">
      <c r="A449" s="12"/>
      <c r="B449" s="12"/>
      <c r="C449" s="12"/>
      <c r="D449" s="12"/>
      <c r="E449" s="12"/>
      <c r="F449" s="12"/>
      <c r="G449" s="12"/>
      <c r="H449" s="12"/>
      <c r="I449" s="143">
        <f t="shared" ref="I449:I1011" si="22">E449-Y449</f>
        <v>-30</v>
      </c>
      <c r="J449" s="144">
        <v>46025.0</v>
      </c>
      <c r="K449" s="195" t="s">
        <v>61</v>
      </c>
      <c r="L449" s="171">
        <v>46113.0</v>
      </c>
      <c r="M449" s="147" t="s">
        <v>107</v>
      </c>
      <c r="N449" s="148">
        <v>357.0</v>
      </c>
      <c r="O449" s="148">
        <v>30.0</v>
      </c>
      <c r="P449" s="26"/>
      <c r="Q449" s="26"/>
      <c r="R449" s="26"/>
      <c r="S449" s="26"/>
      <c r="T449" s="26"/>
      <c r="U449" s="147" t="s">
        <v>1140</v>
      </c>
      <c r="V449" s="149" t="s">
        <v>2501</v>
      </c>
      <c r="W449" s="198" t="s">
        <v>3258</v>
      </c>
      <c r="X449" s="181">
        <v>0.0</v>
      </c>
      <c r="Y449" s="166">
        <f t="shared" ref="Y449:Y1011" si="23">SUMIF($AC$2:QX$2,"Số buổi đã học",$AC449:QX449)+X449</f>
        <v>30</v>
      </c>
      <c r="Z449" s="26">
        <f t="shared" si="7"/>
        <v>0</v>
      </c>
      <c r="AA449" s="26">
        <f t="shared" si="8"/>
        <v>1</v>
      </c>
      <c r="AB449" s="26">
        <f t="shared" si="9"/>
        <v>0</v>
      </c>
      <c r="AC449" s="155">
        <v>13.0</v>
      </c>
      <c r="AD449" s="155">
        <v>0.0</v>
      </c>
      <c r="AE449" s="155">
        <v>0.0</v>
      </c>
      <c r="AF449" s="155">
        <v>0.0</v>
      </c>
      <c r="AG449" s="155">
        <v>0.0</v>
      </c>
      <c r="AH449" s="155">
        <v>0.0</v>
      </c>
      <c r="AI449" s="167"/>
      <c r="AJ449" s="167"/>
      <c r="AK449" s="167">
        <v>1.0</v>
      </c>
      <c r="AL449" s="167">
        <v>0.0</v>
      </c>
      <c r="AM449" s="167">
        <v>0.0</v>
      </c>
      <c r="AN449" s="167">
        <v>1.0</v>
      </c>
      <c r="AO449" s="167">
        <v>0.0</v>
      </c>
      <c r="AP449" s="167">
        <v>1.0</v>
      </c>
      <c r="AQ449" s="167">
        <v>0.0</v>
      </c>
      <c r="AR449" s="167"/>
      <c r="AS449" s="168">
        <v>1.0</v>
      </c>
      <c r="AT449" s="167">
        <v>0.0</v>
      </c>
      <c r="AU449" s="168">
        <v>1.0</v>
      </c>
      <c r="AV449" s="167">
        <v>0.0</v>
      </c>
      <c r="AW449" s="167">
        <v>1.0</v>
      </c>
      <c r="AX449" s="167">
        <v>0.0</v>
      </c>
      <c r="AY449" s="167"/>
      <c r="AZ449" s="168">
        <v>1.0</v>
      </c>
      <c r="BA449" s="167">
        <v>0.0</v>
      </c>
      <c r="BB449" s="167">
        <v>1.0</v>
      </c>
      <c r="BC449" s="167">
        <v>0.0</v>
      </c>
      <c r="BD449" s="167">
        <v>1.0</v>
      </c>
      <c r="BE449" s="167">
        <v>0.0</v>
      </c>
      <c r="BF449" s="167">
        <v>1.0</v>
      </c>
      <c r="BG449" s="167">
        <v>0.0</v>
      </c>
      <c r="BH449" s="167">
        <v>0.0</v>
      </c>
      <c r="BI449" s="167">
        <v>1.0</v>
      </c>
      <c r="BJ449" s="167">
        <v>0.0</v>
      </c>
      <c r="BK449" s="167">
        <v>1.0</v>
      </c>
      <c r="BL449" s="167">
        <v>0.0</v>
      </c>
      <c r="BM449" s="167">
        <v>1.0</v>
      </c>
      <c r="BN449" s="155">
        <v>9.0</v>
      </c>
      <c r="BO449" s="155">
        <v>0.0</v>
      </c>
      <c r="BP449" s="155">
        <v>0.0</v>
      </c>
      <c r="BQ449" s="155">
        <v>0.0</v>
      </c>
      <c r="BR449" s="155">
        <v>0.0</v>
      </c>
      <c r="BS449" s="155">
        <v>0.0</v>
      </c>
      <c r="BT449" s="167">
        <v>0.0</v>
      </c>
      <c r="BU449" s="167">
        <v>0.0</v>
      </c>
      <c r="BV449" s="167">
        <v>1.0</v>
      </c>
      <c r="BW449" s="167">
        <v>0.0</v>
      </c>
      <c r="BX449" s="167">
        <v>1.0</v>
      </c>
      <c r="BY449" s="167">
        <v>0.0</v>
      </c>
      <c r="BZ449" s="167">
        <v>1.0</v>
      </c>
      <c r="CA449" s="167">
        <v>0.0</v>
      </c>
      <c r="CB449" s="167">
        <v>0.0</v>
      </c>
      <c r="CC449" s="167">
        <v>1.0</v>
      </c>
      <c r="CD449" s="167">
        <v>0.0</v>
      </c>
      <c r="CE449" s="167">
        <v>1.0</v>
      </c>
      <c r="CF449" s="167">
        <v>0.0</v>
      </c>
      <c r="CG449" s="167">
        <v>1.0</v>
      </c>
      <c r="CH449" s="167"/>
      <c r="CI449" s="167"/>
      <c r="CJ449" s="167"/>
      <c r="CK449" s="167"/>
      <c r="CL449" s="167"/>
      <c r="CM449" s="167"/>
      <c r="CN449" s="167"/>
      <c r="CO449" s="167"/>
      <c r="CP449" s="167"/>
      <c r="CQ449" s="167">
        <v>1.0</v>
      </c>
      <c r="CR449" s="167">
        <v>0.0</v>
      </c>
      <c r="CS449" s="167">
        <v>1.0</v>
      </c>
      <c r="CT449" s="167">
        <v>0.0</v>
      </c>
      <c r="CU449" s="167">
        <v>1.0</v>
      </c>
      <c r="CV449" s="156">
        <v>8.0</v>
      </c>
      <c r="CW449" s="156">
        <v>0.0</v>
      </c>
      <c r="CX449" s="156">
        <v>0.0</v>
      </c>
      <c r="CY449" s="156">
        <v>1.0</v>
      </c>
      <c r="CZ449" s="156">
        <v>0.0</v>
      </c>
      <c r="DA449" s="156">
        <v>0.0</v>
      </c>
      <c r="DB449" s="395"/>
      <c r="DC449" s="395"/>
      <c r="DD449" s="395" t="s">
        <v>947</v>
      </c>
      <c r="DE449" s="395"/>
      <c r="DF449" s="395">
        <v>1.0</v>
      </c>
      <c r="DG449" s="395">
        <v>0.0</v>
      </c>
      <c r="DH449" s="395">
        <v>1.0</v>
      </c>
      <c r="DI449" s="395">
        <v>0.0</v>
      </c>
      <c r="DJ449" s="395">
        <v>0.0</v>
      </c>
      <c r="DK449" s="395">
        <v>1.0</v>
      </c>
      <c r="DL449" s="395">
        <v>0.0</v>
      </c>
      <c r="DM449" s="395">
        <v>1.0</v>
      </c>
      <c r="DN449" s="395">
        <v>0.0</v>
      </c>
      <c r="DO449" s="395">
        <v>1.0</v>
      </c>
      <c r="DP449" s="395">
        <v>0.0</v>
      </c>
      <c r="DQ449" s="395">
        <v>0.0</v>
      </c>
      <c r="DR449" s="395">
        <v>1.0</v>
      </c>
      <c r="DS449" s="395">
        <v>0.0</v>
      </c>
      <c r="DT449" s="395">
        <v>1.0</v>
      </c>
      <c r="DU449" s="395"/>
      <c r="DV449" s="395"/>
      <c r="DW449" s="395"/>
      <c r="DX449" s="395"/>
      <c r="DY449" s="395"/>
      <c r="DZ449" s="395"/>
      <c r="EA449" s="395"/>
      <c r="EB449" s="395"/>
      <c r="EC449" s="395"/>
      <c r="ED449" s="395"/>
      <c r="EE449" s="395"/>
      <c r="EF449" s="395"/>
      <c r="EG449" s="156">
        <v>0.0</v>
      </c>
      <c r="EH449" s="156">
        <v>0.0</v>
      </c>
      <c r="EI449" s="156">
        <v>0.0</v>
      </c>
      <c r="EJ449" s="156">
        <v>0.0</v>
      </c>
      <c r="EK449" s="156">
        <v>0.0</v>
      </c>
      <c r="EL449" s="156">
        <v>0.0</v>
      </c>
      <c r="EM449" s="395"/>
      <c r="EN449" s="395"/>
      <c r="EO449" s="395"/>
      <c r="EP449" s="395"/>
      <c r="EQ449" s="395"/>
      <c r="ER449" s="395"/>
      <c r="ES449" s="395"/>
      <c r="ET449" s="395"/>
      <c r="EU449" s="395"/>
      <c r="EV449" s="395"/>
      <c r="EW449" s="395"/>
      <c r="EX449" s="395"/>
      <c r="EY449" s="395"/>
      <c r="EZ449" s="395"/>
      <c r="FA449" s="395"/>
      <c r="FB449" s="395"/>
      <c r="FC449" s="395"/>
      <c r="FD449" s="395"/>
      <c r="FE449" s="395"/>
      <c r="FF449" s="395"/>
      <c r="FG449" s="395"/>
      <c r="FH449" s="395"/>
      <c r="FI449" s="395"/>
      <c r="FJ449" s="395"/>
      <c r="FK449" s="395"/>
      <c r="FL449" s="395"/>
      <c r="FM449" s="395"/>
      <c r="FN449" s="395"/>
      <c r="FO449" s="395"/>
      <c r="FP449" s="395"/>
      <c r="FQ449" s="156">
        <v>0.0</v>
      </c>
      <c r="FR449" s="156">
        <v>0.0</v>
      </c>
      <c r="FS449" s="156">
        <v>0.0</v>
      </c>
      <c r="FT449" s="156">
        <v>0.0</v>
      </c>
      <c r="FU449" s="156">
        <v>0.0</v>
      </c>
      <c r="FV449" s="156">
        <v>0.0</v>
      </c>
      <c r="FW449" s="157"/>
      <c r="FX449" s="157"/>
      <c r="FY449" s="157"/>
      <c r="FZ449" s="157"/>
      <c r="GA449" s="157"/>
      <c r="GB449" s="157"/>
      <c r="GC449" s="157"/>
      <c r="GD449" s="157"/>
      <c r="GE449" s="157"/>
      <c r="GF449" s="157"/>
      <c r="GG449" s="157"/>
      <c r="GH449" s="157"/>
      <c r="GI449" s="157"/>
      <c r="GJ449" s="157"/>
      <c r="GK449" s="157"/>
      <c r="GL449" s="157"/>
      <c r="GM449" s="157"/>
      <c r="GN449" s="157"/>
      <c r="GO449" s="157"/>
      <c r="GP449" s="158"/>
      <c r="GQ449" s="157"/>
      <c r="GR449" s="157"/>
      <c r="GS449" s="157"/>
      <c r="GT449" s="157"/>
      <c r="GU449" s="157"/>
      <c r="GV449" s="157"/>
      <c r="GW449" s="157"/>
      <c r="GX449" s="157"/>
      <c r="GY449" s="157"/>
      <c r="GZ449" s="157"/>
      <c r="HA449" s="157"/>
      <c r="HB449" s="155">
        <v>0.0</v>
      </c>
      <c r="HC449" s="155">
        <v>0.0</v>
      </c>
      <c r="HD449" s="155">
        <v>0.0</v>
      </c>
      <c r="HE449" s="155">
        <v>0.0</v>
      </c>
      <c r="HF449" s="155">
        <v>0.0</v>
      </c>
      <c r="HG449" s="155">
        <v>0.0</v>
      </c>
      <c r="IL449" s="159">
        <v>0.0</v>
      </c>
      <c r="IM449" s="156">
        <v>0.0</v>
      </c>
      <c r="IN449" s="156">
        <v>0.0</v>
      </c>
      <c r="IO449" s="156">
        <v>0.0</v>
      </c>
      <c r="IP449" s="156">
        <v>0.0</v>
      </c>
      <c r="IQ449" s="160">
        <v>0.0</v>
      </c>
      <c r="JH449" s="25"/>
      <c r="JW449" s="159">
        <v>0.0</v>
      </c>
      <c r="JX449" s="156">
        <v>0.0</v>
      </c>
      <c r="JY449" s="156">
        <v>0.0</v>
      </c>
      <c r="JZ449" s="156">
        <v>0.0</v>
      </c>
      <c r="KA449" s="156">
        <v>0.0</v>
      </c>
      <c r="KB449" s="160">
        <v>0.0</v>
      </c>
      <c r="LH449" s="159">
        <f t="shared" si="10"/>
        <v>0</v>
      </c>
      <c r="LI449" s="156">
        <f t="shared" si="11"/>
        <v>0</v>
      </c>
      <c r="LJ449" s="156">
        <f t="shared" si="12"/>
        <v>0</v>
      </c>
      <c r="LK449" s="156">
        <f t="shared" si="13"/>
        <v>0</v>
      </c>
      <c r="LL449" s="156">
        <f t="shared" si="14"/>
        <v>0</v>
      </c>
      <c r="LM449" s="160">
        <f t="shared" si="15"/>
        <v>0</v>
      </c>
      <c r="QX449" s="107">
        <v>46007.0</v>
      </c>
    </row>
    <row r="450">
      <c r="A450" s="12"/>
      <c r="B450" s="12"/>
      <c r="C450" s="12"/>
      <c r="D450" s="12"/>
      <c r="E450" s="12"/>
      <c r="F450" s="12"/>
      <c r="G450" s="12"/>
      <c r="H450" s="12"/>
      <c r="I450" s="143">
        <f t="shared" si="22"/>
        <v>-30</v>
      </c>
      <c r="J450" s="144">
        <v>46008.0</v>
      </c>
      <c r="K450" s="145" t="s">
        <v>61</v>
      </c>
      <c r="L450" s="525">
        <v>46106.0</v>
      </c>
      <c r="M450" s="267" t="s">
        <v>107</v>
      </c>
      <c r="N450" s="268">
        <v>246.0</v>
      </c>
      <c r="O450" s="268">
        <v>45.0</v>
      </c>
      <c r="P450" s="98"/>
      <c r="Q450" s="98"/>
      <c r="R450" s="98"/>
      <c r="S450" s="98"/>
      <c r="T450" s="98"/>
      <c r="U450" s="267" t="s">
        <v>3200</v>
      </c>
      <c r="V450" s="488" t="s">
        <v>3201</v>
      </c>
      <c r="W450" s="270" t="s">
        <v>3259</v>
      </c>
      <c r="X450" s="181">
        <v>0.0</v>
      </c>
      <c r="Y450" s="166">
        <f t="shared" si="23"/>
        <v>30</v>
      </c>
      <c r="Z450" s="26">
        <f t="shared" si="7"/>
        <v>0</v>
      </c>
      <c r="AA450" s="26">
        <f t="shared" si="8"/>
        <v>0</v>
      </c>
      <c r="AB450" s="26">
        <f t="shared" si="9"/>
        <v>0</v>
      </c>
      <c r="AC450" s="155">
        <v>13.0</v>
      </c>
      <c r="AD450" s="155">
        <v>0.0</v>
      </c>
      <c r="AE450" s="155">
        <v>0.0</v>
      </c>
      <c r="AF450" s="155">
        <v>0.0</v>
      </c>
      <c r="AG450" s="155">
        <v>0.0</v>
      </c>
      <c r="AH450" s="155">
        <v>0.0</v>
      </c>
      <c r="AI450" s="167">
        <v>0.0</v>
      </c>
      <c r="AJ450" s="167">
        <v>1.0</v>
      </c>
      <c r="AK450" s="167">
        <v>0.0</v>
      </c>
      <c r="AL450" s="167">
        <v>0.0</v>
      </c>
      <c r="AM450" s="167">
        <v>1.0</v>
      </c>
      <c r="AN450" s="167">
        <v>0.0</v>
      </c>
      <c r="AO450" s="167">
        <v>1.0</v>
      </c>
      <c r="AP450" s="167">
        <v>0.0</v>
      </c>
      <c r="AQ450" s="167">
        <v>1.0</v>
      </c>
      <c r="AR450" s="167">
        <v>0.0</v>
      </c>
      <c r="AS450" s="167">
        <v>0.0</v>
      </c>
      <c r="AT450" s="167">
        <v>1.0</v>
      </c>
      <c r="AU450" s="167">
        <v>0.0</v>
      </c>
      <c r="AV450" s="167">
        <v>1.0</v>
      </c>
      <c r="AW450" s="167">
        <v>0.0</v>
      </c>
      <c r="AX450" s="167">
        <v>1.0</v>
      </c>
      <c r="AY450" s="167">
        <v>0.0</v>
      </c>
      <c r="AZ450" s="167">
        <v>0.0</v>
      </c>
      <c r="BA450" s="167">
        <v>1.0</v>
      </c>
      <c r="BB450" s="167">
        <v>0.0</v>
      </c>
      <c r="BC450" s="167">
        <v>1.0</v>
      </c>
      <c r="BD450" s="167">
        <v>0.0</v>
      </c>
      <c r="BE450" s="167">
        <v>1.0</v>
      </c>
      <c r="BF450" s="167">
        <v>0.0</v>
      </c>
      <c r="BG450" s="167">
        <v>0.0</v>
      </c>
      <c r="BH450" s="167">
        <v>1.0</v>
      </c>
      <c r="BI450" s="167">
        <v>0.0</v>
      </c>
      <c r="BJ450" s="167">
        <v>1.0</v>
      </c>
      <c r="BK450" s="167">
        <v>0.0</v>
      </c>
      <c r="BL450" s="167">
        <v>1.0</v>
      </c>
      <c r="BM450" s="167">
        <v>0.0</v>
      </c>
      <c r="BN450" s="155">
        <v>9.0</v>
      </c>
      <c r="BO450" s="155">
        <v>0.0</v>
      </c>
      <c r="BP450" s="155">
        <v>0.0</v>
      </c>
      <c r="BQ450" s="155">
        <v>0.0</v>
      </c>
      <c r="BR450" s="155">
        <v>0.0</v>
      </c>
      <c r="BS450" s="155">
        <v>0.0</v>
      </c>
      <c r="BT450" s="167">
        <v>0.0</v>
      </c>
      <c r="BU450" s="167">
        <v>1.0</v>
      </c>
      <c r="BV450" s="167">
        <v>0.0</v>
      </c>
      <c r="BW450" s="167">
        <v>1.0</v>
      </c>
      <c r="BX450" s="167">
        <v>0.0</v>
      </c>
      <c r="BY450" s="167">
        <v>1.0</v>
      </c>
      <c r="BZ450" s="167">
        <v>0.0</v>
      </c>
      <c r="CA450" s="167">
        <v>0.0</v>
      </c>
      <c r="CB450" s="167">
        <v>1.0</v>
      </c>
      <c r="CC450" s="167">
        <v>0.0</v>
      </c>
      <c r="CD450" s="167">
        <v>1.0</v>
      </c>
      <c r="CE450" s="168">
        <v>1.0</v>
      </c>
      <c r="CF450" s="167"/>
      <c r="CG450" s="167"/>
      <c r="CH450" s="167"/>
      <c r="CI450" s="167"/>
      <c r="CJ450" s="167"/>
      <c r="CK450" s="167"/>
      <c r="CL450" s="167"/>
      <c r="CM450" s="167"/>
      <c r="CN450" s="167"/>
      <c r="CO450" s="167"/>
      <c r="CP450" s="167">
        <v>1.0</v>
      </c>
      <c r="CQ450" s="167">
        <v>0.0</v>
      </c>
      <c r="CR450" s="167">
        <v>1.0</v>
      </c>
      <c r="CS450" s="167">
        <v>0.0</v>
      </c>
      <c r="CT450" s="167">
        <v>1.0</v>
      </c>
      <c r="CU450" s="167">
        <v>0.0</v>
      </c>
      <c r="CV450" s="156">
        <v>8.0</v>
      </c>
      <c r="CW450" s="156">
        <v>0.0</v>
      </c>
      <c r="CX450" s="156">
        <v>0.0</v>
      </c>
      <c r="CY450" s="156">
        <v>0.0</v>
      </c>
      <c r="CZ450" s="156">
        <v>0.0</v>
      </c>
      <c r="DA450" s="156">
        <v>0.0</v>
      </c>
      <c r="DB450" s="174">
        <v>0.0</v>
      </c>
      <c r="DC450" s="174">
        <v>1.0</v>
      </c>
      <c r="DD450" s="174">
        <v>0.0</v>
      </c>
      <c r="DE450" s="174">
        <v>1.0</v>
      </c>
      <c r="DF450" s="174">
        <v>0.0</v>
      </c>
      <c r="DG450" s="174">
        <v>1.0</v>
      </c>
      <c r="DH450" s="174">
        <v>0.0</v>
      </c>
      <c r="DI450" s="174">
        <v>0.0</v>
      </c>
      <c r="DJ450" s="174">
        <v>1.0</v>
      </c>
      <c r="DK450" s="174">
        <v>0.0</v>
      </c>
      <c r="DL450" s="174">
        <v>1.0</v>
      </c>
      <c r="DM450" s="174">
        <v>0.0</v>
      </c>
      <c r="DN450" s="174">
        <v>1.0</v>
      </c>
      <c r="DO450" s="174">
        <v>0.0</v>
      </c>
      <c r="DP450" s="174">
        <v>0.0</v>
      </c>
      <c r="DQ450" s="174"/>
      <c r="DR450" s="175">
        <v>1.0</v>
      </c>
      <c r="DS450" s="174"/>
      <c r="DT450" s="175">
        <v>1.0</v>
      </c>
      <c r="DU450" s="174"/>
      <c r="DV450" s="174"/>
      <c r="DW450" s="174"/>
      <c r="DX450" s="174"/>
      <c r="DY450" s="174"/>
      <c r="DZ450" s="174"/>
      <c r="EA450" s="174"/>
      <c r="EB450" s="174"/>
      <c r="EC450" s="174"/>
      <c r="ED450" s="174"/>
      <c r="EE450" s="174"/>
      <c r="EF450" s="174"/>
      <c r="EG450" s="156">
        <v>0.0</v>
      </c>
      <c r="EH450" s="156">
        <v>0.0</v>
      </c>
      <c r="EI450" s="156">
        <v>0.0</v>
      </c>
      <c r="EJ450" s="156">
        <v>0.0</v>
      </c>
      <c r="EK450" s="156">
        <v>0.0</v>
      </c>
      <c r="EL450" s="156">
        <v>0.0</v>
      </c>
      <c r="FQ450" s="156">
        <v>0.0</v>
      </c>
      <c r="FR450" s="156">
        <v>0.0</v>
      </c>
      <c r="FS450" s="156">
        <v>0.0</v>
      </c>
      <c r="FT450" s="156">
        <v>0.0</v>
      </c>
      <c r="FU450" s="156">
        <v>0.0</v>
      </c>
      <c r="FV450" s="156">
        <v>0.0</v>
      </c>
      <c r="FW450" s="157"/>
      <c r="FX450" s="157"/>
      <c r="FY450" s="157"/>
      <c r="FZ450" s="157"/>
      <c r="GA450" s="157"/>
      <c r="GB450" s="157"/>
      <c r="GC450" s="157"/>
      <c r="GD450" s="157"/>
      <c r="GE450" s="157"/>
      <c r="GF450" s="157"/>
      <c r="GG450" s="157"/>
      <c r="GH450" s="157"/>
      <c r="GI450" s="157"/>
      <c r="GJ450" s="157"/>
      <c r="GK450" s="157"/>
      <c r="GL450" s="157"/>
      <c r="GM450" s="157"/>
      <c r="GN450" s="157"/>
      <c r="GO450" s="157"/>
      <c r="GP450" s="158"/>
      <c r="GQ450" s="157"/>
      <c r="GR450" s="157"/>
      <c r="GS450" s="157"/>
      <c r="GT450" s="157"/>
      <c r="GU450" s="157"/>
      <c r="GV450" s="157"/>
      <c r="GW450" s="157"/>
      <c r="GX450" s="157"/>
      <c r="GY450" s="157"/>
      <c r="GZ450" s="157"/>
      <c r="HA450" s="157"/>
      <c r="HB450" s="155">
        <v>0.0</v>
      </c>
      <c r="HC450" s="155">
        <v>0.0</v>
      </c>
      <c r="HD450" s="155">
        <v>0.0</v>
      </c>
      <c r="HE450" s="155">
        <v>0.0</v>
      </c>
      <c r="HF450" s="155">
        <v>0.0</v>
      </c>
      <c r="HG450" s="155">
        <v>0.0</v>
      </c>
      <c r="IL450" s="159">
        <v>0.0</v>
      </c>
      <c r="IM450" s="156">
        <v>0.0</v>
      </c>
      <c r="IN450" s="156">
        <v>0.0</v>
      </c>
      <c r="IO450" s="156">
        <v>0.0</v>
      </c>
      <c r="IP450" s="156">
        <v>0.0</v>
      </c>
      <c r="IQ450" s="160">
        <v>0.0</v>
      </c>
      <c r="JH450" s="25"/>
      <c r="JW450" s="159">
        <v>0.0</v>
      </c>
      <c r="JX450" s="156">
        <v>0.0</v>
      </c>
      <c r="JY450" s="156">
        <v>0.0</v>
      </c>
      <c r="JZ450" s="156">
        <v>0.0</v>
      </c>
      <c r="KA450" s="156">
        <v>0.0</v>
      </c>
      <c r="KB450" s="160">
        <v>0.0</v>
      </c>
      <c r="LH450" s="159">
        <f t="shared" si="10"/>
        <v>0</v>
      </c>
      <c r="LI450" s="156">
        <f t="shared" si="11"/>
        <v>0</v>
      </c>
      <c r="LJ450" s="156">
        <f t="shared" si="12"/>
        <v>0</v>
      </c>
      <c r="LK450" s="156">
        <f t="shared" si="13"/>
        <v>0</v>
      </c>
      <c r="LL450" s="156">
        <f t="shared" si="14"/>
        <v>0</v>
      </c>
      <c r="LM450" s="160">
        <f t="shared" si="15"/>
        <v>0</v>
      </c>
      <c r="QX450" s="107">
        <v>46007.0</v>
      </c>
    </row>
    <row r="451">
      <c r="A451" s="12"/>
      <c r="B451" s="12"/>
      <c r="C451" s="12"/>
      <c r="D451" s="12"/>
      <c r="E451" s="12"/>
      <c r="F451" s="12"/>
      <c r="G451" s="12"/>
      <c r="H451" s="12"/>
      <c r="I451" s="143">
        <f t="shared" si="22"/>
        <v>-30</v>
      </c>
      <c r="J451" s="144">
        <v>46010.0</v>
      </c>
      <c r="K451" s="195" t="s">
        <v>61</v>
      </c>
      <c r="L451" s="171">
        <v>46132.0</v>
      </c>
      <c r="M451" s="147" t="s">
        <v>1157</v>
      </c>
      <c r="N451" s="147" t="s">
        <v>424</v>
      </c>
      <c r="O451" s="148">
        <v>30.0</v>
      </c>
      <c r="P451" s="26"/>
      <c r="Q451" s="26"/>
      <c r="R451" s="26"/>
      <c r="S451" s="26"/>
      <c r="T451" s="26"/>
      <c r="U451" s="147" t="s">
        <v>3175</v>
      </c>
      <c r="V451" s="149" t="s">
        <v>3176</v>
      </c>
      <c r="W451" s="147" t="s">
        <v>3260</v>
      </c>
      <c r="X451" s="181">
        <v>5.0</v>
      </c>
      <c r="Y451" s="166">
        <f t="shared" si="23"/>
        <v>30</v>
      </c>
      <c r="Z451" s="26">
        <f t="shared" si="7"/>
        <v>0</v>
      </c>
      <c r="AA451" s="26">
        <f t="shared" si="8"/>
        <v>0</v>
      </c>
      <c r="AB451" s="26">
        <f t="shared" si="9"/>
        <v>0</v>
      </c>
      <c r="AC451" s="155">
        <v>10.0</v>
      </c>
      <c r="AD451" s="155">
        <v>0.0</v>
      </c>
      <c r="AE451" s="155">
        <v>0.0</v>
      </c>
      <c r="AF451" s="155">
        <v>0.0</v>
      </c>
      <c r="AG451" s="155">
        <v>0.0</v>
      </c>
      <c r="AH451" s="155">
        <v>0.0</v>
      </c>
      <c r="AN451" s="86">
        <v>1.0</v>
      </c>
      <c r="AO451" s="86">
        <v>1.0</v>
      </c>
      <c r="AT451" s="86">
        <v>1.0</v>
      </c>
      <c r="AU451" s="86">
        <v>1.0</v>
      </c>
      <c r="AZ451" s="86">
        <v>1.0</v>
      </c>
      <c r="BA451" s="86">
        <v>1.0</v>
      </c>
      <c r="BF451" s="86">
        <v>1.0</v>
      </c>
      <c r="BG451" s="86">
        <v>1.0</v>
      </c>
      <c r="BL451" s="86">
        <v>1.0</v>
      </c>
      <c r="BM451" s="86">
        <v>1.0</v>
      </c>
      <c r="BN451" s="155">
        <v>5.0</v>
      </c>
      <c r="BO451" s="155">
        <v>0.0</v>
      </c>
      <c r="BP451" s="155">
        <v>0.0</v>
      </c>
      <c r="BQ451" s="155">
        <v>0.0</v>
      </c>
      <c r="BR451" s="155">
        <v>0.0</v>
      </c>
      <c r="BS451" s="155">
        <v>0.0</v>
      </c>
      <c r="BX451" s="86">
        <v>1.0</v>
      </c>
      <c r="BY451" s="86">
        <v>1.0</v>
      </c>
      <c r="CD451" s="86">
        <v>1.0</v>
      </c>
      <c r="CP451" s="86">
        <v>1.0</v>
      </c>
      <c r="CQ451" s="86">
        <v>1.0</v>
      </c>
      <c r="CV451" s="156">
        <v>8.0</v>
      </c>
      <c r="CW451" s="156">
        <v>0.0</v>
      </c>
      <c r="CX451" s="156">
        <v>0.0</v>
      </c>
      <c r="CY451" s="156">
        <v>0.0</v>
      </c>
      <c r="CZ451" s="156">
        <v>0.0</v>
      </c>
      <c r="DA451" s="156">
        <v>0.0</v>
      </c>
      <c r="DB451" s="86">
        <v>1.0</v>
      </c>
      <c r="DC451" s="86">
        <v>1.0</v>
      </c>
      <c r="DH451" s="86">
        <v>1.0</v>
      </c>
      <c r="DI451" s="86">
        <v>1.0</v>
      </c>
      <c r="DO451" s="86">
        <v>1.0</v>
      </c>
      <c r="DT451" s="86">
        <v>1.0</v>
      </c>
      <c r="EA451" s="86">
        <v>1.0</v>
      </c>
      <c r="EF451" s="86">
        <v>1.0</v>
      </c>
      <c r="EG451" s="156">
        <v>2.0</v>
      </c>
      <c r="EH451" s="156">
        <v>0.0</v>
      </c>
      <c r="EI451" s="156">
        <v>0.0</v>
      </c>
      <c r="EJ451" s="156">
        <v>0.0</v>
      </c>
      <c r="EK451" s="156">
        <v>0.0</v>
      </c>
      <c r="EL451" s="156">
        <v>0.0</v>
      </c>
      <c r="ES451" s="86">
        <v>1.0</v>
      </c>
      <c r="FE451" s="86">
        <v>1.0</v>
      </c>
      <c r="FQ451" s="156">
        <v>0.0</v>
      </c>
      <c r="FR451" s="156">
        <v>0.0</v>
      </c>
      <c r="FS451" s="156">
        <v>0.0</v>
      </c>
      <c r="FT451" s="156">
        <v>0.0</v>
      </c>
      <c r="FU451" s="156">
        <v>0.0</v>
      </c>
      <c r="FV451" s="156">
        <v>0.0</v>
      </c>
      <c r="FW451" s="157"/>
      <c r="FX451" s="157"/>
      <c r="FY451" s="157"/>
      <c r="FZ451" s="157"/>
      <c r="GA451" s="157"/>
      <c r="GB451" s="157"/>
      <c r="GC451" s="157"/>
      <c r="GD451" s="157"/>
      <c r="GE451" s="157"/>
      <c r="GF451" s="157"/>
      <c r="GG451" s="157"/>
      <c r="GH451" s="157"/>
      <c r="GI451" s="157"/>
      <c r="GJ451" s="157"/>
      <c r="GK451" s="157"/>
      <c r="GL451" s="157"/>
      <c r="GM451" s="157"/>
      <c r="GN451" s="157"/>
      <c r="GO451" s="157"/>
      <c r="GP451" s="158"/>
      <c r="GQ451" s="157"/>
      <c r="GR451" s="157"/>
      <c r="GS451" s="157"/>
      <c r="GT451" s="157"/>
      <c r="GU451" s="157"/>
      <c r="GV451" s="157"/>
      <c r="GW451" s="157"/>
      <c r="GX451" s="157"/>
      <c r="GY451" s="157"/>
      <c r="GZ451" s="157"/>
      <c r="HA451" s="157"/>
      <c r="HB451" s="155">
        <v>0.0</v>
      </c>
      <c r="HC451" s="155">
        <v>0.0</v>
      </c>
      <c r="HD451" s="155">
        <v>0.0</v>
      </c>
      <c r="HE451" s="155">
        <v>0.0</v>
      </c>
      <c r="HF451" s="155">
        <v>0.0</v>
      </c>
      <c r="HG451" s="155">
        <v>0.0</v>
      </c>
      <c r="IL451" s="159">
        <v>0.0</v>
      </c>
      <c r="IM451" s="156">
        <v>0.0</v>
      </c>
      <c r="IN451" s="156">
        <v>0.0</v>
      </c>
      <c r="IO451" s="156">
        <v>0.0</v>
      </c>
      <c r="IP451" s="156">
        <v>0.0</v>
      </c>
      <c r="IQ451" s="160">
        <v>0.0</v>
      </c>
      <c r="JH451" s="25"/>
      <c r="JW451" s="159">
        <v>0.0</v>
      </c>
      <c r="JX451" s="156">
        <v>0.0</v>
      </c>
      <c r="JY451" s="156">
        <v>0.0</v>
      </c>
      <c r="JZ451" s="156">
        <v>0.0</v>
      </c>
      <c r="KA451" s="156">
        <v>0.0</v>
      </c>
      <c r="KB451" s="160">
        <v>0.0</v>
      </c>
      <c r="LH451" s="159">
        <f t="shared" si="10"/>
        <v>0</v>
      </c>
      <c r="LI451" s="156">
        <f t="shared" si="11"/>
        <v>0</v>
      </c>
      <c r="LJ451" s="156">
        <f t="shared" si="12"/>
        <v>0</v>
      </c>
      <c r="LK451" s="156">
        <f t="shared" si="13"/>
        <v>0</v>
      </c>
      <c r="LL451" s="156">
        <f t="shared" si="14"/>
        <v>0</v>
      </c>
      <c r="LM451" s="160">
        <f t="shared" si="15"/>
        <v>0</v>
      </c>
      <c r="QX451" s="107">
        <v>46008.0</v>
      </c>
    </row>
    <row r="452">
      <c r="A452" s="12"/>
      <c r="B452" s="12"/>
      <c r="C452" s="12"/>
      <c r="D452" s="12"/>
      <c r="E452" s="12"/>
      <c r="F452" s="12"/>
      <c r="G452" s="12"/>
      <c r="H452" s="12"/>
      <c r="I452" s="143">
        <f t="shared" si="22"/>
        <v>-27</v>
      </c>
      <c r="J452" s="144">
        <v>46029.0</v>
      </c>
      <c r="K452" s="195" t="s">
        <v>53</v>
      </c>
      <c r="L452" s="171">
        <v>46122.0</v>
      </c>
      <c r="M452" s="147" t="s">
        <v>1733</v>
      </c>
      <c r="N452" s="148">
        <v>246.0</v>
      </c>
      <c r="O452" s="148">
        <v>30.0</v>
      </c>
      <c r="P452" s="26"/>
      <c r="Q452" s="26"/>
      <c r="R452" s="26"/>
      <c r="S452" s="26"/>
      <c r="T452" s="26"/>
      <c r="U452" s="147" t="s">
        <v>3261</v>
      </c>
      <c r="V452" s="149" t="s">
        <v>2185</v>
      </c>
      <c r="W452" s="198" t="s">
        <v>3262</v>
      </c>
      <c r="X452" s="181">
        <v>0.0</v>
      </c>
      <c r="Y452" s="166">
        <f t="shared" si="23"/>
        <v>27</v>
      </c>
      <c r="Z452" s="26">
        <f t="shared" si="7"/>
        <v>0</v>
      </c>
      <c r="AA452" s="26">
        <f t="shared" si="8"/>
        <v>0</v>
      </c>
      <c r="AB452" s="26">
        <f t="shared" si="9"/>
        <v>0</v>
      </c>
      <c r="AC452" s="155">
        <v>9.0</v>
      </c>
      <c r="AD452" s="155">
        <v>0.0</v>
      </c>
      <c r="AE452" s="155">
        <v>0.0</v>
      </c>
      <c r="AF452" s="155">
        <v>0.0</v>
      </c>
      <c r="AG452" s="155">
        <v>0.0</v>
      </c>
      <c r="AH452" s="155">
        <v>0.0</v>
      </c>
      <c r="AI452" s="167"/>
      <c r="AJ452" s="167"/>
      <c r="AK452" s="167"/>
      <c r="AL452" s="167"/>
      <c r="AM452" s="167"/>
      <c r="AN452" s="167"/>
      <c r="AO452" s="167">
        <v>1.0</v>
      </c>
      <c r="AP452" s="167"/>
      <c r="AQ452" s="167"/>
      <c r="AR452" s="167"/>
      <c r="AS452" s="167"/>
      <c r="AT452" s="167">
        <v>1.0</v>
      </c>
      <c r="AU452" s="167">
        <v>0.0</v>
      </c>
      <c r="AV452" s="167">
        <v>1.0</v>
      </c>
      <c r="AW452" s="167">
        <v>0.0</v>
      </c>
      <c r="AX452" s="167">
        <v>1.0</v>
      </c>
      <c r="AY452" s="167">
        <v>0.0</v>
      </c>
      <c r="AZ452" s="167">
        <v>0.0</v>
      </c>
      <c r="BA452" s="167">
        <v>1.0</v>
      </c>
      <c r="BB452" s="167">
        <v>0.0</v>
      </c>
      <c r="BC452" s="167"/>
      <c r="BD452" s="167">
        <v>0.0</v>
      </c>
      <c r="BE452" s="167">
        <v>1.0</v>
      </c>
      <c r="BF452" s="167">
        <v>0.0</v>
      </c>
      <c r="BG452" s="167">
        <v>0.0</v>
      </c>
      <c r="BH452" s="167">
        <v>1.0</v>
      </c>
      <c r="BI452" s="167">
        <v>0.0</v>
      </c>
      <c r="BJ452" s="167">
        <v>1.0</v>
      </c>
      <c r="BK452" s="167">
        <v>0.0</v>
      </c>
      <c r="BL452" s="167">
        <v>1.0</v>
      </c>
      <c r="BM452" s="167">
        <v>0.0</v>
      </c>
      <c r="BN452" s="155">
        <v>7.0</v>
      </c>
      <c r="BO452" s="155">
        <v>0.0</v>
      </c>
      <c r="BP452" s="155">
        <v>0.0</v>
      </c>
      <c r="BQ452" s="155">
        <v>0.0</v>
      </c>
      <c r="BR452" s="155">
        <v>0.0</v>
      </c>
      <c r="BS452" s="155">
        <v>0.0</v>
      </c>
      <c r="BT452" s="167">
        <v>0.0</v>
      </c>
      <c r="BU452" s="167">
        <v>1.0</v>
      </c>
      <c r="BV452" s="167">
        <v>0.0</v>
      </c>
      <c r="BW452" s="167"/>
      <c r="BX452" s="167">
        <v>0.0</v>
      </c>
      <c r="BY452" s="167">
        <v>1.0</v>
      </c>
      <c r="BZ452" s="167">
        <v>0.0</v>
      </c>
      <c r="CA452" s="167">
        <v>0.0</v>
      </c>
      <c r="CB452" s="167">
        <v>1.0</v>
      </c>
      <c r="CC452" s="167">
        <v>0.0</v>
      </c>
      <c r="CD452" s="167">
        <v>1.0</v>
      </c>
      <c r="CE452" s="167"/>
      <c r="CF452" s="167"/>
      <c r="CG452" s="167"/>
      <c r="CH452" s="167"/>
      <c r="CI452" s="167"/>
      <c r="CJ452" s="167"/>
      <c r="CK452" s="167"/>
      <c r="CL452" s="167"/>
      <c r="CM452" s="167"/>
      <c r="CN452" s="167"/>
      <c r="CO452" s="167"/>
      <c r="CP452" s="167">
        <v>1.0</v>
      </c>
      <c r="CQ452" s="167">
        <v>0.0</v>
      </c>
      <c r="CR452" s="167">
        <v>1.0</v>
      </c>
      <c r="CS452" s="167">
        <v>0.0</v>
      </c>
      <c r="CT452" s="167">
        <v>1.0</v>
      </c>
      <c r="CU452" s="167">
        <v>0.0</v>
      </c>
      <c r="CV452" s="156">
        <v>9.0</v>
      </c>
      <c r="CW452" s="156">
        <v>0.0</v>
      </c>
      <c r="CX452" s="156">
        <v>0.0</v>
      </c>
      <c r="CY452" s="156">
        <v>0.0</v>
      </c>
      <c r="CZ452" s="156">
        <v>0.0</v>
      </c>
      <c r="DA452" s="156">
        <v>0.0</v>
      </c>
      <c r="DB452" s="174">
        <v>0.0</v>
      </c>
      <c r="DC452" s="174">
        <v>1.0</v>
      </c>
      <c r="DD452" s="174"/>
      <c r="DE452" s="174"/>
      <c r="DF452" s="174"/>
      <c r="DG452" s="174"/>
      <c r="DH452" s="174"/>
      <c r="DI452" s="174"/>
      <c r="DJ452" s="174">
        <v>1.0</v>
      </c>
      <c r="DK452" s="174">
        <v>0.0</v>
      </c>
      <c r="DL452" s="174">
        <v>1.0</v>
      </c>
      <c r="DM452" s="174">
        <v>0.0</v>
      </c>
      <c r="DN452" s="174">
        <v>1.0</v>
      </c>
      <c r="DO452" s="174">
        <v>0.0</v>
      </c>
      <c r="DP452" s="174">
        <v>0.0</v>
      </c>
      <c r="DQ452" s="174">
        <v>1.0</v>
      </c>
      <c r="DR452" s="174">
        <v>0.0</v>
      </c>
      <c r="DS452" s="174">
        <v>1.0</v>
      </c>
      <c r="DT452" s="174">
        <v>0.0</v>
      </c>
      <c r="DU452" s="174">
        <v>1.0</v>
      </c>
      <c r="DV452" s="174">
        <v>0.0</v>
      </c>
      <c r="DW452" s="174">
        <v>0.0</v>
      </c>
      <c r="DX452" s="174">
        <v>1.0</v>
      </c>
      <c r="DY452" s="174"/>
      <c r="DZ452" s="174"/>
      <c r="EA452" s="174"/>
      <c r="EB452" s="174"/>
      <c r="EC452" s="174"/>
      <c r="ED452" s="174"/>
      <c r="EE452" s="174">
        <v>1.0</v>
      </c>
      <c r="EF452" s="174">
        <v>0.0</v>
      </c>
      <c r="EG452" s="156">
        <v>2.0</v>
      </c>
      <c r="EH452" s="156">
        <v>0.0</v>
      </c>
      <c r="EI452" s="156">
        <v>0.0</v>
      </c>
      <c r="EJ452" s="156">
        <v>0.0</v>
      </c>
      <c r="EK452" s="156">
        <v>0.0</v>
      </c>
      <c r="EL452" s="156">
        <v>0.0</v>
      </c>
      <c r="EM452" s="174">
        <v>1.0</v>
      </c>
      <c r="EN452" s="174">
        <v>0.0</v>
      </c>
      <c r="EO452" s="174">
        <v>1.0</v>
      </c>
      <c r="EP452" s="174"/>
      <c r="EQ452" s="174"/>
      <c r="ER452" s="174"/>
      <c r="ES452" s="174"/>
      <c r="ET452" s="174"/>
      <c r="EU452" s="174"/>
      <c r="EV452" s="174"/>
      <c r="EW452" s="174"/>
      <c r="EX452" s="174"/>
      <c r="EY452" s="174"/>
      <c r="EZ452" s="174"/>
      <c r="FA452" s="174"/>
      <c r="FB452" s="174"/>
      <c r="FC452" s="174"/>
      <c r="FD452" s="174"/>
      <c r="FE452" s="174"/>
      <c r="FF452" s="174"/>
      <c r="FG452" s="174"/>
      <c r="FH452" s="174"/>
      <c r="FI452" s="174"/>
      <c r="FJ452" s="174"/>
      <c r="FK452" s="174"/>
      <c r="FL452" s="174"/>
      <c r="FM452" s="174"/>
      <c r="FN452" s="174"/>
      <c r="FO452" s="174"/>
      <c r="FP452" s="174"/>
      <c r="FQ452" s="156">
        <v>0.0</v>
      </c>
      <c r="FR452" s="156">
        <v>0.0</v>
      </c>
      <c r="FS452" s="156">
        <v>0.0</v>
      </c>
      <c r="FT452" s="156">
        <v>0.0</v>
      </c>
      <c r="FU452" s="156">
        <v>0.0</v>
      </c>
      <c r="FV452" s="156">
        <v>0.0</v>
      </c>
      <c r="FW452" s="157"/>
      <c r="FX452" s="157"/>
      <c r="FY452" s="157"/>
      <c r="FZ452" s="157"/>
      <c r="GA452" s="157"/>
      <c r="GB452" s="157"/>
      <c r="GC452" s="157"/>
      <c r="GD452" s="157"/>
      <c r="GE452" s="157"/>
      <c r="GF452" s="157"/>
      <c r="GG452" s="157"/>
      <c r="GH452" s="157"/>
      <c r="GI452" s="157"/>
      <c r="GJ452" s="157"/>
      <c r="GK452" s="157"/>
      <c r="GL452" s="157"/>
      <c r="GM452" s="157"/>
      <c r="GN452" s="157"/>
      <c r="GO452" s="157"/>
      <c r="GP452" s="158"/>
      <c r="GQ452" s="157"/>
      <c r="GR452" s="157"/>
      <c r="GS452" s="157"/>
      <c r="GT452" s="157"/>
      <c r="GU452" s="157"/>
      <c r="GV452" s="157"/>
      <c r="GW452" s="157"/>
      <c r="GX452" s="157"/>
      <c r="GY452" s="157"/>
      <c r="GZ452" s="157"/>
      <c r="HA452" s="157"/>
      <c r="HB452" s="155">
        <v>0.0</v>
      </c>
      <c r="HC452" s="155">
        <v>0.0</v>
      </c>
      <c r="HD452" s="155">
        <v>0.0</v>
      </c>
      <c r="HE452" s="155">
        <v>0.0</v>
      </c>
      <c r="HF452" s="155">
        <v>0.0</v>
      </c>
      <c r="HG452" s="155">
        <v>0.0</v>
      </c>
      <c r="IL452" s="159">
        <v>0.0</v>
      </c>
      <c r="IM452" s="156">
        <v>0.0</v>
      </c>
      <c r="IN452" s="156">
        <v>0.0</v>
      </c>
      <c r="IO452" s="156">
        <v>0.0</v>
      </c>
      <c r="IP452" s="156">
        <v>0.0</v>
      </c>
      <c r="IQ452" s="160">
        <v>0.0</v>
      </c>
      <c r="JH452" s="25"/>
      <c r="JW452" s="159">
        <v>0.0</v>
      </c>
      <c r="JX452" s="156">
        <v>0.0</v>
      </c>
      <c r="JY452" s="156">
        <v>0.0</v>
      </c>
      <c r="JZ452" s="156">
        <v>0.0</v>
      </c>
      <c r="KA452" s="156">
        <v>0.0</v>
      </c>
      <c r="KB452" s="160">
        <v>0.0</v>
      </c>
      <c r="LH452" s="159">
        <f t="shared" si="10"/>
        <v>0</v>
      </c>
      <c r="LI452" s="156">
        <f t="shared" si="11"/>
        <v>0</v>
      </c>
      <c r="LJ452" s="156">
        <f t="shared" si="12"/>
        <v>0</v>
      </c>
      <c r="LK452" s="156">
        <f t="shared" si="13"/>
        <v>0</v>
      </c>
      <c r="LL452" s="156">
        <f t="shared" si="14"/>
        <v>0</v>
      </c>
      <c r="LM452" s="160">
        <f t="shared" si="15"/>
        <v>0</v>
      </c>
      <c r="QX452" s="107">
        <v>46008.0</v>
      </c>
    </row>
    <row r="453">
      <c r="A453" s="12"/>
      <c r="B453" s="12"/>
      <c r="C453" s="12"/>
      <c r="D453" s="12"/>
      <c r="E453" s="12"/>
      <c r="F453" s="12"/>
      <c r="G453" s="12"/>
      <c r="H453" s="12"/>
      <c r="I453" s="143">
        <f t="shared" si="22"/>
        <v>-25</v>
      </c>
      <c r="J453" s="144">
        <v>46008.0</v>
      </c>
      <c r="K453" s="195" t="s">
        <v>48</v>
      </c>
      <c r="L453" s="171">
        <v>46091.0</v>
      </c>
      <c r="M453" s="147" t="s">
        <v>3263</v>
      </c>
      <c r="N453" s="147" t="s">
        <v>424</v>
      </c>
      <c r="O453" s="148">
        <v>30.0</v>
      </c>
      <c r="P453" s="26"/>
      <c r="Q453" s="26"/>
      <c r="R453" s="26"/>
      <c r="S453" s="26"/>
      <c r="T453" s="26"/>
      <c r="U453" s="147" t="s">
        <v>3264</v>
      </c>
      <c r="V453" s="149" t="s">
        <v>3206</v>
      </c>
      <c r="W453" s="248" t="s">
        <v>3265</v>
      </c>
      <c r="X453" s="181">
        <v>3.0</v>
      </c>
      <c r="Y453" s="166">
        <f t="shared" si="23"/>
        <v>25</v>
      </c>
      <c r="Z453" s="26">
        <f t="shared" si="7"/>
        <v>0</v>
      </c>
      <c r="AA453" s="26">
        <f t="shared" si="8"/>
        <v>0</v>
      </c>
      <c r="AB453" s="26">
        <f t="shared" si="9"/>
        <v>0</v>
      </c>
      <c r="AC453" s="155">
        <v>2.0</v>
      </c>
      <c r="AD453" s="155">
        <v>0.0</v>
      </c>
      <c r="AE453" s="155">
        <v>0.0</v>
      </c>
      <c r="AF453" s="155">
        <v>0.0</v>
      </c>
      <c r="AG453" s="155">
        <v>0.0</v>
      </c>
      <c r="AH453" s="155">
        <v>0.0</v>
      </c>
      <c r="AS453" s="86">
        <v>1.0</v>
      </c>
      <c r="AW453" s="86">
        <v>1.0</v>
      </c>
      <c r="BN453" s="155">
        <v>0.0</v>
      </c>
      <c r="BO453" s="155">
        <v>0.0</v>
      </c>
      <c r="BP453" s="155">
        <v>0.0</v>
      </c>
      <c r="BQ453" s="155">
        <v>0.0</v>
      </c>
      <c r="BR453" s="155">
        <v>0.0</v>
      </c>
      <c r="BS453" s="155">
        <v>0.0</v>
      </c>
      <c r="CV453" s="156">
        <v>0.0</v>
      </c>
      <c r="CW453" s="156">
        <v>0.0</v>
      </c>
      <c r="CX453" s="156">
        <v>0.0</v>
      </c>
      <c r="CY453" s="156">
        <v>0.0</v>
      </c>
      <c r="CZ453" s="156">
        <v>0.0</v>
      </c>
      <c r="DA453" s="156">
        <v>0.0</v>
      </c>
      <c r="EG453" s="156">
        <v>0.0</v>
      </c>
      <c r="EH453" s="156">
        <v>0.0</v>
      </c>
      <c r="EI453" s="156">
        <v>0.0</v>
      </c>
      <c r="EJ453" s="156">
        <v>0.0</v>
      </c>
      <c r="EK453" s="156">
        <v>0.0</v>
      </c>
      <c r="EL453" s="156">
        <v>0.0</v>
      </c>
      <c r="FQ453" s="156">
        <v>7.0</v>
      </c>
      <c r="FR453" s="156">
        <v>0.0</v>
      </c>
      <c r="FS453" s="156">
        <v>0.0</v>
      </c>
      <c r="FT453" s="156">
        <v>0.0</v>
      </c>
      <c r="FU453" s="156">
        <v>0.0</v>
      </c>
      <c r="FV453" s="156">
        <v>0.0</v>
      </c>
      <c r="FW453" s="157"/>
      <c r="FX453" s="157"/>
      <c r="FY453" s="157"/>
      <c r="FZ453" s="157"/>
      <c r="GA453" s="157"/>
      <c r="GB453" s="157"/>
      <c r="GC453" s="157"/>
      <c r="GD453" s="157"/>
      <c r="GE453" s="157"/>
      <c r="GF453" s="157"/>
      <c r="GG453" s="157"/>
      <c r="GH453" s="157"/>
      <c r="GI453" s="188">
        <v>1.0</v>
      </c>
      <c r="GJ453" s="157"/>
      <c r="GK453" s="157"/>
      <c r="GL453" s="157"/>
      <c r="GM453" s="157"/>
      <c r="GN453" s="188">
        <v>1.0</v>
      </c>
      <c r="GO453" s="157"/>
      <c r="GP453" s="381">
        <v>1.0</v>
      </c>
      <c r="GQ453" s="188"/>
      <c r="GR453" s="157"/>
      <c r="GS453" s="188">
        <v>1.0</v>
      </c>
      <c r="GT453" s="157"/>
      <c r="GU453" s="188">
        <v>1.0</v>
      </c>
      <c r="GV453" s="157"/>
      <c r="GW453" s="188">
        <v>1.0</v>
      </c>
      <c r="GX453" s="157"/>
      <c r="GY453" s="188">
        <v>1.0</v>
      </c>
      <c r="GZ453" s="157"/>
      <c r="HA453" s="157"/>
      <c r="HB453" s="155">
        <v>12.0</v>
      </c>
      <c r="HC453" s="155">
        <v>0.0</v>
      </c>
      <c r="HD453" s="155">
        <v>0.0</v>
      </c>
      <c r="HE453" s="155">
        <v>0.0</v>
      </c>
      <c r="HF453" s="155">
        <v>0.0</v>
      </c>
      <c r="HG453" s="155">
        <v>0.0</v>
      </c>
      <c r="HH453" s="86">
        <v>1.0</v>
      </c>
      <c r="HO453" s="86">
        <v>1.0</v>
      </c>
      <c r="HQ453" s="86">
        <v>1.0</v>
      </c>
      <c r="HU453" s="86">
        <v>1.0</v>
      </c>
      <c r="HV453" s="86">
        <v>1.0</v>
      </c>
      <c r="HW453" s="86">
        <v>1.0</v>
      </c>
      <c r="HX453" s="86">
        <v>1.0</v>
      </c>
      <c r="HZ453" s="86">
        <v>1.0</v>
      </c>
      <c r="ID453" s="86">
        <v>1.0</v>
      </c>
      <c r="IE453" s="86">
        <v>1.0</v>
      </c>
      <c r="IJ453" s="86">
        <v>1.0</v>
      </c>
      <c r="IK453" s="86">
        <v>1.0</v>
      </c>
      <c r="IL453" s="159">
        <v>1.0</v>
      </c>
      <c r="IM453" s="156">
        <v>0.0</v>
      </c>
      <c r="IN453" s="156">
        <v>0.0</v>
      </c>
      <c r="IO453" s="156">
        <v>0.0</v>
      </c>
      <c r="IP453" s="156">
        <v>0.0</v>
      </c>
      <c r="IQ453" s="160">
        <v>0.0</v>
      </c>
      <c r="IT453" s="86">
        <v>1.0</v>
      </c>
      <c r="JH453" s="25"/>
      <c r="JW453" s="159">
        <v>0.0</v>
      </c>
      <c r="JX453" s="156">
        <v>0.0</v>
      </c>
      <c r="JY453" s="156">
        <v>0.0</v>
      </c>
      <c r="JZ453" s="156">
        <v>0.0</v>
      </c>
      <c r="KA453" s="156">
        <v>0.0</v>
      </c>
      <c r="KB453" s="160">
        <v>0.0</v>
      </c>
      <c r="KS453" s="178"/>
      <c r="LH453" s="159">
        <f t="shared" si="10"/>
        <v>0</v>
      </c>
      <c r="LI453" s="156">
        <f t="shared" si="11"/>
        <v>0</v>
      </c>
      <c r="LJ453" s="156">
        <f t="shared" si="12"/>
        <v>0</v>
      </c>
      <c r="LK453" s="156">
        <f t="shared" si="13"/>
        <v>0</v>
      </c>
      <c r="LL453" s="156">
        <f t="shared" si="14"/>
        <v>0</v>
      </c>
      <c r="LM453" s="160">
        <f t="shared" si="15"/>
        <v>0</v>
      </c>
      <c r="QX453" s="107">
        <v>46009.0</v>
      </c>
    </row>
    <row r="454">
      <c r="A454" s="12"/>
      <c r="B454" s="12"/>
      <c r="C454" s="12"/>
      <c r="D454" s="12"/>
      <c r="E454" s="12"/>
      <c r="F454" s="12"/>
      <c r="G454" s="12"/>
      <c r="H454" s="12"/>
      <c r="I454" s="143">
        <f t="shared" si="22"/>
        <v>-30</v>
      </c>
      <c r="J454" s="144">
        <v>46014.0</v>
      </c>
      <c r="K454" s="195" t="s">
        <v>61</v>
      </c>
      <c r="L454" s="171">
        <v>46059.0</v>
      </c>
      <c r="M454" s="147" t="s">
        <v>228</v>
      </c>
      <c r="N454" s="148">
        <v>357.0</v>
      </c>
      <c r="O454" s="148">
        <v>30.0</v>
      </c>
      <c r="P454" s="26"/>
      <c r="Q454" s="26"/>
      <c r="R454" s="26"/>
      <c r="S454" s="26"/>
      <c r="T454" s="26"/>
      <c r="U454" s="147" t="s">
        <v>1172</v>
      </c>
      <c r="V454" s="165" t="s">
        <v>3206</v>
      </c>
      <c r="W454" s="198" t="s">
        <v>3266</v>
      </c>
      <c r="X454" s="181">
        <v>2.0</v>
      </c>
      <c r="Y454" s="166">
        <f t="shared" si="23"/>
        <v>30</v>
      </c>
      <c r="Z454" s="26">
        <f t="shared" si="7"/>
        <v>0</v>
      </c>
      <c r="AA454" s="26">
        <f t="shared" si="8"/>
        <v>0</v>
      </c>
      <c r="AB454" s="26">
        <f t="shared" si="9"/>
        <v>0</v>
      </c>
      <c r="AC454" s="155">
        <v>8.0</v>
      </c>
      <c r="AD454" s="155">
        <v>0.0</v>
      </c>
      <c r="AE454" s="155">
        <v>0.0</v>
      </c>
      <c r="AF454" s="155">
        <v>0.0</v>
      </c>
      <c r="AG454" s="155">
        <v>0.0</v>
      </c>
      <c r="AH454" s="155">
        <v>0.0</v>
      </c>
      <c r="AI454" s="167"/>
      <c r="AJ454" s="167"/>
      <c r="AK454" s="167"/>
      <c r="AL454" s="167"/>
      <c r="AM454" s="167"/>
      <c r="AN454" s="167"/>
      <c r="AO454" s="167"/>
      <c r="AP454" s="167"/>
      <c r="AQ454" s="167"/>
      <c r="AR454" s="167"/>
      <c r="AS454" s="167"/>
      <c r="AT454" s="167"/>
      <c r="AU454" s="167">
        <v>1.0</v>
      </c>
      <c r="AV454" s="167">
        <v>0.0</v>
      </c>
      <c r="AW454" s="167">
        <v>1.0</v>
      </c>
      <c r="AX454" s="167"/>
      <c r="AY454" s="167"/>
      <c r="AZ454" s="167"/>
      <c r="BA454" s="167"/>
      <c r="BB454" s="167">
        <v>1.0</v>
      </c>
      <c r="BC454" s="167">
        <v>0.0</v>
      </c>
      <c r="BD454" s="167">
        <v>1.0</v>
      </c>
      <c r="BE454" s="167">
        <v>0.0</v>
      </c>
      <c r="BF454" s="167">
        <v>1.0</v>
      </c>
      <c r="BG454" s="167">
        <v>0.0</v>
      </c>
      <c r="BH454" s="167">
        <v>0.0</v>
      </c>
      <c r="BI454" s="167">
        <v>1.0</v>
      </c>
      <c r="BJ454" s="167">
        <v>0.0</v>
      </c>
      <c r="BK454" s="167">
        <v>1.0</v>
      </c>
      <c r="BL454" s="167">
        <v>0.0</v>
      </c>
      <c r="BM454" s="167">
        <v>1.0</v>
      </c>
      <c r="BN454" s="155">
        <v>9.0</v>
      </c>
      <c r="BO454" s="155">
        <v>0.0</v>
      </c>
      <c r="BP454" s="155">
        <v>0.0</v>
      </c>
      <c r="BQ454" s="155">
        <v>0.0</v>
      </c>
      <c r="BR454" s="155">
        <v>0.0</v>
      </c>
      <c r="BS454" s="155">
        <v>0.0</v>
      </c>
      <c r="BT454" s="167">
        <v>0.0</v>
      </c>
      <c r="BU454" s="167">
        <v>0.0</v>
      </c>
      <c r="BV454" s="167">
        <v>1.0</v>
      </c>
      <c r="BW454" s="167">
        <v>0.0</v>
      </c>
      <c r="BX454" s="167">
        <v>1.0</v>
      </c>
      <c r="BY454" s="167">
        <v>0.0</v>
      </c>
      <c r="BZ454" s="167">
        <v>1.0</v>
      </c>
      <c r="CA454" s="167">
        <v>0.0</v>
      </c>
      <c r="CB454" s="167">
        <v>0.0</v>
      </c>
      <c r="CC454" s="167">
        <v>1.0</v>
      </c>
      <c r="CD454" s="167">
        <v>0.0</v>
      </c>
      <c r="CE454" s="167">
        <v>1.0</v>
      </c>
      <c r="CF454" s="167">
        <v>0.0</v>
      </c>
      <c r="CG454" s="168">
        <v>1.0</v>
      </c>
      <c r="CH454" s="167">
        <v>0.0</v>
      </c>
      <c r="CI454" s="167">
        <v>0.0</v>
      </c>
      <c r="CJ454" s="167"/>
      <c r="CK454" s="167"/>
      <c r="CL454" s="167"/>
      <c r="CM454" s="167"/>
      <c r="CN454" s="167"/>
      <c r="CO454" s="167"/>
      <c r="CP454" s="167"/>
      <c r="CQ454" s="167">
        <v>1.0</v>
      </c>
      <c r="CR454" s="167">
        <v>0.0</v>
      </c>
      <c r="CS454" s="167">
        <v>1.0</v>
      </c>
      <c r="CT454" s="167">
        <v>0.0</v>
      </c>
      <c r="CU454" s="167">
        <v>1.0</v>
      </c>
      <c r="CV454" s="156">
        <v>10.0</v>
      </c>
      <c r="CW454" s="156">
        <v>0.0</v>
      </c>
      <c r="CX454" s="156">
        <v>0.0</v>
      </c>
      <c r="CY454" s="156">
        <v>0.0</v>
      </c>
      <c r="CZ454" s="156">
        <v>0.0</v>
      </c>
      <c r="DA454" s="156">
        <v>0.0</v>
      </c>
      <c r="DB454" s="395"/>
      <c r="DC454" s="395"/>
      <c r="DD454" s="395"/>
      <c r="DE454" s="395"/>
      <c r="DF454" s="395">
        <v>1.0</v>
      </c>
      <c r="DG454" s="395">
        <v>0.0</v>
      </c>
      <c r="DH454" s="395">
        <v>1.0</v>
      </c>
      <c r="DI454" s="395">
        <v>0.0</v>
      </c>
      <c r="DJ454" s="395">
        <v>0.0</v>
      </c>
      <c r="DK454" s="395">
        <v>1.0</v>
      </c>
      <c r="DL454" s="395">
        <v>0.0</v>
      </c>
      <c r="DM454" s="395">
        <v>1.0</v>
      </c>
      <c r="DN454" s="395">
        <v>0.0</v>
      </c>
      <c r="DO454" s="395">
        <v>1.0</v>
      </c>
      <c r="DP454" s="395">
        <v>0.0</v>
      </c>
      <c r="DQ454" s="395">
        <v>0.0</v>
      </c>
      <c r="DR454" s="395">
        <v>1.0</v>
      </c>
      <c r="DS454" s="395">
        <v>0.0</v>
      </c>
      <c r="DT454" s="395">
        <v>1.0</v>
      </c>
      <c r="DU454" s="395">
        <v>0.0</v>
      </c>
      <c r="DV454" s="395"/>
      <c r="DW454" s="395">
        <v>0.0</v>
      </c>
      <c r="DX454" s="395">
        <v>0.0</v>
      </c>
      <c r="DY454" s="395">
        <v>1.0</v>
      </c>
      <c r="DZ454" s="395">
        <v>0.0</v>
      </c>
      <c r="EA454" s="395">
        <v>1.0</v>
      </c>
      <c r="EB454" s="395">
        <v>0.0</v>
      </c>
      <c r="EC454" s="395"/>
      <c r="ED454" s="395">
        <v>0.0</v>
      </c>
      <c r="EE454" s="395">
        <v>0.0</v>
      </c>
      <c r="EF454" s="395">
        <v>1.0</v>
      </c>
      <c r="EG454" s="156">
        <v>1.0</v>
      </c>
      <c r="EH454" s="156">
        <v>0.0</v>
      </c>
      <c r="EI454" s="156">
        <v>0.0</v>
      </c>
      <c r="EJ454" s="156">
        <v>0.0</v>
      </c>
      <c r="EK454" s="156">
        <v>0.0</v>
      </c>
      <c r="EL454" s="156">
        <v>0.0</v>
      </c>
      <c r="EM454" s="395"/>
      <c r="EN454" s="395"/>
      <c r="EO454" s="395"/>
      <c r="EP454" s="395"/>
      <c r="EQ454" s="395"/>
      <c r="ER454" s="395"/>
      <c r="ES454" s="395">
        <v>1.0</v>
      </c>
      <c r="ET454" s="395"/>
      <c r="EU454" s="395"/>
      <c r="EV454" s="395"/>
      <c r="EW454" s="395"/>
      <c r="EX454" s="395"/>
      <c r="EY454" s="395"/>
      <c r="EZ454" s="395"/>
      <c r="FA454" s="395"/>
      <c r="FB454" s="395"/>
      <c r="FC454" s="395"/>
      <c r="FD454" s="395"/>
      <c r="FE454" s="395"/>
      <c r="FF454" s="395"/>
      <c r="FG454" s="395"/>
      <c r="FH454" s="395"/>
      <c r="FI454" s="395"/>
      <c r="FJ454" s="395"/>
      <c r="FK454" s="395"/>
      <c r="FL454" s="395"/>
      <c r="FM454" s="395"/>
      <c r="FN454" s="395"/>
      <c r="FO454" s="395"/>
      <c r="FP454" s="395"/>
      <c r="FQ454" s="156">
        <v>0.0</v>
      </c>
      <c r="FR454" s="156">
        <v>0.0</v>
      </c>
      <c r="FS454" s="156">
        <v>0.0</v>
      </c>
      <c r="FT454" s="156">
        <v>0.0</v>
      </c>
      <c r="FU454" s="156">
        <v>0.0</v>
      </c>
      <c r="FV454" s="156">
        <v>0.0</v>
      </c>
      <c r="FW454" s="157"/>
      <c r="FX454" s="157"/>
      <c r="FY454" s="157"/>
      <c r="FZ454" s="157"/>
      <c r="GA454" s="157"/>
      <c r="GB454" s="157"/>
      <c r="GC454" s="157"/>
      <c r="GD454" s="157"/>
      <c r="GE454" s="157"/>
      <c r="GF454" s="157"/>
      <c r="GG454" s="157"/>
      <c r="GH454" s="157"/>
      <c r="GI454" s="157"/>
      <c r="GJ454" s="157"/>
      <c r="GK454" s="157"/>
      <c r="GL454" s="157"/>
      <c r="GM454" s="157"/>
      <c r="GN454" s="157"/>
      <c r="GO454" s="157"/>
      <c r="GP454" s="158"/>
      <c r="GQ454" s="157"/>
      <c r="GR454" s="157"/>
      <c r="GS454" s="157"/>
      <c r="GT454" s="157"/>
      <c r="GU454" s="157"/>
      <c r="GV454" s="157"/>
      <c r="GW454" s="157"/>
      <c r="GX454" s="157"/>
      <c r="GY454" s="157"/>
      <c r="GZ454" s="157"/>
      <c r="HA454" s="157"/>
      <c r="HB454" s="155">
        <v>0.0</v>
      </c>
      <c r="HC454" s="155">
        <v>0.0</v>
      </c>
      <c r="HD454" s="155">
        <v>0.0</v>
      </c>
      <c r="HE454" s="155">
        <v>0.0</v>
      </c>
      <c r="HF454" s="155">
        <v>0.0</v>
      </c>
      <c r="HG454" s="155">
        <v>0.0</v>
      </c>
      <c r="IL454" s="159">
        <v>0.0</v>
      </c>
      <c r="IM454" s="156">
        <v>0.0</v>
      </c>
      <c r="IN454" s="156">
        <v>0.0</v>
      </c>
      <c r="IO454" s="156">
        <v>0.0</v>
      </c>
      <c r="IP454" s="156">
        <v>0.0</v>
      </c>
      <c r="IQ454" s="160">
        <v>0.0</v>
      </c>
      <c r="JH454" s="25"/>
      <c r="JW454" s="159">
        <v>0.0</v>
      </c>
      <c r="JX454" s="156">
        <v>0.0</v>
      </c>
      <c r="JY454" s="156">
        <v>0.0</v>
      </c>
      <c r="JZ454" s="156">
        <v>0.0</v>
      </c>
      <c r="KA454" s="156">
        <v>0.0</v>
      </c>
      <c r="KB454" s="160">
        <v>0.0</v>
      </c>
      <c r="LH454" s="159">
        <f t="shared" si="10"/>
        <v>0</v>
      </c>
      <c r="LI454" s="156">
        <f t="shared" si="11"/>
        <v>0</v>
      </c>
      <c r="LJ454" s="156">
        <f t="shared" si="12"/>
        <v>0</v>
      </c>
      <c r="LK454" s="156">
        <f t="shared" si="13"/>
        <v>0</v>
      </c>
      <c r="LL454" s="156">
        <f t="shared" si="14"/>
        <v>0</v>
      </c>
      <c r="LM454" s="160">
        <f t="shared" si="15"/>
        <v>0</v>
      </c>
      <c r="QX454" s="107">
        <v>46009.0</v>
      </c>
    </row>
    <row r="455">
      <c r="A455" s="58"/>
      <c r="B455" s="58"/>
      <c r="C455" s="12"/>
      <c r="D455" s="12"/>
      <c r="E455" s="12"/>
      <c r="F455" s="12"/>
      <c r="G455" s="12"/>
      <c r="H455" s="12"/>
      <c r="I455" s="143">
        <f t="shared" si="22"/>
        <v>-18</v>
      </c>
      <c r="J455" s="144">
        <v>46010.0</v>
      </c>
      <c r="K455" s="145" t="s">
        <v>53</v>
      </c>
      <c r="L455" s="171">
        <v>46048.0</v>
      </c>
      <c r="M455" s="164" t="s">
        <v>1157</v>
      </c>
      <c r="N455" s="170">
        <v>357.0</v>
      </c>
      <c r="O455" s="148">
        <v>30.0</v>
      </c>
      <c r="P455" s="26"/>
      <c r="Q455" s="26"/>
      <c r="R455" s="26"/>
      <c r="S455" s="26"/>
      <c r="T455" s="26"/>
      <c r="U455" s="147" t="s">
        <v>3149</v>
      </c>
      <c r="V455" s="149" t="s">
        <v>1553</v>
      </c>
      <c r="W455" s="248" t="s">
        <v>3267</v>
      </c>
      <c r="X455" s="181">
        <v>4.0</v>
      </c>
      <c r="Y455" s="166">
        <f t="shared" si="23"/>
        <v>18</v>
      </c>
      <c r="Z455" s="26">
        <f t="shared" si="7"/>
        <v>0</v>
      </c>
      <c r="AA455" s="26">
        <f t="shared" si="8"/>
        <v>0</v>
      </c>
      <c r="AB455" s="26">
        <f t="shared" si="9"/>
        <v>0</v>
      </c>
      <c r="AC455" s="155">
        <v>10.0</v>
      </c>
      <c r="AD455" s="155">
        <v>0.0</v>
      </c>
      <c r="AE455" s="155">
        <v>0.0</v>
      </c>
      <c r="AF455" s="155">
        <v>0.0</v>
      </c>
      <c r="AG455" s="155">
        <v>0.0</v>
      </c>
      <c r="AH455" s="155">
        <v>0.0</v>
      </c>
      <c r="AI455" s="167"/>
      <c r="AJ455" s="167"/>
      <c r="AK455" s="167"/>
      <c r="AL455" s="167"/>
      <c r="AM455" s="167">
        <v>1.0</v>
      </c>
      <c r="AN455" s="167">
        <v>0.0</v>
      </c>
      <c r="AO455" s="167">
        <v>1.0</v>
      </c>
      <c r="AP455" s="167">
        <v>0.0</v>
      </c>
      <c r="AQ455" s="167">
        <v>1.0</v>
      </c>
      <c r="AR455" s="167">
        <v>0.0</v>
      </c>
      <c r="AS455" s="167">
        <v>0.0</v>
      </c>
      <c r="AT455" s="167">
        <v>1.0</v>
      </c>
      <c r="AU455" s="167">
        <v>0.0</v>
      </c>
      <c r="AV455" s="167">
        <v>1.0</v>
      </c>
      <c r="AW455" s="167">
        <v>0.0</v>
      </c>
      <c r="AX455" s="167">
        <v>1.0</v>
      </c>
      <c r="AY455" s="167">
        <v>0.0</v>
      </c>
      <c r="AZ455" s="167">
        <v>0.0</v>
      </c>
      <c r="BA455" s="167">
        <v>1.0</v>
      </c>
      <c r="BB455" s="167">
        <v>0.0</v>
      </c>
      <c r="BC455" s="167">
        <v>1.0</v>
      </c>
      <c r="BD455" s="167"/>
      <c r="BE455" s="167"/>
      <c r="BF455" s="167"/>
      <c r="BG455" s="168">
        <v>1.0</v>
      </c>
      <c r="BH455" s="167"/>
      <c r="BI455" s="168">
        <v>1.0</v>
      </c>
      <c r="BJ455" s="167"/>
      <c r="BK455" s="167"/>
      <c r="BL455" s="167"/>
      <c r="BM455" s="167"/>
      <c r="BN455" s="155">
        <v>4.0</v>
      </c>
      <c r="BO455" s="155">
        <v>0.0</v>
      </c>
      <c r="BP455" s="155">
        <v>0.0</v>
      </c>
      <c r="BQ455" s="155">
        <v>0.0</v>
      </c>
      <c r="BR455" s="155">
        <v>0.0</v>
      </c>
      <c r="BS455" s="155">
        <v>0.0</v>
      </c>
      <c r="BT455" s="168">
        <v>1.0</v>
      </c>
      <c r="BU455" s="167"/>
      <c r="BV455" s="168">
        <v>1.0</v>
      </c>
      <c r="BW455" s="167"/>
      <c r="BX455" s="168">
        <v>1.0</v>
      </c>
      <c r="BY455" s="167"/>
      <c r="BZ455" s="167"/>
      <c r="CA455" s="167"/>
      <c r="CB455" s="167"/>
      <c r="CC455" s="168">
        <v>1.0</v>
      </c>
      <c r="CD455" s="167"/>
      <c r="CE455" s="167"/>
      <c r="CF455" s="167"/>
      <c r="CG455" s="167"/>
      <c r="CH455" s="167"/>
      <c r="CI455" s="167"/>
      <c r="CJ455" s="167"/>
      <c r="CK455" s="167"/>
      <c r="CL455" s="167"/>
      <c r="CM455" s="167"/>
      <c r="CN455" s="167"/>
      <c r="CO455" s="167"/>
      <c r="CP455" s="167"/>
      <c r="CQ455" s="167"/>
      <c r="CR455" s="167"/>
      <c r="CS455" s="167"/>
      <c r="CT455" s="167"/>
      <c r="CU455" s="167"/>
      <c r="CV455" s="156">
        <v>0.0</v>
      </c>
      <c r="CW455" s="156">
        <v>0.0</v>
      </c>
      <c r="CX455" s="156">
        <v>0.0</v>
      </c>
      <c r="CY455" s="156">
        <v>0.0</v>
      </c>
      <c r="CZ455" s="156">
        <v>0.0</v>
      </c>
      <c r="DA455" s="156">
        <v>0.0</v>
      </c>
      <c r="EG455" s="156">
        <v>0.0</v>
      </c>
      <c r="EH455" s="156">
        <v>0.0</v>
      </c>
      <c r="EI455" s="156">
        <v>0.0</v>
      </c>
      <c r="EJ455" s="156">
        <v>0.0</v>
      </c>
      <c r="EK455" s="156">
        <v>0.0</v>
      </c>
      <c r="EL455" s="156">
        <v>0.0</v>
      </c>
      <c r="FQ455" s="156">
        <v>0.0</v>
      </c>
      <c r="FR455" s="156">
        <v>0.0</v>
      </c>
      <c r="FS455" s="156">
        <v>0.0</v>
      </c>
      <c r="FT455" s="156">
        <v>0.0</v>
      </c>
      <c r="FU455" s="156">
        <v>0.0</v>
      </c>
      <c r="FV455" s="156">
        <v>0.0</v>
      </c>
      <c r="FW455" s="157"/>
      <c r="FX455" s="157"/>
      <c r="FY455" s="157"/>
      <c r="FZ455" s="157"/>
      <c r="GA455" s="157"/>
      <c r="GB455" s="157"/>
      <c r="GC455" s="157"/>
      <c r="GD455" s="157"/>
      <c r="GE455" s="157"/>
      <c r="GF455" s="157"/>
      <c r="GG455" s="157"/>
      <c r="GH455" s="157"/>
      <c r="GI455" s="157"/>
      <c r="GJ455" s="157"/>
      <c r="GK455" s="157"/>
      <c r="GL455" s="157"/>
      <c r="GM455" s="157"/>
      <c r="GN455" s="157"/>
      <c r="GO455" s="157"/>
      <c r="GP455" s="158"/>
      <c r="GQ455" s="157"/>
      <c r="GR455" s="157"/>
      <c r="GS455" s="157"/>
      <c r="GT455" s="157"/>
      <c r="GU455" s="157"/>
      <c r="GV455" s="157"/>
      <c r="GW455" s="157"/>
      <c r="GX455" s="157"/>
      <c r="GY455" s="157"/>
      <c r="GZ455" s="157"/>
      <c r="HA455" s="157"/>
      <c r="HB455" s="155">
        <v>0.0</v>
      </c>
      <c r="HC455" s="155">
        <v>0.0</v>
      </c>
      <c r="HD455" s="155">
        <v>0.0</v>
      </c>
      <c r="HE455" s="155">
        <v>0.0</v>
      </c>
      <c r="HF455" s="155">
        <v>0.0</v>
      </c>
      <c r="HG455" s="155">
        <v>0.0</v>
      </c>
      <c r="IL455" s="159">
        <v>0.0</v>
      </c>
      <c r="IM455" s="156">
        <v>0.0</v>
      </c>
      <c r="IN455" s="156">
        <v>0.0</v>
      </c>
      <c r="IO455" s="156">
        <v>0.0</v>
      </c>
      <c r="IP455" s="156">
        <v>0.0</v>
      </c>
      <c r="IQ455" s="160">
        <v>0.0</v>
      </c>
      <c r="JH455" s="25"/>
      <c r="JW455" s="159">
        <v>0.0</v>
      </c>
      <c r="JX455" s="156">
        <v>0.0</v>
      </c>
      <c r="JY455" s="156">
        <v>0.0</v>
      </c>
      <c r="JZ455" s="156">
        <v>0.0</v>
      </c>
      <c r="KA455" s="156">
        <v>0.0</v>
      </c>
      <c r="KB455" s="160">
        <v>0.0</v>
      </c>
      <c r="LH455" s="159">
        <f t="shared" si="10"/>
        <v>0</v>
      </c>
      <c r="LI455" s="156">
        <f t="shared" si="11"/>
        <v>0</v>
      </c>
      <c r="LJ455" s="156">
        <f t="shared" si="12"/>
        <v>0</v>
      </c>
      <c r="LK455" s="156">
        <f t="shared" si="13"/>
        <v>0</v>
      </c>
      <c r="LL455" s="156">
        <f t="shared" si="14"/>
        <v>0</v>
      </c>
      <c r="LM455" s="160">
        <f t="shared" si="15"/>
        <v>0</v>
      </c>
      <c r="QX455" s="107">
        <v>46013.0</v>
      </c>
    </row>
    <row r="456">
      <c r="A456" s="12"/>
      <c r="B456" s="12"/>
      <c r="C456" s="12"/>
      <c r="D456" s="12"/>
      <c r="E456" s="12"/>
      <c r="F456" s="12"/>
      <c r="G456" s="12"/>
      <c r="H456" s="12"/>
      <c r="I456" s="143">
        <f t="shared" si="22"/>
        <v>-30</v>
      </c>
      <c r="J456" s="144">
        <v>46015.0</v>
      </c>
      <c r="K456" s="145" t="s">
        <v>61</v>
      </c>
      <c r="L456" s="508">
        <v>46092.0</v>
      </c>
      <c r="M456" s="509" t="s">
        <v>107</v>
      </c>
      <c r="N456" s="510">
        <v>246.0</v>
      </c>
      <c r="O456" s="510">
        <v>60.0</v>
      </c>
      <c r="P456" s="511"/>
      <c r="Q456" s="511"/>
      <c r="R456" s="511"/>
      <c r="S456" s="511"/>
      <c r="T456" s="511"/>
      <c r="U456" s="509" t="s">
        <v>1140</v>
      </c>
      <c r="V456" s="518" t="s">
        <v>2501</v>
      </c>
      <c r="W456" s="513" t="s">
        <v>3166</v>
      </c>
      <c r="X456" s="181">
        <v>4.0</v>
      </c>
      <c r="Y456" s="166">
        <f t="shared" si="23"/>
        <v>30</v>
      </c>
      <c r="Z456" s="26">
        <f t="shared" si="7"/>
        <v>0</v>
      </c>
      <c r="AA456" s="26">
        <f t="shared" si="8"/>
        <v>0</v>
      </c>
      <c r="AB456" s="26">
        <f t="shared" si="9"/>
        <v>0</v>
      </c>
      <c r="AC456" s="155">
        <v>13.0</v>
      </c>
      <c r="AD456" s="155">
        <v>0.0</v>
      </c>
      <c r="AE456" s="155">
        <v>0.0</v>
      </c>
      <c r="AF456" s="155">
        <v>0.0</v>
      </c>
      <c r="AG456" s="155">
        <v>0.0</v>
      </c>
      <c r="AH456" s="155">
        <v>0.0</v>
      </c>
      <c r="AI456" s="167">
        <v>0.0</v>
      </c>
      <c r="AJ456" s="167">
        <v>1.0</v>
      </c>
      <c r="AK456" s="167">
        <v>0.0</v>
      </c>
      <c r="AL456" s="167">
        <v>0.0</v>
      </c>
      <c r="AM456" s="167">
        <v>1.0</v>
      </c>
      <c r="AN456" s="167">
        <v>0.0</v>
      </c>
      <c r="AO456" s="167">
        <v>1.0</v>
      </c>
      <c r="AP456" s="167">
        <v>0.0</v>
      </c>
      <c r="AQ456" s="167">
        <v>1.0</v>
      </c>
      <c r="AR456" s="167">
        <v>0.0</v>
      </c>
      <c r="AS456" s="167">
        <v>0.0</v>
      </c>
      <c r="AT456" s="167">
        <v>1.0</v>
      </c>
      <c r="AU456" s="167">
        <v>0.0</v>
      </c>
      <c r="AV456" s="167">
        <v>1.0</v>
      </c>
      <c r="AW456" s="167">
        <v>0.0</v>
      </c>
      <c r="AX456" s="167">
        <v>1.0</v>
      </c>
      <c r="AY456" s="167">
        <v>0.0</v>
      </c>
      <c r="AZ456" s="167">
        <v>0.0</v>
      </c>
      <c r="BA456" s="167">
        <v>1.0</v>
      </c>
      <c r="BB456" s="167">
        <v>0.0</v>
      </c>
      <c r="BC456" s="167">
        <v>1.0</v>
      </c>
      <c r="BD456" s="167">
        <v>0.0</v>
      </c>
      <c r="BE456" s="167">
        <v>1.0</v>
      </c>
      <c r="BF456" s="167">
        <v>0.0</v>
      </c>
      <c r="BG456" s="167">
        <v>0.0</v>
      </c>
      <c r="BH456" s="167">
        <v>1.0</v>
      </c>
      <c r="BI456" s="167">
        <v>0.0</v>
      </c>
      <c r="BJ456" s="167">
        <v>1.0</v>
      </c>
      <c r="BK456" s="167">
        <v>0.0</v>
      </c>
      <c r="BL456" s="167">
        <v>1.0</v>
      </c>
      <c r="BM456" s="167">
        <v>0.0</v>
      </c>
      <c r="BN456" s="155">
        <v>9.0</v>
      </c>
      <c r="BO456" s="155">
        <v>0.0</v>
      </c>
      <c r="BP456" s="155">
        <v>0.0</v>
      </c>
      <c r="BQ456" s="155">
        <v>0.0</v>
      </c>
      <c r="BR456" s="155">
        <v>0.0</v>
      </c>
      <c r="BS456" s="155">
        <v>0.0</v>
      </c>
      <c r="BT456" s="167">
        <v>0.0</v>
      </c>
      <c r="BU456" s="167">
        <v>1.0</v>
      </c>
      <c r="BV456" s="167">
        <v>0.0</v>
      </c>
      <c r="BW456" s="167">
        <v>1.0</v>
      </c>
      <c r="BX456" s="167">
        <v>0.0</v>
      </c>
      <c r="BY456" s="167">
        <v>1.0</v>
      </c>
      <c r="BZ456" s="167">
        <v>0.0</v>
      </c>
      <c r="CA456" s="167">
        <v>0.0</v>
      </c>
      <c r="CB456" s="167">
        <v>1.0</v>
      </c>
      <c r="CC456" s="167">
        <v>0.0</v>
      </c>
      <c r="CD456" s="167">
        <v>1.0</v>
      </c>
      <c r="CE456" s="167">
        <v>0.0</v>
      </c>
      <c r="CF456" s="167">
        <v>1.0</v>
      </c>
      <c r="CG456" s="167"/>
      <c r="CH456" s="167"/>
      <c r="CI456" s="167"/>
      <c r="CJ456" s="167"/>
      <c r="CK456" s="167"/>
      <c r="CL456" s="167"/>
      <c r="CM456" s="167"/>
      <c r="CN456" s="167"/>
      <c r="CO456" s="167"/>
      <c r="CP456" s="167">
        <v>1.0</v>
      </c>
      <c r="CQ456" s="167">
        <v>0.0</v>
      </c>
      <c r="CR456" s="167">
        <v>1.0</v>
      </c>
      <c r="CS456" s="167">
        <v>0.0</v>
      </c>
      <c r="CT456" s="167">
        <v>1.0</v>
      </c>
      <c r="CU456" s="167">
        <v>0.0</v>
      </c>
      <c r="CV456" s="156">
        <v>4.0</v>
      </c>
      <c r="CW456" s="156">
        <v>0.0</v>
      </c>
      <c r="CX456" s="156">
        <v>0.0</v>
      </c>
      <c r="CY456" s="156">
        <v>0.0</v>
      </c>
      <c r="CZ456" s="156">
        <v>0.0</v>
      </c>
      <c r="DA456" s="156">
        <v>0.0</v>
      </c>
      <c r="DB456" s="174">
        <v>0.0</v>
      </c>
      <c r="DC456" s="174">
        <v>1.0</v>
      </c>
      <c r="DD456" s="174">
        <v>0.0</v>
      </c>
      <c r="DE456" s="174">
        <v>1.0</v>
      </c>
      <c r="DF456" s="174">
        <v>0.0</v>
      </c>
      <c r="DG456" s="174">
        <v>1.0</v>
      </c>
      <c r="DH456" s="174">
        <v>0.0</v>
      </c>
      <c r="DI456" s="174">
        <v>0.0</v>
      </c>
      <c r="DJ456" s="174">
        <v>1.0</v>
      </c>
      <c r="DK456" s="174"/>
      <c r="DL456" s="174"/>
      <c r="DM456" s="174"/>
      <c r="DN456" s="174"/>
      <c r="DO456" s="174"/>
      <c r="DP456" s="174"/>
      <c r="DQ456" s="174"/>
      <c r="DR456" s="174"/>
      <c r="DS456" s="174"/>
      <c r="DT456" s="174"/>
      <c r="DU456" s="174"/>
      <c r="DV456" s="174"/>
      <c r="DW456" s="174"/>
      <c r="DX456" s="174"/>
      <c r="DY456" s="174"/>
      <c r="DZ456" s="174"/>
      <c r="EA456" s="174"/>
      <c r="EB456" s="174"/>
      <c r="EC456" s="174"/>
      <c r="ED456" s="174"/>
      <c r="EE456" s="174"/>
      <c r="EF456" s="174"/>
      <c r="EG456" s="156">
        <v>0.0</v>
      </c>
      <c r="EH456" s="156">
        <v>0.0</v>
      </c>
      <c r="EI456" s="156">
        <v>0.0</v>
      </c>
      <c r="EJ456" s="156">
        <v>0.0</v>
      </c>
      <c r="EK456" s="156">
        <v>0.0</v>
      </c>
      <c r="EL456" s="156">
        <v>0.0</v>
      </c>
      <c r="EM456" s="174"/>
      <c r="EN456" s="174"/>
      <c r="EO456" s="174"/>
      <c r="EP456" s="174"/>
      <c r="EQ456" s="174"/>
      <c r="ER456" s="174"/>
      <c r="ES456" s="174"/>
      <c r="ET456" s="174"/>
      <c r="EU456" s="174"/>
      <c r="EV456" s="174"/>
      <c r="EW456" s="174"/>
      <c r="EX456" s="174"/>
      <c r="EY456" s="174"/>
      <c r="EZ456" s="174"/>
      <c r="FA456" s="174"/>
      <c r="FB456" s="174"/>
      <c r="FC456" s="174"/>
      <c r="FD456" s="174"/>
      <c r="FE456" s="174"/>
      <c r="FF456" s="174"/>
      <c r="FG456" s="174"/>
      <c r="FH456" s="174"/>
      <c r="FI456" s="174"/>
      <c r="FJ456" s="174"/>
      <c r="FK456" s="174"/>
      <c r="FL456" s="174"/>
      <c r="FM456" s="174"/>
      <c r="FN456" s="174"/>
      <c r="FO456" s="174"/>
      <c r="FP456" s="174"/>
      <c r="FQ456" s="156">
        <v>0.0</v>
      </c>
      <c r="FR456" s="156">
        <v>0.0</v>
      </c>
      <c r="FS456" s="156">
        <v>0.0</v>
      </c>
      <c r="FT456" s="156">
        <v>0.0</v>
      </c>
      <c r="FU456" s="156">
        <v>0.0</v>
      </c>
      <c r="FV456" s="156">
        <v>0.0</v>
      </c>
      <c r="FW456" s="157"/>
      <c r="FX456" s="157"/>
      <c r="FY456" s="157"/>
      <c r="FZ456" s="157"/>
      <c r="GA456" s="157"/>
      <c r="GB456" s="157"/>
      <c r="GC456" s="157"/>
      <c r="GD456" s="157"/>
      <c r="GE456" s="157"/>
      <c r="GF456" s="157"/>
      <c r="GG456" s="157"/>
      <c r="GH456" s="157"/>
      <c r="GI456" s="157"/>
      <c r="GJ456" s="157"/>
      <c r="GK456" s="157"/>
      <c r="GL456" s="157"/>
      <c r="GM456" s="157"/>
      <c r="GN456" s="157"/>
      <c r="GO456" s="157"/>
      <c r="GP456" s="158"/>
      <c r="GQ456" s="157"/>
      <c r="GR456" s="157"/>
      <c r="GS456" s="157"/>
      <c r="GT456" s="157"/>
      <c r="GU456" s="157"/>
      <c r="GV456" s="157"/>
      <c r="GW456" s="157"/>
      <c r="GX456" s="157"/>
      <c r="GY456" s="157"/>
      <c r="GZ456" s="157"/>
      <c r="HA456" s="157"/>
      <c r="HB456" s="155">
        <v>0.0</v>
      </c>
      <c r="HC456" s="155">
        <v>0.0</v>
      </c>
      <c r="HD456" s="155">
        <v>0.0</v>
      </c>
      <c r="HE456" s="155">
        <v>0.0</v>
      </c>
      <c r="HF456" s="155">
        <v>0.0</v>
      </c>
      <c r="HG456" s="155">
        <v>0.0</v>
      </c>
      <c r="IL456" s="159">
        <v>0.0</v>
      </c>
      <c r="IM456" s="156">
        <v>0.0</v>
      </c>
      <c r="IN456" s="156">
        <v>0.0</v>
      </c>
      <c r="IO456" s="156">
        <v>0.0</v>
      </c>
      <c r="IP456" s="156">
        <v>0.0</v>
      </c>
      <c r="IQ456" s="160">
        <v>0.0</v>
      </c>
      <c r="JH456" s="25"/>
      <c r="JW456" s="159">
        <v>0.0</v>
      </c>
      <c r="JX456" s="156">
        <v>0.0</v>
      </c>
      <c r="JY456" s="156">
        <v>0.0</v>
      </c>
      <c r="JZ456" s="156">
        <v>0.0</v>
      </c>
      <c r="KA456" s="156">
        <v>0.0</v>
      </c>
      <c r="KB456" s="160">
        <v>0.0</v>
      </c>
      <c r="LH456" s="159">
        <f t="shared" si="10"/>
        <v>0</v>
      </c>
      <c r="LI456" s="156">
        <f t="shared" si="11"/>
        <v>0</v>
      </c>
      <c r="LJ456" s="156">
        <f t="shared" si="12"/>
        <v>0</v>
      </c>
      <c r="LK456" s="156">
        <f t="shared" si="13"/>
        <v>0</v>
      </c>
      <c r="LL456" s="156">
        <f t="shared" si="14"/>
        <v>0</v>
      </c>
      <c r="LM456" s="160">
        <f t="shared" si="15"/>
        <v>0</v>
      </c>
      <c r="QX456" s="107">
        <v>46013.0</v>
      </c>
    </row>
    <row r="457">
      <c r="A457" s="12"/>
      <c r="B457" s="12"/>
      <c r="C457" s="12"/>
      <c r="D457" s="12"/>
      <c r="E457" s="12"/>
      <c r="F457" s="12"/>
      <c r="G457" s="12"/>
      <c r="H457" s="12"/>
      <c r="I457" s="143">
        <f t="shared" si="22"/>
        <v>-12</v>
      </c>
      <c r="J457" s="144">
        <v>46011.0</v>
      </c>
      <c r="K457" s="145" t="s">
        <v>53</v>
      </c>
      <c r="L457" s="171">
        <v>46119.0</v>
      </c>
      <c r="M457" s="147" t="s">
        <v>400</v>
      </c>
      <c r="N457" s="148">
        <v>357.0</v>
      </c>
      <c r="O457" s="148">
        <v>30.0</v>
      </c>
      <c r="P457" s="26"/>
      <c r="Q457" s="26"/>
      <c r="R457" s="26"/>
      <c r="S457" s="26"/>
      <c r="T457" s="26"/>
      <c r="U457" s="164" t="s">
        <v>3268</v>
      </c>
      <c r="V457" s="165" t="s">
        <v>3036</v>
      </c>
      <c r="W457" s="198" t="s">
        <v>3269</v>
      </c>
      <c r="X457" s="181">
        <v>2.0</v>
      </c>
      <c r="Y457" s="166">
        <f t="shared" si="23"/>
        <v>12</v>
      </c>
      <c r="Z457" s="26">
        <f t="shared" si="7"/>
        <v>0</v>
      </c>
      <c r="AA457" s="26">
        <f t="shared" si="8"/>
        <v>0</v>
      </c>
      <c r="AB457" s="26">
        <f t="shared" si="9"/>
        <v>0</v>
      </c>
      <c r="AC457" s="155">
        <v>8.0</v>
      </c>
      <c r="AD457" s="155">
        <v>0.0</v>
      </c>
      <c r="AE457" s="155">
        <v>0.0</v>
      </c>
      <c r="AF457" s="155">
        <v>0.0</v>
      </c>
      <c r="AG457" s="155">
        <v>0.0</v>
      </c>
      <c r="AH457" s="155">
        <v>0.0</v>
      </c>
      <c r="AI457" s="167"/>
      <c r="AJ457" s="167"/>
      <c r="AK457" s="167"/>
      <c r="AL457" s="167"/>
      <c r="AM457" s="167"/>
      <c r="AN457" s="167">
        <v>1.0</v>
      </c>
      <c r="AO457" s="167">
        <v>0.0</v>
      </c>
      <c r="AP457" s="167">
        <v>1.0</v>
      </c>
      <c r="AQ457" s="167">
        <v>0.0</v>
      </c>
      <c r="AR457" s="167"/>
      <c r="AS457" s="167">
        <v>0.0</v>
      </c>
      <c r="AT457" s="167">
        <v>0.0</v>
      </c>
      <c r="AU457" s="167">
        <v>1.0</v>
      </c>
      <c r="AV457" s="167">
        <v>0.0</v>
      </c>
      <c r="AW457" s="167">
        <v>1.0</v>
      </c>
      <c r="AX457" s="167">
        <v>0.0</v>
      </c>
      <c r="AY457" s="167"/>
      <c r="AZ457" s="167">
        <v>0.0</v>
      </c>
      <c r="BA457" s="167">
        <v>0.0</v>
      </c>
      <c r="BB457" s="167">
        <v>1.0</v>
      </c>
      <c r="BC457" s="167">
        <v>0.0</v>
      </c>
      <c r="BD457" s="167"/>
      <c r="BE457" s="167">
        <v>0.0</v>
      </c>
      <c r="BF457" s="167">
        <v>1.0</v>
      </c>
      <c r="BG457" s="167">
        <v>0.0</v>
      </c>
      <c r="BH457" s="167">
        <v>0.0</v>
      </c>
      <c r="BI457" s="167">
        <v>1.0</v>
      </c>
      <c r="BJ457" s="167"/>
      <c r="BK457" s="167"/>
      <c r="BL457" s="167"/>
      <c r="BM457" s="167">
        <v>1.0</v>
      </c>
      <c r="BN457" s="155">
        <v>2.0</v>
      </c>
      <c r="BO457" s="155">
        <v>0.0</v>
      </c>
      <c r="BP457" s="155">
        <v>0.0</v>
      </c>
      <c r="BQ457" s="155">
        <v>0.0</v>
      </c>
      <c r="BR457" s="155">
        <v>0.0</v>
      </c>
      <c r="BS457" s="155">
        <v>0.0</v>
      </c>
      <c r="BT457" s="167"/>
      <c r="BU457" s="167"/>
      <c r="BV457" s="167"/>
      <c r="BW457" s="168">
        <v>1.0</v>
      </c>
      <c r="BX457" s="167"/>
      <c r="BY457" s="167"/>
      <c r="BZ457" s="167"/>
      <c r="CA457" s="167"/>
      <c r="CB457" s="167"/>
      <c r="CC457" s="167">
        <v>1.0</v>
      </c>
      <c r="CD457" s="167"/>
      <c r="CE457" s="167"/>
      <c r="CF457" s="167"/>
      <c r="CG457" s="167"/>
      <c r="CH457" s="167"/>
      <c r="CI457" s="167"/>
      <c r="CJ457" s="167"/>
      <c r="CK457" s="167"/>
      <c r="CL457" s="167"/>
      <c r="CM457" s="167"/>
      <c r="CN457" s="167"/>
      <c r="CO457" s="167"/>
      <c r="CP457" s="167"/>
      <c r="CQ457" s="167"/>
      <c r="CR457" s="167"/>
      <c r="CS457" s="167"/>
      <c r="CT457" s="167"/>
      <c r="CU457" s="167"/>
      <c r="CV457" s="156">
        <v>0.0</v>
      </c>
      <c r="CW457" s="156">
        <v>0.0</v>
      </c>
      <c r="CX457" s="156">
        <v>0.0</v>
      </c>
      <c r="CY457" s="156">
        <v>0.0</v>
      </c>
      <c r="CZ457" s="156">
        <v>0.0</v>
      </c>
      <c r="DA457" s="156">
        <v>0.0</v>
      </c>
      <c r="DB457" s="395"/>
      <c r="DC457" s="395"/>
      <c r="DD457" s="395"/>
      <c r="DE457" s="395"/>
      <c r="DF457" s="395"/>
      <c r="DG457" s="395"/>
      <c r="DH457" s="395"/>
      <c r="DI457" s="395"/>
      <c r="DJ457" s="395"/>
      <c r="DK457" s="395"/>
      <c r="DL457" s="395"/>
      <c r="DM457" s="395"/>
      <c r="DN457" s="395"/>
      <c r="DO457" s="395"/>
      <c r="DP457" s="395"/>
      <c r="DQ457" s="395"/>
      <c r="DR457" s="395"/>
      <c r="DS457" s="395"/>
      <c r="DT457" s="395"/>
      <c r="DU457" s="395"/>
      <c r="DV457" s="395"/>
      <c r="DW457" s="395"/>
      <c r="DX457" s="395"/>
      <c r="DY457" s="395"/>
      <c r="DZ457" s="395"/>
      <c r="EA457" s="395"/>
      <c r="EB457" s="395"/>
      <c r="EC457" s="395"/>
      <c r="ED457" s="395"/>
      <c r="EE457" s="395"/>
      <c r="EF457" s="395"/>
      <c r="EG457" s="156">
        <v>0.0</v>
      </c>
      <c r="EH457" s="156">
        <v>0.0</v>
      </c>
      <c r="EI457" s="156">
        <v>0.0</v>
      </c>
      <c r="EJ457" s="156">
        <v>0.0</v>
      </c>
      <c r="EK457" s="156">
        <v>0.0</v>
      </c>
      <c r="EL457" s="156">
        <v>0.0</v>
      </c>
      <c r="FQ457" s="156">
        <v>0.0</v>
      </c>
      <c r="FR457" s="156">
        <v>0.0</v>
      </c>
      <c r="FS457" s="156">
        <v>0.0</v>
      </c>
      <c r="FT457" s="156">
        <v>0.0</v>
      </c>
      <c r="FU457" s="156">
        <v>0.0</v>
      </c>
      <c r="FV457" s="156">
        <v>0.0</v>
      </c>
      <c r="FW457" s="157"/>
      <c r="FX457" s="157"/>
      <c r="FY457" s="157"/>
      <c r="FZ457" s="157"/>
      <c r="GA457" s="157"/>
      <c r="GB457" s="157"/>
      <c r="GC457" s="157"/>
      <c r="GD457" s="157"/>
      <c r="GE457" s="157"/>
      <c r="GF457" s="157"/>
      <c r="GG457" s="157"/>
      <c r="GH457" s="157"/>
      <c r="GI457" s="157"/>
      <c r="GJ457" s="157"/>
      <c r="GK457" s="157"/>
      <c r="GL457" s="157"/>
      <c r="GM457" s="157"/>
      <c r="GN457" s="157"/>
      <c r="GO457" s="157"/>
      <c r="GP457" s="158"/>
      <c r="GQ457" s="157"/>
      <c r="GR457" s="157"/>
      <c r="GS457" s="157"/>
      <c r="GT457" s="157"/>
      <c r="GU457" s="157"/>
      <c r="GV457" s="157"/>
      <c r="GW457" s="157"/>
      <c r="GX457" s="157"/>
      <c r="GY457" s="157"/>
      <c r="GZ457" s="157"/>
      <c r="HA457" s="157"/>
      <c r="HB457" s="155">
        <v>0.0</v>
      </c>
      <c r="HC457" s="155">
        <v>0.0</v>
      </c>
      <c r="HD457" s="155">
        <v>0.0</v>
      </c>
      <c r="HE457" s="155">
        <v>0.0</v>
      </c>
      <c r="HF457" s="155">
        <v>0.0</v>
      </c>
      <c r="HG457" s="155">
        <v>0.0</v>
      </c>
      <c r="IL457" s="159">
        <v>0.0</v>
      </c>
      <c r="IM457" s="156">
        <v>0.0</v>
      </c>
      <c r="IN457" s="156">
        <v>0.0</v>
      </c>
      <c r="IO457" s="156">
        <v>0.0</v>
      </c>
      <c r="IP457" s="156">
        <v>0.0</v>
      </c>
      <c r="IQ457" s="160">
        <v>0.0</v>
      </c>
      <c r="JH457" s="25"/>
      <c r="JW457" s="159">
        <v>0.0</v>
      </c>
      <c r="JX457" s="156">
        <v>0.0</v>
      </c>
      <c r="JY457" s="156">
        <v>0.0</v>
      </c>
      <c r="JZ457" s="156">
        <v>0.0</v>
      </c>
      <c r="KA457" s="156">
        <v>0.0</v>
      </c>
      <c r="KB457" s="160">
        <v>0.0</v>
      </c>
      <c r="LH457" s="159">
        <f t="shared" si="10"/>
        <v>0</v>
      </c>
      <c r="LI457" s="156">
        <f t="shared" si="11"/>
        <v>0</v>
      </c>
      <c r="LJ457" s="156">
        <f t="shared" si="12"/>
        <v>0</v>
      </c>
      <c r="LK457" s="156">
        <f t="shared" si="13"/>
        <v>0</v>
      </c>
      <c r="LL457" s="156">
        <f t="shared" si="14"/>
        <v>0</v>
      </c>
      <c r="LM457" s="160">
        <f t="shared" si="15"/>
        <v>0</v>
      </c>
      <c r="QX457" s="107">
        <v>46013.0</v>
      </c>
    </row>
    <row r="458">
      <c r="A458" s="12"/>
      <c r="B458" s="12"/>
      <c r="C458" s="12"/>
      <c r="D458" s="12"/>
      <c r="E458" s="12"/>
      <c r="F458" s="12"/>
      <c r="G458" s="12"/>
      <c r="H458" s="12"/>
      <c r="I458" s="143">
        <f t="shared" si="22"/>
        <v>-8</v>
      </c>
      <c r="J458" s="144">
        <v>46013.0</v>
      </c>
      <c r="K458" s="145" t="s">
        <v>53</v>
      </c>
      <c r="L458" s="171">
        <v>46090.0</v>
      </c>
      <c r="M458" s="164" t="s">
        <v>400</v>
      </c>
      <c r="N458" s="170" t="s">
        <v>467</v>
      </c>
      <c r="O458" s="148">
        <v>30.0</v>
      </c>
      <c r="P458" s="26"/>
      <c r="Q458" s="26"/>
      <c r="R458" s="26"/>
      <c r="S458" s="26"/>
      <c r="T458" s="26"/>
      <c r="U458" s="164" t="s">
        <v>3270</v>
      </c>
      <c r="V458" s="165" t="s">
        <v>2893</v>
      </c>
      <c r="W458" s="198" t="s">
        <v>3271</v>
      </c>
      <c r="X458" s="181">
        <v>3.0</v>
      </c>
      <c r="Y458" s="166">
        <f t="shared" si="23"/>
        <v>8</v>
      </c>
      <c r="Z458" s="26">
        <f t="shared" si="7"/>
        <v>0</v>
      </c>
      <c r="AA458" s="26">
        <f t="shared" si="8"/>
        <v>4</v>
      </c>
      <c r="AB458" s="26">
        <f t="shared" si="9"/>
        <v>0</v>
      </c>
      <c r="AC458" s="155">
        <v>4.0</v>
      </c>
      <c r="AD458" s="155">
        <v>0.0</v>
      </c>
      <c r="AE458" s="155">
        <v>0.0</v>
      </c>
      <c r="AF458" s="155">
        <v>3.0</v>
      </c>
      <c r="AG458" s="155">
        <v>0.0</v>
      </c>
      <c r="AH458" s="155">
        <v>0.0</v>
      </c>
      <c r="AI458" s="167"/>
      <c r="AJ458" s="167"/>
      <c r="AK458" s="167"/>
      <c r="AL458" s="167"/>
      <c r="AM458" s="167"/>
      <c r="AN458" s="167"/>
      <c r="AO458" s="168" t="s">
        <v>947</v>
      </c>
      <c r="AP458" s="167"/>
      <c r="AQ458" s="167"/>
      <c r="AR458" s="167"/>
      <c r="AS458" s="167"/>
      <c r="AT458" s="167"/>
      <c r="AU458" s="167"/>
      <c r="AV458" s="167"/>
      <c r="AW458" s="167"/>
      <c r="AX458" s="167"/>
      <c r="AY458" s="168">
        <v>1.0</v>
      </c>
      <c r="AZ458" s="167"/>
      <c r="BA458" s="167"/>
      <c r="BB458" s="167"/>
      <c r="BC458" s="167"/>
      <c r="BD458" s="167"/>
      <c r="BE458" s="167"/>
      <c r="BF458" s="168" t="s">
        <v>947</v>
      </c>
      <c r="BG458" s="167"/>
      <c r="BH458" s="167"/>
      <c r="BI458" s="167"/>
      <c r="BJ458" s="167"/>
      <c r="BK458" s="167"/>
      <c r="BL458" s="167"/>
      <c r="BM458" s="168" t="s">
        <v>947</v>
      </c>
      <c r="BN458" s="155">
        <v>1.0</v>
      </c>
      <c r="BO458" s="155">
        <v>0.0</v>
      </c>
      <c r="BP458" s="155">
        <v>0.0</v>
      </c>
      <c r="BQ458" s="155">
        <v>1.0</v>
      </c>
      <c r="BR458" s="155">
        <v>0.0</v>
      </c>
      <c r="BS458" s="155">
        <v>0.0</v>
      </c>
      <c r="BZ458" s="86" t="s">
        <v>947</v>
      </c>
      <c r="CV458" s="156">
        <v>0.0</v>
      </c>
      <c r="CW458" s="156">
        <v>0.0</v>
      </c>
      <c r="CX458" s="156">
        <v>0.0</v>
      </c>
      <c r="CY458" s="156">
        <v>0.0</v>
      </c>
      <c r="CZ458" s="156">
        <v>0.0</v>
      </c>
      <c r="DA458" s="156">
        <v>0.0</v>
      </c>
      <c r="EG458" s="156">
        <v>0.0</v>
      </c>
      <c r="EH458" s="156">
        <v>0.0</v>
      </c>
      <c r="EI458" s="156">
        <v>0.0</v>
      </c>
      <c r="EJ458" s="156">
        <v>0.0</v>
      </c>
      <c r="EK458" s="156">
        <v>0.0</v>
      </c>
      <c r="EL458" s="156">
        <v>0.0</v>
      </c>
      <c r="FQ458" s="156">
        <v>0.0</v>
      </c>
      <c r="FR458" s="156">
        <v>0.0</v>
      </c>
      <c r="FS458" s="156">
        <v>0.0</v>
      </c>
      <c r="FT458" s="156">
        <v>0.0</v>
      </c>
      <c r="FU458" s="156">
        <v>0.0</v>
      </c>
      <c r="FV458" s="156">
        <v>0.0</v>
      </c>
      <c r="FW458" s="157"/>
      <c r="FX458" s="157"/>
      <c r="FY458" s="157"/>
      <c r="FZ458" s="157"/>
      <c r="GA458" s="157"/>
      <c r="GB458" s="157"/>
      <c r="GC458" s="157"/>
      <c r="GD458" s="157"/>
      <c r="GE458" s="157"/>
      <c r="GF458" s="157"/>
      <c r="GG458" s="157"/>
      <c r="GH458" s="157"/>
      <c r="GI458" s="157"/>
      <c r="GJ458" s="157"/>
      <c r="GK458" s="157"/>
      <c r="GL458" s="157"/>
      <c r="GM458" s="157"/>
      <c r="GN458" s="157"/>
      <c r="GO458" s="157"/>
      <c r="GP458" s="158"/>
      <c r="GQ458" s="157"/>
      <c r="GR458" s="157"/>
      <c r="GS458" s="157"/>
      <c r="GT458" s="157"/>
      <c r="GU458" s="157"/>
      <c r="GV458" s="157"/>
      <c r="GW458" s="157"/>
      <c r="GX458" s="157"/>
      <c r="GY458" s="157"/>
      <c r="GZ458" s="157"/>
      <c r="HA458" s="157"/>
      <c r="HB458" s="155">
        <v>0.0</v>
      </c>
      <c r="HC458" s="155">
        <v>0.0</v>
      </c>
      <c r="HD458" s="155">
        <v>0.0</v>
      </c>
      <c r="HE458" s="155">
        <v>0.0</v>
      </c>
      <c r="HF458" s="155">
        <v>0.0</v>
      </c>
      <c r="HG458" s="155">
        <v>0.0</v>
      </c>
      <c r="IL458" s="159">
        <v>0.0</v>
      </c>
      <c r="IM458" s="156">
        <v>0.0</v>
      </c>
      <c r="IN458" s="156">
        <v>0.0</v>
      </c>
      <c r="IO458" s="156">
        <v>0.0</v>
      </c>
      <c r="IP458" s="156">
        <v>0.0</v>
      </c>
      <c r="IQ458" s="160">
        <v>0.0</v>
      </c>
      <c r="JH458" s="25"/>
      <c r="JW458" s="159">
        <v>0.0</v>
      </c>
      <c r="JX458" s="156">
        <v>0.0</v>
      </c>
      <c r="JY458" s="156">
        <v>0.0</v>
      </c>
      <c r="JZ458" s="156">
        <v>0.0</v>
      </c>
      <c r="KA458" s="156">
        <v>0.0</v>
      </c>
      <c r="KB458" s="160">
        <v>0.0</v>
      </c>
      <c r="LH458" s="159">
        <f t="shared" si="10"/>
        <v>0</v>
      </c>
      <c r="LI458" s="156">
        <f t="shared" si="11"/>
        <v>0</v>
      </c>
      <c r="LJ458" s="156">
        <f t="shared" si="12"/>
        <v>0</v>
      </c>
      <c r="LK458" s="156">
        <f t="shared" si="13"/>
        <v>0</v>
      </c>
      <c r="LL458" s="156">
        <f t="shared" si="14"/>
        <v>0</v>
      </c>
      <c r="LM458" s="160">
        <f t="shared" si="15"/>
        <v>0</v>
      </c>
      <c r="QX458" s="107">
        <v>46014.0</v>
      </c>
    </row>
    <row r="459">
      <c r="A459" s="12"/>
      <c r="B459" s="12"/>
      <c r="C459" s="12"/>
      <c r="D459" s="12"/>
      <c r="E459" s="58"/>
      <c r="F459" s="12"/>
      <c r="G459" s="12"/>
      <c r="H459" s="12"/>
      <c r="I459" s="143">
        <f t="shared" si="22"/>
        <v>-30</v>
      </c>
      <c r="J459" s="144">
        <v>46034.0</v>
      </c>
      <c r="K459" s="195" t="s">
        <v>61</v>
      </c>
      <c r="L459" s="171">
        <v>46199.0</v>
      </c>
      <c r="M459" s="147" t="s">
        <v>435</v>
      </c>
      <c r="N459" s="148">
        <v>246.0</v>
      </c>
      <c r="O459" s="148">
        <v>30.0</v>
      </c>
      <c r="P459" s="26"/>
      <c r="Q459" s="26"/>
      <c r="R459" s="26"/>
      <c r="S459" s="26"/>
      <c r="T459" s="26"/>
      <c r="U459" s="147" t="s">
        <v>3272</v>
      </c>
      <c r="V459" s="149" t="s">
        <v>3273</v>
      </c>
      <c r="W459" s="198" t="s">
        <v>3274</v>
      </c>
      <c r="X459" s="181">
        <v>0.0</v>
      </c>
      <c r="Y459" s="166">
        <f t="shared" si="23"/>
        <v>30</v>
      </c>
      <c r="Z459" s="26">
        <f t="shared" si="7"/>
        <v>0</v>
      </c>
      <c r="AA459" s="26">
        <f t="shared" si="8"/>
        <v>0</v>
      </c>
      <c r="AB459" s="26">
        <f t="shared" si="9"/>
        <v>0</v>
      </c>
      <c r="AC459" s="155">
        <v>6.0</v>
      </c>
      <c r="AD459" s="155">
        <v>0.0</v>
      </c>
      <c r="AE459" s="155">
        <v>0.0</v>
      </c>
      <c r="AF459" s="155">
        <v>0.0</v>
      </c>
      <c r="AG459" s="155">
        <v>0.0</v>
      </c>
      <c r="AH459" s="155">
        <v>0.0</v>
      </c>
      <c r="AI459" s="167"/>
      <c r="AJ459" s="167"/>
      <c r="AK459" s="167"/>
      <c r="AL459" s="167"/>
      <c r="AM459" s="167"/>
      <c r="AN459" s="167"/>
      <c r="AO459" s="167"/>
      <c r="AP459" s="167"/>
      <c r="AQ459" s="167"/>
      <c r="AR459" s="167"/>
      <c r="AS459" s="167"/>
      <c r="AT459" s="167">
        <v>1.0</v>
      </c>
      <c r="AU459" s="167"/>
      <c r="AV459" s="167"/>
      <c r="AW459" s="167"/>
      <c r="AX459" s="167"/>
      <c r="AY459" s="167"/>
      <c r="AZ459" s="167"/>
      <c r="BA459" s="167">
        <v>1.0</v>
      </c>
      <c r="BB459" s="167">
        <v>0.0</v>
      </c>
      <c r="BC459" s="167">
        <v>1.0</v>
      </c>
      <c r="BD459" s="167">
        <v>0.0</v>
      </c>
      <c r="BE459" s="167"/>
      <c r="BF459" s="168">
        <v>1.0</v>
      </c>
      <c r="BG459" s="167">
        <v>0.0</v>
      </c>
      <c r="BH459" s="167">
        <v>1.0</v>
      </c>
      <c r="BI459" s="167">
        <v>0.0</v>
      </c>
      <c r="BJ459" s="167">
        <v>1.0</v>
      </c>
      <c r="BK459" s="167"/>
      <c r="BL459" s="167"/>
      <c r="BM459" s="167"/>
      <c r="BN459" s="155">
        <v>5.0</v>
      </c>
      <c r="BO459" s="155">
        <v>0.0</v>
      </c>
      <c r="BP459" s="155">
        <v>0.0</v>
      </c>
      <c r="BQ459" s="155">
        <v>0.0</v>
      </c>
      <c r="BR459" s="155">
        <v>0.0</v>
      </c>
      <c r="BS459" s="155">
        <v>0.0</v>
      </c>
      <c r="BT459" s="167">
        <v>0.0</v>
      </c>
      <c r="BU459" s="167">
        <v>1.0</v>
      </c>
      <c r="BV459" s="167">
        <v>0.0</v>
      </c>
      <c r="BW459" s="167">
        <v>1.0</v>
      </c>
      <c r="BX459" s="167">
        <v>0.0</v>
      </c>
      <c r="BY459" s="167">
        <v>1.0</v>
      </c>
      <c r="BZ459" s="167">
        <v>0.0</v>
      </c>
      <c r="CA459" s="167">
        <v>0.0</v>
      </c>
      <c r="CB459" s="167">
        <v>1.0</v>
      </c>
      <c r="CC459" s="167"/>
      <c r="CD459" s="167"/>
      <c r="CE459" s="167"/>
      <c r="CF459" s="167"/>
      <c r="CG459" s="167"/>
      <c r="CH459" s="167"/>
      <c r="CI459" s="167"/>
      <c r="CJ459" s="167"/>
      <c r="CK459" s="167"/>
      <c r="CL459" s="167"/>
      <c r="CM459" s="167"/>
      <c r="CN459" s="167"/>
      <c r="CO459" s="167"/>
      <c r="CP459" s="167">
        <v>1.0</v>
      </c>
      <c r="CQ459" s="167"/>
      <c r="CR459" s="167"/>
      <c r="CS459" s="167"/>
      <c r="CT459" s="167"/>
      <c r="CU459" s="167"/>
      <c r="CV459" s="156">
        <v>6.0</v>
      </c>
      <c r="CW459" s="156">
        <v>0.0</v>
      </c>
      <c r="CX459" s="156">
        <v>0.0</v>
      </c>
      <c r="CY459" s="156">
        <v>0.0</v>
      </c>
      <c r="CZ459" s="156">
        <v>0.0</v>
      </c>
      <c r="DA459" s="156">
        <v>0.0</v>
      </c>
      <c r="DB459" s="174">
        <v>0.0</v>
      </c>
      <c r="DC459" s="174">
        <v>1.0</v>
      </c>
      <c r="DD459" s="174"/>
      <c r="DE459" s="174"/>
      <c r="DF459" s="174"/>
      <c r="DG459" s="174">
        <v>1.0</v>
      </c>
      <c r="DH459" s="174"/>
      <c r="DI459" s="174"/>
      <c r="DJ459" s="174"/>
      <c r="DK459" s="174"/>
      <c r="DL459" s="174">
        <v>1.0</v>
      </c>
      <c r="DM459" s="174"/>
      <c r="DN459" s="174"/>
      <c r="DO459" s="174"/>
      <c r="DP459" s="174"/>
      <c r="DQ459" s="174"/>
      <c r="DR459" s="174"/>
      <c r="DS459" s="174"/>
      <c r="DT459" s="174"/>
      <c r="DU459" s="174"/>
      <c r="DV459" s="174"/>
      <c r="DW459" s="174"/>
      <c r="DX459" s="175">
        <v>1.0</v>
      </c>
      <c r="DY459" s="174"/>
      <c r="DZ459" s="174"/>
      <c r="EA459" s="175">
        <v>1.0</v>
      </c>
      <c r="EB459" s="174"/>
      <c r="EC459" s="174">
        <v>0.0</v>
      </c>
      <c r="ED459" s="174">
        <v>0.0</v>
      </c>
      <c r="EE459" s="174"/>
      <c r="EF459" s="175">
        <v>1.0</v>
      </c>
      <c r="EG459" s="156">
        <v>5.0</v>
      </c>
      <c r="EH459" s="156">
        <v>0.0</v>
      </c>
      <c r="EI459" s="156">
        <v>0.0</v>
      </c>
      <c r="EJ459" s="156">
        <v>0.0</v>
      </c>
      <c r="EK459" s="156">
        <v>0.0</v>
      </c>
      <c r="EL459" s="156">
        <v>0.0</v>
      </c>
      <c r="EM459" s="174"/>
      <c r="EN459" s="174"/>
      <c r="EO459" s="174"/>
      <c r="EP459" s="174"/>
      <c r="EQ459" s="174"/>
      <c r="ER459" s="174"/>
      <c r="ES459" s="174"/>
      <c r="ET459" s="174"/>
      <c r="EU459" s="175">
        <v>1.0</v>
      </c>
      <c r="EV459" s="174"/>
      <c r="EW459" s="174">
        <v>0.0</v>
      </c>
      <c r="EX459" s="174">
        <v>0.0</v>
      </c>
      <c r="EY459" s="174">
        <v>1.0</v>
      </c>
      <c r="EZ459" s="174">
        <v>0.0</v>
      </c>
      <c r="FA459" s="174">
        <v>1.0</v>
      </c>
      <c r="FB459" s="174"/>
      <c r="FC459" s="174"/>
      <c r="FD459" s="174"/>
      <c r="FE459" s="174"/>
      <c r="FF459" s="174">
        <v>1.0</v>
      </c>
      <c r="FG459" s="174"/>
      <c r="FH459" s="174"/>
      <c r="FI459" s="174"/>
      <c r="FJ459" s="174">
        <v>1.0</v>
      </c>
      <c r="FK459" s="174"/>
      <c r="FL459" s="174"/>
      <c r="FM459" s="174"/>
      <c r="FN459" s="174"/>
      <c r="FO459" s="174"/>
      <c r="FP459" s="174"/>
      <c r="FQ459" s="156">
        <v>5.0</v>
      </c>
      <c r="FR459" s="156">
        <v>0.0</v>
      </c>
      <c r="FS459" s="156">
        <v>0.0</v>
      </c>
      <c r="FT459" s="156">
        <v>0.0</v>
      </c>
      <c r="FU459" s="156">
        <v>0.0</v>
      </c>
      <c r="FV459" s="156">
        <v>0.0</v>
      </c>
      <c r="FW459" s="174"/>
      <c r="FX459" s="174"/>
      <c r="FY459" s="174"/>
      <c r="FZ459" s="174"/>
      <c r="GA459" s="174"/>
      <c r="GB459" s="174"/>
      <c r="GC459" s="174"/>
      <c r="GD459" s="174"/>
      <c r="GE459" s="174"/>
      <c r="GF459" s="174"/>
      <c r="GG459" s="174">
        <v>1.0</v>
      </c>
      <c r="GH459" s="174">
        <v>0.0</v>
      </c>
      <c r="GI459" s="174">
        <v>1.0</v>
      </c>
      <c r="GJ459" s="174">
        <v>0.0</v>
      </c>
      <c r="GK459" s="174"/>
      <c r="GL459" s="174">
        <v>0.0</v>
      </c>
      <c r="GM459" s="174">
        <v>0.0</v>
      </c>
      <c r="GN459" s="174">
        <v>1.0</v>
      </c>
      <c r="GO459" s="174"/>
      <c r="GP459" s="176"/>
      <c r="GQ459" s="174"/>
      <c r="GR459" s="175">
        <v>1.0</v>
      </c>
      <c r="GS459" s="174"/>
      <c r="GT459" s="174"/>
      <c r="GU459" s="174">
        <v>1.0</v>
      </c>
      <c r="GV459" s="174"/>
      <c r="GW459" s="174"/>
      <c r="GX459" s="174"/>
      <c r="GY459" s="174"/>
      <c r="GZ459" s="174"/>
      <c r="HA459" s="174"/>
      <c r="HB459" s="155">
        <v>3.0</v>
      </c>
      <c r="HC459" s="155">
        <v>0.0</v>
      </c>
      <c r="HD459" s="155">
        <v>0.0</v>
      </c>
      <c r="HE459" s="155">
        <v>0.0</v>
      </c>
      <c r="HF459" s="155">
        <v>0.0</v>
      </c>
      <c r="HG459" s="155">
        <v>0.0</v>
      </c>
      <c r="HH459" s="174"/>
      <c r="HI459" s="174">
        <v>0.0</v>
      </c>
      <c r="HJ459" s="174">
        <v>1.0</v>
      </c>
      <c r="HK459" s="174">
        <v>0.0</v>
      </c>
      <c r="HL459" s="174"/>
      <c r="HM459" s="174">
        <v>0.0</v>
      </c>
      <c r="HN459" s="174">
        <v>0.0</v>
      </c>
      <c r="HO459" s="174">
        <v>1.0</v>
      </c>
      <c r="HP459" s="174">
        <v>0.0</v>
      </c>
      <c r="HQ459" s="174">
        <v>1.0</v>
      </c>
      <c r="HR459" s="174"/>
      <c r="HS459" s="174"/>
      <c r="HT459" s="174"/>
      <c r="HU459" s="174"/>
      <c r="HV459" s="174"/>
      <c r="HW459" s="174"/>
      <c r="HX459" s="174"/>
      <c r="HY459" s="174"/>
      <c r="HZ459" s="174"/>
      <c r="IA459" s="174"/>
      <c r="IB459" s="174"/>
      <c r="IC459" s="174"/>
      <c r="ID459" s="174"/>
      <c r="IE459" s="174"/>
      <c r="IF459" s="174"/>
      <c r="IG459" s="174"/>
      <c r="IH459" s="174"/>
      <c r="II459" s="174"/>
      <c r="IJ459" s="174"/>
      <c r="IK459" s="174"/>
      <c r="IL459" s="159">
        <v>0.0</v>
      </c>
      <c r="IM459" s="156">
        <v>0.0</v>
      </c>
      <c r="IN459" s="156">
        <v>0.0</v>
      </c>
      <c r="IO459" s="156">
        <v>0.0</v>
      </c>
      <c r="IP459" s="156">
        <v>0.0</v>
      </c>
      <c r="IQ459" s="160">
        <v>0.0</v>
      </c>
      <c r="IR459" s="174"/>
      <c r="IS459" s="174"/>
      <c r="IT459" s="174"/>
      <c r="IU459" s="174"/>
      <c r="IV459" s="174"/>
      <c r="IW459" s="174"/>
      <c r="IX459" s="174"/>
      <c r="IY459" s="174"/>
      <c r="IZ459" s="174"/>
      <c r="JA459" s="174"/>
      <c r="JB459" s="174"/>
      <c r="JC459" s="174"/>
      <c r="JD459" s="174"/>
      <c r="JE459" s="174"/>
      <c r="JF459" s="174"/>
      <c r="JG459" s="174"/>
      <c r="JH459" s="177"/>
      <c r="JI459" s="174"/>
      <c r="JJ459" s="174"/>
      <c r="JK459" s="174"/>
      <c r="JL459" s="174"/>
      <c r="JM459" s="174"/>
      <c r="JN459" s="174"/>
      <c r="JO459" s="174"/>
      <c r="JP459" s="174"/>
      <c r="JQ459" s="174"/>
      <c r="JR459" s="174"/>
      <c r="JS459" s="174"/>
      <c r="JT459" s="174"/>
      <c r="JU459" s="174"/>
      <c r="JV459" s="174"/>
      <c r="JW459" s="159">
        <v>0.0</v>
      </c>
      <c r="JX459" s="156">
        <v>0.0</v>
      </c>
      <c r="JY459" s="156">
        <v>0.0</v>
      </c>
      <c r="JZ459" s="156">
        <v>0.0</v>
      </c>
      <c r="KA459" s="156">
        <v>0.0</v>
      </c>
      <c r="KB459" s="160">
        <v>0.0</v>
      </c>
      <c r="LH459" s="159">
        <f t="shared" si="10"/>
        <v>0</v>
      </c>
      <c r="LI459" s="156">
        <f t="shared" si="11"/>
        <v>0</v>
      </c>
      <c r="LJ459" s="156">
        <f t="shared" si="12"/>
        <v>0</v>
      </c>
      <c r="LK459" s="156">
        <f t="shared" si="13"/>
        <v>0</v>
      </c>
      <c r="LL459" s="156">
        <f t="shared" si="14"/>
        <v>0</v>
      </c>
      <c r="LM459" s="160">
        <f t="shared" si="15"/>
        <v>0</v>
      </c>
      <c r="QX459" s="107">
        <v>46015.0</v>
      </c>
    </row>
    <row r="460">
      <c r="A460" s="12"/>
      <c r="B460" s="12"/>
      <c r="C460" s="12"/>
      <c r="D460" s="12"/>
      <c r="E460" s="58"/>
      <c r="F460" s="12"/>
      <c r="G460" s="12"/>
      <c r="H460" s="12"/>
      <c r="I460" s="143">
        <f t="shared" si="22"/>
        <v>-19</v>
      </c>
      <c r="J460" s="144">
        <v>46030.0</v>
      </c>
      <c r="K460" s="164" t="s">
        <v>53</v>
      </c>
      <c r="L460" s="171">
        <v>46148.0</v>
      </c>
      <c r="M460" s="147" t="s">
        <v>435</v>
      </c>
      <c r="N460" s="148">
        <v>357.0</v>
      </c>
      <c r="O460" s="148">
        <v>30.0</v>
      </c>
      <c r="P460" s="26"/>
      <c r="Q460" s="26"/>
      <c r="R460" s="26"/>
      <c r="S460" s="26"/>
      <c r="T460" s="26"/>
      <c r="U460" s="147" t="s">
        <v>3275</v>
      </c>
      <c r="V460" s="149" t="s">
        <v>3080</v>
      </c>
      <c r="W460" s="198" t="s">
        <v>3276</v>
      </c>
      <c r="X460" s="181">
        <v>0.0</v>
      </c>
      <c r="Y460" s="166">
        <f t="shared" si="23"/>
        <v>19</v>
      </c>
      <c r="Z460" s="26">
        <f t="shared" si="7"/>
        <v>0</v>
      </c>
      <c r="AA460" s="26">
        <f t="shared" si="8"/>
        <v>0</v>
      </c>
      <c r="AB460" s="26">
        <f t="shared" si="9"/>
        <v>0</v>
      </c>
      <c r="AC460" s="155">
        <v>3.0</v>
      </c>
      <c r="AD460" s="155">
        <v>0.0</v>
      </c>
      <c r="AE460" s="155">
        <v>0.0</v>
      </c>
      <c r="AF460" s="155">
        <v>0.0</v>
      </c>
      <c r="AG460" s="155">
        <v>0.0</v>
      </c>
      <c r="AH460" s="155">
        <v>0.0</v>
      </c>
      <c r="AI460" s="167"/>
      <c r="AJ460" s="167"/>
      <c r="AK460" s="167"/>
      <c r="AL460" s="167"/>
      <c r="AM460" s="167"/>
      <c r="AN460" s="167"/>
      <c r="AO460" s="167"/>
      <c r="AP460" s="167">
        <v>1.0</v>
      </c>
      <c r="AQ460" s="167"/>
      <c r="AR460" s="167"/>
      <c r="AS460" s="167"/>
      <c r="AT460" s="167"/>
      <c r="AU460" s="167"/>
      <c r="AV460" s="167"/>
      <c r="AW460" s="167"/>
      <c r="AX460" s="167"/>
      <c r="AY460" s="167"/>
      <c r="AZ460" s="167"/>
      <c r="BA460" s="167"/>
      <c r="BB460" s="167"/>
      <c r="BC460" s="167"/>
      <c r="BD460" s="167">
        <v>1.0</v>
      </c>
      <c r="BE460" s="167"/>
      <c r="BF460" s="167"/>
      <c r="BG460" s="167"/>
      <c r="BH460" s="167"/>
      <c r="BI460" s="167"/>
      <c r="BJ460" s="167"/>
      <c r="BK460" s="167">
        <v>1.0</v>
      </c>
      <c r="BL460" s="167">
        <v>0.0</v>
      </c>
      <c r="BM460" s="167"/>
      <c r="BN460" s="155">
        <v>4.0</v>
      </c>
      <c r="BO460" s="155">
        <v>0.0</v>
      </c>
      <c r="BP460" s="155">
        <v>0.0</v>
      </c>
      <c r="BQ460" s="155">
        <v>0.0</v>
      </c>
      <c r="BR460" s="155">
        <v>0.0</v>
      </c>
      <c r="BS460" s="155">
        <v>0.0</v>
      </c>
      <c r="BT460" s="167"/>
      <c r="BU460" s="167"/>
      <c r="BV460" s="167"/>
      <c r="BW460" s="167"/>
      <c r="BX460" s="167">
        <v>1.0</v>
      </c>
      <c r="BY460" s="167">
        <v>0.0</v>
      </c>
      <c r="BZ460" s="167">
        <v>1.0</v>
      </c>
      <c r="CA460" s="167"/>
      <c r="CB460" s="167"/>
      <c r="CC460" s="167"/>
      <c r="CD460" s="167"/>
      <c r="CE460" s="167">
        <v>1.0</v>
      </c>
      <c r="CF460" s="167"/>
      <c r="CG460" s="167"/>
      <c r="CH460" s="167"/>
      <c r="CI460" s="167"/>
      <c r="CJ460" s="167"/>
      <c r="CK460" s="167"/>
      <c r="CL460" s="167"/>
      <c r="CM460" s="167"/>
      <c r="CN460" s="167"/>
      <c r="CO460" s="167"/>
      <c r="CP460" s="167"/>
      <c r="CQ460" s="167">
        <v>1.0</v>
      </c>
      <c r="CR460" s="167"/>
      <c r="CS460" s="167"/>
      <c r="CT460" s="167"/>
      <c r="CU460" s="167"/>
      <c r="CV460" s="156">
        <v>10.0</v>
      </c>
      <c r="CW460" s="156">
        <v>0.0</v>
      </c>
      <c r="CX460" s="156">
        <v>0.0</v>
      </c>
      <c r="CY460" s="156">
        <v>0.0</v>
      </c>
      <c r="CZ460" s="156">
        <v>0.0</v>
      </c>
      <c r="DA460" s="156">
        <v>0.0</v>
      </c>
      <c r="DB460" s="395"/>
      <c r="DC460" s="395"/>
      <c r="DD460" s="395"/>
      <c r="DE460" s="395"/>
      <c r="DF460" s="395">
        <v>1.0</v>
      </c>
      <c r="DG460" s="395"/>
      <c r="DH460" s="395">
        <v>1.0</v>
      </c>
      <c r="DI460" s="395"/>
      <c r="DJ460" s="395"/>
      <c r="DK460" s="395">
        <v>1.0</v>
      </c>
      <c r="DL460" s="395">
        <v>0.0</v>
      </c>
      <c r="DM460" s="395">
        <v>1.0</v>
      </c>
      <c r="DN460" s="395">
        <v>0.0</v>
      </c>
      <c r="DO460" s="395"/>
      <c r="DP460" s="395">
        <v>0.0</v>
      </c>
      <c r="DQ460" s="395">
        <v>0.0</v>
      </c>
      <c r="DR460" s="395">
        <v>1.0</v>
      </c>
      <c r="DS460" s="395">
        <v>0.0</v>
      </c>
      <c r="DT460" s="395">
        <v>1.0</v>
      </c>
      <c r="DU460" s="395">
        <v>0.0</v>
      </c>
      <c r="DV460" s="395">
        <v>1.0</v>
      </c>
      <c r="DW460" s="395">
        <v>0.0</v>
      </c>
      <c r="DX460" s="395">
        <v>0.0</v>
      </c>
      <c r="DY460" s="395">
        <v>1.0</v>
      </c>
      <c r="DZ460" s="395">
        <v>0.0</v>
      </c>
      <c r="EA460" s="395">
        <v>1.0</v>
      </c>
      <c r="EB460" s="395">
        <v>0.0</v>
      </c>
      <c r="EC460" s="395"/>
      <c r="ED460" s="395">
        <v>0.0</v>
      </c>
      <c r="EE460" s="395">
        <v>0.0</v>
      </c>
      <c r="EF460" s="395">
        <v>1.0</v>
      </c>
      <c r="EG460" s="156">
        <v>2.0</v>
      </c>
      <c r="EH460" s="156">
        <v>0.0</v>
      </c>
      <c r="EI460" s="156">
        <v>0.0</v>
      </c>
      <c r="EJ460" s="156">
        <v>0.0</v>
      </c>
      <c r="EK460" s="156">
        <v>0.0</v>
      </c>
      <c r="EL460" s="156">
        <v>0.0</v>
      </c>
      <c r="EM460" s="395">
        <v>0.0</v>
      </c>
      <c r="EN460" s="395">
        <v>1.0</v>
      </c>
      <c r="EO460" s="395"/>
      <c r="EP460" s="395"/>
      <c r="EQ460" s="395"/>
      <c r="ER460" s="395"/>
      <c r="ES460" s="395">
        <v>1.0</v>
      </c>
      <c r="ET460" s="395"/>
      <c r="EU460" s="395"/>
      <c r="EV460" s="395"/>
      <c r="EW460" s="395"/>
      <c r="EX460" s="395"/>
      <c r="EY460" s="395"/>
      <c r="EZ460" s="395"/>
      <c r="FA460" s="395"/>
      <c r="FB460" s="395"/>
      <c r="FC460" s="395"/>
      <c r="FD460" s="395"/>
      <c r="FE460" s="395"/>
      <c r="FF460" s="395"/>
      <c r="FG460" s="395"/>
      <c r="FH460" s="395"/>
      <c r="FI460" s="395"/>
      <c r="FJ460" s="395"/>
      <c r="FK460" s="395"/>
      <c r="FL460" s="395"/>
      <c r="FM460" s="395"/>
      <c r="FN460" s="395"/>
      <c r="FO460" s="395"/>
      <c r="FP460" s="395"/>
      <c r="FQ460" s="156">
        <v>0.0</v>
      </c>
      <c r="FR460" s="156">
        <v>0.0</v>
      </c>
      <c r="FS460" s="156">
        <v>0.0</v>
      </c>
      <c r="FT460" s="156">
        <v>0.0</v>
      </c>
      <c r="FU460" s="156">
        <v>0.0</v>
      </c>
      <c r="FV460" s="156">
        <v>0.0</v>
      </c>
      <c r="FW460" s="157"/>
      <c r="FX460" s="157"/>
      <c r="FY460" s="157"/>
      <c r="FZ460" s="157"/>
      <c r="GA460" s="157"/>
      <c r="GB460" s="157"/>
      <c r="GC460" s="157"/>
      <c r="GD460" s="157"/>
      <c r="GE460" s="157"/>
      <c r="GF460" s="157"/>
      <c r="GG460" s="157"/>
      <c r="GH460" s="157"/>
      <c r="GI460" s="157"/>
      <c r="GJ460" s="157"/>
      <c r="GK460" s="157"/>
      <c r="GL460" s="157"/>
      <c r="GM460" s="157"/>
      <c r="GN460" s="157"/>
      <c r="GO460" s="157"/>
      <c r="GP460" s="158"/>
      <c r="GQ460" s="157"/>
      <c r="GR460" s="157"/>
      <c r="GS460" s="157"/>
      <c r="GT460" s="157"/>
      <c r="GU460" s="157"/>
      <c r="GV460" s="157"/>
      <c r="GW460" s="157"/>
      <c r="GX460" s="157"/>
      <c r="GY460" s="157"/>
      <c r="GZ460" s="157"/>
      <c r="HA460" s="157"/>
      <c r="HB460" s="155">
        <v>0.0</v>
      </c>
      <c r="HC460" s="155">
        <v>0.0</v>
      </c>
      <c r="HD460" s="155">
        <v>0.0</v>
      </c>
      <c r="HE460" s="155">
        <v>0.0</v>
      </c>
      <c r="HF460" s="155">
        <v>0.0</v>
      </c>
      <c r="HG460" s="155">
        <v>0.0</v>
      </c>
      <c r="IL460" s="159">
        <v>0.0</v>
      </c>
      <c r="IM460" s="156">
        <v>0.0</v>
      </c>
      <c r="IN460" s="156">
        <v>0.0</v>
      </c>
      <c r="IO460" s="156">
        <v>0.0</v>
      </c>
      <c r="IP460" s="156">
        <v>0.0</v>
      </c>
      <c r="IQ460" s="160">
        <v>0.0</v>
      </c>
      <c r="JH460" s="25"/>
      <c r="JW460" s="159">
        <v>0.0</v>
      </c>
      <c r="JX460" s="156">
        <v>0.0</v>
      </c>
      <c r="JY460" s="156">
        <v>0.0</v>
      </c>
      <c r="JZ460" s="156">
        <v>0.0</v>
      </c>
      <c r="KA460" s="156">
        <v>0.0</v>
      </c>
      <c r="KB460" s="160">
        <v>0.0</v>
      </c>
      <c r="LH460" s="159">
        <f t="shared" si="10"/>
        <v>0</v>
      </c>
      <c r="LI460" s="156">
        <f t="shared" si="11"/>
        <v>0</v>
      </c>
      <c r="LJ460" s="156">
        <f t="shared" si="12"/>
        <v>0</v>
      </c>
      <c r="LK460" s="156">
        <f t="shared" si="13"/>
        <v>0</v>
      </c>
      <c r="LL460" s="156">
        <f t="shared" si="14"/>
        <v>0</v>
      </c>
      <c r="LM460" s="160">
        <f t="shared" si="15"/>
        <v>0</v>
      </c>
      <c r="QX460" s="107">
        <v>46016.0</v>
      </c>
    </row>
    <row r="461">
      <c r="A461" s="12"/>
      <c r="B461" s="12"/>
      <c r="C461" s="12"/>
      <c r="D461" s="12"/>
      <c r="E461" s="12"/>
      <c r="F461" s="12"/>
      <c r="G461" s="12"/>
      <c r="H461" s="12"/>
      <c r="I461" s="143">
        <f t="shared" si="22"/>
        <v>-30</v>
      </c>
      <c r="J461" s="144">
        <v>46015.0</v>
      </c>
      <c r="K461" s="145" t="s">
        <v>61</v>
      </c>
      <c r="L461" s="508">
        <v>46092.0</v>
      </c>
      <c r="M461" s="509" t="s">
        <v>107</v>
      </c>
      <c r="N461" s="510">
        <v>246.0</v>
      </c>
      <c r="O461" s="510">
        <v>60.0</v>
      </c>
      <c r="P461" s="511"/>
      <c r="Q461" s="511"/>
      <c r="R461" s="511"/>
      <c r="S461" s="511"/>
      <c r="T461" s="511"/>
      <c r="U461" s="509" t="s">
        <v>1140</v>
      </c>
      <c r="V461" s="518" t="s">
        <v>2501</v>
      </c>
      <c r="W461" s="513" t="s">
        <v>3166</v>
      </c>
      <c r="X461" s="181">
        <v>4.0</v>
      </c>
      <c r="Y461" s="166">
        <f t="shared" si="23"/>
        <v>30</v>
      </c>
      <c r="Z461" s="26">
        <f t="shared" si="7"/>
        <v>0</v>
      </c>
      <c r="AA461" s="26">
        <f t="shared" si="8"/>
        <v>0</v>
      </c>
      <c r="AB461" s="26">
        <f t="shared" si="9"/>
        <v>0</v>
      </c>
      <c r="AC461" s="155">
        <v>13.0</v>
      </c>
      <c r="AD461" s="155">
        <v>0.0</v>
      </c>
      <c r="AE461" s="155">
        <v>0.0</v>
      </c>
      <c r="AF461" s="155">
        <v>0.0</v>
      </c>
      <c r="AG461" s="155">
        <v>0.0</v>
      </c>
      <c r="AH461" s="155">
        <v>0.0</v>
      </c>
      <c r="AI461" s="167">
        <v>0.0</v>
      </c>
      <c r="AJ461" s="167">
        <v>1.0</v>
      </c>
      <c r="AK461" s="167">
        <v>0.0</v>
      </c>
      <c r="AL461" s="167">
        <v>0.0</v>
      </c>
      <c r="AM461" s="167">
        <v>1.0</v>
      </c>
      <c r="AN461" s="167">
        <v>0.0</v>
      </c>
      <c r="AO461" s="167">
        <v>1.0</v>
      </c>
      <c r="AP461" s="167">
        <v>0.0</v>
      </c>
      <c r="AQ461" s="167">
        <v>1.0</v>
      </c>
      <c r="AR461" s="167">
        <v>0.0</v>
      </c>
      <c r="AS461" s="167">
        <v>0.0</v>
      </c>
      <c r="AT461" s="167">
        <v>1.0</v>
      </c>
      <c r="AU461" s="167">
        <v>0.0</v>
      </c>
      <c r="AV461" s="167">
        <v>1.0</v>
      </c>
      <c r="AW461" s="167">
        <v>0.0</v>
      </c>
      <c r="AX461" s="167">
        <v>1.0</v>
      </c>
      <c r="AY461" s="167">
        <v>0.0</v>
      </c>
      <c r="AZ461" s="167">
        <v>0.0</v>
      </c>
      <c r="BA461" s="167">
        <v>1.0</v>
      </c>
      <c r="BB461" s="167">
        <v>0.0</v>
      </c>
      <c r="BC461" s="167">
        <v>1.0</v>
      </c>
      <c r="BD461" s="167">
        <v>0.0</v>
      </c>
      <c r="BE461" s="167">
        <v>1.0</v>
      </c>
      <c r="BF461" s="167">
        <v>0.0</v>
      </c>
      <c r="BG461" s="167">
        <v>0.0</v>
      </c>
      <c r="BH461" s="167">
        <v>1.0</v>
      </c>
      <c r="BI461" s="167">
        <v>0.0</v>
      </c>
      <c r="BJ461" s="167">
        <v>1.0</v>
      </c>
      <c r="BK461" s="167">
        <v>0.0</v>
      </c>
      <c r="BL461" s="167">
        <v>1.0</v>
      </c>
      <c r="BM461" s="167">
        <v>0.0</v>
      </c>
      <c r="BN461" s="155">
        <v>9.0</v>
      </c>
      <c r="BO461" s="155">
        <v>0.0</v>
      </c>
      <c r="BP461" s="155">
        <v>0.0</v>
      </c>
      <c r="BQ461" s="155">
        <v>0.0</v>
      </c>
      <c r="BR461" s="155">
        <v>0.0</v>
      </c>
      <c r="BS461" s="155">
        <v>0.0</v>
      </c>
      <c r="BT461" s="167">
        <v>0.0</v>
      </c>
      <c r="BU461" s="167">
        <v>1.0</v>
      </c>
      <c r="BV461" s="167">
        <v>0.0</v>
      </c>
      <c r="BW461" s="167">
        <v>1.0</v>
      </c>
      <c r="BX461" s="167">
        <v>0.0</v>
      </c>
      <c r="BY461" s="167">
        <v>1.0</v>
      </c>
      <c r="BZ461" s="167">
        <v>0.0</v>
      </c>
      <c r="CA461" s="167">
        <v>0.0</v>
      </c>
      <c r="CB461" s="167">
        <v>1.0</v>
      </c>
      <c r="CC461" s="167">
        <v>0.0</v>
      </c>
      <c r="CD461" s="167">
        <v>1.0</v>
      </c>
      <c r="CE461" s="167">
        <v>0.0</v>
      </c>
      <c r="CF461" s="167">
        <v>1.0</v>
      </c>
      <c r="CG461" s="167"/>
      <c r="CH461" s="167"/>
      <c r="CI461" s="167"/>
      <c r="CJ461" s="167"/>
      <c r="CK461" s="167"/>
      <c r="CL461" s="167"/>
      <c r="CM461" s="167"/>
      <c r="CN461" s="167"/>
      <c r="CO461" s="167"/>
      <c r="CP461" s="167">
        <v>1.0</v>
      </c>
      <c r="CQ461" s="167">
        <v>0.0</v>
      </c>
      <c r="CR461" s="167">
        <v>1.0</v>
      </c>
      <c r="CS461" s="167">
        <v>0.0</v>
      </c>
      <c r="CT461" s="167">
        <v>1.0</v>
      </c>
      <c r="CU461" s="167">
        <v>0.0</v>
      </c>
      <c r="CV461" s="156">
        <v>4.0</v>
      </c>
      <c r="CW461" s="156">
        <v>0.0</v>
      </c>
      <c r="CX461" s="156">
        <v>0.0</v>
      </c>
      <c r="CY461" s="156">
        <v>0.0</v>
      </c>
      <c r="CZ461" s="156">
        <v>0.0</v>
      </c>
      <c r="DA461" s="156">
        <v>0.0</v>
      </c>
      <c r="DB461" s="174">
        <v>0.0</v>
      </c>
      <c r="DC461" s="174">
        <v>1.0</v>
      </c>
      <c r="DD461" s="174">
        <v>0.0</v>
      </c>
      <c r="DE461" s="174">
        <v>1.0</v>
      </c>
      <c r="DF461" s="174">
        <v>0.0</v>
      </c>
      <c r="DG461" s="174">
        <v>1.0</v>
      </c>
      <c r="DH461" s="174">
        <v>0.0</v>
      </c>
      <c r="DI461" s="174">
        <v>0.0</v>
      </c>
      <c r="DJ461" s="174">
        <v>1.0</v>
      </c>
      <c r="DK461" s="174"/>
      <c r="DL461" s="174"/>
      <c r="DM461" s="174"/>
      <c r="DN461" s="174"/>
      <c r="DO461" s="174"/>
      <c r="DP461" s="174"/>
      <c r="DQ461" s="174"/>
      <c r="DR461" s="174"/>
      <c r="DS461" s="174"/>
      <c r="DT461" s="174"/>
      <c r="DU461" s="174"/>
      <c r="DV461" s="174"/>
      <c r="DW461" s="174"/>
      <c r="DX461" s="174"/>
      <c r="DY461" s="174"/>
      <c r="DZ461" s="174"/>
      <c r="EA461" s="174"/>
      <c r="EB461" s="174"/>
      <c r="EC461" s="174"/>
      <c r="ED461" s="174"/>
      <c r="EE461" s="174"/>
      <c r="EF461" s="174"/>
      <c r="EG461" s="156">
        <v>0.0</v>
      </c>
      <c r="EH461" s="156">
        <v>0.0</v>
      </c>
      <c r="EI461" s="156">
        <v>0.0</v>
      </c>
      <c r="EJ461" s="156">
        <v>0.0</v>
      </c>
      <c r="EK461" s="156">
        <v>0.0</v>
      </c>
      <c r="EL461" s="156">
        <v>0.0</v>
      </c>
      <c r="EM461" s="174"/>
      <c r="EN461" s="174"/>
      <c r="EO461" s="174"/>
      <c r="EP461" s="174"/>
      <c r="EQ461" s="174"/>
      <c r="ER461" s="174"/>
      <c r="ES461" s="174"/>
      <c r="ET461" s="174"/>
      <c r="EU461" s="174"/>
      <c r="EV461" s="174"/>
      <c r="EW461" s="174"/>
      <c r="EX461" s="174"/>
      <c r="EY461" s="174"/>
      <c r="EZ461" s="174"/>
      <c r="FA461" s="174"/>
      <c r="FB461" s="174"/>
      <c r="FC461" s="174"/>
      <c r="FD461" s="174"/>
      <c r="FE461" s="174"/>
      <c r="FF461" s="174"/>
      <c r="FG461" s="174"/>
      <c r="FH461" s="174"/>
      <c r="FI461" s="174"/>
      <c r="FJ461" s="174"/>
      <c r="FK461" s="174"/>
      <c r="FL461" s="174"/>
      <c r="FM461" s="174"/>
      <c r="FN461" s="174"/>
      <c r="FO461" s="174"/>
      <c r="FP461" s="174"/>
      <c r="FQ461" s="156">
        <v>0.0</v>
      </c>
      <c r="FR461" s="156">
        <v>0.0</v>
      </c>
      <c r="FS461" s="156">
        <v>0.0</v>
      </c>
      <c r="FT461" s="156">
        <v>0.0</v>
      </c>
      <c r="FU461" s="156">
        <v>0.0</v>
      </c>
      <c r="FV461" s="156">
        <v>0.0</v>
      </c>
      <c r="FW461" s="157"/>
      <c r="FX461" s="157"/>
      <c r="FY461" s="157"/>
      <c r="FZ461" s="157"/>
      <c r="GA461" s="157"/>
      <c r="GB461" s="157"/>
      <c r="GC461" s="157"/>
      <c r="GD461" s="157"/>
      <c r="GE461" s="157"/>
      <c r="GF461" s="157"/>
      <c r="GG461" s="157"/>
      <c r="GH461" s="157"/>
      <c r="GI461" s="157"/>
      <c r="GJ461" s="157"/>
      <c r="GK461" s="157"/>
      <c r="GL461" s="157"/>
      <c r="GM461" s="157"/>
      <c r="GN461" s="157"/>
      <c r="GO461" s="157"/>
      <c r="GP461" s="158"/>
      <c r="GQ461" s="157"/>
      <c r="GR461" s="157"/>
      <c r="GS461" s="157"/>
      <c r="GT461" s="157"/>
      <c r="GU461" s="157"/>
      <c r="GV461" s="157"/>
      <c r="GW461" s="157"/>
      <c r="GX461" s="157"/>
      <c r="GY461" s="157"/>
      <c r="GZ461" s="157"/>
      <c r="HA461" s="157"/>
      <c r="HB461" s="155">
        <v>0.0</v>
      </c>
      <c r="HC461" s="155">
        <v>0.0</v>
      </c>
      <c r="HD461" s="155">
        <v>0.0</v>
      </c>
      <c r="HE461" s="155">
        <v>0.0</v>
      </c>
      <c r="HF461" s="155">
        <v>0.0</v>
      </c>
      <c r="HG461" s="155">
        <v>0.0</v>
      </c>
      <c r="IL461" s="159">
        <v>0.0</v>
      </c>
      <c r="IM461" s="156">
        <v>0.0</v>
      </c>
      <c r="IN461" s="156">
        <v>0.0</v>
      </c>
      <c r="IO461" s="156">
        <v>0.0</v>
      </c>
      <c r="IP461" s="156">
        <v>0.0</v>
      </c>
      <c r="IQ461" s="160">
        <v>0.0</v>
      </c>
      <c r="JH461" s="25"/>
      <c r="JW461" s="159">
        <v>0.0</v>
      </c>
      <c r="JX461" s="156">
        <v>0.0</v>
      </c>
      <c r="JY461" s="156">
        <v>0.0</v>
      </c>
      <c r="JZ461" s="156">
        <v>0.0</v>
      </c>
      <c r="KA461" s="156">
        <v>0.0</v>
      </c>
      <c r="KB461" s="160">
        <v>0.0</v>
      </c>
      <c r="LH461" s="159">
        <f t="shared" si="10"/>
        <v>0</v>
      </c>
      <c r="LI461" s="156">
        <f t="shared" si="11"/>
        <v>0</v>
      </c>
      <c r="LJ461" s="156">
        <f t="shared" si="12"/>
        <v>0</v>
      </c>
      <c r="LK461" s="156">
        <f t="shared" si="13"/>
        <v>0</v>
      </c>
      <c r="LL461" s="156">
        <f t="shared" si="14"/>
        <v>0</v>
      </c>
      <c r="LM461" s="160">
        <f t="shared" si="15"/>
        <v>0</v>
      </c>
      <c r="QX461" s="107">
        <v>46016.0</v>
      </c>
    </row>
    <row r="462">
      <c r="A462" s="12"/>
      <c r="B462" s="12"/>
      <c r="C462" s="12"/>
      <c r="D462" s="12"/>
      <c r="E462" s="12"/>
      <c r="F462" s="12"/>
      <c r="G462" s="12"/>
      <c r="H462" s="12"/>
      <c r="I462" s="143">
        <f t="shared" si="22"/>
        <v>-30</v>
      </c>
      <c r="J462" s="144">
        <v>46011.0</v>
      </c>
      <c r="K462" s="145" t="s">
        <v>61</v>
      </c>
      <c r="L462" s="171">
        <v>46098.0</v>
      </c>
      <c r="M462" s="147" t="s">
        <v>400</v>
      </c>
      <c r="N462" s="148">
        <v>357.0</v>
      </c>
      <c r="O462" s="148">
        <v>30.0</v>
      </c>
      <c r="P462" s="26"/>
      <c r="Q462" s="26"/>
      <c r="R462" s="26"/>
      <c r="S462" s="26"/>
      <c r="T462" s="26"/>
      <c r="U462" s="147" t="s">
        <v>3277</v>
      </c>
      <c r="V462" s="149" t="s">
        <v>3201</v>
      </c>
      <c r="W462" s="248" t="s">
        <v>3278</v>
      </c>
      <c r="X462" s="181">
        <v>5.0</v>
      </c>
      <c r="Y462" s="166">
        <f t="shared" si="23"/>
        <v>30</v>
      </c>
      <c r="Z462" s="26">
        <f t="shared" si="7"/>
        <v>0</v>
      </c>
      <c r="AA462" s="26">
        <f t="shared" si="8"/>
        <v>0</v>
      </c>
      <c r="AB462" s="26">
        <f t="shared" si="9"/>
        <v>0</v>
      </c>
      <c r="AC462" s="155">
        <v>13.0</v>
      </c>
      <c r="AD462" s="155">
        <v>0.0</v>
      </c>
      <c r="AE462" s="155">
        <v>0.0</v>
      </c>
      <c r="AF462" s="155">
        <v>0.0</v>
      </c>
      <c r="AG462" s="155">
        <v>0.0</v>
      </c>
      <c r="AH462" s="155">
        <v>0.0</v>
      </c>
      <c r="AI462" s="167"/>
      <c r="AJ462" s="167"/>
      <c r="AK462" s="167">
        <v>1.0</v>
      </c>
      <c r="AL462" s="167">
        <v>0.0</v>
      </c>
      <c r="AM462" s="167">
        <v>0.0</v>
      </c>
      <c r="AN462" s="167">
        <v>1.0</v>
      </c>
      <c r="AO462" s="167">
        <v>0.0</v>
      </c>
      <c r="AP462" s="167">
        <v>1.0</v>
      </c>
      <c r="AQ462" s="167">
        <v>0.0</v>
      </c>
      <c r="AR462" s="167">
        <v>1.0</v>
      </c>
      <c r="AS462" s="167">
        <v>0.0</v>
      </c>
      <c r="AT462" s="167">
        <v>0.0</v>
      </c>
      <c r="AU462" s="167">
        <v>1.0</v>
      </c>
      <c r="AV462" s="167">
        <v>0.0</v>
      </c>
      <c r="AW462" s="167">
        <v>1.0</v>
      </c>
      <c r="AX462" s="167">
        <v>0.0</v>
      </c>
      <c r="AY462" s="167">
        <v>1.0</v>
      </c>
      <c r="AZ462" s="167">
        <v>0.0</v>
      </c>
      <c r="BA462" s="167">
        <v>0.0</v>
      </c>
      <c r="BB462" s="167">
        <v>1.0</v>
      </c>
      <c r="BC462" s="167">
        <v>0.0</v>
      </c>
      <c r="BD462" s="167">
        <v>1.0</v>
      </c>
      <c r="BE462" s="167">
        <v>0.0</v>
      </c>
      <c r="BF462" s="167">
        <v>1.0</v>
      </c>
      <c r="BG462" s="167">
        <v>0.0</v>
      </c>
      <c r="BH462" s="167">
        <v>0.0</v>
      </c>
      <c r="BI462" s="167">
        <v>1.0</v>
      </c>
      <c r="BJ462" s="167">
        <v>0.0</v>
      </c>
      <c r="BK462" s="167">
        <v>1.0</v>
      </c>
      <c r="BL462" s="167">
        <v>0.0</v>
      </c>
      <c r="BM462" s="167">
        <v>1.0</v>
      </c>
      <c r="BN462" s="155">
        <v>5.0</v>
      </c>
      <c r="BO462" s="155">
        <v>0.0</v>
      </c>
      <c r="BP462" s="155">
        <v>0.0</v>
      </c>
      <c r="BQ462" s="155">
        <v>0.0</v>
      </c>
      <c r="BR462" s="155">
        <v>0.0</v>
      </c>
      <c r="BS462" s="155">
        <v>0.0</v>
      </c>
      <c r="BT462" s="167"/>
      <c r="BU462" s="167"/>
      <c r="BV462" s="167"/>
      <c r="BW462" s="167"/>
      <c r="BX462" s="167"/>
      <c r="BY462" s="167"/>
      <c r="BZ462" s="167"/>
      <c r="CA462" s="167"/>
      <c r="CB462" s="167"/>
      <c r="CC462" s="167">
        <v>1.0</v>
      </c>
      <c r="CD462" s="167">
        <v>0.0</v>
      </c>
      <c r="CE462" s="167">
        <v>1.0</v>
      </c>
      <c r="CF462" s="167">
        <v>0.0</v>
      </c>
      <c r="CG462" s="167">
        <v>1.0</v>
      </c>
      <c r="CH462" s="167"/>
      <c r="CI462" s="167"/>
      <c r="CJ462" s="167"/>
      <c r="CK462" s="167"/>
      <c r="CL462" s="167"/>
      <c r="CM462" s="167"/>
      <c r="CN462" s="167"/>
      <c r="CO462" s="167"/>
      <c r="CP462" s="167"/>
      <c r="CQ462" s="167">
        <v>1.0</v>
      </c>
      <c r="CR462" s="167">
        <v>0.0</v>
      </c>
      <c r="CS462" s="167">
        <v>1.0</v>
      </c>
      <c r="CT462" s="167"/>
      <c r="CU462" s="167"/>
      <c r="CV462" s="156">
        <v>7.0</v>
      </c>
      <c r="CW462" s="156">
        <v>0.0</v>
      </c>
      <c r="CX462" s="156">
        <v>0.0</v>
      </c>
      <c r="CY462" s="156">
        <v>0.0</v>
      </c>
      <c r="CZ462" s="156">
        <v>0.0</v>
      </c>
      <c r="DA462" s="156">
        <v>0.0</v>
      </c>
      <c r="DB462" s="395">
        <v>0.0</v>
      </c>
      <c r="DC462" s="395">
        <v>0.0</v>
      </c>
      <c r="DD462" s="395">
        <v>1.0</v>
      </c>
      <c r="DE462" s="395">
        <v>0.0</v>
      </c>
      <c r="DF462" s="395">
        <v>1.0</v>
      </c>
      <c r="DG462" s="395">
        <v>0.0</v>
      </c>
      <c r="DH462" s="395">
        <v>1.0</v>
      </c>
      <c r="DI462" s="395">
        <v>0.0</v>
      </c>
      <c r="DJ462" s="395">
        <v>0.0</v>
      </c>
      <c r="DK462" s="395">
        <v>1.0</v>
      </c>
      <c r="DL462" s="395">
        <v>0.0</v>
      </c>
      <c r="DM462" s="395">
        <v>1.0</v>
      </c>
      <c r="DN462" s="395">
        <v>0.0</v>
      </c>
      <c r="DO462" s="395">
        <v>1.0</v>
      </c>
      <c r="DP462" s="395">
        <v>0.0</v>
      </c>
      <c r="DQ462" s="395">
        <v>0.0</v>
      </c>
      <c r="DR462" s="395">
        <v>1.0</v>
      </c>
      <c r="DS462" s="395"/>
      <c r="DT462" s="395"/>
      <c r="DU462" s="395"/>
      <c r="DV462" s="395"/>
      <c r="DW462" s="395"/>
      <c r="DX462" s="395"/>
      <c r="DY462" s="395"/>
      <c r="DZ462" s="395"/>
      <c r="EA462" s="395"/>
      <c r="EB462" s="395"/>
      <c r="EC462" s="395"/>
      <c r="ED462" s="395"/>
      <c r="EE462" s="395"/>
      <c r="EF462" s="395"/>
      <c r="EG462" s="156">
        <v>0.0</v>
      </c>
      <c r="EH462" s="156">
        <v>0.0</v>
      </c>
      <c r="EI462" s="156">
        <v>0.0</v>
      </c>
      <c r="EJ462" s="156">
        <v>0.0</v>
      </c>
      <c r="EK462" s="156">
        <v>0.0</v>
      </c>
      <c r="EL462" s="156">
        <v>0.0</v>
      </c>
      <c r="FQ462" s="156">
        <v>0.0</v>
      </c>
      <c r="FR462" s="156">
        <v>0.0</v>
      </c>
      <c r="FS462" s="156">
        <v>0.0</v>
      </c>
      <c r="FT462" s="156">
        <v>0.0</v>
      </c>
      <c r="FU462" s="156">
        <v>0.0</v>
      </c>
      <c r="FV462" s="156">
        <v>0.0</v>
      </c>
      <c r="FW462" s="157"/>
      <c r="FX462" s="157"/>
      <c r="FY462" s="157"/>
      <c r="FZ462" s="157"/>
      <c r="GA462" s="157"/>
      <c r="GB462" s="157"/>
      <c r="GC462" s="157"/>
      <c r="GD462" s="157"/>
      <c r="GE462" s="157"/>
      <c r="GF462" s="157"/>
      <c r="GG462" s="157"/>
      <c r="GH462" s="157"/>
      <c r="GI462" s="157"/>
      <c r="GJ462" s="157"/>
      <c r="GK462" s="157"/>
      <c r="GL462" s="157"/>
      <c r="GM462" s="157"/>
      <c r="GN462" s="157"/>
      <c r="GO462" s="157"/>
      <c r="GP462" s="158"/>
      <c r="GQ462" s="157"/>
      <c r="GR462" s="157"/>
      <c r="GS462" s="157"/>
      <c r="GT462" s="157"/>
      <c r="GU462" s="157"/>
      <c r="GV462" s="157"/>
      <c r="GW462" s="157"/>
      <c r="GX462" s="157"/>
      <c r="GY462" s="157"/>
      <c r="GZ462" s="157"/>
      <c r="HA462" s="157"/>
      <c r="HB462" s="155">
        <v>0.0</v>
      </c>
      <c r="HC462" s="155">
        <v>0.0</v>
      </c>
      <c r="HD462" s="155">
        <v>0.0</v>
      </c>
      <c r="HE462" s="155">
        <v>0.0</v>
      </c>
      <c r="HF462" s="155">
        <v>0.0</v>
      </c>
      <c r="HG462" s="155">
        <v>0.0</v>
      </c>
      <c r="IL462" s="159">
        <v>0.0</v>
      </c>
      <c r="IM462" s="156">
        <v>0.0</v>
      </c>
      <c r="IN462" s="156">
        <v>0.0</v>
      </c>
      <c r="IO462" s="156">
        <v>0.0</v>
      </c>
      <c r="IP462" s="156">
        <v>0.0</v>
      </c>
      <c r="IQ462" s="160">
        <v>0.0</v>
      </c>
      <c r="JH462" s="25"/>
      <c r="JW462" s="159">
        <v>0.0</v>
      </c>
      <c r="JX462" s="156">
        <v>0.0</v>
      </c>
      <c r="JY462" s="156">
        <v>0.0</v>
      </c>
      <c r="JZ462" s="156">
        <v>0.0</v>
      </c>
      <c r="KA462" s="156">
        <v>0.0</v>
      </c>
      <c r="KB462" s="160">
        <v>0.0</v>
      </c>
      <c r="LH462" s="159">
        <f t="shared" si="10"/>
        <v>0</v>
      </c>
      <c r="LI462" s="156">
        <f t="shared" si="11"/>
        <v>0</v>
      </c>
      <c r="LJ462" s="156">
        <f t="shared" si="12"/>
        <v>0</v>
      </c>
      <c r="LK462" s="156">
        <f t="shared" si="13"/>
        <v>0</v>
      </c>
      <c r="LL462" s="156">
        <f t="shared" si="14"/>
        <v>0</v>
      </c>
      <c r="LM462" s="160">
        <f t="shared" si="15"/>
        <v>0</v>
      </c>
      <c r="QX462" s="107">
        <v>46017.0</v>
      </c>
    </row>
    <row r="463">
      <c r="A463" s="12"/>
      <c r="B463" s="12"/>
      <c r="C463" s="12"/>
      <c r="D463" s="12"/>
      <c r="E463" s="12"/>
      <c r="F463" s="12"/>
      <c r="G463" s="12"/>
      <c r="H463" s="12"/>
      <c r="I463" s="143">
        <f t="shared" si="22"/>
        <v>-32</v>
      </c>
      <c r="J463" s="144">
        <v>46013.0</v>
      </c>
      <c r="K463" s="164" t="s">
        <v>61</v>
      </c>
      <c r="L463" s="171">
        <v>46135.0</v>
      </c>
      <c r="M463" s="147" t="s">
        <v>1985</v>
      </c>
      <c r="N463" s="148">
        <v>246.0</v>
      </c>
      <c r="O463" s="148">
        <v>30.0</v>
      </c>
      <c r="P463" s="26"/>
      <c r="Q463" s="26"/>
      <c r="R463" s="26"/>
      <c r="S463" s="26"/>
      <c r="T463" s="26"/>
      <c r="U463" s="147" t="s">
        <v>3164</v>
      </c>
      <c r="V463" s="149" t="s">
        <v>2801</v>
      </c>
      <c r="W463" s="198" t="s">
        <v>3279</v>
      </c>
      <c r="X463" s="181">
        <v>5.0</v>
      </c>
      <c r="Y463" s="166">
        <f t="shared" si="23"/>
        <v>32</v>
      </c>
      <c r="Z463" s="26">
        <f t="shared" si="7"/>
        <v>0</v>
      </c>
      <c r="AA463" s="26">
        <f t="shared" si="8"/>
        <v>0</v>
      </c>
      <c r="AB463" s="26">
        <f t="shared" si="9"/>
        <v>0</v>
      </c>
      <c r="AC463" s="155">
        <v>10.0</v>
      </c>
      <c r="AD463" s="155">
        <v>0.0</v>
      </c>
      <c r="AE463" s="155">
        <v>0.0</v>
      </c>
      <c r="AF463" s="155">
        <v>0.0</v>
      </c>
      <c r="AG463" s="155">
        <v>0.0</v>
      </c>
      <c r="AH463" s="155">
        <v>0.0</v>
      </c>
      <c r="AI463" s="167">
        <v>0.0</v>
      </c>
      <c r="AJ463" s="167">
        <v>1.0</v>
      </c>
      <c r="AK463" s="167">
        <v>0.0</v>
      </c>
      <c r="AL463" s="167">
        <v>0.0</v>
      </c>
      <c r="AM463" s="167">
        <v>1.0</v>
      </c>
      <c r="AN463" s="167">
        <v>0.0</v>
      </c>
      <c r="AO463" s="167">
        <v>1.0</v>
      </c>
      <c r="AP463" s="167">
        <v>0.0</v>
      </c>
      <c r="AQ463" s="167"/>
      <c r="AR463" s="168">
        <v>1.0</v>
      </c>
      <c r="AS463" s="167">
        <v>0.0</v>
      </c>
      <c r="AT463" s="167">
        <v>1.0</v>
      </c>
      <c r="AU463" s="167"/>
      <c r="AV463" s="167"/>
      <c r="AW463" s="168">
        <v>1.0</v>
      </c>
      <c r="AX463" s="167">
        <v>1.0</v>
      </c>
      <c r="AY463" s="167"/>
      <c r="AZ463" s="167"/>
      <c r="BA463" s="167"/>
      <c r="BB463" s="167"/>
      <c r="BC463" s="167"/>
      <c r="BD463" s="167"/>
      <c r="BE463" s="167"/>
      <c r="BF463" s="168">
        <v>1.0</v>
      </c>
      <c r="BG463" s="168">
        <v>1.0</v>
      </c>
      <c r="BH463" s="167"/>
      <c r="BI463" s="167"/>
      <c r="BJ463" s="167"/>
      <c r="BK463" s="167"/>
      <c r="BL463" s="167"/>
      <c r="BM463" s="168">
        <v>1.0</v>
      </c>
      <c r="BN463" s="155">
        <v>5.0</v>
      </c>
      <c r="BO463" s="155">
        <v>0.0</v>
      </c>
      <c r="BP463" s="155">
        <v>0.0</v>
      </c>
      <c r="BQ463" s="155">
        <v>0.0</v>
      </c>
      <c r="BR463" s="155">
        <v>0.0</v>
      </c>
      <c r="BS463" s="155">
        <v>0.0</v>
      </c>
      <c r="BT463" s="168">
        <v>1.0</v>
      </c>
      <c r="BU463" s="167"/>
      <c r="BV463" s="167"/>
      <c r="BW463" s="167"/>
      <c r="BX463" s="167"/>
      <c r="BY463" s="167"/>
      <c r="BZ463" s="168">
        <v>1.0</v>
      </c>
      <c r="CA463" s="168">
        <v>1.0</v>
      </c>
      <c r="CB463" s="167"/>
      <c r="CC463" s="167"/>
      <c r="CD463" s="167"/>
      <c r="CE463" s="167"/>
      <c r="CF463" s="167"/>
      <c r="CG463" s="168">
        <v>1.0</v>
      </c>
      <c r="CH463" s="167"/>
      <c r="CI463" s="167"/>
      <c r="CJ463" s="167"/>
      <c r="CK463" s="167"/>
      <c r="CL463" s="167"/>
      <c r="CM463" s="167"/>
      <c r="CN463" s="167"/>
      <c r="CO463" s="167"/>
      <c r="CP463" s="167"/>
      <c r="CQ463" s="167"/>
      <c r="CR463" s="167"/>
      <c r="CS463" s="167"/>
      <c r="CT463" s="167"/>
      <c r="CU463" s="168">
        <v>1.0</v>
      </c>
      <c r="CV463" s="156">
        <v>9.0</v>
      </c>
      <c r="CW463" s="156">
        <v>0.0</v>
      </c>
      <c r="CX463" s="156">
        <v>0.0</v>
      </c>
      <c r="CY463" s="156">
        <v>0.0</v>
      </c>
      <c r="CZ463" s="156">
        <v>0.0</v>
      </c>
      <c r="DA463" s="156">
        <v>0.0</v>
      </c>
      <c r="DB463" s="175">
        <v>1.0</v>
      </c>
      <c r="DC463" s="174"/>
      <c r="DD463" s="174"/>
      <c r="DE463" s="174"/>
      <c r="DF463" s="174"/>
      <c r="DG463" s="174"/>
      <c r="DH463" s="175">
        <v>1.0</v>
      </c>
      <c r="DI463" s="175">
        <v>1.0</v>
      </c>
      <c r="DJ463" s="174"/>
      <c r="DK463" s="174"/>
      <c r="DL463" s="174"/>
      <c r="DM463" s="174"/>
      <c r="DN463" s="174"/>
      <c r="DO463" s="175">
        <v>1.0</v>
      </c>
      <c r="DP463" s="175">
        <v>1.0</v>
      </c>
      <c r="DQ463" s="174"/>
      <c r="DR463" s="174"/>
      <c r="DS463" s="174"/>
      <c r="DT463" s="174"/>
      <c r="DU463" s="174"/>
      <c r="DV463" s="175">
        <v>1.0</v>
      </c>
      <c r="DW463" s="175">
        <v>1.0</v>
      </c>
      <c r="DX463" s="174"/>
      <c r="DY463" s="174"/>
      <c r="DZ463" s="174"/>
      <c r="EA463" s="174"/>
      <c r="EB463" s="174"/>
      <c r="EC463" s="175">
        <v>1.0</v>
      </c>
      <c r="ED463" s="175">
        <v>1.0</v>
      </c>
      <c r="EE463" s="174"/>
      <c r="EF463" s="174"/>
      <c r="EG463" s="156">
        <v>3.0</v>
      </c>
      <c r="EH463" s="156">
        <v>0.0</v>
      </c>
      <c r="EI463" s="156">
        <v>0.0</v>
      </c>
      <c r="EJ463" s="156">
        <v>0.0</v>
      </c>
      <c r="EK463" s="156">
        <v>0.0</v>
      </c>
      <c r="EL463" s="156">
        <v>0.0</v>
      </c>
      <c r="EM463" s="174"/>
      <c r="EN463" s="174"/>
      <c r="EO463" s="174"/>
      <c r="EP463" s="175">
        <v>1.0</v>
      </c>
      <c r="EQ463" s="175">
        <v>1.0</v>
      </c>
      <c r="ER463" s="174"/>
      <c r="ES463" s="174"/>
      <c r="ET463" s="174"/>
      <c r="EU463" s="174"/>
      <c r="EV463" s="174"/>
      <c r="EW463" s="175">
        <v>1.0</v>
      </c>
      <c r="EX463" s="174"/>
      <c r="EY463" s="174"/>
      <c r="EZ463" s="174"/>
      <c r="FA463" s="174"/>
      <c r="FB463" s="174"/>
      <c r="FC463" s="174"/>
      <c r="FD463" s="174"/>
      <c r="FE463" s="174"/>
      <c r="FF463" s="174"/>
      <c r="FG463" s="174"/>
      <c r="FH463" s="174"/>
      <c r="FI463" s="174"/>
      <c r="FJ463" s="174"/>
      <c r="FK463" s="174"/>
      <c r="FL463" s="174"/>
      <c r="FM463" s="174"/>
      <c r="FN463" s="174"/>
      <c r="FO463" s="174"/>
      <c r="FP463" s="174"/>
      <c r="FQ463" s="156">
        <v>0.0</v>
      </c>
      <c r="FR463" s="156">
        <v>0.0</v>
      </c>
      <c r="FS463" s="156">
        <v>0.0</v>
      </c>
      <c r="FT463" s="156">
        <v>0.0</v>
      </c>
      <c r="FU463" s="156">
        <v>0.0</v>
      </c>
      <c r="FV463" s="156">
        <v>0.0</v>
      </c>
      <c r="FW463" s="157"/>
      <c r="FX463" s="157"/>
      <c r="FY463" s="157"/>
      <c r="FZ463" s="157"/>
      <c r="GA463" s="157"/>
      <c r="GB463" s="157"/>
      <c r="GC463" s="157"/>
      <c r="GD463" s="157"/>
      <c r="GE463" s="157"/>
      <c r="GF463" s="157"/>
      <c r="GG463" s="157"/>
      <c r="GH463" s="157"/>
      <c r="GI463" s="157"/>
      <c r="GJ463" s="157"/>
      <c r="GK463" s="157"/>
      <c r="GL463" s="157"/>
      <c r="GM463" s="157"/>
      <c r="GN463" s="157"/>
      <c r="GO463" s="157"/>
      <c r="GP463" s="158"/>
      <c r="GQ463" s="157"/>
      <c r="GR463" s="157"/>
      <c r="GS463" s="157"/>
      <c r="GT463" s="157"/>
      <c r="GU463" s="157"/>
      <c r="GV463" s="157"/>
      <c r="GW463" s="157"/>
      <c r="GX463" s="157"/>
      <c r="GY463" s="157"/>
      <c r="GZ463" s="157"/>
      <c r="HA463" s="157"/>
      <c r="HB463" s="155">
        <v>0.0</v>
      </c>
      <c r="HC463" s="155">
        <v>0.0</v>
      </c>
      <c r="HD463" s="155">
        <v>0.0</v>
      </c>
      <c r="HE463" s="155">
        <v>0.0</v>
      </c>
      <c r="HF463" s="155">
        <v>0.0</v>
      </c>
      <c r="HG463" s="155">
        <v>0.0</v>
      </c>
      <c r="IL463" s="159">
        <v>0.0</v>
      </c>
      <c r="IM463" s="156">
        <v>0.0</v>
      </c>
      <c r="IN463" s="156">
        <v>0.0</v>
      </c>
      <c r="IO463" s="156">
        <v>0.0</v>
      </c>
      <c r="IP463" s="156">
        <v>0.0</v>
      </c>
      <c r="IQ463" s="160">
        <v>0.0</v>
      </c>
      <c r="JH463" s="25"/>
      <c r="JW463" s="159">
        <v>0.0</v>
      </c>
      <c r="JX463" s="156">
        <v>0.0</v>
      </c>
      <c r="JY463" s="156">
        <v>0.0</v>
      </c>
      <c r="JZ463" s="156">
        <v>0.0</v>
      </c>
      <c r="KA463" s="156">
        <v>0.0</v>
      </c>
      <c r="KB463" s="160">
        <v>0.0</v>
      </c>
      <c r="LH463" s="159">
        <f t="shared" si="10"/>
        <v>0</v>
      </c>
      <c r="LI463" s="156">
        <f t="shared" si="11"/>
        <v>0</v>
      </c>
      <c r="LJ463" s="156">
        <f t="shared" si="12"/>
        <v>0</v>
      </c>
      <c r="LK463" s="156">
        <f t="shared" si="13"/>
        <v>0</v>
      </c>
      <c r="LL463" s="156">
        <f t="shared" si="14"/>
        <v>0</v>
      </c>
      <c r="LM463" s="160">
        <f t="shared" si="15"/>
        <v>0</v>
      </c>
      <c r="QX463" s="107">
        <v>46017.0</v>
      </c>
    </row>
    <row r="464">
      <c r="A464" s="12"/>
      <c r="B464" s="12"/>
      <c r="C464" s="12"/>
      <c r="D464" s="12"/>
      <c r="E464" s="12"/>
      <c r="F464" s="12"/>
      <c r="G464" s="12"/>
      <c r="H464" s="12"/>
      <c r="I464" s="143">
        <f t="shared" si="22"/>
        <v>-30</v>
      </c>
      <c r="J464" s="144">
        <v>46015.0</v>
      </c>
      <c r="K464" s="145" t="s">
        <v>61</v>
      </c>
      <c r="L464" s="508">
        <v>46092.0</v>
      </c>
      <c r="M464" s="509" t="s">
        <v>107</v>
      </c>
      <c r="N464" s="510">
        <v>246.0</v>
      </c>
      <c r="O464" s="510">
        <v>60.0</v>
      </c>
      <c r="P464" s="511"/>
      <c r="Q464" s="511"/>
      <c r="R464" s="511"/>
      <c r="S464" s="511"/>
      <c r="T464" s="511"/>
      <c r="U464" s="509" t="s">
        <v>1140</v>
      </c>
      <c r="V464" s="518" t="s">
        <v>2501</v>
      </c>
      <c r="W464" s="513" t="s">
        <v>3166</v>
      </c>
      <c r="X464" s="181">
        <v>4.0</v>
      </c>
      <c r="Y464" s="166">
        <f t="shared" si="23"/>
        <v>30</v>
      </c>
      <c r="Z464" s="26">
        <f t="shared" si="7"/>
        <v>0</v>
      </c>
      <c r="AA464" s="26">
        <f t="shared" si="8"/>
        <v>0</v>
      </c>
      <c r="AB464" s="26">
        <f t="shared" si="9"/>
        <v>0</v>
      </c>
      <c r="AC464" s="155">
        <v>13.0</v>
      </c>
      <c r="AD464" s="155">
        <v>0.0</v>
      </c>
      <c r="AE464" s="155">
        <v>0.0</v>
      </c>
      <c r="AF464" s="155">
        <v>0.0</v>
      </c>
      <c r="AG464" s="155">
        <v>0.0</v>
      </c>
      <c r="AH464" s="155">
        <v>0.0</v>
      </c>
      <c r="AI464" s="167">
        <v>0.0</v>
      </c>
      <c r="AJ464" s="167">
        <v>1.0</v>
      </c>
      <c r="AK464" s="167">
        <v>0.0</v>
      </c>
      <c r="AL464" s="167">
        <v>0.0</v>
      </c>
      <c r="AM464" s="167">
        <v>1.0</v>
      </c>
      <c r="AN464" s="167">
        <v>0.0</v>
      </c>
      <c r="AO464" s="167">
        <v>1.0</v>
      </c>
      <c r="AP464" s="167">
        <v>0.0</v>
      </c>
      <c r="AQ464" s="167">
        <v>1.0</v>
      </c>
      <c r="AR464" s="167">
        <v>0.0</v>
      </c>
      <c r="AS464" s="167">
        <v>0.0</v>
      </c>
      <c r="AT464" s="167">
        <v>1.0</v>
      </c>
      <c r="AU464" s="167">
        <v>0.0</v>
      </c>
      <c r="AV464" s="167">
        <v>1.0</v>
      </c>
      <c r="AW464" s="167">
        <v>0.0</v>
      </c>
      <c r="AX464" s="167">
        <v>1.0</v>
      </c>
      <c r="AY464" s="167">
        <v>0.0</v>
      </c>
      <c r="AZ464" s="167">
        <v>0.0</v>
      </c>
      <c r="BA464" s="167">
        <v>1.0</v>
      </c>
      <c r="BB464" s="167">
        <v>0.0</v>
      </c>
      <c r="BC464" s="167">
        <v>1.0</v>
      </c>
      <c r="BD464" s="167">
        <v>0.0</v>
      </c>
      <c r="BE464" s="167">
        <v>1.0</v>
      </c>
      <c r="BF464" s="167">
        <v>0.0</v>
      </c>
      <c r="BG464" s="167">
        <v>0.0</v>
      </c>
      <c r="BH464" s="167">
        <v>1.0</v>
      </c>
      <c r="BI464" s="167">
        <v>0.0</v>
      </c>
      <c r="BJ464" s="167">
        <v>1.0</v>
      </c>
      <c r="BK464" s="167">
        <v>0.0</v>
      </c>
      <c r="BL464" s="167">
        <v>1.0</v>
      </c>
      <c r="BM464" s="167">
        <v>0.0</v>
      </c>
      <c r="BN464" s="155">
        <v>9.0</v>
      </c>
      <c r="BO464" s="155">
        <v>0.0</v>
      </c>
      <c r="BP464" s="155">
        <v>0.0</v>
      </c>
      <c r="BQ464" s="155">
        <v>0.0</v>
      </c>
      <c r="BR464" s="155">
        <v>0.0</v>
      </c>
      <c r="BS464" s="155">
        <v>0.0</v>
      </c>
      <c r="BT464" s="167">
        <v>0.0</v>
      </c>
      <c r="BU464" s="167">
        <v>1.0</v>
      </c>
      <c r="BV464" s="167">
        <v>0.0</v>
      </c>
      <c r="BW464" s="167">
        <v>1.0</v>
      </c>
      <c r="BX464" s="167">
        <v>0.0</v>
      </c>
      <c r="BY464" s="167">
        <v>1.0</v>
      </c>
      <c r="BZ464" s="167">
        <v>0.0</v>
      </c>
      <c r="CA464" s="167">
        <v>0.0</v>
      </c>
      <c r="CB464" s="167">
        <v>1.0</v>
      </c>
      <c r="CC464" s="167">
        <v>0.0</v>
      </c>
      <c r="CD464" s="167">
        <v>1.0</v>
      </c>
      <c r="CE464" s="167">
        <v>0.0</v>
      </c>
      <c r="CF464" s="167">
        <v>1.0</v>
      </c>
      <c r="CG464" s="167"/>
      <c r="CH464" s="167"/>
      <c r="CI464" s="167"/>
      <c r="CJ464" s="167"/>
      <c r="CK464" s="167"/>
      <c r="CL464" s="167"/>
      <c r="CM464" s="167"/>
      <c r="CN464" s="167"/>
      <c r="CO464" s="167"/>
      <c r="CP464" s="167">
        <v>1.0</v>
      </c>
      <c r="CQ464" s="167">
        <v>0.0</v>
      </c>
      <c r="CR464" s="167">
        <v>1.0</v>
      </c>
      <c r="CS464" s="167">
        <v>0.0</v>
      </c>
      <c r="CT464" s="167">
        <v>1.0</v>
      </c>
      <c r="CU464" s="167">
        <v>0.0</v>
      </c>
      <c r="CV464" s="156">
        <v>4.0</v>
      </c>
      <c r="CW464" s="156">
        <v>0.0</v>
      </c>
      <c r="CX464" s="156">
        <v>0.0</v>
      </c>
      <c r="CY464" s="156">
        <v>0.0</v>
      </c>
      <c r="CZ464" s="156">
        <v>0.0</v>
      </c>
      <c r="DA464" s="156">
        <v>0.0</v>
      </c>
      <c r="DB464" s="174">
        <v>0.0</v>
      </c>
      <c r="DC464" s="174">
        <v>1.0</v>
      </c>
      <c r="DD464" s="174">
        <v>0.0</v>
      </c>
      <c r="DE464" s="174">
        <v>1.0</v>
      </c>
      <c r="DF464" s="174">
        <v>0.0</v>
      </c>
      <c r="DG464" s="174">
        <v>1.0</v>
      </c>
      <c r="DH464" s="174">
        <v>0.0</v>
      </c>
      <c r="DI464" s="174">
        <v>0.0</v>
      </c>
      <c r="DJ464" s="174">
        <v>1.0</v>
      </c>
      <c r="DK464" s="174"/>
      <c r="DL464" s="174"/>
      <c r="DM464" s="174"/>
      <c r="DN464" s="174"/>
      <c r="DO464" s="174"/>
      <c r="DP464" s="174"/>
      <c r="DQ464" s="174"/>
      <c r="DR464" s="174"/>
      <c r="DS464" s="174"/>
      <c r="DT464" s="174"/>
      <c r="DU464" s="174"/>
      <c r="DV464" s="174"/>
      <c r="DW464" s="174"/>
      <c r="DX464" s="174"/>
      <c r="DY464" s="174"/>
      <c r="DZ464" s="174"/>
      <c r="EA464" s="174"/>
      <c r="EB464" s="174"/>
      <c r="EC464" s="174"/>
      <c r="ED464" s="174"/>
      <c r="EE464" s="174"/>
      <c r="EF464" s="174"/>
      <c r="EG464" s="156">
        <v>0.0</v>
      </c>
      <c r="EH464" s="156">
        <v>0.0</v>
      </c>
      <c r="EI464" s="156">
        <v>0.0</v>
      </c>
      <c r="EJ464" s="156">
        <v>0.0</v>
      </c>
      <c r="EK464" s="156">
        <v>0.0</v>
      </c>
      <c r="EL464" s="156">
        <v>0.0</v>
      </c>
      <c r="EM464" s="174"/>
      <c r="EN464" s="174"/>
      <c r="EO464" s="174"/>
      <c r="EP464" s="174"/>
      <c r="EQ464" s="174"/>
      <c r="ER464" s="174"/>
      <c r="ES464" s="174"/>
      <c r="ET464" s="174"/>
      <c r="EU464" s="174"/>
      <c r="EV464" s="174"/>
      <c r="EW464" s="174"/>
      <c r="EX464" s="174"/>
      <c r="EY464" s="174"/>
      <c r="EZ464" s="174"/>
      <c r="FA464" s="174"/>
      <c r="FB464" s="174"/>
      <c r="FC464" s="174"/>
      <c r="FD464" s="174"/>
      <c r="FE464" s="174"/>
      <c r="FF464" s="174"/>
      <c r="FG464" s="174"/>
      <c r="FH464" s="174"/>
      <c r="FI464" s="174"/>
      <c r="FJ464" s="174"/>
      <c r="FK464" s="174"/>
      <c r="FL464" s="174"/>
      <c r="FM464" s="174"/>
      <c r="FN464" s="174"/>
      <c r="FO464" s="174"/>
      <c r="FP464" s="174"/>
      <c r="FQ464" s="156">
        <v>0.0</v>
      </c>
      <c r="FR464" s="156">
        <v>0.0</v>
      </c>
      <c r="FS464" s="156">
        <v>0.0</v>
      </c>
      <c r="FT464" s="156">
        <v>0.0</v>
      </c>
      <c r="FU464" s="156">
        <v>0.0</v>
      </c>
      <c r="FV464" s="156">
        <v>0.0</v>
      </c>
      <c r="FW464" s="157"/>
      <c r="FX464" s="157"/>
      <c r="FY464" s="157"/>
      <c r="FZ464" s="157"/>
      <c r="GA464" s="157"/>
      <c r="GB464" s="157"/>
      <c r="GC464" s="157"/>
      <c r="GD464" s="157"/>
      <c r="GE464" s="157"/>
      <c r="GF464" s="157"/>
      <c r="GG464" s="157"/>
      <c r="GH464" s="157"/>
      <c r="GI464" s="157"/>
      <c r="GJ464" s="157"/>
      <c r="GK464" s="157"/>
      <c r="GL464" s="157"/>
      <c r="GM464" s="157"/>
      <c r="GN464" s="157"/>
      <c r="GO464" s="157"/>
      <c r="GP464" s="158"/>
      <c r="GQ464" s="157"/>
      <c r="GR464" s="157"/>
      <c r="GS464" s="157"/>
      <c r="GT464" s="157"/>
      <c r="GU464" s="157"/>
      <c r="GV464" s="157"/>
      <c r="GW464" s="157"/>
      <c r="GX464" s="157"/>
      <c r="GY464" s="157"/>
      <c r="GZ464" s="157"/>
      <c r="HA464" s="157"/>
      <c r="HB464" s="155">
        <v>0.0</v>
      </c>
      <c r="HC464" s="155">
        <v>0.0</v>
      </c>
      <c r="HD464" s="155">
        <v>0.0</v>
      </c>
      <c r="HE464" s="155">
        <v>0.0</v>
      </c>
      <c r="HF464" s="155">
        <v>0.0</v>
      </c>
      <c r="HG464" s="155">
        <v>0.0</v>
      </c>
      <c r="IL464" s="159">
        <v>0.0</v>
      </c>
      <c r="IM464" s="156">
        <v>0.0</v>
      </c>
      <c r="IN464" s="156">
        <v>0.0</v>
      </c>
      <c r="IO464" s="156">
        <v>0.0</v>
      </c>
      <c r="IP464" s="156">
        <v>0.0</v>
      </c>
      <c r="IQ464" s="160">
        <v>0.0</v>
      </c>
      <c r="JH464" s="25"/>
      <c r="JW464" s="159">
        <v>0.0</v>
      </c>
      <c r="JX464" s="156">
        <v>0.0</v>
      </c>
      <c r="JY464" s="156">
        <v>0.0</v>
      </c>
      <c r="JZ464" s="156">
        <v>0.0</v>
      </c>
      <c r="KA464" s="156">
        <v>0.0</v>
      </c>
      <c r="KB464" s="160">
        <v>0.0</v>
      </c>
      <c r="LH464" s="159">
        <f t="shared" si="10"/>
        <v>0</v>
      </c>
      <c r="LI464" s="156">
        <f t="shared" si="11"/>
        <v>0</v>
      </c>
      <c r="LJ464" s="156">
        <f t="shared" si="12"/>
        <v>0</v>
      </c>
      <c r="LK464" s="156">
        <f t="shared" si="13"/>
        <v>0</v>
      </c>
      <c r="LL464" s="156">
        <f t="shared" si="14"/>
        <v>0</v>
      </c>
      <c r="LM464" s="160">
        <f t="shared" si="15"/>
        <v>0</v>
      </c>
      <c r="QX464" s="107">
        <v>46018.0</v>
      </c>
    </row>
    <row r="465">
      <c r="A465" s="12"/>
      <c r="B465" s="12"/>
      <c r="C465" s="12"/>
      <c r="D465" s="12"/>
      <c r="E465" s="12"/>
      <c r="F465" s="12"/>
      <c r="G465" s="12"/>
      <c r="H465" s="12"/>
      <c r="I465" s="143">
        <f t="shared" si="22"/>
        <v>-30</v>
      </c>
      <c r="J465" s="144">
        <v>46018.0</v>
      </c>
      <c r="K465" s="523" t="s">
        <v>61</v>
      </c>
      <c r="L465" s="171">
        <v>46102.0</v>
      </c>
      <c r="M465" s="147" t="s">
        <v>348</v>
      </c>
      <c r="N465" s="148">
        <v>357.0</v>
      </c>
      <c r="O465" s="148">
        <v>30.0</v>
      </c>
      <c r="P465" s="26"/>
      <c r="Q465" s="26"/>
      <c r="R465" s="26"/>
      <c r="S465" s="26"/>
      <c r="T465" s="26"/>
      <c r="U465" s="164" t="s">
        <v>3280</v>
      </c>
      <c r="V465" s="165" t="s">
        <v>3238</v>
      </c>
      <c r="W465" s="198" t="s">
        <v>3281</v>
      </c>
      <c r="X465" s="181">
        <v>2.0</v>
      </c>
      <c r="Y465" s="166">
        <f t="shared" si="23"/>
        <v>30</v>
      </c>
      <c r="Z465" s="26">
        <f t="shared" si="7"/>
        <v>0</v>
      </c>
      <c r="AA465" s="26">
        <f t="shared" si="8"/>
        <v>0</v>
      </c>
      <c r="AB465" s="26">
        <f t="shared" si="9"/>
        <v>0</v>
      </c>
      <c r="AC465" s="155">
        <v>13.0</v>
      </c>
      <c r="AD465" s="155">
        <v>0.0</v>
      </c>
      <c r="AE465" s="155">
        <v>0.0</v>
      </c>
      <c r="AF465" s="155">
        <v>0.0</v>
      </c>
      <c r="AG465" s="155">
        <v>0.0</v>
      </c>
      <c r="AH465" s="155">
        <v>0.0</v>
      </c>
      <c r="AI465" s="167"/>
      <c r="AJ465" s="167"/>
      <c r="AK465" s="167">
        <v>1.0</v>
      </c>
      <c r="AL465" s="167">
        <v>0.0</v>
      </c>
      <c r="AM465" s="167">
        <v>0.0</v>
      </c>
      <c r="AN465" s="167">
        <v>1.0</v>
      </c>
      <c r="AO465" s="167">
        <v>0.0</v>
      </c>
      <c r="AP465" s="167">
        <v>1.0</v>
      </c>
      <c r="AQ465" s="167">
        <v>0.0</v>
      </c>
      <c r="AR465" s="167">
        <v>1.0</v>
      </c>
      <c r="AS465" s="167">
        <v>0.0</v>
      </c>
      <c r="AT465" s="167">
        <v>0.0</v>
      </c>
      <c r="AU465" s="167">
        <v>1.0</v>
      </c>
      <c r="AV465" s="167">
        <v>0.0</v>
      </c>
      <c r="AW465" s="167">
        <v>1.0</v>
      </c>
      <c r="AX465" s="167">
        <v>0.0</v>
      </c>
      <c r="AY465" s="167">
        <v>1.0</v>
      </c>
      <c r="AZ465" s="167">
        <v>0.0</v>
      </c>
      <c r="BA465" s="167">
        <v>0.0</v>
      </c>
      <c r="BB465" s="167">
        <v>1.0</v>
      </c>
      <c r="BC465" s="167">
        <v>0.0</v>
      </c>
      <c r="BD465" s="167">
        <v>1.0</v>
      </c>
      <c r="BE465" s="167">
        <v>0.0</v>
      </c>
      <c r="BF465" s="167"/>
      <c r="BG465" s="167">
        <v>0.0</v>
      </c>
      <c r="BH465" s="167">
        <v>0.0</v>
      </c>
      <c r="BI465" s="167">
        <v>1.0</v>
      </c>
      <c r="BJ465" s="168">
        <v>1.0</v>
      </c>
      <c r="BK465" s="167">
        <v>1.0</v>
      </c>
      <c r="BL465" s="167">
        <v>0.0</v>
      </c>
      <c r="BM465" s="167">
        <v>1.0</v>
      </c>
      <c r="BN465" s="155">
        <v>9.0</v>
      </c>
      <c r="BO465" s="155">
        <v>0.0</v>
      </c>
      <c r="BP465" s="155">
        <v>0.0</v>
      </c>
      <c r="BQ465" s="155">
        <v>0.0</v>
      </c>
      <c r="BR465" s="155">
        <v>0.0</v>
      </c>
      <c r="BS465" s="155">
        <v>0.0</v>
      </c>
      <c r="BT465" s="167">
        <v>0.0</v>
      </c>
      <c r="BU465" s="167">
        <v>0.0</v>
      </c>
      <c r="BV465" s="167">
        <v>1.0</v>
      </c>
      <c r="BW465" s="167">
        <v>0.0</v>
      </c>
      <c r="BX465" s="167">
        <v>1.0</v>
      </c>
      <c r="BY465" s="167">
        <v>0.0</v>
      </c>
      <c r="BZ465" s="167">
        <v>1.0</v>
      </c>
      <c r="CA465" s="167">
        <v>0.0</v>
      </c>
      <c r="CB465" s="167">
        <v>0.0</v>
      </c>
      <c r="CC465" s="167">
        <v>1.0</v>
      </c>
      <c r="CD465" s="167">
        <v>0.0</v>
      </c>
      <c r="CE465" s="167">
        <v>1.0</v>
      </c>
      <c r="CF465" s="167">
        <v>0.0</v>
      </c>
      <c r="CG465" s="167">
        <v>1.0</v>
      </c>
      <c r="CH465" s="167"/>
      <c r="CI465" s="167"/>
      <c r="CJ465" s="167"/>
      <c r="CK465" s="167"/>
      <c r="CL465" s="167"/>
      <c r="CM465" s="167"/>
      <c r="CN465" s="167"/>
      <c r="CO465" s="167"/>
      <c r="CP465" s="167"/>
      <c r="CQ465" s="167">
        <v>1.0</v>
      </c>
      <c r="CR465" s="167">
        <v>0.0</v>
      </c>
      <c r="CS465" s="167">
        <v>1.0</v>
      </c>
      <c r="CT465" s="167">
        <v>0.0</v>
      </c>
      <c r="CU465" s="167">
        <v>1.0</v>
      </c>
      <c r="CV465" s="156">
        <v>6.0</v>
      </c>
      <c r="CW465" s="156">
        <v>0.0</v>
      </c>
      <c r="CX465" s="156">
        <v>0.0</v>
      </c>
      <c r="CY465" s="156">
        <v>0.0</v>
      </c>
      <c r="CZ465" s="156">
        <v>0.0</v>
      </c>
      <c r="DA465" s="156">
        <v>0.0</v>
      </c>
      <c r="DB465" s="395"/>
      <c r="DC465" s="395"/>
      <c r="DD465" s="395">
        <v>1.0</v>
      </c>
      <c r="DE465" s="395">
        <v>0.0</v>
      </c>
      <c r="DF465" s="395">
        <v>1.0</v>
      </c>
      <c r="DG465" s="395">
        <v>0.0</v>
      </c>
      <c r="DH465" s="395">
        <v>1.0</v>
      </c>
      <c r="DI465" s="395">
        <v>0.0</v>
      </c>
      <c r="DJ465" s="395">
        <v>0.0</v>
      </c>
      <c r="DK465" s="395">
        <v>1.0</v>
      </c>
      <c r="DL465" s="395">
        <v>0.0</v>
      </c>
      <c r="DM465" s="395"/>
      <c r="DN465" s="395">
        <v>0.0</v>
      </c>
      <c r="DO465" s="395">
        <v>1.0</v>
      </c>
      <c r="DP465" s="395"/>
      <c r="DQ465" s="395"/>
      <c r="DR465" s="395"/>
      <c r="DS465" s="395"/>
      <c r="DT465" s="395">
        <v>1.0</v>
      </c>
      <c r="DU465" s="395"/>
      <c r="DV465" s="395"/>
      <c r="DW465" s="395"/>
      <c r="DX465" s="395"/>
      <c r="DY465" s="395"/>
      <c r="DZ465" s="395"/>
      <c r="EA465" s="395"/>
      <c r="EB465" s="395"/>
      <c r="EC465" s="395"/>
      <c r="ED465" s="395"/>
      <c r="EE465" s="395"/>
      <c r="EF465" s="395"/>
      <c r="EG465" s="156">
        <v>0.0</v>
      </c>
      <c r="EH465" s="156">
        <v>0.0</v>
      </c>
      <c r="EI465" s="156">
        <v>0.0</v>
      </c>
      <c r="EJ465" s="156">
        <v>0.0</v>
      </c>
      <c r="EK465" s="156">
        <v>0.0</v>
      </c>
      <c r="EL465" s="156">
        <v>0.0</v>
      </c>
      <c r="FQ465" s="156">
        <v>0.0</v>
      </c>
      <c r="FR465" s="156">
        <v>0.0</v>
      </c>
      <c r="FS465" s="156">
        <v>0.0</v>
      </c>
      <c r="FT465" s="156">
        <v>0.0</v>
      </c>
      <c r="FU465" s="156">
        <v>0.0</v>
      </c>
      <c r="FV465" s="156">
        <v>0.0</v>
      </c>
      <c r="FW465" s="157"/>
      <c r="FX465" s="157"/>
      <c r="FY465" s="157"/>
      <c r="FZ465" s="157"/>
      <c r="GA465" s="157"/>
      <c r="GB465" s="157"/>
      <c r="GC465" s="157"/>
      <c r="GD465" s="157"/>
      <c r="GE465" s="157"/>
      <c r="GF465" s="157"/>
      <c r="GG465" s="157"/>
      <c r="GH465" s="157"/>
      <c r="GI465" s="157"/>
      <c r="GJ465" s="157"/>
      <c r="GK465" s="157"/>
      <c r="GL465" s="157"/>
      <c r="GM465" s="157"/>
      <c r="GN465" s="157"/>
      <c r="GO465" s="157"/>
      <c r="GP465" s="158"/>
      <c r="GQ465" s="157"/>
      <c r="GR465" s="157"/>
      <c r="GS465" s="157"/>
      <c r="GT465" s="157"/>
      <c r="GU465" s="157"/>
      <c r="GV465" s="157"/>
      <c r="GW465" s="157"/>
      <c r="GX465" s="157"/>
      <c r="GY465" s="157"/>
      <c r="GZ465" s="157"/>
      <c r="HA465" s="157"/>
      <c r="HB465" s="155">
        <v>0.0</v>
      </c>
      <c r="HC465" s="155">
        <v>0.0</v>
      </c>
      <c r="HD465" s="155">
        <v>0.0</v>
      </c>
      <c r="HE465" s="155">
        <v>0.0</v>
      </c>
      <c r="HF465" s="155">
        <v>0.0</v>
      </c>
      <c r="HG465" s="155">
        <v>0.0</v>
      </c>
      <c r="IL465" s="159">
        <v>0.0</v>
      </c>
      <c r="IM465" s="156">
        <v>0.0</v>
      </c>
      <c r="IN465" s="156">
        <v>0.0</v>
      </c>
      <c r="IO465" s="156">
        <v>0.0</v>
      </c>
      <c r="IP465" s="156">
        <v>0.0</v>
      </c>
      <c r="IQ465" s="160">
        <v>0.0</v>
      </c>
      <c r="JH465" s="25"/>
      <c r="JW465" s="159">
        <v>0.0</v>
      </c>
      <c r="JX465" s="156">
        <v>0.0</v>
      </c>
      <c r="JY465" s="156">
        <v>0.0</v>
      </c>
      <c r="JZ465" s="156">
        <v>0.0</v>
      </c>
      <c r="KA465" s="156">
        <v>0.0</v>
      </c>
      <c r="KB465" s="160">
        <v>0.0</v>
      </c>
      <c r="LH465" s="159">
        <f t="shared" si="10"/>
        <v>0</v>
      </c>
      <c r="LI465" s="156">
        <f t="shared" si="11"/>
        <v>0</v>
      </c>
      <c r="LJ465" s="156">
        <f t="shared" si="12"/>
        <v>0</v>
      </c>
      <c r="LK465" s="156">
        <f t="shared" si="13"/>
        <v>0</v>
      </c>
      <c r="LL465" s="156">
        <f t="shared" si="14"/>
        <v>0</v>
      </c>
      <c r="LM465" s="160">
        <f t="shared" si="15"/>
        <v>0</v>
      </c>
      <c r="QX465" s="107">
        <v>46018.0</v>
      </c>
    </row>
    <row r="466">
      <c r="A466" s="12"/>
      <c r="B466" s="12"/>
      <c r="C466" s="12"/>
      <c r="D466" s="12"/>
      <c r="E466" s="12"/>
      <c r="F466" s="12"/>
      <c r="G466" s="12"/>
      <c r="H466" s="12"/>
      <c r="I466" s="143">
        <f t="shared" si="22"/>
        <v>-19</v>
      </c>
      <c r="J466" s="144">
        <v>46017.0</v>
      </c>
      <c r="K466" s="145" t="s">
        <v>53</v>
      </c>
      <c r="L466" s="171">
        <v>46079.0</v>
      </c>
      <c r="M466" s="147" t="s">
        <v>3282</v>
      </c>
      <c r="N466" s="45">
        <v>246.0</v>
      </c>
      <c r="O466" s="148">
        <v>30.0</v>
      </c>
      <c r="P466" s="26"/>
      <c r="Q466" s="26"/>
      <c r="R466" s="26"/>
      <c r="S466" s="26"/>
      <c r="T466" s="26"/>
      <c r="U466" s="164" t="s">
        <v>3283</v>
      </c>
      <c r="V466" s="165" t="s">
        <v>1553</v>
      </c>
      <c r="W466" s="198" t="s">
        <v>3284</v>
      </c>
      <c r="X466" s="181">
        <v>3.0</v>
      </c>
      <c r="Y466" s="166">
        <f t="shared" si="23"/>
        <v>19</v>
      </c>
      <c r="Z466" s="26">
        <f t="shared" si="7"/>
        <v>0</v>
      </c>
      <c r="AA466" s="26">
        <f t="shared" si="8"/>
        <v>1</v>
      </c>
      <c r="AB466" s="26">
        <f t="shared" si="9"/>
        <v>0</v>
      </c>
      <c r="AC466" s="155">
        <v>11.0</v>
      </c>
      <c r="AD466" s="155">
        <v>0.0</v>
      </c>
      <c r="AE466" s="155">
        <v>0.0</v>
      </c>
      <c r="AF466" s="155">
        <v>0.0</v>
      </c>
      <c r="AG466" s="155">
        <v>0.0</v>
      </c>
      <c r="AH466" s="155">
        <v>0.0</v>
      </c>
      <c r="AI466" s="167"/>
      <c r="AJ466" s="167"/>
      <c r="AK466" s="168">
        <v>1.0</v>
      </c>
      <c r="AL466" s="167">
        <v>0.0</v>
      </c>
      <c r="AM466" s="167">
        <v>1.0</v>
      </c>
      <c r="AN466" s="167"/>
      <c r="AO466" s="167"/>
      <c r="AP466" s="167"/>
      <c r="AQ466" s="167"/>
      <c r="AR466" s="168">
        <v>1.0</v>
      </c>
      <c r="AS466" s="167">
        <v>0.0</v>
      </c>
      <c r="AT466" s="167">
        <v>1.0</v>
      </c>
      <c r="AU466" s="167">
        <v>0.0</v>
      </c>
      <c r="AV466" s="167"/>
      <c r="AW466" s="167">
        <v>0.0</v>
      </c>
      <c r="AX466" s="167">
        <v>1.0</v>
      </c>
      <c r="AY466" s="168">
        <v>1.0</v>
      </c>
      <c r="AZ466" s="167">
        <v>0.0</v>
      </c>
      <c r="BA466" s="167">
        <v>1.0</v>
      </c>
      <c r="BB466" s="167">
        <v>0.0</v>
      </c>
      <c r="BC466" s="167">
        <v>1.0</v>
      </c>
      <c r="BD466" s="167"/>
      <c r="BE466" s="167"/>
      <c r="BF466" s="167"/>
      <c r="BG466" s="167"/>
      <c r="BH466" s="167">
        <v>1.0</v>
      </c>
      <c r="BI466" s="167">
        <v>0.0</v>
      </c>
      <c r="BJ466" s="167">
        <v>1.0</v>
      </c>
      <c r="BK466" s="167">
        <v>0.0</v>
      </c>
      <c r="BL466" s="167">
        <v>1.0</v>
      </c>
      <c r="BM466" s="167">
        <v>0.0</v>
      </c>
      <c r="BN466" s="155">
        <v>5.0</v>
      </c>
      <c r="BO466" s="155">
        <v>0.0</v>
      </c>
      <c r="BP466" s="155">
        <v>0.0</v>
      </c>
      <c r="BQ466" s="155">
        <v>1.0</v>
      </c>
      <c r="BR466" s="155">
        <v>0.0</v>
      </c>
      <c r="BS466" s="155">
        <v>0.0</v>
      </c>
      <c r="BT466" s="167">
        <v>0.0</v>
      </c>
      <c r="BU466" s="167">
        <v>1.0</v>
      </c>
      <c r="BV466" s="167"/>
      <c r="BW466" s="167"/>
      <c r="BX466" s="167"/>
      <c r="BY466" s="167">
        <v>1.0</v>
      </c>
      <c r="BZ466" s="167">
        <v>0.0</v>
      </c>
      <c r="CA466" s="167">
        <v>0.0</v>
      </c>
      <c r="CB466" s="167"/>
      <c r="CC466" s="167">
        <v>0.0</v>
      </c>
      <c r="CD466" s="167">
        <v>1.0</v>
      </c>
      <c r="CE466" s="167">
        <v>0.0</v>
      </c>
      <c r="CF466" s="167"/>
      <c r="CG466" s="168">
        <v>1.0</v>
      </c>
      <c r="CH466" s="167">
        <v>0.0</v>
      </c>
      <c r="CI466" s="167"/>
      <c r="CJ466" s="167"/>
      <c r="CK466" s="167"/>
      <c r="CL466" s="167"/>
      <c r="CM466" s="167"/>
      <c r="CN466" s="167"/>
      <c r="CO466" s="167"/>
      <c r="CP466" s="167"/>
      <c r="CQ466" s="167"/>
      <c r="CR466" s="168" t="s">
        <v>947</v>
      </c>
      <c r="CS466" s="167"/>
      <c r="CT466" s="167"/>
      <c r="CU466" s="167"/>
      <c r="CV466" s="156">
        <v>0.0</v>
      </c>
      <c r="CW466" s="156">
        <v>0.0</v>
      </c>
      <c r="CX466" s="156">
        <v>0.0</v>
      </c>
      <c r="CY466" s="156">
        <v>0.0</v>
      </c>
      <c r="CZ466" s="156">
        <v>0.0</v>
      </c>
      <c r="DA466" s="156">
        <v>0.0</v>
      </c>
      <c r="EG466" s="156">
        <v>0.0</v>
      </c>
      <c r="EH466" s="156">
        <v>0.0</v>
      </c>
      <c r="EI466" s="156">
        <v>0.0</v>
      </c>
      <c r="EJ466" s="156">
        <v>0.0</v>
      </c>
      <c r="EK466" s="156">
        <v>0.0</v>
      </c>
      <c r="EL466" s="156">
        <v>0.0</v>
      </c>
      <c r="FQ466" s="156">
        <v>0.0</v>
      </c>
      <c r="FR466" s="156">
        <v>0.0</v>
      </c>
      <c r="FS466" s="156">
        <v>0.0</v>
      </c>
      <c r="FT466" s="156">
        <v>0.0</v>
      </c>
      <c r="FU466" s="156">
        <v>0.0</v>
      </c>
      <c r="FV466" s="156">
        <v>0.0</v>
      </c>
      <c r="FW466" s="157"/>
      <c r="FX466" s="157"/>
      <c r="FY466" s="157"/>
      <c r="FZ466" s="157"/>
      <c r="GA466" s="157"/>
      <c r="GB466" s="157"/>
      <c r="GC466" s="157"/>
      <c r="GD466" s="157"/>
      <c r="GE466" s="157"/>
      <c r="GF466" s="157"/>
      <c r="GG466" s="157"/>
      <c r="GH466" s="157"/>
      <c r="GI466" s="157"/>
      <c r="GJ466" s="157"/>
      <c r="GK466" s="157"/>
      <c r="GL466" s="157"/>
      <c r="GM466" s="157"/>
      <c r="GN466" s="157"/>
      <c r="GO466" s="157"/>
      <c r="GP466" s="158"/>
      <c r="GQ466" s="157"/>
      <c r="GR466" s="157"/>
      <c r="GS466" s="157"/>
      <c r="GT466" s="157"/>
      <c r="GU466" s="157"/>
      <c r="GV466" s="157"/>
      <c r="GW466" s="157"/>
      <c r="GX466" s="157"/>
      <c r="GY466" s="157"/>
      <c r="GZ466" s="157"/>
      <c r="HA466" s="157"/>
      <c r="HB466" s="155">
        <v>0.0</v>
      </c>
      <c r="HC466" s="155">
        <v>0.0</v>
      </c>
      <c r="HD466" s="155">
        <v>0.0</v>
      </c>
      <c r="HE466" s="155">
        <v>0.0</v>
      </c>
      <c r="HF466" s="155">
        <v>0.0</v>
      </c>
      <c r="HG466" s="155">
        <v>0.0</v>
      </c>
      <c r="IL466" s="159">
        <v>0.0</v>
      </c>
      <c r="IM466" s="156">
        <v>0.0</v>
      </c>
      <c r="IN466" s="156">
        <v>0.0</v>
      </c>
      <c r="IO466" s="156">
        <v>0.0</v>
      </c>
      <c r="IP466" s="156">
        <v>0.0</v>
      </c>
      <c r="IQ466" s="160">
        <v>0.0</v>
      </c>
      <c r="JH466" s="25"/>
      <c r="JW466" s="159">
        <v>0.0</v>
      </c>
      <c r="JX466" s="156">
        <v>0.0</v>
      </c>
      <c r="JY466" s="156">
        <v>0.0</v>
      </c>
      <c r="JZ466" s="156">
        <v>0.0</v>
      </c>
      <c r="KA466" s="156">
        <v>0.0</v>
      </c>
      <c r="KB466" s="160">
        <v>0.0</v>
      </c>
      <c r="LH466" s="159">
        <f t="shared" si="10"/>
        <v>0</v>
      </c>
      <c r="LI466" s="156">
        <f t="shared" si="11"/>
        <v>0</v>
      </c>
      <c r="LJ466" s="156">
        <f t="shared" si="12"/>
        <v>0</v>
      </c>
      <c r="LK466" s="156">
        <f t="shared" si="13"/>
        <v>0</v>
      </c>
      <c r="LL466" s="156">
        <f t="shared" si="14"/>
        <v>0</v>
      </c>
      <c r="LM466" s="160">
        <f t="shared" si="15"/>
        <v>0</v>
      </c>
      <c r="QX466" s="107">
        <v>46020.0</v>
      </c>
    </row>
    <row r="467">
      <c r="A467" s="12"/>
      <c r="B467" s="12"/>
      <c r="C467" s="12"/>
      <c r="D467" s="12"/>
      <c r="E467" s="12"/>
      <c r="F467" s="12"/>
      <c r="G467" s="12"/>
      <c r="H467" s="12"/>
      <c r="I467" s="143">
        <f t="shared" si="22"/>
        <v>-27</v>
      </c>
      <c r="J467" s="144">
        <v>46020.0</v>
      </c>
      <c r="K467" s="164" t="s">
        <v>53</v>
      </c>
      <c r="L467" s="171">
        <v>46156.0</v>
      </c>
      <c r="M467" s="147" t="s">
        <v>107</v>
      </c>
      <c r="N467" s="170">
        <v>2345.0</v>
      </c>
      <c r="O467" s="148">
        <v>30.0</v>
      </c>
      <c r="P467" s="26"/>
      <c r="Q467" s="26"/>
      <c r="R467" s="26"/>
      <c r="S467" s="26"/>
      <c r="T467" s="26"/>
      <c r="U467" s="147" t="s">
        <v>1259</v>
      </c>
      <c r="V467" s="149" t="s">
        <v>732</v>
      </c>
      <c r="W467" s="248" t="s">
        <v>3285</v>
      </c>
      <c r="X467" s="181">
        <v>1.0</v>
      </c>
      <c r="Y467" s="166">
        <f t="shared" si="23"/>
        <v>27</v>
      </c>
      <c r="Z467" s="26">
        <f t="shared" si="7"/>
        <v>0</v>
      </c>
      <c r="AA467" s="26">
        <f t="shared" si="8"/>
        <v>1</v>
      </c>
      <c r="AB467" s="26">
        <f t="shared" si="9"/>
        <v>0</v>
      </c>
      <c r="AC467" s="155">
        <v>7.0</v>
      </c>
      <c r="AD467" s="155">
        <v>0.0</v>
      </c>
      <c r="AE467" s="155">
        <v>0.0</v>
      </c>
      <c r="AF467" s="155">
        <v>0.0</v>
      </c>
      <c r="AG467" s="155">
        <v>0.0</v>
      </c>
      <c r="AH467" s="155">
        <v>0.0</v>
      </c>
      <c r="AO467" s="86">
        <v>1.0</v>
      </c>
      <c r="AP467" s="86">
        <v>1.0</v>
      </c>
      <c r="AT467" s="86">
        <v>1.0</v>
      </c>
      <c r="AW467" s="86">
        <v>1.0</v>
      </c>
      <c r="BA467" s="86">
        <v>1.0</v>
      </c>
      <c r="BC467" s="86">
        <v>1.0</v>
      </c>
      <c r="BJ467" s="86">
        <v>1.0</v>
      </c>
      <c r="BN467" s="155">
        <v>4.0</v>
      </c>
      <c r="BO467" s="155">
        <v>0.0</v>
      </c>
      <c r="BP467" s="155">
        <v>0.0</v>
      </c>
      <c r="BQ467" s="155">
        <v>0.0</v>
      </c>
      <c r="BR467" s="155">
        <v>0.0</v>
      </c>
      <c r="BS467" s="155">
        <v>0.0</v>
      </c>
      <c r="BW467" s="86">
        <v>1.0</v>
      </c>
      <c r="BX467" s="86">
        <v>1.0</v>
      </c>
      <c r="CB467" s="86">
        <v>1.0</v>
      </c>
      <c r="CD467" s="86">
        <v>1.0</v>
      </c>
      <c r="CV467" s="156">
        <v>3.0</v>
      </c>
      <c r="CW467" s="156">
        <v>0.0</v>
      </c>
      <c r="CX467" s="156">
        <v>0.0</v>
      </c>
      <c r="CY467" s="156">
        <v>0.0</v>
      </c>
      <c r="CZ467" s="156">
        <v>0.0</v>
      </c>
      <c r="DA467" s="156">
        <v>0.0</v>
      </c>
      <c r="DC467" s="86">
        <v>1.0</v>
      </c>
      <c r="DE467" s="86">
        <v>1.0</v>
      </c>
      <c r="DJ467" s="86">
        <v>1.0</v>
      </c>
      <c r="EG467" s="156">
        <v>11.0</v>
      </c>
      <c r="EH467" s="156">
        <v>0.0</v>
      </c>
      <c r="EI467" s="156">
        <v>0.0</v>
      </c>
      <c r="EJ467" s="156">
        <v>0.0</v>
      </c>
      <c r="EK467" s="156">
        <v>0.0</v>
      </c>
      <c r="EL467" s="156">
        <v>0.0</v>
      </c>
      <c r="EZ467" s="86">
        <v>1.0</v>
      </c>
      <c r="FA467" s="86">
        <v>2.0</v>
      </c>
      <c r="FB467" s="86">
        <v>2.0</v>
      </c>
      <c r="FC467" s="86">
        <v>2.0</v>
      </c>
      <c r="FE467" s="86">
        <v>2.0</v>
      </c>
      <c r="FF467" s="86">
        <v>2.0</v>
      </c>
      <c r="FQ467" s="156">
        <v>1.0</v>
      </c>
      <c r="FR467" s="156">
        <v>0.0</v>
      </c>
      <c r="FS467" s="156">
        <v>0.0</v>
      </c>
      <c r="FT467" s="156">
        <v>1.0</v>
      </c>
      <c r="FU467" s="156">
        <v>0.0</v>
      </c>
      <c r="FV467" s="156">
        <v>0.0</v>
      </c>
      <c r="FW467" s="157"/>
      <c r="FX467" s="157"/>
      <c r="FY467" s="157"/>
      <c r="FZ467" s="188"/>
      <c r="GA467" s="157"/>
      <c r="GB467" s="157"/>
      <c r="GC467" s="157"/>
      <c r="GD467" s="157"/>
      <c r="GE467" s="157"/>
      <c r="GF467" s="188" t="s">
        <v>947</v>
      </c>
      <c r="GG467" s="157"/>
      <c r="GH467" s="157"/>
      <c r="GI467" s="157"/>
      <c r="GJ467" s="157"/>
      <c r="GK467" s="157"/>
      <c r="GL467" s="157"/>
      <c r="GM467" s="188"/>
      <c r="GN467" s="157"/>
      <c r="GO467" s="157"/>
      <c r="GP467" s="158"/>
      <c r="GQ467" s="157"/>
      <c r="GR467" s="157"/>
      <c r="GS467" s="157"/>
      <c r="GT467" s="157"/>
      <c r="GU467" s="157"/>
      <c r="GV467" s="157"/>
      <c r="GW467" s="157"/>
      <c r="GX467" s="157"/>
      <c r="GY467" s="157"/>
      <c r="GZ467" s="157"/>
      <c r="HA467" s="157"/>
      <c r="HB467" s="155">
        <v>0.0</v>
      </c>
      <c r="HC467" s="155">
        <v>0.0</v>
      </c>
      <c r="HD467" s="155">
        <v>0.0</v>
      </c>
      <c r="HE467" s="155">
        <v>0.0</v>
      </c>
      <c r="HF467" s="155">
        <v>0.0</v>
      </c>
      <c r="HG467" s="155">
        <v>0.0</v>
      </c>
      <c r="IL467" s="159">
        <v>0.0</v>
      </c>
      <c r="IM467" s="156">
        <v>0.0</v>
      </c>
      <c r="IN467" s="156">
        <v>0.0</v>
      </c>
      <c r="IO467" s="156">
        <v>0.0</v>
      </c>
      <c r="IP467" s="156">
        <v>0.0</v>
      </c>
      <c r="IQ467" s="160">
        <v>0.0</v>
      </c>
      <c r="JH467" s="25"/>
      <c r="JW467" s="159">
        <v>0.0</v>
      </c>
      <c r="JX467" s="156">
        <v>0.0</v>
      </c>
      <c r="JY467" s="156">
        <v>0.0</v>
      </c>
      <c r="JZ467" s="156">
        <v>0.0</v>
      </c>
      <c r="KA467" s="156">
        <v>0.0</v>
      </c>
      <c r="KB467" s="160">
        <v>0.0</v>
      </c>
      <c r="LH467" s="159">
        <f t="shared" si="10"/>
        <v>0</v>
      </c>
      <c r="LI467" s="156">
        <f t="shared" si="11"/>
        <v>0</v>
      </c>
      <c r="LJ467" s="156">
        <f t="shared" si="12"/>
        <v>0</v>
      </c>
      <c r="LK467" s="156">
        <f t="shared" si="13"/>
        <v>0</v>
      </c>
      <c r="LL467" s="156">
        <f t="shared" si="14"/>
        <v>0</v>
      </c>
      <c r="LM467" s="160">
        <f t="shared" si="15"/>
        <v>0</v>
      </c>
      <c r="QX467" s="107">
        <v>46020.0</v>
      </c>
    </row>
    <row r="468">
      <c r="A468" s="12"/>
      <c r="B468" s="12"/>
      <c r="C468" s="12"/>
      <c r="D468" s="12"/>
      <c r="E468" s="12"/>
      <c r="F468" s="12"/>
      <c r="G468" s="12"/>
      <c r="H468" s="12"/>
      <c r="I468" s="143">
        <f t="shared" si="22"/>
        <v>-30</v>
      </c>
      <c r="J468" s="144">
        <v>46015.0</v>
      </c>
      <c r="K468" s="145" t="s">
        <v>61</v>
      </c>
      <c r="L468" s="508">
        <v>46092.0</v>
      </c>
      <c r="M468" s="509" t="s">
        <v>107</v>
      </c>
      <c r="N468" s="510">
        <v>246.0</v>
      </c>
      <c r="O468" s="510">
        <v>60.0</v>
      </c>
      <c r="P468" s="511"/>
      <c r="Q468" s="511"/>
      <c r="R468" s="511"/>
      <c r="S468" s="511"/>
      <c r="T468" s="511"/>
      <c r="U468" s="509" t="s">
        <v>1140</v>
      </c>
      <c r="V468" s="518" t="s">
        <v>2501</v>
      </c>
      <c r="W468" s="513" t="s">
        <v>3166</v>
      </c>
      <c r="X468" s="181">
        <v>4.0</v>
      </c>
      <c r="Y468" s="166">
        <f t="shared" si="23"/>
        <v>30</v>
      </c>
      <c r="Z468" s="26">
        <f t="shared" si="7"/>
        <v>0</v>
      </c>
      <c r="AA468" s="26">
        <f t="shared" si="8"/>
        <v>0</v>
      </c>
      <c r="AB468" s="26">
        <f t="shared" si="9"/>
        <v>0</v>
      </c>
      <c r="AC468" s="155">
        <v>13.0</v>
      </c>
      <c r="AD468" s="155">
        <v>0.0</v>
      </c>
      <c r="AE468" s="155">
        <v>0.0</v>
      </c>
      <c r="AF468" s="155">
        <v>0.0</v>
      </c>
      <c r="AG468" s="155">
        <v>0.0</v>
      </c>
      <c r="AH468" s="155">
        <v>0.0</v>
      </c>
      <c r="AI468" s="167">
        <v>0.0</v>
      </c>
      <c r="AJ468" s="167">
        <v>1.0</v>
      </c>
      <c r="AK468" s="167">
        <v>0.0</v>
      </c>
      <c r="AL468" s="167">
        <v>0.0</v>
      </c>
      <c r="AM468" s="167">
        <v>1.0</v>
      </c>
      <c r="AN468" s="167">
        <v>0.0</v>
      </c>
      <c r="AO468" s="167">
        <v>1.0</v>
      </c>
      <c r="AP468" s="167">
        <v>0.0</v>
      </c>
      <c r="AQ468" s="167">
        <v>1.0</v>
      </c>
      <c r="AR468" s="167">
        <v>0.0</v>
      </c>
      <c r="AS468" s="167">
        <v>0.0</v>
      </c>
      <c r="AT468" s="167">
        <v>1.0</v>
      </c>
      <c r="AU468" s="167">
        <v>0.0</v>
      </c>
      <c r="AV468" s="167">
        <v>1.0</v>
      </c>
      <c r="AW468" s="167">
        <v>0.0</v>
      </c>
      <c r="AX468" s="167">
        <v>1.0</v>
      </c>
      <c r="AY468" s="167">
        <v>0.0</v>
      </c>
      <c r="AZ468" s="167">
        <v>0.0</v>
      </c>
      <c r="BA468" s="167">
        <v>1.0</v>
      </c>
      <c r="BB468" s="167">
        <v>0.0</v>
      </c>
      <c r="BC468" s="167">
        <v>1.0</v>
      </c>
      <c r="BD468" s="167">
        <v>0.0</v>
      </c>
      <c r="BE468" s="167">
        <v>1.0</v>
      </c>
      <c r="BF468" s="167">
        <v>0.0</v>
      </c>
      <c r="BG468" s="167">
        <v>0.0</v>
      </c>
      <c r="BH468" s="167">
        <v>1.0</v>
      </c>
      <c r="BI468" s="167">
        <v>0.0</v>
      </c>
      <c r="BJ468" s="167">
        <v>1.0</v>
      </c>
      <c r="BK468" s="167">
        <v>0.0</v>
      </c>
      <c r="BL468" s="167">
        <v>1.0</v>
      </c>
      <c r="BM468" s="167">
        <v>0.0</v>
      </c>
      <c r="BN468" s="155">
        <v>9.0</v>
      </c>
      <c r="BO468" s="155">
        <v>0.0</v>
      </c>
      <c r="BP468" s="155">
        <v>0.0</v>
      </c>
      <c r="BQ468" s="155">
        <v>0.0</v>
      </c>
      <c r="BR468" s="155">
        <v>0.0</v>
      </c>
      <c r="BS468" s="155">
        <v>0.0</v>
      </c>
      <c r="BT468" s="167">
        <v>0.0</v>
      </c>
      <c r="BU468" s="167">
        <v>1.0</v>
      </c>
      <c r="BV468" s="167">
        <v>0.0</v>
      </c>
      <c r="BW468" s="167">
        <v>1.0</v>
      </c>
      <c r="BX468" s="167">
        <v>0.0</v>
      </c>
      <c r="BY468" s="167">
        <v>1.0</v>
      </c>
      <c r="BZ468" s="167">
        <v>0.0</v>
      </c>
      <c r="CA468" s="167">
        <v>0.0</v>
      </c>
      <c r="CB468" s="167">
        <v>1.0</v>
      </c>
      <c r="CC468" s="167">
        <v>0.0</v>
      </c>
      <c r="CD468" s="167">
        <v>1.0</v>
      </c>
      <c r="CE468" s="167">
        <v>0.0</v>
      </c>
      <c r="CF468" s="167">
        <v>1.0</v>
      </c>
      <c r="CG468" s="167"/>
      <c r="CH468" s="167"/>
      <c r="CI468" s="167"/>
      <c r="CJ468" s="167"/>
      <c r="CK468" s="167"/>
      <c r="CL468" s="167"/>
      <c r="CM468" s="167"/>
      <c r="CN468" s="167"/>
      <c r="CO468" s="167"/>
      <c r="CP468" s="167">
        <v>1.0</v>
      </c>
      <c r="CQ468" s="167">
        <v>0.0</v>
      </c>
      <c r="CR468" s="167">
        <v>1.0</v>
      </c>
      <c r="CS468" s="167">
        <v>0.0</v>
      </c>
      <c r="CT468" s="167">
        <v>1.0</v>
      </c>
      <c r="CU468" s="167">
        <v>0.0</v>
      </c>
      <c r="CV468" s="156">
        <v>4.0</v>
      </c>
      <c r="CW468" s="156">
        <v>0.0</v>
      </c>
      <c r="CX468" s="156">
        <v>0.0</v>
      </c>
      <c r="CY468" s="156">
        <v>0.0</v>
      </c>
      <c r="CZ468" s="156">
        <v>0.0</v>
      </c>
      <c r="DA468" s="156">
        <v>0.0</v>
      </c>
      <c r="DB468" s="174">
        <v>0.0</v>
      </c>
      <c r="DC468" s="174">
        <v>1.0</v>
      </c>
      <c r="DD468" s="174">
        <v>0.0</v>
      </c>
      <c r="DE468" s="174">
        <v>1.0</v>
      </c>
      <c r="DF468" s="174">
        <v>0.0</v>
      </c>
      <c r="DG468" s="174">
        <v>1.0</v>
      </c>
      <c r="DH468" s="174">
        <v>0.0</v>
      </c>
      <c r="DI468" s="174">
        <v>0.0</v>
      </c>
      <c r="DJ468" s="174">
        <v>1.0</v>
      </c>
      <c r="DK468" s="174"/>
      <c r="DL468" s="174"/>
      <c r="DM468" s="174"/>
      <c r="DN468" s="174"/>
      <c r="DO468" s="174"/>
      <c r="DP468" s="174"/>
      <c r="DQ468" s="174"/>
      <c r="DR468" s="174"/>
      <c r="DS468" s="174"/>
      <c r="DT468" s="174"/>
      <c r="DU468" s="174"/>
      <c r="DV468" s="174"/>
      <c r="DW468" s="174"/>
      <c r="DX468" s="174"/>
      <c r="DY468" s="174"/>
      <c r="DZ468" s="174"/>
      <c r="EA468" s="174"/>
      <c r="EB468" s="174"/>
      <c r="EC468" s="174"/>
      <c r="ED468" s="174"/>
      <c r="EE468" s="174"/>
      <c r="EF468" s="174"/>
      <c r="EG468" s="156">
        <v>0.0</v>
      </c>
      <c r="EH468" s="156">
        <v>0.0</v>
      </c>
      <c r="EI468" s="156">
        <v>0.0</v>
      </c>
      <c r="EJ468" s="156">
        <v>0.0</v>
      </c>
      <c r="EK468" s="156">
        <v>0.0</v>
      </c>
      <c r="EL468" s="156">
        <v>0.0</v>
      </c>
      <c r="EM468" s="174"/>
      <c r="EN468" s="174"/>
      <c r="EO468" s="174"/>
      <c r="EP468" s="174"/>
      <c r="EQ468" s="174"/>
      <c r="ER468" s="174"/>
      <c r="ES468" s="174"/>
      <c r="ET468" s="174"/>
      <c r="EU468" s="174"/>
      <c r="EV468" s="174"/>
      <c r="EW468" s="174"/>
      <c r="EX468" s="174"/>
      <c r="EY468" s="174"/>
      <c r="EZ468" s="174"/>
      <c r="FA468" s="174"/>
      <c r="FB468" s="174"/>
      <c r="FC468" s="174"/>
      <c r="FD468" s="174"/>
      <c r="FE468" s="174"/>
      <c r="FF468" s="174"/>
      <c r="FG468" s="174"/>
      <c r="FH468" s="174"/>
      <c r="FI468" s="174"/>
      <c r="FJ468" s="174"/>
      <c r="FK468" s="174"/>
      <c r="FL468" s="174"/>
      <c r="FM468" s="174"/>
      <c r="FN468" s="174"/>
      <c r="FO468" s="174"/>
      <c r="FP468" s="174"/>
      <c r="FQ468" s="156">
        <v>0.0</v>
      </c>
      <c r="FR468" s="156">
        <v>0.0</v>
      </c>
      <c r="FS468" s="156">
        <v>0.0</v>
      </c>
      <c r="FT468" s="156">
        <v>0.0</v>
      </c>
      <c r="FU468" s="156">
        <v>0.0</v>
      </c>
      <c r="FV468" s="156">
        <v>0.0</v>
      </c>
      <c r="FW468" s="157"/>
      <c r="FX468" s="157"/>
      <c r="FY468" s="157"/>
      <c r="FZ468" s="157"/>
      <c r="GA468" s="157"/>
      <c r="GB468" s="157"/>
      <c r="GC468" s="157"/>
      <c r="GD468" s="157"/>
      <c r="GE468" s="157"/>
      <c r="GF468" s="157"/>
      <c r="GG468" s="157"/>
      <c r="GH468" s="157"/>
      <c r="GI468" s="157"/>
      <c r="GJ468" s="157"/>
      <c r="GK468" s="157"/>
      <c r="GL468" s="157"/>
      <c r="GM468" s="157"/>
      <c r="GN468" s="157"/>
      <c r="GO468" s="157"/>
      <c r="GP468" s="158"/>
      <c r="GQ468" s="157"/>
      <c r="GR468" s="157"/>
      <c r="GS468" s="157"/>
      <c r="GT468" s="157"/>
      <c r="GU468" s="157"/>
      <c r="GV468" s="157"/>
      <c r="GW468" s="157"/>
      <c r="GX468" s="157"/>
      <c r="GY468" s="157"/>
      <c r="GZ468" s="157"/>
      <c r="HA468" s="157"/>
      <c r="HB468" s="155">
        <v>0.0</v>
      </c>
      <c r="HC468" s="155">
        <v>0.0</v>
      </c>
      <c r="HD468" s="155">
        <v>0.0</v>
      </c>
      <c r="HE468" s="155">
        <v>0.0</v>
      </c>
      <c r="HF468" s="155">
        <v>0.0</v>
      </c>
      <c r="HG468" s="155">
        <v>0.0</v>
      </c>
      <c r="IL468" s="159">
        <v>0.0</v>
      </c>
      <c r="IM468" s="156">
        <v>0.0</v>
      </c>
      <c r="IN468" s="156">
        <v>0.0</v>
      </c>
      <c r="IO468" s="156">
        <v>0.0</v>
      </c>
      <c r="IP468" s="156">
        <v>0.0</v>
      </c>
      <c r="IQ468" s="160">
        <v>0.0</v>
      </c>
      <c r="JH468" s="25"/>
      <c r="JW468" s="159">
        <v>0.0</v>
      </c>
      <c r="JX468" s="156">
        <v>0.0</v>
      </c>
      <c r="JY468" s="156">
        <v>0.0</v>
      </c>
      <c r="JZ468" s="156">
        <v>0.0</v>
      </c>
      <c r="KA468" s="156">
        <v>0.0</v>
      </c>
      <c r="KB468" s="160">
        <v>0.0</v>
      </c>
      <c r="LH468" s="159">
        <f t="shared" si="10"/>
        <v>0</v>
      </c>
      <c r="LI468" s="156">
        <f t="shared" si="11"/>
        <v>0</v>
      </c>
      <c r="LJ468" s="156">
        <f t="shared" si="12"/>
        <v>0</v>
      </c>
      <c r="LK468" s="156">
        <f t="shared" si="13"/>
        <v>0</v>
      </c>
      <c r="LL468" s="156">
        <f t="shared" si="14"/>
        <v>0</v>
      </c>
      <c r="LM468" s="160">
        <f t="shared" si="15"/>
        <v>0</v>
      </c>
      <c r="QX468" s="107">
        <v>46020.0</v>
      </c>
    </row>
    <row r="469">
      <c r="A469" s="12"/>
      <c r="B469" s="12"/>
      <c r="C469" s="12"/>
      <c r="D469" s="12"/>
      <c r="E469" s="12"/>
      <c r="F469" s="12"/>
      <c r="G469" s="12"/>
      <c r="H469" s="12"/>
      <c r="I469" s="143">
        <f t="shared" si="22"/>
        <v>-15</v>
      </c>
      <c r="J469" s="144">
        <v>46020.0</v>
      </c>
      <c r="K469" s="195" t="s">
        <v>61</v>
      </c>
      <c r="L469" s="171">
        <v>46098.0</v>
      </c>
      <c r="M469" s="147" t="s">
        <v>400</v>
      </c>
      <c r="N469" s="148">
        <v>246.0</v>
      </c>
      <c r="O469" s="148">
        <v>30.0</v>
      </c>
      <c r="P469" s="26"/>
      <c r="Q469" s="26"/>
      <c r="R469" s="26"/>
      <c r="S469" s="26"/>
      <c r="T469" s="26"/>
      <c r="U469" s="147" t="s">
        <v>3286</v>
      </c>
      <c r="V469" s="149" t="s">
        <v>3287</v>
      </c>
      <c r="W469" s="248" t="s">
        <v>3288</v>
      </c>
      <c r="X469" s="181">
        <v>1.0</v>
      </c>
      <c r="Y469" s="166">
        <f t="shared" si="23"/>
        <v>15</v>
      </c>
      <c r="Z469" s="26">
        <f t="shared" si="7"/>
        <v>0</v>
      </c>
      <c r="AA469" s="26">
        <f t="shared" si="8"/>
        <v>0</v>
      </c>
      <c r="AB469" s="26">
        <f t="shared" si="9"/>
        <v>0</v>
      </c>
      <c r="AC469" s="155">
        <v>9.0</v>
      </c>
      <c r="AD469" s="155">
        <v>0.0</v>
      </c>
      <c r="AE469" s="155">
        <v>0.0</v>
      </c>
      <c r="AF469" s="155">
        <v>0.0</v>
      </c>
      <c r="AG469" s="155">
        <v>0.0</v>
      </c>
      <c r="AH469" s="155">
        <v>0.0</v>
      </c>
      <c r="AI469" s="167"/>
      <c r="AJ469" s="167"/>
      <c r="AK469" s="167"/>
      <c r="AL469" s="167"/>
      <c r="AM469" s="167">
        <v>1.0</v>
      </c>
      <c r="AN469" s="167">
        <v>0.0</v>
      </c>
      <c r="AO469" s="168">
        <v>1.0</v>
      </c>
      <c r="AP469" s="167"/>
      <c r="AQ469" s="167"/>
      <c r="AR469" s="167"/>
      <c r="AS469" s="167"/>
      <c r="AT469" s="167"/>
      <c r="AU469" s="168">
        <v>1.0</v>
      </c>
      <c r="AV469" s="167">
        <v>1.0</v>
      </c>
      <c r="AW469" s="167"/>
      <c r="AX469" s="167"/>
      <c r="AY469" s="167"/>
      <c r="AZ469" s="167"/>
      <c r="BA469" s="167">
        <v>1.0</v>
      </c>
      <c r="BB469" s="167">
        <v>0.0</v>
      </c>
      <c r="BC469" s="167">
        <v>1.0</v>
      </c>
      <c r="BD469" s="167">
        <v>0.0</v>
      </c>
      <c r="BE469" s="167">
        <v>1.0</v>
      </c>
      <c r="BF469" s="167"/>
      <c r="BG469" s="167"/>
      <c r="BH469" s="167"/>
      <c r="BI469" s="168">
        <v>1.0</v>
      </c>
      <c r="BJ469" s="168">
        <v>1.0</v>
      </c>
      <c r="BK469" s="167"/>
      <c r="BL469" s="167"/>
      <c r="BM469" s="167"/>
      <c r="BN469" s="155">
        <v>3.0</v>
      </c>
      <c r="BO469" s="155">
        <v>0.0</v>
      </c>
      <c r="BP469" s="155">
        <v>0.0</v>
      </c>
      <c r="BQ469" s="155">
        <v>0.0</v>
      </c>
      <c r="BR469" s="155">
        <v>0.0</v>
      </c>
      <c r="BS469" s="155">
        <v>0.0</v>
      </c>
      <c r="BT469" s="167">
        <v>0.0</v>
      </c>
      <c r="BU469" s="167">
        <v>1.0</v>
      </c>
      <c r="BV469" s="167"/>
      <c r="BW469" s="167"/>
      <c r="BX469" s="167"/>
      <c r="BY469" s="167"/>
      <c r="BZ469" s="167"/>
      <c r="CA469" s="167"/>
      <c r="CB469" s="167"/>
      <c r="CC469" s="167"/>
      <c r="CD469" s="167"/>
      <c r="CE469" s="167"/>
      <c r="CF469" s="167"/>
      <c r="CG469" s="167"/>
      <c r="CH469" s="167"/>
      <c r="CI469" s="167"/>
      <c r="CJ469" s="167"/>
      <c r="CK469" s="167"/>
      <c r="CL469" s="167"/>
      <c r="CM469" s="167"/>
      <c r="CN469" s="167"/>
      <c r="CO469" s="167"/>
      <c r="CP469" s="167">
        <v>1.0</v>
      </c>
      <c r="CQ469" s="167">
        <v>0.0</v>
      </c>
      <c r="CR469" s="167"/>
      <c r="CS469" s="168">
        <v>1.0</v>
      </c>
      <c r="CT469" s="167"/>
      <c r="CU469" s="167"/>
      <c r="CV469" s="156">
        <v>2.0</v>
      </c>
      <c r="CW469" s="156">
        <v>0.0</v>
      </c>
      <c r="CX469" s="156">
        <v>0.0</v>
      </c>
      <c r="CY469" s="156">
        <v>0.0</v>
      </c>
      <c r="CZ469" s="156">
        <v>0.0</v>
      </c>
      <c r="DA469" s="156">
        <v>0.0</v>
      </c>
      <c r="DB469" s="174"/>
      <c r="DC469" s="174"/>
      <c r="DD469" s="175">
        <v>1.0</v>
      </c>
      <c r="DE469" s="174"/>
      <c r="DF469" s="174"/>
      <c r="DG469" s="174">
        <v>1.0</v>
      </c>
      <c r="DH469" s="174"/>
      <c r="DI469" s="174"/>
      <c r="DJ469" s="174"/>
      <c r="DK469" s="174"/>
      <c r="DL469" s="174"/>
      <c r="DM469" s="174"/>
      <c r="DN469" s="174"/>
      <c r="DO469" s="174"/>
      <c r="DP469" s="174"/>
      <c r="DQ469" s="174"/>
      <c r="DR469" s="174"/>
      <c r="DS469" s="174"/>
      <c r="DT469" s="174"/>
      <c r="DU469" s="174"/>
      <c r="DV469" s="174"/>
      <c r="DW469" s="174"/>
      <c r="DX469" s="174"/>
      <c r="DY469" s="174"/>
      <c r="DZ469" s="174"/>
      <c r="EA469" s="174"/>
      <c r="EB469" s="174"/>
      <c r="EC469" s="174"/>
      <c r="ED469" s="174"/>
      <c r="EE469" s="174"/>
      <c r="EF469" s="174"/>
      <c r="EG469" s="156">
        <v>0.0</v>
      </c>
      <c r="EH469" s="156">
        <v>0.0</v>
      </c>
      <c r="EI469" s="156">
        <v>0.0</v>
      </c>
      <c r="EJ469" s="156">
        <v>0.0</v>
      </c>
      <c r="EK469" s="156">
        <v>0.0</v>
      </c>
      <c r="EL469" s="156">
        <v>0.0</v>
      </c>
      <c r="FQ469" s="156">
        <v>0.0</v>
      </c>
      <c r="FR469" s="156">
        <v>0.0</v>
      </c>
      <c r="FS469" s="156">
        <v>0.0</v>
      </c>
      <c r="FT469" s="156">
        <v>0.0</v>
      </c>
      <c r="FU469" s="156">
        <v>0.0</v>
      </c>
      <c r="FV469" s="156">
        <v>0.0</v>
      </c>
      <c r="FW469" s="157"/>
      <c r="FX469" s="157"/>
      <c r="FY469" s="157"/>
      <c r="FZ469" s="157"/>
      <c r="GA469" s="157"/>
      <c r="GB469" s="157"/>
      <c r="GC469" s="157"/>
      <c r="GD469" s="157"/>
      <c r="GE469" s="157"/>
      <c r="GF469" s="157"/>
      <c r="GG469" s="157"/>
      <c r="GH469" s="157"/>
      <c r="GI469" s="157"/>
      <c r="GJ469" s="157"/>
      <c r="GK469" s="157"/>
      <c r="GL469" s="157"/>
      <c r="GM469" s="157"/>
      <c r="GN469" s="157"/>
      <c r="GO469" s="157"/>
      <c r="GP469" s="158"/>
      <c r="GQ469" s="157"/>
      <c r="GR469" s="157"/>
      <c r="GS469" s="157"/>
      <c r="GT469" s="157"/>
      <c r="GU469" s="157"/>
      <c r="GV469" s="157"/>
      <c r="GW469" s="157"/>
      <c r="GX469" s="157"/>
      <c r="GY469" s="157"/>
      <c r="GZ469" s="157"/>
      <c r="HA469" s="157"/>
      <c r="HB469" s="155">
        <v>0.0</v>
      </c>
      <c r="HC469" s="155">
        <v>0.0</v>
      </c>
      <c r="HD469" s="155">
        <v>0.0</v>
      </c>
      <c r="HE469" s="155">
        <v>0.0</v>
      </c>
      <c r="HF469" s="155">
        <v>0.0</v>
      </c>
      <c r="HG469" s="155">
        <v>0.0</v>
      </c>
      <c r="IL469" s="159">
        <v>0.0</v>
      </c>
      <c r="IM469" s="156">
        <v>0.0</v>
      </c>
      <c r="IN469" s="156">
        <v>0.0</v>
      </c>
      <c r="IO469" s="156">
        <v>0.0</v>
      </c>
      <c r="IP469" s="156">
        <v>0.0</v>
      </c>
      <c r="IQ469" s="160">
        <v>0.0</v>
      </c>
      <c r="JH469" s="25"/>
      <c r="JW469" s="159">
        <v>0.0</v>
      </c>
      <c r="JX469" s="156">
        <v>0.0</v>
      </c>
      <c r="JY469" s="156">
        <v>0.0</v>
      </c>
      <c r="JZ469" s="156">
        <v>0.0</v>
      </c>
      <c r="KA469" s="156">
        <v>0.0</v>
      </c>
      <c r="KB469" s="160">
        <v>0.0</v>
      </c>
      <c r="LH469" s="159">
        <f t="shared" si="10"/>
        <v>0</v>
      </c>
      <c r="LI469" s="156">
        <f t="shared" si="11"/>
        <v>0</v>
      </c>
      <c r="LJ469" s="156">
        <f t="shared" si="12"/>
        <v>0</v>
      </c>
      <c r="LK469" s="156">
        <f t="shared" si="13"/>
        <v>0</v>
      </c>
      <c r="LL469" s="156">
        <f t="shared" si="14"/>
        <v>0</v>
      </c>
      <c r="LM469" s="160">
        <f t="shared" si="15"/>
        <v>0</v>
      </c>
      <c r="QX469" s="107">
        <v>46021.0</v>
      </c>
    </row>
    <row r="470">
      <c r="A470" s="12"/>
      <c r="B470" s="12"/>
      <c r="C470" s="12"/>
      <c r="D470" s="12"/>
      <c r="E470" s="12"/>
      <c r="F470" s="12"/>
      <c r="G470" s="12"/>
      <c r="H470" s="12"/>
      <c r="I470" s="143">
        <f t="shared" si="22"/>
        <v>-30</v>
      </c>
      <c r="J470" s="170" t="s">
        <v>3289</v>
      </c>
      <c r="K470" s="164" t="s">
        <v>61</v>
      </c>
      <c r="L470" s="170" t="s">
        <v>3290</v>
      </c>
      <c r="M470" s="147" t="s">
        <v>348</v>
      </c>
      <c r="N470" s="148">
        <v>246.0</v>
      </c>
      <c r="O470" s="148">
        <v>30.0</v>
      </c>
      <c r="P470" s="26"/>
      <c r="Q470" s="26"/>
      <c r="R470" s="26"/>
      <c r="S470" s="26"/>
      <c r="T470" s="26"/>
      <c r="U470" s="164" t="s">
        <v>3291</v>
      </c>
      <c r="V470" s="165" t="s">
        <v>3292</v>
      </c>
      <c r="W470" s="150" t="s">
        <v>3293</v>
      </c>
      <c r="X470" s="181">
        <v>2.0</v>
      </c>
      <c r="Y470" s="166">
        <f t="shared" si="23"/>
        <v>30</v>
      </c>
      <c r="Z470" s="26">
        <f t="shared" si="7"/>
        <v>0</v>
      </c>
      <c r="AA470" s="26">
        <f t="shared" si="8"/>
        <v>0</v>
      </c>
      <c r="AB470" s="26">
        <f t="shared" si="9"/>
        <v>0</v>
      </c>
      <c r="AC470" s="155">
        <v>6.0</v>
      </c>
      <c r="AD470" s="155">
        <v>0.0</v>
      </c>
      <c r="AE470" s="155">
        <v>0.0</v>
      </c>
      <c r="AF470" s="155">
        <v>0.0</v>
      </c>
      <c r="AG470" s="155">
        <v>0.0</v>
      </c>
      <c r="AH470" s="155">
        <v>0.0</v>
      </c>
      <c r="AI470" s="167">
        <v>0.0</v>
      </c>
      <c r="AJ470" s="167">
        <v>1.0</v>
      </c>
      <c r="AK470" s="167">
        <v>0.0</v>
      </c>
      <c r="AL470" s="167">
        <v>0.0</v>
      </c>
      <c r="AM470" s="167">
        <v>1.0</v>
      </c>
      <c r="AN470" s="167">
        <v>0.0</v>
      </c>
      <c r="AO470" s="167">
        <v>1.0</v>
      </c>
      <c r="AP470" s="167">
        <v>0.0</v>
      </c>
      <c r="AQ470" s="167">
        <v>1.0</v>
      </c>
      <c r="AR470" s="167">
        <v>0.0</v>
      </c>
      <c r="AS470" s="167">
        <v>0.0</v>
      </c>
      <c r="AT470" s="167">
        <v>1.0</v>
      </c>
      <c r="AU470" s="167">
        <v>0.0</v>
      </c>
      <c r="AV470" s="167"/>
      <c r="AW470" s="167">
        <v>0.0</v>
      </c>
      <c r="AX470" s="167">
        <v>1.0</v>
      </c>
      <c r="AY470" s="167"/>
      <c r="AZ470" s="167"/>
      <c r="BA470" s="167"/>
      <c r="BB470" s="167"/>
      <c r="BC470" s="167"/>
      <c r="BD470" s="167"/>
      <c r="BE470" s="167"/>
      <c r="BF470" s="167"/>
      <c r="BG470" s="167"/>
      <c r="BH470" s="167"/>
      <c r="BI470" s="167"/>
      <c r="BJ470" s="167"/>
      <c r="BK470" s="167"/>
      <c r="BL470" s="167"/>
      <c r="BM470" s="167"/>
      <c r="BN470" s="155">
        <v>0.0</v>
      </c>
      <c r="BO470" s="155">
        <v>0.0</v>
      </c>
      <c r="BP470" s="155">
        <v>0.0</v>
      </c>
      <c r="BQ470" s="155">
        <v>0.0</v>
      </c>
      <c r="BR470" s="155">
        <v>0.0</v>
      </c>
      <c r="BS470" s="155">
        <v>0.0</v>
      </c>
      <c r="CV470" s="156">
        <v>6.0</v>
      </c>
      <c r="CW470" s="156">
        <v>0.0</v>
      </c>
      <c r="CX470" s="156">
        <v>0.0</v>
      </c>
      <c r="CY470" s="156">
        <v>0.0</v>
      </c>
      <c r="CZ470" s="156">
        <v>0.0</v>
      </c>
      <c r="DA470" s="156">
        <v>0.0</v>
      </c>
      <c r="DB470" s="174"/>
      <c r="DC470" s="174"/>
      <c r="DD470" s="174"/>
      <c r="DE470" s="174"/>
      <c r="DF470" s="174"/>
      <c r="DG470" s="174"/>
      <c r="DH470" s="174"/>
      <c r="DI470" s="174"/>
      <c r="DJ470" s="174"/>
      <c r="DK470" s="174"/>
      <c r="DL470" s="174"/>
      <c r="DM470" s="174"/>
      <c r="DN470" s="174"/>
      <c r="DO470" s="174"/>
      <c r="DP470" s="174"/>
      <c r="DQ470" s="174"/>
      <c r="DR470" s="174"/>
      <c r="DS470" s="175">
        <v>1.0</v>
      </c>
      <c r="DT470" s="174">
        <v>0.0</v>
      </c>
      <c r="DU470" s="174">
        <v>1.0</v>
      </c>
      <c r="DV470" s="174">
        <v>0.0</v>
      </c>
      <c r="DW470" s="174">
        <v>0.0</v>
      </c>
      <c r="DX470" s="174">
        <v>1.0</v>
      </c>
      <c r="DY470" s="174">
        <v>0.0</v>
      </c>
      <c r="DZ470" s="174">
        <v>1.0</v>
      </c>
      <c r="EA470" s="174">
        <v>0.0</v>
      </c>
      <c r="EB470" s="174">
        <v>1.0</v>
      </c>
      <c r="EC470" s="174">
        <v>0.0</v>
      </c>
      <c r="ED470" s="174">
        <v>0.0</v>
      </c>
      <c r="EE470" s="174">
        <v>1.0</v>
      </c>
      <c r="EF470" s="174">
        <v>0.0</v>
      </c>
      <c r="EG470" s="156">
        <v>11.0</v>
      </c>
      <c r="EH470" s="156">
        <v>0.0</v>
      </c>
      <c r="EI470" s="156">
        <v>0.0</v>
      </c>
      <c r="EJ470" s="156">
        <v>0.0</v>
      </c>
      <c r="EK470" s="156">
        <v>0.0</v>
      </c>
      <c r="EL470" s="156">
        <v>0.0</v>
      </c>
      <c r="EM470" s="174">
        <v>1.0</v>
      </c>
      <c r="EN470" s="174"/>
      <c r="EO470" s="174"/>
      <c r="EP470" s="174"/>
      <c r="EQ470" s="174"/>
      <c r="ER470" s="175">
        <v>1.0</v>
      </c>
      <c r="ES470" s="174"/>
      <c r="ET470" s="174">
        <v>1.0</v>
      </c>
      <c r="EU470" s="174">
        <v>0.0</v>
      </c>
      <c r="EV470" s="174">
        <v>1.0</v>
      </c>
      <c r="EW470" s="174">
        <v>0.0</v>
      </c>
      <c r="EX470" s="174">
        <v>0.0</v>
      </c>
      <c r="EY470" s="174">
        <v>1.0</v>
      </c>
      <c r="EZ470" s="174">
        <v>0.0</v>
      </c>
      <c r="FA470" s="174">
        <v>1.0</v>
      </c>
      <c r="FB470" s="174">
        <v>0.0</v>
      </c>
      <c r="FC470" s="174">
        <v>1.0</v>
      </c>
      <c r="FD470" s="174">
        <v>0.0</v>
      </c>
      <c r="FE470" s="174">
        <v>0.0</v>
      </c>
      <c r="FF470" s="174">
        <v>1.0</v>
      </c>
      <c r="FG470" s="174">
        <v>0.0</v>
      </c>
      <c r="FH470" s="174">
        <v>1.0</v>
      </c>
      <c r="FI470" s="174">
        <v>0.0</v>
      </c>
      <c r="FJ470" s="174">
        <v>1.0</v>
      </c>
      <c r="FK470" s="174"/>
      <c r="FL470" s="174"/>
      <c r="FM470" s="174"/>
      <c r="FN470" s="174"/>
      <c r="FO470" s="174">
        <v>1.0</v>
      </c>
      <c r="FP470" s="174">
        <v>0.0</v>
      </c>
      <c r="FQ470" s="156">
        <v>5.0</v>
      </c>
      <c r="FR470" s="156">
        <v>0.0</v>
      </c>
      <c r="FS470" s="156">
        <v>0.0</v>
      </c>
      <c r="FT470" s="156">
        <v>0.0</v>
      </c>
      <c r="FU470" s="156">
        <v>0.0</v>
      </c>
      <c r="FV470" s="156">
        <v>0.0</v>
      </c>
      <c r="FW470" s="174"/>
      <c r="FX470" s="174"/>
      <c r="FY470" s="174"/>
      <c r="FZ470" s="174">
        <v>1.0</v>
      </c>
      <c r="GA470" s="174">
        <v>0.0</v>
      </c>
      <c r="GB470" s="174">
        <v>1.0</v>
      </c>
      <c r="GC470" s="174">
        <v>0.0</v>
      </c>
      <c r="GD470" s="174">
        <v>1.0</v>
      </c>
      <c r="GE470" s="174">
        <v>0.0</v>
      </c>
      <c r="GF470" s="174">
        <v>0.0</v>
      </c>
      <c r="GG470" s="174">
        <v>1.0</v>
      </c>
      <c r="GH470" s="174">
        <v>0.0</v>
      </c>
      <c r="GI470" s="174">
        <v>1.0</v>
      </c>
      <c r="GJ470" s="174"/>
      <c r="GK470" s="174"/>
      <c r="GL470" s="174"/>
      <c r="GM470" s="174"/>
      <c r="GN470" s="174"/>
      <c r="GO470" s="174"/>
      <c r="GP470" s="176"/>
      <c r="GQ470" s="174"/>
      <c r="GR470" s="174"/>
      <c r="GS470" s="174"/>
      <c r="GT470" s="174"/>
      <c r="GU470" s="174"/>
      <c r="GV470" s="174"/>
      <c r="GW470" s="174"/>
      <c r="GX470" s="174"/>
      <c r="GY470" s="174"/>
      <c r="GZ470" s="174"/>
      <c r="HA470" s="174"/>
      <c r="HB470" s="155">
        <v>0.0</v>
      </c>
      <c r="HC470" s="155">
        <v>0.0</v>
      </c>
      <c r="HD470" s="155">
        <v>0.0</v>
      </c>
      <c r="HE470" s="155">
        <v>0.0</v>
      </c>
      <c r="HF470" s="155">
        <v>0.0</v>
      </c>
      <c r="HG470" s="155">
        <v>0.0</v>
      </c>
      <c r="IL470" s="159">
        <v>0.0</v>
      </c>
      <c r="IM470" s="156">
        <v>0.0</v>
      </c>
      <c r="IN470" s="156">
        <v>0.0</v>
      </c>
      <c r="IO470" s="156">
        <v>0.0</v>
      </c>
      <c r="IP470" s="156">
        <v>0.0</v>
      </c>
      <c r="IQ470" s="160">
        <v>0.0</v>
      </c>
      <c r="JH470" s="25"/>
      <c r="JW470" s="159">
        <v>0.0</v>
      </c>
      <c r="JX470" s="156">
        <v>0.0</v>
      </c>
      <c r="JY470" s="156">
        <v>0.0</v>
      </c>
      <c r="JZ470" s="156">
        <v>0.0</v>
      </c>
      <c r="KA470" s="156">
        <v>0.0</v>
      </c>
      <c r="KB470" s="160">
        <v>0.0</v>
      </c>
      <c r="LH470" s="159">
        <f t="shared" si="10"/>
        <v>0</v>
      </c>
      <c r="LI470" s="156">
        <f t="shared" si="11"/>
        <v>0</v>
      </c>
      <c r="LJ470" s="156">
        <f t="shared" si="12"/>
        <v>0</v>
      </c>
      <c r="LK470" s="156">
        <f t="shared" si="13"/>
        <v>0</v>
      </c>
      <c r="LL470" s="156">
        <f t="shared" si="14"/>
        <v>0</v>
      </c>
      <c r="LM470" s="160">
        <f t="shared" si="15"/>
        <v>0</v>
      </c>
      <c r="QX470" s="107">
        <v>46022.0</v>
      </c>
    </row>
    <row r="471">
      <c r="A471" s="12"/>
      <c r="B471" s="12"/>
      <c r="C471" s="12"/>
      <c r="D471" s="12"/>
      <c r="E471" s="12"/>
      <c r="F471" s="12"/>
      <c r="G471" s="12"/>
      <c r="H471" s="12"/>
      <c r="I471" s="143">
        <f t="shared" si="22"/>
        <v>-30</v>
      </c>
      <c r="J471" s="144">
        <v>46029.0</v>
      </c>
      <c r="K471" s="164" t="s">
        <v>61</v>
      </c>
      <c r="L471" s="171">
        <v>46127.0</v>
      </c>
      <c r="M471" s="147" t="s">
        <v>228</v>
      </c>
      <c r="N471" s="148">
        <v>246.0</v>
      </c>
      <c r="O471" s="148">
        <v>30.0</v>
      </c>
      <c r="P471" s="26"/>
      <c r="Q471" s="26"/>
      <c r="R471" s="26"/>
      <c r="S471" s="26"/>
      <c r="T471" s="26"/>
      <c r="U471" s="147" t="s">
        <v>1259</v>
      </c>
      <c r="V471" s="149" t="s">
        <v>732</v>
      </c>
      <c r="W471" s="198" t="s">
        <v>3294</v>
      </c>
      <c r="X471" s="181">
        <v>0.0</v>
      </c>
      <c r="Y471" s="166">
        <f t="shared" si="23"/>
        <v>30</v>
      </c>
      <c r="Z471" s="26">
        <f t="shared" si="7"/>
        <v>0</v>
      </c>
      <c r="AA471" s="26">
        <f t="shared" si="8"/>
        <v>0</v>
      </c>
      <c r="AB471" s="26">
        <f t="shared" si="9"/>
        <v>0</v>
      </c>
      <c r="AC471" s="155">
        <v>10.0</v>
      </c>
      <c r="AD471" s="155">
        <v>0.0</v>
      </c>
      <c r="AE471" s="155">
        <v>0.0</v>
      </c>
      <c r="AF471" s="155">
        <v>0.0</v>
      </c>
      <c r="AG471" s="155">
        <v>0.0</v>
      </c>
      <c r="AH471" s="155">
        <v>0.0</v>
      </c>
      <c r="AI471" s="167"/>
      <c r="AJ471" s="167"/>
      <c r="AK471" s="167"/>
      <c r="AL471" s="167"/>
      <c r="AM471" s="167"/>
      <c r="AN471" s="167"/>
      <c r="AO471" s="167">
        <v>1.0</v>
      </c>
      <c r="AP471" s="167">
        <v>0.0</v>
      </c>
      <c r="AQ471" s="167">
        <v>1.0</v>
      </c>
      <c r="AR471" s="167">
        <v>0.0</v>
      </c>
      <c r="AS471" s="167">
        <v>0.0</v>
      </c>
      <c r="AT471" s="167">
        <v>1.0</v>
      </c>
      <c r="AU471" s="168">
        <v>1.0</v>
      </c>
      <c r="AV471" s="167">
        <v>1.0</v>
      </c>
      <c r="AW471" s="168">
        <v>1.0</v>
      </c>
      <c r="AX471" s="167"/>
      <c r="AY471" s="167"/>
      <c r="AZ471" s="167"/>
      <c r="BA471" s="167"/>
      <c r="BB471" s="167"/>
      <c r="BC471" s="167">
        <v>1.0</v>
      </c>
      <c r="BD471" s="167">
        <v>0.0</v>
      </c>
      <c r="BE471" s="167">
        <v>1.0</v>
      </c>
      <c r="BF471" s="167"/>
      <c r="BG471" s="167"/>
      <c r="BH471" s="167"/>
      <c r="BI471" s="167"/>
      <c r="BJ471" s="167">
        <v>1.0</v>
      </c>
      <c r="BK471" s="167">
        <v>0.0</v>
      </c>
      <c r="BL471" s="167">
        <v>1.0</v>
      </c>
      <c r="BM471" s="167">
        <v>0.0</v>
      </c>
      <c r="BN471" s="155">
        <v>6.0</v>
      </c>
      <c r="BO471" s="155">
        <v>0.0</v>
      </c>
      <c r="BP471" s="155">
        <v>0.0</v>
      </c>
      <c r="BQ471" s="155">
        <v>0.0</v>
      </c>
      <c r="BR471" s="155">
        <v>0.0</v>
      </c>
      <c r="BS471" s="155">
        <v>0.0</v>
      </c>
      <c r="BT471" s="167"/>
      <c r="BU471" s="167"/>
      <c r="BV471" s="167">
        <v>0.0</v>
      </c>
      <c r="BW471" s="167">
        <v>1.0</v>
      </c>
      <c r="BX471" s="167"/>
      <c r="BY471" s="167"/>
      <c r="BZ471" s="167"/>
      <c r="CA471" s="167"/>
      <c r="CB471" s="167"/>
      <c r="CC471" s="167"/>
      <c r="CD471" s="167">
        <v>1.0</v>
      </c>
      <c r="CE471" s="167">
        <v>0.0</v>
      </c>
      <c r="CF471" s="167">
        <v>1.0</v>
      </c>
      <c r="CG471" s="167"/>
      <c r="CH471" s="167"/>
      <c r="CI471" s="167"/>
      <c r="CJ471" s="167"/>
      <c r="CK471" s="167"/>
      <c r="CL471" s="167"/>
      <c r="CM471" s="167"/>
      <c r="CN471" s="167"/>
      <c r="CO471" s="167"/>
      <c r="CP471" s="167">
        <v>1.0</v>
      </c>
      <c r="CQ471" s="167">
        <v>0.0</v>
      </c>
      <c r="CR471" s="167">
        <v>1.0</v>
      </c>
      <c r="CS471" s="168">
        <v>1.0</v>
      </c>
      <c r="CT471" s="167"/>
      <c r="CU471" s="167"/>
      <c r="CV471" s="156">
        <v>9.0</v>
      </c>
      <c r="CW471" s="156">
        <v>0.0</v>
      </c>
      <c r="CX471" s="156">
        <v>0.0</v>
      </c>
      <c r="CY471" s="156">
        <v>0.0</v>
      </c>
      <c r="CZ471" s="156">
        <v>0.0</v>
      </c>
      <c r="DA471" s="156">
        <v>0.0</v>
      </c>
      <c r="DB471" s="175"/>
      <c r="DC471" s="174"/>
      <c r="DD471" s="175">
        <v>1.0</v>
      </c>
      <c r="DE471" s="174"/>
      <c r="DF471" s="174">
        <v>0.0</v>
      </c>
      <c r="DG471" s="174"/>
      <c r="DH471" s="174">
        <v>0.0</v>
      </c>
      <c r="DI471" s="174">
        <v>0.0</v>
      </c>
      <c r="DJ471" s="174">
        <v>1.0</v>
      </c>
      <c r="DK471" s="174">
        <v>0.0</v>
      </c>
      <c r="DL471" s="174">
        <v>1.0</v>
      </c>
      <c r="DM471" s="174">
        <v>0.0</v>
      </c>
      <c r="DN471" s="174">
        <v>1.0</v>
      </c>
      <c r="DO471" s="174"/>
      <c r="DP471" s="174"/>
      <c r="DQ471" s="174"/>
      <c r="DR471" s="174"/>
      <c r="DS471" s="174">
        <v>1.0</v>
      </c>
      <c r="DT471" s="174">
        <v>0.0</v>
      </c>
      <c r="DU471" s="174"/>
      <c r="DV471" s="174">
        <v>0.0</v>
      </c>
      <c r="DW471" s="174">
        <v>0.0</v>
      </c>
      <c r="DX471" s="174">
        <v>1.0</v>
      </c>
      <c r="DY471" s="174">
        <v>0.0</v>
      </c>
      <c r="DZ471" s="174">
        <v>1.0</v>
      </c>
      <c r="EA471" s="174">
        <v>0.0</v>
      </c>
      <c r="EB471" s="174">
        <v>1.0</v>
      </c>
      <c r="EC471" s="174">
        <v>0.0</v>
      </c>
      <c r="ED471" s="174">
        <v>0.0</v>
      </c>
      <c r="EE471" s="174">
        <v>1.0</v>
      </c>
      <c r="EF471" s="174">
        <v>0.0</v>
      </c>
      <c r="EG471" s="156">
        <v>5.0</v>
      </c>
      <c r="EH471" s="156">
        <v>0.0</v>
      </c>
      <c r="EI471" s="156">
        <v>0.0</v>
      </c>
      <c r="EJ471" s="156">
        <v>0.0</v>
      </c>
      <c r="EK471" s="156">
        <v>0.0</v>
      </c>
      <c r="EL471" s="156">
        <v>0.0</v>
      </c>
      <c r="EM471" s="174">
        <v>1.0</v>
      </c>
      <c r="EN471" s="174">
        <v>0.0</v>
      </c>
      <c r="EO471" s="174">
        <v>1.0</v>
      </c>
      <c r="EP471" s="174">
        <v>0.0</v>
      </c>
      <c r="EQ471" s="174">
        <v>0.0</v>
      </c>
      <c r="ER471" s="175">
        <v>1.0</v>
      </c>
      <c r="ES471" s="174">
        <v>0.0</v>
      </c>
      <c r="ET471" s="174">
        <v>1.0</v>
      </c>
      <c r="EU471" s="174"/>
      <c r="EV471" s="174"/>
      <c r="EW471" s="174"/>
      <c r="EX471" s="174"/>
      <c r="EY471" s="174">
        <v>1.0</v>
      </c>
      <c r="EZ471" s="174"/>
      <c r="FA471" s="174"/>
      <c r="FB471" s="174"/>
      <c r="FC471" s="174"/>
      <c r="FD471" s="174"/>
      <c r="FE471" s="174"/>
      <c r="FF471" s="174"/>
      <c r="FG471" s="174"/>
      <c r="FH471" s="174"/>
      <c r="FI471" s="174"/>
      <c r="FJ471" s="174"/>
      <c r="FK471" s="174"/>
      <c r="FL471" s="174"/>
      <c r="FM471" s="174"/>
      <c r="FN471" s="174"/>
      <c r="FO471" s="174"/>
      <c r="FP471" s="174"/>
      <c r="FQ471" s="156">
        <v>0.0</v>
      </c>
      <c r="FR471" s="156">
        <v>0.0</v>
      </c>
      <c r="FS471" s="156">
        <v>0.0</v>
      </c>
      <c r="FT471" s="156">
        <v>0.0</v>
      </c>
      <c r="FU471" s="156">
        <v>0.0</v>
      </c>
      <c r="FV471" s="156">
        <v>0.0</v>
      </c>
      <c r="FW471" s="157"/>
      <c r="FX471" s="157"/>
      <c r="FY471" s="157"/>
      <c r="FZ471" s="157"/>
      <c r="GA471" s="157"/>
      <c r="GB471" s="157"/>
      <c r="GC471" s="157"/>
      <c r="GD471" s="157"/>
      <c r="GE471" s="157"/>
      <c r="GF471" s="157"/>
      <c r="GG471" s="157"/>
      <c r="GH471" s="157"/>
      <c r="GI471" s="157"/>
      <c r="GJ471" s="157"/>
      <c r="GK471" s="157"/>
      <c r="GL471" s="157"/>
      <c r="GM471" s="157"/>
      <c r="GN471" s="157"/>
      <c r="GO471" s="157"/>
      <c r="GP471" s="158"/>
      <c r="GQ471" s="157"/>
      <c r="GR471" s="157"/>
      <c r="GS471" s="157"/>
      <c r="GT471" s="157"/>
      <c r="GU471" s="157"/>
      <c r="GV471" s="157"/>
      <c r="GW471" s="157"/>
      <c r="GX471" s="157"/>
      <c r="GY471" s="157"/>
      <c r="GZ471" s="157"/>
      <c r="HA471" s="157"/>
      <c r="HB471" s="155">
        <v>0.0</v>
      </c>
      <c r="HC471" s="155">
        <v>0.0</v>
      </c>
      <c r="HD471" s="155">
        <v>0.0</v>
      </c>
      <c r="HE471" s="155">
        <v>0.0</v>
      </c>
      <c r="HF471" s="155">
        <v>0.0</v>
      </c>
      <c r="HG471" s="155">
        <v>0.0</v>
      </c>
      <c r="IL471" s="159">
        <v>0.0</v>
      </c>
      <c r="IM471" s="156">
        <v>0.0</v>
      </c>
      <c r="IN471" s="156">
        <v>0.0</v>
      </c>
      <c r="IO471" s="156">
        <v>0.0</v>
      </c>
      <c r="IP471" s="156">
        <v>0.0</v>
      </c>
      <c r="IQ471" s="160">
        <v>0.0</v>
      </c>
      <c r="JH471" s="25"/>
      <c r="JW471" s="159">
        <v>0.0</v>
      </c>
      <c r="JX471" s="156">
        <v>0.0</v>
      </c>
      <c r="JY471" s="156">
        <v>0.0</v>
      </c>
      <c r="JZ471" s="156">
        <v>0.0</v>
      </c>
      <c r="KA471" s="156">
        <v>0.0</v>
      </c>
      <c r="KB471" s="160">
        <v>0.0</v>
      </c>
      <c r="LH471" s="159">
        <f t="shared" si="10"/>
        <v>0</v>
      </c>
      <c r="LI471" s="156">
        <f t="shared" si="11"/>
        <v>0</v>
      </c>
      <c r="LJ471" s="156">
        <f t="shared" si="12"/>
        <v>0</v>
      </c>
      <c r="LK471" s="156">
        <f t="shared" si="13"/>
        <v>0</v>
      </c>
      <c r="LL471" s="156">
        <f t="shared" si="14"/>
        <v>0</v>
      </c>
      <c r="LM471" s="160">
        <f t="shared" si="15"/>
        <v>0</v>
      </c>
      <c r="QX471" s="107">
        <v>46022.0</v>
      </c>
    </row>
    <row r="472">
      <c r="A472" s="12"/>
      <c r="B472" s="12"/>
      <c r="C472" s="12"/>
      <c r="D472" s="12"/>
      <c r="E472" s="12"/>
      <c r="F472" s="12"/>
      <c r="G472" s="12"/>
      <c r="H472" s="12"/>
      <c r="I472" s="143">
        <f t="shared" si="22"/>
        <v>-18</v>
      </c>
      <c r="J472" s="295">
        <v>46029.0</v>
      </c>
      <c r="K472" s="184" t="s">
        <v>53</v>
      </c>
      <c r="L472" s="297">
        <v>46099.0</v>
      </c>
      <c r="M472" s="147" t="s">
        <v>400</v>
      </c>
      <c r="N472" s="148">
        <v>246.0</v>
      </c>
      <c r="O472" s="148">
        <v>30.0</v>
      </c>
      <c r="P472" s="26"/>
      <c r="Q472" s="26"/>
      <c r="R472" s="26"/>
      <c r="S472" s="26"/>
      <c r="T472" s="26"/>
      <c r="U472" s="147" t="s">
        <v>3295</v>
      </c>
      <c r="V472" s="149" t="s">
        <v>2439</v>
      </c>
      <c r="W472" s="198" t="s">
        <v>3296</v>
      </c>
      <c r="X472" s="181">
        <v>0.0</v>
      </c>
      <c r="Y472" s="166">
        <f t="shared" si="23"/>
        <v>18</v>
      </c>
      <c r="Z472" s="26">
        <f t="shared" si="7"/>
        <v>0</v>
      </c>
      <c r="AA472" s="26">
        <f t="shared" si="8"/>
        <v>0</v>
      </c>
      <c r="AB472" s="26">
        <f t="shared" si="9"/>
        <v>0</v>
      </c>
      <c r="AC472" s="155">
        <v>8.0</v>
      </c>
      <c r="AD472" s="155">
        <v>0.0</v>
      </c>
      <c r="AE472" s="155">
        <v>0.0</v>
      </c>
      <c r="AF472" s="155">
        <v>0.0</v>
      </c>
      <c r="AG472" s="155">
        <v>0.0</v>
      </c>
      <c r="AH472" s="155">
        <v>0.0</v>
      </c>
      <c r="AI472" s="167"/>
      <c r="AJ472" s="167"/>
      <c r="AK472" s="167"/>
      <c r="AL472" s="167"/>
      <c r="AM472" s="167"/>
      <c r="AN472" s="167"/>
      <c r="AO472" s="167">
        <v>1.0</v>
      </c>
      <c r="AP472" s="167">
        <v>0.0</v>
      </c>
      <c r="AQ472" s="167">
        <v>1.0</v>
      </c>
      <c r="AR472" s="167">
        <v>0.0</v>
      </c>
      <c r="AS472" s="167">
        <v>0.0</v>
      </c>
      <c r="AT472" s="167"/>
      <c r="AU472" s="167">
        <v>0.0</v>
      </c>
      <c r="AV472" s="167">
        <v>1.0</v>
      </c>
      <c r="AW472" s="167">
        <v>0.0</v>
      </c>
      <c r="AX472" s="167">
        <v>1.0</v>
      </c>
      <c r="AY472" s="167">
        <v>0.0</v>
      </c>
      <c r="AZ472" s="167">
        <v>0.0</v>
      </c>
      <c r="BA472" s="167">
        <v>1.0</v>
      </c>
      <c r="BB472" s="167">
        <v>0.0</v>
      </c>
      <c r="BC472" s="167"/>
      <c r="BD472" s="167">
        <v>0.0</v>
      </c>
      <c r="BE472" s="167">
        <v>1.0</v>
      </c>
      <c r="BF472" s="167">
        <v>0.0</v>
      </c>
      <c r="BG472" s="167">
        <v>0.0</v>
      </c>
      <c r="BH472" s="167">
        <v>1.0</v>
      </c>
      <c r="BI472" s="167">
        <v>0.0</v>
      </c>
      <c r="BJ472" s="167">
        <v>1.0</v>
      </c>
      <c r="BK472" s="167"/>
      <c r="BL472" s="167"/>
      <c r="BM472" s="167"/>
      <c r="BN472" s="155">
        <v>6.0</v>
      </c>
      <c r="BO472" s="155">
        <v>0.0</v>
      </c>
      <c r="BP472" s="155">
        <v>0.0</v>
      </c>
      <c r="BQ472" s="155">
        <v>0.0</v>
      </c>
      <c r="BR472" s="155">
        <v>0.0</v>
      </c>
      <c r="BS472" s="155">
        <v>0.0</v>
      </c>
      <c r="BT472" s="167"/>
      <c r="BU472" s="167"/>
      <c r="BV472" s="167">
        <v>0.0</v>
      </c>
      <c r="BW472" s="167">
        <v>1.0</v>
      </c>
      <c r="BX472" s="167">
        <v>0.0</v>
      </c>
      <c r="BY472" s="167">
        <v>1.0</v>
      </c>
      <c r="BZ472" s="167"/>
      <c r="CA472" s="167"/>
      <c r="CB472" s="167"/>
      <c r="CC472" s="167"/>
      <c r="CD472" s="167">
        <v>1.0</v>
      </c>
      <c r="CE472" s="167">
        <v>0.0</v>
      </c>
      <c r="CF472" s="167">
        <v>1.0</v>
      </c>
      <c r="CG472" s="167"/>
      <c r="CH472" s="167"/>
      <c r="CI472" s="167"/>
      <c r="CJ472" s="167"/>
      <c r="CK472" s="167"/>
      <c r="CL472" s="167"/>
      <c r="CM472" s="167"/>
      <c r="CN472" s="167"/>
      <c r="CO472" s="167"/>
      <c r="CP472" s="167">
        <v>1.0</v>
      </c>
      <c r="CQ472" s="167"/>
      <c r="CR472" s="167"/>
      <c r="CS472" s="167"/>
      <c r="CT472" s="167">
        <v>1.0</v>
      </c>
      <c r="CU472" s="167"/>
      <c r="CV472" s="156">
        <v>4.0</v>
      </c>
      <c r="CW472" s="156">
        <v>0.0</v>
      </c>
      <c r="CX472" s="156">
        <v>0.0</v>
      </c>
      <c r="CY472" s="156">
        <v>0.0</v>
      </c>
      <c r="CZ472" s="156">
        <v>0.0</v>
      </c>
      <c r="DA472" s="156">
        <v>0.0</v>
      </c>
      <c r="DB472" s="174">
        <v>0.0</v>
      </c>
      <c r="DC472" s="174">
        <v>1.0</v>
      </c>
      <c r="DD472" s="174">
        <v>0.0</v>
      </c>
      <c r="DE472" s="174"/>
      <c r="DF472" s="174">
        <v>0.0</v>
      </c>
      <c r="DG472" s="174">
        <v>1.0</v>
      </c>
      <c r="DH472" s="174">
        <v>0.0</v>
      </c>
      <c r="DI472" s="174">
        <v>0.0</v>
      </c>
      <c r="DJ472" s="174">
        <v>1.0</v>
      </c>
      <c r="DK472" s="174"/>
      <c r="DL472" s="174"/>
      <c r="DM472" s="174"/>
      <c r="DN472" s="174"/>
      <c r="DO472" s="174"/>
      <c r="DP472" s="174"/>
      <c r="DQ472" s="174">
        <v>1.0</v>
      </c>
      <c r="DR472" s="174"/>
      <c r="DS472" s="174"/>
      <c r="DT472" s="174"/>
      <c r="DU472" s="174"/>
      <c r="DV472" s="174"/>
      <c r="DW472" s="174"/>
      <c r="DX472" s="174"/>
      <c r="DY472" s="174"/>
      <c r="DZ472" s="174"/>
      <c r="EA472" s="174"/>
      <c r="EB472" s="174"/>
      <c r="EC472" s="174"/>
      <c r="ED472" s="174"/>
      <c r="EE472" s="174"/>
      <c r="EF472" s="174"/>
      <c r="EG472" s="156">
        <v>0.0</v>
      </c>
      <c r="EH472" s="156">
        <v>0.0</v>
      </c>
      <c r="EI472" s="156">
        <v>0.0</v>
      </c>
      <c r="EJ472" s="156">
        <v>0.0</v>
      </c>
      <c r="EK472" s="156">
        <v>0.0</v>
      </c>
      <c r="EL472" s="156">
        <v>0.0</v>
      </c>
      <c r="FQ472" s="156">
        <v>0.0</v>
      </c>
      <c r="FR472" s="156">
        <v>0.0</v>
      </c>
      <c r="FS472" s="156">
        <v>0.0</v>
      </c>
      <c r="FT472" s="156">
        <v>0.0</v>
      </c>
      <c r="FU472" s="156">
        <v>0.0</v>
      </c>
      <c r="FV472" s="156">
        <v>0.0</v>
      </c>
      <c r="FW472" s="157"/>
      <c r="FX472" s="157"/>
      <c r="FY472" s="157"/>
      <c r="FZ472" s="157"/>
      <c r="GA472" s="157"/>
      <c r="GB472" s="157"/>
      <c r="GC472" s="157"/>
      <c r="GD472" s="157"/>
      <c r="GE472" s="157"/>
      <c r="GF472" s="157"/>
      <c r="GG472" s="157"/>
      <c r="GH472" s="157"/>
      <c r="GI472" s="157"/>
      <c r="GJ472" s="157"/>
      <c r="GK472" s="157"/>
      <c r="GL472" s="157"/>
      <c r="GM472" s="157"/>
      <c r="GN472" s="157"/>
      <c r="GO472" s="157"/>
      <c r="GP472" s="158"/>
      <c r="GQ472" s="157"/>
      <c r="GR472" s="157"/>
      <c r="GS472" s="157"/>
      <c r="GT472" s="157"/>
      <c r="GU472" s="157"/>
      <c r="GV472" s="157"/>
      <c r="GW472" s="157"/>
      <c r="GX472" s="157"/>
      <c r="GY472" s="157"/>
      <c r="GZ472" s="157"/>
      <c r="HA472" s="157"/>
      <c r="HB472" s="155">
        <v>0.0</v>
      </c>
      <c r="HC472" s="155">
        <v>0.0</v>
      </c>
      <c r="HD472" s="155">
        <v>0.0</v>
      </c>
      <c r="HE472" s="155">
        <v>0.0</v>
      </c>
      <c r="HF472" s="155">
        <v>0.0</v>
      </c>
      <c r="HG472" s="155">
        <v>0.0</v>
      </c>
      <c r="IL472" s="159">
        <v>0.0</v>
      </c>
      <c r="IM472" s="156">
        <v>0.0</v>
      </c>
      <c r="IN472" s="156">
        <v>0.0</v>
      </c>
      <c r="IO472" s="156">
        <v>0.0</v>
      </c>
      <c r="IP472" s="156">
        <v>0.0</v>
      </c>
      <c r="IQ472" s="160">
        <v>0.0</v>
      </c>
      <c r="JH472" s="25"/>
      <c r="JW472" s="159">
        <v>0.0</v>
      </c>
      <c r="JX472" s="156">
        <v>0.0</v>
      </c>
      <c r="JY472" s="156">
        <v>0.0</v>
      </c>
      <c r="JZ472" s="156">
        <v>0.0</v>
      </c>
      <c r="KA472" s="156">
        <v>0.0</v>
      </c>
      <c r="KB472" s="160">
        <v>0.0</v>
      </c>
      <c r="LH472" s="159">
        <f t="shared" si="10"/>
        <v>0</v>
      </c>
      <c r="LI472" s="156">
        <f t="shared" si="11"/>
        <v>0</v>
      </c>
      <c r="LJ472" s="156">
        <f t="shared" si="12"/>
        <v>0</v>
      </c>
      <c r="LK472" s="156">
        <f t="shared" si="13"/>
        <v>0</v>
      </c>
      <c r="LL472" s="156">
        <f t="shared" si="14"/>
        <v>0</v>
      </c>
      <c r="LM472" s="160">
        <f t="shared" si="15"/>
        <v>0</v>
      </c>
      <c r="QX472" s="107">
        <v>46022.0</v>
      </c>
    </row>
    <row r="473">
      <c r="A473" s="25"/>
      <c r="B473" s="25"/>
      <c r="C473" s="25"/>
      <c r="D473" s="25"/>
      <c r="E473" s="25"/>
      <c r="F473" s="25"/>
      <c r="G473" s="25"/>
      <c r="H473" s="25"/>
      <c r="I473" s="143">
        <f t="shared" si="22"/>
        <v>-27</v>
      </c>
      <c r="J473" s="170" t="s">
        <v>3297</v>
      </c>
      <c r="K473" s="164" t="s">
        <v>48</v>
      </c>
      <c r="L473" s="171">
        <v>46108.0</v>
      </c>
      <c r="M473" s="164" t="s">
        <v>228</v>
      </c>
      <c r="N473" s="148">
        <v>246.0</v>
      </c>
      <c r="O473" s="148">
        <v>30.0</v>
      </c>
      <c r="P473" s="26"/>
      <c r="Q473" s="26"/>
      <c r="R473" s="26"/>
      <c r="S473" s="26"/>
      <c r="T473" s="26"/>
      <c r="U473" s="164" t="s">
        <v>3298</v>
      </c>
      <c r="V473" s="165" t="s">
        <v>3299</v>
      </c>
      <c r="W473" s="248" t="s">
        <v>3300</v>
      </c>
      <c r="X473" s="181">
        <v>1.0</v>
      </c>
      <c r="Y473" s="166">
        <f t="shared" si="23"/>
        <v>27</v>
      </c>
      <c r="Z473" s="26">
        <f t="shared" si="7"/>
        <v>0</v>
      </c>
      <c r="AA473" s="26">
        <f t="shared" si="8"/>
        <v>1</v>
      </c>
      <c r="AB473" s="26">
        <f t="shared" si="9"/>
        <v>0</v>
      </c>
      <c r="AC473" s="496">
        <v>9.0</v>
      </c>
      <c r="AD473" s="496">
        <v>0.0</v>
      </c>
      <c r="AE473" s="496">
        <v>0.0</v>
      </c>
      <c r="AF473" s="496">
        <v>0.0</v>
      </c>
      <c r="AG473" s="496">
        <v>0.0</v>
      </c>
      <c r="AH473" s="496">
        <v>0.0</v>
      </c>
      <c r="AI473" s="167"/>
      <c r="AJ473" s="167"/>
      <c r="AK473" s="167"/>
      <c r="AL473" s="167"/>
      <c r="AM473" s="167"/>
      <c r="AN473" s="167"/>
      <c r="AO473" s="167">
        <v>1.0</v>
      </c>
      <c r="AP473" s="168">
        <v>1.0</v>
      </c>
      <c r="AQ473" s="167">
        <v>1.0</v>
      </c>
      <c r="AR473" s="167"/>
      <c r="AS473" s="167"/>
      <c r="AT473" s="167"/>
      <c r="AU473" s="167"/>
      <c r="AV473" s="167"/>
      <c r="AW473" s="167"/>
      <c r="AX473" s="167">
        <v>1.0</v>
      </c>
      <c r="AY473" s="167">
        <v>0.0</v>
      </c>
      <c r="AZ473" s="167">
        <v>0.0</v>
      </c>
      <c r="BA473" s="167">
        <v>1.0</v>
      </c>
      <c r="BB473" s="167">
        <v>0.0</v>
      </c>
      <c r="BC473" s="167">
        <v>1.0</v>
      </c>
      <c r="BD473" s="167">
        <v>0.0</v>
      </c>
      <c r="BE473" s="167">
        <v>1.0</v>
      </c>
      <c r="BF473" s="167">
        <v>0.0</v>
      </c>
      <c r="BG473" s="167">
        <v>0.0</v>
      </c>
      <c r="BH473" s="167">
        <v>1.0</v>
      </c>
      <c r="BI473" s="167"/>
      <c r="BJ473" s="167"/>
      <c r="BK473" s="167"/>
      <c r="BL473" s="167">
        <v>1.0</v>
      </c>
      <c r="BM473" s="167">
        <v>0.0</v>
      </c>
      <c r="BN473" s="496">
        <v>3.0</v>
      </c>
      <c r="BO473" s="496">
        <v>0.0</v>
      </c>
      <c r="BP473" s="496">
        <v>0.0</v>
      </c>
      <c r="BQ473" s="496">
        <v>0.0</v>
      </c>
      <c r="BR473" s="496">
        <v>0.0</v>
      </c>
      <c r="BS473" s="496">
        <v>0.0</v>
      </c>
      <c r="BT473" s="167">
        <v>0.0</v>
      </c>
      <c r="BU473" s="167">
        <v>1.0</v>
      </c>
      <c r="BV473" s="167">
        <v>0.0</v>
      </c>
      <c r="BW473" s="167">
        <v>1.0</v>
      </c>
      <c r="BX473" s="167">
        <v>0.0</v>
      </c>
      <c r="BY473" s="167">
        <v>1.0</v>
      </c>
      <c r="BZ473" s="167"/>
      <c r="CA473" s="167"/>
      <c r="CB473" s="167"/>
      <c r="CC473" s="167"/>
      <c r="CD473" s="167"/>
      <c r="CE473" s="167"/>
      <c r="CF473" s="167"/>
      <c r="CG473" s="167"/>
      <c r="CH473" s="167"/>
      <c r="CI473" s="167"/>
      <c r="CJ473" s="167"/>
      <c r="CK473" s="167"/>
      <c r="CL473" s="167"/>
      <c r="CM473" s="167"/>
      <c r="CN473" s="167"/>
      <c r="CO473" s="167"/>
      <c r="CP473" s="167"/>
      <c r="CQ473" s="167"/>
      <c r="CR473" s="167"/>
      <c r="CS473" s="167"/>
      <c r="CT473" s="167"/>
      <c r="CU473" s="167"/>
      <c r="CV473" s="167">
        <v>4.0</v>
      </c>
      <c r="CW473" s="167">
        <v>0.0</v>
      </c>
      <c r="CX473" s="167">
        <v>0.0</v>
      </c>
      <c r="CY473" s="167">
        <v>1.0</v>
      </c>
      <c r="CZ473" s="167">
        <v>0.0</v>
      </c>
      <c r="DA473" s="167">
        <v>0.0</v>
      </c>
      <c r="DB473" s="177">
        <v>0.0</v>
      </c>
      <c r="DC473" s="177">
        <v>1.0</v>
      </c>
      <c r="DD473" s="177">
        <v>0.0</v>
      </c>
      <c r="DE473" s="177">
        <v>1.0</v>
      </c>
      <c r="DF473" s="177"/>
      <c r="DG473" s="177"/>
      <c r="DH473" s="177"/>
      <c r="DI473" s="177"/>
      <c r="DJ473" s="177"/>
      <c r="DK473" s="176" t="s">
        <v>947</v>
      </c>
      <c r="DL473" s="177"/>
      <c r="DM473" s="177"/>
      <c r="DN473" s="177"/>
      <c r="DO473" s="177"/>
      <c r="DP473" s="177"/>
      <c r="DQ473" s="177"/>
      <c r="DR473" s="177"/>
      <c r="DS473" s="177"/>
      <c r="DT473" s="177"/>
      <c r="DU473" s="177"/>
      <c r="DV473" s="177"/>
      <c r="DW473" s="177"/>
      <c r="DX473" s="176">
        <v>1.0</v>
      </c>
      <c r="DY473" s="177"/>
      <c r="DZ473" s="177"/>
      <c r="EA473" s="177"/>
      <c r="EB473" s="177"/>
      <c r="EC473" s="177"/>
      <c r="ED473" s="177"/>
      <c r="EE473" s="177"/>
      <c r="EF473" s="177"/>
      <c r="EG473" s="167">
        <v>0.0</v>
      </c>
      <c r="EH473" s="167">
        <v>0.0</v>
      </c>
      <c r="EI473" s="167">
        <v>0.0</v>
      </c>
      <c r="EJ473" s="167">
        <v>0.0</v>
      </c>
      <c r="EK473" s="167">
        <v>0.0</v>
      </c>
      <c r="EL473" s="167">
        <v>0.0</v>
      </c>
      <c r="EM473" s="25"/>
      <c r="EN473" s="25"/>
      <c r="EO473" s="25"/>
      <c r="EP473" s="25"/>
      <c r="EQ473" s="25"/>
      <c r="ER473" s="25"/>
      <c r="ES473" s="25"/>
      <c r="ET473" s="25"/>
      <c r="EU473" s="25"/>
      <c r="EV473" s="25"/>
      <c r="EW473" s="25"/>
      <c r="EX473" s="25"/>
      <c r="EY473" s="25"/>
      <c r="EZ473" s="25"/>
      <c r="FA473" s="25"/>
      <c r="FB473" s="25"/>
      <c r="FC473" s="25"/>
      <c r="FD473" s="25"/>
      <c r="FE473" s="25"/>
      <c r="FF473" s="25"/>
      <c r="FG473" s="25"/>
      <c r="FH473" s="25"/>
      <c r="FI473" s="25"/>
      <c r="FJ473" s="25"/>
      <c r="FK473" s="25"/>
      <c r="FL473" s="25"/>
      <c r="FM473" s="25"/>
      <c r="FN473" s="25"/>
      <c r="FO473" s="25"/>
      <c r="FP473" s="25"/>
      <c r="FQ473" s="167">
        <v>0.0</v>
      </c>
      <c r="FR473" s="167">
        <v>0.0</v>
      </c>
      <c r="FS473" s="167">
        <v>0.0</v>
      </c>
      <c r="FT473" s="167">
        <v>0.0</v>
      </c>
      <c r="FU473" s="167">
        <v>0.0</v>
      </c>
      <c r="FV473" s="167">
        <v>0.0</v>
      </c>
      <c r="FW473" s="158"/>
      <c r="FX473" s="158"/>
      <c r="FY473" s="158"/>
      <c r="FZ473" s="158"/>
      <c r="GA473" s="158"/>
      <c r="GB473" s="158"/>
      <c r="GC473" s="158"/>
      <c r="GD473" s="158"/>
      <c r="GE473" s="158"/>
      <c r="GF473" s="158"/>
      <c r="GG473" s="158"/>
      <c r="GH473" s="158"/>
      <c r="GI473" s="158"/>
      <c r="GJ473" s="158"/>
      <c r="GK473" s="158"/>
      <c r="GL473" s="158"/>
      <c r="GM473" s="158"/>
      <c r="GN473" s="158"/>
      <c r="GO473" s="158"/>
      <c r="GP473" s="158"/>
      <c r="GQ473" s="158"/>
      <c r="GR473" s="158"/>
      <c r="GS473" s="158"/>
      <c r="GT473" s="158"/>
      <c r="GU473" s="158"/>
      <c r="GV473" s="158"/>
      <c r="GW473" s="158"/>
      <c r="GX473" s="158"/>
      <c r="GY473" s="158"/>
      <c r="GZ473" s="158"/>
      <c r="HA473" s="158"/>
      <c r="HB473" s="496">
        <v>0.0</v>
      </c>
      <c r="HC473" s="496">
        <v>0.0</v>
      </c>
      <c r="HD473" s="496">
        <v>0.0</v>
      </c>
      <c r="HE473" s="496">
        <v>0.0</v>
      </c>
      <c r="HF473" s="496">
        <v>0.0</v>
      </c>
      <c r="HG473" s="496">
        <v>0.0</v>
      </c>
      <c r="HH473" s="25"/>
      <c r="HI473" s="25"/>
      <c r="HJ473" s="25"/>
      <c r="HK473" s="25"/>
      <c r="HL473" s="25"/>
      <c r="HM473" s="25"/>
      <c r="HN473" s="25"/>
      <c r="HO473" s="25"/>
      <c r="HP473" s="25"/>
      <c r="HQ473" s="25"/>
      <c r="HR473" s="25"/>
      <c r="HS473" s="25"/>
      <c r="HT473" s="25"/>
      <c r="HU473" s="25"/>
      <c r="HV473" s="25"/>
      <c r="HW473" s="25"/>
      <c r="HX473" s="25"/>
      <c r="HY473" s="25"/>
      <c r="HZ473" s="25"/>
      <c r="IA473" s="25"/>
      <c r="IB473" s="25"/>
      <c r="IC473" s="25"/>
      <c r="ID473" s="25"/>
      <c r="IE473" s="25"/>
      <c r="IF473" s="25"/>
      <c r="IG473" s="25"/>
      <c r="IH473" s="25"/>
      <c r="II473" s="25"/>
      <c r="IJ473" s="25"/>
      <c r="IK473" s="25"/>
      <c r="IL473" s="497">
        <v>4.0</v>
      </c>
      <c r="IM473" s="167">
        <v>0.0</v>
      </c>
      <c r="IN473" s="167">
        <v>0.0</v>
      </c>
      <c r="IO473" s="167">
        <v>0.0</v>
      </c>
      <c r="IP473" s="167">
        <v>0.0</v>
      </c>
      <c r="IQ473" s="498">
        <v>0.0</v>
      </c>
      <c r="IR473" s="25"/>
      <c r="IS473" s="25"/>
      <c r="IT473" s="25"/>
      <c r="IU473" s="25"/>
      <c r="IV473" s="25"/>
      <c r="IW473" s="25"/>
      <c r="IX473" s="25"/>
      <c r="IY473" s="25"/>
      <c r="IZ473" s="25"/>
      <c r="JA473" s="25"/>
      <c r="JB473" s="25"/>
      <c r="JC473" s="25"/>
      <c r="JD473" s="162">
        <v>1.0</v>
      </c>
      <c r="JE473" s="25"/>
      <c r="JF473" s="25"/>
      <c r="JG473" s="25"/>
      <c r="JH473" s="25"/>
      <c r="JI473" s="25"/>
      <c r="JJ473" s="25"/>
      <c r="JK473" s="162">
        <v>1.0</v>
      </c>
      <c r="JL473" s="25"/>
      <c r="JM473" s="162">
        <v>1.0</v>
      </c>
      <c r="JN473" s="25"/>
      <c r="JO473" s="25"/>
      <c r="JP473" s="25"/>
      <c r="JQ473" s="25"/>
      <c r="JR473" s="25"/>
      <c r="JS473" s="25"/>
      <c r="JT473" s="25"/>
      <c r="JU473" s="25"/>
      <c r="JV473" s="162">
        <v>1.0</v>
      </c>
      <c r="JW473" s="159">
        <v>3.0</v>
      </c>
      <c r="JX473" s="156">
        <v>0.0</v>
      </c>
      <c r="JY473" s="156">
        <v>0.0</v>
      </c>
      <c r="JZ473" s="156">
        <v>0.0</v>
      </c>
      <c r="KA473" s="156">
        <v>0.0</v>
      </c>
      <c r="KB473" s="160">
        <v>0.0</v>
      </c>
      <c r="KC473" s="174"/>
      <c r="KD473" s="174"/>
      <c r="KE473" s="174"/>
      <c r="KF473" s="174"/>
      <c r="KG473" s="174"/>
      <c r="KH473" s="174"/>
      <c r="KI473" s="174"/>
      <c r="KJ473" s="175">
        <v>2.0</v>
      </c>
      <c r="KK473" s="174"/>
      <c r="KL473" s="174"/>
      <c r="KM473" s="174"/>
      <c r="KN473" s="174"/>
      <c r="KO473" s="174"/>
      <c r="KP473" s="174"/>
      <c r="KQ473" s="174"/>
      <c r="KR473" s="174"/>
      <c r="KS473" s="472"/>
      <c r="KT473" s="174"/>
      <c r="KU473" s="174"/>
      <c r="KV473" s="174"/>
      <c r="KW473" s="174"/>
      <c r="KX473" s="175">
        <v>1.0</v>
      </c>
      <c r="KY473" s="174"/>
      <c r="KZ473" s="174"/>
      <c r="LA473" s="174"/>
      <c r="LB473" s="174"/>
      <c r="LC473" s="174"/>
      <c r="LD473" s="174"/>
      <c r="LE473" s="174"/>
      <c r="LF473" s="174"/>
      <c r="LG473" s="174"/>
      <c r="LH473" s="159">
        <f t="shared" si="10"/>
        <v>3</v>
      </c>
      <c r="LI473" s="156">
        <f t="shared" si="11"/>
        <v>0</v>
      </c>
      <c r="LJ473" s="156">
        <f t="shared" si="12"/>
        <v>0</v>
      </c>
      <c r="LK473" s="156">
        <f t="shared" si="13"/>
        <v>0</v>
      </c>
      <c r="LL473" s="156">
        <f t="shared" si="14"/>
        <v>0</v>
      </c>
      <c r="LM473" s="160">
        <f t="shared" si="15"/>
        <v>0</v>
      </c>
      <c r="LN473" s="174"/>
      <c r="LO473" s="174"/>
      <c r="LP473" s="174"/>
      <c r="LQ473" s="174"/>
      <c r="LR473" s="174"/>
      <c r="LS473" s="174"/>
      <c r="LT473" s="174"/>
      <c r="LU473" s="174"/>
      <c r="LV473" s="174"/>
      <c r="LW473" s="174">
        <f t="shared" ref="LW473:MQ473" si="24">IFS(TODAY()&lt;=LW$2,0,WEEKDAY(LW$2)=2,1,WEEKDAY(LW$2)=3,0,WEEKDAY(LW$2)=4,1,WEEKDAY(LW$2)=5,0,WEEKDAY(LW$2)=6,1,WEEKDAY(LW$2)=7,0,WEEKDAY(LW$2)=1,0)</f>
        <v>0</v>
      </c>
      <c r="LX473" s="174">
        <f t="shared" si="24"/>
        <v>1</v>
      </c>
      <c r="LY473" s="174">
        <f t="shared" si="24"/>
        <v>0</v>
      </c>
      <c r="LZ473" s="174">
        <f t="shared" si="24"/>
        <v>0</v>
      </c>
      <c r="MA473" s="174">
        <f t="shared" si="24"/>
        <v>1</v>
      </c>
      <c r="MB473" s="174">
        <f t="shared" si="24"/>
        <v>0</v>
      </c>
      <c r="MC473" s="174">
        <f t="shared" si="24"/>
        <v>1</v>
      </c>
      <c r="MD473" s="174">
        <f t="shared" si="24"/>
        <v>0</v>
      </c>
      <c r="ME473" s="174">
        <f t="shared" si="24"/>
        <v>0</v>
      </c>
      <c r="MF473" s="174">
        <f t="shared" si="24"/>
        <v>0</v>
      </c>
      <c r="MG473" s="174">
        <f t="shared" si="24"/>
        <v>0</v>
      </c>
      <c r="MH473" s="174">
        <f t="shared" si="24"/>
        <v>0</v>
      </c>
      <c r="MI473" s="174">
        <f t="shared" si="24"/>
        <v>0</v>
      </c>
      <c r="MJ473" s="174">
        <f t="shared" si="24"/>
        <v>0</v>
      </c>
      <c r="MK473" s="174">
        <f t="shared" si="24"/>
        <v>0</v>
      </c>
      <c r="ML473" s="174">
        <f t="shared" si="24"/>
        <v>0</v>
      </c>
      <c r="MM473" s="174">
        <f t="shared" si="24"/>
        <v>0</v>
      </c>
      <c r="MN473" s="174">
        <f t="shared" si="24"/>
        <v>0</v>
      </c>
      <c r="MO473" s="174">
        <f t="shared" si="24"/>
        <v>0</v>
      </c>
      <c r="MP473" s="174">
        <f t="shared" si="24"/>
        <v>0</v>
      </c>
      <c r="MQ473" s="174">
        <f t="shared" si="24"/>
        <v>0</v>
      </c>
      <c r="MR473" s="25"/>
      <c r="MS473" s="25"/>
      <c r="MT473" s="25"/>
      <c r="MU473" s="25"/>
      <c r="MV473" s="25"/>
      <c r="MW473" s="25"/>
      <c r="MX473" s="25"/>
      <c r="MY473" s="25"/>
      <c r="MZ473" s="25"/>
      <c r="NA473" s="25"/>
      <c r="NB473" s="25"/>
      <c r="NC473" s="25"/>
      <c r="ND473" s="25"/>
      <c r="NE473" s="25"/>
      <c r="NF473" s="25"/>
      <c r="NG473" s="25"/>
      <c r="NH473" s="25"/>
      <c r="NI473" s="25"/>
      <c r="NJ473" s="25"/>
      <c r="NK473" s="25"/>
      <c r="NL473" s="25"/>
      <c r="NM473" s="25"/>
      <c r="NN473" s="25"/>
      <c r="NO473" s="25"/>
      <c r="NP473" s="25"/>
      <c r="NQ473" s="25"/>
      <c r="NR473" s="25"/>
      <c r="NS473" s="25"/>
      <c r="NT473" s="25"/>
      <c r="NU473" s="25"/>
      <c r="NV473" s="25"/>
      <c r="NW473" s="25"/>
      <c r="NX473" s="25"/>
      <c r="NY473" s="25"/>
      <c r="NZ473" s="25"/>
      <c r="OA473" s="25"/>
      <c r="OB473" s="25"/>
      <c r="OC473" s="25"/>
      <c r="OD473" s="25"/>
      <c r="OE473" s="25"/>
      <c r="OF473" s="25"/>
      <c r="OG473" s="25"/>
      <c r="OH473" s="25"/>
      <c r="OI473" s="25"/>
      <c r="OJ473" s="25"/>
      <c r="OK473" s="25"/>
      <c r="OL473" s="25"/>
      <c r="OM473" s="25"/>
      <c r="ON473" s="25"/>
      <c r="OO473" s="25"/>
      <c r="OP473" s="25"/>
      <c r="OQ473" s="25"/>
      <c r="OR473" s="25"/>
      <c r="OS473" s="25"/>
      <c r="OT473" s="25"/>
      <c r="OU473" s="25"/>
      <c r="OV473" s="25"/>
      <c r="OW473" s="25"/>
      <c r="OX473" s="25"/>
      <c r="OY473" s="25"/>
      <c r="OZ473" s="25"/>
      <c r="PA473" s="25"/>
      <c r="PB473" s="25"/>
      <c r="PC473" s="25"/>
      <c r="PD473" s="25"/>
      <c r="PE473" s="25"/>
      <c r="PF473" s="25"/>
      <c r="PG473" s="25"/>
      <c r="PH473" s="25"/>
      <c r="PI473" s="25"/>
      <c r="PJ473" s="25"/>
      <c r="PK473" s="25"/>
      <c r="PL473" s="25"/>
      <c r="PM473" s="25"/>
      <c r="PN473" s="25"/>
      <c r="PO473" s="25"/>
      <c r="PP473" s="25"/>
      <c r="PQ473" s="25"/>
      <c r="PR473" s="25"/>
      <c r="PS473" s="25"/>
      <c r="PT473" s="25"/>
      <c r="PU473" s="25"/>
      <c r="PV473" s="25"/>
      <c r="PW473" s="25"/>
      <c r="PX473" s="25"/>
      <c r="PY473" s="25"/>
      <c r="PZ473" s="25"/>
      <c r="QA473" s="25"/>
      <c r="QB473" s="25"/>
      <c r="QC473" s="25"/>
      <c r="QD473" s="25"/>
      <c r="QE473" s="25"/>
      <c r="QF473" s="25"/>
      <c r="QG473" s="25"/>
      <c r="QH473" s="25"/>
      <c r="QI473" s="25"/>
      <c r="QJ473" s="25"/>
      <c r="QK473" s="25"/>
      <c r="QL473" s="25"/>
      <c r="QM473" s="25"/>
      <c r="QN473" s="25"/>
      <c r="QO473" s="25"/>
      <c r="QP473" s="25"/>
      <c r="QQ473" s="25"/>
      <c r="QR473" s="25"/>
      <c r="QS473" s="25"/>
      <c r="QT473" s="25"/>
      <c r="QU473" s="25"/>
      <c r="QV473" s="25"/>
      <c r="QW473" s="25"/>
      <c r="QX473" s="499">
        <v>46027.0</v>
      </c>
    </row>
    <row r="474">
      <c r="A474" s="12"/>
      <c r="B474" s="12"/>
      <c r="C474" s="12"/>
      <c r="D474" s="12"/>
      <c r="E474" s="12"/>
      <c r="F474" s="12"/>
      <c r="G474" s="12"/>
      <c r="H474" s="12"/>
      <c r="I474" s="143">
        <f t="shared" si="22"/>
        <v>-6</v>
      </c>
      <c r="J474" s="295">
        <v>46024.0</v>
      </c>
      <c r="K474" s="184" t="s">
        <v>53</v>
      </c>
      <c r="L474" s="297">
        <v>46049.0</v>
      </c>
      <c r="M474" s="147" t="s">
        <v>107</v>
      </c>
      <c r="N474" s="148">
        <v>26.0</v>
      </c>
      <c r="O474" s="148">
        <v>30.0</v>
      </c>
      <c r="P474" s="26"/>
      <c r="Q474" s="26"/>
      <c r="R474" s="26"/>
      <c r="S474" s="26"/>
      <c r="T474" s="26"/>
      <c r="U474" s="147" t="s">
        <v>2669</v>
      </c>
      <c r="V474" s="149" t="s">
        <v>3076</v>
      </c>
      <c r="W474" s="198" t="s">
        <v>3301</v>
      </c>
      <c r="X474" s="181">
        <v>0.0</v>
      </c>
      <c r="Y474" s="166">
        <f t="shared" si="23"/>
        <v>6</v>
      </c>
      <c r="Z474" s="26">
        <f t="shared" si="7"/>
        <v>0</v>
      </c>
      <c r="AA474" s="26">
        <f t="shared" si="8"/>
        <v>0</v>
      </c>
      <c r="AB474" s="26">
        <f t="shared" si="9"/>
        <v>0</v>
      </c>
      <c r="AC474" s="155">
        <v>6.0</v>
      </c>
      <c r="AD474" s="155">
        <v>0.0</v>
      </c>
      <c r="AE474" s="155">
        <v>0.0</v>
      </c>
      <c r="AF474" s="155">
        <v>0.0</v>
      </c>
      <c r="AG474" s="155">
        <v>0.0</v>
      </c>
      <c r="AH474" s="155">
        <v>0.0</v>
      </c>
      <c r="AJ474" s="167">
        <v>1.0</v>
      </c>
      <c r="AK474" s="167">
        <v>0.0</v>
      </c>
      <c r="AL474" s="167">
        <v>0.0</v>
      </c>
      <c r="AM474" s="167">
        <v>1.0</v>
      </c>
      <c r="AN474" s="167">
        <v>0.0</v>
      </c>
      <c r="AO474" s="167"/>
      <c r="AP474" s="167">
        <v>0.0</v>
      </c>
      <c r="AQ474" s="167">
        <v>1.0</v>
      </c>
      <c r="AR474" s="167">
        <v>0.0</v>
      </c>
      <c r="AS474" s="167">
        <v>0.0</v>
      </c>
      <c r="AT474" s="167"/>
      <c r="AU474" s="168">
        <v>1.0</v>
      </c>
      <c r="AV474" s="167"/>
      <c r="AW474" s="167">
        <v>0.0</v>
      </c>
      <c r="AX474" s="167">
        <v>1.0</v>
      </c>
      <c r="AY474" s="167"/>
      <c r="AZ474" s="167"/>
      <c r="BA474" s="167"/>
      <c r="BB474" s="167"/>
      <c r="BC474" s="167"/>
      <c r="BD474" s="167"/>
      <c r="BE474" s="167"/>
      <c r="BF474" s="168">
        <v>1.0</v>
      </c>
      <c r="BG474" s="167"/>
      <c r="BH474" s="167"/>
      <c r="BI474" s="167"/>
      <c r="BJ474" s="167"/>
      <c r="BK474" s="167"/>
      <c r="BL474" s="167"/>
      <c r="BM474" s="167"/>
      <c r="BN474" s="155">
        <v>0.0</v>
      </c>
      <c r="BO474" s="155">
        <v>0.0</v>
      </c>
      <c r="BP474" s="155">
        <v>0.0</v>
      </c>
      <c r="BQ474" s="155">
        <v>0.0</v>
      </c>
      <c r="BR474" s="155">
        <v>0.0</v>
      </c>
      <c r="BS474" s="155">
        <v>0.0</v>
      </c>
      <c r="CV474" s="156">
        <v>0.0</v>
      </c>
      <c r="CW474" s="156">
        <v>0.0</v>
      </c>
      <c r="CX474" s="156">
        <v>0.0</v>
      </c>
      <c r="CY474" s="156">
        <v>0.0</v>
      </c>
      <c r="CZ474" s="156">
        <v>0.0</v>
      </c>
      <c r="DA474" s="156">
        <v>0.0</v>
      </c>
      <c r="EG474" s="156">
        <v>0.0</v>
      </c>
      <c r="EH474" s="156">
        <v>0.0</v>
      </c>
      <c r="EI474" s="156">
        <v>0.0</v>
      </c>
      <c r="EJ474" s="156">
        <v>0.0</v>
      </c>
      <c r="EK474" s="156">
        <v>0.0</v>
      </c>
      <c r="EL474" s="156">
        <v>0.0</v>
      </c>
      <c r="FQ474" s="156">
        <v>0.0</v>
      </c>
      <c r="FR474" s="156">
        <v>0.0</v>
      </c>
      <c r="FS474" s="156">
        <v>0.0</v>
      </c>
      <c r="FT474" s="156">
        <v>0.0</v>
      </c>
      <c r="FU474" s="156">
        <v>0.0</v>
      </c>
      <c r="FV474" s="156">
        <v>0.0</v>
      </c>
      <c r="FW474" s="157"/>
      <c r="FX474" s="157"/>
      <c r="FY474" s="157"/>
      <c r="FZ474" s="157"/>
      <c r="GA474" s="157"/>
      <c r="GB474" s="157"/>
      <c r="GC474" s="157"/>
      <c r="GD474" s="157"/>
      <c r="GE474" s="157"/>
      <c r="GF474" s="157"/>
      <c r="GG474" s="157"/>
      <c r="GH474" s="157"/>
      <c r="GI474" s="157"/>
      <c r="GJ474" s="157"/>
      <c r="GK474" s="157"/>
      <c r="GL474" s="157"/>
      <c r="GM474" s="157"/>
      <c r="GN474" s="157"/>
      <c r="GO474" s="157"/>
      <c r="GP474" s="158"/>
      <c r="GQ474" s="157"/>
      <c r="GR474" s="157"/>
      <c r="GS474" s="157"/>
      <c r="GT474" s="157"/>
      <c r="GU474" s="157"/>
      <c r="GV474" s="157"/>
      <c r="GW474" s="157"/>
      <c r="GX474" s="157"/>
      <c r="GY474" s="157"/>
      <c r="GZ474" s="157"/>
      <c r="HA474" s="157"/>
      <c r="HB474" s="155">
        <v>0.0</v>
      </c>
      <c r="HC474" s="155">
        <v>0.0</v>
      </c>
      <c r="HD474" s="155">
        <v>0.0</v>
      </c>
      <c r="HE474" s="155">
        <v>0.0</v>
      </c>
      <c r="HF474" s="155">
        <v>0.0</v>
      </c>
      <c r="HG474" s="155">
        <v>0.0</v>
      </c>
      <c r="IL474" s="159">
        <v>0.0</v>
      </c>
      <c r="IM474" s="156">
        <v>0.0</v>
      </c>
      <c r="IN474" s="156">
        <v>0.0</v>
      </c>
      <c r="IO474" s="156">
        <v>0.0</v>
      </c>
      <c r="IP474" s="156">
        <v>0.0</v>
      </c>
      <c r="IQ474" s="160">
        <v>0.0</v>
      </c>
      <c r="JH474" s="25"/>
      <c r="JW474" s="159">
        <v>0.0</v>
      </c>
      <c r="JX474" s="156">
        <v>0.0</v>
      </c>
      <c r="JY474" s="156">
        <v>0.0</v>
      </c>
      <c r="JZ474" s="156">
        <v>0.0</v>
      </c>
      <c r="KA474" s="156">
        <v>0.0</v>
      </c>
      <c r="KB474" s="160">
        <v>0.0</v>
      </c>
      <c r="LH474" s="159">
        <f t="shared" si="10"/>
        <v>0</v>
      </c>
      <c r="LI474" s="156">
        <f t="shared" si="11"/>
        <v>0</v>
      </c>
      <c r="LJ474" s="156">
        <f t="shared" si="12"/>
        <v>0</v>
      </c>
      <c r="LK474" s="156">
        <f t="shared" si="13"/>
        <v>0</v>
      </c>
      <c r="LL474" s="156">
        <f t="shared" si="14"/>
        <v>0</v>
      </c>
      <c r="LM474" s="160">
        <f t="shared" si="15"/>
        <v>0</v>
      </c>
      <c r="QX474" s="107">
        <v>46027.0</v>
      </c>
    </row>
    <row r="475">
      <c r="A475" s="25"/>
      <c r="B475" s="25"/>
      <c r="C475" s="25"/>
      <c r="D475" s="25"/>
      <c r="E475" s="25"/>
      <c r="F475" s="25"/>
      <c r="G475" s="25"/>
      <c r="H475" s="25"/>
      <c r="I475" s="143">
        <f t="shared" si="22"/>
        <v>-45</v>
      </c>
      <c r="J475" s="144">
        <v>46029.0</v>
      </c>
      <c r="K475" s="195" t="s">
        <v>53</v>
      </c>
      <c r="L475" s="171">
        <v>46183.0</v>
      </c>
      <c r="M475" s="147" t="s">
        <v>712</v>
      </c>
      <c r="N475" s="148">
        <v>246.0</v>
      </c>
      <c r="O475" s="148">
        <v>30.0</v>
      </c>
      <c r="P475" s="26"/>
      <c r="Q475" s="26"/>
      <c r="R475" s="26"/>
      <c r="S475" s="26"/>
      <c r="T475" s="26"/>
      <c r="U475" s="147" t="s">
        <v>1552</v>
      </c>
      <c r="V475" s="149" t="s">
        <v>1553</v>
      </c>
      <c r="W475" s="248" t="s">
        <v>3302</v>
      </c>
      <c r="X475" s="181">
        <v>0.0</v>
      </c>
      <c r="Y475" s="166">
        <f t="shared" si="23"/>
        <v>45</v>
      </c>
      <c r="Z475" s="26">
        <f t="shared" si="7"/>
        <v>0</v>
      </c>
      <c r="AA475" s="26">
        <f t="shared" si="8"/>
        <v>1</v>
      </c>
      <c r="AB475" s="26">
        <f t="shared" si="9"/>
        <v>0</v>
      </c>
      <c r="AC475" s="155">
        <v>11.0</v>
      </c>
      <c r="AD475" s="155">
        <v>0.0</v>
      </c>
      <c r="AE475" s="155">
        <v>0.0</v>
      </c>
      <c r="AF475" s="155">
        <v>0.0</v>
      </c>
      <c r="AG475" s="155">
        <v>0.0</v>
      </c>
      <c r="AH475" s="155">
        <v>0.0</v>
      </c>
      <c r="AI475" s="167"/>
      <c r="AJ475" s="167"/>
      <c r="AK475" s="167"/>
      <c r="AL475" s="167"/>
      <c r="AM475" s="167"/>
      <c r="AN475" s="167"/>
      <c r="AO475" s="167">
        <v>1.0</v>
      </c>
      <c r="AP475" s="167">
        <v>0.0</v>
      </c>
      <c r="AQ475" s="167"/>
      <c r="AR475" s="167">
        <v>0.0</v>
      </c>
      <c r="AS475" s="168">
        <v>1.0</v>
      </c>
      <c r="AT475" s="167">
        <v>1.0</v>
      </c>
      <c r="AU475" s="167">
        <v>0.0</v>
      </c>
      <c r="AV475" s="167">
        <v>1.0</v>
      </c>
      <c r="AW475" s="167">
        <v>0.0</v>
      </c>
      <c r="AX475" s="167">
        <v>1.0</v>
      </c>
      <c r="AY475" s="167">
        <v>0.0</v>
      </c>
      <c r="AZ475" s="167">
        <v>0.0</v>
      </c>
      <c r="BA475" s="167">
        <v>1.0</v>
      </c>
      <c r="BB475" s="167">
        <v>0.0</v>
      </c>
      <c r="BC475" s="167">
        <v>1.0</v>
      </c>
      <c r="BD475" s="167">
        <v>0.0</v>
      </c>
      <c r="BE475" s="167">
        <v>1.0</v>
      </c>
      <c r="BF475" s="167">
        <v>0.0</v>
      </c>
      <c r="BG475" s="167">
        <v>0.0</v>
      </c>
      <c r="BH475" s="167"/>
      <c r="BI475" s="168">
        <v>1.0</v>
      </c>
      <c r="BJ475" s="167">
        <v>1.0</v>
      </c>
      <c r="BK475" s="167">
        <v>0.0</v>
      </c>
      <c r="BL475" s="167">
        <v>1.0</v>
      </c>
      <c r="BM475" s="167">
        <v>0.0</v>
      </c>
      <c r="BN475" s="155">
        <v>7.0</v>
      </c>
      <c r="BO475" s="155">
        <v>0.0</v>
      </c>
      <c r="BP475" s="155">
        <v>0.0</v>
      </c>
      <c r="BQ475" s="155">
        <v>1.0</v>
      </c>
      <c r="BR475" s="155">
        <v>0.0</v>
      </c>
      <c r="BS475" s="155">
        <v>0.0</v>
      </c>
      <c r="BT475" s="167">
        <v>0.0</v>
      </c>
      <c r="BU475" s="167">
        <v>1.0</v>
      </c>
      <c r="BV475" s="167">
        <v>0.0</v>
      </c>
      <c r="BW475" s="167">
        <v>1.0</v>
      </c>
      <c r="BX475" s="167">
        <v>0.0</v>
      </c>
      <c r="BY475" s="167">
        <v>1.0</v>
      </c>
      <c r="BZ475" s="167">
        <v>0.0</v>
      </c>
      <c r="CA475" s="167">
        <v>0.0</v>
      </c>
      <c r="CB475" s="167">
        <v>1.0</v>
      </c>
      <c r="CC475" s="167"/>
      <c r="CD475" s="168" t="s">
        <v>947</v>
      </c>
      <c r="CE475" s="167"/>
      <c r="CF475" s="167"/>
      <c r="CG475" s="167"/>
      <c r="CH475" s="167"/>
      <c r="CI475" s="167"/>
      <c r="CJ475" s="167"/>
      <c r="CK475" s="167"/>
      <c r="CL475" s="167"/>
      <c r="CM475" s="167"/>
      <c r="CN475" s="167"/>
      <c r="CO475" s="167"/>
      <c r="CP475" s="167"/>
      <c r="CQ475" s="167"/>
      <c r="CR475" s="167">
        <v>1.0</v>
      </c>
      <c r="CS475" s="167">
        <v>0.0</v>
      </c>
      <c r="CT475" s="167">
        <v>1.0</v>
      </c>
      <c r="CU475" s="167">
        <v>0.0</v>
      </c>
      <c r="CV475" s="156">
        <v>11.0</v>
      </c>
      <c r="CW475" s="156">
        <v>0.0</v>
      </c>
      <c r="CX475" s="156">
        <v>0.0</v>
      </c>
      <c r="CY475" s="156">
        <v>0.0</v>
      </c>
      <c r="CZ475" s="156">
        <v>0.0</v>
      </c>
      <c r="DA475" s="156">
        <v>0.0</v>
      </c>
      <c r="DB475" s="174"/>
      <c r="DC475" s="174"/>
      <c r="DD475" s="174">
        <v>0.0</v>
      </c>
      <c r="DE475" s="174">
        <v>1.0</v>
      </c>
      <c r="DF475" s="174">
        <v>0.0</v>
      </c>
      <c r="DG475" s="174">
        <v>1.0</v>
      </c>
      <c r="DH475" s="174">
        <v>0.0</v>
      </c>
      <c r="DI475" s="174">
        <v>0.0</v>
      </c>
      <c r="DJ475" s="174">
        <v>1.0</v>
      </c>
      <c r="DK475" s="174">
        <v>0.0</v>
      </c>
      <c r="DL475" s="174">
        <v>1.0</v>
      </c>
      <c r="DM475" s="174">
        <v>0.0</v>
      </c>
      <c r="DN475" s="174"/>
      <c r="DO475" s="174">
        <v>0.0</v>
      </c>
      <c r="DP475" s="174">
        <v>0.0</v>
      </c>
      <c r="DQ475" s="174">
        <v>1.0</v>
      </c>
      <c r="DR475" s="174">
        <v>0.0</v>
      </c>
      <c r="DS475" s="174">
        <v>1.0</v>
      </c>
      <c r="DT475" s="174">
        <v>0.0</v>
      </c>
      <c r="DU475" s="174">
        <v>1.0</v>
      </c>
      <c r="DV475" s="174">
        <v>0.0</v>
      </c>
      <c r="DW475" s="174">
        <v>0.0</v>
      </c>
      <c r="DX475" s="174">
        <v>1.0</v>
      </c>
      <c r="DY475" s="174">
        <v>0.0</v>
      </c>
      <c r="DZ475" s="174">
        <v>1.0</v>
      </c>
      <c r="EA475" s="174">
        <v>0.0</v>
      </c>
      <c r="EB475" s="174">
        <v>1.0</v>
      </c>
      <c r="EC475" s="174">
        <v>0.0</v>
      </c>
      <c r="ED475" s="174">
        <v>0.0</v>
      </c>
      <c r="EE475" s="174">
        <v>1.0</v>
      </c>
      <c r="EF475" s="174">
        <v>0.0</v>
      </c>
      <c r="EG475" s="156">
        <v>10.0</v>
      </c>
      <c r="EH475" s="156">
        <v>0.0</v>
      </c>
      <c r="EI475" s="156">
        <v>0.0</v>
      </c>
      <c r="EJ475" s="156">
        <v>0.0</v>
      </c>
      <c r="EK475" s="156">
        <v>0.0</v>
      </c>
      <c r="EL475" s="156">
        <v>0.0</v>
      </c>
      <c r="EM475" s="174">
        <v>1.0</v>
      </c>
      <c r="EN475" s="174"/>
      <c r="EO475" s="174"/>
      <c r="EP475" s="175">
        <v>1.0</v>
      </c>
      <c r="EQ475" s="174"/>
      <c r="ER475" s="175">
        <v>1.0</v>
      </c>
      <c r="ES475" s="174"/>
      <c r="ET475" s="174">
        <v>1.0</v>
      </c>
      <c r="EU475" s="174">
        <v>0.0</v>
      </c>
      <c r="EV475" s="174"/>
      <c r="EW475" s="175">
        <v>1.0</v>
      </c>
      <c r="EX475" s="174">
        <v>0.0</v>
      </c>
      <c r="EY475" s="174">
        <v>1.0</v>
      </c>
      <c r="EZ475" s="174">
        <v>0.0</v>
      </c>
      <c r="FA475" s="174">
        <v>1.0</v>
      </c>
      <c r="FB475" s="174"/>
      <c r="FC475" s="174"/>
      <c r="FD475" s="174"/>
      <c r="FE475" s="174"/>
      <c r="FF475" s="174"/>
      <c r="FG475" s="175">
        <v>1.0</v>
      </c>
      <c r="FH475" s="174">
        <v>1.0</v>
      </c>
      <c r="FI475" s="174">
        <v>0.0</v>
      </c>
      <c r="FJ475" s="174"/>
      <c r="FK475" s="175">
        <v>1.0</v>
      </c>
      <c r="FL475" s="174">
        <v>0.0</v>
      </c>
      <c r="FM475" s="174"/>
      <c r="FN475" s="174"/>
      <c r="FO475" s="175"/>
      <c r="FP475" s="174"/>
      <c r="FQ475" s="156">
        <v>6.0</v>
      </c>
      <c r="FR475" s="156">
        <v>0.0</v>
      </c>
      <c r="FS475" s="156">
        <v>0.0</v>
      </c>
      <c r="FT475" s="156">
        <v>0.0</v>
      </c>
      <c r="FU475" s="156">
        <v>0.0</v>
      </c>
      <c r="FV475" s="156">
        <v>0.0</v>
      </c>
      <c r="FW475" s="174"/>
      <c r="FX475" s="174"/>
      <c r="FY475" s="174"/>
      <c r="FZ475" s="174"/>
      <c r="GA475" s="174"/>
      <c r="GB475" s="174"/>
      <c r="GC475" s="175">
        <v>1.0</v>
      </c>
      <c r="GD475" s="174"/>
      <c r="GE475" s="175">
        <v>1.0</v>
      </c>
      <c r="GF475" s="175">
        <v>1.0</v>
      </c>
      <c r="GG475" s="174"/>
      <c r="GH475" s="174">
        <v>0.0</v>
      </c>
      <c r="GI475" s="174"/>
      <c r="GJ475" s="175">
        <v>1.0</v>
      </c>
      <c r="GK475" s="174"/>
      <c r="GL475" s="175">
        <v>1.0</v>
      </c>
      <c r="GM475" s="174"/>
      <c r="GN475" s="174"/>
      <c r="GO475" s="174"/>
      <c r="GP475" s="177"/>
      <c r="GQ475" s="174"/>
      <c r="GR475" s="174"/>
      <c r="GS475" s="175">
        <v>1.0</v>
      </c>
      <c r="GT475" s="174"/>
      <c r="GU475" s="174"/>
      <c r="GV475" s="174"/>
      <c r="GW475" s="174"/>
      <c r="GX475" s="174"/>
      <c r="GY475" s="174"/>
      <c r="GZ475" s="174"/>
      <c r="HA475" s="174"/>
      <c r="HB475" s="155">
        <v>0.0</v>
      </c>
      <c r="HC475" s="155">
        <v>0.0</v>
      </c>
      <c r="HD475" s="155">
        <v>0.0</v>
      </c>
      <c r="HE475" s="155">
        <v>0.0</v>
      </c>
      <c r="HF475" s="155">
        <v>0.0</v>
      </c>
      <c r="HG475" s="155">
        <v>0.0</v>
      </c>
      <c r="HH475" s="174"/>
      <c r="HI475" s="174"/>
      <c r="HJ475" s="174"/>
      <c r="HK475" s="174"/>
      <c r="HL475" s="174"/>
      <c r="HM475" s="174"/>
      <c r="HN475" s="174"/>
      <c r="HO475" s="174"/>
      <c r="HP475" s="174"/>
      <c r="HQ475" s="174"/>
      <c r="HR475" s="174"/>
      <c r="HS475" s="174"/>
      <c r="HT475" s="174"/>
      <c r="HU475" s="174"/>
      <c r="HV475" s="174"/>
      <c r="HW475" s="174"/>
      <c r="HX475" s="174"/>
      <c r="HY475" s="174"/>
      <c r="HZ475" s="174"/>
      <c r="IA475" s="174"/>
      <c r="IB475" s="174"/>
      <c r="IC475" s="174"/>
      <c r="ID475" s="174"/>
      <c r="IE475" s="174"/>
      <c r="IF475" s="174"/>
      <c r="IG475" s="174"/>
      <c r="IH475" s="174"/>
      <c r="II475" s="174"/>
      <c r="IJ475" s="174"/>
      <c r="IK475" s="174"/>
      <c r="IL475" s="159">
        <v>0.0</v>
      </c>
      <c r="IM475" s="156">
        <v>0.0</v>
      </c>
      <c r="IN475" s="156">
        <v>0.0</v>
      </c>
      <c r="IO475" s="156">
        <v>0.0</v>
      </c>
      <c r="IP475" s="156">
        <v>0.0</v>
      </c>
      <c r="IQ475" s="160">
        <v>0.0</v>
      </c>
      <c r="IR475" s="174"/>
      <c r="IS475" s="174"/>
      <c r="IT475" s="174"/>
      <c r="IU475" s="174"/>
      <c r="IV475" s="174"/>
      <c r="IW475" s="174"/>
      <c r="IX475" s="174"/>
      <c r="IY475" s="174"/>
      <c r="IZ475" s="174"/>
      <c r="JA475" s="174"/>
      <c r="JB475" s="174"/>
      <c r="JC475" s="174"/>
      <c r="JD475" s="174"/>
      <c r="JE475" s="174"/>
      <c r="JF475" s="174"/>
      <c r="JG475" s="174"/>
      <c r="JH475" s="177"/>
      <c r="JI475" s="174"/>
      <c r="JJ475" s="174"/>
      <c r="JK475" s="174"/>
      <c r="JL475" s="174"/>
      <c r="JM475" s="174"/>
      <c r="JN475" s="174"/>
      <c r="JO475" s="174"/>
      <c r="JP475" s="174"/>
      <c r="JQ475" s="174"/>
      <c r="JR475" s="174"/>
      <c r="JS475" s="174"/>
      <c r="JT475" s="174"/>
      <c r="JU475" s="174"/>
      <c r="JV475" s="174"/>
      <c r="JW475" s="159">
        <v>0.0</v>
      </c>
      <c r="JX475" s="156">
        <v>0.0</v>
      </c>
      <c r="JY475" s="156">
        <v>0.0</v>
      </c>
      <c r="JZ475" s="156">
        <v>0.0</v>
      </c>
      <c r="KA475" s="156">
        <v>0.0</v>
      </c>
      <c r="KB475" s="160">
        <v>0.0</v>
      </c>
      <c r="LH475" s="159">
        <f t="shared" si="10"/>
        <v>0</v>
      </c>
      <c r="LI475" s="156">
        <f t="shared" si="11"/>
        <v>0</v>
      </c>
      <c r="LJ475" s="156">
        <f t="shared" si="12"/>
        <v>0</v>
      </c>
      <c r="LK475" s="156">
        <f t="shared" si="13"/>
        <v>0</v>
      </c>
      <c r="LL475" s="156">
        <f t="shared" si="14"/>
        <v>0</v>
      </c>
      <c r="LM475" s="160">
        <f t="shared" si="15"/>
        <v>0</v>
      </c>
      <c r="QX475" s="107">
        <v>46027.0</v>
      </c>
    </row>
    <row r="476">
      <c r="A476" s="12"/>
      <c r="B476" s="12"/>
      <c r="C476" s="12"/>
      <c r="D476" s="12"/>
      <c r="E476" s="12"/>
      <c r="F476" s="12"/>
      <c r="G476" s="12"/>
      <c r="H476" s="12"/>
      <c r="I476" s="143">
        <f t="shared" si="22"/>
        <v>-19</v>
      </c>
      <c r="J476" s="144">
        <v>46029.0</v>
      </c>
      <c r="K476" s="180" t="s">
        <v>53</v>
      </c>
      <c r="L476" s="171">
        <v>46098.0</v>
      </c>
      <c r="M476" s="147" t="s">
        <v>107</v>
      </c>
      <c r="N476" s="148">
        <v>246.0</v>
      </c>
      <c r="O476" s="148">
        <v>30.0</v>
      </c>
      <c r="P476" s="26"/>
      <c r="Q476" s="26"/>
      <c r="R476" s="26"/>
      <c r="S476" s="26"/>
      <c r="T476" s="26"/>
      <c r="U476" s="147" t="s">
        <v>3295</v>
      </c>
      <c r="V476" s="149" t="s">
        <v>2439</v>
      </c>
      <c r="W476" s="248" t="s">
        <v>3303</v>
      </c>
      <c r="X476" s="181">
        <v>0.0</v>
      </c>
      <c r="Y476" s="166">
        <f t="shared" si="23"/>
        <v>19</v>
      </c>
      <c r="Z476" s="26">
        <f t="shared" si="7"/>
        <v>0</v>
      </c>
      <c r="AA476" s="26">
        <f t="shared" si="8"/>
        <v>0</v>
      </c>
      <c r="AB476" s="26">
        <f t="shared" si="9"/>
        <v>0</v>
      </c>
      <c r="AC476" s="155">
        <v>9.0</v>
      </c>
      <c r="AD476" s="155">
        <v>0.0</v>
      </c>
      <c r="AE476" s="155">
        <v>0.0</v>
      </c>
      <c r="AF476" s="155">
        <v>0.0</v>
      </c>
      <c r="AG476" s="155">
        <v>0.0</v>
      </c>
      <c r="AH476" s="155">
        <v>0.0</v>
      </c>
      <c r="AI476" s="167"/>
      <c r="AJ476" s="167"/>
      <c r="AK476" s="167"/>
      <c r="AL476" s="167"/>
      <c r="AM476" s="167"/>
      <c r="AN476" s="167"/>
      <c r="AO476" s="167">
        <v>1.0</v>
      </c>
      <c r="AP476" s="167">
        <v>0.0</v>
      </c>
      <c r="AQ476" s="167">
        <v>1.0</v>
      </c>
      <c r="AR476" s="167">
        <v>0.0</v>
      </c>
      <c r="AS476" s="167">
        <v>0.0</v>
      </c>
      <c r="AT476" s="167"/>
      <c r="AU476" s="168">
        <v>1.0</v>
      </c>
      <c r="AV476" s="167">
        <v>1.0</v>
      </c>
      <c r="AW476" s="167">
        <v>0.0</v>
      </c>
      <c r="AX476" s="167">
        <v>1.0</v>
      </c>
      <c r="AY476" s="167">
        <v>0.0</v>
      </c>
      <c r="AZ476" s="167">
        <v>0.0</v>
      </c>
      <c r="BA476" s="167">
        <v>1.0</v>
      </c>
      <c r="BB476" s="167">
        <v>0.0</v>
      </c>
      <c r="BC476" s="167"/>
      <c r="BD476" s="167">
        <v>0.0</v>
      </c>
      <c r="BE476" s="167">
        <v>1.0</v>
      </c>
      <c r="BF476" s="167">
        <v>0.0</v>
      </c>
      <c r="BG476" s="167">
        <v>0.0</v>
      </c>
      <c r="BH476" s="167">
        <v>1.0</v>
      </c>
      <c r="BI476" s="167">
        <v>0.0</v>
      </c>
      <c r="BJ476" s="167">
        <v>1.0</v>
      </c>
      <c r="BK476" s="167"/>
      <c r="BL476" s="167"/>
      <c r="BM476" s="167"/>
      <c r="BN476" s="155">
        <v>7.0</v>
      </c>
      <c r="BO476" s="155">
        <v>0.0</v>
      </c>
      <c r="BP476" s="155">
        <v>0.0</v>
      </c>
      <c r="BQ476" s="155">
        <v>0.0</v>
      </c>
      <c r="BR476" s="155">
        <v>0.0</v>
      </c>
      <c r="BS476" s="155">
        <v>0.0</v>
      </c>
      <c r="BT476" s="167"/>
      <c r="BU476" s="167"/>
      <c r="BV476" s="167"/>
      <c r="BW476" s="167"/>
      <c r="BX476" s="167"/>
      <c r="BY476" s="167">
        <v>1.0</v>
      </c>
      <c r="BZ476" s="167"/>
      <c r="CA476" s="167"/>
      <c r="CB476" s="167"/>
      <c r="CC476" s="167"/>
      <c r="CD476" s="167">
        <v>1.0</v>
      </c>
      <c r="CE476" s="168">
        <v>1.0</v>
      </c>
      <c r="CF476" s="167">
        <v>1.0</v>
      </c>
      <c r="CG476" s="167"/>
      <c r="CH476" s="167"/>
      <c r="CI476" s="167"/>
      <c r="CJ476" s="167"/>
      <c r="CK476" s="167"/>
      <c r="CL476" s="167"/>
      <c r="CM476" s="167"/>
      <c r="CN476" s="167"/>
      <c r="CO476" s="167"/>
      <c r="CP476" s="167">
        <v>1.0</v>
      </c>
      <c r="CQ476" s="168">
        <v>1.0</v>
      </c>
      <c r="CR476" s="167"/>
      <c r="CS476" s="167"/>
      <c r="CT476" s="167">
        <v>1.0</v>
      </c>
      <c r="CU476" s="167">
        <v>0.0</v>
      </c>
      <c r="CV476" s="156">
        <v>3.0</v>
      </c>
      <c r="CW476" s="156">
        <v>0.0</v>
      </c>
      <c r="CX476" s="156">
        <v>0.0</v>
      </c>
      <c r="CY476" s="156">
        <v>0.0</v>
      </c>
      <c r="CZ476" s="156">
        <v>0.0</v>
      </c>
      <c r="DA476" s="156">
        <v>0.0</v>
      </c>
      <c r="DB476" s="174"/>
      <c r="DC476" s="174"/>
      <c r="DD476" s="174"/>
      <c r="DE476" s="174">
        <v>1.0</v>
      </c>
      <c r="DF476" s="174">
        <v>0.0</v>
      </c>
      <c r="DG476" s="174">
        <v>1.0</v>
      </c>
      <c r="DH476" s="174">
        <v>0.0</v>
      </c>
      <c r="DI476" s="174">
        <v>0.0</v>
      </c>
      <c r="DJ476" s="174">
        <v>1.0</v>
      </c>
      <c r="DK476" s="174"/>
      <c r="DL476" s="174"/>
      <c r="DM476" s="174"/>
      <c r="DN476" s="174"/>
      <c r="DO476" s="174"/>
      <c r="DP476" s="174"/>
      <c r="DQ476" s="174"/>
      <c r="DR476" s="174"/>
      <c r="DS476" s="174"/>
      <c r="DT476" s="174"/>
      <c r="DU476" s="174"/>
      <c r="DV476" s="174"/>
      <c r="DW476" s="174"/>
      <c r="DX476" s="174"/>
      <c r="DY476" s="174"/>
      <c r="DZ476" s="174"/>
      <c r="EA476" s="174"/>
      <c r="EB476" s="174"/>
      <c r="EC476" s="174"/>
      <c r="ED476" s="174"/>
      <c r="EE476" s="174"/>
      <c r="EF476" s="174"/>
      <c r="EG476" s="156">
        <v>0.0</v>
      </c>
      <c r="EH476" s="156">
        <v>0.0</v>
      </c>
      <c r="EI476" s="156">
        <v>0.0</v>
      </c>
      <c r="EJ476" s="156">
        <v>0.0</v>
      </c>
      <c r="EK476" s="156">
        <v>0.0</v>
      </c>
      <c r="EL476" s="156">
        <v>0.0</v>
      </c>
      <c r="FQ476" s="156">
        <v>0.0</v>
      </c>
      <c r="FR476" s="156">
        <v>0.0</v>
      </c>
      <c r="FS476" s="156">
        <v>0.0</v>
      </c>
      <c r="FT476" s="156">
        <v>0.0</v>
      </c>
      <c r="FU476" s="156">
        <v>0.0</v>
      </c>
      <c r="FV476" s="156">
        <v>0.0</v>
      </c>
      <c r="FW476" s="157"/>
      <c r="FX476" s="157"/>
      <c r="FY476" s="157"/>
      <c r="FZ476" s="157"/>
      <c r="GA476" s="157"/>
      <c r="GB476" s="157"/>
      <c r="GC476" s="157"/>
      <c r="GD476" s="157"/>
      <c r="GE476" s="157"/>
      <c r="GF476" s="157"/>
      <c r="GG476" s="157"/>
      <c r="GH476" s="157"/>
      <c r="GI476" s="157"/>
      <c r="GJ476" s="157"/>
      <c r="GK476" s="157"/>
      <c r="GL476" s="157"/>
      <c r="GM476" s="157"/>
      <c r="GN476" s="157"/>
      <c r="GO476" s="157"/>
      <c r="GP476" s="158"/>
      <c r="GQ476" s="157"/>
      <c r="GR476" s="157"/>
      <c r="GS476" s="157"/>
      <c r="GT476" s="157"/>
      <c r="GU476" s="157"/>
      <c r="GV476" s="157"/>
      <c r="GW476" s="157"/>
      <c r="GX476" s="157"/>
      <c r="GY476" s="157"/>
      <c r="GZ476" s="157"/>
      <c r="HA476" s="157"/>
      <c r="HB476" s="155">
        <v>0.0</v>
      </c>
      <c r="HC476" s="155">
        <v>0.0</v>
      </c>
      <c r="HD476" s="155">
        <v>0.0</v>
      </c>
      <c r="HE476" s="155">
        <v>0.0</v>
      </c>
      <c r="HF476" s="155">
        <v>0.0</v>
      </c>
      <c r="HG476" s="155">
        <v>0.0</v>
      </c>
      <c r="IL476" s="159">
        <v>0.0</v>
      </c>
      <c r="IM476" s="156">
        <v>0.0</v>
      </c>
      <c r="IN476" s="156">
        <v>0.0</v>
      </c>
      <c r="IO476" s="156">
        <v>0.0</v>
      </c>
      <c r="IP476" s="156">
        <v>0.0</v>
      </c>
      <c r="IQ476" s="160">
        <v>0.0</v>
      </c>
      <c r="JH476" s="25"/>
      <c r="JW476" s="159">
        <v>0.0</v>
      </c>
      <c r="JX476" s="156">
        <v>0.0</v>
      </c>
      <c r="JY476" s="156">
        <v>0.0</v>
      </c>
      <c r="JZ476" s="156">
        <v>0.0</v>
      </c>
      <c r="KA476" s="156">
        <v>0.0</v>
      </c>
      <c r="KB476" s="160">
        <v>0.0</v>
      </c>
      <c r="LH476" s="159">
        <f t="shared" si="10"/>
        <v>0</v>
      </c>
      <c r="LI476" s="156">
        <f t="shared" si="11"/>
        <v>0</v>
      </c>
      <c r="LJ476" s="156">
        <f t="shared" si="12"/>
        <v>0</v>
      </c>
      <c r="LK476" s="156">
        <f t="shared" si="13"/>
        <v>0</v>
      </c>
      <c r="LL476" s="156">
        <f t="shared" si="14"/>
        <v>0</v>
      </c>
      <c r="LM476" s="160">
        <f t="shared" si="15"/>
        <v>0</v>
      </c>
      <c r="QX476" s="107">
        <v>46029.0</v>
      </c>
    </row>
    <row r="477">
      <c r="A477" s="12"/>
      <c r="B477" s="12"/>
      <c r="C477" s="12"/>
      <c r="D477" s="12"/>
      <c r="E477" s="12"/>
      <c r="F477" s="12"/>
      <c r="G477" s="12"/>
      <c r="H477" s="12"/>
      <c r="I477" s="143">
        <f t="shared" si="22"/>
        <v>-30</v>
      </c>
      <c r="J477" s="144">
        <v>46026.0</v>
      </c>
      <c r="K477" s="145" t="s">
        <v>61</v>
      </c>
      <c r="L477" s="171">
        <v>46111.0</v>
      </c>
      <c r="M477" s="467" t="s">
        <v>348</v>
      </c>
      <c r="N477" s="147" t="s">
        <v>3304</v>
      </c>
      <c r="O477" s="148">
        <v>30.0</v>
      </c>
      <c r="P477" s="26"/>
      <c r="Q477" s="26"/>
      <c r="R477" s="26"/>
      <c r="S477" s="26"/>
      <c r="T477" s="26"/>
      <c r="U477" s="147" t="s">
        <v>3020</v>
      </c>
      <c r="V477" s="149" t="s">
        <v>2889</v>
      </c>
      <c r="W477" s="248" t="s">
        <v>3305</v>
      </c>
      <c r="X477" s="181">
        <v>0.0</v>
      </c>
      <c r="Y477" s="166">
        <f t="shared" si="23"/>
        <v>30</v>
      </c>
      <c r="Z477" s="26">
        <f t="shared" si="7"/>
        <v>0</v>
      </c>
      <c r="AA477" s="26">
        <f t="shared" si="8"/>
        <v>0</v>
      </c>
      <c r="AB477" s="26">
        <f t="shared" si="9"/>
        <v>0</v>
      </c>
      <c r="AC477" s="155">
        <v>11.0</v>
      </c>
      <c r="AD477" s="155">
        <v>0.0</v>
      </c>
      <c r="AE477" s="155">
        <v>0.0</v>
      </c>
      <c r="AF477" s="155">
        <v>0.0</v>
      </c>
      <c r="AG477" s="155">
        <v>0.0</v>
      </c>
      <c r="AH477" s="155">
        <v>0.0</v>
      </c>
      <c r="AL477" s="86">
        <v>1.0</v>
      </c>
      <c r="AM477" s="86">
        <v>1.0</v>
      </c>
      <c r="AS477" s="86">
        <v>1.0</v>
      </c>
      <c r="AT477" s="86">
        <v>1.0</v>
      </c>
      <c r="AV477" s="86">
        <v>1.0</v>
      </c>
      <c r="AZ477" s="86">
        <v>1.0</v>
      </c>
      <c r="BA477" s="86">
        <v>1.0</v>
      </c>
      <c r="BC477" s="86">
        <v>1.0</v>
      </c>
      <c r="BG477" s="86">
        <v>1.0</v>
      </c>
      <c r="BH477" s="86">
        <v>1.0</v>
      </c>
      <c r="BK477" s="86">
        <v>1.0</v>
      </c>
      <c r="BN477" s="155">
        <v>8.0</v>
      </c>
      <c r="BO477" s="155">
        <v>0.0</v>
      </c>
      <c r="BP477" s="155">
        <v>0.0</v>
      </c>
      <c r="BQ477" s="155">
        <v>0.0</v>
      </c>
      <c r="BR477" s="155">
        <v>0.0</v>
      </c>
      <c r="BS477" s="155">
        <v>0.0</v>
      </c>
      <c r="BT477" s="167">
        <v>1.0</v>
      </c>
      <c r="BU477" s="167">
        <v>1.0</v>
      </c>
      <c r="BV477" s="167"/>
      <c r="BW477" s="167"/>
      <c r="BX477" s="167"/>
      <c r="BY477" s="167"/>
      <c r="BZ477" s="167"/>
      <c r="CA477" s="167">
        <v>1.0</v>
      </c>
      <c r="CB477" s="167">
        <v>1.0</v>
      </c>
      <c r="CC477" s="167">
        <v>0.0</v>
      </c>
      <c r="CD477" s="167">
        <v>1.0</v>
      </c>
      <c r="CE477" s="168">
        <v>1.0</v>
      </c>
      <c r="CF477" s="167"/>
      <c r="CG477" s="167"/>
      <c r="CH477" s="167"/>
      <c r="CI477" s="167"/>
      <c r="CJ477" s="167"/>
      <c r="CK477" s="167"/>
      <c r="CL477" s="167"/>
      <c r="CM477" s="167"/>
      <c r="CN477" s="167"/>
      <c r="CO477" s="167"/>
      <c r="CP477" s="167">
        <v>1.0</v>
      </c>
      <c r="CQ477" s="167">
        <v>0.0</v>
      </c>
      <c r="CR477" s="167">
        <v>1.0</v>
      </c>
      <c r="CS477" s="167">
        <v>0.0</v>
      </c>
      <c r="CT477" s="167">
        <v>0.0</v>
      </c>
      <c r="CU477" s="167">
        <v>0.0</v>
      </c>
      <c r="CV477" s="156">
        <v>11.0</v>
      </c>
      <c r="CW477" s="156">
        <v>0.0</v>
      </c>
      <c r="CX477" s="156">
        <v>0.0</v>
      </c>
      <c r="CY477" s="156">
        <v>0.0</v>
      </c>
      <c r="CZ477" s="156">
        <v>0.0</v>
      </c>
      <c r="DA477" s="156">
        <v>0.0</v>
      </c>
      <c r="DB477" s="86">
        <v>1.0</v>
      </c>
      <c r="DC477" s="86">
        <v>1.0</v>
      </c>
      <c r="DE477" s="86">
        <v>1.0</v>
      </c>
      <c r="DI477" s="86">
        <v>1.0</v>
      </c>
      <c r="DJ477" s="86">
        <v>1.0</v>
      </c>
      <c r="DL477" s="86">
        <v>1.0</v>
      </c>
      <c r="DP477" s="86">
        <v>1.0</v>
      </c>
      <c r="DQ477" s="86">
        <v>1.0</v>
      </c>
      <c r="DS477" s="86">
        <v>1.0</v>
      </c>
      <c r="DW477" s="86">
        <v>1.0</v>
      </c>
      <c r="DX477" s="86">
        <v>1.0</v>
      </c>
      <c r="EG477" s="156">
        <v>0.0</v>
      </c>
      <c r="EH477" s="156">
        <v>0.0</v>
      </c>
      <c r="EI477" s="156">
        <v>0.0</v>
      </c>
      <c r="EJ477" s="156">
        <v>0.0</v>
      </c>
      <c r="EK477" s="156">
        <v>0.0</v>
      </c>
      <c r="EL477" s="156">
        <v>0.0</v>
      </c>
      <c r="FQ477" s="156">
        <v>0.0</v>
      </c>
      <c r="FR477" s="156">
        <v>0.0</v>
      </c>
      <c r="FS477" s="156">
        <v>0.0</v>
      </c>
      <c r="FT477" s="156">
        <v>0.0</v>
      </c>
      <c r="FU477" s="156">
        <v>0.0</v>
      </c>
      <c r="FV477" s="156">
        <v>0.0</v>
      </c>
      <c r="FW477" s="157"/>
      <c r="FX477" s="157"/>
      <c r="FY477" s="157"/>
      <c r="FZ477" s="157"/>
      <c r="GA477" s="157"/>
      <c r="GB477" s="157"/>
      <c r="GC477" s="157"/>
      <c r="GD477" s="157"/>
      <c r="GE477" s="157"/>
      <c r="GF477" s="157"/>
      <c r="GG477" s="157"/>
      <c r="GH477" s="157"/>
      <c r="GI477" s="157"/>
      <c r="GJ477" s="157"/>
      <c r="GK477" s="157"/>
      <c r="GL477" s="157"/>
      <c r="GM477" s="157"/>
      <c r="GN477" s="157"/>
      <c r="GO477" s="157"/>
      <c r="GP477" s="158"/>
      <c r="GQ477" s="157"/>
      <c r="GR477" s="157"/>
      <c r="GS477" s="157"/>
      <c r="GT477" s="157"/>
      <c r="GU477" s="157"/>
      <c r="GV477" s="157"/>
      <c r="GW477" s="157"/>
      <c r="GX477" s="157"/>
      <c r="GY477" s="157"/>
      <c r="GZ477" s="157"/>
      <c r="HA477" s="157"/>
      <c r="HB477" s="155">
        <v>0.0</v>
      </c>
      <c r="HC477" s="155">
        <v>0.0</v>
      </c>
      <c r="HD477" s="155">
        <v>0.0</v>
      </c>
      <c r="HE477" s="155">
        <v>0.0</v>
      </c>
      <c r="HF477" s="155">
        <v>0.0</v>
      </c>
      <c r="HG477" s="155">
        <v>0.0</v>
      </c>
      <c r="IL477" s="159">
        <v>0.0</v>
      </c>
      <c r="IM477" s="156">
        <v>0.0</v>
      </c>
      <c r="IN477" s="156">
        <v>0.0</v>
      </c>
      <c r="IO477" s="156">
        <v>0.0</v>
      </c>
      <c r="IP477" s="156">
        <v>0.0</v>
      </c>
      <c r="IQ477" s="160">
        <v>0.0</v>
      </c>
      <c r="JH477" s="25"/>
      <c r="JW477" s="159">
        <v>0.0</v>
      </c>
      <c r="JX477" s="156">
        <v>0.0</v>
      </c>
      <c r="JY477" s="156">
        <v>0.0</v>
      </c>
      <c r="JZ477" s="156">
        <v>0.0</v>
      </c>
      <c r="KA477" s="156">
        <v>0.0</v>
      </c>
      <c r="KB477" s="160">
        <v>0.0</v>
      </c>
      <c r="LH477" s="159">
        <f t="shared" si="10"/>
        <v>0</v>
      </c>
      <c r="LI477" s="156">
        <f t="shared" si="11"/>
        <v>0</v>
      </c>
      <c r="LJ477" s="156">
        <f t="shared" si="12"/>
        <v>0</v>
      </c>
      <c r="LK477" s="156">
        <f t="shared" si="13"/>
        <v>0</v>
      </c>
      <c r="LL477" s="156">
        <f t="shared" si="14"/>
        <v>0</v>
      </c>
      <c r="LM477" s="160">
        <f t="shared" si="15"/>
        <v>0</v>
      </c>
      <c r="QX477" s="107">
        <v>46029.0</v>
      </c>
    </row>
    <row r="478">
      <c r="A478" s="12"/>
      <c r="B478" s="12"/>
      <c r="C478" s="12"/>
      <c r="D478" s="12"/>
      <c r="E478" s="12"/>
      <c r="F478" s="12"/>
      <c r="G478" s="12"/>
      <c r="H478" s="12"/>
      <c r="I478" s="143">
        <f t="shared" si="22"/>
        <v>-19</v>
      </c>
      <c r="J478" s="526">
        <v>46059.0</v>
      </c>
      <c r="K478" s="527" t="s">
        <v>61</v>
      </c>
      <c r="L478" s="520">
        <v>46130.0</v>
      </c>
      <c r="M478" s="307" t="s">
        <v>107</v>
      </c>
      <c r="N478" s="528">
        <v>357.0</v>
      </c>
      <c r="O478" s="528">
        <v>45.0</v>
      </c>
      <c r="P478" s="309"/>
      <c r="Q478" s="309"/>
      <c r="R478" s="309"/>
      <c r="S478" s="309"/>
      <c r="T478" s="309"/>
      <c r="U478" s="529" t="s">
        <v>3306</v>
      </c>
      <c r="V478" s="530" t="s">
        <v>3238</v>
      </c>
      <c r="W478" s="22" t="s">
        <v>3307</v>
      </c>
      <c r="X478" s="181">
        <v>0.0</v>
      </c>
      <c r="Y478" s="166">
        <f t="shared" si="23"/>
        <v>19</v>
      </c>
      <c r="Z478" s="26">
        <f t="shared" si="7"/>
        <v>0</v>
      </c>
      <c r="AA478" s="26">
        <f t="shared" si="8"/>
        <v>2</v>
      </c>
      <c r="AB478" s="26">
        <f t="shared" si="9"/>
        <v>0</v>
      </c>
      <c r="AC478" s="155">
        <v>0.0</v>
      </c>
      <c r="AD478" s="155">
        <v>0.0</v>
      </c>
      <c r="AE478" s="155">
        <v>0.0</v>
      </c>
      <c r="AF478" s="155">
        <v>0.0</v>
      </c>
      <c r="AG478" s="155">
        <v>0.0</v>
      </c>
      <c r="AH478" s="155">
        <v>0.0</v>
      </c>
      <c r="BN478" s="155">
        <v>1.0</v>
      </c>
      <c r="BO478" s="155">
        <v>0.0</v>
      </c>
      <c r="BP478" s="155">
        <v>0.0</v>
      </c>
      <c r="BQ478" s="155">
        <v>0.0</v>
      </c>
      <c r="BR478" s="155">
        <v>0.0</v>
      </c>
      <c r="BS478" s="155">
        <v>0.0</v>
      </c>
      <c r="BT478" s="167"/>
      <c r="BU478" s="167"/>
      <c r="BV478" s="167"/>
      <c r="BW478" s="167"/>
      <c r="BX478" s="167"/>
      <c r="BY478" s="167">
        <v>1.0</v>
      </c>
      <c r="BZ478" s="167"/>
      <c r="CA478" s="167"/>
      <c r="CB478" s="167"/>
      <c r="CC478" s="167"/>
      <c r="CD478" s="167"/>
      <c r="CE478" s="168"/>
      <c r="CF478" s="167"/>
      <c r="CG478" s="168"/>
      <c r="CH478" s="167"/>
      <c r="CI478" s="167"/>
      <c r="CJ478" s="167"/>
      <c r="CK478" s="167"/>
      <c r="CL478" s="167"/>
      <c r="CM478" s="167"/>
      <c r="CN478" s="167"/>
      <c r="CO478" s="167"/>
      <c r="CP478" s="167"/>
      <c r="CQ478" s="168"/>
      <c r="CR478" s="167"/>
      <c r="CS478" s="168"/>
      <c r="CT478" s="167"/>
      <c r="CU478" s="168"/>
      <c r="CV478" s="156">
        <v>11.0</v>
      </c>
      <c r="CW478" s="156">
        <v>0.0</v>
      </c>
      <c r="CX478" s="156">
        <v>0.0</v>
      </c>
      <c r="CY478" s="156">
        <v>0.0</v>
      </c>
      <c r="CZ478" s="156">
        <v>0.0</v>
      </c>
      <c r="DA478" s="156">
        <v>0.0</v>
      </c>
      <c r="DB478" s="395">
        <v>0.0</v>
      </c>
      <c r="DC478" s="395">
        <v>0.0</v>
      </c>
      <c r="DD478" s="395">
        <v>1.0</v>
      </c>
      <c r="DE478" s="395">
        <v>0.0</v>
      </c>
      <c r="DF478" s="395">
        <v>1.0</v>
      </c>
      <c r="DG478" s="395">
        <v>0.0</v>
      </c>
      <c r="DH478" s="395"/>
      <c r="DI478" s="395">
        <v>0.0</v>
      </c>
      <c r="DJ478" s="395">
        <v>0.0</v>
      </c>
      <c r="DK478" s="395">
        <v>1.0</v>
      </c>
      <c r="DL478" s="395">
        <v>0.0</v>
      </c>
      <c r="DM478" s="395">
        <v>1.0</v>
      </c>
      <c r="DN478" s="395">
        <v>0.0</v>
      </c>
      <c r="DO478" s="395"/>
      <c r="DP478" s="395">
        <v>0.0</v>
      </c>
      <c r="DQ478" s="395">
        <v>0.0</v>
      </c>
      <c r="DR478" s="395">
        <v>1.0</v>
      </c>
      <c r="DS478" s="395">
        <v>0.0</v>
      </c>
      <c r="DT478" s="395">
        <v>1.0</v>
      </c>
      <c r="DU478" s="395">
        <v>0.0</v>
      </c>
      <c r="DV478" s="395">
        <v>1.0</v>
      </c>
      <c r="DW478" s="395">
        <v>0.0</v>
      </c>
      <c r="DX478" s="395">
        <v>0.0</v>
      </c>
      <c r="DY478" s="395">
        <v>1.0</v>
      </c>
      <c r="DZ478" s="395">
        <v>0.0</v>
      </c>
      <c r="EA478" s="395">
        <v>1.0</v>
      </c>
      <c r="EB478" s="395">
        <v>0.0</v>
      </c>
      <c r="EC478" s="395">
        <v>1.0</v>
      </c>
      <c r="ED478" s="395">
        <v>0.0</v>
      </c>
      <c r="EE478" s="395">
        <v>0.0</v>
      </c>
      <c r="EF478" s="395">
        <v>1.0</v>
      </c>
      <c r="EG478" s="156">
        <v>7.0</v>
      </c>
      <c r="EH478" s="156">
        <v>0.0</v>
      </c>
      <c r="EI478" s="156">
        <v>0.0</v>
      </c>
      <c r="EJ478" s="156">
        <v>2.0</v>
      </c>
      <c r="EK478" s="156">
        <v>0.0</v>
      </c>
      <c r="EL478" s="156">
        <v>0.0</v>
      </c>
      <c r="EM478" s="395">
        <v>0.0</v>
      </c>
      <c r="EN478" s="395">
        <v>1.0</v>
      </c>
      <c r="EO478" s="395">
        <v>0.0</v>
      </c>
      <c r="EP478" s="395" t="s">
        <v>947</v>
      </c>
      <c r="EQ478" s="395">
        <v>0.0</v>
      </c>
      <c r="ER478" s="395">
        <v>0.0</v>
      </c>
      <c r="ES478" s="395"/>
      <c r="ET478" s="395">
        <v>0.0</v>
      </c>
      <c r="EU478" s="395">
        <v>1.0</v>
      </c>
      <c r="EV478" s="395">
        <v>0.0</v>
      </c>
      <c r="EW478" s="395">
        <v>1.0</v>
      </c>
      <c r="EX478" s="395">
        <v>0.0</v>
      </c>
      <c r="EY478" s="395">
        <v>0.0</v>
      </c>
      <c r="EZ478" s="395">
        <v>1.0</v>
      </c>
      <c r="FA478" s="395">
        <v>0.0</v>
      </c>
      <c r="FB478" s="395">
        <v>1.0</v>
      </c>
      <c r="FC478" s="395">
        <v>0.0</v>
      </c>
      <c r="FD478" s="395" t="s">
        <v>947</v>
      </c>
      <c r="FE478" s="395"/>
      <c r="FF478" s="395"/>
      <c r="FG478" s="395"/>
      <c r="FH478" s="395"/>
      <c r="FI478" s="395"/>
      <c r="FJ478" s="395"/>
      <c r="FK478" s="395"/>
      <c r="FL478" s="395"/>
      <c r="FM478" s="395"/>
      <c r="FN478" s="395"/>
      <c r="FO478" s="395"/>
      <c r="FP478" s="395"/>
      <c r="FQ478" s="156">
        <v>0.0</v>
      </c>
      <c r="FR478" s="156">
        <v>0.0</v>
      </c>
      <c r="FS478" s="156">
        <v>0.0</v>
      </c>
      <c r="FT478" s="156">
        <v>0.0</v>
      </c>
      <c r="FU478" s="156">
        <v>0.0</v>
      </c>
      <c r="FV478" s="156">
        <v>0.0</v>
      </c>
      <c r="FW478" s="157"/>
      <c r="FX478" s="157"/>
      <c r="FY478" s="157"/>
      <c r="FZ478" s="157"/>
      <c r="GA478" s="157"/>
      <c r="GB478" s="157"/>
      <c r="GC478" s="157"/>
      <c r="GD478" s="157"/>
      <c r="GE478" s="157"/>
      <c r="GF478" s="157"/>
      <c r="GG478" s="157"/>
      <c r="GH478" s="157"/>
      <c r="GI478" s="157"/>
      <c r="GJ478" s="157"/>
      <c r="GK478" s="157"/>
      <c r="GL478" s="157"/>
      <c r="GM478" s="157"/>
      <c r="GN478" s="157"/>
      <c r="GO478" s="157"/>
      <c r="GP478" s="158"/>
      <c r="GQ478" s="157"/>
      <c r="GR478" s="157"/>
      <c r="GS478" s="157"/>
      <c r="GT478" s="157"/>
      <c r="GU478" s="157"/>
      <c r="GV478" s="157"/>
      <c r="GW478" s="157"/>
      <c r="GX478" s="157"/>
      <c r="GY478" s="157"/>
      <c r="GZ478" s="157"/>
      <c r="HA478" s="157"/>
      <c r="HB478" s="155">
        <v>0.0</v>
      </c>
      <c r="HC478" s="155">
        <v>0.0</v>
      </c>
      <c r="HD478" s="155">
        <v>0.0</v>
      </c>
      <c r="HE478" s="155">
        <v>0.0</v>
      </c>
      <c r="HF478" s="155">
        <v>0.0</v>
      </c>
      <c r="HG478" s="155">
        <v>0.0</v>
      </c>
      <c r="IL478" s="159">
        <v>0.0</v>
      </c>
      <c r="IM478" s="156">
        <v>0.0</v>
      </c>
      <c r="IN478" s="156">
        <v>0.0</v>
      </c>
      <c r="IO478" s="156">
        <v>0.0</v>
      </c>
      <c r="IP478" s="156">
        <v>0.0</v>
      </c>
      <c r="IQ478" s="160">
        <v>0.0</v>
      </c>
      <c r="JH478" s="25"/>
      <c r="JW478" s="159">
        <v>0.0</v>
      </c>
      <c r="JX478" s="156">
        <v>0.0</v>
      </c>
      <c r="JY478" s="156">
        <v>0.0</v>
      </c>
      <c r="JZ478" s="156">
        <v>0.0</v>
      </c>
      <c r="KA478" s="156">
        <v>0.0</v>
      </c>
      <c r="KB478" s="160">
        <v>0.0</v>
      </c>
      <c r="LH478" s="159">
        <f t="shared" si="10"/>
        <v>0</v>
      </c>
      <c r="LI478" s="156">
        <f t="shared" si="11"/>
        <v>0</v>
      </c>
      <c r="LJ478" s="156">
        <f t="shared" si="12"/>
        <v>0</v>
      </c>
      <c r="LK478" s="156">
        <f t="shared" si="13"/>
        <v>0</v>
      </c>
      <c r="LL478" s="156">
        <f t="shared" si="14"/>
        <v>0</v>
      </c>
      <c r="LM478" s="160">
        <f t="shared" si="15"/>
        <v>0</v>
      </c>
      <c r="QX478" s="107">
        <v>46030.0</v>
      </c>
    </row>
    <row r="479">
      <c r="A479" s="12"/>
      <c r="B479" s="12"/>
      <c r="C479" s="12"/>
      <c r="D479" s="12"/>
      <c r="E479" s="12"/>
      <c r="F479" s="12"/>
      <c r="G479" s="12"/>
      <c r="H479" s="12"/>
      <c r="I479" s="143">
        <f t="shared" si="22"/>
        <v>-19</v>
      </c>
      <c r="J479" s="179">
        <v>46102.0</v>
      </c>
      <c r="K479" s="180" t="s">
        <v>48</v>
      </c>
      <c r="L479" s="144">
        <v>46041.0</v>
      </c>
      <c r="M479" s="164" t="s">
        <v>107</v>
      </c>
      <c r="N479" s="170">
        <v>37.0</v>
      </c>
      <c r="O479" s="148">
        <v>30.0</v>
      </c>
      <c r="P479" s="26"/>
      <c r="Q479" s="26"/>
      <c r="R479" s="26"/>
      <c r="S479" s="26"/>
      <c r="T479" s="26"/>
      <c r="U479" s="164" t="s">
        <v>3308</v>
      </c>
      <c r="V479" s="165" t="s">
        <v>3064</v>
      </c>
      <c r="W479" s="248" t="s">
        <v>3309</v>
      </c>
      <c r="X479" s="181">
        <v>0.0</v>
      </c>
      <c r="Y479" s="166">
        <f t="shared" si="23"/>
        <v>19</v>
      </c>
      <c r="Z479" s="26">
        <f t="shared" si="7"/>
        <v>0</v>
      </c>
      <c r="AA479" s="26">
        <f t="shared" si="8"/>
        <v>0</v>
      </c>
      <c r="AB479" s="26">
        <f t="shared" si="9"/>
        <v>0</v>
      </c>
      <c r="AC479" s="155">
        <v>1.0</v>
      </c>
      <c r="AD479" s="155">
        <v>0.0</v>
      </c>
      <c r="AE479" s="155">
        <v>0.0</v>
      </c>
      <c r="AF479" s="155">
        <v>0.0</v>
      </c>
      <c r="AG479" s="155">
        <v>0.0</v>
      </c>
      <c r="AH479" s="155">
        <v>0.0</v>
      </c>
      <c r="AT479" s="86">
        <v>1.0</v>
      </c>
      <c r="BN479" s="155">
        <v>0.0</v>
      </c>
      <c r="BO479" s="155">
        <v>0.0</v>
      </c>
      <c r="BP479" s="155">
        <v>0.0</v>
      </c>
      <c r="BQ479" s="155">
        <v>0.0</v>
      </c>
      <c r="BR479" s="155">
        <v>0.0</v>
      </c>
      <c r="BS479" s="155">
        <v>0.0</v>
      </c>
      <c r="CV479" s="156">
        <v>3.0</v>
      </c>
      <c r="CW479" s="156">
        <v>0.0</v>
      </c>
      <c r="CX479" s="156">
        <v>0.0</v>
      </c>
      <c r="CY479" s="156">
        <v>0.0</v>
      </c>
      <c r="CZ479" s="156">
        <v>0.0</v>
      </c>
      <c r="DA479" s="156">
        <v>0.0</v>
      </c>
      <c r="DV479" s="86">
        <v>1.0</v>
      </c>
      <c r="DY479" s="86">
        <v>1.0</v>
      </c>
      <c r="EF479" s="86">
        <v>1.0</v>
      </c>
      <c r="EG479" s="156">
        <v>2.0</v>
      </c>
      <c r="EH479" s="156">
        <v>0.0</v>
      </c>
      <c r="EI479" s="156">
        <v>0.0</v>
      </c>
      <c r="EJ479" s="156">
        <v>0.0</v>
      </c>
      <c r="EK479" s="156">
        <v>0.0</v>
      </c>
      <c r="EL479" s="156">
        <v>0.0</v>
      </c>
      <c r="FD479" s="86">
        <v>1.0</v>
      </c>
      <c r="FK479" s="86">
        <v>1.0</v>
      </c>
      <c r="FQ479" s="156">
        <v>4.0</v>
      </c>
      <c r="FR479" s="156">
        <v>0.0</v>
      </c>
      <c r="FS479" s="156">
        <v>0.0</v>
      </c>
      <c r="FT479" s="156">
        <v>0.0</v>
      </c>
      <c r="FU479" s="156">
        <v>0.0</v>
      </c>
      <c r="FV479" s="156">
        <v>0.0</v>
      </c>
      <c r="FW479" s="157"/>
      <c r="FX479" s="188"/>
      <c r="FY479" s="157"/>
      <c r="FZ479" s="157"/>
      <c r="GA479" s="188"/>
      <c r="GB479" s="157"/>
      <c r="GC479" s="157"/>
      <c r="GD479" s="157"/>
      <c r="GE479" s="188">
        <v>1.0</v>
      </c>
      <c r="GF479" s="157"/>
      <c r="GG479" s="157"/>
      <c r="GH479" s="188"/>
      <c r="GI479" s="188">
        <v>1.0</v>
      </c>
      <c r="GJ479" s="157"/>
      <c r="GK479" s="157"/>
      <c r="GL479" s="188"/>
      <c r="GM479" s="188"/>
      <c r="GN479" s="157"/>
      <c r="GO479" s="188">
        <v>1.0</v>
      </c>
      <c r="GP479" s="158"/>
      <c r="GQ479" s="157"/>
      <c r="GR479" s="157"/>
      <c r="GS479" s="157"/>
      <c r="GT479" s="157"/>
      <c r="GU479" s="157"/>
      <c r="GV479" s="157"/>
      <c r="GW479" s="157"/>
      <c r="GX479" s="157"/>
      <c r="GY479" s="157"/>
      <c r="GZ479" s="157"/>
      <c r="HA479" s="188">
        <v>1.0</v>
      </c>
      <c r="HB479" s="155">
        <v>2.0</v>
      </c>
      <c r="HC479" s="155">
        <v>0.0</v>
      </c>
      <c r="HD479" s="155">
        <v>0.0</v>
      </c>
      <c r="HE479" s="155">
        <v>0.0</v>
      </c>
      <c r="HF479" s="155">
        <v>0.0</v>
      </c>
      <c r="HG479" s="155">
        <v>0.0</v>
      </c>
      <c r="HU479" s="86">
        <v>1.0</v>
      </c>
      <c r="IK479" s="86">
        <v>1.0</v>
      </c>
      <c r="IL479" s="159">
        <v>3.0</v>
      </c>
      <c r="IM479" s="156">
        <v>0.0</v>
      </c>
      <c r="IN479" s="156">
        <v>0.0</v>
      </c>
      <c r="IO479" s="156">
        <v>0.0</v>
      </c>
      <c r="IP479" s="156">
        <v>0.0</v>
      </c>
      <c r="IQ479" s="160">
        <v>0.0</v>
      </c>
      <c r="IX479" s="86">
        <v>1.0</v>
      </c>
      <c r="IZ479" s="86">
        <v>0.0</v>
      </c>
      <c r="JB479" s="86">
        <v>1.0</v>
      </c>
      <c r="JH479" s="25"/>
      <c r="JJ479" s="86">
        <v>1.0</v>
      </c>
      <c r="JW479" s="159">
        <v>4.0</v>
      </c>
      <c r="JX479" s="156">
        <v>0.0</v>
      </c>
      <c r="JY479" s="156">
        <v>0.0</v>
      </c>
      <c r="JZ479" s="156">
        <v>0.0</v>
      </c>
      <c r="KA479" s="156">
        <v>0.0</v>
      </c>
      <c r="KB479" s="160">
        <v>0.0</v>
      </c>
      <c r="KM479" s="86">
        <v>1.0</v>
      </c>
      <c r="KQ479" s="86">
        <v>1.0</v>
      </c>
      <c r="KS479" s="178"/>
      <c r="KX479" s="86">
        <v>1.0</v>
      </c>
      <c r="LE479" s="86">
        <v>1.0</v>
      </c>
      <c r="LH479" s="159">
        <f t="shared" si="10"/>
        <v>0</v>
      </c>
      <c r="LI479" s="156">
        <f t="shared" si="11"/>
        <v>0</v>
      </c>
      <c r="LJ479" s="156">
        <f t="shared" si="12"/>
        <v>0</v>
      </c>
      <c r="LK479" s="156">
        <f t="shared" si="13"/>
        <v>0</v>
      </c>
      <c r="LL479" s="156">
        <f t="shared" si="14"/>
        <v>0</v>
      </c>
      <c r="LM479" s="160">
        <f t="shared" si="15"/>
        <v>0</v>
      </c>
      <c r="QX479" s="107">
        <v>46030.0</v>
      </c>
    </row>
    <row r="480">
      <c r="A480" s="12"/>
      <c r="B480" s="12"/>
      <c r="C480" s="12"/>
      <c r="D480" s="12"/>
      <c r="E480" s="12"/>
      <c r="F480" s="12"/>
      <c r="G480" s="12"/>
      <c r="H480" s="12"/>
      <c r="I480" s="143">
        <f t="shared" si="22"/>
        <v>-12</v>
      </c>
      <c r="J480" s="144">
        <v>46027.0</v>
      </c>
      <c r="K480" s="145" t="s">
        <v>61</v>
      </c>
      <c r="L480" s="171">
        <v>46034.0</v>
      </c>
      <c r="M480" s="147" t="s">
        <v>348</v>
      </c>
      <c r="N480" s="148">
        <v>246.0</v>
      </c>
      <c r="O480" s="148">
        <v>30.0</v>
      </c>
      <c r="P480" s="26"/>
      <c r="Q480" s="26"/>
      <c r="R480" s="26"/>
      <c r="S480" s="26"/>
      <c r="T480" s="26"/>
      <c r="U480" s="147" t="s">
        <v>3310</v>
      </c>
      <c r="V480" s="149" t="s">
        <v>1093</v>
      </c>
      <c r="W480" s="198" t="s">
        <v>3311</v>
      </c>
      <c r="X480" s="181">
        <v>0.0</v>
      </c>
      <c r="Y480" s="166">
        <f t="shared" si="23"/>
        <v>12</v>
      </c>
      <c r="Z480" s="26">
        <f t="shared" si="7"/>
        <v>0</v>
      </c>
      <c r="AA480" s="26">
        <f t="shared" si="8"/>
        <v>0</v>
      </c>
      <c r="AB480" s="26">
        <f t="shared" si="9"/>
        <v>0</v>
      </c>
      <c r="AC480" s="155">
        <v>8.0</v>
      </c>
      <c r="AD480" s="155">
        <v>0.0</v>
      </c>
      <c r="AE480" s="155">
        <v>0.0</v>
      </c>
      <c r="AF480" s="155">
        <v>0.0</v>
      </c>
      <c r="AG480" s="155">
        <v>0.0</v>
      </c>
      <c r="AH480" s="155">
        <v>0.0</v>
      </c>
      <c r="AI480" s="167"/>
      <c r="AJ480" s="167"/>
      <c r="AK480" s="167"/>
      <c r="AL480" s="167"/>
      <c r="AM480" s="167">
        <v>1.0</v>
      </c>
      <c r="AN480" s="167">
        <v>0.0</v>
      </c>
      <c r="AO480" s="167">
        <v>1.0</v>
      </c>
      <c r="AP480" s="167">
        <v>0.0</v>
      </c>
      <c r="AQ480" s="167"/>
      <c r="AR480" s="167">
        <v>0.0</v>
      </c>
      <c r="AS480" s="167">
        <v>0.0</v>
      </c>
      <c r="AT480" s="167">
        <v>1.0</v>
      </c>
      <c r="AU480" s="167"/>
      <c r="AV480" s="167"/>
      <c r="AW480" s="167"/>
      <c r="AX480" s="167"/>
      <c r="AY480" s="167"/>
      <c r="AZ480" s="167"/>
      <c r="BA480" s="167">
        <v>1.0</v>
      </c>
      <c r="BB480" s="167">
        <v>0.0</v>
      </c>
      <c r="BC480" s="167">
        <v>1.0</v>
      </c>
      <c r="BD480" s="167">
        <v>0.0</v>
      </c>
      <c r="BE480" s="167">
        <v>1.0</v>
      </c>
      <c r="BF480" s="167">
        <v>0.0</v>
      </c>
      <c r="BG480" s="167">
        <v>0.0</v>
      </c>
      <c r="BH480" s="167">
        <v>1.0</v>
      </c>
      <c r="BI480" s="167">
        <v>0.0</v>
      </c>
      <c r="BJ480" s="167">
        <v>1.0</v>
      </c>
      <c r="BK480" s="167"/>
      <c r="BL480" s="167"/>
      <c r="BM480" s="167"/>
      <c r="BN480" s="155">
        <v>4.0</v>
      </c>
      <c r="BO480" s="155">
        <v>0.0</v>
      </c>
      <c r="BP480" s="155">
        <v>0.0</v>
      </c>
      <c r="BQ480" s="155">
        <v>0.0</v>
      </c>
      <c r="BR480" s="155">
        <v>0.0</v>
      </c>
      <c r="BS480" s="155">
        <v>0.0</v>
      </c>
      <c r="BT480" s="167">
        <v>0.0</v>
      </c>
      <c r="BU480" s="167">
        <v>1.0</v>
      </c>
      <c r="BV480" s="167">
        <v>0.0</v>
      </c>
      <c r="BW480" s="167">
        <v>1.0</v>
      </c>
      <c r="BX480" s="167"/>
      <c r="BY480" s="167"/>
      <c r="BZ480" s="167">
        <v>0.0</v>
      </c>
      <c r="CA480" s="167">
        <v>0.0</v>
      </c>
      <c r="CB480" s="167">
        <v>1.0</v>
      </c>
      <c r="CC480" s="167">
        <v>0.0</v>
      </c>
      <c r="CD480" s="167">
        <v>1.0</v>
      </c>
      <c r="CE480" s="167"/>
      <c r="CF480" s="167"/>
      <c r="CG480" s="167"/>
      <c r="CH480" s="167"/>
      <c r="CI480" s="167"/>
      <c r="CJ480" s="167"/>
      <c r="CK480" s="167"/>
      <c r="CL480" s="167"/>
      <c r="CM480" s="167"/>
      <c r="CN480" s="167"/>
      <c r="CO480" s="167"/>
      <c r="CP480" s="167"/>
      <c r="CQ480" s="167"/>
      <c r="CR480" s="167"/>
      <c r="CS480" s="167"/>
      <c r="CT480" s="167"/>
      <c r="CU480" s="167"/>
      <c r="CV480" s="156">
        <v>0.0</v>
      </c>
      <c r="CW480" s="156">
        <v>0.0</v>
      </c>
      <c r="CX480" s="156">
        <v>0.0</v>
      </c>
      <c r="CY480" s="156">
        <v>0.0</v>
      </c>
      <c r="CZ480" s="156">
        <v>0.0</v>
      </c>
      <c r="DA480" s="156">
        <v>0.0</v>
      </c>
      <c r="EG480" s="156">
        <v>0.0</v>
      </c>
      <c r="EH480" s="156">
        <v>0.0</v>
      </c>
      <c r="EI480" s="156">
        <v>0.0</v>
      </c>
      <c r="EJ480" s="156">
        <v>0.0</v>
      </c>
      <c r="EK480" s="156">
        <v>0.0</v>
      </c>
      <c r="EL480" s="156">
        <v>0.0</v>
      </c>
      <c r="FQ480" s="156">
        <v>0.0</v>
      </c>
      <c r="FR480" s="156">
        <v>0.0</v>
      </c>
      <c r="FS480" s="156">
        <v>0.0</v>
      </c>
      <c r="FT480" s="156">
        <v>0.0</v>
      </c>
      <c r="FU480" s="156">
        <v>0.0</v>
      </c>
      <c r="FV480" s="156">
        <v>0.0</v>
      </c>
      <c r="FW480" s="157"/>
      <c r="FX480" s="157"/>
      <c r="FY480" s="157"/>
      <c r="FZ480" s="157"/>
      <c r="GA480" s="157"/>
      <c r="GB480" s="157"/>
      <c r="GC480" s="157"/>
      <c r="GD480" s="157"/>
      <c r="GE480" s="157"/>
      <c r="GF480" s="157"/>
      <c r="GG480" s="157"/>
      <c r="GH480" s="157"/>
      <c r="GI480" s="157"/>
      <c r="GJ480" s="157"/>
      <c r="GK480" s="157"/>
      <c r="GL480" s="157"/>
      <c r="GM480" s="157"/>
      <c r="GN480" s="157"/>
      <c r="GO480" s="157"/>
      <c r="GP480" s="158"/>
      <c r="GQ480" s="157"/>
      <c r="GR480" s="157"/>
      <c r="GS480" s="157"/>
      <c r="GT480" s="157"/>
      <c r="GU480" s="157"/>
      <c r="GV480" s="157"/>
      <c r="GW480" s="157"/>
      <c r="GX480" s="157"/>
      <c r="GY480" s="157"/>
      <c r="GZ480" s="157"/>
      <c r="HA480" s="157"/>
      <c r="HB480" s="155">
        <v>0.0</v>
      </c>
      <c r="HC480" s="155">
        <v>0.0</v>
      </c>
      <c r="HD480" s="155">
        <v>0.0</v>
      </c>
      <c r="HE480" s="155">
        <v>0.0</v>
      </c>
      <c r="HF480" s="155">
        <v>0.0</v>
      </c>
      <c r="HG480" s="155">
        <v>0.0</v>
      </c>
      <c r="IL480" s="159">
        <v>0.0</v>
      </c>
      <c r="IM480" s="156">
        <v>0.0</v>
      </c>
      <c r="IN480" s="156">
        <v>0.0</v>
      </c>
      <c r="IO480" s="156">
        <v>0.0</v>
      </c>
      <c r="IP480" s="156">
        <v>0.0</v>
      </c>
      <c r="IQ480" s="160">
        <v>0.0</v>
      </c>
      <c r="JH480" s="25"/>
      <c r="JW480" s="159">
        <v>0.0</v>
      </c>
      <c r="JX480" s="156">
        <v>0.0</v>
      </c>
      <c r="JY480" s="156">
        <v>0.0</v>
      </c>
      <c r="JZ480" s="156">
        <v>0.0</v>
      </c>
      <c r="KA480" s="156">
        <v>0.0</v>
      </c>
      <c r="KB480" s="160">
        <v>0.0</v>
      </c>
      <c r="LH480" s="159">
        <f t="shared" si="10"/>
        <v>0</v>
      </c>
      <c r="LI480" s="156">
        <f t="shared" si="11"/>
        <v>0</v>
      </c>
      <c r="LJ480" s="156">
        <f t="shared" si="12"/>
        <v>0</v>
      </c>
      <c r="LK480" s="156">
        <f t="shared" si="13"/>
        <v>0</v>
      </c>
      <c r="LL480" s="156">
        <f t="shared" si="14"/>
        <v>0</v>
      </c>
      <c r="LM480" s="160">
        <f t="shared" si="15"/>
        <v>0</v>
      </c>
      <c r="QX480" s="107">
        <v>46030.0</v>
      </c>
    </row>
    <row r="481">
      <c r="A481" s="126"/>
      <c r="B481" s="126"/>
      <c r="C481" s="12"/>
      <c r="D481" s="12"/>
      <c r="E481" s="58"/>
      <c r="F481" s="12"/>
      <c r="G481" s="12"/>
      <c r="H481" s="12"/>
      <c r="I481" s="531">
        <f t="shared" si="22"/>
        <v>-30</v>
      </c>
      <c r="J481" s="144">
        <v>46031.0</v>
      </c>
      <c r="K481" s="195" t="s">
        <v>61</v>
      </c>
      <c r="L481" s="171">
        <v>46081.0</v>
      </c>
      <c r="M481" s="147" t="s">
        <v>400</v>
      </c>
      <c r="N481" s="148">
        <v>246.0</v>
      </c>
      <c r="O481" s="148">
        <v>30.0</v>
      </c>
      <c r="P481" s="26"/>
      <c r="Q481" s="26"/>
      <c r="R481" s="26"/>
      <c r="S481" s="26"/>
      <c r="T481" s="26"/>
      <c r="U481" s="147" t="s">
        <v>3164</v>
      </c>
      <c r="V481" s="149" t="s">
        <v>2801</v>
      </c>
      <c r="W481" s="248" t="s">
        <v>3312</v>
      </c>
      <c r="X481" s="181">
        <v>0.0</v>
      </c>
      <c r="Y481" s="166">
        <f t="shared" si="23"/>
        <v>30</v>
      </c>
      <c r="Z481" s="26">
        <f t="shared" si="7"/>
        <v>0</v>
      </c>
      <c r="AA481" s="26">
        <f t="shared" si="8"/>
        <v>0</v>
      </c>
      <c r="AB481" s="26">
        <f t="shared" si="9"/>
        <v>0</v>
      </c>
      <c r="AC481" s="155">
        <v>10.0</v>
      </c>
      <c r="AD481" s="155">
        <v>0.0</v>
      </c>
      <c r="AE481" s="155">
        <v>0.0</v>
      </c>
      <c r="AF481" s="155">
        <v>0.0</v>
      </c>
      <c r="AG481" s="155">
        <v>0.0</v>
      </c>
      <c r="AH481" s="155">
        <v>0.0</v>
      </c>
      <c r="AI481" s="167"/>
      <c r="AJ481" s="167"/>
      <c r="AK481" s="167"/>
      <c r="AL481" s="167"/>
      <c r="AM481" s="167"/>
      <c r="AN481" s="167"/>
      <c r="AO481" s="167"/>
      <c r="AP481" s="167"/>
      <c r="AQ481" s="167">
        <v>1.0</v>
      </c>
      <c r="AR481" s="167">
        <v>0.0</v>
      </c>
      <c r="AS481" s="167">
        <v>0.0</v>
      </c>
      <c r="AT481" s="167">
        <v>1.0</v>
      </c>
      <c r="AU481" s="167">
        <v>0.0</v>
      </c>
      <c r="AV481" s="167">
        <v>1.0</v>
      </c>
      <c r="AW481" s="167">
        <v>0.0</v>
      </c>
      <c r="AX481" s="167">
        <v>1.0</v>
      </c>
      <c r="AY481" s="167">
        <v>0.0</v>
      </c>
      <c r="AZ481" s="167">
        <v>0.0</v>
      </c>
      <c r="BA481" s="167">
        <v>1.0</v>
      </c>
      <c r="BB481" s="167">
        <v>0.0</v>
      </c>
      <c r="BC481" s="167">
        <v>1.0</v>
      </c>
      <c r="BD481" s="167">
        <v>0.0</v>
      </c>
      <c r="BE481" s="167">
        <v>1.0</v>
      </c>
      <c r="BF481" s="167">
        <v>0.0</v>
      </c>
      <c r="BG481" s="167">
        <v>0.0</v>
      </c>
      <c r="BH481" s="167">
        <v>1.0</v>
      </c>
      <c r="BI481" s="167">
        <v>0.0</v>
      </c>
      <c r="BJ481" s="167">
        <v>1.0</v>
      </c>
      <c r="BK481" s="167">
        <v>0.0</v>
      </c>
      <c r="BL481" s="167">
        <v>1.0</v>
      </c>
      <c r="BM481" s="167">
        <v>0.0</v>
      </c>
      <c r="BN481" s="155">
        <v>8.0</v>
      </c>
      <c r="BO481" s="155">
        <v>0.0</v>
      </c>
      <c r="BP481" s="155">
        <v>0.0</v>
      </c>
      <c r="BQ481" s="155">
        <v>0.0</v>
      </c>
      <c r="BR481" s="155">
        <v>0.0</v>
      </c>
      <c r="BS481" s="155">
        <v>0.0</v>
      </c>
      <c r="BT481" s="167">
        <v>0.0</v>
      </c>
      <c r="BU481" s="167">
        <v>1.0</v>
      </c>
      <c r="BV481" s="167">
        <v>0.0</v>
      </c>
      <c r="BW481" s="167">
        <v>1.0</v>
      </c>
      <c r="BX481" s="167">
        <v>0.0</v>
      </c>
      <c r="BY481" s="167">
        <v>1.0</v>
      </c>
      <c r="BZ481" s="167">
        <v>0.0</v>
      </c>
      <c r="CA481" s="167">
        <v>0.0</v>
      </c>
      <c r="CB481" s="167">
        <v>1.0</v>
      </c>
      <c r="CC481" s="167">
        <v>0.0</v>
      </c>
      <c r="CD481" s="167">
        <v>1.0</v>
      </c>
      <c r="CE481" s="167">
        <v>0.0</v>
      </c>
      <c r="CF481" s="167">
        <v>1.0</v>
      </c>
      <c r="CG481" s="167"/>
      <c r="CH481" s="167"/>
      <c r="CI481" s="167"/>
      <c r="CJ481" s="167"/>
      <c r="CK481" s="167"/>
      <c r="CL481" s="167"/>
      <c r="CM481" s="167"/>
      <c r="CN481" s="167"/>
      <c r="CO481" s="167"/>
      <c r="CP481" s="167">
        <v>1.0</v>
      </c>
      <c r="CQ481" s="167">
        <v>0.0</v>
      </c>
      <c r="CR481" s="167">
        <v>1.0</v>
      </c>
      <c r="CS481" s="167"/>
      <c r="CT481" s="167"/>
      <c r="CU481" s="167"/>
      <c r="CV481" s="156">
        <v>4.0</v>
      </c>
      <c r="CW481" s="156">
        <v>0.0</v>
      </c>
      <c r="CX481" s="156">
        <v>0.0</v>
      </c>
      <c r="CY481" s="156">
        <v>0.0</v>
      </c>
      <c r="CZ481" s="156">
        <v>0.0</v>
      </c>
      <c r="DA481" s="156">
        <v>0.0</v>
      </c>
      <c r="DX481" s="86">
        <v>1.0</v>
      </c>
      <c r="DZ481" s="86">
        <v>1.0</v>
      </c>
      <c r="EB481" s="86">
        <v>1.0</v>
      </c>
      <c r="EE481" s="86">
        <v>1.0</v>
      </c>
      <c r="EG481" s="156">
        <v>8.0</v>
      </c>
      <c r="EH481" s="156">
        <v>0.0</v>
      </c>
      <c r="EI481" s="156">
        <v>0.0</v>
      </c>
      <c r="EJ481" s="156">
        <v>0.0</v>
      </c>
      <c r="EK481" s="156">
        <v>0.0</v>
      </c>
      <c r="EL481" s="156">
        <v>0.0</v>
      </c>
      <c r="EM481" s="174">
        <v>1.0</v>
      </c>
      <c r="EN481" s="174">
        <v>0.0</v>
      </c>
      <c r="EO481" s="174">
        <v>1.0</v>
      </c>
      <c r="EP481" s="174">
        <v>0.0</v>
      </c>
      <c r="EQ481" s="174">
        <v>0.0</v>
      </c>
      <c r="ER481" s="175">
        <v>1.0</v>
      </c>
      <c r="ES481" s="174">
        <v>0.0</v>
      </c>
      <c r="ET481" s="174">
        <v>1.0</v>
      </c>
      <c r="EU481" s="174">
        <v>0.0</v>
      </c>
      <c r="EV481" s="174">
        <v>1.0</v>
      </c>
      <c r="EW481" s="174">
        <v>0.0</v>
      </c>
      <c r="EX481" s="174">
        <v>0.0</v>
      </c>
      <c r="EY481" s="174">
        <v>1.0</v>
      </c>
      <c r="EZ481" s="174">
        <v>0.0</v>
      </c>
      <c r="FA481" s="174">
        <v>1.0</v>
      </c>
      <c r="FB481" s="174">
        <v>0.0</v>
      </c>
      <c r="FC481" s="174">
        <v>1.0</v>
      </c>
      <c r="FD481" s="174"/>
      <c r="FE481" s="174"/>
      <c r="FF481" s="174"/>
      <c r="FG481" s="174"/>
      <c r="FH481" s="174"/>
      <c r="FI481" s="174"/>
      <c r="FJ481" s="174"/>
      <c r="FK481" s="174"/>
      <c r="FL481" s="174"/>
      <c r="FM481" s="174"/>
      <c r="FN481" s="174"/>
      <c r="FO481" s="174"/>
      <c r="FP481" s="174"/>
      <c r="FQ481" s="156">
        <v>0.0</v>
      </c>
      <c r="FR481" s="156">
        <v>0.0</v>
      </c>
      <c r="FS481" s="156">
        <v>0.0</v>
      </c>
      <c r="FT481" s="156">
        <v>0.0</v>
      </c>
      <c r="FU481" s="156">
        <v>0.0</v>
      </c>
      <c r="FV481" s="156">
        <v>0.0</v>
      </c>
      <c r="FW481" s="157"/>
      <c r="FX481" s="157"/>
      <c r="FY481" s="157"/>
      <c r="FZ481" s="157"/>
      <c r="GA481" s="157"/>
      <c r="GB481" s="157"/>
      <c r="GC481" s="157"/>
      <c r="GD481" s="157"/>
      <c r="GE481" s="157"/>
      <c r="GF481" s="157"/>
      <c r="GG481" s="157"/>
      <c r="GH481" s="157"/>
      <c r="GI481" s="157"/>
      <c r="GJ481" s="157"/>
      <c r="GK481" s="157"/>
      <c r="GL481" s="157"/>
      <c r="GM481" s="157"/>
      <c r="GN481" s="157"/>
      <c r="GO481" s="157"/>
      <c r="GP481" s="158"/>
      <c r="GQ481" s="157"/>
      <c r="GR481" s="157"/>
      <c r="GS481" s="157"/>
      <c r="GT481" s="157"/>
      <c r="GU481" s="157"/>
      <c r="GV481" s="157"/>
      <c r="GW481" s="157"/>
      <c r="GX481" s="157"/>
      <c r="GY481" s="157"/>
      <c r="GZ481" s="157"/>
      <c r="HA481" s="157"/>
      <c r="HB481" s="155">
        <v>0.0</v>
      </c>
      <c r="HC481" s="155">
        <v>0.0</v>
      </c>
      <c r="HD481" s="155">
        <v>0.0</v>
      </c>
      <c r="HE481" s="155">
        <v>0.0</v>
      </c>
      <c r="HF481" s="155">
        <v>0.0</v>
      </c>
      <c r="HG481" s="155">
        <v>0.0</v>
      </c>
      <c r="IL481" s="159">
        <v>0.0</v>
      </c>
      <c r="IM481" s="156">
        <v>0.0</v>
      </c>
      <c r="IN481" s="156">
        <v>0.0</v>
      </c>
      <c r="IO481" s="156">
        <v>0.0</v>
      </c>
      <c r="IP481" s="156">
        <v>0.0</v>
      </c>
      <c r="IQ481" s="160">
        <v>0.0</v>
      </c>
      <c r="JH481" s="25"/>
      <c r="JW481" s="159">
        <v>0.0</v>
      </c>
      <c r="JX481" s="156">
        <v>0.0</v>
      </c>
      <c r="JY481" s="156">
        <v>0.0</v>
      </c>
      <c r="JZ481" s="156">
        <v>0.0</v>
      </c>
      <c r="KA481" s="156">
        <v>0.0</v>
      </c>
      <c r="KB481" s="160">
        <v>0.0</v>
      </c>
      <c r="LH481" s="159">
        <f t="shared" si="10"/>
        <v>0</v>
      </c>
      <c r="LI481" s="156">
        <f t="shared" si="11"/>
        <v>0</v>
      </c>
      <c r="LJ481" s="156">
        <f t="shared" si="12"/>
        <v>0</v>
      </c>
      <c r="LK481" s="156">
        <f t="shared" si="13"/>
        <v>0</v>
      </c>
      <c r="LL481" s="156">
        <f t="shared" si="14"/>
        <v>0</v>
      </c>
      <c r="LM481" s="160">
        <f t="shared" si="15"/>
        <v>0</v>
      </c>
      <c r="QX481" s="107">
        <v>46032.0</v>
      </c>
    </row>
    <row r="482">
      <c r="A482" s="25"/>
      <c r="B482" s="25"/>
      <c r="C482" s="12"/>
      <c r="D482" s="12"/>
      <c r="E482" s="12"/>
      <c r="F482" s="12"/>
      <c r="G482" s="12"/>
      <c r="H482" s="12"/>
      <c r="I482" s="143">
        <f t="shared" si="22"/>
        <v>-19</v>
      </c>
      <c r="J482" s="144">
        <v>46030.0</v>
      </c>
      <c r="K482" s="145" t="s">
        <v>53</v>
      </c>
      <c r="L482" s="171">
        <v>46133.0</v>
      </c>
      <c r="M482" s="147" t="s">
        <v>2781</v>
      </c>
      <c r="N482" s="148">
        <v>357.0</v>
      </c>
      <c r="O482" s="148">
        <v>30.0</v>
      </c>
      <c r="P482" s="26"/>
      <c r="Q482" s="26"/>
      <c r="R482" s="26"/>
      <c r="S482" s="26"/>
      <c r="T482" s="26"/>
      <c r="U482" s="147" t="s">
        <v>2519</v>
      </c>
      <c r="V482" s="149" t="s">
        <v>307</v>
      </c>
      <c r="W482" s="248" t="s">
        <v>3313</v>
      </c>
      <c r="X482" s="181">
        <v>0.0</v>
      </c>
      <c r="Y482" s="166">
        <f t="shared" si="23"/>
        <v>19</v>
      </c>
      <c r="Z482" s="26">
        <f t="shared" si="7"/>
        <v>0</v>
      </c>
      <c r="AA482" s="26">
        <f t="shared" si="8"/>
        <v>0</v>
      </c>
      <c r="AB482" s="26">
        <f t="shared" si="9"/>
        <v>0</v>
      </c>
      <c r="AC482" s="155">
        <v>6.0</v>
      </c>
      <c r="AD482" s="155">
        <v>0.0</v>
      </c>
      <c r="AE482" s="155">
        <v>0.0</v>
      </c>
      <c r="AF482" s="155">
        <v>0.0</v>
      </c>
      <c r="AG482" s="155">
        <v>0.0</v>
      </c>
      <c r="AH482" s="155">
        <v>0.0</v>
      </c>
      <c r="AI482" s="167"/>
      <c r="AJ482" s="167"/>
      <c r="AK482" s="167"/>
      <c r="AL482" s="167"/>
      <c r="AM482" s="167"/>
      <c r="AN482" s="167"/>
      <c r="AO482" s="167"/>
      <c r="AP482" s="167">
        <v>1.0</v>
      </c>
      <c r="AQ482" s="167">
        <v>0.0</v>
      </c>
      <c r="AR482" s="167">
        <v>1.0</v>
      </c>
      <c r="AS482" s="167">
        <v>0.0</v>
      </c>
      <c r="AT482" s="167">
        <v>0.0</v>
      </c>
      <c r="AU482" s="167"/>
      <c r="AV482" s="167">
        <v>0.0</v>
      </c>
      <c r="AW482" s="167">
        <v>1.0</v>
      </c>
      <c r="AX482" s="167">
        <v>0.0</v>
      </c>
      <c r="AY482" s="167">
        <v>1.0</v>
      </c>
      <c r="AZ482" s="167">
        <v>0.0</v>
      </c>
      <c r="BA482" s="167">
        <v>0.0</v>
      </c>
      <c r="BB482" s="167">
        <v>1.0</v>
      </c>
      <c r="BC482" s="167">
        <v>0.0</v>
      </c>
      <c r="BD482" s="167"/>
      <c r="BE482" s="167">
        <v>0.0</v>
      </c>
      <c r="BF482" s="167">
        <v>1.0</v>
      </c>
      <c r="BG482" s="167">
        <v>0.0</v>
      </c>
      <c r="BH482" s="167">
        <v>0.0</v>
      </c>
      <c r="BI482" s="167"/>
      <c r="BJ482" s="167">
        <v>0.0</v>
      </c>
      <c r="BK482" s="167"/>
      <c r="BL482" s="167"/>
      <c r="BM482" s="167"/>
      <c r="BN482" s="155">
        <v>5.0</v>
      </c>
      <c r="BO482" s="155">
        <v>0.0</v>
      </c>
      <c r="BP482" s="155">
        <v>0.0</v>
      </c>
      <c r="BQ482" s="155">
        <v>0.0</v>
      </c>
      <c r="BR482" s="155">
        <v>0.0</v>
      </c>
      <c r="BS482" s="155">
        <v>0.0</v>
      </c>
      <c r="BT482" s="167">
        <v>0.0</v>
      </c>
      <c r="BU482" s="167">
        <v>0.0</v>
      </c>
      <c r="BV482" s="167">
        <v>1.0</v>
      </c>
      <c r="BW482" s="167">
        <v>0.0</v>
      </c>
      <c r="BX482" s="167">
        <v>1.0</v>
      </c>
      <c r="BY482" s="167"/>
      <c r="BZ482" s="167"/>
      <c r="CA482" s="167"/>
      <c r="CB482" s="167"/>
      <c r="CC482" s="167">
        <v>1.0</v>
      </c>
      <c r="CD482" s="167"/>
      <c r="CE482" s="167"/>
      <c r="CF482" s="167"/>
      <c r="CG482" s="167"/>
      <c r="CH482" s="167"/>
      <c r="CI482" s="167"/>
      <c r="CJ482" s="167"/>
      <c r="CK482" s="167"/>
      <c r="CL482" s="167"/>
      <c r="CM482" s="167"/>
      <c r="CN482" s="167"/>
      <c r="CO482" s="167"/>
      <c r="CP482" s="167"/>
      <c r="CQ482" s="167">
        <v>1.0</v>
      </c>
      <c r="CR482" s="167">
        <v>0.0</v>
      </c>
      <c r="CS482" s="167">
        <v>1.0</v>
      </c>
      <c r="CT482" s="167"/>
      <c r="CU482" s="167"/>
      <c r="CV482" s="156">
        <v>6.0</v>
      </c>
      <c r="CW482" s="156">
        <v>0.0</v>
      </c>
      <c r="CX482" s="156">
        <v>0.0</v>
      </c>
      <c r="CY482" s="156">
        <v>0.0</v>
      </c>
      <c r="CZ482" s="156">
        <v>0.0</v>
      </c>
      <c r="DA482" s="156">
        <v>0.0</v>
      </c>
      <c r="DB482" s="395"/>
      <c r="DC482" s="395"/>
      <c r="DD482" s="395">
        <v>1.0</v>
      </c>
      <c r="DE482" s="395"/>
      <c r="DF482" s="395">
        <v>1.0</v>
      </c>
      <c r="DG482" s="395"/>
      <c r="DH482" s="395"/>
      <c r="DI482" s="395"/>
      <c r="DJ482" s="395"/>
      <c r="DK482" s="395"/>
      <c r="DL482" s="395"/>
      <c r="DM482" s="395"/>
      <c r="DN482" s="395"/>
      <c r="DO482" s="395"/>
      <c r="DP482" s="395"/>
      <c r="DQ482" s="395"/>
      <c r="DR482" s="395">
        <v>1.0</v>
      </c>
      <c r="DS482" s="395"/>
      <c r="DT482" s="395"/>
      <c r="DU482" s="395"/>
      <c r="DV482" s="395">
        <v>1.0</v>
      </c>
      <c r="DW482" s="395"/>
      <c r="DX482" s="395"/>
      <c r="DY482" s="395">
        <v>1.0</v>
      </c>
      <c r="DZ482" s="395"/>
      <c r="EA482" s="395">
        <v>1.0</v>
      </c>
      <c r="EB482" s="395"/>
      <c r="EC482" s="395"/>
      <c r="ED482" s="395"/>
      <c r="EE482" s="395"/>
      <c r="EF482" s="395"/>
      <c r="EG482" s="156">
        <v>2.0</v>
      </c>
      <c r="EH482" s="156">
        <v>0.0</v>
      </c>
      <c r="EI482" s="156">
        <v>0.0</v>
      </c>
      <c r="EJ482" s="156">
        <v>0.0</v>
      </c>
      <c r="EK482" s="156">
        <v>0.0</v>
      </c>
      <c r="EL482" s="156">
        <v>0.0</v>
      </c>
      <c r="EM482" s="395"/>
      <c r="EN482" s="395"/>
      <c r="EO482" s="395"/>
      <c r="EP482" s="395"/>
      <c r="EQ482" s="395"/>
      <c r="ER482" s="395"/>
      <c r="ES482" s="395"/>
      <c r="ET482" s="395"/>
      <c r="EU482" s="395">
        <v>1.0</v>
      </c>
      <c r="EV482" s="395">
        <v>0.0</v>
      </c>
      <c r="EW482" s="395">
        <v>1.0</v>
      </c>
      <c r="EX482" s="395"/>
      <c r="EY482" s="395"/>
      <c r="EZ482" s="395"/>
      <c r="FA482" s="395"/>
      <c r="FB482" s="395"/>
      <c r="FC482" s="395"/>
      <c r="FD482" s="395"/>
      <c r="FE482" s="395"/>
      <c r="FF482" s="395"/>
      <c r="FG482" s="395"/>
      <c r="FH482" s="395"/>
      <c r="FI482" s="395"/>
      <c r="FJ482" s="395"/>
      <c r="FK482" s="395"/>
      <c r="FL482" s="395"/>
      <c r="FM482" s="395"/>
      <c r="FN482" s="395"/>
      <c r="FO482" s="395"/>
      <c r="FP482" s="395"/>
      <c r="FQ482" s="156">
        <v>0.0</v>
      </c>
      <c r="FR482" s="156">
        <v>0.0</v>
      </c>
      <c r="FS482" s="156">
        <v>0.0</v>
      </c>
      <c r="FT482" s="156">
        <v>0.0</v>
      </c>
      <c r="FU482" s="156">
        <v>0.0</v>
      </c>
      <c r="FV482" s="156">
        <v>0.0</v>
      </c>
      <c r="FW482" s="157"/>
      <c r="FX482" s="157"/>
      <c r="FY482" s="157"/>
      <c r="FZ482" s="157"/>
      <c r="GA482" s="157"/>
      <c r="GB482" s="157"/>
      <c r="GC482" s="157"/>
      <c r="GD482" s="157"/>
      <c r="GE482" s="157"/>
      <c r="GF482" s="157"/>
      <c r="GG482" s="157"/>
      <c r="GH482" s="157"/>
      <c r="GI482" s="157"/>
      <c r="GJ482" s="157"/>
      <c r="GK482" s="157"/>
      <c r="GL482" s="157"/>
      <c r="GM482" s="157"/>
      <c r="GN482" s="157"/>
      <c r="GO482" s="157"/>
      <c r="GP482" s="158"/>
      <c r="GQ482" s="157"/>
      <c r="GR482" s="157"/>
      <c r="GS482" s="157"/>
      <c r="GT482" s="157"/>
      <c r="GU482" s="157"/>
      <c r="GV482" s="157"/>
      <c r="GW482" s="157"/>
      <c r="GX482" s="157"/>
      <c r="GY482" s="157"/>
      <c r="GZ482" s="157"/>
      <c r="HA482" s="157"/>
      <c r="HB482" s="155">
        <v>0.0</v>
      </c>
      <c r="HC482" s="155">
        <v>0.0</v>
      </c>
      <c r="HD482" s="155">
        <v>0.0</v>
      </c>
      <c r="HE482" s="155">
        <v>0.0</v>
      </c>
      <c r="HF482" s="155">
        <v>0.0</v>
      </c>
      <c r="HG482" s="155">
        <v>0.0</v>
      </c>
      <c r="IL482" s="159">
        <v>0.0</v>
      </c>
      <c r="IM482" s="156">
        <v>0.0</v>
      </c>
      <c r="IN482" s="156">
        <v>0.0</v>
      </c>
      <c r="IO482" s="156">
        <v>0.0</v>
      </c>
      <c r="IP482" s="156">
        <v>0.0</v>
      </c>
      <c r="IQ482" s="160">
        <v>0.0</v>
      </c>
      <c r="JH482" s="25"/>
      <c r="JW482" s="159">
        <v>0.0</v>
      </c>
      <c r="JX482" s="156">
        <v>0.0</v>
      </c>
      <c r="JY482" s="156">
        <v>0.0</v>
      </c>
      <c r="JZ482" s="156">
        <v>0.0</v>
      </c>
      <c r="KA482" s="156">
        <v>0.0</v>
      </c>
      <c r="KB482" s="160">
        <v>0.0</v>
      </c>
      <c r="LH482" s="159">
        <f t="shared" si="10"/>
        <v>0</v>
      </c>
      <c r="LI482" s="156">
        <f t="shared" si="11"/>
        <v>0</v>
      </c>
      <c r="LJ482" s="156">
        <f t="shared" si="12"/>
        <v>0</v>
      </c>
      <c r="LK482" s="156">
        <f t="shared" si="13"/>
        <v>0</v>
      </c>
      <c r="LL482" s="156">
        <f t="shared" si="14"/>
        <v>0</v>
      </c>
      <c r="LM482" s="160">
        <f t="shared" si="15"/>
        <v>0</v>
      </c>
      <c r="QX482" s="107">
        <v>46032.0</v>
      </c>
    </row>
    <row r="483">
      <c r="A483" s="12"/>
      <c r="B483" s="12"/>
      <c r="C483" s="12"/>
      <c r="D483" s="12"/>
      <c r="E483" s="12"/>
      <c r="F483" s="12"/>
      <c r="G483" s="12"/>
      <c r="H483" s="12"/>
      <c r="I483" s="143">
        <f t="shared" si="22"/>
        <v>-21</v>
      </c>
      <c r="J483" s="179">
        <v>46049.0</v>
      </c>
      <c r="K483" s="294" t="s">
        <v>61</v>
      </c>
      <c r="L483" s="532">
        <v>46174.0</v>
      </c>
      <c r="M483" s="533" t="s">
        <v>107</v>
      </c>
      <c r="N483" s="534">
        <v>357.0</v>
      </c>
      <c r="O483" s="534">
        <v>45.0</v>
      </c>
      <c r="P483" s="42"/>
      <c r="Q483" s="42"/>
      <c r="R483" s="42"/>
      <c r="S483" s="42"/>
      <c r="T483" s="42"/>
      <c r="U483" s="533" t="s">
        <v>3314</v>
      </c>
      <c r="V483" s="535" t="s">
        <v>1974</v>
      </c>
      <c r="W483" s="16" t="s">
        <v>24</v>
      </c>
      <c r="X483" s="181">
        <v>0.0</v>
      </c>
      <c r="Y483" s="166">
        <f t="shared" si="23"/>
        <v>21</v>
      </c>
      <c r="Z483" s="26">
        <f t="shared" si="7"/>
        <v>0</v>
      </c>
      <c r="AA483" s="26">
        <f t="shared" si="8"/>
        <v>0</v>
      </c>
      <c r="AB483" s="26">
        <f t="shared" si="9"/>
        <v>0</v>
      </c>
      <c r="AC483" s="155">
        <v>3.0</v>
      </c>
      <c r="AD483" s="155">
        <v>0.0</v>
      </c>
      <c r="AE483" s="155">
        <v>0.0</v>
      </c>
      <c r="AF483" s="155">
        <v>0.0</v>
      </c>
      <c r="AG483" s="155">
        <v>0.0</v>
      </c>
      <c r="AH483" s="155">
        <v>0.0</v>
      </c>
      <c r="BI483" s="167">
        <v>1.0</v>
      </c>
      <c r="BJ483" s="167">
        <v>0.0</v>
      </c>
      <c r="BK483" s="167">
        <v>1.0</v>
      </c>
      <c r="BL483" s="167">
        <v>0.0</v>
      </c>
      <c r="BM483" s="167">
        <v>1.0</v>
      </c>
      <c r="BN483" s="155">
        <v>6.0</v>
      </c>
      <c r="BO483" s="155">
        <v>0.0</v>
      </c>
      <c r="BP483" s="155">
        <v>0.0</v>
      </c>
      <c r="BQ483" s="155">
        <v>0.0</v>
      </c>
      <c r="BR483" s="155">
        <v>0.0</v>
      </c>
      <c r="BS483" s="155">
        <v>0.0</v>
      </c>
      <c r="BT483" s="167"/>
      <c r="BU483" s="167"/>
      <c r="BV483" s="167"/>
      <c r="BW483" s="167"/>
      <c r="BX483" s="167">
        <v>1.0</v>
      </c>
      <c r="BY483" s="167">
        <v>0.0</v>
      </c>
      <c r="BZ483" s="167">
        <v>1.0</v>
      </c>
      <c r="CA483" s="167"/>
      <c r="CB483" s="167"/>
      <c r="CC483" s="167"/>
      <c r="CD483" s="167"/>
      <c r="CE483" s="167">
        <v>1.0</v>
      </c>
      <c r="CF483" s="167">
        <v>0.0</v>
      </c>
      <c r="CG483" s="167">
        <v>1.0</v>
      </c>
      <c r="CH483" s="167"/>
      <c r="CI483" s="167"/>
      <c r="CJ483" s="167"/>
      <c r="CK483" s="167"/>
      <c r="CL483" s="167"/>
      <c r="CM483" s="167"/>
      <c r="CN483" s="167"/>
      <c r="CO483" s="167"/>
      <c r="CP483" s="167"/>
      <c r="CQ483" s="167">
        <v>1.0</v>
      </c>
      <c r="CR483" s="167">
        <v>0.0</v>
      </c>
      <c r="CS483" s="167">
        <v>1.0</v>
      </c>
      <c r="CT483" s="167"/>
      <c r="CU483" s="167"/>
      <c r="CV483" s="156">
        <v>8.0</v>
      </c>
      <c r="CW483" s="156">
        <v>0.0</v>
      </c>
      <c r="CX483" s="156">
        <v>0.0</v>
      </c>
      <c r="CY483" s="156">
        <v>0.0</v>
      </c>
      <c r="CZ483" s="156">
        <v>0.0</v>
      </c>
      <c r="DA483" s="156">
        <v>0.0</v>
      </c>
      <c r="DB483" s="395">
        <v>0.0</v>
      </c>
      <c r="DC483" s="395">
        <v>0.0</v>
      </c>
      <c r="DD483" s="395">
        <v>1.0</v>
      </c>
      <c r="DE483" s="395">
        <v>0.0</v>
      </c>
      <c r="DF483" s="395">
        <v>1.0</v>
      </c>
      <c r="DG483" s="395">
        <v>0.0</v>
      </c>
      <c r="DH483" s="395"/>
      <c r="DI483" s="395">
        <v>0.0</v>
      </c>
      <c r="DJ483" s="395">
        <v>0.0</v>
      </c>
      <c r="DK483" s="395">
        <v>1.0</v>
      </c>
      <c r="DL483" s="395">
        <v>0.0</v>
      </c>
      <c r="DM483" s="395">
        <v>1.0</v>
      </c>
      <c r="DN483" s="395"/>
      <c r="DO483" s="395"/>
      <c r="DP483" s="395"/>
      <c r="DQ483" s="395"/>
      <c r="DR483" s="395">
        <v>1.0</v>
      </c>
      <c r="DS483" s="395">
        <v>0.0</v>
      </c>
      <c r="DT483" s="395"/>
      <c r="DU483" s="395">
        <v>0.0</v>
      </c>
      <c r="DV483" s="395">
        <v>1.0</v>
      </c>
      <c r="DW483" s="395">
        <v>0.0</v>
      </c>
      <c r="DX483" s="395">
        <v>0.0</v>
      </c>
      <c r="DY483" s="395"/>
      <c r="DZ483" s="395">
        <v>0.0</v>
      </c>
      <c r="EA483" s="395">
        <v>1.0</v>
      </c>
      <c r="EB483" s="395"/>
      <c r="EC483" s="395"/>
      <c r="ED483" s="395"/>
      <c r="EE483" s="395"/>
      <c r="EF483" s="395">
        <v>1.0</v>
      </c>
      <c r="EG483" s="156">
        <v>4.0</v>
      </c>
      <c r="EH483" s="156">
        <v>0.0</v>
      </c>
      <c r="EI483" s="156">
        <v>0.0</v>
      </c>
      <c r="EJ483" s="156">
        <v>0.0</v>
      </c>
      <c r="EK483" s="156">
        <v>0.0</v>
      </c>
      <c r="EL483" s="156">
        <v>0.0</v>
      </c>
      <c r="EM483" s="395">
        <v>0.0</v>
      </c>
      <c r="EN483" s="395">
        <v>1.0</v>
      </c>
      <c r="EO483" s="395"/>
      <c r="EP483" s="395"/>
      <c r="EQ483" s="395"/>
      <c r="ER483" s="395"/>
      <c r="ES483" s="395"/>
      <c r="ET483" s="395"/>
      <c r="EU483" s="395"/>
      <c r="EV483" s="395"/>
      <c r="EW483" s="395"/>
      <c r="EX483" s="395"/>
      <c r="EY483" s="395"/>
      <c r="EZ483" s="395">
        <v>1.0</v>
      </c>
      <c r="FA483" s="395"/>
      <c r="FB483" s="395"/>
      <c r="FC483" s="395"/>
      <c r="FD483" s="395">
        <v>1.0</v>
      </c>
      <c r="FE483" s="395">
        <v>0.0</v>
      </c>
      <c r="FF483" s="395">
        <v>0.0</v>
      </c>
      <c r="FG483" s="395">
        <v>1.0</v>
      </c>
      <c r="FH483" s="395"/>
      <c r="FI483" s="395"/>
      <c r="FJ483" s="395"/>
      <c r="FK483" s="395"/>
      <c r="FL483" s="395"/>
      <c r="FM483" s="395"/>
      <c r="FN483" s="395"/>
      <c r="FO483" s="395"/>
      <c r="FP483" s="395"/>
      <c r="FQ483" s="156">
        <v>0.0</v>
      </c>
      <c r="FR483" s="156">
        <v>0.0</v>
      </c>
      <c r="FS483" s="156">
        <v>0.0</v>
      </c>
      <c r="FT483" s="156">
        <v>0.0</v>
      </c>
      <c r="FU483" s="156">
        <v>0.0</v>
      </c>
      <c r="FV483" s="156">
        <v>0.0</v>
      </c>
      <c r="FW483" s="172"/>
      <c r="FX483" s="172"/>
      <c r="FY483" s="172"/>
      <c r="FZ483" s="172"/>
      <c r="GA483" s="172"/>
      <c r="GB483" s="172"/>
      <c r="GC483" s="172"/>
      <c r="GD483" s="172"/>
      <c r="GE483" s="172"/>
      <c r="GF483" s="172"/>
      <c r="GG483" s="172"/>
      <c r="GH483" s="172"/>
      <c r="GI483" s="172"/>
      <c r="GJ483" s="172"/>
      <c r="GK483" s="172"/>
      <c r="GL483" s="172"/>
      <c r="GM483" s="172"/>
      <c r="GN483" s="172"/>
      <c r="GO483" s="172"/>
      <c r="GP483" s="170"/>
      <c r="GQ483" s="172"/>
      <c r="GR483" s="172"/>
      <c r="GS483" s="172"/>
      <c r="GT483" s="172"/>
      <c r="GU483" s="172"/>
      <c r="GV483" s="172"/>
      <c r="GW483" s="172"/>
      <c r="GX483" s="172"/>
      <c r="GY483" s="172"/>
      <c r="GZ483" s="172"/>
      <c r="HA483" s="172"/>
      <c r="HB483" s="155">
        <v>0.0</v>
      </c>
      <c r="HC483" s="155">
        <v>0.0</v>
      </c>
      <c r="HD483" s="155">
        <v>0.0</v>
      </c>
      <c r="HE483" s="155">
        <v>0.0</v>
      </c>
      <c r="HF483" s="155">
        <v>0.0</v>
      </c>
      <c r="HG483" s="155">
        <v>0.0</v>
      </c>
      <c r="HH483" s="172"/>
      <c r="HI483" s="172"/>
      <c r="HJ483" s="172"/>
      <c r="HK483" s="172"/>
      <c r="HL483" s="172"/>
      <c r="HM483" s="172"/>
      <c r="HN483" s="172"/>
      <c r="HO483" s="172"/>
      <c r="HP483" s="172"/>
      <c r="HQ483" s="172"/>
      <c r="HR483" s="172"/>
      <c r="HS483" s="172"/>
      <c r="HT483" s="172"/>
      <c r="HU483" s="172"/>
      <c r="HV483" s="172"/>
      <c r="HW483" s="172"/>
      <c r="HX483" s="172"/>
      <c r="HY483" s="172"/>
      <c r="HZ483" s="172"/>
      <c r="IA483" s="172"/>
      <c r="IB483" s="172"/>
      <c r="IC483" s="172"/>
      <c r="ID483" s="172"/>
      <c r="IE483" s="172"/>
      <c r="IF483" s="172"/>
      <c r="IG483" s="172"/>
      <c r="IH483" s="172"/>
      <c r="II483" s="172"/>
      <c r="IJ483" s="172"/>
      <c r="IK483" s="172"/>
      <c r="IL483" s="159">
        <v>0.0</v>
      </c>
      <c r="IM483" s="156">
        <v>0.0</v>
      </c>
      <c r="IN483" s="156">
        <v>0.0</v>
      </c>
      <c r="IO483" s="156">
        <v>0.0</v>
      </c>
      <c r="IP483" s="156">
        <v>0.0</v>
      </c>
      <c r="IQ483" s="160">
        <v>0.0</v>
      </c>
      <c r="JH483" s="25"/>
      <c r="JW483" s="159">
        <v>0.0</v>
      </c>
      <c r="JX483" s="156">
        <v>0.0</v>
      </c>
      <c r="JY483" s="156">
        <v>0.0</v>
      </c>
      <c r="JZ483" s="156">
        <v>0.0</v>
      </c>
      <c r="KA483" s="156">
        <v>0.0</v>
      </c>
      <c r="KB483" s="160">
        <v>0.0</v>
      </c>
      <c r="LH483" s="159">
        <f t="shared" si="10"/>
        <v>0</v>
      </c>
      <c r="LI483" s="156">
        <f t="shared" si="11"/>
        <v>0</v>
      </c>
      <c r="LJ483" s="156">
        <f t="shared" si="12"/>
        <v>0</v>
      </c>
      <c r="LK483" s="156">
        <f t="shared" si="13"/>
        <v>0</v>
      </c>
      <c r="LL483" s="156">
        <f t="shared" si="14"/>
        <v>0</v>
      </c>
      <c r="LM483" s="160">
        <f t="shared" si="15"/>
        <v>0</v>
      </c>
      <c r="QX483" s="107">
        <v>46034.0</v>
      </c>
    </row>
    <row r="484">
      <c r="A484" s="12"/>
      <c r="B484" s="12"/>
      <c r="C484" s="12"/>
      <c r="D484" s="12"/>
      <c r="E484" s="12"/>
      <c r="F484" s="12"/>
      <c r="G484" s="12"/>
      <c r="H484" s="12"/>
      <c r="I484" s="143">
        <f t="shared" si="22"/>
        <v>-58</v>
      </c>
      <c r="J484" s="144">
        <v>46031.0</v>
      </c>
      <c r="K484" s="173" t="s">
        <v>48</v>
      </c>
      <c r="L484" s="146"/>
      <c r="M484" s="147" t="s">
        <v>107</v>
      </c>
      <c r="N484" s="148">
        <v>246.0</v>
      </c>
      <c r="O484" s="148">
        <v>30.0</v>
      </c>
      <c r="P484" s="26"/>
      <c r="Q484" s="26"/>
      <c r="R484" s="26"/>
      <c r="S484" s="26"/>
      <c r="T484" s="26"/>
      <c r="U484" s="147" t="s">
        <v>3315</v>
      </c>
      <c r="V484" s="149" t="s">
        <v>3273</v>
      </c>
      <c r="W484" s="248" t="s">
        <v>3316</v>
      </c>
      <c r="X484" s="181">
        <v>0.0</v>
      </c>
      <c r="Y484" s="166">
        <f t="shared" si="23"/>
        <v>58</v>
      </c>
      <c r="Z484" s="26">
        <f t="shared" si="7"/>
        <v>0</v>
      </c>
      <c r="AA484" s="26">
        <f t="shared" si="8"/>
        <v>0</v>
      </c>
      <c r="AB484" s="26">
        <f t="shared" si="9"/>
        <v>0</v>
      </c>
      <c r="AC484" s="155">
        <v>9.0</v>
      </c>
      <c r="AD484" s="155">
        <v>0.0</v>
      </c>
      <c r="AE484" s="155">
        <v>0.0</v>
      </c>
      <c r="AF484" s="155">
        <v>0.0</v>
      </c>
      <c r="AG484" s="155">
        <v>0.0</v>
      </c>
      <c r="AH484" s="155">
        <v>0.0</v>
      </c>
      <c r="AI484" s="167"/>
      <c r="AJ484" s="167"/>
      <c r="AK484" s="167"/>
      <c r="AL484" s="167"/>
      <c r="AM484" s="167"/>
      <c r="AN484" s="167"/>
      <c r="AO484" s="167"/>
      <c r="AP484" s="167"/>
      <c r="AQ484" s="167">
        <v>1.0</v>
      </c>
      <c r="AR484" s="167">
        <v>0.0</v>
      </c>
      <c r="AS484" s="167">
        <v>0.0</v>
      </c>
      <c r="AT484" s="167">
        <v>1.0</v>
      </c>
      <c r="AU484" s="167">
        <v>0.0</v>
      </c>
      <c r="AV484" s="167"/>
      <c r="AW484" s="167">
        <v>0.0</v>
      </c>
      <c r="AX484" s="167"/>
      <c r="AY484" s="168">
        <v>1.0</v>
      </c>
      <c r="AZ484" s="167">
        <v>0.0</v>
      </c>
      <c r="BA484" s="167">
        <v>1.0</v>
      </c>
      <c r="BB484" s="167">
        <v>0.0</v>
      </c>
      <c r="BC484" s="167">
        <v>1.0</v>
      </c>
      <c r="BD484" s="167">
        <v>0.0</v>
      </c>
      <c r="BE484" s="167"/>
      <c r="BF484" s="168">
        <v>1.0</v>
      </c>
      <c r="BG484" s="167">
        <v>0.0</v>
      </c>
      <c r="BH484" s="167">
        <v>1.0</v>
      </c>
      <c r="BI484" s="167">
        <v>0.0</v>
      </c>
      <c r="BJ484" s="167">
        <v>1.0</v>
      </c>
      <c r="BK484" s="167">
        <v>0.0</v>
      </c>
      <c r="BL484" s="167">
        <v>1.0</v>
      </c>
      <c r="BM484" s="167">
        <v>0.0</v>
      </c>
      <c r="BN484" s="155">
        <v>5.0</v>
      </c>
      <c r="BO484" s="155">
        <v>0.0</v>
      </c>
      <c r="BP484" s="155">
        <v>0.0</v>
      </c>
      <c r="BQ484" s="155">
        <v>0.0</v>
      </c>
      <c r="BR484" s="155">
        <v>0.0</v>
      </c>
      <c r="BS484" s="155">
        <v>0.0</v>
      </c>
      <c r="BT484" s="167"/>
      <c r="BU484" s="167"/>
      <c r="BV484" s="167"/>
      <c r="BW484" s="167">
        <v>1.0</v>
      </c>
      <c r="BX484" s="167">
        <v>0.0</v>
      </c>
      <c r="BY484" s="167">
        <v>1.0</v>
      </c>
      <c r="BZ484" s="167">
        <v>0.0</v>
      </c>
      <c r="CA484" s="167">
        <v>0.0</v>
      </c>
      <c r="CB484" s="167">
        <v>1.0</v>
      </c>
      <c r="CC484" s="167"/>
      <c r="CD484" s="167"/>
      <c r="CE484" s="167"/>
      <c r="CF484" s="167"/>
      <c r="CG484" s="167"/>
      <c r="CH484" s="167"/>
      <c r="CI484" s="167"/>
      <c r="CJ484" s="167"/>
      <c r="CK484" s="167"/>
      <c r="CL484" s="167"/>
      <c r="CM484" s="167"/>
      <c r="CN484" s="167"/>
      <c r="CO484" s="167"/>
      <c r="CP484" s="167">
        <v>1.0</v>
      </c>
      <c r="CQ484" s="167"/>
      <c r="CR484" s="167"/>
      <c r="CS484" s="167"/>
      <c r="CT484" s="167">
        <v>1.0</v>
      </c>
      <c r="CU484" s="167">
        <v>0.0</v>
      </c>
      <c r="CV484" s="156">
        <v>7.0</v>
      </c>
      <c r="CW484" s="156">
        <v>0.0</v>
      </c>
      <c r="CX484" s="156">
        <v>0.0</v>
      </c>
      <c r="CY484" s="156">
        <v>0.0</v>
      </c>
      <c r="CZ484" s="156">
        <v>0.0</v>
      </c>
      <c r="DA484" s="156">
        <v>0.0</v>
      </c>
      <c r="DB484" s="174">
        <v>0.0</v>
      </c>
      <c r="DC484" s="174">
        <v>1.0</v>
      </c>
      <c r="DD484" s="174"/>
      <c r="DE484" s="174"/>
      <c r="DF484" s="174"/>
      <c r="DG484" s="174">
        <v>1.0</v>
      </c>
      <c r="DH484" s="174">
        <v>0.0</v>
      </c>
      <c r="DI484" s="174">
        <v>0.0</v>
      </c>
      <c r="DJ484" s="174">
        <v>1.0</v>
      </c>
      <c r="DK484" s="174">
        <v>0.0</v>
      </c>
      <c r="DL484" s="174"/>
      <c r="DM484" s="174">
        <v>0.0</v>
      </c>
      <c r="DN484" s="174">
        <v>1.0</v>
      </c>
      <c r="DO484" s="174"/>
      <c r="DP484" s="174"/>
      <c r="DQ484" s="174"/>
      <c r="DR484" s="174"/>
      <c r="DS484" s="174">
        <v>1.0</v>
      </c>
      <c r="DT484" s="174"/>
      <c r="DU484" s="174"/>
      <c r="DV484" s="174"/>
      <c r="DW484" s="174"/>
      <c r="DX484" s="174">
        <v>1.0</v>
      </c>
      <c r="DY484" s="174">
        <v>0.0</v>
      </c>
      <c r="DZ484" s="174"/>
      <c r="EA484" s="175">
        <v>1.0</v>
      </c>
      <c r="EB484" s="174"/>
      <c r="EC484" s="174"/>
      <c r="ED484" s="174"/>
      <c r="EE484" s="174"/>
      <c r="EF484" s="174"/>
      <c r="EG484" s="156">
        <f>Sum(EM484:FP484)+EJ484</f>
        <v>7</v>
      </c>
      <c r="EH484" s="156">
        <f>countif(EM484:FQ484,"A")</f>
        <v>0</v>
      </c>
      <c r="EI484" s="156">
        <f>countif(EM484:FQ484,"B")</f>
        <v>0</v>
      </c>
      <c r="EJ484" s="156">
        <f>countif(EM484:FQ484,"C")</f>
        <v>0</v>
      </c>
      <c r="EK484" s="156">
        <f>countif(EM484:FQ484,"D")</f>
        <v>0</v>
      </c>
      <c r="EL484" s="156">
        <f>countif(EM484:FQ484,"E")</f>
        <v>0</v>
      </c>
      <c r="EM484" s="174">
        <v>1.0</v>
      </c>
      <c r="EN484" s="174">
        <v>0.0</v>
      </c>
      <c r="EO484" s="174">
        <v>1.0</v>
      </c>
      <c r="EP484" s="174"/>
      <c r="EQ484" s="174"/>
      <c r="ER484" s="175">
        <v>1.0</v>
      </c>
      <c r="ES484" s="174"/>
      <c r="ET484" s="174"/>
      <c r="EU484" s="175">
        <v>1.0</v>
      </c>
      <c r="EV484" s="174"/>
      <c r="EW484" s="174"/>
      <c r="EX484" s="174"/>
      <c r="EY484" s="174"/>
      <c r="EZ484" s="174"/>
      <c r="FA484" s="174">
        <v>1.0</v>
      </c>
      <c r="FB484" s="174"/>
      <c r="FC484" s="174"/>
      <c r="FD484" s="174"/>
      <c r="FE484" s="174"/>
      <c r="FF484" s="174">
        <v>1.0</v>
      </c>
      <c r="FG484" s="174"/>
      <c r="FH484" s="174"/>
      <c r="FI484" s="174"/>
      <c r="FJ484" s="174">
        <v>1.0</v>
      </c>
      <c r="FK484" s="174"/>
      <c r="FL484" s="174"/>
      <c r="FM484" s="174"/>
      <c r="FN484" s="174"/>
      <c r="FO484" s="174"/>
      <c r="FP484" s="174"/>
      <c r="FQ484" s="156">
        <v>7.0</v>
      </c>
      <c r="FR484" s="156">
        <v>0.0</v>
      </c>
      <c r="FS484" s="156">
        <v>0.0</v>
      </c>
      <c r="FT484" s="156">
        <v>0.0</v>
      </c>
      <c r="FU484" s="156">
        <v>0.0</v>
      </c>
      <c r="FV484" s="156">
        <v>0.0</v>
      </c>
      <c r="FW484" s="174"/>
      <c r="FX484" s="174"/>
      <c r="FY484" s="174"/>
      <c r="FZ484" s="174"/>
      <c r="GA484" s="174"/>
      <c r="GB484" s="174"/>
      <c r="GC484" s="174"/>
      <c r="GD484" s="174"/>
      <c r="GE484" s="174"/>
      <c r="GF484" s="174"/>
      <c r="GG484" s="174">
        <v>1.0</v>
      </c>
      <c r="GH484" s="174">
        <v>0.0</v>
      </c>
      <c r="GI484" s="174">
        <v>1.0</v>
      </c>
      <c r="GJ484" s="174"/>
      <c r="GK484" s="174"/>
      <c r="GL484" s="174"/>
      <c r="GM484" s="174"/>
      <c r="GN484" s="174">
        <v>1.0</v>
      </c>
      <c r="GO484" s="174">
        <v>0.0</v>
      </c>
      <c r="GP484" s="176">
        <v>1.0</v>
      </c>
      <c r="GQ484" s="174">
        <v>0.0</v>
      </c>
      <c r="GR484" s="174">
        <v>1.0</v>
      </c>
      <c r="GS484" s="174">
        <v>0.0</v>
      </c>
      <c r="GT484" s="174">
        <v>0.0</v>
      </c>
      <c r="GU484" s="174">
        <v>1.0</v>
      </c>
      <c r="GV484" s="174">
        <v>0.0</v>
      </c>
      <c r="GW484" s="174">
        <v>1.0</v>
      </c>
      <c r="GX484" s="174"/>
      <c r="GY484" s="174"/>
      <c r="GZ484" s="174"/>
      <c r="HA484" s="174"/>
      <c r="HB484" s="155">
        <v>9.0</v>
      </c>
      <c r="HC484" s="155">
        <v>0.0</v>
      </c>
      <c r="HD484" s="155">
        <v>0.0</v>
      </c>
      <c r="HE484" s="155">
        <v>0.0</v>
      </c>
      <c r="HF484" s="155">
        <v>0.0</v>
      </c>
      <c r="HG484" s="155">
        <v>0.0</v>
      </c>
      <c r="HH484" s="174">
        <v>1.0</v>
      </c>
      <c r="HI484" s="174">
        <v>0.0</v>
      </c>
      <c r="HJ484" s="174">
        <v>1.0</v>
      </c>
      <c r="HK484" s="174">
        <v>0.0</v>
      </c>
      <c r="HL484" s="174">
        <v>1.0</v>
      </c>
      <c r="HM484" s="174">
        <v>0.0</v>
      </c>
      <c r="HN484" s="174">
        <v>0.0</v>
      </c>
      <c r="HO484" s="174">
        <v>1.0</v>
      </c>
      <c r="HP484" s="174">
        <v>0.0</v>
      </c>
      <c r="HQ484" s="174">
        <v>1.0</v>
      </c>
      <c r="HR484" s="174">
        <v>0.0</v>
      </c>
      <c r="HS484" s="174"/>
      <c r="HT484" s="174">
        <v>0.0</v>
      </c>
      <c r="HU484" s="174">
        <v>0.0</v>
      </c>
      <c r="HV484" s="174">
        <v>1.0</v>
      </c>
      <c r="HW484" s="174">
        <v>0.0</v>
      </c>
      <c r="HX484" s="174">
        <v>1.0</v>
      </c>
      <c r="HY484" s="174">
        <v>0.0</v>
      </c>
      <c r="HZ484" s="174"/>
      <c r="IA484" s="174">
        <v>0.0</v>
      </c>
      <c r="IB484" s="174">
        <v>0.0</v>
      </c>
      <c r="IC484" s="175">
        <v>1.0</v>
      </c>
      <c r="ID484" s="174">
        <v>0.0</v>
      </c>
      <c r="IE484" s="174">
        <v>1.0</v>
      </c>
      <c r="IF484" s="174"/>
      <c r="IG484" s="174"/>
      <c r="IH484" s="174"/>
      <c r="II484" s="174"/>
      <c r="IJ484" s="174"/>
      <c r="IK484" s="174"/>
      <c r="IL484" s="159">
        <v>6.0</v>
      </c>
      <c r="IM484" s="156">
        <v>0.0</v>
      </c>
      <c r="IN484" s="156">
        <v>0.0</v>
      </c>
      <c r="IO484" s="156">
        <v>0.0</v>
      </c>
      <c r="IP484" s="156">
        <v>0.0</v>
      </c>
      <c r="IQ484" s="160">
        <v>0.0</v>
      </c>
      <c r="IR484" s="175">
        <v>1.0</v>
      </c>
      <c r="IS484" s="174">
        <v>0.0</v>
      </c>
      <c r="IT484" s="175">
        <v>1.0</v>
      </c>
      <c r="IU484" s="174">
        <v>0.0</v>
      </c>
      <c r="IV484" s="174">
        <v>0.0</v>
      </c>
      <c r="IW484" s="174"/>
      <c r="IX484" s="174">
        <v>0.0</v>
      </c>
      <c r="IY484" s="174"/>
      <c r="IZ484" s="174">
        <v>0.0</v>
      </c>
      <c r="JA484" s="175">
        <v>1.0</v>
      </c>
      <c r="JB484" s="174">
        <v>0.0</v>
      </c>
      <c r="JC484" s="174">
        <v>0.0</v>
      </c>
      <c r="JD484" s="174"/>
      <c r="JE484" s="174">
        <v>0.0</v>
      </c>
      <c r="JF484" s="175">
        <v>1.0</v>
      </c>
      <c r="JG484" s="174">
        <v>0.0</v>
      </c>
      <c r="JH484" s="177"/>
      <c r="JI484" s="174"/>
      <c r="JJ484" s="174"/>
      <c r="JK484" s="175">
        <v>1.0</v>
      </c>
      <c r="JL484" s="174"/>
      <c r="JM484" s="175">
        <v>1.0</v>
      </c>
      <c r="JN484" s="174"/>
      <c r="JO484" s="175"/>
      <c r="JP484" s="174"/>
      <c r="JQ484" s="174"/>
      <c r="JR484" s="174"/>
      <c r="JS484" s="174"/>
      <c r="JT484" s="174"/>
      <c r="JU484" s="174"/>
      <c r="JV484" s="174"/>
      <c r="JW484" s="159">
        <v>5.0</v>
      </c>
      <c r="JX484" s="156">
        <v>0.0</v>
      </c>
      <c r="JY484" s="156">
        <v>0.0</v>
      </c>
      <c r="JZ484" s="156">
        <v>0.0</v>
      </c>
      <c r="KA484" s="156">
        <v>0.0</v>
      </c>
      <c r="KB484" s="160">
        <v>0.0</v>
      </c>
      <c r="KC484" s="174"/>
      <c r="KD484" s="174"/>
      <c r="KE484" s="175">
        <v>1.0</v>
      </c>
      <c r="KF484" s="174"/>
      <c r="KG484" s="174"/>
      <c r="KH484" s="174"/>
      <c r="KI484" s="175">
        <v>1.0</v>
      </c>
      <c r="KJ484" s="174"/>
      <c r="KK484" s="174"/>
      <c r="KL484" s="174"/>
      <c r="KM484" s="174"/>
      <c r="KN484" s="174"/>
      <c r="KO484" s="174"/>
      <c r="KP484" s="175">
        <v>1.0</v>
      </c>
      <c r="KQ484" s="174"/>
      <c r="KR484" s="174"/>
      <c r="KS484" s="186">
        <v>1.0</v>
      </c>
      <c r="KT484" s="174"/>
      <c r="KU484" s="174"/>
      <c r="KV484" s="174"/>
      <c r="KW484" s="175">
        <v>1.0</v>
      </c>
      <c r="KX484" s="174"/>
      <c r="KY484" s="174"/>
      <c r="KZ484" s="174"/>
      <c r="LA484" s="174"/>
      <c r="LB484" s="174"/>
      <c r="LC484" s="174"/>
      <c r="LD484" s="174"/>
      <c r="LE484" s="174"/>
      <c r="LF484" s="174"/>
      <c r="LG484" s="174"/>
      <c r="LH484" s="159">
        <f t="shared" si="10"/>
        <v>3</v>
      </c>
      <c r="LI484" s="156">
        <f t="shared" si="11"/>
        <v>0</v>
      </c>
      <c r="LJ484" s="156">
        <f t="shared" si="12"/>
        <v>0</v>
      </c>
      <c r="LK484" s="156">
        <f t="shared" si="13"/>
        <v>0</v>
      </c>
      <c r="LL484" s="156">
        <f t="shared" si="14"/>
        <v>0</v>
      </c>
      <c r="LM484" s="160">
        <f t="shared" si="15"/>
        <v>0</v>
      </c>
      <c r="LN484" s="174"/>
      <c r="LO484" s="174"/>
      <c r="LP484" s="174"/>
      <c r="LQ484" s="174"/>
      <c r="LR484" s="174"/>
      <c r="LS484" s="174"/>
      <c r="LT484" s="174"/>
      <c r="LU484" s="174"/>
      <c r="LV484" s="174"/>
      <c r="LW484" s="174">
        <f t="shared" ref="LW484:MQ484" si="25">IFS(TODAY()&lt;=LW$2,0,WEEKDAY(LW$2)=2,1,WEEKDAY(LW$2)=3,0,WEEKDAY(LW$2)=4,1,WEEKDAY(LW$2)=5,0,WEEKDAY(LW$2)=6,1,WEEKDAY(LW$2)=7,0,WEEKDAY(LW$2)=1,0)</f>
        <v>0</v>
      </c>
      <c r="LX484" s="174">
        <f t="shared" si="25"/>
        <v>1</v>
      </c>
      <c r="LY484" s="174">
        <f t="shared" si="25"/>
        <v>0</v>
      </c>
      <c r="LZ484" s="174">
        <f t="shared" si="25"/>
        <v>0</v>
      </c>
      <c r="MA484" s="174">
        <f t="shared" si="25"/>
        <v>1</v>
      </c>
      <c r="MB484" s="174">
        <f t="shared" si="25"/>
        <v>0</v>
      </c>
      <c r="MC484" s="174">
        <f t="shared" si="25"/>
        <v>1</v>
      </c>
      <c r="MD484" s="174">
        <f t="shared" si="25"/>
        <v>0</v>
      </c>
      <c r="ME484" s="174">
        <f t="shared" si="25"/>
        <v>0</v>
      </c>
      <c r="MF484" s="174">
        <f t="shared" si="25"/>
        <v>0</v>
      </c>
      <c r="MG484" s="174">
        <f t="shared" si="25"/>
        <v>0</v>
      </c>
      <c r="MH484" s="174">
        <f t="shared" si="25"/>
        <v>0</v>
      </c>
      <c r="MI484" s="174">
        <f t="shared" si="25"/>
        <v>0</v>
      </c>
      <c r="MJ484" s="174">
        <f t="shared" si="25"/>
        <v>0</v>
      </c>
      <c r="MK484" s="174">
        <f t="shared" si="25"/>
        <v>0</v>
      </c>
      <c r="ML484" s="174">
        <f t="shared" si="25"/>
        <v>0</v>
      </c>
      <c r="MM484" s="174">
        <f t="shared" si="25"/>
        <v>0</v>
      </c>
      <c r="MN484" s="174">
        <f t="shared" si="25"/>
        <v>0</v>
      </c>
      <c r="MO484" s="174">
        <f t="shared" si="25"/>
        <v>0</v>
      </c>
      <c r="MP484" s="174">
        <f t="shared" si="25"/>
        <v>0</v>
      </c>
      <c r="MQ484" s="174">
        <f t="shared" si="25"/>
        <v>0</v>
      </c>
      <c r="QX484" s="107">
        <v>46034.0</v>
      </c>
    </row>
    <row r="485">
      <c r="A485" s="25"/>
      <c r="B485" s="25"/>
      <c r="C485" s="12"/>
      <c r="D485" s="12"/>
      <c r="E485" s="12"/>
      <c r="F485" s="12"/>
      <c r="G485" s="12"/>
      <c r="H485" s="12"/>
      <c r="I485" s="143">
        <f t="shared" si="22"/>
        <v>-5</v>
      </c>
      <c r="J485" s="144">
        <v>46032.0</v>
      </c>
      <c r="K485" s="145" t="s">
        <v>61</v>
      </c>
      <c r="L485" s="171">
        <v>46043.0</v>
      </c>
      <c r="M485" s="147" t="s">
        <v>107</v>
      </c>
      <c r="N485" s="148">
        <v>357.0</v>
      </c>
      <c r="O485" s="148">
        <v>30.0</v>
      </c>
      <c r="P485" s="26"/>
      <c r="Q485" s="26"/>
      <c r="R485" s="26"/>
      <c r="S485" s="26"/>
      <c r="T485" s="26"/>
      <c r="U485" s="147" t="s">
        <v>3317</v>
      </c>
      <c r="V485" s="149" t="s">
        <v>3161</v>
      </c>
      <c r="W485" s="198" t="s">
        <v>3318</v>
      </c>
      <c r="X485" s="181">
        <v>0.0</v>
      </c>
      <c r="Y485" s="166">
        <f t="shared" si="23"/>
        <v>5</v>
      </c>
      <c r="Z485" s="26">
        <f t="shared" si="7"/>
        <v>0</v>
      </c>
      <c r="AA485" s="26">
        <f t="shared" si="8"/>
        <v>1</v>
      </c>
      <c r="AB485" s="26">
        <f t="shared" si="9"/>
        <v>0</v>
      </c>
      <c r="AC485" s="155">
        <v>5.0</v>
      </c>
      <c r="AD485" s="155">
        <v>0.0</v>
      </c>
      <c r="AE485" s="155">
        <v>0.0</v>
      </c>
      <c r="AF485" s="155">
        <v>1.0</v>
      </c>
      <c r="AG485" s="155">
        <v>0.0</v>
      </c>
      <c r="AH485" s="155">
        <v>0.0</v>
      </c>
      <c r="AI485" s="167"/>
      <c r="AJ485" s="167"/>
      <c r="AK485" s="167"/>
      <c r="AL485" s="167"/>
      <c r="AM485" s="167"/>
      <c r="AN485" s="167"/>
      <c r="AO485" s="167"/>
      <c r="AP485" s="167"/>
      <c r="AQ485" s="167"/>
      <c r="AR485" s="167">
        <v>1.0</v>
      </c>
      <c r="AS485" s="167">
        <v>0.0</v>
      </c>
      <c r="AT485" s="167">
        <v>0.0</v>
      </c>
      <c r="AU485" s="167">
        <v>1.0</v>
      </c>
      <c r="AV485" s="167">
        <v>0.0</v>
      </c>
      <c r="AW485" s="167">
        <v>1.0</v>
      </c>
      <c r="AX485" s="167">
        <v>0.0</v>
      </c>
      <c r="AY485" s="167"/>
      <c r="AZ485" s="167">
        <v>0.0</v>
      </c>
      <c r="BA485" s="167">
        <v>0.0</v>
      </c>
      <c r="BB485" s="167">
        <v>1.0</v>
      </c>
      <c r="BC485" s="167">
        <v>0.0</v>
      </c>
      <c r="BD485" s="167"/>
      <c r="BE485" s="167">
        <v>0.0</v>
      </c>
      <c r="BF485" s="168" t="s">
        <v>947</v>
      </c>
      <c r="BG485" s="167"/>
      <c r="BH485" s="167"/>
      <c r="BI485" s="167"/>
      <c r="BJ485" s="167"/>
      <c r="BK485" s="167"/>
      <c r="BL485" s="167"/>
      <c r="BM485" s="167"/>
      <c r="BN485" s="155">
        <v>0.0</v>
      </c>
      <c r="BO485" s="155">
        <v>0.0</v>
      </c>
      <c r="BP485" s="155">
        <v>0.0</v>
      </c>
      <c r="BQ485" s="155">
        <v>0.0</v>
      </c>
      <c r="BR485" s="155">
        <v>0.0</v>
      </c>
      <c r="BS485" s="155">
        <v>0.0</v>
      </c>
      <c r="CV485" s="156">
        <v>0.0</v>
      </c>
      <c r="CW485" s="156">
        <v>0.0</v>
      </c>
      <c r="CX485" s="156">
        <v>0.0</v>
      </c>
      <c r="CY485" s="156">
        <v>0.0</v>
      </c>
      <c r="CZ485" s="156">
        <v>0.0</v>
      </c>
      <c r="DA485" s="156">
        <v>0.0</v>
      </c>
      <c r="EG485" s="156">
        <v>0.0</v>
      </c>
      <c r="EH485" s="156">
        <v>0.0</v>
      </c>
      <c r="EI485" s="156">
        <v>0.0</v>
      </c>
      <c r="EJ485" s="156">
        <v>0.0</v>
      </c>
      <c r="EK485" s="156">
        <v>0.0</v>
      </c>
      <c r="EL485" s="156">
        <v>0.0</v>
      </c>
      <c r="FQ485" s="156">
        <v>0.0</v>
      </c>
      <c r="FR485" s="156">
        <v>0.0</v>
      </c>
      <c r="FS485" s="156">
        <v>0.0</v>
      </c>
      <c r="FT485" s="156">
        <v>0.0</v>
      </c>
      <c r="FU485" s="156">
        <v>0.0</v>
      </c>
      <c r="FV485" s="156">
        <v>0.0</v>
      </c>
      <c r="FW485" s="157"/>
      <c r="FX485" s="157"/>
      <c r="FY485" s="157"/>
      <c r="FZ485" s="157"/>
      <c r="GA485" s="157"/>
      <c r="GB485" s="157"/>
      <c r="GC485" s="157"/>
      <c r="GD485" s="157"/>
      <c r="GE485" s="157"/>
      <c r="GF485" s="157"/>
      <c r="GG485" s="157"/>
      <c r="GH485" s="157"/>
      <c r="GI485" s="157"/>
      <c r="GJ485" s="157"/>
      <c r="GK485" s="157"/>
      <c r="GL485" s="157"/>
      <c r="GM485" s="157"/>
      <c r="GN485" s="157"/>
      <c r="GO485" s="157"/>
      <c r="GP485" s="158"/>
      <c r="GQ485" s="157"/>
      <c r="GR485" s="157"/>
      <c r="GS485" s="157"/>
      <c r="GT485" s="157"/>
      <c r="GU485" s="157"/>
      <c r="GV485" s="157"/>
      <c r="GW485" s="157"/>
      <c r="GX485" s="157"/>
      <c r="GY485" s="157"/>
      <c r="GZ485" s="157"/>
      <c r="HA485" s="157"/>
      <c r="HB485" s="155">
        <v>0.0</v>
      </c>
      <c r="HC485" s="155">
        <v>0.0</v>
      </c>
      <c r="HD485" s="155">
        <v>0.0</v>
      </c>
      <c r="HE485" s="155">
        <v>0.0</v>
      </c>
      <c r="HF485" s="155">
        <v>0.0</v>
      </c>
      <c r="HG485" s="155">
        <v>0.0</v>
      </c>
      <c r="IL485" s="159">
        <v>0.0</v>
      </c>
      <c r="IM485" s="156">
        <v>0.0</v>
      </c>
      <c r="IN485" s="156">
        <v>0.0</v>
      </c>
      <c r="IO485" s="156">
        <v>0.0</v>
      </c>
      <c r="IP485" s="156">
        <v>0.0</v>
      </c>
      <c r="IQ485" s="160">
        <v>0.0</v>
      </c>
      <c r="JH485" s="25"/>
      <c r="JW485" s="159">
        <v>0.0</v>
      </c>
      <c r="JX485" s="156">
        <v>0.0</v>
      </c>
      <c r="JY485" s="156">
        <v>0.0</v>
      </c>
      <c r="JZ485" s="156">
        <v>0.0</v>
      </c>
      <c r="KA485" s="156">
        <v>0.0</v>
      </c>
      <c r="KB485" s="160">
        <v>0.0</v>
      </c>
      <c r="LH485" s="159">
        <f t="shared" si="10"/>
        <v>0</v>
      </c>
      <c r="LI485" s="156">
        <f t="shared" si="11"/>
        <v>0</v>
      </c>
      <c r="LJ485" s="156">
        <f t="shared" si="12"/>
        <v>0</v>
      </c>
      <c r="LK485" s="156">
        <f t="shared" si="13"/>
        <v>0</v>
      </c>
      <c r="LL485" s="156">
        <f t="shared" si="14"/>
        <v>0</v>
      </c>
      <c r="LM485" s="160">
        <f t="shared" si="15"/>
        <v>0</v>
      </c>
      <c r="QX485" s="107">
        <v>46034.0</v>
      </c>
    </row>
    <row r="486">
      <c r="A486" s="12"/>
      <c r="B486" s="12"/>
      <c r="C486" s="12"/>
      <c r="D486" s="12"/>
      <c r="E486" s="12"/>
      <c r="F486" s="12"/>
      <c r="G486" s="12"/>
      <c r="H486" s="12"/>
      <c r="I486" s="143">
        <f t="shared" si="22"/>
        <v>-30</v>
      </c>
      <c r="J486" s="144">
        <v>46035.0</v>
      </c>
      <c r="K486" s="195" t="s">
        <v>61</v>
      </c>
      <c r="L486" s="171">
        <v>46128.0</v>
      </c>
      <c r="M486" s="147" t="s">
        <v>400</v>
      </c>
      <c r="N486" s="148">
        <v>357.0</v>
      </c>
      <c r="O486" s="148">
        <v>30.0</v>
      </c>
      <c r="P486" s="26"/>
      <c r="Q486" s="26"/>
      <c r="R486" s="26"/>
      <c r="S486" s="26"/>
      <c r="T486" s="26"/>
      <c r="U486" s="147" t="s">
        <v>3319</v>
      </c>
      <c r="V486" s="149" t="s">
        <v>3098</v>
      </c>
      <c r="W486" s="198" t="s">
        <v>3320</v>
      </c>
      <c r="X486" s="181">
        <v>0.0</v>
      </c>
      <c r="Y486" s="166">
        <f t="shared" si="23"/>
        <v>30</v>
      </c>
      <c r="Z486" s="26">
        <f t="shared" si="7"/>
        <v>0</v>
      </c>
      <c r="AA486" s="26">
        <f t="shared" si="8"/>
        <v>0</v>
      </c>
      <c r="AB486" s="26">
        <f t="shared" si="9"/>
        <v>0</v>
      </c>
      <c r="AC486" s="155">
        <v>9.0</v>
      </c>
      <c r="AD486" s="155">
        <v>0.0</v>
      </c>
      <c r="AE486" s="155">
        <v>0.0</v>
      </c>
      <c r="AF486" s="155">
        <v>0.0</v>
      </c>
      <c r="AG486" s="155">
        <v>0.0</v>
      </c>
      <c r="AH486" s="155">
        <v>0.0</v>
      </c>
      <c r="AI486" s="167"/>
      <c r="AJ486" s="167"/>
      <c r="AK486" s="167"/>
      <c r="AL486" s="167"/>
      <c r="AM486" s="167"/>
      <c r="AN486" s="167"/>
      <c r="AO486" s="167"/>
      <c r="AP486" s="167"/>
      <c r="AQ486" s="167"/>
      <c r="AR486" s="167"/>
      <c r="AS486" s="167"/>
      <c r="AT486" s="167"/>
      <c r="AU486" s="167">
        <v>1.0</v>
      </c>
      <c r="AV486" s="167">
        <v>0.0</v>
      </c>
      <c r="AW486" s="167">
        <v>1.0</v>
      </c>
      <c r="AX486" s="167">
        <v>0.0</v>
      </c>
      <c r="AY486" s="167">
        <v>1.0</v>
      </c>
      <c r="AZ486" s="167">
        <v>0.0</v>
      </c>
      <c r="BA486" s="167">
        <v>0.0</v>
      </c>
      <c r="BB486" s="167">
        <v>1.0</v>
      </c>
      <c r="BC486" s="167">
        <v>0.0</v>
      </c>
      <c r="BD486" s="167">
        <v>1.0</v>
      </c>
      <c r="BE486" s="167">
        <v>0.0</v>
      </c>
      <c r="BF486" s="167">
        <v>1.0</v>
      </c>
      <c r="BG486" s="167">
        <v>0.0</v>
      </c>
      <c r="BH486" s="167">
        <v>0.0</v>
      </c>
      <c r="BI486" s="167">
        <v>1.0</v>
      </c>
      <c r="BJ486" s="167">
        <v>0.0</v>
      </c>
      <c r="BK486" s="167">
        <v>1.0</v>
      </c>
      <c r="BL486" s="167">
        <v>0.0</v>
      </c>
      <c r="BM486" s="167">
        <v>1.0</v>
      </c>
      <c r="BN486" s="155">
        <v>6.0</v>
      </c>
      <c r="BO486" s="155">
        <v>0.0</v>
      </c>
      <c r="BP486" s="155">
        <v>0.0</v>
      </c>
      <c r="BQ486" s="155">
        <v>0.0</v>
      </c>
      <c r="BR486" s="155">
        <v>0.0</v>
      </c>
      <c r="BS486" s="155">
        <v>0.0</v>
      </c>
      <c r="BT486" s="167">
        <v>0.0</v>
      </c>
      <c r="BU486" s="167">
        <v>0.0</v>
      </c>
      <c r="BV486" s="167">
        <v>1.0</v>
      </c>
      <c r="BW486" s="167">
        <v>0.0</v>
      </c>
      <c r="BX486" s="167"/>
      <c r="BY486" s="167">
        <v>0.0</v>
      </c>
      <c r="BZ486" s="167">
        <v>1.0</v>
      </c>
      <c r="CA486" s="167">
        <v>0.0</v>
      </c>
      <c r="CB486" s="167">
        <v>0.0</v>
      </c>
      <c r="CC486" s="167"/>
      <c r="CD486" s="167">
        <v>0.0</v>
      </c>
      <c r="CE486" s="167"/>
      <c r="CF486" s="167">
        <v>0.0</v>
      </c>
      <c r="CG486" s="167">
        <v>1.0</v>
      </c>
      <c r="CH486" s="167"/>
      <c r="CI486" s="167"/>
      <c r="CJ486" s="167"/>
      <c r="CK486" s="167"/>
      <c r="CL486" s="167"/>
      <c r="CM486" s="167"/>
      <c r="CN486" s="167"/>
      <c r="CO486" s="167"/>
      <c r="CP486" s="167"/>
      <c r="CQ486" s="167">
        <v>1.0</v>
      </c>
      <c r="CR486" s="167">
        <v>0.0</v>
      </c>
      <c r="CS486" s="167">
        <v>1.0</v>
      </c>
      <c r="CT486" s="167">
        <v>0.0</v>
      </c>
      <c r="CU486" s="167">
        <v>1.0</v>
      </c>
      <c r="CV486" s="156">
        <v>13.0</v>
      </c>
      <c r="CW486" s="156">
        <v>0.0</v>
      </c>
      <c r="CX486" s="156">
        <v>0.0</v>
      </c>
      <c r="CY486" s="156">
        <v>0.0</v>
      </c>
      <c r="CZ486" s="156">
        <v>0.0</v>
      </c>
      <c r="DA486" s="156">
        <v>0.0</v>
      </c>
      <c r="DB486" s="395">
        <v>0.0</v>
      </c>
      <c r="DC486" s="395">
        <v>0.0</v>
      </c>
      <c r="DD486" s="395">
        <v>1.0</v>
      </c>
      <c r="DE486" s="395">
        <v>0.0</v>
      </c>
      <c r="DF486" s="395">
        <v>1.0</v>
      </c>
      <c r="DG486" s="395">
        <v>0.0</v>
      </c>
      <c r="DH486" s="395">
        <v>1.0</v>
      </c>
      <c r="DI486" s="395">
        <v>1.0</v>
      </c>
      <c r="DJ486" s="395">
        <v>1.0</v>
      </c>
      <c r="DK486" s="395"/>
      <c r="DL486" s="395">
        <v>0.0</v>
      </c>
      <c r="DM486" s="395">
        <v>1.0</v>
      </c>
      <c r="DN486" s="395">
        <v>0.0</v>
      </c>
      <c r="DO486" s="395">
        <v>1.0</v>
      </c>
      <c r="DP486" s="395"/>
      <c r="DQ486" s="395"/>
      <c r="DR486" s="395"/>
      <c r="DS486" s="395">
        <v>0.0</v>
      </c>
      <c r="DT486" s="395">
        <v>1.0</v>
      </c>
      <c r="DU486" s="395">
        <v>0.0</v>
      </c>
      <c r="DV486" s="395">
        <v>1.0</v>
      </c>
      <c r="DW486" s="395">
        <v>0.0</v>
      </c>
      <c r="DX486" s="395">
        <v>0.0</v>
      </c>
      <c r="DY486" s="395">
        <v>1.0</v>
      </c>
      <c r="DZ486" s="395">
        <v>0.0</v>
      </c>
      <c r="EA486" s="395">
        <v>1.0</v>
      </c>
      <c r="EB486" s="395">
        <v>0.0</v>
      </c>
      <c r="EC486" s="395">
        <v>1.0</v>
      </c>
      <c r="ED486" s="395">
        <v>0.0</v>
      </c>
      <c r="EE486" s="395">
        <v>0.0</v>
      </c>
      <c r="EF486" s="395">
        <v>1.0</v>
      </c>
      <c r="EG486" s="156">
        <v>2.0</v>
      </c>
      <c r="EH486" s="156">
        <v>0.0</v>
      </c>
      <c r="EI486" s="156">
        <v>0.0</v>
      </c>
      <c r="EJ486" s="156">
        <v>0.0</v>
      </c>
      <c r="EK486" s="156">
        <v>0.0</v>
      </c>
      <c r="EL486" s="156">
        <v>0.0</v>
      </c>
      <c r="EM486" s="395">
        <v>0.0</v>
      </c>
      <c r="EN486" s="395">
        <v>1.0</v>
      </c>
      <c r="EO486" s="395">
        <v>0.0</v>
      </c>
      <c r="EP486" s="395">
        <v>1.0</v>
      </c>
      <c r="EQ486" s="395"/>
      <c r="ER486" s="395"/>
      <c r="ES486" s="395"/>
      <c r="ET486" s="395"/>
      <c r="EU486" s="395"/>
      <c r="EV486" s="395"/>
      <c r="EW486" s="395"/>
      <c r="EX486" s="395"/>
      <c r="EY486" s="395"/>
      <c r="EZ486" s="395"/>
      <c r="FA486" s="395"/>
      <c r="FB486" s="395"/>
      <c r="FC486" s="395"/>
      <c r="FD486" s="395"/>
      <c r="FE486" s="395"/>
      <c r="FF486" s="395"/>
      <c r="FG486" s="395"/>
      <c r="FH486" s="395"/>
      <c r="FI486" s="395"/>
      <c r="FJ486" s="395"/>
      <c r="FK486" s="395"/>
      <c r="FL486" s="395"/>
      <c r="FM486" s="395"/>
      <c r="FN486" s="395"/>
      <c r="FO486" s="395"/>
      <c r="FP486" s="395"/>
      <c r="FQ486" s="156">
        <v>0.0</v>
      </c>
      <c r="FR486" s="156">
        <v>0.0</v>
      </c>
      <c r="FS486" s="156">
        <v>0.0</v>
      </c>
      <c r="FT486" s="156">
        <v>0.0</v>
      </c>
      <c r="FU486" s="156">
        <v>0.0</v>
      </c>
      <c r="FV486" s="156">
        <v>0.0</v>
      </c>
      <c r="FW486" s="157"/>
      <c r="FX486" s="157"/>
      <c r="FY486" s="157"/>
      <c r="FZ486" s="157"/>
      <c r="GA486" s="157"/>
      <c r="GB486" s="157"/>
      <c r="GC486" s="157"/>
      <c r="GD486" s="157"/>
      <c r="GE486" s="157"/>
      <c r="GF486" s="157"/>
      <c r="GG486" s="157"/>
      <c r="GH486" s="157"/>
      <c r="GI486" s="157"/>
      <c r="GJ486" s="157"/>
      <c r="GK486" s="157"/>
      <c r="GL486" s="157"/>
      <c r="GM486" s="157"/>
      <c r="GN486" s="157"/>
      <c r="GO486" s="157"/>
      <c r="GP486" s="158"/>
      <c r="GQ486" s="157"/>
      <c r="GR486" s="157"/>
      <c r="GS486" s="157"/>
      <c r="GT486" s="157"/>
      <c r="GU486" s="157"/>
      <c r="GV486" s="157"/>
      <c r="GW486" s="157"/>
      <c r="GX486" s="157"/>
      <c r="GY486" s="157"/>
      <c r="GZ486" s="157"/>
      <c r="HA486" s="157"/>
      <c r="HB486" s="155">
        <v>0.0</v>
      </c>
      <c r="HC486" s="155">
        <v>0.0</v>
      </c>
      <c r="HD486" s="155">
        <v>0.0</v>
      </c>
      <c r="HE486" s="155">
        <v>0.0</v>
      </c>
      <c r="HF486" s="155">
        <v>0.0</v>
      </c>
      <c r="HG486" s="155">
        <v>0.0</v>
      </c>
      <c r="IL486" s="159">
        <v>0.0</v>
      </c>
      <c r="IM486" s="156">
        <v>0.0</v>
      </c>
      <c r="IN486" s="156">
        <v>0.0</v>
      </c>
      <c r="IO486" s="156">
        <v>0.0</v>
      </c>
      <c r="IP486" s="156">
        <v>0.0</v>
      </c>
      <c r="IQ486" s="160">
        <v>0.0</v>
      </c>
      <c r="JH486" s="25"/>
      <c r="JW486" s="159">
        <v>0.0</v>
      </c>
      <c r="JX486" s="156">
        <v>0.0</v>
      </c>
      <c r="JY486" s="156">
        <v>0.0</v>
      </c>
      <c r="JZ486" s="156">
        <v>0.0</v>
      </c>
      <c r="KA486" s="156">
        <v>0.0</v>
      </c>
      <c r="KB486" s="160">
        <v>0.0</v>
      </c>
      <c r="LH486" s="159">
        <f t="shared" si="10"/>
        <v>0</v>
      </c>
      <c r="LI486" s="156">
        <f t="shared" si="11"/>
        <v>0</v>
      </c>
      <c r="LJ486" s="156">
        <f t="shared" si="12"/>
        <v>0</v>
      </c>
      <c r="LK486" s="156">
        <f t="shared" si="13"/>
        <v>0</v>
      </c>
      <c r="LL486" s="156">
        <f t="shared" si="14"/>
        <v>0</v>
      </c>
      <c r="LM486" s="160">
        <f t="shared" si="15"/>
        <v>0</v>
      </c>
      <c r="QX486" s="107">
        <v>46034.0</v>
      </c>
    </row>
    <row r="487">
      <c r="A487" s="25"/>
      <c r="B487" s="25"/>
      <c r="C487" s="12"/>
      <c r="D487" s="12"/>
      <c r="E487" s="12"/>
      <c r="F487" s="12"/>
      <c r="G487" s="12"/>
      <c r="H487" s="12"/>
      <c r="I487" s="143">
        <f t="shared" si="22"/>
        <v>-29</v>
      </c>
      <c r="J487" s="144">
        <v>46033.0</v>
      </c>
      <c r="K487" s="195" t="s">
        <v>61</v>
      </c>
      <c r="L487" s="171">
        <v>46174.0</v>
      </c>
      <c r="M487" s="147" t="s">
        <v>435</v>
      </c>
      <c r="N487" s="148" t="s">
        <v>3321</v>
      </c>
      <c r="O487" s="148">
        <v>30.0</v>
      </c>
      <c r="P487" s="26"/>
      <c r="Q487" s="26"/>
      <c r="R487" s="26"/>
      <c r="S487" s="26"/>
      <c r="T487" s="26"/>
      <c r="U487" s="147" t="s">
        <v>3322</v>
      </c>
      <c r="V487" s="149" t="s">
        <v>3064</v>
      </c>
      <c r="W487" s="198" t="s">
        <v>3323</v>
      </c>
      <c r="X487" s="181">
        <v>0.0</v>
      </c>
      <c r="Y487" s="166">
        <f t="shared" si="23"/>
        <v>29</v>
      </c>
      <c r="Z487" s="26">
        <f t="shared" si="7"/>
        <v>0</v>
      </c>
      <c r="AA487" s="26">
        <f t="shared" si="8"/>
        <v>0</v>
      </c>
      <c r="AB487" s="26">
        <f t="shared" si="9"/>
        <v>0</v>
      </c>
      <c r="AC487" s="155">
        <v>7.0</v>
      </c>
      <c r="AD487" s="155">
        <v>0.0</v>
      </c>
      <c r="AE487" s="155">
        <v>0.0</v>
      </c>
      <c r="AF487" s="155">
        <v>0.0</v>
      </c>
      <c r="AG487" s="155">
        <v>0.0</v>
      </c>
      <c r="AH487" s="155">
        <v>0.0</v>
      </c>
      <c r="AS487" s="86">
        <v>1.0</v>
      </c>
      <c r="AU487" s="86">
        <v>1.0</v>
      </c>
      <c r="AW487" s="86">
        <v>1.0</v>
      </c>
      <c r="BB487" s="86">
        <v>1.0</v>
      </c>
      <c r="BD487" s="86">
        <v>1.0</v>
      </c>
      <c r="BG487" s="86">
        <v>1.0</v>
      </c>
      <c r="BK487" s="86">
        <v>1.0</v>
      </c>
      <c r="BN487" s="155">
        <v>4.0</v>
      </c>
      <c r="BO487" s="155">
        <v>0.0</v>
      </c>
      <c r="BP487" s="155">
        <v>0.0</v>
      </c>
      <c r="BQ487" s="155">
        <v>0.0</v>
      </c>
      <c r="BR487" s="155">
        <v>0.0</v>
      </c>
      <c r="BS487" s="155">
        <v>0.0</v>
      </c>
      <c r="BV487" s="86">
        <v>1.0</v>
      </c>
      <c r="CA487" s="86">
        <v>1.0</v>
      </c>
      <c r="CE487" s="86">
        <v>1.0</v>
      </c>
      <c r="CS487" s="86">
        <v>1.0</v>
      </c>
      <c r="CV487" s="156">
        <v>7.0</v>
      </c>
      <c r="CW487" s="156">
        <v>0.0</v>
      </c>
      <c r="CX487" s="156">
        <v>0.0</v>
      </c>
      <c r="CY487" s="156">
        <v>0.0</v>
      </c>
      <c r="CZ487" s="156">
        <v>0.0</v>
      </c>
      <c r="DA487" s="156">
        <v>0.0</v>
      </c>
      <c r="DF487" s="86">
        <v>1.0</v>
      </c>
      <c r="DI487" s="86">
        <v>1.0</v>
      </c>
      <c r="DM487" s="86">
        <v>1.0</v>
      </c>
      <c r="DR487" s="86">
        <v>1.0</v>
      </c>
      <c r="DT487" s="86">
        <v>1.0</v>
      </c>
      <c r="DW487" s="86">
        <v>1.0</v>
      </c>
      <c r="EA487" s="86">
        <v>1.0</v>
      </c>
      <c r="EG487" s="156">
        <v>8.0</v>
      </c>
      <c r="EH487" s="156">
        <v>0.0</v>
      </c>
      <c r="EI487" s="156">
        <v>0.0</v>
      </c>
      <c r="EJ487" s="156">
        <v>0.0</v>
      </c>
      <c r="EK487" s="156">
        <v>0.0</v>
      </c>
      <c r="EL487" s="156">
        <v>0.0</v>
      </c>
      <c r="EO487" s="86">
        <v>1.0</v>
      </c>
      <c r="EQ487" s="86">
        <v>1.0</v>
      </c>
      <c r="EU487" s="86">
        <v>1.0</v>
      </c>
      <c r="EZ487" s="86">
        <v>1.0</v>
      </c>
      <c r="FB487" s="86">
        <v>1.0</v>
      </c>
      <c r="FE487" s="86">
        <v>1.0</v>
      </c>
      <c r="FI487" s="86">
        <v>1.0</v>
      </c>
      <c r="FL487" s="86">
        <v>1.0</v>
      </c>
      <c r="FQ487" s="156">
        <v>3.0</v>
      </c>
      <c r="FR487" s="156">
        <v>0.0</v>
      </c>
      <c r="FS487" s="156">
        <v>0.0</v>
      </c>
      <c r="FT487" s="156">
        <v>0.0</v>
      </c>
      <c r="FU487" s="156">
        <v>0.0</v>
      </c>
      <c r="FV487" s="156">
        <v>0.0</v>
      </c>
      <c r="FW487" s="157"/>
      <c r="FX487" s="157"/>
      <c r="FY487" s="188"/>
      <c r="FZ487" s="157"/>
      <c r="GA487" s="157"/>
      <c r="GB487" s="157"/>
      <c r="GC487" s="188"/>
      <c r="GD487" s="157"/>
      <c r="GE487" s="157"/>
      <c r="GF487" s="188">
        <v>1.0</v>
      </c>
      <c r="GG487" s="157"/>
      <c r="GH487" s="188">
        <v>1.0</v>
      </c>
      <c r="GI487" s="157"/>
      <c r="GJ487" s="188">
        <v>1.0</v>
      </c>
      <c r="GK487" s="157"/>
      <c r="GL487" s="157"/>
      <c r="GM487" s="188"/>
      <c r="GN487" s="157"/>
      <c r="GO487" s="157"/>
      <c r="GP487" s="158"/>
      <c r="GQ487" s="157"/>
      <c r="GR487" s="157"/>
      <c r="GS487" s="157"/>
      <c r="GT487" s="157"/>
      <c r="GU487" s="157"/>
      <c r="GV487" s="157"/>
      <c r="GW487" s="157"/>
      <c r="GX487" s="157"/>
      <c r="GY487" s="157"/>
      <c r="GZ487" s="157"/>
      <c r="HA487" s="157"/>
      <c r="HB487" s="155">
        <v>0.0</v>
      </c>
      <c r="HC487" s="155">
        <v>0.0</v>
      </c>
      <c r="HD487" s="155">
        <v>0.0</v>
      </c>
      <c r="HE487" s="155">
        <v>0.0</v>
      </c>
      <c r="HF487" s="155">
        <v>0.0</v>
      </c>
      <c r="HG487" s="155">
        <v>0.0</v>
      </c>
      <c r="IL487" s="159">
        <v>0.0</v>
      </c>
      <c r="IM487" s="156">
        <v>0.0</v>
      </c>
      <c r="IN487" s="156">
        <v>0.0</v>
      </c>
      <c r="IO487" s="156">
        <v>0.0</v>
      </c>
      <c r="IP487" s="156">
        <v>0.0</v>
      </c>
      <c r="IQ487" s="160">
        <v>0.0</v>
      </c>
      <c r="JH487" s="25"/>
      <c r="JW487" s="159">
        <v>0.0</v>
      </c>
      <c r="JX487" s="156">
        <v>0.0</v>
      </c>
      <c r="JY487" s="156">
        <v>0.0</v>
      </c>
      <c r="JZ487" s="156">
        <v>0.0</v>
      </c>
      <c r="KA487" s="156">
        <v>0.0</v>
      </c>
      <c r="KB487" s="160">
        <v>0.0</v>
      </c>
      <c r="LH487" s="159">
        <f t="shared" si="10"/>
        <v>0</v>
      </c>
      <c r="LI487" s="156">
        <f t="shared" si="11"/>
        <v>0</v>
      </c>
      <c r="LJ487" s="156">
        <f t="shared" si="12"/>
        <v>0</v>
      </c>
      <c r="LK487" s="156">
        <f t="shared" si="13"/>
        <v>0</v>
      </c>
      <c r="LL487" s="156">
        <f t="shared" si="14"/>
        <v>0</v>
      </c>
      <c r="LM487" s="160">
        <f t="shared" si="15"/>
        <v>0</v>
      </c>
      <c r="QX487" s="107">
        <v>46035.0</v>
      </c>
    </row>
    <row r="488">
      <c r="A488" s="12"/>
      <c r="B488" s="12"/>
      <c r="C488" s="12"/>
      <c r="D488" s="12"/>
      <c r="E488" s="12"/>
      <c r="F488" s="12"/>
      <c r="G488" s="12"/>
      <c r="H488" s="12"/>
      <c r="I488" s="143">
        <f t="shared" si="22"/>
        <v>-2</v>
      </c>
      <c r="J488" s="144">
        <v>46035.0</v>
      </c>
      <c r="K488" s="195" t="s">
        <v>61</v>
      </c>
      <c r="L488" s="146"/>
      <c r="M488" s="147" t="s">
        <v>107</v>
      </c>
      <c r="N488" s="148">
        <v>357.0</v>
      </c>
      <c r="O488" s="148">
        <v>30.0</v>
      </c>
      <c r="P488" s="26"/>
      <c r="Q488" s="26"/>
      <c r="R488" s="26"/>
      <c r="S488" s="26"/>
      <c r="T488" s="26"/>
      <c r="U488" s="147" t="s">
        <v>3277</v>
      </c>
      <c r="V488" s="149" t="s">
        <v>3201</v>
      </c>
      <c r="W488" s="198" t="s">
        <v>3324</v>
      </c>
      <c r="X488" s="181">
        <v>0.0</v>
      </c>
      <c r="Y488" s="166">
        <f t="shared" si="23"/>
        <v>2</v>
      </c>
      <c r="Z488" s="26">
        <f t="shared" si="7"/>
        <v>0</v>
      </c>
      <c r="AA488" s="26">
        <f t="shared" si="8"/>
        <v>1</v>
      </c>
      <c r="AB488" s="26">
        <f t="shared" si="9"/>
        <v>0</v>
      </c>
      <c r="AC488" s="155">
        <v>2.0</v>
      </c>
      <c r="AD488" s="155">
        <v>0.0</v>
      </c>
      <c r="AE488" s="155">
        <v>0.0</v>
      </c>
      <c r="AF488" s="155">
        <v>1.0</v>
      </c>
      <c r="AG488" s="155">
        <v>0.0</v>
      </c>
      <c r="AH488" s="155">
        <v>0.0</v>
      </c>
      <c r="AI488" s="167"/>
      <c r="AJ488" s="167"/>
      <c r="AK488" s="167"/>
      <c r="AL488" s="167"/>
      <c r="AM488" s="167"/>
      <c r="AN488" s="167"/>
      <c r="AO488" s="167"/>
      <c r="AP488" s="167"/>
      <c r="AQ488" s="167"/>
      <c r="AR488" s="167"/>
      <c r="AS488" s="167"/>
      <c r="AT488" s="167"/>
      <c r="AU488" s="167">
        <v>1.0</v>
      </c>
      <c r="AV488" s="167"/>
      <c r="AW488" s="167"/>
      <c r="AX488" s="167"/>
      <c r="AY488" s="168" t="s">
        <v>947</v>
      </c>
      <c r="AZ488" s="167"/>
      <c r="BA488" s="167"/>
      <c r="BB488" s="167"/>
      <c r="BC488" s="167"/>
      <c r="BD488" s="167"/>
      <c r="BE488" s="167"/>
      <c r="BF488" s="167"/>
      <c r="BG488" s="167"/>
      <c r="BH488" s="167"/>
      <c r="BI488" s="167"/>
      <c r="BJ488" s="167"/>
      <c r="BK488" s="167"/>
      <c r="BL488" s="167"/>
      <c r="BM488" s="167"/>
      <c r="BN488" s="155">
        <v>0.0</v>
      </c>
      <c r="BO488" s="155">
        <v>0.0</v>
      </c>
      <c r="BP488" s="155">
        <v>0.0</v>
      </c>
      <c r="BQ488" s="155">
        <v>0.0</v>
      </c>
      <c r="BR488" s="155">
        <v>0.0</v>
      </c>
      <c r="BS488" s="155">
        <v>0.0</v>
      </c>
      <c r="CV488" s="156">
        <v>0.0</v>
      </c>
      <c r="CW488" s="156">
        <v>0.0</v>
      </c>
      <c r="CX488" s="156">
        <v>0.0</v>
      </c>
      <c r="CY488" s="156">
        <v>0.0</v>
      </c>
      <c r="CZ488" s="156">
        <v>0.0</v>
      </c>
      <c r="DA488" s="156">
        <v>0.0</v>
      </c>
      <c r="EG488" s="156">
        <v>0.0</v>
      </c>
      <c r="EH488" s="156">
        <v>0.0</v>
      </c>
      <c r="EI488" s="156">
        <v>0.0</v>
      </c>
      <c r="EJ488" s="156">
        <v>0.0</v>
      </c>
      <c r="EK488" s="156">
        <v>0.0</v>
      </c>
      <c r="EL488" s="156">
        <v>0.0</v>
      </c>
      <c r="FQ488" s="156">
        <v>0.0</v>
      </c>
      <c r="FR488" s="156">
        <v>0.0</v>
      </c>
      <c r="FS488" s="156">
        <v>0.0</v>
      </c>
      <c r="FT488" s="156">
        <v>0.0</v>
      </c>
      <c r="FU488" s="156">
        <v>0.0</v>
      </c>
      <c r="FV488" s="156">
        <v>0.0</v>
      </c>
      <c r="FW488" s="157"/>
      <c r="FX488" s="157"/>
      <c r="FY488" s="157"/>
      <c r="FZ488" s="157"/>
      <c r="GA488" s="157"/>
      <c r="GB488" s="157"/>
      <c r="GC488" s="157"/>
      <c r="GD488" s="157"/>
      <c r="GE488" s="157"/>
      <c r="GF488" s="157"/>
      <c r="GG488" s="157"/>
      <c r="GH488" s="157"/>
      <c r="GI488" s="157"/>
      <c r="GJ488" s="157"/>
      <c r="GK488" s="157"/>
      <c r="GL488" s="157"/>
      <c r="GM488" s="157"/>
      <c r="GN488" s="157"/>
      <c r="GO488" s="157"/>
      <c r="GP488" s="158"/>
      <c r="GQ488" s="157"/>
      <c r="GR488" s="157"/>
      <c r="GS488" s="157"/>
      <c r="GT488" s="157"/>
      <c r="GU488" s="157"/>
      <c r="GV488" s="157"/>
      <c r="GW488" s="157"/>
      <c r="GX488" s="157"/>
      <c r="GY488" s="157"/>
      <c r="GZ488" s="157"/>
      <c r="HA488" s="157"/>
      <c r="HB488" s="155">
        <v>0.0</v>
      </c>
      <c r="HC488" s="155">
        <v>0.0</v>
      </c>
      <c r="HD488" s="155">
        <v>0.0</v>
      </c>
      <c r="HE488" s="155">
        <v>0.0</v>
      </c>
      <c r="HF488" s="155">
        <v>0.0</v>
      </c>
      <c r="HG488" s="155">
        <v>0.0</v>
      </c>
      <c r="IL488" s="159">
        <v>0.0</v>
      </c>
      <c r="IM488" s="156">
        <v>0.0</v>
      </c>
      <c r="IN488" s="156">
        <v>0.0</v>
      </c>
      <c r="IO488" s="156">
        <v>0.0</v>
      </c>
      <c r="IP488" s="156">
        <v>0.0</v>
      </c>
      <c r="IQ488" s="160">
        <v>0.0</v>
      </c>
      <c r="JH488" s="25"/>
      <c r="JW488" s="159">
        <v>0.0</v>
      </c>
      <c r="JX488" s="156">
        <v>0.0</v>
      </c>
      <c r="JY488" s="156">
        <v>0.0</v>
      </c>
      <c r="JZ488" s="156">
        <v>0.0</v>
      </c>
      <c r="KA488" s="156">
        <v>0.0</v>
      </c>
      <c r="KB488" s="160">
        <v>0.0</v>
      </c>
      <c r="LH488" s="159">
        <f t="shared" si="10"/>
        <v>0</v>
      </c>
      <c r="LI488" s="156">
        <f t="shared" si="11"/>
        <v>0</v>
      </c>
      <c r="LJ488" s="156">
        <f t="shared" si="12"/>
        <v>0</v>
      </c>
      <c r="LK488" s="156">
        <f t="shared" si="13"/>
        <v>0</v>
      </c>
      <c r="LL488" s="156">
        <f t="shared" si="14"/>
        <v>0</v>
      </c>
      <c r="LM488" s="160">
        <f t="shared" si="15"/>
        <v>0</v>
      </c>
      <c r="QX488" s="107">
        <v>46035.0</v>
      </c>
    </row>
    <row r="489">
      <c r="A489" s="12"/>
      <c r="B489" s="12"/>
      <c r="C489" s="12"/>
      <c r="D489" s="12"/>
      <c r="E489" s="12"/>
      <c r="F489" s="12"/>
      <c r="G489" s="12"/>
      <c r="H489" s="12"/>
      <c r="I489" s="143">
        <f t="shared" si="22"/>
        <v>-13</v>
      </c>
      <c r="J489" s="144">
        <v>46034.0</v>
      </c>
      <c r="K489" s="145" t="s">
        <v>61</v>
      </c>
      <c r="L489" s="171">
        <v>46032.0</v>
      </c>
      <c r="M489" s="147" t="s">
        <v>400</v>
      </c>
      <c r="N489" s="148">
        <v>246.0</v>
      </c>
      <c r="O489" s="148">
        <v>30.0</v>
      </c>
      <c r="P489" s="26"/>
      <c r="Q489" s="26"/>
      <c r="R489" s="26"/>
      <c r="S489" s="26"/>
      <c r="T489" s="26"/>
      <c r="U489" s="147" t="s">
        <v>3325</v>
      </c>
      <c r="V489" s="149" t="s">
        <v>3080</v>
      </c>
      <c r="W489" s="198" t="s">
        <v>3326</v>
      </c>
      <c r="X489" s="181">
        <v>0.0</v>
      </c>
      <c r="Y489" s="166">
        <f t="shared" si="23"/>
        <v>13</v>
      </c>
      <c r="Z489" s="26">
        <f t="shared" si="7"/>
        <v>0</v>
      </c>
      <c r="AA489" s="26">
        <f t="shared" si="8"/>
        <v>0</v>
      </c>
      <c r="AB489" s="26">
        <f t="shared" si="9"/>
        <v>0</v>
      </c>
      <c r="AC489" s="155">
        <v>9.0</v>
      </c>
      <c r="AD489" s="155">
        <v>0.0</v>
      </c>
      <c r="AE489" s="155">
        <v>0.0</v>
      </c>
      <c r="AF489" s="155">
        <v>0.0</v>
      </c>
      <c r="AG489" s="155">
        <v>0.0</v>
      </c>
      <c r="AH489" s="155">
        <v>0.0</v>
      </c>
      <c r="AI489" s="167"/>
      <c r="AJ489" s="167"/>
      <c r="AK489" s="167"/>
      <c r="AL489" s="167"/>
      <c r="AM489" s="167"/>
      <c r="AN489" s="167"/>
      <c r="AO489" s="167"/>
      <c r="AP489" s="167"/>
      <c r="AQ489" s="167"/>
      <c r="AR489" s="167"/>
      <c r="AS489" s="167"/>
      <c r="AT489" s="167">
        <v>1.0</v>
      </c>
      <c r="AU489" s="167">
        <v>0.0</v>
      </c>
      <c r="AV489" s="167">
        <v>1.0</v>
      </c>
      <c r="AW489" s="167">
        <v>0.0</v>
      </c>
      <c r="AX489" s="167"/>
      <c r="AY489" s="168">
        <v>1.0</v>
      </c>
      <c r="AZ489" s="167">
        <v>0.0</v>
      </c>
      <c r="BA489" s="167">
        <v>1.0</v>
      </c>
      <c r="BB489" s="167">
        <v>0.0</v>
      </c>
      <c r="BC489" s="167">
        <v>1.0</v>
      </c>
      <c r="BD489" s="167">
        <v>0.0</v>
      </c>
      <c r="BE489" s="167"/>
      <c r="BF489" s="168">
        <v>1.0</v>
      </c>
      <c r="BG489" s="167">
        <v>0.0</v>
      </c>
      <c r="BH489" s="167">
        <v>1.0</v>
      </c>
      <c r="BI489" s="167">
        <v>0.0</v>
      </c>
      <c r="BJ489" s="167">
        <v>1.0</v>
      </c>
      <c r="BK489" s="167">
        <v>0.0</v>
      </c>
      <c r="BL489" s="167"/>
      <c r="BM489" s="168">
        <v>1.0</v>
      </c>
      <c r="BN489" s="155">
        <v>4.0</v>
      </c>
      <c r="BO489" s="155">
        <v>0.0</v>
      </c>
      <c r="BP489" s="155">
        <v>0.0</v>
      </c>
      <c r="BQ489" s="155">
        <v>0.0</v>
      </c>
      <c r="BR489" s="155">
        <v>0.0</v>
      </c>
      <c r="BS489" s="155">
        <v>0.0</v>
      </c>
      <c r="BT489" s="167">
        <v>0.0</v>
      </c>
      <c r="BU489" s="167">
        <v>1.0</v>
      </c>
      <c r="BV489" s="167">
        <v>0.0</v>
      </c>
      <c r="BW489" s="167">
        <v>1.0</v>
      </c>
      <c r="BX489" s="167">
        <v>0.0</v>
      </c>
      <c r="BY489" s="167"/>
      <c r="BZ489" s="168">
        <v>1.0</v>
      </c>
      <c r="CA489" s="167">
        <v>0.0</v>
      </c>
      <c r="CB489" s="167">
        <v>1.0</v>
      </c>
      <c r="CC489" s="167"/>
      <c r="CD489" s="167"/>
      <c r="CE489" s="167"/>
      <c r="CF489" s="167"/>
      <c r="CG489" s="167"/>
      <c r="CH489" s="167"/>
      <c r="CI489" s="167"/>
      <c r="CJ489" s="167"/>
      <c r="CK489" s="167"/>
      <c r="CL489" s="167"/>
      <c r="CM489" s="167"/>
      <c r="CN489" s="167"/>
      <c r="CO489" s="167"/>
      <c r="CP489" s="167"/>
      <c r="CQ489" s="167"/>
      <c r="CR489" s="167"/>
      <c r="CS489" s="167"/>
      <c r="CT489" s="167"/>
      <c r="CU489" s="167"/>
      <c r="CV489" s="156">
        <v>0.0</v>
      </c>
      <c r="CW489" s="156">
        <v>0.0</v>
      </c>
      <c r="CX489" s="156">
        <v>0.0</v>
      </c>
      <c r="CY489" s="156">
        <v>0.0</v>
      </c>
      <c r="CZ489" s="156">
        <v>0.0</v>
      </c>
      <c r="DA489" s="156">
        <v>0.0</v>
      </c>
      <c r="EG489" s="156">
        <v>0.0</v>
      </c>
      <c r="EH489" s="156">
        <v>0.0</v>
      </c>
      <c r="EI489" s="156">
        <v>0.0</v>
      </c>
      <c r="EJ489" s="156">
        <v>0.0</v>
      </c>
      <c r="EK489" s="156">
        <v>0.0</v>
      </c>
      <c r="EL489" s="156">
        <v>0.0</v>
      </c>
      <c r="FQ489" s="156">
        <v>0.0</v>
      </c>
      <c r="FR489" s="156">
        <v>0.0</v>
      </c>
      <c r="FS489" s="156">
        <v>0.0</v>
      </c>
      <c r="FT489" s="156">
        <v>0.0</v>
      </c>
      <c r="FU489" s="156">
        <v>0.0</v>
      </c>
      <c r="FV489" s="156">
        <v>0.0</v>
      </c>
      <c r="FW489" s="157"/>
      <c r="FX489" s="157"/>
      <c r="FY489" s="157"/>
      <c r="FZ489" s="157"/>
      <c r="GA489" s="157"/>
      <c r="GB489" s="157"/>
      <c r="GC489" s="157"/>
      <c r="GD489" s="157"/>
      <c r="GE489" s="157"/>
      <c r="GF489" s="157"/>
      <c r="GG489" s="157"/>
      <c r="GH489" s="157"/>
      <c r="GI489" s="157"/>
      <c r="GJ489" s="157"/>
      <c r="GK489" s="157"/>
      <c r="GL489" s="157"/>
      <c r="GM489" s="157"/>
      <c r="GN489" s="157"/>
      <c r="GO489" s="157"/>
      <c r="GP489" s="158"/>
      <c r="GQ489" s="157"/>
      <c r="GR489" s="157"/>
      <c r="GS489" s="157"/>
      <c r="GT489" s="157"/>
      <c r="GU489" s="157"/>
      <c r="GV489" s="157"/>
      <c r="GW489" s="157"/>
      <c r="GX489" s="157"/>
      <c r="GY489" s="157"/>
      <c r="GZ489" s="157"/>
      <c r="HA489" s="157"/>
      <c r="HB489" s="155">
        <v>0.0</v>
      </c>
      <c r="HC489" s="155">
        <v>0.0</v>
      </c>
      <c r="HD489" s="155">
        <v>0.0</v>
      </c>
      <c r="HE489" s="155">
        <v>0.0</v>
      </c>
      <c r="HF489" s="155">
        <v>0.0</v>
      </c>
      <c r="HG489" s="155">
        <v>0.0</v>
      </c>
      <c r="IL489" s="159">
        <v>0.0</v>
      </c>
      <c r="IM489" s="156">
        <v>0.0</v>
      </c>
      <c r="IN489" s="156">
        <v>0.0</v>
      </c>
      <c r="IO489" s="156">
        <v>0.0</v>
      </c>
      <c r="IP489" s="156">
        <v>0.0</v>
      </c>
      <c r="IQ489" s="160">
        <v>0.0</v>
      </c>
      <c r="JH489" s="25"/>
      <c r="JW489" s="159">
        <v>0.0</v>
      </c>
      <c r="JX489" s="156">
        <v>0.0</v>
      </c>
      <c r="JY489" s="156">
        <v>0.0</v>
      </c>
      <c r="JZ489" s="156">
        <v>0.0</v>
      </c>
      <c r="KA489" s="156">
        <v>0.0</v>
      </c>
      <c r="KB489" s="160">
        <v>0.0</v>
      </c>
      <c r="LH489" s="159">
        <f t="shared" si="10"/>
        <v>0</v>
      </c>
      <c r="LI489" s="156">
        <f t="shared" si="11"/>
        <v>0</v>
      </c>
      <c r="LJ489" s="156">
        <f t="shared" si="12"/>
        <v>0</v>
      </c>
      <c r="LK489" s="156">
        <f t="shared" si="13"/>
        <v>0</v>
      </c>
      <c r="LL489" s="156">
        <f t="shared" si="14"/>
        <v>0</v>
      </c>
      <c r="LM489" s="160">
        <f t="shared" si="15"/>
        <v>0</v>
      </c>
      <c r="QX489" s="107">
        <v>46036.0</v>
      </c>
    </row>
    <row r="490">
      <c r="A490" s="12"/>
      <c r="B490" s="12"/>
      <c r="C490" s="12"/>
      <c r="D490" s="12"/>
      <c r="E490" s="12"/>
      <c r="F490" s="12"/>
      <c r="G490" s="12"/>
      <c r="H490" s="12"/>
      <c r="I490" s="143">
        <f t="shared" si="22"/>
        <v>-31</v>
      </c>
      <c r="J490" s="144">
        <v>46034.0</v>
      </c>
      <c r="K490" s="164" t="s">
        <v>53</v>
      </c>
      <c r="L490" s="171">
        <v>46195.0</v>
      </c>
      <c r="M490" s="147" t="s">
        <v>1243</v>
      </c>
      <c r="N490" s="148" t="s">
        <v>3327</v>
      </c>
      <c r="O490" s="148">
        <v>30.0</v>
      </c>
      <c r="P490" s="26"/>
      <c r="Q490" s="26"/>
      <c r="R490" s="26"/>
      <c r="S490" s="26"/>
      <c r="T490" s="26"/>
      <c r="U490" s="147" t="s">
        <v>3252</v>
      </c>
      <c r="V490" s="149" t="s">
        <v>2801</v>
      </c>
      <c r="W490" s="248" t="s">
        <v>3328</v>
      </c>
      <c r="X490" s="181">
        <v>0.0</v>
      </c>
      <c r="Y490" s="166">
        <f t="shared" si="23"/>
        <v>31</v>
      </c>
      <c r="Z490" s="26">
        <f t="shared" si="7"/>
        <v>0</v>
      </c>
      <c r="AA490" s="26">
        <f t="shared" si="8"/>
        <v>2</v>
      </c>
      <c r="AB490" s="26">
        <f t="shared" si="9"/>
        <v>0</v>
      </c>
      <c r="AC490" s="155">
        <v>9.0</v>
      </c>
      <c r="AD490" s="155">
        <v>0.0</v>
      </c>
      <c r="AE490" s="155">
        <v>0.0</v>
      </c>
      <c r="AF490" s="155">
        <v>0.0</v>
      </c>
      <c r="AG490" s="155">
        <v>0.0</v>
      </c>
      <c r="AH490" s="155">
        <v>0.0</v>
      </c>
      <c r="AT490" s="86">
        <v>1.0</v>
      </c>
      <c r="AV490" s="86">
        <v>1.0</v>
      </c>
      <c r="AZ490" s="86">
        <v>1.0</v>
      </c>
      <c r="BA490" s="86">
        <v>1.0</v>
      </c>
      <c r="BE490" s="86">
        <v>1.0</v>
      </c>
      <c r="BF490" s="86">
        <v>1.0</v>
      </c>
      <c r="BH490" s="86">
        <v>1.0</v>
      </c>
      <c r="BJ490" s="86">
        <v>1.0</v>
      </c>
      <c r="BL490" s="86">
        <v>1.0</v>
      </c>
      <c r="BN490" s="155">
        <v>3.0</v>
      </c>
      <c r="BO490" s="155">
        <v>0.0</v>
      </c>
      <c r="BP490" s="155">
        <v>0.0</v>
      </c>
      <c r="BQ490" s="155">
        <v>0.0</v>
      </c>
      <c r="BR490" s="155">
        <v>0.0</v>
      </c>
      <c r="BS490" s="155">
        <v>0.0</v>
      </c>
      <c r="BT490" s="86">
        <v>1.0</v>
      </c>
      <c r="CR490" s="86">
        <v>1.0</v>
      </c>
      <c r="CT490" s="86">
        <v>1.0</v>
      </c>
      <c r="CV490" s="156">
        <v>4.0</v>
      </c>
      <c r="CW490" s="156">
        <v>0.0</v>
      </c>
      <c r="CX490" s="156">
        <v>0.0</v>
      </c>
      <c r="CY490" s="156">
        <v>1.0</v>
      </c>
      <c r="CZ490" s="156">
        <v>0.0</v>
      </c>
      <c r="DA490" s="156">
        <v>0.0</v>
      </c>
      <c r="DB490" s="86" t="s">
        <v>947</v>
      </c>
      <c r="DC490" s="86">
        <v>1.0</v>
      </c>
      <c r="DE490" s="86">
        <v>1.0</v>
      </c>
      <c r="EF490" s="86">
        <v>1.0</v>
      </c>
      <c r="EG490" s="156">
        <v>6.0</v>
      </c>
      <c r="EH490" s="156">
        <v>0.0</v>
      </c>
      <c r="EI490" s="156">
        <v>0.0</v>
      </c>
      <c r="EJ490" s="156">
        <v>1.0</v>
      </c>
      <c r="EK490" s="156">
        <v>0.0</v>
      </c>
      <c r="EL490" s="156">
        <v>0.0</v>
      </c>
      <c r="EN490" s="86">
        <v>1.0</v>
      </c>
      <c r="ES490" s="86">
        <v>1.0</v>
      </c>
      <c r="FA490" s="86">
        <v>1.0</v>
      </c>
      <c r="FB490" s="86" t="s">
        <v>947</v>
      </c>
      <c r="FG490" s="86">
        <v>1.0</v>
      </c>
      <c r="FI490" s="86">
        <v>1.0</v>
      </c>
      <c r="FQ490" s="156">
        <v>4.0</v>
      </c>
      <c r="FR490" s="156">
        <v>0.0</v>
      </c>
      <c r="FS490" s="156">
        <v>0.0</v>
      </c>
      <c r="FT490" s="156">
        <v>0.0</v>
      </c>
      <c r="FU490" s="156">
        <v>0.0</v>
      </c>
      <c r="FV490" s="156">
        <v>0.0</v>
      </c>
      <c r="FW490" s="157"/>
      <c r="FX490" s="157"/>
      <c r="FY490" s="157"/>
      <c r="FZ490" s="157"/>
      <c r="GA490" s="188">
        <v>1.0</v>
      </c>
      <c r="GB490" s="157"/>
      <c r="GC490" s="188">
        <v>1.0</v>
      </c>
      <c r="GD490" s="157"/>
      <c r="GE490" s="157"/>
      <c r="GF490" s="157"/>
      <c r="GG490" s="157"/>
      <c r="GH490" s="188">
        <v>1.0</v>
      </c>
      <c r="GI490" s="157"/>
      <c r="GJ490" s="188">
        <v>1.0</v>
      </c>
      <c r="GK490" s="157"/>
      <c r="GL490" s="157"/>
      <c r="GM490" s="157"/>
      <c r="GN490" s="157"/>
      <c r="GO490" s="188"/>
      <c r="GP490" s="158"/>
      <c r="GQ490" s="157"/>
      <c r="GR490" s="157"/>
      <c r="GS490" s="157"/>
      <c r="GT490" s="157"/>
      <c r="GU490" s="157"/>
      <c r="GV490" s="157"/>
      <c r="GW490" s="157"/>
      <c r="GX490" s="157"/>
      <c r="GY490" s="157"/>
      <c r="GZ490" s="157"/>
      <c r="HA490" s="157"/>
      <c r="HB490" s="155">
        <v>5.0</v>
      </c>
      <c r="HC490" s="155">
        <v>0.0</v>
      </c>
      <c r="HD490" s="155">
        <v>0.0</v>
      </c>
      <c r="HE490" s="155">
        <v>0.0</v>
      </c>
      <c r="HF490" s="155">
        <v>0.0</v>
      </c>
      <c r="HG490" s="155">
        <v>0.0</v>
      </c>
      <c r="HI490" s="86">
        <v>1.0</v>
      </c>
      <c r="HK490" s="86">
        <v>1.0</v>
      </c>
      <c r="HP490" s="86">
        <v>1.0</v>
      </c>
      <c r="HW490" s="86">
        <v>1.0</v>
      </c>
      <c r="HY490" s="86">
        <v>1.0</v>
      </c>
      <c r="IL490" s="159">
        <v>0.0</v>
      </c>
      <c r="IM490" s="156">
        <v>0.0</v>
      </c>
      <c r="IN490" s="156">
        <v>0.0</v>
      </c>
      <c r="IO490" s="156">
        <v>0.0</v>
      </c>
      <c r="IP490" s="156">
        <v>0.0</v>
      </c>
      <c r="IQ490" s="160">
        <v>0.0</v>
      </c>
      <c r="JH490" s="25"/>
      <c r="JW490" s="159">
        <v>0.0</v>
      </c>
      <c r="JX490" s="156">
        <v>0.0</v>
      </c>
      <c r="JY490" s="156">
        <v>0.0</v>
      </c>
      <c r="JZ490" s="156">
        <v>0.0</v>
      </c>
      <c r="KA490" s="156">
        <v>0.0</v>
      </c>
      <c r="KB490" s="160">
        <v>0.0</v>
      </c>
      <c r="LH490" s="159">
        <f t="shared" si="10"/>
        <v>0</v>
      </c>
      <c r="LI490" s="156">
        <f t="shared" si="11"/>
        <v>0</v>
      </c>
      <c r="LJ490" s="156">
        <f t="shared" si="12"/>
        <v>0</v>
      </c>
      <c r="LK490" s="156">
        <f t="shared" si="13"/>
        <v>0</v>
      </c>
      <c r="LL490" s="156">
        <f t="shared" si="14"/>
        <v>0</v>
      </c>
      <c r="LM490" s="160">
        <f t="shared" si="15"/>
        <v>0</v>
      </c>
      <c r="QX490" s="107">
        <v>46036.0</v>
      </c>
    </row>
    <row r="491">
      <c r="A491" s="12"/>
      <c r="B491" s="12"/>
      <c r="C491" s="12"/>
      <c r="D491" s="12"/>
      <c r="E491" s="12"/>
      <c r="F491" s="12"/>
      <c r="G491" s="12"/>
      <c r="H491" s="12"/>
      <c r="I491" s="143">
        <f t="shared" si="22"/>
        <v>-21</v>
      </c>
      <c r="J491" s="295">
        <v>46039.0</v>
      </c>
      <c r="K491" s="294" t="s">
        <v>53</v>
      </c>
      <c r="L491" s="297">
        <v>46127.0</v>
      </c>
      <c r="M491" s="147" t="s">
        <v>400</v>
      </c>
      <c r="N491" s="148">
        <v>357.0</v>
      </c>
      <c r="O491" s="148">
        <v>30.0</v>
      </c>
      <c r="P491" s="26"/>
      <c r="Q491" s="26"/>
      <c r="R491" s="26"/>
      <c r="S491" s="26"/>
      <c r="T491" s="26"/>
      <c r="U491" s="147" t="s">
        <v>3329</v>
      </c>
      <c r="V491" s="149" t="s">
        <v>3206</v>
      </c>
      <c r="W491" s="248" t="s">
        <v>3330</v>
      </c>
      <c r="X491" s="181">
        <v>0.0</v>
      </c>
      <c r="Y491" s="166">
        <f t="shared" si="23"/>
        <v>21</v>
      </c>
      <c r="Z491" s="26">
        <f t="shared" si="7"/>
        <v>0</v>
      </c>
      <c r="AA491" s="26">
        <f t="shared" si="8"/>
        <v>0</v>
      </c>
      <c r="AB491" s="26">
        <f t="shared" si="9"/>
        <v>0</v>
      </c>
      <c r="AC491" s="155">
        <v>4.0</v>
      </c>
      <c r="AD491" s="155">
        <v>0.0</v>
      </c>
      <c r="AE491" s="155">
        <v>0.0</v>
      </c>
      <c r="AF491" s="155">
        <v>0.0</v>
      </c>
      <c r="AG491" s="155">
        <v>0.0</v>
      </c>
      <c r="AH491" s="155">
        <v>0.0</v>
      </c>
      <c r="AI491" s="167"/>
      <c r="AJ491" s="167"/>
      <c r="AK491" s="167"/>
      <c r="AL491" s="167"/>
      <c r="AM491" s="167"/>
      <c r="AN491" s="167"/>
      <c r="AO491" s="167"/>
      <c r="AP491" s="167"/>
      <c r="AQ491" s="167"/>
      <c r="AR491" s="167"/>
      <c r="AS491" s="167"/>
      <c r="AT491" s="167"/>
      <c r="AU491" s="167"/>
      <c r="AV491" s="167"/>
      <c r="AW491" s="167"/>
      <c r="AX491" s="167"/>
      <c r="AY491" s="167">
        <v>1.0</v>
      </c>
      <c r="AZ491" s="167">
        <v>0.0</v>
      </c>
      <c r="BA491" s="167">
        <v>0.0</v>
      </c>
      <c r="BB491" s="167">
        <v>1.0</v>
      </c>
      <c r="BC491" s="167">
        <v>0.0</v>
      </c>
      <c r="BD491" s="167">
        <v>1.0</v>
      </c>
      <c r="BE491" s="167"/>
      <c r="BF491" s="167"/>
      <c r="BG491" s="167"/>
      <c r="BH491" s="167"/>
      <c r="BI491" s="167"/>
      <c r="BJ491" s="167"/>
      <c r="BK491" s="167">
        <v>1.0</v>
      </c>
      <c r="BL491" s="167"/>
      <c r="BM491" s="167"/>
      <c r="BN491" s="155">
        <v>6.0</v>
      </c>
      <c r="BO491" s="155">
        <v>0.0</v>
      </c>
      <c r="BP491" s="155">
        <v>0.0</v>
      </c>
      <c r="BQ491" s="155">
        <v>0.0</v>
      </c>
      <c r="BR491" s="155">
        <v>0.0</v>
      </c>
      <c r="BS491" s="155">
        <v>0.0</v>
      </c>
      <c r="BT491" s="167">
        <v>0.0</v>
      </c>
      <c r="BU491" s="167">
        <v>0.0</v>
      </c>
      <c r="BV491" s="167">
        <v>1.0</v>
      </c>
      <c r="BW491" s="167">
        <v>0.0</v>
      </c>
      <c r="BX491" s="167">
        <v>1.0</v>
      </c>
      <c r="BY491" s="167">
        <v>0.0</v>
      </c>
      <c r="BZ491" s="167">
        <v>1.0</v>
      </c>
      <c r="CA491" s="167"/>
      <c r="CB491" s="167"/>
      <c r="CC491" s="167"/>
      <c r="CD491" s="167"/>
      <c r="CE491" s="167"/>
      <c r="CF491" s="167"/>
      <c r="CG491" s="167"/>
      <c r="CH491" s="167"/>
      <c r="CI491" s="167"/>
      <c r="CJ491" s="167"/>
      <c r="CK491" s="167"/>
      <c r="CL491" s="167"/>
      <c r="CM491" s="167"/>
      <c r="CN491" s="167"/>
      <c r="CO491" s="167"/>
      <c r="CP491" s="167">
        <v>0.0</v>
      </c>
      <c r="CQ491" s="167">
        <v>1.0</v>
      </c>
      <c r="CR491" s="167">
        <v>0.0</v>
      </c>
      <c r="CS491" s="167">
        <v>1.0</v>
      </c>
      <c r="CT491" s="167">
        <v>0.0</v>
      </c>
      <c r="CU491" s="167">
        <v>1.0</v>
      </c>
      <c r="CV491" s="156">
        <v>10.0</v>
      </c>
      <c r="CW491" s="156">
        <v>0.0</v>
      </c>
      <c r="CX491" s="156">
        <v>0.0</v>
      </c>
      <c r="CY491" s="156">
        <v>0.0</v>
      </c>
      <c r="CZ491" s="156">
        <v>0.0</v>
      </c>
      <c r="DA491" s="156">
        <v>0.0</v>
      </c>
      <c r="DB491" s="395">
        <v>0.0</v>
      </c>
      <c r="DC491" s="395">
        <v>0.0</v>
      </c>
      <c r="DD491" s="395">
        <v>1.0</v>
      </c>
      <c r="DE491" s="395">
        <v>0.0</v>
      </c>
      <c r="DF491" s="395">
        <v>1.0</v>
      </c>
      <c r="DG491" s="395">
        <v>0.0</v>
      </c>
      <c r="DH491" s="395">
        <v>1.0</v>
      </c>
      <c r="DI491" s="395"/>
      <c r="DJ491" s="395"/>
      <c r="DK491" s="395"/>
      <c r="DL491" s="395"/>
      <c r="DM491" s="395">
        <v>1.0</v>
      </c>
      <c r="DN491" s="395">
        <v>0.0</v>
      </c>
      <c r="DO491" s="395">
        <v>1.0</v>
      </c>
      <c r="DP491" s="395">
        <v>0.0</v>
      </c>
      <c r="DQ491" s="395">
        <v>0.0</v>
      </c>
      <c r="DR491" s="395">
        <v>1.0</v>
      </c>
      <c r="DS491" s="395">
        <v>0.0</v>
      </c>
      <c r="DT491" s="395">
        <v>1.0</v>
      </c>
      <c r="DU491" s="395">
        <v>0.0</v>
      </c>
      <c r="DV491" s="395">
        <v>1.0</v>
      </c>
      <c r="DW491" s="395">
        <v>0.0</v>
      </c>
      <c r="DX491" s="395">
        <v>0.0</v>
      </c>
      <c r="DY491" s="395">
        <v>1.0</v>
      </c>
      <c r="DZ491" s="395">
        <v>0.0</v>
      </c>
      <c r="EA491" s="395">
        <v>1.0</v>
      </c>
      <c r="EB491" s="395"/>
      <c r="EC491" s="395"/>
      <c r="ED491" s="395"/>
      <c r="EE491" s="395"/>
      <c r="EF491" s="395"/>
      <c r="EG491" s="156">
        <v>1.0</v>
      </c>
      <c r="EH491" s="156">
        <v>0.0</v>
      </c>
      <c r="EI491" s="156">
        <v>0.0</v>
      </c>
      <c r="EJ491" s="156">
        <v>0.0</v>
      </c>
      <c r="EK491" s="156">
        <v>0.0</v>
      </c>
      <c r="EL491" s="156">
        <v>0.0</v>
      </c>
      <c r="EM491" s="395"/>
      <c r="EN491" s="395"/>
      <c r="EO491" s="395"/>
      <c r="EP491" s="395"/>
      <c r="EQ491" s="395"/>
      <c r="ER491" s="395"/>
      <c r="ES491" s="395">
        <v>1.0</v>
      </c>
      <c r="ET491" s="395"/>
      <c r="EU491" s="395"/>
      <c r="EV491" s="395"/>
      <c r="EW491" s="395"/>
      <c r="EX491" s="395"/>
      <c r="EY491" s="395"/>
      <c r="EZ491" s="395"/>
      <c r="FA491" s="395"/>
      <c r="FB491" s="395"/>
      <c r="FC491" s="395"/>
      <c r="FD491" s="395"/>
      <c r="FE491" s="395"/>
      <c r="FF491" s="395"/>
      <c r="FG491" s="395"/>
      <c r="FH491" s="395"/>
      <c r="FI491" s="395"/>
      <c r="FJ491" s="395"/>
      <c r="FK491" s="395"/>
      <c r="FL491" s="395"/>
      <c r="FM491" s="395"/>
      <c r="FN491" s="395"/>
      <c r="FO491" s="395"/>
      <c r="FP491" s="395"/>
      <c r="FQ491" s="156">
        <v>0.0</v>
      </c>
      <c r="FR491" s="156">
        <v>0.0</v>
      </c>
      <c r="FS491" s="156">
        <v>0.0</v>
      </c>
      <c r="FT491" s="156">
        <v>0.0</v>
      </c>
      <c r="FU491" s="156">
        <v>0.0</v>
      </c>
      <c r="FV491" s="156">
        <v>0.0</v>
      </c>
      <c r="FW491" s="157"/>
      <c r="FX491" s="157"/>
      <c r="FY491" s="157"/>
      <c r="FZ491" s="157"/>
      <c r="GA491" s="157"/>
      <c r="GB491" s="157"/>
      <c r="GC491" s="157"/>
      <c r="GD491" s="157"/>
      <c r="GE491" s="157"/>
      <c r="GF491" s="157"/>
      <c r="GG491" s="157"/>
      <c r="GH491" s="157"/>
      <c r="GI491" s="157"/>
      <c r="GJ491" s="157"/>
      <c r="GK491" s="157"/>
      <c r="GL491" s="157"/>
      <c r="GM491" s="157"/>
      <c r="GN491" s="157"/>
      <c r="GO491" s="157"/>
      <c r="GP491" s="158"/>
      <c r="GQ491" s="157"/>
      <c r="GR491" s="157"/>
      <c r="GS491" s="157"/>
      <c r="GT491" s="157"/>
      <c r="GU491" s="157"/>
      <c r="GV491" s="157"/>
      <c r="GW491" s="157"/>
      <c r="GX491" s="157"/>
      <c r="GY491" s="157"/>
      <c r="GZ491" s="157"/>
      <c r="HA491" s="157"/>
      <c r="HB491" s="155">
        <v>0.0</v>
      </c>
      <c r="HC491" s="155">
        <v>0.0</v>
      </c>
      <c r="HD491" s="155">
        <v>0.0</v>
      </c>
      <c r="HE491" s="155">
        <v>0.0</v>
      </c>
      <c r="HF491" s="155">
        <v>0.0</v>
      </c>
      <c r="HG491" s="155">
        <v>0.0</v>
      </c>
      <c r="IL491" s="159">
        <v>0.0</v>
      </c>
      <c r="IM491" s="156">
        <v>0.0</v>
      </c>
      <c r="IN491" s="156">
        <v>0.0</v>
      </c>
      <c r="IO491" s="156">
        <v>0.0</v>
      </c>
      <c r="IP491" s="156">
        <v>0.0</v>
      </c>
      <c r="IQ491" s="160">
        <v>0.0</v>
      </c>
      <c r="JH491" s="25"/>
      <c r="JW491" s="159">
        <v>0.0</v>
      </c>
      <c r="JX491" s="156">
        <v>0.0</v>
      </c>
      <c r="JY491" s="156">
        <v>0.0</v>
      </c>
      <c r="JZ491" s="156">
        <v>0.0</v>
      </c>
      <c r="KA491" s="156">
        <v>0.0</v>
      </c>
      <c r="KB491" s="160">
        <v>0.0</v>
      </c>
      <c r="LH491" s="159">
        <f t="shared" si="10"/>
        <v>0</v>
      </c>
      <c r="LI491" s="156">
        <f t="shared" si="11"/>
        <v>0</v>
      </c>
      <c r="LJ491" s="156">
        <f t="shared" si="12"/>
        <v>0</v>
      </c>
      <c r="LK491" s="156">
        <f t="shared" si="13"/>
        <v>0</v>
      </c>
      <c r="LL491" s="156">
        <f t="shared" si="14"/>
        <v>0</v>
      </c>
      <c r="LM491" s="160">
        <f t="shared" si="15"/>
        <v>0</v>
      </c>
      <c r="QX491" s="107">
        <v>46038.0</v>
      </c>
    </row>
    <row r="492">
      <c r="A492" s="126"/>
      <c r="B492" s="126"/>
      <c r="C492" s="12"/>
      <c r="D492" s="12"/>
      <c r="E492" s="12"/>
      <c r="F492" s="12"/>
      <c r="G492" s="12"/>
      <c r="H492" s="12"/>
      <c r="I492" s="143">
        <f t="shared" si="22"/>
        <v>-33</v>
      </c>
      <c r="J492" s="144">
        <v>46036.0</v>
      </c>
      <c r="K492" s="164" t="s">
        <v>48</v>
      </c>
      <c r="L492" s="171">
        <v>46086.0</v>
      </c>
      <c r="M492" s="147" t="s">
        <v>228</v>
      </c>
      <c r="N492" s="148">
        <v>246.0</v>
      </c>
      <c r="O492" s="148">
        <v>30.0</v>
      </c>
      <c r="P492" s="26"/>
      <c r="Q492" s="26"/>
      <c r="R492" s="26"/>
      <c r="S492" s="26"/>
      <c r="T492" s="26"/>
      <c r="U492" s="147" t="s">
        <v>3198</v>
      </c>
      <c r="V492" s="149" t="s">
        <v>3186</v>
      </c>
      <c r="W492" s="248" t="s">
        <v>3331</v>
      </c>
      <c r="X492" s="181">
        <v>0.0</v>
      </c>
      <c r="Y492" s="166">
        <f t="shared" si="23"/>
        <v>33</v>
      </c>
      <c r="Z492" s="26">
        <f t="shared" si="7"/>
        <v>0</v>
      </c>
      <c r="AA492" s="26">
        <f t="shared" si="8"/>
        <v>0</v>
      </c>
      <c r="AB492" s="26">
        <f t="shared" si="9"/>
        <v>0</v>
      </c>
      <c r="AC492" s="155">
        <v>7.0</v>
      </c>
      <c r="AD492" s="155">
        <v>0.0</v>
      </c>
      <c r="AE492" s="155">
        <v>0.0</v>
      </c>
      <c r="AF492" s="155">
        <v>0.0</v>
      </c>
      <c r="AG492" s="155">
        <v>0.0</v>
      </c>
      <c r="AH492" s="155">
        <v>0.0</v>
      </c>
      <c r="AI492" s="167"/>
      <c r="AJ492" s="167"/>
      <c r="AK492" s="167"/>
      <c r="AL492" s="167"/>
      <c r="AM492" s="167"/>
      <c r="AN492" s="167"/>
      <c r="AO492" s="167"/>
      <c r="AP492" s="167"/>
      <c r="AQ492" s="167"/>
      <c r="AR492" s="167"/>
      <c r="AS492" s="167"/>
      <c r="AT492" s="167"/>
      <c r="AU492" s="167"/>
      <c r="AV492" s="167">
        <v>1.0</v>
      </c>
      <c r="AW492" s="167">
        <v>0.0</v>
      </c>
      <c r="AX492" s="167">
        <v>1.0</v>
      </c>
      <c r="AY492" s="167">
        <v>0.0</v>
      </c>
      <c r="AZ492" s="167">
        <v>0.0</v>
      </c>
      <c r="BA492" s="167">
        <v>1.0</v>
      </c>
      <c r="BB492" s="167">
        <v>0.0</v>
      </c>
      <c r="BC492" s="167">
        <v>1.0</v>
      </c>
      <c r="BD492" s="167">
        <v>0.0</v>
      </c>
      <c r="BE492" s="167">
        <v>1.0</v>
      </c>
      <c r="BF492" s="167">
        <v>0.0</v>
      </c>
      <c r="BG492" s="167">
        <v>0.0</v>
      </c>
      <c r="BH492" s="167">
        <v>1.0</v>
      </c>
      <c r="BI492" s="167">
        <v>0.0</v>
      </c>
      <c r="BJ492" s="167">
        <v>1.0</v>
      </c>
      <c r="BK492" s="167"/>
      <c r="BL492" s="167"/>
      <c r="BM492" s="167"/>
      <c r="BN492" s="155">
        <v>3.0</v>
      </c>
      <c r="BO492" s="155">
        <v>0.0</v>
      </c>
      <c r="BP492" s="155">
        <v>0.0</v>
      </c>
      <c r="BQ492" s="155">
        <v>0.0</v>
      </c>
      <c r="BR492" s="155">
        <v>0.0</v>
      </c>
      <c r="BS492" s="155">
        <v>0.0</v>
      </c>
      <c r="BT492" s="167"/>
      <c r="BU492" s="167"/>
      <c r="BV492" s="167"/>
      <c r="BW492" s="167"/>
      <c r="BX492" s="167"/>
      <c r="BY492" s="167"/>
      <c r="BZ492" s="167"/>
      <c r="CA492" s="167"/>
      <c r="CB492" s="167">
        <v>1.0</v>
      </c>
      <c r="CC492" s="167">
        <v>0.0</v>
      </c>
      <c r="CD492" s="167">
        <v>1.0</v>
      </c>
      <c r="CE492" s="167">
        <v>0.0</v>
      </c>
      <c r="CF492" s="167">
        <v>1.0</v>
      </c>
      <c r="CG492" s="167"/>
      <c r="CH492" s="167"/>
      <c r="CI492" s="167"/>
      <c r="CJ492" s="167"/>
      <c r="CK492" s="167"/>
      <c r="CL492" s="167"/>
      <c r="CM492" s="167"/>
      <c r="CN492" s="167"/>
      <c r="CO492" s="167"/>
      <c r="CP492" s="167"/>
      <c r="CQ492" s="167"/>
      <c r="CR492" s="167"/>
      <c r="CS492" s="167"/>
      <c r="CT492" s="167"/>
      <c r="CU492" s="167"/>
      <c r="CV492" s="156">
        <v>1.0</v>
      </c>
      <c r="CW492" s="156">
        <v>0.0</v>
      </c>
      <c r="CX492" s="156">
        <v>0.0</v>
      </c>
      <c r="CY492" s="156">
        <v>0.0</v>
      </c>
      <c r="CZ492" s="156">
        <v>0.0</v>
      </c>
      <c r="DA492" s="156">
        <v>0.0</v>
      </c>
      <c r="DC492" s="86">
        <v>1.0</v>
      </c>
      <c r="EG492" s="156">
        <v>0.0</v>
      </c>
      <c r="EH492" s="156">
        <v>0.0</v>
      </c>
      <c r="EI492" s="156">
        <v>0.0</v>
      </c>
      <c r="EJ492" s="156">
        <v>0.0</v>
      </c>
      <c r="EK492" s="156">
        <v>0.0</v>
      </c>
      <c r="EL492" s="156">
        <v>0.0</v>
      </c>
      <c r="FQ492" s="156">
        <v>0.0</v>
      </c>
      <c r="FR492" s="156">
        <v>0.0</v>
      </c>
      <c r="FS492" s="156">
        <v>0.0</v>
      </c>
      <c r="FT492" s="156">
        <v>0.0</v>
      </c>
      <c r="FU492" s="156">
        <v>0.0</v>
      </c>
      <c r="FV492" s="156">
        <v>0.0</v>
      </c>
      <c r="FW492" s="157"/>
      <c r="FX492" s="157"/>
      <c r="FY492" s="157"/>
      <c r="FZ492" s="157"/>
      <c r="GA492" s="157"/>
      <c r="GB492" s="157"/>
      <c r="GC492" s="157"/>
      <c r="GD492" s="157"/>
      <c r="GE492" s="157"/>
      <c r="GF492" s="157"/>
      <c r="GG492" s="157"/>
      <c r="GH492" s="157"/>
      <c r="GI492" s="157"/>
      <c r="GJ492" s="157"/>
      <c r="GK492" s="157"/>
      <c r="GL492" s="157"/>
      <c r="GM492" s="157"/>
      <c r="GN492" s="157"/>
      <c r="GO492" s="157"/>
      <c r="GP492" s="158"/>
      <c r="GQ492" s="157"/>
      <c r="GR492" s="157"/>
      <c r="GS492" s="157"/>
      <c r="GT492" s="157"/>
      <c r="GU492" s="157"/>
      <c r="GV492" s="157"/>
      <c r="GW492" s="157"/>
      <c r="GX492" s="157"/>
      <c r="GY492" s="157"/>
      <c r="GZ492" s="157"/>
      <c r="HA492" s="157"/>
      <c r="HB492" s="155">
        <v>0.0</v>
      </c>
      <c r="HC492" s="155">
        <v>0.0</v>
      </c>
      <c r="HD492" s="155">
        <v>0.0</v>
      </c>
      <c r="HE492" s="155">
        <v>0.0</v>
      </c>
      <c r="HF492" s="155">
        <v>0.0</v>
      </c>
      <c r="HG492" s="155">
        <v>0.0</v>
      </c>
      <c r="IL492" s="159">
        <v>7.0</v>
      </c>
      <c r="IM492" s="156">
        <v>0.0</v>
      </c>
      <c r="IN492" s="156">
        <v>0.0</v>
      </c>
      <c r="IO492" s="156">
        <v>0.0</v>
      </c>
      <c r="IP492" s="156">
        <v>0.0</v>
      </c>
      <c r="IQ492" s="160">
        <v>0.0</v>
      </c>
      <c r="IY492" s="86">
        <v>1.0</v>
      </c>
      <c r="JA492" s="86">
        <v>1.0</v>
      </c>
      <c r="JD492" s="86">
        <v>1.0</v>
      </c>
      <c r="JH492" s="162">
        <v>1.0</v>
      </c>
      <c r="JK492" s="86">
        <v>1.0</v>
      </c>
      <c r="JM492" s="86">
        <v>1.0</v>
      </c>
      <c r="JO492" s="86">
        <v>1.0</v>
      </c>
      <c r="JW492" s="159">
        <v>9.0</v>
      </c>
      <c r="JX492" s="156">
        <v>0.0</v>
      </c>
      <c r="JY492" s="156">
        <v>0.0</v>
      </c>
      <c r="JZ492" s="156">
        <v>0.0</v>
      </c>
      <c r="KA492" s="156">
        <v>0.0</v>
      </c>
      <c r="KB492" s="160">
        <v>0.0</v>
      </c>
      <c r="KC492" s="174"/>
      <c r="KD492" s="175">
        <v>2.0</v>
      </c>
      <c r="KE492" s="174"/>
      <c r="KF492" s="174"/>
      <c r="KG492" s="175">
        <v>1.0</v>
      </c>
      <c r="KH492" s="174"/>
      <c r="KI492" s="175">
        <v>1.0</v>
      </c>
      <c r="KJ492" s="174"/>
      <c r="KK492" s="174"/>
      <c r="KL492" s="174"/>
      <c r="KM492" s="174"/>
      <c r="KN492" s="174"/>
      <c r="KO492" s="174"/>
      <c r="KP492" s="174"/>
      <c r="KQ492" s="174"/>
      <c r="KR492" s="174"/>
      <c r="KS492" s="186">
        <v>1.0</v>
      </c>
      <c r="KT492" s="175"/>
      <c r="KU492" s="174">
        <v>1.0</v>
      </c>
      <c r="KV492" s="174"/>
      <c r="KW492" s="175">
        <v>1.0</v>
      </c>
      <c r="KX492" s="174"/>
      <c r="KY492" s="174"/>
      <c r="KZ492" s="175">
        <v>1.0</v>
      </c>
      <c r="LA492" s="174"/>
      <c r="LB492" s="174"/>
      <c r="LC492" s="174"/>
      <c r="LD492" s="175">
        <v>1.0</v>
      </c>
      <c r="LE492" s="174"/>
      <c r="LF492" s="174"/>
      <c r="LG492" s="174"/>
      <c r="LH492" s="159">
        <f t="shared" si="10"/>
        <v>6</v>
      </c>
      <c r="LI492" s="156">
        <f t="shared" si="11"/>
        <v>0</v>
      </c>
      <c r="LJ492" s="156">
        <f t="shared" si="12"/>
        <v>0</v>
      </c>
      <c r="LK492" s="156">
        <f t="shared" si="13"/>
        <v>0</v>
      </c>
      <c r="LL492" s="156">
        <f t="shared" si="14"/>
        <v>0</v>
      </c>
      <c r="LM492" s="160">
        <f t="shared" si="15"/>
        <v>0</v>
      </c>
      <c r="LN492" s="174"/>
      <c r="LO492" s="174"/>
      <c r="LP492" s="174"/>
      <c r="LQ492" s="187">
        <v>1.0</v>
      </c>
      <c r="LR492" s="187">
        <v>2.0</v>
      </c>
      <c r="LS492" s="174"/>
      <c r="LT492" s="174"/>
      <c r="LU492" s="174"/>
      <c r="LV492" s="174"/>
      <c r="LW492" s="174">
        <f t="shared" ref="LW492:MQ492" si="26">IFS(TODAY()&lt;=LW$2,0,WEEKDAY(LW$2)=2,1,WEEKDAY(LW$2)=3,0,WEEKDAY(LW$2)=4,1,WEEKDAY(LW$2)=5,0,WEEKDAY(LW$2)=6,1,WEEKDAY(LW$2)=7,0,WEEKDAY(LW$2)=1,0)</f>
        <v>0</v>
      </c>
      <c r="LX492" s="174">
        <f t="shared" si="26"/>
        <v>1</v>
      </c>
      <c r="LY492" s="174">
        <f t="shared" si="26"/>
        <v>0</v>
      </c>
      <c r="LZ492" s="174">
        <f t="shared" si="26"/>
        <v>0</v>
      </c>
      <c r="MA492" s="174">
        <f t="shared" si="26"/>
        <v>1</v>
      </c>
      <c r="MB492" s="174">
        <f t="shared" si="26"/>
        <v>0</v>
      </c>
      <c r="MC492" s="174">
        <f t="shared" si="26"/>
        <v>1</v>
      </c>
      <c r="MD492" s="174">
        <f t="shared" si="26"/>
        <v>0</v>
      </c>
      <c r="ME492" s="174">
        <f t="shared" si="26"/>
        <v>0</v>
      </c>
      <c r="MF492" s="174">
        <f t="shared" si="26"/>
        <v>0</v>
      </c>
      <c r="MG492" s="174">
        <f t="shared" si="26"/>
        <v>0</v>
      </c>
      <c r="MH492" s="174">
        <f t="shared" si="26"/>
        <v>0</v>
      </c>
      <c r="MI492" s="174">
        <f t="shared" si="26"/>
        <v>0</v>
      </c>
      <c r="MJ492" s="174">
        <f t="shared" si="26"/>
        <v>0</v>
      </c>
      <c r="MK492" s="174">
        <f t="shared" si="26"/>
        <v>0</v>
      </c>
      <c r="ML492" s="174">
        <f t="shared" si="26"/>
        <v>0</v>
      </c>
      <c r="MM492" s="174">
        <f t="shared" si="26"/>
        <v>0</v>
      </c>
      <c r="MN492" s="174">
        <f t="shared" si="26"/>
        <v>0</v>
      </c>
      <c r="MO492" s="174">
        <f t="shared" si="26"/>
        <v>0</v>
      </c>
      <c r="MP492" s="174">
        <f t="shared" si="26"/>
        <v>0</v>
      </c>
      <c r="MQ492" s="174">
        <f t="shared" si="26"/>
        <v>0</v>
      </c>
      <c r="QX492" s="107">
        <v>46038.0</v>
      </c>
    </row>
    <row r="493">
      <c r="A493" s="12"/>
      <c r="B493" s="12"/>
      <c r="C493" s="12"/>
      <c r="D493" s="12"/>
      <c r="E493" s="12"/>
      <c r="F493" s="12"/>
      <c r="G493" s="12"/>
      <c r="H493" s="12"/>
      <c r="I493" s="143">
        <f t="shared" si="22"/>
        <v>-32</v>
      </c>
      <c r="J493" s="144">
        <v>46039.0</v>
      </c>
      <c r="K493" s="164" t="s">
        <v>53</v>
      </c>
      <c r="L493" s="171">
        <v>46154.0</v>
      </c>
      <c r="M493" s="147" t="s">
        <v>400</v>
      </c>
      <c r="N493" s="148">
        <v>357.0</v>
      </c>
      <c r="O493" s="148">
        <v>30.0</v>
      </c>
      <c r="P493" s="148">
        <v>30.0</v>
      </c>
      <c r="Q493" s="148">
        <v>30.0</v>
      </c>
      <c r="R493" s="148">
        <v>30.0</v>
      </c>
      <c r="S493" s="148">
        <v>30.0</v>
      </c>
      <c r="T493" s="148">
        <v>30.0</v>
      </c>
      <c r="U493" s="147" t="s">
        <v>3275</v>
      </c>
      <c r="V493" s="149" t="s">
        <v>3076</v>
      </c>
      <c r="W493" s="248" t="s">
        <v>3332</v>
      </c>
      <c r="X493" s="181">
        <v>0.0</v>
      </c>
      <c r="Y493" s="166">
        <f t="shared" si="23"/>
        <v>32</v>
      </c>
      <c r="Z493" s="26">
        <f t="shared" si="7"/>
        <v>0</v>
      </c>
      <c r="AA493" s="26">
        <f t="shared" si="8"/>
        <v>1</v>
      </c>
      <c r="AB493" s="26">
        <f t="shared" si="9"/>
        <v>0</v>
      </c>
      <c r="AC493" s="155">
        <v>5.0</v>
      </c>
      <c r="AD493" s="155">
        <v>0.0</v>
      </c>
      <c r="AE493" s="155">
        <v>0.0</v>
      </c>
      <c r="AF493" s="155">
        <v>0.0</v>
      </c>
      <c r="AG493" s="155">
        <v>0.0</v>
      </c>
      <c r="AH493" s="155">
        <v>0.0</v>
      </c>
      <c r="AI493" s="167"/>
      <c r="AJ493" s="167"/>
      <c r="AK493" s="167"/>
      <c r="AL493" s="167"/>
      <c r="AM493" s="167"/>
      <c r="AN493" s="167"/>
      <c r="AO493" s="167"/>
      <c r="AP493" s="167"/>
      <c r="AQ493" s="167"/>
      <c r="AR493" s="167"/>
      <c r="AS493" s="167"/>
      <c r="AT493" s="167"/>
      <c r="AU493" s="167"/>
      <c r="AV493" s="167"/>
      <c r="AW493" s="167"/>
      <c r="AX493" s="167"/>
      <c r="AY493" s="168">
        <v>1.0</v>
      </c>
      <c r="AZ493" s="167"/>
      <c r="BA493" s="167"/>
      <c r="BB493" s="167">
        <v>1.0</v>
      </c>
      <c r="BC493" s="167">
        <v>0.0</v>
      </c>
      <c r="BD493" s="167"/>
      <c r="BE493" s="167">
        <v>0.0</v>
      </c>
      <c r="BF493" s="167">
        <v>1.0</v>
      </c>
      <c r="BG493" s="168">
        <v>1.0</v>
      </c>
      <c r="BH493" s="167"/>
      <c r="BI493" s="167"/>
      <c r="BJ493" s="167"/>
      <c r="BK493" s="167"/>
      <c r="BL493" s="167"/>
      <c r="BM493" s="167">
        <v>1.0</v>
      </c>
      <c r="BN493" s="155">
        <v>8.0</v>
      </c>
      <c r="BO493" s="155">
        <v>0.0</v>
      </c>
      <c r="BP493" s="155">
        <v>0.0</v>
      </c>
      <c r="BQ493" s="155">
        <v>0.0</v>
      </c>
      <c r="BR493" s="155">
        <v>0.0</v>
      </c>
      <c r="BS493" s="155">
        <v>0.0</v>
      </c>
      <c r="BT493" s="167">
        <v>0.0</v>
      </c>
      <c r="BU493" s="167">
        <v>0.0</v>
      </c>
      <c r="BV493" s="167">
        <v>1.0</v>
      </c>
      <c r="BW493" s="167">
        <v>0.0</v>
      </c>
      <c r="BX493" s="167">
        <v>1.0</v>
      </c>
      <c r="BY493" s="167">
        <v>0.0</v>
      </c>
      <c r="BZ493" s="167">
        <v>1.0</v>
      </c>
      <c r="CA493" s="167">
        <v>0.0</v>
      </c>
      <c r="CB493" s="167">
        <v>0.0</v>
      </c>
      <c r="CC493" s="167">
        <v>1.0</v>
      </c>
      <c r="CD493" s="167">
        <v>0.0</v>
      </c>
      <c r="CE493" s="167">
        <v>1.0</v>
      </c>
      <c r="CF493" s="167"/>
      <c r="CG493" s="167"/>
      <c r="CH493" s="167"/>
      <c r="CI493" s="167"/>
      <c r="CJ493" s="167"/>
      <c r="CK493" s="167"/>
      <c r="CL493" s="167"/>
      <c r="CM493" s="167"/>
      <c r="CN493" s="167"/>
      <c r="CO493" s="167"/>
      <c r="CP493" s="167"/>
      <c r="CQ493" s="167">
        <v>1.0</v>
      </c>
      <c r="CR493" s="167">
        <v>0.0</v>
      </c>
      <c r="CS493" s="167">
        <v>1.0</v>
      </c>
      <c r="CT493" s="167">
        <v>0.0</v>
      </c>
      <c r="CU493" s="167">
        <v>1.0</v>
      </c>
      <c r="CV493" s="156">
        <v>10.0</v>
      </c>
      <c r="CW493" s="156">
        <v>0.0</v>
      </c>
      <c r="CX493" s="156">
        <v>0.0</v>
      </c>
      <c r="CY493" s="156">
        <v>0.0</v>
      </c>
      <c r="CZ493" s="156">
        <v>0.0</v>
      </c>
      <c r="DA493" s="156">
        <v>0.0</v>
      </c>
      <c r="DB493" s="395">
        <v>0.0</v>
      </c>
      <c r="DC493" s="395">
        <v>0.0</v>
      </c>
      <c r="DD493" s="395">
        <v>1.0</v>
      </c>
      <c r="DE493" s="395">
        <v>0.0</v>
      </c>
      <c r="DF493" s="395">
        <v>1.0</v>
      </c>
      <c r="DG493" s="395">
        <v>0.0</v>
      </c>
      <c r="DH493" s="395">
        <v>1.0</v>
      </c>
      <c r="DI493" s="395">
        <v>0.0</v>
      </c>
      <c r="DJ493" s="395">
        <v>0.0</v>
      </c>
      <c r="DK493" s="395">
        <v>1.0</v>
      </c>
      <c r="DL493" s="395">
        <v>0.0</v>
      </c>
      <c r="DM493" s="395">
        <v>1.0</v>
      </c>
      <c r="DN493" s="395"/>
      <c r="DO493" s="395"/>
      <c r="DP493" s="395"/>
      <c r="DQ493" s="395"/>
      <c r="DR493" s="395">
        <v>1.0</v>
      </c>
      <c r="DS493" s="395"/>
      <c r="DT493" s="395">
        <v>1.0</v>
      </c>
      <c r="DU493" s="395">
        <v>0.0</v>
      </c>
      <c r="DV493" s="395">
        <v>1.0</v>
      </c>
      <c r="DW493" s="395"/>
      <c r="DX493" s="395"/>
      <c r="DY493" s="395"/>
      <c r="DZ493" s="395"/>
      <c r="EA493" s="395">
        <v>1.0</v>
      </c>
      <c r="EB493" s="395"/>
      <c r="EC493" s="395"/>
      <c r="ED493" s="395"/>
      <c r="EE493" s="395"/>
      <c r="EF493" s="395">
        <v>1.0</v>
      </c>
      <c r="EG493" s="156">
        <v>8.0</v>
      </c>
      <c r="EH493" s="156">
        <v>0.0</v>
      </c>
      <c r="EI493" s="156">
        <v>0.0</v>
      </c>
      <c r="EJ493" s="156">
        <v>0.0</v>
      </c>
      <c r="EK493" s="156">
        <v>0.0</v>
      </c>
      <c r="EL493" s="156">
        <v>0.0</v>
      </c>
      <c r="EM493" s="395">
        <v>0.0</v>
      </c>
      <c r="EN493" s="395">
        <v>1.0</v>
      </c>
      <c r="EO493" s="395">
        <v>1.0</v>
      </c>
      <c r="EP493" s="395"/>
      <c r="EQ493" s="395"/>
      <c r="ER493" s="395"/>
      <c r="ES493" s="395">
        <v>1.0</v>
      </c>
      <c r="ET493" s="395"/>
      <c r="EU493" s="395">
        <v>1.0</v>
      </c>
      <c r="EV493" s="395"/>
      <c r="EW493" s="395"/>
      <c r="EX493" s="395"/>
      <c r="EY493" s="395"/>
      <c r="EZ493" s="395">
        <v>1.0</v>
      </c>
      <c r="FA493" s="395">
        <v>0.0</v>
      </c>
      <c r="FB493" s="395">
        <v>1.0</v>
      </c>
      <c r="FC493" s="395"/>
      <c r="FD493" s="395"/>
      <c r="FE493" s="395"/>
      <c r="FF493" s="395"/>
      <c r="FG493" s="395">
        <v>1.0</v>
      </c>
      <c r="FH493" s="395">
        <v>0.0</v>
      </c>
      <c r="FI493" s="395">
        <v>1.0</v>
      </c>
      <c r="FJ493" s="395"/>
      <c r="FK493" s="395"/>
      <c r="FL493" s="395"/>
      <c r="FM493" s="395"/>
      <c r="FN493" s="395"/>
      <c r="FO493" s="395"/>
      <c r="FP493" s="395"/>
      <c r="FQ493" s="156">
        <v>1.0</v>
      </c>
      <c r="FR493" s="156">
        <v>0.0</v>
      </c>
      <c r="FS493" s="156">
        <v>0.0</v>
      </c>
      <c r="FT493" s="156">
        <v>1.0</v>
      </c>
      <c r="FU493" s="156">
        <v>0.0</v>
      </c>
      <c r="FV493" s="156">
        <v>0.0</v>
      </c>
      <c r="FW493" s="172"/>
      <c r="FX493" s="172"/>
      <c r="FY493" s="172"/>
      <c r="FZ493" s="172"/>
      <c r="GA493" s="172"/>
      <c r="GB493" s="172"/>
      <c r="GC493" s="172"/>
      <c r="GD493" s="172"/>
      <c r="GE493" s="172" t="s">
        <v>947</v>
      </c>
      <c r="GF493" s="172"/>
      <c r="GG493" s="172"/>
      <c r="GH493" s="172"/>
      <c r="GI493" s="172"/>
      <c r="GJ493" s="172"/>
      <c r="GK493" s="172"/>
      <c r="GL493" s="172"/>
      <c r="GM493" s="172"/>
      <c r="GN493" s="172"/>
      <c r="GO493" s="172"/>
      <c r="GP493" s="170"/>
      <c r="GQ493" s="172"/>
      <c r="GR493" s="172"/>
      <c r="GS493" s="172"/>
      <c r="GT493" s="172"/>
      <c r="GU493" s="172"/>
      <c r="GV493" s="172"/>
      <c r="GW493" s="172"/>
      <c r="GX493" s="172"/>
      <c r="GY493" s="172"/>
      <c r="GZ493" s="172"/>
      <c r="HA493" s="172"/>
      <c r="HB493" s="155">
        <v>0.0</v>
      </c>
      <c r="HC493" s="155">
        <v>0.0</v>
      </c>
      <c r="HD493" s="155">
        <v>0.0</v>
      </c>
      <c r="HE493" s="155">
        <v>0.0</v>
      </c>
      <c r="HF493" s="155">
        <v>0.0</v>
      </c>
      <c r="HG493" s="155">
        <v>0.0</v>
      </c>
      <c r="HH493" s="172"/>
      <c r="HI493" s="172"/>
      <c r="HJ493" s="172"/>
      <c r="HK493" s="172"/>
      <c r="HL493" s="172"/>
      <c r="HM493" s="172"/>
      <c r="HN493" s="172"/>
      <c r="HO493" s="172"/>
      <c r="HP493" s="172"/>
      <c r="HQ493" s="172"/>
      <c r="HR493" s="172"/>
      <c r="HS493" s="172"/>
      <c r="HT493" s="172"/>
      <c r="HU493" s="172"/>
      <c r="HV493" s="172"/>
      <c r="HW493" s="172"/>
      <c r="HX493" s="172"/>
      <c r="HY493" s="172"/>
      <c r="HZ493" s="172"/>
      <c r="IA493" s="172"/>
      <c r="IB493" s="172"/>
      <c r="IC493" s="172"/>
      <c r="ID493" s="172"/>
      <c r="IE493" s="172"/>
      <c r="IF493" s="172"/>
      <c r="IG493" s="172"/>
      <c r="IH493" s="172"/>
      <c r="II493" s="172"/>
      <c r="IJ493" s="172"/>
      <c r="IK493" s="172"/>
      <c r="IL493" s="159">
        <v>0.0</v>
      </c>
      <c r="IM493" s="156">
        <v>0.0</v>
      </c>
      <c r="IN493" s="156">
        <v>0.0</v>
      </c>
      <c r="IO493" s="156">
        <v>0.0</v>
      </c>
      <c r="IP493" s="156">
        <v>0.0</v>
      </c>
      <c r="IQ493" s="160">
        <v>0.0</v>
      </c>
      <c r="JH493" s="25"/>
      <c r="JW493" s="159">
        <v>0.0</v>
      </c>
      <c r="JX493" s="156">
        <v>0.0</v>
      </c>
      <c r="JY493" s="156">
        <v>0.0</v>
      </c>
      <c r="JZ493" s="156">
        <v>0.0</v>
      </c>
      <c r="KA493" s="156">
        <v>0.0</v>
      </c>
      <c r="KB493" s="160">
        <v>0.0</v>
      </c>
      <c r="LH493" s="159">
        <f t="shared" si="10"/>
        <v>0</v>
      </c>
      <c r="LI493" s="156">
        <f t="shared" si="11"/>
        <v>0</v>
      </c>
      <c r="LJ493" s="156">
        <f t="shared" si="12"/>
        <v>0</v>
      </c>
      <c r="LK493" s="156">
        <f t="shared" si="13"/>
        <v>0</v>
      </c>
      <c r="LL493" s="156">
        <f t="shared" si="14"/>
        <v>0</v>
      </c>
      <c r="LM493" s="160">
        <f t="shared" si="15"/>
        <v>0</v>
      </c>
      <c r="QX493" s="107">
        <v>46038.0</v>
      </c>
    </row>
    <row r="494">
      <c r="A494" s="12"/>
      <c r="B494" s="12"/>
      <c r="C494" s="12"/>
      <c r="D494" s="12"/>
      <c r="E494" s="58"/>
      <c r="F494" s="12"/>
      <c r="G494" s="12"/>
      <c r="H494" s="12"/>
      <c r="I494" s="143">
        <f t="shared" si="22"/>
        <v>-1</v>
      </c>
      <c r="J494" s="144">
        <v>46056.0</v>
      </c>
      <c r="K494" s="180" t="s">
        <v>53</v>
      </c>
      <c r="L494" s="171">
        <v>46058.0</v>
      </c>
      <c r="M494" s="147" t="s">
        <v>1138</v>
      </c>
      <c r="N494" s="148">
        <v>357.0</v>
      </c>
      <c r="O494" s="148">
        <v>30.0</v>
      </c>
      <c r="P494" s="26"/>
      <c r="Q494" s="26"/>
      <c r="R494" s="26"/>
      <c r="S494" s="26"/>
      <c r="T494" s="26"/>
      <c r="U494" s="49" t="s">
        <v>3261</v>
      </c>
      <c r="V494" s="394" t="s">
        <v>3333</v>
      </c>
      <c r="W494" s="198" t="s">
        <v>3334</v>
      </c>
      <c r="X494" s="181">
        <v>0.0</v>
      </c>
      <c r="Y494" s="166">
        <f t="shared" si="23"/>
        <v>1</v>
      </c>
      <c r="Z494" s="26">
        <f t="shared" si="7"/>
        <v>0</v>
      </c>
      <c r="AA494" s="26">
        <f t="shared" si="8"/>
        <v>0</v>
      </c>
      <c r="AB494" s="26">
        <f t="shared" si="9"/>
        <v>0</v>
      </c>
      <c r="AC494" s="155">
        <v>0.0</v>
      </c>
      <c r="AD494" s="155">
        <v>0.0</v>
      </c>
      <c r="AE494" s="155">
        <v>0.0</v>
      </c>
      <c r="AF494" s="155">
        <v>0.0</v>
      </c>
      <c r="AG494" s="155">
        <v>0.0</v>
      </c>
      <c r="AH494" s="155">
        <v>0.0</v>
      </c>
      <c r="BN494" s="155">
        <v>1.0</v>
      </c>
      <c r="BO494" s="155">
        <v>0.0</v>
      </c>
      <c r="BP494" s="155">
        <v>0.0</v>
      </c>
      <c r="BQ494" s="155">
        <v>0.0</v>
      </c>
      <c r="BR494" s="155">
        <v>0.0</v>
      </c>
      <c r="BS494" s="155">
        <v>0.0</v>
      </c>
      <c r="BT494" s="167">
        <v>0.0</v>
      </c>
      <c r="BU494" s="167">
        <v>0.0</v>
      </c>
      <c r="BV494" s="167">
        <v>1.0</v>
      </c>
      <c r="BW494" s="167"/>
      <c r="BX494" s="167"/>
      <c r="BY494" s="167"/>
      <c r="BZ494" s="167"/>
      <c r="CA494" s="167"/>
      <c r="CB494" s="167"/>
      <c r="CC494" s="167"/>
      <c r="CD494" s="167"/>
      <c r="CE494" s="167"/>
      <c r="CF494" s="167"/>
      <c r="CG494" s="167"/>
      <c r="CH494" s="167"/>
      <c r="CI494" s="167"/>
      <c r="CJ494" s="167"/>
      <c r="CK494" s="167"/>
      <c r="CL494" s="167"/>
      <c r="CM494" s="167"/>
      <c r="CN494" s="167"/>
      <c r="CO494" s="167"/>
      <c r="CP494" s="167"/>
      <c r="CQ494" s="167"/>
      <c r="CR494" s="167"/>
      <c r="CS494" s="167"/>
      <c r="CT494" s="167"/>
      <c r="CU494" s="167"/>
      <c r="CV494" s="156">
        <v>0.0</v>
      </c>
      <c r="CW494" s="156">
        <v>0.0</v>
      </c>
      <c r="CX494" s="156">
        <v>0.0</v>
      </c>
      <c r="CY494" s="156">
        <v>0.0</v>
      </c>
      <c r="CZ494" s="156">
        <v>0.0</v>
      </c>
      <c r="DA494" s="156">
        <v>0.0</v>
      </c>
      <c r="EG494" s="156">
        <v>0.0</v>
      </c>
      <c r="EH494" s="156">
        <v>0.0</v>
      </c>
      <c r="EI494" s="156">
        <v>0.0</v>
      </c>
      <c r="EJ494" s="156">
        <v>0.0</v>
      </c>
      <c r="EK494" s="156">
        <v>0.0</v>
      </c>
      <c r="EL494" s="156">
        <v>0.0</v>
      </c>
      <c r="FQ494" s="156">
        <v>0.0</v>
      </c>
      <c r="FR494" s="156">
        <v>0.0</v>
      </c>
      <c r="FS494" s="156">
        <v>0.0</v>
      </c>
      <c r="FT494" s="156">
        <v>0.0</v>
      </c>
      <c r="FU494" s="156">
        <v>0.0</v>
      </c>
      <c r="FV494" s="156">
        <v>0.0</v>
      </c>
      <c r="FW494" s="157"/>
      <c r="FX494" s="157"/>
      <c r="FY494" s="157"/>
      <c r="FZ494" s="157"/>
      <c r="GA494" s="157"/>
      <c r="GB494" s="157"/>
      <c r="GC494" s="157"/>
      <c r="GD494" s="157"/>
      <c r="GE494" s="157"/>
      <c r="GF494" s="157"/>
      <c r="GG494" s="157"/>
      <c r="GH494" s="157"/>
      <c r="GI494" s="157"/>
      <c r="GJ494" s="157"/>
      <c r="GK494" s="157"/>
      <c r="GL494" s="157"/>
      <c r="GM494" s="157"/>
      <c r="GN494" s="157"/>
      <c r="GO494" s="157"/>
      <c r="GP494" s="158"/>
      <c r="GQ494" s="157"/>
      <c r="GR494" s="157"/>
      <c r="GS494" s="157"/>
      <c r="GT494" s="157"/>
      <c r="GU494" s="157"/>
      <c r="GV494" s="157"/>
      <c r="GW494" s="157"/>
      <c r="GX494" s="157"/>
      <c r="GY494" s="157"/>
      <c r="GZ494" s="157"/>
      <c r="HA494" s="157"/>
      <c r="HB494" s="155">
        <v>0.0</v>
      </c>
      <c r="HC494" s="155">
        <v>0.0</v>
      </c>
      <c r="HD494" s="155">
        <v>0.0</v>
      </c>
      <c r="HE494" s="155">
        <v>0.0</v>
      </c>
      <c r="HF494" s="155">
        <v>0.0</v>
      </c>
      <c r="HG494" s="155">
        <v>0.0</v>
      </c>
      <c r="IL494" s="159">
        <v>0.0</v>
      </c>
      <c r="IM494" s="156">
        <v>0.0</v>
      </c>
      <c r="IN494" s="156">
        <v>0.0</v>
      </c>
      <c r="IO494" s="156">
        <v>0.0</v>
      </c>
      <c r="IP494" s="156">
        <v>0.0</v>
      </c>
      <c r="IQ494" s="160">
        <v>0.0</v>
      </c>
      <c r="JH494" s="25"/>
      <c r="JW494" s="159">
        <v>0.0</v>
      </c>
      <c r="JX494" s="156">
        <v>0.0</v>
      </c>
      <c r="JY494" s="156">
        <v>0.0</v>
      </c>
      <c r="JZ494" s="156">
        <v>0.0</v>
      </c>
      <c r="KA494" s="156">
        <v>0.0</v>
      </c>
      <c r="KB494" s="160">
        <v>0.0</v>
      </c>
      <c r="LH494" s="159">
        <f t="shared" si="10"/>
        <v>0</v>
      </c>
      <c r="LI494" s="156">
        <f t="shared" si="11"/>
        <v>0</v>
      </c>
      <c r="LJ494" s="156">
        <f t="shared" si="12"/>
        <v>0</v>
      </c>
      <c r="LK494" s="156">
        <f t="shared" si="13"/>
        <v>0</v>
      </c>
      <c r="LL494" s="156">
        <f t="shared" si="14"/>
        <v>0</v>
      </c>
      <c r="LM494" s="160">
        <f t="shared" si="15"/>
        <v>0</v>
      </c>
      <c r="QX494" s="107">
        <v>46038.0</v>
      </c>
    </row>
    <row r="495">
      <c r="A495" s="12"/>
      <c r="B495" s="12"/>
      <c r="C495" s="12"/>
      <c r="D495" s="12"/>
      <c r="E495" s="12"/>
      <c r="F495" s="12"/>
      <c r="G495" s="12"/>
      <c r="H495" s="12"/>
      <c r="I495" s="143">
        <f t="shared" si="22"/>
        <v>-24</v>
      </c>
      <c r="J495" s="144">
        <v>46037.0</v>
      </c>
      <c r="K495" s="195" t="s">
        <v>53</v>
      </c>
      <c r="L495" s="171">
        <v>46141.0</v>
      </c>
      <c r="M495" s="147" t="s">
        <v>400</v>
      </c>
      <c r="N495" s="148">
        <v>35.0</v>
      </c>
      <c r="O495" s="148">
        <v>30.0</v>
      </c>
      <c r="P495" s="26"/>
      <c r="Q495" s="26"/>
      <c r="R495" s="26"/>
      <c r="S495" s="26"/>
      <c r="T495" s="26"/>
      <c r="U495" s="147" t="s">
        <v>3335</v>
      </c>
      <c r="V495" s="149" t="s">
        <v>3179</v>
      </c>
      <c r="W495" s="198" t="s">
        <v>3336</v>
      </c>
      <c r="X495" s="181">
        <v>0.0</v>
      </c>
      <c r="Y495" s="166">
        <f t="shared" si="23"/>
        <v>24</v>
      </c>
      <c r="Z495" s="26">
        <f t="shared" si="7"/>
        <v>0</v>
      </c>
      <c r="AA495" s="26">
        <f t="shared" si="8"/>
        <v>0</v>
      </c>
      <c r="AB495" s="26">
        <f t="shared" si="9"/>
        <v>0</v>
      </c>
      <c r="AC495" s="155">
        <v>5.0</v>
      </c>
      <c r="AD495" s="155">
        <v>0.0</v>
      </c>
      <c r="AE495" s="155">
        <v>0.0</v>
      </c>
      <c r="AF495" s="155">
        <v>0.0</v>
      </c>
      <c r="AG495" s="155">
        <v>0.0</v>
      </c>
      <c r="AH495" s="155">
        <v>0.0</v>
      </c>
      <c r="AW495" s="86">
        <v>1.0</v>
      </c>
      <c r="BB495" s="86">
        <v>1.0</v>
      </c>
      <c r="BI495" s="86">
        <v>1.0</v>
      </c>
      <c r="BK495" s="86">
        <v>2.0</v>
      </c>
      <c r="BN495" s="155">
        <v>7.0</v>
      </c>
      <c r="BO495" s="155">
        <v>0.0</v>
      </c>
      <c r="BP495" s="155">
        <v>0.0</v>
      </c>
      <c r="BQ495" s="155">
        <v>0.0</v>
      </c>
      <c r="BR495" s="155">
        <v>0.0</v>
      </c>
      <c r="BS495" s="155">
        <v>0.0</v>
      </c>
      <c r="BV495" s="86">
        <v>1.0</v>
      </c>
      <c r="BX495" s="86">
        <v>1.0</v>
      </c>
      <c r="CC495" s="86">
        <v>1.0</v>
      </c>
      <c r="CE495" s="86">
        <v>1.0</v>
      </c>
      <c r="CJ495" s="86">
        <v>1.0</v>
      </c>
      <c r="CQ495" s="86">
        <v>1.0</v>
      </c>
      <c r="CS495" s="86">
        <v>1.0</v>
      </c>
      <c r="CV495" s="156">
        <v>7.0</v>
      </c>
      <c r="CW495" s="156">
        <v>0.0</v>
      </c>
      <c r="CX495" s="156">
        <v>0.0</v>
      </c>
      <c r="CY495" s="156">
        <v>0.0</v>
      </c>
      <c r="CZ495" s="156">
        <v>0.0</v>
      </c>
      <c r="DA495" s="156">
        <v>0.0</v>
      </c>
      <c r="DD495" s="86">
        <v>1.0</v>
      </c>
      <c r="DK495" s="86">
        <v>2.0</v>
      </c>
      <c r="DR495" s="86">
        <v>1.0</v>
      </c>
      <c r="EA495" s="86">
        <v>2.0</v>
      </c>
      <c r="EF495" s="86">
        <v>1.0</v>
      </c>
      <c r="EG495" s="156">
        <v>5.0</v>
      </c>
      <c r="EH495" s="156">
        <v>0.0</v>
      </c>
      <c r="EI495" s="156">
        <v>0.0</v>
      </c>
      <c r="EJ495" s="156">
        <v>0.0</v>
      </c>
      <c r="EK495" s="156">
        <v>0.0</v>
      </c>
      <c r="EL495" s="156">
        <v>0.0</v>
      </c>
      <c r="ES495" s="86">
        <v>1.0</v>
      </c>
      <c r="EU495" s="86">
        <v>1.0</v>
      </c>
      <c r="EZ495" s="86">
        <v>1.0</v>
      </c>
      <c r="FG495" s="86">
        <v>2.0</v>
      </c>
      <c r="FQ495" s="156">
        <v>0.0</v>
      </c>
      <c r="FR495" s="156">
        <v>0.0</v>
      </c>
      <c r="FS495" s="156">
        <v>0.0</v>
      </c>
      <c r="FT495" s="156">
        <v>0.0</v>
      </c>
      <c r="FU495" s="156">
        <v>0.0</v>
      </c>
      <c r="FV495" s="156">
        <v>0.0</v>
      </c>
      <c r="FW495" s="157"/>
      <c r="FX495" s="157"/>
      <c r="FY495" s="157"/>
      <c r="FZ495" s="157"/>
      <c r="GA495" s="157"/>
      <c r="GB495" s="157"/>
      <c r="GC495" s="157"/>
      <c r="GD495" s="157"/>
      <c r="GE495" s="157"/>
      <c r="GF495" s="157"/>
      <c r="GG495" s="157"/>
      <c r="GH495" s="157"/>
      <c r="GI495" s="157"/>
      <c r="GJ495" s="157"/>
      <c r="GK495" s="157"/>
      <c r="GL495" s="157"/>
      <c r="GM495" s="157"/>
      <c r="GN495" s="157"/>
      <c r="GO495" s="157"/>
      <c r="GP495" s="158"/>
      <c r="GQ495" s="157"/>
      <c r="GR495" s="157"/>
      <c r="GS495" s="157"/>
      <c r="GT495" s="157"/>
      <c r="GU495" s="157"/>
      <c r="GV495" s="157"/>
      <c r="GW495" s="157"/>
      <c r="GX495" s="157"/>
      <c r="GY495" s="157"/>
      <c r="GZ495" s="157"/>
      <c r="HA495" s="157"/>
      <c r="HB495" s="155">
        <v>0.0</v>
      </c>
      <c r="HC495" s="155">
        <v>0.0</v>
      </c>
      <c r="HD495" s="155">
        <v>0.0</v>
      </c>
      <c r="HE495" s="155">
        <v>0.0</v>
      </c>
      <c r="HF495" s="155">
        <v>0.0</v>
      </c>
      <c r="HG495" s="155">
        <v>0.0</v>
      </c>
      <c r="IL495" s="159">
        <v>0.0</v>
      </c>
      <c r="IM495" s="156">
        <v>0.0</v>
      </c>
      <c r="IN495" s="156">
        <v>0.0</v>
      </c>
      <c r="IO495" s="156">
        <v>0.0</v>
      </c>
      <c r="IP495" s="156">
        <v>0.0</v>
      </c>
      <c r="IQ495" s="160">
        <v>0.0</v>
      </c>
      <c r="JH495" s="25"/>
      <c r="JW495" s="159">
        <v>0.0</v>
      </c>
      <c r="JX495" s="156">
        <v>0.0</v>
      </c>
      <c r="JY495" s="156">
        <v>0.0</v>
      </c>
      <c r="JZ495" s="156">
        <v>0.0</v>
      </c>
      <c r="KA495" s="156">
        <v>0.0</v>
      </c>
      <c r="KB495" s="160">
        <v>0.0</v>
      </c>
      <c r="LH495" s="159">
        <f t="shared" si="10"/>
        <v>0</v>
      </c>
      <c r="LI495" s="156">
        <f t="shared" si="11"/>
        <v>0</v>
      </c>
      <c r="LJ495" s="156">
        <f t="shared" si="12"/>
        <v>0</v>
      </c>
      <c r="LK495" s="156">
        <f t="shared" si="13"/>
        <v>0</v>
      </c>
      <c r="LL495" s="156">
        <f t="shared" si="14"/>
        <v>0</v>
      </c>
      <c r="LM495" s="160">
        <f t="shared" si="15"/>
        <v>0</v>
      </c>
      <c r="QX495" s="107">
        <v>46039.0</v>
      </c>
    </row>
    <row r="496">
      <c r="A496" s="12"/>
      <c r="B496" s="12"/>
      <c r="C496" s="12"/>
      <c r="D496" s="12"/>
      <c r="E496" s="12"/>
      <c r="F496" s="12"/>
      <c r="G496" s="12"/>
      <c r="H496" s="12"/>
      <c r="I496" s="143">
        <f t="shared" si="22"/>
        <v>-63</v>
      </c>
      <c r="J496" s="144">
        <v>46038.0</v>
      </c>
      <c r="K496" s="173" t="s">
        <v>48</v>
      </c>
      <c r="L496" s="146"/>
      <c r="M496" s="147" t="s">
        <v>228</v>
      </c>
      <c r="N496" s="148">
        <v>246.0</v>
      </c>
      <c r="O496" s="148">
        <v>30.0</v>
      </c>
      <c r="P496" s="26"/>
      <c r="Q496" s="26"/>
      <c r="R496" s="26"/>
      <c r="S496" s="26"/>
      <c r="T496" s="26"/>
      <c r="U496" s="147" t="s">
        <v>3322</v>
      </c>
      <c r="V496" s="149" t="s">
        <v>3064</v>
      </c>
      <c r="W496" s="248" t="s">
        <v>3337</v>
      </c>
      <c r="X496" s="181">
        <v>0.0</v>
      </c>
      <c r="Y496" s="166">
        <f t="shared" si="23"/>
        <v>63</v>
      </c>
      <c r="Z496" s="26">
        <f t="shared" si="7"/>
        <v>0</v>
      </c>
      <c r="AA496" s="26">
        <f t="shared" si="8"/>
        <v>0</v>
      </c>
      <c r="AB496" s="26">
        <f t="shared" si="9"/>
        <v>0</v>
      </c>
      <c r="AC496" s="155">
        <v>7.0</v>
      </c>
      <c r="AD496" s="155">
        <v>0.0</v>
      </c>
      <c r="AE496" s="155">
        <v>0.0</v>
      </c>
      <c r="AF496" s="155">
        <v>0.0</v>
      </c>
      <c r="AG496" s="155">
        <v>0.0</v>
      </c>
      <c r="AH496" s="155">
        <v>0.0</v>
      </c>
      <c r="AI496" s="167"/>
      <c r="AJ496" s="167"/>
      <c r="AK496" s="167"/>
      <c r="AL496" s="167"/>
      <c r="AM496" s="167"/>
      <c r="AN496" s="167"/>
      <c r="AO496" s="167"/>
      <c r="AP496" s="168"/>
      <c r="AQ496" s="167"/>
      <c r="AR496" s="167"/>
      <c r="AS496" s="167"/>
      <c r="AT496" s="167"/>
      <c r="AU496" s="167"/>
      <c r="AV496" s="167"/>
      <c r="AW496" s="167"/>
      <c r="AX496" s="167">
        <v>1.0</v>
      </c>
      <c r="AY496" s="167">
        <v>0.0</v>
      </c>
      <c r="AZ496" s="168"/>
      <c r="BA496" s="168">
        <v>1.0</v>
      </c>
      <c r="BB496" s="167">
        <v>0.0</v>
      </c>
      <c r="BC496" s="167">
        <v>1.0</v>
      </c>
      <c r="BD496" s="167">
        <v>0.0</v>
      </c>
      <c r="BE496" s="167">
        <v>1.0</v>
      </c>
      <c r="BF496" s="167">
        <v>0.0</v>
      </c>
      <c r="BG496" s="167">
        <v>0.0</v>
      </c>
      <c r="BH496" s="167">
        <v>1.0</v>
      </c>
      <c r="BI496" s="167"/>
      <c r="BJ496" s="168">
        <v>1.0</v>
      </c>
      <c r="BK496" s="167"/>
      <c r="BL496" s="167"/>
      <c r="BM496" s="168">
        <v>1.0</v>
      </c>
      <c r="BN496" s="155">
        <v>7.0</v>
      </c>
      <c r="BO496" s="155">
        <v>0.0</v>
      </c>
      <c r="BP496" s="155">
        <v>0.0</v>
      </c>
      <c r="BQ496" s="155">
        <v>0.0</v>
      </c>
      <c r="BR496" s="155">
        <v>0.0</v>
      </c>
      <c r="BS496" s="155">
        <v>0.0</v>
      </c>
      <c r="BT496" s="167">
        <v>0.0</v>
      </c>
      <c r="BU496" s="167">
        <v>1.0</v>
      </c>
      <c r="BV496" s="167">
        <v>0.0</v>
      </c>
      <c r="BW496" s="167">
        <v>1.0</v>
      </c>
      <c r="BX496" s="167">
        <v>0.0</v>
      </c>
      <c r="BY496" s="167">
        <v>1.0</v>
      </c>
      <c r="BZ496" s="167">
        <v>0.0</v>
      </c>
      <c r="CA496" s="167">
        <v>0.0</v>
      </c>
      <c r="CB496" s="167">
        <v>1.0</v>
      </c>
      <c r="CC496" s="167">
        <v>0.0</v>
      </c>
      <c r="CD496" s="167">
        <v>1.0</v>
      </c>
      <c r="CE496" s="167"/>
      <c r="CF496" s="167"/>
      <c r="CG496" s="167"/>
      <c r="CH496" s="167"/>
      <c r="CI496" s="167"/>
      <c r="CJ496" s="167"/>
      <c r="CK496" s="167"/>
      <c r="CL496" s="167"/>
      <c r="CM496" s="167"/>
      <c r="CN496" s="167"/>
      <c r="CO496" s="167"/>
      <c r="CP496" s="167">
        <v>1.0</v>
      </c>
      <c r="CQ496" s="167"/>
      <c r="CR496" s="167"/>
      <c r="CS496" s="167"/>
      <c r="CT496" s="167">
        <v>1.0</v>
      </c>
      <c r="CU496" s="167">
        <v>0.0</v>
      </c>
      <c r="CV496" s="156">
        <v>13.0</v>
      </c>
      <c r="CW496" s="156">
        <v>0.0</v>
      </c>
      <c r="CX496" s="156">
        <v>0.0</v>
      </c>
      <c r="CY496" s="156">
        <v>0.0</v>
      </c>
      <c r="CZ496" s="156">
        <v>0.0</v>
      </c>
      <c r="DA496" s="156">
        <v>0.0</v>
      </c>
      <c r="DB496" s="174"/>
      <c r="DC496" s="175">
        <v>1.0</v>
      </c>
      <c r="DD496" s="174"/>
      <c r="DE496" s="175">
        <v>1.0</v>
      </c>
      <c r="DF496" s="174"/>
      <c r="DG496" s="174">
        <v>1.0</v>
      </c>
      <c r="DH496" s="174">
        <v>0.0</v>
      </c>
      <c r="DI496" s="174">
        <v>0.0</v>
      </c>
      <c r="DJ496" s="174">
        <v>1.0</v>
      </c>
      <c r="DK496" s="174">
        <v>0.0</v>
      </c>
      <c r="DL496" s="174">
        <v>1.0</v>
      </c>
      <c r="DM496" s="174">
        <v>0.0</v>
      </c>
      <c r="DN496" s="174">
        <v>1.0</v>
      </c>
      <c r="DO496" s="174"/>
      <c r="DP496" s="174"/>
      <c r="DQ496" s="175">
        <v>1.0</v>
      </c>
      <c r="DR496" s="174"/>
      <c r="DS496" s="174">
        <v>1.0</v>
      </c>
      <c r="DT496" s="174"/>
      <c r="DU496" s="175">
        <v>1.0</v>
      </c>
      <c r="DV496" s="174"/>
      <c r="DW496" s="174"/>
      <c r="DX496" s="175">
        <v>1.0</v>
      </c>
      <c r="DY496" s="174"/>
      <c r="DZ496" s="175">
        <v>1.0</v>
      </c>
      <c r="EA496" s="174"/>
      <c r="EB496" s="175">
        <v>1.0</v>
      </c>
      <c r="EC496" s="174"/>
      <c r="ED496" s="174"/>
      <c r="EE496" s="175">
        <v>1.0</v>
      </c>
      <c r="EF496" s="174"/>
      <c r="EG496" s="156">
        <v>11.0</v>
      </c>
      <c r="EH496" s="156">
        <v>0.0</v>
      </c>
      <c r="EI496" s="156">
        <v>0.0</v>
      </c>
      <c r="EJ496" s="156">
        <v>0.0</v>
      </c>
      <c r="EK496" s="156">
        <v>0.0</v>
      </c>
      <c r="EL496" s="156">
        <v>0.0</v>
      </c>
      <c r="EM496" s="174">
        <v>1.0</v>
      </c>
      <c r="EN496" s="174">
        <v>0.0</v>
      </c>
      <c r="EO496" s="174">
        <v>1.0</v>
      </c>
      <c r="EP496" s="174"/>
      <c r="EQ496" s="174"/>
      <c r="ER496" s="175">
        <v>1.0</v>
      </c>
      <c r="ES496" s="174"/>
      <c r="ET496" s="174">
        <v>1.0</v>
      </c>
      <c r="EU496" s="174">
        <v>0.0</v>
      </c>
      <c r="EV496" s="174">
        <v>1.0</v>
      </c>
      <c r="EW496" s="174">
        <v>0.0</v>
      </c>
      <c r="EX496" s="174">
        <v>0.0</v>
      </c>
      <c r="EY496" s="174">
        <v>1.0</v>
      </c>
      <c r="EZ496" s="174">
        <v>0.0</v>
      </c>
      <c r="FA496" s="174">
        <v>1.0</v>
      </c>
      <c r="FB496" s="174"/>
      <c r="FC496" s="174"/>
      <c r="FD496" s="174"/>
      <c r="FE496" s="175">
        <v>1.0</v>
      </c>
      <c r="FF496" s="174">
        <v>1.0</v>
      </c>
      <c r="FG496" s="174">
        <v>0.0</v>
      </c>
      <c r="FH496" s="174">
        <v>1.0</v>
      </c>
      <c r="FI496" s="174">
        <v>0.0</v>
      </c>
      <c r="FJ496" s="174">
        <v>1.0</v>
      </c>
      <c r="FK496" s="174"/>
      <c r="FL496" s="174"/>
      <c r="FM496" s="174"/>
      <c r="FN496" s="174"/>
      <c r="FO496" s="174"/>
      <c r="FP496" s="174"/>
      <c r="FQ496" s="156">
        <v>8.0</v>
      </c>
      <c r="FR496" s="156">
        <v>0.0</v>
      </c>
      <c r="FS496" s="156">
        <v>0.0</v>
      </c>
      <c r="FT496" s="156">
        <v>0.0</v>
      </c>
      <c r="FU496" s="156">
        <v>0.0</v>
      </c>
      <c r="FV496" s="156">
        <v>0.0</v>
      </c>
      <c r="FW496" s="174"/>
      <c r="FX496" s="174"/>
      <c r="FY496" s="174"/>
      <c r="FZ496" s="174">
        <v>1.0</v>
      </c>
      <c r="GA496" s="174">
        <v>0.0</v>
      </c>
      <c r="GB496" s="174">
        <v>1.0</v>
      </c>
      <c r="GC496" s="174">
        <v>0.0</v>
      </c>
      <c r="GD496" s="174">
        <v>1.0</v>
      </c>
      <c r="GE496" s="174">
        <v>0.0</v>
      </c>
      <c r="GF496" s="174">
        <v>0.0</v>
      </c>
      <c r="GG496" s="174">
        <v>1.0</v>
      </c>
      <c r="GH496" s="174">
        <v>0.0</v>
      </c>
      <c r="GI496" s="174">
        <v>1.0</v>
      </c>
      <c r="GJ496" s="174"/>
      <c r="GK496" s="174"/>
      <c r="GL496" s="174"/>
      <c r="GM496" s="174"/>
      <c r="GN496" s="174"/>
      <c r="GO496" s="174"/>
      <c r="GP496" s="177"/>
      <c r="GQ496" s="174"/>
      <c r="GR496" s="174">
        <v>1.0</v>
      </c>
      <c r="GS496" s="174">
        <v>0.0</v>
      </c>
      <c r="GT496" s="174">
        <v>0.0</v>
      </c>
      <c r="GU496" s="174"/>
      <c r="GV496" s="174">
        <v>0.0</v>
      </c>
      <c r="GW496" s="174">
        <v>1.0</v>
      </c>
      <c r="GX496" s="174">
        <v>0.0</v>
      </c>
      <c r="GY496" s="174">
        <v>1.0</v>
      </c>
      <c r="GZ496" s="174">
        <v>0.0</v>
      </c>
      <c r="HA496" s="174">
        <v>0.0</v>
      </c>
      <c r="HB496" s="155">
        <v>10.0</v>
      </c>
      <c r="HC496" s="155">
        <v>0.0</v>
      </c>
      <c r="HD496" s="155">
        <v>0.0</v>
      </c>
      <c r="HE496" s="155">
        <v>0.0</v>
      </c>
      <c r="HF496" s="155">
        <v>0.0</v>
      </c>
      <c r="HG496" s="155">
        <v>0.0</v>
      </c>
      <c r="HH496" s="175">
        <v>1.0</v>
      </c>
      <c r="HI496" s="175"/>
      <c r="HJ496" s="174">
        <v>1.0</v>
      </c>
      <c r="HK496" s="174">
        <v>0.0</v>
      </c>
      <c r="HL496" s="174">
        <v>1.0</v>
      </c>
      <c r="HM496" s="174"/>
      <c r="HN496" s="175"/>
      <c r="HO496" s="174"/>
      <c r="HP496" s="175"/>
      <c r="HQ496" s="175">
        <v>1.0</v>
      </c>
      <c r="HR496" s="174">
        <v>0.0</v>
      </c>
      <c r="HS496" s="175">
        <v>1.0</v>
      </c>
      <c r="HT496" s="174">
        <v>0.0</v>
      </c>
      <c r="HU496" s="174">
        <v>0.0</v>
      </c>
      <c r="HV496" s="175">
        <v>1.0</v>
      </c>
      <c r="HW496" s="175">
        <v>0.0</v>
      </c>
      <c r="HX496" s="175">
        <v>1.0</v>
      </c>
      <c r="HY496" s="174">
        <v>0.0</v>
      </c>
      <c r="HZ496" s="175">
        <v>1.0</v>
      </c>
      <c r="IA496" s="174"/>
      <c r="IB496" s="174"/>
      <c r="IC496" s="175"/>
      <c r="ID496" s="175"/>
      <c r="IE496" s="174"/>
      <c r="IF496" s="174"/>
      <c r="IG496" s="174"/>
      <c r="IH496" s="174"/>
      <c r="II496" s="175">
        <v>1.0</v>
      </c>
      <c r="IJ496" s="175">
        <v>1.0</v>
      </c>
      <c r="IK496" s="174"/>
      <c r="IL496" s="159">
        <v>4.0</v>
      </c>
      <c r="IM496" s="156">
        <v>0.0</v>
      </c>
      <c r="IN496" s="156">
        <v>0.0</v>
      </c>
      <c r="IO496" s="156">
        <v>0.0</v>
      </c>
      <c r="IP496" s="156">
        <v>0.0</v>
      </c>
      <c r="IQ496" s="160">
        <v>0.0</v>
      </c>
      <c r="IR496" s="174"/>
      <c r="IS496" s="174">
        <v>0.0</v>
      </c>
      <c r="IT496" s="174"/>
      <c r="IU496" s="174">
        <v>0.0</v>
      </c>
      <c r="IV496" s="174">
        <v>0.0</v>
      </c>
      <c r="IW496" s="174"/>
      <c r="IX496" s="174">
        <v>0.0</v>
      </c>
      <c r="IY496" s="174"/>
      <c r="IZ496" s="174">
        <v>0.0</v>
      </c>
      <c r="JA496" s="175">
        <v>0.0</v>
      </c>
      <c r="JB496" s="174">
        <v>0.0</v>
      </c>
      <c r="JC496" s="175">
        <v>1.0</v>
      </c>
      <c r="JD496" s="175">
        <v>1.0</v>
      </c>
      <c r="JE496" s="174">
        <v>0.0</v>
      </c>
      <c r="JF496" s="174"/>
      <c r="JG496" s="174">
        <v>0.0</v>
      </c>
      <c r="JH496" s="177"/>
      <c r="JI496" s="174"/>
      <c r="JJ496" s="175">
        <v>1.0</v>
      </c>
      <c r="JK496" s="174"/>
      <c r="JL496" s="174"/>
      <c r="JM496" s="174"/>
      <c r="JN496" s="174"/>
      <c r="JO496" s="175">
        <v>1.0</v>
      </c>
      <c r="JP496" s="174"/>
      <c r="JQ496" s="174"/>
      <c r="JR496" s="174"/>
      <c r="JS496" s="174"/>
      <c r="JT496" s="174"/>
      <c r="JU496" s="174"/>
      <c r="JV496" s="174"/>
      <c r="JW496" s="159">
        <v>0.0</v>
      </c>
      <c r="JX496" s="156">
        <v>0.0</v>
      </c>
      <c r="JY496" s="156">
        <v>0.0</v>
      </c>
      <c r="JZ496" s="156">
        <v>0.0</v>
      </c>
      <c r="KA496" s="156">
        <v>0.0</v>
      </c>
      <c r="KB496" s="160">
        <v>0.0</v>
      </c>
      <c r="KC496" s="174"/>
      <c r="KD496" s="174"/>
      <c r="KE496" s="174"/>
      <c r="KF496" s="174"/>
      <c r="KG496" s="174"/>
      <c r="KH496" s="174"/>
      <c r="KI496" s="174"/>
      <c r="KJ496" s="174"/>
      <c r="KK496" s="174"/>
      <c r="KL496" s="174"/>
      <c r="KM496" s="175"/>
      <c r="KN496" s="174"/>
      <c r="KO496" s="174"/>
      <c r="KP496" s="174"/>
      <c r="KQ496" s="175"/>
      <c r="KR496" s="174"/>
      <c r="KS496" s="472"/>
      <c r="KT496" s="174"/>
      <c r="KU496" s="174"/>
      <c r="KV496" s="174"/>
      <c r="KW496" s="174"/>
      <c r="KX496" s="174"/>
      <c r="KY496" s="174"/>
      <c r="KZ496" s="174"/>
      <c r="LA496" s="174"/>
      <c r="LB496" s="174"/>
      <c r="LC496" s="174"/>
      <c r="LD496" s="174"/>
      <c r="LE496" s="174"/>
      <c r="LF496" s="174"/>
      <c r="LG496" s="174"/>
      <c r="LH496" s="159">
        <f t="shared" si="10"/>
        <v>3</v>
      </c>
      <c r="LI496" s="156">
        <f t="shared" si="11"/>
        <v>0</v>
      </c>
      <c r="LJ496" s="156">
        <f t="shared" si="12"/>
        <v>0</v>
      </c>
      <c r="LK496" s="156">
        <f t="shared" si="13"/>
        <v>0</v>
      </c>
      <c r="LL496" s="156">
        <f t="shared" si="14"/>
        <v>0</v>
      </c>
      <c r="LM496" s="160">
        <f t="shared" si="15"/>
        <v>0</v>
      </c>
      <c r="LN496" s="174"/>
      <c r="LO496" s="174"/>
      <c r="LP496" s="174"/>
      <c r="LQ496" s="174"/>
      <c r="LR496" s="174"/>
      <c r="LS496" s="174"/>
      <c r="LT496" s="174"/>
      <c r="LU496" s="174"/>
      <c r="LV496" s="174"/>
      <c r="LW496" s="174">
        <f t="shared" ref="LW496:MQ496" si="27">IFS(TODAY()&lt;=LW$2,0,WEEKDAY(LW$2)=2,1,WEEKDAY(LW$2)=3,0,WEEKDAY(LW$2)=4,1,WEEKDAY(LW$2)=5,0,WEEKDAY(LW$2)=6,1,WEEKDAY(LW$2)=7,0,WEEKDAY(LW$2)=1,0)</f>
        <v>0</v>
      </c>
      <c r="LX496" s="174">
        <f t="shared" si="27"/>
        <v>1</v>
      </c>
      <c r="LY496" s="174">
        <f t="shared" si="27"/>
        <v>0</v>
      </c>
      <c r="LZ496" s="174">
        <f t="shared" si="27"/>
        <v>0</v>
      </c>
      <c r="MA496" s="174">
        <f t="shared" si="27"/>
        <v>1</v>
      </c>
      <c r="MB496" s="174">
        <f t="shared" si="27"/>
        <v>0</v>
      </c>
      <c r="MC496" s="174">
        <f t="shared" si="27"/>
        <v>1</v>
      </c>
      <c r="MD496" s="174">
        <f t="shared" si="27"/>
        <v>0</v>
      </c>
      <c r="ME496" s="174">
        <f t="shared" si="27"/>
        <v>0</v>
      </c>
      <c r="MF496" s="174">
        <f t="shared" si="27"/>
        <v>0</v>
      </c>
      <c r="MG496" s="174">
        <f t="shared" si="27"/>
        <v>0</v>
      </c>
      <c r="MH496" s="174">
        <f t="shared" si="27"/>
        <v>0</v>
      </c>
      <c r="MI496" s="174">
        <f t="shared" si="27"/>
        <v>0</v>
      </c>
      <c r="MJ496" s="174">
        <f t="shared" si="27"/>
        <v>0</v>
      </c>
      <c r="MK496" s="174">
        <f t="shared" si="27"/>
        <v>0</v>
      </c>
      <c r="ML496" s="174">
        <f t="shared" si="27"/>
        <v>0</v>
      </c>
      <c r="MM496" s="174">
        <f t="shared" si="27"/>
        <v>0</v>
      </c>
      <c r="MN496" s="174">
        <f t="shared" si="27"/>
        <v>0</v>
      </c>
      <c r="MO496" s="174">
        <f t="shared" si="27"/>
        <v>0</v>
      </c>
      <c r="MP496" s="174">
        <f t="shared" si="27"/>
        <v>0</v>
      </c>
      <c r="MQ496" s="174">
        <f t="shared" si="27"/>
        <v>0</v>
      </c>
      <c r="QX496" s="107">
        <v>46039.0</v>
      </c>
    </row>
    <row r="497">
      <c r="A497" s="12"/>
      <c r="B497" s="12"/>
      <c r="C497" s="12"/>
      <c r="D497" s="12"/>
      <c r="E497" s="12"/>
      <c r="F497" s="12"/>
      <c r="G497" s="12"/>
      <c r="H497" s="12"/>
      <c r="I497" s="143">
        <f t="shared" si="22"/>
        <v>-63</v>
      </c>
      <c r="J497" s="144">
        <v>46038.0</v>
      </c>
      <c r="K497" s="173" t="s">
        <v>48</v>
      </c>
      <c r="L497" s="146"/>
      <c r="M497" s="147" t="s">
        <v>400</v>
      </c>
      <c r="N497" s="148">
        <v>246.0</v>
      </c>
      <c r="O497" s="148">
        <v>30.0</v>
      </c>
      <c r="P497" s="26"/>
      <c r="Q497" s="26"/>
      <c r="R497" s="26"/>
      <c r="S497" s="26"/>
      <c r="T497" s="26"/>
      <c r="U497" s="164" t="s">
        <v>3338</v>
      </c>
      <c r="V497" s="165" t="s">
        <v>3339</v>
      </c>
      <c r="W497" s="248" t="s">
        <v>3340</v>
      </c>
      <c r="X497" s="181">
        <v>0.0</v>
      </c>
      <c r="Y497" s="166">
        <f t="shared" si="23"/>
        <v>63</v>
      </c>
      <c r="Z497" s="26">
        <f t="shared" si="7"/>
        <v>0</v>
      </c>
      <c r="AA497" s="26">
        <f t="shared" si="8"/>
        <v>1</v>
      </c>
      <c r="AB497" s="26">
        <f t="shared" si="9"/>
        <v>0</v>
      </c>
      <c r="AC497" s="155">
        <v>6.0</v>
      </c>
      <c r="AD497" s="155">
        <v>0.0</v>
      </c>
      <c r="AE497" s="155">
        <v>0.0</v>
      </c>
      <c r="AF497" s="155">
        <v>0.0</v>
      </c>
      <c r="AG497" s="155">
        <v>0.0</v>
      </c>
      <c r="AH497" s="155">
        <v>0.0</v>
      </c>
      <c r="AI497" s="167"/>
      <c r="AJ497" s="167"/>
      <c r="AK497" s="167"/>
      <c r="AL497" s="167"/>
      <c r="AM497" s="167"/>
      <c r="AN497" s="167"/>
      <c r="AO497" s="167"/>
      <c r="AP497" s="167"/>
      <c r="AQ497" s="167"/>
      <c r="AR497" s="167"/>
      <c r="AS497" s="167"/>
      <c r="AT497" s="167"/>
      <c r="AU497" s="167"/>
      <c r="AV497" s="167"/>
      <c r="AW497" s="167"/>
      <c r="AX497" s="167">
        <v>1.0</v>
      </c>
      <c r="AY497" s="167">
        <v>0.0</v>
      </c>
      <c r="AZ497" s="167">
        <v>0.0</v>
      </c>
      <c r="BA497" s="167">
        <v>1.0</v>
      </c>
      <c r="BB497" s="167">
        <v>0.0</v>
      </c>
      <c r="BC497" s="167">
        <v>1.0</v>
      </c>
      <c r="BD497" s="167">
        <v>0.0</v>
      </c>
      <c r="BE497" s="167"/>
      <c r="BF497" s="167">
        <v>0.0</v>
      </c>
      <c r="BG497" s="167">
        <v>0.0</v>
      </c>
      <c r="BH497" s="167">
        <v>1.0</v>
      </c>
      <c r="BI497" s="167">
        <v>0.0</v>
      </c>
      <c r="BJ497" s="167">
        <v>1.0</v>
      </c>
      <c r="BK497" s="167">
        <v>0.0</v>
      </c>
      <c r="BL497" s="167">
        <v>1.0</v>
      </c>
      <c r="BM497" s="167">
        <v>0.0</v>
      </c>
      <c r="BN497" s="155">
        <v>9.0</v>
      </c>
      <c r="BO497" s="155">
        <v>0.0</v>
      </c>
      <c r="BP497" s="155">
        <v>0.0</v>
      </c>
      <c r="BQ497" s="155">
        <v>0.0</v>
      </c>
      <c r="BR497" s="155">
        <v>0.0</v>
      </c>
      <c r="BS497" s="155">
        <v>0.0</v>
      </c>
      <c r="BT497" s="167">
        <v>0.0</v>
      </c>
      <c r="BU497" s="167">
        <v>1.0</v>
      </c>
      <c r="BV497" s="167">
        <v>0.0</v>
      </c>
      <c r="BW497" s="167">
        <v>1.0</v>
      </c>
      <c r="BX497" s="167">
        <v>0.0</v>
      </c>
      <c r="BY497" s="167">
        <v>1.0</v>
      </c>
      <c r="BZ497" s="167">
        <v>0.0</v>
      </c>
      <c r="CA497" s="167">
        <v>0.0</v>
      </c>
      <c r="CB497" s="167">
        <v>1.0</v>
      </c>
      <c r="CC497" s="167">
        <v>0.0</v>
      </c>
      <c r="CD497" s="167">
        <v>1.0</v>
      </c>
      <c r="CE497" s="167">
        <v>0.0</v>
      </c>
      <c r="CF497" s="167">
        <v>1.0</v>
      </c>
      <c r="CG497" s="167"/>
      <c r="CH497" s="167"/>
      <c r="CI497" s="167"/>
      <c r="CJ497" s="167"/>
      <c r="CK497" s="167"/>
      <c r="CL497" s="167"/>
      <c r="CM497" s="167"/>
      <c r="CN497" s="167"/>
      <c r="CO497" s="167"/>
      <c r="CP497" s="167">
        <v>1.0</v>
      </c>
      <c r="CQ497" s="167">
        <v>0.0</v>
      </c>
      <c r="CR497" s="167">
        <v>1.0</v>
      </c>
      <c r="CS497" s="167">
        <v>0.0</v>
      </c>
      <c r="CT497" s="167">
        <v>1.0</v>
      </c>
      <c r="CU497" s="167">
        <v>0.0</v>
      </c>
      <c r="CV497" s="156">
        <v>9.0</v>
      </c>
      <c r="CW497" s="156">
        <v>0.0</v>
      </c>
      <c r="CX497" s="156">
        <v>0.0</v>
      </c>
      <c r="CY497" s="156">
        <v>0.0</v>
      </c>
      <c r="CZ497" s="156">
        <v>0.0</v>
      </c>
      <c r="DA497" s="156">
        <v>0.0</v>
      </c>
      <c r="DB497" s="174">
        <v>0.0</v>
      </c>
      <c r="DC497" s="174">
        <v>1.0</v>
      </c>
      <c r="DD497" s="174">
        <v>0.0</v>
      </c>
      <c r="DE497" s="174">
        <v>1.0</v>
      </c>
      <c r="DF497" s="174">
        <v>0.0</v>
      </c>
      <c r="DG497" s="174"/>
      <c r="DH497" s="174">
        <v>0.0</v>
      </c>
      <c r="DI497" s="174">
        <v>0.0</v>
      </c>
      <c r="DJ497" s="174">
        <v>1.0</v>
      </c>
      <c r="DK497" s="174">
        <v>0.0</v>
      </c>
      <c r="DL497" s="174"/>
      <c r="DM497" s="175">
        <v>1.0</v>
      </c>
      <c r="DN497" s="174"/>
      <c r="DO497" s="174">
        <v>0.0</v>
      </c>
      <c r="DP497" s="174">
        <v>0.0</v>
      </c>
      <c r="DQ497" s="174">
        <v>1.0</v>
      </c>
      <c r="DR497" s="174">
        <v>0.0</v>
      </c>
      <c r="DS497" s="174">
        <v>1.0</v>
      </c>
      <c r="DT497" s="174">
        <v>0.0</v>
      </c>
      <c r="DU497" s="174">
        <v>1.0</v>
      </c>
      <c r="DV497" s="174">
        <v>0.0</v>
      </c>
      <c r="DW497" s="174">
        <v>0.0</v>
      </c>
      <c r="DX497" s="174">
        <v>1.0</v>
      </c>
      <c r="DY497" s="174"/>
      <c r="DZ497" s="174"/>
      <c r="EA497" s="174"/>
      <c r="EB497" s="174"/>
      <c r="EC497" s="174"/>
      <c r="ED497" s="174"/>
      <c r="EE497" s="174">
        <v>1.0</v>
      </c>
      <c r="EF497" s="174">
        <v>0.0</v>
      </c>
      <c r="EG497" s="156">
        <v>10.0</v>
      </c>
      <c r="EH497" s="156">
        <v>0.0</v>
      </c>
      <c r="EI497" s="156">
        <v>0.0</v>
      </c>
      <c r="EJ497" s="156">
        <v>0.0</v>
      </c>
      <c r="EK497" s="156">
        <v>0.0</v>
      </c>
      <c r="EL497" s="156">
        <v>0.0</v>
      </c>
      <c r="EM497" s="174"/>
      <c r="EN497" s="174"/>
      <c r="EO497" s="174">
        <v>1.0</v>
      </c>
      <c r="EP497" s="174"/>
      <c r="EQ497" s="174"/>
      <c r="ER497" s="175">
        <v>1.0</v>
      </c>
      <c r="ES497" s="174"/>
      <c r="ET497" s="174">
        <v>1.0</v>
      </c>
      <c r="EU497" s="174"/>
      <c r="EV497" s="174"/>
      <c r="EW497" s="174"/>
      <c r="EX497" s="174"/>
      <c r="EY497" s="174">
        <v>1.0</v>
      </c>
      <c r="EZ497" s="174">
        <v>0.0</v>
      </c>
      <c r="FA497" s="174">
        <v>1.0</v>
      </c>
      <c r="FB497" s="174">
        <v>0.0</v>
      </c>
      <c r="FC497" s="174">
        <v>1.0</v>
      </c>
      <c r="FD497" s="174">
        <v>0.0</v>
      </c>
      <c r="FE497" s="174">
        <v>0.0</v>
      </c>
      <c r="FF497" s="174">
        <v>1.0</v>
      </c>
      <c r="FG497" s="174">
        <v>0.0</v>
      </c>
      <c r="FH497" s="174">
        <v>1.0</v>
      </c>
      <c r="FI497" s="174">
        <v>0.0</v>
      </c>
      <c r="FJ497" s="174">
        <v>1.0</v>
      </c>
      <c r="FK497" s="174"/>
      <c r="FL497" s="174"/>
      <c r="FM497" s="174"/>
      <c r="FN497" s="174"/>
      <c r="FO497" s="174">
        <v>1.0</v>
      </c>
      <c r="FP497" s="174">
        <v>0.0</v>
      </c>
      <c r="FQ497" s="156">
        <v>9.0</v>
      </c>
      <c r="FR497" s="156">
        <v>0.0</v>
      </c>
      <c r="FS497" s="156">
        <v>0.0</v>
      </c>
      <c r="FT497" s="156">
        <v>0.0</v>
      </c>
      <c r="FU497" s="156">
        <v>0.0</v>
      </c>
      <c r="FV497" s="156">
        <v>0.0</v>
      </c>
      <c r="FW497" s="174"/>
      <c r="FX497" s="174"/>
      <c r="FY497" s="174"/>
      <c r="FZ497" s="174">
        <v>1.0</v>
      </c>
      <c r="GA497" s="174">
        <v>0.0</v>
      </c>
      <c r="GB497" s="174"/>
      <c r="GC497" s="174">
        <v>0.0</v>
      </c>
      <c r="GD497" s="174">
        <v>1.0</v>
      </c>
      <c r="GE497" s="174">
        <v>0.0</v>
      </c>
      <c r="GF497" s="174">
        <v>0.0</v>
      </c>
      <c r="GG497" s="174">
        <v>1.0</v>
      </c>
      <c r="GH497" s="174">
        <v>0.0</v>
      </c>
      <c r="GI497" s="174"/>
      <c r="GJ497" s="174">
        <v>0.0</v>
      </c>
      <c r="GK497" s="174">
        <v>1.0</v>
      </c>
      <c r="GL497" s="174">
        <v>0.0</v>
      </c>
      <c r="GM497" s="174">
        <v>0.0</v>
      </c>
      <c r="GN497" s="174">
        <v>1.0</v>
      </c>
      <c r="GO497" s="174">
        <v>0.0</v>
      </c>
      <c r="GP497" s="176"/>
      <c r="GQ497" s="174">
        <v>0.0</v>
      </c>
      <c r="GR497" s="174">
        <v>1.0</v>
      </c>
      <c r="GS497" s="174">
        <v>0.0</v>
      </c>
      <c r="GT497" s="174">
        <v>0.0</v>
      </c>
      <c r="GU497" s="174">
        <v>1.0</v>
      </c>
      <c r="GV497" s="174">
        <v>0.0</v>
      </c>
      <c r="GW497" s="174">
        <v>1.0</v>
      </c>
      <c r="GX497" s="174">
        <v>0.0</v>
      </c>
      <c r="GY497" s="174">
        <v>1.0</v>
      </c>
      <c r="GZ497" s="174">
        <v>0.0</v>
      </c>
      <c r="HA497" s="174">
        <v>0.0</v>
      </c>
      <c r="HB497" s="155">
        <v>6.0</v>
      </c>
      <c r="HC497" s="155">
        <v>0.0</v>
      </c>
      <c r="HD497" s="155">
        <v>0.0</v>
      </c>
      <c r="HE497" s="155">
        <v>0.0</v>
      </c>
      <c r="HF497" s="155">
        <v>0.0</v>
      </c>
      <c r="HG497" s="155">
        <v>0.0</v>
      </c>
      <c r="HH497" s="174">
        <v>1.0</v>
      </c>
      <c r="HI497" s="174"/>
      <c r="HJ497" s="174"/>
      <c r="HK497" s="174"/>
      <c r="HL497" s="174"/>
      <c r="HM497" s="174"/>
      <c r="HN497" s="175"/>
      <c r="HO497" s="174"/>
      <c r="HP497" s="175">
        <v>1.0</v>
      </c>
      <c r="HQ497" s="174"/>
      <c r="HR497" s="174">
        <v>0.0</v>
      </c>
      <c r="HS497" s="174">
        <v>1.0</v>
      </c>
      <c r="HT497" s="174">
        <v>0.0</v>
      </c>
      <c r="HU497" s="174">
        <v>0.0</v>
      </c>
      <c r="HV497" s="174"/>
      <c r="HW497" s="174">
        <v>0.0</v>
      </c>
      <c r="HX497" s="174">
        <v>1.0</v>
      </c>
      <c r="HY497" s="174">
        <v>0.0</v>
      </c>
      <c r="HZ497" s="174">
        <v>1.0</v>
      </c>
      <c r="IA497" s="174">
        <v>0.0</v>
      </c>
      <c r="IB497" s="174">
        <v>0.0</v>
      </c>
      <c r="IC497" s="174"/>
      <c r="ID497" s="174">
        <v>0.0</v>
      </c>
      <c r="IE497" s="174">
        <v>1.0</v>
      </c>
      <c r="IF497" s="174"/>
      <c r="IG497" s="174"/>
      <c r="IH497" s="174"/>
      <c r="II497" s="174"/>
      <c r="IJ497" s="174"/>
      <c r="IK497" s="174"/>
      <c r="IL497" s="159">
        <v>3.0</v>
      </c>
      <c r="IM497" s="156">
        <v>0.0</v>
      </c>
      <c r="IN497" s="156">
        <v>0.0</v>
      </c>
      <c r="IO497" s="156">
        <v>0.0</v>
      </c>
      <c r="IP497" s="156">
        <v>0.0</v>
      </c>
      <c r="IQ497" s="160">
        <v>0.0</v>
      </c>
      <c r="IR497" s="174"/>
      <c r="IS497" s="174"/>
      <c r="IT497" s="174"/>
      <c r="IU497" s="174"/>
      <c r="IV497" s="174"/>
      <c r="IW497" s="174"/>
      <c r="IX497" s="174"/>
      <c r="IY497" s="174"/>
      <c r="IZ497" s="174"/>
      <c r="JA497" s="174"/>
      <c r="JB497" s="174"/>
      <c r="JC497" s="174"/>
      <c r="JD497" s="174"/>
      <c r="JE497" s="174"/>
      <c r="JF497" s="174"/>
      <c r="JG497" s="174"/>
      <c r="JH497" s="176">
        <v>1.0</v>
      </c>
      <c r="JI497" s="174"/>
      <c r="JJ497" s="174"/>
      <c r="JK497" s="174"/>
      <c r="JL497" s="174"/>
      <c r="JM497" s="175">
        <v>1.0</v>
      </c>
      <c r="JN497" s="174"/>
      <c r="JO497" s="174"/>
      <c r="JP497" s="174"/>
      <c r="JQ497" s="174"/>
      <c r="JR497" s="175">
        <v>1.0</v>
      </c>
      <c r="JS497" s="174"/>
      <c r="JT497" s="174"/>
      <c r="JU497" s="174"/>
      <c r="JV497" s="174"/>
      <c r="JW497" s="159">
        <v>7.0</v>
      </c>
      <c r="JX497" s="156">
        <v>0.0</v>
      </c>
      <c r="JY497" s="156">
        <v>0.0</v>
      </c>
      <c r="JZ497" s="156">
        <v>0.0</v>
      </c>
      <c r="KA497" s="156">
        <v>0.0</v>
      </c>
      <c r="KB497" s="160">
        <v>0.0</v>
      </c>
      <c r="KC497" s="174"/>
      <c r="KD497" s="174"/>
      <c r="KE497" s="175">
        <v>1.0</v>
      </c>
      <c r="KF497" s="174"/>
      <c r="KG497" s="174"/>
      <c r="KH497" s="174"/>
      <c r="KI497" s="175">
        <v>1.0</v>
      </c>
      <c r="KJ497" s="174"/>
      <c r="KK497" s="174"/>
      <c r="KL497" s="174"/>
      <c r="KM497" s="174"/>
      <c r="KN497" s="175">
        <v>1.0</v>
      </c>
      <c r="KO497" s="174"/>
      <c r="KP497" s="175">
        <v>1.0</v>
      </c>
      <c r="KQ497" s="174"/>
      <c r="KR497" s="174"/>
      <c r="KS497" s="186">
        <v>1.0</v>
      </c>
      <c r="KT497" s="174"/>
      <c r="KU497" s="174"/>
      <c r="KV497" s="174"/>
      <c r="KW497" s="174"/>
      <c r="KX497" s="174"/>
      <c r="KY497" s="174"/>
      <c r="KZ497" s="175">
        <v>1.0</v>
      </c>
      <c r="LA497" s="174"/>
      <c r="LB497" s="174"/>
      <c r="LC497" s="174"/>
      <c r="LD497" s="175">
        <v>1.0</v>
      </c>
      <c r="LE497" s="174"/>
      <c r="LF497" s="174"/>
      <c r="LG497" s="174"/>
      <c r="LH497" s="159">
        <f t="shared" si="10"/>
        <v>4</v>
      </c>
      <c r="LI497" s="156">
        <f t="shared" si="11"/>
        <v>0</v>
      </c>
      <c r="LJ497" s="156">
        <f t="shared" si="12"/>
        <v>0</v>
      </c>
      <c r="LK497" s="156">
        <f t="shared" si="13"/>
        <v>1</v>
      </c>
      <c r="LL497" s="156">
        <f t="shared" si="14"/>
        <v>0</v>
      </c>
      <c r="LM497" s="160">
        <f t="shared" si="15"/>
        <v>0</v>
      </c>
      <c r="LN497" s="174"/>
      <c r="LO497" s="174"/>
      <c r="LP497" s="174"/>
      <c r="LQ497" s="174"/>
      <c r="LR497" s="174"/>
      <c r="LS497" s="174"/>
      <c r="LT497" s="187" t="s">
        <v>624</v>
      </c>
      <c r="LU497" s="174"/>
      <c r="LV497" s="174"/>
      <c r="LW497" s="174">
        <f t="shared" ref="LW497:MQ497" si="28">IFS(TODAY()&lt;=LW$2,0,WEEKDAY(LW$2)=2,1,WEEKDAY(LW$2)=3,0,WEEKDAY(LW$2)=4,1,WEEKDAY(LW$2)=5,0,WEEKDAY(LW$2)=6,1,WEEKDAY(LW$2)=7,0,WEEKDAY(LW$2)=1,0)</f>
        <v>0</v>
      </c>
      <c r="LX497" s="174">
        <f t="shared" si="28"/>
        <v>1</v>
      </c>
      <c r="LY497" s="174">
        <f t="shared" si="28"/>
        <v>0</v>
      </c>
      <c r="LZ497" s="174">
        <f t="shared" si="28"/>
        <v>0</v>
      </c>
      <c r="MA497" s="174">
        <f t="shared" si="28"/>
        <v>1</v>
      </c>
      <c r="MB497" s="174">
        <f t="shared" si="28"/>
        <v>0</v>
      </c>
      <c r="MC497" s="174">
        <f t="shared" si="28"/>
        <v>1</v>
      </c>
      <c r="MD497" s="174">
        <f t="shared" si="28"/>
        <v>0</v>
      </c>
      <c r="ME497" s="174">
        <f t="shared" si="28"/>
        <v>0</v>
      </c>
      <c r="MF497" s="174">
        <f t="shared" si="28"/>
        <v>0</v>
      </c>
      <c r="MG497" s="174">
        <f t="shared" si="28"/>
        <v>0</v>
      </c>
      <c r="MH497" s="174">
        <f t="shared" si="28"/>
        <v>0</v>
      </c>
      <c r="MI497" s="174">
        <f t="shared" si="28"/>
        <v>0</v>
      </c>
      <c r="MJ497" s="174">
        <f t="shared" si="28"/>
        <v>0</v>
      </c>
      <c r="MK497" s="174">
        <f t="shared" si="28"/>
        <v>0</v>
      </c>
      <c r="ML497" s="174">
        <f t="shared" si="28"/>
        <v>0</v>
      </c>
      <c r="MM497" s="174">
        <f t="shared" si="28"/>
        <v>0</v>
      </c>
      <c r="MN497" s="174">
        <f t="shared" si="28"/>
        <v>0</v>
      </c>
      <c r="MO497" s="174">
        <f t="shared" si="28"/>
        <v>0</v>
      </c>
      <c r="MP497" s="174">
        <f t="shared" si="28"/>
        <v>0</v>
      </c>
      <c r="MQ497" s="174">
        <f t="shared" si="28"/>
        <v>0</v>
      </c>
      <c r="QX497" s="107">
        <v>46041.0</v>
      </c>
    </row>
    <row r="498">
      <c r="A498" s="12"/>
      <c r="B498" s="12"/>
      <c r="C498" s="12"/>
      <c r="D498" s="12"/>
      <c r="E498" s="12"/>
      <c r="F498" s="12"/>
      <c r="G498" s="12"/>
      <c r="H498" s="12"/>
      <c r="I498" s="143">
        <f t="shared" si="22"/>
        <v>-26</v>
      </c>
      <c r="J498" s="144">
        <v>46040.0</v>
      </c>
      <c r="K498" s="195" t="s">
        <v>61</v>
      </c>
      <c r="L498" s="171">
        <v>46162.0</v>
      </c>
      <c r="M498" s="164" t="s">
        <v>3341</v>
      </c>
      <c r="N498" s="148" t="s">
        <v>3342</v>
      </c>
      <c r="O498" s="148">
        <v>30.0</v>
      </c>
      <c r="P498" s="26"/>
      <c r="Q498" s="26"/>
      <c r="R498" s="26"/>
      <c r="S498" s="26"/>
      <c r="T498" s="26"/>
      <c r="U498" s="147" t="s">
        <v>3157</v>
      </c>
      <c r="V498" s="149" t="s">
        <v>3158</v>
      </c>
      <c r="W498" s="198" t="s">
        <v>3343</v>
      </c>
      <c r="X498" s="181">
        <v>0.0</v>
      </c>
      <c r="Y498" s="166">
        <f t="shared" si="23"/>
        <v>26</v>
      </c>
      <c r="Z498" s="26">
        <f t="shared" si="7"/>
        <v>0</v>
      </c>
      <c r="AA498" s="26">
        <f t="shared" si="8"/>
        <v>1</v>
      </c>
      <c r="AB498" s="26">
        <f t="shared" si="9"/>
        <v>0</v>
      </c>
      <c r="AC498" s="155">
        <v>5.0</v>
      </c>
      <c r="AD498" s="155">
        <v>0.0</v>
      </c>
      <c r="AE498" s="155">
        <v>0.0</v>
      </c>
      <c r="AF498" s="155">
        <v>0.0</v>
      </c>
      <c r="AG498" s="155">
        <v>0.0</v>
      </c>
      <c r="AH498" s="155">
        <v>0.0</v>
      </c>
      <c r="AZ498" s="167">
        <v>1.0</v>
      </c>
      <c r="BA498" s="167">
        <v>1.0</v>
      </c>
      <c r="BB498" s="167">
        <v>1.0</v>
      </c>
      <c r="BC498" s="167">
        <v>0.0</v>
      </c>
      <c r="BD498" s="167">
        <v>0.0</v>
      </c>
      <c r="BE498" s="167">
        <v>0.0</v>
      </c>
      <c r="BF498" s="167">
        <v>0.0</v>
      </c>
      <c r="BG498" s="167"/>
      <c r="BH498" s="167"/>
      <c r="BI498" s="168">
        <v>2.0</v>
      </c>
      <c r="BJ498" s="167">
        <v>0.0</v>
      </c>
      <c r="BK498" s="167">
        <v>0.0</v>
      </c>
      <c r="BL498" s="167">
        <v>0.0</v>
      </c>
      <c r="BM498" s="167">
        <v>0.0</v>
      </c>
      <c r="BN498" s="155">
        <v>5.0</v>
      </c>
      <c r="BO498" s="155">
        <v>0.0</v>
      </c>
      <c r="BP498" s="155">
        <v>0.0</v>
      </c>
      <c r="BQ498" s="155">
        <v>0.0</v>
      </c>
      <c r="BR498" s="155">
        <v>0.0</v>
      </c>
      <c r="BS498" s="155">
        <v>0.0</v>
      </c>
      <c r="BU498" s="86">
        <v>1.0</v>
      </c>
      <c r="CA498" s="86">
        <v>1.0</v>
      </c>
      <c r="CB498" s="86">
        <v>1.0</v>
      </c>
      <c r="CC498" s="86">
        <v>2.0</v>
      </c>
      <c r="CV498" s="156">
        <v>10.0</v>
      </c>
      <c r="CW498" s="156">
        <v>0.0</v>
      </c>
      <c r="CX498" s="156">
        <v>0.0</v>
      </c>
      <c r="CY498" s="156">
        <v>0.0</v>
      </c>
      <c r="CZ498" s="156">
        <v>0.0</v>
      </c>
      <c r="DA498" s="156">
        <v>0.0</v>
      </c>
      <c r="DB498" s="86">
        <v>1.0</v>
      </c>
      <c r="DC498" s="86">
        <v>1.0</v>
      </c>
      <c r="DD498" s="86">
        <v>1.0</v>
      </c>
      <c r="DI498" s="86">
        <v>1.0</v>
      </c>
      <c r="DJ498" s="86">
        <v>1.0</v>
      </c>
      <c r="DK498" s="86">
        <v>1.0</v>
      </c>
      <c r="DX498" s="86">
        <v>1.0</v>
      </c>
      <c r="DY498" s="86">
        <v>1.0</v>
      </c>
      <c r="EE498" s="86">
        <v>1.0</v>
      </c>
      <c r="EF498" s="86">
        <v>1.0</v>
      </c>
      <c r="EG498" s="156">
        <v>2.0</v>
      </c>
      <c r="EH498" s="156">
        <v>0.0</v>
      </c>
      <c r="EI498" s="156">
        <v>0.0</v>
      </c>
      <c r="EJ498" s="156">
        <v>0.0</v>
      </c>
      <c r="EK498" s="156">
        <v>0.0</v>
      </c>
      <c r="EL498" s="156">
        <v>0.0</v>
      </c>
      <c r="EQ498" s="86">
        <v>1.0</v>
      </c>
      <c r="EX498" s="86">
        <v>1.0</v>
      </c>
      <c r="FQ498" s="156">
        <v>0.0</v>
      </c>
      <c r="FR498" s="156">
        <v>0.0</v>
      </c>
      <c r="FS498" s="156">
        <v>0.0</v>
      </c>
      <c r="FT498" s="156">
        <v>0.0</v>
      </c>
      <c r="FU498" s="156">
        <v>0.0</v>
      </c>
      <c r="FV498" s="156">
        <v>0.0</v>
      </c>
      <c r="FW498" s="157"/>
      <c r="FX498" s="157"/>
      <c r="FY498" s="157"/>
      <c r="FZ498" s="157"/>
      <c r="GA498" s="157"/>
      <c r="GB498" s="157"/>
      <c r="GC498" s="157"/>
      <c r="GD498" s="157"/>
      <c r="GE498" s="157"/>
      <c r="GF498" s="157"/>
      <c r="GG498" s="157"/>
      <c r="GH498" s="157"/>
      <c r="GI498" s="157"/>
      <c r="GJ498" s="157"/>
      <c r="GK498" s="157"/>
      <c r="GL498" s="157"/>
      <c r="GM498" s="157"/>
      <c r="GN498" s="157"/>
      <c r="GO498" s="157"/>
      <c r="GP498" s="158"/>
      <c r="GQ498" s="157"/>
      <c r="GR498" s="157"/>
      <c r="GS498" s="157"/>
      <c r="GT498" s="157"/>
      <c r="GU498" s="157"/>
      <c r="GV498" s="157"/>
      <c r="GW498" s="157"/>
      <c r="GX498" s="157"/>
      <c r="GY498" s="157"/>
      <c r="GZ498" s="157"/>
      <c r="HA498" s="157"/>
      <c r="HB498" s="155">
        <v>4.0</v>
      </c>
      <c r="HC498" s="155">
        <v>0.0</v>
      </c>
      <c r="HD498" s="155">
        <v>0.0</v>
      </c>
      <c r="HE498" s="155">
        <v>1.0</v>
      </c>
      <c r="HF498" s="155">
        <v>0.0</v>
      </c>
      <c r="HG498" s="155">
        <v>0.0</v>
      </c>
      <c r="HI498" s="86">
        <v>1.0</v>
      </c>
      <c r="HN498" s="86">
        <v>1.0</v>
      </c>
      <c r="HP498" s="86">
        <v>1.0</v>
      </c>
      <c r="ID498" s="86" t="s">
        <v>947</v>
      </c>
      <c r="IL498" s="159">
        <v>0.0</v>
      </c>
      <c r="IM498" s="156">
        <v>0.0</v>
      </c>
      <c r="IN498" s="156">
        <v>0.0</v>
      </c>
      <c r="IO498" s="156">
        <v>0.0</v>
      </c>
      <c r="IP498" s="156">
        <v>0.0</v>
      </c>
      <c r="IQ498" s="160">
        <v>0.0</v>
      </c>
      <c r="JH498" s="25"/>
      <c r="JW498" s="159">
        <v>0.0</v>
      </c>
      <c r="JX498" s="156">
        <v>0.0</v>
      </c>
      <c r="JY498" s="156">
        <v>0.0</v>
      </c>
      <c r="JZ498" s="156">
        <v>0.0</v>
      </c>
      <c r="KA498" s="156">
        <v>0.0</v>
      </c>
      <c r="KB498" s="160">
        <v>0.0</v>
      </c>
      <c r="LH498" s="159">
        <f t="shared" si="10"/>
        <v>0</v>
      </c>
      <c r="LI498" s="156">
        <f t="shared" si="11"/>
        <v>0</v>
      </c>
      <c r="LJ498" s="156">
        <f t="shared" si="12"/>
        <v>0</v>
      </c>
      <c r="LK498" s="156">
        <f t="shared" si="13"/>
        <v>0</v>
      </c>
      <c r="LL498" s="156">
        <f t="shared" si="14"/>
        <v>0</v>
      </c>
      <c r="LM498" s="160">
        <f t="shared" si="15"/>
        <v>0</v>
      </c>
      <c r="QX498" s="107">
        <v>46042.0</v>
      </c>
    </row>
    <row r="499">
      <c r="A499" s="12"/>
      <c r="B499" s="12"/>
      <c r="C499" s="12"/>
      <c r="D499" s="12"/>
      <c r="E499" s="12"/>
      <c r="F499" s="12"/>
      <c r="G499" s="12"/>
      <c r="H499" s="12"/>
      <c r="I499" s="143">
        <f t="shared" si="22"/>
        <v>-13</v>
      </c>
      <c r="J499" s="144">
        <v>46039.0</v>
      </c>
      <c r="K499" s="145" t="s">
        <v>61</v>
      </c>
      <c r="L499" s="171">
        <v>46086.0</v>
      </c>
      <c r="M499" s="147" t="s">
        <v>400</v>
      </c>
      <c r="N499" s="148">
        <v>357.0</v>
      </c>
      <c r="O499" s="148">
        <v>30.0</v>
      </c>
      <c r="P499" s="26"/>
      <c r="Q499" s="26"/>
      <c r="R499" s="26"/>
      <c r="S499" s="26"/>
      <c r="T499" s="26"/>
      <c r="U499" s="147" t="s">
        <v>3344</v>
      </c>
      <c r="V499" s="149" t="s">
        <v>3080</v>
      </c>
      <c r="W499" s="198" t="s">
        <v>3345</v>
      </c>
      <c r="X499" s="181">
        <v>0.0</v>
      </c>
      <c r="Y499" s="166">
        <f t="shared" si="23"/>
        <v>13</v>
      </c>
      <c r="Z499" s="26">
        <f t="shared" si="7"/>
        <v>0</v>
      </c>
      <c r="AA499" s="26">
        <f t="shared" si="8"/>
        <v>0</v>
      </c>
      <c r="AB499" s="26">
        <f t="shared" si="9"/>
        <v>0</v>
      </c>
      <c r="AC499" s="155">
        <v>6.0</v>
      </c>
      <c r="AD499" s="155">
        <v>0.0</v>
      </c>
      <c r="AE499" s="155">
        <v>0.0</v>
      </c>
      <c r="AF499" s="155">
        <v>0.0</v>
      </c>
      <c r="AG499" s="155">
        <v>0.0</v>
      </c>
      <c r="AH499" s="155">
        <v>0.0</v>
      </c>
      <c r="AI499" s="167"/>
      <c r="AJ499" s="167"/>
      <c r="AK499" s="167"/>
      <c r="AL499" s="167"/>
      <c r="AM499" s="167"/>
      <c r="AN499" s="167"/>
      <c r="AO499" s="167"/>
      <c r="AP499" s="167"/>
      <c r="AQ499" s="167"/>
      <c r="AR499" s="167"/>
      <c r="AS499" s="167"/>
      <c r="AT499" s="167"/>
      <c r="AU499" s="167"/>
      <c r="AV499" s="167"/>
      <c r="AW499" s="167"/>
      <c r="AX499" s="167"/>
      <c r="AY499" s="167">
        <v>1.0</v>
      </c>
      <c r="AZ499" s="167">
        <v>0.0</v>
      </c>
      <c r="BA499" s="167">
        <v>0.0</v>
      </c>
      <c r="BB499" s="167">
        <v>1.0</v>
      </c>
      <c r="BC499" s="167">
        <v>0.0</v>
      </c>
      <c r="BD499" s="167">
        <v>1.0</v>
      </c>
      <c r="BE499" s="167">
        <v>0.0</v>
      </c>
      <c r="BF499" s="168">
        <v>1.0</v>
      </c>
      <c r="BG499" s="167">
        <v>0.0</v>
      </c>
      <c r="BH499" s="167">
        <v>0.0</v>
      </c>
      <c r="BI499" s="167">
        <v>1.0</v>
      </c>
      <c r="BJ499" s="167">
        <v>0.0</v>
      </c>
      <c r="BK499" s="167">
        <v>1.0</v>
      </c>
      <c r="BL499" s="167"/>
      <c r="BM499" s="167"/>
      <c r="BN499" s="155">
        <v>5.0</v>
      </c>
      <c r="BO499" s="155">
        <v>0.0</v>
      </c>
      <c r="BP499" s="155">
        <v>0.0</v>
      </c>
      <c r="BQ499" s="155">
        <v>0.0</v>
      </c>
      <c r="BR499" s="155">
        <v>0.0</v>
      </c>
      <c r="BS499" s="155">
        <v>0.0</v>
      </c>
      <c r="BT499" s="167">
        <v>0.0</v>
      </c>
      <c r="BU499" s="167">
        <v>0.0</v>
      </c>
      <c r="BV499" s="168">
        <v>2.0</v>
      </c>
      <c r="BW499" s="167"/>
      <c r="BX499" s="167"/>
      <c r="BY499" s="167"/>
      <c r="BZ499" s="167">
        <v>1.0</v>
      </c>
      <c r="CA499" s="167">
        <v>0.0</v>
      </c>
      <c r="CB499" s="167">
        <v>0.0</v>
      </c>
      <c r="CC499" s="167">
        <v>1.0</v>
      </c>
      <c r="CD499" s="167"/>
      <c r="CE499" s="167"/>
      <c r="CF499" s="167"/>
      <c r="CG499" s="167"/>
      <c r="CH499" s="167"/>
      <c r="CI499" s="167"/>
      <c r="CJ499" s="167"/>
      <c r="CK499" s="167"/>
      <c r="CL499" s="167"/>
      <c r="CM499" s="167"/>
      <c r="CN499" s="167"/>
      <c r="CO499" s="167"/>
      <c r="CP499" s="167"/>
      <c r="CQ499" s="167">
        <v>1.0</v>
      </c>
      <c r="CR499" s="167"/>
      <c r="CS499" s="167"/>
      <c r="CT499" s="167"/>
      <c r="CU499" s="167"/>
      <c r="CV499" s="156">
        <v>2.0</v>
      </c>
      <c r="CW499" s="156">
        <v>0.0</v>
      </c>
      <c r="CX499" s="156">
        <v>0.0</v>
      </c>
      <c r="CY499" s="156">
        <v>0.0</v>
      </c>
      <c r="CZ499" s="156">
        <v>0.0</v>
      </c>
      <c r="DA499" s="156">
        <v>0.0</v>
      </c>
      <c r="DD499" s="86">
        <v>1.0</v>
      </c>
      <c r="DF499" s="86">
        <v>1.0</v>
      </c>
      <c r="EG499" s="156">
        <v>0.0</v>
      </c>
      <c r="EH499" s="156">
        <v>0.0</v>
      </c>
      <c r="EI499" s="156">
        <v>0.0</v>
      </c>
      <c r="EJ499" s="156">
        <v>0.0</v>
      </c>
      <c r="EK499" s="156">
        <v>0.0</v>
      </c>
      <c r="EL499" s="156">
        <v>0.0</v>
      </c>
      <c r="FQ499" s="156">
        <v>0.0</v>
      </c>
      <c r="FR499" s="156">
        <v>0.0</v>
      </c>
      <c r="FS499" s="156">
        <v>0.0</v>
      </c>
      <c r="FT499" s="156">
        <v>0.0</v>
      </c>
      <c r="FU499" s="156">
        <v>0.0</v>
      </c>
      <c r="FV499" s="156">
        <v>0.0</v>
      </c>
      <c r="FW499" s="157"/>
      <c r="FX499" s="157"/>
      <c r="FY499" s="157"/>
      <c r="FZ499" s="157"/>
      <c r="GA499" s="157"/>
      <c r="GB499" s="157"/>
      <c r="GC499" s="157"/>
      <c r="GD499" s="157"/>
      <c r="GE499" s="157"/>
      <c r="GF499" s="157"/>
      <c r="GG499" s="157"/>
      <c r="GH499" s="157"/>
      <c r="GI499" s="157"/>
      <c r="GJ499" s="157"/>
      <c r="GK499" s="157"/>
      <c r="GL499" s="157"/>
      <c r="GM499" s="157"/>
      <c r="GN499" s="157"/>
      <c r="GO499" s="157"/>
      <c r="GP499" s="158"/>
      <c r="GQ499" s="157"/>
      <c r="GR499" s="157"/>
      <c r="GS499" s="157"/>
      <c r="GT499" s="157"/>
      <c r="GU499" s="157"/>
      <c r="GV499" s="157"/>
      <c r="GW499" s="157"/>
      <c r="GX499" s="157"/>
      <c r="GY499" s="157"/>
      <c r="GZ499" s="157"/>
      <c r="HA499" s="157"/>
      <c r="HB499" s="155">
        <v>0.0</v>
      </c>
      <c r="HC499" s="155">
        <v>0.0</v>
      </c>
      <c r="HD499" s="155">
        <v>0.0</v>
      </c>
      <c r="HE499" s="155">
        <v>0.0</v>
      </c>
      <c r="HF499" s="155">
        <v>0.0</v>
      </c>
      <c r="HG499" s="155">
        <v>0.0</v>
      </c>
      <c r="IL499" s="159">
        <v>0.0</v>
      </c>
      <c r="IM499" s="156">
        <v>0.0</v>
      </c>
      <c r="IN499" s="156">
        <v>0.0</v>
      </c>
      <c r="IO499" s="156">
        <v>0.0</v>
      </c>
      <c r="IP499" s="156">
        <v>0.0</v>
      </c>
      <c r="IQ499" s="160">
        <v>0.0</v>
      </c>
      <c r="JH499" s="25"/>
      <c r="JW499" s="159">
        <v>0.0</v>
      </c>
      <c r="JX499" s="156">
        <v>0.0</v>
      </c>
      <c r="JY499" s="156">
        <v>0.0</v>
      </c>
      <c r="JZ499" s="156">
        <v>0.0</v>
      </c>
      <c r="KA499" s="156">
        <v>0.0</v>
      </c>
      <c r="KB499" s="160">
        <v>0.0</v>
      </c>
      <c r="LH499" s="159">
        <f t="shared" si="10"/>
        <v>0</v>
      </c>
      <c r="LI499" s="156">
        <f t="shared" si="11"/>
        <v>0</v>
      </c>
      <c r="LJ499" s="156">
        <f t="shared" si="12"/>
        <v>0</v>
      </c>
      <c r="LK499" s="156">
        <f t="shared" si="13"/>
        <v>0</v>
      </c>
      <c r="LL499" s="156">
        <f t="shared" si="14"/>
        <v>0</v>
      </c>
      <c r="LM499" s="160">
        <f t="shared" si="15"/>
        <v>0</v>
      </c>
      <c r="QX499" s="107">
        <v>46042.0</v>
      </c>
    </row>
    <row r="500">
      <c r="A500" s="25"/>
      <c r="B500" s="25"/>
      <c r="C500" s="12"/>
      <c r="D500" s="12"/>
      <c r="E500" s="12"/>
      <c r="F500" s="12"/>
      <c r="G500" s="12"/>
      <c r="H500" s="12"/>
      <c r="I500" s="143">
        <f t="shared" si="22"/>
        <v>-30</v>
      </c>
      <c r="J500" s="144">
        <v>46043.0</v>
      </c>
      <c r="K500" s="527" t="s">
        <v>61</v>
      </c>
      <c r="L500" s="171">
        <v>46129.0</v>
      </c>
      <c r="M500" s="147" t="s">
        <v>1433</v>
      </c>
      <c r="N500" s="148">
        <v>246.0</v>
      </c>
      <c r="O500" s="148">
        <v>30.0</v>
      </c>
      <c r="P500" s="26"/>
      <c r="Q500" s="26"/>
      <c r="R500" s="26"/>
      <c r="S500" s="26"/>
      <c r="T500" s="26"/>
      <c r="U500" s="147" t="s">
        <v>2519</v>
      </c>
      <c r="V500" s="149" t="s">
        <v>307</v>
      </c>
      <c r="W500" s="198" t="s">
        <v>3346</v>
      </c>
      <c r="X500" s="181">
        <v>0.0</v>
      </c>
      <c r="Y500" s="166">
        <f t="shared" si="23"/>
        <v>30</v>
      </c>
      <c r="Z500" s="26">
        <f t="shared" si="7"/>
        <v>0</v>
      </c>
      <c r="AA500" s="26">
        <f t="shared" si="8"/>
        <v>0</v>
      </c>
      <c r="AB500" s="26">
        <f t="shared" si="9"/>
        <v>0</v>
      </c>
      <c r="AC500" s="155">
        <v>5.0</v>
      </c>
      <c r="AD500" s="155">
        <v>0.0</v>
      </c>
      <c r="AE500" s="155">
        <v>0.0</v>
      </c>
      <c r="AF500" s="155">
        <v>0.0</v>
      </c>
      <c r="AG500" s="155">
        <v>0.0</v>
      </c>
      <c r="AH500" s="155">
        <v>0.0</v>
      </c>
      <c r="AI500" s="167"/>
      <c r="AJ500" s="167"/>
      <c r="AK500" s="167"/>
      <c r="AL500" s="167"/>
      <c r="AM500" s="167"/>
      <c r="AN500" s="167"/>
      <c r="AO500" s="167"/>
      <c r="AP500" s="167"/>
      <c r="AQ500" s="167"/>
      <c r="AR500" s="167"/>
      <c r="AS500" s="167"/>
      <c r="AT500" s="167"/>
      <c r="AU500" s="167"/>
      <c r="AV500" s="167"/>
      <c r="AW500" s="167"/>
      <c r="AX500" s="167"/>
      <c r="AY500" s="167"/>
      <c r="AZ500" s="167"/>
      <c r="BA500" s="167"/>
      <c r="BB500" s="167"/>
      <c r="BC500" s="167">
        <v>1.0</v>
      </c>
      <c r="BD500" s="167">
        <v>0.0</v>
      </c>
      <c r="BE500" s="167">
        <v>1.0</v>
      </c>
      <c r="BF500" s="167">
        <v>0.0</v>
      </c>
      <c r="BG500" s="167">
        <v>0.0</v>
      </c>
      <c r="BH500" s="167">
        <v>1.0</v>
      </c>
      <c r="BI500" s="167">
        <v>0.0</v>
      </c>
      <c r="BJ500" s="167">
        <v>1.0</v>
      </c>
      <c r="BK500" s="167">
        <v>0.0</v>
      </c>
      <c r="BL500" s="167">
        <v>1.0</v>
      </c>
      <c r="BM500" s="167">
        <v>0.0</v>
      </c>
      <c r="BN500" s="155">
        <v>8.0</v>
      </c>
      <c r="BO500" s="155">
        <v>0.0</v>
      </c>
      <c r="BP500" s="155">
        <v>0.0</v>
      </c>
      <c r="BQ500" s="155">
        <v>0.0</v>
      </c>
      <c r="BR500" s="155">
        <v>0.0</v>
      </c>
      <c r="BS500" s="155">
        <v>0.0</v>
      </c>
      <c r="BT500" s="167"/>
      <c r="BU500" s="167"/>
      <c r="BV500" s="168">
        <v>1.0</v>
      </c>
      <c r="BW500" s="167">
        <v>1.0</v>
      </c>
      <c r="BX500" s="167">
        <v>0.0</v>
      </c>
      <c r="BY500" s="167">
        <v>1.0</v>
      </c>
      <c r="BZ500" s="167">
        <v>0.0</v>
      </c>
      <c r="CA500" s="167">
        <v>0.0</v>
      </c>
      <c r="CB500" s="167">
        <v>1.0</v>
      </c>
      <c r="CC500" s="167">
        <v>0.0</v>
      </c>
      <c r="CD500" s="167"/>
      <c r="CE500" s="167">
        <v>0.0</v>
      </c>
      <c r="CF500" s="167">
        <v>1.0</v>
      </c>
      <c r="CG500" s="167"/>
      <c r="CH500" s="167"/>
      <c r="CI500" s="167"/>
      <c r="CJ500" s="167"/>
      <c r="CK500" s="167"/>
      <c r="CL500" s="167"/>
      <c r="CM500" s="167"/>
      <c r="CN500" s="167"/>
      <c r="CO500" s="167"/>
      <c r="CP500" s="167"/>
      <c r="CQ500" s="168">
        <v>1.0</v>
      </c>
      <c r="CR500" s="167">
        <v>1.0</v>
      </c>
      <c r="CS500" s="167">
        <v>0.0</v>
      </c>
      <c r="CT500" s="167">
        <v>1.0</v>
      </c>
      <c r="CU500" s="167">
        <v>0.0</v>
      </c>
      <c r="CV500" s="156">
        <v>9.0</v>
      </c>
      <c r="CW500" s="156">
        <v>0.0</v>
      </c>
      <c r="CX500" s="156">
        <v>0.0</v>
      </c>
      <c r="CY500" s="156">
        <v>0.0</v>
      </c>
      <c r="CZ500" s="156">
        <v>0.0</v>
      </c>
      <c r="DA500" s="156">
        <v>0.0</v>
      </c>
      <c r="DB500" s="174"/>
      <c r="DC500" s="174"/>
      <c r="DD500" s="174"/>
      <c r="DE500" s="174">
        <v>1.0</v>
      </c>
      <c r="DF500" s="174"/>
      <c r="DG500" s="174"/>
      <c r="DH500" s="174"/>
      <c r="DI500" s="174"/>
      <c r="DJ500" s="174">
        <v>1.0</v>
      </c>
      <c r="DK500" s="174">
        <v>0.0</v>
      </c>
      <c r="DL500" s="174">
        <v>1.0</v>
      </c>
      <c r="DM500" s="174">
        <v>0.0</v>
      </c>
      <c r="DN500" s="174"/>
      <c r="DO500" s="174">
        <v>0.0</v>
      </c>
      <c r="DP500" s="174">
        <v>0.0</v>
      </c>
      <c r="DQ500" s="174">
        <v>1.0</v>
      </c>
      <c r="DR500" s="174">
        <v>0.0</v>
      </c>
      <c r="DS500" s="174">
        <v>1.0</v>
      </c>
      <c r="DT500" s="174">
        <v>0.0</v>
      </c>
      <c r="DU500" s="174"/>
      <c r="DV500" s="174">
        <v>0.0</v>
      </c>
      <c r="DW500" s="175">
        <v>1.0</v>
      </c>
      <c r="DX500" s="174">
        <v>1.0</v>
      </c>
      <c r="DY500" s="175"/>
      <c r="DZ500" s="174">
        <v>1.0</v>
      </c>
      <c r="EA500" s="174">
        <v>0.0</v>
      </c>
      <c r="EB500" s="174">
        <v>1.0</v>
      </c>
      <c r="EC500" s="174"/>
      <c r="ED500" s="174"/>
      <c r="EE500" s="174"/>
      <c r="EF500" s="174"/>
      <c r="EG500" s="156">
        <v>8.0</v>
      </c>
      <c r="EH500" s="156">
        <v>0.0</v>
      </c>
      <c r="EI500" s="156">
        <v>0.0</v>
      </c>
      <c r="EJ500" s="156">
        <v>0.0</v>
      </c>
      <c r="EK500" s="156">
        <v>0.0</v>
      </c>
      <c r="EL500" s="156">
        <v>0.0</v>
      </c>
      <c r="EM500" s="174">
        <v>1.0</v>
      </c>
      <c r="EN500" s="174">
        <v>0.0</v>
      </c>
      <c r="EO500" s="175">
        <v>2.0</v>
      </c>
      <c r="EP500" s="174">
        <v>0.0</v>
      </c>
      <c r="EQ500" s="174">
        <v>0.0</v>
      </c>
      <c r="ER500" s="174">
        <v>1.0</v>
      </c>
      <c r="ES500" s="174">
        <v>0.0</v>
      </c>
      <c r="ET500" s="175">
        <v>1.0</v>
      </c>
      <c r="EU500" s="174">
        <v>0.0</v>
      </c>
      <c r="EV500" s="174">
        <v>1.0</v>
      </c>
      <c r="EW500" s="174">
        <v>0.0</v>
      </c>
      <c r="EX500" s="174">
        <v>0.0</v>
      </c>
      <c r="EY500" s="174">
        <v>1.0</v>
      </c>
      <c r="EZ500" s="174">
        <v>0.0</v>
      </c>
      <c r="FA500" s="174"/>
      <c r="FB500" s="174">
        <v>0.0</v>
      </c>
      <c r="FC500" s="174">
        <v>1.0</v>
      </c>
      <c r="FD500" s="174"/>
      <c r="FE500" s="174"/>
      <c r="FF500" s="174"/>
      <c r="FG500" s="174"/>
      <c r="FH500" s="174"/>
      <c r="FI500" s="174"/>
      <c r="FJ500" s="174"/>
      <c r="FK500" s="174"/>
      <c r="FL500" s="174"/>
      <c r="FM500" s="174"/>
      <c r="FN500" s="174"/>
      <c r="FO500" s="174"/>
      <c r="FP500" s="174"/>
      <c r="FQ500" s="156">
        <v>0.0</v>
      </c>
      <c r="FR500" s="156">
        <v>0.0</v>
      </c>
      <c r="FS500" s="156">
        <v>0.0</v>
      </c>
      <c r="FT500" s="156">
        <v>0.0</v>
      </c>
      <c r="FU500" s="156">
        <v>0.0</v>
      </c>
      <c r="FV500" s="156">
        <v>0.0</v>
      </c>
      <c r="FW500" s="157"/>
      <c r="FX500" s="157"/>
      <c r="FY500" s="157"/>
      <c r="FZ500" s="157"/>
      <c r="GA500" s="157"/>
      <c r="GB500" s="157"/>
      <c r="GC500" s="157"/>
      <c r="GD500" s="157"/>
      <c r="GE500" s="157"/>
      <c r="GF500" s="157"/>
      <c r="GG500" s="157"/>
      <c r="GH500" s="157"/>
      <c r="GI500" s="157"/>
      <c r="GJ500" s="157"/>
      <c r="GK500" s="157"/>
      <c r="GL500" s="157"/>
      <c r="GM500" s="157"/>
      <c r="GN500" s="157"/>
      <c r="GO500" s="157"/>
      <c r="GP500" s="158"/>
      <c r="GQ500" s="157"/>
      <c r="GR500" s="157"/>
      <c r="GS500" s="157"/>
      <c r="GT500" s="157"/>
      <c r="GU500" s="157"/>
      <c r="GV500" s="157"/>
      <c r="GW500" s="157"/>
      <c r="GX500" s="157"/>
      <c r="GY500" s="157"/>
      <c r="GZ500" s="157"/>
      <c r="HA500" s="157"/>
      <c r="HB500" s="155">
        <v>0.0</v>
      </c>
      <c r="HC500" s="155">
        <v>0.0</v>
      </c>
      <c r="HD500" s="155">
        <v>0.0</v>
      </c>
      <c r="HE500" s="155">
        <v>0.0</v>
      </c>
      <c r="HF500" s="155">
        <v>0.0</v>
      </c>
      <c r="HG500" s="155">
        <v>0.0</v>
      </c>
      <c r="IL500" s="159">
        <v>0.0</v>
      </c>
      <c r="IM500" s="156">
        <v>0.0</v>
      </c>
      <c r="IN500" s="156">
        <v>0.0</v>
      </c>
      <c r="IO500" s="156">
        <v>0.0</v>
      </c>
      <c r="IP500" s="156">
        <v>0.0</v>
      </c>
      <c r="IQ500" s="160">
        <v>0.0</v>
      </c>
      <c r="JH500" s="25"/>
      <c r="JW500" s="159">
        <v>0.0</v>
      </c>
      <c r="JX500" s="156">
        <v>0.0</v>
      </c>
      <c r="JY500" s="156">
        <v>0.0</v>
      </c>
      <c r="JZ500" s="156">
        <v>0.0</v>
      </c>
      <c r="KA500" s="156">
        <v>0.0</v>
      </c>
      <c r="KB500" s="160">
        <v>0.0</v>
      </c>
      <c r="LH500" s="159">
        <f t="shared" si="10"/>
        <v>0</v>
      </c>
      <c r="LI500" s="156">
        <f t="shared" si="11"/>
        <v>0</v>
      </c>
      <c r="LJ500" s="156">
        <f t="shared" si="12"/>
        <v>0</v>
      </c>
      <c r="LK500" s="156">
        <f t="shared" si="13"/>
        <v>0</v>
      </c>
      <c r="LL500" s="156">
        <f t="shared" si="14"/>
        <v>0</v>
      </c>
      <c r="LM500" s="160">
        <f t="shared" si="15"/>
        <v>0</v>
      </c>
      <c r="QX500" s="107">
        <v>46042.0</v>
      </c>
    </row>
    <row r="501">
      <c r="A501" s="25"/>
      <c r="B501" s="25"/>
      <c r="C501" s="12"/>
      <c r="D501" s="12"/>
      <c r="E501" s="12"/>
      <c r="F501" s="12"/>
      <c r="G501" s="12"/>
      <c r="H501" s="12"/>
      <c r="I501" s="143">
        <f t="shared" si="22"/>
        <v>-11</v>
      </c>
      <c r="J501" s="144">
        <v>46043.0</v>
      </c>
      <c r="K501" s="180" t="s">
        <v>53</v>
      </c>
      <c r="L501" s="171">
        <v>46112.0</v>
      </c>
      <c r="M501" s="147" t="s">
        <v>400</v>
      </c>
      <c r="N501" s="148">
        <v>246.0</v>
      </c>
      <c r="O501" s="148">
        <v>30.0</v>
      </c>
      <c r="P501" s="26"/>
      <c r="Q501" s="26"/>
      <c r="R501" s="26"/>
      <c r="S501" s="26"/>
      <c r="T501" s="26"/>
      <c r="U501" s="147" t="s">
        <v>3178</v>
      </c>
      <c r="V501" s="149" t="s">
        <v>3179</v>
      </c>
      <c r="W501" s="198" t="s">
        <v>3347</v>
      </c>
      <c r="X501" s="181">
        <v>0.0</v>
      </c>
      <c r="Y501" s="166">
        <f t="shared" si="23"/>
        <v>11</v>
      </c>
      <c r="Z501" s="26">
        <f t="shared" si="7"/>
        <v>0</v>
      </c>
      <c r="AA501" s="26">
        <f t="shared" si="8"/>
        <v>0</v>
      </c>
      <c r="AB501" s="26">
        <f t="shared" si="9"/>
        <v>0</v>
      </c>
      <c r="AC501" s="155">
        <v>2.0</v>
      </c>
      <c r="AD501" s="155">
        <v>0.0</v>
      </c>
      <c r="AE501" s="155">
        <v>0.0</v>
      </c>
      <c r="AF501" s="155">
        <v>0.0</v>
      </c>
      <c r="AG501" s="155">
        <v>0.0</v>
      </c>
      <c r="AH501" s="155">
        <v>0.0</v>
      </c>
      <c r="BC501" s="167">
        <v>1.0</v>
      </c>
      <c r="BD501" s="167"/>
      <c r="BE501" s="167"/>
      <c r="BF501" s="167"/>
      <c r="BG501" s="167"/>
      <c r="BH501" s="167">
        <v>1.0</v>
      </c>
      <c r="BI501" s="167"/>
      <c r="BJ501" s="167"/>
      <c r="BK501" s="167"/>
      <c r="BL501" s="167"/>
      <c r="BM501" s="167"/>
      <c r="BN501" s="155">
        <v>4.0</v>
      </c>
      <c r="BO501" s="155">
        <v>0.0</v>
      </c>
      <c r="BP501" s="155">
        <v>0.0</v>
      </c>
      <c r="BQ501" s="155">
        <v>0.0</v>
      </c>
      <c r="BR501" s="155">
        <v>0.0</v>
      </c>
      <c r="BS501" s="155">
        <v>0.0</v>
      </c>
      <c r="BT501" s="167">
        <v>0.0</v>
      </c>
      <c r="BU501" s="167">
        <v>1.0</v>
      </c>
      <c r="BV501" s="167">
        <v>0.0</v>
      </c>
      <c r="BW501" s="167">
        <v>1.0</v>
      </c>
      <c r="BX501" s="167">
        <v>0.0</v>
      </c>
      <c r="BY501" s="167"/>
      <c r="BZ501" s="167">
        <v>0.0</v>
      </c>
      <c r="CA501" s="167">
        <v>0.0</v>
      </c>
      <c r="CB501" s="167">
        <v>1.0</v>
      </c>
      <c r="CC501" s="167">
        <v>0.0</v>
      </c>
      <c r="CD501" s="167"/>
      <c r="CE501" s="167">
        <v>0.0</v>
      </c>
      <c r="CF501" s="167">
        <v>1.0</v>
      </c>
      <c r="CG501" s="167"/>
      <c r="CH501" s="167"/>
      <c r="CI501" s="167"/>
      <c r="CJ501" s="167"/>
      <c r="CK501" s="167"/>
      <c r="CL501" s="167"/>
      <c r="CM501" s="167"/>
      <c r="CN501" s="167"/>
      <c r="CO501" s="167"/>
      <c r="CP501" s="167"/>
      <c r="CQ501" s="167"/>
      <c r="CR501" s="168"/>
      <c r="CS501" s="167"/>
      <c r="CT501" s="167"/>
      <c r="CU501" s="167"/>
      <c r="CV501" s="156">
        <v>5.0</v>
      </c>
      <c r="CW501" s="156">
        <v>0.0</v>
      </c>
      <c r="CX501" s="156">
        <v>0.0</v>
      </c>
      <c r="CY501" s="156">
        <v>0.0</v>
      </c>
      <c r="CZ501" s="156">
        <v>0.0</v>
      </c>
      <c r="DA501" s="156">
        <v>0.0</v>
      </c>
      <c r="DB501" s="174"/>
      <c r="DC501" s="174"/>
      <c r="DD501" s="174"/>
      <c r="DE501" s="174"/>
      <c r="DF501" s="174"/>
      <c r="DG501" s="174"/>
      <c r="DH501" s="174"/>
      <c r="DI501" s="174"/>
      <c r="DJ501" s="174"/>
      <c r="DK501" s="174"/>
      <c r="DL501" s="175">
        <v>2.0</v>
      </c>
      <c r="DM501" s="174">
        <v>0.0</v>
      </c>
      <c r="DN501" s="175">
        <v>2.0</v>
      </c>
      <c r="DO501" s="174"/>
      <c r="DP501" s="174"/>
      <c r="DQ501" s="174"/>
      <c r="DR501" s="174"/>
      <c r="DS501" s="174">
        <v>1.0</v>
      </c>
      <c r="DT501" s="174"/>
      <c r="DU501" s="174"/>
      <c r="DV501" s="174"/>
      <c r="DW501" s="174"/>
      <c r="DX501" s="174"/>
      <c r="DY501" s="174"/>
      <c r="DZ501" s="174"/>
      <c r="EA501" s="174"/>
      <c r="EB501" s="174"/>
      <c r="EC501" s="174"/>
      <c r="ED501" s="174"/>
      <c r="EE501" s="174"/>
      <c r="EF501" s="174"/>
      <c r="EG501" s="156">
        <v>0.0</v>
      </c>
      <c r="EH501" s="156">
        <v>0.0</v>
      </c>
      <c r="EI501" s="156">
        <v>0.0</v>
      </c>
      <c r="EJ501" s="156">
        <v>0.0</v>
      </c>
      <c r="EK501" s="156">
        <v>0.0</v>
      </c>
      <c r="EL501" s="156">
        <v>0.0</v>
      </c>
      <c r="FQ501" s="156">
        <v>0.0</v>
      </c>
      <c r="FR501" s="156">
        <v>0.0</v>
      </c>
      <c r="FS501" s="156">
        <v>0.0</v>
      </c>
      <c r="FT501" s="156">
        <v>0.0</v>
      </c>
      <c r="FU501" s="156">
        <v>0.0</v>
      </c>
      <c r="FV501" s="156">
        <v>0.0</v>
      </c>
      <c r="FW501" s="157"/>
      <c r="FX501" s="157"/>
      <c r="FY501" s="157"/>
      <c r="FZ501" s="157"/>
      <c r="GA501" s="157"/>
      <c r="GB501" s="157"/>
      <c r="GC501" s="157"/>
      <c r="GD501" s="157"/>
      <c r="GE501" s="157"/>
      <c r="GF501" s="157"/>
      <c r="GG501" s="157"/>
      <c r="GH501" s="157"/>
      <c r="GI501" s="157"/>
      <c r="GJ501" s="157"/>
      <c r="GK501" s="157"/>
      <c r="GL501" s="157"/>
      <c r="GM501" s="157"/>
      <c r="GN501" s="157"/>
      <c r="GO501" s="157"/>
      <c r="GP501" s="158"/>
      <c r="GQ501" s="157"/>
      <c r="GR501" s="157"/>
      <c r="GS501" s="157"/>
      <c r="GT501" s="157"/>
      <c r="GU501" s="157"/>
      <c r="GV501" s="157"/>
      <c r="GW501" s="157"/>
      <c r="GX501" s="157"/>
      <c r="GY501" s="157"/>
      <c r="GZ501" s="157"/>
      <c r="HA501" s="157"/>
      <c r="HB501" s="155">
        <v>0.0</v>
      </c>
      <c r="HC501" s="155">
        <v>0.0</v>
      </c>
      <c r="HD501" s="155">
        <v>0.0</v>
      </c>
      <c r="HE501" s="155">
        <v>0.0</v>
      </c>
      <c r="HF501" s="155">
        <v>0.0</v>
      </c>
      <c r="HG501" s="155">
        <v>0.0</v>
      </c>
      <c r="IL501" s="159">
        <v>0.0</v>
      </c>
      <c r="IM501" s="156">
        <v>0.0</v>
      </c>
      <c r="IN501" s="156">
        <v>0.0</v>
      </c>
      <c r="IO501" s="156">
        <v>0.0</v>
      </c>
      <c r="IP501" s="156">
        <v>0.0</v>
      </c>
      <c r="IQ501" s="160">
        <v>0.0</v>
      </c>
      <c r="JH501" s="25"/>
      <c r="JW501" s="159">
        <v>0.0</v>
      </c>
      <c r="JX501" s="156">
        <v>0.0</v>
      </c>
      <c r="JY501" s="156">
        <v>0.0</v>
      </c>
      <c r="JZ501" s="156">
        <v>0.0</v>
      </c>
      <c r="KA501" s="156">
        <v>0.0</v>
      </c>
      <c r="KB501" s="160">
        <v>0.0</v>
      </c>
      <c r="LH501" s="159">
        <f t="shared" si="10"/>
        <v>0</v>
      </c>
      <c r="LI501" s="156">
        <f t="shared" si="11"/>
        <v>0</v>
      </c>
      <c r="LJ501" s="156">
        <f t="shared" si="12"/>
        <v>0</v>
      </c>
      <c r="LK501" s="156">
        <f t="shared" si="13"/>
        <v>0</v>
      </c>
      <c r="LL501" s="156">
        <f t="shared" si="14"/>
        <v>0</v>
      </c>
      <c r="LM501" s="160">
        <f t="shared" si="15"/>
        <v>0</v>
      </c>
      <c r="QX501" s="107">
        <v>46038.0</v>
      </c>
    </row>
    <row r="502">
      <c r="A502" s="25"/>
      <c r="B502" s="25"/>
      <c r="C502" s="25"/>
      <c r="D502" s="25"/>
      <c r="E502" s="25"/>
      <c r="F502" s="25"/>
      <c r="G502" s="25"/>
      <c r="H502" s="25"/>
      <c r="I502" s="143">
        <f t="shared" si="22"/>
        <v>-30</v>
      </c>
      <c r="J502" s="144">
        <v>46042.0</v>
      </c>
      <c r="K502" s="195" t="s">
        <v>61</v>
      </c>
      <c r="L502" s="171">
        <v>46172.0</v>
      </c>
      <c r="M502" s="147" t="s">
        <v>435</v>
      </c>
      <c r="N502" s="148">
        <v>357.0</v>
      </c>
      <c r="O502" s="148">
        <v>30.0</v>
      </c>
      <c r="P502" s="26"/>
      <c r="Q502" s="26"/>
      <c r="R502" s="26"/>
      <c r="S502" s="26"/>
      <c r="T502" s="26"/>
      <c r="U502" s="147" t="s">
        <v>3348</v>
      </c>
      <c r="V502" s="149" t="s">
        <v>3349</v>
      </c>
      <c r="W502" s="198" t="s">
        <v>3350</v>
      </c>
      <c r="X502" s="181">
        <v>0.0</v>
      </c>
      <c r="Y502" s="166">
        <f t="shared" si="23"/>
        <v>30</v>
      </c>
      <c r="Z502" s="26">
        <f t="shared" si="7"/>
        <v>0</v>
      </c>
      <c r="AA502" s="26">
        <f t="shared" si="8"/>
        <v>0</v>
      </c>
      <c r="AB502" s="26">
        <f t="shared" si="9"/>
        <v>0</v>
      </c>
      <c r="AC502" s="155">
        <v>4.0</v>
      </c>
      <c r="AD502" s="155">
        <v>0.0</v>
      </c>
      <c r="AE502" s="155">
        <v>0.0</v>
      </c>
      <c r="AF502" s="155">
        <v>0.0</v>
      </c>
      <c r="AG502" s="155">
        <v>0.0</v>
      </c>
      <c r="AH502" s="155">
        <v>0.0</v>
      </c>
      <c r="BB502" s="167">
        <v>1.0</v>
      </c>
      <c r="BC502" s="167">
        <v>0.0</v>
      </c>
      <c r="BD502" s="167">
        <v>1.0</v>
      </c>
      <c r="BE502" s="167">
        <v>0.0</v>
      </c>
      <c r="BF502" s="167"/>
      <c r="BG502" s="167">
        <v>0.0</v>
      </c>
      <c r="BH502" s="167">
        <v>0.0</v>
      </c>
      <c r="BI502" s="167">
        <v>1.0</v>
      </c>
      <c r="BJ502" s="167">
        <v>0.0</v>
      </c>
      <c r="BK502" s="167">
        <v>1.0</v>
      </c>
      <c r="BL502" s="167">
        <v>0.0</v>
      </c>
      <c r="BM502" s="167"/>
      <c r="BN502" s="155">
        <v>4.0</v>
      </c>
      <c r="BO502" s="155">
        <v>0.0</v>
      </c>
      <c r="BP502" s="155">
        <v>0.0</v>
      </c>
      <c r="BQ502" s="155">
        <v>0.0</v>
      </c>
      <c r="BR502" s="155">
        <v>0.0</v>
      </c>
      <c r="BS502" s="155">
        <v>0.0</v>
      </c>
      <c r="BT502" s="167">
        <v>0.0</v>
      </c>
      <c r="BU502" s="167">
        <v>0.0</v>
      </c>
      <c r="BV502" s="167">
        <v>1.0</v>
      </c>
      <c r="BW502" s="167">
        <v>0.0</v>
      </c>
      <c r="BX502" s="167">
        <v>1.0</v>
      </c>
      <c r="BY502" s="167">
        <v>0.0</v>
      </c>
      <c r="BZ502" s="167">
        <v>1.0</v>
      </c>
      <c r="CA502" s="167">
        <v>0.0</v>
      </c>
      <c r="CB502" s="167">
        <v>0.0</v>
      </c>
      <c r="CC502" s="167">
        <v>1.0</v>
      </c>
      <c r="CD502" s="167"/>
      <c r="CE502" s="167"/>
      <c r="CF502" s="167"/>
      <c r="CG502" s="167"/>
      <c r="CH502" s="167"/>
      <c r="CI502" s="167"/>
      <c r="CJ502" s="167"/>
      <c r="CK502" s="167"/>
      <c r="CL502" s="167"/>
      <c r="CM502" s="167"/>
      <c r="CN502" s="167"/>
      <c r="CO502" s="167"/>
      <c r="CP502" s="167"/>
      <c r="CQ502" s="167"/>
      <c r="CR502" s="167"/>
      <c r="CS502" s="167"/>
      <c r="CT502" s="167"/>
      <c r="CU502" s="167"/>
      <c r="CV502" s="156">
        <v>7.0</v>
      </c>
      <c r="CW502" s="156">
        <v>0.0</v>
      </c>
      <c r="CX502" s="156">
        <v>0.0</v>
      </c>
      <c r="CY502" s="156">
        <v>0.0</v>
      </c>
      <c r="CZ502" s="156">
        <v>0.0</v>
      </c>
      <c r="DA502" s="156">
        <v>0.0</v>
      </c>
      <c r="DB502" s="395"/>
      <c r="DC502" s="395"/>
      <c r="DD502" s="395"/>
      <c r="DE502" s="395"/>
      <c r="DF502" s="395">
        <v>1.0</v>
      </c>
      <c r="DG502" s="395"/>
      <c r="DH502" s="395"/>
      <c r="DI502" s="395"/>
      <c r="DJ502" s="395"/>
      <c r="DK502" s="395">
        <v>1.0</v>
      </c>
      <c r="DL502" s="395">
        <v>0.0</v>
      </c>
      <c r="DM502" s="395">
        <v>1.0</v>
      </c>
      <c r="DN502" s="395"/>
      <c r="DO502" s="395">
        <v>1.0</v>
      </c>
      <c r="DP502" s="395"/>
      <c r="DQ502" s="395"/>
      <c r="DR502" s="395">
        <v>1.0</v>
      </c>
      <c r="DS502" s="395">
        <v>0.0</v>
      </c>
      <c r="DT502" s="395">
        <v>1.0</v>
      </c>
      <c r="DU502" s="395"/>
      <c r="DV502" s="395"/>
      <c r="DW502" s="395"/>
      <c r="DX502" s="395"/>
      <c r="DY502" s="395"/>
      <c r="DZ502" s="395">
        <v>0.0</v>
      </c>
      <c r="EA502" s="395">
        <v>1.0</v>
      </c>
      <c r="EB502" s="395"/>
      <c r="EC502" s="395"/>
      <c r="ED502" s="395"/>
      <c r="EE502" s="395"/>
      <c r="EF502" s="395"/>
      <c r="EG502" s="156">
        <v>7.0</v>
      </c>
      <c r="EH502" s="156">
        <v>0.0</v>
      </c>
      <c r="EI502" s="156">
        <v>0.0</v>
      </c>
      <c r="EJ502" s="156">
        <v>0.0</v>
      </c>
      <c r="EK502" s="156">
        <v>0.0</v>
      </c>
      <c r="EL502" s="156">
        <v>0.0</v>
      </c>
      <c r="EM502" s="395">
        <v>0.0</v>
      </c>
      <c r="EN502" s="395">
        <v>1.0</v>
      </c>
      <c r="EO502" s="395"/>
      <c r="EP502" s="395"/>
      <c r="EQ502" s="395"/>
      <c r="ER502" s="395"/>
      <c r="ES502" s="395">
        <v>1.0</v>
      </c>
      <c r="ET502" s="395">
        <v>0.0</v>
      </c>
      <c r="EU502" s="395">
        <v>1.0</v>
      </c>
      <c r="EV502" s="395"/>
      <c r="EW502" s="395"/>
      <c r="EX502" s="395"/>
      <c r="EY502" s="395"/>
      <c r="EZ502" s="395">
        <v>1.0</v>
      </c>
      <c r="FA502" s="395"/>
      <c r="FB502" s="395"/>
      <c r="FC502" s="395"/>
      <c r="FD502" s="395"/>
      <c r="FE502" s="395"/>
      <c r="FF502" s="395">
        <v>1.0</v>
      </c>
      <c r="FG502" s="395">
        <v>1.0</v>
      </c>
      <c r="FH502" s="395">
        <v>0.0</v>
      </c>
      <c r="FI502" s="395">
        <v>1.0</v>
      </c>
      <c r="FJ502" s="395"/>
      <c r="FK502" s="395"/>
      <c r="FL502" s="395"/>
      <c r="FM502" s="395"/>
      <c r="FN502" s="395"/>
      <c r="FO502" s="395"/>
      <c r="FP502" s="395"/>
      <c r="FQ502" s="156">
        <v>8.0</v>
      </c>
      <c r="FR502" s="156">
        <v>0.0</v>
      </c>
      <c r="FS502" s="156">
        <v>0.0</v>
      </c>
      <c r="FT502" s="156">
        <v>0.0</v>
      </c>
      <c r="FU502" s="156">
        <v>0.0</v>
      </c>
      <c r="FV502" s="156">
        <v>0.0</v>
      </c>
      <c r="FW502" s="172"/>
      <c r="FX502" s="172"/>
      <c r="FY502" s="172"/>
      <c r="FZ502" s="172"/>
      <c r="GA502" s="172">
        <v>1.0</v>
      </c>
      <c r="GB502" s="172">
        <v>0.0</v>
      </c>
      <c r="GC502" s="172">
        <v>1.0</v>
      </c>
      <c r="GD502" s="172">
        <v>0.0</v>
      </c>
      <c r="GE502" s="172">
        <v>1.0</v>
      </c>
      <c r="GF502" s="172">
        <v>0.0</v>
      </c>
      <c r="GG502" s="172">
        <v>0.0</v>
      </c>
      <c r="GH502" s="172">
        <v>1.0</v>
      </c>
      <c r="GI502" s="172"/>
      <c r="GJ502" s="172"/>
      <c r="GK502" s="172"/>
      <c r="GL502" s="172"/>
      <c r="GM502" s="172"/>
      <c r="GN502" s="172"/>
      <c r="GO502" s="172">
        <v>1.0</v>
      </c>
      <c r="GP502" s="170">
        <v>0.0</v>
      </c>
      <c r="GQ502" s="172">
        <v>1.0</v>
      </c>
      <c r="GR502" s="172"/>
      <c r="GS502" s="172"/>
      <c r="GT502" s="172"/>
      <c r="GU502" s="172"/>
      <c r="GV502" s="172"/>
      <c r="GW502" s="172">
        <v>1.0</v>
      </c>
      <c r="GX502" s="172">
        <v>1.0</v>
      </c>
      <c r="GY502" s="172"/>
      <c r="GZ502" s="172"/>
      <c r="HA502" s="172"/>
      <c r="HB502" s="155">
        <v>0.0</v>
      </c>
      <c r="HC502" s="155">
        <v>0.0</v>
      </c>
      <c r="HD502" s="155">
        <v>0.0</v>
      </c>
      <c r="HE502" s="155">
        <v>0.0</v>
      </c>
      <c r="HF502" s="155">
        <v>0.0</v>
      </c>
      <c r="HG502" s="155">
        <v>0.0</v>
      </c>
      <c r="HH502" s="172"/>
      <c r="HI502" s="172"/>
      <c r="HJ502" s="172"/>
      <c r="HK502" s="172"/>
      <c r="HL502" s="172"/>
      <c r="HM502" s="172"/>
      <c r="HN502" s="172"/>
      <c r="HO502" s="172"/>
      <c r="HP502" s="172"/>
      <c r="HQ502" s="172"/>
      <c r="HR502" s="172"/>
      <c r="HS502" s="172"/>
      <c r="HT502" s="172"/>
      <c r="HU502" s="172"/>
      <c r="HV502" s="172"/>
      <c r="HW502" s="172"/>
      <c r="HX502" s="172"/>
      <c r="HY502" s="172"/>
      <c r="HZ502" s="172"/>
      <c r="IA502" s="172"/>
      <c r="IB502" s="172"/>
      <c r="IC502" s="172"/>
      <c r="ID502" s="172"/>
      <c r="IE502" s="172"/>
      <c r="IF502" s="172"/>
      <c r="IG502" s="172"/>
      <c r="IH502" s="172"/>
      <c r="II502" s="172"/>
      <c r="IJ502" s="172"/>
      <c r="IK502" s="172"/>
      <c r="IL502" s="159">
        <v>0.0</v>
      </c>
      <c r="IM502" s="156">
        <v>0.0</v>
      </c>
      <c r="IN502" s="156">
        <v>0.0</v>
      </c>
      <c r="IO502" s="156">
        <v>0.0</v>
      </c>
      <c r="IP502" s="156">
        <v>0.0</v>
      </c>
      <c r="IQ502" s="160">
        <v>0.0</v>
      </c>
      <c r="JH502" s="25"/>
      <c r="JW502" s="159">
        <v>0.0</v>
      </c>
      <c r="JX502" s="156">
        <v>0.0</v>
      </c>
      <c r="JY502" s="156">
        <v>0.0</v>
      </c>
      <c r="JZ502" s="156">
        <v>0.0</v>
      </c>
      <c r="KA502" s="156">
        <v>0.0</v>
      </c>
      <c r="KB502" s="160">
        <v>0.0</v>
      </c>
      <c r="LH502" s="159">
        <f t="shared" si="10"/>
        <v>0</v>
      </c>
      <c r="LI502" s="156">
        <f t="shared" si="11"/>
        <v>0</v>
      </c>
      <c r="LJ502" s="156">
        <f t="shared" si="12"/>
        <v>0</v>
      </c>
      <c r="LK502" s="156">
        <f t="shared" si="13"/>
        <v>0</v>
      </c>
      <c r="LL502" s="156">
        <f t="shared" si="14"/>
        <v>0</v>
      </c>
      <c r="LM502" s="160">
        <f t="shared" si="15"/>
        <v>0</v>
      </c>
      <c r="QX502" s="107">
        <v>46038.0</v>
      </c>
    </row>
    <row r="503">
      <c r="A503" s="12"/>
      <c r="B503" s="12"/>
      <c r="C503" s="12"/>
      <c r="D503" s="12"/>
      <c r="E503" s="12"/>
      <c r="F503" s="12"/>
      <c r="G503" s="12"/>
      <c r="H503" s="12"/>
      <c r="I503" s="143">
        <f t="shared" si="22"/>
        <v>-44</v>
      </c>
      <c r="J503" s="144">
        <v>46043.0</v>
      </c>
      <c r="K503" s="164" t="s">
        <v>61</v>
      </c>
      <c r="L503" s="180">
        <v>46191.0</v>
      </c>
      <c r="M503" s="147" t="s">
        <v>348</v>
      </c>
      <c r="N503" s="148">
        <v>246.0</v>
      </c>
      <c r="O503" s="148">
        <v>30.0</v>
      </c>
      <c r="P503" s="26"/>
      <c r="Q503" s="26"/>
      <c r="R503" s="26"/>
      <c r="S503" s="26"/>
      <c r="T503" s="26"/>
      <c r="U503" s="147" t="s">
        <v>3351</v>
      </c>
      <c r="V503" s="149" t="s">
        <v>3352</v>
      </c>
      <c r="W503" s="248" t="s">
        <v>3353</v>
      </c>
      <c r="X503" s="181">
        <v>0.0</v>
      </c>
      <c r="Y503" s="166">
        <f t="shared" si="23"/>
        <v>44</v>
      </c>
      <c r="Z503" s="26">
        <f t="shared" si="7"/>
        <v>0</v>
      </c>
      <c r="AA503" s="26">
        <f t="shared" si="8"/>
        <v>5</v>
      </c>
      <c r="AB503" s="26">
        <f t="shared" si="9"/>
        <v>0</v>
      </c>
      <c r="AC503" s="155">
        <v>4.0</v>
      </c>
      <c r="AD503" s="155">
        <v>0.0</v>
      </c>
      <c r="AE503" s="155">
        <v>0.0</v>
      </c>
      <c r="AF503" s="155">
        <v>1.0</v>
      </c>
      <c r="AG503" s="155">
        <v>0.0</v>
      </c>
      <c r="AH503" s="155">
        <v>0.0</v>
      </c>
      <c r="BC503" s="167">
        <v>1.0</v>
      </c>
      <c r="BD503" s="167">
        <v>0.0</v>
      </c>
      <c r="BE503" s="167"/>
      <c r="BF503" s="167">
        <v>0.0</v>
      </c>
      <c r="BG503" s="167">
        <v>0.0</v>
      </c>
      <c r="BH503" s="167">
        <v>1.0</v>
      </c>
      <c r="BI503" s="167">
        <v>0.0</v>
      </c>
      <c r="BJ503" s="168" t="s">
        <v>947</v>
      </c>
      <c r="BK503" s="167">
        <v>0.0</v>
      </c>
      <c r="BL503" s="167">
        <v>1.0</v>
      </c>
      <c r="BM503" s="167">
        <v>0.0</v>
      </c>
      <c r="BN503" s="155">
        <v>7.0</v>
      </c>
      <c r="BO503" s="155">
        <v>0.0</v>
      </c>
      <c r="BP503" s="155">
        <v>0.0</v>
      </c>
      <c r="BQ503" s="155">
        <v>0.0</v>
      </c>
      <c r="BR503" s="155">
        <v>0.0</v>
      </c>
      <c r="BS503" s="155">
        <v>1.0</v>
      </c>
      <c r="BT503" s="167">
        <v>0.0</v>
      </c>
      <c r="BU503" s="167">
        <v>1.0</v>
      </c>
      <c r="BV503" s="167">
        <v>0.0</v>
      </c>
      <c r="BW503" s="167">
        <v>1.0</v>
      </c>
      <c r="BX503" s="167">
        <v>0.0</v>
      </c>
      <c r="BY503" s="167">
        <v>1.0</v>
      </c>
      <c r="BZ503" s="167">
        <v>0.0</v>
      </c>
      <c r="CA503" s="167">
        <v>0.0</v>
      </c>
      <c r="CB503" s="167"/>
      <c r="CC503" s="167">
        <v>0.0</v>
      </c>
      <c r="CD503" s="167">
        <v>1.0</v>
      </c>
      <c r="CE503" s="167">
        <v>0.0</v>
      </c>
      <c r="CF503" s="167">
        <v>1.0</v>
      </c>
      <c r="CG503" s="167"/>
      <c r="CH503" s="167"/>
      <c r="CI503" s="167"/>
      <c r="CJ503" s="167"/>
      <c r="CK503" s="167"/>
      <c r="CL503" s="167"/>
      <c r="CM503" s="167"/>
      <c r="CN503" s="167"/>
      <c r="CO503" s="167"/>
      <c r="CP503" s="168">
        <v>1.0</v>
      </c>
      <c r="CQ503" s="167">
        <v>0.0</v>
      </c>
      <c r="CR503" s="167">
        <v>1.0</v>
      </c>
      <c r="CS503" s="167"/>
      <c r="CT503" s="168" t="s">
        <v>3354</v>
      </c>
      <c r="CU503" s="167"/>
      <c r="CV503" s="156">
        <v>8.0</v>
      </c>
      <c r="CW503" s="156">
        <v>0.0</v>
      </c>
      <c r="CX503" s="156">
        <v>0.0</v>
      </c>
      <c r="CY503" s="156">
        <v>1.0</v>
      </c>
      <c r="CZ503" s="156">
        <v>0.0</v>
      </c>
      <c r="DA503" s="156">
        <v>0.0</v>
      </c>
      <c r="DB503" s="174">
        <v>0.0</v>
      </c>
      <c r="DC503" s="174">
        <v>1.0</v>
      </c>
      <c r="DD503" s="174">
        <v>0.0</v>
      </c>
      <c r="DE503" s="174">
        <v>1.0</v>
      </c>
      <c r="DF503" s="174"/>
      <c r="DG503" s="174"/>
      <c r="DH503" s="174"/>
      <c r="DI503" s="174"/>
      <c r="DJ503" s="174"/>
      <c r="DK503" s="174">
        <v>0.0</v>
      </c>
      <c r="DL503" s="174">
        <v>1.0</v>
      </c>
      <c r="DM503" s="174"/>
      <c r="DN503" s="174"/>
      <c r="DO503" s="174"/>
      <c r="DP503" s="174"/>
      <c r="DQ503" s="175" t="s">
        <v>947</v>
      </c>
      <c r="DR503" s="174">
        <v>0.0</v>
      </c>
      <c r="DS503" s="174">
        <v>1.0</v>
      </c>
      <c r="DT503" s="174">
        <v>0.0</v>
      </c>
      <c r="DU503" s="174">
        <v>1.0</v>
      </c>
      <c r="DV503" s="174"/>
      <c r="DW503" s="174"/>
      <c r="DX503" s="174"/>
      <c r="DY503" s="174"/>
      <c r="DZ503" s="174"/>
      <c r="EA503" s="174"/>
      <c r="EB503" s="174">
        <v>1.0</v>
      </c>
      <c r="EC503" s="174">
        <v>0.0</v>
      </c>
      <c r="ED503" s="174">
        <v>0.0</v>
      </c>
      <c r="EE503" s="174">
        <v>1.0</v>
      </c>
      <c r="EF503" s="174">
        <v>0.0</v>
      </c>
      <c r="EG503" s="156">
        <v>8.0</v>
      </c>
      <c r="EH503" s="156">
        <v>0.0</v>
      </c>
      <c r="EI503" s="156">
        <v>0.0</v>
      </c>
      <c r="EJ503" s="156">
        <v>0.0</v>
      </c>
      <c r="EK503" s="156">
        <v>0.0</v>
      </c>
      <c r="EL503" s="156">
        <v>0.0</v>
      </c>
      <c r="EM503" s="174"/>
      <c r="EN503" s="174">
        <v>0.0</v>
      </c>
      <c r="EO503" s="174">
        <v>1.0</v>
      </c>
      <c r="EP503" s="174"/>
      <c r="EQ503" s="174"/>
      <c r="ER503" s="175">
        <v>1.0</v>
      </c>
      <c r="ES503" s="174"/>
      <c r="ET503" s="174"/>
      <c r="EU503" s="174"/>
      <c r="EV503" s="174"/>
      <c r="EW503" s="175">
        <v>1.0</v>
      </c>
      <c r="EX503" s="174"/>
      <c r="EY503" s="174"/>
      <c r="EZ503" s="174"/>
      <c r="FA503" s="174">
        <v>1.0</v>
      </c>
      <c r="FB503" s="174"/>
      <c r="FC503" s="174"/>
      <c r="FD503" s="174"/>
      <c r="FE503" s="174"/>
      <c r="FF503" s="174"/>
      <c r="FG503" s="175">
        <v>1.0</v>
      </c>
      <c r="FH503" s="174">
        <v>1.0</v>
      </c>
      <c r="FI503" s="174">
        <v>0.0</v>
      </c>
      <c r="FJ503" s="174">
        <v>1.0</v>
      </c>
      <c r="FK503" s="174"/>
      <c r="FL503" s="174"/>
      <c r="FM503" s="174"/>
      <c r="FN503" s="174"/>
      <c r="FO503" s="174">
        <v>1.0</v>
      </c>
      <c r="FP503" s="174">
        <v>0.0</v>
      </c>
      <c r="FQ503" s="156">
        <v>11.0</v>
      </c>
      <c r="FR503" s="156">
        <v>0.0</v>
      </c>
      <c r="FS503" s="156">
        <v>0.0</v>
      </c>
      <c r="FT503" s="156">
        <v>1.0</v>
      </c>
      <c r="FU503" s="156">
        <v>0.0</v>
      </c>
      <c r="FV503" s="156">
        <v>0.0</v>
      </c>
      <c r="FW503" s="174"/>
      <c r="FX503" s="174"/>
      <c r="FY503" s="174"/>
      <c r="FZ503" s="174"/>
      <c r="GA503" s="174"/>
      <c r="GB503" s="174"/>
      <c r="GC503" s="174"/>
      <c r="GD503" s="174">
        <v>1.0</v>
      </c>
      <c r="GE503" s="174">
        <v>0.0</v>
      </c>
      <c r="GF503" s="174">
        <v>0.0</v>
      </c>
      <c r="GG503" s="175">
        <v>2.0</v>
      </c>
      <c r="GH503" s="174">
        <v>0.0</v>
      </c>
      <c r="GI503" s="174">
        <v>1.0</v>
      </c>
      <c r="GJ503" s="175">
        <v>1.0</v>
      </c>
      <c r="GK503" s="174">
        <v>1.0</v>
      </c>
      <c r="GL503" s="174"/>
      <c r="GM503" s="174"/>
      <c r="GN503" s="175" t="s">
        <v>947</v>
      </c>
      <c r="GO503" s="174"/>
      <c r="GP503" s="176">
        <v>1.0</v>
      </c>
      <c r="GQ503" s="174">
        <v>0.0</v>
      </c>
      <c r="GR503" s="174"/>
      <c r="GS503" s="174">
        <v>0.0</v>
      </c>
      <c r="GT503" s="174">
        <v>0.0</v>
      </c>
      <c r="GU503" s="174">
        <v>1.0</v>
      </c>
      <c r="GV503" s="174">
        <v>0.0</v>
      </c>
      <c r="GW503" s="174">
        <v>1.0</v>
      </c>
      <c r="GX503" s="174">
        <v>0.0</v>
      </c>
      <c r="GY503" s="174">
        <v>1.0</v>
      </c>
      <c r="GZ503" s="174">
        <v>0.0</v>
      </c>
      <c r="HA503" s="174">
        <v>0.0</v>
      </c>
      <c r="HB503" s="155">
        <v>6.0</v>
      </c>
      <c r="HC503" s="155">
        <v>0.0</v>
      </c>
      <c r="HD503" s="155">
        <v>0.0</v>
      </c>
      <c r="HE503" s="155">
        <v>2.0</v>
      </c>
      <c r="HF503" s="155">
        <v>0.0</v>
      </c>
      <c r="HG503" s="155">
        <v>0.0</v>
      </c>
      <c r="HH503" s="174"/>
      <c r="HI503" s="174">
        <v>0.0</v>
      </c>
      <c r="HJ503" s="174">
        <v>1.0</v>
      </c>
      <c r="HK503" s="174">
        <v>0.0</v>
      </c>
      <c r="HL503" s="174"/>
      <c r="HM503" s="174">
        <v>0.0</v>
      </c>
      <c r="HN503" s="174">
        <v>0.0</v>
      </c>
      <c r="HO503" s="174">
        <v>1.0</v>
      </c>
      <c r="HP503" s="174">
        <v>0.0</v>
      </c>
      <c r="HQ503" s="174">
        <v>1.0</v>
      </c>
      <c r="HR503" s="175">
        <v>1.0</v>
      </c>
      <c r="HS503" s="174"/>
      <c r="HT503" s="174">
        <v>0.0</v>
      </c>
      <c r="HU503" s="174">
        <v>0.0</v>
      </c>
      <c r="HV503" s="175" t="s">
        <v>947</v>
      </c>
      <c r="HW503" s="174">
        <v>0.0</v>
      </c>
      <c r="HX503" s="175" t="s">
        <v>947</v>
      </c>
      <c r="HY503" s="174"/>
      <c r="HZ503" s="174"/>
      <c r="IA503" s="174"/>
      <c r="IB503" s="174"/>
      <c r="IC503" s="174"/>
      <c r="ID503" s="174"/>
      <c r="IE503" s="174"/>
      <c r="IF503" s="174"/>
      <c r="IG503" s="174"/>
      <c r="IH503" s="174"/>
      <c r="II503" s="174"/>
      <c r="IJ503" s="174"/>
      <c r="IK503" s="174"/>
      <c r="IL503" s="159">
        <v>0.0</v>
      </c>
      <c r="IM503" s="156">
        <v>0.0</v>
      </c>
      <c r="IN503" s="156">
        <v>0.0</v>
      </c>
      <c r="IO503" s="156">
        <v>0.0</v>
      </c>
      <c r="IP503" s="156">
        <v>0.0</v>
      </c>
      <c r="IQ503" s="160">
        <v>0.0</v>
      </c>
      <c r="IR503" s="174"/>
      <c r="IS503" s="174"/>
      <c r="IT503" s="174"/>
      <c r="IU503" s="174"/>
      <c r="IV503" s="174"/>
      <c r="IW503" s="174"/>
      <c r="IX503" s="174"/>
      <c r="IY503" s="174"/>
      <c r="IZ503" s="174"/>
      <c r="JA503" s="174"/>
      <c r="JB503" s="174"/>
      <c r="JC503" s="174"/>
      <c r="JD503" s="174"/>
      <c r="JE503" s="174"/>
      <c r="JF503" s="174"/>
      <c r="JG503" s="174"/>
      <c r="JH503" s="177"/>
      <c r="JI503" s="174"/>
      <c r="JJ503" s="174"/>
      <c r="JK503" s="174"/>
      <c r="JL503" s="174"/>
      <c r="JM503" s="174"/>
      <c r="JN503" s="174"/>
      <c r="JO503" s="174"/>
      <c r="JP503" s="174"/>
      <c r="JQ503" s="174"/>
      <c r="JR503" s="174"/>
      <c r="JS503" s="174"/>
      <c r="JT503" s="174"/>
      <c r="JU503" s="174"/>
      <c r="JV503" s="174"/>
      <c r="JW503" s="159">
        <v>0.0</v>
      </c>
      <c r="JX503" s="156">
        <v>0.0</v>
      </c>
      <c r="JY503" s="156">
        <v>0.0</v>
      </c>
      <c r="JZ503" s="156">
        <v>0.0</v>
      </c>
      <c r="KA503" s="156">
        <v>0.0</v>
      </c>
      <c r="KB503" s="160">
        <v>0.0</v>
      </c>
      <c r="KC503" s="174"/>
      <c r="KD503" s="174"/>
      <c r="KE503" s="174"/>
      <c r="KF503" s="174"/>
      <c r="KG503" s="174"/>
      <c r="KH503" s="174"/>
      <c r="KI503" s="174"/>
      <c r="KJ503" s="174"/>
      <c r="KK503" s="174"/>
      <c r="KL503" s="174"/>
      <c r="KM503" s="174"/>
      <c r="KN503" s="174"/>
      <c r="KO503" s="174"/>
      <c r="KP503" s="174"/>
      <c r="KQ503" s="174"/>
      <c r="KR503" s="174"/>
      <c r="KS503" s="174"/>
      <c r="KT503" s="174"/>
      <c r="KU503" s="174"/>
      <c r="KV503" s="174"/>
      <c r="KW503" s="174"/>
      <c r="KX503" s="174"/>
      <c r="KY503" s="174"/>
      <c r="KZ503" s="174"/>
      <c r="LA503" s="174"/>
      <c r="LB503" s="174"/>
      <c r="LC503" s="174"/>
      <c r="LD503" s="174"/>
      <c r="LE503" s="174"/>
      <c r="LF503" s="174"/>
      <c r="LG503" s="174"/>
      <c r="LH503" s="159">
        <f t="shared" si="10"/>
        <v>0</v>
      </c>
      <c r="LI503" s="156">
        <f t="shared" si="11"/>
        <v>0</v>
      </c>
      <c r="LJ503" s="156">
        <f t="shared" si="12"/>
        <v>0</v>
      </c>
      <c r="LK503" s="156">
        <f t="shared" si="13"/>
        <v>0</v>
      </c>
      <c r="LL503" s="156">
        <f t="shared" si="14"/>
        <v>0</v>
      </c>
      <c r="LM503" s="160">
        <f t="shared" si="15"/>
        <v>0</v>
      </c>
      <c r="QX503" s="107">
        <v>46038.0</v>
      </c>
    </row>
    <row r="504">
      <c r="A504" s="12"/>
      <c r="B504" s="12"/>
      <c r="C504" s="12"/>
      <c r="D504" s="12"/>
      <c r="E504" s="12"/>
      <c r="F504" s="12"/>
      <c r="G504" s="12"/>
      <c r="H504" s="12"/>
      <c r="I504" s="143">
        <f t="shared" si="22"/>
        <v>-30</v>
      </c>
      <c r="J504" s="144">
        <v>46043.0</v>
      </c>
      <c r="K504" s="195" t="s">
        <v>61</v>
      </c>
      <c r="L504" s="171">
        <v>46127.0</v>
      </c>
      <c r="M504" s="147" t="s">
        <v>107</v>
      </c>
      <c r="N504" s="148">
        <v>246.0</v>
      </c>
      <c r="O504" s="148">
        <v>30.0</v>
      </c>
      <c r="P504" s="26"/>
      <c r="Q504" s="26"/>
      <c r="R504" s="26"/>
      <c r="S504" s="26"/>
      <c r="T504" s="26"/>
      <c r="U504" s="147" t="s">
        <v>3355</v>
      </c>
      <c r="V504" s="149" t="s">
        <v>230</v>
      </c>
      <c r="W504" s="198" t="s">
        <v>3356</v>
      </c>
      <c r="X504" s="181">
        <v>0.0</v>
      </c>
      <c r="Y504" s="166">
        <f t="shared" si="23"/>
        <v>30</v>
      </c>
      <c r="Z504" s="26">
        <f t="shared" si="7"/>
        <v>0</v>
      </c>
      <c r="AA504" s="26">
        <f t="shared" si="8"/>
        <v>0</v>
      </c>
      <c r="AB504" s="26">
        <f t="shared" si="9"/>
        <v>0</v>
      </c>
      <c r="AC504" s="155">
        <v>3.0</v>
      </c>
      <c r="AD504" s="155">
        <v>0.0</v>
      </c>
      <c r="AE504" s="155">
        <v>0.0</v>
      </c>
      <c r="AF504" s="155">
        <v>0.0</v>
      </c>
      <c r="AG504" s="155">
        <v>0.0</v>
      </c>
      <c r="AH504" s="155">
        <v>0.0</v>
      </c>
      <c r="BC504" s="167">
        <v>1.0</v>
      </c>
      <c r="BD504" s="167">
        <v>0.0</v>
      </c>
      <c r="BE504" s="167">
        <v>1.0</v>
      </c>
      <c r="BF504" s="167"/>
      <c r="BG504" s="167"/>
      <c r="BH504" s="167"/>
      <c r="BI504" s="167"/>
      <c r="BJ504" s="167"/>
      <c r="BK504" s="167"/>
      <c r="BL504" s="167">
        <v>1.0</v>
      </c>
      <c r="BM504" s="167">
        <v>0.0</v>
      </c>
      <c r="BN504" s="155">
        <v>10.0</v>
      </c>
      <c r="BO504" s="155">
        <v>0.0</v>
      </c>
      <c r="BP504" s="155">
        <v>0.0</v>
      </c>
      <c r="BQ504" s="155">
        <v>0.0</v>
      </c>
      <c r="BR504" s="155">
        <v>0.0</v>
      </c>
      <c r="BS504" s="155">
        <v>0.0</v>
      </c>
      <c r="BT504" s="167">
        <v>0.0</v>
      </c>
      <c r="BU504" s="167">
        <v>1.0</v>
      </c>
      <c r="BV504" s="167">
        <v>0.0</v>
      </c>
      <c r="BW504" s="167">
        <v>1.0</v>
      </c>
      <c r="BX504" s="167">
        <v>0.0</v>
      </c>
      <c r="BY504" s="167">
        <v>1.0</v>
      </c>
      <c r="BZ504" s="167">
        <v>0.0</v>
      </c>
      <c r="CA504" s="167">
        <v>0.0</v>
      </c>
      <c r="CB504" s="167">
        <v>1.0</v>
      </c>
      <c r="CC504" s="168">
        <v>1.0</v>
      </c>
      <c r="CD504" s="167">
        <v>1.0</v>
      </c>
      <c r="CE504" s="167">
        <v>0.0</v>
      </c>
      <c r="CF504" s="167">
        <v>1.0</v>
      </c>
      <c r="CG504" s="167"/>
      <c r="CH504" s="167"/>
      <c r="CI504" s="167"/>
      <c r="CJ504" s="167"/>
      <c r="CK504" s="167"/>
      <c r="CL504" s="167"/>
      <c r="CM504" s="167"/>
      <c r="CN504" s="167"/>
      <c r="CO504" s="167"/>
      <c r="CP504" s="167">
        <v>1.0</v>
      </c>
      <c r="CQ504" s="167">
        <v>0.0</v>
      </c>
      <c r="CR504" s="167"/>
      <c r="CS504" s="168">
        <v>1.0</v>
      </c>
      <c r="CT504" s="167">
        <v>1.0</v>
      </c>
      <c r="CU504" s="167">
        <v>0.0</v>
      </c>
      <c r="CV504" s="156">
        <v>10.0</v>
      </c>
      <c r="CW504" s="156">
        <v>0.0</v>
      </c>
      <c r="CX504" s="156">
        <v>0.0</v>
      </c>
      <c r="CY504" s="156">
        <v>0.0</v>
      </c>
      <c r="CZ504" s="156">
        <v>0.0</v>
      </c>
      <c r="DA504" s="156">
        <v>0.0</v>
      </c>
      <c r="DB504" s="174">
        <v>0.0</v>
      </c>
      <c r="DC504" s="174">
        <v>1.0</v>
      </c>
      <c r="DD504" s="174">
        <v>0.0</v>
      </c>
      <c r="DE504" s="174">
        <v>1.0</v>
      </c>
      <c r="DF504" s="174">
        <v>0.0</v>
      </c>
      <c r="DG504" s="174"/>
      <c r="DH504" s="174">
        <v>0.0</v>
      </c>
      <c r="DI504" s="174">
        <v>0.0</v>
      </c>
      <c r="DJ504" s="174">
        <v>1.0</v>
      </c>
      <c r="DK504" s="174">
        <v>0.0</v>
      </c>
      <c r="DL504" s="174">
        <v>1.0</v>
      </c>
      <c r="DM504" s="174">
        <v>0.0</v>
      </c>
      <c r="DN504" s="174">
        <v>1.0</v>
      </c>
      <c r="DO504" s="174">
        <v>0.0</v>
      </c>
      <c r="DP504" s="174">
        <v>0.0</v>
      </c>
      <c r="DQ504" s="174">
        <v>1.0</v>
      </c>
      <c r="DR504" s="174">
        <v>0.0</v>
      </c>
      <c r="DS504" s="174">
        <v>1.0</v>
      </c>
      <c r="DT504" s="174">
        <v>0.0</v>
      </c>
      <c r="DU504" s="174"/>
      <c r="DV504" s="174">
        <v>0.0</v>
      </c>
      <c r="DW504" s="174">
        <v>0.0</v>
      </c>
      <c r="DX504" s="174">
        <v>1.0</v>
      </c>
      <c r="DY504" s="174">
        <v>0.0</v>
      </c>
      <c r="DZ504" s="174">
        <v>1.0</v>
      </c>
      <c r="EA504" s="174"/>
      <c r="EB504" s="174"/>
      <c r="EC504" s="174"/>
      <c r="ED504" s="174"/>
      <c r="EE504" s="174">
        <v>1.0</v>
      </c>
      <c r="EF504" s="174">
        <v>0.0</v>
      </c>
      <c r="EG504" s="156">
        <v>7.0</v>
      </c>
      <c r="EH504" s="156">
        <v>0.0</v>
      </c>
      <c r="EI504" s="156">
        <v>0.0</v>
      </c>
      <c r="EJ504" s="156">
        <v>0.0</v>
      </c>
      <c r="EK504" s="156">
        <v>0.0</v>
      </c>
      <c r="EL504" s="156">
        <v>0.0</v>
      </c>
      <c r="EM504" s="175">
        <v>1.0</v>
      </c>
      <c r="EN504" s="175">
        <v>1.0</v>
      </c>
      <c r="EO504" s="174">
        <v>1.0</v>
      </c>
      <c r="EP504" s="174"/>
      <c r="EQ504" s="174"/>
      <c r="ER504" s="175">
        <v>1.0</v>
      </c>
      <c r="ES504" s="174"/>
      <c r="ET504" s="174">
        <v>1.0</v>
      </c>
      <c r="EU504" s="174">
        <v>0.0</v>
      </c>
      <c r="EV504" s="174">
        <v>1.0</v>
      </c>
      <c r="EW504" s="174">
        <v>0.0</v>
      </c>
      <c r="EX504" s="174">
        <v>0.0</v>
      </c>
      <c r="EY504" s="174">
        <v>1.0</v>
      </c>
      <c r="EZ504" s="174"/>
      <c r="FA504" s="174"/>
      <c r="FB504" s="174"/>
      <c r="FC504" s="174"/>
      <c r="FD504" s="174"/>
      <c r="FE504" s="174"/>
      <c r="FF504" s="174"/>
      <c r="FG504" s="174"/>
      <c r="FH504" s="174"/>
      <c r="FI504" s="174"/>
      <c r="FJ504" s="174"/>
      <c r="FK504" s="174"/>
      <c r="FL504" s="174"/>
      <c r="FM504" s="174"/>
      <c r="FN504" s="174"/>
      <c r="FO504" s="174"/>
      <c r="FP504" s="174"/>
      <c r="FQ504" s="156">
        <v>0.0</v>
      </c>
      <c r="FR504" s="156">
        <v>0.0</v>
      </c>
      <c r="FS504" s="156">
        <v>0.0</v>
      </c>
      <c r="FT504" s="156">
        <v>0.0</v>
      </c>
      <c r="FU504" s="156">
        <v>0.0</v>
      </c>
      <c r="FV504" s="156">
        <v>0.0</v>
      </c>
      <c r="FW504" s="157"/>
      <c r="FX504" s="157"/>
      <c r="FY504" s="157"/>
      <c r="FZ504" s="157"/>
      <c r="GA504" s="157"/>
      <c r="GB504" s="157"/>
      <c r="GC504" s="157"/>
      <c r="GD504" s="157"/>
      <c r="GE504" s="157"/>
      <c r="GF504" s="157"/>
      <c r="GG504" s="157"/>
      <c r="GH504" s="157"/>
      <c r="GI504" s="157"/>
      <c r="GJ504" s="157"/>
      <c r="GK504" s="157"/>
      <c r="GL504" s="157"/>
      <c r="GM504" s="157"/>
      <c r="GN504" s="157"/>
      <c r="GO504" s="157"/>
      <c r="GP504" s="158"/>
      <c r="GQ504" s="157"/>
      <c r="GR504" s="157"/>
      <c r="GS504" s="157"/>
      <c r="GT504" s="157"/>
      <c r="GU504" s="157"/>
      <c r="GV504" s="157"/>
      <c r="GW504" s="157"/>
      <c r="GX504" s="157"/>
      <c r="GY504" s="157"/>
      <c r="GZ504" s="157"/>
      <c r="HA504" s="157"/>
      <c r="HB504" s="155">
        <v>0.0</v>
      </c>
      <c r="HC504" s="155">
        <v>0.0</v>
      </c>
      <c r="HD504" s="155">
        <v>0.0</v>
      </c>
      <c r="HE504" s="155">
        <v>0.0</v>
      </c>
      <c r="HF504" s="155">
        <v>0.0</v>
      </c>
      <c r="HG504" s="155">
        <v>0.0</v>
      </c>
      <c r="IL504" s="159">
        <v>0.0</v>
      </c>
      <c r="IM504" s="156">
        <v>0.0</v>
      </c>
      <c r="IN504" s="156">
        <v>0.0</v>
      </c>
      <c r="IO504" s="156">
        <v>0.0</v>
      </c>
      <c r="IP504" s="156">
        <v>0.0</v>
      </c>
      <c r="IQ504" s="160">
        <v>0.0</v>
      </c>
      <c r="JH504" s="25"/>
      <c r="JW504" s="159">
        <v>0.0</v>
      </c>
      <c r="JX504" s="156">
        <v>0.0</v>
      </c>
      <c r="JY504" s="156">
        <v>0.0</v>
      </c>
      <c r="JZ504" s="156">
        <v>0.0</v>
      </c>
      <c r="KA504" s="156">
        <v>0.0</v>
      </c>
      <c r="KB504" s="160">
        <v>0.0</v>
      </c>
      <c r="LH504" s="159">
        <f t="shared" si="10"/>
        <v>0</v>
      </c>
      <c r="LI504" s="156">
        <f t="shared" si="11"/>
        <v>0</v>
      </c>
      <c r="LJ504" s="156">
        <f t="shared" si="12"/>
        <v>0</v>
      </c>
      <c r="LK504" s="156">
        <f t="shared" si="13"/>
        <v>0</v>
      </c>
      <c r="LL504" s="156">
        <f t="shared" si="14"/>
        <v>0</v>
      </c>
      <c r="LM504" s="160">
        <f t="shared" si="15"/>
        <v>0</v>
      </c>
      <c r="QX504" s="107">
        <v>46038.0</v>
      </c>
    </row>
    <row r="505">
      <c r="A505" s="25"/>
      <c r="B505" s="25"/>
      <c r="C505" s="25"/>
      <c r="D505" s="25"/>
      <c r="E505" s="25"/>
      <c r="F505" s="25"/>
      <c r="G505" s="25"/>
      <c r="H505" s="25"/>
      <c r="I505" s="143">
        <f t="shared" si="22"/>
        <v>-25</v>
      </c>
      <c r="J505" s="170" t="s">
        <v>3357</v>
      </c>
      <c r="K505" s="164" t="s">
        <v>61</v>
      </c>
      <c r="L505" s="179">
        <v>46272.0</v>
      </c>
      <c r="M505" s="164" t="s">
        <v>107</v>
      </c>
      <c r="N505" s="170">
        <v>357.0</v>
      </c>
      <c r="O505" s="148">
        <v>30.0</v>
      </c>
      <c r="P505" s="26"/>
      <c r="Q505" s="26"/>
      <c r="R505" s="26"/>
      <c r="S505" s="26"/>
      <c r="T505" s="26"/>
      <c r="U505" s="164" t="s">
        <v>3358</v>
      </c>
      <c r="V505" s="165" t="s">
        <v>3359</v>
      </c>
      <c r="W505" s="248" t="s">
        <v>3360</v>
      </c>
      <c r="X505" s="181">
        <v>0.0</v>
      </c>
      <c r="Y505" s="166">
        <f t="shared" si="23"/>
        <v>25</v>
      </c>
      <c r="Z505" s="26">
        <f t="shared" si="7"/>
        <v>0</v>
      </c>
      <c r="AA505" s="26">
        <f t="shared" si="8"/>
        <v>0</v>
      </c>
      <c r="AB505" s="26">
        <f t="shared" si="9"/>
        <v>0</v>
      </c>
      <c r="AC505" s="496">
        <v>3.0</v>
      </c>
      <c r="AD505" s="496">
        <v>0.0</v>
      </c>
      <c r="AE505" s="496">
        <v>0.0</v>
      </c>
      <c r="AF505" s="496">
        <v>0.0</v>
      </c>
      <c r="AG505" s="496">
        <v>0.0</v>
      </c>
      <c r="AH505" s="496">
        <v>0.0</v>
      </c>
      <c r="AI505" s="25"/>
      <c r="AJ505" s="25"/>
      <c r="AK505" s="25"/>
      <c r="AL505" s="25"/>
      <c r="AM505" s="25"/>
      <c r="AN505" s="25"/>
      <c r="AO505" s="25"/>
      <c r="AP505" s="25"/>
      <c r="AQ505" s="25"/>
      <c r="AR505" s="25"/>
      <c r="AS505" s="25"/>
      <c r="AT505" s="25"/>
      <c r="AU505" s="25"/>
      <c r="AV505" s="25"/>
      <c r="AW505" s="25"/>
      <c r="AX505" s="25"/>
      <c r="AY505" s="25"/>
      <c r="AZ505" s="25"/>
      <c r="BA505" s="25"/>
      <c r="BB505" s="25"/>
      <c r="BC505" s="168">
        <v>1.0</v>
      </c>
      <c r="BD505" s="167"/>
      <c r="BE505" s="167">
        <v>1.0</v>
      </c>
      <c r="BF505" s="167"/>
      <c r="BG505" s="167"/>
      <c r="BH505" s="167"/>
      <c r="BI505" s="167"/>
      <c r="BJ505" s="167"/>
      <c r="BK505" s="167"/>
      <c r="BL505" s="167">
        <v>1.0</v>
      </c>
      <c r="BM505" s="167">
        <v>0.0</v>
      </c>
      <c r="BN505" s="496">
        <v>7.0</v>
      </c>
      <c r="BO505" s="496">
        <v>0.0</v>
      </c>
      <c r="BP505" s="496">
        <v>0.0</v>
      </c>
      <c r="BQ505" s="496">
        <v>0.0</v>
      </c>
      <c r="BR505" s="496">
        <v>0.0</v>
      </c>
      <c r="BS505" s="496">
        <v>0.0</v>
      </c>
      <c r="BT505" s="167">
        <v>0.0</v>
      </c>
      <c r="BU505" s="167">
        <v>1.0</v>
      </c>
      <c r="BV505" s="167">
        <v>0.0</v>
      </c>
      <c r="BW505" s="167"/>
      <c r="BX505" s="168">
        <v>1.0</v>
      </c>
      <c r="BY505" s="167">
        <v>1.0</v>
      </c>
      <c r="BZ505" s="167">
        <v>0.0</v>
      </c>
      <c r="CA505" s="167">
        <v>0.0</v>
      </c>
      <c r="CB505" s="167">
        <v>1.0</v>
      </c>
      <c r="CC505" s="167">
        <v>0.0</v>
      </c>
      <c r="CD505" s="167">
        <v>1.0</v>
      </c>
      <c r="CE505" s="167">
        <v>0.0</v>
      </c>
      <c r="CF505" s="167"/>
      <c r="CG505" s="168">
        <v>1.0</v>
      </c>
      <c r="CH505" s="167"/>
      <c r="CI505" s="167"/>
      <c r="CJ505" s="167"/>
      <c r="CK505" s="167"/>
      <c r="CL505" s="167"/>
      <c r="CM505" s="167"/>
      <c r="CN505" s="167"/>
      <c r="CO505" s="167"/>
      <c r="CP505" s="167"/>
      <c r="CQ505" s="167"/>
      <c r="CR505" s="168">
        <v>1.0</v>
      </c>
      <c r="CS505" s="167"/>
      <c r="CT505" s="167"/>
      <c r="CU505" s="167"/>
      <c r="CV505" s="167">
        <v>5.0</v>
      </c>
      <c r="CW505" s="167">
        <v>0.0</v>
      </c>
      <c r="CX505" s="167">
        <v>0.0</v>
      </c>
      <c r="CY505" s="167">
        <v>0.0</v>
      </c>
      <c r="CZ505" s="167">
        <v>0.0</v>
      </c>
      <c r="DA505" s="167">
        <v>0.0</v>
      </c>
      <c r="DB505" s="177"/>
      <c r="DC505" s="177"/>
      <c r="DD505" s="177"/>
      <c r="DE505" s="177"/>
      <c r="DF505" s="177"/>
      <c r="DG505" s="177"/>
      <c r="DH505" s="177"/>
      <c r="DI505" s="177"/>
      <c r="DJ505" s="177"/>
      <c r="DK505" s="176">
        <v>1.0</v>
      </c>
      <c r="DL505" s="177"/>
      <c r="DM505" s="176">
        <v>1.0</v>
      </c>
      <c r="DN505" s="177"/>
      <c r="DO505" s="177">
        <v>0.0</v>
      </c>
      <c r="DP505" s="176">
        <v>1.0</v>
      </c>
      <c r="DQ505" s="177"/>
      <c r="DR505" s="177"/>
      <c r="DS505" s="177"/>
      <c r="DT505" s="177"/>
      <c r="DU505" s="177"/>
      <c r="DV505" s="176">
        <v>1.0</v>
      </c>
      <c r="DW505" s="176">
        <v>1.0</v>
      </c>
      <c r="DX505" s="177"/>
      <c r="DY505" s="177"/>
      <c r="DZ505" s="177"/>
      <c r="EA505" s="177"/>
      <c r="EB505" s="177"/>
      <c r="EC505" s="177"/>
      <c r="ED505" s="177"/>
      <c r="EE505" s="177"/>
      <c r="EF505" s="177"/>
      <c r="EG505" s="167">
        <v>0.0</v>
      </c>
      <c r="EH505" s="167">
        <v>0.0</v>
      </c>
      <c r="EI505" s="167">
        <v>0.0</v>
      </c>
      <c r="EJ505" s="167">
        <v>0.0</v>
      </c>
      <c r="EK505" s="167">
        <v>0.0</v>
      </c>
      <c r="EL505" s="167">
        <v>0.0</v>
      </c>
      <c r="EM505" s="25"/>
      <c r="EN505" s="25"/>
      <c r="EO505" s="25"/>
      <c r="EP505" s="25"/>
      <c r="EQ505" s="25"/>
      <c r="ER505" s="25"/>
      <c r="ES505" s="25"/>
      <c r="ET505" s="25"/>
      <c r="EU505" s="25"/>
      <c r="EV505" s="25"/>
      <c r="EW505" s="25"/>
      <c r="EX505" s="25"/>
      <c r="EY505" s="25"/>
      <c r="EZ505" s="25"/>
      <c r="FA505" s="25"/>
      <c r="FB505" s="25"/>
      <c r="FC505" s="25"/>
      <c r="FD505" s="25"/>
      <c r="FE505" s="25"/>
      <c r="FF505" s="25"/>
      <c r="FG505" s="25"/>
      <c r="FH505" s="25"/>
      <c r="FI505" s="25"/>
      <c r="FJ505" s="25"/>
      <c r="FK505" s="25"/>
      <c r="FL505" s="25"/>
      <c r="FM505" s="25"/>
      <c r="FN505" s="25"/>
      <c r="FO505" s="25"/>
      <c r="FP505" s="25"/>
      <c r="FQ505" s="167">
        <v>0.0</v>
      </c>
      <c r="FR505" s="167">
        <v>0.0</v>
      </c>
      <c r="FS505" s="167">
        <v>0.0</v>
      </c>
      <c r="FT505" s="167">
        <v>0.0</v>
      </c>
      <c r="FU505" s="167">
        <v>0.0</v>
      </c>
      <c r="FV505" s="167">
        <v>0.0</v>
      </c>
      <c r="FW505" s="158"/>
      <c r="FX505" s="158"/>
      <c r="FY505" s="158"/>
      <c r="FZ505" s="158"/>
      <c r="GA505" s="158"/>
      <c r="GB505" s="158"/>
      <c r="GC505" s="158"/>
      <c r="GD505" s="158"/>
      <c r="GE505" s="158"/>
      <c r="GF505" s="158"/>
      <c r="GG505" s="158"/>
      <c r="GH505" s="158"/>
      <c r="GI505" s="158"/>
      <c r="GJ505" s="158"/>
      <c r="GK505" s="158"/>
      <c r="GL505" s="158"/>
      <c r="GM505" s="158"/>
      <c r="GN505" s="158"/>
      <c r="GO505" s="158"/>
      <c r="GP505" s="158"/>
      <c r="GQ505" s="158"/>
      <c r="GR505" s="158"/>
      <c r="GS505" s="158"/>
      <c r="GT505" s="158"/>
      <c r="GU505" s="158"/>
      <c r="GV505" s="158"/>
      <c r="GW505" s="158"/>
      <c r="GX505" s="158"/>
      <c r="GY505" s="158"/>
      <c r="GZ505" s="158"/>
      <c r="HA505" s="158"/>
      <c r="HB505" s="496">
        <v>0.0</v>
      </c>
      <c r="HC505" s="496">
        <v>0.0</v>
      </c>
      <c r="HD505" s="496">
        <v>0.0</v>
      </c>
      <c r="HE505" s="496">
        <v>0.0</v>
      </c>
      <c r="HF505" s="496">
        <v>0.0</v>
      </c>
      <c r="HG505" s="496">
        <v>0.0</v>
      </c>
      <c r="HH505" s="25"/>
      <c r="HI505" s="25"/>
      <c r="HJ505" s="25"/>
      <c r="HK505" s="25"/>
      <c r="HL505" s="25"/>
      <c r="HM505" s="25"/>
      <c r="HN505" s="25"/>
      <c r="HO505" s="25"/>
      <c r="HP505" s="25"/>
      <c r="HQ505" s="25"/>
      <c r="HR505" s="25"/>
      <c r="HS505" s="25"/>
      <c r="HT505" s="25"/>
      <c r="HU505" s="25"/>
      <c r="HV505" s="25"/>
      <c r="HW505" s="25"/>
      <c r="HX505" s="25"/>
      <c r="HY505" s="25"/>
      <c r="HZ505" s="25"/>
      <c r="IA505" s="25"/>
      <c r="IB505" s="25"/>
      <c r="IC505" s="25"/>
      <c r="ID505" s="25"/>
      <c r="IE505" s="25"/>
      <c r="IF505" s="25"/>
      <c r="IG505" s="25"/>
      <c r="IH505" s="25"/>
      <c r="II505" s="25"/>
      <c r="IJ505" s="25"/>
      <c r="IK505" s="25"/>
      <c r="IL505" s="497">
        <v>4.0</v>
      </c>
      <c r="IM505" s="167">
        <v>0.0</v>
      </c>
      <c r="IN505" s="167">
        <v>0.0</v>
      </c>
      <c r="IO505" s="167">
        <v>0.0</v>
      </c>
      <c r="IP505" s="167">
        <v>0.0</v>
      </c>
      <c r="IQ505" s="498">
        <v>0.0</v>
      </c>
      <c r="IR505" s="25"/>
      <c r="IS505" s="25"/>
      <c r="IT505" s="25"/>
      <c r="IU505" s="25"/>
      <c r="IV505" s="25"/>
      <c r="IW505" s="25"/>
      <c r="IX505" s="25"/>
      <c r="IY505" s="25"/>
      <c r="IZ505" s="25"/>
      <c r="JA505" s="25"/>
      <c r="JB505" s="25"/>
      <c r="JC505" s="25"/>
      <c r="JD505" s="25"/>
      <c r="JE505" s="25"/>
      <c r="JF505" s="25"/>
      <c r="JG505" s="25"/>
      <c r="JH505" s="25"/>
      <c r="JI505" s="25"/>
      <c r="JJ505" s="162">
        <v>1.0</v>
      </c>
      <c r="JK505" s="25"/>
      <c r="JL505" s="162">
        <v>1.0</v>
      </c>
      <c r="JM505" s="25"/>
      <c r="JN505" s="25"/>
      <c r="JO505" s="25"/>
      <c r="JP505" s="162">
        <v>1.0</v>
      </c>
      <c r="JQ505" s="25"/>
      <c r="JR505" s="25"/>
      <c r="JS505" s="25"/>
      <c r="JT505" s="25"/>
      <c r="JU505" s="162">
        <v>1.0</v>
      </c>
      <c r="JV505" s="25"/>
      <c r="JW505" s="497">
        <v>6.0</v>
      </c>
      <c r="JX505" s="167">
        <v>0.0</v>
      </c>
      <c r="JY505" s="167">
        <v>0.0</v>
      </c>
      <c r="JZ505" s="167">
        <v>0.0</v>
      </c>
      <c r="KA505" s="167">
        <v>0.0</v>
      </c>
      <c r="KB505" s="498">
        <v>0.0</v>
      </c>
      <c r="KC505" s="170"/>
      <c r="KD505" s="170">
        <v>1.0</v>
      </c>
      <c r="KE505" s="170"/>
      <c r="KF505" s="170"/>
      <c r="KG505" s="170"/>
      <c r="KH505" s="170">
        <v>1.0</v>
      </c>
      <c r="KI505" s="170"/>
      <c r="KJ505" s="170">
        <v>1.0</v>
      </c>
      <c r="KK505" s="170"/>
      <c r="KL505" s="170"/>
      <c r="KM505" s="170"/>
      <c r="KN505" s="170"/>
      <c r="KO505" s="170"/>
      <c r="KP505" s="170"/>
      <c r="KQ505" s="170"/>
      <c r="KR505" s="170"/>
      <c r="KS505" s="170"/>
      <c r="KT505" s="170">
        <v>1.0</v>
      </c>
      <c r="KU505" s="170"/>
      <c r="KV505" s="170">
        <v>1.0</v>
      </c>
      <c r="KW505" s="170"/>
      <c r="KX505" s="170">
        <v>1.0</v>
      </c>
      <c r="KY505" s="170"/>
      <c r="KZ505" s="170"/>
      <c r="LA505" s="170"/>
      <c r="LB505" s="170"/>
      <c r="LC505" s="170"/>
      <c r="LD505" s="170"/>
      <c r="LE505" s="170"/>
      <c r="LF505" s="170"/>
      <c r="LG505" s="170"/>
      <c r="LH505" s="497">
        <f t="shared" si="10"/>
        <v>0</v>
      </c>
      <c r="LI505" s="167">
        <f t="shared" si="11"/>
        <v>0</v>
      </c>
      <c r="LJ505" s="167">
        <f t="shared" si="12"/>
        <v>0</v>
      </c>
      <c r="LK505" s="167">
        <f t="shared" si="13"/>
        <v>0</v>
      </c>
      <c r="LL505" s="167">
        <f t="shared" si="14"/>
        <v>0</v>
      </c>
      <c r="LM505" s="498">
        <f t="shared" si="15"/>
        <v>0</v>
      </c>
      <c r="LN505" s="25"/>
      <c r="LO505" s="25"/>
      <c r="LP505" s="25"/>
      <c r="LQ505" s="25"/>
      <c r="LR505" s="25"/>
      <c r="LS505" s="25"/>
      <c r="LT505" s="25"/>
      <c r="LU505" s="25"/>
      <c r="LV505" s="25"/>
      <c r="LW505" s="25"/>
      <c r="LX505" s="25"/>
      <c r="LY505" s="25"/>
      <c r="LZ505" s="25"/>
      <c r="MA505" s="25"/>
      <c r="MB505" s="25"/>
      <c r="MC505" s="25"/>
      <c r="MD505" s="25"/>
      <c r="ME505" s="25"/>
      <c r="MF505" s="25"/>
      <c r="MG505" s="25"/>
      <c r="MH505" s="25"/>
      <c r="MI505" s="25"/>
      <c r="MJ505" s="25"/>
      <c r="MK505" s="25"/>
      <c r="ML505" s="25"/>
      <c r="MM505" s="25"/>
      <c r="MN505" s="25"/>
      <c r="MO505" s="25"/>
      <c r="MP505" s="25"/>
      <c r="MQ505" s="25"/>
      <c r="MR505" s="25"/>
      <c r="MS505" s="25"/>
      <c r="MT505" s="25"/>
      <c r="MU505" s="25"/>
      <c r="MV505" s="25"/>
      <c r="MW505" s="25"/>
      <c r="MX505" s="25"/>
      <c r="MY505" s="25"/>
      <c r="MZ505" s="25"/>
      <c r="NA505" s="25"/>
      <c r="NB505" s="25"/>
      <c r="NC505" s="25"/>
      <c r="ND505" s="25"/>
      <c r="NE505" s="25"/>
      <c r="NF505" s="25"/>
      <c r="NG505" s="25"/>
      <c r="NH505" s="25"/>
      <c r="NI505" s="25"/>
      <c r="NJ505" s="25"/>
      <c r="NK505" s="25"/>
      <c r="NL505" s="25"/>
      <c r="NM505" s="25"/>
      <c r="NN505" s="25"/>
      <c r="NO505" s="25"/>
      <c r="NP505" s="25"/>
      <c r="NQ505" s="25"/>
      <c r="NR505" s="25"/>
      <c r="NS505" s="25"/>
      <c r="NT505" s="25"/>
      <c r="NU505" s="25"/>
      <c r="NV505" s="25"/>
      <c r="NW505" s="25"/>
      <c r="NX505" s="25"/>
      <c r="NY505" s="25"/>
      <c r="NZ505" s="25"/>
      <c r="OA505" s="25"/>
      <c r="OB505" s="25"/>
      <c r="OC505" s="25"/>
      <c r="OD505" s="25"/>
      <c r="OE505" s="25"/>
      <c r="OF505" s="25"/>
      <c r="OG505" s="25"/>
      <c r="OH505" s="25"/>
      <c r="OI505" s="25"/>
      <c r="OJ505" s="25"/>
      <c r="OK505" s="25"/>
      <c r="OL505" s="25"/>
      <c r="OM505" s="25"/>
      <c r="ON505" s="25"/>
      <c r="OO505" s="25"/>
      <c r="OP505" s="25"/>
      <c r="OQ505" s="25"/>
      <c r="OR505" s="25"/>
      <c r="OS505" s="25"/>
      <c r="OT505" s="25"/>
      <c r="OU505" s="25"/>
      <c r="OV505" s="25"/>
      <c r="OW505" s="25"/>
      <c r="OX505" s="25"/>
      <c r="OY505" s="25"/>
      <c r="OZ505" s="25"/>
      <c r="PA505" s="25"/>
      <c r="PB505" s="25"/>
      <c r="PC505" s="25"/>
      <c r="PD505" s="25"/>
      <c r="PE505" s="25"/>
      <c r="PF505" s="25"/>
      <c r="PG505" s="25"/>
      <c r="PH505" s="25"/>
      <c r="PI505" s="25"/>
      <c r="PJ505" s="25"/>
      <c r="PK505" s="25"/>
      <c r="PL505" s="25"/>
      <c r="PM505" s="25"/>
      <c r="PN505" s="25"/>
      <c r="PO505" s="25"/>
      <c r="PP505" s="25"/>
      <c r="PQ505" s="25"/>
      <c r="PR505" s="25"/>
      <c r="PS505" s="25"/>
      <c r="PT505" s="25"/>
      <c r="PU505" s="25"/>
      <c r="PV505" s="25"/>
      <c r="PW505" s="25"/>
      <c r="PX505" s="25"/>
      <c r="PY505" s="25"/>
      <c r="PZ505" s="25"/>
      <c r="QA505" s="25"/>
      <c r="QB505" s="25"/>
      <c r="QC505" s="25"/>
      <c r="QD505" s="25"/>
      <c r="QE505" s="25"/>
      <c r="QF505" s="25"/>
      <c r="QG505" s="25"/>
      <c r="QH505" s="25"/>
      <c r="QI505" s="25"/>
      <c r="QJ505" s="25"/>
      <c r="QK505" s="25"/>
      <c r="QL505" s="25"/>
      <c r="QM505" s="25"/>
      <c r="QN505" s="25"/>
      <c r="QO505" s="25"/>
      <c r="QP505" s="25"/>
      <c r="QQ505" s="25"/>
      <c r="QR505" s="25"/>
      <c r="QS505" s="25"/>
      <c r="QT505" s="25"/>
      <c r="QU505" s="25"/>
      <c r="QV505" s="25"/>
      <c r="QW505" s="25"/>
      <c r="QX505" s="499">
        <v>46039.0</v>
      </c>
    </row>
    <row r="506">
      <c r="A506" s="12"/>
      <c r="B506" s="12"/>
      <c r="C506" s="12"/>
      <c r="D506" s="12"/>
      <c r="E506" s="12"/>
      <c r="F506" s="12"/>
      <c r="G506" s="12"/>
      <c r="H506" s="12"/>
      <c r="I506" s="143">
        <f t="shared" si="22"/>
        <v>-29</v>
      </c>
      <c r="J506" s="144">
        <v>46044.0</v>
      </c>
      <c r="K506" s="523" t="s">
        <v>53</v>
      </c>
      <c r="L506" s="180">
        <v>46137.0</v>
      </c>
      <c r="M506" s="147" t="s">
        <v>1157</v>
      </c>
      <c r="N506" s="148">
        <v>357.0</v>
      </c>
      <c r="O506" s="148">
        <v>30.0</v>
      </c>
      <c r="P506" s="26"/>
      <c r="Q506" s="26"/>
      <c r="R506" s="26"/>
      <c r="S506" s="26"/>
      <c r="T506" s="26"/>
      <c r="U506" s="147" t="s">
        <v>3275</v>
      </c>
      <c r="V506" s="149" t="s">
        <v>3076</v>
      </c>
      <c r="W506" s="248" t="s">
        <v>3361</v>
      </c>
      <c r="X506" s="181">
        <v>0.0</v>
      </c>
      <c r="Y506" s="166">
        <f t="shared" si="23"/>
        <v>29</v>
      </c>
      <c r="Z506" s="26">
        <f t="shared" si="7"/>
        <v>0</v>
      </c>
      <c r="AA506" s="26">
        <f t="shared" si="8"/>
        <v>0</v>
      </c>
      <c r="AB506" s="26">
        <f t="shared" si="9"/>
        <v>0</v>
      </c>
      <c r="AC506" s="155">
        <v>4.0</v>
      </c>
      <c r="AD506" s="155">
        <v>0.0</v>
      </c>
      <c r="AE506" s="155">
        <v>0.0</v>
      </c>
      <c r="AF506" s="155">
        <v>0.0</v>
      </c>
      <c r="AG506" s="155">
        <v>0.0</v>
      </c>
      <c r="AH506" s="155">
        <v>0.0</v>
      </c>
      <c r="BD506" s="167">
        <v>1.0</v>
      </c>
      <c r="BE506" s="167">
        <v>0.0</v>
      </c>
      <c r="BF506" s="167">
        <v>1.0</v>
      </c>
      <c r="BG506" s="167">
        <v>0.0</v>
      </c>
      <c r="BH506" s="167">
        <v>0.0</v>
      </c>
      <c r="BI506" s="167">
        <v>1.0</v>
      </c>
      <c r="BJ506" s="167">
        <v>0.0</v>
      </c>
      <c r="BK506" s="167"/>
      <c r="BL506" s="167">
        <v>0.0</v>
      </c>
      <c r="BM506" s="167">
        <v>1.0</v>
      </c>
      <c r="BN506" s="155">
        <v>4.0</v>
      </c>
      <c r="BO506" s="155">
        <v>0.0</v>
      </c>
      <c r="BP506" s="155">
        <v>0.0</v>
      </c>
      <c r="BQ506" s="155">
        <v>0.0</v>
      </c>
      <c r="BR506" s="155">
        <v>0.0</v>
      </c>
      <c r="BS506" s="155">
        <v>0.0</v>
      </c>
      <c r="BT506" s="167">
        <v>0.0</v>
      </c>
      <c r="BU506" s="167">
        <v>0.0</v>
      </c>
      <c r="BV506" s="167">
        <v>1.0</v>
      </c>
      <c r="BW506" s="167">
        <v>0.0</v>
      </c>
      <c r="BX506" s="167">
        <v>1.0</v>
      </c>
      <c r="BY506" s="167">
        <v>0.0</v>
      </c>
      <c r="BZ506" s="167">
        <v>1.0</v>
      </c>
      <c r="CA506" s="167">
        <v>0.0</v>
      </c>
      <c r="CB506" s="167">
        <v>0.0</v>
      </c>
      <c r="CC506" s="167">
        <v>1.0</v>
      </c>
      <c r="CD506" s="167"/>
      <c r="CE506" s="167"/>
      <c r="CF506" s="167"/>
      <c r="CG506" s="167"/>
      <c r="CH506" s="167"/>
      <c r="CI506" s="167"/>
      <c r="CJ506" s="167"/>
      <c r="CK506" s="167"/>
      <c r="CL506" s="167"/>
      <c r="CM506" s="167"/>
      <c r="CN506" s="167"/>
      <c r="CO506" s="167"/>
      <c r="CP506" s="167"/>
      <c r="CQ506" s="167"/>
      <c r="CR506" s="167"/>
      <c r="CS506" s="167"/>
      <c r="CT506" s="167"/>
      <c r="CU506" s="167"/>
      <c r="CV506" s="156">
        <v>9.0</v>
      </c>
      <c r="CW506" s="156">
        <v>0.0</v>
      </c>
      <c r="CX506" s="156">
        <v>0.0</v>
      </c>
      <c r="CY506" s="156">
        <v>0.0</v>
      </c>
      <c r="CZ506" s="156">
        <v>0.0</v>
      </c>
      <c r="DA506" s="156">
        <v>0.0</v>
      </c>
      <c r="DB506" s="395"/>
      <c r="DC506" s="395"/>
      <c r="DD506" s="395"/>
      <c r="DE506" s="395"/>
      <c r="DF506" s="395"/>
      <c r="DG506" s="395"/>
      <c r="DH506" s="395">
        <v>1.0</v>
      </c>
      <c r="DI506" s="395">
        <v>0.0</v>
      </c>
      <c r="DJ506" s="395">
        <v>0.0</v>
      </c>
      <c r="DK506" s="395">
        <v>1.0</v>
      </c>
      <c r="DL506" s="395">
        <v>0.0</v>
      </c>
      <c r="DM506" s="395"/>
      <c r="DN506" s="395">
        <v>0.0</v>
      </c>
      <c r="DO506" s="395">
        <v>1.0</v>
      </c>
      <c r="DP506" s="395">
        <v>0.0</v>
      </c>
      <c r="DQ506" s="395">
        <v>0.0</v>
      </c>
      <c r="DR506" s="395">
        <v>1.0</v>
      </c>
      <c r="DS506" s="395">
        <v>0.0</v>
      </c>
      <c r="DT506" s="395">
        <v>1.0</v>
      </c>
      <c r="DU506" s="395">
        <v>0.0</v>
      </c>
      <c r="DV506" s="395">
        <v>1.0</v>
      </c>
      <c r="DW506" s="395">
        <v>0.0</v>
      </c>
      <c r="DX506" s="395">
        <v>0.0</v>
      </c>
      <c r="DY506" s="395">
        <v>1.0</v>
      </c>
      <c r="DZ506" s="395">
        <v>0.0</v>
      </c>
      <c r="EA506" s="395">
        <v>1.0</v>
      </c>
      <c r="EB506" s="395"/>
      <c r="EC506" s="395"/>
      <c r="ED506" s="395"/>
      <c r="EE506" s="395"/>
      <c r="EF506" s="395">
        <v>1.0</v>
      </c>
      <c r="EG506" s="156">
        <v>12.0</v>
      </c>
      <c r="EH506" s="156">
        <v>0.0</v>
      </c>
      <c r="EI506" s="156">
        <v>0.0</v>
      </c>
      <c r="EJ506" s="156">
        <v>0.0</v>
      </c>
      <c r="EK506" s="156">
        <v>0.0</v>
      </c>
      <c r="EL506" s="156">
        <v>0.0</v>
      </c>
      <c r="EM506" s="395"/>
      <c r="EN506" s="395">
        <v>1.0</v>
      </c>
      <c r="EO506" s="395">
        <v>1.0</v>
      </c>
      <c r="EP506" s="395"/>
      <c r="EQ506" s="395"/>
      <c r="ER506" s="395">
        <v>1.0</v>
      </c>
      <c r="ES506" s="395"/>
      <c r="ET506" s="395"/>
      <c r="EU506" s="395">
        <v>1.0</v>
      </c>
      <c r="EV506" s="395">
        <v>0.0</v>
      </c>
      <c r="EW506" s="395">
        <v>1.0</v>
      </c>
      <c r="EX506" s="395">
        <v>0.0</v>
      </c>
      <c r="EY506" s="395">
        <v>0.0</v>
      </c>
      <c r="EZ506" s="395">
        <v>1.0</v>
      </c>
      <c r="FA506" s="395">
        <v>0.0</v>
      </c>
      <c r="FB506" s="395">
        <v>1.0</v>
      </c>
      <c r="FC506" s="395">
        <v>0.0</v>
      </c>
      <c r="FD506" s="395">
        <v>1.0</v>
      </c>
      <c r="FE506" s="395">
        <v>0.0</v>
      </c>
      <c r="FF506" s="395">
        <v>0.0</v>
      </c>
      <c r="FG506" s="395">
        <v>2.0</v>
      </c>
      <c r="FH506" s="395">
        <v>0.0</v>
      </c>
      <c r="FI506" s="395">
        <v>2.0</v>
      </c>
      <c r="FJ506" s="395"/>
      <c r="FK506" s="395"/>
      <c r="FL506" s="395"/>
      <c r="FM506" s="395"/>
      <c r="FN506" s="395"/>
      <c r="FO506" s="395"/>
      <c r="FP506" s="395"/>
      <c r="FQ506" s="156">
        <v>0.0</v>
      </c>
      <c r="FR506" s="156">
        <v>0.0</v>
      </c>
      <c r="FS506" s="156">
        <v>0.0</v>
      </c>
      <c r="FT506" s="156">
        <v>0.0</v>
      </c>
      <c r="FU506" s="156">
        <v>0.0</v>
      </c>
      <c r="FV506" s="156">
        <v>0.0</v>
      </c>
      <c r="FW506" s="157"/>
      <c r="FX506" s="157"/>
      <c r="FY506" s="157"/>
      <c r="FZ506" s="157"/>
      <c r="GA506" s="157"/>
      <c r="GB506" s="157"/>
      <c r="GC506" s="157"/>
      <c r="GD506" s="157"/>
      <c r="GE506" s="157"/>
      <c r="GF506" s="157"/>
      <c r="GG506" s="157"/>
      <c r="GH506" s="157"/>
      <c r="GI506" s="157"/>
      <c r="GJ506" s="157"/>
      <c r="GK506" s="157"/>
      <c r="GL506" s="157"/>
      <c r="GM506" s="157"/>
      <c r="GN506" s="157"/>
      <c r="GO506" s="157"/>
      <c r="GP506" s="158"/>
      <c r="GQ506" s="157"/>
      <c r="GR506" s="157"/>
      <c r="GS506" s="157"/>
      <c r="GT506" s="157"/>
      <c r="GU506" s="157"/>
      <c r="GV506" s="157"/>
      <c r="GW506" s="157"/>
      <c r="GX506" s="157"/>
      <c r="GY506" s="157"/>
      <c r="GZ506" s="157"/>
      <c r="HA506" s="157"/>
      <c r="HB506" s="155">
        <v>0.0</v>
      </c>
      <c r="HC506" s="155">
        <v>0.0</v>
      </c>
      <c r="HD506" s="155">
        <v>0.0</v>
      </c>
      <c r="HE506" s="155">
        <v>0.0</v>
      </c>
      <c r="HF506" s="155">
        <v>0.0</v>
      </c>
      <c r="HG506" s="155">
        <v>0.0</v>
      </c>
      <c r="IL506" s="159">
        <v>0.0</v>
      </c>
      <c r="IM506" s="156">
        <v>0.0</v>
      </c>
      <c r="IN506" s="156">
        <v>0.0</v>
      </c>
      <c r="IO506" s="156">
        <v>0.0</v>
      </c>
      <c r="IP506" s="156">
        <v>0.0</v>
      </c>
      <c r="IQ506" s="160">
        <v>0.0</v>
      </c>
      <c r="JH506" s="25"/>
      <c r="JW506" s="159">
        <v>0.0</v>
      </c>
      <c r="JX506" s="156">
        <v>0.0</v>
      </c>
      <c r="JY506" s="156">
        <v>0.0</v>
      </c>
      <c r="JZ506" s="156">
        <v>0.0</v>
      </c>
      <c r="KA506" s="156">
        <v>0.0</v>
      </c>
      <c r="KB506" s="160">
        <v>0.0</v>
      </c>
      <c r="LH506" s="159">
        <f t="shared" si="10"/>
        <v>0</v>
      </c>
      <c r="LI506" s="156">
        <f t="shared" si="11"/>
        <v>0</v>
      </c>
      <c r="LJ506" s="156">
        <f t="shared" si="12"/>
        <v>0</v>
      </c>
      <c r="LK506" s="156">
        <f t="shared" si="13"/>
        <v>0</v>
      </c>
      <c r="LL506" s="156">
        <f t="shared" si="14"/>
        <v>0</v>
      </c>
      <c r="LM506" s="160">
        <f t="shared" si="15"/>
        <v>0</v>
      </c>
      <c r="QX506" s="107">
        <v>46039.0</v>
      </c>
    </row>
    <row r="507">
      <c r="A507" s="12"/>
      <c r="B507" s="12"/>
      <c r="C507" s="12"/>
      <c r="D507" s="12"/>
      <c r="E507" s="12"/>
      <c r="F507" s="12"/>
      <c r="G507" s="12"/>
      <c r="H507" s="12"/>
      <c r="I507" s="143">
        <f t="shared" si="22"/>
        <v>-59</v>
      </c>
      <c r="J507" s="144">
        <v>46044.0</v>
      </c>
      <c r="K507" s="145" t="s">
        <v>48</v>
      </c>
      <c r="L507" s="146"/>
      <c r="M507" s="147" t="s">
        <v>435</v>
      </c>
      <c r="N507" s="148" t="s">
        <v>3321</v>
      </c>
      <c r="O507" s="148">
        <v>30.0</v>
      </c>
      <c r="P507" s="148">
        <v>30.0</v>
      </c>
      <c r="Q507" s="148">
        <v>30.0</v>
      </c>
      <c r="R507" s="148">
        <v>30.0</v>
      </c>
      <c r="S507" s="148">
        <v>30.0</v>
      </c>
      <c r="T507" s="148">
        <v>30.0</v>
      </c>
      <c r="U507" s="536" t="s">
        <v>3362</v>
      </c>
      <c r="V507" s="165" t="s">
        <v>3098</v>
      </c>
      <c r="W507" s="248" t="s">
        <v>3363</v>
      </c>
      <c r="X507" s="181">
        <v>0.0</v>
      </c>
      <c r="Y507" s="166">
        <f t="shared" si="23"/>
        <v>59</v>
      </c>
      <c r="Z507" s="26">
        <f t="shared" si="7"/>
        <v>0</v>
      </c>
      <c r="AA507" s="26">
        <f t="shared" si="8"/>
        <v>0</v>
      </c>
      <c r="AB507" s="26">
        <f t="shared" si="9"/>
        <v>0</v>
      </c>
      <c r="AC507" s="155">
        <v>4.0</v>
      </c>
      <c r="AD507" s="155">
        <v>0.0</v>
      </c>
      <c r="AE507" s="155">
        <v>0.0</v>
      </c>
      <c r="AF507" s="155">
        <v>0.0</v>
      </c>
      <c r="AG507" s="155">
        <v>0.0</v>
      </c>
      <c r="AH507" s="155">
        <v>0.0</v>
      </c>
      <c r="BD507" s="167">
        <v>1.0</v>
      </c>
      <c r="BE507" s="167">
        <v>0.0</v>
      </c>
      <c r="BF507" s="167">
        <v>0.0</v>
      </c>
      <c r="BG507" s="167">
        <v>1.0</v>
      </c>
      <c r="BH507" s="167">
        <v>0.0</v>
      </c>
      <c r="BI507" s="167">
        <v>1.0</v>
      </c>
      <c r="BJ507" s="167">
        <v>0.0</v>
      </c>
      <c r="BK507" s="167">
        <v>1.0</v>
      </c>
      <c r="BL507" s="167">
        <v>0.0</v>
      </c>
      <c r="BM507" s="167">
        <v>0.0</v>
      </c>
      <c r="BN507" s="155">
        <v>7.0</v>
      </c>
      <c r="BO507" s="155">
        <v>0.0</v>
      </c>
      <c r="BP507" s="155">
        <v>0.0</v>
      </c>
      <c r="BQ507" s="155">
        <v>0.0</v>
      </c>
      <c r="BR507" s="155">
        <v>0.0</v>
      </c>
      <c r="BS507" s="155">
        <v>0.0</v>
      </c>
      <c r="BV507" s="86">
        <v>1.0</v>
      </c>
      <c r="BX507" s="86">
        <v>1.0</v>
      </c>
      <c r="CC507" s="86">
        <v>1.0</v>
      </c>
      <c r="CD507" s="86">
        <v>1.0</v>
      </c>
      <c r="CE507" s="86">
        <v>1.0</v>
      </c>
      <c r="CQ507" s="86">
        <v>1.0</v>
      </c>
      <c r="CS507" s="86">
        <v>1.0</v>
      </c>
      <c r="CV507" s="156">
        <v>10.0</v>
      </c>
      <c r="CW507" s="156">
        <v>0.0</v>
      </c>
      <c r="CX507" s="156">
        <v>0.0</v>
      </c>
      <c r="CY507" s="156">
        <v>0.0</v>
      </c>
      <c r="CZ507" s="156">
        <v>0.0</v>
      </c>
      <c r="DA507" s="156">
        <v>0.0</v>
      </c>
      <c r="DB507" s="86">
        <v>1.0</v>
      </c>
      <c r="DD507" s="86">
        <v>1.0</v>
      </c>
      <c r="DI507" s="86">
        <v>1.0</v>
      </c>
      <c r="DM507" s="86">
        <v>1.0</v>
      </c>
      <c r="DP507" s="86">
        <v>1.0</v>
      </c>
      <c r="DW507" s="86">
        <v>1.0</v>
      </c>
      <c r="DY507" s="86">
        <v>1.0</v>
      </c>
      <c r="EA507" s="86">
        <v>1.0</v>
      </c>
      <c r="ED507" s="86">
        <v>1.0</v>
      </c>
      <c r="EF507" s="86">
        <v>1.0</v>
      </c>
      <c r="EG507" s="156">
        <v>8.0</v>
      </c>
      <c r="EH507" s="156">
        <v>0.0</v>
      </c>
      <c r="EI507" s="156">
        <v>0.0</v>
      </c>
      <c r="EJ507" s="156">
        <v>0.0</v>
      </c>
      <c r="EK507" s="156">
        <v>0.0</v>
      </c>
      <c r="EL507" s="156">
        <v>0.0</v>
      </c>
      <c r="EQ507" s="86">
        <v>1.0</v>
      </c>
      <c r="ES507" s="86">
        <v>1.0</v>
      </c>
      <c r="EU507" s="86">
        <v>1.0</v>
      </c>
      <c r="EX507" s="86">
        <v>1.0</v>
      </c>
      <c r="EZ507" s="86">
        <v>1.0</v>
      </c>
      <c r="FB507" s="86">
        <v>1.0</v>
      </c>
      <c r="FE507" s="86">
        <v>1.0</v>
      </c>
      <c r="FG507" s="86">
        <v>1.0</v>
      </c>
      <c r="FQ507" s="156">
        <v>7.0</v>
      </c>
      <c r="FR507" s="156">
        <v>0.0</v>
      </c>
      <c r="FS507" s="156">
        <v>0.0</v>
      </c>
      <c r="FT507" s="156">
        <v>0.0</v>
      </c>
      <c r="FU507" s="156">
        <v>0.0</v>
      </c>
      <c r="FV507" s="156">
        <v>0.0</v>
      </c>
      <c r="FW507" s="157"/>
      <c r="FX507" s="157"/>
      <c r="FY507" s="188"/>
      <c r="FZ507" s="157"/>
      <c r="GA507" s="188">
        <v>1.0</v>
      </c>
      <c r="GB507" s="157"/>
      <c r="GC507" s="188">
        <v>1.0</v>
      </c>
      <c r="GD507" s="157"/>
      <c r="GE507" s="157"/>
      <c r="GF507" s="188">
        <v>1.0</v>
      </c>
      <c r="GG507" s="157"/>
      <c r="GH507" s="188">
        <v>1.0</v>
      </c>
      <c r="GI507" s="157"/>
      <c r="GJ507" s="188"/>
      <c r="GK507" s="157"/>
      <c r="GL507" s="157"/>
      <c r="GM507" s="188"/>
      <c r="GN507" s="157"/>
      <c r="GO507" s="188">
        <v>1.0</v>
      </c>
      <c r="GP507" s="158"/>
      <c r="GQ507" s="188">
        <v>1.0</v>
      </c>
      <c r="GR507" s="157"/>
      <c r="GS507" s="157"/>
      <c r="GT507" s="188">
        <v>1.0</v>
      </c>
      <c r="GU507" s="157"/>
      <c r="GV507" s="157"/>
      <c r="GW507" s="157"/>
      <c r="GX507" s="157"/>
      <c r="GY507" s="157"/>
      <c r="GZ507" s="157"/>
      <c r="HA507" s="157"/>
      <c r="HB507" s="155">
        <v>7.0</v>
      </c>
      <c r="HC507" s="155">
        <v>0.0</v>
      </c>
      <c r="HD507" s="155">
        <v>0.0</v>
      </c>
      <c r="HE507" s="155">
        <v>0.0</v>
      </c>
      <c r="HF507" s="155">
        <v>0.0</v>
      </c>
      <c r="HG507" s="155">
        <v>0.0</v>
      </c>
      <c r="HI507" s="86">
        <v>1.0</v>
      </c>
      <c r="HK507" s="86">
        <v>1.0</v>
      </c>
      <c r="HP507" s="86">
        <v>1.0</v>
      </c>
      <c r="HR507" s="86">
        <v>1.0</v>
      </c>
      <c r="IB507" s="86">
        <v>1.0</v>
      </c>
      <c r="ID507" s="86">
        <v>1.0</v>
      </c>
      <c r="II507" s="86">
        <v>1.0</v>
      </c>
      <c r="IL507" s="159">
        <v>7.0</v>
      </c>
      <c r="IM507" s="156">
        <v>0.0</v>
      </c>
      <c r="IN507" s="156">
        <v>0.0</v>
      </c>
      <c r="IO507" s="156">
        <v>0.0</v>
      </c>
      <c r="IP507" s="156">
        <v>0.0</v>
      </c>
      <c r="IQ507" s="160">
        <v>0.0</v>
      </c>
      <c r="IV507" s="86">
        <v>1.0</v>
      </c>
      <c r="IX507" s="86">
        <v>1.0</v>
      </c>
      <c r="IZ507" s="86">
        <v>1.0</v>
      </c>
      <c r="JG507" s="86">
        <v>1.0</v>
      </c>
      <c r="JH507" s="25"/>
      <c r="JQ507" s="86">
        <v>1.0</v>
      </c>
      <c r="JS507" s="86">
        <v>1.0</v>
      </c>
      <c r="JU507" s="86">
        <v>1.0</v>
      </c>
      <c r="JW507" s="159">
        <v>7.0</v>
      </c>
      <c r="JX507" s="156">
        <v>0.0</v>
      </c>
      <c r="JY507" s="156">
        <v>0.0</v>
      </c>
      <c r="JZ507" s="156">
        <v>0.0</v>
      </c>
      <c r="KA507" s="156">
        <v>0.0</v>
      </c>
      <c r="KB507" s="160">
        <v>0.0</v>
      </c>
      <c r="KD507" s="86">
        <v>1.0</v>
      </c>
      <c r="KH507" s="86">
        <v>1.0</v>
      </c>
      <c r="KM507" s="86">
        <v>1.0</v>
      </c>
      <c r="KO507" s="86">
        <v>1.0</v>
      </c>
      <c r="KR507" s="86">
        <v>1.0</v>
      </c>
      <c r="KS507" s="178"/>
      <c r="KY507" s="86">
        <v>2.0</v>
      </c>
      <c r="LH507" s="159">
        <f t="shared" si="10"/>
        <v>2</v>
      </c>
      <c r="LI507" s="156">
        <f t="shared" si="11"/>
        <v>0</v>
      </c>
      <c r="LJ507" s="156">
        <f t="shared" si="12"/>
        <v>0</v>
      </c>
      <c r="LK507" s="156">
        <f t="shared" si="13"/>
        <v>0</v>
      </c>
      <c r="LL507" s="156">
        <f t="shared" si="14"/>
        <v>0</v>
      </c>
      <c r="LM507" s="160">
        <f t="shared" si="15"/>
        <v>0</v>
      </c>
      <c r="LP507" s="189">
        <v>1.0</v>
      </c>
      <c r="LT507" s="189"/>
      <c r="LU507" s="189">
        <v>1.0</v>
      </c>
      <c r="QX507" s="107">
        <v>46041.0</v>
      </c>
    </row>
    <row r="508">
      <c r="A508" s="12"/>
      <c r="B508" s="12"/>
      <c r="C508" s="12"/>
      <c r="D508" s="12"/>
      <c r="E508" s="12"/>
      <c r="F508" s="12"/>
      <c r="G508" s="12"/>
      <c r="H508" s="12"/>
      <c r="I508" s="143">
        <f t="shared" si="22"/>
        <v>-30</v>
      </c>
      <c r="J508" s="171">
        <v>46050.0</v>
      </c>
      <c r="K508" s="195" t="s">
        <v>61</v>
      </c>
      <c r="L508" s="180">
        <v>46135.0</v>
      </c>
      <c r="M508" s="147" t="s">
        <v>348</v>
      </c>
      <c r="N508" s="148">
        <v>246.0</v>
      </c>
      <c r="O508" s="148">
        <v>30.0</v>
      </c>
      <c r="P508" s="26"/>
      <c r="Q508" s="26"/>
      <c r="R508" s="26"/>
      <c r="S508" s="26"/>
      <c r="T508" s="26"/>
      <c r="U508" s="164" t="s">
        <v>3364</v>
      </c>
      <c r="V508" s="165" t="s">
        <v>2952</v>
      </c>
      <c r="W508" s="248" t="s">
        <v>3365</v>
      </c>
      <c r="X508" s="181">
        <v>0.0</v>
      </c>
      <c r="Y508" s="166">
        <f t="shared" si="23"/>
        <v>30</v>
      </c>
      <c r="Z508" s="26">
        <f t="shared" si="7"/>
        <v>0</v>
      </c>
      <c r="AA508" s="26">
        <f t="shared" si="8"/>
        <v>0</v>
      </c>
      <c r="AB508" s="26">
        <f t="shared" si="9"/>
        <v>0</v>
      </c>
      <c r="AC508" s="155">
        <v>2.0</v>
      </c>
      <c r="AD508" s="155">
        <v>0.0</v>
      </c>
      <c r="AE508" s="155">
        <v>0.0</v>
      </c>
      <c r="AF508" s="155">
        <v>0.0</v>
      </c>
      <c r="AG508" s="155">
        <v>0.0</v>
      </c>
      <c r="AH508" s="155">
        <v>0.0</v>
      </c>
      <c r="BJ508" s="167">
        <v>1.0</v>
      </c>
      <c r="BK508" s="167">
        <v>0.0</v>
      </c>
      <c r="BL508" s="167">
        <v>1.0</v>
      </c>
      <c r="BM508" s="167">
        <v>0.0</v>
      </c>
      <c r="BN508" s="155">
        <v>7.0</v>
      </c>
      <c r="BO508" s="155">
        <v>0.0</v>
      </c>
      <c r="BP508" s="155">
        <v>0.0</v>
      </c>
      <c r="BQ508" s="155">
        <v>0.0</v>
      </c>
      <c r="BR508" s="155">
        <v>0.0</v>
      </c>
      <c r="BS508" s="155">
        <v>0.0</v>
      </c>
      <c r="BT508" s="167">
        <v>0.0</v>
      </c>
      <c r="BU508" s="167">
        <v>1.0</v>
      </c>
      <c r="BV508" s="167">
        <v>0.0</v>
      </c>
      <c r="BW508" s="167">
        <v>1.0</v>
      </c>
      <c r="BX508" s="167">
        <v>0.0</v>
      </c>
      <c r="BY508" s="167">
        <v>1.0</v>
      </c>
      <c r="BZ508" s="167">
        <v>0.0</v>
      </c>
      <c r="CA508" s="167">
        <v>0.0</v>
      </c>
      <c r="CB508" s="167">
        <v>1.0</v>
      </c>
      <c r="CC508" s="167">
        <v>0.0</v>
      </c>
      <c r="CD508" s="167">
        <v>1.0</v>
      </c>
      <c r="CE508" s="167">
        <v>0.0</v>
      </c>
      <c r="CF508" s="167">
        <v>1.0</v>
      </c>
      <c r="CG508" s="167"/>
      <c r="CH508" s="167"/>
      <c r="CI508" s="167"/>
      <c r="CJ508" s="167"/>
      <c r="CK508" s="167"/>
      <c r="CL508" s="167"/>
      <c r="CM508" s="167"/>
      <c r="CN508" s="167"/>
      <c r="CO508" s="167"/>
      <c r="CP508" s="167">
        <v>1.0</v>
      </c>
      <c r="CQ508" s="167"/>
      <c r="CR508" s="167"/>
      <c r="CS508" s="167"/>
      <c r="CT508" s="167"/>
      <c r="CU508" s="167"/>
      <c r="CV508" s="156">
        <v>12.0</v>
      </c>
      <c r="CW508" s="156">
        <v>0.0</v>
      </c>
      <c r="CX508" s="156">
        <v>0.0</v>
      </c>
      <c r="CY508" s="156">
        <v>0.0</v>
      </c>
      <c r="CZ508" s="156">
        <v>0.0</v>
      </c>
      <c r="DA508" s="156">
        <v>0.0</v>
      </c>
      <c r="DB508" s="174">
        <v>0.0</v>
      </c>
      <c r="DC508" s="174">
        <v>1.0</v>
      </c>
      <c r="DD508" s="174">
        <v>0.0</v>
      </c>
      <c r="DE508" s="174">
        <v>1.0</v>
      </c>
      <c r="DF508" s="174">
        <v>0.0</v>
      </c>
      <c r="DG508" s="174">
        <v>1.0</v>
      </c>
      <c r="DH508" s="174">
        <v>0.0</v>
      </c>
      <c r="DI508" s="174">
        <v>0.0</v>
      </c>
      <c r="DJ508" s="174">
        <v>1.0</v>
      </c>
      <c r="DK508" s="174">
        <v>0.0</v>
      </c>
      <c r="DL508" s="174">
        <v>1.0</v>
      </c>
      <c r="DM508" s="174">
        <v>0.0</v>
      </c>
      <c r="DN508" s="174">
        <v>1.0</v>
      </c>
      <c r="DO508" s="174"/>
      <c r="DP508" s="174"/>
      <c r="DQ508" s="174"/>
      <c r="DR508" s="174"/>
      <c r="DS508" s="174"/>
      <c r="DT508" s="175">
        <v>1.0</v>
      </c>
      <c r="DU508" s="174">
        <v>1.0</v>
      </c>
      <c r="DV508" s="174">
        <v>0.0</v>
      </c>
      <c r="DW508" s="174">
        <v>0.0</v>
      </c>
      <c r="DX508" s="174">
        <v>1.0</v>
      </c>
      <c r="DY508" s="174">
        <v>0.0</v>
      </c>
      <c r="DZ508" s="174">
        <v>1.0</v>
      </c>
      <c r="EA508" s="174">
        <v>0.0</v>
      </c>
      <c r="EB508" s="174">
        <v>1.0</v>
      </c>
      <c r="EC508" s="174">
        <v>0.0</v>
      </c>
      <c r="ED508" s="174">
        <v>0.0</v>
      </c>
      <c r="EE508" s="174">
        <v>1.0</v>
      </c>
      <c r="EF508" s="174">
        <v>0.0</v>
      </c>
      <c r="EG508" s="156">
        <v>9.0</v>
      </c>
      <c r="EH508" s="156">
        <v>0.0</v>
      </c>
      <c r="EI508" s="156">
        <v>0.0</v>
      </c>
      <c r="EJ508" s="156">
        <v>0.0</v>
      </c>
      <c r="EK508" s="156">
        <v>0.0</v>
      </c>
      <c r="EL508" s="156">
        <v>0.0</v>
      </c>
      <c r="EM508" s="174">
        <v>1.0</v>
      </c>
      <c r="EN508" s="174">
        <v>0.0</v>
      </c>
      <c r="EO508" s="174">
        <v>1.0</v>
      </c>
      <c r="EP508" s="174"/>
      <c r="EQ508" s="174"/>
      <c r="ER508" s="175">
        <v>1.0</v>
      </c>
      <c r="ES508" s="174"/>
      <c r="ET508" s="174">
        <v>1.0</v>
      </c>
      <c r="EU508" s="174"/>
      <c r="EV508" s="174"/>
      <c r="EW508" s="174"/>
      <c r="EX508" s="174"/>
      <c r="EY508" s="174">
        <v>1.0</v>
      </c>
      <c r="EZ508" s="174">
        <v>0.0</v>
      </c>
      <c r="FA508" s="174">
        <v>1.0</v>
      </c>
      <c r="FB508" s="174">
        <v>0.0</v>
      </c>
      <c r="FC508" s="174">
        <v>1.0</v>
      </c>
      <c r="FD508" s="174">
        <v>0.0</v>
      </c>
      <c r="FE508" s="174">
        <v>0.0</v>
      </c>
      <c r="FF508" s="174">
        <v>1.0</v>
      </c>
      <c r="FG508" s="174">
        <v>0.0</v>
      </c>
      <c r="FH508" s="174">
        <v>1.0</v>
      </c>
      <c r="FI508" s="174"/>
      <c r="FJ508" s="174"/>
      <c r="FK508" s="174"/>
      <c r="FL508" s="174"/>
      <c r="FM508" s="174"/>
      <c r="FN508" s="174"/>
      <c r="FO508" s="174"/>
      <c r="FP508" s="174"/>
      <c r="FQ508" s="156">
        <v>0.0</v>
      </c>
      <c r="FR508" s="156">
        <v>0.0</v>
      </c>
      <c r="FS508" s="156">
        <v>0.0</v>
      </c>
      <c r="FT508" s="156">
        <v>0.0</v>
      </c>
      <c r="FU508" s="156">
        <v>0.0</v>
      </c>
      <c r="FV508" s="156">
        <v>0.0</v>
      </c>
      <c r="FW508" s="157"/>
      <c r="FX508" s="157"/>
      <c r="FY508" s="157"/>
      <c r="FZ508" s="157"/>
      <c r="GA508" s="157"/>
      <c r="GB508" s="157"/>
      <c r="GC508" s="157"/>
      <c r="GD508" s="157"/>
      <c r="GE508" s="157"/>
      <c r="GF508" s="157"/>
      <c r="GG508" s="157"/>
      <c r="GH508" s="157"/>
      <c r="GI508" s="157"/>
      <c r="GJ508" s="157"/>
      <c r="GK508" s="157"/>
      <c r="GL508" s="157"/>
      <c r="GM508" s="157"/>
      <c r="GN508" s="157"/>
      <c r="GO508" s="157"/>
      <c r="GP508" s="158"/>
      <c r="GQ508" s="157"/>
      <c r="GR508" s="157"/>
      <c r="GS508" s="157"/>
      <c r="GT508" s="157"/>
      <c r="GU508" s="157"/>
      <c r="GV508" s="157"/>
      <c r="GW508" s="157"/>
      <c r="GX508" s="157"/>
      <c r="GY508" s="157"/>
      <c r="GZ508" s="157"/>
      <c r="HA508" s="157"/>
      <c r="HB508" s="155">
        <v>0.0</v>
      </c>
      <c r="HC508" s="155">
        <v>0.0</v>
      </c>
      <c r="HD508" s="155">
        <v>0.0</v>
      </c>
      <c r="HE508" s="155">
        <v>0.0</v>
      </c>
      <c r="HF508" s="155">
        <v>0.0</v>
      </c>
      <c r="HG508" s="155">
        <v>0.0</v>
      </c>
      <c r="IL508" s="159">
        <v>0.0</v>
      </c>
      <c r="IM508" s="156">
        <v>0.0</v>
      </c>
      <c r="IN508" s="156">
        <v>0.0</v>
      </c>
      <c r="IO508" s="156">
        <v>0.0</v>
      </c>
      <c r="IP508" s="156">
        <v>0.0</v>
      </c>
      <c r="IQ508" s="160">
        <v>0.0</v>
      </c>
      <c r="JH508" s="25"/>
      <c r="JW508" s="159">
        <v>0.0</v>
      </c>
      <c r="JX508" s="156">
        <v>0.0</v>
      </c>
      <c r="JY508" s="156">
        <v>0.0</v>
      </c>
      <c r="JZ508" s="156">
        <v>0.0</v>
      </c>
      <c r="KA508" s="156">
        <v>0.0</v>
      </c>
      <c r="KB508" s="160">
        <v>0.0</v>
      </c>
      <c r="LH508" s="159">
        <f t="shared" si="10"/>
        <v>0</v>
      </c>
      <c r="LI508" s="156">
        <f t="shared" si="11"/>
        <v>0</v>
      </c>
      <c r="LJ508" s="156">
        <f t="shared" si="12"/>
        <v>0</v>
      </c>
      <c r="LK508" s="156">
        <f t="shared" si="13"/>
        <v>0</v>
      </c>
      <c r="LL508" s="156">
        <f t="shared" si="14"/>
        <v>0</v>
      </c>
      <c r="LM508" s="160">
        <f t="shared" si="15"/>
        <v>0</v>
      </c>
      <c r="QX508" s="107">
        <v>46042.0</v>
      </c>
    </row>
    <row r="509">
      <c r="A509" s="12"/>
      <c r="B509" s="12"/>
      <c r="C509" s="12"/>
      <c r="D509" s="12"/>
      <c r="E509" s="12"/>
      <c r="F509" s="12"/>
      <c r="G509" s="12"/>
      <c r="H509" s="12"/>
      <c r="I509" s="143">
        <f t="shared" si="22"/>
        <v>-30</v>
      </c>
      <c r="J509" s="171">
        <v>46048.0</v>
      </c>
      <c r="K509" s="164" t="s">
        <v>61</v>
      </c>
      <c r="L509" s="171">
        <v>46125.0</v>
      </c>
      <c r="M509" s="164" t="s">
        <v>435</v>
      </c>
      <c r="N509" s="170">
        <v>246.0</v>
      </c>
      <c r="O509" s="148">
        <v>30.0</v>
      </c>
      <c r="P509" s="26"/>
      <c r="Q509" s="26"/>
      <c r="R509" s="26"/>
      <c r="S509" s="26"/>
      <c r="T509" s="26"/>
      <c r="U509" s="49" t="s">
        <v>3366</v>
      </c>
      <c r="V509" s="394" t="s">
        <v>3108</v>
      </c>
      <c r="W509" s="198" t="s">
        <v>3367</v>
      </c>
      <c r="X509" s="181">
        <v>0.0</v>
      </c>
      <c r="Y509" s="166">
        <f t="shared" si="23"/>
        <v>30</v>
      </c>
      <c r="Z509" s="26">
        <f t="shared" si="7"/>
        <v>0</v>
      </c>
      <c r="AA509" s="26">
        <f t="shared" si="8"/>
        <v>0</v>
      </c>
      <c r="AB509" s="26">
        <f t="shared" si="9"/>
        <v>0</v>
      </c>
      <c r="AC509" s="155">
        <v>2.0</v>
      </c>
      <c r="AD509" s="155">
        <v>0.0</v>
      </c>
      <c r="AE509" s="155">
        <v>0.0</v>
      </c>
      <c r="AF509" s="155">
        <v>0.0</v>
      </c>
      <c r="AG509" s="155">
        <v>0.0</v>
      </c>
      <c r="AH509" s="155">
        <v>0.0</v>
      </c>
      <c r="BH509" s="167">
        <v>1.0</v>
      </c>
      <c r="BI509" s="167">
        <v>0.0</v>
      </c>
      <c r="BJ509" s="167">
        <v>1.0</v>
      </c>
      <c r="BK509" s="167"/>
      <c r="BL509" s="167"/>
      <c r="BM509" s="167"/>
      <c r="BN509" s="155">
        <v>7.0</v>
      </c>
      <c r="BO509" s="155">
        <v>0.0</v>
      </c>
      <c r="BP509" s="155">
        <v>0.0</v>
      </c>
      <c r="BQ509" s="155">
        <v>0.0</v>
      </c>
      <c r="BR509" s="155">
        <v>0.0</v>
      </c>
      <c r="BS509" s="155">
        <v>0.0</v>
      </c>
      <c r="BT509" s="167">
        <v>0.0</v>
      </c>
      <c r="BU509" s="167">
        <v>1.0</v>
      </c>
      <c r="BV509" s="167">
        <v>0.0</v>
      </c>
      <c r="BW509" s="167">
        <v>1.0</v>
      </c>
      <c r="BX509" s="167">
        <v>0.0</v>
      </c>
      <c r="BY509" s="167"/>
      <c r="BZ509" s="168"/>
      <c r="CA509" s="167">
        <v>0.0</v>
      </c>
      <c r="CB509" s="167">
        <v>1.0</v>
      </c>
      <c r="CC509" s="167">
        <v>0.0</v>
      </c>
      <c r="CD509" s="168">
        <v>1.0</v>
      </c>
      <c r="CE509" s="167"/>
      <c r="CF509" s="167"/>
      <c r="CG509" s="167"/>
      <c r="CH509" s="167"/>
      <c r="CI509" s="167"/>
      <c r="CJ509" s="167"/>
      <c r="CK509" s="167">
        <v>1.0</v>
      </c>
      <c r="CL509" s="167">
        <v>0.0</v>
      </c>
      <c r="CM509" s="167"/>
      <c r="CN509" s="167">
        <v>0.0</v>
      </c>
      <c r="CO509" s="167">
        <v>0.0</v>
      </c>
      <c r="CP509" s="167">
        <v>1.0</v>
      </c>
      <c r="CQ509" s="167">
        <v>0.0</v>
      </c>
      <c r="CR509" s="167">
        <v>1.0</v>
      </c>
      <c r="CS509" s="167"/>
      <c r="CT509" s="167"/>
      <c r="CU509" s="167"/>
      <c r="CV509" s="156">
        <v>9.0</v>
      </c>
      <c r="CW509" s="156">
        <v>0.0</v>
      </c>
      <c r="CX509" s="156">
        <v>0.0</v>
      </c>
      <c r="CY509" s="156">
        <v>0.0</v>
      </c>
      <c r="CZ509" s="156">
        <v>0.0</v>
      </c>
      <c r="DA509" s="156">
        <v>0.0</v>
      </c>
      <c r="DB509" s="174"/>
      <c r="DC509" s="174"/>
      <c r="DD509" s="174"/>
      <c r="DE509" s="174">
        <v>1.0</v>
      </c>
      <c r="DF509" s="174">
        <v>0.0</v>
      </c>
      <c r="DG509" s="174">
        <v>1.0</v>
      </c>
      <c r="DH509" s="174">
        <v>0.0</v>
      </c>
      <c r="DI509" s="175">
        <v>1.0</v>
      </c>
      <c r="DJ509" s="174"/>
      <c r="DK509" s="174"/>
      <c r="DL509" s="174"/>
      <c r="DM509" s="174"/>
      <c r="DN509" s="174"/>
      <c r="DO509" s="174"/>
      <c r="DP509" s="174"/>
      <c r="DQ509" s="174">
        <v>1.0</v>
      </c>
      <c r="DR509" s="174">
        <v>0.0</v>
      </c>
      <c r="DS509" s="174">
        <v>1.0</v>
      </c>
      <c r="DT509" s="174">
        <v>0.0</v>
      </c>
      <c r="DU509" s="174">
        <v>1.0</v>
      </c>
      <c r="DV509" s="174">
        <v>0.0</v>
      </c>
      <c r="DW509" s="174">
        <v>0.0</v>
      </c>
      <c r="DX509" s="174">
        <v>1.0</v>
      </c>
      <c r="DY509" s="174">
        <v>0.0</v>
      </c>
      <c r="DZ509" s="174"/>
      <c r="EA509" s="174">
        <v>0.0</v>
      </c>
      <c r="EB509" s="174">
        <v>1.0</v>
      </c>
      <c r="EC509" s="174">
        <v>0.0</v>
      </c>
      <c r="ED509" s="174">
        <v>0.0</v>
      </c>
      <c r="EE509" s="174">
        <v>1.0</v>
      </c>
      <c r="EF509" s="174">
        <v>0.0</v>
      </c>
      <c r="EG509" s="156">
        <v>3.0</v>
      </c>
      <c r="EH509" s="156">
        <v>0.0</v>
      </c>
      <c r="EI509" s="156">
        <v>0.0</v>
      </c>
      <c r="EJ509" s="156">
        <v>0.0</v>
      </c>
      <c r="EK509" s="156">
        <v>0.0</v>
      </c>
      <c r="EL509" s="156">
        <v>0.0</v>
      </c>
      <c r="EM509" s="174">
        <v>1.0</v>
      </c>
      <c r="EN509" s="174"/>
      <c r="EO509" s="174"/>
      <c r="EP509" s="175">
        <v>1.0</v>
      </c>
      <c r="EQ509" s="174"/>
      <c r="ER509" s="175">
        <v>1.0</v>
      </c>
      <c r="ES509" s="174"/>
      <c r="ET509" s="174"/>
      <c r="EU509" s="174"/>
      <c r="EV509" s="174"/>
      <c r="EW509" s="174"/>
      <c r="EX509" s="174"/>
      <c r="EY509" s="174"/>
      <c r="EZ509" s="174"/>
      <c r="FA509" s="174"/>
      <c r="FB509" s="174"/>
      <c r="FC509" s="174"/>
      <c r="FD509" s="174"/>
      <c r="FE509" s="174"/>
      <c r="FF509" s="174"/>
      <c r="FG509" s="174"/>
      <c r="FH509" s="174"/>
      <c r="FI509" s="174"/>
      <c r="FJ509" s="174"/>
      <c r="FK509" s="174"/>
      <c r="FL509" s="174"/>
      <c r="FM509" s="174"/>
      <c r="FN509" s="174"/>
      <c r="FO509" s="174"/>
      <c r="FP509" s="174"/>
      <c r="FQ509" s="156">
        <v>1.0</v>
      </c>
      <c r="FR509" s="156">
        <v>0.0</v>
      </c>
      <c r="FS509" s="156">
        <v>0.0</v>
      </c>
      <c r="FT509" s="156">
        <v>0.0</v>
      </c>
      <c r="FU509" s="156">
        <v>0.0</v>
      </c>
      <c r="FV509" s="156">
        <v>0.0</v>
      </c>
      <c r="FW509" s="188"/>
      <c r="FX509" s="157"/>
      <c r="FY509" s="157"/>
      <c r="FZ509" s="188"/>
      <c r="GA509" s="157"/>
      <c r="GB509" s="188"/>
      <c r="GC509" s="157"/>
      <c r="GD509" s="188"/>
      <c r="GE509" s="157"/>
      <c r="GF509" s="157"/>
      <c r="GG509" s="188"/>
      <c r="GH509" s="157"/>
      <c r="GI509" s="188"/>
      <c r="GJ509" s="157"/>
      <c r="GK509" s="157"/>
      <c r="GL509" s="157"/>
      <c r="GM509" s="157"/>
      <c r="GN509" s="157"/>
      <c r="GO509" s="157"/>
      <c r="GP509" s="381"/>
      <c r="GQ509" s="157"/>
      <c r="GR509" s="157"/>
      <c r="GS509" s="157"/>
      <c r="GT509" s="157"/>
      <c r="GU509" s="188"/>
      <c r="GV509" s="157"/>
      <c r="GW509" s="157"/>
      <c r="GX509" s="157"/>
      <c r="GY509" s="188">
        <v>1.0</v>
      </c>
      <c r="GZ509" s="157"/>
      <c r="HA509" s="157"/>
      <c r="HB509" s="155">
        <v>8.0</v>
      </c>
      <c r="HC509" s="155">
        <v>0.0</v>
      </c>
      <c r="HD509" s="155">
        <v>0.0</v>
      </c>
      <c r="HE509" s="155">
        <v>0.0</v>
      </c>
      <c r="HF509" s="155">
        <v>0.0</v>
      </c>
      <c r="HG509" s="155">
        <v>0.0</v>
      </c>
      <c r="HH509" s="174"/>
      <c r="HI509" s="174">
        <v>0.0</v>
      </c>
      <c r="HJ509" s="174">
        <v>1.0</v>
      </c>
      <c r="HK509" s="174">
        <v>0.0</v>
      </c>
      <c r="HL509" s="174">
        <v>1.0</v>
      </c>
      <c r="HM509" s="174"/>
      <c r="HN509" s="174"/>
      <c r="HO509" s="174"/>
      <c r="HP509" s="174"/>
      <c r="HQ509" s="174"/>
      <c r="HR509" s="174"/>
      <c r="HS509" s="174"/>
      <c r="HT509" s="175">
        <v>1.0</v>
      </c>
      <c r="HU509" s="174">
        <v>0.0</v>
      </c>
      <c r="HV509" s="174">
        <v>1.0</v>
      </c>
      <c r="HW509" s="174">
        <v>0.0</v>
      </c>
      <c r="HX509" s="174"/>
      <c r="HY509" s="174">
        <v>0.0</v>
      </c>
      <c r="HZ509" s="174"/>
      <c r="IA509" s="175">
        <v>1.0</v>
      </c>
      <c r="IB509" s="174">
        <v>0.0</v>
      </c>
      <c r="IC509" s="174">
        <v>1.0</v>
      </c>
      <c r="ID509" s="174"/>
      <c r="IE509" s="174"/>
      <c r="IF509" s="174"/>
      <c r="IG509" s="174"/>
      <c r="IH509" s="175">
        <v>1.0</v>
      </c>
      <c r="II509" s="174">
        <v>0.0</v>
      </c>
      <c r="IJ509" s="174">
        <v>1.0</v>
      </c>
      <c r="IK509" s="174">
        <v>0.0</v>
      </c>
      <c r="IL509" s="159">
        <v>0.0</v>
      </c>
      <c r="IM509" s="156">
        <v>0.0</v>
      </c>
      <c r="IN509" s="156">
        <v>0.0</v>
      </c>
      <c r="IO509" s="156">
        <v>0.0</v>
      </c>
      <c r="IP509" s="156">
        <v>0.0</v>
      </c>
      <c r="IQ509" s="160">
        <v>0.0</v>
      </c>
      <c r="IR509" s="174"/>
      <c r="IS509" s="174"/>
      <c r="IT509" s="174"/>
      <c r="IU509" s="174"/>
      <c r="IV509" s="174"/>
      <c r="IW509" s="174"/>
      <c r="IX509" s="174"/>
      <c r="IY509" s="174"/>
      <c r="IZ509" s="174"/>
      <c r="JA509" s="174"/>
      <c r="JB509" s="174"/>
      <c r="JC509" s="174"/>
      <c r="JD509" s="174"/>
      <c r="JE509" s="174"/>
      <c r="JF509" s="174"/>
      <c r="JG509" s="174"/>
      <c r="JH509" s="177"/>
      <c r="JI509" s="174"/>
      <c r="JJ509" s="174"/>
      <c r="JK509" s="174"/>
      <c r="JL509" s="174"/>
      <c r="JM509" s="174"/>
      <c r="JN509" s="174"/>
      <c r="JO509" s="174"/>
      <c r="JP509" s="174"/>
      <c r="JQ509" s="174"/>
      <c r="JR509" s="174"/>
      <c r="JS509" s="174"/>
      <c r="JT509" s="174"/>
      <c r="JU509" s="174"/>
      <c r="JV509" s="174"/>
      <c r="JW509" s="159">
        <v>0.0</v>
      </c>
      <c r="JX509" s="156">
        <v>0.0</v>
      </c>
      <c r="JY509" s="156">
        <v>0.0</v>
      </c>
      <c r="JZ509" s="156">
        <v>0.0</v>
      </c>
      <c r="KA509" s="156">
        <v>0.0</v>
      </c>
      <c r="KB509" s="160">
        <v>0.0</v>
      </c>
      <c r="LH509" s="159">
        <f t="shared" si="10"/>
        <v>0</v>
      </c>
      <c r="LI509" s="156">
        <f t="shared" si="11"/>
        <v>0</v>
      </c>
      <c r="LJ509" s="156">
        <f t="shared" si="12"/>
        <v>0</v>
      </c>
      <c r="LK509" s="156">
        <f t="shared" si="13"/>
        <v>0</v>
      </c>
      <c r="LL509" s="156">
        <f t="shared" si="14"/>
        <v>0</v>
      </c>
      <c r="LM509" s="160">
        <f t="shared" si="15"/>
        <v>0</v>
      </c>
      <c r="QX509" s="107">
        <v>46042.0</v>
      </c>
    </row>
    <row r="510">
      <c r="A510" s="12"/>
      <c r="B510" s="12"/>
      <c r="C510" s="12"/>
      <c r="D510" s="12"/>
      <c r="E510" s="12"/>
      <c r="F510" s="12"/>
      <c r="G510" s="12"/>
      <c r="H510" s="12"/>
      <c r="I510" s="143">
        <f t="shared" si="22"/>
        <v>-29</v>
      </c>
      <c r="J510" s="49" t="s">
        <v>3368</v>
      </c>
      <c r="K510" s="164" t="s">
        <v>53</v>
      </c>
      <c r="L510" s="49" t="s">
        <v>3369</v>
      </c>
      <c r="M510" s="164" t="s">
        <v>3370</v>
      </c>
      <c r="N510" s="148">
        <v>357.0</v>
      </c>
      <c r="O510" s="148">
        <v>30.0</v>
      </c>
      <c r="P510" s="26"/>
      <c r="Q510" s="26"/>
      <c r="R510" s="26"/>
      <c r="S510" s="26"/>
      <c r="T510" s="26"/>
      <c r="U510" s="164" t="s">
        <v>3371</v>
      </c>
      <c r="V510" s="165" t="s">
        <v>1553</v>
      </c>
      <c r="W510" s="248" t="s">
        <v>3372</v>
      </c>
      <c r="X510" s="181">
        <v>0.0</v>
      </c>
      <c r="Y510" s="166">
        <f t="shared" si="23"/>
        <v>29</v>
      </c>
      <c r="Z510" s="26">
        <f t="shared" si="7"/>
        <v>0</v>
      </c>
      <c r="AA510" s="26">
        <f t="shared" si="8"/>
        <v>3</v>
      </c>
      <c r="AB510" s="26">
        <f t="shared" si="9"/>
        <v>0</v>
      </c>
      <c r="AC510" s="155">
        <v>3.0</v>
      </c>
      <c r="AD510" s="155">
        <v>0.0</v>
      </c>
      <c r="AE510" s="155">
        <v>0.0</v>
      </c>
      <c r="AF510" s="155">
        <v>0.0</v>
      </c>
      <c r="AG510" s="155">
        <v>0.0</v>
      </c>
      <c r="AH510" s="155">
        <v>0.0</v>
      </c>
      <c r="BI510" s="167">
        <v>1.0</v>
      </c>
      <c r="BJ510" s="167">
        <v>0.0</v>
      </c>
      <c r="BK510" s="167">
        <v>1.0</v>
      </c>
      <c r="BL510" s="167">
        <v>0.0</v>
      </c>
      <c r="BM510" s="167">
        <v>1.0</v>
      </c>
      <c r="BN510" s="155">
        <v>6.0</v>
      </c>
      <c r="BO510" s="155">
        <v>0.0</v>
      </c>
      <c r="BP510" s="155">
        <v>0.0</v>
      </c>
      <c r="BQ510" s="155">
        <v>0.0</v>
      </c>
      <c r="BR510" s="155">
        <v>0.0</v>
      </c>
      <c r="BS510" s="155">
        <v>0.0</v>
      </c>
      <c r="BT510" s="167">
        <v>0.0</v>
      </c>
      <c r="BU510" s="167">
        <v>0.0</v>
      </c>
      <c r="BV510" s="167">
        <v>1.0</v>
      </c>
      <c r="BW510" s="167">
        <v>0.0</v>
      </c>
      <c r="BX510" s="167">
        <v>1.0</v>
      </c>
      <c r="BY510" s="167">
        <v>0.0</v>
      </c>
      <c r="BZ510" s="167">
        <v>1.0</v>
      </c>
      <c r="CA510" s="167">
        <v>0.0</v>
      </c>
      <c r="CB510" s="167">
        <v>0.0</v>
      </c>
      <c r="CC510" s="167">
        <v>1.0</v>
      </c>
      <c r="CD510" s="167">
        <v>0.0</v>
      </c>
      <c r="CE510" s="167">
        <v>1.0</v>
      </c>
      <c r="CF510" s="167">
        <v>0.0</v>
      </c>
      <c r="CG510" s="167">
        <v>1.0</v>
      </c>
      <c r="CH510" s="167"/>
      <c r="CI510" s="167"/>
      <c r="CJ510" s="167"/>
      <c r="CK510" s="167"/>
      <c r="CL510" s="167"/>
      <c r="CM510" s="167"/>
      <c r="CN510" s="167"/>
      <c r="CO510" s="167"/>
      <c r="CP510" s="167"/>
      <c r="CQ510" s="167"/>
      <c r="CR510" s="167"/>
      <c r="CS510" s="167"/>
      <c r="CT510" s="167"/>
      <c r="CU510" s="167"/>
      <c r="CV510" s="156">
        <v>0.0</v>
      </c>
      <c r="CW510" s="156">
        <v>0.0</v>
      </c>
      <c r="CX510" s="156">
        <v>0.0</v>
      </c>
      <c r="CY510" s="156">
        <v>0.0</v>
      </c>
      <c r="CZ510" s="156">
        <v>0.0</v>
      </c>
      <c r="DA510" s="156">
        <v>0.0</v>
      </c>
      <c r="EG510" s="156">
        <v>0.0</v>
      </c>
      <c r="EH510" s="156">
        <v>0.0</v>
      </c>
      <c r="EI510" s="156">
        <v>0.0</v>
      </c>
      <c r="EJ510" s="156">
        <v>0.0</v>
      </c>
      <c r="EK510" s="156">
        <v>0.0</v>
      </c>
      <c r="EL510" s="156">
        <v>0.0</v>
      </c>
      <c r="FQ510" s="156">
        <v>0.0</v>
      </c>
      <c r="FR510" s="156">
        <v>0.0</v>
      </c>
      <c r="FS510" s="156">
        <v>0.0</v>
      </c>
      <c r="FT510" s="156">
        <v>0.0</v>
      </c>
      <c r="FU510" s="156">
        <v>0.0</v>
      </c>
      <c r="FV510" s="156">
        <v>0.0</v>
      </c>
      <c r="FW510" s="157"/>
      <c r="FX510" s="157"/>
      <c r="FY510" s="157"/>
      <c r="FZ510" s="157"/>
      <c r="GA510" s="157"/>
      <c r="GB510" s="157"/>
      <c r="GC510" s="157"/>
      <c r="GD510" s="157"/>
      <c r="GE510" s="157"/>
      <c r="GF510" s="157"/>
      <c r="GG510" s="157"/>
      <c r="GH510" s="157"/>
      <c r="GI510" s="157"/>
      <c r="GJ510" s="157"/>
      <c r="GK510" s="157"/>
      <c r="GL510" s="157"/>
      <c r="GM510" s="157"/>
      <c r="GN510" s="157"/>
      <c r="GO510" s="157"/>
      <c r="GP510" s="158"/>
      <c r="GQ510" s="157"/>
      <c r="GR510" s="157"/>
      <c r="GS510" s="157"/>
      <c r="GT510" s="157"/>
      <c r="GU510" s="157"/>
      <c r="GV510" s="157"/>
      <c r="GW510" s="157"/>
      <c r="GX510" s="157"/>
      <c r="GY510" s="157"/>
      <c r="GZ510" s="157"/>
      <c r="HA510" s="157"/>
      <c r="HB510" s="155">
        <v>0.0</v>
      </c>
      <c r="HC510" s="155">
        <v>0.0</v>
      </c>
      <c r="HD510" s="155">
        <v>0.0</v>
      </c>
      <c r="HE510" s="155">
        <v>0.0</v>
      </c>
      <c r="HF510" s="155">
        <v>0.0</v>
      </c>
      <c r="HG510" s="155">
        <v>0.0</v>
      </c>
      <c r="IL510" s="159">
        <v>0.0</v>
      </c>
      <c r="IM510" s="156">
        <v>0.0</v>
      </c>
      <c r="IN510" s="156">
        <v>0.0</v>
      </c>
      <c r="IO510" s="156">
        <v>0.0</v>
      </c>
      <c r="IP510" s="156">
        <v>0.0</v>
      </c>
      <c r="IQ510" s="160">
        <v>0.0</v>
      </c>
      <c r="JH510" s="25"/>
      <c r="JW510" s="159">
        <v>11.0</v>
      </c>
      <c r="JX510" s="156">
        <v>0.0</v>
      </c>
      <c r="JY510" s="156">
        <v>0.0</v>
      </c>
      <c r="JZ510" s="156">
        <v>1.0</v>
      </c>
      <c r="KA510" s="156">
        <v>0.0</v>
      </c>
      <c r="KB510" s="160">
        <v>0.0</v>
      </c>
      <c r="KC510" s="172"/>
      <c r="KD510" s="172"/>
      <c r="KE510" s="172"/>
      <c r="KF510" s="172">
        <v>1.0</v>
      </c>
      <c r="KG510" s="172"/>
      <c r="KH510" s="172">
        <v>1.0</v>
      </c>
      <c r="KI510" s="172"/>
      <c r="KJ510" s="172"/>
      <c r="KK510" s="172">
        <v>1.0</v>
      </c>
      <c r="KL510" s="172"/>
      <c r="KM510" s="172"/>
      <c r="KN510" s="172"/>
      <c r="KO510" s="172"/>
      <c r="KP510" s="172" t="s">
        <v>624</v>
      </c>
      <c r="KQ510" s="172">
        <v>1.0</v>
      </c>
      <c r="KR510" s="172"/>
      <c r="KS510" s="432"/>
      <c r="KT510" s="172"/>
      <c r="KU510" s="172"/>
      <c r="KV510" s="172"/>
      <c r="KW510" s="172">
        <v>1.0</v>
      </c>
      <c r="KX510" s="172"/>
      <c r="KY510" s="172">
        <v>1.0</v>
      </c>
      <c r="KZ510" s="172"/>
      <c r="LA510" s="172">
        <v>1.0</v>
      </c>
      <c r="LB510" s="172"/>
      <c r="LC510" s="172">
        <v>1.0</v>
      </c>
      <c r="LD510" s="172"/>
      <c r="LE510" s="172">
        <v>1.0</v>
      </c>
      <c r="LF510" s="172">
        <v>1.0</v>
      </c>
      <c r="LG510" s="172"/>
      <c r="LH510" s="159">
        <f t="shared" si="10"/>
        <v>9</v>
      </c>
      <c r="LI510" s="156">
        <f t="shared" si="11"/>
        <v>0</v>
      </c>
      <c r="LJ510" s="156">
        <f t="shared" si="12"/>
        <v>0</v>
      </c>
      <c r="LK510" s="156">
        <f t="shared" si="13"/>
        <v>2</v>
      </c>
      <c r="LL510" s="156">
        <f t="shared" si="14"/>
        <v>0</v>
      </c>
      <c r="LM510" s="160">
        <f t="shared" si="15"/>
        <v>0</v>
      </c>
      <c r="LP510" s="189" t="s">
        <v>624</v>
      </c>
      <c r="LV510" s="189" t="s">
        <v>624</v>
      </c>
      <c r="LW510" s="12">
        <f t="shared" ref="LW510:MQ510" si="29">IFS(TODAY()&lt;=LC$2,0,WEEKDAY(LC$2)=2,0,WEEKDAY(LC$2)=3,1,WEEKDAY(LC$2)=4,0,WEEKDAY(LC$2)=5,1,WEEKDAY(LC$2)=6,0,WEEKDAY(LC$2)=7,1,WEEKDAY(LC$2)=1,0)</f>
        <v>1</v>
      </c>
      <c r="LX510" s="12">
        <f t="shared" si="29"/>
        <v>0</v>
      </c>
      <c r="LY510" s="12">
        <f t="shared" si="29"/>
        <v>1</v>
      </c>
      <c r="LZ510" s="12">
        <f t="shared" si="29"/>
        <v>0</v>
      </c>
      <c r="MA510" s="12">
        <f t="shared" si="29"/>
        <v>0</v>
      </c>
      <c r="MB510" s="12">
        <f t="shared" si="29"/>
        <v>0</v>
      </c>
      <c r="MC510" s="12">
        <f t="shared" si="29"/>
        <v>0</v>
      </c>
      <c r="MD510" s="12">
        <f t="shared" si="29"/>
        <v>0</v>
      </c>
      <c r="ME510" s="12">
        <f t="shared" si="29"/>
        <v>0</v>
      </c>
      <c r="MF510" s="12">
        <f t="shared" si="29"/>
        <v>0</v>
      </c>
      <c r="MG510" s="12">
        <f t="shared" si="29"/>
        <v>0</v>
      </c>
      <c r="MH510" s="12">
        <f t="shared" si="29"/>
        <v>1</v>
      </c>
      <c r="MI510" s="12">
        <f t="shared" si="29"/>
        <v>0</v>
      </c>
      <c r="MJ510" s="12">
        <f t="shared" si="29"/>
        <v>1</v>
      </c>
      <c r="MK510" s="12">
        <f t="shared" si="29"/>
        <v>0</v>
      </c>
      <c r="ML510" s="12">
        <f t="shared" si="29"/>
        <v>1</v>
      </c>
      <c r="MM510" s="12">
        <f t="shared" si="29"/>
        <v>0</v>
      </c>
      <c r="MN510" s="12">
        <f t="shared" si="29"/>
        <v>0</v>
      </c>
      <c r="MO510" s="12">
        <f t="shared" si="29"/>
        <v>1</v>
      </c>
      <c r="MP510" s="12">
        <f t="shared" si="29"/>
        <v>0</v>
      </c>
      <c r="MQ510" s="12">
        <f t="shared" si="29"/>
        <v>1</v>
      </c>
      <c r="QX510" s="107">
        <v>46042.0</v>
      </c>
    </row>
    <row r="511">
      <c r="A511" s="12"/>
      <c r="B511" s="12"/>
      <c r="C511" s="12"/>
      <c r="D511" s="12"/>
      <c r="E511" s="12"/>
      <c r="F511" s="12"/>
      <c r="G511" s="12"/>
      <c r="H511" s="12"/>
      <c r="I511" s="143">
        <f t="shared" si="22"/>
        <v>-60</v>
      </c>
      <c r="J511" s="171">
        <v>46048.0</v>
      </c>
      <c r="K511" s="164" t="s">
        <v>61</v>
      </c>
      <c r="L511" s="537">
        <v>46235.0</v>
      </c>
      <c r="M511" s="86" t="s">
        <v>435</v>
      </c>
      <c r="N511" s="170">
        <v>246.0</v>
      </c>
      <c r="O511" s="148">
        <v>30.0</v>
      </c>
      <c r="U511" s="162" t="s">
        <v>3373</v>
      </c>
      <c r="V511" s="538" t="s">
        <v>2993</v>
      </c>
      <c r="W511" s="185" t="s">
        <v>3374</v>
      </c>
      <c r="X511" s="140"/>
      <c r="Y511" s="166">
        <f t="shared" si="23"/>
        <v>60</v>
      </c>
      <c r="Z511" s="26">
        <f t="shared" si="7"/>
        <v>0</v>
      </c>
      <c r="AA511" s="26">
        <f t="shared" si="8"/>
        <v>0</v>
      </c>
      <c r="AB511" s="26">
        <f t="shared" si="9"/>
        <v>0</v>
      </c>
      <c r="AC511" s="155">
        <v>2.0</v>
      </c>
      <c r="AD511" s="155">
        <v>0.0</v>
      </c>
      <c r="AE511" s="155">
        <v>0.0</v>
      </c>
      <c r="AF511" s="155">
        <v>0.0</v>
      </c>
      <c r="AG511" s="155">
        <v>0.0</v>
      </c>
      <c r="AH511" s="155">
        <v>0.0</v>
      </c>
      <c r="BH511" s="167">
        <v>1.0</v>
      </c>
      <c r="BI511" s="167">
        <v>0.0</v>
      </c>
      <c r="BJ511" s="167">
        <v>1.0</v>
      </c>
      <c r="BK511" s="167"/>
      <c r="BL511" s="167"/>
      <c r="BM511" s="167"/>
      <c r="BN511" s="155">
        <v>9.0</v>
      </c>
      <c r="BO511" s="155">
        <v>0.0</v>
      </c>
      <c r="BP511" s="155">
        <v>0.0</v>
      </c>
      <c r="BQ511" s="155">
        <v>0.0</v>
      </c>
      <c r="BR511" s="155">
        <v>0.0</v>
      </c>
      <c r="BS511" s="155">
        <v>0.0</v>
      </c>
      <c r="BT511" s="167">
        <v>0.0</v>
      </c>
      <c r="BU511" s="167">
        <v>1.0</v>
      </c>
      <c r="BV511" s="167">
        <v>0.0</v>
      </c>
      <c r="BW511" s="167">
        <v>1.0</v>
      </c>
      <c r="BX511" s="167">
        <v>0.0</v>
      </c>
      <c r="BY511" s="167">
        <v>1.0</v>
      </c>
      <c r="BZ511" s="167">
        <v>0.0</v>
      </c>
      <c r="CA511" s="167">
        <v>0.0</v>
      </c>
      <c r="CB511" s="167">
        <v>1.0</v>
      </c>
      <c r="CC511" s="167">
        <v>0.0</v>
      </c>
      <c r="CD511" s="167">
        <v>1.0</v>
      </c>
      <c r="CE511" s="167">
        <v>0.0</v>
      </c>
      <c r="CF511" s="167">
        <v>1.0</v>
      </c>
      <c r="CG511" s="167"/>
      <c r="CH511" s="167"/>
      <c r="CI511" s="167"/>
      <c r="CJ511" s="167"/>
      <c r="CK511" s="167"/>
      <c r="CL511" s="167"/>
      <c r="CM511" s="167"/>
      <c r="CN511" s="167"/>
      <c r="CO511" s="167"/>
      <c r="CP511" s="167">
        <v>1.0</v>
      </c>
      <c r="CQ511" s="167">
        <v>0.0</v>
      </c>
      <c r="CR511" s="167">
        <v>1.0</v>
      </c>
      <c r="CS511" s="167">
        <v>0.0</v>
      </c>
      <c r="CT511" s="167">
        <v>1.0</v>
      </c>
      <c r="CU511" s="167">
        <v>0.0</v>
      </c>
      <c r="CV511" s="156">
        <v>11.0</v>
      </c>
      <c r="CW511" s="156">
        <v>0.0</v>
      </c>
      <c r="CX511" s="156">
        <v>0.0</v>
      </c>
      <c r="CY511" s="156">
        <v>0.0</v>
      </c>
      <c r="CZ511" s="156">
        <v>0.0</v>
      </c>
      <c r="DA511" s="156">
        <v>0.0</v>
      </c>
      <c r="DB511" s="174">
        <v>0.0</v>
      </c>
      <c r="DC511" s="174">
        <v>1.0</v>
      </c>
      <c r="DD511" s="174">
        <v>0.0</v>
      </c>
      <c r="DE511" s="174">
        <v>1.0</v>
      </c>
      <c r="DF511" s="174">
        <v>0.0</v>
      </c>
      <c r="DG511" s="174">
        <v>1.0</v>
      </c>
      <c r="DH511" s="174"/>
      <c r="DI511" s="174"/>
      <c r="DJ511" s="175">
        <v>1.0</v>
      </c>
      <c r="DK511" s="174"/>
      <c r="DL511" s="174">
        <v>1.0</v>
      </c>
      <c r="DM511" s="174">
        <v>0.0</v>
      </c>
      <c r="DN511" s="174">
        <v>1.0</v>
      </c>
      <c r="DO511" s="174"/>
      <c r="DP511" s="174"/>
      <c r="DQ511" s="174"/>
      <c r="DR511" s="174"/>
      <c r="DS511" s="175">
        <v>1.0</v>
      </c>
      <c r="DT511" s="174"/>
      <c r="DU511" s="174"/>
      <c r="DV511" s="174"/>
      <c r="DW511" s="174"/>
      <c r="DX511" s="174">
        <v>1.0</v>
      </c>
      <c r="DY511" s="174">
        <v>0.0</v>
      </c>
      <c r="DZ511" s="174">
        <v>1.0</v>
      </c>
      <c r="EA511" s="174">
        <v>0.0</v>
      </c>
      <c r="EB511" s="174">
        <v>1.0</v>
      </c>
      <c r="EC511" s="174">
        <v>0.0</v>
      </c>
      <c r="ED511" s="174">
        <v>0.0</v>
      </c>
      <c r="EE511" s="174">
        <v>1.0</v>
      </c>
      <c r="EF511" s="174">
        <v>0.0</v>
      </c>
      <c r="EG511" s="156">
        <v>11.0</v>
      </c>
      <c r="EH511" s="156">
        <v>0.0</v>
      </c>
      <c r="EI511" s="156">
        <v>0.0</v>
      </c>
      <c r="EJ511" s="156">
        <v>0.0</v>
      </c>
      <c r="EK511" s="156">
        <v>0.0</v>
      </c>
      <c r="EL511" s="156">
        <v>0.0</v>
      </c>
      <c r="EM511" s="174">
        <v>1.0</v>
      </c>
      <c r="EN511" s="174">
        <v>0.0</v>
      </c>
      <c r="EO511" s="174">
        <v>1.0</v>
      </c>
      <c r="EP511" s="174"/>
      <c r="EQ511" s="174"/>
      <c r="ER511" s="175">
        <v>1.0</v>
      </c>
      <c r="ES511" s="174"/>
      <c r="ET511" s="174">
        <v>1.0</v>
      </c>
      <c r="EU511" s="174">
        <v>0.0</v>
      </c>
      <c r="EV511" s="174">
        <v>1.0</v>
      </c>
      <c r="EW511" s="174">
        <v>0.0</v>
      </c>
      <c r="EX511" s="174">
        <v>0.0</v>
      </c>
      <c r="EY511" s="174">
        <v>1.0</v>
      </c>
      <c r="EZ511" s="174"/>
      <c r="FA511" s="174"/>
      <c r="FB511" s="174"/>
      <c r="FC511" s="174">
        <v>1.0</v>
      </c>
      <c r="FD511" s="174">
        <v>0.0</v>
      </c>
      <c r="FE511" s="174">
        <v>0.0</v>
      </c>
      <c r="FF511" s="174">
        <v>1.0</v>
      </c>
      <c r="FG511" s="174">
        <v>0.0</v>
      </c>
      <c r="FH511" s="174">
        <v>1.0</v>
      </c>
      <c r="FI511" s="174">
        <v>0.0</v>
      </c>
      <c r="FJ511" s="174">
        <v>1.0</v>
      </c>
      <c r="FK511" s="174"/>
      <c r="FL511" s="174"/>
      <c r="FM511" s="174"/>
      <c r="FN511" s="174"/>
      <c r="FO511" s="174">
        <v>1.0</v>
      </c>
      <c r="FP511" s="174">
        <v>0.0</v>
      </c>
      <c r="FQ511" s="156">
        <v>11.0</v>
      </c>
      <c r="FR511" s="156">
        <v>0.0</v>
      </c>
      <c r="FS511" s="156">
        <v>0.0</v>
      </c>
      <c r="FT511" s="156">
        <v>0.0</v>
      </c>
      <c r="FU511" s="156">
        <v>0.0</v>
      </c>
      <c r="FV511" s="156">
        <v>0.0</v>
      </c>
      <c r="FW511" s="174"/>
      <c r="FX511" s="174"/>
      <c r="FY511" s="174"/>
      <c r="FZ511" s="174"/>
      <c r="GA511" s="174">
        <v>0.0</v>
      </c>
      <c r="GB511" s="174">
        <v>1.0</v>
      </c>
      <c r="GC511" s="174">
        <v>0.0</v>
      </c>
      <c r="GD511" s="174">
        <v>1.0</v>
      </c>
      <c r="GE511" s="174">
        <v>0.0</v>
      </c>
      <c r="GF511" s="174">
        <v>0.0</v>
      </c>
      <c r="GG511" s="174">
        <v>1.0</v>
      </c>
      <c r="GH511" s="174">
        <v>0.0</v>
      </c>
      <c r="GI511" s="174">
        <v>1.0</v>
      </c>
      <c r="GJ511" s="174">
        <v>0.0</v>
      </c>
      <c r="GK511" s="174">
        <v>1.0</v>
      </c>
      <c r="GL511" s="174">
        <v>0.0</v>
      </c>
      <c r="GM511" s="174">
        <v>0.0</v>
      </c>
      <c r="GN511" s="174">
        <v>1.0</v>
      </c>
      <c r="GO511" s="174">
        <v>0.0</v>
      </c>
      <c r="GP511" s="176">
        <v>1.0</v>
      </c>
      <c r="GQ511" s="174">
        <v>0.0</v>
      </c>
      <c r="GR511" s="174">
        <v>1.0</v>
      </c>
      <c r="GS511" s="174">
        <v>0.0</v>
      </c>
      <c r="GT511" s="174">
        <v>0.0</v>
      </c>
      <c r="GU511" s="174">
        <v>1.0</v>
      </c>
      <c r="GV511" s="174">
        <v>0.0</v>
      </c>
      <c r="GW511" s="174">
        <v>1.0</v>
      </c>
      <c r="GX511" s="174">
        <v>0.0</v>
      </c>
      <c r="GY511" s="174">
        <v>1.0</v>
      </c>
      <c r="GZ511" s="174">
        <v>0.0</v>
      </c>
      <c r="HA511" s="174">
        <v>0.0</v>
      </c>
      <c r="HB511" s="155">
        <v>11.0</v>
      </c>
      <c r="HC511" s="155">
        <v>0.0</v>
      </c>
      <c r="HD511" s="155">
        <v>0.0</v>
      </c>
      <c r="HE511" s="155">
        <v>0.0</v>
      </c>
      <c r="HF511" s="155">
        <v>0.0</v>
      </c>
      <c r="HG511" s="155">
        <v>0.0</v>
      </c>
      <c r="HH511" s="175">
        <v>1.0</v>
      </c>
      <c r="HI511" s="174">
        <v>0.0</v>
      </c>
      <c r="HJ511" s="174">
        <v>1.0</v>
      </c>
      <c r="HK511" s="174">
        <v>0.0</v>
      </c>
      <c r="HL511" s="174">
        <v>1.0</v>
      </c>
      <c r="HM511" s="174">
        <v>0.0</v>
      </c>
      <c r="HN511" s="174">
        <v>0.0</v>
      </c>
      <c r="HO511" s="174"/>
      <c r="HP511" s="174">
        <v>0.0</v>
      </c>
      <c r="HQ511" s="174">
        <v>1.0</v>
      </c>
      <c r="HR511" s="174">
        <v>0.0</v>
      </c>
      <c r="HS511" s="175">
        <v>1.0</v>
      </c>
      <c r="HT511" s="174">
        <v>0.0</v>
      </c>
      <c r="HU511" s="174">
        <v>0.0</v>
      </c>
      <c r="HV511" s="174">
        <v>1.0</v>
      </c>
      <c r="HW511" s="174">
        <v>0.0</v>
      </c>
      <c r="HX511" s="174">
        <v>1.0</v>
      </c>
      <c r="HY511" s="174">
        <v>0.0</v>
      </c>
      <c r="HZ511" s="174">
        <v>1.0</v>
      </c>
      <c r="IA511" s="174">
        <v>0.0</v>
      </c>
      <c r="IB511" s="174">
        <v>0.0</v>
      </c>
      <c r="IC511" s="174"/>
      <c r="ID511" s="174">
        <v>0.0</v>
      </c>
      <c r="IE511" s="174">
        <v>1.0</v>
      </c>
      <c r="IF511" s="174">
        <v>0.0</v>
      </c>
      <c r="IG511" s="175">
        <v>1.0</v>
      </c>
      <c r="IH511" s="174">
        <v>0.0</v>
      </c>
      <c r="II511" s="174">
        <v>0.0</v>
      </c>
      <c r="IJ511" s="174">
        <v>1.0</v>
      </c>
      <c r="IK511" s="174">
        <v>0.0</v>
      </c>
      <c r="IL511" s="159">
        <v>5.0</v>
      </c>
      <c r="IM511" s="156">
        <v>0.0</v>
      </c>
      <c r="IN511" s="156">
        <v>0.0</v>
      </c>
      <c r="IO511" s="156">
        <v>0.0</v>
      </c>
      <c r="IP511" s="156">
        <v>0.0</v>
      </c>
      <c r="IQ511" s="160">
        <v>0.0</v>
      </c>
      <c r="IR511" s="175">
        <v>1.0</v>
      </c>
      <c r="IS511" s="174">
        <v>0.0</v>
      </c>
      <c r="IT511" s="175">
        <v>1.0</v>
      </c>
      <c r="IU511" s="174">
        <v>0.0</v>
      </c>
      <c r="IV511" s="174">
        <v>0.0</v>
      </c>
      <c r="IW511" s="175">
        <v>1.0</v>
      </c>
      <c r="IX511" s="174">
        <v>0.0</v>
      </c>
      <c r="IY511" s="174"/>
      <c r="IZ511" s="174">
        <v>0.0</v>
      </c>
      <c r="JA511" s="175">
        <v>1.0</v>
      </c>
      <c r="JB511" s="174">
        <v>0.0</v>
      </c>
      <c r="JC511" s="174">
        <v>0.0</v>
      </c>
      <c r="JD511" s="174">
        <v>1.0</v>
      </c>
      <c r="JE511" s="174">
        <v>0.0</v>
      </c>
      <c r="JF511" s="174"/>
      <c r="JG511" s="174"/>
      <c r="JH511" s="177"/>
      <c r="JI511" s="174"/>
      <c r="JJ511" s="174"/>
      <c r="JK511" s="174"/>
      <c r="JL511" s="174"/>
      <c r="JM511" s="174"/>
      <c r="JN511" s="174"/>
      <c r="JO511" s="174"/>
      <c r="JP511" s="174"/>
      <c r="JQ511" s="174"/>
      <c r="JR511" s="174"/>
      <c r="JS511" s="174"/>
      <c r="JT511" s="174"/>
      <c r="JU511" s="174"/>
      <c r="JV511" s="174"/>
      <c r="JW511" s="159">
        <v>0.0</v>
      </c>
      <c r="JX511" s="156">
        <v>0.0</v>
      </c>
      <c r="JY511" s="156">
        <v>0.0</v>
      </c>
      <c r="JZ511" s="156">
        <v>0.0</v>
      </c>
      <c r="KA511" s="156">
        <v>0.0</v>
      </c>
      <c r="KB511" s="160">
        <v>0.0</v>
      </c>
      <c r="KC511" s="174"/>
      <c r="KD511" s="174"/>
      <c r="KE511" s="174"/>
      <c r="KF511" s="174"/>
      <c r="KG511" s="174"/>
      <c r="KH511" s="174"/>
      <c r="KI511" s="174"/>
      <c r="KJ511" s="174"/>
      <c r="KK511" s="174"/>
      <c r="KL511" s="174"/>
      <c r="KM511" s="174"/>
      <c r="KN511" s="174"/>
      <c r="KO511" s="174"/>
      <c r="KP511" s="174"/>
      <c r="KQ511" s="174"/>
      <c r="KR511" s="174"/>
      <c r="KS511" s="472"/>
      <c r="KT511" s="174"/>
      <c r="KU511" s="174"/>
      <c r="KV511" s="174"/>
      <c r="KW511" s="174"/>
      <c r="KX511" s="174"/>
      <c r="KY511" s="174"/>
      <c r="KZ511" s="174"/>
      <c r="LA511" s="174"/>
      <c r="LB511" s="174"/>
      <c r="LC511" s="174"/>
      <c r="LD511" s="174"/>
      <c r="LE511" s="174"/>
      <c r="LF511" s="174"/>
      <c r="LG511" s="174"/>
      <c r="LH511" s="159">
        <f t="shared" si="10"/>
        <v>0</v>
      </c>
      <c r="LI511" s="156">
        <f t="shared" si="11"/>
        <v>0</v>
      </c>
      <c r="LJ511" s="156">
        <f t="shared" si="12"/>
        <v>0</v>
      </c>
      <c r="LK511" s="156">
        <f t="shared" si="13"/>
        <v>0</v>
      </c>
      <c r="LL511" s="156">
        <f t="shared" si="14"/>
        <v>0</v>
      </c>
      <c r="LM511" s="160">
        <f t="shared" si="15"/>
        <v>0</v>
      </c>
      <c r="LN511" s="174"/>
      <c r="LO511" s="174"/>
      <c r="LP511" s="174"/>
      <c r="LQ511" s="174"/>
      <c r="LR511" s="174"/>
      <c r="LS511" s="174"/>
      <c r="LT511" s="174"/>
      <c r="LU511" s="174"/>
      <c r="LV511" s="174"/>
      <c r="LW511" s="174"/>
      <c r="LX511" s="174"/>
      <c r="LY511" s="174"/>
      <c r="LZ511" s="174"/>
      <c r="MA511" s="174"/>
      <c r="MB511" s="174"/>
      <c r="MC511" s="174"/>
      <c r="MD511" s="174"/>
      <c r="ME511" s="174"/>
      <c r="MF511" s="174"/>
      <c r="MG511" s="174"/>
      <c r="MH511" s="174"/>
      <c r="MI511" s="174"/>
      <c r="MJ511" s="174"/>
      <c r="MK511" s="174"/>
      <c r="ML511" s="174"/>
      <c r="MM511" s="174"/>
      <c r="MN511" s="174"/>
      <c r="MO511" s="174"/>
      <c r="MP511" s="174"/>
      <c r="MQ511" s="174"/>
      <c r="QX511" s="539">
        <v>46044.0</v>
      </c>
    </row>
    <row r="512">
      <c r="A512" s="12"/>
      <c r="B512" s="12"/>
      <c r="C512" s="12"/>
      <c r="D512" s="12"/>
      <c r="E512" s="12"/>
      <c r="F512" s="12"/>
      <c r="G512" s="12"/>
      <c r="H512" s="12"/>
      <c r="I512" s="143">
        <f t="shared" si="22"/>
        <v>-14</v>
      </c>
      <c r="J512" s="171">
        <v>46049.0</v>
      </c>
      <c r="K512" s="164" t="s">
        <v>61</v>
      </c>
      <c r="L512" s="180">
        <v>46091.0</v>
      </c>
      <c r="M512" s="86" t="s">
        <v>3375</v>
      </c>
      <c r="N512" s="86">
        <v>357.0</v>
      </c>
      <c r="O512" s="86">
        <v>30.0</v>
      </c>
      <c r="U512" s="162" t="s">
        <v>2519</v>
      </c>
      <c r="V512" s="538" t="s">
        <v>307</v>
      </c>
      <c r="W512" s="125" t="s">
        <v>3376</v>
      </c>
      <c r="X512" s="140"/>
      <c r="Y512" s="166">
        <f t="shared" si="23"/>
        <v>14</v>
      </c>
      <c r="Z512" s="26">
        <f t="shared" si="7"/>
        <v>0</v>
      </c>
      <c r="AA512" s="26">
        <f t="shared" si="8"/>
        <v>0</v>
      </c>
      <c r="AB512" s="26">
        <f t="shared" si="9"/>
        <v>0</v>
      </c>
      <c r="AC512" s="155">
        <v>3.0</v>
      </c>
      <c r="AD512" s="155">
        <v>0.0</v>
      </c>
      <c r="AE512" s="155">
        <v>0.0</v>
      </c>
      <c r="AF512" s="155">
        <v>0.0</v>
      </c>
      <c r="AG512" s="155">
        <v>0.0</v>
      </c>
      <c r="AH512" s="155">
        <v>0.0</v>
      </c>
      <c r="BH512" s="167"/>
      <c r="BI512" s="167">
        <v>1.0</v>
      </c>
      <c r="BJ512" s="167">
        <v>0.0</v>
      </c>
      <c r="BK512" s="167">
        <v>1.0</v>
      </c>
      <c r="BL512" s="167">
        <v>0.0</v>
      </c>
      <c r="BM512" s="167">
        <v>1.0</v>
      </c>
      <c r="BN512" s="155">
        <v>9.0</v>
      </c>
      <c r="BO512" s="155">
        <v>0.0</v>
      </c>
      <c r="BP512" s="155">
        <v>0.0</v>
      </c>
      <c r="BQ512" s="155">
        <v>0.0</v>
      </c>
      <c r="BR512" s="155">
        <v>0.0</v>
      </c>
      <c r="BS512" s="155">
        <v>0.0</v>
      </c>
      <c r="BT512" s="167">
        <v>0.0</v>
      </c>
      <c r="BU512" s="167">
        <v>0.0</v>
      </c>
      <c r="BV512" s="167">
        <v>1.0</v>
      </c>
      <c r="BW512" s="167">
        <v>0.0</v>
      </c>
      <c r="BX512" s="167">
        <v>1.0</v>
      </c>
      <c r="BY512" s="167">
        <v>0.0</v>
      </c>
      <c r="BZ512" s="167">
        <v>1.0</v>
      </c>
      <c r="CA512" s="167">
        <v>0.0</v>
      </c>
      <c r="CB512" s="167">
        <v>0.0</v>
      </c>
      <c r="CC512" s="167">
        <v>1.0</v>
      </c>
      <c r="CD512" s="167">
        <v>0.0</v>
      </c>
      <c r="CE512" s="167">
        <v>1.0</v>
      </c>
      <c r="CF512" s="167">
        <v>0.0</v>
      </c>
      <c r="CG512" s="167">
        <v>1.0</v>
      </c>
      <c r="CH512" s="167"/>
      <c r="CI512" s="167"/>
      <c r="CJ512" s="167"/>
      <c r="CK512" s="167"/>
      <c r="CL512" s="167"/>
      <c r="CM512" s="167"/>
      <c r="CN512" s="167"/>
      <c r="CO512" s="167"/>
      <c r="CP512" s="167"/>
      <c r="CQ512" s="167">
        <v>1.0</v>
      </c>
      <c r="CR512" s="167">
        <v>0.0</v>
      </c>
      <c r="CS512" s="167">
        <v>1.0</v>
      </c>
      <c r="CT512" s="167">
        <v>0.0</v>
      </c>
      <c r="CU512" s="167">
        <v>1.0</v>
      </c>
      <c r="CV512" s="156">
        <v>2.0</v>
      </c>
      <c r="CW512" s="156">
        <v>0.0</v>
      </c>
      <c r="CX512" s="156">
        <v>0.0</v>
      </c>
      <c r="CY512" s="156">
        <v>0.0</v>
      </c>
      <c r="CZ512" s="156">
        <v>0.0</v>
      </c>
      <c r="DA512" s="156">
        <v>0.0</v>
      </c>
      <c r="DB512" s="395">
        <v>0.0</v>
      </c>
      <c r="DC512" s="395">
        <v>0.0</v>
      </c>
      <c r="DD512" s="395">
        <v>1.0</v>
      </c>
      <c r="DE512" s="395">
        <v>0.0</v>
      </c>
      <c r="DF512" s="395">
        <v>1.0</v>
      </c>
      <c r="DG512" s="395"/>
      <c r="DH512" s="395"/>
      <c r="DI512" s="395"/>
      <c r="DJ512" s="395"/>
      <c r="DK512" s="395"/>
      <c r="DL512" s="395"/>
      <c r="DM512" s="395"/>
      <c r="DN512" s="395"/>
      <c r="DO512" s="395"/>
      <c r="DP512" s="395"/>
      <c r="DQ512" s="395"/>
      <c r="DR512" s="395"/>
      <c r="DS512" s="395"/>
      <c r="DT512" s="395"/>
      <c r="DU512" s="395"/>
      <c r="DV512" s="395"/>
      <c r="DW512" s="395"/>
      <c r="DX512" s="395"/>
      <c r="DY512" s="395"/>
      <c r="DZ512" s="395"/>
      <c r="EA512" s="395"/>
      <c r="EB512" s="395"/>
      <c r="EC512" s="395"/>
      <c r="ED512" s="395"/>
      <c r="EE512" s="395"/>
      <c r="EF512" s="395"/>
      <c r="EG512" s="156">
        <v>0.0</v>
      </c>
      <c r="EH512" s="156">
        <v>0.0</v>
      </c>
      <c r="EI512" s="156">
        <v>0.0</v>
      </c>
      <c r="EJ512" s="156">
        <v>0.0</v>
      </c>
      <c r="EK512" s="156">
        <v>0.0</v>
      </c>
      <c r="EL512" s="156">
        <v>0.0</v>
      </c>
      <c r="FQ512" s="156">
        <v>0.0</v>
      </c>
      <c r="FR512" s="156">
        <v>0.0</v>
      </c>
      <c r="FS512" s="156">
        <v>0.0</v>
      </c>
      <c r="FT512" s="156">
        <v>0.0</v>
      </c>
      <c r="FU512" s="156">
        <v>0.0</v>
      </c>
      <c r="FV512" s="156">
        <v>0.0</v>
      </c>
      <c r="FW512" s="157"/>
      <c r="FX512" s="157"/>
      <c r="FY512" s="157"/>
      <c r="FZ512" s="157"/>
      <c r="GA512" s="157"/>
      <c r="GB512" s="157"/>
      <c r="GC512" s="157"/>
      <c r="GD512" s="157"/>
      <c r="GE512" s="157"/>
      <c r="GF512" s="157"/>
      <c r="GG512" s="157"/>
      <c r="GH512" s="157"/>
      <c r="GI512" s="157"/>
      <c r="GJ512" s="157"/>
      <c r="GK512" s="157"/>
      <c r="GL512" s="157"/>
      <c r="GM512" s="157"/>
      <c r="GN512" s="157"/>
      <c r="GO512" s="157"/>
      <c r="GP512" s="158"/>
      <c r="GQ512" s="157"/>
      <c r="GR512" s="157"/>
      <c r="GS512" s="157"/>
      <c r="GT512" s="157"/>
      <c r="GU512" s="157"/>
      <c r="GV512" s="157"/>
      <c r="GW512" s="157"/>
      <c r="GX512" s="157"/>
      <c r="GY512" s="157"/>
      <c r="GZ512" s="157"/>
      <c r="HA512" s="157"/>
      <c r="HB512" s="155">
        <v>0.0</v>
      </c>
      <c r="HC512" s="155">
        <v>0.0</v>
      </c>
      <c r="HD512" s="155">
        <v>0.0</v>
      </c>
      <c r="HE512" s="155">
        <v>0.0</v>
      </c>
      <c r="HF512" s="155">
        <v>0.0</v>
      </c>
      <c r="HG512" s="155">
        <v>0.0</v>
      </c>
      <c r="IL512" s="159">
        <v>0.0</v>
      </c>
      <c r="IM512" s="156">
        <v>0.0</v>
      </c>
      <c r="IN512" s="156">
        <v>0.0</v>
      </c>
      <c r="IO512" s="156">
        <v>0.0</v>
      </c>
      <c r="IP512" s="156">
        <v>0.0</v>
      </c>
      <c r="IQ512" s="160">
        <v>0.0</v>
      </c>
      <c r="JH512" s="25"/>
      <c r="JW512" s="159">
        <v>0.0</v>
      </c>
      <c r="JX512" s="156">
        <v>0.0</v>
      </c>
      <c r="JY512" s="156">
        <v>0.0</v>
      </c>
      <c r="JZ512" s="156">
        <v>0.0</v>
      </c>
      <c r="KA512" s="156">
        <v>0.0</v>
      </c>
      <c r="KB512" s="160">
        <v>0.0</v>
      </c>
      <c r="LH512" s="159">
        <f t="shared" si="10"/>
        <v>0</v>
      </c>
      <c r="LI512" s="156">
        <f t="shared" si="11"/>
        <v>0</v>
      </c>
      <c r="LJ512" s="156">
        <f t="shared" si="12"/>
        <v>0</v>
      </c>
      <c r="LK512" s="156">
        <f t="shared" si="13"/>
        <v>0</v>
      </c>
      <c r="LL512" s="156">
        <f t="shared" si="14"/>
        <v>0</v>
      </c>
      <c r="LM512" s="160">
        <f t="shared" si="15"/>
        <v>0</v>
      </c>
      <c r="QX512" s="539">
        <v>46044.0</v>
      </c>
    </row>
    <row r="513">
      <c r="A513" s="12"/>
      <c r="B513" s="12"/>
      <c r="C513" s="12"/>
      <c r="D513" s="12"/>
      <c r="E513" s="12"/>
      <c r="F513" s="12"/>
      <c r="G513" s="12"/>
      <c r="H513" s="12"/>
      <c r="I513" s="143">
        <f t="shared" si="22"/>
        <v>-48</v>
      </c>
      <c r="J513" s="171">
        <v>46050.0</v>
      </c>
      <c r="K513" s="164" t="s">
        <v>53</v>
      </c>
      <c r="L513" s="23">
        <v>46204.0</v>
      </c>
      <c r="M513" s="86" t="s">
        <v>107</v>
      </c>
      <c r="N513" s="170">
        <v>246.0</v>
      </c>
      <c r="O513" s="148">
        <v>30.0</v>
      </c>
      <c r="U513" s="162" t="s">
        <v>2554</v>
      </c>
      <c r="V513" s="538" t="s">
        <v>2555</v>
      </c>
      <c r="W513" s="185" t="s">
        <v>3377</v>
      </c>
      <c r="X513" s="140"/>
      <c r="Y513" s="166">
        <f t="shared" si="23"/>
        <v>48</v>
      </c>
      <c r="Z513" s="26">
        <f t="shared" si="7"/>
        <v>0</v>
      </c>
      <c r="AA513" s="26">
        <f t="shared" si="8"/>
        <v>0</v>
      </c>
      <c r="AB513" s="26">
        <f t="shared" si="9"/>
        <v>0</v>
      </c>
      <c r="AC513" s="155">
        <v>2.0</v>
      </c>
      <c r="AD513" s="155">
        <v>0.0</v>
      </c>
      <c r="AE513" s="155">
        <v>0.0</v>
      </c>
      <c r="AF513" s="155">
        <v>0.0</v>
      </c>
      <c r="AG513" s="155">
        <v>0.0</v>
      </c>
      <c r="AH513" s="155">
        <v>0.0</v>
      </c>
      <c r="BJ513" s="167">
        <v>1.0</v>
      </c>
      <c r="BK513" s="167">
        <v>0.0</v>
      </c>
      <c r="BL513" s="167">
        <v>1.0</v>
      </c>
      <c r="BM513" s="167">
        <v>0.0</v>
      </c>
      <c r="BN513" s="155">
        <v>9.0</v>
      </c>
      <c r="BO513" s="155">
        <v>0.0</v>
      </c>
      <c r="BP513" s="155">
        <v>0.0</v>
      </c>
      <c r="BQ513" s="155">
        <v>0.0</v>
      </c>
      <c r="BR513" s="155">
        <v>0.0</v>
      </c>
      <c r="BS513" s="155">
        <v>0.0</v>
      </c>
      <c r="BT513" s="167">
        <v>0.0</v>
      </c>
      <c r="BU513" s="167">
        <v>1.0</v>
      </c>
      <c r="BV513" s="167">
        <v>0.0</v>
      </c>
      <c r="BW513" s="167"/>
      <c r="BX513" s="168">
        <v>1.0</v>
      </c>
      <c r="BY513" s="167">
        <v>1.0</v>
      </c>
      <c r="BZ513" s="167">
        <v>0.0</v>
      </c>
      <c r="CA513" s="167">
        <v>0.0</v>
      </c>
      <c r="CB513" s="167"/>
      <c r="CC513" s="168">
        <v>1.0</v>
      </c>
      <c r="CD513" s="167">
        <v>1.0</v>
      </c>
      <c r="CE513" s="167">
        <v>0.0</v>
      </c>
      <c r="CF513" s="167">
        <v>1.0</v>
      </c>
      <c r="CG513" s="167"/>
      <c r="CH513" s="167"/>
      <c r="CI513" s="167"/>
      <c r="CJ513" s="167"/>
      <c r="CK513" s="167"/>
      <c r="CL513" s="167"/>
      <c r="CM513" s="167"/>
      <c r="CN513" s="167"/>
      <c r="CO513" s="167"/>
      <c r="CP513" s="167">
        <v>1.0</v>
      </c>
      <c r="CQ513" s="167">
        <v>0.0</v>
      </c>
      <c r="CR513" s="167">
        <v>1.0</v>
      </c>
      <c r="CS513" s="167">
        <v>0.0</v>
      </c>
      <c r="CT513" s="167">
        <v>1.0</v>
      </c>
      <c r="CU513" s="167">
        <v>0.0</v>
      </c>
      <c r="CV513" s="156">
        <v>12.0</v>
      </c>
      <c r="CW513" s="156">
        <v>0.0</v>
      </c>
      <c r="CX513" s="156">
        <v>0.0</v>
      </c>
      <c r="CY513" s="156">
        <v>0.0</v>
      </c>
      <c r="CZ513" s="156">
        <v>0.0</v>
      </c>
      <c r="DA513" s="156">
        <v>0.0</v>
      </c>
      <c r="DB513" s="174">
        <v>0.0</v>
      </c>
      <c r="DC513" s="174">
        <v>1.0</v>
      </c>
      <c r="DD513" s="174">
        <v>0.0</v>
      </c>
      <c r="DE513" s="175">
        <v>1.0</v>
      </c>
      <c r="DF513" s="174">
        <v>0.0</v>
      </c>
      <c r="DG513" s="174">
        <v>1.0</v>
      </c>
      <c r="DH513" s="174">
        <v>0.0</v>
      </c>
      <c r="DI513" s="174">
        <v>0.0</v>
      </c>
      <c r="DJ513" s="174">
        <v>1.0</v>
      </c>
      <c r="DK513" s="174">
        <v>0.0</v>
      </c>
      <c r="DL513" s="174"/>
      <c r="DM513" s="174">
        <v>0.0</v>
      </c>
      <c r="DN513" s="174">
        <v>1.0</v>
      </c>
      <c r="DO513" s="174">
        <v>0.0</v>
      </c>
      <c r="DP513" s="174">
        <v>0.0</v>
      </c>
      <c r="DQ513" s="174">
        <v>1.0</v>
      </c>
      <c r="DR513" s="174">
        <v>0.0</v>
      </c>
      <c r="DS513" s="174">
        <v>1.0</v>
      </c>
      <c r="DT513" s="175">
        <v>1.0</v>
      </c>
      <c r="DU513" s="174">
        <v>1.0</v>
      </c>
      <c r="DV513" s="174">
        <v>0.0</v>
      </c>
      <c r="DW513" s="174">
        <v>0.0</v>
      </c>
      <c r="DX513" s="174">
        <v>1.0</v>
      </c>
      <c r="DY513" s="174">
        <v>0.0</v>
      </c>
      <c r="DZ513" s="174">
        <v>1.0</v>
      </c>
      <c r="EA513" s="174">
        <v>0.0</v>
      </c>
      <c r="EB513" s="174"/>
      <c r="EC513" s="175">
        <v>1.0</v>
      </c>
      <c r="ED513" s="174"/>
      <c r="EE513" s="174"/>
      <c r="EF513" s="174"/>
      <c r="EG513" s="156">
        <v>11.0</v>
      </c>
      <c r="EH513" s="156">
        <v>0.0</v>
      </c>
      <c r="EI513" s="156">
        <v>0.0</v>
      </c>
      <c r="EJ513" s="156">
        <v>0.0</v>
      </c>
      <c r="EK513" s="156">
        <v>0.0</v>
      </c>
      <c r="EL513" s="156">
        <v>0.0</v>
      </c>
      <c r="EM513" s="174"/>
      <c r="EN513" s="174"/>
      <c r="EO513" s="174">
        <v>1.0</v>
      </c>
      <c r="EP513" s="175">
        <v>2.0</v>
      </c>
      <c r="EQ513" s="174">
        <v>0.0</v>
      </c>
      <c r="ER513" s="174">
        <v>1.0</v>
      </c>
      <c r="ES513" s="174">
        <v>0.0</v>
      </c>
      <c r="ET513" s="174">
        <v>1.0</v>
      </c>
      <c r="EU513" s="174"/>
      <c r="EV513" s="174"/>
      <c r="EW513" s="174"/>
      <c r="EX513" s="174"/>
      <c r="EY513" s="174"/>
      <c r="EZ513" s="174"/>
      <c r="FA513" s="174">
        <v>1.0</v>
      </c>
      <c r="FB513" s="174">
        <v>0.0</v>
      </c>
      <c r="FC513" s="174">
        <v>1.0</v>
      </c>
      <c r="FD513" s="174">
        <v>0.0</v>
      </c>
      <c r="FE513" s="174">
        <v>0.0</v>
      </c>
      <c r="FF513" s="174">
        <v>1.0</v>
      </c>
      <c r="FG513" s="174"/>
      <c r="FH513" s="174"/>
      <c r="FI513" s="174"/>
      <c r="FJ513" s="174">
        <v>1.0</v>
      </c>
      <c r="FK513" s="174">
        <v>0.0</v>
      </c>
      <c r="FL513" s="175">
        <v>1.0</v>
      </c>
      <c r="FM513" s="174"/>
      <c r="FN513" s="175"/>
      <c r="FO513" s="175">
        <v>1.0</v>
      </c>
      <c r="FP513" s="174"/>
      <c r="FQ513" s="156">
        <v>10.0</v>
      </c>
      <c r="FR513" s="156">
        <v>0.0</v>
      </c>
      <c r="FS513" s="156">
        <v>0.0</v>
      </c>
      <c r="FT513" s="156">
        <v>0.0</v>
      </c>
      <c r="FU513" s="156">
        <v>0.0</v>
      </c>
      <c r="FV513" s="156">
        <v>0.0</v>
      </c>
      <c r="FW513" s="174"/>
      <c r="FX513" s="174"/>
      <c r="FY513" s="174"/>
      <c r="FZ513" s="174"/>
      <c r="GA513" s="174"/>
      <c r="GB513" s="174">
        <v>1.0</v>
      </c>
      <c r="GC513" s="174">
        <v>0.0</v>
      </c>
      <c r="GD513" s="174"/>
      <c r="GE513" s="174">
        <v>0.0</v>
      </c>
      <c r="GF513" s="174">
        <v>0.0</v>
      </c>
      <c r="GG513" s="174">
        <v>1.0</v>
      </c>
      <c r="GH513" s="174">
        <v>0.0</v>
      </c>
      <c r="GI513" s="174">
        <v>1.0</v>
      </c>
      <c r="GJ513" s="174">
        <v>0.0</v>
      </c>
      <c r="GK513" s="174">
        <v>1.0</v>
      </c>
      <c r="GL513" s="174"/>
      <c r="GM513" s="174"/>
      <c r="GN513" s="174"/>
      <c r="GO513" s="174"/>
      <c r="GP513" s="176"/>
      <c r="GQ513" s="174"/>
      <c r="GR513" s="175">
        <v>1.0</v>
      </c>
      <c r="GS513" s="174"/>
      <c r="GT513" s="175">
        <v>2.0</v>
      </c>
      <c r="GU513" s="174">
        <v>1.0</v>
      </c>
      <c r="GV513" s="174">
        <v>0.0</v>
      </c>
      <c r="GW513" s="174">
        <v>1.0</v>
      </c>
      <c r="GX513" s="174">
        <v>0.0</v>
      </c>
      <c r="GY513" s="174">
        <v>1.0</v>
      </c>
      <c r="GZ513" s="174">
        <v>0.0</v>
      </c>
      <c r="HA513" s="174">
        <v>0.0</v>
      </c>
      <c r="HB513" s="155">
        <v>4.0</v>
      </c>
      <c r="HC513" s="155">
        <v>0.0</v>
      </c>
      <c r="HD513" s="155">
        <v>0.0</v>
      </c>
      <c r="HE513" s="155">
        <v>0.0</v>
      </c>
      <c r="HF513" s="155">
        <v>0.0</v>
      </c>
      <c r="HG513" s="155">
        <v>0.0</v>
      </c>
      <c r="HH513" s="174">
        <v>1.0</v>
      </c>
      <c r="HI513" s="174">
        <v>0.0</v>
      </c>
      <c r="HJ513" s="174"/>
      <c r="HK513" s="174">
        <v>0.0</v>
      </c>
      <c r="HL513" s="174">
        <v>1.0</v>
      </c>
      <c r="HM513" s="174">
        <v>0.0</v>
      </c>
      <c r="HN513" s="174">
        <v>0.0</v>
      </c>
      <c r="HO513" s="174">
        <v>1.0</v>
      </c>
      <c r="HP513" s="174">
        <v>0.0</v>
      </c>
      <c r="HQ513" s="174">
        <v>1.0</v>
      </c>
      <c r="HR513" s="174">
        <v>0.0</v>
      </c>
      <c r="HS513" s="174"/>
      <c r="HT513" s="174"/>
      <c r="HU513" s="174"/>
      <c r="HV513" s="174"/>
      <c r="HW513" s="174"/>
      <c r="HX513" s="174"/>
      <c r="HY513" s="174"/>
      <c r="HZ513" s="174"/>
      <c r="IA513" s="174"/>
      <c r="IB513" s="174"/>
      <c r="IC513" s="174"/>
      <c r="ID513" s="174"/>
      <c r="IE513" s="174"/>
      <c r="IF513" s="174"/>
      <c r="IG513" s="174"/>
      <c r="IH513" s="174"/>
      <c r="II513" s="174"/>
      <c r="IJ513" s="174"/>
      <c r="IK513" s="174"/>
      <c r="IL513" s="159">
        <v>0.0</v>
      </c>
      <c r="IM513" s="156">
        <v>0.0</v>
      </c>
      <c r="IN513" s="156">
        <v>0.0</v>
      </c>
      <c r="IO513" s="156">
        <v>0.0</v>
      </c>
      <c r="IP513" s="156">
        <v>0.0</v>
      </c>
      <c r="IQ513" s="160">
        <v>0.0</v>
      </c>
      <c r="IR513" s="174"/>
      <c r="IS513" s="174"/>
      <c r="IT513" s="174"/>
      <c r="IU513" s="174"/>
      <c r="IV513" s="174"/>
      <c r="IW513" s="174"/>
      <c r="IX513" s="174"/>
      <c r="IY513" s="174"/>
      <c r="IZ513" s="174"/>
      <c r="JA513" s="174"/>
      <c r="JB513" s="174"/>
      <c r="JC513" s="174"/>
      <c r="JD513" s="174"/>
      <c r="JE513" s="174"/>
      <c r="JF513" s="174"/>
      <c r="JG513" s="174"/>
      <c r="JH513" s="177"/>
      <c r="JI513" s="174"/>
      <c r="JJ513" s="174"/>
      <c r="JK513" s="174"/>
      <c r="JL513" s="174"/>
      <c r="JM513" s="174"/>
      <c r="JN513" s="174"/>
      <c r="JO513" s="174"/>
      <c r="JP513" s="174"/>
      <c r="JQ513" s="174"/>
      <c r="JR513" s="174"/>
      <c r="JS513" s="174"/>
      <c r="JT513" s="174"/>
      <c r="JU513" s="174"/>
      <c r="JV513" s="174"/>
      <c r="JW513" s="159">
        <v>0.0</v>
      </c>
      <c r="JX513" s="156">
        <v>0.0</v>
      </c>
      <c r="JY513" s="156">
        <v>0.0</v>
      </c>
      <c r="JZ513" s="156">
        <v>0.0</v>
      </c>
      <c r="KA513" s="156">
        <v>0.0</v>
      </c>
      <c r="KB513" s="160">
        <v>0.0</v>
      </c>
      <c r="LH513" s="159">
        <f t="shared" si="10"/>
        <v>0</v>
      </c>
      <c r="LI513" s="156">
        <f t="shared" si="11"/>
        <v>0</v>
      </c>
      <c r="LJ513" s="156">
        <f t="shared" si="12"/>
        <v>0</v>
      </c>
      <c r="LK513" s="156">
        <f t="shared" si="13"/>
        <v>0</v>
      </c>
      <c r="LL513" s="156">
        <f t="shared" si="14"/>
        <v>0</v>
      </c>
      <c r="LM513" s="160">
        <f t="shared" si="15"/>
        <v>0</v>
      </c>
      <c r="QX513" s="539">
        <v>46044.0</v>
      </c>
    </row>
    <row r="514">
      <c r="A514" s="12"/>
      <c r="B514" s="12"/>
      <c r="C514" s="12"/>
      <c r="D514" s="12"/>
      <c r="E514" s="25"/>
      <c r="F514" s="12"/>
      <c r="G514" s="12"/>
      <c r="H514" s="12"/>
      <c r="I514" s="143">
        <f t="shared" si="22"/>
        <v>-27</v>
      </c>
      <c r="J514" s="171">
        <v>46049.0</v>
      </c>
      <c r="K514" s="164" t="s">
        <v>61</v>
      </c>
      <c r="L514" s="532">
        <v>46174.0</v>
      </c>
      <c r="M514" s="533" t="s">
        <v>107</v>
      </c>
      <c r="N514" s="534">
        <v>357.0</v>
      </c>
      <c r="O514" s="534">
        <v>45.0</v>
      </c>
      <c r="P514" s="42"/>
      <c r="Q514" s="42"/>
      <c r="R514" s="42"/>
      <c r="S514" s="42"/>
      <c r="T514" s="42"/>
      <c r="U514" s="533" t="s">
        <v>3314</v>
      </c>
      <c r="V514" s="535" t="s">
        <v>1974</v>
      </c>
      <c r="W514" s="540" t="s">
        <v>24</v>
      </c>
      <c r="X514" s="140"/>
      <c r="Y514" s="166">
        <f t="shared" si="23"/>
        <v>27</v>
      </c>
      <c r="Z514" s="26">
        <f t="shared" si="7"/>
        <v>0</v>
      </c>
      <c r="AA514" s="26">
        <f t="shared" si="8"/>
        <v>0</v>
      </c>
      <c r="AB514" s="26">
        <f t="shared" si="9"/>
        <v>0</v>
      </c>
      <c r="AC514" s="155">
        <v>3.0</v>
      </c>
      <c r="AD514" s="155">
        <v>0.0</v>
      </c>
      <c r="AE514" s="155">
        <v>0.0</v>
      </c>
      <c r="AF514" s="155">
        <v>0.0</v>
      </c>
      <c r="AG514" s="155">
        <v>0.0</v>
      </c>
      <c r="AH514" s="155">
        <v>0.0</v>
      </c>
      <c r="BI514" s="167">
        <v>1.0</v>
      </c>
      <c r="BJ514" s="167">
        <v>0.0</v>
      </c>
      <c r="BK514" s="167">
        <v>1.0</v>
      </c>
      <c r="BL514" s="167">
        <v>0.0</v>
      </c>
      <c r="BM514" s="167">
        <v>1.0</v>
      </c>
      <c r="BN514" s="155">
        <v>6.0</v>
      </c>
      <c r="BO514" s="155">
        <v>0.0</v>
      </c>
      <c r="BP514" s="155">
        <v>0.0</v>
      </c>
      <c r="BQ514" s="155">
        <v>0.0</v>
      </c>
      <c r="BR514" s="155">
        <v>0.0</v>
      </c>
      <c r="BS514" s="155">
        <v>0.0</v>
      </c>
      <c r="BT514" s="167"/>
      <c r="BU514" s="167"/>
      <c r="BV514" s="167"/>
      <c r="BW514" s="167"/>
      <c r="BX514" s="167">
        <v>1.0</v>
      </c>
      <c r="BY514" s="167">
        <v>0.0</v>
      </c>
      <c r="BZ514" s="167">
        <v>1.0</v>
      </c>
      <c r="CA514" s="167"/>
      <c r="CB514" s="167"/>
      <c r="CC514" s="167"/>
      <c r="CD514" s="167"/>
      <c r="CE514" s="167">
        <v>1.0</v>
      </c>
      <c r="CF514" s="167">
        <v>0.0</v>
      </c>
      <c r="CG514" s="167">
        <v>1.0</v>
      </c>
      <c r="CH514" s="167"/>
      <c r="CI514" s="167"/>
      <c r="CJ514" s="167"/>
      <c r="CK514" s="167"/>
      <c r="CL514" s="167"/>
      <c r="CM514" s="167"/>
      <c r="CN514" s="167"/>
      <c r="CO514" s="167"/>
      <c r="CP514" s="167"/>
      <c r="CQ514" s="167">
        <v>1.0</v>
      </c>
      <c r="CR514" s="167">
        <v>0.0</v>
      </c>
      <c r="CS514" s="167">
        <v>1.0</v>
      </c>
      <c r="CT514" s="167"/>
      <c r="CU514" s="167"/>
      <c r="CV514" s="156">
        <v>13.0</v>
      </c>
      <c r="CW514" s="156">
        <v>0.0</v>
      </c>
      <c r="CX514" s="156">
        <v>0.0</v>
      </c>
      <c r="CY514" s="156">
        <v>0.0</v>
      </c>
      <c r="CZ514" s="156">
        <v>0.0</v>
      </c>
      <c r="DA514" s="156">
        <v>0.0</v>
      </c>
      <c r="DB514" s="395">
        <v>0.0</v>
      </c>
      <c r="DC514" s="395">
        <v>0.0</v>
      </c>
      <c r="DD514" s="395">
        <v>1.0</v>
      </c>
      <c r="DE514" s="395">
        <v>0.0</v>
      </c>
      <c r="DF514" s="395">
        <v>1.0</v>
      </c>
      <c r="DG514" s="395">
        <v>0.0</v>
      </c>
      <c r="DH514" s="395">
        <v>1.0</v>
      </c>
      <c r="DI514" s="395">
        <v>0.0</v>
      </c>
      <c r="DJ514" s="395">
        <v>0.0</v>
      </c>
      <c r="DK514" s="395">
        <v>1.0</v>
      </c>
      <c r="DL514" s="395">
        <v>0.0</v>
      </c>
      <c r="DM514" s="395">
        <v>1.0</v>
      </c>
      <c r="DN514" s="395">
        <v>0.0</v>
      </c>
      <c r="DO514" s="395">
        <v>1.0</v>
      </c>
      <c r="DP514" s="395">
        <v>0.0</v>
      </c>
      <c r="DQ514" s="395">
        <v>0.0</v>
      </c>
      <c r="DR514" s="395">
        <v>1.0</v>
      </c>
      <c r="DS514" s="395">
        <v>0.0</v>
      </c>
      <c r="DT514" s="395">
        <v>1.0</v>
      </c>
      <c r="DU514" s="395">
        <v>0.0</v>
      </c>
      <c r="DV514" s="395">
        <v>1.0</v>
      </c>
      <c r="DW514" s="395">
        <v>0.0</v>
      </c>
      <c r="DX514" s="395">
        <v>0.0</v>
      </c>
      <c r="DY514" s="395">
        <v>1.0</v>
      </c>
      <c r="DZ514" s="395">
        <v>0.0</v>
      </c>
      <c r="EA514" s="395">
        <v>1.0</v>
      </c>
      <c r="EB514" s="395">
        <v>0.0</v>
      </c>
      <c r="EC514" s="395">
        <v>1.0</v>
      </c>
      <c r="ED514" s="395">
        <v>0.0</v>
      </c>
      <c r="EE514" s="395">
        <v>0.0</v>
      </c>
      <c r="EF514" s="395">
        <v>1.0</v>
      </c>
      <c r="EG514" s="156">
        <v>5.0</v>
      </c>
      <c r="EH514" s="156">
        <v>0.0</v>
      </c>
      <c r="EI514" s="156">
        <v>0.0</v>
      </c>
      <c r="EJ514" s="156">
        <v>0.0</v>
      </c>
      <c r="EK514" s="156">
        <v>0.0</v>
      </c>
      <c r="EL514" s="156">
        <v>0.0</v>
      </c>
      <c r="EM514" s="395"/>
      <c r="EN514" s="395">
        <v>1.0</v>
      </c>
      <c r="EO514" s="395"/>
      <c r="EP514" s="395"/>
      <c r="EQ514" s="395"/>
      <c r="ER514" s="395"/>
      <c r="ES514" s="395">
        <v>1.0</v>
      </c>
      <c r="ET514" s="395"/>
      <c r="EU514" s="395"/>
      <c r="EV514" s="395"/>
      <c r="EW514" s="395"/>
      <c r="EX514" s="395"/>
      <c r="EY514" s="395"/>
      <c r="EZ514" s="395">
        <v>1.0</v>
      </c>
      <c r="FA514" s="395"/>
      <c r="FB514" s="395"/>
      <c r="FC514" s="395"/>
      <c r="FD514" s="395">
        <v>1.0</v>
      </c>
      <c r="FE514" s="395">
        <v>0.0</v>
      </c>
      <c r="FF514" s="395">
        <v>0.0</v>
      </c>
      <c r="FG514" s="395">
        <v>1.0</v>
      </c>
      <c r="FH514" s="395"/>
      <c r="FI514" s="395"/>
      <c r="FJ514" s="395"/>
      <c r="FK514" s="395"/>
      <c r="FL514" s="395"/>
      <c r="FM514" s="395"/>
      <c r="FN514" s="395"/>
      <c r="FO514" s="395"/>
      <c r="FP514" s="395"/>
      <c r="FQ514" s="156">
        <v>0.0</v>
      </c>
      <c r="FR514" s="156">
        <v>0.0</v>
      </c>
      <c r="FS514" s="156">
        <v>0.0</v>
      </c>
      <c r="FT514" s="156">
        <v>0.0</v>
      </c>
      <c r="FU514" s="156">
        <v>0.0</v>
      </c>
      <c r="FV514" s="156">
        <v>0.0</v>
      </c>
      <c r="FW514" s="172"/>
      <c r="FX514" s="172"/>
      <c r="FY514" s="172"/>
      <c r="FZ514" s="172"/>
      <c r="GA514" s="172"/>
      <c r="GB514" s="172"/>
      <c r="GC514" s="172"/>
      <c r="GD514" s="172"/>
      <c r="GE514" s="172"/>
      <c r="GF514" s="172"/>
      <c r="GG514" s="172"/>
      <c r="GH514" s="172"/>
      <c r="GI514" s="172"/>
      <c r="GJ514" s="172"/>
      <c r="GK514" s="172"/>
      <c r="GL514" s="172"/>
      <c r="GM514" s="172"/>
      <c r="GN514" s="172"/>
      <c r="GO514" s="172"/>
      <c r="GP514" s="170"/>
      <c r="GQ514" s="172"/>
      <c r="GR514" s="172"/>
      <c r="GS514" s="172"/>
      <c r="GT514" s="172"/>
      <c r="GU514" s="172"/>
      <c r="GV514" s="172"/>
      <c r="GW514" s="172"/>
      <c r="GX514" s="172"/>
      <c r="GY514" s="172"/>
      <c r="GZ514" s="172"/>
      <c r="HA514" s="172"/>
      <c r="HB514" s="155">
        <v>0.0</v>
      </c>
      <c r="HC514" s="155">
        <v>0.0</v>
      </c>
      <c r="HD514" s="155">
        <v>0.0</v>
      </c>
      <c r="HE514" s="155">
        <v>0.0</v>
      </c>
      <c r="HF514" s="155">
        <v>0.0</v>
      </c>
      <c r="HG514" s="155">
        <v>0.0</v>
      </c>
      <c r="HH514" s="172"/>
      <c r="HI514" s="172"/>
      <c r="HJ514" s="172"/>
      <c r="HK514" s="172"/>
      <c r="HL514" s="172"/>
      <c r="HM514" s="172"/>
      <c r="HN514" s="172"/>
      <c r="HO514" s="172"/>
      <c r="HP514" s="172"/>
      <c r="HQ514" s="172"/>
      <c r="HR514" s="172"/>
      <c r="HS514" s="172"/>
      <c r="HT514" s="172"/>
      <c r="HU514" s="172"/>
      <c r="HV514" s="172"/>
      <c r="HW514" s="172"/>
      <c r="HX514" s="172"/>
      <c r="HY514" s="172"/>
      <c r="HZ514" s="172"/>
      <c r="IA514" s="172"/>
      <c r="IB514" s="172"/>
      <c r="IC514" s="172"/>
      <c r="ID514" s="172"/>
      <c r="IE514" s="172"/>
      <c r="IF514" s="172"/>
      <c r="IG514" s="172"/>
      <c r="IH514" s="172"/>
      <c r="II514" s="172"/>
      <c r="IJ514" s="172"/>
      <c r="IK514" s="172"/>
      <c r="IL514" s="159">
        <v>0.0</v>
      </c>
      <c r="IM514" s="156">
        <v>0.0</v>
      </c>
      <c r="IN514" s="156">
        <v>0.0</v>
      </c>
      <c r="IO514" s="156">
        <v>0.0</v>
      </c>
      <c r="IP514" s="156">
        <v>0.0</v>
      </c>
      <c r="IQ514" s="160">
        <v>0.0</v>
      </c>
      <c r="IR514" s="172"/>
      <c r="IS514" s="172"/>
      <c r="IT514" s="172"/>
      <c r="IU514" s="172"/>
      <c r="IV514" s="172"/>
      <c r="IW514" s="172"/>
      <c r="IX514" s="172"/>
      <c r="IY514" s="172"/>
      <c r="IZ514" s="172"/>
      <c r="JA514" s="172"/>
      <c r="JB514" s="172"/>
      <c r="JC514" s="172"/>
      <c r="JD514" s="172"/>
      <c r="JE514" s="172"/>
      <c r="JF514" s="172"/>
      <c r="JG514" s="172"/>
      <c r="JH514" s="170"/>
      <c r="JI514" s="172"/>
      <c r="JJ514" s="172"/>
      <c r="JK514" s="172"/>
      <c r="JL514" s="172"/>
      <c r="JM514" s="172"/>
      <c r="JN514" s="172"/>
      <c r="JO514" s="172"/>
      <c r="JP514" s="172"/>
      <c r="JQ514" s="172"/>
      <c r="JR514" s="172"/>
      <c r="JS514" s="172"/>
      <c r="JT514" s="172"/>
      <c r="JU514" s="172"/>
      <c r="JV514" s="172"/>
      <c r="JW514" s="159">
        <v>0.0</v>
      </c>
      <c r="JX514" s="156">
        <v>0.0</v>
      </c>
      <c r="JY514" s="156">
        <v>0.0</v>
      </c>
      <c r="JZ514" s="156">
        <v>0.0</v>
      </c>
      <c r="KA514" s="156">
        <v>0.0</v>
      </c>
      <c r="KB514" s="160">
        <v>0.0</v>
      </c>
      <c r="LH514" s="159">
        <f t="shared" si="10"/>
        <v>0</v>
      </c>
      <c r="LI514" s="156">
        <f t="shared" si="11"/>
        <v>0</v>
      </c>
      <c r="LJ514" s="156">
        <f t="shared" si="12"/>
        <v>0</v>
      </c>
      <c r="LK514" s="156">
        <f t="shared" si="13"/>
        <v>0</v>
      </c>
      <c r="LL514" s="156">
        <f t="shared" si="14"/>
        <v>0</v>
      </c>
      <c r="LM514" s="160">
        <f t="shared" si="15"/>
        <v>0</v>
      </c>
      <c r="QX514" s="539">
        <v>46045.0</v>
      </c>
    </row>
    <row r="515">
      <c r="A515" s="12"/>
      <c r="B515" s="12"/>
      <c r="C515" s="12"/>
      <c r="D515" s="12"/>
      <c r="E515" s="12"/>
      <c r="F515" s="12"/>
      <c r="G515" s="12"/>
      <c r="H515" s="12"/>
      <c r="I515" s="143">
        <f t="shared" si="22"/>
        <v>-30</v>
      </c>
      <c r="J515" s="537">
        <v>46053.0</v>
      </c>
      <c r="K515" s="164" t="s">
        <v>61</v>
      </c>
      <c r="L515" s="23">
        <v>46135.0</v>
      </c>
      <c r="M515" s="86" t="s">
        <v>348</v>
      </c>
      <c r="N515" s="170">
        <v>357.0</v>
      </c>
      <c r="O515" s="148">
        <v>30.0</v>
      </c>
      <c r="U515" s="162" t="s">
        <v>3157</v>
      </c>
      <c r="V515" s="538" t="s">
        <v>3158</v>
      </c>
      <c r="W515" s="125" t="s">
        <v>3378</v>
      </c>
      <c r="X515" s="140"/>
      <c r="Y515" s="166">
        <f t="shared" si="23"/>
        <v>30</v>
      </c>
      <c r="Z515" s="26">
        <f t="shared" si="7"/>
        <v>0</v>
      </c>
      <c r="AA515" s="26">
        <f t="shared" si="8"/>
        <v>0</v>
      </c>
      <c r="AB515" s="26">
        <f t="shared" si="9"/>
        <v>0</v>
      </c>
      <c r="AC515" s="155">
        <v>1.0</v>
      </c>
      <c r="AD515" s="155">
        <v>0.0</v>
      </c>
      <c r="AE515" s="155">
        <v>0.0</v>
      </c>
      <c r="AF515" s="155">
        <v>0.0</v>
      </c>
      <c r="AG515" s="155">
        <v>0.0</v>
      </c>
      <c r="AH515" s="155">
        <v>0.0</v>
      </c>
      <c r="BM515" s="86">
        <v>1.0</v>
      </c>
      <c r="BN515" s="155">
        <v>9.0</v>
      </c>
      <c r="BO515" s="155">
        <v>0.0</v>
      </c>
      <c r="BP515" s="155">
        <v>0.0</v>
      </c>
      <c r="BQ515" s="155">
        <v>0.0</v>
      </c>
      <c r="BR515" s="155">
        <v>0.0</v>
      </c>
      <c r="BS515" s="155">
        <v>0.0</v>
      </c>
      <c r="BT515" s="167">
        <v>0.0</v>
      </c>
      <c r="BU515" s="167">
        <v>1.0</v>
      </c>
      <c r="BV515" s="167">
        <v>0.0</v>
      </c>
      <c r="BW515" s="167">
        <v>1.0</v>
      </c>
      <c r="BX515" s="167">
        <v>0.0</v>
      </c>
      <c r="BY515" s="167">
        <v>1.0</v>
      </c>
      <c r="BZ515" s="167">
        <v>0.0</v>
      </c>
      <c r="CA515" s="167">
        <v>0.0</v>
      </c>
      <c r="CB515" s="167">
        <v>1.0</v>
      </c>
      <c r="CC515" s="167">
        <v>0.0</v>
      </c>
      <c r="CD515" s="167">
        <v>1.0</v>
      </c>
      <c r="CE515" s="167">
        <v>0.0</v>
      </c>
      <c r="CF515" s="167">
        <v>1.0</v>
      </c>
      <c r="CG515" s="167"/>
      <c r="CH515" s="167"/>
      <c r="CI515" s="167"/>
      <c r="CJ515" s="167"/>
      <c r="CK515" s="167"/>
      <c r="CL515" s="167"/>
      <c r="CM515" s="167"/>
      <c r="CN515" s="167"/>
      <c r="CO515" s="167"/>
      <c r="CP515" s="167"/>
      <c r="CQ515" s="167"/>
      <c r="CR515" s="167"/>
      <c r="CS515" s="168">
        <v>2.0</v>
      </c>
      <c r="CT515" s="167"/>
      <c r="CU515" s="168">
        <v>1.0</v>
      </c>
      <c r="CV515" s="156">
        <v>12.0</v>
      </c>
      <c r="CW515" s="156">
        <v>0.0</v>
      </c>
      <c r="CX515" s="156">
        <v>0.0</v>
      </c>
      <c r="CY515" s="156">
        <v>0.0</v>
      </c>
      <c r="CZ515" s="156">
        <v>0.0</v>
      </c>
      <c r="DA515" s="156">
        <v>0.0</v>
      </c>
      <c r="DB515" s="395"/>
      <c r="DC515" s="395"/>
      <c r="DD515" s="395"/>
      <c r="DE515" s="395"/>
      <c r="DF515" s="395"/>
      <c r="DG515" s="395"/>
      <c r="DH515" s="395">
        <v>1.0</v>
      </c>
      <c r="DI515" s="395">
        <v>2.0</v>
      </c>
      <c r="DJ515" s="395">
        <v>0.0</v>
      </c>
      <c r="DK515" s="395">
        <v>1.0</v>
      </c>
      <c r="DL515" s="395">
        <v>0.0</v>
      </c>
      <c r="DM515" s="395">
        <v>1.0</v>
      </c>
      <c r="DN515" s="395">
        <v>0.0</v>
      </c>
      <c r="DO515" s="395">
        <v>1.0</v>
      </c>
      <c r="DP515" s="395">
        <v>0.0</v>
      </c>
      <c r="DQ515" s="395">
        <v>0.0</v>
      </c>
      <c r="DR515" s="395">
        <v>1.0</v>
      </c>
      <c r="DS515" s="395">
        <v>0.0</v>
      </c>
      <c r="DT515" s="395">
        <v>1.0</v>
      </c>
      <c r="DU515" s="395"/>
      <c r="DV515" s="395"/>
      <c r="DW515" s="395"/>
      <c r="DX515" s="395"/>
      <c r="DY515" s="395">
        <v>1.0</v>
      </c>
      <c r="DZ515" s="395">
        <v>0.0</v>
      </c>
      <c r="EA515" s="395">
        <v>1.0</v>
      </c>
      <c r="EB515" s="395">
        <v>0.0</v>
      </c>
      <c r="EC515" s="395">
        <v>1.0</v>
      </c>
      <c r="ED515" s="395">
        <v>0.0</v>
      </c>
      <c r="EE515" s="395">
        <v>0.0</v>
      </c>
      <c r="EF515" s="395">
        <v>1.0</v>
      </c>
      <c r="EG515" s="156">
        <v>8.0</v>
      </c>
      <c r="EH515" s="156">
        <v>0.0</v>
      </c>
      <c r="EI515" s="156">
        <v>0.0</v>
      </c>
      <c r="EJ515" s="156">
        <v>0.0</v>
      </c>
      <c r="EK515" s="156">
        <v>0.0</v>
      </c>
      <c r="EL515" s="156">
        <v>0.0</v>
      </c>
      <c r="EM515" s="395">
        <v>0.0</v>
      </c>
      <c r="EN515" s="395">
        <v>1.0</v>
      </c>
      <c r="EO515" s="395">
        <v>0.0</v>
      </c>
      <c r="EP515" s="395">
        <v>1.0</v>
      </c>
      <c r="EQ515" s="395"/>
      <c r="ER515" s="395"/>
      <c r="ES515" s="395">
        <v>1.0</v>
      </c>
      <c r="ET515" s="395"/>
      <c r="EU515" s="395">
        <v>1.0</v>
      </c>
      <c r="EV515" s="395">
        <v>0.0</v>
      </c>
      <c r="EW515" s="395">
        <v>1.0</v>
      </c>
      <c r="EX515" s="395">
        <v>0.0</v>
      </c>
      <c r="EY515" s="395">
        <v>1.0</v>
      </c>
      <c r="EZ515" s="395">
        <v>1.0</v>
      </c>
      <c r="FA515" s="395">
        <v>0.0</v>
      </c>
      <c r="FB515" s="395">
        <v>1.0</v>
      </c>
      <c r="FC515" s="395"/>
      <c r="FD515" s="395"/>
      <c r="FE515" s="395"/>
      <c r="FF515" s="395"/>
      <c r="FG515" s="395"/>
      <c r="FH515" s="395"/>
      <c r="FI515" s="395"/>
      <c r="FJ515" s="395"/>
      <c r="FK515" s="395"/>
      <c r="FL515" s="395"/>
      <c r="FM515" s="395"/>
      <c r="FN515" s="395"/>
      <c r="FO515" s="395"/>
      <c r="FP515" s="395"/>
      <c r="FQ515" s="156">
        <v>0.0</v>
      </c>
      <c r="FR515" s="156">
        <v>0.0</v>
      </c>
      <c r="FS515" s="156">
        <v>0.0</v>
      </c>
      <c r="FT515" s="156">
        <v>0.0</v>
      </c>
      <c r="FU515" s="156">
        <v>0.0</v>
      </c>
      <c r="FV515" s="156">
        <v>0.0</v>
      </c>
      <c r="FW515" s="157"/>
      <c r="FX515" s="157"/>
      <c r="FY515" s="157"/>
      <c r="FZ515" s="157"/>
      <c r="GA515" s="157"/>
      <c r="GB515" s="157"/>
      <c r="GC515" s="157"/>
      <c r="GD515" s="157"/>
      <c r="GE515" s="157"/>
      <c r="GF515" s="157"/>
      <c r="GG515" s="157"/>
      <c r="GH515" s="157"/>
      <c r="GI515" s="157"/>
      <c r="GJ515" s="157"/>
      <c r="GK515" s="157"/>
      <c r="GL515" s="157"/>
      <c r="GM515" s="157"/>
      <c r="GN515" s="157"/>
      <c r="GO515" s="157"/>
      <c r="GP515" s="158"/>
      <c r="GQ515" s="157"/>
      <c r="GR515" s="157"/>
      <c r="GS515" s="157"/>
      <c r="GT515" s="157"/>
      <c r="GU515" s="157"/>
      <c r="GV515" s="157"/>
      <c r="GW515" s="157"/>
      <c r="GX515" s="157"/>
      <c r="GY515" s="157"/>
      <c r="GZ515" s="157"/>
      <c r="HA515" s="157"/>
      <c r="HB515" s="155">
        <v>0.0</v>
      </c>
      <c r="HC515" s="155">
        <v>0.0</v>
      </c>
      <c r="HD515" s="155">
        <v>0.0</v>
      </c>
      <c r="HE515" s="155">
        <v>0.0</v>
      </c>
      <c r="HF515" s="155">
        <v>0.0</v>
      </c>
      <c r="HG515" s="155">
        <v>0.0</v>
      </c>
      <c r="IL515" s="159">
        <v>0.0</v>
      </c>
      <c r="IM515" s="156">
        <v>0.0</v>
      </c>
      <c r="IN515" s="156">
        <v>0.0</v>
      </c>
      <c r="IO515" s="156">
        <v>0.0</v>
      </c>
      <c r="IP515" s="156">
        <v>0.0</v>
      </c>
      <c r="IQ515" s="160">
        <v>0.0</v>
      </c>
      <c r="JH515" s="25"/>
      <c r="JW515" s="159">
        <v>0.0</v>
      </c>
      <c r="JX515" s="156">
        <v>0.0</v>
      </c>
      <c r="JY515" s="156">
        <v>0.0</v>
      </c>
      <c r="JZ515" s="156">
        <v>0.0</v>
      </c>
      <c r="KA515" s="156">
        <v>0.0</v>
      </c>
      <c r="KB515" s="160">
        <v>0.0</v>
      </c>
      <c r="LH515" s="159">
        <f t="shared" si="10"/>
        <v>0</v>
      </c>
      <c r="LI515" s="156">
        <f t="shared" si="11"/>
        <v>0</v>
      </c>
      <c r="LJ515" s="156">
        <f t="shared" si="12"/>
        <v>0</v>
      </c>
      <c r="LK515" s="156">
        <f t="shared" si="13"/>
        <v>0</v>
      </c>
      <c r="LL515" s="156">
        <f t="shared" si="14"/>
        <v>0</v>
      </c>
      <c r="LM515" s="160">
        <f t="shared" si="15"/>
        <v>0</v>
      </c>
      <c r="QX515" s="539">
        <v>46048.0</v>
      </c>
    </row>
    <row r="516">
      <c r="A516" s="12"/>
      <c r="B516" s="12"/>
      <c r="C516" s="12"/>
      <c r="D516" s="12"/>
      <c r="E516" s="12"/>
      <c r="F516" s="12"/>
      <c r="G516" s="12"/>
      <c r="H516" s="12"/>
      <c r="I516" s="143">
        <f t="shared" si="22"/>
        <v>-12</v>
      </c>
      <c r="J516" s="171">
        <v>46051.0</v>
      </c>
      <c r="K516" s="164" t="s">
        <v>61</v>
      </c>
      <c r="L516" s="23">
        <v>46176.0</v>
      </c>
      <c r="M516" s="86" t="s">
        <v>228</v>
      </c>
      <c r="N516" s="188" t="s">
        <v>2246</v>
      </c>
      <c r="O516" s="86">
        <v>30.0</v>
      </c>
      <c r="U516" s="162" t="s">
        <v>2554</v>
      </c>
      <c r="V516" s="538" t="s">
        <v>2555</v>
      </c>
      <c r="W516" s="125" t="s">
        <v>3379</v>
      </c>
      <c r="X516" s="140"/>
      <c r="Y516" s="166">
        <f t="shared" si="23"/>
        <v>12</v>
      </c>
      <c r="Z516" s="26">
        <f t="shared" si="7"/>
        <v>0</v>
      </c>
      <c r="AA516" s="26">
        <f t="shared" si="8"/>
        <v>1</v>
      </c>
      <c r="AB516" s="26">
        <f t="shared" si="9"/>
        <v>0</v>
      </c>
      <c r="AC516" s="155">
        <v>1.0</v>
      </c>
      <c r="AD516" s="155">
        <v>0.0</v>
      </c>
      <c r="AE516" s="155">
        <v>0.0</v>
      </c>
      <c r="AF516" s="155">
        <v>0.0</v>
      </c>
      <c r="AG516" s="155">
        <v>0.0</v>
      </c>
      <c r="AH516" s="155">
        <v>0.0</v>
      </c>
      <c r="BK516" s="86">
        <v>1.0</v>
      </c>
      <c r="BN516" s="155">
        <v>1.0</v>
      </c>
      <c r="BO516" s="155">
        <v>0.0</v>
      </c>
      <c r="BP516" s="155">
        <v>0.0</v>
      </c>
      <c r="BQ516" s="155">
        <v>0.0</v>
      </c>
      <c r="BR516" s="155">
        <v>0.0</v>
      </c>
      <c r="BS516" s="155">
        <v>0.0</v>
      </c>
      <c r="BU516" s="86">
        <v>1.0</v>
      </c>
      <c r="CV516" s="156">
        <v>3.0</v>
      </c>
      <c r="CW516" s="156">
        <v>0.0</v>
      </c>
      <c r="CX516" s="156">
        <v>0.0</v>
      </c>
      <c r="CY516" s="156">
        <v>0.0</v>
      </c>
      <c r="CZ516" s="156">
        <v>0.0</v>
      </c>
      <c r="DA516" s="156">
        <v>0.0</v>
      </c>
      <c r="DE516" s="86">
        <v>1.0</v>
      </c>
      <c r="DW516" s="86">
        <v>2.0</v>
      </c>
      <c r="EG516" s="156">
        <v>3.0</v>
      </c>
      <c r="EH516" s="156">
        <v>0.0</v>
      </c>
      <c r="EI516" s="156">
        <v>0.0</v>
      </c>
      <c r="EJ516" s="156">
        <v>1.0</v>
      </c>
      <c r="EK516" s="156">
        <v>0.0</v>
      </c>
      <c r="EL516" s="156">
        <v>0.0</v>
      </c>
      <c r="EX516" s="86">
        <v>2.0</v>
      </c>
      <c r="FE516" s="86" t="s">
        <v>947</v>
      </c>
      <c r="FQ516" s="156">
        <v>4.0</v>
      </c>
      <c r="FR516" s="156">
        <v>0.0</v>
      </c>
      <c r="FS516" s="156">
        <v>0.0</v>
      </c>
      <c r="FT516" s="156">
        <v>0.0</v>
      </c>
      <c r="FU516" s="156">
        <v>0.0</v>
      </c>
      <c r="FV516" s="156">
        <v>0.0</v>
      </c>
      <c r="FW516" s="157"/>
      <c r="FX516" s="157"/>
      <c r="FY516" s="188"/>
      <c r="FZ516" s="157"/>
      <c r="GA516" s="157"/>
      <c r="GB516" s="157"/>
      <c r="GC516" s="157"/>
      <c r="GD516" s="157"/>
      <c r="GE516" s="157"/>
      <c r="GF516" s="188">
        <v>2.0</v>
      </c>
      <c r="GG516" s="157"/>
      <c r="GH516" s="157"/>
      <c r="GI516" s="157"/>
      <c r="GJ516" s="157"/>
      <c r="GK516" s="157"/>
      <c r="GL516" s="157"/>
      <c r="GM516" s="157"/>
      <c r="GN516" s="157"/>
      <c r="GO516" s="157"/>
      <c r="GP516" s="158"/>
      <c r="GQ516" s="157"/>
      <c r="GR516" s="157"/>
      <c r="GS516" s="157"/>
      <c r="GT516" s="157"/>
      <c r="GU516" s="157"/>
      <c r="GV516" s="157"/>
      <c r="GW516" s="157"/>
      <c r="GX516" s="157"/>
      <c r="GY516" s="157"/>
      <c r="GZ516" s="157"/>
      <c r="HA516" s="188">
        <v>2.0</v>
      </c>
      <c r="HB516" s="155">
        <v>0.0</v>
      </c>
      <c r="HC516" s="155">
        <v>0.0</v>
      </c>
      <c r="HD516" s="155">
        <v>0.0</v>
      </c>
      <c r="HE516" s="155">
        <v>0.0</v>
      </c>
      <c r="HF516" s="155">
        <v>0.0</v>
      </c>
      <c r="HG516" s="155">
        <v>0.0</v>
      </c>
      <c r="IL516" s="159">
        <v>0.0</v>
      </c>
      <c r="IM516" s="156">
        <v>0.0</v>
      </c>
      <c r="IN516" s="156">
        <v>0.0</v>
      </c>
      <c r="IO516" s="156">
        <v>0.0</v>
      </c>
      <c r="IP516" s="156">
        <v>0.0</v>
      </c>
      <c r="IQ516" s="160">
        <v>0.0</v>
      </c>
      <c r="JH516" s="25"/>
      <c r="JW516" s="159">
        <v>0.0</v>
      </c>
      <c r="JX516" s="156">
        <v>0.0</v>
      </c>
      <c r="JY516" s="156">
        <v>0.0</v>
      </c>
      <c r="JZ516" s="156">
        <v>0.0</v>
      </c>
      <c r="KA516" s="156">
        <v>0.0</v>
      </c>
      <c r="KB516" s="160">
        <v>0.0</v>
      </c>
      <c r="LH516" s="159">
        <f t="shared" si="10"/>
        <v>0</v>
      </c>
      <c r="LI516" s="156">
        <f t="shared" si="11"/>
        <v>0</v>
      </c>
      <c r="LJ516" s="156">
        <f t="shared" si="12"/>
        <v>0</v>
      </c>
      <c r="LK516" s="156">
        <f t="shared" si="13"/>
        <v>0</v>
      </c>
      <c r="LL516" s="156">
        <f t="shared" si="14"/>
        <v>0</v>
      </c>
      <c r="LM516" s="160">
        <f t="shared" si="15"/>
        <v>0</v>
      </c>
      <c r="QX516" s="539">
        <v>46048.0</v>
      </c>
    </row>
    <row r="517">
      <c r="A517" s="126"/>
      <c r="B517" s="126"/>
      <c r="C517" s="126"/>
      <c r="D517" s="126"/>
      <c r="E517" s="126"/>
      <c r="F517" s="126"/>
      <c r="G517" s="126"/>
      <c r="H517" s="126"/>
      <c r="I517" s="531">
        <f t="shared" si="22"/>
        <v>-23</v>
      </c>
      <c r="J517" s="541">
        <v>46079.0</v>
      </c>
      <c r="K517" s="542" t="s">
        <v>48</v>
      </c>
      <c r="L517" s="541">
        <v>46122.0</v>
      </c>
      <c r="M517" s="543" t="s">
        <v>107</v>
      </c>
      <c r="N517" s="544" t="s">
        <v>3321</v>
      </c>
      <c r="O517" s="543">
        <v>30.0</v>
      </c>
      <c r="P517" s="126"/>
      <c r="Q517" s="126"/>
      <c r="R517" s="126"/>
      <c r="S517" s="126"/>
      <c r="T517" s="126"/>
      <c r="U517" s="543" t="s">
        <v>3380</v>
      </c>
      <c r="V517" s="538" t="s">
        <v>3381</v>
      </c>
      <c r="W517" s="185" t="s">
        <v>3382</v>
      </c>
      <c r="X517" s="140"/>
      <c r="Y517" s="166">
        <f t="shared" si="23"/>
        <v>23</v>
      </c>
      <c r="Z517" s="26">
        <f t="shared" si="7"/>
        <v>0</v>
      </c>
      <c r="AA517" s="26">
        <f t="shared" si="8"/>
        <v>7</v>
      </c>
      <c r="AB517" s="26">
        <f t="shared" si="9"/>
        <v>0</v>
      </c>
      <c r="AC517" s="155">
        <v>0.0</v>
      </c>
      <c r="AD517" s="155">
        <v>0.0</v>
      </c>
      <c r="AE517" s="155">
        <v>0.0</v>
      </c>
      <c r="AF517" s="155">
        <v>0.0</v>
      </c>
      <c r="AG517" s="155">
        <v>0.0</v>
      </c>
      <c r="AH517" s="155">
        <v>0.0</v>
      </c>
      <c r="BN517" s="155">
        <v>1.0</v>
      </c>
      <c r="BO517" s="155">
        <v>0.0</v>
      </c>
      <c r="BP517" s="155">
        <v>0.0</v>
      </c>
      <c r="BQ517" s="155">
        <v>0.0</v>
      </c>
      <c r="BR517" s="155">
        <v>0.0</v>
      </c>
      <c r="BS517" s="155">
        <v>0.0</v>
      </c>
      <c r="CS517" s="167">
        <v>1.0</v>
      </c>
      <c r="CT517" s="167">
        <v>0.0</v>
      </c>
      <c r="CU517" s="167"/>
      <c r="CV517" s="156">
        <v>10.0</v>
      </c>
      <c r="CW517" s="156">
        <v>0.0</v>
      </c>
      <c r="CX517" s="156">
        <v>0.0</v>
      </c>
      <c r="CY517" s="156">
        <v>1.0</v>
      </c>
      <c r="CZ517" s="156">
        <v>0.0</v>
      </c>
      <c r="DA517" s="156">
        <v>0.0</v>
      </c>
      <c r="DB517" s="86">
        <v>1.0</v>
      </c>
      <c r="DD517" s="86">
        <v>1.0</v>
      </c>
      <c r="DI517" s="86">
        <v>1.0</v>
      </c>
      <c r="DK517" s="86">
        <v>1.0</v>
      </c>
      <c r="DN517" s="86">
        <v>1.0</v>
      </c>
      <c r="DP517" s="86">
        <v>1.0</v>
      </c>
      <c r="DT517" s="86">
        <v>1.0</v>
      </c>
      <c r="DW517" s="86">
        <v>1.0</v>
      </c>
      <c r="ED517" s="86" t="s">
        <v>947</v>
      </c>
      <c r="EF517" s="86">
        <v>1.0</v>
      </c>
      <c r="EG517" s="156">
        <v>2.0</v>
      </c>
      <c r="EH517" s="156">
        <v>0.0</v>
      </c>
      <c r="EI517" s="156">
        <v>0.0</v>
      </c>
      <c r="EJ517" s="156">
        <v>1.0</v>
      </c>
      <c r="EK517" s="156">
        <v>0.0</v>
      </c>
      <c r="EL517" s="156">
        <v>0.0</v>
      </c>
      <c r="EN517" s="86">
        <v>1.0</v>
      </c>
      <c r="EQ517" s="86" t="s">
        <v>947</v>
      </c>
      <c r="FQ517" s="156">
        <v>0.0</v>
      </c>
      <c r="FR517" s="156">
        <v>0.0</v>
      </c>
      <c r="FS517" s="156">
        <v>0.0</v>
      </c>
      <c r="FT517" s="156">
        <v>0.0</v>
      </c>
      <c r="FU517" s="156">
        <v>0.0</v>
      </c>
      <c r="FV517" s="156">
        <v>0.0</v>
      </c>
      <c r="FW517" s="157"/>
      <c r="FX517" s="157"/>
      <c r="FY517" s="157"/>
      <c r="FZ517" s="157"/>
      <c r="GA517" s="157"/>
      <c r="GB517" s="157"/>
      <c r="GC517" s="157"/>
      <c r="GD517" s="157"/>
      <c r="GE517" s="157"/>
      <c r="GF517" s="157"/>
      <c r="GG517" s="157"/>
      <c r="GH517" s="157"/>
      <c r="GI517" s="157"/>
      <c r="GJ517" s="157"/>
      <c r="GK517" s="157"/>
      <c r="GL517" s="157"/>
      <c r="GM517" s="157"/>
      <c r="GN517" s="157"/>
      <c r="GO517" s="157"/>
      <c r="GP517" s="158"/>
      <c r="GQ517" s="157"/>
      <c r="GR517" s="157"/>
      <c r="GS517" s="157"/>
      <c r="GT517" s="157"/>
      <c r="GU517" s="157"/>
      <c r="GV517" s="157"/>
      <c r="GW517" s="157"/>
      <c r="GX517" s="157"/>
      <c r="GY517" s="157"/>
      <c r="GZ517" s="157"/>
      <c r="HA517" s="157"/>
      <c r="HB517" s="155">
        <v>0.0</v>
      </c>
      <c r="HC517" s="155">
        <v>0.0</v>
      </c>
      <c r="HD517" s="155">
        <v>0.0</v>
      </c>
      <c r="HE517" s="155">
        <v>0.0</v>
      </c>
      <c r="HF517" s="155">
        <v>0.0</v>
      </c>
      <c r="HG517" s="155">
        <v>0.0</v>
      </c>
      <c r="IL517" s="159">
        <v>2.0</v>
      </c>
      <c r="IM517" s="156">
        <v>0.0</v>
      </c>
      <c r="IN517" s="156">
        <v>0.0</v>
      </c>
      <c r="IO517" s="156">
        <v>0.0</v>
      </c>
      <c r="IP517" s="156">
        <v>0.0</v>
      </c>
      <c r="IQ517" s="160">
        <v>0.0</v>
      </c>
      <c r="JH517" s="25"/>
      <c r="JS517" s="86">
        <v>1.0</v>
      </c>
      <c r="JU517" s="86">
        <v>1.0</v>
      </c>
      <c r="JW517" s="159">
        <v>8.0</v>
      </c>
      <c r="JX517" s="156">
        <v>0.0</v>
      </c>
      <c r="JY517" s="156">
        <v>0.0</v>
      </c>
      <c r="JZ517" s="156">
        <v>5.0</v>
      </c>
      <c r="KA517" s="156">
        <v>0.0</v>
      </c>
      <c r="KB517" s="160">
        <v>0.0</v>
      </c>
      <c r="KC517" s="86" t="s">
        <v>624</v>
      </c>
      <c r="KF517" s="86" t="s">
        <v>624</v>
      </c>
      <c r="KS517" s="178"/>
      <c r="KT517" s="86">
        <v>1.0</v>
      </c>
      <c r="KV517" s="86" t="s">
        <v>624</v>
      </c>
      <c r="KX517" s="86">
        <v>1.0</v>
      </c>
      <c r="LA517" s="86">
        <v>1.0</v>
      </c>
      <c r="LC517" s="86" t="s">
        <v>624</v>
      </c>
      <c r="LE517" s="86" t="s">
        <v>624</v>
      </c>
      <c r="LH517" s="159">
        <f t="shared" si="10"/>
        <v>0</v>
      </c>
      <c r="LI517" s="156">
        <f t="shared" si="11"/>
        <v>0</v>
      </c>
      <c r="LJ517" s="156">
        <f t="shared" si="12"/>
        <v>0</v>
      </c>
      <c r="LK517" s="156">
        <f t="shared" si="13"/>
        <v>0</v>
      </c>
      <c r="LL517" s="156">
        <f t="shared" si="14"/>
        <v>0</v>
      </c>
      <c r="LM517" s="160">
        <f t="shared" si="15"/>
        <v>0</v>
      </c>
      <c r="QX517" s="539">
        <v>46048.0</v>
      </c>
    </row>
    <row r="518">
      <c r="A518" s="12"/>
      <c r="B518" s="12"/>
      <c r="C518" s="12"/>
      <c r="D518" s="12"/>
      <c r="E518" s="12"/>
      <c r="F518" s="12"/>
      <c r="G518" s="12"/>
      <c r="H518" s="12"/>
      <c r="I518" s="143">
        <f t="shared" si="22"/>
        <v>-14</v>
      </c>
      <c r="J518" s="537">
        <v>46055.0</v>
      </c>
      <c r="K518" s="180" t="s">
        <v>53</v>
      </c>
      <c r="L518" s="537">
        <v>46112.0</v>
      </c>
      <c r="M518" s="86" t="s">
        <v>1733</v>
      </c>
      <c r="N518" s="170">
        <v>246.0</v>
      </c>
      <c r="O518" s="148">
        <v>30.0</v>
      </c>
      <c r="U518" s="162" t="s">
        <v>3383</v>
      </c>
      <c r="V518" s="538" t="s">
        <v>3384</v>
      </c>
      <c r="W518" s="125" t="s">
        <v>3385</v>
      </c>
      <c r="X518" s="140"/>
      <c r="Y518" s="166">
        <f t="shared" si="23"/>
        <v>14</v>
      </c>
      <c r="Z518" s="26">
        <f t="shared" si="7"/>
        <v>0</v>
      </c>
      <c r="AA518" s="26">
        <f t="shared" si="8"/>
        <v>1</v>
      </c>
      <c r="AB518" s="26">
        <f t="shared" si="9"/>
        <v>0</v>
      </c>
      <c r="AC518" s="155">
        <v>0.0</v>
      </c>
      <c r="AD518" s="155">
        <v>0.0</v>
      </c>
      <c r="AE518" s="155">
        <v>0.0</v>
      </c>
      <c r="AF518" s="155">
        <v>0.0</v>
      </c>
      <c r="AG518" s="155">
        <v>0.0</v>
      </c>
      <c r="AH518" s="155">
        <v>0.0</v>
      </c>
      <c r="BN518" s="155">
        <v>4.0</v>
      </c>
      <c r="BO518" s="155">
        <v>0.0</v>
      </c>
      <c r="BP518" s="155">
        <v>0.0</v>
      </c>
      <c r="BQ518" s="155">
        <v>0.0</v>
      </c>
      <c r="BR518" s="155">
        <v>0.0</v>
      </c>
      <c r="BS518" s="155">
        <v>0.0</v>
      </c>
      <c r="BT518" s="167">
        <v>0.0</v>
      </c>
      <c r="BU518" s="167">
        <v>1.0</v>
      </c>
      <c r="BV518" s="167">
        <v>0.0</v>
      </c>
      <c r="BW518" s="167">
        <v>1.0</v>
      </c>
      <c r="BX518" s="167">
        <v>0.0</v>
      </c>
      <c r="BY518" s="167">
        <v>1.0</v>
      </c>
      <c r="BZ518" s="167">
        <v>0.0</v>
      </c>
      <c r="CA518" s="167">
        <v>0.0</v>
      </c>
      <c r="CB518" s="167">
        <v>1.0</v>
      </c>
      <c r="CC518" s="167"/>
      <c r="CD518" s="167"/>
      <c r="CE518" s="167"/>
      <c r="CF518" s="167"/>
      <c r="CG518" s="167"/>
      <c r="CH518" s="167"/>
      <c r="CI518" s="167"/>
      <c r="CJ518" s="167"/>
      <c r="CK518" s="167"/>
      <c r="CL518" s="167"/>
      <c r="CM518" s="167"/>
      <c r="CN518" s="167"/>
      <c r="CO518" s="167"/>
      <c r="CP518" s="167"/>
      <c r="CQ518" s="167"/>
      <c r="CR518" s="167"/>
      <c r="CS518" s="167"/>
      <c r="CT518" s="167"/>
      <c r="CU518" s="167"/>
      <c r="CV518" s="156">
        <v>10.0</v>
      </c>
      <c r="CW518" s="156">
        <v>0.0</v>
      </c>
      <c r="CX518" s="156">
        <v>0.0</v>
      </c>
      <c r="CY518" s="156">
        <v>1.0</v>
      </c>
      <c r="CZ518" s="156">
        <v>0.0</v>
      </c>
      <c r="DA518" s="156">
        <v>0.0</v>
      </c>
      <c r="DB518" s="174"/>
      <c r="DC518" s="174"/>
      <c r="DD518" s="174"/>
      <c r="DE518" s="174"/>
      <c r="DF518" s="175">
        <v>1.0</v>
      </c>
      <c r="DG518" s="174">
        <v>1.0</v>
      </c>
      <c r="DH518" s="174">
        <v>0.0</v>
      </c>
      <c r="DI518" s="174">
        <v>0.0</v>
      </c>
      <c r="DJ518" s="174"/>
      <c r="DK518" s="174">
        <v>0.0</v>
      </c>
      <c r="DL518" s="174">
        <v>1.0</v>
      </c>
      <c r="DM518" s="174">
        <v>0.0</v>
      </c>
      <c r="DN518" s="174">
        <v>1.0</v>
      </c>
      <c r="DO518" s="174">
        <v>0.0</v>
      </c>
      <c r="DP518" s="174">
        <v>0.0</v>
      </c>
      <c r="DQ518" s="175"/>
      <c r="DR518" s="174">
        <v>0.0</v>
      </c>
      <c r="DS518" s="175" t="s">
        <v>947</v>
      </c>
      <c r="DT518" s="174">
        <v>0.0</v>
      </c>
      <c r="DU518" s="174">
        <v>1.0</v>
      </c>
      <c r="DV518" s="174">
        <v>0.0</v>
      </c>
      <c r="DW518" s="174">
        <v>0.0</v>
      </c>
      <c r="DX518" s="174">
        <v>1.0</v>
      </c>
      <c r="DY518" s="174">
        <v>0.0</v>
      </c>
      <c r="DZ518" s="174">
        <v>1.0</v>
      </c>
      <c r="EA518" s="174">
        <v>0.0</v>
      </c>
      <c r="EB518" s="174">
        <v>1.0</v>
      </c>
      <c r="EC518" s="174">
        <v>0.0</v>
      </c>
      <c r="ED518" s="174">
        <v>0.0</v>
      </c>
      <c r="EE518" s="174">
        <v>1.0</v>
      </c>
      <c r="EF518" s="174">
        <v>0.0</v>
      </c>
      <c r="EG518" s="156">
        <v>0.0</v>
      </c>
      <c r="EH518" s="156">
        <v>0.0</v>
      </c>
      <c r="EI518" s="156">
        <v>0.0</v>
      </c>
      <c r="EJ518" s="156">
        <v>0.0</v>
      </c>
      <c r="EK518" s="156">
        <v>0.0</v>
      </c>
      <c r="EL518" s="156">
        <v>0.0</v>
      </c>
      <c r="FQ518" s="156">
        <v>0.0</v>
      </c>
      <c r="FR518" s="156">
        <v>0.0</v>
      </c>
      <c r="FS518" s="156">
        <v>0.0</v>
      </c>
      <c r="FT518" s="156">
        <v>0.0</v>
      </c>
      <c r="FU518" s="156">
        <v>0.0</v>
      </c>
      <c r="FV518" s="156">
        <v>0.0</v>
      </c>
      <c r="FW518" s="157"/>
      <c r="FX518" s="157"/>
      <c r="FY518" s="157"/>
      <c r="FZ518" s="157"/>
      <c r="GA518" s="157"/>
      <c r="GB518" s="157"/>
      <c r="GC518" s="157"/>
      <c r="GD518" s="157"/>
      <c r="GE518" s="157"/>
      <c r="GF518" s="157"/>
      <c r="GG518" s="157"/>
      <c r="GH518" s="157"/>
      <c r="GI518" s="157"/>
      <c r="GJ518" s="157"/>
      <c r="GK518" s="157"/>
      <c r="GL518" s="157"/>
      <c r="GM518" s="157"/>
      <c r="GN518" s="157"/>
      <c r="GO518" s="157"/>
      <c r="GP518" s="158"/>
      <c r="GQ518" s="157"/>
      <c r="GR518" s="157"/>
      <c r="GS518" s="157"/>
      <c r="GT518" s="157"/>
      <c r="GU518" s="157"/>
      <c r="GV518" s="157"/>
      <c r="GW518" s="157"/>
      <c r="GX518" s="157"/>
      <c r="GY518" s="157"/>
      <c r="GZ518" s="157"/>
      <c r="HA518" s="157"/>
      <c r="HB518" s="155">
        <v>0.0</v>
      </c>
      <c r="HC518" s="155">
        <v>0.0</v>
      </c>
      <c r="HD518" s="155">
        <v>0.0</v>
      </c>
      <c r="HE518" s="155">
        <v>0.0</v>
      </c>
      <c r="HF518" s="155">
        <v>0.0</v>
      </c>
      <c r="HG518" s="155">
        <v>0.0</v>
      </c>
      <c r="IL518" s="159">
        <v>0.0</v>
      </c>
      <c r="IM518" s="156">
        <v>0.0</v>
      </c>
      <c r="IN518" s="156">
        <v>0.0</v>
      </c>
      <c r="IO518" s="156">
        <v>0.0</v>
      </c>
      <c r="IP518" s="156">
        <v>0.0</v>
      </c>
      <c r="IQ518" s="160">
        <v>0.0</v>
      </c>
      <c r="JH518" s="25"/>
      <c r="JW518" s="159">
        <v>0.0</v>
      </c>
      <c r="JX518" s="156">
        <v>0.0</v>
      </c>
      <c r="JY518" s="156">
        <v>0.0</v>
      </c>
      <c r="JZ518" s="156">
        <v>0.0</v>
      </c>
      <c r="KA518" s="156">
        <v>0.0</v>
      </c>
      <c r="KB518" s="160">
        <v>0.0</v>
      </c>
      <c r="LH518" s="159">
        <f t="shared" si="10"/>
        <v>0</v>
      </c>
      <c r="LI518" s="156">
        <f t="shared" si="11"/>
        <v>0</v>
      </c>
      <c r="LJ518" s="156">
        <f t="shared" si="12"/>
        <v>0</v>
      </c>
      <c r="LK518" s="156">
        <f t="shared" si="13"/>
        <v>0</v>
      </c>
      <c r="LL518" s="156">
        <f t="shared" si="14"/>
        <v>0</v>
      </c>
      <c r="LM518" s="160">
        <f t="shared" si="15"/>
        <v>0</v>
      </c>
      <c r="QX518" s="539">
        <v>46048.0</v>
      </c>
    </row>
    <row r="519">
      <c r="A519" s="12"/>
      <c r="B519" s="12"/>
      <c r="C519" s="12"/>
      <c r="D519" s="12"/>
      <c r="E519" s="12"/>
      <c r="F519" s="12"/>
      <c r="G519" s="12"/>
      <c r="H519" s="12"/>
      <c r="I519" s="143">
        <f t="shared" si="22"/>
        <v>-29</v>
      </c>
      <c r="J519" s="537">
        <v>46057.0</v>
      </c>
      <c r="K519" s="164" t="s">
        <v>61</v>
      </c>
      <c r="L519" s="537">
        <v>46183.0</v>
      </c>
      <c r="M519" s="86" t="s">
        <v>435</v>
      </c>
      <c r="N519" s="170">
        <v>246.0</v>
      </c>
      <c r="O519" s="148">
        <v>30.0</v>
      </c>
      <c r="U519" s="545" t="s">
        <v>3386</v>
      </c>
      <c r="V519" s="546" t="s">
        <v>3387</v>
      </c>
      <c r="W519" s="125" t="s">
        <v>3388</v>
      </c>
      <c r="X519" s="140"/>
      <c r="Y519" s="166">
        <f t="shared" si="23"/>
        <v>29</v>
      </c>
      <c r="Z519" s="26">
        <f t="shared" si="7"/>
        <v>0</v>
      </c>
      <c r="AA519" s="26">
        <f t="shared" si="8"/>
        <v>0</v>
      </c>
      <c r="AB519" s="26">
        <f t="shared" si="9"/>
        <v>0</v>
      </c>
      <c r="AC519" s="155">
        <v>0.0</v>
      </c>
      <c r="AD519" s="155">
        <v>0.0</v>
      </c>
      <c r="AE519" s="155">
        <v>0.0</v>
      </c>
      <c r="AF519" s="155">
        <v>0.0</v>
      </c>
      <c r="AG519" s="155">
        <v>0.0</v>
      </c>
      <c r="AH519" s="155">
        <v>0.0</v>
      </c>
      <c r="BN519" s="155">
        <v>7.0</v>
      </c>
      <c r="BO519" s="155">
        <v>0.0</v>
      </c>
      <c r="BP519" s="155">
        <v>0.0</v>
      </c>
      <c r="BQ519" s="155">
        <v>0.0</v>
      </c>
      <c r="BR519" s="155">
        <v>0.0</v>
      </c>
      <c r="BS519" s="155">
        <v>0.0</v>
      </c>
      <c r="BT519" s="167"/>
      <c r="BU519" s="167"/>
      <c r="BV519" s="167"/>
      <c r="BW519" s="167">
        <v>1.0</v>
      </c>
      <c r="BX519" s="167">
        <v>0.0</v>
      </c>
      <c r="BY519" s="167">
        <v>1.0</v>
      </c>
      <c r="BZ519" s="167">
        <v>0.0</v>
      </c>
      <c r="CA519" s="167">
        <v>0.0</v>
      </c>
      <c r="CB519" s="167">
        <v>1.0</v>
      </c>
      <c r="CC519" s="167">
        <v>0.0</v>
      </c>
      <c r="CD519" s="167"/>
      <c r="CE519" s="167">
        <v>0.0</v>
      </c>
      <c r="CF519" s="167">
        <v>1.0</v>
      </c>
      <c r="CG519" s="167"/>
      <c r="CH519" s="167"/>
      <c r="CI519" s="167"/>
      <c r="CJ519" s="167"/>
      <c r="CK519" s="167"/>
      <c r="CL519" s="167"/>
      <c r="CM519" s="167"/>
      <c r="CN519" s="167"/>
      <c r="CO519" s="167"/>
      <c r="CP519" s="167"/>
      <c r="CQ519" s="168">
        <v>1.0</v>
      </c>
      <c r="CR519" s="167"/>
      <c r="CS519" s="168">
        <v>1.0</v>
      </c>
      <c r="CT519" s="167">
        <v>1.0</v>
      </c>
      <c r="CU519" s="167">
        <v>0.0</v>
      </c>
      <c r="CV519" s="156">
        <v>3.0</v>
      </c>
      <c r="CW519" s="156">
        <v>0.0</v>
      </c>
      <c r="CX519" s="156">
        <v>0.0</v>
      </c>
      <c r="CY519" s="156">
        <v>0.0</v>
      </c>
      <c r="CZ519" s="156">
        <v>0.0</v>
      </c>
      <c r="DA519" s="156">
        <v>0.0</v>
      </c>
      <c r="DB519" s="174"/>
      <c r="DC519" s="174"/>
      <c r="DD519" s="175">
        <v>1.0</v>
      </c>
      <c r="DE519" s="174"/>
      <c r="DF519" s="174"/>
      <c r="DG519" s="174"/>
      <c r="DH519" s="174"/>
      <c r="DI519" s="174"/>
      <c r="DJ519" s="174">
        <v>1.0</v>
      </c>
      <c r="DK519" s="174">
        <v>0.0</v>
      </c>
      <c r="DL519" s="174">
        <v>1.0</v>
      </c>
      <c r="DM519" s="174"/>
      <c r="DN519" s="174"/>
      <c r="DO519" s="174"/>
      <c r="DP519" s="174"/>
      <c r="DQ519" s="174"/>
      <c r="DR519" s="174"/>
      <c r="DS519" s="174"/>
      <c r="DT519" s="174"/>
      <c r="DU519" s="174"/>
      <c r="DV519" s="174"/>
      <c r="DW519" s="174"/>
      <c r="DX519" s="174"/>
      <c r="DY519" s="174"/>
      <c r="DZ519" s="174"/>
      <c r="EA519" s="174"/>
      <c r="EB519" s="174"/>
      <c r="EC519" s="174"/>
      <c r="ED519" s="174"/>
      <c r="EE519" s="174"/>
      <c r="EF519" s="174"/>
      <c r="EG519" s="156">
        <v>8.0</v>
      </c>
      <c r="EH519" s="156">
        <v>0.0</v>
      </c>
      <c r="EI519" s="156">
        <v>0.0</v>
      </c>
      <c r="EJ519" s="156">
        <v>0.0</v>
      </c>
      <c r="EK519" s="156">
        <v>0.0</v>
      </c>
      <c r="EL519" s="156">
        <v>0.0</v>
      </c>
      <c r="EM519" s="174"/>
      <c r="EN519" s="174"/>
      <c r="EO519" s="174"/>
      <c r="EP519" s="174"/>
      <c r="EQ519" s="174"/>
      <c r="ER519" s="175">
        <v>1.0</v>
      </c>
      <c r="ES519" s="174"/>
      <c r="ET519" s="174">
        <v>1.0</v>
      </c>
      <c r="EU519" s="174">
        <v>0.0</v>
      </c>
      <c r="EV519" s="174">
        <v>1.0</v>
      </c>
      <c r="EW519" s="174">
        <v>0.0</v>
      </c>
      <c r="EX519" s="174">
        <v>0.0</v>
      </c>
      <c r="EY519" s="174">
        <v>1.0</v>
      </c>
      <c r="EZ519" s="174"/>
      <c r="FA519" s="174"/>
      <c r="FB519" s="174"/>
      <c r="FC519" s="174"/>
      <c r="FD519" s="175">
        <v>1.0</v>
      </c>
      <c r="FE519" s="174">
        <v>0.0</v>
      </c>
      <c r="FF519" s="174">
        <v>1.0</v>
      </c>
      <c r="FG519" s="174">
        <v>0.0</v>
      </c>
      <c r="FH519" s="174">
        <v>1.0</v>
      </c>
      <c r="FI519" s="174">
        <v>0.0</v>
      </c>
      <c r="FJ519" s="174"/>
      <c r="FK519" s="175">
        <v>1.0</v>
      </c>
      <c r="FL519" s="174"/>
      <c r="FM519" s="174"/>
      <c r="FN519" s="174"/>
      <c r="FO519" s="174"/>
      <c r="FP519" s="174"/>
      <c r="FQ519" s="156">
        <v>8.0</v>
      </c>
      <c r="FR519" s="156">
        <v>0.0</v>
      </c>
      <c r="FS519" s="156">
        <v>0.0</v>
      </c>
      <c r="FT519" s="156">
        <v>0.0</v>
      </c>
      <c r="FU519" s="156">
        <v>0.0</v>
      </c>
      <c r="FV519" s="156">
        <v>0.0</v>
      </c>
      <c r="FW519" s="174"/>
      <c r="FX519" s="174"/>
      <c r="FY519" s="174"/>
      <c r="FZ519" s="174">
        <v>1.0</v>
      </c>
      <c r="GA519" s="174">
        <v>0.0</v>
      </c>
      <c r="GB519" s="174">
        <v>1.0</v>
      </c>
      <c r="GC519" s="174">
        <v>0.0</v>
      </c>
      <c r="GD519" s="174"/>
      <c r="GE519" s="175">
        <v>1.0</v>
      </c>
      <c r="GF519" s="174">
        <v>0.0</v>
      </c>
      <c r="GG519" s="174">
        <v>1.0</v>
      </c>
      <c r="GH519" s="174"/>
      <c r="GI519" s="174"/>
      <c r="GJ519" s="174"/>
      <c r="GK519" s="174"/>
      <c r="GL519" s="174"/>
      <c r="GM519" s="174"/>
      <c r="GN519" s="174">
        <v>1.0</v>
      </c>
      <c r="GO519" s="174">
        <v>0.0</v>
      </c>
      <c r="GP519" s="176"/>
      <c r="GQ519" s="174">
        <v>0.0</v>
      </c>
      <c r="GR519" s="174"/>
      <c r="GS519" s="175">
        <v>1.0</v>
      </c>
      <c r="GT519" s="174">
        <v>0.0</v>
      </c>
      <c r="GU519" s="174">
        <v>1.0</v>
      </c>
      <c r="GV519" s="174"/>
      <c r="GW519" s="174"/>
      <c r="GX519" s="174"/>
      <c r="GY519" s="174"/>
      <c r="GZ519" s="175">
        <v>1.0</v>
      </c>
      <c r="HA519" s="174"/>
      <c r="HB519" s="155">
        <v>3.0</v>
      </c>
      <c r="HC519" s="155">
        <v>0.0</v>
      </c>
      <c r="HD519" s="155">
        <v>0.0</v>
      </c>
      <c r="HE519" s="155">
        <v>0.0</v>
      </c>
      <c r="HF519" s="155">
        <v>0.0</v>
      </c>
      <c r="HG519" s="155">
        <v>0.0</v>
      </c>
      <c r="HH519" s="174">
        <v>1.0</v>
      </c>
      <c r="HI519" s="174">
        <v>0.0</v>
      </c>
      <c r="HJ519" s="174">
        <v>1.0</v>
      </c>
      <c r="HK519" s="174">
        <v>0.0</v>
      </c>
      <c r="HL519" s="174"/>
      <c r="HM519" s="174">
        <v>0.0</v>
      </c>
      <c r="HN519" s="174">
        <v>0.0</v>
      </c>
      <c r="HO519" s="174"/>
      <c r="HP519" s="174">
        <v>0.0</v>
      </c>
      <c r="HQ519" s="174">
        <v>1.0</v>
      </c>
      <c r="HR519" s="174"/>
      <c r="HS519" s="174"/>
      <c r="HT519" s="174"/>
      <c r="HU519" s="174"/>
      <c r="HV519" s="174"/>
      <c r="HW519" s="174"/>
      <c r="HX519" s="174"/>
      <c r="HY519" s="174"/>
      <c r="HZ519" s="174"/>
      <c r="IA519" s="174"/>
      <c r="IB519" s="174"/>
      <c r="IC519" s="174"/>
      <c r="ID519" s="174"/>
      <c r="IE519" s="174"/>
      <c r="IF519" s="174"/>
      <c r="IG519" s="174"/>
      <c r="IH519" s="174"/>
      <c r="II519" s="174"/>
      <c r="IJ519" s="174"/>
      <c r="IK519" s="174"/>
      <c r="IL519" s="159">
        <v>0.0</v>
      </c>
      <c r="IM519" s="156">
        <v>0.0</v>
      </c>
      <c r="IN519" s="156">
        <v>0.0</v>
      </c>
      <c r="IO519" s="156">
        <v>0.0</v>
      </c>
      <c r="IP519" s="156">
        <v>0.0</v>
      </c>
      <c r="IQ519" s="160">
        <v>0.0</v>
      </c>
      <c r="IR519" s="174"/>
      <c r="IS519" s="174"/>
      <c r="IT519" s="174"/>
      <c r="IU519" s="174"/>
      <c r="IV519" s="174"/>
      <c r="IW519" s="174"/>
      <c r="IX519" s="174"/>
      <c r="IY519" s="174"/>
      <c r="IZ519" s="174"/>
      <c r="JA519" s="174"/>
      <c r="JB519" s="174"/>
      <c r="JC519" s="174"/>
      <c r="JD519" s="174"/>
      <c r="JE519" s="174"/>
      <c r="JF519" s="174"/>
      <c r="JG519" s="174"/>
      <c r="JH519" s="177"/>
      <c r="JI519" s="174"/>
      <c r="JJ519" s="174"/>
      <c r="JK519" s="174"/>
      <c r="JL519" s="174"/>
      <c r="JM519" s="174"/>
      <c r="JN519" s="174"/>
      <c r="JO519" s="174"/>
      <c r="JP519" s="174"/>
      <c r="JQ519" s="174"/>
      <c r="JR519" s="174"/>
      <c r="JS519" s="174"/>
      <c r="JT519" s="174"/>
      <c r="JU519" s="174"/>
      <c r="JV519" s="174"/>
      <c r="JW519" s="159">
        <v>0.0</v>
      </c>
      <c r="JX519" s="156">
        <v>0.0</v>
      </c>
      <c r="JY519" s="156">
        <v>0.0</v>
      </c>
      <c r="JZ519" s="156">
        <v>0.0</v>
      </c>
      <c r="KA519" s="156">
        <v>0.0</v>
      </c>
      <c r="KB519" s="160">
        <v>0.0</v>
      </c>
      <c r="LH519" s="159">
        <f t="shared" si="10"/>
        <v>0</v>
      </c>
      <c r="LI519" s="156">
        <f t="shared" si="11"/>
        <v>0</v>
      </c>
      <c r="LJ519" s="156">
        <f t="shared" si="12"/>
        <v>0</v>
      </c>
      <c r="LK519" s="156">
        <f t="shared" si="13"/>
        <v>0</v>
      </c>
      <c r="LL519" s="156">
        <f t="shared" si="14"/>
        <v>0</v>
      </c>
      <c r="LM519" s="160">
        <f t="shared" si="15"/>
        <v>0</v>
      </c>
      <c r="QX519" s="539">
        <v>46049.0</v>
      </c>
    </row>
    <row r="520">
      <c r="A520" s="12"/>
      <c r="B520" s="12"/>
      <c r="C520" s="12"/>
      <c r="D520" s="12"/>
      <c r="E520" s="12"/>
      <c r="F520" s="12"/>
      <c r="G520" s="12"/>
      <c r="H520" s="12"/>
      <c r="I520" s="143">
        <f t="shared" si="22"/>
        <v>-30</v>
      </c>
      <c r="J520" s="537">
        <v>46055.0</v>
      </c>
      <c r="K520" s="164" t="s">
        <v>61</v>
      </c>
      <c r="L520" s="23">
        <v>46150.0</v>
      </c>
      <c r="M520" s="86" t="s">
        <v>435</v>
      </c>
      <c r="N520" s="170">
        <v>246.0</v>
      </c>
      <c r="O520" s="148">
        <v>30.0</v>
      </c>
      <c r="U520" s="162" t="s">
        <v>3389</v>
      </c>
      <c r="V520" s="538" t="s">
        <v>581</v>
      </c>
      <c r="W520" s="125" t="s">
        <v>3390</v>
      </c>
      <c r="X520" s="140"/>
      <c r="Y520" s="166">
        <f t="shared" si="23"/>
        <v>30</v>
      </c>
      <c r="Z520" s="26">
        <f t="shared" si="7"/>
        <v>0</v>
      </c>
      <c r="AA520" s="26">
        <f t="shared" si="8"/>
        <v>0</v>
      </c>
      <c r="AB520" s="26">
        <f t="shared" si="9"/>
        <v>0</v>
      </c>
      <c r="AC520" s="155">
        <v>0.0</v>
      </c>
      <c r="AD520" s="155">
        <v>0.0</v>
      </c>
      <c r="AE520" s="155">
        <v>0.0</v>
      </c>
      <c r="AF520" s="155">
        <v>0.0</v>
      </c>
      <c r="AG520" s="155">
        <v>0.0</v>
      </c>
      <c r="AH520" s="155">
        <v>0.0</v>
      </c>
      <c r="BN520" s="155">
        <v>8.0</v>
      </c>
      <c r="BO520" s="155">
        <v>0.0</v>
      </c>
      <c r="BP520" s="155">
        <v>0.0</v>
      </c>
      <c r="BQ520" s="155">
        <v>0.0</v>
      </c>
      <c r="BR520" s="155">
        <v>0.0</v>
      </c>
      <c r="BS520" s="155">
        <v>0.0</v>
      </c>
      <c r="BT520" s="167">
        <v>0.0</v>
      </c>
      <c r="BU520" s="167">
        <v>1.0</v>
      </c>
      <c r="BV520" s="167">
        <v>0.0</v>
      </c>
      <c r="BW520" s="167">
        <v>1.0</v>
      </c>
      <c r="BX520" s="167">
        <v>0.0</v>
      </c>
      <c r="BY520" s="167">
        <v>1.0</v>
      </c>
      <c r="BZ520" s="167">
        <v>0.0</v>
      </c>
      <c r="CA520" s="167">
        <v>0.0</v>
      </c>
      <c r="CB520" s="167">
        <v>1.0</v>
      </c>
      <c r="CC520" s="167">
        <v>0.0</v>
      </c>
      <c r="CD520" s="167"/>
      <c r="CE520" s="167">
        <v>0.0</v>
      </c>
      <c r="CF520" s="167">
        <v>1.0</v>
      </c>
      <c r="CG520" s="167"/>
      <c r="CH520" s="167"/>
      <c r="CI520" s="167"/>
      <c r="CJ520" s="167"/>
      <c r="CK520" s="167"/>
      <c r="CL520" s="167"/>
      <c r="CM520" s="167"/>
      <c r="CN520" s="167"/>
      <c r="CO520" s="167"/>
      <c r="CP520" s="167">
        <v>1.0</v>
      </c>
      <c r="CQ520" s="167">
        <v>0.0</v>
      </c>
      <c r="CR520" s="167">
        <v>1.0</v>
      </c>
      <c r="CS520" s="167">
        <v>0.0</v>
      </c>
      <c r="CT520" s="167">
        <v>1.0</v>
      </c>
      <c r="CU520" s="167">
        <v>0.0</v>
      </c>
      <c r="CV520" s="156">
        <v>10.0</v>
      </c>
      <c r="CW520" s="156">
        <v>0.0</v>
      </c>
      <c r="CX520" s="156">
        <v>0.0</v>
      </c>
      <c r="CY520" s="156">
        <v>0.0</v>
      </c>
      <c r="CZ520" s="156">
        <v>0.0</v>
      </c>
      <c r="DA520" s="156">
        <v>0.0</v>
      </c>
      <c r="DB520" s="174">
        <v>0.0</v>
      </c>
      <c r="DC520" s="174">
        <v>1.0</v>
      </c>
      <c r="DD520" s="174">
        <v>0.0</v>
      </c>
      <c r="DE520" s="174">
        <v>1.0</v>
      </c>
      <c r="DF520" s="174">
        <v>0.0</v>
      </c>
      <c r="DG520" s="174">
        <v>1.0</v>
      </c>
      <c r="DH520" s="174">
        <v>0.0</v>
      </c>
      <c r="DI520" s="174">
        <v>0.0</v>
      </c>
      <c r="DJ520" s="174">
        <v>1.0</v>
      </c>
      <c r="DK520" s="174">
        <v>0.0</v>
      </c>
      <c r="DL520" s="174">
        <v>1.0</v>
      </c>
      <c r="DM520" s="174">
        <v>0.0</v>
      </c>
      <c r="DN520" s="174">
        <v>1.0</v>
      </c>
      <c r="DO520" s="174">
        <v>0.0</v>
      </c>
      <c r="DP520" s="174">
        <v>0.0</v>
      </c>
      <c r="DQ520" s="174">
        <v>1.0</v>
      </c>
      <c r="DR520" s="174">
        <v>0.0</v>
      </c>
      <c r="DS520" s="174"/>
      <c r="DT520" s="174">
        <v>0.0</v>
      </c>
      <c r="DU520" s="174">
        <v>1.0</v>
      </c>
      <c r="DV520" s="174">
        <v>0.0</v>
      </c>
      <c r="DW520" s="174">
        <v>0.0</v>
      </c>
      <c r="DX520" s="174"/>
      <c r="DY520" s="174">
        <v>0.0</v>
      </c>
      <c r="DZ520" s="174">
        <v>1.0</v>
      </c>
      <c r="EA520" s="174"/>
      <c r="EB520" s="174"/>
      <c r="EC520" s="174"/>
      <c r="ED520" s="174"/>
      <c r="EE520" s="174">
        <v>1.0</v>
      </c>
      <c r="EF520" s="174">
        <v>0.0</v>
      </c>
      <c r="EG520" s="156">
        <v>11.0</v>
      </c>
      <c r="EH520" s="156">
        <v>0.0</v>
      </c>
      <c r="EI520" s="156">
        <v>0.0</v>
      </c>
      <c r="EJ520" s="156">
        <v>0.0</v>
      </c>
      <c r="EK520" s="156">
        <v>0.0</v>
      </c>
      <c r="EL520" s="156">
        <v>0.0</v>
      </c>
      <c r="EM520" s="174">
        <v>1.0</v>
      </c>
      <c r="EN520" s="174">
        <v>0.0</v>
      </c>
      <c r="EO520" s="174">
        <v>1.0</v>
      </c>
      <c r="EP520" s="174">
        <v>0.0</v>
      </c>
      <c r="EQ520" s="174">
        <v>0.0</v>
      </c>
      <c r="ER520" s="174">
        <v>1.0</v>
      </c>
      <c r="ES520" s="174">
        <v>0.0</v>
      </c>
      <c r="ET520" s="174">
        <v>1.0</v>
      </c>
      <c r="EU520" s="174">
        <v>0.0</v>
      </c>
      <c r="EV520" s="174">
        <v>1.0</v>
      </c>
      <c r="EW520" s="174">
        <v>0.0</v>
      </c>
      <c r="EX520" s="174">
        <v>0.0</v>
      </c>
      <c r="EY520" s="174">
        <v>1.0</v>
      </c>
      <c r="EZ520" s="174">
        <v>0.0</v>
      </c>
      <c r="FA520" s="174">
        <v>1.0</v>
      </c>
      <c r="FB520" s="174">
        <v>0.0</v>
      </c>
      <c r="FC520" s="174"/>
      <c r="FD520" s="174">
        <v>0.0</v>
      </c>
      <c r="FE520" s="174">
        <v>0.0</v>
      </c>
      <c r="FF520" s="174">
        <v>1.0</v>
      </c>
      <c r="FG520" s="174">
        <v>0.0</v>
      </c>
      <c r="FH520" s="174">
        <v>1.0</v>
      </c>
      <c r="FI520" s="174">
        <v>0.0</v>
      </c>
      <c r="FJ520" s="174">
        <v>1.0</v>
      </c>
      <c r="FK520" s="174"/>
      <c r="FL520" s="174"/>
      <c r="FM520" s="174"/>
      <c r="FN520" s="174"/>
      <c r="FO520" s="174">
        <v>1.0</v>
      </c>
      <c r="FP520" s="174">
        <v>0.0</v>
      </c>
      <c r="FQ520" s="156">
        <v>1.0</v>
      </c>
      <c r="FR520" s="156">
        <v>0.0</v>
      </c>
      <c r="FS520" s="156">
        <v>0.0</v>
      </c>
      <c r="FT520" s="156">
        <v>0.0</v>
      </c>
      <c r="FU520" s="156">
        <v>0.0</v>
      </c>
      <c r="FV520" s="156">
        <v>0.0</v>
      </c>
      <c r="FW520" s="174"/>
      <c r="FX520" s="174"/>
      <c r="FY520" s="174"/>
      <c r="FZ520" s="174"/>
      <c r="GA520" s="174"/>
      <c r="GB520" s="175">
        <v>1.0</v>
      </c>
      <c r="GC520" s="174"/>
      <c r="GD520" s="174"/>
      <c r="GE520" s="174"/>
      <c r="GF520" s="174"/>
      <c r="GG520" s="174"/>
      <c r="GH520" s="174"/>
      <c r="GI520" s="174"/>
      <c r="GJ520" s="174"/>
      <c r="GK520" s="174"/>
      <c r="GL520" s="174"/>
      <c r="GM520" s="174"/>
      <c r="GN520" s="174"/>
      <c r="GO520" s="174"/>
      <c r="GP520" s="177"/>
      <c r="GQ520" s="174"/>
      <c r="GR520" s="174"/>
      <c r="GS520" s="174"/>
      <c r="GT520" s="174"/>
      <c r="GU520" s="174"/>
      <c r="GV520" s="174"/>
      <c r="GW520" s="174"/>
      <c r="GX520" s="174"/>
      <c r="GY520" s="174"/>
      <c r="GZ520" s="174"/>
      <c r="HA520" s="174"/>
      <c r="HB520" s="155">
        <v>0.0</v>
      </c>
      <c r="HC520" s="155">
        <v>0.0</v>
      </c>
      <c r="HD520" s="155">
        <v>0.0</v>
      </c>
      <c r="HE520" s="155">
        <v>0.0</v>
      </c>
      <c r="HF520" s="155">
        <v>0.0</v>
      </c>
      <c r="HG520" s="155">
        <v>0.0</v>
      </c>
      <c r="HH520" s="174"/>
      <c r="HI520" s="174"/>
      <c r="HJ520" s="174"/>
      <c r="HK520" s="174"/>
      <c r="HL520" s="174"/>
      <c r="HM520" s="174"/>
      <c r="HN520" s="174"/>
      <c r="HO520" s="174"/>
      <c r="HP520" s="174"/>
      <c r="HQ520" s="174"/>
      <c r="HR520" s="174"/>
      <c r="HS520" s="174"/>
      <c r="HT520" s="174"/>
      <c r="HU520" s="174"/>
      <c r="HV520" s="174"/>
      <c r="HW520" s="174"/>
      <c r="HX520" s="174"/>
      <c r="HY520" s="174"/>
      <c r="HZ520" s="174"/>
      <c r="IA520" s="174"/>
      <c r="IB520" s="174"/>
      <c r="IC520" s="174"/>
      <c r="ID520" s="174"/>
      <c r="IE520" s="174"/>
      <c r="IF520" s="174"/>
      <c r="IG520" s="174"/>
      <c r="IH520" s="174"/>
      <c r="II520" s="174"/>
      <c r="IJ520" s="174"/>
      <c r="IK520" s="174"/>
      <c r="IL520" s="159">
        <v>0.0</v>
      </c>
      <c r="IM520" s="156">
        <v>0.0</v>
      </c>
      <c r="IN520" s="156">
        <v>0.0</v>
      </c>
      <c r="IO520" s="156">
        <v>0.0</v>
      </c>
      <c r="IP520" s="156">
        <v>0.0</v>
      </c>
      <c r="IQ520" s="160">
        <v>0.0</v>
      </c>
      <c r="JH520" s="25"/>
      <c r="JW520" s="159">
        <v>0.0</v>
      </c>
      <c r="JX520" s="156">
        <v>0.0</v>
      </c>
      <c r="JY520" s="156">
        <v>0.0</v>
      </c>
      <c r="JZ520" s="156">
        <v>0.0</v>
      </c>
      <c r="KA520" s="156">
        <v>0.0</v>
      </c>
      <c r="KB520" s="160">
        <v>0.0</v>
      </c>
      <c r="LH520" s="159">
        <f t="shared" si="10"/>
        <v>0</v>
      </c>
      <c r="LI520" s="156">
        <f t="shared" si="11"/>
        <v>0</v>
      </c>
      <c r="LJ520" s="156">
        <f t="shared" si="12"/>
        <v>0</v>
      </c>
      <c r="LK520" s="156">
        <f t="shared" si="13"/>
        <v>0</v>
      </c>
      <c r="LL520" s="156">
        <f t="shared" si="14"/>
        <v>0</v>
      </c>
      <c r="LM520" s="160">
        <f t="shared" si="15"/>
        <v>0</v>
      </c>
      <c r="QX520" s="539">
        <v>46050.0</v>
      </c>
    </row>
    <row r="521">
      <c r="A521" s="25"/>
      <c r="B521" s="25"/>
      <c r="C521" s="25"/>
      <c r="D521" s="12"/>
      <c r="E521" s="12"/>
      <c r="F521" s="12"/>
      <c r="G521" s="12"/>
      <c r="H521" s="12"/>
      <c r="I521" s="143">
        <f t="shared" si="22"/>
        <v>-73</v>
      </c>
      <c r="J521" s="537">
        <v>46059.0</v>
      </c>
      <c r="K521" s="184" t="s">
        <v>48</v>
      </c>
      <c r="L521" s="547"/>
      <c r="M521" s="86" t="s">
        <v>348</v>
      </c>
      <c r="N521" s="170">
        <v>246.0</v>
      </c>
      <c r="O521" s="148">
        <v>30.0</v>
      </c>
      <c r="U521" s="162" t="s">
        <v>3391</v>
      </c>
      <c r="V521" s="538" t="s">
        <v>3392</v>
      </c>
      <c r="W521" s="185" t="s">
        <v>3393</v>
      </c>
      <c r="X521" s="140"/>
      <c r="Y521" s="166">
        <f t="shared" si="23"/>
        <v>73</v>
      </c>
      <c r="Z521" s="26">
        <f t="shared" si="7"/>
        <v>0</v>
      </c>
      <c r="AA521" s="26">
        <f t="shared" si="8"/>
        <v>0</v>
      </c>
      <c r="AB521" s="26">
        <f t="shared" si="9"/>
        <v>0</v>
      </c>
      <c r="AC521" s="155">
        <v>0.0</v>
      </c>
      <c r="AD521" s="155">
        <v>0.0</v>
      </c>
      <c r="AE521" s="155">
        <v>0.0</v>
      </c>
      <c r="AF521" s="155">
        <v>0.0</v>
      </c>
      <c r="AG521" s="155">
        <v>0.0</v>
      </c>
      <c r="AH521" s="155">
        <v>0.0</v>
      </c>
      <c r="BN521" s="155">
        <v>7.0</v>
      </c>
      <c r="BO521" s="155">
        <v>0.0</v>
      </c>
      <c r="BP521" s="155">
        <v>0.0</v>
      </c>
      <c r="BQ521" s="155">
        <v>0.0</v>
      </c>
      <c r="BR521" s="155">
        <v>0.0</v>
      </c>
      <c r="BS521" s="155">
        <v>0.0</v>
      </c>
      <c r="BY521" s="167">
        <v>1.0</v>
      </c>
      <c r="BZ521" s="167"/>
      <c r="CA521" s="167"/>
      <c r="CB521" s="168">
        <v>1.0</v>
      </c>
      <c r="CC521" s="167"/>
      <c r="CD521" s="167">
        <v>1.0</v>
      </c>
      <c r="CE521" s="167">
        <v>0.0</v>
      </c>
      <c r="CF521" s="167">
        <v>1.0</v>
      </c>
      <c r="CG521" s="167"/>
      <c r="CH521" s="167"/>
      <c r="CI521" s="167"/>
      <c r="CJ521" s="167"/>
      <c r="CK521" s="167"/>
      <c r="CL521" s="167"/>
      <c r="CM521" s="167"/>
      <c r="CN521" s="167"/>
      <c r="CO521" s="167"/>
      <c r="CP521" s="167">
        <v>1.0</v>
      </c>
      <c r="CQ521" s="167">
        <v>0.0</v>
      </c>
      <c r="CR521" s="167">
        <v>1.0</v>
      </c>
      <c r="CS521" s="167">
        <v>0.0</v>
      </c>
      <c r="CT521" s="167">
        <v>1.0</v>
      </c>
      <c r="CU521" s="167">
        <v>0.0</v>
      </c>
      <c r="CV521" s="156">
        <v>13.0</v>
      </c>
      <c r="CW521" s="156">
        <v>0.0</v>
      </c>
      <c r="CX521" s="156">
        <v>0.0</v>
      </c>
      <c r="CY521" s="156">
        <v>0.0</v>
      </c>
      <c r="CZ521" s="156">
        <v>0.0</v>
      </c>
      <c r="DA521" s="156">
        <v>0.0</v>
      </c>
      <c r="DB521" s="174">
        <v>0.0</v>
      </c>
      <c r="DC521" s="174">
        <v>1.0</v>
      </c>
      <c r="DD521" s="174">
        <v>0.0</v>
      </c>
      <c r="DE521" s="174">
        <v>1.0</v>
      </c>
      <c r="DF521" s="174">
        <v>0.0</v>
      </c>
      <c r="DG521" s="174">
        <v>1.0</v>
      </c>
      <c r="DH521" s="174">
        <v>0.0</v>
      </c>
      <c r="DI521" s="174">
        <v>0.0</v>
      </c>
      <c r="DJ521" s="174">
        <v>1.0</v>
      </c>
      <c r="DK521" s="174">
        <v>0.0</v>
      </c>
      <c r="DL521" s="174">
        <v>1.0</v>
      </c>
      <c r="DM521" s="174">
        <v>0.0</v>
      </c>
      <c r="DN521" s="174">
        <v>1.0</v>
      </c>
      <c r="DO521" s="174">
        <v>0.0</v>
      </c>
      <c r="DP521" s="174">
        <v>0.0</v>
      </c>
      <c r="DQ521" s="174">
        <v>1.0</v>
      </c>
      <c r="DR521" s="174">
        <v>0.0</v>
      </c>
      <c r="DS521" s="174">
        <v>1.0</v>
      </c>
      <c r="DT521" s="174">
        <v>0.0</v>
      </c>
      <c r="DU521" s="174">
        <v>1.0</v>
      </c>
      <c r="DV521" s="174">
        <v>0.0</v>
      </c>
      <c r="DW521" s="174">
        <v>0.0</v>
      </c>
      <c r="DX521" s="174">
        <v>1.0</v>
      </c>
      <c r="DY521" s="174">
        <v>0.0</v>
      </c>
      <c r="DZ521" s="174">
        <v>1.0</v>
      </c>
      <c r="EA521" s="174">
        <v>0.0</v>
      </c>
      <c r="EB521" s="174">
        <v>1.0</v>
      </c>
      <c r="EC521" s="174">
        <v>0.0</v>
      </c>
      <c r="ED521" s="174">
        <v>0.0</v>
      </c>
      <c r="EE521" s="174">
        <v>1.0</v>
      </c>
      <c r="EF521" s="174">
        <v>0.0</v>
      </c>
      <c r="EG521" s="156">
        <v>9.0</v>
      </c>
      <c r="EH521" s="156">
        <v>0.0</v>
      </c>
      <c r="EI521" s="156">
        <v>0.0</v>
      </c>
      <c r="EJ521" s="156">
        <v>0.0</v>
      </c>
      <c r="EK521" s="156">
        <v>0.0</v>
      </c>
      <c r="EL521" s="156">
        <v>0.0</v>
      </c>
      <c r="EM521" s="174">
        <v>1.0</v>
      </c>
      <c r="EN521" s="174">
        <v>0.0</v>
      </c>
      <c r="EO521" s="174">
        <v>1.0</v>
      </c>
      <c r="EP521" s="174"/>
      <c r="EQ521" s="174"/>
      <c r="ER521" s="175">
        <v>1.0</v>
      </c>
      <c r="ES521" s="174"/>
      <c r="ET521" s="174">
        <v>1.0</v>
      </c>
      <c r="EU521" s="174">
        <v>0.0</v>
      </c>
      <c r="EV521" s="174">
        <v>1.0</v>
      </c>
      <c r="EW521" s="174">
        <v>0.0</v>
      </c>
      <c r="EX521" s="174">
        <v>0.0</v>
      </c>
      <c r="EY521" s="174">
        <v>1.0</v>
      </c>
      <c r="EZ521" s="174">
        <v>0.0</v>
      </c>
      <c r="FA521" s="174">
        <v>1.0</v>
      </c>
      <c r="FB521" s="174"/>
      <c r="FC521" s="174"/>
      <c r="FD521" s="174"/>
      <c r="FE521" s="174"/>
      <c r="FF521" s="174">
        <v>1.0</v>
      </c>
      <c r="FG521" s="174"/>
      <c r="FH521" s="174"/>
      <c r="FI521" s="174"/>
      <c r="FJ521" s="174"/>
      <c r="FK521" s="174"/>
      <c r="FL521" s="174"/>
      <c r="FM521" s="174"/>
      <c r="FN521" s="174"/>
      <c r="FO521" s="174">
        <v>1.0</v>
      </c>
      <c r="FP521" s="174">
        <v>0.0</v>
      </c>
      <c r="FQ521" s="156">
        <v>11.0</v>
      </c>
      <c r="FR521" s="156">
        <v>0.0</v>
      </c>
      <c r="FS521" s="156">
        <v>0.0</v>
      </c>
      <c r="FT521" s="156">
        <v>0.0</v>
      </c>
      <c r="FU521" s="156">
        <v>0.0</v>
      </c>
      <c r="FV521" s="156">
        <v>0.0</v>
      </c>
      <c r="FW521" s="174"/>
      <c r="FX521" s="174"/>
      <c r="FY521" s="174"/>
      <c r="FZ521" s="174">
        <v>1.0</v>
      </c>
      <c r="GA521" s="175">
        <v>1.0</v>
      </c>
      <c r="GB521" s="174"/>
      <c r="GC521" s="174">
        <v>0.0</v>
      </c>
      <c r="GD521" s="174">
        <v>1.0</v>
      </c>
      <c r="GE521" s="174"/>
      <c r="GF521" s="174"/>
      <c r="GG521" s="174"/>
      <c r="GH521" s="174"/>
      <c r="GI521" s="174">
        <v>1.0</v>
      </c>
      <c r="GJ521" s="174">
        <v>0.0</v>
      </c>
      <c r="GK521" s="174">
        <v>1.0</v>
      </c>
      <c r="GL521" s="174">
        <v>0.0</v>
      </c>
      <c r="GM521" s="174">
        <v>0.0</v>
      </c>
      <c r="GN521" s="174">
        <v>1.0</v>
      </c>
      <c r="GO521" s="174">
        <v>0.0</v>
      </c>
      <c r="GP521" s="176">
        <v>1.0</v>
      </c>
      <c r="GQ521" s="174">
        <v>0.0</v>
      </c>
      <c r="GR521" s="174">
        <v>1.0</v>
      </c>
      <c r="GS521" s="174">
        <v>0.0</v>
      </c>
      <c r="GT521" s="174">
        <v>0.0</v>
      </c>
      <c r="GU521" s="174">
        <v>1.0</v>
      </c>
      <c r="GV521" s="174">
        <v>0.0</v>
      </c>
      <c r="GW521" s="174">
        <v>1.0</v>
      </c>
      <c r="GX521" s="174"/>
      <c r="GY521" s="175">
        <v>1.0</v>
      </c>
      <c r="GZ521" s="174"/>
      <c r="HA521" s="174"/>
      <c r="HB521" s="155">
        <v>10.0</v>
      </c>
      <c r="HC521" s="155">
        <v>0.0</v>
      </c>
      <c r="HD521" s="155">
        <v>0.0</v>
      </c>
      <c r="HE521" s="155">
        <v>0.0</v>
      </c>
      <c r="HF521" s="155">
        <v>0.0</v>
      </c>
      <c r="HG521" s="155">
        <v>0.0</v>
      </c>
      <c r="HH521" s="174"/>
      <c r="HI521" s="174">
        <v>0.0</v>
      </c>
      <c r="HJ521" s="174">
        <v>1.0</v>
      </c>
      <c r="HK521" s="174">
        <v>0.0</v>
      </c>
      <c r="HL521" s="174">
        <v>1.0</v>
      </c>
      <c r="HM521" s="174">
        <v>0.0</v>
      </c>
      <c r="HN521" s="174">
        <v>0.0</v>
      </c>
      <c r="HO521" s="174">
        <v>1.0</v>
      </c>
      <c r="HP521" s="174">
        <v>0.0</v>
      </c>
      <c r="HQ521" s="174">
        <v>1.0</v>
      </c>
      <c r="HR521" s="174">
        <v>0.0</v>
      </c>
      <c r="HS521" s="174">
        <v>1.0</v>
      </c>
      <c r="HT521" s="174">
        <v>0.0</v>
      </c>
      <c r="HU521" s="174">
        <v>0.0</v>
      </c>
      <c r="HV521" s="174"/>
      <c r="HW521" s="174">
        <v>0.0</v>
      </c>
      <c r="HX521" s="174">
        <v>1.0</v>
      </c>
      <c r="HY521" s="174">
        <v>0.0</v>
      </c>
      <c r="HZ521" s="174">
        <v>1.0</v>
      </c>
      <c r="IA521" s="174">
        <v>0.0</v>
      </c>
      <c r="IB521" s="174">
        <v>0.0</v>
      </c>
      <c r="IC521" s="174"/>
      <c r="ID521" s="175">
        <v>1.0</v>
      </c>
      <c r="IE521" s="174">
        <v>1.0</v>
      </c>
      <c r="IF521" s="174">
        <v>0.0</v>
      </c>
      <c r="IG521" s="174"/>
      <c r="IH521" s="174">
        <v>0.0</v>
      </c>
      <c r="II521" s="174">
        <v>0.0</v>
      </c>
      <c r="IJ521" s="174">
        <v>1.0</v>
      </c>
      <c r="IK521" s="174">
        <v>0.0</v>
      </c>
      <c r="IL521" s="159">
        <v>12.0</v>
      </c>
      <c r="IM521" s="156">
        <v>0.0</v>
      </c>
      <c r="IN521" s="156">
        <v>0.0</v>
      </c>
      <c r="IO521" s="156">
        <v>0.0</v>
      </c>
      <c r="IP521" s="156">
        <v>0.0</v>
      </c>
      <c r="IQ521" s="160">
        <v>0.0</v>
      </c>
      <c r="IR521" s="175">
        <v>1.0</v>
      </c>
      <c r="IS521" s="174">
        <v>0.0</v>
      </c>
      <c r="IT521" s="175">
        <v>1.0</v>
      </c>
      <c r="IU521" s="174">
        <v>0.0</v>
      </c>
      <c r="IV521" s="174">
        <v>0.0</v>
      </c>
      <c r="IW521" s="175">
        <v>1.0</v>
      </c>
      <c r="IX521" s="174">
        <v>0.0</v>
      </c>
      <c r="IY521" s="174">
        <v>1.0</v>
      </c>
      <c r="IZ521" s="174">
        <v>0.0</v>
      </c>
      <c r="JA521" s="174">
        <v>1.0</v>
      </c>
      <c r="JB521" s="174">
        <v>0.0</v>
      </c>
      <c r="JC521" s="174">
        <v>0.0</v>
      </c>
      <c r="JD521" s="175">
        <v>1.0</v>
      </c>
      <c r="JE521" s="174">
        <v>0.0</v>
      </c>
      <c r="JF521" s="174">
        <v>1.0</v>
      </c>
      <c r="JG521" s="174">
        <v>0.0</v>
      </c>
      <c r="JH521" s="177">
        <v>1.0</v>
      </c>
      <c r="JI521" s="174"/>
      <c r="JJ521" s="174"/>
      <c r="JK521" s="175">
        <v>1.0</v>
      </c>
      <c r="JL521" s="174"/>
      <c r="JM521" s="175">
        <v>1.0</v>
      </c>
      <c r="JN521" s="174"/>
      <c r="JO521" s="174"/>
      <c r="JP521" s="174"/>
      <c r="JQ521" s="174"/>
      <c r="JR521" s="175">
        <v>1.0</v>
      </c>
      <c r="JS521" s="174"/>
      <c r="JT521" s="175">
        <v>1.0</v>
      </c>
      <c r="JU521" s="174"/>
      <c r="JV521" s="174"/>
      <c r="JW521" s="159">
        <v>9.0</v>
      </c>
      <c r="JX521" s="156">
        <v>0.0</v>
      </c>
      <c r="JY521" s="156">
        <v>0.0</v>
      </c>
      <c r="JZ521" s="156">
        <v>0.0</v>
      </c>
      <c r="KA521" s="156">
        <v>0.0</v>
      </c>
      <c r="KB521" s="160">
        <v>0.0</v>
      </c>
      <c r="KC521" s="174"/>
      <c r="KD521" s="174"/>
      <c r="KE521" s="175">
        <v>1.0</v>
      </c>
      <c r="KF521" s="174"/>
      <c r="KG521" s="175">
        <v>1.0</v>
      </c>
      <c r="KH521" s="174"/>
      <c r="KI521" s="174"/>
      <c r="KJ521" s="174"/>
      <c r="KK521" s="174"/>
      <c r="KL521" s="175">
        <v>1.0</v>
      </c>
      <c r="KM521" s="174"/>
      <c r="KN521" s="175">
        <v>1.0</v>
      </c>
      <c r="KO521" s="174"/>
      <c r="KP521" s="175">
        <v>1.0</v>
      </c>
      <c r="KQ521" s="174"/>
      <c r="KR521" s="174"/>
      <c r="KS521" s="186">
        <v>1.0</v>
      </c>
      <c r="KT521" s="174"/>
      <c r="KU521" s="174"/>
      <c r="KV521" s="174"/>
      <c r="KW521" s="175">
        <v>1.0</v>
      </c>
      <c r="KX521" s="174"/>
      <c r="KY521" s="174"/>
      <c r="KZ521" s="175">
        <v>1.0</v>
      </c>
      <c r="LA521" s="174"/>
      <c r="LB521" s="174"/>
      <c r="LC521" s="174"/>
      <c r="LD521" s="175">
        <v>1.0</v>
      </c>
      <c r="LE521" s="174"/>
      <c r="LF521" s="174"/>
      <c r="LG521" s="174"/>
      <c r="LH521" s="159">
        <f t="shared" si="10"/>
        <v>2</v>
      </c>
      <c r="LI521" s="156">
        <f t="shared" si="11"/>
        <v>0</v>
      </c>
      <c r="LJ521" s="156">
        <f t="shared" si="12"/>
        <v>0</v>
      </c>
      <c r="LK521" s="156">
        <f t="shared" si="13"/>
        <v>0</v>
      </c>
      <c r="LL521" s="156">
        <f t="shared" si="14"/>
        <v>0</v>
      </c>
      <c r="LM521" s="160">
        <f t="shared" si="15"/>
        <v>0</v>
      </c>
      <c r="LN521" s="174"/>
      <c r="LO521" s="174"/>
      <c r="LP521" s="174"/>
      <c r="LQ521" s="187">
        <v>1.0</v>
      </c>
      <c r="LR521" s="174"/>
      <c r="LS521" s="174"/>
      <c r="LT521" s="187">
        <v>1.0</v>
      </c>
      <c r="LU521" s="174"/>
      <c r="LV521" s="174"/>
      <c r="LW521" s="174"/>
      <c r="LX521" s="174"/>
      <c r="LY521" s="174"/>
      <c r="LZ521" s="174"/>
      <c r="MA521" s="174"/>
      <c r="MB521" s="174"/>
      <c r="MC521" s="174"/>
      <c r="MD521" s="174">
        <f t="shared" ref="MD521:MQ521" si="30">IFS(TODAY()&lt;=MD$2,0,WEEKDAY(MD$2)=2,1,WEEKDAY(MD$2)=3,0,WEEKDAY(MD$2)=4,1,WEEKDAY(MD$2)=5,0,WEEKDAY(MD$2)=6,1,WEEKDAY(MD$2)=7,0,WEEKDAY(MD$2)=1,0)</f>
        <v>0</v>
      </c>
      <c r="ME521" s="174">
        <f t="shared" si="30"/>
        <v>0</v>
      </c>
      <c r="MF521" s="174">
        <f t="shared" si="30"/>
        <v>0</v>
      </c>
      <c r="MG521" s="174">
        <f t="shared" si="30"/>
        <v>0</v>
      </c>
      <c r="MH521" s="174">
        <f t="shared" si="30"/>
        <v>0</v>
      </c>
      <c r="MI521" s="174">
        <f t="shared" si="30"/>
        <v>0</v>
      </c>
      <c r="MJ521" s="174">
        <f t="shared" si="30"/>
        <v>0</v>
      </c>
      <c r="MK521" s="174">
        <f t="shared" si="30"/>
        <v>0</v>
      </c>
      <c r="ML521" s="174">
        <f t="shared" si="30"/>
        <v>0</v>
      </c>
      <c r="MM521" s="174">
        <f t="shared" si="30"/>
        <v>0</v>
      </c>
      <c r="MN521" s="174">
        <f t="shared" si="30"/>
        <v>0</v>
      </c>
      <c r="MO521" s="174">
        <f t="shared" si="30"/>
        <v>0</v>
      </c>
      <c r="MP521" s="174">
        <f t="shared" si="30"/>
        <v>0</v>
      </c>
      <c r="MQ521" s="174">
        <f t="shared" si="30"/>
        <v>0</v>
      </c>
      <c r="QX521" s="539">
        <v>46051.0</v>
      </c>
    </row>
    <row r="522">
      <c r="A522" s="12"/>
      <c r="B522" s="12"/>
      <c r="C522" s="12"/>
      <c r="D522" s="12"/>
      <c r="E522" s="12"/>
      <c r="F522" s="12"/>
      <c r="G522" s="12"/>
      <c r="H522" s="12"/>
      <c r="I522" s="143">
        <f t="shared" si="22"/>
        <v>-9</v>
      </c>
      <c r="J522" s="537">
        <v>46055.0</v>
      </c>
      <c r="K522" s="180" t="s">
        <v>61</v>
      </c>
      <c r="L522" s="547">
        <v>46108.0</v>
      </c>
      <c r="M522" s="86" t="s">
        <v>107</v>
      </c>
      <c r="N522" s="170">
        <v>246.0</v>
      </c>
      <c r="O522" s="148">
        <v>30.0</v>
      </c>
      <c r="U522" s="162" t="s">
        <v>3394</v>
      </c>
      <c r="V522" s="538" t="s">
        <v>3196</v>
      </c>
      <c r="W522" s="125" t="s">
        <v>3395</v>
      </c>
      <c r="X522" s="140"/>
      <c r="Y522" s="166">
        <f t="shared" si="23"/>
        <v>9</v>
      </c>
      <c r="Z522" s="26">
        <f t="shared" si="7"/>
        <v>0</v>
      </c>
      <c r="AA522" s="26">
        <f t="shared" si="8"/>
        <v>0</v>
      </c>
      <c r="AB522" s="26">
        <f t="shared" si="9"/>
        <v>0</v>
      </c>
      <c r="AC522" s="155">
        <v>0.0</v>
      </c>
      <c r="AD522" s="155">
        <v>0.0</v>
      </c>
      <c r="AE522" s="155">
        <v>0.0</v>
      </c>
      <c r="AF522" s="155">
        <v>0.0</v>
      </c>
      <c r="AG522" s="155">
        <v>0.0</v>
      </c>
      <c r="AH522" s="155">
        <v>0.0</v>
      </c>
      <c r="BN522" s="155">
        <v>8.0</v>
      </c>
      <c r="BO522" s="155">
        <v>0.0</v>
      </c>
      <c r="BP522" s="155">
        <v>0.0</v>
      </c>
      <c r="BQ522" s="155">
        <v>0.0</v>
      </c>
      <c r="BR522" s="155">
        <v>0.0</v>
      </c>
      <c r="BS522" s="155">
        <v>0.0</v>
      </c>
      <c r="BT522" s="167">
        <v>0.0</v>
      </c>
      <c r="BU522" s="167">
        <v>1.0</v>
      </c>
      <c r="BV522" s="167">
        <v>0.0</v>
      </c>
      <c r="BW522" s="167">
        <v>1.0</v>
      </c>
      <c r="BX522" s="167">
        <v>0.0</v>
      </c>
      <c r="BY522" s="167">
        <v>1.0</v>
      </c>
      <c r="BZ522" s="167">
        <v>0.0</v>
      </c>
      <c r="CA522" s="167">
        <v>0.0</v>
      </c>
      <c r="CB522" s="167">
        <v>1.0</v>
      </c>
      <c r="CC522" s="167"/>
      <c r="CD522" s="167"/>
      <c r="CE522" s="168">
        <v>1.0</v>
      </c>
      <c r="CF522" s="167"/>
      <c r="CG522" s="168">
        <v>1.0</v>
      </c>
      <c r="CH522" s="167"/>
      <c r="CI522" s="167"/>
      <c r="CJ522" s="167"/>
      <c r="CK522" s="167"/>
      <c r="CL522" s="167"/>
      <c r="CM522" s="167"/>
      <c r="CN522" s="167"/>
      <c r="CO522" s="167"/>
      <c r="CP522" s="167"/>
      <c r="CQ522" s="167"/>
      <c r="CR522" s="167">
        <v>1.0</v>
      </c>
      <c r="CS522" s="167">
        <v>0.0</v>
      </c>
      <c r="CT522" s="167"/>
      <c r="CU522" s="168">
        <v>1.0</v>
      </c>
      <c r="CV522" s="156">
        <v>1.0</v>
      </c>
      <c r="CW522" s="156">
        <v>0.0</v>
      </c>
      <c r="CX522" s="156">
        <v>0.0</v>
      </c>
      <c r="CY522" s="156">
        <v>0.0</v>
      </c>
      <c r="CZ522" s="156">
        <v>0.0</v>
      </c>
      <c r="DA522" s="156">
        <v>0.0</v>
      </c>
      <c r="DB522" s="174">
        <v>0.0</v>
      </c>
      <c r="DC522" s="174">
        <v>1.0</v>
      </c>
      <c r="DD522" s="174"/>
      <c r="DE522" s="174"/>
      <c r="DF522" s="174"/>
      <c r="DG522" s="174"/>
      <c r="DH522" s="174"/>
      <c r="DI522" s="174"/>
      <c r="DJ522" s="174"/>
      <c r="DK522" s="174"/>
      <c r="DL522" s="174"/>
      <c r="DM522" s="174"/>
      <c r="DN522" s="174"/>
      <c r="DO522" s="174"/>
      <c r="DP522" s="174"/>
      <c r="DQ522" s="174"/>
      <c r="DR522" s="174"/>
      <c r="DS522" s="174"/>
      <c r="DT522" s="174"/>
      <c r="DU522" s="174"/>
      <c r="DV522" s="174"/>
      <c r="DW522" s="174"/>
      <c r="DX522" s="174"/>
      <c r="DY522" s="174"/>
      <c r="DZ522" s="174"/>
      <c r="EA522" s="174"/>
      <c r="EB522" s="174"/>
      <c r="EC522" s="174"/>
      <c r="ED522" s="174"/>
      <c r="EE522" s="174"/>
      <c r="EF522" s="174"/>
      <c r="EG522" s="156">
        <v>0.0</v>
      </c>
      <c r="EH522" s="156">
        <v>0.0</v>
      </c>
      <c r="EI522" s="156">
        <v>0.0</v>
      </c>
      <c r="EJ522" s="156">
        <v>0.0</v>
      </c>
      <c r="EK522" s="156">
        <v>0.0</v>
      </c>
      <c r="EL522" s="156">
        <v>0.0</v>
      </c>
      <c r="FQ522" s="156">
        <v>0.0</v>
      </c>
      <c r="FR522" s="156">
        <v>0.0</v>
      </c>
      <c r="FS522" s="156">
        <v>0.0</v>
      </c>
      <c r="FT522" s="156">
        <v>0.0</v>
      </c>
      <c r="FU522" s="156">
        <v>0.0</v>
      </c>
      <c r="FV522" s="156">
        <v>0.0</v>
      </c>
      <c r="FW522" s="157"/>
      <c r="FX522" s="157"/>
      <c r="FY522" s="157"/>
      <c r="FZ522" s="157"/>
      <c r="GA522" s="157"/>
      <c r="GB522" s="157"/>
      <c r="GC522" s="157"/>
      <c r="GD522" s="157"/>
      <c r="GE522" s="157"/>
      <c r="GF522" s="157"/>
      <c r="GG522" s="157"/>
      <c r="GH522" s="157"/>
      <c r="GI522" s="157"/>
      <c r="GJ522" s="157"/>
      <c r="GK522" s="157"/>
      <c r="GL522" s="157"/>
      <c r="GM522" s="157"/>
      <c r="GN522" s="157"/>
      <c r="GO522" s="157"/>
      <c r="GP522" s="158"/>
      <c r="GQ522" s="157"/>
      <c r="GR522" s="157"/>
      <c r="GS522" s="157"/>
      <c r="GT522" s="157"/>
      <c r="GU522" s="157"/>
      <c r="GV522" s="157"/>
      <c r="GW522" s="157"/>
      <c r="GX522" s="157"/>
      <c r="GY522" s="157"/>
      <c r="GZ522" s="157"/>
      <c r="HA522" s="157"/>
      <c r="HB522" s="155">
        <v>0.0</v>
      </c>
      <c r="HC522" s="155">
        <v>0.0</v>
      </c>
      <c r="HD522" s="155">
        <v>0.0</v>
      </c>
      <c r="HE522" s="155">
        <v>0.0</v>
      </c>
      <c r="HF522" s="155">
        <v>0.0</v>
      </c>
      <c r="HG522" s="155">
        <v>0.0</v>
      </c>
      <c r="IL522" s="159">
        <v>0.0</v>
      </c>
      <c r="IM522" s="156">
        <v>0.0</v>
      </c>
      <c r="IN522" s="156">
        <v>0.0</v>
      </c>
      <c r="IO522" s="156">
        <v>0.0</v>
      </c>
      <c r="IP522" s="156">
        <v>0.0</v>
      </c>
      <c r="IQ522" s="160">
        <v>0.0</v>
      </c>
      <c r="JH522" s="25"/>
      <c r="JW522" s="159">
        <v>0.0</v>
      </c>
      <c r="JX522" s="156">
        <v>0.0</v>
      </c>
      <c r="JY522" s="156">
        <v>0.0</v>
      </c>
      <c r="JZ522" s="156">
        <v>0.0</v>
      </c>
      <c r="KA522" s="156">
        <v>0.0</v>
      </c>
      <c r="KB522" s="160">
        <v>0.0</v>
      </c>
      <c r="LH522" s="159">
        <f t="shared" si="10"/>
        <v>0</v>
      </c>
      <c r="LI522" s="156">
        <f t="shared" si="11"/>
        <v>0</v>
      </c>
      <c r="LJ522" s="156">
        <f t="shared" si="12"/>
        <v>0</v>
      </c>
      <c r="LK522" s="156">
        <f t="shared" si="13"/>
        <v>0</v>
      </c>
      <c r="LL522" s="156">
        <f t="shared" si="14"/>
        <v>0</v>
      </c>
      <c r="LM522" s="160">
        <f t="shared" si="15"/>
        <v>0</v>
      </c>
      <c r="QX522" s="539">
        <v>46051.0</v>
      </c>
    </row>
    <row r="523">
      <c r="A523" s="12"/>
      <c r="B523" s="12"/>
      <c r="C523" s="12"/>
      <c r="D523" s="12"/>
      <c r="E523" s="12"/>
      <c r="F523" s="12"/>
      <c r="G523" s="12"/>
      <c r="H523" s="12"/>
      <c r="I523" s="143">
        <f t="shared" si="22"/>
        <v>-30</v>
      </c>
      <c r="J523" s="537">
        <v>46059.0</v>
      </c>
      <c r="K523" s="164" t="s">
        <v>61</v>
      </c>
      <c r="L523" s="547">
        <v>46157.0</v>
      </c>
      <c r="M523" s="162" t="s">
        <v>348</v>
      </c>
      <c r="N523" s="177">
        <v>246.0</v>
      </c>
      <c r="O523" s="177">
        <v>30.0</v>
      </c>
      <c r="P523" s="548"/>
      <c r="Q523" s="548"/>
      <c r="R523" s="548"/>
      <c r="S523" s="548"/>
      <c r="T523" s="548"/>
      <c r="U523" s="162" t="s">
        <v>3147</v>
      </c>
      <c r="V523" s="162" t="s">
        <v>2893</v>
      </c>
      <c r="W523" s="549" t="s">
        <v>3396</v>
      </c>
      <c r="X523" s="140"/>
      <c r="Y523" s="166">
        <f t="shared" si="23"/>
        <v>30</v>
      </c>
      <c r="Z523" s="26">
        <f t="shared" si="7"/>
        <v>0</v>
      </c>
      <c r="AA523" s="26">
        <f t="shared" si="8"/>
        <v>0</v>
      </c>
      <c r="AB523" s="26">
        <f t="shared" si="9"/>
        <v>0</v>
      </c>
      <c r="AC523" s="155">
        <v>0.0</v>
      </c>
      <c r="AD523" s="155">
        <v>0.0</v>
      </c>
      <c r="AE523" s="155">
        <v>0.0</v>
      </c>
      <c r="AF523" s="155">
        <v>0.0</v>
      </c>
      <c r="AG523" s="155">
        <v>0.0</v>
      </c>
      <c r="AH523" s="155">
        <v>0.0</v>
      </c>
      <c r="BN523" s="155">
        <v>5.0</v>
      </c>
      <c r="BO523" s="155">
        <v>0.0</v>
      </c>
      <c r="BP523" s="155">
        <v>0.0</v>
      </c>
      <c r="BQ523" s="155">
        <v>0.0</v>
      </c>
      <c r="BR523" s="155">
        <v>0.0</v>
      </c>
      <c r="BS523" s="155">
        <v>0.0</v>
      </c>
      <c r="BY523" s="167">
        <v>1.0</v>
      </c>
      <c r="BZ523" s="167">
        <v>0.0</v>
      </c>
      <c r="CA523" s="167">
        <v>0.0</v>
      </c>
      <c r="CB523" s="167">
        <v>1.0</v>
      </c>
      <c r="CC523" s="167">
        <v>0.0</v>
      </c>
      <c r="CD523" s="167">
        <v>1.0</v>
      </c>
      <c r="CE523" s="167"/>
      <c r="CF523" s="167"/>
      <c r="CG523" s="167"/>
      <c r="CH523" s="167"/>
      <c r="CI523" s="167"/>
      <c r="CJ523" s="167"/>
      <c r="CK523" s="167"/>
      <c r="CL523" s="167"/>
      <c r="CM523" s="167"/>
      <c r="CN523" s="167"/>
      <c r="CO523" s="167"/>
      <c r="CP523" s="167">
        <v>1.0</v>
      </c>
      <c r="CQ523" s="167">
        <v>0.0</v>
      </c>
      <c r="CR523" s="167"/>
      <c r="CS523" s="167">
        <v>0.0</v>
      </c>
      <c r="CT523" s="167">
        <v>1.0</v>
      </c>
      <c r="CU523" s="167">
        <v>0.0</v>
      </c>
      <c r="CV523" s="156">
        <v>9.0</v>
      </c>
      <c r="CW523" s="156">
        <v>0.0</v>
      </c>
      <c r="CX523" s="156">
        <v>0.0</v>
      </c>
      <c r="CY523" s="156">
        <v>0.0</v>
      </c>
      <c r="CZ523" s="156">
        <v>0.0</v>
      </c>
      <c r="DA523" s="156">
        <v>0.0</v>
      </c>
      <c r="DB523" s="174">
        <v>0.0</v>
      </c>
      <c r="DC523" s="174">
        <v>1.0</v>
      </c>
      <c r="DD523" s="174"/>
      <c r="DE523" s="174"/>
      <c r="DF523" s="174">
        <v>0.0</v>
      </c>
      <c r="DG523" s="174">
        <v>1.0</v>
      </c>
      <c r="DH523" s="174"/>
      <c r="DI523" s="174"/>
      <c r="DJ523" s="174"/>
      <c r="DK523" s="174"/>
      <c r="DL523" s="174"/>
      <c r="DM523" s="174"/>
      <c r="DN523" s="174">
        <v>1.0</v>
      </c>
      <c r="DO523" s="174">
        <v>0.0</v>
      </c>
      <c r="DP523" s="174">
        <v>0.0</v>
      </c>
      <c r="DQ523" s="174">
        <v>1.0</v>
      </c>
      <c r="DR523" s="174">
        <v>0.0</v>
      </c>
      <c r="DS523" s="174">
        <v>1.0</v>
      </c>
      <c r="DT523" s="174">
        <v>0.0</v>
      </c>
      <c r="DU523" s="174">
        <v>1.0</v>
      </c>
      <c r="DV523" s="174">
        <v>0.0</v>
      </c>
      <c r="DW523" s="174">
        <v>0.0</v>
      </c>
      <c r="DX523" s="174">
        <v>1.0</v>
      </c>
      <c r="DY523" s="174">
        <v>0.0</v>
      </c>
      <c r="DZ523" s="174">
        <v>1.0</v>
      </c>
      <c r="EA523" s="174">
        <v>0.0</v>
      </c>
      <c r="EB523" s="174">
        <v>1.0</v>
      </c>
      <c r="EC523" s="174">
        <v>0.0</v>
      </c>
      <c r="ED523" s="174">
        <v>0.0</v>
      </c>
      <c r="EE523" s="174"/>
      <c r="EF523" s="174">
        <v>0.0</v>
      </c>
      <c r="EG523" s="156">
        <v>11.0</v>
      </c>
      <c r="EH523" s="156">
        <v>0.0</v>
      </c>
      <c r="EI523" s="156">
        <v>0.0</v>
      </c>
      <c r="EJ523" s="156">
        <v>0.0</v>
      </c>
      <c r="EK523" s="156">
        <v>0.0</v>
      </c>
      <c r="EL523" s="156">
        <v>0.0</v>
      </c>
      <c r="EM523" s="174"/>
      <c r="EN523" s="174"/>
      <c r="EO523" s="174">
        <v>1.0</v>
      </c>
      <c r="EP523" s="174">
        <v>0.0</v>
      </c>
      <c r="EQ523" s="174">
        <v>0.0</v>
      </c>
      <c r="ER523" s="174">
        <v>1.0</v>
      </c>
      <c r="ES523" s="174">
        <v>0.0</v>
      </c>
      <c r="ET523" s="174">
        <v>1.0</v>
      </c>
      <c r="EU523" s="174">
        <v>0.0</v>
      </c>
      <c r="EV523" s="174">
        <v>1.0</v>
      </c>
      <c r="EW523" s="174">
        <v>0.0</v>
      </c>
      <c r="EX523" s="174">
        <v>0.0</v>
      </c>
      <c r="EY523" s="174">
        <v>1.0</v>
      </c>
      <c r="EZ523" s="174">
        <v>0.0</v>
      </c>
      <c r="FA523" s="174">
        <v>1.0</v>
      </c>
      <c r="FB523" s="174">
        <v>0.0</v>
      </c>
      <c r="FC523" s="174">
        <v>1.0</v>
      </c>
      <c r="FD523" s="174">
        <v>0.0</v>
      </c>
      <c r="FE523" s="174">
        <v>0.0</v>
      </c>
      <c r="FF523" s="174">
        <v>1.0</v>
      </c>
      <c r="FG523" s="174">
        <v>0.0</v>
      </c>
      <c r="FH523" s="174">
        <v>1.0</v>
      </c>
      <c r="FI523" s="174">
        <v>0.0</v>
      </c>
      <c r="FJ523" s="174">
        <v>1.0</v>
      </c>
      <c r="FK523" s="174"/>
      <c r="FL523" s="174"/>
      <c r="FM523" s="174"/>
      <c r="FN523" s="174"/>
      <c r="FO523" s="174">
        <v>1.0</v>
      </c>
      <c r="FP523" s="174">
        <v>0.0</v>
      </c>
      <c r="FQ523" s="156">
        <v>5.0</v>
      </c>
      <c r="FR523" s="156">
        <v>0.0</v>
      </c>
      <c r="FS523" s="156">
        <v>0.0</v>
      </c>
      <c r="FT523" s="156">
        <v>0.0</v>
      </c>
      <c r="FU523" s="156">
        <v>0.0</v>
      </c>
      <c r="FV523" s="156">
        <v>0.0</v>
      </c>
      <c r="FW523" s="174"/>
      <c r="FX523" s="174"/>
      <c r="FY523" s="174"/>
      <c r="FZ523" s="174">
        <v>1.0</v>
      </c>
      <c r="GA523" s="174">
        <v>0.0</v>
      </c>
      <c r="GB523" s="174">
        <v>1.0</v>
      </c>
      <c r="GC523" s="174">
        <v>0.0</v>
      </c>
      <c r="GD523" s="174">
        <v>1.0</v>
      </c>
      <c r="GE523" s="174">
        <v>0.0</v>
      </c>
      <c r="GF523" s="174">
        <v>0.0</v>
      </c>
      <c r="GG523" s="174">
        <v>1.0</v>
      </c>
      <c r="GH523" s="174">
        <v>0.0</v>
      </c>
      <c r="GI523" s="174">
        <v>1.0</v>
      </c>
      <c r="GJ523" s="174"/>
      <c r="GK523" s="174"/>
      <c r="GL523" s="174"/>
      <c r="GM523" s="174"/>
      <c r="GN523" s="174"/>
      <c r="GO523" s="174"/>
      <c r="GP523" s="176"/>
      <c r="GQ523" s="174"/>
      <c r="GR523" s="174"/>
      <c r="GS523" s="174"/>
      <c r="GT523" s="174"/>
      <c r="GU523" s="174"/>
      <c r="GV523" s="174"/>
      <c r="GW523" s="174"/>
      <c r="GX523" s="174"/>
      <c r="GY523" s="174"/>
      <c r="GZ523" s="174"/>
      <c r="HA523" s="174"/>
      <c r="HB523" s="155">
        <v>0.0</v>
      </c>
      <c r="HC523" s="155">
        <v>0.0</v>
      </c>
      <c r="HD523" s="155">
        <v>0.0</v>
      </c>
      <c r="HE523" s="155">
        <v>0.0</v>
      </c>
      <c r="HF523" s="155">
        <v>0.0</v>
      </c>
      <c r="HG523" s="155">
        <v>0.0</v>
      </c>
      <c r="HH523" s="174"/>
      <c r="HI523" s="174"/>
      <c r="HJ523" s="174"/>
      <c r="HK523" s="174"/>
      <c r="HL523" s="174"/>
      <c r="HM523" s="174"/>
      <c r="HN523" s="174"/>
      <c r="HO523" s="174"/>
      <c r="HP523" s="174"/>
      <c r="HQ523" s="174"/>
      <c r="HR523" s="174"/>
      <c r="HS523" s="174"/>
      <c r="HT523" s="174"/>
      <c r="HU523" s="174"/>
      <c r="HV523" s="174"/>
      <c r="HW523" s="174"/>
      <c r="HX523" s="174"/>
      <c r="HY523" s="174"/>
      <c r="HZ523" s="174"/>
      <c r="IA523" s="174"/>
      <c r="IB523" s="174"/>
      <c r="IC523" s="174"/>
      <c r="ID523" s="174"/>
      <c r="IE523" s="174"/>
      <c r="IF523" s="174"/>
      <c r="IG523" s="174"/>
      <c r="IH523" s="174"/>
      <c r="II523" s="174"/>
      <c r="IJ523" s="174"/>
      <c r="IK523" s="174"/>
      <c r="IL523" s="159">
        <v>0.0</v>
      </c>
      <c r="IM523" s="156">
        <v>0.0</v>
      </c>
      <c r="IN523" s="156">
        <v>0.0</v>
      </c>
      <c r="IO523" s="156">
        <v>0.0</v>
      </c>
      <c r="IP523" s="156">
        <v>0.0</v>
      </c>
      <c r="IQ523" s="160">
        <v>0.0</v>
      </c>
      <c r="JH523" s="25"/>
      <c r="JW523" s="159">
        <v>0.0</v>
      </c>
      <c r="JX523" s="156">
        <v>0.0</v>
      </c>
      <c r="JY523" s="156">
        <v>0.0</v>
      </c>
      <c r="JZ523" s="156">
        <v>0.0</v>
      </c>
      <c r="KA523" s="156">
        <v>0.0</v>
      </c>
      <c r="KB523" s="160">
        <v>0.0</v>
      </c>
      <c r="LH523" s="159">
        <f t="shared" si="10"/>
        <v>0</v>
      </c>
      <c r="LI523" s="156">
        <f t="shared" si="11"/>
        <v>0</v>
      </c>
      <c r="LJ523" s="156">
        <f t="shared" si="12"/>
        <v>0</v>
      </c>
      <c r="LK523" s="156">
        <f t="shared" si="13"/>
        <v>0</v>
      </c>
      <c r="LL523" s="156">
        <f t="shared" si="14"/>
        <v>0</v>
      </c>
      <c r="LM523" s="160">
        <f t="shared" si="15"/>
        <v>0</v>
      </c>
      <c r="QX523" s="539">
        <v>46055.0</v>
      </c>
    </row>
    <row r="524">
      <c r="A524" s="12"/>
      <c r="B524" s="12"/>
      <c r="C524" s="12"/>
      <c r="D524" s="12"/>
      <c r="E524" s="12"/>
      <c r="F524" s="12"/>
      <c r="G524" s="12"/>
      <c r="H524" s="12"/>
      <c r="I524" s="143">
        <f t="shared" si="22"/>
        <v>-2</v>
      </c>
      <c r="J524" s="537">
        <v>46058.0</v>
      </c>
      <c r="K524" s="164" t="s">
        <v>61</v>
      </c>
      <c r="L524" s="23">
        <v>46063.0</v>
      </c>
      <c r="M524" s="86" t="s">
        <v>1985</v>
      </c>
      <c r="N524" s="86">
        <v>357.0</v>
      </c>
      <c r="O524" s="86">
        <v>30.0</v>
      </c>
      <c r="U524" s="162" t="s">
        <v>3157</v>
      </c>
      <c r="V524" s="162" t="s">
        <v>3158</v>
      </c>
      <c r="W524" s="125" t="s">
        <v>3397</v>
      </c>
      <c r="X524" s="140"/>
      <c r="Y524" s="166">
        <f t="shared" si="23"/>
        <v>2</v>
      </c>
      <c r="Z524" s="26">
        <f t="shared" si="7"/>
        <v>0</v>
      </c>
      <c r="AA524" s="26">
        <f t="shared" si="8"/>
        <v>0</v>
      </c>
      <c r="AB524" s="26">
        <f t="shared" si="9"/>
        <v>0</v>
      </c>
      <c r="AC524" s="155">
        <v>0.0</v>
      </c>
      <c r="AD524" s="155">
        <v>0.0</v>
      </c>
      <c r="AE524" s="155">
        <v>0.0</v>
      </c>
      <c r="AF524" s="155">
        <v>0.0</v>
      </c>
      <c r="AG524" s="155">
        <v>0.0</v>
      </c>
      <c r="AH524" s="155">
        <v>0.0</v>
      </c>
      <c r="BN524" s="155">
        <v>2.0</v>
      </c>
      <c r="BO524" s="155">
        <v>0.0</v>
      </c>
      <c r="BP524" s="155">
        <v>0.0</v>
      </c>
      <c r="BQ524" s="155">
        <v>0.0</v>
      </c>
      <c r="BR524" s="155">
        <v>0.0</v>
      </c>
      <c r="BS524" s="155">
        <v>0.0</v>
      </c>
      <c r="BT524" s="167"/>
      <c r="BU524" s="167"/>
      <c r="BV524" s="167"/>
      <c r="BW524" s="167"/>
      <c r="BX524" s="167">
        <v>1.0</v>
      </c>
      <c r="BY524" s="167"/>
      <c r="BZ524" s="167"/>
      <c r="CA524" s="167"/>
      <c r="CB524" s="168">
        <v>1.0</v>
      </c>
      <c r="CC524" s="167"/>
      <c r="CD524" s="167"/>
      <c r="CE524" s="167"/>
      <c r="CF524" s="167"/>
      <c r="CG524" s="167"/>
      <c r="CH524" s="167"/>
      <c r="CI524" s="167"/>
      <c r="CJ524" s="167"/>
      <c r="CK524" s="167"/>
      <c r="CL524" s="167"/>
      <c r="CM524" s="167"/>
      <c r="CN524" s="167"/>
      <c r="CO524" s="167"/>
      <c r="CP524" s="167"/>
      <c r="CQ524" s="167"/>
      <c r="CR524" s="167"/>
      <c r="CS524" s="167"/>
      <c r="CT524" s="167"/>
      <c r="CU524" s="167"/>
      <c r="CV524" s="156">
        <v>0.0</v>
      </c>
      <c r="CW524" s="156">
        <v>0.0</v>
      </c>
      <c r="CX524" s="156">
        <v>0.0</v>
      </c>
      <c r="CY524" s="156">
        <v>0.0</v>
      </c>
      <c r="CZ524" s="156">
        <v>0.0</v>
      </c>
      <c r="DA524" s="156">
        <v>0.0</v>
      </c>
      <c r="EG524" s="156">
        <v>0.0</v>
      </c>
      <c r="EH524" s="156">
        <v>0.0</v>
      </c>
      <c r="EI524" s="156">
        <v>0.0</v>
      </c>
      <c r="EJ524" s="156">
        <v>0.0</v>
      </c>
      <c r="EK524" s="156">
        <v>0.0</v>
      </c>
      <c r="EL524" s="156">
        <v>0.0</v>
      </c>
      <c r="FQ524" s="156">
        <v>0.0</v>
      </c>
      <c r="FR524" s="156">
        <v>0.0</v>
      </c>
      <c r="FS524" s="156">
        <v>0.0</v>
      </c>
      <c r="FT524" s="156">
        <v>0.0</v>
      </c>
      <c r="FU524" s="156">
        <v>0.0</v>
      </c>
      <c r="FV524" s="156">
        <v>0.0</v>
      </c>
      <c r="FW524" s="157"/>
      <c r="FX524" s="157"/>
      <c r="FY524" s="157"/>
      <c r="FZ524" s="157"/>
      <c r="GA524" s="157"/>
      <c r="GB524" s="157"/>
      <c r="GC524" s="157"/>
      <c r="GD524" s="157"/>
      <c r="GE524" s="157"/>
      <c r="GF524" s="157"/>
      <c r="GG524" s="157"/>
      <c r="GH524" s="157"/>
      <c r="GI524" s="157"/>
      <c r="GJ524" s="157"/>
      <c r="GK524" s="157"/>
      <c r="GL524" s="157"/>
      <c r="GM524" s="157"/>
      <c r="GN524" s="157"/>
      <c r="GO524" s="157"/>
      <c r="GP524" s="158"/>
      <c r="GQ524" s="157"/>
      <c r="GR524" s="157"/>
      <c r="GS524" s="157"/>
      <c r="GT524" s="157"/>
      <c r="GU524" s="157"/>
      <c r="GV524" s="157"/>
      <c r="GW524" s="157"/>
      <c r="GX524" s="157"/>
      <c r="GY524" s="157"/>
      <c r="GZ524" s="157"/>
      <c r="HA524" s="157"/>
      <c r="HB524" s="155">
        <v>0.0</v>
      </c>
      <c r="HC524" s="155">
        <v>0.0</v>
      </c>
      <c r="HD524" s="155">
        <v>0.0</v>
      </c>
      <c r="HE524" s="155">
        <v>0.0</v>
      </c>
      <c r="HF524" s="155">
        <v>0.0</v>
      </c>
      <c r="HG524" s="155">
        <v>0.0</v>
      </c>
      <c r="IL524" s="159">
        <v>0.0</v>
      </c>
      <c r="IM524" s="156">
        <v>0.0</v>
      </c>
      <c r="IN524" s="156">
        <v>0.0</v>
      </c>
      <c r="IO524" s="156">
        <v>0.0</v>
      </c>
      <c r="IP524" s="156">
        <v>0.0</v>
      </c>
      <c r="IQ524" s="160">
        <v>0.0</v>
      </c>
      <c r="JH524" s="25"/>
      <c r="JW524" s="159">
        <v>0.0</v>
      </c>
      <c r="JX524" s="156">
        <v>0.0</v>
      </c>
      <c r="JY524" s="156">
        <v>0.0</v>
      </c>
      <c r="JZ524" s="156">
        <v>0.0</v>
      </c>
      <c r="KA524" s="156">
        <v>0.0</v>
      </c>
      <c r="KB524" s="160">
        <v>0.0</v>
      </c>
      <c r="LH524" s="159">
        <f t="shared" si="10"/>
        <v>0</v>
      </c>
      <c r="LI524" s="156">
        <f t="shared" si="11"/>
        <v>0</v>
      </c>
      <c r="LJ524" s="156">
        <f t="shared" si="12"/>
        <v>0</v>
      </c>
      <c r="LK524" s="156">
        <f t="shared" si="13"/>
        <v>0</v>
      </c>
      <c r="LL524" s="156">
        <f t="shared" si="14"/>
        <v>0</v>
      </c>
      <c r="LM524" s="160">
        <f t="shared" si="15"/>
        <v>0</v>
      </c>
      <c r="QX524" s="539">
        <v>46055.0</v>
      </c>
    </row>
    <row r="525">
      <c r="A525" s="58"/>
      <c r="B525" s="58"/>
      <c r="C525" s="58"/>
      <c r="D525" s="58"/>
      <c r="E525" s="58"/>
      <c r="F525" s="58"/>
      <c r="G525" s="58"/>
      <c r="H525" s="58"/>
      <c r="I525" s="550">
        <f t="shared" si="22"/>
        <v>-29</v>
      </c>
      <c r="J525" s="169" t="s">
        <v>3398</v>
      </c>
      <c r="K525" s="294" t="s">
        <v>48</v>
      </c>
      <c r="L525" s="23">
        <v>46157.0</v>
      </c>
      <c r="M525" s="162" t="s">
        <v>435</v>
      </c>
      <c r="N525" s="86">
        <v>357.0</v>
      </c>
      <c r="O525" s="86">
        <v>30.0</v>
      </c>
      <c r="U525" s="162" t="s">
        <v>3399</v>
      </c>
      <c r="V525" s="538" t="s">
        <v>2893</v>
      </c>
      <c r="W525" s="125" t="s">
        <v>3400</v>
      </c>
      <c r="X525" s="140"/>
      <c r="Y525" s="166">
        <f t="shared" si="23"/>
        <v>29</v>
      </c>
      <c r="Z525" s="26">
        <f t="shared" si="7"/>
        <v>0</v>
      </c>
      <c r="AA525" s="26">
        <f t="shared" si="8"/>
        <v>0</v>
      </c>
      <c r="AB525" s="26">
        <f t="shared" si="9"/>
        <v>0</v>
      </c>
      <c r="AC525" s="155">
        <v>0.0</v>
      </c>
      <c r="AD525" s="155">
        <v>0.0</v>
      </c>
      <c r="AE525" s="155">
        <v>0.0</v>
      </c>
      <c r="AF525" s="155">
        <v>0.0</v>
      </c>
      <c r="AG525" s="155">
        <v>0.0</v>
      </c>
      <c r="AH525" s="155">
        <v>0.0</v>
      </c>
      <c r="BN525" s="155">
        <v>3.0</v>
      </c>
      <c r="BO525" s="155">
        <v>0.0</v>
      </c>
      <c r="BP525" s="155">
        <v>0.0</v>
      </c>
      <c r="BQ525" s="155">
        <v>0.0</v>
      </c>
      <c r="BR525" s="155">
        <v>0.0</v>
      </c>
      <c r="BS525" s="155">
        <v>0.0</v>
      </c>
      <c r="CC525" s="167">
        <v>1.0</v>
      </c>
      <c r="CD525" s="167">
        <v>0.0</v>
      </c>
      <c r="CE525" s="167">
        <v>1.0</v>
      </c>
      <c r="CF525" s="167"/>
      <c r="CG525" s="167"/>
      <c r="CH525" s="167"/>
      <c r="CI525" s="167"/>
      <c r="CJ525" s="167"/>
      <c r="CK525" s="167"/>
      <c r="CL525" s="167"/>
      <c r="CM525" s="167"/>
      <c r="CN525" s="167"/>
      <c r="CO525" s="167"/>
      <c r="CP525" s="167"/>
      <c r="CQ525" s="167"/>
      <c r="CR525" s="167"/>
      <c r="CS525" s="167">
        <v>1.0</v>
      </c>
      <c r="CT525" s="167"/>
      <c r="CU525" s="167"/>
      <c r="CV525" s="156">
        <v>11.0</v>
      </c>
      <c r="CW525" s="156">
        <v>0.0</v>
      </c>
      <c r="CX525" s="156">
        <v>0.0</v>
      </c>
      <c r="CY525" s="156">
        <v>0.0</v>
      </c>
      <c r="CZ525" s="156">
        <v>0.0</v>
      </c>
      <c r="DA525" s="156">
        <v>0.0</v>
      </c>
      <c r="DB525" s="395">
        <v>0.0</v>
      </c>
      <c r="DC525" s="395">
        <v>0.0</v>
      </c>
      <c r="DD525" s="395">
        <v>1.0</v>
      </c>
      <c r="DE525" s="395">
        <v>0.0</v>
      </c>
      <c r="DF525" s="395">
        <v>1.0</v>
      </c>
      <c r="DG525" s="395">
        <v>0.0</v>
      </c>
      <c r="DH525" s="395">
        <v>1.0</v>
      </c>
      <c r="DI525" s="395">
        <v>0.0</v>
      </c>
      <c r="DJ525" s="395">
        <v>0.0</v>
      </c>
      <c r="DK525" s="395">
        <v>1.0</v>
      </c>
      <c r="DL525" s="395">
        <v>0.0</v>
      </c>
      <c r="DM525" s="395">
        <v>1.0</v>
      </c>
      <c r="DN525" s="395">
        <v>0.0</v>
      </c>
      <c r="DO525" s="395"/>
      <c r="DP525" s="395">
        <v>0.0</v>
      </c>
      <c r="DQ525" s="395">
        <v>0.0</v>
      </c>
      <c r="DR525" s="395">
        <v>1.0</v>
      </c>
      <c r="DS525" s="395">
        <v>0.0</v>
      </c>
      <c r="DT525" s="395">
        <v>1.0</v>
      </c>
      <c r="DU525" s="395">
        <v>0.0</v>
      </c>
      <c r="DV525" s="395"/>
      <c r="DW525" s="395">
        <v>0.0</v>
      </c>
      <c r="DX525" s="395">
        <v>0.0</v>
      </c>
      <c r="DY525" s="395">
        <v>1.0</v>
      </c>
      <c r="DZ525" s="395">
        <v>0.0</v>
      </c>
      <c r="EA525" s="395">
        <v>1.0</v>
      </c>
      <c r="EB525" s="395">
        <v>0.0</v>
      </c>
      <c r="EC525" s="395">
        <v>1.0</v>
      </c>
      <c r="ED525" s="395">
        <v>0.0</v>
      </c>
      <c r="EE525" s="395">
        <v>0.0</v>
      </c>
      <c r="EF525" s="395">
        <v>1.0</v>
      </c>
      <c r="EG525" s="156">
        <v>8.0</v>
      </c>
      <c r="EH525" s="156">
        <v>0.0</v>
      </c>
      <c r="EI525" s="156">
        <v>0.0</v>
      </c>
      <c r="EJ525" s="156">
        <v>0.0</v>
      </c>
      <c r="EK525" s="156">
        <v>0.0</v>
      </c>
      <c r="EL525" s="156">
        <v>0.0</v>
      </c>
      <c r="EM525" s="395">
        <v>0.0</v>
      </c>
      <c r="EN525" s="395">
        <v>1.0</v>
      </c>
      <c r="EO525" s="395">
        <v>0.0</v>
      </c>
      <c r="EP525" s="395">
        <v>1.0</v>
      </c>
      <c r="EQ525" s="395">
        <v>0.0</v>
      </c>
      <c r="ER525" s="395">
        <v>0.0</v>
      </c>
      <c r="ES525" s="395">
        <v>1.0</v>
      </c>
      <c r="ET525" s="395">
        <v>0.0</v>
      </c>
      <c r="EU525" s="395">
        <v>1.0</v>
      </c>
      <c r="EV525" s="395">
        <v>0.0</v>
      </c>
      <c r="EW525" s="395">
        <v>1.0</v>
      </c>
      <c r="EX525" s="395"/>
      <c r="EY525" s="395"/>
      <c r="EZ525" s="395"/>
      <c r="FA525" s="395"/>
      <c r="FB525" s="395"/>
      <c r="FC525" s="395"/>
      <c r="FD525" s="395"/>
      <c r="FE525" s="395"/>
      <c r="FF525" s="395"/>
      <c r="FG525" s="395">
        <v>1.0</v>
      </c>
      <c r="FH525" s="395">
        <v>0.0</v>
      </c>
      <c r="FI525" s="395">
        <v>1.0</v>
      </c>
      <c r="FJ525" s="395">
        <v>0.0</v>
      </c>
      <c r="FK525" s="395">
        <v>1.0</v>
      </c>
      <c r="FL525" s="395"/>
      <c r="FM525" s="395"/>
      <c r="FN525" s="395"/>
      <c r="FO525" s="395"/>
      <c r="FP525" s="395"/>
      <c r="FQ525" s="156">
        <v>0.0</v>
      </c>
      <c r="FR525" s="156">
        <v>0.0</v>
      </c>
      <c r="FS525" s="156">
        <v>0.0</v>
      </c>
      <c r="FT525" s="156">
        <v>0.0</v>
      </c>
      <c r="FU525" s="156">
        <v>0.0</v>
      </c>
      <c r="FV525" s="156">
        <v>0.0</v>
      </c>
      <c r="FW525" s="172"/>
      <c r="FX525" s="172"/>
      <c r="FY525" s="172"/>
      <c r="FZ525" s="172"/>
      <c r="GA525" s="172"/>
      <c r="GB525" s="172"/>
      <c r="GC525" s="172"/>
      <c r="GD525" s="172"/>
      <c r="GE525" s="172"/>
      <c r="GF525" s="172"/>
      <c r="GG525" s="172"/>
      <c r="GH525" s="172"/>
      <c r="GI525" s="172"/>
      <c r="GJ525" s="172"/>
      <c r="GK525" s="172"/>
      <c r="GL525" s="172"/>
      <c r="GM525" s="172"/>
      <c r="GN525" s="172"/>
      <c r="GO525" s="172"/>
      <c r="GP525" s="170"/>
      <c r="GQ525" s="172"/>
      <c r="GR525" s="172"/>
      <c r="GS525" s="172"/>
      <c r="GT525" s="172"/>
      <c r="GU525" s="172"/>
      <c r="GV525" s="172"/>
      <c r="GW525" s="172"/>
      <c r="GX525" s="172"/>
      <c r="GY525" s="172"/>
      <c r="GZ525" s="172"/>
      <c r="HA525" s="172"/>
      <c r="HB525" s="155">
        <v>0.0</v>
      </c>
      <c r="HC525" s="155">
        <v>0.0</v>
      </c>
      <c r="HD525" s="155">
        <v>0.0</v>
      </c>
      <c r="HE525" s="155">
        <v>0.0</v>
      </c>
      <c r="HF525" s="155">
        <v>0.0</v>
      </c>
      <c r="HG525" s="155">
        <v>0.0</v>
      </c>
      <c r="HH525" s="172"/>
      <c r="HI525" s="172"/>
      <c r="HJ525" s="172"/>
      <c r="HK525" s="172"/>
      <c r="HL525" s="172"/>
      <c r="HM525" s="172"/>
      <c r="HN525" s="172"/>
      <c r="HO525" s="172"/>
      <c r="HP525" s="172"/>
      <c r="HQ525" s="172"/>
      <c r="HR525" s="172"/>
      <c r="HS525" s="172"/>
      <c r="HT525" s="172"/>
      <c r="HU525" s="172"/>
      <c r="HV525" s="172"/>
      <c r="HW525" s="172"/>
      <c r="HX525" s="172"/>
      <c r="HY525" s="172"/>
      <c r="HZ525" s="172"/>
      <c r="IA525" s="172"/>
      <c r="IB525" s="172"/>
      <c r="IC525" s="172"/>
      <c r="ID525" s="172"/>
      <c r="IE525" s="172"/>
      <c r="IF525" s="172"/>
      <c r="IG525" s="172"/>
      <c r="IH525" s="172"/>
      <c r="II525" s="172"/>
      <c r="IJ525" s="172"/>
      <c r="IK525" s="172"/>
      <c r="IL525" s="159">
        <v>0.0</v>
      </c>
      <c r="IM525" s="156">
        <v>0.0</v>
      </c>
      <c r="IN525" s="156">
        <v>0.0</v>
      </c>
      <c r="IO525" s="156">
        <v>0.0</v>
      </c>
      <c r="IP525" s="156">
        <v>0.0</v>
      </c>
      <c r="IQ525" s="160">
        <v>0.0</v>
      </c>
      <c r="JH525" s="25"/>
      <c r="JW525" s="159">
        <v>0.0</v>
      </c>
      <c r="JX525" s="156">
        <v>0.0</v>
      </c>
      <c r="JY525" s="156">
        <v>0.0</v>
      </c>
      <c r="JZ525" s="156">
        <v>0.0</v>
      </c>
      <c r="KA525" s="156">
        <v>0.0</v>
      </c>
      <c r="KB525" s="160">
        <v>0.0</v>
      </c>
      <c r="LH525" s="159">
        <f t="shared" si="10"/>
        <v>7</v>
      </c>
      <c r="LI525" s="156">
        <f t="shared" si="11"/>
        <v>0</v>
      </c>
      <c r="LJ525" s="156">
        <f t="shared" si="12"/>
        <v>0</v>
      </c>
      <c r="LK525" s="156">
        <f t="shared" si="13"/>
        <v>0</v>
      </c>
      <c r="LL525" s="156">
        <f t="shared" si="14"/>
        <v>0</v>
      </c>
      <c r="LM525" s="160">
        <f t="shared" si="15"/>
        <v>0</v>
      </c>
      <c r="LW525" s="12">
        <f t="shared" ref="LW525:MQ525" si="31">IFS(TODAY()&lt;=LC$2,0,WEEKDAY(LC$2)=2,0,WEEKDAY(LC$2)=3,1,WEEKDAY(LC$2)=4,0,WEEKDAY(LC$2)=5,1,WEEKDAY(LC$2)=6,0,WEEKDAY(LC$2)=7,1,WEEKDAY(LC$2)=1,0)</f>
        <v>1</v>
      </c>
      <c r="LX525" s="12">
        <f t="shared" si="31"/>
        <v>0</v>
      </c>
      <c r="LY525" s="12">
        <f t="shared" si="31"/>
        <v>1</v>
      </c>
      <c r="LZ525" s="12">
        <f t="shared" si="31"/>
        <v>0</v>
      </c>
      <c r="MA525" s="12">
        <f t="shared" si="31"/>
        <v>0</v>
      </c>
      <c r="MB525" s="12">
        <f t="shared" si="31"/>
        <v>0</v>
      </c>
      <c r="MC525" s="12">
        <f t="shared" si="31"/>
        <v>0</v>
      </c>
      <c r="MD525" s="12">
        <f t="shared" si="31"/>
        <v>0</v>
      </c>
      <c r="ME525" s="12">
        <f t="shared" si="31"/>
        <v>0</v>
      </c>
      <c r="MF525" s="12">
        <f t="shared" si="31"/>
        <v>0</v>
      </c>
      <c r="MG525" s="12">
        <f t="shared" si="31"/>
        <v>0</v>
      </c>
      <c r="MH525" s="12">
        <f t="shared" si="31"/>
        <v>1</v>
      </c>
      <c r="MI525" s="12">
        <f t="shared" si="31"/>
        <v>0</v>
      </c>
      <c r="MJ525" s="12">
        <f t="shared" si="31"/>
        <v>1</v>
      </c>
      <c r="MK525" s="12">
        <f t="shared" si="31"/>
        <v>0</v>
      </c>
      <c r="ML525" s="12">
        <f t="shared" si="31"/>
        <v>1</v>
      </c>
      <c r="MM525" s="12">
        <f t="shared" si="31"/>
        <v>0</v>
      </c>
      <c r="MN525" s="12">
        <f t="shared" si="31"/>
        <v>0</v>
      </c>
      <c r="MO525" s="12">
        <f t="shared" si="31"/>
        <v>1</v>
      </c>
      <c r="MP525" s="12">
        <f t="shared" si="31"/>
        <v>0</v>
      </c>
      <c r="MQ525" s="12">
        <f t="shared" si="31"/>
        <v>1</v>
      </c>
      <c r="QX525" s="539">
        <v>46055.0</v>
      </c>
    </row>
    <row r="526">
      <c r="A526" s="12"/>
      <c r="B526" s="12"/>
      <c r="C526" s="12"/>
      <c r="D526" s="12"/>
      <c r="E526" s="12"/>
      <c r="F526" s="12"/>
      <c r="G526" s="12"/>
      <c r="H526" s="12"/>
      <c r="I526" s="143">
        <f t="shared" si="22"/>
        <v>-48</v>
      </c>
      <c r="J526" s="537">
        <v>46086.0</v>
      </c>
      <c r="K526" s="164" t="s">
        <v>61</v>
      </c>
      <c r="L526" s="547">
        <v>46282.0</v>
      </c>
      <c r="M526" s="86" t="s">
        <v>107</v>
      </c>
      <c r="N526" s="86">
        <v>357.0</v>
      </c>
      <c r="O526" s="86">
        <v>30.0</v>
      </c>
      <c r="U526" s="162" t="s">
        <v>3401</v>
      </c>
      <c r="V526" s="538" t="s">
        <v>2555</v>
      </c>
      <c r="W526" s="185" t="s">
        <v>3402</v>
      </c>
      <c r="X526" s="140"/>
      <c r="Y526" s="166">
        <f t="shared" si="23"/>
        <v>48</v>
      </c>
      <c r="Z526" s="26">
        <f t="shared" si="7"/>
        <v>0</v>
      </c>
      <c r="AA526" s="26">
        <f t="shared" si="8"/>
        <v>0</v>
      </c>
      <c r="AB526" s="26">
        <f t="shared" si="9"/>
        <v>0</v>
      </c>
      <c r="AC526" s="155">
        <v>0.0</v>
      </c>
      <c r="AD526" s="155">
        <v>0.0</v>
      </c>
      <c r="AE526" s="155">
        <v>0.0</v>
      </c>
      <c r="AF526" s="155">
        <v>0.0</v>
      </c>
      <c r="AG526" s="155">
        <v>0.0</v>
      </c>
      <c r="AH526" s="155">
        <v>0.0</v>
      </c>
      <c r="BN526" s="155">
        <v>0.0</v>
      </c>
      <c r="BO526" s="155">
        <v>0.0</v>
      </c>
      <c r="BP526" s="155">
        <v>0.0</v>
      </c>
      <c r="BQ526" s="155">
        <v>0.0</v>
      </c>
      <c r="BR526" s="155">
        <v>0.0</v>
      </c>
      <c r="BS526" s="155">
        <v>0.0</v>
      </c>
      <c r="CV526" s="156">
        <v>8.0</v>
      </c>
      <c r="CW526" s="156">
        <v>0.0</v>
      </c>
      <c r="CX526" s="156">
        <v>0.0</v>
      </c>
      <c r="CY526" s="156">
        <v>0.0</v>
      </c>
      <c r="CZ526" s="156">
        <v>0.0</v>
      </c>
      <c r="DA526" s="156">
        <v>0.0</v>
      </c>
      <c r="DB526" s="395"/>
      <c r="DC526" s="395"/>
      <c r="DD526" s="395"/>
      <c r="DE526" s="395"/>
      <c r="DF526" s="395">
        <v>1.0</v>
      </c>
      <c r="DG526" s="395"/>
      <c r="DH526" s="395"/>
      <c r="DI526" s="395"/>
      <c r="DJ526" s="395"/>
      <c r="DK526" s="395">
        <v>1.0</v>
      </c>
      <c r="DL526" s="395"/>
      <c r="DM526" s="395"/>
      <c r="DN526" s="395"/>
      <c r="DO526" s="395"/>
      <c r="DP526" s="395"/>
      <c r="DQ526" s="395"/>
      <c r="DR526" s="395">
        <v>1.0</v>
      </c>
      <c r="DS526" s="395">
        <v>0.0</v>
      </c>
      <c r="DT526" s="395">
        <v>1.0</v>
      </c>
      <c r="DU526" s="395">
        <v>0.0</v>
      </c>
      <c r="DV526" s="395">
        <v>1.0</v>
      </c>
      <c r="DW526" s="395">
        <v>0.0</v>
      </c>
      <c r="DX526" s="395">
        <v>0.0</v>
      </c>
      <c r="DY526" s="395"/>
      <c r="DZ526" s="395">
        <v>0.0</v>
      </c>
      <c r="EA526" s="395">
        <v>1.0</v>
      </c>
      <c r="EB526" s="395">
        <v>0.0</v>
      </c>
      <c r="EC526" s="395">
        <v>1.0</v>
      </c>
      <c r="ED526" s="395">
        <v>1.0</v>
      </c>
      <c r="EE526" s="395">
        <v>0.0</v>
      </c>
      <c r="EF526" s="395"/>
      <c r="EG526" s="156">
        <v>7.0</v>
      </c>
      <c r="EH526" s="156">
        <v>0.0</v>
      </c>
      <c r="EI526" s="156">
        <v>0.0</v>
      </c>
      <c r="EJ526" s="156">
        <v>0.0</v>
      </c>
      <c r="EK526" s="156">
        <v>0.0</v>
      </c>
      <c r="EL526" s="156">
        <v>0.0</v>
      </c>
      <c r="EM526" s="395">
        <v>0.0</v>
      </c>
      <c r="EN526" s="395">
        <v>1.0</v>
      </c>
      <c r="EO526" s="395"/>
      <c r="EP526" s="395"/>
      <c r="EQ526" s="395"/>
      <c r="ER526" s="395"/>
      <c r="ES526" s="395">
        <v>1.0</v>
      </c>
      <c r="ET526" s="395"/>
      <c r="EU526" s="395"/>
      <c r="EV526" s="395"/>
      <c r="EW526" s="395">
        <v>1.0</v>
      </c>
      <c r="EX526" s="395">
        <v>0.0</v>
      </c>
      <c r="EY526" s="395">
        <v>0.0</v>
      </c>
      <c r="EZ526" s="395">
        <v>1.0</v>
      </c>
      <c r="FA526" s="395">
        <v>0.0</v>
      </c>
      <c r="FB526" s="395">
        <v>1.0</v>
      </c>
      <c r="FC526" s="395"/>
      <c r="FD526" s="395"/>
      <c r="FE526" s="395"/>
      <c r="FF526" s="395"/>
      <c r="FG526" s="395">
        <v>1.0</v>
      </c>
      <c r="FH526" s="395"/>
      <c r="FI526" s="395"/>
      <c r="FJ526" s="395"/>
      <c r="FK526" s="395"/>
      <c r="FL526" s="395"/>
      <c r="FM526" s="395"/>
      <c r="FN526" s="395">
        <v>1.0</v>
      </c>
      <c r="FO526" s="395"/>
      <c r="FP526" s="395"/>
      <c r="FQ526" s="156">
        <v>7.0</v>
      </c>
      <c r="FR526" s="156">
        <v>0.0</v>
      </c>
      <c r="FS526" s="156">
        <v>0.0</v>
      </c>
      <c r="FT526" s="156">
        <v>0.0</v>
      </c>
      <c r="FU526" s="156">
        <v>0.0</v>
      </c>
      <c r="FV526" s="156">
        <v>0.0</v>
      </c>
      <c r="FW526" s="172"/>
      <c r="FX526" s="172"/>
      <c r="FY526" s="172"/>
      <c r="FZ526" s="172"/>
      <c r="GA526" s="172"/>
      <c r="GB526" s="172"/>
      <c r="GC526" s="172"/>
      <c r="GD526" s="172"/>
      <c r="GE526" s="172"/>
      <c r="GF526" s="172"/>
      <c r="GG526" s="172"/>
      <c r="GH526" s="172">
        <v>1.0</v>
      </c>
      <c r="GI526" s="172">
        <v>0.0</v>
      </c>
      <c r="GJ526" s="172">
        <v>1.0</v>
      </c>
      <c r="GK526" s="172">
        <v>0.0</v>
      </c>
      <c r="GL526" s="172">
        <v>1.0</v>
      </c>
      <c r="GM526" s="172">
        <v>0.0</v>
      </c>
      <c r="GN526" s="172">
        <v>0.0</v>
      </c>
      <c r="GO526" s="172">
        <v>1.0</v>
      </c>
      <c r="GP526" s="170">
        <v>0.0</v>
      </c>
      <c r="GQ526" s="172">
        <v>1.0</v>
      </c>
      <c r="GR526" s="172">
        <v>0.0</v>
      </c>
      <c r="GS526" s="172">
        <v>1.0</v>
      </c>
      <c r="GT526" s="172"/>
      <c r="GU526" s="172"/>
      <c r="GV526" s="172"/>
      <c r="GW526" s="172"/>
      <c r="GX526" s="172">
        <v>1.0</v>
      </c>
      <c r="GY526" s="172"/>
      <c r="GZ526" s="172"/>
      <c r="HA526" s="172"/>
      <c r="HB526" s="155">
        <v>9.0</v>
      </c>
      <c r="HC526" s="155">
        <v>0.0</v>
      </c>
      <c r="HD526" s="155">
        <v>0.0</v>
      </c>
      <c r="HE526" s="155">
        <v>0.0</v>
      </c>
      <c r="HF526" s="155">
        <v>0.0</v>
      </c>
      <c r="HG526" s="155">
        <v>0.0</v>
      </c>
      <c r="HH526" s="172">
        <v>0.0</v>
      </c>
      <c r="HI526" s="172">
        <v>1.0</v>
      </c>
      <c r="HJ526" s="172">
        <v>0.0</v>
      </c>
      <c r="HK526" s="172">
        <v>1.0</v>
      </c>
      <c r="HL526" s="172">
        <v>0.0</v>
      </c>
      <c r="HM526" s="172"/>
      <c r="HN526" s="172">
        <v>0.0</v>
      </c>
      <c r="HO526" s="172">
        <v>0.0</v>
      </c>
      <c r="HP526" s="172">
        <v>1.0</v>
      </c>
      <c r="HQ526" s="172">
        <v>0.0</v>
      </c>
      <c r="HR526" s="172">
        <v>1.0</v>
      </c>
      <c r="HS526" s="172">
        <v>0.0</v>
      </c>
      <c r="HT526" s="172">
        <v>1.0</v>
      </c>
      <c r="HU526" s="172">
        <v>0.0</v>
      </c>
      <c r="HV526" s="172">
        <v>0.0</v>
      </c>
      <c r="HW526" s="172">
        <v>1.0</v>
      </c>
      <c r="HX526" s="172">
        <v>0.0</v>
      </c>
      <c r="HY526" s="172"/>
      <c r="HZ526" s="172">
        <v>0.0</v>
      </c>
      <c r="IA526" s="172">
        <v>1.0</v>
      </c>
      <c r="IB526" s="172">
        <v>0.0</v>
      </c>
      <c r="IC526" s="172">
        <v>0.0</v>
      </c>
      <c r="ID526" s="172"/>
      <c r="IE526" s="172">
        <v>0.0</v>
      </c>
      <c r="IF526" s="172">
        <v>1.0</v>
      </c>
      <c r="IG526" s="172">
        <v>0.0</v>
      </c>
      <c r="IH526" s="172">
        <v>1.0</v>
      </c>
      <c r="II526" s="172">
        <v>0.0</v>
      </c>
      <c r="IJ526" s="172">
        <v>0.0</v>
      </c>
      <c r="IK526" s="172"/>
      <c r="IL526" s="159">
        <v>5.0</v>
      </c>
      <c r="IM526" s="156">
        <v>0.0</v>
      </c>
      <c r="IN526" s="156">
        <v>0.0</v>
      </c>
      <c r="IO526" s="156">
        <v>0.0</v>
      </c>
      <c r="IP526" s="156">
        <v>0.0</v>
      </c>
      <c r="IQ526" s="160">
        <v>0.0</v>
      </c>
      <c r="IR526" s="172">
        <v>0.0</v>
      </c>
      <c r="IS526" s="172"/>
      <c r="IT526" s="172">
        <v>0.0</v>
      </c>
      <c r="IU526" s="172"/>
      <c r="IV526" s="172">
        <v>0.0</v>
      </c>
      <c r="IW526" s="172">
        <v>0.0</v>
      </c>
      <c r="IX526" s="172">
        <v>1.0</v>
      </c>
      <c r="IY526" s="172">
        <v>0.0</v>
      </c>
      <c r="IZ526" s="172">
        <v>1.0</v>
      </c>
      <c r="JA526" s="172">
        <v>0.0</v>
      </c>
      <c r="JB526" s="172">
        <v>1.0</v>
      </c>
      <c r="JC526" s="172">
        <v>0.0</v>
      </c>
      <c r="JD526" s="172">
        <v>0.0</v>
      </c>
      <c r="JE526" s="172"/>
      <c r="JF526" s="172">
        <v>0.0</v>
      </c>
      <c r="JG526" s="172"/>
      <c r="JH526" s="170">
        <v>0.0</v>
      </c>
      <c r="JI526" s="172"/>
      <c r="JJ526" s="172"/>
      <c r="JK526" s="172"/>
      <c r="JL526" s="172">
        <v>1.0</v>
      </c>
      <c r="JM526" s="172"/>
      <c r="JN526" s="172"/>
      <c r="JO526" s="172"/>
      <c r="JP526" s="172"/>
      <c r="JQ526" s="172"/>
      <c r="JR526" s="172"/>
      <c r="JS526" s="172"/>
      <c r="JT526" s="172"/>
      <c r="JU526" s="172">
        <v>1.0</v>
      </c>
      <c r="JV526" s="172"/>
      <c r="JW526" s="159">
        <v>5.0</v>
      </c>
      <c r="JX526" s="156">
        <v>0.0</v>
      </c>
      <c r="JY526" s="156">
        <v>0.0</v>
      </c>
      <c r="JZ526" s="156">
        <v>0.0</v>
      </c>
      <c r="KA526" s="156">
        <v>0.0</v>
      </c>
      <c r="KB526" s="160">
        <v>0.0</v>
      </c>
      <c r="KC526" s="172"/>
      <c r="KD526" s="172"/>
      <c r="KE526" s="172"/>
      <c r="KF526" s="172"/>
      <c r="KG526" s="172"/>
      <c r="KH526" s="172"/>
      <c r="KI526" s="172"/>
      <c r="KJ526" s="172">
        <v>1.0</v>
      </c>
      <c r="KK526" s="172"/>
      <c r="KL526" s="172"/>
      <c r="KM526" s="172"/>
      <c r="KN526" s="172"/>
      <c r="KO526" s="172">
        <v>1.0</v>
      </c>
      <c r="KP526" s="172"/>
      <c r="KQ526" s="172"/>
      <c r="KR526" s="172"/>
      <c r="KS526" s="432"/>
      <c r="KT526" s="172">
        <v>1.0</v>
      </c>
      <c r="KU526" s="172"/>
      <c r="KV526" s="172">
        <v>1.0</v>
      </c>
      <c r="KW526" s="172"/>
      <c r="KX526" s="172"/>
      <c r="KY526" s="172"/>
      <c r="KZ526" s="172"/>
      <c r="LA526" s="172">
        <v>1.0</v>
      </c>
      <c r="LB526" s="172"/>
      <c r="LC526" s="172"/>
      <c r="LD526" s="172"/>
      <c r="LE526" s="172"/>
      <c r="LF526" s="172"/>
      <c r="LG526" s="172"/>
      <c r="LH526" s="159">
        <f t="shared" si="10"/>
        <v>7</v>
      </c>
      <c r="LI526" s="156">
        <f t="shared" si="11"/>
        <v>0</v>
      </c>
      <c r="LJ526" s="156">
        <f t="shared" si="12"/>
        <v>0</v>
      </c>
      <c r="LK526" s="156">
        <f t="shared" si="13"/>
        <v>0</v>
      </c>
      <c r="LL526" s="156">
        <f t="shared" si="14"/>
        <v>0</v>
      </c>
      <c r="LM526" s="160">
        <f t="shared" si="15"/>
        <v>0</v>
      </c>
      <c r="LW526" s="12">
        <f t="shared" ref="LW526:MQ526" si="32">IFS(TODAY()&lt;=LC$2,0,WEEKDAY(LC$2)=2,0,WEEKDAY(LC$2)=3,1,WEEKDAY(LC$2)=4,0,WEEKDAY(LC$2)=5,1,WEEKDAY(LC$2)=6,0,WEEKDAY(LC$2)=7,1,WEEKDAY(LC$2)=1,0)</f>
        <v>1</v>
      </c>
      <c r="LX526" s="12">
        <f t="shared" si="32"/>
        <v>0</v>
      </c>
      <c r="LY526" s="12">
        <f t="shared" si="32"/>
        <v>1</v>
      </c>
      <c r="LZ526" s="12">
        <f t="shared" si="32"/>
        <v>0</v>
      </c>
      <c r="MA526" s="12">
        <f t="shared" si="32"/>
        <v>0</v>
      </c>
      <c r="MB526" s="12">
        <f t="shared" si="32"/>
        <v>0</v>
      </c>
      <c r="MC526" s="12">
        <f t="shared" si="32"/>
        <v>0</v>
      </c>
      <c r="MD526" s="12">
        <f t="shared" si="32"/>
        <v>0</v>
      </c>
      <c r="ME526" s="12">
        <f t="shared" si="32"/>
        <v>0</v>
      </c>
      <c r="MF526" s="12">
        <f t="shared" si="32"/>
        <v>0</v>
      </c>
      <c r="MG526" s="12">
        <f t="shared" si="32"/>
        <v>0</v>
      </c>
      <c r="MH526" s="12">
        <f t="shared" si="32"/>
        <v>1</v>
      </c>
      <c r="MI526" s="12">
        <f t="shared" si="32"/>
        <v>0</v>
      </c>
      <c r="MJ526" s="12">
        <f t="shared" si="32"/>
        <v>1</v>
      </c>
      <c r="MK526" s="12">
        <f t="shared" si="32"/>
        <v>0</v>
      </c>
      <c r="ML526" s="12">
        <f t="shared" si="32"/>
        <v>1</v>
      </c>
      <c r="MM526" s="12">
        <f t="shared" si="32"/>
        <v>0</v>
      </c>
      <c r="MN526" s="12">
        <f t="shared" si="32"/>
        <v>0</v>
      </c>
      <c r="MO526" s="12">
        <f t="shared" si="32"/>
        <v>1</v>
      </c>
      <c r="MP526" s="12">
        <f t="shared" si="32"/>
        <v>0</v>
      </c>
      <c r="MQ526" s="12">
        <f t="shared" si="32"/>
        <v>1</v>
      </c>
      <c r="QX526" s="539">
        <v>46055.0</v>
      </c>
    </row>
    <row r="527">
      <c r="A527" s="12"/>
      <c r="B527" s="12"/>
      <c r="C527" s="12"/>
      <c r="D527" s="12"/>
      <c r="E527" s="12"/>
      <c r="F527" s="12"/>
      <c r="G527" s="12"/>
      <c r="H527" s="12"/>
      <c r="I527" s="143">
        <f t="shared" si="22"/>
        <v>-1</v>
      </c>
      <c r="J527" s="537">
        <v>46058.0</v>
      </c>
      <c r="K527" s="184" t="s">
        <v>61</v>
      </c>
      <c r="L527" s="23">
        <v>46065.0</v>
      </c>
      <c r="M527" s="86" t="s">
        <v>1157</v>
      </c>
      <c r="N527" s="86">
        <v>35.0</v>
      </c>
      <c r="O527" s="86">
        <v>30.0</v>
      </c>
      <c r="U527" s="162" t="s">
        <v>3403</v>
      </c>
      <c r="V527" s="162" t="s">
        <v>3404</v>
      </c>
      <c r="W527" s="125" t="s">
        <v>3405</v>
      </c>
      <c r="X527" s="140"/>
      <c r="Y527" s="166">
        <f t="shared" si="23"/>
        <v>1</v>
      </c>
      <c r="Z527" s="26">
        <f t="shared" si="7"/>
        <v>0</v>
      </c>
      <c r="AA527" s="26">
        <f t="shared" si="8"/>
        <v>0</v>
      </c>
      <c r="AB527" s="26">
        <f t="shared" si="9"/>
        <v>0</v>
      </c>
      <c r="AC527" s="155">
        <v>0.0</v>
      </c>
      <c r="AD527" s="155">
        <v>0.0</v>
      </c>
      <c r="AE527" s="155">
        <v>0.0</v>
      </c>
      <c r="AF527" s="155">
        <v>0.0</v>
      </c>
      <c r="AG527" s="155">
        <v>0.0</v>
      </c>
      <c r="AH527" s="155">
        <v>0.0</v>
      </c>
      <c r="BN527" s="155">
        <v>1.0</v>
      </c>
      <c r="BO527" s="155">
        <v>0.0</v>
      </c>
      <c r="BP527" s="155">
        <v>0.0</v>
      </c>
      <c r="BQ527" s="155">
        <v>0.0</v>
      </c>
      <c r="BR527" s="155">
        <v>0.0</v>
      </c>
      <c r="BS527" s="155">
        <v>0.0</v>
      </c>
      <c r="BX527" s="167">
        <v>1.0</v>
      </c>
      <c r="BY527" s="167"/>
      <c r="BZ527" s="167"/>
      <c r="CA527" s="167"/>
      <c r="CB527" s="167"/>
      <c r="CC527" s="167"/>
      <c r="CD527" s="167"/>
      <c r="CE527" s="167"/>
      <c r="CF527" s="167"/>
      <c r="CG527" s="167"/>
      <c r="CH527" s="167"/>
      <c r="CI527" s="167"/>
      <c r="CJ527" s="167"/>
      <c r="CK527" s="167"/>
      <c r="CL527" s="167"/>
      <c r="CM527" s="167"/>
      <c r="CN527" s="167"/>
      <c r="CO527" s="167"/>
      <c r="CP527" s="167"/>
      <c r="CQ527" s="167"/>
      <c r="CR527" s="167"/>
      <c r="CS527" s="167"/>
      <c r="CT527" s="167"/>
      <c r="CU527" s="167"/>
      <c r="CV527" s="156">
        <v>0.0</v>
      </c>
      <c r="CW527" s="156">
        <v>0.0</v>
      </c>
      <c r="CX527" s="156">
        <v>0.0</v>
      </c>
      <c r="CY527" s="156">
        <v>0.0</v>
      </c>
      <c r="CZ527" s="156">
        <v>0.0</v>
      </c>
      <c r="DA527" s="156">
        <v>0.0</v>
      </c>
      <c r="EG527" s="156">
        <v>0.0</v>
      </c>
      <c r="EH527" s="156">
        <v>0.0</v>
      </c>
      <c r="EI527" s="156">
        <v>0.0</v>
      </c>
      <c r="EJ527" s="156">
        <v>0.0</v>
      </c>
      <c r="EK527" s="156">
        <v>0.0</v>
      </c>
      <c r="EL527" s="156">
        <v>0.0</v>
      </c>
      <c r="FQ527" s="156">
        <v>0.0</v>
      </c>
      <c r="FR527" s="156">
        <v>0.0</v>
      </c>
      <c r="FS527" s="156">
        <v>0.0</v>
      </c>
      <c r="FT527" s="156">
        <v>0.0</v>
      </c>
      <c r="FU527" s="156">
        <v>0.0</v>
      </c>
      <c r="FV527" s="156">
        <v>0.0</v>
      </c>
      <c r="FW527" s="157"/>
      <c r="FX527" s="157"/>
      <c r="FY527" s="157"/>
      <c r="FZ527" s="157"/>
      <c r="GA527" s="157"/>
      <c r="GB527" s="157"/>
      <c r="GC527" s="157"/>
      <c r="GD527" s="157"/>
      <c r="GE527" s="157"/>
      <c r="GF527" s="157"/>
      <c r="GG527" s="157"/>
      <c r="GH527" s="157"/>
      <c r="GI527" s="157"/>
      <c r="GJ527" s="157"/>
      <c r="GK527" s="157"/>
      <c r="GL527" s="157"/>
      <c r="GM527" s="157"/>
      <c r="GN527" s="157"/>
      <c r="GO527" s="157"/>
      <c r="GP527" s="158"/>
      <c r="GQ527" s="157"/>
      <c r="GR527" s="157"/>
      <c r="GS527" s="157"/>
      <c r="GT527" s="157"/>
      <c r="GU527" s="157"/>
      <c r="GV527" s="157"/>
      <c r="GW527" s="157"/>
      <c r="GX527" s="157"/>
      <c r="GY527" s="157"/>
      <c r="GZ527" s="157"/>
      <c r="HA527" s="157"/>
      <c r="HB527" s="155">
        <v>0.0</v>
      </c>
      <c r="HC527" s="155">
        <v>0.0</v>
      </c>
      <c r="HD527" s="155">
        <v>0.0</v>
      </c>
      <c r="HE527" s="155">
        <v>0.0</v>
      </c>
      <c r="HF527" s="155">
        <v>0.0</v>
      </c>
      <c r="HG527" s="155">
        <v>0.0</v>
      </c>
      <c r="IL527" s="159">
        <v>0.0</v>
      </c>
      <c r="IM527" s="156">
        <v>0.0</v>
      </c>
      <c r="IN527" s="156">
        <v>0.0</v>
      </c>
      <c r="IO527" s="156">
        <v>0.0</v>
      </c>
      <c r="IP527" s="156">
        <v>0.0</v>
      </c>
      <c r="IQ527" s="160">
        <v>0.0</v>
      </c>
      <c r="JH527" s="25"/>
      <c r="JW527" s="159">
        <v>0.0</v>
      </c>
      <c r="JX527" s="156">
        <v>0.0</v>
      </c>
      <c r="JY527" s="156">
        <v>0.0</v>
      </c>
      <c r="JZ527" s="156">
        <v>0.0</v>
      </c>
      <c r="KA527" s="156">
        <v>0.0</v>
      </c>
      <c r="KB527" s="160">
        <v>0.0</v>
      </c>
      <c r="LH527" s="159">
        <f t="shared" si="10"/>
        <v>0</v>
      </c>
      <c r="LI527" s="156">
        <f t="shared" si="11"/>
        <v>0</v>
      </c>
      <c r="LJ527" s="156">
        <f t="shared" si="12"/>
        <v>0</v>
      </c>
      <c r="LK527" s="156">
        <f t="shared" si="13"/>
        <v>0</v>
      </c>
      <c r="LL527" s="156">
        <f t="shared" si="14"/>
        <v>0</v>
      </c>
      <c r="LM527" s="160">
        <f t="shared" si="15"/>
        <v>0</v>
      </c>
      <c r="QX527" s="539">
        <v>46055.0</v>
      </c>
    </row>
    <row r="528">
      <c r="A528" s="12"/>
      <c r="B528" s="12"/>
      <c r="C528" s="12"/>
      <c r="D528" s="12"/>
      <c r="E528" s="12"/>
      <c r="F528" s="12"/>
      <c r="G528" s="12"/>
      <c r="H528" s="12"/>
      <c r="I528" s="143">
        <f t="shared" si="22"/>
        <v>-1</v>
      </c>
      <c r="J528" s="551">
        <v>46062.0</v>
      </c>
      <c r="K528" s="184" t="s">
        <v>53</v>
      </c>
      <c r="L528" s="551">
        <v>46077.0</v>
      </c>
      <c r="M528" s="86" t="s">
        <v>1157</v>
      </c>
      <c r="N528" s="188">
        <v>246.0</v>
      </c>
      <c r="O528" s="86">
        <v>30.0</v>
      </c>
      <c r="U528" s="162" t="s">
        <v>3406</v>
      </c>
      <c r="V528" s="538" t="s">
        <v>3407</v>
      </c>
      <c r="W528" s="125" t="s">
        <v>3408</v>
      </c>
      <c r="X528" s="140"/>
      <c r="Y528" s="166">
        <f t="shared" si="23"/>
        <v>1</v>
      </c>
      <c r="Z528" s="26">
        <f t="shared" si="7"/>
        <v>0</v>
      </c>
      <c r="AA528" s="26">
        <f t="shared" si="8"/>
        <v>0</v>
      </c>
      <c r="AB528" s="26">
        <f t="shared" si="9"/>
        <v>0</v>
      </c>
      <c r="AC528" s="155">
        <v>0.0</v>
      </c>
      <c r="AD528" s="155">
        <v>0.0</v>
      </c>
      <c r="AE528" s="155">
        <v>0.0</v>
      </c>
      <c r="AF528" s="155">
        <v>0.0</v>
      </c>
      <c r="AG528" s="155">
        <v>0.0</v>
      </c>
      <c r="AH528" s="155">
        <v>0.0</v>
      </c>
      <c r="BN528" s="155">
        <v>1.0</v>
      </c>
      <c r="BO528" s="155">
        <v>0.0</v>
      </c>
      <c r="BP528" s="155">
        <v>0.0</v>
      </c>
      <c r="BQ528" s="155">
        <v>0.0</v>
      </c>
      <c r="BR528" s="155">
        <v>0.0</v>
      </c>
      <c r="BS528" s="155">
        <v>0.0</v>
      </c>
      <c r="CB528" s="167">
        <v>1.0</v>
      </c>
      <c r="CC528" s="167"/>
      <c r="CD528" s="167"/>
      <c r="CE528" s="167"/>
      <c r="CF528" s="167"/>
      <c r="CG528" s="167"/>
      <c r="CH528" s="167"/>
      <c r="CI528" s="167"/>
      <c r="CJ528" s="167"/>
      <c r="CK528" s="167"/>
      <c r="CL528" s="167"/>
      <c r="CM528" s="167"/>
      <c r="CN528" s="167"/>
      <c r="CO528" s="167"/>
      <c r="CP528" s="167"/>
      <c r="CQ528" s="167"/>
      <c r="CR528" s="167"/>
      <c r="CS528" s="167"/>
      <c r="CT528" s="167"/>
      <c r="CU528" s="167"/>
      <c r="CV528" s="156">
        <v>0.0</v>
      </c>
      <c r="CW528" s="156">
        <v>0.0</v>
      </c>
      <c r="CX528" s="156">
        <v>0.0</v>
      </c>
      <c r="CY528" s="156">
        <v>0.0</v>
      </c>
      <c r="CZ528" s="156">
        <v>0.0</v>
      </c>
      <c r="DA528" s="156">
        <v>0.0</v>
      </c>
      <c r="EG528" s="156">
        <v>0.0</v>
      </c>
      <c r="EH528" s="156">
        <v>0.0</v>
      </c>
      <c r="EI528" s="156">
        <v>0.0</v>
      </c>
      <c r="EJ528" s="156">
        <v>0.0</v>
      </c>
      <c r="EK528" s="156">
        <v>0.0</v>
      </c>
      <c r="EL528" s="156">
        <v>0.0</v>
      </c>
      <c r="FQ528" s="156">
        <v>0.0</v>
      </c>
      <c r="FR528" s="156">
        <v>0.0</v>
      </c>
      <c r="FS528" s="156">
        <v>0.0</v>
      </c>
      <c r="FT528" s="156">
        <v>0.0</v>
      </c>
      <c r="FU528" s="156">
        <v>0.0</v>
      </c>
      <c r="FV528" s="156">
        <v>0.0</v>
      </c>
      <c r="FW528" s="157"/>
      <c r="FX528" s="157"/>
      <c r="FY528" s="157"/>
      <c r="FZ528" s="157"/>
      <c r="GA528" s="157"/>
      <c r="GB528" s="157"/>
      <c r="GC528" s="157"/>
      <c r="GD528" s="157"/>
      <c r="GE528" s="157"/>
      <c r="GF528" s="157"/>
      <c r="GG528" s="157"/>
      <c r="GH528" s="157"/>
      <c r="GI528" s="157"/>
      <c r="GJ528" s="157"/>
      <c r="GK528" s="157"/>
      <c r="GL528" s="157"/>
      <c r="GM528" s="157"/>
      <c r="GN528" s="157"/>
      <c r="GO528" s="157"/>
      <c r="GP528" s="158"/>
      <c r="GQ528" s="157"/>
      <c r="GR528" s="157"/>
      <c r="GS528" s="157"/>
      <c r="GT528" s="157"/>
      <c r="GU528" s="157"/>
      <c r="GV528" s="157"/>
      <c r="GW528" s="157"/>
      <c r="GX528" s="157"/>
      <c r="GY528" s="157"/>
      <c r="GZ528" s="157"/>
      <c r="HA528" s="157"/>
      <c r="HB528" s="155">
        <v>0.0</v>
      </c>
      <c r="HC528" s="155">
        <v>0.0</v>
      </c>
      <c r="HD528" s="155">
        <v>0.0</v>
      </c>
      <c r="HE528" s="155">
        <v>0.0</v>
      </c>
      <c r="HF528" s="155">
        <v>0.0</v>
      </c>
      <c r="HG528" s="155">
        <v>0.0</v>
      </c>
      <c r="IL528" s="159">
        <v>0.0</v>
      </c>
      <c r="IM528" s="156">
        <v>0.0</v>
      </c>
      <c r="IN528" s="156">
        <v>0.0</v>
      </c>
      <c r="IO528" s="156">
        <v>0.0</v>
      </c>
      <c r="IP528" s="156">
        <v>0.0</v>
      </c>
      <c r="IQ528" s="160">
        <v>0.0</v>
      </c>
      <c r="JH528" s="25"/>
      <c r="JW528" s="159">
        <v>0.0</v>
      </c>
      <c r="JX528" s="156">
        <v>0.0</v>
      </c>
      <c r="JY528" s="156">
        <v>0.0</v>
      </c>
      <c r="JZ528" s="156">
        <v>0.0</v>
      </c>
      <c r="KA528" s="156">
        <v>0.0</v>
      </c>
      <c r="KB528" s="160">
        <v>0.0</v>
      </c>
      <c r="LH528" s="159">
        <f t="shared" si="10"/>
        <v>0</v>
      </c>
      <c r="LI528" s="156">
        <f t="shared" si="11"/>
        <v>0</v>
      </c>
      <c r="LJ528" s="156">
        <f t="shared" si="12"/>
        <v>0</v>
      </c>
      <c r="LK528" s="156">
        <f t="shared" si="13"/>
        <v>0</v>
      </c>
      <c r="LL528" s="156">
        <f t="shared" si="14"/>
        <v>0</v>
      </c>
      <c r="LM528" s="160">
        <f t="shared" si="15"/>
        <v>0</v>
      </c>
      <c r="QX528" s="539">
        <v>46056.0</v>
      </c>
    </row>
    <row r="529">
      <c r="A529" s="12"/>
      <c r="B529" s="12"/>
      <c r="C529" s="12"/>
      <c r="D529" s="12"/>
      <c r="E529" s="12"/>
      <c r="F529" s="12"/>
      <c r="G529" s="12"/>
      <c r="H529" s="12"/>
      <c r="I529" s="143">
        <f t="shared" si="22"/>
        <v>-30</v>
      </c>
      <c r="J529" s="537">
        <v>46063.0</v>
      </c>
      <c r="K529" s="294" t="s">
        <v>61</v>
      </c>
      <c r="L529" s="23">
        <v>46150.0</v>
      </c>
      <c r="M529" s="86" t="s">
        <v>348</v>
      </c>
      <c r="N529" s="188">
        <v>357.0</v>
      </c>
      <c r="O529" s="86">
        <v>30.0</v>
      </c>
      <c r="U529" s="162" t="s">
        <v>2519</v>
      </c>
      <c r="V529" s="538" t="s">
        <v>307</v>
      </c>
      <c r="W529" s="125" t="s">
        <v>3409</v>
      </c>
      <c r="X529" s="140"/>
      <c r="Y529" s="166">
        <f t="shared" si="23"/>
        <v>30</v>
      </c>
      <c r="Z529" s="26">
        <f t="shared" si="7"/>
        <v>0</v>
      </c>
      <c r="AA529" s="26">
        <f t="shared" si="8"/>
        <v>0</v>
      </c>
      <c r="AB529" s="26">
        <f t="shared" si="9"/>
        <v>0</v>
      </c>
      <c r="AC529" s="155">
        <v>0.0</v>
      </c>
      <c r="AD529" s="155">
        <v>0.0</v>
      </c>
      <c r="AE529" s="155">
        <v>0.0</v>
      </c>
      <c r="AF529" s="155">
        <v>0.0</v>
      </c>
      <c r="AG529" s="155">
        <v>0.0</v>
      </c>
      <c r="AH529" s="155">
        <v>0.0</v>
      </c>
      <c r="BN529" s="155">
        <v>5.0</v>
      </c>
      <c r="BO529" s="155">
        <v>0.0</v>
      </c>
      <c r="BP529" s="155">
        <v>0.0</v>
      </c>
      <c r="BQ529" s="155">
        <v>0.0</v>
      </c>
      <c r="BR529" s="155">
        <v>0.0</v>
      </c>
      <c r="BS529" s="155">
        <v>0.0</v>
      </c>
      <c r="CC529" s="167">
        <v>1.0</v>
      </c>
      <c r="CD529" s="167">
        <v>0.0</v>
      </c>
      <c r="CE529" s="167">
        <v>1.0</v>
      </c>
      <c r="CF529" s="167"/>
      <c r="CG529" s="167"/>
      <c r="CH529" s="167"/>
      <c r="CI529" s="167"/>
      <c r="CJ529" s="167"/>
      <c r="CK529" s="167"/>
      <c r="CL529" s="167"/>
      <c r="CM529" s="167"/>
      <c r="CN529" s="167"/>
      <c r="CO529" s="167"/>
      <c r="CP529" s="167"/>
      <c r="CQ529" s="167">
        <v>1.0</v>
      </c>
      <c r="CR529" s="167">
        <v>0.0</v>
      </c>
      <c r="CS529" s="167">
        <v>1.0</v>
      </c>
      <c r="CT529" s="167">
        <v>0.0</v>
      </c>
      <c r="CU529" s="167">
        <v>1.0</v>
      </c>
      <c r="CV529" s="156">
        <v>12.0</v>
      </c>
      <c r="CW529" s="156">
        <v>0.0</v>
      </c>
      <c r="CX529" s="156">
        <v>0.0</v>
      </c>
      <c r="CY529" s="156">
        <v>0.0</v>
      </c>
      <c r="CZ529" s="156">
        <v>0.0</v>
      </c>
      <c r="DA529" s="156">
        <v>0.0</v>
      </c>
      <c r="DB529" s="395">
        <v>0.0</v>
      </c>
      <c r="DC529" s="395">
        <v>0.0</v>
      </c>
      <c r="DD529" s="395">
        <v>1.0</v>
      </c>
      <c r="DE529" s="395">
        <v>0.0</v>
      </c>
      <c r="DF529" s="395">
        <v>1.0</v>
      </c>
      <c r="DG529" s="395"/>
      <c r="DH529" s="395">
        <v>1.0</v>
      </c>
      <c r="DI529" s="395"/>
      <c r="DJ529" s="395"/>
      <c r="DK529" s="395">
        <v>1.0</v>
      </c>
      <c r="DL529" s="395">
        <v>0.0</v>
      </c>
      <c r="DM529" s="395">
        <v>1.0</v>
      </c>
      <c r="DN529" s="395"/>
      <c r="DO529" s="395"/>
      <c r="DP529" s="395"/>
      <c r="DQ529" s="395"/>
      <c r="DR529" s="395">
        <v>1.0</v>
      </c>
      <c r="DS529" s="395">
        <v>0.0</v>
      </c>
      <c r="DT529" s="395">
        <v>1.0</v>
      </c>
      <c r="DU529" s="395">
        <v>0.0</v>
      </c>
      <c r="DV529" s="395">
        <v>1.0</v>
      </c>
      <c r="DW529" s="395">
        <v>0.0</v>
      </c>
      <c r="DX529" s="395">
        <v>0.0</v>
      </c>
      <c r="DY529" s="395">
        <v>1.0</v>
      </c>
      <c r="DZ529" s="395">
        <v>0.0</v>
      </c>
      <c r="EA529" s="395">
        <v>1.0</v>
      </c>
      <c r="EB529" s="395">
        <v>0.0</v>
      </c>
      <c r="EC529" s="395">
        <v>1.0</v>
      </c>
      <c r="ED529" s="395">
        <v>0.0</v>
      </c>
      <c r="EE529" s="395">
        <v>0.0</v>
      </c>
      <c r="EF529" s="395">
        <v>1.0</v>
      </c>
      <c r="EG529" s="156">
        <v>11.0</v>
      </c>
      <c r="EH529" s="156">
        <v>0.0</v>
      </c>
      <c r="EI529" s="156">
        <v>0.0</v>
      </c>
      <c r="EJ529" s="156">
        <v>0.0</v>
      </c>
      <c r="EK529" s="156">
        <v>0.0</v>
      </c>
      <c r="EL529" s="156">
        <v>0.0</v>
      </c>
      <c r="EM529" s="395">
        <v>0.0</v>
      </c>
      <c r="EN529" s="395">
        <v>1.0</v>
      </c>
      <c r="EO529" s="395">
        <v>0.0</v>
      </c>
      <c r="EP529" s="395">
        <v>1.0</v>
      </c>
      <c r="EQ529" s="395">
        <v>0.0</v>
      </c>
      <c r="ER529" s="395">
        <v>0.0</v>
      </c>
      <c r="ES529" s="395">
        <v>1.0</v>
      </c>
      <c r="ET529" s="395">
        <v>0.0</v>
      </c>
      <c r="EU529" s="395">
        <v>1.0</v>
      </c>
      <c r="EV529" s="395">
        <v>0.0</v>
      </c>
      <c r="EW529" s="395">
        <v>1.0</v>
      </c>
      <c r="EX529" s="395">
        <v>0.0</v>
      </c>
      <c r="EY529" s="395">
        <v>0.0</v>
      </c>
      <c r="EZ529" s="395">
        <v>1.0</v>
      </c>
      <c r="FA529" s="395">
        <v>0.0</v>
      </c>
      <c r="FB529" s="395">
        <v>1.0</v>
      </c>
      <c r="FC529" s="395">
        <v>0.0</v>
      </c>
      <c r="FD529" s="395">
        <v>1.0</v>
      </c>
      <c r="FE529" s="395">
        <v>0.0</v>
      </c>
      <c r="FF529" s="395">
        <v>0.0</v>
      </c>
      <c r="FG529" s="395">
        <v>1.0</v>
      </c>
      <c r="FH529" s="395">
        <v>0.0</v>
      </c>
      <c r="FI529" s="395">
        <v>1.0</v>
      </c>
      <c r="FJ529" s="395"/>
      <c r="FK529" s="395"/>
      <c r="FL529" s="395"/>
      <c r="FM529" s="395"/>
      <c r="FN529" s="395">
        <v>1.0</v>
      </c>
      <c r="FO529" s="395"/>
      <c r="FP529" s="395"/>
      <c r="FQ529" s="156">
        <v>2.0</v>
      </c>
      <c r="FR529" s="156">
        <v>0.0</v>
      </c>
      <c r="FS529" s="156">
        <v>0.0</v>
      </c>
      <c r="FT529" s="156">
        <v>0.0</v>
      </c>
      <c r="FU529" s="156">
        <v>0.0</v>
      </c>
      <c r="FV529" s="156">
        <v>0.0</v>
      </c>
      <c r="FW529" s="172"/>
      <c r="FX529" s="172"/>
      <c r="FY529" s="172"/>
      <c r="FZ529" s="172"/>
      <c r="GA529" s="172"/>
      <c r="GB529" s="172"/>
      <c r="GC529" s="172">
        <v>1.0</v>
      </c>
      <c r="GD529" s="172"/>
      <c r="GE529" s="172"/>
      <c r="GF529" s="172"/>
      <c r="GG529" s="172"/>
      <c r="GH529" s="172">
        <v>1.0</v>
      </c>
      <c r="GI529" s="172"/>
      <c r="GJ529" s="172"/>
      <c r="GK529" s="172"/>
      <c r="GL529" s="172"/>
      <c r="GM529" s="172"/>
      <c r="GN529" s="172"/>
      <c r="GO529" s="172"/>
      <c r="GP529" s="170"/>
      <c r="GQ529" s="172"/>
      <c r="GR529" s="172"/>
      <c r="GS529" s="172"/>
      <c r="GT529" s="172"/>
      <c r="GU529" s="172"/>
      <c r="GV529" s="172"/>
      <c r="GW529" s="172"/>
      <c r="GX529" s="172"/>
      <c r="GY529" s="172"/>
      <c r="GZ529" s="172"/>
      <c r="HA529" s="172"/>
      <c r="HB529" s="155">
        <v>0.0</v>
      </c>
      <c r="HC529" s="155">
        <v>0.0</v>
      </c>
      <c r="HD529" s="155">
        <v>0.0</v>
      </c>
      <c r="HE529" s="155">
        <v>0.0</v>
      </c>
      <c r="HF529" s="155">
        <v>0.0</v>
      </c>
      <c r="HG529" s="155">
        <v>0.0</v>
      </c>
      <c r="HH529" s="172"/>
      <c r="HI529" s="172"/>
      <c r="HJ529" s="172"/>
      <c r="HK529" s="172"/>
      <c r="HL529" s="172"/>
      <c r="HM529" s="172"/>
      <c r="HN529" s="172"/>
      <c r="HO529" s="172"/>
      <c r="HP529" s="172"/>
      <c r="HQ529" s="172"/>
      <c r="HR529" s="172"/>
      <c r="HS529" s="172"/>
      <c r="HT529" s="172"/>
      <c r="HU529" s="172"/>
      <c r="HV529" s="172"/>
      <c r="HW529" s="172"/>
      <c r="HX529" s="172"/>
      <c r="HY529" s="172"/>
      <c r="HZ529" s="172"/>
      <c r="IA529" s="172"/>
      <c r="IB529" s="172"/>
      <c r="IC529" s="172"/>
      <c r="ID529" s="172"/>
      <c r="IE529" s="172"/>
      <c r="IF529" s="172"/>
      <c r="IG529" s="172"/>
      <c r="IH529" s="172"/>
      <c r="II529" s="172"/>
      <c r="IJ529" s="172"/>
      <c r="IK529" s="172"/>
      <c r="IL529" s="159">
        <v>0.0</v>
      </c>
      <c r="IM529" s="156">
        <v>0.0</v>
      </c>
      <c r="IN529" s="156">
        <v>0.0</v>
      </c>
      <c r="IO529" s="156">
        <v>0.0</v>
      </c>
      <c r="IP529" s="156">
        <v>0.0</v>
      </c>
      <c r="IQ529" s="160">
        <v>0.0</v>
      </c>
      <c r="JH529" s="25"/>
      <c r="JW529" s="159">
        <v>0.0</v>
      </c>
      <c r="JX529" s="156">
        <v>0.0</v>
      </c>
      <c r="JY529" s="156">
        <v>0.0</v>
      </c>
      <c r="JZ529" s="156">
        <v>0.0</v>
      </c>
      <c r="KA529" s="156">
        <v>0.0</v>
      </c>
      <c r="KB529" s="160">
        <v>0.0</v>
      </c>
      <c r="LH529" s="159">
        <f t="shared" si="10"/>
        <v>0</v>
      </c>
      <c r="LI529" s="156">
        <f t="shared" si="11"/>
        <v>0</v>
      </c>
      <c r="LJ529" s="156">
        <f t="shared" si="12"/>
        <v>0</v>
      </c>
      <c r="LK529" s="156">
        <f t="shared" si="13"/>
        <v>0</v>
      </c>
      <c r="LL529" s="156">
        <f t="shared" si="14"/>
        <v>0</v>
      </c>
      <c r="LM529" s="160">
        <f t="shared" si="15"/>
        <v>0</v>
      </c>
      <c r="QX529" s="539">
        <v>46056.0</v>
      </c>
    </row>
    <row r="530">
      <c r="A530" s="12"/>
      <c r="B530" s="12"/>
      <c r="C530" s="12"/>
      <c r="D530" s="12"/>
      <c r="E530" s="12"/>
      <c r="F530" s="12"/>
      <c r="G530" s="12"/>
      <c r="H530" s="12"/>
      <c r="I530" s="143">
        <f t="shared" si="22"/>
        <v>0</v>
      </c>
      <c r="J530" s="108"/>
      <c r="K530" s="552" t="s">
        <v>42</v>
      </c>
      <c r="L530" s="553"/>
      <c r="M530" s="554"/>
      <c r="N530" s="555"/>
      <c r="O530" s="554"/>
      <c r="P530" s="556"/>
      <c r="Q530" s="556"/>
      <c r="R530" s="556"/>
      <c r="S530" s="556"/>
      <c r="T530" s="556"/>
      <c r="U530" s="554"/>
      <c r="V530" s="557"/>
      <c r="W530" s="558"/>
      <c r="X530" s="140"/>
      <c r="Y530" s="166">
        <f t="shared" si="23"/>
        <v>0</v>
      </c>
      <c r="Z530" s="26">
        <f t="shared" si="7"/>
        <v>0</v>
      </c>
      <c r="AA530" s="26">
        <f t="shared" si="8"/>
        <v>0</v>
      </c>
      <c r="AB530" s="26">
        <f t="shared" si="9"/>
        <v>0</v>
      </c>
      <c r="AC530" s="155">
        <v>0.0</v>
      </c>
      <c r="AD530" s="155">
        <v>0.0</v>
      </c>
      <c r="AE530" s="155">
        <v>0.0</v>
      </c>
      <c r="AF530" s="155">
        <v>0.0</v>
      </c>
      <c r="AG530" s="155">
        <v>0.0</v>
      </c>
      <c r="AH530" s="155">
        <v>0.0</v>
      </c>
      <c r="BN530" s="155">
        <v>0.0</v>
      </c>
      <c r="BO530" s="155">
        <v>0.0</v>
      </c>
      <c r="BP530" s="155">
        <v>0.0</v>
      </c>
      <c r="BQ530" s="155">
        <v>0.0</v>
      </c>
      <c r="BR530" s="155">
        <v>0.0</v>
      </c>
      <c r="BS530" s="155">
        <v>0.0</v>
      </c>
      <c r="CV530" s="156">
        <v>0.0</v>
      </c>
      <c r="CW530" s="156">
        <v>0.0</v>
      </c>
      <c r="CX530" s="156">
        <v>0.0</v>
      </c>
      <c r="CY530" s="156">
        <v>0.0</v>
      </c>
      <c r="CZ530" s="156">
        <v>0.0</v>
      </c>
      <c r="DA530" s="156">
        <v>0.0</v>
      </c>
      <c r="EG530" s="156">
        <v>0.0</v>
      </c>
      <c r="EH530" s="156">
        <v>0.0</v>
      </c>
      <c r="EI530" s="156">
        <v>0.0</v>
      </c>
      <c r="EJ530" s="156">
        <v>0.0</v>
      </c>
      <c r="EK530" s="156">
        <v>0.0</v>
      </c>
      <c r="EL530" s="156">
        <v>0.0</v>
      </c>
      <c r="FQ530" s="156">
        <v>0.0</v>
      </c>
      <c r="FR530" s="156">
        <v>0.0</v>
      </c>
      <c r="FS530" s="156">
        <v>0.0</v>
      </c>
      <c r="FT530" s="156">
        <v>0.0</v>
      </c>
      <c r="FU530" s="156">
        <v>0.0</v>
      </c>
      <c r="FV530" s="156">
        <v>0.0</v>
      </c>
      <c r="FW530" s="157"/>
      <c r="FX530" s="157"/>
      <c r="FY530" s="157"/>
      <c r="FZ530" s="157"/>
      <c r="GA530" s="157"/>
      <c r="GB530" s="157"/>
      <c r="GC530" s="157"/>
      <c r="GD530" s="157"/>
      <c r="GE530" s="157"/>
      <c r="GF530" s="157"/>
      <c r="GG530" s="157"/>
      <c r="GH530" s="157"/>
      <c r="GI530" s="157"/>
      <c r="GJ530" s="157"/>
      <c r="GK530" s="157"/>
      <c r="GL530" s="157"/>
      <c r="GM530" s="157"/>
      <c r="GN530" s="157"/>
      <c r="GO530" s="157"/>
      <c r="GP530" s="158"/>
      <c r="GQ530" s="157"/>
      <c r="GR530" s="157"/>
      <c r="GS530" s="157"/>
      <c r="GT530" s="157"/>
      <c r="GU530" s="157"/>
      <c r="GV530" s="157"/>
      <c r="GW530" s="157"/>
      <c r="GX530" s="157"/>
      <c r="GY530" s="157"/>
      <c r="GZ530" s="157"/>
      <c r="HA530" s="157"/>
      <c r="HB530" s="155">
        <v>0.0</v>
      </c>
      <c r="HC530" s="155">
        <v>0.0</v>
      </c>
      <c r="HD530" s="155">
        <v>0.0</v>
      </c>
      <c r="HE530" s="155">
        <v>0.0</v>
      </c>
      <c r="HF530" s="155">
        <v>0.0</v>
      </c>
      <c r="HG530" s="155">
        <v>0.0</v>
      </c>
      <c r="IL530" s="159">
        <v>0.0</v>
      </c>
      <c r="IM530" s="156">
        <v>0.0</v>
      </c>
      <c r="IN530" s="156">
        <v>0.0</v>
      </c>
      <c r="IO530" s="156">
        <v>0.0</v>
      </c>
      <c r="IP530" s="156">
        <v>0.0</v>
      </c>
      <c r="IQ530" s="160">
        <v>0.0</v>
      </c>
      <c r="JH530" s="25"/>
      <c r="JW530" s="159">
        <v>0.0</v>
      </c>
      <c r="JX530" s="156">
        <v>0.0</v>
      </c>
      <c r="JY530" s="156">
        <v>0.0</v>
      </c>
      <c r="JZ530" s="156">
        <v>0.0</v>
      </c>
      <c r="KA530" s="156">
        <v>0.0</v>
      </c>
      <c r="KB530" s="160">
        <v>0.0</v>
      </c>
      <c r="LH530" s="159">
        <f t="shared" si="10"/>
        <v>0</v>
      </c>
      <c r="LI530" s="156">
        <f t="shared" si="11"/>
        <v>0</v>
      </c>
      <c r="LJ530" s="156">
        <f t="shared" si="12"/>
        <v>0</v>
      </c>
      <c r="LK530" s="156">
        <f t="shared" si="13"/>
        <v>0</v>
      </c>
      <c r="LL530" s="156">
        <f t="shared" si="14"/>
        <v>0</v>
      </c>
      <c r="LM530" s="160">
        <f t="shared" si="15"/>
        <v>0</v>
      </c>
      <c r="QX530" s="539">
        <v>46057.0</v>
      </c>
    </row>
    <row r="531">
      <c r="A531" s="12"/>
      <c r="B531" s="12"/>
      <c r="C531" s="12"/>
      <c r="D531" s="12"/>
      <c r="E531" s="12"/>
      <c r="F531" s="12"/>
      <c r="G531" s="12"/>
      <c r="H531" s="12"/>
      <c r="I531" s="143">
        <f t="shared" si="22"/>
        <v>-30</v>
      </c>
      <c r="J531" s="537">
        <v>46064.0</v>
      </c>
      <c r="K531" s="164" t="s">
        <v>61</v>
      </c>
      <c r="L531" s="23">
        <v>46160.0</v>
      </c>
      <c r="M531" s="86" t="s">
        <v>3410</v>
      </c>
      <c r="N531" s="188">
        <v>246.0</v>
      </c>
      <c r="O531" s="86">
        <v>30.0</v>
      </c>
      <c r="U531" s="162" t="s">
        <v>3147</v>
      </c>
      <c r="V531" s="538" t="s">
        <v>2893</v>
      </c>
      <c r="W531" s="125" t="s">
        <v>3411</v>
      </c>
      <c r="X531" s="140"/>
      <c r="Y531" s="166">
        <f t="shared" si="23"/>
        <v>30</v>
      </c>
      <c r="Z531" s="26">
        <f t="shared" si="7"/>
        <v>0</v>
      </c>
      <c r="AA531" s="26">
        <f t="shared" si="8"/>
        <v>1</v>
      </c>
      <c r="AB531" s="26">
        <f t="shared" si="9"/>
        <v>0</v>
      </c>
      <c r="AC531" s="155">
        <v>0.0</v>
      </c>
      <c r="AD531" s="155">
        <v>0.0</v>
      </c>
      <c r="AE531" s="155">
        <v>0.0</v>
      </c>
      <c r="AF531" s="155">
        <v>0.0</v>
      </c>
      <c r="AG531" s="155">
        <v>0.0</v>
      </c>
      <c r="AH531" s="155">
        <v>0.0</v>
      </c>
      <c r="BN531" s="155">
        <v>4.0</v>
      </c>
      <c r="BO531" s="155">
        <v>0.0</v>
      </c>
      <c r="BP531" s="155">
        <v>0.0</v>
      </c>
      <c r="BQ531" s="155">
        <v>0.0</v>
      </c>
      <c r="BR531" s="155">
        <v>0.0</v>
      </c>
      <c r="BS531" s="155">
        <v>0.0</v>
      </c>
      <c r="CD531" s="167">
        <v>1.0</v>
      </c>
      <c r="CE531" s="167">
        <v>0.0</v>
      </c>
      <c r="CF531" s="167">
        <v>1.0</v>
      </c>
      <c r="CG531" s="167"/>
      <c r="CH531" s="167"/>
      <c r="CI531" s="167"/>
      <c r="CJ531" s="167"/>
      <c r="CK531" s="167"/>
      <c r="CL531" s="167"/>
      <c r="CM531" s="167"/>
      <c r="CN531" s="167"/>
      <c r="CO531" s="167"/>
      <c r="CP531" s="167">
        <v>1.0</v>
      </c>
      <c r="CQ531" s="167"/>
      <c r="CR531" s="167"/>
      <c r="CS531" s="167"/>
      <c r="CT531" s="167">
        <v>1.0</v>
      </c>
      <c r="CU531" s="167">
        <v>0.0</v>
      </c>
      <c r="CV531" s="156">
        <v>11.0</v>
      </c>
      <c r="CW531" s="156">
        <v>0.0</v>
      </c>
      <c r="CX531" s="156">
        <v>0.0</v>
      </c>
      <c r="CY531" s="156">
        <v>1.0</v>
      </c>
      <c r="CZ531" s="156">
        <v>0.0</v>
      </c>
      <c r="DA531" s="156">
        <v>0.0</v>
      </c>
      <c r="DB531" s="174">
        <v>0.0</v>
      </c>
      <c r="DC531" s="174">
        <v>1.0</v>
      </c>
      <c r="DD531" s="174">
        <v>0.0</v>
      </c>
      <c r="DE531" s="174">
        <v>1.0</v>
      </c>
      <c r="DF531" s="174">
        <v>0.0</v>
      </c>
      <c r="DG531" s="174">
        <v>1.0</v>
      </c>
      <c r="DH531" s="174">
        <v>0.0</v>
      </c>
      <c r="DI531" s="174">
        <v>0.0</v>
      </c>
      <c r="DJ531" s="174"/>
      <c r="DK531" s="174">
        <v>0.0</v>
      </c>
      <c r="DL531" s="174">
        <v>1.0</v>
      </c>
      <c r="DM531" s="174"/>
      <c r="DN531" s="174"/>
      <c r="DO531" s="174"/>
      <c r="DP531" s="174"/>
      <c r="DQ531" s="174">
        <v>1.0</v>
      </c>
      <c r="DR531" s="174"/>
      <c r="DS531" s="175" t="s">
        <v>947</v>
      </c>
      <c r="DT531" s="174"/>
      <c r="DU531" s="174">
        <v>1.0</v>
      </c>
      <c r="DV531" s="174">
        <v>0.0</v>
      </c>
      <c r="DW531" s="174">
        <v>0.0</v>
      </c>
      <c r="DX531" s="174">
        <v>1.0</v>
      </c>
      <c r="DY531" s="174">
        <v>0.0</v>
      </c>
      <c r="DZ531" s="174">
        <v>1.0</v>
      </c>
      <c r="EA531" s="174">
        <v>0.0</v>
      </c>
      <c r="EB531" s="174">
        <v>1.0</v>
      </c>
      <c r="EC531" s="174">
        <v>0.0</v>
      </c>
      <c r="ED531" s="174">
        <v>0.0</v>
      </c>
      <c r="EE531" s="174">
        <v>1.0</v>
      </c>
      <c r="EF531" s="174">
        <v>0.0</v>
      </c>
      <c r="EG531" s="156">
        <v>8.0</v>
      </c>
      <c r="EH531" s="156">
        <v>0.0</v>
      </c>
      <c r="EI531" s="156">
        <v>0.0</v>
      </c>
      <c r="EJ531" s="156">
        <v>0.0</v>
      </c>
      <c r="EK531" s="156">
        <v>0.0</v>
      </c>
      <c r="EL531" s="156">
        <v>0.0</v>
      </c>
      <c r="EM531" s="174">
        <v>1.0</v>
      </c>
      <c r="EN531" s="174"/>
      <c r="EO531" s="174"/>
      <c r="EP531" s="174"/>
      <c r="EQ531" s="174"/>
      <c r="ER531" s="174">
        <v>1.0</v>
      </c>
      <c r="ES531" s="174">
        <v>0.0</v>
      </c>
      <c r="ET531" s="174">
        <v>1.0</v>
      </c>
      <c r="EU531" s="174">
        <v>0.0</v>
      </c>
      <c r="EV531" s="174">
        <v>1.0</v>
      </c>
      <c r="EW531" s="174"/>
      <c r="EX531" s="174"/>
      <c r="EY531" s="174"/>
      <c r="EZ531" s="174"/>
      <c r="FA531" s="174"/>
      <c r="FB531" s="174"/>
      <c r="FC531" s="174"/>
      <c r="FD531" s="174"/>
      <c r="FE531" s="174"/>
      <c r="FF531" s="174">
        <v>1.0</v>
      </c>
      <c r="FG531" s="174">
        <v>0.0</v>
      </c>
      <c r="FH531" s="174">
        <v>1.0</v>
      </c>
      <c r="FI531" s="174">
        <v>0.0</v>
      </c>
      <c r="FJ531" s="174">
        <v>1.0</v>
      </c>
      <c r="FK531" s="174"/>
      <c r="FL531" s="174"/>
      <c r="FM531" s="174"/>
      <c r="FN531" s="174"/>
      <c r="FO531" s="174">
        <v>1.0</v>
      </c>
      <c r="FP531" s="174">
        <v>0.0</v>
      </c>
      <c r="FQ531" s="156">
        <v>7.0</v>
      </c>
      <c r="FR531" s="156">
        <v>0.0</v>
      </c>
      <c r="FS531" s="156">
        <v>0.0</v>
      </c>
      <c r="FT531" s="156">
        <v>0.0</v>
      </c>
      <c r="FU531" s="156">
        <v>0.0</v>
      </c>
      <c r="FV531" s="156">
        <v>0.0</v>
      </c>
      <c r="FW531" s="174"/>
      <c r="FX531" s="174"/>
      <c r="FY531" s="174"/>
      <c r="FZ531" s="174">
        <v>1.0</v>
      </c>
      <c r="GA531" s="174">
        <v>0.0</v>
      </c>
      <c r="GB531" s="174">
        <v>1.0</v>
      </c>
      <c r="GC531" s="174">
        <v>0.0</v>
      </c>
      <c r="GD531" s="174">
        <v>1.0</v>
      </c>
      <c r="GE531" s="174">
        <v>0.0</v>
      </c>
      <c r="GF531" s="174">
        <v>0.0</v>
      </c>
      <c r="GG531" s="174">
        <v>1.0</v>
      </c>
      <c r="GH531" s="174"/>
      <c r="GI531" s="174"/>
      <c r="GJ531" s="174"/>
      <c r="GK531" s="174">
        <v>1.0</v>
      </c>
      <c r="GL531" s="175">
        <v>1.0</v>
      </c>
      <c r="GM531" s="175">
        <v>1.0</v>
      </c>
      <c r="GN531" s="174"/>
      <c r="GO531" s="174"/>
      <c r="GP531" s="176"/>
      <c r="GQ531" s="174"/>
      <c r="GR531" s="174"/>
      <c r="GS531" s="174"/>
      <c r="GT531" s="174"/>
      <c r="GU531" s="174"/>
      <c r="GV531" s="174"/>
      <c r="GW531" s="174"/>
      <c r="GX531" s="174"/>
      <c r="GY531" s="174"/>
      <c r="GZ531" s="174"/>
      <c r="HA531" s="174"/>
      <c r="HB531" s="155">
        <v>0.0</v>
      </c>
      <c r="HC531" s="155">
        <v>0.0</v>
      </c>
      <c r="HD531" s="155">
        <v>0.0</v>
      </c>
      <c r="HE531" s="155">
        <v>0.0</v>
      </c>
      <c r="HF531" s="155">
        <v>0.0</v>
      </c>
      <c r="HG531" s="155">
        <v>0.0</v>
      </c>
      <c r="HH531" s="174"/>
      <c r="HI531" s="174"/>
      <c r="HJ531" s="174"/>
      <c r="HK531" s="174"/>
      <c r="HL531" s="174"/>
      <c r="HM531" s="174"/>
      <c r="HN531" s="174"/>
      <c r="HO531" s="174"/>
      <c r="HP531" s="174"/>
      <c r="HQ531" s="174"/>
      <c r="HR531" s="174"/>
      <c r="HS531" s="174"/>
      <c r="HT531" s="174"/>
      <c r="HU531" s="174"/>
      <c r="HV531" s="174"/>
      <c r="HW531" s="174"/>
      <c r="HX531" s="174"/>
      <c r="HY531" s="174"/>
      <c r="HZ531" s="174"/>
      <c r="IA531" s="174"/>
      <c r="IB531" s="174"/>
      <c r="IC531" s="174"/>
      <c r="ID531" s="174"/>
      <c r="IE531" s="174"/>
      <c r="IF531" s="174"/>
      <c r="IG531" s="174"/>
      <c r="IH531" s="174"/>
      <c r="II531" s="174"/>
      <c r="IJ531" s="174"/>
      <c r="IK531" s="174"/>
      <c r="IL531" s="159">
        <v>0.0</v>
      </c>
      <c r="IM531" s="156">
        <v>0.0</v>
      </c>
      <c r="IN531" s="156">
        <v>0.0</v>
      </c>
      <c r="IO531" s="156">
        <v>0.0</v>
      </c>
      <c r="IP531" s="156">
        <v>0.0</v>
      </c>
      <c r="IQ531" s="160">
        <v>0.0</v>
      </c>
      <c r="JH531" s="25"/>
      <c r="JW531" s="159">
        <v>0.0</v>
      </c>
      <c r="JX531" s="156">
        <v>0.0</v>
      </c>
      <c r="JY531" s="156">
        <v>0.0</v>
      </c>
      <c r="JZ531" s="156">
        <v>0.0</v>
      </c>
      <c r="KA531" s="156">
        <v>0.0</v>
      </c>
      <c r="KB531" s="160">
        <v>0.0</v>
      </c>
      <c r="LH531" s="159">
        <f t="shared" si="10"/>
        <v>0</v>
      </c>
      <c r="LI531" s="156">
        <f t="shared" si="11"/>
        <v>0</v>
      </c>
      <c r="LJ531" s="156">
        <f t="shared" si="12"/>
        <v>0</v>
      </c>
      <c r="LK531" s="156">
        <f t="shared" si="13"/>
        <v>0</v>
      </c>
      <c r="LL531" s="156">
        <f t="shared" si="14"/>
        <v>0</v>
      </c>
      <c r="LM531" s="160">
        <f t="shared" si="15"/>
        <v>0</v>
      </c>
      <c r="QX531" s="539">
        <v>46057.0</v>
      </c>
    </row>
    <row r="532">
      <c r="A532" s="12"/>
      <c r="B532" s="12"/>
      <c r="C532" s="12"/>
      <c r="D532" s="12"/>
      <c r="E532" s="12"/>
      <c r="F532" s="12"/>
      <c r="G532" s="12"/>
      <c r="H532" s="12"/>
      <c r="I532" s="143">
        <f t="shared" si="22"/>
        <v>-4</v>
      </c>
      <c r="J532" s="537">
        <v>46064.0</v>
      </c>
      <c r="K532" s="180" t="s">
        <v>61</v>
      </c>
      <c r="L532" s="23">
        <v>46086.0</v>
      </c>
      <c r="M532" s="162" t="s">
        <v>107</v>
      </c>
      <c r="N532" s="188">
        <v>246.0</v>
      </c>
      <c r="O532" s="86">
        <v>30.0</v>
      </c>
      <c r="U532" s="162" t="s">
        <v>3160</v>
      </c>
      <c r="V532" s="538" t="s">
        <v>3161</v>
      </c>
      <c r="W532" s="185" t="s">
        <v>3412</v>
      </c>
      <c r="X532" s="140"/>
      <c r="Y532" s="166">
        <f t="shared" si="23"/>
        <v>4</v>
      </c>
      <c r="Z532" s="26">
        <f t="shared" si="7"/>
        <v>0</v>
      </c>
      <c r="AA532" s="26">
        <f t="shared" si="8"/>
        <v>1</v>
      </c>
      <c r="AB532" s="26">
        <f t="shared" si="9"/>
        <v>0</v>
      </c>
      <c r="AC532" s="155">
        <v>0.0</v>
      </c>
      <c r="AD532" s="155">
        <v>0.0</v>
      </c>
      <c r="AE532" s="155">
        <v>0.0</v>
      </c>
      <c r="AF532" s="155">
        <v>0.0</v>
      </c>
      <c r="AG532" s="155">
        <v>0.0</v>
      </c>
      <c r="AH532" s="155">
        <v>0.0</v>
      </c>
      <c r="BN532" s="155">
        <v>4.0</v>
      </c>
      <c r="BO532" s="155">
        <v>0.0</v>
      </c>
      <c r="BP532" s="155">
        <v>0.0</v>
      </c>
      <c r="BQ532" s="155">
        <v>1.0</v>
      </c>
      <c r="BR532" s="155">
        <v>0.0</v>
      </c>
      <c r="BS532" s="155">
        <v>0.0</v>
      </c>
      <c r="CD532" s="167">
        <v>1.0</v>
      </c>
      <c r="CE532" s="167">
        <v>0.0</v>
      </c>
      <c r="CF532" s="168" t="s">
        <v>947</v>
      </c>
      <c r="CG532" s="167"/>
      <c r="CH532" s="167"/>
      <c r="CI532" s="167"/>
      <c r="CJ532" s="167"/>
      <c r="CK532" s="167"/>
      <c r="CL532" s="167"/>
      <c r="CM532" s="167"/>
      <c r="CN532" s="167"/>
      <c r="CO532" s="167"/>
      <c r="CP532" s="167"/>
      <c r="CQ532" s="167"/>
      <c r="CR532" s="167">
        <v>1.0</v>
      </c>
      <c r="CS532" s="167">
        <v>0.0</v>
      </c>
      <c r="CT532" s="167"/>
      <c r="CU532" s="168">
        <v>1.0</v>
      </c>
      <c r="CV532" s="156">
        <v>0.0</v>
      </c>
      <c r="CW532" s="156">
        <v>0.0</v>
      </c>
      <c r="CX532" s="156">
        <v>0.0</v>
      </c>
      <c r="CY532" s="156">
        <v>0.0</v>
      </c>
      <c r="CZ532" s="156">
        <v>0.0</v>
      </c>
      <c r="DA532" s="156">
        <v>0.0</v>
      </c>
      <c r="DB532" s="174"/>
      <c r="DC532" s="174"/>
      <c r="DD532" s="174"/>
      <c r="DE532" s="175"/>
      <c r="DF532" s="174"/>
      <c r="DG532" s="174"/>
      <c r="DH532" s="174"/>
      <c r="DI532" s="174"/>
      <c r="DJ532" s="174"/>
      <c r="DK532" s="174"/>
      <c r="DL532" s="174"/>
      <c r="DM532" s="174"/>
      <c r="DN532" s="174"/>
      <c r="DO532" s="174"/>
      <c r="DP532" s="174"/>
      <c r="DQ532" s="174"/>
      <c r="DR532" s="174"/>
      <c r="DS532" s="174"/>
      <c r="DT532" s="174"/>
      <c r="DU532" s="174"/>
      <c r="DV532" s="174"/>
      <c r="DW532" s="174"/>
      <c r="DX532" s="174"/>
      <c r="DY532" s="174"/>
      <c r="DZ532" s="174"/>
      <c r="EA532" s="174"/>
      <c r="EB532" s="174"/>
      <c r="EC532" s="174"/>
      <c r="ED532" s="174"/>
      <c r="EE532" s="174"/>
      <c r="EF532" s="174"/>
      <c r="EG532" s="156">
        <v>0.0</v>
      </c>
      <c r="EH532" s="156">
        <v>0.0</v>
      </c>
      <c r="EI532" s="156">
        <v>0.0</v>
      </c>
      <c r="EJ532" s="156">
        <v>0.0</v>
      </c>
      <c r="EK532" s="156">
        <v>0.0</v>
      </c>
      <c r="EL532" s="156">
        <v>0.0</v>
      </c>
      <c r="FQ532" s="156">
        <v>0.0</v>
      </c>
      <c r="FR532" s="156">
        <v>0.0</v>
      </c>
      <c r="FS532" s="156">
        <v>0.0</v>
      </c>
      <c r="FT532" s="156">
        <v>0.0</v>
      </c>
      <c r="FU532" s="156">
        <v>0.0</v>
      </c>
      <c r="FV532" s="156">
        <v>0.0</v>
      </c>
      <c r="FW532" s="157"/>
      <c r="FX532" s="157"/>
      <c r="FY532" s="157"/>
      <c r="FZ532" s="157"/>
      <c r="GA532" s="157"/>
      <c r="GB532" s="157"/>
      <c r="GC532" s="157"/>
      <c r="GD532" s="157"/>
      <c r="GE532" s="157"/>
      <c r="GF532" s="157"/>
      <c r="GG532" s="157"/>
      <c r="GH532" s="157"/>
      <c r="GI532" s="157"/>
      <c r="GJ532" s="157"/>
      <c r="GK532" s="157"/>
      <c r="GL532" s="157"/>
      <c r="GM532" s="157"/>
      <c r="GN532" s="157"/>
      <c r="GO532" s="157"/>
      <c r="GP532" s="158"/>
      <c r="GQ532" s="157"/>
      <c r="GR532" s="157"/>
      <c r="GS532" s="157"/>
      <c r="GT532" s="157"/>
      <c r="GU532" s="157"/>
      <c r="GV532" s="157"/>
      <c r="GW532" s="157"/>
      <c r="GX532" s="157"/>
      <c r="GY532" s="157"/>
      <c r="GZ532" s="157"/>
      <c r="HA532" s="157"/>
      <c r="HB532" s="155">
        <v>0.0</v>
      </c>
      <c r="HC532" s="155">
        <v>0.0</v>
      </c>
      <c r="HD532" s="155">
        <v>0.0</v>
      </c>
      <c r="HE532" s="155">
        <v>0.0</v>
      </c>
      <c r="HF532" s="155">
        <v>0.0</v>
      </c>
      <c r="HG532" s="155">
        <v>0.0</v>
      </c>
      <c r="IL532" s="159">
        <v>0.0</v>
      </c>
      <c r="IM532" s="156">
        <v>0.0</v>
      </c>
      <c r="IN532" s="156">
        <v>0.0</v>
      </c>
      <c r="IO532" s="156">
        <v>0.0</v>
      </c>
      <c r="IP532" s="156">
        <v>0.0</v>
      </c>
      <c r="IQ532" s="160">
        <v>0.0</v>
      </c>
      <c r="JH532" s="25"/>
      <c r="JW532" s="159">
        <v>0.0</v>
      </c>
      <c r="JX532" s="156">
        <v>0.0</v>
      </c>
      <c r="JY532" s="156">
        <v>0.0</v>
      </c>
      <c r="JZ532" s="156">
        <v>0.0</v>
      </c>
      <c r="KA532" s="156">
        <v>0.0</v>
      </c>
      <c r="KB532" s="160">
        <v>0.0</v>
      </c>
      <c r="LH532" s="159">
        <f t="shared" si="10"/>
        <v>0</v>
      </c>
      <c r="LI532" s="156">
        <f t="shared" si="11"/>
        <v>0</v>
      </c>
      <c r="LJ532" s="156">
        <f t="shared" si="12"/>
        <v>0</v>
      </c>
      <c r="LK532" s="156">
        <f t="shared" si="13"/>
        <v>0</v>
      </c>
      <c r="LL532" s="156">
        <f t="shared" si="14"/>
        <v>0</v>
      </c>
      <c r="LM532" s="160">
        <f t="shared" si="15"/>
        <v>0</v>
      </c>
      <c r="QX532" s="539">
        <v>46059.0</v>
      </c>
    </row>
    <row r="533">
      <c r="A533" s="12"/>
      <c r="B533" s="12"/>
      <c r="C533" s="12"/>
      <c r="D533" s="12"/>
      <c r="E533" s="12"/>
      <c r="F533" s="12"/>
      <c r="G533" s="12"/>
      <c r="H533" s="12"/>
      <c r="I533" s="143">
        <f t="shared" si="22"/>
        <v>-24</v>
      </c>
      <c r="J533" s="537">
        <v>46065.0</v>
      </c>
      <c r="K533" s="529" t="s">
        <v>61</v>
      </c>
      <c r="L533" s="520">
        <v>46130.0</v>
      </c>
      <c r="M533" s="307" t="s">
        <v>107</v>
      </c>
      <c r="N533" s="528">
        <v>357.0</v>
      </c>
      <c r="O533" s="528">
        <v>45.0</v>
      </c>
      <c r="P533" s="309"/>
      <c r="Q533" s="309"/>
      <c r="R533" s="309"/>
      <c r="S533" s="309"/>
      <c r="T533" s="309"/>
      <c r="U533" s="529" t="s">
        <v>3306</v>
      </c>
      <c r="V533" s="530" t="s">
        <v>3238</v>
      </c>
      <c r="W533" s="22" t="s">
        <v>3307</v>
      </c>
      <c r="X533" s="140"/>
      <c r="Y533" s="166">
        <f t="shared" si="23"/>
        <v>24</v>
      </c>
      <c r="Z533" s="26">
        <f t="shared" si="7"/>
        <v>0</v>
      </c>
      <c r="AA533" s="26">
        <f t="shared" si="8"/>
        <v>3</v>
      </c>
      <c r="AB533" s="26">
        <f t="shared" si="9"/>
        <v>0</v>
      </c>
      <c r="AC533" s="155">
        <v>0.0</v>
      </c>
      <c r="AD533" s="155">
        <v>0.0</v>
      </c>
      <c r="AE533" s="155">
        <v>0.0</v>
      </c>
      <c r="AF533" s="155">
        <v>0.0</v>
      </c>
      <c r="AG533" s="155">
        <v>0.0</v>
      </c>
      <c r="AH533" s="155">
        <v>0.0</v>
      </c>
      <c r="BN533" s="155">
        <v>5.0</v>
      </c>
      <c r="BO533" s="155">
        <v>0.0</v>
      </c>
      <c r="BP533" s="155">
        <v>0.0</v>
      </c>
      <c r="BQ533" s="155">
        <v>0.0</v>
      </c>
      <c r="BR533" s="155">
        <v>0.0</v>
      </c>
      <c r="BS533" s="155">
        <v>0.0</v>
      </c>
      <c r="CE533" s="167">
        <v>1.0</v>
      </c>
      <c r="CF533" s="167">
        <v>0.0</v>
      </c>
      <c r="CG533" s="167">
        <v>1.0</v>
      </c>
      <c r="CH533" s="167"/>
      <c r="CI533" s="167"/>
      <c r="CJ533" s="167"/>
      <c r="CK533" s="167"/>
      <c r="CL533" s="167"/>
      <c r="CM533" s="167"/>
      <c r="CN533" s="167"/>
      <c r="CO533" s="167"/>
      <c r="CP533" s="167"/>
      <c r="CQ533" s="167">
        <v>1.0</v>
      </c>
      <c r="CR533" s="167">
        <v>0.0</v>
      </c>
      <c r="CS533" s="167">
        <v>1.0</v>
      </c>
      <c r="CT533" s="167">
        <v>0.0</v>
      </c>
      <c r="CU533" s="167">
        <v>1.0</v>
      </c>
      <c r="CV533" s="156">
        <v>12.0</v>
      </c>
      <c r="CW533" s="156">
        <v>0.0</v>
      </c>
      <c r="CX533" s="156">
        <v>0.0</v>
      </c>
      <c r="CY533" s="156">
        <v>1.0</v>
      </c>
      <c r="CZ533" s="156">
        <v>0.0</v>
      </c>
      <c r="DA533" s="156">
        <v>0.0</v>
      </c>
      <c r="DB533" s="395">
        <v>0.0</v>
      </c>
      <c r="DC533" s="395">
        <v>0.0</v>
      </c>
      <c r="DD533" s="395">
        <v>1.0</v>
      </c>
      <c r="DE533" s="395">
        <v>0.0</v>
      </c>
      <c r="DF533" s="395">
        <v>1.0</v>
      </c>
      <c r="DG533" s="395"/>
      <c r="DH533" s="395"/>
      <c r="DI533" s="395"/>
      <c r="DJ533" s="395"/>
      <c r="DK533" s="395">
        <v>1.0</v>
      </c>
      <c r="DL533" s="395">
        <v>0.0</v>
      </c>
      <c r="DM533" s="395">
        <v>1.0</v>
      </c>
      <c r="DN533" s="395">
        <v>0.0</v>
      </c>
      <c r="DO533" s="395" t="s">
        <v>947</v>
      </c>
      <c r="DP533" s="395">
        <v>0.0</v>
      </c>
      <c r="DQ533" s="395">
        <v>0.0</v>
      </c>
      <c r="DR533" s="395">
        <v>1.0</v>
      </c>
      <c r="DS533" s="395">
        <v>0.0</v>
      </c>
      <c r="DT533" s="395">
        <v>1.0</v>
      </c>
      <c r="DU533" s="395">
        <v>0.0</v>
      </c>
      <c r="DV533" s="395">
        <v>1.0</v>
      </c>
      <c r="DW533" s="395">
        <v>0.0</v>
      </c>
      <c r="DX533" s="395">
        <v>0.0</v>
      </c>
      <c r="DY533" s="395">
        <v>1.0</v>
      </c>
      <c r="DZ533" s="395">
        <v>0.0</v>
      </c>
      <c r="EA533" s="395">
        <v>1.0</v>
      </c>
      <c r="EB533" s="395">
        <v>0.0</v>
      </c>
      <c r="EC533" s="395">
        <v>1.0</v>
      </c>
      <c r="ED533" s="395">
        <v>0.0</v>
      </c>
      <c r="EE533" s="395">
        <v>0.0</v>
      </c>
      <c r="EF533" s="395">
        <v>1.0</v>
      </c>
      <c r="EG533" s="156">
        <v>7.0</v>
      </c>
      <c r="EH533" s="156">
        <v>0.0</v>
      </c>
      <c r="EI533" s="156">
        <v>0.0</v>
      </c>
      <c r="EJ533" s="156">
        <v>2.0</v>
      </c>
      <c r="EK533" s="156">
        <v>0.0</v>
      </c>
      <c r="EL533" s="156">
        <v>0.0</v>
      </c>
      <c r="EM533" s="395">
        <v>0.0</v>
      </c>
      <c r="EN533" s="395">
        <v>1.0</v>
      </c>
      <c r="EO533" s="395">
        <v>0.0</v>
      </c>
      <c r="EP533" s="395" t="s">
        <v>947</v>
      </c>
      <c r="EQ533" s="395">
        <v>0.0</v>
      </c>
      <c r="ER533" s="395">
        <v>0.0</v>
      </c>
      <c r="ES533" s="395"/>
      <c r="ET533" s="395">
        <v>0.0</v>
      </c>
      <c r="EU533" s="395">
        <v>1.0</v>
      </c>
      <c r="EV533" s="395">
        <v>0.0</v>
      </c>
      <c r="EW533" s="395">
        <v>1.0</v>
      </c>
      <c r="EX533" s="395">
        <v>0.0</v>
      </c>
      <c r="EY533" s="395">
        <v>0.0</v>
      </c>
      <c r="EZ533" s="395">
        <v>1.0</v>
      </c>
      <c r="FA533" s="395">
        <v>0.0</v>
      </c>
      <c r="FB533" s="395">
        <v>1.0</v>
      </c>
      <c r="FC533" s="395">
        <v>0.0</v>
      </c>
      <c r="FD533" s="395" t="s">
        <v>947</v>
      </c>
      <c r="FE533" s="395"/>
      <c r="FF533" s="395"/>
      <c r="FG533" s="395"/>
      <c r="FH533" s="395"/>
      <c r="FI533" s="395"/>
      <c r="FJ533" s="395"/>
      <c r="FK533" s="395"/>
      <c r="FL533" s="395"/>
      <c r="FM533" s="395"/>
      <c r="FN533" s="395"/>
      <c r="FO533" s="395"/>
      <c r="FP533" s="395"/>
      <c r="FQ533" s="156">
        <v>0.0</v>
      </c>
      <c r="FR533" s="156">
        <v>0.0</v>
      </c>
      <c r="FS533" s="156">
        <v>0.0</v>
      </c>
      <c r="FT533" s="156">
        <v>0.0</v>
      </c>
      <c r="FU533" s="156">
        <v>0.0</v>
      </c>
      <c r="FV533" s="156">
        <v>0.0</v>
      </c>
      <c r="FW533" s="157"/>
      <c r="FX533" s="157"/>
      <c r="FY533" s="157"/>
      <c r="FZ533" s="157"/>
      <c r="GA533" s="157"/>
      <c r="GB533" s="157"/>
      <c r="GC533" s="157"/>
      <c r="GD533" s="157"/>
      <c r="GE533" s="157"/>
      <c r="GF533" s="157"/>
      <c r="GG533" s="157"/>
      <c r="GH533" s="157"/>
      <c r="GI533" s="157"/>
      <c r="GJ533" s="157"/>
      <c r="GK533" s="157"/>
      <c r="GL533" s="157"/>
      <c r="GM533" s="157"/>
      <c r="GN533" s="157"/>
      <c r="GO533" s="157"/>
      <c r="GP533" s="158"/>
      <c r="GQ533" s="157"/>
      <c r="GR533" s="157"/>
      <c r="GS533" s="157"/>
      <c r="GT533" s="157"/>
      <c r="GU533" s="157"/>
      <c r="GV533" s="157"/>
      <c r="GW533" s="157"/>
      <c r="GX533" s="157"/>
      <c r="GY533" s="157"/>
      <c r="GZ533" s="157"/>
      <c r="HA533" s="157"/>
      <c r="HB533" s="155">
        <v>0.0</v>
      </c>
      <c r="HC533" s="155">
        <v>0.0</v>
      </c>
      <c r="HD533" s="155">
        <v>0.0</v>
      </c>
      <c r="HE533" s="155">
        <v>0.0</v>
      </c>
      <c r="HF533" s="155">
        <v>0.0</v>
      </c>
      <c r="HG533" s="155">
        <v>0.0</v>
      </c>
      <c r="IL533" s="159">
        <v>0.0</v>
      </c>
      <c r="IM533" s="156">
        <v>0.0</v>
      </c>
      <c r="IN533" s="156">
        <v>0.0</v>
      </c>
      <c r="IO533" s="156">
        <v>0.0</v>
      </c>
      <c r="IP533" s="156">
        <v>0.0</v>
      </c>
      <c r="IQ533" s="160">
        <v>0.0</v>
      </c>
      <c r="JH533" s="25"/>
      <c r="JW533" s="159">
        <v>0.0</v>
      </c>
      <c r="JX533" s="156">
        <v>0.0</v>
      </c>
      <c r="JY533" s="156">
        <v>0.0</v>
      </c>
      <c r="JZ533" s="156">
        <v>0.0</v>
      </c>
      <c r="KA533" s="156">
        <v>0.0</v>
      </c>
      <c r="KB533" s="160">
        <v>0.0</v>
      </c>
      <c r="LH533" s="159">
        <f t="shared" si="10"/>
        <v>0</v>
      </c>
      <c r="LI533" s="156">
        <f t="shared" si="11"/>
        <v>0</v>
      </c>
      <c r="LJ533" s="156">
        <f t="shared" si="12"/>
        <v>0</v>
      </c>
      <c r="LK533" s="156">
        <f t="shared" si="13"/>
        <v>0</v>
      </c>
      <c r="LL533" s="156">
        <f t="shared" si="14"/>
        <v>0</v>
      </c>
      <c r="LM533" s="160">
        <f t="shared" si="15"/>
        <v>0</v>
      </c>
      <c r="QX533" s="539">
        <v>46062.0</v>
      </c>
    </row>
    <row r="534">
      <c r="A534" s="58"/>
      <c r="B534" s="58"/>
      <c r="C534" s="12"/>
      <c r="D534" s="12"/>
      <c r="E534" s="58"/>
      <c r="F534" s="12"/>
      <c r="G534" s="12"/>
      <c r="H534" s="12"/>
      <c r="I534" s="143">
        <f t="shared" si="22"/>
        <v>-32</v>
      </c>
      <c r="J534" s="537">
        <v>46065.0</v>
      </c>
      <c r="K534" s="294" t="s">
        <v>61</v>
      </c>
      <c r="L534" s="23">
        <v>46183.0</v>
      </c>
      <c r="M534" s="86" t="s">
        <v>712</v>
      </c>
      <c r="N534" s="188">
        <v>357.0</v>
      </c>
      <c r="O534" s="86">
        <v>30.0</v>
      </c>
      <c r="U534" s="162" t="s">
        <v>3252</v>
      </c>
      <c r="V534" s="538" t="s">
        <v>2801</v>
      </c>
      <c r="W534" s="125" t="s">
        <v>3413</v>
      </c>
      <c r="X534" s="140"/>
      <c r="Y534" s="166">
        <f t="shared" si="23"/>
        <v>32</v>
      </c>
      <c r="Z534" s="26">
        <f t="shared" si="7"/>
        <v>0</v>
      </c>
      <c r="AA534" s="26">
        <f t="shared" si="8"/>
        <v>0</v>
      </c>
      <c r="AB534" s="26">
        <f t="shared" si="9"/>
        <v>0</v>
      </c>
      <c r="AC534" s="155">
        <v>0.0</v>
      </c>
      <c r="AD534" s="155">
        <v>0.0</v>
      </c>
      <c r="AE534" s="155">
        <v>0.0</v>
      </c>
      <c r="AF534" s="155">
        <v>0.0</v>
      </c>
      <c r="AG534" s="155">
        <v>0.0</v>
      </c>
      <c r="AH534" s="155">
        <v>0.0</v>
      </c>
      <c r="BN534" s="155">
        <v>4.0</v>
      </c>
      <c r="BO534" s="155">
        <v>0.0</v>
      </c>
      <c r="BP534" s="155">
        <v>0.0</v>
      </c>
      <c r="BQ534" s="155">
        <v>0.0</v>
      </c>
      <c r="BR534" s="155">
        <v>0.0</v>
      </c>
      <c r="BS534" s="155">
        <v>0.0</v>
      </c>
      <c r="CE534" s="167">
        <v>1.0</v>
      </c>
      <c r="CF534" s="167">
        <v>0.0</v>
      </c>
      <c r="CG534" s="167">
        <v>1.0</v>
      </c>
      <c r="CH534" s="167"/>
      <c r="CI534" s="167"/>
      <c r="CJ534" s="167"/>
      <c r="CK534" s="167"/>
      <c r="CL534" s="167"/>
      <c r="CM534" s="167"/>
      <c r="CN534" s="167"/>
      <c r="CO534" s="167"/>
      <c r="CP534" s="167"/>
      <c r="CQ534" s="167">
        <v>1.0</v>
      </c>
      <c r="CR534" s="167"/>
      <c r="CS534" s="167"/>
      <c r="CT534" s="167"/>
      <c r="CU534" s="167">
        <v>1.0</v>
      </c>
      <c r="CV534" s="156">
        <v>11.0</v>
      </c>
      <c r="CW534" s="156">
        <v>0.0</v>
      </c>
      <c r="CX534" s="156">
        <v>0.0</v>
      </c>
      <c r="CY534" s="156">
        <v>0.0</v>
      </c>
      <c r="CZ534" s="156">
        <v>0.0</v>
      </c>
      <c r="DA534" s="156">
        <v>0.0</v>
      </c>
      <c r="DB534" s="395">
        <v>0.0</v>
      </c>
      <c r="DC534" s="395">
        <v>1.0</v>
      </c>
      <c r="DD534" s="395">
        <v>1.0</v>
      </c>
      <c r="DE534" s="395">
        <v>0.0</v>
      </c>
      <c r="DF534" s="395">
        <v>1.0</v>
      </c>
      <c r="DG534" s="395">
        <v>0.0</v>
      </c>
      <c r="DH534" s="395">
        <v>1.0</v>
      </c>
      <c r="DI534" s="395">
        <v>0.0</v>
      </c>
      <c r="DJ534" s="395">
        <v>0.0</v>
      </c>
      <c r="DK534" s="395">
        <v>1.0</v>
      </c>
      <c r="DL534" s="395">
        <v>0.0</v>
      </c>
      <c r="DM534" s="395"/>
      <c r="DN534" s="395">
        <v>1.0</v>
      </c>
      <c r="DO534" s="395">
        <v>1.0</v>
      </c>
      <c r="DP534" s="395">
        <v>0.0</v>
      </c>
      <c r="DQ534" s="395">
        <v>0.0</v>
      </c>
      <c r="DR534" s="395">
        <v>1.0</v>
      </c>
      <c r="DS534" s="395"/>
      <c r="DT534" s="395"/>
      <c r="DU534" s="395"/>
      <c r="DV534" s="395">
        <v>1.0</v>
      </c>
      <c r="DW534" s="395"/>
      <c r="DX534" s="395"/>
      <c r="DY534" s="395"/>
      <c r="DZ534" s="395"/>
      <c r="EA534" s="395"/>
      <c r="EB534" s="395"/>
      <c r="EC534" s="395">
        <v>1.0</v>
      </c>
      <c r="ED534" s="395">
        <v>0.0</v>
      </c>
      <c r="EE534" s="395">
        <v>0.0</v>
      </c>
      <c r="EF534" s="395">
        <v>1.0</v>
      </c>
      <c r="EG534" s="156">
        <v>9.0</v>
      </c>
      <c r="EH534" s="156">
        <v>0.0</v>
      </c>
      <c r="EI534" s="156">
        <v>0.0</v>
      </c>
      <c r="EJ534" s="156">
        <v>0.0</v>
      </c>
      <c r="EK534" s="156">
        <v>0.0</v>
      </c>
      <c r="EL534" s="156">
        <v>1.0</v>
      </c>
      <c r="EM534" s="395">
        <v>0.0</v>
      </c>
      <c r="EN534" s="395">
        <v>1.0</v>
      </c>
      <c r="EO534" s="395">
        <v>0.0</v>
      </c>
      <c r="EP534" s="395">
        <v>1.0</v>
      </c>
      <c r="EQ534" s="395">
        <v>0.0</v>
      </c>
      <c r="ER534" s="395">
        <v>0.0</v>
      </c>
      <c r="ES534" s="395">
        <v>1.0</v>
      </c>
      <c r="ET534" s="395"/>
      <c r="EU534" s="395"/>
      <c r="EV534" s="395"/>
      <c r="EW534" s="395"/>
      <c r="EX534" s="395">
        <v>1.0</v>
      </c>
      <c r="EY534" s="395">
        <v>0.0</v>
      </c>
      <c r="EZ534" s="395">
        <v>1.0</v>
      </c>
      <c r="FA534" s="395">
        <v>0.0</v>
      </c>
      <c r="FB534" s="395">
        <v>1.0</v>
      </c>
      <c r="FC534" s="395"/>
      <c r="FD534" s="395"/>
      <c r="FE534" s="395"/>
      <c r="FF534" s="395">
        <v>1.0</v>
      </c>
      <c r="FG534" s="395"/>
      <c r="FH534" s="395" t="s">
        <v>3354</v>
      </c>
      <c r="FI534" s="395"/>
      <c r="FJ534" s="395">
        <v>1.0</v>
      </c>
      <c r="FK534" s="395"/>
      <c r="FL534" s="395"/>
      <c r="FM534" s="395"/>
      <c r="FN534" s="395"/>
      <c r="FO534" s="395">
        <v>1.0</v>
      </c>
      <c r="FP534" s="395"/>
      <c r="FQ534" s="156">
        <v>7.0</v>
      </c>
      <c r="FR534" s="156">
        <v>0.0</v>
      </c>
      <c r="FS534" s="156">
        <v>0.0</v>
      </c>
      <c r="FT534" s="156">
        <v>0.0</v>
      </c>
      <c r="FU534" s="156">
        <v>0.0</v>
      </c>
      <c r="FV534" s="156">
        <v>0.0</v>
      </c>
      <c r="FW534" s="172"/>
      <c r="FX534" s="172"/>
      <c r="FY534" s="172"/>
      <c r="FZ534" s="172"/>
      <c r="GA534" s="172"/>
      <c r="GB534" s="172">
        <v>1.0</v>
      </c>
      <c r="GC534" s="172"/>
      <c r="GD534" s="172">
        <v>1.0</v>
      </c>
      <c r="GE534" s="172"/>
      <c r="GF534" s="172">
        <v>0.0</v>
      </c>
      <c r="GG534" s="172">
        <v>0.0</v>
      </c>
      <c r="GH534" s="172"/>
      <c r="GI534" s="172">
        <v>1.0</v>
      </c>
      <c r="GJ534" s="172"/>
      <c r="GK534" s="172">
        <v>1.0</v>
      </c>
      <c r="GL534" s="172">
        <v>1.0</v>
      </c>
      <c r="GM534" s="172">
        <v>0.0</v>
      </c>
      <c r="GN534" s="172">
        <v>0.0</v>
      </c>
      <c r="GO534" s="172"/>
      <c r="GP534" s="170">
        <v>1.0</v>
      </c>
      <c r="GQ534" s="172"/>
      <c r="GR534" s="172"/>
      <c r="GS534" s="172"/>
      <c r="GT534" s="172"/>
      <c r="GU534" s="172">
        <v>1.0</v>
      </c>
      <c r="GV534" s="172"/>
      <c r="GW534" s="172"/>
      <c r="GX534" s="172"/>
      <c r="GY534" s="172"/>
      <c r="GZ534" s="172"/>
      <c r="HA534" s="172"/>
      <c r="HB534" s="155">
        <v>1.0</v>
      </c>
      <c r="HC534" s="155">
        <v>0.0</v>
      </c>
      <c r="HD534" s="155">
        <v>0.0</v>
      </c>
      <c r="HE534" s="155">
        <v>0.0</v>
      </c>
      <c r="HF534" s="155">
        <v>0.0</v>
      </c>
      <c r="HG534" s="155">
        <v>0.0</v>
      </c>
      <c r="HH534" s="172"/>
      <c r="HI534" s="172"/>
      <c r="HJ534" s="172">
        <v>1.0</v>
      </c>
      <c r="HK534" s="172"/>
      <c r="HL534" s="172"/>
      <c r="HM534" s="172"/>
      <c r="HN534" s="172"/>
      <c r="HO534" s="172"/>
      <c r="HP534" s="172"/>
      <c r="HQ534" s="172"/>
      <c r="HR534" s="172"/>
      <c r="HS534" s="172"/>
      <c r="HT534" s="172"/>
      <c r="HU534" s="172"/>
      <c r="HV534" s="172"/>
      <c r="HW534" s="172"/>
      <c r="HX534" s="172"/>
      <c r="HY534" s="172"/>
      <c r="HZ534" s="172"/>
      <c r="IA534" s="172"/>
      <c r="IB534" s="172"/>
      <c r="IC534" s="172"/>
      <c r="ID534" s="172"/>
      <c r="IE534" s="172"/>
      <c r="IF534" s="172"/>
      <c r="IG534" s="172"/>
      <c r="IH534" s="172"/>
      <c r="II534" s="172"/>
      <c r="IJ534" s="172"/>
      <c r="IK534" s="172"/>
      <c r="IL534" s="159">
        <v>0.0</v>
      </c>
      <c r="IM534" s="156">
        <v>0.0</v>
      </c>
      <c r="IN534" s="156">
        <v>0.0</v>
      </c>
      <c r="IO534" s="156">
        <v>0.0</v>
      </c>
      <c r="IP534" s="156">
        <v>0.0</v>
      </c>
      <c r="IQ534" s="160">
        <v>0.0</v>
      </c>
      <c r="IR534" s="172"/>
      <c r="IS534" s="172"/>
      <c r="IT534" s="172"/>
      <c r="IU534" s="172"/>
      <c r="IV534" s="172"/>
      <c r="IW534" s="172"/>
      <c r="IX534" s="172"/>
      <c r="IY534" s="172"/>
      <c r="IZ534" s="172"/>
      <c r="JA534" s="172"/>
      <c r="JB534" s="172"/>
      <c r="JC534" s="172"/>
      <c r="JD534" s="172"/>
      <c r="JE534" s="172"/>
      <c r="JF534" s="172"/>
      <c r="JG534" s="172"/>
      <c r="JH534" s="170"/>
      <c r="JI534" s="172"/>
      <c r="JJ534" s="172"/>
      <c r="JK534" s="172"/>
      <c r="JL534" s="172"/>
      <c r="JM534" s="172"/>
      <c r="JN534" s="172"/>
      <c r="JO534" s="172"/>
      <c r="JP534" s="172"/>
      <c r="JQ534" s="172"/>
      <c r="JR534" s="172"/>
      <c r="JS534" s="172"/>
      <c r="JT534" s="172"/>
      <c r="JU534" s="172"/>
      <c r="JV534" s="172"/>
      <c r="JW534" s="159">
        <v>0.0</v>
      </c>
      <c r="JX534" s="156">
        <v>0.0</v>
      </c>
      <c r="JY534" s="156">
        <v>0.0</v>
      </c>
      <c r="JZ534" s="156">
        <v>0.0</v>
      </c>
      <c r="KA534" s="156">
        <v>0.0</v>
      </c>
      <c r="KB534" s="160">
        <v>0.0</v>
      </c>
      <c r="LH534" s="159">
        <f t="shared" si="10"/>
        <v>0</v>
      </c>
      <c r="LI534" s="156">
        <f t="shared" si="11"/>
        <v>0</v>
      </c>
      <c r="LJ534" s="156">
        <f t="shared" si="12"/>
        <v>0</v>
      </c>
      <c r="LK534" s="156">
        <f t="shared" si="13"/>
        <v>0</v>
      </c>
      <c r="LL534" s="156">
        <f t="shared" si="14"/>
        <v>0</v>
      </c>
      <c r="LM534" s="160">
        <f t="shared" si="15"/>
        <v>0</v>
      </c>
      <c r="QX534" s="539">
        <v>46062.0</v>
      </c>
    </row>
    <row r="535">
      <c r="A535" s="12"/>
      <c r="B535" s="12"/>
      <c r="C535" s="12"/>
      <c r="D535" s="12"/>
      <c r="E535" s="12"/>
      <c r="F535" s="494"/>
      <c r="G535" s="12"/>
      <c r="H535" s="12"/>
      <c r="I535" s="143">
        <f t="shared" si="22"/>
        <v>-30</v>
      </c>
      <c r="J535" s="537">
        <v>46066.0</v>
      </c>
      <c r="K535" s="164" t="s">
        <v>61</v>
      </c>
      <c r="L535" s="23">
        <v>46164.0</v>
      </c>
      <c r="M535" s="86" t="s">
        <v>712</v>
      </c>
      <c r="N535" s="86" t="s">
        <v>424</v>
      </c>
      <c r="O535" s="86">
        <v>30.0</v>
      </c>
      <c r="U535" s="162" t="s">
        <v>3355</v>
      </c>
      <c r="V535" s="538" t="s">
        <v>230</v>
      </c>
      <c r="W535" s="125" t="s">
        <v>3414</v>
      </c>
      <c r="X535" s="140"/>
      <c r="Y535" s="166">
        <f t="shared" si="23"/>
        <v>30</v>
      </c>
      <c r="Z535" s="26">
        <f t="shared" si="7"/>
        <v>0</v>
      </c>
      <c r="AA535" s="26">
        <f t="shared" si="8"/>
        <v>0</v>
      </c>
      <c r="AB535" s="26">
        <f t="shared" si="9"/>
        <v>0</v>
      </c>
      <c r="AC535" s="155">
        <v>0.0</v>
      </c>
      <c r="AD535" s="155">
        <v>0.0</v>
      </c>
      <c r="AE535" s="155">
        <v>0.0</v>
      </c>
      <c r="AF535" s="155">
        <v>0.0</v>
      </c>
      <c r="AG535" s="155">
        <v>0.0</v>
      </c>
      <c r="AH535" s="155">
        <v>0.0</v>
      </c>
      <c r="BN535" s="155">
        <v>4.0</v>
      </c>
      <c r="BO535" s="155">
        <v>0.0</v>
      </c>
      <c r="BP535" s="155">
        <v>0.0</v>
      </c>
      <c r="BQ535" s="155">
        <v>0.0</v>
      </c>
      <c r="BR535" s="155">
        <v>0.0</v>
      </c>
      <c r="BS535" s="155">
        <v>0.0</v>
      </c>
      <c r="CF535" s="86">
        <v>1.0</v>
      </c>
      <c r="CG535" s="86">
        <v>1.0</v>
      </c>
      <c r="CP535" s="86">
        <v>1.0</v>
      </c>
      <c r="CQ535" s="86">
        <v>1.0</v>
      </c>
      <c r="CV535" s="156">
        <v>11.0</v>
      </c>
      <c r="CW535" s="156">
        <v>0.0</v>
      </c>
      <c r="CX535" s="156">
        <v>0.0</v>
      </c>
      <c r="CY535" s="156">
        <v>0.0</v>
      </c>
      <c r="CZ535" s="156">
        <v>0.0</v>
      </c>
      <c r="DA535" s="156">
        <v>0.0</v>
      </c>
      <c r="DD535" s="86">
        <v>1.0</v>
      </c>
      <c r="DF535" s="86">
        <v>1.0</v>
      </c>
      <c r="DJ535" s="86">
        <v>1.0</v>
      </c>
      <c r="DK535" s="86">
        <v>1.0</v>
      </c>
      <c r="DL535" s="86">
        <v>1.0</v>
      </c>
      <c r="DO535" s="86">
        <v>1.0</v>
      </c>
      <c r="DS535" s="86">
        <v>1.0</v>
      </c>
      <c r="DT535" s="86">
        <v>1.0</v>
      </c>
      <c r="DY535" s="86">
        <v>1.0</v>
      </c>
      <c r="EA535" s="86">
        <v>1.0</v>
      </c>
      <c r="EE535" s="86">
        <v>1.0</v>
      </c>
      <c r="EG535" s="156">
        <v>6.0</v>
      </c>
      <c r="EH535" s="156">
        <v>0.0</v>
      </c>
      <c r="EI535" s="156">
        <v>0.0</v>
      </c>
      <c r="EJ535" s="156">
        <v>0.0</v>
      </c>
      <c r="EK535" s="156">
        <v>0.0</v>
      </c>
      <c r="EL535" s="156">
        <v>0.0</v>
      </c>
      <c r="ER535" s="86">
        <v>1.0</v>
      </c>
      <c r="ES535" s="86">
        <v>1.0</v>
      </c>
      <c r="EV535" s="86">
        <v>1.0</v>
      </c>
      <c r="EW535" s="86">
        <v>1.0</v>
      </c>
      <c r="EZ535" s="86">
        <v>1.0</v>
      </c>
      <c r="FD535" s="86">
        <v>1.0</v>
      </c>
      <c r="FQ535" s="156">
        <v>9.0</v>
      </c>
      <c r="FR535" s="156">
        <v>0.0</v>
      </c>
      <c r="FS535" s="156">
        <v>0.0</v>
      </c>
      <c r="FT535" s="156">
        <v>0.0</v>
      </c>
      <c r="FU535" s="156">
        <v>0.0</v>
      </c>
      <c r="FV535" s="156">
        <v>0.0</v>
      </c>
      <c r="FW535" s="188"/>
      <c r="FX535" s="157"/>
      <c r="FY535" s="157"/>
      <c r="FZ535" s="188"/>
      <c r="GA535" s="157"/>
      <c r="GB535" s="157"/>
      <c r="GC535" s="188">
        <v>1.0</v>
      </c>
      <c r="GD535" s="188">
        <v>1.0</v>
      </c>
      <c r="GE535" s="188">
        <v>1.0</v>
      </c>
      <c r="GF535" s="157"/>
      <c r="GG535" s="188">
        <v>1.0</v>
      </c>
      <c r="GH535" s="188">
        <v>1.0</v>
      </c>
      <c r="GI535" s="188">
        <v>1.0</v>
      </c>
      <c r="GJ535" s="157"/>
      <c r="GK535" s="188">
        <v>1.0</v>
      </c>
      <c r="GL535" s="188">
        <v>1.0</v>
      </c>
      <c r="GM535" s="157"/>
      <c r="GN535" s="157"/>
      <c r="GO535" s="188"/>
      <c r="GP535" s="381">
        <v>1.0</v>
      </c>
      <c r="GQ535" s="157"/>
      <c r="GR535" s="157"/>
      <c r="GS535" s="157"/>
      <c r="GT535" s="157"/>
      <c r="GU535" s="157"/>
      <c r="GV535" s="157"/>
      <c r="GW535" s="157"/>
      <c r="GX535" s="157"/>
      <c r="GY535" s="157"/>
      <c r="GZ535" s="157"/>
      <c r="HA535" s="157"/>
      <c r="HB535" s="155">
        <v>0.0</v>
      </c>
      <c r="HC535" s="155">
        <v>0.0</v>
      </c>
      <c r="HD535" s="155">
        <v>0.0</v>
      </c>
      <c r="HE535" s="155">
        <v>0.0</v>
      </c>
      <c r="HF535" s="155">
        <v>0.0</v>
      </c>
      <c r="HG535" s="155">
        <v>0.0</v>
      </c>
      <c r="IL535" s="159">
        <v>0.0</v>
      </c>
      <c r="IM535" s="156">
        <v>0.0</v>
      </c>
      <c r="IN535" s="156">
        <v>0.0</v>
      </c>
      <c r="IO535" s="156">
        <v>0.0</v>
      </c>
      <c r="IP535" s="156">
        <v>0.0</v>
      </c>
      <c r="IQ535" s="160">
        <v>0.0</v>
      </c>
      <c r="JH535" s="25"/>
      <c r="JW535" s="159">
        <v>0.0</v>
      </c>
      <c r="JX535" s="156">
        <v>0.0</v>
      </c>
      <c r="JY535" s="156">
        <v>0.0</v>
      </c>
      <c r="JZ535" s="156">
        <v>0.0</v>
      </c>
      <c r="KA535" s="156">
        <v>0.0</v>
      </c>
      <c r="KB535" s="160">
        <v>0.0</v>
      </c>
      <c r="LH535" s="159">
        <f t="shared" si="10"/>
        <v>0</v>
      </c>
      <c r="LI535" s="156">
        <f t="shared" si="11"/>
        <v>0</v>
      </c>
      <c r="LJ535" s="156">
        <f t="shared" si="12"/>
        <v>0</v>
      </c>
      <c r="LK535" s="156">
        <f t="shared" si="13"/>
        <v>0</v>
      </c>
      <c r="LL535" s="156">
        <f t="shared" si="14"/>
        <v>0</v>
      </c>
      <c r="LM535" s="160">
        <f t="shared" si="15"/>
        <v>0</v>
      </c>
      <c r="QX535" s="539">
        <v>46062.0</v>
      </c>
    </row>
    <row r="536">
      <c r="A536" s="12"/>
      <c r="B536" s="12"/>
      <c r="C536" s="12"/>
      <c r="D536" s="12"/>
      <c r="E536" s="12"/>
      <c r="F536" s="12"/>
      <c r="G536" s="12"/>
      <c r="H536" s="12"/>
      <c r="I536" s="143">
        <f t="shared" si="22"/>
        <v>-28</v>
      </c>
      <c r="J536" s="537">
        <v>46076.0</v>
      </c>
      <c r="K536" s="184" t="s">
        <v>48</v>
      </c>
      <c r="L536" s="108"/>
      <c r="M536" s="86" t="s">
        <v>1733</v>
      </c>
      <c r="N536" s="86" t="s">
        <v>424</v>
      </c>
      <c r="O536" s="86">
        <v>30.0</v>
      </c>
      <c r="U536" s="162" t="s">
        <v>3147</v>
      </c>
      <c r="V536" s="538" t="s">
        <v>2893</v>
      </c>
      <c r="W536" s="185" t="s">
        <v>3415</v>
      </c>
      <c r="X536" s="140"/>
      <c r="Y536" s="166">
        <f t="shared" si="23"/>
        <v>28</v>
      </c>
      <c r="Z536" s="26">
        <f t="shared" si="7"/>
        <v>0</v>
      </c>
      <c r="AA536" s="26">
        <f t="shared" si="8"/>
        <v>0</v>
      </c>
      <c r="AB536" s="26">
        <f t="shared" si="9"/>
        <v>0</v>
      </c>
      <c r="AC536" s="155">
        <v>0.0</v>
      </c>
      <c r="AD536" s="155">
        <v>0.0</v>
      </c>
      <c r="AE536" s="155">
        <v>0.0</v>
      </c>
      <c r="AF536" s="155">
        <v>0.0</v>
      </c>
      <c r="AG536" s="155">
        <v>0.0</v>
      </c>
      <c r="AH536" s="155">
        <v>0.0</v>
      </c>
      <c r="BN536" s="155">
        <v>1.0</v>
      </c>
      <c r="BO536" s="155">
        <v>0.0</v>
      </c>
      <c r="BP536" s="155">
        <v>0.0</v>
      </c>
      <c r="BQ536" s="155">
        <v>0.0</v>
      </c>
      <c r="BR536" s="155">
        <v>0.0</v>
      </c>
      <c r="BS536" s="155">
        <v>0.0</v>
      </c>
      <c r="CP536" s="86">
        <v>1.0</v>
      </c>
      <c r="CV536" s="156">
        <v>7.0</v>
      </c>
      <c r="CW536" s="156">
        <v>0.0</v>
      </c>
      <c r="CX536" s="156">
        <v>0.0</v>
      </c>
      <c r="CY536" s="156">
        <v>0.0</v>
      </c>
      <c r="CZ536" s="156">
        <v>0.0</v>
      </c>
      <c r="DA536" s="156">
        <v>0.0</v>
      </c>
      <c r="DC536" s="86">
        <v>1.0</v>
      </c>
      <c r="DF536" s="86">
        <v>1.0</v>
      </c>
      <c r="DM536" s="86">
        <v>1.0</v>
      </c>
      <c r="DT536" s="86">
        <v>1.0</v>
      </c>
      <c r="DX536" s="86">
        <v>1.0</v>
      </c>
      <c r="EA536" s="86">
        <v>1.0</v>
      </c>
      <c r="EE536" s="86">
        <v>1.0</v>
      </c>
      <c r="EG536" s="156">
        <v>6.0</v>
      </c>
      <c r="EH536" s="156">
        <v>0.0</v>
      </c>
      <c r="EI536" s="156">
        <v>0.0</v>
      </c>
      <c r="EJ536" s="156">
        <v>0.0</v>
      </c>
      <c r="EK536" s="156">
        <v>0.0</v>
      </c>
      <c r="EL536" s="156">
        <v>0.0</v>
      </c>
      <c r="EQ536" s="86">
        <v>1.0</v>
      </c>
      <c r="EU536" s="86">
        <v>1.0</v>
      </c>
      <c r="EX536" s="86">
        <v>1.0</v>
      </c>
      <c r="FB536" s="86">
        <v>1.0</v>
      </c>
      <c r="FF536" s="86">
        <v>1.0</v>
      </c>
      <c r="FI536" s="86">
        <v>1.0</v>
      </c>
      <c r="FQ536" s="156">
        <v>6.0</v>
      </c>
      <c r="FR536" s="156">
        <v>0.0</v>
      </c>
      <c r="FS536" s="156">
        <v>0.0</v>
      </c>
      <c r="FT536" s="156">
        <v>0.0</v>
      </c>
      <c r="FU536" s="156">
        <v>0.0</v>
      </c>
      <c r="FV536" s="156">
        <v>0.0</v>
      </c>
      <c r="FW536" s="157"/>
      <c r="FX536" s="157"/>
      <c r="FY536" s="188"/>
      <c r="FZ536" s="157"/>
      <c r="GA536" s="157"/>
      <c r="GB536" s="157"/>
      <c r="GC536" s="188">
        <v>1.0</v>
      </c>
      <c r="GD536" s="157"/>
      <c r="GE536" s="157"/>
      <c r="GF536" s="188">
        <v>1.0</v>
      </c>
      <c r="GG536" s="157"/>
      <c r="GH536" s="157"/>
      <c r="GI536" s="157"/>
      <c r="GJ536" s="188">
        <v>1.0</v>
      </c>
      <c r="GK536" s="157"/>
      <c r="GL536" s="157"/>
      <c r="GM536" s="188">
        <v>1.0</v>
      </c>
      <c r="GN536" s="157"/>
      <c r="GO536" s="157"/>
      <c r="GP536" s="158"/>
      <c r="GQ536" s="188">
        <v>1.0</v>
      </c>
      <c r="GR536" s="157"/>
      <c r="GS536" s="157"/>
      <c r="GT536" s="157"/>
      <c r="GU536" s="188">
        <v>1.0</v>
      </c>
      <c r="GV536" s="157"/>
      <c r="GW536" s="157"/>
      <c r="GX536" s="157"/>
      <c r="GY536" s="157"/>
      <c r="GZ536" s="157"/>
      <c r="HA536" s="157"/>
      <c r="HB536" s="155">
        <v>3.0</v>
      </c>
      <c r="HC536" s="155">
        <v>0.0</v>
      </c>
      <c r="HD536" s="155">
        <v>0.0</v>
      </c>
      <c r="HE536" s="155">
        <v>0.0</v>
      </c>
      <c r="HF536" s="155">
        <v>0.0</v>
      </c>
      <c r="HG536" s="155">
        <v>0.0</v>
      </c>
      <c r="HK536" s="86">
        <v>1.0</v>
      </c>
      <c r="HO536" s="86">
        <v>1.0</v>
      </c>
      <c r="IA536" s="86">
        <v>1.0</v>
      </c>
      <c r="IL536" s="159">
        <v>5.0</v>
      </c>
      <c r="IM536" s="156">
        <v>0.0</v>
      </c>
      <c r="IN536" s="156">
        <v>0.0</v>
      </c>
      <c r="IO536" s="156">
        <v>0.0</v>
      </c>
      <c r="IP536" s="156">
        <v>0.0</v>
      </c>
      <c r="IQ536" s="160">
        <v>0.0</v>
      </c>
      <c r="IX536" s="86">
        <v>1.0</v>
      </c>
      <c r="JB536" s="86">
        <v>1.0</v>
      </c>
      <c r="JC536" s="86">
        <v>1.0</v>
      </c>
      <c r="JD536" s="86">
        <v>1.0</v>
      </c>
      <c r="JE536" s="86">
        <v>1.0</v>
      </c>
      <c r="JH536" s="25"/>
      <c r="JW536" s="159">
        <v>0.0</v>
      </c>
      <c r="JX536" s="156">
        <v>0.0</v>
      </c>
      <c r="JY536" s="156">
        <v>0.0</v>
      </c>
      <c r="JZ536" s="156">
        <v>0.0</v>
      </c>
      <c r="KA536" s="156">
        <v>0.0</v>
      </c>
      <c r="KB536" s="160">
        <v>0.0</v>
      </c>
      <c r="KS536" s="178"/>
      <c r="LH536" s="159">
        <f t="shared" si="10"/>
        <v>0</v>
      </c>
      <c r="LI536" s="156">
        <f t="shared" si="11"/>
        <v>0</v>
      </c>
      <c r="LJ536" s="156">
        <f t="shared" si="12"/>
        <v>0</v>
      </c>
      <c r="LK536" s="156">
        <f t="shared" si="13"/>
        <v>0</v>
      </c>
      <c r="LL536" s="156">
        <f t="shared" si="14"/>
        <v>0</v>
      </c>
      <c r="LM536" s="160">
        <f t="shared" si="15"/>
        <v>0</v>
      </c>
      <c r="QX536" s="539">
        <v>46062.0</v>
      </c>
    </row>
    <row r="537">
      <c r="A537" s="12"/>
      <c r="B537" s="12"/>
      <c r="C537" s="12"/>
      <c r="D537" s="12"/>
      <c r="E537" s="58"/>
      <c r="F537" s="12"/>
      <c r="G537" s="12"/>
      <c r="H537" s="12"/>
      <c r="I537" s="143">
        <f t="shared" si="22"/>
        <v>-28</v>
      </c>
      <c r="J537" s="537">
        <v>46077.0</v>
      </c>
      <c r="K537" s="184" t="s">
        <v>48</v>
      </c>
      <c r="L537" s="162"/>
      <c r="M537" s="86" t="s">
        <v>3139</v>
      </c>
      <c r="N537" s="86" t="s">
        <v>424</v>
      </c>
      <c r="O537" s="86">
        <v>30.0</v>
      </c>
      <c r="U537" s="162" t="s">
        <v>3416</v>
      </c>
      <c r="V537" s="538" t="s">
        <v>3417</v>
      </c>
      <c r="W537" s="185" t="s">
        <v>3418</v>
      </c>
      <c r="X537" s="140"/>
      <c r="Y537" s="166">
        <f t="shared" si="23"/>
        <v>28</v>
      </c>
      <c r="Z537" s="26">
        <f t="shared" si="7"/>
        <v>0</v>
      </c>
      <c r="AA537" s="26">
        <f t="shared" si="8"/>
        <v>0</v>
      </c>
      <c r="AB537" s="26">
        <f t="shared" si="9"/>
        <v>0</v>
      </c>
      <c r="AC537" s="155">
        <v>0.0</v>
      </c>
      <c r="AD537" s="155">
        <v>0.0</v>
      </c>
      <c r="AE537" s="155">
        <v>0.0</v>
      </c>
      <c r="AF537" s="155">
        <v>0.0</v>
      </c>
      <c r="AG537" s="155">
        <v>0.0</v>
      </c>
      <c r="AH537" s="155">
        <v>0.0</v>
      </c>
      <c r="BN537" s="155">
        <v>2.0</v>
      </c>
      <c r="BO537" s="155">
        <v>0.0</v>
      </c>
      <c r="BP537" s="155">
        <v>0.0</v>
      </c>
      <c r="BQ537" s="155">
        <v>0.0</v>
      </c>
      <c r="BR537" s="155">
        <v>0.0</v>
      </c>
      <c r="BS537" s="155">
        <v>0.0</v>
      </c>
      <c r="CQ537" s="86">
        <v>1.0</v>
      </c>
      <c r="CR537" s="86">
        <v>1.0</v>
      </c>
      <c r="CV537" s="156">
        <v>9.0</v>
      </c>
      <c r="CW537" s="156">
        <v>0.0</v>
      </c>
      <c r="CX537" s="156">
        <v>0.0</v>
      </c>
      <c r="CY537" s="156">
        <v>0.0</v>
      </c>
      <c r="CZ537" s="156">
        <v>0.0</v>
      </c>
      <c r="DA537" s="156">
        <v>0.0</v>
      </c>
      <c r="DB537" s="86">
        <v>1.0</v>
      </c>
      <c r="DD537" s="86">
        <v>1.0</v>
      </c>
      <c r="DI537" s="86">
        <v>1.0</v>
      </c>
      <c r="DN537" s="86">
        <v>1.0</v>
      </c>
      <c r="DS537" s="86">
        <v>1.0</v>
      </c>
      <c r="DV537" s="86">
        <v>1.0</v>
      </c>
      <c r="DX537" s="86">
        <v>1.0</v>
      </c>
      <c r="DY537" s="86">
        <v>1.0</v>
      </c>
      <c r="EC537" s="86">
        <v>1.0</v>
      </c>
      <c r="EG537" s="156">
        <v>6.0</v>
      </c>
      <c r="EH537" s="156">
        <v>0.0</v>
      </c>
      <c r="EI537" s="156">
        <v>0.0</v>
      </c>
      <c r="EJ537" s="156">
        <v>0.0</v>
      </c>
      <c r="EK537" s="156">
        <v>0.0</v>
      </c>
      <c r="EL537" s="156">
        <v>0.0</v>
      </c>
      <c r="EN537" s="86">
        <v>1.0</v>
      </c>
      <c r="EP537" s="86">
        <v>1.0</v>
      </c>
      <c r="ES537" s="86">
        <v>1.0</v>
      </c>
      <c r="EW537" s="86">
        <v>1.0</v>
      </c>
      <c r="FA537" s="86">
        <v>1.0</v>
      </c>
      <c r="FI537" s="86">
        <v>1.0</v>
      </c>
      <c r="FQ537" s="156">
        <v>0.0</v>
      </c>
      <c r="FR537" s="156">
        <v>0.0</v>
      </c>
      <c r="FS537" s="156">
        <v>0.0</v>
      </c>
      <c r="FT537" s="156">
        <v>0.0</v>
      </c>
      <c r="FU537" s="156">
        <v>0.0</v>
      </c>
      <c r="FV537" s="156">
        <v>0.0</v>
      </c>
      <c r="FW537" s="157"/>
      <c r="FX537" s="157"/>
      <c r="FY537" s="157"/>
      <c r="FZ537" s="157"/>
      <c r="GA537" s="188"/>
      <c r="GB537" s="188"/>
      <c r="GC537" s="188"/>
      <c r="GD537" s="157"/>
      <c r="GE537" s="157"/>
      <c r="GF537" s="157"/>
      <c r="GG537" s="157"/>
      <c r="GH537" s="188"/>
      <c r="GI537" s="188"/>
      <c r="GJ537" s="188"/>
      <c r="GK537" s="157"/>
      <c r="GL537" s="157"/>
      <c r="GM537" s="157"/>
      <c r="GN537" s="157"/>
      <c r="GO537" s="188"/>
      <c r="GP537" s="381"/>
      <c r="GQ537" s="157"/>
      <c r="GR537" s="157"/>
      <c r="GS537" s="157"/>
      <c r="GT537" s="157"/>
      <c r="GU537" s="157"/>
      <c r="GV537" s="157"/>
      <c r="GW537" s="157"/>
      <c r="GX537" s="157"/>
      <c r="GY537" s="157"/>
      <c r="GZ537" s="157"/>
      <c r="HA537" s="157"/>
      <c r="HB537" s="155">
        <v>0.0</v>
      </c>
      <c r="HC537" s="155">
        <v>0.0</v>
      </c>
      <c r="HD537" s="155">
        <v>0.0</v>
      </c>
      <c r="HE537" s="155">
        <v>0.0</v>
      </c>
      <c r="HF537" s="155">
        <v>0.0</v>
      </c>
      <c r="HG537" s="155">
        <v>0.0</v>
      </c>
      <c r="IL537" s="159">
        <v>9.0</v>
      </c>
      <c r="IM537" s="156">
        <v>0.0</v>
      </c>
      <c r="IN537" s="156">
        <v>0.0</v>
      </c>
      <c r="IO537" s="156">
        <v>0.0</v>
      </c>
      <c r="IP537" s="156">
        <v>0.0</v>
      </c>
      <c r="IQ537" s="160">
        <v>0.0</v>
      </c>
      <c r="IT537" s="86">
        <v>1.0</v>
      </c>
      <c r="IX537" s="86">
        <v>1.0</v>
      </c>
      <c r="JA537" s="86">
        <v>1.0</v>
      </c>
      <c r="JC537" s="86">
        <v>1.0</v>
      </c>
      <c r="JE537" s="86">
        <v>1.0</v>
      </c>
      <c r="JH537" s="162">
        <v>1.0</v>
      </c>
      <c r="JJ537" s="86">
        <v>1.0</v>
      </c>
      <c r="JR537" s="86">
        <v>1.0</v>
      </c>
      <c r="JV537" s="86">
        <v>1.0</v>
      </c>
      <c r="JW537" s="159">
        <v>2.0</v>
      </c>
      <c r="JX537" s="156">
        <v>0.0</v>
      </c>
      <c r="JY537" s="156">
        <v>0.0</v>
      </c>
      <c r="JZ537" s="156">
        <v>0.0</v>
      </c>
      <c r="KA537" s="156">
        <v>0.0</v>
      </c>
      <c r="KB537" s="160">
        <v>0.0</v>
      </c>
      <c r="KH537" s="86">
        <v>1.0</v>
      </c>
      <c r="KO537" s="86">
        <v>1.0</v>
      </c>
      <c r="KS537" s="178"/>
      <c r="LH537" s="159">
        <f t="shared" si="10"/>
        <v>0</v>
      </c>
      <c r="LI537" s="156">
        <f t="shared" si="11"/>
        <v>0</v>
      </c>
      <c r="LJ537" s="156">
        <f t="shared" si="12"/>
        <v>0</v>
      </c>
      <c r="LK537" s="156">
        <f t="shared" si="13"/>
        <v>0</v>
      </c>
      <c r="LL537" s="156">
        <f t="shared" si="14"/>
        <v>0</v>
      </c>
      <c r="LM537" s="160">
        <f t="shared" si="15"/>
        <v>0</v>
      </c>
      <c r="QX537" s="539">
        <v>46064.0</v>
      </c>
    </row>
    <row r="538">
      <c r="A538" s="12"/>
      <c r="B538" s="12"/>
      <c r="C538" s="12"/>
      <c r="D538" s="12"/>
      <c r="E538" s="58"/>
      <c r="F538" s="12"/>
      <c r="G538" s="12"/>
      <c r="H538" s="12"/>
      <c r="I538" s="143">
        <f t="shared" si="22"/>
        <v>-30</v>
      </c>
      <c r="J538" s="537">
        <v>46084.0</v>
      </c>
      <c r="K538" s="164" t="s">
        <v>61</v>
      </c>
      <c r="L538" s="559">
        <v>46234.0</v>
      </c>
      <c r="M538" s="86" t="s">
        <v>435</v>
      </c>
      <c r="N538" s="86">
        <v>357.0</v>
      </c>
      <c r="O538" s="86">
        <v>30.0</v>
      </c>
      <c r="U538" s="162" t="s">
        <v>3419</v>
      </c>
      <c r="V538" s="538" t="s">
        <v>3420</v>
      </c>
      <c r="W538" s="125" t="s">
        <v>3421</v>
      </c>
      <c r="X538" s="140"/>
      <c r="Y538" s="166">
        <f t="shared" si="23"/>
        <v>30</v>
      </c>
      <c r="Z538" s="26">
        <f t="shared" si="7"/>
        <v>0</v>
      </c>
      <c r="AA538" s="26">
        <f t="shared" si="8"/>
        <v>1</v>
      </c>
      <c r="AB538" s="26">
        <f t="shared" si="9"/>
        <v>0</v>
      </c>
      <c r="AC538" s="155">
        <v>0.0</v>
      </c>
      <c r="AD538" s="155">
        <v>0.0</v>
      </c>
      <c r="AE538" s="155">
        <v>0.0</v>
      </c>
      <c r="AF538" s="155">
        <v>0.0</v>
      </c>
      <c r="AG538" s="155">
        <v>0.0</v>
      </c>
      <c r="AH538" s="155">
        <v>0.0</v>
      </c>
      <c r="BN538" s="155">
        <v>0.0</v>
      </c>
      <c r="BO538" s="155">
        <v>0.0</v>
      </c>
      <c r="BP538" s="155">
        <v>0.0</v>
      </c>
      <c r="BQ538" s="155">
        <v>0.0</v>
      </c>
      <c r="BR538" s="155">
        <v>0.0</v>
      </c>
      <c r="BS538" s="155">
        <v>0.0</v>
      </c>
      <c r="CR538" s="167"/>
      <c r="CV538" s="156">
        <v>7.0</v>
      </c>
      <c r="CW538" s="156">
        <v>0.0</v>
      </c>
      <c r="CX538" s="156">
        <v>0.0</v>
      </c>
      <c r="CY538" s="156">
        <v>0.0</v>
      </c>
      <c r="CZ538" s="156">
        <v>0.0</v>
      </c>
      <c r="DA538" s="156">
        <v>0.0</v>
      </c>
      <c r="DB538" s="395"/>
      <c r="DC538" s="395"/>
      <c r="DD538" s="395">
        <v>1.0</v>
      </c>
      <c r="DE538" s="395">
        <v>0.0</v>
      </c>
      <c r="DF538" s="395">
        <v>1.0</v>
      </c>
      <c r="DG538" s="395">
        <v>0.0</v>
      </c>
      <c r="DH538" s="395">
        <v>1.0</v>
      </c>
      <c r="DI538" s="395">
        <v>0.0</v>
      </c>
      <c r="DJ538" s="395">
        <v>0.0</v>
      </c>
      <c r="DK538" s="395"/>
      <c r="DL538" s="395">
        <v>0.0</v>
      </c>
      <c r="DM538" s="395">
        <v>1.0</v>
      </c>
      <c r="DN538" s="395"/>
      <c r="DO538" s="395"/>
      <c r="DP538" s="395"/>
      <c r="DQ538" s="395"/>
      <c r="DR538" s="395">
        <v>1.0</v>
      </c>
      <c r="DS538" s="395">
        <v>0.0</v>
      </c>
      <c r="DT538" s="395"/>
      <c r="DU538" s="395">
        <v>0.0</v>
      </c>
      <c r="DV538" s="395"/>
      <c r="DW538" s="395">
        <v>0.0</v>
      </c>
      <c r="DX538" s="395">
        <v>0.0</v>
      </c>
      <c r="DY538" s="395"/>
      <c r="DZ538" s="395">
        <v>0.0</v>
      </c>
      <c r="EA538" s="395">
        <v>1.0</v>
      </c>
      <c r="EB538" s="395">
        <v>0.0</v>
      </c>
      <c r="EC538" s="395">
        <v>1.0</v>
      </c>
      <c r="ED538" s="395"/>
      <c r="EE538" s="395"/>
      <c r="EF538" s="395"/>
      <c r="EG538" s="156">
        <v>7.0</v>
      </c>
      <c r="EH538" s="156">
        <v>0.0</v>
      </c>
      <c r="EI538" s="156">
        <v>0.0</v>
      </c>
      <c r="EJ538" s="156">
        <v>0.0</v>
      </c>
      <c r="EK538" s="156">
        <v>0.0</v>
      </c>
      <c r="EL538" s="156">
        <v>0.0</v>
      </c>
      <c r="EM538" s="395">
        <v>0.0</v>
      </c>
      <c r="EN538" s="395">
        <v>1.0</v>
      </c>
      <c r="EO538" s="395"/>
      <c r="EP538" s="395"/>
      <c r="EQ538" s="395"/>
      <c r="ER538" s="395"/>
      <c r="ES538" s="395">
        <v>1.0</v>
      </c>
      <c r="ET538" s="395">
        <v>0.0</v>
      </c>
      <c r="EU538" s="395">
        <v>1.0</v>
      </c>
      <c r="EV538" s="395"/>
      <c r="EW538" s="395"/>
      <c r="EX538" s="395"/>
      <c r="EY538" s="395"/>
      <c r="EZ538" s="395">
        <v>1.0</v>
      </c>
      <c r="FA538" s="395">
        <v>0.0</v>
      </c>
      <c r="FB538" s="395">
        <v>1.0</v>
      </c>
      <c r="FC538" s="395"/>
      <c r="FD538" s="395"/>
      <c r="FE538" s="395"/>
      <c r="FF538" s="395"/>
      <c r="FG538" s="395"/>
      <c r="FH538" s="395"/>
      <c r="FI538" s="395"/>
      <c r="FJ538" s="395"/>
      <c r="FK538" s="395">
        <v>1.0</v>
      </c>
      <c r="FL538" s="395">
        <v>0.0</v>
      </c>
      <c r="FM538" s="395">
        <v>0.0</v>
      </c>
      <c r="FN538" s="395">
        <v>1.0</v>
      </c>
      <c r="FO538" s="395"/>
      <c r="FP538" s="395"/>
      <c r="FQ538" s="156">
        <v>6.0</v>
      </c>
      <c r="FR538" s="156">
        <v>0.0</v>
      </c>
      <c r="FS538" s="156">
        <v>0.0</v>
      </c>
      <c r="FT538" s="156">
        <v>0.0</v>
      </c>
      <c r="FU538" s="156">
        <v>0.0</v>
      </c>
      <c r="FV538" s="156">
        <v>0.0</v>
      </c>
      <c r="FW538" s="172"/>
      <c r="FX538" s="172"/>
      <c r="FY538" s="172"/>
      <c r="FZ538" s="172"/>
      <c r="GA538" s="172"/>
      <c r="GB538" s="172"/>
      <c r="GC538" s="172">
        <v>1.0</v>
      </c>
      <c r="GD538" s="172">
        <v>0.0</v>
      </c>
      <c r="GE538" s="172">
        <v>1.0</v>
      </c>
      <c r="GF538" s="172"/>
      <c r="GG538" s="172"/>
      <c r="GH538" s="172"/>
      <c r="GI538" s="172"/>
      <c r="GJ538" s="172">
        <v>1.0</v>
      </c>
      <c r="GK538" s="172">
        <v>0.0</v>
      </c>
      <c r="GL538" s="172">
        <v>1.0</v>
      </c>
      <c r="GM538" s="172"/>
      <c r="GN538" s="172"/>
      <c r="GO538" s="172"/>
      <c r="GP538" s="170"/>
      <c r="GQ538" s="172"/>
      <c r="GR538" s="172"/>
      <c r="GS538" s="172">
        <v>1.0</v>
      </c>
      <c r="GT538" s="172"/>
      <c r="GU538" s="172"/>
      <c r="GV538" s="172"/>
      <c r="GW538" s="172"/>
      <c r="GX538" s="172"/>
      <c r="GY538" s="172"/>
      <c r="GZ538" s="172">
        <v>1.0</v>
      </c>
      <c r="HA538" s="172">
        <v>0.0</v>
      </c>
      <c r="HB538" s="155">
        <v>5.0</v>
      </c>
      <c r="HC538" s="155">
        <v>0.0</v>
      </c>
      <c r="HD538" s="155">
        <v>0.0</v>
      </c>
      <c r="HE538" s="155">
        <v>0.0</v>
      </c>
      <c r="HF538" s="155">
        <v>0.0</v>
      </c>
      <c r="HG538" s="155">
        <v>0.0</v>
      </c>
      <c r="HH538" s="172"/>
      <c r="HI538" s="172"/>
      <c r="HJ538" s="172"/>
      <c r="HK538" s="172">
        <v>1.0</v>
      </c>
      <c r="HL538" s="172"/>
      <c r="HM538" s="172"/>
      <c r="HN538" s="172">
        <v>0.0</v>
      </c>
      <c r="HO538" s="172">
        <v>1.0</v>
      </c>
      <c r="HP538" s="172">
        <v>1.0</v>
      </c>
      <c r="HQ538" s="172">
        <v>0.0</v>
      </c>
      <c r="HR538" s="172"/>
      <c r="HS538" s="172"/>
      <c r="HT538" s="172">
        <v>1.0</v>
      </c>
      <c r="HU538" s="172"/>
      <c r="HV538" s="172"/>
      <c r="HW538" s="172"/>
      <c r="HX538" s="172"/>
      <c r="HY538" s="172"/>
      <c r="HZ538" s="172"/>
      <c r="IA538" s="172"/>
      <c r="IB538" s="172"/>
      <c r="IC538" s="172"/>
      <c r="ID538" s="172"/>
      <c r="IE538" s="172"/>
      <c r="IF538" s="172"/>
      <c r="IG538" s="172">
        <v>1.0</v>
      </c>
      <c r="IH538" s="172"/>
      <c r="II538" s="172"/>
      <c r="IJ538" s="172"/>
      <c r="IK538" s="172"/>
      <c r="IL538" s="159">
        <v>5.0</v>
      </c>
      <c r="IM538" s="156">
        <v>0.0</v>
      </c>
      <c r="IN538" s="156">
        <v>0.0</v>
      </c>
      <c r="IO538" s="156">
        <v>1.0</v>
      </c>
      <c r="IP538" s="156">
        <v>0.0</v>
      </c>
      <c r="IQ538" s="160">
        <v>0.0</v>
      </c>
      <c r="IR538" s="172">
        <v>0.0</v>
      </c>
      <c r="IS538" s="172"/>
      <c r="IT538" s="172">
        <v>0.0</v>
      </c>
      <c r="IU538" s="172"/>
      <c r="IV538" s="172">
        <v>0.0</v>
      </c>
      <c r="IW538" s="172"/>
      <c r="IX538" s="172">
        <v>1.0</v>
      </c>
      <c r="IY538" s="172">
        <v>0.0</v>
      </c>
      <c r="IZ538" s="172">
        <v>1.0</v>
      </c>
      <c r="JA538" s="172"/>
      <c r="JB538" s="172"/>
      <c r="JC538" s="172">
        <v>0.0</v>
      </c>
      <c r="JD538" s="172"/>
      <c r="JE538" s="172">
        <v>1.0</v>
      </c>
      <c r="JF538" s="172"/>
      <c r="JG538" s="172"/>
      <c r="JH538" s="170">
        <v>0.0</v>
      </c>
      <c r="JI538" s="172" t="s">
        <v>947</v>
      </c>
      <c r="JJ538" s="172"/>
      <c r="JK538" s="172"/>
      <c r="JL538" s="172"/>
      <c r="JM538" s="172"/>
      <c r="JN538" s="172">
        <v>1.0</v>
      </c>
      <c r="JO538" s="172"/>
      <c r="JP538" s="172"/>
      <c r="JQ538" s="172"/>
      <c r="JR538" s="172"/>
      <c r="JS538" s="172"/>
      <c r="JT538" s="172"/>
      <c r="JU538" s="172"/>
      <c r="JV538" s="172"/>
      <c r="JW538" s="159">
        <v>0.0</v>
      </c>
      <c r="JX538" s="156">
        <v>0.0</v>
      </c>
      <c r="JY538" s="156">
        <v>0.0</v>
      </c>
      <c r="JZ538" s="156">
        <v>0.0</v>
      </c>
      <c r="KA538" s="156">
        <v>0.0</v>
      </c>
      <c r="KB538" s="160">
        <v>0.0</v>
      </c>
      <c r="KC538" s="172"/>
      <c r="KD538" s="172"/>
      <c r="KE538" s="172"/>
      <c r="KF538" s="172"/>
      <c r="KG538" s="172"/>
      <c r="KH538" s="172"/>
      <c r="KI538" s="172"/>
      <c r="KJ538" s="172"/>
      <c r="KK538" s="172"/>
      <c r="KL538" s="172"/>
      <c r="KM538" s="172"/>
      <c r="KN538" s="172"/>
      <c r="KO538" s="172"/>
      <c r="KP538" s="172"/>
      <c r="KQ538" s="172"/>
      <c r="KR538" s="172"/>
      <c r="KS538" s="172"/>
      <c r="KT538" s="172"/>
      <c r="KU538" s="172"/>
      <c r="KV538" s="172"/>
      <c r="KW538" s="172"/>
      <c r="KX538" s="172"/>
      <c r="KY538" s="172"/>
      <c r="KZ538" s="172"/>
      <c r="LA538" s="172"/>
      <c r="LB538" s="172"/>
      <c r="LC538" s="172"/>
      <c r="LD538" s="172"/>
      <c r="LE538" s="172"/>
      <c r="LF538" s="172"/>
      <c r="LG538" s="172"/>
      <c r="LH538" s="159">
        <f t="shared" si="10"/>
        <v>0</v>
      </c>
      <c r="LI538" s="156">
        <f t="shared" si="11"/>
        <v>0</v>
      </c>
      <c r="LJ538" s="156">
        <f t="shared" si="12"/>
        <v>0</v>
      </c>
      <c r="LK538" s="156">
        <f t="shared" si="13"/>
        <v>0</v>
      </c>
      <c r="LL538" s="156">
        <f t="shared" si="14"/>
        <v>0</v>
      </c>
      <c r="LM538" s="160">
        <f t="shared" si="15"/>
        <v>0</v>
      </c>
      <c r="QX538" s="539">
        <v>46064.0</v>
      </c>
    </row>
    <row r="539">
      <c r="A539" s="12"/>
      <c r="B539" s="12"/>
      <c r="C539" s="12"/>
      <c r="D539" s="12"/>
      <c r="E539" s="58"/>
      <c r="F539" s="12"/>
      <c r="G539" s="12"/>
      <c r="H539" s="12"/>
      <c r="I539" s="143">
        <f t="shared" si="22"/>
        <v>-27</v>
      </c>
      <c r="J539" s="537">
        <v>46078.0</v>
      </c>
      <c r="K539" s="164" t="s">
        <v>53</v>
      </c>
      <c r="L539" s="537">
        <v>46170.0</v>
      </c>
      <c r="M539" s="162" t="s">
        <v>1157</v>
      </c>
      <c r="N539" s="86">
        <v>246.0</v>
      </c>
      <c r="O539" s="86">
        <v>30.0</v>
      </c>
      <c r="U539" s="162" t="s">
        <v>3252</v>
      </c>
      <c r="V539" s="538" t="s">
        <v>2801</v>
      </c>
      <c r="W539" s="185" t="s">
        <v>3422</v>
      </c>
      <c r="X539" s="140"/>
      <c r="Y539" s="166">
        <f t="shared" si="23"/>
        <v>27</v>
      </c>
      <c r="Z539" s="26">
        <f t="shared" si="7"/>
        <v>0</v>
      </c>
      <c r="AA539" s="26">
        <f t="shared" si="8"/>
        <v>0</v>
      </c>
      <c r="AB539" s="26">
        <f t="shared" si="9"/>
        <v>0</v>
      </c>
      <c r="AC539" s="155">
        <v>0.0</v>
      </c>
      <c r="AD539" s="155">
        <v>0.0</v>
      </c>
      <c r="AE539" s="155">
        <v>0.0</v>
      </c>
      <c r="AF539" s="155">
        <v>0.0</v>
      </c>
      <c r="AG539" s="155">
        <v>0.0</v>
      </c>
      <c r="AH539" s="155">
        <v>0.0</v>
      </c>
      <c r="BN539" s="155">
        <v>2.0</v>
      </c>
      <c r="BO539" s="155">
        <v>0.0</v>
      </c>
      <c r="BP539" s="155">
        <v>0.0</v>
      </c>
      <c r="BQ539" s="155">
        <v>0.0</v>
      </c>
      <c r="BR539" s="155">
        <v>0.0</v>
      </c>
      <c r="BS539" s="155">
        <v>0.0</v>
      </c>
      <c r="CR539" s="167">
        <v>1.0</v>
      </c>
      <c r="CS539" s="167">
        <v>0.0</v>
      </c>
      <c r="CT539" s="167">
        <v>1.0</v>
      </c>
      <c r="CU539" s="167">
        <v>0.0</v>
      </c>
      <c r="CV539" s="156">
        <v>13.0</v>
      </c>
      <c r="CW539" s="156">
        <v>0.0</v>
      </c>
      <c r="CX539" s="156">
        <v>0.0</v>
      </c>
      <c r="CY539" s="156">
        <v>0.0</v>
      </c>
      <c r="CZ539" s="156">
        <v>0.0</v>
      </c>
      <c r="DA539" s="156">
        <v>0.0</v>
      </c>
      <c r="DB539" s="174">
        <v>0.0</v>
      </c>
      <c r="DC539" s="174">
        <v>1.0</v>
      </c>
      <c r="DD539" s="174">
        <v>0.0</v>
      </c>
      <c r="DE539" s="174">
        <v>1.0</v>
      </c>
      <c r="DF539" s="174">
        <v>0.0</v>
      </c>
      <c r="DG539" s="174">
        <v>1.0</v>
      </c>
      <c r="DH539" s="174">
        <v>0.0</v>
      </c>
      <c r="DI539" s="174">
        <v>0.0</v>
      </c>
      <c r="DJ539" s="174">
        <v>1.0</v>
      </c>
      <c r="DK539" s="174">
        <v>0.0</v>
      </c>
      <c r="DL539" s="174">
        <v>1.0</v>
      </c>
      <c r="DM539" s="174">
        <v>0.0</v>
      </c>
      <c r="DN539" s="174">
        <v>1.0</v>
      </c>
      <c r="DO539" s="174">
        <v>0.0</v>
      </c>
      <c r="DP539" s="174">
        <v>0.0</v>
      </c>
      <c r="DQ539" s="174">
        <v>1.0</v>
      </c>
      <c r="DR539" s="174">
        <v>0.0</v>
      </c>
      <c r="DS539" s="174">
        <v>1.0</v>
      </c>
      <c r="DT539" s="174">
        <v>0.0</v>
      </c>
      <c r="DU539" s="174">
        <v>1.0</v>
      </c>
      <c r="DV539" s="174">
        <v>0.0</v>
      </c>
      <c r="DW539" s="174">
        <v>0.0</v>
      </c>
      <c r="DX539" s="174">
        <v>1.0</v>
      </c>
      <c r="DY539" s="174">
        <v>0.0</v>
      </c>
      <c r="DZ539" s="174">
        <v>1.0</v>
      </c>
      <c r="EA539" s="174">
        <v>0.0</v>
      </c>
      <c r="EB539" s="174">
        <v>1.0</v>
      </c>
      <c r="EC539" s="174">
        <v>0.0</v>
      </c>
      <c r="ED539" s="174">
        <v>0.0</v>
      </c>
      <c r="EE539" s="174">
        <v>1.0</v>
      </c>
      <c r="EF539" s="174">
        <v>0.0</v>
      </c>
      <c r="EG539" s="156">
        <v>6.0</v>
      </c>
      <c r="EH539" s="156">
        <v>0.0</v>
      </c>
      <c r="EI539" s="156">
        <v>0.0</v>
      </c>
      <c r="EJ539" s="156">
        <v>0.0</v>
      </c>
      <c r="EK539" s="156">
        <v>0.0</v>
      </c>
      <c r="EL539" s="156">
        <v>0.0</v>
      </c>
      <c r="EM539" s="174"/>
      <c r="EN539" s="174"/>
      <c r="EO539" s="174"/>
      <c r="EP539" s="174"/>
      <c r="EQ539" s="174"/>
      <c r="ER539" s="174">
        <v>1.0</v>
      </c>
      <c r="ES539" s="174">
        <v>0.0</v>
      </c>
      <c r="ET539" s="174"/>
      <c r="EU539" s="174">
        <v>0.0</v>
      </c>
      <c r="EV539" s="174">
        <v>1.0</v>
      </c>
      <c r="EW539" s="174">
        <v>0.0</v>
      </c>
      <c r="EX539" s="174">
        <v>0.0</v>
      </c>
      <c r="EY539" s="174">
        <v>1.0</v>
      </c>
      <c r="EZ539" s="174"/>
      <c r="FA539" s="174"/>
      <c r="FB539" s="174"/>
      <c r="FC539" s="174">
        <v>1.0</v>
      </c>
      <c r="FD539" s="174">
        <v>0.0</v>
      </c>
      <c r="FE539" s="174">
        <v>0.0</v>
      </c>
      <c r="FF539" s="174">
        <v>1.0</v>
      </c>
      <c r="FG539" s="174"/>
      <c r="FH539" s="174"/>
      <c r="FI539" s="174"/>
      <c r="FJ539" s="174">
        <v>1.0</v>
      </c>
      <c r="FK539" s="174"/>
      <c r="FL539" s="174"/>
      <c r="FM539" s="174"/>
      <c r="FN539" s="174"/>
      <c r="FO539" s="174"/>
      <c r="FP539" s="174"/>
      <c r="FQ539" s="156">
        <v>6.0</v>
      </c>
      <c r="FR539" s="156">
        <v>0.0</v>
      </c>
      <c r="FS539" s="156">
        <v>0.0</v>
      </c>
      <c r="FT539" s="156">
        <v>0.0</v>
      </c>
      <c r="FU539" s="156">
        <v>0.0</v>
      </c>
      <c r="FV539" s="156">
        <v>0.0</v>
      </c>
      <c r="FW539" s="174"/>
      <c r="FX539" s="174"/>
      <c r="FY539" s="174"/>
      <c r="FZ539" s="174">
        <v>1.0</v>
      </c>
      <c r="GA539" s="174">
        <v>0.0</v>
      </c>
      <c r="GB539" s="174"/>
      <c r="GC539" s="174">
        <v>0.0</v>
      </c>
      <c r="GD539" s="174">
        <v>1.0</v>
      </c>
      <c r="GE539" s="174">
        <v>0.0</v>
      </c>
      <c r="GF539" s="174">
        <v>0.0</v>
      </c>
      <c r="GG539" s="174">
        <v>1.0</v>
      </c>
      <c r="GH539" s="174">
        <v>0.0</v>
      </c>
      <c r="GI539" s="174"/>
      <c r="GJ539" s="174">
        <v>0.0</v>
      </c>
      <c r="GK539" s="174">
        <v>1.0</v>
      </c>
      <c r="GL539" s="174">
        <v>0.0</v>
      </c>
      <c r="GM539" s="174">
        <v>0.0</v>
      </c>
      <c r="GN539" s="174">
        <v>1.0</v>
      </c>
      <c r="GO539" s="174"/>
      <c r="GP539" s="177"/>
      <c r="GQ539" s="174"/>
      <c r="GR539" s="174"/>
      <c r="GS539" s="174"/>
      <c r="GT539" s="174"/>
      <c r="GU539" s="174">
        <v>1.0</v>
      </c>
      <c r="GV539" s="174"/>
      <c r="GW539" s="174"/>
      <c r="GX539" s="174"/>
      <c r="GY539" s="174"/>
      <c r="GZ539" s="174"/>
      <c r="HA539" s="174"/>
      <c r="HB539" s="155">
        <v>0.0</v>
      </c>
      <c r="HC539" s="155">
        <v>0.0</v>
      </c>
      <c r="HD539" s="155">
        <v>0.0</v>
      </c>
      <c r="HE539" s="155">
        <v>0.0</v>
      </c>
      <c r="HF539" s="155">
        <v>0.0</v>
      </c>
      <c r="HG539" s="155">
        <v>0.0</v>
      </c>
      <c r="IL539" s="159">
        <v>0.0</v>
      </c>
      <c r="IM539" s="156">
        <v>0.0</v>
      </c>
      <c r="IN539" s="156">
        <v>0.0</v>
      </c>
      <c r="IO539" s="156">
        <v>0.0</v>
      </c>
      <c r="IP539" s="156">
        <v>0.0</v>
      </c>
      <c r="IQ539" s="160">
        <v>0.0</v>
      </c>
      <c r="JH539" s="25"/>
      <c r="JW539" s="159">
        <v>0.0</v>
      </c>
      <c r="JX539" s="156">
        <v>0.0</v>
      </c>
      <c r="JY539" s="156">
        <v>0.0</v>
      </c>
      <c r="JZ539" s="156">
        <v>0.0</v>
      </c>
      <c r="KA539" s="156">
        <v>0.0</v>
      </c>
      <c r="KB539" s="160">
        <v>0.0</v>
      </c>
      <c r="LH539" s="159">
        <f t="shared" si="10"/>
        <v>0</v>
      </c>
      <c r="LI539" s="156">
        <f t="shared" si="11"/>
        <v>0</v>
      </c>
      <c r="LJ539" s="156">
        <f t="shared" si="12"/>
        <v>0</v>
      </c>
      <c r="LK539" s="156">
        <f t="shared" si="13"/>
        <v>0</v>
      </c>
      <c r="LL539" s="156">
        <f t="shared" si="14"/>
        <v>0</v>
      </c>
      <c r="LM539" s="160">
        <f t="shared" si="15"/>
        <v>0</v>
      </c>
      <c r="QX539" s="539">
        <v>46066.0</v>
      </c>
    </row>
    <row r="540">
      <c r="A540" s="12"/>
      <c r="B540" s="12"/>
      <c r="C540" s="12"/>
      <c r="D540" s="12"/>
      <c r="E540" s="58"/>
      <c r="F540" s="12"/>
      <c r="G540" s="12"/>
      <c r="H540" s="12"/>
      <c r="I540" s="143">
        <f t="shared" si="22"/>
        <v>-17</v>
      </c>
      <c r="J540" s="537">
        <v>46079.0</v>
      </c>
      <c r="K540" s="164" t="s">
        <v>61</v>
      </c>
      <c r="L540" s="537">
        <v>46119.0</v>
      </c>
      <c r="M540" s="86" t="s">
        <v>107</v>
      </c>
      <c r="N540" s="86">
        <v>357.0</v>
      </c>
      <c r="O540" s="86">
        <v>30.0</v>
      </c>
      <c r="U540" s="162" t="s">
        <v>3423</v>
      </c>
      <c r="V540" s="538" t="s">
        <v>3420</v>
      </c>
      <c r="W540" s="125" t="s">
        <v>3424</v>
      </c>
      <c r="X540" s="140"/>
      <c r="Y540" s="166">
        <f t="shared" si="23"/>
        <v>17</v>
      </c>
      <c r="Z540" s="26">
        <f t="shared" si="7"/>
        <v>0</v>
      </c>
      <c r="AA540" s="26">
        <f t="shared" si="8"/>
        <v>0</v>
      </c>
      <c r="AB540" s="26">
        <f t="shared" si="9"/>
        <v>0</v>
      </c>
      <c r="AC540" s="155">
        <v>0.0</v>
      </c>
      <c r="AD540" s="155">
        <v>0.0</v>
      </c>
      <c r="AE540" s="155">
        <v>0.0</v>
      </c>
      <c r="AF540" s="155">
        <v>0.0</v>
      </c>
      <c r="AG540" s="155">
        <v>0.0</v>
      </c>
      <c r="AH540" s="155">
        <v>0.0</v>
      </c>
      <c r="BN540" s="155">
        <v>2.0</v>
      </c>
      <c r="BO540" s="155">
        <v>0.0</v>
      </c>
      <c r="BP540" s="155">
        <v>0.0</v>
      </c>
      <c r="BQ540" s="155">
        <v>0.0</v>
      </c>
      <c r="BR540" s="155">
        <v>0.0</v>
      </c>
      <c r="BS540" s="155">
        <v>0.0</v>
      </c>
      <c r="CS540" s="167">
        <v>1.0</v>
      </c>
      <c r="CT540" s="167">
        <v>0.0</v>
      </c>
      <c r="CU540" s="167">
        <v>1.0</v>
      </c>
      <c r="CV540" s="156">
        <v>11.0</v>
      </c>
      <c r="CW540" s="156">
        <v>0.0</v>
      </c>
      <c r="CX540" s="156">
        <v>0.0</v>
      </c>
      <c r="CY540" s="156">
        <v>0.0</v>
      </c>
      <c r="CZ540" s="156">
        <v>0.0</v>
      </c>
      <c r="DA540" s="156">
        <v>0.0</v>
      </c>
      <c r="DB540" s="395">
        <v>0.0</v>
      </c>
      <c r="DC540" s="395">
        <v>0.0</v>
      </c>
      <c r="DD540" s="395">
        <v>1.0</v>
      </c>
      <c r="DE540" s="395">
        <v>0.0</v>
      </c>
      <c r="DF540" s="395">
        <v>1.0</v>
      </c>
      <c r="DG540" s="395">
        <v>0.0</v>
      </c>
      <c r="DH540" s="395">
        <v>1.0</v>
      </c>
      <c r="DI540" s="395">
        <v>0.0</v>
      </c>
      <c r="DJ540" s="395">
        <v>0.0</v>
      </c>
      <c r="DK540" s="395">
        <v>1.0</v>
      </c>
      <c r="DL540" s="395">
        <v>0.0</v>
      </c>
      <c r="DM540" s="395">
        <v>1.0</v>
      </c>
      <c r="DN540" s="395">
        <v>0.0</v>
      </c>
      <c r="DO540" s="395">
        <v>1.0</v>
      </c>
      <c r="DP540" s="395">
        <v>0.0</v>
      </c>
      <c r="DQ540" s="395">
        <v>0.0</v>
      </c>
      <c r="DR540" s="395"/>
      <c r="DS540" s="395">
        <v>0.0</v>
      </c>
      <c r="DT540" s="395">
        <v>1.0</v>
      </c>
      <c r="DU540" s="395">
        <v>0.0</v>
      </c>
      <c r="DV540" s="395">
        <v>1.0</v>
      </c>
      <c r="DW540" s="395">
        <v>0.0</v>
      </c>
      <c r="DX540" s="395">
        <v>0.0</v>
      </c>
      <c r="DY540" s="395">
        <v>1.0</v>
      </c>
      <c r="DZ540" s="395">
        <v>0.0</v>
      </c>
      <c r="EA540" s="395">
        <v>1.0</v>
      </c>
      <c r="EB540" s="395"/>
      <c r="EC540" s="395"/>
      <c r="ED540" s="395"/>
      <c r="EE540" s="395">
        <v>0.0</v>
      </c>
      <c r="EF540" s="395">
        <v>1.0</v>
      </c>
      <c r="EG540" s="156">
        <v>4.0</v>
      </c>
      <c r="EH540" s="156">
        <v>0.0</v>
      </c>
      <c r="EI540" s="156">
        <v>0.0</v>
      </c>
      <c r="EJ540" s="156">
        <v>0.0</v>
      </c>
      <c r="EK540" s="156">
        <v>0.0</v>
      </c>
      <c r="EL540" s="156">
        <v>0.0</v>
      </c>
      <c r="EM540" s="395">
        <v>0.0</v>
      </c>
      <c r="EN540" s="395">
        <v>1.0</v>
      </c>
      <c r="EO540" s="395">
        <v>0.0</v>
      </c>
      <c r="EP540" s="395">
        <v>1.0</v>
      </c>
      <c r="EQ540" s="395">
        <v>0.0</v>
      </c>
      <c r="ER540" s="395">
        <v>0.0</v>
      </c>
      <c r="ES540" s="395">
        <v>1.0</v>
      </c>
      <c r="ET540" s="395">
        <v>0.0</v>
      </c>
      <c r="EU540" s="395">
        <v>1.0</v>
      </c>
      <c r="EV540" s="395"/>
      <c r="EW540" s="395"/>
      <c r="EX540" s="395"/>
      <c r="EY540" s="395"/>
      <c r="EZ540" s="395"/>
      <c r="FA540" s="395"/>
      <c r="FB540" s="395"/>
      <c r="FC540" s="395"/>
      <c r="FD540" s="395"/>
      <c r="FE540" s="395"/>
      <c r="FF540" s="395"/>
      <c r="FG540" s="395"/>
      <c r="FH540" s="395"/>
      <c r="FI540" s="395"/>
      <c r="FJ540" s="395"/>
      <c r="FK540" s="395"/>
      <c r="FL540" s="395"/>
      <c r="FM540" s="395"/>
      <c r="FN540" s="395"/>
      <c r="FO540" s="395"/>
      <c r="FP540" s="395"/>
      <c r="FQ540" s="156">
        <v>0.0</v>
      </c>
      <c r="FR540" s="156">
        <v>0.0</v>
      </c>
      <c r="FS540" s="156">
        <v>0.0</v>
      </c>
      <c r="FT540" s="156">
        <v>0.0</v>
      </c>
      <c r="FU540" s="156">
        <v>0.0</v>
      </c>
      <c r="FV540" s="156">
        <v>0.0</v>
      </c>
      <c r="FW540" s="157"/>
      <c r="FX540" s="157"/>
      <c r="FY540" s="157"/>
      <c r="FZ540" s="157"/>
      <c r="GA540" s="157"/>
      <c r="GB540" s="157"/>
      <c r="GC540" s="157"/>
      <c r="GD540" s="157"/>
      <c r="GE540" s="157"/>
      <c r="GF540" s="157"/>
      <c r="GG540" s="157"/>
      <c r="GH540" s="157"/>
      <c r="GI540" s="157"/>
      <c r="GJ540" s="157"/>
      <c r="GK540" s="157"/>
      <c r="GL540" s="157"/>
      <c r="GM540" s="157"/>
      <c r="GN540" s="157"/>
      <c r="GO540" s="157"/>
      <c r="GP540" s="158"/>
      <c r="GQ540" s="157"/>
      <c r="GR540" s="157"/>
      <c r="GS540" s="157"/>
      <c r="GT540" s="157"/>
      <c r="GU540" s="157"/>
      <c r="GV540" s="157"/>
      <c r="GW540" s="157"/>
      <c r="GX540" s="157"/>
      <c r="GY540" s="157"/>
      <c r="GZ540" s="157"/>
      <c r="HA540" s="157"/>
      <c r="HB540" s="155">
        <v>0.0</v>
      </c>
      <c r="HC540" s="155">
        <v>0.0</v>
      </c>
      <c r="HD540" s="155">
        <v>0.0</v>
      </c>
      <c r="HE540" s="155">
        <v>0.0</v>
      </c>
      <c r="HF540" s="155">
        <v>0.0</v>
      </c>
      <c r="HG540" s="155">
        <v>0.0</v>
      </c>
      <c r="IL540" s="159">
        <v>0.0</v>
      </c>
      <c r="IM540" s="156">
        <v>0.0</v>
      </c>
      <c r="IN540" s="156">
        <v>0.0</v>
      </c>
      <c r="IO540" s="156">
        <v>0.0</v>
      </c>
      <c r="IP540" s="156">
        <v>0.0</v>
      </c>
      <c r="IQ540" s="160">
        <v>0.0</v>
      </c>
      <c r="JH540" s="25"/>
      <c r="JW540" s="159">
        <v>0.0</v>
      </c>
      <c r="JX540" s="156">
        <v>0.0</v>
      </c>
      <c r="JY540" s="156">
        <v>0.0</v>
      </c>
      <c r="JZ540" s="156">
        <v>0.0</v>
      </c>
      <c r="KA540" s="156">
        <v>0.0</v>
      </c>
      <c r="KB540" s="160">
        <v>0.0</v>
      </c>
      <c r="LH540" s="159">
        <f t="shared" si="10"/>
        <v>0</v>
      </c>
      <c r="LI540" s="156">
        <f t="shared" si="11"/>
        <v>0</v>
      </c>
      <c r="LJ540" s="156">
        <f t="shared" si="12"/>
        <v>0</v>
      </c>
      <c r="LK540" s="156">
        <f t="shared" si="13"/>
        <v>0</v>
      </c>
      <c r="LL540" s="156">
        <f t="shared" si="14"/>
        <v>0</v>
      </c>
      <c r="LM540" s="160">
        <f t="shared" si="15"/>
        <v>0</v>
      </c>
      <c r="QX540" s="539">
        <v>46066.0</v>
      </c>
    </row>
    <row r="541">
      <c r="A541" s="12"/>
      <c r="B541" s="12"/>
      <c r="C541" s="12"/>
      <c r="D541" s="12"/>
      <c r="E541" s="12"/>
      <c r="F541" s="12"/>
      <c r="G541" s="12"/>
      <c r="H541" s="12"/>
      <c r="I541" s="143">
        <f t="shared" si="22"/>
        <v>-11</v>
      </c>
      <c r="J541" s="537">
        <v>46083.0</v>
      </c>
      <c r="K541" s="180" t="s">
        <v>61</v>
      </c>
      <c r="L541" s="537">
        <v>46104.0</v>
      </c>
      <c r="M541" s="162" t="s">
        <v>712</v>
      </c>
      <c r="N541" s="86">
        <v>246.0</v>
      </c>
      <c r="O541" s="86">
        <v>30.0</v>
      </c>
      <c r="U541" s="545" t="s">
        <v>3243</v>
      </c>
      <c r="V541" s="546" t="s">
        <v>2889</v>
      </c>
      <c r="W541" s="125" t="s">
        <v>3425</v>
      </c>
      <c r="X541" s="140"/>
      <c r="Y541" s="166">
        <f t="shared" si="23"/>
        <v>11</v>
      </c>
      <c r="Z541" s="26">
        <f t="shared" si="7"/>
        <v>0</v>
      </c>
      <c r="AA541" s="26">
        <f t="shared" si="8"/>
        <v>0</v>
      </c>
      <c r="AB541" s="26">
        <f t="shared" si="9"/>
        <v>0</v>
      </c>
      <c r="AC541" s="155">
        <v>0.0</v>
      </c>
      <c r="AD541" s="155">
        <v>0.0</v>
      </c>
      <c r="AE541" s="155">
        <v>0.0</v>
      </c>
      <c r="AF541" s="155">
        <v>0.0</v>
      </c>
      <c r="AG541" s="155">
        <v>0.0</v>
      </c>
      <c r="AH541" s="155">
        <v>0.0</v>
      </c>
      <c r="BN541" s="155">
        <v>0.0</v>
      </c>
      <c r="BO541" s="155">
        <v>0.0</v>
      </c>
      <c r="BP541" s="155">
        <v>0.0</v>
      </c>
      <c r="BQ541" s="155">
        <v>0.0</v>
      </c>
      <c r="BR541" s="155">
        <v>0.0</v>
      </c>
      <c r="BS541" s="155">
        <v>0.0</v>
      </c>
      <c r="CS541" s="167"/>
      <c r="CV541" s="156">
        <v>11.0</v>
      </c>
      <c r="CW541" s="156">
        <v>0.0</v>
      </c>
      <c r="CX541" s="156">
        <v>0.0</v>
      </c>
      <c r="CY541" s="156">
        <v>0.0</v>
      </c>
      <c r="CZ541" s="156">
        <v>0.0</v>
      </c>
      <c r="DA541" s="156">
        <v>0.0</v>
      </c>
      <c r="DB541" s="174">
        <v>0.0</v>
      </c>
      <c r="DC541" s="174">
        <v>1.0</v>
      </c>
      <c r="DD541" s="174">
        <v>0.0</v>
      </c>
      <c r="DE541" s="174">
        <v>1.0</v>
      </c>
      <c r="DF541" s="174">
        <v>0.0</v>
      </c>
      <c r="DG541" s="174">
        <v>1.0</v>
      </c>
      <c r="DH541" s="174">
        <v>0.0</v>
      </c>
      <c r="DI541" s="174">
        <v>0.0</v>
      </c>
      <c r="DJ541" s="174">
        <v>1.0</v>
      </c>
      <c r="DK541" s="174">
        <v>0.0</v>
      </c>
      <c r="DL541" s="174">
        <v>1.0</v>
      </c>
      <c r="DM541" s="174">
        <v>0.0</v>
      </c>
      <c r="DN541" s="174">
        <v>1.0</v>
      </c>
      <c r="DO541" s="174">
        <v>0.0</v>
      </c>
      <c r="DP541" s="174">
        <v>0.0</v>
      </c>
      <c r="DQ541" s="174">
        <v>1.0</v>
      </c>
      <c r="DR541" s="174">
        <v>0.0</v>
      </c>
      <c r="DS541" s="174">
        <v>1.0</v>
      </c>
      <c r="DT541" s="174">
        <v>0.0</v>
      </c>
      <c r="DU541" s="174">
        <v>1.0</v>
      </c>
      <c r="DV541" s="174">
        <v>0.0</v>
      </c>
      <c r="DW541" s="174">
        <v>0.0</v>
      </c>
      <c r="DX541" s="174">
        <v>1.0</v>
      </c>
      <c r="DY541" s="174">
        <v>0.0</v>
      </c>
      <c r="DZ541" s="174">
        <v>1.0</v>
      </c>
      <c r="EA541" s="174"/>
      <c r="EB541" s="174"/>
      <c r="EC541" s="174"/>
      <c r="ED541" s="174"/>
      <c r="EE541" s="174"/>
      <c r="EF541" s="174"/>
      <c r="EG541" s="156">
        <v>0.0</v>
      </c>
      <c r="EH541" s="156">
        <v>0.0</v>
      </c>
      <c r="EI541" s="156">
        <v>0.0</v>
      </c>
      <c r="EJ541" s="156">
        <v>0.0</v>
      </c>
      <c r="EK541" s="156">
        <v>0.0</v>
      </c>
      <c r="EL541" s="156">
        <v>0.0</v>
      </c>
      <c r="FQ541" s="156">
        <v>0.0</v>
      </c>
      <c r="FR541" s="156">
        <v>0.0</v>
      </c>
      <c r="FS541" s="156">
        <v>0.0</v>
      </c>
      <c r="FT541" s="156">
        <v>0.0</v>
      </c>
      <c r="FU541" s="156">
        <v>0.0</v>
      </c>
      <c r="FV541" s="156">
        <v>0.0</v>
      </c>
      <c r="FW541" s="157"/>
      <c r="FX541" s="157"/>
      <c r="FY541" s="157"/>
      <c r="FZ541" s="157"/>
      <c r="GA541" s="157"/>
      <c r="GB541" s="157"/>
      <c r="GC541" s="157"/>
      <c r="GD541" s="157"/>
      <c r="GE541" s="157"/>
      <c r="GF541" s="157"/>
      <c r="GG541" s="157"/>
      <c r="GH541" s="157"/>
      <c r="GI541" s="157"/>
      <c r="GJ541" s="157"/>
      <c r="GK541" s="157"/>
      <c r="GL541" s="157"/>
      <c r="GM541" s="157"/>
      <c r="GN541" s="157"/>
      <c r="GO541" s="157"/>
      <c r="GP541" s="158"/>
      <c r="GQ541" s="157"/>
      <c r="GR541" s="157"/>
      <c r="GS541" s="157"/>
      <c r="GT541" s="157"/>
      <c r="GU541" s="157"/>
      <c r="GV541" s="157"/>
      <c r="GW541" s="157"/>
      <c r="GX541" s="157"/>
      <c r="GY541" s="157"/>
      <c r="GZ541" s="157"/>
      <c r="HA541" s="157"/>
      <c r="HB541" s="155">
        <v>0.0</v>
      </c>
      <c r="HC541" s="155">
        <v>0.0</v>
      </c>
      <c r="HD541" s="155">
        <v>0.0</v>
      </c>
      <c r="HE541" s="155">
        <v>0.0</v>
      </c>
      <c r="HF541" s="155">
        <v>0.0</v>
      </c>
      <c r="HG541" s="155">
        <v>0.0</v>
      </c>
      <c r="IL541" s="159">
        <v>0.0</v>
      </c>
      <c r="IM541" s="156">
        <v>0.0</v>
      </c>
      <c r="IN541" s="156">
        <v>0.0</v>
      </c>
      <c r="IO541" s="156">
        <v>0.0</v>
      </c>
      <c r="IP541" s="156">
        <v>0.0</v>
      </c>
      <c r="IQ541" s="160">
        <v>0.0</v>
      </c>
      <c r="JH541" s="25"/>
      <c r="JW541" s="159">
        <v>0.0</v>
      </c>
      <c r="JX541" s="156">
        <v>0.0</v>
      </c>
      <c r="JY541" s="156">
        <v>0.0</v>
      </c>
      <c r="JZ541" s="156">
        <v>0.0</v>
      </c>
      <c r="KA541" s="156">
        <v>0.0</v>
      </c>
      <c r="KB541" s="160">
        <v>0.0</v>
      </c>
      <c r="LH541" s="159">
        <f t="shared" si="10"/>
        <v>0</v>
      </c>
      <c r="LI541" s="156">
        <f t="shared" si="11"/>
        <v>0</v>
      </c>
      <c r="LJ541" s="156">
        <f t="shared" si="12"/>
        <v>0</v>
      </c>
      <c r="LK541" s="156">
        <f t="shared" si="13"/>
        <v>0</v>
      </c>
      <c r="LL541" s="156">
        <f t="shared" si="14"/>
        <v>0</v>
      </c>
      <c r="LM541" s="160">
        <f t="shared" si="15"/>
        <v>0</v>
      </c>
      <c r="QX541" s="539">
        <v>46076.0</v>
      </c>
    </row>
    <row r="542">
      <c r="A542" s="12"/>
      <c r="B542" s="12"/>
      <c r="C542" s="12"/>
      <c r="D542" s="12"/>
      <c r="E542" s="58"/>
      <c r="F542" s="12"/>
      <c r="G542" s="12"/>
      <c r="H542" s="12"/>
      <c r="I542" s="143">
        <f t="shared" si="22"/>
        <v>-30</v>
      </c>
      <c r="J542" s="537">
        <v>46083.0</v>
      </c>
      <c r="K542" s="164" t="s">
        <v>61</v>
      </c>
      <c r="L542" s="23">
        <v>46164.0</v>
      </c>
      <c r="M542" s="162" t="s">
        <v>107</v>
      </c>
      <c r="N542" s="86">
        <v>246.0</v>
      </c>
      <c r="O542" s="86">
        <v>30.0</v>
      </c>
      <c r="U542" s="162" t="s">
        <v>3426</v>
      </c>
      <c r="V542" s="538" t="s">
        <v>469</v>
      </c>
      <c r="W542" s="125" t="s">
        <v>3427</v>
      </c>
      <c r="X542" s="140"/>
      <c r="Y542" s="166">
        <f t="shared" si="23"/>
        <v>30</v>
      </c>
      <c r="Z542" s="26">
        <f t="shared" si="7"/>
        <v>0</v>
      </c>
      <c r="AA542" s="26">
        <f t="shared" si="8"/>
        <v>0</v>
      </c>
      <c r="AB542" s="26">
        <f t="shared" si="9"/>
        <v>0</v>
      </c>
      <c r="AC542" s="155">
        <v>0.0</v>
      </c>
      <c r="AD542" s="155">
        <v>0.0</v>
      </c>
      <c r="AE542" s="155">
        <v>0.0</v>
      </c>
      <c r="AF542" s="155">
        <v>0.0</v>
      </c>
      <c r="AG542" s="155">
        <v>0.0</v>
      </c>
      <c r="AH542" s="155">
        <v>0.0</v>
      </c>
      <c r="BN542" s="155">
        <v>0.0</v>
      </c>
      <c r="BO542" s="155">
        <v>0.0</v>
      </c>
      <c r="BP542" s="155">
        <v>0.0</v>
      </c>
      <c r="BQ542" s="155">
        <v>0.0</v>
      </c>
      <c r="BR542" s="155">
        <v>0.0</v>
      </c>
      <c r="BS542" s="155">
        <v>0.0</v>
      </c>
      <c r="CV542" s="156">
        <v>13.0</v>
      </c>
      <c r="CW542" s="156">
        <v>0.0</v>
      </c>
      <c r="CX542" s="156">
        <v>0.0</v>
      </c>
      <c r="CY542" s="156">
        <v>0.0</v>
      </c>
      <c r="CZ542" s="156">
        <v>0.0</v>
      </c>
      <c r="DA542" s="156">
        <v>0.0</v>
      </c>
      <c r="DB542" s="174">
        <v>0.0</v>
      </c>
      <c r="DC542" s="174">
        <v>1.0</v>
      </c>
      <c r="DD542" s="174">
        <v>0.0</v>
      </c>
      <c r="DE542" s="174">
        <v>1.0</v>
      </c>
      <c r="DF542" s="174">
        <v>0.0</v>
      </c>
      <c r="DG542" s="174">
        <v>1.0</v>
      </c>
      <c r="DH542" s="174">
        <v>0.0</v>
      </c>
      <c r="DI542" s="174">
        <v>0.0</v>
      </c>
      <c r="DJ542" s="174">
        <v>1.0</v>
      </c>
      <c r="DK542" s="174">
        <v>0.0</v>
      </c>
      <c r="DL542" s="174">
        <v>1.0</v>
      </c>
      <c r="DM542" s="174">
        <v>0.0</v>
      </c>
      <c r="DN542" s="174"/>
      <c r="DO542" s="175">
        <v>1.0</v>
      </c>
      <c r="DP542" s="174">
        <v>0.0</v>
      </c>
      <c r="DQ542" s="174">
        <v>1.0</v>
      </c>
      <c r="DR542" s="174">
        <v>0.0</v>
      </c>
      <c r="DS542" s="174">
        <v>1.0</v>
      </c>
      <c r="DT542" s="174">
        <v>0.0</v>
      </c>
      <c r="DU542" s="174">
        <v>1.0</v>
      </c>
      <c r="DV542" s="174">
        <v>0.0</v>
      </c>
      <c r="DW542" s="174">
        <v>0.0</v>
      </c>
      <c r="DX542" s="174">
        <v>1.0</v>
      </c>
      <c r="DY542" s="174">
        <v>0.0</v>
      </c>
      <c r="DZ542" s="174">
        <v>1.0</v>
      </c>
      <c r="EA542" s="174">
        <v>0.0</v>
      </c>
      <c r="EB542" s="174">
        <v>1.0</v>
      </c>
      <c r="EC542" s="174">
        <v>0.0</v>
      </c>
      <c r="ED542" s="174">
        <v>0.0</v>
      </c>
      <c r="EE542" s="174">
        <v>1.0</v>
      </c>
      <c r="EF542" s="174">
        <v>0.0</v>
      </c>
      <c r="EG542" s="156">
        <v>10.0</v>
      </c>
      <c r="EH542" s="156">
        <v>0.0</v>
      </c>
      <c r="EI542" s="156">
        <v>0.0</v>
      </c>
      <c r="EJ542" s="156">
        <v>0.0</v>
      </c>
      <c r="EK542" s="156">
        <v>0.0</v>
      </c>
      <c r="EL542" s="156">
        <v>0.0</v>
      </c>
      <c r="EM542" s="174">
        <v>1.0</v>
      </c>
      <c r="EN542" s="174">
        <v>0.0</v>
      </c>
      <c r="EO542" s="174">
        <v>1.0</v>
      </c>
      <c r="EP542" s="174">
        <v>0.0</v>
      </c>
      <c r="EQ542" s="174">
        <v>0.0</v>
      </c>
      <c r="ER542" s="174">
        <v>1.0</v>
      </c>
      <c r="ES542" s="174">
        <v>0.0</v>
      </c>
      <c r="ET542" s="174">
        <v>1.0</v>
      </c>
      <c r="EU542" s="174"/>
      <c r="EV542" s="174"/>
      <c r="EW542" s="174"/>
      <c r="EX542" s="174"/>
      <c r="EY542" s="174">
        <v>1.0</v>
      </c>
      <c r="EZ542" s="174">
        <v>0.0</v>
      </c>
      <c r="FA542" s="174">
        <v>1.0</v>
      </c>
      <c r="FB542" s="174">
        <v>0.0</v>
      </c>
      <c r="FC542" s="174">
        <v>1.0</v>
      </c>
      <c r="FD542" s="174">
        <v>0.0</v>
      </c>
      <c r="FE542" s="174">
        <v>0.0</v>
      </c>
      <c r="FF542" s="174">
        <v>1.0</v>
      </c>
      <c r="FG542" s="174">
        <v>0.0</v>
      </c>
      <c r="FH542" s="174">
        <v>1.0</v>
      </c>
      <c r="FI542" s="174"/>
      <c r="FJ542" s="174"/>
      <c r="FK542" s="174"/>
      <c r="FL542" s="174"/>
      <c r="FM542" s="174"/>
      <c r="FN542" s="175">
        <v>1.0</v>
      </c>
      <c r="FO542" s="174"/>
      <c r="FP542" s="174">
        <v>0.0</v>
      </c>
      <c r="FQ542" s="156">
        <v>7.0</v>
      </c>
      <c r="FR542" s="156">
        <v>0.0</v>
      </c>
      <c r="FS542" s="156">
        <v>0.0</v>
      </c>
      <c r="FT542" s="156">
        <v>0.0</v>
      </c>
      <c r="FU542" s="156">
        <v>0.0</v>
      </c>
      <c r="FV542" s="156">
        <v>0.0</v>
      </c>
      <c r="FW542" s="174"/>
      <c r="FX542" s="174"/>
      <c r="FY542" s="174"/>
      <c r="FZ542" s="174">
        <v>1.0</v>
      </c>
      <c r="GA542" s="174"/>
      <c r="GB542" s="174"/>
      <c r="GC542" s="174"/>
      <c r="GD542" s="174">
        <v>1.0</v>
      </c>
      <c r="GE542" s="174">
        <v>0.0</v>
      </c>
      <c r="GF542" s="174">
        <v>0.0</v>
      </c>
      <c r="GG542" s="174">
        <v>1.0</v>
      </c>
      <c r="GH542" s="174">
        <v>0.0</v>
      </c>
      <c r="GI542" s="174"/>
      <c r="GJ542" s="175">
        <v>1.0</v>
      </c>
      <c r="GK542" s="174">
        <v>1.0</v>
      </c>
      <c r="GL542" s="174">
        <v>0.0</v>
      </c>
      <c r="GM542" s="174">
        <v>0.0</v>
      </c>
      <c r="GN542" s="174">
        <v>1.0</v>
      </c>
      <c r="GO542" s="174">
        <v>0.0</v>
      </c>
      <c r="GP542" s="176">
        <v>1.0</v>
      </c>
      <c r="GQ542" s="174"/>
      <c r="GR542" s="174"/>
      <c r="GS542" s="174"/>
      <c r="GT542" s="174"/>
      <c r="GU542" s="174"/>
      <c r="GV542" s="174"/>
      <c r="GW542" s="174"/>
      <c r="GX542" s="174"/>
      <c r="GY542" s="174"/>
      <c r="GZ542" s="174"/>
      <c r="HA542" s="174"/>
      <c r="HB542" s="155">
        <v>0.0</v>
      </c>
      <c r="HC542" s="155">
        <v>0.0</v>
      </c>
      <c r="HD542" s="155">
        <v>0.0</v>
      </c>
      <c r="HE542" s="155">
        <v>0.0</v>
      </c>
      <c r="HF542" s="155">
        <v>0.0</v>
      </c>
      <c r="HG542" s="155">
        <v>0.0</v>
      </c>
      <c r="HH542" s="174"/>
      <c r="HI542" s="174"/>
      <c r="HJ542" s="174"/>
      <c r="HK542" s="174"/>
      <c r="HL542" s="174"/>
      <c r="HM542" s="174"/>
      <c r="HN542" s="174"/>
      <c r="HO542" s="174"/>
      <c r="HP542" s="174"/>
      <c r="HQ542" s="174"/>
      <c r="HR542" s="174"/>
      <c r="HS542" s="174"/>
      <c r="HT542" s="174"/>
      <c r="HU542" s="174"/>
      <c r="HV542" s="174"/>
      <c r="HW542" s="174"/>
      <c r="HX542" s="174"/>
      <c r="HY542" s="174"/>
      <c r="HZ542" s="174"/>
      <c r="IA542" s="174"/>
      <c r="IB542" s="174"/>
      <c r="IC542" s="174"/>
      <c r="ID542" s="174"/>
      <c r="IE542" s="174"/>
      <c r="IF542" s="174"/>
      <c r="IG542" s="174"/>
      <c r="IH542" s="174"/>
      <c r="II542" s="174"/>
      <c r="IJ542" s="174"/>
      <c r="IK542" s="174"/>
      <c r="IL542" s="159">
        <v>0.0</v>
      </c>
      <c r="IM542" s="156">
        <v>0.0</v>
      </c>
      <c r="IN542" s="156">
        <v>0.0</v>
      </c>
      <c r="IO542" s="156">
        <v>0.0</v>
      </c>
      <c r="IP542" s="156">
        <v>0.0</v>
      </c>
      <c r="IQ542" s="160">
        <v>0.0</v>
      </c>
      <c r="JH542" s="25"/>
      <c r="JW542" s="159">
        <v>0.0</v>
      </c>
      <c r="JX542" s="156">
        <v>0.0</v>
      </c>
      <c r="JY542" s="156">
        <v>0.0</v>
      </c>
      <c r="JZ542" s="156">
        <v>0.0</v>
      </c>
      <c r="KA542" s="156">
        <v>0.0</v>
      </c>
      <c r="KB542" s="160">
        <v>0.0</v>
      </c>
      <c r="LH542" s="159">
        <f t="shared" si="10"/>
        <v>0</v>
      </c>
      <c r="LI542" s="156">
        <f t="shared" si="11"/>
        <v>0</v>
      </c>
      <c r="LJ542" s="156">
        <f t="shared" si="12"/>
        <v>0</v>
      </c>
      <c r="LK542" s="156">
        <f t="shared" si="13"/>
        <v>0</v>
      </c>
      <c r="LL542" s="156">
        <f t="shared" si="14"/>
        <v>0</v>
      </c>
      <c r="LM542" s="160">
        <f t="shared" si="15"/>
        <v>0</v>
      </c>
      <c r="QX542" s="560">
        <v>46078.0</v>
      </c>
    </row>
    <row r="543">
      <c r="A543" s="58"/>
      <c r="B543" s="58"/>
      <c r="C543" s="12"/>
      <c r="D543" s="12"/>
      <c r="E543" s="58"/>
      <c r="F543" s="12"/>
      <c r="G543" s="12"/>
      <c r="H543" s="12"/>
      <c r="I543" s="143">
        <f t="shared" si="22"/>
        <v>-37</v>
      </c>
      <c r="J543" s="537">
        <v>46086.0</v>
      </c>
      <c r="K543" s="184" t="s">
        <v>48</v>
      </c>
      <c r="L543" s="247"/>
      <c r="M543" s="86" t="s">
        <v>348</v>
      </c>
      <c r="N543" s="86">
        <v>357.0</v>
      </c>
      <c r="O543" s="86">
        <v>30.0</v>
      </c>
      <c r="U543" s="162" t="s">
        <v>3428</v>
      </c>
      <c r="V543" s="538" t="s">
        <v>230</v>
      </c>
      <c r="W543" s="185" t="s">
        <v>3429</v>
      </c>
      <c r="X543" s="140"/>
      <c r="Y543" s="166">
        <f t="shared" si="23"/>
        <v>37</v>
      </c>
      <c r="Z543" s="26">
        <f t="shared" si="7"/>
        <v>0</v>
      </c>
      <c r="AA543" s="26">
        <f t="shared" si="8"/>
        <v>0</v>
      </c>
      <c r="AB543" s="26">
        <f t="shared" si="9"/>
        <v>0</v>
      </c>
      <c r="AC543" s="155">
        <v>0.0</v>
      </c>
      <c r="AD543" s="155">
        <v>0.0</v>
      </c>
      <c r="AE543" s="155">
        <v>0.0</v>
      </c>
      <c r="AF543" s="155">
        <v>0.0</v>
      </c>
      <c r="AG543" s="155">
        <v>0.0</v>
      </c>
      <c r="AH543" s="155">
        <v>0.0</v>
      </c>
      <c r="BN543" s="155">
        <v>0.0</v>
      </c>
      <c r="BO543" s="155">
        <v>0.0</v>
      </c>
      <c r="BP543" s="155">
        <v>0.0</v>
      </c>
      <c r="BQ543" s="155">
        <v>0.0</v>
      </c>
      <c r="BR543" s="155">
        <v>0.0</v>
      </c>
      <c r="BS543" s="155">
        <v>0.0</v>
      </c>
      <c r="CV543" s="156">
        <v>10.0</v>
      </c>
      <c r="CW543" s="156">
        <v>0.0</v>
      </c>
      <c r="CX543" s="156">
        <v>0.0</v>
      </c>
      <c r="CY543" s="156">
        <v>0.0</v>
      </c>
      <c r="CZ543" s="156">
        <v>0.0</v>
      </c>
      <c r="DA543" s="156">
        <v>0.0</v>
      </c>
      <c r="DB543" s="395"/>
      <c r="DC543" s="395"/>
      <c r="DD543" s="395"/>
      <c r="DE543" s="395"/>
      <c r="DF543" s="395">
        <v>1.0</v>
      </c>
      <c r="DG543" s="395">
        <v>0.0</v>
      </c>
      <c r="DH543" s="395">
        <v>1.0</v>
      </c>
      <c r="DI543" s="395">
        <v>0.0</v>
      </c>
      <c r="DJ543" s="395">
        <v>0.0</v>
      </c>
      <c r="DK543" s="395">
        <v>1.0</v>
      </c>
      <c r="DL543" s="395">
        <v>0.0</v>
      </c>
      <c r="DM543" s="395"/>
      <c r="DN543" s="395">
        <v>0.0</v>
      </c>
      <c r="DO543" s="395">
        <v>1.0</v>
      </c>
      <c r="DP543" s="395">
        <v>0.0</v>
      </c>
      <c r="DQ543" s="395">
        <v>0.0</v>
      </c>
      <c r="DR543" s="395">
        <v>1.0</v>
      </c>
      <c r="DS543" s="395">
        <v>0.0</v>
      </c>
      <c r="DT543" s="395"/>
      <c r="DU543" s="395">
        <v>0.0</v>
      </c>
      <c r="DV543" s="395">
        <v>2.0</v>
      </c>
      <c r="DW543" s="395">
        <v>0.0</v>
      </c>
      <c r="DX543" s="395">
        <v>0.0</v>
      </c>
      <c r="DY543" s="395">
        <v>1.0</v>
      </c>
      <c r="DZ543" s="395">
        <v>0.0</v>
      </c>
      <c r="EA543" s="395">
        <v>1.0</v>
      </c>
      <c r="EB543" s="395">
        <v>0.0</v>
      </c>
      <c r="EC543" s="395">
        <v>1.0</v>
      </c>
      <c r="ED543" s="395">
        <v>0.0</v>
      </c>
      <c r="EE543" s="395">
        <v>0.0</v>
      </c>
      <c r="EF543" s="395"/>
      <c r="EG543" s="156">
        <v>7.0</v>
      </c>
      <c r="EH543" s="156">
        <v>0.0</v>
      </c>
      <c r="EI543" s="156">
        <v>0.0</v>
      </c>
      <c r="EJ543" s="156">
        <v>0.0</v>
      </c>
      <c r="EK543" s="156">
        <v>0.0</v>
      </c>
      <c r="EL543" s="156">
        <v>0.0</v>
      </c>
      <c r="EM543" s="395">
        <v>0.0</v>
      </c>
      <c r="EN543" s="395">
        <v>1.0</v>
      </c>
      <c r="EO543" s="395">
        <v>0.0</v>
      </c>
      <c r="EP543" s="395">
        <v>1.0</v>
      </c>
      <c r="EQ543" s="395">
        <v>0.0</v>
      </c>
      <c r="ER543" s="395">
        <v>0.0</v>
      </c>
      <c r="ES543" s="395">
        <v>1.0</v>
      </c>
      <c r="ET543" s="395">
        <v>0.0</v>
      </c>
      <c r="EU543" s="395">
        <v>1.0</v>
      </c>
      <c r="EV543" s="395"/>
      <c r="EW543" s="395"/>
      <c r="EX543" s="395"/>
      <c r="EY543" s="395"/>
      <c r="EZ543" s="395">
        <v>1.0</v>
      </c>
      <c r="FA543" s="395">
        <v>0.0</v>
      </c>
      <c r="FB543" s="395">
        <v>1.0</v>
      </c>
      <c r="FC543" s="395">
        <v>0.0</v>
      </c>
      <c r="FD543" s="395">
        <v>1.0</v>
      </c>
      <c r="FE543" s="395"/>
      <c r="FF543" s="395"/>
      <c r="FG543" s="395"/>
      <c r="FH543" s="395"/>
      <c r="FI543" s="395"/>
      <c r="FJ543" s="395"/>
      <c r="FK543" s="395"/>
      <c r="FL543" s="395"/>
      <c r="FM543" s="395"/>
      <c r="FN543" s="395"/>
      <c r="FO543" s="395"/>
      <c r="FP543" s="395"/>
      <c r="FQ543" s="156">
        <v>7.0</v>
      </c>
      <c r="FR543" s="156">
        <v>0.0</v>
      </c>
      <c r="FS543" s="156">
        <v>0.0</v>
      </c>
      <c r="FT543" s="156">
        <v>0.0</v>
      </c>
      <c r="FU543" s="156">
        <v>0.0</v>
      </c>
      <c r="FV543" s="156">
        <v>0.0</v>
      </c>
      <c r="FW543" s="172"/>
      <c r="FX543" s="172"/>
      <c r="FY543" s="172"/>
      <c r="FZ543" s="172"/>
      <c r="GA543" s="172">
        <v>1.0</v>
      </c>
      <c r="GB543" s="172">
        <v>0.0</v>
      </c>
      <c r="GC543" s="172">
        <v>1.0</v>
      </c>
      <c r="GD543" s="172">
        <v>0.0</v>
      </c>
      <c r="GE543" s="172">
        <v>1.0</v>
      </c>
      <c r="GF543" s="172">
        <v>0.0</v>
      </c>
      <c r="GG543" s="172">
        <v>0.0</v>
      </c>
      <c r="GH543" s="172"/>
      <c r="GI543" s="172">
        <v>0.0</v>
      </c>
      <c r="GJ543" s="172">
        <v>1.0</v>
      </c>
      <c r="GK543" s="172">
        <v>0.0</v>
      </c>
      <c r="GL543" s="172">
        <v>1.0</v>
      </c>
      <c r="GM543" s="172">
        <v>0.0</v>
      </c>
      <c r="GN543" s="172">
        <v>0.0</v>
      </c>
      <c r="GO543" s="172">
        <v>1.0</v>
      </c>
      <c r="GP543" s="170"/>
      <c r="GQ543" s="172"/>
      <c r="GR543" s="172"/>
      <c r="GS543" s="172"/>
      <c r="GT543" s="172"/>
      <c r="GU543" s="172"/>
      <c r="GV543" s="172"/>
      <c r="GW543" s="172"/>
      <c r="GX543" s="172"/>
      <c r="GY543" s="172"/>
      <c r="GZ543" s="172">
        <v>1.0</v>
      </c>
      <c r="HA543" s="172">
        <v>0.0</v>
      </c>
      <c r="HB543" s="155">
        <v>5.0</v>
      </c>
      <c r="HC543" s="155">
        <v>0.0</v>
      </c>
      <c r="HD543" s="155">
        <v>0.0</v>
      </c>
      <c r="HE543" s="155">
        <v>0.0</v>
      </c>
      <c r="HF543" s="155">
        <v>0.0</v>
      </c>
      <c r="HG543" s="155">
        <v>0.0</v>
      </c>
      <c r="HH543" s="172">
        <v>0.0</v>
      </c>
      <c r="HI543" s="172">
        <v>1.0</v>
      </c>
      <c r="HJ543" s="172">
        <v>0.0</v>
      </c>
      <c r="HK543" s="172"/>
      <c r="HL543" s="172">
        <v>0.0</v>
      </c>
      <c r="HM543" s="172"/>
      <c r="HN543" s="172">
        <v>0.0</v>
      </c>
      <c r="HO543" s="172">
        <v>0.0</v>
      </c>
      <c r="HP543" s="172"/>
      <c r="HQ543" s="172">
        <v>0.0</v>
      </c>
      <c r="HR543" s="172"/>
      <c r="HS543" s="172">
        <v>0.0</v>
      </c>
      <c r="HT543" s="172">
        <v>1.0</v>
      </c>
      <c r="HU543" s="172">
        <v>0.0</v>
      </c>
      <c r="HV543" s="172">
        <v>0.0</v>
      </c>
      <c r="HW543" s="172"/>
      <c r="HX543" s="172">
        <v>0.0</v>
      </c>
      <c r="HY543" s="172">
        <v>1.0</v>
      </c>
      <c r="HZ543" s="172">
        <v>0.0</v>
      </c>
      <c r="IA543" s="172"/>
      <c r="IB543" s="172">
        <v>0.0</v>
      </c>
      <c r="IC543" s="172">
        <v>0.0</v>
      </c>
      <c r="ID543" s="172">
        <v>1.0</v>
      </c>
      <c r="IE543" s="172">
        <v>0.0</v>
      </c>
      <c r="IF543" s="172">
        <v>1.0</v>
      </c>
      <c r="IG543" s="172"/>
      <c r="IH543" s="172"/>
      <c r="II543" s="172"/>
      <c r="IJ543" s="172"/>
      <c r="IK543" s="172"/>
      <c r="IL543" s="159">
        <v>1.0</v>
      </c>
      <c r="IM543" s="156">
        <v>0.0</v>
      </c>
      <c r="IN543" s="156">
        <v>0.0</v>
      </c>
      <c r="IO543" s="156">
        <v>0.0</v>
      </c>
      <c r="IP543" s="156">
        <v>0.0</v>
      </c>
      <c r="IQ543" s="160">
        <v>0.0</v>
      </c>
      <c r="IR543" s="172">
        <v>0.0</v>
      </c>
      <c r="IS543" s="172"/>
      <c r="IT543" s="172"/>
      <c r="IU543" s="172"/>
      <c r="IV543" s="172"/>
      <c r="IW543" s="172"/>
      <c r="IX543" s="172">
        <v>1.0</v>
      </c>
      <c r="IY543" s="172"/>
      <c r="IZ543" s="172"/>
      <c r="JA543" s="172"/>
      <c r="JB543" s="172"/>
      <c r="JC543" s="172"/>
      <c r="JD543" s="172"/>
      <c r="JE543" s="172"/>
      <c r="JF543" s="172"/>
      <c r="JG543" s="172"/>
      <c r="JH543" s="170"/>
      <c r="JI543" s="172"/>
      <c r="JJ543" s="172"/>
      <c r="JK543" s="172"/>
      <c r="JL543" s="172"/>
      <c r="JM543" s="172"/>
      <c r="JN543" s="172"/>
      <c r="JO543" s="172"/>
      <c r="JP543" s="172"/>
      <c r="JQ543" s="172"/>
      <c r="JR543" s="172"/>
      <c r="JS543" s="172"/>
      <c r="JT543" s="172"/>
      <c r="JU543" s="172"/>
      <c r="JV543" s="172"/>
      <c r="JW543" s="159">
        <v>0.0</v>
      </c>
      <c r="JX543" s="156">
        <v>0.0</v>
      </c>
      <c r="JY543" s="156">
        <v>0.0</v>
      </c>
      <c r="JZ543" s="156">
        <v>0.0</v>
      </c>
      <c r="KA543" s="156">
        <v>0.0</v>
      </c>
      <c r="KB543" s="160">
        <v>0.0</v>
      </c>
      <c r="KC543" s="172"/>
      <c r="KD543" s="172"/>
      <c r="KE543" s="172"/>
      <c r="KF543" s="172"/>
      <c r="KG543" s="172"/>
      <c r="KH543" s="172"/>
      <c r="KI543" s="172"/>
      <c r="KJ543" s="172"/>
      <c r="KK543" s="172"/>
      <c r="KL543" s="172"/>
      <c r="KM543" s="172"/>
      <c r="KN543" s="172"/>
      <c r="KO543" s="172"/>
      <c r="KP543" s="172"/>
      <c r="KQ543" s="172"/>
      <c r="KR543" s="172"/>
      <c r="KS543" s="432"/>
      <c r="KT543" s="172"/>
      <c r="KU543" s="172"/>
      <c r="KV543" s="172"/>
      <c r="KW543" s="172"/>
      <c r="KX543" s="172"/>
      <c r="KY543" s="172"/>
      <c r="KZ543" s="172"/>
      <c r="LA543" s="172"/>
      <c r="LB543" s="172"/>
      <c r="LC543" s="172"/>
      <c r="LD543" s="172"/>
      <c r="LE543" s="172"/>
      <c r="LF543" s="172"/>
      <c r="LG543" s="172"/>
      <c r="LH543" s="159">
        <f t="shared" si="10"/>
        <v>7</v>
      </c>
      <c r="LI543" s="156">
        <f t="shared" si="11"/>
        <v>0</v>
      </c>
      <c r="LJ543" s="156">
        <f t="shared" si="12"/>
        <v>0</v>
      </c>
      <c r="LK543" s="156">
        <f t="shared" si="13"/>
        <v>0</v>
      </c>
      <c r="LL543" s="156">
        <f t="shared" si="14"/>
        <v>0</v>
      </c>
      <c r="LM543" s="160">
        <f t="shared" si="15"/>
        <v>0</v>
      </c>
      <c r="LW543" s="12">
        <f t="shared" ref="LW543:MQ543" si="33">IFS(TODAY()&lt;=LC$2,0,WEEKDAY(LC$2)=2,0,WEEKDAY(LC$2)=3,1,WEEKDAY(LC$2)=4,0,WEEKDAY(LC$2)=5,1,WEEKDAY(LC$2)=6,0,WEEKDAY(LC$2)=7,1,WEEKDAY(LC$2)=1,0)</f>
        <v>1</v>
      </c>
      <c r="LX543" s="12">
        <f t="shared" si="33"/>
        <v>0</v>
      </c>
      <c r="LY543" s="12">
        <f t="shared" si="33"/>
        <v>1</v>
      </c>
      <c r="LZ543" s="12">
        <f t="shared" si="33"/>
        <v>0</v>
      </c>
      <c r="MA543" s="12">
        <f t="shared" si="33"/>
        <v>0</v>
      </c>
      <c r="MB543" s="12">
        <f t="shared" si="33"/>
        <v>0</v>
      </c>
      <c r="MC543" s="12">
        <f t="shared" si="33"/>
        <v>0</v>
      </c>
      <c r="MD543" s="12">
        <f t="shared" si="33"/>
        <v>0</v>
      </c>
      <c r="ME543" s="12">
        <f t="shared" si="33"/>
        <v>0</v>
      </c>
      <c r="MF543" s="12">
        <f t="shared" si="33"/>
        <v>0</v>
      </c>
      <c r="MG543" s="12">
        <f t="shared" si="33"/>
        <v>0</v>
      </c>
      <c r="MH543" s="12">
        <f t="shared" si="33"/>
        <v>1</v>
      </c>
      <c r="MI543" s="12">
        <f t="shared" si="33"/>
        <v>0</v>
      </c>
      <c r="MJ543" s="12">
        <f t="shared" si="33"/>
        <v>1</v>
      </c>
      <c r="MK543" s="12">
        <f t="shared" si="33"/>
        <v>0</v>
      </c>
      <c r="ML543" s="12">
        <f t="shared" si="33"/>
        <v>1</v>
      </c>
      <c r="MM543" s="12">
        <f t="shared" si="33"/>
        <v>0</v>
      </c>
      <c r="MN543" s="12">
        <f t="shared" si="33"/>
        <v>0</v>
      </c>
      <c r="MO543" s="12">
        <f t="shared" si="33"/>
        <v>1</v>
      </c>
      <c r="MP543" s="12">
        <f t="shared" si="33"/>
        <v>0</v>
      </c>
      <c r="MQ543" s="12">
        <f t="shared" si="33"/>
        <v>1</v>
      </c>
      <c r="QX543" s="560">
        <v>46078.0</v>
      </c>
    </row>
    <row r="544">
      <c r="A544" s="12"/>
      <c r="B544" s="12"/>
      <c r="C544" s="12"/>
      <c r="D544" s="12"/>
      <c r="E544" s="58"/>
      <c r="F544" s="12"/>
      <c r="G544" s="12"/>
      <c r="H544" s="12"/>
      <c r="I544" s="143">
        <f t="shared" si="22"/>
        <v>-45</v>
      </c>
      <c r="J544" s="537">
        <v>46086.0</v>
      </c>
      <c r="K544" s="184" t="s">
        <v>48</v>
      </c>
      <c r="L544" s="162"/>
      <c r="M544" s="86" t="s">
        <v>1703</v>
      </c>
      <c r="N544" s="86">
        <v>35.0</v>
      </c>
      <c r="O544" s="86">
        <v>30.0</v>
      </c>
      <c r="U544" s="538" t="s">
        <v>3164</v>
      </c>
      <c r="V544" s="538" t="s">
        <v>2801</v>
      </c>
      <c r="W544" s="185" t="s">
        <v>3430</v>
      </c>
      <c r="X544" s="140"/>
      <c r="Y544" s="166">
        <f t="shared" si="23"/>
        <v>45</v>
      </c>
      <c r="Z544" s="26">
        <f t="shared" si="7"/>
        <v>0</v>
      </c>
      <c r="AA544" s="26">
        <f t="shared" si="8"/>
        <v>0</v>
      </c>
      <c r="AB544" s="26">
        <f t="shared" si="9"/>
        <v>0</v>
      </c>
      <c r="AC544" s="155">
        <v>0.0</v>
      </c>
      <c r="AD544" s="155">
        <v>0.0</v>
      </c>
      <c r="AE544" s="155">
        <v>0.0</v>
      </c>
      <c r="AF544" s="155">
        <v>0.0</v>
      </c>
      <c r="AG544" s="155">
        <v>0.0</v>
      </c>
      <c r="AH544" s="155">
        <v>0.0</v>
      </c>
      <c r="BN544" s="155">
        <v>0.0</v>
      </c>
      <c r="BO544" s="155">
        <v>0.0</v>
      </c>
      <c r="BP544" s="155">
        <v>0.0</v>
      </c>
      <c r="BQ544" s="155">
        <v>0.0</v>
      </c>
      <c r="BR544" s="155">
        <v>0.0</v>
      </c>
      <c r="BS544" s="155">
        <v>0.0</v>
      </c>
      <c r="CV544" s="156">
        <v>8.0</v>
      </c>
      <c r="CW544" s="156">
        <v>0.0</v>
      </c>
      <c r="CX544" s="156">
        <v>0.0</v>
      </c>
      <c r="CY544" s="156">
        <v>0.0</v>
      </c>
      <c r="CZ544" s="156">
        <v>0.0</v>
      </c>
      <c r="DA544" s="156">
        <v>0.0</v>
      </c>
      <c r="DF544" s="395">
        <v>1.0</v>
      </c>
      <c r="DG544" s="395">
        <v>0.0</v>
      </c>
      <c r="DH544" s="395">
        <v>0.0</v>
      </c>
      <c r="DI544" s="395">
        <v>0.0</v>
      </c>
      <c r="DJ544" s="395">
        <v>0.0</v>
      </c>
      <c r="DK544" s="395">
        <v>1.0</v>
      </c>
      <c r="DL544" s="395">
        <v>0.0</v>
      </c>
      <c r="DM544" s="395">
        <v>1.0</v>
      </c>
      <c r="DN544" s="395">
        <v>0.0</v>
      </c>
      <c r="DO544" s="395">
        <v>0.0</v>
      </c>
      <c r="DP544" s="395">
        <v>0.0</v>
      </c>
      <c r="DQ544" s="395">
        <v>0.0</v>
      </c>
      <c r="DR544" s="395">
        <v>1.0</v>
      </c>
      <c r="DS544" s="395">
        <v>0.0</v>
      </c>
      <c r="DT544" s="395">
        <v>1.0</v>
      </c>
      <c r="DU544" s="395"/>
      <c r="DV544" s="395"/>
      <c r="DW544" s="395"/>
      <c r="DX544" s="395"/>
      <c r="DY544" s="395">
        <v>1.0</v>
      </c>
      <c r="DZ544" s="395">
        <v>0.0</v>
      </c>
      <c r="EA544" s="395"/>
      <c r="EB544" s="395">
        <v>1.0</v>
      </c>
      <c r="EC544" s="395">
        <v>0.0</v>
      </c>
      <c r="ED544" s="395">
        <v>0.0</v>
      </c>
      <c r="EE544" s="395">
        <v>0.0</v>
      </c>
      <c r="EF544" s="395">
        <v>1.0</v>
      </c>
      <c r="EG544" s="156">
        <v>7.0</v>
      </c>
      <c r="EH544" s="156">
        <v>0.0</v>
      </c>
      <c r="EI544" s="156">
        <v>0.0</v>
      </c>
      <c r="EJ544" s="156">
        <v>0.0</v>
      </c>
      <c r="EK544" s="156">
        <v>0.0</v>
      </c>
      <c r="EL544" s="156">
        <v>0.0</v>
      </c>
      <c r="EN544" s="86">
        <v>1.0</v>
      </c>
      <c r="ES544" s="86">
        <v>1.0</v>
      </c>
      <c r="EU544" s="86">
        <v>1.0</v>
      </c>
      <c r="EZ544" s="86">
        <v>1.0</v>
      </c>
      <c r="FB544" s="86">
        <v>1.0</v>
      </c>
      <c r="FG544" s="86">
        <v>1.0</v>
      </c>
      <c r="FI544" s="86">
        <v>1.0</v>
      </c>
      <c r="FQ544" s="156">
        <v>6.0</v>
      </c>
      <c r="FR544" s="156">
        <v>0.0</v>
      </c>
      <c r="FS544" s="156">
        <v>0.0</v>
      </c>
      <c r="FT544" s="156">
        <v>0.0</v>
      </c>
      <c r="FU544" s="156">
        <v>0.0</v>
      </c>
      <c r="FV544" s="156">
        <v>0.0</v>
      </c>
      <c r="FW544" s="157"/>
      <c r="FX544" s="157"/>
      <c r="FY544" s="157"/>
      <c r="FZ544" s="157"/>
      <c r="GA544" s="188">
        <v>1.0</v>
      </c>
      <c r="GB544" s="157"/>
      <c r="GC544" s="188">
        <v>1.0</v>
      </c>
      <c r="GD544" s="157"/>
      <c r="GE544" s="157"/>
      <c r="GF544" s="157"/>
      <c r="GG544" s="157"/>
      <c r="GH544" s="188">
        <v>1.0</v>
      </c>
      <c r="GI544" s="157"/>
      <c r="GJ544" s="188">
        <v>1.0</v>
      </c>
      <c r="GK544" s="157"/>
      <c r="GL544" s="157"/>
      <c r="GM544" s="157"/>
      <c r="GN544" s="157"/>
      <c r="GO544" s="188">
        <v>1.0</v>
      </c>
      <c r="GP544" s="158"/>
      <c r="GQ544" s="188">
        <v>1.0</v>
      </c>
      <c r="GR544" s="157"/>
      <c r="GS544" s="157"/>
      <c r="GT544" s="157"/>
      <c r="GU544" s="157"/>
      <c r="GV544" s="157"/>
      <c r="GW544" s="157"/>
      <c r="GX544" s="157"/>
      <c r="GY544" s="157"/>
      <c r="GZ544" s="157"/>
      <c r="HA544" s="157"/>
      <c r="HB544" s="155">
        <v>9.0</v>
      </c>
      <c r="HC544" s="155">
        <v>0.0</v>
      </c>
      <c r="HD544" s="155">
        <v>0.0</v>
      </c>
      <c r="HE544" s="155">
        <v>0.0</v>
      </c>
      <c r="HF544" s="155">
        <v>0.0</v>
      </c>
      <c r="HG544" s="155">
        <v>0.0</v>
      </c>
      <c r="HI544" s="86">
        <v>1.0</v>
      </c>
      <c r="HK544" s="86">
        <v>1.0</v>
      </c>
      <c r="HP544" s="86">
        <v>1.0</v>
      </c>
      <c r="HR544" s="86">
        <v>1.0</v>
      </c>
      <c r="HW544" s="86">
        <v>1.0</v>
      </c>
      <c r="HY544" s="86">
        <v>1.0</v>
      </c>
      <c r="ID544" s="86">
        <v>1.0</v>
      </c>
      <c r="IF544" s="86">
        <v>1.0</v>
      </c>
      <c r="IK544" s="86">
        <v>1.0</v>
      </c>
      <c r="IL544" s="159">
        <v>6.0</v>
      </c>
      <c r="IM544" s="156">
        <v>0.0</v>
      </c>
      <c r="IN544" s="156">
        <v>0.0</v>
      </c>
      <c r="IO544" s="156">
        <v>0.0</v>
      </c>
      <c r="IP544" s="156">
        <v>0.0</v>
      </c>
      <c r="IQ544" s="160">
        <v>0.0</v>
      </c>
      <c r="IX544" s="86">
        <v>1.0</v>
      </c>
      <c r="IZ544" s="86">
        <v>1.0</v>
      </c>
      <c r="JE544" s="86">
        <v>1.0</v>
      </c>
      <c r="JG544" s="86">
        <v>1.0</v>
      </c>
      <c r="JH544" s="25"/>
      <c r="JS544" s="86">
        <v>1.0</v>
      </c>
      <c r="JU544" s="86">
        <v>1.0</v>
      </c>
      <c r="JW544" s="159">
        <v>8.0</v>
      </c>
      <c r="JX544" s="156">
        <v>0.0</v>
      </c>
      <c r="JY544" s="156">
        <v>0.0</v>
      </c>
      <c r="JZ544" s="156">
        <v>0.0</v>
      </c>
      <c r="KA544" s="156">
        <v>0.0</v>
      </c>
      <c r="KB544" s="160">
        <v>0.0</v>
      </c>
      <c r="KF544" s="86">
        <v>1.0</v>
      </c>
      <c r="KH544" s="86">
        <v>1.0</v>
      </c>
      <c r="KM544" s="86">
        <v>1.0</v>
      </c>
      <c r="KO544" s="86">
        <v>1.0</v>
      </c>
      <c r="KS544" s="178"/>
      <c r="KT544" s="86">
        <v>1.0</v>
      </c>
      <c r="KV544" s="86">
        <v>1.0</v>
      </c>
      <c r="LA544" s="86">
        <v>1.0</v>
      </c>
      <c r="LC544" s="86">
        <v>1.0</v>
      </c>
      <c r="LH544" s="159">
        <f t="shared" si="10"/>
        <v>1</v>
      </c>
      <c r="LI544" s="156">
        <f t="shared" si="11"/>
        <v>0</v>
      </c>
      <c r="LJ544" s="156">
        <f t="shared" si="12"/>
        <v>0</v>
      </c>
      <c r="LK544" s="156">
        <f t="shared" si="13"/>
        <v>0</v>
      </c>
      <c r="LL544" s="156">
        <f t="shared" si="14"/>
        <v>0</v>
      </c>
      <c r="LM544" s="160">
        <f t="shared" si="15"/>
        <v>0</v>
      </c>
      <c r="LP544" s="189">
        <v>1.0</v>
      </c>
      <c r="QX544" s="560">
        <v>46079.0</v>
      </c>
    </row>
    <row r="545">
      <c r="A545" s="12"/>
      <c r="B545" s="12"/>
      <c r="C545" s="12"/>
      <c r="D545" s="12"/>
      <c r="E545" s="12"/>
      <c r="F545" s="12"/>
      <c r="G545" s="12"/>
      <c r="H545" s="12"/>
      <c r="I545" s="143">
        <f t="shared" si="22"/>
        <v>-30</v>
      </c>
      <c r="J545" s="537">
        <v>46084.0</v>
      </c>
      <c r="K545" s="164" t="s">
        <v>61</v>
      </c>
      <c r="L545" s="23">
        <v>46164.0</v>
      </c>
      <c r="M545" s="162" t="s">
        <v>348</v>
      </c>
      <c r="N545" s="86">
        <v>246.0</v>
      </c>
      <c r="O545" s="86">
        <v>30.0</v>
      </c>
      <c r="U545" s="538" t="s">
        <v>3431</v>
      </c>
      <c r="V545" s="538" t="s">
        <v>1553</v>
      </c>
      <c r="W545" s="125" t="s">
        <v>3432</v>
      </c>
      <c r="X545" s="140"/>
      <c r="Y545" s="166">
        <f t="shared" si="23"/>
        <v>30</v>
      </c>
      <c r="Z545" s="26">
        <f t="shared" si="7"/>
        <v>0</v>
      </c>
      <c r="AA545" s="26">
        <f t="shared" si="8"/>
        <v>0</v>
      </c>
      <c r="AB545" s="26">
        <f t="shared" si="9"/>
        <v>0</v>
      </c>
      <c r="AC545" s="155">
        <v>0.0</v>
      </c>
      <c r="AD545" s="155">
        <v>0.0</v>
      </c>
      <c r="AE545" s="155">
        <v>0.0</v>
      </c>
      <c r="AF545" s="155">
        <v>0.0</v>
      </c>
      <c r="AG545" s="155">
        <v>0.0</v>
      </c>
      <c r="AH545" s="155">
        <v>0.0</v>
      </c>
      <c r="BN545" s="155">
        <v>0.0</v>
      </c>
      <c r="BO545" s="155">
        <v>0.0</v>
      </c>
      <c r="BP545" s="155">
        <v>0.0</v>
      </c>
      <c r="BQ545" s="155">
        <v>0.0</v>
      </c>
      <c r="BR545" s="155">
        <v>0.0</v>
      </c>
      <c r="BS545" s="155">
        <v>0.0</v>
      </c>
      <c r="CV545" s="156">
        <v>13.0</v>
      </c>
      <c r="CW545" s="156">
        <v>0.0</v>
      </c>
      <c r="CX545" s="156">
        <v>0.0</v>
      </c>
      <c r="CY545" s="156">
        <v>0.0</v>
      </c>
      <c r="CZ545" s="156">
        <v>0.0</v>
      </c>
      <c r="DA545" s="156">
        <v>0.0</v>
      </c>
      <c r="DB545" s="174"/>
      <c r="DC545" s="174"/>
      <c r="DD545" s="175">
        <v>1.0</v>
      </c>
      <c r="DE545" s="175">
        <v>1.0</v>
      </c>
      <c r="DF545" s="174"/>
      <c r="DG545" s="174"/>
      <c r="DH545" s="175">
        <v>1.0</v>
      </c>
      <c r="DI545" s="174"/>
      <c r="DJ545" s="175">
        <v>1.0</v>
      </c>
      <c r="DK545" s="174">
        <v>0.0</v>
      </c>
      <c r="DL545" s="174"/>
      <c r="DM545" s="175">
        <v>1.0</v>
      </c>
      <c r="DN545" s="174">
        <v>1.0</v>
      </c>
      <c r="DO545" s="174">
        <v>0.0</v>
      </c>
      <c r="DP545" s="174">
        <v>0.0</v>
      </c>
      <c r="DQ545" s="174">
        <v>1.0</v>
      </c>
      <c r="DR545" s="174">
        <v>0.0</v>
      </c>
      <c r="DS545" s="174">
        <v>1.0</v>
      </c>
      <c r="DT545" s="174"/>
      <c r="DU545" s="174"/>
      <c r="DV545" s="174"/>
      <c r="DW545" s="174"/>
      <c r="DX545" s="175">
        <v>1.0</v>
      </c>
      <c r="DY545" s="175">
        <v>1.0</v>
      </c>
      <c r="DZ545" s="174">
        <v>1.0</v>
      </c>
      <c r="EA545" s="174">
        <v>0.0</v>
      </c>
      <c r="EB545" s="174"/>
      <c r="EC545" s="174">
        <v>0.0</v>
      </c>
      <c r="ED545" s="175">
        <v>1.0</v>
      </c>
      <c r="EE545" s="175">
        <v>1.0</v>
      </c>
      <c r="EF545" s="174"/>
      <c r="EG545" s="156">
        <v>11.0</v>
      </c>
      <c r="EH545" s="156">
        <v>0.0</v>
      </c>
      <c r="EI545" s="156">
        <v>0.0</v>
      </c>
      <c r="EJ545" s="156">
        <v>0.0</v>
      </c>
      <c r="EK545" s="156">
        <v>0.0</v>
      </c>
      <c r="EL545" s="156">
        <v>0.0</v>
      </c>
      <c r="EM545" s="174">
        <v>1.0</v>
      </c>
      <c r="EN545" s="174">
        <v>0.0</v>
      </c>
      <c r="EO545" s="174">
        <v>1.0</v>
      </c>
      <c r="EP545" s="174">
        <v>0.0</v>
      </c>
      <c r="EQ545" s="174">
        <v>0.0</v>
      </c>
      <c r="ER545" s="174">
        <v>1.0</v>
      </c>
      <c r="ES545" s="174">
        <v>0.0</v>
      </c>
      <c r="ET545" s="174">
        <v>1.0</v>
      </c>
      <c r="EU545" s="174"/>
      <c r="EV545" s="174"/>
      <c r="EW545" s="174"/>
      <c r="EX545" s="174"/>
      <c r="EY545" s="174">
        <v>1.0</v>
      </c>
      <c r="EZ545" s="174">
        <v>0.0</v>
      </c>
      <c r="FA545" s="174">
        <v>1.0</v>
      </c>
      <c r="FB545" s="174">
        <v>0.0</v>
      </c>
      <c r="FC545" s="174">
        <v>1.0</v>
      </c>
      <c r="FD545" s="174">
        <v>0.0</v>
      </c>
      <c r="FE545" s="174">
        <v>0.0</v>
      </c>
      <c r="FF545" s="174"/>
      <c r="FG545" s="175">
        <v>1.0</v>
      </c>
      <c r="FH545" s="175">
        <v>2.0</v>
      </c>
      <c r="FI545" s="174"/>
      <c r="FJ545" s="175"/>
      <c r="FK545" s="174"/>
      <c r="FL545" s="174"/>
      <c r="FM545" s="174"/>
      <c r="FN545" s="174"/>
      <c r="FO545" s="174">
        <v>1.0</v>
      </c>
      <c r="FP545" s="174">
        <v>0.0</v>
      </c>
      <c r="FQ545" s="156">
        <v>6.0</v>
      </c>
      <c r="FR545" s="156">
        <v>0.0</v>
      </c>
      <c r="FS545" s="156">
        <v>0.0</v>
      </c>
      <c r="FT545" s="156">
        <v>0.0</v>
      </c>
      <c r="FU545" s="156">
        <v>0.0</v>
      </c>
      <c r="FV545" s="156">
        <v>0.0</v>
      </c>
      <c r="FW545" s="174"/>
      <c r="FX545" s="174"/>
      <c r="FY545" s="174"/>
      <c r="FZ545" s="174">
        <v>1.0</v>
      </c>
      <c r="GA545" s="174">
        <v>0.0</v>
      </c>
      <c r="GB545" s="174">
        <v>1.0</v>
      </c>
      <c r="GC545" s="174">
        <v>0.0</v>
      </c>
      <c r="GD545" s="174">
        <v>1.0</v>
      </c>
      <c r="GE545" s="174">
        <v>0.0</v>
      </c>
      <c r="GF545" s="174">
        <v>0.0</v>
      </c>
      <c r="GG545" s="174">
        <v>1.0</v>
      </c>
      <c r="GH545" s="174">
        <v>0.0</v>
      </c>
      <c r="GI545" s="174">
        <v>1.0</v>
      </c>
      <c r="GJ545" s="174">
        <v>0.0</v>
      </c>
      <c r="GK545" s="174">
        <v>1.0</v>
      </c>
      <c r="GL545" s="174"/>
      <c r="GM545" s="174"/>
      <c r="GN545" s="174"/>
      <c r="GO545" s="174"/>
      <c r="GP545" s="176"/>
      <c r="GQ545" s="174"/>
      <c r="GR545" s="174"/>
      <c r="GS545" s="174"/>
      <c r="GT545" s="174"/>
      <c r="GU545" s="174"/>
      <c r="GV545" s="174"/>
      <c r="GW545" s="174"/>
      <c r="GX545" s="174"/>
      <c r="GY545" s="174"/>
      <c r="GZ545" s="174"/>
      <c r="HA545" s="174"/>
      <c r="HB545" s="155">
        <v>0.0</v>
      </c>
      <c r="HC545" s="155">
        <v>0.0</v>
      </c>
      <c r="HD545" s="155">
        <v>0.0</v>
      </c>
      <c r="HE545" s="155">
        <v>0.0</v>
      </c>
      <c r="HF545" s="155">
        <v>0.0</v>
      </c>
      <c r="HG545" s="155">
        <v>0.0</v>
      </c>
      <c r="HH545" s="174"/>
      <c r="HI545" s="174"/>
      <c r="HJ545" s="174"/>
      <c r="HK545" s="174"/>
      <c r="HL545" s="174"/>
      <c r="HM545" s="174"/>
      <c r="HN545" s="174"/>
      <c r="HO545" s="174"/>
      <c r="HP545" s="174"/>
      <c r="HQ545" s="174"/>
      <c r="HR545" s="174"/>
      <c r="HS545" s="174"/>
      <c r="HT545" s="174"/>
      <c r="HU545" s="174"/>
      <c r="HV545" s="174"/>
      <c r="HW545" s="174"/>
      <c r="HX545" s="174"/>
      <c r="HY545" s="174"/>
      <c r="HZ545" s="174"/>
      <c r="IA545" s="174"/>
      <c r="IB545" s="174"/>
      <c r="IC545" s="174"/>
      <c r="ID545" s="174"/>
      <c r="IE545" s="174"/>
      <c r="IF545" s="174"/>
      <c r="IG545" s="174"/>
      <c r="IH545" s="174"/>
      <c r="II545" s="174"/>
      <c r="IJ545" s="174"/>
      <c r="IK545" s="174"/>
      <c r="IL545" s="159">
        <v>0.0</v>
      </c>
      <c r="IM545" s="156">
        <v>0.0</v>
      </c>
      <c r="IN545" s="156">
        <v>0.0</v>
      </c>
      <c r="IO545" s="156">
        <v>0.0</v>
      </c>
      <c r="IP545" s="156">
        <v>0.0</v>
      </c>
      <c r="IQ545" s="160">
        <v>0.0</v>
      </c>
      <c r="JH545" s="25"/>
      <c r="JW545" s="159">
        <v>0.0</v>
      </c>
      <c r="JX545" s="156">
        <v>0.0</v>
      </c>
      <c r="JY545" s="156">
        <v>0.0</v>
      </c>
      <c r="JZ545" s="156">
        <v>0.0</v>
      </c>
      <c r="KA545" s="156">
        <v>0.0</v>
      </c>
      <c r="KB545" s="160">
        <v>0.0</v>
      </c>
      <c r="LH545" s="159">
        <f t="shared" si="10"/>
        <v>0</v>
      </c>
      <c r="LI545" s="156">
        <f t="shared" si="11"/>
        <v>0</v>
      </c>
      <c r="LJ545" s="156">
        <f t="shared" si="12"/>
        <v>0</v>
      </c>
      <c r="LK545" s="156">
        <f t="shared" si="13"/>
        <v>0</v>
      </c>
      <c r="LL545" s="156">
        <f t="shared" si="14"/>
        <v>0</v>
      </c>
      <c r="LM545" s="160">
        <f t="shared" si="15"/>
        <v>0</v>
      </c>
      <c r="QX545" s="560">
        <v>46079.0</v>
      </c>
    </row>
    <row r="546">
      <c r="A546" s="433"/>
      <c r="B546" s="433"/>
      <c r="C546" s="433"/>
      <c r="D546" s="433"/>
      <c r="E546" s="433"/>
      <c r="F546" s="433"/>
      <c r="G546" s="433"/>
      <c r="H546" s="433"/>
      <c r="I546" s="561">
        <f t="shared" si="22"/>
        <v>0</v>
      </c>
      <c r="J546" s="562"/>
      <c r="K546" s="563" t="s">
        <v>31</v>
      </c>
      <c r="L546" s="562"/>
      <c r="M546" s="437" t="s">
        <v>400</v>
      </c>
      <c r="N546" s="437">
        <v>246.0</v>
      </c>
      <c r="O546" s="437">
        <v>30.0</v>
      </c>
      <c r="P546" s="433"/>
      <c r="Q546" s="433"/>
      <c r="R546" s="433"/>
      <c r="S546" s="433"/>
      <c r="T546" s="433"/>
      <c r="U546" s="564" t="s">
        <v>3433</v>
      </c>
      <c r="V546" s="565" t="s">
        <v>3434</v>
      </c>
      <c r="W546" s="125" t="s">
        <v>3435</v>
      </c>
      <c r="X546" s="140"/>
      <c r="Y546" s="166">
        <f t="shared" si="23"/>
        <v>0</v>
      </c>
      <c r="Z546" s="26">
        <f t="shared" si="7"/>
        <v>0</v>
      </c>
      <c r="AA546" s="26">
        <f t="shared" si="8"/>
        <v>0</v>
      </c>
      <c r="AB546" s="26">
        <f t="shared" si="9"/>
        <v>0</v>
      </c>
      <c r="AC546" s="155">
        <v>0.0</v>
      </c>
      <c r="AD546" s="155">
        <v>0.0</v>
      </c>
      <c r="AE546" s="155">
        <v>0.0</v>
      </c>
      <c r="AF546" s="155">
        <v>0.0</v>
      </c>
      <c r="AG546" s="155">
        <v>0.0</v>
      </c>
      <c r="AH546" s="155">
        <v>0.0</v>
      </c>
      <c r="BN546" s="155">
        <v>0.0</v>
      </c>
      <c r="BO546" s="155">
        <v>0.0</v>
      </c>
      <c r="BP546" s="155">
        <v>0.0</v>
      </c>
      <c r="BQ546" s="155">
        <v>0.0</v>
      </c>
      <c r="BR546" s="155">
        <v>0.0</v>
      </c>
      <c r="BS546" s="155">
        <v>0.0</v>
      </c>
      <c r="CV546" s="156">
        <v>0.0</v>
      </c>
      <c r="CW546" s="156">
        <v>0.0</v>
      </c>
      <c r="CX546" s="156">
        <v>0.0</v>
      </c>
      <c r="CY546" s="156">
        <v>0.0</v>
      </c>
      <c r="CZ546" s="156">
        <v>0.0</v>
      </c>
      <c r="DA546" s="156">
        <v>0.0</v>
      </c>
      <c r="DD546" s="175"/>
      <c r="EG546" s="156">
        <v>0.0</v>
      </c>
      <c r="EH546" s="156">
        <v>0.0</v>
      </c>
      <c r="EI546" s="156">
        <v>0.0</v>
      </c>
      <c r="EJ546" s="156">
        <v>0.0</v>
      </c>
      <c r="EK546" s="156">
        <v>0.0</v>
      </c>
      <c r="EL546" s="156">
        <v>0.0</v>
      </c>
      <c r="FQ546" s="156">
        <v>0.0</v>
      </c>
      <c r="FR546" s="156">
        <v>0.0</v>
      </c>
      <c r="FS546" s="156">
        <v>0.0</v>
      </c>
      <c r="FT546" s="156">
        <v>0.0</v>
      </c>
      <c r="FU546" s="156">
        <v>0.0</v>
      </c>
      <c r="FV546" s="156">
        <v>0.0</v>
      </c>
      <c r="FW546" s="157"/>
      <c r="FX546" s="157"/>
      <c r="FY546" s="157"/>
      <c r="FZ546" s="157"/>
      <c r="GA546" s="157"/>
      <c r="GB546" s="157"/>
      <c r="GC546" s="157"/>
      <c r="GD546" s="157"/>
      <c r="GE546" s="157"/>
      <c r="GF546" s="157"/>
      <c r="GG546" s="157"/>
      <c r="GH546" s="157"/>
      <c r="GI546" s="157"/>
      <c r="GJ546" s="157"/>
      <c r="GK546" s="157"/>
      <c r="GL546" s="157"/>
      <c r="GM546" s="157"/>
      <c r="GN546" s="157"/>
      <c r="GO546" s="157"/>
      <c r="GP546" s="158"/>
      <c r="GQ546" s="157"/>
      <c r="GR546" s="157"/>
      <c r="GS546" s="157"/>
      <c r="GT546" s="157"/>
      <c r="GU546" s="157"/>
      <c r="GV546" s="157"/>
      <c r="GW546" s="157"/>
      <c r="GX546" s="157"/>
      <c r="GY546" s="157"/>
      <c r="GZ546" s="157"/>
      <c r="HA546" s="157"/>
      <c r="HB546" s="155">
        <v>0.0</v>
      </c>
      <c r="HC546" s="155">
        <v>0.0</v>
      </c>
      <c r="HD546" s="155">
        <v>0.0</v>
      </c>
      <c r="HE546" s="155">
        <v>0.0</v>
      </c>
      <c r="HF546" s="155">
        <v>0.0</v>
      </c>
      <c r="HG546" s="155">
        <v>0.0</v>
      </c>
      <c r="IL546" s="159">
        <v>0.0</v>
      </c>
      <c r="IM546" s="156">
        <v>0.0</v>
      </c>
      <c r="IN546" s="156">
        <v>0.0</v>
      </c>
      <c r="IO546" s="156">
        <v>0.0</v>
      </c>
      <c r="IP546" s="156">
        <v>0.0</v>
      </c>
      <c r="IQ546" s="160">
        <v>0.0</v>
      </c>
      <c r="JH546" s="25"/>
      <c r="JW546" s="159">
        <v>0.0</v>
      </c>
      <c r="JX546" s="156">
        <v>0.0</v>
      </c>
      <c r="JY546" s="156">
        <v>0.0</v>
      </c>
      <c r="JZ546" s="156">
        <v>0.0</v>
      </c>
      <c r="KA546" s="156">
        <v>0.0</v>
      </c>
      <c r="KB546" s="160">
        <v>0.0</v>
      </c>
      <c r="LH546" s="159">
        <f t="shared" si="10"/>
        <v>0</v>
      </c>
      <c r="LI546" s="156">
        <f t="shared" si="11"/>
        <v>0</v>
      </c>
      <c r="LJ546" s="156">
        <f t="shared" si="12"/>
        <v>0</v>
      </c>
      <c r="LK546" s="156">
        <f t="shared" si="13"/>
        <v>0</v>
      </c>
      <c r="LL546" s="156">
        <f t="shared" si="14"/>
        <v>0</v>
      </c>
      <c r="LM546" s="160">
        <f t="shared" si="15"/>
        <v>0</v>
      </c>
      <c r="QX546" s="560">
        <v>46079.0</v>
      </c>
    </row>
    <row r="547">
      <c r="A547" s="12"/>
      <c r="B547" s="12"/>
      <c r="C547" s="12"/>
      <c r="D547" s="12"/>
      <c r="E547" s="12"/>
      <c r="F547" s="12"/>
      <c r="G547" s="12"/>
      <c r="H547" s="12"/>
      <c r="I547" s="143">
        <f t="shared" si="22"/>
        <v>-21</v>
      </c>
      <c r="J547" s="537">
        <v>46087.0</v>
      </c>
      <c r="K547" s="184" t="s">
        <v>48</v>
      </c>
      <c r="L547" s="108"/>
      <c r="M547" s="86" t="s">
        <v>107</v>
      </c>
      <c r="N547" s="86">
        <v>6.0</v>
      </c>
      <c r="O547" s="86">
        <v>60.0</v>
      </c>
      <c r="U547" s="162" t="s">
        <v>990</v>
      </c>
      <c r="V547" s="538" t="s">
        <v>2683</v>
      </c>
      <c r="W547" s="566" t="s">
        <v>3436</v>
      </c>
      <c r="X547" s="140"/>
      <c r="Y547" s="166">
        <f t="shared" si="23"/>
        <v>21</v>
      </c>
      <c r="Z547" s="26">
        <f t="shared" si="7"/>
        <v>0</v>
      </c>
      <c r="AA547" s="26">
        <f t="shared" si="8"/>
        <v>0</v>
      </c>
      <c r="AB547" s="26">
        <f t="shared" si="9"/>
        <v>0</v>
      </c>
      <c r="AC547" s="155">
        <v>0.0</v>
      </c>
      <c r="AD547" s="155">
        <v>0.0</v>
      </c>
      <c r="AE547" s="155">
        <v>0.0</v>
      </c>
      <c r="AF547" s="155">
        <v>0.0</v>
      </c>
      <c r="AG547" s="155">
        <v>0.0</v>
      </c>
      <c r="AH547" s="155">
        <v>0.0</v>
      </c>
      <c r="BN547" s="155">
        <v>0.0</v>
      </c>
      <c r="BO547" s="155">
        <v>0.0</v>
      </c>
      <c r="BP547" s="155">
        <v>0.0</v>
      </c>
      <c r="BQ547" s="155">
        <v>0.0</v>
      </c>
      <c r="BR547" s="155">
        <v>0.0</v>
      </c>
      <c r="BS547" s="155">
        <v>0.0</v>
      </c>
      <c r="CV547" s="156">
        <v>4.0</v>
      </c>
      <c r="CW547" s="156">
        <v>0.0</v>
      </c>
      <c r="CX547" s="156">
        <v>0.0</v>
      </c>
      <c r="CY547" s="156">
        <v>0.0</v>
      </c>
      <c r="CZ547" s="156">
        <v>0.0</v>
      </c>
      <c r="DA547" s="156">
        <v>0.0</v>
      </c>
      <c r="DD547" s="174"/>
      <c r="DG547" s="174">
        <v>1.0</v>
      </c>
      <c r="DH547" s="174">
        <v>0.0</v>
      </c>
      <c r="DI547" s="174">
        <v>0.0</v>
      </c>
      <c r="DJ547" s="174">
        <v>0.0</v>
      </c>
      <c r="DK547" s="174">
        <v>0.0</v>
      </c>
      <c r="DL547" s="174">
        <v>0.0</v>
      </c>
      <c r="DM547" s="174">
        <v>0.0</v>
      </c>
      <c r="DN547" s="174">
        <v>1.0</v>
      </c>
      <c r="DO547" s="174">
        <v>0.0</v>
      </c>
      <c r="DP547" s="174">
        <v>0.0</v>
      </c>
      <c r="DQ547" s="174">
        <v>0.0</v>
      </c>
      <c r="DR547" s="174">
        <v>0.0</v>
      </c>
      <c r="DS547" s="174">
        <v>0.0</v>
      </c>
      <c r="DT547" s="174">
        <v>0.0</v>
      </c>
      <c r="DU547" s="174">
        <v>1.0</v>
      </c>
      <c r="DV547" s="174">
        <v>0.0</v>
      </c>
      <c r="DW547" s="174">
        <v>0.0</v>
      </c>
      <c r="DX547" s="174">
        <v>0.0</v>
      </c>
      <c r="DY547" s="174">
        <v>0.0</v>
      </c>
      <c r="DZ547" s="174">
        <v>0.0</v>
      </c>
      <c r="EA547" s="174">
        <v>0.0</v>
      </c>
      <c r="EB547" s="174">
        <v>1.0</v>
      </c>
      <c r="EC547" s="174">
        <v>0.0</v>
      </c>
      <c r="ED547" s="174">
        <v>0.0</v>
      </c>
      <c r="EE547" s="174">
        <v>0.0</v>
      </c>
      <c r="EF547" s="174">
        <v>0.0</v>
      </c>
      <c r="EG547" s="156">
        <v>4.0</v>
      </c>
      <c r="EH547" s="156">
        <v>0.0</v>
      </c>
      <c r="EI547" s="156">
        <v>0.0</v>
      </c>
      <c r="EJ547" s="156">
        <v>0.0</v>
      </c>
      <c r="EK547" s="156">
        <v>0.0</v>
      </c>
      <c r="EL547" s="156">
        <v>0.0</v>
      </c>
      <c r="EO547" s="86">
        <v>1.0</v>
      </c>
      <c r="EV547" s="86">
        <v>1.0</v>
      </c>
      <c r="FG547" s="86">
        <v>1.0</v>
      </c>
      <c r="FK547" s="86">
        <v>1.0</v>
      </c>
      <c r="FQ547" s="156">
        <v>3.0</v>
      </c>
      <c r="FR547" s="156">
        <v>0.0</v>
      </c>
      <c r="FS547" s="156">
        <v>0.0</v>
      </c>
      <c r="FT547" s="156">
        <v>0.0</v>
      </c>
      <c r="FU547" s="156">
        <v>0.0</v>
      </c>
      <c r="FV547" s="156">
        <v>0.0</v>
      </c>
      <c r="FW547" s="188">
        <v>1.0</v>
      </c>
      <c r="FX547" s="157"/>
      <c r="FY547" s="157"/>
      <c r="FZ547" s="157"/>
      <c r="GA547" s="157"/>
      <c r="GB547" s="157"/>
      <c r="GC547" s="157"/>
      <c r="GD547" s="188">
        <v>1.0</v>
      </c>
      <c r="GE547" s="157"/>
      <c r="GF547" s="157"/>
      <c r="GG547" s="157"/>
      <c r="GH547" s="157"/>
      <c r="GI547" s="157"/>
      <c r="GJ547" s="157"/>
      <c r="GK547" s="188">
        <v>1.0</v>
      </c>
      <c r="GL547" s="157"/>
      <c r="GM547" s="157"/>
      <c r="GN547" s="157"/>
      <c r="GO547" s="157"/>
      <c r="GP547" s="158"/>
      <c r="GQ547" s="157"/>
      <c r="GR547" s="157"/>
      <c r="GS547" s="157"/>
      <c r="GT547" s="157"/>
      <c r="GU547" s="157"/>
      <c r="GV547" s="157"/>
      <c r="GW547" s="157"/>
      <c r="GX547" s="157"/>
      <c r="GY547" s="157"/>
      <c r="GZ547" s="157"/>
      <c r="HA547" s="157"/>
      <c r="HB547" s="155">
        <v>4.0</v>
      </c>
      <c r="HC547" s="155">
        <v>0.0</v>
      </c>
      <c r="HD547" s="155">
        <v>0.0</v>
      </c>
      <c r="HE547" s="155">
        <v>0.0</v>
      </c>
      <c r="HF547" s="155">
        <v>0.0</v>
      </c>
      <c r="HG547" s="155">
        <v>0.0</v>
      </c>
      <c r="HL547" s="86">
        <v>1.0</v>
      </c>
      <c r="HS547" s="86">
        <v>1.0</v>
      </c>
      <c r="HZ547" s="86">
        <v>1.0</v>
      </c>
      <c r="IK547" s="86">
        <v>1.0</v>
      </c>
      <c r="IL547" s="159">
        <v>0.0</v>
      </c>
      <c r="IM547" s="156">
        <v>0.0</v>
      </c>
      <c r="IN547" s="156">
        <v>0.0</v>
      </c>
      <c r="IO547" s="156">
        <v>0.0</v>
      </c>
      <c r="IP547" s="156">
        <v>0.0</v>
      </c>
      <c r="IQ547" s="160">
        <v>0.0</v>
      </c>
      <c r="JH547" s="25"/>
      <c r="JW547" s="159">
        <v>4.0</v>
      </c>
      <c r="JX547" s="156">
        <v>0.0</v>
      </c>
      <c r="JY547" s="156">
        <v>0.0</v>
      </c>
      <c r="JZ547" s="156">
        <v>0.0</v>
      </c>
      <c r="KA547" s="156">
        <v>0.0</v>
      </c>
      <c r="KB547" s="160">
        <v>0.0</v>
      </c>
      <c r="KH547" s="86">
        <v>1.0</v>
      </c>
      <c r="KO547" s="86">
        <v>1.0</v>
      </c>
      <c r="KS547" s="178"/>
      <c r="KV547" s="86">
        <v>1.0</v>
      </c>
      <c r="LC547" s="86">
        <v>1.0</v>
      </c>
      <c r="LH547" s="159">
        <f t="shared" si="10"/>
        <v>2</v>
      </c>
      <c r="LI547" s="156">
        <f t="shared" si="11"/>
        <v>0</v>
      </c>
      <c r="LJ547" s="156">
        <f t="shared" si="12"/>
        <v>0</v>
      </c>
      <c r="LK547" s="156">
        <f t="shared" si="13"/>
        <v>0</v>
      </c>
      <c r="LL547" s="156">
        <f t="shared" si="14"/>
        <v>0</v>
      </c>
      <c r="LM547" s="160">
        <f t="shared" si="15"/>
        <v>0</v>
      </c>
      <c r="LP547" s="189">
        <v>1.0</v>
      </c>
      <c r="LU547" s="189">
        <v>1.0</v>
      </c>
      <c r="QX547" s="560">
        <v>46079.0</v>
      </c>
    </row>
    <row r="548">
      <c r="A548" s="12"/>
      <c r="B548" s="12"/>
      <c r="C548" s="12"/>
      <c r="D548" s="12"/>
      <c r="E548" s="58"/>
      <c r="F548" s="12"/>
      <c r="G548" s="12"/>
      <c r="H548" s="12"/>
      <c r="I548" s="143">
        <f t="shared" si="22"/>
        <v>-3</v>
      </c>
      <c r="J548" s="162" t="s">
        <v>3437</v>
      </c>
      <c r="K548" s="164" t="s">
        <v>61</v>
      </c>
      <c r="L548" s="537">
        <v>46120.0</v>
      </c>
      <c r="M548" s="86" t="s">
        <v>400</v>
      </c>
      <c r="N548" s="86">
        <v>246.0</v>
      </c>
      <c r="O548" s="86">
        <v>30.0</v>
      </c>
      <c r="U548" s="162" t="s">
        <v>3355</v>
      </c>
      <c r="V548" s="538" t="s">
        <v>230</v>
      </c>
      <c r="W548" s="125" t="s">
        <v>3438</v>
      </c>
      <c r="X548" s="140"/>
      <c r="Y548" s="166">
        <f t="shared" si="23"/>
        <v>3</v>
      </c>
      <c r="Z548" s="26">
        <f t="shared" si="7"/>
        <v>0</v>
      </c>
      <c r="AA548" s="26">
        <f t="shared" si="8"/>
        <v>0</v>
      </c>
      <c r="AB548" s="26">
        <f t="shared" si="9"/>
        <v>0</v>
      </c>
      <c r="AC548" s="155">
        <v>0.0</v>
      </c>
      <c r="AD548" s="155">
        <v>0.0</v>
      </c>
      <c r="AE548" s="155">
        <v>0.0</v>
      </c>
      <c r="AF548" s="155">
        <v>0.0</v>
      </c>
      <c r="AG548" s="155">
        <v>0.0</v>
      </c>
      <c r="AH548" s="155">
        <v>0.0</v>
      </c>
      <c r="BN548" s="155">
        <v>0.0</v>
      </c>
      <c r="BO548" s="155">
        <v>0.0</v>
      </c>
      <c r="BP548" s="155">
        <v>0.0</v>
      </c>
      <c r="BQ548" s="155">
        <v>0.0</v>
      </c>
      <c r="BR548" s="155">
        <v>0.0</v>
      </c>
      <c r="BS548" s="155">
        <v>0.0</v>
      </c>
      <c r="CV548" s="156">
        <v>1.0</v>
      </c>
      <c r="CW548" s="156">
        <v>0.0</v>
      </c>
      <c r="CX548" s="156">
        <v>0.0</v>
      </c>
      <c r="CY548" s="156">
        <v>0.0</v>
      </c>
      <c r="CZ548" s="156">
        <v>0.0</v>
      </c>
      <c r="DA548" s="156">
        <v>0.0</v>
      </c>
      <c r="DB548" s="174"/>
      <c r="DC548" s="174"/>
      <c r="DD548" s="174"/>
      <c r="DE548" s="174">
        <v>1.0</v>
      </c>
      <c r="DF548" s="174"/>
      <c r="DG548" s="174"/>
      <c r="DH548" s="174"/>
      <c r="DI548" s="174"/>
      <c r="DJ548" s="174"/>
      <c r="DK548" s="174"/>
      <c r="DL548" s="174"/>
      <c r="DM548" s="174"/>
      <c r="DN548" s="174"/>
      <c r="DO548" s="174"/>
      <c r="DP548" s="174"/>
      <c r="DQ548" s="174"/>
      <c r="DR548" s="174"/>
      <c r="DS548" s="174"/>
      <c r="DT548" s="174"/>
      <c r="DU548" s="174"/>
      <c r="DV548" s="174"/>
      <c r="DW548" s="174"/>
      <c r="DX548" s="174"/>
      <c r="DY548" s="174"/>
      <c r="DZ548" s="174"/>
      <c r="EA548" s="174"/>
      <c r="EB548" s="174"/>
      <c r="EC548" s="174"/>
      <c r="ED548" s="174"/>
      <c r="EE548" s="174"/>
      <c r="EF548" s="174"/>
      <c r="EG548" s="156">
        <v>0.0</v>
      </c>
      <c r="EH548" s="156">
        <v>0.0</v>
      </c>
      <c r="EI548" s="156">
        <v>0.0</v>
      </c>
      <c r="EJ548" s="156">
        <v>0.0</v>
      </c>
      <c r="EK548" s="156">
        <v>0.0</v>
      </c>
      <c r="EL548" s="156">
        <v>0.0</v>
      </c>
      <c r="FQ548" s="156">
        <v>2.0</v>
      </c>
      <c r="FR548" s="156">
        <v>0.0</v>
      </c>
      <c r="FS548" s="156">
        <v>0.0</v>
      </c>
      <c r="FT548" s="156">
        <v>0.0</v>
      </c>
      <c r="FU548" s="156">
        <v>0.0</v>
      </c>
      <c r="FV548" s="156">
        <v>0.0</v>
      </c>
      <c r="FW548" s="157"/>
      <c r="FX548" s="157"/>
      <c r="FY548" s="157"/>
      <c r="FZ548" s="157"/>
      <c r="GA548" s="157"/>
      <c r="GB548" s="157"/>
      <c r="GC548" s="157"/>
      <c r="GD548" s="157"/>
      <c r="GE548" s="157"/>
      <c r="GF548" s="157"/>
      <c r="GG548" s="157"/>
      <c r="GH548" s="188">
        <v>1.0</v>
      </c>
      <c r="GI548" s="188">
        <v>1.0</v>
      </c>
      <c r="GJ548" s="157"/>
      <c r="GK548" s="157"/>
      <c r="GL548" s="157"/>
      <c r="GM548" s="157"/>
      <c r="GN548" s="157"/>
      <c r="GO548" s="157"/>
      <c r="GP548" s="158"/>
      <c r="GQ548" s="157"/>
      <c r="GR548" s="157"/>
      <c r="GS548" s="157"/>
      <c r="GT548" s="157"/>
      <c r="GU548" s="157"/>
      <c r="GV548" s="157"/>
      <c r="GW548" s="157"/>
      <c r="GX548" s="157"/>
      <c r="GY548" s="157"/>
      <c r="GZ548" s="157"/>
      <c r="HA548" s="157"/>
      <c r="HB548" s="155">
        <v>0.0</v>
      </c>
      <c r="HC548" s="155">
        <v>0.0</v>
      </c>
      <c r="HD548" s="155">
        <v>0.0</v>
      </c>
      <c r="HE548" s="155">
        <v>0.0</v>
      </c>
      <c r="HF548" s="155">
        <v>0.0</v>
      </c>
      <c r="HG548" s="155">
        <v>0.0</v>
      </c>
      <c r="IL548" s="159">
        <v>0.0</v>
      </c>
      <c r="IM548" s="156">
        <v>0.0</v>
      </c>
      <c r="IN548" s="156">
        <v>0.0</v>
      </c>
      <c r="IO548" s="156">
        <v>0.0</v>
      </c>
      <c r="IP548" s="156">
        <v>0.0</v>
      </c>
      <c r="IQ548" s="160">
        <v>0.0</v>
      </c>
      <c r="JH548" s="25"/>
      <c r="JW548" s="159">
        <v>0.0</v>
      </c>
      <c r="JX548" s="156">
        <v>0.0</v>
      </c>
      <c r="JY548" s="156">
        <v>0.0</v>
      </c>
      <c r="JZ548" s="156">
        <v>0.0</v>
      </c>
      <c r="KA548" s="156">
        <v>0.0</v>
      </c>
      <c r="KB548" s="160">
        <v>0.0</v>
      </c>
      <c r="LH548" s="159">
        <f t="shared" si="10"/>
        <v>0</v>
      </c>
      <c r="LI548" s="156">
        <f t="shared" si="11"/>
        <v>0</v>
      </c>
      <c r="LJ548" s="156">
        <f t="shared" si="12"/>
        <v>0</v>
      </c>
      <c r="LK548" s="156">
        <f t="shared" si="13"/>
        <v>0</v>
      </c>
      <c r="LL548" s="156">
        <f t="shared" si="14"/>
        <v>0</v>
      </c>
      <c r="LM548" s="160">
        <f t="shared" si="15"/>
        <v>0</v>
      </c>
      <c r="QX548" s="560">
        <v>46080.0</v>
      </c>
    </row>
    <row r="549">
      <c r="A549" s="12"/>
      <c r="B549" s="12"/>
      <c r="C549" s="12"/>
      <c r="D549" s="12"/>
      <c r="E549" s="12"/>
      <c r="F549" s="12"/>
      <c r="G549" s="12"/>
      <c r="H549" s="12"/>
      <c r="I549" s="143">
        <f t="shared" si="22"/>
        <v>-37</v>
      </c>
      <c r="J549" s="537">
        <v>46150.0</v>
      </c>
      <c r="K549" s="567" t="s">
        <v>48</v>
      </c>
      <c r="L549" s="553"/>
      <c r="M549" s="554" t="s">
        <v>107</v>
      </c>
      <c r="N549" s="555">
        <v>246.0</v>
      </c>
      <c r="O549" s="554">
        <v>60.0</v>
      </c>
      <c r="P549" s="556"/>
      <c r="Q549" s="556"/>
      <c r="R549" s="556"/>
      <c r="S549" s="556"/>
      <c r="T549" s="556"/>
      <c r="U549" s="554" t="s">
        <v>2406</v>
      </c>
      <c r="V549" s="557" t="s">
        <v>1820</v>
      </c>
      <c r="W549" s="568" t="s">
        <v>3439</v>
      </c>
      <c r="X549" s="140"/>
      <c r="Y549" s="166">
        <f t="shared" si="23"/>
        <v>37</v>
      </c>
      <c r="Z549" s="26">
        <f t="shared" si="7"/>
        <v>0</v>
      </c>
      <c r="AA549" s="26">
        <f t="shared" si="8"/>
        <v>2</v>
      </c>
      <c r="AB549" s="26">
        <f t="shared" si="9"/>
        <v>0</v>
      </c>
      <c r="AC549" s="155">
        <v>0.0</v>
      </c>
      <c r="AD549" s="155">
        <v>0.0</v>
      </c>
      <c r="AE549" s="155">
        <v>0.0</v>
      </c>
      <c r="AF549" s="155">
        <v>0.0</v>
      </c>
      <c r="AG549" s="155">
        <v>0.0</v>
      </c>
      <c r="AH549" s="155">
        <v>0.0</v>
      </c>
      <c r="BN549" s="155">
        <v>1.0</v>
      </c>
      <c r="BO549" s="155">
        <v>0.0</v>
      </c>
      <c r="BP549" s="155">
        <v>0.0</v>
      </c>
      <c r="BQ549" s="155">
        <v>0.0</v>
      </c>
      <c r="BR549" s="155">
        <v>0.0</v>
      </c>
      <c r="BS549" s="155">
        <v>0.0</v>
      </c>
      <c r="CU549" s="86">
        <v>1.0</v>
      </c>
      <c r="CV549" s="156">
        <v>1.0</v>
      </c>
      <c r="CW549" s="156">
        <v>0.0</v>
      </c>
      <c r="CX549" s="156">
        <v>0.0</v>
      </c>
      <c r="CY549" s="156">
        <v>0.0</v>
      </c>
      <c r="CZ549" s="156">
        <v>0.0</v>
      </c>
      <c r="DA549" s="156">
        <v>0.0</v>
      </c>
      <c r="DB549" s="86">
        <v>1.0</v>
      </c>
      <c r="EG549" s="156">
        <v>0.0</v>
      </c>
      <c r="EH549" s="156">
        <v>0.0</v>
      </c>
      <c r="EI549" s="156">
        <v>0.0</v>
      </c>
      <c r="EJ549" s="156">
        <v>0.0</v>
      </c>
      <c r="EK549" s="156">
        <v>0.0</v>
      </c>
      <c r="EL549" s="156">
        <v>0.0</v>
      </c>
      <c r="FQ549" s="156">
        <v>10.0</v>
      </c>
      <c r="FR549" s="156">
        <v>0.0</v>
      </c>
      <c r="FS549" s="156">
        <v>0.0</v>
      </c>
      <c r="FT549" s="156">
        <v>0.0</v>
      </c>
      <c r="FU549" s="156">
        <v>0.0</v>
      </c>
      <c r="FV549" s="156">
        <v>0.0</v>
      </c>
      <c r="FW549" s="174"/>
      <c r="FX549" s="174"/>
      <c r="FY549" s="174"/>
      <c r="FZ549" s="174"/>
      <c r="GA549" s="174"/>
      <c r="GB549" s="174"/>
      <c r="GC549" s="174"/>
      <c r="GD549" s="174">
        <v>1.0</v>
      </c>
      <c r="GE549" s="174">
        <v>0.0</v>
      </c>
      <c r="GF549" s="174">
        <v>0.0</v>
      </c>
      <c r="GG549" s="174">
        <v>1.0</v>
      </c>
      <c r="GH549" s="174">
        <v>0.0</v>
      </c>
      <c r="GI549" s="174">
        <v>1.0</v>
      </c>
      <c r="GJ549" s="174">
        <v>0.0</v>
      </c>
      <c r="GK549" s="174">
        <v>1.0</v>
      </c>
      <c r="GL549" s="174">
        <v>0.0</v>
      </c>
      <c r="GM549" s="174">
        <v>0.0</v>
      </c>
      <c r="GN549" s="174">
        <v>1.0</v>
      </c>
      <c r="GO549" s="174">
        <v>0.0</v>
      </c>
      <c r="GP549" s="177">
        <v>1.0</v>
      </c>
      <c r="GQ549" s="174">
        <v>0.0</v>
      </c>
      <c r="GR549" s="174">
        <v>1.0</v>
      </c>
      <c r="GS549" s="174">
        <v>0.0</v>
      </c>
      <c r="GT549" s="174">
        <v>0.0</v>
      </c>
      <c r="GU549" s="174">
        <v>1.0</v>
      </c>
      <c r="GV549" s="174">
        <v>0.0</v>
      </c>
      <c r="GW549" s="174">
        <v>1.0</v>
      </c>
      <c r="GX549" s="174">
        <v>0.0</v>
      </c>
      <c r="GY549" s="174">
        <v>1.0</v>
      </c>
      <c r="GZ549" s="174">
        <v>0.0</v>
      </c>
      <c r="HA549" s="174">
        <v>0.0</v>
      </c>
      <c r="HB549" s="155">
        <v>14.0</v>
      </c>
      <c r="HC549" s="155">
        <v>0.0</v>
      </c>
      <c r="HD549" s="155">
        <v>0.0</v>
      </c>
      <c r="HE549" s="155">
        <v>2.0</v>
      </c>
      <c r="HF549" s="155">
        <v>0.0</v>
      </c>
      <c r="HG549" s="155">
        <v>0.0</v>
      </c>
      <c r="HH549" s="174"/>
      <c r="HI549" s="175">
        <v>1.0</v>
      </c>
      <c r="HJ549" s="174"/>
      <c r="HK549" s="174">
        <v>0.0</v>
      </c>
      <c r="HL549" s="175" t="s">
        <v>947</v>
      </c>
      <c r="HM549" s="175">
        <v>1.0</v>
      </c>
      <c r="HN549" s="174">
        <v>0.0</v>
      </c>
      <c r="HO549" s="174">
        <v>1.0</v>
      </c>
      <c r="HP549" s="175">
        <v>1.0</v>
      </c>
      <c r="HQ549" s="174"/>
      <c r="HR549" s="175">
        <v>1.0</v>
      </c>
      <c r="HS549" s="174"/>
      <c r="HT549" s="175">
        <v>1.0</v>
      </c>
      <c r="HU549" s="174">
        <v>0.0</v>
      </c>
      <c r="HV549" s="174"/>
      <c r="HW549" s="175">
        <v>1.0</v>
      </c>
      <c r="HX549" s="174"/>
      <c r="HY549" s="175">
        <v>1.0</v>
      </c>
      <c r="HZ549" s="174"/>
      <c r="IA549" s="175">
        <v>1.0</v>
      </c>
      <c r="IB549" s="174">
        <v>0.0</v>
      </c>
      <c r="IC549" s="175" t="s">
        <v>947</v>
      </c>
      <c r="ID549" s="174">
        <v>0.0</v>
      </c>
      <c r="IE549" s="174">
        <v>1.0</v>
      </c>
      <c r="IF549" s="174">
        <v>0.0</v>
      </c>
      <c r="IG549" s="174">
        <v>1.0</v>
      </c>
      <c r="IH549" s="174">
        <v>0.0</v>
      </c>
      <c r="II549" s="174">
        <v>0.0</v>
      </c>
      <c r="IJ549" s="174">
        <v>1.0</v>
      </c>
      <c r="IK549" s="174">
        <v>0.0</v>
      </c>
      <c r="IL549" s="159">
        <v>8.0</v>
      </c>
      <c r="IM549" s="156">
        <v>0.0</v>
      </c>
      <c r="IN549" s="156">
        <v>0.0</v>
      </c>
      <c r="IO549" s="156">
        <v>0.0</v>
      </c>
      <c r="IP549" s="156">
        <v>0.0</v>
      </c>
      <c r="IQ549" s="160">
        <v>0.0</v>
      </c>
      <c r="IR549" s="174"/>
      <c r="IS549" s="174">
        <v>0.0</v>
      </c>
      <c r="IT549" s="174"/>
      <c r="IU549" s="175">
        <v>1.0</v>
      </c>
      <c r="IV549" s="174">
        <v>0.0</v>
      </c>
      <c r="IW549" s="174"/>
      <c r="IX549" s="174">
        <v>0.0</v>
      </c>
      <c r="IY549" s="174"/>
      <c r="IZ549" s="175">
        <v>1.0</v>
      </c>
      <c r="JA549" s="174"/>
      <c r="JB549" s="174">
        <v>0.0</v>
      </c>
      <c r="JC549" s="175">
        <v>1.0</v>
      </c>
      <c r="JD549" s="174"/>
      <c r="JE549" s="175">
        <v>1.0</v>
      </c>
      <c r="JF549" s="174"/>
      <c r="JG549" s="175">
        <v>1.0</v>
      </c>
      <c r="JH549" s="177">
        <v>1.0</v>
      </c>
      <c r="JI549" s="174"/>
      <c r="JJ549" s="174"/>
      <c r="JK549" s="174"/>
      <c r="JL549" s="174"/>
      <c r="JM549" s="174"/>
      <c r="JN549" s="174"/>
      <c r="JO549" s="174"/>
      <c r="JP549" s="175">
        <v>1.0</v>
      </c>
      <c r="JQ549" s="174"/>
      <c r="JR549" s="174"/>
      <c r="JS549" s="175">
        <v>1.0</v>
      </c>
      <c r="JT549" s="174"/>
      <c r="JU549" s="174"/>
      <c r="JV549" s="174"/>
      <c r="JW549" s="159">
        <v>0.0</v>
      </c>
      <c r="JX549" s="156">
        <v>0.0</v>
      </c>
      <c r="JY549" s="156">
        <v>0.0</v>
      </c>
      <c r="JZ549" s="156">
        <v>0.0</v>
      </c>
      <c r="KA549" s="156">
        <v>0.0</v>
      </c>
      <c r="KB549" s="160">
        <v>0.0</v>
      </c>
      <c r="KC549" s="174"/>
      <c r="KD549" s="174"/>
      <c r="KE549" s="174"/>
      <c r="KF549" s="174"/>
      <c r="KG549" s="174"/>
      <c r="KH549" s="174"/>
      <c r="KI549" s="174"/>
      <c r="KJ549" s="174"/>
      <c r="KK549" s="174"/>
      <c r="KL549" s="174"/>
      <c r="KM549" s="174"/>
      <c r="KN549" s="174"/>
      <c r="KO549" s="174"/>
      <c r="KP549" s="174"/>
      <c r="KQ549" s="174"/>
      <c r="KR549" s="174"/>
      <c r="KS549" s="472"/>
      <c r="KT549" s="174"/>
      <c r="KU549" s="174"/>
      <c r="KV549" s="174"/>
      <c r="KW549" s="174"/>
      <c r="KX549" s="174"/>
      <c r="KY549" s="174"/>
      <c r="KZ549" s="174"/>
      <c r="LA549" s="174"/>
      <c r="LB549" s="174"/>
      <c r="LC549" s="174"/>
      <c r="LD549" s="174"/>
      <c r="LE549" s="174"/>
      <c r="LF549" s="174"/>
      <c r="LG549" s="174"/>
      <c r="LH549" s="159">
        <f t="shared" si="10"/>
        <v>3</v>
      </c>
      <c r="LI549" s="156">
        <f t="shared" si="11"/>
        <v>0</v>
      </c>
      <c r="LJ549" s="156">
        <f t="shared" si="12"/>
        <v>0</v>
      </c>
      <c r="LK549" s="156">
        <f t="shared" si="13"/>
        <v>0</v>
      </c>
      <c r="LL549" s="156">
        <f t="shared" si="14"/>
        <v>0</v>
      </c>
      <c r="LM549" s="160">
        <f t="shared" si="15"/>
        <v>0</v>
      </c>
      <c r="LN549" s="174"/>
      <c r="LO549" s="174"/>
      <c r="LP549" s="174"/>
      <c r="LQ549" s="174"/>
      <c r="LR549" s="174"/>
      <c r="LS549" s="174"/>
      <c r="LT549" s="174"/>
      <c r="LU549" s="174"/>
      <c r="LV549" s="174"/>
      <c r="LW549" s="174">
        <f t="shared" ref="LW549:MQ549" si="34">IFS(TODAY()&lt;=LW$2,0,WEEKDAY(LW$2)=2,1,WEEKDAY(LW$2)=3,0,WEEKDAY(LW$2)=4,1,WEEKDAY(LW$2)=5,0,WEEKDAY(LW$2)=6,1,WEEKDAY(LW$2)=7,0,WEEKDAY(LW$2)=1,0)</f>
        <v>0</v>
      </c>
      <c r="LX549" s="174">
        <f t="shared" si="34"/>
        <v>1</v>
      </c>
      <c r="LY549" s="174">
        <f t="shared" si="34"/>
        <v>0</v>
      </c>
      <c r="LZ549" s="174">
        <f t="shared" si="34"/>
        <v>0</v>
      </c>
      <c r="MA549" s="174">
        <f t="shared" si="34"/>
        <v>1</v>
      </c>
      <c r="MB549" s="174">
        <f t="shared" si="34"/>
        <v>0</v>
      </c>
      <c r="MC549" s="174">
        <f t="shared" si="34"/>
        <v>1</v>
      </c>
      <c r="MD549" s="174">
        <f t="shared" si="34"/>
        <v>0</v>
      </c>
      <c r="ME549" s="174">
        <f t="shared" si="34"/>
        <v>0</v>
      </c>
      <c r="MF549" s="174">
        <f t="shared" si="34"/>
        <v>0</v>
      </c>
      <c r="MG549" s="174">
        <f t="shared" si="34"/>
        <v>0</v>
      </c>
      <c r="MH549" s="174">
        <f t="shared" si="34"/>
        <v>0</v>
      </c>
      <c r="MI549" s="174">
        <f t="shared" si="34"/>
        <v>0</v>
      </c>
      <c r="MJ549" s="174">
        <f t="shared" si="34"/>
        <v>0</v>
      </c>
      <c r="MK549" s="174">
        <f t="shared" si="34"/>
        <v>0</v>
      </c>
      <c r="ML549" s="174">
        <f t="shared" si="34"/>
        <v>0</v>
      </c>
      <c r="MM549" s="174">
        <f t="shared" si="34"/>
        <v>0</v>
      </c>
      <c r="MN549" s="174">
        <f t="shared" si="34"/>
        <v>0</v>
      </c>
      <c r="MO549" s="174">
        <f t="shared" si="34"/>
        <v>0</v>
      </c>
      <c r="MP549" s="174">
        <f t="shared" si="34"/>
        <v>0</v>
      </c>
      <c r="MQ549" s="174">
        <f t="shared" si="34"/>
        <v>0</v>
      </c>
      <c r="QX549" s="560">
        <v>46080.0</v>
      </c>
    </row>
    <row r="550">
      <c r="A550" s="25"/>
      <c r="B550" s="12"/>
      <c r="C550" s="12"/>
      <c r="D550" s="12"/>
      <c r="E550" s="12"/>
      <c r="F550" s="12"/>
      <c r="G550" s="12"/>
      <c r="H550" s="12"/>
      <c r="I550" s="143">
        <f t="shared" si="22"/>
        <v>-27</v>
      </c>
      <c r="J550" s="537">
        <v>46086.0</v>
      </c>
      <c r="K550" s="164" t="s">
        <v>61</v>
      </c>
      <c r="L550" s="23">
        <v>46180.0</v>
      </c>
      <c r="M550" s="86" t="s">
        <v>1433</v>
      </c>
      <c r="N550" s="86" t="s">
        <v>424</v>
      </c>
      <c r="O550" s="86">
        <v>30.0</v>
      </c>
      <c r="U550" s="162" t="s">
        <v>3147</v>
      </c>
      <c r="V550" s="538" t="s">
        <v>2893</v>
      </c>
      <c r="W550" s="185" t="s">
        <v>3440</v>
      </c>
      <c r="X550" s="140"/>
      <c r="Y550" s="166">
        <f t="shared" si="23"/>
        <v>27</v>
      </c>
      <c r="Z550" s="26">
        <f t="shared" si="7"/>
        <v>0</v>
      </c>
      <c r="AA550" s="26">
        <f t="shared" si="8"/>
        <v>3</v>
      </c>
      <c r="AB550" s="26">
        <f t="shared" si="9"/>
        <v>0</v>
      </c>
      <c r="AC550" s="155">
        <v>0.0</v>
      </c>
      <c r="AD550" s="155">
        <v>0.0</v>
      </c>
      <c r="AE550" s="155">
        <v>0.0</v>
      </c>
      <c r="AF550" s="155">
        <v>0.0</v>
      </c>
      <c r="AG550" s="155">
        <v>0.0</v>
      </c>
      <c r="AH550" s="155">
        <v>0.0</v>
      </c>
      <c r="BN550" s="155">
        <v>0.0</v>
      </c>
      <c r="BO550" s="155">
        <v>0.0</v>
      </c>
      <c r="BP550" s="155">
        <v>0.0</v>
      </c>
      <c r="BQ550" s="155">
        <v>0.0</v>
      </c>
      <c r="BR550" s="155">
        <v>0.0</v>
      </c>
      <c r="BS550" s="155">
        <v>0.0</v>
      </c>
      <c r="CV550" s="156">
        <v>12.0</v>
      </c>
      <c r="CW550" s="156">
        <v>0.0</v>
      </c>
      <c r="CX550" s="156">
        <v>0.0</v>
      </c>
      <c r="CY550" s="156">
        <v>1.0</v>
      </c>
      <c r="CZ550" s="156">
        <v>0.0</v>
      </c>
      <c r="DA550" s="156">
        <v>0.0</v>
      </c>
      <c r="DF550" s="86">
        <v>1.0</v>
      </c>
      <c r="DG550" s="86">
        <v>1.0</v>
      </c>
      <c r="DM550" s="86">
        <v>1.0</v>
      </c>
      <c r="DO550" s="86">
        <v>1.0</v>
      </c>
      <c r="DQ550" s="86">
        <v>1.0</v>
      </c>
      <c r="DS550" s="86" t="s">
        <v>947</v>
      </c>
      <c r="DU550" s="86">
        <v>1.0</v>
      </c>
      <c r="DX550" s="86">
        <v>1.0</v>
      </c>
      <c r="DY550" s="86">
        <v>1.0</v>
      </c>
      <c r="DZ550" s="86">
        <v>1.0</v>
      </c>
      <c r="EB550" s="86">
        <v>1.0</v>
      </c>
      <c r="ED550" s="86">
        <v>1.0</v>
      </c>
      <c r="EG550" s="156">
        <v>5.0</v>
      </c>
      <c r="EH550" s="156">
        <v>0.0</v>
      </c>
      <c r="EI550" s="156">
        <v>0.0</v>
      </c>
      <c r="EJ550" s="156">
        <v>0.0</v>
      </c>
      <c r="EK550" s="156">
        <v>0.0</v>
      </c>
      <c r="EL550" s="156">
        <v>0.0</v>
      </c>
      <c r="EN550" s="86">
        <v>1.0</v>
      </c>
      <c r="ES550" s="86">
        <v>1.0</v>
      </c>
      <c r="FB550" s="86">
        <v>1.0</v>
      </c>
      <c r="FF550" s="86">
        <v>1.0</v>
      </c>
      <c r="FI550" s="86">
        <v>1.0</v>
      </c>
      <c r="FQ550" s="156">
        <v>6.0</v>
      </c>
      <c r="FR550" s="156">
        <v>0.0</v>
      </c>
      <c r="FS550" s="156">
        <v>0.0</v>
      </c>
      <c r="FT550" s="156">
        <v>0.0</v>
      </c>
      <c r="FU550" s="156">
        <v>0.0</v>
      </c>
      <c r="FV550" s="156">
        <v>0.0</v>
      </c>
      <c r="FW550" s="157"/>
      <c r="FX550" s="157"/>
      <c r="FY550" s="188">
        <v>1.0</v>
      </c>
      <c r="FZ550" s="157"/>
      <c r="GA550" s="157"/>
      <c r="GB550" s="157"/>
      <c r="GC550" s="157"/>
      <c r="GD550" s="157"/>
      <c r="GE550" s="188">
        <v>1.0</v>
      </c>
      <c r="GF550" s="188">
        <v>1.0</v>
      </c>
      <c r="GG550" s="157"/>
      <c r="GH550" s="157"/>
      <c r="GI550" s="157"/>
      <c r="GJ550" s="188">
        <v>1.0</v>
      </c>
      <c r="GK550" s="188">
        <v>1.0</v>
      </c>
      <c r="GL550" s="157"/>
      <c r="GM550" s="157"/>
      <c r="GN550" s="157"/>
      <c r="GO550" s="188">
        <v>1.0</v>
      </c>
      <c r="GP550" s="158"/>
      <c r="GQ550" s="157"/>
      <c r="GR550" s="157"/>
      <c r="GS550" s="157"/>
      <c r="GT550" s="157"/>
      <c r="GU550" s="157"/>
      <c r="GV550" s="157"/>
      <c r="GW550" s="157"/>
      <c r="GX550" s="157"/>
      <c r="GY550" s="157"/>
      <c r="GZ550" s="157"/>
      <c r="HA550" s="157"/>
      <c r="HB550" s="155">
        <v>2.0</v>
      </c>
      <c r="HC550" s="155">
        <v>0.0</v>
      </c>
      <c r="HD550" s="155">
        <v>0.0</v>
      </c>
      <c r="HE550" s="155">
        <v>1.0</v>
      </c>
      <c r="HF550" s="155">
        <v>0.0</v>
      </c>
      <c r="HG550" s="155">
        <v>0.0</v>
      </c>
      <c r="HH550" s="86">
        <v>1.0</v>
      </c>
      <c r="HM550" s="86" t="s">
        <v>947</v>
      </c>
      <c r="IL550" s="159">
        <v>2.0</v>
      </c>
      <c r="IM550" s="156">
        <v>0.0</v>
      </c>
      <c r="IN550" s="156">
        <v>0.0</v>
      </c>
      <c r="IO550" s="156">
        <v>1.0</v>
      </c>
      <c r="IP550" s="156">
        <v>0.0</v>
      </c>
      <c r="IQ550" s="160">
        <v>0.0</v>
      </c>
      <c r="JH550" s="25"/>
      <c r="JM550" s="86">
        <v>1.0</v>
      </c>
      <c r="JR550" s="86" t="s">
        <v>947</v>
      </c>
      <c r="JW550" s="159">
        <v>0.0</v>
      </c>
      <c r="JX550" s="156">
        <v>0.0</v>
      </c>
      <c r="JY550" s="156">
        <v>0.0</v>
      </c>
      <c r="JZ550" s="156">
        <v>0.0</v>
      </c>
      <c r="KA550" s="156">
        <v>0.0</v>
      </c>
      <c r="KB550" s="160">
        <v>0.0</v>
      </c>
      <c r="LH550" s="159">
        <f t="shared" si="10"/>
        <v>0</v>
      </c>
      <c r="LI550" s="156">
        <f t="shared" si="11"/>
        <v>0</v>
      </c>
      <c r="LJ550" s="156">
        <f t="shared" si="12"/>
        <v>0</v>
      </c>
      <c r="LK550" s="156">
        <f t="shared" si="13"/>
        <v>0</v>
      </c>
      <c r="LL550" s="156">
        <f t="shared" si="14"/>
        <v>0</v>
      </c>
      <c r="LM550" s="160">
        <f t="shared" si="15"/>
        <v>0</v>
      </c>
      <c r="QX550" s="560">
        <v>46081.0</v>
      </c>
    </row>
    <row r="551">
      <c r="A551" s="12"/>
      <c r="B551" s="12"/>
      <c r="C551" s="12"/>
      <c r="D551" s="12"/>
      <c r="E551" s="12"/>
      <c r="F551" s="12"/>
      <c r="G551" s="12"/>
      <c r="H551" s="12"/>
      <c r="I551" s="143">
        <f t="shared" si="22"/>
        <v>-11</v>
      </c>
      <c r="J551" s="537">
        <v>46086.0</v>
      </c>
      <c r="K551" s="180" t="s">
        <v>61</v>
      </c>
      <c r="L551" s="23">
        <v>46125.0</v>
      </c>
      <c r="M551" s="86" t="s">
        <v>1138</v>
      </c>
      <c r="N551" s="86">
        <v>357.0</v>
      </c>
      <c r="O551" s="86">
        <v>30.0</v>
      </c>
      <c r="U551" s="162" t="s">
        <v>3441</v>
      </c>
      <c r="V551" s="538" t="s">
        <v>3384</v>
      </c>
      <c r="W551" s="125" t="s">
        <v>3442</v>
      </c>
      <c r="X551" s="140"/>
      <c r="Y551" s="166">
        <f t="shared" si="23"/>
        <v>11</v>
      </c>
      <c r="Z551" s="26">
        <f t="shared" si="7"/>
        <v>0</v>
      </c>
      <c r="AA551" s="26">
        <f t="shared" si="8"/>
        <v>2</v>
      </c>
      <c r="AB551" s="26">
        <f t="shared" si="9"/>
        <v>0</v>
      </c>
      <c r="AC551" s="155">
        <v>0.0</v>
      </c>
      <c r="AD551" s="155">
        <v>0.0</v>
      </c>
      <c r="AE551" s="155">
        <v>0.0</v>
      </c>
      <c r="AF551" s="155">
        <v>0.0</v>
      </c>
      <c r="AG551" s="155">
        <v>0.0</v>
      </c>
      <c r="AH551" s="155">
        <v>0.0</v>
      </c>
      <c r="BN551" s="155">
        <v>0.0</v>
      </c>
      <c r="BO551" s="155">
        <v>0.0</v>
      </c>
      <c r="BP551" s="155">
        <v>0.0</v>
      </c>
      <c r="BQ551" s="155">
        <v>0.0</v>
      </c>
      <c r="BR551" s="155">
        <v>0.0</v>
      </c>
      <c r="BS551" s="155">
        <v>0.0</v>
      </c>
      <c r="CV551" s="156">
        <v>9.0</v>
      </c>
      <c r="CW551" s="156">
        <v>0.0</v>
      </c>
      <c r="CX551" s="156">
        <v>0.0</v>
      </c>
      <c r="CY551" s="156">
        <v>0.0</v>
      </c>
      <c r="CZ551" s="156">
        <v>0.0</v>
      </c>
      <c r="DA551" s="156">
        <v>0.0</v>
      </c>
      <c r="DB551" s="395"/>
      <c r="DC551" s="395"/>
      <c r="DD551" s="395"/>
      <c r="DE551" s="395"/>
      <c r="DF551" s="395">
        <v>1.0</v>
      </c>
      <c r="DG551" s="395">
        <v>0.0</v>
      </c>
      <c r="DH551" s="395">
        <v>1.0</v>
      </c>
      <c r="DI551" s="395">
        <v>0.0</v>
      </c>
      <c r="DJ551" s="395">
        <v>0.0</v>
      </c>
      <c r="DK551" s="395"/>
      <c r="DL551" s="395">
        <v>0.0</v>
      </c>
      <c r="DM551" s="395">
        <v>1.0</v>
      </c>
      <c r="DN551" s="395">
        <v>0.0</v>
      </c>
      <c r="DO551" s="395">
        <v>1.0</v>
      </c>
      <c r="DP551" s="395">
        <v>0.0</v>
      </c>
      <c r="DQ551" s="395">
        <v>0.0</v>
      </c>
      <c r="DR551" s="395">
        <v>1.0</v>
      </c>
      <c r="DS551" s="395">
        <v>0.0</v>
      </c>
      <c r="DT551" s="395">
        <v>1.0</v>
      </c>
      <c r="DU551" s="395">
        <v>0.0</v>
      </c>
      <c r="DV551" s="395">
        <v>1.0</v>
      </c>
      <c r="DW551" s="395">
        <v>0.0</v>
      </c>
      <c r="DX551" s="395">
        <v>0.0</v>
      </c>
      <c r="DY551" s="395">
        <v>1.0</v>
      </c>
      <c r="DZ551" s="395">
        <v>0.0</v>
      </c>
      <c r="EA551" s="395">
        <v>1.0</v>
      </c>
      <c r="EB551" s="395"/>
      <c r="EC551" s="395"/>
      <c r="ED551" s="395"/>
      <c r="EE551" s="395"/>
      <c r="EF551" s="395"/>
      <c r="EG551" s="156">
        <v>2.0</v>
      </c>
      <c r="EH551" s="156">
        <v>0.0</v>
      </c>
      <c r="EI551" s="156">
        <v>0.0</v>
      </c>
      <c r="EJ551" s="156">
        <v>2.0</v>
      </c>
      <c r="EK551" s="156">
        <v>0.0</v>
      </c>
      <c r="EL551" s="156">
        <v>0.0</v>
      </c>
      <c r="EM551" s="395"/>
      <c r="EN551" s="395" t="s">
        <v>947</v>
      </c>
      <c r="EO551" s="395"/>
      <c r="EP551" s="395" t="s">
        <v>947</v>
      </c>
      <c r="EQ551" s="395"/>
      <c r="ER551" s="395"/>
      <c r="ES551" s="395"/>
      <c r="ET551" s="395"/>
      <c r="EU551" s="395"/>
      <c r="EV551" s="395"/>
      <c r="EW551" s="395"/>
      <c r="EX551" s="395"/>
      <c r="EY551" s="395"/>
      <c r="EZ551" s="395"/>
      <c r="FA551" s="395"/>
      <c r="FB551" s="395"/>
      <c r="FC551" s="395"/>
      <c r="FD551" s="395"/>
      <c r="FE551" s="395"/>
      <c r="FF551" s="395"/>
      <c r="FG551" s="395"/>
      <c r="FH551" s="395"/>
      <c r="FI551" s="395"/>
      <c r="FJ551" s="395"/>
      <c r="FK551" s="395"/>
      <c r="FL551" s="395"/>
      <c r="FM551" s="395"/>
      <c r="FN551" s="395"/>
      <c r="FO551" s="395"/>
      <c r="FP551" s="395"/>
      <c r="FQ551" s="156">
        <v>0.0</v>
      </c>
      <c r="FR551" s="156">
        <v>0.0</v>
      </c>
      <c r="FS551" s="156">
        <v>0.0</v>
      </c>
      <c r="FT551" s="156">
        <v>0.0</v>
      </c>
      <c r="FU551" s="156">
        <v>0.0</v>
      </c>
      <c r="FV551" s="156">
        <v>0.0</v>
      </c>
      <c r="FW551" s="157"/>
      <c r="FX551" s="157"/>
      <c r="FY551" s="157"/>
      <c r="FZ551" s="157"/>
      <c r="GA551" s="157"/>
      <c r="GB551" s="157"/>
      <c r="GC551" s="157"/>
      <c r="GD551" s="157"/>
      <c r="GE551" s="157"/>
      <c r="GF551" s="157"/>
      <c r="GG551" s="157"/>
      <c r="GH551" s="157"/>
      <c r="GI551" s="157"/>
      <c r="GJ551" s="157"/>
      <c r="GK551" s="157"/>
      <c r="GL551" s="157"/>
      <c r="GM551" s="157"/>
      <c r="GN551" s="157"/>
      <c r="GO551" s="157"/>
      <c r="GP551" s="158"/>
      <c r="GQ551" s="157"/>
      <c r="GR551" s="157"/>
      <c r="GS551" s="157"/>
      <c r="GT551" s="157"/>
      <c r="GU551" s="157"/>
      <c r="GV551" s="157"/>
      <c r="GW551" s="157"/>
      <c r="GX551" s="157"/>
      <c r="GY551" s="157"/>
      <c r="GZ551" s="157"/>
      <c r="HA551" s="157"/>
      <c r="HB551" s="155">
        <v>0.0</v>
      </c>
      <c r="HC551" s="155">
        <v>0.0</v>
      </c>
      <c r="HD551" s="155">
        <v>0.0</v>
      </c>
      <c r="HE551" s="155">
        <v>0.0</v>
      </c>
      <c r="HF551" s="155">
        <v>0.0</v>
      </c>
      <c r="HG551" s="155">
        <v>0.0</v>
      </c>
      <c r="IL551" s="159">
        <v>0.0</v>
      </c>
      <c r="IM551" s="156">
        <v>0.0</v>
      </c>
      <c r="IN551" s="156">
        <v>0.0</v>
      </c>
      <c r="IO551" s="156">
        <v>0.0</v>
      </c>
      <c r="IP551" s="156">
        <v>0.0</v>
      </c>
      <c r="IQ551" s="160">
        <v>0.0</v>
      </c>
      <c r="JH551" s="25"/>
      <c r="JW551" s="159">
        <v>0.0</v>
      </c>
      <c r="JX551" s="156">
        <v>0.0</v>
      </c>
      <c r="JY551" s="156">
        <v>0.0</v>
      </c>
      <c r="JZ551" s="156">
        <v>0.0</v>
      </c>
      <c r="KA551" s="156">
        <v>0.0</v>
      </c>
      <c r="KB551" s="160">
        <v>0.0</v>
      </c>
      <c r="LH551" s="159">
        <f t="shared" si="10"/>
        <v>0</v>
      </c>
      <c r="LI551" s="156">
        <f t="shared" si="11"/>
        <v>0</v>
      </c>
      <c r="LJ551" s="156">
        <f t="shared" si="12"/>
        <v>0</v>
      </c>
      <c r="LK551" s="156">
        <f t="shared" si="13"/>
        <v>0</v>
      </c>
      <c r="LL551" s="156">
        <f t="shared" si="14"/>
        <v>0</v>
      </c>
      <c r="LM551" s="160">
        <f t="shared" si="15"/>
        <v>0</v>
      </c>
      <c r="QX551" s="560">
        <v>46083.0</v>
      </c>
    </row>
    <row r="552">
      <c r="A552" s="12"/>
      <c r="B552" s="12"/>
      <c r="C552" s="12"/>
      <c r="D552" s="12"/>
      <c r="E552" s="12"/>
      <c r="F552" s="12"/>
      <c r="G552" s="12"/>
      <c r="H552" s="12"/>
      <c r="I552" s="143">
        <f t="shared" si="22"/>
        <v>-13</v>
      </c>
      <c r="J552" s="162" t="s">
        <v>3443</v>
      </c>
      <c r="K552" s="164" t="s">
        <v>48</v>
      </c>
      <c r="L552" s="537">
        <v>46129.0</v>
      </c>
      <c r="M552" s="569" t="s">
        <v>3444</v>
      </c>
      <c r="N552" s="86">
        <v>246.0</v>
      </c>
      <c r="O552" s="86">
        <v>30.0</v>
      </c>
      <c r="U552" s="162" t="s">
        <v>3445</v>
      </c>
      <c r="V552" s="538" t="s">
        <v>1757</v>
      </c>
      <c r="W552" s="185" t="s">
        <v>3446</v>
      </c>
      <c r="X552" s="140"/>
      <c r="Y552" s="166">
        <f t="shared" si="23"/>
        <v>13</v>
      </c>
      <c r="Z552" s="26">
        <f t="shared" si="7"/>
        <v>0</v>
      </c>
      <c r="AA552" s="26">
        <f t="shared" si="8"/>
        <v>0</v>
      </c>
      <c r="AB552" s="26">
        <f t="shared" si="9"/>
        <v>0</v>
      </c>
      <c r="AC552" s="155">
        <v>0.0</v>
      </c>
      <c r="AD552" s="155">
        <v>0.0</v>
      </c>
      <c r="AE552" s="155">
        <v>0.0</v>
      </c>
      <c r="AF552" s="155">
        <v>0.0</v>
      </c>
      <c r="AG552" s="155">
        <v>0.0</v>
      </c>
      <c r="AH552" s="155">
        <v>0.0</v>
      </c>
      <c r="BN552" s="155">
        <v>0.0</v>
      </c>
      <c r="BO552" s="155">
        <v>0.0</v>
      </c>
      <c r="BP552" s="155">
        <v>0.0</v>
      </c>
      <c r="BQ552" s="155">
        <v>0.0</v>
      </c>
      <c r="BR552" s="155">
        <v>0.0</v>
      </c>
      <c r="BS552" s="155">
        <v>0.0</v>
      </c>
      <c r="CV552" s="156">
        <v>4.0</v>
      </c>
      <c r="CW552" s="156">
        <v>0.0</v>
      </c>
      <c r="CX552" s="156">
        <v>0.0</v>
      </c>
      <c r="CY552" s="156">
        <v>0.0</v>
      </c>
      <c r="CZ552" s="156">
        <v>0.0</v>
      </c>
      <c r="DA552" s="156">
        <v>0.0</v>
      </c>
      <c r="DB552" s="174"/>
      <c r="DC552" s="174"/>
      <c r="DD552" s="174"/>
      <c r="DE552" s="174"/>
      <c r="DF552" s="174"/>
      <c r="DG552" s="174"/>
      <c r="DH552" s="174"/>
      <c r="DI552" s="174"/>
      <c r="DJ552" s="174"/>
      <c r="DK552" s="174"/>
      <c r="DL552" s="174">
        <v>1.0</v>
      </c>
      <c r="DM552" s="174">
        <v>0.0</v>
      </c>
      <c r="DN552" s="174"/>
      <c r="DO552" s="174">
        <v>0.0</v>
      </c>
      <c r="DP552" s="174">
        <v>0.0</v>
      </c>
      <c r="DQ552" s="174">
        <v>1.0</v>
      </c>
      <c r="DR552" s="174">
        <v>0.0</v>
      </c>
      <c r="DS552" s="174">
        <v>1.0</v>
      </c>
      <c r="DT552" s="174"/>
      <c r="DU552" s="174"/>
      <c r="DV552" s="174"/>
      <c r="DW552" s="174"/>
      <c r="DX552" s="174"/>
      <c r="DY552" s="174"/>
      <c r="DZ552" s="174"/>
      <c r="EA552" s="174"/>
      <c r="EB552" s="174"/>
      <c r="EC552" s="174"/>
      <c r="ED552" s="174"/>
      <c r="EE552" s="174">
        <v>1.0</v>
      </c>
      <c r="EF552" s="174"/>
      <c r="EG552" s="156">
        <v>5.0</v>
      </c>
      <c r="EH552" s="156">
        <v>0.0</v>
      </c>
      <c r="EI552" s="156">
        <v>0.0</v>
      </c>
      <c r="EJ552" s="156">
        <v>0.0</v>
      </c>
      <c r="EK552" s="156">
        <v>0.0</v>
      </c>
      <c r="EL552" s="156">
        <v>0.0</v>
      </c>
      <c r="EM552" s="174">
        <v>1.0</v>
      </c>
      <c r="EN552" s="174"/>
      <c r="EO552" s="174"/>
      <c r="EP552" s="174"/>
      <c r="EQ552" s="174"/>
      <c r="ER552" s="174">
        <v>1.0</v>
      </c>
      <c r="ES552" s="174">
        <v>0.0</v>
      </c>
      <c r="ET552" s="174">
        <v>1.0</v>
      </c>
      <c r="EU552" s="174">
        <v>0.0</v>
      </c>
      <c r="EV552" s="174">
        <v>1.0</v>
      </c>
      <c r="EW552" s="174">
        <v>0.0</v>
      </c>
      <c r="EX552" s="174">
        <v>0.0</v>
      </c>
      <c r="EY552" s="175">
        <v>1.0</v>
      </c>
      <c r="EZ552" s="174"/>
      <c r="FA552" s="174"/>
      <c r="FB552" s="174"/>
      <c r="FC552" s="175"/>
      <c r="FD552" s="174"/>
      <c r="FE552" s="174"/>
      <c r="FF552" s="174"/>
      <c r="FG552" s="174"/>
      <c r="FH552" s="174"/>
      <c r="FI552" s="174"/>
      <c r="FJ552" s="174"/>
      <c r="FK552" s="174"/>
      <c r="FL552" s="174"/>
      <c r="FM552" s="174"/>
      <c r="FN552" s="174"/>
      <c r="FO552" s="174"/>
      <c r="FP552" s="174"/>
      <c r="FQ552" s="156">
        <v>0.0</v>
      </c>
      <c r="FR552" s="156">
        <v>0.0</v>
      </c>
      <c r="FS552" s="156">
        <v>0.0</v>
      </c>
      <c r="FT552" s="156">
        <v>0.0</v>
      </c>
      <c r="FU552" s="156">
        <v>0.0</v>
      </c>
      <c r="FV552" s="156">
        <v>0.0</v>
      </c>
      <c r="FW552" s="157"/>
      <c r="FX552" s="157"/>
      <c r="FY552" s="157"/>
      <c r="FZ552" s="157"/>
      <c r="GA552" s="157"/>
      <c r="GB552" s="157"/>
      <c r="GC552" s="157"/>
      <c r="GD552" s="157"/>
      <c r="GE552" s="157"/>
      <c r="GF552" s="157"/>
      <c r="GG552" s="157"/>
      <c r="GH552" s="157"/>
      <c r="GI552" s="157"/>
      <c r="GJ552" s="157"/>
      <c r="GK552" s="157"/>
      <c r="GL552" s="157"/>
      <c r="GM552" s="157"/>
      <c r="GN552" s="157"/>
      <c r="GO552" s="157"/>
      <c r="GP552" s="158"/>
      <c r="GQ552" s="157"/>
      <c r="GR552" s="157"/>
      <c r="GS552" s="157"/>
      <c r="GT552" s="157"/>
      <c r="GU552" s="157"/>
      <c r="GV552" s="157"/>
      <c r="GW552" s="157"/>
      <c r="GX552" s="157"/>
      <c r="GY552" s="157"/>
      <c r="GZ552" s="157"/>
      <c r="HA552" s="157"/>
      <c r="HB552" s="155">
        <v>0.0</v>
      </c>
      <c r="HC552" s="155">
        <v>0.0</v>
      </c>
      <c r="HD552" s="155">
        <v>0.0</v>
      </c>
      <c r="HE552" s="155">
        <v>0.0</v>
      </c>
      <c r="HF552" s="155">
        <v>0.0</v>
      </c>
      <c r="HG552" s="155">
        <v>0.0</v>
      </c>
      <c r="IL552" s="159">
        <v>0.0</v>
      </c>
      <c r="IM552" s="156">
        <v>0.0</v>
      </c>
      <c r="IN552" s="156">
        <v>0.0</v>
      </c>
      <c r="IO552" s="156">
        <v>0.0</v>
      </c>
      <c r="IP552" s="156">
        <v>0.0</v>
      </c>
      <c r="IQ552" s="160">
        <v>0.0</v>
      </c>
      <c r="JH552" s="25"/>
      <c r="JW552" s="159">
        <v>1.0</v>
      </c>
      <c r="JX552" s="156">
        <v>0.0</v>
      </c>
      <c r="JY552" s="156">
        <v>0.0</v>
      </c>
      <c r="JZ552" s="156">
        <v>0.0</v>
      </c>
      <c r="KA552" s="156">
        <v>0.0</v>
      </c>
      <c r="KB552" s="160">
        <v>0.0</v>
      </c>
      <c r="KC552" s="174"/>
      <c r="KD552" s="174"/>
      <c r="KE552" s="175">
        <v>1.0</v>
      </c>
      <c r="KF552" s="174"/>
      <c r="KG552" s="175"/>
      <c r="KH552" s="174"/>
      <c r="KI552" s="174"/>
      <c r="KJ552" s="174"/>
      <c r="KK552" s="174"/>
      <c r="KL552" s="174"/>
      <c r="KM552" s="174"/>
      <c r="KN552" s="174"/>
      <c r="KO552" s="174"/>
      <c r="KP552" s="174"/>
      <c r="KQ552" s="174"/>
      <c r="KR552" s="174"/>
      <c r="KS552" s="186"/>
      <c r="KT552" s="174"/>
      <c r="KU552" s="174"/>
      <c r="KV552" s="174"/>
      <c r="KW552" s="174"/>
      <c r="KX552" s="174"/>
      <c r="KY552" s="174"/>
      <c r="KZ552" s="174"/>
      <c r="LA552" s="174"/>
      <c r="LB552" s="174"/>
      <c r="LC552" s="174"/>
      <c r="LD552" s="174"/>
      <c r="LE552" s="174"/>
      <c r="LF552" s="174"/>
      <c r="LG552" s="174"/>
      <c r="LH552" s="159">
        <f t="shared" si="10"/>
        <v>3</v>
      </c>
      <c r="LI552" s="156">
        <f t="shared" si="11"/>
        <v>0</v>
      </c>
      <c r="LJ552" s="156">
        <f t="shared" si="12"/>
        <v>0</v>
      </c>
      <c r="LK552" s="156">
        <f t="shared" si="13"/>
        <v>0</v>
      </c>
      <c r="LL552" s="156">
        <f t="shared" si="14"/>
        <v>0</v>
      </c>
      <c r="LM552" s="160">
        <f t="shared" si="15"/>
        <v>0</v>
      </c>
      <c r="LN552" s="174"/>
      <c r="LO552" s="174"/>
      <c r="LP552" s="174"/>
      <c r="LQ552" s="174"/>
      <c r="LR552" s="174"/>
      <c r="LS552" s="174"/>
      <c r="LT552" s="174"/>
      <c r="LU552" s="174"/>
      <c r="LV552" s="174"/>
      <c r="LW552" s="174">
        <f t="shared" ref="LW552:MQ552" si="35">IFS(TODAY()&lt;=LW$2,0,WEEKDAY(LW$2)=2,1,WEEKDAY(LW$2)=3,0,WEEKDAY(LW$2)=4,1,WEEKDAY(LW$2)=5,0,WEEKDAY(LW$2)=6,1,WEEKDAY(LW$2)=7,0,WEEKDAY(LW$2)=1,0)</f>
        <v>0</v>
      </c>
      <c r="LX552" s="174">
        <f t="shared" si="35"/>
        <v>1</v>
      </c>
      <c r="LY552" s="174">
        <f t="shared" si="35"/>
        <v>0</v>
      </c>
      <c r="LZ552" s="174">
        <f t="shared" si="35"/>
        <v>0</v>
      </c>
      <c r="MA552" s="174">
        <f t="shared" si="35"/>
        <v>1</v>
      </c>
      <c r="MB552" s="174">
        <f t="shared" si="35"/>
        <v>0</v>
      </c>
      <c r="MC552" s="174">
        <f t="shared" si="35"/>
        <v>1</v>
      </c>
      <c r="MD552" s="174">
        <f t="shared" si="35"/>
        <v>0</v>
      </c>
      <c r="ME552" s="174">
        <f t="shared" si="35"/>
        <v>0</v>
      </c>
      <c r="MF552" s="174">
        <f t="shared" si="35"/>
        <v>0</v>
      </c>
      <c r="MG552" s="174">
        <f t="shared" si="35"/>
        <v>0</v>
      </c>
      <c r="MH552" s="174">
        <f t="shared" si="35"/>
        <v>0</v>
      </c>
      <c r="MI552" s="174">
        <f t="shared" si="35"/>
        <v>0</v>
      </c>
      <c r="MJ552" s="174">
        <f t="shared" si="35"/>
        <v>0</v>
      </c>
      <c r="MK552" s="174">
        <f t="shared" si="35"/>
        <v>0</v>
      </c>
      <c r="ML552" s="174">
        <f t="shared" si="35"/>
        <v>0</v>
      </c>
      <c r="MM552" s="174">
        <f t="shared" si="35"/>
        <v>0</v>
      </c>
      <c r="MN552" s="174">
        <f t="shared" si="35"/>
        <v>0</v>
      </c>
      <c r="MO552" s="174">
        <f t="shared" si="35"/>
        <v>0</v>
      </c>
      <c r="MP552" s="174">
        <f t="shared" si="35"/>
        <v>0</v>
      </c>
      <c r="MQ552" s="174">
        <f t="shared" si="35"/>
        <v>0</v>
      </c>
      <c r="QX552" s="560">
        <v>46083.0</v>
      </c>
    </row>
    <row r="553">
      <c r="A553" s="12"/>
      <c r="B553" s="12"/>
      <c r="C553" s="12"/>
      <c r="D553" s="12"/>
      <c r="E553" s="12"/>
      <c r="F553" s="12"/>
      <c r="G553" s="12"/>
      <c r="H553" s="12"/>
      <c r="I553" s="143">
        <f t="shared" si="22"/>
        <v>-30</v>
      </c>
      <c r="J553" s="537">
        <v>46087.0</v>
      </c>
      <c r="K553" s="164" t="s">
        <v>61</v>
      </c>
      <c r="L553" s="559">
        <v>46171.0</v>
      </c>
      <c r="M553" s="86" t="s">
        <v>107</v>
      </c>
      <c r="N553" s="86">
        <v>246.0</v>
      </c>
      <c r="O553" s="86">
        <v>30.0</v>
      </c>
      <c r="U553" s="162" t="s">
        <v>3447</v>
      </c>
      <c r="V553" s="538" t="s">
        <v>3448</v>
      </c>
      <c r="W553" s="125" t="s">
        <v>3449</v>
      </c>
      <c r="X553" s="140"/>
      <c r="Y553" s="166">
        <f t="shared" si="23"/>
        <v>30</v>
      </c>
      <c r="Z553" s="26">
        <f t="shared" si="7"/>
        <v>0</v>
      </c>
      <c r="AA553" s="26">
        <f t="shared" si="8"/>
        <v>0</v>
      </c>
      <c r="AB553" s="26">
        <f t="shared" si="9"/>
        <v>0</v>
      </c>
      <c r="AC553" s="155">
        <v>0.0</v>
      </c>
      <c r="AD553" s="155">
        <v>0.0</v>
      </c>
      <c r="AE553" s="155">
        <v>0.0</v>
      </c>
      <c r="AF553" s="155">
        <v>0.0</v>
      </c>
      <c r="AG553" s="155">
        <v>0.0</v>
      </c>
      <c r="AH553" s="155">
        <v>0.0</v>
      </c>
      <c r="BN553" s="155">
        <v>0.0</v>
      </c>
      <c r="BO553" s="155">
        <v>0.0</v>
      </c>
      <c r="BP553" s="155">
        <v>0.0</v>
      </c>
      <c r="BQ553" s="155">
        <v>0.0</v>
      </c>
      <c r="BR553" s="155">
        <v>0.0</v>
      </c>
      <c r="BS553" s="155">
        <v>0.0</v>
      </c>
      <c r="CV553" s="156">
        <v>11.0</v>
      </c>
      <c r="CW553" s="156">
        <v>0.0</v>
      </c>
      <c r="CX553" s="156">
        <v>0.0</v>
      </c>
      <c r="CY553" s="156">
        <v>0.0</v>
      </c>
      <c r="CZ553" s="156">
        <v>0.0</v>
      </c>
      <c r="DA553" s="156">
        <v>0.0</v>
      </c>
      <c r="DB553" s="174"/>
      <c r="DC553" s="174"/>
      <c r="DD553" s="174"/>
      <c r="DE553" s="174"/>
      <c r="DF553" s="174"/>
      <c r="DG553" s="174">
        <v>1.0</v>
      </c>
      <c r="DH553" s="174">
        <v>0.0</v>
      </c>
      <c r="DI553" s="174">
        <v>0.0</v>
      </c>
      <c r="DJ553" s="174">
        <v>1.0</v>
      </c>
      <c r="DK553" s="174">
        <v>0.0</v>
      </c>
      <c r="DL553" s="174">
        <v>1.0</v>
      </c>
      <c r="DM553" s="174">
        <v>0.0</v>
      </c>
      <c r="DN553" s="174">
        <v>1.0</v>
      </c>
      <c r="DO553" s="174">
        <v>0.0</v>
      </c>
      <c r="DP553" s="174">
        <v>0.0</v>
      </c>
      <c r="DQ553" s="174">
        <v>1.0</v>
      </c>
      <c r="DR553" s="174">
        <v>0.0</v>
      </c>
      <c r="DS553" s="174">
        <v>1.0</v>
      </c>
      <c r="DT553" s="174">
        <v>0.0</v>
      </c>
      <c r="DU553" s="174">
        <v>1.0</v>
      </c>
      <c r="DV553" s="174">
        <v>0.0</v>
      </c>
      <c r="DW553" s="174">
        <v>0.0</v>
      </c>
      <c r="DX553" s="174">
        <v>1.0</v>
      </c>
      <c r="DY553" s="174">
        <v>0.0</v>
      </c>
      <c r="DZ553" s="174">
        <v>1.0</v>
      </c>
      <c r="EA553" s="174">
        <v>0.0</v>
      </c>
      <c r="EB553" s="174">
        <v>1.0</v>
      </c>
      <c r="EC553" s="174">
        <v>0.0</v>
      </c>
      <c r="ED553" s="174">
        <v>0.0</v>
      </c>
      <c r="EE553" s="174">
        <v>1.0</v>
      </c>
      <c r="EF553" s="174">
        <v>0.0</v>
      </c>
      <c r="EG553" s="156">
        <v>11.0</v>
      </c>
      <c r="EH553" s="156">
        <v>0.0</v>
      </c>
      <c r="EI553" s="156">
        <v>0.0</v>
      </c>
      <c r="EJ553" s="156">
        <v>0.0</v>
      </c>
      <c r="EK553" s="156">
        <v>0.0</v>
      </c>
      <c r="EL553" s="156">
        <v>0.0</v>
      </c>
      <c r="EM553" s="174">
        <v>1.0</v>
      </c>
      <c r="EN553" s="174">
        <v>0.0</v>
      </c>
      <c r="EO553" s="174">
        <v>1.0</v>
      </c>
      <c r="EP553" s="174">
        <v>0.0</v>
      </c>
      <c r="EQ553" s="174">
        <v>0.0</v>
      </c>
      <c r="ER553" s="174">
        <v>1.0</v>
      </c>
      <c r="ES553" s="174">
        <v>0.0</v>
      </c>
      <c r="ET553" s="174">
        <v>1.0</v>
      </c>
      <c r="EU553" s="174">
        <v>0.0</v>
      </c>
      <c r="EV553" s="174">
        <v>1.0</v>
      </c>
      <c r="EW553" s="174">
        <v>0.0</v>
      </c>
      <c r="EX553" s="174">
        <v>0.0</v>
      </c>
      <c r="EY553" s="174">
        <v>1.0</v>
      </c>
      <c r="EZ553" s="174">
        <v>0.0</v>
      </c>
      <c r="FA553" s="174">
        <v>1.0</v>
      </c>
      <c r="FB553" s="174"/>
      <c r="FC553" s="174"/>
      <c r="FD553" s="174"/>
      <c r="FE553" s="174"/>
      <c r="FF553" s="174">
        <v>1.0</v>
      </c>
      <c r="FG553" s="174">
        <v>0.0</v>
      </c>
      <c r="FH553" s="174">
        <v>1.0</v>
      </c>
      <c r="FI553" s="174">
        <v>0.0</v>
      </c>
      <c r="FJ553" s="174">
        <v>1.0</v>
      </c>
      <c r="FK553" s="174"/>
      <c r="FL553" s="174"/>
      <c r="FM553" s="174"/>
      <c r="FN553" s="174"/>
      <c r="FO553" s="174">
        <v>1.0</v>
      </c>
      <c r="FP553" s="174">
        <v>0.0</v>
      </c>
      <c r="FQ553" s="156">
        <v>8.0</v>
      </c>
      <c r="FR553" s="156">
        <v>0.0</v>
      </c>
      <c r="FS553" s="156">
        <v>0.0</v>
      </c>
      <c r="FT553" s="156">
        <v>0.0</v>
      </c>
      <c r="FU553" s="156">
        <v>0.0</v>
      </c>
      <c r="FV553" s="156">
        <v>0.0</v>
      </c>
      <c r="FW553" s="174"/>
      <c r="FX553" s="174"/>
      <c r="FY553" s="174"/>
      <c r="FZ553" s="174"/>
      <c r="GA553" s="174"/>
      <c r="GB553" s="174">
        <v>1.0</v>
      </c>
      <c r="GC553" s="174">
        <v>0.0</v>
      </c>
      <c r="GD553" s="174">
        <v>1.0</v>
      </c>
      <c r="GE553" s="175">
        <v>1.0</v>
      </c>
      <c r="GF553" s="174">
        <v>0.0</v>
      </c>
      <c r="GG553" s="174"/>
      <c r="GH553" s="174">
        <v>0.0</v>
      </c>
      <c r="GI553" s="174">
        <v>1.0</v>
      </c>
      <c r="GJ553" s="174">
        <v>0.0</v>
      </c>
      <c r="GK553" s="174">
        <v>1.0</v>
      </c>
      <c r="GL553" s="174">
        <v>0.0</v>
      </c>
      <c r="GM553" s="174">
        <v>0.0</v>
      </c>
      <c r="GN553" s="174">
        <v>1.0</v>
      </c>
      <c r="GO553" s="174">
        <v>0.0</v>
      </c>
      <c r="GP553" s="177">
        <v>1.0</v>
      </c>
      <c r="GQ553" s="174"/>
      <c r="GR553" s="175">
        <v>1.0</v>
      </c>
      <c r="GS553" s="174"/>
      <c r="GT553" s="174"/>
      <c r="GU553" s="174"/>
      <c r="GV553" s="174"/>
      <c r="GW553" s="174"/>
      <c r="GX553" s="174"/>
      <c r="GY553" s="174"/>
      <c r="GZ553" s="174"/>
      <c r="HA553" s="174"/>
      <c r="HB553" s="155">
        <v>0.0</v>
      </c>
      <c r="HC553" s="155">
        <v>0.0</v>
      </c>
      <c r="HD553" s="155">
        <v>0.0</v>
      </c>
      <c r="HE553" s="155">
        <v>0.0</v>
      </c>
      <c r="HF553" s="155">
        <v>0.0</v>
      </c>
      <c r="HG553" s="155">
        <v>0.0</v>
      </c>
      <c r="HH553" s="174"/>
      <c r="HI553" s="174"/>
      <c r="HJ553" s="174"/>
      <c r="HK553" s="174"/>
      <c r="HL553" s="174"/>
      <c r="HM553" s="174"/>
      <c r="HN553" s="174"/>
      <c r="HO553" s="174"/>
      <c r="HP553" s="174"/>
      <c r="HQ553" s="174"/>
      <c r="HR553" s="174"/>
      <c r="HS553" s="174"/>
      <c r="HT553" s="174"/>
      <c r="HU553" s="174"/>
      <c r="HV553" s="174"/>
      <c r="HW553" s="174"/>
      <c r="HX553" s="174"/>
      <c r="HY553" s="174"/>
      <c r="HZ553" s="174"/>
      <c r="IA553" s="174"/>
      <c r="IB553" s="174"/>
      <c r="IC553" s="174"/>
      <c r="ID553" s="174"/>
      <c r="IE553" s="174"/>
      <c r="IF553" s="174"/>
      <c r="IG553" s="174"/>
      <c r="IH553" s="174"/>
      <c r="II553" s="174"/>
      <c r="IJ553" s="174"/>
      <c r="IK553" s="174"/>
      <c r="IL553" s="159">
        <v>0.0</v>
      </c>
      <c r="IM553" s="156">
        <v>0.0</v>
      </c>
      <c r="IN553" s="156">
        <v>0.0</v>
      </c>
      <c r="IO553" s="156">
        <v>0.0</v>
      </c>
      <c r="IP553" s="156">
        <v>0.0</v>
      </c>
      <c r="IQ553" s="160">
        <v>0.0</v>
      </c>
      <c r="JH553" s="25"/>
      <c r="JW553" s="159">
        <v>0.0</v>
      </c>
      <c r="JX553" s="156">
        <v>0.0</v>
      </c>
      <c r="JY553" s="156">
        <v>0.0</v>
      </c>
      <c r="JZ553" s="156">
        <v>0.0</v>
      </c>
      <c r="KA553" s="156">
        <v>0.0</v>
      </c>
      <c r="KB553" s="160">
        <v>0.0</v>
      </c>
      <c r="LH553" s="159">
        <f t="shared" si="10"/>
        <v>0</v>
      </c>
      <c r="LI553" s="156">
        <f t="shared" si="11"/>
        <v>0</v>
      </c>
      <c r="LJ553" s="156">
        <f t="shared" si="12"/>
        <v>0</v>
      </c>
      <c r="LK553" s="156">
        <f t="shared" si="13"/>
        <v>0</v>
      </c>
      <c r="LL553" s="156">
        <f t="shared" si="14"/>
        <v>0</v>
      </c>
      <c r="LM553" s="160">
        <f t="shared" si="15"/>
        <v>0</v>
      </c>
      <c r="QX553" s="560">
        <v>46083.0</v>
      </c>
    </row>
    <row r="554">
      <c r="A554" s="12"/>
      <c r="B554" s="12"/>
      <c r="C554" s="12"/>
      <c r="D554" s="12"/>
      <c r="E554" s="58"/>
      <c r="F554" s="12"/>
      <c r="G554" s="12"/>
      <c r="H554" s="12"/>
      <c r="I554" s="143">
        <f t="shared" si="22"/>
        <v>-30</v>
      </c>
      <c r="J554" s="537">
        <v>46090.0</v>
      </c>
      <c r="K554" s="164" t="s">
        <v>61</v>
      </c>
      <c r="L554" s="559">
        <v>46178.0</v>
      </c>
      <c r="M554" s="86" t="s">
        <v>107</v>
      </c>
      <c r="N554" s="86">
        <v>267.0</v>
      </c>
      <c r="O554" s="86">
        <v>30.0</v>
      </c>
      <c r="U554" s="162" t="s">
        <v>3241</v>
      </c>
      <c r="V554" s="162" t="s">
        <v>613</v>
      </c>
      <c r="W554" s="125" t="s">
        <v>3450</v>
      </c>
      <c r="X554" s="140"/>
      <c r="Y554" s="166">
        <f t="shared" si="23"/>
        <v>30</v>
      </c>
      <c r="Z554" s="26">
        <f t="shared" si="7"/>
        <v>0</v>
      </c>
      <c r="AA554" s="26">
        <f t="shared" si="8"/>
        <v>0</v>
      </c>
      <c r="AB554" s="26">
        <f t="shared" si="9"/>
        <v>0</v>
      </c>
      <c r="AC554" s="155">
        <v>0.0</v>
      </c>
      <c r="AD554" s="155">
        <v>0.0</v>
      </c>
      <c r="AE554" s="155">
        <v>0.0</v>
      </c>
      <c r="AF554" s="155">
        <v>0.0</v>
      </c>
      <c r="AG554" s="155">
        <v>0.0</v>
      </c>
      <c r="AH554" s="155">
        <v>0.0</v>
      </c>
      <c r="BN554" s="155">
        <v>0.0</v>
      </c>
      <c r="BO554" s="155">
        <v>0.0</v>
      </c>
      <c r="BP554" s="155">
        <v>0.0</v>
      </c>
      <c r="BQ554" s="155">
        <v>0.0</v>
      </c>
      <c r="BR554" s="155">
        <v>0.0</v>
      </c>
      <c r="BS554" s="155">
        <v>0.0</v>
      </c>
      <c r="CV554" s="156">
        <v>10.0</v>
      </c>
      <c r="CW554" s="156">
        <v>0.0</v>
      </c>
      <c r="CX554" s="156">
        <v>0.0</v>
      </c>
      <c r="CY554" s="156">
        <v>0.0</v>
      </c>
      <c r="CZ554" s="156">
        <v>0.0</v>
      </c>
      <c r="DA554" s="156">
        <v>0.0</v>
      </c>
      <c r="DJ554" s="174">
        <v>1.0</v>
      </c>
      <c r="DK554" s="174">
        <v>0.0</v>
      </c>
      <c r="DL554" s="174">
        <v>0.0</v>
      </c>
      <c r="DM554" s="174">
        <v>0.0</v>
      </c>
      <c r="DN554" s="174">
        <v>1.0</v>
      </c>
      <c r="DO554" s="174">
        <v>1.0</v>
      </c>
      <c r="DP554" s="174">
        <v>0.0</v>
      </c>
      <c r="DQ554" s="174">
        <v>1.0</v>
      </c>
      <c r="DR554" s="174">
        <v>0.0</v>
      </c>
      <c r="DS554" s="174">
        <v>0.0</v>
      </c>
      <c r="DT554" s="174">
        <v>0.0</v>
      </c>
      <c r="DU554" s="174">
        <v>1.0</v>
      </c>
      <c r="DV554" s="174">
        <v>1.0</v>
      </c>
      <c r="DW554" s="174">
        <v>0.0</v>
      </c>
      <c r="DX554" s="174">
        <v>1.0</v>
      </c>
      <c r="DY554" s="174">
        <v>0.0</v>
      </c>
      <c r="DZ554" s="174">
        <v>0.0</v>
      </c>
      <c r="EA554" s="174">
        <v>0.0</v>
      </c>
      <c r="EB554" s="174">
        <v>1.0</v>
      </c>
      <c r="EC554" s="174">
        <v>1.0</v>
      </c>
      <c r="ED554" s="174">
        <v>0.0</v>
      </c>
      <c r="EE554" s="174">
        <v>1.0</v>
      </c>
      <c r="EF554" s="174">
        <v>0.0</v>
      </c>
      <c r="EG554" s="156">
        <v>10.0</v>
      </c>
      <c r="EH554" s="156">
        <v>0.0</v>
      </c>
      <c r="EI554" s="156">
        <v>0.0</v>
      </c>
      <c r="EJ554" s="156">
        <v>0.0</v>
      </c>
      <c r="EK554" s="156">
        <v>0.0</v>
      </c>
      <c r="EL554" s="156">
        <v>0.0</v>
      </c>
      <c r="EO554" s="86">
        <v>1.0</v>
      </c>
      <c r="EP554" s="86">
        <v>1.0</v>
      </c>
      <c r="ER554" s="86">
        <v>1.0</v>
      </c>
      <c r="EW554" s="86">
        <v>1.0</v>
      </c>
      <c r="EY554" s="86">
        <v>1.0</v>
      </c>
      <c r="FC554" s="86">
        <v>1.0</v>
      </c>
      <c r="FD554" s="86">
        <v>1.0</v>
      </c>
      <c r="FF554" s="86">
        <v>1.0</v>
      </c>
      <c r="FJ554" s="86">
        <v>1.0</v>
      </c>
      <c r="FK554" s="86">
        <v>1.0</v>
      </c>
      <c r="FQ554" s="156">
        <v>10.0</v>
      </c>
      <c r="FR554" s="156">
        <v>0.0</v>
      </c>
      <c r="FS554" s="156">
        <v>0.0</v>
      </c>
      <c r="FT554" s="156">
        <v>0.0</v>
      </c>
      <c r="FU554" s="156">
        <v>0.0</v>
      </c>
      <c r="FV554" s="156">
        <v>0.0</v>
      </c>
      <c r="FW554" s="157"/>
      <c r="FX554" s="157"/>
      <c r="FY554" s="157"/>
      <c r="FZ554" s="157"/>
      <c r="GA554" s="157"/>
      <c r="GB554" s="157"/>
      <c r="GC554" s="157"/>
      <c r="GD554" s="188">
        <v>1.0</v>
      </c>
      <c r="GE554" s="188">
        <v>1.0</v>
      </c>
      <c r="GF554" s="157"/>
      <c r="GG554" s="188">
        <v>1.0</v>
      </c>
      <c r="GH554" s="157"/>
      <c r="GI554" s="157"/>
      <c r="GJ554" s="157"/>
      <c r="GK554" s="188">
        <v>1.0</v>
      </c>
      <c r="GL554" s="188">
        <v>1.0</v>
      </c>
      <c r="GM554" s="157"/>
      <c r="GN554" s="188">
        <v>1.0</v>
      </c>
      <c r="GO554" s="157"/>
      <c r="GP554" s="158"/>
      <c r="GQ554" s="157"/>
      <c r="GR554" s="188">
        <v>1.0</v>
      </c>
      <c r="GS554" s="188">
        <v>1.0</v>
      </c>
      <c r="GT554" s="157"/>
      <c r="GU554" s="188">
        <v>1.0</v>
      </c>
      <c r="GV554" s="157"/>
      <c r="GW554" s="157"/>
      <c r="GX554" s="157"/>
      <c r="GY554" s="188">
        <v>1.0</v>
      </c>
      <c r="GZ554" s="157"/>
      <c r="HA554" s="157"/>
      <c r="HB554" s="155">
        <v>0.0</v>
      </c>
      <c r="HC554" s="155">
        <v>0.0</v>
      </c>
      <c r="HD554" s="155">
        <v>0.0</v>
      </c>
      <c r="HE554" s="155">
        <v>0.0</v>
      </c>
      <c r="HF554" s="155">
        <v>0.0</v>
      </c>
      <c r="HG554" s="155">
        <v>0.0</v>
      </c>
      <c r="IL554" s="159">
        <v>0.0</v>
      </c>
      <c r="IM554" s="156">
        <v>0.0</v>
      </c>
      <c r="IN554" s="156">
        <v>0.0</v>
      </c>
      <c r="IO554" s="156">
        <v>0.0</v>
      </c>
      <c r="IP554" s="156">
        <v>0.0</v>
      </c>
      <c r="IQ554" s="160">
        <v>0.0</v>
      </c>
      <c r="JH554" s="25"/>
      <c r="JW554" s="159">
        <v>0.0</v>
      </c>
      <c r="JX554" s="156">
        <v>0.0</v>
      </c>
      <c r="JY554" s="156">
        <v>0.0</v>
      </c>
      <c r="JZ554" s="156">
        <v>0.0</v>
      </c>
      <c r="KA554" s="156">
        <v>0.0</v>
      </c>
      <c r="KB554" s="160">
        <v>0.0</v>
      </c>
      <c r="LH554" s="159">
        <f t="shared" si="10"/>
        <v>0</v>
      </c>
      <c r="LI554" s="156">
        <f t="shared" si="11"/>
        <v>0</v>
      </c>
      <c r="LJ554" s="156">
        <f t="shared" si="12"/>
        <v>0</v>
      </c>
      <c r="LK554" s="156">
        <f t="shared" si="13"/>
        <v>0</v>
      </c>
      <c r="LL554" s="156">
        <f t="shared" si="14"/>
        <v>0</v>
      </c>
      <c r="LM554" s="160">
        <f t="shared" si="15"/>
        <v>0</v>
      </c>
      <c r="QX554" s="560">
        <v>46084.0</v>
      </c>
    </row>
    <row r="555">
      <c r="A555" s="12"/>
      <c r="B555" s="12"/>
      <c r="C555" s="12"/>
      <c r="D555" s="12"/>
      <c r="E555" s="12"/>
      <c r="F555" s="12"/>
      <c r="G555" s="12"/>
      <c r="H555" s="12"/>
      <c r="I555" s="143">
        <f t="shared" si="22"/>
        <v>-17</v>
      </c>
      <c r="J555" s="537">
        <v>46150.0</v>
      </c>
      <c r="K555" s="567" t="s">
        <v>48</v>
      </c>
      <c r="L555" s="553"/>
      <c r="M555" s="554" t="s">
        <v>107</v>
      </c>
      <c r="N555" s="555">
        <v>246.0</v>
      </c>
      <c r="O555" s="554">
        <v>60.0</v>
      </c>
      <c r="P555" s="556"/>
      <c r="Q555" s="556"/>
      <c r="R555" s="556"/>
      <c r="S555" s="556"/>
      <c r="T555" s="556"/>
      <c r="U555" s="554" t="s">
        <v>2406</v>
      </c>
      <c r="V555" s="557" t="s">
        <v>1820</v>
      </c>
      <c r="W555" s="568" t="s">
        <v>3439</v>
      </c>
      <c r="X555" s="140"/>
      <c r="Y555" s="166">
        <f t="shared" si="23"/>
        <v>17</v>
      </c>
      <c r="Z555" s="26">
        <f t="shared" si="7"/>
        <v>0</v>
      </c>
      <c r="AA555" s="26">
        <f t="shared" si="8"/>
        <v>0</v>
      </c>
      <c r="AB555" s="26">
        <f t="shared" si="9"/>
        <v>0</v>
      </c>
      <c r="AC555" s="155">
        <v>0.0</v>
      </c>
      <c r="AD555" s="155">
        <v>0.0</v>
      </c>
      <c r="AE555" s="155">
        <v>0.0</v>
      </c>
      <c r="AF555" s="155">
        <v>0.0</v>
      </c>
      <c r="AG555" s="155">
        <v>0.0</v>
      </c>
      <c r="AH555" s="155">
        <v>0.0</v>
      </c>
      <c r="BN555" s="155">
        <v>0.0</v>
      </c>
      <c r="BO555" s="155">
        <v>0.0</v>
      </c>
      <c r="BP555" s="155">
        <v>0.0</v>
      </c>
      <c r="BQ555" s="155">
        <v>0.0</v>
      </c>
      <c r="BR555" s="155">
        <v>0.0</v>
      </c>
      <c r="BS555" s="155">
        <v>0.0</v>
      </c>
      <c r="CV555" s="156">
        <v>0.0</v>
      </c>
      <c r="CW555" s="156">
        <v>0.0</v>
      </c>
      <c r="CX555" s="156">
        <v>0.0</v>
      </c>
      <c r="CY555" s="156">
        <v>0.0</v>
      </c>
      <c r="CZ555" s="156">
        <v>0.0</v>
      </c>
      <c r="DA555" s="156">
        <v>0.0</v>
      </c>
      <c r="EG555" s="156">
        <v>0.0</v>
      </c>
      <c r="EH555" s="156">
        <v>0.0</v>
      </c>
      <c r="EI555" s="156">
        <v>0.0</v>
      </c>
      <c r="EJ555" s="156">
        <v>0.0</v>
      </c>
      <c r="EK555" s="156">
        <v>0.0</v>
      </c>
      <c r="EL555" s="156">
        <v>0.0</v>
      </c>
      <c r="FQ555" s="156">
        <v>10.0</v>
      </c>
      <c r="FR555" s="156">
        <v>0.0</v>
      </c>
      <c r="FS555" s="156">
        <v>0.0</v>
      </c>
      <c r="FT555" s="156">
        <v>0.0</v>
      </c>
      <c r="FU555" s="156">
        <v>0.0</v>
      </c>
      <c r="FV555" s="156">
        <v>0.0</v>
      </c>
      <c r="FW555" s="174"/>
      <c r="FX555" s="174"/>
      <c r="FY555" s="174"/>
      <c r="FZ555" s="174"/>
      <c r="GA555" s="174"/>
      <c r="GB555" s="174"/>
      <c r="GC555" s="174"/>
      <c r="GD555" s="174">
        <v>1.0</v>
      </c>
      <c r="GE555" s="174">
        <v>0.0</v>
      </c>
      <c r="GF555" s="174">
        <v>0.0</v>
      </c>
      <c r="GG555" s="174">
        <v>1.0</v>
      </c>
      <c r="GH555" s="174">
        <v>0.0</v>
      </c>
      <c r="GI555" s="174">
        <v>1.0</v>
      </c>
      <c r="GJ555" s="174">
        <v>0.0</v>
      </c>
      <c r="GK555" s="174">
        <v>1.0</v>
      </c>
      <c r="GL555" s="174">
        <v>0.0</v>
      </c>
      <c r="GM555" s="174">
        <v>0.0</v>
      </c>
      <c r="GN555" s="174">
        <v>1.0</v>
      </c>
      <c r="GO555" s="174">
        <v>0.0</v>
      </c>
      <c r="GP555" s="177">
        <v>1.0</v>
      </c>
      <c r="GQ555" s="174">
        <v>0.0</v>
      </c>
      <c r="GR555" s="174">
        <v>1.0</v>
      </c>
      <c r="GS555" s="174">
        <v>0.0</v>
      </c>
      <c r="GT555" s="174">
        <v>0.0</v>
      </c>
      <c r="GU555" s="174">
        <v>1.0</v>
      </c>
      <c r="GV555" s="174">
        <v>0.0</v>
      </c>
      <c r="GW555" s="174">
        <v>1.0</v>
      </c>
      <c r="GX555" s="174">
        <v>0.0</v>
      </c>
      <c r="GY555" s="174">
        <v>1.0</v>
      </c>
      <c r="GZ555" s="174">
        <v>0.0</v>
      </c>
      <c r="HA555" s="174">
        <v>0.0</v>
      </c>
      <c r="HB555" s="155">
        <v>3.0</v>
      </c>
      <c r="HC555" s="155">
        <v>0.0</v>
      </c>
      <c r="HD555" s="155">
        <v>0.0</v>
      </c>
      <c r="HE555" s="155">
        <v>0.0</v>
      </c>
      <c r="HF555" s="155">
        <v>0.0</v>
      </c>
      <c r="HG555" s="155">
        <v>0.0</v>
      </c>
      <c r="HH555" s="174"/>
      <c r="HI555" s="174"/>
      <c r="HJ555" s="174"/>
      <c r="HK555" s="174"/>
      <c r="HL555" s="174"/>
      <c r="HM555" s="174"/>
      <c r="HN555" s="174"/>
      <c r="HO555" s="174"/>
      <c r="HP555" s="174"/>
      <c r="HQ555" s="174"/>
      <c r="HR555" s="174"/>
      <c r="HS555" s="174"/>
      <c r="HT555" s="174"/>
      <c r="HU555" s="174"/>
      <c r="HV555" s="174"/>
      <c r="HW555" s="174"/>
      <c r="HX555" s="174"/>
      <c r="HY555" s="174"/>
      <c r="HZ555" s="174"/>
      <c r="IA555" s="174"/>
      <c r="IB555" s="174"/>
      <c r="IC555" s="174"/>
      <c r="ID555" s="174"/>
      <c r="IE555" s="174">
        <v>1.0</v>
      </c>
      <c r="IF555" s="174">
        <v>0.0</v>
      </c>
      <c r="IG555" s="174">
        <v>1.0</v>
      </c>
      <c r="IH555" s="174">
        <v>0.0</v>
      </c>
      <c r="II555" s="174">
        <v>0.0</v>
      </c>
      <c r="IJ555" s="174">
        <v>1.0</v>
      </c>
      <c r="IK555" s="174">
        <v>0.0</v>
      </c>
      <c r="IL555" s="159">
        <v>1.0</v>
      </c>
      <c r="IM555" s="156">
        <v>0.0</v>
      </c>
      <c r="IN555" s="156">
        <v>0.0</v>
      </c>
      <c r="IO555" s="156">
        <v>0.0</v>
      </c>
      <c r="IP555" s="156">
        <v>0.0</v>
      </c>
      <c r="IQ555" s="160">
        <v>0.0</v>
      </c>
      <c r="IR555" s="174"/>
      <c r="IS555" s="174">
        <v>0.0</v>
      </c>
      <c r="IT555" s="174"/>
      <c r="IU555" s="174">
        <v>0.0</v>
      </c>
      <c r="IV555" s="174">
        <v>0.0</v>
      </c>
      <c r="IW555" s="174"/>
      <c r="IX555" s="174">
        <v>0.0</v>
      </c>
      <c r="IY555" s="174"/>
      <c r="IZ555" s="174">
        <v>0.0</v>
      </c>
      <c r="JA555" s="174"/>
      <c r="JB555" s="174">
        <v>0.0</v>
      </c>
      <c r="JC555" s="174">
        <v>0.0</v>
      </c>
      <c r="JD555" s="174"/>
      <c r="JE555" s="174">
        <v>0.0</v>
      </c>
      <c r="JF555" s="174"/>
      <c r="JG555" s="174">
        <v>0.0</v>
      </c>
      <c r="JH555" s="177">
        <v>1.0</v>
      </c>
      <c r="JI555" s="174"/>
      <c r="JJ555" s="174"/>
      <c r="JK555" s="174"/>
      <c r="JL555" s="174"/>
      <c r="JM555" s="174"/>
      <c r="JN555" s="174"/>
      <c r="JO555" s="174"/>
      <c r="JP555" s="174"/>
      <c r="JQ555" s="174"/>
      <c r="JR555" s="174"/>
      <c r="JS555" s="174"/>
      <c r="JT555" s="174"/>
      <c r="JU555" s="174"/>
      <c r="JV555" s="174"/>
      <c r="JW555" s="159">
        <v>0.0</v>
      </c>
      <c r="JX555" s="156">
        <v>0.0</v>
      </c>
      <c r="JY555" s="156">
        <v>0.0</v>
      </c>
      <c r="JZ555" s="156">
        <v>0.0</v>
      </c>
      <c r="KA555" s="156">
        <v>0.0</v>
      </c>
      <c r="KB555" s="160">
        <v>0.0</v>
      </c>
      <c r="KC555" s="174"/>
      <c r="KD555" s="174"/>
      <c r="KE555" s="174"/>
      <c r="KF555" s="174"/>
      <c r="KG555" s="174"/>
      <c r="KH555" s="174"/>
      <c r="KI555" s="174"/>
      <c r="KJ555" s="174"/>
      <c r="KK555" s="174"/>
      <c r="KL555" s="174"/>
      <c r="KM555" s="174"/>
      <c r="KN555" s="174"/>
      <c r="KO555" s="174"/>
      <c r="KP555" s="174"/>
      <c r="KQ555" s="174"/>
      <c r="KR555" s="174"/>
      <c r="KS555" s="472"/>
      <c r="KT555" s="174"/>
      <c r="KU555" s="174"/>
      <c r="KV555" s="174"/>
      <c r="KW555" s="174"/>
      <c r="KX555" s="174"/>
      <c r="KY555" s="174"/>
      <c r="KZ555" s="174"/>
      <c r="LA555" s="174"/>
      <c r="LB555" s="174"/>
      <c r="LC555" s="174"/>
      <c r="LD555" s="174"/>
      <c r="LE555" s="174"/>
      <c r="LF555" s="174"/>
      <c r="LG555" s="174"/>
      <c r="LH555" s="159">
        <f t="shared" si="10"/>
        <v>3</v>
      </c>
      <c r="LI555" s="156">
        <f t="shared" si="11"/>
        <v>0</v>
      </c>
      <c r="LJ555" s="156">
        <f t="shared" si="12"/>
        <v>0</v>
      </c>
      <c r="LK555" s="156">
        <f t="shared" si="13"/>
        <v>0</v>
      </c>
      <c r="LL555" s="156">
        <f t="shared" si="14"/>
        <v>0</v>
      </c>
      <c r="LM555" s="160">
        <f t="shared" si="15"/>
        <v>0</v>
      </c>
      <c r="LN555" s="174"/>
      <c r="LO555" s="174"/>
      <c r="LP555" s="174"/>
      <c r="LQ555" s="174"/>
      <c r="LR555" s="174"/>
      <c r="LS555" s="174"/>
      <c r="LT555" s="174"/>
      <c r="LU555" s="174"/>
      <c r="LV555" s="174"/>
      <c r="LW555" s="174">
        <f t="shared" ref="LW555:MQ555" si="36">IFS(TODAY()&lt;=LW$2,0,WEEKDAY(LW$2)=2,1,WEEKDAY(LW$2)=3,0,WEEKDAY(LW$2)=4,1,WEEKDAY(LW$2)=5,0,WEEKDAY(LW$2)=6,1,WEEKDAY(LW$2)=7,0,WEEKDAY(LW$2)=1,0)</f>
        <v>0</v>
      </c>
      <c r="LX555" s="174">
        <f t="shared" si="36"/>
        <v>1</v>
      </c>
      <c r="LY555" s="174">
        <f t="shared" si="36"/>
        <v>0</v>
      </c>
      <c r="LZ555" s="174">
        <f t="shared" si="36"/>
        <v>0</v>
      </c>
      <c r="MA555" s="174">
        <f t="shared" si="36"/>
        <v>1</v>
      </c>
      <c r="MB555" s="174">
        <f t="shared" si="36"/>
        <v>0</v>
      </c>
      <c r="MC555" s="174">
        <f t="shared" si="36"/>
        <v>1</v>
      </c>
      <c r="MD555" s="174">
        <f t="shared" si="36"/>
        <v>0</v>
      </c>
      <c r="ME555" s="174">
        <f t="shared" si="36"/>
        <v>0</v>
      </c>
      <c r="MF555" s="174">
        <f t="shared" si="36"/>
        <v>0</v>
      </c>
      <c r="MG555" s="174">
        <f t="shared" si="36"/>
        <v>0</v>
      </c>
      <c r="MH555" s="174">
        <f t="shared" si="36"/>
        <v>0</v>
      </c>
      <c r="MI555" s="174">
        <f t="shared" si="36"/>
        <v>0</v>
      </c>
      <c r="MJ555" s="174">
        <f t="shared" si="36"/>
        <v>0</v>
      </c>
      <c r="MK555" s="174">
        <f t="shared" si="36"/>
        <v>0</v>
      </c>
      <c r="ML555" s="174">
        <f t="shared" si="36"/>
        <v>0</v>
      </c>
      <c r="MM555" s="174">
        <f t="shared" si="36"/>
        <v>0</v>
      </c>
      <c r="MN555" s="174">
        <f t="shared" si="36"/>
        <v>0</v>
      </c>
      <c r="MO555" s="174">
        <f t="shared" si="36"/>
        <v>0</v>
      </c>
      <c r="MP555" s="174">
        <f t="shared" si="36"/>
        <v>0</v>
      </c>
      <c r="MQ555" s="174">
        <f t="shared" si="36"/>
        <v>0</v>
      </c>
      <c r="QX555" s="560">
        <v>46085.0</v>
      </c>
    </row>
    <row r="556">
      <c r="A556" s="12"/>
      <c r="B556" s="12"/>
      <c r="C556" s="12"/>
      <c r="D556" s="12"/>
      <c r="E556" s="25"/>
      <c r="F556" s="12"/>
      <c r="G556" s="12"/>
      <c r="H556" s="12"/>
      <c r="I556" s="143">
        <f t="shared" si="22"/>
        <v>-45</v>
      </c>
      <c r="J556" s="537">
        <v>46100.0</v>
      </c>
      <c r="K556" s="184" t="s">
        <v>48</v>
      </c>
      <c r="L556" s="162"/>
      <c r="M556" s="86" t="s">
        <v>228</v>
      </c>
      <c r="N556" s="188" t="s">
        <v>3451</v>
      </c>
      <c r="O556" s="86">
        <v>30.0</v>
      </c>
      <c r="U556" s="538" t="s">
        <v>3452</v>
      </c>
      <c r="V556" s="538" t="s">
        <v>307</v>
      </c>
      <c r="W556" s="185" t="s">
        <v>3453</v>
      </c>
      <c r="X556" s="140"/>
      <c r="Y556" s="166">
        <f t="shared" si="23"/>
        <v>45</v>
      </c>
      <c r="Z556" s="26">
        <f t="shared" si="7"/>
        <v>0</v>
      </c>
      <c r="AA556" s="26">
        <f t="shared" si="8"/>
        <v>0</v>
      </c>
      <c r="AB556" s="26">
        <f t="shared" si="9"/>
        <v>0</v>
      </c>
      <c r="AC556" s="155">
        <v>0.0</v>
      </c>
      <c r="AD556" s="155">
        <v>0.0</v>
      </c>
      <c r="AE556" s="155">
        <v>0.0</v>
      </c>
      <c r="AF556" s="155">
        <v>0.0</v>
      </c>
      <c r="AG556" s="155">
        <v>0.0</v>
      </c>
      <c r="AH556" s="155">
        <v>0.0</v>
      </c>
      <c r="BN556" s="155">
        <v>0.0</v>
      </c>
      <c r="BO556" s="155">
        <v>0.0</v>
      </c>
      <c r="BP556" s="155">
        <v>0.0</v>
      </c>
      <c r="BQ556" s="155">
        <v>0.0</v>
      </c>
      <c r="BR556" s="155">
        <v>0.0</v>
      </c>
      <c r="BS556" s="155">
        <v>0.0</v>
      </c>
      <c r="CV556" s="156">
        <v>4.0</v>
      </c>
      <c r="CW556" s="156">
        <v>0.0</v>
      </c>
      <c r="CX556" s="156">
        <v>0.0</v>
      </c>
      <c r="CY556" s="156">
        <v>0.0</v>
      </c>
      <c r="CZ556" s="156">
        <v>0.0</v>
      </c>
      <c r="DA556" s="156">
        <v>0.0</v>
      </c>
      <c r="DT556" s="86">
        <v>1.0</v>
      </c>
      <c r="DU556" s="86">
        <v>1.0</v>
      </c>
      <c r="EA556" s="86">
        <v>1.0</v>
      </c>
      <c r="EB556" s="86">
        <v>1.0</v>
      </c>
      <c r="EG556" s="156">
        <v>9.0</v>
      </c>
      <c r="EH556" s="156">
        <v>0.0</v>
      </c>
      <c r="EI556" s="156">
        <v>0.0</v>
      </c>
      <c r="EJ556" s="156">
        <v>0.0</v>
      </c>
      <c r="EK556" s="156">
        <v>0.0</v>
      </c>
      <c r="EL556" s="156">
        <v>0.0</v>
      </c>
      <c r="EM556" s="86">
        <v>1.0</v>
      </c>
      <c r="EP556" s="86">
        <v>1.0</v>
      </c>
      <c r="EQ556" s="86">
        <v>1.0</v>
      </c>
      <c r="EU556" s="86">
        <v>1.0</v>
      </c>
      <c r="FB556" s="86">
        <v>1.0</v>
      </c>
      <c r="FH556" s="86">
        <v>1.0</v>
      </c>
      <c r="FI556" s="86">
        <v>1.0</v>
      </c>
      <c r="FK556" s="86">
        <v>1.0</v>
      </c>
      <c r="FL556" s="86">
        <v>1.0</v>
      </c>
      <c r="FQ556" s="156">
        <v>11.0</v>
      </c>
      <c r="FR556" s="156">
        <v>0.0</v>
      </c>
      <c r="FS556" s="156">
        <v>0.0</v>
      </c>
      <c r="FT556" s="156">
        <v>0.0</v>
      </c>
      <c r="FU556" s="156">
        <v>0.0</v>
      </c>
      <c r="FV556" s="156">
        <v>0.0</v>
      </c>
      <c r="FW556" s="157"/>
      <c r="FX556" s="157"/>
      <c r="FY556" s="157"/>
      <c r="FZ556" s="157"/>
      <c r="GA556" s="157"/>
      <c r="GB556" s="188">
        <v>1.0</v>
      </c>
      <c r="GC556" s="157"/>
      <c r="GD556" s="157"/>
      <c r="GE556" s="157"/>
      <c r="GF556" s="188">
        <v>1.0</v>
      </c>
      <c r="GG556" s="157"/>
      <c r="GH556" s="157"/>
      <c r="GI556" s="188">
        <v>2.0</v>
      </c>
      <c r="GJ556" s="157"/>
      <c r="GK556" s="157"/>
      <c r="GL556" s="157"/>
      <c r="GM556" s="188">
        <v>1.0</v>
      </c>
      <c r="GN556" s="157"/>
      <c r="GO556" s="157"/>
      <c r="GP556" s="381">
        <v>1.0</v>
      </c>
      <c r="GQ556" s="188">
        <v>1.0</v>
      </c>
      <c r="GR556" s="157"/>
      <c r="GS556" s="157"/>
      <c r="GT556" s="157"/>
      <c r="GU556" s="157"/>
      <c r="GV556" s="157"/>
      <c r="GW556" s="188">
        <v>1.0</v>
      </c>
      <c r="GX556" s="188">
        <v>1.0</v>
      </c>
      <c r="GY556" s="157"/>
      <c r="GZ556" s="157"/>
      <c r="HA556" s="188">
        <v>2.0</v>
      </c>
      <c r="HB556" s="155">
        <v>9.0</v>
      </c>
      <c r="HC556" s="155">
        <v>0.0</v>
      </c>
      <c r="HD556" s="155">
        <v>0.0</v>
      </c>
      <c r="HE556" s="155">
        <v>0.0</v>
      </c>
      <c r="HF556" s="155">
        <v>0.0</v>
      </c>
      <c r="HG556" s="155">
        <v>0.0</v>
      </c>
      <c r="HJ556" s="86">
        <v>1.0</v>
      </c>
      <c r="HK556" s="86">
        <v>1.0</v>
      </c>
      <c r="HN556" s="86">
        <v>1.0</v>
      </c>
      <c r="HU556" s="86">
        <v>1.0</v>
      </c>
      <c r="HX556" s="86">
        <v>1.0</v>
      </c>
      <c r="HY556" s="86">
        <v>1.0</v>
      </c>
      <c r="IB556" s="86">
        <v>1.0</v>
      </c>
      <c r="IE556" s="86">
        <v>1.0</v>
      </c>
      <c r="IF556" s="86">
        <v>1.0</v>
      </c>
      <c r="IL556" s="159">
        <v>7.0</v>
      </c>
      <c r="IM556" s="156">
        <v>0.0</v>
      </c>
      <c r="IN556" s="156">
        <v>0.0</v>
      </c>
      <c r="IO556" s="156">
        <v>0.0</v>
      </c>
      <c r="IP556" s="156">
        <v>0.0</v>
      </c>
      <c r="IQ556" s="160">
        <v>0.0</v>
      </c>
      <c r="IS556" s="86">
        <v>1.0</v>
      </c>
      <c r="IT556" s="86">
        <v>1.0</v>
      </c>
      <c r="JA556" s="86">
        <v>1.0</v>
      </c>
      <c r="JB556" s="86">
        <v>1.0</v>
      </c>
      <c r="JH556" s="162">
        <v>1.0</v>
      </c>
      <c r="JJ556" s="86">
        <v>1.0</v>
      </c>
      <c r="JM556" s="570" t="s">
        <v>79</v>
      </c>
      <c r="JV556" s="86">
        <v>1.0</v>
      </c>
      <c r="JW556" s="159">
        <v>5.0</v>
      </c>
      <c r="JX556" s="156">
        <v>0.0</v>
      </c>
      <c r="JY556" s="156">
        <v>0.0</v>
      </c>
      <c r="JZ556" s="156">
        <v>0.0</v>
      </c>
      <c r="KA556" s="156">
        <v>0.0</v>
      </c>
      <c r="KB556" s="160">
        <v>0.0</v>
      </c>
      <c r="KC556" s="86">
        <v>1.0</v>
      </c>
      <c r="KJ556" s="86">
        <v>1.0</v>
      </c>
      <c r="KL556" s="86">
        <v>1.0</v>
      </c>
      <c r="KS556" s="178"/>
      <c r="KW556" s="86">
        <v>1.0</v>
      </c>
      <c r="KX556" s="86">
        <v>1.0</v>
      </c>
      <c r="LH556" s="159">
        <f t="shared" si="10"/>
        <v>0</v>
      </c>
      <c r="LI556" s="156">
        <f t="shared" si="11"/>
        <v>0</v>
      </c>
      <c r="LJ556" s="156">
        <f t="shared" si="12"/>
        <v>0</v>
      </c>
      <c r="LK556" s="156">
        <f t="shared" si="13"/>
        <v>0</v>
      </c>
      <c r="LL556" s="156">
        <f t="shared" si="14"/>
        <v>0</v>
      </c>
      <c r="LM556" s="160">
        <f t="shared" si="15"/>
        <v>0</v>
      </c>
      <c r="QX556" s="560">
        <v>46087.0</v>
      </c>
    </row>
    <row r="557">
      <c r="A557" s="12"/>
      <c r="B557" s="12"/>
      <c r="C557" s="12"/>
      <c r="D557" s="12"/>
      <c r="E557" s="25"/>
      <c r="F557" s="12"/>
      <c r="G557" s="12"/>
      <c r="H557" s="12"/>
      <c r="I557" s="143">
        <f t="shared" si="22"/>
        <v>-47</v>
      </c>
      <c r="J557" s="537">
        <v>46092.0</v>
      </c>
      <c r="K557" s="180" t="s">
        <v>48</v>
      </c>
      <c r="L557" s="162"/>
      <c r="M557" s="86" t="s">
        <v>3123</v>
      </c>
      <c r="N557" s="188" t="s">
        <v>3454</v>
      </c>
      <c r="O557" s="86">
        <v>30.0</v>
      </c>
      <c r="U557" s="162" t="s">
        <v>3455</v>
      </c>
      <c r="V557" s="538" t="s">
        <v>3417</v>
      </c>
      <c r="W557" s="185" t="s">
        <v>3456</v>
      </c>
      <c r="X557" s="140"/>
      <c r="Y557" s="166">
        <f t="shared" si="23"/>
        <v>47</v>
      </c>
      <c r="Z557" s="26">
        <f t="shared" si="7"/>
        <v>0</v>
      </c>
      <c r="AA557" s="26">
        <f t="shared" si="8"/>
        <v>0</v>
      </c>
      <c r="AB557" s="26">
        <f t="shared" si="9"/>
        <v>0</v>
      </c>
      <c r="AC557" s="155">
        <v>0.0</v>
      </c>
      <c r="AD557" s="155">
        <v>0.0</v>
      </c>
      <c r="AE557" s="155">
        <v>0.0</v>
      </c>
      <c r="AF557" s="155">
        <v>0.0</v>
      </c>
      <c r="AG557" s="155">
        <v>0.0</v>
      </c>
      <c r="AH557" s="155">
        <v>0.0</v>
      </c>
      <c r="BN557" s="155">
        <v>0.0</v>
      </c>
      <c r="BO557" s="155">
        <v>0.0</v>
      </c>
      <c r="BP557" s="155">
        <v>0.0</v>
      </c>
      <c r="BQ557" s="155">
        <v>0.0</v>
      </c>
      <c r="BR557" s="155">
        <v>0.0</v>
      </c>
      <c r="BS557" s="155">
        <v>0.0</v>
      </c>
      <c r="CV557" s="156">
        <v>9.0</v>
      </c>
      <c r="CW557" s="156">
        <v>0.0</v>
      </c>
      <c r="CX557" s="156">
        <v>0.0</v>
      </c>
      <c r="CY557" s="156">
        <v>0.0</v>
      </c>
      <c r="CZ557" s="156">
        <v>0.0</v>
      </c>
      <c r="DA557" s="156">
        <v>0.0</v>
      </c>
      <c r="DL557" s="174">
        <v>1.0</v>
      </c>
      <c r="DM557" s="174">
        <v>0.0</v>
      </c>
      <c r="DN557" s="174">
        <v>0.0</v>
      </c>
      <c r="DO557" s="174">
        <v>1.0</v>
      </c>
      <c r="DP557" s="174">
        <v>1.0</v>
      </c>
      <c r="DQ557" s="174">
        <v>0.0</v>
      </c>
      <c r="DR557" s="174">
        <v>0.0</v>
      </c>
      <c r="DS557" s="174">
        <v>1.0</v>
      </c>
      <c r="DT557" s="174">
        <v>0.0</v>
      </c>
      <c r="DU557" s="174">
        <v>0.0</v>
      </c>
      <c r="DV557" s="174">
        <v>1.0</v>
      </c>
      <c r="DW557" s="174">
        <v>1.0</v>
      </c>
      <c r="DX557" s="174">
        <v>0.0</v>
      </c>
      <c r="DY557" s="174">
        <v>0.0</v>
      </c>
      <c r="DZ557" s="174">
        <v>1.0</v>
      </c>
      <c r="EA557" s="174">
        <v>0.0</v>
      </c>
      <c r="EB557" s="174">
        <v>0.0</v>
      </c>
      <c r="EC557" s="174">
        <v>1.0</v>
      </c>
      <c r="ED557" s="174">
        <v>1.0</v>
      </c>
      <c r="EE557" s="174">
        <v>0.0</v>
      </c>
      <c r="EF557" s="174">
        <v>0.0</v>
      </c>
      <c r="EG557" s="156">
        <v>7.0</v>
      </c>
      <c r="EH557" s="156">
        <v>0.0</v>
      </c>
      <c r="EI557" s="156">
        <v>0.0</v>
      </c>
      <c r="EJ557" s="156">
        <v>0.0</v>
      </c>
      <c r="EK557" s="156">
        <v>0.0</v>
      </c>
      <c r="EL557" s="156">
        <v>0.0</v>
      </c>
      <c r="EM557" s="86">
        <v>1.0</v>
      </c>
      <c r="ET557" s="86">
        <v>1.0</v>
      </c>
      <c r="EW557" s="86">
        <v>1.0</v>
      </c>
      <c r="EX557" s="86">
        <v>1.0</v>
      </c>
      <c r="FA557" s="86">
        <v>1.0</v>
      </c>
      <c r="FI557" s="86">
        <v>1.0</v>
      </c>
      <c r="FK557" s="86">
        <v>1.0</v>
      </c>
      <c r="FQ557" s="156">
        <v>7.0</v>
      </c>
      <c r="FR557" s="156">
        <v>0.0</v>
      </c>
      <c r="FS557" s="156">
        <v>0.0</v>
      </c>
      <c r="FT557" s="156">
        <v>0.0</v>
      </c>
      <c r="FU557" s="156">
        <v>0.0</v>
      </c>
      <c r="FV557" s="156">
        <v>0.0</v>
      </c>
      <c r="FW557" s="157"/>
      <c r="FX557" s="157"/>
      <c r="FY557" s="157"/>
      <c r="FZ557" s="157"/>
      <c r="GA557" s="157"/>
      <c r="GB557" s="157"/>
      <c r="GC557" s="157"/>
      <c r="GD557" s="157"/>
      <c r="GE557" s="188">
        <v>1.0</v>
      </c>
      <c r="GF557" s="188">
        <v>1.0</v>
      </c>
      <c r="GG557" s="157"/>
      <c r="GH557" s="157"/>
      <c r="GI557" s="188">
        <v>1.0</v>
      </c>
      <c r="GJ557" s="157"/>
      <c r="GK557" s="157"/>
      <c r="GL557" s="188">
        <v>1.0</v>
      </c>
      <c r="GM557" s="188">
        <v>1.0</v>
      </c>
      <c r="GN557" s="157"/>
      <c r="GO557" s="157"/>
      <c r="GP557" s="381">
        <v>1.0</v>
      </c>
      <c r="GQ557" s="157"/>
      <c r="GR557" s="157"/>
      <c r="GS557" s="157"/>
      <c r="GT557" s="157"/>
      <c r="GU557" s="157"/>
      <c r="GV557" s="157"/>
      <c r="GW557" s="188">
        <v>1.0</v>
      </c>
      <c r="GX557" s="157"/>
      <c r="GY557" s="157"/>
      <c r="GZ557" s="157"/>
      <c r="HA557" s="157"/>
      <c r="HB557" s="155">
        <v>3.0</v>
      </c>
      <c r="HC557" s="155">
        <v>0.0</v>
      </c>
      <c r="HD557" s="155">
        <v>0.0</v>
      </c>
      <c r="HE557" s="155">
        <v>0.0</v>
      </c>
      <c r="HF557" s="155">
        <v>0.0</v>
      </c>
      <c r="HG557" s="155">
        <v>0.0</v>
      </c>
      <c r="IE557" s="86">
        <v>1.0</v>
      </c>
      <c r="IH557" s="86">
        <v>1.0</v>
      </c>
      <c r="II557" s="86">
        <v>1.0</v>
      </c>
      <c r="IL557" s="159">
        <v>9.0</v>
      </c>
      <c r="IM557" s="156">
        <v>0.0</v>
      </c>
      <c r="IN557" s="156">
        <v>0.0</v>
      </c>
      <c r="IO557" s="156">
        <v>0.0</v>
      </c>
      <c r="IP557" s="156">
        <v>0.0</v>
      </c>
      <c r="IQ557" s="160">
        <v>0.0</v>
      </c>
      <c r="IR557" s="86">
        <v>1.0</v>
      </c>
      <c r="IU557" s="86">
        <v>1.0</v>
      </c>
      <c r="JC557" s="86">
        <v>1.0</v>
      </c>
      <c r="JF557" s="86">
        <v>1.0</v>
      </c>
      <c r="JH557" s="25"/>
      <c r="JI557" s="86">
        <v>1.0</v>
      </c>
      <c r="JJ557" s="86">
        <v>1.0</v>
      </c>
      <c r="JM557" s="86">
        <v>1.0</v>
      </c>
      <c r="JP557" s="86">
        <v>1.0</v>
      </c>
      <c r="JV557" s="86">
        <v>1.0</v>
      </c>
      <c r="JW557" s="159">
        <v>10.0</v>
      </c>
      <c r="JX557" s="156">
        <v>0.0</v>
      </c>
      <c r="JY557" s="156">
        <v>0.0</v>
      </c>
      <c r="JZ557" s="156">
        <v>0.0</v>
      </c>
      <c r="KA557" s="156">
        <v>0.0</v>
      </c>
      <c r="KB557" s="160">
        <v>0.0</v>
      </c>
      <c r="KC557" s="86">
        <v>1.0</v>
      </c>
      <c r="KD557" s="86">
        <v>1.0</v>
      </c>
      <c r="KJ557" s="86">
        <v>1.0</v>
      </c>
      <c r="KK557" s="86">
        <v>1.0</v>
      </c>
      <c r="KN557" s="86">
        <v>1.0</v>
      </c>
      <c r="KQ557" s="86">
        <v>1.0</v>
      </c>
      <c r="KR557" s="86">
        <v>1.0</v>
      </c>
      <c r="KS557" s="178"/>
      <c r="KU557" s="86">
        <v>1.0</v>
      </c>
      <c r="LB557" s="86">
        <v>1.0</v>
      </c>
      <c r="LE557" s="86">
        <v>1.0</v>
      </c>
      <c r="LH557" s="159">
        <f t="shared" si="10"/>
        <v>2</v>
      </c>
      <c r="LI557" s="156">
        <f t="shared" si="11"/>
        <v>0</v>
      </c>
      <c r="LJ557" s="156">
        <f t="shared" si="12"/>
        <v>0</v>
      </c>
      <c r="LK557" s="156">
        <f t="shared" si="13"/>
        <v>0</v>
      </c>
      <c r="LL557" s="156">
        <f t="shared" si="14"/>
        <v>0</v>
      </c>
      <c r="LM557" s="160">
        <f t="shared" si="15"/>
        <v>0</v>
      </c>
      <c r="LR557" s="189">
        <v>1.0</v>
      </c>
      <c r="LV557" s="189">
        <v>1.0</v>
      </c>
      <c r="QX557" s="560">
        <v>46090.0</v>
      </c>
    </row>
    <row r="558">
      <c r="A558" s="12"/>
      <c r="B558" s="12"/>
      <c r="C558" s="12"/>
      <c r="D558" s="12"/>
      <c r="E558" s="12"/>
      <c r="F558" s="12"/>
      <c r="G558" s="12"/>
      <c r="H558" s="12"/>
      <c r="I558" s="143">
        <f t="shared" si="22"/>
        <v>-30</v>
      </c>
      <c r="J558" s="537">
        <v>46094.0</v>
      </c>
      <c r="K558" s="164" t="s">
        <v>61</v>
      </c>
      <c r="L558" s="23">
        <v>46183.0</v>
      </c>
      <c r="M558" s="162" t="s">
        <v>3263</v>
      </c>
      <c r="N558" s="86">
        <v>246.0</v>
      </c>
      <c r="O558" s="86">
        <v>30.0</v>
      </c>
      <c r="U558" s="162" t="s">
        <v>3455</v>
      </c>
      <c r="V558" s="538" t="s">
        <v>3417</v>
      </c>
      <c r="W558" s="125" t="s">
        <v>3457</v>
      </c>
      <c r="X558" s="140"/>
      <c r="Y558" s="166">
        <f t="shared" si="23"/>
        <v>30</v>
      </c>
      <c r="Z558" s="26">
        <f t="shared" si="7"/>
        <v>0</v>
      </c>
      <c r="AA558" s="26">
        <f t="shared" si="8"/>
        <v>0</v>
      </c>
      <c r="AB558" s="26">
        <f t="shared" si="9"/>
        <v>0</v>
      </c>
      <c r="AC558" s="155">
        <v>0.0</v>
      </c>
      <c r="AD558" s="155">
        <v>0.0</v>
      </c>
      <c r="AE558" s="155">
        <v>0.0</v>
      </c>
      <c r="AF558" s="155">
        <v>0.0</v>
      </c>
      <c r="AG558" s="155">
        <v>0.0</v>
      </c>
      <c r="AH558" s="155">
        <v>0.0</v>
      </c>
      <c r="BN558" s="155">
        <v>0.0</v>
      </c>
      <c r="BO558" s="155">
        <v>0.0</v>
      </c>
      <c r="BP558" s="155">
        <v>0.0</v>
      </c>
      <c r="BQ558" s="155">
        <v>0.0</v>
      </c>
      <c r="BR558" s="155">
        <v>0.0</v>
      </c>
      <c r="BS558" s="155">
        <v>0.0</v>
      </c>
      <c r="CV558" s="156">
        <v>7.0</v>
      </c>
      <c r="CW558" s="156">
        <v>0.0</v>
      </c>
      <c r="CX558" s="156">
        <v>0.0</v>
      </c>
      <c r="CY558" s="156">
        <v>0.0</v>
      </c>
      <c r="CZ558" s="156">
        <v>0.0</v>
      </c>
      <c r="DA558" s="156">
        <v>0.0</v>
      </c>
      <c r="DB558" s="174"/>
      <c r="DC558" s="174"/>
      <c r="DD558" s="174"/>
      <c r="DE558" s="174"/>
      <c r="DF558" s="174"/>
      <c r="DG558" s="174"/>
      <c r="DH558" s="174"/>
      <c r="DI558" s="174"/>
      <c r="DJ558" s="174"/>
      <c r="DK558" s="174"/>
      <c r="DL558" s="174"/>
      <c r="DM558" s="174"/>
      <c r="DN558" s="174">
        <v>1.0</v>
      </c>
      <c r="DO558" s="174">
        <v>0.0</v>
      </c>
      <c r="DP558" s="174">
        <v>0.0</v>
      </c>
      <c r="DQ558" s="174">
        <v>1.0</v>
      </c>
      <c r="DR558" s="174">
        <v>0.0</v>
      </c>
      <c r="DS558" s="174">
        <v>1.0</v>
      </c>
      <c r="DT558" s="174">
        <v>0.0</v>
      </c>
      <c r="DU558" s="174">
        <v>1.0</v>
      </c>
      <c r="DV558" s="174">
        <v>0.0</v>
      </c>
      <c r="DW558" s="174">
        <v>0.0</v>
      </c>
      <c r="DX558" s="174">
        <v>1.0</v>
      </c>
      <c r="DY558" s="174"/>
      <c r="DZ558" s="174"/>
      <c r="EA558" s="174"/>
      <c r="EB558" s="174">
        <v>1.0</v>
      </c>
      <c r="EC558" s="174">
        <v>0.0</v>
      </c>
      <c r="ED558" s="174">
        <v>0.0</v>
      </c>
      <c r="EE558" s="174">
        <v>1.0</v>
      </c>
      <c r="EF558" s="174">
        <v>0.0</v>
      </c>
      <c r="EG558" s="156">
        <v>9.0</v>
      </c>
      <c r="EH558" s="156">
        <v>0.0</v>
      </c>
      <c r="EI558" s="156">
        <v>0.0</v>
      </c>
      <c r="EJ558" s="156">
        <v>0.0</v>
      </c>
      <c r="EK558" s="156">
        <v>0.0</v>
      </c>
      <c r="EL558" s="156">
        <v>0.0</v>
      </c>
      <c r="EM558" s="174">
        <v>1.0</v>
      </c>
      <c r="EN558" s="174"/>
      <c r="EO558" s="174"/>
      <c r="EP558" s="174"/>
      <c r="EQ558" s="174"/>
      <c r="ER558" s="174">
        <v>1.0</v>
      </c>
      <c r="ES558" s="174">
        <v>0.0</v>
      </c>
      <c r="ET558" s="174">
        <v>1.0</v>
      </c>
      <c r="EU558" s="174">
        <v>0.0</v>
      </c>
      <c r="EV558" s="174">
        <v>1.0</v>
      </c>
      <c r="EW558" s="174">
        <v>0.0</v>
      </c>
      <c r="EX558" s="174">
        <v>0.0</v>
      </c>
      <c r="EY558" s="174">
        <v>1.0</v>
      </c>
      <c r="EZ558" s="174">
        <v>0.0</v>
      </c>
      <c r="FA558" s="174">
        <v>1.0</v>
      </c>
      <c r="FB558" s="174">
        <v>0.0</v>
      </c>
      <c r="FC558" s="174">
        <v>1.0</v>
      </c>
      <c r="FD558" s="174">
        <v>0.0</v>
      </c>
      <c r="FE558" s="174">
        <v>0.0</v>
      </c>
      <c r="FF558" s="174">
        <v>1.0</v>
      </c>
      <c r="FG558" s="174">
        <v>0.0</v>
      </c>
      <c r="FH558" s="174">
        <v>1.0</v>
      </c>
      <c r="FI558" s="174"/>
      <c r="FJ558" s="174"/>
      <c r="FK558" s="174"/>
      <c r="FL558" s="174"/>
      <c r="FM558" s="174"/>
      <c r="FN558" s="174"/>
      <c r="FO558" s="174"/>
      <c r="FP558" s="174"/>
      <c r="FQ558" s="156">
        <v>11.0</v>
      </c>
      <c r="FR558" s="156">
        <v>0.0</v>
      </c>
      <c r="FS558" s="156">
        <v>0.0</v>
      </c>
      <c r="FT558" s="156">
        <v>0.0</v>
      </c>
      <c r="FU558" s="156">
        <v>0.0</v>
      </c>
      <c r="FV558" s="156">
        <v>0.0</v>
      </c>
      <c r="FW558" s="174"/>
      <c r="FX558" s="174"/>
      <c r="FY558" s="174"/>
      <c r="FZ558" s="174">
        <v>1.0</v>
      </c>
      <c r="GA558" s="174">
        <v>0.0</v>
      </c>
      <c r="GB558" s="174">
        <v>1.0</v>
      </c>
      <c r="GC558" s="174">
        <v>0.0</v>
      </c>
      <c r="GD558" s="174">
        <v>1.0</v>
      </c>
      <c r="GE558" s="174">
        <v>0.0</v>
      </c>
      <c r="GF558" s="174">
        <v>0.0</v>
      </c>
      <c r="GG558" s="174"/>
      <c r="GH558" s="174">
        <v>0.0</v>
      </c>
      <c r="GI558" s="174">
        <v>1.0</v>
      </c>
      <c r="GJ558" s="174">
        <v>0.0</v>
      </c>
      <c r="GK558" s="174">
        <v>1.0</v>
      </c>
      <c r="GL558" s="174">
        <v>0.0</v>
      </c>
      <c r="GM558" s="174">
        <v>0.0</v>
      </c>
      <c r="GN558" s="174">
        <v>1.0</v>
      </c>
      <c r="GO558" s="174">
        <v>0.0</v>
      </c>
      <c r="GP558" s="177">
        <v>1.0</v>
      </c>
      <c r="GQ558" s="174">
        <v>0.0</v>
      </c>
      <c r="GR558" s="175">
        <v>1.0</v>
      </c>
      <c r="GS558" s="174">
        <v>0.0</v>
      </c>
      <c r="GT558" s="174">
        <v>0.0</v>
      </c>
      <c r="GU558" s="174">
        <v>1.0</v>
      </c>
      <c r="GV558" s="174">
        <v>0.0</v>
      </c>
      <c r="GW558" s="174">
        <v>1.0</v>
      </c>
      <c r="GX558" s="174">
        <v>0.0</v>
      </c>
      <c r="GY558" s="174">
        <v>1.0</v>
      </c>
      <c r="GZ558" s="174">
        <v>0.0</v>
      </c>
      <c r="HA558" s="174">
        <v>0.0</v>
      </c>
      <c r="HB558" s="155">
        <v>3.0</v>
      </c>
      <c r="HC558" s="155">
        <v>0.0</v>
      </c>
      <c r="HD558" s="155">
        <v>0.0</v>
      </c>
      <c r="HE558" s="155">
        <v>0.0</v>
      </c>
      <c r="HF558" s="155">
        <v>0.0</v>
      </c>
      <c r="HG558" s="155">
        <v>0.0</v>
      </c>
      <c r="HH558" s="174">
        <v>1.0</v>
      </c>
      <c r="HI558" s="174">
        <v>0.0</v>
      </c>
      <c r="HJ558" s="174"/>
      <c r="HK558" s="174">
        <v>0.0</v>
      </c>
      <c r="HL558" s="174">
        <v>1.0</v>
      </c>
      <c r="HM558" s="174">
        <v>0.0</v>
      </c>
      <c r="HN558" s="174">
        <v>0.0</v>
      </c>
      <c r="HO558" s="174">
        <v>1.0</v>
      </c>
      <c r="HP558" s="174"/>
      <c r="HQ558" s="174"/>
      <c r="HR558" s="174"/>
      <c r="HS558" s="174"/>
      <c r="HT558" s="174"/>
      <c r="HU558" s="174"/>
      <c r="HV558" s="174"/>
      <c r="HW558" s="174"/>
      <c r="HX558" s="174"/>
      <c r="HY558" s="174"/>
      <c r="HZ558" s="174"/>
      <c r="IA558" s="174"/>
      <c r="IB558" s="174"/>
      <c r="IC558" s="174"/>
      <c r="ID558" s="174"/>
      <c r="IE558" s="174"/>
      <c r="IF558" s="174"/>
      <c r="IG558" s="174"/>
      <c r="IH558" s="174"/>
      <c r="II558" s="174"/>
      <c r="IJ558" s="174"/>
      <c r="IK558" s="174"/>
      <c r="IL558" s="159">
        <v>0.0</v>
      </c>
      <c r="IM558" s="156">
        <v>0.0</v>
      </c>
      <c r="IN558" s="156">
        <v>0.0</v>
      </c>
      <c r="IO558" s="156">
        <v>0.0</v>
      </c>
      <c r="IP558" s="156">
        <v>0.0</v>
      </c>
      <c r="IQ558" s="160">
        <v>0.0</v>
      </c>
      <c r="IR558" s="174"/>
      <c r="IS558" s="174"/>
      <c r="IT558" s="174"/>
      <c r="IU558" s="174"/>
      <c r="IV558" s="174"/>
      <c r="IW558" s="174"/>
      <c r="IX558" s="174"/>
      <c r="IY558" s="174"/>
      <c r="IZ558" s="174"/>
      <c r="JA558" s="174"/>
      <c r="JB558" s="174"/>
      <c r="JC558" s="174"/>
      <c r="JD558" s="174"/>
      <c r="JE558" s="174"/>
      <c r="JF558" s="174"/>
      <c r="JG558" s="174"/>
      <c r="JH558" s="177"/>
      <c r="JI558" s="174"/>
      <c r="JJ558" s="174"/>
      <c r="JK558" s="174"/>
      <c r="JL558" s="174"/>
      <c r="JM558" s="174"/>
      <c r="JN558" s="174"/>
      <c r="JO558" s="174"/>
      <c r="JP558" s="174"/>
      <c r="JQ558" s="174"/>
      <c r="JR558" s="174"/>
      <c r="JS558" s="174"/>
      <c r="JT558" s="174"/>
      <c r="JU558" s="174"/>
      <c r="JV558" s="174"/>
      <c r="JW558" s="159">
        <v>0.0</v>
      </c>
      <c r="JX558" s="156">
        <v>0.0</v>
      </c>
      <c r="JY558" s="156">
        <v>0.0</v>
      </c>
      <c r="JZ558" s="156">
        <v>0.0</v>
      </c>
      <c r="KA558" s="156">
        <v>0.0</v>
      </c>
      <c r="KB558" s="160">
        <v>0.0</v>
      </c>
      <c r="LH558" s="159">
        <f t="shared" si="10"/>
        <v>0</v>
      </c>
      <c r="LI558" s="156">
        <f t="shared" si="11"/>
        <v>0</v>
      </c>
      <c r="LJ558" s="156">
        <f t="shared" si="12"/>
        <v>0</v>
      </c>
      <c r="LK558" s="156">
        <f t="shared" si="13"/>
        <v>0</v>
      </c>
      <c r="LL558" s="156">
        <f t="shared" si="14"/>
        <v>0</v>
      </c>
      <c r="LM558" s="160">
        <f t="shared" si="15"/>
        <v>0</v>
      </c>
      <c r="QX558" s="560">
        <v>46091.0</v>
      </c>
    </row>
    <row r="559">
      <c r="A559" s="58"/>
      <c r="B559" s="58"/>
      <c r="C559" s="12"/>
      <c r="D559" s="12"/>
      <c r="E559" s="58"/>
      <c r="F559" s="12"/>
      <c r="G559" s="12"/>
      <c r="H559" s="12"/>
      <c r="I559" s="143">
        <f t="shared" si="22"/>
        <v>-30</v>
      </c>
      <c r="J559" s="537">
        <v>46097.0</v>
      </c>
      <c r="K559" s="164" t="s">
        <v>61</v>
      </c>
      <c r="L559" s="537">
        <v>46178.0</v>
      </c>
      <c r="M559" s="86" t="s">
        <v>400</v>
      </c>
      <c r="N559" s="86">
        <v>246.0</v>
      </c>
      <c r="O559" s="86">
        <v>30.0</v>
      </c>
      <c r="U559" s="162" t="s">
        <v>3246</v>
      </c>
      <c r="V559" s="538" t="s">
        <v>3247</v>
      </c>
      <c r="W559" s="185" t="s">
        <v>3458</v>
      </c>
      <c r="X559" s="140"/>
      <c r="Y559" s="166">
        <f t="shared" si="23"/>
        <v>30</v>
      </c>
      <c r="Z559" s="26">
        <f t="shared" si="7"/>
        <v>0</v>
      </c>
      <c r="AA559" s="26">
        <f t="shared" si="8"/>
        <v>0</v>
      </c>
      <c r="AB559" s="26">
        <f t="shared" si="9"/>
        <v>0</v>
      </c>
      <c r="AC559" s="155">
        <v>0.0</v>
      </c>
      <c r="AD559" s="155">
        <v>0.0</v>
      </c>
      <c r="AE559" s="155">
        <v>0.0</v>
      </c>
      <c r="AF559" s="155">
        <v>0.0</v>
      </c>
      <c r="AG559" s="155">
        <v>0.0</v>
      </c>
      <c r="AH559" s="155">
        <v>0.0</v>
      </c>
      <c r="BN559" s="155">
        <v>0.0</v>
      </c>
      <c r="BO559" s="155">
        <v>0.0</v>
      </c>
      <c r="BP559" s="155">
        <v>0.0</v>
      </c>
      <c r="BQ559" s="155">
        <v>0.0</v>
      </c>
      <c r="BR559" s="155">
        <v>0.0</v>
      </c>
      <c r="BS559" s="155">
        <v>0.0</v>
      </c>
      <c r="CV559" s="156">
        <v>6.0</v>
      </c>
      <c r="CW559" s="156">
        <v>0.0</v>
      </c>
      <c r="CX559" s="156">
        <v>0.0</v>
      </c>
      <c r="CY559" s="156">
        <v>0.0</v>
      </c>
      <c r="CZ559" s="156">
        <v>0.0</v>
      </c>
      <c r="DA559" s="156">
        <v>0.0</v>
      </c>
      <c r="DQ559" s="174">
        <v>1.0</v>
      </c>
      <c r="DR559" s="174">
        <v>0.0</v>
      </c>
      <c r="DS559" s="174"/>
      <c r="DT559" s="174">
        <v>0.0</v>
      </c>
      <c r="DU559" s="174">
        <v>1.0</v>
      </c>
      <c r="DV559" s="174">
        <v>0.0</v>
      </c>
      <c r="DW559" s="174">
        <v>0.0</v>
      </c>
      <c r="DX559" s="174">
        <v>1.0</v>
      </c>
      <c r="DY559" s="174">
        <v>0.0</v>
      </c>
      <c r="DZ559" s="174">
        <v>1.0</v>
      </c>
      <c r="EA559" s="174">
        <v>0.0</v>
      </c>
      <c r="EB559" s="174">
        <v>1.0</v>
      </c>
      <c r="EC559" s="174">
        <v>0.0</v>
      </c>
      <c r="ED559" s="174">
        <v>0.0</v>
      </c>
      <c r="EE559" s="174">
        <v>1.0</v>
      </c>
      <c r="EF559" s="174">
        <v>0.0</v>
      </c>
      <c r="EG559" s="156">
        <v>11.0</v>
      </c>
      <c r="EH559" s="156">
        <v>0.0</v>
      </c>
      <c r="EI559" s="156">
        <v>0.0</v>
      </c>
      <c r="EJ559" s="156">
        <v>0.0</v>
      </c>
      <c r="EK559" s="156">
        <v>0.0</v>
      </c>
      <c r="EL559" s="156">
        <v>0.0</v>
      </c>
      <c r="EM559" s="86">
        <v>1.0</v>
      </c>
      <c r="EO559" s="86">
        <v>1.0</v>
      </c>
      <c r="ET559" s="86">
        <v>1.0</v>
      </c>
      <c r="EY559" s="86">
        <v>1.0</v>
      </c>
      <c r="FA559" s="86">
        <v>1.0</v>
      </c>
      <c r="FC559" s="86">
        <v>1.0</v>
      </c>
      <c r="FD559" s="86">
        <v>1.0</v>
      </c>
      <c r="FF559" s="86">
        <v>1.0</v>
      </c>
      <c r="FH559" s="86">
        <v>1.0</v>
      </c>
      <c r="FJ559" s="86">
        <v>1.0</v>
      </c>
      <c r="FO559" s="86">
        <v>1.0</v>
      </c>
      <c r="FQ559" s="156">
        <v>12.0</v>
      </c>
      <c r="FR559" s="156">
        <v>0.0</v>
      </c>
      <c r="FS559" s="156">
        <v>0.0</v>
      </c>
      <c r="FT559" s="156">
        <v>0.0</v>
      </c>
      <c r="FU559" s="156">
        <v>0.0</v>
      </c>
      <c r="FV559" s="156">
        <v>0.0</v>
      </c>
      <c r="FW559" s="174"/>
      <c r="FX559" s="174"/>
      <c r="FY559" s="174"/>
      <c r="FZ559" s="174"/>
      <c r="GA559" s="174"/>
      <c r="GB559" s="174">
        <v>1.0</v>
      </c>
      <c r="GC559" s="175">
        <v>2.0</v>
      </c>
      <c r="GD559" s="174"/>
      <c r="GE559" s="174">
        <v>0.0</v>
      </c>
      <c r="GF559" s="174">
        <v>0.0</v>
      </c>
      <c r="GG559" s="174">
        <v>1.0</v>
      </c>
      <c r="GH559" s="174">
        <v>0.0</v>
      </c>
      <c r="GI559" s="174">
        <v>1.0</v>
      </c>
      <c r="GJ559" s="174"/>
      <c r="GK559" s="174"/>
      <c r="GL559" s="174"/>
      <c r="GM559" s="174"/>
      <c r="GN559" s="175">
        <v>2.0</v>
      </c>
      <c r="GO559" s="174">
        <v>0.0</v>
      </c>
      <c r="GP559" s="177">
        <v>1.0</v>
      </c>
      <c r="GQ559" s="174">
        <v>0.0</v>
      </c>
      <c r="GR559" s="175">
        <v>1.0</v>
      </c>
      <c r="GS559" s="174">
        <v>0.0</v>
      </c>
      <c r="GT559" s="174">
        <v>0.0</v>
      </c>
      <c r="GU559" s="174">
        <v>1.0</v>
      </c>
      <c r="GV559" s="174">
        <v>0.0</v>
      </c>
      <c r="GW559" s="174">
        <v>1.0</v>
      </c>
      <c r="GX559" s="174">
        <v>0.0</v>
      </c>
      <c r="GY559" s="174">
        <v>1.0</v>
      </c>
      <c r="GZ559" s="174">
        <v>0.0</v>
      </c>
      <c r="HA559" s="174">
        <v>0.0</v>
      </c>
      <c r="HB559" s="155">
        <v>1.0</v>
      </c>
      <c r="HC559" s="155">
        <v>0.0</v>
      </c>
      <c r="HD559" s="155">
        <v>0.0</v>
      </c>
      <c r="HE559" s="155">
        <v>0.0</v>
      </c>
      <c r="HF559" s="155">
        <v>0.0</v>
      </c>
      <c r="HG559" s="155">
        <v>0.0</v>
      </c>
      <c r="HH559" s="175">
        <v>1.0</v>
      </c>
      <c r="HI559" s="174"/>
      <c r="HJ559" s="174"/>
      <c r="HK559" s="174"/>
      <c r="HL559" s="174"/>
      <c r="HM559" s="174"/>
      <c r="HN559" s="174"/>
      <c r="HO559" s="174"/>
      <c r="HP559" s="174"/>
      <c r="HQ559" s="174"/>
      <c r="HR559" s="174"/>
      <c r="HS559" s="174"/>
      <c r="HT559" s="174"/>
      <c r="HU559" s="174"/>
      <c r="HV559" s="174"/>
      <c r="HW559" s="174"/>
      <c r="HX559" s="174"/>
      <c r="HY559" s="174"/>
      <c r="HZ559" s="174"/>
      <c r="IA559" s="174"/>
      <c r="IB559" s="174"/>
      <c r="IC559" s="174"/>
      <c r="ID559" s="174"/>
      <c r="IE559" s="174"/>
      <c r="IF559" s="174"/>
      <c r="IG559" s="174"/>
      <c r="IH559" s="174"/>
      <c r="II559" s="174"/>
      <c r="IJ559" s="174"/>
      <c r="IK559" s="174"/>
      <c r="IL559" s="159">
        <v>0.0</v>
      </c>
      <c r="IM559" s="156">
        <v>0.0</v>
      </c>
      <c r="IN559" s="156">
        <v>0.0</v>
      </c>
      <c r="IO559" s="156">
        <v>0.0</v>
      </c>
      <c r="IP559" s="156">
        <v>0.0</v>
      </c>
      <c r="IQ559" s="160">
        <v>0.0</v>
      </c>
      <c r="JH559" s="25"/>
      <c r="JW559" s="159">
        <v>0.0</v>
      </c>
      <c r="JX559" s="156">
        <v>0.0</v>
      </c>
      <c r="JY559" s="156">
        <v>0.0</v>
      </c>
      <c r="JZ559" s="156">
        <v>0.0</v>
      </c>
      <c r="KA559" s="156">
        <v>0.0</v>
      </c>
      <c r="KB559" s="160">
        <v>0.0</v>
      </c>
      <c r="LH559" s="159">
        <f t="shared" si="10"/>
        <v>0</v>
      </c>
      <c r="LI559" s="156">
        <f t="shared" si="11"/>
        <v>0</v>
      </c>
      <c r="LJ559" s="156">
        <f t="shared" si="12"/>
        <v>0</v>
      </c>
      <c r="LK559" s="156">
        <f t="shared" si="13"/>
        <v>0</v>
      </c>
      <c r="LL559" s="156">
        <f t="shared" si="14"/>
        <v>0</v>
      </c>
      <c r="LM559" s="160">
        <f t="shared" si="15"/>
        <v>0</v>
      </c>
      <c r="QX559" s="560">
        <v>46091.0</v>
      </c>
    </row>
    <row r="560">
      <c r="A560" s="108"/>
      <c r="B560" s="108"/>
      <c r="C560" s="12"/>
      <c r="D560" s="12"/>
      <c r="E560" s="58"/>
      <c r="F560" s="12"/>
      <c r="G560" s="12"/>
      <c r="H560" s="12"/>
      <c r="I560" s="143">
        <f t="shared" si="22"/>
        <v>-15</v>
      </c>
      <c r="J560" s="537">
        <v>46098.0</v>
      </c>
      <c r="K560" s="164" t="s">
        <v>53</v>
      </c>
      <c r="L560" s="537">
        <v>46162.0</v>
      </c>
      <c r="M560" s="86" t="s">
        <v>1138</v>
      </c>
      <c r="N560" s="86">
        <v>36.0</v>
      </c>
      <c r="O560" s="86">
        <v>30.0</v>
      </c>
      <c r="U560" s="162" t="s">
        <v>3149</v>
      </c>
      <c r="V560" s="538" t="s">
        <v>1553</v>
      </c>
      <c r="W560" s="125" t="s">
        <v>3459</v>
      </c>
      <c r="X560" s="140"/>
      <c r="Y560" s="166">
        <f t="shared" si="23"/>
        <v>15</v>
      </c>
      <c r="Z560" s="26">
        <f t="shared" si="7"/>
        <v>0</v>
      </c>
      <c r="AA560" s="26">
        <f t="shared" si="8"/>
        <v>0</v>
      </c>
      <c r="AB560" s="26">
        <f t="shared" si="9"/>
        <v>0</v>
      </c>
      <c r="AC560" s="155">
        <v>0.0</v>
      </c>
      <c r="AD560" s="155">
        <v>0.0</v>
      </c>
      <c r="AE560" s="155">
        <v>0.0</v>
      </c>
      <c r="AF560" s="155">
        <v>0.0</v>
      </c>
      <c r="AG560" s="155">
        <v>0.0</v>
      </c>
      <c r="AH560" s="155">
        <v>0.0</v>
      </c>
      <c r="BN560" s="155">
        <v>0.0</v>
      </c>
      <c r="BO560" s="155">
        <v>0.0</v>
      </c>
      <c r="BP560" s="155">
        <v>0.0</v>
      </c>
      <c r="BQ560" s="155">
        <v>0.0</v>
      </c>
      <c r="BR560" s="155">
        <v>0.0</v>
      </c>
      <c r="BS560" s="155">
        <v>0.0</v>
      </c>
      <c r="CV560" s="156">
        <v>4.0</v>
      </c>
      <c r="CW560" s="156">
        <v>0.0</v>
      </c>
      <c r="CX560" s="156">
        <v>0.0</v>
      </c>
      <c r="CY560" s="156">
        <v>0.0</v>
      </c>
      <c r="CZ560" s="156">
        <v>0.0</v>
      </c>
      <c r="DA560" s="156">
        <v>0.0</v>
      </c>
      <c r="DR560" s="86">
        <v>1.0</v>
      </c>
      <c r="DU560" s="86">
        <v>1.0</v>
      </c>
      <c r="DY560" s="86">
        <v>1.0</v>
      </c>
      <c r="EF560" s="86">
        <v>1.0</v>
      </c>
      <c r="EG560" s="156">
        <v>6.0</v>
      </c>
      <c r="EH560" s="156">
        <v>0.0</v>
      </c>
      <c r="EI560" s="156">
        <v>0.0</v>
      </c>
      <c r="EJ560" s="156">
        <v>0.0</v>
      </c>
      <c r="EK560" s="156">
        <v>0.0</v>
      </c>
      <c r="EL560" s="156">
        <v>0.0</v>
      </c>
      <c r="EO560" s="86">
        <v>1.0</v>
      </c>
      <c r="ES560" s="86">
        <v>1.0</v>
      </c>
      <c r="EZ560" s="86">
        <v>1.0</v>
      </c>
      <c r="FC560" s="86">
        <v>1.0</v>
      </c>
      <c r="FG560" s="86">
        <v>1.0</v>
      </c>
      <c r="FN560" s="86">
        <v>1.0</v>
      </c>
      <c r="FQ560" s="156">
        <v>5.0</v>
      </c>
      <c r="FR560" s="156">
        <v>0.0</v>
      </c>
      <c r="FS560" s="156">
        <v>0.0</v>
      </c>
      <c r="FT560" s="156">
        <v>0.0</v>
      </c>
      <c r="FU560" s="156">
        <v>0.0</v>
      </c>
      <c r="FV560" s="156">
        <v>0.0</v>
      </c>
      <c r="FW560" s="157"/>
      <c r="FX560" s="157"/>
      <c r="FY560" s="157"/>
      <c r="FZ560" s="157"/>
      <c r="GA560" s="188">
        <v>1.0</v>
      </c>
      <c r="GB560" s="157"/>
      <c r="GC560" s="157"/>
      <c r="GD560" s="188">
        <v>1.0</v>
      </c>
      <c r="GE560" s="157"/>
      <c r="GF560" s="157"/>
      <c r="GG560" s="157"/>
      <c r="GH560" s="188">
        <v>1.0</v>
      </c>
      <c r="GI560" s="157"/>
      <c r="GJ560" s="157"/>
      <c r="GK560" s="188">
        <v>1.0</v>
      </c>
      <c r="GL560" s="157"/>
      <c r="GM560" s="157"/>
      <c r="GN560" s="157"/>
      <c r="GO560" s="188">
        <v>1.0</v>
      </c>
      <c r="GP560" s="158"/>
      <c r="GQ560" s="157"/>
      <c r="GR560" s="157"/>
      <c r="GS560" s="157"/>
      <c r="GT560" s="157"/>
      <c r="GU560" s="157"/>
      <c r="GV560" s="157"/>
      <c r="GW560" s="157"/>
      <c r="GX560" s="157"/>
      <c r="GY560" s="157"/>
      <c r="GZ560" s="157"/>
      <c r="HA560" s="157"/>
      <c r="HB560" s="155">
        <v>0.0</v>
      </c>
      <c r="HC560" s="155">
        <v>0.0</v>
      </c>
      <c r="HD560" s="155">
        <v>0.0</v>
      </c>
      <c r="HE560" s="155">
        <v>0.0</v>
      </c>
      <c r="HF560" s="155">
        <v>0.0</v>
      </c>
      <c r="HG560" s="155">
        <v>0.0</v>
      </c>
      <c r="IL560" s="159">
        <v>0.0</v>
      </c>
      <c r="IM560" s="156">
        <v>0.0</v>
      </c>
      <c r="IN560" s="156">
        <v>0.0</v>
      </c>
      <c r="IO560" s="156">
        <v>0.0</v>
      </c>
      <c r="IP560" s="156">
        <v>0.0</v>
      </c>
      <c r="IQ560" s="160">
        <v>0.0</v>
      </c>
      <c r="JH560" s="25"/>
      <c r="JW560" s="159">
        <v>0.0</v>
      </c>
      <c r="JX560" s="156">
        <v>0.0</v>
      </c>
      <c r="JY560" s="156">
        <v>0.0</v>
      </c>
      <c r="JZ560" s="156">
        <v>0.0</v>
      </c>
      <c r="KA560" s="156">
        <v>0.0</v>
      </c>
      <c r="KB560" s="160">
        <v>0.0</v>
      </c>
      <c r="LH560" s="159">
        <f t="shared" si="10"/>
        <v>0</v>
      </c>
      <c r="LI560" s="156">
        <f t="shared" si="11"/>
        <v>0</v>
      </c>
      <c r="LJ560" s="156">
        <f t="shared" si="12"/>
        <v>0</v>
      </c>
      <c r="LK560" s="156">
        <f t="shared" si="13"/>
        <v>0</v>
      </c>
      <c r="LL560" s="156">
        <f t="shared" si="14"/>
        <v>0</v>
      </c>
      <c r="LM560" s="160">
        <f t="shared" si="15"/>
        <v>0</v>
      </c>
      <c r="QX560" s="560">
        <v>46091.0</v>
      </c>
    </row>
    <row r="561">
      <c r="A561" s="12"/>
      <c r="B561" s="12"/>
      <c r="C561" s="12"/>
      <c r="D561" s="12"/>
      <c r="E561" s="12"/>
      <c r="F561" s="12"/>
      <c r="G561" s="12"/>
      <c r="H561" s="12"/>
      <c r="I561" s="143">
        <f t="shared" si="22"/>
        <v>-31</v>
      </c>
      <c r="J561" s="537">
        <v>46097.0</v>
      </c>
      <c r="K561" s="164" t="s">
        <v>61</v>
      </c>
      <c r="L561" s="537">
        <v>46203.0</v>
      </c>
      <c r="M561" s="86" t="s">
        <v>107</v>
      </c>
      <c r="N561" s="188" t="s">
        <v>3304</v>
      </c>
      <c r="O561" s="86">
        <v>30.0</v>
      </c>
      <c r="U561" s="162" t="s">
        <v>3460</v>
      </c>
      <c r="V561" s="538" t="s">
        <v>3387</v>
      </c>
      <c r="W561" s="185" t="s">
        <v>3461</v>
      </c>
      <c r="X561" s="140"/>
      <c r="Y561" s="166">
        <f t="shared" si="23"/>
        <v>31</v>
      </c>
      <c r="Z561" s="26">
        <f t="shared" si="7"/>
        <v>0</v>
      </c>
      <c r="AA561" s="26">
        <f t="shared" si="8"/>
        <v>0</v>
      </c>
      <c r="AB561" s="26">
        <f t="shared" si="9"/>
        <v>0</v>
      </c>
      <c r="AC561" s="155">
        <v>0.0</v>
      </c>
      <c r="AD561" s="155">
        <v>0.0</v>
      </c>
      <c r="AE561" s="155">
        <v>0.0</v>
      </c>
      <c r="AF561" s="155">
        <v>0.0</v>
      </c>
      <c r="AG561" s="155">
        <v>0.0</v>
      </c>
      <c r="AH561" s="155">
        <v>0.0</v>
      </c>
      <c r="BN561" s="155">
        <v>0.0</v>
      </c>
      <c r="BO561" s="155">
        <v>0.0</v>
      </c>
      <c r="BP561" s="155">
        <v>0.0</v>
      </c>
      <c r="BQ561" s="155">
        <v>0.0</v>
      </c>
      <c r="BR561" s="155">
        <v>0.0</v>
      </c>
      <c r="BS561" s="155">
        <v>0.0</v>
      </c>
      <c r="CV561" s="156">
        <v>7.0</v>
      </c>
      <c r="CW561" s="156">
        <v>0.0</v>
      </c>
      <c r="CX561" s="156">
        <v>0.0</v>
      </c>
      <c r="CY561" s="156">
        <v>0.0</v>
      </c>
      <c r="CZ561" s="156">
        <v>0.0</v>
      </c>
      <c r="DA561" s="156">
        <v>0.0</v>
      </c>
      <c r="DQ561" s="174">
        <v>1.0</v>
      </c>
      <c r="DR561" s="174">
        <v>0.0</v>
      </c>
      <c r="DS561" s="174">
        <v>1.0</v>
      </c>
      <c r="DT561" s="174">
        <v>0.0</v>
      </c>
      <c r="DU561" s="174"/>
      <c r="DV561" s="174">
        <v>0.0</v>
      </c>
      <c r="DW561" s="175">
        <v>1.0</v>
      </c>
      <c r="DX561" s="174">
        <v>1.0</v>
      </c>
      <c r="DY561" s="174">
        <v>0.0</v>
      </c>
      <c r="DZ561" s="174">
        <v>1.0</v>
      </c>
      <c r="EA561" s="174">
        <v>0.0</v>
      </c>
      <c r="EB561" s="174"/>
      <c r="EC561" s="174">
        <v>0.0</v>
      </c>
      <c r="ED561" s="174">
        <v>0.0</v>
      </c>
      <c r="EE561" s="175">
        <v>2.0</v>
      </c>
      <c r="EF561" s="174">
        <v>0.0</v>
      </c>
      <c r="EG561" s="156">
        <v>9.0</v>
      </c>
      <c r="EH561" s="156">
        <v>0.0</v>
      </c>
      <c r="EI561" s="156">
        <v>0.0</v>
      </c>
      <c r="EJ561" s="156">
        <v>0.0</v>
      </c>
      <c r="EK561" s="156">
        <v>0.0</v>
      </c>
      <c r="EL561" s="156">
        <v>0.0</v>
      </c>
      <c r="EM561" s="86">
        <v>1.0</v>
      </c>
      <c r="EQ561" s="86">
        <v>1.0</v>
      </c>
      <c r="ER561" s="86">
        <v>1.0</v>
      </c>
      <c r="ET561" s="86">
        <v>1.0</v>
      </c>
      <c r="EY561" s="86">
        <v>1.0</v>
      </c>
      <c r="FE561" s="86">
        <v>1.0</v>
      </c>
      <c r="FF561" s="86">
        <v>1.0</v>
      </c>
      <c r="FH561" s="86">
        <v>1.0</v>
      </c>
      <c r="FO561" s="86">
        <v>1.0</v>
      </c>
      <c r="FQ561" s="156">
        <v>10.0</v>
      </c>
      <c r="FR561" s="156">
        <v>0.0</v>
      </c>
      <c r="FS561" s="156">
        <v>0.0</v>
      </c>
      <c r="FT561" s="156">
        <v>0.0</v>
      </c>
      <c r="FU561" s="156">
        <v>0.0</v>
      </c>
      <c r="FV561" s="156">
        <v>0.0</v>
      </c>
      <c r="FW561" s="157"/>
      <c r="FX561" s="157"/>
      <c r="FY561" s="188"/>
      <c r="FZ561" s="188">
        <v>1.0</v>
      </c>
      <c r="GA561" s="157"/>
      <c r="GB561" s="188">
        <v>1.0</v>
      </c>
      <c r="GC561" s="157"/>
      <c r="GD561" s="157"/>
      <c r="GE561" s="157"/>
      <c r="GF561" s="188">
        <v>1.0</v>
      </c>
      <c r="GG561" s="188">
        <v>1.0</v>
      </c>
      <c r="GH561" s="157"/>
      <c r="GI561" s="188"/>
      <c r="GJ561" s="157"/>
      <c r="GK561" s="157"/>
      <c r="GL561" s="157"/>
      <c r="GM561" s="188">
        <v>1.0</v>
      </c>
      <c r="GN561" s="188">
        <v>1.0</v>
      </c>
      <c r="GO561" s="157"/>
      <c r="GP561" s="381"/>
      <c r="GQ561" s="157"/>
      <c r="GR561" s="157"/>
      <c r="GS561" s="157"/>
      <c r="GT561" s="188">
        <v>2.0</v>
      </c>
      <c r="GU561" s="188">
        <v>1.0</v>
      </c>
      <c r="GV561" s="157"/>
      <c r="GW561" s="157"/>
      <c r="GX561" s="157"/>
      <c r="GY561" s="157"/>
      <c r="GZ561" s="157"/>
      <c r="HA561" s="188">
        <v>1.0</v>
      </c>
      <c r="HB561" s="155">
        <v>5.0</v>
      </c>
      <c r="HC561" s="155">
        <v>0.0</v>
      </c>
      <c r="HD561" s="155">
        <v>0.0</v>
      </c>
      <c r="HE561" s="155">
        <v>0.0</v>
      </c>
      <c r="HF561" s="155">
        <v>0.0</v>
      </c>
      <c r="HG561" s="155">
        <v>0.0</v>
      </c>
      <c r="HH561" s="86">
        <v>1.0</v>
      </c>
      <c r="HV561" s="86">
        <v>1.0</v>
      </c>
      <c r="IB561" s="86">
        <v>1.0</v>
      </c>
      <c r="IC561" s="86">
        <v>1.0</v>
      </c>
      <c r="IG561" s="86">
        <v>1.0</v>
      </c>
      <c r="IL561" s="159">
        <v>0.0</v>
      </c>
      <c r="IM561" s="156">
        <v>0.0</v>
      </c>
      <c r="IN561" s="156">
        <v>0.0</v>
      </c>
      <c r="IO561" s="156">
        <v>0.0</v>
      </c>
      <c r="IP561" s="156">
        <v>0.0</v>
      </c>
      <c r="IQ561" s="160">
        <v>0.0</v>
      </c>
      <c r="JH561" s="25"/>
      <c r="JW561" s="159">
        <v>0.0</v>
      </c>
      <c r="JX561" s="156">
        <v>0.0</v>
      </c>
      <c r="JY561" s="156">
        <v>0.0</v>
      </c>
      <c r="JZ561" s="156">
        <v>0.0</v>
      </c>
      <c r="KA561" s="156">
        <v>0.0</v>
      </c>
      <c r="KB561" s="160">
        <v>0.0</v>
      </c>
      <c r="KS561" s="178"/>
      <c r="LH561" s="159">
        <f t="shared" si="10"/>
        <v>0</v>
      </c>
      <c r="LI561" s="156">
        <f t="shared" si="11"/>
        <v>0</v>
      </c>
      <c r="LJ561" s="156">
        <f t="shared" si="12"/>
        <v>0</v>
      </c>
      <c r="LK561" s="156">
        <f t="shared" si="13"/>
        <v>0</v>
      </c>
      <c r="LL561" s="156">
        <f t="shared" si="14"/>
        <v>0</v>
      </c>
      <c r="LM561" s="160">
        <f t="shared" si="15"/>
        <v>0</v>
      </c>
      <c r="QX561" s="571">
        <v>46092.0</v>
      </c>
    </row>
    <row r="562">
      <c r="A562" s="12"/>
      <c r="B562" s="12"/>
      <c r="C562" s="12"/>
      <c r="D562" s="12"/>
      <c r="E562" s="12"/>
      <c r="F562" s="12"/>
      <c r="G562" s="12"/>
      <c r="H562" s="12"/>
      <c r="I562" s="143">
        <f t="shared" si="22"/>
        <v>-30</v>
      </c>
      <c r="J562" s="537">
        <v>46097.0</v>
      </c>
      <c r="K562" s="164" t="s">
        <v>61</v>
      </c>
      <c r="L562" s="23">
        <v>46191.0</v>
      </c>
      <c r="M562" s="86" t="s">
        <v>712</v>
      </c>
      <c r="N562" s="188">
        <v>246.0</v>
      </c>
      <c r="O562" s="86">
        <v>30.0</v>
      </c>
      <c r="U562" s="162" t="s">
        <v>3462</v>
      </c>
      <c r="V562" s="538" t="s">
        <v>3463</v>
      </c>
      <c r="W562" s="125" t="s">
        <v>3464</v>
      </c>
      <c r="X562" s="140"/>
      <c r="Y562" s="166">
        <f t="shared" si="23"/>
        <v>30</v>
      </c>
      <c r="Z562" s="26">
        <f t="shared" si="7"/>
        <v>0</v>
      </c>
      <c r="AA562" s="26">
        <f t="shared" si="8"/>
        <v>1</v>
      </c>
      <c r="AB562" s="26">
        <f t="shared" si="9"/>
        <v>0</v>
      </c>
      <c r="AC562" s="155">
        <v>0.0</v>
      </c>
      <c r="AD562" s="155">
        <v>0.0</v>
      </c>
      <c r="AE562" s="155">
        <v>0.0</v>
      </c>
      <c r="AF562" s="155">
        <v>0.0</v>
      </c>
      <c r="AG562" s="155">
        <v>0.0</v>
      </c>
      <c r="AH562" s="155">
        <v>0.0</v>
      </c>
      <c r="BN562" s="155">
        <v>0.0</v>
      </c>
      <c r="BO562" s="155">
        <v>0.0</v>
      </c>
      <c r="BP562" s="155">
        <v>0.0</v>
      </c>
      <c r="BQ562" s="155">
        <v>0.0</v>
      </c>
      <c r="BR562" s="155">
        <v>0.0</v>
      </c>
      <c r="BS562" s="155">
        <v>0.0</v>
      </c>
      <c r="CV562" s="156">
        <v>7.0</v>
      </c>
      <c r="CW562" s="156">
        <v>0.0</v>
      </c>
      <c r="CX562" s="156">
        <v>0.0</v>
      </c>
      <c r="CY562" s="156">
        <v>0.0</v>
      </c>
      <c r="CZ562" s="156">
        <v>0.0</v>
      </c>
      <c r="DA562" s="156">
        <v>0.0</v>
      </c>
      <c r="DQ562" s="174">
        <v>1.0</v>
      </c>
      <c r="DR562" s="174">
        <v>0.0</v>
      </c>
      <c r="DS562" s="174">
        <v>1.0</v>
      </c>
      <c r="DT562" s="174">
        <v>0.0</v>
      </c>
      <c r="DU562" s="174">
        <v>1.0</v>
      </c>
      <c r="DV562" s="174">
        <v>0.0</v>
      </c>
      <c r="DW562" s="174">
        <v>0.0</v>
      </c>
      <c r="DX562" s="174">
        <v>1.0</v>
      </c>
      <c r="DY562" s="174">
        <v>0.0</v>
      </c>
      <c r="DZ562" s="174">
        <v>1.0</v>
      </c>
      <c r="EA562" s="174">
        <v>0.0</v>
      </c>
      <c r="EB562" s="174">
        <v>1.0</v>
      </c>
      <c r="EC562" s="174">
        <v>0.0</v>
      </c>
      <c r="ED562" s="174">
        <v>0.0</v>
      </c>
      <c r="EE562" s="174">
        <v>1.0</v>
      </c>
      <c r="EF562" s="174">
        <v>0.0</v>
      </c>
      <c r="EG562" s="156">
        <v>10.0</v>
      </c>
      <c r="EH562" s="156">
        <v>0.0</v>
      </c>
      <c r="EI562" s="156">
        <v>0.0</v>
      </c>
      <c r="EJ562" s="156">
        <v>0.0</v>
      </c>
      <c r="EK562" s="156">
        <v>0.0</v>
      </c>
      <c r="EL562" s="156">
        <v>0.0</v>
      </c>
      <c r="EM562" s="174">
        <v>1.0</v>
      </c>
      <c r="EN562" s="174">
        <v>0.0</v>
      </c>
      <c r="EO562" s="174">
        <v>1.0</v>
      </c>
      <c r="EP562" s="174">
        <v>0.0</v>
      </c>
      <c r="EQ562" s="174">
        <v>0.0</v>
      </c>
      <c r="ER562" s="174">
        <v>1.0</v>
      </c>
      <c r="ES562" s="174">
        <v>0.0</v>
      </c>
      <c r="ET562" s="174">
        <v>1.0</v>
      </c>
      <c r="EU562" s="174">
        <v>0.0</v>
      </c>
      <c r="EV562" s="174">
        <v>1.0</v>
      </c>
      <c r="EW562" s="174">
        <v>0.0</v>
      </c>
      <c r="EX562" s="174">
        <v>0.0</v>
      </c>
      <c r="EY562" s="174">
        <v>1.0</v>
      </c>
      <c r="EZ562" s="174">
        <v>0.0</v>
      </c>
      <c r="FA562" s="174">
        <v>1.0</v>
      </c>
      <c r="FB562" s="174"/>
      <c r="FC562" s="174"/>
      <c r="FD562" s="174"/>
      <c r="FE562" s="174"/>
      <c r="FF562" s="174"/>
      <c r="FG562" s="174"/>
      <c r="FH562" s="174">
        <v>1.0</v>
      </c>
      <c r="FI562" s="174">
        <v>0.0</v>
      </c>
      <c r="FJ562" s="174">
        <v>1.0</v>
      </c>
      <c r="FK562" s="174"/>
      <c r="FL562" s="174"/>
      <c r="FM562" s="174"/>
      <c r="FN562" s="174"/>
      <c r="FO562" s="174">
        <v>1.0</v>
      </c>
      <c r="FP562" s="174">
        <v>0.0</v>
      </c>
      <c r="FQ562" s="156">
        <v>9.0</v>
      </c>
      <c r="FR562" s="156">
        <v>0.0</v>
      </c>
      <c r="FS562" s="156">
        <v>0.0</v>
      </c>
      <c r="FT562" s="156">
        <v>1.0</v>
      </c>
      <c r="FU562" s="156">
        <v>0.0</v>
      </c>
      <c r="FV562" s="156">
        <v>0.0</v>
      </c>
      <c r="FW562" s="174"/>
      <c r="FX562" s="174"/>
      <c r="FY562" s="174"/>
      <c r="FZ562" s="174"/>
      <c r="GA562" s="174"/>
      <c r="GB562" s="174">
        <v>1.0</v>
      </c>
      <c r="GC562" s="174">
        <v>0.0</v>
      </c>
      <c r="GD562" s="174"/>
      <c r="GE562" s="174">
        <v>0.0</v>
      </c>
      <c r="GF562" s="174">
        <v>0.0</v>
      </c>
      <c r="GG562" s="174">
        <v>1.0</v>
      </c>
      <c r="GH562" s="174">
        <v>0.0</v>
      </c>
      <c r="GI562" s="174">
        <v>1.0</v>
      </c>
      <c r="GJ562" s="174">
        <v>0.0</v>
      </c>
      <c r="GK562" s="174">
        <v>1.0</v>
      </c>
      <c r="GL562" s="174">
        <v>0.0</v>
      </c>
      <c r="GM562" s="174">
        <v>0.0</v>
      </c>
      <c r="GN562" s="174">
        <v>1.0</v>
      </c>
      <c r="GO562" s="174">
        <v>0.0</v>
      </c>
      <c r="GP562" s="177"/>
      <c r="GQ562" s="174">
        <v>0.0</v>
      </c>
      <c r="GR562" s="175">
        <v>1.0</v>
      </c>
      <c r="GS562" s="174">
        <v>0.0</v>
      </c>
      <c r="GT562" s="174">
        <v>0.0</v>
      </c>
      <c r="GU562" s="174">
        <v>1.0</v>
      </c>
      <c r="GV562" s="174">
        <v>0.0</v>
      </c>
      <c r="GW562" s="175" t="s">
        <v>947</v>
      </c>
      <c r="GX562" s="174">
        <v>0.0</v>
      </c>
      <c r="GY562" s="174">
        <v>1.0</v>
      </c>
      <c r="GZ562" s="174">
        <v>0.0</v>
      </c>
      <c r="HA562" s="174">
        <v>0.0</v>
      </c>
      <c r="HB562" s="155">
        <v>4.0</v>
      </c>
      <c r="HC562" s="155">
        <v>0.0</v>
      </c>
      <c r="HD562" s="155">
        <v>0.0</v>
      </c>
      <c r="HE562" s="155">
        <v>0.0</v>
      </c>
      <c r="HF562" s="155">
        <v>0.0</v>
      </c>
      <c r="HG562" s="155">
        <v>0.0</v>
      </c>
      <c r="HH562" s="174">
        <v>1.0</v>
      </c>
      <c r="HI562" s="174">
        <v>0.0</v>
      </c>
      <c r="HJ562" s="174">
        <v>1.0</v>
      </c>
      <c r="HK562" s="174">
        <v>0.0</v>
      </c>
      <c r="HL562" s="174"/>
      <c r="HM562" s="174">
        <v>0.0</v>
      </c>
      <c r="HN562" s="174">
        <v>0.0</v>
      </c>
      <c r="HO562" s="175"/>
      <c r="HP562" s="174">
        <v>0.0</v>
      </c>
      <c r="HQ562" s="174"/>
      <c r="HR562" s="174">
        <v>0.0</v>
      </c>
      <c r="HS562" s="174">
        <v>1.0</v>
      </c>
      <c r="HT562" s="174">
        <v>0.0</v>
      </c>
      <c r="HU562" s="174">
        <v>0.0</v>
      </c>
      <c r="HV562" s="174">
        <v>1.0</v>
      </c>
      <c r="HW562" s="174"/>
      <c r="HX562" s="174"/>
      <c r="HY562" s="174"/>
      <c r="HZ562" s="174"/>
      <c r="IA562" s="174"/>
      <c r="IB562" s="174"/>
      <c r="IC562" s="174"/>
      <c r="ID562" s="174"/>
      <c r="IE562" s="174"/>
      <c r="IF562" s="174"/>
      <c r="IG562" s="174"/>
      <c r="IH562" s="174"/>
      <c r="II562" s="174"/>
      <c r="IJ562" s="174"/>
      <c r="IK562" s="174"/>
      <c r="IL562" s="159">
        <v>0.0</v>
      </c>
      <c r="IM562" s="156">
        <v>0.0</v>
      </c>
      <c r="IN562" s="156">
        <v>0.0</v>
      </c>
      <c r="IO562" s="156">
        <v>0.0</v>
      </c>
      <c r="IP562" s="156">
        <v>0.0</v>
      </c>
      <c r="IQ562" s="160">
        <v>0.0</v>
      </c>
      <c r="IR562" s="174"/>
      <c r="IS562" s="174"/>
      <c r="IT562" s="174"/>
      <c r="IU562" s="174"/>
      <c r="IV562" s="174"/>
      <c r="IW562" s="174"/>
      <c r="IX562" s="174"/>
      <c r="IY562" s="174"/>
      <c r="IZ562" s="174"/>
      <c r="JA562" s="174"/>
      <c r="JB562" s="174"/>
      <c r="JC562" s="174"/>
      <c r="JD562" s="174"/>
      <c r="JE562" s="174"/>
      <c r="JF562" s="174"/>
      <c r="JG562" s="174"/>
      <c r="JH562" s="177"/>
      <c r="JI562" s="174"/>
      <c r="JJ562" s="174"/>
      <c r="JK562" s="174"/>
      <c r="JL562" s="174"/>
      <c r="JM562" s="174"/>
      <c r="JN562" s="174"/>
      <c r="JO562" s="174"/>
      <c r="JP562" s="174"/>
      <c r="JQ562" s="174"/>
      <c r="JR562" s="174"/>
      <c r="JS562" s="174"/>
      <c r="JT562" s="174"/>
      <c r="JU562" s="174"/>
      <c r="JV562" s="174"/>
      <c r="JW562" s="159">
        <v>0.0</v>
      </c>
      <c r="JX562" s="156">
        <v>0.0</v>
      </c>
      <c r="JY562" s="156">
        <v>0.0</v>
      </c>
      <c r="JZ562" s="156">
        <v>0.0</v>
      </c>
      <c r="KA562" s="156">
        <v>0.0</v>
      </c>
      <c r="KB562" s="160">
        <v>0.0</v>
      </c>
      <c r="LH562" s="159">
        <f t="shared" si="10"/>
        <v>0</v>
      </c>
      <c r="LI562" s="156">
        <f t="shared" si="11"/>
        <v>0</v>
      </c>
      <c r="LJ562" s="156">
        <f t="shared" si="12"/>
        <v>0</v>
      </c>
      <c r="LK562" s="156">
        <f t="shared" si="13"/>
        <v>0</v>
      </c>
      <c r="LL562" s="156">
        <f t="shared" si="14"/>
        <v>0</v>
      </c>
      <c r="LM562" s="160">
        <f t="shared" si="15"/>
        <v>0</v>
      </c>
      <c r="QX562" s="571">
        <v>46092.0</v>
      </c>
    </row>
    <row r="563">
      <c r="A563" s="12"/>
      <c r="B563" s="12"/>
      <c r="C563" s="12"/>
      <c r="D563" s="12"/>
      <c r="E563" s="12"/>
      <c r="F563" s="12"/>
      <c r="G563" s="12"/>
      <c r="H563" s="12"/>
      <c r="I563" s="143">
        <f t="shared" si="22"/>
        <v>-2</v>
      </c>
      <c r="J563" s="537">
        <v>46099.0</v>
      </c>
      <c r="K563" s="180" t="s">
        <v>53</v>
      </c>
      <c r="L563" s="537">
        <v>46115.0</v>
      </c>
      <c r="M563" s="86" t="s">
        <v>400</v>
      </c>
      <c r="N563" s="188">
        <v>246.0</v>
      </c>
      <c r="O563" s="86">
        <v>30.0</v>
      </c>
      <c r="U563" s="162" t="s">
        <v>3465</v>
      </c>
      <c r="V563" s="538" t="s">
        <v>3466</v>
      </c>
      <c r="W563" s="125" t="s">
        <v>3467</v>
      </c>
      <c r="X563" s="140"/>
      <c r="Y563" s="166">
        <f t="shared" si="23"/>
        <v>2</v>
      </c>
      <c r="Z563" s="26">
        <f t="shared" si="7"/>
        <v>0</v>
      </c>
      <c r="AA563" s="26">
        <f t="shared" si="8"/>
        <v>1</v>
      </c>
      <c r="AB563" s="26">
        <f t="shared" si="9"/>
        <v>0</v>
      </c>
      <c r="AC563" s="155">
        <v>0.0</v>
      </c>
      <c r="AD563" s="155">
        <v>0.0</v>
      </c>
      <c r="AE563" s="155">
        <v>0.0</v>
      </c>
      <c r="AF563" s="155">
        <v>0.0</v>
      </c>
      <c r="AG563" s="155">
        <v>0.0</v>
      </c>
      <c r="AH563" s="155">
        <v>0.0</v>
      </c>
      <c r="BN563" s="155">
        <v>0.0</v>
      </c>
      <c r="BO563" s="155">
        <v>0.0</v>
      </c>
      <c r="BP563" s="155">
        <v>0.0</v>
      </c>
      <c r="BQ563" s="155">
        <v>0.0</v>
      </c>
      <c r="BR563" s="155">
        <v>0.0</v>
      </c>
      <c r="BS563" s="155">
        <v>0.0</v>
      </c>
      <c r="CV563" s="156">
        <v>2.0</v>
      </c>
      <c r="CW563" s="156">
        <v>0.0</v>
      </c>
      <c r="CX563" s="156">
        <v>0.0</v>
      </c>
      <c r="CY563" s="156">
        <v>1.0</v>
      </c>
      <c r="CZ563" s="156">
        <v>0.0</v>
      </c>
      <c r="DA563" s="156">
        <v>0.0</v>
      </c>
      <c r="DS563" s="174">
        <v>1.0</v>
      </c>
      <c r="DT563" s="174">
        <v>0.0</v>
      </c>
      <c r="DU563" s="175" t="s">
        <v>947</v>
      </c>
      <c r="DV563" s="174"/>
      <c r="DW563" s="174"/>
      <c r="DX563" s="174"/>
      <c r="DY563" s="174"/>
      <c r="DZ563" s="174"/>
      <c r="EA563" s="174"/>
      <c r="EB563" s="174"/>
      <c r="EC563" s="174"/>
      <c r="ED563" s="174"/>
      <c r="EE563" s="174"/>
      <c r="EF563" s="174"/>
      <c r="EG563" s="156">
        <v>0.0</v>
      </c>
      <c r="EH563" s="156">
        <v>0.0</v>
      </c>
      <c r="EI563" s="156">
        <v>0.0</v>
      </c>
      <c r="EJ563" s="156">
        <v>0.0</v>
      </c>
      <c r="EK563" s="156">
        <v>0.0</v>
      </c>
      <c r="EL563" s="156">
        <v>0.0</v>
      </c>
      <c r="FQ563" s="156">
        <v>0.0</v>
      </c>
      <c r="FR563" s="156">
        <v>0.0</v>
      </c>
      <c r="FS563" s="156">
        <v>0.0</v>
      </c>
      <c r="FT563" s="156">
        <v>0.0</v>
      </c>
      <c r="FU563" s="156">
        <v>0.0</v>
      </c>
      <c r="FV563" s="156">
        <v>0.0</v>
      </c>
      <c r="FW563" s="157"/>
      <c r="FX563" s="157"/>
      <c r="FY563" s="157"/>
      <c r="FZ563" s="157"/>
      <c r="GA563" s="157"/>
      <c r="GB563" s="157"/>
      <c r="GC563" s="157"/>
      <c r="GD563" s="157"/>
      <c r="GE563" s="157"/>
      <c r="GF563" s="157"/>
      <c r="GG563" s="157"/>
      <c r="GH563" s="157"/>
      <c r="GI563" s="157"/>
      <c r="GJ563" s="157"/>
      <c r="GK563" s="157"/>
      <c r="GL563" s="157"/>
      <c r="GM563" s="157"/>
      <c r="GN563" s="157"/>
      <c r="GO563" s="157"/>
      <c r="GP563" s="158"/>
      <c r="GQ563" s="157"/>
      <c r="GR563" s="157"/>
      <c r="GS563" s="157"/>
      <c r="GT563" s="157"/>
      <c r="GU563" s="157"/>
      <c r="GV563" s="157"/>
      <c r="GW563" s="157"/>
      <c r="GX563" s="157"/>
      <c r="GY563" s="157"/>
      <c r="GZ563" s="157"/>
      <c r="HA563" s="157"/>
      <c r="HB563" s="155">
        <v>0.0</v>
      </c>
      <c r="HC563" s="155">
        <v>0.0</v>
      </c>
      <c r="HD563" s="155">
        <v>0.0</v>
      </c>
      <c r="HE563" s="155">
        <v>0.0</v>
      </c>
      <c r="HF563" s="155">
        <v>0.0</v>
      </c>
      <c r="HG563" s="155">
        <v>0.0</v>
      </c>
      <c r="IL563" s="159">
        <v>0.0</v>
      </c>
      <c r="IM563" s="156">
        <v>0.0</v>
      </c>
      <c r="IN563" s="156">
        <v>0.0</v>
      </c>
      <c r="IO563" s="156">
        <v>0.0</v>
      </c>
      <c r="IP563" s="156">
        <v>0.0</v>
      </c>
      <c r="IQ563" s="160">
        <v>0.0</v>
      </c>
      <c r="JH563" s="25"/>
      <c r="JW563" s="159">
        <v>0.0</v>
      </c>
      <c r="JX563" s="156">
        <v>0.0</v>
      </c>
      <c r="JY563" s="156">
        <v>0.0</v>
      </c>
      <c r="JZ563" s="156">
        <v>0.0</v>
      </c>
      <c r="KA563" s="156">
        <v>0.0</v>
      </c>
      <c r="KB563" s="160">
        <v>0.0</v>
      </c>
      <c r="LH563" s="159">
        <f t="shared" si="10"/>
        <v>0</v>
      </c>
      <c r="LI563" s="156">
        <f t="shared" si="11"/>
        <v>0</v>
      </c>
      <c r="LJ563" s="156">
        <f t="shared" si="12"/>
        <v>0</v>
      </c>
      <c r="LK563" s="156">
        <f t="shared" si="13"/>
        <v>0</v>
      </c>
      <c r="LL563" s="156">
        <f t="shared" si="14"/>
        <v>0</v>
      </c>
      <c r="LM563" s="160">
        <f t="shared" si="15"/>
        <v>0</v>
      </c>
      <c r="QX563" s="571">
        <v>46093.0</v>
      </c>
    </row>
    <row r="564">
      <c r="A564" s="58"/>
      <c r="B564" s="58"/>
      <c r="C564" s="12"/>
      <c r="D564" s="12"/>
      <c r="E564" s="58"/>
      <c r="F564" s="12"/>
      <c r="G564" s="12"/>
      <c r="H564" s="12"/>
      <c r="I564" s="143">
        <f t="shared" si="22"/>
        <v>-32</v>
      </c>
      <c r="J564" s="537">
        <v>46100.0</v>
      </c>
      <c r="K564" s="184" t="s">
        <v>48</v>
      </c>
      <c r="L564" s="108"/>
      <c r="M564" s="86" t="s">
        <v>1985</v>
      </c>
      <c r="N564" s="86">
        <v>357.0</v>
      </c>
      <c r="O564" s="86">
        <v>30.0</v>
      </c>
      <c r="U564" s="162" t="s">
        <v>1552</v>
      </c>
      <c r="V564" s="538" t="s">
        <v>1553</v>
      </c>
      <c r="W564" s="185" t="s">
        <v>3468</v>
      </c>
      <c r="X564" s="140"/>
      <c r="Y564" s="166">
        <f t="shared" si="23"/>
        <v>32</v>
      </c>
      <c r="Z564" s="26">
        <f t="shared" si="7"/>
        <v>0</v>
      </c>
      <c r="AA564" s="26">
        <f t="shared" si="8"/>
        <v>0</v>
      </c>
      <c r="AB564" s="26">
        <f t="shared" si="9"/>
        <v>0</v>
      </c>
      <c r="AC564" s="155">
        <v>0.0</v>
      </c>
      <c r="AD564" s="155">
        <v>0.0</v>
      </c>
      <c r="AE564" s="155">
        <v>0.0</v>
      </c>
      <c r="AF564" s="155">
        <v>0.0</v>
      </c>
      <c r="AG564" s="155">
        <v>0.0</v>
      </c>
      <c r="AH564" s="155">
        <v>0.0</v>
      </c>
      <c r="BN564" s="155">
        <v>0.0</v>
      </c>
      <c r="BO564" s="155">
        <v>0.0</v>
      </c>
      <c r="BP564" s="155">
        <v>0.0</v>
      </c>
      <c r="BQ564" s="155">
        <v>0.0</v>
      </c>
      <c r="BR564" s="155">
        <v>0.0</v>
      </c>
      <c r="BS564" s="155">
        <v>0.0</v>
      </c>
      <c r="CV564" s="156">
        <v>5.0</v>
      </c>
      <c r="CW564" s="156">
        <v>0.0</v>
      </c>
      <c r="CX564" s="156">
        <v>0.0</v>
      </c>
      <c r="CY564" s="156">
        <v>0.0</v>
      </c>
      <c r="CZ564" s="156">
        <v>0.0</v>
      </c>
      <c r="DA564" s="156">
        <v>0.0</v>
      </c>
      <c r="DT564" s="395">
        <v>1.0</v>
      </c>
      <c r="DU564" s="395">
        <v>0.0</v>
      </c>
      <c r="DV564" s="395">
        <v>1.0</v>
      </c>
      <c r="DW564" s="395">
        <v>0.0</v>
      </c>
      <c r="DX564" s="395">
        <v>0.0</v>
      </c>
      <c r="DY564" s="395"/>
      <c r="DZ564" s="395">
        <v>0.0</v>
      </c>
      <c r="EA564" s="395">
        <v>1.0</v>
      </c>
      <c r="EB564" s="395">
        <v>0.0</v>
      </c>
      <c r="EC564" s="395">
        <v>1.0</v>
      </c>
      <c r="ED564" s="395">
        <v>0.0</v>
      </c>
      <c r="EE564" s="395">
        <v>0.0</v>
      </c>
      <c r="EF564" s="395">
        <v>1.0</v>
      </c>
      <c r="EG564" s="156">
        <v>6.0</v>
      </c>
      <c r="EH564" s="156">
        <v>0.0</v>
      </c>
      <c r="EI564" s="156">
        <v>0.0</v>
      </c>
      <c r="EJ564" s="156">
        <v>0.0</v>
      </c>
      <c r="EK564" s="156">
        <v>0.0</v>
      </c>
      <c r="EL564" s="156">
        <v>0.0</v>
      </c>
      <c r="EM564" s="395">
        <v>0.0</v>
      </c>
      <c r="EN564" s="395">
        <v>1.0</v>
      </c>
      <c r="EO564" s="395">
        <v>0.0</v>
      </c>
      <c r="EP564" s="395">
        <v>1.0</v>
      </c>
      <c r="EQ564" s="395"/>
      <c r="ER564" s="395"/>
      <c r="ES564" s="395"/>
      <c r="ET564" s="395"/>
      <c r="EU564" s="395"/>
      <c r="EV564" s="395"/>
      <c r="EW564" s="395"/>
      <c r="EX564" s="395"/>
      <c r="EY564" s="395"/>
      <c r="EZ564" s="395">
        <v>1.0</v>
      </c>
      <c r="FA564" s="395"/>
      <c r="FB564" s="395"/>
      <c r="FC564" s="395"/>
      <c r="FD564" s="395">
        <v>1.0</v>
      </c>
      <c r="FE564" s="395"/>
      <c r="FF564" s="395"/>
      <c r="FG564" s="395"/>
      <c r="FH564" s="395"/>
      <c r="FI564" s="395"/>
      <c r="FJ564" s="395"/>
      <c r="FK564" s="395">
        <v>1.0</v>
      </c>
      <c r="FL564" s="395">
        <v>0.0</v>
      </c>
      <c r="FM564" s="395">
        <v>0.0</v>
      </c>
      <c r="FN564" s="395">
        <v>1.0</v>
      </c>
      <c r="FO564" s="395">
        <v>0.0</v>
      </c>
      <c r="FP564" s="395"/>
      <c r="FQ564" s="156">
        <v>2.0</v>
      </c>
      <c r="FR564" s="156">
        <v>0.0</v>
      </c>
      <c r="FS564" s="156">
        <v>0.0</v>
      </c>
      <c r="FT564" s="156">
        <v>0.0</v>
      </c>
      <c r="FU564" s="156">
        <v>0.0</v>
      </c>
      <c r="FV564" s="156">
        <v>0.0</v>
      </c>
      <c r="FW564" s="172"/>
      <c r="FX564" s="172"/>
      <c r="FY564" s="172"/>
      <c r="FZ564" s="172"/>
      <c r="GA564" s="172"/>
      <c r="GB564" s="172"/>
      <c r="GC564" s="172"/>
      <c r="GD564" s="172"/>
      <c r="GE564" s="172"/>
      <c r="GF564" s="172"/>
      <c r="GG564" s="172"/>
      <c r="GH564" s="172"/>
      <c r="GI564" s="172"/>
      <c r="GJ564" s="172"/>
      <c r="GK564" s="172"/>
      <c r="GL564" s="172"/>
      <c r="GM564" s="172"/>
      <c r="GN564" s="172"/>
      <c r="GO564" s="172">
        <v>1.0</v>
      </c>
      <c r="GP564" s="170"/>
      <c r="GQ564" s="172"/>
      <c r="GR564" s="172"/>
      <c r="GS564" s="172"/>
      <c r="GT564" s="172"/>
      <c r="GU564" s="172"/>
      <c r="GV564" s="172">
        <v>1.0</v>
      </c>
      <c r="GW564" s="172"/>
      <c r="GX564" s="172"/>
      <c r="GY564" s="172"/>
      <c r="GZ564" s="172"/>
      <c r="HA564" s="172"/>
      <c r="HB564" s="155">
        <v>7.0</v>
      </c>
      <c r="HC564" s="155">
        <v>0.0</v>
      </c>
      <c r="HD564" s="155">
        <v>0.0</v>
      </c>
      <c r="HE564" s="155">
        <v>0.0</v>
      </c>
      <c r="HF564" s="155">
        <v>0.0</v>
      </c>
      <c r="HG564" s="155">
        <v>0.0</v>
      </c>
      <c r="HH564" s="172">
        <v>0.0</v>
      </c>
      <c r="HI564" s="172">
        <v>1.0</v>
      </c>
      <c r="HJ564" s="172">
        <v>0.0</v>
      </c>
      <c r="HK564" s="172">
        <v>1.0</v>
      </c>
      <c r="HL564" s="172">
        <v>0.0</v>
      </c>
      <c r="HM564" s="172"/>
      <c r="HN564" s="172">
        <v>0.0</v>
      </c>
      <c r="HO564" s="172">
        <v>0.0</v>
      </c>
      <c r="HP564" s="172">
        <v>1.0</v>
      </c>
      <c r="HQ564" s="172">
        <v>0.0</v>
      </c>
      <c r="HR564" s="172"/>
      <c r="HS564" s="172">
        <v>0.0</v>
      </c>
      <c r="HT564" s="172"/>
      <c r="HU564" s="172">
        <v>0.0</v>
      </c>
      <c r="HV564" s="172">
        <v>0.0</v>
      </c>
      <c r="HW564" s="172">
        <v>1.0</v>
      </c>
      <c r="HX564" s="172">
        <v>0.0</v>
      </c>
      <c r="HY564" s="172"/>
      <c r="HZ564" s="172">
        <v>0.0</v>
      </c>
      <c r="IA564" s="172"/>
      <c r="IB564" s="172">
        <v>0.0</v>
      </c>
      <c r="IC564" s="172">
        <v>0.0</v>
      </c>
      <c r="ID564" s="172">
        <v>1.0</v>
      </c>
      <c r="IE564" s="172">
        <v>0.0</v>
      </c>
      <c r="IF564" s="172"/>
      <c r="IG564" s="172">
        <v>0.0</v>
      </c>
      <c r="IH564" s="172">
        <v>1.0</v>
      </c>
      <c r="II564" s="172">
        <v>0.0</v>
      </c>
      <c r="IJ564" s="172">
        <v>0.0</v>
      </c>
      <c r="IK564" s="172">
        <v>1.0</v>
      </c>
      <c r="IL564" s="159">
        <v>3.0</v>
      </c>
      <c r="IM564" s="156">
        <v>0.0</v>
      </c>
      <c r="IN564" s="156">
        <v>0.0</v>
      </c>
      <c r="IO564" s="156">
        <v>0.0</v>
      </c>
      <c r="IP564" s="156">
        <v>0.0</v>
      </c>
      <c r="IQ564" s="160">
        <v>0.0</v>
      </c>
      <c r="IR564" s="172">
        <v>0.0</v>
      </c>
      <c r="IS564" s="172"/>
      <c r="IT564" s="172">
        <v>0.0</v>
      </c>
      <c r="IU564" s="172"/>
      <c r="IV564" s="172">
        <v>0.0</v>
      </c>
      <c r="IW564" s="172">
        <v>0.0</v>
      </c>
      <c r="IX564" s="172"/>
      <c r="IY564" s="172">
        <v>0.0</v>
      </c>
      <c r="IZ564" s="172">
        <v>1.0</v>
      </c>
      <c r="JA564" s="172">
        <v>0.0</v>
      </c>
      <c r="JB564" s="172"/>
      <c r="JC564" s="172">
        <v>0.0</v>
      </c>
      <c r="JD564" s="172">
        <v>0.0</v>
      </c>
      <c r="JE564" s="172">
        <v>1.0</v>
      </c>
      <c r="JF564" s="172">
        <v>0.0</v>
      </c>
      <c r="JG564" s="172"/>
      <c r="JH564" s="170">
        <v>0.0</v>
      </c>
      <c r="JI564" s="172"/>
      <c r="JJ564" s="172"/>
      <c r="JK564" s="172"/>
      <c r="JL564" s="172"/>
      <c r="JM564" s="172"/>
      <c r="JN564" s="172"/>
      <c r="JO564" s="172"/>
      <c r="JP564" s="172"/>
      <c r="JQ564" s="172"/>
      <c r="JR564" s="172"/>
      <c r="JS564" s="172">
        <v>1.0</v>
      </c>
      <c r="JT564" s="172"/>
      <c r="JU564" s="172"/>
      <c r="JV564" s="172"/>
      <c r="JW564" s="159">
        <v>2.0</v>
      </c>
      <c r="JX564" s="156">
        <v>0.0</v>
      </c>
      <c r="JY564" s="156">
        <v>0.0</v>
      </c>
      <c r="JZ564" s="156">
        <v>0.0</v>
      </c>
      <c r="KA564" s="156">
        <v>0.0</v>
      </c>
      <c r="KB564" s="160">
        <v>0.0</v>
      </c>
      <c r="KC564" s="172"/>
      <c r="KD564" s="172"/>
      <c r="KE564" s="172"/>
      <c r="KF564" s="172">
        <v>1.0</v>
      </c>
      <c r="KG564" s="172"/>
      <c r="KH564" s="172"/>
      <c r="KI564" s="172"/>
      <c r="KJ564" s="172"/>
      <c r="KK564" s="172"/>
      <c r="KL564" s="172"/>
      <c r="KM564" s="172"/>
      <c r="KN564" s="172"/>
      <c r="KO564" s="172"/>
      <c r="KP564" s="172"/>
      <c r="KQ564" s="172"/>
      <c r="KR564" s="172"/>
      <c r="KS564" s="432"/>
      <c r="KT564" s="172">
        <v>1.0</v>
      </c>
      <c r="KU564" s="172"/>
      <c r="KV564" s="172"/>
      <c r="KW564" s="172"/>
      <c r="KX564" s="172"/>
      <c r="KY564" s="172"/>
      <c r="KZ564" s="172"/>
      <c r="LA564" s="172"/>
      <c r="LB564" s="172"/>
      <c r="LC564" s="172"/>
      <c r="LD564" s="172"/>
      <c r="LE564" s="172"/>
      <c r="LF564" s="172"/>
      <c r="LG564" s="172"/>
      <c r="LH564" s="159">
        <f t="shared" si="10"/>
        <v>7</v>
      </c>
      <c r="LI564" s="156">
        <f t="shared" si="11"/>
        <v>0</v>
      </c>
      <c r="LJ564" s="156">
        <f t="shared" si="12"/>
        <v>0</v>
      </c>
      <c r="LK564" s="156">
        <f t="shared" si="13"/>
        <v>0</v>
      </c>
      <c r="LL564" s="156">
        <f t="shared" si="14"/>
        <v>0</v>
      </c>
      <c r="LM564" s="160">
        <f t="shared" si="15"/>
        <v>0</v>
      </c>
      <c r="LW564" s="12">
        <f t="shared" ref="LW564:MQ564" si="37">IFS(TODAY()&lt;=LC$2,0,WEEKDAY(LC$2)=2,0,WEEKDAY(LC$2)=3,1,WEEKDAY(LC$2)=4,0,WEEKDAY(LC$2)=5,1,WEEKDAY(LC$2)=6,0,WEEKDAY(LC$2)=7,1,WEEKDAY(LC$2)=1,0)</f>
        <v>1</v>
      </c>
      <c r="LX564" s="12">
        <f t="shared" si="37"/>
        <v>0</v>
      </c>
      <c r="LY564" s="12">
        <f t="shared" si="37"/>
        <v>1</v>
      </c>
      <c r="LZ564" s="12">
        <f t="shared" si="37"/>
        <v>0</v>
      </c>
      <c r="MA564" s="12">
        <f t="shared" si="37"/>
        <v>0</v>
      </c>
      <c r="MB564" s="12">
        <f t="shared" si="37"/>
        <v>0</v>
      </c>
      <c r="MC564" s="12">
        <f t="shared" si="37"/>
        <v>0</v>
      </c>
      <c r="MD564" s="12">
        <f t="shared" si="37"/>
        <v>0</v>
      </c>
      <c r="ME564" s="12">
        <f t="shared" si="37"/>
        <v>0</v>
      </c>
      <c r="MF564" s="12">
        <f t="shared" si="37"/>
        <v>0</v>
      </c>
      <c r="MG564" s="12">
        <f t="shared" si="37"/>
        <v>0</v>
      </c>
      <c r="MH564" s="12">
        <f t="shared" si="37"/>
        <v>1</v>
      </c>
      <c r="MI564" s="12">
        <f t="shared" si="37"/>
        <v>0</v>
      </c>
      <c r="MJ564" s="12">
        <f t="shared" si="37"/>
        <v>1</v>
      </c>
      <c r="MK564" s="12">
        <f t="shared" si="37"/>
        <v>0</v>
      </c>
      <c r="ML564" s="12">
        <f t="shared" si="37"/>
        <v>1</v>
      </c>
      <c r="MM564" s="12">
        <f t="shared" si="37"/>
        <v>0</v>
      </c>
      <c r="MN564" s="12">
        <f t="shared" si="37"/>
        <v>0</v>
      </c>
      <c r="MO564" s="12">
        <f t="shared" si="37"/>
        <v>1</v>
      </c>
      <c r="MP564" s="12">
        <f t="shared" si="37"/>
        <v>0</v>
      </c>
      <c r="MQ564" s="12">
        <f t="shared" si="37"/>
        <v>1</v>
      </c>
      <c r="QX564" s="571">
        <v>46094.0</v>
      </c>
    </row>
    <row r="565">
      <c r="A565" s="58"/>
      <c r="B565" s="58"/>
      <c r="C565" s="12"/>
      <c r="D565" s="12"/>
      <c r="E565" s="58"/>
      <c r="F565" s="12"/>
      <c r="G565" s="12"/>
      <c r="H565" s="12"/>
      <c r="I565" s="143">
        <f t="shared" si="22"/>
        <v>-36</v>
      </c>
      <c r="J565" s="537">
        <v>46099.0</v>
      </c>
      <c r="K565" s="184" t="s">
        <v>48</v>
      </c>
      <c r="L565" s="108"/>
      <c r="M565" s="86" t="s">
        <v>435</v>
      </c>
      <c r="N565" s="188">
        <v>357.0</v>
      </c>
      <c r="O565" s="86">
        <v>30.0</v>
      </c>
      <c r="U565" s="162" t="s">
        <v>1338</v>
      </c>
      <c r="V565" s="538" t="s">
        <v>1981</v>
      </c>
      <c r="W565" s="185" t="s">
        <v>3469</v>
      </c>
      <c r="X565" s="140"/>
      <c r="Y565" s="166">
        <f t="shared" si="23"/>
        <v>36</v>
      </c>
      <c r="Z565" s="26">
        <f t="shared" si="7"/>
        <v>0</v>
      </c>
      <c r="AA565" s="26">
        <f t="shared" si="8"/>
        <v>0</v>
      </c>
      <c r="AB565" s="26">
        <f t="shared" si="9"/>
        <v>0</v>
      </c>
      <c r="AC565" s="155">
        <v>0.0</v>
      </c>
      <c r="AD565" s="155">
        <v>0.0</v>
      </c>
      <c r="AE565" s="155">
        <v>0.0</v>
      </c>
      <c r="AF565" s="155">
        <v>0.0</v>
      </c>
      <c r="AG565" s="155">
        <v>0.0</v>
      </c>
      <c r="AH565" s="155">
        <v>0.0</v>
      </c>
      <c r="BN565" s="155">
        <v>0.0</v>
      </c>
      <c r="BO565" s="155">
        <v>0.0</v>
      </c>
      <c r="BP565" s="155">
        <v>0.0</v>
      </c>
      <c r="BQ565" s="155">
        <v>0.0</v>
      </c>
      <c r="BR565" s="155">
        <v>0.0</v>
      </c>
      <c r="BS565" s="155">
        <v>0.0</v>
      </c>
      <c r="CV565" s="156">
        <v>4.0</v>
      </c>
      <c r="CW565" s="156">
        <v>0.0</v>
      </c>
      <c r="CX565" s="156">
        <v>0.0</v>
      </c>
      <c r="CY565" s="156">
        <v>0.0</v>
      </c>
      <c r="CZ565" s="156">
        <v>0.0</v>
      </c>
      <c r="DA565" s="156">
        <v>0.0</v>
      </c>
      <c r="DS565" s="174">
        <v>1.0</v>
      </c>
      <c r="DT565" s="174">
        <v>0.0</v>
      </c>
      <c r="DU565" s="174"/>
      <c r="DV565" s="174">
        <v>0.0</v>
      </c>
      <c r="DW565" s="174">
        <v>0.0</v>
      </c>
      <c r="DX565" s="174">
        <v>1.0</v>
      </c>
      <c r="DY565" s="174">
        <v>0.0</v>
      </c>
      <c r="DZ565" s="174">
        <v>1.0</v>
      </c>
      <c r="EA565" s="174">
        <v>0.0</v>
      </c>
      <c r="EB565" s="174">
        <v>1.0</v>
      </c>
      <c r="EC565" s="174"/>
      <c r="ED565" s="174"/>
      <c r="EE565" s="174"/>
      <c r="EF565" s="174"/>
      <c r="EG565" s="156">
        <v>9.0</v>
      </c>
      <c r="EH565" s="156">
        <v>0.0</v>
      </c>
      <c r="EI565" s="156">
        <v>0.0</v>
      </c>
      <c r="EJ565" s="156">
        <v>0.0</v>
      </c>
      <c r="EK565" s="156">
        <v>0.0</v>
      </c>
      <c r="EL565" s="156">
        <v>0.0</v>
      </c>
      <c r="EM565" s="174">
        <v>1.0</v>
      </c>
      <c r="EN565" s="174"/>
      <c r="EO565" s="174"/>
      <c r="EP565" s="174"/>
      <c r="EQ565" s="174"/>
      <c r="ER565" s="174">
        <v>1.0</v>
      </c>
      <c r="ES565" s="174">
        <v>0.0</v>
      </c>
      <c r="ET565" s="174">
        <v>1.0</v>
      </c>
      <c r="EU565" s="174"/>
      <c r="EV565" s="174"/>
      <c r="EW565" s="174"/>
      <c r="EX565" s="174"/>
      <c r="EY565" s="174">
        <v>1.0</v>
      </c>
      <c r="EZ565" s="174">
        <v>0.0</v>
      </c>
      <c r="FA565" s="174">
        <v>1.0</v>
      </c>
      <c r="FB565" s="174">
        <v>0.0</v>
      </c>
      <c r="FC565" s="174">
        <v>1.0</v>
      </c>
      <c r="FD565" s="174">
        <v>0.0</v>
      </c>
      <c r="FE565" s="174">
        <v>0.0</v>
      </c>
      <c r="FF565" s="174">
        <v>1.0</v>
      </c>
      <c r="FG565" s="174"/>
      <c r="FH565" s="174"/>
      <c r="FI565" s="174"/>
      <c r="FJ565" s="174">
        <v>1.0</v>
      </c>
      <c r="FK565" s="174"/>
      <c r="FL565" s="174"/>
      <c r="FM565" s="174"/>
      <c r="FN565" s="174"/>
      <c r="FO565" s="174">
        <v>1.0</v>
      </c>
      <c r="FP565" s="174">
        <v>0.0</v>
      </c>
      <c r="FQ565" s="156">
        <v>9.0</v>
      </c>
      <c r="FR565" s="156">
        <v>0.0</v>
      </c>
      <c r="FS565" s="156">
        <v>0.0</v>
      </c>
      <c r="FT565" s="156">
        <v>0.0</v>
      </c>
      <c r="FU565" s="156">
        <v>0.0</v>
      </c>
      <c r="FV565" s="156">
        <v>0.0</v>
      </c>
      <c r="FW565" s="172"/>
      <c r="FX565" s="172"/>
      <c r="FY565" s="172"/>
      <c r="FZ565" s="172">
        <v>1.0</v>
      </c>
      <c r="GA565" s="172"/>
      <c r="GB565" s="172">
        <v>1.0</v>
      </c>
      <c r="GC565" s="172"/>
      <c r="GD565" s="172"/>
      <c r="GE565" s="172"/>
      <c r="GF565" s="172"/>
      <c r="GG565" s="172">
        <v>1.0</v>
      </c>
      <c r="GH565" s="172"/>
      <c r="GI565" s="172">
        <v>1.0</v>
      </c>
      <c r="GJ565" s="172"/>
      <c r="GK565" s="172">
        <v>1.0</v>
      </c>
      <c r="GL565" s="172"/>
      <c r="GM565" s="172"/>
      <c r="GN565" s="172"/>
      <c r="GO565" s="172"/>
      <c r="GP565" s="170">
        <v>1.0</v>
      </c>
      <c r="GQ565" s="172"/>
      <c r="GR565" s="172">
        <v>1.0</v>
      </c>
      <c r="GS565" s="172"/>
      <c r="GT565" s="172"/>
      <c r="GU565" s="172">
        <v>1.0</v>
      </c>
      <c r="GV565" s="172"/>
      <c r="GW565" s="172">
        <v>1.0</v>
      </c>
      <c r="GX565" s="172"/>
      <c r="GY565" s="172"/>
      <c r="GZ565" s="172"/>
      <c r="HA565" s="172"/>
      <c r="HB565" s="155">
        <v>5.0</v>
      </c>
      <c r="HC565" s="155">
        <v>0.0</v>
      </c>
      <c r="HD565" s="155">
        <v>0.0</v>
      </c>
      <c r="HE565" s="155">
        <v>0.0</v>
      </c>
      <c r="HF565" s="155">
        <v>0.0</v>
      </c>
      <c r="HG565" s="155">
        <v>0.0</v>
      </c>
      <c r="HH565" s="172"/>
      <c r="HI565" s="172"/>
      <c r="HJ565" s="172"/>
      <c r="HK565" s="172"/>
      <c r="HL565" s="172"/>
      <c r="HM565" s="172"/>
      <c r="HN565" s="172"/>
      <c r="HO565" s="172">
        <v>1.0</v>
      </c>
      <c r="HP565" s="172"/>
      <c r="HQ565" s="172">
        <v>0.0</v>
      </c>
      <c r="HR565" s="172"/>
      <c r="HS565" s="172">
        <v>1.0</v>
      </c>
      <c r="HT565" s="172"/>
      <c r="HU565" s="172">
        <v>0.0</v>
      </c>
      <c r="HV565" s="172">
        <v>0.0</v>
      </c>
      <c r="HW565" s="172"/>
      <c r="HX565" s="172">
        <v>0.0</v>
      </c>
      <c r="HY565" s="172"/>
      <c r="HZ565" s="172">
        <v>0.0</v>
      </c>
      <c r="IA565" s="172"/>
      <c r="IB565" s="172">
        <v>0.0</v>
      </c>
      <c r="IC565" s="172">
        <v>1.0</v>
      </c>
      <c r="ID565" s="172"/>
      <c r="IE565" s="172">
        <v>1.0</v>
      </c>
      <c r="IF565" s="172"/>
      <c r="IG565" s="172">
        <v>0.0</v>
      </c>
      <c r="IH565" s="172"/>
      <c r="II565" s="172">
        <v>0.0</v>
      </c>
      <c r="IJ565" s="172">
        <v>1.0</v>
      </c>
      <c r="IK565" s="172"/>
      <c r="IL565" s="159">
        <v>2.0</v>
      </c>
      <c r="IM565" s="156">
        <v>0.0</v>
      </c>
      <c r="IN565" s="156">
        <v>0.0</v>
      </c>
      <c r="IO565" s="156">
        <v>0.0</v>
      </c>
      <c r="IP565" s="156">
        <v>0.0</v>
      </c>
      <c r="IQ565" s="160">
        <v>0.0</v>
      </c>
      <c r="IR565" s="172">
        <v>1.0</v>
      </c>
      <c r="IS565" s="172"/>
      <c r="IT565" s="172">
        <v>0.0</v>
      </c>
      <c r="IU565" s="172"/>
      <c r="IV565" s="172">
        <v>0.0</v>
      </c>
      <c r="IW565" s="172">
        <v>1.0</v>
      </c>
      <c r="IX565" s="172"/>
      <c r="IY565" s="172">
        <v>0.0</v>
      </c>
      <c r="IZ565" s="172"/>
      <c r="JA565" s="172">
        <v>0.0</v>
      </c>
      <c r="JB565" s="172"/>
      <c r="JC565" s="172">
        <v>0.0</v>
      </c>
      <c r="JD565" s="172">
        <v>0.0</v>
      </c>
      <c r="JE565" s="172"/>
      <c r="JF565" s="172">
        <v>0.0</v>
      </c>
      <c r="JG565" s="172"/>
      <c r="JH565" s="170">
        <v>0.0</v>
      </c>
      <c r="JI565" s="172"/>
      <c r="JJ565" s="172"/>
      <c r="JK565" s="172"/>
      <c r="JL565" s="172"/>
      <c r="JM565" s="172"/>
      <c r="JN565" s="172"/>
      <c r="JO565" s="172"/>
      <c r="JP565" s="172"/>
      <c r="JQ565" s="172"/>
      <c r="JR565" s="172"/>
      <c r="JS565" s="172"/>
      <c r="JT565" s="172"/>
      <c r="JU565" s="172"/>
      <c r="JV565" s="172"/>
      <c r="JW565" s="159">
        <v>0.0</v>
      </c>
      <c r="JX565" s="156">
        <v>0.0</v>
      </c>
      <c r="JY565" s="156">
        <v>0.0</v>
      </c>
      <c r="JZ565" s="156">
        <v>0.0</v>
      </c>
      <c r="KA565" s="156">
        <v>0.0</v>
      </c>
      <c r="KB565" s="160">
        <v>0.0</v>
      </c>
      <c r="KC565" s="172"/>
      <c r="KD565" s="172"/>
      <c r="KE565" s="172"/>
      <c r="KF565" s="172"/>
      <c r="KG565" s="172"/>
      <c r="KH565" s="172"/>
      <c r="KI565" s="172"/>
      <c r="KJ565" s="172"/>
      <c r="KK565" s="172"/>
      <c r="KL565" s="172"/>
      <c r="KM565" s="172"/>
      <c r="KN565" s="172"/>
      <c r="KO565" s="172"/>
      <c r="KP565" s="172"/>
      <c r="KQ565" s="172"/>
      <c r="KR565" s="172"/>
      <c r="KS565" s="432"/>
      <c r="KT565" s="172"/>
      <c r="KU565" s="172"/>
      <c r="KV565" s="172"/>
      <c r="KW565" s="172"/>
      <c r="KX565" s="172"/>
      <c r="KY565" s="172"/>
      <c r="KZ565" s="172"/>
      <c r="LA565" s="172"/>
      <c r="LB565" s="172"/>
      <c r="LC565" s="172"/>
      <c r="LD565" s="172"/>
      <c r="LE565" s="172"/>
      <c r="LF565" s="172"/>
      <c r="LG565" s="172"/>
      <c r="LH565" s="159">
        <f t="shared" si="10"/>
        <v>7</v>
      </c>
      <c r="LI565" s="156">
        <f t="shared" si="11"/>
        <v>0</v>
      </c>
      <c r="LJ565" s="156">
        <f t="shared" si="12"/>
        <v>0</v>
      </c>
      <c r="LK565" s="156">
        <f t="shared" si="13"/>
        <v>0</v>
      </c>
      <c r="LL565" s="156">
        <f t="shared" si="14"/>
        <v>0</v>
      </c>
      <c r="LM565" s="160">
        <f t="shared" si="15"/>
        <v>0</v>
      </c>
      <c r="LW565" s="12">
        <f t="shared" ref="LW565:MQ565" si="38">IFS(TODAY()&lt;=LC$2,0,WEEKDAY(LC$2)=2,0,WEEKDAY(LC$2)=3,1,WEEKDAY(LC$2)=4,0,WEEKDAY(LC$2)=5,1,WEEKDAY(LC$2)=6,0,WEEKDAY(LC$2)=7,1,WEEKDAY(LC$2)=1,0)</f>
        <v>1</v>
      </c>
      <c r="LX565" s="12">
        <f t="shared" si="38"/>
        <v>0</v>
      </c>
      <c r="LY565" s="12">
        <f t="shared" si="38"/>
        <v>1</v>
      </c>
      <c r="LZ565" s="12">
        <f t="shared" si="38"/>
        <v>0</v>
      </c>
      <c r="MA565" s="12">
        <f t="shared" si="38"/>
        <v>0</v>
      </c>
      <c r="MB565" s="12">
        <f t="shared" si="38"/>
        <v>0</v>
      </c>
      <c r="MC565" s="12">
        <f t="shared" si="38"/>
        <v>0</v>
      </c>
      <c r="MD565" s="12">
        <f t="shared" si="38"/>
        <v>0</v>
      </c>
      <c r="ME565" s="12">
        <f t="shared" si="38"/>
        <v>0</v>
      </c>
      <c r="MF565" s="12">
        <f t="shared" si="38"/>
        <v>0</v>
      </c>
      <c r="MG565" s="12">
        <f t="shared" si="38"/>
        <v>0</v>
      </c>
      <c r="MH565" s="12">
        <f t="shared" si="38"/>
        <v>1</v>
      </c>
      <c r="MI565" s="12">
        <f t="shared" si="38"/>
        <v>0</v>
      </c>
      <c r="MJ565" s="12">
        <f t="shared" si="38"/>
        <v>1</v>
      </c>
      <c r="MK565" s="12">
        <f t="shared" si="38"/>
        <v>0</v>
      </c>
      <c r="ML565" s="12">
        <f t="shared" si="38"/>
        <v>1</v>
      </c>
      <c r="MM565" s="12">
        <f t="shared" si="38"/>
        <v>0</v>
      </c>
      <c r="MN565" s="12">
        <f t="shared" si="38"/>
        <v>0</v>
      </c>
      <c r="MO565" s="12">
        <f t="shared" si="38"/>
        <v>1</v>
      </c>
      <c r="MP565" s="12">
        <f t="shared" si="38"/>
        <v>0</v>
      </c>
      <c r="MQ565" s="12">
        <f t="shared" si="38"/>
        <v>1</v>
      </c>
      <c r="QX565" s="571">
        <v>46094.0</v>
      </c>
    </row>
    <row r="566">
      <c r="A566" s="12"/>
      <c r="B566" s="12"/>
      <c r="C566" s="12"/>
      <c r="D566" s="12"/>
      <c r="E566" s="12"/>
      <c r="F566" s="12"/>
      <c r="G566" s="12"/>
      <c r="H566" s="12"/>
      <c r="I566" s="143">
        <f t="shared" si="22"/>
        <v>-15</v>
      </c>
      <c r="J566" s="537">
        <v>46101.0</v>
      </c>
      <c r="K566" s="180" t="s">
        <v>53</v>
      </c>
      <c r="L566" s="23">
        <v>46137.0</v>
      </c>
      <c r="M566" s="86" t="s">
        <v>3470</v>
      </c>
      <c r="N566" s="86">
        <v>246.0</v>
      </c>
      <c r="O566" s="86">
        <v>30.0</v>
      </c>
      <c r="U566" s="162" t="s">
        <v>1466</v>
      </c>
      <c r="V566" s="538" t="s">
        <v>1757</v>
      </c>
      <c r="W566" s="125" t="s">
        <v>3471</v>
      </c>
      <c r="X566" s="140"/>
      <c r="Y566" s="166">
        <f t="shared" si="23"/>
        <v>15</v>
      </c>
      <c r="Z566" s="26">
        <f t="shared" si="7"/>
        <v>0</v>
      </c>
      <c r="AA566" s="26">
        <f t="shared" si="8"/>
        <v>0</v>
      </c>
      <c r="AB566" s="26">
        <f t="shared" si="9"/>
        <v>0</v>
      </c>
      <c r="AC566" s="155">
        <v>0.0</v>
      </c>
      <c r="AD566" s="155">
        <v>0.0</v>
      </c>
      <c r="AE566" s="155">
        <v>0.0</v>
      </c>
      <c r="AF566" s="155">
        <v>0.0</v>
      </c>
      <c r="AG566" s="155">
        <v>0.0</v>
      </c>
      <c r="AH566" s="155">
        <v>0.0</v>
      </c>
      <c r="BN566" s="155">
        <v>0.0</v>
      </c>
      <c r="BO566" s="155">
        <v>0.0</v>
      </c>
      <c r="BP566" s="155">
        <v>0.0</v>
      </c>
      <c r="BQ566" s="155">
        <v>0.0</v>
      </c>
      <c r="BR566" s="155">
        <v>0.0</v>
      </c>
      <c r="BS566" s="155">
        <v>0.0</v>
      </c>
      <c r="CV566" s="156">
        <v>5.0</v>
      </c>
      <c r="CW566" s="156">
        <v>0.0</v>
      </c>
      <c r="CX566" s="156">
        <v>0.0</v>
      </c>
      <c r="CY566" s="156">
        <v>0.0</v>
      </c>
      <c r="CZ566" s="156">
        <v>0.0</v>
      </c>
      <c r="DA566" s="156">
        <v>0.0</v>
      </c>
      <c r="DU566" s="174">
        <v>1.0</v>
      </c>
      <c r="DV566" s="174">
        <v>0.0</v>
      </c>
      <c r="DW566" s="174">
        <v>0.0</v>
      </c>
      <c r="DX566" s="174">
        <v>1.0</v>
      </c>
      <c r="DY566" s="174">
        <v>0.0</v>
      </c>
      <c r="DZ566" s="174">
        <v>1.0</v>
      </c>
      <c r="EA566" s="174">
        <v>0.0</v>
      </c>
      <c r="EB566" s="174">
        <v>1.0</v>
      </c>
      <c r="EC566" s="174">
        <v>0.0</v>
      </c>
      <c r="ED566" s="174">
        <v>0.0</v>
      </c>
      <c r="EE566" s="174">
        <v>1.0</v>
      </c>
      <c r="EF566" s="174">
        <v>0.0</v>
      </c>
      <c r="EG566" s="156">
        <v>10.0</v>
      </c>
      <c r="EH566" s="156">
        <v>0.0</v>
      </c>
      <c r="EI566" s="156">
        <v>0.0</v>
      </c>
      <c r="EJ566" s="156">
        <v>0.0</v>
      </c>
      <c r="EK566" s="156">
        <v>0.0</v>
      </c>
      <c r="EL566" s="156">
        <v>0.0</v>
      </c>
      <c r="EM566" s="174">
        <v>1.0</v>
      </c>
      <c r="EN566" s="174">
        <v>0.0</v>
      </c>
      <c r="EO566" s="174">
        <v>1.0</v>
      </c>
      <c r="EP566" s="174">
        <v>0.0</v>
      </c>
      <c r="EQ566" s="174">
        <v>0.0</v>
      </c>
      <c r="ER566" s="174">
        <v>1.0</v>
      </c>
      <c r="ES566" s="174"/>
      <c r="ET566" s="174"/>
      <c r="EU566" s="174"/>
      <c r="EV566" s="174">
        <v>1.0</v>
      </c>
      <c r="EW566" s="174">
        <v>0.0</v>
      </c>
      <c r="EX566" s="174">
        <v>0.0</v>
      </c>
      <c r="EY566" s="174">
        <v>1.0</v>
      </c>
      <c r="EZ566" s="174">
        <v>0.0</v>
      </c>
      <c r="FA566" s="174">
        <v>1.0</v>
      </c>
      <c r="FB566" s="174">
        <v>0.0</v>
      </c>
      <c r="FC566" s="174">
        <v>1.0</v>
      </c>
      <c r="FD566" s="174">
        <v>0.0</v>
      </c>
      <c r="FE566" s="174">
        <v>0.0</v>
      </c>
      <c r="FF566" s="174">
        <v>1.0</v>
      </c>
      <c r="FG566" s="174">
        <v>0.0</v>
      </c>
      <c r="FH566" s="174">
        <v>1.0</v>
      </c>
      <c r="FI566" s="174">
        <v>0.0</v>
      </c>
      <c r="FJ566" s="174">
        <v>1.0</v>
      </c>
      <c r="FK566" s="174"/>
      <c r="FL566" s="174"/>
      <c r="FM566" s="174"/>
      <c r="FN566" s="174"/>
      <c r="FO566" s="174"/>
      <c r="FP566" s="174"/>
      <c r="FQ566" s="156">
        <v>0.0</v>
      </c>
      <c r="FR566" s="156">
        <v>0.0</v>
      </c>
      <c r="FS566" s="156">
        <v>0.0</v>
      </c>
      <c r="FT566" s="156">
        <v>0.0</v>
      </c>
      <c r="FU566" s="156">
        <v>0.0</v>
      </c>
      <c r="FV566" s="156">
        <v>0.0</v>
      </c>
      <c r="FW566" s="157"/>
      <c r="FX566" s="157"/>
      <c r="FY566" s="157"/>
      <c r="FZ566" s="157"/>
      <c r="GA566" s="157"/>
      <c r="GB566" s="157"/>
      <c r="GC566" s="157"/>
      <c r="GD566" s="157"/>
      <c r="GE566" s="157"/>
      <c r="GF566" s="157"/>
      <c r="GG566" s="157"/>
      <c r="GH566" s="157"/>
      <c r="GI566" s="157"/>
      <c r="GJ566" s="157"/>
      <c r="GK566" s="157"/>
      <c r="GL566" s="157"/>
      <c r="GM566" s="157"/>
      <c r="GN566" s="157"/>
      <c r="GO566" s="157"/>
      <c r="GP566" s="158"/>
      <c r="GQ566" s="157"/>
      <c r="GR566" s="157"/>
      <c r="GS566" s="157"/>
      <c r="GT566" s="157"/>
      <c r="GU566" s="157"/>
      <c r="GV566" s="157"/>
      <c r="GW566" s="157"/>
      <c r="GX566" s="157"/>
      <c r="GY566" s="157"/>
      <c r="GZ566" s="157"/>
      <c r="HA566" s="157"/>
      <c r="HB566" s="155">
        <v>0.0</v>
      </c>
      <c r="HC566" s="155">
        <v>0.0</v>
      </c>
      <c r="HD566" s="155">
        <v>0.0</v>
      </c>
      <c r="HE566" s="155">
        <v>0.0</v>
      </c>
      <c r="HF566" s="155">
        <v>0.0</v>
      </c>
      <c r="HG566" s="155">
        <v>0.0</v>
      </c>
      <c r="IL566" s="159">
        <v>0.0</v>
      </c>
      <c r="IM566" s="156">
        <v>0.0</v>
      </c>
      <c r="IN566" s="156">
        <v>0.0</v>
      </c>
      <c r="IO566" s="156">
        <v>0.0</v>
      </c>
      <c r="IP566" s="156">
        <v>0.0</v>
      </c>
      <c r="IQ566" s="160">
        <v>0.0</v>
      </c>
      <c r="JH566" s="25"/>
      <c r="JW566" s="159">
        <v>0.0</v>
      </c>
      <c r="JX566" s="156">
        <v>0.0</v>
      </c>
      <c r="JY566" s="156">
        <v>0.0</v>
      </c>
      <c r="JZ566" s="156">
        <v>0.0</v>
      </c>
      <c r="KA566" s="156">
        <v>0.0</v>
      </c>
      <c r="KB566" s="160">
        <v>0.0</v>
      </c>
      <c r="LH566" s="159">
        <f t="shared" si="10"/>
        <v>0</v>
      </c>
      <c r="LI566" s="156">
        <f t="shared" si="11"/>
        <v>0</v>
      </c>
      <c r="LJ566" s="156">
        <f t="shared" si="12"/>
        <v>0</v>
      </c>
      <c r="LK566" s="156">
        <f t="shared" si="13"/>
        <v>0</v>
      </c>
      <c r="LL566" s="156">
        <f t="shared" si="14"/>
        <v>0</v>
      </c>
      <c r="LM566" s="160">
        <f t="shared" si="15"/>
        <v>0</v>
      </c>
      <c r="QX566" s="571">
        <v>46094.0</v>
      </c>
    </row>
    <row r="567">
      <c r="A567" s="12"/>
      <c r="B567" s="12"/>
      <c r="C567" s="12"/>
      <c r="D567" s="12"/>
      <c r="E567" s="12"/>
      <c r="F567" s="12"/>
      <c r="G567" s="12"/>
      <c r="H567" s="12"/>
      <c r="I567" s="143">
        <f t="shared" si="22"/>
        <v>-21</v>
      </c>
      <c r="J567" s="537">
        <v>46104.0</v>
      </c>
      <c r="K567" s="164" t="s">
        <v>61</v>
      </c>
      <c r="L567" s="23">
        <v>46163.0</v>
      </c>
      <c r="M567" s="86" t="s">
        <v>1985</v>
      </c>
      <c r="N567" s="188">
        <v>246.0</v>
      </c>
      <c r="O567" s="86">
        <v>30.0</v>
      </c>
      <c r="U567" s="162" t="s">
        <v>1552</v>
      </c>
      <c r="V567" s="538" t="s">
        <v>1553</v>
      </c>
      <c r="W567" s="125" t="s">
        <v>3472</v>
      </c>
      <c r="X567" s="140"/>
      <c r="Y567" s="166">
        <f t="shared" si="23"/>
        <v>21</v>
      </c>
      <c r="Z567" s="26">
        <f t="shared" si="7"/>
        <v>0</v>
      </c>
      <c r="AA567" s="26">
        <f t="shared" si="8"/>
        <v>0</v>
      </c>
      <c r="AB567" s="26">
        <f t="shared" si="9"/>
        <v>0</v>
      </c>
      <c r="AC567" s="155">
        <v>0.0</v>
      </c>
      <c r="AD567" s="155">
        <v>0.0</v>
      </c>
      <c r="AE567" s="155">
        <v>0.0</v>
      </c>
      <c r="AF567" s="155">
        <v>0.0</v>
      </c>
      <c r="AG567" s="155">
        <v>0.0</v>
      </c>
      <c r="AH567" s="155">
        <v>0.0</v>
      </c>
      <c r="BN567" s="155">
        <v>0.0</v>
      </c>
      <c r="BO567" s="155">
        <v>0.0</v>
      </c>
      <c r="BP567" s="155">
        <v>0.0</v>
      </c>
      <c r="BQ567" s="155">
        <v>0.0</v>
      </c>
      <c r="BR567" s="155">
        <v>0.0</v>
      </c>
      <c r="BS567" s="155">
        <v>0.0</v>
      </c>
      <c r="CV567" s="156">
        <v>4.0</v>
      </c>
      <c r="CW567" s="156">
        <v>0.0</v>
      </c>
      <c r="CX567" s="156">
        <v>0.0</v>
      </c>
      <c r="CY567" s="156">
        <v>0.0</v>
      </c>
      <c r="CZ567" s="156">
        <v>0.0</v>
      </c>
      <c r="DA567" s="156">
        <v>0.0</v>
      </c>
      <c r="DU567" s="174"/>
      <c r="DV567" s="174"/>
      <c r="DW567" s="174"/>
      <c r="DX567" s="174">
        <v>1.0</v>
      </c>
      <c r="DY567" s="174">
        <v>0.0</v>
      </c>
      <c r="DZ567" s="174"/>
      <c r="EA567" s="175">
        <v>1.0</v>
      </c>
      <c r="EB567" s="174">
        <v>1.0</v>
      </c>
      <c r="EC567" s="174">
        <v>0.0</v>
      </c>
      <c r="ED567" s="174">
        <v>0.0</v>
      </c>
      <c r="EE567" s="174">
        <v>1.0</v>
      </c>
      <c r="EF567" s="174">
        <v>0.0</v>
      </c>
      <c r="EG567" s="156">
        <v>10.0</v>
      </c>
      <c r="EH567" s="156">
        <v>0.0</v>
      </c>
      <c r="EI567" s="156">
        <v>0.0</v>
      </c>
      <c r="EJ567" s="156">
        <v>0.0</v>
      </c>
      <c r="EK567" s="156">
        <v>0.0</v>
      </c>
      <c r="EL567" s="156">
        <v>0.0</v>
      </c>
      <c r="EM567" s="174">
        <v>1.0</v>
      </c>
      <c r="EN567" s="174">
        <v>0.0</v>
      </c>
      <c r="EO567" s="174">
        <v>1.0</v>
      </c>
      <c r="EP567" s="174">
        <v>0.0</v>
      </c>
      <c r="EQ567" s="174">
        <v>0.0</v>
      </c>
      <c r="ER567" s="174">
        <v>1.0</v>
      </c>
      <c r="ES567" s="174">
        <v>0.0</v>
      </c>
      <c r="ET567" s="174">
        <v>1.0</v>
      </c>
      <c r="EU567" s="174"/>
      <c r="EV567" s="174"/>
      <c r="EW567" s="174"/>
      <c r="EX567" s="174"/>
      <c r="EY567" s="175">
        <v>2.0</v>
      </c>
      <c r="EZ567" s="174"/>
      <c r="FA567" s="174"/>
      <c r="FB567" s="174"/>
      <c r="FC567" s="175">
        <v>1.0</v>
      </c>
      <c r="FD567" s="174"/>
      <c r="FE567" s="174"/>
      <c r="FF567" s="175">
        <v>1.0</v>
      </c>
      <c r="FG567" s="174"/>
      <c r="FH567" s="174">
        <v>1.0</v>
      </c>
      <c r="FI567" s="175">
        <v>1.0</v>
      </c>
      <c r="FJ567" s="174"/>
      <c r="FK567" s="174"/>
      <c r="FL567" s="174"/>
      <c r="FM567" s="174"/>
      <c r="FN567" s="174"/>
      <c r="FO567" s="174"/>
      <c r="FP567" s="174"/>
      <c r="FQ567" s="156">
        <v>7.0</v>
      </c>
      <c r="FR567" s="156">
        <v>0.0</v>
      </c>
      <c r="FS567" s="156">
        <v>0.0</v>
      </c>
      <c r="FT567" s="156">
        <v>0.0</v>
      </c>
      <c r="FU567" s="156">
        <v>0.0</v>
      </c>
      <c r="FV567" s="156">
        <v>0.0</v>
      </c>
      <c r="FW567" s="174"/>
      <c r="FX567" s="174"/>
      <c r="FY567" s="174"/>
      <c r="FZ567" s="174">
        <v>1.0</v>
      </c>
      <c r="GA567" s="174">
        <v>0.0</v>
      </c>
      <c r="GB567" s="174">
        <v>1.0</v>
      </c>
      <c r="GC567" s="174">
        <v>0.0</v>
      </c>
      <c r="GD567" s="174">
        <v>1.0</v>
      </c>
      <c r="GE567" s="174">
        <v>0.0</v>
      </c>
      <c r="GF567" s="174">
        <v>0.0</v>
      </c>
      <c r="GG567" s="174">
        <v>1.0</v>
      </c>
      <c r="GH567" s="174"/>
      <c r="GI567" s="175">
        <v>1.0</v>
      </c>
      <c r="GJ567" s="174"/>
      <c r="GK567" s="175">
        <v>1.0</v>
      </c>
      <c r="GL567" s="174"/>
      <c r="GM567" s="174"/>
      <c r="GN567" s="175">
        <v>1.0</v>
      </c>
      <c r="GO567" s="174"/>
      <c r="GP567" s="177"/>
      <c r="GQ567" s="174"/>
      <c r="GR567" s="175"/>
      <c r="GS567" s="174"/>
      <c r="GT567" s="174"/>
      <c r="GU567" s="174"/>
      <c r="GV567" s="174"/>
      <c r="GW567" s="174"/>
      <c r="GX567" s="174"/>
      <c r="GY567" s="174"/>
      <c r="GZ567" s="174"/>
      <c r="HA567" s="174"/>
      <c r="HB567" s="155">
        <v>0.0</v>
      </c>
      <c r="HC567" s="155">
        <v>0.0</v>
      </c>
      <c r="HD567" s="155">
        <v>0.0</v>
      </c>
      <c r="HE567" s="155">
        <v>0.0</v>
      </c>
      <c r="HF567" s="155">
        <v>0.0</v>
      </c>
      <c r="HG567" s="155">
        <v>0.0</v>
      </c>
      <c r="HH567" s="174"/>
      <c r="HI567" s="174"/>
      <c r="HJ567" s="174"/>
      <c r="HK567" s="174"/>
      <c r="HL567" s="174"/>
      <c r="HM567" s="174"/>
      <c r="HN567" s="174"/>
      <c r="HO567" s="174"/>
      <c r="HP567" s="174"/>
      <c r="HQ567" s="174"/>
      <c r="HR567" s="174"/>
      <c r="HS567" s="174"/>
      <c r="HT567" s="174"/>
      <c r="HU567" s="174"/>
      <c r="HV567" s="174"/>
      <c r="HW567" s="174"/>
      <c r="HX567" s="174"/>
      <c r="HY567" s="174"/>
      <c r="HZ567" s="174"/>
      <c r="IA567" s="174"/>
      <c r="IB567" s="174"/>
      <c r="IC567" s="174"/>
      <c r="ID567" s="174"/>
      <c r="IE567" s="174"/>
      <c r="IF567" s="174"/>
      <c r="IG567" s="174"/>
      <c r="IH567" s="174"/>
      <c r="II567" s="174"/>
      <c r="IJ567" s="174"/>
      <c r="IK567" s="174"/>
      <c r="IL567" s="159">
        <v>0.0</v>
      </c>
      <c r="IM567" s="156">
        <v>0.0</v>
      </c>
      <c r="IN567" s="156">
        <v>0.0</v>
      </c>
      <c r="IO567" s="156">
        <v>0.0</v>
      </c>
      <c r="IP567" s="156">
        <v>0.0</v>
      </c>
      <c r="IQ567" s="160">
        <v>0.0</v>
      </c>
      <c r="JH567" s="25"/>
      <c r="JW567" s="159">
        <v>0.0</v>
      </c>
      <c r="JX567" s="156">
        <v>0.0</v>
      </c>
      <c r="JY567" s="156">
        <v>0.0</v>
      </c>
      <c r="JZ567" s="156">
        <v>0.0</v>
      </c>
      <c r="KA567" s="156">
        <v>0.0</v>
      </c>
      <c r="KB567" s="160">
        <v>0.0</v>
      </c>
      <c r="LH567" s="159">
        <f t="shared" si="10"/>
        <v>0</v>
      </c>
      <c r="LI567" s="156">
        <f t="shared" si="11"/>
        <v>0</v>
      </c>
      <c r="LJ567" s="156">
        <f t="shared" si="12"/>
        <v>0</v>
      </c>
      <c r="LK567" s="156">
        <f t="shared" si="13"/>
        <v>0</v>
      </c>
      <c r="LL567" s="156">
        <f t="shared" si="14"/>
        <v>0</v>
      </c>
      <c r="LM567" s="160">
        <f t="shared" si="15"/>
        <v>0</v>
      </c>
      <c r="QX567" s="560">
        <v>46097.0</v>
      </c>
    </row>
    <row r="568">
      <c r="A568" s="12"/>
      <c r="B568" s="12"/>
      <c r="C568" s="12"/>
      <c r="D568" s="12"/>
      <c r="E568" s="12"/>
      <c r="F568" s="12"/>
      <c r="G568" s="12"/>
      <c r="H568" s="12"/>
      <c r="I568" s="143">
        <f t="shared" si="22"/>
        <v>-37</v>
      </c>
      <c r="J568" s="537">
        <v>46113.0</v>
      </c>
      <c r="K568" s="184" t="s">
        <v>48</v>
      </c>
      <c r="L568" s="23"/>
      <c r="M568" s="162" t="s">
        <v>435</v>
      </c>
      <c r="N568" s="86">
        <v>357.0</v>
      </c>
      <c r="O568" s="86">
        <v>30.0</v>
      </c>
      <c r="U568" s="162" t="s">
        <v>3020</v>
      </c>
      <c r="V568" s="538" t="s">
        <v>2889</v>
      </c>
      <c r="W568" s="185" t="s">
        <v>3473</v>
      </c>
      <c r="X568" s="140"/>
      <c r="Y568" s="166">
        <f t="shared" si="23"/>
        <v>37</v>
      </c>
      <c r="Z568" s="26">
        <f t="shared" si="7"/>
        <v>0</v>
      </c>
      <c r="AA568" s="26">
        <f t="shared" si="8"/>
        <v>0</v>
      </c>
      <c r="AB568" s="26">
        <f t="shared" si="9"/>
        <v>0</v>
      </c>
      <c r="AC568" s="155">
        <v>0.0</v>
      </c>
      <c r="AD568" s="155">
        <v>0.0</v>
      </c>
      <c r="AE568" s="155">
        <v>0.0</v>
      </c>
      <c r="AF568" s="155">
        <v>0.0</v>
      </c>
      <c r="AG568" s="155">
        <v>0.0</v>
      </c>
      <c r="AH568" s="155">
        <v>0.0</v>
      </c>
      <c r="BN568" s="155">
        <v>0.0</v>
      </c>
      <c r="BO568" s="155">
        <v>0.0</v>
      </c>
      <c r="BP568" s="155">
        <v>0.0</v>
      </c>
      <c r="BQ568" s="155">
        <v>0.0</v>
      </c>
      <c r="BR568" s="155">
        <v>0.0</v>
      </c>
      <c r="BS568" s="155">
        <v>0.0</v>
      </c>
      <c r="CV568" s="156">
        <v>0.0</v>
      </c>
      <c r="CW568" s="156">
        <v>0.0</v>
      </c>
      <c r="CX568" s="156">
        <v>0.0</v>
      </c>
      <c r="CY568" s="156">
        <v>0.0</v>
      </c>
      <c r="CZ568" s="156">
        <v>0.0</v>
      </c>
      <c r="DA568" s="156">
        <v>0.0</v>
      </c>
      <c r="DU568" s="174"/>
      <c r="DV568" s="174"/>
      <c r="DW568" s="174"/>
      <c r="DX568" s="174"/>
      <c r="DY568" s="174"/>
      <c r="DZ568" s="174"/>
      <c r="EA568" s="174"/>
      <c r="EB568" s="174"/>
      <c r="EC568" s="174"/>
      <c r="ED568" s="174"/>
      <c r="EE568" s="174"/>
      <c r="EF568" s="174"/>
      <c r="EG568" s="156">
        <v>9.0</v>
      </c>
      <c r="EH568" s="156">
        <v>0.0</v>
      </c>
      <c r="EI568" s="156">
        <v>0.0</v>
      </c>
      <c r="EJ568" s="156">
        <v>0.0</v>
      </c>
      <c r="EK568" s="156">
        <v>0.0</v>
      </c>
      <c r="EL568" s="156">
        <v>0.0</v>
      </c>
      <c r="EM568" s="174">
        <v>1.0</v>
      </c>
      <c r="EN568" s="174">
        <v>0.0</v>
      </c>
      <c r="EO568" s="174">
        <v>1.0</v>
      </c>
      <c r="EP568" s="174">
        <v>0.0</v>
      </c>
      <c r="EQ568" s="174">
        <v>0.0</v>
      </c>
      <c r="ER568" s="174">
        <v>1.0</v>
      </c>
      <c r="ES568" s="174"/>
      <c r="ET568" s="174"/>
      <c r="EU568" s="174"/>
      <c r="EV568" s="174"/>
      <c r="EW568" s="174"/>
      <c r="EX568" s="174"/>
      <c r="EY568" s="174">
        <v>1.0</v>
      </c>
      <c r="EZ568" s="174">
        <v>0.0</v>
      </c>
      <c r="FA568" s="174">
        <v>1.0</v>
      </c>
      <c r="FB568" s="174"/>
      <c r="FC568" s="174"/>
      <c r="FD568" s="174"/>
      <c r="FE568" s="174"/>
      <c r="FF568" s="174">
        <v>1.0</v>
      </c>
      <c r="FG568" s="174">
        <v>0.0</v>
      </c>
      <c r="FH568" s="174">
        <v>1.0</v>
      </c>
      <c r="FI568" s="174">
        <v>0.0</v>
      </c>
      <c r="FJ568" s="174">
        <v>1.0</v>
      </c>
      <c r="FK568" s="174"/>
      <c r="FL568" s="174"/>
      <c r="FM568" s="174"/>
      <c r="FN568" s="174"/>
      <c r="FO568" s="174">
        <v>1.0</v>
      </c>
      <c r="FP568" s="174">
        <v>0.0</v>
      </c>
      <c r="FQ568" s="156">
        <v>7.0</v>
      </c>
      <c r="FR568" s="156">
        <v>0.0</v>
      </c>
      <c r="FS568" s="156">
        <v>0.0</v>
      </c>
      <c r="FT568" s="156">
        <v>0.0</v>
      </c>
      <c r="FU568" s="156">
        <v>0.0</v>
      </c>
      <c r="FV568" s="156">
        <v>0.0</v>
      </c>
      <c r="FW568" s="174"/>
      <c r="FX568" s="174"/>
      <c r="FY568" s="174"/>
      <c r="FZ568" s="174"/>
      <c r="GA568" s="174"/>
      <c r="GB568" s="174">
        <v>1.0</v>
      </c>
      <c r="GC568" s="174">
        <v>0.0</v>
      </c>
      <c r="GD568" s="174">
        <v>1.0</v>
      </c>
      <c r="GE568" s="174">
        <v>0.0</v>
      </c>
      <c r="GF568" s="174">
        <v>0.0</v>
      </c>
      <c r="GG568" s="174"/>
      <c r="GH568" s="175">
        <v>1.0</v>
      </c>
      <c r="GI568" s="174"/>
      <c r="GJ568" s="175">
        <v>1.0</v>
      </c>
      <c r="GK568" s="174"/>
      <c r="GL568" s="175">
        <v>1.0</v>
      </c>
      <c r="GM568" s="174"/>
      <c r="GN568" s="174"/>
      <c r="GO568" s="174"/>
      <c r="GP568" s="177"/>
      <c r="GQ568" s="174"/>
      <c r="GR568" s="174"/>
      <c r="GS568" s="174"/>
      <c r="GT568" s="174"/>
      <c r="GU568" s="174"/>
      <c r="GV568" s="175">
        <v>1.0</v>
      </c>
      <c r="GW568" s="174"/>
      <c r="GX568" s="174">
        <v>0.0</v>
      </c>
      <c r="GY568" s="174"/>
      <c r="GZ568" s="175">
        <v>1.0</v>
      </c>
      <c r="HA568" s="174">
        <v>0.0</v>
      </c>
      <c r="HB568" s="155">
        <v>8.0</v>
      </c>
      <c r="HC568" s="155">
        <v>0.0</v>
      </c>
      <c r="HD568" s="155">
        <v>0.0</v>
      </c>
      <c r="HE568" s="155">
        <v>0.0</v>
      </c>
      <c r="HF568" s="155">
        <v>0.0</v>
      </c>
      <c r="HG568" s="155">
        <v>0.0</v>
      </c>
      <c r="HH568" s="174"/>
      <c r="HI568" s="175">
        <v>1.0</v>
      </c>
      <c r="HJ568" s="174"/>
      <c r="HK568" s="175">
        <v>1.0</v>
      </c>
      <c r="HL568" s="174"/>
      <c r="HM568" s="174"/>
      <c r="HN568" s="174"/>
      <c r="HO568" s="174"/>
      <c r="HP568" s="174"/>
      <c r="HQ568" s="174"/>
      <c r="HR568" s="175">
        <v>1.0</v>
      </c>
      <c r="HS568" s="174"/>
      <c r="HT568" s="174"/>
      <c r="HU568" s="174"/>
      <c r="HV568" s="174"/>
      <c r="HW568" s="175">
        <v>1.0</v>
      </c>
      <c r="HX568" s="174"/>
      <c r="HY568" s="175">
        <v>1.0</v>
      </c>
      <c r="HZ568" s="174"/>
      <c r="IA568" s="175">
        <v>1.0</v>
      </c>
      <c r="IB568" s="174"/>
      <c r="IC568" s="174"/>
      <c r="ID568" s="175">
        <v>1.0</v>
      </c>
      <c r="IE568" s="174"/>
      <c r="IF568" s="174"/>
      <c r="IG568" s="174"/>
      <c r="IH568" s="174"/>
      <c r="II568" s="174"/>
      <c r="IJ568" s="174"/>
      <c r="IK568" s="175">
        <v>1.0</v>
      </c>
      <c r="IL568" s="159">
        <v>6.0</v>
      </c>
      <c r="IM568" s="156">
        <v>0.0</v>
      </c>
      <c r="IN568" s="156">
        <v>0.0</v>
      </c>
      <c r="IO568" s="156">
        <v>0.0</v>
      </c>
      <c r="IP568" s="156">
        <v>0.0</v>
      </c>
      <c r="IQ568" s="160">
        <v>0.0</v>
      </c>
      <c r="IR568" s="172">
        <v>0.0</v>
      </c>
      <c r="IS568" s="172">
        <v>1.0</v>
      </c>
      <c r="IT568" s="172">
        <v>0.0</v>
      </c>
      <c r="IU568" s="172">
        <v>1.0</v>
      </c>
      <c r="IV568" s="172">
        <v>0.0</v>
      </c>
      <c r="IW568" s="172">
        <v>0.0</v>
      </c>
      <c r="IX568" s="172">
        <v>1.0</v>
      </c>
      <c r="IY568" s="172">
        <v>0.0</v>
      </c>
      <c r="IZ568" s="172">
        <v>1.0</v>
      </c>
      <c r="JA568" s="172">
        <v>0.0</v>
      </c>
      <c r="JB568" s="172"/>
      <c r="JC568" s="172">
        <v>0.0</v>
      </c>
      <c r="JD568" s="172">
        <v>0.0</v>
      </c>
      <c r="JE568" s="172">
        <v>1.0</v>
      </c>
      <c r="JF568" s="172">
        <v>0.0</v>
      </c>
      <c r="JG568" s="172"/>
      <c r="JH568" s="170">
        <v>0.0</v>
      </c>
      <c r="JI568" s="172"/>
      <c r="JJ568" s="172"/>
      <c r="JK568" s="172"/>
      <c r="JL568" s="172">
        <v>1.0</v>
      </c>
      <c r="JM568" s="172"/>
      <c r="JN568" s="172"/>
      <c r="JO568" s="172"/>
      <c r="JP568" s="172"/>
      <c r="JQ568" s="172"/>
      <c r="JR568" s="172"/>
      <c r="JS568" s="172"/>
      <c r="JT568" s="172"/>
      <c r="JU568" s="172"/>
      <c r="JV568" s="172"/>
      <c r="JW568" s="159">
        <v>0.0</v>
      </c>
      <c r="JX568" s="156">
        <v>0.0</v>
      </c>
      <c r="JY568" s="156">
        <v>0.0</v>
      </c>
      <c r="JZ568" s="156">
        <v>0.0</v>
      </c>
      <c r="KA568" s="156">
        <v>0.0</v>
      </c>
      <c r="KB568" s="160">
        <v>0.0</v>
      </c>
      <c r="KC568" s="172"/>
      <c r="KD568" s="172"/>
      <c r="KE568" s="172"/>
      <c r="KF568" s="172"/>
      <c r="KG568" s="172"/>
      <c r="KH568" s="172"/>
      <c r="KI568" s="172"/>
      <c r="KJ568" s="172"/>
      <c r="KK568" s="172"/>
      <c r="KL568" s="172"/>
      <c r="KM568" s="172"/>
      <c r="KN568" s="172"/>
      <c r="KO568" s="172"/>
      <c r="KP568" s="172"/>
      <c r="KQ568" s="172"/>
      <c r="KR568" s="172"/>
      <c r="KS568" s="432"/>
      <c r="KT568" s="172"/>
      <c r="KU568" s="172"/>
      <c r="KV568" s="172"/>
      <c r="KW568" s="172"/>
      <c r="KX568" s="172"/>
      <c r="KY568" s="172"/>
      <c r="KZ568" s="172"/>
      <c r="LA568" s="172"/>
      <c r="LB568" s="172"/>
      <c r="LC568" s="172"/>
      <c r="LD568" s="172"/>
      <c r="LE568" s="172"/>
      <c r="LF568" s="172"/>
      <c r="LG568" s="172"/>
      <c r="LH568" s="159">
        <f t="shared" si="10"/>
        <v>7</v>
      </c>
      <c r="LI568" s="156">
        <f t="shared" si="11"/>
        <v>0</v>
      </c>
      <c r="LJ568" s="156">
        <f t="shared" si="12"/>
        <v>0</v>
      </c>
      <c r="LK568" s="156">
        <f t="shared" si="13"/>
        <v>0</v>
      </c>
      <c r="LL568" s="156">
        <f t="shared" si="14"/>
        <v>0</v>
      </c>
      <c r="LM568" s="160">
        <f t="shared" si="15"/>
        <v>0</v>
      </c>
      <c r="LW568" s="12">
        <f t="shared" ref="LW568:MQ568" si="39">IFS(TODAY()&lt;=LC$2,0,WEEKDAY(LC$2)=2,0,WEEKDAY(LC$2)=3,1,WEEKDAY(LC$2)=4,0,WEEKDAY(LC$2)=5,1,WEEKDAY(LC$2)=6,0,WEEKDAY(LC$2)=7,1,WEEKDAY(LC$2)=1,0)</f>
        <v>1</v>
      </c>
      <c r="LX568" s="12">
        <f t="shared" si="39"/>
        <v>0</v>
      </c>
      <c r="LY568" s="12">
        <f t="shared" si="39"/>
        <v>1</v>
      </c>
      <c r="LZ568" s="12">
        <f t="shared" si="39"/>
        <v>0</v>
      </c>
      <c r="MA568" s="12">
        <f t="shared" si="39"/>
        <v>0</v>
      </c>
      <c r="MB568" s="12">
        <f t="shared" si="39"/>
        <v>0</v>
      </c>
      <c r="MC568" s="12">
        <f t="shared" si="39"/>
        <v>0</v>
      </c>
      <c r="MD568" s="12">
        <f t="shared" si="39"/>
        <v>0</v>
      </c>
      <c r="ME568" s="12">
        <f t="shared" si="39"/>
        <v>0</v>
      </c>
      <c r="MF568" s="12">
        <f t="shared" si="39"/>
        <v>0</v>
      </c>
      <c r="MG568" s="12">
        <f t="shared" si="39"/>
        <v>0</v>
      </c>
      <c r="MH568" s="12">
        <f t="shared" si="39"/>
        <v>1</v>
      </c>
      <c r="MI568" s="12">
        <f t="shared" si="39"/>
        <v>0</v>
      </c>
      <c r="MJ568" s="12">
        <f t="shared" si="39"/>
        <v>1</v>
      </c>
      <c r="MK568" s="12">
        <f t="shared" si="39"/>
        <v>0</v>
      </c>
      <c r="ML568" s="12">
        <f t="shared" si="39"/>
        <v>1</v>
      </c>
      <c r="MM568" s="12">
        <f t="shared" si="39"/>
        <v>0</v>
      </c>
      <c r="MN568" s="12">
        <f t="shared" si="39"/>
        <v>0</v>
      </c>
      <c r="MO568" s="12">
        <f t="shared" si="39"/>
        <v>1</v>
      </c>
      <c r="MP568" s="12">
        <f t="shared" si="39"/>
        <v>0</v>
      </c>
      <c r="MQ568" s="12">
        <f t="shared" si="39"/>
        <v>1</v>
      </c>
      <c r="QX568" s="560">
        <v>46097.0</v>
      </c>
    </row>
    <row r="569">
      <c r="A569" s="12"/>
      <c r="B569" s="12"/>
      <c r="C569" s="12"/>
      <c r="D569" s="12"/>
      <c r="E569" s="12"/>
      <c r="F569" s="12"/>
      <c r="G569" s="12"/>
      <c r="H569" s="12"/>
      <c r="I569" s="143">
        <f t="shared" si="22"/>
        <v>-21</v>
      </c>
      <c r="J569" s="537">
        <v>46102.0</v>
      </c>
      <c r="K569" s="164" t="s">
        <v>61</v>
      </c>
      <c r="L569" s="23">
        <v>46198.0</v>
      </c>
      <c r="M569" s="162" t="s">
        <v>348</v>
      </c>
      <c r="N569" s="188">
        <v>357.0</v>
      </c>
      <c r="O569" s="86">
        <v>30.0</v>
      </c>
      <c r="U569" s="162" t="s">
        <v>3474</v>
      </c>
      <c r="V569" s="538" t="s">
        <v>3238</v>
      </c>
      <c r="W569" s="125" t="s">
        <v>3475</v>
      </c>
      <c r="X569" s="140"/>
      <c r="Y569" s="166">
        <f t="shared" si="23"/>
        <v>21</v>
      </c>
      <c r="Z569" s="26">
        <f t="shared" si="7"/>
        <v>0</v>
      </c>
      <c r="AA569" s="26">
        <f t="shared" si="8"/>
        <v>1</v>
      </c>
      <c r="AB569" s="26">
        <f t="shared" si="9"/>
        <v>0</v>
      </c>
      <c r="AC569" s="155">
        <v>0.0</v>
      </c>
      <c r="AD569" s="155">
        <v>0.0</v>
      </c>
      <c r="AE569" s="155">
        <v>0.0</v>
      </c>
      <c r="AF569" s="155">
        <v>0.0</v>
      </c>
      <c r="AG569" s="155">
        <v>0.0</v>
      </c>
      <c r="AH569" s="155">
        <v>0.0</v>
      </c>
      <c r="BN569" s="155">
        <v>0.0</v>
      </c>
      <c r="BO569" s="155">
        <v>0.0</v>
      </c>
      <c r="BP569" s="155">
        <v>0.0</v>
      </c>
      <c r="BQ569" s="155">
        <v>0.0</v>
      </c>
      <c r="BR569" s="155">
        <v>0.0</v>
      </c>
      <c r="BS569" s="155">
        <v>0.0</v>
      </c>
      <c r="CV569" s="156">
        <v>5.0</v>
      </c>
      <c r="CW569" s="156">
        <v>0.0</v>
      </c>
      <c r="CX569" s="156">
        <v>0.0</v>
      </c>
      <c r="CY569" s="156">
        <v>0.0</v>
      </c>
      <c r="CZ569" s="156">
        <v>0.0</v>
      </c>
      <c r="DA569" s="156">
        <v>0.0</v>
      </c>
      <c r="DV569" s="86">
        <v>1.0</v>
      </c>
      <c r="DY569" s="86">
        <v>1.0</v>
      </c>
      <c r="EA569" s="86">
        <v>1.0</v>
      </c>
      <c r="EC569" s="86">
        <v>1.0</v>
      </c>
      <c r="EF569" s="86">
        <v>1.0</v>
      </c>
      <c r="EG569" s="156">
        <v>8.0</v>
      </c>
      <c r="EH569" s="156">
        <v>0.0</v>
      </c>
      <c r="EI569" s="156">
        <v>0.0</v>
      </c>
      <c r="EJ569" s="156">
        <v>0.0</v>
      </c>
      <c r="EK569" s="156">
        <v>0.0</v>
      </c>
      <c r="EL569" s="156">
        <v>0.0</v>
      </c>
      <c r="EM569" s="395">
        <v>0.0</v>
      </c>
      <c r="EN569" s="395">
        <v>1.0</v>
      </c>
      <c r="EO569" s="395">
        <v>0.0</v>
      </c>
      <c r="EP569" s="395">
        <v>1.0</v>
      </c>
      <c r="EQ569" s="395">
        <v>0.0</v>
      </c>
      <c r="ER569" s="395">
        <v>0.0</v>
      </c>
      <c r="ES569" s="395">
        <v>1.0</v>
      </c>
      <c r="ET569" s="395">
        <v>0.0</v>
      </c>
      <c r="EU569" s="395">
        <v>1.0</v>
      </c>
      <c r="EV569" s="395">
        <v>0.0</v>
      </c>
      <c r="EW569" s="395">
        <v>1.0</v>
      </c>
      <c r="EX569" s="395">
        <v>0.0</v>
      </c>
      <c r="EY569" s="395">
        <v>0.0</v>
      </c>
      <c r="EZ569" s="395">
        <v>1.0</v>
      </c>
      <c r="FA569" s="395">
        <v>0.0</v>
      </c>
      <c r="FB569" s="395">
        <v>1.0</v>
      </c>
      <c r="FC569" s="395"/>
      <c r="FD569" s="395"/>
      <c r="FE569" s="395"/>
      <c r="FF569" s="395"/>
      <c r="FG569" s="395"/>
      <c r="FH569" s="395"/>
      <c r="FI569" s="395"/>
      <c r="FJ569" s="395"/>
      <c r="FK569" s="395"/>
      <c r="FL569" s="395"/>
      <c r="FM569" s="395"/>
      <c r="FN569" s="395">
        <v>1.0</v>
      </c>
      <c r="FO569" s="395"/>
      <c r="FP569" s="395"/>
      <c r="FQ569" s="156">
        <v>3.0</v>
      </c>
      <c r="FR569" s="156">
        <v>0.0</v>
      </c>
      <c r="FS569" s="156">
        <v>0.0</v>
      </c>
      <c r="FT569" s="156">
        <v>1.0</v>
      </c>
      <c r="FU569" s="156">
        <v>0.0</v>
      </c>
      <c r="FV569" s="156">
        <v>0.0</v>
      </c>
      <c r="FW569" s="172"/>
      <c r="FX569" s="172"/>
      <c r="FY569" s="172"/>
      <c r="FZ569" s="172"/>
      <c r="GA569" s="172"/>
      <c r="GB569" s="172"/>
      <c r="GC569" s="172"/>
      <c r="GD569" s="172"/>
      <c r="GE569" s="172"/>
      <c r="GF569" s="172"/>
      <c r="GG569" s="172"/>
      <c r="GH569" s="172"/>
      <c r="GI569" s="172"/>
      <c r="GJ569" s="172"/>
      <c r="GK569" s="172"/>
      <c r="GL569" s="172"/>
      <c r="GM569" s="172"/>
      <c r="GN569" s="172"/>
      <c r="GO569" s="172"/>
      <c r="GP569" s="170"/>
      <c r="GQ569" s="172" t="s">
        <v>947</v>
      </c>
      <c r="GR569" s="172"/>
      <c r="GS569" s="172">
        <v>1.0</v>
      </c>
      <c r="GT569" s="172"/>
      <c r="GU569" s="172"/>
      <c r="GV569" s="172"/>
      <c r="GW569" s="172"/>
      <c r="GX569" s="172">
        <v>1.0</v>
      </c>
      <c r="GY569" s="172"/>
      <c r="GZ569" s="172"/>
      <c r="HA569" s="172"/>
      <c r="HB569" s="155">
        <v>5.0</v>
      </c>
      <c r="HC569" s="155">
        <v>0.0</v>
      </c>
      <c r="HD569" s="155">
        <v>0.0</v>
      </c>
      <c r="HE569" s="155">
        <v>0.0</v>
      </c>
      <c r="HF569" s="155">
        <v>0.0</v>
      </c>
      <c r="HG569" s="155">
        <v>0.0</v>
      </c>
      <c r="HH569" s="172">
        <v>0.0</v>
      </c>
      <c r="HI569" s="172">
        <v>1.0</v>
      </c>
      <c r="HJ569" s="172">
        <v>0.0</v>
      </c>
      <c r="HK569" s="172">
        <v>1.0</v>
      </c>
      <c r="HL569" s="172">
        <v>0.0</v>
      </c>
      <c r="HM569" s="172"/>
      <c r="HN569" s="172">
        <v>0.0</v>
      </c>
      <c r="HO569" s="172">
        <v>0.0</v>
      </c>
      <c r="HP569" s="172"/>
      <c r="HQ569" s="172">
        <v>0.0</v>
      </c>
      <c r="HR569" s="172">
        <v>1.0</v>
      </c>
      <c r="HS569" s="172"/>
      <c r="HT569" s="172"/>
      <c r="HU569" s="172"/>
      <c r="HV569" s="172"/>
      <c r="HW569" s="172">
        <v>1.0</v>
      </c>
      <c r="HX569" s="172">
        <v>0.0</v>
      </c>
      <c r="HY569" s="172"/>
      <c r="HZ569" s="172">
        <v>0.0</v>
      </c>
      <c r="IA569" s="172"/>
      <c r="IB569" s="172">
        <v>0.0</v>
      </c>
      <c r="IC569" s="172">
        <v>0.0</v>
      </c>
      <c r="ID569" s="172">
        <v>1.0</v>
      </c>
      <c r="IE569" s="172"/>
      <c r="IF569" s="172"/>
      <c r="IG569" s="172"/>
      <c r="IH569" s="172"/>
      <c r="II569" s="172"/>
      <c r="IJ569" s="172"/>
      <c r="IK569" s="172"/>
      <c r="IL569" s="159">
        <v>0.0</v>
      </c>
      <c r="IM569" s="156">
        <v>0.0</v>
      </c>
      <c r="IN569" s="156">
        <v>0.0</v>
      </c>
      <c r="IO569" s="156">
        <v>0.0</v>
      </c>
      <c r="IP569" s="156">
        <v>0.0</v>
      </c>
      <c r="IQ569" s="160">
        <v>0.0</v>
      </c>
      <c r="IR569" s="172"/>
      <c r="IS569" s="172"/>
      <c r="IT569" s="172"/>
      <c r="IU569" s="172"/>
      <c r="IV569" s="172"/>
      <c r="IW569" s="172"/>
      <c r="IX569" s="172"/>
      <c r="IY569" s="172"/>
      <c r="IZ569" s="172"/>
      <c r="JA569" s="172"/>
      <c r="JB569" s="172"/>
      <c r="JC569" s="172"/>
      <c r="JD569" s="172"/>
      <c r="JE569" s="172"/>
      <c r="JF569" s="172"/>
      <c r="JG569" s="172"/>
      <c r="JH569" s="170"/>
      <c r="JI569" s="172"/>
      <c r="JJ569" s="172"/>
      <c r="JK569" s="172"/>
      <c r="JL569" s="172"/>
      <c r="JM569" s="172"/>
      <c r="JN569" s="172"/>
      <c r="JO569" s="172"/>
      <c r="JP569" s="172"/>
      <c r="JQ569" s="172"/>
      <c r="JR569" s="172"/>
      <c r="JS569" s="172"/>
      <c r="JT569" s="172"/>
      <c r="JU569" s="172"/>
      <c r="JV569" s="172"/>
      <c r="JW569" s="159">
        <v>0.0</v>
      </c>
      <c r="JX569" s="156">
        <v>0.0</v>
      </c>
      <c r="JY569" s="156">
        <v>0.0</v>
      </c>
      <c r="JZ569" s="156">
        <v>0.0</v>
      </c>
      <c r="KA569" s="156">
        <v>0.0</v>
      </c>
      <c r="KB569" s="160">
        <v>0.0</v>
      </c>
      <c r="LH569" s="159">
        <f t="shared" si="10"/>
        <v>0</v>
      </c>
      <c r="LI569" s="156">
        <f t="shared" si="11"/>
        <v>0</v>
      </c>
      <c r="LJ569" s="156">
        <f t="shared" si="12"/>
        <v>0</v>
      </c>
      <c r="LK569" s="156">
        <f t="shared" si="13"/>
        <v>0</v>
      </c>
      <c r="LL569" s="156">
        <f t="shared" si="14"/>
        <v>0</v>
      </c>
      <c r="LM569" s="160">
        <f t="shared" si="15"/>
        <v>0</v>
      </c>
      <c r="QX569" s="560">
        <v>46099.0</v>
      </c>
    </row>
    <row r="570">
      <c r="A570" s="12"/>
      <c r="B570" s="12"/>
      <c r="C570" s="12"/>
      <c r="D570" s="12"/>
      <c r="E570" s="12"/>
      <c r="F570" s="12"/>
      <c r="G570" s="12"/>
      <c r="H570" s="12"/>
      <c r="I570" s="143">
        <f t="shared" si="22"/>
        <v>-7</v>
      </c>
      <c r="J570" s="537">
        <v>46111.0</v>
      </c>
      <c r="K570" s="164" t="s">
        <v>61</v>
      </c>
      <c r="L570" s="23">
        <v>46147.0</v>
      </c>
      <c r="M570" s="86" t="s">
        <v>1243</v>
      </c>
      <c r="N570" s="86">
        <v>23.0</v>
      </c>
      <c r="O570" s="86">
        <v>30.0</v>
      </c>
      <c r="U570" s="162" t="s">
        <v>3476</v>
      </c>
      <c r="V570" s="538" t="s">
        <v>1553</v>
      </c>
      <c r="W570" s="125" t="s">
        <v>3477</v>
      </c>
      <c r="X570" s="140"/>
      <c r="Y570" s="166">
        <f t="shared" si="23"/>
        <v>7</v>
      </c>
      <c r="Z570" s="26">
        <f t="shared" si="7"/>
        <v>0</v>
      </c>
      <c r="AA570" s="26">
        <f t="shared" si="8"/>
        <v>2</v>
      </c>
      <c r="AB570" s="26">
        <f t="shared" si="9"/>
        <v>0</v>
      </c>
      <c r="AC570" s="155">
        <v>0.0</v>
      </c>
      <c r="AD570" s="155">
        <v>0.0</v>
      </c>
      <c r="AE570" s="155">
        <v>0.0</v>
      </c>
      <c r="AF570" s="155">
        <v>0.0</v>
      </c>
      <c r="AG570" s="155">
        <v>0.0</v>
      </c>
      <c r="AH570" s="155">
        <v>0.0</v>
      </c>
      <c r="BN570" s="155">
        <v>0.0</v>
      </c>
      <c r="BO570" s="155">
        <v>0.0</v>
      </c>
      <c r="BP570" s="155">
        <v>0.0</v>
      </c>
      <c r="BQ570" s="155">
        <v>0.0</v>
      </c>
      <c r="BR570" s="155">
        <v>0.0</v>
      </c>
      <c r="BS570" s="155">
        <v>0.0</v>
      </c>
      <c r="CV570" s="156">
        <v>2.0</v>
      </c>
      <c r="CW570" s="156">
        <v>0.0</v>
      </c>
      <c r="CX570" s="156">
        <v>0.0</v>
      </c>
      <c r="CY570" s="156">
        <v>0.0</v>
      </c>
      <c r="CZ570" s="156">
        <v>0.0</v>
      </c>
      <c r="DA570" s="156">
        <v>0.0</v>
      </c>
      <c r="EE570" s="86">
        <v>1.0</v>
      </c>
      <c r="EF570" s="86">
        <v>1.0</v>
      </c>
      <c r="EG570" s="156">
        <v>4.0</v>
      </c>
      <c r="EH570" s="156">
        <v>0.0</v>
      </c>
      <c r="EI570" s="156">
        <v>0.0</v>
      </c>
      <c r="EJ570" s="156">
        <v>1.0</v>
      </c>
      <c r="EK570" s="156">
        <v>0.0</v>
      </c>
      <c r="EL570" s="156">
        <v>0.0</v>
      </c>
      <c r="ER570" s="86">
        <v>1.0</v>
      </c>
      <c r="FD570" s="86">
        <v>1.0</v>
      </c>
      <c r="FG570" s="86">
        <v>1.0</v>
      </c>
      <c r="FN570" s="86" t="s">
        <v>947</v>
      </c>
      <c r="FQ570" s="156">
        <v>1.0</v>
      </c>
      <c r="FR570" s="156">
        <v>0.0</v>
      </c>
      <c r="FS570" s="156">
        <v>0.0</v>
      </c>
      <c r="FT570" s="156">
        <v>1.0</v>
      </c>
      <c r="FU570" s="156">
        <v>0.0</v>
      </c>
      <c r="FV570" s="156">
        <v>0.0</v>
      </c>
      <c r="FW570" s="157"/>
      <c r="FX570" s="157"/>
      <c r="FY570" s="157"/>
      <c r="FZ570" s="157"/>
      <c r="GA570" s="188" t="s">
        <v>947</v>
      </c>
      <c r="GB570" s="157"/>
      <c r="GC570" s="157"/>
      <c r="GD570" s="157"/>
      <c r="GE570" s="157"/>
      <c r="GF570" s="157"/>
      <c r="GG570" s="157"/>
      <c r="GH570" s="157"/>
      <c r="GI570" s="157"/>
      <c r="GJ570" s="157"/>
      <c r="GK570" s="157"/>
      <c r="GL570" s="157"/>
      <c r="GM570" s="157"/>
      <c r="GN570" s="157"/>
      <c r="GO570" s="157"/>
      <c r="GP570" s="158"/>
      <c r="GQ570" s="157"/>
      <c r="GR570" s="157"/>
      <c r="GS570" s="157"/>
      <c r="GT570" s="157"/>
      <c r="GU570" s="157"/>
      <c r="GV570" s="157"/>
      <c r="GW570" s="157"/>
      <c r="GX570" s="157"/>
      <c r="GY570" s="157"/>
      <c r="GZ570" s="157"/>
      <c r="HA570" s="157"/>
      <c r="HB570" s="155">
        <v>0.0</v>
      </c>
      <c r="HC570" s="155">
        <v>0.0</v>
      </c>
      <c r="HD570" s="155">
        <v>0.0</v>
      </c>
      <c r="HE570" s="155">
        <v>0.0</v>
      </c>
      <c r="HF570" s="155">
        <v>0.0</v>
      </c>
      <c r="HG570" s="155">
        <v>0.0</v>
      </c>
      <c r="IL570" s="159">
        <v>0.0</v>
      </c>
      <c r="IM570" s="156">
        <v>0.0</v>
      </c>
      <c r="IN570" s="156">
        <v>0.0</v>
      </c>
      <c r="IO570" s="156">
        <v>0.0</v>
      </c>
      <c r="IP570" s="156">
        <v>0.0</v>
      </c>
      <c r="IQ570" s="160">
        <v>0.0</v>
      </c>
      <c r="JH570" s="25"/>
      <c r="JW570" s="159">
        <v>0.0</v>
      </c>
      <c r="JX570" s="156">
        <v>0.0</v>
      </c>
      <c r="JY570" s="156">
        <v>0.0</v>
      </c>
      <c r="JZ570" s="156">
        <v>0.0</v>
      </c>
      <c r="KA570" s="156">
        <v>0.0</v>
      </c>
      <c r="KB570" s="160">
        <v>0.0</v>
      </c>
      <c r="LH570" s="159">
        <f t="shared" si="10"/>
        <v>0</v>
      </c>
      <c r="LI570" s="156">
        <f t="shared" si="11"/>
        <v>0</v>
      </c>
      <c r="LJ570" s="156">
        <f t="shared" si="12"/>
        <v>0</v>
      </c>
      <c r="LK570" s="156">
        <f t="shared" si="13"/>
        <v>0</v>
      </c>
      <c r="LL570" s="156">
        <f t="shared" si="14"/>
        <v>0</v>
      </c>
      <c r="LM570" s="160">
        <f t="shared" si="15"/>
        <v>0</v>
      </c>
      <c r="QX570" s="560">
        <v>46100.0</v>
      </c>
    </row>
    <row r="571">
      <c r="A571" s="12"/>
      <c r="B571" s="12"/>
      <c r="C571" s="12"/>
      <c r="D571" s="12"/>
      <c r="E571" s="58"/>
      <c r="F571" s="494"/>
      <c r="G571" s="12"/>
      <c r="H571" s="12"/>
      <c r="I571" s="143">
        <f t="shared" si="22"/>
        <v>-30</v>
      </c>
      <c r="J571" s="537">
        <v>46114.0</v>
      </c>
      <c r="K571" s="164" t="s">
        <v>61</v>
      </c>
      <c r="L571" s="23">
        <v>46212.0</v>
      </c>
      <c r="M571" s="86" t="s">
        <v>1703</v>
      </c>
      <c r="N571" s="86">
        <v>256.0</v>
      </c>
      <c r="O571" s="86">
        <v>30.0</v>
      </c>
      <c r="U571" s="162" t="s">
        <v>3241</v>
      </c>
      <c r="V571" s="538" t="s">
        <v>613</v>
      </c>
      <c r="W571" s="125" t="s">
        <v>3478</v>
      </c>
      <c r="X571" s="140"/>
      <c r="Y571" s="166">
        <f t="shared" si="23"/>
        <v>30</v>
      </c>
      <c r="Z571" s="26">
        <f t="shared" si="7"/>
        <v>0</v>
      </c>
      <c r="AA571" s="26">
        <f t="shared" si="8"/>
        <v>0</v>
      </c>
      <c r="AB571" s="26">
        <f t="shared" si="9"/>
        <v>0</v>
      </c>
      <c r="AC571" s="155">
        <v>0.0</v>
      </c>
      <c r="AD571" s="155">
        <v>0.0</v>
      </c>
      <c r="AE571" s="155">
        <v>0.0</v>
      </c>
      <c r="AF571" s="155">
        <v>0.0</v>
      </c>
      <c r="AG571" s="155">
        <v>0.0</v>
      </c>
      <c r="AH571" s="155">
        <v>0.0</v>
      </c>
      <c r="BN571" s="155">
        <v>0.0</v>
      </c>
      <c r="BO571" s="155">
        <v>0.0</v>
      </c>
      <c r="BP571" s="155">
        <v>0.0</v>
      </c>
      <c r="BQ571" s="155">
        <v>0.0</v>
      </c>
      <c r="BR571" s="155">
        <v>0.0</v>
      </c>
      <c r="BS571" s="155">
        <v>0.0</v>
      </c>
      <c r="CV571" s="156">
        <v>0.0</v>
      </c>
      <c r="CW571" s="156">
        <v>0.0</v>
      </c>
      <c r="CX571" s="156">
        <v>0.0</v>
      </c>
      <c r="CY571" s="156">
        <v>0.0</v>
      </c>
      <c r="CZ571" s="156">
        <v>0.0</v>
      </c>
      <c r="DA571" s="156">
        <v>0.0</v>
      </c>
      <c r="EG571" s="156">
        <v>10.0</v>
      </c>
      <c r="EH571" s="156">
        <v>0.0</v>
      </c>
      <c r="EI571" s="156">
        <v>0.0</v>
      </c>
      <c r="EJ571" s="156">
        <v>0.0</v>
      </c>
      <c r="EK571" s="156">
        <v>0.0</v>
      </c>
      <c r="EL571" s="156">
        <v>0.0</v>
      </c>
      <c r="EN571" s="86">
        <v>1.0</v>
      </c>
      <c r="ER571" s="86">
        <v>1.0</v>
      </c>
      <c r="EU571" s="86">
        <v>1.0</v>
      </c>
      <c r="EV571" s="86">
        <v>1.0</v>
      </c>
      <c r="EY571" s="86">
        <v>1.0</v>
      </c>
      <c r="FB571" s="86">
        <v>1.0</v>
      </c>
      <c r="FC571" s="86">
        <v>1.0</v>
      </c>
      <c r="FF571" s="86">
        <v>1.0</v>
      </c>
      <c r="FI571" s="86">
        <v>1.0</v>
      </c>
      <c r="FJ571" s="86">
        <v>1.0</v>
      </c>
      <c r="FQ571" s="156">
        <v>9.0</v>
      </c>
      <c r="FR571" s="156">
        <v>0.0</v>
      </c>
      <c r="FS571" s="156">
        <v>0.0</v>
      </c>
      <c r="FT571" s="156">
        <v>0.0</v>
      </c>
      <c r="FU571" s="156">
        <v>0.0</v>
      </c>
      <c r="FV571" s="156">
        <v>0.0</v>
      </c>
      <c r="FW571" s="188">
        <v>1.0</v>
      </c>
      <c r="FX571" s="157"/>
      <c r="FY571" s="157"/>
      <c r="FZ571" s="188">
        <v>1.0</v>
      </c>
      <c r="GA571" s="157"/>
      <c r="GB571" s="157"/>
      <c r="GC571" s="188">
        <v>1.0</v>
      </c>
      <c r="GD571" s="188">
        <v>1.0</v>
      </c>
      <c r="GE571" s="157"/>
      <c r="GF571" s="157"/>
      <c r="GG571" s="188">
        <v>1.0</v>
      </c>
      <c r="GH571" s="157"/>
      <c r="GI571" s="157"/>
      <c r="GJ571" s="188"/>
      <c r="GK571" s="188">
        <v>1.0</v>
      </c>
      <c r="GL571" s="157"/>
      <c r="GM571" s="157"/>
      <c r="GN571" s="188">
        <v>1.0</v>
      </c>
      <c r="GO571" s="157"/>
      <c r="GP571" s="158"/>
      <c r="GQ571" s="188">
        <v>1.0</v>
      </c>
      <c r="GR571" s="188">
        <v>1.0</v>
      </c>
      <c r="GS571" s="157"/>
      <c r="GT571" s="157"/>
      <c r="GU571" s="157"/>
      <c r="GV571" s="157"/>
      <c r="GW571" s="157"/>
      <c r="GX571" s="157"/>
      <c r="GY571" s="157"/>
      <c r="GZ571" s="157"/>
      <c r="HA571" s="157"/>
      <c r="HB571" s="155">
        <v>11.0</v>
      </c>
      <c r="HC571" s="155">
        <v>0.0</v>
      </c>
      <c r="HD571" s="155">
        <v>0.0</v>
      </c>
      <c r="HE571" s="155">
        <v>0.0</v>
      </c>
      <c r="HF571" s="155">
        <v>0.0</v>
      </c>
      <c r="HG571" s="155">
        <v>0.0</v>
      </c>
      <c r="HH571" s="86">
        <v>1.0</v>
      </c>
      <c r="HK571" s="86">
        <v>1.0</v>
      </c>
      <c r="HL571" s="86">
        <v>1.0</v>
      </c>
      <c r="HO571" s="86">
        <v>1.0</v>
      </c>
      <c r="HR571" s="86">
        <v>1.0</v>
      </c>
      <c r="HS571" s="86">
        <v>1.0</v>
      </c>
      <c r="HV571" s="86">
        <v>1.0</v>
      </c>
      <c r="HY571" s="86">
        <v>1.0</v>
      </c>
      <c r="HZ571" s="86">
        <v>1.0</v>
      </c>
      <c r="IC571" s="86">
        <v>1.0</v>
      </c>
      <c r="IF571" s="86">
        <v>1.0</v>
      </c>
      <c r="IL571" s="159">
        <v>0.0</v>
      </c>
      <c r="IM571" s="156">
        <v>0.0</v>
      </c>
      <c r="IN571" s="156">
        <v>0.0</v>
      </c>
      <c r="IO571" s="156">
        <v>0.0</v>
      </c>
      <c r="IP571" s="156">
        <v>0.0</v>
      </c>
      <c r="IQ571" s="160">
        <v>0.0</v>
      </c>
      <c r="JH571" s="25"/>
      <c r="JW571" s="159">
        <v>0.0</v>
      </c>
      <c r="JX571" s="156">
        <v>0.0</v>
      </c>
      <c r="JY571" s="156">
        <v>0.0</v>
      </c>
      <c r="JZ571" s="156">
        <v>0.0</v>
      </c>
      <c r="KA571" s="156">
        <v>0.0</v>
      </c>
      <c r="KB571" s="160">
        <v>0.0</v>
      </c>
      <c r="LH571" s="159">
        <f t="shared" si="10"/>
        <v>0</v>
      </c>
      <c r="LI571" s="156">
        <f t="shared" si="11"/>
        <v>0</v>
      </c>
      <c r="LJ571" s="156">
        <f t="shared" si="12"/>
        <v>0</v>
      </c>
      <c r="LK571" s="156">
        <f t="shared" si="13"/>
        <v>0</v>
      </c>
      <c r="LL571" s="156">
        <f t="shared" si="14"/>
        <v>0</v>
      </c>
      <c r="LM571" s="160">
        <f t="shared" si="15"/>
        <v>0</v>
      </c>
      <c r="QX571" s="560">
        <v>46101.0</v>
      </c>
    </row>
    <row r="572">
      <c r="A572" s="12"/>
      <c r="B572" s="12"/>
      <c r="C572" s="12"/>
      <c r="D572" s="12"/>
      <c r="E572" s="12"/>
      <c r="F572" s="12"/>
      <c r="G572" s="12"/>
      <c r="H572" s="12"/>
      <c r="I572" s="143">
        <f t="shared" si="22"/>
        <v>-30</v>
      </c>
      <c r="J572" s="537">
        <v>46108.0</v>
      </c>
      <c r="K572" s="164" t="s">
        <v>61</v>
      </c>
      <c r="L572" s="537">
        <v>46247.0</v>
      </c>
      <c r="M572" s="86" t="s">
        <v>1733</v>
      </c>
      <c r="N572" s="86">
        <v>26.0</v>
      </c>
      <c r="O572" s="86">
        <v>30.0</v>
      </c>
      <c r="U572" s="162" t="s">
        <v>3479</v>
      </c>
      <c r="V572" s="538" t="s">
        <v>2952</v>
      </c>
      <c r="W572" s="185" t="s">
        <v>3480</v>
      </c>
      <c r="X572" s="140"/>
      <c r="Y572" s="166">
        <f t="shared" si="23"/>
        <v>30</v>
      </c>
      <c r="Z572" s="26">
        <f t="shared" si="7"/>
        <v>0</v>
      </c>
      <c r="AA572" s="26">
        <f t="shared" si="8"/>
        <v>0</v>
      </c>
      <c r="AB572" s="26">
        <f t="shared" si="9"/>
        <v>0</v>
      </c>
      <c r="AC572" s="155">
        <v>0.0</v>
      </c>
      <c r="AD572" s="155">
        <v>0.0</v>
      </c>
      <c r="AE572" s="155">
        <v>0.0</v>
      </c>
      <c r="AF572" s="155">
        <v>0.0</v>
      </c>
      <c r="AG572" s="155">
        <v>0.0</v>
      </c>
      <c r="AH572" s="155">
        <v>0.0</v>
      </c>
      <c r="BN572" s="155">
        <v>0.0</v>
      </c>
      <c r="BO572" s="155">
        <v>0.0</v>
      </c>
      <c r="BP572" s="155">
        <v>0.0</v>
      </c>
      <c r="BQ572" s="155">
        <v>0.0</v>
      </c>
      <c r="BR572" s="155">
        <v>0.0</v>
      </c>
      <c r="BS572" s="155">
        <v>0.0</v>
      </c>
      <c r="CV572" s="156">
        <v>2.0</v>
      </c>
      <c r="CW572" s="156">
        <v>0.0</v>
      </c>
      <c r="CX572" s="156">
        <v>0.0</v>
      </c>
      <c r="CY572" s="156">
        <v>0.0</v>
      </c>
      <c r="CZ572" s="156">
        <v>0.0</v>
      </c>
      <c r="DA572" s="156">
        <v>0.0</v>
      </c>
      <c r="EB572" s="174">
        <v>1.0</v>
      </c>
      <c r="EC572" s="174">
        <v>0.0</v>
      </c>
      <c r="ED572" s="174">
        <v>0.0</v>
      </c>
      <c r="EE572" s="174">
        <v>1.0</v>
      </c>
      <c r="EF572" s="174">
        <v>0.0</v>
      </c>
      <c r="EG572" s="156">
        <v>5.0</v>
      </c>
      <c r="EH572" s="156">
        <v>0.0</v>
      </c>
      <c r="EI572" s="156">
        <v>0.0</v>
      </c>
      <c r="EJ572" s="156">
        <v>0.0</v>
      </c>
      <c r="EK572" s="156">
        <v>0.0</v>
      </c>
      <c r="EL572" s="156">
        <v>0.0</v>
      </c>
      <c r="EO572" s="86">
        <v>1.0</v>
      </c>
      <c r="ER572" s="86">
        <v>1.0</v>
      </c>
      <c r="EV572" s="86">
        <v>1.0</v>
      </c>
      <c r="FC572" s="86">
        <v>1.0</v>
      </c>
      <c r="FF572" s="86">
        <v>1.0</v>
      </c>
      <c r="FQ572" s="156">
        <v>5.0</v>
      </c>
      <c r="FR572" s="156">
        <v>0.0</v>
      </c>
      <c r="FS572" s="156">
        <v>0.0</v>
      </c>
      <c r="FT572" s="156">
        <v>0.0</v>
      </c>
      <c r="FU572" s="156">
        <v>0.0</v>
      </c>
      <c r="FV572" s="156">
        <v>0.0</v>
      </c>
      <c r="FW572" s="188"/>
      <c r="FX572" s="157"/>
      <c r="FY572" s="157"/>
      <c r="FZ572" s="188"/>
      <c r="GA572" s="157"/>
      <c r="GB572" s="157"/>
      <c r="GC572" s="188">
        <v>1.0</v>
      </c>
      <c r="GD572" s="188">
        <v>1.0</v>
      </c>
      <c r="GE572" s="157"/>
      <c r="GF572" s="157"/>
      <c r="GG572" s="188"/>
      <c r="GH572" s="157"/>
      <c r="GI572" s="157"/>
      <c r="GJ572" s="188"/>
      <c r="GK572" s="188">
        <v>1.0</v>
      </c>
      <c r="GL572" s="157"/>
      <c r="GM572" s="157"/>
      <c r="GN572" s="188"/>
      <c r="GO572" s="157"/>
      <c r="GP572" s="158"/>
      <c r="GQ572" s="188"/>
      <c r="GR572" s="188">
        <v>1.0</v>
      </c>
      <c r="GS572" s="157"/>
      <c r="GT572" s="157"/>
      <c r="GU572" s="188">
        <v>1.0</v>
      </c>
      <c r="GV572" s="157"/>
      <c r="GW572" s="157"/>
      <c r="GX572" s="157"/>
      <c r="GY572" s="157"/>
      <c r="GZ572" s="157"/>
      <c r="HA572" s="157"/>
      <c r="HB572" s="155">
        <v>7.0</v>
      </c>
      <c r="HC572" s="155">
        <v>0.0</v>
      </c>
      <c r="HD572" s="155">
        <v>0.0</v>
      </c>
      <c r="HE572" s="155">
        <v>0.0</v>
      </c>
      <c r="HF572" s="155">
        <v>0.0</v>
      </c>
      <c r="HG572" s="155">
        <v>0.0</v>
      </c>
      <c r="HH572" s="86">
        <v>1.0</v>
      </c>
      <c r="HL572" s="86">
        <v>1.0</v>
      </c>
      <c r="HS572" s="86">
        <v>1.0</v>
      </c>
      <c r="HZ572" s="86">
        <v>1.0</v>
      </c>
      <c r="ID572" s="86">
        <v>1.0</v>
      </c>
      <c r="IH572" s="86">
        <v>1.0</v>
      </c>
      <c r="IK572" s="86">
        <v>1.0</v>
      </c>
      <c r="IL572" s="159">
        <v>9.0</v>
      </c>
      <c r="IM572" s="156">
        <v>0.0</v>
      </c>
      <c r="IN572" s="156">
        <v>0.0</v>
      </c>
      <c r="IO572" s="156">
        <v>0.0</v>
      </c>
      <c r="IP572" s="156">
        <v>0.0</v>
      </c>
      <c r="IQ572" s="160">
        <v>0.0</v>
      </c>
      <c r="IS572" s="86">
        <v>1.0</v>
      </c>
      <c r="IX572" s="86">
        <v>1.0</v>
      </c>
      <c r="JA572" s="86">
        <v>1.0</v>
      </c>
      <c r="JE572" s="86">
        <v>1.0</v>
      </c>
      <c r="JF572" s="86">
        <v>1.0</v>
      </c>
      <c r="JH572" s="25"/>
      <c r="JO572" s="86">
        <v>1.0</v>
      </c>
      <c r="JP572" s="86">
        <v>1.0</v>
      </c>
      <c r="JU572" s="86">
        <v>1.0</v>
      </c>
      <c r="JV572" s="86">
        <v>1.0</v>
      </c>
      <c r="JW572" s="159">
        <v>2.0</v>
      </c>
      <c r="JX572" s="156">
        <v>0.0</v>
      </c>
      <c r="JY572" s="156">
        <v>0.0</v>
      </c>
      <c r="JZ572" s="156">
        <v>0.0</v>
      </c>
      <c r="KA572" s="156">
        <v>0.0</v>
      </c>
      <c r="KB572" s="160">
        <v>0.0</v>
      </c>
      <c r="KH572" s="86">
        <v>1.0</v>
      </c>
      <c r="KI572" s="86">
        <v>1.0</v>
      </c>
      <c r="KS572" s="178"/>
      <c r="LH572" s="159">
        <f t="shared" si="10"/>
        <v>0</v>
      </c>
      <c r="LI572" s="156">
        <f t="shared" si="11"/>
        <v>0</v>
      </c>
      <c r="LJ572" s="156">
        <f t="shared" si="12"/>
        <v>0</v>
      </c>
      <c r="LK572" s="156">
        <f t="shared" si="13"/>
        <v>0</v>
      </c>
      <c r="LL572" s="156">
        <f t="shared" si="14"/>
        <v>0</v>
      </c>
      <c r="LM572" s="160">
        <f t="shared" si="15"/>
        <v>0</v>
      </c>
      <c r="QX572" s="560">
        <v>46101.0</v>
      </c>
    </row>
    <row r="573">
      <c r="A573" s="12"/>
      <c r="B573" s="12"/>
      <c r="C573" s="12"/>
      <c r="D573" s="12"/>
      <c r="E573" s="12"/>
      <c r="F573" s="12"/>
      <c r="G573" s="12"/>
      <c r="H573" s="12"/>
      <c r="I573" s="143">
        <f t="shared" si="22"/>
        <v>-19</v>
      </c>
      <c r="J573" s="537">
        <v>46108.0</v>
      </c>
      <c r="K573" s="294" t="s">
        <v>53</v>
      </c>
      <c r="L573" s="23">
        <v>46182.0</v>
      </c>
      <c r="M573" s="86" t="s">
        <v>228</v>
      </c>
      <c r="N573" s="86">
        <v>246.0</v>
      </c>
      <c r="O573" s="86">
        <v>30.0</v>
      </c>
      <c r="U573" s="162" t="s">
        <v>3481</v>
      </c>
      <c r="V573" s="538" t="s">
        <v>3482</v>
      </c>
      <c r="W573" s="125" t="s">
        <v>3483</v>
      </c>
      <c r="X573" s="140"/>
      <c r="Y573" s="166">
        <f t="shared" si="23"/>
        <v>19</v>
      </c>
      <c r="Z573" s="26">
        <f t="shared" si="7"/>
        <v>0</v>
      </c>
      <c r="AA573" s="26">
        <f t="shared" si="8"/>
        <v>2</v>
      </c>
      <c r="AB573" s="26">
        <f t="shared" si="9"/>
        <v>0</v>
      </c>
      <c r="AC573" s="155">
        <v>0.0</v>
      </c>
      <c r="AD573" s="155">
        <v>0.0</v>
      </c>
      <c r="AE573" s="155">
        <v>0.0</v>
      </c>
      <c r="AF573" s="155">
        <v>0.0</v>
      </c>
      <c r="AG573" s="155">
        <v>0.0</v>
      </c>
      <c r="AH573" s="155">
        <v>0.0</v>
      </c>
      <c r="BN573" s="155">
        <v>0.0</v>
      </c>
      <c r="BO573" s="155">
        <v>0.0</v>
      </c>
      <c r="BP573" s="155">
        <v>0.0</v>
      </c>
      <c r="BQ573" s="155">
        <v>0.0</v>
      </c>
      <c r="BR573" s="155">
        <v>0.0</v>
      </c>
      <c r="BS573" s="155">
        <v>0.0</v>
      </c>
      <c r="CV573" s="156">
        <v>2.0</v>
      </c>
      <c r="CW573" s="156">
        <v>0.0</v>
      </c>
      <c r="CX573" s="156">
        <v>0.0</v>
      </c>
      <c r="CY573" s="156">
        <v>0.0</v>
      </c>
      <c r="CZ573" s="156">
        <v>0.0</v>
      </c>
      <c r="DA573" s="156">
        <v>0.0</v>
      </c>
      <c r="EB573" s="174">
        <v>1.0</v>
      </c>
      <c r="EC573" s="174">
        <v>0.0</v>
      </c>
      <c r="ED573" s="174">
        <v>0.0</v>
      </c>
      <c r="EE573" s="174">
        <v>1.0</v>
      </c>
      <c r="EF573" s="174">
        <v>0.0</v>
      </c>
      <c r="EG573" s="156">
        <v>8.0</v>
      </c>
      <c r="EH573" s="156">
        <v>0.0</v>
      </c>
      <c r="EI573" s="156">
        <v>0.0</v>
      </c>
      <c r="EJ573" s="156">
        <v>0.0</v>
      </c>
      <c r="EK573" s="156">
        <v>0.0</v>
      </c>
      <c r="EL573" s="156">
        <v>0.0</v>
      </c>
      <c r="EM573" s="174">
        <v>1.0</v>
      </c>
      <c r="EN573" s="174">
        <v>0.0</v>
      </c>
      <c r="EO573" s="174">
        <v>1.0</v>
      </c>
      <c r="EP573" s="174">
        <v>0.0</v>
      </c>
      <c r="EQ573" s="174">
        <v>0.0</v>
      </c>
      <c r="ER573" s="174">
        <v>1.0</v>
      </c>
      <c r="ES573" s="174">
        <v>0.0</v>
      </c>
      <c r="ET573" s="174">
        <v>1.0</v>
      </c>
      <c r="EU573" s="174"/>
      <c r="EV573" s="174"/>
      <c r="EW573" s="174"/>
      <c r="EX573" s="174"/>
      <c r="EY573" s="174"/>
      <c r="EZ573" s="174"/>
      <c r="FA573" s="174">
        <v>1.0</v>
      </c>
      <c r="FB573" s="174">
        <v>0.0</v>
      </c>
      <c r="FC573" s="174">
        <v>1.0</v>
      </c>
      <c r="FD573" s="174"/>
      <c r="FE573" s="174"/>
      <c r="FF573" s="174"/>
      <c r="FG573" s="174"/>
      <c r="FH573" s="174">
        <v>1.0</v>
      </c>
      <c r="FI573" s="174">
        <v>0.0</v>
      </c>
      <c r="FJ573" s="174">
        <v>1.0</v>
      </c>
      <c r="FK573" s="174"/>
      <c r="FL573" s="174"/>
      <c r="FM573" s="174"/>
      <c r="FN573" s="174"/>
      <c r="FO573" s="174"/>
      <c r="FP573" s="174"/>
      <c r="FQ573" s="156">
        <v>8.0</v>
      </c>
      <c r="FR573" s="156">
        <v>0.0</v>
      </c>
      <c r="FS573" s="156">
        <v>0.0</v>
      </c>
      <c r="FT573" s="156">
        <v>2.0</v>
      </c>
      <c r="FU573" s="156">
        <v>0.0</v>
      </c>
      <c r="FV573" s="156">
        <v>0.0</v>
      </c>
      <c r="FW573" s="174"/>
      <c r="FX573" s="175" t="s">
        <v>947</v>
      </c>
      <c r="FY573" s="174"/>
      <c r="FZ573" s="175" t="s">
        <v>947</v>
      </c>
      <c r="GA573" s="174"/>
      <c r="GB573" s="174">
        <v>1.0</v>
      </c>
      <c r="GC573" s="174">
        <v>0.0</v>
      </c>
      <c r="GD573" s="174">
        <v>1.0</v>
      </c>
      <c r="GE573" s="174"/>
      <c r="GF573" s="174"/>
      <c r="GG573" s="174"/>
      <c r="GH573" s="174"/>
      <c r="GI573" s="174"/>
      <c r="GJ573" s="174"/>
      <c r="GK573" s="174"/>
      <c r="GL573" s="174"/>
      <c r="GM573" s="174"/>
      <c r="GN573" s="174">
        <v>1.0</v>
      </c>
      <c r="GO573" s="174">
        <v>0.0</v>
      </c>
      <c r="GP573" s="177">
        <v>1.0</v>
      </c>
      <c r="GQ573" s="174">
        <v>0.0</v>
      </c>
      <c r="GR573" s="175">
        <v>1.0</v>
      </c>
      <c r="GS573" s="174"/>
      <c r="GT573" s="174"/>
      <c r="GU573" s="174"/>
      <c r="GV573" s="174"/>
      <c r="GW573" s="174">
        <v>1.0</v>
      </c>
      <c r="GX573" s="174"/>
      <c r="GY573" s="174"/>
      <c r="GZ573" s="174"/>
      <c r="HA573" s="174"/>
      <c r="HB573" s="155">
        <v>1.0</v>
      </c>
      <c r="HC573" s="155">
        <v>0.0</v>
      </c>
      <c r="HD573" s="155">
        <v>0.0</v>
      </c>
      <c r="HE573" s="155">
        <v>0.0</v>
      </c>
      <c r="HF573" s="155">
        <v>0.0</v>
      </c>
      <c r="HG573" s="155">
        <v>0.0</v>
      </c>
      <c r="HH573" s="174"/>
      <c r="HI573" s="174">
        <v>0.0</v>
      </c>
      <c r="HJ573" s="174"/>
      <c r="HK573" s="174">
        <v>0.0</v>
      </c>
      <c r="HL573" s="175">
        <v>1.0</v>
      </c>
      <c r="HM573" s="174"/>
      <c r="HN573" s="174"/>
      <c r="HO573" s="174"/>
      <c r="HP573" s="174"/>
      <c r="HQ573" s="174"/>
      <c r="HR573" s="174"/>
      <c r="HS573" s="174"/>
      <c r="HT573" s="174"/>
      <c r="HU573" s="174"/>
      <c r="HV573" s="174"/>
      <c r="HW573" s="174"/>
      <c r="HX573" s="174"/>
      <c r="HY573" s="174"/>
      <c r="HZ573" s="174"/>
      <c r="IA573" s="174"/>
      <c r="IB573" s="174"/>
      <c r="IC573" s="174"/>
      <c r="ID573" s="174"/>
      <c r="IE573" s="174"/>
      <c r="IF573" s="174"/>
      <c r="IG573" s="174"/>
      <c r="IH573" s="174"/>
      <c r="II573" s="174"/>
      <c r="IJ573" s="174"/>
      <c r="IK573" s="174"/>
      <c r="IL573" s="159">
        <v>0.0</v>
      </c>
      <c r="IM573" s="156">
        <v>0.0</v>
      </c>
      <c r="IN573" s="156">
        <v>0.0</v>
      </c>
      <c r="IO573" s="156">
        <v>0.0</v>
      </c>
      <c r="IP573" s="156">
        <v>0.0</v>
      </c>
      <c r="IQ573" s="160">
        <v>0.0</v>
      </c>
      <c r="IR573" s="174"/>
      <c r="IS573" s="174"/>
      <c r="IT573" s="174"/>
      <c r="IU573" s="174"/>
      <c r="IV573" s="174"/>
      <c r="IW573" s="174"/>
      <c r="IX573" s="174"/>
      <c r="IY573" s="174"/>
      <c r="IZ573" s="174"/>
      <c r="JA573" s="174"/>
      <c r="JB573" s="174"/>
      <c r="JC573" s="174"/>
      <c r="JD573" s="174"/>
      <c r="JE573" s="174"/>
      <c r="JF573" s="174"/>
      <c r="JG573" s="174"/>
      <c r="JH573" s="177"/>
      <c r="JI573" s="174"/>
      <c r="JJ573" s="174"/>
      <c r="JK573" s="174"/>
      <c r="JL573" s="174"/>
      <c r="JM573" s="174"/>
      <c r="JN573" s="174"/>
      <c r="JO573" s="174"/>
      <c r="JP573" s="174"/>
      <c r="JQ573" s="174"/>
      <c r="JR573" s="174"/>
      <c r="JS573" s="174"/>
      <c r="JT573" s="174"/>
      <c r="JU573" s="174"/>
      <c r="JV573" s="174"/>
      <c r="JW573" s="159">
        <v>0.0</v>
      </c>
      <c r="JX573" s="156">
        <v>0.0</v>
      </c>
      <c r="JY573" s="156">
        <v>0.0</v>
      </c>
      <c r="JZ573" s="156">
        <v>0.0</v>
      </c>
      <c r="KA573" s="156">
        <v>0.0</v>
      </c>
      <c r="KB573" s="160">
        <v>0.0</v>
      </c>
      <c r="LH573" s="159">
        <f t="shared" si="10"/>
        <v>0</v>
      </c>
      <c r="LI573" s="156">
        <f t="shared" si="11"/>
        <v>0</v>
      </c>
      <c r="LJ573" s="156">
        <f t="shared" si="12"/>
        <v>0</v>
      </c>
      <c r="LK573" s="156">
        <f t="shared" si="13"/>
        <v>0</v>
      </c>
      <c r="LL573" s="156">
        <f t="shared" si="14"/>
        <v>0</v>
      </c>
      <c r="LM573" s="160">
        <f t="shared" si="15"/>
        <v>0</v>
      </c>
      <c r="QX573" s="560">
        <v>46104.0</v>
      </c>
    </row>
    <row r="574">
      <c r="A574" s="572"/>
      <c r="B574" s="572"/>
      <c r="C574" s="572"/>
      <c r="D574" s="572"/>
      <c r="E574" s="572"/>
      <c r="F574" s="572"/>
      <c r="G574" s="572"/>
      <c r="H574" s="572"/>
      <c r="I574" s="561">
        <f t="shared" si="22"/>
        <v>0</v>
      </c>
      <c r="J574" s="573"/>
      <c r="K574" s="574" t="s">
        <v>31</v>
      </c>
      <c r="L574" s="573"/>
      <c r="M574" s="575" t="s">
        <v>348</v>
      </c>
      <c r="N574" s="575">
        <v>246.0</v>
      </c>
      <c r="O574" s="575">
        <v>30.0</v>
      </c>
      <c r="P574" s="572"/>
      <c r="Q574" s="572"/>
      <c r="R574" s="572"/>
      <c r="S574" s="572"/>
      <c r="T574" s="572"/>
      <c r="U574" s="575" t="s">
        <v>3164</v>
      </c>
      <c r="V574" s="576" t="s">
        <v>3161</v>
      </c>
      <c r="W574" s="125" t="s">
        <v>3484</v>
      </c>
      <c r="X574" s="140"/>
      <c r="Y574" s="166">
        <f t="shared" si="23"/>
        <v>0</v>
      </c>
      <c r="Z574" s="26">
        <f t="shared" si="7"/>
        <v>0</v>
      </c>
      <c r="AA574" s="26">
        <f t="shared" si="8"/>
        <v>0</v>
      </c>
      <c r="AB574" s="26">
        <f t="shared" si="9"/>
        <v>0</v>
      </c>
      <c r="AC574" s="155">
        <v>0.0</v>
      </c>
      <c r="AD574" s="155">
        <v>0.0</v>
      </c>
      <c r="AE574" s="155">
        <v>0.0</v>
      </c>
      <c r="AF574" s="155">
        <v>0.0</v>
      </c>
      <c r="AG574" s="155">
        <v>0.0</v>
      </c>
      <c r="AH574" s="155">
        <v>0.0</v>
      </c>
      <c r="BN574" s="155">
        <v>0.0</v>
      </c>
      <c r="BO574" s="155">
        <v>0.0</v>
      </c>
      <c r="BP574" s="155">
        <v>0.0</v>
      </c>
      <c r="BQ574" s="155">
        <v>0.0</v>
      </c>
      <c r="BR574" s="155">
        <v>0.0</v>
      </c>
      <c r="BS574" s="155">
        <v>0.0</v>
      </c>
      <c r="CV574" s="156">
        <v>0.0</v>
      </c>
      <c r="CW574" s="156">
        <v>0.0</v>
      </c>
      <c r="CX574" s="156">
        <v>0.0</v>
      </c>
      <c r="CY574" s="156">
        <v>0.0</v>
      </c>
      <c r="CZ574" s="156">
        <v>0.0</v>
      </c>
      <c r="DA574" s="156">
        <v>0.0</v>
      </c>
      <c r="EG574" s="156">
        <v>0.0</v>
      </c>
      <c r="EH574" s="156">
        <v>0.0</v>
      </c>
      <c r="EI574" s="156">
        <v>0.0</v>
      </c>
      <c r="EJ574" s="156">
        <v>0.0</v>
      </c>
      <c r="EK574" s="156">
        <v>0.0</v>
      </c>
      <c r="EL574" s="156">
        <v>0.0</v>
      </c>
      <c r="FQ574" s="156">
        <v>0.0</v>
      </c>
      <c r="FR574" s="156">
        <v>0.0</v>
      </c>
      <c r="FS574" s="156">
        <v>0.0</v>
      </c>
      <c r="FT574" s="156">
        <v>0.0</v>
      </c>
      <c r="FU574" s="156">
        <v>0.0</v>
      </c>
      <c r="FV574" s="156">
        <v>0.0</v>
      </c>
      <c r="FW574" s="157"/>
      <c r="FX574" s="157"/>
      <c r="FY574" s="157"/>
      <c r="FZ574" s="157"/>
      <c r="GA574" s="157"/>
      <c r="GB574" s="157"/>
      <c r="GC574" s="157"/>
      <c r="GD574" s="157"/>
      <c r="GE574" s="157"/>
      <c r="GF574" s="157"/>
      <c r="GG574" s="157"/>
      <c r="GH574" s="157"/>
      <c r="GI574" s="157"/>
      <c r="GJ574" s="157"/>
      <c r="GK574" s="157"/>
      <c r="GL574" s="157"/>
      <c r="GM574" s="157"/>
      <c r="GN574" s="157"/>
      <c r="GO574" s="157"/>
      <c r="GP574" s="158"/>
      <c r="GQ574" s="157"/>
      <c r="GR574" s="157"/>
      <c r="GS574" s="157"/>
      <c r="GT574" s="157"/>
      <c r="GU574" s="157"/>
      <c r="GV574" s="157"/>
      <c r="GW574" s="157"/>
      <c r="GX574" s="157"/>
      <c r="GY574" s="157"/>
      <c r="GZ574" s="157"/>
      <c r="HA574" s="157"/>
      <c r="HB574" s="155">
        <v>0.0</v>
      </c>
      <c r="HC574" s="155">
        <v>0.0</v>
      </c>
      <c r="HD574" s="155">
        <v>0.0</v>
      </c>
      <c r="HE574" s="155">
        <v>0.0</v>
      </c>
      <c r="HF574" s="155">
        <v>0.0</v>
      </c>
      <c r="HG574" s="155">
        <v>0.0</v>
      </c>
      <c r="IL574" s="159">
        <v>0.0</v>
      </c>
      <c r="IM574" s="156">
        <v>0.0</v>
      </c>
      <c r="IN574" s="156">
        <v>0.0</v>
      </c>
      <c r="IO574" s="156">
        <v>0.0</v>
      </c>
      <c r="IP574" s="156">
        <v>0.0</v>
      </c>
      <c r="IQ574" s="160">
        <v>0.0</v>
      </c>
      <c r="JH574" s="25"/>
      <c r="JW574" s="159">
        <v>0.0</v>
      </c>
      <c r="JX574" s="156">
        <v>0.0</v>
      </c>
      <c r="JY574" s="156">
        <v>0.0</v>
      </c>
      <c r="JZ574" s="156">
        <v>0.0</v>
      </c>
      <c r="KA574" s="156">
        <v>0.0</v>
      </c>
      <c r="KB574" s="160">
        <v>0.0</v>
      </c>
      <c r="LH574" s="159">
        <f t="shared" si="10"/>
        <v>0</v>
      </c>
      <c r="LI574" s="156">
        <f t="shared" si="11"/>
        <v>0</v>
      </c>
      <c r="LJ574" s="156">
        <f t="shared" si="12"/>
        <v>0</v>
      </c>
      <c r="LK574" s="156">
        <f t="shared" si="13"/>
        <v>0</v>
      </c>
      <c r="LL574" s="156">
        <f t="shared" si="14"/>
        <v>0</v>
      </c>
      <c r="LM574" s="160">
        <f t="shared" si="15"/>
        <v>0</v>
      </c>
      <c r="QX574" s="560">
        <v>46104.0</v>
      </c>
    </row>
    <row r="575">
      <c r="A575" s="126"/>
      <c r="B575" s="126"/>
      <c r="C575" s="12"/>
      <c r="D575" s="12"/>
      <c r="E575" s="58"/>
      <c r="F575" s="12"/>
      <c r="G575" s="12"/>
      <c r="H575" s="12"/>
      <c r="I575" s="143">
        <f t="shared" si="22"/>
        <v>-48</v>
      </c>
      <c r="J575" s="537">
        <v>46108.0</v>
      </c>
      <c r="K575" s="184" t="s">
        <v>48</v>
      </c>
      <c r="L575" s="543" t="s">
        <v>3485</v>
      </c>
      <c r="M575" s="86" t="s">
        <v>107</v>
      </c>
      <c r="N575" s="86">
        <v>246.0</v>
      </c>
      <c r="O575" s="86">
        <v>30.0</v>
      </c>
      <c r="U575" s="162" t="s">
        <v>3486</v>
      </c>
      <c r="V575" s="538" t="s">
        <v>230</v>
      </c>
      <c r="W575" s="185" t="s">
        <v>3487</v>
      </c>
      <c r="X575" s="140"/>
      <c r="Y575" s="166">
        <f t="shared" si="23"/>
        <v>48</v>
      </c>
      <c r="Z575" s="26">
        <f t="shared" si="7"/>
        <v>0</v>
      </c>
      <c r="AA575" s="26">
        <f t="shared" si="8"/>
        <v>0</v>
      </c>
      <c r="AB575" s="26">
        <f t="shared" si="9"/>
        <v>0</v>
      </c>
      <c r="AC575" s="155">
        <v>0.0</v>
      </c>
      <c r="AD575" s="155">
        <v>0.0</v>
      </c>
      <c r="AE575" s="155">
        <v>0.0</v>
      </c>
      <c r="AF575" s="155">
        <v>0.0</v>
      </c>
      <c r="AG575" s="155">
        <v>0.0</v>
      </c>
      <c r="AH575" s="155">
        <v>0.0</v>
      </c>
      <c r="BN575" s="155">
        <v>0.0</v>
      </c>
      <c r="BO575" s="155">
        <v>0.0</v>
      </c>
      <c r="BP575" s="155">
        <v>0.0</v>
      </c>
      <c r="BQ575" s="155">
        <v>0.0</v>
      </c>
      <c r="BR575" s="155">
        <v>0.0</v>
      </c>
      <c r="BS575" s="155">
        <v>0.0</v>
      </c>
      <c r="CV575" s="156">
        <v>2.0</v>
      </c>
      <c r="CW575" s="156">
        <v>0.0</v>
      </c>
      <c r="CX575" s="156">
        <v>0.0</v>
      </c>
      <c r="CY575" s="156">
        <v>0.0</v>
      </c>
      <c r="CZ575" s="156">
        <v>0.0</v>
      </c>
      <c r="DA575" s="156">
        <v>0.0</v>
      </c>
      <c r="EB575" s="174">
        <v>1.0</v>
      </c>
      <c r="EC575" s="174">
        <v>0.0</v>
      </c>
      <c r="ED575" s="174">
        <v>0.0</v>
      </c>
      <c r="EE575" s="174">
        <v>1.0</v>
      </c>
      <c r="EF575" s="174">
        <v>0.0</v>
      </c>
      <c r="EG575" s="156">
        <v>12.0</v>
      </c>
      <c r="EH575" s="156">
        <v>0.0</v>
      </c>
      <c r="EI575" s="156">
        <v>0.0</v>
      </c>
      <c r="EJ575" s="156">
        <v>0.0</v>
      </c>
      <c r="EK575" s="156">
        <v>0.0</v>
      </c>
      <c r="EL575" s="156">
        <v>0.0</v>
      </c>
      <c r="EM575" s="174">
        <v>1.0</v>
      </c>
      <c r="EN575" s="174">
        <v>0.0</v>
      </c>
      <c r="EO575" s="174">
        <v>1.0</v>
      </c>
      <c r="EP575" s="174">
        <v>0.0</v>
      </c>
      <c r="EQ575" s="174">
        <v>0.0</v>
      </c>
      <c r="ER575" s="174">
        <v>1.0</v>
      </c>
      <c r="ES575" s="174">
        <v>0.0</v>
      </c>
      <c r="ET575" s="174">
        <v>1.0</v>
      </c>
      <c r="EU575" s="174">
        <v>0.0</v>
      </c>
      <c r="EV575" s="174">
        <v>1.0</v>
      </c>
      <c r="EW575" s="174">
        <v>0.0</v>
      </c>
      <c r="EX575" s="174">
        <v>0.0</v>
      </c>
      <c r="EY575" s="174">
        <v>1.0</v>
      </c>
      <c r="EZ575" s="174">
        <v>0.0</v>
      </c>
      <c r="FA575" s="174">
        <v>1.0</v>
      </c>
      <c r="FB575" s="174"/>
      <c r="FC575" s="174"/>
      <c r="FD575" s="175">
        <v>1.0</v>
      </c>
      <c r="FE575" s="174">
        <v>0.0</v>
      </c>
      <c r="FF575" s="174">
        <v>1.0</v>
      </c>
      <c r="FG575" s="174">
        <v>0.0</v>
      </c>
      <c r="FH575" s="174">
        <v>1.0</v>
      </c>
      <c r="FI575" s="174">
        <v>0.0</v>
      </c>
      <c r="FJ575" s="174">
        <v>1.0</v>
      </c>
      <c r="FK575" s="174"/>
      <c r="FL575" s="174"/>
      <c r="FM575" s="174"/>
      <c r="FN575" s="174"/>
      <c r="FO575" s="174">
        <v>1.0</v>
      </c>
      <c r="FP575" s="174">
        <v>0.0</v>
      </c>
      <c r="FQ575" s="156">
        <v>12.0</v>
      </c>
      <c r="FR575" s="156">
        <v>0.0</v>
      </c>
      <c r="FS575" s="156">
        <v>0.0</v>
      </c>
      <c r="FT575" s="156">
        <v>0.0</v>
      </c>
      <c r="FU575" s="156">
        <v>0.0</v>
      </c>
      <c r="FV575" s="156">
        <v>0.0</v>
      </c>
      <c r="FW575" s="174"/>
      <c r="FX575" s="174"/>
      <c r="FY575" s="174"/>
      <c r="FZ575" s="174">
        <v>1.0</v>
      </c>
      <c r="GA575" s="174">
        <v>0.0</v>
      </c>
      <c r="GB575" s="174">
        <v>1.0</v>
      </c>
      <c r="GC575" s="174">
        <v>0.0</v>
      </c>
      <c r="GD575" s="174">
        <v>1.0</v>
      </c>
      <c r="GE575" s="174">
        <v>0.0</v>
      </c>
      <c r="GF575" s="174">
        <v>0.0</v>
      </c>
      <c r="GG575" s="174">
        <v>1.0</v>
      </c>
      <c r="GH575" s="174">
        <v>0.0</v>
      </c>
      <c r="GI575" s="174">
        <v>1.0</v>
      </c>
      <c r="GJ575" s="174">
        <v>0.0</v>
      </c>
      <c r="GK575" s="174">
        <v>1.0</v>
      </c>
      <c r="GL575" s="174">
        <v>0.0</v>
      </c>
      <c r="GM575" s="174">
        <v>0.0</v>
      </c>
      <c r="GN575" s="174">
        <v>1.0</v>
      </c>
      <c r="GO575" s="174">
        <v>0.0</v>
      </c>
      <c r="GP575" s="177">
        <v>1.0</v>
      </c>
      <c r="GQ575" s="174">
        <v>0.0</v>
      </c>
      <c r="GR575" s="174">
        <v>1.0</v>
      </c>
      <c r="GS575" s="174">
        <v>0.0</v>
      </c>
      <c r="GT575" s="174">
        <v>0.0</v>
      </c>
      <c r="GU575" s="174">
        <v>1.0</v>
      </c>
      <c r="GV575" s="174">
        <v>0.0</v>
      </c>
      <c r="GW575" s="174">
        <v>1.0</v>
      </c>
      <c r="GX575" s="174">
        <v>0.0</v>
      </c>
      <c r="GY575" s="174">
        <v>1.0</v>
      </c>
      <c r="GZ575" s="174">
        <v>0.0</v>
      </c>
      <c r="HA575" s="174">
        <v>0.0</v>
      </c>
      <c r="HB575" s="155">
        <v>10.0</v>
      </c>
      <c r="HC575" s="155">
        <v>0.0</v>
      </c>
      <c r="HD575" s="155">
        <v>0.0</v>
      </c>
      <c r="HE575" s="155">
        <v>0.0</v>
      </c>
      <c r="HF575" s="155">
        <v>0.0</v>
      </c>
      <c r="HG575" s="155">
        <v>0.0</v>
      </c>
      <c r="HH575" s="174">
        <v>1.0</v>
      </c>
      <c r="HI575" s="174">
        <v>0.0</v>
      </c>
      <c r="HJ575" s="174">
        <v>1.0</v>
      </c>
      <c r="HK575" s="174">
        <v>0.0</v>
      </c>
      <c r="HL575" s="174">
        <v>1.0</v>
      </c>
      <c r="HM575" s="174">
        <v>0.0</v>
      </c>
      <c r="HN575" s="174">
        <v>0.0</v>
      </c>
      <c r="HO575" s="174">
        <v>1.0</v>
      </c>
      <c r="HP575" s="174">
        <v>0.0</v>
      </c>
      <c r="HQ575" s="174">
        <v>1.0</v>
      </c>
      <c r="HR575" s="174">
        <v>0.0</v>
      </c>
      <c r="HS575" s="174">
        <v>1.0</v>
      </c>
      <c r="HT575" s="174">
        <v>0.0</v>
      </c>
      <c r="HU575" s="174">
        <v>0.0</v>
      </c>
      <c r="HV575" s="174"/>
      <c r="HW575" s="174">
        <v>0.0</v>
      </c>
      <c r="HX575" s="174">
        <v>1.0</v>
      </c>
      <c r="HY575" s="174">
        <v>0.0</v>
      </c>
      <c r="HZ575" s="174">
        <v>1.0</v>
      </c>
      <c r="IA575" s="174">
        <v>0.0</v>
      </c>
      <c r="IB575" s="174">
        <v>0.0</v>
      </c>
      <c r="IC575" s="174">
        <v>1.0</v>
      </c>
      <c r="ID575" s="174">
        <v>0.0</v>
      </c>
      <c r="IE575" s="174">
        <v>1.0</v>
      </c>
      <c r="IF575" s="174"/>
      <c r="IG575" s="174"/>
      <c r="IH575" s="174"/>
      <c r="II575" s="174"/>
      <c r="IJ575" s="174"/>
      <c r="IK575" s="174"/>
      <c r="IL575" s="159">
        <v>0.0</v>
      </c>
      <c r="IM575" s="156">
        <v>0.0</v>
      </c>
      <c r="IN575" s="156">
        <v>0.0</v>
      </c>
      <c r="IO575" s="156">
        <v>0.0</v>
      </c>
      <c r="IP575" s="156">
        <v>0.0</v>
      </c>
      <c r="IQ575" s="160">
        <v>0.0</v>
      </c>
      <c r="IR575" s="174"/>
      <c r="IS575" s="174">
        <v>0.0</v>
      </c>
      <c r="IT575" s="174"/>
      <c r="IU575" s="174">
        <v>0.0</v>
      </c>
      <c r="IV575" s="174">
        <v>0.0</v>
      </c>
      <c r="IW575" s="174"/>
      <c r="IX575" s="174">
        <v>0.0</v>
      </c>
      <c r="IY575" s="174"/>
      <c r="IZ575" s="174">
        <v>0.0</v>
      </c>
      <c r="JA575" s="174"/>
      <c r="JB575" s="174">
        <v>0.0</v>
      </c>
      <c r="JC575" s="174">
        <v>0.0</v>
      </c>
      <c r="JD575" s="174"/>
      <c r="JE575" s="174">
        <v>0.0</v>
      </c>
      <c r="JF575" s="174"/>
      <c r="JG575" s="174">
        <v>0.0</v>
      </c>
      <c r="JH575" s="177"/>
      <c r="JI575" s="174"/>
      <c r="JJ575" s="174"/>
      <c r="JK575" s="174"/>
      <c r="JL575" s="174"/>
      <c r="JM575" s="174"/>
      <c r="JN575" s="174"/>
      <c r="JO575" s="174"/>
      <c r="JP575" s="174"/>
      <c r="JQ575" s="174"/>
      <c r="JR575" s="174"/>
      <c r="JS575" s="174"/>
      <c r="JT575" s="174"/>
      <c r="JU575" s="174"/>
      <c r="JV575" s="174"/>
      <c r="JW575" s="159">
        <v>9.0</v>
      </c>
      <c r="JX575" s="156">
        <v>0.0</v>
      </c>
      <c r="JY575" s="156">
        <v>0.0</v>
      </c>
      <c r="JZ575" s="156">
        <v>0.0</v>
      </c>
      <c r="KA575" s="156">
        <v>0.0</v>
      </c>
      <c r="KB575" s="160">
        <v>0.0</v>
      </c>
      <c r="KC575" s="174"/>
      <c r="KD575" s="174"/>
      <c r="KE575" s="175">
        <v>1.0</v>
      </c>
      <c r="KF575" s="174"/>
      <c r="KG575" s="175">
        <v>1.0</v>
      </c>
      <c r="KH575" s="174"/>
      <c r="KI575" s="175">
        <v>1.0</v>
      </c>
      <c r="KJ575" s="174"/>
      <c r="KK575" s="174"/>
      <c r="KL575" s="175">
        <v>1.0</v>
      </c>
      <c r="KM575" s="174"/>
      <c r="KN575" s="175">
        <v>1.0</v>
      </c>
      <c r="KO575" s="174"/>
      <c r="KP575" s="175">
        <v>1.0</v>
      </c>
      <c r="KQ575" s="174"/>
      <c r="KR575" s="174"/>
      <c r="KS575" s="472"/>
      <c r="KT575" s="175">
        <v>1.0</v>
      </c>
      <c r="KU575" s="174"/>
      <c r="KV575" s="175">
        <v>1.0</v>
      </c>
      <c r="KW575" s="174"/>
      <c r="KX575" s="175">
        <v>1.0</v>
      </c>
      <c r="KY575" s="174"/>
      <c r="KZ575" s="174"/>
      <c r="LA575" s="174"/>
      <c r="LB575" s="174"/>
      <c r="LC575" s="174"/>
      <c r="LD575" s="174"/>
      <c r="LE575" s="174"/>
      <c r="LF575" s="174"/>
      <c r="LG575" s="174"/>
      <c r="LH575" s="159">
        <f t="shared" si="10"/>
        <v>3</v>
      </c>
      <c r="LI575" s="156">
        <f t="shared" si="11"/>
        <v>0</v>
      </c>
      <c r="LJ575" s="156">
        <f t="shared" si="12"/>
        <v>0</v>
      </c>
      <c r="LK575" s="156">
        <f t="shared" si="13"/>
        <v>0</v>
      </c>
      <c r="LL575" s="156">
        <f t="shared" si="14"/>
        <v>0</v>
      </c>
      <c r="LM575" s="160">
        <f t="shared" si="15"/>
        <v>0</v>
      </c>
      <c r="LN575" s="174"/>
      <c r="LO575" s="174"/>
      <c r="LP575" s="174"/>
      <c r="LQ575" s="174"/>
      <c r="LR575" s="174"/>
      <c r="LS575" s="174"/>
      <c r="LT575" s="174"/>
      <c r="LU575" s="174"/>
      <c r="LV575" s="174"/>
      <c r="LW575" s="174">
        <f t="shared" ref="LW575:MQ575" si="40">IFS(TODAY()&lt;=LW$2,0,WEEKDAY(LW$2)=2,1,WEEKDAY(LW$2)=3,0,WEEKDAY(LW$2)=4,1,WEEKDAY(LW$2)=5,0,WEEKDAY(LW$2)=6,1,WEEKDAY(LW$2)=7,0,WEEKDAY(LW$2)=1,0)</f>
        <v>0</v>
      </c>
      <c r="LX575" s="174">
        <f t="shared" si="40"/>
        <v>1</v>
      </c>
      <c r="LY575" s="174">
        <f t="shared" si="40"/>
        <v>0</v>
      </c>
      <c r="LZ575" s="174">
        <f t="shared" si="40"/>
        <v>0</v>
      </c>
      <c r="MA575" s="174">
        <f t="shared" si="40"/>
        <v>1</v>
      </c>
      <c r="MB575" s="174">
        <f t="shared" si="40"/>
        <v>0</v>
      </c>
      <c r="MC575" s="174">
        <f t="shared" si="40"/>
        <v>1</v>
      </c>
      <c r="MD575" s="174">
        <f t="shared" si="40"/>
        <v>0</v>
      </c>
      <c r="ME575" s="174">
        <f t="shared" si="40"/>
        <v>0</v>
      </c>
      <c r="MF575" s="174">
        <f t="shared" si="40"/>
        <v>0</v>
      </c>
      <c r="MG575" s="174">
        <f t="shared" si="40"/>
        <v>0</v>
      </c>
      <c r="MH575" s="174">
        <f t="shared" si="40"/>
        <v>0</v>
      </c>
      <c r="MI575" s="174">
        <f t="shared" si="40"/>
        <v>0</v>
      </c>
      <c r="MJ575" s="174">
        <f t="shared" si="40"/>
        <v>0</v>
      </c>
      <c r="MK575" s="174">
        <f t="shared" si="40"/>
        <v>0</v>
      </c>
      <c r="ML575" s="174">
        <f t="shared" si="40"/>
        <v>0</v>
      </c>
      <c r="MM575" s="174">
        <f t="shared" si="40"/>
        <v>0</v>
      </c>
      <c r="MN575" s="174">
        <f t="shared" si="40"/>
        <v>0</v>
      </c>
      <c r="MO575" s="174">
        <f t="shared" si="40"/>
        <v>0</v>
      </c>
      <c r="MP575" s="174">
        <f t="shared" si="40"/>
        <v>0</v>
      </c>
      <c r="MQ575" s="174">
        <f t="shared" si="40"/>
        <v>0</v>
      </c>
      <c r="QX575" s="560">
        <v>46105.0</v>
      </c>
    </row>
    <row r="576">
      <c r="A576" s="12"/>
      <c r="B576" s="12"/>
      <c r="C576" s="12"/>
      <c r="D576" s="12"/>
      <c r="E576" s="12"/>
      <c r="F576" s="12"/>
      <c r="G576" s="12"/>
      <c r="H576" s="12"/>
      <c r="I576" s="143">
        <f t="shared" si="22"/>
        <v>-1</v>
      </c>
      <c r="J576" s="537">
        <v>46109.0</v>
      </c>
      <c r="K576" s="294" t="s">
        <v>53</v>
      </c>
      <c r="L576" s="23">
        <v>46113.0</v>
      </c>
      <c r="M576" s="10" t="s">
        <v>3488</v>
      </c>
      <c r="N576" s="86">
        <v>357.0</v>
      </c>
      <c r="O576" s="86">
        <v>30.0</v>
      </c>
      <c r="U576" s="162" t="s">
        <v>2669</v>
      </c>
      <c r="V576" s="538" t="s">
        <v>3076</v>
      </c>
      <c r="W576" s="125" t="s">
        <v>3489</v>
      </c>
      <c r="X576" s="140"/>
      <c r="Y576" s="166">
        <f t="shared" si="23"/>
        <v>1</v>
      </c>
      <c r="Z576" s="26">
        <f t="shared" si="7"/>
        <v>0</v>
      </c>
      <c r="AA576" s="26">
        <f t="shared" si="8"/>
        <v>0</v>
      </c>
      <c r="AB576" s="26">
        <f t="shared" si="9"/>
        <v>0</v>
      </c>
      <c r="AC576" s="155">
        <v>0.0</v>
      </c>
      <c r="AD576" s="155">
        <v>0.0</v>
      </c>
      <c r="AE576" s="155">
        <v>0.0</v>
      </c>
      <c r="AF576" s="155">
        <v>0.0</v>
      </c>
      <c r="AG576" s="155">
        <v>0.0</v>
      </c>
      <c r="AH576" s="155">
        <v>0.0</v>
      </c>
      <c r="BN576" s="155">
        <v>0.0</v>
      </c>
      <c r="BO576" s="155">
        <v>0.0</v>
      </c>
      <c r="BP576" s="155">
        <v>0.0</v>
      </c>
      <c r="BQ576" s="155">
        <v>0.0</v>
      </c>
      <c r="BR576" s="155">
        <v>0.0</v>
      </c>
      <c r="BS576" s="155">
        <v>0.0</v>
      </c>
      <c r="CV576" s="156">
        <v>1.0</v>
      </c>
      <c r="CW576" s="156">
        <v>0.0</v>
      </c>
      <c r="CX576" s="156">
        <v>0.0</v>
      </c>
      <c r="CY576" s="156">
        <v>0.0</v>
      </c>
      <c r="CZ576" s="156">
        <v>0.0</v>
      </c>
      <c r="DA576" s="156">
        <v>0.0</v>
      </c>
      <c r="EC576" s="86">
        <v>1.0</v>
      </c>
      <c r="EG576" s="156">
        <v>0.0</v>
      </c>
      <c r="EH576" s="156">
        <v>0.0</v>
      </c>
      <c r="EI576" s="156">
        <v>0.0</v>
      </c>
      <c r="EJ576" s="156">
        <v>0.0</v>
      </c>
      <c r="EK576" s="156">
        <v>0.0</v>
      </c>
      <c r="EL576" s="156">
        <v>0.0</v>
      </c>
      <c r="EM576" s="395"/>
      <c r="EN576" s="395"/>
      <c r="EO576" s="395"/>
      <c r="EP576" s="395"/>
      <c r="EQ576" s="395"/>
      <c r="ER576" s="395"/>
      <c r="ES576" s="395"/>
      <c r="ET576" s="395"/>
      <c r="EU576" s="395"/>
      <c r="EV576" s="395"/>
      <c r="EW576" s="395"/>
      <c r="EX576" s="395"/>
      <c r="EY576" s="395"/>
      <c r="EZ576" s="395"/>
      <c r="FA576" s="395"/>
      <c r="FB576" s="395"/>
      <c r="FC576" s="395"/>
      <c r="FD576" s="395"/>
      <c r="FE576" s="395"/>
      <c r="FF576" s="395"/>
      <c r="FG576" s="395"/>
      <c r="FH576" s="395"/>
      <c r="FI576" s="395"/>
      <c r="FJ576" s="395"/>
      <c r="FK576" s="395"/>
      <c r="FL576" s="395"/>
      <c r="FM576" s="395"/>
      <c r="FN576" s="395"/>
      <c r="FO576" s="395"/>
      <c r="FP576" s="395"/>
      <c r="FQ576" s="156">
        <v>0.0</v>
      </c>
      <c r="FR576" s="156">
        <v>0.0</v>
      </c>
      <c r="FS576" s="156">
        <v>0.0</v>
      </c>
      <c r="FT576" s="156">
        <v>0.0</v>
      </c>
      <c r="FU576" s="156">
        <v>0.0</v>
      </c>
      <c r="FV576" s="156">
        <v>0.0</v>
      </c>
      <c r="FW576" s="157"/>
      <c r="FX576" s="157"/>
      <c r="FY576" s="157"/>
      <c r="FZ576" s="157"/>
      <c r="GA576" s="157"/>
      <c r="GB576" s="157"/>
      <c r="GC576" s="157"/>
      <c r="GD576" s="157"/>
      <c r="GE576" s="157"/>
      <c r="GF576" s="157"/>
      <c r="GG576" s="157"/>
      <c r="GH576" s="157"/>
      <c r="GI576" s="157"/>
      <c r="GJ576" s="157"/>
      <c r="GK576" s="157"/>
      <c r="GL576" s="157"/>
      <c r="GM576" s="157"/>
      <c r="GN576" s="157"/>
      <c r="GO576" s="157"/>
      <c r="GP576" s="158"/>
      <c r="GQ576" s="157"/>
      <c r="GR576" s="157"/>
      <c r="GS576" s="157"/>
      <c r="GT576" s="157"/>
      <c r="GU576" s="157"/>
      <c r="GV576" s="157"/>
      <c r="GW576" s="157"/>
      <c r="GX576" s="157"/>
      <c r="GY576" s="157"/>
      <c r="GZ576" s="157"/>
      <c r="HA576" s="157"/>
      <c r="HB576" s="155">
        <v>0.0</v>
      </c>
      <c r="HC576" s="155">
        <v>0.0</v>
      </c>
      <c r="HD576" s="155">
        <v>0.0</v>
      </c>
      <c r="HE576" s="155">
        <v>0.0</v>
      </c>
      <c r="HF576" s="155">
        <v>0.0</v>
      </c>
      <c r="HG576" s="155">
        <v>0.0</v>
      </c>
      <c r="IL576" s="159">
        <v>0.0</v>
      </c>
      <c r="IM576" s="156">
        <v>0.0</v>
      </c>
      <c r="IN576" s="156">
        <v>0.0</v>
      </c>
      <c r="IO576" s="156">
        <v>0.0</v>
      </c>
      <c r="IP576" s="156">
        <v>0.0</v>
      </c>
      <c r="IQ576" s="160">
        <v>0.0</v>
      </c>
      <c r="JH576" s="25"/>
      <c r="JW576" s="159">
        <v>0.0</v>
      </c>
      <c r="JX576" s="156">
        <v>0.0</v>
      </c>
      <c r="JY576" s="156">
        <v>0.0</v>
      </c>
      <c r="JZ576" s="156">
        <v>0.0</v>
      </c>
      <c r="KA576" s="156">
        <v>0.0</v>
      </c>
      <c r="KB576" s="160">
        <v>0.0</v>
      </c>
      <c r="LH576" s="159">
        <f t="shared" si="10"/>
        <v>0</v>
      </c>
      <c r="LI576" s="156">
        <f t="shared" si="11"/>
        <v>0</v>
      </c>
      <c r="LJ576" s="156">
        <f t="shared" si="12"/>
        <v>0</v>
      </c>
      <c r="LK576" s="156">
        <f t="shared" si="13"/>
        <v>0</v>
      </c>
      <c r="LL576" s="156">
        <f t="shared" si="14"/>
        <v>0</v>
      </c>
      <c r="LM576" s="160">
        <f t="shared" si="15"/>
        <v>0</v>
      </c>
      <c r="QX576" s="560">
        <v>46105.0</v>
      </c>
    </row>
    <row r="577">
      <c r="A577" s="12"/>
      <c r="B577" s="12"/>
      <c r="C577" s="12"/>
      <c r="D577" s="12"/>
      <c r="E577" s="12"/>
      <c r="F577" s="12"/>
      <c r="G577" s="12"/>
      <c r="H577" s="12"/>
      <c r="I577" s="143">
        <f t="shared" si="22"/>
        <v>-12</v>
      </c>
      <c r="J577" s="23">
        <v>46111.0</v>
      </c>
      <c r="K577" s="164" t="s">
        <v>53</v>
      </c>
      <c r="L577" s="559">
        <v>46162.0</v>
      </c>
      <c r="M577" s="86" t="s">
        <v>3490</v>
      </c>
      <c r="N577" s="86">
        <v>235.0</v>
      </c>
      <c r="O577" s="86">
        <v>30.0</v>
      </c>
      <c r="U577" s="162" t="s">
        <v>3491</v>
      </c>
      <c r="V577" s="538" t="s">
        <v>3299</v>
      </c>
      <c r="W577" s="125" t="s">
        <v>3492</v>
      </c>
      <c r="X577" s="140"/>
      <c r="Y577" s="166">
        <f t="shared" si="23"/>
        <v>12</v>
      </c>
      <c r="Z577" s="26">
        <f t="shared" si="7"/>
        <v>0</v>
      </c>
      <c r="AA577" s="26">
        <f t="shared" si="8"/>
        <v>0</v>
      </c>
      <c r="AB577" s="26">
        <f t="shared" si="9"/>
        <v>0</v>
      </c>
      <c r="AC577" s="155">
        <v>0.0</v>
      </c>
      <c r="AD577" s="155">
        <v>0.0</v>
      </c>
      <c r="AE577" s="155">
        <v>0.0</v>
      </c>
      <c r="AF577" s="155">
        <v>0.0</v>
      </c>
      <c r="AG577" s="155">
        <v>0.0</v>
      </c>
      <c r="AH577" s="155">
        <v>0.0</v>
      </c>
      <c r="BN577" s="155">
        <v>0.0</v>
      </c>
      <c r="BO577" s="155">
        <v>0.0</v>
      </c>
      <c r="BP577" s="155">
        <v>0.0</v>
      </c>
      <c r="BQ577" s="155">
        <v>0.0</v>
      </c>
      <c r="BR577" s="155">
        <v>0.0</v>
      </c>
      <c r="BS577" s="155">
        <v>0.0</v>
      </c>
      <c r="CV577" s="156">
        <v>2.0</v>
      </c>
      <c r="CW577" s="156">
        <v>0.0</v>
      </c>
      <c r="CX577" s="156">
        <v>0.0</v>
      </c>
      <c r="CY577" s="156">
        <v>0.0</v>
      </c>
      <c r="CZ577" s="156">
        <v>0.0</v>
      </c>
      <c r="DA577" s="156">
        <v>0.0</v>
      </c>
      <c r="EE577" s="86">
        <v>1.0</v>
      </c>
      <c r="EF577" s="86">
        <v>1.0</v>
      </c>
      <c r="EG577" s="156">
        <v>10.0</v>
      </c>
      <c r="EH577" s="156">
        <v>0.0</v>
      </c>
      <c r="EI577" s="156">
        <v>0.0</v>
      </c>
      <c r="EJ577" s="156">
        <v>0.0</v>
      </c>
      <c r="EK577" s="156">
        <v>0.0</v>
      </c>
      <c r="EL577" s="156">
        <v>0.0</v>
      </c>
      <c r="EN577" s="86">
        <v>1.0</v>
      </c>
      <c r="ES577" s="86">
        <v>2.0</v>
      </c>
      <c r="EU577" s="86">
        <v>1.0</v>
      </c>
      <c r="EY577" s="86">
        <v>1.0</v>
      </c>
      <c r="EZ577" s="86">
        <v>1.0</v>
      </c>
      <c r="FB577" s="86">
        <v>1.0</v>
      </c>
      <c r="FG577" s="86">
        <v>1.0</v>
      </c>
      <c r="FI577" s="86">
        <v>1.0</v>
      </c>
      <c r="FN577" s="86">
        <v>1.0</v>
      </c>
      <c r="FQ577" s="156">
        <v>0.0</v>
      </c>
      <c r="FR577" s="156">
        <v>0.0</v>
      </c>
      <c r="FS577" s="156">
        <v>0.0</v>
      </c>
      <c r="FT577" s="156">
        <v>0.0</v>
      </c>
      <c r="FU577" s="156">
        <v>0.0</v>
      </c>
      <c r="FV577" s="156">
        <v>0.0</v>
      </c>
      <c r="FW577" s="157"/>
      <c r="FX577" s="157"/>
      <c r="FY577" s="157"/>
      <c r="FZ577" s="188"/>
      <c r="GA577" s="188"/>
      <c r="GB577" s="157"/>
      <c r="GC577" s="188"/>
      <c r="GD577" s="157"/>
      <c r="GE577" s="157"/>
      <c r="GF577" s="157"/>
      <c r="GG577" s="188"/>
      <c r="GH577" s="188"/>
      <c r="GI577" s="157"/>
      <c r="GJ577" s="188"/>
      <c r="GK577" s="157"/>
      <c r="GL577" s="157"/>
      <c r="GM577" s="157"/>
      <c r="GN577" s="188"/>
      <c r="GO577" s="188"/>
      <c r="GP577" s="158"/>
      <c r="GQ577" s="188"/>
      <c r="GR577" s="157"/>
      <c r="GS577" s="157"/>
      <c r="GT577" s="157"/>
      <c r="GU577" s="157"/>
      <c r="GV577" s="157"/>
      <c r="GW577" s="157"/>
      <c r="GX577" s="157"/>
      <c r="GY577" s="157"/>
      <c r="GZ577" s="157"/>
      <c r="HA577" s="157"/>
      <c r="HB577" s="155">
        <v>0.0</v>
      </c>
      <c r="HC577" s="155">
        <v>0.0</v>
      </c>
      <c r="HD577" s="155">
        <v>0.0</v>
      </c>
      <c r="HE577" s="155">
        <v>0.0</v>
      </c>
      <c r="HF577" s="155">
        <v>0.0</v>
      </c>
      <c r="HG577" s="155">
        <v>0.0</v>
      </c>
      <c r="IL577" s="159">
        <v>0.0</v>
      </c>
      <c r="IM577" s="156">
        <v>0.0</v>
      </c>
      <c r="IN577" s="156">
        <v>0.0</v>
      </c>
      <c r="IO577" s="156">
        <v>0.0</v>
      </c>
      <c r="IP577" s="156">
        <v>0.0</v>
      </c>
      <c r="IQ577" s="160">
        <v>0.0</v>
      </c>
      <c r="JH577" s="25"/>
      <c r="JW577" s="159">
        <v>0.0</v>
      </c>
      <c r="JX577" s="156">
        <v>0.0</v>
      </c>
      <c r="JY577" s="156">
        <v>0.0</v>
      </c>
      <c r="JZ577" s="156">
        <v>0.0</v>
      </c>
      <c r="KA577" s="156">
        <v>0.0</v>
      </c>
      <c r="KB577" s="160">
        <v>0.0</v>
      </c>
      <c r="LH577" s="159">
        <f t="shared" si="10"/>
        <v>0</v>
      </c>
      <c r="LI577" s="156">
        <f t="shared" si="11"/>
        <v>0</v>
      </c>
      <c r="LJ577" s="156">
        <f t="shared" si="12"/>
        <v>0</v>
      </c>
      <c r="LK577" s="156">
        <f t="shared" si="13"/>
        <v>0</v>
      </c>
      <c r="LL577" s="156">
        <f t="shared" si="14"/>
        <v>0</v>
      </c>
      <c r="LM577" s="160">
        <f t="shared" si="15"/>
        <v>0</v>
      </c>
      <c r="QX577" s="560">
        <v>46105.0</v>
      </c>
    </row>
    <row r="578">
      <c r="A578" s="12"/>
      <c r="B578" s="12"/>
      <c r="C578" s="12"/>
      <c r="D578" s="12"/>
      <c r="E578" s="12"/>
      <c r="F578" s="12"/>
      <c r="G578" s="12"/>
      <c r="H578" s="12"/>
      <c r="I578" s="143">
        <f t="shared" si="22"/>
        <v>-2</v>
      </c>
      <c r="J578" s="537">
        <v>46112.0</v>
      </c>
      <c r="K578" s="184" t="s">
        <v>61</v>
      </c>
      <c r="L578" s="108"/>
      <c r="M578" s="86" t="s">
        <v>400</v>
      </c>
      <c r="N578" s="86">
        <v>37.0</v>
      </c>
      <c r="O578" s="86">
        <v>30.0</v>
      </c>
      <c r="U578" s="162" t="s">
        <v>3493</v>
      </c>
      <c r="V578" s="538" t="s">
        <v>3494</v>
      </c>
      <c r="W578" s="125" t="s">
        <v>3495</v>
      </c>
      <c r="X578" s="140"/>
      <c r="Y578" s="166">
        <f t="shared" si="23"/>
        <v>2</v>
      </c>
      <c r="Z578" s="26">
        <f t="shared" si="7"/>
        <v>0</v>
      </c>
      <c r="AA578" s="26">
        <f t="shared" si="8"/>
        <v>0</v>
      </c>
      <c r="AB578" s="26">
        <f t="shared" si="9"/>
        <v>0</v>
      </c>
      <c r="AC578" s="155">
        <v>0.0</v>
      </c>
      <c r="AD578" s="155">
        <v>0.0</v>
      </c>
      <c r="AE578" s="155">
        <v>0.0</v>
      </c>
      <c r="AF578" s="155">
        <v>0.0</v>
      </c>
      <c r="AG578" s="155">
        <v>0.0</v>
      </c>
      <c r="AH578" s="155">
        <v>0.0</v>
      </c>
      <c r="BN578" s="155">
        <v>0.0</v>
      </c>
      <c r="BO578" s="155">
        <v>0.0</v>
      </c>
      <c r="BP578" s="155">
        <v>0.0</v>
      </c>
      <c r="BQ578" s="155">
        <v>0.0</v>
      </c>
      <c r="BR578" s="155">
        <v>0.0</v>
      </c>
      <c r="BS578" s="155">
        <v>0.0</v>
      </c>
      <c r="CV578" s="156">
        <v>1.0</v>
      </c>
      <c r="CW578" s="156">
        <v>0.0</v>
      </c>
      <c r="CX578" s="156">
        <v>0.0</v>
      </c>
      <c r="CY578" s="156">
        <v>0.0</v>
      </c>
      <c r="CZ578" s="156">
        <v>0.0</v>
      </c>
      <c r="DA578" s="156">
        <v>0.0</v>
      </c>
      <c r="EF578" s="86">
        <v>1.0</v>
      </c>
      <c r="EG578" s="156">
        <v>1.0</v>
      </c>
      <c r="EH578" s="156">
        <v>0.0</v>
      </c>
      <c r="EI578" s="156">
        <v>0.0</v>
      </c>
      <c r="EJ578" s="156">
        <v>0.0</v>
      </c>
      <c r="EK578" s="156">
        <v>0.0</v>
      </c>
      <c r="EL578" s="156">
        <v>0.0</v>
      </c>
      <c r="ES578" s="86">
        <v>1.0</v>
      </c>
      <c r="FQ578" s="156">
        <v>0.0</v>
      </c>
      <c r="FR578" s="156">
        <v>0.0</v>
      </c>
      <c r="FS578" s="156">
        <v>0.0</v>
      </c>
      <c r="FT578" s="156">
        <v>0.0</v>
      </c>
      <c r="FU578" s="156">
        <v>0.0</v>
      </c>
      <c r="FV578" s="156">
        <v>0.0</v>
      </c>
      <c r="FW578" s="157"/>
      <c r="FX578" s="157"/>
      <c r="FY578" s="157"/>
      <c r="FZ578" s="157"/>
      <c r="GA578" s="157"/>
      <c r="GB578" s="157"/>
      <c r="GC578" s="157"/>
      <c r="GD578" s="157"/>
      <c r="GE578" s="157"/>
      <c r="GF578" s="157"/>
      <c r="GG578" s="157"/>
      <c r="GH578" s="157"/>
      <c r="GI578" s="157"/>
      <c r="GJ578" s="157"/>
      <c r="GK578" s="157"/>
      <c r="GL578" s="157"/>
      <c r="GM578" s="157"/>
      <c r="GN578" s="157"/>
      <c r="GO578" s="157"/>
      <c r="GP578" s="158"/>
      <c r="GQ578" s="157"/>
      <c r="GR578" s="157"/>
      <c r="GS578" s="157"/>
      <c r="GT578" s="157"/>
      <c r="GU578" s="157"/>
      <c r="GV578" s="157"/>
      <c r="GW578" s="157"/>
      <c r="GX578" s="157"/>
      <c r="GY578" s="157"/>
      <c r="GZ578" s="157"/>
      <c r="HA578" s="157"/>
      <c r="HB578" s="155">
        <v>0.0</v>
      </c>
      <c r="HC578" s="155">
        <v>0.0</v>
      </c>
      <c r="HD578" s="155">
        <v>0.0</v>
      </c>
      <c r="HE578" s="155">
        <v>0.0</v>
      </c>
      <c r="HF578" s="155">
        <v>0.0</v>
      </c>
      <c r="HG578" s="155">
        <v>0.0</v>
      </c>
      <c r="IL578" s="159">
        <v>0.0</v>
      </c>
      <c r="IM578" s="156">
        <v>0.0</v>
      </c>
      <c r="IN578" s="156">
        <v>0.0</v>
      </c>
      <c r="IO578" s="156">
        <v>0.0</v>
      </c>
      <c r="IP578" s="156">
        <v>0.0</v>
      </c>
      <c r="IQ578" s="160">
        <v>0.0</v>
      </c>
      <c r="JH578" s="25"/>
      <c r="JW578" s="159">
        <v>0.0</v>
      </c>
      <c r="JX578" s="156">
        <v>0.0</v>
      </c>
      <c r="JY578" s="156">
        <v>0.0</v>
      </c>
      <c r="JZ578" s="156">
        <v>0.0</v>
      </c>
      <c r="KA578" s="156">
        <v>0.0</v>
      </c>
      <c r="KB578" s="160">
        <v>0.0</v>
      </c>
      <c r="LH578" s="159">
        <f t="shared" si="10"/>
        <v>0</v>
      </c>
      <c r="LI578" s="156">
        <f t="shared" si="11"/>
        <v>0</v>
      </c>
      <c r="LJ578" s="156">
        <f t="shared" si="12"/>
        <v>0</v>
      </c>
      <c r="LK578" s="156">
        <f t="shared" si="13"/>
        <v>0</v>
      </c>
      <c r="LL578" s="156">
        <f t="shared" si="14"/>
        <v>0</v>
      </c>
      <c r="LM578" s="160">
        <f t="shared" si="15"/>
        <v>0</v>
      </c>
      <c r="QX578" s="560">
        <v>46106.0</v>
      </c>
    </row>
    <row r="579">
      <c r="A579" s="12"/>
      <c r="B579" s="12"/>
      <c r="C579" s="12"/>
      <c r="D579" s="12"/>
      <c r="E579" s="12"/>
      <c r="F579" s="494"/>
      <c r="G579" s="12"/>
      <c r="H579" s="12"/>
      <c r="I579" s="143">
        <f t="shared" si="22"/>
        <v>-22</v>
      </c>
      <c r="J579" s="537">
        <v>46120.0</v>
      </c>
      <c r="K579" s="294" t="s">
        <v>53</v>
      </c>
      <c r="L579" s="537">
        <v>46261.0</v>
      </c>
      <c r="M579" s="86" t="s">
        <v>3496</v>
      </c>
      <c r="N579" s="86">
        <v>246.0</v>
      </c>
      <c r="O579" s="86">
        <v>30.0</v>
      </c>
      <c r="U579" s="162" t="s">
        <v>907</v>
      </c>
      <c r="V579" s="538" t="s">
        <v>3497</v>
      </c>
      <c r="W579" s="185" t="s">
        <v>3498</v>
      </c>
      <c r="X579" s="140"/>
      <c r="Y579" s="166">
        <f t="shared" si="23"/>
        <v>22</v>
      </c>
      <c r="Z579" s="26">
        <f t="shared" si="7"/>
        <v>0</v>
      </c>
      <c r="AA579" s="26">
        <f t="shared" si="8"/>
        <v>1</v>
      </c>
      <c r="AB579" s="26">
        <f t="shared" si="9"/>
        <v>0</v>
      </c>
      <c r="AC579" s="155">
        <v>0.0</v>
      </c>
      <c r="AD579" s="155">
        <v>0.0</v>
      </c>
      <c r="AE579" s="155">
        <v>0.0</v>
      </c>
      <c r="AF579" s="155">
        <v>0.0</v>
      </c>
      <c r="AG579" s="155">
        <v>0.0</v>
      </c>
      <c r="AH579" s="155">
        <v>0.0</v>
      </c>
      <c r="BN579" s="155">
        <v>0.0</v>
      </c>
      <c r="BO579" s="155">
        <v>0.0</v>
      </c>
      <c r="BP579" s="155">
        <v>0.0</v>
      </c>
      <c r="BQ579" s="155">
        <v>0.0</v>
      </c>
      <c r="BR579" s="155">
        <v>0.0</v>
      </c>
      <c r="BS579" s="155">
        <v>0.0</v>
      </c>
      <c r="CV579" s="156">
        <v>0.0</v>
      </c>
      <c r="CW579" s="156">
        <v>0.0</v>
      </c>
      <c r="CX579" s="156">
        <v>0.0</v>
      </c>
      <c r="CY579" s="156">
        <v>0.0</v>
      </c>
      <c r="CZ579" s="156">
        <v>0.0</v>
      </c>
      <c r="DA579" s="156">
        <v>0.0</v>
      </c>
      <c r="EG579" s="156">
        <v>8.0</v>
      </c>
      <c r="EH579" s="156">
        <v>0.0</v>
      </c>
      <c r="EI579" s="156">
        <v>0.0</v>
      </c>
      <c r="EJ579" s="156">
        <v>0.0</v>
      </c>
      <c r="EK579" s="156">
        <v>0.0</v>
      </c>
      <c r="EL579" s="156">
        <v>0.0</v>
      </c>
      <c r="EM579" s="174"/>
      <c r="EN579" s="174"/>
      <c r="EO579" s="174"/>
      <c r="EP579" s="174"/>
      <c r="EQ579" s="174"/>
      <c r="ER579" s="174"/>
      <c r="ES579" s="174"/>
      <c r="ET579" s="174">
        <v>1.0</v>
      </c>
      <c r="EU579" s="174">
        <v>0.0</v>
      </c>
      <c r="EV579" s="174">
        <v>1.0</v>
      </c>
      <c r="EW579" s="174">
        <v>0.0</v>
      </c>
      <c r="EX579" s="174">
        <v>0.0</v>
      </c>
      <c r="EY579" s="174">
        <v>1.0</v>
      </c>
      <c r="EZ579" s="174">
        <v>0.0</v>
      </c>
      <c r="FA579" s="174">
        <v>1.0</v>
      </c>
      <c r="FB579" s="174"/>
      <c r="FC579" s="174"/>
      <c r="FD579" s="174"/>
      <c r="FE579" s="174"/>
      <c r="FF579" s="174">
        <v>1.0</v>
      </c>
      <c r="FG579" s="174">
        <v>0.0</v>
      </c>
      <c r="FH579" s="174">
        <v>1.0</v>
      </c>
      <c r="FI579" s="174">
        <v>0.0</v>
      </c>
      <c r="FJ579" s="174">
        <v>1.0</v>
      </c>
      <c r="FK579" s="174"/>
      <c r="FL579" s="174"/>
      <c r="FM579" s="174"/>
      <c r="FN579" s="174"/>
      <c r="FO579" s="174">
        <v>1.0</v>
      </c>
      <c r="FP579" s="174">
        <v>0.0</v>
      </c>
      <c r="FQ579" s="156">
        <v>10.0</v>
      </c>
      <c r="FR579" s="156">
        <v>0.0</v>
      </c>
      <c r="FS579" s="156">
        <v>0.0</v>
      </c>
      <c r="FT579" s="156">
        <v>0.0</v>
      </c>
      <c r="FU579" s="156">
        <v>0.0</v>
      </c>
      <c r="FV579" s="156">
        <v>0.0</v>
      </c>
      <c r="FW579" s="174"/>
      <c r="FX579" s="174"/>
      <c r="FY579" s="174"/>
      <c r="FZ579" s="174">
        <v>1.0</v>
      </c>
      <c r="GA579" s="174">
        <v>0.0</v>
      </c>
      <c r="GB579" s="174">
        <v>1.0</v>
      </c>
      <c r="GC579" s="174">
        <v>0.0</v>
      </c>
      <c r="GD579" s="174">
        <v>1.0</v>
      </c>
      <c r="GE579" s="174">
        <v>0.0</v>
      </c>
      <c r="GF579" s="174">
        <v>0.0</v>
      </c>
      <c r="GG579" s="174"/>
      <c r="GH579" s="174">
        <v>0.0</v>
      </c>
      <c r="GI579" s="174">
        <v>1.0</v>
      </c>
      <c r="GJ579" s="174">
        <v>0.0</v>
      </c>
      <c r="GK579" s="174">
        <v>1.0</v>
      </c>
      <c r="GL579" s="174">
        <v>0.0</v>
      </c>
      <c r="GM579" s="174">
        <v>0.0</v>
      </c>
      <c r="GN579" s="174"/>
      <c r="GO579" s="174">
        <v>0.0</v>
      </c>
      <c r="GP579" s="177">
        <v>1.0</v>
      </c>
      <c r="GQ579" s="174">
        <v>0.0</v>
      </c>
      <c r="GR579" s="175">
        <v>1.0</v>
      </c>
      <c r="GS579" s="174">
        <v>0.0</v>
      </c>
      <c r="GT579" s="174">
        <v>0.0</v>
      </c>
      <c r="GU579" s="174">
        <v>1.0</v>
      </c>
      <c r="GV579" s="174">
        <v>0.0</v>
      </c>
      <c r="GW579" s="174">
        <v>1.0</v>
      </c>
      <c r="GX579" s="174">
        <v>0.0</v>
      </c>
      <c r="GY579" s="174">
        <v>1.0</v>
      </c>
      <c r="GZ579" s="174">
        <v>0.0</v>
      </c>
      <c r="HA579" s="174">
        <v>0.0</v>
      </c>
      <c r="HB579" s="155">
        <v>1.0</v>
      </c>
      <c r="HC579" s="155">
        <v>0.0</v>
      </c>
      <c r="HD579" s="155">
        <v>0.0</v>
      </c>
      <c r="HE579" s="155">
        <v>0.0</v>
      </c>
      <c r="HF579" s="155">
        <v>0.0</v>
      </c>
      <c r="HG579" s="155">
        <v>0.0</v>
      </c>
      <c r="HH579" s="174">
        <v>1.0</v>
      </c>
      <c r="HI579" s="174"/>
      <c r="HJ579" s="174"/>
      <c r="HK579" s="174"/>
      <c r="HL579" s="174"/>
      <c r="HM579" s="174"/>
      <c r="HN579" s="174"/>
      <c r="HO579" s="174"/>
      <c r="HP579" s="174"/>
      <c r="HQ579" s="174"/>
      <c r="HR579" s="174"/>
      <c r="HS579" s="174"/>
      <c r="HT579" s="174"/>
      <c r="HU579" s="174"/>
      <c r="HV579" s="174"/>
      <c r="HW579" s="174"/>
      <c r="HX579" s="174"/>
      <c r="HY579" s="174"/>
      <c r="HZ579" s="174"/>
      <c r="IA579" s="174"/>
      <c r="IB579" s="174"/>
      <c r="IC579" s="174"/>
      <c r="ID579" s="174"/>
      <c r="IE579" s="174"/>
      <c r="IF579" s="174"/>
      <c r="IG579" s="174"/>
      <c r="IH579" s="174"/>
      <c r="II579" s="174"/>
      <c r="IJ579" s="174"/>
      <c r="IK579" s="174"/>
      <c r="IL579" s="159">
        <v>1.0</v>
      </c>
      <c r="IM579" s="156">
        <v>0.0</v>
      </c>
      <c r="IN579" s="156">
        <v>0.0</v>
      </c>
      <c r="IO579" s="156">
        <v>0.0</v>
      </c>
      <c r="IP579" s="156">
        <v>0.0</v>
      </c>
      <c r="IQ579" s="160">
        <v>0.0</v>
      </c>
      <c r="IR579" s="174"/>
      <c r="IS579" s="174"/>
      <c r="IT579" s="174"/>
      <c r="IU579" s="174"/>
      <c r="IV579" s="174"/>
      <c r="IW579" s="174"/>
      <c r="IX579" s="174"/>
      <c r="IY579" s="174"/>
      <c r="IZ579" s="174"/>
      <c r="JA579" s="174"/>
      <c r="JB579" s="174"/>
      <c r="JC579" s="174"/>
      <c r="JD579" s="174"/>
      <c r="JE579" s="174"/>
      <c r="JF579" s="174"/>
      <c r="JG579" s="174"/>
      <c r="JH579" s="177"/>
      <c r="JI579" s="174"/>
      <c r="JJ579" s="174"/>
      <c r="JK579" s="174"/>
      <c r="JL579" s="174"/>
      <c r="JM579" s="174"/>
      <c r="JN579" s="174"/>
      <c r="JO579" s="174"/>
      <c r="JP579" s="174"/>
      <c r="JQ579" s="174"/>
      <c r="JR579" s="174"/>
      <c r="JS579" s="174"/>
      <c r="JT579" s="175">
        <v>1.0</v>
      </c>
      <c r="JU579" s="174"/>
      <c r="JV579" s="174"/>
      <c r="JW579" s="159">
        <v>2.0</v>
      </c>
      <c r="JX579" s="156">
        <v>0.0</v>
      </c>
      <c r="JY579" s="156">
        <v>0.0</v>
      </c>
      <c r="JZ579" s="156">
        <v>1.0</v>
      </c>
      <c r="KA579" s="156">
        <v>0.0</v>
      </c>
      <c r="KB579" s="160">
        <v>0.0</v>
      </c>
      <c r="KC579" s="174"/>
      <c r="KD579" s="174"/>
      <c r="KE579" s="174"/>
      <c r="KF579" s="174"/>
      <c r="KG579" s="175">
        <v>1.0</v>
      </c>
      <c r="KH579" s="174"/>
      <c r="KI579" s="174"/>
      <c r="KJ579" s="174"/>
      <c r="KK579" s="174"/>
      <c r="KL579" s="174"/>
      <c r="KM579" s="174"/>
      <c r="KN579" s="174"/>
      <c r="KO579" s="174"/>
      <c r="KP579" s="174"/>
      <c r="KQ579" s="174"/>
      <c r="KR579" s="174"/>
      <c r="KS579" s="472"/>
      <c r="KT579" s="174"/>
      <c r="KU579" s="175"/>
      <c r="KV579" s="174"/>
      <c r="KW579" s="175" t="s">
        <v>624</v>
      </c>
      <c r="KX579" s="174"/>
      <c r="KY579" s="174"/>
      <c r="KZ579" s="174"/>
      <c r="LA579" s="174"/>
      <c r="LB579" s="174"/>
      <c r="LC579" s="174"/>
      <c r="LD579" s="174"/>
      <c r="LE579" s="174"/>
      <c r="LF579" s="174"/>
      <c r="LG579" s="174"/>
      <c r="LH579" s="159">
        <f t="shared" si="10"/>
        <v>0</v>
      </c>
      <c r="LI579" s="156">
        <f t="shared" si="11"/>
        <v>0</v>
      </c>
      <c r="LJ579" s="156">
        <f t="shared" si="12"/>
        <v>0</v>
      </c>
      <c r="LK579" s="156">
        <f t="shared" si="13"/>
        <v>0</v>
      </c>
      <c r="LL579" s="156">
        <f t="shared" si="14"/>
        <v>0</v>
      </c>
      <c r="LM579" s="160">
        <f t="shared" si="15"/>
        <v>0</v>
      </c>
      <c r="QX579" s="560">
        <v>46106.0</v>
      </c>
    </row>
    <row r="580">
      <c r="A580" s="12"/>
      <c r="B580" s="12"/>
      <c r="C580" s="12"/>
      <c r="D580" s="12"/>
      <c r="E580" s="12"/>
      <c r="F580" s="12"/>
      <c r="G580" s="12"/>
      <c r="H580" s="12"/>
      <c r="I580" s="143">
        <f t="shared" si="22"/>
        <v>-40</v>
      </c>
      <c r="J580" s="537">
        <v>46116.0</v>
      </c>
      <c r="K580" s="180" t="s">
        <v>48</v>
      </c>
      <c r="L580" s="162"/>
      <c r="M580" s="86" t="s">
        <v>435</v>
      </c>
      <c r="N580" s="188" t="s">
        <v>467</v>
      </c>
      <c r="O580" s="86">
        <v>30.0</v>
      </c>
      <c r="U580" s="162" t="s">
        <v>1140</v>
      </c>
      <c r="V580" s="538" t="s">
        <v>3499</v>
      </c>
      <c r="W580" s="185" t="s">
        <v>3500</v>
      </c>
      <c r="X580" s="140"/>
      <c r="Y580" s="166">
        <f t="shared" si="23"/>
        <v>40</v>
      </c>
      <c r="Z580" s="26">
        <f t="shared" si="7"/>
        <v>0</v>
      </c>
      <c r="AA580" s="26">
        <f t="shared" si="8"/>
        <v>1</v>
      </c>
      <c r="AB580" s="26">
        <f t="shared" si="9"/>
        <v>0</v>
      </c>
      <c r="AC580" s="155">
        <v>0.0</v>
      </c>
      <c r="AD580" s="155">
        <v>0.0</v>
      </c>
      <c r="AE580" s="155">
        <v>0.0</v>
      </c>
      <c r="AF580" s="155">
        <v>0.0</v>
      </c>
      <c r="AG580" s="155">
        <v>0.0</v>
      </c>
      <c r="AH580" s="155">
        <v>0.0</v>
      </c>
      <c r="BN580" s="155">
        <v>0.0</v>
      </c>
      <c r="BO580" s="155">
        <v>0.0</v>
      </c>
      <c r="BP580" s="155">
        <v>0.0</v>
      </c>
      <c r="BQ580" s="155">
        <v>0.0</v>
      </c>
      <c r="BR580" s="155">
        <v>0.0</v>
      </c>
      <c r="BS580" s="155">
        <v>0.0</v>
      </c>
      <c r="CV580" s="156">
        <v>0.0</v>
      </c>
      <c r="CW580" s="156">
        <v>0.0</v>
      </c>
      <c r="CX580" s="156">
        <v>0.0</v>
      </c>
      <c r="CY580" s="156">
        <v>0.0</v>
      </c>
      <c r="CZ580" s="156">
        <v>0.0</v>
      </c>
      <c r="DA580" s="156">
        <v>0.0</v>
      </c>
      <c r="EG580" s="156">
        <v>6.0</v>
      </c>
      <c r="EH580" s="156">
        <v>0.0</v>
      </c>
      <c r="EI580" s="156">
        <v>0.0</v>
      </c>
      <c r="EJ580" s="156">
        <v>0.0</v>
      </c>
      <c r="EK580" s="156">
        <v>0.0</v>
      </c>
      <c r="EL580" s="156">
        <v>0.0</v>
      </c>
      <c r="EP580" s="86">
        <v>1.0</v>
      </c>
      <c r="EQ580" s="86">
        <v>1.0</v>
      </c>
      <c r="EW580" s="86">
        <v>1.0</v>
      </c>
      <c r="EX580" s="86">
        <v>1.0</v>
      </c>
      <c r="FD580" s="86">
        <v>1.0</v>
      </c>
      <c r="FK580" s="86">
        <v>1.0</v>
      </c>
      <c r="FQ580" s="156">
        <v>7.0</v>
      </c>
      <c r="FR580" s="156">
        <v>0.0</v>
      </c>
      <c r="FS580" s="156">
        <v>0.0</v>
      </c>
      <c r="FT580" s="156">
        <v>0.0</v>
      </c>
      <c r="FU580" s="156">
        <v>0.0</v>
      </c>
      <c r="FV580" s="156">
        <v>0.0</v>
      </c>
      <c r="FW580" s="157"/>
      <c r="FX580" s="188"/>
      <c r="FY580" s="188"/>
      <c r="FZ580" s="157"/>
      <c r="GA580" s="157"/>
      <c r="GB580" s="157"/>
      <c r="GC580" s="157"/>
      <c r="GD580" s="157"/>
      <c r="GE580" s="188">
        <v>1.0</v>
      </c>
      <c r="GF580" s="188">
        <v>1.0</v>
      </c>
      <c r="GG580" s="157"/>
      <c r="GH580" s="157"/>
      <c r="GI580" s="157"/>
      <c r="GJ580" s="157"/>
      <c r="GK580" s="157"/>
      <c r="GL580" s="188">
        <v>1.0</v>
      </c>
      <c r="GM580" s="188">
        <v>1.0</v>
      </c>
      <c r="GN580" s="157"/>
      <c r="GO580" s="157"/>
      <c r="GP580" s="158"/>
      <c r="GQ580" s="157"/>
      <c r="GR580" s="157"/>
      <c r="GS580" s="188">
        <v>1.0</v>
      </c>
      <c r="GT580" s="157"/>
      <c r="GU580" s="157"/>
      <c r="GV580" s="157"/>
      <c r="GW580" s="157"/>
      <c r="GX580" s="157"/>
      <c r="GY580" s="157"/>
      <c r="GZ580" s="188">
        <v>1.0</v>
      </c>
      <c r="HA580" s="188">
        <v>1.0</v>
      </c>
      <c r="HB580" s="155">
        <v>7.0</v>
      </c>
      <c r="HC580" s="155">
        <v>0.0</v>
      </c>
      <c r="HD580" s="155">
        <v>0.0</v>
      </c>
      <c r="HE580" s="155">
        <v>0.0</v>
      </c>
      <c r="HF580" s="155">
        <v>0.0</v>
      </c>
      <c r="HG580" s="155">
        <v>0.0</v>
      </c>
      <c r="HM580" s="86">
        <v>1.0</v>
      </c>
      <c r="HN580" s="86">
        <v>1.0</v>
      </c>
      <c r="HT580" s="86">
        <v>1.0</v>
      </c>
      <c r="HU580" s="86">
        <v>1.0</v>
      </c>
      <c r="IA580" s="86">
        <v>1.0</v>
      </c>
      <c r="IB580" s="86">
        <v>1.0</v>
      </c>
      <c r="IH580" s="86">
        <v>1.0</v>
      </c>
      <c r="IL580" s="159">
        <v>9.0</v>
      </c>
      <c r="IM580" s="156">
        <v>0.0</v>
      </c>
      <c r="IN580" s="156">
        <v>0.0</v>
      </c>
      <c r="IO580" s="156">
        <v>0.0</v>
      </c>
      <c r="IP580" s="156">
        <v>0.0</v>
      </c>
      <c r="IQ580" s="160">
        <v>0.0</v>
      </c>
      <c r="IU580" s="86">
        <v>1.0</v>
      </c>
      <c r="IV580" s="86">
        <v>1.0</v>
      </c>
      <c r="JA580" s="86">
        <v>1.0</v>
      </c>
      <c r="JB580" s="86">
        <v>1.0</v>
      </c>
      <c r="JC580" s="86">
        <v>1.0</v>
      </c>
      <c r="JD580" s="86"/>
      <c r="JH580" s="25"/>
      <c r="JI580" s="86">
        <v>1.0</v>
      </c>
      <c r="JJ580" s="86">
        <v>1.0</v>
      </c>
      <c r="JP580" s="86">
        <v>1.0</v>
      </c>
      <c r="JQ580" s="86">
        <v>1.0</v>
      </c>
      <c r="JW580" s="159">
        <v>9.0</v>
      </c>
      <c r="JX580" s="156">
        <v>0.0</v>
      </c>
      <c r="JY580" s="156">
        <v>0.0</v>
      </c>
      <c r="JZ580" s="156">
        <v>1.0</v>
      </c>
      <c r="KA580" s="156">
        <v>0.0</v>
      </c>
      <c r="KB580" s="160">
        <v>0.0</v>
      </c>
      <c r="KC580" s="86">
        <v>1.0</v>
      </c>
      <c r="KD580" s="86">
        <v>1.0</v>
      </c>
      <c r="KK580" s="86">
        <v>1.0</v>
      </c>
      <c r="KQ580" s="86" t="s">
        <v>947</v>
      </c>
      <c r="KR580" s="86">
        <v>1.0</v>
      </c>
      <c r="KS580" s="178"/>
      <c r="KX580" s="86">
        <v>2.0</v>
      </c>
      <c r="LE580" s="86">
        <v>2.0</v>
      </c>
      <c r="LH580" s="159">
        <f t="shared" si="10"/>
        <v>2</v>
      </c>
      <c r="LI580" s="156">
        <f t="shared" si="11"/>
        <v>0</v>
      </c>
      <c r="LJ580" s="156">
        <f t="shared" si="12"/>
        <v>0</v>
      </c>
      <c r="LK580" s="156">
        <f t="shared" si="13"/>
        <v>0</v>
      </c>
      <c r="LL580" s="156">
        <f t="shared" si="14"/>
        <v>0</v>
      </c>
      <c r="LM580" s="160">
        <f t="shared" si="15"/>
        <v>0</v>
      </c>
      <c r="LR580" s="189">
        <v>1.0</v>
      </c>
      <c r="LS580" s="189">
        <v>1.0</v>
      </c>
      <c r="QX580" s="560">
        <v>46107.0</v>
      </c>
    </row>
    <row r="581">
      <c r="A581" s="12"/>
      <c r="B581" s="12"/>
      <c r="C581" s="12"/>
      <c r="D581" s="12"/>
      <c r="E581" s="12"/>
      <c r="F581" s="12"/>
      <c r="G581" s="12"/>
      <c r="H581" s="12"/>
      <c r="I581" s="143">
        <f t="shared" si="22"/>
        <v>-12</v>
      </c>
      <c r="J581" s="537">
        <v>46112.0</v>
      </c>
      <c r="K581" s="164" t="s">
        <v>61</v>
      </c>
      <c r="L581" s="23">
        <v>46149.0</v>
      </c>
      <c r="M581" s="86" t="s">
        <v>228</v>
      </c>
      <c r="N581" s="188">
        <v>357.0</v>
      </c>
      <c r="O581" s="86">
        <v>30.0</v>
      </c>
      <c r="U581" s="162" t="s">
        <v>1259</v>
      </c>
      <c r="V581" s="538" t="s">
        <v>732</v>
      </c>
      <c r="W581" s="125" t="s">
        <v>3501</v>
      </c>
      <c r="X581" s="140"/>
      <c r="Y581" s="166">
        <f t="shared" si="23"/>
        <v>12</v>
      </c>
      <c r="Z581" s="26">
        <f t="shared" si="7"/>
        <v>0</v>
      </c>
      <c r="AA581" s="26">
        <f t="shared" si="8"/>
        <v>0</v>
      </c>
      <c r="AB581" s="26">
        <f t="shared" si="9"/>
        <v>0</v>
      </c>
      <c r="AC581" s="155">
        <v>0.0</v>
      </c>
      <c r="AD581" s="155">
        <v>0.0</v>
      </c>
      <c r="AE581" s="155">
        <v>0.0</v>
      </c>
      <c r="AF581" s="155">
        <v>0.0</v>
      </c>
      <c r="AG581" s="155">
        <v>0.0</v>
      </c>
      <c r="AH581" s="155">
        <v>0.0</v>
      </c>
      <c r="BN581" s="155">
        <v>0.0</v>
      </c>
      <c r="BO581" s="155">
        <v>0.0</v>
      </c>
      <c r="BP581" s="155">
        <v>0.0</v>
      </c>
      <c r="BQ581" s="155">
        <v>0.0</v>
      </c>
      <c r="BR581" s="155">
        <v>0.0</v>
      </c>
      <c r="BS581" s="155">
        <v>0.0</v>
      </c>
      <c r="CV581" s="156">
        <v>1.0</v>
      </c>
      <c r="CW581" s="156">
        <v>0.0</v>
      </c>
      <c r="CX581" s="156">
        <v>0.0</v>
      </c>
      <c r="CY581" s="156">
        <v>0.0</v>
      </c>
      <c r="CZ581" s="156">
        <v>0.0</v>
      </c>
      <c r="DA581" s="156">
        <v>0.0</v>
      </c>
      <c r="EF581" s="86">
        <v>1.0</v>
      </c>
      <c r="EG581" s="156">
        <v>10.0</v>
      </c>
      <c r="EH581" s="156">
        <v>0.0</v>
      </c>
      <c r="EI581" s="156">
        <v>0.0</v>
      </c>
      <c r="EJ581" s="156">
        <v>0.0</v>
      </c>
      <c r="EK581" s="156">
        <v>0.0</v>
      </c>
      <c r="EL581" s="156">
        <v>0.0</v>
      </c>
      <c r="EM581" s="395"/>
      <c r="EN581" s="395"/>
      <c r="EO581" s="395">
        <v>1.0</v>
      </c>
      <c r="EP581" s="395">
        <v>1.0</v>
      </c>
      <c r="EQ581" s="395">
        <v>0.0</v>
      </c>
      <c r="ER581" s="395">
        <v>0.0</v>
      </c>
      <c r="ES581" s="395">
        <v>1.0</v>
      </c>
      <c r="ET581" s="395">
        <v>0.0</v>
      </c>
      <c r="EU581" s="395">
        <v>1.0</v>
      </c>
      <c r="EV581" s="395">
        <v>0.0</v>
      </c>
      <c r="EW581" s="395">
        <v>1.0</v>
      </c>
      <c r="EX581" s="395"/>
      <c r="EY581" s="395"/>
      <c r="EZ581" s="395"/>
      <c r="FA581" s="395"/>
      <c r="FB581" s="395">
        <v>1.0</v>
      </c>
      <c r="FC581" s="395"/>
      <c r="FD581" s="395"/>
      <c r="FE581" s="395"/>
      <c r="FF581" s="395"/>
      <c r="FG581" s="395">
        <v>1.0</v>
      </c>
      <c r="FH581" s="395">
        <v>0.0</v>
      </c>
      <c r="FI581" s="395">
        <v>1.0</v>
      </c>
      <c r="FJ581" s="395"/>
      <c r="FK581" s="395"/>
      <c r="FL581" s="395"/>
      <c r="FM581" s="395"/>
      <c r="FN581" s="395">
        <v>1.0</v>
      </c>
      <c r="FO581" s="395">
        <v>1.0</v>
      </c>
      <c r="FP581" s="395"/>
      <c r="FQ581" s="156">
        <v>1.0</v>
      </c>
      <c r="FR581" s="156">
        <v>0.0</v>
      </c>
      <c r="FS581" s="156">
        <v>0.0</v>
      </c>
      <c r="FT581" s="156">
        <v>0.0</v>
      </c>
      <c r="FU581" s="156">
        <v>0.0</v>
      </c>
      <c r="FV581" s="156">
        <v>0.0</v>
      </c>
      <c r="FW581" s="172"/>
      <c r="FX581" s="172"/>
      <c r="FY581" s="172"/>
      <c r="FZ581" s="172"/>
      <c r="GA581" s="172">
        <v>1.0</v>
      </c>
      <c r="GB581" s="172"/>
      <c r="GC581" s="172"/>
      <c r="GD581" s="172"/>
      <c r="GE581" s="172"/>
      <c r="GF581" s="172"/>
      <c r="GG581" s="172"/>
      <c r="GH581" s="172"/>
      <c r="GI581" s="172"/>
      <c r="GJ581" s="172"/>
      <c r="GK581" s="172"/>
      <c r="GL581" s="172"/>
      <c r="GM581" s="172"/>
      <c r="GN581" s="172"/>
      <c r="GO581" s="172"/>
      <c r="GP581" s="170"/>
      <c r="GQ581" s="172"/>
      <c r="GR581" s="172"/>
      <c r="GS581" s="172"/>
      <c r="GT581" s="172"/>
      <c r="GU581" s="172"/>
      <c r="GV581" s="172"/>
      <c r="GW581" s="172"/>
      <c r="GX581" s="172"/>
      <c r="GY581" s="172"/>
      <c r="GZ581" s="172"/>
      <c r="HA581" s="172"/>
      <c r="HB581" s="155">
        <v>0.0</v>
      </c>
      <c r="HC581" s="155">
        <v>0.0</v>
      </c>
      <c r="HD581" s="155">
        <v>0.0</v>
      </c>
      <c r="HE581" s="155">
        <v>0.0</v>
      </c>
      <c r="HF581" s="155">
        <v>0.0</v>
      </c>
      <c r="HG581" s="155">
        <v>0.0</v>
      </c>
      <c r="IL581" s="159">
        <v>0.0</v>
      </c>
      <c r="IM581" s="156">
        <v>0.0</v>
      </c>
      <c r="IN581" s="156">
        <v>0.0</v>
      </c>
      <c r="IO581" s="156">
        <v>0.0</v>
      </c>
      <c r="IP581" s="156">
        <v>0.0</v>
      </c>
      <c r="IQ581" s="160">
        <v>0.0</v>
      </c>
      <c r="JH581" s="25"/>
      <c r="JW581" s="159">
        <v>0.0</v>
      </c>
      <c r="JX581" s="156">
        <v>0.0</v>
      </c>
      <c r="JY581" s="156">
        <v>0.0</v>
      </c>
      <c r="JZ581" s="156">
        <v>0.0</v>
      </c>
      <c r="KA581" s="156">
        <v>0.0</v>
      </c>
      <c r="KB581" s="160">
        <v>0.0</v>
      </c>
      <c r="LH581" s="159">
        <f t="shared" si="10"/>
        <v>0</v>
      </c>
      <c r="LI581" s="156">
        <f t="shared" si="11"/>
        <v>0</v>
      </c>
      <c r="LJ581" s="156">
        <f t="shared" si="12"/>
        <v>0</v>
      </c>
      <c r="LK581" s="156">
        <f t="shared" si="13"/>
        <v>0</v>
      </c>
      <c r="LL581" s="156">
        <f t="shared" si="14"/>
        <v>0</v>
      </c>
      <c r="LM581" s="160">
        <f t="shared" si="15"/>
        <v>0</v>
      </c>
      <c r="QX581" s="560">
        <v>46108.0</v>
      </c>
    </row>
    <row r="582">
      <c r="A582" s="126"/>
      <c r="B582" s="126"/>
      <c r="C582" s="12"/>
      <c r="D582" s="12"/>
      <c r="E582" s="58"/>
      <c r="F582" s="12"/>
      <c r="G582" s="12"/>
      <c r="H582" s="12"/>
      <c r="I582" s="143">
        <f t="shared" si="22"/>
        <v>-48</v>
      </c>
      <c r="J582" s="537">
        <v>46113.0</v>
      </c>
      <c r="K582" s="184" t="s">
        <v>48</v>
      </c>
      <c r="L582" s="543"/>
      <c r="M582" s="162" t="s">
        <v>400</v>
      </c>
      <c r="N582" s="86">
        <v>246.0</v>
      </c>
      <c r="O582" s="86">
        <v>30.0</v>
      </c>
      <c r="U582" s="162" t="s">
        <v>3502</v>
      </c>
      <c r="V582" s="538" t="s">
        <v>230</v>
      </c>
      <c r="W582" s="185" t="s">
        <v>3503</v>
      </c>
      <c r="X582" s="140"/>
      <c r="Y582" s="166">
        <f t="shared" si="23"/>
        <v>48</v>
      </c>
      <c r="Z582" s="26">
        <f t="shared" si="7"/>
        <v>0</v>
      </c>
      <c r="AA582" s="26">
        <f t="shared" si="8"/>
        <v>0</v>
      </c>
      <c r="AB582" s="26">
        <f t="shared" si="9"/>
        <v>0</v>
      </c>
      <c r="AC582" s="155">
        <v>0.0</v>
      </c>
      <c r="AD582" s="155">
        <v>0.0</v>
      </c>
      <c r="AE582" s="155">
        <v>0.0</v>
      </c>
      <c r="AF582" s="155">
        <v>0.0</v>
      </c>
      <c r="AG582" s="155">
        <v>0.0</v>
      </c>
      <c r="AH582" s="155">
        <v>0.0</v>
      </c>
      <c r="BN582" s="155">
        <v>0.0</v>
      </c>
      <c r="BO582" s="155">
        <v>0.0</v>
      </c>
      <c r="BP582" s="155">
        <v>0.0</v>
      </c>
      <c r="BQ582" s="155">
        <v>0.0</v>
      </c>
      <c r="BR582" s="155">
        <v>0.0</v>
      </c>
      <c r="BS582" s="155">
        <v>0.0</v>
      </c>
      <c r="CV582" s="156">
        <v>0.0</v>
      </c>
      <c r="CW582" s="156">
        <v>0.0</v>
      </c>
      <c r="CX582" s="156">
        <v>0.0</v>
      </c>
      <c r="CY582" s="156">
        <v>0.0</v>
      </c>
      <c r="CZ582" s="156">
        <v>0.0</v>
      </c>
      <c r="DA582" s="156">
        <v>0.0</v>
      </c>
      <c r="EG582" s="156">
        <v>9.0</v>
      </c>
      <c r="EH582" s="156">
        <v>0.0</v>
      </c>
      <c r="EI582" s="156">
        <v>0.0</v>
      </c>
      <c r="EJ582" s="156">
        <v>0.0</v>
      </c>
      <c r="EK582" s="156">
        <v>0.0</v>
      </c>
      <c r="EL582" s="156">
        <v>0.0</v>
      </c>
      <c r="EM582" s="174">
        <v>1.0</v>
      </c>
      <c r="EN582" s="174">
        <v>0.0</v>
      </c>
      <c r="EO582" s="174">
        <v>1.0</v>
      </c>
      <c r="EP582" s="174"/>
      <c r="EQ582" s="174"/>
      <c r="ER582" s="174"/>
      <c r="ES582" s="174"/>
      <c r="ET582" s="174">
        <v>1.0</v>
      </c>
      <c r="EU582" s="174">
        <v>0.0</v>
      </c>
      <c r="EV582" s="174">
        <v>1.0</v>
      </c>
      <c r="EW582" s="174">
        <v>0.0</v>
      </c>
      <c r="EX582" s="174">
        <v>0.0</v>
      </c>
      <c r="EY582" s="174">
        <v>1.0</v>
      </c>
      <c r="EZ582" s="174">
        <v>0.0</v>
      </c>
      <c r="FA582" s="174">
        <v>1.0</v>
      </c>
      <c r="FB582" s="174">
        <v>0.0</v>
      </c>
      <c r="FC582" s="174">
        <v>1.0</v>
      </c>
      <c r="FD582" s="174"/>
      <c r="FE582" s="174"/>
      <c r="FF582" s="174"/>
      <c r="FG582" s="174"/>
      <c r="FH582" s="174">
        <v>1.0</v>
      </c>
      <c r="FI582" s="174">
        <v>0.0</v>
      </c>
      <c r="FJ582" s="174">
        <v>1.0</v>
      </c>
      <c r="FK582" s="174">
        <v>0.0</v>
      </c>
      <c r="FL582" s="174">
        <v>0.0</v>
      </c>
      <c r="FM582" s="174"/>
      <c r="FN582" s="174"/>
      <c r="FO582" s="174"/>
      <c r="FP582" s="174"/>
      <c r="FQ582" s="156">
        <v>9.0</v>
      </c>
      <c r="FR582" s="156">
        <v>0.0</v>
      </c>
      <c r="FS582" s="156">
        <v>0.0</v>
      </c>
      <c r="FT582" s="156">
        <v>0.0</v>
      </c>
      <c r="FU582" s="156">
        <v>0.0</v>
      </c>
      <c r="FV582" s="156">
        <v>0.0</v>
      </c>
      <c r="FW582" s="174"/>
      <c r="FX582" s="174"/>
      <c r="FY582" s="174"/>
      <c r="FZ582" s="174"/>
      <c r="GA582" s="174"/>
      <c r="GB582" s="174">
        <v>1.0</v>
      </c>
      <c r="GC582" s="174">
        <v>0.0</v>
      </c>
      <c r="GD582" s="174">
        <v>1.0</v>
      </c>
      <c r="GE582" s="174">
        <v>0.0</v>
      </c>
      <c r="GF582" s="174">
        <v>0.0</v>
      </c>
      <c r="GG582" s="174">
        <v>1.0</v>
      </c>
      <c r="GH582" s="174">
        <v>0.0</v>
      </c>
      <c r="GI582" s="174"/>
      <c r="GJ582" s="175">
        <v>1.0</v>
      </c>
      <c r="GK582" s="174"/>
      <c r="GL582" s="174">
        <v>0.0</v>
      </c>
      <c r="GM582" s="174">
        <v>0.0</v>
      </c>
      <c r="GN582" s="174">
        <v>1.0</v>
      </c>
      <c r="GO582" s="174">
        <v>0.0</v>
      </c>
      <c r="GP582" s="177">
        <v>1.0</v>
      </c>
      <c r="GQ582" s="174">
        <v>0.0</v>
      </c>
      <c r="GR582" s="174"/>
      <c r="GS582" s="174">
        <v>0.0</v>
      </c>
      <c r="GT582" s="174">
        <v>0.0</v>
      </c>
      <c r="GU582" s="174">
        <v>1.0</v>
      </c>
      <c r="GV582" s="174">
        <v>0.0</v>
      </c>
      <c r="GW582" s="174">
        <v>1.0</v>
      </c>
      <c r="GX582" s="174">
        <v>0.0</v>
      </c>
      <c r="GY582" s="174">
        <v>1.0</v>
      </c>
      <c r="GZ582" s="174">
        <v>0.0</v>
      </c>
      <c r="HA582" s="174">
        <v>0.0</v>
      </c>
      <c r="HB582" s="155">
        <v>10.0</v>
      </c>
      <c r="HC582" s="155">
        <v>0.0</v>
      </c>
      <c r="HD582" s="155">
        <v>0.0</v>
      </c>
      <c r="HE582" s="155">
        <v>0.0</v>
      </c>
      <c r="HF582" s="155">
        <v>0.0</v>
      </c>
      <c r="HG582" s="155">
        <v>0.0</v>
      </c>
      <c r="HH582" s="175">
        <v>1.0</v>
      </c>
      <c r="HI582" s="174">
        <v>0.0</v>
      </c>
      <c r="HJ582" s="174">
        <v>1.0</v>
      </c>
      <c r="HK582" s="174">
        <v>0.0</v>
      </c>
      <c r="HL582" s="174">
        <v>1.0</v>
      </c>
      <c r="HM582" s="174">
        <v>0.0</v>
      </c>
      <c r="HN582" s="174">
        <v>0.0</v>
      </c>
      <c r="HO582" s="174">
        <v>1.0</v>
      </c>
      <c r="HP582" s="174">
        <v>0.0</v>
      </c>
      <c r="HQ582" s="174">
        <v>1.0</v>
      </c>
      <c r="HR582" s="174">
        <v>0.0</v>
      </c>
      <c r="HS582" s="174">
        <v>1.0</v>
      </c>
      <c r="HT582" s="174">
        <v>0.0</v>
      </c>
      <c r="HU582" s="174">
        <v>0.0</v>
      </c>
      <c r="HV582" s="174"/>
      <c r="HW582" s="174">
        <v>0.0</v>
      </c>
      <c r="HX582" s="174">
        <v>1.0</v>
      </c>
      <c r="HY582" s="174">
        <v>0.0</v>
      </c>
      <c r="HZ582" s="174">
        <v>1.0</v>
      </c>
      <c r="IA582" s="174">
        <v>0.0</v>
      </c>
      <c r="IB582" s="174">
        <v>0.0</v>
      </c>
      <c r="IC582" s="174"/>
      <c r="ID582" s="175">
        <v>1.0</v>
      </c>
      <c r="IE582" s="175">
        <v>1.0</v>
      </c>
      <c r="IF582" s="174"/>
      <c r="IG582" s="174"/>
      <c r="IH582" s="174"/>
      <c r="II582" s="174"/>
      <c r="IJ582" s="174"/>
      <c r="IK582" s="174"/>
      <c r="IL582" s="159">
        <v>8.0</v>
      </c>
      <c r="IM582" s="156">
        <v>0.0</v>
      </c>
      <c r="IN582" s="156">
        <v>0.0</v>
      </c>
      <c r="IO582" s="156">
        <v>0.0</v>
      </c>
      <c r="IP582" s="156">
        <v>0.0</v>
      </c>
      <c r="IQ582" s="160">
        <v>0.0</v>
      </c>
      <c r="IR582" s="174"/>
      <c r="IS582" s="174">
        <v>0.0</v>
      </c>
      <c r="IT582" s="174"/>
      <c r="IU582" s="175">
        <v>1.0</v>
      </c>
      <c r="IV582" s="174">
        <v>0.0</v>
      </c>
      <c r="IW582" s="174"/>
      <c r="IX582" s="175">
        <v>1.0</v>
      </c>
      <c r="IY582" s="174"/>
      <c r="IZ582" s="175">
        <v>1.0</v>
      </c>
      <c r="JA582" s="174"/>
      <c r="JB582" s="174">
        <v>0.0</v>
      </c>
      <c r="JC582" s="174">
        <v>0.0</v>
      </c>
      <c r="JD582" s="174"/>
      <c r="JE582" s="174">
        <v>0.0</v>
      </c>
      <c r="JF582" s="174">
        <v>1.0</v>
      </c>
      <c r="JG582" s="174">
        <v>0.0</v>
      </c>
      <c r="JH582" s="177"/>
      <c r="JI582" s="175">
        <v>1.0</v>
      </c>
      <c r="JJ582" s="174"/>
      <c r="JK582" s="174"/>
      <c r="JL582" s="175">
        <v>1.0</v>
      </c>
      <c r="JM582" s="174"/>
      <c r="JN582" s="174"/>
      <c r="JO582" s="174"/>
      <c r="JP582" s="175">
        <v>1.0</v>
      </c>
      <c r="JQ582" s="174"/>
      <c r="JR582" s="174"/>
      <c r="JS582" s="175">
        <v>1.0</v>
      </c>
      <c r="JT582" s="174"/>
      <c r="JU582" s="174"/>
      <c r="JV582" s="174"/>
      <c r="JW582" s="159">
        <v>9.0</v>
      </c>
      <c r="JX582" s="156">
        <v>0.0</v>
      </c>
      <c r="JY582" s="156">
        <v>0.0</v>
      </c>
      <c r="JZ582" s="156">
        <v>0.0</v>
      </c>
      <c r="KA582" s="156">
        <v>0.0</v>
      </c>
      <c r="KB582" s="160">
        <v>0.0</v>
      </c>
      <c r="KC582" s="175">
        <v>1.0</v>
      </c>
      <c r="KD582" s="174"/>
      <c r="KE582" s="174"/>
      <c r="KF582" s="175">
        <v>1.0</v>
      </c>
      <c r="KG582" s="174"/>
      <c r="KH582" s="174"/>
      <c r="KI582" s="175">
        <v>1.0</v>
      </c>
      <c r="KJ582" s="174"/>
      <c r="KK582" s="174"/>
      <c r="KL582" s="174"/>
      <c r="KM582" s="174"/>
      <c r="KN582" s="175">
        <v>1.0</v>
      </c>
      <c r="KO582" s="174"/>
      <c r="KP582" s="175">
        <v>1.0</v>
      </c>
      <c r="KQ582" s="174"/>
      <c r="KR582" s="174"/>
      <c r="KS582" s="186">
        <v>1.0</v>
      </c>
      <c r="KT582" s="174"/>
      <c r="KU582" s="175">
        <v>1.0</v>
      </c>
      <c r="KV582" s="174"/>
      <c r="KW582" s="175">
        <v>1.0</v>
      </c>
      <c r="KX582" s="174"/>
      <c r="KY582" s="174"/>
      <c r="KZ582" s="175">
        <v>1.0</v>
      </c>
      <c r="LA582" s="174"/>
      <c r="LB582" s="174"/>
      <c r="LC582" s="174"/>
      <c r="LD582" s="174"/>
      <c r="LE582" s="174"/>
      <c r="LF582" s="174"/>
      <c r="LG582" s="174"/>
      <c r="LH582" s="159">
        <f t="shared" si="10"/>
        <v>3</v>
      </c>
      <c r="LI582" s="156">
        <f t="shared" si="11"/>
        <v>0</v>
      </c>
      <c r="LJ582" s="156">
        <f t="shared" si="12"/>
        <v>0</v>
      </c>
      <c r="LK582" s="156">
        <f t="shared" si="13"/>
        <v>0</v>
      </c>
      <c r="LL582" s="156">
        <f t="shared" si="14"/>
        <v>0</v>
      </c>
      <c r="LM582" s="160">
        <f t="shared" si="15"/>
        <v>0</v>
      </c>
      <c r="LN582" s="174"/>
      <c r="LO582" s="174"/>
      <c r="LP582" s="174"/>
      <c r="LQ582" s="174"/>
      <c r="LR582" s="174"/>
      <c r="LS582" s="174"/>
      <c r="LT582" s="174"/>
      <c r="LU582" s="174"/>
      <c r="LV582" s="174"/>
      <c r="LW582" s="174">
        <f t="shared" ref="LW582:MQ582" si="41">IFS(TODAY()&lt;=LW$2,0,WEEKDAY(LW$2)=2,1,WEEKDAY(LW$2)=3,0,WEEKDAY(LW$2)=4,1,WEEKDAY(LW$2)=5,0,WEEKDAY(LW$2)=6,1,WEEKDAY(LW$2)=7,0,WEEKDAY(LW$2)=1,0)</f>
        <v>0</v>
      </c>
      <c r="LX582" s="174">
        <f t="shared" si="41"/>
        <v>1</v>
      </c>
      <c r="LY582" s="174">
        <f t="shared" si="41"/>
        <v>0</v>
      </c>
      <c r="LZ582" s="174">
        <f t="shared" si="41"/>
        <v>0</v>
      </c>
      <c r="MA582" s="174">
        <f t="shared" si="41"/>
        <v>1</v>
      </c>
      <c r="MB582" s="174">
        <f t="shared" si="41"/>
        <v>0</v>
      </c>
      <c r="MC582" s="174">
        <f t="shared" si="41"/>
        <v>1</v>
      </c>
      <c r="MD582" s="174">
        <f t="shared" si="41"/>
        <v>0</v>
      </c>
      <c r="ME582" s="174">
        <f t="shared" si="41"/>
        <v>0</v>
      </c>
      <c r="MF582" s="174">
        <f t="shared" si="41"/>
        <v>0</v>
      </c>
      <c r="MG582" s="174">
        <f t="shared" si="41"/>
        <v>0</v>
      </c>
      <c r="MH582" s="174">
        <f t="shared" si="41"/>
        <v>0</v>
      </c>
      <c r="MI582" s="174">
        <f t="shared" si="41"/>
        <v>0</v>
      </c>
      <c r="MJ582" s="174">
        <f t="shared" si="41"/>
        <v>0</v>
      </c>
      <c r="MK582" s="174">
        <f t="shared" si="41"/>
        <v>0</v>
      </c>
      <c r="ML582" s="174">
        <f t="shared" si="41"/>
        <v>0</v>
      </c>
      <c r="MM582" s="174">
        <f t="shared" si="41"/>
        <v>0</v>
      </c>
      <c r="MN582" s="174">
        <f t="shared" si="41"/>
        <v>0</v>
      </c>
      <c r="MO582" s="174">
        <f t="shared" si="41"/>
        <v>0</v>
      </c>
      <c r="MP582" s="174">
        <f t="shared" si="41"/>
        <v>0</v>
      </c>
      <c r="MQ582" s="174">
        <f t="shared" si="41"/>
        <v>0</v>
      </c>
      <c r="QX582" s="560">
        <v>46109.0</v>
      </c>
    </row>
    <row r="583">
      <c r="A583" s="126"/>
      <c r="B583" s="126"/>
      <c r="C583" s="12"/>
      <c r="D583" s="12"/>
      <c r="E583" s="58"/>
      <c r="F583" s="12"/>
      <c r="G583" s="12"/>
      <c r="H583" s="12"/>
      <c r="I583" s="143">
        <f t="shared" si="22"/>
        <v>-37</v>
      </c>
      <c r="J583" s="537">
        <v>46114.0</v>
      </c>
      <c r="K583" s="294" t="s">
        <v>61</v>
      </c>
      <c r="L583" s="23">
        <v>46279.0</v>
      </c>
      <c r="M583" s="162" t="s">
        <v>712</v>
      </c>
      <c r="N583" s="188">
        <v>357.0</v>
      </c>
      <c r="O583" s="86">
        <v>30.0</v>
      </c>
      <c r="U583" s="162" t="s">
        <v>3504</v>
      </c>
      <c r="V583" s="538" t="s">
        <v>3505</v>
      </c>
      <c r="W583" s="185" t="s">
        <v>3506</v>
      </c>
      <c r="X583" s="140"/>
      <c r="Y583" s="166">
        <f t="shared" si="23"/>
        <v>37</v>
      </c>
      <c r="Z583" s="26">
        <f t="shared" si="7"/>
        <v>0</v>
      </c>
      <c r="AA583" s="26">
        <f t="shared" si="8"/>
        <v>0</v>
      </c>
      <c r="AB583" s="26">
        <f t="shared" si="9"/>
        <v>0</v>
      </c>
      <c r="AC583" s="155">
        <v>0.0</v>
      </c>
      <c r="AD583" s="155">
        <v>0.0</v>
      </c>
      <c r="AE583" s="155">
        <v>0.0</v>
      </c>
      <c r="AF583" s="155">
        <v>0.0</v>
      </c>
      <c r="AG583" s="155">
        <v>0.0</v>
      </c>
      <c r="AH583" s="155">
        <v>0.0</v>
      </c>
      <c r="BN583" s="155">
        <v>0.0</v>
      </c>
      <c r="BO583" s="155">
        <v>0.0</v>
      </c>
      <c r="BP583" s="155">
        <v>0.0</v>
      </c>
      <c r="BQ583" s="155">
        <v>0.0</v>
      </c>
      <c r="BR583" s="155">
        <v>0.0</v>
      </c>
      <c r="BS583" s="155">
        <v>0.0</v>
      </c>
      <c r="CV583" s="156">
        <v>0.0</v>
      </c>
      <c r="CW583" s="156">
        <v>0.0</v>
      </c>
      <c r="CX583" s="156">
        <v>0.0</v>
      </c>
      <c r="CY583" s="156">
        <v>0.0</v>
      </c>
      <c r="CZ583" s="156">
        <v>0.0</v>
      </c>
      <c r="DA583" s="156">
        <v>0.0</v>
      </c>
      <c r="EG583" s="156">
        <v>12.0</v>
      </c>
      <c r="EH583" s="156">
        <v>0.0</v>
      </c>
      <c r="EI583" s="156">
        <v>0.0</v>
      </c>
      <c r="EJ583" s="156">
        <v>0.0</v>
      </c>
      <c r="EK583" s="156">
        <v>0.0</v>
      </c>
      <c r="EL583" s="156">
        <v>0.0</v>
      </c>
      <c r="EM583" s="395">
        <v>0.0</v>
      </c>
      <c r="EN583" s="395">
        <v>1.0</v>
      </c>
      <c r="EO583" s="395">
        <v>0.0</v>
      </c>
      <c r="EP583" s="395">
        <v>1.0</v>
      </c>
      <c r="EQ583" s="395">
        <v>0.0</v>
      </c>
      <c r="ER583" s="395">
        <v>0.0</v>
      </c>
      <c r="ES583" s="395">
        <v>1.0</v>
      </c>
      <c r="ET583" s="395">
        <v>0.0</v>
      </c>
      <c r="EU583" s="395">
        <v>1.0</v>
      </c>
      <c r="EV583" s="395">
        <v>0.0</v>
      </c>
      <c r="EW583" s="395">
        <v>1.0</v>
      </c>
      <c r="EX583" s="395">
        <v>0.0</v>
      </c>
      <c r="EY583" s="395">
        <v>0.0</v>
      </c>
      <c r="EZ583" s="395">
        <v>1.0</v>
      </c>
      <c r="FA583" s="395">
        <v>0.0</v>
      </c>
      <c r="FB583" s="395">
        <v>1.0</v>
      </c>
      <c r="FC583" s="395">
        <v>0.0</v>
      </c>
      <c r="FD583" s="395">
        <v>1.0</v>
      </c>
      <c r="FE583" s="395">
        <v>0.0</v>
      </c>
      <c r="FF583" s="395">
        <v>0.0</v>
      </c>
      <c r="FG583" s="395">
        <v>1.0</v>
      </c>
      <c r="FH583" s="395">
        <v>0.0</v>
      </c>
      <c r="FI583" s="395">
        <v>1.0</v>
      </c>
      <c r="FJ583" s="395">
        <v>0.0</v>
      </c>
      <c r="FK583" s="395">
        <v>1.0</v>
      </c>
      <c r="FL583" s="395">
        <v>0.0</v>
      </c>
      <c r="FM583" s="395">
        <v>0.0</v>
      </c>
      <c r="FN583" s="395">
        <v>1.0</v>
      </c>
      <c r="FO583" s="395"/>
      <c r="FP583" s="395"/>
      <c r="FQ583" s="156">
        <v>1.0</v>
      </c>
      <c r="FR583" s="156">
        <v>0.0</v>
      </c>
      <c r="FS583" s="156">
        <v>0.0</v>
      </c>
      <c r="FT583" s="156">
        <v>0.0</v>
      </c>
      <c r="FU583" s="156">
        <v>0.0</v>
      </c>
      <c r="FV583" s="156">
        <v>0.0</v>
      </c>
      <c r="FW583" s="172"/>
      <c r="FX583" s="172"/>
      <c r="FY583" s="172"/>
      <c r="FZ583" s="172"/>
      <c r="GA583" s="172">
        <v>1.0</v>
      </c>
      <c r="GB583" s="172"/>
      <c r="GC583" s="172"/>
      <c r="GD583" s="172"/>
      <c r="GE583" s="172"/>
      <c r="GF583" s="172"/>
      <c r="GG583" s="172"/>
      <c r="GH583" s="172"/>
      <c r="GI583" s="172"/>
      <c r="GJ583" s="172"/>
      <c r="GK583" s="172"/>
      <c r="GL583" s="172"/>
      <c r="GM583" s="172"/>
      <c r="GN583" s="172"/>
      <c r="GO583" s="172"/>
      <c r="GP583" s="170"/>
      <c r="GQ583" s="172"/>
      <c r="GR583" s="172"/>
      <c r="GS583" s="172"/>
      <c r="GT583" s="172"/>
      <c r="GU583" s="172"/>
      <c r="GV583" s="172"/>
      <c r="GW583" s="172"/>
      <c r="GX583" s="172"/>
      <c r="GY583" s="172"/>
      <c r="GZ583" s="172"/>
      <c r="HA583" s="172"/>
      <c r="HB583" s="155">
        <v>4.0</v>
      </c>
      <c r="HC583" s="155">
        <v>0.0</v>
      </c>
      <c r="HD583" s="155">
        <v>0.0</v>
      </c>
      <c r="HE583" s="155">
        <v>0.0</v>
      </c>
      <c r="HF583" s="155">
        <v>0.0</v>
      </c>
      <c r="HG583" s="155">
        <v>0.0</v>
      </c>
      <c r="HH583" s="172"/>
      <c r="HI583" s="172"/>
      <c r="HJ583" s="172"/>
      <c r="HK583" s="172"/>
      <c r="HL583" s="172"/>
      <c r="HM583" s="172"/>
      <c r="HN583" s="172"/>
      <c r="HO583" s="172"/>
      <c r="HP583" s="172"/>
      <c r="HQ583" s="172"/>
      <c r="HR583" s="172"/>
      <c r="HS583" s="172"/>
      <c r="HT583" s="172"/>
      <c r="HU583" s="172"/>
      <c r="HV583" s="172"/>
      <c r="HW583" s="172"/>
      <c r="HX583" s="172"/>
      <c r="HY583" s="172"/>
      <c r="HZ583" s="172"/>
      <c r="IA583" s="172"/>
      <c r="IB583" s="172"/>
      <c r="IC583" s="172">
        <v>1.0</v>
      </c>
      <c r="ID583" s="172"/>
      <c r="IE583" s="172">
        <v>0.0</v>
      </c>
      <c r="IF583" s="172"/>
      <c r="IG583" s="172">
        <v>1.0</v>
      </c>
      <c r="IH583" s="172"/>
      <c r="II583" s="172">
        <v>1.0</v>
      </c>
      <c r="IJ583" s="172">
        <v>1.0</v>
      </c>
      <c r="IK583" s="172"/>
      <c r="IL583" s="159">
        <v>12.0</v>
      </c>
      <c r="IM583" s="156">
        <v>0.0</v>
      </c>
      <c r="IN583" s="156">
        <v>0.0</v>
      </c>
      <c r="IO583" s="156">
        <v>0.0</v>
      </c>
      <c r="IP583" s="156">
        <v>0.0</v>
      </c>
      <c r="IQ583" s="160">
        <v>0.0</v>
      </c>
      <c r="IR583" s="172">
        <v>1.0</v>
      </c>
      <c r="IS583" s="172"/>
      <c r="IT583" s="172">
        <v>1.0</v>
      </c>
      <c r="IU583" s="172"/>
      <c r="IV583" s="172"/>
      <c r="IW583" s="172">
        <v>1.0</v>
      </c>
      <c r="IX583" s="172"/>
      <c r="IY583" s="172">
        <v>1.0</v>
      </c>
      <c r="IZ583" s="172"/>
      <c r="JA583" s="172">
        <v>1.0</v>
      </c>
      <c r="JB583" s="172"/>
      <c r="JC583" s="172">
        <v>0.0</v>
      </c>
      <c r="JD583" s="172">
        <v>1.0</v>
      </c>
      <c r="JE583" s="172"/>
      <c r="JF583" s="172">
        <v>0.0</v>
      </c>
      <c r="JG583" s="172"/>
      <c r="JH583" s="170">
        <v>1.0</v>
      </c>
      <c r="JI583" s="172"/>
      <c r="JJ583" s="172"/>
      <c r="JK583" s="172">
        <v>1.0</v>
      </c>
      <c r="JL583" s="172"/>
      <c r="JM583" s="172">
        <v>1.0</v>
      </c>
      <c r="JN583" s="172"/>
      <c r="JO583" s="172">
        <v>1.0</v>
      </c>
      <c r="JP583" s="172"/>
      <c r="JQ583" s="172"/>
      <c r="JR583" s="172">
        <v>1.0</v>
      </c>
      <c r="JS583" s="172"/>
      <c r="JT583" s="172">
        <v>1.0</v>
      </c>
      <c r="JU583" s="172"/>
      <c r="JV583" s="172"/>
      <c r="JW583" s="159">
        <v>1.0</v>
      </c>
      <c r="JX583" s="156">
        <v>0.0</v>
      </c>
      <c r="JY583" s="156">
        <v>0.0</v>
      </c>
      <c r="JZ583" s="156">
        <v>0.0</v>
      </c>
      <c r="KA583" s="156">
        <v>0.0</v>
      </c>
      <c r="KB583" s="160">
        <v>0.0</v>
      </c>
      <c r="KC583" s="172"/>
      <c r="KD583" s="172"/>
      <c r="KE583" s="172"/>
      <c r="KF583" s="172"/>
      <c r="KG583" s="172">
        <v>1.0</v>
      </c>
      <c r="KH583" s="172"/>
      <c r="KI583" s="172"/>
      <c r="KJ583" s="172"/>
      <c r="KK583" s="172"/>
      <c r="KL583" s="172"/>
      <c r="KM583" s="172"/>
      <c r="KN583" s="172"/>
      <c r="KO583" s="172"/>
      <c r="KP583" s="172"/>
      <c r="KQ583" s="172"/>
      <c r="KR583" s="172"/>
      <c r="KS583" s="432"/>
      <c r="KT583" s="172"/>
      <c r="KU583" s="172"/>
      <c r="KV583" s="172"/>
      <c r="KW583" s="172"/>
      <c r="KX583" s="172"/>
      <c r="KY583" s="172"/>
      <c r="KZ583" s="172"/>
      <c r="LA583" s="172"/>
      <c r="LB583" s="172"/>
      <c r="LC583" s="172"/>
      <c r="LD583" s="172"/>
      <c r="LE583" s="172"/>
      <c r="LF583" s="172"/>
      <c r="LG583" s="172"/>
      <c r="LH583" s="159">
        <f t="shared" si="10"/>
        <v>7</v>
      </c>
      <c r="LI583" s="156">
        <f t="shared" si="11"/>
        <v>0</v>
      </c>
      <c r="LJ583" s="156">
        <f t="shared" si="12"/>
        <v>0</v>
      </c>
      <c r="LK583" s="156">
        <f t="shared" si="13"/>
        <v>0</v>
      </c>
      <c r="LL583" s="156">
        <f t="shared" si="14"/>
        <v>0</v>
      </c>
      <c r="LM583" s="160">
        <f t="shared" si="15"/>
        <v>0</v>
      </c>
      <c r="LW583" s="12">
        <f t="shared" ref="LW583:MQ583" si="42">IFS(TODAY()&lt;=LC$2,0,WEEKDAY(LC$2)=2,0,WEEKDAY(LC$2)=3,1,WEEKDAY(LC$2)=4,0,WEEKDAY(LC$2)=5,1,WEEKDAY(LC$2)=6,0,WEEKDAY(LC$2)=7,1,WEEKDAY(LC$2)=1,0)</f>
        <v>1</v>
      </c>
      <c r="LX583" s="12">
        <f t="shared" si="42"/>
        <v>0</v>
      </c>
      <c r="LY583" s="12">
        <f t="shared" si="42"/>
        <v>1</v>
      </c>
      <c r="LZ583" s="12">
        <f t="shared" si="42"/>
        <v>0</v>
      </c>
      <c r="MA583" s="12">
        <f t="shared" si="42"/>
        <v>0</v>
      </c>
      <c r="MB583" s="12">
        <f t="shared" si="42"/>
        <v>0</v>
      </c>
      <c r="MC583" s="12">
        <f t="shared" si="42"/>
        <v>0</v>
      </c>
      <c r="MD583" s="12">
        <f t="shared" si="42"/>
        <v>0</v>
      </c>
      <c r="ME583" s="12">
        <f t="shared" si="42"/>
        <v>0</v>
      </c>
      <c r="MF583" s="12">
        <f t="shared" si="42"/>
        <v>0</v>
      </c>
      <c r="MG583" s="12">
        <f t="shared" si="42"/>
        <v>0</v>
      </c>
      <c r="MH583" s="12">
        <f t="shared" si="42"/>
        <v>1</v>
      </c>
      <c r="MI583" s="12">
        <f t="shared" si="42"/>
        <v>0</v>
      </c>
      <c r="MJ583" s="12">
        <f t="shared" si="42"/>
        <v>1</v>
      </c>
      <c r="MK583" s="12">
        <f t="shared" si="42"/>
        <v>0</v>
      </c>
      <c r="ML583" s="12">
        <f t="shared" si="42"/>
        <v>1</v>
      </c>
      <c r="MM583" s="12">
        <f t="shared" si="42"/>
        <v>0</v>
      </c>
      <c r="MN583" s="12">
        <f t="shared" si="42"/>
        <v>0</v>
      </c>
      <c r="MO583" s="12">
        <f t="shared" si="42"/>
        <v>1</v>
      </c>
      <c r="MP583" s="12">
        <f t="shared" si="42"/>
        <v>0</v>
      </c>
      <c r="MQ583" s="12">
        <f t="shared" si="42"/>
        <v>1</v>
      </c>
      <c r="QX583" s="560">
        <v>46111.0</v>
      </c>
    </row>
    <row r="584">
      <c r="A584" s="126"/>
      <c r="B584" s="126"/>
      <c r="C584" s="12"/>
      <c r="D584" s="12"/>
      <c r="E584" s="58"/>
      <c r="F584" s="12"/>
      <c r="G584" s="12"/>
      <c r="H584" s="12"/>
      <c r="I584" s="143">
        <f t="shared" si="22"/>
        <v>-33</v>
      </c>
      <c r="J584" s="537">
        <v>46118.0</v>
      </c>
      <c r="K584" s="294" t="s">
        <v>61</v>
      </c>
      <c r="L584" s="23">
        <v>46269.0</v>
      </c>
      <c r="M584" s="162" t="s">
        <v>712</v>
      </c>
      <c r="N584" s="188">
        <v>246.0</v>
      </c>
      <c r="O584" s="86">
        <v>30.0</v>
      </c>
      <c r="U584" s="162" t="s">
        <v>3020</v>
      </c>
      <c r="V584" s="538" t="s">
        <v>2889</v>
      </c>
      <c r="W584" s="125" t="s">
        <v>3507</v>
      </c>
      <c r="X584" s="140"/>
      <c r="Y584" s="166">
        <f t="shared" si="23"/>
        <v>33</v>
      </c>
      <c r="Z584" s="26">
        <f t="shared" si="7"/>
        <v>0</v>
      </c>
      <c r="AA584" s="26">
        <f t="shared" si="8"/>
        <v>0</v>
      </c>
      <c r="AB584" s="26">
        <f t="shared" si="9"/>
        <v>0</v>
      </c>
      <c r="AC584" s="155">
        <v>0.0</v>
      </c>
      <c r="AD584" s="155">
        <v>0.0</v>
      </c>
      <c r="AE584" s="155">
        <v>0.0</v>
      </c>
      <c r="AF584" s="155">
        <v>0.0</v>
      </c>
      <c r="AG584" s="155">
        <v>0.0</v>
      </c>
      <c r="AH584" s="155">
        <v>0.0</v>
      </c>
      <c r="BN584" s="155">
        <v>0.0</v>
      </c>
      <c r="BO584" s="155">
        <v>0.0</v>
      </c>
      <c r="BP584" s="155">
        <v>0.0</v>
      </c>
      <c r="BQ584" s="155">
        <v>0.0</v>
      </c>
      <c r="BR584" s="155">
        <v>0.0</v>
      </c>
      <c r="BS584" s="155">
        <v>0.0</v>
      </c>
      <c r="CV584" s="156">
        <v>0.0</v>
      </c>
      <c r="CW584" s="156">
        <v>0.0</v>
      </c>
      <c r="CX584" s="156">
        <v>0.0</v>
      </c>
      <c r="CY584" s="156">
        <v>0.0</v>
      </c>
      <c r="CZ584" s="156">
        <v>0.0</v>
      </c>
      <c r="DA584" s="156">
        <v>0.0</v>
      </c>
      <c r="EG584" s="156">
        <v>8.0</v>
      </c>
      <c r="EH584" s="156">
        <v>0.0</v>
      </c>
      <c r="EI584" s="156">
        <v>0.0</v>
      </c>
      <c r="EJ584" s="156">
        <v>0.0</v>
      </c>
      <c r="EK584" s="156">
        <v>0.0</v>
      </c>
      <c r="EL584" s="156">
        <v>0.0</v>
      </c>
      <c r="EM584" s="174"/>
      <c r="EN584" s="174"/>
      <c r="EO584" s="174"/>
      <c r="EP584" s="174"/>
      <c r="EQ584" s="174"/>
      <c r="ER584" s="174">
        <v>1.0</v>
      </c>
      <c r="ES584" s="174"/>
      <c r="ET584" s="174"/>
      <c r="EU584" s="174"/>
      <c r="EV584" s="174">
        <v>1.0</v>
      </c>
      <c r="EW584" s="174"/>
      <c r="EX584" s="174"/>
      <c r="EY584" s="174"/>
      <c r="EZ584" s="174"/>
      <c r="FA584" s="174">
        <v>1.0</v>
      </c>
      <c r="FB584" s="174">
        <v>0.0</v>
      </c>
      <c r="FC584" s="174">
        <v>1.0</v>
      </c>
      <c r="FD584" s="174">
        <v>0.0</v>
      </c>
      <c r="FE584" s="175">
        <v>1.0</v>
      </c>
      <c r="FF584" s="174"/>
      <c r="FG584" s="174">
        <v>0.0</v>
      </c>
      <c r="FH584" s="174">
        <v>1.0</v>
      </c>
      <c r="FI584" s="174">
        <v>0.0</v>
      </c>
      <c r="FJ584" s="174">
        <v>1.0</v>
      </c>
      <c r="FK584" s="174"/>
      <c r="FL584" s="174"/>
      <c r="FM584" s="174"/>
      <c r="FN584" s="174"/>
      <c r="FO584" s="174">
        <v>1.0</v>
      </c>
      <c r="FP584" s="174">
        <v>0.0</v>
      </c>
      <c r="FQ584" s="156">
        <v>6.0</v>
      </c>
      <c r="FR584" s="156">
        <v>0.0</v>
      </c>
      <c r="FS584" s="156">
        <v>0.0</v>
      </c>
      <c r="FT584" s="156">
        <v>0.0</v>
      </c>
      <c r="FU584" s="156">
        <v>0.0</v>
      </c>
      <c r="FV584" s="156">
        <v>0.0</v>
      </c>
      <c r="FW584" s="174"/>
      <c r="FX584" s="174"/>
      <c r="FY584" s="174"/>
      <c r="FZ584" s="174"/>
      <c r="GA584" s="174"/>
      <c r="GB584" s="174">
        <v>1.0</v>
      </c>
      <c r="GC584" s="174">
        <v>0.0</v>
      </c>
      <c r="GD584" s="174">
        <v>1.0</v>
      </c>
      <c r="GE584" s="174">
        <v>0.0</v>
      </c>
      <c r="GF584" s="174">
        <v>0.0</v>
      </c>
      <c r="GG584" s="174"/>
      <c r="GH584" s="174">
        <v>0.0</v>
      </c>
      <c r="GI584" s="174">
        <v>1.0</v>
      </c>
      <c r="GJ584" s="174"/>
      <c r="GK584" s="174"/>
      <c r="GL584" s="174"/>
      <c r="GM584" s="174"/>
      <c r="GN584" s="174"/>
      <c r="GO584" s="174"/>
      <c r="GP584" s="177"/>
      <c r="GQ584" s="175">
        <v>1.0</v>
      </c>
      <c r="GR584" s="175">
        <v>1.0</v>
      </c>
      <c r="GS584" s="174"/>
      <c r="GT584" s="174"/>
      <c r="GU584" s="174"/>
      <c r="GV584" s="174"/>
      <c r="GW584" s="174"/>
      <c r="GX584" s="174"/>
      <c r="GY584" s="174"/>
      <c r="GZ584" s="175">
        <v>1.0</v>
      </c>
      <c r="HA584" s="174"/>
      <c r="HB584" s="155">
        <v>7.0</v>
      </c>
      <c r="HC584" s="155">
        <v>0.0</v>
      </c>
      <c r="HD584" s="155">
        <v>0.0</v>
      </c>
      <c r="HE584" s="155">
        <v>0.0</v>
      </c>
      <c r="HF584" s="155">
        <v>0.0</v>
      </c>
      <c r="HG584" s="155">
        <v>0.0</v>
      </c>
      <c r="HH584" s="174"/>
      <c r="HI584" s="175">
        <v>1.0</v>
      </c>
      <c r="HJ584" s="174"/>
      <c r="HK584" s="175">
        <v>1.0</v>
      </c>
      <c r="HL584" s="174"/>
      <c r="HM584" s="174">
        <v>0.0</v>
      </c>
      <c r="HN584" s="174">
        <v>0.0</v>
      </c>
      <c r="HO584" s="174"/>
      <c r="HP584" s="175">
        <v>1.0</v>
      </c>
      <c r="HQ584" s="174"/>
      <c r="HR584" s="174">
        <v>0.0</v>
      </c>
      <c r="HS584" s="174"/>
      <c r="HT584" s="174">
        <v>0.0</v>
      </c>
      <c r="HU584" s="174">
        <v>0.0</v>
      </c>
      <c r="HV584" s="174"/>
      <c r="HW584" s="174">
        <v>0.0</v>
      </c>
      <c r="HX584" s="174"/>
      <c r="HY584" s="174">
        <v>0.0</v>
      </c>
      <c r="HZ584" s="174"/>
      <c r="IA584" s="175">
        <v>1.0</v>
      </c>
      <c r="IB584" s="174">
        <v>0.0</v>
      </c>
      <c r="IC584" s="174"/>
      <c r="ID584" s="174">
        <v>0.0</v>
      </c>
      <c r="IE584" s="174">
        <v>1.0</v>
      </c>
      <c r="IF584" s="174">
        <v>0.0</v>
      </c>
      <c r="IG584" s="174">
        <v>1.0</v>
      </c>
      <c r="IH584" s="174">
        <v>0.0</v>
      </c>
      <c r="II584" s="174">
        <v>0.0</v>
      </c>
      <c r="IJ584" s="174">
        <v>1.0</v>
      </c>
      <c r="IK584" s="174">
        <v>0.0</v>
      </c>
      <c r="IL584" s="159">
        <v>3.0</v>
      </c>
      <c r="IM584" s="156">
        <v>0.0</v>
      </c>
      <c r="IN584" s="156">
        <v>0.0</v>
      </c>
      <c r="IO584" s="156">
        <v>0.0</v>
      </c>
      <c r="IP584" s="156">
        <v>0.0</v>
      </c>
      <c r="IQ584" s="160">
        <v>0.0</v>
      </c>
      <c r="IR584" s="174"/>
      <c r="IS584" s="174">
        <v>0.0</v>
      </c>
      <c r="IT584" s="174"/>
      <c r="IU584" s="175">
        <v>1.0</v>
      </c>
      <c r="IV584" s="174">
        <v>0.0</v>
      </c>
      <c r="IW584" s="174"/>
      <c r="IX584" s="174">
        <v>0.0</v>
      </c>
      <c r="IY584" s="174"/>
      <c r="IZ584" s="174">
        <v>0.0</v>
      </c>
      <c r="JA584" s="174"/>
      <c r="JB584" s="174">
        <v>0.0</v>
      </c>
      <c r="JC584" s="174">
        <v>0.0</v>
      </c>
      <c r="JD584" s="174"/>
      <c r="JE584" s="174">
        <v>0.0</v>
      </c>
      <c r="JF584" s="174"/>
      <c r="JG584" s="174">
        <v>0.0</v>
      </c>
      <c r="JH584" s="177"/>
      <c r="JI584" s="174"/>
      <c r="JJ584" s="174"/>
      <c r="JK584" s="174"/>
      <c r="JL584" s="175">
        <v>1.0</v>
      </c>
      <c r="JM584" s="174"/>
      <c r="JN584" s="174"/>
      <c r="JO584" s="174"/>
      <c r="JP584" s="175">
        <v>1.0</v>
      </c>
      <c r="JQ584" s="174"/>
      <c r="JR584" s="174"/>
      <c r="JS584" s="174"/>
      <c r="JT584" s="174"/>
      <c r="JU584" s="174"/>
      <c r="JV584" s="174"/>
      <c r="JW584" s="159">
        <v>5.0</v>
      </c>
      <c r="JX584" s="156">
        <v>0.0</v>
      </c>
      <c r="JY584" s="156">
        <v>0.0</v>
      </c>
      <c r="JZ584" s="156">
        <v>0.0</v>
      </c>
      <c r="KA584" s="156">
        <v>0.0</v>
      </c>
      <c r="KB584" s="160">
        <v>0.0</v>
      </c>
      <c r="KC584" s="175">
        <v>1.0</v>
      </c>
      <c r="KD584" s="174"/>
      <c r="KE584" s="175">
        <v>1.0</v>
      </c>
      <c r="KF584" s="174"/>
      <c r="KG584" s="174"/>
      <c r="KH584" s="174"/>
      <c r="KI584" s="174"/>
      <c r="KJ584" s="174"/>
      <c r="KK584" s="174"/>
      <c r="KL584" s="174"/>
      <c r="KM584" s="174"/>
      <c r="KN584" s="174"/>
      <c r="KO584" s="174"/>
      <c r="KP584" s="174"/>
      <c r="KQ584" s="174"/>
      <c r="KR584" s="174"/>
      <c r="KS584" s="472"/>
      <c r="KT584" s="175">
        <v>1.0</v>
      </c>
      <c r="KU584" s="174"/>
      <c r="KV584" s="174"/>
      <c r="KW584" s="174"/>
      <c r="KX584" s="175">
        <v>1.0</v>
      </c>
      <c r="KY584" s="174"/>
      <c r="KZ584" s="174"/>
      <c r="LA584" s="175">
        <v>1.0</v>
      </c>
      <c r="LB584" s="174"/>
      <c r="LC584" s="174"/>
      <c r="LD584" s="174"/>
      <c r="LE584" s="174"/>
      <c r="LF584" s="174"/>
      <c r="LG584" s="174"/>
      <c r="LH584" s="159">
        <f t="shared" si="10"/>
        <v>4</v>
      </c>
      <c r="LI584" s="156">
        <f t="shared" si="11"/>
        <v>0</v>
      </c>
      <c r="LJ584" s="156">
        <f t="shared" si="12"/>
        <v>0</v>
      </c>
      <c r="LK584" s="156">
        <f t="shared" si="13"/>
        <v>0</v>
      </c>
      <c r="LL584" s="156">
        <f t="shared" si="14"/>
        <v>0</v>
      </c>
      <c r="LM584" s="160">
        <f t="shared" si="15"/>
        <v>0</v>
      </c>
      <c r="LN584" s="174"/>
      <c r="LO584" s="174"/>
      <c r="LP584" s="174"/>
      <c r="LQ584" s="187">
        <v>1.0</v>
      </c>
      <c r="LR584" s="174"/>
      <c r="LS584" s="174"/>
      <c r="LT584" s="174"/>
      <c r="LU584" s="174"/>
      <c r="LV584" s="174"/>
      <c r="LW584" s="174">
        <f t="shared" ref="LW584:MQ584" si="43">IFS(TODAY()&lt;=LW$2,0,WEEKDAY(LW$2)=2,1,WEEKDAY(LW$2)=3,0,WEEKDAY(LW$2)=4,1,WEEKDAY(LW$2)=5,0,WEEKDAY(LW$2)=6,1,WEEKDAY(LW$2)=7,0,WEEKDAY(LW$2)=1,0)</f>
        <v>0</v>
      </c>
      <c r="LX584" s="174">
        <f t="shared" si="43"/>
        <v>1</v>
      </c>
      <c r="LY584" s="174">
        <f t="shared" si="43"/>
        <v>0</v>
      </c>
      <c r="LZ584" s="174">
        <f t="shared" si="43"/>
        <v>0</v>
      </c>
      <c r="MA584" s="174">
        <f t="shared" si="43"/>
        <v>1</v>
      </c>
      <c r="MB584" s="174">
        <f t="shared" si="43"/>
        <v>0</v>
      </c>
      <c r="MC584" s="174">
        <f t="shared" si="43"/>
        <v>1</v>
      </c>
      <c r="MD584" s="174">
        <f t="shared" si="43"/>
        <v>0</v>
      </c>
      <c r="ME584" s="174">
        <f t="shared" si="43"/>
        <v>0</v>
      </c>
      <c r="MF584" s="174">
        <f t="shared" si="43"/>
        <v>0</v>
      </c>
      <c r="MG584" s="174">
        <f t="shared" si="43"/>
        <v>0</v>
      </c>
      <c r="MH584" s="174">
        <f t="shared" si="43"/>
        <v>0</v>
      </c>
      <c r="MI584" s="174">
        <f t="shared" si="43"/>
        <v>0</v>
      </c>
      <c r="MJ584" s="174">
        <f t="shared" si="43"/>
        <v>0</v>
      </c>
      <c r="MK584" s="174">
        <f t="shared" si="43"/>
        <v>0</v>
      </c>
      <c r="ML584" s="174">
        <f t="shared" si="43"/>
        <v>0</v>
      </c>
      <c r="MM584" s="174">
        <f t="shared" si="43"/>
        <v>0</v>
      </c>
      <c r="MN584" s="174">
        <f t="shared" si="43"/>
        <v>0</v>
      </c>
      <c r="MO584" s="174">
        <f t="shared" si="43"/>
        <v>0</v>
      </c>
      <c r="MP584" s="174">
        <f t="shared" si="43"/>
        <v>0</v>
      </c>
      <c r="MQ584" s="174">
        <f t="shared" si="43"/>
        <v>0</v>
      </c>
      <c r="QX584" s="560">
        <v>46111.0</v>
      </c>
    </row>
    <row r="585" ht="40.5" customHeight="1">
      <c r="A585" s="25"/>
      <c r="B585" s="25"/>
      <c r="C585" s="25"/>
      <c r="D585" s="25"/>
      <c r="E585" s="25"/>
      <c r="F585" s="25"/>
      <c r="G585" s="25"/>
      <c r="H585" s="25"/>
      <c r="I585" s="143">
        <f t="shared" si="22"/>
        <v>-5</v>
      </c>
      <c r="J585" s="162" t="s">
        <v>3508</v>
      </c>
      <c r="K585" s="164" t="s">
        <v>53</v>
      </c>
      <c r="L585" s="162" t="s">
        <v>3509</v>
      </c>
      <c r="M585" s="162" t="s">
        <v>227</v>
      </c>
      <c r="N585" s="381">
        <v>246.0</v>
      </c>
      <c r="O585" s="162">
        <v>30.0</v>
      </c>
      <c r="P585" s="25"/>
      <c r="Q585" s="25"/>
      <c r="R585" s="25"/>
      <c r="S585" s="25"/>
      <c r="T585" s="25"/>
      <c r="U585" s="162" t="s">
        <v>3510</v>
      </c>
      <c r="V585" s="538" t="s">
        <v>732</v>
      </c>
      <c r="W585" s="185" t="s">
        <v>3511</v>
      </c>
      <c r="X585" s="577"/>
      <c r="Y585" s="166">
        <f t="shared" si="23"/>
        <v>5</v>
      </c>
      <c r="Z585" s="26">
        <f t="shared" si="7"/>
        <v>0</v>
      </c>
      <c r="AA585" s="26">
        <f t="shared" si="8"/>
        <v>1</v>
      </c>
      <c r="AB585" s="26">
        <f t="shared" si="9"/>
        <v>0</v>
      </c>
      <c r="AC585" s="496">
        <v>0.0</v>
      </c>
      <c r="AD585" s="496">
        <v>0.0</v>
      </c>
      <c r="AE585" s="496">
        <v>0.0</v>
      </c>
      <c r="AF585" s="496">
        <v>0.0</v>
      </c>
      <c r="AG585" s="496">
        <v>0.0</v>
      </c>
      <c r="AH585" s="496">
        <v>0.0</v>
      </c>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c r="BK585" s="25"/>
      <c r="BL585" s="25"/>
      <c r="BM585" s="25"/>
      <c r="BN585" s="496">
        <v>0.0</v>
      </c>
      <c r="BO585" s="496">
        <v>0.0</v>
      </c>
      <c r="BP585" s="496">
        <v>0.0</v>
      </c>
      <c r="BQ585" s="496">
        <v>0.0</v>
      </c>
      <c r="BR585" s="496">
        <v>0.0</v>
      </c>
      <c r="BS585" s="496">
        <v>0.0</v>
      </c>
      <c r="BT585" s="25"/>
      <c r="BU585" s="25"/>
      <c r="BV585" s="25"/>
      <c r="BW585" s="25"/>
      <c r="BX585" s="25"/>
      <c r="BY585" s="25"/>
      <c r="BZ585" s="25"/>
      <c r="CA585" s="25"/>
      <c r="CB585" s="25"/>
      <c r="CC585" s="25"/>
      <c r="CD585" s="25"/>
      <c r="CE585" s="25"/>
      <c r="CF585" s="25"/>
      <c r="CG585" s="25"/>
      <c r="CH585" s="25"/>
      <c r="CI585" s="25"/>
      <c r="CJ585" s="25"/>
      <c r="CK585" s="25"/>
      <c r="CL585" s="25"/>
      <c r="CM585" s="25"/>
      <c r="CN585" s="25"/>
      <c r="CO585" s="25"/>
      <c r="CP585" s="25"/>
      <c r="CQ585" s="25"/>
      <c r="CR585" s="25"/>
      <c r="CS585" s="25"/>
      <c r="CT585" s="25"/>
      <c r="CU585" s="25"/>
      <c r="CV585" s="167">
        <v>0.0</v>
      </c>
      <c r="CW585" s="167">
        <v>0.0</v>
      </c>
      <c r="CX585" s="167">
        <v>0.0</v>
      </c>
      <c r="CY585" s="167">
        <v>0.0</v>
      </c>
      <c r="CZ585" s="167">
        <v>0.0</v>
      </c>
      <c r="DA585" s="167">
        <v>0.0</v>
      </c>
      <c r="DB585" s="25"/>
      <c r="DC585" s="25"/>
      <c r="DD585" s="25"/>
      <c r="DE585" s="25"/>
      <c r="DF585" s="25"/>
      <c r="DG585" s="25"/>
      <c r="DH585" s="25"/>
      <c r="DI585" s="25"/>
      <c r="DJ585" s="25"/>
      <c r="DK585" s="25"/>
      <c r="DL585" s="25"/>
      <c r="DM585" s="25"/>
      <c r="DN585" s="25"/>
      <c r="DO585" s="25"/>
      <c r="DP585" s="25"/>
      <c r="DQ585" s="25"/>
      <c r="DR585" s="25"/>
      <c r="DS585" s="25"/>
      <c r="DT585" s="25"/>
      <c r="DU585" s="25"/>
      <c r="DV585" s="25"/>
      <c r="DW585" s="25"/>
      <c r="DX585" s="25"/>
      <c r="DY585" s="25"/>
      <c r="DZ585" s="25"/>
      <c r="EA585" s="25"/>
      <c r="EB585" s="25"/>
      <c r="EC585" s="25"/>
      <c r="ED585" s="25"/>
      <c r="EE585" s="25"/>
      <c r="EF585" s="25"/>
      <c r="EG585" s="167">
        <v>2.0</v>
      </c>
      <c r="EH585" s="167">
        <v>0.0</v>
      </c>
      <c r="EI585" s="167">
        <v>0.0</v>
      </c>
      <c r="EJ585" s="167">
        <v>0.0</v>
      </c>
      <c r="EK585" s="167">
        <v>0.0</v>
      </c>
      <c r="EL585" s="167">
        <v>0.0</v>
      </c>
      <c r="EM585" s="177"/>
      <c r="EN585" s="177"/>
      <c r="EO585" s="177"/>
      <c r="EP585" s="177"/>
      <c r="EQ585" s="177"/>
      <c r="ER585" s="177">
        <v>1.0</v>
      </c>
      <c r="ES585" s="177"/>
      <c r="ET585" s="177"/>
      <c r="EU585" s="176">
        <v>1.0</v>
      </c>
      <c r="EV585" s="177"/>
      <c r="EW585" s="177"/>
      <c r="EX585" s="177"/>
      <c r="EY585" s="177"/>
      <c r="EZ585" s="177"/>
      <c r="FA585" s="177"/>
      <c r="FB585" s="177"/>
      <c r="FC585" s="177"/>
      <c r="FD585" s="177"/>
      <c r="FE585" s="177"/>
      <c r="FF585" s="177"/>
      <c r="FG585" s="177"/>
      <c r="FH585" s="177"/>
      <c r="FI585" s="177"/>
      <c r="FJ585" s="177"/>
      <c r="FK585" s="177"/>
      <c r="FL585" s="177"/>
      <c r="FM585" s="177"/>
      <c r="FN585" s="177"/>
      <c r="FO585" s="177"/>
      <c r="FP585" s="177"/>
      <c r="FQ585" s="167">
        <v>0.0</v>
      </c>
      <c r="FR585" s="167">
        <v>0.0</v>
      </c>
      <c r="FS585" s="167">
        <v>0.0</v>
      </c>
      <c r="FT585" s="167">
        <v>0.0</v>
      </c>
      <c r="FU585" s="167">
        <v>0.0</v>
      </c>
      <c r="FV585" s="167">
        <v>0.0</v>
      </c>
      <c r="FW585" s="158"/>
      <c r="FX585" s="158"/>
      <c r="FY585" s="158"/>
      <c r="FZ585" s="158"/>
      <c r="GA585" s="158"/>
      <c r="GB585" s="158"/>
      <c r="GC585" s="158"/>
      <c r="GD585" s="158"/>
      <c r="GE585" s="158"/>
      <c r="GF585" s="158"/>
      <c r="GG585" s="158"/>
      <c r="GH585" s="158"/>
      <c r="GI585" s="158"/>
      <c r="GJ585" s="158"/>
      <c r="GK585" s="158"/>
      <c r="GL585" s="158"/>
      <c r="GM585" s="158"/>
      <c r="GN585" s="158"/>
      <c r="GO585" s="158"/>
      <c r="GP585" s="158"/>
      <c r="GQ585" s="158"/>
      <c r="GR585" s="158"/>
      <c r="GS585" s="158"/>
      <c r="GT585" s="158"/>
      <c r="GU585" s="158"/>
      <c r="GV585" s="158"/>
      <c r="GW585" s="158"/>
      <c r="GX585" s="158"/>
      <c r="GY585" s="158"/>
      <c r="GZ585" s="158"/>
      <c r="HA585" s="158"/>
      <c r="HB585" s="496">
        <v>0.0</v>
      </c>
      <c r="HC585" s="496">
        <v>0.0</v>
      </c>
      <c r="HD585" s="496">
        <v>0.0</v>
      </c>
      <c r="HE585" s="496">
        <v>0.0</v>
      </c>
      <c r="HF585" s="496">
        <v>0.0</v>
      </c>
      <c r="HG585" s="496">
        <v>0.0</v>
      </c>
      <c r="HH585" s="25"/>
      <c r="HI585" s="25"/>
      <c r="HJ585" s="25"/>
      <c r="HK585" s="25"/>
      <c r="HL585" s="25"/>
      <c r="HM585" s="25"/>
      <c r="HN585" s="25"/>
      <c r="HO585" s="25"/>
      <c r="HP585" s="25"/>
      <c r="HQ585" s="25"/>
      <c r="HR585" s="25"/>
      <c r="HS585" s="25"/>
      <c r="HT585" s="25"/>
      <c r="HU585" s="25"/>
      <c r="HV585" s="25"/>
      <c r="HW585" s="25"/>
      <c r="HX585" s="25"/>
      <c r="HY585" s="25"/>
      <c r="HZ585" s="25"/>
      <c r="IA585" s="25"/>
      <c r="IB585" s="25"/>
      <c r="IC585" s="25"/>
      <c r="ID585" s="25"/>
      <c r="IE585" s="25"/>
      <c r="IF585" s="25"/>
      <c r="IG585" s="25"/>
      <c r="IH585" s="25"/>
      <c r="II585" s="25"/>
      <c r="IJ585" s="25"/>
      <c r="IK585" s="25"/>
      <c r="IL585" s="497">
        <v>3.0</v>
      </c>
      <c r="IM585" s="167">
        <v>0.0</v>
      </c>
      <c r="IN585" s="167">
        <v>0.0</v>
      </c>
      <c r="IO585" s="167">
        <v>1.0</v>
      </c>
      <c r="IP585" s="167">
        <v>0.0</v>
      </c>
      <c r="IQ585" s="498">
        <v>0.0</v>
      </c>
      <c r="IR585" s="25"/>
      <c r="IS585" s="25"/>
      <c r="IT585" s="25"/>
      <c r="IU585" s="25"/>
      <c r="IV585" s="25"/>
      <c r="IW585" s="25"/>
      <c r="IX585" s="25"/>
      <c r="IY585" s="25"/>
      <c r="IZ585" s="25"/>
      <c r="JA585" s="25"/>
      <c r="JB585" s="25"/>
      <c r="JC585" s="25"/>
      <c r="JD585" s="25"/>
      <c r="JE585" s="25"/>
      <c r="JF585" s="25"/>
      <c r="JG585" s="25"/>
      <c r="JH585" s="25"/>
      <c r="JI585" s="25"/>
      <c r="JJ585" s="25"/>
      <c r="JK585" s="25"/>
      <c r="JL585" s="162">
        <v>1.0</v>
      </c>
      <c r="JM585" s="25"/>
      <c r="JN585" s="25"/>
      <c r="JO585" s="25"/>
      <c r="JP585" s="25"/>
      <c r="JQ585" s="25"/>
      <c r="JR585" s="25"/>
      <c r="JS585" s="162">
        <v>1.0</v>
      </c>
      <c r="JT585" s="25"/>
      <c r="JU585" s="162" t="s">
        <v>947</v>
      </c>
      <c r="JV585" s="25"/>
      <c r="JW585" s="159">
        <v>0.0</v>
      </c>
      <c r="JX585" s="156">
        <v>0.0</v>
      </c>
      <c r="JY585" s="156">
        <v>0.0</v>
      </c>
      <c r="JZ585" s="156">
        <v>0.0</v>
      </c>
      <c r="KA585" s="156">
        <v>0.0</v>
      </c>
      <c r="KB585" s="160">
        <v>0.0</v>
      </c>
      <c r="KC585" s="174"/>
      <c r="KD585" s="174"/>
      <c r="KE585" s="174"/>
      <c r="KF585" s="174"/>
      <c r="KG585" s="174"/>
      <c r="KH585" s="174"/>
      <c r="KI585" s="174"/>
      <c r="KJ585" s="174"/>
      <c r="KK585" s="174"/>
      <c r="KL585" s="174"/>
      <c r="KM585" s="174"/>
      <c r="KN585" s="174"/>
      <c r="KO585" s="174"/>
      <c r="KP585" s="174"/>
      <c r="KQ585" s="174"/>
      <c r="KR585" s="174"/>
      <c r="KS585" s="472"/>
      <c r="KT585" s="174"/>
      <c r="KU585" s="174"/>
      <c r="KV585" s="174"/>
      <c r="KW585" s="174"/>
      <c r="KX585" s="174"/>
      <c r="KY585" s="174"/>
      <c r="KZ585" s="174"/>
      <c r="LA585" s="174"/>
      <c r="LB585" s="174"/>
      <c r="LC585" s="174"/>
      <c r="LD585" s="174"/>
      <c r="LE585" s="174"/>
      <c r="LF585" s="174"/>
      <c r="LG585" s="174"/>
      <c r="LH585" s="159">
        <f t="shared" si="10"/>
        <v>0</v>
      </c>
      <c r="LI585" s="156">
        <f t="shared" si="11"/>
        <v>0</v>
      </c>
      <c r="LJ585" s="156">
        <f t="shared" si="12"/>
        <v>0</v>
      </c>
      <c r="LK585" s="156">
        <f t="shared" si="13"/>
        <v>0</v>
      </c>
      <c r="LL585" s="156">
        <f t="shared" si="14"/>
        <v>0</v>
      </c>
      <c r="LM585" s="160">
        <f t="shared" si="15"/>
        <v>0</v>
      </c>
      <c r="LN585" s="25"/>
      <c r="LO585" s="25"/>
      <c r="LP585" s="25"/>
      <c r="LQ585" s="25"/>
      <c r="LR585" s="25"/>
      <c r="LS585" s="25"/>
      <c r="LT585" s="25"/>
      <c r="LU585" s="25"/>
      <c r="LV585" s="25"/>
      <c r="LW585" s="25"/>
      <c r="LX585" s="25"/>
      <c r="LY585" s="25"/>
      <c r="LZ585" s="25"/>
      <c r="MA585" s="25"/>
      <c r="MB585" s="25"/>
      <c r="MC585" s="25"/>
      <c r="MD585" s="25"/>
      <c r="ME585" s="25"/>
      <c r="MF585" s="25"/>
      <c r="MG585" s="25"/>
      <c r="MH585" s="25"/>
      <c r="MI585" s="25"/>
      <c r="MJ585" s="25"/>
      <c r="MK585" s="25"/>
      <c r="ML585" s="25"/>
      <c r="MM585" s="25"/>
      <c r="MN585" s="25"/>
      <c r="MO585" s="25"/>
      <c r="MP585" s="25"/>
      <c r="MQ585" s="25"/>
      <c r="MR585" s="25"/>
      <c r="MS585" s="25"/>
      <c r="MT585" s="25"/>
      <c r="MU585" s="25"/>
      <c r="MV585" s="25"/>
      <c r="MW585" s="25"/>
      <c r="MX585" s="25"/>
      <c r="MY585" s="25"/>
      <c r="MZ585" s="25"/>
      <c r="NA585" s="25"/>
      <c r="NB585" s="25"/>
      <c r="NC585" s="25"/>
      <c r="ND585" s="25"/>
      <c r="NE585" s="25"/>
      <c r="NF585" s="25"/>
      <c r="NG585" s="25"/>
      <c r="NH585" s="25"/>
      <c r="NI585" s="25"/>
      <c r="NJ585" s="25"/>
      <c r="NK585" s="25"/>
      <c r="NL585" s="25"/>
      <c r="NM585" s="25"/>
      <c r="NN585" s="25"/>
      <c r="NO585" s="25"/>
      <c r="NP585" s="25"/>
      <c r="NQ585" s="25"/>
      <c r="NR585" s="25"/>
      <c r="NS585" s="25"/>
      <c r="NT585" s="25"/>
      <c r="NU585" s="25"/>
      <c r="NV585" s="25"/>
      <c r="NW585" s="25"/>
      <c r="NX585" s="25"/>
      <c r="NY585" s="25"/>
      <c r="NZ585" s="25"/>
      <c r="OA585" s="25"/>
      <c r="OB585" s="25"/>
      <c r="OC585" s="25"/>
      <c r="OD585" s="25"/>
      <c r="OE585" s="25"/>
      <c r="OF585" s="25"/>
      <c r="OG585" s="25"/>
      <c r="OH585" s="25"/>
      <c r="OI585" s="25"/>
      <c r="OJ585" s="25"/>
      <c r="OK585" s="25"/>
      <c r="OL585" s="25"/>
      <c r="OM585" s="25"/>
      <c r="ON585" s="25"/>
      <c r="OO585" s="25"/>
      <c r="OP585" s="25"/>
      <c r="OQ585" s="25"/>
      <c r="OR585" s="25"/>
      <c r="OS585" s="25"/>
      <c r="OT585" s="25"/>
      <c r="OU585" s="25"/>
      <c r="OV585" s="25"/>
      <c r="OW585" s="25"/>
      <c r="OX585" s="25"/>
      <c r="OY585" s="25"/>
      <c r="OZ585" s="25"/>
      <c r="PA585" s="25"/>
      <c r="PB585" s="25"/>
      <c r="PC585" s="25"/>
      <c r="PD585" s="25"/>
      <c r="PE585" s="25"/>
      <c r="PF585" s="25"/>
      <c r="PG585" s="25"/>
      <c r="PH585" s="25"/>
      <c r="PI585" s="25"/>
      <c r="PJ585" s="25"/>
      <c r="PK585" s="25"/>
      <c r="PL585" s="25"/>
      <c r="PM585" s="25"/>
      <c r="PN585" s="25"/>
      <c r="PO585" s="25"/>
      <c r="PP585" s="25"/>
      <c r="PQ585" s="25"/>
      <c r="PR585" s="25"/>
      <c r="PS585" s="25"/>
      <c r="PT585" s="25"/>
      <c r="PU585" s="25"/>
      <c r="PV585" s="25"/>
      <c r="PW585" s="25"/>
      <c r="PX585" s="25"/>
      <c r="PY585" s="25"/>
      <c r="PZ585" s="25"/>
      <c r="QA585" s="25"/>
      <c r="QB585" s="25"/>
      <c r="QC585" s="25"/>
      <c r="QD585" s="25"/>
      <c r="QE585" s="25"/>
      <c r="QF585" s="25"/>
      <c r="QG585" s="25"/>
      <c r="QH585" s="25"/>
      <c r="QI585" s="25"/>
      <c r="QJ585" s="25"/>
      <c r="QK585" s="25"/>
      <c r="QL585" s="25"/>
      <c r="QM585" s="25"/>
      <c r="QN585" s="25"/>
      <c r="QO585" s="25"/>
      <c r="QP585" s="25"/>
      <c r="QQ585" s="25"/>
      <c r="QR585" s="25"/>
      <c r="QS585" s="25"/>
      <c r="QT585" s="25"/>
      <c r="QU585" s="25"/>
      <c r="QV585" s="25"/>
      <c r="QW585" s="25"/>
      <c r="QX585" s="578">
        <v>46111.0</v>
      </c>
    </row>
    <row r="586">
      <c r="A586" s="12"/>
      <c r="B586" s="12"/>
      <c r="C586" s="12"/>
      <c r="D586" s="12"/>
      <c r="E586" s="12"/>
      <c r="F586" s="12"/>
      <c r="G586" s="12"/>
      <c r="H586" s="12"/>
      <c r="I586" s="143">
        <f t="shared" si="22"/>
        <v>-9</v>
      </c>
      <c r="J586" s="537">
        <v>46118.0</v>
      </c>
      <c r="K586" s="164" t="s">
        <v>53</v>
      </c>
      <c r="L586" s="537">
        <v>46170.0</v>
      </c>
      <c r="M586" s="86" t="s">
        <v>400</v>
      </c>
      <c r="N586" s="188">
        <v>246.0</v>
      </c>
      <c r="O586" s="86">
        <v>30.0</v>
      </c>
      <c r="U586" s="162" t="s">
        <v>3512</v>
      </c>
      <c r="V586" s="538" t="s">
        <v>3463</v>
      </c>
      <c r="W586" s="125" t="s">
        <v>3513</v>
      </c>
      <c r="X586" s="140"/>
      <c r="Y586" s="166">
        <f t="shared" si="23"/>
        <v>9</v>
      </c>
      <c r="Z586" s="26">
        <f t="shared" si="7"/>
        <v>0</v>
      </c>
      <c r="AA586" s="26">
        <f t="shared" si="8"/>
        <v>0</v>
      </c>
      <c r="AB586" s="26">
        <f t="shared" si="9"/>
        <v>0</v>
      </c>
      <c r="AC586" s="155">
        <v>0.0</v>
      </c>
      <c r="AD586" s="155">
        <v>0.0</v>
      </c>
      <c r="AE586" s="155">
        <v>0.0</v>
      </c>
      <c r="AF586" s="155">
        <v>0.0</v>
      </c>
      <c r="AG586" s="155">
        <v>0.0</v>
      </c>
      <c r="AH586" s="155">
        <v>0.0</v>
      </c>
      <c r="BN586" s="155">
        <v>0.0</v>
      </c>
      <c r="BO586" s="155">
        <v>0.0</v>
      </c>
      <c r="BP586" s="155">
        <v>0.0</v>
      </c>
      <c r="BQ586" s="155">
        <v>0.0</v>
      </c>
      <c r="BR586" s="155">
        <v>0.0</v>
      </c>
      <c r="BS586" s="155">
        <v>0.0</v>
      </c>
      <c r="CV586" s="156">
        <v>0.0</v>
      </c>
      <c r="CW586" s="156">
        <v>0.0</v>
      </c>
      <c r="CX586" s="156">
        <v>0.0</v>
      </c>
      <c r="CY586" s="156">
        <v>0.0</v>
      </c>
      <c r="CZ586" s="156">
        <v>0.0</v>
      </c>
      <c r="DA586" s="156">
        <v>0.0</v>
      </c>
      <c r="EG586" s="156">
        <v>7.0</v>
      </c>
      <c r="EH586" s="156">
        <v>0.0</v>
      </c>
      <c r="EI586" s="156">
        <v>0.0</v>
      </c>
      <c r="EJ586" s="156">
        <v>0.0</v>
      </c>
      <c r="EK586" s="156">
        <v>0.0</v>
      </c>
      <c r="EL586" s="156">
        <v>0.0</v>
      </c>
      <c r="EM586" s="174"/>
      <c r="EN586" s="174"/>
      <c r="EO586" s="174"/>
      <c r="EP586" s="174"/>
      <c r="EQ586" s="174"/>
      <c r="ER586" s="174">
        <v>1.0</v>
      </c>
      <c r="ES586" s="174">
        <v>0.0</v>
      </c>
      <c r="ET586" s="174">
        <v>1.0</v>
      </c>
      <c r="EU586" s="174"/>
      <c r="EV586" s="174"/>
      <c r="EW586" s="174"/>
      <c r="EX586" s="174"/>
      <c r="EY586" s="174">
        <v>1.0</v>
      </c>
      <c r="EZ586" s="174"/>
      <c r="FA586" s="174"/>
      <c r="FB586" s="174"/>
      <c r="FC586" s="174">
        <v>1.0</v>
      </c>
      <c r="FD586" s="174">
        <v>0.0</v>
      </c>
      <c r="FE586" s="174">
        <v>0.0</v>
      </c>
      <c r="FF586" s="174">
        <v>1.0</v>
      </c>
      <c r="FG586" s="174">
        <v>0.0</v>
      </c>
      <c r="FH586" s="174">
        <v>1.0</v>
      </c>
      <c r="FI586" s="174"/>
      <c r="FJ586" s="174"/>
      <c r="FK586" s="174"/>
      <c r="FL586" s="174"/>
      <c r="FM586" s="174"/>
      <c r="FN586" s="174"/>
      <c r="FO586" s="174">
        <v>1.0</v>
      </c>
      <c r="FP586" s="174">
        <v>0.0</v>
      </c>
      <c r="FQ586" s="156">
        <v>2.0</v>
      </c>
      <c r="FR586" s="156">
        <v>0.0</v>
      </c>
      <c r="FS586" s="156">
        <v>0.0</v>
      </c>
      <c r="FT586" s="156">
        <v>0.0</v>
      </c>
      <c r="FU586" s="156">
        <v>0.0</v>
      </c>
      <c r="FV586" s="156">
        <v>0.0</v>
      </c>
      <c r="FW586" s="174"/>
      <c r="FX586" s="174"/>
      <c r="FY586" s="174"/>
      <c r="FZ586" s="174"/>
      <c r="GA586" s="174"/>
      <c r="GB586" s="174">
        <v>1.0</v>
      </c>
      <c r="GC586" s="174"/>
      <c r="GD586" s="174"/>
      <c r="GE586" s="174"/>
      <c r="GF586" s="175">
        <v>1.0</v>
      </c>
      <c r="GG586" s="174"/>
      <c r="GH586" s="174"/>
      <c r="GI586" s="174"/>
      <c r="GJ586" s="174"/>
      <c r="GK586" s="174"/>
      <c r="GL586" s="174"/>
      <c r="GM586" s="174"/>
      <c r="GN586" s="174"/>
      <c r="GO586" s="174"/>
      <c r="GP586" s="177"/>
      <c r="GQ586" s="174"/>
      <c r="GR586" s="175"/>
      <c r="GS586" s="174"/>
      <c r="GT586" s="174"/>
      <c r="GU586" s="174"/>
      <c r="GV586" s="174"/>
      <c r="GW586" s="174"/>
      <c r="GX586" s="174"/>
      <c r="GY586" s="174"/>
      <c r="GZ586" s="174"/>
      <c r="HA586" s="174"/>
      <c r="HB586" s="155">
        <v>0.0</v>
      </c>
      <c r="HC586" s="155">
        <v>0.0</v>
      </c>
      <c r="HD586" s="155">
        <v>0.0</v>
      </c>
      <c r="HE586" s="155">
        <v>0.0</v>
      </c>
      <c r="HF586" s="155">
        <v>0.0</v>
      </c>
      <c r="HG586" s="155">
        <v>0.0</v>
      </c>
      <c r="HH586" s="174"/>
      <c r="HI586" s="174"/>
      <c r="HJ586" s="174"/>
      <c r="HK586" s="174"/>
      <c r="HL586" s="174"/>
      <c r="HM586" s="174"/>
      <c r="HN586" s="174"/>
      <c r="HO586" s="174"/>
      <c r="HP586" s="174"/>
      <c r="HQ586" s="174"/>
      <c r="HR586" s="174"/>
      <c r="HS586" s="174"/>
      <c r="HT586" s="174"/>
      <c r="HU586" s="174"/>
      <c r="HV586" s="174"/>
      <c r="HW586" s="174"/>
      <c r="HX586" s="174"/>
      <c r="HY586" s="174"/>
      <c r="HZ586" s="174"/>
      <c r="IA586" s="174"/>
      <c r="IB586" s="174"/>
      <c r="IC586" s="174"/>
      <c r="ID586" s="174"/>
      <c r="IE586" s="174"/>
      <c r="IF586" s="174"/>
      <c r="IG586" s="174"/>
      <c r="IH586" s="174"/>
      <c r="II586" s="174"/>
      <c r="IJ586" s="174"/>
      <c r="IK586" s="174"/>
      <c r="IL586" s="159">
        <v>0.0</v>
      </c>
      <c r="IM586" s="156">
        <v>0.0</v>
      </c>
      <c r="IN586" s="156">
        <v>0.0</v>
      </c>
      <c r="IO586" s="156">
        <v>0.0</v>
      </c>
      <c r="IP586" s="156">
        <v>0.0</v>
      </c>
      <c r="IQ586" s="160">
        <v>0.0</v>
      </c>
      <c r="JH586" s="25"/>
      <c r="JW586" s="159">
        <v>0.0</v>
      </c>
      <c r="JX586" s="156">
        <v>0.0</v>
      </c>
      <c r="JY586" s="156">
        <v>0.0</v>
      </c>
      <c r="JZ586" s="156">
        <v>0.0</v>
      </c>
      <c r="KA586" s="156">
        <v>0.0</v>
      </c>
      <c r="KB586" s="160">
        <v>0.0</v>
      </c>
      <c r="LH586" s="159">
        <f t="shared" si="10"/>
        <v>0</v>
      </c>
      <c r="LI586" s="156">
        <f t="shared" si="11"/>
        <v>0</v>
      </c>
      <c r="LJ586" s="156">
        <f t="shared" si="12"/>
        <v>0</v>
      </c>
      <c r="LK586" s="156">
        <f t="shared" si="13"/>
        <v>0</v>
      </c>
      <c r="LL586" s="156">
        <f t="shared" si="14"/>
        <v>0</v>
      </c>
      <c r="LM586" s="160">
        <f t="shared" si="15"/>
        <v>0</v>
      </c>
      <c r="QX586" s="560">
        <v>46112.0</v>
      </c>
    </row>
    <row r="587">
      <c r="A587" s="12"/>
      <c r="B587" s="12"/>
      <c r="C587" s="12"/>
      <c r="D587" s="12"/>
      <c r="E587" s="12"/>
      <c r="F587" s="12"/>
      <c r="G587" s="12"/>
      <c r="H587" s="12"/>
      <c r="I587" s="143">
        <f t="shared" si="22"/>
        <v>-4</v>
      </c>
      <c r="J587" s="537">
        <v>46119.0</v>
      </c>
      <c r="K587" s="164" t="s">
        <v>53</v>
      </c>
      <c r="L587" s="23">
        <v>46149.0</v>
      </c>
      <c r="M587" s="86" t="s">
        <v>1703</v>
      </c>
      <c r="N587" s="188">
        <v>357.0</v>
      </c>
      <c r="O587" s="86">
        <v>30.0</v>
      </c>
      <c r="U587" s="162" t="s">
        <v>3514</v>
      </c>
      <c r="V587" s="538" t="s">
        <v>3206</v>
      </c>
      <c r="W587" s="125" t="s">
        <v>3515</v>
      </c>
      <c r="X587" s="140"/>
      <c r="Y587" s="166">
        <f t="shared" si="23"/>
        <v>4</v>
      </c>
      <c r="Z587" s="26">
        <f t="shared" si="7"/>
        <v>0</v>
      </c>
      <c r="AA587" s="26">
        <f t="shared" si="8"/>
        <v>2</v>
      </c>
      <c r="AB587" s="26">
        <f t="shared" si="9"/>
        <v>0</v>
      </c>
      <c r="AC587" s="155">
        <v>0.0</v>
      </c>
      <c r="AD587" s="155">
        <v>0.0</v>
      </c>
      <c r="AE587" s="155">
        <v>0.0</v>
      </c>
      <c r="AF587" s="155">
        <v>0.0</v>
      </c>
      <c r="AG587" s="155">
        <v>0.0</v>
      </c>
      <c r="AH587" s="155">
        <v>0.0</v>
      </c>
      <c r="BN587" s="155">
        <v>0.0</v>
      </c>
      <c r="BO587" s="155">
        <v>0.0</v>
      </c>
      <c r="BP587" s="155">
        <v>0.0</v>
      </c>
      <c r="BQ587" s="155">
        <v>0.0</v>
      </c>
      <c r="BR587" s="155">
        <v>0.0</v>
      </c>
      <c r="BS587" s="155">
        <v>0.0</v>
      </c>
      <c r="CV587" s="156">
        <v>0.0</v>
      </c>
      <c r="CW587" s="156">
        <v>0.0</v>
      </c>
      <c r="CX587" s="156">
        <v>0.0</v>
      </c>
      <c r="CY587" s="156">
        <v>0.0</v>
      </c>
      <c r="CZ587" s="156">
        <v>0.0</v>
      </c>
      <c r="DA587" s="156">
        <v>0.0</v>
      </c>
      <c r="EG587" s="156">
        <v>4.0</v>
      </c>
      <c r="EH587" s="156">
        <v>0.0</v>
      </c>
      <c r="EI587" s="156">
        <v>0.0</v>
      </c>
      <c r="EJ587" s="156">
        <v>2.0</v>
      </c>
      <c r="EK587" s="156">
        <v>0.0</v>
      </c>
      <c r="EL587" s="156">
        <v>0.0</v>
      </c>
      <c r="EM587" s="395"/>
      <c r="EN587" s="395"/>
      <c r="EO587" s="395"/>
      <c r="EP587" s="395"/>
      <c r="EQ587" s="395"/>
      <c r="ER587" s="395"/>
      <c r="ES587" s="395">
        <v>1.0</v>
      </c>
      <c r="ET587" s="395"/>
      <c r="EU587" s="395"/>
      <c r="EV587" s="395"/>
      <c r="EW587" s="395" t="s">
        <v>947</v>
      </c>
      <c r="EX587" s="395"/>
      <c r="EY587" s="395"/>
      <c r="EZ587" s="395"/>
      <c r="FA587" s="395">
        <v>1.0</v>
      </c>
      <c r="FB587" s="395"/>
      <c r="FC587" s="395">
        <v>0.0</v>
      </c>
      <c r="FD587" s="395" t="s">
        <v>947</v>
      </c>
      <c r="FE587" s="395"/>
      <c r="FF587" s="395"/>
      <c r="FG587" s="395"/>
      <c r="FH587" s="395"/>
      <c r="FI587" s="395"/>
      <c r="FJ587" s="395"/>
      <c r="FK587" s="395"/>
      <c r="FL587" s="395"/>
      <c r="FM587" s="395"/>
      <c r="FN587" s="395"/>
      <c r="FO587" s="395"/>
      <c r="FP587" s="395"/>
      <c r="FQ587" s="156">
        <v>0.0</v>
      </c>
      <c r="FR587" s="156">
        <v>0.0</v>
      </c>
      <c r="FS587" s="156">
        <v>0.0</v>
      </c>
      <c r="FT587" s="156">
        <v>0.0</v>
      </c>
      <c r="FU587" s="156">
        <v>0.0</v>
      </c>
      <c r="FV587" s="156">
        <v>0.0</v>
      </c>
      <c r="FW587" s="172"/>
      <c r="FX587" s="172"/>
      <c r="FY587" s="172"/>
      <c r="FZ587" s="172"/>
      <c r="GA587" s="172"/>
      <c r="GB587" s="172"/>
      <c r="GC587" s="172"/>
      <c r="GD587" s="172"/>
      <c r="GE587" s="172"/>
      <c r="GF587" s="172"/>
      <c r="GG587" s="172"/>
      <c r="GH587" s="172"/>
      <c r="GI587" s="172"/>
      <c r="GJ587" s="172"/>
      <c r="GK587" s="172"/>
      <c r="GL587" s="172"/>
      <c r="GM587" s="172"/>
      <c r="GN587" s="172"/>
      <c r="GO587" s="172"/>
      <c r="GP587" s="170"/>
      <c r="GQ587" s="172"/>
      <c r="GR587" s="172"/>
      <c r="GS587" s="172"/>
      <c r="GT587" s="172"/>
      <c r="GU587" s="172"/>
      <c r="GV587" s="172"/>
      <c r="GW587" s="172"/>
      <c r="GX587" s="172"/>
      <c r="GY587" s="172"/>
      <c r="GZ587" s="172"/>
      <c r="HA587" s="172"/>
      <c r="HB587" s="155">
        <v>0.0</v>
      </c>
      <c r="HC587" s="155">
        <v>0.0</v>
      </c>
      <c r="HD587" s="155">
        <v>0.0</v>
      </c>
      <c r="HE587" s="155">
        <v>0.0</v>
      </c>
      <c r="HF587" s="155">
        <v>0.0</v>
      </c>
      <c r="HG587" s="155">
        <v>0.0</v>
      </c>
      <c r="HH587" s="172"/>
      <c r="HI587" s="172"/>
      <c r="HJ587" s="172"/>
      <c r="HK587" s="172"/>
      <c r="HL587" s="172"/>
      <c r="HM587" s="172"/>
      <c r="HN587" s="172"/>
      <c r="HO587" s="172"/>
      <c r="HP587" s="172"/>
      <c r="HQ587" s="172"/>
      <c r="HR587" s="172"/>
      <c r="HS587" s="172"/>
      <c r="HT587" s="172"/>
      <c r="HU587" s="172"/>
      <c r="HV587" s="172"/>
      <c r="HW587" s="172"/>
      <c r="HX587" s="172"/>
      <c r="HY587" s="172"/>
      <c r="HZ587" s="172"/>
      <c r="IA587" s="172"/>
      <c r="IB587" s="172"/>
      <c r="IC587" s="172"/>
      <c r="ID587" s="172"/>
      <c r="IE587" s="172"/>
      <c r="IF587" s="172"/>
      <c r="IG587" s="172"/>
      <c r="IH587" s="172"/>
      <c r="II587" s="172"/>
      <c r="IJ587" s="172"/>
      <c r="IK587" s="172"/>
      <c r="IL587" s="159">
        <v>0.0</v>
      </c>
      <c r="IM587" s="156">
        <v>0.0</v>
      </c>
      <c r="IN587" s="156">
        <v>0.0</v>
      </c>
      <c r="IO587" s="156">
        <v>0.0</v>
      </c>
      <c r="IP587" s="156">
        <v>0.0</v>
      </c>
      <c r="IQ587" s="160">
        <v>0.0</v>
      </c>
      <c r="JH587" s="25"/>
      <c r="JW587" s="159">
        <v>0.0</v>
      </c>
      <c r="JX587" s="156">
        <v>0.0</v>
      </c>
      <c r="JY587" s="156">
        <v>0.0</v>
      </c>
      <c r="JZ587" s="156">
        <v>0.0</v>
      </c>
      <c r="KA587" s="156">
        <v>0.0</v>
      </c>
      <c r="KB587" s="160">
        <v>0.0</v>
      </c>
      <c r="LH587" s="159">
        <f t="shared" si="10"/>
        <v>0</v>
      </c>
      <c r="LI587" s="156">
        <f t="shared" si="11"/>
        <v>0</v>
      </c>
      <c r="LJ587" s="156">
        <f t="shared" si="12"/>
        <v>0</v>
      </c>
      <c r="LK587" s="156">
        <f t="shared" si="13"/>
        <v>0</v>
      </c>
      <c r="LL587" s="156">
        <f t="shared" si="14"/>
        <v>0</v>
      </c>
      <c r="LM587" s="160">
        <f t="shared" si="15"/>
        <v>0</v>
      </c>
      <c r="QX587" s="560">
        <v>46112.0</v>
      </c>
    </row>
    <row r="588">
      <c r="A588" s="12"/>
      <c r="B588" s="12"/>
      <c r="C588" s="12"/>
      <c r="D588" s="12"/>
      <c r="E588" s="12"/>
      <c r="F588" s="12"/>
      <c r="G588" s="12"/>
      <c r="H588" s="12"/>
      <c r="I588" s="143">
        <f t="shared" si="22"/>
        <v>-40</v>
      </c>
      <c r="J588" s="537">
        <v>46122.0</v>
      </c>
      <c r="K588" s="294" t="s">
        <v>53</v>
      </c>
      <c r="L588" s="537">
        <v>46256.0</v>
      </c>
      <c r="M588" s="86" t="s">
        <v>1157</v>
      </c>
      <c r="N588" s="188" t="s">
        <v>424</v>
      </c>
      <c r="O588" s="86">
        <v>30.0</v>
      </c>
      <c r="U588" s="162" t="s">
        <v>3516</v>
      </c>
      <c r="V588" s="538" t="s">
        <v>3247</v>
      </c>
      <c r="W588" s="185" t="s">
        <v>3517</v>
      </c>
      <c r="X588" s="140"/>
      <c r="Y588" s="166">
        <f t="shared" si="23"/>
        <v>40</v>
      </c>
      <c r="Z588" s="26">
        <f t="shared" si="7"/>
        <v>0</v>
      </c>
      <c r="AA588" s="26">
        <f t="shared" si="8"/>
        <v>0</v>
      </c>
      <c r="AB588" s="26">
        <f t="shared" si="9"/>
        <v>0</v>
      </c>
      <c r="AC588" s="155">
        <v>0.0</v>
      </c>
      <c r="AD588" s="155">
        <v>0.0</v>
      </c>
      <c r="AE588" s="155">
        <v>0.0</v>
      </c>
      <c r="AF588" s="155">
        <v>0.0</v>
      </c>
      <c r="AG588" s="155">
        <v>0.0</v>
      </c>
      <c r="AH588" s="155">
        <v>0.0</v>
      </c>
      <c r="BN588" s="155">
        <v>0.0</v>
      </c>
      <c r="BO588" s="155">
        <v>0.0</v>
      </c>
      <c r="BP588" s="155">
        <v>0.0</v>
      </c>
      <c r="BQ588" s="155">
        <v>0.0</v>
      </c>
      <c r="BR588" s="155">
        <v>0.0</v>
      </c>
      <c r="BS588" s="155">
        <v>0.0</v>
      </c>
      <c r="CV588" s="156">
        <v>0.0</v>
      </c>
      <c r="CW588" s="156">
        <v>0.0</v>
      </c>
      <c r="CX588" s="156">
        <v>0.0</v>
      </c>
      <c r="CY588" s="156">
        <v>0.0</v>
      </c>
      <c r="CZ588" s="156">
        <v>0.0</v>
      </c>
      <c r="DA588" s="156">
        <v>0.0</v>
      </c>
      <c r="EG588" s="156">
        <v>7.0</v>
      </c>
      <c r="EH588" s="156">
        <v>0.0</v>
      </c>
      <c r="EI588" s="156">
        <v>0.0</v>
      </c>
      <c r="EJ588" s="156">
        <v>0.0</v>
      </c>
      <c r="EK588" s="156">
        <v>0.0</v>
      </c>
      <c r="EL588" s="156">
        <v>0.0</v>
      </c>
      <c r="EV588" s="86">
        <v>1.0</v>
      </c>
      <c r="EY588" s="86">
        <v>1.0</v>
      </c>
      <c r="FE588" s="86">
        <v>1.0</v>
      </c>
      <c r="FF588" s="86">
        <v>1.0</v>
      </c>
      <c r="FH588" s="86">
        <v>1.0</v>
      </c>
      <c r="FJ588" s="86">
        <v>1.0</v>
      </c>
      <c r="FO588" s="86">
        <v>1.0</v>
      </c>
      <c r="FQ588" s="156">
        <v>7.0</v>
      </c>
      <c r="FR588" s="156">
        <v>0.0</v>
      </c>
      <c r="FS588" s="156">
        <v>0.0</v>
      </c>
      <c r="FT588" s="156">
        <v>0.0</v>
      </c>
      <c r="FU588" s="156">
        <v>0.0</v>
      </c>
      <c r="FV588" s="156">
        <v>0.0</v>
      </c>
      <c r="FW588" s="174"/>
      <c r="FX588" s="174"/>
      <c r="FY588" s="174"/>
      <c r="FZ588" s="174"/>
      <c r="GA588" s="174"/>
      <c r="GB588" s="174"/>
      <c r="GC588" s="175">
        <v>1.0</v>
      </c>
      <c r="GD588" s="174"/>
      <c r="GE588" s="174">
        <v>0.0</v>
      </c>
      <c r="GF588" s="174">
        <v>0.0</v>
      </c>
      <c r="GG588" s="174"/>
      <c r="GH588" s="174">
        <v>0.0</v>
      </c>
      <c r="GI588" s="174">
        <v>1.0</v>
      </c>
      <c r="GJ588" s="174">
        <v>0.0</v>
      </c>
      <c r="GK588" s="174">
        <v>1.0</v>
      </c>
      <c r="GL588" s="174"/>
      <c r="GM588" s="174"/>
      <c r="GN588" s="174"/>
      <c r="GO588" s="174"/>
      <c r="GP588" s="174"/>
      <c r="GQ588" s="174"/>
      <c r="GR588" s="175">
        <v>1.0</v>
      </c>
      <c r="GS588" s="174">
        <v>0.0</v>
      </c>
      <c r="GT588" s="175">
        <v>1.0</v>
      </c>
      <c r="GU588" s="174">
        <v>1.0</v>
      </c>
      <c r="GV588" s="174"/>
      <c r="GW588" s="174"/>
      <c r="GX588" s="174"/>
      <c r="GY588" s="174"/>
      <c r="GZ588" s="174"/>
      <c r="HA588" s="175">
        <v>1.0</v>
      </c>
      <c r="HB588" s="155">
        <v>9.0</v>
      </c>
      <c r="HC588" s="155">
        <v>0.0</v>
      </c>
      <c r="HD588" s="155">
        <v>0.0</v>
      </c>
      <c r="HE588" s="155">
        <v>0.0</v>
      </c>
      <c r="HF588" s="155">
        <v>0.0</v>
      </c>
      <c r="HG588" s="155">
        <v>0.0</v>
      </c>
      <c r="HJ588" s="86">
        <v>1.0</v>
      </c>
      <c r="HL588" s="86">
        <v>1.0</v>
      </c>
      <c r="HO588" s="86">
        <v>1.0</v>
      </c>
      <c r="HQ588" s="86">
        <v>1.0</v>
      </c>
      <c r="HS588" s="86">
        <v>1.0</v>
      </c>
      <c r="HV588" s="86">
        <v>1.0</v>
      </c>
      <c r="HZ588" s="86">
        <v>1.0</v>
      </c>
      <c r="IE588" s="86">
        <v>1.0</v>
      </c>
      <c r="IH588" s="86">
        <v>1.0</v>
      </c>
      <c r="IL588" s="159">
        <v>14.0</v>
      </c>
      <c r="IM588" s="156">
        <v>0.0</v>
      </c>
      <c r="IN588" s="156">
        <v>0.0</v>
      </c>
      <c r="IO588" s="156">
        <v>0.0</v>
      </c>
      <c r="IP588" s="156">
        <v>0.0</v>
      </c>
      <c r="IQ588" s="160">
        <v>0.0</v>
      </c>
      <c r="IT588" s="86">
        <v>1.0</v>
      </c>
      <c r="IW588" s="86">
        <v>1.0</v>
      </c>
      <c r="IX588" s="86">
        <v>1.0</v>
      </c>
      <c r="IY588" s="86">
        <v>1.0</v>
      </c>
      <c r="IZ588" s="86">
        <v>1.0</v>
      </c>
      <c r="JF588" s="86">
        <v>1.0</v>
      </c>
      <c r="JG588" s="86">
        <v>1.0</v>
      </c>
      <c r="JH588" s="25"/>
      <c r="JI588" s="86">
        <v>1.0</v>
      </c>
      <c r="JJ588" s="86">
        <v>1.0</v>
      </c>
      <c r="JL588" s="86">
        <v>1.0</v>
      </c>
      <c r="JN588" s="86">
        <v>1.0</v>
      </c>
      <c r="JO588" s="86">
        <v>1.0</v>
      </c>
      <c r="JQ588" s="86">
        <v>1.0</v>
      </c>
      <c r="JU588" s="86">
        <v>1.0</v>
      </c>
      <c r="JW588" s="159">
        <v>3.0</v>
      </c>
      <c r="JX588" s="156">
        <v>0.0</v>
      </c>
      <c r="JY588" s="156">
        <v>0.0</v>
      </c>
      <c r="JZ588" s="156">
        <v>0.0</v>
      </c>
      <c r="KA588" s="156">
        <v>0.0</v>
      </c>
      <c r="KB588" s="160">
        <v>0.0</v>
      </c>
      <c r="KD588" s="86">
        <v>1.0</v>
      </c>
      <c r="KE588" s="86">
        <v>1.0</v>
      </c>
      <c r="KG588" s="86">
        <v>1.0</v>
      </c>
      <c r="KS588" s="178"/>
      <c r="LH588" s="159">
        <f t="shared" si="10"/>
        <v>0</v>
      </c>
      <c r="LI588" s="156">
        <f t="shared" si="11"/>
        <v>0</v>
      </c>
      <c r="LJ588" s="156">
        <f t="shared" si="12"/>
        <v>0</v>
      </c>
      <c r="LK588" s="156">
        <f t="shared" si="13"/>
        <v>0</v>
      </c>
      <c r="LL588" s="156">
        <f t="shared" si="14"/>
        <v>0</v>
      </c>
      <c r="LM588" s="160">
        <f t="shared" si="15"/>
        <v>0</v>
      </c>
      <c r="QX588" s="560">
        <v>46114.0</v>
      </c>
    </row>
    <row r="589">
      <c r="A589" s="12"/>
      <c r="B589" s="12"/>
      <c r="C589" s="12"/>
      <c r="D589" s="12"/>
      <c r="E589" s="12"/>
      <c r="F589" s="494"/>
      <c r="G589" s="12"/>
      <c r="H589" s="12"/>
      <c r="I589" s="143">
        <f t="shared" si="22"/>
        <v>-18</v>
      </c>
      <c r="J589" s="537">
        <v>46119.0</v>
      </c>
      <c r="K589" s="184" t="s">
        <v>48</v>
      </c>
      <c r="M589" s="162" t="s">
        <v>435</v>
      </c>
      <c r="N589" s="188">
        <v>37.0</v>
      </c>
      <c r="O589" s="86">
        <v>30.0</v>
      </c>
      <c r="U589" s="162" t="s">
        <v>562</v>
      </c>
      <c r="V589" s="538" t="s">
        <v>563</v>
      </c>
      <c r="W589" s="185" t="s">
        <v>3518</v>
      </c>
      <c r="X589" s="140"/>
      <c r="Y589" s="166">
        <f t="shared" si="23"/>
        <v>18</v>
      </c>
      <c r="Z589" s="26">
        <f t="shared" si="7"/>
        <v>0</v>
      </c>
      <c r="AA589" s="26">
        <f t="shared" si="8"/>
        <v>0</v>
      </c>
      <c r="AB589" s="26">
        <f t="shared" si="9"/>
        <v>0</v>
      </c>
      <c r="AC589" s="155">
        <v>0.0</v>
      </c>
      <c r="AD589" s="155">
        <v>0.0</v>
      </c>
      <c r="AE589" s="155">
        <v>0.0</v>
      </c>
      <c r="AF589" s="155">
        <v>0.0</v>
      </c>
      <c r="AG589" s="155">
        <v>0.0</v>
      </c>
      <c r="AH589" s="155">
        <v>0.0</v>
      </c>
      <c r="BN589" s="155">
        <v>0.0</v>
      </c>
      <c r="BO589" s="155">
        <v>0.0</v>
      </c>
      <c r="BP589" s="155">
        <v>0.0</v>
      </c>
      <c r="BQ589" s="155">
        <v>0.0</v>
      </c>
      <c r="BR589" s="155">
        <v>0.0</v>
      </c>
      <c r="BS589" s="155">
        <v>0.0</v>
      </c>
      <c r="CV589" s="156">
        <v>0.0</v>
      </c>
      <c r="CW589" s="156">
        <v>0.0</v>
      </c>
      <c r="CX589" s="156">
        <v>0.0</v>
      </c>
      <c r="CY589" s="156">
        <v>0.0</v>
      </c>
      <c r="CZ589" s="156">
        <v>0.0</v>
      </c>
      <c r="DA589" s="156">
        <v>0.0</v>
      </c>
      <c r="EG589" s="156">
        <v>6.0</v>
      </c>
      <c r="EH589" s="156">
        <v>0.0</v>
      </c>
      <c r="EI589" s="156">
        <v>0.0</v>
      </c>
      <c r="EJ589" s="156">
        <v>0.0</v>
      </c>
      <c r="EK589" s="156">
        <v>0.0</v>
      </c>
      <c r="EL589" s="156">
        <v>0.0</v>
      </c>
      <c r="ES589" s="86">
        <v>1.0</v>
      </c>
      <c r="EZ589" s="86">
        <v>1.0</v>
      </c>
      <c r="FD589" s="86">
        <v>1.0</v>
      </c>
      <c r="FI589" s="86">
        <v>1.0</v>
      </c>
      <c r="FN589" s="86">
        <v>1.0</v>
      </c>
      <c r="FO589" s="86">
        <v>1.0</v>
      </c>
      <c r="FQ589" s="156">
        <v>6.0</v>
      </c>
      <c r="FR589" s="156">
        <v>0.0</v>
      </c>
      <c r="FS589" s="156">
        <v>0.0</v>
      </c>
      <c r="FT589" s="156">
        <v>0.0</v>
      </c>
      <c r="FU589" s="156">
        <v>0.0</v>
      </c>
      <c r="FV589" s="156">
        <v>0.0</v>
      </c>
      <c r="FW589" s="172"/>
      <c r="FX589" s="172"/>
      <c r="FY589" s="172"/>
      <c r="FZ589" s="172"/>
      <c r="GA589" s="172"/>
      <c r="GB589" s="172"/>
      <c r="GC589" s="172">
        <v>1.0</v>
      </c>
      <c r="GD589" s="172">
        <v>0.0</v>
      </c>
      <c r="GE589" s="172">
        <v>1.0</v>
      </c>
      <c r="GF589" s="172">
        <v>0.0</v>
      </c>
      <c r="GG589" s="172">
        <v>0.0</v>
      </c>
      <c r="GH589" s="172">
        <v>1.0</v>
      </c>
      <c r="GI589" s="172">
        <v>0.0</v>
      </c>
      <c r="GJ589" s="172">
        <v>0.0</v>
      </c>
      <c r="GK589" s="172">
        <v>0.0</v>
      </c>
      <c r="GL589" s="172"/>
      <c r="GM589" s="172">
        <v>0.0</v>
      </c>
      <c r="GN589" s="172">
        <v>0.0</v>
      </c>
      <c r="GO589" s="172">
        <v>1.0</v>
      </c>
      <c r="GP589" s="172">
        <v>0.0</v>
      </c>
      <c r="GQ589" s="172"/>
      <c r="GR589" s="172">
        <v>0.0</v>
      </c>
      <c r="GS589" s="172">
        <v>1.0</v>
      </c>
      <c r="GT589" s="172"/>
      <c r="GU589" s="172"/>
      <c r="GV589" s="172"/>
      <c r="GW589" s="172"/>
      <c r="GX589" s="172"/>
      <c r="GY589" s="172"/>
      <c r="GZ589" s="172">
        <v>1.0</v>
      </c>
      <c r="HA589" s="172">
        <v>0.0</v>
      </c>
      <c r="HB589" s="155">
        <v>3.0</v>
      </c>
      <c r="HC589" s="155">
        <v>0.0</v>
      </c>
      <c r="HD589" s="155">
        <v>0.0</v>
      </c>
      <c r="HE589" s="155">
        <v>0.0</v>
      </c>
      <c r="HF589" s="155">
        <v>0.0</v>
      </c>
      <c r="HG589" s="155">
        <v>0.0</v>
      </c>
      <c r="HI589" s="86">
        <v>1.0</v>
      </c>
      <c r="HP589" s="86">
        <v>1.0</v>
      </c>
      <c r="HT589" s="86">
        <v>1.0</v>
      </c>
      <c r="IL589" s="159">
        <v>0.0</v>
      </c>
      <c r="IM589" s="156">
        <v>0.0</v>
      </c>
      <c r="IN589" s="156">
        <v>0.0</v>
      </c>
      <c r="IO589" s="156">
        <v>0.0</v>
      </c>
      <c r="IP589" s="156">
        <v>0.0</v>
      </c>
      <c r="IQ589" s="160">
        <v>0.0</v>
      </c>
      <c r="JH589" s="25"/>
      <c r="JW589" s="159">
        <v>1.0</v>
      </c>
      <c r="JX589" s="156">
        <v>0.0</v>
      </c>
      <c r="JY589" s="156">
        <v>0.0</v>
      </c>
      <c r="JZ589" s="156">
        <v>0.0</v>
      </c>
      <c r="KA589" s="156">
        <v>0.0</v>
      </c>
      <c r="KB589" s="160">
        <v>0.0</v>
      </c>
      <c r="KS589" s="178"/>
      <c r="LB589" s="86">
        <v>1.0</v>
      </c>
      <c r="LH589" s="159">
        <f t="shared" si="10"/>
        <v>2</v>
      </c>
      <c r="LI589" s="156">
        <f t="shared" si="11"/>
        <v>0</v>
      </c>
      <c r="LJ589" s="156">
        <f t="shared" si="12"/>
        <v>0</v>
      </c>
      <c r="LK589" s="156">
        <f t="shared" si="13"/>
        <v>0</v>
      </c>
      <c r="LL589" s="156">
        <f t="shared" si="14"/>
        <v>0</v>
      </c>
      <c r="LM589" s="160">
        <f t="shared" si="15"/>
        <v>0</v>
      </c>
      <c r="LR589" s="189">
        <v>1.0</v>
      </c>
      <c r="LV589" s="189">
        <v>1.0</v>
      </c>
      <c r="QX589" s="560">
        <v>46114.0</v>
      </c>
    </row>
    <row r="590">
      <c r="A590" s="12"/>
      <c r="B590" s="12"/>
      <c r="C590" s="12"/>
      <c r="D590" s="12"/>
      <c r="E590" s="12"/>
      <c r="F590" s="494"/>
      <c r="G590" s="12"/>
      <c r="H590" s="12"/>
      <c r="I590" s="143">
        <f t="shared" si="22"/>
        <v>-1</v>
      </c>
      <c r="J590" s="537">
        <v>46121.0</v>
      </c>
      <c r="K590" s="164" t="s">
        <v>61</v>
      </c>
      <c r="L590" s="108"/>
      <c r="M590" s="86" t="s">
        <v>3519</v>
      </c>
      <c r="N590" s="188">
        <v>357.0</v>
      </c>
      <c r="O590" s="86">
        <v>30.0</v>
      </c>
      <c r="U590" s="162" t="s">
        <v>447</v>
      </c>
      <c r="V590" s="538" t="s">
        <v>613</v>
      </c>
      <c r="W590" s="125" t="s">
        <v>3520</v>
      </c>
      <c r="X590" s="140"/>
      <c r="Y590" s="166">
        <f t="shared" si="23"/>
        <v>1</v>
      </c>
      <c r="Z590" s="26">
        <f t="shared" si="7"/>
        <v>0</v>
      </c>
      <c r="AA590" s="26">
        <f t="shared" si="8"/>
        <v>0</v>
      </c>
      <c r="AB590" s="26">
        <f t="shared" si="9"/>
        <v>0</v>
      </c>
      <c r="AC590" s="155">
        <v>0.0</v>
      </c>
      <c r="AD590" s="155">
        <v>0.0</v>
      </c>
      <c r="AE590" s="155">
        <v>0.0</v>
      </c>
      <c r="AF590" s="155">
        <v>0.0</v>
      </c>
      <c r="AG590" s="155">
        <v>0.0</v>
      </c>
      <c r="AH590" s="155">
        <v>0.0</v>
      </c>
      <c r="BN590" s="155">
        <v>0.0</v>
      </c>
      <c r="BO590" s="155">
        <v>0.0</v>
      </c>
      <c r="BP590" s="155">
        <v>0.0</v>
      </c>
      <c r="BQ590" s="155">
        <v>0.0</v>
      </c>
      <c r="BR590" s="155">
        <v>0.0</v>
      </c>
      <c r="BS590" s="155">
        <v>0.0</v>
      </c>
      <c r="CV590" s="156">
        <v>0.0</v>
      </c>
      <c r="CW590" s="156">
        <v>0.0</v>
      </c>
      <c r="CX590" s="156">
        <v>0.0</v>
      </c>
      <c r="CY590" s="156">
        <v>0.0</v>
      </c>
      <c r="CZ590" s="156">
        <v>0.0</v>
      </c>
      <c r="DA590" s="156">
        <v>0.0</v>
      </c>
      <c r="EG590" s="156">
        <v>1.0</v>
      </c>
      <c r="EH590" s="156">
        <v>0.0</v>
      </c>
      <c r="EI590" s="156">
        <v>0.0</v>
      </c>
      <c r="EJ590" s="156">
        <v>0.0</v>
      </c>
      <c r="EK590" s="156">
        <v>0.0</v>
      </c>
      <c r="EL590" s="156">
        <v>0.0</v>
      </c>
      <c r="EM590" s="395"/>
      <c r="EN590" s="395"/>
      <c r="EO590" s="395"/>
      <c r="EP590" s="395"/>
      <c r="EQ590" s="395"/>
      <c r="ER590" s="395"/>
      <c r="ES590" s="395"/>
      <c r="ET590" s="395"/>
      <c r="EU590" s="395">
        <v>1.0</v>
      </c>
      <c r="EV590" s="395"/>
      <c r="EW590" s="395"/>
      <c r="EX590" s="395"/>
      <c r="EY590" s="395"/>
      <c r="EZ590" s="395"/>
      <c r="FA590" s="395"/>
      <c r="FB590" s="395"/>
      <c r="FC590" s="395"/>
      <c r="FD590" s="395"/>
      <c r="FE590" s="395"/>
      <c r="FF590" s="395"/>
      <c r="FG590" s="395"/>
      <c r="FH590" s="395"/>
      <c r="FI590" s="395"/>
      <c r="FJ590" s="395"/>
      <c r="FK590" s="395"/>
      <c r="FL590" s="395"/>
      <c r="FM590" s="395"/>
      <c r="FN590" s="395"/>
      <c r="FO590" s="395"/>
      <c r="FP590" s="395"/>
      <c r="FQ590" s="156">
        <v>0.0</v>
      </c>
      <c r="FR590" s="156">
        <v>0.0</v>
      </c>
      <c r="FS590" s="156">
        <v>0.0</v>
      </c>
      <c r="FT590" s="156">
        <v>0.0</v>
      </c>
      <c r="FU590" s="156">
        <v>0.0</v>
      </c>
      <c r="FV590" s="156">
        <v>0.0</v>
      </c>
      <c r="FW590" s="172"/>
      <c r="FX590" s="172"/>
      <c r="FY590" s="172"/>
      <c r="FZ590" s="172"/>
      <c r="GA590" s="172"/>
      <c r="GB590" s="172"/>
      <c r="GC590" s="172"/>
      <c r="GD590" s="172"/>
      <c r="GE590" s="172"/>
      <c r="GF590" s="172"/>
      <c r="GG590" s="172"/>
      <c r="GH590" s="172"/>
      <c r="GI590" s="172"/>
      <c r="GJ590" s="172"/>
      <c r="GK590" s="172"/>
      <c r="GL590" s="172"/>
      <c r="GM590" s="172"/>
      <c r="GN590" s="172"/>
      <c r="GO590" s="172"/>
      <c r="GP590" s="170"/>
      <c r="GQ590" s="172"/>
      <c r="GR590" s="172"/>
      <c r="GS590" s="172"/>
      <c r="GT590" s="172"/>
      <c r="GU590" s="172"/>
      <c r="GV590" s="172"/>
      <c r="GW590" s="172"/>
      <c r="GX590" s="172"/>
      <c r="GY590" s="172"/>
      <c r="GZ590" s="172"/>
      <c r="HA590" s="172"/>
      <c r="HB590" s="155">
        <v>0.0</v>
      </c>
      <c r="HC590" s="155">
        <v>0.0</v>
      </c>
      <c r="HD590" s="155">
        <v>0.0</v>
      </c>
      <c r="HE590" s="155">
        <v>0.0</v>
      </c>
      <c r="HF590" s="155">
        <v>0.0</v>
      </c>
      <c r="HG590" s="155">
        <v>0.0</v>
      </c>
      <c r="IL590" s="159">
        <v>0.0</v>
      </c>
      <c r="IM590" s="156">
        <v>0.0</v>
      </c>
      <c r="IN590" s="156">
        <v>0.0</v>
      </c>
      <c r="IO590" s="156">
        <v>0.0</v>
      </c>
      <c r="IP590" s="156">
        <v>0.0</v>
      </c>
      <c r="IQ590" s="160">
        <v>0.0</v>
      </c>
      <c r="JH590" s="25"/>
      <c r="JW590" s="159">
        <v>0.0</v>
      </c>
      <c r="JX590" s="156">
        <v>0.0</v>
      </c>
      <c r="JY590" s="156">
        <v>0.0</v>
      </c>
      <c r="JZ590" s="156">
        <v>0.0</v>
      </c>
      <c r="KA590" s="156">
        <v>0.0</v>
      </c>
      <c r="KB590" s="160">
        <v>0.0</v>
      </c>
      <c r="LH590" s="159">
        <f t="shared" si="10"/>
        <v>0</v>
      </c>
      <c r="LI590" s="156">
        <f t="shared" si="11"/>
        <v>0</v>
      </c>
      <c r="LJ590" s="156">
        <f t="shared" si="12"/>
        <v>0</v>
      </c>
      <c r="LK590" s="156">
        <f t="shared" si="13"/>
        <v>0</v>
      </c>
      <c r="LL590" s="156">
        <f t="shared" si="14"/>
        <v>0</v>
      </c>
      <c r="LM590" s="160">
        <f t="shared" si="15"/>
        <v>0</v>
      </c>
      <c r="QX590" s="560">
        <v>46118.0</v>
      </c>
    </row>
    <row r="591">
      <c r="A591" s="126"/>
      <c r="B591" s="126"/>
      <c r="C591" s="12"/>
      <c r="D591" s="12"/>
      <c r="E591" s="58"/>
      <c r="F591" s="12"/>
      <c r="G591" s="12"/>
      <c r="H591" s="12"/>
      <c r="I591" s="143">
        <f t="shared" si="22"/>
        <v>-37</v>
      </c>
      <c r="J591" s="537">
        <v>46121.0</v>
      </c>
      <c r="K591" s="184" t="s">
        <v>48</v>
      </c>
      <c r="M591" s="162" t="s">
        <v>348</v>
      </c>
      <c r="N591" s="188">
        <v>357.0</v>
      </c>
      <c r="O591" s="86">
        <v>30.0</v>
      </c>
      <c r="U591" s="162" t="s">
        <v>2554</v>
      </c>
      <c r="V591" s="538" t="s">
        <v>2555</v>
      </c>
      <c r="W591" s="185" t="s">
        <v>3521</v>
      </c>
      <c r="X591" s="140"/>
      <c r="Y591" s="166">
        <f t="shared" si="23"/>
        <v>37</v>
      </c>
      <c r="Z591" s="26">
        <f t="shared" si="7"/>
        <v>0</v>
      </c>
      <c r="AA591" s="26">
        <f t="shared" si="8"/>
        <v>0</v>
      </c>
      <c r="AB591" s="26">
        <f t="shared" si="9"/>
        <v>0</v>
      </c>
      <c r="AC591" s="155">
        <v>0.0</v>
      </c>
      <c r="AD591" s="155">
        <v>0.0</v>
      </c>
      <c r="AE591" s="155">
        <v>0.0</v>
      </c>
      <c r="AF591" s="155">
        <v>0.0</v>
      </c>
      <c r="AG591" s="155">
        <v>0.0</v>
      </c>
      <c r="AH591" s="155">
        <v>0.0</v>
      </c>
      <c r="BN591" s="155">
        <v>0.0</v>
      </c>
      <c r="BO591" s="155">
        <v>0.0</v>
      </c>
      <c r="BP591" s="155">
        <v>0.0</v>
      </c>
      <c r="BQ591" s="155">
        <v>0.0</v>
      </c>
      <c r="BR591" s="155">
        <v>0.0</v>
      </c>
      <c r="BS591" s="155">
        <v>0.0</v>
      </c>
      <c r="CV591" s="156">
        <v>0.0</v>
      </c>
      <c r="CW591" s="156">
        <v>0.0</v>
      </c>
      <c r="CX591" s="156">
        <v>0.0</v>
      </c>
      <c r="CY591" s="156">
        <v>0.0</v>
      </c>
      <c r="CZ591" s="156">
        <v>0.0</v>
      </c>
      <c r="DA591" s="156">
        <v>0.0</v>
      </c>
      <c r="EG591" s="156">
        <v>9.0</v>
      </c>
      <c r="EH591" s="156">
        <v>0.0</v>
      </c>
      <c r="EI591" s="156">
        <v>0.0</v>
      </c>
      <c r="EJ591" s="156">
        <v>0.0</v>
      </c>
      <c r="EK591" s="156">
        <v>0.0</v>
      </c>
      <c r="EL591" s="156">
        <v>0.0</v>
      </c>
      <c r="EM591" s="395"/>
      <c r="EN591" s="395"/>
      <c r="EO591" s="395"/>
      <c r="EP591" s="395"/>
      <c r="EQ591" s="395"/>
      <c r="ER591" s="395"/>
      <c r="ES591" s="395"/>
      <c r="ET591" s="395"/>
      <c r="EU591" s="395">
        <v>1.0</v>
      </c>
      <c r="EV591" s="395">
        <v>0.0</v>
      </c>
      <c r="EW591" s="395">
        <v>1.0</v>
      </c>
      <c r="EX591" s="395">
        <v>0.0</v>
      </c>
      <c r="EY591" s="395">
        <v>0.0</v>
      </c>
      <c r="EZ591" s="395">
        <v>1.0</v>
      </c>
      <c r="FA591" s="395">
        <v>0.0</v>
      </c>
      <c r="FB591" s="395">
        <v>1.0</v>
      </c>
      <c r="FC591" s="395">
        <v>0.0</v>
      </c>
      <c r="FD591" s="395">
        <v>1.0</v>
      </c>
      <c r="FE591" s="395">
        <v>0.0</v>
      </c>
      <c r="FF591" s="395">
        <v>0.0</v>
      </c>
      <c r="FG591" s="395">
        <v>1.0</v>
      </c>
      <c r="FH591" s="395">
        <v>0.0</v>
      </c>
      <c r="FI591" s="395">
        <v>1.0</v>
      </c>
      <c r="FJ591" s="395">
        <v>0.0</v>
      </c>
      <c r="FK591" s="395">
        <v>1.0</v>
      </c>
      <c r="FL591" s="395">
        <v>0.0</v>
      </c>
      <c r="FM591" s="395">
        <v>0.0</v>
      </c>
      <c r="FN591" s="395">
        <v>1.0</v>
      </c>
      <c r="FO591" s="395"/>
      <c r="FP591" s="395"/>
      <c r="FQ591" s="156">
        <v>11.0</v>
      </c>
      <c r="FR591" s="156">
        <v>0.0</v>
      </c>
      <c r="FS591" s="156">
        <v>0.0</v>
      </c>
      <c r="FT591" s="156">
        <v>0.0</v>
      </c>
      <c r="FU591" s="156">
        <v>0.0</v>
      </c>
      <c r="FV591" s="156">
        <v>0.0</v>
      </c>
      <c r="FW591" s="172"/>
      <c r="FX591" s="172"/>
      <c r="FY591" s="172"/>
      <c r="FZ591" s="172"/>
      <c r="GA591" s="172">
        <v>1.0</v>
      </c>
      <c r="GB591" s="172">
        <v>0.0</v>
      </c>
      <c r="GC591" s="172">
        <v>1.0</v>
      </c>
      <c r="GD591" s="172">
        <v>0.0</v>
      </c>
      <c r="GE591" s="172">
        <v>1.0</v>
      </c>
      <c r="GF591" s="172">
        <v>0.0</v>
      </c>
      <c r="GG591" s="172">
        <v>0.0</v>
      </c>
      <c r="GH591" s="172">
        <v>1.0</v>
      </c>
      <c r="GI591" s="172">
        <v>0.0</v>
      </c>
      <c r="GJ591" s="172">
        <v>1.0</v>
      </c>
      <c r="GK591" s="172">
        <v>0.0</v>
      </c>
      <c r="GL591" s="172">
        <v>1.0</v>
      </c>
      <c r="GM591" s="172">
        <v>0.0</v>
      </c>
      <c r="GN591" s="172">
        <v>0.0</v>
      </c>
      <c r="GO591" s="172">
        <v>1.0</v>
      </c>
      <c r="GP591" s="170">
        <v>0.0</v>
      </c>
      <c r="GQ591" s="172">
        <v>1.0</v>
      </c>
      <c r="GR591" s="172">
        <v>0.0</v>
      </c>
      <c r="GS591" s="172">
        <v>1.0</v>
      </c>
      <c r="GT591" s="172">
        <v>0.0</v>
      </c>
      <c r="GU591" s="172">
        <v>0.0</v>
      </c>
      <c r="GV591" s="172"/>
      <c r="GW591" s="172">
        <v>1.0</v>
      </c>
      <c r="GX591" s="172">
        <v>1.0</v>
      </c>
      <c r="GY591" s="172">
        <v>0.0</v>
      </c>
      <c r="GZ591" s="172"/>
      <c r="HA591" s="172"/>
      <c r="HB591" s="155">
        <v>10.0</v>
      </c>
      <c r="HC591" s="155">
        <v>0.0</v>
      </c>
      <c r="HD591" s="155">
        <v>0.0</v>
      </c>
      <c r="HE591" s="155">
        <v>0.0</v>
      </c>
      <c r="HF591" s="155">
        <v>0.0</v>
      </c>
      <c r="HG591" s="155">
        <v>0.0</v>
      </c>
      <c r="HH591" s="172">
        <v>0.0</v>
      </c>
      <c r="HI591" s="172">
        <v>1.0</v>
      </c>
      <c r="HJ591" s="172">
        <v>0.0</v>
      </c>
      <c r="HK591" s="172">
        <v>1.0</v>
      </c>
      <c r="HL591" s="172">
        <v>0.0</v>
      </c>
      <c r="HM591" s="172">
        <v>1.0</v>
      </c>
      <c r="HN591" s="172">
        <v>0.0</v>
      </c>
      <c r="HO591" s="172">
        <v>0.0</v>
      </c>
      <c r="HP591" s="172">
        <v>1.0</v>
      </c>
      <c r="HQ591" s="172">
        <v>0.0</v>
      </c>
      <c r="HR591" s="172">
        <v>1.0</v>
      </c>
      <c r="HS591" s="172">
        <v>0.0</v>
      </c>
      <c r="HT591" s="172">
        <v>1.0</v>
      </c>
      <c r="HU591" s="172">
        <v>0.0</v>
      </c>
      <c r="HV591" s="172">
        <v>0.0</v>
      </c>
      <c r="HW591" s="172">
        <v>1.0</v>
      </c>
      <c r="HX591" s="172">
        <v>0.0</v>
      </c>
      <c r="HY591" s="172">
        <v>1.0</v>
      </c>
      <c r="HZ591" s="172">
        <v>0.0</v>
      </c>
      <c r="IA591" s="172">
        <v>1.0</v>
      </c>
      <c r="IB591" s="172">
        <v>0.0</v>
      </c>
      <c r="IC591" s="172">
        <v>0.0</v>
      </c>
      <c r="ID591" s="172">
        <v>1.0</v>
      </c>
      <c r="IE591" s="172"/>
      <c r="IF591" s="172"/>
      <c r="IG591" s="172"/>
      <c r="IH591" s="172"/>
      <c r="II591" s="172"/>
      <c r="IJ591" s="172"/>
      <c r="IK591" s="172"/>
      <c r="IL591" s="159">
        <v>0.0</v>
      </c>
      <c r="IM591" s="156">
        <v>0.0</v>
      </c>
      <c r="IN591" s="156">
        <v>0.0</v>
      </c>
      <c r="IO591" s="156">
        <v>0.0</v>
      </c>
      <c r="IP591" s="156">
        <v>0.0</v>
      </c>
      <c r="IQ591" s="160">
        <v>0.0</v>
      </c>
      <c r="IR591" s="172">
        <v>0.0</v>
      </c>
      <c r="IS591" s="172"/>
      <c r="IT591" s="172">
        <v>0.0</v>
      </c>
      <c r="IU591" s="172"/>
      <c r="IV591" s="172">
        <v>0.0</v>
      </c>
      <c r="IW591" s="172">
        <v>0.0</v>
      </c>
      <c r="IX591" s="172"/>
      <c r="IY591" s="172">
        <v>0.0</v>
      </c>
      <c r="IZ591" s="172"/>
      <c r="JA591" s="172">
        <v>0.0</v>
      </c>
      <c r="JB591" s="172"/>
      <c r="JC591" s="172">
        <v>0.0</v>
      </c>
      <c r="JD591" s="172">
        <v>0.0</v>
      </c>
      <c r="JE591" s="172"/>
      <c r="JF591" s="172">
        <v>0.0</v>
      </c>
      <c r="JG591" s="172"/>
      <c r="JH591" s="170">
        <v>0.0</v>
      </c>
      <c r="JI591" s="172"/>
      <c r="JJ591" s="172"/>
      <c r="JK591" s="172"/>
      <c r="JL591" s="172"/>
      <c r="JM591" s="172"/>
      <c r="JN591" s="172"/>
      <c r="JO591" s="172"/>
      <c r="JP591" s="172"/>
      <c r="JQ591" s="172"/>
      <c r="JR591" s="172"/>
      <c r="JS591" s="172"/>
      <c r="JT591" s="172"/>
      <c r="JU591" s="172"/>
      <c r="JV591" s="172"/>
      <c r="JW591" s="159">
        <v>0.0</v>
      </c>
      <c r="JX591" s="156">
        <v>0.0</v>
      </c>
      <c r="JY591" s="156">
        <v>0.0</v>
      </c>
      <c r="JZ591" s="156">
        <v>0.0</v>
      </c>
      <c r="KA591" s="156">
        <v>0.0</v>
      </c>
      <c r="KB591" s="160">
        <v>0.0</v>
      </c>
      <c r="KC591" s="172"/>
      <c r="KD591" s="172"/>
      <c r="KE591" s="172"/>
      <c r="KF591" s="172"/>
      <c r="KG591" s="172"/>
      <c r="KH591" s="172"/>
      <c r="KI591" s="172"/>
      <c r="KJ591" s="172"/>
      <c r="KK591" s="172"/>
      <c r="KL591" s="172"/>
      <c r="KM591" s="172"/>
      <c r="KN591" s="172"/>
      <c r="KO591" s="172"/>
      <c r="KP591" s="172"/>
      <c r="KQ591" s="172"/>
      <c r="KR591" s="172"/>
      <c r="KS591" s="432"/>
      <c r="KT591" s="172"/>
      <c r="KU591" s="172"/>
      <c r="KV591" s="172"/>
      <c r="KW591" s="172"/>
      <c r="KX591" s="172"/>
      <c r="KY591" s="172"/>
      <c r="KZ591" s="172"/>
      <c r="LA591" s="172"/>
      <c r="LB591" s="172"/>
      <c r="LC591" s="172"/>
      <c r="LD591" s="172"/>
      <c r="LE591" s="172"/>
      <c r="LF591" s="172"/>
      <c r="LG591" s="172"/>
      <c r="LH591" s="159">
        <f t="shared" si="10"/>
        <v>7</v>
      </c>
      <c r="LI591" s="156">
        <f t="shared" si="11"/>
        <v>0</v>
      </c>
      <c r="LJ591" s="156">
        <f t="shared" si="12"/>
        <v>0</v>
      </c>
      <c r="LK591" s="156">
        <f t="shared" si="13"/>
        <v>0</v>
      </c>
      <c r="LL591" s="156">
        <f t="shared" si="14"/>
        <v>0</v>
      </c>
      <c r="LM591" s="160">
        <f t="shared" si="15"/>
        <v>0</v>
      </c>
      <c r="LW591" s="12">
        <f t="shared" ref="LW591:MQ591" si="44">IFS(TODAY()&lt;=LC$2,0,WEEKDAY(LC$2)=2,0,WEEKDAY(LC$2)=3,1,WEEKDAY(LC$2)=4,0,WEEKDAY(LC$2)=5,1,WEEKDAY(LC$2)=6,0,WEEKDAY(LC$2)=7,1,WEEKDAY(LC$2)=1,0)</f>
        <v>1</v>
      </c>
      <c r="LX591" s="12">
        <f t="shared" si="44"/>
        <v>0</v>
      </c>
      <c r="LY591" s="12">
        <f t="shared" si="44"/>
        <v>1</v>
      </c>
      <c r="LZ591" s="12">
        <f t="shared" si="44"/>
        <v>0</v>
      </c>
      <c r="MA591" s="12">
        <f t="shared" si="44"/>
        <v>0</v>
      </c>
      <c r="MB591" s="12">
        <f t="shared" si="44"/>
        <v>0</v>
      </c>
      <c r="MC591" s="12">
        <f t="shared" si="44"/>
        <v>0</v>
      </c>
      <c r="MD591" s="12">
        <f t="shared" si="44"/>
        <v>0</v>
      </c>
      <c r="ME591" s="12">
        <f t="shared" si="44"/>
        <v>0</v>
      </c>
      <c r="MF591" s="12">
        <f t="shared" si="44"/>
        <v>0</v>
      </c>
      <c r="MG591" s="12">
        <f t="shared" si="44"/>
        <v>0</v>
      </c>
      <c r="MH591" s="12">
        <f t="shared" si="44"/>
        <v>1</v>
      </c>
      <c r="MI591" s="12">
        <f t="shared" si="44"/>
        <v>0</v>
      </c>
      <c r="MJ591" s="12">
        <f t="shared" si="44"/>
        <v>1</v>
      </c>
      <c r="MK591" s="12">
        <f t="shared" si="44"/>
        <v>0</v>
      </c>
      <c r="ML591" s="12">
        <f t="shared" si="44"/>
        <v>1</v>
      </c>
      <c r="MM591" s="12">
        <f t="shared" si="44"/>
        <v>0</v>
      </c>
      <c r="MN591" s="12">
        <f t="shared" si="44"/>
        <v>0</v>
      </c>
      <c r="MO591" s="12">
        <f t="shared" si="44"/>
        <v>1</v>
      </c>
      <c r="MP591" s="12">
        <f t="shared" si="44"/>
        <v>0</v>
      </c>
      <c r="MQ591" s="12">
        <f t="shared" si="44"/>
        <v>1</v>
      </c>
      <c r="QX591" s="560">
        <v>46118.0</v>
      </c>
    </row>
    <row r="592">
      <c r="A592" s="12"/>
      <c r="B592" s="12"/>
      <c r="C592" s="12"/>
      <c r="D592" s="12"/>
      <c r="E592" s="12"/>
      <c r="F592" s="12"/>
      <c r="G592" s="12"/>
      <c r="H592" s="12"/>
      <c r="I592" s="143">
        <f t="shared" si="22"/>
        <v>-5</v>
      </c>
      <c r="J592" s="537">
        <v>46127.0</v>
      </c>
      <c r="K592" s="294" t="s">
        <v>61</v>
      </c>
      <c r="L592" s="537">
        <v>46153.0</v>
      </c>
      <c r="M592" s="86" t="s">
        <v>3522</v>
      </c>
      <c r="N592" s="86">
        <v>246.0</v>
      </c>
      <c r="O592" s="86">
        <v>30.0</v>
      </c>
      <c r="U592" s="162" t="s">
        <v>3523</v>
      </c>
      <c r="V592" s="538" t="s">
        <v>3384</v>
      </c>
      <c r="W592" s="125" t="s">
        <v>3524</v>
      </c>
      <c r="X592" s="140"/>
      <c r="Y592" s="166">
        <f t="shared" si="23"/>
        <v>5</v>
      </c>
      <c r="Z592" s="26">
        <f t="shared" si="7"/>
        <v>0</v>
      </c>
      <c r="AA592" s="26">
        <f t="shared" si="8"/>
        <v>2</v>
      </c>
      <c r="AB592" s="26">
        <f t="shared" si="9"/>
        <v>0</v>
      </c>
      <c r="AC592" s="155">
        <v>0.0</v>
      </c>
      <c r="AD592" s="155">
        <v>0.0</v>
      </c>
      <c r="AE592" s="155">
        <v>0.0</v>
      </c>
      <c r="AF592" s="155">
        <v>0.0</v>
      </c>
      <c r="AG592" s="155">
        <v>0.0</v>
      </c>
      <c r="AH592" s="155">
        <v>0.0</v>
      </c>
      <c r="BN592" s="155">
        <v>0.0</v>
      </c>
      <c r="BO592" s="155">
        <v>0.0</v>
      </c>
      <c r="BP592" s="155">
        <v>0.0</v>
      </c>
      <c r="BQ592" s="155">
        <v>0.0</v>
      </c>
      <c r="BR592" s="155">
        <v>0.0</v>
      </c>
      <c r="BS592" s="155">
        <v>0.0</v>
      </c>
      <c r="CV592" s="156">
        <v>0.0</v>
      </c>
      <c r="CW592" s="156">
        <v>0.0</v>
      </c>
      <c r="CX592" s="156">
        <v>0.0</v>
      </c>
      <c r="CY592" s="156">
        <v>0.0</v>
      </c>
      <c r="CZ592" s="156">
        <v>0.0</v>
      </c>
      <c r="DA592" s="156">
        <v>0.0</v>
      </c>
      <c r="EG592" s="156">
        <v>5.0</v>
      </c>
      <c r="EH592" s="156">
        <v>0.0</v>
      </c>
      <c r="EI592" s="156">
        <v>0.0</v>
      </c>
      <c r="EJ592" s="156">
        <v>2.0</v>
      </c>
      <c r="EK592" s="156">
        <v>0.0</v>
      </c>
      <c r="EL592" s="156">
        <v>0.0</v>
      </c>
      <c r="FA592" s="174">
        <v>1.0</v>
      </c>
      <c r="FB592" s="174">
        <v>0.0</v>
      </c>
      <c r="FC592" s="174">
        <v>1.0</v>
      </c>
      <c r="FD592" s="174">
        <v>0.0</v>
      </c>
      <c r="FE592" s="174">
        <v>0.0</v>
      </c>
      <c r="FF592" s="175" t="s">
        <v>947</v>
      </c>
      <c r="FG592" s="174">
        <v>0.0</v>
      </c>
      <c r="FH592" s="174">
        <v>1.0</v>
      </c>
      <c r="FI592" s="174"/>
      <c r="FJ592" s="174"/>
      <c r="FK592" s="174"/>
      <c r="FL592" s="174"/>
      <c r="FM592" s="174"/>
      <c r="FN592" s="174"/>
      <c r="FO592" s="175" t="s">
        <v>947</v>
      </c>
      <c r="FP592" s="174"/>
      <c r="FQ592" s="156">
        <v>0.0</v>
      </c>
      <c r="FR592" s="156">
        <v>0.0</v>
      </c>
      <c r="FS592" s="156">
        <v>0.0</v>
      </c>
      <c r="FT592" s="156">
        <v>0.0</v>
      </c>
      <c r="FU592" s="156">
        <v>0.0</v>
      </c>
      <c r="FV592" s="156">
        <v>0.0</v>
      </c>
      <c r="FW592" s="174"/>
      <c r="FX592" s="174"/>
      <c r="FY592" s="174"/>
      <c r="FZ592" s="174"/>
      <c r="GA592" s="174"/>
      <c r="GB592" s="174"/>
      <c r="GC592" s="174"/>
      <c r="GD592" s="174"/>
      <c r="GE592" s="174"/>
      <c r="GF592" s="174"/>
      <c r="GG592" s="174"/>
      <c r="GH592" s="174"/>
      <c r="GI592" s="174"/>
      <c r="GJ592" s="174"/>
      <c r="GK592" s="174"/>
      <c r="GL592" s="174"/>
      <c r="GM592" s="174"/>
      <c r="GN592" s="174"/>
      <c r="GO592" s="174"/>
      <c r="GP592" s="177"/>
      <c r="GQ592" s="174"/>
      <c r="GR592" s="175"/>
      <c r="GS592" s="174"/>
      <c r="GT592" s="174"/>
      <c r="GU592" s="174"/>
      <c r="GV592" s="174"/>
      <c r="GW592" s="174"/>
      <c r="GX592" s="174"/>
      <c r="GY592" s="174"/>
      <c r="GZ592" s="174"/>
      <c r="HA592" s="174"/>
      <c r="HB592" s="155">
        <v>0.0</v>
      </c>
      <c r="HC592" s="155">
        <v>0.0</v>
      </c>
      <c r="HD592" s="155">
        <v>0.0</v>
      </c>
      <c r="HE592" s="155">
        <v>0.0</v>
      </c>
      <c r="HF592" s="155">
        <v>0.0</v>
      </c>
      <c r="HG592" s="155">
        <v>0.0</v>
      </c>
      <c r="IL592" s="159">
        <v>0.0</v>
      </c>
      <c r="IM592" s="156">
        <v>0.0</v>
      </c>
      <c r="IN592" s="156">
        <v>0.0</v>
      </c>
      <c r="IO592" s="156">
        <v>0.0</v>
      </c>
      <c r="IP592" s="156">
        <v>0.0</v>
      </c>
      <c r="IQ592" s="160">
        <v>0.0</v>
      </c>
      <c r="JH592" s="25"/>
      <c r="JW592" s="159">
        <v>0.0</v>
      </c>
      <c r="JX592" s="156">
        <v>0.0</v>
      </c>
      <c r="JY592" s="156">
        <v>0.0</v>
      </c>
      <c r="JZ592" s="156">
        <v>0.0</v>
      </c>
      <c r="KA592" s="156">
        <v>0.0</v>
      </c>
      <c r="KB592" s="160">
        <v>0.0</v>
      </c>
      <c r="LH592" s="159">
        <f t="shared" si="10"/>
        <v>0</v>
      </c>
      <c r="LI592" s="156">
        <f t="shared" si="11"/>
        <v>0</v>
      </c>
      <c r="LJ592" s="156">
        <f t="shared" si="12"/>
        <v>0</v>
      </c>
      <c r="LK592" s="156">
        <f t="shared" si="13"/>
        <v>0</v>
      </c>
      <c r="LL592" s="156">
        <f t="shared" si="14"/>
        <v>0</v>
      </c>
      <c r="LM592" s="160">
        <f t="shared" si="15"/>
        <v>0</v>
      </c>
      <c r="QX592" s="560">
        <v>46119.0</v>
      </c>
    </row>
    <row r="593">
      <c r="A593" s="12"/>
      <c r="B593" s="102"/>
      <c r="C593" s="12"/>
      <c r="D593" s="12"/>
      <c r="E593" s="12"/>
      <c r="F593" s="12"/>
      <c r="G593" s="12"/>
      <c r="H593" s="12"/>
      <c r="I593" s="143">
        <f t="shared" si="22"/>
        <v>-33</v>
      </c>
      <c r="J593" s="537">
        <v>46123.0</v>
      </c>
      <c r="K593" s="180" t="s">
        <v>48</v>
      </c>
      <c r="L593" s="162"/>
      <c r="M593" s="86" t="s">
        <v>1703</v>
      </c>
      <c r="N593" s="86">
        <v>357.0</v>
      </c>
      <c r="O593" s="86">
        <v>30.0</v>
      </c>
      <c r="U593" s="162" t="s">
        <v>2929</v>
      </c>
      <c r="V593" s="538" t="s">
        <v>2658</v>
      </c>
      <c r="W593" s="185" t="s">
        <v>3525</v>
      </c>
      <c r="X593" s="140"/>
      <c r="Y593" s="166">
        <f t="shared" si="23"/>
        <v>33</v>
      </c>
      <c r="Z593" s="26">
        <f t="shared" si="7"/>
        <v>0</v>
      </c>
      <c r="AA593" s="26">
        <f t="shared" si="8"/>
        <v>0</v>
      </c>
      <c r="AB593" s="26">
        <f t="shared" si="9"/>
        <v>0</v>
      </c>
      <c r="AC593" s="155">
        <v>0.0</v>
      </c>
      <c r="AD593" s="155">
        <v>0.0</v>
      </c>
      <c r="AE593" s="155">
        <v>0.0</v>
      </c>
      <c r="AF593" s="155">
        <v>0.0</v>
      </c>
      <c r="AG593" s="155">
        <v>0.0</v>
      </c>
      <c r="AH593" s="155">
        <v>0.0</v>
      </c>
      <c r="BN593" s="155">
        <v>0.0</v>
      </c>
      <c r="BO593" s="155">
        <v>0.0</v>
      </c>
      <c r="BP593" s="155">
        <v>0.0</v>
      </c>
      <c r="BQ593" s="155">
        <v>0.0</v>
      </c>
      <c r="BR593" s="155">
        <v>0.0</v>
      </c>
      <c r="BS593" s="155">
        <v>0.0</v>
      </c>
      <c r="CV593" s="156">
        <v>0.0</v>
      </c>
      <c r="CW593" s="156">
        <v>0.0</v>
      </c>
      <c r="CX593" s="156">
        <v>0.0</v>
      </c>
      <c r="CY593" s="156">
        <v>0.0</v>
      </c>
      <c r="CZ593" s="156">
        <v>0.0</v>
      </c>
      <c r="DA593" s="156">
        <v>0.0</v>
      </c>
      <c r="EG593" s="156">
        <v>6.0</v>
      </c>
      <c r="EH593" s="156">
        <v>0.0</v>
      </c>
      <c r="EI593" s="156">
        <v>0.0</v>
      </c>
      <c r="EJ593" s="156">
        <v>0.0</v>
      </c>
      <c r="EK593" s="156">
        <v>0.0</v>
      </c>
      <c r="EL593" s="156">
        <v>0.0</v>
      </c>
      <c r="EW593" s="395">
        <v>1.0</v>
      </c>
      <c r="EX593" s="395"/>
      <c r="EY593" s="395"/>
      <c r="EZ593" s="395"/>
      <c r="FA593" s="395"/>
      <c r="FB593" s="395">
        <v>1.0</v>
      </c>
      <c r="FC593" s="395">
        <v>0.0</v>
      </c>
      <c r="FD593" s="395">
        <v>1.0</v>
      </c>
      <c r="FE593" s="395"/>
      <c r="FF593" s="395"/>
      <c r="FG593" s="395"/>
      <c r="FH593" s="395"/>
      <c r="FI593" s="395">
        <v>1.0</v>
      </c>
      <c r="FJ593" s="395">
        <v>0.0</v>
      </c>
      <c r="FK593" s="395">
        <v>1.0</v>
      </c>
      <c r="FL593" s="395">
        <v>0.0</v>
      </c>
      <c r="FM593" s="395">
        <v>0.0</v>
      </c>
      <c r="FN593" s="395">
        <v>1.0</v>
      </c>
      <c r="FO593" s="395"/>
      <c r="FP593" s="395"/>
      <c r="FQ593" s="156">
        <v>11.0</v>
      </c>
      <c r="FR593" s="156">
        <v>0.0</v>
      </c>
      <c r="FS593" s="156">
        <v>0.0</v>
      </c>
      <c r="FT593" s="156">
        <v>0.0</v>
      </c>
      <c r="FU593" s="156">
        <v>0.0</v>
      </c>
      <c r="FV593" s="156">
        <v>0.0</v>
      </c>
      <c r="FW593" s="172"/>
      <c r="FX593" s="172"/>
      <c r="FY593" s="172"/>
      <c r="FZ593" s="172"/>
      <c r="GA593" s="172"/>
      <c r="GB593" s="172"/>
      <c r="GC593" s="172">
        <v>1.0</v>
      </c>
      <c r="GD593" s="172">
        <v>0.0</v>
      </c>
      <c r="GE593" s="172">
        <v>1.0</v>
      </c>
      <c r="GF593" s="172">
        <v>0.0</v>
      </c>
      <c r="GG593" s="172">
        <v>0.0</v>
      </c>
      <c r="GH593" s="172"/>
      <c r="GI593" s="172">
        <v>1.0</v>
      </c>
      <c r="GJ593" s="172">
        <v>1.0</v>
      </c>
      <c r="GK593" s="172">
        <v>0.0</v>
      </c>
      <c r="GL593" s="172">
        <v>1.0</v>
      </c>
      <c r="GM593" s="172">
        <v>0.0</v>
      </c>
      <c r="GN593" s="172">
        <v>0.0</v>
      </c>
      <c r="GO593" s="172">
        <v>1.0</v>
      </c>
      <c r="GP593" s="170">
        <v>0.0</v>
      </c>
      <c r="GQ593" s="172">
        <v>1.0</v>
      </c>
      <c r="GR593" s="172">
        <v>0.0</v>
      </c>
      <c r="GS593" s="172"/>
      <c r="GT593" s="172">
        <v>0.0</v>
      </c>
      <c r="GU593" s="172">
        <v>1.0</v>
      </c>
      <c r="GV593" s="172"/>
      <c r="GW593" s="172">
        <v>0.0</v>
      </c>
      <c r="GX593" s="172">
        <v>1.0</v>
      </c>
      <c r="GY593" s="172">
        <v>1.0</v>
      </c>
      <c r="GZ593" s="172">
        <v>1.0</v>
      </c>
      <c r="HA593" s="172">
        <v>0.0</v>
      </c>
      <c r="HB593" s="155">
        <v>6.0</v>
      </c>
      <c r="HC593" s="155">
        <v>0.0</v>
      </c>
      <c r="HD593" s="155">
        <v>0.0</v>
      </c>
      <c r="HE593" s="155">
        <v>0.0</v>
      </c>
      <c r="HF593" s="155">
        <v>0.0</v>
      </c>
      <c r="HG593" s="155">
        <v>0.0</v>
      </c>
      <c r="HH593" s="172"/>
      <c r="HI593" s="172"/>
      <c r="HJ593" s="172">
        <v>1.0</v>
      </c>
      <c r="HK593" s="172"/>
      <c r="HL593" s="172"/>
      <c r="HM593" s="172"/>
      <c r="HN593" s="172"/>
      <c r="HO593" s="172"/>
      <c r="HP593" s="172"/>
      <c r="HQ593" s="172"/>
      <c r="HR593" s="172"/>
      <c r="HS593" s="172"/>
      <c r="HT593" s="172"/>
      <c r="HU593" s="172"/>
      <c r="HV593" s="172"/>
      <c r="HW593" s="172"/>
      <c r="HX593" s="172"/>
      <c r="HY593" s="172">
        <v>1.0</v>
      </c>
      <c r="HZ593" s="172">
        <v>0.0</v>
      </c>
      <c r="IA593" s="172">
        <v>1.0</v>
      </c>
      <c r="IB593" s="172">
        <v>0.0</v>
      </c>
      <c r="IC593" s="172">
        <v>0.0</v>
      </c>
      <c r="ID593" s="172">
        <v>1.0</v>
      </c>
      <c r="IE593" s="172">
        <v>0.0</v>
      </c>
      <c r="IF593" s="172"/>
      <c r="IG593" s="172">
        <v>0.0</v>
      </c>
      <c r="IH593" s="172">
        <v>1.0</v>
      </c>
      <c r="II593" s="172">
        <v>0.0</v>
      </c>
      <c r="IJ593" s="172">
        <v>0.0</v>
      </c>
      <c r="IK593" s="172">
        <v>1.0</v>
      </c>
      <c r="IL593" s="159">
        <v>3.0</v>
      </c>
      <c r="IM593" s="156">
        <v>0.0</v>
      </c>
      <c r="IN593" s="156">
        <v>0.0</v>
      </c>
      <c r="IO593" s="156">
        <v>0.0</v>
      </c>
      <c r="IP593" s="156">
        <v>0.0</v>
      </c>
      <c r="IQ593" s="160">
        <v>0.0</v>
      </c>
      <c r="IR593" s="172">
        <v>0.0</v>
      </c>
      <c r="IS593" s="172"/>
      <c r="IT593" s="172">
        <v>0.0</v>
      </c>
      <c r="IU593" s="172">
        <v>1.0</v>
      </c>
      <c r="IV593" s="172">
        <v>0.0</v>
      </c>
      <c r="IW593" s="172">
        <v>0.0</v>
      </c>
      <c r="IX593" s="172"/>
      <c r="IY593" s="172">
        <v>1.0</v>
      </c>
      <c r="IZ593" s="172">
        <v>1.0</v>
      </c>
      <c r="JA593" s="172">
        <v>0.0</v>
      </c>
      <c r="JB593" s="172"/>
      <c r="JC593" s="172">
        <v>0.0</v>
      </c>
      <c r="JD593" s="172">
        <v>0.0</v>
      </c>
      <c r="JE593" s="172"/>
      <c r="JF593" s="172">
        <v>0.0</v>
      </c>
      <c r="JG593" s="172"/>
      <c r="JH593" s="170">
        <v>0.0</v>
      </c>
      <c r="JI593" s="172"/>
      <c r="JJ593" s="172"/>
      <c r="JK593" s="172"/>
      <c r="JL593" s="172"/>
      <c r="JM593" s="172"/>
      <c r="JN593" s="172"/>
      <c r="JO593" s="172"/>
      <c r="JP593" s="172"/>
      <c r="JQ593" s="172"/>
      <c r="JR593" s="172"/>
      <c r="JS593" s="172"/>
      <c r="JT593" s="172"/>
      <c r="JU593" s="172"/>
      <c r="JV593" s="172"/>
      <c r="JW593" s="159">
        <v>0.0</v>
      </c>
      <c r="JX593" s="156">
        <v>0.0</v>
      </c>
      <c r="JY593" s="156">
        <v>0.0</v>
      </c>
      <c r="JZ593" s="156">
        <v>0.0</v>
      </c>
      <c r="KA593" s="156">
        <v>0.0</v>
      </c>
      <c r="KB593" s="160">
        <v>0.0</v>
      </c>
      <c r="KC593" s="172"/>
      <c r="KD593" s="172"/>
      <c r="KE593" s="172"/>
      <c r="KF593" s="172"/>
      <c r="KG593" s="172"/>
      <c r="KH593" s="172"/>
      <c r="KI593" s="172"/>
      <c r="KJ593" s="172"/>
      <c r="KK593" s="172"/>
      <c r="KL593" s="172"/>
      <c r="KM593" s="172"/>
      <c r="KN593" s="172"/>
      <c r="KO593" s="172"/>
      <c r="KP593" s="172"/>
      <c r="KQ593" s="172"/>
      <c r="KR593" s="172"/>
      <c r="KS593" s="432"/>
      <c r="KT593" s="172"/>
      <c r="KU593" s="172"/>
      <c r="KV593" s="172"/>
      <c r="KW593" s="172"/>
      <c r="KX593" s="172"/>
      <c r="KY593" s="172"/>
      <c r="KZ593" s="172"/>
      <c r="LA593" s="172"/>
      <c r="LB593" s="172"/>
      <c r="LC593" s="172"/>
      <c r="LD593" s="172"/>
      <c r="LE593" s="172"/>
      <c r="LF593" s="172"/>
      <c r="LG593" s="172"/>
      <c r="LH593" s="159">
        <f t="shared" si="10"/>
        <v>7</v>
      </c>
      <c r="LI593" s="156">
        <f t="shared" si="11"/>
        <v>0</v>
      </c>
      <c r="LJ593" s="156">
        <f t="shared" si="12"/>
        <v>0</v>
      </c>
      <c r="LK593" s="156">
        <f t="shared" si="13"/>
        <v>0</v>
      </c>
      <c r="LL593" s="156">
        <f t="shared" si="14"/>
        <v>0</v>
      </c>
      <c r="LM593" s="160">
        <f t="shared" si="15"/>
        <v>0</v>
      </c>
      <c r="LW593" s="12">
        <f t="shared" ref="LW593:MQ593" si="45">IFS(TODAY()&lt;=LC$2,0,WEEKDAY(LC$2)=2,0,WEEKDAY(LC$2)=3,1,WEEKDAY(LC$2)=4,0,WEEKDAY(LC$2)=5,1,WEEKDAY(LC$2)=6,0,WEEKDAY(LC$2)=7,1,WEEKDAY(LC$2)=1,0)</f>
        <v>1</v>
      </c>
      <c r="LX593" s="12">
        <f t="shared" si="45"/>
        <v>0</v>
      </c>
      <c r="LY593" s="12">
        <f t="shared" si="45"/>
        <v>1</v>
      </c>
      <c r="LZ593" s="12">
        <f t="shared" si="45"/>
        <v>0</v>
      </c>
      <c r="MA593" s="12">
        <f t="shared" si="45"/>
        <v>0</v>
      </c>
      <c r="MB593" s="12">
        <f t="shared" si="45"/>
        <v>0</v>
      </c>
      <c r="MC593" s="12">
        <f t="shared" si="45"/>
        <v>0</v>
      </c>
      <c r="MD593" s="12">
        <f t="shared" si="45"/>
        <v>0</v>
      </c>
      <c r="ME593" s="12">
        <f t="shared" si="45"/>
        <v>0</v>
      </c>
      <c r="MF593" s="12">
        <f t="shared" si="45"/>
        <v>0</v>
      </c>
      <c r="MG593" s="12">
        <f t="shared" si="45"/>
        <v>0</v>
      </c>
      <c r="MH593" s="12">
        <f t="shared" si="45"/>
        <v>1</v>
      </c>
      <c r="MI593" s="12">
        <f t="shared" si="45"/>
        <v>0</v>
      </c>
      <c r="MJ593" s="12">
        <f t="shared" si="45"/>
        <v>1</v>
      </c>
      <c r="MK593" s="12">
        <f t="shared" si="45"/>
        <v>0</v>
      </c>
      <c r="ML593" s="12">
        <f t="shared" si="45"/>
        <v>1</v>
      </c>
      <c r="MM593" s="12">
        <f t="shared" si="45"/>
        <v>0</v>
      </c>
      <c r="MN593" s="12">
        <f t="shared" si="45"/>
        <v>0</v>
      </c>
      <c r="MO593" s="12">
        <f t="shared" si="45"/>
        <v>1</v>
      </c>
      <c r="MP593" s="12">
        <f t="shared" si="45"/>
        <v>0</v>
      </c>
      <c r="MQ593" s="12">
        <f t="shared" si="45"/>
        <v>1</v>
      </c>
      <c r="QX593" s="560">
        <v>46119.0</v>
      </c>
    </row>
    <row r="594">
      <c r="A594" s="12"/>
      <c r="B594" s="12"/>
      <c r="C594" s="12"/>
      <c r="D594" s="12"/>
      <c r="E594" s="12"/>
      <c r="F594" s="12"/>
      <c r="G594" s="12"/>
      <c r="H594" s="12"/>
      <c r="I594" s="143">
        <f t="shared" si="22"/>
        <v>-12</v>
      </c>
      <c r="J594" s="537">
        <v>46130.0</v>
      </c>
      <c r="K594" s="164" t="s">
        <v>61</v>
      </c>
      <c r="L594" s="23">
        <v>46165.0</v>
      </c>
      <c r="M594" s="86" t="s">
        <v>3526</v>
      </c>
      <c r="N594" s="86">
        <v>247.0</v>
      </c>
      <c r="O594" s="86">
        <v>30.0</v>
      </c>
      <c r="U594" s="162" t="s">
        <v>2554</v>
      </c>
      <c r="V594" s="538" t="s">
        <v>2555</v>
      </c>
      <c r="W594" s="125" t="s">
        <v>3527</v>
      </c>
      <c r="X594" s="140"/>
      <c r="Y594" s="166">
        <f t="shared" si="23"/>
        <v>12</v>
      </c>
      <c r="Z594" s="26">
        <f t="shared" si="7"/>
        <v>0</v>
      </c>
      <c r="AA594" s="26">
        <f t="shared" si="8"/>
        <v>1</v>
      </c>
      <c r="AB594" s="26">
        <f t="shared" si="9"/>
        <v>0</v>
      </c>
      <c r="AC594" s="155">
        <v>0.0</v>
      </c>
      <c r="AD594" s="155">
        <v>0.0</v>
      </c>
      <c r="AE594" s="155">
        <v>0.0</v>
      </c>
      <c r="AF594" s="155">
        <v>0.0</v>
      </c>
      <c r="AG594" s="155">
        <v>0.0</v>
      </c>
      <c r="AH594" s="155">
        <v>0.0</v>
      </c>
      <c r="BN594" s="155">
        <v>0.0</v>
      </c>
      <c r="BO594" s="155">
        <v>0.0</v>
      </c>
      <c r="BP594" s="155">
        <v>0.0</v>
      </c>
      <c r="BQ594" s="155">
        <v>0.0</v>
      </c>
      <c r="BR594" s="155">
        <v>0.0</v>
      </c>
      <c r="BS594" s="155">
        <v>0.0</v>
      </c>
      <c r="CV594" s="156">
        <v>0.0</v>
      </c>
      <c r="CW594" s="156">
        <v>0.0</v>
      </c>
      <c r="CX594" s="156">
        <v>0.0</v>
      </c>
      <c r="CY594" s="156">
        <v>0.0</v>
      </c>
      <c r="CZ594" s="156">
        <v>0.0</v>
      </c>
      <c r="DA594" s="156">
        <v>0.0</v>
      </c>
      <c r="EG594" s="156">
        <v>5.0</v>
      </c>
      <c r="EH594" s="156">
        <v>0.0</v>
      </c>
      <c r="EI594" s="156">
        <v>0.0</v>
      </c>
      <c r="EJ594" s="156">
        <v>0.0</v>
      </c>
      <c r="EK594" s="156">
        <v>0.0</v>
      </c>
      <c r="EL594" s="156">
        <v>0.0</v>
      </c>
      <c r="FD594" s="174">
        <v>1.0</v>
      </c>
      <c r="FE594" s="174">
        <v>0.0</v>
      </c>
      <c r="FF594" s="174">
        <v>1.0</v>
      </c>
      <c r="FG594" s="174"/>
      <c r="FH594" s="174"/>
      <c r="FI594" s="174"/>
      <c r="FJ594" s="174"/>
      <c r="FK594" s="175">
        <v>2.0</v>
      </c>
      <c r="FL594" s="174">
        <v>0.0</v>
      </c>
      <c r="FM594" s="174"/>
      <c r="FN594" s="174"/>
      <c r="FO594" s="174">
        <v>1.0</v>
      </c>
      <c r="FP594" s="174">
        <v>0.0</v>
      </c>
      <c r="FQ594" s="156">
        <v>7.0</v>
      </c>
      <c r="FR594" s="156">
        <v>0.0</v>
      </c>
      <c r="FS594" s="156">
        <v>0.0</v>
      </c>
      <c r="FT594" s="156">
        <v>1.0</v>
      </c>
      <c r="FU594" s="156">
        <v>0.0</v>
      </c>
      <c r="FV594" s="156">
        <v>0.0</v>
      </c>
      <c r="FW594" s="172"/>
      <c r="FX594" s="172"/>
      <c r="FY594" s="172"/>
      <c r="FZ594" s="172">
        <v>1.0</v>
      </c>
      <c r="GA594" s="172">
        <v>0.0</v>
      </c>
      <c r="GB594" s="172">
        <v>1.0</v>
      </c>
      <c r="GC594" s="172">
        <v>0.0</v>
      </c>
      <c r="GD594" s="172">
        <v>0.0</v>
      </c>
      <c r="GE594" s="172">
        <v>1.0</v>
      </c>
      <c r="GF594" s="172">
        <v>0.0</v>
      </c>
      <c r="GG594" s="172">
        <v>1.0</v>
      </c>
      <c r="GH594" s="172">
        <v>0.0</v>
      </c>
      <c r="GI594" s="172">
        <v>1.0</v>
      </c>
      <c r="GJ594" s="172"/>
      <c r="GK594" s="172"/>
      <c r="GL594" s="172"/>
      <c r="GM594" s="172"/>
      <c r="GN594" s="172"/>
      <c r="GO594" s="172"/>
      <c r="GP594" s="172">
        <v>1.0</v>
      </c>
      <c r="GQ594" s="172">
        <v>0.0</v>
      </c>
      <c r="GR594" s="172">
        <v>0.0</v>
      </c>
      <c r="GS594" s="172" t="s">
        <v>947</v>
      </c>
      <c r="GT594" s="172"/>
      <c r="GU594" s="172"/>
      <c r="GV594" s="172"/>
      <c r="GW594" s="172"/>
      <c r="GX594" s="172"/>
      <c r="GY594" s="172"/>
      <c r="GZ594" s="172"/>
      <c r="HA594" s="172"/>
      <c r="HB594" s="155">
        <v>0.0</v>
      </c>
      <c r="HC594" s="155">
        <v>0.0</v>
      </c>
      <c r="HD594" s="155">
        <v>0.0</v>
      </c>
      <c r="HE594" s="155">
        <v>0.0</v>
      </c>
      <c r="HF594" s="155">
        <v>0.0</v>
      </c>
      <c r="HG594" s="155">
        <v>0.0</v>
      </c>
      <c r="IL594" s="159">
        <v>0.0</v>
      </c>
      <c r="IM594" s="156">
        <v>0.0</v>
      </c>
      <c r="IN594" s="156">
        <v>0.0</v>
      </c>
      <c r="IO594" s="156">
        <v>0.0</v>
      </c>
      <c r="IP594" s="156">
        <v>0.0</v>
      </c>
      <c r="IQ594" s="160">
        <v>0.0</v>
      </c>
      <c r="JH594" s="25"/>
      <c r="JW594" s="159">
        <v>0.0</v>
      </c>
      <c r="JX594" s="156">
        <v>0.0</v>
      </c>
      <c r="JY594" s="156">
        <v>0.0</v>
      </c>
      <c r="JZ594" s="156">
        <v>0.0</v>
      </c>
      <c r="KA594" s="156">
        <v>0.0</v>
      </c>
      <c r="KB594" s="160">
        <v>0.0</v>
      </c>
      <c r="LH594" s="159">
        <f t="shared" si="10"/>
        <v>0</v>
      </c>
      <c r="LI594" s="156">
        <f t="shared" si="11"/>
        <v>0</v>
      </c>
      <c r="LJ594" s="156">
        <f t="shared" si="12"/>
        <v>0</v>
      </c>
      <c r="LK594" s="156">
        <f t="shared" si="13"/>
        <v>0</v>
      </c>
      <c r="LL594" s="156">
        <f t="shared" si="14"/>
        <v>0</v>
      </c>
      <c r="LM594" s="160">
        <f t="shared" si="15"/>
        <v>0</v>
      </c>
      <c r="QX594" s="560">
        <v>46125.0</v>
      </c>
    </row>
    <row r="595">
      <c r="A595" s="58"/>
      <c r="B595" s="58"/>
      <c r="C595" s="58"/>
      <c r="D595" s="58"/>
      <c r="E595" s="58"/>
      <c r="F595" s="58"/>
      <c r="G595" s="58"/>
      <c r="H595" s="58"/>
      <c r="I595" s="550">
        <f t="shared" si="22"/>
        <v>-30</v>
      </c>
      <c r="J595" s="551">
        <v>46133.0</v>
      </c>
      <c r="K595" s="184" t="s">
        <v>48</v>
      </c>
      <c r="L595" s="250"/>
      <c r="M595" s="169" t="s">
        <v>228</v>
      </c>
      <c r="N595" s="169">
        <v>35.0</v>
      </c>
      <c r="O595" s="169">
        <v>30.0</v>
      </c>
      <c r="P595" s="58"/>
      <c r="Q595" s="58"/>
      <c r="R595" s="58"/>
      <c r="S595" s="58"/>
      <c r="T595" s="58"/>
      <c r="U595" s="169" t="s">
        <v>580</v>
      </c>
      <c r="V595" s="579" t="s">
        <v>581</v>
      </c>
      <c r="W595" s="580" t="s">
        <v>3528</v>
      </c>
      <c r="X595" s="581"/>
      <c r="Y595" s="582">
        <f t="shared" si="23"/>
        <v>30</v>
      </c>
      <c r="Z595" s="371">
        <f t="shared" si="7"/>
        <v>0</v>
      </c>
      <c r="AA595" s="371">
        <f t="shared" si="8"/>
        <v>0</v>
      </c>
      <c r="AB595" s="371">
        <f t="shared" si="9"/>
        <v>0</v>
      </c>
      <c r="AC595" s="583">
        <v>0.0</v>
      </c>
      <c r="AD595" s="583">
        <v>0.0</v>
      </c>
      <c r="AE595" s="583">
        <v>0.0</v>
      </c>
      <c r="AF595" s="583">
        <v>0.0</v>
      </c>
      <c r="AG595" s="583">
        <v>0.0</v>
      </c>
      <c r="AH595" s="583">
        <v>0.0</v>
      </c>
      <c r="AI595" s="58"/>
      <c r="AJ595" s="58"/>
      <c r="AK595" s="58"/>
      <c r="AL595" s="58"/>
      <c r="AM595" s="58"/>
      <c r="AN595" s="58"/>
      <c r="AO595" s="58"/>
      <c r="AP595" s="58"/>
      <c r="AQ595" s="58"/>
      <c r="AR595" s="58"/>
      <c r="AS595" s="58"/>
      <c r="AT595" s="58"/>
      <c r="AU595" s="58"/>
      <c r="AV595" s="58"/>
      <c r="AW595" s="58"/>
      <c r="AX595" s="58"/>
      <c r="AY595" s="58"/>
      <c r="AZ595" s="58"/>
      <c r="BA595" s="58"/>
      <c r="BB595" s="58"/>
      <c r="BC595" s="58"/>
      <c r="BD595" s="58"/>
      <c r="BE595" s="58"/>
      <c r="BF595" s="58"/>
      <c r="BG595" s="58"/>
      <c r="BH595" s="58"/>
      <c r="BI595" s="58"/>
      <c r="BJ595" s="58"/>
      <c r="BK595" s="58"/>
      <c r="BL595" s="58"/>
      <c r="BM595" s="58"/>
      <c r="BN595" s="583">
        <v>0.0</v>
      </c>
      <c r="BO595" s="583">
        <v>0.0</v>
      </c>
      <c r="BP595" s="583">
        <v>0.0</v>
      </c>
      <c r="BQ595" s="583">
        <v>0.0</v>
      </c>
      <c r="BR595" s="583">
        <v>0.0</v>
      </c>
      <c r="BS595" s="583">
        <v>0.0</v>
      </c>
      <c r="BT595" s="58"/>
      <c r="BU595" s="58"/>
      <c r="BV595" s="58"/>
      <c r="BW595" s="58"/>
      <c r="BX595" s="58"/>
      <c r="BY595" s="58"/>
      <c r="BZ595" s="58"/>
      <c r="CA595" s="58"/>
      <c r="CB595" s="58"/>
      <c r="CC595" s="58"/>
      <c r="CD595" s="58"/>
      <c r="CE595" s="58"/>
      <c r="CF595" s="58"/>
      <c r="CG595" s="58"/>
      <c r="CH595" s="58"/>
      <c r="CI595" s="58"/>
      <c r="CJ595" s="58"/>
      <c r="CK595" s="58"/>
      <c r="CL595" s="58"/>
      <c r="CM595" s="58"/>
      <c r="CN595" s="58"/>
      <c r="CO595" s="58"/>
      <c r="CP595" s="58"/>
      <c r="CQ595" s="58"/>
      <c r="CR595" s="58"/>
      <c r="CS595" s="58"/>
      <c r="CT595" s="58"/>
      <c r="CU595" s="58"/>
      <c r="CV595" s="584">
        <v>0.0</v>
      </c>
      <c r="CW595" s="584">
        <v>0.0</v>
      </c>
      <c r="CX595" s="584">
        <v>0.0</v>
      </c>
      <c r="CY595" s="584">
        <v>0.0</v>
      </c>
      <c r="CZ595" s="584">
        <v>0.0</v>
      </c>
      <c r="DA595" s="584">
        <v>0.0</v>
      </c>
      <c r="DB595" s="58"/>
      <c r="DC595" s="58"/>
      <c r="DD595" s="58"/>
      <c r="DE595" s="58"/>
      <c r="DF595" s="58"/>
      <c r="DG595" s="58"/>
      <c r="DH595" s="58"/>
      <c r="DI595" s="58"/>
      <c r="DJ595" s="58"/>
      <c r="DK595" s="58"/>
      <c r="DL595" s="58"/>
      <c r="DM595" s="58"/>
      <c r="DN595" s="58"/>
      <c r="DO595" s="58"/>
      <c r="DP595" s="58"/>
      <c r="DQ595" s="58"/>
      <c r="DR595" s="58"/>
      <c r="DS595" s="58"/>
      <c r="DT595" s="58"/>
      <c r="DU595" s="58"/>
      <c r="DV595" s="58"/>
      <c r="DW595" s="58"/>
      <c r="DX595" s="58"/>
      <c r="DY595" s="58"/>
      <c r="DZ595" s="58"/>
      <c r="EA595" s="58"/>
      <c r="EB595" s="58"/>
      <c r="EC595" s="58"/>
      <c r="ED595" s="58"/>
      <c r="EE595" s="58"/>
      <c r="EF595" s="58"/>
      <c r="EG595" s="584">
        <v>4.0</v>
      </c>
      <c r="EH595" s="584">
        <v>0.0</v>
      </c>
      <c r="EI595" s="584">
        <v>0.0</v>
      </c>
      <c r="EJ595" s="584">
        <v>0.0</v>
      </c>
      <c r="EK595" s="584">
        <v>0.0</v>
      </c>
      <c r="EL595" s="584">
        <v>0.0</v>
      </c>
      <c r="EM595" s="58"/>
      <c r="EN595" s="58"/>
      <c r="EO595" s="58"/>
      <c r="EP595" s="58"/>
      <c r="EQ595" s="58"/>
      <c r="ER595" s="58"/>
      <c r="ES595" s="58"/>
      <c r="ET595" s="58"/>
      <c r="EU595" s="58"/>
      <c r="EV595" s="58"/>
      <c r="EW595" s="58"/>
      <c r="EX595" s="58"/>
      <c r="EY595" s="58"/>
      <c r="EZ595" s="58"/>
      <c r="FA595" s="58"/>
      <c r="FB595" s="58"/>
      <c r="FC595" s="58"/>
      <c r="FD595" s="58"/>
      <c r="FE595" s="58"/>
      <c r="FF595" s="58"/>
      <c r="FG595" s="169">
        <v>1.0</v>
      </c>
      <c r="FH595" s="58"/>
      <c r="FI595" s="169">
        <v>1.0</v>
      </c>
      <c r="FJ595" s="58"/>
      <c r="FK595" s="58"/>
      <c r="FL595" s="58"/>
      <c r="FM595" s="58"/>
      <c r="FN595" s="169">
        <v>1.0</v>
      </c>
      <c r="FO595" s="58"/>
      <c r="FP595" s="169">
        <v>1.0</v>
      </c>
      <c r="FQ595" s="584">
        <v>6.0</v>
      </c>
      <c r="FR595" s="584">
        <v>0.0</v>
      </c>
      <c r="FS595" s="584">
        <v>0.0</v>
      </c>
      <c r="FT595" s="584">
        <v>0.0</v>
      </c>
      <c r="FU595" s="584">
        <v>0.0</v>
      </c>
      <c r="FV595" s="584">
        <v>0.0</v>
      </c>
      <c r="FW595" s="305"/>
      <c r="FX595" s="305"/>
      <c r="FY595" s="305"/>
      <c r="FZ595" s="305"/>
      <c r="GA595" s="305"/>
      <c r="GB595" s="305"/>
      <c r="GC595" s="305"/>
      <c r="GD595" s="305"/>
      <c r="GE595" s="305"/>
      <c r="GF595" s="305"/>
      <c r="GG595" s="305"/>
      <c r="GH595" s="305">
        <v>1.0</v>
      </c>
      <c r="GI595" s="305">
        <v>0.0</v>
      </c>
      <c r="GJ595" s="305">
        <v>1.0</v>
      </c>
      <c r="GK595" s="305"/>
      <c r="GL595" s="305"/>
      <c r="GM595" s="305"/>
      <c r="GN595" s="305"/>
      <c r="GO595" s="305">
        <v>1.0</v>
      </c>
      <c r="GP595" s="305">
        <v>0.0</v>
      </c>
      <c r="GQ595" s="305">
        <v>1.0</v>
      </c>
      <c r="GR595" s="305">
        <v>0.0</v>
      </c>
      <c r="GS595" s="305">
        <v>0.0</v>
      </c>
      <c r="GT595" s="305">
        <v>0.0</v>
      </c>
      <c r="GU595" s="305">
        <v>0.0</v>
      </c>
      <c r="GV595" s="305">
        <v>1.0</v>
      </c>
      <c r="GW595" s="305">
        <v>0.0</v>
      </c>
      <c r="GX595" s="305">
        <v>1.0</v>
      </c>
      <c r="GY595" s="305">
        <v>0.0</v>
      </c>
      <c r="GZ595" s="305">
        <v>0.0</v>
      </c>
      <c r="HA595" s="305">
        <v>0.0</v>
      </c>
      <c r="HB595" s="583">
        <v>7.0</v>
      </c>
      <c r="HC595" s="583">
        <v>0.0</v>
      </c>
      <c r="HD595" s="583">
        <v>0.0</v>
      </c>
      <c r="HE595" s="583">
        <v>0.0</v>
      </c>
      <c r="HF595" s="583">
        <v>0.0</v>
      </c>
      <c r="HG595" s="583">
        <v>0.0</v>
      </c>
      <c r="HH595" s="58"/>
      <c r="HI595" s="169">
        <v>1.0</v>
      </c>
      <c r="HJ595" s="58"/>
      <c r="HK595" s="58"/>
      <c r="HL595" s="58"/>
      <c r="HM595" s="58"/>
      <c r="HN595" s="58"/>
      <c r="HO595" s="58"/>
      <c r="HP595" s="169">
        <v>1.0</v>
      </c>
      <c r="HQ595" s="58"/>
      <c r="HR595" s="169">
        <v>1.0</v>
      </c>
      <c r="HS595" s="58"/>
      <c r="HT595" s="58"/>
      <c r="HU595" s="58"/>
      <c r="HV595" s="58"/>
      <c r="HW595" s="169">
        <v>1.0</v>
      </c>
      <c r="HX595" s="58"/>
      <c r="HY595" s="169">
        <v>1.0</v>
      </c>
      <c r="HZ595" s="58"/>
      <c r="IA595" s="58"/>
      <c r="IB595" s="58"/>
      <c r="IC595" s="58"/>
      <c r="ID595" s="58"/>
      <c r="IE595" s="58"/>
      <c r="IF595" s="169">
        <v>1.0</v>
      </c>
      <c r="IG595" s="58"/>
      <c r="IH595" s="58"/>
      <c r="II595" s="58"/>
      <c r="IJ595" s="58"/>
      <c r="IK595" s="169">
        <v>1.0</v>
      </c>
      <c r="IL595" s="585">
        <v>6.0</v>
      </c>
      <c r="IM595" s="584">
        <v>0.0</v>
      </c>
      <c r="IN595" s="584">
        <v>0.0</v>
      </c>
      <c r="IO595" s="584">
        <v>0.0</v>
      </c>
      <c r="IP595" s="584">
        <v>0.0</v>
      </c>
      <c r="IQ595" s="586">
        <v>0.0</v>
      </c>
      <c r="IR595" s="58"/>
      <c r="IS595" s="58"/>
      <c r="IT595" s="58"/>
      <c r="IU595" s="58"/>
      <c r="IV595" s="58"/>
      <c r="IW595" s="58"/>
      <c r="IX595" s="169">
        <v>1.0</v>
      </c>
      <c r="IY595" s="169">
        <v>1.0</v>
      </c>
      <c r="IZ595" s="58"/>
      <c r="JA595" s="58"/>
      <c r="JB595" s="58"/>
      <c r="JC595" s="58"/>
      <c r="JD595" s="58"/>
      <c r="JE595" s="169"/>
      <c r="JF595" s="58"/>
      <c r="JG595" s="58"/>
      <c r="JH595" s="25"/>
      <c r="JI595" s="58"/>
      <c r="JJ595" s="58"/>
      <c r="JK595" s="58"/>
      <c r="JL595" s="169">
        <v>1.0</v>
      </c>
      <c r="JM595" s="169">
        <v>1.0</v>
      </c>
      <c r="JN595" s="58"/>
      <c r="JO595" s="58"/>
      <c r="JP595" s="58"/>
      <c r="JQ595" s="58"/>
      <c r="JR595" s="58"/>
      <c r="JS595" s="169">
        <v>1.0</v>
      </c>
      <c r="JT595" s="58"/>
      <c r="JU595" s="169">
        <v>1.0</v>
      </c>
      <c r="JV595" s="58"/>
      <c r="JW595" s="159">
        <v>7.0</v>
      </c>
      <c r="JX595" s="156">
        <v>0.0</v>
      </c>
      <c r="JY595" s="156">
        <v>0.0</v>
      </c>
      <c r="JZ595" s="156">
        <v>0.0</v>
      </c>
      <c r="KA595" s="156">
        <v>0.0</v>
      </c>
      <c r="KB595" s="160">
        <v>0.0</v>
      </c>
      <c r="KC595" s="58"/>
      <c r="KD595" s="58"/>
      <c r="KE595" s="58"/>
      <c r="KF595" s="169">
        <v>1.0</v>
      </c>
      <c r="KG595" s="58"/>
      <c r="KH595" s="169">
        <v>1.0</v>
      </c>
      <c r="KI595" s="58"/>
      <c r="KJ595" s="58"/>
      <c r="KK595" s="58"/>
      <c r="KL595" s="58"/>
      <c r="KM595" s="58"/>
      <c r="KN595" s="58"/>
      <c r="KO595" s="169">
        <v>1.0</v>
      </c>
      <c r="KP595" s="58"/>
      <c r="KQ595" s="58"/>
      <c r="KR595" s="58"/>
      <c r="KS595" s="178"/>
      <c r="KT595" s="169">
        <v>1.0</v>
      </c>
      <c r="KU595" s="58"/>
      <c r="KV595" s="58"/>
      <c r="KW595" s="58"/>
      <c r="KX595" s="58"/>
      <c r="KY595" s="169">
        <v>1.0</v>
      </c>
      <c r="KZ595" s="58"/>
      <c r="LA595" s="169">
        <v>1.0</v>
      </c>
      <c r="LB595" s="58"/>
      <c r="LC595" s="169">
        <v>1.0</v>
      </c>
      <c r="LD595" s="58"/>
      <c r="LE595" s="58"/>
      <c r="LF595" s="58"/>
      <c r="LG595" s="58"/>
      <c r="LH595" s="159">
        <f t="shared" si="10"/>
        <v>0</v>
      </c>
      <c r="LI595" s="156">
        <f t="shared" si="11"/>
        <v>0</v>
      </c>
      <c r="LJ595" s="156">
        <f t="shared" si="12"/>
        <v>0</v>
      </c>
      <c r="LK595" s="156">
        <f t="shared" si="13"/>
        <v>0</v>
      </c>
      <c r="LL595" s="156">
        <f t="shared" si="14"/>
        <v>0</v>
      </c>
      <c r="LM595" s="160">
        <f t="shared" si="15"/>
        <v>0</v>
      </c>
      <c r="LN595" s="58"/>
      <c r="LO595" s="58"/>
      <c r="LP595" s="58"/>
      <c r="LQ595" s="58"/>
      <c r="LR595" s="58"/>
      <c r="LS595" s="58"/>
      <c r="LT595" s="58"/>
      <c r="LU595" s="58"/>
      <c r="LV595" s="58"/>
      <c r="LW595" s="58"/>
      <c r="LX595" s="58"/>
      <c r="LY595" s="58"/>
      <c r="LZ595" s="58"/>
      <c r="MA595" s="58"/>
      <c r="MB595" s="58"/>
      <c r="MC595" s="58"/>
      <c r="MD595" s="58"/>
      <c r="ME595" s="58"/>
      <c r="MF595" s="58"/>
      <c r="MG595" s="58"/>
      <c r="MH595" s="58"/>
      <c r="MI595" s="58"/>
      <c r="MJ595" s="58"/>
      <c r="MK595" s="58"/>
      <c r="ML595" s="58"/>
      <c r="MM595" s="58"/>
      <c r="MN595" s="58"/>
      <c r="MO595" s="58"/>
      <c r="MP595" s="58"/>
      <c r="MQ595" s="58"/>
      <c r="MR595" s="58"/>
      <c r="MS595" s="58"/>
      <c r="MT595" s="58"/>
      <c r="MU595" s="58"/>
      <c r="MV595" s="58"/>
      <c r="MW595" s="58"/>
      <c r="MX595" s="58"/>
      <c r="MY595" s="58"/>
      <c r="MZ595" s="58"/>
      <c r="NA595" s="58"/>
      <c r="NB595" s="58"/>
      <c r="NC595" s="58"/>
      <c r="ND595" s="58"/>
      <c r="NE595" s="58"/>
      <c r="NF595" s="58"/>
      <c r="NG595" s="58"/>
      <c r="NH595" s="58"/>
      <c r="NI595" s="58"/>
      <c r="NJ595" s="58"/>
      <c r="NK595" s="58"/>
      <c r="NL595" s="58"/>
      <c r="NM595" s="58"/>
      <c r="NN595" s="58"/>
      <c r="NO595" s="58"/>
      <c r="NP595" s="58"/>
      <c r="NQ595" s="58"/>
      <c r="NR595" s="58"/>
      <c r="NS595" s="58"/>
      <c r="NT595" s="58"/>
      <c r="NU595" s="58"/>
      <c r="NV595" s="58"/>
      <c r="NW595" s="58"/>
      <c r="NX595" s="58"/>
      <c r="NY595" s="58"/>
      <c r="NZ595" s="58"/>
      <c r="OA595" s="58"/>
      <c r="OB595" s="58"/>
      <c r="OC595" s="58"/>
      <c r="OD595" s="58"/>
      <c r="OE595" s="58"/>
      <c r="OF595" s="58"/>
      <c r="OG595" s="58"/>
      <c r="OH595" s="58"/>
      <c r="OI595" s="58"/>
      <c r="OJ595" s="58"/>
      <c r="OK595" s="58"/>
      <c r="OL595" s="58"/>
      <c r="OM595" s="58"/>
      <c r="ON595" s="58"/>
      <c r="OO595" s="58"/>
      <c r="OP595" s="58"/>
      <c r="OQ595" s="58"/>
      <c r="OR595" s="58"/>
      <c r="OS595" s="58"/>
      <c r="OT595" s="58"/>
      <c r="OU595" s="58"/>
      <c r="OV595" s="58"/>
      <c r="OW595" s="58"/>
      <c r="OX595" s="58"/>
      <c r="OY595" s="58"/>
      <c r="OZ595" s="58"/>
      <c r="PA595" s="58"/>
      <c r="PB595" s="58"/>
      <c r="PC595" s="58"/>
      <c r="PD595" s="58"/>
      <c r="PE595" s="58"/>
      <c r="PF595" s="58"/>
      <c r="PG595" s="58"/>
      <c r="PH595" s="58"/>
      <c r="PI595" s="58"/>
      <c r="PJ595" s="58"/>
      <c r="PK595" s="58"/>
      <c r="PL595" s="58"/>
      <c r="PM595" s="58"/>
      <c r="PN595" s="58"/>
      <c r="PO595" s="58"/>
      <c r="PP595" s="58"/>
      <c r="PQ595" s="58"/>
      <c r="PR595" s="58"/>
      <c r="PS595" s="58"/>
      <c r="PT595" s="58"/>
      <c r="PU595" s="58"/>
      <c r="PV595" s="58"/>
      <c r="PW595" s="58"/>
      <c r="PX595" s="58"/>
      <c r="PY595" s="58"/>
      <c r="PZ595" s="58"/>
      <c r="QA595" s="58"/>
      <c r="QB595" s="58"/>
      <c r="QC595" s="58"/>
      <c r="QD595" s="58"/>
      <c r="QE595" s="58"/>
      <c r="QF595" s="58"/>
      <c r="QG595" s="58"/>
      <c r="QH595" s="58"/>
      <c r="QI595" s="58"/>
      <c r="QJ595" s="58"/>
      <c r="QK595" s="58"/>
      <c r="QL595" s="58"/>
      <c r="QM595" s="58"/>
      <c r="QN595" s="58"/>
      <c r="QO595" s="58"/>
      <c r="QP595" s="58"/>
      <c r="QQ595" s="58"/>
      <c r="QR595" s="58"/>
      <c r="QS595" s="58"/>
      <c r="QT595" s="58"/>
      <c r="QU595" s="58"/>
      <c r="QV595" s="58"/>
      <c r="QW595" s="58"/>
      <c r="QX595" s="587">
        <v>46127.0</v>
      </c>
    </row>
    <row r="596">
      <c r="A596" s="12"/>
      <c r="B596" s="12"/>
      <c r="C596" s="12"/>
      <c r="D596" s="12"/>
      <c r="E596" s="12"/>
      <c r="F596" s="588"/>
      <c r="G596" s="12"/>
      <c r="H596" s="12"/>
      <c r="I596" s="143">
        <f t="shared" si="22"/>
        <v>-36</v>
      </c>
      <c r="J596" s="537">
        <v>46133.0</v>
      </c>
      <c r="K596" s="184" t="s">
        <v>48</v>
      </c>
      <c r="L596" s="108"/>
      <c r="M596" s="86" t="s">
        <v>400</v>
      </c>
      <c r="N596" s="188" t="s">
        <v>3529</v>
      </c>
      <c r="O596" s="86">
        <v>30.0</v>
      </c>
      <c r="U596" s="162" t="s">
        <v>3497</v>
      </c>
      <c r="V596" s="538" t="s">
        <v>907</v>
      </c>
      <c r="W596" s="185" t="s">
        <v>3530</v>
      </c>
      <c r="X596" s="140"/>
      <c r="Y596" s="166">
        <f t="shared" si="23"/>
        <v>36</v>
      </c>
      <c r="Z596" s="26">
        <f t="shared" si="7"/>
        <v>0</v>
      </c>
      <c r="AA596" s="26">
        <f t="shared" si="8"/>
        <v>0</v>
      </c>
      <c r="AB596" s="26">
        <f t="shared" si="9"/>
        <v>0</v>
      </c>
      <c r="AC596" s="155">
        <v>0.0</v>
      </c>
      <c r="AD596" s="155">
        <v>0.0</v>
      </c>
      <c r="AE596" s="155">
        <v>0.0</v>
      </c>
      <c r="AF596" s="155">
        <v>0.0</v>
      </c>
      <c r="AG596" s="155">
        <v>0.0</v>
      </c>
      <c r="AH596" s="155">
        <v>0.0</v>
      </c>
      <c r="BN596" s="155">
        <v>0.0</v>
      </c>
      <c r="BO596" s="155">
        <v>0.0</v>
      </c>
      <c r="BP596" s="155">
        <v>0.0</v>
      </c>
      <c r="BQ596" s="155">
        <v>0.0</v>
      </c>
      <c r="BR596" s="155">
        <v>0.0</v>
      </c>
      <c r="BS596" s="155">
        <v>0.0</v>
      </c>
      <c r="CV596" s="156">
        <v>0.0</v>
      </c>
      <c r="CW596" s="156">
        <v>0.0</v>
      </c>
      <c r="CX596" s="156">
        <v>0.0</v>
      </c>
      <c r="CY596" s="156">
        <v>0.0</v>
      </c>
      <c r="CZ596" s="156">
        <v>0.0</v>
      </c>
      <c r="DA596" s="156">
        <v>0.0</v>
      </c>
      <c r="EG596" s="156">
        <v>4.0</v>
      </c>
      <c r="EH596" s="156">
        <v>0.0</v>
      </c>
      <c r="EI596" s="156">
        <v>0.0</v>
      </c>
      <c r="EJ596" s="156">
        <v>0.0</v>
      </c>
      <c r="EK596" s="156">
        <v>0.0</v>
      </c>
      <c r="EL596" s="156">
        <v>0.0</v>
      </c>
      <c r="FG596" s="86">
        <v>1.0</v>
      </c>
      <c r="FH596" s="86">
        <v>1.0</v>
      </c>
      <c r="FL596" s="86">
        <v>1.0</v>
      </c>
      <c r="FO596" s="86">
        <v>1.0</v>
      </c>
      <c r="FQ596" s="156">
        <v>11.0</v>
      </c>
      <c r="FR596" s="156">
        <v>0.0</v>
      </c>
      <c r="FS596" s="156">
        <v>0.0</v>
      </c>
      <c r="FT596" s="156">
        <v>0.0</v>
      </c>
      <c r="FU596" s="156">
        <v>0.0</v>
      </c>
      <c r="FV596" s="156">
        <v>0.0</v>
      </c>
      <c r="FW596" s="172"/>
      <c r="FX596" s="172"/>
      <c r="FY596" s="172"/>
      <c r="FZ596" s="172"/>
      <c r="GA596" s="172">
        <v>1.0</v>
      </c>
      <c r="GB596" s="172">
        <v>1.0</v>
      </c>
      <c r="GC596" s="172">
        <v>0.0</v>
      </c>
      <c r="GD596" s="172">
        <v>0.0</v>
      </c>
      <c r="GE596" s="172">
        <v>0.0</v>
      </c>
      <c r="GF596" s="172">
        <v>1.0</v>
      </c>
      <c r="GG596" s="172">
        <v>0.0</v>
      </c>
      <c r="GH596" s="172">
        <v>1.0</v>
      </c>
      <c r="GI596" s="172">
        <v>1.0</v>
      </c>
      <c r="GJ596" s="172">
        <v>0.0</v>
      </c>
      <c r="GK596" s="172">
        <v>0.0</v>
      </c>
      <c r="GL596" s="172">
        <v>0.0</v>
      </c>
      <c r="GM596" s="172">
        <v>1.0</v>
      </c>
      <c r="GN596" s="172">
        <v>0.0</v>
      </c>
      <c r="GO596" s="172">
        <v>1.0</v>
      </c>
      <c r="GP596" s="172">
        <v>1.0</v>
      </c>
      <c r="GQ596" s="172">
        <v>0.0</v>
      </c>
      <c r="GR596" s="172">
        <v>0.0</v>
      </c>
      <c r="GS596" s="172">
        <v>0.0</v>
      </c>
      <c r="GT596" s="172">
        <v>1.0</v>
      </c>
      <c r="GU596" s="172">
        <v>0.0</v>
      </c>
      <c r="GV596" s="172">
        <v>1.0</v>
      </c>
      <c r="GW596" s="172">
        <v>1.0</v>
      </c>
      <c r="GX596" s="172"/>
      <c r="GY596" s="172"/>
      <c r="GZ596" s="172"/>
      <c r="HA596" s="172"/>
      <c r="HB596" s="155">
        <v>8.0</v>
      </c>
      <c r="HC596" s="155">
        <v>0.0</v>
      </c>
      <c r="HD596" s="155">
        <v>0.0</v>
      </c>
      <c r="HE596" s="155">
        <v>0.0</v>
      </c>
      <c r="HF596" s="155">
        <v>0.0</v>
      </c>
      <c r="HG596" s="155">
        <v>0.0</v>
      </c>
      <c r="HI596" s="86">
        <v>1.0</v>
      </c>
      <c r="HJ596" s="86">
        <v>1.0</v>
      </c>
      <c r="HN596" s="86">
        <v>1.0</v>
      </c>
      <c r="HP596" s="86">
        <v>1.0</v>
      </c>
      <c r="HU596" s="86">
        <v>1.0</v>
      </c>
      <c r="IB596" s="86">
        <v>1.0</v>
      </c>
      <c r="ID596" s="86">
        <v>1.0</v>
      </c>
      <c r="II596" s="86">
        <v>1.0</v>
      </c>
      <c r="IL596" s="159">
        <v>7.0</v>
      </c>
      <c r="IM596" s="156">
        <v>0.0</v>
      </c>
      <c r="IN596" s="156">
        <v>0.0</v>
      </c>
      <c r="IO596" s="156">
        <v>0.0</v>
      </c>
      <c r="IP596" s="156">
        <v>0.0</v>
      </c>
      <c r="IQ596" s="160">
        <v>0.0</v>
      </c>
      <c r="IR596" s="86">
        <v>1.0</v>
      </c>
      <c r="IX596" s="86">
        <v>1.0</v>
      </c>
      <c r="IY596" s="86">
        <v>1.0</v>
      </c>
      <c r="JC596" s="86">
        <v>1.0</v>
      </c>
      <c r="JF596" s="86">
        <v>1.0</v>
      </c>
      <c r="JH596" s="25"/>
      <c r="JL596" s="86">
        <v>1.0</v>
      </c>
      <c r="JQ596" s="86">
        <v>1.0</v>
      </c>
      <c r="JW596" s="159">
        <v>5.0</v>
      </c>
      <c r="JX596" s="156">
        <v>0.0</v>
      </c>
      <c r="JY596" s="156">
        <v>0.0</v>
      </c>
      <c r="JZ596" s="156">
        <v>0.0</v>
      </c>
      <c r="KA596" s="156">
        <v>0.0</v>
      </c>
      <c r="KB596" s="160">
        <v>0.0</v>
      </c>
      <c r="KK596" s="86">
        <v>1.0</v>
      </c>
      <c r="KN596" s="86">
        <v>1.0</v>
      </c>
      <c r="KS596" s="178"/>
      <c r="KT596" s="86">
        <v>1.0</v>
      </c>
      <c r="LA596" s="86">
        <v>1.0</v>
      </c>
      <c r="LB596" s="86">
        <v>1.0</v>
      </c>
      <c r="LH596" s="159">
        <f t="shared" si="10"/>
        <v>1</v>
      </c>
      <c r="LI596" s="156">
        <f t="shared" si="11"/>
        <v>0</v>
      </c>
      <c r="LJ596" s="156">
        <f t="shared" si="12"/>
        <v>0</v>
      </c>
      <c r="LK596" s="156">
        <f t="shared" si="13"/>
        <v>0</v>
      </c>
      <c r="LL596" s="156">
        <f t="shared" si="14"/>
        <v>0</v>
      </c>
      <c r="LM596" s="160">
        <f t="shared" si="15"/>
        <v>0</v>
      </c>
      <c r="LU596" s="189">
        <v>1.0</v>
      </c>
      <c r="QX596" s="560">
        <v>46127.0</v>
      </c>
    </row>
    <row r="597">
      <c r="A597" s="12"/>
      <c r="B597" s="12"/>
      <c r="C597" s="12"/>
      <c r="D597" s="12"/>
      <c r="E597" s="12"/>
      <c r="F597" s="12"/>
      <c r="G597" s="12"/>
      <c r="H597" s="12"/>
      <c r="I597" s="143">
        <f t="shared" si="22"/>
        <v>-42</v>
      </c>
      <c r="J597" s="537">
        <v>46134.0</v>
      </c>
      <c r="K597" s="184" t="s">
        <v>48</v>
      </c>
      <c r="L597" s="162"/>
      <c r="M597" s="86" t="s">
        <v>172</v>
      </c>
      <c r="N597" s="86">
        <v>246.0</v>
      </c>
      <c r="O597" s="86">
        <v>30.0</v>
      </c>
      <c r="U597" s="162" t="s">
        <v>1828</v>
      </c>
      <c r="V597" s="538" t="s">
        <v>2477</v>
      </c>
      <c r="W597" s="185" t="s">
        <v>3531</v>
      </c>
      <c r="X597" s="140"/>
      <c r="Y597" s="166">
        <f t="shared" si="23"/>
        <v>42</v>
      </c>
      <c r="Z597" s="26">
        <f t="shared" si="7"/>
        <v>0</v>
      </c>
      <c r="AA597" s="26">
        <f t="shared" si="8"/>
        <v>0</v>
      </c>
      <c r="AB597" s="26">
        <f t="shared" si="9"/>
        <v>0</v>
      </c>
      <c r="AC597" s="155">
        <v>0.0</v>
      </c>
      <c r="AD597" s="155">
        <v>0.0</v>
      </c>
      <c r="AE597" s="155">
        <v>0.0</v>
      </c>
      <c r="AF597" s="155">
        <v>0.0</v>
      </c>
      <c r="AG597" s="155">
        <v>0.0</v>
      </c>
      <c r="AH597" s="155">
        <v>0.0</v>
      </c>
      <c r="BN597" s="155">
        <v>0.0</v>
      </c>
      <c r="BO597" s="155">
        <v>0.0</v>
      </c>
      <c r="BP597" s="155">
        <v>0.0</v>
      </c>
      <c r="BQ597" s="155">
        <v>0.0</v>
      </c>
      <c r="BR597" s="155">
        <v>0.0</v>
      </c>
      <c r="BS597" s="155">
        <v>0.0</v>
      </c>
      <c r="CV597" s="156">
        <v>0.0</v>
      </c>
      <c r="CW597" s="156">
        <v>0.0</v>
      </c>
      <c r="CX597" s="156">
        <v>0.0</v>
      </c>
      <c r="CY597" s="156">
        <v>0.0</v>
      </c>
      <c r="CZ597" s="156">
        <v>0.0</v>
      </c>
      <c r="DA597" s="156">
        <v>0.0</v>
      </c>
      <c r="EG597" s="156">
        <v>3.0</v>
      </c>
      <c r="EH597" s="156">
        <v>0.0</v>
      </c>
      <c r="EI597" s="156">
        <v>0.0</v>
      </c>
      <c r="EJ597" s="156">
        <v>0.0</v>
      </c>
      <c r="EK597" s="156">
        <v>0.0</v>
      </c>
      <c r="EL597" s="156">
        <v>0.0</v>
      </c>
      <c r="FH597" s="174">
        <v>1.0</v>
      </c>
      <c r="FI597" s="174">
        <v>0.0</v>
      </c>
      <c r="FJ597" s="174">
        <v>1.0</v>
      </c>
      <c r="FK597" s="174"/>
      <c r="FL597" s="174"/>
      <c r="FM597" s="174"/>
      <c r="FN597" s="174"/>
      <c r="FO597" s="174">
        <v>1.0</v>
      </c>
      <c r="FP597" s="174">
        <v>0.0</v>
      </c>
      <c r="FQ597" s="156">
        <v>8.0</v>
      </c>
      <c r="FR597" s="156">
        <v>0.0</v>
      </c>
      <c r="FS597" s="156">
        <v>0.0</v>
      </c>
      <c r="FT597" s="156">
        <v>0.0</v>
      </c>
      <c r="FU597" s="156">
        <v>0.0</v>
      </c>
      <c r="FV597" s="156">
        <v>0.0</v>
      </c>
      <c r="FW597" s="174"/>
      <c r="FX597" s="174"/>
      <c r="FY597" s="174"/>
      <c r="FZ597" s="174"/>
      <c r="GA597" s="174"/>
      <c r="GB597" s="174"/>
      <c r="GC597" s="174"/>
      <c r="GD597" s="174">
        <v>1.0</v>
      </c>
      <c r="GE597" s="174">
        <v>0.0</v>
      </c>
      <c r="GF597" s="174">
        <v>0.0</v>
      </c>
      <c r="GG597" s="174">
        <v>1.0</v>
      </c>
      <c r="GH597" s="174">
        <v>0.0</v>
      </c>
      <c r="GI597" s="174"/>
      <c r="GJ597" s="174">
        <v>0.0</v>
      </c>
      <c r="GK597" s="174">
        <v>1.0</v>
      </c>
      <c r="GL597" s="174">
        <v>0.0</v>
      </c>
      <c r="GM597" s="174">
        <v>0.0</v>
      </c>
      <c r="GN597" s="174">
        <v>1.0</v>
      </c>
      <c r="GO597" s="174">
        <v>0.0</v>
      </c>
      <c r="GP597" s="177">
        <v>1.0</v>
      </c>
      <c r="GQ597" s="174">
        <v>0.0</v>
      </c>
      <c r="GR597" s="175">
        <v>1.0</v>
      </c>
      <c r="GS597" s="174">
        <v>0.0</v>
      </c>
      <c r="GT597" s="174">
        <v>0.0</v>
      </c>
      <c r="GU597" s="174">
        <v>1.0</v>
      </c>
      <c r="GV597" s="174">
        <v>0.0</v>
      </c>
      <c r="GW597" s="174"/>
      <c r="GX597" s="174">
        <v>0.0</v>
      </c>
      <c r="GY597" s="174">
        <v>1.0</v>
      </c>
      <c r="GZ597" s="174"/>
      <c r="HA597" s="174"/>
      <c r="HB597" s="155">
        <v>10.0</v>
      </c>
      <c r="HC597" s="155">
        <v>0.0</v>
      </c>
      <c r="HD597" s="155">
        <v>0.0</v>
      </c>
      <c r="HE597" s="155">
        <v>0.0</v>
      </c>
      <c r="HF597" s="155">
        <v>0.0</v>
      </c>
      <c r="HG597" s="155">
        <v>0.0</v>
      </c>
      <c r="HH597" s="174"/>
      <c r="HI597" s="174"/>
      <c r="HJ597" s="174">
        <v>1.0</v>
      </c>
      <c r="HK597" s="174">
        <v>0.0</v>
      </c>
      <c r="HL597" s="174">
        <v>1.0</v>
      </c>
      <c r="HM597" s="174">
        <v>0.0</v>
      </c>
      <c r="HN597" s="174">
        <v>0.0</v>
      </c>
      <c r="HO597" s="174">
        <v>1.0</v>
      </c>
      <c r="HP597" s="174">
        <v>0.0</v>
      </c>
      <c r="HQ597" s="174">
        <v>1.0</v>
      </c>
      <c r="HR597" s="174"/>
      <c r="HS597" s="174"/>
      <c r="HT597" s="174"/>
      <c r="HU597" s="174"/>
      <c r="HV597" s="174">
        <v>1.0</v>
      </c>
      <c r="HW597" s="174">
        <v>0.0</v>
      </c>
      <c r="HX597" s="174">
        <v>1.0</v>
      </c>
      <c r="HY597" s="174">
        <v>0.0</v>
      </c>
      <c r="HZ597" s="174"/>
      <c r="IA597" s="174">
        <v>0.0</v>
      </c>
      <c r="IB597" s="174">
        <v>0.0</v>
      </c>
      <c r="IC597" s="174">
        <v>1.0</v>
      </c>
      <c r="ID597" s="174">
        <v>0.0</v>
      </c>
      <c r="IE597" s="174">
        <v>1.0</v>
      </c>
      <c r="IF597" s="174">
        <v>0.0</v>
      </c>
      <c r="IG597" s="174">
        <v>1.0</v>
      </c>
      <c r="IH597" s="174">
        <v>0.0</v>
      </c>
      <c r="II597" s="174">
        <v>0.0</v>
      </c>
      <c r="IJ597" s="174">
        <v>1.0</v>
      </c>
      <c r="IK597" s="174">
        <v>0.0</v>
      </c>
      <c r="IL597" s="159">
        <v>8.0</v>
      </c>
      <c r="IM597" s="156">
        <v>0.0</v>
      </c>
      <c r="IN597" s="156">
        <v>0.0</v>
      </c>
      <c r="IO597" s="156">
        <v>0.0</v>
      </c>
      <c r="IP597" s="156">
        <v>0.0</v>
      </c>
      <c r="IQ597" s="160">
        <v>0.0</v>
      </c>
      <c r="IR597" s="174"/>
      <c r="IS597" s="174">
        <v>0.0</v>
      </c>
      <c r="IT597" s="174">
        <v>1.0</v>
      </c>
      <c r="IU597" s="174">
        <v>0.0</v>
      </c>
      <c r="IV597" s="174">
        <v>0.0</v>
      </c>
      <c r="IW597" s="174"/>
      <c r="IX597" s="174">
        <v>0.0</v>
      </c>
      <c r="IY597" s="174">
        <v>1.0</v>
      </c>
      <c r="IZ597" s="174">
        <v>0.0</v>
      </c>
      <c r="JA597" s="174">
        <v>1.0</v>
      </c>
      <c r="JB597" s="174">
        <v>0.0</v>
      </c>
      <c r="JC597" s="174">
        <v>0.0</v>
      </c>
      <c r="JD597" s="174">
        <v>1.0</v>
      </c>
      <c r="JE597" s="174">
        <v>0.0</v>
      </c>
      <c r="JF597" s="174">
        <v>1.0</v>
      </c>
      <c r="JG597" s="174">
        <v>0.0</v>
      </c>
      <c r="JH597" s="177"/>
      <c r="JI597" s="174"/>
      <c r="JJ597" s="174"/>
      <c r="JK597" s="175">
        <v>1.0</v>
      </c>
      <c r="JL597" s="174"/>
      <c r="JM597" s="174"/>
      <c r="JN597" s="174"/>
      <c r="JO597" s="175">
        <v>1.0</v>
      </c>
      <c r="JP597" s="174"/>
      <c r="JQ597" s="174"/>
      <c r="JR597" s="175">
        <v>1.0</v>
      </c>
      <c r="JS597" s="174"/>
      <c r="JT597" s="174"/>
      <c r="JU597" s="174"/>
      <c r="JV597" s="175"/>
      <c r="JW597" s="159">
        <v>9.0</v>
      </c>
      <c r="JX597" s="156">
        <v>0.0</v>
      </c>
      <c r="JY597" s="156">
        <v>0.0</v>
      </c>
      <c r="JZ597" s="156">
        <v>0.0</v>
      </c>
      <c r="KA597" s="156">
        <v>0.0</v>
      </c>
      <c r="KB597" s="160">
        <v>0.0</v>
      </c>
      <c r="KC597" s="174"/>
      <c r="KD597" s="174"/>
      <c r="KE597" s="175">
        <v>1.0</v>
      </c>
      <c r="KF597" s="174"/>
      <c r="KG597" s="175">
        <v>1.0</v>
      </c>
      <c r="KH597" s="174"/>
      <c r="KI597" s="175">
        <v>1.0</v>
      </c>
      <c r="KJ597" s="174"/>
      <c r="KK597" s="174"/>
      <c r="KL597" s="175">
        <v>1.0</v>
      </c>
      <c r="KM597" s="174"/>
      <c r="KN597" s="175">
        <v>1.0</v>
      </c>
      <c r="KO597" s="174"/>
      <c r="KP597" s="174"/>
      <c r="KQ597" s="174"/>
      <c r="KR597" s="174"/>
      <c r="KS597" s="186">
        <v>1.0</v>
      </c>
      <c r="KT597" s="174"/>
      <c r="KU597" s="174"/>
      <c r="KV597" s="174"/>
      <c r="KW597" s="175">
        <v>1.0</v>
      </c>
      <c r="KX597" s="174"/>
      <c r="KY597" s="174"/>
      <c r="KZ597" s="175">
        <v>1.0</v>
      </c>
      <c r="LA597" s="174"/>
      <c r="LB597" s="174"/>
      <c r="LC597" s="174"/>
      <c r="LD597" s="175">
        <v>1.0</v>
      </c>
      <c r="LE597" s="174"/>
      <c r="LF597" s="174"/>
      <c r="LG597" s="174"/>
      <c r="LH597" s="159">
        <f t="shared" si="10"/>
        <v>4</v>
      </c>
      <c r="LI597" s="156">
        <f t="shared" si="11"/>
        <v>0</v>
      </c>
      <c r="LJ597" s="156">
        <f t="shared" si="12"/>
        <v>0</v>
      </c>
      <c r="LK597" s="156">
        <f t="shared" si="13"/>
        <v>0</v>
      </c>
      <c r="LL597" s="156">
        <f t="shared" si="14"/>
        <v>0</v>
      </c>
      <c r="LM597" s="160">
        <f t="shared" si="15"/>
        <v>0</v>
      </c>
      <c r="LN597" s="174"/>
      <c r="LO597" s="174"/>
      <c r="LP597" s="174"/>
      <c r="LQ597" s="187">
        <v>1.0</v>
      </c>
      <c r="LR597" s="174"/>
      <c r="LS597" s="174"/>
      <c r="LT597" s="174"/>
      <c r="LU597" s="174"/>
      <c r="LV597" s="174"/>
      <c r="LW597" s="174">
        <f t="shared" ref="LW597:MQ597" si="46">IFS(TODAY()&lt;=LW$2,0,WEEKDAY(LW$2)=2,1,WEEKDAY(LW$2)=3,0,WEEKDAY(LW$2)=4,1,WEEKDAY(LW$2)=5,0,WEEKDAY(LW$2)=6,1,WEEKDAY(LW$2)=7,0,WEEKDAY(LW$2)=1,0)</f>
        <v>0</v>
      </c>
      <c r="LX597" s="174">
        <f t="shared" si="46"/>
        <v>1</v>
      </c>
      <c r="LY597" s="174">
        <f t="shared" si="46"/>
        <v>0</v>
      </c>
      <c r="LZ597" s="174">
        <f t="shared" si="46"/>
        <v>0</v>
      </c>
      <c r="MA597" s="174">
        <f t="shared" si="46"/>
        <v>1</v>
      </c>
      <c r="MB597" s="174">
        <f t="shared" si="46"/>
        <v>0</v>
      </c>
      <c r="MC597" s="174">
        <f t="shared" si="46"/>
        <v>1</v>
      </c>
      <c r="MD597" s="174">
        <f t="shared" si="46"/>
        <v>0</v>
      </c>
      <c r="ME597" s="174">
        <f t="shared" si="46"/>
        <v>0</v>
      </c>
      <c r="MF597" s="174">
        <f t="shared" si="46"/>
        <v>0</v>
      </c>
      <c r="MG597" s="174">
        <f t="shared" si="46"/>
        <v>0</v>
      </c>
      <c r="MH597" s="174">
        <f t="shared" si="46"/>
        <v>0</v>
      </c>
      <c r="MI597" s="174">
        <f t="shared" si="46"/>
        <v>0</v>
      </c>
      <c r="MJ597" s="174">
        <f t="shared" si="46"/>
        <v>0</v>
      </c>
      <c r="MK597" s="174">
        <f t="shared" si="46"/>
        <v>0</v>
      </c>
      <c r="ML597" s="174">
        <f t="shared" si="46"/>
        <v>0</v>
      </c>
      <c r="MM597" s="174">
        <f t="shared" si="46"/>
        <v>0</v>
      </c>
      <c r="MN597" s="174">
        <f t="shared" si="46"/>
        <v>0</v>
      </c>
      <c r="MO597" s="174">
        <f t="shared" si="46"/>
        <v>0</v>
      </c>
      <c r="MP597" s="174">
        <f t="shared" si="46"/>
        <v>0</v>
      </c>
      <c r="MQ597" s="174">
        <f t="shared" si="46"/>
        <v>0</v>
      </c>
      <c r="QX597" s="560">
        <v>46128.0</v>
      </c>
    </row>
    <row r="598">
      <c r="A598" s="12"/>
      <c r="B598" s="12"/>
      <c r="C598" s="12"/>
      <c r="D598" s="12"/>
      <c r="E598" s="12"/>
      <c r="F598" s="589"/>
      <c r="G598" s="12"/>
      <c r="H598" s="12"/>
      <c r="I598" s="143">
        <f t="shared" si="22"/>
        <v>-24</v>
      </c>
      <c r="J598" s="537">
        <v>46134.0</v>
      </c>
      <c r="K598" s="184" t="s">
        <v>48</v>
      </c>
      <c r="L598" s="162"/>
      <c r="M598" s="86" t="s">
        <v>3532</v>
      </c>
      <c r="N598" s="86">
        <v>346.0</v>
      </c>
      <c r="O598" s="86">
        <v>30.0</v>
      </c>
      <c r="U598" s="162" t="s">
        <v>3241</v>
      </c>
      <c r="V598" s="538" t="s">
        <v>613</v>
      </c>
      <c r="W598" s="185" t="s">
        <v>3533</v>
      </c>
      <c r="X598" s="140"/>
      <c r="Y598" s="166">
        <f t="shared" si="23"/>
        <v>24</v>
      </c>
      <c r="Z598" s="26">
        <f t="shared" si="7"/>
        <v>0</v>
      </c>
      <c r="AA598" s="26">
        <f t="shared" si="8"/>
        <v>4</v>
      </c>
      <c r="AB598" s="26">
        <f t="shared" si="9"/>
        <v>0</v>
      </c>
      <c r="AC598" s="155">
        <v>0.0</v>
      </c>
      <c r="AD598" s="155">
        <v>0.0</v>
      </c>
      <c r="AE598" s="155">
        <v>0.0</v>
      </c>
      <c r="AF598" s="155">
        <v>0.0</v>
      </c>
      <c r="AG598" s="155">
        <v>0.0</v>
      </c>
      <c r="AH598" s="155">
        <v>0.0</v>
      </c>
      <c r="BN598" s="155">
        <v>0.0</v>
      </c>
      <c r="BO598" s="155">
        <v>0.0</v>
      </c>
      <c r="BP598" s="155">
        <v>0.0</v>
      </c>
      <c r="BQ598" s="155">
        <v>0.0</v>
      </c>
      <c r="BR598" s="155">
        <v>0.0</v>
      </c>
      <c r="BS598" s="155">
        <v>0.0</v>
      </c>
      <c r="CV598" s="156">
        <v>0.0</v>
      </c>
      <c r="CW598" s="156">
        <v>0.0</v>
      </c>
      <c r="CX598" s="156">
        <v>0.0</v>
      </c>
      <c r="CY598" s="156">
        <v>0.0</v>
      </c>
      <c r="CZ598" s="156">
        <v>0.0</v>
      </c>
      <c r="DA598" s="156">
        <v>0.0</v>
      </c>
      <c r="EG598" s="156">
        <v>4.0</v>
      </c>
      <c r="EH598" s="156">
        <v>0.0</v>
      </c>
      <c r="EI598" s="156">
        <v>0.0</v>
      </c>
      <c r="EJ598" s="156">
        <v>0.0</v>
      </c>
      <c r="EK598" s="156">
        <v>0.0</v>
      </c>
      <c r="EL598" s="156">
        <v>0.0</v>
      </c>
      <c r="FH598" s="86">
        <v>1.0</v>
      </c>
      <c r="FJ598" s="86">
        <v>1.0</v>
      </c>
      <c r="FN598" s="86">
        <v>1.0</v>
      </c>
      <c r="FO598" s="86">
        <v>1.0</v>
      </c>
      <c r="FQ598" s="156">
        <v>5.0</v>
      </c>
      <c r="FR598" s="156">
        <v>0.0</v>
      </c>
      <c r="FS598" s="156">
        <v>0.0</v>
      </c>
      <c r="FT598" s="156">
        <v>3.0</v>
      </c>
      <c r="FU598" s="156">
        <v>0.0</v>
      </c>
      <c r="FV598" s="156">
        <v>0.0</v>
      </c>
      <c r="FW598" s="174"/>
      <c r="FX598" s="174"/>
      <c r="FY598" s="174"/>
      <c r="FZ598" s="174"/>
      <c r="GA598" s="174"/>
      <c r="GB598" s="174"/>
      <c r="GC598" s="175" t="s">
        <v>947</v>
      </c>
      <c r="GD598" s="175" t="s">
        <v>947</v>
      </c>
      <c r="GE598" s="174"/>
      <c r="GF598" s="174"/>
      <c r="GG598" s="174"/>
      <c r="GH598" s="174"/>
      <c r="GI598" s="174"/>
      <c r="GJ598" s="174"/>
      <c r="GK598" s="174"/>
      <c r="GL598" s="174"/>
      <c r="GM598" s="174"/>
      <c r="GN598" s="174"/>
      <c r="GO598" s="174"/>
      <c r="GP598" s="175">
        <v>1.0</v>
      </c>
      <c r="GQ598" s="174">
        <v>0.0</v>
      </c>
      <c r="GR598" s="175"/>
      <c r="GS598" s="175"/>
      <c r="GT598" s="174"/>
      <c r="GU598" s="174"/>
      <c r="GV598" s="174">
        <v>1.0</v>
      </c>
      <c r="GW598" s="175" t="s">
        <v>947</v>
      </c>
      <c r="GX598" s="174"/>
      <c r="GY598" s="174"/>
      <c r="GZ598" s="174"/>
      <c r="HA598" s="174"/>
      <c r="HB598" s="155">
        <v>6.0</v>
      </c>
      <c r="HC598" s="155">
        <v>0.0</v>
      </c>
      <c r="HD598" s="155">
        <v>0.0</v>
      </c>
      <c r="HE598" s="155">
        <v>0.0</v>
      </c>
      <c r="HF598" s="155">
        <v>0.0</v>
      </c>
      <c r="HG598" s="155">
        <v>0.0</v>
      </c>
      <c r="HJ598" s="86">
        <v>1.0</v>
      </c>
      <c r="HP598" s="86">
        <v>1.0</v>
      </c>
      <c r="HQ598" s="86">
        <v>1.0</v>
      </c>
      <c r="ID598" s="86">
        <v>1.0</v>
      </c>
      <c r="IE598" s="86">
        <v>1.0</v>
      </c>
      <c r="IK598" s="86">
        <v>1.0</v>
      </c>
      <c r="IL598" s="159">
        <v>7.0</v>
      </c>
      <c r="IM598" s="156">
        <v>0.0</v>
      </c>
      <c r="IN598" s="156">
        <v>0.0</v>
      </c>
      <c r="IO598" s="156">
        <v>1.0</v>
      </c>
      <c r="IP598" s="156">
        <v>0.0</v>
      </c>
      <c r="IQ598" s="160">
        <v>0.0</v>
      </c>
      <c r="IR598" s="86">
        <v>1.0</v>
      </c>
      <c r="IX598" s="86">
        <v>1.0</v>
      </c>
      <c r="IY598" s="86" t="s">
        <v>947</v>
      </c>
      <c r="JE598" s="86">
        <v>1.0</v>
      </c>
      <c r="JF598" s="86">
        <v>1.0</v>
      </c>
      <c r="JH598" s="25"/>
      <c r="JS598" s="86">
        <v>1.0</v>
      </c>
      <c r="JT598" s="86">
        <v>1.0</v>
      </c>
      <c r="JW598" s="159">
        <v>2.0</v>
      </c>
      <c r="JX598" s="156">
        <v>0.0</v>
      </c>
      <c r="JY598" s="156">
        <v>0.0</v>
      </c>
      <c r="JZ598" s="156">
        <v>0.0</v>
      </c>
      <c r="KA598" s="156">
        <v>0.0</v>
      </c>
      <c r="KB598" s="160">
        <v>0.0</v>
      </c>
      <c r="KF598" s="86">
        <v>1.0</v>
      </c>
      <c r="KG598" s="86">
        <v>1.0</v>
      </c>
      <c r="KS598" s="178"/>
      <c r="LH598" s="159">
        <f t="shared" si="10"/>
        <v>0</v>
      </c>
      <c r="LI598" s="156">
        <f t="shared" si="11"/>
        <v>0</v>
      </c>
      <c r="LJ598" s="156">
        <f t="shared" si="12"/>
        <v>0</v>
      </c>
      <c r="LK598" s="156">
        <f t="shared" si="13"/>
        <v>0</v>
      </c>
      <c r="LL598" s="156">
        <f t="shared" si="14"/>
        <v>0</v>
      </c>
      <c r="LM598" s="160">
        <f t="shared" si="15"/>
        <v>0</v>
      </c>
      <c r="QX598" s="560">
        <v>46130.0</v>
      </c>
    </row>
    <row r="599">
      <c r="A599" s="126"/>
      <c r="B599" s="126"/>
      <c r="C599" s="126"/>
      <c r="D599" s="126"/>
      <c r="E599" s="126"/>
      <c r="F599" s="589"/>
      <c r="G599" s="12"/>
      <c r="H599" s="12"/>
      <c r="I599" s="143">
        <f t="shared" si="22"/>
        <v>-22</v>
      </c>
      <c r="J599" s="537">
        <v>46141.0</v>
      </c>
      <c r="K599" s="294" t="s">
        <v>48</v>
      </c>
      <c r="L599" s="247"/>
      <c r="M599" s="86" t="s">
        <v>3534</v>
      </c>
      <c r="N599" s="86">
        <v>25.0</v>
      </c>
      <c r="O599" s="86">
        <v>30.0</v>
      </c>
      <c r="U599" s="162" t="s">
        <v>2224</v>
      </c>
      <c r="V599" s="538" t="s">
        <v>2897</v>
      </c>
      <c r="W599" s="185" t="s">
        <v>3535</v>
      </c>
      <c r="X599" s="140"/>
      <c r="Y599" s="166">
        <f t="shared" si="23"/>
        <v>22</v>
      </c>
      <c r="Z599" s="26">
        <f t="shared" si="7"/>
        <v>0</v>
      </c>
      <c r="AA599" s="26">
        <f t="shared" si="8"/>
        <v>0</v>
      </c>
      <c r="AB599" s="26">
        <f t="shared" si="9"/>
        <v>0</v>
      </c>
      <c r="AC599" s="155">
        <v>0.0</v>
      </c>
      <c r="AD599" s="155">
        <v>0.0</v>
      </c>
      <c r="AE599" s="155">
        <v>0.0</v>
      </c>
      <c r="AF599" s="155">
        <v>0.0</v>
      </c>
      <c r="AG599" s="155">
        <v>0.0</v>
      </c>
      <c r="AH599" s="155">
        <v>0.0</v>
      </c>
      <c r="BN599" s="155">
        <v>0.0</v>
      </c>
      <c r="BO599" s="155">
        <v>0.0</v>
      </c>
      <c r="BP599" s="155">
        <v>0.0</v>
      </c>
      <c r="BQ599" s="155">
        <v>0.0</v>
      </c>
      <c r="BR599" s="155">
        <v>0.0</v>
      </c>
      <c r="BS599" s="155">
        <v>0.0</v>
      </c>
      <c r="CV599" s="156">
        <v>0.0</v>
      </c>
      <c r="CW599" s="156">
        <v>0.0</v>
      </c>
      <c r="CX599" s="156">
        <v>0.0</v>
      </c>
      <c r="CY599" s="156">
        <v>0.0</v>
      </c>
      <c r="CZ599" s="156">
        <v>0.0</v>
      </c>
      <c r="DA599" s="156">
        <v>0.0</v>
      </c>
      <c r="EG599" s="156">
        <v>1.0</v>
      </c>
      <c r="EH599" s="156">
        <v>0.0</v>
      </c>
      <c r="EI599" s="156">
        <v>0.0</v>
      </c>
      <c r="EJ599" s="156">
        <v>0.0</v>
      </c>
      <c r="EK599" s="156">
        <v>0.0</v>
      </c>
      <c r="EL599" s="156">
        <v>0.0</v>
      </c>
      <c r="FO599" s="86">
        <v>1.0</v>
      </c>
      <c r="FQ599" s="156">
        <v>7.0</v>
      </c>
      <c r="FR599" s="156">
        <v>0.0</v>
      </c>
      <c r="FS599" s="156">
        <v>0.0</v>
      </c>
      <c r="FT599" s="156">
        <v>0.0</v>
      </c>
      <c r="FU599" s="156">
        <v>0.0</v>
      </c>
      <c r="FV599" s="156">
        <v>0.0</v>
      </c>
      <c r="FW599" s="174"/>
      <c r="FX599" s="174"/>
      <c r="FY599" s="174"/>
      <c r="FZ599" s="174">
        <v>1.0</v>
      </c>
      <c r="GA599" s="174"/>
      <c r="GB599" s="174"/>
      <c r="GC599" s="174"/>
      <c r="GD599" s="174"/>
      <c r="GE599" s="174"/>
      <c r="GF599" s="174"/>
      <c r="GG599" s="174">
        <v>1.0</v>
      </c>
      <c r="GH599" s="174"/>
      <c r="GI599" s="174"/>
      <c r="GJ599" s="174"/>
      <c r="GK599" s="174"/>
      <c r="GL599" s="174"/>
      <c r="GM599" s="174"/>
      <c r="GN599" s="174"/>
      <c r="GO599" s="174"/>
      <c r="GP599" s="175">
        <v>3.0</v>
      </c>
      <c r="GQ599" s="174"/>
      <c r="GR599" s="174"/>
      <c r="GS599" s="174"/>
      <c r="GT599" s="174"/>
      <c r="GU599" s="174"/>
      <c r="GV599" s="174"/>
      <c r="GW599" s="174"/>
      <c r="GX599" s="175">
        <v>2.0</v>
      </c>
      <c r="GY599" s="174">
        <v>0.0</v>
      </c>
      <c r="GZ599" s="174">
        <v>0.0</v>
      </c>
      <c r="HA599" s="174">
        <v>0.0</v>
      </c>
      <c r="HB599" s="155">
        <v>6.0</v>
      </c>
      <c r="HC599" s="155">
        <v>0.0</v>
      </c>
      <c r="HD599" s="155">
        <v>0.0</v>
      </c>
      <c r="HE599" s="155">
        <v>0.0</v>
      </c>
      <c r="HF599" s="155">
        <v>0.0</v>
      </c>
      <c r="HG599" s="155">
        <v>0.0</v>
      </c>
      <c r="HK599" s="86">
        <v>2.0</v>
      </c>
      <c r="HY599" s="86">
        <v>2.0</v>
      </c>
      <c r="IF599" s="86">
        <v>2.0</v>
      </c>
      <c r="IL599" s="159">
        <v>6.0</v>
      </c>
      <c r="IM599" s="156">
        <v>0.0</v>
      </c>
      <c r="IN599" s="156">
        <v>0.0</v>
      </c>
      <c r="IO599" s="156">
        <v>0.0</v>
      </c>
      <c r="IP599" s="156">
        <v>0.0</v>
      </c>
      <c r="IQ599" s="160">
        <v>0.0</v>
      </c>
      <c r="IS599" s="86">
        <v>1.0</v>
      </c>
      <c r="IT599" s="86">
        <v>1.0</v>
      </c>
      <c r="JD599" s="86">
        <v>1.0</v>
      </c>
      <c r="JH599" s="25"/>
      <c r="JL599" s="86">
        <v>1.0</v>
      </c>
      <c r="JN599" s="86">
        <v>1.0</v>
      </c>
      <c r="JU599" s="86">
        <v>1.0</v>
      </c>
      <c r="JW599" s="159">
        <v>2.0</v>
      </c>
      <c r="JX599" s="156">
        <v>0.0</v>
      </c>
      <c r="JY599" s="156">
        <v>0.0</v>
      </c>
      <c r="JZ599" s="156">
        <v>0.0</v>
      </c>
      <c r="KA599" s="156">
        <v>0.0</v>
      </c>
      <c r="KB599" s="160">
        <v>0.0</v>
      </c>
      <c r="KS599" s="178"/>
      <c r="KV599" s="86">
        <v>1.0</v>
      </c>
      <c r="LF599" s="86">
        <v>1.0</v>
      </c>
      <c r="LH599" s="159">
        <f t="shared" si="10"/>
        <v>0</v>
      </c>
      <c r="LI599" s="156">
        <f t="shared" si="11"/>
        <v>0</v>
      </c>
      <c r="LJ599" s="156">
        <f t="shared" si="12"/>
        <v>0</v>
      </c>
      <c r="LK599" s="156">
        <f t="shared" si="13"/>
        <v>0</v>
      </c>
      <c r="LL599" s="156">
        <f t="shared" si="14"/>
        <v>0</v>
      </c>
      <c r="LM599" s="160">
        <f t="shared" si="15"/>
        <v>0</v>
      </c>
      <c r="QX599" s="560">
        <v>46130.0</v>
      </c>
    </row>
    <row r="600">
      <c r="A600" s="12"/>
      <c r="B600" s="12"/>
      <c r="C600" s="12"/>
      <c r="D600" s="12"/>
      <c r="E600" s="12"/>
      <c r="F600" s="12"/>
      <c r="G600" s="12"/>
      <c r="H600" s="12"/>
      <c r="I600" s="143">
        <f t="shared" si="22"/>
        <v>-6</v>
      </c>
      <c r="J600" s="537">
        <v>46146.0</v>
      </c>
      <c r="K600" s="164" t="s">
        <v>53</v>
      </c>
      <c r="L600" s="23">
        <v>46162.0</v>
      </c>
      <c r="M600" s="162" t="s">
        <v>3536</v>
      </c>
      <c r="N600" s="188">
        <v>246.0</v>
      </c>
      <c r="O600" s="86">
        <v>30.0</v>
      </c>
      <c r="U600" s="162" t="s">
        <v>3175</v>
      </c>
      <c r="V600" s="538" t="s">
        <v>3176</v>
      </c>
      <c r="W600" s="185" t="s">
        <v>3537</v>
      </c>
      <c r="X600" s="140"/>
      <c r="Y600" s="166">
        <f t="shared" si="23"/>
        <v>6</v>
      </c>
      <c r="Z600" s="26">
        <f t="shared" si="7"/>
        <v>0</v>
      </c>
      <c r="AA600" s="26">
        <f t="shared" si="8"/>
        <v>3</v>
      </c>
      <c r="AB600" s="26">
        <f t="shared" si="9"/>
        <v>0</v>
      </c>
      <c r="AC600" s="155">
        <v>0.0</v>
      </c>
      <c r="AD600" s="155">
        <v>0.0</v>
      </c>
      <c r="AE600" s="155">
        <v>0.0</v>
      </c>
      <c r="AF600" s="155">
        <v>0.0</v>
      </c>
      <c r="AG600" s="155">
        <v>0.0</v>
      </c>
      <c r="AH600" s="155">
        <v>0.0</v>
      </c>
      <c r="BN600" s="155">
        <v>0.0</v>
      </c>
      <c r="BO600" s="155">
        <v>0.0</v>
      </c>
      <c r="BP600" s="155">
        <v>0.0</v>
      </c>
      <c r="BQ600" s="155">
        <v>0.0</v>
      </c>
      <c r="BR600" s="155">
        <v>0.0</v>
      </c>
      <c r="BS600" s="155">
        <v>0.0</v>
      </c>
      <c r="CV600" s="156">
        <v>0.0</v>
      </c>
      <c r="CW600" s="156">
        <v>0.0</v>
      </c>
      <c r="CX600" s="156">
        <v>0.0</v>
      </c>
      <c r="CY600" s="156">
        <v>0.0</v>
      </c>
      <c r="CZ600" s="156">
        <v>0.0</v>
      </c>
      <c r="DA600" s="156">
        <v>0.0</v>
      </c>
      <c r="EG600" s="156">
        <v>1.0</v>
      </c>
      <c r="EH600" s="156">
        <v>0.0</v>
      </c>
      <c r="EI600" s="156">
        <v>0.0</v>
      </c>
      <c r="EJ600" s="156">
        <v>1.0</v>
      </c>
      <c r="EK600" s="156">
        <v>0.0</v>
      </c>
      <c r="EL600" s="156">
        <v>0.0</v>
      </c>
      <c r="FO600" s="86" t="s">
        <v>947</v>
      </c>
      <c r="FQ600" s="156">
        <v>5.0</v>
      </c>
      <c r="FR600" s="156">
        <v>0.0</v>
      </c>
      <c r="FS600" s="156">
        <v>0.0</v>
      </c>
      <c r="FT600" s="156">
        <v>2.0</v>
      </c>
      <c r="FU600" s="156">
        <v>0.0</v>
      </c>
      <c r="FV600" s="156">
        <v>0.0</v>
      </c>
      <c r="FW600" s="174"/>
      <c r="FX600" s="174"/>
      <c r="FY600" s="174"/>
      <c r="FZ600" s="174">
        <v>1.0</v>
      </c>
      <c r="GA600" s="174">
        <v>0.0</v>
      </c>
      <c r="GB600" s="174">
        <v>1.0</v>
      </c>
      <c r="GC600" s="174">
        <v>0.0</v>
      </c>
      <c r="GD600" s="174"/>
      <c r="GE600" s="174">
        <v>0.0</v>
      </c>
      <c r="GF600" s="174">
        <v>0.0</v>
      </c>
      <c r="GG600" s="174">
        <v>1.0</v>
      </c>
      <c r="GH600" s="174">
        <v>0.0</v>
      </c>
      <c r="GI600" s="174"/>
      <c r="GJ600" s="174">
        <v>0.0</v>
      </c>
      <c r="GK600" s="175" t="s">
        <v>947</v>
      </c>
      <c r="GL600" s="174"/>
      <c r="GM600" s="174"/>
      <c r="GN600" s="175" t="s">
        <v>947</v>
      </c>
      <c r="GO600" s="174"/>
      <c r="GP600" s="177"/>
      <c r="GQ600" s="174"/>
      <c r="GR600" s="175"/>
      <c r="GS600" s="174"/>
      <c r="GT600" s="174"/>
      <c r="GU600" s="174"/>
      <c r="GV600" s="174"/>
      <c r="GW600" s="174"/>
      <c r="GX600" s="174"/>
      <c r="GY600" s="174"/>
      <c r="GZ600" s="174"/>
      <c r="HA600" s="174"/>
      <c r="HB600" s="155">
        <v>0.0</v>
      </c>
      <c r="HC600" s="155">
        <v>0.0</v>
      </c>
      <c r="HD600" s="155">
        <v>0.0</v>
      </c>
      <c r="HE600" s="155">
        <v>0.0</v>
      </c>
      <c r="HF600" s="155">
        <v>0.0</v>
      </c>
      <c r="HG600" s="155">
        <v>0.0</v>
      </c>
      <c r="IL600" s="159">
        <v>0.0</v>
      </c>
      <c r="IM600" s="156">
        <v>0.0</v>
      </c>
      <c r="IN600" s="156">
        <v>0.0</v>
      </c>
      <c r="IO600" s="156">
        <v>0.0</v>
      </c>
      <c r="IP600" s="156">
        <v>0.0</v>
      </c>
      <c r="IQ600" s="160">
        <v>0.0</v>
      </c>
      <c r="JH600" s="25"/>
      <c r="JW600" s="159">
        <v>0.0</v>
      </c>
      <c r="JX600" s="156">
        <v>0.0</v>
      </c>
      <c r="JY600" s="156">
        <v>0.0</v>
      </c>
      <c r="JZ600" s="156">
        <v>0.0</v>
      </c>
      <c r="KA600" s="156">
        <v>0.0</v>
      </c>
      <c r="KB600" s="160">
        <v>0.0</v>
      </c>
      <c r="LH600" s="159">
        <f t="shared" si="10"/>
        <v>0</v>
      </c>
      <c r="LI600" s="156">
        <f t="shared" si="11"/>
        <v>0</v>
      </c>
      <c r="LJ600" s="156">
        <f t="shared" si="12"/>
        <v>0</v>
      </c>
      <c r="LK600" s="156">
        <f t="shared" si="13"/>
        <v>0</v>
      </c>
      <c r="LL600" s="156">
        <f t="shared" si="14"/>
        <v>0</v>
      </c>
      <c r="LM600" s="160">
        <f t="shared" si="15"/>
        <v>0</v>
      </c>
      <c r="QX600" s="560">
        <v>46130.0</v>
      </c>
    </row>
    <row r="601">
      <c r="A601" s="12"/>
      <c r="B601" s="12"/>
      <c r="C601" s="12"/>
      <c r="D601" s="12"/>
      <c r="E601" s="12"/>
      <c r="F601" s="12"/>
      <c r="G601" s="12"/>
      <c r="H601" s="12"/>
      <c r="I601" s="143">
        <f t="shared" si="22"/>
        <v>-4</v>
      </c>
      <c r="J601" s="537">
        <v>46141.0</v>
      </c>
      <c r="K601" s="164" t="s">
        <v>61</v>
      </c>
      <c r="L601" s="23">
        <v>46204.0</v>
      </c>
      <c r="M601" s="162" t="s">
        <v>2942</v>
      </c>
      <c r="N601" s="188">
        <v>246.0</v>
      </c>
      <c r="O601" s="86">
        <v>30.0</v>
      </c>
      <c r="U601" s="162" t="s">
        <v>3149</v>
      </c>
      <c r="V601" s="538" t="s">
        <v>1553</v>
      </c>
      <c r="W601" s="125" t="s">
        <v>3538</v>
      </c>
      <c r="X601" s="140"/>
      <c r="Y601" s="166">
        <f t="shared" si="23"/>
        <v>4</v>
      </c>
      <c r="Z601" s="26">
        <f t="shared" si="7"/>
        <v>0</v>
      </c>
      <c r="AA601" s="26">
        <f t="shared" si="8"/>
        <v>0</v>
      </c>
      <c r="AB601" s="26">
        <f t="shared" si="9"/>
        <v>0</v>
      </c>
      <c r="AC601" s="155">
        <v>0.0</v>
      </c>
      <c r="AD601" s="155">
        <v>0.0</v>
      </c>
      <c r="AE601" s="155">
        <v>0.0</v>
      </c>
      <c r="AF601" s="155">
        <v>0.0</v>
      </c>
      <c r="AG601" s="155">
        <v>0.0</v>
      </c>
      <c r="AH601" s="155">
        <v>0.0</v>
      </c>
      <c r="BN601" s="155">
        <v>0.0</v>
      </c>
      <c r="BO601" s="155">
        <v>0.0</v>
      </c>
      <c r="BP601" s="155">
        <v>0.0</v>
      </c>
      <c r="BQ601" s="155">
        <v>0.0</v>
      </c>
      <c r="BR601" s="155">
        <v>0.0</v>
      </c>
      <c r="BS601" s="155">
        <v>0.0</v>
      </c>
      <c r="CV601" s="156">
        <v>0.0</v>
      </c>
      <c r="CW601" s="156">
        <v>0.0</v>
      </c>
      <c r="CX601" s="156">
        <v>0.0</v>
      </c>
      <c r="CY601" s="156">
        <v>0.0</v>
      </c>
      <c r="CZ601" s="156">
        <v>0.0</v>
      </c>
      <c r="DA601" s="156">
        <v>0.0</v>
      </c>
      <c r="EG601" s="156">
        <v>1.0</v>
      </c>
      <c r="EH601" s="156">
        <v>0.0</v>
      </c>
      <c r="EI601" s="156">
        <v>0.0</v>
      </c>
      <c r="EJ601" s="156">
        <v>0.0</v>
      </c>
      <c r="EK601" s="156">
        <v>0.0</v>
      </c>
      <c r="EL601" s="156">
        <v>0.0</v>
      </c>
      <c r="FO601" s="86">
        <v>1.0</v>
      </c>
      <c r="FQ601" s="156">
        <v>3.0</v>
      </c>
      <c r="FR601" s="156">
        <v>0.0</v>
      </c>
      <c r="FS601" s="156">
        <v>0.0</v>
      </c>
      <c r="FT601" s="156">
        <v>0.0</v>
      </c>
      <c r="FU601" s="156">
        <v>0.0</v>
      </c>
      <c r="FV601" s="156">
        <v>0.0</v>
      </c>
      <c r="FW601" s="174"/>
      <c r="FX601" s="174"/>
      <c r="FY601" s="174"/>
      <c r="FZ601" s="174"/>
      <c r="GA601" s="174"/>
      <c r="GB601" s="174">
        <v>1.0</v>
      </c>
      <c r="GC601" s="174"/>
      <c r="GD601" s="174"/>
      <c r="GE601" s="174"/>
      <c r="GF601" s="174"/>
      <c r="GG601" s="174"/>
      <c r="GH601" s="174"/>
      <c r="GI601" s="174">
        <v>1.0</v>
      </c>
      <c r="GJ601" s="174"/>
      <c r="GK601" s="174"/>
      <c r="GL601" s="174"/>
      <c r="GM601" s="174"/>
      <c r="GN601" s="174">
        <v>1.0</v>
      </c>
      <c r="GO601" s="174"/>
      <c r="GP601" s="177"/>
      <c r="GQ601" s="174"/>
      <c r="GR601" s="175"/>
      <c r="GS601" s="174"/>
      <c r="GT601" s="174"/>
      <c r="GU601" s="174"/>
      <c r="GV601" s="174"/>
      <c r="GW601" s="174"/>
      <c r="GX601" s="174"/>
      <c r="GY601" s="174"/>
      <c r="GZ601" s="174"/>
      <c r="HA601" s="174"/>
      <c r="HB601" s="155">
        <v>0.0</v>
      </c>
      <c r="HC601" s="155">
        <v>0.0</v>
      </c>
      <c r="HD601" s="155">
        <v>0.0</v>
      </c>
      <c r="HE601" s="155">
        <v>0.0</v>
      </c>
      <c r="HF601" s="155">
        <v>0.0</v>
      </c>
      <c r="HG601" s="155">
        <v>0.0</v>
      </c>
      <c r="HH601" s="174"/>
      <c r="HI601" s="174"/>
      <c r="HJ601" s="174"/>
      <c r="HK601" s="174"/>
      <c r="HL601" s="174"/>
      <c r="HM601" s="174"/>
      <c r="HN601" s="174"/>
      <c r="HO601" s="174"/>
      <c r="HP601" s="174"/>
      <c r="HQ601" s="174"/>
      <c r="HR601" s="174"/>
      <c r="HS601" s="174"/>
      <c r="HT601" s="174"/>
      <c r="HU601" s="174"/>
      <c r="HV601" s="174"/>
      <c r="HW601" s="174"/>
      <c r="HX601" s="174"/>
      <c r="HY601" s="174"/>
      <c r="HZ601" s="174"/>
      <c r="IA601" s="174"/>
      <c r="IB601" s="174"/>
      <c r="IC601" s="174"/>
      <c r="ID601" s="174"/>
      <c r="IE601" s="174"/>
      <c r="IF601" s="174"/>
      <c r="IG601" s="174"/>
      <c r="IH601" s="174"/>
      <c r="II601" s="174"/>
      <c r="IJ601" s="174"/>
      <c r="IK601" s="174"/>
      <c r="IL601" s="159">
        <v>0.0</v>
      </c>
      <c r="IM601" s="156">
        <v>0.0</v>
      </c>
      <c r="IN601" s="156">
        <v>0.0</v>
      </c>
      <c r="IO601" s="156">
        <v>0.0</v>
      </c>
      <c r="IP601" s="156">
        <v>0.0</v>
      </c>
      <c r="IQ601" s="160">
        <v>0.0</v>
      </c>
      <c r="JH601" s="25"/>
      <c r="JW601" s="159">
        <v>0.0</v>
      </c>
      <c r="JX601" s="156">
        <v>0.0</v>
      </c>
      <c r="JY601" s="156">
        <v>0.0</v>
      </c>
      <c r="JZ601" s="156">
        <v>0.0</v>
      </c>
      <c r="KA601" s="156">
        <v>0.0</v>
      </c>
      <c r="KB601" s="160">
        <v>0.0</v>
      </c>
      <c r="LH601" s="159">
        <f t="shared" si="10"/>
        <v>0</v>
      </c>
      <c r="LI601" s="156">
        <f t="shared" si="11"/>
        <v>0</v>
      </c>
      <c r="LJ601" s="156">
        <f t="shared" si="12"/>
        <v>0</v>
      </c>
      <c r="LK601" s="156">
        <f t="shared" si="13"/>
        <v>0</v>
      </c>
      <c r="LL601" s="156">
        <f t="shared" si="14"/>
        <v>0</v>
      </c>
      <c r="LM601" s="160">
        <f t="shared" si="15"/>
        <v>0</v>
      </c>
      <c r="QX601" s="560">
        <v>46132.0</v>
      </c>
    </row>
    <row r="602">
      <c r="A602" s="12"/>
      <c r="B602" s="12"/>
      <c r="C602" s="12"/>
      <c r="D602" s="12"/>
      <c r="E602" s="12"/>
      <c r="F602" s="12"/>
      <c r="G602" s="12"/>
      <c r="H602" s="12"/>
      <c r="I602" s="143">
        <f t="shared" si="22"/>
        <v>-27</v>
      </c>
      <c r="J602" s="537">
        <v>46137.0</v>
      </c>
      <c r="K602" s="294" t="s">
        <v>53</v>
      </c>
      <c r="L602" s="23">
        <v>46212.0</v>
      </c>
      <c r="M602" s="162" t="s">
        <v>435</v>
      </c>
      <c r="N602" s="86">
        <v>357.0</v>
      </c>
      <c r="O602" s="86">
        <v>30.0</v>
      </c>
      <c r="U602" s="162" t="s">
        <v>3539</v>
      </c>
      <c r="V602" s="538" t="s">
        <v>3540</v>
      </c>
      <c r="W602" s="125" t="s">
        <v>3541</v>
      </c>
      <c r="X602" s="140"/>
      <c r="Y602" s="166">
        <f t="shared" si="23"/>
        <v>27</v>
      </c>
      <c r="Z602" s="26">
        <f t="shared" si="7"/>
        <v>0</v>
      </c>
      <c r="AA602" s="26">
        <f t="shared" si="8"/>
        <v>0</v>
      </c>
      <c r="AB602" s="26">
        <f t="shared" si="9"/>
        <v>0</v>
      </c>
      <c r="AC602" s="155">
        <v>0.0</v>
      </c>
      <c r="AD602" s="155">
        <v>0.0</v>
      </c>
      <c r="AE602" s="155">
        <v>0.0</v>
      </c>
      <c r="AF602" s="155">
        <v>0.0</v>
      </c>
      <c r="AG602" s="155">
        <v>0.0</v>
      </c>
      <c r="AH602" s="155">
        <v>0.0</v>
      </c>
      <c r="BN602" s="155">
        <v>0.0</v>
      </c>
      <c r="BO602" s="155">
        <v>0.0</v>
      </c>
      <c r="BP602" s="155">
        <v>0.0</v>
      </c>
      <c r="BQ602" s="155">
        <v>0.0</v>
      </c>
      <c r="BR602" s="155">
        <v>0.0</v>
      </c>
      <c r="BS602" s="155">
        <v>0.0</v>
      </c>
      <c r="CV602" s="156">
        <v>0.0</v>
      </c>
      <c r="CW602" s="156">
        <v>0.0</v>
      </c>
      <c r="CX602" s="156">
        <v>0.0</v>
      </c>
      <c r="CY602" s="156">
        <v>0.0</v>
      </c>
      <c r="CZ602" s="156">
        <v>0.0</v>
      </c>
      <c r="DA602" s="156">
        <v>0.0</v>
      </c>
      <c r="EG602" s="156">
        <v>2.0</v>
      </c>
      <c r="EH602" s="156">
        <v>0.0</v>
      </c>
      <c r="EI602" s="156">
        <v>0.0</v>
      </c>
      <c r="EJ602" s="156">
        <v>0.0</v>
      </c>
      <c r="EK602" s="156">
        <v>0.0</v>
      </c>
      <c r="EL602" s="156">
        <v>0.0</v>
      </c>
      <c r="FK602" s="86">
        <v>1.0</v>
      </c>
      <c r="FN602" s="86">
        <v>1.0</v>
      </c>
      <c r="FQ602" s="156">
        <v>11.0</v>
      </c>
      <c r="FR602" s="156">
        <v>0.0</v>
      </c>
      <c r="FS602" s="156">
        <v>0.0</v>
      </c>
      <c r="FT602" s="156">
        <v>0.0</v>
      </c>
      <c r="FU602" s="156">
        <v>0.0</v>
      </c>
      <c r="FV602" s="156">
        <v>0.0</v>
      </c>
      <c r="FW602" s="172"/>
      <c r="FX602" s="172"/>
      <c r="FY602" s="172"/>
      <c r="FZ602" s="172"/>
      <c r="GA602" s="172">
        <v>1.0</v>
      </c>
      <c r="GB602" s="172">
        <v>0.0</v>
      </c>
      <c r="GC602" s="172">
        <v>1.0</v>
      </c>
      <c r="GD602" s="172"/>
      <c r="GE602" s="172"/>
      <c r="GF602" s="172"/>
      <c r="GG602" s="172"/>
      <c r="GH602" s="172">
        <v>2.0</v>
      </c>
      <c r="GI602" s="172"/>
      <c r="GJ602" s="172"/>
      <c r="GK602" s="172">
        <v>0.0</v>
      </c>
      <c r="GL602" s="172">
        <v>1.0</v>
      </c>
      <c r="GM602" s="172">
        <v>0.0</v>
      </c>
      <c r="GN602" s="172">
        <v>0.0</v>
      </c>
      <c r="GO602" s="172">
        <v>1.0</v>
      </c>
      <c r="GP602" s="170">
        <v>0.0</v>
      </c>
      <c r="GQ602" s="172">
        <v>1.0</v>
      </c>
      <c r="GR602" s="172">
        <v>0.0</v>
      </c>
      <c r="GS602" s="172">
        <v>1.0</v>
      </c>
      <c r="GT602" s="172">
        <v>0.0</v>
      </c>
      <c r="GU602" s="172">
        <v>0.0</v>
      </c>
      <c r="GV602" s="172">
        <v>1.0</v>
      </c>
      <c r="GW602" s="172">
        <v>0.0</v>
      </c>
      <c r="GX602" s="172">
        <v>1.0</v>
      </c>
      <c r="GY602" s="172">
        <v>0.0</v>
      </c>
      <c r="GZ602" s="172">
        <v>1.0</v>
      </c>
      <c r="HA602" s="172">
        <v>0.0</v>
      </c>
      <c r="HB602" s="155">
        <v>12.0</v>
      </c>
      <c r="HC602" s="155">
        <v>0.0</v>
      </c>
      <c r="HD602" s="155">
        <v>0.0</v>
      </c>
      <c r="HE602" s="155">
        <v>0.0</v>
      </c>
      <c r="HF602" s="155">
        <v>0.0</v>
      </c>
      <c r="HG602" s="155">
        <v>1.0</v>
      </c>
      <c r="HH602" s="172">
        <v>0.0</v>
      </c>
      <c r="HI602" s="172">
        <v>1.0</v>
      </c>
      <c r="HJ602" s="172">
        <v>0.0</v>
      </c>
      <c r="HK602" s="172">
        <v>1.0</v>
      </c>
      <c r="HL602" s="172">
        <v>0.0</v>
      </c>
      <c r="HM602" s="172">
        <v>1.0</v>
      </c>
      <c r="HN602" s="172">
        <v>0.0</v>
      </c>
      <c r="HO602" s="172">
        <v>0.0</v>
      </c>
      <c r="HP602" s="172" t="s">
        <v>3354</v>
      </c>
      <c r="HQ602" s="172">
        <v>0.0</v>
      </c>
      <c r="HR602" s="172">
        <v>1.0</v>
      </c>
      <c r="HS602" s="172">
        <v>0.0</v>
      </c>
      <c r="HT602" s="172">
        <v>1.0</v>
      </c>
      <c r="HU602" s="172">
        <v>0.0</v>
      </c>
      <c r="HV602" s="172">
        <v>0.0</v>
      </c>
      <c r="HW602" s="172">
        <v>1.0</v>
      </c>
      <c r="HX602" s="172">
        <v>0.0</v>
      </c>
      <c r="HY602" s="172">
        <v>1.0</v>
      </c>
      <c r="HZ602" s="172">
        <v>0.0</v>
      </c>
      <c r="IA602" s="172">
        <v>1.0</v>
      </c>
      <c r="IB602" s="172">
        <v>0.0</v>
      </c>
      <c r="IC602" s="172">
        <v>0.0</v>
      </c>
      <c r="ID602" s="172">
        <v>1.0</v>
      </c>
      <c r="IE602" s="172">
        <v>0.0</v>
      </c>
      <c r="IF602" s="172">
        <v>1.0</v>
      </c>
      <c r="IG602" s="172">
        <v>0.0</v>
      </c>
      <c r="IH602" s="172">
        <v>1.0</v>
      </c>
      <c r="II602" s="172">
        <v>0.0</v>
      </c>
      <c r="IJ602" s="172">
        <v>0.0</v>
      </c>
      <c r="IK602" s="172">
        <v>1.0</v>
      </c>
      <c r="IL602" s="159">
        <v>2.0</v>
      </c>
      <c r="IM602" s="156">
        <v>0.0</v>
      </c>
      <c r="IN602" s="156">
        <v>0.0</v>
      </c>
      <c r="IO602" s="156">
        <v>0.0</v>
      </c>
      <c r="IP602" s="156">
        <v>0.0</v>
      </c>
      <c r="IQ602" s="160">
        <v>0.0</v>
      </c>
      <c r="IR602" s="172">
        <v>0.0</v>
      </c>
      <c r="IS602" s="172">
        <v>1.0</v>
      </c>
      <c r="IT602" s="172">
        <v>0.0</v>
      </c>
      <c r="IU602" s="172"/>
      <c r="IV602" s="172">
        <v>0.0</v>
      </c>
      <c r="IW602" s="172">
        <v>0.0</v>
      </c>
      <c r="IX602" s="172">
        <v>1.0</v>
      </c>
      <c r="IY602" s="172">
        <v>0.0</v>
      </c>
      <c r="IZ602" s="172"/>
      <c r="JA602" s="172">
        <v>0.0</v>
      </c>
      <c r="JB602" s="172"/>
      <c r="JC602" s="172">
        <v>0.0</v>
      </c>
      <c r="JD602" s="172">
        <v>0.0</v>
      </c>
      <c r="JE602" s="172"/>
      <c r="JF602" s="172">
        <v>0.0</v>
      </c>
      <c r="JG602" s="172"/>
      <c r="JH602" s="170">
        <v>0.0</v>
      </c>
      <c r="JI602" s="172"/>
      <c r="JJ602" s="172"/>
      <c r="JK602" s="172"/>
      <c r="JL602" s="172"/>
      <c r="JM602" s="172"/>
      <c r="JN602" s="172"/>
      <c r="JO602" s="172"/>
      <c r="JP602" s="172"/>
      <c r="JQ602" s="172"/>
      <c r="JR602" s="172"/>
      <c r="JS602" s="172"/>
      <c r="JT602" s="172"/>
      <c r="JU602" s="172"/>
      <c r="JV602" s="172"/>
      <c r="JW602" s="159">
        <v>0.0</v>
      </c>
      <c r="JX602" s="156">
        <v>0.0</v>
      </c>
      <c r="JY602" s="156">
        <v>0.0</v>
      </c>
      <c r="JZ602" s="156">
        <v>0.0</v>
      </c>
      <c r="KA602" s="156">
        <v>0.0</v>
      </c>
      <c r="KB602" s="160">
        <v>0.0</v>
      </c>
      <c r="KC602" s="172"/>
      <c r="KD602" s="172"/>
      <c r="KE602" s="172"/>
      <c r="KF602" s="172"/>
      <c r="KG602" s="172"/>
      <c r="KH602" s="172"/>
      <c r="KI602" s="172"/>
      <c r="KJ602" s="172"/>
      <c r="KK602" s="172"/>
      <c r="KL602" s="172"/>
      <c r="KM602" s="172"/>
      <c r="KN602" s="172"/>
      <c r="KO602" s="172"/>
      <c r="KP602" s="172"/>
      <c r="KQ602" s="172"/>
      <c r="KR602" s="172"/>
      <c r="KS602" s="172"/>
      <c r="KT602" s="172"/>
      <c r="KU602" s="172"/>
      <c r="KV602" s="172"/>
      <c r="KW602" s="172"/>
      <c r="KX602" s="172"/>
      <c r="KY602" s="172"/>
      <c r="KZ602" s="172"/>
      <c r="LA602" s="172"/>
      <c r="LB602" s="172"/>
      <c r="LC602" s="172"/>
      <c r="LD602" s="172"/>
      <c r="LE602" s="172"/>
      <c r="LF602" s="172"/>
      <c r="LG602" s="172"/>
      <c r="LH602" s="159">
        <f t="shared" si="10"/>
        <v>0</v>
      </c>
      <c r="LI602" s="156">
        <f t="shared" si="11"/>
        <v>0</v>
      </c>
      <c r="LJ602" s="156">
        <f t="shared" si="12"/>
        <v>0</v>
      </c>
      <c r="LK602" s="156">
        <f t="shared" si="13"/>
        <v>0</v>
      </c>
      <c r="LL602" s="156">
        <f t="shared" si="14"/>
        <v>0</v>
      </c>
      <c r="LM602" s="160">
        <f t="shared" si="15"/>
        <v>0</v>
      </c>
      <c r="QX602" s="560">
        <v>46134.0</v>
      </c>
    </row>
    <row r="603">
      <c r="A603" s="12"/>
      <c r="B603" s="12"/>
      <c r="C603" s="12"/>
      <c r="D603" s="12"/>
      <c r="E603" s="12"/>
      <c r="F603" s="12"/>
      <c r="G603" s="12"/>
      <c r="H603" s="12"/>
      <c r="I603" s="143">
        <f t="shared" si="22"/>
        <v>-33</v>
      </c>
      <c r="J603" s="537">
        <v>46141.0</v>
      </c>
      <c r="K603" s="294" t="s">
        <v>48</v>
      </c>
      <c r="L603" s="108"/>
      <c r="M603" s="86" t="s">
        <v>1703</v>
      </c>
      <c r="N603" s="188">
        <v>246.0</v>
      </c>
      <c r="O603" s="86">
        <v>30.0</v>
      </c>
      <c r="U603" s="162" t="s">
        <v>2519</v>
      </c>
      <c r="V603" s="538" t="s">
        <v>307</v>
      </c>
      <c r="W603" s="185" t="s">
        <v>3542</v>
      </c>
      <c r="X603" s="140"/>
      <c r="Y603" s="166">
        <f t="shared" si="23"/>
        <v>33</v>
      </c>
      <c r="Z603" s="26">
        <f t="shared" si="7"/>
        <v>0</v>
      </c>
      <c r="AA603" s="26">
        <f t="shared" si="8"/>
        <v>0</v>
      </c>
      <c r="AB603" s="26">
        <f t="shared" si="9"/>
        <v>0</v>
      </c>
      <c r="AC603" s="155">
        <v>0.0</v>
      </c>
      <c r="AD603" s="155">
        <v>0.0</v>
      </c>
      <c r="AE603" s="155">
        <v>0.0</v>
      </c>
      <c r="AF603" s="155">
        <v>0.0</v>
      </c>
      <c r="AG603" s="155">
        <v>0.0</v>
      </c>
      <c r="AH603" s="155">
        <v>0.0</v>
      </c>
      <c r="BN603" s="155">
        <v>0.0</v>
      </c>
      <c r="BO603" s="155">
        <v>0.0</v>
      </c>
      <c r="BP603" s="155">
        <v>0.0</v>
      </c>
      <c r="BQ603" s="155">
        <v>0.0</v>
      </c>
      <c r="BR603" s="155">
        <v>0.0</v>
      </c>
      <c r="BS603" s="155">
        <v>0.0</v>
      </c>
      <c r="CV603" s="156">
        <v>0.0</v>
      </c>
      <c r="CW603" s="156">
        <v>0.0</v>
      </c>
      <c r="CX603" s="156">
        <v>0.0</v>
      </c>
      <c r="CY603" s="156">
        <v>0.0</v>
      </c>
      <c r="CZ603" s="156">
        <v>0.0</v>
      </c>
      <c r="DA603" s="156">
        <v>0.0</v>
      </c>
      <c r="EG603" s="156">
        <v>1.0</v>
      </c>
      <c r="EH603" s="156">
        <v>0.0</v>
      </c>
      <c r="EI603" s="156">
        <v>0.0</v>
      </c>
      <c r="EJ603" s="156">
        <v>0.0</v>
      </c>
      <c r="EK603" s="156">
        <v>0.0</v>
      </c>
      <c r="EL603" s="156">
        <v>0.0</v>
      </c>
      <c r="FO603" s="86">
        <v>1.0</v>
      </c>
      <c r="FQ603" s="156">
        <v>10.0</v>
      </c>
      <c r="FR603" s="156">
        <v>0.0</v>
      </c>
      <c r="FS603" s="156">
        <v>0.0</v>
      </c>
      <c r="FT603" s="156">
        <v>0.0</v>
      </c>
      <c r="FU603" s="156">
        <v>0.0</v>
      </c>
      <c r="FV603" s="156">
        <v>0.0</v>
      </c>
      <c r="FW603" s="174"/>
      <c r="FX603" s="174"/>
      <c r="FY603" s="174"/>
      <c r="FZ603" s="174">
        <v>1.0</v>
      </c>
      <c r="GA603" s="174">
        <v>0.0</v>
      </c>
      <c r="GB603" s="174"/>
      <c r="GC603" s="174">
        <v>0.0</v>
      </c>
      <c r="GD603" s="174">
        <v>1.0</v>
      </c>
      <c r="GE603" s="174">
        <v>0.0</v>
      </c>
      <c r="GF603" s="174">
        <v>0.0</v>
      </c>
      <c r="GG603" s="174">
        <v>1.0</v>
      </c>
      <c r="GH603" s="174">
        <v>0.0</v>
      </c>
      <c r="GI603" s="174">
        <v>1.0</v>
      </c>
      <c r="GJ603" s="174">
        <v>0.0</v>
      </c>
      <c r="GK603" s="174">
        <v>1.0</v>
      </c>
      <c r="GL603" s="174">
        <v>0.0</v>
      </c>
      <c r="GM603" s="174">
        <v>0.0</v>
      </c>
      <c r="GN603" s="174"/>
      <c r="GO603" s="174">
        <v>0.0</v>
      </c>
      <c r="GP603" s="177">
        <v>1.0</v>
      </c>
      <c r="GQ603" s="174">
        <v>0.0</v>
      </c>
      <c r="GR603" s="175">
        <v>1.0</v>
      </c>
      <c r="GS603" s="174">
        <v>0.0</v>
      </c>
      <c r="GT603" s="174">
        <v>0.0</v>
      </c>
      <c r="GU603" s="174">
        <v>1.0</v>
      </c>
      <c r="GV603" s="174">
        <v>0.0</v>
      </c>
      <c r="GW603" s="174">
        <v>1.0</v>
      </c>
      <c r="GX603" s="174">
        <v>0.0</v>
      </c>
      <c r="GY603" s="174"/>
      <c r="GZ603" s="174">
        <v>0.0</v>
      </c>
      <c r="HA603" s="175">
        <v>1.0</v>
      </c>
      <c r="HB603" s="155">
        <v>8.0</v>
      </c>
      <c r="HC603" s="155">
        <v>0.0</v>
      </c>
      <c r="HD603" s="155">
        <v>0.0</v>
      </c>
      <c r="HE603" s="155">
        <v>0.0</v>
      </c>
      <c r="HF603" s="155">
        <v>0.0</v>
      </c>
      <c r="HG603" s="155">
        <v>0.0</v>
      </c>
      <c r="HH603" s="174"/>
      <c r="HI603" s="174"/>
      <c r="HJ603" s="174">
        <v>1.0</v>
      </c>
      <c r="HK603" s="174">
        <v>0.0</v>
      </c>
      <c r="HL603" s="174">
        <v>1.0</v>
      </c>
      <c r="HM603" s="174"/>
      <c r="HN603" s="174"/>
      <c r="HO603" s="174"/>
      <c r="HP603" s="174"/>
      <c r="HQ603" s="174"/>
      <c r="HR603" s="174"/>
      <c r="HS603" s="174"/>
      <c r="HT603" s="174"/>
      <c r="HU603" s="174"/>
      <c r="HV603" s="174">
        <v>1.0</v>
      </c>
      <c r="HW603" s="174">
        <v>0.0</v>
      </c>
      <c r="HX603" s="174">
        <v>1.0</v>
      </c>
      <c r="HY603" s="174">
        <v>0.0</v>
      </c>
      <c r="HZ603" s="174"/>
      <c r="IA603" s="174">
        <v>0.0</v>
      </c>
      <c r="IB603" s="174">
        <v>0.0</v>
      </c>
      <c r="IC603" s="174">
        <v>1.0</v>
      </c>
      <c r="ID603" s="174">
        <v>0.0</v>
      </c>
      <c r="IE603" s="174">
        <v>1.0</v>
      </c>
      <c r="IF603" s="174">
        <v>0.0</v>
      </c>
      <c r="IG603" s="174">
        <v>1.0</v>
      </c>
      <c r="IH603" s="174">
        <v>0.0</v>
      </c>
      <c r="II603" s="174">
        <v>0.0</v>
      </c>
      <c r="IJ603" s="174">
        <v>1.0</v>
      </c>
      <c r="IK603" s="174">
        <v>0.0</v>
      </c>
      <c r="IL603" s="159">
        <v>8.0</v>
      </c>
      <c r="IM603" s="156">
        <v>0.0</v>
      </c>
      <c r="IN603" s="156">
        <v>0.0</v>
      </c>
      <c r="IO603" s="156">
        <v>0.0</v>
      </c>
      <c r="IP603" s="156">
        <v>0.0</v>
      </c>
      <c r="IQ603" s="160">
        <v>0.0</v>
      </c>
      <c r="IR603" s="175">
        <v>1.0</v>
      </c>
      <c r="IS603" s="174">
        <v>0.0</v>
      </c>
      <c r="IT603" s="175">
        <v>1.0</v>
      </c>
      <c r="IU603" s="174">
        <v>0.0</v>
      </c>
      <c r="IV603" s="174">
        <v>0.0</v>
      </c>
      <c r="IW603" s="174"/>
      <c r="IX603" s="174">
        <v>0.0</v>
      </c>
      <c r="IY603" s="174">
        <v>1.0</v>
      </c>
      <c r="IZ603" s="174">
        <v>0.0</v>
      </c>
      <c r="JA603" s="174">
        <v>1.0</v>
      </c>
      <c r="JB603" s="174">
        <v>0.0</v>
      </c>
      <c r="JC603" s="174">
        <v>0.0</v>
      </c>
      <c r="JD603" s="174"/>
      <c r="JE603" s="174">
        <v>0.0</v>
      </c>
      <c r="JF603" s="174">
        <v>1.0</v>
      </c>
      <c r="JG603" s="174">
        <v>0.0</v>
      </c>
      <c r="JH603" s="177"/>
      <c r="JI603" s="175">
        <v>1.0</v>
      </c>
      <c r="JJ603" s="174"/>
      <c r="JK603" s="175">
        <v>1.0</v>
      </c>
      <c r="JL603" s="174"/>
      <c r="JM603" s="174"/>
      <c r="JN603" s="174"/>
      <c r="JO603" s="174"/>
      <c r="JP603" s="174"/>
      <c r="JQ603" s="174"/>
      <c r="JR603" s="175">
        <v>1.0</v>
      </c>
      <c r="JS603" s="174"/>
      <c r="JT603" s="174"/>
      <c r="JU603" s="174"/>
      <c r="JV603" s="174"/>
      <c r="JW603" s="159">
        <v>3.0</v>
      </c>
      <c r="JX603" s="156">
        <v>0.0</v>
      </c>
      <c r="JY603" s="156">
        <v>0.0</v>
      </c>
      <c r="JZ603" s="156">
        <v>0.0</v>
      </c>
      <c r="KA603" s="156">
        <v>0.0</v>
      </c>
      <c r="KB603" s="160">
        <v>0.0</v>
      </c>
      <c r="KC603" s="174"/>
      <c r="KD603" s="175">
        <v>1.0</v>
      </c>
      <c r="KE603" s="174"/>
      <c r="KF603" s="174"/>
      <c r="KG603" s="175">
        <v>1.0</v>
      </c>
      <c r="KH603" s="174"/>
      <c r="KI603" s="174"/>
      <c r="KJ603" s="174"/>
      <c r="KK603" s="174"/>
      <c r="KL603" s="174"/>
      <c r="KM603" s="175">
        <v>1.0</v>
      </c>
      <c r="KN603" s="174"/>
      <c r="KO603" s="174"/>
      <c r="KP603" s="174"/>
      <c r="KQ603" s="174"/>
      <c r="KR603" s="174"/>
      <c r="KS603" s="472"/>
      <c r="KT603" s="174"/>
      <c r="KU603" s="174"/>
      <c r="KV603" s="174"/>
      <c r="KW603" s="174"/>
      <c r="KX603" s="174"/>
      <c r="KY603" s="174"/>
      <c r="KZ603" s="174"/>
      <c r="LA603" s="174"/>
      <c r="LB603" s="174"/>
      <c r="LC603" s="174"/>
      <c r="LD603" s="174"/>
      <c r="LE603" s="174"/>
      <c r="LF603" s="174"/>
      <c r="LG603" s="174"/>
      <c r="LH603" s="159">
        <f t="shared" si="10"/>
        <v>3</v>
      </c>
      <c r="LI603" s="156">
        <f t="shared" si="11"/>
        <v>0</v>
      </c>
      <c r="LJ603" s="156">
        <f t="shared" si="12"/>
        <v>0</v>
      </c>
      <c r="LK603" s="156">
        <f t="shared" si="13"/>
        <v>0</v>
      </c>
      <c r="LL603" s="156">
        <f t="shared" si="14"/>
        <v>0</v>
      </c>
      <c r="LM603" s="160">
        <f t="shared" si="15"/>
        <v>0</v>
      </c>
      <c r="LN603" s="174"/>
      <c r="LO603" s="174"/>
      <c r="LP603" s="174"/>
      <c r="LQ603" s="174"/>
      <c r="LR603" s="174"/>
      <c r="LS603" s="174"/>
      <c r="LT603" s="174"/>
      <c r="LU603" s="174"/>
      <c r="LV603" s="174"/>
      <c r="LW603" s="174">
        <f t="shared" ref="LW603:MQ603" si="47">IFS(TODAY()&lt;=LW$2,0,WEEKDAY(LW$2)=2,1,WEEKDAY(LW$2)=3,0,WEEKDAY(LW$2)=4,1,WEEKDAY(LW$2)=5,0,WEEKDAY(LW$2)=6,1,WEEKDAY(LW$2)=7,0,WEEKDAY(LW$2)=1,0)</f>
        <v>0</v>
      </c>
      <c r="LX603" s="174">
        <f t="shared" si="47"/>
        <v>1</v>
      </c>
      <c r="LY603" s="174">
        <f t="shared" si="47"/>
        <v>0</v>
      </c>
      <c r="LZ603" s="174">
        <f t="shared" si="47"/>
        <v>0</v>
      </c>
      <c r="MA603" s="174">
        <f t="shared" si="47"/>
        <v>1</v>
      </c>
      <c r="MB603" s="174">
        <f t="shared" si="47"/>
        <v>0</v>
      </c>
      <c r="MC603" s="174">
        <f t="shared" si="47"/>
        <v>1</v>
      </c>
      <c r="MD603" s="174">
        <f t="shared" si="47"/>
        <v>0</v>
      </c>
      <c r="ME603" s="174">
        <f t="shared" si="47"/>
        <v>0</v>
      </c>
      <c r="MF603" s="174">
        <f t="shared" si="47"/>
        <v>0</v>
      </c>
      <c r="MG603" s="174">
        <f t="shared" si="47"/>
        <v>0</v>
      </c>
      <c r="MH603" s="174">
        <f t="shared" si="47"/>
        <v>0</v>
      </c>
      <c r="MI603" s="174">
        <f t="shared" si="47"/>
        <v>0</v>
      </c>
      <c r="MJ603" s="174">
        <f t="shared" si="47"/>
        <v>0</v>
      </c>
      <c r="MK603" s="174">
        <f t="shared" si="47"/>
        <v>0</v>
      </c>
      <c r="ML603" s="174">
        <f t="shared" si="47"/>
        <v>0</v>
      </c>
      <c r="MM603" s="174">
        <f t="shared" si="47"/>
        <v>0</v>
      </c>
      <c r="MN603" s="174">
        <f t="shared" si="47"/>
        <v>0</v>
      </c>
      <c r="MO603" s="174">
        <f t="shared" si="47"/>
        <v>0</v>
      </c>
      <c r="MP603" s="174">
        <f t="shared" si="47"/>
        <v>0</v>
      </c>
      <c r="MQ603" s="174">
        <f t="shared" si="47"/>
        <v>0</v>
      </c>
      <c r="QX603" s="560">
        <v>46134.0</v>
      </c>
    </row>
    <row r="604">
      <c r="A604" s="12"/>
      <c r="B604" s="12"/>
      <c r="C604" s="12"/>
      <c r="D604" s="12"/>
      <c r="E604" s="12"/>
      <c r="F604" s="12"/>
      <c r="G604" s="12"/>
      <c r="H604" s="12"/>
      <c r="I604" s="143">
        <f t="shared" si="22"/>
        <v>-33</v>
      </c>
      <c r="J604" s="537">
        <v>46148.0</v>
      </c>
      <c r="K604" s="294" t="s">
        <v>48</v>
      </c>
      <c r="L604" s="590"/>
      <c r="M604" s="86" t="s">
        <v>400</v>
      </c>
      <c r="N604" s="188">
        <v>246.0</v>
      </c>
      <c r="O604" s="86">
        <v>30.0</v>
      </c>
      <c r="U604" s="162" t="s">
        <v>3543</v>
      </c>
      <c r="V604" s="538" t="s">
        <v>3544</v>
      </c>
      <c r="W604" s="125" t="s">
        <v>3545</v>
      </c>
      <c r="X604" s="140"/>
      <c r="Y604" s="166">
        <f t="shared" si="23"/>
        <v>33</v>
      </c>
      <c r="Z604" s="26">
        <f t="shared" si="7"/>
        <v>0</v>
      </c>
      <c r="AA604" s="26">
        <f t="shared" si="8"/>
        <v>0</v>
      </c>
      <c r="AB604" s="26">
        <f t="shared" si="9"/>
        <v>0</v>
      </c>
      <c r="AC604" s="155">
        <v>0.0</v>
      </c>
      <c r="AD604" s="155">
        <v>0.0</v>
      </c>
      <c r="AE604" s="155">
        <v>0.0</v>
      </c>
      <c r="AF604" s="155">
        <v>0.0</v>
      </c>
      <c r="AG604" s="155">
        <v>0.0</v>
      </c>
      <c r="AH604" s="155">
        <v>0.0</v>
      </c>
      <c r="BN604" s="155">
        <v>0.0</v>
      </c>
      <c r="BO604" s="155">
        <v>0.0</v>
      </c>
      <c r="BP604" s="155">
        <v>0.0</v>
      </c>
      <c r="BQ604" s="155">
        <v>0.0</v>
      </c>
      <c r="BR604" s="155">
        <v>0.0</v>
      </c>
      <c r="BS604" s="155">
        <v>0.0</v>
      </c>
      <c r="CV604" s="156">
        <v>0.0</v>
      </c>
      <c r="CW604" s="156">
        <v>0.0</v>
      </c>
      <c r="CX604" s="156">
        <v>0.0</v>
      </c>
      <c r="CY604" s="156">
        <v>0.0</v>
      </c>
      <c r="CZ604" s="156">
        <v>0.0</v>
      </c>
      <c r="DA604" s="156">
        <v>0.0</v>
      </c>
      <c r="EG604" s="156">
        <v>0.0</v>
      </c>
      <c r="EH604" s="156">
        <v>0.0</v>
      </c>
      <c r="EI604" s="156">
        <v>0.0</v>
      </c>
      <c r="EJ604" s="156">
        <v>0.0</v>
      </c>
      <c r="EK604" s="156">
        <v>0.0</v>
      </c>
      <c r="EL604" s="156">
        <v>0.0</v>
      </c>
      <c r="FQ604" s="156">
        <v>11.0</v>
      </c>
      <c r="FR604" s="156">
        <v>0.0</v>
      </c>
      <c r="FS604" s="156">
        <v>0.0</v>
      </c>
      <c r="FT604" s="156">
        <v>0.0</v>
      </c>
      <c r="FU604" s="156">
        <v>0.0</v>
      </c>
      <c r="FV604" s="156">
        <v>0.0</v>
      </c>
      <c r="FW604" s="174">
        <v>1.0</v>
      </c>
      <c r="FX604" s="174">
        <v>0.0</v>
      </c>
      <c r="FY604" s="174">
        <v>0.0</v>
      </c>
      <c r="FZ604" s="174">
        <v>1.0</v>
      </c>
      <c r="GA604" s="174">
        <v>0.0</v>
      </c>
      <c r="GB604" s="174">
        <v>1.0</v>
      </c>
      <c r="GC604" s="174">
        <v>0.0</v>
      </c>
      <c r="GD604" s="174">
        <v>1.0</v>
      </c>
      <c r="GE604" s="174">
        <v>0.0</v>
      </c>
      <c r="GF604" s="174">
        <v>0.0</v>
      </c>
      <c r="GG604" s="174">
        <v>1.0</v>
      </c>
      <c r="GH604" s="174">
        <v>0.0</v>
      </c>
      <c r="GI604" s="174">
        <v>1.0</v>
      </c>
      <c r="GJ604" s="174">
        <v>0.0</v>
      </c>
      <c r="GK604" s="174"/>
      <c r="GL604" s="174">
        <v>0.0</v>
      </c>
      <c r="GM604" s="174">
        <v>0.0</v>
      </c>
      <c r="GN604" s="174">
        <v>1.0</v>
      </c>
      <c r="GO604" s="174">
        <v>0.0</v>
      </c>
      <c r="GP604" s="177">
        <v>1.0</v>
      </c>
      <c r="GQ604" s="174">
        <v>0.0</v>
      </c>
      <c r="GR604" s="175"/>
      <c r="GS604" s="174">
        <v>0.0</v>
      </c>
      <c r="GT604" s="174">
        <v>0.0</v>
      </c>
      <c r="GU604" s="174">
        <v>1.0</v>
      </c>
      <c r="GV604" s="174">
        <v>0.0</v>
      </c>
      <c r="GW604" s="174">
        <v>1.0</v>
      </c>
      <c r="GX604" s="174">
        <v>0.0</v>
      </c>
      <c r="GY604" s="174">
        <v>1.0</v>
      </c>
      <c r="GZ604" s="174">
        <v>0.0</v>
      </c>
      <c r="HA604" s="174">
        <v>0.0</v>
      </c>
      <c r="HB604" s="155">
        <v>11.0</v>
      </c>
      <c r="HC604" s="155">
        <v>0.0</v>
      </c>
      <c r="HD604" s="155">
        <v>0.0</v>
      </c>
      <c r="HE604" s="155">
        <v>0.0</v>
      </c>
      <c r="HF604" s="155">
        <v>0.0</v>
      </c>
      <c r="HG604" s="155">
        <v>0.0</v>
      </c>
      <c r="HH604" s="174">
        <v>1.0</v>
      </c>
      <c r="HI604" s="174">
        <v>0.0</v>
      </c>
      <c r="HJ604" s="175">
        <v>2.0</v>
      </c>
      <c r="HK604" s="174"/>
      <c r="HL604" s="174"/>
      <c r="HM604" s="174"/>
      <c r="HN604" s="174"/>
      <c r="HO604" s="174">
        <v>1.0</v>
      </c>
      <c r="HP604" s="174">
        <v>0.0</v>
      </c>
      <c r="HQ604" s="174">
        <v>1.0</v>
      </c>
      <c r="HR604" s="175">
        <v>1.0</v>
      </c>
      <c r="HS604" s="174"/>
      <c r="HT604" s="174">
        <v>0.0</v>
      </c>
      <c r="HU604" s="174">
        <v>0.0</v>
      </c>
      <c r="HV604" s="174">
        <v>1.0</v>
      </c>
      <c r="HW604" s="174">
        <v>0.0</v>
      </c>
      <c r="HX604" s="174">
        <v>1.0</v>
      </c>
      <c r="HY604" s="174"/>
      <c r="HZ604" s="174"/>
      <c r="IA604" s="174"/>
      <c r="IB604" s="174"/>
      <c r="IC604" s="174">
        <v>1.0</v>
      </c>
      <c r="ID604" s="174"/>
      <c r="IE604" s="174"/>
      <c r="IF604" s="174"/>
      <c r="IG604" s="174"/>
      <c r="IH604" s="174"/>
      <c r="II604" s="174"/>
      <c r="IJ604" s="174">
        <v>1.0</v>
      </c>
      <c r="IK604" s="175">
        <v>1.0</v>
      </c>
      <c r="IL604" s="159">
        <v>8.0</v>
      </c>
      <c r="IM604" s="156">
        <v>0.0</v>
      </c>
      <c r="IN604" s="156">
        <v>0.0</v>
      </c>
      <c r="IO604" s="156">
        <v>0.0</v>
      </c>
      <c r="IP604" s="156">
        <v>0.0</v>
      </c>
      <c r="IQ604" s="160">
        <v>0.0</v>
      </c>
      <c r="IR604" s="175">
        <v>1.0</v>
      </c>
      <c r="IS604" s="174">
        <v>0.0</v>
      </c>
      <c r="IT604" s="175">
        <v>1.0</v>
      </c>
      <c r="IU604" s="174">
        <v>0.0</v>
      </c>
      <c r="IV604" s="174">
        <v>0.0</v>
      </c>
      <c r="IW604" s="174">
        <v>1.0</v>
      </c>
      <c r="IX604" s="174">
        <v>0.0</v>
      </c>
      <c r="IY604" s="174">
        <v>1.0</v>
      </c>
      <c r="IZ604" s="174">
        <v>0.0</v>
      </c>
      <c r="JA604" s="174"/>
      <c r="JB604" s="175">
        <v>1.0</v>
      </c>
      <c r="JC604" s="174">
        <v>0.0</v>
      </c>
      <c r="JD604" s="174">
        <v>1.0</v>
      </c>
      <c r="JE604" s="174">
        <v>0.0</v>
      </c>
      <c r="JF604" s="174">
        <v>1.0</v>
      </c>
      <c r="JG604" s="174"/>
      <c r="JH604" s="177"/>
      <c r="JI604" s="174"/>
      <c r="JJ604" s="174"/>
      <c r="JK604" s="174"/>
      <c r="JL604" s="175">
        <v>1.0</v>
      </c>
      <c r="JM604" s="174"/>
      <c r="JN604" s="174"/>
      <c r="JO604" s="174"/>
      <c r="JP604" s="174"/>
      <c r="JQ604" s="174"/>
      <c r="JR604" s="174"/>
      <c r="JS604" s="174"/>
      <c r="JT604" s="174"/>
      <c r="JU604" s="174"/>
      <c r="JV604" s="174"/>
      <c r="JW604" s="159">
        <v>0.0</v>
      </c>
      <c r="JX604" s="156">
        <v>0.0</v>
      </c>
      <c r="JY604" s="156">
        <v>0.0</v>
      </c>
      <c r="JZ604" s="156">
        <v>0.0</v>
      </c>
      <c r="KA604" s="156">
        <v>0.0</v>
      </c>
      <c r="KB604" s="160">
        <v>0.0</v>
      </c>
      <c r="KC604" s="174"/>
      <c r="KD604" s="174"/>
      <c r="KE604" s="174"/>
      <c r="KF604" s="174"/>
      <c r="KG604" s="174"/>
      <c r="KH604" s="174"/>
      <c r="KI604" s="174"/>
      <c r="KJ604" s="174"/>
      <c r="KK604" s="174"/>
      <c r="KL604" s="174"/>
      <c r="KM604" s="174"/>
      <c r="KN604" s="174"/>
      <c r="KO604" s="174"/>
      <c r="KP604" s="174"/>
      <c r="KQ604" s="174"/>
      <c r="KR604" s="174"/>
      <c r="KS604" s="472"/>
      <c r="KT604" s="174"/>
      <c r="KU604" s="174"/>
      <c r="KV604" s="174"/>
      <c r="KW604" s="174"/>
      <c r="KX604" s="174"/>
      <c r="KY604" s="174"/>
      <c r="KZ604" s="174"/>
      <c r="LA604" s="174"/>
      <c r="LB604" s="174"/>
      <c r="LC604" s="174"/>
      <c r="LD604" s="174"/>
      <c r="LE604" s="174"/>
      <c r="LF604" s="174"/>
      <c r="LG604" s="174"/>
      <c r="LH604" s="159">
        <f t="shared" si="10"/>
        <v>3</v>
      </c>
      <c r="LI604" s="156">
        <f t="shared" si="11"/>
        <v>0</v>
      </c>
      <c r="LJ604" s="156">
        <f t="shared" si="12"/>
        <v>0</v>
      </c>
      <c r="LK604" s="156">
        <f t="shared" si="13"/>
        <v>0</v>
      </c>
      <c r="LL604" s="156">
        <f t="shared" si="14"/>
        <v>0</v>
      </c>
      <c r="LM604" s="160">
        <f t="shared" si="15"/>
        <v>0</v>
      </c>
      <c r="LN604" s="174"/>
      <c r="LO604" s="174"/>
      <c r="LP604" s="174"/>
      <c r="LQ604" s="174"/>
      <c r="LR604" s="174"/>
      <c r="LS604" s="174"/>
      <c r="LT604" s="174"/>
      <c r="LU604" s="174"/>
      <c r="LV604" s="174"/>
      <c r="LW604" s="174">
        <f t="shared" ref="LW604:MQ604" si="48">IFS(TODAY()&lt;=LW$2,0,WEEKDAY(LW$2)=2,1,WEEKDAY(LW$2)=3,0,WEEKDAY(LW$2)=4,1,WEEKDAY(LW$2)=5,0,WEEKDAY(LW$2)=6,1,WEEKDAY(LW$2)=7,0,WEEKDAY(LW$2)=1,0)</f>
        <v>0</v>
      </c>
      <c r="LX604" s="174">
        <f t="shared" si="48"/>
        <v>1</v>
      </c>
      <c r="LY604" s="174">
        <f t="shared" si="48"/>
        <v>0</v>
      </c>
      <c r="LZ604" s="174">
        <f t="shared" si="48"/>
        <v>0</v>
      </c>
      <c r="MA604" s="174">
        <f t="shared" si="48"/>
        <v>1</v>
      </c>
      <c r="MB604" s="174">
        <f t="shared" si="48"/>
        <v>0</v>
      </c>
      <c r="MC604" s="174">
        <f t="shared" si="48"/>
        <v>1</v>
      </c>
      <c r="MD604" s="174">
        <f t="shared" si="48"/>
        <v>0</v>
      </c>
      <c r="ME604" s="174">
        <f t="shared" si="48"/>
        <v>0</v>
      </c>
      <c r="MF604" s="174">
        <f t="shared" si="48"/>
        <v>0</v>
      </c>
      <c r="MG604" s="174">
        <f t="shared" si="48"/>
        <v>0</v>
      </c>
      <c r="MH604" s="174">
        <f t="shared" si="48"/>
        <v>0</v>
      </c>
      <c r="MI604" s="174">
        <f t="shared" si="48"/>
        <v>0</v>
      </c>
      <c r="MJ604" s="174">
        <f t="shared" si="48"/>
        <v>0</v>
      </c>
      <c r="MK604" s="174">
        <f t="shared" si="48"/>
        <v>0</v>
      </c>
      <c r="ML604" s="174">
        <f t="shared" si="48"/>
        <v>0</v>
      </c>
      <c r="MM604" s="174">
        <f t="shared" si="48"/>
        <v>0</v>
      </c>
      <c r="MN604" s="174">
        <f t="shared" si="48"/>
        <v>0</v>
      </c>
      <c r="MO604" s="174">
        <f t="shared" si="48"/>
        <v>0</v>
      </c>
      <c r="MP604" s="174">
        <f t="shared" si="48"/>
        <v>0</v>
      </c>
      <c r="MQ604" s="174">
        <f t="shared" si="48"/>
        <v>0</v>
      </c>
      <c r="QX604" s="560">
        <v>46140.0</v>
      </c>
    </row>
    <row r="605">
      <c r="A605" s="12"/>
      <c r="B605" s="12"/>
      <c r="C605" s="12"/>
      <c r="D605" s="12"/>
      <c r="E605" s="25"/>
      <c r="F605" s="12"/>
      <c r="G605" s="12"/>
      <c r="H605" s="12"/>
      <c r="I605" s="143">
        <f t="shared" si="22"/>
        <v>-12</v>
      </c>
      <c r="J605" s="537">
        <v>46146.0</v>
      </c>
      <c r="K605" s="164" t="s">
        <v>61</v>
      </c>
      <c r="L605" s="23">
        <v>46204.0</v>
      </c>
      <c r="M605" s="86" t="s">
        <v>3128</v>
      </c>
      <c r="N605" s="86">
        <v>25.0</v>
      </c>
      <c r="O605" s="86">
        <v>30.0</v>
      </c>
      <c r="U605" s="162" t="s">
        <v>1466</v>
      </c>
      <c r="V605" s="538" t="s">
        <v>1757</v>
      </c>
      <c r="W605" s="125" t="s">
        <v>3546</v>
      </c>
      <c r="X605" s="140"/>
      <c r="Y605" s="166">
        <f t="shared" si="23"/>
        <v>12</v>
      </c>
      <c r="Z605" s="26">
        <f t="shared" si="7"/>
        <v>0</v>
      </c>
      <c r="AA605" s="26">
        <f t="shared" si="8"/>
        <v>2</v>
      </c>
      <c r="AB605" s="26">
        <f t="shared" si="9"/>
        <v>0</v>
      </c>
      <c r="AC605" s="155">
        <v>0.0</v>
      </c>
      <c r="AD605" s="155">
        <v>0.0</v>
      </c>
      <c r="AE605" s="155">
        <v>0.0</v>
      </c>
      <c r="AF605" s="155">
        <v>0.0</v>
      </c>
      <c r="AG605" s="155">
        <v>0.0</v>
      </c>
      <c r="AH605" s="155">
        <v>0.0</v>
      </c>
      <c r="BN605" s="155">
        <v>0.0</v>
      </c>
      <c r="BO605" s="155">
        <v>0.0</v>
      </c>
      <c r="BP605" s="155">
        <v>0.0</v>
      </c>
      <c r="BQ605" s="155">
        <v>0.0</v>
      </c>
      <c r="BR605" s="155">
        <v>0.0</v>
      </c>
      <c r="BS605" s="155">
        <v>0.0</v>
      </c>
      <c r="CV605" s="156">
        <v>0.0</v>
      </c>
      <c r="CW605" s="156">
        <v>0.0</v>
      </c>
      <c r="CX605" s="156">
        <v>0.0</v>
      </c>
      <c r="CY605" s="156">
        <v>0.0</v>
      </c>
      <c r="CZ605" s="156">
        <v>0.0</v>
      </c>
      <c r="DA605" s="156">
        <v>0.0</v>
      </c>
      <c r="EG605" s="156">
        <v>0.0</v>
      </c>
      <c r="EH605" s="156">
        <v>0.0</v>
      </c>
      <c r="EI605" s="156">
        <v>0.0</v>
      </c>
      <c r="EJ605" s="156">
        <v>0.0</v>
      </c>
      <c r="EK605" s="156">
        <v>0.0</v>
      </c>
      <c r="EL605" s="156">
        <v>0.0</v>
      </c>
      <c r="FQ605" s="156">
        <v>8.0</v>
      </c>
      <c r="FR605" s="156">
        <v>0.0</v>
      </c>
      <c r="FS605" s="156">
        <v>0.0</v>
      </c>
      <c r="FT605" s="156">
        <v>0.0</v>
      </c>
      <c r="FU605" s="156">
        <v>0.0</v>
      </c>
      <c r="FV605" s="156">
        <v>0.0</v>
      </c>
      <c r="FW605" s="157"/>
      <c r="FX605" s="157"/>
      <c r="FY605" s="157"/>
      <c r="FZ605" s="174">
        <v>1.0</v>
      </c>
      <c r="GA605" s="174">
        <v>0.0</v>
      </c>
      <c r="GB605" s="174">
        <v>0.0</v>
      </c>
      <c r="GC605" s="174">
        <v>1.0</v>
      </c>
      <c r="GD605" s="174">
        <v>0.0</v>
      </c>
      <c r="GE605" s="174">
        <v>0.0</v>
      </c>
      <c r="GF605" s="174">
        <v>0.0</v>
      </c>
      <c r="GG605" s="174">
        <v>1.0</v>
      </c>
      <c r="GH605" s="174">
        <v>0.0</v>
      </c>
      <c r="GI605" s="174">
        <v>0.0</v>
      </c>
      <c r="GJ605" s="174">
        <v>1.0</v>
      </c>
      <c r="GK605" s="174">
        <v>0.0</v>
      </c>
      <c r="GL605" s="174">
        <v>0.0</v>
      </c>
      <c r="GM605" s="174">
        <v>0.0</v>
      </c>
      <c r="GN605" s="174">
        <v>1.0</v>
      </c>
      <c r="GO605" s="174">
        <v>0.0</v>
      </c>
      <c r="GP605" s="174">
        <v>0.0</v>
      </c>
      <c r="GQ605" s="174">
        <v>1.0</v>
      </c>
      <c r="GR605" s="174">
        <v>0.0</v>
      </c>
      <c r="GS605" s="174">
        <v>0.0</v>
      </c>
      <c r="GT605" s="174">
        <v>0.0</v>
      </c>
      <c r="GU605" s="174">
        <v>1.0</v>
      </c>
      <c r="GV605" s="174">
        <v>0.0</v>
      </c>
      <c r="GW605" s="174">
        <v>0.0</v>
      </c>
      <c r="GX605" s="174">
        <v>1.0</v>
      </c>
      <c r="GY605" s="174">
        <v>0.0</v>
      </c>
      <c r="GZ605" s="174">
        <v>0.0</v>
      </c>
      <c r="HA605" s="174">
        <v>0.0</v>
      </c>
      <c r="HB605" s="155">
        <v>4.0</v>
      </c>
      <c r="HC605" s="155">
        <v>0.0</v>
      </c>
      <c r="HD605" s="155">
        <v>0.0</v>
      </c>
      <c r="HE605" s="155">
        <v>2.0</v>
      </c>
      <c r="HF605" s="155">
        <v>0.0</v>
      </c>
      <c r="HG605" s="155">
        <v>0.0</v>
      </c>
      <c r="HH605" s="86">
        <v>1.0</v>
      </c>
      <c r="HK605" s="86">
        <v>1.0</v>
      </c>
      <c r="HO605" s="86" t="s">
        <v>947</v>
      </c>
      <c r="HR605" s="86" t="s">
        <v>947</v>
      </c>
      <c r="IL605" s="159">
        <v>0.0</v>
      </c>
      <c r="IM605" s="156">
        <v>0.0</v>
      </c>
      <c r="IN605" s="156">
        <v>0.0</v>
      </c>
      <c r="IO605" s="156">
        <v>0.0</v>
      </c>
      <c r="IP605" s="156">
        <v>0.0</v>
      </c>
      <c r="IQ605" s="160">
        <v>0.0</v>
      </c>
      <c r="JH605" s="25"/>
      <c r="JW605" s="159">
        <v>0.0</v>
      </c>
      <c r="JX605" s="156">
        <v>0.0</v>
      </c>
      <c r="JY605" s="156">
        <v>0.0</v>
      </c>
      <c r="JZ605" s="156">
        <v>0.0</v>
      </c>
      <c r="KA605" s="156">
        <v>0.0</v>
      </c>
      <c r="KB605" s="160">
        <v>0.0</v>
      </c>
      <c r="LH605" s="159">
        <f t="shared" si="10"/>
        <v>0</v>
      </c>
      <c r="LI605" s="156">
        <f t="shared" si="11"/>
        <v>0</v>
      </c>
      <c r="LJ605" s="156">
        <f t="shared" si="12"/>
        <v>0</v>
      </c>
      <c r="LK605" s="156">
        <f t="shared" si="13"/>
        <v>0</v>
      </c>
      <c r="LL605" s="156">
        <f t="shared" si="14"/>
        <v>0</v>
      </c>
      <c r="LM605" s="160">
        <f t="shared" si="15"/>
        <v>0</v>
      </c>
      <c r="QX605" s="560">
        <v>46140.0</v>
      </c>
    </row>
    <row r="606">
      <c r="A606" s="12"/>
      <c r="B606" s="12"/>
      <c r="C606" s="12"/>
      <c r="D606" s="12"/>
      <c r="E606" s="12"/>
      <c r="F606" s="12"/>
      <c r="G606" s="12"/>
      <c r="H606" s="12"/>
      <c r="I606" s="143">
        <f t="shared" si="22"/>
        <v>-27</v>
      </c>
      <c r="J606" s="537">
        <v>46150.0</v>
      </c>
      <c r="K606" s="567" t="s">
        <v>48</v>
      </c>
      <c r="L606" s="553"/>
      <c r="M606" s="554" t="s">
        <v>107</v>
      </c>
      <c r="N606" s="555">
        <v>246.0</v>
      </c>
      <c r="O606" s="554">
        <v>60.0</v>
      </c>
      <c r="P606" s="556"/>
      <c r="Q606" s="556"/>
      <c r="R606" s="556"/>
      <c r="S606" s="556"/>
      <c r="T606" s="556"/>
      <c r="U606" s="554" t="s">
        <v>2406</v>
      </c>
      <c r="V606" s="557" t="s">
        <v>1820</v>
      </c>
      <c r="W606" s="558" t="s">
        <v>3439</v>
      </c>
      <c r="X606" s="140"/>
      <c r="Y606" s="166">
        <f t="shared" si="23"/>
        <v>27</v>
      </c>
      <c r="Z606" s="26">
        <f t="shared" si="7"/>
        <v>0</v>
      </c>
      <c r="AA606" s="26">
        <f t="shared" si="8"/>
        <v>0</v>
      </c>
      <c r="AB606" s="26">
        <f t="shared" si="9"/>
        <v>0</v>
      </c>
      <c r="AC606" s="155">
        <v>0.0</v>
      </c>
      <c r="AD606" s="155">
        <v>0.0</v>
      </c>
      <c r="AE606" s="155">
        <v>0.0</v>
      </c>
      <c r="AF606" s="155">
        <v>0.0</v>
      </c>
      <c r="AG606" s="155">
        <v>0.0</v>
      </c>
      <c r="AH606" s="155">
        <v>0.0</v>
      </c>
      <c r="BN606" s="155">
        <v>0.0</v>
      </c>
      <c r="BO606" s="155">
        <v>0.0</v>
      </c>
      <c r="BP606" s="155">
        <v>0.0</v>
      </c>
      <c r="BQ606" s="155">
        <v>0.0</v>
      </c>
      <c r="BR606" s="155">
        <v>0.0</v>
      </c>
      <c r="BS606" s="155">
        <v>0.0</v>
      </c>
      <c r="CV606" s="156">
        <v>0.0</v>
      </c>
      <c r="CW606" s="156">
        <v>0.0</v>
      </c>
      <c r="CX606" s="156">
        <v>0.0</v>
      </c>
      <c r="CY606" s="156">
        <v>0.0</v>
      </c>
      <c r="CZ606" s="156">
        <v>0.0</v>
      </c>
      <c r="DA606" s="156">
        <v>0.0</v>
      </c>
      <c r="EG606" s="156">
        <v>0.0</v>
      </c>
      <c r="EH606" s="156">
        <v>0.0</v>
      </c>
      <c r="EI606" s="156">
        <v>0.0</v>
      </c>
      <c r="EJ606" s="156">
        <v>0.0</v>
      </c>
      <c r="EK606" s="156">
        <v>0.0</v>
      </c>
      <c r="EL606" s="156">
        <v>0.0</v>
      </c>
      <c r="FQ606" s="156">
        <v>10.0</v>
      </c>
      <c r="FR606" s="156">
        <v>0.0</v>
      </c>
      <c r="FS606" s="156">
        <v>0.0</v>
      </c>
      <c r="FT606" s="156">
        <v>0.0</v>
      </c>
      <c r="FU606" s="156">
        <v>0.0</v>
      </c>
      <c r="FV606" s="156">
        <v>0.0</v>
      </c>
      <c r="FW606" s="174"/>
      <c r="FX606" s="174"/>
      <c r="FY606" s="174"/>
      <c r="FZ606" s="174"/>
      <c r="GA606" s="174"/>
      <c r="GB606" s="174"/>
      <c r="GC606" s="174"/>
      <c r="GD606" s="174">
        <v>1.0</v>
      </c>
      <c r="GE606" s="174">
        <v>0.0</v>
      </c>
      <c r="GF606" s="174">
        <v>0.0</v>
      </c>
      <c r="GG606" s="174">
        <v>1.0</v>
      </c>
      <c r="GH606" s="174">
        <v>0.0</v>
      </c>
      <c r="GI606" s="174">
        <v>1.0</v>
      </c>
      <c r="GJ606" s="174">
        <v>0.0</v>
      </c>
      <c r="GK606" s="174">
        <v>1.0</v>
      </c>
      <c r="GL606" s="174">
        <v>0.0</v>
      </c>
      <c r="GM606" s="174">
        <v>0.0</v>
      </c>
      <c r="GN606" s="174">
        <v>1.0</v>
      </c>
      <c r="GO606" s="174">
        <v>0.0</v>
      </c>
      <c r="GP606" s="177">
        <v>1.0</v>
      </c>
      <c r="GQ606" s="174">
        <v>0.0</v>
      </c>
      <c r="GR606" s="174">
        <v>1.0</v>
      </c>
      <c r="GS606" s="174">
        <v>0.0</v>
      </c>
      <c r="GT606" s="174">
        <v>0.0</v>
      </c>
      <c r="GU606" s="174">
        <v>1.0</v>
      </c>
      <c r="GV606" s="174">
        <v>0.0</v>
      </c>
      <c r="GW606" s="174">
        <v>1.0</v>
      </c>
      <c r="GX606" s="174">
        <v>0.0</v>
      </c>
      <c r="GY606" s="174">
        <v>1.0</v>
      </c>
      <c r="GZ606" s="174">
        <v>0.0</v>
      </c>
      <c r="HA606" s="174">
        <v>0.0</v>
      </c>
      <c r="HB606" s="155">
        <v>13.0</v>
      </c>
      <c r="HC606" s="155">
        <v>0.0</v>
      </c>
      <c r="HD606" s="155">
        <v>0.0</v>
      </c>
      <c r="HE606" s="155">
        <v>0.0</v>
      </c>
      <c r="HF606" s="155">
        <v>0.0</v>
      </c>
      <c r="HG606" s="155">
        <v>0.0</v>
      </c>
      <c r="HH606" s="174">
        <v>1.0</v>
      </c>
      <c r="HI606" s="174">
        <v>0.0</v>
      </c>
      <c r="HJ606" s="174">
        <v>1.0</v>
      </c>
      <c r="HK606" s="174">
        <v>0.0</v>
      </c>
      <c r="HL606" s="174">
        <v>1.0</v>
      </c>
      <c r="HM606" s="174">
        <v>0.0</v>
      </c>
      <c r="HN606" s="174">
        <v>0.0</v>
      </c>
      <c r="HO606" s="174">
        <v>1.0</v>
      </c>
      <c r="HP606" s="174">
        <v>0.0</v>
      </c>
      <c r="HQ606" s="174">
        <v>1.0</v>
      </c>
      <c r="HR606" s="174">
        <v>0.0</v>
      </c>
      <c r="HS606" s="174">
        <v>1.0</v>
      </c>
      <c r="HT606" s="174">
        <v>0.0</v>
      </c>
      <c r="HU606" s="174">
        <v>0.0</v>
      </c>
      <c r="HV606" s="174">
        <v>1.0</v>
      </c>
      <c r="HW606" s="174">
        <v>0.0</v>
      </c>
      <c r="HX606" s="174">
        <v>1.0</v>
      </c>
      <c r="HY606" s="174">
        <v>0.0</v>
      </c>
      <c r="HZ606" s="174">
        <v>1.0</v>
      </c>
      <c r="IA606" s="174">
        <v>0.0</v>
      </c>
      <c r="IB606" s="174">
        <v>0.0</v>
      </c>
      <c r="IC606" s="174">
        <v>1.0</v>
      </c>
      <c r="ID606" s="174">
        <v>0.0</v>
      </c>
      <c r="IE606" s="174">
        <v>1.0</v>
      </c>
      <c r="IF606" s="174">
        <v>0.0</v>
      </c>
      <c r="IG606" s="174">
        <v>1.0</v>
      </c>
      <c r="IH606" s="174">
        <v>0.0</v>
      </c>
      <c r="II606" s="174">
        <v>0.0</v>
      </c>
      <c r="IJ606" s="174">
        <v>1.0</v>
      </c>
      <c r="IK606" s="174">
        <v>0.0</v>
      </c>
      <c r="IL606" s="159">
        <v>1.0</v>
      </c>
      <c r="IM606" s="156">
        <v>0.0</v>
      </c>
      <c r="IN606" s="156">
        <v>0.0</v>
      </c>
      <c r="IO606" s="156">
        <v>0.0</v>
      </c>
      <c r="IP606" s="156">
        <v>0.0</v>
      </c>
      <c r="IQ606" s="160">
        <v>0.0</v>
      </c>
      <c r="IR606" s="174"/>
      <c r="IS606" s="174">
        <v>0.0</v>
      </c>
      <c r="IT606" s="174"/>
      <c r="IU606" s="174">
        <v>0.0</v>
      </c>
      <c r="IV606" s="174">
        <v>0.0</v>
      </c>
      <c r="IW606" s="174"/>
      <c r="IX606" s="174">
        <v>0.0</v>
      </c>
      <c r="IY606" s="174"/>
      <c r="IZ606" s="174">
        <v>0.0</v>
      </c>
      <c r="JA606" s="174"/>
      <c r="JB606" s="174">
        <v>0.0</v>
      </c>
      <c r="JC606" s="174">
        <v>0.0</v>
      </c>
      <c r="JD606" s="174"/>
      <c r="JE606" s="174">
        <v>0.0</v>
      </c>
      <c r="JF606" s="174"/>
      <c r="JG606" s="174">
        <v>0.0</v>
      </c>
      <c r="JH606" s="177">
        <v>1.0</v>
      </c>
      <c r="JI606" s="174"/>
      <c r="JJ606" s="174"/>
      <c r="JK606" s="174"/>
      <c r="JL606" s="174"/>
      <c r="JM606" s="174"/>
      <c r="JN606" s="174"/>
      <c r="JO606" s="174"/>
      <c r="JP606" s="174"/>
      <c r="JQ606" s="174"/>
      <c r="JR606" s="174"/>
      <c r="JS606" s="174"/>
      <c r="JT606" s="174"/>
      <c r="JU606" s="174"/>
      <c r="JV606" s="174"/>
      <c r="JW606" s="159">
        <v>0.0</v>
      </c>
      <c r="JX606" s="156">
        <v>0.0</v>
      </c>
      <c r="JY606" s="156">
        <v>0.0</v>
      </c>
      <c r="JZ606" s="156">
        <v>0.0</v>
      </c>
      <c r="KA606" s="156">
        <v>0.0</v>
      </c>
      <c r="KB606" s="160">
        <v>0.0</v>
      </c>
      <c r="KC606" s="174"/>
      <c r="KD606" s="174"/>
      <c r="KE606" s="174"/>
      <c r="KF606" s="174"/>
      <c r="KG606" s="174"/>
      <c r="KH606" s="174"/>
      <c r="KI606" s="174"/>
      <c r="KJ606" s="174"/>
      <c r="KK606" s="174"/>
      <c r="KL606" s="174"/>
      <c r="KM606" s="174"/>
      <c r="KN606" s="174"/>
      <c r="KO606" s="174"/>
      <c r="KP606" s="174"/>
      <c r="KQ606" s="174"/>
      <c r="KR606" s="174"/>
      <c r="KS606" s="472"/>
      <c r="KT606" s="174"/>
      <c r="KU606" s="174"/>
      <c r="KV606" s="174"/>
      <c r="KW606" s="174"/>
      <c r="KX606" s="174"/>
      <c r="KY606" s="174"/>
      <c r="KZ606" s="174"/>
      <c r="LA606" s="174"/>
      <c r="LB606" s="174"/>
      <c r="LC606" s="174"/>
      <c r="LD606" s="174"/>
      <c r="LE606" s="174"/>
      <c r="LF606" s="174"/>
      <c r="LG606" s="174"/>
      <c r="LH606" s="159">
        <f t="shared" si="10"/>
        <v>3</v>
      </c>
      <c r="LI606" s="156">
        <f t="shared" si="11"/>
        <v>0</v>
      </c>
      <c r="LJ606" s="156">
        <f t="shared" si="12"/>
        <v>0</v>
      </c>
      <c r="LK606" s="156">
        <f t="shared" si="13"/>
        <v>0</v>
      </c>
      <c r="LL606" s="156">
        <f t="shared" si="14"/>
        <v>0</v>
      </c>
      <c r="LM606" s="160">
        <f t="shared" si="15"/>
        <v>0</v>
      </c>
      <c r="LN606" s="174"/>
      <c r="LO606" s="174"/>
      <c r="LP606" s="174"/>
      <c r="LQ606" s="174"/>
      <c r="LR606" s="174"/>
      <c r="LS606" s="174"/>
      <c r="LT606" s="174"/>
      <c r="LU606" s="174"/>
      <c r="LV606" s="174"/>
      <c r="LW606" s="174">
        <f t="shared" ref="LW606:MQ606" si="49">IFS(TODAY()&lt;=LW$2,0,WEEKDAY(LW$2)=2,1,WEEKDAY(LW$2)=3,0,WEEKDAY(LW$2)=4,1,WEEKDAY(LW$2)=5,0,WEEKDAY(LW$2)=6,1,WEEKDAY(LW$2)=7,0,WEEKDAY(LW$2)=1,0)</f>
        <v>0</v>
      </c>
      <c r="LX606" s="174">
        <f t="shared" si="49"/>
        <v>1</v>
      </c>
      <c r="LY606" s="174">
        <f t="shared" si="49"/>
        <v>0</v>
      </c>
      <c r="LZ606" s="174">
        <f t="shared" si="49"/>
        <v>0</v>
      </c>
      <c r="MA606" s="174">
        <f t="shared" si="49"/>
        <v>1</v>
      </c>
      <c r="MB606" s="174">
        <f t="shared" si="49"/>
        <v>0</v>
      </c>
      <c r="MC606" s="174">
        <f t="shared" si="49"/>
        <v>1</v>
      </c>
      <c r="MD606" s="174">
        <f t="shared" si="49"/>
        <v>0</v>
      </c>
      <c r="ME606" s="174">
        <f t="shared" si="49"/>
        <v>0</v>
      </c>
      <c r="MF606" s="174">
        <f t="shared" si="49"/>
        <v>0</v>
      </c>
      <c r="MG606" s="174">
        <f t="shared" si="49"/>
        <v>0</v>
      </c>
      <c r="MH606" s="174">
        <f t="shared" si="49"/>
        <v>0</v>
      </c>
      <c r="MI606" s="174">
        <f t="shared" si="49"/>
        <v>0</v>
      </c>
      <c r="MJ606" s="174">
        <f t="shared" si="49"/>
        <v>0</v>
      </c>
      <c r="MK606" s="174">
        <f t="shared" si="49"/>
        <v>0</v>
      </c>
      <c r="ML606" s="174">
        <f t="shared" si="49"/>
        <v>0</v>
      </c>
      <c r="MM606" s="174">
        <f t="shared" si="49"/>
        <v>0</v>
      </c>
      <c r="MN606" s="174">
        <f t="shared" si="49"/>
        <v>0</v>
      </c>
      <c r="MO606" s="174">
        <f t="shared" si="49"/>
        <v>0</v>
      </c>
      <c r="MP606" s="174">
        <f t="shared" si="49"/>
        <v>0</v>
      </c>
      <c r="MQ606" s="174">
        <f t="shared" si="49"/>
        <v>0</v>
      </c>
      <c r="QX606" s="560">
        <v>46140.0</v>
      </c>
    </row>
    <row r="607">
      <c r="A607" s="12"/>
      <c r="B607" s="12"/>
      <c r="C607" s="12"/>
      <c r="D607" s="12"/>
      <c r="E607" s="12"/>
      <c r="F607" s="12"/>
      <c r="G607" s="12"/>
      <c r="H607" s="12"/>
      <c r="I607" s="143">
        <f t="shared" si="22"/>
        <v>-4</v>
      </c>
      <c r="J607" s="537">
        <v>46160.0</v>
      </c>
      <c r="K607" s="164" t="s">
        <v>48</v>
      </c>
      <c r="L607" s="590"/>
      <c r="M607" s="162" t="s">
        <v>2765</v>
      </c>
      <c r="N607" s="162" t="s">
        <v>424</v>
      </c>
      <c r="O607" s="162">
        <v>30.0</v>
      </c>
      <c r="P607" s="25"/>
      <c r="Q607" s="25"/>
      <c r="R607" s="25"/>
      <c r="S607" s="25"/>
      <c r="T607" s="25"/>
      <c r="U607" s="162" t="s">
        <v>3149</v>
      </c>
      <c r="V607" s="538" t="s">
        <v>1553</v>
      </c>
      <c r="W607" s="185" t="s">
        <v>3547</v>
      </c>
      <c r="X607" s="140"/>
      <c r="Y607" s="166">
        <f t="shared" si="23"/>
        <v>4</v>
      </c>
      <c r="Z607" s="26">
        <f t="shared" si="7"/>
        <v>0</v>
      </c>
      <c r="AA607" s="26">
        <f t="shared" si="8"/>
        <v>1</v>
      </c>
      <c r="AB607" s="26">
        <f t="shared" si="9"/>
        <v>0</v>
      </c>
      <c r="AC607" s="155">
        <v>0.0</v>
      </c>
      <c r="AD607" s="155">
        <v>0.0</v>
      </c>
      <c r="AE607" s="155">
        <v>0.0</v>
      </c>
      <c r="AF607" s="155">
        <v>0.0</v>
      </c>
      <c r="AG607" s="155">
        <v>0.0</v>
      </c>
      <c r="AH607" s="155">
        <v>0.0</v>
      </c>
      <c r="BN607" s="155">
        <v>0.0</v>
      </c>
      <c r="BO607" s="155">
        <v>0.0</v>
      </c>
      <c r="BP607" s="155">
        <v>0.0</v>
      </c>
      <c r="BQ607" s="155">
        <v>0.0</v>
      </c>
      <c r="BR607" s="155">
        <v>0.0</v>
      </c>
      <c r="BS607" s="155">
        <v>0.0</v>
      </c>
      <c r="CV607" s="156">
        <v>0.0</v>
      </c>
      <c r="CW607" s="156">
        <v>0.0</v>
      </c>
      <c r="CX607" s="156">
        <v>0.0</v>
      </c>
      <c r="CY607" s="156">
        <v>0.0</v>
      </c>
      <c r="CZ607" s="156">
        <v>0.0</v>
      </c>
      <c r="DA607" s="156">
        <v>0.0</v>
      </c>
      <c r="EG607" s="156">
        <v>0.0</v>
      </c>
      <c r="EH607" s="156">
        <v>0.0</v>
      </c>
      <c r="EI607" s="156">
        <v>0.0</v>
      </c>
      <c r="EJ607" s="156">
        <v>0.0</v>
      </c>
      <c r="EK607" s="156">
        <v>0.0</v>
      </c>
      <c r="EL607" s="156">
        <v>0.0</v>
      </c>
      <c r="FQ607" s="156">
        <v>2.0</v>
      </c>
      <c r="FR607" s="156">
        <v>0.0</v>
      </c>
      <c r="FS607" s="156">
        <v>0.0</v>
      </c>
      <c r="FT607" s="156">
        <v>1.0</v>
      </c>
      <c r="FU607" s="156">
        <v>0.0</v>
      </c>
      <c r="FV607" s="156">
        <v>0.0</v>
      </c>
      <c r="FW607" s="157"/>
      <c r="FX607" s="157"/>
      <c r="FY607" s="157"/>
      <c r="FZ607" s="157"/>
      <c r="GA607" s="157"/>
      <c r="GB607" s="157"/>
      <c r="GC607" s="157"/>
      <c r="GD607" s="157"/>
      <c r="GE607" s="157"/>
      <c r="GF607" s="157"/>
      <c r="GG607" s="157"/>
      <c r="GH607" s="157"/>
      <c r="GI607" s="157"/>
      <c r="GJ607" s="157"/>
      <c r="GK607" s="157"/>
      <c r="GL607" s="157"/>
      <c r="GM607" s="157"/>
      <c r="GN607" s="188">
        <v>1.0</v>
      </c>
      <c r="GO607" s="157"/>
      <c r="GP607" s="381"/>
      <c r="GQ607" s="188"/>
      <c r="GR607" s="188"/>
      <c r="GS607" s="157"/>
      <c r="GT607" s="157"/>
      <c r="GU607" s="157"/>
      <c r="GV607" s="157"/>
      <c r="GW607" s="188" t="s">
        <v>947</v>
      </c>
      <c r="GX607" s="157"/>
      <c r="GY607" s="157"/>
      <c r="GZ607" s="157"/>
      <c r="HA607" s="157"/>
      <c r="HB607" s="155">
        <v>2.0</v>
      </c>
      <c r="HC607" s="155">
        <v>0.0</v>
      </c>
      <c r="HD607" s="155">
        <v>0.0</v>
      </c>
      <c r="HE607" s="155">
        <v>0.0</v>
      </c>
      <c r="HF607" s="155">
        <v>0.0</v>
      </c>
      <c r="HG607" s="155">
        <v>0.0</v>
      </c>
      <c r="HS607" s="86">
        <v>1.0</v>
      </c>
      <c r="HY607" s="86">
        <v>1.0</v>
      </c>
      <c r="IL607" s="159">
        <v>0.0</v>
      </c>
      <c r="IM607" s="156">
        <v>0.0</v>
      </c>
      <c r="IN607" s="156">
        <v>0.0</v>
      </c>
      <c r="IO607" s="156">
        <v>0.0</v>
      </c>
      <c r="IP607" s="156">
        <v>0.0</v>
      </c>
      <c r="IQ607" s="160">
        <v>0.0</v>
      </c>
      <c r="JH607" s="25"/>
      <c r="JW607" s="159">
        <v>0.0</v>
      </c>
      <c r="JX607" s="156">
        <v>0.0</v>
      </c>
      <c r="JY607" s="156">
        <v>0.0</v>
      </c>
      <c r="JZ607" s="156">
        <v>0.0</v>
      </c>
      <c r="KA607" s="156">
        <v>0.0</v>
      </c>
      <c r="KB607" s="160">
        <v>0.0</v>
      </c>
      <c r="KS607" s="178"/>
      <c r="LH607" s="159">
        <f t="shared" si="10"/>
        <v>0</v>
      </c>
      <c r="LI607" s="156">
        <f t="shared" si="11"/>
        <v>0</v>
      </c>
      <c r="LJ607" s="156">
        <f t="shared" si="12"/>
        <v>0</v>
      </c>
      <c r="LK607" s="156">
        <f t="shared" si="13"/>
        <v>0</v>
      </c>
      <c r="LL607" s="156">
        <f t="shared" si="14"/>
        <v>0</v>
      </c>
      <c r="LM607" s="160">
        <f t="shared" si="15"/>
        <v>0</v>
      </c>
      <c r="QX607" s="560">
        <v>46140.0</v>
      </c>
    </row>
    <row r="608">
      <c r="A608" s="12"/>
      <c r="B608" s="12"/>
      <c r="C608" s="12"/>
      <c r="D608" s="12"/>
      <c r="E608" s="58"/>
      <c r="F608" s="12"/>
      <c r="G608" s="12"/>
      <c r="H608" s="12"/>
      <c r="I608" s="143">
        <f t="shared" si="22"/>
        <v>-30</v>
      </c>
      <c r="J608" s="537">
        <v>46147.0</v>
      </c>
      <c r="K608" s="164" t="s">
        <v>61</v>
      </c>
      <c r="L608" s="23">
        <v>46245.0</v>
      </c>
      <c r="M608" s="86" t="s">
        <v>400</v>
      </c>
      <c r="N608" s="86">
        <v>357.0</v>
      </c>
      <c r="O608" s="86">
        <v>30.0</v>
      </c>
      <c r="U608" s="162" t="s">
        <v>3097</v>
      </c>
      <c r="V608" s="538" t="s">
        <v>3098</v>
      </c>
      <c r="W608" s="125" t="s">
        <v>3548</v>
      </c>
      <c r="X608" s="140"/>
      <c r="Y608" s="166">
        <f t="shared" si="23"/>
        <v>30</v>
      </c>
      <c r="Z608" s="26">
        <f t="shared" si="7"/>
        <v>0</v>
      </c>
      <c r="AA608" s="26">
        <f t="shared" si="8"/>
        <v>0</v>
      </c>
      <c r="AB608" s="26">
        <f t="shared" si="9"/>
        <v>0</v>
      </c>
      <c r="AC608" s="155">
        <v>0.0</v>
      </c>
      <c r="AD608" s="155">
        <v>0.0</v>
      </c>
      <c r="AE608" s="155">
        <v>0.0</v>
      </c>
      <c r="AF608" s="155">
        <v>0.0</v>
      </c>
      <c r="AG608" s="155">
        <v>0.0</v>
      </c>
      <c r="AH608" s="155">
        <v>0.0</v>
      </c>
      <c r="BN608" s="155">
        <v>0.0</v>
      </c>
      <c r="BO608" s="155">
        <v>0.0</v>
      </c>
      <c r="BP608" s="155">
        <v>0.0</v>
      </c>
      <c r="BQ608" s="155">
        <v>0.0</v>
      </c>
      <c r="BR608" s="155">
        <v>0.0</v>
      </c>
      <c r="BS608" s="155">
        <v>0.0</v>
      </c>
      <c r="CV608" s="156">
        <v>0.0</v>
      </c>
      <c r="CW608" s="156">
        <v>0.0</v>
      </c>
      <c r="CX608" s="156">
        <v>0.0</v>
      </c>
      <c r="CY608" s="156">
        <v>0.0</v>
      </c>
      <c r="CZ608" s="156">
        <v>0.0</v>
      </c>
      <c r="DA608" s="156">
        <v>0.0</v>
      </c>
      <c r="EG608" s="156">
        <v>0.0</v>
      </c>
      <c r="EH608" s="156">
        <v>0.0</v>
      </c>
      <c r="EI608" s="156">
        <v>0.0</v>
      </c>
      <c r="EJ608" s="156">
        <v>0.0</v>
      </c>
      <c r="EK608" s="156">
        <v>0.0</v>
      </c>
      <c r="EL608" s="156">
        <v>0.0</v>
      </c>
      <c r="FQ608" s="156">
        <v>10.0</v>
      </c>
      <c r="FR608" s="156">
        <v>0.0</v>
      </c>
      <c r="FS608" s="156">
        <v>0.0</v>
      </c>
      <c r="FT608" s="156">
        <v>0.0</v>
      </c>
      <c r="FU608" s="156">
        <v>0.0</v>
      </c>
      <c r="FV608" s="156">
        <v>0.0</v>
      </c>
      <c r="FW608" s="172"/>
      <c r="FX608" s="172"/>
      <c r="FY608" s="172"/>
      <c r="FZ608" s="172"/>
      <c r="GA608" s="172">
        <v>1.0</v>
      </c>
      <c r="GB608" s="172"/>
      <c r="GC608" s="172"/>
      <c r="GD608" s="172"/>
      <c r="GE608" s="172">
        <v>1.0</v>
      </c>
      <c r="GF608" s="172">
        <v>0.0</v>
      </c>
      <c r="GG608" s="172">
        <v>0.0</v>
      </c>
      <c r="GH608" s="172">
        <v>1.0</v>
      </c>
      <c r="GI608" s="172">
        <v>0.0</v>
      </c>
      <c r="GJ608" s="172">
        <v>1.0</v>
      </c>
      <c r="GK608" s="172">
        <v>0.0</v>
      </c>
      <c r="GL608" s="172">
        <v>1.0</v>
      </c>
      <c r="GM608" s="172">
        <v>0.0</v>
      </c>
      <c r="GN608" s="172">
        <v>0.0</v>
      </c>
      <c r="GO608" s="172">
        <v>1.0</v>
      </c>
      <c r="GP608" s="170">
        <v>0.0</v>
      </c>
      <c r="GQ608" s="172">
        <v>1.0</v>
      </c>
      <c r="GR608" s="172">
        <v>0.0</v>
      </c>
      <c r="GS608" s="172">
        <v>1.0</v>
      </c>
      <c r="GT608" s="172">
        <v>0.0</v>
      </c>
      <c r="GU608" s="172">
        <v>0.0</v>
      </c>
      <c r="GV608" s="172">
        <v>1.0</v>
      </c>
      <c r="GW608" s="172">
        <v>0.0</v>
      </c>
      <c r="GX608" s="172">
        <v>1.0</v>
      </c>
      <c r="GY608" s="172"/>
      <c r="GZ608" s="172"/>
      <c r="HA608" s="172"/>
      <c r="HB608" s="155">
        <v>10.0</v>
      </c>
      <c r="HC608" s="155">
        <v>0.0</v>
      </c>
      <c r="HD608" s="155">
        <v>0.0</v>
      </c>
      <c r="HE608" s="155">
        <v>0.0</v>
      </c>
      <c r="HF608" s="155">
        <v>0.0</v>
      </c>
      <c r="HG608" s="155">
        <v>0.0</v>
      </c>
      <c r="HH608" s="172">
        <v>0.0</v>
      </c>
      <c r="HI608" s="172">
        <v>1.0</v>
      </c>
      <c r="HJ608" s="172">
        <v>0.0</v>
      </c>
      <c r="HK608" s="172">
        <v>1.0</v>
      </c>
      <c r="HL608" s="172">
        <v>0.0</v>
      </c>
      <c r="HM608" s="172">
        <v>1.0</v>
      </c>
      <c r="HN608" s="172">
        <v>0.0</v>
      </c>
      <c r="HO608" s="172">
        <v>0.0</v>
      </c>
      <c r="HP608" s="172">
        <v>1.0</v>
      </c>
      <c r="HQ608" s="172">
        <v>0.0</v>
      </c>
      <c r="HR608" s="172">
        <v>1.0</v>
      </c>
      <c r="HS608" s="172"/>
      <c r="HT608" s="172"/>
      <c r="HU608" s="172"/>
      <c r="HV608" s="172"/>
      <c r="HW608" s="172">
        <v>1.0</v>
      </c>
      <c r="HX608" s="172"/>
      <c r="HY608" s="172"/>
      <c r="HZ608" s="172"/>
      <c r="IA608" s="172">
        <v>1.0</v>
      </c>
      <c r="IB608" s="172">
        <v>0.0</v>
      </c>
      <c r="IC608" s="172">
        <v>0.0</v>
      </c>
      <c r="ID608" s="172">
        <v>1.0</v>
      </c>
      <c r="IE608" s="172">
        <v>0.0</v>
      </c>
      <c r="IF608" s="172">
        <v>1.0</v>
      </c>
      <c r="IG608" s="172">
        <v>0.0</v>
      </c>
      <c r="IH608" s="172">
        <v>1.0</v>
      </c>
      <c r="II608" s="172"/>
      <c r="IJ608" s="172"/>
      <c r="IK608" s="172"/>
      <c r="IL608" s="159">
        <v>10.0</v>
      </c>
      <c r="IM608" s="156">
        <v>0.0</v>
      </c>
      <c r="IN608" s="156">
        <v>0.0</v>
      </c>
      <c r="IO608" s="156">
        <v>0.0</v>
      </c>
      <c r="IP608" s="156">
        <v>0.0</v>
      </c>
      <c r="IQ608" s="160">
        <v>0.0</v>
      </c>
      <c r="IR608" s="172">
        <v>0.0</v>
      </c>
      <c r="IS608" s="172">
        <v>1.0</v>
      </c>
      <c r="IT608" s="172">
        <v>0.0</v>
      </c>
      <c r="IU608" s="172"/>
      <c r="IV608" s="172">
        <v>0.0</v>
      </c>
      <c r="IW608" s="172">
        <v>0.0</v>
      </c>
      <c r="IX608" s="172">
        <v>1.0</v>
      </c>
      <c r="IY608" s="172">
        <v>0.0</v>
      </c>
      <c r="IZ608" s="172">
        <v>1.0</v>
      </c>
      <c r="JA608" s="172">
        <v>0.0</v>
      </c>
      <c r="JB608" s="172"/>
      <c r="JC608" s="172">
        <v>0.0</v>
      </c>
      <c r="JD608" s="172">
        <v>0.0</v>
      </c>
      <c r="JE608" s="172">
        <v>1.0</v>
      </c>
      <c r="JF608" s="172">
        <v>0.0</v>
      </c>
      <c r="JG608" s="172">
        <v>1.0</v>
      </c>
      <c r="JH608" s="170">
        <v>0.0</v>
      </c>
      <c r="JI608" s="172">
        <v>1.0</v>
      </c>
      <c r="JJ608" s="172"/>
      <c r="JK608" s="172"/>
      <c r="JL608" s="172"/>
      <c r="JM608" s="172"/>
      <c r="JN608" s="172">
        <v>1.0</v>
      </c>
      <c r="JO608" s="172"/>
      <c r="JP608" s="172">
        <v>1.0</v>
      </c>
      <c r="JQ608" s="172"/>
      <c r="JR608" s="172"/>
      <c r="JS608" s="172">
        <v>1.0</v>
      </c>
      <c r="JT608" s="172"/>
      <c r="JU608" s="172">
        <v>1.0</v>
      </c>
      <c r="JV608" s="172"/>
      <c r="JW608" s="159">
        <v>0.0</v>
      </c>
      <c r="JX608" s="156">
        <v>0.0</v>
      </c>
      <c r="JY608" s="156">
        <v>0.0</v>
      </c>
      <c r="JZ608" s="156">
        <v>0.0</v>
      </c>
      <c r="KA608" s="156">
        <v>0.0</v>
      </c>
      <c r="KB608" s="160">
        <v>0.0</v>
      </c>
      <c r="KC608" s="172"/>
      <c r="KD608" s="172"/>
      <c r="KE608" s="172"/>
      <c r="KF608" s="172"/>
      <c r="KG608" s="172"/>
      <c r="KH608" s="172"/>
      <c r="KI608" s="172"/>
      <c r="KJ608" s="172"/>
      <c r="KK608" s="172"/>
      <c r="KL608" s="172"/>
      <c r="KM608" s="172"/>
      <c r="KN608" s="172"/>
      <c r="KO608" s="172"/>
      <c r="KP608" s="172"/>
      <c r="KQ608" s="172"/>
      <c r="KR608" s="172"/>
      <c r="KS608" s="432"/>
      <c r="KT608" s="172"/>
      <c r="KU608" s="172"/>
      <c r="KV608" s="172"/>
      <c r="KW608" s="172"/>
      <c r="KX608" s="172"/>
      <c r="KY608" s="172"/>
      <c r="KZ608" s="172"/>
      <c r="LA608" s="172"/>
      <c r="LB608" s="172"/>
      <c r="LC608" s="172"/>
      <c r="LD608" s="172"/>
      <c r="LE608" s="172"/>
      <c r="LF608" s="172"/>
      <c r="LG608" s="172"/>
      <c r="LH608" s="159">
        <f t="shared" si="10"/>
        <v>0</v>
      </c>
      <c r="LI608" s="156">
        <f t="shared" si="11"/>
        <v>0</v>
      </c>
      <c r="LJ608" s="156">
        <f t="shared" si="12"/>
        <v>0</v>
      </c>
      <c r="LK608" s="156">
        <f t="shared" si="13"/>
        <v>0</v>
      </c>
      <c r="LL608" s="156">
        <f t="shared" si="14"/>
        <v>0</v>
      </c>
      <c r="LM608" s="160">
        <f t="shared" si="15"/>
        <v>0</v>
      </c>
      <c r="QX608" s="560">
        <v>46140.0</v>
      </c>
    </row>
    <row r="609">
      <c r="A609" s="12"/>
      <c r="B609" s="12"/>
      <c r="C609" s="12"/>
      <c r="D609" s="12"/>
      <c r="E609" s="12"/>
      <c r="F609" s="12"/>
      <c r="G609" s="12"/>
      <c r="H609" s="12"/>
      <c r="I609" s="143">
        <f t="shared" si="22"/>
        <v>-12</v>
      </c>
      <c r="J609" s="537">
        <v>46148.0</v>
      </c>
      <c r="K609" s="164" t="s">
        <v>48</v>
      </c>
      <c r="L609" s="108"/>
      <c r="M609" s="162" t="s">
        <v>348</v>
      </c>
      <c r="N609" s="188">
        <v>246.0</v>
      </c>
      <c r="O609" s="86">
        <v>30.0</v>
      </c>
      <c r="U609" s="162" t="s">
        <v>3549</v>
      </c>
      <c r="V609" s="538" t="s">
        <v>3550</v>
      </c>
      <c r="W609" s="185" t="s">
        <v>3551</v>
      </c>
      <c r="X609" s="140"/>
      <c r="Y609" s="166">
        <f t="shared" si="23"/>
        <v>12</v>
      </c>
      <c r="Z609" s="26">
        <f t="shared" si="7"/>
        <v>0</v>
      </c>
      <c r="AA609" s="26">
        <f t="shared" si="8"/>
        <v>0</v>
      </c>
      <c r="AB609" s="26">
        <f t="shared" si="9"/>
        <v>0</v>
      </c>
      <c r="AC609" s="155">
        <v>0.0</v>
      </c>
      <c r="AD609" s="155">
        <v>0.0</v>
      </c>
      <c r="AE609" s="155">
        <v>0.0</v>
      </c>
      <c r="AF609" s="155">
        <v>0.0</v>
      </c>
      <c r="AG609" s="155">
        <v>0.0</v>
      </c>
      <c r="AH609" s="155">
        <v>0.0</v>
      </c>
      <c r="BN609" s="155">
        <v>0.0</v>
      </c>
      <c r="BO609" s="155">
        <v>0.0</v>
      </c>
      <c r="BP609" s="155">
        <v>0.0</v>
      </c>
      <c r="BQ609" s="155">
        <v>0.0</v>
      </c>
      <c r="BR609" s="155">
        <v>0.0</v>
      </c>
      <c r="BS609" s="155">
        <v>0.0</v>
      </c>
      <c r="CV609" s="156">
        <v>0.0</v>
      </c>
      <c r="CW609" s="156">
        <v>0.0</v>
      </c>
      <c r="CX609" s="156">
        <v>0.0</v>
      </c>
      <c r="CY609" s="156">
        <v>0.0</v>
      </c>
      <c r="CZ609" s="156">
        <v>0.0</v>
      </c>
      <c r="DA609" s="156">
        <v>0.0</v>
      </c>
      <c r="EG609" s="156">
        <v>0.0</v>
      </c>
      <c r="EH609" s="156">
        <v>0.0</v>
      </c>
      <c r="EI609" s="156">
        <v>0.0</v>
      </c>
      <c r="EJ609" s="156">
        <v>0.0</v>
      </c>
      <c r="EK609" s="156">
        <v>0.0</v>
      </c>
      <c r="EL609" s="156">
        <v>0.0</v>
      </c>
      <c r="FQ609" s="156">
        <v>9.0</v>
      </c>
      <c r="FR609" s="156">
        <v>0.0</v>
      </c>
      <c r="FS609" s="156">
        <v>0.0</v>
      </c>
      <c r="FT609" s="156">
        <v>0.0</v>
      </c>
      <c r="FU609" s="156">
        <v>0.0</v>
      </c>
      <c r="FV609" s="156">
        <v>0.0</v>
      </c>
      <c r="FW609" s="174"/>
      <c r="FX609" s="174"/>
      <c r="FY609" s="174"/>
      <c r="FZ609" s="174"/>
      <c r="GA609" s="174"/>
      <c r="GB609" s="174">
        <v>1.0</v>
      </c>
      <c r="GC609" s="174">
        <v>0.0</v>
      </c>
      <c r="GD609" s="174"/>
      <c r="GE609" s="174">
        <v>0.0</v>
      </c>
      <c r="GF609" s="174">
        <v>0.0</v>
      </c>
      <c r="GG609" s="174">
        <v>1.0</v>
      </c>
      <c r="GH609" s="174">
        <v>0.0</v>
      </c>
      <c r="GI609" s="174"/>
      <c r="GJ609" s="174">
        <v>0.0</v>
      </c>
      <c r="GK609" s="174">
        <v>1.0</v>
      </c>
      <c r="GL609" s="174">
        <v>0.0</v>
      </c>
      <c r="GM609" s="174">
        <v>0.0</v>
      </c>
      <c r="GN609" s="174">
        <v>1.0</v>
      </c>
      <c r="GO609" s="174">
        <v>0.0</v>
      </c>
      <c r="GP609" s="177">
        <v>1.0</v>
      </c>
      <c r="GQ609" s="174">
        <v>0.0</v>
      </c>
      <c r="GR609" s="175">
        <v>1.0</v>
      </c>
      <c r="GS609" s="174">
        <v>0.0</v>
      </c>
      <c r="GT609" s="174">
        <v>0.0</v>
      </c>
      <c r="GU609" s="174">
        <v>1.0</v>
      </c>
      <c r="GV609" s="174">
        <v>0.0</v>
      </c>
      <c r="GW609" s="174">
        <v>1.0</v>
      </c>
      <c r="GX609" s="175">
        <v>1.0</v>
      </c>
      <c r="GY609" s="174"/>
      <c r="GZ609" s="174"/>
      <c r="HA609" s="174"/>
      <c r="HB609" s="155">
        <v>0.0</v>
      </c>
      <c r="HC609" s="155">
        <v>0.0</v>
      </c>
      <c r="HD609" s="155">
        <v>0.0</v>
      </c>
      <c r="HE609" s="155">
        <v>0.0</v>
      </c>
      <c r="HF609" s="155">
        <v>0.0</v>
      </c>
      <c r="HG609" s="155">
        <v>0.0</v>
      </c>
      <c r="HH609" s="174"/>
      <c r="HI609" s="174"/>
      <c r="HJ609" s="174"/>
      <c r="HK609" s="174"/>
      <c r="HL609" s="174"/>
      <c r="HM609" s="174"/>
      <c r="HN609" s="174"/>
      <c r="HO609" s="174"/>
      <c r="HP609" s="174"/>
      <c r="HQ609" s="174"/>
      <c r="HR609" s="174"/>
      <c r="HS609" s="174"/>
      <c r="HT609" s="174"/>
      <c r="HU609" s="174"/>
      <c r="HV609" s="174"/>
      <c r="HW609" s="174"/>
      <c r="HX609" s="174"/>
      <c r="HY609" s="174"/>
      <c r="HZ609" s="174"/>
      <c r="IA609" s="174"/>
      <c r="IB609" s="174"/>
      <c r="IC609" s="174"/>
      <c r="ID609" s="174"/>
      <c r="IE609" s="174"/>
      <c r="IF609" s="174"/>
      <c r="IG609" s="174"/>
      <c r="IH609" s="174"/>
      <c r="II609" s="174"/>
      <c r="IJ609" s="174"/>
      <c r="IK609" s="174"/>
      <c r="IL609" s="159">
        <v>0.0</v>
      </c>
      <c r="IM609" s="156">
        <v>0.0</v>
      </c>
      <c r="IN609" s="156">
        <v>0.0</v>
      </c>
      <c r="IO609" s="156">
        <v>0.0</v>
      </c>
      <c r="IP609" s="156">
        <v>0.0</v>
      </c>
      <c r="IQ609" s="160">
        <v>0.0</v>
      </c>
      <c r="IR609" s="174"/>
      <c r="IS609" s="174">
        <v>0.0</v>
      </c>
      <c r="IT609" s="174"/>
      <c r="IU609" s="174">
        <v>0.0</v>
      </c>
      <c r="IV609" s="174">
        <v>0.0</v>
      </c>
      <c r="IW609" s="174"/>
      <c r="IX609" s="174">
        <v>0.0</v>
      </c>
      <c r="IY609" s="174"/>
      <c r="IZ609" s="174">
        <v>0.0</v>
      </c>
      <c r="JA609" s="174"/>
      <c r="JB609" s="174">
        <v>0.0</v>
      </c>
      <c r="JC609" s="174">
        <v>0.0</v>
      </c>
      <c r="JD609" s="174"/>
      <c r="JE609" s="174">
        <v>0.0</v>
      </c>
      <c r="JF609" s="174"/>
      <c r="JG609" s="174">
        <v>0.0</v>
      </c>
      <c r="JH609" s="177"/>
      <c r="JI609" s="174"/>
      <c r="JJ609" s="174"/>
      <c r="JK609" s="174"/>
      <c r="JL609" s="174"/>
      <c r="JM609" s="174"/>
      <c r="JN609" s="174"/>
      <c r="JO609" s="174"/>
      <c r="JP609" s="174"/>
      <c r="JQ609" s="174"/>
      <c r="JR609" s="174"/>
      <c r="JS609" s="174"/>
      <c r="JT609" s="174"/>
      <c r="JU609" s="174"/>
      <c r="JV609" s="174"/>
      <c r="JW609" s="159">
        <v>0.0</v>
      </c>
      <c r="JX609" s="156">
        <v>0.0</v>
      </c>
      <c r="JY609" s="156">
        <v>0.0</v>
      </c>
      <c r="JZ609" s="156">
        <v>0.0</v>
      </c>
      <c r="KA609" s="156">
        <v>0.0</v>
      </c>
      <c r="KB609" s="160">
        <v>0.0</v>
      </c>
      <c r="KC609" s="174"/>
      <c r="KD609" s="174"/>
      <c r="KE609" s="174"/>
      <c r="KF609" s="174"/>
      <c r="KG609" s="174"/>
      <c r="KH609" s="174"/>
      <c r="KI609" s="174"/>
      <c r="KJ609" s="174"/>
      <c r="KK609" s="174"/>
      <c r="KL609" s="174"/>
      <c r="KM609" s="174"/>
      <c r="KN609" s="174"/>
      <c r="KO609" s="174"/>
      <c r="KP609" s="174"/>
      <c r="KQ609" s="174"/>
      <c r="KR609" s="174"/>
      <c r="KS609" s="472"/>
      <c r="KT609" s="174"/>
      <c r="KU609" s="174"/>
      <c r="KV609" s="174"/>
      <c r="KW609" s="174"/>
      <c r="KX609" s="174"/>
      <c r="KY609" s="174"/>
      <c r="KZ609" s="174"/>
      <c r="LA609" s="174"/>
      <c r="LB609" s="174"/>
      <c r="LC609" s="174"/>
      <c r="LD609" s="174"/>
      <c r="LE609" s="174"/>
      <c r="LF609" s="174"/>
      <c r="LG609" s="174"/>
      <c r="LH609" s="159">
        <f t="shared" si="10"/>
        <v>3</v>
      </c>
      <c r="LI609" s="156">
        <f t="shared" si="11"/>
        <v>0</v>
      </c>
      <c r="LJ609" s="156">
        <f t="shared" si="12"/>
        <v>0</v>
      </c>
      <c r="LK609" s="156">
        <f t="shared" si="13"/>
        <v>0</v>
      </c>
      <c r="LL609" s="156">
        <f t="shared" si="14"/>
        <v>0</v>
      </c>
      <c r="LM609" s="160">
        <f t="shared" si="15"/>
        <v>0</v>
      </c>
      <c r="LN609" s="174"/>
      <c r="LO609" s="174"/>
      <c r="LP609" s="174"/>
      <c r="LQ609" s="174"/>
      <c r="LR609" s="174"/>
      <c r="LS609" s="174"/>
      <c r="LT609" s="174"/>
      <c r="LU609" s="174"/>
      <c r="LV609" s="174"/>
      <c r="LW609" s="174">
        <f t="shared" ref="LW609:MQ609" si="50">IFS(TODAY()&lt;=LW$2,0,WEEKDAY(LW$2)=2,1,WEEKDAY(LW$2)=3,0,WEEKDAY(LW$2)=4,1,WEEKDAY(LW$2)=5,0,WEEKDAY(LW$2)=6,1,WEEKDAY(LW$2)=7,0,WEEKDAY(LW$2)=1,0)</f>
        <v>0</v>
      </c>
      <c r="LX609" s="174">
        <f t="shared" si="50"/>
        <v>1</v>
      </c>
      <c r="LY609" s="174">
        <f t="shared" si="50"/>
        <v>0</v>
      </c>
      <c r="LZ609" s="174">
        <f t="shared" si="50"/>
        <v>0</v>
      </c>
      <c r="MA609" s="174">
        <f t="shared" si="50"/>
        <v>1</v>
      </c>
      <c r="MB609" s="174">
        <f t="shared" si="50"/>
        <v>0</v>
      </c>
      <c r="MC609" s="174">
        <f t="shared" si="50"/>
        <v>1</v>
      </c>
      <c r="MD609" s="174">
        <f t="shared" si="50"/>
        <v>0</v>
      </c>
      <c r="ME609" s="174">
        <f t="shared" si="50"/>
        <v>0</v>
      </c>
      <c r="MF609" s="174">
        <f t="shared" si="50"/>
        <v>0</v>
      </c>
      <c r="MG609" s="174">
        <f t="shared" si="50"/>
        <v>0</v>
      </c>
      <c r="MH609" s="174">
        <f t="shared" si="50"/>
        <v>0</v>
      </c>
      <c r="MI609" s="174">
        <f t="shared" si="50"/>
        <v>0</v>
      </c>
      <c r="MJ609" s="174">
        <f t="shared" si="50"/>
        <v>0</v>
      </c>
      <c r="MK609" s="174">
        <f t="shared" si="50"/>
        <v>0</v>
      </c>
      <c r="ML609" s="174">
        <f t="shared" si="50"/>
        <v>0</v>
      </c>
      <c r="MM609" s="174">
        <f t="shared" si="50"/>
        <v>0</v>
      </c>
      <c r="MN609" s="174">
        <f t="shared" si="50"/>
        <v>0</v>
      </c>
      <c r="MO609" s="174">
        <f t="shared" si="50"/>
        <v>0</v>
      </c>
      <c r="MP609" s="174">
        <f t="shared" si="50"/>
        <v>0</v>
      </c>
      <c r="MQ609" s="174">
        <f t="shared" si="50"/>
        <v>0</v>
      </c>
      <c r="QX609" s="560">
        <v>46140.0</v>
      </c>
    </row>
    <row r="610">
      <c r="A610" s="12"/>
      <c r="B610" s="12"/>
      <c r="C610" s="12"/>
      <c r="D610" s="12"/>
      <c r="E610" s="12"/>
      <c r="F610" s="589"/>
      <c r="G610" s="12"/>
      <c r="H610" s="12"/>
      <c r="I610" s="143">
        <f t="shared" si="22"/>
        <v>-30</v>
      </c>
      <c r="J610" s="537">
        <v>46148.0</v>
      </c>
      <c r="K610" s="164" t="s">
        <v>61</v>
      </c>
      <c r="L610" s="547">
        <v>46224.0</v>
      </c>
      <c r="M610" s="162" t="s">
        <v>3263</v>
      </c>
      <c r="N610" s="381">
        <v>246.0</v>
      </c>
      <c r="O610" s="86">
        <v>30.0</v>
      </c>
      <c r="U610" s="162" t="s">
        <v>3552</v>
      </c>
      <c r="V610" s="538" t="s">
        <v>581</v>
      </c>
      <c r="W610" s="185" t="s">
        <v>3553</v>
      </c>
      <c r="X610" s="140"/>
      <c r="Y610" s="166">
        <f t="shared" si="23"/>
        <v>30</v>
      </c>
      <c r="Z610" s="26">
        <f t="shared" si="7"/>
        <v>0</v>
      </c>
      <c r="AA610" s="26">
        <f t="shared" si="8"/>
        <v>0</v>
      </c>
      <c r="AB610" s="26">
        <f t="shared" si="9"/>
        <v>0</v>
      </c>
      <c r="AC610" s="155">
        <v>0.0</v>
      </c>
      <c r="AD610" s="155">
        <v>0.0</v>
      </c>
      <c r="AE610" s="155">
        <v>0.0</v>
      </c>
      <c r="AF610" s="155">
        <v>0.0</v>
      </c>
      <c r="AG610" s="155">
        <v>0.0</v>
      </c>
      <c r="AH610" s="155">
        <v>0.0</v>
      </c>
      <c r="BN610" s="155">
        <v>0.0</v>
      </c>
      <c r="BO610" s="155">
        <v>0.0</v>
      </c>
      <c r="BP610" s="155">
        <v>0.0</v>
      </c>
      <c r="BQ610" s="155">
        <v>0.0</v>
      </c>
      <c r="BR610" s="155">
        <v>0.0</v>
      </c>
      <c r="BS610" s="155">
        <v>0.0</v>
      </c>
      <c r="CV610" s="156">
        <v>0.0</v>
      </c>
      <c r="CW610" s="156">
        <v>0.0</v>
      </c>
      <c r="CX610" s="156">
        <v>0.0</v>
      </c>
      <c r="CY610" s="156">
        <v>0.0</v>
      </c>
      <c r="CZ610" s="156">
        <v>0.0</v>
      </c>
      <c r="DA610" s="156">
        <v>0.0</v>
      </c>
      <c r="EG610" s="156">
        <v>0.0</v>
      </c>
      <c r="EH610" s="156">
        <v>0.0</v>
      </c>
      <c r="EI610" s="156">
        <v>0.0</v>
      </c>
      <c r="EJ610" s="156">
        <v>0.0</v>
      </c>
      <c r="EK610" s="156">
        <v>0.0</v>
      </c>
      <c r="EL610" s="156">
        <v>0.0</v>
      </c>
      <c r="FQ610" s="156">
        <v>11.0</v>
      </c>
      <c r="FR610" s="156">
        <v>0.0</v>
      </c>
      <c r="FS610" s="156">
        <v>0.0</v>
      </c>
      <c r="FT610" s="156">
        <v>0.0</v>
      </c>
      <c r="FU610" s="156">
        <v>0.0</v>
      </c>
      <c r="FV610" s="156">
        <v>0.0</v>
      </c>
      <c r="FW610" s="174"/>
      <c r="FX610" s="174"/>
      <c r="FY610" s="174"/>
      <c r="FZ610" s="174"/>
      <c r="GA610" s="174"/>
      <c r="GB610" s="174">
        <v>1.0</v>
      </c>
      <c r="GC610" s="174">
        <v>0.0</v>
      </c>
      <c r="GD610" s="174">
        <v>1.0</v>
      </c>
      <c r="GE610" s="174">
        <v>0.0</v>
      </c>
      <c r="GF610" s="174">
        <v>0.0</v>
      </c>
      <c r="GG610" s="174">
        <v>1.0</v>
      </c>
      <c r="GH610" s="174">
        <v>0.0</v>
      </c>
      <c r="GI610" s="174">
        <v>1.0</v>
      </c>
      <c r="GJ610" s="174">
        <v>0.0</v>
      </c>
      <c r="GK610" s="174">
        <v>1.0</v>
      </c>
      <c r="GL610" s="174">
        <v>0.0</v>
      </c>
      <c r="GM610" s="174">
        <v>0.0</v>
      </c>
      <c r="GN610" s="174">
        <v>1.0</v>
      </c>
      <c r="GO610" s="174">
        <v>0.0</v>
      </c>
      <c r="GP610" s="177">
        <v>1.0</v>
      </c>
      <c r="GQ610" s="174">
        <v>0.0</v>
      </c>
      <c r="GR610" s="175">
        <v>1.0</v>
      </c>
      <c r="GS610" s="174">
        <v>0.0</v>
      </c>
      <c r="GT610" s="174">
        <v>0.0</v>
      </c>
      <c r="GU610" s="174">
        <v>1.0</v>
      </c>
      <c r="GV610" s="174">
        <v>0.0</v>
      </c>
      <c r="GW610" s="174">
        <v>1.0</v>
      </c>
      <c r="GX610" s="174">
        <v>0.0</v>
      </c>
      <c r="GY610" s="174">
        <v>1.0</v>
      </c>
      <c r="GZ610" s="174">
        <v>0.0</v>
      </c>
      <c r="HA610" s="174">
        <v>0.0</v>
      </c>
      <c r="HB610" s="155">
        <v>13.0</v>
      </c>
      <c r="HC610" s="155">
        <v>0.0</v>
      </c>
      <c r="HD610" s="155">
        <v>0.0</v>
      </c>
      <c r="HE610" s="155">
        <v>0.0</v>
      </c>
      <c r="HF610" s="155">
        <v>0.0</v>
      </c>
      <c r="HG610" s="155">
        <v>0.0</v>
      </c>
      <c r="HH610" s="174">
        <v>1.0</v>
      </c>
      <c r="HI610" s="174">
        <v>0.0</v>
      </c>
      <c r="HJ610" s="174">
        <v>1.0</v>
      </c>
      <c r="HK610" s="174">
        <v>0.0</v>
      </c>
      <c r="HL610" s="174">
        <v>1.0</v>
      </c>
      <c r="HM610" s="174">
        <v>0.0</v>
      </c>
      <c r="HN610" s="174">
        <v>0.0</v>
      </c>
      <c r="HO610" s="174">
        <v>1.0</v>
      </c>
      <c r="HP610" s="174">
        <v>0.0</v>
      </c>
      <c r="HQ610" s="174">
        <v>1.0</v>
      </c>
      <c r="HR610" s="174">
        <v>0.0</v>
      </c>
      <c r="HS610" s="174">
        <v>1.0</v>
      </c>
      <c r="HT610" s="174">
        <v>0.0</v>
      </c>
      <c r="HU610" s="174">
        <v>0.0</v>
      </c>
      <c r="HV610" s="174">
        <v>1.0</v>
      </c>
      <c r="HW610" s="174">
        <v>0.0</v>
      </c>
      <c r="HX610" s="174">
        <v>1.0</v>
      </c>
      <c r="HY610" s="174">
        <v>0.0</v>
      </c>
      <c r="HZ610" s="174">
        <v>1.0</v>
      </c>
      <c r="IA610" s="174">
        <v>0.0</v>
      </c>
      <c r="IB610" s="174">
        <v>0.0</v>
      </c>
      <c r="IC610" s="174">
        <v>1.0</v>
      </c>
      <c r="ID610" s="174">
        <v>0.0</v>
      </c>
      <c r="IE610" s="174">
        <v>1.0</v>
      </c>
      <c r="IF610" s="174">
        <v>0.0</v>
      </c>
      <c r="IG610" s="174">
        <v>1.0</v>
      </c>
      <c r="IH610" s="174">
        <v>0.0</v>
      </c>
      <c r="II610" s="174">
        <v>0.0</v>
      </c>
      <c r="IJ610" s="174">
        <v>1.0</v>
      </c>
      <c r="IK610" s="174">
        <v>0.0</v>
      </c>
      <c r="IL610" s="159">
        <v>6.0</v>
      </c>
      <c r="IM610" s="156">
        <v>0.0</v>
      </c>
      <c r="IN610" s="156">
        <v>0.0</v>
      </c>
      <c r="IO610" s="156">
        <v>0.0</v>
      </c>
      <c r="IP610" s="156">
        <v>0.0</v>
      </c>
      <c r="IQ610" s="160">
        <v>0.0</v>
      </c>
      <c r="IR610" s="174">
        <v>1.0</v>
      </c>
      <c r="IS610" s="174"/>
      <c r="IT610" s="175"/>
      <c r="IU610" s="174">
        <v>0.0</v>
      </c>
      <c r="IV610" s="174">
        <v>0.0</v>
      </c>
      <c r="IW610" s="174">
        <v>1.0</v>
      </c>
      <c r="IX610" s="175"/>
      <c r="IY610" s="175">
        <v>1.0</v>
      </c>
      <c r="IZ610" s="174">
        <v>0.0</v>
      </c>
      <c r="JA610" s="174">
        <v>1.0</v>
      </c>
      <c r="JB610" s="174">
        <v>0.0</v>
      </c>
      <c r="JC610" s="174">
        <v>0.0</v>
      </c>
      <c r="JD610" s="174">
        <v>1.0</v>
      </c>
      <c r="JE610" s="174">
        <v>0.0</v>
      </c>
      <c r="JF610" s="174">
        <v>1.0</v>
      </c>
      <c r="JG610" s="174">
        <v>0.0</v>
      </c>
      <c r="JH610" s="177"/>
      <c r="JI610" s="174"/>
      <c r="JJ610" s="174"/>
      <c r="JK610" s="174"/>
      <c r="JL610" s="174"/>
      <c r="JM610" s="174"/>
      <c r="JN610" s="174"/>
      <c r="JO610" s="174"/>
      <c r="JP610" s="174"/>
      <c r="JQ610" s="174"/>
      <c r="JR610" s="174"/>
      <c r="JS610" s="174"/>
      <c r="JT610" s="174"/>
      <c r="JU610" s="174"/>
      <c r="JV610" s="174"/>
      <c r="JW610" s="159">
        <v>0.0</v>
      </c>
      <c r="JX610" s="156">
        <v>0.0</v>
      </c>
      <c r="JY610" s="156">
        <v>0.0</v>
      </c>
      <c r="JZ610" s="156">
        <v>0.0</v>
      </c>
      <c r="KA610" s="156">
        <v>0.0</v>
      </c>
      <c r="KB610" s="160">
        <v>0.0</v>
      </c>
      <c r="LH610" s="159">
        <f t="shared" si="10"/>
        <v>0</v>
      </c>
      <c r="LI610" s="156">
        <f t="shared" si="11"/>
        <v>0</v>
      </c>
      <c r="LJ610" s="156">
        <f t="shared" si="12"/>
        <v>0</v>
      </c>
      <c r="LK610" s="156">
        <f t="shared" si="13"/>
        <v>0</v>
      </c>
      <c r="LL610" s="156">
        <f t="shared" si="14"/>
        <v>0</v>
      </c>
      <c r="LM610" s="160">
        <f t="shared" si="15"/>
        <v>0</v>
      </c>
      <c r="QX610" s="560">
        <v>46140.0</v>
      </c>
    </row>
    <row r="611">
      <c r="A611" s="12"/>
      <c r="B611" s="12"/>
      <c r="C611" s="12"/>
      <c r="D611" s="12"/>
      <c r="E611" s="12"/>
      <c r="F611" s="12"/>
      <c r="G611" s="12"/>
      <c r="H611" s="12"/>
      <c r="I611" s="143">
        <f t="shared" si="22"/>
        <v>-30</v>
      </c>
      <c r="J611" s="537">
        <v>46152.0</v>
      </c>
      <c r="K611" s="164" t="s">
        <v>48</v>
      </c>
      <c r="L611" s="108"/>
      <c r="M611" s="86" t="s">
        <v>1768</v>
      </c>
      <c r="N611" s="188" t="s">
        <v>3304</v>
      </c>
      <c r="O611" s="86">
        <v>30.0</v>
      </c>
      <c r="U611" s="162" t="s">
        <v>3222</v>
      </c>
      <c r="V611" s="538" t="s">
        <v>3223</v>
      </c>
      <c r="W611" s="185" t="s">
        <v>3554</v>
      </c>
      <c r="X611" s="140"/>
      <c r="Y611" s="166">
        <f t="shared" si="23"/>
        <v>30</v>
      </c>
      <c r="Z611" s="26">
        <f t="shared" si="7"/>
        <v>0</v>
      </c>
      <c r="AA611" s="26">
        <f t="shared" si="8"/>
        <v>0</v>
      </c>
      <c r="AB611" s="26">
        <f t="shared" si="9"/>
        <v>0</v>
      </c>
      <c r="AC611" s="155">
        <v>0.0</v>
      </c>
      <c r="AD611" s="155">
        <v>0.0</v>
      </c>
      <c r="AE611" s="155">
        <v>0.0</v>
      </c>
      <c r="AF611" s="155">
        <v>0.0</v>
      </c>
      <c r="AG611" s="155">
        <v>0.0</v>
      </c>
      <c r="AH611" s="155">
        <v>0.0</v>
      </c>
      <c r="BN611" s="155">
        <v>0.0</v>
      </c>
      <c r="BO611" s="155">
        <v>0.0</v>
      </c>
      <c r="BP611" s="155">
        <v>0.0</v>
      </c>
      <c r="BQ611" s="155">
        <v>0.0</v>
      </c>
      <c r="BR611" s="155">
        <v>0.0</v>
      </c>
      <c r="BS611" s="155">
        <v>0.0</v>
      </c>
      <c r="CV611" s="156">
        <v>0.0</v>
      </c>
      <c r="CW611" s="156">
        <v>0.0</v>
      </c>
      <c r="CX611" s="156">
        <v>0.0</v>
      </c>
      <c r="CY611" s="156">
        <v>0.0</v>
      </c>
      <c r="CZ611" s="156">
        <v>0.0</v>
      </c>
      <c r="DA611" s="156">
        <v>0.0</v>
      </c>
      <c r="EG611" s="156">
        <v>0.0</v>
      </c>
      <c r="EH611" s="156">
        <v>0.0</v>
      </c>
      <c r="EI611" s="156">
        <v>0.0</v>
      </c>
      <c r="EJ611" s="156">
        <v>0.0</v>
      </c>
      <c r="EK611" s="156">
        <v>0.0</v>
      </c>
      <c r="EL611" s="156">
        <v>0.0</v>
      </c>
      <c r="FQ611" s="156">
        <v>10.0</v>
      </c>
      <c r="FR611" s="156">
        <v>0.0</v>
      </c>
      <c r="FS611" s="156">
        <v>0.0</v>
      </c>
      <c r="FT611" s="156">
        <v>0.0</v>
      </c>
      <c r="FU611" s="156">
        <v>0.0</v>
      </c>
      <c r="FV611" s="156">
        <v>0.0</v>
      </c>
      <c r="FW611" s="157"/>
      <c r="FX611" s="157"/>
      <c r="FY611" s="157"/>
      <c r="FZ611" s="157"/>
      <c r="GA611" s="188"/>
      <c r="GB611" s="157"/>
      <c r="GC611" s="157"/>
      <c r="GD611" s="188"/>
      <c r="GE611" s="157"/>
      <c r="GF611" s="188">
        <v>1.0</v>
      </c>
      <c r="GG611" s="188">
        <v>1.0</v>
      </c>
      <c r="GH611" s="157"/>
      <c r="GI611" s="188">
        <v>1.0</v>
      </c>
      <c r="GJ611" s="157"/>
      <c r="GK611" s="157"/>
      <c r="GL611" s="157"/>
      <c r="GM611" s="188">
        <v>1.0</v>
      </c>
      <c r="GN611" s="188">
        <v>1.0</v>
      </c>
      <c r="GO611" s="157"/>
      <c r="GP611" s="381">
        <v>1.0</v>
      </c>
      <c r="GQ611" s="157"/>
      <c r="GR611" s="157"/>
      <c r="GS611" s="157"/>
      <c r="GT611" s="188">
        <v>1.0</v>
      </c>
      <c r="GU611" s="188">
        <v>1.0</v>
      </c>
      <c r="GV611" s="157"/>
      <c r="GW611" s="188">
        <v>1.0</v>
      </c>
      <c r="GX611" s="157"/>
      <c r="GY611" s="157"/>
      <c r="GZ611" s="157"/>
      <c r="HA611" s="188">
        <v>1.0</v>
      </c>
      <c r="HB611" s="155">
        <v>8.0</v>
      </c>
      <c r="HC611" s="155">
        <v>0.0</v>
      </c>
      <c r="HD611" s="155">
        <v>0.0</v>
      </c>
      <c r="HE611" s="155">
        <v>0.0</v>
      </c>
      <c r="HF611" s="155">
        <v>0.0</v>
      </c>
      <c r="HG611" s="155">
        <v>0.0</v>
      </c>
      <c r="HH611" s="86">
        <v>1.0</v>
      </c>
      <c r="HN611" s="86">
        <v>1.0</v>
      </c>
      <c r="HO611" s="86">
        <v>1.0</v>
      </c>
      <c r="HQ611" s="86">
        <v>1.0</v>
      </c>
      <c r="HV611" s="86">
        <v>1.0</v>
      </c>
      <c r="IB611" s="86">
        <v>1.0</v>
      </c>
      <c r="IC611" s="86">
        <v>1.0</v>
      </c>
      <c r="II611" s="86">
        <v>1.0</v>
      </c>
      <c r="IL611" s="159">
        <v>9.0</v>
      </c>
      <c r="IM611" s="156">
        <v>0.0</v>
      </c>
      <c r="IN611" s="156">
        <v>0.0</v>
      </c>
      <c r="IO611" s="156">
        <v>0.0</v>
      </c>
      <c r="IP611" s="156">
        <v>0.0</v>
      </c>
      <c r="IQ611" s="160">
        <v>0.0</v>
      </c>
      <c r="IV611" s="86">
        <v>1.0</v>
      </c>
      <c r="IW611" s="86">
        <v>1.0</v>
      </c>
      <c r="IY611" s="86">
        <v>1.0</v>
      </c>
      <c r="JF611" s="86">
        <v>1.0</v>
      </c>
      <c r="JH611" s="25"/>
      <c r="JK611" s="86">
        <v>1.0</v>
      </c>
      <c r="JM611" s="86">
        <v>1.0</v>
      </c>
      <c r="JQ611" s="86">
        <v>1.0</v>
      </c>
      <c r="JR611" s="86">
        <v>1.0</v>
      </c>
      <c r="JT611" s="86">
        <v>1.0</v>
      </c>
      <c r="JW611" s="159">
        <v>3.0</v>
      </c>
      <c r="JX611" s="156">
        <v>0.0</v>
      </c>
      <c r="JY611" s="156">
        <v>0.0</v>
      </c>
      <c r="JZ611" s="156">
        <v>0.0</v>
      </c>
      <c r="KA611" s="156">
        <v>0.0</v>
      </c>
      <c r="KB611" s="160">
        <v>0.0</v>
      </c>
      <c r="KG611" s="86">
        <v>1.0</v>
      </c>
      <c r="KL611" s="86">
        <v>1.0</v>
      </c>
      <c r="KN611" s="86">
        <v>1.0</v>
      </c>
      <c r="KS611" s="178"/>
      <c r="LH611" s="159">
        <f t="shared" si="10"/>
        <v>0</v>
      </c>
      <c r="LI611" s="156">
        <f t="shared" si="11"/>
        <v>0</v>
      </c>
      <c r="LJ611" s="156">
        <f t="shared" si="12"/>
        <v>0</v>
      </c>
      <c r="LK611" s="156">
        <f t="shared" si="13"/>
        <v>0</v>
      </c>
      <c r="LL611" s="156">
        <f t="shared" si="14"/>
        <v>0</v>
      </c>
      <c r="LM611" s="160">
        <f t="shared" si="15"/>
        <v>0</v>
      </c>
      <c r="QX611" s="560">
        <v>46140.0</v>
      </c>
    </row>
    <row r="612">
      <c r="A612" s="58"/>
      <c r="B612" s="58"/>
      <c r="C612" s="12"/>
      <c r="D612" s="12"/>
      <c r="E612" s="58"/>
      <c r="F612" s="12"/>
      <c r="G612" s="12"/>
      <c r="H612" s="12"/>
      <c r="I612" s="143">
        <f t="shared" si="22"/>
        <v>-26</v>
      </c>
      <c r="J612" s="537">
        <v>46153.0</v>
      </c>
      <c r="K612" s="164" t="s">
        <v>53</v>
      </c>
      <c r="L612" s="23">
        <v>46282.0</v>
      </c>
      <c r="M612" s="468" t="s">
        <v>3555</v>
      </c>
      <c r="N612" s="86">
        <v>246.0</v>
      </c>
      <c r="O612" s="86">
        <v>30.0</v>
      </c>
      <c r="U612" s="162" t="s">
        <v>1466</v>
      </c>
      <c r="V612" s="538" t="s">
        <v>1757</v>
      </c>
      <c r="W612" s="185" t="s">
        <v>3556</v>
      </c>
      <c r="X612" s="140"/>
      <c r="Y612" s="166">
        <f t="shared" si="23"/>
        <v>26</v>
      </c>
      <c r="Z612" s="26">
        <f t="shared" si="7"/>
        <v>0</v>
      </c>
      <c r="AA612" s="26">
        <f t="shared" si="8"/>
        <v>0</v>
      </c>
      <c r="AB612" s="26">
        <f t="shared" si="9"/>
        <v>0</v>
      </c>
      <c r="AC612" s="155">
        <v>0.0</v>
      </c>
      <c r="AD612" s="155">
        <v>0.0</v>
      </c>
      <c r="AE612" s="155">
        <v>0.0</v>
      </c>
      <c r="AF612" s="155">
        <v>0.0</v>
      </c>
      <c r="AG612" s="155">
        <v>0.0</v>
      </c>
      <c r="AH612" s="155">
        <v>0.0</v>
      </c>
      <c r="BN612" s="155">
        <v>0.0</v>
      </c>
      <c r="BO612" s="155">
        <v>0.0</v>
      </c>
      <c r="BP612" s="155">
        <v>0.0</v>
      </c>
      <c r="BQ612" s="155">
        <v>0.0</v>
      </c>
      <c r="BR612" s="155">
        <v>0.0</v>
      </c>
      <c r="BS612" s="155">
        <v>0.0</v>
      </c>
      <c r="CV612" s="156">
        <v>0.0</v>
      </c>
      <c r="CW612" s="156">
        <v>0.0</v>
      </c>
      <c r="CX612" s="156">
        <v>0.0</v>
      </c>
      <c r="CY612" s="156">
        <v>0.0</v>
      </c>
      <c r="CZ612" s="156">
        <v>0.0</v>
      </c>
      <c r="DA612" s="156">
        <v>0.0</v>
      </c>
      <c r="EG612" s="156">
        <v>0.0</v>
      </c>
      <c r="EH612" s="156">
        <v>0.0</v>
      </c>
      <c r="EI612" s="156">
        <v>0.0</v>
      </c>
      <c r="EJ612" s="156">
        <v>0.0</v>
      </c>
      <c r="EK612" s="156">
        <v>0.0</v>
      </c>
      <c r="EL612" s="156">
        <v>0.0</v>
      </c>
      <c r="FQ612" s="156">
        <v>8.0</v>
      </c>
      <c r="FR612" s="156">
        <v>0.0</v>
      </c>
      <c r="FS612" s="156">
        <v>0.0</v>
      </c>
      <c r="FT612" s="156">
        <v>0.0</v>
      </c>
      <c r="FU612" s="156">
        <v>0.0</v>
      </c>
      <c r="FV612" s="156">
        <v>0.0</v>
      </c>
      <c r="FW612" s="174"/>
      <c r="FX612" s="174"/>
      <c r="FY612" s="174"/>
      <c r="FZ612" s="174"/>
      <c r="GA612" s="174"/>
      <c r="GB612" s="174"/>
      <c r="GC612" s="174"/>
      <c r="GD612" s="174"/>
      <c r="GE612" s="174"/>
      <c r="GF612" s="174"/>
      <c r="GG612" s="174">
        <v>1.0</v>
      </c>
      <c r="GH612" s="174">
        <v>0.0</v>
      </c>
      <c r="GI612" s="174">
        <v>1.0</v>
      </c>
      <c r="GJ612" s="174">
        <v>0.0</v>
      </c>
      <c r="GK612" s="174">
        <v>1.0</v>
      </c>
      <c r="GL612" s="174">
        <v>0.0</v>
      </c>
      <c r="GM612" s="174">
        <v>0.0</v>
      </c>
      <c r="GN612" s="174">
        <v>1.0</v>
      </c>
      <c r="GO612" s="174">
        <v>0.0</v>
      </c>
      <c r="GP612" s="176">
        <v>0.0</v>
      </c>
      <c r="GQ612" s="174">
        <v>0.0</v>
      </c>
      <c r="GR612" s="175">
        <v>1.0</v>
      </c>
      <c r="GS612" s="174">
        <v>0.0</v>
      </c>
      <c r="GT612" s="174">
        <v>0.0</v>
      </c>
      <c r="GU612" s="174">
        <v>1.0</v>
      </c>
      <c r="GV612" s="174">
        <v>0.0</v>
      </c>
      <c r="GW612" s="174">
        <v>1.0</v>
      </c>
      <c r="GX612" s="174">
        <v>0.0</v>
      </c>
      <c r="GY612" s="174">
        <v>1.0</v>
      </c>
      <c r="GZ612" s="174">
        <v>0.0</v>
      </c>
      <c r="HA612" s="174">
        <v>0.0</v>
      </c>
      <c r="HB612" s="155">
        <v>6.0</v>
      </c>
      <c r="HC612" s="155">
        <v>0.0</v>
      </c>
      <c r="HD612" s="155">
        <v>0.0</v>
      </c>
      <c r="HE612" s="155">
        <v>0.0</v>
      </c>
      <c r="HF612" s="155">
        <v>0.0</v>
      </c>
      <c r="HG612" s="155">
        <v>0.0</v>
      </c>
      <c r="HH612" s="175">
        <v>1.0</v>
      </c>
      <c r="HI612" s="174"/>
      <c r="HJ612" s="174"/>
      <c r="HK612" s="174"/>
      <c r="HL612" s="174"/>
      <c r="HM612" s="174"/>
      <c r="HN612" s="174"/>
      <c r="HO612" s="174">
        <v>1.0</v>
      </c>
      <c r="HP612" s="174"/>
      <c r="HQ612" s="174"/>
      <c r="HR612" s="174"/>
      <c r="HS612" s="174"/>
      <c r="HT612" s="175">
        <v>1.0</v>
      </c>
      <c r="HU612" s="174"/>
      <c r="HV612" s="174"/>
      <c r="HW612" s="174"/>
      <c r="HX612" s="174"/>
      <c r="HY612" s="174"/>
      <c r="HZ612" s="174"/>
      <c r="IA612" s="175">
        <v>1.0</v>
      </c>
      <c r="IB612" s="175">
        <v>1.0</v>
      </c>
      <c r="IC612" s="174"/>
      <c r="ID612" s="174"/>
      <c r="IE612" s="174"/>
      <c r="IF612" s="174"/>
      <c r="IG612" s="174"/>
      <c r="IH612" s="174"/>
      <c r="II612" s="175">
        <v>1.0</v>
      </c>
      <c r="IJ612" s="174"/>
      <c r="IK612" s="174">
        <v>0.0</v>
      </c>
      <c r="IL612" s="159">
        <v>3.0</v>
      </c>
      <c r="IM612" s="156">
        <v>0.0</v>
      </c>
      <c r="IN612" s="156">
        <v>0.0</v>
      </c>
      <c r="IO612" s="156">
        <v>0.0</v>
      </c>
      <c r="IP612" s="156">
        <v>0.0</v>
      </c>
      <c r="IQ612" s="160">
        <v>0.0</v>
      </c>
      <c r="IR612" s="174"/>
      <c r="IS612" s="174">
        <v>0.0</v>
      </c>
      <c r="IT612" s="174"/>
      <c r="IU612" s="175">
        <v>1.0</v>
      </c>
      <c r="IV612" s="174">
        <v>0.0</v>
      </c>
      <c r="IW612" s="174"/>
      <c r="IX612" s="174">
        <v>0.0</v>
      </c>
      <c r="IY612" s="174"/>
      <c r="IZ612" s="174">
        <v>0.0</v>
      </c>
      <c r="JA612" s="174"/>
      <c r="JB612" s="175"/>
      <c r="JC612" s="175">
        <v>1.0</v>
      </c>
      <c r="JD612" s="175">
        <v>1.0</v>
      </c>
      <c r="JE612" s="174">
        <v>0.0</v>
      </c>
      <c r="JF612" s="174"/>
      <c r="JG612" s="174">
        <v>0.0</v>
      </c>
      <c r="JH612" s="177"/>
      <c r="JI612" s="174"/>
      <c r="JJ612" s="174"/>
      <c r="JK612" s="174"/>
      <c r="JL612" s="174"/>
      <c r="JM612" s="174"/>
      <c r="JN612" s="174"/>
      <c r="JO612" s="174"/>
      <c r="JP612" s="174"/>
      <c r="JQ612" s="174"/>
      <c r="JR612" s="174"/>
      <c r="JS612" s="174"/>
      <c r="JT612" s="174"/>
      <c r="JU612" s="174"/>
      <c r="JV612" s="174"/>
      <c r="JW612" s="159">
        <v>6.0</v>
      </c>
      <c r="JX612" s="156">
        <v>0.0</v>
      </c>
      <c r="JY612" s="156">
        <v>0.0</v>
      </c>
      <c r="JZ612" s="156">
        <v>0.0</v>
      </c>
      <c r="KA612" s="156">
        <v>0.0</v>
      </c>
      <c r="KB612" s="160">
        <v>0.0</v>
      </c>
      <c r="KC612" s="174"/>
      <c r="KD612" s="174"/>
      <c r="KE612" s="174"/>
      <c r="KF612" s="174"/>
      <c r="KG612" s="174"/>
      <c r="KH612" s="174"/>
      <c r="KI612" s="174"/>
      <c r="KJ612" s="174"/>
      <c r="KK612" s="175">
        <v>1.0</v>
      </c>
      <c r="KL612" s="175">
        <v>1.0</v>
      </c>
      <c r="KM612" s="174"/>
      <c r="KN612" s="175">
        <v>1.0</v>
      </c>
      <c r="KO612" s="174"/>
      <c r="KP612" s="175"/>
      <c r="KQ612" s="174"/>
      <c r="KR612" s="175">
        <v>1.0</v>
      </c>
      <c r="KS612" s="472"/>
      <c r="KT612" s="174"/>
      <c r="KU612" s="174"/>
      <c r="KV612" s="174"/>
      <c r="KW612" s="174"/>
      <c r="KX612" s="175">
        <v>1.0</v>
      </c>
      <c r="KY612" s="175">
        <v>1.0</v>
      </c>
      <c r="KZ612" s="174"/>
      <c r="LA612" s="174"/>
      <c r="LB612" s="174"/>
      <c r="LC612" s="174"/>
      <c r="LD612" s="174"/>
      <c r="LE612" s="174"/>
      <c r="LF612" s="174"/>
      <c r="LG612" s="174"/>
      <c r="LH612" s="159">
        <f t="shared" si="10"/>
        <v>3</v>
      </c>
      <c r="LI612" s="156">
        <f t="shared" si="11"/>
        <v>0</v>
      </c>
      <c r="LJ612" s="156">
        <f t="shared" si="12"/>
        <v>0</v>
      </c>
      <c r="LK612" s="156">
        <f t="shared" si="13"/>
        <v>0</v>
      </c>
      <c r="LL612" s="156">
        <f t="shared" si="14"/>
        <v>0</v>
      </c>
      <c r="LM612" s="160">
        <f t="shared" si="15"/>
        <v>0</v>
      </c>
      <c r="LN612" s="174"/>
      <c r="LO612" s="174"/>
      <c r="LP612" s="174"/>
      <c r="LQ612" s="174"/>
      <c r="LR612" s="174"/>
      <c r="LS612" s="174"/>
      <c r="LT612" s="174"/>
      <c r="LU612" s="174"/>
      <c r="LV612" s="174"/>
      <c r="LW612" s="174">
        <f t="shared" ref="LW612:MQ612" si="51">IFS(TODAY()&lt;=LW$2,0,WEEKDAY(LW$2)=2,1,WEEKDAY(LW$2)=3,0,WEEKDAY(LW$2)=4,1,WEEKDAY(LW$2)=5,0,WEEKDAY(LW$2)=6,1,WEEKDAY(LW$2)=7,0,WEEKDAY(LW$2)=1,0)</f>
        <v>0</v>
      </c>
      <c r="LX612" s="174">
        <f t="shared" si="51"/>
        <v>1</v>
      </c>
      <c r="LY612" s="174">
        <f t="shared" si="51"/>
        <v>0</v>
      </c>
      <c r="LZ612" s="174">
        <f t="shared" si="51"/>
        <v>0</v>
      </c>
      <c r="MA612" s="174">
        <f t="shared" si="51"/>
        <v>1</v>
      </c>
      <c r="MB612" s="174">
        <f t="shared" si="51"/>
        <v>0</v>
      </c>
      <c r="MC612" s="174">
        <f t="shared" si="51"/>
        <v>1</v>
      </c>
      <c r="MD612" s="174">
        <f t="shared" si="51"/>
        <v>0</v>
      </c>
      <c r="ME612" s="174">
        <f t="shared" si="51"/>
        <v>0</v>
      </c>
      <c r="MF612" s="174">
        <f t="shared" si="51"/>
        <v>0</v>
      </c>
      <c r="MG612" s="174">
        <f t="shared" si="51"/>
        <v>0</v>
      </c>
      <c r="MH612" s="174">
        <f t="shared" si="51"/>
        <v>0</v>
      </c>
      <c r="MI612" s="174">
        <f t="shared" si="51"/>
        <v>0</v>
      </c>
      <c r="MJ612" s="174">
        <f t="shared" si="51"/>
        <v>0</v>
      </c>
      <c r="MK612" s="174">
        <f t="shared" si="51"/>
        <v>0</v>
      </c>
      <c r="ML612" s="174">
        <f t="shared" si="51"/>
        <v>0</v>
      </c>
      <c r="MM612" s="174">
        <f t="shared" si="51"/>
        <v>0</v>
      </c>
      <c r="MN612" s="174">
        <f t="shared" si="51"/>
        <v>0</v>
      </c>
      <c r="MO612" s="174">
        <f t="shared" si="51"/>
        <v>0</v>
      </c>
      <c r="MP612" s="174">
        <f t="shared" si="51"/>
        <v>0</v>
      </c>
      <c r="MQ612" s="174">
        <f t="shared" si="51"/>
        <v>0</v>
      </c>
      <c r="QX612" s="560">
        <v>46141.0</v>
      </c>
    </row>
    <row r="613">
      <c r="A613" s="12"/>
      <c r="B613" s="12"/>
      <c r="C613" s="12"/>
      <c r="D613" s="12"/>
      <c r="E613" s="12"/>
      <c r="F613" s="12"/>
      <c r="G613" s="12"/>
      <c r="H613" s="12"/>
      <c r="I613" s="143">
        <f t="shared" si="22"/>
        <v>-17</v>
      </c>
      <c r="J613" s="537">
        <v>46154.0</v>
      </c>
      <c r="K613" s="164" t="s">
        <v>53</v>
      </c>
      <c r="L613" s="537">
        <v>46212.0</v>
      </c>
      <c r="M613" s="86" t="s">
        <v>227</v>
      </c>
      <c r="N613" s="86">
        <v>357.0</v>
      </c>
      <c r="O613" s="86">
        <v>30.0</v>
      </c>
      <c r="U613" s="162" t="s">
        <v>1259</v>
      </c>
      <c r="V613" s="538" t="s">
        <v>732</v>
      </c>
      <c r="W613" s="185" t="s">
        <v>3557</v>
      </c>
      <c r="X613" s="140"/>
      <c r="Y613" s="166">
        <f t="shared" si="23"/>
        <v>17</v>
      </c>
      <c r="Z613" s="26">
        <f t="shared" si="7"/>
        <v>0</v>
      </c>
      <c r="AA613" s="26">
        <f t="shared" si="8"/>
        <v>0</v>
      </c>
      <c r="AB613" s="26">
        <f t="shared" si="9"/>
        <v>0</v>
      </c>
      <c r="AC613" s="155">
        <v>0.0</v>
      </c>
      <c r="AD613" s="155">
        <v>0.0</v>
      </c>
      <c r="AE613" s="155">
        <v>0.0</v>
      </c>
      <c r="AF613" s="155">
        <v>0.0</v>
      </c>
      <c r="AG613" s="155">
        <v>0.0</v>
      </c>
      <c r="AH613" s="155">
        <v>0.0</v>
      </c>
      <c r="BN613" s="155">
        <v>0.0</v>
      </c>
      <c r="BO613" s="155">
        <v>0.0</v>
      </c>
      <c r="BP613" s="155">
        <v>0.0</v>
      </c>
      <c r="BQ613" s="155">
        <v>0.0</v>
      </c>
      <c r="BR613" s="155">
        <v>0.0</v>
      </c>
      <c r="BS613" s="155">
        <v>0.0</v>
      </c>
      <c r="CV613" s="156">
        <v>0.0</v>
      </c>
      <c r="CW613" s="156">
        <v>0.0</v>
      </c>
      <c r="CX613" s="156">
        <v>0.0</v>
      </c>
      <c r="CY613" s="156">
        <v>0.0</v>
      </c>
      <c r="CZ613" s="156">
        <v>0.0</v>
      </c>
      <c r="DA613" s="156">
        <v>0.0</v>
      </c>
      <c r="EG613" s="156">
        <v>0.0</v>
      </c>
      <c r="EH613" s="156">
        <v>0.0</v>
      </c>
      <c r="EI613" s="156">
        <v>0.0</v>
      </c>
      <c r="EJ613" s="156">
        <v>0.0</v>
      </c>
      <c r="EK613" s="156">
        <v>0.0</v>
      </c>
      <c r="EL613" s="156">
        <v>0.0</v>
      </c>
      <c r="FQ613" s="156">
        <v>9.0</v>
      </c>
      <c r="FR613" s="156">
        <v>0.0</v>
      </c>
      <c r="FS613" s="156">
        <v>0.0</v>
      </c>
      <c r="FT613" s="156">
        <v>0.0</v>
      </c>
      <c r="FU613" s="156">
        <v>0.0</v>
      </c>
      <c r="FV613" s="156">
        <v>0.0</v>
      </c>
      <c r="FW613" s="157"/>
      <c r="FX613" s="157"/>
      <c r="FY613" s="157"/>
      <c r="FZ613" s="157"/>
      <c r="GA613" s="157"/>
      <c r="GB613" s="157"/>
      <c r="GC613" s="157"/>
      <c r="GD613" s="157"/>
      <c r="GE613" s="157"/>
      <c r="GF613" s="157"/>
      <c r="GG613" s="157"/>
      <c r="GH613" s="172">
        <v>1.0</v>
      </c>
      <c r="GI613" s="172">
        <v>0.0</v>
      </c>
      <c r="GJ613" s="172">
        <v>1.0</v>
      </c>
      <c r="GK613" s="172">
        <v>0.0</v>
      </c>
      <c r="GL613" s="172">
        <v>1.0</v>
      </c>
      <c r="GM613" s="172">
        <v>0.0</v>
      </c>
      <c r="GN613" s="172">
        <v>0.0</v>
      </c>
      <c r="GO613" s="172">
        <v>1.0</v>
      </c>
      <c r="GP613" s="172">
        <v>0.0</v>
      </c>
      <c r="GQ613" s="172">
        <v>1.0</v>
      </c>
      <c r="GR613" s="172">
        <v>0.0</v>
      </c>
      <c r="GS613" s="172">
        <v>1.0</v>
      </c>
      <c r="GT613" s="172">
        <v>0.0</v>
      </c>
      <c r="GU613" s="172">
        <v>0.0</v>
      </c>
      <c r="GV613" s="172">
        <v>1.0</v>
      </c>
      <c r="GW613" s="172">
        <v>0.0</v>
      </c>
      <c r="GX613" s="172">
        <v>1.0</v>
      </c>
      <c r="GY613" s="172">
        <v>0.0</v>
      </c>
      <c r="GZ613" s="172">
        <v>1.0</v>
      </c>
      <c r="HA613" s="172">
        <v>0.0</v>
      </c>
      <c r="HB613" s="155">
        <v>8.0</v>
      </c>
      <c r="HC613" s="155">
        <v>0.0</v>
      </c>
      <c r="HD613" s="155">
        <v>0.0</v>
      </c>
      <c r="HE613" s="155">
        <v>0.0</v>
      </c>
      <c r="HF613" s="155">
        <v>0.0</v>
      </c>
      <c r="HG613" s="155">
        <v>0.0</v>
      </c>
      <c r="HH613" s="172">
        <v>0.0</v>
      </c>
      <c r="HI613" s="172">
        <v>1.0</v>
      </c>
      <c r="HJ613" s="172">
        <v>0.0</v>
      </c>
      <c r="HK613" s="172">
        <v>1.0</v>
      </c>
      <c r="HL613" s="172">
        <v>0.0</v>
      </c>
      <c r="HM613" s="172">
        <v>1.0</v>
      </c>
      <c r="HN613" s="172"/>
      <c r="HO613" s="172"/>
      <c r="HP613" s="172">
        <v>1.0</v>
      </c>
      <c r="HQ613" s="172"/>
      <c r="HR613" s="172"/>
      <c r="HS613" s="172">
        <v>1.0</v>
      </c>
      <c r="HT613" s="172">
        <v>1.0</v>
      </c>
      <c r="HU613" s="172">
        <v>0.0</v>
      </c>
      <c r="HV613" s="172">
        <v>0.0</v>
      </c>
      <c r="HW613" s="172">
        <v>1.0</v>
      </c>
      <c r="HX613" s="172">
        <v>0.0</v>
      </c>
      <c r="HY613" s="172">
        <v>1.0</v>
      </c>
      <c r="HZ613" s="172"/>
      <c r="IA613" s="172"/>
      <c r="IB613" s="172"/>
      <c r="IC613" s="172"/>
      <c r="ID613" s="172"/>
      <c r="IE613" s="172"/>
      <c r="IF613" s="172"/>
      <c r="IG613" s="172"/>
      <c r="IH613" s="172"/>
      <c r="II613" s="172"/>
      <c r="IJ613" s="172"/>
      <c r="IK613" s="172"/>
      <c r="IL613" s="159">
        <v>0.0</v>
      </c>
      <c r="IM613" s="156">
        <v>0.0</v>
      </c>
      <c r="IN613" s="156">
        <v>0.0</v>
      </c>
      <c r="IO613" s="156">
        <v>0.0</v>
      </c>
      <c r="IP613" s="156">
        <v>0.0</v>
      </c>
      <c r="IQ613" s="160">
        <v>0.0</v>
      </c>
      <c r="IR613" s="172"/>
      <c r="IS613" s="172"/>
      <c r="IT613" s="172"/>
      <c r="IU613" s="172"/>
      <c r="IV613" s="172"/>
      <c r="IW613" s="172"/>
      <c r="IX613" s="172"/>
      <c r="IY613" s="172"/>
      <c r="IZ613" s="172"/>
      <c r="JA613" s="172"/>
      <c r="JB613" s="172"/>
      <c r="JC613" s="172"/>
      <c r="JD613" s="172"/>
      <c r="JE613" s="172"/>
      <c r="JF613" s="172"/>
      <c r="JG613" s="172"/>
      <c r="JH613" s="170"/>
      <c r="JI613" s="172"/>
      <c r="JJ613" s="172"/>
      <c r="JK613" s="172"/>
      <c r="JL613" s="172"/>
      <c r="JM613" s="172"/>
      <c r="JN613" s="172"/>
      <c r="JO613" s="172"/>
      <c r="JP613" s="172"/>
      <c r="JQ613" s="172"/>
      <c r="JR613" s="172"/>
      <c r="JS613" s="172"/>
      <c r="JT613" s="172"/>
      <c r="JU613" s="172"/>
      <c r="JV613" s="172">
        <v>0.0</v>
      </c>
      <c r="JW613" s="159">
        <v>0.0</v>
      </c>
      <c r="JX613" s="156">
        <v>0.0</v>
      </c>
      <c r="JY613" s="156">
        <v>0.0</v>
      </c>
      <c r="JZ613" s="156">
        <v>0.0</v>
      </c>
      <c r="KA613" s="156">
        <v>0.0</v>
      </c>
      <c r="KB613" s="160">
        <v>0.0</v>
      </c>
      <c r="LH613" s="159">
        <f t="shared" si="10"/>
        <v>0</v>
      </c>
      <c r="LI613" s="156">
        <f t="shared" si="11"/>
        <v>0</v>
      </c>
      <c r="LJ613" s="156">
        <f t="shared" si="12"/>
        <v>0</v>
      </c>
      <c r="LK613" s="156">
        <f t="shared" si="13"/>
        <v>0</v>
      </c>
      <c r="LL613" s="156">
        <f t="shared" si="14"/>
        <v>0</v>
      </c>
      <c r="LM613" s="160">
        <f t="shared" si="15"/>
        <v>0</v>
      </c>
      <c r="QX613" s="560">
        <v>46147.0</v>
      </c>
    </row>
    <row r="614">
      <c r="A614" s="12"/>
      <c r="B614" s="12"/>
      <c r="C614" s="12"/>
      <c r="D614" s="12"/>
      <c r="E614" s="12"/>
      <c r="F614" s="12"/>
      <c r="G614" s="12"/>
      <c r="H614" s="12"/>
      <c r="I614" s="143">
        <f t="shared" si="22"/>
        <v>-39</v>
      </c>
      <c r="J614" s="537">
        <v>46153.0</v>
      </c>
      <c r="K614" s="164" t="s">
        <v>61</v>
      </c>
      <c r="L614" s="537">
        <v>46273.0</v>
      </c>
      <c r="M614" s="86" t="s">
        <v>712</v>
      </c>
      <c r="N614" s="86">
        <v>246.0</v>
      </c>
      <c r="O614" s="86">
        <v>30.0</v>
      </c>
      <c r="U614" s="162" t="s">
        <v>3516</v>
      </c>
      <c r="V614" s="538" t="s">
        <v>3247</v>
      </c>
      <c r="W614" s="185" t="s">
        <v>3558</v>
      </c>
      <c r="X614" s="140"/>
      <c r="Y614" s="166">
        <f t="shared" si="23"/>
        <v>39</v>
      </c>
      <c r="Z614" s="26">
        <f t="shared" si="7"/>
        <v>0</v>
      </c>
      <c r="AA614" s="26">
        <f t="shared" si="8"/>
        <v>2</v>
      </c>
      <c r="AB614" s="26">
        <f t="shared" si="9"/>
        <v>0</v>
      </c>
      <c r="AC614" s="155">
        <v>0.0</v>
      </c>
      <c r="AD614" s="155">
        <v>0.0</v>
      </c>
      <c r="AE614" s="155">
        <v>0.0</v>
      </c>
      <c r="AF614" s="155">
        <v>0.0</v>
      </c>
      <c r="AG614" s="155">
        <v>0.0</v>
      </c>
      <c r="AH614" s="155">
        <v>0.0</v>
      </c>
      <c r="BN614" s="155">
        <v>0.0</v>
      </c>
      <c r="BO614" s="155">
        <v>0.0</v>
      </c>
      <c r="BP614" s="155">
        <v>0.0</v>
      </c>
      <c r="BQ614" s="155">
        <v>0.0</v>
      </c>
      <c r="BR614" s="155">
        <v>0.0</v>
      </c>
      <c r="BS614" s="155">
        <v>0.0</v>
      </c>
      <c r="CV614" s="156">
        <v>0.0</v>
      </c>
      <c r="CW614" s="156">
        <v>0.0</v>
      </c>
      <c r="CX614" s="156">
        <v>0.0</v>
      </c>
      <c r="CY614" s="156">
        <v>0.0</v>
      </c>
      <c r="CZ614" s="156">
        <v>0.0</v>
      </c>
      <c r="DA614" s="156">
        <v>0.0</v>
      </c>
      <c r="EG614" s="156">
        <v>0.0</v>
      </c>
      <c r="EH614" s="156">
        <v>0.0</v>
      </c>
      <c r="EI614" s="156">
        <v>0.0</v>
      </c>
      <c r="EJ614" s="156">
        <v>0.0</v>
      </c>
      <c r="EK614" s="156">
        <v>0.0</v>
      </c>
      <c r="EL614" s="156">
        <v>0.0</v>
      </c>
      <c r="FQ614" s="156">
        <v>9.0</v>
      </c>
      <c r="FR614" s="156">
        <v>0.0</v>
      </c>
      <c r="FS614" s="156">
        <v>0.0</v>
      </c>
      <c r="FT614" s="156">
        <v>0.0</v>
      </c>
      <c r="FU614" s="156">
        <v>0.0</v>
      </c>
      <c r="FV614" s="156">
        <v>0.0</v>
      </c>
      <c r="FW614" s="157"/>
      <c r="FX614" s="157"/>
      <c r="FY614" s="157"/>
      <c r="FZ614" s="157"/>
      <c r="GA614" s="157"/>
      <c r="GB614" s="157"/>
      <c r="GC614" s="157"/>
      <c r="GD614" s="157"/>
      <c r="GE614" s="157"/>
      <c r="GF614" s="157"/>
      <c r="GG614" s="174">
        <v>1.0</v>
      </c>
      <c r="GH614" s="174">
        <v>0.0</v>
      </c>
      <c r="GI614" s="174">
        <v>1.0</v>
      </c>
      <c r="GJ614" s="174">
        <v>0.0</v>
      </c>
      <c r="GK614" s="174">
        <v>1.0</v>
      </c>
      <c r="GL614" s="174">
        <v>0.0</v>
      </c>
      <c r="GM614" s="174">
        <v>0.0</v>
      </c>
      <c r="GN614" s="174">
        <v>1.0</v>
      </c>
      <c r="GO614" s="174">
        <v>0.0</v>
      </c>
      <c r="GP614" s="174">
        <v>1.0</v>
      </c>
      <c r="GQ614" s="174">
        <v>0.0</v>
      </c>
      <c r="GR614" s="175">
        <v>1.0</v>
      </c>
      <c r="GS614" s="174">
        <v>0.0</v>
      </c>
      <c r="GT614" s="174">
        <v>0.0</v>
      </c>
      <c r="GU614" s="174">
        <v>1.0</v>
      </c>
      <c r="GV614" s="174">
        <v>0.0</v>
      </c>
      <c r="GW614" s="174">
        <v>1.0</v>
      </c>
      <c r="GX614" s="174">
        <v>0.0</v>
      </c>
      <c r="GY614" s="174">
        <v>1.0</v>
      </c>
      <c r="GZ614" s="174">
        <v>0.0</v>
      </c>
      <c r="HA614" s="174">
        <v>0.0</v>
      </c>
      <c r="HB614" s="155">
        <v>11.0</v>
      </c>
      <c r="HC614" s="155">
        <v>0.0</v>
      </c>
      <c r="HD614" s="155">
        <v>0.0</v>
      </c>
      <c r="HE614" s="155">
        <v>2.0</v>
      </c>
      <c r="HF614" s="155">
        <v>0.0</v>
      </c>
      <c r="HG614" s="155">
        <v>0.0</v>
      </c>
      <c r="HH614" s="174">
        <v>1.0</v>
      </c>
      <c r="HI614" s="174">
        <v>0.0</v>
      </c>
      <c r="HJ614" s="174">
        <v>1.0</v>
      </c>
      <c r="HK614" s="174">
        <v>0.0</v>
      </c>
      <c r="HL614" s="174">
        <v>1.0</v>
      </c>
      <c r="HM614" s="174">
        <v>0.0</v>
      </c>
      <c r="HN614" s="174">
        <v>0.0</v>
      </c>
      <c r="HO614" s="174"/>
      <c r="HP614" s="174">
        <v>0.0</v>
      </c>
      <c r="HQ614" s="175" t="s">
        <v>947</v>
      </c>
      <c r="HR614" s="174"/>
      <c r="HS614" s="175" t="s">
        <v>947</v>
      </c>
      <c r="HT614" s="174"/>
      <c r="HU614" s="174"/>
      <c r="HV614" s="174">
        <v>1.0</v>
      </c>
      <c r="HW614" s="174">
        <v>0.0</v>
      </c>
      <c r="HX614" s="174">
        <v>1.0</v>
      </c>
      <c r="HY614" s="174">
        <v>0.0</v>
      </c>
      <c r="HZ614" s="174">
        <v>1.0</v>
      </c>
      <c r="IA614" s="174">
        <v>0.0</v>
      </c>
      <c r="IB614" s="174">
        <v>0.0</v>
      </c>
      <c r="IC614" s="174"/>
      <c r="ID614" s="174"/>
      <c r="IE614" s="174">
        <v>1.0</v>
      </c>
      <c r="IF614" s="174">
        <v>0.0</v>
      </c>
      <c r="IG614" s="174">
        <v>1.0</v>
      </c>
      <c r="IH614" s="174">
        <v>0.0</v>
      </c>
      <c r="II614" s="174">
        <v>0.0</v>
      </c>
      <c r="IJ614" s="174">
        <v>1.0</v>
      </c>
      <c r="IK614" s="174">
        <v>0.0</v>
      </c>
      <c r="IL614" s="159">
        <v>11.0</v>
      </c>
      <c r="IM614" s="156">
        <v>0.0</v>
      </c>
      <c r="IN614" s="156">
        <v>0.0</v>
      </c>
      <c r="IO614" s="156">
        <v>0.0</v>
      </c>
      <c r="IP614" s="156">
        <v>0.0</v>
      </c>
      <c r="IQ614" s="160">
        <v>0.0</v>
      </c>
      <c r="IR614" s="174"/>
      <c r="IS614" s="174">
        <v>0.0</v>
      </c>
      <c r="IT614" s="174">
        <v>1.0</v>
      </c>
      <c r="IU614" s="174">
        <v>0.0</v>
      </c>
      <c r="IV614" s="174">
        <v>0.0</v>
      </c>
      <c r="IW614" s="174">
        <v>1.0</v>
      </c>
      <c r="IX614" s="174">
        <v>0.0</v>
      </c>
      <c r="IY614" s="174">
        <v>1.0</v>
      </c>
      <c r="IZ614" s="174">
        <v>0.0</v>
      </c>
      <c r="JA614" s="174">
        <v>1.0</v>
      </c>
      <c r="JB614" s="174">
        <v>0.0</v>
      </c>
      <c r="JC614" s="174">
        <v>0.0</v>
      </c>
      <c r="JD614" s="174">
        <v>1.0</v>
      </c>
      <c r="JE614" s="174">
        <v>0.0</v>
      </c>
      <c r="JF614" s="175">
        <v>1.0</v>
      </c>
      <c r="JG614" s="174">
        <v>0.0</v>
      </c>
      <c r="JH614" s="177">
        <v>1.0</v>
      </c>
      <c r="JI614" s="174"/>
      <c r="JJ614" s="174"/>
      <c r="JK614" s="175">
        <v>1.0</v>
      </c>
      <c r="JL614" s="174"/>
      <c r="JM614" s="175">
        <v>1.0</v>
      </c>
      <c r="JN614" s="174"/>
      <c r="JO614" s="174"/>
      <c r="JP614" s="174"/>
      <c r="JQ614" s="174"/>
      <c r="JR614" s="175"/>
      <c r="JS614" s="174"/>
      <c r="JT614" s="175">
        <v>1.0</v>
      </c>
      <c r="JU614" s="174"/>
      <c r="JV614" s="175">
        <v>1.0</v>
      </c>
      <c r="JW614" s="159">
        <v>8.0</v>
      </c>
      <c r="JX614" s="156">
        <v>0.0</v>
      </c>
      <c r="JY614" s="156">
        <v>0.0</v>
      </c>
      <c r="JZ614" s="156">
        <v>0.0</v>
      </c>
      <c r="KA614" s="156">
        <v>0.0</v>
      </c>
      <c r="KB614" s="160">
        <v>0.0</v>
      </c>
      <c r="KC614" s="174"/>
      <c r="KD614" s="174"/>
      <c r="KE614" s="175">
        <v>1.0</v>
      </c>
      <c r="KF614" s="174"/>
      <c r="KG614" s="175">
        <v>1.0</v>
      </c>
      <c r="KH614" s="174"/>
      <c r="KI614" s="174"/>
      <c r="KJ614" s="174"/>
      <c r="KK614" s="174"/>
      <c r="KL614" s="175">
        <v>1.0</v>
      </c>
      <c r="KM614" s="174"/>
      <c r="KN614" s="175">
        <v>1.0</v>
      </c>
      <c r="KO614" s="174"/>
      <c r="KP614" s="175">
        <v>1.0</v>
      </c>
      <c r="KQ614" s="174"/>
      <c r="KR614" s="174"/>
      <c r="KS614" s="186">
        <v>1.0</v>
      </c>
      <c r="KT614" s="174"/>
      <c r="KU614" s="174"/>
      <c r="KV614" s="174"/>
      <c r="KW614" s="175">
        <v>1.0</v>
      </c>
      <c r="KX614" s="174"/>
      <c r="KY614" s="174"/>
      <c r="KZ614" s="174"/>
      <c r="LA614" s="174"/>
      <c r="LB614" s="175">
        <v>1.0</v>
      </c>
      <c r="LC614" s="174"/>
      <c r="LD614" s="174"/>
      <c r="LE614" s="174"/>
      <c r="LF614" s="174"/>
      <c r="LG614" s="174"/>
      <c r="LH614" s="159">
        <f t="shared" si="10"/>
        <v>0</v>
      </c>
      <c r="LI614" s="156">
        <f t="shared" si="11"/>
        <v>0</v>
      </c>
      <c r="LJ614" s="156">
        <f t="shared" si="12"/>
        <v>0</v>
      </c>
      <c r="LK614" s="156">
        <f t="shared" si="13"/>
        <v>0</v>
      </c>
      <c r="LL614" s="156">
        <f t="shared" si="14"/>
        <v>0</v>
      </c>
      <c r="LM614" s="160">
        <f t="shared" si="15"/>
        <v>0</v>
      </c>
      <c r="QX614" s="560">
        <v>46147.0</v>
      </c>
    </row>
    <row r="615">
      <c r="A615" s="12"/>
      <c r="B615" s="12"/>
      <c r="C615" s="12"/>
      <c r="D615" s="12"/>
      <c r="E615" s="12"/>
      <c r="F615" s="12"/>
      <c r="G615" s="12"/>
      <c r="H615" s="12"/>
      <c r="I615" s="143">
        <f t="shared" si="22"/>
        <v>-29</v>
      </c>
      <c r="J615" s="537">
        <v>46150.0</v>
      </c>
      <c r="K615" s="567" t="s">
        <v>48</v>
      </c>
      <c r="L615" s="590"/>
      <c r="M615" s="554" t="s">
        <v>107</v>
      </c>
      <c r="N615" s="555">
        <v>246.0</v>
      </c>
      <c r="O615" s="554">
        <v>60.0</v>
      </c>
      <c r="P615" s="556"/>
      <c r="Q615" s="556"/>
      <c r="R615" s="556"/>
      <c r="S615" s="556"/>
      <c r="T615" s="556"/>
      <c r="U615" s="554" t="s">
        <v>2406</v>
      </c>
      <c r="V615" s="557" t="s">
        <v>1820</v>
      </c>
      <c r="W615" s="591" t="s">
        <v>3439</v>
      </c>
      <c r="X615" s="140"/>
      <c r="Y615" s="166">
        <f t="shared" si="23"/>
        <v>29</v>
      </c>
      <c r="Z615" s="26">
        <f t="shared" si="7"/>
        <v>0</v>
      </c>
      <c r="AA615" s="26">
        <f t="shared" si="8"/>
        <v>0</v>
      </c>
      <c r="AB615" s="26">
        <f t="shared" si="9"/>
        <v>0</v>
      </c>
      <c r="AC615" s="155">
        <v>0.0</v>
      </c>
      <c r="AD615" s="155">
        <v>0.0</v>
      </c>
      <c r="AE615" s="155">
        <v>0.0</v>
      </c>
      <c r="AF615" s="155">
        <v>0.0</v>
      </c>
      <c r="AG615" s="155">
        <v>0.0</v>
      </c>
      <c r="AH615" s="155">
        <v>0.0</v>
      </c>
      <c r="BN615" s="155">
        <v>0.0</v>
      </c>
      <c r="BO615" s="155">
        <v>0.0</v>
      </c>
      <c r="BP615" s="155">
        <v>0.0</v>
      </c>
      <c r="BQ615" s="155">
        <v>0.0</v>
      </c>
      <c r="BR615" s="155">
        <v>0.0</v>
      </c>
      <c r="BS615" s="155">
        <v>0.0</v>
      </c>
      <c r="CV615" s="156">
        <v>0.0</v>
      </c>
      <c r="CW615" s="156">
        <v>0.0</v>
      </c>
      <c r="CX615" s="156">
        <v>0.0</v>
      </c>
      <c r="CY615" s="156">
        <v>0.0</v>
      </c>
      <c r="CZ615" s="156">
        <v>0.0</v>
      </c>
      <c r="DA615" s="156">
        <v>0.0</v>
      </c>
      <c r="EG615" s="156">
        <v>0.0</v>
      </c>
      <c r="EH615" s="156">
        <v>0.0</v>
      </c>
      <c r="EI615" s="156">
        <v>0.0</v>
      </c>
      <c r="EJ615" s="156">
        <v>0.0</v>
      </c>
      <c r="EK615" s="156">
        <v>0.0</v>
      </c>
      <c r="EL615" s="156">
        <v>0.0</v>
      </c>
      <c r="FQ615" s="156">
        <v>10.0</v>
      </c>
      <c r="FR615" s="156">
        <v>0.0</v>
      </c>
      <c r="FS615" s="156">
        <v>0.0</v>
      </c>
      <c r="FT615" s="156">
        <v>0.0</v>
      </c>
      <c r="FU615" s="156">
        <v>0.0</v>
      </c>
      <c r="FV615" s="156">
        <v>0.0</v>
      </c>
      <c r="FW615" s="174"/>
      <c r="FX615" s="174"/>
      <c r="FY615" s="174"/>
      <c r="FZ615" s="174"/>
      <c r="GA615" s="174"/>
      <c r="GB615" s="174"/>
      <c r="GC615" s="174"/>
      <c r="GD615" s="174">
        <v>1.0</v>
      </c>
      <c r="GE615" s="174">
        <v>0.0</v>
      </c>
      <c r="GF615" s="174">
        <v>0.0</v>
      </c>
      <c r="GG615" s="174">
        <v>1.0</v>
      </c>
      <c r="GH615" s="174">
        <v>0.0</v>
      </c>
      <c r="GI615" s="174">
        <v>1.0</v>
      </c>
      <c r="GJ615" s="174">
        <v>0.0</v>
      </c>
      <c r="GK615" s="174">
        <v>1.0</v>
      </c>
      <c r="GL615" s="174">
        <v>0.0</v>
      </c>
      <c r="GM615" s="174">
        <v>0.0</v>
      </c>
      <c r="GN615" s="174">
        <v>1.0</v>
      </c>
      <c r="GO615" s="174">
        <v>0.0</v>
      </c>
      <c r="GP615" s="177">
        <v>1.0</v>
      </c>
      <c r="GQ615" s="174">
        <v>0.0</v>
      </c>
      <c r="GR615" s="174">
        <v>1.0</v>
      </c>
      <c r="GS615" s="174">
        <v>0.0</v>
      </c>
      <c r="GT615" s="174">
        <v>0.0</v>
      </c>
      <c r="GU615" s="174">
        <v>1.0</v>
      </c>
      <c r="GV615" s="174">
        <v>0.0</v>
      </c>
      <c r="GW615" s="174">
        <v>1.0</v>
      </c>
      <c r="GX615" s="174">
        <v>0.0</v>
      </c>
      <c r="GY615" s="174">
        <v>1.0</v>
      </c>
      <c r="GZ615" s="174">
        <v>0.0</v>
      </c>
      <c r="HA615" s="174">
        <v>0.0</v>
      </c>
      <c r="HB615" s="155">
        <v>13.0</v>
      </c>
      <c r="HC615" s="155">
        <v>0.0</v>
      </c>
      <c r="HD615" s="155">
        <v>0.0</v>
      </c>
      <c r="HE615" s="155">
        <v>0.0</v>
      </c>
      <c r="HF615" s="155">
        <v>0.0</v>
      </c>
      <c r="HG615" s="155">
        <v>0.0</v>
      </c>
      <c r="HH615" s="174">
        <v>1.0</v>
      </c>
      <c r="HI615" s="174">
        <v>0.0</v>
      </c>
      <c r="HJ615" s="174">
        <v>1.0</v>
      </c>
      <c r="HK615" s="174">
        <v>0.0</v>
      </c>
      <c r="HL615" s="174">
        <v>1.0</v>
      </c>
      <c r="HM615" s="174">
        <v>0.0</v>
      </c>
      <c r="HN615" s="174">
        <v>0.0</v>
      </c>
      <c r="HO615" s="174">
        <v>1.0</v>
      </c>
      <c r="HP615" s="174">
        <v>0.0</v>
      </c>
      <c r="HQ615" s="174">
        <v>1.0</v>
      </c>
      <c r="HR615" s="174">
        <v>0.0</v>
      </c>
      <c r="HS615" s="174">
        <v>1.0</v>
      </c>
      <c r="HT615" s="174">
        <v>0.0</v>
      </c>
      <c r="HU615" s="174">
        <v>0.0</v>
      </c>
      <c r="HV615" s="174">
        <v>1.0</v>
      </c>
      <c r="HW615" s="174">
        <v>0.0</v>
      </c>
      <c r="HX615" s="174">
        <v>1.0</v>
      </c>
      <c r="HY615" s="174">
        <v>0.0</v>
      </c>
      <c r="HZ615" s="174">
        <v>1.0</v>
      </c>
      <c r="IA615" s="174">
        <v>0.0</v>
      </c>
      <c r="IB615" s="174">
        <v>0.0</v>
      </c>
      <c r="IC615" s="174">
        <v>1.0</v>
      </c>
      <c r="ID615" s="174">
        <v>0.0</v>
      </c>
      <c r="IE615" s="174">
        <v>1.0</v>
      </c>
      <c r="IF615" s="174">
        <v>0.0</v>
      </c>
      <c r="IG615" s="174">
        <v>1.0</v>
      </c>
      <c r="IH615" s="174">
        <v>0.0</v>
      </c>
      <c r="II615" s="174">
        <v>0.0</v>
      </c>
      <c r="IJ615" s="174">
        <v>1.0</v>
      </c>
      <c r="IK615" s="174">
        <v>0.0</v>
      </c>
      <c r="IL615" s="159">
        <v>3.0</v>
      </c>
      <c r="IM615" s="156">
        <v>0.0</v>
      </c>
      <c r="IN615" s="156">
        <v>0.0</v>
      </c>
      <c r="IO615" s="156">
        <v>0.0</v>
      </c>
      <c r="IP615" s="156">
        <v>0.0</v>
      </c>
      <c r="IQ615" s="160">
        <v>0.0</v>
      </c>
      <c r="IR615" s="174">
        <v>1.0</v>
      </c>
      <c r="IS615" s="174">
        <v>0.0</v>
      </c>
      <c r="IT615" s="174">
        <v>1.0</v>
      </c>
      <c r="IU615" s="174">
        <v>0.0</v>
      </c>
      <c r="IV615" s="174">
        <v>0.0</v>
      </c>
      <c r="IW615" s="174"/>
      <c r="IX615" s="174">
        <v>0.0</v>
      </c>
      <c r="IY615" s="174"/>
      <c r="IZ615" s="174">
        <v>0.0</v>
      </c>
      <c r="JA615" s="174"/>
      <c r="JB615" s="174">
        <v>0.0</v>
      </c>
      <c r="JC615" s="174">
        <v>0.0</v>
      </c>
      <c r="JD615" s="174"/>
      <c r="JE615" s="174">
        <v>0.0</v>
      </c>
      <c r="JF615" s="174"/>
      <c r="JG615" s="174">
        <v>0.0</v>
      </c>
      <c r="JH615" s="177">
        <v>1.0</v>
      </c>
      <c r="JI615" s="174"/>
      <c r="JJ615" s="174"/>
      <c r="JK615" s="174"/>
      <c r="JL615" s="174"/>
      <c r="JM615" s="174"/>
      <c r="JN615" s="174"/>
      <c r="JO615" s="174"/>
      <c r="JP615" s="174"/>
      <c r="JQ615" s="174"/>
      <c r="JR615" s="174"/>
      <c r="JS615" s="174"/>
      <c r="JT615" s="174"/>
      <c r="JU615" s="174"/>
      <c r="JV615" s="174"/>
      <c r="JW615" s="159">
        <v>0.0</v>
      </c>
      <c r="JX615" s="156">
        <v>0.0</v>
      </c>
      <c r="JY615" s="156">
        <v>0.0</v>
      </c>
      <c r="JZ615" s="156">
        <v>0.0</v>
      </c>
      <c r="KA615" s="156">
        <v>0.0</v>
      </c>
      <c r="KB615" s="160">
        <v>0.0</v>
      </c>
      <c r="KC615" s="174"/>
      <c r="KD615" s="174"/>
      <c r="KE615" s="174"/>
      <c r="KF615" s="174"/>
      <c r="KG615" s="174"/>
      <c r="KH615" s="174"/>
      <c r="KI615" s="174"/>
      <c r="KJ615" s="174"/>
      <c r="KK615" s="174"/>
      <c r="KL615" s="174"/>
      <c r="KM615" s="174"/>
      <c r="KN615" s="174"/>
      <c r="KO615" s="174"/>
      <c r="KP615" s="174"/>
      <c r="KQ615" s="174"/>
      <c r="KR615" s="174"/>
      <c r="KS615" s="472"/>
      <c r="KT615" s="174"/>
      <c r="KU615" s="174"/>
      <c r="KV615" s="174"/>
      <c r="KW615" s="174"/>
      <c r="KX615" s="174"/>
      <c r="KY615" s="174"/>
      <c r="KZ615" s="174"/>
      <c r="LA615" s="174"/>
      <c r="LB615" s="174"/>
      <c r="LC615" s="174"/>
      <c r="LD615" s="174"/>
      <c r="LE615" s="174"/>
      <c r="LF615" s="174"/>
      <c r="LG615" s="174"/>
      <c r="LH615" s="159">
        <f t="shared" si="10"/>
        <v>3</v>
      </c>
      <c r="LI615" s="156">
        <f t="shared" si="11"/>
        <v>0</v>
      </c>
      <c r="LJ615" s="156">
        <f t="shared" si="12"/>
        <v>0</v>
      </c>
      <c r="LK615" s="156">
        <f t="shared" si="13"/>
        <v>0</v>
      </c>
      <c r="LL615" s="156">
        <f t="shared" si="14"/>
        <v>0</v>
      </c>
      <c r="LM615" s="160">
        <f t="shared" si="15"/>
        <v>0</v>
      </c>
      <c r="LN615" s="174"/>
      <c r="LO615" s="174"/>
      <c r="LP615" s="174"/>
      <c r="LQ615" s="174"/>
      <c r="LR615" s="174"/>
      <c r="LS615" s="174"/>
      <c r="LT615" s="174"/>
      <c r="LU615" s="174"/>
      <c r="LV615" s="174"/>
      <c r="LW615" s="174">
        <f t="shared" ref="LW615:MQ615" si="52">IFS(TODAY()&lt;=LW$2,0,WEEKDAY(LW$2)=2,1,WEEKDAY(LW$2)=3,0,WEEKDAY(LW$2)=4,1,WEEKDAY(LW$2)=5,0,WEEKDAY(LW$2)=6,1,WEEKDAY(LW$2)=7,0,WEEKDAY(LW$2)=1,0)</f>
        <v>0</v>
      </c>
      <c r="LX615" s="174">
        <f t="shared" si="52"/>
        <v>1</v>
      </c>
      <c r="LY615" s="174">
        <f t="shared" si="52"/>
        <v>0</v>
      </c>
      <c r="LZ615" s="174">
        <f t="shared" si="52"/>
        <v>0</v>
      </c>
      <c r="MA615" s="174">
        <f t="shared" si="52"/>
        <v>1</v>
      </c>
      <c r="MB615" s="174">
        <f t="shared" si="52"/>
        <v>0</v>
      </c>
      <c r="MC615" s="174">
        <f t="shared" si="52"/>
        <v>1</v>
      </c>
      <c r="MD615" s="174">
        <f t="shared" si="52"/>
        <v>0</v>
      </c>
      <c r="ME615" s="174">
        <f t="shared" si="52"/>
        <v>0</v>
      </c>
      <c r="MF615" s="174">
        <f t="shared" si="52"/>
        <v>0</v>
      </c>
      <c r="MG615" s="174">
        <f t="shared" si="52"/>
        <v>0</v>
      </c>
      <c r="MH615" s="174">
        <f t="shared" si="52"/>
        <v>0</v>
      </c>
      <c r="MI615" s="174">
        <f t="shared" si="52"/>
        <v>0</v>
      </c>
      <c r="MJ615" s="174">
        <f t="shared" si="52"/>
        <v>0</v>
      </c>
      <c r="MK615" s="174">
        <f t="shared" si="52"/>
        <v>0</v>
      </c>
      <c r="ML615" s="174">
        <f t="shared" si="52"/>
        <v>0</v>
      </c>
      <c r="MM615" s="174">
        <f t="shared" si="52"/>
        <v>0</v>
      </c>
      <c r="MN615" s="174">
        <f t="shared" si="52"/>
        <v>0</v>
      </c>
      <c r="MO615" s="174">
        <f t="shared" si="52"/>
        <v>0</v>
      </c>
      <c r="MP615" s="174">
        <f t="shared" si="52"/>
        <v>0</v>
      </c>
      <c r="MQ615" s="174">
        <f t="shared" si="52"/>
        <v>0</v>
      </c>
      <c r="QX615" s="560">
        <v>46149.0</v>
      </c>
    </row>
    <row r="616">
      <c r="A616" s="58"/>
      <c r="B616" s="58"/>
      <c r="C616" s="12"/>
      <c r="D616" s="12"/>
      <c r="E616" s="12"/>
      <c r="F616" s="494"/>
      <c r="G616" s="12"/>
      <c r="H616" s="12"/>
      <c r="I616" s="143">
        <f t="shared" si="22"/>
        <v>-7</v>
      </c>
      <c r="J616" s="537">
        <v>46154.0</v>
      </c>
      <c r="K616" s="164" t="s">
        <v>53</v>
      </c>
      <c r="L616" s="23">
        <v>46183.0</v>
      </c>
      <c r="M616" s="86" t="s">
        <v>1733</v>
      </c>
      <c r="N616" s="86">
        <v>36.0</v>
      </c>
      <c r="O616" s="86">
        <v>30.0</v>
      </c>
      <c r="U616" s="162" t="s">
        <v>447</v>
      </c>
      <c r="V616" s="538" t="s">
        <v>613</v>
      </c>
      <c r="W616" s="125" t="s">
        <v>3559</v>
      </c>
      <c r="X616" s="140"/>
      <c r="Y616" s="166">
        <f t="shared" si="23"/>
        <v>7</v>
      </c>
      <c r="Z616" s="26">
        <f t="shared" si="7"/>
        <v>0</v>
      </c>
      <c r="AA616" s="26">
        <f t="shared" si="8"/>
        <v>1</v>
      </c>
      <c r="AB616" s="26">
        <f t="shared" si="9"/>
        <v>0</v>
      </c>
      <c r="AC616" s="155">
        <v>0.0</v>
      </c>
      <c r="AD616" s="155">
        <v>0.0</v>
      </c>
      <c r="AE616" s="155">
        <v>0.0</v>
      </c>
      <c r="AF616" s="155">
        <v>0.0</v>
      </c>
      <c r="AG616" s="155">
        <v>0.0</v>
      </c>
      <c r="AH616" s="155">
        <v>0.0</v>
      </c>
      <c r="BN616" s="155">
        <v>0.0</v>
      </c>
      <c r="BO616" s="155">
        <v>0.0</v>
      </c>
      <c r="BP616" s="155">
        <v>0.0</v>
      </c>
      <c r="BQ616" s="155">
        <v>0.0</v>
      </c>
      <c r="BR616" s="155">
        <v>0.0</v>
      </c>
      <c r="BS616" s="155">
        <v>0.0</v>
      </c>
      <c r="CV616" s="156">
        <v>0.0</v>
      </c>
      <c r="CW616" s="156">
        <v>0.0</v>
      </c>
      <c r="CX616" s="156">
        <v>0.0</v>
      </c>
      <c r="CY616" s="156">
        <v>0.0</v>
      </c>
      <c r="CZ616" s="156">
        <v>0.0</v>
      </c>
      <c r="DA616" s="156">
        <v>0.0</v>
      </c>
      <c r="EG616" s="156">
        <v>0.0</v>
      </c>
      <c r="EH616" s="156">
        <v>0.0</v>
      </c>
      <c r="EI616" s="156">
        <v>0.0</v>
      </c>
      <c r="EJ616" s="156">
        <v>0.0</v>
      </c>
      <c r="EK616" s="156">
        <v>0.0</v>
      </c>
      <c r="EL616" s="156">
        <v>0.0</v>
      </c>
      <c r="FQ616" s="156">
        <v>4.0</v>
      </c>
      <c r="FR616" s="156">
        <v>0.0</v>
      </c>
      <c r="FS616" s="156">
        <v>0.0</v>
      </c>
      <c r="FT616" s="156">
        <v>0.0</v>
      </c>
      <c r="FU616" s="156">
        <v>0.0</v>
      </c>
      <c r="FV616" s="156">
        <v>1.0</v>
      </c>
      <c r="FW616" s="157"/>
      <c r="FX616" s="157"/>
      <c r="FY616" s="157"/>
      <c r="FZ616" s="157"/>
      <c r="GA616" s="157"/>
      <c r="GB616" s="157"/>
      <c r="GC616" s="157"/>
      <c r="GD616" s="157"/>
      <c r="GE616" s="157"/>
      <c r="GF616" s="157"/>
      <c r="GG616" s="157"/>
      <c r="GH616" s="174">
        <v>1.0</v>
      </c>
      <c r="GI616" s="174">
        <v>0.0</v>
      </c>
      <c r="GJ616" s="174">
        <v>0.0</v>
      </c>
      <c r="GK616" s="174">
        <v>1.0</v>
      </c>
      <c r="GL616" s="174">
        <v>0.0</v>
      </c>
      <c r="GM616" s="174">
        <v>0.0</v>
      </c>
      <c r="GN616" s="174">
        <v>0.0</v>
      </c>
      <c r="GO616" s="175" t="s">
        <v>3354</v>
      </c>
      <c r="GP616" s="177">
        <v>0.0</v>
      </c>
      <c r="GQ616" s="174">
        <v>0.0</v>
      </c>
      <c r="GR616" s="175">
        <v>1.0</v>
      </c>
      <c r="GS616" s="174">
        <v>0.0</v>
      </c>
      <c r="GT616" s="174">
        <v>0.0</v>
      </c>
      <c r="GU616" s="174">
        <v>0.0</v>
      </c>
      <c r="GV616" s="174"/>
      <c r="GW616" s="174">
        <v>0.0</v>
      </c>
      <c r="GX616" s="174">
        <v>0.0</v>
      </c>
      <c r="GY616" s="174">
        <v>1.0</v>
      </c>
      <c r="GZ616" s="174">
        <v>0.0</v>
      </c>
      <c r="HA616" s="174">
        <v>0.0</v>
      </c>
      <c r="HB616" s="155">
        <v>3.0</v>
      </c>
      <c r="HC616" s="155">
        <v>0.0</v>
      </c>
      <c r="HD616" s="155">
        <v>0.0</v>
      </c>
      <c r="HE616" s="155">
        <v>1.0</v>
      </c>
      <c r="HF616" s="155">
        <v>0.0</v>
      </c>
      <c r="HG616" s="155">
        <v>0.0</v>
      </c>
      <c r="HI616" s="86">
        <v>1.0</v>
      </c>
      <c r="HL616" s="86">
        <v>1.0</v>
      </c>
      <c r="HP616" s="86" t="s">
        <v>947</v>
      </c>
      <c r="IL616" s="159">
        <v>0.0</v>
      </c>
      <c r="IM616" s="156">
        <v>0.0</v>
      </c>
      <c r="IN616" s="156">
        <v>0.0</v>
      </c>
      <c r="IO616" s="156">
        <v>0.0</v>
      </c>
      <c r="IP616" s="156">
        <v>0.0</v>
      </c>
      <c r="IQ616" s="160">
        <v>0.0</v>
      </c>
      <c r="JH616" s="25"/>
      <c r="JW616" s="159">
        <v>0.0</v>
      </c>
      <c r="JX616" s="156">
        <v>0.0</v>
      </c>
      <c r="JY616" s="156">
        <v>0.0</v>
      </c>
      <c r="JZ616" s="156">
        <v>0.0</v>
      </c>
      <c r="KA616" s="156">
        <v>0.0</v>
      </c>
      <c r="KB616" s="160">
        <v>0.0</v>
      </c>
      <c r="LH616" s="159">
        <f t="shared" si="10"/>
        <v>0</v>
      </c>
      <c r="LI616" s="156">
        <f t="shared" si="11"/>
        <v>0</v>
      </c>
      <c r="LJ616" s="156">
        <f t="shared" si="12"/>
        <v>0</v>
      </c>
      <c r="LK616" s="156">
        <f t="shared" si="13"/>
        <v>0</v>
      </c>
      <c r="LL616" s="156">
        <f t="shared" si="14"/>
        <v>0</v>
      </c>
      <c r="LM616" s="160">
        <f t="shared" si="15"/>
        <v>0</v>
      </c>
      <c r="QX616" s="560">
        <v>46149.0</v>
      </c>
    </row>
    <row r="617">
      <c r="A617" s="12"/>
      <c r="B617" s="12"/>
      <c r="C617" s="12"/>
      <c r="D617" s="12"/>
      <c r="E617" s="58"/>
      <c r="F617" s="12"/>
      <c r="G617" s="12"/>
      <c r="H617" s="12"/>
      <c r="I617" s="143">
        <f t="shared" si="22"/>
        <v>-31</v>
      </c>
      <c r="J617" s="537">
        <v>46160.0</v>
      </c>
      <c r="K617" s="164" t="s">
        <v>48</v>
      </c>
      <c r="L617" s="162"/>
      <c r="M617" s="86" t="s">
        <v>3560</v>
      </c>
      <c r="N617" s="86">
        <v>245.0</v>
      </c>
      <c r="O617" s="86">
        <v>30.0</v>
      </c>
      <c r="U617" s="162" t="s">
        <v>3149</v>
      </c>
      <c r="V617" s="538" t="s">
        <v>1553</v>
      </c>
      <c r="W617" s="185" t="s">
        <v>3561</v>
      </c>
      <c r="X617" s="140"/>
      <c r="Y617" s="166">
        <f t="shared" si="23"/>
        <v>31</v>
      </c>
      <c r="Z617" s="26">
        <f t="shared" si="7"/>
        <v>0</v>
      </c>
      <c r="AA617" s="26">
        <f t="shared" si="8"/>
        <v>2</v>
      </c>
      <c r="AB617" s="26">
        <f t="shared" si="9"/>
        <v>0</v>
      </c>
      <c r="AC617" s="155">
        <v>0.0</v>
      </c>
      <c r="AD617" s="155">
        <v>0.0</v>
      </c>
      <c r="AE617" s="155">
        <v>0.0</v>
      </c>
      <c r="AF617" s="155">
        <v>0.0</v>
      </c>
      <c r="AG617" s="155">
        <v>0.0</v>
      </c>
      <c r="AH617" s="155">
        <v>0.0</v>
      </c>
      <c r="BN617" s="155">
        <v>0.0</v>
      </c>
      <c r="BO617" s="155">
        <v>0.0</v>
      </c>
      <c r="BP617" s="155">
        <v>0.0</v>
      </c>
      <c r="BQ617" s="155">
        <v>0.0</v>
      </c>
      <c r="BR617" s="155">
        <v>0.0</v>
      </c>
      <c r="BS617" s="155">
        <v>0.0</v>
      </c>
      <c r="CV617" s="156">
        <v>0.0</v>
      </c>
      <c r="CW617" s="156">
        <v>0.0</v>
      </c>
      <c r="CX617" s="156">
        <v>0.0</v>
      </c>
      <c r="CY617" s="156">
        <v>0.0</v>
      </c>
      <c r="CZ617" s="156">
        <v>0.0</v>
      </c>
      <c r="DA617" s="156">
        <v>0.0</v>
      </c>
      <c r="EG617" s="156">
        <v>0.0</v>
      </c>
      <c r="EH617" s="156">
        <v>0.0</v>
      </c>
      <c r="EI617" s="156">
        <v>0.0</v>
      </c>
      <c r="EJ617" s="156">
        <v>0.0</v>
      </c>
      <c r="EK617" s="156">
        <v>0.0</v>
      </c>
      <c r="EL617" s="156">
        <v>0.0</v>
      </c>
      <c r="FQ617" s="156">
        <v>4.0</v>
      </c>
      <c r="FR617" s="156">
        <v>0.0</v>
      </c>
      <c r="FS617" s="156">
        <v>0.0</v>
      </c>
      <c r="FT617" s="156">
        <v>0.0</v>
      </c>
      <c r="FU617" s="156">
        <v>0.0</v>
      </c>
      <c r="FV617" s="156">
        <v>0.0</v>
      </c>
      <c r="FW617" s="157"/>
      <c r="FX617" s="157"/>
      <c r="FY617" s="157"/>
      <c r="FZ617" s="157"/>
      <c r="GA617" s="157"/>
      <c r="GB617" s="157"/>
      <c r="GC617" s="157"/>
      <c r="GD617" s="157"/>
      <c r="GE617" s="157"/>
      <c r="GF617" s="157"/>
      <c r="GG617" s="157"/>
      <c r="GH617" s="157"/>
      <c r="GI617" s="157"/>
      <c r="GJ617" s="157"/>
      <c r="GK617" s="157"/>
      <c r="GL617" s="157"/>
      <c r="GM617" s="157"/>
      <c r="GN617" s="174">
        <v>1.0</v>
      </c>
      <c r="GO617" s="174">
        <v>0.0</v>
      </c>
      <c r="GP617" s="175">
        <v>1.0</v>
      </c>
      <c r="GQ617" s="175"/>
      <c r="GR617" s="174">
        <v>0.0</v>
      </c>
      <c r="GS617" s="174">
        <v>0.0</v>
      </c>
      <c r="GT617" s="174">
        <v>0.0</v>
      </c>
      <c r="GU617" s="174">
        <v>1.0</v>
      </c>
      <c r="GV617" s="174">
        <v>0.0</v>
      </c>
      <c r="GW617" s="174">
        <v>1.0</v>
      </c>
      <c r="GX617" s="174"/>
      <c r="GY617" s="174"/>
      <c r="GZ617" s="174"/>
      <c r="HA617" s="174"/>
      <c r="HB617" s="155">
        <v>10.0</v>
      </c>
      <c r="HC617" s="155">
        <v>0.0</v>
      </c>
      <c r="HD617" s="155">
        <v>0.0</v>
      </c>
      <c r="HE617" s="155">
        <v>0.0</v>
      </c>
      <c r="HF617" s="155">
        <v>0.0</v>
      </c>
      <c r="HG617" s="155">
        <v>0.0</v>
      </c>
      <c r="HH617" s="86">
        <v>1.0</v>
      </c>
      <c r="HJ617" s="86">
        <v>1.0</v>
      </c>
      <c r="HK617" s="86">
        <v>1.0</v>
      </c>
      <c r="HO617" s="86">
        <v>1.0</v>
      </c>
      <c r="HQ617" s="86">
        <v>1.0</v>
      </c>
      <c r="HR617" s="86">
        <v>1.0</v>
      </c>
      <c r="HV617" s="86">
        <v>1.0</v>
      </c>
      <c r="HY617" s="86">
        <v>1.0</v>
      </c>
      <c r="IC617" s="86">
        <v>1.0</v>
      </c>
      <c r="IJ617" s="86">
        <v>1.0</v>
      </c>
      <c r="IL617" s="159">
        <v>10.0</v>
      </c>
      <c r="IM617" s="156">
        <v>0.0</v>
      </c>
      <c r="IN617" s="156">
        <v>0.0</v>
      </c>
      <c r="IO617" s="156">
        <v>0.0</v>
      </c>
      <c r="IP617" s="156">
        <v>0.0</v>
      </c>
      <c r="IQ617" s="160">
        <v>0.0</v>
      </c>
      <c r="IR617" s="86">
        <v>1.0</v>
      </c>
      <c r="IW617" s="86">
        <v>1.0</v>
      </c>
      <c r="IX617" s="86">
        <v>1.0</v>
      </c>
      <c r="IZ617" s="86">
        <v>1.0</v>
      </c>
      <c r="JE617" s="86">
        <v>1.0</v>
      </c>
      <c r="JH617" s="25"/>
      <c r="JL617" s="86">
        <v>1.0</v>
      </c>
      <c r="JN617" s="86">
        <v>1.0</v>
      </c>
      <c r="JR617" s="86">
        <v>1.0</v>
      </c>
      <c r="JS617" s="86">
        <v>1.0</v>
      </c>
      <c r="JU617" s="86">
        <v>1.0</v>
      </c>
      <c r="JW617" s="159">
        <v>7.0</v>
      </c>
      <c r="JX617" s="156">
        <v>0.0</v>
      </c>
      <c r="JY617" s="156">
        <v>0.0</v>
      </c>
      <c r="JZ617" s="156">
        <v>2.0</v>
      </c>
      <c r="KA617" s="156">
        <v>0.0</v>
      </c>
      <c r="KB617" s="160">
        <v>0.0</v>
      </c>
      <c r="KH617" s="86">
        <v>1.0</v>
      </c>
      <c r="KM617" s="86" t="s">
        <v>947</v>
      </c>
      <c r="KO617" s="86" t="s">
        <v>947</v>
      </c>
      <c r="KS617" s="378">
        <v>1.0</v>
      </c>
      <c r="KT617" s="86">
        <v>1.0</v>
      </c>
      <c r="KV617" s="86">
        <v>1.0</v>
      </c>
      <c r="LE617" s="86">
        <v>1.0</v>
      </c>
      <c r="LH617" s="159">
        <f t="shared" si="10"/>
        <v>0</v>
      </c>
      <c r="LI617" s="156">
        <f t="shared" si="11"/>
        <v>0</v>
      </c>
      <c r="LJ617" s="156">
        <f t="shared" si="12"/>
        <v>0</v>
      </c>
      <c r="LK617" s="156">
        <f t="shared" si="13"/>
        <v>0</v>
      </c>
      <c r="LL617" s="156">
        <f t="shared" si="14"/>
        <v>0</v>
      </c>
      <c r="LM617" s="160">
        <f t="shared" si="15"/>
        <v>0</v>
      </c>
      <c r="QX617" s="560">
        <v>46149.0</v>
      </c>
    </row>
    <row r="618">
      <c r="A618" s="12"/>
      <c r="B618" s="12"/>
      <c r="C618" s="12"/>
      <c r="D618" s="12"/>
      <c r="E618" s="58"/>
      <c r="F618" s="494"/>
      <c r="G618" s="12"/>
      <c r="H618" s="12"/>
      <c r="I618" s="143">
        <f t="shared" si="22"/>
        <v>-32</v>
      </c>
      <c r="J618" s="537">
        <v>46198.0</v>
      </c>
      <c r="K618" s="164" t="s">
        <v>48</v>
      </c>
      <c r="L618" s="590"/>
      <c r="M618" s="162" t="s">
        <v>400</v>
      </c>
      <c r="N618" s="162">
        <v>357.0</v>
      </c>
      <c r="O618" s="162">
        <v>30.0</v>
      </c>
      <c r="P618" s="25"/>
      <c r="Q618" s="25"/>
      <c r="R618" s="25"/>
      <c r="S618" s="25"/>
      <c r="T618" s="25"/>
      <c r="U618" s="162" t="s">
        <v>3562</v>
      </c>
      <c r="V618" s="538" t="s">
        <v>3238</v>
      </c>
      <c r="W618" s="185" t="s">
        <v>3563</v>
      </c>
      <c r="X618" s="140"/>
      <c r="Y618" s="166">
        <f t="shared" si="23"/>
        <v>32</v>
      </c>
      <c r="Z618" s="26">
        <f t="shared" si="7"/>
        <v>0</v>
      </c>
      <c r="AA618" s="26">
        <f t="shared" si="8"/>
        <v>1</v>
      </c>
      <c r="AB618" s="26">
        <f t="shared" si="9"/>
        <v>0</v>
      </c>
      <c r="AC618" s="155">
        <v>0.0</v>
      </c>
      <c r="AD618" s="155">
        <v>0.0</v>
      </c>
      <c r="AE618" s="155">
        <v>0.0</v>
      </c>
      <c r="AF618" s="155">
        <v>0.0</v>
      </c>
      <c r="AG618" s="155">
        <v>0.0</v>
      </c>
      <c r="AH618" s="155">
        <v>0.0</v>
      </c>
      <c r="BN618" s="155">
        <v>0.0</v>
      </c>
      <c r="BO618" s="155">
        <v>0.0</v>
      </c>
      <c r="BP618" s="155">
        <v>0.0</v>
      </c>
      <c r="BQ618" s="155">
        <v>0.0</v>
      </c>
      <c r="BR618" s="155">
        <v>0.0</v>
      </c>
      <c r="BS618" s="155">
        <v>0.0</v>
      </c>
      <c r="CV618" s="156">
        <v>0.0</v>
      </c>
      <c r="CW618" s="156">
        <v>0.0</v>
      </c>
      <c r="CX618" s="156">
        <v>0.0</v>
      </c>
      <c r="CY618" s="156">
        <v>0.0</v>
      </c>
      <c r="CZ618" s="156">
        <v>0.0</v>
      </c>
      <c r="DA618" s="156">
        <v>0.0</v>
      </c>
      <c r="EG618" s="156">
        <v>0.0</v>
      </c>
      <c r="EH618" s="156">
        <v>0.0</v>
      </c>
      <c r="EI618" s="156">
        <v>0.0</v>
      </c>
      <c r="EJ618" s="156">
        <v>0.0</v>
      </c>
      <c r="EK618" s="156">
        <v>0.0</v>
      </c>
      <c r="EL618" s="156">
        <v>0.0</v>
      </c>
      <c r="FQ618" s="156">
        <v>0.0</v>
      </c>
      <c r="FR618" s="156">
        <v>0.0</v>
      </c>
      <c r="FS618" s="156">
        <v>0.0</v>
      </c>
      <c r="FT618" s="156">
        <v>0.0</v>
      </c>
      <c r="FU618" s="156">
        <v>0.0</v>
      </c>
      <c r="FV618" s="156">
        <v>0.0</v>
      </c>
      <c r="FW618" s="157"/>
      <c r="FX618" s="157"/>
      <c r="FY618" s="157"/>
      <c r="FZ618" s="157"/>
      <c r="GA618" s="157"/>
      <c r="GB618" s="157"/>
      <c r="GC618" s="157"/>
      <c r="GD618" s="157"/>
      <c r="GE618" s="157"/>
      <c r="GF618" s="157"/>
      <c r="GG618" s="157"/>
      <c r="GH618" s="157"/>
      <c r="GI618" s="157"/>
      <c r="GJ618" s="157"/>
      <c r="GK618" s="157"/>
      <c r="GL618" s="157"/>
      <c r="GM618" s="157"/>
      <c r="GN618" s="157"/>
      <c r="GO618" s="157"/>
      <c r="GP618" s="158"/>
      <c r="GQ618" s="157"/>
      <c r="GR618" s="157"/>
      <c r="GS618" s="157"/>
      <c r="GT618" s="157"/>
      <c r="GU618" s="157"/>
      <c r="GV618" s="157"/>
      <c r="GW618" s="157"/>
      <c r="GX618" s="157"/>
      <c r="GY618" s="157"/>
      <c r="GZ618" s="157"/>
      <c r="HA618" s="157"/>
      <c r="HB618" s="155">
        <v>3.0</v>
      </c>
      <c r="HC618" s="155">
        <v>0.0</v>
      </c>
      <c r="HD618" s="155">
        <v>0.0</v>
      </c>
      <c r="HE618" s="155">
        <v>0.0</v>
      </c>
      <c r="HF618" s="155">
        <v>0.0</v>
      </c>
      <c r="HG618" s="155">
        <v>0.0</v>
      </c>
      <c r="IF618" s="86">
        <v>1.0</v>
      </c>
      <c r="IH618" s="86">
        <v>1.0</v>
      </c>
      <c r="IK618" s="86">
        <v>1.0</v>
      </c>
      <c r="IL618" s="159">
        <v>11.0</v>
      </c>
      <c r="IM618" s="156">
        <v>0.0</v>
      </c>
      <c r="IN618" s="156">
        <v>0.0</v>
      </c>
      <c r="IO618" s="156">
        <v>0.0</v>
      </c>
      <c r="IP618" s="156">
        <v>0.0</v>
      </c>
      <c r="IQ618" s="160">
        <v>0.0</v>
      </c>
      <c r="IS618" s="86">
        <v>1.0</v>
      </c>
      <c r="IU618" s="86">
        <v>1.0</v>
      </c>
      <c r="IX618" s="86">
        <v>1.0</v>
      </c>
      <c r="IZ618" s="86">
        <v>1.0</v>
      </c>
      <c r="JC618" s="86">
        <v>1.0</v>
      </c>
      <c r="JE618" s="86">
        <v>1.0</v>
      </c>
      <c r="JH618" s="25"/>
      <c r="JI618" s="86">
        <v>1.0</v>
      </c>
      <c r="JK618" s="86">
        <v>1.0</v>
      </c>
      <c r="JN618" s="86">
        <v>1.0</v>
      </c>
      <c r="JP618" s="86">
        <v>1.0</v>
      </c>
      <c r="JS618" s="86">
        <v>1.0</v>
      </c>
      <c r="JW618" s="159">
        <v>11.0</v>
      </c>
      <c r="JX618" s="156">
        <v>0.0</v>
      </c>
      <c r="JY618" s="156">
        <v>0.0</v>
      </c>
      <c r="JZ618" s="156">
        <v>1.0</v>
      </c>
      <c r="KA618" s="156">
        <v>0.0</v>
      </c>
      <c r="KB618" s="160">
        <v>0.0</v>
      </c>
      <c r="KC618" s="172">
        <v>1.0</v>
      </c>
      <c r="KD618" s="172"/>
      <c r="KE618" s="172"/>
      <c r="KF618" s="172">
        <v>1.0</v>
      </c>
      <c r="KG618" s="172"/>
      <c r="KH618" s="172">
        <v>1.0</v>
      </c>
      <c r="KI618" s="172"/>
      <c r="KJ618" s="172">
        <v>1.0</v>
      </c>
      <c r="KK618" s="172"/>
      <c r="KL618" s="172"/>
      <c r="KM618" s="172" t="s">
        <v>947</v>
      </c>
      <c r="KN618" s="172"/>
      <c r="KO618" s="172">
        <v>1.0</v>
      </c>
      <c r="KP618" s="172"/>
      <c r="KQ618" s="172"/>
      <c r="KR618" s="172"/>
      <c r="KS618" s="432"/>
      <c r="KT618" s="172">
        <v>1.0</v>
      </c>
      <c r="KU618" s="172"/>
      <c r="KV618" s="172"/>
      <c r="KW618" s="172">
        <v>1.0</v>
      </c>
      <c r="KX618" s="172">
        <v>1.0</v>
      </c>
      <c r="KY618" s="172"/>
      <c r="KZ618" s="172"/>
      <c r="LA618" s="172"/>
      <c r="LB618" s="172"/>
      <c r="LC618" s="172">
        <v>1.0</v>
      </c>
      <c r="LD618" s="172"/>
      <c r="LE618" s="172">
        <v>1.0</v>
      </c>
      <c r="LF618" s="172"/>
      <c r="LG618" s="172"/>
      <c r="LH618" s="159">
        <f t="shared" si="10"/>
        <v>7</v>
      </c>
      <c r="LI618" s="156">
        <f t="shared" si="11"/>
        <v>0</v>
      </c>
      <c r="LJ618" s="156">
        <f t="shared" si="12"/>
        <v>0</v>
      </c>
      <c r="LK618" s="156">
        <f t="shared" si="13"/>
        <v>0</v>
      </c>
      <c r="LL618" s="156">
        <f t="shared" si="14"/>
        <v>0</v>
      </c>
      <c r="LM618" s="160">
        <f t="shared" si="15"/>
        <v>0</v>
      </c>
      <c r="LW618" s="12">
        <f t="shared" ref="LW618:MQ618" si="53">IFS(TODAY()&lt;=LC$2,0,WEEKDAY(LC$2)=2,0,WEEKDAY(LC$2)=3,1,WEEKDAY(LC$2)=4,0,WEEKDAY(LC$2)=5,1,WEEKDAY(LC$2)=6,0,WEEKDAY(LC$2)=7,1,WEEKDAY(LC$2)=1,0)</f>
        <v>1</v>
      </c>
      <c r="LX618" s="12">
        <f t="shared" si="53"/>
        <v>0</v>
      </c>
      <c r="LY618" s="12">
        <f t="shared" si="53"/>
        <v>1</v>
      </c>
      <c r="LZ618" s="12">
        <f t="shared" si="53"/>
        <v>0</v>
      </c>
      <c r="MA618" s="12">
        <f t="shared" si="53"/>
        <v>0</v>
      </c>
      <c r="MB618" s="12">
        <f t="shared" si="53"/>
        <v>0</v>
      </c>
      <c r="MC618" s="12">
        <f t="shared" si="53"/>
        <v>0</v>
      </c>
      <c r="MD618" s="12">
        <f t="shared" si="53"/>
        <v>0</v>
      </c>
      <c r="ME618" s="12">
        <f t="shared" si="53"/>
        <v>0</v>
      </c>
      <c r="MF618" s="12">
        <f t="shared" si="53"/>
        <v>0</v>
      </c>
      <c r="MG618" s="12">
        <f t="shared" si="53"/>
        <v>0</v>
      </c>
      <c r="MH618" s="12">
        <f t="shared" si="53"/>
        <v>1</v>
      </c>
      <c r="MI618" s="12">
        <f t="shared" si="53"/>
        <v>0</v>
      </c>
      <c r="MJ618" s="12">
        <f t="shared" si="53"/>
        <v>1</v>
      </c>
      <c r="MK618" s="12">
        <f t="shared" si="53"/>
        <v>0</v>
      </c>
      <c r="ML618" s="12">
        <f t="shared" si="53"/>
        <v>1</v>
      </c>
      <c r="MM618" s="12">
        <f t="shared" si="53"/>
        <v>0</v>
      </c>
      <c r="MN618" s="12">
        <f t="shared" si="53"/>
        <v>0</v>
      </c>
      <c r="MO618" s="12">
        <f t="shared" si="53"/>
        <v>1</v>
      </c>
      <c r="MP618" s="12">
        <f t="shared" si="53"/>
        <v>0</v>
      </c>
      <c r="MQ618" s="12">
        <f t="shared" si="53"/>
        <v>1</v>
      </c>
      <c r="QX618" s="560">
        <v>46151.0</v>
      </c>
    </row>
    <row r="619">
      <c r="A619" s="12"/>
      <c r="B619" s="12"/>
      <c r="C619" s="12"/>
      <c r="D619" s="12"/>
      <c r="E619" s="12"/>
      <c r="F619" s="12"/>
      <c r="G619" s="12"/>
      <c r="H619" s="12"/>
      <c r="I619" s="143">
        <f t="shared" si="22"/>
        <v>-30</v>
      </c>
      <c r="J619" s="537">
        <v>46156.0</v>
      </c>
      <c r="K619" s="164" t="s">
        <v>61</v>
      </c>
      <c r="L619" s="541">
        <v>46256.0</v>
      </c>
      <c r="M619" s="86" t="s">
        <v>435</v>
      </c>
      <c r="N619" s="188">
        <v>357.0</v>
      </c>
      <c r="O619" s="86">
        <v>30.0</v>
      </c>
      <c r="U619" s="162" t="s">
        <v>3564</v>
      </c>
      <c r="V619" s="538" t="s">
        <v>3565</v>
      </c>
      <c r="W619" s="185" t="s">
        <v>3566</v>
      </c>
      <c r="X619" s="140"/>
      <c r="Y619" s="166">
        <f t="shared" si="23"/>
        <v>30</v>
      </c>
      <c r="Z619" s="26">
        <f t="shared" si="7"/>
        <v>0</v>
      </c>
      <c r="AA619" s="26">
        <f t="shared" si="8"/>
        <v>0</v>
      </c>
      <c r="AB619" s="26">
        <f t="shared" si="9"/>
        <v>0</v>
      </c>
      <c r="AC619" s="155">
        <v>0.0</v>
      </c>
      <c r="AD619" s="155">
        <v>0.0</v>
      </c>
      <c r="AE619" s="155">
        <v>0.0</v>
      </c>
      <c r="AF619" s="155">
        <v>0.0</v>
      </c>
      <c r="AG619" s="155">
        <v>0.0</v>
      </c>
      <c r="AH619" s="155">
        <v>0.0</v>
      </c>
      <c r="BN619" s="155">
        <v>0.0</v>
      </c>
      <c r="BO619" s="155">
        <v>0.0</v>
      </c>
      <c r="BP619" s="155">
        <v>0.0</v>
      </c>
      <c r="BQ619" s="155">
        <v>0.0</v>
      </c>
      <c r="BR619" s="155">
        <v>0.0</v>
      </c>
      <c r="BS619" s="155">
        <v>0.0</v>
      </c>
      <c r="CV619" s="156">
        <v>0.0</v>
      </c>
      <c r="CW619" s="156">
        <v>0.0</v>
      </c>
      <c r="CX619" s="156">
        <v>0.0</v>
      </c>
      <c r="CY619" s="156">
        <v>0.0</v>
      </c>
      <c r="CZ619" s="156">
        <v>0.0</v>
      </c>
      <c r="DA619" s="156">
        <v>0.0</v>
      </c>
      <c r="EG619" s="156">
        <v>0.0</v>
      </c>
      <c r="EH619" s="156">
        <v>0.0</v>
      </c>
      <c r="EI619" s="156">
        <v>0.0</v>
      </c>
      <c r="EJ619" s="156">
        <v>0.0</v>
      </c>
      <c r="EK619" s="156">
        <v>0.0</v>
      </c>
      <c r="EL619" s="156">
        <v>0.0</v>
      </c>
      <c r="FQ619" s="156">
        <v>7.0</v>
      </c>
      <c r="FR619" s="156">
        <v>0.0</v>
      </c>
      <c r="FS619" s="156">
        <v>0.0</v>
      </c>
      <c r="FT619" s="156">
        <v>0.0</v>
      </c>
      <c r="FU619" s="156">
        <v>0.0</v>
      </c>
      <c r="FV619" s="156">
        <v>0.0</v>
      </c>
      <c r="FW619" s="157"/>
      <c r="FX619" s="157"/>
      <c r="FY619" s="157"/>
      <c r="FZ619" s="157"/>
      <c r="GA619" s="157"/>
      <c r="GB619" s="157"/>
      <c r="GC619" s="157"/>
      <c r="GD619" s="157"/>
      <c r="GE619" s="157"/>
      <c r="GF619" s="157"/>
      <c r="GG619" s="157"/>
      <c r="GH619" s="157"/>
      <c r="GI619" s="157"/>
      <c r="GJ619" s="172">
        <v>1.0</v>
      </c>
      <c r="GK619" s="172">
        <v>0.0</v>
      </c>
      <c r="GL619" s="172">
        <v>1.0</v>
      </c>
      <c r="GM619" s="172">
        <v>0.0</v>
      </c>
      <c r="GN619" s="172">
        <v>0.0</v>
      </c>
      <c r="GO619" s="172">
        <v>1.0</v>
      </c>
      <c r="GP619" s="172">
        <v>0.0</v>
      </c>
      <c r="GQ619" s="172"/>
      <c r="GR619" s="172">
        <v>0.0</v>
      </c>
      <c r="GS619" s="172">
        <v>1.0</v>
      </c>
      <c r="GT619" s="172">
        <v>1.0</v>
      </c>
      <c r="GU619" s="172">
        <v>0.0</v>
      </c>
      <c r="GV619" s="172">
        <v>1.0</v>
      </c>
      <c r="GW619" s="172"/>
      <c r="GX619" s="172"/>
      <c r="GY619" s="172"/>
      <c r="GZ619" s="172">
        <v>1.0</v>
      </c>
      <c r="HA619" s="172">
        <v>0.0</v>
      </c>
      <c r="HB619" s="155">
        <v>11.0</v>
      </c>
      <c r="HC619" s="155">
        <v>0.0</v>
      </c>
      <c r="HD619" s="155">
        <v>0.0</v>
      </c>
      <c r="HE619" s="155">
        <v>0.0</v>
      </c>
      <c r="HF619" s="155">
        <v>0.0</v>
      </c>
      <c r="HG619" s="155">
        <v>0.0</v>
      </c>
      <c r="HH619" s="172">
        <v>0.0</v>
      </c>
      <c r="HI619" s="172">
        <v>1.0</v>
      </c>
      <c r="HJ619" s="172"/>
      <c r="HK619" s="172"/>
      <c r="HL619" s="172"/>
      <c r="HM619" s="172">
        <v>1.0</v>
      </c>
      <c r="HN619" s="172">
        <v>0.0</v>
      </c>
      <c r="HO619" s="172">
        <v>0.0</v>
      </c>
      <c r="HP619" s="172">
        <v>1.0</v>
      </c>
      <c r="HQ619" s="172">
        <v>0.0</v>
      </c>
      <c r="HR619" s="172">
        <v>1.0</v>
      </c>
      <c r="HS619" s="172">
        <v>0.0</v>
      </c>
      <c r="HT619" s="172">
        <v>1.0</v>
      </c>
      <c r="HU619" s="172">
        <v>0.0</v>
      </c>
      <c r="HV619" s="172">
        <v>0.0</v>
      </c>
      <c r="HW619" s="172">
        <v>1.0</v>
      </c>
      <c r="HX619" s="172">
        <v>0.0</v>
      </c>
      <c r="HY619" s="172">
        <v>1.0</v>
      </c>
      <c r="HZ619" s="172">
        <v>0.0</v>
      </c>
      <c r="IA619" s="172">
        <v>1.0</v>
      </c>
      <c r="IB619" s="172">
        <v>0.0</v>
      </c>
      <c r="IC619" s="172">
        <v>0.0</v>
      </c>
      <c r="ID619" s="172">
        <v>1.0</v>
      </c>
      <c r="IE619" s="172">
        <v>0.0</v>
      </c>
      <c r="IF619" s="172">
        <v>1.0</v>
      </c>
      <c r="IG619" s="172">
        <v>0.0</v>
      </c>
      <c r="IH619" s="172"/>
      <c r="II619" s="172">
        <v>0.0</v>
      </c>
      <c r="IJ619" s="172">
        <v>0.0</v>
      </c>
      <c r="IK619" s="172">
        <v>1.0</v>
      </c>
      <c r="IL619" s="159">
        <v>9.0</v>
      </c>
      <c r="IM619" s="156">
        <v>0.0</v>
      </c>
      <c r="IN619" s="156">
        <v>0.0</v>
      </c>
      <c r="IO619" s="156">
        <v>0.0</v>
      </c>
      <c r="IP619" s="156">
        <v>0.0</v>
      </c>
      <c r="IQ619" s="160">
        <v>0.0</v>
      </c>
      <c r="IR619" s="172">
        <v>0.0</v>
      </c>
      <c r="IS619" s="172"/>
      <c r="IT619" s="172">
        <v>0.0</v>
      </c>
      <c r="IU619" s="172">
        <v>1.0</v>
      </c>
      <c r="IV619" s="172">
        <v>0.0</v>
      </c>
      <c r="IW619" s="172">
        <v>0.0</v>
      </c>
      <c r="IX619" s="172"/>
      <c r="IY619" s="172">
        <v>0.0</v>
      </c>
      <c r="IZ619" s="172">
        <v>1.0</v>
      </c>
      <c r="JA619" s="172">
        <v>0.0</v>
      </c>
      <c r="JB619" s="172"/>
      <c r="JC619" s="172">
        <v>1.0</v>
      </c>
      <c r="JD619" s="172">
        <v>0.0</v>
      </c>
      <c r="JE619" s="172">
        <v>1.0</v>
      </c>
      <c r="JF619" s="172">
        <v>0.0</v>
      </c>
      <c r="JG619" s="172">
        <v>1.0</v>
      </c>
      <c r="JH619" s="170">
        <v>0.0</v>
      </c>
      <c r="JI619" s="172"/>
      <c r="JJ619" s="172"/>
      <c r="JK619" s="172"/>
      <c r="JL619" s="172">
        <v>1.0</v>
      </c>
      <c r="JM619" s="172"/>
      <c r="JN619" s="172"/>
      <c r="JO619" s="172"/>
      <c r="JP619" s="172">
        <v>1.0</v>
      </c>
      <c r="JQ619" s="172"/>
      <c r="JR619" s="172"/>
      <c r="JS619" s="172">
        <v>1.0</v>
      </c>
      <c r="JT619" s="172"/>
      <c r="JU619" s="172">
        <v>1.0</v>
      </c>
      <c r="JV619" s="172"/>
      <c r="JW619" s="159">
        <v>3.0</v>
      </c>
      <c r="JX619" s="156">
        <v>0.0</v>
      </c>
      <c r="JY619" s="156">
        <v>0.0</v>
      </c>
      <c r="JZ619" s="156">
        <v>0.0</v>
      </c>
      <c r="KA619" s="156">
        <v>0.0</v>
      </c>
      <c r="KB619" s="160">
        <v>0.0</v>
      </c>
      <c r="KC619" s="172"/>
      <c r="KD619" s="172"/>
      <c r="KE619" s="172"/>
      <c r="KF619" s="172">
        <v>1.0</v>
      </c>
      <c r="KG619" s="172"/>
      <c r="KH619" s="172">
        <v>1.0</v>
      </c>
      <c r="KI619" s="172"/>
      <c r="KJ619" s="172">
        <v>1.0</v>
      </c>
      <c r="KK619" s="172"/>
      <c r="KL619" s="172"/>
      <c r="KM619" s="172"/>
      <c r="KN619" s="172"/>
      <c r="KO619" s="172"/>
      <c r="KP619" s="172"/>
      <c r="KQ619" s="172"/>
      <c r="KR619" s="172"/>
      <c r="KS619" s="432"/>
      <c r="KT619" s="172"/>
      <c r="KU619" s="172"/>
      <c r="KV619" s="172"/>
      <c r="KW619" s="172"/>
      <c r="KX619" s="172"/>
      <c r="KY619" s="172"/>
      <c r="KZ619" s="172"/>
      <c r="LA619" s="172"/>
      <c r="LB619" s="172"/>
      <c r="LC619" s="172"/>
      <c r="LD619" s="172"/>
      <c r="LE619" s="172"/>
      <c r="LF619" s="172"/>
      <c r="LG619" s="172"/>
      <c r="LH619" s="159">
        <f t="shared" si="10"/>
        <v>0</v>
      </c>
      <c r="LI619" s="156">
        <f t="shared" si="11"/>
        <v>0</v>
      </c>
      <c r="LJ619" s="156">
        <f t="shared" si="12"/>
        <v>0</v>
      </c>
      <c r="LK619" s="156">
        <f t="shared" si="13"/>
        <v>0</v>
      </c>
      <c r="LL619" s="156">
        <f t="shared" si="14"/>
        <v>0</v>
      </c>
      <c r="LM619" s="160">
        <f t="shared" si="15"/>
        <v>0</v>
      </c>
      <c r="QX619" s="560">
        <v>46151.0</v>
      </c>
    </row>
    <row r="620">
      <c r="A620" s="12"/>
      <c r="B620" s="12"/>
      <c r="C620" s="12"/>
      <c r="D620" s="12"/>
      <c r="E620" s="12"/>
      <c r="F620" s="12"/>
      <c r="G620" s="12"/>
      <c r="H620" s="12"/>
      <c r="I620" s="143">
        <f t="shared" si="22"/>
        <v>-30</v>
      </c>
      <c r="J620" s="537">
        <v>46161.0</v>
      </c>
      <c r="K620" s="164" t="s">
        <v>61</v>
      </c>
      <c r="L620" s="23">
        <v>46256.0</v>
      </c>
      <c r="M620" s="86" t="s">
        <v>107</v>
      </c>
      <c r="N620" s="188">
        <v>357.0</v>
      </c>
      <c r="O620" s="86">
        <v>30.0</v>
      </c>
      <c r="U620" s="162" t="s">
        <v>3567</v>
      </c>
      <c r="V620" s="538" t="s">
        <v>3568</v>
      </c>
      <c r="W620" s="125" t="s">
        <v>3569</v>
      </c>
      <c r="X620" s="140"/>
      <c r="Y620" s="166">
        <f t="shared" si="23"/>
        <v>30</v>
      </c>
      <c r="Z620" s="26">
        <f t="shared" si="7"/>
        <v>0</v>
      </c>
      <c r="AA620" s="26">
        <f t="shared" si="8"/>
        <v>1</v>
      </c>
      <c r="AB620" s="26">
        <f t="shared" si="9"/>
        <v>0</v>
      </c>
      <c r="AC620" s="155">
        <v>0.0</v>
      </c>
      <c r="AD620" s="155">
        <v>0.0</v>
      </c>
      <c r="AE620" s="155">
        <v>0.0</v>
      </c>
      <c r="AF620" s="155">
        <v>0.0</v>
      </c>
      <c r="AG620" s="155">
        <v>0.0</v>
      </c>
      <c r="AH620" s="155">
        <v>0.0</v>
      </c>
      <c r="BN620" s="155">
        <v>0.0</v>
      </c>
      <c r="BO620" s="155">
        <v>0.0</v>
      </c>
      <c r="BP620" s="155">
        <v>0.0</v>
      </c>
      <c r="BQ620" s="155">
        <v>0.0</v>
      </c>
      <c r="BR620" s="155">
        <v>0.0</v>
      </c>
      <c r="BS620" s="155">
        <v>0.0</v>
      </c>
      <c r="CV620" s="156">
        <v>0.0</v>
      </c>
      <c r="CW620" s="156">
        <v>0.0</v>
      </c>
      <c r="CX620" s="156">
        <v>0.0</v>
      </c>
      <c r="CY620" s="156">
        <v>0.0</v>
      </c>
      <c r="CZ620" s="156">
        <v>0.0</v>
      </c>
      <c r="DA620" s="156">
        <v>0.0</v>
      </c>
      <c r="EG620" s="156">
        <v>0.0</v>
      </c>
      <c r="EH620" s="156">
        <v>0.0</v>
      </c>
      <c r="EI620" s="156">
        <v>0.0</v>
      </c>
      <c r="EJ620" s="156">
        <v>0.0</v>
      </c>
      <c r="EK620" s="156">
        <v>0.0</v>
      </c>
      <c r="EL620" s="156">
        <v>0.0</v>
      </c>
      <c r="FQ620" s="156">
        <v>3.0</v>
      </c>
      <c r="FR620" s="156">
        <v>0.0</v>
      </c>
      <c r="FS620" s="156">
        <v>0.0</v>
      </c>
      <c r="FT620" s="156">
        <v>0.0</v>
      </c>
      <c r="FU620" s="156">
        <v>0.0</v>
      </c>
      <c r="FV620" s="156">
        <v>0.0</v>
      </c>
      <c r="FW620" s="157"/>
      <c r="FX620" s="157"/>
      <c r="FY620" s="157"/>
      <c r="FZ620" s="157"/>
      <c r="GA620" s="157"/>
      <c r="GB620" s="157"/>
      <c r="GC620" s="157"/>
      <c r="GD620" s="157"/>
      <c r="GE620" s="157"/>
      <c r="GF620" s="157"/>
      <c r="GG620" s="157"/>
      <c r="GH620" s="157"/>
      <c r="GI620" s="157"/>
      <c r="GJ620" s="157"/>
      <c r="GK620" s="157"/>
      <c r="GL620" s="157"/>
      <c r="GM620" s="157"/>
      <c r="GN620" s="157"/>
      <c r="GO620" s="172">
        <v>1.0</v>
      </c>
      <c r="GP620" s="172">
        <v>0.0</v>
      </c>
      <c r="GQ620" s="172">
        <v>1.0</v>
      </c>
      <c r="GR620" s="172"/>
      <c r="GS620" s="172"/>
      <c r="GT620" s="172"/>
      <c r="GU620" s="172"/>
      <c r="GV620" s="172"/>
      <c r="GW620" s="172"/>
      <c r="GX620" s="172"/>
      <c r="GY620" s="172"/>
      <c r="GZ620" s="172">
        <v>1.0</v>
      </c>
      <c r="HA620" s="172">
        <v>0.0</v>
      </c>
      <c r="HB620" s="155">
        <v>9.0</v>
      </c>
      <c r="HC620" s="155">
        <v>0.0</v>
      </c>
      <c r="HD620" s="155">
        <v>0.0</v>
      </c>
      <c r="HE620" s="155">
        <v>0.0</v>
      </c>
      <c r="HF620" s="155">
        <v>0.0</v>
      </c>
      <c r="HG620" s="155">
        <v>0.0</v>
      </c>
      <c r="HH620" s="172"/>
      <c r="HI620" s="172"/>
      <c r="HJ620" s="172"/>
      <c r="HK620" s="172">
        <v>1.0</v>
      </c>
      <c r="HL620" s="172"/>
      <c r="HM620" s="172"/>
      <c r="HN620" s="172"/>
      <c r="HO620" s="172"/>
      <c r="HP620" s="172">
        <v>1.0</v>
      </c>
      <c r="HQ620" s="172">
        <v>0.0</v>
      </c>
      <c r="HR620" s="172">
        <v>1.0</v>
      </c>
      <c r="HS620" s="172">
        <v>0.0</v>
      </c>
      <c r="HT620" s="172">
        <v>1.0</v>
      </c>
      <c r="HU620" s="172">
        <v>0.0</v>
      </c>
      <c r="HV620" s="172">
        <v>0.0</v>
      </c>
      <c r="HW620" s="172">
        <v>1.0</v>
      </c>
      <c r="HX620" s="172">
        <v>0.0</v>
      </c>
      <c r="HY620" s="172">
        <v>1.0</v>
      </c>
      <c r="HZ620" s="172">
        <v>0.0</v>
      </c>
      <c r="IA620" s="172">
        <v>1.0</v>
      </c>
      <c r="IB620" s="172"/>
      <c r="IC620" s="172"/>
      <c r="ID620" s="172"/>
      <c r="IE620" s="172"/>
      <c r="IF620" s="172">
        <v>1.0</v>
      </c>
      <c r="IG620" s="172">
        <v>0.0</v>
      </c>
      <c r="IH620" s="172">
        <v>1.0</v>
      </c>
      <c r="II620" s="172"/>
      <c r="IJ620" s="172"/>
      <c r="IK620" s="172"/>
      <c r="IL620" s="159">
        <v>13.0</v>
      </c>
      <c r="IM620" s="156">
        <v>0.0</v>
      </c>
      <c r="IN620" s="156">
        <v>0.0</v>
      </c>
      <c r="IO620" s="156">
        <v>1.0</v>
      </c>
      <c r="IP620" s="156">
        <v>0.0</v>
      </c>
      <c r="IQ620" s="160">
        <v>0.0</v>
      </c>
      <c r="IR620" s="172">
        <v>0.0</v>
      </c>
      <c r="IS620" s="172">
        <v>1.0</v>
      </c>
      <c r="IT620" s="172">
        <v>0.0</v>
      </c>
      <c r="IU620" s="172">
        <v>1.0</v>
      </c>
      <c r="IV620" s="172">
        <v>0.0</v>
      </c>
      <c r="IW620" s="172">
        <v>0.0</v>
      </c>
      <c r="IX620" s="172">
        <v>1.0</v>
      </c>
      <c r="IY620" s="172">
        <v>0.0</v>
      </c>
      <c r="IZ620" s="172">
        <v>1.0</v>
      </c>
      <c r="JA620" s="172">
        <v>0.0</v>
      </c>
      <c r="JB620" s="172">
        <v>1.0</v>
      </c>
      <c r="JC620" s="172">
        <v>0.0</v>
      </c>
      <c r="JD620" s="172">
        <v>1.0</v>
      </c>
      <c r="JE620" s="172"/>
      <c r="JF620" s="172">
        <v>0.0</v>
      </c>
      <c r="JG620" s="172"/>
      <c r="JH620" s="170">
        <v>1.0</v>
      </c>
      <c r="JI620" s="172">
        <v>1.0</v>
      </c>
      <c r="JJ620" s="172"/>
      <c r="JK620" s="172"/>
      <c r="JL620" s="172" t="s">
        <v>947</v>
      </c>
      <c r="JM620" s="172"/>
      <c r="JN620" s="172">
        <v>1.0</v>
      </c>
      <c r="JO620" s="172"/>
      <c r="JP620" s="172">
        <v>1.0</v>
      </c>
      <c r="JQ620" s="172"/>
      <c r="JR620" s="172"/>
      <c r="JS620" s="172">
        <v>1.0</v>
      </c>
      <c r="JT620" s="172"/>
      <c r="JU620" s="172">
        <v>1.0</v>
      </c>
      <c r="JV620" s="172"/>
      <c r="JW620" s="159">
        <v>5.0</v>
      </c>
      <c r="JX620" s="156">
        <v>0.0</v>
      </c>
      <c r="JY620" s="156">
        <v>0.0</v>
      </c>
      <c r="JZ620" s="156">
        <v>0.0</v>
      </c>
      <c r="KA620" s="156">
        <v>0.0</v>
      </c>
      <c r="KB620" s="160">
        <v>0.0</v>
      </c>
      <c r="KC620" s="172">
        <v>1.0</v>
      </c>
      <c r="KD620" s="172"/>
      <c r="KE620" s="172"/>
      <c r="KF620" s="172">
        <v>1.0</v>
      </c>
      <c r="KG620" s="172"/>
      <c r="KH620" s="172">
        <v>1.0</v>
      </c>
      <c r="KI620" s="172"/>
      <c r="KJ620" s="172">
        <v>1.0</v>
      </c>
      <c r="KK620" s="172"/>
      <c r="KL620" s="172"/>
      <c r="KM620" s="172">
        <v>1.0</v>
      </c>
      <c r="KN620" s="172"/>
      <c r="KO620" s="172"/>
      <c r="KP620" s="172"/>
      <c r="KQ620" s="172"/>
      <c r="KR620" s="172"/>
      <c r="KS620" s="432"/>
      <c r="KT620" s="172"/>
      <c r="KU620" s="172"/>
      <c r="KV620" s="172"/>
      <c r="KW620" s="172"/>
      <c r="KX620" s="172"/>
      <c r="KY620" s="172"/>
      <c r="KZ620" s="172"/>
      <c r="LA620" s="172"/>
      <c r="LB620" s="172"/>
      <c r="LC620" s="172"/>
      <c r="LD620" s="172"/>
      <c r="LE620" s="172"/>
      <c r="LF620" s="172"/>
      <c r="LG620" s="172"/>
      <c r="LH620" s="159">
        <f t="shared" si="10"/>
        <v>0</v>
      </c>
      <c r="LI620" s="156">
        <f t="shared" si="11"/>
        <v>0</v>
      </c>
      <c r="LJ620" s="156">
        <f t="shared" si="12"/>
        <v>0</v>
      </c>
      <c r="LK620" s="156">
        <f t="shared" si="13"/>
        <v>0</v>
      </c>
      <c r="LL620" s="156">
        <f t="shared" si="14"/>
        <v>0</v>
      </c>
      <c r="LM620" s="160">
        <f t="shared" si="15"/>
        <v>0</v>
      </c>
      <c r="QX620" s="560">
        <v>46151.0</v>
      </c>
    </row>
    <row r="621">
      <c r="A621" s="12"/>
      <c r="B621" s="12"/>
      <c r="C621" s="12"/>
      <c r="D621" s="12"/>
      <c r="E621" s="12"/>
      <c r="F621" s="12"/>
      <c r="G621" s="12"/>
      <c r="H621" s="12"/>
      <c r="I621" s="143">
        <f t="shared" si="22"/>
        <v>-10</v>
      </c>
      <c r="J621" s="537">
        <v>46161.0</v>
      </c>
      <c r="K621" s="164" t="s">
        <v>61</v>
      </c>
      <c r="L621" s="23">
        <v>46191.0</v>
      </c>
      <c r="M621" s="86" t="s">
        <v>400</v>
      </c>
      <c r="N621" s="188">
        <v>357.0</v>
      </c>
      <c r="O621" s="86">
        <v>30.0</v>
      </c>
      <c r="U621" s="162" t="s">
        <v>3570</v>
      </c>
      <c r="V621" s="538" t="s">
        <v>3448</v>
      </c>
      <c r="W621" s="125" t="s">
        <v>3571</v>
      </c>
      <c r="X621" s="140"/>
      <c r="Y621" s="166">
        <f t="shared" si="23"/>
        <v>10</v>
      </c>
      <c r="Z621" s="26">
        <f t="shared" si="7"/>
        <v>0</v>
      </c>
      <c r="AA621" s="26">
        <f t="shared" si="8"/>
        <v>0</v>
      </c>
      <c r="AB621" s="26">
        <f t="shared" si="9"/>
        <v>0</v>
      </c>
      <c r="AC621" s="155">
        <v>0.0</v>
      </c>
      <c r="AD621" s="155">
        <v>0.0</v>
      </c>
      <c r="AE621" s="155">
        <v>0.0</v>
      </c>
      <c r="AF621" s="155">
        <v>0.0</v>
      </c>
      <c r="AG621" s="155">
        <v>0.0</v>
      </c>
      <c r="AH621" s="155">
        <v>0.0</v>
      </c>
      <c r="BN621" s="155">
        <v>0.0</v>
      </c>
      <c r="BO621" s="155">
        <v>0.0</v>
      </c>
      <c r="BP621" s="155">
        <v>0.0</v>
      </c>
      <c r="BQ621" s="155">
        <v>0.0</v>
      </c>
      <c r="BR621" s="155">
        <v>0.0</v>
      </c>
      <c r="BS621" s="155">
        <v>0.0</v>
      </c>
      <c r="CV621" s="156">
        <v>0.0</v>
      </c>
      <c r="CW621" s="156">
        <v>0.0</v>
      </c>
      <c r="CX621" s="156">
        <v>0.0</v>
      </c>
      <c r="CY621" s="156">
        <v>0.0</v>
      </c>
      <c r="CZ621" s="156">
        <v>0.0</v>
      </c>
      <c r="DA621" s="156">
        <v>0.0</v>
      </c>
      <c r="EG621" s="156">
        <v>0.0</v>
      </c>
      <c r="EH621" s="156">
        <v>0.0</v>
      </c>
      <c r="EI621" s="156">
        <v>0.0</v>
      </c>
      <c r="EJ621" s="156">
        <v>0.0</v>
      </c>
      <c r="EK621" s="156">
        <v>0.0</v>
      </c>
      <c r="EL621" s="156">
        <v>0.0</v>
      </c>
      <c r="FQ621" s="156">
        <v>5.0</v>
      </c>
      <c r="FR621" s="156">
        <v>0.0</v>
      </c>
      <c r="FS621" s="156">
        <v>0.0</v>
      </c>
      <c r="FT621" s="156">
        <v>0.0</v>
      </c>
      <c r="FU621" s="156">
        <v>0.0</v>
      </c>
      <c r="FV621" s="156">
        <v>0.0</v>
      </c>
      <c r="FW621" s="157"/>
      <c r="FX621" s="157"/>
      <c r="FY621" s="157"/>
      <c r="FZ621" s="157"/>
      <c r="GA621" s="157"/>
      <c r="GB621" s="157"/>
      <c r="GC621" s="157"/>
      <c r="GD621" s="157"/>
      <c r="GE621" s="157"/>
      <c r="GF621" s="157"/>
      <c r="GG621" s="157"/>
      <c r="GH621" s="157"/>
      <c r="GI621" s="157"/>
      <c r="GJ621" s="157"/>
      <c r="GK621" s="157"/>
      <c r="GL621" s="157"/>
      <c r="GM621" s="157"/>
      <c r="GN621" s="157"/>
      <c r="GO621" s="172">
        <v>1.0</v>
      </c>
      <c r="GP621" s="172">
        <v>0.0</v>
      </c>
      <c r="GQ621" s="172">
        <v>1.0</v>
      </c>
      <c r="GR621" s="172">
        <v>0.0</v>
      </c>
      <c r="GS621" s="172"/>
      <c r="GT621" s="172">
        <v>0.0</v>
      </c>
      <c r="GU621" s="172">
        <v>0.0</v>
      </c>
      <c r="GV621" s="172">
        <v>1.0</v>
      </c>
      <c r="GW621" s="172">
        <v>0.0</v>
      </c>
      <c r="GX621" s="172">
        <v>1.0</v>
      </c>
      <c r="GY621" s="172">
        <v>0.0</v>
      </c>
      <c r="GZ621" s="172">
        <v>1.0</v>
      </c>
      <c r="HA621" s="172">
        <v>0.0</v>
      </c>
      <c r="HB621" s="155">
        <v>5.0</v>
      </c>
      <c r="HC621" s="155">
        <v>0.0</v>
      </c>
      <c r="HD621" s="155">
        <v>0.0</v>
      </c>
      <c r="HE621" s="155">
        <v>0.0</v>
      </c>
      <c r="HF621" s="155">
        <v>0.0</v>
      </c>
      <c r="HG621" s="155">
        <v>0.0</v>
      </c>
      <c r="HH621" s="172">
        <v>0.0</v>
      </c>
      <c r="HI621" s="172">
        <v>1.0</v>
      </c>
      <c r="HJ621" s="172">
        <v>0.0</v>
      </c>
      <c r="HK621" s="172">
        <v>1.0</v>
      </c>
      <c r="HL621" s="172">
        <v>0.0</v>
      </c>
      <c r="HM621" s="172"/>
      <c r="HN621" s="172">
        <v>0.0</v>
      </c>
      <c r="HO621" s="172">
        <v>0.0</v>
      </c>
      <c r="HP621" s="172">
        <v>1.0</v>
      </c>
      <c r="HQ621" s="172"/>
      <c r="HR621" s="172"/>
      <c r="HS621" s="172"/>
      <c r="HT621" s="172">
        <v>1.0</v>
      </c>
      <c r="HU621" s="172"/>
      <c r="HV621" s="172"/>
      <c r="HW621" s="172"/>
      <c r="HX621" s="172"/>
      <c r="HY621" s="172">
        <v>1.0</v>
      </c>
      <c r="HZ621" s="172"/>
      <c r="IA621" s="172"/>
      <c r="IB621" s="172"/>
      <c r="IC621" s="172"/>
      <c r="ID621" s="172"/>
      <c r="IE621" s="172"/>
      <c r="IF621" s="172"/>
      <c r="IG621" s="172"/>
      <c r="IH621" s="172"/>
      <c r="II621" s="172"/>
      <c r="IJ621" s="172"/>
      <c r="IK621" s="172"/>
      <c r="IL621" s="159">
        <v>0.0</v>
      </c>
      <c r="IM621" s="156">
        <v>0.0</v>
      </c>
      <c r="IN621" s="156">
        <v>0.0</v>
      </c>
      <c r="IO621" s="156">
        <v>0.0</v>
      </c>
      <c r="IP621" s="156">
        <v>0.0</v>
      </c>
      <c r="IQ621" s="160">
        <v>0.0</v>
      </c>
      <c r="IR621" s="172"/>
      <c r="IS621" s="172"/>
      <c r="IT621" s="172"/>
      <c r="IU621" s="172"/>
      <c r="IV621" s="172"/>
      <c r="IW621" s="172"/>
      <c r="IX621" s="172"/>
      <c r="IY621" s="172"/>
      <c r="IZ621" s="172"/>
      <c r="JA621" s="172"/>
      <c r="JB621" s="172"/>
      <c r="JC621" s="172"/>
      <c r="JD621" s="172"/>
      <c r="JE621" s="172"/>
      <c r="JF621" s="172"/>
      <c r="JG621" s="172"/>
      <c r="JH621" s="170"/>
      <c r="JI621" s="172"/>
      <c r="JJ621" s="172"/>
      <c r="JK621" s="172"/>
      <c r="JL621" s="172"/>
      <c r="JM621" s="172"/>
      <c r="JN621" s="172"/>
      <c r="JO621" s="172"/>
      <c r="JP621" s="172"/>
      <c r="JQ621" s="172"/>
      <c r="JR621" s="172"/>
      <c r="JS621" s="172"/>
      <c r="JT621" s="172"/>
      <c r="JU621" s="172"/>
      <c r="JV621" s="172"/>
      <c r="JW621" s="159">
        <v>0.0</v>
      </c>
      <c r="JX621" s="156">
        <v>0.0</v>
      </c>
      <c r="JY621" s="156">
        <v>0.0</v>
      </c>
      <c r="JZ621" s="156">
        <v>0.0</v>
      </c>
      <c r="KA621" s="156">
        <v>0.0</v>
      </c>
      <c r="KB621" s="160">
        <v>0.0</v>
      </c>
      <c r="LH621" s="159">
        <f t="shared" si="10"/>
        <v>0</v>
      </c>
      <c r="LI621" s="156">
        <f t="shared" si="11"/>
        <v>0</v>
      </c>
      <c r="LJ621" s="156">
        <f t="shared" si="12"/>
        <v>0</v>
      </c>
      <c r="LK621" s="156">
        <f t="shared" si="13"/>
        <v>0</v>
      </c>
      <c r="LL621" s="156">
        <f t="shared" si="14"/>
        <v>0</v>
      </c>
      <c r="LM621" s="160">
        <f t="shared" si="15"/>
        <v>0</v>
      </c>
      <c r="QX621" s="560">
        <v>46153.0</v>
      </c>
    </row>
    <row r="622">
      <c r="A622" s="12"/>
      <c r="B622" s="12"/>
      <c r="C622" s="12"/>
      <c r="D622" s="12"/>
      <c r="E622" s="58"/>
      <c r="F622" s="12"/>
      <c r="G622" s="12"/>
      <c r="H622" s="12"/>
      <c r="I622" s="143">
        <f t="shared" si="22"/>
        <v>-31</v>
      </c>
      <c r="J622" s="537">
        <v>46162.0</v>
      </c>
      <c r="K622" s="294" t="s">
        <v>48</v>
      </c>
      <c r="L622" s="592"/>
      <c r="M622" s="86" t="s">
        <v>712</v>
      </c>
      <c r="N622" s="86">
        <v>246.0</v>
      </c>
      <c r="O622" s="86">
        <v>30.0</v>
      </c>
      <c r="U622" s="545" t="s">
        <v>3562</v>
      </c>
      <c r="V622" s="546" t="s">
        <v>3238</v>
      </c>
      <c r="W622" s="185" t="s">
        <v>3572</v>
      </c>
      <c r="X622" s="140"/>
      <c r="Y622" s="166">
        <f t="shared" si="23"/>
        <v>31</v>
      </c>
      <c r="Z622" s="26">
        <f t="shared" si="7"/>
        <v>0</v>
      </c>
      <c r="AA622" s="26">
        <f t="shared" si="8"/>
        <v>0</v>
      </c>
      <c r="AB622" s="26">
        <f t="shared" si="9"/>
        <v>0</v>
      </c>
      <c r="AC622" s="155">
        <v>0.0</v>
      </c>
      <c r="AD622" s="155">
        <v>0.0</v>
      </c>
      <c r="AE622" s="155">
        <v>0.0</v>
      </c>
      <c r="AF622" s="155">
        <v>0.0</v>
      </c>
      <c r="AG622" s="155">
        <v>0.0</v>
      </c>
      <c r="AH622" s="155">
        <v>0.0</v>
      </c>
      <c r="BN622" s="155">
        <v>0.0</v>
      </c>
      <c r="BO622" s="155">
        <v>0.0</v>
      </c>
      <c r="BP622" s="155">
        <v>0.0</v>
      </c>
      <c r="BQ622" s="155">
        <v>0.0</v>
      </c>
      <c r="BR622" s="155">
        <v>0.0</v>
      </c>
      <c r="BS622" s="155">
        <v>0.0</v>
      </c>
      <c r="CV622" s="156">
        <v>0.0</v>
      </c>
      <c r="CW622" s="156">
        <v>0.0</v>
      </c>
      <c r="CX622" s="156">
        <v>0.0</v>
      </c>
      <c r="CY622" s="156">
        <v>0.0</v>
      </c>
      <c r="CZ622" s="156">
        <v>0.0</v>
      </c>
      <c r="DA622" s="156">
        <v>0.0</v>
      </c>
      <c r="EG622" s="156">
        <v>0.0</v>
      </c>
      <c r="EH622" s="156">
        <v>0.0</v>
      </c>
      <c r="EI622" s="156">
        <v>0.0</v>
      </c>
      <c r="EJ622" s="156">
        <v>0.0</v>
      </c>
      <c r="EK622" s="156">
        <v>0.0</v>
      </c>
      <c r="EL622" s="156">
        <v>0.0</v>
      </c>
      <c r="FQ622" s="156">
        <v>5.0</v>
      </c>
      <c r="FR622" s="156">
        <v>0.0</v>
      </c>
      <c r="FS622" s="156">
        <v>0.0</v>
      </c>
      <c r="FT622" s="156">
        <v>0.0</v>
      </c>
      <c r="FU622" s="156">
        <v>0.0</v>
      </c>
      <c r="FV622" s="156">
        <v>0.0</v>
      </c>
      <c r="FW622" s="157"/>
      <c r="FX622" s="157"/>
      <c r="FY622" s="157"/>
      <c r="FZ622" s="157"/>
      <c r="GA622" s="157"/>
      <c r="GB622" s="157"/>
      <c r="GC622" s="157"/>
      <c r="GD622" s="157"/>
      <c r="GE622" s="157"/>
      <c r="GF622" s="157"/>
      <c r="GG622" s="157"/>
      <c r="GH622" s="157"/>
      <c r="GI622" s="157"/>
      <c r="GJ622" s="157"/>
      <c r="GK622" s="157"/>
      <c r="GL622" s="157"/>
      <c r="GM622" s="157"/>
      <c r="GN622" s="157"/>
      <c r="GO622" s="157"/>
      <c r="GP622" s="177">
        <v>1.0</v>
      </c>
      <c r="GQ622" s="177">
        <v>0.0</v>
      </c>
      <c r="GR622" s="176">
        <v>1.0</v>
      </c>
      <c r="GS622" s="177">
        <v>0.0</v>
      </c>
      <c r="GT622" s="177">
        <v>0.0</v>
      </c>
      <c r="GU622" s="177">
        <v>1.0</v>
      </c>
      <c r="GV622" s="177">
        <v>0.0</v>
      </c>
      <c r="GW622" s="177">
        <v>1.0</v>
      </c>
      <c r="GX622" s="177">
        <v>0.0</v>
      </c>
      <c r="GY622" s="177">
        <v>1.0</v>
      </c>
      <c r="GZ622" s="177">
        <v>0.0</v>
      </c>
      <c r="HA622" s="177">
        <v>0.0</v>
      </c>
      <c r="HB622" s="155">
        <v>8.0</v>
      </c>
      <c r="HC622" s="155">
        <v>0.0</v>
      </c>
      <c r="HD622" s="155">
        <v>0.0</v>
      </c>
      <c r="HE622" s="155">
        <v>0.0</v>
      </c>
      <c r="HF622" s="155">
        <v>0.0</v>
      </c>
      <c r="HG622" s="155">
        <v>0.0</v>
      </c>
      <c r="HH622" s="174">
        <v>1.0</v>
      </c>
      <c r="HI622" s="174">
        <v>0.0</v>
      </c>
      <c r="HJ622" s="174">
        <v>1.0</v>
      </c>
      <c r="HK622" s="174">
        <v>0.0</v>
      </c>
      <c r="HL622" s="174">
        <v>1.0</v>
      </c>
      <c r="HM622" s="174">
        <v>0.0</v>
      </c>
      <c r="HN622" s="174">
        <v>0.0</v>
      </c>
      <c r="HO622" s="174">
        <v>1.0</v>
      </c>
      <c r="HP622" s="174">
        <v>0.0</v>
      </c>
      <c r="HQ622" s="174">
        <v>1.0</v>
      </c>
      <c r="HR622" s="174">
        <v>0.0</v>
      </c>
      <c r="HS622" s="174">
        <v>1.0</v>
      </c>
      <c r="HT622" s="174"/>
      <c r="HU622" s="174"/>
      <c r="HV622" s="174"/>
      <c r="HW622" s="174"/>
      <c r="HX622" s="174"/>
      <c r="HY622" s="174"/>
      <c r="HZ622" s="174"/>
      <c r="IA622" s="174"/>
      <c r="IB622" s="174"/>
      <c r="IC622" s="174"/>
      <c r="ID622" s="174"/>
      <c r="IE622" s="174"/>
      <c r="IF622" s="174"/>
      <c r="IG622" s="174">
        <v>1.0</v>
      </c>
      <c r="IH622" s="174">
        <v>0.0</v>
      </c>
      <c r="II622" s="174">
        <v>0.0</v>
      </c>
      <c r="IJ622" s="174">
        <v>1.0</v>
      </c>
      <c r="IK622" s="174">
        <v>0.0</v>
      </c>
      <c r="IL622" s="159">
        <v>8.0</v>
      </c>
      <c r="IM622" s="156">
        <v>0.0</v>
      </c>
      <c r="IN622" s="156">
        <v>0.0</v>
      </c>
      <c r="IO622" s="156">
        <v>0.0</v>
      </c>
      <c r="IP622" s="156">
        <v>0.0</v>
      </c>
      <c r="IQ622" s="160">
        <v>0.0</v>
      </c>
      <c r="IR622" s="174">
        <v>1.0</v>
      </c>
      <c r="IS622" s="174">
        <v>0.0</v>
      </c>
      <c r="IT622" s="174">
        <v>1.0</v>
      </c>
      <c r="IU622" s="174">
        <v>0.0</v>
      </c>
      <c r="IV622" s="174">
        <v>0.0</v>
      </c>
      <c r="IW622" s="175"/>
      <c r="IX622" s="174">
        <v>0.0</v>
      </c>
      <c r="IY622" s="174">
        <v>1.0</v>
      </c>
      <c r="IZ622" s="174">
        <v>0.0</v>
      </c>
      <c r="JA622" s="174"/>
      <c r="JB622" s="174">
        <v>0.0</v>
      </c>
      <c r="JC622" s="174">
        <v>0.0</v>
      </c>
      <c r="JD622" s="174">
        <v>1.0</v>
      </c>
      <c r="JE622" s="174">
        <v>0.0</v>
      </c>
      <c r="JF622" s="174">
        <v>1.0</v>
      </c>
      <c r="JG622" s="174">
        <v>0.0</v>
      </c>
      <c r="JH622" s="177"/>
      <c r="JI622" s="174"/>
      <c r="JJ622" s="174"/>
      <c r="JK622" s="174"/>
      <c r="JL622" s="174"/>
      <c r="JM622" s="175">
        <v>1.0</v>
      </c>
      <c r="JN622" s="174"/>
      <c r="JO622" s="175">
        <v>1.0</v>
      </c>
      <c r="JP622" s="174"/>
      <c r="JQ622" s="174"/>
      <c r="JR622" s="175">
        <v>1.0</v>
      </c>
      <c r="JS622" s="174"/>
      <c r="JT622" s="174"/>
      <c r="JU622" s="174"/>
      <c r="JV622" s="174"/>
      <c r="JW622" s="159">
        <v>6.0</v>
      </c>
      <c r="JX622" s="156">
        <v>0.0</v>
      </c>
      <c r="JY622" s="156">
        <v>0.0</v>
      </c>
      <c r="JZ622" s="156">
        <v>0.0</v>
      </c>
      <c r="KA622" s="156">
        <v>0.0</v>
      </c>
      <c r="KB622" s="160">
        <v>0.0</v>
      </c>
      <c r="KC622" s="174"/>
      <c r="KD622" s="174"/>
      <c r="KE622" s="175">
        <v>1.0</v>
      </c>
      <c r="KF622" s="174"/>
      <c r="KG622" s="174"/>
      <c r="KH622" s="174"/>
      <c r="KI622" s="174"/>
      <c r="KJ622" s="174"/>
      <c r="KK622" s="174"/>
      <c r="KL622" s="175">
        <v>1.0</v>
      </c>
      <c r="KM622" s="174"/>
      <c r="KN622" s="174"/>
      <c r="KO622" s="174"/>
      <c r="KP622" s="175">
        <v>1.0</v>
      </c>
      <c r="KQ622" s="174"/>
      <c r="KR622" s="174"/>
      <c r="KS622" s="186"/>
      <c r="KT622" s="174"/>
      <c r="KU622" s="174"/>
      <c r="KV622" s="174"/>
      <c r="KW622" s="175">
        <v>1.0</v>
      </c>
      <c r="KX622" s="174"/>
      <c r="KY622" s="174"/>
      <c r="KZ622" s="175">
        <v>1.0</v>
      </c>
      <c r="LA622" s="174"/>
      <c r="LB622" s="174"/>
      <c r="LC622" s="174"/>
      <c r="LD622" s="175">
        <v>1.0</v>
      </c>
      <c r="LE622" s="174"/>
      <c r="LF622" s="174"/>
      <c r="LG622" s="174"/>
      <c r="LH622" s="159">
        <f t="shared" si="10"/>
        <v>4</v>
      </c>
      <c r="LI622" s="156">
        <f t="shared" si="11"/>
        <v>0</v>
      </c>
      <c r="LJ622" s="156">
        <f t="shared" si="12"/>
        <v>0</v>
      </c>
      <c r="LK622" s="156">
        <f t="shared" si="13"/>
        <v>0</v>
      </c>
      <c r="LL622" s="156">
        <f t="shared" si="14"/>
        <v>0</v>
      </c>
      <c r="LM622" s="160">
        <f t="shared" si="15"/>
        <v>0</v>
      </c>
      <c r="LN622" s="174"/>
      <c r="LO622" s="174"/>
      <c r="LP622" s="174"/>
      <c r="LQ622" s="187">
        <v>1.0</v>
      </c>
      <c r="LR622" s="174"/>
      <c r="LS622" s="174"/>
      <c r="LT622" s="174"/>
      <c r="LU622" s="174"/>
      <c r="LV622" s="174"/>
      <c r="LW622" s="174">
        <f t="shared" ref="LW622:MQ622" si="54">IFS(TODAY()&lt;=LW$2,0,WEEKDAY(LW$2)=2,1,WEEKDAY(LW$2)=3,0,WEEKDAY(LW$2)=4,1,WEEKDAY(LW$2)=5,0,WEEKDAY(LW$2)=6,1,WEEKDAY(LW$2)=7,0,WEEKDAY(LW$2)=1,0)</f>
        <v>0</v>
      </c>
      <c r="LX622" s="174">
        <f t="shared" si="54"/>
        <v>1</v>
      </c>
      <c r="LY622" s="174">
        <f t="shared" si="54"/>
        <v>0</v>
      </c>
      <c r="LZ622" s="174">
        <f t="shared" si="54"/>
        <v>0</v>
      </c>
      <c r="MA622" s="174">
        <f t="shared" si="54"/>
        <v>1</v>
      </c>
      <c r="MB622" s="174">
        <f t="shared" si="54"/>
        <v>0</v>
      </c>
      <c r="MC622" s="174">
        <f t="shared" si="54"/>
        <v>1</v>
      </c>
      <c r="MD622" s="174">
        <f t="shared" si="54"/>
        <v>0</v>
      </c>
      <c r="ME622" s="174">
        <f t="shared" si="54"/>
        <v>0</v>
      </c>
      <c r="MF622" s="174">
        <f t="shared" si="54"/>
        <v>0</v>
      </c>
      <c r="MG622" s="174">
        <f t="shared" si="54"/>
        <v>0</v>
      </c>
      <c r="MH622" s="174">
        <f t="shared" si="54"/>
        <v>0</v>
      </c>
      <c r="MI622" s="174">
        <f t="shared" si="54"/>
        <v>0</v>
      </c>
      <c r="MJ622" s="174">
        <f t="shared" si="54"/>
        <v>0</v>
      </c>
      <c r="MK622" s="174">
        <f t="shared" si="54"/>
        <v>0</v>
      </c>
      <c r="ML622" s="174">
        <f t="shared" si="54"/>
        <v>0</v>
      </c>
      <c r="MM622" s="174">
        <f t="shared" si="54"/>
        <v>0</v>
      </c>
      <c r="MN622" s="174">
        <f t="shared" si="54"/>
        <v>0</v>
      </c>
      <c r="MO622" s="174">
        <f t="shared" si="54"/>
        <v>0</v>
      </c>
      <c r="MP622" s="174">
        <f t="shared" si="54"/>
        <v>0</v>
      </c>
      <c r="MQ622" s="174">
        <f t="shared" si="54"/>
        <v>0</v>
      </c>
      <c r="QX622" s="560">
        <v>46153.0</v>
      </c>
    </row>
    <row r="623">
      <c r="A623" s="12"/>
      <c r="B623" s="12"/>
      <c r="C623" s="12"/>
      <c r="D623" s="12"/>
      <c r="E623" s="58"/>
      <c r="F623" s="12"/>
      <c r="G623" s="12"/>
      <c r="H623" s="12"/>
      <c r="I623" s="143">
        <f t="shared" si="22"/>
        <v>-37</v>
      </c>
      <c r="J623" s="537">
        <v>46158.0</v>
      </c>
      <c r="K623" s="294" t="s">
        <v>48</v>
      </c>
      <c r="L623" s="108"/>
      <c r="M623" s="86" t="s">
        <v>228</v>
      </c>
      <c r="N623" s="188">
        <v>357.0</v>
      </c>
      <c r="O623" s="86">
        <v>30.0</v>
      </c>
      <c r="U623" s="162" t="s">
        <v>3573</v>
      </c>
      <c r="V623" s="538" t="s">
        <v>3540</v>
      </c>
      <c r="W623" s="185" t="s">
        <v>3574</v>
      </c>
      <c r="X623" s="140"/>
      <c r="Y623" s="166">
        <f t="shared" si="23"/>
        <v>37</v>
      </c>
      <c r="Z623" s="26">
        <f t="shared" si="7"/>
        <v>0</v>
      </c>
      <c r="AA623" s="26">
        <f t="shared" si="8"/>
        <v>0</v>
      </c>
      <c r="AB623" s="26">
        <f t="shared" si="9"/>
        <v>0</v>
      </c>
      <c r="AC623" s="155">
        <v>0.0</v>
      </c>
      <c r="AD623" s="155">
        <v>0.0</v>
      </c>
      <c r="AE623" s="155">
        <v>0.0</v>
      </c>
      <c r="AF623" s="155">
        <v>0.0</v>
      </c>
      <c r="AG623" s="155">
        <v>0.0</v>
      </c>
      <c r="AH623" s="155">
        <v>0.0</v>
      </c>
      <c r="BN623" s="155">
        <v>0.0</v>
      </c>
      <c r="BO623" s="155">
        <v>0.0</v>
      </c>
      <c r="BP623" s="155">
        <v>0.0</v>
      </c>
      <c r="BQ623" s="155">
        <v>0.0</v>
      </c>
      <c r="BR623" s="155">
        <v>0.0</v>
      </c>
      <c r="BS623" s="155">
        <v>0.0</v>
      </c>
      <c r="CV623" s="156">
        <v>0.0</v>
      </c>
      <c r="CW623" s="156">
        <v>0.0</v>
      </c>
      <c r="CX623" s="156">
        <v>0.0</v>
      </c>
      <c r="CY623" s="156">
        <v>0.0</v>
      </c>
      <c r="CZ623" s="156">
        <v>0.0</v>
      </c>
      <c r="DA623" s="156">
        <v>0.0</v>
      </c>
      <c r="EG623" s="156">
        <v>0.0</v>
      </c>
      <c r="EH623" s="156">
        <v>0.0</v>
      </c>
      <c r="EI623" s="156">
        <v>0.0</v>
      </c>
      <c r="EJ623" s="156">
        <v>0.0</v>
      </c>
      <c r="EK623" s="156">
        <v>0.0</v>
      </c>
      <c r="EL623" s="156">
        <v>0.0</v>
      </c>
      <c r="FQ623" s="156">
        <v>6.0</v>
      </c>
      <c r="FR623" s="156">
        <v>0.0</v>
      </c>
      <c r="FS623" s="156">
        <v>0.0</v>
      </c>
      <c r="FT623" s="156">
        <v>0.0</v>
      </c>
      <c r="FU623" s="156">
        <v>0.0</v>
      </c>
      <c r="FV623" s="156">
        <v>0.0</v>
      </c>
      <c r="FW623" s="157"/>
      <c r="FX623" s="157"/>
      <c r="FY623" s="157"/>
      <c r="FZ623" s="157"/>
      <c r="GA623" s="157"/>
      <c r="GB623" s="157"/>
      <c r="GC623" s="157"/>
      <c r="GD623" s="157"/>
      <c r="GE623" s="157"/>
      <c r="GF623" s="157"/>
      <c r="GG623" s="157"/>
      <c r="GH623" s="157"/>
      <c r="GI623" s="157"/>
      <c r="GJ623" s="157"/>
      <c r="GK623" s="157"/>
      <c r="GL623" s="172">
        <v>1.0</v>
      </c>
      <c r="GM623" s="172">
        <v>0.0</v>
      </c>
      <c r="GN623" s="172">
        <v>0.0</v>
      </c>
      <c r="GO623" s="172">
        <v>1.0</v>
      </c>
      <c r="GP623" s="172">
        <v>0.0</v>
      </c>
      <c r="GQ623" s="172">
        <v>1.0</v>
      </c>
      <c r="GR623" s="172">
        <v>0.0</v>
      </c>
      <c r="GS623" s="172"/>
      <c r="GT623" s="172">
        <v>0.0</v>
      </c>
      <c r="GU623" s="172">
        <v>0.0</v>
      </c>
      <c r="GV623" s="172">
        <v>1.0</v>
      </c>
      <c r="GW623" s="172">
        <v>0.0</v>
      </c>
      <c r="GX623" s="172">
        <v>1.0</v>
      </c>
      <c r="GY623" s="172">
        <v>0.0</v>
      </c>
      <c r="GZ623" s="172">
        <v>1.0</v>
      </c>
      <c r="HA623" s="172">
        <v>0.0</v>
      </c>
      <c r="HB623" s="155">
        <v>10.0</v>
      </c>
      <c r="HC623" s="155">
        <v>0.0</v>
      </c>
      <c r="HD623" s="155">
        <v>0.0</v>
      </c>
      <c r="HE623" s="155">
        <v>0.0</v>
      </c>
      <c r="HF623" s="155">
        <v>0.0</v>
      </c>
      <c r="HG623" s="155">
        <v>0.0</v>
      </c>
      <c r="HH623" s="172">
        <v>0.0</v>
      </c>
      <c r="HI623" s="172">
        <v>1.0</v>
      </c>
      <c r="HJ623" s="172">
        <v>0.0</v>
      </c>
      <c r="HK623" s="172">
        <v>1.0</v>
      </c>
      <c r="HL623" s="172">
        <v>0.0</v>
      </c>
      <c r="HM623" s="172">
        <v>1.0</v>
      </c>
      <c r="HN623" s="172">
        <v>0.0</v>
      </c>
      <c r="HO623" s="172">
        <v>0.0</v>
      </c>
      <c r="HP623" s="172">
        <v>1.0</v>
      </c>
      <c r="HQ623" s="172">
        <v>0.0</v>
      </c>
      <c r="HR623" s="172">
        <v>1.0</v>
      </c>
      <c r="HS623" s="172">
        <v>0.0</v>
      </c>
      <c r="HT623" s="172">
        <v>1.0</v>
      </c>
      <c r="HU623" s="172">
        <v>0.0</v>
      </c>
      <c r="HV623" s="172">
        <v>0.0</v>
      </c>
      <c r="HW623" s="172">
        <v>1.0</v>
      </c>
      <c r="HX623" s="172"/>
      <c r="HY623" s="172">
        <v>1.0</v>
      </c>
      <c r="HZ623" s="172"/>
      <c r="IA623" s="172"/>
      <c r="IB623" s="172"/>
      <c r="IC623" s="172"/>
      <c r="ID623" s="172">
        <v>1.0</v>
      </c>
      <c r="IE623" s="172">
        <v>0.0</v>
      </c>
      <c r="IF623" s="172">
        <v>1.0</v>
      </c>
      <c r="IG623" s="172"/>
      <c r="IH623" s="172"/>
      <c r="II623" s="172"/>
      <c r="IJ623" s="172"/>
      <c r="IK623" s="172"/>
      <c r="IL623" s="159">
        <v>12.0</v>
      </c>
      <c r="IM623" s="156">
        <v>0.0</v>
      </c>
      <c r="IN623" s="156">
        <v>0.0</v>
      </c>
      <c r="IO623" s="156">
        <v>0.0</v>
      </c>
      <c r="IP623" s="156">
        <v>0.0</v>
      </c>
      <c r="IQ623" s="160">
        <v>0.0</v>
      </c>
      <c r="IR623" s="172">
        <v>0.0</v>
      </c>
      <c r="IS623" s="172">
        <v>1.0</v>
      </c>
      <c r="IT623" s="172">
        <v>0.0</v>
      </c>
      <c r="IU623" s="172">
        <v>1.0</v>
      </c>
      <c r="IV623" s="172">
        <v>0.0</v>
      </c>
      <c r="IW623" s="172">
        <v>0.0</v>
      </c>
      <c r="IX623" s="172"/>
      <c r="IY623" s="172">
        <v>0.0</v>
      </c>
      <c r="IZ623" s="172">
        <v>1.0</v>
      </c>
      <c r="JA623" s="172">
        <v>0.0</v>
      </c>
      <c r="JB623" s="172">
        <v>1.0</v>
      </c>
      <c r="JC623" s="172">
        <v>0.0</v>
      </c>
      <c r="JD623" s="172">
        <v>0.0</v>
      </c>
      <c r="JE623" s="172">
        <v>1.0</v>
      </c>
      <c r="JF623" s="172">
        <v>0.0</v>
      </c>
      <c r="JG623" s="172">
        <v>1.0</v>
      </c>
      <c r="JH623" s="170">
        <v>0.0</v>
      </c>
      <c r="JI623" s="172">
        <v>1.0</v>
      </c>
      <c r="JJ623" s="172"/>
      <c r="JK623" s="172"/>
      <c r="JL623" s="172">
        <v>1.0</v>
      </c>
      <c r="JM623" s="172"/>
      <c r="JN623" s="172">
        <v>1.0</v>
      </c>
      <c r="JO623" s="172"/>
      <c r="JP623" s="172">
        <v>1.0</v>
      </c>
      <c r="JQ623" s="172"/>
      <c r="JR623" s="172"/>
      <c r="JS623" s="172">
        <v>1.0</v>
      </c>
      <c r="JT623" s="172"/>
      <c r="JU623" s="172">
        <v>1.0</v>
      </c>
      <c r="JV623" s="172"/>
      <c r="JW623" s="159">
        <v>2.0</v>
      </c>
      <c r="JX623" s="156">
        <v>0.0</v>
      </c>
      <c r="JY623" s="156">
        <v>0.0</v>
      </c>
      <c r="JZ623" s="156">
        <v>0.0</v>
      </c>
      <c r="KA623" s="156">
        <v>0.0</v>
      </c>
      <c r="KB623" s="160">
        <v>0.0</v>
      </c>
      <c r="KC623" s="172">
        <v>1.0</v>
      </c>
      <c r="KD623" s="172"/>
      <c r="KE623" s="172"/>
      <c r="KF623" s="172">
        <v>1.0</v>
      </c>
      <c r="KG623" s="172"/>
      <c r="KH623" s="172"/>
      <c r="KI623" s="172"/>
      <c r="KJ623" s="172"/>
      <c r="KK623" s="172"/>
      <c r="KL623" s="172"/>
      <c r="KM623" s="172"/>
      <c r="KN623" s="172"/>
      <c r="KO623" s="172"/>
      <c r="KP623" s="172"/>
      <c r="KQ623" s="172"/>
      <c r="KR623" s="172"/>
      <c r="KS623" s="432"/>
      <c r="KT623" s="172"/>
      <c r="KU623" s="172"/>
      <c r="KV623" s="172"/>
      <c r="KW623" s="172"/>
      <c r="KX623" s="172"/>
      <c r="KY623" s="172"/>
      <c r="KZ623" s="172"/>
      <c r="LA623" s="172"/>
      <c r="LB623" s="172"/>
      <c r="LC623" s="172"/>
      <c r="LD623" s="172"/>
      <c r="LE623" s="172"/>
      <c r="LF623" s="172"/>
      <c r="LG623" s="172"/>
      <c r="LH623" s="159">
        <f t="shared" si="10"/>
        <v>7</v>
      </c>
      <c r="LI623" s="156">
        <f t="shared" si="11"/>
        <v>0</v>
      </c>
      <c r="LJ623" s="156">
        <f t="shared" si="12"/>
        <v>0</v>
      </c>
      <c r="LK623" s="156">
        <f t="shared" si="13"/>
        <v>0</v>
      </c>
      <c r="LL623" s="156">
        <f t="shared" si="14"/>
        <v>0</v>
      </c>
      <c r="LM623" s="160">
        <f t="shared" si="15"/>
        <v>0</v>
      </c>
      <c r="LW623" s="12">
        <f t="shared" ref="LW623:MQ623" si="55">IFS(TODAY()&lt;=LC$2,0,WEEKDAY(LC$2)=2,0,WEEKDAY(LC$2)=3,1,WEEKDAY(LC$2)=4,0,WEEKDAY(LC$2)=5,1,WEEKDAY(LC$2)=6,0,WEEKDAY(LC$2)=7,1,WEEKDAY(LC$2)=1,0)</f>
        <v>1</v>
      </c>
      <c r="LX623" s="12">
        <f t="shared" si="55"/>
        <v>0</v>
      </c>
      <c r="LY623" s="12">
        <f t="shared" si="55"/>
        <v>1</v>
      </c>
      <c r="LZ623" s="12">
        <f t="shared" si="55"/>
        <v>0</v>
      </c>
      <c r="MA623" s="12">
        <f t="shared" si="55"/>
        <v>0</v>
      </c>
      <c r="MB623" s="12">
        <f t="shared" si="55"/>
        <v>0</v>
      </c>
      <c r="MC623" s="12">
        <f t="shared" si="55"/>
        <v>0</v>
      </c>
      <c r="MD623" s="12">
        <f t="shared" si="55"/>
        <v>0</v>
      </c>
      <c r="ME623" s="12">
        <f t="shared" si="55"/>
        <v>0</v>
      </c>
      <c r="MF623" s="12">
        <f t="shared" si="55"/>
        <v>0</v>
      </c>
      <c r="MG623" s="12">
        <f t="shared" si="55"/>
        <v>0</v>
      </c>
      <c r="MH623" s="12">
        <f t="shared" si="55"/>
        <v>1</v>
      </c>
      <c r="MI623" s="12">
        <f t="shared" si="55"/>
        <v>0</v>
      </c>
      <c r="MJ623" s="12">
        <f t="shared" si="55"/>
        <v>1</v>
      </c>
      <c r="MK623" s="12">
        <f t="shared" si="55"/>
        <v>0</v>
      </c>
      <c r="ML623" s="12">
        <f t="shared" si="55"/>
        <v>1</v>
      </c>
      <c r="MM623" s="12">
        <f t="shared" si="55"/>
        <v>0</v>
      </c>
      <c r="MN623" s="12">
        <f t="shared" si="55"/>
        <v>0</v>
      </c>
      <c r="MO623" s="12">
        <f t="shared" si="55"/>
        <v>1</v>
      </c>
      <c r="MP623" s="12">
        <f t="shared" si="55"/>
        <v>0</v>
      </c>
      <c r="MQ623" s="12">
        <f t="shared" si="55"/>
        <v>1</v>
      </c>
      <c r="QX623" s="560">
        <v>46154.0</v>
      </c>
    </row>
    <row r="624">
      <c r="A624" s="12"/>
      <c r="B624" s="12"/>
      <c r="C624" s="12"/>
      <c r="D624" s="12"/>
      <c r="E624" s="12"/>
      <c r="F624" s="12"/>
      <c r="G624" s="12"/>
      <c r="H624" s="12"/>
      <c r="I624" s="143">
        <f t="shared" si="22"/>
        <v>-18</v>
      </c>
      <c r="J624" s="537">
        <v>46161.0</v>
      </c>
      <c r="K624" s="294" t="s">
        <v>48</v>
      </c>
      <c r="L624" s="108"/>
      <c r="M624" s="86" t="s">
        <v>435</v>
      </c>
      <c r="N624" s="188">
        <v>357.0</v>
      </c>
      <c r="O624" s="86">
        <v>30.0</v>
      </c>
      <c r="U624" s="162" t="s">
        <v>3575</v>
      </c>
      <c r="V624" s="538" t="s">
        <v>1093</v>
      </c>
      <c r="W624" s="125" t="s">
        <v>3576</v>
      </c>
      <c r="X624" s="140"/>
      <c r="Y624" s="166">
        <f t="shared" si="23"/>
        <v>18</v>
      </c>
      <c r="Z624" s="26">
        <f t="shared" si="7"/>
        <v>0</v>
      </c>
      <c r="AA624" s="26">
        <f t="shared" si="8"/>
        <v>0</v>
      </c>
      <c r="AB624" s="26">
        <f t="shared" si="9"/>
        <v>0</v>
      </c>
      <c r="AC624" s="155">
        <v>0.0</v>
      </c>
      <c r="AD624" s="155">
        <v>0.0</v>
      </c>
      <c r="AE624" s="155">
        <v>0.0</v>
      </c>
      <c r="AF624" s="155">
        <v>0.0</v>
      </c>
      <c r="AG624" s="155">
        <v>0.0</v>
      </c>
      <c r="AH624" s="155">
        <v>0.0</v>
      </c>
      <c r="BN624" s="155">
        <v>0.0</v>
      </c>
      <c r="BO624" s="155">
        <v>0.0</v>
      </c>
      <c r="BP624" s="155">
        <v>0.0</v>
      </c>
      <c r="BQ624" s="155">
        <v>0.0</v>
      </c>
      <c r="BR624" s="155">
        <v>0.0</v>
      </c>
      <c r="BS624" s="155">
        <v>0.0</v>
      </c>
      <c r="CV624" s="156">
        <v>0.0</v>
      </c>
      <c r="CW624" s="156">
        <v>0.0</v>
      </c>
      <c r="CX624" s="156">
        <v>0.0</v>
      </c>
      <c r="CY624" s="156">
        <v>0.0</v>
      </c>
      <c r="CZ624" s="156">
        <v>0.0</v>
      </c>
      <c r="DA624" s="156">
        <v>0.0</v>
      </c>
      <c r="EG624" s="156">
        <v>0.0</v>
      </c>
      <c r="EH624" s="156">
        <v>0.0</v>
      </c>
      <c r="EI624" s="156">
        <v>0.0</v>
      </c>
      <c r="EJ624" s="156">
        <v>0.0</v>
      </c>
      <c r="EK624" s="156">
        <v>0.0</v>
      </c>
      <c r="EL624" s="156">
        <v>0.0</v>
      </c>
      <c r="FQ624" s="156">
        <v>4.0</v>
      </c>
      <c r="FR624" s="156">
        <v>0.0</v>
      </c>
      <c r="FS624" s="156">
        <v>0.0</v>
      </c>
      <c r="FT624" s="156">
        <v>0.0</v>
      </c>
      <c r="FU624" s="156">
        <v>0.0</v>
      </c>
      <c r="FV624" s="156">
        <v>0.0</v>
      </c>
      <c r="FW624" s="157"/>
      <c r="FX624" s="157"/>
      <c r="FY624" s="157"/>
      <c r="FZ624" s="157"/>
      <c r="GA624" s="157"/>
      <c r="GB624" s="157"/>
      <c r="GC624" s="157"/>
      <c r="GD624" s="157"/>
      <c r="GE624" s="157"/>
      <c r="GF624" s="157"/>
      <c r="GG624" s="157"/>
      <c r="GH624" s="157"/>
      <c r="GI624" s="157"/>
      <c r="GJ624" s="157"/>
      <c r="GK624" s="157"/>
      <c r="GL624" s="157"/>
      <c r="GM624" s="157"/>
      <c r="GN624" s="157"/>
      <c r="GO624" s="172">
        <v>1.0</v>
      </c>
      <c r="GP624" s="172">
        <v>0.0</v>
      </c>
      <c r="GQ624" s="172">
        <v>1.0</v>
      </c>
      <c r="GR624" s="172"/>
      <c r="GS624" s="172"/>
      <c r="GT624" s="172"/>
      <c r="GU624" s="172">
        <v>0.0</v>
      </c>
      <c r="GV624" s="172">
        <v>1.0</v>
      </c>
      <c r="GW624" s="172">
        <v>0.0</v>
      </c>
      <c r="GX624" s="172">
        <v>1.0</v>
      </c>
      <c r="GY624" s="172">
        <v>0.0</v>
      </c>
      <c r="GZ624" s="172"/>
      <c r="HA624" s="172"/>
      <c r="HB624" s="155">
        <v>7.0</v>
      </c>
      <c r="HC624" s="155">
        <v>0.0</v>
      </c>
      <c r="HD624" s="155">
        <v>0.0</v>
      </c>
      <c r="HE624" s="155">
        <v>0.0</v>
      </c>
      <c r="HF624" s="155">
        <v>0.0</v>
      </c>
      <c r="HG624" s="155">
        <v>0.0</v>
      </c>
      <c r="HH624" s="172">
        <v>0.0</v>
      </c>
      <c r="HI624" s="172">
        <v>1.0</v>
      </c>
      <c r="HJ624" s="172">
        <v>0.0</v>
      </c>
      <c r="HK624" s="172">
        <v>1.0</v>
      </c>
      <c r="HL624" s="172">
        <v>0.0</v>
      </c>
      <c r="HM624" s="172"/>
      <c r="HN624" s="172">
        <v>1.0</v>
      </c>
      <c r="HO624" s="172">
        <v>0.0</v>
      </c>
      <c r="HP624" s="172">
        <v>1.0</v>
      </c>
      <c r="HQ624" s="172">
        <v>0.0</v>
      </c>
      <c r="HR624" s="172">
        <v>1.0</v>
      </c>
      <c r="HS624" s="172">
        <v>0.0</v>
      </c>
      <c r="HT624" s="172">
        <v>1.0</v>
      </c>
      <c r="HU624" s="172">
        <v>0.0</v>
      </c>
      <c r="HV624" s="172">
        <v>0.0</v>
      </c>
      <c r="HW624" s="172">
        <v>1.0</v>
      </c>
      <c r="HX624" s="172"/>
      <c r="HY624" s="172"/>
      <c r="HZ624" s="172"/>
      <c r="IA624" s="172"/>
      <c r="IB624" s="172"/>
      <c r="IC624" s="172"/>
      <c r="ID624" s="172"/>
      <c r="IE624" s="172"/>
      <c r="IF624" s="172"/>
      <c r="IG624" s="172"/>
      <c r="IH624" s="172"/>
      <c r="II624" s="172"/>
      <c r="IJ624" s="172"/>
      <c r="IK624" s="172"/>
      <c r="IL624" s="159">
        <v>0.0</v>
      </c>
      <c r="IM624" s="156">
        <v>0.0</v>
      </c>
      <c r="IN624" s="156">
        <v>0.0</v>
      </c>
      <c r="IO624" s="156">
        <v>0.0</v>
      </c>
      <c r="IP624" s="156">
        <v>0.0</v>
      </c>
      <c r="IQ624" s="160">
        <v>0.0</v>
      </c>
      <c r="IR624" s="172">
        <v>0.0</v>
      </c>
      <c r="IS624" s="172"/>
      <c r="IT624" s="172">
        <v>0.0</v>
      </c>
      <c r="IU624" s="172"/>
      <c r="IV624" s="172">
        <v>0.0</v>
      </c>
      <c r="IW624" s="172">
        <v>0.0</v>
      </c>
      <c r="IX624" s="172"/>
      <c r="IY624" s="172">
        <v>0.0</v>
      </c>
      <c r="IZ624" s="172"/>
      <c r="JA624" s="172">
        <v>0.0</v>
      </c>
      <c r="JB624" s="172"/>
      <c r="JC624" s="172">
        <v>0.0</v>
      </c>
      <c r="JD624" s="172">
        <v>0.0</v>
      </c>
      <c r="JE624" s="172"/>
      <c r="JF624" s="172">
        <v>0.0</v>
      </c>
      <c r="JG624" s="172"/>
      <c r="JH624" s="170">
        <v>0.0</v>
      </c>
      <c r="JI624" s="172"/>
      <c r="JJ624" s="172"/>
      <c r="JK624" s="172"/>
      <c r="JL624" s="172"/>
      <c r="JM624" s="172"/>
      <c r="JN624" s="172"/>
      <c r="JO624" s="172"/>
      <c r="JP624" s="172"/>
      <c r="JQ624" s="172"/>
      <c r="JR624" s="172"/>
      <c r="JS624" s="172"/>
      <c r="JT624" s="172"/>
      <c r="JU624" s="172"/>
      <c r="JV624" s="172"/>
      <c r="JW624" s="159">
        <v>0.0</v>
      </c>
      <c r="JX624" s="156">
        <v>0.0</v>
      </c>
      <c r="JY624" s="156">
        <v>0.0</v>
      </c>
      <c r="JZ624" s="156">
        <v>0.0</v>
      </c>
      <c r="KA624" s="156">
        <v>0.0</v>
      </c>
      <c r="KB624" s="160">
        <v>0.0</v>
      </c>
      <c r="KC624" s="172"/>
      <c r="KD624" s="172"/>
      <c r="KE624" s="172"/>
      <c r="KF624" s="172"/>
      <c r="KG624" s="172"/>
      <c r="KH624" s="172"/>
      <c r="KI624" s="172"/>
      <c r="KJ624" s="172"/>
      <c r="KK624" s="172"/>
      <c r="KL624" s="172"/>
      <c r="KM624" s="172"/>
      <c r="KN624" s="172"/>
      <c r="KO624" s="172"/>
      <c r="KP624" s="172"/>
      <c r="KQ624" s="172"/>
      <c r="KR624" s="172"/>
      <c r="KS624" s="432"/>
      <c r="KT624" s="172"/>
      <c r="KU624" s="172"/>
      <c r="KV624" s="172"/>
      <c r="KW624" s="172"/>
      <c r="KX624" s="172"/>
      <c r="KY624" s="172"/>
      <c r="KZ624" s="172"/>
      <c r="LA624" s="172"/>
      <c r="LB624" s="172"/>
      <c r="LC624" s="172"/>
      <c r="LD624" s="172"/>
      <c r="LE624" s="172"/>
      <c r="LF624" s="172"/>
      <c r="LG624" s="172"/>
      <c r="LH624" s="159">
        <f t="shared" si="10"/>
        <v>7</v>
      </c>
      <c r="LI624" s="156">
        <f t="shared" si="11"/>
        <v>0</v>
      </c>
      <c r="LJ624" s="156">
        <f t="shared" si="12"/>
        <v>0</v>
      </c>
      <c r="LK624" s="156">
        <f t="shared" si="13"/>
        <v>0</v>
      </c>
      <c r="LL624" s="156">
        <f t="shared" si="14"/>
        <v>0</v>
      </c>
      <c r="LM624" s="160">
        <f t="shared" si="15"/>
        <v>0</v>
      </c>
      <c r="LW624" s="12">
        <f t="shared" ref="LW624:MQ624" si="56">IFS(TODAY()&lt;=LC$2,0,WEEKDAY(LC$2)=2,0,WEEKDAY(LC$2)=3,1,WEEKDAY(LC$2)=4,0,WEEKDAY(LC$2)=5,1,WEEKDAY(LC$2)=6,0,WEEKDAY(LC$2)=7,1,WEEKDAY(LC$2)=1,0)</f>
        <v>1</v>
      </c>
      <c r="LX624" s="12">
        <f t="shared" si="56"/>
        <v>0</v>
      </c>
      <c r="LY624" s="12">
        <f t="shared" si="56"/>
        <v>1</v>
      </c>
      <c r="LZ624" s="12">
        <f t="shared" si="56"/>
        <v>0</v>
      </c>
      <c r="MA624" s="12">
        <f t="shared" si="56"/>
        <v>0</v>
      </c>
      <c r="MB624" s="12">
        <f t="shared" si="56"/>
        <v>0</v>
      </c>
      <c r="MC624" s="12">
        <f t="shared" si="56"/>
        <v>0</v>
      </c>
      <c r="MD624" s="12">
        <f t="shared" si="56"/>
        <v>0</v>
      </c>
      <c r="ME624" s="12">
        <f t="shared" si="56"/>
        <v>0</v>
      </c>
      <c r="MF624" s="12">
        <f t="shared" si="56"/>
        <v>0</v>
      </c>
      <c r="MG624" s="12">
        <f t="shared" si="56"/>
        <v>0</v>
      </c>
      <c r="MH624" s="12">
        <f t="shared" si="56"/>
        <v>1</v>
      </c>
      <c r="MI624" s="12">
        <f t="shared" si="56"/>
        <v>0</v>
      </c>
      <c r="MJ624" s="12">
        <f t="shared" si="56"/>
        <v>1</v>
      </c>
      <c r="MK624" s="12">
        <f t="shared" si="56"/>
        <v>0</v>
      </c>
      <c r="ML624" s="12">
        <f t="shared" si="56"/>
        <v>1</v>
      </c>
      <c r="MM624" s="12">
        <f t="shared" si="56"/>
        <v>0</v>
      </c>
      <c r="MN624" s="12">
        <f t="shared" si="56"/>
        <v>0</v>
      </c>
      <c r="MO624" s="12">
        <f t="shared" si="56"/>
        <v>1</v>
      </c>
      <c r="MP624" s="12">
        <f t="shared" si="56"/>
        <v>0</v>
      </c>
      <c r="MQ624" s="12">
        <f t="shared" si="56"/>
        <v>1</v>
      </c>
      <c r="QX624" s="560">
        <v>46155.0</v>
      </c>
    </row>
    <row r="625">
      <c r="A625" s="12"/>
      <c r="B625" s="12"/>
      <c r="C625" s="12"/>
      <c r="D625" s="12"/>
      <c r="E625" s="12"/>
      <c r="F625" s="12"/>
      <c r="G625" s="12"/>
      <c r="H625" s="12"/>
      <c r="I625" s="143">
        <f t="shared" si="22"/>
        <v>-8</v>
      </c>
      <c r="J625" s="537">
        <v>46161.0</v>
      </c>
      <c r="K625" s="164" t="s">
        <v>53</v>
      </c>
      <c r="L625" s="23">
        <v>46199.0</v>
      </c>
      <c r="M625" s="86" t="s">
        <v>696</v>
      </c>
      <c r="N625" s="86">
        <v>3456.0</v>
      </c>
      <c r="O625" s="86">
        <v>30.0</v>
      </c>
      <c r="U625" s="162" t="s">
        <v>2406</v>
      </c>
      <c r="V625" s="538" t="s">
        <v>1820</v>
      </c>
      <c r="W625" s="125" t="s">
        <v>3577</v>
      </c>
      <c r="X625" s="140"/>
      <c r="Y625" s="166">
        <f t="shared" si="23"/>
        <v>8</v>
      </c>
      <c r="Z625" s="26">
        <f t="shared" si="7"/>
        <v>0</v>
      </c>
      <c r="AA625" s="26">
        <f t="shared" si="8"/>
        <v>1</v>
      </c>
      <c r="AB625" s="26">
        <f t="shared" si="9"/>
        <v>0</v>
      </c>
      <c r="AC625" s="155">
        <v>0.0</v>
      </c>
      <c r="AD625" s="155">
        <v>0.0</v>
      </c>
      <c r="AE625" s="155">
        <v>0.0</v>
      </c>
      <c r="AF625" s="155">
        <v>0.0</v>
      </c>
      <c r="AG625" s="155">
        <v>0.0</v>
      </c>
      <c r="AH625" s="155">
        <v>0.0</v>
      </c>
      <c r="BN625" s="155">
        <v>0.0</v>
      </c>
      <c r="BO625" s="155">
        <v>0.0</v>
      </c>
      <c r="BP625" s="155">
        <v>0.0</v>
      </c>
      <c r="BQ625" s="155">
        <v>0.0</v>
      </c>
      <c r="BR625" s="155">
        <v>0.0</v>
      </c>
      <c r="BS625" s="155">
        <v>0.0</v>
      </c>
      <c r="CV625" s="156">
        <v>0.0</v>
      </c>
      <c r="CW625" s="156">
        <v>0.0</v>
      </c>
      <c r="CX625" s="156">
        <v>0.0</v>
      </c>
      <c r="CY625" s="156">
        <v>0.0</v>
      </c>
      <c r="CZ625" s="156">
        <v>0.0</v>
      </c>
      <c r="DA625" s="156">
        <v>0.0</v>
      </c>
      <c r="EG625" s="156">
        <v>0.0</v>
      </c>
      <c r="EH625" s="156">
        <v>0.0</v>
      </c>
      <c r="EI625" s="156">
        <v>0.0</v>
      </c>
      <c r="EJ625" s="156">
        <v>0.0</v>
      </c>
      <c r="EK625" s="156">
        <v>0.0</v>
      </c>
      <c r="EL625" s="156">
        <v>0.0</v>
      </c>
      <c r="FQ625" s="156">
        <v>6.0</v>
      </c>
      <c r="FR625" s="156">
        <v>0.0</v>
      </c>
      <c r="FS625" s="156">
        <v>0.0</v>
      </c>
      <c r="FT625" s="156">
        <v>0.0</v>
      </c>
      <c r="FU625" s="156">
        <v>0.0</v>
      </c>
      <c r="FV625" s="156">
        <v>0.0</v>
      </c>
      <c r="FW625" s="157"/>
      <c r="FX625" s="157"/>
      <c r="FY625" s="157"/>
      <c r="FZ625" s="157"/>
      <c r="GA625" s="157"/>
      <c r="GB625" s="157"/>
      <c r="GC625" s="157"/>
      <c r="GD625" s="157"/>
      <c r="GE625" s="157"/>
      <c r="GF625" s="157"/>
      <c r="GG625" s="157"/>
      <c r="GH625" s="157"/>
      <c r="GI625" s="157"/>
      <c r="GJ625" s="157"/>
      <c r="GK625" s="157"/>
      <c r="GL625" s="157"/>
      <c r="GM625" s="157"/>
      <c r="GN625" s="157"/>
      <c r="GO625" s="172">
        <v>1.0</v>
      </c>
      <c r="GP625" s="172">
        <v>1.0</v>
      </c>
      <c r="GQ625" s="172"/>
      <c r="GR625" s="172"/>
      <c r="GS625" s="172"/>
      <c r="GT625" s="172"/>
      <c r="GU625" s="172"/>
      <c r="GV625" s="172">
        <v>1.0</v>
      </c>
      <c r="GW625" s="172">
        <v>1.0</v>
      </c>
      <c r="GX625" s="172">
        <v>1.0</v>
      </c>
      <c r="GY625" s="172">
        <v>1.0</v>
      </c>
      <c r="GZ625" s="172"/>
      <c r="HA625" s="172">
        <v>0.0</v>
      </c>
      <c r="HB625" s="155">
        <v>2.0</v>
      </c>
      <c r="HC625" s="155">
        <v>0.0</v>
      </c>
      <c r="HD625" s="155">
        <v>0.0</v>
      </c>
      <c r="HE625" s="155">
        <v>1.0</v>
      </c>
      <c r="HF625" s="155">
        <v>0.0</v>
      </c>
      <c r="HG625" s="155">
        <v>0.0</v>
      </c>
      <c r="HK625" s="86" t="s">
        <v>947</v>
      </c>
      <c r="ID625" s="86">
        <v>1.0</v>
      </c>
      <c r="IL625" s="159">
        <v>0.0</v>
      </c>
      <c r="IM625" s="156">
        <v>0.0</v>
      </c>
      <c r="IN625" s="156">
        <v>0.0</v>
      </c>
      <c r="IO625" s="156">
        <v>0.0</v>
      </c>
      <c r="IP625" s="156">
        <v>0.0</v>
      </c>
      <c r="IQ625" s="160">
        <v>0.0</v>
      </c>
      <c r="JH625" s="25"/>
      <c r="JW625" s="159">
        <v>0.0</v>
      </c>
      <c r="JX625" s="156">
        <v>0.0</v>
      </c>
      <c r="JY625" s="156">
        <v>0.0</v>
      </c>
      <c r="JZ625" s="156">
        <v>0.0</v>
      </c>
      <c r="KA625" s="156">
        <v>0.0</v>
      </c>
      <c r="KB625" s="160">
        <v>0.0</v>
      </c>
      <c r="LH625" s="159">
        <f t="shared" si="10"/>
        <v>0</v>
      </c>
      <c r="LI625" s="156">
        <f t="shared" si="11"/>
        <v>0</v>
      </c>
      <c r="LJ625" s="156">
        <f t="shared" si="12"/>
        <v>0</v>
      </c>
      <c r="LK625" s="156">
        <f t="shared" si="13"/>
        <v>0</v>
      </c>
      <c r="LL625" s="156">
        <f t="shared" si="14"/>
        <v>0</v>
      </c>
      <c r="LM625" s="160">
        <f t="shared" si="15"/>
        <v>0</v>
      </c>
      <c r="QX625" s="560">
        <v>46155.0</v>
      </c>
    </row>
    <row r="626">
      <c r="A626" s="12"/>
      <c r="B626" s="12"/>
      <c r="C626" s="12"/>
      <c r="D626" s="12"/>
      <c r="E626" s="58"/>
      <c r="F626" s="12"/>
      <c r="G626" s="12"/>
      <c r="H626" s="12"/>
      <c r="I626" s="143">
        <f t="shared" si="22"/>
        <v>-30</v>
      </c>
      <c r="J626" s="537">
        <v>46161.0</v>
      </c>
      <c r="K626" s="164" t="s">
        <v>61</v>
      </c>
      <c r="L626" s="23">
        <v>46256.0</v>
      </c>
      <c r="M626" s="86" t="s">
        <v>400</v>
      </c>
      <c r="N626" s="86">
        <v>357.0</v>
      </c>
      <c r="O626" s="86">
        <v>30.0</v>
      </c>
      <c r="U626" s="162" t="s">
        <v>3578</v>
      </c>
      <c r="V626" s="538" t="s">
        <v>563</v>
      </c>
      <c r="W626" s="125" t="s">
        <v>3579</v>
      </c>
      <c r="X626" s="140"/>
      <c r="Y626" s="166">
        <f t="shared" si="23"/>
        <v>30</v>
      </c>
      <c r="Z626" s="26">
        <f t="shared" si="7"/>
        <v>0</v>
      </c>
      <c r="AA626" s="26">
        <f t="shared" si="8"/>
        <v>0</v>
      </c>
      <c r="AB626" s="26">
        <f t="shared" si="9"/>
        <v>0</v>
      </c>
      <c r="AC626" s="155">
        <v>0.0</v>
      </c>
      <c r="AD626" s="155">
        <v>0.0</v>
      </c>
      <c r="AE626" s="155">
        <v>0.0</v>
      </c>
      <c r="AF626" s="155">
        <v>0.0</v>
      </c>
      <c r="AG626" s="155">
        <v>0.0</v>
      </c>
      <c r="AH626" s="155">
        <v>0.0</v>
      </c>
      <c r="BN626" s="155">
        <v>0.0</v>
      </c>
      <c r="BO626" s="155">
        <v>0.0</v>
      </c>
      <c r="BP626" s="155">
        <v>0.0</v>
      </c>
      <c r="BQ626" s="155">
        <v>0.0</v>
      </c>
      <c r="BR626" s="155">
        <v>0.0</v>
      </c>
      <c r="BS626" s="155">
        <v>0.0</v>
      </c>
      <c r="CV626" s="156">
        <v>0.0</v>
      </c>
      <c r="CW626" s="156">
        <v>0.0</v>
      </c>
      <c r="CX626" s="156">
        <v>0.0</v>
      </c>
      <c r="CY626" s="156">
        <v>0.0</v>
      </c>
      <c r="CZ626" s="156">
        <v>0.0</v>
      </c>
      <c r="DA626" s="156">
        <v>0.0</v>
      </c>
      <c r="EG626" s="156">
        <v>0.0</v>
      </c>
      <c r="EH626" s="156">
        <v>0.0</v>
      </c>
      <c r="EI626" s="156">
        <v>0.0</v>
      </c>
      <c r="EJ626" s="156">
        <v>0.0</v>
      </c>
      <c r="EK626" s="156">
        <v>0.0</v>
      </c>
      <c r="EL626" s="156">
        <v>0.0</v>
      </c>
      <c r="FQ626" s="156">
        <v>6.0</v>
      </c>
      <c r="FR626" s="156">
        <v>0.0</v>
      </c>
      <c r="FS626" s="156">
        <v>0.0</v>
      </c>
      <c r="FT626" s="156">
        <v>0.0</v>
      </c>
      <c r="FU626" s="156">
        <v>0.0</v>
      </c>
      <c r="FV626" s="156">
        <v>0.0</v>
      </c>
      <c r="FW626" s="157"/>
      <c r="FX626" s="157"/>
      <c r="FY626" s="157"/>
      <c r="FZ626" s="157"/>
      <c r="GA626" s="157"/>
      <c r="GB626" s="157"/>
      <c r="GC626" s="157"/>
      <c r="GD626" s="157"/>
      <c r="GE626" s="157"/>
      <c r="GF626" s="157"/>
      <c r="GG626" s="157"/>
      <c r="GH626" s="157"/>
      <c r="GI626" s="157"/>
      <c r="GJ626" s="157"/>
      <c r="GK626" s="157"/>
      <c r="GL626" s="157"/>
      <c r="GM626" s="157"/>
      <c r="GN626" s="157"/>
      <c r="GO626" s="172">
        <v>1.0</v>
      </c>
      <c r="GP626" s="172">
        <v>0.0</v>
      </c>
      <c r="GQ626" s="172">
        <v>1.0</v>
      </c>
      <c r="GR626" s="172">
        <v>0.0</v>
      </c>
      <c r="GS626" s="172">
        <v>1.0</v>
      </c>
      <c r="GT626" s="172">
        <v>0.0</v>
      </c>
      <c r="GU626" s="172">
        <v>0.0</v>
      </c>
      <c r="GV626" s="172">
        <v>1.0</v>
      </c>
      <c r="GW626" s="172">
        <v>0.0</v>
      </c>
      <c r="GX626" s="172">
        <v>1.0</v>
      </c>
      <c r="GY626" s="172">
        <v>0.0</v>
      </c>
      <c r="GZ626" s="172">
        <v>1.0</v>
      </c>
      <c r="HA626" s="172">
        <v>0.0</v>
      </c>
      <c r="HB626" s="155">
        <v>9.0</v>
      </c>
      <c r="HC626" s="155">
        <v>0.0</v>
      </c>
      <c r="HD626" s="155">
        <v>0.0</v>
      </c>
      <c r="HE626" s="155">
        <v>0.0</v>
      </c>
      <c r="HF626" s="155">
        <v>0.0</v>
      </c>
      <c r="HG626" s="155">
        <v>0.0</v>
      </c>
      <c r="HH626" s="172">
        <v>0.0</v>
      </c>
      <c r="HI626" s="172">
        <v>1.0</v>
      </c>
      <c r="HJ626" s="172">
        <v>0.0</v>
      </c>
      <c r="HK626" s="172">
        <v>1.0</v>
      </c>
      <c r="HL626" s="172">
        <v>0.0</v>
      </c>
      <c r="HM626" s="172">
        <v>1.0</v>
      </c>
      <c r="HN626" s="172">
        <v>0.0</v>
      </c>
      <c r="HO626" s="172">
        <v>0.0</v>
      </c>
      <c r="HP626" s="172"/>
      <c r="HQ626" s="172">
        <v>0.0</v>
      </c>
      <c r="HR626" s="172">
        <v>1.0</v>
      </c>
      <c r="HS626" s="172">
        <v>0.0</v>
      </c>
      <c r="HT626" s="172">
        <v>1.0</v>
      </c>
      <c r="HU626" s="172">
        <v>0.0</v>
      </c>
      <c r="HV626" s="172">
        <v>0.0</v>
      </c>
      <c r="HW626" s="172">
        <v>1.0</v>
      </c>
      <c r="HX626" s="172">
        <v>0.0</v>
      </c>
      <c r="HY626" s="172">
        <v>1.0</v>
      </c>
      <c r="HZ626" s="172">
        <v>0.0</v>
      </c>
      <c r="IA626" s="172">
        <v>1.0</v>
      </c>
      <c r="IB626" s="172">
        <v>0.0</v>
      </c>
      <c r="IC626" s="172">
        <v>0.0</v>
      </c>
      <c r="ID626" s="172">
        <v>1.0</v>
      </c>
      <c r="IE626" s="172"/>
      <c r="IF626" s="172"/>
      <c r="IG626" s="172"/>
      <c r="IH626" s="172"/>
      <c r="II626" s="172"/>
      <c r="IJ626" s="172"/>
      <c r="IK626" s="172"/>
      <c r="IL626" s="159">
        <v>10.0</v>
      </c>
      <c r="IM626" s="156">
        <v>0.0</v>
      </c>
      <c r="IN626" s="156">
        <v>0.0</v>
      </c>
      <c r="IO626" s="156">
        <v>0.0</v>
      </c>
      <c r="IP626" s="156">
        <v>0.0</v>
      </c>
      <c r="IQ626" s="160">
        <v>0.0</v>
      </c>
      <c r="IR626" s="172">
        <v>0.0</v>
      </c>
      <c r="IS626" s="172"/>
      <c r="IT626" s="172">
        <v>0.0</v>
      </c>
      <c r="IU626" s="172"/>
      <c r="IV626" s="172">
        <v>0.0</v>
      </c>
      <c r="IW626" s="172">
        <v>0.0</v>
      </c>
      <c r="IX626" s="172">
        <v>1.0</v>
      </c>
      <c r="IY626" s="172">
        <v>0.0</v>
      </c>
      <c r="IZ626" s="172">
        <v>1.0</v>
      </c>
      <c r="JA626" s="172">
        <v>0.0</v>
      </c>
      <c r="JB626" s="172"/>
      <c r="JC626" s="172">
        <v>0.0</v>
      </c>
      <c r="JD626" s="172">
        <v>0.0</v>
      </c>
      <c r="JE626" s="172">
        <v>1.0</v>
      </c>
      <c r="JF626" s="172">
        <v>0.0</v>
      </c>
      <c r="JG626" s="172">
        <v>1.0</v>
      </c>
      <c r="JH626" s="170">
        <v>0.0</v>
      </c>
      <c r="JI626" s="172">
        <v>1.0</v>
      </c>
      <c r="JJ626" s="172"/>
      <c r="JK626" s="172"/>
      <c r="JL626" s="172">
        <v>1.0</v>
      </c>
      <c r="JM626" s="172"/>
      <c r="JN626" s="172">
        <v>1.0</v>
      </c>
      <c r="JO626" s="172"/>
      <c r="JP626" s="172">
        <v>1.0</v>
      </c>
      <c r="JQ626" s="172"/>
      <c r="JR626" s="172"/>
      <c r="JS626" s="172">
        <v>1.0</v>
      </c>
      <c r="JT626" s="172"/>
      <c r="JU626" s="172">
        <v>1.0</v>
      </c>
      <c r="JV626" s="172"/>
      <c r="JW626" s="159">
        <v>5.0</v>
      </c>
      <c r="JX626" s="156">
        <v>0.0</v>
      </c>
      <c r="JY626" s="156">
        <v>0.0</v>
      </c>
      <c r="JZ626" s="156">
        <v>0.0</v>
      </c>
      <c r="KA626" s="156">
        <v>0.0</v>
      </c>
      <c r="KB626" s="160">
        <v>0.0</v>
      </c>
      <c r="KC626" s="172"/>
      <c r="KD626" s="172"/>
      <c r="KE626" s="172"/>
      <c r="KF626" s="172">
        <v>1.0</v>
      </c>
      <c r="KG626" s="172"/>
      <c r="KH626" s="172">
        <v>1.0</v>
      </c>
      <c r="KI626" s="172"/>
      <c r="KJ626" s="172">
        <v>1.0</v>
      </c>
      <c r="KK626" s="172"/>
      <c r="KL626" s="172"/>
      <c r="KM626" s="172">
        <v>1.0</v>
      </c>
      <c r="KN626" s="172"/>
      <c r="KO626" s="172">
        <v>1.0</v>
      </c>
      <c r="KP626" s="172"/>
      <c r="KQ626" s="172"/>
      <c r="KR626" s="172"/>
      <c r="KS626" s="432"/>
      <c r="KT626" s="172"/>
      <c r="KU626" s="172"/>
      <c r="KV626" s="172"/>
      <c r="KW626" s="172"/>
      <c r="KX626" s="172"/>
      <c r="KY626" s="172"/>
      <c r="KZ626" s="172"/>
      <c r="LA626" s="172"/>
      <c r="LB626" s="172"/>
      <c r="LC626" s="172"/>
      <c r="LD626" s="172"/>
      <c r="LE626" s="172"/>
      <c r="LF626" s="172"/>
      <c r="LG626" s="172"/>
      <c r="LH626" s="159">
        <f t="shared" si="10"/>
        <v>0</v>
      </c>
      <c r="LI626" s="156">
        <f t="shared" si="11"/>
        <v>0</v>
      </c>
      <c r="LJ626" s="156">
        <f t="shared" si="12"/>
        <v>0</v>
      </c>
      <c r="LK626" s="156">
        <f t="shared" si="13"/>
        <v>0</v>
      </c>
      <c r="LL626" s="156">
        <f t="shared" si="14"/>
        <v>0</v>
      </c>
      <c r="LM626" s="160">
        <f t="shared" si="15"/>
        <v>0</v>
      </c>
      <c r="QX626" s="560">
        <v>46157.0</v>
      </c>
    </row>
    <row r="627">
      <c r="A627" s="12"/>
      <c r="B627" s="12"/>
      <c r="C627" s="12"/>
      <c r="D627" s="12"/>
      <c r="E627" s="12"/>
      <c r="F627" s="12"/>
      <c r="G627" s="12"/>
      <c r="H627" s="12"/>
      <c r="I627" s="143">
        <f t="shared" si="22"/>
        <v>-4</v>
      </c>
      <c r="J627" s="593">
        <v>46162.0</v>
      </c>
      <c r="K627" s="164" t="s">
        <v>61</v>
      </c>
      <c r="L627" s="537">
        <v>46216.0</v>
      </c>
      <c r="M627" s="86" t="s">
        <v>400</v>
      </c>
      <c r="N627" s="86">
        <v>246.0</v>
      </c>
      <c r="O627" s="86">
        <v>30.0</v>
      </c>
      <c r="U627" s="162" t="s">
        <v>3157</v>
      </c>
      <c r="V627" s="538" t="s">
        <v>3158</v>
      </c>
      <c r="W627" s="125" t="s">
        <v>3580</v>
      </c>
      <c r="X627" s="140"/>
      <c r="Y627" s="166">
        <f t="shared" si="23"/>
        <v>4</v>
      </c>
      <c r="Z627" s="26">
        <f t="shared" si="7"/>
        <v>0</v>
      </c>
      <c r="AA627" s="26">
        <f t="shared" si="8"/>
        <v>2</v>
      </c>
      <c r="AB627" s="26">
        <f t="shared" si="9"/>
        <v>0</v>
      </c>
      <c r="AC627" s="155">
        <v>0.0</v>
      </c>
      <c r="AD627" s="155">
        <v>0.0</v>
      </c>
      <c r="AE627" s="155">
        <v>0.0</v>
      </c>
      <c r="AF627" s="155">
        <v>0.0</v>
      </c>
      <c r="AG627" s="155">
        <v>0.0</v>
      </c>
      <c r="AH627" s="155">
        <v>0.0</v>
      </c>
      <c r="BN627" s="155">
        <v>0.0</v>
      </c>
      <c r="BO627" s="155">
        <v>0.0</v>
      </c>
      <c r="BP627" s="155">
        <v>0.0</v>
      </c>
      <c r="BQ627" s="155">
        <v>0.0</v>
      </c>
      <c r="BR627" s="155">
        <v>0.0</v>
      </c>
      <c r="BS627" s="155">
        <v>0.0</v>
      </c>
      <c r="CV627" s="156">
        <v>0.0</v>
      </c>
      <c r="CW627" s="156">
        <v>0.0</v>
      </c>
      <c r="CX627" s="156">
        <v>0.0</v>
      </c>
      <c r="CY627" s="156">
        <v>0.0</v>
      </c>
      <c r="CZ627" s="156">
        <v>0.0</v>
      </c>
      <c r="DA627" s="156">
        <v>0.0</v>
      </c>
      <c r="EG627" s="156">
        <v>0.0</v>
      </c>
      <c r="EH627" s="156">
        <v>0.0</v>
      </c>
      <c r="EI627" s="156">
        <v>0.0</v>
      </c>
      <c r="EJ627" s="156">
        <v>0.0</v>
      </c>
      <c r="EK627" s="156">
        <v>0.0</v>
      </c>
      <c r="EL627" s="156">
        <v>0.0</v>
      </c>
      <c r="FQ627" s="156">
        <v>2.0</v>
      </c>
      <c r="FR627" s="156">
        <v>0.0</v>
      </c>
      <c r="FS627" s="156">
        <v>0.0</v>
      </c>
      <c r="FT627" s="156">
        <v>0.0</v>
      </c>
      <c r="FU627" s="156">
        <v>0.0</v>
      </c>
      <c r="FV627" s="156">
        <v>0.0</v>
      </c>
      <c r="FW627" s="157"/>
      <c r="FX627" s="157"/>
      <c r="FY627" s="157"/>
      <c r="FZ627" s="157"/>
      <c r="GA627" s="157"/>
      <c r="GB627" s="157"/>
      <c r="GC627" s="157"/>
      <c r="GD627" s="157"/>
      <c r="GE627" s="157"/>
      <c r="GF627" s="157"/>
      <c r="GG627" s="157"/>
      <c r="GH627" s="157"/>
      <c r="GI627" s="157"/>
      <c r="GJ627" s="157"/>
      <c r="GK627" s="157"/>
      <c r="GL627" s="157"/>
      <c r="GM627" s="157"/>
      <c r="GN627" s="157"/>
      <c r="GO627" s="157"/>
      <c r="GP627" s="177">
        <v>1.0</v>
      </c>
      <c r="GQ627" s="177">
        <v>0.0</v>
      </c>
      <c r="GR627" s="177">
        <v>1.0</v>
      </c>
      <c r="GS627" s="177"/>
      <c r="GT627" s="177"/>
      <c r="GU627" s="177"/>
      <c r="GV627" s="177"/>
      <c r="GW627" s="177"/>
      <c r="GX627" s="177"/>
      <c r="GY627" s="177"/>
      <c r="GZ627" s="177"/>
      <c r="HA627" s="177"/>
      <c r="HB627" s="155">
        <v>1.0</v>
      </c>
      <c r="HC627" s="155">
        <v>0.0</v>
      </c>
      <c r="HD627" s="155">
        <v>0.0</v>
      </c>
      <c r="HE627" s="155">
        <v>1.0</v>
      </c>
      <c r="HF627" s="155">
        <v>0.0</v>
      </c>
      <c r="HG627" s="155">
        <v>0.0</v>
      </c>
      <c r="HH627" s="86" t="s">
        <v>947</v>
      </c>
      <c r="IL627" s="159">
        <v>1.0</v>
      </c>
      <c r="IM627" s="156">
        <v>0.0</v>
      </c>
      <c r="IN627" s="156">
        <v>0.0</v>
      </c>
      <c r="IO627" s="156">
        <v>1.0</v>
      </c>
      <c r="IP627" s="156">
        <v>0.0</v>
      </c>
      <c r="IQ627" s="160">
        <v>0.0</v>
      </c>
      <c r="JD627" s="86" t="s">
        <v>947</v>
      </c>
      <c r="JH627" s="25"/>
      <c r="JW627" s="159">
        <v>0.0</v>
      </c>
      <c r="JX627" s="156">
        <v>0.0</v>
      </c>
      <c r="JY627" s="156">
        <v>0.0</v>
      </c>
      <c r="JZ627" s="156">
        <v>0.0</v>
      </c>
      <c r="KA627" s="156">
        <v>0.0</v>
      </c>
      <c r="KB627" s="160">
        <v>0.0</v>
      </c>
      <c r="LH627" s="159">
        <f t="shared" si="10"/>
        <v>0</v>
      </c>
      <c r="LI627" s="156">
        <f t="shared" si="11"/>
        <v>0</v>
      </c>
      <c r="LJ627" s="156">
        <f t="shared" si="12"/>
        <v>0</v>
      </c>
      <c r="LK627" s="156">
        <f t="shared" si="13"/>
        <v>0</v>
      </c>
      <c r="LL627" s="156">
        <f t="shared" si="14"/>
        <v>0</v>
      </c>
      <c r="LM627" s="160">
        <f t="shared" si="15"/>
        <v>0</v>
      </c>
      <c r="QX627" s="560">
        <v>46158.0</v>
      </c>
    </row>
    <row r="628">
      <c r="A628" s="12"/>
      <c r="B628" s="12"/>
      <c r="C628" s="12"/>
      <c r="D628" s="12"/>
      <c r="E628" s="58"/>
      <c r="F628" s="12"/>
      <c r="G628" s="12"/>
      <c r="H628" s="12"/>
      <c r="I628" s="143">
        <f t="shared" si="22"/>
        <v>-30</v>
      </c>
      <c r="J628" s="537">
        <v>46169.0</v>
      </c>
      <c r="K628" s="294" t="s">
        <v>48</v>
      </c>
      <c r="L628" s="108"/>
      <c r="M628" s="86" t="s">
        <v>3581</v>
      </c>
      <c r="N628" s="86">
        <v>246.0</v>
      </c>
      <c r="O628" s="86">
        <v>30.0</v>
      </c>
      <c r="U628" s="162" t="s">
        <v>3523</v>
      </c>
      <c r="V628" s="538" t="s">
        <v>3384</v>
      </c>
      <c r="W628" s="125" t="s">
        <v>3582</v>
      </c>
      <c r="X628" s="140"/>
      <c r="Y628" s="166">
        <f t="shared" si="23"/>
        <v>30</v>
      </c>
      <c r="Z628" s="26">
        <f t="shared" si="7"/>
        <v>0</v>
      </c>
      <c r="AA628" s="26">
        <f t="shared" si="8"/>
        <v>0</v>
      </c>
      <c r="AB628" s="26">
        <f t="shared" si="9"/>
        <v>0</v>
      </c>
      <c r="AC628" s="155">
        <v>0.0</v>
      </c>
      <c r="AD628" s="155">
        <v>0.0</v>
      </c>
      <c r="AE628" s="155">
        <v>0.0</v>
      </c>
      <c r="AF628" s="155">
        <v>0.0</v>
      </c>
      <c r="AG628" s="155">
        <v>0.0</v>
      </c>
      <c r="AH628" s="155">
        <v>0.0</v>
      </c>
      <c r="BN628" s="155">
        <v>0.0</v>
      </c>
      <c r="BO628" s="155">
        <v>0.0</v>
      </c>
      <c r="BP628" s="155">
        <v>0.0</v>
      </c>
      <c r="BQ628" s="155">
        <v>0.0</v>
      </c>
      <c r="BR628" s="155">
        <v>0.0</v>
      </c>
      <c r="BS628" s="155">
        <v>0.0</v>
      </c>
      <c r="CV628" s="156">
        <v>0.0</v>
      </c>
      <c r="CW628" s="156">
        <v>0.0</v>
      </c>
      <c r="CX628" s="156">
        <v>0.0</v>
      </c>
      <c r="CY628" s="156">
        <v>0.0</v>
      </c>
      <c r="CZ628" s="156">
        <v>0.0</v>
      </c>
      <c r="DA628" s="156">
        <v>0.0</v>
      </c>
      <c r="EG628" s="156">
        <v>0.0</v>
      </c>
      <c r="EH628" s="156">
        <v>0.0</v>
      </c>
      <c r="EI628" s="156">
        <v>0.0</v>
      </c>
      <c r="EJ628" s="156">
        <v>0.0</v>
      </c>
      <c r="EK628" s="156">
        <v>0.0</v>
      </c>
      <c r="EL628" s="156">
        <v>0.0</v>
      </c>
      <c r="FQ628" s="156">
        <v>2.0</v>
      </c>
      <c r="FR628" s="156">
        <v>0.0</v>
      </c>
      <c r="FS628" s="156">
        <v>0.0</v>
      </c>
      <c r="FT628" s="156">
        <v>0.0</v>
      </c>
      <c r="FU628" s="156">
        <v>0.0</v>
      </c>
      <c r="FV628" s="156">
        <v>0.0</v>
      </c>
      <c r="FW628" s="157"/>
      <c r="FX628" s="157"/>
      <c r="FY628" s="157"/>
      <c r="FZ628" s="157"/>
      <c r="GA628" s="157"/>
      <c r="GB628" s="157"/>
      <c r="GC628" s="157"/>
      <c r="GD628" s="157"/>
      <c r="GE628" s="157"/>
      <c r="GF628" s="157"/>
      <c r="GG628" s="157"/>
      <c r="GH628" s="157"/>
      <c r="GI628" s="157"/>
      <c r="GJ628" s="157"/>
      <c r="GK628" s="157"/>
      <c r="GL628" s="157"/>
      <c r="GM628" s="157"/>
      <c r="GN628" s="157"/>
      <c r="GO628" s="157"/>
      <c r="GP628" s="158"/>
      <c r="GQ628" s="157"/>
      <c r="GR628" s="157"/>
      <c r="GS628" s="157"/>
      <c r="GT628" s="157"/>
      <c r="GU628" s="157"/>
      <c r="GV628" s="157"/>
      <c r="GW628" s="177">
        <v>1.0</v>
      </c>
      <c r="GX628" s="177">
        <v>0.0</v>
      </c>
      <c r="GY628" s="177"/>
      <c r="GZ628" s="176">
        <v>1.0</v>
      </c>
      <c r="HA628" s="177">
        <v>0.0</v>
      </c>
      <c r="HB628" s="155">
        <v>9.0</v>
      </c>
      <c r="HC628" s="155">
        <v>0.0</v>
      </c>
      <c r="HD628" s="155">
        <v>0.0</v>
      </c>
      <c r="HE628" s="155">
        <v>0.0</v>
      </c>
      <c r="HF628" s="155">
        <v>0.0</v>
      </c>
      <c r="HG628" s="155">
        <v>0.0</v>
      </c>
      <c r="HH628" s="174">
        <v>1.0</v>
      </c>
      <c r="HI628" s="174">
        <v>0.0</v>
      </c>
      <c r="HJ628" s="174">
        <v>1.0</v>
      </c>
      <c r="HK628" s="174">
        <v>0.0</v>
      </c>
      <c r="HL628" s="174">
        <v>1.0</v>
      </c>
      <c r="HM628" s="174">
        <v>0.0</v>
      </c>
      <c r="HN628" s="174">
        <v>0.0</v>
      </c>
      <c r="HO628" s="174">
        <v>1.0</v>
      </c>
      <c r="HP628" s="174">
        <v>0.0</v>
      </c>
      <c r="HQ628" s="174">
        <v>1.0</v>
      </c>
      <c r="HR628" s="174">
        <v>0.0</v>
      </c>
      <c r="HS628" s="174">
        <v>1.0</v>
      </c>
      <c r="HT628" s="174">
        <v>0.0</v>
      </c>
      <c r="HU628" s="174">
        <v>0.0</v>
      </c>
      <c r="HV628" s="174"/>
      <c r="HW628" s="174">
        <v>0.0</v>
      </c>
      <c r="HX628" s="174"/>
      <c r="HY628" s="174">
        <v>0.0</v>
      </c>
      <c r="HZ628" s="174">
        <v>1.0</v>
      </c>
      <c r="IA628" s="174">
        <v>0.0</v>
      </c>
      <c r="IB628" s="174">
        <v>0.0</v>
      </c>
      <c r="IC628" s="174">
        <v>1.0</v>
      </c>
      <c r="ID628" s="174">
        <v>0.0</v>
      </c>
      <c r="IE628" s="174">
        <v>1.0</v>
      </c>
      <c r="IF628" s="174"/>
      <c r="IG628" s="174"/>
      <c r="IH628" s="174"/>
      <c r="II628" s="174"/>
      <c r="IJ628" s="174"/>
      <c r="IK628" s="174"/>
      <c r="IL628" s="159">
        <v>10.0</v>
      </c>
      <c r="IM628" s="156">
        <v>0.0</v>
      </c>
      <c r="IN628" s="156">
        <v>0.0</v>
      </c>
      <c r="IO628" s="156">
        <v>0.0</v>
      </c>
      <c r="IP628" s="156">
        <v>0.0</v>
      </c>
      <c r="IQ628" s="160">
        <v>0.0</v>
      </c>
      <c r="IR628" s="174">
        <v>1.0</v>
      </c>
      <c r="IS628" s="174">
        <v>0.0</v>
      </c>
      <c r="IT628" s="174"/>
      <c r="IU628" s="174">
        <v>0.0</v>
      </c>
      <c r="IV628" s="174">
        <v>0.0</v>
      </c>
      <c r="IW628" s="174">
        <v>1.0</v>
      </c>
      <c r="IX628" s="174">
        <v>0.0</v>
      </c>
      <c r="IY628" s="174">
        <v>1.0</v>
      </c>
      <c r="IZ628" s="174">
        <v>0.0</v>
      </c>
      <c r="JA628" s="174"/>
      <c r="JB628" s="174">
        <v>0.0</v>
      </c>
      <c r="JC628" s="174">
        <v>0.0</v>
      </c>
      <c r="JD628" s="174">
        <v>1.0</v>
      </c>
      <c r="JE628" s="174">
        <v>0.0</v>
      </c>
      <c r="JF628" s="174">
        <v>1.0</v>
      </c>
      <c r="JG628" s="174">
        <v>0.0</v>
      </c>
      <c r="JH628" s="177"/>
      <c r="JI628" s="174"/>
      <c r="JJ628" s="174"/>
      <c r="JK628" s="175">
        <v>1.0</v>
      </c>
      <c r="JL628" s="174"/>
      <c r="JM628" s="175">
        <v>1.0</v>
      </c>
      <c r="JN628" s="174"/>
      <c r="JO628" s="174"/>
      <c r="JP628" s="174"/>
      <c r="JQ628" s="174"/>
      <c r="JR628" s="175">
        <v>1.0</v>
      </c>
      <c r="JS628" s="174"/>
      <c r="JT628" s="175">
        <v>1.0</v>
      </c>
      <c r="JU628" s="174"/>
      <c r="JV628" s="175">
        <v>1.0</v>
      </c>
      <c r="JW628" s="159">
        <v>5.0</v>
      </c>
      <c r="JX628" s="156">
        <v>0.0</v>
      </c>
      <c r="JY628" s="156">
        <v>0.0</v>
      </c>
      <c r="JZ628" s="156">
        <v>0.0</v>
      </c>
      <c r="KA628" s="156">
        <v>0.0</v>
      </c>
      <c r="KB628" s="160">
        <v>0.0</v>
      </c>
      <c r="KC628" s="174"/>
      <c r="KD628" s="174"/>
      <c r="KE628" s="175">
        <v>1.0</v>
      </c>
      <c r="KF628" s="174"/>
      <c r="KG628" s="175">
        <v>1.0</v>
      </c>
      <c r="KH628" s="174"/>
      <c r="KI628" s="174"/>
      <c r="KJ628" s="175"/>
      <c r="KK628" s="174"/>
      <c r="KL628" s="174"/>
      <c r="KM628" s="174"/>
      <c r="KN628" s="174"/>
      <c r="KO628" s="174"/>
      <c r="KP628" s="174"/>
      <c r="KQ628" s="174"/>
      <c r="KR628" s="174"/>
      <c r="KS628" s="186"/>
      <c r="KT628" s="174"/>
      <c r="KU628" s="175">
        <v>1.0</v>
      </c>
      <c r="KV628" s="174"/>
      <c r="KW628" s="174"/>
      <c r="KX628" s="174"/>
      <c r="KY628" s="174"/>
      <c r="KZ628" s="175">
        <v>1.0</v>
      </c>
      <c r="LA628" s="174"/>
      <c r="LB628" s="175">
        <v>1.0</v>
      </c>
      <c r="LC628" s="174"/>
      <c r="LD628" s="174"/>
      <c r="LE628" s="174"/>
      <c r="LF628" s="174"/>
      <c r="LG628" s="174"/>
      <c r="LH628" s="159">
        <f t="shared" si="10"/>
        <v>4</v>
      </c>
      <c r="LI628" s="156">
        <f t="shared" si="11"/>
        <v>0</v>
      </c>
      <c r="LJ628" s="156">
        <f t="shared" si="12"/>
        <v>0</v>
      </c>
      <c r="LK628" s="156">
        <f t="shared" si="13"/>
        <v>0</v>
      </c>
      <c r="LL628" s="156">
        <f t="shared" si="14"/>
        <v>0</v>
      </c>
      <c r="LM628" s="160">
        <f t="shared" si="15"/>
        <v>0</v>
      </c>
      <c r="LN628" s="174"/>
      <c r="LO628" s="174"/>
      <c r="LP628" s="174"/>
      <c r="LQ628" s="174"/>
      <c r="LR628" s="174"/>
      <c r="LS628" s="174"/>
      <c r="LT628" s="174"/>
      <c r="LU628" s="174"/>
      <c r="LV628" s="187">
        <v>1.0</v>
      </c>
      <c r="LW628" s="174">
        <f t="shared" ref="LW628:MQ628" si="57">IFS(TODAY()&lt;=LW$2,0,WEEKDAY(LW$2)=2,1,WEEKDAY(LW$2)=3,0,WEEKDAY(LW$2)=4,1,WEEKDAY(LW$2)=5,0,WEEKDAY(LW$2)=6,1,WEEKDAY(LW$2)=7,0,WEEKDAY(LW$2)=1,0)</f>
        <v>0</v>
      </c>
      <c r="LX628" s="174">
        <f t="shared" si="57"/>
        <v>1</v>
      </c>
      <c r="LY628" s="174">
        <f t="shared" si="57"/>
        <v>0</v>
      </c>
      <c r="LZ628" s="174">
        <f t="shared" si="57"/>
        <v>0</v>
      </c>
      <c r="MA628" s="174">
        <f t="shared" si="57"/>
        <v>1</v>
      </c>
      <c r="MB628" s="174">
        <f t="shared" si="57"/>
        <v>0</v>
      </c>
      <c r="MC628" s="174">
        <f t="shared" si="57"/>
        <v>1</v>
      </c>
      <c r="MD628" s="174">
        <f t="shared" si="57"/>
        <v>0</v>
      </c>
      <c r="ME628" s="174">
        <f t="shared" si="57"/>
        <v>0</v>
      </c>
      <c r="MF628" s="174">
        <f t="shared" si="57"/>
        <v>0</v>
      </c>
      <c r="MG628" s="174">
        <f t="shared" si="57"/>
        <v>0</v>
      </c>
      <c r="MH628" s="174">
        <f t="shared" si="57"/>
        <v>0</v>
      </c>
      <c r="MI628" s="174">
        <f t="shared" si="57"/>
        <v>0</v>
      </c>
      <c r="MJ628" s="174">
        <f t="shared" si="57"/>
        <v>0</v>
      </c>
      <c r="MK628" s="174">
        <f t="shared" si="57"/>
        <v>0</v>
      </c>
      <c r="ML628" s="174">
        <f t="shared" si="57"/>
        <v>0</v>
      </c>
      <c r="MM628" s="174">
        <f t="shared" si="57"/>
        <v>0</v>
      </c>
      <c r="MN628" s="174">
        <f t="shared" si="57"/>
        <v>0</v>
      </c>
      <c r="MO628" s="174">
        <f t="shared" si="57"/>
        <v>0</v>
      </c>
      <c r="MP628" s="174">
        <f t="shared" si="57"/>
        <v>0</v>
      </c>
      <c r="MQ628" s="174">
        <f t="shared" si="57"/>
        <v>0</v>
      </c>
      <c r="QX628" s="560">
        <v>46160.0</v>
      </c>
    </row>
    <row r="629">
      <c r="A629" s="12"/>
      <c r="B629" s="12"/>
      <c r="C629" s="12"/>
      <c r="D629" s="12"/>
      <c r="E629" s="12"/>
      <c r="F629" s="12"/>
      <c r="G629" s="12"/>
      <c r="H629" s="12"/>
      <c r="I629" s="143">
        <f t="shared" si="22"/>
        <v>-11</v>
      </c>
      <c r="J629" s="537">
        <v>46165.0</v>
      </c>
      <c r="K629" s="294" t="s">
        <v>53</v>
      </c>
      <c r="L629" s="23">
        <v>46238.0</v>
      </c>
      <c r="M629" s="162" t="s">
        <v>348</v>
      </c>
      <c r="N629" s="86">
        <v>357.0</v>
      </c>
      <c r="O629" s="86">
        <v>30.0</v>
      </c>
      <c r="U629" s="162" t="s">
        <v>3583</v>
      </c>
      <c r="V629" s="538" t="s">
        <v>3292</v>
      </c>
      <c r="W629" s="125" t="s">
        <v>3584</v>
      </c>
      <c r="X629" s="140"/>
      <c r="Y629" s="166">
        <f t="shared" si="23"/>
        <v>11</v>
      </c>
      <c r="Z629" s="26">
        <f t="shared" si="7"/>
        <v>0</v>
      </c>
      <c r="AA629" s="26">
        <f t="shared" si="8"/>
        <v>0</v>
      </c>
      <c r="AB629" s="26">
        <f t="shared" si="9"/>
        <v>0</v>
      </c>
      <c r="AC629" s="155">
        <v>0.0</v>
      </c>
      <c r="AD629" s="155">
        <v>0.0</v>
      </c>
      <c r="AE629" s="155">
        <v>0.0</v>
      </c>
      <c r="AF629" s="155">
        <v>0.0</v>
      </c>
      <c r="AG629" s="155">
        <v>0.0</v>
      </c>
      <c r="AH629" s="155">
        <v>0.0</v>
      </c>
      <c r="BN629" s="155">
        <v>0.0</v>
      </c>
      <c r="BO629" s="155">
        <v>0.0</v>
      </c>
      <c r="BP629" s="155">
        <v>0.0</v>
      </c>
      <c r="BQ629" s="155">
        <v>0.0</v>
      </c>
      <c r="BR629" s="155">
        <v>0.0</v>
      </c>
      <c r="BS629" s="155">
        <v>0.0</v>
      </c>
      <c r="CV629" s="156">
        <v>0.0</v>
      </c>
      <c r="CW629" s="156">
        <v>0.0</v>
      </c>
      <c r="CX629" s="156">
        <v>0.0</v>
      </c>
      <c r="CY629" s="156">
        <v>0.0</v>
      </c>
      <c r="CZ629" s="156">
        <v>0.0</v>
      </c>
      <c r="DA629" s="156">
        <v>0.0</v>
      </c>
      <c r="EG629" s="156">
        <v>0.0</v>
      </c>
      <c r="EH629" s="156">
        <v>0.0</v>
      </c>
      <c r="EI629" s="156">
        <v>0.0</v>
      </c>
      <c r="EJ629" s="156">
        <v>0.0</v>
      </c>
      <c r="EK629" s="156">
        <v>0.0</v>
      </c>
      <c r="EL629" s="156">
        <v>0.0</v>
      </c>
      <c r="FQ629" s="156">
        <v>2.0</v>
      </c>
      <c r="FR629" s="156">
        <v>0.0</v>
      </c>
      <c r="FS629" s="156">
        <v>0.0</v>
      </c>
      <c r="FT629" s="156">
        <v>0.0</v>
      </c>
      <c r="FU629" s="156">
        <v>0.0</v>
      </c>
      <c r="FV629" s="156">
        <v>0.0</v>
      </c>
      <c r="FW629" s="157"/>
      <c r="FX629" s="157"/>
      <c r="FY629" s="157"/>
      <c r="FZ629" s="157"/>
      <c r="GA629" s="157"/>
      <c r="GB629" s="157"/>
      <c r="GC629" s="157"/>
      <c r="GD629" s="157"/>
      <c r="GE629" s="157"/>
      <c r="GF629" s="157"/>
      <c r="GG629" s="157"/>
      <c r="GH629" s="157"/>
      <c r="GI629" s="157"/>
      <c r="GJ629" s="157"/>
      <c r="GK629" s="157"/>
      <c r="GL629" s="157"/>
      <c r="GM629" s="157"/>
      <c r="GN629" s="157"/>
      <c r="GO629" s="157"/>
      <c r="GP629" s="158"/>
      <c r="GQ629" s="157"/>
      <c r="GR629" s="157"/>
      <c r="GS629" s="172">
        <v>1.0</v>
      </c>
      <c r="GT629" s="172">
        <v>0.0</v>
      </c>
      <c r="GU629" s="172">
        <v>0.0</v>
      </c>
      <c r="GV629" s="172">
        <v>1.0</v>
      </c>
      <c r="GW629" s="172"/>
      <c r="GX629" s="172"/>
      <c r="GY629" s="172"/>
      <c r="GZ629" s="172"/>
      <c r="HA629" s="172"/>
      <c r="HB629" s="155">
        <v>8.0</v>
      </c>
      <c r="HC629" s="155">
        <v>0.0</v>
      </c>
      <c r="HD629" s="155">
        <v>0.0</v>
      </c>
      <c r="HE629" s="155">
        <v>0.0</v>
      </c>
      <c r="HF629" s="155">
        <v>0.0</v>
      </c>
      <c r="HG629" s="155">
        <v>0.0</v>
      </c>
      <c r="HH629" s="172">
        <v>0.0</v>
      </c>
      <c r="HI629" s="172">
        <v>1.0</v>
      </c>
      <c r="HJ629" s="172">
        <v>0.0</v>
      </c>
      <c r="HK629" s="172">
        <v>1.0</v>
      </c>
      <c r="HL629" s="172">
        <v>0.0</v>
      </c>
      <c r="HM629" s="172"/>
      <c r="HN629" s="172"/>
      <c r="HO629" s="172"/>
      <c r="HP629" s="172">
        <v>1.0</v>
      </c>
      <c r="HQ629" s="172">
        <v>0.0</v>
      </c>
      <c r="HR629" s="172"/>
      <c r="HS629" s="172">
        <v>0.0</v>
      </c>
      <c r="HT629" s="172">
        <v>1.0</v>
      </c>
      <c r="HU629" s="172">
        <v>0.0</v>
      </c>
      <c r="HV629" s="172">
        <v>0.0</v>
      </c>
      <c r="HW629" s="172">
        <v>1.0</v>
      </c>
      <c r="HX629" s="172">
        <v>0.0</v>
      </c>
      <c r="HY629" s="172">
        <v>1.0</v>
      </c>
      <c r="HZ629" s="172"/>
      <c r="IA629" s="172"/>
      <c r="IB629" s="172"/>
      <c r="IC629" s="172"/>
      <c r="ID629" s="172"/>
      <c r="IE629" s="172"/>
      <c r="IF629" s="172">
        <v>1.0</v>
      </c>
      <c r="IG629" s="172">
        <v>0.0</v>
      </c>
      <c r="IH629" s="172">
        <v>1.0</v>
      </c>
      <c r="II629" s="172"/>
      <c r="IJ629" s="172"/>
      <c r="IK629" s="172"/>
      <c r="IL629" s="159">
        <v>1.0</v>
      </c>
      <c r="IM629" s="156">
        <v>0.0</v>
      </c>
      <c r="IN629" s="156">
        <v>0.0</v>
      </c>
      <c r="IO629" s="156">
        <v>0.0</v>
      </c>
      <c r="IP629" s="156">
        <v>0.0</v>
      </c>
      <c r="IQ629" s="160">
        <v>0.0</v>
      </c>
      <c r="IR629" s="172">
        <v>0.0</v>
      </c>
      <c r="IS629" s="172"/>
      <c r="IT629" s="172">
        <v>0.0</v>
      </c>
      <c r="IU629" s="172"/>
      <c r="IV629" s="172">
        <v>0.0</v>
      </c>
      <c r="IW629" s="172">
        <v>0.0</v>
      </c>
      <c r="IX629" s="172">
        <v>1.0</v>
      </c>
      <c r="IY629" s="172">
        <v>0.0</v>
      </c>
      <c r="IZ629" s="172"/>
      <c r="JA629" s="172">
        <v>0.0</v>
      </c>
      <c r="JB629" s="172"/>
      <c r="JC629" s="172">
        <v>0.0</v>
      </c>
      <c r="JD629" s="172">
        <v>0.0</v>
      </c>
      <c r="JE629" s="172"/>
      <c r="JF629" s="172">
        <v>0.0</v>
      </c>
      <c r="JG629" s="172"/>
      <c r="JH629" s="170">
        <v>0.0</v>
      </c>
      <c r="JI629" s="172"/>
      <c r="JJ629" s="172"/>
      <c r="JK629" s="172"/>
      <c r="JL629" s="172"/>
      <c r="JM629" s="172"/>
      <c r="JN629" s="172"/>
      <c r="JO629" s="172"/>
      <c r="JP629" s="172"/>
      <c r="JQ629" s="172"/>
      <c r="JR629" s="172"/>
      <c r="JS629" s="172"/>
      <c r="JT629" s="172"/>
      <c r="JU629" s="172"/>
      <c r="JV629" s="172"/>
      <c r="JW629" s="159">
        <v>0.0</v>
      </c>
      <c r="JX629" s="156">
        <v>0.0</v>
      </c>
      <c r="JY629" s="156">
        <v>0.0</v>
      </c>
      <c r="JZ629" s="156">
        <v>0.0</v>
      </c>
      <c r="KA629" s="156">
        <v>0.0</v>
      </c>
      <c r="KB629" s="160">
        <v>0.0</v>
      </c>
      <c r="LH629" s="159">
        <f t="shared" si="10"/>
        <v>0</v>
      </c>
      <c r="LI629" s="156">
        <f t="shared" si="11"/>
        <v>0</v>
      </c>
      <c r="LJ629" s="156">
        <f t="shared" si="12"/>
        <v>0</v>
      </c>
      <c r="LK629" s="156">
        <f t="shared" si="13"/>
        <v>0</v>
      </c>
      <c r="LL629" s="156">
        <f t="shared" si="14"/>
        <v>0</v>
      </c>
      <c r="LM629" s="160">
        <f t="shared" si="15"/>
        <v>0</v>
      </c>
      <c r="QX629" s="560">
        <v>46160.0</v>
      </c>
    </row>
    <row r="630">
      <c r="A630" s="12"/>
      <c r="B630" s="12"/>
      <c r="C630" s="12"/>
      <c r="D630" s="12"/>
      <c r="E630" s="58"/>
      <c r="F630" s="12"/>
      <c r="G630" s="12"/>
      <c r="H630" s="12"/>
      <c r="I630" s="143">
        <f t="shared" si="22"/>
        <v>-33</v>
      </c>
      <c r="J630" s="537">
        <v>46167.0</v>
      </c>
      <c r="K630" s="294" t="s">
        <v>48</v>
      </c>
      <c r="L630" s="108"/>
      <c r="M630" s="86" t="s">
        <v>228</v>
      </c>
      <c r="N630" s="86">
        <v>246.0</v>
      </c>
      <c r="O630" s="86">
        <v>30.0</v>
      </c>
      <c r="U630" s="162" t="s">
        <v>3585</v>
      </c>
      <c r="V630" s="538" t="s">
        <v>3586</v>
      </c>
      <c r="W630" s="125" t="s">
        <v>3587</v>
      </c>
      <c r="X630" s="140"/>
      <c r="Y630" s="166">
        <f t="shared" si="23"/>
        <v>33</v>
      </c>
      <c r="Z630" s="26">
        <f t="shared" si="7"/>
        <v>0</v>
      </c>
      <c r="AA630" s="26">
        <f t="shared" si="8"/>
        <v>0</v>
      </c>
      <c r="AB630" s="26">
        <f t="shared" si="9"/>
        <v>0</v>
      </c>
      <c r="AC630" s="155">
        <v>0.0</v>
      </c>
      <c r="AD630" s="155">
        <v>0.0</v>
      </c>
      <c r="AE630" s="155">
        <v>0.0</v>
      </c>
      <c r="AF630" s="155">
        <v>0.0</v>
      </c>
      <c r="AG630" s="155">
        <v>0.0</v>
      </c>
      <c r="AH630" s="155">
        <v>0.0</v>
      </c>
      <c r="BN630" s="155">
        <v>0.0</v>
      </c>
      <c r="BO630" s="155">
        <v>0.0</v>
      </c>
      <c r="BP630" s="155">
        <v>0.0</v>
      </c>
      <c r="BQ630" s="155">
        <v>0.0</v>
      </c>
      <c r="BR630" s="155">
        <v>0.0</v>
      </c>
      <c r="BS630" s="155">
        <v>0.0</v>
      </c>
      <c r="CV630" s="156">
        <v>0.0</v>
      </c>
      <c r="CW630" s="156">
        <v>0.0</v>
      </c>
      <c r="CX630" s="156">
        <v>0.0</v>
      </c>
      <c r="CY630" s="156">
        <v>0.0</v>
      </c>
      <c r="CZ630" s="156">
        <v>0.0</v>
      </c>
      <c r="DA630" s="156">
        <v>0.0</v>
      </c>
      <c r="EG630" s="156">
        <v>0.0</v>
      </c>
      <c r="EH630" s="156">
        <v>0.0</v>
      </c>
      <c r="EI630" s="156">
        <v>0.0</v>
      </c>
      <c r="EJ630" s="156">
        <v>0.0</v>
      </c>
      <c r="EK630" s="156">
        <v>0.0</v>
      </c>
      <c r="EL630" s="156">
        <v>0.0</v>
      </c>
      <c r="FQ630" s="156">
        <v>3.0</v>
      </c>
      <c r="FR630" s="156">
        <v>0.0</v>
      </c>
      <c r="FS630" s="156">
        <v>0.0</v>
      </c>
      <c r="FT630" s="156">
        <v>0.0</v>
      </c>
      <c r="FU630" s="156">
        <v>0.0</v>
      </c>
      <c r="FV630" s="156">
        <v>0.0</v>
      </c>
      <c r="FW630" s="157"/>
      <c r="FX630" s="157"/>
      <c r="FY630" s="157"/>
      <c r="FZ630" s="157"/>
      <c r="GA630" s="157"/>
      <c r="GB630" s="157"/>
      <c r="GC630" s="157"/>
      <c r="GD630" s="157"/>
      <c r="GE630" s="157"/>
      <c r="GF630" s="157"/>
      <c r="GG630" s="157"/>
      <c r="GH630" s="157"/>
      <c r="GI630" s="157"/>
      <c r="GJ630" s="157"/>
      <c r="GK630" s="157"/>
      <c r="GL630" s="157"/>
      <c r="GM630" s="157"/>
      <c r="GN630" s="157"/>
      <c r="GO630" s="157"/>
      <c r="GP630" s="158"/>
      <c r="GQ630" s="157"/>
      <c r="GR630" s="157"/>
      <c r="GS630" s="157"/>
      <c r="GT630" s="157"/>
      <c r="GU630" s="177">
        <v>1.0</v>
      </c>
      <c r="GV630" s="177">
        <v>0.0</v>
      </c>
      <c r="GW630" s="177">
        <v>1.0</v>
      </c>
      <c r="GX630" s="177">
        <v>0.0</v>
      </c>
      <c r="GY630" s="177">
        <v>1.0</v>
      </c>
      <c r="GZ630" s="177">
        <v>0.0</v>
      </c>
      <c r="HA630" s="177">
        <v>0.0</v>
      </c>
      <c r="HB630" s="155">
        <v>11.0</v>
      </c>
      <c r="HC630" s="155">
        <v>0.0</v>
      </c>
      <c r="HD630" s="155">
        <v>0.0</v>
      </c>
      <c r="HE630" s="155">
        <v>0.0</v>
      </c>
      <c r="HF630" s="155">
        <v>0.0</v>
      </c>
      <c r="HG630" s="155">
        <v>0.0</v>
      </c>
      <c r="HH630" s="174"/>
      <c r="HI630" s="174"/>
      <c r="HJ630" s="174">
        <v>1.0</v>
      </c>
      <c r="HK630" s="174">
        <v>0.0</v>
      </c>
      <c r="HL630" s="174">
        <v>1.0</v>
      </c>
      <c r="HM630" s="174">
        <v>0.0</v>
      </c>
      <c r="HN630" s="174">
        <v>0.0</v>
      </c>
      <c r="HO630" s="174">
        <v>1.0</v>
      </c>
      <c r="HP630" s="174">
        <v>0.0</v>
      </c>
      <c r="HQ630" s="174"/>
      <c r="HR630" s="174">
        <v>0.0</v>
      </c>
      <c r="HS630" s="174">
        <v>1.0</v>
      </c>
      <c r="HT630" s="174">
        <v>0.0</v>
      </c>
      <c r="HU630" s="174">
        <v>0.0</v>
      </c>
      <c r="HV630" s="174">
        <v>1.0</v>
      </c>
      <c r="HW630" s="174">
        <v>0.0</v>
      </c>
      <c r="HX630" s="174">
        <v>1.0</v>
      </c>
      <c r="HY630" s="174">
        <v>0.0</v>
      </c>
      <c r="HZ630" s="174">
        <v>1.0</v>
      </c>
      <c r="IA630" s="174">
        <v>0.0</v>
      </c>
      <c r="IB630" s="174">
        <v>0.0</v>
      </c>
      <c r="IC630" s="174">
        <v>1.0</v>
      </c>
      <c r="ID630" s="174">
        <v>0.0</v>
      </c>
      <c r="IE630" s="174">
        <v>1.0</v>
      </c>
      <c r="IF630" s="174">
        <v>0.0</v>
      </c>
      <c r="IG630" s="174">
        <v>1.0</v>
      </c>
      <c r="IH630" s="174">
        <v>0.0</v>
      </c>
      <c r="II630" s="174">
        <v>0.0</v>
      </c>
      <c r="IJ630" s="174">
        <v>1.0</v>
      </c>
      <c r="IK630" s="174">
        <v>0.0</v>
      </c>
      <c r="IL630" s="159">
        <v>11.0</v>
      </c>
      <c r="IM630" s="156">
        <v>0.0</v>
      </c>
      <c r="IN630" s="156">
        <v>0.0</v>
      </c>
      <c r="IO630" s="156">
        <v>0.0</v>
      </c>
      <c r="IP630" s="156">
        <v>0.0</v>
      </c>
      <c r="IQ630" s="160">
        <v>0.0</v>
      </c>
      <c r="IR630" s="174"/>
      <c r="IS630" s="174">
        <v>0.0</v>
      </c>
      <c r="IT630" s="174"/>
      <c r="IU630" s="174">
        <v>0.0</v>
      </c>
      <c r="IV630" s="174">
        <v>0.0</v>
      </c>
      <c r="IW630" s="174">
        <v>1.0</v>
      </c>
      <c r="IX630" s="174">
        <v>0.0</v>
      </c>
      <c r="IY630" s="174">
        <v>1.0</v>
      </c>
      <c r="IZ630" s="174">
        <v>0.0</v>
      </c>
      <c r="JA630" s="174">
        <v>1.0</v>
      </c>
      <c r="JB630" s="174">
        <v>0.0</v>
      </c>
      <c r="JC630" s="174">
        <v>0.0</v>
      </c>
      <c r="JD630" s="174">
        <v>1.0</v>
      </c>
      <c r="JE630" s="174">
        <v>0.0</v>
      </c>
      <c r="JF630" s="174">
        <v>1.0</v>
      </c>
      <c r="JG630" s="174">
        <v>0.0</v>
      </c>
      <c r="JH630" s="177">
        <v>1.0</v>
      </c>
      <c r="JI630" s="174"/>
      <c r="JJ630" s="174"/>
      <c r="JK630" s="175">
        <v>1.0</v>
      </c>
      <c r="JL630" s="174"/>
      <c r="JM630" s="175">
        <v>1.0</v>
      </c>
      <c r="JN630" s="174"/>
      <c r="JO630" s="175"/>
      <c r="JP630" s="174"/>
      <c r="JQ630" s="174"/>
      <c r="JR630" s="175">
        <v>1.0</v>
      </c>
      <c r="JS630" s="174"/>
      <c r="JT630" s="175">
        <v>1.0</v>
      </c>
      <c r="JU630" s="174"/>
      <c r="JV630" s="175">
        <v>1.0</v>
      </c>
      <c r="JW630" s="159">
        <v>5.0</v>
      </c>
      <c r="JX630" s="156">
        <v>0.0</v>
      </c>
      <c r="JY630" s="156">
        <v>0.0</v>
      </c>
      <c r="JZ630" s="156">
        <v>0.0</v>
      </c>
      <c r="KA630" s="156">
        <v>0.0</v>
      </c>
      <c r="KB630" s="160">
        <v>0.0</v>
      </c>
      <c r="KC630" s="174"/>
      <c r="KD630" s="174"/>
      <c r="KE630" s="175">
        <v>1.0</v>
      </c>
      <c r="KF630" s="174"/>
      <c r="KG630" s="175">
        <v>1.0</v>
      </c>
      <c r="KH630" s="174"/>
      <c r="KI630" s="174"/>
      <c r="KJ630" s="174"/>
      <c r="KK630" s="174"/>
      <c r="KL630" s="175">
        <v>1.0</v>
      </c>
      <c r="KM630" s="174"/>
      <c r="KN630" s="174"/>
      <c r="KO630" s="174"/>
      <c r="KP630" s="174"/>
      <c r="KQ630" s="174"/>
      <c r="KR630" s="174"/>
      <c r="KS630" s="472"/>
      <c r="KT630" s="174"/>
      <c r="KU630" s="175">
        <v>1.0</v>
      </c>
      <c r="KV630" s="174"/>
      <c r="KW630" s="174"/>
      <c r="KX630" s="174"/>
      <c r="KY630" s="175">
        <v>1.0</v>
      </c>
      <c r="KZ630" s="174"/>
      <c r="LA630" s="174"/>
      <c r="LB630" s="174"/>
      <c r="LC630" s="174"/>
      <c r="LD630" s="174"/>
      <c r="LE630" s="174"/>
      <c r="LF630" s="174"/>
      <c r="LG630" s="174"/>
      <c r="LH630" s="159">
        <f t="shared" si="10"/>
        <v>3</v>
      </c>
      <c r="LI630" s="156">
        <f t="shared" si="11"/>
        <v>0</v>
      </c>
      <c r="LJ630" s="156">
        <f t="shared" si="12"/>
        <v>0</v>
      </c>
      <c r="LK630" s="156">
        <f t="shared" si="13"/>
        <v>0</v>
      </c>
      <c r="LL630" s="156">
        <f t="shared" si="14"/>
        <v>0</v>
      </c>
      <c r="LM630" s="160">
        <f t="shared" si="15"/>
        <v>0</v>
      </c>
      <c r="LN630" s="174"/>
      <c r="LO630" s="174"/>
      <c r="LP630" s="174"/>
      <c r="LQ630" s="174"/>
      <c r="LR630" s="174"/>
      <c r="LS630" s="174"/>
      <c r="LT630" s="174"/>
      <c r="LU630" s="174"/>
      <c r="LV630" s="174"/>
      <c r="LW630" s="174">
        <f t="shared" ref="LW630:MQ630" si="58">IFS(TODAY()&lt;=LW$2,0,WEEKDAY(LW$2)=2,1,WEEKDAY(LW$2)=3,0,WEEKDAY(LW$2)=4,1,WEEKDAY(LW$2)=5,0,WEEKDAY(LW$2)=6,1,WEEKDAY(LW$2)=7,0,WEEKDAY(LW$2)=1,0)</f>
        <v>0</v>
      </c>
      <c r="LX630" s="174">
        <f t="shared" si="58"/>
        <v>1</v>
      </c>
      <c r="LY630" s="174">
        <f t="shared" si="58"/>
        <v>0</v>
      </c>
      <c r="LZ630" s="174">
        <f t="shared" si="58"/>
        <v>0</v>
      </c>
      <c r="MA630" s="174">
        <f t="shared" si="58"/>
        <v>1</v>
      </c>
      <c r="MB630" s="174">
        <f t="shared" si="58"/>
        <v>0</v>
      </c>
      <c r="MC630" s="174">
        <f t="shared" si="58"/>
        <v>1</v>
      </c>
      <c r="MD630" s="174">
        <f t="shared" si="58"/>
        <v>0</v>
      </c>
      <c r="ME630" s="174">
        <f t="shared" si="58"/>
        <v>0</v>
      </c>
      <c r="MF630" s="174">
        <f t="shared" si="58"/>
        <v>0</v>
      </c>
      <c r="MG630" s="174">
        <f t="shared" si="58"/>
        <v>0</v>
      </c>
      <c r="MH630" s="174">
        <f t="shared" si="58"/>
        <v>0</v>
      </c>
      <c r="MI630" s="174">
        <f t="shared" si="58"/>
        <v>0</v>
      </c>
      <c r="MJ630" s="174">
        <f t="shared" si="58"/>
        <v>0</v>
      </c>
      <c r="MK630" s="174">
        <f t="shared" si="58"/>
        <v>0</v>
      </c>
      <c r="ML630" s="174">
        <f t="shared" si="58"/>
        <v>0</v>
      </c>
      <c r="MM630" s="174">
        <f t="shared" si="58"/>
        <v>0</v>
      </c>
      <c r="MN630" s="174">
        <f t="shared" si="58"/>
        <v>0</v>
      </c>
      <c r="MO630" s="174">
        <f t="shared" si="58"/>
        <v>0</v>
      </c>
      <c r="MP630" s="174">
        <f t="shared" si="58"/>
        <v>0</v>
      </c>
      <c r="MQ630" s="174">
        <f t="shared" si="58"/>
        <v>0</v>
      </c>
      <c r="QX630" s="560">
        <v>46161.0</v>
      </c>
    </row>
    <row r="631">
      <c r="A631" s="12"/>
      <c r="B631" s="12"/>
      <c r="C631" s="12"/>
      <c r="D631" s="12"/>
      <c r="E631" s="12"/>
      <c r="F631" s="12"/>
      <c r="G631" s="12"/>
      <c r="H631" s="12"/>
      <c r="I631" s="143">
        <f t="shared" si="22"/>
        <v>-28</v>
      </c>
      <c r="J631" s="537">
        <v>46170.0</v>
      </c>
      <c r="K631" s="294" t="s">
        <v>48</v>
      </c>
      <c r="L631" s="108"/>
      <c r="M631" s="86" t="s">
        <v>400</v>
      </c>
      <c r="N631" s="86">
        <v>357.0</v>
      </c>
      <c r="O631" s="86">
        <v>30.0</v>
      </c>
      <c r="U631" s="162" t="s">
        <v>3025</v>
      </c>
      <c r="V631" s="538" t="s">
        <v>3064</v>
      </c>
      <c r="W631" s="185" t="s">
        <v>3588</v>
      </c>
      <c r="X631" s="140"/>
      <c r="Y631" s="166">
        <f t="shared" si="23"/>
        <v>28</v>
      </c>
      <c r="Z631" s="26">
        <f t="shared" si="7"/>
        <v>0</v>
      </c>
      <c r="AA631" s="26">
        <f t="shared" si="8"/>
        <v>0</v>
      </c>
      <c r="AB631" s="26">
        <f t="shared" si="9"/>
        <v>0</v>
      </c>
      <c r="AC631" s="155">
        <v>0.0</v>
      </c>
      <c r="AD631" s="155">
        <v>0.0</v>
      </c>
      <c r="AE631" s="155">
        <v>0.0</v>
      </c>
      <c r="AF631" s="155">
        <v>0.0</v>
      </c>
      <c r="AG631" s="155">
        <v>0.0</v>
      </c>
      <c r="AH631" s="155">
        <v>0.0</v>
      </c>
      <c r="BN631" s="155">
        <v>0.0</v>
      </c>
      <c r="BO631" s="155">
        <v>0.0</v>
      </c>
      <c r="BP631" s="155">
        <v>0.0</v>
      </c>
      <c r="BQ631" s="155">
        <v>0.0</v>
      </c>
      <c r="BR631" s="155">
        <v>0.0</v>
      </c>
      <c r="BS631" s="155">
        <v>0.0</v>
      </c>
      <c r="CV631" s="156">
        <v>0.0</v>
      </c>
      <c r="CW631" s="156">
        <v>0.0</v>
      </c>
      <c r="CX631" s="156">
        <v>0.0</v>
      </c>
      <c r="CY631" s="156">
        <v>0.0</v>
      </c>
      <c r="CZ631" s="156">
        <v>0.0</v>
      </c>
      <c r="DA631" s="156">
        <v>0.0</v>
      </c>
      <c r="EG631" s="156">
        <v>0.0</v>
      </c>
      <c r="EH631" s="156">
        <v>0.0</v>
      </c>
      <c r="EI631" s="156">
        <v>0.0</v>
      </c>
      <c r="EJ631" s="156">
        <v>0.0</v>
      </c>
      <c r="EK631" s="156">
        <v>0.0</v>
      </c>
      <c r="EL631" s="156">
        <v>0.0</v>
      </c>
      <c r="FQ631" s="156">
        <v>2.0</v>
      </c>
      <c r="FR631" s="156">
        <v>0.0</v>
      </c>
      <c r="FS631" s="156">
        <v>0.0</v>
      </c>
      <c r="FT631" s="156">
        <v>0.0</v>
      </c>
      <c r="FU631" s="156">
        <v>0.0</v>
      </c>
      <c r="FV631" s="156">
        <v>0.0</v>
      </c>
      <c r="FW631" s="157"/>
      <c r="FX631" s="157"/>
      <c r="FY631" s="157"/>
      <c r="FZ631" s="157"/>
      <c r="GA631" s="157"/>
      <c r="GB631" s="157"/>
      <c r="GC631" s="157"/>
      <c r="GD631" s="157"/>
      <c r="GE631" s="157"/>
      <c r="GF631" s="157"/>
      <c r="GG631" s="157"/>
      <c r="GH631" s="157"/>
      <c r="GI631" s="157"/>
      <c r="GJ631" s="157"/>
      <c r="GK631" s="157"/>
      <c r="GL631" s="157"/>
      <c r="GM631" s="157"/>
      <c r="GN631" s="157"/>
      <c r="GO631" s="157"/>
      <c r="GP631" s="158"/>
      <c r="GQ631" s="157"/>
      <c r="GR631" s="157"/>
      <c r="GS631" s="157"/>
      <c r="GT631" s="157"/>
      <c r="GU631" s="157"/>
      <c r="GV631" s="157"/>
      <c r="GW631" s="157"/>
      <c r="GX631" s="172">
        <v>1.0</v>
      </c>
      <c r="GY631" s="172">
        <v>0.0</v>
      </c>
      <c r="GZ631" s="172">
        <v>1.0</v>
      </c>
      <c r="HA631" s="172">
        <v>0.0</v>
      </c>
      <c r="HB631" s="155">
        <v>13.0</v>
      </c>
      <c r="HC631" s="155">
        <v>0.0</v>
      </c>
      <c r="HD631" s="155">
        <v>0.0</v>
      </c>
      <c r="HE631" s="155">
        <v>0.0</v>
      </c>
      <c r="HF631" s="155">
        <v>0.0</v>
      </c>
      <c r="HG631" s="155">
        <v>0.0</v>
      </c>
      <c r="HH631" s="172">
        <v>0.0</v>
      </c>
      <c r="HI631" s="172">
        <v>1.0</v>
      </c>
      <c r="HJ631" s="172">
        <v>0.0</v>
      </c>
      <c r="HK631" s="172">
        <v>1.0</v>
      </c>
      <c r="HL631" s="172">
        <v>0.0</v>
      </c>
      <c r="HM631" s="172">
        <v>1.0</v>
      </c>
      <c r="HN631" s="172">
        <v>0.0</v>
      </c>
      <c r="HO631" s="172">
        <v>0.0</v>
      </c>
      <c r="HP631" s="172">
        <v>1.0</v>
      </c>
      <c r="HQ631" s="172">
        <v>0.0</v>
      </c>
      <c r="HR631" s="172">
        <v>1.0</v>
      </c>
      <c r="HS631" s="172">
        <v>0.0</v>
      </c>
      <c r="HT631" s="172">
        <v>1.0</v>
      </c>
      <c r="HU631" s="172">
        <v>0.0</v>
      </c>
      <c r="HV631" s="172">
        <v>0.0</v>
      </c>
      <c r="HW631" s="172">
        <v>1.0</v>
      </c>
      <c r="HX631" s="172">
        <v>0.0</v>
      </c>
      <c r="HY631" s="172">
        <v>1.0</v>
      </c>
      <c r="HZ631" s="172">
        <v>0.0</v>
      </c>
      <c r="IA631" s="172">
        <v>1.0</v>
      </c>
      <c r="IB631" s="172">
        <v>0.0</v>
      </c>
      <c r="IC631" s="172">
        <v>0.0</v>
      </c>
      <c r="ID631" s="172">
        <v>1.0</v>
      </c>
      <c r="IE631" s="172">
        <v>0.0</v>
      </c>
      <c r="IF631" s="172">
        <v>1.0</v>
      </c>
      <c r="IG631" s="172">
        <v>0.0</v>
      </c>
      <c r="IH631" s="172">
        <v>1.0</v>
      </c>
      <c r="II631" s="172">
        <v>0.0</v>
      </c>
      <c r="IJ631" s="172">
        <v>0.0</v>
      </c>
      <c r="IK631" s="172">
        <v>1.0</v>
      </c>
      <c r="IL631" s="159">
        <v>6.0</v>
      </c>
      <c r="IM631" s="156">
        <v>0.0</v>
      </c>
      <c r="IN631" s="156">
        <v>0.0</v>
      </c>
      <c r="IO631" s="156">
        <v>0.0</v>
      </c>
      <c r="IP631" s="156">
        <v>0.0</v>
      </c>
      <c r="IQ631" s="160">
        <v>0.0</v>
      </c>
      <c r="IR631" s="172">
        <v>0.0</v>
      </c>
      <c r="IS631" s="172">
        <v>1.0</v>
      </c>
      <c r="IT631" s="172">
        <v>0.0</v>
      </c>
      <c r="IU631" s="172">
        <v>1.0</v>
      </c>
      <c r="IV631" s="172">
        <v>0.0</v>
      </c>
      <c r="IW631" s="172">
        <v>0.0</v>
      </c>
      <c r="IX631" s="172">
        <v>1.0</v>
      </c>
      <c r="IY631" s="172">
        <v>0.0</v>
      </c>
      <c r="IZ631" s="172">
        <v>1.0</v>
      </c>
      <c r="JA631" s="172">
        <v>0.0</v>
      </c>
      <c r="JB631" s="172">
        <v>1.0</v>
      </c>
      <c r="JC631" s="172">
        <v>0.0</v>
      </c>
      <c r="JD631" s="172">
        <v>0.0</v>
      </c>
      <c r="JE631" s="172"/>
      <c r="JF631" s="172">
        <v>0.0</v>
      </c>
      <c r="JG631" s="172">
        <v>1.0</v>
      </c>
      <c r="JH631" s="170">
        <v>0.0</v>
      </c>
      <c r="JI631" s="172"/>
      <c r="JJ631" s="172"/>
      <c r="JK631" s="172"/>
      <c r="JL631" s="172"/>
      <c r="JM631" s="172"/>
      <c r="JN631" s="172"/>
      <c r="JO631" s="172"/>
      <c r="JP631" s="172"/>
      <c r="JQ631" s="172"/>
      <c r="JR631" s="172"/>
      <c r="JS631" s="172"/>
      <c r="JT631" s="172"/>
      <c r="JU631" s="172"/>
      <c r="JV631" s="172"/>
      <c r="JW631" s="159">
        <v>0.0</v>
      </c>
      <c r="JX631" s="156">
        <v>0.0</v>
      </c>
      <c r="JY631" s="156">
        <v>0.0</v>
      </c>
      <c r="JZ631" s="156">
        <v>0.0</v>
      </c>
      <c r="KA631" s="156">
        <v>0.0</v>
      </c>
      <c r="KB631" s="160">
        <v>0.0</v>
      </c>
      <c r="KC631" s="172"/>
      <c r="KD631" s="172"/>
      <c r="KE631" s="172"/>
      <c r="KF631" s="172"/>
      <c r="KG631" s="172"/>
      <c r="KH631" s="172"/>
      <c r="KI631" s="172"/>
      <c r="KJ631" s="172"/>
      <c r="KK631" s="172"/>
      <c r="KL631" s="172"/>
      <c r="KM631" s="172"/>
      <c r="KN631" s="172"/>
      <c r="KO631" s="172"/>
      <c r="KP631" s="172"/>
      <c r="KQ631" s="172"/>
      <c r="KR631" s="172"/>
      <c r="KS631" s="432"/>
      <c r="KT631" s="172"/>
      <c r="KU631" s="172"/>
      <c r="KV631" s="172"/>
      <c r="KW631" s="172"/>
      <c r="KX631" s="172"/>
      <c r="KY631" s="172"/>
      <c r="KZ631" s="172"/>
      <c r="LA631" s="172"/>
      <c r="LB631" s="172"/>
      <c r="LC631" s="172"/>
      <c r="LD631" s="172"/>
      <c r="LE631" s="172"/>
      <c r="LF631" s="172"/>
      <c r="LG631" s="172"/>
      <c r="LH631" s="159">
        <f t="shared" si="10"/>
        <v>7</v>
      </c>
      <c r="LI631" s="156">
        <f t="shared" si="11"/>
        <v>0</v>
      </c>
      <c r="LJ631" s="156">
        <f t="shared" si="12"/>
        <v>0</v>
      </c>
      <c r="LK631" s="156">
        <f t="shared" si="13"/>
        <v>0</v>
      </c>
      <c r="LL631" s="156">
        <f t="shared" si="14"/>
        <v>0</v>
      </c>
      <c r="LM631" s="160">
        <f t="shared" si="15"/>
        <v>0</v>
      </c>
      <c r="LW631" s="12">
        <f t="shared" ref="LW631:MQ631" si="59">IFS(TODAY()&lt;=LC$2,0,WEEKDAY(LC$2)=2,0,WEEKDAY(LC$2)=3,1,WEEKDAY(LC$2)=4,0,WEEKDAY(LC$2)=5,1,WEEKDAY(LC$2)=6,0,WEEKDAY(LC$2)=7,1,WEEKDAY(LC$2)=1,0)</f>
        <v>1</v>
      </c>
      <c r="LX631" s="12">
        <f t="shared" si="59"/>
        <v>0</v>
      </c>
      <c r="LY631" s="12">
        <f t="shared" si="59"/>
        <v>1</v>
      </c>
      <c r="LZ631" s="12">
        <f t="shared" si="59"/>
        <v>0</v>
      </c>
      <c r="MA631" s="12">
        <f t="shared" si="59"/>
        <v>0</v>
      </c>
      <c r="MB631" s="12">
        <f t="shared" si="59"/>
        <v>0</v>
      </c>
      <c r="MC631" s="12">
        <f t="shared" si="59"/>
        <v>0</v>
      </c>
      <c r="MD631" s="12">
        <f t="shared" si="59"/>
        <v>0</v>
      </c>
      <c r="ME631" s="12">
        <f t="shared" si="59"/>
        <v>0</v>
      </c>
      <c r="MF631" s="12">
        <f t="shared" si="59"/>
        <v>0</v>
      </c>
      <c r="MG631" s="12">
        <f t="shared" si="59"/>
        <v>0</v>
      </c>
      <c r="MH631" s="12">
        <f t="shared" si="59"/>
        <v>1</v>
      </c>
      <c r="MI631" s="12">
        <f t="shared" si="59"/>
        <v>0</v>
      </c>
      <c r="MJ631" s="12">
        <f t="shared" si="59"/>
        <v>1</v>
      </c>
      <c r="MK631" s="12">
        <f t="shared" si="59"/>
        <v>0</v>
      </c>
      <c r="ML631" s="12">
        <f t="shared" si="59"/>
        <v>1</v>
      </c>
      <c r="MM631" s="12">
        <f t="shared" si="59"/>
        <v>0</v>
      </c>
      <c r="MN631" s="12">
        <f t="shared" si="59"/>
        <v>0</v>
      </c>
      <c r="MO631" s="12">
        <f t="shared" si="59"/>
        <v>1</v>
      </c>
      <c r="MP631" s="12">
        <f t="shared" si="59"/>
        <v>0</v>
      </c>
      <c r="MQ631" s="12">
        <f t="shared" si="59"/>
        <v>1</v>
      </c>
      <c r="QX631" s="560">
        <v>46162.0</v>
      </c>
    </row>
    <row r="632">
      <c r="A632" s="12"/>
      <c r="B632" s="12"/>
      <c r="C632" s="12"/>
      <c r="D632" s="12"/>
      <c r="E632" s="12"/>
      <c r="F632" s="12"/>
      <c r="G632" s="12"/>
      <c r="H632" s="12"/>
      <c r="I632" s="143">
        <f t="shared" si="22"/>
        <v>-26</v>
      </c>
      <c r="J632" s="537">
        <v>46167.0</v>
      </c>
      <c r="K632" s="294" t="s">
        <v>48</v>
      </c>
      <c r="L632" s="108"/>
      <c r="M632" s="86" t="s">
        <v>3589</v>
      </c>
      <c r="N632" s="86">
        <v>246.0</v>
      </c>
      <c r="O632" s="86">
        <v>30.0</v>
      </c>
      <c r="U632" s="162" t="s">
        <v>3590</v>
      </c>
      <c r="V632" s="538" t="s">
        <v>3568</v>
      </c>
      <c r="W632" s="185" t="s">
        <v>3591</v>
      </c>
      <c r="X632" s="140"/>
      <c r="Y632" s="166">
        <f t="shared" si="23"/>
        <v>26</v>
      </c>
      <c r="Z632" s="26">
        <f t="shared" si="7"/>
        <v>0</v>
      </c>
      <c r="AA632" s="26">
        <f t="shared" si="8"/>
        <v>0</v>
      </c>
      <c r="AB632" s="26">
        <f t="shared" si="9"/>
        <v>0</v>
      </c>
      <c r="AC632" s="155">
        <v>0.0</v>
      </c>
      <c r="AD632" s="155">
        <v>0.0</v>
      </c>
      <c r="AE632" s="155">
        <v>0.0</v>
      </c>
      <c r="AF632" s="155">
        <v>0.0</v>
      </c>
      <c r="AG632" s="155">
        <v>0.0</v>
      </c>
      <c r="AH632" s="155">
        <v>0.0</v>
      </c>
      <c r="BN632" s="155">
        <v>0.0</v>
      </c>
      <c r="BO632" s="155">
        <v>0.0</v>
      </c>
      <c r="BP632" s="155">
        <v>0.0</v>
      </c>
      <c r="BQ632" s="155">
        <v>0.0</v>
      </c>
      <c r="BR632" s="155">
        <v>0.0</v>
      </c>
      <c r="BS632" s="155">
        <v>0.0</v>
      </c>
      <c r="CV632" s="156">
        <v>0.0</v>
      </c>
      <c r="CW632" s="156">
        <v>0.0</v>
      </c>
      <c r="CX632" s="156">
        <v>0.0</v>
      </c>
      <c r="CY632" s="156">
        <v>0.0</v>
      </c>
      <c r="CZ632" s="156">
        <v>0.0</v>
      </c>
      <c r="DA632" s="156">
        <v>0.0</v>
      </c>
      <c r="EG632" s="156">
        <v>0.0</v>
      </c>
      <c r="EH632" s="156">
        <v>0.0</v>
      </c>
      <c r="EI632" s="156">
        <v>0.0</v>
      </c>
      <c r="EJ632" s="156">
        <v>0.0</v>
      </c>
      <c r="EK632" s="156">
        <v>0.0</v>
      </c>
      <c r="EL632" s="156">
        <v>0.0</v>
      </c>
      <c r="FQ632" s="156">
        <v>3.0</v>
      </c>
      <c r="FR632" s="156">
        <v>0.0</v>
      </c>
      <c r="FS632" s="156">
        <v>0.0</v>
      </c>
      <c r="FT632" s="156">
        <v>0.0</v>
      </c>
      <c r="FU632" s="156">
        <v>0.0</v>
      </c>
      <c r="FV632" s="156">
        <v>0.0</v>
      </c>
      <c r="FW632" s="157"/>
      <c r="FX632" s="157"/>
      <c r="FY632" s="157"/>
      <c r="FZ632" s="157"/>
      <c r="GA632" s="157"/>
      <c r="GB632" s="157"/>
      <c r="GC632" s="157"/>
      <c r="GD632" s="157"/>
      <c r="GE632" s="157"/>
      <c r="GF632" s="157"/>
      <c r="GG632" s="157"/>
      <c r="GH632" s="157"/>
      <c r="GI632" s="157"/>
      <c r="GJ632" s="157"/>
      <c r="GK632" s="157"/>
      <c r="GL632" s="157"/>
      <c r="GM632" s="157"/>
      <c r="GN632" s="157"/>
      <c r="GO632" s="157"/>
      <c r="GP632" s="158"/>
      <c r="GQ632" s="157"/>
      <c r="GR632" s="157"/>
      <c r="GS632" s="157"/>
      <c r="GT632" s="157"/>
      <c r="GU632" s="177">
        <v>1.0</v>
      </c>
      <c r="GV632" s="177">
        <v>0.0</v>
      </c>
      <c r="GW632" s="177">
        <v>1.0</v>
      </c>
      <c r="GX632" s="177">
        <v>0.0</v>
      </c>
      <c r="GY632" s="177"/>
      <c r="GZ632" s="176">
        <v>1.0</v>
      </c>
      <c r="HA632" s="177">
        <v>0.0</v>
      </c>
      <c r="HB632" s="155">
        <v>12.0</v>
      </c>
      <c r="HC632" s="155">
        <v>0.0</v>
      </c>
      <c r="HD632" s="155">
        <v>0.0</v>
      </c>
      <c r="HE632" s="155">
        <v>0.0</v>
      </c>
      <c r="HF632" s="155">
        <v>0.0</v>
      </c>
      <c r="HG632" s="155">
        <v>0.0</v>
      </c>
      <c r="HH632" s="174">
        <v>1.0</v>
      </c>
      <c r="HI632" s="174">
        <v>0.0</v>
      </c>
      <c r="HJ632" s="174">
        <v>1.0</v>
      </c>
      <c r="HK632" s="174">
        <v>0.0</v>
      </c>
      <c r="HL632" s="174">
        <v>1.0</v>
      </c>
      <c r="HM632" s="174">
        <v>0.0</v>
      </c>
      <c r="HN632" s="174">
        <v>0.0</v>
      </c>
      <c r="HO632" s="175">
        <v>0.0</v>
      </c>
      <c r="HP632" s="174">
        <v>0.0</v>
      </c>
      <c r="HQ632" s="174">
        <v>1.0</v>
      </c>
      <c r="HR632" s="174">
        <v>0.0</v>
      </c>
      <c r="HS632" s="174">
        <v>1.0</v>
      </c>
      <c r="HT632" s="174">
        <v>0.0</v>
      </c>
      <c r="HU632" s="174">
        <v>0.0</v>
      </c>
      <c r="HV632" s="174">
        <v>1.0</v>
      </c>
      <c r="HW632" s="174">
        <v>0.0</v>
      </c>
      <c r="HX632" s="174">
        <v>1.0</v>
      </c>
      <c r="HY632" s="174">
        <v>0.0</v>
      </c>
      <c r="HZ632" s="174">
        <v>1.0</v>
      </c>
      <c r="IA632" s="174">
        <v>0.0</v>
      </c>
      <c r="IB632" s="174">
        <v>0.0</v>
      </c>
      <c r="IC632" s="174">
        <v>1.0</v>
      </c>
      <c r="ID632" s="174">
        <v>0.0</v>
      </c>
      <c r="IE632" s="174">
        <v>1.0</v>
      </c>
      <c r="IF632" s="174">
        <v>0.0</v>
      </c>
      <c r="IG632" s="174">
        <v>1.0</v>
      </c>
      <c r="IH632" s="174">
        <v>0.0</v>
      </c>
      <c r="II632" s="174">
        <v>0.0</v>
      </c>
      <c r="IJ632" s="174">
        <v>1.0</v>
      </c>
      <c r="IK632" s="174">
        <v>0.0</v>
      </c>
      <c r="IL632" s="159">
        <v>8.0</v>
      </c>
      <c r="IM632" s="156">
        <v>0.0</v>
      </c>
      <c r="IN632" s="156">
        <v>0.0</v>
      </c>
      <c r="IO632" s="156">
        <v>0.0</v>
      </c>
      <c r="IP632" s="156">
        <v>0.0</v>
      </c>
      <c r="IQ632" s="160">
        <v>0.0</v>
      </c>
      <c r="IR632" s="174"/>
      <c r="IS632" s="174">
        <v>0.0</v>
      </c>
      <c r="IT632" s="174">
        <v>1.0</v>
      </c>
      <c r="IU632" s="174">
        <v>0.0</v>
      </c>
      <c r="IV632" s="174">
        <v>0.0</v>
      </c>
      <c r="IW632" s="174">
        <v>1.0</v>
      </c>
      <c r="IX632" s="174">
        <v>0.0</v>
      </c>
      <c r="IY632" s="174">
        <v>1.0</v>
      </c>
      <c r="IZ632" s="174">
        <v>0.0</v>
      </c>
      <c r="JA632" s="175">
        <v>1.0</v>
      </c>
      <c r="JB632" s="175"/>
      <c r="JC632" s="174">
        <v>0.0</v>
      </c>
      <c r="JD632" s="175">
        <v>1.0</v>
      </c>
      <c r="JE632" s="174">
        <v>0.0</v>
      </c>
      <c r="JF632" s="174"/>
      <c r="JG632" s="174">
        <v>0.0</v>
      </c>
      <c r="JH632" s="176">
        <v>1.0</v>
      </c>
      <c r="JI632" s="174"/>
      <c r="JJ632" s="174"/>
      <c r="JK632" s="174"/>
      <c r="JL632" s="175">
        <v>1.0</v>
      </c>
      <c r="JM632" s="175">
        <v>1.0</v>
      </c>
      <c r="JN632" s="174"/>
      <c r="JO632" s="174"/>
      <c r="JP632" s="174"/>
      <c r="JQ632" s="174"/>
      <c r="JR632" s="174"/>
      <c r="JS632" s="174"/>
      <c r="JT632" s="174"/>
      <c r="JU632" s="174"/>
      <c r="JV632" s="174"/>
      <c r="JW632" s="159">
        <v>0.0</v>
      </c>
      <c r="JX632" s="156">
        <v>0.0</v>
      </c>
      <c r="JY632" s="156">
        <v>0.0</v>
      </c>
      <c r="JZ632" s="156">
        <v>0.0</v>
      </c>
      <c r="KA632" s="156">
        <v>0.0</v>
      </c>
      <c r="KB632" s="160">
        <v>0.0</v>
      </c>
      <c r="KC632" s="174"/>
      <c r="KD632" s="174"/>
      <c r="KE632" s="174"/>
      <c r="KF632" s="174"/>
      <c r="KG632" s="174"/>
      <c r="KH632" s="174"/>
      <c r="KI632" s="174"/>
      <c r="KJ632" s="174"/>
      <c r="KK632" s="174"/>
      <c r="KL632" s="174"/>
      <c r="KM632" s="174"/>
      <c r="KN632" s="174"/>
      <c r="KO632" s="174"/>
      <c r="KP632" s="174"/>
      <c r="KQ632" s="174"/>
      <c r="KR632" s="174"/>
      <c r="KS632" s="472"/>
      <c r="KT632" s="174"/>
      <c r="KU632" s="174"/>
      <c r="KV632" s="174"/>
      <c r="KW632" s="174"/>
      <c r="KX632" s="174"/>
      <c r="KY632" s="174"/>
      <c r="KZ632" s="174"/>
      <c r="LA632" s="174"/>
      <c r="LB632" s="174"/>
      <c r="LC632" s="174"/>
      <c r="LD632" s="174"/>
      <c r="LE632" s="174"/>
      <c r="LF632" s="174"/>
      <c r="LG632" s="174"/>
      <c r="LH632" s="159">
        <f t="shared" si="10"/>
        <v>3</v>
      </c>
      <c r="LI632" s="156">
        <f t="shared" si="11"/>
        <v>0</v>
      </c>
      <c r="LJ632" s="156">
        <f t="shared" si="12"/>
        <v>0</v>
      </c>
      <c r="LK632" s="156">
        <f t="shared" si="13"/>
        <v>0</v>
      </c>
      <c r="LL632" s="156">
        <f t="shared" si="14"/>
        <v>0</v>
      </c>
      <c r="LM632" s="160">
        <f t="shared" si="15"/>
        <v>0</v>
      </c>
      <c r="LN632" s="174"/>
      <c r="LO632" s="174"/>
      <c r="LP632" s="174"/>
      <c r="LQ632" s="174"/>
      <c r="LR632" s="174"/>
      <c r="LS632" s="174"/>
      <c r="LT632" s="174"/>
      <c r="LU632" s="174"/>
      <c r="LV632" s="174"/>
      <c r="LW632" s="174">
        <f t="shared" ref="LW632:MQ632" si="60">IFS(TODAY()&lt;=LW$2,0,WEEKDAY(LW$2)=2,1,WEEKDAY(LW$2)=3,0,WEEKDAY(LW$2)=4,1,WEEKDAY(LW$2)=5,0,WEEKDAY(LW$2)=6,1,WEEKDAY(LW$2)=7,0,WEEKDAY(LW$2)=1,0)</f>
        <v>0</v>
      </c>
      <c r="LX632" s="174">
        <f t="shared" si="60"/>
        <v>1</v>
      </c>
      <c r="LY632" s="174">
        <f t="shared" si="60"/>
        <v>0</v>
      </c>
      <c r="LZ632" s="174">
        <f t="shared" si="60"/>
        <v>0</v>
      </c>
      <c r="MA632" s="174">
        <f t="shared" si="60"/>
        <v>1</v>
      </c>
      <c r="MB632" s="174">
        <f t="shared" si="60"/>
        <v>0</v>
      </c>
      <c r="MC632" s="174">
        <f t="shared" si="60"/>
        <v>1</v>
      </c>
      <c r="MD632" s="174">
        <f t="shared" si="60"/>
        <v>0</v>
      </c>
      <c r="ME632" s="174">
        <f t="shared" si="60"/>
        <v>0</v>
      </c>
      <c r="MF632" s="174">
        <f t="shared" si="60"/>
        <v>0</v>
      </c>
      <c r="MG632" s="174">
        <f t="shared" si="60"/>
        <v>0</v>
      </c>
      <c r="MH632" s="174">
        <f t="shared" si="60"/>
        <v>0</v>
      </c>
      <c r="MI632" s="174">
        <f t="shared" si="60"/>
        <v>0</v>
      </c>
      <c r="MJ632" s="174">
        <f t="shared" si="60"/>
        <v>0</v>
      </c>
      <c r="MK632" s="174">
        <f t="shared" si="60"/>
        <v>0</v>
      </c>
      <c r="ML632" s="174">
        <f t="shared" si="60"/>
        <v>0</v>
      </c>
      <c r="MM632" s="174">
        <f t="shared" si="60"/>
        <v>0</v>
      </c>
      <c r="MN632" s="174">
        <f t="shared" si="60"/>
        <v>0</v>
      </c>
      <c r="MO632" s="174">
        <f t="shared" si="60"/>
        <v>0</v>
      </c>
      <c r="MP632" s="174">
        <f t="shared" si="60"/>
        <v>0</v>
      </c>
      <c r="MQ632" s="174">
        <f t="shared" si="60"/>
        <v>0</v>
      </c>
      <c r="QX632" s="560">
        <v>46162.0</v>
      </c>
    </row>
    <row r="633">
      <c r="A633" s="12"/>
      <c r="B633" s="12"/>
      <c r="C633" s="12"/>
      <c r="D633" s="12"/>
      <c r="E633" s="12"/>
      <c r="F633" s="12"/>
      <c r="G633" s="12"/>
      <c r="H633" s="12"/>
      <c r="I633" s="143">
        <f t="shared" si="22"/>
        <v>-30</v>
      </c>
      <c r="J633" s="537">
        <v>46169.0</v>
      </c>
      <c r="K633" s="294" t="s">
        <v>48</v>
      </c>
      <c r="L633" s="108"/>
      <c r="M633" s="86" t="s">
        <v>1130</v>
      </c>
      <c r="N633" s="86">
        <v>246.0</v>
      </c>
      <c r="O633" s="86">
        <v>30.0</v>
      </c>
      <c r="U633" s="162" t="s">
        <v>3592</v>
      </c>
      <c r="V633" s="538" t="s">
        <v>3593</v>
      </c>
      <c r="W633" s="125" t="s">
        <v>3594</v>
      </c>
      <c r="X633" s="140"/>
      <c r="Y633" s="166">
        <f t="shared" si="23"/>
        <v>30</v>
      </c>
      <c r="Z633" s="26">
        <f t="shared" si="7"/>
        <v>0</v>
      </c>
      <c r="AA633" s="26">
        <f t="shared" si="8"/>
        <v>0</v>
      </c>
      <c r="AB633" s="26">
        <f t="shared" si="9"/>
        <v>0</v>
      </c>
      <c r="AC633" s="155">
        <v>0.0</v>
      </c>
      <c r="AD633" s="155">
        <v>0.0</v>
      </c>
      <c r="AE633" s="155">
        <v>0.0</v>
      </c>
      <c r="AF633" s="155">
        <v>0.0</v>
      </c>
      <c r="AG633" s="155">
        <v>0.0</v>
      </c>
      <c r="AH633" s="155">
        <v>0.0</v>
      </c>
      <c r="BN633" s="155">
        <v>0.0</v>
      </c>
      <c r="BO633" s="155">
        <v>0.0</v>
      </c>
      <c r="BP633" s="155">
        <v>0.0</v>
      </c>
      <c r="BQ633" s="155">
        <v>0.0</v>
      </c>
      <c r="BR633" s="155">
        <v>0.0</v>
      </c>
      <c r="BS633" s="155">
        <v>0.0</v>
      </c>
      <c r="CV633" s="156">
        <v>0.0</v>
      </c>
      <c r="CW633" s="156">
        <v>0.0</v>
      </c>
      <c r="CX633" s="156">
        <v>0.0</v>
      </c>
      <c r="CY633" s="156">
        <v>0.0</v>
      </c>
      <c r="CZ633" s="156">
        <v>0.0</v>
      </c>
      <c r="DA633" s="156">
        <v>0.0</v>
      </c>
      <c r="EG633" s="156">
        <v>0.0</v>
      </c>
      <c r="EH633" s="156">
        <v>0.0</v>
      </c>
      <c r="EI633" s="156">
        <v>0.0</v>
      </c>
      <c r="EJ633" s="156">
        <v>0.0</v>
      </c>
      <c r="EK633" s="156">
        <v>0.0</v>
      </c>
      <c r="EL633" s="156">
        <v>0.0</v>
      </c>
      <c r="FQ633" s="156">
        <v>2.0</v>
      </c>
      <c r="FR633" s="156">
        <v>0.0</v>
      </c>
      <c r="FS633" s="156">
        <v>0.0</v>
      </c>
      <c r="FT633" s="156">
        <v>0.0</v>
      </c>
      <c r="FU633" s="156">
        <v>0.0</v>
      </c>
      <c r="FV633" s="156">
        <v>0.0</v>
      </c>
      <c r="FW633" s="157"/>
      <c r="FX633" s="157"/>
      <c r="FY633" s="157"/>
      <c r="FZ633" s="157"/>
      <c r="GA633" s="157"/>
      <c r="GB633" s="157"/>
      <c r="GC633" s="157"/>
      <c r="GD633" s="157"/>
      <c r="GE633" s="157"/>
      <c r="GF633" s="157"/>
      <c r="GG633" s="157"/>
      <c r="GH633" s="157"/>
      <c r="GI633" s="157"/>
      <c r="GJ633" s="157"/>
      <c r="GK633" s="157"/>
      <c r="GL633" s="157"/>
      <c r="GM633" s="157"/>
      <c r="GN633" s="157"/>
      <c r="GO633" s="157"/>
      <c r="GP633" s="158"/>
      <c r="GQ633" s="157"/>
      <c r="GR633" s="157"/>
      <c r="GS633" s="157"/>
      <c r="GT633" s="157"/>
      <c r="GU633" s="157"/>
      <c r="GV633" s="157"/>
      <c r="GW633" s="177">
        <v>1.0</v>
      </c>
      <c r="GX633" s="177">
        <v>0.0</v>
      </c>
      <c r="GY633" s="177">
        <v>1.0</v>
      </c>
      <c r="GZ633" s="177">
        <v>0.0</v>
      </c>
      <c r="HA633" s="177">
        <v>0.0</v>
      </c>
      <c r="HB633" s="155">
        <v>8.0</v>
      </c>
      <c r="HC633" s="155">
        <v>0.0</v>
      </c>
      <c r="HD633" s="155">
        <v>0.0</v>
      </c>
      <c r="HE633" s="155">
        <v>0.0</v>
      </c>
      <c r="HF633" s="155">
        <v>0.0</v>
      </c>
      <c r="HG633" s="155">
        <v>0.0</v>
      </c>
      <c r="HH633" s="174">
        <v>1.0</v>
      </c>
      <c r="HI633" s="174">
        <v>0.0</v>
      </c>
      <c r="HJ633" s="174">
        <v>1.0</v>
      </c>
      <c r="HK633" s="174">
        <v>0.0</v>
      </c>
      <c r="HL633" s="174">
        <v>1.0</v>
      </c>
      <c r="HM633" s="174"/>
      <c r="HN633" s="174"/>
      <c r="HO633" s="174"/>
      <c r="HP633" s="174"/>
      <c r="HQ633" s="174">
        <v>1.0</v>
      </c>
      <c r="HR633" s="174">
        <v>0.0</v>
      </c>
      <c r="HS633" s="174">
        <v>1.0</v>
      </c>
      <c r="HT633" s="174"/>
      <c r="HU633" s="174"/>
      <c r="HV633" s="174"/>
      <c r="HW633" s="174"/>
      <c r="HX633" s="174">
        <v>1.0</v>
      </c>
      <c r="HY633" s="174">
        <v>0.0</v>
      </c>
      <c r="HZ633" s="174">
        <v>1.0</v>
      </c>
      <c r="IA633" s="174"/>
      <c r="IB633" s="174"/>
      <c r="IC633" s="174"/>
      <c r="ID633" s="174"/>
      <c r="IE633" s="174">
        <v>1.0</v>
      </c>
      <c r="IF633" s="174"/>
      <c r="IG633" s="174"/>
      <c r="IH633" s="174"/>
      <c r="II633" s="174"/>
      <c r="IJ633" s="174"/>
      <c r="IK633" s="174"/>
      <c r="IL633" s="159">
        <v>8.0</v>
      </c>
      <c r="IM633" s="156">
        <v>0.0</v>
      </c>
      <c r="IN633" s="156">
        <v>0.0</v>
      </c>
      <c r="IO633" s="156">
        <v>0.0</v>
      </c>
      <c r="IP633" s="156">
        <v>0.0</v>
      </c>
      <c r="IQ633" s="160">
        <v>0.0</v>
      </c>
      <c r="IR633" s="174">
        <v>1.0</v>
      </c>
      <c r="IS633" s="174">
        <v>0.0</v>
      </c>
      <c r="IT633" s="175"/>
      <c r="IU633" s="174">
        <v>0.0</v>
      </c>
      <c r="IV633" s="174">
        <v>0.0</v>
      </c>
      <c r="IW633" s="174"/>
      <c r="IX633" s="174">
        <v>0.0</v>
      </c>
      <c r="IY633" s="174"/>
      <c r="IZ633" s="174">
        <v>0.0</v>
      </c>
      <c r="JA633" s="174"/>
      <c r="JB633" s="174">
        <v>0.0</v>
      </c>
      <c r="JC633" s="174">
        <v>0.0</v>
      </c>
      <c r="JD633" s="174">
        <v>1.0</v>
      </c>
      <c r="JE633" s="174">
        <v>0.0</v>
      </c>
      <c r="JF633" s="174">
        <v>1.0</v>
      </c>
      <c r="JG633" s="174">
        <v>0.0</v>
      </c>
      <c r="JH633" s="176">
        <v>1.0</v>
      </c>
      <c r="JI633" s="174"/>
      <c r="JJ633" s="174"/>
      <c r="JK633" s="175">
        <v>1.0</v>
      </c>
      <c r="JL633" s="174"/>
      <c r="JM633" s="175">
        <v>1.0</v>
      </c>
      <c r="JN633" s="174"/>
      <c r="JO633" s="175">
        <v>1.0</v>
      </c>
      <c r="JP633" s="174"/>
      <c r="JQ633" s="174"/>
      <c r="JR633" s="174"/>
      <c r="JS633" s="174"/>
      <c r="JT633" s="175">
        <v>1.0</v>
      </c>
      <c r="JU633" s="174"/>
      <c r="JV633" s="174"/>
      <c r="JW633" s="159">
        <v>7.0</v>
      </c>
      <c r="JX633" s="156">
        <v>0.0</v>
      </c>
      <c r="JY633" s="156">
        <v>0.0</v>
      </c>
      <c r="JZ633" s="156">
        <v>0.0</v>
      </c>
      <c r="KA633" s="156">
        <v>0.0</v>
      </c>
      <c r="KB633" s="160">
        <v>0.0</v>
      </c>
      <c r="KC633" s="174"/>
      <c r="KD633" s="174"/>
      <c r="KE633" s="175">
        <v>1.0</v>
      </c>
      <c r="KF633" s="174"/>
      <c r="KG633" s="175">
        <v>1.0</v>
      </c>
      <c r="KH633" s="174"/>
      <c r="KI633" s="175"/>
      <c r="KJ633" s="175">
        <v>1.0</v>
      </c>
      <c r="KK633" s="174"/>
      <c r="KL633" s="174"/>
      <c r="KM633" s="174"/>
      <c r="KN633" s="175">
        <v>1.0</v>
      </c>
      <c r="KO633" s="174"/>
      <c r="KP633" s="174"/>
      <c r="KQ633" s="174"/>
      <c r="KR633" s="174"/>
      <c r="KS633" s="186">
        <v>1.0</v>
      </c>
      <c r="KT633" s="174"/>
      <c r="KU633" s="174"/>
      <c r="KV633" s="174"/>
      <c r="KW633" s="175">
        <v>1.0</v>
      </c>
      <c r="KX633" s="174"/>
      <c r="KY633" s="174"/>
      <c r="KZ633" s="174"/>
      <c r="LA633" s="174"/>
      <c r="LB633" s="175">
        <v>1.0</v>
      </c>
      <c r="LC633" s="174"/>
      <c r="LD633" s="174"/>
      <c r="LE633" s="174"/>
      <c r="LF633" s="174"/>
      <c r="LG633" s="174"/>
      <c r="LH633" s="159">
        <f t="shared" si="10"/>
        <v>5</v>
      </c>
      <c r="LI633" s="156">
        <f t="shared" si="11"/>
        <v>0</v>
      </c>
      <c r="LJ633" s="156">
        <f t="shared" si="12"/>
        <v>0</v>
      </c>
      <c r="LK633" s="156">
        <f t="shared" si="13"/>
        <v>0</v>
      </c>
      <c r="LL633" s="156">
        <f t="shared" si="14"/>
        <v>0</v>
      </c>
      <c r="LM633" s="160">
        <f t="shared" si="15"/>
        <v>0</v>
      </c>
      <c r="LN633" s="174"/>
      <c r="LO633" s="174"/>
      <c r="LP633" s="174"/>
      <c r="LQ633" s="187">
        <v>1.0</v>
      </c>
      <c r="LR633" s="174"/>
      <c r="LS633" s="174"/>
      <c r="LT633" s="187">
        <v>1.0</v>
      </c>
      <c r="LU633" s="174"/>
      <c r="LV633" s="174"/>
      <c r="LW633" s="174">
        <f t="shared" ref="LW633:MQ633" si="61">IFS(TODAY()&lt;=LW$2,0,WEEKDAY(LW$2)=2,1,WEEKDAY(LW$2)=3,0,WEEKDAY(LW$2)=4,1,WEEKDAY(LW$2)=5,0,WEEKDAY(LW$2)=6,1,WEEKDAY(LW$2)=7,0,WEEKDAY(LW$2)=1,0)</f>
        <v>0</v>
      </c>
      <c r="LX633" s="174">
        <f t="shared" si="61"/>
        <v>1</v>
      </c>
      <c r="LY633" s="174">
        <f t="shared" si="61"/>
        <v>0</v>
      </c>
      <c r="LZ633" s="174">
        <f t="shared" si="61"/>
        <v>0</v>
      </c>
      <c r="MA633" s="174">
        <f t="shared" si="61"/>
        <v>1</v>
      </c>
      <c r="MB633" s="174">
        <f t="shared" si="61"/>
        <v>0</v>
      </c>
      <c r="MC633" s="174">
        <f t="shared" si="61"/>
        <v>1</v>
      </c>
      <c r="MD633" s="174">
        <f t="shared" si="61"/>
        <v>0</v>
      </c>
      <c r="ME633" s="174">
        <f t="shared" si="61"/>
        <v>0</v>
      </c>
      <c r="MF633" s="174">
        <f t="shared" si="61"/>
        <v>0</v>
      </c>
      <c r="MG633" s="174">
        <f t="shared" si="61"/>
        <v>0</v>
      </c>
      <c r="MH633" s="174">
        <f t="shared" si="61"/>
        <v>0</v>
      </c>
      <c r="MI633" s="174">
        <f t="shared" si="61"/>
        <v>0</v>
      </c>
      <c r="MJ633" s="174">
        <f t="shared" si="61"/>
        <v>0</v>
      </c>
      <c r="MK633" s="174">
        <f t="shared" si="61"/>
        <v>0</v>
      </c>
      <c r="ML633" s="174">
        <f t="shared" si="61"/>
        <v>0</v>
      </c>
      <c r="MM633" s="174">
        <f t="shared" si="61"/>
        <v>0</v>
      </c>
      <c r="MN633" s="174">
        <f t="shared" si="61"/>
        <v>0</v>
      </c>
      <c r="MO633" s="174">
        <f t="shared" si="61"/>
        <v>0</v>
      </c>
      <c r="MP633" s="174">
        <f t="shared" si="61"/>
        <v>0</v>
      </c>
      <c r="MQ633" s="174">
        <f t="shared" si="61"/>
        <v>0</v>
      </c>
      <c r="QX633" s="560">
        <v>46163.0</v>
      </c>
    </row>
    <row r="634">
      <c r="A634" s="12"/>
      <c r="B634" s="12"/>
      <c r="C634" s="12"/>
      <c r="D634" s="12"/>
      <c r="E634" s="12"/>
      <c r="F634" s="12"/>
      <c r="G634" s="12"/>
      <c r="H634" s="12"/>
      <c r="I634" s="143">
        <f t="shared" si="22"/>
        <v>-37</v>
      </c>
      <c r="J634" s="537">
        <v>46168.0</v>
      </c>
      <c r="K634" s="294" t="s">
        <v>48</v>
      </c>
      <c r="L634" s="162"/>
      <c r="M634" s="86" t="s">
        <v>228</v>
      </c>
      <c r="N634" s="86">
        <v>357.0</v>
      </c>
      <c r="O634" s="86">
        <v>30.0</v>
      </c>
      <c r="U634" s="162" t="s">
        <v>3595</v>
      </c>
      <c r="V634" s="538" t="s">
        <v>581</v>
      </c>
      <c r="W634" s="125" t="s">
        <v>3596</v>
      </c>
      <c r="X634" s="140"/>
      <c r="Y634" s="166">
        <f t="shared" si="23"/>
        <v>37</v>
      </c>
      <c r="Z634" s="26">
        <f t="shared" si="7"/>
        <v>0</v>
      </c>
      <c r="AA634" s="26">
        <f t="shared" si="8"/>
        <v>0</v>
      </c>
      <c r="AB634" s="26">
        <f t="shared" si="9"/>
        <v>0</v>
      </c>
      <c r="AC634" s="155">
        <v>0.0</v>
      </c>
      <c r="AD634" s="155">
        <v>0.0</v>
      </c>
      <c r="AE634" s="155">
        <v>0.0</v>
      </c>
      <c r="AF634" s="155">
        <v>0.0</v>
      </c>
      <c r="AG634" s="155">
        <v>0.0</v>
      </c>
      <c r="AH634" s="155">
        <v>0.0</v>
      </c>
      <c r="BN634" s="155">
        <v>0.0</v>
      </c>
      <c r="BO634" s="155">
        <v>0.0</v>
      </c>
      <c r="BP634" s="155">
        <v>0.0</v>
      </c>
      <c r="BQ634" s="155">
        <v>0.0</v>
      </c>
      <c r="BR634" s="155">
        <v>0.0</v>
      </c>
      <c r="BS634" s="155">
        <v>0.0</v>
      </c>
      <c r="CV634" s="156">
        <v>0.0</v>
      </c>
      <c r="CW634" s="156">
        <v>0.0</v>
      </c>
      <c r="CX634" s="156">
        <v>0.0</v>
      </c>
      <c r="CY634" s="156">
        <v>0.0</v>
      </c>
      <c r="CZ634" s="156">
        <v>0.0</v>
      </c>
      <c r="DA634" s="156">
        <v>0.0</v>
      </c>
      <c r="EG634" s="156">
        <v>0.0</v>
      </c>
      <c r="EH634" s="156">
        <v>0.0</v>
      </c>
      <c r="EI634" s="156">
        <v>0.0</v>
      </c>
      <c r="EJ634" s="156">
        <v>0.0</v>
      </c>
      <c r="EK634" s="156">
        <v>0.0</v>
      </c>
      <c r="EL634" s="156">
        <v>0.0</v>
      </c>
      <c r="FQ634" s="156">
        <v>2.0</v>
      </c>
      <c r="FR634" s="156">
        <v>0.0</v>
      </c>
      <c r="FS634" s="156">
        <v>0.0</v>
      </c>
      <c r="FT634" s="156">
        <v>0.0</v>
      </c>
      <c r="FU634" s="156">
        <v>0.0</v>
      </c>
      <c r="FV634" s="156">
        <v>0.0</v>
      </c>
      <c r="FW634" s="157"/>
      <c r="FX634" s="157"/>
      <c r="FY634" s="157"/>
      <c r="FZ634" s="157"/>
      <c r="GA634" s="157"/>
      <c r="GB634" s="157"/>
      <c r="GC634" s="157"/>
      <c r="GD634" s="157"/>
      <c r="GE634" s="157"/>
      <c r="GF634" s="157"/>
      <c r="GG634" s="157"/>
      <c r="GH634" s="157"/>
      <c r="GI634" s="157"/>
      <c r="GJ634" s="157"/>
      <c r="GK634" s="157"/>
      <c r="GL634" s="157"/>
      <c r="GM634" s="157"/>
      <c r="GN634" s="157"/>
      <c r="GO634" s="157"/>
      <c r="GP634" s="158"/>
      <c r="GQ634" s="157"/>
      <c r="GR634" s="157"/>
      <c r="GS634" s="157"/>
      <c r="GT634" s="157"/>
      <c r="GU634" s="157"/>
      <c r="GV634" s="172">
        <v>1.0</v>
      </c>
      <c r="GW634" s="172">
        <v>0.0</v>
      </c>
      <c r="GX634" s="172">
        <v>1.0</v>
      </c>
      <c r="GY634" s="172">
        <v>0.0</v>
      </c>
      <c r="GZ634" s="172"/>
      <c r="HA634" s="172"/>
      <c r="HB634" s="155">
        <v>10.0</v>
      </c>
      <c r="HC634" s="155">
        <v>0.0</v>
      </c>
      <c r="HD634" s="155">
        <v>0.0</v>
      </c>
      <c r="HE634" s="155">
        <v>0.0</v>
      </c>
      <c r="HF634" s="155">
        <v>0.0</v>
      </c>
      <c r="HG634" s="155">
        <v>0.0</v>
      </c>
      <c r="HH634" s="172">
        <v>0.0</v>
      </c>
      <c r="HI634" s="172">
        <v>1.0</v>
      </c>
      <c r="HJ634" s="172">
        <v>0.0</v>
      </c>
      <c r="HK634" s="172">
        <v>1.0</v>
      </c>
      <c r="HL634" s="172">
        <v>1.0</v>
      </c>
      <c r="HM634" s="172">
        <v>1.0</v>
      </c>
      <c r="HN634" s="172">
        <v>0.0</v>
      </c>
      <c r="HO634" s="172">
        <v>0.0</v>
      </c>
      <c r="HP634" s="172">
        <v>1.0</v>
      </c>
      <c r="HQ634" s="172">
        <v>0.0</v>
      </c>
      <c r="HR634" s="172">
        <v>1.0</v>
      </c>
      <c r="HS634" s="172">
        <v>0.0</v>
      </c>
      <c r="HT634" s="172">
        <v>1.0</v>
      </c>
      <c r="HU634" s="172">
        <v>0.0</v>
      </c>
      <c r="HV634" s="172">
        <v>0.0</v>
      </c>
      <c r="HW634" s="172">
        <v>1.0</v>
      </c>
      <c r="HX634" s="172">
        <v>0.0</v>
      </c>
      <c r="HY634" s="172">
        <v>1.0</v>
      </c>
      <c r="HZ634" s="172">
        <v>0.0</v>
      </c>
      <c r="IA634" s="172"/>
      <c r="IB634" s="172">
        <v>1.0</v>
      </c>
      <c r="IC634" s="172"/>
      <c r="ID634" s="172"/>
      <c r="IE634" s="172"/>
      <c r="IF634" s="172"/>
      <c r="IG634" s="172"/>
      <c r="IH634" s="172"/>
      <c r="II634" s="172"/>
      <c r="IJ634" s="172"/>
      <c r="IK634" s="172"/>
      <c r="IL634" s="159">
        <v>9.0</v>
      </c>
      <c r="IM634" s="156">
        <v>0.0</v>
      </c>
      <c r="IN634" s="156">
        <v>0.0</v>
      </c>
      <c r="IO634" s="156">
        <v>0.0</v>
      </c>
      <c r="IP634" s="156">
        <v>0.0</v>
      </c>
      <c r="IQ634" s="160">
        <v>0.0</v>
      </c>
      <c r="IR634" s="172">
        <v>0.0</v>
      </c>
      <c r="IS634" s="172"/>
      <c r="IT634" s="172">
        <v>0.0</v>
      </c>
      <c r="IU634" s="172"/>
      <c r="IV634" s="172">
        <v>0.0</v>
      </c>
      <c r="IW634" s="172">
        <v>0.0</v>
      </c>
      <c r="IX634" s="172">
        <v>1.0</v>
      </c>
      <c r="IY634" s="172">
        <v>0.0</v>
      </c>
      <c r="IZ634" s="172">
        <v>1.0</v>
      </c>
      <c r="JA634" s="172">
        <v>0.0</v>
      </c>
      <c r="JB634" s="172"/>
      <c r="JC634" s="172">
        <v>0.0</v>
      </c>
      <c r="JD634" s="172">
        <v>0.0</v>
      </c>
      <c r="JE634" s="172">
        <v>1.0</v>
      </c>
      <c r="JF634" s="172">
        <v>0.0</v>
      </c>
      <c r="JG634" s="172">
        <v>1.0</v>
      </c>
      <c r="JH634" s="170">
        <v>0.0</v>
      </c>
      <c r="JI634" s="172"/>
      <c r="JJ634" s="172">
        <v>1.0</v>
      </c>
      <c r="JK634" s="172"/>
      <c r="JL634" s="172">
        <v>1.0</v>
      </c>
      <c r="JM634" s="172"/>
      <c r="JN634" s="172">
        <v>1.0</v>
      </c>
      <c r="JO634" s="172"/>
      <c r="JP634" s="172"/>
      <c r="JQ634" s="172"/>
      <c r="JR634" s="172"/>
      <c r="JS634" s="172">
        <v>1.0</v>
      </c>
      <c r="JT634" s="172"/>
      <c r="JU634" s="172">
        <v>1.0</v>
      </c>
      <c r="JV634" s="172"/>
      <c r="JW634" s="159">
        <v>9.0</v>
      </c>
      <c r="JX634" s="156">
        <v>0.0</v>
      </c>
      <c r="JY634" s="156">
        <v>0.0</v>
      </c>
      <c r="JZ634" s="156">
        <v>0.0</v>
      </c>
      <c r="KA634" s="156">
        <v>0.0</v>
      </c>
      <c r="KB634" s="160">
        <v>0.0</v>
      </c>
      <c r="KC634" s="172"/>
      <c r="KD634" s="172">
        <v>1.0</v>
      </c>
      <c r="KE634" s="172"/>
      <c r="KF634" s="172">
        <v>1.0</v>
      </c>
      <c r="KG634" s="172"/>
      <c r="KH634" s="172">
        <v>1.0</v>
      </c>
      <c r="KI634" s="172"/>
      <c r="KJ634" s="172"/>
      <c r="KK634" s="172">
        <v>1.0</v>
      </c>
      <c r="KL634" s="172"/>
      <c r="KM634" s="172"/>
      <c r="KN634" s="172">
        <v>1.0</v>
      </c>
      <c r="KO634" s="172"/>
      <c r="KP634" s="172"/>
      <c r="KQ634" s="172"/>
      <c r="KR634" s="172">
        <v>1.0</v>
      </c>
      <c r="KS634" s="432"/>
      <c r="KT634" s="172">
        <v>1.0</v>
      </c>
      <c r="KU634" s="172"/>
      <c r="KV634" s="172">
        <v>1.0</v>
      </c>
      <c r="KW634" s="172"/>
      <c r="KX634" s="172"/>
      <c r="KY634" s="172"/>
      <c r="KZ634" s="172"/>
      <c r="LA634" s="172">
        <v>1.0</v>
      </c>
      <c r="LB634" s="172"/>
      <c r="LC634" s="172"/>
      <c r="LD634" s="172"/>
      <c r="LE634" s="172"/>
      <c r="LF634" s="172"/>
      <c r="LG634" s="172"/>
      <c r="LH634" s="159">
        <f t="shared" si="10"/>
        <v>7</v>
      </c>
      <c r="LI634" s="156">
        <f t="shared" si="11"/>
        <v>0</v>
      </c>
      <c r="LJ634" s="156">
        <f t="shared" si="12"/>
        <v>0</v>
      </c>
      <c r="LK634" s="156">
        <f t="shared" si="13"/>
        <v>0</v>
      </c>
      <c r="LL634" s="156">
        <f t="shared" si="14"/>
        <v>0</v>
      </c>
      <c r="LM634" s="160">
        <f t="shared" si="15"/>
        <v>0</v>
      </c>
      <c r="LW634" s="12">
        <f t="shared" ref="LW634:MQ634" si="62">IFS(TODAY()&lt;=LC$2,0,WEEKDAY(LC$2)=2,0,WEEKDAY(LC$2)=3,1,WEEKDAY(LC$2)=4,0,WEEKDAY(LC$2)=5,1,WEEKDAY(LC$2)=6,0,WEEKDAY(LC$2)=7,1,WEEKDAY(LC$2)=1,0)</f>
        <v>1</v>
      </c>
      <c r="LX634" s="12">
        <f t="shared" si="62"/>
        <v>0</v>
      </c>
      <c r="LY634" s="12">
        <f t="shared" si="62"/>
        <v>1</v>
      </c>
      <c r="LZ634" s="12">
        <f t="shared" si="62"/>
        <v>0</v>
      </c>
      <c r="MA634" s="12">
        <f t="shared" si="62"/>
        <v>0</v>
      </c>
      <c r="MB634" s="12">
        <f t="shared" si="62"/>
        <v>0</v>
      </c>
      <c r="MC634" s="12">
        <f t="shared" si="62"/>
        <v>0</v>
      </c>
      <c r="MD634" s="12">
        <f t="shared" si="62"/>
        <v>0</v>
      </c>
      <c r="ME634" s="12">
        <f t="shared" si="62"/>
        <v>0</v>
      </c>
      <c r="MF634" s="12">
        <f t="shared" si="62"/>
        <v>0</v>
      </c>
      <c r="MG634" s="12">
        <f t="shared" si="62"/>
        <v>0</v>
      </c>
      <c r="MH634" s="12">
        <f t="shared" si="62"/>
        <v>1</v>
      </c>
      <c r="MI634" s="12">
        <f t="shared" si="62"/>
        <v>0</v>
      </c>
      <c r="MJ634" s="12">
        <f t="shared" si="62"/>
        <v>1</v>
      </c>
      <c r="MK634" s="12">
        <f t="shared" si="62"/>
        <v>0</v>
      </c>
      <c r="ML634" s="12">
        <f t="shared" si="62"/>
        <v>1</v>
      </c>
      <c r="MM634" s="12">
        <f t="shared" si="62"/>
        <v>0</v>
      </c>
      <c r="MN634" s="12">
        <f t="shared" si="62"/>
        <v>0</v>
      </c>
      <c r="MO634" s="12">
        <f t="shared" si="62"/>
        <v>1</v>
      </c>
      <c r="MP634" s="12">
        <f t="shared" si="62"/>
        <v>0</v>
      </c>
      <c r="MQ634" s="12">
        <f t="shared" si="62"/>
        <v>1</v>
      </c>
      <c r="QX634" s="560">
        <v>46164.0</v>
      </c>
    </row>
    <row r="635">
      <c r="A635" s="594"/>
      <c r="B635" s="12"/>
      <c r="C635" s="12"/>
      <c r="D635" s="12"/>
      <c r="E635" s="12"/>
      <c r="F635" s="12"/>
      <c r="G635" s="12"/>
      <c r="H635" s="12"/>
      <c r="I635" s="143">
        <f t="shared" si="22"/>
        <v>-30</v>
      </c>
      <c r="J635" s="537">
        <v>46171.0</v>
      </c>
      <c r="K635" s="164" t="s">
        <v>61</v>
      </c>
      <c r="L635" s="23">
        <v>46242.0</v>
      </c>
      <c r="M635" s="86" t="s">
        <v>227</v>
      </c>
      <c r="N635" s="86">
        <v>246.0</v>
      </c>
      <c r="O635" s="86">
        <v>30.0</v>
      </c>
      <c r="U635" s="162" t="s">
        <v>3597</v>
      </c>
      <c r="V635" s="538" t="s">
        <v>3598</v>
      </c>
      <c r="W635" s="125" t="s">
        <v>3599</v>
      </c>
      <c r="X635" s="140"/>
      <c r="Y635" s="166">
        <f t="shared" si="23"/>
        <v>30</v>
      </c>
      <c r="Z635" s="26">
        <f t="shared" si="7"/>
        <v>0</v>
      </c>
      <c r="AA635" s="26">
        <f t="shared" si="8"/>
        <v>0</v>
      </c>
      <c r="AB635" s="26">
        <f t="shared" si="9"/>
        <v>0</v>
      </c>
      <c r="AC635" s="155">
        <v>0.0</v>
      </c>
      <c r="AD635" s="155">
        <v>0.0</v>
      </c>
      <c r="AE635" s="155">
        <v>0.0</v>
      </c>
      <c r="AF635" s="155">
        <v>0.0</v>
      </c>
      <c r="AG635" s="155">
        <v>0.0</v>
      </c>
      <c r="AH635" s="155">
        <v>0.0</v>
      </c>
      <c r="BN635" s="155">
        <v>0.0</v>
      </c>
      <c r="BO635" s="155">
        <v>0.0</v>
      </c>
      <c r="BP635" s="155">
        <v>0.0</v>
      </c>
      <c r="BQ635" s="155">
        <v>0.0</v>
      </c>
      <c r="BR635" s="155">
        <v>0.0</v>
      </c>
      <c r="BS635" s="155">
        <v>0.0</v>
      </c>
      <c r="CV635" s="156">
        <v>0.0</v>
      </c>
      <c r="CW635" s="156">
        <v>0.0</v>
      </c>
      <c r="CX635" s="156">
        <v>0.0</v>
      </c>
      <c r="CY635" s="156">
        <v>0.0</v>
      </c>
      <c r="CZ635" s="156">
        <v>0.0</v>
      </c>
      <c r="DA635" s="156">
        <v>0.0</v>
      </c>
      <c r="EG635" s="156">
        <v>0.0</v>
      </c>
      <c r="EH635" s="156">
        <v>0.0</v>
      </c>
      <c r="EI635" s="156">
        <v>0.0</v>
      </c>
      <c r="EJ635" s="156">
        <v>0.0</v>
      </c>
      <c r="EK635" s="156">
        <v>0.0</v>
      </c>
      <c r="EL635" s="156">
        <v>0.0</v>
      </c>
      <c r="FQ635" s="156">
        <v>1.0</v>
      </c>
      <c r="FR635" s="156">
        <v>0.0</v>
      </c>
      <c r="FS635" s="156">
        <v>0.0</v>
      </c>
      <c r="FT635" s="156">
        <v>0.0</v>
      </c>
      <c r="FU635" s="156">
        <v>0.0</v>
      </c>
      <c r="FV635" s="156">
        <v>0.0</v>
      </c>
      <c r="FW635" s="157"/>
      <c r="FX635" s="157"/>
      <c r="FY635" s="157"/>
      <c r="FZ635" s="157"/>
      <c r="GA635" s="157"/>
      <c r="GB635" s="157"/>
      <c r="GC635" s="157"/>
      <c r="GD635" s="157"/>
      <c r="GE635" s="157"/>
      <c r="GF635" s="157"/>
      <c r="GG635" s="157"/>
      <c r="GH635" s="157"/>
      <c r="GI635" s="157"/>
      <c r="GJ635" s="157"/>
      <c r="GK635" s="157"/>
      <c r="GL635" s="157"/>
      <c r="GM635" s="157"/>
      <c r="GN635" s="157"/>
      <c r="GO635" s="157"/>
      <c r="GP635" s="158"/>
      <c r="GQ635" s="157"/>
      <c r="GR635" s="157"/>
      <c r="GS635" s="157"/>
      <c r="GT635" s="157"/>
      <c r="GU635" s="157"/>
      <c r="GV635" s="157"/>
      <c r="GW635" s="157"/>
      <c r="GX635" s="157"/>
      <c r="GY635" s="177">
        <v>1.0</v>
      </c>
      <c r="GZ635" s="177">
        <v>0.0</v>
      </c>
      <c r="HA635" s="177">
        <v>0.0</v>
      </c>
      <c r="HB635" s="155">
        <v>13.0</v>
      </c>
      <c r="HC635" s="155">
        <v>0.0</v>
      </c>
      <c r="HD635" s="155">
        <v>0.0</v>
      </c>
      <c r="HE635" s="155">
        <v>0.0</v>
      </c>
      <c r="HF635" s="155">
        <v>0.0</v>
      </c>
      <c r="HG635" s="155">
        <v>0.0</v>
      </c>
      <c r="HH635" s="174">
        <v>1.0</v>
      </c>
      <c r="HI635" s="174">
        <v>0.0</v>
      </c>
      <c r="HJ635" s="174">
        <v>1.0</v>
      </c>
      <c r="HK635" s="174">
        <v>0.0</v>
      </c>
      <c r="HL635" s="174">
        <v>1.0</v>
      </c>
      <c r="HM635" s="174">
        <v>0.0</v>
      </c>
      <c r="HN635" s="174">
        <v>0.0</v>
      </c>
      <c r="HO635" s="174">
        <v>1.0</v>
      </c>
      <c r="HP635" s="174">
        <v>0.0</v>
      </c>
      <c r="HQ635" s="174">
        <v>1.0</v>
      </c>
      <c r="HR635" s="174">
        <v>0.0</v>
      </c>
      <c r="HS635" s="174">
        <v>1.0</v>
      </c>
      <c r="HT635" s="174">
        <v>0.0</v>
      </c>
      <c r="HU635" s="174">
        <v>0.0</v>
      </c>
      <c r="HV635" s="174">
        <v>1.0</v>
      </c>
      <c r="HW635" s="174">
        <v>0.0</v>
      </c>
      <c r="HX635" s="174">
        <v>1.0</v>
      </c>
      <c r="HY635" s="174">
        <v>0.0</v>
      </c>
      <c r="HZ635" s="174">
        <v>1.0</v>
      </c>
      <c r="IA635" s="174">
        <v>0.0</v>
      </c>
      <c r="IB635" s="174">
        <v>0.0</v>
      </c>
      <c r="IC635" s="174">
        <v>1.0</v>
      </c>
      <c r="ID635" s="174">
        <v>0.0</v>
      </c>
      <c r="IE635" s="174">
        <v>1.0</v>
      </c>
      <c r="IF635" s="174">
        <v>0.0</v>
      </c>
      <c r="IG635" s="174">
        <v>1.0</v>
      </c>
      <c r="IH635" s="174">
        <v>0.0</v>
      </c>
      <c r="II635" s="174">
        <v>0.0</v>
      </c>
      <c r="IJ635" s="174">
        <v>1.0</v>
      </c>
      <c r="IK635" s="174">
        <v>0.0</v>
      </c>
      <c r="IL635" s="159">
        <v>14.0</v>
      </c>
      <c r="IM635" s="156">
        <v>0.0</v>
      </c>
      <c r="IN635" s="156">
        <v>0.0</v>
      </c>
      <c r="IO635" s="156">
        <v>0.0</v>
      </c>
      <c r="IP635" s="156">
        <v>0.0</v>
      </c>
      <c r="IQ635" s="160">
        <v>0.0</v>
      </c>
      <c r="IR635" s="174">
        <v>1.0</v>
      </c>
      <c r="IS635" s="174">
        <v>0.0</v>
      </c>
      <c r="IT635" s="174">
        <v>1.0</v>
      </c>
      <c r="IU635" s="174">
        <v>0.0</v>
      </c>
      <c r="IV635" s="174">
        <v>0.0</v>
      </c>
      <c r="IW635" s="174">
        <v>1.0</v>
      </c>
      <c r="IX635" s="174">
        <v>0.0</v>
      </c>
      <c r="IY635" s="174">
        <v>1.0</v>
      </c>
      <c r="IZ635" s="174">
        <v>0.0</v>
      </c>
      <c r="JA635" s="174"/>
      <c r="JB635" s="175">
        <v>1.0</v>
      </c>
      <c r="JC635" s="174">
        <v>0.0</v>
      </c>
      <c r="JD635" s="174">
        <v>1.0</v>
      </c>
      <c r="JE635" s="174">
        <v>0.0</v>
      </c>
      <c r="JF635" s="174">
        <v>1.0</v>
      </c>
      <c r="JG635" s="174">
        <v>0.0</v>
      </c>
      <c r="JH635" s="177">
        <v>1.0</v>
      </c>
      <c r="JI635" s="174"/>
      <c r="JJ635" s="174"/>
      <c r="JK635" s="175">
        <v>1.0</v>
      </c>
      <c r="JL635" s="174"/>
      <c r="JM635" s="175">
        <v>1.0</v>
      </c>
      <c r="JN635" s="174"/>
      <c r="JO635" s="175">
        <v>1.0</v>
      </c>
      <c r="JP635" s="174"/>
      <c r="JQ635" s="174"/>
      <c r="JR635" s="175">
        <v>1.0</v>
      </c>
      <c r="JS635" s="174"/>
      <c r="JT635" s="175">
        <v>1.0</v>
      </c>
      <c r="JU635" s="174"/>
      <c r="JV635" s="175">
        <v>1.0</v>
      </c>
      <c r="JW635" s="159">
        <v>2.0</v>
      </c>
      <c r="JX635" s="156">
        <v>0.0</v>
      </c>
      <c r="JY635" s="156">
        <v>0.0</v>
      </c>
      <c r="JZ635" s="156">
        <v>0.0</v>
      </c>
      <c r="KA635" s="156">
        <v>0.0</v>
      </c>
      <c r="KB635" s="160">
        <v>0.0</v>
      </c>
      <c r="KC635" s="174"/>
      <c r="KD635" s="174"/>
      <c r="KE635" s="175">
        <v>1.0</v>
      </c>
      <c r="KF635" s="174"/>
      <c r="KG635" s="175">
        <v>1.0</v>
      </c>
      <c r="KH635" s="174"/>
      <c r="KI635" s="174"/>
      <c r="KJ635" s="174"/>
      <c r="KK635" s="174"/>
      <c r="KL635" s="174"/>
      <c r="KM635" s="174"/>
      <c r="KN635" s="174"/>
      <c r="KO635" s="174"/>
      <c r="KP635" s="174"/>
      <c r="KQ635" s="174"/>
      <c r="KR635" s="174"/>
      <c r="KS635" s="472"/>
      <c r="KT635" s="174"/>
      <c r="KU635" s="174"/>
      <c r="KV635" s="174"/>
      <c r="KW635" s="174"/>
      <c r="KX635" s="174"/>
      <c r="KY635" s="174"/>
      <c r="KZ635" s="174"/>
      <c r="LA635" s="174"/>
      <c r="LB635" s="174"/>
      <c r="LC635" s="174"/>
      <c r="LD635" s="174"/>
      <c r="LE635" s="174"/>
      <c r="LF635" s="174"/>
      <c r="LG635" s="174"/>
      <c r="LH635" s="159">
        <f t="shared" si="10"/>
        <v>0</v>
      </c>
      <c r="LI635" s="156">
        <f t="shared" si="11"/>
        <v>0</v>
      </c>
      <c r="LJ635" s="156">
        <f t="shared" si="12"/>
        <v>0</v>
      </c>
      <c r="LK635" s="156">
        <f t="shared" si="13"/>
        <v>0</v>
      </c>
      <c r="LL635" s="156">
        <f t="shared" si="14"/>
        <v>0</v>
      </c>
      <c r="LM635" s="160">
        <f t="shared" si="15"/>
        <v>0</v>
      </c>
      <c r="QX635" s="560">
        <v>46165.0</v>
      </c>
    </row>
    <row r="636">
      <c r="A636" s="12"/>
      <c r="B636" s="12"/>
      <c r="C636" s="12"/>
      <c r="D636" s="12"/>
      <c r="E636" s="12"/>
      <c r="F636" s="12"/>
      <c r="G636" s="12"/>
      <c r="H636" s="12"/>
      <c r="I636" s="143">
        <f t="shared" si="22"/>
        <v>-28</v>
      </c>
      <c r="J636" s="537">
        <v>46171.0</v>
      </c>
      <c r="K636" s="294" t="s">
        <v>48</v>
      </c>
      <c r="L636" s="543" t="s">
        <v>3485</v>
      </c>
      <c r="M636" s="86" t="s">
        <v>3600</v>
      </c>
      <c r="N636" s="86">
        <v>246.0</v>
      </c>
      <c r="O636" s="86">
        <v>30.0</v>
      </c>
      <c r="U636" s="162" t="s">
        <v>3590</v>
      </c>
      <c r="V636" s="538" t="s">
        <v>3568</v>
      </c>
      <c r="W636" s="185" t="s">
        <v>3601</v>
      </c>
      <c r="X636" s="140"/>
      <c r="Y636" s="166">
        <f t="shared" si="23"/>
        <v>28</v>
      </c>
      <c r="Z636" s="26">
        <f t="shared" si="7"/>
        <v>0</v>
      </c>
      <c r="AA636" s="26">
        <f t="shared" si="8"/>
        <v>2</v>
      </c>
      <c r="AB636" s="26">
        <f t="shared" si="9"/>
        <v>0</v>
      </c>
      <c r="AC636" s="155">
        <v>0.0</v>
      </c>
      <c r="AD636" s="155">
        <v>0.0</v>
      </c>
      <c r="AE636" s="155">
        <v>0.0</v>
      </c>
      <c r="AF636" s="155">
        <v>0.0</v>
      </c>
      <c r="AG636" s="155">
        <v>0.0</v>
      </c>
      <c r="AH636" s="155">
        <v>0.0</v>
      </c>
      <c r="BN636" s="155">
        <v>0.0</v>
      </c>
      <c r="BO636" s="155">
        <v>0.0</v>
      </c>
      <c r="BP636" s="155">
        <v>0.0</v>
      </c>
      <c r="BQ636" s="155">
        <v>0.0</v>
      </c>
      <c r="BR636" s="155">
        <v>0.0</v>
      </c>
      <c r="BS636" s="155">
        <v>0.0</v>
      </c>
      <c r="CV636" s="156">
        <v>0.0</v>
      </c>
      <c r="CW636" s="156">
        <v>0.0</v>
      </c>
      <c r="CX636" s="156">
        <v>0.0</v>
      </c>
      <c r="CY636" s="156">
        <v>0.0</v>
      </c>
      <c r="CZ636" s="156">
        <v>0.0</v>
      </c>
      <c r="DA636" s="156">
        <v>0.0</v>
      </c>
      <c r="EG636" s="156">
        <v>0.0</v>
      </c>
      <c r="EH636" s="156">
        <v>0.0</v>
      </c>
      <c r="EI636" s="156">
        <v>0.0</v>
      </c>
      <c r="EJ636" s="156">
        <v>0.0</v>
      </c>
      <c r="EK636" s="156">
        <v>0.0</v>
      </c>
      <c r="EL636" s="156">
        <v>0.0</v>
      </c>
      <c r="FQ636" s="156">
        <v>1.0</v>
      </c>
      <c r="FR636" s="156">
        <v>0.0</v>
      </c>
      <c r="FS636" s="156">
        <v>0.0</v>
      </c>
      <c r="FT636" s="156">
        <v>0.0</v>
      </c>
      <c r="FU636" s="156">
        <v>0.0</v>
      </c>
      <c r="FV636" s="156">
        <v>0.0</v>
      </c>
      <c r="FW636" s="157"/>
      <c r="FX636" s="157"/>
      <c r="FY636" s="157"/>
      <c r="FZ636" s="157"/>
      <c r="GA636" s="157"/>
      <c r="GB636" s="157"/>
      <c r="GC636" s="157"/>
      <c r="GD636" s="157"/>
      <c r="GE636" s="157"/>
      <c r="GF636" s="157"/>
      <c r="GG636" s="157"/>
      <c r="GH636" s="157"/>
      <c r="GI636" s="157"/>
      <c r="GJ636" s="157"/>
      <c r="GK636" s="157"/>
      <c r="GL636" s="157"/>
      <c r="GM636" s="157"/>
      <c r="GN636" s="157"/>
      <c r="GO636" s="157"/>
      <c r="GP636" s="158"/>
      <c r="GQ636" s="157"/>
      <c r="GR636" s="157"/>
      <c r="GS636" s="157"/>
      <c r="GT636" s="157"/>
      <c r="GU636" s="157"/>
      <c r="GV636" s="157"/>
      <c r="GW636" s="157"/>
      <c r="GX636" s="157"/>
      <c r="GY636" s="177">
        <v>1.0</v>
      </c>
      <c r="GZ636" s="177">
        <v>0.0</v>
      </c>
      <c r="HA636" s="177">
        <v>0.0</v>
      </c>
      <c r="HB636" s="155">
        <v>12.0</v>
      </c>
      <c r="HC636" s="155">
        <v>0.0</v>
      </c>
      <c r="HD636" s="155">
        <v>0.0</v>
      </c>
      <c r="HE636" s="155">
        <v>0.0</v>
      </c>
      <c r="HF636" s="155">
        <v>0.0</v>
      </c>
      <c r="HG636" s="155">
        <v>0.0</v>
      </c>
      <c r="HH636" s="175">
        <v>1.0</v>
      </c>
      <c r="HI636" s="174">
        <v>0.0</v>
      </c>
      <c r="HJ636" s="175">
        <v>0.0</v>
      </c>
      <c r="HK636" s="174">
        <v>0.0</v>
      </c>
      <c r="HL636" s="175">
        <v>0.0</v>
      </c>
      <c r="HM636" s="175">
        <v>1.0</v>
      </c>
      <c r="HN636" s="174">
        <v>0.0</v>
      </c>
      <c r="HO636" s="175">
        <v>0.0</v>
      </c>
      <c r="HP636" s="175">
        <v>1.0</v>
      </c>
      <c r="HQ636" s="175">
        <v>0.0</v>
      </c>
      <c r="HR636" s="175">
        <v>1.0</v>
      </c>
      <c r="HS636" s="174"/>
      <c r="HT636" s="175">
        <v>1.0</v>
      </c>
      <c r="HU636" s="174"/>
      <c r="HV636" s="174"/>
      <c r="HW636" s="175">
        <v>1.0</v>
      </c>
      <c r="HX636" s="174"/>
      <c r="HY636" s="175">
        <v>1.0</v>
      </c>
      <c r="HZ636" s="174"/>
      <c r="IA636" s="175">
        <v>1.0</v>
      </c>
      <c r="IB636" s="174"/>
      <c r="IC636" s="174"/>
      <c r="ID636" s="174"/>
      <c r="IE636" s="174"/>
      <c r="IF636" s="174"/>
      <c r="IG636" s="175">
        <v>2.0</v>
      </c>
      <c r="IH636" s="175">
        <v>1.0</v>
      </c>
      <c r="II636" s="174">
        <v>0.0</v>
      </c>
      <c r="IJ636" s="174"/>
      <c r="IK636" s="175">
        <v>1.0</v>
      </c>
      <c r="IL636" s="159">
        <v>3.0</v>
      </c>
      <c r="IM636" s="156">
        <v>0.0</v>
      </c>
      <c r="IN636" s="156">
        <v>0.0</v>
      </c>
      <c r="IO636" s="156">
        <v>0.0</v>
      </c>
      <c r="IP636" s="156">
        <v>0.0</v>
      </c>
      <c r="IQ636" s="160">
        <v>0.0</v>
      </c>
      <c r="IR636" s="174"/>
      <c r="IS636" s="174">
        <v>0.0</v>
      </c>
      <c r="IT636" s="174"/>
      <c r="IU636" s="175">
        <v>1.0</v>
      </c>
      <c r="IV636" s="174">
        <v>0.0</v>
      </c>
      <c r="IW636" s="174"/>
      <c r="IX636" s="174">
        <v>0.0</v>
      </c>
      <c r="IY636" s="174"/>
      <c r="IZ636" s="174">
        <v>0.0</v>
      </c>
      <c r="JA636" s="174"/>
      <c r="JB636" s="174">
        <v>0.0</v>
      </c>
      <c r="JC636" s="174">
        <v>0.0</v>
      </c>
      <c r="JD636" s="174"/>
      <c r="JE636" s="174">
        <v>0.0</v>
      </c>
      <c r="JF636" s="174"/>
      <c r="JG636" s="174">
        <v>0.0</v>
      </c>
      <c r="JH636" s="177"/>
      <c r="JI636" s="175">
        <v>1.0</v>
      </c>
      <c r="JJ636" s="174"/>
      <c r="JK636" s="174"/>
      <c r="JL636" s="174"/>
      <c r="JM636" s="174"/>
      <c r="JN636" s="174"/>
      <c r="JO636" s="174"/>
      <c r="JP636" s="175">
        <v>1.0</v>
      </c>
      <c r="JQ636" s="174"/>
      <c r="JR636" s="174"/>
      <c r="JS636" s="174"/>
      <c r="JT636" s="174"/>
      <c r="JU636" s="174"/>
      <c r="JV636" s="174"/>
      <c r="JW636" s="159">
        <v>8.0</v>
      </c>
      <c r="JX636" s="156">
        <v>0.0</v>
      </c>
      <c r="JY636" s="156">
        <v>0.0</v>
      </c>
      <c r="JZ636" s="156">
        <v>2.0</v>
      </c>
      <c r="KA636" s="156">
        <v>0.0</v>
      </c>
      <c r="KB636" s="160">
        <v>0.0</v>
      </c>
      <c r="KC636" s="175">
        <v>1.0</v>
      </c>
      <c r="KD636" s="174"/>
      <c r="KE636" s="174"/>
      <c r="KF636" s="174"/>
      <c r="KG636" s="174"/>
      <c r="KH636" s="174"/>
      <c r="KI636" s="175">
        <v>1.0</v>
      </c>
      <c r="KJ636" s="174"/>
      <c r="KK636" s="174"/>
      <c r="KL636" s="174"/>
      <c r="KM636" s="174"/>
      <c r="KN636" s="175" t="s">
        <v>947</v>
      </c>
      <c r="KO636" s="174"/>
      <c r="KP636" s="174"/>
      <c r="KQ636" s="175" t="s">
        <v>947</v>
      </c>
      <c r="KR636" s="174"/>
      <c r="KS636" s="472"/>
      <c r="KT636" s="174"/>
      <c r="KU636" s="175">
        <v>1.0</v>
      </c>
      <c r="KV636" s="174"/>
      <c r="KW636" s="175">
        <v>1.0</v>
      </c>
      <c r="KX636" s="174"/>
      <c r="KY636" s="174"/>
      <c r="KZ636" s="175">
        <v>1.0</v>
      </c>
      <c r="LA636" s="174"/>
      <c r="LB636" s="174"/>
      <c r="LC636" s="174"/>
      <c r="LD636" s="175">
        <v>1.0</v>
      </c>
      <c r="LE636" s="174"/>
      <c r="LF636" s="174"/>
      <c r="LG636" s="174"/>
      <c r="LH636" s="159">
        <f t="shared" si="10"/>
        <v>4</v>
      </c>
      <c r="LI636" s="156">
        <f t="shared" si="11"/>
        <v>0</v>
      </c>
      <c r="LJ636" s="156">
        <f t="shared" si="12"/>
        <v>0</v>
      </c>
      <c r="LK636" s="156">
        <f t="shared" si="13"/>
        <v>0</v>
      </c>
      <c r="LL636" s="156">
        <f t="shared" si="14"/>
        <v>0</v>
      </c>
      <c r="LM636" s="160">
        <f t="shared" si="15"/>
        <v>0</v>
      </c>
      <c r="LN636" s="174"/>
      <c r="LO636" s="174"/>
      <c r="LP636" s="174"/>
      <c r="LQ636" s="174"/>
      <c r="LR636" s="174"/>
      <c r="LS636" s="174"/>
      <c r="LT636" s="174"/>
      <c r="LU636" s="174"/>
      <c r="LV636" s="187">
        <v>1.0</v>
      </c>
      <c r="LW636" s="174">
        <f t="shared" ref="LW636:MQ636" si="63">IFS(TODAY()&lt;=LW$2,0,WEEKDAY(LW$2)=2,1,WEEKDAY(LW$2)=3,0,WEEKDAY(LW$2)=4,1,WEEKDAY(LW$2)=5,0,WEEKDAY(LW$2)=6,1,WEEKDAY(LW$2)=7,0,WEEKDAY(LW$2)=1,0)</f>
        <v>0</v>
      </c>
      <c r="LX636" s="174">
        <f t="shared" si="63"/>
        <v>1</v>
      </c>
      <c r="LY636" s="174">
        <f t="shared" si="63"/>
        <v>0</v>
      </c>
      <c r="LZ636" s="174">
        <f t="shared" si="63"/>
        <v>0</v>
      </c>
      <c r="MA636" s="174">
        <f t="shared" si="63"/>
        <v>1</v>
      </c>
      <c r="MB636" s="174">
        <f t="shared" si="63"/>
        <v>0</v>
      </c>
      <c r="MC636" s="174">
        <f t="shared" si="63"/>
        <v>1</v>
      </c>
      <c r="MD636" s="174">
        <f t="shared" si="63"/>
        <v>0</v>
      </c>
      <c r="ME636" s="174">
        <f t="shared" si="63"/>
        <v>0</v>
      </c>
      <c r="MF636" s="174">
        <f t="shared" si="63"/>
        <v>0</v>
      </c>
      <c r="MG636" s="174">
        <f t="shared" si="63"/>
        <v>0</v>
      </c>
      <c r="MH636" s="174">
        <f t="shared" si="63"/>
        <v>0</v>
      </c>
      <c r="MI636" s="174">
        <f t="shared" si="63"/>
        <v>0</v>
      </c>
      <c r="MJ636" s="174">
        <f t="shared" si="63"/>
        <v>0</v>
      </c>
      <c r="MK636" s="174">
        <f t="shared" si="63"/>
        <v>0</v>
      </c>
      <c r="ML636" s="174">
        <f t="shared" si="63"/>
        <v>0</v>
      </c>
      <c r="MM636" s="174">
        <f t="shared" si="63"/>
        <v>0</v>
      </c>
      <c r="MN636" s="174">
        <f t="shared" si="63"/>
        <v>0</v>
      </c>
      <c r="MO636" s="174">
        <f t="shared" si="63"/>
        <v>0</v>
      </c>
      <c r="MP636" s="174">
        <f t="shared" si="63"/>
        <v>0</v>
      </c>
      <c r="MQ636" s="174">
        <f t="shared" si="63"/>
        <v>0</v>
      </c>
      <c r="QX636" s="560">
        <v>46166.0</v>
      </c>
    </row>
    <row r="637">
      <c r="A637" s="58"/>
      <c r="B637" s="58"/>
      <c r="C637" s="12"/>
      <c r="D637" s="12"/>
      <c r="E637" s="12"/>
      <c r="F637" s="12"/>
      <c r="G637" s="12"/>
      <c r="H637" s="12"/>
      <c r="I637" s="143">
        <f t="shared" si="22"/>
        <v>-10</v>
      </c>
      <c r="J637" s="537">
        <v>46174.0</v>
      </c>
      <c r="K637" s="294" t="s">
        <v>53</v>
      </c>
      <c r="L637" s="23">
        <v>46245.0</v>
      </c>
      <c r="M637" s="86" t="s">
        <v>107</v>
      </c>
      <c r="N637" s="86">
        <v>246.0</v>
      </c>
      <c r="O637" s="86">
        <v>30.0</v>
      </c>
      <c r="U637" s="162" t="s">
        <v>3583</v>
      </c>
      <c r="V637" s="538" t="s">
        <v>3292</v>
      </c>
      <c r="W637" s="125" t="s">
        <v>3602</v>
      </c>
      <c r="X637" s="140"/>
      <c r="Y637" s="166">
        <f t="shared" si="23"/>
        <v>10</v>
      </c>
      <c r="Z637" s="26">
        <f t="shared" si="7"/>
        <v>0</v>
      </c>
      <c r="AA637" s="26">
        <f t="shared" si="8"/>
        <v>0</v>
      </c>
      <c r="AB637" s="26">
        <f t="shared" si="9"/>
        <v>0</v>
      </c>
      <c r="AC637" s="155">
        <v>0.0</v>
      </c>
      <c r="AD637" s="155">
        <v>0.0</v>
      </c>
      <c r="AE637" s="155">
        <v>0.0</v>
      </c>
      <c r="AF637" s="155">
        <v>0.0</v>
      </c>
      <c r="AG637" s="155">
        <v>0.0</v>
      </c>
      <c r="AH637" s="155">
        <v>0.0</v>
      </c>
      <c r="BN637" s="155">
        <v>0.0</v>
      </c>
      <c r="BO637" s="155">
        <v>0.0</v>
      </c>
      <c r="BP637" s="155">
        <v>0.0</v>
      </c>
      <c r="BQ637" s="155">
        <v>0.0</v>
      </c>
      <c r="BR637" s="155">
        <v>0.0</v>
      </c>
      <c r="BS637" s="155">
        <v>0.0</v>
      </c>
      <c r="CV637" s="156">
        <v>0.0</v>
      </c>
      <c r="CW637" s="156">
        <v>0.0</v>
      </c>
      <c r="CX637" s="156">
        <v>0.0</v>
      </c>
      <c r="CY637" s="156">
        <v>0.0</v>
      </c>
      <c r="CZ637" s="156">
        <v>0.0</v>
      </c>
      <c r="DA637" s="156">
        <v>0.0</v>
      </c>
      <c r="EG637" s="156">
        <v>0.0</v>
      </c>
      <c r="EH637" s="156">
        <v>0.0</v>
      </c>
      <c r="EI637" s="156">
        <v>0.0</v>
      </c>
      <c r="EJ637" s="156">
        <v>0.0</v>
      </c>
      <c r="EK637" s="156">
        <v>0.0</v>
      </c>
      <c r="EL637" s="156">
        <v>0.0</v>
      </c>
      <c r="FQ637" s="156">
        <v>0.0</v>
      </c>
      <c r="FR637" s="156">
        <v>0.0</v>
      </c>
      <c r="FS637" s="156">
        <v>0.0</v>
      </c>
      <c r="FT637" s="156">
        <v>0.0</v>
      </c>
      <c r="FU637" s="156">
        <v>0.0</v>
      </c>
      <c r="FV637" s="156">
        <v>0.0</v>
      </c>
      <c r="FW637" s="157"/>
      <c r="FX637" s="157"/>
      <c r="FY637" s="157"/>
      <c r="FZ637" s="157"/>
      <c r="GA637" s="157"/>
      <c r="GB637" s="157"/>
      <c r="GC637" s="157"/>
      <c r="GD637" s="157"/>
      <c r="GE637" s="157"/>
      <c r="GF637" s="157"/>
      <c r="GG637" s="157"/>
      <c r="GH637" s="157"/>
      <c r="GI637" s="157"/>
      <c r="GJ637" s="157"/>
      <c r="GK637" s="157"/>
      <c r="GL637" s="157"/>
      <c r="GM637" s="157"/>
      <c r="GN637" s="157"/>
      <c r="GO637" s="157"/>
      <c r="GP637" s="158"/>
      <c r="GQ637" s="157"/>
      <c r="GR637" s="157"/>
      <c r="GS637" s="157"/>
      <c r="GT637" s="157"/>
      <c r="GU637" s="157"/>
      <c r="GV637" s="157"/>
      <c r="GW637" s="157"/>
      <c r="GX637" s="157"/>
      <c r="GY637" s="157"/>
      <c r="GZ637" s="157"/>
      <c r="HA637" s="157"/>
      <c r="HB637" s="155">
        <v>10.0</v>
      </c>
      <c r="HC637" s="155">
        <v>0.0</v>
      </c>
      <c r="HD637" s="155">
        <v>0.0</v>
      </c>
      <c r="HE637" s="155">
        <v>0.0</v>
      </c>
      <c r="HF637" s="155">
        <v>0.0</v>
      </c>
      <c r="HG637" s="155">
        <v>0.0</v>
      </c>
      <c r="HH637" s="175">
        <v>0.0</v>
      </c>
      <c r="HI637" s="174">
        <v>0.0</v>
      </c>
      <c r="HJ637" s="174">
        <v>1.0</v>
      </c>
      <c r="HK637" s="174">
        <v>0.0</v>
      </c>
      <c r="HL637" s="175">
        <v>0.0</v>
      </c>
      <c r="HM637" s="174">
        <v>0.0</v>
      </c>
      <c r="HN637" s="174">
        <v>0.0</v>
      </c>
      <c r="HO637" s="175">
        <v>0.0</v>
      </c>
      <c r="HP637" s="175">
        <v>1.0</v>
      </c>
      <c r="HQ637" s="175">
        <v>0.0</v>
      </c>
      <c r="HR637" s="174">
        <v>0.0</v>
      </c>
      <c r="HS637" s="174">
        <v>1.0</v>
      </c>
      <c r="HT637" s="174">
        <v>0.0</v>
      </c>
      <c r="HU637" s="174">
        <v>0.0</v>
      </c>
      <c r="HV637" s="174">
        <v>1.0</v>
      </c>
      <c r="HW637" s="174">
        <v>0.0</v>
      </c>
      <c r="HX637" s="174">
        <v>1.0</v>
      </c>
      <c r="HY637" s="174">
        <v>0.0</v>
      </c>
      <c r="HZ637" s="174">
        <v>1.0</v>
      </c>
      <c r="IA637" s="174">
        <v>0.0</v>
      </c>
      <c r="IB637" s="174">
        <v>0.0</v>
      </c>
      <c r="IC637" s="174">
        <v>1.0</v>
      </c>
      <c r="ID637" s="174">
        <v>0.0</v>
      </c>
      <c r="IE637" s="174">
        <v>1.0</v>
      </c>
      <c r="IF637" s="174">
        <v>0.0</v>
      </c>
      <c r="IG637" s="174">
        <v>1.0</v>
      </c>
      <c r="IH637" s="174">
        <v>0.0</v>
      </c>
      <c r="II637" s="174">
        <v>0.0</v>
      </c>
      <c r="IJ637" s="174">
        <v>1.0</v>
      </c>
      <c r="IK637" s="174">
        <v>0.0</v>
      </c>
      <c r="IL637" s="159">
        <v>0.0</v>
      </c>
      <c r="IM637" s="156">
        <v>0.0</v>
      </c>
      <c r="IN637" s="156">
        <v>0.0</v>
      </c>
      <c r="IO637" s="156">
        <v>0.0</v>
      </c>
      <c r="IP637" s="156">
        <v>0.0</v>
      </c>
      <c r="IQ637" s="160">
        <v>0.0</v>
      </c>
      <c r="IR637" s="174"/>
      <c r="IS637" s="174">
        <v>0.0</v>
      </c>
      <c r="IT637" s="174"/>
      <c r="IU637" s="174">
        <v>0.0</v>
      </c>
      <c r="IV637" s="174">
        <v>0.0</v>
      </c>
      <c r="IW637" s="174"/>
      <c r="IX637" s="174">
        <v>0.0</v>
      </c>
      <c r="IY637" s="174"/>
      <c r="IZ637" s="174">
        <v>0.0</v>
      </c>
      <c r="JA637" s="174"/>
      <c r="JB637" s="174">
        <v>0.0</v>
      </c>
      <c r="JC637" s="174">
        <v>0.0</v>
      </c>
      <c r="JD637" s="174"/>
      <c r="JE637" s="174">
        <v>0.0</v>
      </c>
      <c r="JF637" s="174"/>
      <c r="JG637" s="174">
        <v>0.0</v>
      </c>
      <c r="JH637" s="177"/>
      <c r="JI637" s="174"/>
      <c r="JJ637" s="174"/>
      <c r="JK637" s="174"/>
      <c r="JL637" s="174"/>
      <c r="JM637" s="174"/>
      <c r="JN637" s="174"/>
      <c r="JO637" s="174"/>
      <c r="JP637" s="174"/>
      <c r="JQ637" s="174"/>
      <c r="JR637" s="174"/>
      <c r="JS637" s="174"/>
      <c r="JT637" s="174"/>
      <c r="JU637" s="174"/>
      <c r="JV637" s="174"/>
      <c r="JW637" s="159">
        <v>0.0</v>
      </c>
      <c r="JX637" s="156">
        <v>0.0</v>
      </c>
      <c r="JY637" s="156">
        <v>0.0</v>
      </c>
      <c r="JZ637" s="156">
        <v>0.0</v>
      </c>
      <c r="KA637" s="156">
        <v>0.0</v>
      </c>
      <c r="KB637" s="160">
        <v>0.0</v>
      </c>
      <c r="LH637" s="159">
        <f t="shared" si="10"/>
        <v>0</v>
      </c>
      <c r="LI637" s="156">
        <f t="shared" si="11"/>
        <v>0</v>
      </c>
      <c r="LJ637" s="156">
        <f t="shared" si="12"/>
        <v>0</v>
      </c>
      <c r="LK637" s="156">
        <f t="shared" si="13"/>
        <v>0</v>
      </c>
      <c r="LL637" s="156">
        <f t="shared" si="14"/>
        <v>0</v>
      </c>
      <c r="LM637" s="160">
        <f t="shared" si="15"/>
        <v>0</v>
      </c>
      <c r="QX637" s="560">
        <v>46168.0</v>
      </c>
    </row>
    <row r="638">
      <c r="A638" s="12"/>
      <c r="B638" s="12"/>
      <c r="C638" s="12"/>
      <c r="D638" s="12"/>
      <c r="E638" s="12"/>
      <c r="F638" s="12"/>
      <c r="G638" s="12"/>
      <c r="H638" s="12"/>
      <c r="I638" s="143">
        <f t="shared" si="22"/>
        <v>-8</v>
      </c>
      <c r="J638" s="537">
        <v>46175.0</v>
      </c>
      <c r="K638" s="164" t="s">
        <v>61</v>
      </c>
      <c r="L638" s="537">
        <v>46213.0</v>
      </c>
      <c r="M638" s="86" t="s">
        <v>107</v>
      </c>
      <c r="N638" s="86">
        <v>357.0</v>
      </c>
      <c r="O638" s="86">
        <v>30.0</v>
      </c>
      <c r="U638" s="162" t="s">
        <v>3603</v>
      </c>
      <c r="V638" s="538" t="s">
        <v>3604</v>
      </c>
      <c r="W638" s="125" t="s">
        <v>3605</v>
      </c>
      <c r="X638" s="140"/>
      <c r="Y638" s="166">
        <f t="shared" si="23"/>
        <v>8</v>
      </c>
      <c r="Z638" s="26">
        <f t="shared" si="7"/>
        <v>0</v>
      </c>
      <c r="AA638" s="26">
        <f t="shared" si="8"/>
        <v>4</v>
      </c>
      <c r="AB638" s="26">
        <f t="shared" si="9"/>
        <v>0</v>
      </c>
      <c r="AC638" s="155">
        <v>0.0</v>
      </c>
      <c r="AD638" s="155">
        <v>0.0</v>
      </c>
      <c r="AE638" s="155">
        <v>0.0</v>
      </c>
      <c r="AF638" s="155">
        <v>0.0</v>
      </c>
      <c r="AG638" s="155">
        <v>0.0</v>
      </c>
      <c r="AH638" s="155">
        <v>0.0</v>
      </c>
      <c r="BN638" s="155">
        <v>0.0</v>
      </c>
      <c r="BO638" s="155">
        <v>0.0</v>
      </c>
      <c r="BP638" s="155">
        <v>0.0</v>
      </c>
      <c r="BQ638" s="155">
        <v>0.0</v>
      </c>
      <c r="BR638" s="155">
        <v>0.0</v>
      </c>
      <c r="BS638" s="155">
        <v>0.0</v>
      </c>
      <c r="CV638" s="156">
        <v>0.0</v>
      </c>
      <c r="CW638" s="156">
        <v>0.0</v>
      </c>
      <c r="CX638" s="156">
        <v>0.0</v>
      </c>
      <c r="CY638" s="156">
        <v>0.0</v>
      </c>
      <c r="CZ638" s="156">
        <v>0.0</v>
      </c>
      <c r="DA638" s="156">
        <v>0.0</v>
      </c>
      <c r="EG638" s="156">
        <v>0.0</v>
      </c>
      <c r="EH638" s="156">
        <v>0.0</v>
      </c>
      <c r="EI638" s="156">
        <v>0.0</v>
      </c>
      <c r="EJ638" s="156">
        <v>0.0</v>
      </c>
      <c r="EK638" s="156">
        <v>0.0</v>
      </c>
      <c r="EL638" s="156">
        <v>0.0</v>
      </c>
      <c r="FQ638" s="156">
        <v>0.0</v>
      </c>
      <c r="FR638" s="156">
        <v>0.0</v>
      </c>
      <c r="FS638" s="156">
        <v>0.0</v>
      </c>
      <c r="FT638" s="156">
        <v>0.0</v>
      </c>
      <c r="FU638" s="156">
        <v>0.0</v>
      </c>
      <c r="FV638" s="156">
        <v>0.0</v>
      </c>
      <c r="FW638" s="157"/>
      <c r="FX638" s="157"/>
      <c r="FY638" s="157"/>
      <c r="FZ638" s="157"/>
      <c r="GA638" s="157"/>
      <c r="GB638" s="157"/>
      <c r="GC638" s="157"/>
      <c r="GD638" s="157"/>
      <c r="GE638" s="157"/>
      <c r="GF638" s="157"/>
      <c r="GG638" s="157"/>
      <c r="GH638" s="157"/>
      <c r="GI638" s="157"/>
      <c r="GJ638" s="157"/>
      <c r="GK638" s="157"/>
      <c r="GL638" s="157"/>
      <c r="GM638" s="157"/>
      <c r="GN638" s="157"/>
      <c r="GO638" s="157"/>
      <c r="GP638" s="158"/>
      <c r="GQ638" s="157"/>
      <c r="GR638" s="157"/>
      <c r="GS638" s="157"/>
      <c r="GT638" s="157"/>
      <c r="GU638" s="157"/>
      <c r="GV638" s="157"/>
      <c r="GW638" s="157"/>
      <c r="GX638" s="157"/>
      <c r="GY638" s="157"/>
      <c r="GZ638" s="157"/>
      <c r="HA638" s="157"/>
      <c r="HB638" s="155">
        <v>8.0</v>
      </c>
      <c r="HC638" s="155">
        <v>0.0</v>
      </c>
      <c r="HD638" s="155">
        <v>0.0</v>
      </c>
      <c r="HE638" s="155">
        <v>4.0</v>
      </c>
      <c r="HF638" s="155">
        <v>0.0</v>
      </c>
      <c r="HG638" s="155">
        <v>0.0</v>
      </c>
      <c r="HH638" s="172">
        <v>0.0</v>
      </c>
      <c r="HI638" s="172">
        <v>1.0</v>
      </c>
      <c r="HJ638" s="172">
        <v>0.0</v>
      </c>
      <c r="HK638" s="172">
        <v>1.0</v>
      </c>
      <c r="HL638" s="172">
        <v>0.0</v>
      </c>
      <c r="HM638" s="172" t="s">
        <v>947</v>
      </c>
      <c r="HN638" s="172">
        <v>0.0</v>
      </c>
      <c r="HO638" s="172">
        <v>0.0</v>
      </c>
      <c r="HP638" s="172"/>
      <c r="HQ638" s="172">
        <v>0.0</v>
      </c>
      <c r="HR638" s="172" t="s">
        <v>947</v>
      </c>
      <c r="HS638" s="172"/>
      <c r="HT638" s="172"/>
      <c r="HU638" s="172"/>
      <c r="HV638" s="172"/>
      <c r="HW638" s="172"/>
      <c r="HX638" s="172"/>
      <c r="HY638" s="172">
        <v>1.0</v>
      </c>
      <c r="HZ638" s="172"/>
      <c r="IA638" s="172"/>
      <c r="IB638" s="172"/>
      <c r="IC638" s="172"/>
      <c r="ID638" s="172"/>
      <c r="IE638" s="172"/>
      <c r="IF638" s="172" t="s">
        <v>947</v>
      </c>
      <c r="IG638" s="172">
        <v>0.0</v>
      </c>
      <c r="IH638" s="172">
        <v>1.0</v>
      </c>
      <c r="II638" s="172">
        <v>0.0</v>
      </c>
      <c r="IJ638" s="172">
        <v>0.0</v>
      </c>
      <c r="IK638" s="172" t="s">
        <v>947</v>
      </c>
      <c r="IL638" s="159">
        <v>0.0</v>
      </c>
      <c r="IM638" s="156">
        <v>0.0</v>
      </c>
      <c r="IN638" s="156">
        <v>0.0</v>
      </c>
      <c r="IO638" s="156">
        <v>0.0</v>
      </c>
      <c r="IP638" s="156">
        <v>0.0</v>
      </c>
      <c r="IQ638" s="160">
        <v>0.0</v>
      </c>
      <c r="IR638" s="172"/>
      <c r="IS638" s="172"/>
      <c r="IT638" s="172"/>
      <c r="IU638" s="172"/>
      <c r="IV638" s="172"/>
      <c r="IW638" s="172"/>
      <c r="IX638" s="172"/>
      <c r="IY638" s="172"/>
      <c r="IZ638" s="172"/>
      <c r="JA638" s="172"/>
      <c r="JB638" s="172"/>
      <c r="JC638" s="172"/>
      <c r="JD638" s="172"/>
      <c r="JE638" s="172"/>
      <c r="JF638" s="172"/>
      <c r="JG638" s="172"/>
      <c r="JH638" s="170"/>
      <c r="JI638" s="172"/>
      <c r="JJ638" s="172"/>
      <c r="JK638" s="172"/>
      <c r="JL638" s="172"/>
      <c r="JM638" s="172"/>
      <c r="JN638" s="172"/>
      <c r="JO638" s="172"/>
      <c r="JP638" s="172"/>
      <c r="JQ638" s="172"/>
      <c r="JR638" s="172"/>
      <c r="JS638" s="172"/>
      <c r="JT638" s="172"/>
      <c r="JU638" s="172"/>
      <c r="JV638" s="172"/>
      <c r="JW638" s="159">
        <v>0.0</v>
      </c>
      <c r="JX638" s="156">
        <v>0.0</v>
      </c>
      <c r="JY638" s="156">
        <v>0.0</v>
      </c>
      <c r="JZ638" s="156">
        <v>0.0</v>
      </c>
      <c r="KA638" s="156">
        <v>0.0</v>
      </c>
      <c r="KB638" s="160">
        <v>0.0</v>
      </c>
      <c r="LH638" s="159">
        <f t="shared" si="10"/>
        <v>0</v>
      </c>
      <c r="LI638" s="156">
        <f t="shared" si="11"/>
        <v>0</v>
      </c>
      <c r="LJ638" s="156">
        <f t="shared" si="12"/>
        <v>0</v>
      </c>
      <c r="LK638" s="156">
        <f t="shared" si="13"/>
        <v>0</v>
      </c>
      <c r="LL638" s="156">
        <f t="shared" si="14"/>
        <v>0</v>
      </c>
      <c r="LM638" s="160">
        <f t="shared" si="15"/>
        <v>0</v>
      </c>
      <c r="QX638" s="560">
        <v>46169.0</v>
      </c>
    </row>
    <row r="639">
      <c r="A639" s="12"/>
      <c r="B639" s="12"/>
      <c r="C639" s="12"/>
      <c r="D639" s="12"/>
      <c r="E639" s="58"/>
      <c r="F639" s="12"/>
      <c r="G639" s="12"/>
      <c r="H639" s="12"/>
      <c r="I639" s="143">
        <f t="shared" si="22"/>
        <v>-22</v>
      </c>
      <c r="J639" s="537">
        <v>46174.0</v>
      </c>
      <c r="K639" s="294" t="s">
        <v>61</v>
      </c>
      <c r="L639" s="23">
        <v>46220.0</v>
      </c>
      <c r="M639" s="86" t="s">
        <v>400</v>
      </c>
      <c r="N639" s="45">
        <v>246.0</v>
      </c>
      <c r="O639" s="45">
        <v>30.0</v>
      </c>
      <c r="U639" s="162" t="s">
        <v>3606</v>
      </c>
      <c r="V639" s="538" t="s">
        <v>3607</v>
      </c>
      <c r="W639" s="125" t="s">
        <v>3608</v>
      </c>
      <c r="X639" s="140"/>
      <c r="Y639" s="166">
        <f t="shared" si="23"/>
        <v>22</v>
      </c>
      <c r="Z639" s="26">
        <f t="shared" si="7"/>
        <v>0</v>
      </c>
      <c r="AA639" s="26">
        <f t="shared" si="8"/>
        <v>0</v>
      </c>
      <c r="AB639" s="26">
        <f t="shared" si="9"/>
        <v>0</v>
      </c>
      <c r="AC639" s="155">
        <v>0.0</v>
      </c>
      <c r="AD639" s="155">
        <v>0.0</v>
      </c>
      <c r="AE639" s="155">
        <v>0.0</v>
      </c>
      <c r="AF639" s="155">
        <v>0.0</v>
      </c>
      <c r="AG639" s="155">
        <v>0.0</v>
      </c>
      <c r="AH639" s="155">
        <v>0.0</v>
      </c>
      <c r="BN639" s="155">
        <v>0.0</v>
      </c>
      <c r="BO639" s="155">
        <v>0.0</v>
      </c>
      <c r="BP639" s="155">
        <v>0.0</v>
      </c>
      <c r="BQ639" s="155">
        <v>0.0</v>
      </c>
      <c r="BR639" s="155">
        <v>0.0</v>
      </c>
      <c r="BS639" s="155">
        <v>0.0</v>
      </c>
      <c r="CV639" s="156">
        <v>0.0</v>
      </c>
      <c r="CW639" s="156">
        <v>0.0</v>
      </c>
      <c r="CX639" s="156">
        <v>0.0</v>
      </c>
      <c r="CY639" s="156">
        <v>0.0</v>
      </c>
      <c r="CZ639" s="156">
        <v>0.0</v>
      </c>
      <c r="DA639" s="156">
        <v>0.0</v>
      </c>
      <c r="EG639" s="156">
        <v>0.0</v>
      </c>
      <c r="EH639" s="156">
        <v>0.0</v>
      </c>
      <c r="EI639" s="156">
        <v>0.0</v>
      </c>
      <c r="EJ639" s="156">
        <v>0.0</v>
      </c>
      <c r="EK639" s="156">
        <v>0.0</v>
      </c>
      <c r="EL639" s="156">
        <v>0.0</v>
      </c>
      <c r="FQ639" s="156">
        <v>0.0</v>
      </c>
      <c r="FR639" s="156">
        <v>0.0</v>
      </c>
      <c r="FS639" s="156">
        <v>0.0</v>
      </c>
      <c r="FT639" s="156">
        <v>0.0</v>
      </c>
      <c r="FU639" s="156">
        <v>0.0</v>
      </c>
      <c r="FV639" s="156">
        <v>0.0</v>
      </c>
      <c r="FW639" s="157"/>
      <c r="FX639" s="157"/>
      <c r="FY639" s="157"/>
      <c r="FZ639" s="157"/>
      <c r="GA639" s="157"/>
      <c r="GB639" s="157"/>
      <c r="GC639" s="157"/>
      <c r="GD639" s="157"/>
      <c r="GE639" s="157"/>
      <c r="GF639" s="157"/>
      <c r="GG639" s="157"/>
      <c r="GH639" s="157"/>
      <c r="GI639" s="157"/>
      <c r="GJ639" s="157"/>
      <c r="GK639" s="157"/>
      <c r="GL639" s="157"/>
      <c r="GM639" s="157"/>
      <c r="GN639" s="157"/>
      <c r="GO639" s="157"/>
      <c r="GP639" s="158"/>
      <c r="GQ639" s="157"/>
      <c r="GR639" s="157"/>
      <c r="GS639" s="157"/>
      <c r="GT639" s="157"/>
      <c r="GU639" s="157"/>
      <c r="GV639" s="157"/>
      <c r="GW639" s="157"/>
      <c r="GX639" s="157"/>
      <c r="GY639" s="157"/>
      <c r="GZ639" s="157"/>
      <c r="HA639" s="157"/>
      <c r="HB639" s="155">
        <v>14.0</v>
      </c>
      <c r="HC639" s="155">
        <v>0.0</v>
      </c>
      <c r="HD639" s="155">
        <v>0.0</v>
      </c>
      <c r="HE639" s="155">
        <v>0.0</v>
      </c>
      <c r="HF639" s="155">
        <v>0.0</v>
      </c>
      <c r="HG639" s="155">
        <v>0.0</v>
      </c>
      <c r="HH639" s="174">
        <v>1.0</v>
      </c>
      <c r="HI639" s="174">
        <v>0.0</v>
      </c>
      <c r="HJ639" s="174">
        <v>1.0</v>
      </c>
      <c r="HK639" s="174">
        <v>0.0</v>
      </c>
      <c r="HL639" s="174">
        <v>1.0</v>
      </c>
      <c r="HM639" s="174">
        <v>0.0</v>
      </c>
      <c r="HN639" s="174">
        <v>0.0</v>
      </c>
      <c r="HO639" s="174">
        <v>1.0</v>
      </c>
      <c r="HP639" s="174">
        <v>0.0</v>
      </c>
      <c r="HQ639" s="174">
        <v>1.0</v>
      </c>
      <c r="HR639" s="174">
        <v>0.0</v>
      </c>
      <c r="HS639" s="174">
        <v>1.0</v>
      </c>
      <c r="HT639" s="174">
        <v>0.0</v>
      </c>
      <c r="HU639" s="174">
        <v>0.0</v>
      </c>
      <c r="HV639" s="174"/>
      <c r="HW639" s="175">
        <v>1.0</v>
      </c>
      <c r="HX639" s="174">
        <v>1.0</v>
      </c>
      <c r="HY639" s="174">
        <v>0.0</v>
      </c>
      <c r="HZ639" s="174">
        <v>1.0</v>
      </c>
      <c r="IA639" s="174">
        <v>0.0</v>
      </c>
      <c r="IB639" s="174">
        <v>0.0</v>
      </c>
      <c r="IC639" s="174">
        <v>1.0</v>
      </c>
      <c r="ID639" s="174">
        <v>0.0</v>
      </c>
      <c r="IE639" s="174"/>
      <c r="IF639" s="174">
        <v>0.0</v>
      </c>
      <c r="IG639" s="175">
        <v>2.0</v>
      </c>
      <c r="IH639" s="174">
        <v>0.0</v>
      </c>
      <c r="II639" s="174">
        <v>0.0</v>
      </c>
      <c r="IJ639" s="175">
        <v>2.0</v>
      </c>
      <c r="IK639" s="174">
        <v>0.0</v>
      </c>
      <c r="IL639" s="159">
        <v>8.0</v>
      </c>
      <c r="IM639" s="156">
        <v>0.0</v>
      </c>
      <c r="IN639" s="156">
        <v>0.0</v>
      </c>
      <c r="IO639" s="156">
        <v>0.0</v>
      </c>
      <c r="IP639" s="156">
        <v>0.0</v>
      </c>
      <c r="IQ639" s="160">
        <v>0.0</v>
      </c>
      <c r="IR639" s="174"/>
      <c r="IS639" s="174">
        <v>0.0</v>
      </c>
      <c r="IT639" s="174">
        <v>1.0</v>
      </c>
      <c r="IU639" s="175">
        <v>1.0</v>
      </c>
      <c r="IV639" s="174">
        <v>0.0</v>
      </c>
      <c r="IW639" s="174">
        <v>1.0</v>
      </c>
      <c r="IX639" s="175">
        <v>1.0</v>
      </c>
      <c r="IY639" s="174"/>
      <c r="IZ639" s="174">
        <v>0.0</v>
      </c>
      <c r="JA639" s="174">
        <v>1.0</v>
      </c>
      <c r="JB639" s="175">
        <v>1.0</v>
      </c>
      <c r="JC639" s="174">
        <v>0.0</v>
      </c>
      <c r="JD639" s="175">
        <v>1.0</v>
      </c>
      <c r="JE639" s="175">
        <v>1.0</v>
      </c>
      <c r="JF639" s="174"/>
      <c r="JG639" s="174">
        <v>0.0</v>
      </c>
      <c r="JH639" s="177"/>
      <c r="JI639" s="175"/>
      <c r="JJ639" s="174"/>
      <c r="JK639" s="174"/>
      <c r="JL639" s="174"/>
      <c r="JM639" s="174"/>
      <c r="JN639" s="174"/>
      <c r="JO639" s="174"/>
      <c r="JP639" s="174"/>
      <c r="JQ639" s="174"/>
      <c r="JR639" s="174"/>
      <c r="JS639" s="174"/>
      <c r="JT639" s="174"/>
      <c r="JU639" s="174"/>
      <c r="JV639" s="174"/>
      <c r="JW639" s="159">
        <v>0.0</v>
      </c>
      <c r="JX639" s="156">
        <v>0.0</v>
      </c>
      <c r="JY639" s="156">
        <v>0.0</v>
      </c>
      <c r="JZ639" s="156">
        <v>0.0</v>
      </c>
      <c r="KA639" s="156">
        <v>0.0</v>
      </c>
      <c r="KB639" s="160">
        <v>0.0</v>
      </c>
      <c r="KC639" s="174"/>
      <c r="KD639" s="174"/>
      <c r="KE639" s="174"/>
      <c r="KF639" s="174"/>
      <c r="KG639" s="174"/>
      <c r="KH639" s="174"/>
      <c r="KI639" s="174"/>
      <c r="KJ639" s="174"/>
      <c r="KK639" s="174"/>
      <c r="KL639" s="174"/>
      <c r="KM639" s="174"/>
      <c r="KN639" s="174"/>
      <c r="KO639" s="174"/>
      <c r="KP639" s="174"/>
      <c r="KQ639" s="174"/>
      <c r="KR639" s="174"/>
      <c r="KS639" s="472"/>
      <c r="KT639" s="174"/>
      <c r="KU639" s="174"/>
      <c r="KV639" s="174"/>
      <c r="KW639" s="174"/>
      <c r="KX639" s="174"/>
      <c r="KY639" s="174"/>
      <c r="KZ639" s="174"/>
      <c r="LA639" s="174"/>
      <c r="LB639" s="174"/>
      <c r="LC639" s="174"/>
      <c r="LD639" s="174"/>
      <c r="LE639" s="174"/>
      <c r="LF639" s="174"/>
      <c r="LG639" s="174"/>
      <c r="LH639" s="159">
        <f t="shared" si="10"/>
        <v>0</v>
      </c>
      <c r="LI639" s="156">
        <f t="shared" si="11"/>
        <v>0</v>
      </c>
      <c r="LJ639" s="156">
        <f t="shared" si="12"/>
        <v>0</v>
      </c>
      <c r="LK639" s="156">
        <f t="shared" si="13"/>
        <v>0</v>
      </c>
      <c r="LL639" s="156">
        <f t="shared" si="14"/>
        <v>0</v>
      </c>
      <c r="LM639" s="160">
        <f t="shared" si="15"/>
        <v>0</v>
      </c>
      <c r="QX639" s="560">
        <v>46170.0</v>
      </c>
    </row>
    <row r="640">
      <c r="A640" s="12"/>
      <c r="B640" s="12"/>
      <c r="C640" s="12"/>
      <c r="D640" s="12"/>
      <c r="E640" s="12"/>
      <c r="F640" s="126"/>
      <c r="G640" s="12"/>
      <c r="H640" s="12"/>
      <c r="I640" s="143">
        <f t="shared" si="22"/>
        <v>-24</v>
      </c>
      <c r="J640" s="537">
        <v>46179.0</v>
      </c>
      <c r="K640" s="294" t="s">
        <v>48</v>
      </c>
      <c r="L640" s="108"/>
      <c r="M640" s="86" t="s">
        <v>3609</v>
      </c>
      <c r="N640" s="86">
        <v>47.0</v>
      </c>
      <c r="O640" s="45">
        <v>30.0</v>
      </c>
      <c r="U640" s="162" t="s">
        <v>845</v>
      </c>
      <c r="V640" s="538" t="s">
        <v>2952</v>
      </c>
      <c r="W640" s="189" t="s">
        <v>3610</v>
      </c>
      <c r="X640" s="140"/>
      <c r="Y640" s="166">
        <f t="shared" si="23"/>
        <v>24</v>
      </c>
      <c r="Z640" s="26">
        <f t="shared" si="7"/>
        <v>0</v>
      </c>
      <c r="AA640" s="26">
        <f t="shared" si="8"/>
        <v>0</v>
      </c>
      <c r="AB640" s="26">
        <f t="shared" si="9"/>
        <v>0</v>
      </c>
      <c r="AC640" s="155">
        <v>0.0</v>
      </c>
      <c r="AD640" s="155">
        <v>0.0</v>
      </c>
      <c r="AE640" s="155">
        <v>0.0</v>
      </c>
      <c r="AF640" s="155">
        <v>0.0</v>
      </c>
      <c r="AG640" s="155">
        <v>0.0</v>
      </c>
      <c r="AH640" s="155">
        <v>0.0</v>
      </c>
      <c r="BN640" s="155">
        <v>0.0</v>
      </c>
      <c r="BO640" s="155">
        <v>0.0</v>
      </c>
      <c r="BP640" s="155">
        <v>0.0</v>
      </c>
      <c r="BQ640" s="155">
        <v>0.0</v>
      </c>
      <c r="BR640" s="155">
        <v>0.0</v>
      </c>
      <c r="BS640" s="155">
        <v>0.0</v>
      </c>
      <c r="CV640" s="156">
        <v>0.0</v>
      </c>
      <c r="CW640" s="156">
        <v>0.0</v>
      </c>
      <c r="CX640" s="156">
        <v>0.0</v>
      </c>
      <c r="CY640" s="156">
        <v>0.0</v>
      </c>
      <c r="CZ640" s="156">
        <v>0.0</v>
      </c>
      <c r="DA640" s="156">
        <v>0.0</v>
      </c>
      <c r="EG640" s="156">
        <v>0.0</v>
      </c>
      <c r="EH640" s="156">
        <v>0.0</v>
      </c>
      <c r="EI640" s="156">
        <v>0.0</v>
      </c>
      <c r="EJ640" s="156">
        <v>0.0</v>
      </c>
      <c r="EK640" s="156">
        <v>0.0</v>
      </c>
      <c r="EL640" s="156">
        <v>0.0</v>
      </c>
      <c r="FQ640" s="156">
        <v>0.0</v>
      </c>
      <c r="FR640" s="156">
        <v>0.0</v>
      </c>
      <c r="FS640" s="156">
        <v>0.0</v>
      </c>
      <c r="FT640" s="156">
        <v>0.0</v>
      </c>
      <c r="FU640" s="156">
        <v>0.0</v>
      </c>
      <c r="FV640" s="156">
        <v>0.0</v>
      </c>
      <c r="FW640" s="157"/>
      <c r="FX640" s="157"/>
      <c r="FY640" s="157"/>
      <c r="FZ640" s="157"/>
      <c r="GA640" s="157"/>
      <c r="GB640" s="157"/>
      <c r="GC640" s="157"/>
      <c r="GD640" s="157"/>
      <c r="GE640" s="157"/>
      <c r="GF640" s="157"/>
      <c r="GG640" s="157"/>
      <c r="GH640" s="157"/>
      <c r="GI640" s="157"/>
      <c r="GJ640" s="157"/>
      <c r="GK640" s="157"/>
      <c r="GL640" s="157"/>
      <c r="GM640" s="157"/>
      <c r="GN640" s="157"/>
      <c r="GO640" s="157"/>
      <c r="GP640" s="158"/>
      <c r="GQ640" s="157"/>
      <c r="GR640" s="157"/>
      <c r="GS640" s="157"/>
      <c r="GT640" s="157"/>
      <c r="GU640" s="157"/>
      <c r="GV640" s="157"/>
      <c r="GW640" s="157"/>
      <c r="GX640" s="157"/>
      <c r="GY640" s="157"/>
      <c r="GZ640" s="157"/>
      <c r="HA640" s="157"/>
      <c r="HB640" s="155">
        <v>6.0</v>
      </c>
      <c r="HC640" s="155">
        <v>0.0</v>
      </c>
      <c r="HD640" s="155">
        <v>0.0</v>
      </c>
      <c r="HE640" s="155">
        <v>0.0</v>
      </c>
      <c r="HF640" s="155">
        <v>0.0</v>
      </c>
      <c r="HG640" s="155">
        <v>0.0</v>
      </c>
      <c r="HM640" s="174">
        <v>1.0</v>
      </c>
      <c r="HN640" s="174"/>
      <c r="HO640" s="174">
        <v>0.0</v>
      </c>
      <c r="HP640" s="174">
        <v>0.0</v>
      </c>
      <c r="HQ640" s="174">
        <v>1.0</v>
      </c>
      <c r="HR640" s="174"/>
      <c r="HS640" s="174"/>
      <c r="HT640" s="174"/>
      <c r="HU640" s="174"/>
      <c r="HV640" s="174"/>
      <c r="HW640" s="174"/>
      <c r="HX640" s="174">
        <v>1.0</v>
      </c>
      <c r="HY640" s="174">
        <v>0.0</v>
      </c>
      <c r="HZ640" s="174">
        <v>0.0</v>
      </c>
      <c r="IA640" s="174">
        <v>1.0</v>
      </c>
      <c r="IB640" s="174">
        <v>0.0</v>
      </c>
      <c r="IC640" s="174">
        <v>0.0</v>
      </c>
      <c r="ID640" s="174">
        <v>0.0</v>
      </c>
      <c r="IE640" s="174">
        <v>1.0</v>
      </c>
      <c r="IF640" s="174">
        <v>0.0</v>
      </c>
      <c r="IG640" s="174">
        <v>0.0</v>
      </c>
      <c r="IH640" s="174">
        <v>1.0</v>
      </c>
      <c r="II640" s="174"/>
      <c r="IJ640" s="174"/>
      <c r="IK640" s="174"/>
      <c r="IL640" s="159">
        <v>8.0</v>
      </c>
      <c r="IM640" s="156">
        <v>0.0</v>
      </c>
      <c r="IN640" s="156">
        <v>0.0</v>
      </c>
      <c r="IO640" s="156">
        <v>0.0</v>
      </c>
      <c r="IP640" s="156">
        <v>0.0</v>
      </c>
      <c r="IQ640" s="160">
        <v>0.0</v>
      </c>
      <c r="IR640" s="86">
        <v>1.0</v>
      </c>
      <c r="IU640" s="86">
        <v>1.0</v>
      </c>
      <c r="IY640" s="86">
        <v>1.0</v>
      </c>
      <c r="JB640" s="86">
        <v>1.0</v>
      </c>
      <c r="JF640" s="86">
        <v>1.0</v>
      </c>
      <c r="JH640" s="25"/>
      <c r="JI640" s="86">
        <v>1.0</v>
      </c>
      <c r="JM640" s="86">
        <v>1.0</v>
      </c>
      <c r="JP640" s="86">
        <v>1.0</v>
      </c>
      <c r="JW640" s="159">
        <v>8.0</v>
      </c>
      <c r="JX640" s="156">
        <v>0.0</v>
      </c>
      <c r="JY640" s="156">
        <v>0.0</v>
      </c>
      <c r="JZ640" s="156">
        <v>0.0</v>
      </c>
      <c r="KA640" s="156">
        <v>0.0</v>
      </c>
      <c r="KB640" s="160">
        <v>0.0</v>
      </c>
      <c r="KC640" s="86">
        <v>1.0</v>
      </c>
      <c r="KJ640" s="86">
        <v>1.0</v>
      </c>
      <c r="KN640" s="86">
        <v>1.0</v>
      </c>
      <c r="KQ640" s="86">
        <v>1.0</v>
      </c>
      <c r="KS640" s="178"/>
      <c r="KU640" s="86">
        <v>1.0</v>
      </c>
      <c r="KX640" s="86">
        <v>1.0</v>
      </c>
      <c r="LB640" s="86">
        <v>1.0</v>
      </c>
      <c r="LE640" s="86">
        <v>1.0</v>
      </c>
      <c r="LH640" s="159">
        <f t="shared" si="10"/>
        <v>2</v>
      </c>
      <c r="LI640" s="156">
        <f t="shared" si="11"/>
        <v>0</v>
      </c>
      <c r="LJ640" s="156">
        <f t="shared" si="12"/>
        <v>0</v>
      </c>
      <c r="LK640" s="156">
        <f t="shared" si="13"/>
        <v>0</v>
      </c>
      <c r="LL640" s="156">
        <f t="shared" si="14"/>
        <v>0</v>
      </c>
      <c r="LM640" s="160">
        <f t="shared" si="15"/>
        <v>0</v>
      </c>
      <c r="LR640" s="189">
        <v>1.0</v>
      </c>
      <c r="LV640" s="189">
        <v>1.0</v>
      </c>
      <c r="QX640" s="560">
        <v>46171.0</v>
      </c>
    </row>
    <row r="641">
      <c r="A641" s="12"/>
      <c r="B641" s="12"/>
      <c r="C641" s="12"/>
      <c r="D641" s="12"/>
      <c r="E641" s="12"/>
      <c r="F641" s="12"/>
      <c r="G641" s="12"/>
      <c r="H641" s="12"/>
      <c r="I641" s="143">
        <f t="shared" si="22"/>
        <v>-21</v>
      </c>
      <c r="J641" s="537">
        <v>46178.0</v>
      </c>
      <c r="K641" s="294" t="s">
        <v>48</v>
      </c>
      <c r="L641" s="108"/>
      <c r="M641" s="86" t="s">
        <v>400</v>
      </c>
      <c r="N641" s="86">
        <v>26.0</v>
      </c>
      <c r="O641" s="45">
        <v>30.0</v>
      </c>
      <c r="U641" s="162" t="s">
        <v>3611</v>
      </c>
      <c r="V641" s="538" t="s">
        <v>3505</v>
      </c>
      <c r="W641" s="185" t="s">
        <v>3612</v>
      </c>
      <c r="X641" s="140"/>
      <c r="Y641" s="166">
        <f t="shared" si="23"/>
        <v>21</v>
      </c>
      <c r="Z641" s="26">
        <f t="shared" si="7"/>
        <v>0</v>
      </c>
      <c r="AA641" s="26">
        <f t="shared" si="8"/>
        <v>0</v>
      </c>
      <c r="AB641" s="26">
        <f t="shared" si="9"/>
        <v>0</v>
      </c>
      <c r="AC641" s="155">
        <v>0.0</v>
      </c>
      <c r="AD641" s="155">
        <v>0.0</v>
      </c>
      <c r="AE641" s="155">
        <v>0.0</v>
      </c>
      <c r="AF641" s="155">
        <v>0.0</v>
      </c>
      <c r="AG641" s="155">
        <v>0.0</v>
      </c>
      <c r="AH641" s="155">
        <v>0.0</v>
      </c>
      <c r="BN641" s="155">
        <v>0.0</v>
      </c>
      <c r="BO641" s="155">
        <v>0.0</v>
      </c>
      <c r="BP641" s="155">
        <v>0.0</v>
      </c>
      <c r="BQ641" s="155">
        <v>0.0</v>
      </c>
      <c r="BR641" s="155">
        <v>0.0</v>
      </c>
      <c r="BS641" s="155">
        <v>0.0</v>
      </c>
      <c r="CV641" s="156">
        <v>0.0</v>
      </c>
      <c r="CW641" s="156">
        <v>0.0</v>
      </c>
      <c r="CX641" s="156">
        <v>0.0</v>
      </c>
      <c r="CY641" s="156">
        <v>0.0</v>
      </c>
      <c r="CZ641" s="156">
        <v>0.0</v>
      </c>
      <c r="DA641" s="156">
        <v>0.0</v>
      </c>
      <c r="EG641" s="156">
        <v>0.0</v>
      </c>
      <c r="EH641" s="156">
        <v>0.0</v>
      </c>
      <c r="EI641" s="156">
        <v>0.0</v>
      </c>
      <c r="EJ641" s="156">
        <v>0.0</v>
      </c>
      <c r="EK641" s="156">
        <v>0.0</v>
      </c>
      <c r="EL641" s="156">
        <v>0.0</v>
      </c>
      <c r="FQ641" s="156">
        <v>0.0</v>
      </c>
      <c r="FR641" s="156">
        <v>0.0</v>
      </c>
      <c r="FS641" s="156">
        <v>0.0</v>
      </c>
      <c r="FT641" s="156">
        <v>0.0</v>
      </c>
      <c r="FU641" s="156">
        <v>0.0</v>
      </c>
      <c r="FV641" s="156">
        <v>0.0</v>
      </c>
      <c r="FW641" s="157"/>
      <c r="FX641" s="157"/>
      <c r="FY641" s="157"/>
      <c r="FZ641" s="157"/>
      <c r="GA641" s="157"/>
      <c r="GB641" s="157"/>
      <c r="GC641" s="157"/>
      <c r="GD641" s="157"/>
      <c r="GE641" s="157"/>
      <c r="GF641" s="157"/>
      <c r="GG641" s="157"/>
      <c r="GH641" s="157"/>
      <c r="GI641" s="157"/>
      <c r="GJ641" s="157"/>
      <c r="GK641" s="157"/>
      <c r="GL641" s="157"/>
      <c r="GM641" s="157"/>
      <c r="GN641" s="157"/>
      <c r="GO641" s="157"/>
      <c r="GP641" s="158"/>
      <c r="GQ641" s="157"/>
      <c r="GR641" s="157"/>
      <c r="GS641" s="157"/>
      <c r="GT641" s="157"/>
      <c r="GU641" s="157"/>
      <c r="GV641" s="157"/>
      <c r="GW641" s="157"/>
      <c r="GX641" s="157"/>
      <c r="GY641" s="157"/>
      <c r="GZ641" s="157"/>
      <c r="HA641" s="157"/>
      <c r="HB641" s="155">
        <v>7.0</v>
      </c>
      <c r="HC641" s="155">
        <v>0.0</v>
      </c>
      <c r="HD641" s="155">
        <v>0.0</v>
      </c>
      <c r="HE641" s="155">
        <v>0.0</v>
      </c>
      <c r="HF641" s="155">
        <v>0.0</v>
      </c>
      <c r="HG641" s="155">
        <v>0.0</v>
      </c>
      <c r="HL641" s="174">
        <v>1.0</v>
      </c>
      <c r="HM641" s="174">
        <v>0.0</v>
      </c>
      <c r="HN641" s="174">
        <v>0.0</v>
      </c>
      <c r="HO641" s="174">
        <v>1.0</v>
      </c>
      <c r="HP641" s="174"/>
      <c r="HQ641" s="174"/>
      <c r="HR641" s="174"/>
      <c r="HS641" s="174"/>
      <c r="HT641" s="174"/>
      <c r="HU641" s="174"/>
      <c r="HV641" s="174">
        <v>1.0</v>
      </c>
      <c r="HW641" s="174">
        <v>0.0</v>
      </c>
      <c r="HX641" s="174">
        <v>0.0</v>
      </c>
      <c r="HY641" s="174">
        <v>0.0</v>
      </c>
      <c r="HZ641" s="174"/>
      <c r="IA641" s="174">
        <v>0.0</v>
      </c>
      <c r="IB641" s="175">
        <v>1.0</v>
      </c>
      <c r="IC641" s="174"/>
      <c r="ID641" s="174">
        <v>0.0</v>
      </c>
      <c r="IE641" s="174">
        <v>0.0</v>
      </c>
      <c r="IF641" s="174">
        <v>0.0</v>
      </c>
      <c r="IG641" s="174">
        <v>1.0</v>
      </c>
      <c r="IH641" s="174">
        <v>0.0</v>
      </c>
      <c r="II641" s="174">
        <v>0.0</v>
      </c>
      <c r="IJ641" s="174">
        <v>1.0</v>
      </c>
      <c r="IK641" s="175">
        <v>1.0</v>
      </c>
      <c r="IL641" s="159">
        <v>6.0</v>
      </c>
      <c r="IM641" s="156">
        <v>0.0</v>
      </c>
      <c r="IN641" s="156">
        <v>0.0</v>
      </c>
      <c r="IO641" s="156">
        <v>0.0</v>
      </c>
      <c r="IP641" s="156">
        <v>0.0</v>
      </c>
      <c r="IQ641" s="160">
        <v>0.0</v>
      </c>
      <c r="IW641" s="86">
        <v>1.0</v>
      </c>
      <c r="JA641" s="86">
        <v>1.0</v>
      </c>
      <c r="JH641" s="162">
        <v>1.0</v>
      </c>
      <c r="JK641" s="86">
        <v>1.0</v>
      </c>
      <c r="JR641" s="86">
        <v>1.0</v>
      </c>
      <c r="JV641" s="86">
        <v>1.0</v>
      </c>
      <c r="JW641" s="159">
        <v>6.0</v>
      </c>
      <c r="JX641" s="156">
        <v>0.0</v>
      </c>
      <c r="JY641" s="156">
        <v>0.0</v>
      </c>
      <c r="JZ641" s="156">
        <v>0.0</v>
      </c>
      <c r="KA641" s="156">
        <v>0.0</v>
      </c>
      <c r="KB641" s="160">
        <v>0.0</v>
      </c>
      <c r="KL641" s="86">
        <v>1.0</v>
      </c>
      <c r="KN641" s="86">
        <v>1.0</v>
      </c>
      <c r="KS641" s="178"/>
      <c r="KU641" s="86">
        <v>1.0</v>
      </c>
      <c r="KW641" s="86">
        <v>1.0</v>
      </c>
      <c r="LB641" s="86">
        <v>1.0</v>
      </c>
      <c r="LD641" s="86">
        <v>1.0</v>
      </c>
      <c r="LH641" s="159">
        <f t="shared" si="10"/>
        <v>2</v>
      </c>
      <c r="LI641" s="156">
        <f t="shared" si="11"/>
        <v>0</v>
      </c>
      <c r="LJ641" s="156">
        <f t="shared" si="12"/>
        <v>0</v>
      </c>
      <c r="LK641" s="156">
        <f t="shared" si="13"/>
        <v>0</v>
      </c>
      <c r="LL641" s="156">
        <f t="shared" si="14"/>
        <v>0</v>
      </c>
      <c r="LM641" s="160">
        <f t="shared" si="15"/>
        <v>0</v>
      </c>
      <c r="LQ641" s="189">
        <v>1.0</v>
      </c>
      <c r="LV641" s="189">
        <v>1.0</v>
      </c>
      <c r="QX641" s="560">
        <v>46172.0</v>
      </c>
    </row>
    <row r="642">
      <c r="A642" s="12"/>
      <c r="B642" s="12"/>
      <c r="C642" s="12"/>
      <c r="D642" s="12"/>
      <c r="E642" s="58"/>
      <c r="F642" s="12"/>
      <c r="G642" s="12"/>
      <c r="H642" s="12"/>
      <c r="I642" s="143">
        <f t="shared" si="22"/>
        <v>0</v>
      </c>
      <c r="J642" s="108"/>
      <c r="K642" s="527" t="s">
        <v>42</v>
      </c>
      <c r="L642" s="595"/>
      <c r="M642" s="596" t="s">
        <v>107</v>
      </c>
      <c r="N642" s="597">
        <v>246.0</v>
      </c>
      <c r="O642" s="596">
        <v>60.0</v>
      </c>
      <c r="P642" s="598"/>
      <c r="Q642" s="598"/>
      <c r="R642" s="598"/>
      <c r="S642" s="598"/>
      <c r="T642" s="598"/>
      <c r="U642" s="598"/>
      <c r="V642" s="599"/>
      <c r="W642" s="600"/>
      <c r="X642" s="140"/>
      <c r="Y642" s="166">
        <f t="shared" si="23"/>
        <v>0</v>
      </c>
      <c r="Z642" s="26">
        <f t="shared" si="7"/>
        <v>0</v>
      </c>
      <c r="AA642" s="26">
        <f t="shared" si="8"/>
        <v>0</v>
      </c>
      <c r="AB642" s="26">
        <f t="shared" si="9"/>
        <v>0</v>
      </c>
      <c r="AC642" s="155">
        <v>0.0</v>
      </c>
      <c r="AD642" s="155">
        <v>0.0</v>
      </c>
      <c r="AE642" s="155">
        <v>0.0</v>
      </c>
      <c r="AF642" s="155">
        <v>0.0</v>
      </c>
      <c r="AG642" s="155">
        <v>0.0</v>
      </c>
      <c r="AH642" s="155">
        <v>0.0</v>
      </c>
      <c r="BN642" s="155">
        <v>0.0</v>
      </c>
      <c r="BO642" s="155">
        <v>0.0</v>
      </c>
      <c r="BP642" s="155">
        <v>0.0</v>
      </c>
      <c r="BQ642" s="155">
        <v>0.0</v>
      </c>
      <c r="BR642" s="155">
        <v>0.0</v>
      </c>
      <c r="BS642" s="155">
        <v>0.0</v>
      </c>
      <c r="CV642" s="156">
        <v>0.0</v>
      </c>
      <c r="CW642" s="156">
        <v>0.0</v>
      </c>
      <c r="CX642" s="156">
        <v>0.0</v>
      </c>
      <c r="CY642" s="156">
        <v>0.0</v>
      </c>
      <c r="CZ642" s="156">
        <v>0.0</v>
      </c>
      <c r="DA642" s="156">
        <v>0.0</v>
      </c>
      <c r="EG642" s="156">
        <v>0.0</v>
      </c>
      <c r="EH642" s="156">
        <v>0.0</v>
      </c>
      <c r="EI642" s="156">
        <v>0.0</v>
      </c>
      <c r="EJ642" s="156">
        <v>0.0</v>
      </c>
      <c r="EK642" s="156">
        <v>0.0</v>
      </c>
      <c r="EL642" s="156">
        <v>0.0</v>
      </c>
      <c r="FQ642" s="156">
        <v>0.0</v>
      </c>
      <c r="FR642" s="156">
        <v>0.0</v>
      </c>
      <c r="FS642" s="156">
        <v>0.0</v>
      </c>
      <c r="FT642" s="156">
        <v>0.0</v>
      </c>
      <c r="FU642" s="156">
        <v>0.0</v>
      </c>
      <c r="FV642" s="156">
        <v>0.0</v>
      </c>
      <c r="FW642" s="157"/>
      <c r="FX642" s="157"/>
      <c r="FY642" s="157"/>
      <c r="FZ642" s="157"/>
      <c r="GA642" s="157"/>
      <c r="GB642" s="157"/>
      <c r="GC642" s="157"/>
      <c r="GD642" s="157"/>
      <c r="GE642" s="157"/>
      <c r="GF642" s="157"/>
      <c r="GG642" s="157"/>
      <c r="GH642" s="157"/>
      <c r="GI642" s="157"/>
      <c r="GJ642" s="157"/>
      <c r="GK642" s="157"/>
      <c r="GL642" s="157"/>
      <c r="GM642" s="157"/>
      <c r="GN642" s="157"/>
      <c r="GO642" s="157"/>
      <c r="GP642" s="158"/>
      <c r="GQ642" s="157"/>
      <c r="GR642" s="157"/>
      <c r="GS642" s="157"/>
      <c r="GT642" s="157"/>
      <c r="GU642" s="157"/>
      <c r="GV642" s="157"/>
      <c r="GW642" s="157"/>
      <c r="GX642" s="157"/>
      <c r="GY642" s="157"/>
      <c r="GZ642" s="157"/>
      <c r="HA642" s="157"/>
      <c r="HB642" s="155">
        <v>0.0</v>
      </c>
      <c r="HC642" s="155">
        <v>0.0</v>
      </c>
      <c r="HD642" s="155">
        <v>0.0</v>
      </c>
      <c r="HE642" s="155">
        <v>0.0</v>
      </c>
      <c r="HF642" s="155">
        <v>0.0</v>
      </c>
      <c r="HG642" s="155">
        <v>0.0</v>
      </c>
      <c r="IL642" s="159">
        <v>0.0</v>
      </c>
      <c r="IM642" s="156">
        <v>0.0</v>
      </c>
      <c r="IN642" s="156">
        <v>0.0</v>
      </c>
      <c r="IO642" s="156">
        <v>0.0</v>
      </c>
      <c r="IP642" s="156">
        <v>0.0</v>
      </c>
      <c r="IQ642" s="160">
        <v>0.0</v>
      </c>
      <c r="JH642" s="25"/>
      <c r="JW642" s="159">
        <v>0.0</v>
      </c>
      <c r="JX642" s="156">
        <v>0.0</v>
      </c>
      <c r="JY642" s="156">
        <v>0.0</v>
      </c>
      <c r="JZ642" s="156">
        <v>0.0</v>
      </c>
      <c r="KA642" s="156">
        <v>0.0</v>
      </c>
      <c r="KB642" s="160">
        <v>0.0</v>
      </c>
      <c r="LH642" s="159">
        <f t="shared" si="10"/>
        <v>0</v>
      </c>
      <c r="LI642" s="156">
        <f t="shared" si="11"/>
        <v>0</v>
      </c>
      <c r="LJ642" s="156">
        <f t="shared" si="12"/>
        <v>0</v>
      </c>
      <c r="LK642" s="156">
        <f t="shared" si="13"/>
        <v>0</v>
      </c>
      <c r="LL642" s="156">
        <f t="shared" si="14"/>
        <v>0</v>
      </c>
      <c r="LM642" s="160">
        <f t="shared" si="15"/>
        <v>0</v>
      </c>
      <c r="QX642" s="560">
        <v>46174.0</v>
      </c>
    </row>
    <row r="643">
      <c r="A643" s="12"/>
      <c r="B643" s="12"/>
      <c r="C643" s="12"/>
      <c r="D643" s="12"/>
      <c r="E643" s="12"/>
      <c r="F643" s="12"/>
      <c r="G643" s="12"/>
      <c r="H643" s="12"/>
      <c r="I643" s="143">
        <f t="shared" si="22"/>
        <v>-32</v>
      </c>
      <c r="J643" s="537">
        <v>46180.0</v>
      </c>
      <c r="K643" s="164" t="s">
        <v>61</v>
      </c>
      <c r="L643" s="23">
        <v>46259.0</v>
      </c>
      <c r="M643" s="86" t="s">
        <v>3128</v>
      </c>
      <c r="N643" s="188" t="s">
        <v>3613</v>
      </c>
      <c r="O643" s="86">
        <v>30.0</v>
      </c>
      <c r="U643" s="162" t="s">
        <v>1466</v>
      </c>
      <c r="V643" s="538" t="s">
        <v>1757</v>
      </c>
      <c r="W643" s="185" t="s">
        <v>3614</v>
      </c>
      <c r="X643" s="140"/>
      <c r="Y643" s="166">
        <f t="shared" si="23"/>
        <v>32</v>
      </c>
      <c r="Z643" s="26">
        <f t="shared" si="7"/>
        <v>0</v>
      </c>
      <c r="AA643" s="26">
        <f t="shared" si="8"/>
        <v>0</v>
      </c>
      <c r="AB643" s="26">
        <f t="shared" si="9"/>
        <v>0</v>
      </c>
      <c r="AC643" s="155">
        <v>0.0</v>
      </c>
      <c r="AD643" s="155">
        <v>0.0</v>
      </c>
      <c r="AE643" s="155">
        <v>0.0</v>
      </c>
      <c r="AF643" s="155">
        <v>0.0</v>
      </c>
      <c r="AG643" s="155">
        <v>0.0</v>
      </c>
      <c r="AH643" s="155">
        <v>0.0</v>
      </c>
      <c r="BN643" s="155">
        <v>0.0</v>
      </c>
      <c r="BO643" s="155">
        <v>0.0</v>
      </c>
      <c r="BP643" s="155">
        <v>0.0</v>
      </c>
      <c r="BQ643" s="155">
        <v>0.0</v>
      </c>
      <c r="BR643" s="155">
        <v>0.0</v>
      </c>
      <c r="BS643" s="155">
        <v>0.0</v>
      </c>
      <c r="CV643" s="156">
        <v>0.0</v>
      </c>
      <c r="CW643" s="156">
        <v>0.0</v>
      </c>
      <c r="CX643" s="156">
        <v>0.0</v>
      </c>
      <c r="CY643" s="156">
        <v>0.0</v>
      </c>
      <c r="CZ643" s="156">
        <v>0.0</v>
      </c>
      <c r="DA643" s="156">
        <v>0.0</v>
      </c>
      <c r="EG643" s="156">
        <v>0.0</v>
      </c>
      <c r="EH643" s="156">
        <v>0.0</v>
      </c>
      <c r="EI643" s="156">
        <v>0.0</v>
      </c>
      <c r="EJ643" s="156">
        <v>0.0</v>
      </c>
      <c r="EK643" s="156">
        <v>0.0</v>
      </c>
      <c r="EL643" s="156">
        <v>0.0</v>
      </c>
      <c r="FQ643" s="156">
        <v>0.0</v>
      </c>
      <c r="FR643" s="156">
        <v>0.0</v>
      </c>
      <c r="FS643" s="156">
        <v>0.0</v>
      </c>
      <c r="FT643" s="156">
        <v>0.0</v>
      </c>
      <c r="FU643" s="156">
        <v>0.0</v>
      </c>
      <c r="FV643" s="156">
        <v>0.0</v>
      </c>
      <c r="FW643" s="157"/>
      <c r="FX643" s="157"/>
      <c r="FY643" s="157"/>
      <c r="FZ643" s="157"/>
      <c r="GA643" s="157"/>
      <c r="GB643" s="157"/>
      <c r="GC643" s="157"/>
      <c r="GD643" s="157"/>
      <c r="GE643" s="157"/>
      <c r="GF643" s="157"/>
      <c r="GG643" s="157"/>
      <c r="GH643" s="157"/>
      <c r="GI643" s="157"/>
      <c r="GJ643" s="157"/>
      <c r="GK643" s="157"/>
      <c r="GL643" s="157"/>
      <c r="GM643" s="157"/>
      <c r="GN643" s="157"/>
      <c r="GO643" s="157"/>
      <c r="GP643" s="158"/>
      <c r="GQ643" s="157"/>
      <c r="GR643" s="157"/>
      <c r="GS643" s="157"/>
      <c r="GT643" s="157"/>
      <c r="GU643" s="157"/>
      <c r="GV643" s="157"/>
      <c r="GW643" s="157"/>
      <c r="GX643" s="157"/>
      <c r="GY643" s="157"/>
      <c r="GZ643" s="157"/>
      <c r="HA643" s="157"/>
      <c r="HB643" s="155">
        <v>9.0</v>
      </c>
      <c r="HC643" s="155">
        <v>0.0</v>
      </c>
      <c r="HD643" s="155">
        <v>0.0</v>
      </c>
      <c r="HE643" s="155">
        <v>0.0</v>
      </c>
      <c r="HF643" s="155">
        <v>0.0</v>
      </c>
      <c r="HG643" s="155">
        <v>0.0</v>
      </c>
      <c r="HM643" s="175">
        <v>0.0</v>
      </c>
      <c r="HN643" s="175">
        <v>1.0</v>
      </c>
      <c r="HO643" s="174">
        <v>0.0</v>
      </c>
      <c r="HP643" s="174">
        <v>0.0</v>
      </c>
      <c r="HQ643" s="174">
        <v>0.0</v>
      </c>
      <c r="HR643" s="174">
        <v>0.0</v>
      </c>
      <c r="HS643" s="174">
        <v>1.0</v>
      </c>
      <c r="HT643" s="174">
        <v>1.0</v>
      </c>
      <c r="HU643" s="174">
        <v>1.0</v>
      </c>
      <c r="HV643" s="174">
        <v>0.0</v>
      </c>
      <c r="HW643" s="174">
        <v>0.0</v>
      </c>
      <c r="HX643" s="174">
        <v>0.0</v>
      </c>
      <c r="HY643" s="174">
        <v>0.0</v>
      </c>
      <c r="HZ643" s="175">
        <v>2.0</v>
      </c>
      <c r="IA643" s="174">
        <v>1.0</v>
      </c>
      <c r="IB643" s="174">
        <v>1.0</v>
      </c>
      <c r="IC643" s="174">
        <v>0.0</v>
      </c>
      <c r="ID643" s="174">
        <v>0.0</v>
      </c>
      <c r="IE643" s="174">
        <v>0.0</v>
      </c>
      <c r="IF643" s="174">
        <v>0.0</v>
      </c>
      <c r="IG643" s="174">
        <v>1.0</v>
      </c>
      <c r="IH643" s="174"/>
      <c r="II643" s="174"/>
      <c r="IJ643" s="174"/>
      <c r="IK643" s="174"/>
      <c r="IL643" s="159">
        <v>11.0</v>
      </c>
      <c r="IM643" s="156">
        <v>0.0</v>
      </c>
      <c r="IN643" s="156">
        <v>0.0</v>
      </c>
      <c r="IO643" s="156">
        <v>0.0</v>
      </c>
      <c r="IP643" s="156">
        <v>0.0</v>
      </c>
      <c r="IQ643" s="160">
        <v>0.0</v>
      </c>
      <c r="IS643" s="86">
        <v>1.0</v>
      </c>
      <c r="IT643" s="86">
        <v>1.0</v>
      </c>
      <c r="IU643" s="86">
        <v>1.0</v>
      </c>
      <c r="JA643" s="86">
        <v>1.0</v>
      </c>
      <c r="JB643" s="86">
        <v>1.0</v>
      </c>
      <c r="JC643" s="86">
        <v>1.0</v>
      </c>
      <c r="JH643" s="25"/>
      <c r="JI643" s="86">
        <v>1.0</v>
      </c>
      <c r="JJ643" s="86">
        <v>1.0</v>
      </c>
      <c r="JO643" s="86">
        <v>1.0</v>
      </c>
      <c r="JP643" s="86">
        <v>1.0</v>
      </c>
      <c r="JQ643" s="86">
        <v>1.0</v>
      </c>
      <c r="JW643" s="159">
        <v>12.0</v>
      </c>
      <c r="JX643" s="156">
        <v>0.0</v>
      </c>
      <c r="JY643" s="156">
        <v>0.0</v>
      </c>
      <c r="JZ643" s="156">
        <v>0.0</v>
      </c>
      <c r="KA643" s="156">
        <v>0.0</v>
      </c>
      <c r="KB643" s="160">
        <v>0.0</v>
      </c>
      <c r="KC643" s="86">
        <v>2.0</v>
      </c>
      <c r="KI643" s="86">
        <v>1.0</v>
      </c>
      <c r="KJ643" s="86">
        <v>1.0</v>
      </c>
      <c r="KR643" s="86">
        <v>2.0</v>
      </c>
      <c r="KS643" s="178"/>
      <c r="KT643" s="86">
        <v>1.0</v>
      </c>
      <c r="KU643" s="86">
        <v>1.0</v>
      </c>
      <c r="KV643" s="86">
        <v>1.0</v>
      </c>
      <c r="KW643" s="86">
        <v>1.0</v>
      </c>
      <c r="KY643" s="86">
        <v>1.0</v>
      </c>
      <c r="KZ643" s="86">
        <v>1.0</v>
      </c>
      <c r="LH643" s="159">
        <f t="shared" si="10"/>
        <v>0</v>
      </c>
      <c r="LI643" s="156">
        <f t="shared" si="11"/>
        <v>0</v>
      </c>
      <c r="LJ643" s="156">
        <f t="shared" si="12"/>
        <v>0</v>
      </c>
      <c r="LK643" s="156">
        <f t="shared" si="13"/>
        <v>0</v>
      </c>
      <c r="LL643" s="156">
        <f t="shared" si="14"/>
        <v>0</v>
      </c>
      <c r="LM643" s="160">
        <f t="shared" si="15"/>
        <v>0</v>
      </c>
      <c r="QX643" s="560">
        <v>46174.0</v>
      </c>
    </row>
    <row r="644">
      <c r="A644" s="12"/>
      <c r="B644" s="12"/>
      <c r="C644" s="12"/>
      <c r="D644" s="12"/>
      <c r="E644" s="12"/>
      <c r="F644" s="494"/>
      <c r="G644" s="12"/>
      <c r="H644" s="12"/>
      <c r="I644" s="143">
        <f t="shared" si="22"/>
        <v>-21</v>
      </c>
      <c r="J644" s="537">
        <v>46182.0</v>
      </c>
      <c r="K644" s="294" t="s">
        <v>48</v>
      </c>
      <c r="L644" s="543" t="s">
        <v>3615</v>
      </c>
      <c r="M644" s="86" t="s">
        <v>228</v>
      </c>
      <c r="N644" s="188">
        <v>357.0</v>
      </c>
      <c r="O644" s="86">
        <v>30.0</v>
      </c>
      <c r="U644" s="162" t="s">
        <v>562</v>
      </c>
      <c r="V644" s="538" t="s">
        <v>563</v>
      </c>
      <c r="W644" s="125" t="s">
        <v>3616</v>
      </c>
      <c r="X644" s="140"/>
      <c r="Y644" s="166">
        <f t="shared" si="23"/>
        <v>21</v>
      </c>
      <c r="Z644" s="26">
        <f t="shared" si="7"/>
        <v>0</v>
      </c>
      <c r="AA644" s="26">
        <f t="shared" si="8"/>
        <v>3</v>
      </c>
      <c r="AB644" s="26">
        <f t="shared" si="9"/>
        <v>0</v>
      </c>
      <c r="AC644" s="155">
        <v>0.0</v>
      </c>
      <c r="AD644" s="155">
        <v>0.0</v>
      </c>
      <c r="AE644" s="155">
        <v>0.0</v>
      </c>
      <c r="AF644" s="155">
        <v>0.0</v>
      </c>
      <c r="AG644" s="155">
        <v>0.0</v>
      </c>
      <c r="AH644" s="155">
        <v>0.0</v>
      </c>
      <c r="BN644" s="155">
        <v>0.0</v>
      </c>
      <c r="BO644" s="155">
        <v>0.0</v>
      </c>
      <c r="BP644" s="155">
        <v>0.0</v>
      </c>
      <c r="BQ644" s="155">
        <v>0.0</v>
      </c>
      <c r="BR644" s="155">
        <v>0.0</v>
      </c>
      <c r="BS644" s="155">
        <v>0.0</v>
      </c>
      <c r="CV644" s="156">
        <v>0.0</v>
      </c>
      <c r="CW644" s="156">
        <v>0.0</v>
      </c>
      <c r="CX644" s="156">
        <v>0.0</v>
      </c>
      <c r="CY644" s="156">
        <v>0.0</v>
      </c>
      <c r="CZ644" s="156">
        <v>0.0</v>
      </c>
      <c r="DA644" s="156">
        <v>0.0</v>
      </c>
      <c r="EG644" s="156">
        <v>0.0</v>
      </c>
      <c r="EH644" s="156">
        <v>0.0</v>
      </c>
      <c r="EI644" s="156">
        <v>0.0</v>
      </c>
      <c r="EJ644" s="156">
        <v>0.0</v>
      </c>
      <c r="EK644" s="156">
        <v>0.0</v>
      </c>
      <c r="EL644" s="156">
        <v>0.0</v>
      </c>
      <c r="FQ644" s="156">
        <v>0.0</v>
      </c>
      <c r="FR644" s="156">
        <v>0.0</v>
      </c>
      <c r="FS644" s="156">
        <v>0.0</v>
      </c>
      <c r="FT644" s="156">
        <v>0.0</v>
      </c>
      <c r="FU644" s="156">
        <v>0.0</v>
      </c>
      <c r="FV644" s="156">
        <v>0.0</v>
      </c>
      <c r="FW644" s="157"/>
      <c r="FX644" s="157"/>
      <c r="FY644" s="157"/>
      <c r="FZ644" s="157"/>
      <c r="GA644" s="157"/>
      <c r="GB644" s="157"/>
      <c r="GC644" s="157"/>
      <c r="GD644" s="157"/>
      <c r="GE644" s="157"/>
      <c r="GF644" s="157"/>
      <c r="GG644" s="157"/>
      <c r="GH644" s="157"/>
      <c r="GI644" s="157"/>
      <c r="GJ644" s="157"/>
      <c r="GK644" s="157"/>
      <c r="GL644" s="157"/>
      <c r="GM644" s="157"/>
      <c r="GN644" s="157"/>
      <c r="GO644" s="157"/>
      <c r="GP644" s="158"/>
      <c r="GQ644" s="157"/>
      <c r="GR644" s="157"/>
      <c r="GS644" s="157"/>
      <c r="GT644" s="157"/>
      <c r="GU644" s="157"/>
      <c r="GV644" s="157"/>
      <c r="GW644" s="157"/>
      <c r="GX644" s="157"/>
      <c r="GY644" s="157"/>
      <c r="GZ644" s="157"/>
      <c r="HA644" s="157"/>
      <c r="HB644" s="155">
        <v>8.0</v>
      </c>
      <c r="HC644" s="155">
        <v>0.0</v>
      </c>
      <c r="HD644" s="155">
        <v>0.0</v>
      </c>
      <c r="HE644" s="155">
        <v>1.0</v>
      </c>
      <c r="HF644" s="155">
        <v>0.0</v>
      </c>
      <c r="HG644" s="155">
        <v>0.0</v>
      </c>
      <c r="HP644" s="172">
        <v>1.0</v>
      </c>
      <c r="HR644" s="172">
        <v>1.0</v>
      </c>
      <c r="HS644" s="172">
        <v>0.0</v>
      </c>
      <c r="HT644" s="172"/>
      <c r="HU644" s="172">
        <v>0.0</v>
      </c>
      <c r="HV644" s="172">
        <v>0.0</v>
      </c>
      <c r="HW644" s="172">
        <v>1.0</v>
      </c>
      <c r="HX644" s="172">
        <v>0.0</v>
      </c>
      <c r="HY644" s="172">
        <v>1.0</v>
      </c>
      <c r="HZ644" s="172">
        <v>0.0</v>
      </c>
      <c r="IA644" s="172">
        <v>1.0</v>
      </c>
      <c r="IB644" s="172">
        <v>0.0</v>
      </c>
      <c r="IC644" s="172">
        <v>0.0</v>
      </c>
      <c r="ID644" s="172">
        <v>1.0</v>
      </c>
      <c r="IE644" s="172">
        <v>0.0</v>
      </c>
      <c r="IF644" s="172">
        <v>1.0</v>
      </c>
      <c r="IG644" s="172"/>
      <c r="IH644" s="172"/>
      <c r="II644" s="172"/>
      <c r="IJ644" s="172"/>
      <c r="IK644" s="172" t="s">
        <v>947</v>
      </c>
      <c r="IL644" s="159">
        <v>6.0</v>
      </c>
      <c r="IM644" s="156">
        <v>0.0</v>
      </c>
      <c r="IN644" s="156">
        <v>0.0</v>
      </c>
      <c r="IO644" s="156">
        <v>2.0</v>
      </c>
      <c r="IP644" s="156">
        <v>0.0</v>
      </c>
      <c r="IQ644" s="160">
        <v>0.0</v>
      </c>
      <c r="IR644" s="172">
        <v>0.0</v>
      </c>
      <c r="IS644" s="172">
        <v>1.0</v>
      </c>
      <c r="IT644" s="172">
        <v>0.0</v>
      </c>
      <c r="IU644" s="172"/>
      <c r="IV644" s="172">
        <v>0.0</v>
      </c>
      <c r="IW644" s="172">
        <v>0.0</v>
      </c>
      <c r="IX644" s="172">
        <v>1.0</v>
      </c>
      <c r="IY644" s="172">
        <v>0.0</v>
      </c>
      <c r="IZ644" s="172">
        <v>1.0</v>
      </c>
      <c r="JA644" s="172">
        <v>0.0</v>
      </c>
      <c r="JB644" s="172"/>
      <c r="JC644" s="172">
        <v>0.0</v>
      </c>
      <c r="JD644" s="172">
        <v>0.0</v>
      </c>
      <c r="JE644" s="172"/>
      <c r="JF644" s="172">
        <v>0.0</v>
      </c>
      <c r="JG644" s="172">
        <v>1.0</v>
      </c>
      <c r="JH644" s="170">
        <v>0.0</v>
      </c>
      <c r="JI644" s="172"/>
      <c r="JJ644" s="172"/>
      <c r="JK644" s="172"/>
      <c r="JL644" s="172" t="s">
        <v>947</v>
      </c>
      <c r="JM644" s="172"/>
      <c r="JN644" s="172"/>
      <c r="JO644" s="172"/>
      <c r="JP644" s="172"/>
      <c r="JQ644" s="172"/>
      <c r="JR644" s="172"/>
      <c r="JS644" s="172" t="s">
        <v>947</v>
      </c>
      <c r="JT644" s="172"/>
      <c r="JU644" s="172"/>
      <c r="JV644" s="172"/>
      <c r="JW644" s="159">
        <v>0.0</v>
      </c>
      <c r="JX644" s="156">
        <v>0.0</v>
      </c>
      <c r="JY644" s="156">
        <v>0.0</v>
      </c>
      <c r="JZ644" s="156">
        <v>0.0</v>
      </c>
      <c r="KA644" s="156">
        <v>0.0</v>
      </c>
      <c r="KB644" s="160">
        <v>0.0</v>
      </c>
      <c r="KC644" s="172"/>
      <c r="KD644" s="172"/>
      <c r="KE644" s="172"/>
      <c r="KF644" s="172"/>
      <c r="KG644" s="172"/>
      <c r="KH644" s="172"/>
      <c r="KI644" s="172"/>
      <c r="KJ644" s="172"/>
      <c r="KK644" s="172"/>
      <c r="KL644" s="172"/>
      <c r="KM644" s="172"/>
      <c r="KN644" s="172"/>
      <c r="KO644" s="172"/>
      <c r="KP644" s="172"/>
      <c r="KQ644" s="172"/>
      <c r="KR644" s="172"/>
      <c r="KS644" s="432"/>
      <c r="KT644" s="172"/>
      <c r="KU644" s="172"/>
      <c r="KV644" s="172"/>
      <c r="KW644" s="172"/>
      <c r="KX644" s="172"/>
      <c r="KY644" s="172"/>
      <c r="KZ644" s="172"/>
      <c r="LA644" s="172"/>
      <c r="LB644" s="172"/>
      <c r="LC644" s="172"/>
      <c r="LD644" s="172"/>
      <c r="LE644" s="172"/>
      <c r="LF644" s="172"/>
      <c r="LG644" s="172"/>
      <c r="LH644" s="159">
        <f t="shared" si="10"/>
        <v>7</v>
      </c>
      <c r="LI644" s="156">
        <f t="shared" si="11"/>
        <v>0</v>
      </c>
      <c r="LJ644" s="156">
        <f t="shared" si="12"/>
        <v>0</v>
      </c>
      <c r="LK644" s="156">
        <f t="shared" si="13"/>
        <v>0</v>
      </c>
      <c r="LL644" s="156">
        <f t="shared" si="14"/>
        <v>0</v>
      </c>
      <c r="LM644" s="160">
        <f t="shared" si="15"/>
        <v>0</v>
      </c>
      <c r="LW644" s="12">
        <f t="shared" ref="LW644:MQ644" si="64">IFS(TODAY()&lt;=LC$2,0,WEEKDAY(LC$2)=2,0,WEEKDAY(LC$2)=3,1,WEEKDAY(LC$2)=4,0,WEEKDAY(LC$2)=5,1,WEEKDAY(LC$2)=6,0,WEEKDAY(LC$2)=7,1,WEEKDAY(LC$2)=1,0)</f>
        <v>1</v>
      </c>
      <c r="LX644" s="12">
        <f t="shared" si="64"/>
        <v>0</v>
      </c>
      <c r="LY644" s="12">
        <f t="shared" si="64"/>
        <v>1</v>
      </c>
      <c r="LZ644" s="12">
        <f t="shared" si="64"/>
        <v>0</v>
      </c>
      <c r="MA644" s="12">
        <f t="shared" si="64"/>
        <v>0</v>
      </c>
      <c r="MB644" s="12">
        <f t="shared" si="64"/>
        <v>0</v>
      </c>
      <c r="MC644" s="12">
        <f t="shared" si="64"/>
        <v>0</v>
      </c>
      <c r="MD644" s="12">
        <f t="shared" si="64"/>
        <v>0</v>
      </c>
      <c r="ME644" s="12">
        <f t="shared" si="64"/>
        <v>0</v>
      </c>
      <c r="MF644" s="12">
        <f t="shared" si="64"/>
        <v>0</v>
      </c>
      <c r="MG644" s="12">
        <f t="shared" si="64"/>
        <v>0</v>
      </c>
      <c r="MH644" s="12">
        <f t="shared" si="64"/>
        <v>1</v>
      </c>
      <c r="MI644" s="12">
        <f t="shared" si="64"/>
        <v>0</v>
      </c>
      <c r="MJ644" s="12">
        <f t="shared" si="64"/>
        <v>1</v>
      </c>
      <c r="MK644" s="12">
        <f t="shared" si="64"/>
        <v>0</v>
      </c>
      <c r="ML644" s="12">
        <f t="shared" si="64"/>
        <v>1</v>
      </c>
      <c r="MM644" s="12">
        <f t="shared" si="64"/>
        <v>0</v>
      </c>
      <c r="MN644" s="12">
        <f t="shared" si="64"/>
        <v>0</v>
      </c>
      <c r="MO644" s="12">
        <f t="shared" si="64"/>
        <v>1</v>
      </c>
      <c r="MP644" s="12">
        <f t="shared" si="64"/>
        <v>0</v>
      </c>
      <c r="MQ644" s="12">
        <f t="shared" si="64"/>
        <v>1</v>
      </c>
      <c r="QX644" s="560">
        <v>46177.0</v>
      </c>
    </row>
    <row r="645">
      <c r="A645" s="12"/>
      <c r="B645" s="12"/>
      <c r="C645" s="12"/>
      <c r="D645" s="12"/>
      <c r="E645" s="12"/>
      <c r="F645" s="12"/>
      <c r="G645" s="12"/>
      <c r="H645" s="12"/>
      <c r="I645" s="143">
        <f t="shared" si="22"/>
        <v>-37</v>
      </c>
      <c r="J645" s="551">
        <v>46184.0</v>
      </c>
      <c r="K645" s="294" t="s">
        <v>48</v>
      </c>
      <c r="L645" s="169"/>
      <c r="M645" s="86" t="s">
        <v>2845</v>
      </c>
      <c r="N645" s="188">
        <v>357.0</v>
      </c>
      <c r="O645" s="86">
        <v>30.0</v>
      </c>
      <c r="U645" s="162" t="s">
        <v>3617</v>
      </c>
      <c r="V645" s="538" t="s">
        <v>3593</v>
      </c>
      <c r="W645" s="185" t="s">
        <v>3618</v>
      </c>
      <c r="X645" s="140"/>
      <c r="Y645" s="166">
        <f t="shared" si="23"/>
        <v>37</v>
      </c>
      <c r="Z645" s="26">
        <f t="shared" si="7"/>
        <v>0</v>
      </c>
      <c r="AA645" s="26">
        <f t="shared" si="8"/>
        <v>0</v>
      </c>
      <c r="AB645" s="26">
        <f t="shared" si="9"/>
        <v>0</v>
      </c>
      <c r="AC645" s="155">
        <v>0.0</v>
      </c>
      <c r="AD645" s="155">
        <v>0.0</v>
      </c>
      <c r="AE645" s="155">
        <v>0.0</v>
      </c>
      <c r="AF645" s="155">
        <v>0.0</v>
      </c>
      <c r="AG645" s="155">
        <v>0.0</v>
      </c>
      <c r="AH645" s="155">
        <v>0.0</v>
      </c>
      <c r="BN645" s="155">
        <v>0.0</v>
      </c>
      <c r="BO645" s="155">
        <v>0.0</v>
      </c>
      <c r="BP645" s="155">
        <v>0.0</v>
      </c>
      <c r="BQ645" s="155">
        <v>0.0</v>
      </c>
      <c r="BR645" s="155">
        <v>0.0</v>
      </c>
      <c r="BS645" s="155">
        <v>0.0</v>
      </c>
      <c r="CV645" s="156">
        <v>0.0</v>
      </c>
      <c r="CW645" s="156">
        <v>0.0</v>
      </c>
      <c r="CX645" s="156">
        <v>0.0</v>
      </c>
      <c r="CY645" s="156">
        <v>0.0</v>
      </c>
      <c r="CZ645" s="156">
        <v>0.0</v>
      </c>
      <c r="DA645" s="156">
        <v>0.0</v>
      </c>
      <c r="EG645" s="156">
        <v>0.0</v>
      </c>
      <c r="EH645" s="156">
        <v>0.0</v>
      </c>
      <c r="EI645" s="156">
        <v>0.0</v>
      </c>
      <c r="EJ645" s="156">
        <v>0.0</v>
      </c>
      <c r="EK645" s="156">
        <v>0.0</v>
      </c>
      <c r="EL645" s="156">
        <v>0.0</v>
      </c>
      <c r="FQ645" s="156">
        <v>0.0</v>
      </c>
      <c r="FR645" s="156">
        <v>0.0</v>
      </c>
      <c r="FS645" s="156">
        <v>0.0</v>
      </c>
      <c r="FT645" s="156">
        <v>0.0</v>
      </c>
      <c r="FU645" s="156">
        <v>0.0</v>
      </c>
      <c r="FV645" s="156">
        <v>0.0</v>
      </c>
      <c r="FW645" s="157"/>
      <c r="FX645" s="157"/>
      <c r="FY645" s="157"/>
      <c r="FZ645" s="157"/>
      <c r="GA645" s="157"/>
      <c r="GB645" s="157"/>
      <c r="GC645" s="157"/>
      <c r="GD645" s="157"/>
      <c r="GE645" s="157"/>
      <c r="GF645" s="157"/>
      <c r="GG645" s="157"/>
      <c r="GH645" s="157"/>
      <c r="GI645" s="157"/>
      <c r="GJ645" s="157"/>
      <c r="GK645" s="157"/>
      <c r="GL645" s="157"/>
      <c r="GM645" s="157"/>
      <c r="GN645" s="157"/>
      <c r="GO645" s="157"/>
      <c r="GP645" s="158"/>
      <c r="GQ645" s="157"/>
      <c r="GR645" s="157"/>
      <c r="GS645" s="157"/>
      <c r="GT645" s="157"/>
      <c r="GU645" s="157"/>
      <c r="GV645" s="157"/>
      <c r="GW645" s="157"/>
      <c r="GX645" s="157"/>
      <c r="GY645" s="157"/>
      <c r="GZ645" s="157"/>
      <c r="HA645" s="157"/>
      <c r="HB645" s="155">
        <v>8.0</v>
      </c>
      <c r="HC645" s="155">
        <v>0.0</v>
      </c>
      <c r="HD645" s="155">
        <v>0.0</v>
      </c>
      <c r="HE645" s="155">
        <v>0.0</v>
      </c>
      <c r="HF645" s="155">
        <v>0.0</v>
      </c>
      <c r="HG645" s="155">
        <v>0.0</v>
      </c>
      <c r="HR645" s="172">
        <v>1.0</v>
      </c>
      <c r="HS645" s="172">
        <v>0.0</v>
      </c>
      <c r="HT645" s="172">
        <v>1.0</v>
      </c>
      <c r="HU645" s="172"/>
      <c r="HV645" s="172"/>
      <c r="HW645" s="172"/>
      <c r="HX645" s="172"/>
      <c r="HY645" s="172">
        <v>1.0</v>
      </c>
      <c r="HZ645" s="172">
        <v>0.0</v>
      </c>
      <c r="IA645" s="172">
        <v>1.0</v>
      </c>
      <c r="IB645" s="172">
        <v>0.0</v>
      </c>
      <c r="IC645" s="172">
        <v>0.0</v>
      </c>
      <c r="ID645" s="172">
        <v>1.0</v>
      </c>
      <c r="IE645" s="172">
        <v>0.0</v>
      </c>
      <c r="IF645" s="172">
        <v>1.0</v>
      </c>
      <c r="IG645" s="172">
        <v>0.0</v>
      </c>
      <c r="IH645" s="172">
        <v>1.0</v>
      </c>
      <c r="II645" s="172">
        <v>0.0</v>
      </c>
      <c r="IJ645" s="172">
        <v>0.0</v>
      </c>
      <c r="IK645" s="172">
        <v>1.0</v>
      </c>
      <c r="IL645" s="159">
        <v>10.0</v>
      </c>
      <c r="IM645" s="156">
        <v>0.0</v>
      </c>
      <c r="IN645" s="156">
        <v>0.0</v>
      </c>
      <c r="IO645" s="156">
        <v>0.0</v>
      </c>
      <c r="IP645" s="156">
        <v>0.0</v>
      </c>
      <c r="IQ645" s="160">
        <v>0.0</v>
      </c>
      <c r="IR645" s="172">
        <v>0.0</v>
      </c>
      <c r="IS645" s="172">
        <v>1.0</v>
      </c>
      <c r="IT645" s="172">
        <v>0.0</v>
      </c>
      <c r="IU645" s="172">
        <v>1.0</v>
      </c>
      <c r="IV645" s="172">
        <v>0.0</v>
      </c>
      <c r="IW645" s="172">
        <v>0.0</v>
      </c>
      <c r="IX645" s="172"/>
      <c r="IY645" s="172">
        <v>0.0</v>
      </c>
      <c r="IZ645" s="172"/>
      <c r="JA645" s="172"/>
      <c r="JB645" s="172"/>
      <c r="JC645" s="172">
        <v>0.0</v>
      </c>
      <c r="JD645" s="172">
        <v>0.0</v>
      </c>
      <c r="JE645" s="172">
        <v>1.0</v>
      </c>
      <c r="JF645" s="172">
        <v>0.0</v>
      </c>
      <c r="JG645" s="172">
        <v>1.0</v>
      </c>
      <c r="JH645" s="170">
        <v>0.0</v>
      </c>
      <c r="JI645" s="172">
        <v>1.0</v>
      </c>
      <c r="JJ645" s="172"/>
      <c r="JK645" s="172"/>
      <c r="JL645" s="172">
        <v>1.0</v>
      </c>
      <c r="JM645" s="172"/>
      <c r="JN645" s="172">
        <v>1.0</v>
      </c>
      <c r="JO645" s="172"/>
      <c r="JP645" s="172">
        <v>1.0</v>
      </c>
      <c r="JQ645" s="172"/>
      <c r="JR645" s="172"/>
      <c r="JS645" s="172">
        <v>1.0</v>
      </c>
      <c r="JT645" s="172"/>
      <c r="JU645" s="172">
        <v>1.0</v>
      </c>
      <c r="JV645" s="172"/>
      <c r="JW645" s="159">
        <v>10.0</v>
      </c>
      <c r="JX645" s="156">
        <v>0.0</v>
      </c>
      <c r="JY645" s="156">
        <v>0.0</v>
      </c>
      <c r="JZ645" s="156">
        <v>0.0</v>
      </c>
      <c r="KA645" s="156">
        <v>0.0</v>
      </c>
      <c r="KB645" s="160">
        <v>0.0</v>
      </c>
      <c r="KC645" s="172">
        <v>1.0</v>
      </c>
      <c r="KD645" s="172"/>
      <c r="KE645" s="172"/>
      <c r="KF645" s="172">
        <v>1.0</v>
      </c>
      <c r="KG645" s="172"/>
      <c r="KH645" s="172"/>
      <c r="KI645" s="172"/>
      <c r="KJ645" s="172">
        <v>1.0</v>
      </c>
      <c r="KK645" s="172"/>
      <c r="KL645" s="172"/>
      <c r="KM645" s="172">
        <v>1.0</v>
      </c>
      <c r="KN645" s="172"/>
      <c r="KO645" s="172"/>
      <c r="KP645" s="172"/>
      <c r="KQ645" s="172">
        <v>1.0</v>
      </c>
      <c r="KR645" s="172"/>
      <c r="KS645" s="432"/>
      <c r="KT645" s="172"/>
      <c r="KU645" s="172"/>
      <c r="KV645" s="172">
        <v>1.0</v>
      </c>
      <c r="KW645" s="172"/>
      <c r="KX645" s="172">
        <v>1.0</v>
      </c>
      <c r="KY645" s="172"/>
      <c r="KZ645" s="172"/>
      <c r="LA645" s="172">
        <v>1.0</v>
      </c>
      <c r="LB645" s="172"/>
      <c r="LC645" s="172">
        <v>1.0</v>
      </c>
      <c r="LD645" s="172"/>
      <c r="LE645" s="172">
        <v>1.0</v>
      </c>
      <c r="LF645" s="172"/>
      <c r="LG645" s="172"/>
      <c r="LH645" s="159">
        <f t="shared" si="10"/>
        <v>9</v>
      </c>
      <c r="LI645" s="156">
        <f t="shared" si="11"/>
        <v>0</v>
      </c>
      <c r="LJ645" s="156">
        <f t="shared" si="12"/>
        <v>0</v>
      </c>
      <c r="LK645" s="156">
        <f t="shared" si="13"/>
        <v>0</v>
      </c>
      <c r="LL645" s="156">
        <f t="shared" si="14"/>
        <v>0</v>
      </c>
      <c r="LM645" s="160">
        <f t="shared" si="15"/>
        <v>0</v>
      </c>
      <c r="LP645" s="189">
        <v>1.0</v>
      </c>
      <c r="LR645" s="189">
        <v>1.0</v>
      </c>
      <c r="LW645" s="12">
        <f t="shared" ref="LW645:MQ645" si="65">IFS(TODAY()&lt;=LC$2,0,WEEKDAY(LC$2)=2,0,WEEKDAY(LC$2)=3,1,WEEKDAY(LC$2)=4,0,WEEKDAY(LC$2)=5,1,WEEKDAY(LC$2)=6,0,WEEKDAY(LC$2)=7,1,WEEKDAY(LC$2)=1,0)</f>
        <v>1</v>
      </c>
      <c r="LX645" s="12">
        <f t="shared" si="65"/>
        <v>0</v>
      </c>
      <c r="LY645" s="12">
        <f t="shared" si="65"/>
        <v>1</v>
      </c>
      <c r="LZ645" s="12">
        <f t="shared" si="65"/>
        <v>0</v>
      </c>
      <c r="MA645" s="12">
        <f t="shared" si="65"/>
        <v>0</v>
      </c>
      <c r="MB645" s="12">
        <f t="shared" si="65"/>
        <v>0</v>
      </c>
      <c r="MC645" s="12">
        <f t="shared" si="65"/>
        <v>0</v>
      </c>
      <c r="MD645" s="12">
        <f t="shared" si="65"/>
        <v>0</v>
      </c>
      <c r="ME645" s="12">
        <f t="shared" si="65"/>
        <v>0</v>
      </c>
      <c r="MF645" s="12">
        <f t="shared" si="65"/>
        <v>0</v>
      </c>
      <c r="MG645" s="12">
        <f t="shared" si="65"/>
        <v>0</v>
      </c>
      <c r="MH645" s="12">
        <f t="shared" si="65"/>
        <v>1</v>
      </c>
      <c r="MI645" s="12">
        <f t="shared" si="65"/>
        <v>0</v>
      </c>
      <c r="MJ645" s="12">
        <f t="shared" si="65"/>
        <v>1</v>
      </c>
      <c r="MK645" s="12">
        <f t="shared" si="65"/>
        <v>0</v>
      </c>
      <c r="ML645" s="12">
        <f t="shared" si="65"/>
        <v>1</v>
      </c>
      <c r="MM645" s="12">
        <f t="shared" si="65"/>
        <v>0</v>
      </c>
      <c r="MN645" s="12">
        <f t="shared" si="65"/>
        <v>0</v>
      </c>
      <c r="MO645" s="12">
        <f t="shared" si="65"/>
        <v>1</v>
      </c>
      <c r="MP645" s="12">
        <f t="shared" si="65"/>
        <v>0</v>
      </c>
      <c r="MQ645" s="12">
        <f t="shared" si="65"/>
        <v>1</v>
      </c>
      <c r="QX645" s="560">
        <v>46177.0</v>
      </c>
    </row>
    <row r="646">
      <c r="A646" s="12"/>
      <c r="B646" s="12"/>
      <c r="C646" s="12"/>
      <c r="D646" s="12"/>
      <c r="E646" s="12"/>
      <c r="F646" s="12"/>
      <c r="G646" s="12"/>
      <c r="H646" s="12"/>
      <c r="I646" s="143">
        <f t="shared" si="22"/>
        <v>-2</v>
      </c>
      <c r="J646" s="537">
        <v>46183.0</v>
      </c>
      <c r="K646" s="164" t="s">
        <v>53</v>
      </c>
      <c r="L646" s="547">
        <v>46213.0</v>
      </c>
      <c r="M646" s="162" t="s">
        <v>348</v>
      </c>
      <c r="N646" s="86">
        <v>246.0</v>
      </c>
      <c r="O646" s="86">
        <v>30.0</v>
      </c>
      <c r="U646" s="162" t="s">
        <v>3619</v>
      </c>
      <c r="V646" s="538" t="s">
        <v>3620</v>
      </c>
      <c r="W646" s="125" t="s">
        <v>3621</v>
      </c>
      <c r="X646" s="140"/>
      <c r="Y646" s="166">
        <f t="shared" si="23"/>
        <v>2</v>
      </c>
      <c r="Z646" s="26">
        <f t="shared" si="7"/>
        <v>0</v>
      </c>
      <c r="AA646" s="26">
        <f t="shared" si="8"/>
        <v>1</v>
      </c>
      <c r="AB646" s="26">
        <f t="shared" si="9"/>
        <v>0</v>
      </c>
      <c r="AC646" s="155">
        <v>0.0</v>
      </c>
      <c r="AD646" s="155">
        <v>0.0</v>
      </c>
      <c r="AE646" s="155">
        <v>0.0</v>
      </c>
      <c r="AF646" s="155">
        <v>0.0</v>
      </c>
      <c r="AG646" s="155">
        <v>0.0</v>
      </c>
      <c r="AH646" s="155">
        <v>0.0</v>
      </c>
      <c r="BN646" s="155">
        <v>0.0</v>
      </c>
      <c r="BO646" s="155">
        <v>0.0</v>
      </c>
      <c r="BP646" s="155">
        <v>0.0</v>
      </c>
      <c r="BQ646" s="155">
        <v>0.0</v>
      </c>
      <c r="BR646" s="155">
        <v>0.0</v>
      </c>
      <c r="BS646" s="155">
        <v>0.0</v>
      </c>
      <c r="CV646" s="156">
        <v>0.0</v>
      </c>
      <c r="CW646" s="156">
        <v>0.0</v>
      </c>
      <c r="CX646" s="156">
        <v>0.0</v>
      </c>
      <c r="CY646" s="156">
        <v>0.0</v>
      </c>
      <c r="CZ646" s="156">
        <v>0.0</v>
      </c>
      <c r="DA646" s="156">
        <v>0.0</v>
      </c>
      <c r="EG646" s="156">
        <v>0.0</v>
      </c>
      <c r="EH646" s="156">
        <v>0.0</v>
      </c>
      <c r="EI646" s="156">
        <v>0.0</v>
      </c>
      <c r="EJ646" s="156">
        <v>0.0</v>
      </c>
      <c r="EK646" s="156">
        <v>0.0</v>
      </c>
      <c r="EL646" s="156">
        <v>0.0</v>
      </c>
      <c r="FQ646" s="156">
        <v>0.0</v>
      </c>
      <c r="FR646" s="156">
        <v>0.0</v>
      </c>
      <c r="FS646" s="156">
        <v>0.0</v>
      </c>
      <c r="FT646" s="156">
        <v>0.0</v>
      </c>
      <c r="FU646" s="156">
        <v>0.0</v>
      </c>
      <c r="FV646" s="156">
        <v>0.0</v>
      </c>
      <c r="FW646" s="157"/>
      <c r="FX646" s="157"/>
      <c r="FY646" s="157"/>
      <c r="FZ646" s="157"/>
      <c r="GA646" s="157"/>
      <c r="GB646" s="157"/>
      <c r="GC646" s="157"/>
      <c r="GD646" s="157"/>
      <c r="GE646" s="157"/>
      <c r="GF646" s="157"/>
      <c r="GG646" s="157"/>
      <c r="GH646" s="157"/>
      <c r="GI646" s="157"/>
      <c r="GJ646" s="157"/>
      <c r="GK646" s="157"/>
      <c r="GL646" s="157"/>
      <c r="GM646" s="157"/>
      <c r="GN646" s="157"/>
      <c r="GO646" s="157"/>
      <c r="GP646" s="158"/>
      <c r="GQ646" s="157"/>
      <c r="GR646" s="157"/>
      <c r="GS646" s="157"/>
      <c r="GT646" s="157"/>
      <c r="GU646" s="157"/>
      <c r="GV646" s="157"/>
      <c r="GW646" s="157"/>
      <c r="GX646" s="157"/>
      <c r="GY646" s="157"/>
      <c r="GZ646" s="157"/>
      <c r="HA646" s="157"/>
      <c r="HB646" s="155">
        <v>2.0</v>
      </c>
      <c r="HC646" s="155">
        <v>0.0</v>
      </c>
      <c r="HD646" s="155">
        <v>0.0</v>
      </c>
      <c r="HE646" s="155">
        <v>1.0</v>
      </c>
      <c r="HF646" s="155">
        <v>0.0</v>
      </c>
      <c r="HG646" s="155">
        <v>0.0</v>
      </c>
      <c r="HQ646" s="174">
        <v>1.0</v>
      </c>
      <c r="HR646" s="174">
        <v>0.0</v>
      </c>
      <c r="HS646" s="175" t="s">
        <v>947</v>
      </c>
      <c r="HT646" s="174"/>
      <c r="HU646" s="174"/>
      <c r="HV646" s="174"/>
      <c r="HW646" s="174"/>
      <c r="HX646" s="174"/>
      <c r="HY646" s="174"/>
      <c r="HZ646" s="174"/>
      <c r="IA646" s="174"/>
      <c r="IB646" s="174"/>
      <c r="IC646" s="174"/>
      <c r="ID646" s="174"/>
      <c r="IE646" s="174"/>
      <c r="IF646" s="174"/>
      <c r="IG646" s="174"/>
      <c r="IH646" s="174"/>
      <c r="II646" s="174"/>
      <c r="IJ646" s="174"/>
      <c r="IK646" s="174"/>
      <c r="IL646" s="159">
        <v>0.0</v>
      </c>
      <c r="IM646" s="156">
        <v>0.0</v>
      </c>
      <c r="IN646" s="156">
        <v>0.0</v>
      </c>
      <c r="IO646" s="156">
        <v>0.0</v>
      </c>
      <c r="IP646" s="156">
        <v>0.0</v>
      </c>
      <c r="IQ646" s="160">
        <v>0.0</v>
      </c>
      <c r="IR646" s="174"/>
      <c r="IS646" s="174"/>
      <c r="IT646" s="174"/>
      <c r="IU646" s="174"/>
      <c r="IV646" s="174"/>
      <c r="IW646" s="174"/>
      <c r="IX646" s="174"/>
      <c r="IY646" s="174"/>
      <c r="IZ646" s="174"/>
      <c r="JA646" s="174"/>
      <c r="JB646" s="174"/>
      <c r="JC646" s="174"/>
      <c r="JD646" s="174"/>
      <c r="JE646" s="174"/>
      <c r="JF646" s="174"/>
      <c r="JG646" s="174"/>
      <c r="JH646" s="177"/>
      <c r="JI646" s="174"/>
      <c r="JJ646" s="174"/>
      <c r="JK646" s="174"/>
      <c r="JL646" s="174"/>
      <c r="JM646" s="174"/>
      <c r="JN646" s="174"/>
      <c r="JO646" s="174"/>
      <c r="JP646" s="174"/>
      <c r="JQ646" s="174"/>
      <c r="JR646" s="174"/>
      <c r="JS646" s="174"/>
      <c r="JT646" s="174"/>
      <c r="JU646" s="174"/>
      <c r="JV646" s="174"/>
      <c r="JW646" s="159">
        <v>0.0</v>
      </c>
      <c r="JX646" s="156">
        <v>0.0</v>
      </c>
      <c r="JY646" s="156">
        <v>0.0</v>
      </c>
      <c r="JZ646" s="156">
        <v>0.0</v>
      </c>
      <c r="KA646" s="156">
        <v>0.0</v>
      </c>
      <c r="KB646" s="160">
        <v>0.0</v>
      </c>
      <c r="LH646" s="159">
        <f t="shared" si="10"/>
        <v>0</v>
      </c>
      <c r="LI646" s="156">
        <f t="shared" si="11"/>
        <v>0</v>
      </c>
      <c r="LJ646" s="156">
        <f t="shared" si="12"/>
        <v>0</v>
      </c>
      <c r="LK646" s="156">
        <f t="shared" si="13"/>
        <v>0</v>
      </c>
      <c r="LL646" s="156">
        <f t="shared" si="14"/>
        <v>0</v>
      </c>
      <c r="LM646" s="160">
        <f t="shared" si="15"/>
        <v>0</v>
      </c>
      <c r="QX646" s="560">
        <v>46177.0</v>
      </c>
    </row>
    <row r="647">
      <c r="A647" s="12"/>
      <c r="B647" s="12"/>
      <c r="C647" s="12"/>
      <c r="D647" s="12"/>
      <c r="E647" s="12"/>
      <c r="F647" s="12"/>
      <c r="G647" s="12"/>
      <c r="H647" s="12"/>
      <c r="I647" s="143">
        <f t="shared" si="22"/>
        <v>-28</v>
      </c>
      <c r="J647" s="537">
        <v>46184.0</v>
      </c>
      <c r="K647" s="294" t="s">
        <v>53</v>
      </c>
      <c r="L647" s="601">
        <v>46262.0</v>
      </c>
      <c r="M647" s="86" t="s">
        <v>435</v>
      </c>
      <c r="N647" s="86">
        <v>357.0</v>
      </c>
      <c r="O647" s="86">
        <v>30.0</v>
      </c>
      <c r="U647" s="162" t="s">
        <v>3622</v>
      </c>
      <c r="V647" s="538" t="s">
        <v>3623</v>
      </c>
      <c r="W647" s="125" t="s">
        <v>3624</v>
      </c>
      <c r="X647" s="140"/>
      <c r="Y647" s="166">
        <f t="shared" si="23"/>
        <v>28</v>
      </c>
      <c r="Z647" s="26">
        <f t="shared" si="7"/>
        <v>0</v>
      </c>
      <c r="AA647" s="26">
        <f t="shared" si="8"/>
        <v>3</v>
      </c>
      <c r="AB647" s="26">
        <f t="shared" si="9"/>
        <v>0</v>
      </c>
      <c r="AC647" s="155">
        <v>0.0</v>
      </c>
      <c r="AD647" s="155">
        <v>0.0</v>
      </c>
      <c r="AE647" s="155">
        <v>0.0</v>
      </c>
      <c r="AF647" s="155">
        <v>0.0</v>
      </c>
      <c r="AG647" s="155">
        <v>0.0</v>
      </c>
      <c r="AH647" s="155">
        <v>0.0</v>
      </c>
      <c r="BN647" s="155">
        <v>0.0</v>
      </c>
      <c r="BO647" s="155">
        <v>0.0</v>
      </c>
      <c r="BP647" s="155">
        <v>0.0</v>
      </c>
      <c r="BQ647" s="155">
        <v>0.0</v>
      </c>
      <c r="BR647" s="155">
        <v>0.0</v>
      </c>
      <c r="BS647" s="155">
        <v>0.0</v>
      </c>
      <c r="CV647" s="156">
        <v>0.0</v>
      </c>
      <c r="CW647" s="156">
        <v>0.0</v>
      </c>
      <c r="CX647" s="156">
        <v>0.0</v>
      </c>
      <c r="CY647" s="156">
        <v>0.0</v>
      </c>
      <c r="CZ647" s="156">
        <v>0.0</v>
      </c>
      <c r="DA647" s="156">
        <v>0.0</v>
      </c>
      <c r="EG647" s="156">
        <v>0.0</v>
      </c>
      <c r="EH647" s="156">
        <v>0.0</v>
      </c>
      <c r="EI647" s="156">
        <v>0.0</v>
      </c>
      <c r="EJ647" s="156">
        <v>0.0</v>
      </c>
      <c r="EK647" s="156">
        <v>0.0</v>
      </c>
      <c r="EL647" s="156">
        <v>0.0</v>
      </c>
      <c r="FQ647" s="156">
        <v>0.0</v>
      </c>
      <c r="FR647" s="156">
        <v>0.0</v>
      </c>
      <c r="FS647" s="156">
        <v>0.0</v>
      </c>
      <c r="FT647" s="156">
        <v>0.0</v>
      </c>
      <c r="FU647" s="156">
        <v>0.0</v>
      </c>
      <c r="FV647" s="156">
        <v>0.0</v>
      </c>
      <c r="FW647" s="157"/>
      <c r="FX647" s="157"/>
      <c r="FY647" s="157"/>
      <c r="FZ647" s="157"/>
      <c r="GA647" s="157"/>
      <c r="GB647" s="157"/>
      <c r="GC647" s="157"/>
      <c r="GD647" s="157"/>
      <c r="GE647" s="157"/>
      <c r="GF647" s="157"/>
      <c r="GG647" s="157"/>
      <c r="GH647" s="157"/>
      <c r="GI647" s="157"/>
      <c r="GJ647" s="157"/>
      <c r="GK647" s="157"/>
      <c r="GL647" s="157"/>
      <c r="GM647" s="157"/>
      <c r="GN647" s="157"/>
      <c r="GO647" s="157"/>
      <c r="GP647" s="158"/>
      <c r="GQ647" s="157"/>
      <c r="GR647" s="157"/>
      <c r="GS647" s="157"/>
      <c r="GT647" s="157"/>
      <c r="GU647" s="157"/>
      <c r="GV647" s="157"/>
      <c r="GW647" s="157"/>
      <c r="GX647" s="157"/>
      <c r="GY647" s="157"/>
      <c r="GZ647" s="157"/>
      <c r="HA647" s="157"/>
      <c r="HB647" s="155">
        <v>9.0</v>
      </c>
      <c r="HC647" s="155">
        <v>0.0</v>
      </c>
      <c r="HD647" s="155">
        <v>0.0</v>
      </c>
      <c r="HE647" s="155">
        <v>0.0</v>
      </c>
      <c r="HF647" s="155">
        <v>0.0</v>
      </c>
      <c r="HG647" s="155">
        <v>0.0</v>
      </c>
      <c r="HH647" s="172"/>
      <c r="HI647" s="172"/>
      <c r="HJ647" s="172"/>
      <c r="HK647" s="172"/>
      <c r="HL647" s="172"/>
      <c r="HM647" s="172"/>
      <c r="HN647" s="172"/>
      <c r="HO647" s="172"/>
      <c r="HP647" s="172"/>
      <c r="HQ647" s="172"/>
      <c r="HR647" s="172">
        <v>1.0</v>
      </c>
      <c r="HS647" s="172">
        <v>0.0</v>
      </c>
      <c r="HT647" s="172">
        <v>1.0</v>
      </c>
      <c r="HU647" s="172">
        <v>0.0</v>
      </c>
      <c r="HV647" s="172">
        <v>0.0</v>
      </c>
      <c r="HW647" s="172">
        <v>1.0</v>
      </c>
      <c r="HX647" s="172">
        <v>0.0</v>
      </c>
      <c r="HY647" s="172">
        <v>1.0</v>
      </c>
      <c r="HZ647" s="172">
        <v>0.0</v>
      </c>
      <c r="IA647" s="172">
        <v>1.0</v>
      </c>
      <c r="IB647" s="172">
        <v>0.0</v>
      </c>
      <c r="IC647" s="172">
        <v>0.0</v>
      </c>
      <c r="ID647" s="172">
        <v>1.0</v>
      </c>
      <c r="IE647" s="172">
        <v>0.0</v>
      </c>
      <c r="IF647" s="172">
        <v>1.0</v>
      </c>
      <c r="IG647" s="172">
        <v>0.0</v>
      </c>
      <c r="IH647" s="172">
        <v>1.0</v>
      </c>
      <c r="II647" s="172">
        <v>0.0</v>
      </c>
      <c r="IJ647" s="172">
        <v>0.0</v>
      </c>
      <c r="IK647" s="172">
        <v>1.0</v>
      </c>
      <c r="IL647" s="159">
        <v>13.0</v>
      </c>
      <c r="IM647" s="156">
        <v>0.0</v>
      </c>
      <c r="IN647" s="156">
        <v>0.0</v>
      </c>
      <c r="IO647" s="156">
        <v>1.0</v>
      </c>
      <c r="IP647" s="156">
        <v>0.0</v>
      </c>
      <c r="IQ647" s="160">
        <v>1.0</v>
      </c>
      <c r="IR647" s="172">
        <v>0.0</v>
      </c>
      <c r="IS647" s="172">
        <v>1.0</v>
      </c>
      <c r="IT647" s="172">
        <v>0.0</v>
      </c>
      <c r="IU647" s="172">
        <v>1.0</v>
      </c>
      <c r="IV647" s="172">
        <v>0.0</v>
      </c>
      <c r="IW647" s="172">
        <v>0.0</v>
      </c>
      <c r="IX647" s="172"/>
      <c r="IY647" s="172">
        <v>0.0</v>
      </c>
      <c r="IZ647" s="172" t="s">
        <v>3354</v>
      </c>
      <c r="JA647" s="172">
        <v>0.0</v>
      </c>
      <c r="JB647" s="172">
        <v>1.0</v>
      </c>
      <c r="JC647" s="172">
        <v>0.0</v>
      </c>
      <c r="JD647" s="172">
        <v>0.0</v>
      </c>
      <c r="JE647" s="172">
        <v>1.0</v>
      </c>
      <c r="JF647" s="172">
        <v>0.0</v>
      </c>
      <c r="JG647" s="172" t="s">
        <v>947</v>
      </c>
      <c r="JH647" s="170">
        <v>0.0</v>
      </c>
      <c r="JI647" s="172">
        <v>1.0</v>
      </c>
      <c r="JJ647" s="172">
        <v>1.0</v>
      </c>
      <c r="JK647" s="172"/>
      <c r="JL647" s="172">
        <v>1.0</v>
      </c>
      <c r="JM647" s="172"/>
      <c r="JN647" s="172"/>
      <c r="JO647" s="172"/>
      <c r="JP647" s="172">
        <v>1.0</v>
      </c>
      <c r="JQ647" s="172">
        <v>1.0</v>
      </c>
      <c r="JR647" s="172">
        <v>1.0</v>
      </c>
      <c r="JS647" s="172">
        <v>1.0</v>
      </c>
      <c r="JT647" s="172"/>
      <c r="JU647" s="172">
        <v>1.0</v>
      </c>
      <c r="JV647" s="172"/>
      <c r="JW647" s="159">
        <v>6.0</v>
      </c>
      <c r="JX647" s="156">
        <v>0.0</v>
      </c>
      <c r="JY647" s="156">
        <v>0.0</v>
      </c>
      <c r="JZ647" s="156">
        <v>2.0</v>
      </c>
      <c r="KA647" s="156">
        <v>0.0</v>
      </c>
      <c r="KB647" s="160">
        <v>0.0</v>
      </c>
      <c r="KC647" s="172">
        <v>2.0</v>
      </c>
      <c r="KD647" s="172"/>
      <c r="KE647" s="172"/>
      <c r="KF647" s="172">
        <v>2.0</v>
      </c>
      <c r="KG647" s="172"/>
      <c r="KH647" s="172" t="s">
        <v>947</v>
      </c>
      <c r="KI647" s="172"/>
      <c r="KJ647" s="172"/>
      <c r="KK647" s="172"/>
      <c r="KL647" s="172"/>
      <c r="KM647" s="172" t="s">
        <v>947</v>
      </c>
      <c r="KN647" s="172"/>
      <c r="KO647" s="172"/>
      <c r="KP647" s="172"/>
      <c r="KQ647" s="172"/>
      <c r="KR647" s="172"/>
      <c r="KS647" s="432"/>
      <c r="KT647" s="172"/>
      <c r="KU647" s="172"/>
      <c r="KV647" s="172"/>
      <c r="KW647" s="172"/>
      <c r="KX647" s="172"/>
      <c r="KY647" s="172"/>
      <c r="KZ647" s="172"/>
      <c r="LA647" s="172"/>
      <c r="LB647" s="172"/>
      <c r="LC647" s="172"/>
      <c r="LD647" s="172"/>
      <c r="LE647" s="172"/>
      <c r="LF647" s="172"/>
      <c r="LG647" s="172"/>
      <c r="LH647" s="159">
        <f t="shared" si="10"/>
        <v>0</v>
      </c>
      <c r="LI647" s="156">
        <f t="shared" si="11"/>
        <v>0</v>
      </c>
      <c r="LJ647" s="156">
        <f t="shared" si="12"/>
        <v>0</v>
      </c>
      <c r="LK647" s="156">
        <f t="shared" si="13"/>
        <v>0</v>
      </c>
      <c r="LL647" s="156">
        <f t="shared" si="14"/>
        <v>0</v>
      </c>
      <c r="LM647" s="160">
        <f t="shared" si="15"/>
        <v>0</v>
      </c>
      <c r="QX647" s="560">
        <v>46178.0</v>
      </c>
    </row>
    <row r="648">
      <c r="A648" s="12"/>
      <c r="B648" s="12"/>
      <c r="C648" s="12"/>
      <c r="D648" s="12"/>
      <c r="E648" s="58"/>
      <c r="F648" s="12"/>
      <c r="G648" s="12"/>
      <c r="H648" s="12"/>
      <c r="I648" s="143">
        <f t="shared" si="22"/>
        <v>-27</v>
      </c>
      <c r="J648" s="537">
        <v>46184.0</v>
      </c>
      <c r="K648" s="294" t="s">
        <v>48</v>
      </c>
      <c r="L648" s="108"/>
      <c r="M648" s="86" t="s">
        <v>712</v>
      </c>
      <c r="N648" s="86">
        <v>357.0</v>
      </c>
      <c r="O648" s="86">
        <v>30.0</v>
      </c>
      <c r="U648" s="162" t="s">
        <v>3590</v>
      </c>
      <c r="V648" s="538" t="s">
        <v>3568</v>
      </c>
      <c r="W648" s="185" t="s">
        <v>3625</v>
      </c>
      <c r="X648" s="140"/>
      <c r="Y648" s="166">
        <f t="shared" si="23"/>
        <v>27</v>
      </c>
      <c r="Z648" s="26">
        <f t="shared" si="7"/>
        <v>0</v>
      </c>
      <c r="AA648" s="26">
        <f t="shared" si="8"/>
        <v>0</v>
      </c>
      <c r="AB648" s="26">
        <f t="shared" si="9"/>
        <v>0</v>
      </c>
      <c r="AC648" s="155">
        <v>0.0</v>
      </c>
      <c r="AD648" s="155">
        <v>0.0</v>
      </c>
      <c r="AE648" s="155">
        <v>0.0</v>
      </c>
      <c r="AF648" s="155">
        <v>0.0</v>
      </c>
      <c r="AG648" s="155">
        <v>0.0</v>
      </c>
      <c r="AH648" s="155">
        <v>0.0</v>
      </c>
      <c r="BN648" s="155">
        <v>0.0</v>
      </c>
      <c r="BO648" s="155">
        <v>0.0</v>
      </c>
      <c r="BP648" s="155">
        <v>0.0</v>
      </c>
      <c r="BQ648" s="155">
        <v>0.0</v>
      </c>
      <c r="BR648" s="155">
        <v>0.0</v>
      </c>
      <c r="BS648" s="155">
        <v>0.0</v>
      </c>
      <c r="CV648" s="156">
        <v>0.0</v>
      </c>
      <c r="CW648" s="156">
        <v>0.0</v>
      </c>
      <c r="CX648" s="156">
        <v>0.0</v>
      </c>
      <c r="CY648" s="156">
        <v>0.0</v>
      </c>
      <c r="CZ648" s="156">
        <v>0.0</v>
      </c>
      <c r="DA648" s="156">
        <v>0.0</v>
      </c>
      <c r="EG648" s="156">
        <v>0.0</v>
      </c>
      <c r="EH648" s="156">
        <v>0.0</v>
      </c>
      <c r="EI648" s="156">
        <v>0.0</v>
      </c>
      <c r="EJ648" s="156">
        <v>0.0</v>
      </c>
      <c r="EK648" s="156">
        <v>0.0</v>
      </c>
      <c r="EL648" s="156">
        <v>0.0</v>
      </c>
      <c r="FQ648" s="156">
        <v>0.0</v>
      </c>
      <c r="FR648" s="156">
        <v>0.0</v>
      </c>
      <c r="FS648" s="156">
        <v>0.0</v>
      </c>
      <c r="FT648" s="156">
        <v>0.0</v>
      </c>
      <c r="FU648" s="156">
        <v>0.0</v>
      </c>
      <c r="FV648" s="156">
        <v>0.0</v>
      </c>
      <c r="FW648" s="157"/>
      <c r="FX648" s="157"/>
      <c r="FY648" s="157"/>
      <c r="FZ648" s="157"/>
      <c r="GA648" s="157"/>
      <c r="GB648" s="157"/>
      <c r="GC648" s="157"/>
      <c r="GD648" s="157"/>
      <c r="GE648" s="157"/>
      <c r="GF648" s="157"/>
      <c r="GG648" s="157"/>
      <c r="GH648" s="157"/>
      <c r="GI648" s="157"/>
      <c r="GJ648" s="157"/>
      <c r="GK648" s="157"/>
      <c r="GL648" s="157"/>
      <c r="GM648" s="157"/>
      <c r="GN648" s="157"/>
      <c r="GO648" s="157"/>
      <c r="GP648" s="158"/>
      <c r="GQ648" s="157"/>
      <c r="GR648" s="157"/>
      <c r="GS648" s="157"/>
      <c r="GT648" s="157"/>
      <c r="GU648" s="157"/>
      <c r="GV648" s="157"/>
      <c r="GW648" s="157"/>
      <c r="GX648" s="157"/>
      <c r="GY648" s="157"/>
      <c r="GZ648" s="157"/>
      <c r="HA648" s="157"/>
      <c r="HB648" s="155">
        <v>8.0</v>
      </c>
      <c r="HC648" s="155">
        <v>0.0</v>
      </c>
      <c r="HD648" s="155">
        <v>0.0</v>
      </c>
      <c r="HE648" s="155">
        <v>0.0</v>
      </c>
      <c r="HF648" s="155">
        <v>0.0</v>
      </c>
      <c r="HG648" s="155">
        <v>0.0</v>
      </c>
      <c r="HH648" s="172"/>
      <c r="HI648" s="172"/>
      <c r="HJ648" s="172"/>
      <c r="HK648" s="172"/>
      <c r="HL648" s="172"/>
      <c r="HM648" s="172"/>
      <c r="HN648" s="172"/>
      <c r="HO648" s="172"/>
      <c r="HP648" s="172"/>
      <c r="HQ648" s="172"/>
      <c r="HR648" s="172">
        <v>1.0</v>
      </c>
      <c r="HS648" s="172">
        <v>0.0</v>
      </c>
      <c r="HT648" s="172">
        <v>1.0</v>
      </c>
      <c r="HU648" s="172">
        <v>0.0</v>
      </c>
      <c r="HV648" s="172">
        <v>0.0</v>
      </c>
      <c r="HW648" s="172">
        <v>1.0</v>
      </c>
      <c r="HX648" s="172">
        <v>0.0</v>
      </c>
      <c r="HY648" s="172">
        <v>1.0</v>
      </c>
      <c r="HZ648" s="172">
        <v>0.0</v>
      </c>
      <c r="IA648" s="172"/>
      <c r="IB648" s="172">
        <v>0.0</v>
      </c>
      <c r="IC648" s="172">
        <v>0.0</v>
      </c>
      <c r="ID648" s="172">
        <v>1.0</v>
      </c>
      <c r="IE648" s="172">
        <v>0.0</v>
      </c>
      <c r="IF648" s="172">
        <v>1.0</v>
      </c>
      <c r="IG648" s="172">
        <v>0.0</v>
      </c>
      <c r="IH648" s="172">
        <v>1.0</v>
      </c>
      <c r="II648" s="172">
        <v>0.0</v>
      </c>
      <c r="IJ648" s="172">
        <v>0.0</v>
      </c>
      <c r="IK648" s="172">
        <v>1.0</v>
      </c>
      <c r="IL648" s="159">
        <v>12.0</v>
      </c>
      <c r="IM648" s="156">
        <v>0.0</v>
      </c>
      <c r="IN648" s="156">
        <v>0.0</v>
      </c>
      <c r="IO648" s="156">
        <v>0.0</v>
      </c>
      <c r="IP648" s="156">
        <v>0.0</v>
      </c>
      <c r="IQ648" s="160">
        <v>0.0</v>
      </c>
      <c r="IR648" s="172">
        <v>0.0</v>
      </c>
      <c r="IS648" s="172">
        <v>1.0</v>
      </c>
      <c r="IT648" s="172">
        <v>0.0</v>
      </c>
      <c r="IU648" s="172">
        <v>1.0</v>
      </c>
      <c r="IV648" s="172">
        <v>0.0</v>
      </c>
      <c r="IW648" s="172">
        <v>0.0</v>
      </c>
      <c r="IX648" s="172">
        <v>1.0</v>
      </c>
      <c r="IY648" s="172">
        <v>0.0</v>
      </c>
      <c r="IZ648" s="172">
        <v>1.0</v>
      </c>
      <c r="JA648" s="172">
        <v>0.0</v>
      </c>
      <c r="JB648" s="172"/>
      <c r="JC648" s="172">
        <v>0.0</v>
      </c>
      <c r="JD648" s="172">
        <v>0.0</v>
      </c>
      <c r="JE648" s="172">
        <v>1.0</v>
      </c>
      <c r="JF648" s="172">
        <v>0.0</v>
      </c>
      <c r="JG648" s="172">
        <v>1.0</v>
      </c>
      <c r="JH648" s="170">
        <v>0.0</v>
      </c>
      <c r="JI648" s="172">
        <v>1.0</v>
      </c>
      <c r="JJ648" s="172"/>
      <c r="JK648" s="172"/>
      <c r="JL648" s="172">
        <v>1.0</v>
      </c>
      <c r="JM648" s="172"/>
      <c r="JN648" s="172">
        <v>1.0</v>
      </c>
      <c r="JO648" s="172"/>
      <c r="JP648" s="172">
        <v>1.0</v>
      </c>
      <c r="JQ648" s="172"/>
      <c r="JR648" s="172"/>
      <c r="JS648" s="172">
        <v>1.0</v>
      </c>
      <c r="JT648" s="172"/>
      <c r="JU648" s="172">
        <v>1.0</v>
      </c>
      <c r="JV648" s="172"/>
      <c r="JW648" s="159">
        <v>0.0</v>
      </c>
      <c r="JX648" s="156">
        <v>0.0</v>
      </c>
      <c r="JY648" s="156">
        <v>0.0</v>
      </c>
      <c r="JZ648" s="156">
        <v>0.0</v>
      </c>
      <c r="KA648" s="156">
        <v>0.0</v>
      </c>
      <c r="KB648" s="160">
        <v>0.0</v>
      </c>
      <c r="KC648" s="172"/>
      <c r="KD648" s="172"/>
      <c r="KE648" s="172"/>
      <c r="KF648" s="172"/>
      <c r="KG648" s="172"/>
      <c r="KH648" s="172"/>
      <c r="KI648" s="172"/>
      <c r="KJ648" s="172"/>
      <c r="KK648" s="172"/>
      <c r="KL648" s="172"/>
      <c r="KM648" s="172"/>
      <c r="KN648" s="172"/>
      <c r="KO648" s="172"/>
      <c r="KP648" s="172"/>
      <c r="KQ648" s="172"/>
      <c r="KR648" s="172"/>
      <c r="KS648" s="432"/>
      <c r="KT648" s="172"/>
      <c r="KU648" s="172"/>
      <c r="KV648" s="172"/>
      <c r="KW648" s="172"/>
      <c r="KX648" s="172"/>
      <c r="KY648" s="172"/>
      <c r="KZ648" s="172"/>
      <c r="LA648" s="172"/>
      <c r="LB648" s="172"/>
      <c r="LC648" s="172"/>
      <c r="LD648" s="172"/>
      <c r="LE648" s="172"/>
      <c r="LF648" s="172"/>
      <c r="LG648" s="172"/>
      <c r="LH648" s="159">
        <f t="shared" si="10"/>
        <v>7</v>
      </c>
      <c r="LI648" s="156">
        <f t="shared" si="11"/>
        <v>0</v>
      </c>
      <c r="LJ648" s="156">
        <f t="shared" si="12"/>
        <v>0</v>
      </c>
      <c r="LK648" s="156">
        <f t="shared" si="13"/>
        <v>0</v>
      </c>
      <c r="LL648" s="156">
        <f t="shared" si="14"/>
        <v>0</v>
      </c>
      <c r="LM648" s="160">
        <f t="shared" si="15"/>
        <v>0</v>
      </c>
      <c r="LW648" s="12">
        <f t="shared" ref="LW648:MQ648" si="66">IFS(TODAY()&lt;=LC$2,0,WEEKDAY(LC$2)=2,0,WEEKDAY(LC$2)=3,1,WEEKDAY(LC$2)=4,0,WEEKDAY(LC$2)=5,1,WEEKDAY(LC$2)=6,0,WEEKDAY(LC$2)=7,1,WEEKDAY(LC$2)=1,0)</f>
        <v>1</v>
      </c>
      <c r="LX648" s="12">
        <f t="shared" si="66"/>
        <v>0</v>
      </c>
      <c r="LY648" s="12">
        <f t="shared" si="66"/>
        <v>1</v>
      </c>
      <c r="LZ648" s="12">
        <f t="shared" si="66"/>
        <v>0</v>
      </c>
      <c r="MA648" s="12">
        <f t="shared" si="66"/>
        <v>0</v>
      </c>
      <c r="MB648" s="12">
        <f t="shared" si="66"/>
        <v>0</v>
      </c>
      <c r="MC648" s="12">
        <f t="shared" si="66"/>
        <v>0</v>
      </c>
      <c r="MD648" s="12">
        <f t="shared" si="66"/>
        <v>0</v>
      </c>
      <c r="ME648" s="12">
        <f t="shared" si="66"/>
        <v>0</v>
      </c>
      <c r="MF648" s="12">
        <f t="shared" si="66"/>
        <v>0</v>
      </c>
      <c r="MG648" s="12">
        <f t="shared" si="66"/>
        <v>0</v>
      </c>
      <c r="MH648" s="12">
        <f t="shared" si="66"/>
        <v>1</v>
      </c>
      <c r="MI648" s="12">
        <f t="shared" si="66"/>
        <v>0</v>
      </c>
      <c r="MJ648" s="12">
        <f t="shared" si="66"/>
        <v>1</v>
      </c>
      <c r="MK648" s="12">
        <f t="shared" si="66"/>
        <v>0</v>
      </c>
      <c r="ML648" s="12">
        <f t="shared" si="66"/>
        <v>1</v>
      </c>
      <c r="MM648" s="12">
        <f t="shared" si="66"/>
        <v>0</v>
      </c>
      <c r="MN648" s="12">
        <f t="shared" si="66"/>
        <v>0</v>
      </c>
      <c r="MO648" s="12">
        <f t="shared" si="66"/>
        <v>1</v>
      </c>
      <c r="MP648" s="12">
        <f t="shared" si="66"/>
        <v>0</v>
      </c>
      <c r="MQ648" s="12">
        <f t="shared" si="66"/>
        <v>1</v>
      </c>
      <c r="QX648" s="560">
        <v>46179.0</v>
      </c>
    </row>
    <row r="649">
      <c r="A649" s="12"/>
      <c r="B649" s="12"/>
      <c r="C649" s="12"/>
      <c r="D649" s="12"/>
      <c r="E649" s="12"/>
      <c r="F649" s="12"/>
      <c r="G649" s="12"/>
      <c r="H649" s="12"/>
      <c r="I649" s="143">
        <f t="shared" si="22"/>
        <v>-30</v>
      </c>
      <c r="J649" s="602">
        <v>46184.0</v>
      </c>
      <c r="K649" s="603" t="s">
        <v>61</v>
      </c>
      <c r="L649" s="602">
        <v>46263.0</v>
      </c>
      <c r="M649" s="86" t="s">
        <v>400</v>
      </c>
      <c r="N649" s="86">
        <v>357.0</v>
      </c>
      <c r="O649" s="86">
        <v>30.0</v>
      </c>
      <c r="U649" s="162" t="s">
        <v>3025</v>
      </c>
      <c r="V649" s="538" t="s">
        <v>3064</v>
      </c>
      <c r="W649" s="125" t="s">
        <v>3626</v>
      </c>
      <c r="X649" s="140"/>
      <c r="Y649" s="166">
        <f t="shared" si="23"/>
        <v>30</v>
      </c>
      <c r="Z649" s="26">
        <f t="shared" si="7"/>
        <v>0</v>
      </c>
      <c r="AA649" s="26">
        <f t="shared" si="8"/>
        <v>0</v>
      </c>
      <c r="AB649" s="26">
        <f t="shared" si="9"/>
        <v>0</v>
      </c>
      <c r="AC649" s="155">
        <v>0.0</v>
      </c>
      <c r="AD649" s="155">
        <v>0.0</v>
      </c>
      <c r="AE649" s="155">
        <v>0.0</v>
      </c>
      <c r="AF649" s="155">
        <v>0.0</v>
      </c>
      <c r="AG649" s="155">
        <v>0.0</v>
      </c>
      <c r="AH649" s="155">
        <v>0.0</v>
      </c>
      <c r="BN649" s="155">
        <v>0.0</v>
      </c>
      <c r="BO649" s="155">
        <v>0.0</v>
      </c>
      <c r="BP649" s="155">
        <v>0.0</v>
      </c>
      <c r="BQ649" s="155">
        <v>0.0</v>
      </c>
      <c r="BR649" s="155">
        <v>0.0</v>
      </c>
      <c r="BS649" s="155">
        <v>0.0</v>
      </c>
      <c r="CV649" s="156">
        <v>0.0</v>
      </c>
      <c r="CW649" s="156">
        <v>0.0</v>
      </c>
      <c r="CX649" s="156">
        <v>0.0</v>
      </c>
      <c r="CY649" s="156">
        <v>0.0</v>
      </c>
      <c r="CZ649" s="156">
        <v>0.0</v>
      </c>
      <c r="DA649" s="156">
        <v>0.0</v>
      </c>
      <c r="EG649" s="156">
        <v>0.0</v>
      </c>
      <c r="EH649" s="156">
        <v>0.0</v>
      </c>
      <c r="EI649" s="156">
        <v>0.0</v>
      </c>
      <c r="EJ649" s="156">
        <v>0.0</v>
      </c>
      <c r="EK649" s="156">
        <v>0.0</v>
      </c>
      <c r="EL649" s="156">
        <v>0.0</v>
      </c>
      <c r="FQ649" s="156">
        <v>0.0</v>
      </c>
      <c r="FR649" s="156">
        <v>0.0</v>
      </c>
      <c r="FS649" s="156">
        <v>0.0</v>
      </c>
      <c r="FT649" s="156">
        <v>0.0</v>
      </c>
      <c r="FU649" s="156">
        <v>0.0</v>
      </c>
      <c r="FV649" s="156">
        <v>0.0</v>
      </c>
      <c r="FW649" s="157"/>
      <c r="FX649" s="157"/>
      <c r="FY649" s="157"/>
      <c r="FZ649" s="157"/>
      <c r="GA649" s="157"/>
      <c r="GB649" s="157"/>
      <c r="GC649" s="157"/>
      <c r="GD649" s="157"/>
      <c r="GE649" s="157"/>
      <c r="GF649" s="157"/>
      <c r="GG649" s="157"/>
      <c r="GH649" s="157"/>
      <c r="GI649" s="157"/>
      <c r="GJ649" s="157"/>
      <c r="GK649" s="157"/>
      <c r="GL649" s="157"/>
      <c r="GM649" s="157"/>
      <c r="GN649" s="157"/>
      <c r="GO649" s="157"/>
      <c r="GP649" s="158"/>
      <c r="GQ649" s="157"/>
      <c r="GR649" s="157"/>
      <c r="GS649" s="157"/>
      <c r="GT649" s="157"/>
      <c r="GU649" s="157"/>
      <c r="GV649" s="157"/>
      <c r="GW649" s="157"/>
      <c r="GX649" s="157"/>
      <c r="GY649" s="157"/>
      <c r="GZ649" s="157"/>
      <c r="HA649" s="157"/>
      <c r="HB649" s="155">
        <v>9.0</v>
      </c>
      <c r="HC649" s="155">
        <v>0.0</v>
      </c>
      <c r="HD649" s="155">
        <v>0.0</v>
      </c>
      <c r="HE649" s="155">
        <v>0.0</v>
      </c>
      <c r="HF649" s="155">
        <v>0.0</v>
      </c>
      <c r="HG649" s="155">
        <v>0.0</v>
      </c>
      <c r="HH649" s="172"/>
      <c r="HI649" s="172"/>
      <c r="HJ649" s="172"/>
      <c r="HK649" s="172"/>
      <c r="HL649" s="172"/>
      <c r="HM649" s="172"/>
      <c r="HN649" s="172"/>
      <c r="HO649" s="172"/>
      <c r="HP649" s="172"/>
      <c r="HQ649" s="172"/>
      <c r="HR649" s="172">
        <v>1.0</v>
      </c>
      <c r="HS649" s="172">
        <v>0.0</v>
      </c>
      <c r="HT649" s="172">
        <v>1.0</v>
      </c>
      <c r="HU649" s="172">
        <v>0.0</v>
      </c>
      <c r="HV649" s="172">
        <v>0.0</v>
      </c>
      <c r="HW649" s="172">
        <v>1.0</v>
      </c>
      <c r="HX649" s="172">
        <v>0.0</v>
      </c>
      <c r="HY649" s="172">
        <v>1.0</v>
      </c>
      <c r="HZ649" s="172">
        <v>0.0</v>
      </c>
      <c r="IA649" s="172">
        <v>1.0</v>
      </c>
      <c r="IB649" s="172">
        <v>0.0</v>
      </c>
      <c r="IC649" s="172">
        <v>0.0</v>
      </c>
      <c r="ID649" s="172">
        <v>1.0</v>
      </c>
      <c r="IE649" s="172">
        <v>0.0</v>
      </c>
      <c r="IF649" s="172">
        <v>1.0</v>
      </c>
      <c r="IG649" s="172">
        <v>0.0</v>
      </c>
      <c r="IH649" s="172">
        <v>1.0</v>
      </c>
      <c r="II649" s="172">
        <v>0.0</v>
      </c>
      <c r="IJ649" s="172">
        <v>0.0</v>
      </c>
      <c r="IK649" s="172">
        <v>1.0</v>
      </c>
      <c r="IL649" s="159">
        <v>12.0</v>
      </c>
      <c r="IM649" s="156">
        <v>0.0</v>
      </c>
      <c r="IN649" s="156">
        <v>0.0</v>
      </c>
      <c r="IO649" s="156">
        <v>0.0</v>
      </c>
      <c r="IP649" s="156">
        <v>0.0</v>
      </c>
      <c r="IQ649" s="160">
        <v>0.0</v>
      </c>
      <c r="IR649" s="172">
        <v>0.0</v>
      </c>
      <c r="IS649" s="172">
        <v>1.0</v>
      </c>
      <c r="IT649" s="172">
        <v>0.0</v>
      </c>
      <c r="IU649" s="172">
        <v>1.0</v>
      </c>
      <c r="IV649" s="172">
        <v>0.0</v>
      </c>
      <c r="IW649" s="172">
        <v>0.0</v>
      </c>
      <c r="IX649" s="172"/>
      <c r="IY649" s="172">
        <v>0.0</v>
      </c>
      <c r="IZ649" s="172">
        <v>1.0</v>
      </c>
      <c r="JA649" s="172">
        <v>0.0</v>
      </c>
      <c r="JB649" s="172">
        <v>1.0</v>
      </c>
      <c r="JC649" s="172">
        <v>0.0</v>
      </c>
      <c r="JD649" s="172">
        <v>0.0</v>
      </c>
      <c r="JE649" s="172"/>
      <c r="JF649" s="172">
        <v>0.0</v>
      </c>
      <c r="JG649" s="172">
        <v>1.0</v>
      </c>
      <c r="JH649" s="170">
        <v>0.0</v>
      </c>
      <c r="JI649" s="172">
        <v>1.0</v>
      </c>
      <c r="JJ649" s="172"/>
      <c r="JK649" s="172"/>
      <c r="JL649" s="172">
        <v>1.0</v>
      </c>
      <c r="JM649" s="172"/>
      <c r="JN649" s="172"/>
      <c r="JO649" s="172"/>
      <c r="JP649" s="172">
        <v>1.0</v>
      </c>
      <c r="JQ649" s="172">
        <v>1.0</v>
      </c>
      <c r="JR649" s="172">
        <v>1.0</v>
      </c>
      <c r="JS649" s="172">
        <v>1.0</v>
      </c>
      <c r="JT649" s="172"/>
      <c r="JU649" s="172">
        <v>1.0</v>
      </c>
      <c r="JV649" s="172"/>
      <c r="JW649" s="159">
        <v>9.0</v>
      </c>
      <c r="JX649" s="156">
        <v>0.0</v>
      </c>
      <c r="JY649" s="156">
        <v>0.0</v>
      </c>
      <c r="JZ649" s="156">
        <v>0.0</v>
      </c>
      <c r="KA649" s="156">
        <v>0.0</v>
      </c>
      <c r="KB649" s="160">
        <v>0.0</v>
      </c>
      <c r="KC649" s="172">
        <v>1.0</v>
      </c>
      <c r="KD649" s="172"/>
      <c r="KE649" s="172"/>
      <c r="KF649" s="172">
        <v>1.0</v>
      </c>
      <c r="KG649" s="172"/>
      <c r="KH649" s="172">
        <v>1.0</v>
      </c>
      <c r="KI649" s="172"/>
      <c r="KJ649" s="172"/>
      <c r="KK649" s="172"/>
      <c r="KL649" s="172"/>
      <c r="KM649" s="172">
        <v>1.0</v>
      </c>
      <c r="KN649" s="172"/>
      <c r="KO649" s="172">
        <v>1.0</v>
      </c>
      <c r="KP649" s="172"/>
      <c r="KQ649" s="172">
        <v>1.0</v>
      </c>
      <c r="KR649" s="172"/>
      <c r="KS649" s="432"/>
      <c r="KT649" s="172">
        <v>1.0</v>
      </c>
      <c r="KU649" s="172"/>
      <c r="KV649" s="172">
        <v>1.0</v>
      </c>
      <c r="KW649" s="172"/>
      <c r="KX649" s="172">
        <v>1.0</v>
      </c>
      <c r="KY649" s="172"/>
      <c r="KZ649" s="172"/>
      <c r="LA649" s="172"/>
      <c r="LB649" s="172"/>
      <c r="LC649" s="172"/>
      <c r="LD649" s="172"/>
      <c r="LE649" s="172"/>
      <c r="LF649" s="172"/>
      <c r="LG649" s="172"/>
      <c r="LH649" s="159">
        <f t="shared" si="10"/>
        <v>0</v>
      </c>
      <c r="LI649" s="156">
        <f t="shared" si="11"/>
        <v>0</v>
      </c>
      <c r="LJ649" s="156">
        <f t="shared" si="12"/>
        <v>0</v>
      </c>
      <c r="LK649" s="156">
        <f t="shared" si="13"/>
        <v>0</v>
      </c>
      <c r="LL649" s="156">
        <f t="shared" si="14"/>
        <v>0</v>
      </c>
      <c r="LM649" s="160">
        <f t="shared" si="15"/>
        <v>0</v>
      </c>
      <c r="QX649" s="560">
        <v>46179.0</v>
      </c>
    </row>
    <row r="650">
      <c r="A650" s="604"/>
      <c r="B650" s="604"/>
      <c r="C650" s="604"/>
      <c r="D650" s="604"/>
      <c r="E650" s="604"/>
      <c r="F650" s="604"/>
      <c r="G650" s="604"/>
      <c r="H650" s="604"/>
      <c r="I650" s="605">
        <f t="shared" si="22"/>
        <v>-8</v>
      </c>
      <c r="J650" s="606">
        <v>46185.0</v>
      </c>
      <c r="K650" s="529" t="s">
        <v>48</v>
      </c>
      <c r="L650" s="607"/>
      <c r="M650" s="608" t="s">
        <v>228</v>
      </c>
      <c r="N650" s="608">
        <v>46.0</v>
      </c>
      <c r="O650" s="608">
        <v>30.0</v>
      </c>
      <c r="P650" s="604"/>
      <c r="Q650" s="604"/>
      <c r="R650" s="604"/>
      <c r="S650" s="604"/>
      <c r="T650" s="604"/>
      <c r="U650" s="608" t="s">
        <v>3025</v>
      </c>
      <c r="V650" s="609" t="s">
        <v>3064</v>
      </c>
      <c r="W650" s="566" t="s">
        <v>3627</v>
      </c>
      <c r="X650" s="610"/>
      <c r="Y650" s="611">
        <f t="shared" si="23"/>
        <v>8</v>
      </c>
      <c r="Z650" s="309">
        <f t="shared" si="7"/>
        <v>0</v>
      </c>
      <c r="AA650" s="309">
        <f t="shared" si="8"/>
        <v>0</v>
      </c>
      <c r="AB650" s="309">
        <f t="shared" si="9"/>
        <v>0</v>
      </c>
      <c r="AC650" s="612">
        <v>0.0</v>
      </c>
      <c r="AD650" s="612">
        <v>0.0</v>
      </c>
      <c r="AE650" s="612">
        <v>0.0</v>
      </c>
      <c r="AF650" s="612">
        <v>0.0</v>
      </c>
      <c r="AG650" s="612">
        <v>0.0</v>
      </c>
      <c r="AH650" s="612">
        <v>0.0</v>
      </c>
      <c r="AI650" s="604"/>
      <c r="AJ650" s="604"/>
      <c r="AK650" s="604"/>
      <c r="AL650" s="604"/>
      <c r="AM650" s="604"/>
      <c r="AN650" s="604"/>
      <c r="AO650" s="604"/>
      <c r="AP650" s="604"/>
      <c r="AQ650" s="604"/>
      <c r="AR650" s="604"/>
      <c r="AS650" s="604"/>
      <c r="AT650" s="604"/>
      <c r="AU650" s="604"/>
      <c r="AV650" s="604"/>
      <c r="AW650" s="604"/>
      <c r="AX650" s="604"/>
      <c r="AY650" s="604"/>
      <c r="AZ650" s="604"/>
      <c r="BA650" s="604"/>
      <c r="BB650" s="604"/>
      <c r="BC650" s="604"/>
      <c r="BD650" s="604"/>
      <c r="BE650" s="604"/>
      <c r="BF650" s="604"/>
      <c r="BG650" s="604"/>
      <c r="BH650" s="604"/>
      <c r="BI650" s="604"/>
      <c r="BJ650" s="604"/>
      <c r="BK650" s="604"/>
      <c r="BL650" s="604"/>
      <c r="BM650" s="604"/>
      <c r="BN650" s="612">
        <v>0.0</v>
      </c>
      <c r="BO650" s="612">
        <v>0.0</v>
      </c>
      <c r="BP650" s="612">
        <v>0.0</v>
      </c>
      <c r="BQ650" s="612">
        <v>0.0</v>
      </c>
      <c r="BR650" s="612">
        <v>0.0</v>
      </c>
      <c r="BS650" s="612">
        <v>0.0</v>
      </c>
      <c r="BT650" s="604"/>
      <c r="BU650" s="604"/>
      <c r="BV650" s="604"/>
      <c r="BW650" s="604"/>
      <c r="BX650" s="604"/>
      <c r="BY650" s="604"/>
      <c r="BZ650" s="604"/>
      <c r="CA650" s="604"/>
      <c r="CB650" s="604"/>
      <c r="CC650" s="604"/>
      <c r="CD650" s="604"/>
      <c r="CE650" s="604"/>
      <c r="CF650" s="604"/>
      <c r="CG650" s="604"/>
      <c r="CH650" s="604"/>
      <c r="CI650" s="604"/>
      <c r="CJ650" s="604"/>
      <c r="CK650" s="604"/>
      <c r="CL650" s="604"/>
      <c r="CM650" s="604"/>
      <c r="CN650" s="604"/>
      <c r="CO650" s="604"/>
      <c r="CP650" s="604"/>
      <c r="CQ650" s="604"/>
      <c r="CR650" s="604"/>
      <c r="CS650" s="604"/>
      <c r="CT650" s="604"/>
      <c r="CU650" s="604"/>
      <c r="CV650" s="613">
        <v>0.0</v>
      </c>
      <c r="CW650" s="613">
        <v>0.0</v>
      </c>
      <c r="CX650" s="613">
        <v>0.0</v>
      </c>
      <c r="CY650" s="613">
        <v>0.0</v>
      </c>
      <c r="CZ650" s="613">
        <v>0.0</v>
      </c>
      <c r="DA650" s="613">
        <v>0.0</v>
      </c>
      <c r="DB650" s="604"/>
      <c r="DC650" s="604"/>
      <c r="DD650" s="604"/>
      <c r="DE650" s="604"/>
      <c r="DF650" s="604"/>
      <c r="DG650" s="604"/>
      <c r="DH650" s="604"/>
      <c r="DI650" s="604"/>
      <c r="DJ650" s="604"/>
      <c r="DK650" s="604"/>
      <c r="DL650" s="604"/>
      <c r="DM650" s="604"/>
      <c r="DN650" s="604"/>
      <c r="DO650" s="604"/>
      <c r="DP650" s="604"/>
      <c r="DQ650" s="604"/>
      <c r="DR650" s="604"/>
      <c r="DS650" s="604"/>
      <c r="DT650" s="604"/>
      <c r="DU650" s="604"/>
      <c r="DV650" s="604"/>
      <c r="DW650" s="604"/>
      <c r="DX650" s="604"/>
      <c r="DY650" s="604"/>
      <c r="DZ650" s="604"/>
      <c r="EA650" s="604"/>
      <c r="EB650" s="604"/>
      <c r="EC650" s="604"/>
      <c r="ED650" s="604"/>
      <c r="EE650" s="604"/>
      <c r="EF650" s="604"/>
      <c r="EG650" s="613">
        <v>0.0</v>
      </c>
      <c r="EH650" s="613">
        <v>0.0</v>
      </c>
      <c r="EI650" s="613">
        <v>0.0</v>
      </c>
      <c r="EJ650" s="613">
        <v>0.0</v>
      </c>
      <c r="EK650" s="613">
        <v>0.0</v>
      </c>
      <c r="EL650" s="613">
        <v>0.0</v>
      </c>
      <c r="EM650" s="604"/>
      <c r="EN650" s="604"/>
      <c r="EO650" s="604"/>
      <c r="EP650" s="604"/>
      <c r="EQ650" s="604"/>
      <c r="ER650" s="604"/>
      <c r="ES650" s="604"/>
      <c r="ET650" s="604"/>
      <c r="EU650" s="604"/>
      <c r="EV650" s="604"/>
      <c r="EW650" s="604"/>
      <c r="EX650" s="604"/>
      <c r="EY650" s="604"/>
      <c r="EZ650" s="604"/>
      <c r="FA650" s="604"/>
      <c r="FB650" s="604"/>
      <c r="FC650" s="604"/>
      <c r="FD650" s="604"/>
      <c r="FE650" s="604"/>
      <c r="FF650" s="604"/>
      <c r="FG650" s="604"/>
      <c r="FH650" s="604"/>
      <c r="FI650" s="604"/>
      <c r="FJ650" s="604"/>
      <c r="FK650" s="604"/>
      <c r="FL650" s="604"/>
      <c r="FM650" s="604"/>
      <c r="FN650" s="604"/>
      <c r="FO650" s="604"/>
      <c r="FP650" s="604"/>
      <c r="FQ650" s="613">
        <v>0.0</v>
      </c>
      <c r="FR650" s="613">
        <v>0.0</v>
      </c>
      <c r="FS650" s="613">
        <v>0.0</v>
      </c>
      <c r="FT650" s="613">
        <v>0.0</v>
      </c>
      <c r="FU650" s="613">
        <v>0.0</v>
      </c>
      <c r="FV650" s="613">
        <v>0.0</v>
      </c>
      <c r="FW650" s="614"/>
      <c r="FX650" s="614"/>
      <c r="FY650" s="614"/>
      <c r="FZ650" s="614"/>
      <c r="GA650" s="614"/>
      <c r="GB650" s="614"/>
      <c r="GC650" s="614"/>
      <c r="GD650" s="614"/>
      <c r="GE650" s="614"/>
      <c r="GF650" s="614"/>
      <c r="GG650" s="614"/>
      <c r="GH650" s="614"/>
      <c r="GI650" s="614"/>
      <c r="GJ650" s="614"/>
      <c r="GK650" s="614"/>
      <c r="GL650" s="614"/>
      <c r="GM650" s="614"/>
      <c r="GN650" s="614"/>
      <c r="GO650" s="614"/>
      <c r="GP650" s="614"/>
      <c r="GQ650" s="614"/>
      <c r="GR650" s="614"/>
      <c r="GS650" s="614"/>
      <c r="GT650" s="614"/>
      <c r="GU650" s="614"/>
      <c r="GV650" s="614"/>
      <c r="GW650" s="614"/>
      <c r="GX650" s="614"/>
      <c r="GY650" s="614"/>
      <c r="GZ650" s="614"/>
      <c r="HA650" s="614"/>
      <c r="HB650" s="612">
        <v>4.0</v>
      </c>
      <c r="HC650" s="612">
        <v>0.0</v>
      </c>
      <c r="HD650" s="612">
        <v>0.0</v>
      </c>
      <c r="HE650" s="612">
        <v>0.0</v>
      </c>
      <c r="HF650" s="612">
        <v>0.0</v>
      </c>
      <c r="HG650" s="612">
        <v>0.0</v>
      </c>
      <c r="HH650" s="615"/>
      <c r="HI650" s="615"/>
      <c r="HJ650" s="616"/>
      <c r="HK650" s="615"/>
      <c r="HL650" s="616"/>
      <c r="HM650" s="615"/>
      <c r="HN650" s="615"/>
      <c r="HO650" s="615"/>
      <c r="HP650" s="615"/>
      <c r="HQ650" s="616"/>
      <c r="HR650" s="615"/>
      <c r="HS650" s="615">
        <v>1.0</v>
      </c>
      <c r="HT650" s="615"/>
      <c r="HU650" s="615"/>
      <c r="HV650" s="615"/>
      <c r="HW650" s="615"/>
      <c r="HX650" s="615"/>
      <c r="HY650" s="615"/>
      <c r="HZ650" s="615">
        <v>1.0</v>
      </c>
      <c r="IA650" s="615"/>
      <c r="IB650" s="615"/>
      <c r="IC650" s="615"/>
      <c r="ID650" s="615"/>
      <c r="IE650" s="615">
        <v>1.0</v>
      </c>
      <c r="IF650" s="615"/>
      <c r="IG650" s="615"/>
      <c r="IH650" s="615"/>
      <c r="II650" s="615"/>
      <c r="IJ650" s="616">
        <v>1.0</v>
      </c>
      <c r="IK650" s="615"/>
      <c r="IL650" s="617">
        <v>4.0</v>
      </c>
      <c r="IM650" s="613">
        <v>0.0</v>
      </c>
      <c r="IN650" s="613">
        <v>0.0</v>
      </c>
      <c r="IO650" s="613">
        <v>0.0</v>
      </c>
      <c r="IP650" s="613">
        <v>0.0</v>
      </c>
      <c r="IQ650" s="618">
        <v>0.0</v>
      </c>
      <c r="IR650" s="608">
        <v>1.0</v>
      </c>
      <c r="IS650" s="604"/>
      <c r="IT650" s="604"/>
      <c r="IU650" s="604"/>
      <c r="IV650" s="604"/>
      <c r="IW650" s="604"/>
      <c r="IX650" s="604"/>
      <c r="IY650" s="608">
        <v>1.0</v>
      </c>
      <c r="IZ650" s="604"/>
      <c r="JA650" s="604"/>
      <c r="JB650" s="604"/>
      <c r="JC650" s="604"/>
      <c r="JD650" s="604"/>
      <c r="JE650" s="604"/>
      <c r="JF650" s="608">
        <v>1.0</v>
      </c>
      <c r="JG650" s="604"/>
      <c r="JH650" s="25"/>
      <c r="JI650" s="608">
        <v>1.0</v>
      </c>
      <c r="JJ650" s="604"/>
      <c r="JK650" s="604"/>
      <c r="JL650" s="604"/>
      <c r="JM650" s="604"/>
      <c r="JN650" s="604"/>
      <c r="JO650" s="604"/>
      <c r="JP650" s="604"/>
      <c r="JQ650" s="604"/>
      <c r="JR650" s="604"/>
      <c r="JS650" s="604"/>
      <c r="JT650" s="604"/>
      <c r="JU650" s="604"/>
      <c r="JV650" s="604"/>
      <c r="JW650" s="159">
        <v>0.0</v>
      </c>
      <c r="JX650" s="156">
        <v>0.0</v>
      </c>
      <c r="JY650" s="156">
        <v>0.0</v>
      </c>
      <c r="JZ650" s="156">
        <v>0.0</v>
      </c>
      <c r="KA650" s="156">
        <v>0.0</v>
      </c>
      <c r="KB650" s="160">
        <v>0.0</v>
      </c>
      <c r="KC650" s="604"/>
      <c r="KD650" s="604"/>
      <c r="KE650" s="604"/>
      <c r="KF650" s="604"/>
      <c r="KG650" s="604"/>
      <c r="KH650" s="604"/>
      <c r="KI650" s="604"/>
      <c r="KJ650" s="604"/>
      <c r="KK650" s="604"/>
      <c r="KL650" s="604"/>
      <c r="KM650" s="604"/>
      <c r="KN650" s="604"/>
      <c r="KO650" s="604"/>
      <c r="KP650" s="604"/>
      <c r="KQ650" s="604"/>
      <c r="KR650" s="604"/>
      <c r="KS650" s="178"/>
      <c r="KT650" s="604"/>
      <c r="KU650" s="604"/>
      <c r="KV650" s="604"/>
      <c r="KW650" s="604"/>
      <c r="KX650" s="604"/>
      <c r="KY650" s="604"/>
      <c r="KZ650" s="604"/>
      <c r="LA650" s="604"/>
      <c r="LB650" s="604"/>
      <c r="LC650" s="604"/>
      <c r="LD650" s="604"/>
      <c r="LE650" s="604"/>
      <c r="LF650" s="604"/>
      <c r="LG650" s="604"/>
      <c r="LH650" s="159">
        <f t="shared" si="10"/>
        <v>0</v>
      </c>
      <c r="LI650" s="156">
        <f t="shared" si="11"/>
        <v>0</v>
      </c>
      <c r="LJ650" s="156">
        <f t="shared" si="12"/>
        <v>0</v>
      </c>
      <c r="LK650" s="156">
        <f t="shared" si="13"/>
        <v>0</v>
      </c>
      <c r="LL650" s="156">
        <f t="shared" si="14"/>
        <v>0</v>
      </c>
      <c r="LM650" s="160">
        <f t="shared" si="15"/>
        <v>0</v>
      </c>
      <c r="LN650" s="604"/>
      <c r="LO650" s="604"/>
      <c r="LP650" s="604"/>
      <c r="LQ650" s="604"/>
      <c r="LR650" s="604"/>
      <c r="LS650" s="604"/>
      <c r="LT650" s="604"/>
      <c r="LU650" s="604"/>
      <c r="LV650" s="604"/>
      <c r="LW650" s="604"/>
      <c r="LX650" s="604"/>
      <c r="LY650" s="604"/>
      <c r="LZ650" s="604"/>
      <c r="MA650" s="604"/>
      <c r="MB650" s="604"/>
      <c r="MC650" s="604"/>
      <c r="MD650" s="604"/>
      <c r="ME650" s="604"/>
      <c r="MF650" s="604"/>
      <c r="MG650" s="604"/>
      <c r="MH650" s="604"/>
      <c r="MI650" s="604"/>
      <c r="MJ650" s="604"/>
      <c r="MK650" s="604"/>
      <c r="ML650" s="604"/>
      <c r="MM650" s="604"/>
      <c r="MN650" s="604"/>
      <c r="MO650" s="604"/>
      <c r="MP650" s="604"/>
      <c r="MQ650" s="604"/>
      <c r="MR650" s="604"/>
      <c r="MS650" s="604"/>
      <c r="MT650" s="604"/>
      <c r="MU650" s="604"/>
      <c r="MV650" s="604"/>
      <c r="MW650" s="604"/>
      <c r="MX650" s="604"/>
      <c r="MY650" s="604"/>
      <c r="MZ650" s="604"/>
      <c r="NA650" s="604"/>
      <c r="NB650" s="604"/>
      <c r="NC650" s="604"/>
      <c r="ND650" s="604"/>
      <c r="NE650" s="604"/>
      <c r="NF650" s="604"/>
      <c r="NG650" s="604"/>
      <c r="NH650" s="604"/>
      <c r="NI650" s="604"/>
      <c r="NJ650" s="604"/>
      <c r="NK650" s="604"/>
      <c r="NL650" s="604"/>
      <c r="NM650" s="604"/>
      <c r="NN650" s="604"/>
      <c r="NO650" s="604"/>
      <c r="NP650" s="604"/>
      <c r="NQ650" s="604"/>
      <c r="NR650" s="604"/>
      <c r="NS650" s="604"/>
      <c r="NT650" s="604"/>
      <c r="NU650" s="604"/>
      <c r="NV650" s="604"/>
      <c r="NW650" s="604"/>
      <c r="NX650" s="604"/>
      <c r="NY650" s="604"/>
      <c r="NZ650" s="604"/>
      <c r="OA650" s="604"/>
      <c r="OB650" s="604"/>
      <c r="OC650" s="604"/>
      <c r="OD650" s="604"/>
      <c r="OE650" s="604"/>
      <c r="OF650" s="604"/>
      <c r="OG650" s="604"/>
      <c r="OH650" s="604"/>
      <c r="OI650" s="604"/>
      <c r="OJ650" s="604"/>
      <c r="OK650" s="604"/>
      <c r="OL650" s="604"/>
      <c r="OM650" s="604"/>
      <c r="ON650" s="604"/>
      <c r="OO650" s="604"/>
      <c r="OP650" s="604"/>
      <c r="OQ650" s="604"/>
      <c r="OR650" s="604"/>
      <c r="OS650" s="604"/>
      <c r="OT650" s="604"/>
      <c r="OU650" s="604"/>
      <c r="OV650" s="604"/>
      <c r="OW650" s="604"/>
      <c r="OX650" s="604"/>
      <c r="OY650" s="604"/>
      <c r="OZ650" s="604"/>
      <c r="PA650" s="604"/>
      <c r="PB650" s="604"/>
      <c r="PC650" s="604"/>
      <c r="PD650" s="604"/>
      <c r="PE650" s="604"/>
      <c r="PF650" s="604"/>
      <c r="PG650" s="604"/>
      <c r="PH650" s="604"/>
      <c r="PI650" s="604"/>
      <c r="PJ650" s="604"/>
      <c r="PK650" s="604"/>
      <c r="PL650" s="604"/>
      <c r="PM650" s="604"/>
      <c r="PN650" s="604"/>
      <c r="PO650" s="604"/>
      <c r="PP650" s="604"/>
      <c r="PQ650" s="604"/>
      <c r="PR650" s="604"/>
      <c r="PS650" s="604"/>
      <c r="PT650" s="604"/>
      <c r="PU650" s="604"/>
      <c r="PV650" s="604"/>
      <c r="PW650" s="604"/>
      <c r="PX650" s="604"/>
      <c r="PY650" s="604"/>
      <c r="PZ650" s="604"/>
      <c r="QA650" s="604"/>
      <c r="QB650" s="604"/>
      <c r="QC650" s="604"/>
      <c r="QD650" s="604"/>
      <c r="QE650" s="604"/>
      <c r="QF650" s="604"/>
      <c r="QG650" s="604"/>
      <c r="QH650" s="604"/>
      <c r="QI650" s="604"/>
      <c r="QJ650" s="604"/>
      <c r="QK650" s="604"/>
      <c r="QL650" s="604"/>
      <c r="QM650" s="604"/>
      <c r="QN650" s="604"/>
      <c r="QO650" s="604"/>
      <c r="QP650" s="604"/>
      <c r="QQ650" s="604"/>
      <c r="QR650" s="604"/>
      <c r="QS650" s="604"/>
      <c r="QT650" s="604"/>
      <c r="QU650" s="604"/>
      <c r="QV650" s="604"/>
      <c r="QW650" s="604"/>
      <c r="QX650" s="619">
        <v>46181.0</v>
      </c>
    </row>
    <row r="651">
      <c r="A651" s="58"/>
      <c r="B651" s="58"/>
      <c r="C651" s="58"/>
      <c r="D651" s="58"/>
      <c r="E651" s="58"/>
      <c r="F651" s="58"/>
      <c r="G651" s="58"/>
      <c r="H651" s="58"/>
      <c r="I651" s="550">
        <f t="shared" si="22"/>
        <v>-14</v>
      </c>
      <c r="J651" s="551">
        <v>46188.0</v>
      </c>
      <c r="K651" s="294" t="s">
        <v>48</v>
      </c>
      <c r="L651" s="250"/>
      <c r="M651" s="169" t="s">
        <v>400</v>
      </c>
      <c r="N651" s="169">
        <v>246.0</v>
      </c>
      <c r="O651" s="169">
        <v>30.0</v>
      </c>
      <c r="P651" s="58"/>
      <c r="Q651" s="58"/>
      <c r="R651" s="58"/>
      <c r="S651" s="58"/>
      <c r="T651" s="58"/>
      <c r="U651" s="169" t="s">
        <v>3597</v>
      </c>
      <c r="V651" s="579" t="s">
        <v>3598</v>
      </c>
      <c r="W651" s="125" t="s">
        <v>3628</v>
      </c>
      <c r="X651" s="140"/>
      <c r="Y651" s="166">
        <f t="shared" si="23"/>
        <v>14</v>
      </c>
      <c r="Z651" s="26">
        <f t="shared" si="7"/>
        <v>0</v>
      </c>
      <c r="AA651" s="26">
        <f t="shared" si="8"/>
        <v>0</v>
      </c>
      <c r="AB651" s="26">
        <f t="shared" si="9"/>
        <v>0</v>
      </c>
      <c r="AC651" s="155">
        <v>0.0</v>
      </c>
      <c r="AD651" s="155">
        <v>0.0</v>
      </c>
      <c r="AE651" s="155">
        <v>0.0</v>
      </c>
      <c r="AF651" s="155">
        <v>0.0</v>
      </c>
      <c r="AG651" s="155">
        <v>0.0</v>
      </c>
      <c r="AH651" s="155">
        <v>0.0</v>
      </c>
      <c r="BN651" s="155">
        <v>0.0</v>
      </c>
      <c r="BO651" s="155">
        <v>0.0</v>
      </c>
      <c r="BP651" s="155">
        <v>0.0</v>
      </c>
      <c r="BQ651" s="155">
        <v>0.0</v>
      </c>
      <c r="BR651" s="155">
        <v>0.0</v>
      </c>
      <c r="BS651" s="155">
        <v>0.0</v>
      </c>
      <c r="CV651" s="156">
        <v>0.0</v>
      </c>
      <c r="CW651" s="156">
        <v>0.0</v>
      </c>
      <c r="CX651" s="156">
        <v>0.0</v>
      </c>
      <c r="CY651" s="156">
        <v>0.0</v>
      </c>
      <c r="CZ651" s="156">
        <v>0.0</v>
      </c>
      <c r="DA651" s="156">
        <v>0.0</v>
      </c>
      <c r="EG651" s="156">
        <v>0.0</v>
      </c>
      <c r="EH651" s="156">
        <v>0.0</v>
      </c>
      <c r="EI651" s="156">
        <v>0.0</v>
      </c>
      <c r="EJ651" s="156">
        <v>0.0</v>
      </c>
      <c r="EK651" s="156">
        <v>0.0</v>
      </c>
      <c r="EL651" s="156">
        <v>0.0</v>
      </c>
      <c r="FQ651" s="156">
        <v>0.0</v>
      </c>
      <c r="FR651" s="156">
        <v>0.0</v>
      </c>
      <c r="FS651" s="156">
        <v>0.0</v>
      </c>
      <c r="FT651" s="156">
        <v>0.0</v>
      </c>
      <c r="FU651" s="156">
        <v>0.0</v>
      </c>
      <c r="FV651" s="156">
        <v>0.0</v>
      </c>
      <c r="FW651" s="157"/>
      <c r="FX651" s="157"/>
      <c r="FY651" s="157"/>
      <c r="FZ651" s="157"/>
      <c r="GA651" s="157"/>
      <c r="GB651" s="157"/>
      <c r="GC651" s="157"/>
      <c r="GD651" s="157"/>
      <c r="GE651" s="157"/>
      <c r="GF651" s="157"/>
      <c r="GG651" s="157"/>
      <c r="GH651" s="157"/>
      <c r="GI651" s="157"/>
      <c r="GJ651" s="157"/>
      <c r="GK651" s="157"/>
      <c r="GL651" s="157"/>
      <c r="GM651" s="157"/>
      <c r="GN651" s="157"/>
      <c r="GO651" s="157"/>
      <c r="GP651" s="158"/>
      <c r="GQ651" s="157"/>
      <c r="GR651" s="157"/>
      <c r="GS651" s="157"/>
      <c r="GT651" s="157"/>
      <c r="GU651" s="157"/>
      <c r="GV651" s="157"/>
      <c r="GW651" s="157"/>
      <c r="GX651" s="157"/>
      <c r="GY651" s="157"/>
      <c r="GZ651" s="157"/>
      <c r="HA651" s="157"/>
      <c r="HB651" s="155">
        <v>7.0</v>
      </c>
      <c r="HC651" s="155">
        <v>0.0</v>
      </c>
      <c r="HD651" s="155">
        <v>0.0</v>
      </c>
      <c r="HE651" s="155">
        <v>0.0</v>
      </c>
      <c r="HF651" s="155">
        <v>0.0</v>
      </c>
      <c r="HG651" s="155">
        <v>0.0</v>
      </c>
      <c r="HH651" s="175"/>
      <c r="HI651" s="174"/>
      <c r="HJ651" s="175"/>
      <c r="HK651" s="174"/>
      <c r="HL651" s="175"/>
      <c r="HM651" s="174"/>
      <c r="HN651" s="174"/>
      <c r="HO651" s="175"/>
      <c r="HP651" s="174"/>
      <c r="HQ651" s="175"/>
      <c r="HR651" s="174"/>
      <c r="HS651" s="174"/>
      <c r="HT651" s="174"/>
      <c r="HU651" s="174"/>
      <c r="HV651" s="174">
        <v>1.0</v>
      </c>
      <c r="HW651" s="174">
        <v>0.0</v>
      </c>
      <c r="HX651" s="174">
        <v>1.0</v>
      </c>
      <c r="HY651" s="174">
        <v>0.0</v>
      </c>
      <c r="HZ651" s="174">
        <v>1.0</v>
      </c>
      <c r="IA651" s="174">
        <v>0.0</v>
      </c>
      <c r="IB651" s="174">
        <v>0.0</v>
      </c>
      <c r="IC651" s="174">
        <v>1.0</v>
      </c>
      <c r="ID651" s="174">
        <v>0.0</v>
      </c>
      <c r="IE651" s="174">
        <v>1.0</v>
      </c>
      <c r="IF651" s="174">
        <v>0.0</v>
      </c>
      <c r="IG651" s="174">
        <v>1.0</v>
      </c>
      <c r="IH651" s="174">
        <v>0.0</v>
      </c>
      <c r="II651" s="174">
        <v>0.0</v>
      </c>
      <c r="IJ651" s="174">
        <v>1.0</v>
      </c>
      <c r="IK651" s="174">
        <v>0.0</v>
      </c>
      <c r="IL651" s="159">
        <v>2.0</v>
      </c>
      <c r="IM651" s="156">
        <v>0.0</v>
      </c>
      <c r="IN651" s="156">
        <v>0.0</v>
      </c>
      <c r="IO651" s="156">
        <v>0.0</v>
      </c>
      <c r="IP651" s="156">
        <v>0.0</v>
      </c>
      <c r="IQ651" s="160">
        <v>0.0</v>
      </c>
      <c r="IR651" s="174">
        <v>1.0</v>
      </c>
      <c r="IS651" s="174">
        <v>0.0</v>
      </c>
      <c r="IT651" s="174">
        <v>1.0</v>
      </c>
      <c r="IU651" s="174"/>
      <c r="IV651" s="174"/>
      <c r="IW651" s="174"/>
      <c r="IX651" s="174"/>
      <c r="IY651" s="174"/>
      <c r="IZ651" s="174"/>
      <c r="JA651" s="174"/>
      <c r="JB651" s="174"/>
      <c r="JC651" s="174"/>
      <c r="JD651" s="174"/>
      <c r="JE651" s="174"/>
      <c r="JF651" s="174"/>
      <c r="JG651" s="174"/>
      <c r="JH651" s="177"/>
      <c r="JI651" s="174"/>
      <c r="JJ651" s="174"/>
      <c r="JK651" s="174"/>
      <c r="JL651" s="174"/>
      <c r="JM651" s="174"/>
      <c r="JN651" s="174"/>
      <c r="JO651" s="174"/>
      <c r="JP651" s="174"/>
      <c r="JQ651" s="174"/>
      <c r="JR651" s="174"/>
      <c r="JS651" s="174"/>
      <c r="JT651" s="174"/>
      <c r="JU651" s="174"/>
      <c r="JV651" s="174"/>
      <c r="JW651" s="159">
        <v>0.0</v>
      </c>
      <c r="JX651" s="156">
        <v>0.0</v>
      </c>
      <c r="JY651" s="156">
        <v>0.0</v>
      </c>
      <c r="JZ651" s="156">
        <v>0.0</v>
      </c>
      <c r="KA651" s="156">
        <v>0.0</v>
      </c>
      <c r="KB651" s="160">
        <v>0.0</v>
      </c>
      <c r="KC651" s="174"/>
      <c r="KD651" s="174"/>
      <c r="KE651" s="174"/>
      <c r="KF651" s="174"/>
      <c r="KG651" s="174"/>
      <c r="KH651" s="174"/>
      <c r="KI651" s="174"/>
      <c r="KJ651" s="174"/>
      <c r="KK651" s="174"/>
      <c r="KL651" s="174"/>
      <c r="KM651" s="174"/>
      <c r="KN651" s="174"/>
      <c r="KO651" s="174"/>
      <c r="KP651" s="174"/>
      <c r="KQ651" s="174"/>
      <c r="KR651" s="174"/>
      <c r="KS651" s="472"/>
      <c r="KT651" s="174"/>
      <c r="KU651" s="174"/>
      <c r="KV651" s="174"/>
      <c r="KW651" s="174"/>
      <c r="KX651" s="174"/>
      <c r="KY651" s="174"/>
      <c r="KZ651" s="174"/>
      <c r="LA651" s="174"/>
      <c r="LB651" s="174"/>
      <c r="LC651" s="174"/>
      <c r="LD651" s="174"/>
      <c r="LE651" s="174"/>
      <c r="LF651" s="174"/>
      <c r="LG651" s="174"/>
      <c r="LH651" s="159">
        <f t="shared" si="10"/>
        <v>5</v>
      </c>
      <c r="LI651" s="156">
        <f t="shared" si="11"/>
        <v>0</v>
      </c>
      <c r="LJ651" s="156">
        <f t="shared" si="12"/>
        <v>0</v>
      </c>
      <c r="LK651" s="156">
        <f t="shared" si="13"/>
        <v>0</v>
      </c>
      <c r="LL651" s="156">
        <f t="shared" si="14"/>
        <v>0</v>
      </c>
      <c r="LM651" s="160">
        <f t="shared" si="15"/>
        <v>0</v>
      </c>
      <c r="LN651" s="174"/>
      <c r="LO651" s="174"/>
      <c r="LP651" s="174"/>
      <c r="LQ651" s="187">
        <v>1.0</v>
      </c>
      <c r="LR651" s="174"/>
      <c r="LS651" s="174"/>
      <c r="LT651" s="187">
        <v>1.0</v>
      </c>
      <c r="LU651" s="174"/>
      <c r="LV651" s="174"/>
      <c r="LW651" s="174">
        <f t="shared" ref="LW651:MQ651" si="67">IFS(TODAY()&lt;=LW$2,0,WEEKDAY(LW$2)=2,1,WEEKDAY(LW$2)=3,0,WEEKDAY(LW$2)=4,1,WEEKDAY(LW$2)=5,0,WEEKDAY(LW$2)=6,1,WEEKDAY(LW$2)=7,0,WEEKDAY(LW$2)=1,0)</f>
        <v>0</v>
      </c>
      <c r="LX651" s="174">
        <f t="shared" si="67"/>
        <v>1</v>
      </c>
      <c r="LY651" s="174">
        <f t="shared" si="67"/>
        <v>0</v>
      </c>
      <c r="LZ651" s="174">
        <f t="shared" si="67"/>
        <v>0</v>
      </c>
      <c r="MA651" s="174">
        <f t="shared" si="67"/>
        <v>1</v>
      </c>
      <c r="MB651" s="174">
        <f t="shared" si="67"/>
        <v>0</v>
      </c>
      <c r="MC651" s="174">
        <f t="shared" si="67"/>
        <v>1</v>
      </c>
      <c r="MD651" s="174">
        <f t="shared" si="67"/>
        <v>0</v>
      </c>
      <c r="ME651" s="174">
        <f t="shared" si="67"/>
        <v>0</v>
      </c>
      <c r="MF651" s="174">
        <f t="shared" si="67"/>
        <v>0</v>
      </c>
      <c r="MG651" s="174">
        <f t="shared" si="67"/>
        <v>0</v>
      </c>
      <c r="MH651" s="174">
        <f t="shared" si="67"/>
        <v>0</v>
      </c>
      <c r="MI651" s="174">
        <f t="shared" si="67"/>
        <v>0</v>
      </c>
      <c r="MJ651" s="174">
        <f t="shared" si="67"/>
        <v>0</v>
      </c>
      <c r="MK651" s="174">
        <f t="shared" si="67"/>
        <v>0</v>
      </c>
      <c r="ML651" s="174">
        <f t="shared" si="67"/>
        <v>0</v>
      </c>
      <c r="MM651" s="174">
        <f t="shared" si="67"/>
        <v>0</v>
      </c>
      <c r="MN651" s="174">
        <f t="shared" si="67"/>
        <v>0</v>
      </c>
      <c r="MO651" s="174">
        <f t="shared" si="67"/>
        <v>0</v>
      </c>
      <c r="MP651" s="174">
        <f t="shared" si="67"/>
        <v>0</v>
      </c>
      <c r="MQ651" s="174">
        <f t="shared" si="67"/>
        <v>0</v>
      </c>
      <c r="QX651" s="560">
        <v>46182.0</v>
      </c>
    </row>
    <row r="652">
      <c r="A652" s="12"/>
      <c r="B652" s="12"/>
      <c r="C652" s="12"/>
      <c r="D652" s="12"/>
      <c r="E652" s="12"/>
      <c r="F652" s="12"/>
      <c r="G652" s="12"/>
      <c r="H652" s="12"/>
      <c r="I652" s="143">
        <f t="shared" si="22"/>
        <v>-37</v>
      </c>
      <c r="J652" s="537">
        <v>46189.0</v>
      </c>
      <c r="K652" s="294" t="s">
        <v>48</v>
      </c>
      <c r="L652" s="543" t="s">
        <v>3615</v>
      </c>
      <c r="M652" s="162" t="s">
        <v>348</v>
      </c>
      <c r="N652" s="188">
        <v>357.0</v>
      </c>
      <c r="O652" s="86">
        <v>30.0</v>
      </c>
      <c r="U652" s="162" t="s">
        <v>3622</v>
      </c>
      <c r="V652" s="538" t="s">
        <v>3623</v>
      </c>
      <c r="W652" s="185" t="s">
        <v>3629</v>
      </c>
      <c r="X652" s="140"/>
      <c r="Y652" s="166">
        <f t="shared" si="23"/>
        <v>37</v>
      </c>
      <c r="Z652" s="26">
        <f t="shared" si="7"/>
        <v>0</v>
      </c>
      <c r="AA652" s="26">
        <f t="shared" si="8"/>
        <v>1</v>
      </c>
      <c r="AB652" s="26">
        <f t="shared" si="9"/>
        <v>0</v>
      </c>
      <c r="AC652" s="155">
        <v>0.0</v>
      </c>
      <c r="AD652" s="155">
        <v>0.0</v>
      </c>
      <c r="AE652" s="155">
        <v>0.0</v>
      </c>
      <c r="AF652" s="155">
        <v>0.0</v>
      </c>
      <c r="AG652" s="155">
        <v>0.0</v>
      </c>
      <c r="AH652" s="155">
        <v>0.0</v>
      </c>
      <c r="BN652" s="155">
        <v>0.0</v>
      </c>
      <c r="BO652" s="155">
        <v>0.0</v>
      </c>
      <c r="BP652" s="155">
        <v>0.0</v>
      </c>
      <c r="BQ652" s="155">
        <v>0.0</v>
      </c>
      <c r="BR652" s="155">
        <v>0.0</v>
      </c>
      <c r="BS652" s="155">
        <v>0.0</v>
      </c>
      <c r="CV652" s="156">
        <v>0.0</v>
      </c>
      <c r="CW652" s="156">
        <v>0.0</v>
      </c>
      <c r="CX652" s="156">
        <v>0.0</v>
      </c>
      <c r="CY652" s="156">
        <v>0.0</v>
      </c>
      <c r="CZ652" s="156">
        <v>0.0</v>
      </c>
      <c r="DA652" s="156">
        <v>0.0</v>
      </c>
      <c r="EG652" s="156">
        <v>0.0</v>
      </c>
      <c r="EH652" s="156">
        <v>0.0</v>
      </c>
      <c r="EI652" s="156">
        <v>0.0</v>
      </c>
      <c r="EJ652" s="156">
        <v>0.0</v>
      </c>
      <c r="EK652" s="156">
        <v>0.0</v>
      </c>
      <c r="EL652" s="156">
        <v>0.0</v>
      </c>
      <c r="FQ652" s="156">
        <v>0.0</v>
      </c>
      <c r="FR652" s="156">
        <v>0.0</v>
      </c>
      <c r="FS652" s="156">
        <v>0.0</v>
      </c>
      <c r="FT652" s="156">
        <v>0.0</v>
      </c>
      <c r="FU652" s="156">
        <v>0.0</v>
      </c>
      <c r="FV652" s="156">
        <v>0.0</v>
      </c>
      <c r="FW652" s="157"/>
      <c r="FX652" s="157"/>
      <c r="FY652" s="157"/>
      <c r="FZ652" s="157"/>
      <c r="GA652" s="157"/>
      <c r="GB652" s="157"/>
      <c r="GC652" s="157"/>
      <c r="GD652" s="157"/>
      <c r="GE652" s="157"/>
      <c r="GF652" s="157"/>
      <c r="GG652" s="157"/>
      <c r="GH652" s="157"/>
      <c r="GI652" s="157"/>
      <c r="GJ652" s="157"/>
      <c r="GK652" s="157"/>
      <c r="GL652" s="157"/>
      <c r="GM652" s="157"/>
      <c r="GN652" s="157"/>
      <c r="GO652" s="157"/>
      <c r="GP652" s="158"/>
      <c r="GQ652" s="157"/>
      <c r="GR652" s="157"/>
      <c r="GS652" s="157"/>
      <c r="GT652" s="157"/>
      <c r="GU652" s="157"/>
      <c r="GV652" s="157"/>
      <c r="GW652" s="157"/>
      <c r="GX652" s="157"/>
      <c r="GY652" s="157"/>
      <c r="GZ652" s="157"/>
      <c r="HA652" s="157"/>
      <c r="HB652" s="155">
        <v>8.0</v>
      </c>
      <c r="HC652" s="155">
        <v>0.0</v>
      </c>
      <c r="HD652" s="155">
        <v>0.0</v>
      </c>
      <c r="HE652" s="155">
        <v>0.0</v>
      </c>
      <c r="HF652" s="155">
        <v>0.0</v>
      </c>
      <c r="HG652" s="155">
        <v>0.0</v>
      </c>
      <c r="HW652" s="172">
        <v>1.0</v>
      </c>
      <c r="HX652" s="172">
        <v>0.0</v>
      </c>
      <c r="HY652" s="172">
        <v>1.0</v>
      </c>
      <c r="HZ652" s="172">
        <v>0.0</v>
      </c>
      <c r="IA652" s="172">
        <v>1.0</v>
      </c>
      <c r="IB652" s="172">
        <v>0.0</v>
      </c>
      <c r="IC652" s="172">
        <v>0.0</v>
      </c>
      <c r="ID652" s="172">
        <v>1.0</v>
      </c>
      <c r="IE652" s="172">
        <v>1.0</v>
      </c>
      <c r="IF652" s="172">
        <v>1.0</v>
      </c>
      <c r="IG652" s="172">
        <v>0.0</v>
      </c>
      <c r="IH652" s="172"/>
      <c r="II652" s="172">
        <v>0.0</v>
      </c>
      <c r="IJ652" s="172">
        <v>1.0</v>
      </c>
      <c r="IK652" s="172">
        <v>1.0</v>
      </c>
      <c r="IL652" s="159">
        <v>12.0</v>
      </c>
      <c r="IM652" s="156">
        <v>0.0</v>
      </c>
      <c r="IN652" s="156">
        <v>0.0</v>
      </c>
      <c r="IO652" s="156">
        <v>0.0</v>
      </c>
      <c r="IP652" s="156">
        <v>0.0</v>
      </c>
      <c r="IQ652" s="160">
        <v>0.0</v>
      </c>
      <c r="IR652" s="172">
        <v>0.0</v>
      </c>
      <c r="IS652" s="172"/>
      <c r="IT652" s="172">
        <v>0.0</v>
      </c>
      <c r="IU652" s="172">
        <v>1.0</v>
      </c>
      <c r="IV652" s="172">
        <v>0.0</v>
      </c>
      <c r="IW652" s="172">
        <v>0.0</v>
      </c>
      <c r="IX652" s="172">
        <v>1.0</v>
      </c>
      <c r="IY652" s="172">
        <v>0.0</v>
      </c>
      <c r="IZ652" s="172">
        <v>1.0</v>
      </c>
      <c r="JA652" s="172">
        <v>0.0</v>
      </c>
      <c r="JB652" s="172">
        <v>1.0</v>
      </c>
      <c r="JC652" s="172">
        <v>0.0</v>
      </c>
      <c r="JD652" s="172">
        <v>1.0</v>
      </c>
      <c r="JE652" s="172">
        <v>1.0</v>
      </c>
      <c r="JF652" s="172">
        <v>0.0</v>
      </c>
      <c r="JG652" s="172">
        <v>1.0</v>
      </c>
      <c r="JH652" s="170">
        <v>0.0</v>
      </c>
      <c r="JI652" s="172"/>
      <c r="JJ652" s="172"/>
      <c r="JK652" s="172"/>
      <c r="JL652" s="172">
        <v>1.0</v>
      </c>
      <c r="JM652" s="172"/>
      <c r="JN652" s="172">
        <v>1.0</v>
      </c>
      <c r="JO652" s="172"/>
      <c r="JP652" s="172">
        <v>1.0</v>
      </c>
      <c r="JQ652" s="172"/>
      <c r="JR652" s="172"/>
      <c r="JS652" s="172">
        <v>1.0</v>
      </c>
      <c r="JT652" s="172"/>
      <c r="JU652" s="172">
        <v>1.0</v>
      </c>
      <c r="JV652" s="172"/>
      <c r="JW652" s="159">
        <v>10.0</v>
      </c>
      <c r="JX652" s="156">
        <v>0.0</v>
      </c>
      <c r="JY652" s="156">
        <v>0.0</v>
      </c>
      <c r="JZ652" s="156">
        <v>1.0</v>
      </c>
      <c r="KA652" s="156">
        <v>0.0</v>
      </c>
      <c r="KB652" s="160">
        <v>0.0</v>
      </c>
      <c r="KC652" s="172"/>
      <c r="KD652" s="172"/>
      <c r="KE652" s="172"/>
      <c r="KF652" s="172">
        <v>1.0</v>
      </c>
      <c r="KG652" s="172"/>
      <c r="KH652" s="172">
        <v>1.0</v>
      </c>
      <c r="KI652" s="172"/>
      <c r="KJ652" s="172">
        <v>1.0</v>
      </c>
      <c r="KK652" s="172"/>
      <c r="KL652" s="172"/>
      <c r="KM652" s="172"/>
      <c r="KN652" s="172"/>
      <c r="KO652" s="172"/>
      <c r="KP652" s="172"/>
      <c r="KQ652" s="172">
        <v>1.0</v>
      </c>
      <c r="KR652" s="172"/>
      <c r="KS652" s="432"/>
      <c r="KT652" s="172">
        <v>1.0</v>
      </c>
      <c r="KU652" s="172"/>
      <c r="KV652" s="172">
        <v>1.0</v>
      </c>
      <c r="KW652" s="172"/>
      <c r="KX652" s="172" t="s">
        <v>624</v>
      </c>
      <c r="KY652" s="172"/>
      <c r="KZ652" s="172"/>
      <c r="LA652" s="172">
        <v>1.0</v>
      </c>
      <c r="LB652" s="172"/>
      <c r="LC652" s="172">
        <v>1.0</v>
      </c>
      <c r="LD652" s="172"/>
      <c r="LE652" s="172">
        <v>1.0</v>
      </c>
      <c r="LF652" s="172"/>
      <c r="LG652" s="172"/>
      <c r="LH652" s="159">
        <f t="shared" si="10"/>
        <v>7</v>
      </c>
      <c r="LI652" s="156">
        <f t="shared" si="11"/>
        <v>0</v>
      </c>
      <c r="LJ652" s="156">
        <f t="shared" si="12"/>
        <v>0</v>
      </c>
      <c r="LK652" s="156">
        <f t="shared" si="13"/>
        <v>0</v>
      </c>
      <c r="LL652" s="156">
        <f t="shared" si="14"/>
        <v>0</v>
      </c>
      <c r="LM652" s="160">
        <f t="shared" si="15"/>
        <v>0</v>
      </c>
      <c r="LW652" s="12">
        <f t="shared" ref="LW652:MQ652" si="68">IFS(TODAY()&lt;=LC$2,0,WEEKDAY(LC$2)=2,0,WEEKDAY(LC$2)=3,1,WEEKDAY(LC$2)=4,0,WEEKDAY(LC$2)=5,1,WEEKDAY(LC$2)=6,0,WEEKDAY(LC$2)=7,1,WEEKDAY(LC$2)=1,0)</f>
        <v>1</v>
      </c>
      <c r="LX652" s="12">
        <f t="shared" si="68"/>
        <v>0</v>
      </c>
      <c r="LY652" s="12">
        <f t="shared" si="68"/>
        <v>1</v>
      </c>
      <c r="LZ652" s="12">
        <f t="shared" si="68"/>
        <v>0</v>
      </c>
      <c r="MA652" s="12">
        <f t="shared" si="68"/>
        <v>0</v>
      </c>
      <c r="MB652" s="12">
        <f t="shared" si="68"/>
        <v>0</v>
      </c>
      <c r="MC652" s="12">
        <f t="shared" si="68"/>
        <v>0</v>
      </c>
      <c r="MD652" s="12">
        <f t="shared" si="68"/>
        <v>0</v>
      </c>
      <c r="ME652" s="12">
        <f t="shared" si="68"/>
        <v>0</v>
      </c>
      <c r="MF652" s="12">
        <f t="shared" si="68"/>
        <v>0</v>
      </c>
      <c r="MG652" s="12">
        <f t="shared" si="68"/>
        <v>0</v>
      </c>
      <c r="MH652" s="12">
        <f t="shared" si="68"/>
        <v>1</v>
      </c>
      <c r="MI652" s="12">
        <f t="shared" si="68"/>
        <v>0</v>
      </c>
      <c r="MJ652" s="12">
        <f t="shared" si="68"/>
        <v>1</v>
      </c>
      <c r="MK652" s="12">
        <f t="shared" si="68"/>
        <v>0</v>
      </c>
      <c r="ML652" s="12">
        <f t="shared" si="68"/>
        <v>1</v>
      </c>
      <c r="MM652" s="12">
        <f t="shared" si="68"/>
        <v>0</v>
      </c>
      <c r="MN652" s="12">
        <f t="shared" si="68"/>
        <v>0</v>
      </c>
      <c r="MO652" s="12">
        <f t="shared" si="68"/>
        <v>1</v>
      </c>
      <c r="MP652" s="12">
        <f t="shared" si="68"/>
        <v>0</v>
      </c>
      <c r="MQ652" s="12">
        <f t="shared" si="68"/>
        <v>1</v>
      </c>
      <c r="QX652" s="560">
        <v>46184.0</v>
      </c>
    </row>
    <row r="653">
      <c r="A653" s="12"/>
      <c r="B653" s="194"/>
      <c r="C653" s="12"/>
      <c r="D653" s="12"/>
      <c r="E653" s="12"/>
      <c r="F653" s="12"/>
      <c r="G653" s="12"/>
      <c r="H653" s="12"/>
      <c r="I653" s="143">
        <f t="shared" si="22"/>
        <v>0</v>
      </c>
      <c r="J653" s="620"/>
      <c r="K653" s="294" t="s">
        <v>42</v>
      </c>
      <c r="M653" s="86" t="s">
        <v>400</v>
      </c>
      <c r="N653" s="86">
        <v>246.0</v>
      </c>
      <c r="O653" s="86">
        <v>30.0</v>
      </c>
      <c r="U653" s="162"/>
      <c r="V653" s="538"/>
      <c r="W653" s="125" t="s">
        <v>3630</v>
      </c>
      <c r="X653" s="140"/>
      <c r="Y653" s="166">
        <f t="shared" si="23"/>
        <v>0</v>
      </c>
      <c r="Z653" s="26">
        <f t="shared" si="7"/>
        <v>0</v>
      </c>
      <c r="AA653" s="26">
        <f t="shared" si="8"/>
        <v>0</v>
      </c>
      <c r="AB653" s="26">
        <f t="shared" si="9"/>
        <v>0</v>
      </c>
      <c r="AC653" s="155">
        <v>0.0</v>
      </c>
      <c r="AD653" s="155">
        <v>0.0</v>
      </c>
      <c r="AE653" s="155">
        <v>0.0</v>
      </c>
      <c r="AF653" s="155">
        <v>0.0</v>
      </c>
      <c r="AG653" s="155">
        <v>0.0</v>
      </c>
      <c r="AH653" s="155">
        <v>0.0</v>
      </c>
      <c r="BN653" s="155">
        <v>0.0</v>
      </c>
      <c r="BO653" s="155">
        <v>0.0</v>
      </c>
      <c r="BP653" s="155">
        <v>0.0</v>
      </c>
      <c r="BQ653" s="155">
        <v>0.0</v>
      </c>
      <c r="BR653" s="155">
        <v>0.0</v>
      </c>
      <c r="BS653" s="155">
        <v>0.0</v>
      </c>
      <c r="CV653" s="156">
        <v>0.0</v>
      </c>
      <c r="CW653" s="156">
        <v>0.0</v>
      </c>
      <c r="CX653" s="156">
        <v>0.0</v>
      </c>
      <c r="CY653" s="156">
        <v>0.0</v>
      </c>
      <c r="CZ653" s="156">
        <v>0.0</v>
      </c>
      <c r="DA653" s="156">
        <v>0.0</v>
      </c>
      <c r="EG653" s="156">
        <v>0.0</v>
      </c>
      <c r="EH653" s="156">
        <v>0.0</v>
      </c>
      <c r="EI653" s="156">
        <v>0.0</v>
      </c>
      <c r="EJ653" s="156">
        <v>0.0</v>
      </c>
      <c r="EK653" s="156">
        <v>0.0</v>
      </c>
      <c r="EL653" s="156">
        <v>0.0</v>
      </c>
      <c r="FQ653" s="156">
        <v>0.0</v>
      </c>
      <c r="FR653" s="156">
        <v>0.0</v>
      </c>
      <c r="FS653" s="156">
        <v>0.0</v>
      </c>
      <c r="FT653" s="156">
        <v>0.0</v>
      </c>
      <c r="FU653" s="156">
        <v>0.0</v>
      </c>
      <c r="FV653" s="156">
        <v>0.0</v>
      </c>
      <c r="FW653" s="157"/>
      <c r="FX653" s="157"/>
      <c r="FY653" s="157"/>
      <c r="FZ653" s="157"/>
      <c r="GA653" s="157"/>
      <c r="GB653" s="157"/>
      <c r="GC653" s="157"/>
      <c r="GD653" s="157"/>
      <c r="GE653" s="157"/>
      <c r="GF653" s="157"/>
      <c r="GG653" s="157"/>
      <c r="GH653" s="157"/>
      <c r="GI653" s="157"/>
      <c r="GJ653" s="157"/>
      <c r="GK653" s="157"/>
      <c r="GL653" s="157"/>
      <c r="GM653" s="157"/>
      <c r="GN653" s="157"/>
      <c r="GO653" s="157"/>
      <c r="GP653" s="158"/>
      <c r="GQ653" s="157"/>
      <c r="GR653" s="157"/>
      <c r="GS653" s="157"/>
      <c r="GT653" s="157"/>
      <c r="GU653" s="157"/>
      <c r="GV653" s="157"/>
      <c r="GW653" s="157"/>
      <c r="GX653" s="157"/>
      <c r="GY653" s="157"/>
      <c r="GZ653" s="157"/>
      <c r="HA653" s="157"/>
      <c r="HB653" s="155">
        <v>0.0</v>
      </c>
      <c r="HC653" s="155">
        <v>0.0</v>
      </c>
      <c r="HD653" s="155">
        <v>0.0</v>
      </c>
      <c r="HE653" s="155">
        <v>0.0</v>
      </c>
      <c r="HF653" s="155">
        <v>0.0</v>
      </c>
      <c r="HG653" s="155">
        <v>0.0</v>
      </c>
      <c r="IL653" s="159">
        <v>0.0</v>
      </c>
      <c r="IM653" s="156">
        <v>0.0</v>
      </c>
      <c r="IN653" s="156">
        <v>0.0</v>
      </c>
      <c r="IO653" s="156">
        <v>0.0</v>
      </c>
      <c r="IP653" s="156">
        <v>0.0</v>
      </c>
      <c r="IQ653" s="160">
        <v>0.0</v>
      </c>
      <c r="JH653" s="25"/>
      <c r="JW653" s="159">
        <v>0.0</v>
      </c>
      <c r="JX653" s="156">
        <v>0.0</v>
      </c>
      <c r="JY653" s="156">
        <v>0.0</v>
      </c>
      <c r="JZ653" s="156">
        <v>0.0</v>
      </c>
      <c r="KA653" s="156">
        <v>0.0</v>
      </c>
      <c r="KB653" s="160">
        <v>0.0</v>
      </c>
      <c r="LH653" s="159">
        <f t="shared" si="10"/>
        <v>0</v>
      </c>
      <c r="LI653" s="156">
        <f t="shared" si="11"/>
        <v>0</v>
      </c>
      <c r="LJ653" s="156">
        <f t="shared" si="12"/>
        <v>0</v>
      </c>
      <c r="LK653" s="156">
        <f t="shared" si="13"/>
        <v>0</v>
      </c>
      <c r="LL653" s="156">
        <f t="shared" si="14"/>
        <v>0</v>
      </c>
      <c r="LM653" s="160">
        <f t="shared" si="15"/>
        <v>0</v>
      </c>
      <c r="QX653" s="560">
        <v>46184.0</v>
      </c>
    </row>
    <row r="654">
      <c r="A654" s="12"/>
      <c r="B654" s="12"/>
      <c r="C654" s="12"/>
      <c r="D654" s="12"/>
      <c r="E654" s="12"/>
      <c r="F654" s="494"/>
      <c r="G654" s="12"/>
      <c r="H654" s="12"/>
      <c r="I654" s="143">
        <f t="shared" si="22"/>
        <v>-31</v>
      </c>
      <c r="J654" s="537">
        <v>46190.0</v>
      </c>
      <c r="K654" s="294" t="s">
        <v>48</v>
      </c>
      <c r="L654" s="162"/>
      <c r="M654" s="162" t="s">
        <v>227</v>
      </c>
      <c r="N654" s="86">
        <v>246.0</v>
      </c>
      <c r="O654" s="86">
        <v>30.0</v>
      </c>
      <c r="U654" s="162" t="s">
        <v>955</v>
      </c>
      <c r="V654" s="538" t="s">
        <v>563</v>
      </c>
      <c r="W654" s="125" t="s">
        <v>3631</v>
      </c>
      <c r="X654" s="140"/>
      <c r="Y654" s="166">
        <f t="shared" si="23"/>
        <v>31</v>
      </c>
      <c r="Z654" s="26">
        <f t="shared" si="7"/>
        <v>0</v>
      </c>
      <c r="AA654" s="26">
        <f t="shared" si="8"/>
        <v>1</v>
      </c>
      <c r="AB654" s="26">
        <f t="shared" si="9"/>
        <v>0</v>
      </c>
      <c r="AC654" s="155">
        <v>0.0</v>
      </c>
      <c r="AD654" s="155">
        <v>0.0</v>
      </c>
      <c r="AE654" s="155">
        <v>0.0</v>
      </c>
      <c r="AF654" s="155">
        <v>0.0</v>
      </c>
      <c r="AG654" s="155">
        <v>0.0</v>
      </c>
      <c r="AH654" s="155">
        <v>0.0</v>
      </c>
      <c r="BN654" s="155">
        <v>0.0</v>
      </c>
      <c r="BO654" s="155">
        <v>0.0</v>
      </c>
      <c r="BP654" s="155">
        <v>0.0</v>
      </c>
      <c r="BQ654" s="155">
        <v>0.0</v>
      </c>
      <c r="BR654" s="155">
        <v>0.0</v>
      </c>
      <c r="BS654" s="155">
        <v>0.0</v>
      </c>
      <c r="CV654" s="156">
        <v>0.0</v>
      </c>
      <c r="CW654" s="156">
        <v>0.0</v>
      </c>
      <c r="CX654" s="156">
        <v>0.0</v>
      </c>
      <c r="CY654" s="156">
        <v>0.0</v>
      </c>
      <c r="CZ654" s="156">
        <v>0.0</v>
      </c>
      <c r="DA654" s="156">
        <v>0.0</v>
      </c>
      <c r="EG654" s="156">
        <v>0.0</v>
      </c>
      <c r="EH654" s="156">
        <v>0.0</v>
      </c>
      <c r="EI654" s="156">
        <v>0.0</v>
      </c>
      <c r="EJ654" s="156">
        <v>0.0</v>
      </c>
      <c r="EK654" s="156">
        <v>0.0</v>
      </c>
      <c r="EL654" s="156">
        <v>0.0</v>
      </c>
      <c r="FQ654" s="156">
        <v>0.0</v>
      </c>
      <c r="FR654" s="156">
        <v>0.0</v>
      </c>
      <c r="FS654" s="156">
        <v>0.0</v>
      </c>
      <c r="FT654" s="156">
        <v>0.0</v>
      </c>
      <c r="FU654" s="156">
        <v>0.0</v>
      </c>
      <c r="FV654" s="156">
        <v>0.0</v>
      </c>
      <c r="FW654" s="157"/>
      <c r="FX654" s="157"/>
      <c r="FY654" s="157"/>
      <c r="FZ654" s="157"/>
      <c r="GA654" s="157"/>
      <c r="GB654" s="157"/>
      <c r="GC654" s="157"/>
      <c r="GD654" s="157"/>
      <c r="GE654" s="157"/>
      <c r="GF654" s="157"/>
      <c r="GG654" s="157"/>
      <c r="GH654" s="157"/>
      <c r="GI654" s="157"/>
      <c r="GJ654" s="157"/>
      <c r="GK654" s="157"/>
      <c r="GL654" s="157"/>
      <c r="GM654" s="157"/>
      <c r="GN654" s="157"/>
      <c r="GO654" s="157"/>
      <c r="GP654" s="158"/>
      <c r="GQ654" s="157"/>
      <c r="GR654" s="157"/>
      <c r="GS654" s="157"/>
      <c r="GT654" s="157"/>
      <c r="GU654" s="157"/>
      <c r="GV654" s="157"/>
      <c r="GW654" s="157"/>
      <c r="GX654" s="157"/>
      <c r="GY654" s="157"/>
      <c r="GZ654" s="157"/>
      <c r="HA654" s="157"/>
      <c r="HB654" s="155">
        <v>6.0</v>
      </c>
      <c r="HC654" s="155">
        <v>0.0</v>
      </c>
      <c r="HD654" s="155">
        <v>0.0</v>
      </c>
      <c r="HE654" s="155">
        <v>0.0</v>
      </c>
      <c r="HF654" s="155">
        <v>0.0</v>
      </c>
      <c r="HG654" s="155">
        <v>0.0</v>
      </c>
      <c r="HX654" s="174">
        <v>1.0</v>
      </c>
      <c r="HY654" s="174">
        <v>0.0</v>
      </c>
      <c r="HZ654" s="174">
        <v>1.0</v>
      </c>
      <c r="IA654" s="174">
        <v>0.0</v>
      </c>
      <c r="IB654" s="174">
        <v>0.0</v>
      </c>
      <c r="IC654" s="174">
        <v>1.0</v>
      </c>
      <c r="ID654" s="174">
        <v>0.0</v>
      </c>
      <c r="IE654" s="174">
        <v>1.0</v>
      </c>
      <c r="IF654" s="174">
        <v>0.0</v>
      </c>
      <c r="IG654" s="174">
        <v>1.0</v>
      </c>
      <c r="IH654" s="174">
        <v>0.0</v>
      </c>
      <c r="II654" s="174">
        <v>0.0</v>
      </c>
      <c r="IJ654" s="174">
        <v>1.0</v>
      </c>
      <c r="IK654" s="174">
        <v>0.0</v>
      </c>
      <c r="IL654" s="159">
        <v>11.0</v>
      </c>
      <c r="IM654" s="156">
        <v>0.0</v>
      </c>
      <c r="IN654" s="156">
        <v>0.0</v>
      </c>
      <c r="IO654" s="156">
        <v>1.0</v>
      </c>
      <c r="IP654" s="156">
        <v>0.0</v>
      </c>
      <c r="IQ654" s="160">
        <v>0.0</v>
      </c>
      <c r="IR654" s="174">
        <v>1.0</v>
      </c>
      <c r="IS654" s="174">
        <v>0.0</v>
      </c>
      <c r="IT654" s="174"/>
      <c r="IU654" s="174">
        <v>0.0</v>
      </c>
      <c r="IV654" s="174">
        <v>0.0</v>
      </c>
      <c r="IW654" s="174">
        <v>1.0</v>
      </c>
      <c r="IX654" s="174">
        <v>0.0</v>
      </c>
      <c r="IY654" s="174"/>
      <c r="IZ654" s="174">
        <v>0.0</v>
      </c>
      <c r="JA654" s="174">
        <v>1.0</v>
      </c>
      <c r="JB654" s="174">
        <v>0.0</v>
      </c>
      <c r="JC654" s="174">
        <v>0.0</v>
      </c>
      <c r="JD654" s="175" t="s">
        <v>947</v>
      </c>
      <c r="JE654" s="174">
        <v>0.0</v>
      </c>
      <c r="JF654" s="174">
        <v>1.0</v>
      </c>
      <c r="JG654" s="174">
        <v>0.0</v>
      </c>
      <c r="JH654" s="177">
        <v>1.0</v>
      </c>
      <c r="JI654" s="174"/>
      <c r="JJ654" s="174"/>
      <c r="JK654" s="175">
        <v>1.0</v>
      </c>
      <c r="JL654" s="174"/>
      <c r="JM654" s="175">
        <v>1.0</v>
      </c>
      <c r="JN654" s="174"/>
      <c r="JO654" s="175">
        <v>1.0</v>
      </c>
      <c r="JP654" s="174"/>
      <c r="JQ654" s="174"/>
      <c r="JR654" s="174"/>
      <c r="JS654" s="174"/>
      <c r="JT654" s="175">
        <v>1.0</v>
      </c>
      <c r="JU654" s="174"/>
      <c r="JV654" s="175">
        <v>1.0</v>
      </c>
      <c r="JW654" s="159">
        <v>8.0</v>
      </c>
      <c r="JX654" s="156">
        <v>0.0</v>
      </c>
      <c r="JY654" s="156">
        <v>0.0</v>
      </c>
      <c r="JZ654" s="156">
        <v>0.0</v>
      </c>
      <c r="KA654" s="156">
        <v>0.0</v>
      </c>
      <c r="KB654" s="160">
        <v>0.0</v>
      </c>
      <c r="KC654" s="174"/>
      <c r="KD654" s="174"/>
      <c r="KE654" s="174"/>
      <c r="KF654" s="174"/>
      <c r="KG654" s="175">
        <v>1.0</v>
      </c>
      <c r="KH654" s="174"/>
      <c r="KI654" s="174"/>
      <c r="KJ654" s="174"/>
      <c r="KK654" s="174"/>
      <c r="KL654" s="175">
        <v>1.0</v>
      </c>
      <c r="KM654" s="174"/>
      <c r="KN654" s="174"/>
      <c r="KO654" s="174"/>
      <c r="KP654" s="175">
        <v>1.0</v>
      </c>
      <c r="KQ654" s="174"/>
      <c r="KR654" s="174"/>
      <c r="KS654" s="186">
        <v>1.0</v>
      </c>
      <c r="KT654" s="174"/>
      <c r="KU654" s="175">
        <v>1.0</v>
      </c>
      <c r="KV654" s="174"/>
      <c r="KW654" s="174"/>
      <c r="KX654" s="174"/>
      <c r="KY654" s="174"/>
      <c r="KZ654" s="175">
        <v>1.0</v>
      </c>
      <c r="LA654" s="175">
        <v>1.0</v>
      </c>
      <c r="LB654" s="174"/>
      <c r="LC654" s="174"/>
      <c r="LD654" s="175">
        <v>1.0</v>
      </c>
      <c r="LE654" s="174"/>
      <c r="LF654" s="174"/>
      <c r="LG654" s="174"/>
      <c r="LH654" s="159">
        <f t="shared" si="10"/>
        <v>6</v>
      </c>
      <c r="LI654" s="156">
        <f t="shared" si="11"/>
        <v>0</v>
      </c>
      <c r="LJ654" s="156">
        <f t="shared" si="12"/>
        <v>0</v>
      </c>
      <c r="LK654" s="156">
        <f t="shared" si="13"/>
        <v>0</v>
      </c>
      <c r="LL654" s="156">
        <f t="shared" si="14"/>
        <v>0</v>
      </c>
      <c r="LM654" s="160">
        <f t="shared" si="15"/>
        <v>0</v>
      </c>
      <c r="LN654" s="174"/>
      <c r="LO654" s="174"/>
      <c r="LP654" s="174"/>
      <c r="LQ654" s="187">
        <v>1.0</v>
      </c>
      <c r="LR654" s="174"/>
      <c r="LS654" s="174"/>
      <c r="LT654" s="187">
        <v>1.0</v>
      </c>
      <c r="LU654" s="174"/>
      <c r="LV654" s="187">
        <v>1.0</v>
      </c>
      <c r="LW654" s="174">
        <f t="shared" ref="LW654:MQ654" si="69">IFS(TODAY()&lt;=LW$2,0,WEEKDAY(LW$2)=2,1,WEEKDAY(LW$2)=3,0,WEEKDAY(LW$2)=4,1,WEEKDAY(LW$2)=5,0,WEEKDAY(LW$2)=6,1,WEEKDAY(LW$2)=7,0,WEEKDAY(LW$2)=1,0)</f>
        <v>0</v>
      </c>
      <c r="LX654" s="174">
        <f t="shared" si="69"/>
        <v>1</v>
      </c>
      <c r="LY654" s="174">
        <f t="shared" si="69"/>
        <v>0</v>
      </c>
      <c r="LZ654" s="174">
        <f t="shared" si="69"/>
        <v>0</v>
      </c>
      <c r="MA654" s="174">
        <f t="shared" si="69"/>
        <v>1</v>
      </c>
      <c r="MB654" s="174">
        <f t="shared" si="69"/>
        <v>0</v>
      </c>
      <c r="MC654" s="174">
        <f t="shared" si="69"/>
        <v>1</v>
      </c>
      <c r="MD654" s="174">
        <f t="shared" si="69"/>
        <v>0</v>
      </c>
      <c r="ME654" s="174">
        <f t="shared" si="69"/>
        <v>0</v>
      </c>
      <c r="MF654" s="174">
        <f t="shared" si="69"/>
        <v>0</v>
      </c>
      <c r="MG654" s="174">
        <f t="shared" si="69"/>
        <v>0</v>
      </c>
      <c r="MH654" s="174">
        <f t="shared" si="69"/>
        <v>0</v>
      </c>
      <c r="MI654" s="174">
        <f t="shared" si="69"/>
        <v>0</v>
      </c>
      <c r="MJ654" s="174">
        <f t="shared" si="69"/>
        <v>0</v>
      </c>
      <c r="MK654" s="174">
        <f t="shared" si="69"/>
        <v>0</v>
      </c>
      <c r="ML654" s="174">
        <f t="shared" si="69"/>
        <v>0</v>
      </c>
      <c r="MM654" s="174">
        <f t="shared" si="69"/>
        <v>0</v>
      </c>
      <c r="MN654" s="174">
        <f t="shared" si="69"/>
        <v>0</v>
      </c>
      <c r="MO654" s="174">
        <f t="shared" si="69"/>
        <v>0</v>
      </c>
      <c r="MP654" s="174">
        <f t="shared" si="69"/>
        <v>0</v>
      </c>
      <c r="MQ654" s="174">
        <f t="shared" si="69"/>
        <v>0</v>
      </c>
      <c r="QX654" s="560">
        <v>46185.0</v>
      </c>
    </row>
    <row r="655">
      <c r="A655" s="12"/>
      <c r="B655" s="12"/>
      <c r="C655" s="12"/>
      <c r="D655" s="12"/>
      <c r="E655" s="12"/>
      <c r="F655" s="12"/>
      <c r="G655" s="12"/>
      <c r="H655" s="12"/>
      <c r="I655" s="143">
        <f t="shared" si="22"/>
        <v>-18</v>
      </c>
      <c r="J655" s="537">
        <v>46197.0</v>
      </c>
      <c r="K655" s="164" t="s">
        <v>53</v>
      </c>
      <c r="L655" s="23">
        <v>46255.0</v>
      </c>
      <c r="M655" s="86" t="s">
        <v>400</v>
      </c>
      <c r="N655" s="86">
        <v>246.0</v>
      </c>
      <c r="O655" s="86">
        <v>30.0</v>
      </c>
      <c r="U655" s="162" t="s">
        <v>3622</v>
      </c>
      <c r="V655" s="538" t="s">
        <v>3623</v>
      </c>
      <c r="W655" s="125" t="s">
        <v>3632</v>
      </c>
      <c r="X655" s="140"/>
      <c r="Y655" s="166">
        <f t="shared" si="23"/>
        <v>18</v>
      </c>
      <c r="Z655" s="26">
        <f t="shared" si="7"/>
        <v>0</v>
      </c>
      <c r="AA655" s="26">
        <f t="shared" si="8"/>
        <v>2</v>
      </c>
      <c r="AB655" s="26">
        <f t="shared" si="9"/>
        <v>0</v>
      </c>
      <c r="AC655" s="155">
        <v>0.0</v>
      </c>
      <c r="AD655" s="155">
        <v>0.0</v>
      </c>
      <c r="AE655" s="155">
        <v>0.0</v>
      </c>
      <c r="AF655" s="155">
        <v>0.0</v>
      </c>
      <c r="AG655" s="155">
        <v>0.0</v>
      </c>
      <c r="AH655" s="155">
        <v>0.0</v>
      </c>
      <c r="BN655" s="155">
        <v>0.0</v>
      </c>
      <c r="BO655" s="155">
        <v>0.0</v>
      </c>
      <c r="BP655" s="155">
        <v>0.0</v>
      </c>
      <c r="BQ655" s="155">
        <v>0.0</v>
      </c>
      <c r="BR655" s="155">
        <v>0.0</v>
      </c>
      <c r="BS655" s="155">
        <v>0.0</v>
      </c>
      <c r="CV655" s="156">
        <v>0.0</v>
      </c>
      <c r="CW655" s="156">
        <v>0.0</v>
      </c>
      <c r="CX655" s="156">
        <v>0.0</v>
      </c>
      <c r="CY655" s="156">
        <v>0.0</v>
      </c>
      <c r="CZ655" s="156">
        <v>0.0</v>
      </c>
      <c r="DA655" s="156">
        <v>0.0</v>
      </c>
      <c r="EG655" s="156">
        <v>0.0</v>
      </c>
      <c r="EH655" s="156">
        <v>0.0</v>
      </c>
      <c r="EI655" s="156">
        <v>0.0</v>
      </c>
      <c r="EJ655" s="156">
        <v>0.0</v>
      </c>
      <c r="EK655" s="156">
        <v>0.0</v>
      </c>
      <c r="EL655" s="156">
        <v>0.0</v>
      </c>
      <c r="FQ655" s="156">
        <v>0.0</v>
      </c>
      <c r="FR655" s="156">
        <v>0.0</v>
      </c>
      <c r="FS655" s="156">
        <v>0.0</v>
      </c>
      <c r="FT655" s="156">
        <v>0.0</v>
      </c>
      <c r="FU655" s="156">
        <v>0.0</v>
      </c>
      <c r="FV655" s="156">
        <v>0.0</v>
      </c>
      <c r="FW655" s="157"/>
      <c r="FX655" s="157"/>
      <c r="FY655" s="157"/>
      <c r="FZ655" s="157"/>
      <c r="GA655" s="157"/>
      <c r="GB655" s="157"/>
      <c r="GC655" s="157"/>
      <c r="GD655" s="157"/>
      <c r="GE655" s="157"/>
      <c r="GF655" s="157"/>
      <c r="GG655" s="157"/>
      <c r="GH655" s="157"/>
      <c r="GI655" s="157"/>
      <c r="GJ655" s="157"/>
      <c r="GK655" s="157"/>
      <c r="GL655" s="157"/>
      <c r="GM655" s="157"/>
      <c r="GN655" s="157"/>
      <c r="GO655" s="157"/>
      <c r="GP655" s="158"/>
      <c r="GQ655" s="157"/>
      <c r="GR655" s="157"/>
      <c r="GS655" s="157"/>
      <c r="GT655" s="157"/>
      <c r="GU655" s="157"/>
      <c r="GV655" s="157"/>
      <c r="GW655" s="157"/>
      <c r="GX655" s="157"/>
      <c r="GY655" s="157"/>
      <c r="GZ655" s="157"/>
      <c r="HA655" s="157"/>
      <c r="HB655" s="155">
        <v>2.0</v>
      </c>
      <c r="HC655" s="155">
        <v>0.0</v>
      </c>
      <c r="HD655" s="155">
        <v>0.0</v>
      </c>
      <c r="HE655" s="155">
        <v>0.0</v>
      </c>
      <c r="HF655" s="155">
        <v>0.0</v>
      </c>
      <c r="HG655" s="155">
        <v>0.0</v>
      </c>
      <c r="IC655" s="174"/>
      <c r="ID655" s="174"/>
      <c r="IE655" s="174">
        <v>1.0</v>
      </c>
      <c r="IF655" s="174"/>
      <c r="IG655" s="174"/>
      <c r="IH655" s="175">
        <v>1.0</v>
      </c>
      <c r="II655" s="174"/>
      <c r="IJ655" s="174"/>
      <c r="IK655" s="174">
        <v>0.0</v>
      </c>
      <c r="IL655" s="159">
        <v>15.0</v>
      </c>
      <c r="IM655" s="156">
        <v>0.0</v>
      </c>
      <c r="IN655" s="156">
        <v>0.0</v>
      </c>
      <c r="IO655" s="156">
        <v>1.0</v>
      </c>
      <c r="IP655" s="156">
        <v>0.0</v>
      </c>
      <c r="IQ655" s="160">
        <v>0.0</v>
      </c>
      <c r="IR655" s="174"/>
      <c r="IS655" s="174">
        <v>0.0</v>
      </c>
      <c r="IT655" s="174">
        <v>1.0</v>
      </c>
      <c r="IU655" s="175">
        <v>1.0</v>
      </c>
      <c r="IV655" s="175">
        <v>1.0</v>
      </c>
      <c r="IW655" s="174">
        <v>1.0</v>
      </c>
      <c r="IX655" s="174">
        <v>0.0</v>
      </c>
      <c r="IY655" s="174">
        <v>1.0</v>
      </c>
      <c r="IZ655" s="174">
        <v>0.0</v>
      </c>
      <c r="JA655" s="174"/>
      <c r="JB655" s="174">
        <v>0.0</v>
      </c>
      <c r="JC655" s="175">
        <v>1.0</v>
      </c>
      <c r="JD655" s="174"/>
      <c r="JE655" s="174">
        <v>0.0</v>
      </c>
      <c r="JF655" s="174"/>
      <c r="JG655" s="174">
        <v>0.0</v>
      </c>
      <c r="JH655" s="176" t="s">
        <v>947</v>
      </c>
      <c r="JI655" s="174"/>
      <c r="JJ655" s="174"/>
      <c r="JK655" s="174"/>
      <c r="JL655" s="175">
        <v>1.0</v>
      </c>
      <c r="JM655" s="175">
        <v>1.0</v>
      </c>
      <c r="JN655" s="174"/>
      <c r="JO655" s="174"/>
      <c r="JP655" s="175">
        <v>1.0</v>
      </c>
      <c r="JQ655" s="175">
        <v>1.0</v>
      </c>
      <c r="JR655" s="175">
        <v>1.0</v>
      </c>
      <c r="JS655" s="175">
        <v>1.0</v>
      </c>
      <c r="JT655" s="175">
        <v>1.0</v>
      </c>
      <c r="JU655" s="174"/>
      <c r="JV655" s="175">
        <v>1.0</v>
      </c>
      <c r="JW655" s="159">
        <v>1.0</v>
      </c>
      <c r="JX655" s="156">
        <v>0.0</v>
      </c>
      <c r="JY655" s="156">
        <v>0.0</v>
      </c>
      <c r="JZ655" s="156">
        <v>1.0</v>
      </c>
      <c r="KA655" s="156">
        <v>0.0</v>
      </c>
      <c r="KB655" s="160">
        <v>0.0</v>
      </c>
      <c r="KC655" s="174"/>
      <c r="KD655" s="174"/>
      <c r="KE655" s="174"/>
      <c r="KF655" s="175" t="s">
        <v>947</v>
      </c>
      <c r="KG655" s="174"/>
      <c r="KH655" s="174"/>
      <c r="KI655" s="174"/>
      <c r="KJ655" s="174"/>
      <c r="KK655" s="174"/>
      <c r="KL655" s="174"/>
      <c r="KM655" s="174"/>
      <c r="KN655" s="174"/>
      <c r="KO655" s="174"/>
      <c r="KP655" s="174"/>
      <c r="KQ655" s="174"/>
      <c r="KR655" s="174"/>
      <c r="KS655" s="472"/>
      <c r="KT655" s="174"/>
      <c r="KU655" s="174"/>
      <c r="KV655" s="174"/>
      <c r="KW655" s="174"/>
      <c r="KX655" s="174"/>
      <c r="KY655" s="174"/>
      <c r="KZ655" s="174"/>
      <c r="LA655" s="174"/>
      <c r="LB655" s="174"/>
      <c r="LC655" s="174"/>
      <c r="LD655" s="174"/>
      <c r="LE655" s="174"/>
      <c r="LF655" s="174"/>
      <c r="LG655" s="174"/>
      <c r="LH655" s="159">
        <f t="shared" si="10"/>
        <v>0</v>
      </c>
      <c r="LI655" s="156">
        <f t="shared" si="11"/>
        <v>0</v>
      </c>
      <c r="LJ655" s="156">
        <f t="shared" si="12"/>
        <v>0</v>
      </c>
      <c r="LK655" s="156">
        <f t="shared" si="13"/>
        <v>0</v>
      </c>
      <c r="LL655" s="156">
        <f t="shared" si="14"/>
        <v>0</v>
      </c>
      <c r="LM655" s="160">
        <f t="shared" si="15"/>
        <v>0</v>
      </c>
      <c r="QX655" s="560">
        <v>46186.0</v>
      </c>
    </row>
    <row r="656">
      <c r="A656" s="12"/>
      <c r="B656" s="12"/>
      <c r="C656" s="12"/>
      <c r="D656" s="12"/>
      <c r="E656" s="12"/>
      <c r="F656" s="12"/>
      <c r="G656" s="12"/>
      <c r="H656" s="12"/>
      <c r="I656" s="143">
        <f t="shared" si="22"/>
        <v>-22</v>
      </c>
      <c r="J656" s="537">
        <v>46190.0</v>
      </c>
      <c r="K656" s="294" t="s">
        <v>48</v>
      </c>
      <c r="L656" s="108"/>
      <c r="M656" s="162" t="s">
        <v>227</v>
      </c>
      <c r="N656" s="162">
        <v>246.0</v>
      </c>
      <c r="O656" s="162">
        <v>30.0</v>
      </c>
      <c r="P656" s="25"/>
      <c r="Q656" s="25"/>
      <c r="R656" s="25"/>
      <c r="S656" s="25"/>
      <c r="T656" s="25"/>
      <c r="U656" s="162" t="s">
        <v>3633</v>
      </c>
      <c r="V656" s="538" t="s">
        <v>3568</v>
      </c>
      <c r="W656" s="125" t="s">
        <v>3634</v>
      </c>
      <c r="X656" s="140"/>
      <c r="Y656" s="166">
        <f t="shared" si="23"/>
        <v>22</v>
      </c>
      <c r="Z656" s="26">
        <f t="shared" si="7"/>
        <v>0</v>
      </c>
      <c r="AA656" s="26">
        <f t="shared" si="8"/>
        <v>1</v>
      </c>
      <c r="AB656" s="26">
        <f t="shared" si="9"/>
        <v>0</v>
      </c>
      <c r="AC656" s="155">
        <v>0.0</v>
      </c>
      <c r="AD656" s="155">
        <v>0.0</v>
      </c>
      <c r="AE656" s="155">
        <v>0.0</v>
      </c>
      <c r="AF656" s="155">
        <v>0.0</v>
      </c>
      <c r="AG656" s="155">
        <v>0.0</v>
      </c>
      <c r="AH656" s="155">
        <v>0.0</v>
      </c>
      <c r="BN656" s="155">
        <v>0.0</v>
      </c>
      <c r="BO656" s="155">
        <v>0.0</v>
      </c>
      <c r="BP656" s="155">
        <v>0.0</v>
      </c>
      <c r="BQ656" s="155">
        <v>0.0</v>
      </c>
      <c r="BR656" s="155">
        <v>0.0</v>
      </c>
      <c r="BS656" s="155">
        <v>0.0</v>
      </c>
      <c r="CV656" s="156">
        <v>0.0</v>
      </c>
      <c r="CW656" s="156">
        <v>0.0</v>
      </c>
      <c r="CX656" s="156">
        <v>0.0</v>
      </c>
      <c r="CY656" s="156">
        <v>0.0</v>
      </c>
      <c r="CZ656" s="156">
        <v>0.0</v>
      </c>
      <c r="DA656" s="156">
        <v>0.0</v>
      </c>
      <c r="EG656" s="156">
        <v>0.0</v>
      </c>
      <c r="EH656" s="156">
        <v>0.0</v>
      </c>
      <c r="EI656" s="156">
        <v>0.0</v>
      </c>
      <c r="EJ656" s="156">
        <v>0.0</v>
      </c>
      <c r="EK656" s="156">
        <v>0.0</v>
      </c>
      <c r="EL656" s="156">
        <v>0.0</v>
      </c>
      <c r="FQ656" s="156">
        <v>0.0</v>
      </c>
      <c r="FR656" s="156">
        <v>0.0</v>
      </c>
      <c r="FS656" s="156">
        <v>0.0</v>
      </c>
      <c r="FT656" s="156">
        <v>0.0</v>
      </c>
      <c r="FU656" s="156">
        <v>0.0</v>
      </c>
      <c r="FV656" s="156">
        <v>0.0</v>
      </c>
      <c r="FW656" s="157"/>
      <c r="FX656" s="157"/>
      <c r="FY656" s="157"/>
      <c r="FZ656" s="157"/>
      <c r="GA656" s="157"/>
      <c r="GB656" s="157"/>
      <c r="GC656" s="157"/>
      <c r="GD656" s="157"/>
      <c r="GE656" s="157"/>
      <c r="GF656" s="157"/>
      <c r="GG656" s="157"/>
      <c r="GH656" s="157"/>
      <c r="GI656" s="157"/>
      <c r="GJ656" s="157"/>
      <c r="GK656" s="157"/>
      <c r="GL656" s="157"/>
      <c r="GM656" s="157"/>
      <c r="GN656" s="157"/>
      <c r="GO656" s="157"/>
      <c r="GP656" s="158"/>
      <c r="GQ656" s="157"/>
      <c r="GR656" s="157"/>
      <c r="GS656" s="157"/>
      <c r="GT656" s="157"/>
      <c r="GU656" s="157"/>
      <c r="GV656" s="157"/>
      <c r="GW656" s="157"/>
      <c r="GX656" s="157"/>
      <c r="GY656" s="157"/>
      <c r="GZ656" s="157"/>
      <c r="HA656" s="157"/>
      <c r="HB656" s="155">
        <v>5.0</v>
      </c>
      <c r="HC656" s="155">
        <v>0.0</v>
      </c>
      <c r="HD656" s="155">
        <v>0.0</v>
      </c>
      <c r="HE656" s="155">
        <v>0.0</v>
      </c>
      <c r="HF656" s="155">
        <v>0.0</v>
      </c>
      <c r="HG656" s="155">
        <v>0.0</v>
      </c>
      <c r="HX656" s="174">
        <v>1.0</v>
      </c>
      <c r="HY656" s="175">
        <v>1.0</v>
      </c>
      <c r="HZ656" s="174"/>
      <c r="IA656" s="174">
        <v>0.0</v>
      </c>
      <c r="IB656" s="174">
        <v>0.0</v>
      </c>
      <c r="IC656" s="174">
        <v>1.0</v>
      </c>
      <c r="ID656" s="174"/>
      <c r="IE656" s="174"/>
      <c r="IF656" s="174"/>
      <c r="IG656" s="174">
        <v>1.0</v>
      </c>
      <c r="IH656" s="174">
        <v>0.0</v>
      </c>
      <c r="II656" s="174">
        <v>0.0</v>
      </c>
      <c r="IJ656" s="174">
        <v>1.0</v>
      </c>
      <c r="IK656" s="174">
        <v>0.0</v>
      </c>
      <c r="IL656" s="159">
        <v>8.0</v>
      </c>
      <c r="IM656" s="156">
        <v>0.0</v>
      </c>
      <c r="IN656" s="156">
        <v>0.0</v>
      </c>
      <c r="IO656" s="156">
        <v>0.0</v>
      </c>
      <c r="IP656" s="156">
        <v>0.0</v>
      </c>
      <c r="IQ656" s="160">
        <v>0.0</v>
      </c>
      <c r="IR656" s="174">
        <v>1.0</v>
      </c>
      <c r="IS656" s="174">
        <v>0.0</v>
      </c>
      <c r="IT656" s="174"/>
      <c r="IU656" s="174">
        <v>0.0</v>
      </c>
      <c r="IV656" s="174">
        <v>0.0</v>
      </c>
      <c r="IW656" s="174">
        <v>1.0</v>
      </c>
      <c r="IX656" s="174">
        <v>0.0</v>
      </c>
      <c r="IY656" s="174"/>
      <c r="IZ656" s="174">
        <v>0.0</v>
      </c>
      <c r="JA656" s="174">
        <v>1.0</v>
      </c>
      <c r="JB656" s="174">
        <v>0.0</v>
      </c>
      <c r="JC656" s="174">
        <v>0.0</v>
      </c>
      <c r="JD656" s="174">
        <v>1.0</v>
      </c>
      <c r="JE656" s="174">
        <v>0.0</v>
      </c>
      <c r="JF656" s="174">
        <v>1.0</v>
      </c>
      <c r="JG656" s="174">
        <v>0.0</v>
      </c>
      <c r="JH656" s="177">
        <v>1.0</v>
      </c>
      <c r="JI656" s="174"/>
      <c r="JJ656" s="174"/>
      <c r="JK656" s="174"/>
      <c r="JL656" s="174"/>
      <c r="JM656" s="175">
        <v>1.0</v>
      </c>
      <c r="JN656" s="174"/>
      <c r="JO656" s="174"/>
      <c r="JP656" s="174"/>
      <c r="JQ656" s="174"/>
      <c r="JR656" s="174"/>
      <c r="JS656" s="174"/>
      <c r="JT656" s="175">
        <v>1.0</v>
      </c>
      <c r="JU656" s="174"/>
      <c r="JV656" s="174"/>
      <c r="JW656" s="159">
        <v>4.0</v>
      </c>
      <c r="JX656" s="156">
        <v>0.0</v>
      </c>
      <c r="JY656" s="156">
        <v>0.0</v>
      </c>
      <c r="JZ656" s="156">
        <v>1.0</v>
      </c>
      <c r="KA656" s="156">
        <v>0.0</v>
      </c>
      <c r="KB656" s="160">
        <v>0.0</v>
      </c>
      <c r="KC656" s="174"/>
      <c r="KD656" s="174"/>
      <c r="KE656" s="175">
        <v>1.0</v>
      </c>
      <c r="KF656" s="174"/>
      <c r="KG656" s="174"/>
      <c r="KH656" s="174"/>
      <c r="KI656" s="174"/>
      <c r="KJ656" s="174"/>
      <c r="KK656" s="174"/>
      <c r="KL656" s="174"/>
      <c r="KM656" s="174"/>
      <c r="KN656" s="174"/>
      <c r="KO656" s="174"/>
      <c r="KP656" s="174"/>
      <c r="KQ656" s="174"/>
      <c r="KR656" s="174"/>
      <c r="KS656" s="186" t="s">
        <v>624</v>
      </c>
      <c r="KT656" s="174"/>
      <c r="KU656" s="174"/>
      <c r="KV656" s="174"/>
      <c r="KW656" s="174"/>
      <c r="KX656" s="174"/>
      <c r="KY656" s="174"/>
      <c r="KZ656" s="175">
        <v>1.0</v>
      </c>
      <c r="LA656" s="174"/>
      <c r="LB656" s="174"/>
      <c r="LC656" s="174"/>
      <c r="LD656" s="175">
        <v>1.0</v>
      </c>
      <c r="LE656" s="174"/>
      <c r="LF656" s="174"/>
      <c r="LG656" s="174"/>
      <c r="LH656" s="159">
        <f t="shared" si="10"/>
        <v>5</v>
      </c>
      <c r="LI656" s="156">
        <f t="shared" si="11"/>
        <v>0</v>
      </c>
      <c r="LJ656" s="156">
        <f t="shared" si="12"/>
        <v>0</v>
      </c>
      <c r="LK656" s="156">
        <f t="shared" si="13"/>
        <v>0</v>
      </c>
      <c r="LL656" s="156">
        <f t="shared" si="14"/>
        <v>0</v>
      </c>
      <c r="LM656" s="160">
        <f t="shared" si="15"/>
        <v>0</v>
      </c>
      <c r="LN656" s="174"/>
      <c r="LO656" s="174"/>
      <c r="LP656" s="174"/>
      <c r="LQ656" s="174"/>
      <c r="LR656" s="174"/>
      <c r="LS656" s="174"/>
      <c r="LT656" s="174"/>
      <c r="LU656" s="187">
        <v>1.0</v>
      </c>
      <c r="LV656" s="187">
        <v>1.0</v>
      </c>
      <c r="LW656" s="174">
        <f t="shared" ref="LW656:MQ656" si="70">IFS(TODAY()&lt;=LW$2,0,WEEKDAY(LW$2)=2,1,WEEKDAY(LW$2)=3,0,WEEKDAY(LW$2)=4,1,WEEKDAY(LW$2)=5,0,WEEKDAY(LW$2)=6,1,WEEKDAY(LW$2)=7,0,WEEKDAY(LW$2)=1,0)</f>
        <v>0</v>
      </c>
      <c r="LX656" s="174">
        <f t="shared" si="70"/>
        <v>1</v>
      </c>
      <c r="LY656" s="174">
        <f t="shared" si="70"/>
        <v>0</v>
      </c>
      <c r="LZ656" s="174">
        <f t="shared" si="70"/>
        <v>0</v>
      </c>
      <c r="MA656" s="174">
        <f t="shared" si="70"/>
        <v>1</v>
      </c>
      <c r="MB656" s="174">
        <f t="shared" si="70"/>
        <v>0</v>
      </c>
      <c r="MC656" s="174">
        <f t="shared" si="70"/>
        <v>1</v>
      </c>
      <c r="MD656" s="174">
        <f t="shared" si="70"/>
        <v>0</v>
      </c>
      <c r="ME656" s="174">
        <f t="shared" si="70"/>
        <v>0</v>
      </c>
      <c r="MF656" s="174">
        <f t="shared" si="70"/>
        <v>0</v>
      </c>
      <c r="MG656" s="174">
        <f t="shared" si="70"/>
        <v>0</v>
      </c>
      <c r="MH656" s="174">
        <f t="shared" si="70"/>
        <v>0</v>
      </c>
      <c r="MI656" s="174">
        <f t="shared" si="70"/>
        <v>0</v>
      </c>
      <c r="MJ656" s="174">
        <f t="shared" si="70"/>
        <v>0</v>
      </c>
      <c r="MK656" s="174">
        <f t="shared" si="70"/>
        <v>0</v>
      </c>
      <c r="ML656" s="174">
        <f t="shared" si="70"/>
        <v>0</v>
      </c>
      <c r="MM656" s="174">
        <f t="shared" si="70"/>
        <v>0</v>
      </c>
      <c r="MN656" s="174">
        <f t="shared" si="70"/>
        <v>0</v>
      </c>
      <c r="MO656" s="174">
        <f t="shared" si="70"/>
        <v>0</v>
      </c>
      <c r="MP656" s="174">
        <f t="shared" si="70"/>
        <v>0</v>
      </c>
      <c r="MQ656" s="174">
        <f t="shared" si="70"/>
        <v>0</v>
      </c>
      <c r="QX656" s="560">
        <v>46187.0</v>
      </c>
    </row>
    <row r="657">
      <c r="A657" s="12"/>
      <c r="B657" s="12"/>
      <c r="C657" s="12"/>
      <c r="D657" s="12"/>
      <c r="E657" s="12"/>
      <c r="F657" s="12"/>
      <c r="G657" s="12"/>
      <c r="H657" s="12"/>
      <c r="I657" s="143">
        <f t="shared" si="22"/>
        <v>-3</v>
      </c>
      <c r="J657" s="537">
        <v>46192.0</v>
      </c>
      <c r="K657" s="164" t="s">
        <v>61</v>
      </c>
      <c r="L657" s="23">
        <v>46203.0</v>
      </c>
      <c r="M657" s="86" t="s">
        <v>2781</v>
      </c>
      <c r="N657" s="86">
        <v>246.0</v>
      </c>
      <c r="O657" s="86">
        <v>30.0</v>
      </c>
      <c r="U657" s="162" t="s">
        <v>2519</v>
      </c>
      <c r="V657" s="538" t="s">
        <v>307</v>
      </c>
      <c r="W657" s="125" t="s">
        <v>3635</v>
      </c>
      <c r="X657" s="140"/>
      <c r="Y657" s="166">
        <f t="shared" si="23"/>
        <v>3</v>
      </c>
      <c r="Z657" s="26">
        <f t="shared" si="7"/>
        <v>0</v>
      </c>
      <c r="AA657" s="26">
        <f t="shared" si="8"/>
        <v>0</v>
      </c>
      <c r="AB657" s="26">
        <f t="shared" si="9"/>
        <v>0</v>
      </c>
      <c r="AC657" s="155">
        <v>0.0</v>
      </c>
      <c r="AD657" s="155">
        <v>0.0</v>
      </c>
      <c r="AE657" s="155">
        <v>0.0</v>
      </c>
      <c r="AF657" s="155">
        <v>0.0</v>
      </c>
      <c r="AG657" s="155">
        <v>0.0</v>
      </c>
      <c r="AH657" s="155">
        <v>0.0</v>
      </c>
      <c r="BN657" s="155">
        <v>0.0</v>
      </c>
      <c r="BO657" s="155">
        <v>0.0</v>
      </c>
      <c r="BP657" s="155">
        <v>0.0</v>
      </c>
      <c r="BQ657" s="155">
        <v>0.0</v>
      </c>
      <c r="BR657" s="155">
        <v>0.0</v>
      </c>
      <c r="BS657" s="155">
        <v>0.0</v>
      </c>
      <c r="CV657" s="156">
        <v>0.0</v>
      </c>
      <c r="CW657" s="156">
        <v>0.0</v>
      </c>
      <c r="CX657" s="156">
        <v>0.0</v>
      </c>
      <c r="CY657" s="156">
        <v>0.0</v>
      </c>
      <c r="CZ657" s="156">
        <v>0.0</v>
      </c>
      <c r="DA657" s="156">
        <v>0.0</v>
      </c>
      <c r="EG657" s="156">
        <v>0.0</v>
      </c>
      <c r="EH657" s="156">
        <v>0.0</v>
      </c>
      <c r="EI657" s="156">
        <v>0.0</v>
      </c>
      <c r="EJ657" s="156">
        <v>0.0</v>
      </c>
      <c r="EK657" s="156">
        <v>0.0</v>
      </c>
      <c r="EL657" s="156">
        <v>0.0</v>
      </c>
      <c r="FQ657" s="156">
        <v>0.0</v>
      </c>
      <c r="FR657" s="156">
        <v>0.0</v>
      </c>
      <c r="FS657" s="156">
        <v>0.0</v>
      </c>
      <c r="FT657" s="156">
        <v>0.0</v>
      </c>
      <c r="FU657" s="156">
        <v>0.0</v>
      </c>
      <c r="FV657" s="156">
        <v>0.0</v>
      </c>
      <c r="FW657" s="157"/>
      <c r="FX657" s="157"/>
      <c r="FY657" s="157"/>
      <c r="FZ657" s="157"/>
      <c r="GA657" s="157"/>
      <c r="GB657" s="157"/>
      <c r="GC657" s="157"/>
      <c r="GD657" s="157"/>
      <c r="GE657" s="157"/>
      <c r="GF657" s="157"/>
      <c r="GG657" s="157"/>
      <c r="GH657" s="157"/>
      <c r="GI657" s="157"/>
      <c r="GJ657" s="157"/>
      <c r="GK657" s="157"/>
      <c r="GL657" s="157"/>
      <c r="GM657" s="157"/>
      <c r="GN657" s="157"/>
      <c r="GO657" s="157"/>
      <c r="GP657" s="158"/>
      <c r="GQ657" s="157"/>
      <c r="GR657" s="157"/>
      <c r="GS657" s="157"/>
      <c r="GT657" s="157"/>
      <c r="GU657" s="157"/>
      <c r="GV657" s="157"/>
      <c r="GW657" s="157"/>
      <c r="GX657" s="157"/>
      <c r="GY657" s="157"/>
      <c r="GZ657" s="157"/>
      <c r="HA657" s="157"/>
      <c r="HB657" s="155">
        <v>3.0</v>
      </c>
      <c r="HC657" s="155">
        <v>0.0</v>
      </c>
      <c r="HD657" s="155">
        <v>0.0</v>
      </c>
      <c r="HE657" s="155">
        <v>0.0</v>
      </c>
      <c r="HF657" s="155">
        <v>0.0</v>
      </c>
      <c r="HG657" s="155">
        <v>0.0</v>
      </c>
      <c r="HZ657" s="174">
        <v>1.0</v>
      </c>
      <c r="IA657" s="174">
        <v>0.0</v>
      </c>
      <c r="IB657" s="174">
        <v>0.0</v>
      </c>
      <c r="IC657" s="174">
        <v>1.0</v>
      </c>
      <c r="ID657" s="174">
        <v>0.0</v>
      </c>
      <c r="IE657" s="174">
        <v>1.0</v>
      </c>
      <c r="IF657" s="174"/>
      <c r="IG657" s="174"/>
      <c r="IH657" s="174"/>
      <c r="II657" s="174"/>
      <c r="IJ657" s="174"/>
      <c r="IK657" s="174"/>
      <c r="IL657" s="159">
        <v>0.0</v>
      </c>
      <c r="IM657" s="156">
        <v>0.0</v>
      </c>
      <c r="IN657" s="156">
        <v>0.0</v>
      </c>
      <c r="IO657" s="156">
        <v>0.0</v>
      </c>
      <c r="IP657" s="156">
        <v>0.0</v>
      </c>
      <c r="IQ657" s="160">
        <v>0.0</v>
      </c>
      <c r="IR657" s="174"/>
      <c r="IS657" s="174"/>
      <c r="IT657" s="174"/>
      <c r="IU657" s="174"/>
      <c r="IV657" s="174"/>
      <c r="IW657" s="174"/>
      <c r="IX657" s="174"/>
      <c r="IY657" s="174"/>
      <c r="IZ657" s="174"/>
      <c r="JA657" s="174"/>
      <c r="JB657" s="174"/>
      <c r="JC657" s="174"/>
      <c r="JD657" s="174"/>
      <c r="JE657" s="174"/>
      <c r="JF657" s="174"/>
      <c r="JG657" s="174"/>
      <c r="JH657" s="177"/>
      <c r="JI657" s="174"/>
      <c r="JJ657" s="174"/>
      <c r="JK657" s="174"/>
      <c r="JL657" s="174"/>
      <c r="JM657" s="174"/>
      <c r="JN657" s="174"/>
      <c r="JO657" s="174"/>
      <c r="JP657" s="174"/>
      <c r="JQ657" s="174"/>
      <c r="JR657" s="174"/>
      <c r="JS657" s="174"/>
      <c r="JT657" s="174"/>
      <c r="JU657" s="174"/>
      <c r="JV657" s="174"/>
      <c r="JW657" s="159">
        <v>0.0</v>
      </c>
      <c r="JX657" s="156">
        <v>0.0</v>
      </c>
      <c r="JY657" s="156">
        <v>0.0</v>
      </c>
      <c r="JZ657" s="156">
        <v>0.0</v>
      </c>
      <c r="KA657" s="156">
        <v>0.0</v>
      </c>
      <c r="KB657" s="160">
        <v>0.0</v>
      </c>
      <c r="LH657" s="159">
        <f t="shared" si="10"/>
        <v>0</v>
      </c>
      <c r="LI657" s="156">
        <f t="shared" si="11"/>
        <v>0</v>
      </c>
      <c r="LJ657" s="156">
        <f t="shared" si="12"/>
        <v>0</v>
      </c>
      <c r="LK657" s="156">
        <f t="shared" si="13"/>
        <v>0</v>
      </c>
      <c r="LL657" s="156">
        <f t="shared" si="14"/>
        <v>0</v>
      </c>
      <c r="LM657" s="160">
        <f t="shared" si="15"/>
        <v>0</v>
      </c>
      <c r="QX657" s="560">
        <v>46188.0</v>
      </c>
    </row>
    <row r="658">
      <c r="A658" s="12"/>
      <c r="B658" s="12"/>
      <c r="C658" s="12"/>
      <c r="D658" s="12"/>
      <c r="E658" s="12"/>
      <c r="F658" s="12"/>
      <c r="G658" s="12"/>
      <c r="H658" s="12"/>
      <c r="I658" s="143">
        <f t="shared" si="22"/>
        <v>-32</v>
      </c>
      <c r="J658" s="537">
        <v>46193.0</v>
      </c>
      <c r="K658" s="294" t="s">
        <v>48</v>
      </c>
      <c r="L658" s="543" t="s">
        <v>3636</v>
      </c>
      <c r="M658" s="86" t="s">
        <v>400</v>
      </c>
      <c r="N658" s="86">
        <v>357.0</v>
      </c>
      <c r="O658" s="86">
        <v>30.0</v>
      </c>
      <c r="U658" s="162" t="s">
        <v>3637</v>
      </c>
      <c r="V658" s="538" t="s">
        <v>563</v>
      </c>
      <c r="W658" s="185" t="s">
        <v>3638</v>
      </c>
      <c r="X658" s="140"/>
      <c r="Y658" s="166">
        <f t="shared" si="23"/>
        <v>32</v>
      </c>
      <c r="Z658" s="26">
        <f t="shared" si="7"/>
        <v>0</v>
      </c>
      <c r="AA658" s="26">
        <f t="shared" si="8"/>
        <v>0</v>
      </c>
      <c r="AB658" s="26">
        <f t="shared" si="9"/>
        <v>0</v>
      </c>
      <c r="AC658" s="155">
        <v>0.0</v>
      </c>
      <c r="AD658" s="155">
        <v>0.0</v>
      </c>
      <c r="AE658" s="155">
        <v>0.0</v>
      </c>
      <c r="AF658" s="155">
        <v>0.0</v>
      </c>
      <c r="AG658" s="155">
        <v>0.0</v>
      </c>
      <c r="AH658" s="155">
        <v>0.0</v>
      </c>
      <c r="BN658" s="155">
        <v>0.0</v>
      </c>
      <c r="BO658" s="155">
        <v>0.0</v>
      </c>
      <c r="BP658" s="155">
        <v>0.0</v>
      </c>
      <c r="BQ658" s="155">
        <v>0.0</v>
      </c>
      <c r="BR658" s="155">
        <v>0.0</v>
      </c>
      <c r="BS658" s="155">
        <v>0.0</v>
      </c>
      <c r="CV658" s="156">
        <v>0.0</v>
      </c>
      <c r="CW658" s="156">
        <v>0.0</v>
      </c>
      <c r="CX658" s="156">
        <v>0.0</v>
      </c>
      <c r="CY658" s="156">
        <v>0.0</v>
      </c>
      <c r="CZ658" s="156">
        <v>0.0</v>
      </c>
      <c r="DA658" s="156">
        <v>0.0</v>
      </c>
      <c r="EG658" s="156">
        <v>0.0</v>
      </c>
      <c r="EH658" s="156">
        <v>0.0</v>
      </c>
      <c r="EI658" s="156">
        <v>0.0</v>
      </c>
      <c r="EJ658" s="156">
        <v>0.0</v>
      </c>
      <c r="EK658" s="156">
        <v>0.0</v>
      </c>
      <c r="EL658" s="156">
        <v>0.0</v>
      </c>
      <c r="FQ658" s="156">
        <v>0.0</v>
      </c>
      <c r="FR658" s="156">
        <v>0.0</v>
      </c>
      <c r="FS658" s="156">
        <v>0.0</v>
      </c>
      <c r="FT658" s="156">
        <v>0.0</v>
      </c>
      <c r="FU658" s="156">
        <v>0.0</v>
      </c>
      <c r="FV658" s="156">
        <v>0.0</v>
      </c>
      <c r="FW658" s="157"/>
      <c r="FX658" s="157"/>
      <c r="FY658" s="157"/>
      <c r="FZ658" s="157"/>
      <c r="GA658" s="157"/>
      <c r="GB658" s="157"/>
      <c r="GC658" s="157"/>
      <c r="GD658" s="157"/>
      <c r="GE658" s="157"/>
      <c r="GF658" s="157"/>
      <c r="GG658" s="157"/>
      <c r="GH658" s="157"/>
      <c r="GI658" s="157"/>
      <c r="GJ658" s="157"/>
      <c r="GK658" s="157"/>
      <c r="GL658" s="157"/>
      <c r="GM658" s="157"/>
      <c r="GN658" s="157"/>
      <c r="GO658" s="157"/>
      <c r="GP658" s="158"/>
      <c r="GQ658" s="157"/>
      <c r="GR658" s="157"/>
      <c r="GS658" s="157"/>
      <c r="GT658" s="157"/>
      <c r="GU658" s="157"/>
      <c r="GV658" s="157"/>
      <c r="GW658" s="157"/>
      <c r="GX658" s="157"/>
      <c r="GY658" s="157"/>
      <c r="GZ658" s="157"/>
      <c r="HA658" s="157"/>
      <c r="HB658" s="155">
        <v>5.0</v>
      </c>
      <c r="HC658" s="155">
        <v>0.0</v>
      </c>
      <c r="HD658" s="155">
        <v>0.0</v>
      </c>
      <c r="HE658" s="155">
        <v>0.0</v>
      </c>
      <c r="HF658" s="155">
        <v>0.0</v>
      </c>
      <c r="HG658" s="155">
        <v>0.0</v>
      </c>
      <c r="HW658" s="172"/>
      <c r="HX658" s="172"/>
      <c r="HY658" s="172"/>
      <c r="HZ658" s="172"/>
      <c r="IA658" s="172">
        <v>1.0</v>
      </c>
      <c r="IB658" s="172">
        <v>0.0</v>
      </c>
      <c r="IC658" s="172">
        <v>0.0</v>
      </c>
      <c r="ID658" s="172">
        <v>1.0</v>
      </c>
      <c r="IE658" s="172">
        <v>0.0</v>
      </c>
      <c r="IF658" s="172">
        <v>1.0</v>
      </c>
      <c r="IG658" s="172">
        <v>0.0</v>
      </c>
      <c r="IH658" s="172">
        <v>1.0</v>
      </c>
      <c r="II658" s="172">
        <v>0.0</v>
      </c>
      <c r="IJ658" s="172">
        <v>0.0</v>
      </c>
      <c r="IK658" s="172">
        <v>1.0</v>
      </c>
      <c r="IL658" s="159">
        <v>11.0</v>
      </c>
      <c r="IM658" s="156">
        <v>0.0</v>
      </c>
      <c r="IN658" s="156">
        <v>0.0</v>
      </c>
      <c r="IO658" s="156">
        <v>0.0</v>
      </c>
      <c r="IP658" s="156">
        <v>0.0</v>
      </c>
      <c r="IQ658" s="160">
        <v>0.0</v>
      </c>
      <c r="IR658" s="172"/>
      <c r="IS658" s="172"/>
      <c r="IT658" s="172"/>
      <c r="IU658" s="172">
        <v>1.0</v>
      </c>
      <c r="IV658" s="172">
        <v>0.0</v>
      </c>
      <c r="IW658" s="172">
        <v>0.0</v>
      </c>
      <c r="IX658" s="172">
        <v>1.0</v>
      </c>
      <c r="IY658" s="172">
        <v>0.0</v>
      </c>
      <c r="IZ658" s="172">
        <v>1.0</v>
      </c>
      <c r="JA658" s="172">
        <v>0.0</v>
      </c>
      <c r="JB658" s="172">
        <v>1.0</v>
      </c>
      <c r="JC658" s="172">
        <v>0.0</v>
      </c>
      <c r="JD658" s="172">
        <v>0.0</v>
      </c>
      <c r="JE658" s="172"/>
      <c r="JF658" s="172">
        <v>0.0</v>
      </c>
      <c r="JG658" s="172">
        <v>1.0</v>
      </c>
      <c r="JH658" s="170">
        <v>0.0</v>
      </c>
      <c r="JI658" s="172">
        <v>1.0</v>
      </c>
      <c r="JJ658" s="172"/>
      <c r="JK658" s="172"/>
      <c r="JL658" s="172">
        <v>1.0</v>
      </c>
      <c r="JM658" s="172"/>
      <c r="JN658" s="172">
        <v>1.0</v>
      </c>
      <c r="JO658" s="172"/>
      <c r="JP658" s="172"/>
      <c r="JQ658" s="172">
        <v>1.0</v>
      </c>
      <c r="JR658" s="172"/>
      <c r="JS658" s="172">
        <v>1.0</v>
      </c>
      <c r="JT658" s="172"/>
      <c r="JU658" s="172">
        <v>1.0</v>
      </c>
      <c r="JV658" s="172"/>
      <c r="JW658" s="159">
        <v>7.0</v>
      </c>
      <c r="JX658" s="156">
        <v>0.0</v>
      </c>
      <c r="JY658" s="156">
        <v>0.0</v>
      </c>
      <c r="JZ658" s="156">
        <v>0.0</v>
      </c>
      <c r="KA658" s="156">
        <v>0.0</v>
      </c>
      <c r="KB658" s="160">
        <v>0.0</v>
      </c>
      <c r="KC658" s="172"/>
      <c r="KD658" s="172"/>
      <c r="KE658" s="172"/>
      <c r="KF658" s="172">
        <v>1.0</v>
      </c>
      <c r="KG658" s="172"/>
      <c r="KH658" s="172"/>
      <c r="KI658" s="172"/>
      <c r="KJ658" s="172">
        <v>1.0</v>
      </c>
      <c r="KK658" s="172"/>
      <c r="KL658" s="172"/>
      <c r="KM658" s="172">
        <v>1.0</v>
      </c>
      <c r="KN658" s="172"/>
      <c r="KO658" s="172"/>
      <c r="KP658" s="172"/>
      <c r="KQ658" s="172">
        <v>1.0</v>
      </c>
      <c r="KR658" s="172"/>
      <c r="KS658" s="432"/>
      <c r="KT658" s="172">
        <v>1.0</v>
      </c>
      <c r="KU658" s="172"/>
      <c r="KV658" s="172"/>
      <c r="KW658" s="172"/>
      <c r="KX658" s="172">
        <v>1.0</v>
      </c>
      <c r="KY658" s="172"/>
      <c r="KZ658" s="172"/>
      <c r="LA658" s="172">
        <v>1.0</v>
      </c>
      <c r="LB658" s="172"/>
      <c r="LC658" s="172"/>
      <c r="LD658" s="172"/>
      <c r="LE658" s="172"/>
      <c r="LF658" s="172"/>
      <c r="LG658" s="172"/>
      <c r="LH658" s="159">
        <f t="shared" si="10"/>
        <v>9</v>
      </c>
      <c r="LI658" s="156">
        <f t="shared" si="11"/>
        <v>0</v>
      </c>
      <c r="LJ658" s="156">
        <f t="shared" si="12"/>
        <v>0</v>
      </c>
      <c r="LK658" s="156">
        <f t="shared" si="13"/>
        <v>0</v>
      </c>
      <c r="LL658" s="156">
        <f t="shared" si="14"/>
        <v>0</v>
      </c>
      <c r="LM658" s="160">
        <f t="shared" si="15"/>
        <v>0</v>
      </c>
      <c r="LR658" s="189">
        <v>1.0</v>
      </c>
      <c r="LU658" s="189">
        <v>1.0</v>
      </c>
      <c r="LW658" s="12">
        <f t="shared" ref="LW658:MQ658" si="71">IFS(TODAY()&lt;=LC$2,0,WEEKDAY(LC$2)=2,0,WEEKDAY(LC$2)=3,1,WEEKDAY(LC$2)=4,0,WEEKDAY(LC$2)=5,1,WEEKDAY(LC$2)=6,0,WEEKDAY(LC$2)=7,1,WEEKDAY(LC$2)=1,0)</f>
        <v>1</v>
      </c>
      <c r="LX658" s="12">
        <f t="shared" si="71"/>
        <v>0</v>
      </c>
      <c r="LY658" s="12">
        <f t="shared" si="71"/>
        <v>1</v>
      </c>
      <c r="LZ658" s="12">
        <f t="shared" si="71"/>
        <v>0</v>
      </c>
      <c r="MA658" s="12">
        <f t="shared" si="71"/>
        <v>0</v>
      </c>
      <c r="MB658" s="12">
        <f t="shared" si="71"/>
        <v>0</v>
      </c>
      <c r="MC658" s="12">
        <f t="shared" si="71"/>
        <v>0</v>
      </c>
      <c r="MD658" s="12">
        <f t="shared" si="71"/>
        <v>0</v>
      </c>
      <c r="ME658" s="12">
        <f t="shared" si="71"/>
        <v>0</v>
      </c>
      <c r="MF658" s="12">
        <f t="shared" si="71"/>
        <v>0</v>
      </c>
      <c r="MG658" s="12">
        <f t="shared" si="71"/>
        <v>0</v>
      </c>
      <c r="MH658" s="12">
        <f t="shared" si="71"/>
        <v>1</v>
      </c>
      <c r="MI658" s="12">
        <f t="shared" si="71"/>
        <v>0</v>
      </c>
      <c r="MJ658" s="12">
        <f t="shared" si="71"/>
        <v>1</v>
      </c>
      <c r="MK658" s="12">
        <f t="shared" si="71"/>
        <v>0</v>
      </c>
      <c r="ML658" s="12">
        <f t="shared" si="71"/>
        <v>1</v>
      </c>
      <c r="MM658" s="12">
        <f t="shared" si="71"/>
        <v>0</v>
      </c>
      <c r="MN658" s="12">
        <f t="shared" si="71"/>
        <v>0</v>
      </c>
      <c r="MO658" s="12">
        <f t="shared" si="71"/>
        <v>1</v>
      </c>
      <c r="MP658" s="12">
        <f t="shared" si="71"/>
        <v>0</v>
      </c>
      <c r="MQ658" s="12">
        <f t="shared" si="71"/>
        <v>1</v>
      </c>
      <c r="QX658" s="560">
        <v>46188.0</v>
      </c>
    </row>
    <row r="659">
      <c r="A659" s="108"/>
      <c r="B659" s="12"/>
      <c r="C659" s="12"/>
      <c r="D659" s="12"/>
      <c r="E659" s="12"/>
      <c r="F659" s="12"/>
      <c r="G659" s="12"/>
      <c r="H659" s="12"/>
      <c r="I659" s="143">
        <f t="shared" si="22"/>
        <v>-12</v>
      </c>
      <c r="J659" s="537">
        <v>46193.0</v>
      </c>
      <c r="K659" s="294" t="s">
        <v>48</v>
      </c>
      <c r="M659" s="86" t="s">
        <v>348</v>
      </c>
      <c r="N659" s="86">
        <v>357.0</v>
      </c>
      <c r="O659" s="86">
        <v>30.0</v>
      </c>
      <c r="U659" s="162" t="s">
        <v>3025</v>
      </c>
      <c r="V659" s="538" t="s">
        <v>3064</v>
      </c>
      <c r="W659" s="185" t="s">
        <v>3639</v>
      </c>
      <c r="X659" s="140"/>
      <c r="Y659" s="166">
        <f t="shared" si="23"/>
        <v>12</v>
      </c>
      <c r="Z659" s="26">
        <f t="shared" si="7"/>
        <v>0</v>
      </c>
      <c r="AA659" s="26">
        <f t="shared" si="8"/>
        <v>0</v>
      </c>
      <c r="AB659" s="26">
        <f t="shared" si="9"/>
        <v>0</v>
      </c>
      <c r="AC659" s="155">
        <v>0.0</v>
      </c>
      <c r="AD659" s="155">
        <v>0.0</v>
      </c>
      <c r="AE659" s="155">
        <v>0.0</v>
      </c>
      <c r="AF659" s="155">
        <v>0.0</v>
      </c>
      <c r="AG659" s="155">
        <v>0.0</v>
      </c>
      <c r="AH659" s="155">
        <v>0.0</v>
      </c>
      <c r="BN659" s="155">
        <v>0.0</v>
      </c>
      <c r="BO659" s="155">
        <v>0.0</v>
      </c>
      <c r="BP659" s="155">
        <v>0.0</v>
      </c>
      <c r="BQ659" s="155">
        <v>0.0</v>
      </c>
      <c r="BR659" s="155">
        <v>0.0</v>
      </c>
      <c r="BS659" s="155">
        <v>0.0</v>
      </c>
      <c r="CV659" s="156">
        <v>0.0</v>
      </c>
      <c r="CW659" s="156">
        <v>0.0</v>
      </c>
      <c r="CX659" s="156">
        <v>0.0</v>
      </c>
      <c r="CY659" s="156">
        <v>0.0</v>
      </c>
      <c r="CZ659" s="156">
        <v>0.0</v>
      </c>
      <c r="DA659" s="156">
        <v>0.0</v>
      </c>
      <c r="EG659" s="156">
        <v>0.0</v>
      </c>
      <c r="EH659" s="156">
        <v>0.0</v>
      </c>
      <c r="EI659" s="156">
        <v>0.0</v>
      </c>
      <c r="EJ659" s="156">
        <v>0.0</v>
      </c>
      <c r="EK659" s="156">
        <v>0.0</v>
      </c>
      <c r="EL659" s="156">
        <v>0.0</v>
      </c>
      <c r="FQ659" s="156">
        <v>0.0</v>
      </c>
      <c r="FR659" s="156">
        <v>0.0</v>
      </c>
      <c r="FS659" s="156">
        <v>0.0</v>
      </c>
      <c r="FT659" s="156">
        <v>0.0</v>
      </c>
      <c r="FU659" s="156">
        <v>0.0</v>
      </c>
      <c r="FV659" s="156">
        <v>0.0</v>
      </c>
      <c r="FW659" s="157"/>
      <c r="FX659" s="157"/>
      <c r="FY659" s="157"/>
      <c r="FZ659" s="157"/>
      <c r="GA659" s="157"/>
      <c r="GB659" s="157"/>
      <c r="GC659" s="157"/>
      <c r="GD659" s="157"/>
      <c r="GE659" s="157"/>
      <c r="GF659" s="157"/>
      <c r="GG659" s="157"/>
      <c r="GH659" s="157"/>
      <c r="GI659" s="157"/>
      <c r="GJ659" s="157"/>
      <c r="GK659" s="157"/>
      <c r="GL659" s="157"/>
      <c r="GM659" s="157"/>
      <c r="GN659" s="157"/>
      <c r="GO659" s="157"/>
      <c r="GP659" s="158"/>
      <c r="GQ659" s="157"/>
      <c r="GR659" s="157"/>
      <c r="GS659" s="157"/>
      <c r="GT659" s="157"/>
      <c r="GU659" s="157"/>
      <c r="GV659" s="157"/>
      <c r="GW659" s="157"/>
      <c r="GX659" s="157"/>
      <c r="GY659" s="157"/>
      <c r="GZ659" s="157"/>
      <c r="HA659" s="157"/>
      <c r="HB659" s="155">
        <v>4.0</v>
      </c>
      <c r="HC659" s="155">
        <v>0.0</v>
      </c>
      <c r="HD659" s="155">
        <v>0.0</v>
      </c>
      <c r="HE659" s="155">
        <v>0.0</v>
      </c>
      <c r="HF659" s="155">
        <v>0.0</v>
      </c>
      <c r="HG659" s="155">
        <v>0.0</v>
      </c>
      <c r="HW659" s="172"/>
      <c r="HX659" s="172"/>
      <c r="HY659" s="172"/>
      <c r="HZ659" s="172"/>
      <c r="IA659" s="172">
        <v>1.0</v>
      </c>
      <c r="IB659" s="172"/>
      <c r="IC659" s="172"/>
      <c r="ID659" s="172">
        <v>1.0</v>
      </c>
      <c r="IE659" s="172">
        <v>0.0</v>
      </c>
      <c r="IF659" s="172"/>
      <c r="IG659" s="172">
        <v>0.0</v>
      </c>
      <c r="IH659" s="172">
        <v>1.0</v>
      </c>
      <c r="II659" s="172">
        <v>0.0</v>
      </c>
      <c r="IJ659" s="172">
        <v>0.0</v>
      </c>
      <c r="IK659" s="172">
        <v>1.0</v>
      </c>
      <c r="IL659" s="159">
        <v>1.0</v>
      </c>
      <c r="IM659" s="156">
        <v>0.0</v>
      </c>
      <c r="IN659" s="156">
        <v>0.0</v>
      </c>
      <c r="IO659" s="156">
        <v>0.0</v>
      </c>
      <c r="IP659" s="156">
        <v>0.0</v>
      </c>
      <c r="IQ659" s="160">
        <v>0.0</v>
      </c>
      <c r="IR659" s="172"/>
      <c r="IS659" s="172"/>
      <c r="IT659" s="172"/>
      <c r="IU659" s="172">
        <v>1.0</v>
      </c>
      <c r="IV659" s="172"/>
      <c r="IW659" s="172"/>
      <c r="IX659" s="172"/>
      <c r="IY659" s="172"/>
      <c r="IZ659" s="172"/>
      <c r="JA659" s="172"/>
      <c r="JB659" s="172"/>
      <c r="JC659" s="172"/>
      <c r="JD659" s="172"/>
      <c r="JE659" s="172"/>
      <c r="JF659" s="172"/>
      <c r="JG659" s="172"/>
      <c r="JH659" s="170"/>
      <c r="JI659" s="172"/>
      <c r="JJ659" s="172"/>
      <c r="JK659" s="172"/>
      <c r="JL659" s="172"/>
      <c r="JM659" s="172"/>
      <c r="JN659" s="172"/>
      <c r="JO659" s="172"/>
      <c r="JP659" s="172"/>
      <c r="JQ659" s="172"/>
      <c r="JR659" s="172"/>
      <c r="JS659" s="172"/>
      <c r="JT659" s="172"/>
      <c r="JU659" s="172"/>
      <c r="JV659" s="172"/>
      <c r="JW659" s="159">
        <v>0.0</v>
      </c>
      <c r="JX659" s="156">
        <v>0.0</v>
      </c>
      <c r="JY659" s="156">
        <v>0.0</v>
      </c>
      <c r="JZ659" s="156">
        <v>0.0</v>
      </c>
      <c r="KA659" s="156">
        <v>0.0</v>
      </c>
      <c r="KB659" s="160">
        <v>0.0</v>
      </c>
      <c r="KC659" s="172"/>
      <c r="KD659" s="172"/>
      <c r="KE659" s="172"/>
      <c r="KF659" s="172"/>
      <c r="KG659" s="172"/>
      <c r="KH659" s="172"/>
      <c r="KI659" s="172"/>
      <c r="KJ659" s="172"/>
      <c r="KK659" s="172"/>
      <c r="KL659" s="172"/>
      <c r="KM659" s="172"/>
      <c r="KN659" s="172"/>
      <c r="KO659" s="172"/>
      <c r="KP659" s="172"/>
      <c r="KQ659" s="172"/>
      <c r="KR659" s="172"/>
      <c r="KS659" s="432"/>
      <c r="KT659" s="172"/>
      <c r="KU659" s="172"/>
      <c r="KV659" s="172"/>
      <c r="KW659" s="172"/>
      <c r="KX659" s="172"/>
      <c r="KY659" s="172"/>
      <c r="KZ659" s="172"/>
      <c r="LA659" s="172"/>
      <c r="LB659" s="172"/>
      <c r="LC659" s="172"/>
      <c r="LD659" s="172"/>
      <c r="LE659" s="172"/>
      <c r="LF659" s="172"/>
      <c r="LG659" s="172"/>
      <c r="LH659" s="159">
        <f t="shared" si="10"/>
        <v>7</v>
      </c>
      <c r="LI659" s="156">
        <f t="shared" si="11"/>
        <v>0</v>
      </c>
      <c r="LJ659" s="156">
        <f t="shared" si="12"/>
        <v>0</v>
      </c>
      <c r="LK659" s="156">
        <f t="shared" si="13"/>
        <v>0</v>
      </c>
      <c r="LL659" s="156">
        <f t="shared" si="14"/>
        <v>0</v>
      </c>
      <c r="LM659" s="160">
        <f t="shared" si="15"/>
        <v>0</v>
      </c>
      <c r="LW659" s="12">
        <f t="shared" ref="LW659:MQ659" si="72">IFS(TODAY()&lt;=LC$2,0,WEEKDAY(LC$2)=2,0,WEEKDAY(LC$2)=3,1,WEEKDAY(LC$2)=4,0,WEEKDAY(LC$2)=5,1,WEEKDAY(LC$2)=6,0,WEEKDAY(LC$2)=7,1,WEEKDAY(LC$2)=1,0)</f>
        <v>1</v>
      </c>
      <c r="LX659" s="12">
        <f t="shared" si="72"/>
        <v>0</v>
      </c>
      <c r="LY659" s="12">
        <f t="shared" si="72"/>
        <v>1</v>
      </c>
      <c r="LZ659" s="12">
        <f t="shared" si="72"/>
        <v>0</v>
      </c>
      <c r="MA659" s="12">
        <f t="shared" si="72"/>
        <v>0</v>
      </c>
      <c r="MB659" s="12">
        <f t="shared" si="72"/>
        <v>0</v>
      </c>
      <c r="MC659" s="12">
        <f t="shared" si="72"/>
        <v>0</v>
      </c>
      <c r="MD659" s="12">
        <f t="shared" si="72"/>
        <v>0</v>
      </c>
      <c r="ME659" s="12">
        <f t="shared" si="72"/>
        <v>0</v>
      </c>
      <c r="MF659" s="12">
        <f t="shared" si="72"/>
        <v>0</v>
      </c>
      <c r="MG659" s="12">
        <f t="shared" si="72"/>
        <v>0</v>
      </c>
      <c r="MH659" s="12">
        <f t="shared" si="72"/>
        <v>1</v>
      </c>
      <c r="MI659" s="12">
        <f t="shared" si="72"/>
        <v>0</v>
      </c>
      <c r="MJ659" s="12">
        <f t="shared" si="72"/>
        <v>1</v>
      </c>
      <c r="MK659" s="12">
        <f t="shared" si="72"/>
        <v>0</v>
      </c>
      <c r="ML659" s="12">
        <f t="shared" si="72"/>
        <v>1</v>
      </c>
      <c r="MM659" s="12">
        <f t="shared" si="72"/>
        <v>0</v>
      </c>
      <c r="MN659" s="12">
        <f t="shared" si="72"/>
        <v>0</v>
      </c>
      <c r="MO659" s="12">
        <f t="shared" si="72"/>
        <v>1</v>
      </c>
      <c r="MP659" s="12">
        <f t="shared" si="72"/>
        <v>0</v>
      </c>
      <c r="MQ659" s="12">
        <f t="shared" si="72"/>
        <v>1</v>
      </c>
      <c r="QX659" s="560">
        <v>46188.0</v>
      </c>
    </row>
    <row r="660">
      <c r="A660" s="12"/>
      <c r="B660" s="12"/>
      <c r="C660" s="12"/>
      <c r="D660" s="12"/>
      <c r="E660" s="25"/>
      <c r="F660" s="12"/>
      <c r="G660" s="12"/>
      <c r="H660" s="12"/>
      <c r="I660" s="143">
        <f t="shared" si="22"/>
        <v>-27</v>
      </c>
      <c r="J660" s="537">
        <v>46197.0</v>
      </c>
      <c r="K660" s="164" t="s">
        <v>61</v>
      </c>
      <c r="L660" s="23">
        <v>46269.0</v>
      </c>
      <c r="M660" s="86" t="s">
        <v>107</v>
      </c>
      <c r="N660" s="86">
        <v>246.0</v>
      </c>
      <c r="O660" s="86">
        <v>30.0</v>
      </c>
      <c r="U660" s="162" t="s">
        <v>2669</v>
      </c>
      <c r="V660" s="538" t="s">
        <v>3381</v>
      </c>
      <c r="W660" s="185" t="s">
        <v>3640</v>
      </c>
      <c r="X660" s="140"/>
      <c r="Y660" s="166">
        <f t="shared" si="23"/>
        <v>27</v>
      </c>
      <c r="Z660" s="26">
        <f t="shared" si="7"/>
        <v>0</v>
      </c>
      <c r="AA660" s="26">
        <f t="shared" si="8"/>
        <v>0</v>
      </c>
      <c r="AB660" s="26">
        <f t="shared" si="9"/>
        <v>0</v>
      </c>
      <c r="AC660" s="155">
        <v>0.0</v>
      </c>
      <c r="AD660" s="155">
        <v>0.0</v>
      </c>
      <c r="AE660" s="155">
        <v>0.0</v>
      </c>
      <c r="AF660" s="155">
        <v>0.0</v>
      </c>
      <c r="AG660" s="155">
        <v>0.0</v>
      </c>
      <c r="AH660" s="155">
        <v>0.0</v>
      </c>
      <c r="BN660" s="155">
        <v>0.0</v>
      </c>
      <c r="BO660" s="155">
        <v>0.0</v>
      </c>
      <c r="BP660" s="155">
        <v>0.0</v>
      </c>
      <c r="BQ660" s="155">
        <v>0.0</v>
      </c>
      <c r="BR660" s="155">
        <v>0.0</v>
      </c>
      <c r="BS660" s="155">
        <v>0.0</v>
      </c>
      <c r="CV660" s="156">
        <v>0.0</v>
      </c>
      <c r="CW660" s="156">
        <v>0.0</v>
      </c>
      <c r="CX660" s="156">
        <v>0.0</v>
      </c>
      <c r="CY660" s="156">
        <v>0.0</v>
      </c>
      <c r="CZ660" s="156">
        <v>0.0</v>
      </c>
      <c r="DA660" s="156">
        <v>0.0</v>
      </c>
      <c r="EG660" s="156">
        <v>0.0</v>
      </c>
      <c r="EH660" s="156">
        <v>0.0</v>
      </c>
      <c r="EI660" s="156">
        <v>0.0</v>
      </c>
      <c r="EJ660" s="156">
        <v>0.0</v>
      </c>
      <c r="EK660" s="156">
        <v>0.0</v>
      </c>
      <c r="EL660" s="156">
        <v>0.0</v>
      </c>
      <c r="FQ660" s="156">
        <v>0.0</v>
      </c>
      <c r="FR660" s="156">
        <v>0.0</v>
      </c>
      <c r="FS660" s="156">
        <v>0.0</v>
      </c>
      <c r="FT660" s="156">
        <v>0.0</v>
      </c>
      <c r="FU660" s="156">
        <v>0.0</v>
      </c>
      <c r="FV660" s="156">
        <v>0.0</v>
      </c>
      <c r="FW660" s="157"/>
      <c r="FX660" s="157"/>
      <c r="FY660" s="157"/>
      <c r="FZ660" s="157"/>
      <c r="GA660" s="157"/>
      <c r="GB660" s="157"/>
      <c r="GC660" s="157"/>
      <c r="GD660" s="157"/>
      <c r="GE660" s="157"/>
      <c r="GF660" s="157"/>
      <c r="GG660" s="157"/>
      <c r="GH660" s="157"/>
      <c r="GI660" s="157"/>
      <c r="GJ660" s="157"/>
      <c r="GK660" s="157"/>
      <c r="GL660" s="157"/>
      <c r="GM660" s="157"/>
      <c r="GN660" s="157"/>
      <c r="GO660" s="157"/>
      <c r="GP660" s="158"/>
      <c r="GQ660" s="157"/>
      <c r="GR660" s="157"/>
      <c r="GS660" s="157"/>
      <c r="GT660" s="157"/>
      <c r="GU660" s="157"/>
      <c r="GV660" s="157"/>
      <c r="GW660" s="157"/>
      <c r="GX660" s="157"/>
      <c r="GY660" s="157"/>
      <c r="GZ660" s="157"/>
      <c r="HA660" s="157"/>
      <c r="HB660" s="155">
        <v>3.0</v>
      </c>
      <c r="HC660" s="155">
        <v>0.0</v>
      </c>
      <c r="HD660" s="155">
        <v>0.0</v>
      </c>
      <c r="HE660" s="155">
        <v>0.0</v>
      </c>
      <c r="HF660" s="155">
        <v>0.0</v>
      </c>
      <c r="HG660" s="155">
        <v>0.0</v>
      </c>
      <c r="IE660" s="174">
        <v>1.0</v>
      </c>
      <c r="IF660" s="174">
        <v>0.0</v>
      </c>
      <c r="IG660" s="174">
        <v>1.0</v>
      </c>
      <c r="IH660" s="174">
        <v>0.0</v>
      </c>
      <c r="II660" s="174">
        <v>0.0</v>
      </c>
      <c r="IJ660" s="174">
        <v>1.0</v>
      </c>
      <c r="IK660" s="174">
        <v>0.0</v>
      </c>
      <c r="IL660" s="159">
        <v>14.0</v>
      </c>
      <c r="IM660" s="156">
        <v>0.0</v>
      </c>
      <c r="IN660" s="156">
        <v>0.0</v>
      </c>
      <c r="IO660" s="156">
        <v>0.0</v>
      </c>
      <c r="IP660" s="156">
        <v>0.0</v>
      </c>
      <c r="IQ660" s="160">
        <v>0.0</v>
      </c>
      <c r="IR660" s="174">
        <v>1.0</v>
      </c>
      <c r="IS660" s="174">
        <v>0.0</v>
      </c>
      <c r="IT660" s="174">
        <v>1.0</v>
      </c>
      <c r="IU660" s="174">
        <v>0.0</v>
      </c>
      <c r="IV660" s="174">
        <v>0.0</v>
      </c>
      <c r="IW660" s="174">
        <v>1.0</v>
      </c>
      <c r="IX660" s="174">
        <v>0.0</v>
      </c>
      <c r="IY660" s="174">
        <v>1.0</v>
      </c>
      <c r="IZ660" s="174">
        <v>0.0</v>
      </c>
      <c r="JA660" s="174">
        <v>1.0</v>
      </c>
      <c r="JB660" s="174">
        <v>0.0</v>
      </c>
      <c r="JC660" s="174">
        <v>0.0</v>
      </c>
      <c r="JD660" s="174">
        <v>1.0</v>
      </c>
      <c r="JE660" s="174">
        <v>0.0</v>
      </c>
      <c r="JF660" s="174">
        <v>1.0</v>
      </c>
      <c r="JG660" s="174">
        <v>0.0</v>
      </c>
      <c r="JH660" s="177">
        <v>1.0</v>
      </c>
      <c r="JI660" s="174"/>
      <c r="JJ660" s="174"/>
      <c r="JK660" s="175">
        <v>1.0</v>
      </c>
      <c r="JL660" s="174"/>
      <c r="JM660" s="175">
        <v>1.0</v>
      </c>
      <c r="JN660" s="174"/>
      <c r="JO660" s="175">
        <v>1.0</v>
      </c>
      <c r="JP660" s="174"/>
      <c r="JQ660" s="174"/>
      <c r="JR660" s="175">
        <v>1.0</v>
      </c>
      <c r="JS660" s="174"/>
      <c r="JT660" s="175">
        <v>1.0</v>
      </c>
      <c r="JU660" s="174"/>
      <c r="JV660" s="175">
        <v>1.0</v>
      </c>
      <c r="JW660" s="159">
        <v>10.0</v>
      </c>
      <c r="JX660" s="156">
        <v>0.0</v>
      </c>
      <c r="JY660" s="156">
        <v>0.0</v>
      </c>
      <c r="JZ660" s="156">
        <v>0.0</v>
      </c>
      <c r="KA660" s="156">
        <v>0.0</v>
      </c>
      <c r="KB660" s="160">
        <v>0.0</v>
      </c>
      <c r="KC660" s="174"/>
      <c r="KD660" s="174"/>
      <c r="KE660" s="175">
        <v>1.0</v>
      </c>
      <c r="KF660" s="174"/>
      <c r="KG660" s="175">
        <v>1.0</v>
      </c>
      <c r="KH660" s="174"/>
      <c r="KI660" s="175"/>
      <c r="KJ660" s="174"/>
      <c r="KK660" s="174"/>
      <c r="KL660" s="174"/>
      <c r="KM660" s="175">
        <v>1.0</v>
      </c>
      <c r="KN660" s="175">
        <v>1.0</v>
      </c>
      <c r="KO660" s="175">
        <v>1.0</v>
      </c>
      <c r="KP660" s="175">
        <v>1.0</v>
      </c>
      <c r="KQ660" s="174"/>
      <c r="KR660" s="174"/>
      <c r="KS660" s="186">
        <v>1.0</v>
      </c>
      <c r="KT660" s="174"/>
      <c r="KU660" s="175">
        <v>1.0</v>
      </c>
      <c r="KV660" s="174"/>
      <c r="KW660" s="175">
        <v>1.0</v>
      </c>
      <c r="KX660" s="175">
        <v>1.0</v>
      </c>
      <c r="KY660" s="174"/>
      <c r="KZ660" s="174"/>
      <c r="LA660" s="174"/>
      <c r="LB660" s="174"/>
      <c r="LC660" s="174"/>
      <c r="LD660" s="174"/>
      <c r="LE660" s="174"/>
      <c r="LF660" s="174"/>
      <c r="LG660" s="174"/>
      <c r="LH660" s="159">
        <f t="shared" si="10"/>
        <v>0</v>
      </c>
      <c r="LI660" s="156">
        <f t="shared" si="11"/>
        <v>0</v>
      </c>
      <c r="LJ660" s="156">
        <f t="shared" si="12"/>
        <v>0</v>
      </c>
      <c r="LK660" s="156">
        <f t="shared" si="13"/>
        <v>0</v>
      </c>
      <c r="LL660" s="156">
        <f t="shared" si="14"/>
        <v>0</v>
      </c>
      <c r="LM660" s="160">
        <f t="shared" si="15"/>
        <v>0</v>
      </c>
      <c r="QX660" s="560">
        <v>46188.0</v>
      </c>
    </row>
    <row r="661">
      <c r="A661" s="12"/>
      <c r="B661" s="12"/>
      <c r="C661" s="12"/>
      <c r="D661" s="12"/>
      <c r="E661" s="25"/>
      <c r="F661" s="126"/>
      <c r="G661" s="12"/>
      <c r="H661" s="12"/>
      <c r="I661" s="143">
        <f t="shared" si="22"/>
        <v>-33</v>
      </c>
      <c r="J661" s="537">
        <v>46196.0</v>
      </c>
      <c r="K661" s="294" t="s">
        <v>48</v>
      </c>
      <c r="L661" s="543"/>
      <c r="M661" s="86" t="s">
        <v>227</v>
      </c>
      <c r="N661" s="188">
        <v>246.0</v>
      </c>
      <c r="O661" s="86">
        <v>30.0</v>
      </c>
      <c r="U661" s="162" t="s">
        <v>3641</v>
      </c>
      <c r="V661" s="538" t="s">
        <v>581</v>
      </c>
      <c r="W661" s="185" t="s">
        <v>3642</v>
      </c>
      <c r="X661" s="140"/>
      <c r="Y661" s="166">
        <f t="shared" si="23"/>
        <v>33</v>
      </c>
      <c r="Z661" s="26">
        <f t="shared" si="7"/>
        <v>0</v>
      </c>
      <c r="AA661" s="26">
        <f t="shared" si="8"/>
        <v>1</v>
      </c>
      <c r="AB661" s="26">
        <f t="shared" si="9"/>
        <v>0</v>
      </c>
      <c r="AC661" s="155">
        <v>0.0</v>
      </c>
      <c r="AD661" s="155">
        <v>0.0</v>
      </c>
      <c r="AE661" s="155">
        <v>0.0</v>
      </c>
      <c r="AF661" s="155">
        <v>0.0</v>
      </c>
      <c r="AG661" s="155">
        <v>0.0</v>
      </c>
      <c r="AH661" s="155">
        <v>0.0</v>
      </c>
      <c r="BN661" s="155">
        <v>0.0</v>
      </c>
      <c r="BO661" s="155">
        <v>0.0</v>
      </c>
      <c r="BP661" s="155">
        <v>0.0</v>
      </c>
      <c r="BQ661" s="155">
        <v>0.0</v>
      </c>
      <c r="BR661" s="155">
        <v>0.0</v>
      </c>
      <c r="BS661" s="155">
        <v>0.0</v>
      </c>
      <c r="CV661" s="156">
        <v>0.0</v>
      </c>
      <c r="CW661" s="156">
        <v>0.0</v>
      </c>
      <c r="CX661" s="156">
        <v>0.0</v>
      </c>
      <c r="CY661" s="156">
        <v>0.0</v>
      </c>
      <c r="CZ661" s="156">
        <v>0.0</v>
      </c>
      <c r="DA661" s="156">
        <v>0.0</v>
      </c>
      <c r="EG661" s="156">
        <v>0.0</v>
      </c>
      <c r="EH661" s="156">
        <v>0.0</v>
      </c>
      <c r="EI661" s="156">
        <v>0.0</v>
      </c>
      <c r="EJ661" s="156">
        <v>0.0</v>
      </c>
      <c r="EK661" s="156">
        <v>0.0</v>
      </c>
      <c r="EL661" s="156">
        <v>0.0</v>
      </c>
      <c r="FQ661" s="156">
        <v>0.0</v>
      </c>
      <c r="FR661" s="156">
        <v>0.0</v>
      </c>
      <c r="FS661" s="156">
        <v>0.0</v>
      </c>
      <c r="FT661" s="156">
        <v>0.0</v>
      </c>
      <c r="FU661" s="156">
        <v>0.0</v>
      </c>
      <c r="FV661" s="156">
        <v>0.0</v>
      </c>
      <c r="FW661" s="157"/>
      <c r="FX661" s="157"/>
      <c r="FY661" s="157"/>
      <c r="FZ661" s="157"/>
      <c r="GA661" s="157"/>
      <c r="GB661" s="157"/>
      <c r="GC661" s="157"/>
      <c r="GD661" s="157"/>
      <c r="GE661" s="157"/>
      <c r="GF661" s="157"/>
      <c r="GG661" s="157"/>
      <c r="GH661" s="157"/>
      <c r="GI661" s="157"/>
      <c r="GJ661" s="157"/>
      <c r="GK661" s="157"/>
      <c r="GL661" s="157"/>
      <c r="GM661" s="157"/>
      <c r="GN661" s="157"/>
      <c r="GO661" s="157"/>
      <c r="GP661" s="158"/>
      <c r="GQ661" s="157"/>
      <c r="GR661" s="157"/>
      <c r="GS661" s="157"/>
      <c r="GT661" s="157"/>
      <c r="GU661" s="157"/>
      <c r="GV661" s="157"/>
      <c r="GW661" s="157"/>
      <c r="GX661" s="157"/>
      <c r="GY661" s="157"/>
      <c r="GZ661" s="157"/>
      <c r="HA661" s="157"/>
      <c r="HB661" s="155">
        <v>4.0</v>
      </c>
      <c r="HC661" s="155">
        <v>0.0</v>
      </c>
      <c r="HD661" s="155">
        <v>0.0</v>
      </c>
      <c r="HE661" s="155">
        <v>0.0</v>
      </c>
      <c r="HF661" s="155">
        <v>0.0</v>
      </c>
      <c r="HG661" s="155">
        <v>0.0</v>
      </c>
      <c r="ID661" s="172">
        <v>1.0</v>
      </c>
      <c r="IE661" s="172">
        <v>0.0</v>
      </c>
      <c r="IF661" s="172">
        <v>1.0</v>
      </c>
      <c r="IG661" s="172">
        <v>0.0</v>
      </c>
      <c r="IH661" s="172">
        <v>1.0</v>
      </c>
      <c r="II661" s="172">
        <v>0.0</v>
      </c>
      <c r="IJ661" s="172">
        <v>0.0</v>
      </c>
      <c r="IK661" s="172">
        <v>1.0</v>
      </c>
      <c r="IL661" s="159">
        <v>11.0</v>
      </c>
      <c r="IM661" s="156">
        <v>0.0</v>
      </c>
      <c r="IN661" s="156">
        <v>0.0</v>
      </c>
      <c r="IO661" s="156">
        <v>1.0</v>
      </c>
      <c r="IP661" s="156">
        <v>0.0</v>
      </c>
      <c r="IQ661" s="160">
        <v>1.0</v>
      </c>
      <c r="IR661" s="172"/>
      <c r="IS661" s="172"/>
      <c r="IT661" s="172">
        <v>1.0</v>
      </c>
      <c r="IU661" s="172"/>
      <c r="IV661" s="172"/>
      <c r="IW661" s="172">
        <v>1.0</v>
      </c>
      <c r="IX661" s="172"/>
      <c r="IY661" s="172">
        <v>1.0</v>
      </c>
      <c r="IZ661" s="172"/>
      <c r="JA661" s="172">
        <v>1.0</v>
      </c>
      <c r="JB661" s="172"/>
      <c r="JC661" s="172"/>
      <c r="JD661" s="172">
        <v>1.0</v>
      </c>
      <c r="JE661" s="172"/>
      <c r="JF661" s="172"/>
      <c r="JG661" s="172">
        <v>1.0</v>
      </c>
      <c r="JH661" s="170">
        <v>1.0</v>
      </c>
      <c r="JI661" s="172"/>
      <c r="JJ661" s="172"/>
      <c r="JK661" s="172">
        <v>1.0</v>
      </c>
      <c r="JL661" s="172"/>
      <c r="JM661" s="172"/>
      <c r="JN661" s="172">
        <v>1.0</v>
      </c>
      <c r="JO661" s="172">
        <v>1.0</v>
      </c>
      <c r="JP661" s="172"/>
      <c r="JQ661" s="172"/>
      <c r="JR661" s="172" t="s">
        <v>3354</v>
      </c>
      <c r="JS661" s="172"/>
      <c r="JT661" s="172" t="s">
        <v>947</v>
      </c>
      <c r="JU661" s="172"/>
      <c r="JV661" s="172"/>
      <c r="JW661" s="159">
        <v>12.0</v>
      </c>
      <c r="JX661" s="156">
        <v>0.0</v>
      </c>
      <c r="JY661" s="156">
        <v>0.0</v>
      </c>
      <c r="JZ661" s="156">
        <v>0.0</v>
      </c>
      <c r="KA661" s="156">
        <v>0.0</v>
      </c>
      <c r="KB661" s="160">
        <v>0.0</v>
      </c>
      <c r="KC661" s="174"/>
      <c r="KD661" s="175">
        <v>1.0</v>
      </c>
      <c r="KE661" s="175">
        <v>1.0</v>
      </c>
      <c r="KF661" s="174"/>
      <c r="KG661" s="175">
        <v>1.0</v>
      </c>
      <c r="KH661" s="175">
        <v>1.0</v>
      </c>
      <c r="KI661" s="174"/>
      <c r="KJ661" s="174"/>
      <c r="KK661" s="174"/>
      <c r="KL661" s="174"/>
      <c r="KM661" s="175">
        <v>1.0</v>
      </c>
      <c r="KN661" s="175">
        <v>1.0</v>
      </c>
      <c r="KO661" s="174"/>
      <c r="KP661" s="174"/>
      <c r="KQ661" s="174"/>
      <c r="KR661" s="175">
        <v>1.0</v>
      </c>
      <c r="KS661" s="472"/>
      <c r="KT661" s="175">
        <v>1.0</v>
      </c>
      <c r="KU661" s="175">
        <v>1.0</v>
      </c>
      <c r="KV661" s="174"/>
      <c r="KW661" s="175">
        <v>1.0</v>
      </c>
      <c r="KX661" s="174"/>
      <c r="KY661" s="174"/>
      <c r="KZ661" s="175">
        <v>1.0</v>
      </c>
      <c r="LA661" s="174"/>
      <c r="LB661" s="174"/>
      <c r="LC661" s="174"/>
      <c r="LD661" s="175">
        <v>1.0</v>
      </c>
      <c r="LE661" s="174"/>
      <c r="LF661" s="174"/>
      <c r="LG661" s="174"/>
      <c r="LH661" s="159">
        <f t="shared" si="10"/>
        <v>6</v>
      </c>
      <c r="LI661" s="156">
        <f t="shared" si="11"/>
        <v>0</v>
      </c>
      <c r="LJ661" s="156">
        <f t="shared" si="12"/>
        <v>0</v>
      </c>
      <c r="LK661" s="156">
        <f t="shared" si="13"/>
        <v>0</v>
      </c>
      <c r="LL661" s="156">
        <f t="shared" si="14"/>
        <v>0</v>
      </c>
      <c r="LM661" s="160">
        <f t="shared" si="15"/>
        <v>0</v>
      </c>
      <c r="LN661" s="174"/>
      <c r="LO661" s="174"/>
      <c r="LP661" s="174"/>
      <c r="LQ661" s="187">
        <v>1.0</v>
      </c>
      <c r="LR661" s="174"/>
      <c r="LS661" s="174"/>
      <c r="LT661" s="187">
        <v>1.0</v>
      </c>
      <c r="LU661" s="174"/>
      <c r="LV661" s="187">
        <v>1.0</v>
      </c>
      <c r="LW661" s="174">
        <f t="shared" ref="LW661:MQ661" si="73">IFS(TODAY()&lt;=LW$2,0,WEEKDAY(LW$2)=2,1,WEEKDAY(LW$2)=3,0,WEEKDAY(LW$2)=4,1,WEEKDAY(LW$2)=5,0,WEEKDAY(LW$2)=6,1,WEEKDAY(LW$2)=7,0,WEEKDAY(LW$2)=1,0)</f>
        <v>0</v>
      </c>
      <c r="LX661" s="174">
        <f t="shared" si="73"/>
        <v>1</v>
      </c>
      <c r="LY661" s="174">
        <f t="shared" si="73"/>
        <v>0</v>
      </c>
      <c r="LZ661" s="174">
        <f t="shared" si="73"/>
        <v>0</v>
      </c>
      <c r="MA661" s="174">
        <f t="shared" si="73"/>
        <v>1</v>
      </c>
      <c r="MB661" s="174">
        <f t="shared" si="73"/>
        <v>0</v>
      </c>
      <c r="MC661" s="174">
        <f t="shared" si="73"/>
        <v>1</v>
      </c>
      <c r="MD661" s="174">
        <f t="shared" si="73"/>
        <v>0</v>
      </c>
      <c r="ME661" s="174">
        <f t="shared" si="73"/>
        <v>0</v>
      </c>
      <c r="MF661" s="174">
        <f t="shared" si="73"/>
        <v>0</v>
      </c>
      <c r="MG661" s="174">
        <f t="shared" si="73"/>
        <v>0</v>
      </c>
      <c r="MH661" s="174">
        <f t="shared" si="73"/>
        <v>0</v>
      </c>
      <c r="MI661" s="174">
        <f t="shared" si="73"/>
        <v>0</v>
      </c>
      <c r="MJ661" s="174">
        <f t="shared" si="73"/>
        <v>0</v>
      </c>
      <c r="MK661" s="174">
        <f t="shared" si="73"/>
        <v>0</v>
      </c>
      <c r="ML661" s="174">
        <f t="shared" si="73"/>
        <v>0</v>
      </c>
      <c r="MM661" s="174">
        <f t="shared" si="73"/>
        <v>0</v>
      </c>
      <c r="MN661" s="174">
        <f t="shared" si="73"/>
        <v>0</v>
      </c>
      <c r="MO661" s="174">
        <f t="shared" si="73"/>
        <v>0</v>
      </c>
      <c r="MP661" s="174">
        <f t="shared" si="73"/>
        <v>0</v>
      </c>
      <c r="MQ661" s="174">
        <f t="shared" si="73"/>
        <v>0</v>
      </c>
      <c r="QX661" s="560">
        <v>46189.0</v>
      </c>
    </row>
    <row r="662">
      <c r="A662" s="12"/>
      <c r="B662" s="12"/>
      <c r="C662" s="12"/>
      <c r="D662" s="12"/>
      <c r="E662" s="25"/>
      <c r="F662" s="12"/>
      <c r="G662" s="12"/>
      <c r="H662" s="12"/>
      <c r="I662" s="143">
        <f t="shared" si="22"/>
        <v>-18</v>
      </c>
      <c r="J662" s="537">
        <v>46198.0</v>
      </c>
      <c r="K662" s="294" t="s">
        <v>48</v>
      </c>
      <c r="L662" s="108"/>
      <c r="M662" s="86" t="s">
        <v>1703</v>
      </c>
      <c r="N662" s="86">
        <v>45.0</v>
      </c>
      <c r="O662" s="86">
        <v>30.0</v>
      </c>
      <c r="U662" s="162" t="s">
        <v>1466</v>
      </c>
      <c r="V662" s="538" t="s">
        <v>1757</v>
      </c>
      <c r="W662" s="185" t="s">
        <v>3643</v>
      </c>
      <c r="X662" s="140"/>
      <c r="Y662" s="166">
        <f t="shared" si="23"/>
        <v>18</v>
      </c>
      <c r="Z662" s="26">
        <f t="shared" si="7"/>
        <v>0</v>
      </c>
      <c r="AA662" s="26">
        <f t="shared" si="8"/>
        <v>0</v>
      </c>
      <c r="AB662" s="26">
        <f t="shared" si="9"/>
        <v>0</v>
      </c>
      <c r="AC662" s="155">
        <v>0.0</v>
      </c>
      <c r="AD662" s="155">
        <v>0.0</v>
      </c>
      <c r="AE662" s="155">
        <v>0.0</v>
      </c>
      <c r="AF662" s="155">
        <v>0.0</v>
      </c>
      <c r="AG662" s="155">
        <v>0.0</v>
      </c>
      <c r="AH662" s="155">
        <v>0.0</v>
      </c>
      <c r="BN662" s="155">
        <v>0.0</v>
      </c>
      <c r="BO662" s="155">
        <v>0.0</v>
      </c>
      <c r="BP662" s="155">
        <v>0.0</v>
      </c>
      <c r="BQ662" s="155">
        <v>0.0</v>
      </c>
      <c r="BR662" s="155">
        <v>0.0</v>
      </c>
      <c r="BS662" s="155">
        <v>0.0</v>
      </c>
      <c r="CV662" s="156">
        <v>0.0</v>
      </c>
      <c r="CW662" s="156">
        <v>0.0</v>
      </c>
      <c r="CX662" s="156">
        <v>0.0</v>
      </c>
      <c r="CY662" s="156">
        <v>0.0</v>
      </c>
      <c r="CZ662" s="156">
        <v>0.0</v>
      </c>
      <c r="DA662" s="156">
        <v>0.0</v>
      </c>
      <c r="EG662" s="156">
        <v>0.0</v>
      </c>
      <c r="EH662" s="156">
        <v>0.0</v>
      </c>
      <c r="EI662" s="156">
        <v>0.0</v>
      </c>
      <c r="EJ662" s="156">
        <v>0.0</v>
      </c>
      <c r="EK662" s="156">
        <v>0.0</v>
      </c>
      <c r="EL662" s="156">
        <v>0.0</v>
      </c>
      <c r="FQ662" s="156">
        <v>0.0</v>
      </c>
      <c r="FR662" s="156">
        <v>0.0</v>
      </c>
      <c r="FS662" s="156">
        <v>0.0</v>
      </c>
      <c r="FT662" s="156">
        <v>0.0</v>
      </c>
      <c r="FU662" s="156">
        <v>0.0</v>
      </c>
      <c r="FV662" s="156">
        <v>0.0</v>
      </c>
      <c r="FW662" s="157"/>
      <c r="FX662" s="157"/>
      <c r="FY662" s="157"/>
      <c r="FZ662" s="157"/>
      <c r="GA662" s="157"/>
      <c r="GB662" s="157"/>
      <c r="GC662" s="157"/>
      <c r="GD662" s="157"/>
      <c r="GE662" s="157"/>
      <c r="GF662" s="157"/>
      <c r="GG662" s="157"/>
      <c r="GH662" s="157"/>
      <c r="GI662" s="157"/>
      <c r="GJ662" s="157"/>
      <c r="GK662" s="157"/>
      <c r="GL662" s="157"/>
      <c r="GM662" s="157"/>
      <c r="GN662" s="157"/>
      <c r="GO662" s="157"/>
      <c r="GP662" s="158"/>
      <c r="GQ662" s="157"/>
      <c r="GR662" s="157"/>
      <c r="GS662" s="157"/>
      <c r="GT662" s="157"/>
      <c r="GU662" s="157"/>
      <c r="GV662" s="157"/>
      <c r="GW662" s="157"/>
      <c r="GX662" s="157"/>
      <c r="GY662" s="157"/>
      <c r="GZ662" s="157"/>
      <c r="HA662" s="157"/>
      <c r="HB662" s="155">
        <v>1.0</v>
      </c>
      <c r="HC662" s="155">
        <v>0.0</v>
      </c>
      <c r="HD662" s="155">
        <v>0.0</v>
      </c>
      <c r="HE662" s="155">
        <v>0.0</v>
      </c>
      <c r="HF662" s="155">
        <v>0.0</v>
      </c>
      <c r="HG662" s="155">
        <v>0.0</v>
      </c>
      <c r="IF662" s="174">
        <v>1.0</v>
      </c>
      <c r="IG662" s="174">
        <v>0.0</v>
      </c>
      <c r="IH662" s="174">
        <v>0.0</v>
      </c>
      <c r="II662" s="174">
        <v>0.0</v>
      </c>
      <c r="IJ662" s="174">
        <v>0.0</v>
      </c>
      <c r="IK662" s="174">
        <v>0.0</v>
      </c>
      <c r="IL662" s="159">
        <v>8.0</v>
      </c>
      <c r="IM662" s="156">
        <v>0.0</v>
      </c>
      <c r="IN662" s="156">
        <v>0.0</v>
      </c>
      <c r="IO662" s="156">
        <v>0.0</v>
      </c>
      <c r="IP662" s="156">
        <v>0.0</v>
      </c>
      <c r="IQ662" s="160">
        <v>0.0</v>
      </c>
      <c r="IR662" s="86">
        <v>1.0</v>
      </c>
      <c r="IS662" s="86">
        <v>1.0</v>
      </c>
      <c r="IY662" s="86">
        <v>1.0</v>
      </c>
      <c r="IZ662" s="86">
        <v>1.0</v>
      </c>
      <c r="JF662" s="86">
        <v>1.0</v>
      </c>
      <c r="JG662" s="86">
        <v>1.0</v>
      </c>
      <c r="JH662" s="25"/>
      <c r="JT662" s="86">
        <v>1.0</v>
      </c>
      <c r="JU662" s="86">
        <v>1.0</v>
      </c>
      <c r="JW662" s="159">
        <v>6.0</v>
      </c>
      <c r="JX662" s="156">
        <v>0.0</v>
      </c>
      <c r="JY662" s="156">
        <v>0.0</v>
      </c>
      <c r="JZ662" s="156">
        <v>0.0</v>
      </c>
      <c r="KA662" s="156">
        <v>0.0</v>
      </c>
      <c r="KB662" s="160">
        <v>0.0</v>
      </c>
      <c r="KG662" s="86">
        <v>1.0</v>
      </c>
      <c r="KH662" s="86">
        <v>1.0</v>
      </c>
      <c r="KO662" s="86">
        <v>1.0</v>
      </c>
      <c r="KS662" s="178"/>
      <c r="KU662" s="86">
        <v>1.0</v>
      </c>
      <c r="LB662" s="86">
        <v>1.0</v>
      </c>
      <c r="LC662" s="86">
        <v>1.0</v>
      </c>
      <c r="LH662" s="159">
        <f t="shared" si="10"/>
        <v>3</v>
      </c>
      <c r="LI662" s="156">
        <f t="shared" si="11"/>
        <v>0</v>
      </c>
      <c r="LJ662" s="156">
        <f t="shared" si="12"/>
        <v>0</v>
      </c>
      <c r="LK662" s="156">
        <f t="shared" si="13"/>
        <v>0</v>
      </c>
      <c r="LL662" s="156">
        <f t="shared" si="14"/>
        <v>0</v>
      </c>
      <c r="LM662" s="160">
        <f t="shared" si="15"/>
        <v>0</v>
      </c>
      <c r="LP662" s="189">
        <v>1.0</v>
      </c>
      <c r="LV662" s="189">
        <v>1.0</v>
      </c>
      <c r="LW662" s="189">
        <v>1.0</v>
      </c>
      <c r="QX662" s="560">
        <v>46189.0</v>
      </c>
    </row>
    <row r="663">
      <c r="A663" s="12"/>
      <c r="B663" s="12"/>
      <c r="C663" s="12"/>
      <c r="D663" s="12"/>
      <c r="E663" s="12"/>
      <c r="F663" s="12"/>
      <c r="G663" s="12"/>
      <c r="H663" s="12"/>
      <c r="I663" s="143">
        <f t="shared" si="22"/>
        <v>-21</v>
      </c>
      <c r="J663" s="537">
        <v>46197.0</v>
      </c>
      <c r="K663" s="294" t="s">
        <v>48</v>
      </c>
      <c r="L663" s="162"/>
      <c r="M663" s="86" t="s">
        <v>348</v>
      </c>
      <c r="N663" s="86">
        <v>246.0</v>
      </c>
      <c r="O663" s="86">
        <v>30.0</v>
      </c>
      <c r="U663" s="162" t="s">
        <v>3178</v>
      </c>
      <c r="V663" s="538" t="s">
        <v>3179</v>
      </c>
      <c r="W663" s="185" t="s">
        <v>3644</v>
      </c>
      <c r="X663" s="140"/>
      <c r="Y663" s="166">
        <f t="shared" si="23"/>
        <v>21</v>
      </c>
      <c r="Z663" s="26">
        <f t="shared" si="7"/>
        <v>0</v>
      </c>
      <c r="AA663" s="26">
        <f t="shared" si="8"/>
        <v>0</v>
      </c>
      <c r="AB663" s="26">
        <f t="shared" si="9"/>
        <v>0</v>
      </c>
      <c r="AC663" s="155">
        <v>0.0</v>
      </c>
      <c r="AD663" s="155">
        <v>0.0</v>
      </c>
      <c r="AE663" s="155">
        <v>0.0</v>
      </c>
      <c r="AF663" s="155">
        <v>0.0</v>
      </c>
      <c r="AG663" s="155">
        <v>0.0</v>
      </c>
      <c r="AH663" s="155">
        <v>0.0</v>
      </c>
      <c r="BN663" s="155">
        <v>0.0</v>
      </c>
      <c r="BO663" s="155">
        <v>0.0</v>
      </c>
      <c r="BP663" s="155">
        <v>0.0</v>
      </c>
      <c r="BQ663" s="155">
        <v>0.0</v>
      </c>
      <c r="BR663" s="155">
        <v>0.0</v>
      </c>
      <c r="BS663" s="155">
        <v>0.0</v>
      </c>
      <c r="CV663" s="156">
        <v>0.0</v>
      </c>
      <c r="CW663" s="156">
        <v>0.0</v>
      </c>
      <c r="CX663" s="156">
        <v>0.0</v>
      </c>
      <c r="CY663" s="156">
        <v>0.0</v>
      </c>
      <c r="CZ663" s="156">
        <v>0.0</v>
      </c>
      <c r="DA663" s="156">
        <v>0.0</v>
      </c>
      <c r="EG663" s="156">
        <v>0.0</v>
      </c>
      <c r="EH663" s="156">
        <v>0.0</v>
      </c>
      <c r="EI663" s="156">
        <v>0.0</v>
      </c>
      <c r="EJ663" s="156">
        <v>0.0</v>
      </c>
      <c r="EK663" s="156">
        <v>0.0</v>
      </c>
      <c r="EL663" s="156">
        <v>0.0</v>
      </c>
      <c r="FQ663" s="156">
        <v>0.0</v>
      </c>
      <c r="FR663" s="156">
        <v>0.0</v>
      </c>
      <c r="FS663" s="156">
        <v>0.0</v>
      </c>
      <c r="FT663" s="156">
        <v>0.0</v>
      </c>
      <c r="FU663" s="156">
        <v>0.0</v>
      </c>
      <c r="FV663" s="156">
        <v>0.0</v>
      </c>
      <c r="FW663" s="157"/>
      <c r="FX663" s="157"/>
      <c r="FY663" s="157"/>
      <c r="FZ663" s="157"/>
      <c r="GA663" s="157"/>
      <c r="GB663" s="157"/>
      <c r="GC663" s="157"/>
      <c r="GD663" s="157"/>
      <c r="GE663" s="157"/>
      <c r="GF663" s="157"/>
      <c r="GG663" s="157"/>
      <c r="GH663" s="157"/>
      <c r="GI663" s="157"/>
      <c r="GJ663" s="157"/>
      <c r="GK663" s="157"/>
      <c r="GL663" s="157"/>
      <c r="GM663" s="157"/>
      <c r="GN663" s="157"/>
      <c r="GO663" s="157"/>
      <c r="GP663" s="158"/>
      <c r="GQ663" s="157"/>
      <c r="GR663" s="157"/>
      <c r="GS663" s="157"/>
      <c r="GT663" s="157"/>
      <c r="GU663" s="157"/>
      <c r="GV663" s="157"/>
      <c r="GW663" s="157"/>
      <c r="GX663" s="157"/>
      <c r="GY663" s="157"/>
      <c r="GZ663" s="157"/>
      <c r="HA663" s="157"/>
      <c r="HB663" s="155">
        <v>3.0</v>
      </c>
      <c r="HC663" s="155">
        <v>0.0</v>
      </c>
      <c r="HD663" s="155">
        <v>0.0</v>
      </c>
      <c r="HE663" s="155">
        <v>0.0</v>
      </c>
      <c r="HF663" s="155">
        <v>0.0</v>
      </c>
      <c r="HG663" s="155">
        <v>0.0</v>
      </c>
      <c r="IE663" s="174">
        <v>1.0</v>
      </c>
      <c r="IF663" s="174">
        <v>0.0</v>
      </c>
      <c r="IG663" s="174">
        <v>1.0</v>
      </c>
      <c r="IH663" s="174">
        <v>0.0</v>
      </c>
      <c r="II663" s="174">
        <v>0.0</v>
      </c>
      <c r="IJ663" s="174">
        <v>1.0</v>
      </c>
      <c r="IK663" s="174">
        <v>0.0</v>
      </c>
      <c r="IL663" s="159">
        <v>7.0</v>
      </c>
      <c r="IM663" s="156">
        <v>0.0</v>
      </c>
      <c r="IN663" s="156">
        <v>0.0</v>
      </c>
      <c r="IO663" s="156">
        <v>0.0</v>
      </c>
      <c r="IP663" s="156">
        <v>0.0</v>
      </c>
      <c r="IQ663" s="160">
        <v>0.0</v>
      </c>
      <c r="IR663" s="174"/>
      <c r="IS663" s="174"/>
      <c r="IT663" s="174">
        <v>1.0</v>
      </c>
      <c r="IU663" s="174">
        <v>0.0</v>
      </c>
      <c r="IV663" s="174">
        <v>0.0</v>
      </c>
      <c r="IW663" s="174"/>
      <c r="IX663" s="174">
        <v>0.0</v>
      </c>
      <c r="IY663" s="174">
        <v>1.0</v>
      </c>
      <c r="IZ663" s="174">
        <v>0.0</v>
      </c>
      <c r="JA663" s="174">
        <v>1.0</v>
      </c>
      <c r="JB663" s="174">
        <v>0.0</v>
      </c>
      <c r="JC663" s="174">
        <v>0.0</v>
      </c>
      <c r="JD663" s="174"/>
      <c r="JE663" s="174">
        <v>0.0</v>
      </c>
      <c r="JF663" s="174"/>
      <c r="JG663" s="174">
        <v>0.0</v>
      </c>
      <c r="JH663" s="177">
        <v>1.0</v>
      </c>
      <c r="JI663" s="174"/>
      <c r="JJ663" s="174"/>
      <c r="JK663" s="175">
        <v>1.0</v>
      </c>
      <c r="JL663" s="174"/>
      <c r="JM663" s="174"/>
      <c r="JN663" s="175"/>
      <c r="JO663" s="175">
        <v>1.0</v>
      </c>
      <c r="JP663" s="174"/>
      <c r="JQ663" s="174"/>
      <c r="JR663" s="175">
        <v>1.0</v>
      </c>
      <c r="JS663" s="174"/>
      <c r="JT663" s="174"/>
      <c r="JU663" s="174"/>
      <c r="JV663" s="174"/>
      <c r="JW663" s="159">
        <v>6.0</v>
      </c>
      <c r="JX663" s="156">
        <v>0.0</v>
      </c>
      <c r="JY663" s="156">
        <v>0.0</v>
      </c>
      <c r="JZ663" s="156">
        <v>0.0</v>
      </c>
      <c r="KA663" s="156">
        <v>0.0</v>
      </c>
      <c r="KB663" s="160">
        <v>0.0</v>
      </c>
      <c r="KC663" s="174"/>
      <c r="KD663" s="174"/>
      <c r="KE663" s="174"/>
      <c r="KF663" s="174"/>
      <c r="KG663" s="175">
        <v>1.0</v>
      </c>
      <c r="KH663" s="174"/>
      <c r="KI663" s="174"/>
      <c r="KJ663" s="174"/>
      <c r="KK663" s="174"/>
      <c r="KL663" s="174"/>
      <c r="KM663" s="174"/>
      <c r="KN663" s="174"/>
      <c r="KO663" s="174"/>
      <c r="KP663" s="174"/>
      <c r="KQ663" s="174"/>
      <c r="KR663" s="174"/>
      <c r="KS663" s="186">
        <v>1.0</v>
      </c>
      <c r="KT663" s="174"/>
      <c r="KU663" s="175"/>
      <c r="KV663" s="174"/>
      <c r="KW663" s="174"/>
      <c r="KX663" s="174"/>
      <c r="KY663" s="175">
        <v>1.0</v>
      </c>
      <c r="KZ663" s="175">
        <v>1.0</v>
      </c>
      <c r="LA663" s="174"/>
      <c r="LB663" s="175">
        <v>1.0</v>
      </c>
      <c r="LC663" s="174"/>
      <c r="LD663" s="175">
        <v>1.0</v>
      </c>
      <c r="LE663" s="174"/>
      <c r="LF663" s="174"/>
      <c r="LG663" s="174"/>
      <c r="LH663" s="159">
        <f t="shared" si="10"/>
        <v>5</v>
      </c>
      <c r="LI663" s="156">
        <f t="shared" si="11"/>
        <v>0</v>
      </c>
      <c r="LJ663" s="156">
        <f t="shared" si="12"/>
        <v>0</v>
      </c>
      <c r="LK663" s="156">
        <f t="shared" si="13"/>
        <v>0</v>
      </c>
      <c r="LL663" s="156">
        <f t="shared" si="14"/>
        <v>0</v>
      </c>
      <c r="LM663" s="160">
        <f t="shared" si="15"/>
        <v>0</v>
      </c>
      <c r="LN663" s="174"/>
      <c r="LO663" s="174"/>
      <c r="LP663" s="174"/>
      <c r="LQ663" s="187">
        <v>1.0</v>
      </c>
      <c r="LR663" s="174"/>
      <c r="LS663" s="174"/>
      <c r="LT663" s="174"/>
      <c r="LU663" s="174"/>
      <c r="LV663" s="187">
        <v>1.0</v>
      </c>
      <c r="LW663" s="174">
        <f t="shared" ref="LW663:MQ663" si="74">IFS(TODAY()&lt;=LW$2,0,WEEKDAY(LW$2)=2,1,WEEKDAY(LW$2)=3,0,WEEKDAY(LW$2)=4,1,WEEKDAY(LW$2)=5,0,WEEKDAY(LW$2)=6,1,WEEKDAY(LW$2)=7,0,WEEKDAY(LW$2)=1,0)</f>
        <v>0</v>
      </c>
      <c r="LX663" s="174">
        <f t="shared" si="74"/>
        <v>1</v>
      </c>
      <c r="LY663" s="174">
        <f t="shared" si="74"/>
        <v>0</v>
      </c>
      <c r="LZ663" s="174">
        <f t="shared" si="74"/>
        <v>0</v>
      </c>
      <c r="MA663" s="174">
        <f t="shared" si="74"/>
        <v>1</v>
      </c>
      <c r="MB663" s="174">
        <f t="shared" si="74"/>
        <v>0</v>
      </c>
      <c r="MC663" s="174">
        <f t="shared" si="74"/>
        <v>1</v>
      </c>
      <c r="MD663" s="174">
        <f t="shared" si="74"/>
        <v>0</v>
      </c>
      <c r="ME663" s="174">
        <f t="shared" si="74"/>
        <v>0</v>
      </c>
      <c r="MF663" s="174">
        <f t="shared" si="74"/>
        <v>0</v>
      </c>
      <c r="MG663" s="174">
        <f t="shared" si="74"/>
        <v>0</v>
      </c>
      <c r="MH663" s="174">
        <f t="shared" si="74"/>
        <v>0</v>
      </c>
      <c r="MI663" s="174">
        <f t="shared" si="74"/>
        <v>0</v>
      </c>
      <c r="MJ663" s="174">
        <f t="shared" si="74"/>
        <v>0</v>
      </c>
      <c r="MK663" s="174">
        <f t="shared" si="74"/>
        <v>0</v>
      </c>
      <c r="ML663" s="174">
        <f t="shared" si="74"/>
        <v>0</v>
      </c>
      <c r="MM663" s="174">
        <f t="shared" si="74"/>
        <v>0</v>
      </c>
      <c r="MN663" s="174">
        <f t="shared" si="74"/>
        <v>0</v>
      </c>
      <c r="MO663" s="174">
        <f t="shared" si="74"/>
        <v>0</v>
      </c>
      <c r="MP663" s="174">
        <f t="shared" si="74"/>
        <v>0</v>
      </c>
      <c r="MQ663" s="174">
        <f t="shared" si="74"/>
        <v>0</v>
      </c>
      <c r="QX663" s="560">
        <v>46192.0</v>
      </c>
    </row>
    <row r="664">
      <c r="A664" s="12"/>
      <c r="B664" s="12"/>
      <c r="C664" s="12"/>
      <c r="D664" s="12"/>
      <c r="E664" s="58"/>
      <c r="F664" s="12"/>
      <c r="G664" s="12"/>
      <c r="H664" s="12"/>
      <c r="I664" s="143">
        <f t="shared" si="22"/>
        <v>-29</v>
      </c>
      <c r="J664" s="537">
        <v>46197.0</v>
      </c>
      <c r="K664" s="294" t="s">
        <v>48</v>
      </c>
      <c r="L664" s="108"/>
      <c r="M664" s="86" t="s">
        <v>1138</v>
      </c>
      <c r="N664" s="86">
        <v>567.0</v>
      </c>
      <c r="U664" s="162" t="s">
        <v>3645</v>
      </c>
      <c r="V664" s="538" t="s">
        <v>230</v>
      </c>
      <c r="W664" s="185" t="s">
        <v>3646</v>
      </c>
      <c r="X664" s="140"/>
      <c r="Y664" s="166">
        <f t="shared" si="23"/>
        <v>29</v>
      </c>
      <c r="Z664" s="26">
        <f t="shared" si="7"/>
        <v>0</v>
      </c>
      <c r="AA664" s="26">
        <f t="shared" si="8"/>
        <v>0</v>
      </c>
      <c r="AB664" s="26">
        <f t="shared" si="9"/>
        <v>0</v>
      </c>
      <c r="AC664" s="155">
        <v>0.0</v>
      </c>
      <c r="AD664" s="155">
        <v>0.0</v>
      </c>
      <c r="AE664" s="155">
        <v>0.0</v>
      </c>
      <c r="AF664" s="155">
        <v>0.0</v>
      </c>
      <c r="AG664" s="155">
        <v>0.0</v>
      </c>
      <c r="AH664" s="155">
        <v>0.0</v>
      </c>
      <c r="BN664" s="155">
        <v>0.0</v>
      </c>
      <c r="BO664" s="155">
        <v>0.0</v>
      </c>
      <c r="BP664" s="155">
        <v>0.0</v>
      </c>
      <c r="BQ664" s="155">
        <v>0.0</v>
      </c>
      <c r="BR664" s="155">
        <v>0.0</v>
      </c>
      <c r="BS664" s="155">
        <v>0.0</v>
      </c>
      <c r="CV664" s="156">
        <v>0.0</v>
      </c>
      <c r="CW664" s="156">
        <v>0.0</v>
      </c>
      <c r="CX664" s="156">
        <v>0.0</v>
      </c>
      <c r="CY664" s="156">
        <v>0.0</v>
      </c>
      <c r="CZ664" s="156">
        <v>0.0</v>
      </c>
      <c r="DA664" s="156">
        <v>0.0</v>
      </c>
      <c r="EG664" s="156">
        <v>0.0</v>
      </c>
      <c r="EH664" s="156">
        <v>0.0</v>
      </c>
      <c r="EI664" s="156">
        <v>0.0</v>
      </c>
      <c r="EJ664" s="156">
        <v>0.0</v>
      </c>
      <c r="EK664" s="156">
        <v>0.0</v>
      </c>
      <c r="EL664" s="156">
        <v>0.0</v>
      </c>
      <c r="FQ664" s="156">
        <v>0.0</v>
      </c>
      <c r="FR664" s="156">
        <v>0.0</v>
      </c>
      <c r="FS664" s="156">
        <v>0.0</v>
      </c>
      <c r="FT664" s="156">
        <v>0.0</v>
      </c>
      <c r="FU664" s="156">
        <v>0.0</v>
      </c>
      <c r="FV664" s="156">
        <v>0.0</v>
      </c>
      <c r="FW664" s="157"/>
      <c r="FX664" s="157"/>
      <c r="FY664" s="157"/>
      <c r="FZ664" s="157"/>
      <c r="GA664" s="157"/>
      <c r="GB664" s="157"/>
      <c r="GC664" s="157"/>
      <c r="GD664" s="157"/>
      <c r="GE664" s="157"/>
      <c r="GF664" s="157"/>
      <c r="GG664" s="157"/>
      <c r="GH664" s="157"/>
      <c r="GI664" s="157"/>
      <c r="GJ664" s="157"/>
      <c r="GK664" s="157"/>
      <c r="GL664" s="157"/>
      <c r="GM664" s="157"/>
      <c r="GN664" s="157"/>
      <c r="GO664" s="157"/>
      <c r="GP664" s="158"/>
      <c r="GQ664" s="157"/>
      <c r="GR664" s="157"/>
      <c r="GS664" s="157"/>
      <c r="GT664" s="157"/>
      <c r="GU664" s="157"/>
      <c r="GV664" s="157"/>
      <c r="GW664" s="157"/>
      <c r="GX664" s="157"/>
      <c r="GY664" s="157"/>
      <c r="GZ664" s="157"/>
      <c r="HA664" s="157"/>
      <c r="HB664" s="155">
        <v>3.0</v>
      </c>
      <c r="HC664" s="155">
        <v>0.0</v>
      </c>
      <c r="HD664" s="155">
        <v>0.0</v>
      </c>
      <c r="HE664" s="155">
        <v>0.0</v>
      </c>
      <c r="HF664" s="155">
        <v>0.0</v>
      </c>
      <c r="HG664" s="155">
        <v>0.0</v>
      </c>
      <c r="IE664" s="174">
        <v>1.0</v>
      </c>
      <c r="IF664" s="174">
        <v>0.0</v>
      </c>
      <c r="IG664" s="174">
        <v>1.0</v>
      </c>
      <c r="IH664" s="174">
        <v>1.0</v>
      </c>
      <c r="II664" s="174">
        <v>0.0</v>
      </c>
      <c r="IJ664" s="174">
        <v>0.0</v>
      </c>
      <c r="IK664" s="174">
        <v>0.0</v>
      </c>
      <c r="IL664" s="159">
        <v>12.0</v>
      </c>
      <c r="IM664" s="156">
        <v>0.0</v>
      </c>
      <c r="IN664" s="156">
        <v>0.0</v>
      </c>
      <c r="IO664" s="156">
        <v>0.0</v>
      </c>
      <c r="IP664" s="156">
        <v>0.0</v>
      </c>
      <c r="IQ664" s="160">
        <v>0.0</v>
      </c>
      <c r="IR664" s="86">
        <v>1.0</v>
      </c>
      <c r="IT664" s="86">
        <v>1.0</v>
      </c>
      <c r="IY664" s="86">
        <v>1.0</v>
      </c>
      <c r="JA664" s="86">
        <v>1.0</v>
      </c>
      <c r="JH664" s="162">
        <v>1.0</v>
      </c>
      <c r="JI664" s="86">
        <v>1.0</v>
      </c>
      <c r="JJ664" s="86">
        <v>1.0</v>
      </c>
      <c r="JM664" s="86">
        <v>1.0</v>
      </c>
      <c r="JO664" s="86">
        <v>1.0</v>
      </c>
      <c r="JP664" s="86">
        <v>1.0</v>
      </c>
      <c r="JQ664" s="86">
        <v>1.0</v>
      </c>
      <c r="JV664" s="86">
        <v>1.0</v>
      </c>
      <c r="JW664" s="159">
        <v>13.0</v>
      </c>
      <c r="JX664" s="156">
        <v>0.0</v>
      </c>
      <c r="JY664" s="156">
        <v>0.0</v>
      </c>
      <c r="JZ664" s="156">
        <v>0.0</v>
      </c>
      <c r="KA664" s="156">
        <v>0.0</v>
      </c>
      <c r="KB664" s="160">
        <v>0.0</v>
      </c>
      <c r="KC664" s="86">
        <v>2.0</v>
      </c>
      <c r="KG664" s="86">
        <v>1.0</v>
      </c>
      <c r="KK664" s="86">
        <v>2.0</v>
      </c>
      <c r="KP664" s="86">
        <v>1.0</v>
      </c>
      <c r="KR664" s="86">
        <v>2.0</v>
      </c>
      <c r="KS664" s="178"/>
      <c r="KY664" s="86">
        <v>2.0</v>
      </c>
      <c r="LE664" s="86">
        <v>2.0</v>
      </c>
      <c r="LG664" s="86">
        <v>1.0</v>
      </c>
      <c r="LH664" s="159">
        <f t="shared" si="10"/>
        <v>1</v>
      </c>
      <c r="LI664" s="156">
        <f t="shared" si="11"/>
        <v>0</v>
      </c>
      <c r="LJ664" s="156">
        <f t="shared" si="12"/>
        <v>0</v>
      </c>
      <c r="LK664" s="156">
        <f t="shared" si="13"/>
        <v>0</v>
      </c>
      <c r="LL664" s="156">
        <f t="shared" si="14"/>
        <v>0</v>
      </c>
      <c r="LM664" s="160">
        <f t="shared" si="15"/>
        <v>0</v>
      </c>
      <c r="LS664" s="189">
        <v>1.0</v>
      </c>
      <c r="QX664" s="560">
        <v>46192.0</v>
      </c>
    </row>
    <row r="665">
      <c r="A665" s="12"/>
      <c r="B665" s="12"/>
      <c r="C665" s="12"/>
      <c r="D665" s="12"/>
      <c r="E665" s="12"/>
      <c r="F665" s="12"/>
      <c r="G665" s="12"/>
      <c r="H665" s="12"/>
      <c r="I665" s="143">
        <f t="shared" si="22"/>
        <v>-36</v>
      </c>
      <c r="J665" s="551">
        <v>46200.0</v>
      </c>
      <c r="K665" s="294" t="s">
        <v>48</v>
      </c>
      <c r="L665" s="551">
        <v>46268.0</v>
      </c>
      <c r="M665" s="86" t="s">
        <v>1157</v>
      </c>
      <c r="N665" s="188">
        <v>357.0</v>
      </c>
      <c r="O665" s="86">
        <v>30.0</v>
      </c>
      <c r="U665" s="162" t="s">
        <v>3622</v>
      </c>
      <c r="V665" s="538" t="s">
        <v>3623</v>
      </c>
      <c r="W665" s="185" t="s">
        <v>3647</v>
      </c>
      <c r="X665" s="140"/>
      <c r="Y665" s="166">
        <f t="shared" si="23"/>
        <v>36</v>
      </c>
      <c r="Z665" s="26">
        <f t="shared" si="7"/>
        <v>0</v>
      </c>
      <c r="AA665" s="26">
        <f t="shared" si="8"/>
        <v>0</v>
      </c>
      <c r="AB665" s="26">
        <f t="shared" si="9"/>
        <v>0</v>
      </c>
      <c r="AC665" s="155">
        <v>0.0</v>
      </c>
      <c r="AD665" s="155">
        <v>0.0</v>
      </c>
      <c r="AE665" s="155">
        <v>0.0</v>
      </c>
      <c r="AF665" s="155">
        <v>0.0</v>
      </c>
      <c r="AG665" s="155">
        <v>0.0</v>
      </c>
      <c r="AH665" s="155">
        <v>0.0</v>
      </c>
      <c r="BN665" s="155">
        <v>0.0</v>
      </c>
      <c r="BO665" s="155">
        <v>0.0</v>
      </c>
      <c r="BP665" s="155">
        <v>0.0</v>
      </c>
      <c r="BQ665" s="155">
        <v>0.0</v>
      </c>
      <c r="BR665" s="155">
        <v>0.0</v>
      </c>
      <c r="BS665" s="155">
        <v>0.0</v>
      </c>
      <c r="CV665" s="156">
        <v>0.0</v>
      </c>
      <c r="CW665" s="156">
        <v>0.0</v>
      </c>
      <c r="CX665" s="156">
        <v>0.0</v>
      </c>
      <c r="CY665" s="156">
        <v>0.0</v>
      </c>
      <c r="CZ665" s="156">
        <v>0.0</v>
      </c>
      <c r="DA665" s="156">
        <v>0.0</v>
      </c>
      <c r="EG665" s="156">
        <v>0.0</v>
      </c>
      <c r="EH665" s="156">
        <v>0.0</v>
      </c>
      <c r="EI665" s="156">
        <v>0.0</v>
      </c>
      <c r="EJ665" s="156">
        <v>0.0</v>
      </c>
      <c r="EK665" s="156">
        <v>0.0</v>
      </c>
      <c r="EL665" s="156">
        <v>0.0</v>
      </c>
      <c r="FQ665" s="156">
        <v>0.0</v>
      </c>
      <c r="FR665" s="156">
        <v>0.0</v>
      </c>
      <c r="FS665" s="156">
        <v>0.0</v>
      </c>
      <c r="FT665" s="156">
        <v>0.0</v>
      </c>
      <c r="FU665" s="156">
        <v>0.0</v>
      </c>
      <c r="FV665" s="156">
        <v>0.0</v>
      </c>
      <c r="FW665" s="157"/>
      <c r="FX665" s="157"/>
      <c r="FY665" s="157"/>
      <c r="FZ665" s="157"/>
      <c r="GA665" s="157"/>
      <c r="GB665" s="157"/>
      <c r="GC665" s="157"/>
      <c r="GD665" s="157"/>
      <c r="GE665" s="157"/>
      <c r="GF665" s="157"/>
      <c r="GG665" s="157"/>
      <c r="GH665" s="157"/>
      <c r="GI665" s="157"/>
      <c r="GJ665" s="157"/>
      <c r="GK665" s="157"/>
      <c r="GL665" s="157"/>
      <c r="GM665" s="157"/>
      <c r="GN665" s="157"/>
      <c r="GO665" s="157"/>
      <c r="GP665" s="158"/>
      <c r="GQ665" s="157"/>
      <c r="GR665" s="157"/>
      <c r="GS665" s="157"/>
      <c r="GT665" s="157"/>
      <c r="GU665" s="157"/>
      <c r="GV665" s="157"/>
      <c r="GW665" s="157"/>
      <c r="GX665" s="157"/>
      <c r="GY665" s="157"/>
      <c r="GZ665" s="157"/>
      <c r="HA665" s="157"/>
      <c r="HB665" s="155">
        <v>2.0</v>
      </c>
      <c r="HC665" s="155">
        <v>0.0</v>
      </c>
      <c r="HD665" s="155">
        <v>0.0</v>
      </c>
      <c r="HE665" s="155">
        <v>0.0</v>
      </c>
      <c r="HF665" s="155">
        <v>0.0</v>
      </c>
      <c r="HG665" s="155">
        <v>0.0</v>
      </c>
      <c r="IH665" s="172">
        <v>1.0</v>
      </c>
      <c r="II665" s="172">
        <v>0.0</v>
      </c>
      <c r="IJ665" s="172">
        <v>0.0</v>
      </c>
      <c r="IK665" s="172">
        <v>1.0</v>
      </c>
      <c r="IL665" s="159">
        <v>13.0</v>
      </c>
      <c r="IM665" s="156">
        <v>0.0</v>
      </c>
      <c r="IN665" s="156">
        <v>0.0</v>
      </c>
      <c r="IO665" s="156">
        <v>0.0</v>
      </c>
      <c r="IP665" s="156">
        <v>0.0</v>
      </c>
      <c r="IQ665" s="160">
        <v>0.0</v>
      </c>
      <c r="IR665" s="172">
        <v>0.0</v>
      </c>
      <c r="IS665" s="172">
        <v>1.0</v>
      </c>
      <c r="IT665" s="172">
        <v>1.0</v>
      </c>
      <c r="IU665" s="172"/>
      <c r="IV665" s="172"/>
      <c r="IW665" s="172"/>
      <c r="IX665" s="172">
        <v>1.0</v>
      </c>
      <c r="IY665" s="172">
        <v>0.0</v>
      </c>
      <c r="IZ665" s="172">
        <v>1.0</v>
      </c>
      <c r="JA665" s="172">
        <v>0.0</v>
      </c>
      <c r="JB665" s="172">
        <v>1.0</v>
      </c>
      <c r="JC665" s="172">
        <v>0.0</v>
      </c>
      <c r="JD665" s="172">
        <v>1.0</v>
      </c>
      <c r="JE665" s="172">
        <v>1.0</v>
      </c>
      <c r="JF665" s="172">
        <v>0.0</v>
      </c>
      <c r="JG665" s="172">
        <v>1.0</v>
      </c>
      <c r="JH665" s="170">
        <v>0.0</v>
      </c>
      <c r="JI665" s="172"/>
      <c r="JJ665" s="172"/>
      <c r="JK665" s="172"/>
      <c r="JL665" s="172">
        <v>1.0</v>
      </c>
      <c r="JM665" s="172">
        <v>1.0</v>
      </c>
      <c r="JN665" s="172">
        <v>1.0</v>
      </c>
      <c r="JO665" s="172"/>
      <c r="JP665" s="172"/>
      <c r="JQ665" s="172"/>
      <c r="JR665" s="172"/>
      <c r="JS665" s="172">
        <v>1.0</v>
      </c>
      <c r="JT665" s="172"/>
      <c r="JU665" s="172">
        <v>1.0</v>
      </c>
      <c r="JV665" s="172"/>
      <c r="JW665" s="159">
        <v>14.0</v>
      </c>
      <c r="JX665" s="156">
        <v>0.0</v>
      </c>
      <c r="JY665" s="156">
        <v>0.0</v>
      </c>
      <c r="JZ665" s="156">
        <v>0.0</v>
      </c>
      <c r="KA665" s="156">
        <v>0.0</v>
      </c>
      <c r="KB665" s="160">
        <v>0.0</v>
      </c>
      <c r="KC665" s="172">
        <v>1.0</v>
      </c>
      <c r="KD665" s="172"/>
      <c r="KE665" s="172"/>
      <c r="KF665" s="172">
        <v>1.0</v>
      </c>
      <c r="KG665" s="172">
        <v>2.0</v>
      </c>
      <c r="KH665" s="172">
        <v>1.0</v>
      </c>
      <c r="KI665" s="172"/>
      <c r="KJ665" s="172"/>
      <c r="KK665" s="172"/>
      <c r="KL665" s="172"/>
      <c r="KM665" s="172"/>
      <c r="KN665" s="172"/>
      <c r="KO665" s="172"/>
      <c r="KP665" s="172"/>
      <c r="KQ665" s="172"/>
      <c r="KR665" s="172"/>
      <c r="KS665" s="432"/>
      <c r="KT665" s="172">
        <v>1.0</v>
      </c>
      <c r="KU665" s="172"/>
      <c r="KV665" s="172"/>
      <c r="KW665" s="172"/>
      <c r="KX665" s="172">
        <v>2.0</v>
      </c>
      <c r="KY665" s="172"/>
      <c r="KZ665" s="172">
        <v>1.0</v>
      </c>
      <c r="LA665" s="172">
        <v>2.0</v>
      </c>
      <c r="LB665" s="172"/>
      <c r="LC665" s="172">
        <v>1.0</v>
      </c>
      <c r="LD665" s="172"/>
      <c r="LE665" s="172">
        <v>2.0</v>
      </c>
      <c r="LF665" s="172"/>
      <c r="LG665" s="172"/>
      <c r="LH665" s="159">
        <f t="shared" si="10"/>
        <v>7</v>
      </c>
      <c r="LI665" s="156">
        <f t="shared" si="11"/>
        <v>0</v>
      </c>
      <c r="LJ665" s="156">
        <f t="shared" si="12"/>
        <v>0</v>
      </c>
      <c r="LK665" s="156">
        <f t="shared" si="13"/>
        <v>0</v>
      </c>
      <c r="LL665" s="156">
        <f t="shared" si="14"/>
        <v>0</v>
      </c>
      <c r="LM665" s="160">
        <f t="shared" si="15"/>
        <v>0</v>
      </c>
      <c r="LW665" s="12">
        <f t="shared" ref="LW665:MQ665" si="75">IFS(TODAY()&lt;=LC$2,0,WEEKDAY(LC$2)=2,0,WEEKDAY(LC$2)=3,1,WEEKDAY(LC$2)=4,0,WEEKDAY(LC$2)=5,1,WEEKDAY(LC$2)=6,0,WEEKDAY(LC$2)=7,1,WEEKDAY(LC$2)=1,0)</f>
        <v>1</v>
      </c>
      <c r="LX665" s="12">
        <f t="shared" si="75"/>
        <v>0</v>
      </c>
      <c r="LY665" s="12">
        <f t="shared" si="75"/>
        <v>1</v>
      </c>
      <c r="LZ665" s="12">
        <f t="shared" si="75"/>
        <v>0</v>
      </c>
      <c r="MA665" s="12">
        <f t="shared" si="75"/>
        <v>0</v>
      </c>
      <c r="MB665" s="12">
        <f t="shared" si="75"/>
        <v>0</v>
      </c>
      <c r="MC665" s="12">
        <f t="shared" si="75"/>
        <v>0</v>
      </c>
      <c r="MD665" s="12">
        <f t="shared" si="75"/>
        <v>0</v>
      </c>
      <c r="ME665" s="12">
        <f t="shared" si="75"/>
        <v>0</v>
      </c>
      <c r="MF665" s="12">
        <f t="shared" si="75"/>
        <v>0</v>
      </c>
      <c r="MG665" s="12">
        <f t="shared" si="75"/>
        <v>0</v>
      </c>
      <c r="MH665" s="12">
        <f t="shared" si="75"/>
        <v>1</v>
      </c>
      <c r="MI665" s="12">
        <f t="shared" si="75"/>
        <v>0</v>
      </c>
      <c r="MJ665" s="12">
        <f t="shared" si="75"/>
        <v>1</v>
      </c>
      <c r="MK665" s="12">
        <f t="shared" si="75"/>
        <v>0</v>
      </c>
      <c r="ML665" s="12">
        <f t="shared" si="75"/>
        <v>1</v>
      </c>
      <c r="MM665" s="12">
        <f t="shared" si="75"/>
        <v>0</v>
      </c>
      <c r="MN665" s="12">
        <f t="shared" si="75"/>
        <v>0</v>
      </c>
      <c r="MO665" s="12">
        <f t="shared" si="75"/>
        <v>1</v>
      </c>
      <c r="MP665" s="12">
        <f t="shared" si="75"/>
        <v>0</v>
      </c>
      <c r="MQ665" s="12">
        <f t="shared" si="75"/>
        <v>1</v>
      </c>
      <c r="QX665" s="560">
        <v>46193.0</v>
      </c>
    </row>
    <row r="666">
      <c r="A666" s="12"/>
      <c r="B666" s="12"/>
      <c r="C666" s="12"/>
      <c r="D666" s="12"/>
      <c r="E666" s="12"/>
      <c r="F666" s="12"/>
      <c r="G666" s="12"/>
      <c r="H666" s="12"/>
      <c r="I666" s="143">
        <f t="shared" si="22"/>
        <v>-10</v>
      </c>
      <c r="J666" s="537">
        <v>46201.0</v>
      </c>
      <c r="K666" s="294" t="s">
        <v>53</v>
      </c>
      <c r="L666" s="541">
        <v>46254.0</v>
      </c>
      <c r="M666" s="86" t="s">
        <v>348</v>
      </c>
      <c r="N666" s="188" t="s">
        <v>826</v>
      </c>
      <c r="O666" s="86">
        <v>30.0</v>
      </c>
      <c r="U666" s="162" t="s">
        <v>3648</v>
      </c>
      <c r="V666" s="538" t="s">
        <v>3607</v>
      </c>
      <c r="W666" s="125" t="s">
        <v>3649</v>
      </c>
      <c r="X666" s="140"/>
      <c r="Y666" s="166">
        <f t="shared" si="23"/>
        <v>10</v>
      </c>
      <c r="Z666" s="26">
        <f t="shared" si="7"/>
        <v>0</v>
      </c>
      <c r="AA666" s="26">
        <f t="shared" si="8"/>
        <v>2</v>
      </c>
      <c r="AB666" s="26">
        <f t="shared" si="9"/>
        <v>0</v>
      </c>
      <c r="AC666" s="155">
        <v>0.0</v>
      </c>
      <c r="AD666" s="155">
        <v>0.0</v>
      </c>
      <c r="AE666" s="155">
        <v>0.0</v>
      </c>
      <c r="AF666" s="155">
        <v>0.0</v>
      </c>
      <c r="AG666" s="155">
        <v>0.0</v>
      </c>
      <c r="AH666" s="155">
        <v>0.0</v>
      </c>
      <c r="BN666" s="155">
        <v>0.0</v>
      </c>
      <c r="BO666" s="155">
        <v>0.0</v>
      </c>
      <c r="BP666" s="155">
        <v>0.0</v>
      </c>
      <c r="BQ666" s="155">
        <v>0.0</v>
      </c>
      <c r="BR666" s="155">
        <v>0.0</v>
      </c>
      <c r="BS666" s="155">
        <v>0.0</v>
      </c>
      <c r="CV666" s="156">
        <v>0.0</v>
      </c>
      <c r="CW666" s="156">
        <v>0.0</v>
      </c>
      <c r="CX666" s="156">
        <v>0.0</v>
      </c>
      <c r="CY666" s="156">
        <v>0.0</v>
      </c>
      <c r="CZ666" s="156">
        <v>0.0</v>
      </c>
      <c r="DA666" s="156">
        <v>0.0</v>
      </c>
      <c r="EG666" s="156">
        <v>0.0</v>
      </c>
      <c r="EH666" s="156">
        <v>0.0</v>
      </c>
      <c r="EI666" s="156">
        <v>0.0</v>
      </c>
      <c r="EJ666" s="156">
        <v>0.0</v>
      </c>
      <c r="EK666" s="156">
        <v>0.0</v>
      </c>
      <c r="EL666" s="156">
        <v>0.0</v>
      </c>
      <c r="FQ666" s="156">
        <v>0.0</v>
      </c>
      <c r="FR666" s="156">
        <v>0.0</v>
      </c>
      <c r="FS666" s="156">
        <v>0.0</v>
      </c>
      <c r="FT666" s="156">
        <v>0.0</v>
      </c>
      <c r="FU666" s="156">
        <v>0.0</v>
      </c>
      <c r="FV666" s="156">
        <v>0.0</v>
      </c>
      <c r="FW666" s="157"/>
      <c r="FX666" s="157"/>
      <c r="FY666" s="157"/>
      <c r="FZ666" s="157"/>
      <c r="GA666" s="157"/>
      <c r="GB666" s="157"/>
      <c r="GC666" s="157"/>
      <c r="GD666" s="157"/>
      <c r="GE666" s="157"/>
      <c r="GF666" s="157"/>
      <c r="GG666" s="157"/>
      <c r="GH666" s="157"/>
      <c r="GI666" s="157"/>
      <c r="GJ666" s="157"/>
      <c r="GK666" s="157"/>
      <c r="GL666" s="157"/>
      <c r="GM666" s="157"/>
      <c r="GN666" s="157"/>
      <c r="GO666" s="157"/>
      <c r="GP666" s="158"/>
      <c r="GQ666" s="157"/>
      <c r="GR666" s="157"/>
      <c r="GS666" s="157"/>
      <c r="GT666" s="157"/>
      <c r="GU666" s="157"/>
      <c r="GV666" s="157"/>
      <c r="GW666" s="157"/>
      <c r="GX666" s="157"/>
      <c r="GY666" s="157"/>
      <c r="GZ666" s="157"/>
      <c r="HA666" s="157"/>
      <c r="HB666" s="155">
        <v>2.0</v>
      </c>
      <c r="HC666" s="155">
        <v>0.0</v>
      </c>
      <c r="HD666" s="155">
        <v>0.0</v>
      </c>
      <c r="HE666" s="155">
        <v>0.0</v>
      </c>
      <c r="HF666" s="155">
        <v>0.0</v>
      </c>
      <c r="HG666" s="155">
        <v>0.0</v>
      </c>
      <c r="II666" s="172">
        <v>1.0</v>
      </c>
      <c r="IJ666" s="172">
        <v>0.0</v>
      </c>
      <c r="IK666" s="172">
        <v>1.0</v>
      </c>
      <c r="IL666" s="159">
        <v>4.0</v>
      </c>
      <c r="IM666" s="156">
        <v>0.0</v>
      </c>
      <c r="IN666" s="156">
        <v>0.0</v>
      </c>
      <c r="IO666" s="156">
        <v>0.0</v>
      </c>
      <c r="IP666" s="156">
        <v>0.0</v>
      </c>
      <c r="IQ666" s="160">
        <v>0.0</v>
      </c>
      <c r="JB666" s="86">
        <v>1.0</v>
      </c>
      <c r="JC666" s="86">
        <v>1.0</v>
      </c>
      <c r="JH666" s="25"/>
      <c r="JL666" s="86">
        <v>1.0</v>
      </c>
      <c r="JM666" s="86">
        <v>1.0</v>
      </c>
      <c r="JW666" s="159">
        <v>4.0</v>
      </c>
      <c r="JX666" s="156">
        <v>0.0</v>
      </c>
      <c r="JY666" s="156">
        <v>0.0</v>
      </c>
      <c r="JZ666" s="156">
        <v>2.0</v>
      </c>
      <c r="KA666" s="156">
        <v>0.0</v>
      </c>
      <c r="KB666" s="160">
        <v>0.0</v>
      </c>
      <c r="KC666" s="86" t="s">
        <v>624</v>
      </c>
      <c r="KG666" s="86">
        <v>1.0</v>
      </c>
      <c r="KK666" s="86">
        <v>1.0</v>
      </c>
      <c r="KM666" s="86" t="s">
        <v>624</v>
      </c>
      <c r="KS666" s="178"/>
      <c r="LH666" s="159">
        <f t="shared" si="10"/>
        <v>0</v>
      </c>
      <c r="LI666" s="156">
        <f t="shared" si="11"/>
        <v>0</v>
      </c>
      <c r="LJ666" s="156">
        <f t="shared" si="12"/>
        <v>0</v>
      </c>
      <c r="LK666" s="156">
        <f t="shared" si="13"/>
        <v>0</v>
      </c>
      <c r="LL666" s="156">
        <f t="shared" si="14"/>
        <v>0</v>
      </c>
      <c r="LM666" s="160">
        <f t="shared" si="15"/>
        <v>0</v>
      </c>
      <c r="QX666" s="560">
        <v>46193.0</v>
      </c>
    </row>
    <row r="667">
      <c r="A667" s="12"/>
      <c r="B667" s="12"/>
      <c r="C667" s="12"/>
      <c r="D667" s="12"/>
      <c r="E667" s="58"/>
      <c r="F667" s="12"/>
      <c r="G667" s="12"/>
      <c r="H667" s="12"/>
      <c r="I667" s="143">
        <f t="shared" si="22"/>
        <v>-2</v>
      </c>
      <c r="J667" s="537">
        <v>46199.0</v>
      </c>
      <c r="K667" s="294" t="s">
        <v>53</v>
      </c>
      <c r="L667" s="537">
        <v>46212.0</v>
      </c>
      <c r="M667" s="86" t="s">
        <v>2845</v>
      </c>
      <c r="N667" s="86">
        <v>246.0</v>
      </c>
      <c r="O667" s="86">
        <v>30.0</v>
      </c>
      <c r="U667" s="162" t="s">
        <v>3590</v>
      </c>
      <c r="V667" s="538" t="s">
        <v>3568</v>
      </c>
      <c r="W667" s="125" t="s">
        <v>3650</v>
      </c>
      <c r="X667" s="140"/>
      <c r="Y667" s="166">
        <f t="shared" si="23"/>
        <v>2</v>
      </c>
      <c r="Z667" s="26">
        <f t="shared" si="7"/>
        <v>0</v>
      </c>
      <c r="AA667" s="26">
        <f t="shared" si="8"/>
        <v>1</v>
      </c>
      <c r="AB667" s="26">
        <f t="shared" si="9"/>
        <v>0</v>
      </c>
      <c r="AC667" s="155">
        <v>0.0</v>
      </c>
      <c r="AD667" s="155">
        <v>0.0</v>
      </c>
      <c r="AE667" s="155">
        <v>0.0</v>
      </c>
      <c r="AF667" s="155">
        <v>0.0</v>
      </c>
      <c r="AG667" s="155">
        <v>0.0</v>
      </c>
      <c r="AH667" s="155">
        <v>0.0</v>
      </c>
      <c r="BN667" s="155">
        <v>0.0</v>
      </c>
      <c r="BO667" s="155">
        <v>0.0</v>
      </c>
      <c r="BP667" s="155">
        <v>0.0</v>
      </c>
      <c r="BQ667" s="155">
        <v>0.0</v>
      </c>
      <c r="BR667" s="155">
        <v>0.0</v>
      </c>
      <c r="BS667" s="155">
        <v>0.0</v>
      </c>
      <c r="CV667" s="156">
        <v>0.0</v>
      </c>
      <c r="CW667" s="156">
        <v>0.0</v>
      </c>
      <c r="CX667" s="156">
        <v>0.0</v>
      </c>
      <c r="CY667" s="156">
        <v>0.0</v>
      </c>
      <c r="CZ667" s="156">
        <v>0.0</v>
      </c>
      <c r="DA667" s="156">
        <v>0.0</v>
      </c>
      <c r="EG667" s="156">
        <v>0.0</v>
      </c>
      <c r="EH667" s="156">
        <v>0.0</v>
      </c>
      <c r="EI667" s="156">
        <v>0.0</v>
      </c>
      <c r="EJ667" s="156">
        <v>0.0</v>
      </c>
      <c r="EK667" s="156">
        <v>0.0</v>
      </c>
      <c r="EL667" s="156">
        <v>0.0</v>
      </c>
      <c r="FQ667" s="156">
        <v>0.0</v>
      </c>
      <c r="FR667" s="156">
        <v>0.0</v>
      </c>
      <c r="FS667" s="156">
        <v>0.0</v>
      </c>
      <c r="FT667" s="156">
        <v>0.0</v>
      </c>
      <c r="FU667" s="156">
        <v>0.0</v>
      </c>
      <c r="FV667" s="156">
        <v>0.0</v>
      </c>
      <c r="FW667" s="157"/>
      <c r="FX667" s="157"/>
      <c r="FY667" s="157"/>
      <c r="FZ667" s="157"/>
      <c r="GA667" s="157"/>
      <c r="GB667" s="157"/>
      <c r="GC667" s="157"/>
      <c r="GD667" s="157"/>
      <c r="GE667" s="157"/>
      <c r="GF667" s="157"/>
      <c r="GG667" s="157"/>
      <c r="GH667" s="157"/>
      <c r="GI667" s="157"/>
      <c r="GJ667" s="157"/>
      <c r="GK667" s="157"/>
      <c r="GL667" s="157"/>
      <c r="GM667" s="157"/>
      <c r="GN667" s="157"/>
      <c r="GO667" s="157"/>
      <c r="GP667" s="158"/>
      <c r="GQ667" s="157"/>
      <c r="GR667" s="157"/>
      <c r="GS667" s="157"/>
      <c r="GT667" s="157"/>
      <c r="GU667" s="157"/>
      <c r="GV667" s="157"/>
      <c r="GW667" s="157"/>
      <c r="GX667" s="157"/>
      <c r="GY667" s="157"/>
      <c r="GZ667" s="157"/>
      <c r="HA667" s="157"/>
      <c r="HB667" s="155">
        <v>1.0</v>
      </c>
      <c r="HC667" s="155">
        <v>0.0</v>
      </c>
      <c r="HD667" s="155">
        <v>0.0</v>
      </c>
      <c r="HE667" s="155">
        <v>0.0</v>
      </c>
      <c r="HF667" s="155">
        <v>0.0</v>
      </c>
      <c r="HG667" s="155">
        <v>0.0</v>
      </c>
      <c r="IE667" s="174">
        <v>1.0</v>
      </c>
      <c r="IF667" s="174"/>
      <c r="IG667" s="174"/>
      <c r="IH667" s="174"/>
      <c r="II667" s="174"/>
      <c r="IJ667" s="174"/>
      <c r="IK667" s="175"/>
      <c r="IL667" s="159">
        <v>1.0</v>
      </c>
      <c r="IM667" s="156">
        <v>0.0</v>
      </c>
      <c r="IN667" s="156">
        <v>0.0</v>
      </c>
      <c r="IO667" s="156">
        <v>1.0</v>
      </c>
      <c r="IP667" s="156">
        <v>0.0</v>
      </c>
      <c r="IQ667" s="160">
        <v>0.0</v>
      </c>
      <c r="IR667" s="175" t="s">
        <v>947</v>
      </c>
      <c r="IS667" s="174"/>
      <c r="IT667" s="174"/>
      <c r="IU667" s="174"/>
      <c r="IV667" s="174"/>
      <c r="IW667" s="174"/>
      <c r="IX667" s="174"/>
      <c r="IY667" s="174"/>
      <c r="IZ667" s="174"/>
      <c r="JA667" s="174"/>
      <c r="JB667" s="174"/>
      <c r="JC667" s="174"/>
      <c r="JD667" s="174"/>
      <c r="JE667" s="174"/>
      <c r="JF667" s="174"/>
      <c r="JG667" s="174"/>
      <c r="JH667" s="177"/>
      <c r="JI667" s="174"/>
      <c r="JJ667" s="174"/>
      <c r="JK667" s="174"/>
      <c r="JL667" s="174"/>
      <c r="JM667" s="174"/>
      <c r="JN667" s="174"/>
      <c r="JO667" s="174"/>
      <c r="JP667" s="174"/>
      <c r="JQ667" s="174"/>
      <c r="JR667" s="174"/>
      <c r="JS667" s="174"/>
      <c r="JT667" s="174"/>
      <c r="JU667" s="174"/>
      <c r="JV667" s="174"/>
      <c r="JW667" s="159">
        <v>0.0</v>
      </c>
      <c r="JX667" s="156">
        <v>0.0</v>
      </c>
      <c r="JY667" s="156">
        <v>0.0</v>
      </c>
      <c r="JZ667" s="156">
        <v>0.0</v>
      </c>
      <c r="KA667" s="156">
        <v>0.0</v>
      </c>
      <c r="KB667" s="160">
        <v>0.0</v>
      </c>
      <c r="LH667" s="159">
        <f t="shared" si="10"/>
        <v>0</v>
      </c>
      <c r="LI667" s="156">
        <f t="shared" si="11"/>
        <v>0</v>
      </c>
      <c r="LJ667" s="156">
        <f t="shared" si="12"/>
        <v>0</v>
      </c>
      <c r="LK667" s="156">
        <f t="shared" si="13"/>
        <v>0</v>
      </c>
      <c r="LL667" s="156">
        <f t="shared" si="14"/>
        <v>0</v>
      </c>
      <c r="LM667" s="160">
        <f t="shared" si="15"/>
        <v>0</v>
      </c>
      <c r="QX667" s="560">
        <v>46193.0</v>
      </c>
    </row>
    <row r="668">
      <c r="A668" s="12"/>
      <c r="B668" s="12"/>
      <c r="C668" s="12"/>
      <c r="D668" s="12"/>
      <c r="E668" s="12"/>
      <c r="F668" s="12"/>
      <c r="G668" s="12"/>
      <c r="H668" s="12"/>
      <c r="I668" s="143">
        <f t="shared" si="22"/>
        <v>-23</v>
      </c>
      <c r="J668" s="537">
        <v>46199.0</v>
      </c>
      <c r="K668" s="294" t="s">
        <v>48</v>
      </c>
      <c r="L668" s="108"/>
      <c r="M668" s="86" t="s">
        <v>348</v>
      </c>
      <c r="N668" s="86">
        <v>246.0</v>
      </c>
      <c r="O668" s="86">
        <v>30.0</v>
      </c>
      <c r="U668" s="162" t="s">
        <v>1092</v>
      </c>
      <c r="V668" s="538" t="s">
        <v>1093</v>
      </c>
      <c r="W668" s="125" t="s">
        <v>3651</v>
      </c>
      <c r="X668" s="140"/>
      <c r="Y668" s="166">
        <f t="shared" si="23"/>
        <v>23</v>
      </c>
      <c r="Z668" s="26">
        <f t="shared" si="7"/>
        <v>0</v>
      </c>
      <c r="AA668" s="26">
        <f t="shared" si="8"/>
        <v>0</v>
      </c>
      <c r="AB668" s="26">
        <f t="shared" si="9"/>
        <v>0</v>
      </c>
      <c r="AC668" s="155">
        <v>0.0</v>
      </c>
      <c r="AD668" s="155">
        <v>0.0</v>
      </c>
      <c r="AE668" s="155">
        <v>0.0</v>
      </c>
      <c r="AF668" s="155">
        <v>0.0</v>
      </c>
      <c r="AG668" s="155">
        <v>0.0</v>
      </c>
      <c r="AH668" s="155">
        <v>0.0</v>
      </c>
      <c r="BN668" s="155">
        <v>0.0</v>
      </c>
      <c r="BO668" s="155">
        <v>0.0</v>
      </c>
      <c r="BP668" s="155">
        <v>0.0</v>
      </c>
      <c r="BQ668" s="155">
        <v>0.0</v>
      </c>
      <c r="BR668" s="155">
        <v>0.0</v>
      </c>
      <c r="BS668" s="155">
        <v>0.0</v>
      </c>
      <c r="CV668" s="156">
        <v>0.0</v>
      </c>
      <c r="CW668" s="156">
        <v>0.0</v>
      </c>
      <c r="CX668" s="156">
        <v>0.0</v>
      </c>
      <c r="CY668" s="156">
        <v>0.0</v>
      </c>
      <c r="CZ668" s="156">
        <v>0.0</v>
      </c>
      <c r="DA668" s="156">
        <v>0.0</v>
      </c>
      <c r="EG668" s="156">
        <v>0.0</v>
      </c>
      <c r="EH668" s="156">
        <v>0.0</v>
      </c>
      <c r="EI668" s="156">
        <v>0.0</v>
      </c>
      <c r="EJ668" s="156">
        <v>0.0</v>
      </c>
      <c r="EK668" s="156">
        <v>0.0</v>
      </c>
      <c r="EL668" s="156">
        <v>0.0</v>
      </c>
      <c r="FQ668" s="156">
        <v>0.0</v>
      </c>
      <c r="FR668" s="156">
        <v>0.0</v>
      </c>
      <c r="FS668" s="156">
        <v>0.0</v>
      </c>
      <c r="FT668" s="156">
        <v>0.0</v>
      </c>
      <c r="FU668" s="156">
        <v>0.0</v>
      </c>
      <c r="FV668" s="156">
        <v>0.0</v>
      </c>
      <c r="FW668" s="157"/>
      <c r="FX668" s="157"/>
      <c r="FY668" s="157"/>
      <c r="FZ668" s="157"/>
      <c r="GA668" s="157"/>
      <c r="GB668" s="157"/>
      <c r="GC668" s="157"/>
      <c r="GD668" s="157"/>
      <c r="GE668" s="157"/>
      <c r="GF668" s="157"/>
      <c r="GG668" s="157"/>
      <c r="GH668" s="157"/>
      <c r="GI668" s="157"/>
      <c r="GJ668" s="157"/>
      <c r="GK668" s="157"/>
      <c r="GL668" s="157"/>
      <c r="GM668" s="157"/>
      <c r="GN668" s="157"/>
      <c r="GO668" s="157"/>
      <c r="GP668" s="158"/>
      <c r="GQ668" s="157"/>
      <c r="GR668" s="157"/>
      <c r="GS668" s="157"/>
      <c r="GT668" s="157"/>
      <c r="GU668" s="157"/>
      <c r="GV668" s="157"/>
      <c r="GW668" s="157"/>
      <c r="GX668" s="157"/>
      <c r="GY668" s="157"/>
      <c r="GZ668" s="157"/>
      <c r="HA668" s="157"/>
      <c r="HB668" s="155">
        <v>2.0</v>
      </c>
      <c r="HC668" s="155">
        <v>0.0</v>
      </c>
      <c r="HD668" s="155">
        <v>0.0</v>
      </c>
      <c r="HE668" s="155">
        <v>0.0</v>
      </c>
      <c r="HF668" s="155">
        <v>0.0</v>
      </c>
      <c r="HG668" s="155">
        <v>0.0</v>
      </c>
      <c r="IG668" s="174">
        <v>1.0</v>
      </c>
      <c r="IH668" s="174"/>
      <c r="II668" s="174"/>
      <c r="IJ668" s="174"/>
      <c r="IK668" s="175">
        <v>1.0</v>
      </c>
      <c r="IL668" s="159">
        <v>7.0</v>
      </c>
      <c r="IM668" s="156">
        <v>0.0</v>
      </c>
      <c r="IN668" s="156">
        <v>0.0</v>
      </c>
      <c r="IO668" s="156">
        <v>0.0</v>
      </c>
      <c r="IP668" s="156">
        <v>0.0</v>
      </c>
      <c r="IQ668" s="160">
        <v>0.0</v>
      </c>
      <c r="IR668" s="174"/>
      <c r="IS668" s="174"/>
      <c r="IT668" s="174"/>
      <c r="IU668" s="174"/>
      <c r="IV668" s="174"/>
      <c r="IW668" s="174"/>
      <c r="IX668" s="174">
        <v>0.0</v>
      </c>
      <c r="IY668" s="174">
        <v>1.0</v>
      </c>
      <c r="IZ668" s="174">
        <v>0.0</v>
      </c>
      <c r="JA668" s="174"/>
      <c r="JB668" s="174">
        <v>0.0</v>
      </c>
      <c r="JC668" s="175">
        <v>1.0</v>
      </c>
      <c r="JD668" s="174"/>
      <c r="JE668" s="175">
        <v>1.0</v>
      </c>
      <c r="JF668" s="174">
        <v>1.0</v>
      </c>
      <c r="JG668" s="174">
        <v>0.0</v>
      </c>
      <c r="JH668" s="177"/>
      <c r="JI668" s="174"/>
      <c r="JJ668" s="174"/>
      <c r="JK668" s="175"/>
      <c r="JL668" s="174"/>
      <c r="JM668" s="174"/>
      <c r="JN668" s="174"/>
      <c r="JO668" s="174"/>
      <c r="JP668" s="175">
        <v>1.0</v>
      </c>
      <c r="JQ668" s="175">
        <v>1.0</v>
      </c>
      <c r="JR668" s="175">
        <v>1.0</v>
      </c>
      <c r="JS668" s="174"/>
      <c r="JT668" s="174"/>
      <c r="JU668" s="174"/>
      <c r="JV668" s="174"/>
      <c r="JW668" s="159">
        <v>11.0</v>
      </c>
      <c r="JX668" s="156">
        <v>0.0</v>
      </c>
      <c r="JY668" s="156">
        <v>0.0</v>
      </c>
      <c r="JZ668" s="156">
        <v>0.0</v>
      </c>
      <c r="KA668" s="156">
        <v>0.0</v>
      </c>
      <c r="KB668" s="160">
        <v>0.0</v>
      </c>
      <c r="KC668" s="174"/>
      <c r="KD668" s="174"/>
      <c r="KE668" s="175">
        <v>1.0</v>
      </c>
      <c r="KF668" s="174"/>
      <c r="KG668" s="175">
        <v>1.0</v>
      </c>
      <c r="KH668" s="174"/>
      <c r="KI668" s="175">
        <v>1.0</v>
      </c>
      <c r="KJ668" s="174"/>
      <c r="KK668" s="175">
        <v>2.0</v>
      </c>
      <c r="KL668" s="174"/>
      <c r="KM668" s="174"/>
      <c r="KN668" s="175">
        <v>1.0</v>
      </c>
      <c r="KO668" s="174"/>
      <c r="KP668" s="174"/>
      <c r="KQ668" s="174"/>
      <c r="KR668" s="174"/>
      <c r="KS668" s="472"/>
      <c r="KT668" s="174"/>
      <c r="KU668" s="174"/>
      <c r="KV668" s="174"/>
      <c r="KW668" s="175">
        <v>2.0</v>
      </c>
      <c r="KX668" s="174"/>
      <c r="KY668" s="174"/>
      <c r="KZ668" s="174"/>
      <c r="LA668" s="174"/>
      <c r="LB668" s="174"/>
      <c r="LC668" s="175">
        <v>2.0</v>
      </c>
      <c r="LD668" s="175">
        <v>1.0</v>
      </c>
      <c r="LE668" s="175"/>
      <c r="LF668" s="174"/>
      <c r="LG668" s="174"/>
      <c r="LH668" s="159">
        <f t="shared" si="10"/>
        <v>3</v>
      </c>
      <c r="LI668" s="156">
        <f t="shared" si="11"/>
        <v>0</v>
      </c>
      <c r="LJ668" s="156">
        <f t="shared" si="12"/>
        <v>0</v>
      </c>
      <c r="LK668" s="156">
        <f t="shared" si="13"/>
        <v>0</v>
      </c>
      <c r="LL668" s="156">
        <f t="shared" si="14"/>
        <v>0</v>
      </c>
      <c r="LM668" s="160">
        <f t="shared" si="15"/>
        <v>0</v>
      </c>
      <c r="LN668" s="174"/>
      <c r="LO668" s="174"/>
      <c r="LP668" s="174"/>
      <c r="LQ668" s="174"/>
      <c r="LR668" s="174"/>
      <c r="LS668" s="174"/>
      <c r="LT668" s="174"/>
      <c r="LU668" s="174"/>
      <c r="LV668" s="174"/>
      <c r="LW668" s="174">
        <f t="shared" ref="LW668:MQ668" si="76">IFS(TODAY()&lt;=LW$2,0,WEEKDAY(LW$2)=2,1,WEEKDAY(LW$2)=3,0,WEEKDAY(LW$2)=4,1,WEEKDAY(LW$2)=5,0,WEEKDAY(LW$2)=6,1,WEEKDAY(LW$2)=7,0,WEEKDAY(LW$2)=1,0)</f>
        <v>0</v>
      </c>
      <c r="LX668" s="174">
        <f t="shared" si="76"/>
        <v>1</v>
      </c>
      <c r="LY668" s="174">
        <f t="shared" si="76"/>
        <v>0</v>
      </c>
      <c r="LZ668" s="174">
        <f t="shared" si="76"/>
        <v>0</v>
      </c>
      <c r="MA668" s="174">
        <f t="shared" si="76"/>
        <v>1</v>
      </c>
      <c r="MB668" s="174">
        <f t="shared" si="76"/>
        <v>0</v>
      </c>
      <c r="MC668" s="174">
        <f t="shared" si="76"/>
        <v>1</v>
      </c>
      <c r="MD668" s="174">
        <f t="shared" si="76"/>
        <v>0</v>
      </c>
      <c r="ME668" s="174">
        <f t="shared" si="76"/>
        <v>0</v>
      </c>
      <c r="MF668" s="174">
        <f t="shared" si="76"/>
        <v>0</v>
      </c>
      <c r="MG668" s="174">
        <f t="shared" si="76"/>
        <v>0</v>
      </c>
      <c r="MH668" s="174">
        <f t="shared" si="76"/>
        <v>0</v>
      </c>
      <c r="MI668" s="174">
        <f t="shared" si="76"/>
        <v>0</v>
      </c>
      <c r="MJ668" s="174">
        <f t="shared" si="76"/>
        <v>0</v>
      </c>
      <c r="MK668" s="174">
        <f t="shared" si="76"/>
        <v>0</v>
      </c>
      <c r="ML668" s="174">
        <f t="shared" si="76"/>
        <v>0</v>
      </c>
      <c r="MM668" s="174">
        <f t="shared" si="76"/>
        <v>0</v>
      </c>
      <c r="MN668" s="174">
        <f t="shared" si="76"/>
        <v>0</v>
      </c>
      <c r="MO668" s="174">
        <f t="shared" si="76"/>
        <v>0</v>
      </c>
      <c r="MP668" s="174">
        <f t="shared" si="76"/>
        <v>0</v>
      </c>
      <c r="MQ668" s="174">
        <f t="shared" si="76"/>
        <v>0</v>
      </c>
      <c r="QX668" s="560">
        <v>46193.0</v>
      </c>
    </row>
    <row r="669">
      <c r="A669" s="12"/>
      <c r="B669" s="12"/>
      <c r="C669" s="12"/>
      <c r="D669" s="12"/>
      <c r="E669" s="12"/>
      <c r="F669" s="12"/>
      <c r="G669" s="12"/>
      <c r="H669" s="12"/>
      <c r="I669" s="143">
        <f t="shared" si="22"/>
        <v>-1</v>
      </c>
      <c r="J669" s="602">
        <v>46203.0</v>
      </c>
      <c r="K669" s="294" t="s">
        <v>53</v>
      </c>
      <c r="L669" s="537">
        <v>46206.0</v>
      </c>
      <c r="M669" s="162" t="s">
        <v>107</v>
      </c>
      <c r="N669" s="188">
        <v>357.0</v>
      </c>
      <c r="O669" s="86">
        <v>30.0</v>
      </c>
      <c r="U669" s="162" t="s">
        <v>3543</v>
      </c>
      <c r="V669" s="538" t="s">
        <v>3544</v>
      </c>
      <c r="W669" s="125" t="s">
        <v>3652</v>
      </c>
      <c r="X669" s="140"/>
      <c r="Y669" s="166">
        <f t="shared" si="23"/>
        <v>1</v>
      </c>
      <c r="Z669" s="26">
        <f t="shared" si="7"/>
        <v>0</v>
      </c>
      <c r="AA669" s="26">
        <f t="shared" si="8"/>
        <v>0</v>
      </c>
      <c r="AB669" s="26">
        <f t="shared" si="9"/>
        <v>0</v>
      </c>
      <c r="AC669" s="155">
        <v>0.0</v>
      </c>
      <c r="AD669" s="155">
        <v>0.0</v>
      </c>
      <c r="AE669" s="155">
        <v>0.0</v>
      </c>
      <c r="AF669" s="155">
        <v>0.0</v>
      </c>
      <c r="AG669" s="155">
        <v>0.0</v>
      </c>
      <c r="AH669" s="155">
        <v>0.0</v>
      </c>
      <c r="BN669" s="155">
        <v>0.0</v>
      </c>
      <c r="BO669" s="155">
        <v>0.0</v>
      </c>
      <c r="BP669" s="155">
        <v>0.0</v>
      </c>
      <c r="BQ669" s="155">
        <v>0.0</v>
      </c>
      <c r="BR669" s="155">
        <v>0.0</v>
      </c>
      <c r="BS669" s="155">
        <v>0.0</v>
      </c>
      <c r="CV669" s="156">
        <v>0.0</v>
      </c>
      <c r="CW669" s="156">
        <v>0.0</v>
      </c>
      <c r="CX669" s="156">
        <v>0.0</v>
      </c>
      <c r="CY669" s="156">
        <v>0.0</v>
      </c>
      <c r="CZ669" s="156">
        <v>0.0</v>
      </c>
      <c r="DA669" s="156">
        <v>0.0</v>
      </c>
      <c r="EG669" s="156">
        <v>0.0</v>
      </c>
      <c r="EH669" s="156">
        <v>0.0</v>
      </c>
      <c r="EI669" s="156">
        <v>0.0</v>
      </c>
      <c r="EJ669" s="156">
        <v>0.0</v>
      </c>
      <c r="EK669" s="156">
        <v>0.0</v>
      </c>
      <c r="EL669" s="156">
        <v>0.0</v>
      </c>
      <c r="FQ669" s="156">
        <v>0.0</v>
      </c>
      <c r="FR669" s="156">
        <v>0.0</v>
      </c>
      <c r="FS669" s="156">
        <v>0.0</v>
      </c>
      <c r="FT669" s="156">
        <v>0.0</v>
      </c>
      <c r="FU669" s="156">
        <v>0.0</v>
      </c>
      <c r="FV669" s="156">
        <v>0.0</v>
      </c>
      <c r="FW669" s="157"/>
      <c r="FX669" s="157"/>
      <c r="FY669" s="157"/>
      <c r="FZ669" s="157"/>
      <c r="GA669" s="157"/>
      <c r="GB669" s="157"/>
      <c r="GC669" s="157"/>
      <c r="GD669" s="157"/>
      <c r="GE669" s="157"/>
      <c r="GF669" s="157"/>
      <c r="GG669" s="157"/>
      <c r="GH669" s="157"/>
      <c r="GI669" s="157"/>
      <c r="GJ669" s="157"/>
      <c r="GK669" s="157"/>
      <c r="GL669" s="157"/>
      <c r="GM669" s="157"/>
      <c r="GN669" s="157"/>
      <c r="GO669" s="157"/>
      <c r="GP669" s="158"/>
      <c r="GQ669" s="157"/>
      <c r="GR669" s="157"/>
      <c r="GS669" s="157"/>
      <c r="GT669" s="157"/>
      <c r="GU669" s="157"/>
      <c r="GV669" s="157"/>
      <c r="GW669" s="157"/>
      <c r="GX669" s="157"/>
      <c r="GY669" s="157"/>
      <c r="GZ669" s="157"/>
      <c r="HA669" s="157"/>
      <c r="HB669" s="155">
        <v>1.0</v>
      </c>
      <c r="HC669" s="155">
        <v>0.0</v>
      </c>
      <c r="HD669" s="155">
        <v>0.0</v>
      </c>
      <c r="HE669" s="155">
        <v>0.0</v>
      </c>
      <c r="HF669" s="155">
        <v>0.0</v>
      </c>
      <c r="HG669" s="155">
        <v>0.0</v>
      </c>
      <c r="IK669" s="172">
        <v>1.0</v>
      </c>
      <c r="IL669" s="159">
        <v>0.0</v>
      </c>
      <c r="IM669" s="156">
        <v>0.0</v>
      </c>
      <c r="IN669" s="156">
        <v>0.0</v>
      </c>
      <c r="IO669" s="156">
        <v>0.0</v>
      </c>
      <c r="IP669" s="156">
        <v>0.0</v>
      </c>
      <c r="IQ669" s="160">
        <v>0.0</v>
      </c>
      <c r="IR669" s="172"/>
      <c r="IS669" s="172"/>
      <c r="IT669" s="172"/>
      <c r="IU669" s="172"/>
      <c r="IV669" s="172"/>
      <c r="IW669" s="172"/>
      <c r="IX669" s="172"/>
      <c r="IY669" s="172"/>
      <c r="IZ669" s="172"/>
      <c r="JA669" s="172"/>
      <c r="JB669" s="172"/>
      <c r="JC669" s="172"/>
      <c r="JD669" s="172"/>
      <c r="JE669" s="172"/>
      <c r="JF669" s="172"/>
      <c r="JG669" s="172"/>
      <c r="JH669" s="170"/>
      <c r="JI669" s="172"/>
      <c r="JJ669" s="172"/>
      <c r="JK669" s="172"/>
      <c r="JL669" s="172"/>
      <c r="JM669" s="172"/>
      <c r="JN669" s="172"/>
      <c r="JO669" s="172"/>
      <c r="JP669" s="172"/>
      <c r="JQ669" s="172"/>
      <c r="JR669" s="172"/>
      <c r="JS669" s="172"/>
      <c r="JT669" s="172"/>
      <c r="JU669" s="172"/>
      <c r="JV669" s="172"/>
      <c r="JW669" s="159">
        <v>0.0</v>
      </c>
      <c r="JX669" s="156">
        <v>0.0</v>
      </c>
      <c r="JY669" s="156">
        <v>0.0</v>
      </c>
      <c r="JZ669" s="156">
        <v>0.0</v>
      </c>
      <c r="KA669" s="156">
        <v>0.0</v>
      </c>
      <c r="KB669" s="160">
        <v>0.0</v>
      </c>
      <c r="KC669" s="172"/>
      <c r="KD669" s="172"/>
      <c r="KE669" s="172"/>
      <c r="KF669" s="172"/>
      <c r="KG669" s="172"/>
      <c r="KH669" s="172"/>
      <c r="KI669" s="172"/>
      <c r="KJ669" s="172"/>
      <c r="KK669" s="172"/>
      <c r="KL669" s="172"/>
      <c r="KM669" s="172"/>
      <c r="KN669" s="172"/>
      <c r="KO669" s="172"/>
      <c r="KP669" s="172"/>
      <c r="KQ669" s="172"/>
      <c r="KR669" s="172"/>
      <c r="KS669" s="432"/>
      <c r="KT669" s="172"/>
      <c r="KU669" s="172"/>
      <c r="KV669" s="172"/>
      <c r="KW669" s="172"/>
      <c r="KX669" s="172"/>
      <c r="KY669" s="172"/>
      <c r="KZ669" s="172"/>
      <c r="LA669" s="172"/>
      <c r="LB669" s="172"/>
      <c r="LC669" s="172"/>
      <c r="LD669" s="172"/>
      <c r="LE669" s="172"/>
      <c r="LF669" s="172"/>
      <c r="LG669" s="172"/>
      <c r="LH669" s="159">
        <f t="shared" si="10"/>
        <v>0</v>
      </c>
      <c r="LI669" s="156">
        <f t="shared" si="11"/>
        <v>0</v>
      </c>
      <c r="LJ669" s="156">
        <f t="shared" si="12"/>
        <v>0</v>
      </c>
      <c r="LK669" s="156">
        <f t="shared" si="13"/>
        <v>0</v>
      </c>
      <c r="LL669" s="156">
        <f t="shared" si="14"/>
        <v>0</v>
      </c>
      <c r="LM669" s="160">
        <f t="shared" si="15"/>
        <v>0</v>
      </c>
      <c r="QX669" s="560">
        <v>46196.0</v>
      </c>
    </row>
    <row r="670">
      <c r="A670" s="12"/>
      <c r="B670" s="12"/>
      <c r="C670" s="12"/>
      <c r="D670" s="12"/>
      <c r="E670" s="12"/>
      <c r="F670" s="494"/>
      <c r="G670" s="12"/>
      <c r="H670" s="12"/>
      <c r="I670" s="143">
        <f t="shared" si="22"/>
        <v>-18</v>
      </c>
      <c r="J670" s="537">
        <v>46202.0</v>
      </c>
      <c r="K670" s="294" t="s">
        <v>48</v>
      </c>
      <c r="L670" s="162"/>
      <c r="M670" s="86" t="s">
        <v>3653</v>
      </c>
      <c r="N670" s="86">
        <v>24.0</v>
      </c>
      <c r="O670" s="86">
        <v>30.0</v>
      </c>
      <c r="U670" s="162" t="s">
        <v>3654</v>
      </c>
      <c r="V670" s="538" t="s">
        <v>1705</v>
      </c>
      <c r="W670" s="125" t="s">
        <v>3655</v>
      </c>
      <c r="X670" s="140"/>
      <c r="Y670" s="166">
        <f t="shared" si="23"/>
        <v>18</v>
      </c>
      <c r="Z670" s="26">
        <f t="shared" si="7"/>
        <v>0</v>
      </c>
      <c r="AA670" s="26">
        <f t="shared" si="8"/>
        <v>0</v>
      </c>
      <c r="AB670" s="26">
        <f t="shared" si="9"/>
        <v>0</v>
      </c>
      <c r="AC670" s="155">
        <v>0.0</v>
      </c>
      <c r="AD670" s="155">
        <v>0.0</v>
      </c>
      <c r="AE670" s="155">
        <v>0.0</v>
      </c>
      <c r="AF670" s="155">
        <v>0.0</v>
      </c>
      <c r="AG670" s="155">
        <v>0.0</v>
      </c>
      <c r="AH670" s="155">
        <v>0.0</v>
      </c>
      <c r="BN670" s="155">
        <v>0.0</v>
      </c>
      <c r="BO670" s="155">
        <v>0.0</v>
      </c>
      <c r="BP670" s="155">
        <v>0.0</v>
      </c>
      <c r="BQ670" s="155">
        <v>0.0</v>
      </c>
      <c r="BR670" s="155">
        <v>0.0</v>
      </c>
      <c r="BS670" s="155">
        <v>0.0</v>
      </c>
      <c r="CV670" s="156">
        <v>0.0</v>
      </c>
      <c r="CW670" s="156">
        <v>0.0</v>
      </c>
      <c r="CX670" s="156">
        <v>0.0</v>
      </c>
      <c r="CY670" s="156">
        <v>0.0</v>
      </c>
      <c r="CZ670" s="156">
        <v>0.0</v>
      </c>
      <c r="DA670" s="156">
        <v>0.0</v>
      </c>
      <c r="EG670" s="156">
        <v>0.0</v>
      </c>
      <c r="EH670" s="156">
        <v>0.0</v>
      </c>
      <c r="EI670" s="156">
        <v>0.0</v>
      </c>
      <c r="EJ670" s="156">
        <v>0.0</v>
      </c>
      <c r="EK670" s="156">
        <v>0.0</v>
      </c>
      <c r="EL670" s="156">
        <v>0.0</v>
      </c>
      <c r="FQ670" s="156">
        <v>0.0</v>
      </c>
      <c r="FR670" s="156">
        <v>0.0</v>
      </c>
      <c r="FS670" s="156">
        <v>0.0</v>
      </c>
      <c r="FT670" s="156">
        <v>0.0</v>
      </c>
      <c r="FU670" s="156">
        <v>0.0</v>
      </c>
      <c r="FV670" s="156">
        <v>0.0</v>
      </c>
      <c r="FW670" s="157"/>
      <c r="FX670" s="157"/>
      <c r="FY670" s="157"/>
      <c r="FZ670" s="157"/>
      <c r="GA670" s="157"/>
      <c r="GB670" s="157"/>
      <c r="GC670" s="157"/>
      <c r="GD670" s="157"/>
      <c r="GE670" s="157"/>
      <c r="GF670" s="157"/>
      <c r="GG670" s="157"/>
      <c r="GH670" s="157"/>
      <c r="GI670" s="157"/>
      <c r="GJ670" s="157"/>
      <c r="GK670" s="157"/>
      <c r="GL670" s="157"/>
      <c r="GM670" s="157"/>
      <c r="GN670" s="157"/>
      <c r="GO670" s="157"/>
      <c r="GP670" s="158"/>
      <c r="GQ670" s="157"/>
      <c r="GR670" s="157"/>
      <c r="GS670" s="157"/>
      <c r="GT670" s="157"/>
      <c r="GU670" s="157"/>
      <c r="GV670" s="157"/>
      <c r="GW670" s="157"/>
      <c r="GX670" s="157"/>
      <c r="GY670" s="157"/>
      <c r="GZ670" s="157"/>
      <c r="HA670" s="157"/>
      <c r="HB670" s="155">
        <v>1.0</v>
      </c>
      <c r="HC670" s="155">
        <v>0.0</v>
      </c>
      <c r="HD670" s="155">
        <v>0.0</v>
      </c>
      <c r="HE670" s="155">
        <v>0.0</v>
      </c>
      <c r="HF670" s="155">
        <v>0.0</v>
      </c>
      <c r="HG670" s="155">
        <v>0.0</v>
      </c>
      <c r="IJ670" s="174">
        <v>1.0</v>
      </c>
      <c r="IK670" s="174">
        <v>0.0</v>
      </c>
      <c r="IL670" s="159">
        <v>9.0</v>
      </c>
      <c r="IM670" s="156">
        <v>0.0</v>
      </c>
      <c r="IN670" s="156">
        <v>0.0</v>
      </c>
      <c r="IO670" s="156">
        <v>0.0</v>
      </c>
      <c r="IP670" s="156">
        <v>0.0</v>
      </c>
      <c r="IQ670" s="160">
        <v>0.0</v>
      </c>
      <c r="IS670" s="86">
        <v>1.0</v>
      </c>
      <c r="IX670" s="86">
        <v>1.0</v>
      </c>
      <c r="IY670" s="86">
        <v>1.0</v>
      </c>
      <c r="JD670" s="86">
        <v>1.0</v>
      </c>
      <c r="JF670" s="86">
        <v>1.0</v>
      </c>
      <c r="JH670" s="25"/>
      <c r="JL670" s="86">
        <v>1.0</v>
      </c>
      <c r="JM670" s="86">
        <v>1.0</v>
      </c>
      <c r="JR670" s="86">
        <v>1.0</v>
      </c>
      <c r="JT670" s="86">
        <v>1.0</v>
      </c>
      <c r="JW670" s="159">
        <v>7.0</v>
      </c>
      <c r="JX670" s="156">
        <v>0.0</v>
      </c>
      <c r="JY670" s="156">
        <v>0.0</v>
      </c>
      <c r="JZ670" s="156">
        <v>0.0</v>
      </c>
      <c r="KA670" s="156">
        <v>0.0</v>
      </c>
      <c r="KB670" s="160">
        <v>0.0</v>
      </c>
      <c r="KE670" s="86">
        <v>1.0</v>
      </c>
      <c r="KI670" s="86">
        <v>1.0</v>
      </c>
      <c r="KN670" s="86">
        <v>1.0</v>
      </c>
      <c r="KQ670" s="86">
        <v>1.0</v>
      </c>
      <c r="KS670" s="178"/>
      <c r="KX670" s="86">
        <v>1.0</v>
      </c>
      <c r="LE670" s="86">
        <v>1.0</v>
      </c>
      <c r="LF670" s="86">
        <v>1.0</v>
      </c>
      <c r="LH670" s="159">
        <f t="shared" si="10"/>
        <v>1</v>
      </c>
      <c r="LI670" s="156">
        <f t="shared" si="11"/>
        <v>0</v>
      </c>
      <c r="LJ670" s="156">
        <f t="shared" si="12"/>
        <v>0</v>
      </c>
      <c r="LK670" s="156">
        <f t="shared" si="13"/>
        <v>0</v>
      </c>
      <c r="LL670" s="156">
        <f t="shared" si="14"/>
        <v>0</v>
      </c>
      <c r="LM670" s="160">
        <f t="shared" si="15"/>
        <v>0</v>
      </c>
      <c r="LS670" s="189">
        <v>1.0</v>
      </c>
      <c r="QX670" s="560">
        <v>46196.0</v>
      </c>
    </row>
    <row r="671">
      <c r="A671" s="12"/>
      <c r="B671" s="12"/>
      <c r="C671" s="12"/>
      <c r="D671" s="12"/>
      <c r="E671" s="12"/>
      <c r="F671" s="12"/>
      <c r="G671" s="12"/>
      <c r="H671" s="12"/>
      <c r="I671" s="143">
        <f t="shared" si="22"/>
        <v>-20</v>
      </c>
      <c r="J671" s="537">
        <v>46204.0</v>
      </c>
      <c r="K671" s="164" t="s">
        <v>61</v>
      </c>
      <c r="L671" s="537">
        <v>46254.0</v>
      </c>
      <c r="M671" s="86" t="s">
        <v>1433</v>
      </c>
      <c r="N671" s="86">
        <v>246.0</v>
      </c>
      <c r="O671" s="86">
        <v>30.0</v>
      </c>
      <c r="U671" s="162" t="s">
        <v>2519</v>
      </c>
      <c r="V671" s="538" t="s">
        <v>307</v>
      </c>
      <c r="W671" s="185" t="s">
        <v>3656</v>
      </c>
      <c r="X671" s="140"/>
      <c r="Y671" s="166">
        <f t="shared" si="23"/>
        <v>20</v>
      </c>
      <c r="Z671" s="26">
        <f t="shared" si="7"/>
        <v>0</v>
      </c>
      <c r="AA671" s="26">
        <f t="shared" si="8"/>
        <v>0</v>
      </c>
      <c r="AB671" s="26">
        <f t="shared" si="9"/>
        <v>0</v>
      </c>
      <c r="AC671" s="155">
        <v>0.0</v>
      </c>
      <c r="AD671" s="155">
        <v>0.0</v>
      </c>
      <c r="AE671" s="155">
        <v>0.0</v>
      </c>
      <c r="AF671" s="155">
        <v>0.0</v>
      </c>
      <c r="AG671" s="155">
        <v>0.0</v>
      </c>
      <c r="AH671" s="155">
        <v>0.0</v>
      </c>
      <c r="BN671" s="155">
        <v>0.0</v>
      </c>
      <c r="BO671" s="155">
        <v>0.0</v>
      </c>
      <c r="BP671" s="155">
        <v>0.0</v>
      </c>
      <c r="BQ671" s="155">
        <v>0.0</v>
      </c>
      <c r="BR671" s="155">
        <v>0.0</v>
      </c>
      <c r="BS671" s="155">
        <v>0.0</v>
      </c>
      <c r="CV671" s="156">
        <v>0.0</v>
      </c>
      <c r="CW671" s="156">
        <v>0.0</v>
      </c>
      <c r="CX671" s="156">
        <v>0.0</v>
      </c>
      <c r="CY671" s="156">
        <v>0.0</v>
      </c>
      <c r="CZ671" s="156">
        <v>0.0</v>
      </c>
      <c r="DA671" s="156">
        <v>0.0</v>
      </c>
      <c r="EG671" s="156">
        <v>0.0</v>
      </c>
      <c r="EH671" s="156">
        <v>0.0</v>
      </c>
      <c r="EI671" s="156">
        <v>0.0</v>
      </c>
      <c r="EJ671" s="156">
        <v>0.0</v>
      </c>
      <c r="EK671" s="156">
        <v>0.0</v>
      </c>
      <c r="EL671" s="156">
        <v>0.0</v>
      </c>
      <c r="FQ671" s="156">
        <v>0.0</v>
      </c>
      <c r="FR671" s="156">
        <v>0.0</v>
      </c>
      <c r="FS671" s="156">
        <v>0.0</v>
      </c>
      <c r="FT671" s="156">
        <v>0.0</v>
      </c>
      <c r="FU671" s="156">
        <v>0.0</v>
      </c>
      <c r="FV671" s="156">
        <v>0.0</v>
      </c>
      <c r="FW671" s="157"/>
      <c r="FX671" s="157"/>
      <c r="FY671" s="157"/>
      <c r="FZ671" s="157"/>
      <c r="GA671" s="157"/>
      <c r="GB671" s="157"/>
      <c r="GC671" s="157"/>
      <c r="GD671" s="157"/>
      <c r="GE671" s="157"/>
      <c r="GF671" s="157"/>
      <c r="GG671" s="157"/>
      <c r="GH671" s="157"/>
      <c r="GI671" s="157"/>
      <c r="GJ671" s="157"/>
      <c r="GK671" s="157"/>
      <c r="GL671" s="157"/>
      <c r="GM671" s="157"/>
      <c r="GN671" s="157"/>
      <c r="GO671" s="157"/>
      <c r="GP671" s="158"/>
      <c r="GQ671" s="157"/>
      <c r="GR671" s="157"/>
      <c r="GS671" s="157"/>
      <c r="GT671" s="157"/>
      <c r="GU671" s="157"/>
      <c r="GV671" s="157"/>
      <c r="GW671" s="157"/>
      <c r="GX671" s="157"/>
      <c r="GY671" s="157"/>
      <c r="GZ671" s="157"/>
      <c r="HA671" s="157"/>
      <c r="HB671" s="155">
        <v>0.0</v>
      </c>
      <c r="HC671" s="155">
        <v>0.0</v>
      </c>
      <c r="HD671" s="155">
        <v>0.0</v>
      </c>
      <c r="HE671" s="155">
        <v>0.0</v>
      </c>
      <c r="HF671" s="155">
        <v>0.0</v>
      </c>
      <c r="HG671" s="155">
        <v>0.0</v>
      </c>
      <c r="IL671" s="159">
        <v>11.0</v>
      </c>
      <c r="IM671" s="156">
        <v>0.0</v>
      </c>
      <c r="IN671" s="156">
        <v>0.0</v>
      </c>
      <c r="IO671" s="156">
        <v>0.0</v>
      </c>
      <c r="IP671" s="156">
        <v>0.0</v>
      </c>
      <c r="IQ671" s="160">
        <v>0.0</v>
      </c>
      <c r="IR671" s="174">
        <v>1.0</v>
      </c>
      <c r="IS671" s="174">
        <v>0.0</v>
      </c>
      <c r="IT671" s="174">
        <v>1.0</v>
      </c>
      <c r="IU671" s="174">
        <v>0.0</v>
      </c>
      <c r="IV671" s="174">
        <v>0.0</v>
      </c>
      <c r="IW671" s="174">
        <v>1.0</v>
      </c>
      <c r="IX671" s="174">
        <v>0.0</v>
      </c>
      <c r="IY671" s="174">
        <v>1.0</v>
      </c>
      <c r="IZ671" s="174">
        <v>0.0</v>
      </c>
      <c r="JA671" s="174">
        <v>1.0</v>
      </c>
      <c r="JB671" s="174">
        <v>0.0</v>
      </c>
      <c r="JC671" s="174">
        <v>0.0</v>
      </c>
      <c r="JD671" s="174">
        <v>1.0</v>
      </c>
      <c r="JE671" s="174">
        <v>0.0</v>
      </c>
      <c r="JF671" s="174">
        <v>1.0</v>
      </c>
      <c r="JG671" s="174">
        <v>0.0</v>
      </c>
      <c r="JH671" s="177">
        <v>1.0</v>
      </c>
      <c r="JI671" s="174"/>
      <c r="JJ671" s="174"/>
      <c r="JK671" s="175"/>
      <c r="JL671" s="174"/>
      <c r="JM671" s="175">
        <v>1.0</v>
      </c>
      <c r="JN671" s="174"/>
      <c r="JO671" s="174"/>
      <c r="JP671" s="174"/>
      <c r="JQ671" s="174"/>
      <c r="JR671" s="175">
        <v>1.0</v>
      </c>
      <c r="JS671" s="174"/>
      <c r="JT671" s="175">
        <v>1.0</v>
      </c>
      <c r="JU671" s="174"/>
      <c r="JV671" s="174"/>
      <c r="JW671" s="159">
        <v>6.0</v>
      </c>
      <c r="JX671" s="156">
        <v>0.0</v>
      </c>
      <c r="JY671" s="156">
        <v>0.0</v>
      </c>
      <c r="JZ671" s="156">
        <v>0.0</v>
      </c>
      <c r="KA671" s="156">
        <v>0.0</v>
      </c>
      <c r="KB671" s="160">
        <v>0.0</v>
      </c>
      <c r="KC671" s="174"/>
      <c r="KD671" s="174"/>
      <c r="KE671" s="175">
        <v>1.0</v>
      </c>
      <c r="KF671" s="174"/>
      <c r="KG671" s="175">
        <v>1.0</v>
      </c>
      <c r="KH671" s="174"/>
      <c r="KI671" s="175">
        <v>1.0</v>
      </c>
      <c r="KJ671" s="174"/>
      <c r="KK671" s="174"/>
      <c r="KL671" s="175">
        <v>1.0</v>
      </c>
      <c r="KM671" s="174"/>
      <c r="KN671" s="175">
        <v>1.0</v>
      </c>
      <c r="KO671" s="174"/>
      <c r="KP671" s="175">
        <v>1.0</v>
      </c>
      <c r="KQ671" s="175"/>
      <c r="KR671" s="174"/>
      <c r="KS671" s="472"/>
      <c r="KT671" s="174"/>
      <c r="KU671" s="174"/>
      <c r="KV671" s="174"/>
      <c r="KW671" s="174"/>
      <c r="KX671" s="174"/>
      <c r="KY671" s="174"/>
      <c r="KZ671" s="174"/>
      <c r="LA671" s="174"/>
      <c r="LB671" s="174"/>
      <c r="LC671" s="174"/>
      <c r="LD671" s="174"/>
      <c r="LE671" s="174"/>
      <c r="LF671" s="174"/>
      <c r="LG671" s="174"/>
      <c r="LH671" s="159">
        <f t="shared" si="10"/>
        <v>3</v>
      </c>
      <c r="LI671" s="156">
        <f t="shared" si="11"/>
        <v>0</v>
      </c>
      <c r="LJ671" s="156">
        <f t="shared" si="12"/>
        <v>0</v>
      </c>
      <c r="LK671" s="156">
        <f t="shared" si="13"/>
        <v>0</v>
      </c>
      <c r="LL671" s="156">
        <f t="shared" si="14"/>
        <v>0</v>
      </c>
      <c r="LM671" s="160">
        <f t="shared" si="15"/>
        <v>0</v>
      </c>
      <c r="LN671" s="174"/>
      <c r="LO671" s="174"/>
      <c r="LP671" s="174"/>
      <c r="LQ671" s="174"/>
      <c r="LR671" s="174"/>
      <c r="LS671" s="174"/>
      <c r="LT671" s="174"/>
      <c r="LU671" s="174"/>
      <c r="LV671" s="174"/>
      <c r="LW671" s="174">
        <f t="shared" ref="LW671:MQ671" si="77">IFS(TODAY()&lt;=LW$2,0,WEEKDAY(LW$2)=2,1,WEEKDAY(LW$2)=3,0,WEEKDAY(LW$2)=4,1,WEEKDAY(LW$2)=5,0,WEEKDAY(LW$2)=6,1,WEEKDAY(LW$2)=7,0,WEEKDAY(LW$2)=1,0)</f>
        <v>0</v>
      </c>
      <c r="LX671" s="174">
        <f t="shared" si="77"/>
        <v>1</v>
      </c>
      <c r="LY671" s="174">
        <f t="shared" si="77"/>
        <v>0</v>
      </c>
      <c r="LZ671" s="174">
        <f t="shared" si="77"/>
        <v>0</v>
      </c>
      <c r="MA671" s="174">
        <f t="shared" si="77"/>
        <v>1</v>
      </c>
      <c r="MB671" s="174">
        <f t="shared" si="77"/>
        <v>0</v>
      </c>
      <c r="MC671" s="174">
        <f t="shared" si="77"/>
        <v>1</v>
      </c>
      <c r="MD671" s="174">
        <f t="shared" si="77"/>
        <v>0</v>
      </c>
      <c r="ME671" s="174">
        <f t="shared" si="77"/>
        <v>0</v>
      </c>
      <c r="MF671" s="174">
        <f t="shared" si="77"/>
        <v>0</v>
      </c>
      <c r="MG671" s="174">
        <f t="shared" si="77"/>
        <v>0</v>
      </c>
      <c r="MH671" s="174">
        <f t="shared" si="77"/>
        <v>0</v>
      </c>
      <c r="MI671" s="174">
        <f t="shared" si="77"/>
        <v>0</v>
      </c>
      <c r="MJ671" s="174">
        <f t="shared" si="77"/>
        <v>0</v>
      </c>
      <c r="MK671" s="174">
        <f t="shared" si="77"/>
        <v>0</v>
      </c>
      <c r="ML671" s="174">
        <f t="shared" si="77"/>
        <v>0</v>
      </c>
      <c r="MM671" s="174">
        <f t="shared" si="77"/>
        <v>0</v>
      </c>
      <c r="MN671" s="174">
        <f t="shared" si="77"/>
        <v>0</v>
      </c>
      <c r="MO671" s="174">
        <f t="shared" si="77"/>
        <v>0</v>
      </c>
      <c r="MP671" s="174">
        <f t="shared" si="77"/>
        <v>0</v>
      </c>
      <c r="MQ671" s="174">
        <f t="shared" si="77"/>
        <v>0</v>
      </c>
      <c r="QX671" s="560">
        <v>46197.0</v>
      </c>
    </row>
    <row r="672">
      <c r="A672" s="12"/>
      <c r="B672" s="12"/>
      <c r="C672" s="12"/>
      <c r="D672" s="12"/>
      <c r="E672" s="12"/>
      <c r="F672" s="12"/>
      <c r="G672" s="12"/>
      <c r="H672" s="12"/>
      <c r="I672" s="143">
        <f t="shared" si="22"/>
        <v>-12</v>
      </c>
      <c r="J672" s="537">
        <v>46206.0</v>
      </c>
      <c r="K672" s="294" t="s">
        <v>48</v>
      </c>
      <c r="L672" s="108"/>
      <c r="M672" s="86" t="s">
        <v>400</v>
      </c>
      <c r="N672" s="86">
        <v>35.0</v>
      </c>
      <c r="O672" s="86">
        <v>30.0</v>
      </c>
      <c r="U672" s="162" t="s">
        <v>3590</v>
      </c>
      <c r="V672" s="538" t="s">
        <v>3568</v>
      </c>
      <c r="W672" s="125" t="s">
        <v>3657</v>
      </c>
      <c r="X672" s="140"/>
      <c r="Y672" s="166">
        <f t="shared" si="23"/>
        <v>12</v>
      </c>
      <c r="Z672" s="26">
        <f t="shared" si="7"/>
        <v>0</v>
      </c>
      <c r="AA672" s="26">
        <f t="shared" si="8"/>
        <v>0</v>
      </c>
      <c r="AB672" s="26">
        <f t="shared" si="9"/>
        <v>0</v>
      </c>
      <c r="AC672" s="155">
        <v>0.0</v>
      </c>
      <c r="AD672" s="155">
        <v>0.0</v>
      </c>
      <c r="AE672" s="155">
        <v>0.0</v>
      </c>
      <c r="AF672" s="155">
        <v>0.0</v>
      </c>
      <c r="AG672" s="155">
        <v>0.0</v>
      </c>
      <c r="AH672" s="155">
        <v>0.0</v>
      </c>
      <c r="BN672" s="155">
        <v>0.0</v>
      </c>
      <c r="BO672" s="155">
        <v>0.0</v>
      </c>
      <c r="BP672" s="155">
        <v>0.0</v>
      </c>
      <c r="BQ672" s="155">
        <v>0.0</v>
      </c>
      <c r="BR672" s="155">
        <v>0.0</v>
      </c>
      <c r="BS672" s="155">
        <v>0.0</v>
      </c>
      <c r="CV672" s="156">
        <v>0.0</v>
      </c>
      <c r="CW672" s="156">
        <v>0.0</v>
      </c>
      <c r="CX672" s="156">
        <v>0.0</v>
      </c>
      <c r="CY672" s="156">
        <v>0.0</v>
      </c>
      <c r="CZ672" s="156">
        <v>0.0</v>
      </c>
      <c r="DA672" s="156">
        <v>0.0</v>
      </c>
      <c r="EG672" s="156">
        <v>0.0</v>
      </c>
      <c r="EH672" s="156">
        <v>0.0</v>
      </c>
      <c r="EI672" s="156">
        <v>0.0</v>
      </c>
      <c r="EJ672" s="156">
        <v>0.0</v>
      </c>
      <c r="EK672" s="156">
        <v>0.0</v>
      </c>
      <c r="EL672" s="156">
        <v>0.0</v>
      </c>
      <c r="FQ672" s="156">
        <v>0.0</v>
      </c>
      <c r="FR672" s="156">
        <v>0.0</v>
      </c>
      <c r="FS672" s="156">
        <v>0.0</v>
      </c>
      <c r="FT672" s="156">
        <v>0.0</v>
      </c>
      <c r="FU672" s="156">
        <v>0.0</v>
      </c>
      <c r="FV672" s="156">
        <v>0.0</v>
      </c>
      <c r="FW672" s="157"/>
      <c r="FX672" s="157"/>
      <c r="FY672" s="157"/>
      <c r="FZ672" s="157"/>
      <c r="GA672" s="157"/>
      <c r="GB672" s="157"/>
      <c r="GC672" s="157"/>
      <c r="GD672" s="157"/>
      <c r="GE672" s="157"/>
      <c r="GF672" s="157"/>
      <c r="GG672" s="157"/>
      <c r="GH672" s="157"/>
      <c r="GI672" s="157"/>
      <c r="GJ672" s="157"/>
      <c r="GK672" s="157"/>
      <c r="GL672" s="157"/>
      <c r="GM672" s="157"/>
      <c r="GN672" s="157"/>
      <c r="GO672" s="157"/>
      <c r="GP672" s="158"/>
      <c r="GQ672" s="157"/>
      <c r="GR672" s="157"/>
      <c r="GS672" s="157"/>
      <c r="GT672" s="157"/>
      <c r="GU672" s="157"/>
      <c r="GV672" s="157"/>
      <c r="GW672" s="157"/>
      <c r="GX672" s="157"/>
      <c r="GY672" s="157"/>
      <c r="GZ672" s="157"/>
      <c r="HA672" s="157"/>
      <c r="HB672" s="155">
        <v>0.0</v>
      </c>
      <c r="HC672" s="155">
        <v>0.0</v>
      </c>
      <c r="HD672" s="155">
        <v>0.0</v>
      </c>
      <c r="HE672" s="155">
        <v>0.0</v>
      </c>
      <c r="HF672" s="155">
        <v>0.0</v>
      </c>
      <c r="HG672" s="155">
        <v>0.0</v>
      </c>
      <c r="IL672" s="159">
        <v>6.0</v>
      </c>
      <c r="IM672" s="156">
        <v>0.0</v>
      </c>
      <c r="IN672" s="156">
        <v>0.0</v>
      </c>
      <c r="IO672" s="156">
        <v>0.0</v>
      </c>
      <c r="IP672" s="156">
        <v>0.0</v>
      </c>
      <c r="IQ672" s="160">
        <v>0.0</v>
      </c>
      <c r="IT672" s="86">
        <v>1.0</v>
      </c>
      <c r="IX672" s="86">
        <v>1.0</v>
      </c>
      <c r="JA672" s="86">
        <v>1.0</v>
      </c>
      <c r="JE672" s="86">
        <v>1.0</v>
      </c>
      <c r="JH672" s="162">
        <v>1.0</v>
      </c>
      <c r="JL672" s="86">
        <v>1.0</v>
      </c>
      <c r="JW672" s="159">
        <v>5.0</v>
      </c>
      <c r="JX672" s="156">
        <v>0.0</v>
      </c>
      <c r="JY672" s="156">
        <v>0.0</v>
      </c>
      <c r="JZ672" s="156">
        <v>0.0</v>
      </c>
      <c r="KA672" s="156">
        <v>0.0</v>
      </c>
      <c r="KB672" s="160">
        <v>0.0</v>
      </c>
      <c r="KF672" s="86">
        <v>1.0</v>
      </c>
      <c r="KM672" s="86">
        <v>1.0</v>
      </c>
      <c r="KO672" s="86">
        <v>1.0</v>
      </c>
      <c r="KS672" s="178"/>
      <c r="LA672" s="86">
        <v>1.0</v>
      </c>
      <c r="LC672" s="86">
        <v>1.0</v>
      </c>
      <c r="LH672" s="159">
        <f t="shared" si="10"/>
        <v>1</v>
      </c>
      <c r="LI672" s="156">
        <f t="shared" si="11"/>
        <v>0</v>
      </c>
      <c r="LJ672" s="156">
        <f t="shared" si="12"/>
        <v>0</v>
      </c>
      <c r="LK672" s="156">
        <f t="shared" si="13"/>
        <v>0</v>
      </c>
      <c r="LL672" s="156">
        <f t="shared" si="14"/>
        <v>0</v>
      </c>
      <c r="LM672" s="160">
        <f t="shared" si="15"/>
        <v>0</v>
      </c>
      <c r="LU672" s="189">
        <v>1.0</v>
      </c>
      <c r="QX672" s="560">
        <v>46199.0</v>
      </c>
    </row>
    <row r="673">
      <c r="A673" s="12"/>
      <c r="B673" s="12"/>
      <c r="C673" s="12"/>
      <c r="D673" s="12"/>
      <c r="E673" s="12"/>
      <c r="F673" s="12"/>
      <c r="G673" s="12"/>
      <c r="H673" s="12"/>
      <c r="I673" s="143">
        <f t="shared" si="22"/>
        <v>-3</v>
      </c>
      <c r="J673" s="606">
        <v>46237.0</v>
      </c>
      <c r="K673" s="529" t="s">
        <v>48</v>
      </c>
      <c r="L673" s="595"/>
      <c r="M673" s="596" t="s">
        <v>107</v>
      </c>
      <c r="N673" s="597">
        <v>246.0</v>
      </c>
      <c r="O673" s="596">
        <v>60.0</v>
      </c>
      <c r="P673" s="598"/>
      <c r="Q673" s="598"/>
      <c r="R673" s="598"/>
      <c r="S673" s="598"/>
      <c r="T673" s="598"/>
      <c r="U673" s="596" t="s">
        <v>3493</v>
      </c>
      <c r="V673" s="621" t="s">
        <v>3494</v>
      </c>
      <c r="W673" s="600" t="s">
        <v>3658</v>
      </c>
      <c r="X673" s="140"/>
      <c r="Y673" s="166">
        <f t="shared" si="23"/>
        <v>3</v>
      </c>
      <c r="Z673" s="26">
        <f t="shared" si="7"/>
        <v>0</v>
      </c>
      <c r="AA673" s="26">
        <f t="shared" si="8"/>
        <v>0</v>
      </c>
      <c r="AB673" s="26">
        <f t="shared" si="9"/>
        <v>0</v>
      </c>
      <c r="AC673" s="155">
        <v>0.0</v>
      </c>
      <c r="AD673" s="155">
        <v>0.0</v>
      </c>
      <c r="AE673" s="155">
        <v>0.0</v>
      </c>
      <c r="AF673" s="155">
        <v>0.0</v>
      </c>
      <c r="AG673" s="155">
        <v>0.0</v>
      </c>
      <c r="AH673" s="155">
        <v>0.0</v>
      </c>
      <c r="BN673" s="155">
        <v>0.0</v>
      </c>
      <c r="BO673" s="155">
        <v>0.0</v>
      </c>
      <c r="BP673" s="155">
        <v>0.0</v>
      </c>
      <c r="BQ673" s="155">
        <v>0.0</v>
      </c>
      <c r="BR673" s="155">
        <v>0.0</v>
      </c>
      <c r="BS673" s="155">
        <v>0.0</v>
      </c>
      <c r="CV673" s="156">
        <v>0.0</v>
      </c>
      <c r="CW673" s="156">
        <v>0.0</v>
      </c>
      <c r="CX673" s="156">
        <v>0.0</v>
      </c>
      <c r="CY673" s="156">
        <v>0.0</v>
      </c>
      <c r="CZ673" s="156">
        <v>0.0</v>
      </c>
      <c r="DA673" s="156">
        <v>0.0</v>
      </c>
      <c r="EG673" s="156">
        <v>0.0</v>
      </c>
      <c r="EH673" s="156">
        <v>0.0</v>
      </c>
      <c r="EI673" s="156">
        <v>0.0</v>
      </c>
      <c r="EJ673" s="156">
        <v>0.0</v>
      </c>
      <c r="EK673" s="156">
        <v>0.0</v>
      </c>
      <c r="EL673" s="156">
        <v>0.0</v>
      </c>
      <c r="FQ673" s="156">
        <v>0.0</v>
      </c>
      <c r="FR673" s="156">
        <v>0.0</v>
      </c>
      <c r="FS673" s="156">
        <v>0.0</v>
      </c>
      <c r="FT673" s="156">
        <v>0.0</v>
      </c>
      <c r="FU673" s="156">
        <v>0.0</v>
      </c>
      <c r="FV673" s="156">
        <v>0.0</v>
      </c>
      <c r="FW673" s="157"/>
      <c r="FX673" s="157"/>
      <c r="FY673" s="157"/>
      <c r="FZ673" s="157"/>
      <c r="GA673" s="157"/>
      <c r="GB673" s="157"/>
      <c r="GC673" s="157"/>
      <c r="GD673" s="157"/>
      <c r="GE673" s="157"/>
      <c r="GF673" s="157"/>
      <c r="GG673" s="157"/>
      <c r="GH673" s="157"/>
      <c r="GI673" s="157"/>
      <c r="GJ673" s="157"/>
      <c r="GK673" s="157"/>
      <c r="GL673" s="157"/>
      <c r="GM673" s="157"/>
      <c r="GN673" s="157"/>
      <c r="GO673" s="157"/>
      <c r="GP673" s="158"/>
      <c r="GQ673" s="157"/>
      <c r="GR673" s="157"/>
      <c r="GS673" s="157"/>
      <c r="GT673" s="157"/>
      <c r="GU673" s="157"/>
      <c r="GV673" s="157"/>
      <c r="GW673" s="157"/>
      <c r="GX673" s="157"/>
      <c r="GY673" s="157"/>
      <c r="GZ673" s="157"/>
      <c r="HA673" s="157"/>
      <c r="HB673" s="155">
        <v>0.0</v>
      </c>
      <c r="HC673" s="155">
        <v>0.0</v>
      </c>
      <c r="HD673" s="155">
        <v>0.0</v>
      </c>
      <c r="HE673" s="155">
        <v>0.0</v>
      </c>
      <c r="HF673" s="155">
        <v>0.0</v>
      </c>
      <c r="HG673" s="155">
        <v>0.0</v>
      </c>
      <c r="IL673" s="159">
        <v>0.0</v>
      </c>
      <c r="IM673" s="156">
        <v>0.0</v>
      </c>
      <c r="IN673" s="156">
        <v>0.0</v>
      </c>
      <c r="IO673" s="156">
        <v>0.0</v>
      </c>
      <c r="IP673" s="156">
        <v>0.0</v>
      </c>
      <c r="IQ673" s="160">
        <v>0.0</v>
      </c>
      <c r="JH673" s="25"/>
      <c r="JW673" s="159">
        <v>0.0</v>
      </c>
      <c r="JX673" s="156">
        <v>0.0</v>
      </c>
      <c r="JY673" s="156">
        <v>0.0</v>
      </c>
      <c r="JZ673" s="156">
        <v>0.0</v>
      </c>
      <c r="KA673" s="156">
        <v>0.0</v>
      </c>
      <c r="KB673" s="160">
        <v>0.0</v>
      </c>
      <c r="KC673" s="174"/>
      <c r="KD673" s="174"/>
      <c r="KE673" s="174"/>
      <c r="KF673" s="174"/>
      <c r="KG673" s="174"/>
      <c r="KH673" s="174"/>
      <c r="KI673" s="174"/>
      <c r="KJ673" s="174"/>
      <c r="KK673" s="174"/>
      <c r="KL673" s="174"/>
      <c r="KM673" s="174"/>
      <c r="KN673" s="174"/>
      <c r="KO673" s="174"/>
      <c r="KP673" s="174"/>
      <c r="KQ673" s="174"/>
      <c r="KR673" s="174"/>
      <c r="KS673" s="472"/>
      <c r="KT673" s="174"/>
      <c r="KU673" s="174"/>
      <c r="KV673" s="174"/>
      <c r="KW673" s="174"/>
      <c r="KX673" s="174"/>
      <c r="KY673" s="174"/>
      <c r="KZ673" s="174"/>
      <c r="LA673" s="174"/>
      <c r="LB673" s="174"/>
      <c r="LC673" s="174"/>
      <c r="LD673" s="174"/>
      <c r="LE673" s="174"/>
      <c r="LF673" s="174"/>
      <c r="LG673" s="174"/>
      <c r="LH673" s="159">
        <f t="shared" si="10"/>
        <v>3</v>
      </c>
      <c r="LI673" s="156">
        <f t="shared" si="11"/>
        <v>0</v>
      </c>
      <c r="LJ673" s="156">
        <f t="shared" si="12"/>
        <v>0</v>
      </c>
      <c r="LK673" s="156">
        <f t="shared" si="13"/>
        <v>0</v>
      </c>
      <c r="LL673" s="156">
        <f t="shared" si="14"/>
        <v>0</v>
      </c>
      <c r="LM673" s="160">
        <f t="shared" si="15"/>
        <v>0</v>
      </c>
      <c r="LN673" s="174"/>
      <c r="LO673" s="174"/>
      <c r="LP673" s="174"/>
      <c r="LQ673" s="174"/>
      <c r="LR673" s="174"/>
      <c r="LS673" s="174"/>
      <c r="LT673" s="174"/>
      <c r="LU673" s="174"/>
      <c r="LV673" s="174"/>
      <c r="LW673" s="174">
        <f t="shared" ref="LW673:MQ673" si="78">IFS(TODAY()&lt;=LW$2,0,WEEKDAY(LW$2)=2,1,WEEKDAY(LW$2)=3,0,WEEKDAY(LW$2)=4,1,WEEKDAY(LW$2)=5,0,WEEKDAY(LW$2)=6,1,WEEKDAY(LW$2)=7,0,WEEKDAY(LW$2)=1,0)</f>
        <v>0</v>
      </c>
      <c r="LX673" s="174">
        <f t="shared" si="78"/>
        <v>1</v>
      </c>
      <c r="LY673" s="174">
        <f t="shared" si="78"/>
        <v>0</v>
      </c>
      <c r="LZ673" s="174">
        <f t="shared" si="78"/>
        <v>0</v>
      </c>
      <c r="MA673" s="174">
        <f t="shared" si="78"/>
        <v>1</v>
      </c>
      <c r="MB673" s="174">
        <f t="shared" si="78"/>
        <v>0</v>
      </c>
      <c r="MC673" s="174">
        <f t="shared" si="78"/>
        <v>1</v>
      </c>
      <c r="MD673" s="174">
        <f t="shared" si="78"/>
        <v>0</v>
      </c>
      <c r="ME673" s="174">
        <f t="shared" si="78"/>
        <v>0</v>
      </c>
      <c r="MF673" s="174">
        <f t="shared" si="78"/>
        <v>0</v>
      </c>
      <c r="MG673" s="174">
        <f t="shared" si="78"/>
        <v>0</v>
      </c>
      <c r="MH673" s="174">
        <f t="shared" si="78"/>
        <v>0</v>
      </c>
      <c r="MI673" s="174">
        <f t="shared" si="78"/>
        <v>0</v>
      </c>
      <c r="MJ673" s="174">
        <f t="shared" si="78"/>
        <v>0</v>
      </c>
      <c r="MK673" s="174">
        <f t="shared" si="78"/>
        <v>0</v>
      </c>
      <c r="ML673" s="174">
        <f t="shared" si="78"/>
        <v>0</v>
      </c>
      <c r="MM673" s="174">
        <f t="shared" si="78"/>
        <v>0</v>
      </c>
      <c r="MN673" s="174">
        <f t="shared" si="78"/>
        <v>0</v>
      </c>
      <c r="MO673" s="174">
        <f t="shared" si="78"/>
        <v>0</v>
      </c>
      <c r="MP673" s="174">
        <f t="shared" si="78"/>
        <v>0</v>
      </c>
      <c r="MQ673" s="174">
        <f t="shared" si="78"/>
        <v>0</v>
      </c>
      <c r="QX673" s="560">
        <v>46199.0</v>
      </c>
    </row>
    <row r="674">
      <c r="A674" s="12"/>
      <c r="B674" s="12"/>
      <c r="C674" s="12"/>
      <c r="D674" s="12"/>
      <c r="E674" s="12"/>
      <c r="F674" s="12"/>
      <c r="G674" s="12"/>
      <c r="H674" s="12"/>
      <c r="I674" s="143">
        <f t="shared" si="22"/>
        <v>-28</v>
      </c>
      <c r="J674" s="537">
        <v>46204.0</v>
      </c>
      <c r="K674" s="294" t="s">
        <v>48</v>
      </c>
      <c r="L674" s="543"/>
      <c r="M674" s="468" t="s">
        <v>3659</v>
      </c>
      <c r="N674" s="86">
        <v>246.0</v>
      </c>
      <c r="O674" s="86">
        <v>30.0</v>
      </c>
      <c r="U674" s="162" t="s">
        <v>3149</v>
      </c>
      <c r="V674" s="538" t="s">
        <v>1553</v>
      </c>
      <c r="W674" s="189" t="s">
        <v>3660</v>
      </c>
      <c r="X674" s="140"/>
      <c r="Y674" s="166">
        <f t="shared" si="23"/>
        <v>28</v>
      </c>
      <c r="Z674" s="26">
        <f t="shared" si="7"/>
        <v>0</v>
      </c>
      <c r="AA674" s="26">
        <f t="shared" si="8"/>
        <v>1</v>
      </c>
      <c r="AB674" s="26">
        <f t="shared" si="9"/>
        <v>0</v>
      </c>
      <c r="AC674" s="155">
        <v>0.0</v>
      </c>
      <c r="AD674" s="155">
        <v>0.0</v>
      </c>
      <c r="AE674" s="155">
        <v>0.0</v>
      </c>
      <c r="AF674" s="155">
        <v>0.0</v>
      </c>
      <c r="AG674" s="155">
        <v>0.0</v>
      </c>
      <c r="AH674" s="155">
        <v>0.0</v>
      </c>
      <c r="BN674" s="155">
        <v>0.0</v>
      </c>
      <c r="BO674" s="155">
        <v>0.0</v>
      </c>
      <c r="BP674" s="155">
        <v>0.0</v>
      </c>
      <c r="BQ674" s="155">
        <v>0.0</v>
      </c>
      <c r="BR674" s="155">
        <v>0.0</v>
      </c>
      <c r="BS674" s="155">
        <v>0.0</v>
      </c>
      <c r="CV674" s="156">
        <v>0.0</v>
      </c>
      <c r="CW674" s="156">
        <v>0.0</v>
      </c>
      <c r="CX674" s="156">
        <v>0.0</v>
      </c>
      <c r="CY674" s="156">
        <v>0.0</v>
      </c>
      <c r="CZ674" s="156">
        <v>0.0</v>
      </c>
      <c r="DA674" s="156">
        <v>0.0</v>
      </c>
      <c r="EG674" s="156">
        <v>0.0</v>
      </c>
      <c r="EH674" s="156">
        <v>0.0</v>
      </c>
      <c r="EI674" s="156">
        <v>0.0</v>
      </c>
      <c r="EJ674" s="156">
        <v>0.0</v>
      </c>
      <c r="EK674" s="156">
        <v>0.0</v>
      </c>
      <c r="EL674" s="156">
        <v>0.0</v>
      </c>
      <c r="FQ674" s="156">
        <v>0.0</v>
      </c>
      <c r="FR674" s="156">
        <v>0.0</v>
      </c>
      <c r="FS674" s="156">
        <v>0.0</v>
      </c>
      <c r="FT674" s="156">
        <v>0.0</v>
      </c>
      <c r="FU674" s="156">
        <v>0.0</v>
      </c>
      <c r="FV674" s="156">
        <v>0.0</v>
      </c>
      <c r="FW674" s="157"/>
      <c r="FX674" s="157"/>
      <c r="FY674" s="157"/>
      <c r="FZ674" s="157"/>
      <c r="GA674" s="157"/>
      <c r="GB674" s="157"/>
      <c r="GC674" s="157"/>
      <c r="GD674" s="157"/>
      <c r="GE674" s="157"/>
      <c r="GF674" s="157"/>
      <c r="GG674" s="157"/>
      <c r="GH674" s="157"/>
      <c r="GI674" s="157"/>
      <c r="GJ674" s="157"/>
      <c r="GK674" s="157"/>
      <c r="GL674" s="157"/>
      <c r="GM674" s="157"/>
      <c r="GN674" s="157"/>
      <c r="GO674" s="157"/>
      <c r="GP674" s="158"/>
      <c r="GQ674" s="157"/>
      <c r="GR674" s="157"/>
      <c r="GS674" s="157"/>
      <c r="GT674" s="157"/>
      <c r="GU674" s="157"/>
      <c r="GV674" s="157"/>
      <c r="GW674" s="157"/>
      <c r="GX674" s="157"/>
      <c r="GY674" s="157"/>
      <c r="GZ674" s="157"/>
      <c r="HA674" s="157"/>
      <c r="HB674" s="155">
        <v>0.0</v>
      </c>
      <c r="HC674" s="155">
        <v>0.0</v>
      </c>
      <c r="HD674" s="155">
        <v>0.0</v>
      </c>
      <c r="HE674" s="155">
        <v>0.0</v>
      </c>
      <c r="HF674" s="155">
        <v>0.0</v>
      </c>
      <c r="HG674" s="155">
        <v>0.0</v>
      </c>
      <c r="IL674" s="159">
        <v>13.0</v>
      </c>
      <c r="IM674" s="156">
        <v>0.0</v>
      </c>
      <c r="IN674" s="156">
        <v>0.0</v>
      </c>
      <c r="IO674" s="156">
        <v>0.0</v>
      </c>
      <c r="IP674" s="156">
        <v>0.0</v>
      </c>
      <c r="IQ674" s="160">
        <v>0.0</v>
      </c>
      <c r="IR674" s="174">
        <v>1.0</v>
      </c>
      <c r="IS674" s="174">
        <v>0.0</v>
      </c>
      <c r="IT674" s="174">
        <v>1.0</v>
      </c>
      <c r="IU674" s="174">
        <v>0.0</v>
      </c>
      <c r="IV674" s="174">
        <v>0.0</v>
      </c>
      <c r="IW674" s="174"/>
      <c r="IX674" s="174">
        <v>0.0</v>
      </c>
      <c r="IY674" s="174">
        <v>1.0</v>
      </c>
      <c r="IZ674" s="174">
        <v>0.0</v>
      </c>
      <c r="JA674" s="174">
        <v>1.0</v>
      </c>
      <c r="JB674" s="174">
        <v>0.0</v>
      </c>
      <c r="JC674" s="174">
        <v>0.0</v>
      </c>
      <c r="JD674" s="174">
        <v>1.0</v>
      </c>
      <c r="JE674" s="174">
        <v>0.0</v>
      </c>
      <c r="JF674" s="174">
        <v>1.0</v>
      </c>
      <c r="JG674" s="174">
        <v>0.0</v>
      </c>
      <c r="JH674" s="177">
        <v>1.0</v>
      </c>
      <c r="JI674" s="174"/>
      <c r="JJ674" s="174"/>
      <c r="JK674" s="174"/>
      <c r="JL674" s="174"/>
      <c r="JM674" s="175">
        <v>1.0</v>
      </c>
      <c r="JN674" s="174"/>
      <c r="JO674" s="175">
        <v>1.0</v>
      </c>
      <c r="JP674" s="175">
        <v>1.0</v>
      </c>
      <c r="JQ674" s="174"/>
      <c r="JR674" s="175">
        <v>1.0</v>
      </c>
      <c r="JS674" s="174"/>
      <c r="JT674" s="175">
        <v>1.0</v>
      </c>
      <c r="JU674" s="174"/>
      <c r="JV674" s="175">
        <v>1.0</v>
      </c>
      <c r="JW674" s="159">
        <v>9.0</v>
      </c>
      <c r="JX674" s="156">
        <v>0.0</v>
      </c>
      <c r="JY674" s="156">
        <v>0.0</v>
      </c>
      <c r="JZ674" s="156">
        <v>1.0</v>
      </c>
      <c r="KA674" s="156">
        <v>0.0</v>
      </c>
      <c r="KB674" s="160">
        <v>0.0</v>
      </c>
      <c r="KC674" s="174"/>
      <c r="KD674" s="174"/>
      <c r="KE674" s="174"/>
      <c r="KF674" s="174"/>
      <c r="KG674" s="175">
        <v>1.0</v>
      </c>
      <c r="KH674" s="174"/>
      <c r="KI674" s="175" t="s">
        <v>624</v>
      </c>
      <c r="KJ674" s="174"/>
      <c r="KK674" s="174"/>
      <c r="KL674" s="175">
        <v>1.0</v>
      </c>
      <c r="KM674" s="174"/>
      <c r="KN674" s="175">
        <v>1.0</v>
      </c>
      <c r="KO674" s="174"/>
      <c r="KP674" s="174"/>
      <c r="KQ674" s="174"/>
      <c r="KR674" s="174"/>
      <c r="KS674" s="472"/>
      <c r="KT674" s="174"/>
      <c r="KU674" s="175">
        <v>1.0</v>
      </c>
      <c r="KV674" s="175">
        <v>1.0</v>
      </c>
      <c r="KW674" s="175">
        <v>1.0</v>
      </c>
      <c r="KX674" s="174"/>
      <c r="KY674" s="174"/>
      <c r="KZ674" s="175">
        <v>1.0</v>
      </c>
      <c r="LA674" s="174"/>
      <c r="LB674" s="175">
        <v>1.0</v>
      </c>
      <c r="LC674" s="174"/>
      <c r="LD674" s="175"/>
      <c r="LE674" s="174"/>
      <c r="LF674" s="174"/>
      <c r="LG674" s="174"/>
      <c r="LH674" s="159">
        <f t="shared" si="10"/>
        <v>6</v>
      </c>
      <c r="LI674" s="156">
        <f t="shared" si="11"/>
        <v>0</v>
      </c>
      <c r="LJ674" s="156">
        <f t="shared" si="12"/>
        <v>0</v>
      </c>
      <c r="LK674" s="156">
        <f t="shared" si="13"/>
        <v>0</v>
      </c>
      <c r="LL674" s="156">
        <f t="shared" si="14"/>
        <v>0</v>
      </c>
      <c r="LM674" s="160">
        <f t="shared" si="15"/>
        <v>0</v>
      </c>
      <c r="LN674" s="174"/>
      <c r="LO674" s="174"/>
      <c r="LP674" s="174"/>
      <c r="LQ674" s="187">
        <v>1.0</v>
      </c>
      <c r="LR674" s="174"/>
      <c r="LS674" s="174"/>
      <c r="LT674" s="187">
        <v>1.0</v>
      </c>
      <c r="LU674" s="174"/>
      <c r="LV674" s="187">
        <v>1.0</v>
      </c>
      <c r="LW674" s="174">
        <f t="shared" ref="LW674:MQ674" si="79">IFS(TODAY()&lt;=LW$2,0,WEEKDAY(LW$2)=2,1,WEEKDAY(LW$2)=3,0,WEEKDAY(LW$2)=4,1,WEEKDAY(LW$2)=5,0,WEEKDAY(LW$2)=6,1,WEEKDAY(LW$2)=7,0,WEEKDAY(LW$2)=1,0)</f>
        <v>0</v>
      </c>
      <c r="LX674" s="174">
        <f t="shared" si="79"/>
        <v>1</v>
      </c>
      <c r="LY674" s="174">
        <f t="shared" si="79"/>
        <v>0</v>
      </c>
      <c r="LZ674" s="174">
        <f t="shared" si="79"/>
        <v>0</v>
      </c>
      <c r="MA674" s="174">
        <f t="shared" si="79"/>
        <v>1</v>
      </c>
      <c r="MB674" s="174">
        <f t="shared" si="79"/>
        <v>0</v>
      </c>
      <c r="MC674" s="174">
        <f t="shared" si="79"/>
        <v>1</v>
      </c>
      <c r="MD674" s="174">
        <f t="shared" si="79"/>
        <v>0</v>
      </c>
      <c r="ME674" s="174">
        <f t="shared" si="79"/>
        <v>0</v>
      </c>
      <c r="MF674" s="174">
        <f t="shared" si="79"/>
        <v>0</v>
      </c>
      <c r="MG674" s="174">
        <f t="shared" si="79"/>
        <v>0</v>
      </c>
      <c r="MH674" s="174">
        <f t="shared" si="79"/>
        <v>0</v>
      </c>
      <c r="MI674" s="174">
        <f t="shared" si="79"/>
        <v>0</v>
      </c>
      <c r="MJ674" s="174">
        <f t="shared" si="79"/>
        <v>0</v>
      </c>
      <c r="MK674" s="174">
        <f t="shared" si="79"/>
        <v>0</v>
      </c>
      <c r="ML674" s="174">
        <f t="shared" si="79"/>
        <v>0</v>
      </c>
      <c r="MM674" s="174">
        <f t="shared" si="79"/>
        <v>0</v>
      </c>
      <c r="MN674" s="174">
        <f t="shared" si="79"/>
        <v>0</v>
      </c>
      <c r="MO674" s="174">
        <f t="shared" si="79"/>
        <v>0</v>
      </c>
      <c r="MP674" s="174">
        <f t="shared" si="79"/>
        <v>0</v>
      </c>
      <c r="MQ674" s="174">
        <f t="shared" si="79"/>
        <v>0</v>
      </c>
      <c r="QX674" s="560">
        <v>46203.0</v>
      </c>
    </row>
    <row r="675">
      <c r="A675" s="12"/>
      <c r="B675" s="12"/>
      <c r="C675" s="12"/>
      <c r="D675" s="12"/>
      <c r="E675" s="12"/>
      <c r="F675" s="12"/>
      <c r="G675" s="12"/>
      <c r="H675" s="12"/>
      <c r="I675" s="143">
        <f t="shared" si="22"/>
        <v>-14</v>
      </c>
      <c r="J675" s="537">
        <v>46210.0</v>
      </c>
      <c r="K675" s="164" t="s">
        <v>53</v>
      </c>
      <c r="L675" s="537">
        <v>46258.0</v>
      </c>
      <c r="M675" s="162" t="s">
        <v>107</v>
      </c>
      <c r="N675" s="188">
        <v>357.0</v>
      </c>
      <c r="O675" s="86">
        <v>30.0</v>
      </c>
      <c r="U675" s="162" t="s">
        <v>1092</v>
      </c>
      <c r="V675" s="538" t="s">
        <v>1093</v>
      </c>
      <c r="W675" s="185" t="s">
        <v>3661</v>
      </c>
      <c r="X675" s="140"/>
      <c r="Y675" s="166">
        <f t="shared" si="23"/>
        <v>14</v>
      </c>
      <c r="Z675" s="26">
        <f t="shared" si="7"/>
        <v>0</v>
      </c>
      <c r="AA675" s="26">
        <f t="shared" si="8"/>
        <v>0</v>
      </c>
      <c r="AB675" s="26">
        <f t="shared" si="9"/>
        <v>0</v>
      </c>
      <c r="AC675" s="155">
        <v>0.0</v>
      </c>
      <c r="AD675" s="155">
        <v>0.0</v>
      </c>
      <c r="AE675" s="155">
        <v>0.0</v>
      </c>
      <c r="AF675" s="155">
        <v>0.0</v>
      </c>
      <c r="AG675" s="155">
        <v>0.0</v>
      </c>
      <c r="AH675" s="155">
        <v>0.0</v>
      </c>
      <c r="BN675" s="155">
        <v>0.0</v>
      </c>
      <c r="BO675" s="155">
        <v>0.0</v>
      </c>
      <c r="BP675" s="155">
        <v>0.0</v>
      </c>
      <c r="BQ675" s="155">
        <v>0.0</v>
      </c>
      <c r="BR675" s="155">
        <v>0.0</v>
      </c>
      <c r="BS675" s="155">
        <v>0.0</v>
      </c>
      <c r="CV675" s="156">
        <v>0.0</v>
      </c>
      <c r="CW675" s="156">
        <v>0.0</v>
      </c>
      <c r="CX675" s="156">
        <v>0.0</v>
      </c>
      <c r="CY675" s="156">
        <v>0.0</v>
      </c>
      <c r="CZ675" s="156">
        <v>0.0</v>
      </c>
      <c r="DA675" s="156">
        <v>0.0</v>
      </c>
      <c r="EG675" s="156">
        <v>0.0</v>
      </c>
      <c r="EH675" s="156">
        <v>0.0</v>
      </c>
      <c r="EI675" s="156">
        <v>0.0</v>
      </c>
      <c r="EJ675" s="156">
        <v>0.0</v>
      </c>
      <c r="EK675" s="156">
        <v>0.0</v>
      </c>
      <c r="EL675" s="156">
        <v>0.0</v>
      </c>
      <c r="FQ675" s="156">
        <v>0.0</v>
      </c>
      <c r="FR675" s="156">
        <v>0.0</v>
      </c>
      <c r="FS675" s="156">
        <v>0.0</v>
      </c>
      <c r="FT675" s="156">
        <v>0.0</v>
      </c>
      <c r="FU675" s="156">
        <v>0.0</v>
      </c>
      <c r="FV675" s="156">
        <v>0.0</v>
      </c>
      <c r="FW675" s="157"/>
      <c r="FX675" s="157"/>
      <c r="FY675" s="157"/>
      <c r="FZ675" s="157"/>
      <c r="GA675" s="157"/>
      <c r="GB675" s="157"/>
      <c r="GC675" s="157"/>
      <c r="GD675" s="157"/>
      <c r="GE675" s="157"/>
      <c r="GF675" s="157"/>
      <c r="GG675" s="157"/>
      <c r="GH675" s="157"/>
      <c r="GI675" s="157"/>
      <c r="GJ675" s="157"/>
      <c r="GK675" s="157"/>
      <c r="GL675" s="157"/>
      <c r="GM675" s="157"/>
      <c r="GN675" s="157"/>
      <c r="GO675" s="157"/>
      <c r="GP675" s="158"/>
      <c r="GQ675" s="157"/>
      <c r="GR675" s="157"/>
      <c r="GS675" s="157"/>
      <c r="GT675" s="157"/>
      <c r="GU675" s="157"/>
      <c r="GV675" s="157"/>
      <c r="GW675" s="157"/>
      <c r="GX675" s="157"/>
      <c r="GY675" s="157"/>
      <c r="GZ675" s="157"/>
      <c r="HA675" s="157"/>
      <c r="HB675" s="155">
        <v>0.0</v>
      </c>
      <c r="HC675" s="155">
        <v>0.0</v>
      </c>
      <c r="HD675" s="155">
        <v>0.0</v>
      </c>
      <c r="HE675" s="155">
        <v>0.0</v>
      </c>
      <c r="HF675" s="155">
        <v>0.0</v>
      </c>
      <c r="HG675" s="155">
        <v>0.0</v>
      </c>
      <c r="IL675" s="159">
        <v>9.0</v>
      </c>
      <c r="IM675" s="156">
        <v>0.0</v>
      </c>
      <c r="IN675" s="156">
        <v>0.0</v>
      </c>
      <c r="IO675" s="156">
        <v>0.0</v>
      </c>
      <c r="IP675" s="156">
        <v>0.0</v>
      </c>
      <c r="IQ675" s="160">
        <v>0.0</v>
      </c>
      <c r="IX675" s="86">
        <v>1.0</v>
      </c>
      <c r="IZ675" s="86">
        <v>1.0</v>
      </c>
      <c r="JB675" s="86">
        <v>1.0</v>
      </c>
      <c r="JE675" s="86">
        <v>1.0</v>
      </c>
      <c r="JG675" s="86">
        <v>1.0</v>
      </c>
      <c r="JH675" s="25"/>
      <c r="JI675" s="86">
        <v>1.0</v>
      </c>
      <c r="JL675" s="86">
        <v>1.0</v>
      </c>
      <c r="JS675" s="86">
        <v>1.0</v>
      </c>
      <c r="JV675" s="86">
        <v>1.0</v>
      </c>
      <c r="JW675" s="159">
        <v>5.0</v>
      </c>
      <c r="JX675" s="156">
        <v>0.0</v>
      </c>
      <c r="JY675" s="156">
        <v>0.0</v>
      </c>
      <c r="JZ675" s="156">
        <v>0.0</v>
      </c>
      <c r="KA675" s="156">
        <v>0.0</v>
      </c>
      <c r="KB675" s="160">
        <v>0.0</v>
      </c>
      <c r="KC675" s="172"/>
      <c r="KD675" s="172">
        <v>1.0</v>
      </c>
      <c r="KE675" s="172"/>
      <c r="KF675" s="172">
        <v>1.0</v>
      </c>
      <c r="KG675" s="172"/>
      <c r="KH675" s="172"/>
      <c r="KI675" s="172"/>
      <c r="KJ675" s="172">
        <v>1.0</v>
      </c>
      <c r="KK675" s="172"/>
      <c r="KL675" s="172"/>
      <c r="KM675" s="172"/>
      <c r="KN675" s="172"/>
      <c r="KO675" s="172">
        <v>1.0</v>
      </c>
      <c r="KP675" s="172"/>
      <c r="KQ675" s="172"/>
      <c r="KR675" s="172"/>
      <c r="KS675" s="432"/>
      <c r="KT675" s="172"/>
      <c r="KU675" s="172"/>
      <c r="KV675" s="172"/>
      <c r="KW675" s="172"/>
      <c r="KX675" s="172">
        <v>1.0</v>
      </c>
      <c r="KY675" s="172"/>
      <c r="KZ675" s="172"/>
      <c r="LA675" s="172"/>
      <c r="LB675" s="172"/>
      <c r="LC675" s="172"/>
      <c r="LD675" s="172"/>
      <c r="LE675" s="172"/>
      <c r="LF675" s="172"/>
      <c r="LG675" s="172"/>
      <c r="LH675" s="159">
        <f t="shared" si="10"/>
        <v>0</v>
      </c>
      <c r="LI675" s="156">
        <f t="shared" si="11"/>
        <v>0</v>
      </c>
      <c r="LJ675" s="156">
        <f t="shared" si="12"/>
        <v>0</v>
      </c>
      <c r="LK675" s="156">
        <f t="shared" si="13"/>
        <v>0</v>
      </c>
      <c r="LL675" s="156">
        <f t="shared" si="14"/>
        <v>0</v>
      </c>
      <c r="LM675" s="160">
        <f t="shared" si="15"/>
        <v>0</v>
      </c>
      <c r="QX675" s="560">
        <v>46203.0</v>
      </c>
    </row>
    <row r="676">
      <c r="A676" s="12"/>
      <c r="B676" s="12"/>
      <c r="C676" s="12"/>
      <c r="D676" s="12"/>
      <c r="E676" s="12"/>
      <c r="F676" s="12"/>
      <c r="G676" s="12"/>
      <c r="H676" s="12"/>
      <c r="I676" s="143">
        <f t="shared" si="22"/>
        <v>-14</v>
      </c>
      <c r="J676" s="537">
        <v>46206.0</v>
      </c>
      <c r="K676" s="294" t="s">
        <v>53</v>
      </c>
      <c r="L676" s="23">
        <v>46272.0</v>
      </c>
      <c r="M676" s="86" t="s">
        <v>3662</v>
      </c>
      <c r="N676" s="86">
        <v>246.0</v>
      </c>
      <c r="O676" s="86">
        <v>30.0</v>
      </c>
      <c r="U676" s="162" t="s">
        <v>3523</v>
      </c>
      <c r="V676" s="538" t="s">
        <v>3384</v>
      </c>
      <c r="W676" s="125" t="s">
        <v>3663</v>
      </c>
      <c r="X676" s="140"/>
      <c r="Y676" s="166">
        <f t="shared" si="23"/>
        <v>14</v>
      </c>
      <c r="Z676" s="26">
        <f t="shared" si="7"/>
        <v>0</v>
      </c>
      <c r="AA676" s="26">
        <f t="shared" si="8"/>
        <v>0</v>
      </c>
      <c r="AB676" s="26">
        <f t="shared" si="9"/>
        <v>0</v>
      </c>
      <c r="AC676" s="155">
        <v>0.0</v>
      </c>
      <c r="AD676" s="155">
        <v>0.0</v>
      </c>
      <c r="AE676" s="155">
        <v>0.0</v>
      </c>
      <c r="AF676" s="155">
        <v>0.0</v>
      </c>
      <c r="AG676" s="155">
        <v>0.0</v>
      </c>
      <c r="AH676" s="155">
        <v>0.0</v>
      </c>
      <c r="BN676" s="155">
        <v>0.0</v>
      </c>
      <c r="BO676" s="155">
        <v>0.0</v>
      </c>
      <c r="BP676" s="155">
        <v>0.0</v>
      </c>
      <c r="BQ676" s="155">
        <v>0.0</v>
      </c>
      <c r="BR676" s="155">
        <v>0.0</v>
      </c>
      <c r="BS676" s="155">
        <v>0.0</v>
      </c>
      <c r="CV676" s="156">
        <v>0.0</v>
      </c>
      <c r="CW676" s="156">
        <v>0.0</v>
      </c>
      <c r="CX676" s="156">
        <v>0.0</v>
      </c>
      <c r="CY676" s="156">
        <v>0.0</v>
      </c>
      <c r="CZ676" s="156">
        <v>0.0</v>
      </c>
      <c r="DA676" s="156">
        <v>0.0</v>
      </c>
      <c r="EG676" s="156">
        <v>0.0</v>
      </c>
      <c r="EH676" s="156">
        <v>0.0</v>
      </c>
      <c r="EI676" s="156">
        <v>0.0</v>
      </c>
      <c r="EJ676" s="156">
        <v>0.0</v>
      </c>
      <c r="EK676" s="156">
        <v>0.0</v>
      </c>
      <c r="EL676" s="156">
        <v>0.0</v>
      </c>
      <c r="FQ676" s="156">
        <v>0.0</v>
      </c>
      <c r="FR676" s="156">
        <v>0.0</v>
      </c>
      <c r="FS676" s="156">
        <v>0.0</v>
      </c>
      <c r="FT676" s="156">
        <v>0.0</v>
      </c>
      <c r="FU676" s="156">
        <v>0.0</v>
      </c>
      <c r="FV676" s="156">
        <v>0.0</v>
      </c>
      <c r="FW676" s="157"/>
      <c r="FX676" s="157"/>
      <c r="FY676" s="157"/>
      <c r="FZ676" s="157"/>
      <c r="GA676" s="157"/>
      <c r="GB676" s="157"/>
      <c r="GC676" s="157"/>
      <c r="GD676" s="157"/>
      <c r="GE676" s="157"/>
      <c r="GF676" s="157"/>
      <c r="GG676" s="157"/>
      <c r="GH676" s="157"/>
      <c r="GI676" s="157"/>
      <c r="GJ676" s="157"/>
      <c r="GK676" s="157"/>
      <c r="GL676" s="157"/>
      <c r="GM676" s="157"/>
      <c r="GN676" s="157"/>
      <c r="GO676" s="157"/>
      <c r="GP676" s="158"/>
      <c r="GQ676" s="157"/>
      <c r="GR676" s="157"/>
      <c r="GS676" s="157"/>
      <c r="GT676" s="157"/>
      <c r="GU676" s="157"/>
      <c r="GV676" s="157"/>
      <c r="GW676" s="157"/>
      <c r="GX676" s="157"/>
      <c r="GY676" s="157"/>
      <c r="GZ676" s="157"/>
      <c r="HA676" s="157"/>
      <c r="HB676" s="155">
        <v>0.0</v>
      </c>
      <c r="HC676" s="155">
        <v>0.0</v>
      </c>
      <c r="HD676" s="155">
        <v>0.0</v>
      </c>
      <c r="HE676" s="155">
        <v>0.0</v>
      </c>
      <c r="HF676" s="155">
        <v>0.0</v>
      </c>
      <c r="HG676" s="155">
        <v>0.0</v>
      </c>
      <c r="IL676" s="159">
        <v>7.0</v>
      </c>
      <c r="IM676" s="156">
        <v>0.0</v>
      </c>
      <c r="IN676" s="156">
        <v>0.0</v>
      </c>
      <c r="IO676" s="156">
        <v>0.0</v>
      </c>
      <c r="IP676" s="156">
        <v>0.0</v>
      </c>
      <c r="IQ676" s="160">
        <v>0.0</v>
      </c>
      <c r="IR676" s="174"/>
      <c r="IS676" s="174"/>
      <c r="IT676" s="174">
        <v>1.0</v>
      </c>
      <c r="IU676" s="174"/>
      <c r="IV676" s="174"/>
      <c r="IW676" s="174"/>
      <c r="IX676" s="174"/>
      <c r="IY676" s="174"/>
      <c r="IZ676" s="174"/>
      <c r="JA676" s="174"/>
      <c r="JB676" s="174"/>
      <c r="JC676" s="174"/>
      <c r="JD676" s="174"/>
      <c r="JE676" s="174"/>
      <c r="JF676" s="174"/>
      <c r="JG676" s="174"/>
      <c r="JH676" s="177"/>
      <c r="JI676" s="174"/>
      <c r="JJ676" s="174"/>
      <c r="JK676" s="175">
        <v>1.0</v>
      </c>
      <c r="JL676" s="174"/>
      <c r="JM676" s="175">
        <v>1.0</v>
      </c>
      <c r="JN676" s="174"/>
      <c r="JO676" s="175">
        <v>1.0</v>
      </c>
      <c r="JP676" s="174"/>
      <c r="JQ676" s="174"/>
      <c r="JR676" s="175">
        <v>1.0</v>
      </c>
      <c r="JS676" s="174"/>
      <c r="JT676" s="175">
        <v>1.0</v>
      </c>
      <c r="JU676" s="174"/>
      <c r="JV676" s="175">
        <v>1.0</v>
      </c>
      <c r="JW676" s="159">
        <v>7.0</v>
      </c>
      <c r="JX676" s="156">
        <v>0.0</v>
      </c>
      <c r="JY676" s="156">
        <v>0.0</v>
      </c>
      <c r="JZ676" s="156">
        <v>0.0</v>
      </c>
      <c r="KA676" s="156">
        <v>0.0</v>
      </c>
      <c r="KB676" s="160">
        <v>0.0</v>
      </c>
      <c r="KC676" s="174"/>
      <c r="KD676" s="174"/>
      <c r="KE676" s="174"/>
      <c r="KF676" s="174"/>
      <c r="KG676" s="175">
        <v>1.0</v>
      </c>
      <c r="KH676" s="174"/>
      <c r="KI676" s="174"/>
      <c r="KJ676" s="174"/>
      <c r="KK676" s="174"/>
      <c r="KL676" s="174"/>
      <c r="KM676" s="174"/>
      <c r="KN676" s="175">
        <v>1.0</v>
      </c>
      <c r="KO676" s="174"/>
      <c r="KP676" s="174"/>
      <c r="KQ676" s="174"/>
      <c r="KR676" s="174"/>
      <c r="KS676" s="472"/>
      <c r="KT676" s="174"/>
      <c r="KU676" s="175">
        <v>1.0</v>
      </c>
      <c r="KV676" s="174"/>
      <c r="KW676" s="175">
        <v>1.0</v>
      </c>
      <c r="KX676" s="174"/>
      <c r="KY676" s="174"/>
      <c r="KZ676" s="175">
        <v>1.0</v>
      </c>
      <c r="LA676" s="174"/>
      <c r="LB676" s="175">
        <v>1.0</v>
      </c>
      <c r="LC676" s="174"/>
      <c r="LD676" s="175">
        <v>1.0</v>
      </c>
      <c r="LE676" s="174"/>
      <c r="LF676" s="174"/>
      <c r="LG676" s="174"/>
      <c r="LH676" s="159">
        <f t="shared" si="10"/>
        <v>0</v>
      </c>
      <c r="LI676" s="156">
        <f t="shared" si="11"/>
        <v>0</v>
      </c>
      <c r="LJ676" s="156">
        <f t="shared" si="12"/>
        <v>0</v>
      </c>
      <c r="LK676" s="156">
        <f t="shared" si="13"/>
        <v>0</v>
      </c>
      <c r="LL676" s="156">
        <f t="shared" si="14"/>
        <v>0</v>
      </c>
      <c r="LM676" s="160">
        <f t="shared" si="15"/>
        <v>0</v>
      </c>
      <c r="QX676" s="560">
        <v>46204.0</v>
      </c>
    </row>
    <row r="677">
      <c r="A677" s="12"/>
      <c r="B677" s="12"/>
      <c r="C677" s="12"/>
      <c r="D677" s="12"/>
      <c r="E677" s="12"/>
      <c r="F677" s="12"/>
      <c r="G677" s="12"/>
      <c r="H677" s="12"/>
      <c r="I677" s="143">
        <f t="shared" si="22"/>
        <v>-3</v>
      </c>
      <c r="J677" s="606">
        <v>46237.0</v>
      </c>
      <c r="K677" s="529" t="s">
        <v>48</v>
      </c>
      <c r="L677" s="595"/>
      <c r="M677" s="596" t="s">
        <v>107</v>
      </c>
      <c r="N677" s="597">
        <v>246.0</v>
      </c>
      <c r="O677" s="596">
        <v>60.0</v>
      </c>
      <c r="P677" s="598"/>
      <c r="Q677" s="598"/>
      <c r="R677" s="598"/>
      <c r="S677" s="598"/>
      <c r="T677" s="598"/>
      <c r="U677" s="596" t="s">
        <v>3493</v>
      </c>
      <c r="V677" s="621" t="s">
        <v>3494</v>
      </c>
      <c r="W677" s="600" t="s">
        <v>3658</v>
      </c>
      <c r="X677" s="140"/>
      <c r="Y677" s="166">
        <f t="shared" si="23"/>
        <v>3</v>
      </c>
      <c r="Z677" s="26">
        <f t="shared" si="7"/>
        <v>0</v>
      </c>
      <c r="AA677" s="26">
        <f t="shared" si="8"/>
        <v>0</v>
      </c>
      <c r="AB677" s="26">
        <f t="shared" si="9"/>
        <v>0</v>
      </c>
      <c r="AC677" s="155">
        <v>0.0</v>
      </c>
      <c r="AD677" s="155">
        <v>0.0</v>
      </c>
      <c r="AE677" s="155">
        <v>0.0</v>
      </c>
      <c r="AF677" s="155">
        <v>0.0</v>
      </c>
      <c r="AG677" s="155">
        <v>0.0</v>
      </c>
      <c r="AH677" s="155">
        <v>0.0</v>
      </c>
      <c r="BN677" s="155">
        <v>0.0</v>
      </c>
      <c r="BO677" s="155">
        <v>0.0</v>
      </c>
      <c r="BP677" s="155">
        <v>0.0</v>
      </c>
      <c r="BQ677" s="155">
        <v>0.0</v>
      </c>
      <c r="BR677" s="155">
        <v>0.0</v>
      </c>
      <c r="BS677" s="155">
        <v>0.0</v>
      </c>
      <c r="CV677" s="156">
        <v>0.0</v>
      </c>
      <c r="CW677" s="156">
        <v>0.0</v>
      </c>
      <c r="CX677" s="156">
        <v>0.0</v>
      </c>
      <c r="CY677" s="156">
        <v>0.0</v>
      </c>
      <c r="CZ677" s="156">
        <v>0.0</v>
      </c>
      <c r="DA677" s="156">
        <v>0.0</v>
      </c>
      <c r="EG677" s="156">
        <v>0.0</v>
      </c>
      <c r="EH677" s="156">
        <v>0.0</v>
      </c>
      <c r="EI677" s="156">
        <v>0.0</v>
      </c>
      <c r="EJ677" s="156">
        <v>0.0</v>
      </c>
      <c r="EK677" s="156">
        <v>0.0</v>
      </c>
      <c r="EL677" s="156">
        <v>0.0</v>
      </c>
      <c r="FQ677" s="156">
        <v>0.0</v>
      </c>
      <c r="FR677" s="156">
        <v>0.0</v>
      </c>
      <c r="FS677" s="156">
        <v>0.0</v>
      </c>
      <c r="FT677" s="156">
        <v>0.0</v>
      </c>
      <c r="FU677" s="156">
        <v>0.0</v>
      </c>
      <c r="FV677" s="156">
        <v>0.0</v>
      </c>
      <c r="FW677" s="157"/>
      <c r="FX677" s="157"/>
      <c r="FY677" s="157"/>
      <c r="FZ677" s="157"/>
      <c r="GA677" s="157"/>
      <c r="GB677" s="157"/>
      <c r="GC677" s="157"/>
      <c r="GD677" s="157"/>
      <c r="GE677" s="157"/>
      <c r="GF677" s="157"/>
      <c r="GG677" s="157"/>
      <c r="GH677" s="157"/>
      <c r="GI677" s="157"/>
      <c r="GJ677" s="157"/>
      <c r="GK677" s="157"/>
      <c r="GL677" s="157"/>
      <c r="GM677" s="157"/>
      <c r="GN677" s="157"/>
      <c r="GO677" s="157"/>
      <c r="GP677" s="158"/>
      <c r="GQ677" s="157"/>
      <c r="GR677" s="157"/>
      <c r="GS677" s="157"/>
      <c r="GT677" s="157"/>
      <c r="GU677" s="157"/>
      <c r="GV677" s="157"/>
      <c r="GW677" s="157"/>
      <c r="GX677" s="157"/>
      <c r="GY677" s="157"/>
      <c r="GZ677" s="157"/>
      <c r="HA677" s="157"/>
      <c r="HB677" s="155">
        <v>0.0</v>
      </c>
      <c r="HC677" s="155">
        <v>0.0</v>
      </c>
      <c r="HD677" s="155">
        <v>0.0</v>
      </c>
      <c r="HE677" s="155">
        <v>0.0</v>
      </c>
      <c r="HF677" s="155">
        <v>0.0</v>
      </c>
      <c r="HG677" s="155">
        <v>0.0</v>
      </c>
      <c r="IL677" s="159">
        <v>0.0</v>
      </c>
      <c r="IM677" s="156">
        <v>0.0</v>
      </c>
      <c r="IN677" s="156">
        <v>0.0</v>
      </c>
      <c r="IO677" s="156">
        <v>0.0</v>
      </c>
      <c r="IP677" s="156">
        <v>0.0</v>
      </c>
      <c r="IQ677" s="160">
        <v>0.0</v>
      </c>
      <c r="JH677" s="25"/>
      <c r="JW677" s="159">
        <v>0.0</v>
      </c>
      <c r="JX677" s="156">
        <v>0.0</v>
      </c>
      <c r="JY677" s="156">
        <v>0.0</v>
      </c>
      <c r="JZ677" s="156">
        <v>0.0</v>
      </c>
      <c r="KA677" s="156">
        <v>0.0</v>
      </c>
      <c r="KB677" s="160">
        <v>0.0</v>
      </c>
      <c r="KC677" s="174"/>
      <c r="KD677" s="174"/>
      <c r="KE677" s="174"/>
      <c r="KF677" s="174"/>
      <c r="KG677" s="174"/>
      <c r="KH677" s="174"/>
      <c r="KI677" s="174"/>
      <c r="KJ677" s="174"/>
      <c r="KK677" s="174"/>
      <c r="KL677" s="174"/>
      <c r="KM677" s="174"/>
      <c r="KN677" s="174"/>
      <c r="KO677" s="174"/>
      <c r="KP677" s="174"/>
      <c r="KQ677" s="174"/>
      <c r="KR677" s="174"/>
      <c r="KS677" s="472"/>
      <c r="KT677" s="174"/>
      <c r="KU677" s="174"/>
      <c r="KV677" s="174"/>
      <c r="KW677" s="174"/>
      <c r="KX677" s="174"/>
      <c r="KY677" s="174"/>
      <c r="KZ677" s="174"/>
      <c r="LA677" s="174"/>
      <c r="LB677" s="174"/>
      <c r="LC677" s="174"/>
      <c r="LD677" s="174"/>
      <c r="LE677" s="174"/>
      <c r="LF677" s="174"/>
      <c r="LG677" s="174"/>
      <c r="LH677" s="159">
        <f t="shared" si="10"/>
        <v>3</v>
      </c>
      <c r="LI677" s="156">
        <f t="shared" si="11"/>
        <v>0</v>
      </c>
      <c r="LJ677" s="156">
        <f t="shared" si="12"/>
        <v>0</v>
      </c>
      <c r="LK677" s="156">
        <f t="shared" si="13"/>
        <v>0</v>
      </c>
      <c r="LL677" s="156">
        <f t="shared" si="14"/>
        <v>0</v>
      </c>
      <c r="LM677" s="160">
        <f t="shared" si="15"/>
        <v>0</v>
      </c>
      <c r="LN677" s="174"/>
      <c r="LO677" s="174"/>
      <c r="LP677" s="174"/>
      <c r="LQ677" s="174"/>
      <c r="LR677" s="174"/>
      <c r="LS677" s="174"/>
      <c r="LT677" s="174"/>
      <c r="LU677" s="174"/>
      <c r="LV677" s="174"/>
      <c r="LW677" s="174">
        <f t="shared" ref="LW677:MQ677" si="80">IFS(TODAY()&lt;=LW$2,0,WEEKDAY(LW$2)=2,1,WEEKDAY(LW$2)=3,0,WEEKDAY(LW$2)=4,1,WEEKDAY(LW$2)=5,0,WEEKDAY(LW$2)=6,1,WEEKDAY(LW$2)=7,0,WEEKDAY(LW$2)=1,0)</f>
        <v>0</v>
      </c>
      <c r="LX677" s="174">
        <f t="shared" si="80"/>
        <v>1</v>
      </c>
      <c r="LY677" s="174">
        <f t="shared" si="80"/>
        <v>0</v>
      </c>
      <c r="LZ677" s="174">
        <f t="shared" si="80"/>
        <v>0</v>
      </c>
      <c r="MA677" s="174">
        <f t="shared" si="80"/>
        <v>1</v>
      </c>
      <c r="MB677" s="174">
        <f t="shared" si="80"/>
        <v>0</v>
      </c>
      <c r="MC677" s="174">
        <f t="shared" si="80"/>
        <v>1</v>
      </c>
      <c r="MD677" s="174">
        <f t="shared" si="80"/>
        <v>0</v>
      </c>
      <c r="ME677" s="174">
        <f t="shared" si="80"/>
        <v>0</v>
      </c>
      <c r="MF677" s="174">
        <f t="shared" si="80"/>
        <v>0</v>
      </c>
      <c r="MG677" s="174">
        <f t="shared" si="80"/>
        <v>0</v>
      </c>
      <c r="MH677" s="174">
        <f t="shared" si="80"/>
        <v>0</v>
      </c>
      <c r="MI677" s="174">
        <f t="shared" si="80"/>
        <v>0</v>
      </c>
      <c r="MJ677" s="174">
        <f t="shared" si="80"/>
        <v>0</v>
      </c>
      <c r="MK677" s="174">
        <f t="shared" si="80"/>
        <v>0</v>
      </c>
      <c r="ML677" s="174">
        <f t="shared" si="80"/>
        <v>0</v>
      </c>
      <c r="MM677" s="174">
        <f t="shared" si="80"/>
        <v>0</v>
      </c>
      <c r="MN677" s="174">
        <f t="shared" si="80"/>
        <v>0</v>
      </c>
      <c r="MO677" s="174">
        <f t="shared" si="80"/>
        <v>0</v>
      </c>
      <c r="MP677" s="174">
        <f t="shared" si="80"/>
        <v>0</v>
      </c>
      <c r="MQ677" s="174">
        <f t="shared" si="80"/>
        <v>0</v>
      </c>
      <c r="QX677" s="560">
        <v>46204.0</v>
      </c>
    </row>
    <row r="678">
      <c r="A678" s="12"/>
      <c r="B678" s="12"/>
      <c r="C678" s="12"/>
      <c r="D678" s="12"/>
      <c r="E678" s="12"/>
      <c r="F678" s="12"/>
      <c r="G678" s="12"/>
      <c r="H678" s="12"/>
      <c r="I678" s="143">
        <f t="shared" si="22"/>
        <v>-19</v>
      </c>
      <c r="J678" s="537">
        <v>46211.0</v>
      </c>
      <c r="K678" s="294" t="s">
        <v>53</v>
      </c>
      <c r="L678" s="23">
        <v>46276.0</v>
      </c>
      <c r="M678" s="86" t="s">
        <v>1157</v>
      </c>
      <c r="N678" s="188" t="s">
        <v>3304</v>
      </c>
      <c r="O678" s="86">
        <v>30.0</v>
      </c>
      <c r="U678" s="162" t="s">
        <v>1671</v>
      </c>
      <c r="V678" s="538" t="s">
        <v>1108</v>
      </c>
      <c r="W678" s="125" t="s">
        <v>3664</v>
      </c>
      <c r="X678" s="140"/>
      <c r="Y678" s="166">
        <f t="shared" si="23"/>
        <v>19</v>
      </c>
      <c r="Z678" s="26">
        <f t="shared" si="7"/>
        <v>0</v>
      </c>
      <c r="AA678" s="26">
        <f t="shared" si="8"/>
        <v>2</v>
      </c>
      <c r="AB678" s="26">
        <f t="shared" si="9"/>
        <v>0</v>
      </c>
      <c r="AC678" s="155">
        <v>0.0</v>
      </c>
      <c r="AD678" s="155">
        <v>0.0</v>
      </c>
      <c r="AE678" s="155">
        <v>0.0</v>
      </c>
      <c r="AF678" s="155">
        <v>0.0</v>
      </c>
      <c r="AG678" s="155">
        <v>0.0</v>
      </c>
      <c r="AH678" s="155">
        <v>0.0</v>
      </c>
      <c r="BN678" s="155">
        <v>0.0</v>
      </c>
      <c r="BO678" s="155">
        <v>0.0</v>
      </c>
      <c r="BP678" s="155">
        <v>0.0</v>
      </c>
      <c r="BQ678" s="155">
        <v>0.0</v>
      </c>
      <c r="BR678" s="155">
        <v>0.0</v>
      </c>
      <c r="BS678" s="155">
        <v>0.0</v>
      </c>
      <c r="CV678" s="156">
        <v>0.0</v>
      </c>
      <c r="CW678" s="156">
        <v>0.0</v>
      </c>
      <c r="CX678" s="156">
        <v>0.0</v>
      </c>
      <c r="CY678" s="156">
        <v>0.0</v>
      </c>
      <c r="CZ678" s="156">
        <v>0.0</v>
      </c>
      <c r="DA678" s="156">
        <v>0.0</v>
      </c>
      <c r="EG678" s="156">
        <v>0.0</v>
      </c>
      <c r="EH678" s="156">
        <v>0.0</v>
      </c>
      <c r="EI678" s="156">
        <v>0.0</v>
      </c>
      <c r="EJ678" s="156">
        <v>0.0</v>
      </c>
      <c r="EK678" s="156">
        <v>0.0</v>
      </c>
      <c r="EL678" s="156">
        <v>0.0</v>
      </c>
      <c r="FQ678" s="156">
        <v>0.0</v>
      </c>
      <c r="FR678" s="156">
        <v>0.0</v>
      </c>
      <c r="FS678" s="156">
        <v>0.0</v>
      </c>
      <c r="FT678" s="156">
        <v>0.0</v>
      </c>
      <c r="FU678" s="156">
        <v>0.0</v>
      </c>
      <c r="FV678" s="156">
        <v>0.0</v>
      </c>
      <c r="FW678" s="157"/>
      <c r="FX678" s="157"/>
      <c r="FY678" s="157"/>
      <c r="FZ678" s="157"/>
      <c r="GA678" s="157"/>
      <c r="GB678" s="157"/>
      <c r="GC678" s="157"/>
      <c r="GD678" s="157"/>
      <c r="GE678" s="157"/>
      <c r="GF678" s="157"/>
      <c r="GG678" s="157"/>
      <c r="GH678" s="157"/>
      <c r="GI678" s="157"/>
      <c r="GJ678" s="157"/>
      <c r="GK678" s="157"/>
      <c r="GL678" s="157"/>
      <c r="GM678" s="157"/>
      <c r="GN678" s="157"/>
      <c r="GO678" s="157"/>
      <c r="GP678" s="158"/>
      <c r="GQ678" s="157"/>
      <c r="GR678" s="157"/>
      <c r="GS678" s="157"/>
      <c r="GT678" s="157"/>
      <c r="GU678" s="157"/>
      <c r="GV678" s="157"/>
      <c r="GW678" s="157"/>
      <c r="GX678" s="157"/>
      <c r="GY678" s="157"/>
      <c r="GZ678" s="157"/>
      <c r="HA678" s="157"/>
      <c r="HB678" s="155">
        <v>0.0</v>
      </c>
      <c r="HC678" s="155">
        <v>0.0</v>
      </c>
      <c r="HD678" s="155">
        <v>0.0</v>
      </c>
      <c r="HE678" s="155">
        <v>0.0</v>
      </c>
      <c r="HF678" s="155">
        <v>0.0</v>
      </c>
      <c r="HG678" s="155">
        <v>0.0</v>
      </c>
      <c r="IL678" s="159">
        <v>10.0</v>
      </c>
      <c r="IM678" s="156">
        <v>0.0</v>
      </c>
      <c r="IN678" s="156">
        <v>0.0</v>
      </c>
      <c r="IO678" s="156">
        <v>0.0</v>
      </c>
      <c r="IP678" s="156">
        <v>0.0</v>
      </c>
      <c r="IQ678" s="160">
        <v>0.0</v>
      </c>
      <c r="IY678" s="174">
        <v>1.0</v>
      </c>
      <c r="IZ678" s="174">
        <v>0.0</v>
      </c>
      <c r="JA678" s="174">
        <v>1.0</v>
      </c>
      <c r="JB678" s="174">
        <v>0.0</v>
      </c>
      <c r="JC678" s="174">
        <v>0.0</v>
      </c>
      <c r="JD678" s="174">
        <v>1.0</v>
      </c>
      <c r="JE678" s="174">
        <v>0.0</v>
      </c>
      <c r="JF678" s="174"/>
      <c r="JG678" s="174">
        <v>0.0</v>
      </c>
      <c r="JH678" s="177">
        <v>1.0</v>
      </c>
      <c r="JI678" s="174"/>
      <c r="JJ678" s="175">
        <v>1.0</v>
      </c>
      <c r="JK678" s="175">
        <v>1.0</v>
      </c>
      <c r="JL678" s="174"/>
      <c r="JM678" s="175">
        <v>1.0</v>
      </c>
      <c r="JN678" s="174"/>
      <c r="JO678" s="174"/>
      <c r="JP678" s="174"/>
      <c r="JQ678" s="175">
        <v>1.0</v>
      </c>
      <c r="JR678" s="175">
        <v>1.0</v>
      </c>
      <c r="JS678" s="174"/>
      <c r="JT678" s="175">
        <v>1.0</v>
      </c>
      <c r="JU678" s="174"/>
      <c r="JV678" s="174"/>
      <c r="JW678" s="159">
        <v>7.0</v>
      </c>
      <c r="JX678" s="156">
        <v>0.0</v>
      </c>
      <c r="JY678" s="156">
        <v>0.0</v>
      </c>
      <c r="JZ678" s="156">
        <v>0.0</v>
      </c>
      <c r="KA678" s="156">
        <v>0.0</v>
      </c>
      <c r="KB678" s="160">
        <v>0.0</v>
      </c>
      <c r="KE678" s="86">
        <v>1.0</v>
      </c>
      <c r="KG678" s="86">
        <v>1.0</v>
      </c>
      <c r="KK678" s="86">
        <v>1.0</v>
      </c>
      <c r="KM678" s="86">
        <v>1.0</v>
      </c>
      <c r="KO678" s="86">
        <v>1.0</v>
      </c>
      <c r="KR678" s="86">
        <v>1.0</v>
      </c>
      <c r="KS678" s="178"/>
      <c r="KT678" s="86">
        <v>1.0</v>
      </c>
      <c r="LH678" s="159">
        <f t="shared" si="10"/>
        <v>2</v>
      </c>
      <c r="LI678" s="156">
        <f t="shared" si="11"/>
        <v>0</v>
      </c>
      <c r="LJ678" s="156">
        <f t="shared" si="12"/>
        <v>0</v>
      </c>
      <c r="LK678" s="156">
        <f t="shared" si="13"/>
        <v>2</v>
      </c>
      <c r="LL678" s="156">
        <f t="shared" si="14"/>
        <v>0</v>
      </c>
      <c r="LM678" s="160">
        <f t="shared" si="15"/>
        <v>0</v>
      </c>
      <c r="LP678" s="189" t="s">
        <v>624</v>
      </c>
      <c r="LS678" s="189" t="s">
        <v>624</v>
      </c>
      <c r="QX678" s="560">
        <v>46205.0</v>
      </c>
    </row>
    <row r="679">
      <c r="A679" s="12"/>
      <c r="B679" s="12"/>
      <c r="C679" s="12"/>
      <c r="D679" s="12"/>
      <c r="E679" s="58"/>
      <c r="F679" s="12"/>
      <c r="G679" s="12"/>
      <c r="H679" s="12"/>
      <c r="I679" s="143">
        <f t="shared" si="22"/>
        <v>-26</v>
      </c>
      <c r="J679" s="537">
        <v>46211.0</v>
      </c>
      <c r="K679" s="294" t="s">
        <v>48</v>
      </c>
      <c r="L679" s="108"/>
      <c r="M679" s="86" t="s">
        <v>1985</v>
      </c>
      <c r="N679" s="86">
        <v>246.0</v>
      </c>
      <c r="O679" s="86">
        <v>30.0</v>
      </c>
      <c r="U679" s="162" t="s">
        <v>3149</v>
      </c>
      <c r="V679" s="538" t="s">
        <v>1553</v>
      </c>
      <c r="W679" s="125" t="s">
        <v>3665</v>
      </c>
      <c r="X679" s="140"/>
      <c r="Y679" s="166">
        <f t="shared" si="23"/>
        <v>26</v>
      </c>
      <c r="Z679" s="26">
        <f t="shared" si="7"/>
        <v>0</v>
      </c>
      <c r="AA679" s="26">
        <f t="shared" si="8"/>
        <v>0</v>
      </c>
      <c r="AB679" s="26">
        <f t="shared" si="9"/>
        <v>0</v>
      </c>
      <c r="AC679" s="155">
        <v>0.0</v>
      </c>
      <c r="AD679" s="155">
        <v>0.0</v>
      </c>
      <c r="AE679" s="155">
        <v>0.0</v>
      </c>
      <c r="AF679" s="155">
        <v>0.0</v>
      </c>
      <c r="AG679" s="155">
        <v>0.0</v>
      </c>
      <c r="AH679" s="155">
        <v>0.0</v>
      </c>
      <c r="BN679" s="155">
        <v>0.0</v>
      </c>
      <c r="BO679" s="155">
        <v>0.0</v>
      </c>
      <c r="BP679" s="155">
        <v>0.0</v>
      </c>
      <c r="BQ679" s="155">
        <v>0.0</v>
      </c>
      <c r="BR679" s="155">
        <v>0.0</v>
      </c>
      <c r="BS679" s="155">
        <v>0.0</v>
      </c>
      <c r="CV679" s="156">
        <v>0.0</v>
      </c>
      <c r="CW679" s="156">
        <v>0.0</v>
      </c>
      <c r="CX679" s="156">
        <v>0.0</v>
      </c>
      <c r="CY679" s="156">
        <v>0.0</v>
      </c>
      <c r="CZ679" s="156">
        <v>0.0</v>
      </c>
      <c r="DA679" s="156">
        <v>0.0</v>
      </c>
      <c r="EG679" s="156">
        <v>0.0</v>
      </c>
      <c r="EH679" s="156">
        <v>0.0</v>
      </c>
      <c r="EI679" s="156">
        <v>0.0</v>
      </c>
      <c r="EJ679" s="156">
        <v>0.0</v>
      </c>
      <c r="EK679" s="156">
        <v>0.0</v>
      </c>
      <c r="EL679" s="156">
        <v>0.0</v>
      </c>
      <c r="FQ679" s="156">
        <v>0.0</v>
      </c>
      <c r="FR679" s="156">
        <v>0.0</v>
      </c>
      <c r="FS679" s="156">
        <v>0.0</v>
      </c>
      <c r="FT679" s="156">
        <v>0.0</v>
      </c>
      <c r="FU679" s="156">
        <v>0.0</v>
      </c>
      <c r="FV679" s="156">
        <v>0.0</v>
      </c>
      <c r="FW679" s="157"/>
      <c r="FX679" s="157"/>
      <c r="FY679" s="157"/>
      <c r="FZ679" s="157"/>
      <c r="GA679" s="157"/>
      <c r="GB679" s="157"/>
      <c r="GC679" s="157"/>
      <c r="GD679" s="157"/>
      <c r="GE679" s="157"/>
      <c r="GF679" s="157"/>
      <c r="GG679" s="157"/>
      <c r="GH679" s="157"/>
      <c r="GI679" s="157"/>
      <c r="GJ679" s="157"/>
      <c r="GK679" s="157"/>
      <c r="GL679" s="157"/>
      <c r="GM679" s="157"/>
      <c r="GN679" s="157"/>
      <c r="GO679" s="157"/>
      <c r="GP679" s="158"/>
      <c r="GQ679" s="157"/>
      <c r="GR679" s="157"/>
      <c r="GS679" s="157"/>
      <c r="GT679" s="157"/>
      <c r="GU679" s="157"/>
      <c r="GV679" s="157"/>
      <c r="GW679" s="157"/>
      <c r="GX679" s="157"/>
      <c r="GY679" s="157"/>
      <c r="GZ679" s="157"/>
      <c r="HA679" s="157"/>
      <c r="HB679" s="155">
        <v>0.0</v>
      </c>
      <c r="HC679" s="155">
        <v>0.0</v>
      </c>
      <c r="HD679" s="155">
        <v>0.0</v>
      </c>
      <c r="HE679" s="155">
        <v>0.0</v>
      </c>
      <c r="HF679" s="155">
        <v>0.0</v>
      </c>
      <c r="HG679" s="155">
        <v>0.0</v>
      </c>
      <c r="IL679" s="159">
        <v>11.0</v>
      </c>
      <c r="IM679" s="156">
        <v>0.0</v>
      </c>
      <c r="IN679" s="156">
        <v>0.0</v>
      </c>
      <c r="IO679" s="156">
        <v>0.0</v>
      </c>
      <c r="IP679" s="156">
        <v>0.0</v>
      </c>
      <c r="IQ679" s="160">
        <v>0.0</v>
      </c>
      <c r="IY679" s="174">
        <v>1.0</v>
      </c>
      <c r="IZ679" s="174">
        <v>0.0</v>
      </c>
      <c r="JA679" s="174"/>
      <c r="JB679" s="174">
        <v>0.0</v>
      </c>
      <c r="JC679" s="175">
        <v>1.0</v>
      </c>
      <c r="JD679" s="174">
        <v>1.0</v>
      </c>
      <c r="JE679" s="175">
        <v>1.0</v>
      </c>
      <c r="JF679" s="174"/>
      <c r="JG679" s="174">
        <v>0.0</v>
      </c>
      <c r="JH679" s="177"/>
      <c r="JI679" s="175">
        <v>1.0</v>
      </c>
      <c r="JJ679" s="175">
        <v>1.0</v>
      </c>
      <c r="JK679" s="175"/>
      <c r="JL679" s="174"/>
      <c r="JM679" s="175">
        <v>1.0</v>
      </c>
      <c r="JN679" s="174"/>
      <c r="JO679" s="175">
        <v>1.0</v>
      </c>
      <c r="JP679" s="174"/>
      <c r="JQ679" s="174"/>
      <c r="JR679" s="175">
        <v>1.0</v>
      </c>
      <c r="JS679" s="174"/>
      <c r="JT679" s="175">
        <v>1.0</v>
      </c>
      <c r="JU679" s="174"/>
      <c r="JV679" s="175">
        <v>1.0</v>
      </c>
      <c r="JW679" s="159">
        <v>9.0</v>
      </c>
      <c r="JX679" s="156">
        <v>0.0</v>
      </c>
      <c r="JY679" s="156">
        <v>0.0</v>
      </c>
      <c r="JZ679" s="156">
        <v>0.0</v>
      </c>
      <c r="KA679" s="156">
        <v>0.0</v>
      </c>
      <c r="KB679" s="160">
        <v>0.0</v>
      </c>
      <c r="KC679" s="174"/>
      <c r="KD679" s="174"/>
      <c r="KE679" s="175">
        <v>1.0</v>
      </c>
      <c r="KF679" s="174"/>
      <c r="KG679" s="174"/>
      <c r="KH679" s="174"/>
      <c r="KI679" s="175">
        <v>1.0</v>
      </c>
      <c r="KJ679" s="174"/>
      <c r="KK679" s="174"/>
      <c r="KL679" s="175">
        <v>1.0</v>
      </c>
      <c r="KM679" s="174"/>
      <c r="KN679" s="174"/>
      <c r="KO679" s="174"/>
      <c r="KP679" s="175">
        <v>1.0</v>
      </c>
      <c r="KQ679" s="174"/>
      <c r="KR679" s="174"/>
      <c r="KS679" s="186">
        <v>1.0</v>
      </c>
      <c r="KT679" s="174"/>
      <c r="KU679" s="175">
        <v>1.0</v>
      </c>
      <c r="KV679" s="174"/>
      <c r="KW679" s="175">
        <v>1.0</v>
      </c>
      <c r="KX679" s="174"/>
      <c r="KY679" s="174"/>
      <c r="KZ679" s="175">
        <v>1.0</v>
      </c>
      <c r="LA679" s="174"/>
      <c r="LB679" s="174"/>
      <c r="LC679" s="174"/>
      <c r="LD679" s="175">
        <v>1.0</v>
      </c>
      <c r="LE679" s="174"/>
      <c r="LF679" s="174"/>
      <c r="LG679" s="174"/>
      <c r="LH679" s="159">
        <f t="shared" si="10"/>
        <v>6</v>
      </c>
      <c r="LI679" s="156">
        <f t="shared" si="11"/>
        <v>0</v>
      </c>
      <c r="LJ679" s="156">
        <f t="shared" si="12"/>
        <v>0</v>
      </c>
      <c r="LK679" s="156">
        <f t="shared" si="13"/>
        <v>0</v>
      </c>
      <c r="LL679" s="156">
        <f t="shared" si="14"/>
        <v>0</v>
      </c>
      <c r="LM679" s="160">
        <f t="shared" si="15"/>
        <v>0</v>
      </c>
      <c r="LN679" s="174"/>
      <c r="LO679" s="174"/>
      <c r="LP679" s="174"/>
      <c r="LQ679" s="187">
        <v>1.0</v>
      </c>
      <c r="LR679" s="174"/>
      <c r="LS679" s="174"/>
      <c r="LT679" s="187">
        <v>1.0</v>
      </c>
      <c r="LU679" s="174"/>
      <c r="LV679" s="187">
        <v>1.0</v>
      </c>
      <c r="LW679" s="174">
        <f t="shared" ref="LW679:MQ679" si="81">IFS(TODAY()&lt;=LW$2,0,WEEKDAY(LW$2)=2,1,WEEKDAY(LW$2)=3,0,WEEKDAY(LW$2)=4,1,WEEKDAY(LW$2)=5,0,WEEKDAY(LW$2)=6,1,WEEKDAY(LW$2)=7,0,WEEKDAY(LW$2)=1,0)</f>
        <v>0</v>
      </c>
      <c r="LX679" s="174">
        <f t="shared" si="81"/>
        <v>1</v>
      </c>
      <c r="LY679" s="174">
        <f t="shared" si="81"/>
        <v>0</v>
      </c>
      <c r="LZ679" s="174">
        <f t="shared" si="81"/>
        <v>0</v>
      </c>
      <c r="MA679" s="174">
        <f t="shared" si="81"/>
        <v>1</v>
      </c>
      <c r="MB679" s="174">
        <f t="shared" si="81"/>
        <v>0</v>
      </c>
      <c r="MC679" s="174">
        <f t="shared" si="81"/>
        <v>1</v>
      </c>
      <c r="MD679" s="174">
        <f t="shared" si="81"/>
        <v>0</v>
      </c>
      <c r="ME679" s="174">
        <f t="shared" si="81"/>
        <v>0</v>
      </c>
      <c r="MF679" s="174">
        <f t="shared" si="81"/>
        <v>0</v>
      </c>
      <c r="MG679" s="174">
        <f t="shared" si="81"/>
        <v>0</v>
      </c>
      <c r="MH679" s="174">
        <f t="shared" si="81"/>
        <v>0</v>
      </c>
      <c r="MI679" s="174">
        <f t="shared" si="81"/>
        <v>0</v>
      </c>
      <c r="MJ679" s="174">
        <f t="shared" si="81"/>
        <v>0</v>
      </c>
      <c r="MK679" s="174">
        <f t="shared" si="81"/>
        <v>0</v>
      </c>
      <c r="ML679" s="174">
        <f t="shared" si="81"/>
        <v>0</v>
      </c>
      <c r="MM679" s="174">
        <f t="shared" si="81"/>
        <v>0</v>
      </c>
      <c r="MN679" s="174">
        <f t="shared" si="81"/>
        <v>0</v>
      </c>
      <c r="MO679" s="174">
        <f t="shared" si="81"/>
        <v>0</v>
      </c>
      <c r="MP679" s="174">
        <f t="shared" si="81"/>
        <v>0</v>
      </c>
      <c r="MQ679" s="174">
        <f t="shared" si="81"/>
        <v>0</v>
      </c>
      <c r="QX679" s="560">
        <v>46205.0</v>
      </c>
    </row>
    <row r="680">
      <c r="A680" s="12"/>
      <c r="B680" s="12"/>
      <c r="C680" s="12"/>
      <c r="D680" s="12"/>
      <c r="E680" s="12"/>
      <c r="F680" s="12"/>
      <c r="G680" s="12"/>
      <c r="H680" s="12"/>
      <c r="I680" s="143">
        <f t="shared" si="22"/>
        <v>-1</v>
      </c>
      <c r="J680" s="537">
        <v>46222.0</v>
      </c>
      <c r="K680" s="294" t="s">
        <v>48</v>
      </c>
      <c r="L680" s="108"/>
      <c r="M680" s="86" t="s">
        <v>1433</v>
      </c>
      <c r="N680" s="188" t="s">
        <v>826</v>
      </c>
      <c r="O680" s="86">
        <v>30.0</v>
      </c>
      <c r="U680" s="162" t="s">
        <v>3666</v>
      </c>
      <c r="V680" s="538" t="s">
        <v>3568</v>
      </c>
      <c r="W680" s="185" t="s">
        <v>3667</v>
      </c>
      <c r="X680" s="140"/>
      <c r="Y680" s="166">
        <f t="shared" si="23"/>
        <v>1</v>
      </c>
      <c r="Z680" s="26">
        <f t="shared" si="7"/>
        <v>0</v>
      </c>
      <c r="AA680" s="26">
        <f t="shared" si="8"/>
        <v>0</v>
      </c>
      <c r="AB680" s="26">
        <f t="shared" si="9"/>
        <v>0</v>
      </c>
      <c r="AC680" s="155">
        <v>0.0</v>
      </c>
      <c r="AD680" s="155">
        <v>0.0</v>
      </c>
      <c r="AE680" s="155">
        <v>0.0</v>
      </c>
      <c r="AF680" s="155">
        <v>0.0</v>
      </c>
      <c r="AG680" s="155">
        <v>0.0</v>
      </c>
      <c r="AH680" s="155">
        <v>0.0</v>
      </c>
      <c r="BN680" s="155">
        <v>0.0</v>
      </c>
      <c r="BO680" s="155">
        <v>0.0</v>
      </c>
      <c r="BP680" s="155">
        <v>0.0</v>
      </c>
      <c r="BQ680" s="155">
        <v>0.0</v>
      </c>
      <c r="BR680" s="155">
        <v>0.0</v>
      </c>
      <c r="BS680" s="155">
        <v>0.0</v>
      </c>
      <c r="CV680" s="156">
        <v>0.0</v>
      </c>
      <c r="CW680" s="156">
        <v>0.0</v>
      </c>
      <c r="CX680" s="156">
        <v>0.0</v>
      </c>
      <c r="CY680" s="156">
        <v>0.0</v>
      </c>
      <c r="CZ680" s="156">
        <v>0.0</v>
      </c>
      <c r="DA680" s="156">
        <v>0.0</v>
      </c>
      <c r="EG680" s="156">
        <v>0.0</v>
      </c>
      <c r="EH680" s="156">
        <v>0.0</v>
      </c>
      <c r="EI680" s="156">
        <v>0.0</v>
      </c>
      <c r="EJ680" s="156">
        <v>0.0</v>
      </c>
      <c r="EK680" s="156">
        <v>0.0</v>
      </c>
      <c r="EL680" s="156">
        <v>0.0</v>
      </c>
      <c r="FQ680" s="156">
        <v>0.0</v>
      </c>
      <c r="FR680" s="156">
        <v>0.0</v>
      </c>
      <c r="FS680" s="156">
        <v>0.0</v>
      </c>
      <c r="FT680" s="156">
        <v>0.0</v>
      </c>
      <c r="FU680" s="156">
        <v>0.0</v>
      </c>
      <c r="FV680" s="156">
        <v>0.0</v>
      </c>
      <c r="FW680" s="157"/>
      <c r="FX680" s="157"/>
      <c r="FY680" s="157"/>
      <c r="FZ680" s="157"/>
      <c r="GA680" s="157"/>
      <c r="GB680" s="157"/>
      <c r="GC680" s="157"/>
      <c r="GD680" s="157"/>
      <c r="GE680" s="157"/>
      <c r="GF680" s="157"/>
      <c r="GG680" s="157"/>
      <c r="GH680" s="157"/>
      <c r="GI680" s="157"/>
      <c r="GJ680" s="157"/>
      <c r="GK680" s="157"/>
      <c r="GL680" s="157"/>
      <c r="GM680" s="157"/>
      <c r="GN680" s="157"/>
      <c r="GO680" s="157"/>
      <c r="GP680" s="158"/>
      <c r="GQ680" s="157"/>
      <c r="GR680" s="157"/>
      <c r="GS680" s="157"/>
      <c r="GT680" s="157"/>
      <c r="GU680" s="157"/>
      <c r="GV680" s="157"/>
      <c r="GW680" s="157"/>
      <c r="GX680" s="157"/>
      <c r="GY680" s="157"/>
      <c r="GZ680" s="157"/>
      <c r="HA680" s="157"/>
      <c r="HB680" s="155">
        <v>0.0</v>
      </c>
      <c r="HC680" s="155">
        <v>0.0</v>
      </c>
      <c r="HD680" s="155">
        <v>0.0</v>
      </c>
      <c r="HE680" s="155">
        <v>0.0</v>
      </c>
      <c r="HF680" s="155">
        <v>0.0</v>
      </c>
      <c r="HG680" s="155">
        <v>0.0</v>
      </c>
      <c r="IL680" s="159">
        <v>1.0</v>
      </c>
      <c r="IM680" s="156">
        <v>0.0</v>
      </c>
      <c r="IN680" s="156">
        <v>0.0</v>
      </c>
      <c r="IO680" s="156">
        <v>0.0</v>
      </c>
      <c r="IP680" s="156">
        <v>0.0</v>
      </c>
      <c r="IQ680" s="160">
        <v>0.0</v>
      </c>
      <c r="JH680" s="25"/>
      <c r="JJ680" s="175">
        <v>1.0</v>
      </c>
      <c r="JK680" s="174"/>
      <c r="JL680" s="174"/>
      <c r="JM680" s="174"/>
      <c r="JN680" s="174"/>
      <c r="JO680" s="174"/>
      <c r="JP680" s="174"/>
      <c r="JQ680" s="174"/>
      <c r="JR680" s="174"/>
      <c r="JS680" s="174"/>
      <c r="JT680" s="174"/>
      <c r="JU680" s="174"/>
      <c r="JV680" s="174"/>
      <c r="JW680" s="159">
        <v>0.0</v>
      </c>
      <c r="JX680" s="156">
        <v>0.0</v>
      </c>
      <c r="JY680" s="156">
        <v>0.0</v>
      </c>
      <c r="JZ680" s="156">
        <v>0.0</v>
      </c>
      <c r="KA680" s="156">
        <v>0.0</v>
      </c>
      <c r="KB680" s="160">
        <v>0.0</v>
      </c>
      <c r="KS680" s="178"/>
      <c r="LH680" s="159">
        <f t="shared" si="10"/>
        <v>0</v>
      </c>
      <c r="LI680" s="156">
        <f t="shared" si="11"/>
        <v>0</v>
      </c>
      <c r="LJ680" s="156">
        <f t="shared" si="12"/>
        <v>0</v>
      </c>
      <c r="LK680" s="156">
        <f t="shared" si="13"/>
        <v>0</v>
      </c>
      <c r="LL680" s="156">
        <f t="shared" si="14"/>
        <v>0</v>
      </c>
      <c r="LM680" s="160">
        <f t="shared" si="15"/>
        <v>0</v>
      </c>
      <c r="QX680" s="560">
        <v>46207.0</v>
      </c>
    </row>
    <row r="681">
      <c r="A681" s="12"/>
      <c r="B681" s="12"/>
      <c r="C681" s="12"/>
      <c r="D681" s="12"/>
      <c r="E681" s="12"/>
      <c r="F681" s="12"/>
      <c r="G681" s="12"/>
      <c r="H681" s="12"/>
      <c r="I681" s="143">
        <f t="shared" si="22"/>
        <v>-27</v>
      </c>
      <c r="J681" s="537">
        <v>46211.0</v>
      </c>
      <c r="K681" s="294" t="s">
        <v>48</v>
      </c>
      <c r="L681" s="108"/>
      <c r="M681" s="86" t="s">
        <v>348</v>
      </c>
      <c r="N681" s="86">
        <v>246.0</v>
      </c>
      <c r="O681" s="86">
        <v>30.0</v>
      </c>
      <c r="U681" s="162" t="s">
        <v>3668</v>
      </c>
      <c r="V681" s="538" t="s">
        <v>3620</v>
      </c>
      <c r="W681" s="125" t="s">
        <v>3669</v>
      </c>
      <c r="X681" s="140"/>
      <c r="Y681" s="166">
        <f t="shared" si="23"/>
        <v>27</v>
      </c>
      <c r="Z681" s="26">
        <f t="shared" si="7"/>
        <v>0</v>
      </c>
      <c r="AA681" s="26">
        <f t="shared" si="8"/>
        <v>0</v>
      </c>
      <c r="AB681" s="26">
        <f t="shared" si="9"/>
        <v>0</v>
      </c>
      <c r="AC681" s="155">
        <v>0.0</v>
      </c>
      <c r="AD681" s="155">
        <v>0.0</v>
      </c>
      <c r="AE681" s="155">
        <v>0.0</v>
      </c>
      <c r="AF681" s="155">
        <v>0.0</v>
      </c>
      <c r="AG681" s="155">
        <v>0.0</v>
      </c>
      <c r="AH681" s="155">
        <v>0.0</v>
      </c>
      <c r="BN681" s="155">
        <v>0.0</v>
      </c>
      <c r="BO681" s="155">
        <v>0.0</v>
      </c>
      <c r="BP681" s="155">
        <v>0.0</v>
      </c>
      <c r="BQ681" s="155">
        <v>0.0</v>
      </c>
      <c r="BR681" s="155">
        <v>0.0</v>
      </c>
      <c r="BS681" s="155">
        <v>0.0</v>
      </c>
      <c r="CV681" s="156">
        <v>0.0</v>
      </c>
      <c r="CW681" s="156">
        <v>0.0</v>
      </c>
      <c r="CX681" s="156">
        <v>0.0</v>
      </c>
      <c r="CY681" s="156">
        <v>0.0</v>
      </c>
      <c r="CZ681" s="156">
        <v>0.0</v>
      </c>
      <c r="DA681" s="156">
        <v>0.0</v>
      </c>
      <c r="EG681" s="156">
        <v>0.0</v>
      </c>
      <c r="EH681" s="156">
        <v>0.0</v>
      </c>
      <c r="EI681" s="156">
        <v>0.0</v>
      </c>
      <c r="EJ681" s="156">
        <v>0.0</v>
      </c>
      <c r="EK681" s="156">
        <v>0.0</v>
      </c>
      <c r="EL681" s="156">
        <v>0.0</v>
      </c>
      <c r="FQ681" s="156">
        <v>0.0</v>
      </c>
      <c r="FR681" s="156">
        <v>0.0</v>
      </c>
      <c r="FS681" s="156">
        <v>0.0</v>
      </c>
      <c r="FT681" s="156">
        <v>0.0</v>
      </c>
      <c r="FU681" s="156">
        <v>0.0</v>
      </c>
      <c r="FV681" s="156">
        <v>0.0</v>
      </c>
      <c r="FW681" s="157"/>
      <c r="FX681" s="157"/>
      <c r="FY681" s="157"/>
      <c r="FZ681" s="157"/>
      <c r="GA681" s="157"/>
      <c r="GB681" s="157"/>
      <c r="GC681" s="157"/>
      <c r="GD681" s="157"/>
      <c r="GE681" s="157"/>
      <c r="GF681" s="157"/>
      <c r="GG681" s="157"/>
      <c r="GH681" s="157"/>
      <c r="GI681" s="157"/>
      <c r="GJ681" s="157"/>
      <c r="GK681" s="157"/>
      <c r="GL681" s="157"/>
      <c r="GM681" s="157"/>
      <c r="GN681" s="157"/>
      <c r="GO681" s="157"/>
      <c r="GP681" s="158"/>
      <c r="GQ681" s="157"/>
      <c r="GR681" s="157"/>
      <c r="GS681" s="157"/>
      <c r="GT681" s="157"/>
      <c r="GU681" s="157"/>
      <c r="GV681" s="157"/>
      <c r="GW681" s="157"/>
      <c r="GX681" s="157"/>
      <c r="GY681" s="157"/>
      <c r="GZ681" s="157"/>
      <c r="HA681" s="157"/>
      <c r="HB681" s="155">
        <v>0.0</v>
      </c>
      <c r="HC681" s="155">
        <v>0.0</v>
      </c>
      <c r="HD681" s="155">
        <v>0.0</v>
      </c>
      <c r="HE681" s="155">
        <v>0.0</v>
      </c>
      <c r="HF681" s="155">
        <v>0.0</v>
      </c>
      <c r="HG681" s="155">
        <v>0.0</v>
      </c>
      <c r="IL681" s="159">
        <v>11.0</v>
      </c>
      <c r="IM681" s="156">
        <v>0.0</v>
      </c>
      <c r="IN681" s="156">
        <v>0.0</v>
      </c>
      <c r="IO681" s="156">
        <v>0.0</v>
      </c>
      <c r="IP681" s="156">
        <v>0.0</v>
      </c>
      <c r="IQ681" s="160">
        <v>0.0</v>
      </c>
      <c r="IY681" s="174">
        <v>1.0</v>
      </c>
      <c r="IZ681" s="174">
        <v>0.0</v>
      </c>
      <c r="JA681" s="174">
        <v>1.0</v>
      </c>
      <c r="JB681" s="174">
        <v>0.0</v>
      </c>
      <c r="JC681" s="174">
        <v>0.0</v>
      </c>
      <c r="JD681" s="174">
        <v>1.0</v>
      </c>
      <c r="JE681" s="174">
        <v>0.0</v>
      </c>
      <c r="JF681" s="174">
        <v>1.0</v>
      </c>
      <c r="JG681" s="174">
        <v>0.0</v>
      </c>
      <c r="JH681" s="177">
        <v>1.0</v>
      </c>
      <c r="JI681" s="174"/>
      <c r="JJ681" s="174"/>
      <c r="JK681" s="175">
        <v>1.0</v>
      </c>
      <c r="JL681" s="174"/>
      <c r="JM681" s="175">
        <v>1.0</v>
      </c>
      <c r="JN681" s="174"/>
      <c r="JO681" s="175">
        <v>1.0</v>
      </c>
      <c r="JP681" s="174"/>
      <c r="JQ681" s="174"/>
      <c r="JR681" s="175">
        <v>1.0</v>
      </c>
      <c r="JS681" s="174"/>
      <c r="JT681" s="175">
        <v>1.0</v>
      </c>
      <c r="JU681" s="174"/>
      <c r="JV681" s="175">
        <v>1.0</v>
      </c>
      <c r="JW681" s="159">
        <v>10.0</v>
      </c>
      <c r="JX681" s="156">
        <v>0.0</v>
      </c>
      <c r="JY681" s="156">
        <v>0.0</v>
      </c>
      <c r="JZ681" s="156">
        <v>0.0</v>
      </c>
      <c r="KA681" s="156">
        <v>0.0</v>
      </c>
      <c r="KB681" s="160">
        <v>0.0</v>
      </c>
      <c r="KC681" s="174"/>
      <c r="KD681" s="174"/>
      <c r="KE681" s="175">
        <v>1.0</v>
      </c>
      <c r="KF681" s="174"/>
      <c r="KG681" s="175">
        <v>1.0</v>
      </c>
      <c r="KH681" s="174"/>
      <c r="KI681" s="175">
        <v>1.0</v>
      </c>
      <c r="KJ681" s="174"/>
      <c r="KK681" s="174"/>
      <c r="KL681" s="175">
        <v>1.0</v>
      </c>
      <c r="KM681" s="174"/>
      <c r="KN681" s="174"/>
      <c r="KO681" s="174"/>
      <c r="KP681" s="174"/>
      <c r="KQ681" s="174"/>
      <c r="KR681" s="174"/>
      <c r="KS681" s="472"/>
      <c r="KT681" s="175">
        <v>1.0</v>
      </c>
      <c r="KU681" s="175">
        <v>1.0</v>
      </c>
      <c r="KV681" s="174"/>
      <c r="KW681" s="175">
        <v>1.0</v>
      </c>
      <c r="KX681" s="174"/>
      <c r="KY681" s="174"/>
      <c r="KZ681" s="175">
        <v>1.0</v>
      </c>
      <c r="LA681" s="174"/>
      <c r="LB681" s="175">
        <v>1.0</v>
      </c>
      <c r="LC681" s="174"/>
      <c r="LD681" s="175">
        <v>1.0</v>
      </c>
      <c r="LE681" s="174"/>
      <c r="LF681" s="174"/>
      <c r="LG681" s="174"/>
      <c r="LH681" s="159">
        <f t="shared" si="10"/>
        <v>6</v>
      </c>
      <c r="LI681" s="156">
        <f t="shared" si="11"/>
        <v>0</v>
      </c>
      <c r="LJ681" s="156">
        <f t="shared" si="12"/>
        <v>0</v>
      </c>
      <c r="LK681" s="156">
        <f t="shared" si="13"/>
        <v>0</v>
      </c>
      <c r="LL681" s="156">
        <f t="shared" si="14"/>
        <v>0</v>
      </c>
      <c r="LM681" s="160">
        <f t="shared" si="15"/>
        <v>0</v>
      </c>
      <c r="LN681" s="174"/>
      <c r="LO681" s="174"/>
      <c r="LP681" s="174"/>
      <c r="LQ681" s="187">
        <v>1.0</v>
      </c>
      <c r="LR681" s="174"/>
      <c r="LS681" s="174"/>
      <c r="LT681" s="174"/>
      <c r="LU681" s="187">
        <v>1.0</v>
      </c>
      <c r="LV681" s="187">
        <v>1.0</v>
      </c>
      <c r="LW681" s="174">
        <f t="shared" ref="LW681:MQ681" si="82">IFS(TODAY()&lt;=LW$2,0,WEEKDAY(LW$2)=2,1,WEEKDAY(LW$2)=3,0,WEEKDAY(LW$2)=4,1,WEEKDAY(LW$2)=5,0,WEEKDAY(LW$2)=6,1,WEEKDAY(LW$2)=7,0,WEEKDAY(LW$2)=1,0)</f>
        <v>0</v>
      </c>
      <c r="LX681" s="174">
        <f t="shared" si="82"/>
        <v>1</v>
      </c>
      <c r="LY681" s="174">
        <f t="shared" si="82"/>
        <v>0</v>
      </c>
      <c r="LZ681" s="174">
        <f t="shared" si="82"/>
        <v>0</v>
      </c>
      <c r="MA681" s="174">
        <f t="shared" si="82"/>
        <v>1</v>
      </c>
      <c r="MB681" s="174">
        <f t="shared" si="82"/>
        <v>0</v>
      </c>
      <c r="MC681" s="174">
        <f t="shared" si="82"/>
        <v>1</v>
      </c>
      <c r="MD681" s="174">
        <f t="shared" si="82"/>
        <v>0</v>
      </c>
      <c r="ME681" s="174">
        <f t="shared" si="82"/>
        <v>0</v>
      </c>
      <c r="MF681" s="174">
        <f t="shared" si="82"/>
        <v>0</v>
      </c>
      <c r="MG681" s="174">
        <f t="shared" si="82"/>
        <v>0</v>
      </c>
      <c r="MH681" s="174">
        <f t="shared" si="82"/>
        <v>0</v>
      </c>
      <c r="MI681" s="174">
        <f t="shared" si="82"/>
        <v>0</v>
      </c>
      <c r="MJ681" s="174">
        <f t="shared" si="82"/>
        <v>0</v>
      </c>
      <c r="MK681" s="174">
        <f t="shared" si="82"/>
        <v>0</v>
      </c>
      <c r="ML681" s="174">
        <f t="shared" si="82"/>
        <v>0</v>
      </c>
      <c r="MM681" s="174">
        <f t="shared" si="82"/>
        <v>0</v>
      </c>
      <c r="MN681" s="174">
        <f t="shared" si="82"/>
        <v>0</v>
      </c>
      <c r="MO681" s="174">
        <f t="shared" si="82"/>
        <v>0</v>
      </c>
      <c r="MP681" s="174">
        <f t="shared" si="82"/>
        <v>0</v>
      </c>
      <c r="MQ681" s="174">
        <f t="shared" si="82"/>
        <v>0</v>
      </c>
      <c r="QX681" s="560">
        <v>46207.0</v>
      </c>
    </row>
    <row r="682">
      <c r="A682" s="12"/>
      <c r="B682" s="12"/>
      <c r="C682" s="12"/>
      <c r="D682" s="12"/>
      <c r="E682" s="58"/>
      <c r="F682" s="12"/>
      <c r="G682" s="12"/>
      <c r="H682" s="12"/>
      <c r="I682" s="143">
        <f t="shared" si="22"/>
        <v>-27</v>
      </c>
      <c r="J682" s="537">
        <v>46212.0</v>
      </c>
      <c r="K682" s="294" t="s">
        <v>48</v>
      </c>
      <c r="L682" s="108"/>
      <c r="M682" s="86" t="s">
        <v>107</v>
      </c>
      <c r="N682" s="86">
        <v>357.0</v>
      </c>
      <c r="O682" s="86">
        <v>30.0</v>
      </c>
      <c r="U682" s="162" t="s">
        <v>3603</v>
      </c>
      <c r="V682" s="538" t="s">
        <v>3604</v>
      </c>
      <c r="W682" s="125" t="s">
        <v>3670</v>
      </c>
      <c r="X682" s="140"/>
      <c r="Y682" s="166">
        <f t="shared" si="23"/>
        <v>27</v>
      </c>
      <c r="Z682" s="26">
        <f t="shared" si="7"/>
        <v>0</v>
      </c>
      <c r="AA682" s="26">
        <f t="shared" si="8"/>
        <v>0</v>
      </c>
      <c r="AB682" s="26">
        <f t="shared" si="9"/>
        <v>0</v>
      </c>
      <c r="AC682" s="155">
        <v>0.0</v>
      </c>
      <c r="AD682" s="155">
        <v>0.0</v>
      </c>
      <c r="AE682" s="155">
        <v>0.0</v>
      </c>
      <c r="AF682" s="155">
        <v>0.0</v>
      </c>
      <c r="AG682" s="155">
        <v>0.0</v>
      </c>
      <c r="AH682" s="155">
        <v>0.0</v>
      </c>
      <c r="BN682" s="155">
        <v>0.0</v>
      </c>
      <c r="BO682" s="155">
        <v>0.0</v>
      </c>
      <c r="BP682" s="155">
        <v>0.0</v>
      </c>
      <c r="BQ682" s="155">
        <v>0.0</v>
      </c>
      <c r="BR682" s="155">
        <v>0.0</v>
      </c>
      <c r="BS682" s="155">
        <v>0.0</v>
      </c>
      <c r="CV682" s="156">
        <v>0.0</v>
      </c>
      <c r="CW682" s="156">
        <v>0.0</v>
      </c>
      <c r="CX682" s="156">
        <v>0.0</v>
      </c>
      <c r="CY682" s="156">
        <v>0.0</v>
      </c>
      <c r="CZ682" s="156">
        <v>0.0</v>
      </c>
      <c r="DA682" s="156">
        <v>0.0</v>
      </c>
      <c r="EG682" s="156">
        <v>0.0</v>
      </c>
      <c r="EH682" s="156">
        <v>0.0</v>
      </c>
      <c r="EI682" s="156">
        <v>0.0</v>
      </c>
      <c r="EJ682" s="156">
        <v>0.0</v>
      </c>
      <c r="EK682" s="156">
        <v>0.0</v>
      </c>
      <c r="EL682" s="156">
        <v>0.0</v>
      </c>
      <c r="FQ682" s="156">
        <v>0.0</v>
      </c>
      <c r="FR682" s="156">
        <v>0.0</v>
      </c>
      <c r="FS682" s="156">
        <v>0.0</v>
      </c>
      <c r="FT682" s="156">
        <v>0.0</v>
      </c>
      <c r="FU682" s="156">
        <v>0.0</v>
      </c>
      <c r="FV682" s="156">
        <v>0.0</v>
      </c>
      <c r="FW682" s="157"/>
      <c r="FX682" s="157"/>
      <c r="FY682" s="157"/>
      <c r="FZ682" s="157"/>
      <c r="GA682" s="157"/>
      <c r="GB682" s="157"/>
      <c r="GC682" s="157"/>
      <c r="GD682" s="157"/>
      <c r="GE682" s="157"/>
      <c r="GF682" s="157"/>
      <c r="GG682" s="157"/>
      <c r="GH682" s="157"/>
      <c r="GI682" s="157"/>
      <c r="GJ682" s="157"/>
      <c r="GK682" s="157"/>
      <c r="GL682" s="157"/>
      <c r="GM682" s="157"/>
      <c r="GN682" s="157"/>
      <c r="GO682" s="157"/>
      <c r="GP682" s="158"/>
      <c r="GQ682" s="157"/>
      <c r="GR682" s="157"/>
      <c r="GS682" s="157"/>
      <c r="GT682" s="157"/>
      <c r="GU682" s="157"/>
      <c r="GV682" s="157"/>
      <c r="GW682" s="157"/>
      <c r="GX682" s="157"/>
      <c r="GY682" s="157"/>
      <c r="GZ682" s="157"/>
      <c r="HA682" s="157"/>
      <c r="HB682" s="155">
        <v>0.0</v>
      </c>
      <c r="HC682" s="155">
        <v>0.0</v>
      </c>
      <c r="HD682" s="155">
        <v>0.0</v>
      </c>
      <c r="HE682" s="155">
        <v>0.0</v>
      </c>
      <c r="HF682" s="155">
        <v>0.0</v>
      </c>
      <c r="HG682" s="155">
        <v>0.0</v>
      </c>
      <c r="IL682" s="159">
        <v>9.0</v>
      </c>
      <c r="IM682" s="156">
        <v>0.0</v>
      </c>
      <c r="IN682" s="156">
        <v>0.0</v>
      </c>
      <c r="IO682" s="156">
        <v>0.0</v>
      </c>
      <c r="IP682" s="156">
        <v>0.0</v>
      </c>
      <c r="IQ682" s="160">
        <v>0.0</v>
      </c>
      <c r="IY682" s="172"/>
      <c r="IZ682" s="172">
        <v>1.0</v>
      </c>
      <c r="JA682" s="172">
        <v>0.0</v>
      </c>
      <c r="JB682" s="172">
        <v>1.0</v>
      </c>
      <c r="JC682" s="172">
        <v>0.0</v>
      </c>
      <c r="JD682" s="172">
        <v>0.0</v>
      </c>
      <c r="JE682" s="172">
        <v>1.0</v>
      </c>
      <c r="JF682" s="172">
        <v>0.0</v>
      </c>
      <c r="JG682" s="172">
        <v>1.0</v>
      </c>
      <c r="JH682" s="170">
        <v>0.0</v>
      </c>
      <c r="JI682" s="172">
        <v>1.0</v>
      </c>
      <c r="JJ682" s="172"/>
      <c r="JK682" s="172"/>
      <c r="JL682" s="172">
        <v>1.0</v>
      </c>
      <c r="JM682" s="172"/>
      <c r="JN682" s="172">
        <v>1.0</v>
      </c>
      <c r="JO682" s="172"/>
      <c r="JP682" s="172"/>
      <c r="JQ682" s="172"/>
      <c r="JR682" s="172"/>
      <c r="JS682" s="172">
        <v>1.0</v>
      </c>
      <c r="JT682" s="172"/>
      <c r="JU682" s="172">
        <v>1.0</v>
      </c>
      <c r="JV682" s="172"/>
      <c r="JW682" s="159">
        <v>8.0</v>
      </c>
      <c r="JX682" s="156">
        <v>0.0</v>
      </c>
      <c r="JY682" s="156">
        <v>0.0</v>
      </c>
      <c r="JZ682" s="156">
        <v>0.0</v>
      </c>
      <c r="KA682" s="156">
        <v>0.0</v>
      </c>
      <c r="KB682" s="160">
        <v>0.0</v>
      </c>
      <c r="KC682" s="172"/>
      <c r="KD682" s="172"/>
      <c r="KE682" s="172"/>
      <c r="KF682" s="172"/>
      <c r="KG682" s="172"/>
      <c r="KH682" s="172">
        <v>1.0</v>
      </c>
      <c r="KI682" s="172"/>
      <c r="KJ682" s="172">
        <v>1.0</v>
      </c>
      <c r="KK682" s="172"/>
      <c r="KL682" s="172"/>
      <c r="KM682" s="172">
        <v>1.0</v>
      </c>
      <c r="KN682" s="172"/>
      <c r="KO682" s="172"/>
      <c r="KP682" s="172"/>
      <c r="KQ682" s="172">
        <v>1.0</v>
      </c>
      <c r="KR682" s="172"/>
      <c r="KS682" s="432"/>
      <c r="KT682" s="172">
        <v>1.0</v>
      </c>
      <c r="KU682" s="172"/>
      <c r="KV682" s="172">
        <v>1.0</v>
      </c>
      <c r="KW682" s="172"/>
      <c r="KX682" s="172"/>
      <c r="KY682" s="172"/>
      <c r="KZ682" s="172"/>
      <c r="LA682" s="172">
        <v>1.0</v>
      </c>
      <c r="LB682" s="172"/>
      <c r="LC682" s="172"/>
      <c r="LD682" s="172"/>
      <c r="LE682" s="172">
        <v>1.0</v>
      </c>
      <c r="LF682" s="172"/>
      <c r="LG682" s="172"/>
      <c r="LH682" s="159">
        <f t="shared" si="10"/>
        <v>10</v>
      </c>
      <c r="LI682" s="156">
        <f t="shared" si="11"/>
        <v>0</v>
      </c>
      <c r="LJ682" s="156">
        <f t="shared" si="12"/>
        <v>0</v>
      </c>
      <c r="LK682" s="156">
        <f t="shared" si="13"/>
        <v>0</v>
      </c>
      <c r="LL682" s="156">
        <f t="shared" si="14"/>
        <v>0</v>
      </c>
      <c r="LM682" s="160">
        <f t="shared" si="15"/>
        <v>0</v>
      </c>
      <c r="LP682" s="189">
        <v>1.0</v>
      </c>
      <c r="LR682" s="189">
        <v>1.0</v>
      </c>
      <c r="LU682" s="189">
        <v>1.0</v>
      </c>
      <c r="LW682" s="12">
        <f t="shared" ref="LW682:MQ682" si="83">IFS(TODAY()&lt;=LC$2,0,WEEKDAY(LC$2)=2,0,WEEKDAY(LC$2)=3,1,WEEKDAY(LC$2)=4,0,WEEKDAY(LC$2)=5,1,WEEKDAY(LC$2)=6,0,WEEKDAY(LC$2)=7,1,WEEKDAY(LC$2)=1,0)</f>
        <v>1</v>
      </c>
      <c r="LX682" s="12">
        <f t="shared" si="83"/>
        <v>0</v>
      </c>
      <c r="LY682" s="12">
        <f t="shared" si="83"/>
        <v>1</v>
      </c>
      <c r="LZ682" s="12">
        <f t="shared" si="83"/>
        <v>0</v>
      </c>
      <c r="MA682" s="12">
        <f t="shared" si="83"/>
        <v>0</v>
      </c>
      <c r="MB682" s="12">
        <f t="shared" si="83"/>
        <v>0</v>
      </c>
      <c r="MC682" s="12">
        <f t="shared" si="83"/>
        <v>0</v>
      </c>
      <c r="MD682" s="12">
        <f t="shared" si="83"/>
        <v>0</v>
      </c>
      <c r="ME682" s="12">
        <f t="shared" si="83"/>
        <v>0</v>
      </c>
      <c r="MF682" s="12">
        <f t="shared" si="83"/>
        <v>0</v>
      </c>
      <c r="MG682" s="12">
        <f t="shared" si="83"/>
        <v>0</v>
      </c>
      <c r="MH682" s="12">
        <f t="shared" si="83"/>
        <v>1</v>
      </c>
      <c r="MI682" s="12">
        <f t="shared" si="83"/>
        <v>0</v>
      </c>
      <c r="MJ682" s="12">
        <f t="shared" si="83"/>
        <v>1</v>
      </c>
      <c r="MK682" s="12">
        <f t="shared" si="83"/>
        <v>0</v>
      </c>
      <c r="ML682" s="12">
        <f t="shared" si="83"/>
        <v>1</v>
      </c>
      <c r="MM682" s="12">
        <f t="shared" si="83"/>
        <v>0</v>
      </c>
      <c r="MN682" s="12">
        <f t="shared" si="83"/>
        <v>0</v>
      </c>
      <c r="MO682" s="12">
        <f t="shared" si="83"/>
        <v>1</v>
      </c>
      <c r="MP682" s="12">
        <f t="shared" si="83"/>
        <v>0</v>
      </c>
      <c r="MQ682" s="12">
        <f t="shared" si="83"/>
        <v>1</v>
      </c>
      <c r="QX682" s="560">
        <v>46207.0</v>
      </c>
    </row>
    <row r="683">
      <c r="A683" s="12"/>
      <c r="B683" s="12"/>
      <c r="C683" s="12"/>
      <c r="D683" s="12"/>
      <c r="E683" s="12"/>
      <c r="F683" s="12"/>
      <c r="G683" s="12"/>
      <c r="H683" s="12"/>
      <c r="I683" s="143">
        <f t="shared" si="22"/>
        <v>-23</v>
      </c>
      <c r="J683" s="537">
        <v>46213.0</v>
      </c>
      <c r="K683" s="294" t="s">
        <v>48</v>
      </c>
      <c r="L683" s="108"/>
      <c r="M683" s="162" t="s">
        <v>348</v>
      </c>
      <c r="N683" s="188">
        <v>246.0</v>
      </c>
      <c r="O683" s="86">
        <v>30.0</v>
      </c>
      <c r="U683" s="162" t="s">
        <v>3025</v>
      </c>
      <c r="V683" s="538" t="s">
        <v>3064</v>
      </c>
      <c r="W683" s="185" t="s">
        <v>3671</v>
      </c>
      <c r="X683" s="140"/>
      <c r="Y683" s="166">
        <f t="shared" si="23"/>
        <v>23</v>
      </c>
      <c r="Z683" s="26">
        <f t="shared" si="7"/>
        <v>0</v>
      </c>
      <c r="AA683" s="26">
        <f t="shared" si="8"/>
        <v>0</v>
      </c>
      <c r="AB683" s="26">
        <f t="shared" si="9"/>
        <v>0</v>
      </c>
      <c r="AC683" s="155">
        <v>0.0</v>
      </c>
      <c r="AD683" s="155">
        <v>0.0</v>
      </c>
      <c r="AE683" s="155">
        <v>0.0</v>
      </c>
      <c r="AF683" s="155">
        <v>0.0</v>
      </c>
      <c r="AG683" s="155">
        <v>0.0</v>
      </c>
      <c r="AH683" s="155">
        <v>0.0</v>
      </c>
      <c r="BN683" s="155">
        <v>0.0</v>
      </c>
      <c r="BO683" s="155">
        <v>0.0</v>
      </c>
      <c r="BP683" s="155">
        <v>0.0</v>
      </c>
      <c r="BQ683" s="155">
        <v>0.0</v>
      </c>
      <c r="BR683" s="155">
        <v>0.0</v>
      </c>
      <c r="BS683" s="155">
        <v>0.0</v>
      </c>
      <c r="CV683" s="156">
        <v>0.0</v>
      </c>
      <c r="CW683" s="156">
        <v>0.0</v>
      </c>
      <c r="CX683" s="156">
        <v>0.0</v>
      </c>
      <c r="CY683" s="156">
        <v>0.0</v>
      </c>
      <c r="CZ683" s="156">
        <v>0.0</v>
      </c>
      <c r="DA683" s="156">
        <v>0.0</v>
      </c>
      <c r="EG683" s="156">
        <v>0.0</v>
      </c>
      <c r="EH683" s="156">
        <v>0.0</v>
      </c>
      <c r="EI683" s="156">
        <v>0.0</v>
      </c>
      <c r="EJ683" s="156">
        <v>0.0</v>
      </c>
      <c r="EK683" s="156">
        <v>0.0</v>
      </c>
      <c r="EL683" s="156">
        <v>0.0</v>
      </c>
      <c r="FQ683" s="156">
        <v>0.0</v>
      </c>
      <c r="FR683" s="156">
        <v>0.0</v>
      </c>
      <c r="FS683" s="156">
        <v>0.0</v>
      </c>
      <c r="FT683" s="156">
        <v>0.0</v>
      </c>
      <c r="FU683" s="156">
        <v>0.0</v>
      </c>
      <c r="FV683" s="156">
        <v>0.0</v>
      </c>
      <c r="FW683" s="157"/>
      <c r="FX683" s="157"/>
      <c r="FY683" s="157"/>
      <c r="FZ683" s="157"/>
      <c r="GA683" s="157"/>
      <c r="GB683" s="157"/>
      <c r="GC683" s="157"/>
      <c r="GD683" s="157"/>
      <c r="GE683" s="157"/>
      <c r="GF683" s="157"/>
      <c r="GG683" s="157"/>
      <c r="GH683" s="157"/>
      <c r="GI683" s="157"/>
      <c r="GJ683" s="157"/>
      <c r="GK683" s="157"/>
      <c r="GL683" s="157"/>
      <c r="GM683" s="157"/>
      <c r="GN683" s="157"/>
      <c r="GO683" s="157"/>
      <c r="GP683" s="158"/>
      <c r="GQ683" s="157"/>
      <c r="GR683" s="157"/>
      <c r="GS683" s="157"/>
      <c r="GT683" s="157"/>
      <c r="GU683" s="157"/>
      <c r="GV683" s="157"/>
      <c r="GW683" s="157"/>
      <c r="GX683" s="157"/>
      <c r="GY683" s="157"/>
      <c r="GZ683" s="157"/>
      <c r="HA683" s="157"/>
      <c r="HB683" s="155">
        <v>0.0</v>
      </c>
      <c r="HC683" s="155">
        <v>0.0</v>
      </c>
      <c r="HD683" s="155">
        <v>0.0</v>
      </c>
      <c r="HE683" s="155">
        <v>0.0</v>
      </c>
      <c r="HF683" s="155">
        <v>0.0</v>
      </c>
      <c r="HG683" s="155">
        <v>0.0</v>
      </c>
      <c r="IL683" s="159">
        <v>9.0</v>
      </c>
      <c r="IM683" s="156">
        <v>0.0</v>
      </c>
      <c r="IN683" s="156">
        <v>0.0</v>
      </c>
      <c r="IO683" s="156">
        <v>0.0</v>
      </c>
      <c r="IP683" s="156">
        <v>0.0</v>
      </c>
      <c r="IQ683" s="160">
        <v>0.0</v>
      </c>
      <c r="JA683" s="174">
        <v>1.0</v>
      </c>
      <c r="JB683" s="174">
        <v>0.0</v>
      </c>
      <c r="JC683" s="174">
        <v>0.0</v>
      </c>
      <c r="JD683" s="174">
        <v>1.0</v>
      </c>
      <c r="JE683" s="174">
        <v>0.0</v>
      </c>
      <c r="JF683" s="174">
        <v>1.0</v>
      </c>
      <c r="JG683" s="174">
        <v>0.0</v>
      </c>
      <c r="JH683" s="177">
        <v>1.0</v>
      </c>
      <c r="JI683" s="174"/>
      <c r="JJ683" s="174"/>
      <c r="JK683" s="175">
        <v>1.0</v>
      </c>
      <c r="JL683" s="174"/>
      <c r="JM683" s="175">
        <v>1.0</v>
      </c>
      <c r="JN683" s="174"/>
      <c r="JO683" s="174"/>
      <c r="JP683" s="174"/>
      <c r="JQ683" s="174"/>
      <c r="JR683" s="175">
        <v>1.0</v>
      </c>
      <c r="JS683" s="174"/>
      <c r="JT683" s="175">
        <v>1.0</v>
      </c>
      <c r="JU683" s="174"/>
      <c r="JV683" s="175">
        <v>1.0</v>
      </c>
      <c r="JW683" s="159">
        <v>8.0</v>
      </c>
      <c r="JX683" s="156">
        <v>0.0</v>
      </c>
      <c r="JY683" s="156">
        <v>0.0</v>
      </c>
      <c r="JZ683" s="156">
        <v>0.0</v>
      </c>
      <c r="KA683" s="156">
        <v>0.0</v>
      </c>
      <c r="KB683" s="160">
        <v>0.0</v>
      </c>
      <c r="KC683" s="174"/>
      <c r="KD683" s="174"/>
      <c r="KE683" s="175">
        <v>1.0</v>
      </c>
      <c r="KF683" s="174"/>
      <c r="KG683" s="175">
        <v>1.0</v>
      </c>
      <c r="KH683" s="174"/>
      <c r="KI683" s="175">
        <v>1.0</v>
      </c>
      <c r="KJ683" s="174"/>
      <c r="KK683" s="174"/>
      <c r="KL683" s="175"/>
      <c r="KM683" s="174"/>
      <c r="KN683" s="174"/>
      <c r="KO683" s="174"/>
      <c r="KP683" s="174"/>
      <c r="KQ683" s="174"/>
      <c r="KR683" s="174"/>
      <c r="KS683" s="186">
        <v>1.0</v>
      </c>
      <c r="KT683" s="174"/>
      <c r="KU683" s="175">
        <v>1.0</v>
      </c>
      <c r="KV683" s="174"/>
      <c r="KW683" s="174"/>
      <c r="KX683" s="174"/>
      <c r="KY683" s="174"/>
      <c r="KZ683" s="175">
        <v>1.0</v>
      </c>
      <c r="LA683" s="174"/>
      <c r="LB683" s="175">
        <v>1.0</v>
      </c>
      <c r="LC683" s="174"/>
      <c r="LD683" s="175">
        <v>1.0</v>
      </c>
      <c r="LE683" s="174"/>
      <c r="LF683" s="174"/>
      <c r="LG683" s="174"/>
      <c r="LH683" s="159">
        <f t="shared" si="10"/>
        <v>6</v>
      </c>
      <c r="LI683" s="156">
        <f t="shared" si="11"/>
        <v>0</v>
      </c>
      <c r="LJ683" s="156">
        <f t="shared" si="12"/>
        <v>0</v>
      </c>
      <c r="LK683" s="156">
        <f t="shared" si="13"/>
        <v>0</v>
      </c>
      <c r="LL683" s="156">
        <f t="shared" si="14"/>
        <v>0</v>
      </c>
      <c r="LM683" s="160">
        <f t="shared" si="15"/>
        <v>0</v>
      </c>
      <c r="LN683" s="174"/>
      <c r="LO683" s="174"/>
      <c r="LP683" s="174"/>
      <c r="LQ683" s="187">
        <v>1.0</v>
      </c>
      <c r="LR683" s="174"/>
      <c r="LS683" s="174"/>
      <c r="LT683" s="187">
        <v>1.0</v>
      </c>
      <c r="LU683" s="174"/>
      <c r="LV683" s="187">
        <v>1.0</v>
      </c>
      <c r="LW683" s="174">
        <f t="shared" ref="LW683:MQ683" si="84">IFS(TODAY()&lt;=LW$2,0,WEEKDAY(LW$2)=2,1,WEEKDAY(LW$2)=3,0,WEEKDAY(LW$2)=4,1,WEEKDAY(LW$2)=5,0,WEEKDAY(LW$2)=6,1,WEEKDAY(LW$2)=7,0,WEEKDAY(LW$2)=1,0)</f>
        <v>0</v>
      </c>
      <c r="LX683" s="174">
        <f t="shared" si="84"/>
        <v>1</v>
      </c>
      <c r="LY683" s="174">
        <f t="shared" si="84"/>
        <v>0</v>
      </c>
      <c r="LZ683" s="174">
        <f t="shared" si="84"/>
        <v>0</v>
      </c>
      <c r="MA683" s="174">
        <f t="shared" si="84"/>
        <v>1</v>
      </c>
      <c r="MB683" s="174">
        <f t="shared" si="84"/>
        <v>0</v>
      </c>
      <c r="MC683" s="174">
        <f t="shared" si="84"/>
        <v>1</v>
      </c>
      <c r="MD683" s="174">
        <f t="shared" si="84"/>
        <v>0</v>
      </c>
      <c r="ME683" s="174">
        <f t="shared" si="84"/>
        <v>0</v>
      </c>
      <c r="MF683" s="174">
        <f t="shared" si="84"/>
        <v>0</v>
      </c>
      <c r="MG683" s="174">
        <f t="shared" si="84"/>
        <v>0</v>
      </c>
      <c r="MH683" s="174">
        <f t="shared" si="84"/>
        <v>0</v>
      </c>
      <c r="MI683" s="174">
        <f t="shared" si="84"/>
        <v>0</v>
      </c>
      <c r="MJ683" s="174">
        <f t="shared" si="84"/>
        <v>0</v>
      </c>
      <c r="MK683" s="174">
        <f t="shared" si="84"/>
        <v>0</v>
      </c>
      <c r="ML683" s="174">
        <f t="shared" si="84"/>
        <v>0</v>
      </c>
      <c r="MM683" s="174">
        <f t="shared" si="84"/>
        <v>0</v>
      </c>
      <c r="MN683" s="174">
        <f t="shared" si="84"/>
        <v>0</v>
      </c>
      <c r="MO683" s="174">
        <f t="shared" si="84"/>
        <v>0</v>
      </c>
      <c r="MP683" s="174">
        <f t="shared" si="84"/>
        <v>0</v>
      </c>
      <c r="MQ683" s="174">
        <f t="shared" si="84"/>
        <v>0</v>
      </c>
      <c r="QX683" s="560">
        <v>46207.0</v>
      </c>
    </row>
    <row r="684">
      <c r="A684" s="12"/>
      <c r="B684" s="12"/>
      <c r="C684" s="12"/>
      <c r="D684" s="12"/>
      <c r="E684" s="12"/>
      <c r="F684" s="494"/>
      <c r="G684" s="12"/>
      <c r="H684" s="12"/>
      <c r="I684" s="143">
        <f t="shared" si="22"/>
        <v>-31</v>
      </c>
      <c r="J684" s="23">
        <v>46216.0</v>
      </c>
      <c r="K684" s="294" t="s">
        <v>48</v>
      </c>
      <c r="L684" s="108"/>
      <c r="M684" s="162" t="s">
        <v>3263</v>
      </c>
      <c r="N684" s="188">
        <v>246.0</v>
      </c>
      <c r="O684" s="86">
        <v>30.0</v>
      </c>
      <c r="U684" s="162" t="s">
        <v>3241</v>
      </c>
      <c r="V684" s="538" t="s">
        <v>613</v>
      </c>
      <c r="W684" s="125" t="s">
        <v>3672</v>
      </c>
      <c r="X684" s="140"/>
      <c r="Y684" s="166">
        <f t="shared" si="23"/>
        <v>31</v>
      </c>
      <c r="Z684" s="26">
        <f t="shared" si="7"/>
        <v>0</v>
      </c>
      <c r="AA684" s="26">
        <f t="shared" si="8"/>
        <v>0</v>
      </c>
      <c r="AB684" s="26">
        <f t="shared" si="9"/>
        <v>0</v>
      </c>
      <c r="AC684" s="155">
        <v>0.0</v>
      </c>
      <c r="AD684" s="155">
        <v>0.0</v>
      </c>
      <c r="AE684" s="155">
        <v>0.0</v>
      </c>
      <c r="AF684" s="155">
        <v>0.0</v>
      </c>
      <c r="AG684" s="155">
        <v>0.0</v>
      </c>
      <c r="AH684" s="155">
        <v>0.0</v>
      </c>
      <c r="BN684" s="155">
        <v>0.0</v>
      </c>
      <c r="BO684" s="155">
        <v>0.0</v>
      </c>
      <c r="BP684" s="155">
        <v>0.0</v>
      </c>
      <c r="BQ684" s="155">
        <v>0.0</v>
      </c>
      <c r="BR684" s="155">
        <v>0.0</v>
      </c>
      <c r="BS684" s="155">
        <v>0.0</v>
      </c>
      <c r="CV684" s="156">
        <v>0.0</v>
      </c>
      <c r="CW684" s="156">
        <v>0.0</v>
      </c>
      <c r="CX684" s="156">
        <v>0.0</v>
      </c>
      <c r="CY684" s="156">
        <v>0.0</v>
      </c>
      <c r="CZ684" s="156">
        <v>0.0</v>
      </c>
      <c r="DA684" s="156">
        <v>0.0</v>
      </c>
      <c r="EG684" s="156">
        <v>0.0</v>
      </c>
      <c r="EH684" s="156">
        <v>0.0</v>
      </c>
      <c r="EI684" s="156">
        <v>0.0</v>
      </c>
      <c r="EJ684" s="156">
        <v>0.0</v>
      </c>
      <c r="EK684" s="156">
        <v>0.0</v>
      </c>
      <c r="EL684" s="156">
        <v>0.0</v>
      </c>
      <c r="FQ684" s="156">
        <v>0.0</v>
      </c>
      <c r="FR684" s="156">
        <v>0.0</v>
      </c>
      <c r="FS684" s="156">
        <v>0.0</v>
      </c>
      <c r="FT684" s="156">
        <v>0.0</v>
      </c>
      <c r="FU684" s="156">
        <v>0.0</v>
      </c>
      <c r="FV684" s="156">
        <v>0.0</v>
      </c>
      <c r="FW684" s="157"/>
      <c r="FX684" s="157"/>
      <c r="FY684" s="157"/>
      <c r="FZ684" s="157"/>
      <c r="GA684" s="157"/>
      <c r="GB684" s="157"/>
      <c r="GC684" s="157"/>
      <c r="GD684" s="157"/>
      <c r="GE684" s="157"/>
      <c r="GF684" s="157"/>
      <c r="GG684" s="157"/>
      <c r="GH684" s="157"/>
      <c r="GI684" s="157"/>
      <c r="GJ684" s="157"/>
      <c r="GK684" s="157"/>
      <c r="GL684" s="157"/>
      <c r="GM684" s="157"/>
      <c r="GN684" s="157"/>
      <c r="GO684" s="157"/>
      <c r="GP684" s="158"/>
      <c r="GQ684" s="157"/>
      <c r="GR684" s="157"/>
      <c r="GS684" s="157"/>
      <c r="GT684" s="157"/>
      <c r="GU684" s="157"/>
      <c r="GV684" s="157"/>
      <c r="GW684" s="157"/>
      <c r="GX684" s="157"/>
      <c r="GY684" s="157"/>
      <c r="GZ684" s="157"/>
      <c r="HA684" s="157"/>
      <c r="HB684" s="155">
        <v>0.0</v>
      </c>
      <c r="HC684" s="155">
        <v>0.0</v>
      </c>
      <c r="HD684" s="155">
        <v>0.0</v>
      </c>
      <c r="HE684" s="155">
        <v>0.0</v>
      </c>
      <c r="HF684" s="155">
        <v>0.0</v>
      </c>
      <c r="HG684" s="155">
        <v>0.0</v>
      </c>
      <c r="IL684" s="159">
        <v>9.0</v>
      </c>
      <c r="IM684" s="156">
        <v>0.0</v>
      </c>
      <c r="IN684" s="156">
        <v>0.0</v>
      </c>
      <c r="IO684" s="156">
        <v>0.0</v>
      </c>
      <c r="IP684" s="156">
        <v>0.0</v>
      </c>
      <c r="IQ684" s="160">
        <v>0.0</v>
      </c>
      <c r="JD684" s="174">
        <v>1.0</v>
      </c>
      <c r="JE684" s="174">
        <v>0.0</v>
      </c>
      <c r="JF684" s="174">
        <v>1.0</v>
      </c>
      <c r="JG684" s="174">
        <v>0.0</v>
      </c>
      <c r="JH684" s="177">
        <v>1.0</v>
      </c>
      <c r="JI684" s="174"/>
      <c r="JJ684" s="174"/>
      <c r="JK684" s="175">
        <v>1.0</v>
      </c>
      <c r="JL684" s="174"/>
      <c r="JM684" s="175">
        <v>1.0</v>
      </c>
      <c r="JN684" s="175">
        <v>1.0</v>
      </c>
      <c r="JO684" s="174"/>
      <c r="JP684" s="174"/>
      <c r="JQ684" s="174"/>
      <c r="JR684" s="175">
        <v>1.0</v>
      </c>
      <c r="JS684" s="174"/>
      <c r="JT684" s="175">
        <v>1.0</v>
      </c>
      <c r="JU684" s="175">
        <v>1.0</v>
      </c>
      <c r="JV684" s="174"/>
      <c r="JW684" s="159">
        <v>19.0</v>
      </c>
      <c r="JX684" s="156">
        <v>0.0</v>
      </c>
      <c r="JY684" s="156">
        <v>0.0</v>
      </c>
      <c r="JZ684" s="156">
        <v>0.0</v>
      </c>
      <c r="KA684" s="156">
        <v>0.0</v>
      </c>
      <c r="KB684" s="160">
        <v>0.0</v>
      </c>
      <c r="KC684" s="174"/>
      <c r="KD684" s="174"/>
      <c r="KE684" s="175">
        <v>1.0</v>
      </c>
      <c r="KF684" s="174"/>
      <c r="KG684" s="175">
        <v>1.0</v>
      </c>
      <c r="KH684" s="175">
        <v>1.0</v>
      </c>
      <c r="KI684" s="175">
        <v>1.0</v>
      </c>
      <c r="KJ684" s="175">
        <v>1.0</v>
      </c>
      <c r="KK684" s="174"/>
      <c r="KL684" s="175">
        <v>1.0</v>
      </c>
      <c r="KM684" s="175">
        <v>1.0</v>
      </c>
      <c r="KN684" s="175">
        <v>1.0</v>
      </c>
      <c r="KO684" s="175">
        <v>1.0</v>
      </c>
      <c r="KP684" s="175">
        <v>1.0</v>
      </c>
      <c r="KQ684" s="175">
        <v>1.0</v>
      </c>
      <c r="KR684" s="174"/>
      <c r="KS684" s="186">
        <v>1.0</v>
      </c>
      <c r="KT684" s="175">
        <v>1.0</v>
      </c>
      <c r="KU684" s="175">
        <v>1.0</v>
      </c>
      <c r="KV684" s="175">
        <v>1.0</v>
      </c>
      <c r="KW684" s="174"/>
      <c r="KX684" s="175">
        <v>1.0</v>
      </c>
      <c r="KY684" s="174"/>
      <c r="KZ684" s="174"/>
      <c r="LA684" s="175">
        <v>1.0</v>
      </c>
      <c r="LB684" s="174"/>
      <c r="LC684" s="175">
        <v>1.0</v>
      </c>
      <c r="LD684" s="174"/>
      <c r="LE684" s="175">
        <v>1.0</v>
      </c>
      <c r="LF684" s="174"/>
      <c r="LG684" s="174"/>
      <c r="LH684" s="159">
        <f t="shared" si="10"/>
        <v>3</v>
      </c>
      <c r="LI684" s="156">
        <f t="shared" si="11"/>
        <v>0</v>
      </c>
      <c r="LJ684" s="156">
        <f t="shared" si="12"/>
        <v>0</v>
      </c>
      <c r="LK684" s="156">
        <f t="shared" si="13"/>
        <v>0</v>
      </c>
      <c r="LL684" s="156">
        <f t="shared" si="14"/>
        <v>0</v>
      </c>
      <c r="LM684" s="160">
        <f t="shared" si="15"/>
        <v>0</v>
      </c>
      <c r="LN684" s="174"/>
      <c r="LO684" s="174"/>
      <c r="LP684" s="174"/>
      <c r="LQ684" s="174"/>
      <c r="LR684" s="174"/>
      <c r="LS684" s="174"/>
      <c r="LT684" s="174"/>
      <c r="LU684" s="174"/>
      <c r="LV684" s="174"/>
      <c r="LW684" s="174">
        <f t="shared" ref="LW684:MQ684" si="85">IFS(TODAY()&lt;=LW$2,0,WEEKDAY(LW$2)=2,1,WEEKDAY(LW$2)=3,0,WEEKDAY(LW$2)=4,1,WEEKDAY(LW$2)=5,0,WEEKDAY(LW$2)=6,1,WEEKDAY(LW$2)=7,0,WEEKDAY(LW$2)=1,0)</f>
        <v>0</v>
      </c>
      <c r="LX684" s="174">
        <f t="shared" si="85"/>
        <v>1</v>
      </c>
      <c r="LY684" s="174">
        <f t="shared" si="85"/>
        <v>0</v>
      </c>
      <c r="LZ684" s="174">
        <f t="shared" si="85"/>
        <v>0</v>
      </c>
      <c r="MA684" s="174">
        <f t="shared" si="85"/>
        <v>1</v>
      </c>
      <c r="MB684" s="174">
        <f t="shared" si="85"/>
        <v>0</v>
      </c>
      <c r="MC684" s="174">
        <f t="shared" si="85"/>
        <v>1</v>
      </c>
      <c r="MD684" s="174">
        <f t="shared" si="85"/>
        <v>0</v>
      </c>
      <c r="ME684" s="174">
        <f t="shared" si="85"/>
        <v>0</v>
      </c>
      <c r="MF684" s="174">
        <f t="shared" si="85"/>
        <v>0</v>
      </c>
      <c r="MG684" s="174">
        <f t="shared" si="85"/>
        <v>0</v>
      </c>
      <c r="MH684" s="174">
        <f t="shared" si="85"/>
        <v>0</v>
      </c>
      <c r="MI684" s="174">
        <f t="shared" si="85"/>
        <v>0</v>
      </c>
      <c r="MJ684" s="174">
        <f t="shared" si="85"/>
        <v>0</v>
      </c>
      <c r="MK684" s="174">
        <f t="shared" si="85"/>
        <v>0</v>
      </c>
      <c r="ML684" s="174">
        <f t="shared" si="85"/>
        <v>0</v>
      </c>
      <c r="MM684" s="174">
        <f t="shared" si="85"/>
        <v>0</v>
      </c>
      <c r="MN684" s="174">
        <f t="shared" si="85"/>
        <v>0</v>
      </c>
      <c r="MO684" s="174">
        <f t="shared" si="85"/>
        <v>0</v>
      </c>
      <c r="MP684" s="174">
        <f t="shared" si="85"/>
        <v>0</v>
      </c>
      <c r="MQ684" s="174">
        <f t="shared" si="85"/>
        <v>0</v>
      </c>
      <c r="QX684" s="560">
        <v>46210.0</v>
      </c>
    </row>
    <row r="685">
      <c r="A685" s="12"/>
      <c r="B685" s="12"/>
      <c r="C685" s="12"/>
      <c r="D685" s="12"/>
      <c r="E685" s="12"/>
      <c r="F685" s="12"/>
      <c r="G685" s="12"/>
      <c r="H685" s="12"/>
      <c r="I685" s="143">
        <f t="shared" si="22"/>
        <v>-3</v>
      </c>
      <c r="J685" s="537">
        <v>46218.0</v>
      </c>
      <c r="K685" s="164" t="s">
        <v>53</v>
      </c>
      <c r="L685" s="541">
        <v>46246.0</v>
      </c>
      <c r="M685" s="86" t="s">
        <v>400</v>
      </c>
      <c r="N685" s="86">
        <v>46.0</v>
      </c>
      <c r="O685" s="86">
        <v>30.0</v>
      </c>
      <c r="U685" s="162" t="s">
        <v>2519</v>
      </c>
      <c r="V685" s="538" t="s">
        <v>307</v>
      </c>
      <c r="W685" s="185" t="s">
        <v>3673</v>
      </c>
      <c r="X685" s="140"/>
      <c r="Y685" s="166">
        <f t="shared" si="23"/>
        <v>3</v>
      </c>
      <c r="Z685" s="26">
        <f t="shared" si="7"/>
        <v>0</v>
      </c>
      <c r="AA685" s="26">
        <f t="shared" si="8"/>
        <v>0</v>
      </c>
      <c r="AB685" s="26">
        <f t="shared" si="9"/>
        <v>0</v>
      </c>
      <c r="AC685" s="155">
        <v>0.0</v>
      </c>
      <c r="AD685" s="155">
        <v>0.0</v>
      </c>
      <c r="AE685" s="155">
        <v>0.0</v>
      </c>
      <c r="AF685" s="155">
        <v>0.0</v>
      </c>
      <c r="AG685" s="155">
        <v>0.0</v>
      </c>
      <c r="AH685" s="155">
        <v>0.0</v>
      </c>
      <c r="BN685" s="155">
        <v>0.0</v>
      </c>
      <c r="BO685" s="155">
        <v>0.0</v>
      </c>
      <c r="BP685" s="155">
        <v>0.0</v>
      </c>
      <c r="BQ685" s="155">
        <v>0.0</v>
      </c>
      <c r="BR685" s="155">
        <v>0.0</v>
      </c>
      <c r="BS685" s="155">
        <v>0.0</v>
      </c>
      <c r="CV685" s="156">
        <v>0.0</v>
      </c>
      <c r="CW685" s="156">
        <v>0.0</v>
      </c>
      <c r="CX685" s="156">
        <v>0.0</v>
      </c>
      <c r="CY685" s="156">
        <v>0.0</v>
      </c>
      <c r="CZ685" s="156">
        <v>0.0</v>
      </c>
      <c r="DA685" s="156">
        <v>0.0</v>
      </c>
      <c r="EG685" s="156">
        <v>0.0</v>
      </c>
      <c r="EH685" s="156">
        <v>0.0</v>
      </c>
      <c r="EI685" s="156">
        <v>0.0</v>
      </c>
      <c r="EJ685" s="156">
        <v>0.0</v>
      </c>
      <c r="EK685" s="156">
        <v>0.0</v>
      </c>
      <c r="EL685" s="156">
        <v>0.0</v>
      </c>
      <c r="FQ685" s="156">
        <v>0.0</v>
      </c>
      <c r="FR685" s="156">
        <v>0.0</v>
      </c>
      <c r="FS685" s="156">
        <v>0.0</v>
      </c>
      <c r="FT685" s="156">
        <v>0.0</v>
      </c>
      <c r="FU685" s="156">
        <v>0.0</v>
      </c>
      <c r="FV685" s="156">
        <v>0.0</v>
      </c>
      <c r="FW685" s="157"/>
      <c r="FX685" s="157"/>
      <c r="FY685" s="157"/>
      <c r="FZ685" s="157"/>
      <c r="GA685" s="157"/>
      <c r="GB685" s="157"/>
      <c r="GC685" s="157"/>
      <c r="GD685" s="157"/>
      <c r="GE685" s="157"/>
      <c r="GF685" s="157"/>
      <c r="GG685" s="157"/>
      <c r="GH685" s="157"/>
      <c r="GI685" s="157"/>
      <c r="GJ685" s="157"/>
      <c r="GK685" s="157"/>
      <c r="GL685" s="157"/>
      <c r="GM685" s="157"/>
      <c r="GN685" s="157"/>
      <c r="GO685" s="157"/>
      <c r="GP685" s="158"/>
      <c r="GQ685" s="157"/>
      <c r="GR685" s="157"/>
      <c r="GS685" s="157"/>
      <c r="GT685" s="157"/>
      <c r="GU685" s="157"/>
      <c r="GV685" s="157"/>
      <c r="GW685" s="157"/>
      <c r="GX685" s="157"/>
      <c r="GY685" s="157"/>
      <c r="GZ685" s="157"/>
      <c r="HA685" s="157"/>
      <c r="HB685" s="155">
        <v>0.0</v>
      </c>
      <c r="HC685" s="155">
        <v>0.0</v>
      </c>
      <c r="HD685" s="155">
        <v>0.0</v>
      </c>
      <c r="HE685" s="155">
        <v>0.0</v>
      </c>
      <c r="HF685" s="155">
        <v>0.0</v>
      </c>
      <c r="HG685" s="155">
        <v>0.0</v>
      </c>
      <c r="IL685" s="159">
        <v>2.0</v>
      </c>
      <c r="IM685" s="156">
        <v>0.0</v>
      </c>
      <c r="IN685" s="156">
        <v>0.0</v>
      </c>
      <c r="IO685" s="156">
        <v>0.0</v>
      </c>
      <c r="IP685" s="156">
        <v>0.0</v>
      </c>
      <c r="IQ685" s="160">
        <v>0.0</v>
      </c>
      <c r="JF685" s="174">
        <v>1.0</v>
      </c>
      <c r="JG685" s="174">
        <v>0.0</v>
      </c>
      <c r="JH685" s="177">
        <v>1.0</v>
      </c>
      <c r="JI685" s="174"/>
      <c r="JJ685" s="174"/>
      <c r="JK685" s="174"/>
      <c r="JL685" s="174"/>
      <c r="JM685" s="174"/>
      <c r="JN685" s="174"/>
      <c r="JO685" s="174"/>
      <c r="JP685" s="174"/>
      <c r="JQ685" s="174"/>
      <c r="JR685" s="174"/>
      <c r="JS685" s="174"/>
      <c r="JT685" s="174"/>
      <c r="JU685" s="174"/>
      <c r="JV685" s="174"/>
      <c r="JW685" s="159">
        <v>1.0</v>
      </c>
      <c r="JX685" s="156">
        <v>0.0</v>
      </c>
      <c r="JY685" s="156">
        <v>0.0</v>
      </c>
      <c r="JZ685" s="156">
        <v>0.0</v>
      </c>
      <c r="KA685" s="156">
        <v>0.0</v>
      </c>
      <c r="KB685" s="160">
        <v>0.0</v>
      </c>
      <c r="KG685" s="86">
        <v>1.0</v>
      </c>
      <c r="KS685" s="178"/>
      <c r="LH685" s="159">
        <f t="shared" si="10"/>
        <v>0</v>
      </c>
      <c r="LI685" s="156">
        <f t="shared" si="11"/>
        <v>0</v>
      </c>
      <c r="LJ685" s="156">
        <f t="shared" si="12"/>
        <v>0</v>
      </c>
      <c r="LK685" s="156">
        <f t="shared" si="13"/>
        <v>0</v>
      </c>
      <c r="LL685" s="156">
        <f t="shared" si="14"/>
        <v>0</v>
      </c>
      <c r="LM685" s="160">
        <f t="shared" si="15"/>
        <v>0</v>
      </c>
      <c r="QX685" s="560">
        <v>46210.0</v>
      </c>
    </row>
    <row r="686">
      <c r="A686" s="12"/>
      <c r="B686" s="12"/>
      <c r="C686" s="12"/>
      <c r="D686" s="12"/>
      <c r="E686" s="12"/>
      <c r="F686" s="12"/>
      <c r="G686" s="12"/>
      <c r="H686" s="12"/>
      <c r="I686" s="143">
        <f t="shared" si="22"/>
        <v>-21</v>
      </c>
      <c r="J686" s="537">
        <v>46216.0</v>
      </c>
      <c r="K686" s="294" t="s">
        <v>48</v>
      </c>
      <c r="L686" s="108"/>
      <c r="M686" s="162" t="s">
        <v>348</v>
      </c>
      <c r="N686" s="86">
        <v>246.0</v>
      </c>
      <c r="O686" s="86">
        <v>30.0</v>
      </c>
      <c r="U686" s="162" t="s">
        <v>3590</v>
      </c>
      <c r="V686" s="538" t="s">
        <v>3568</v>
      </c>
      <c r="W686" s="125" t="s">
        <v>3674</v>
      </c>
      <c r="X686" s="140"/>
      <c r="Y686" s="166">
        <f t="shared" si="23"/>
        <v>21</v>
      </c>
      <c r="Z686" s="26">
        <f t="shared" si="7"/>
        <v>0</v>
      </c>
      <c r="AA686" s="26">
        <f t="shared" si="8"/>
        <v>0</v>
      </c>
      <c r="AB686" s="26">
        <f t="shared" si="9"/>
        <v>0</v>
      </c>
      <c r="AC686" s="155">
        <v>0.0</v>
      </c>
      <c r="AD686" s="155">
        <v>0.0</v>
      </c>
      <c r="AE686" s="155">
        <v>0.0</v>
      </c>
      <c r="AF686" s="155">
        <v>0.0</v>
      </c>
      <c r="AG686" s="155">
        <v>0.0</v>
      </c>
      <c r="AH686" s="155">
        <v>0.0</v>
      </c>
      <c r="BN686" s="155">
        <v>0.0</v>
      </c>
      <c r="BO686" s="155">
        <v>0.0</v>
      </c>
      <c r="BP686" s="155">
        <v>0.0</v>
      </c>
      <c r="BQ686" s="155">
        <v>0.0</v>
      </c>
      <c r="BR686" s="155">
        <v>0.0</v>
      </c>
      <c r="BS686" s="155">
        <v>0.0</v>
      </c>
      <c r="CV686" s="156">
        <v>0.0</v>
      </c>
      <c r="CW686" s="156">
        <v>0.0</v>
      </c>
      <c r="CX686" s="156">
        <v>0.0</v>
      </c>
      <c r="CY686" s="156">
        <v>0.0</v>
      </c>
      <c r="CZ686" s="156">
        <v>0.0</v>
      </c>
      <c r="DA686" s="156">
        <v>0.0</v>
      </c>
      <c r="EG686" s="156">
        <v>0.0</v>
      </c>
      <c r="EH686" s="156">
        <v>0.0</v>
      </c>
      <c r="EI686" s="156">
        <v>0.0</v>
      </c>
      <c r="EJ686" s="156">
        <v>0.0</v>
      </c>
      <c r="EK686" s="156">
        <v>0.0</v>
      </c>
      <c r="EL686" s="156">
        <v>0.0</v>
      </c>
      <c r="FQ686" s="156">
        <v>0.0</v>
      </c>
      <c r="FR686" s="156">
        <v>0.0</v>
      </c>
      <c r="FS686" s="156">
        <v>0.0</v>
      </c>
      <c r="FT686" s="156">
        <v>0.0</v>
      </c>
      <c r="FU686" s="156">
        <v>0.0</v>
      </c>
      <c r="FV686" s="156">
        <v>0.0</v>
      </c>
      <c r="FW686" s="157"/>
      <c r="FX686" s="157"/>
      <c r="FY686" s="157"/>
      <c r="FZ686" s="157"/>
      <c r="GA686" s="157"/>
      <c r="GB686" s="157"/>
      <c r="GC686" s="157"/>
      <c r="GD686" s="157"/>
      <c r="GE686" s="157"/>
      <c r="GF686" s="157"/>
      <c r="GG686" s="157"/>
      <c r="GH686" s="157"/>
      <c r="GI686" s="157"/>
      <c r="GJ686" s="157"/>
      <c r="GK686" s="157"/>
      <c r="GL686" s="157"/>
      <c r="GM686" s="157"/>
      <c r="GN686" s="157"/>
      <c r="GO686" s="157"/>
      <c r="GP686" s="158"/>
      <c r="GQ686" s="157"/>
      <c r="GR686" s="157"/>
      <c r="GS686" s="157"/>
      <c r="GT686" s="157"/>
      <c r="GU686" s="157"/>
      <c r="GV686" s="157"/>
      <c r="GW686" s="157"/>
      <c r="GX686" s="157"/>
      <c r="GY686" s="157"/>
      <c r="GZ686" s="157"/>
      <c r="HA686" s="157"/>
      <c r="HB686" s="155">
        <v>0.0</v>
      </c>
      <c r="HC686" s="155">
        <v>0.0</v>
      </c>
      <c r="HD686" s="155">
        <v>0.0</v>
      </c>
      <c r="HE686" s="155">
        <v>0.0</v>
      </c>
      <c r="HF686" s="155">
        <v>0.0</v>
      </c>
      <c r="HG686" s="155">
        <v>0.0</v>
      </c>
      <c r="IL686" s="159">
        <v>6.0</v>
      </c>
      <c r="IM686" s="156">
        <v>0.0</v>
      </c>
      <c r="IN686" s="156">
        <v>0.0</v>
      </c>
      <c r="IO686" s="156">
        <v>0.0</v>
      </c>
      <c r="IP686" s="156">
        <v>0.0</v>
      </c>
      <c r="IQ686" s="160">
        <v>0.0</v>
      </c>
      <c r="JD686" s="174">
        <v>1.0</v>
      </c>
      <c r="JE686" s="174">
        <v>0.0</v>
      </c>
      <c r="JF686" s="174"/>
      <c r="JG686" s="174">
        <v>0.0</v>
      </c>
      <c r="JH686" s="177"/>
      <c r="JI686" s="174"/>
      <c r="JJ686" s="174"/>
      <c r="JK686" s="175">
        <v>1.0</v>
      </c>
      <c r="JL686" s="174"/>
      <c r="JM686" s="175">
        <v>1.0</v>
      </c>
      <c r="JN686" s="174"/>
      <c r="JO686" s="175">
        <v>1.0</v>
      </c>
      <c r="JP686" s="174"/>
      <c r="JQ686" s="174"/>
      <c r="JR686" s="174"/>
      <c r="JS686" s="174"/>
      <c r="JT686" s="175">
        <v>1.0</v>
      </c>
      <c r="JU686" s="174"/>
      <c r="JV686" s="175">
        <v>1.0</v>
      </c>
      <c r="JW686" s="159">
        <v>10.0</v>
      </c>
      <c r="JX686" s="156">
        <v>0.0</v>
      </c>
      <c r="JY686" s="156">
        <v>0.0</v>
      </c>
      <c r="JZ686" s="156">
        <v>0.0</v>
      </c>
      <c r="KA686" s="156">
        <v>0.0</v>
      </c>
      <c r="KB686" s="160">
        <v>0.0</v>
      </c>
      <c r="KC686" s="174"/>
      <c r="KD686" s="174"/>
      <c r="KE686" s="175">
        <v>1.0</v>
      </c>
      <c r="KF686" s="174"/>
      <c r="KG686" s="175">
        <v>1.0</v>
      </c>
      <c r="KH686" s="174"/>
      <c r="KI686" s="175">
        <v>1.0</v>
      </c>
      <c r="KJ686" s="174"/>
      <c r="KK686" s="174"/>
      <c r="KL686" s="175">
        <v>1.0</v>
      </c>
      <c r="KM686" s="174"/>
      <c r="KN686" s="174"/>
      <c r="KO686" s="174"/>
      <c r="KP686" s="175">
        <v>1.0</v>
      </c>
      <c r="KQ686" s="174"/>
      <c r="KR686" s="174"/>
      <c r="KS686" s="472"/>
      <c r="KT686" s="174"/>
      <c r="KU686" s="175">
        <v>1.0</v>
      </c>
      <c r="KV686" s="174"/>
      <c r="KW686" s="174"/>
      <c r="KX686" s="174"/>
      <c r="KY686" s="174"/>
      <c r="KZ686" s="175">
        <v>1.0</v>
      </c>
      <c r="LA686" s="174"/>
      <c r="LB686" s="175">
        <v>1.0</v>
      </c>
      <c r="LC686" s="174"/>
      <c r="LD686" s="175">
        <v>1.0</v>
      </c>
      <c r="LE686" s="174"/>
      <c r="LF686" s="175"/>
      <c r="LG686" s="175">
        <v>1.0</v>
      </c>
      <c r="LH686" s="159">
        <f t="shared" si="10"/>
        <v>5</v>
      </c>
      <c r="LI686" s="156">
        <f t="shared" si="11"/>
        <v>0</v>
      </c>
      <c r="LJ686" s="156">
        <f t="shared" si="12"/>
        <v>0</v>
      </c>
      <c r="LK686" s="156">
        <f t="shared" si="13"/>
        <v>0</v>
      </c>
      <c r="LL686" s="156">
        <f t="shared" si="14"/>
        <v>0</v>
      </c>
      <c r="LM686" s="160">
        <f t="shared" si="15"/>
        <v>0</v>
      </c>
      <c r="LN686" s="174"/>
      <c r="LO686" s="174"/>
      <c r="LP686" s="174"/>
      <c r="LQ686" s="174"/>
      <c r="LR686" s="174"/>
      <c r="LS686" s="174"/>
      <c r="LT686" s="187">
        <v>1.0</v>
      </c>
      <c r="LU686" s="174"/>
      <c r="LV686" s="187">
        <v>1.0</v>
      </c>
      <c r="LW686" s="174">
        <f t="shared" ref="LW686:MQ686" si="86">IFS(TODAY()&lt;=LW$2,0,WEEKDAY(LW$2)=2,1,WEEKDAY(LW$2)=3,0,WEEKDAY(LW$2)=4,1,WEEKDAY(LW$2)=5,0,WEEKDAY(LW$2)=6,1,WEEKDAY(LW$2)=7,0,WEEKDAY(LW$2)=1,0)</f>
        <v>0</v>
      </c>
      <c r="LX686" s="174">
        <f t="shared" si="86"/>
        <v>1</v>
      </c>
      <c r="LY686" s="174">
        <f t="shared" si="86"/>
        <v>0</v>
      </c>
      <c r="LZ686" s="174">
        <f t="shared" si="86"/>
        <v>0</v>
      </c>
      <c r="MA686" s="174">
        <f t="shared" si="86"/>
        <v>1</v>
      </c>
      <c r="MB686" s="174">
        <f t="shared" si="86"/>
        <v>0</v>
      </c>
      <c r="MC686" s="174">
        <f t="shared" si="86"/>
        <v>1</v>
      </c>
      <c r="MD686" s="174">
        <f t="shared" si="86"/>
        <v>0</v>
      </c>
      <c r="ME686" s="174">
        <f t="shared" si="86"/>
        <v>0</v>
      </c>
      <c r="MF686" s="174">
        <f t="shared" si="86"/>
        <v>0</v>
      </c>
      <c r="MG686" s="174">
        <f t="shared" si="86"/>
        <v>0</v>
      </c>
      <c r="MH686" s="174">
        <f t="shared" si="86"/>
        <v>0</v>
      </c>
      <c r="MI686" s="174">
        <f t="shared" si="86"/>
        <v>0</v>
      </c>
      <c r="MJ686" s="174">
        <f t="shared" si="86"/>
        <v>0</v>
      </c>
      <c r="MK686" s="174">
        <f t="shared" si="86"/>
        <v>0</v>
      </c>
      <c r="ML686" s="174">
        <f t="shared" si="86"/>
        <v>0</v>
      </c>
      <c r="MM686" s="174">
        <f t="shared" si="86"/>
        <v>0</v>
      </c>
      <c r="MN686" s="174">
        <f t="shared" si="86"/>
        <v>0</v>
      </c>
      <c r="MO686" s="174">
        <f t="shared" si="86"/>
        <v>0</v>
      </c>
      <c r="MP686" s="174">
        <f t="shared" si="86"/>
        <v>0</v>
      </c>
      <c r="MQ686" s="174">
        <f t="shared" si="86"/>
        <v>0</v>
      </c>
      <c r="QX686" s="560">
        <v>46212.0</v>
      </c>
    </row>
    <row r="687">
      <c r="A687" s="12"/>
      <c r="B687" s="12"/>
      <c r="C687" s="12"/>
      <c r="D687" s="12"/>
      <c r="E687" s="12"/>
      <c r="F687" s="494"/>
      <c r="G687" s="12"/>
      <c r="H687" s="12"/>
      <c r="I687" s="143">
        <f t="shared" si="22"/>
        <v>-20</v>
      </c>
      <c r="J687" s="537">
        <v>46216.0</v>
      </c>
      <c r="K687" s="294" t="s">
        <v>48</v>
      </c>
      <c r="L687" s="108"/>
      <c r="M687" s="86" t="s">
        <v>107</v>
      </c>
      <c r="N687" s="86">
        <v>246.0</v>
      </c>
      <c r="O687" s="86">
        <v>30.0</v>
      </c>
      <c r="U687" s="162" t="s">
        <v>3675</v>
      </c>
      <c r="V687" s="538" t="s">
        <v>907</v>
      </c>
      <c r="W687" s="185" t="s">
        <v>3676</v>
      </c>
      <c r="X687" s="140"/>
      <c r="Y687" s="166">
        <f t="shared" si="23"/>
        <v>20</v>
      </c>
      <c r="Z687" s="26">
        <f t="shared" si="7"/>
        <v>0</v>
      </c>
      <c r="AA687" s="26">
        <f t="shared" si="8"/>
        <v>0</v>
      </c>
      <c r="AB687" s="26">
        <f t="shared" si="9"/>
        <v>0</v>
      </c>
      <c r="AC687" s="155">
        <v>0.0</v>
      </c>
      <c r="AD687" s="155">
        <v>0.0</v>
      </c>
      <c r="AE687" s="155">
        <v>0.0</v>
      </c>
      <c r="AF687" s="155">
        <v>0.0</v>
      </c>
      <c r="AG687" s="155">
        <v>0.0</v>
      </c>
      <c r="AH687" s="155">
        <v>0.0</v>
      </c>
      <c r="BN687" s="155">
        <v>0.0</v>
      </c>
      <c r="BO687" s="155">
        <v>0.0</v>
      </c>
      <c r="BP687" s="155">
        <v>0.0</v>
      </c>
      <c r="BQ687" s="155">
        <v>0.0</v>
      </c>
      <c r="BR687" s="155">
        <v>0.0</v>
      </c>
      <c r="BS687" s="155">
        <v>0.0</v>
      </c>
      <c r="CV687" s="156">
        <v>0.0</v>
      </c>
      <c r="CW687" s="156">
        <v>0.0</v>
      </c>
      <c r="CX687" s="156">
        <v>0.0</v>
      </c>
      <c r="CY687" s="156">
        <v>0.0</v>
      </c>
      <c r="CZ687" s="156">
        <v>0.0</v>
      </c>
      <c r="DA687" s="156">
        <v>0.0</v>
      </c>
      <c r="EG687" s="156">
        <v>0.0</v>
      </c>
      <c r="EH687" s="156">
        <v>0.0</v>
      </c>
      <c r="EI687" s="156">
        <v>0.0</v>
      </c>
      <c r="EJ687" s="156">
        <v>0.0</v>
      </c>
      <c r="EK687" s="156">
        <v>0.0</v>
      </c>
      <c r="EL687" s="156">
        <v>0.0</v>
      </c>
      <c r="FQ687" s="156">
        <v>0.0</v>
      </c>
      <c r="FR687" s="156">
        <v>0.0</v>
      </c>
      <c r="FS687" s="156">
        <v>0.0</v>
      </c>
      <c r="FT687" s="156">
        <v>0.0</v>
      </c>
      <c r="FU687" s="156">
        <v>0.0</v>
      </c>
      <c r="FV687" s="156">
        <v>0.0</v>
      </c>
      <c r="FW687" s="157"/>
      <c r="FX687" s="157"/>
      <c r="FY687" s="157"/>
      <c r="FZ687" s="157"/>
      <c r="GA687" s="157"/>
      <c r="GB687" s="157"/>
      <c r="GC687" s="157"/>
      <c r="GD687" s="157"/>
      <c r="GE687" s="157"/>
      <c r="GF687" s="157"/>
      <c r="GG687" s="157"/>
      <c r="GH687" s="157"/>
      <c r="GI687" s="157"/>
      <c r="GJ687" s="157"/>
      <c r="GK687" s="157"/>
      <c r="GL687" s="157"/>
      <c r="GM687" s="157"/>
      <c r="GN687" s="157"/>
      <c r="GO687" s="157"/>
      <c r="GP687" s="158"/>
      <c r="GQ687" s="157"/>
      <c r="GR687" s="157"/>
      <c r="GS687" s="157"/>
      <c r="GT687" s="157"/>
      <c r="GU687" s="157"/>
      <c r="GV687" s="157"/>
      <c r="GW687" s="157"/>
      <c r="GX687" s="157"/>
      <c r="GY687" s="157"/>
      <c r="GZ687" s="157"/>
      <c r="HA687" s="157"/>
      <c r="HB687" s="155">
        <v>0.0</v>
      </c>
      <c r="HC687" s="155">
        <v>0.0</v>
      </c>
      <c r="HD687" s="155">
        <v>0.0</v>
      </c>
      <c r="HE687" s="155">
        <v>0.0</v>
      </c>
      <c r="HF687" s="155">
        <v>0.0</v>
      </c>
      <c r="HG687" s="155">
        <v>0.0</v>
      </c>
      <c r="IL687" s="159">
        <v>7.0</v>
      </c>
      <c r="IM687" s="156">
        <v>0.0</v>
      </c>
      <c r="IN687" s="156">
        <v>0.0</v>
      </c>
      <c r="IO687" s="156">
        <v>0.0</v>
      </c>
      <c r="IP687" s="156">
        <v>0.0</v>
      </c>
      <c r="IQ687" s="160">
        <v>0.0</v>
      </c>
      <c r="JD687" s="174">
        <v>1.0</v>
      </c>
      <c r="JE687" s="174">
        <v>0.0</v>
      </c>
      <c r="JF687" s="174">
        <v>1.0</v>
      </c>
      <c r="JG687" s="174">
        <v>0.0</v>
      </c>
      <c r="JH687" s="177">
        <v>1.0</v>
      </c>
      <c r="JI687" s="174"/>
      <c r="JJ687" s="174"/>
      <c r="JK687" s="175">
        <v>1.0</v>
      </c>
      <c r="JL687" s="174"/>
      <c r="JM687" s="174"/>
      <c r="JN687" s="174"/>
      <c r="JO687" s="174"/>
      <c r="JP687" s="174"/>
      <c r="JQ687" s="174"/>
      <c r="JR687" s="175">
        <v>1.0</v>
      </c>
      <c r="JS687" s="174"/>
      <c r="JT687" s="175">
        <v>1.0</v>
      </c>
      <c r="JU687" s="174"/>
      <c r="JV687" s="175">
        <v>1.0</v>
      </c>
      <c r="JW687" s="159">
        <v>7.0</v>
      </c>
      <c r="JX687" s="156">
        <v>0.0</v>
      </c>
      <c r="JY687" s="156">
        <v>0.0</v>
      </c>
      <c r="JZ687" s="156">
        <v>0.0</v>
      </c>
      <c r="KA687" s="156">
        <v>0.0</v>
      </c>
      <c r="KB687" s="160">
        <v>0.0</v>
      </c>
      <c r="KC687" s="174"/>
      <c r="KD687" s="174"/>
      <c r="KE687" s="175">
        <v>1.0</v>
      </c>
      <c r="KF687" s="174"/>
      <c r="KG687" s="174"/>
      <c r="KH687" s="174"/>
      <c r="KI687" s="174"/>
      <c r="KJ687" s="174"/>
      <c r="KK687" s="174"/>
      <c r="KL687" s="175">
        <v>1.0</v>
      </c>
      <c r="KM687" s="174"/>
      <c r="KN687" s="175">
        <v>1.0</v>
      </c>
      <c r="KO687" s="174"/>
      <c r="KP687" s="174"/>
      <c r="KQ687" s="174"/>
      <c r="KR687" s="174"/>
      <c r="KS687" s="472"/>
      <c r="KT687" s="174"/>
      <c r="KU687" s="175">
        <v>1.0</v>
      </c>
      <c r="KV687" s="174"/>
      <c r="KW687" s="175">
        <v>1.0</v>
      </c>
      <c r="KX687" s="174"/>
      <c r="KY687" s="174"/>
      <c r="KZ687" s="174"/>
      <c r="LA687" s="174"/>
      <c r="LB687" s="175">
        <v>1.0</v>
      </c>
      <c r="LC687" s="174"/>
      <c r="LD687" s="175">
        <v>1.0</v>
      </c>
      <c r="LE687" s="174"/>
      <c r="LF687" s="174"/>
      <c r="LG687" s="174"/>
      <c r="LH687" s="159">
        <f t="shared" si="10"/>
        <v>6</v>
      </c>
      <c r="LI687" s="156">
        <f t="shared" si="11"/>
        <v>0</v>
      </c>
      <c r="LJ687" s="156">
        <f t="shared" si="12"/>
        <v>0</v>
      </c>
      <c r="LK687" s="156">
        <f t="shared" si="13"/>
        <v>0</v>
      </c>
      <c r="LL687" s="156">
        <f t="shared" si="14"/>
        <v>0</v>
      </c>
      <c r="LM687" s="160">
        <f t="shared" si="15"/>
        <v>0</v>
      </c>
      <c r="LN687" s="174"/>
      <c r="LO687" s="174"/>
      <c r="LP687" s="174"/>
      <c r="LQ687" s="187">
        <v>1.0</v>
      </c>
      <c r="LR687" s="174"/>
      <c r="LS687" s="174"/>
      <c r="LT687" s="187">
        <v>1.0</v>
      </c>
      <c r="LU687" s="174"/>
      <c r="LV687" s="187">
        <v>1.0</v>
      </c>
      <c r="LW687" s="174">
        <f t="shared" ref="LW687:MQ687" si="87">IFS(TODAY()&lt;=LW$2,0,WEEKDAY(LW$2)=2,1,WEEKDAY(LW$2)=3,0,WEEKDAY(LW$2)=4,1,WEEKDAY(LW$2)=5,0,WEEKDAY(LW$2)=6,1,WEEKDAY(LW$2)=7,0,WEEKDAY(LW$2)=1,0)</f>
        <v>0</v>
      </c>
      <c r="LX687" s="174">
        <f t="shared" si="87"/>
        <v>1</v>
      </c>
      <c r="LY687" s="174">
        <f t="shared" si="87"/>
        <v>0</v>
      </c>
      <c r="LZ687" s="174">
        <f t="shared" si="87"/>
        <v>0</v>
      </c>
      <c r="MA687" s="174">
        <f t="shared" si="87"/>
        <v>1</v>
      </c>
      <c r="MB687" s="174">
        <f t="shared" si="87"/>
        <v>0</v>
      </c>
      <c r="MC687" s="174">
        <f t="shared" si="87"/>
        <v>1</v>
      </c>
      <c r="MD687" s="174">
        <f t="shared" si="87"/>
        <v>0</v>
      </c>
      <c r="ME687" s="174">
        <f t="shared" si="87"/>
        <v>0</v>
      </c>
      <c r="MF687" s="174">
        <f t="shared" si="87"/>
        <v>0</v>
      </c>
      <c r="MG687" s="174">
        <f t="shared" si="87"/>
        <v>0</v>
      </c>
      <c r="MH687" s="174">
        <f t="shared" si="87"/>
        <v>0</v>
      </c>
      <c r="MI687" s="174">
        <f t="shared" si="87"/>
        <v>0</v>
      </c>
      <c r="MJ687" s="174">
        <f t="shared" si="87"/>
        <v>0</v>
      </c>
      <c r="MK687" s="174">
        <f t="shared" si="87"/>
        <v>0</v>
      </c>
      <c r="ML687" s="174">
        <f t="shared" si="87"/>
        <v>0</v>
      </c>
      <c r="MM687" s="174">
        <f t="shared" si="87"/>
        <v>0</v>
      </c>
      <c r="MN687" s="174">
        <f t="shared" si="87"/>
        <v>0</v>
      </c>
      <c r="MO687" s="174">
        <f t="shared" si="87"/>
        <v>0</v>
      </c>
      <c r="MP687" s="174">
        <f t="shared" si="87"/>
        <v>0</v>
      </c>
      <c r="MQ687" s="174">
        <f t="shared" si="87"/>
        <v>0</v>
      </c>
      <c r="QX687" s="560">
        <v>46212.0</v>
      </c>
    </row>
    <row r="688">
      <c r="A688" s="12"/>
      <c r="B688" s="12"/>
      <c r="C688" s="12"/>
      <c r="D688" s="12"/>
      <c r="E688" s="12"/>
      <c r="F688" s="12"/>
      <c r="G688" s="12"/>
      <c r="H688" s="12"/>
      <c r="I688" s="143">
        <f t="shared" si="22"/>
        <v>-20</v>
      </c>
      <c r="J688" s="537">
        <v>46219.0</v>
      </c>
      <c r="K688" s="294" t="s">
        <v>48</v>
      </c>
      <c r="L688" s="108"/>
      <c r="M688" s="86" t="s">
        <v>107</v>
      </c>
      <c r="N688" s="86">
        <v>357.0</v>
      </c>
      <c r="O688" s="86">
        <v>30.0</v>
      </c>
      <c r="U688" s="162" t="s">
        <v>3493</v>
      </c>
      <c r="V688" s="538" t="s">
        <v>3494</v>
      </c>
      <c r="W688" s="185" t="s">
        <v>3677</v>
      </c>
      <c r="X688" s="140"/>
      <c r="Y688" s="166">
        <f t="shared" si="23"/>
        <v>20</v>
      </c>
      <c r="Z688" s="26">
        <f t="shared" si="7"/>
        <v>0</v>
      </c>
      <c r="AA688" s="26">
        <f t="shared" si="8"/>
        <v>0</v>
      </c>
      <c r="AB688" s="26">
        <f t="shared" si="9"/>
        <v>0</v>
      </c>
      <c r="AC688" s="155">
        <v>0.0</v>
      </c>
      <c r="AD688" s="155">
        <v>0.0</v>
      </c>
      <c r="AE688" s="155">
        <v>0.0</v>
      </c>
      <c r="AF688" s="155">
        <v>0.0</v>
      </c>
      <c r="AG688" s="155">
        <v>0.0</v>
      </c>
      <c r="AH688" s="155">
        <v>0.0</v>
      </c>
      <c r="BN688" s="155">
        <v>0.0</v>
      </c>
      <c r="BO688" s="155">
        <v>0.0</v>
      </c>
      <c r="BP688" s="155">
        <v>0.0</v>
      </c>
      <c r="BQ688" s="155">
        <v>0.0</v>
      </c>
      <c r="BR688" s="155">
        <v>0.0</v>
      </c>
      <c r="BS688" s="155">
        <v>0.0</v>
      </c>
      <c r="CV688" s="156">
        <v>0.0</v>
      </c>
      <c r="CW688" s="156">
        <v>0.0</v>
      </c>
      <c r="CX688" s="156">
        <v>0.0</v>
      </c>
      <c r="CY688" s="156">
        <v>0.0</v>
      </c>
      <c r="CZ688" s="156">
        <v>0.0</v>
      </c>
      <c r="DA688" s="156">
        <v>0.0</v>
      </c>
      <c r="EG688" s="156">
        <v>0.0</v>
      </c>
      <c r="EH688" s="156">
        <v>0.0</v>
      </c>
      <c r="EI688" s="156">
        <v>0.0</v>
      </c>
      <c r="EJ688" s="156">
        <v>0.0</v>
      </c>
      <c r="EK688" s="156">
        <v>0.0</v>
      </c>
      <c r="EL688" s="156">
        <v>0.0</v>
      </c>
      <c r="FQ688" s="156">
        <v>0.0</v>
      </c>
      <c r="FR688" s="156">
        <v>0.0</v>
      </c>
      <c r="FS688" s="156">
        <v>0.0</v>
      </c>
      <c r="FT688" s="156">
        <v>0.0</v>
      </c>
      <c r="FU688" s="156">
        <v>0.0</v>
      </c>
      <c r="FV688" s="156">
        <v>0.0</v>
      </c>
      <c r="FW688" s="157"/>
      <c r="FX688" s="157"/>
      <c r="FY688" s="157"/>
      <c r="FZ688" s="157"/>
      <c r="GA688" s="157"/>
      <c r="GB688" s="157"/>
      <c r="GC688" s="157"/>
      <c r="GD688" s="157"/>
      <c r="GE688" s="157"/>
      <c r="GF688" s="157"/>
      <c r="GG688" s="157"/>
      <c r="GH688" s="157"/>
      <c r="GI688" s="157"/>
      <c r="GJ688" s="157"/>
      <c r="GK688" s="157"/>
      <c r="GL688" s="157"/>
      <c r="GM688" s="157"/>
      <c r="GN688" s="157"/>
      <c r="GO688" s="157"/>
      <c r="GP688" s="158"/>
      <c r="GQ688" s="157"/>
      <c r="GR688" s="157"/>
      <c r="GS688" s="157"/>
      <c r="GT688" s="157"/>
      <c r="GU688" s="157"/>
      <c r="GV688" s="157"/>
      <c r="GW688" s="157"/>
      <c r="GX688" s="157"/>
      <c r="GY688" s="157"/>
      <c r="GZ688" s="157"/>
      <c r="HA688" s="157"/>
      <c r="HB688" s="155">
        <v>0.0</v>
      </c>
      <c r="HC688" s="155">
        <v>0.0</v>
      </c>
      <c r="HD688" s="155">
        <v>0.0</v>
      </c>
      <c r="HE688" s="155">
        <v>0.0</v>
      </c>
      <c r="HF688" s="155">
        <v>0.0</v>
      </c>
      <c r="HG688" s="155">
        <v>0.0</v>
      </c>
      <c r="IL688" s="159">
        <v>4.0</v>
      </c>
      <c r="IM688" s="156">
        <v>0.0</v>
      </c>
      <c r="IN688" s="156">
        <v>0.0</v>
      </c>
      <c r="IO688" s="156">
        <v>0.0</v>
      </c>
      <c r="IP688" s="156">
        <v>0.0</v>
      </c>
      <c r="IQ688" s="160">
        <v>0.0</v>
      </c>
      <c r="JG688" s="172">
        <v>1.0</v>
      </c>
      <c r="JH688" s="170">
        <v>0.0</v>
      </c>
      <c r="JI688" s="172">
        <v>1.0</v>
      </c>
      <c r="JJ688" s="172"/>
      <c r="JK688" s="172"/>
      <c r="JL688" s="172"/>
      <c r="JM688" s="172"/>
      <c r="JN688" s="172"/>
      <c r="JO688" s="172"/>
      <c r="JP688" s="172">
        <v>1.0</v>
      </c>
      <c r="JQ688" s="172"/>
      <c r="JR688" s="172"/>
      <c r="JS688" s="172">
        <v>1.0</v>
      </c>
      <c r="JT688" s="172"/>
      <c r="JU688" s="172"/>
      <c r="JV688" s="172"/>
      <c r="JW688" s="159">
        <v>8.0</v>
      </c>
      <c r="JX688" s="156">
        <v>0.0</v>
      </c>
      <c r="JY688" s="156">
        <v>0.0</v>
      </c>
      <c r="JZ688" s="156">
        <v>0.0</v>
      </c>
      <c r="KA688" s="156">
        <v>0.0</v>
      </c>
      <c r="KB688" s="160">
        <v>0.0</v>
      </c>
      <c r="KC688" s="172"/>
      <c r="KD688" s="172">
        <v>1.0</v>
      </c>
      <c r="KE688" s="172"/>
      <c r="KF688" s="172"/>
      <c r="KG688" s="172"/>
      <c r="KH688" s="172">
        <v>1.0</v>
      </c>
      <c r="KI688" s="172"/>
      <c r="KJ688" s="172">
        <v>1.0</v>
      </c>
      <c r="KK688" s="172"/>
      <c r="KL688" s="172"/>
      <c r="KM688" s="172"/>
      <c r="KN688" s="172"/>
      <c r="KO688" s="172"/>
      <c r="KP688" s="172"/>
      <c r="KQ688" s="172"/>
      <c r="KR688" s="172"/>
      <c r="KS688" s="432"/>
      <c r="KT688" s="172">
        <v>1.0</v>
      </c>
      <c r="KU688" s="172"/>
      <c r="KV688" s="172"/>
      <c r="KW688" s="172"/>
      <c r="KX688" s="172">
        <v>1.0</v>
      </c>
      <c r="KY688" s="172"/>
      <c r="KZ688" s="172"/>
      <c r="LA688" s="172">
        <v>1.0</v>
      </c>
      <c r="LB688" s="172"/>
      <c r="LC688" s="172">
        <v>1.0</v>
      </c>
      <c r="LD688" s="172"/>
      <c r="LE688" s="172">
        <v>1.0</v>
      </c>
      <c r="LF688" s="172"/>
      <c r="LG688" s="172"/>
      <c r="LH688" s="159">
        <f t="shared" si="10"/>
        <v>8</v>
      </c>
      <c r="LI688" s="156">
        <f t="shared" si="11"/>
        <v>0</v>
      </c>
      <c r="LJ688" s="156">
        <f t="shared" si="12"/>
        <v>0</v>
      </c>
      <c r="LK688" s="156">
        <f t="shared" si="13"/>
        <v>0</v>
      </c>
      <c r="LL688" s="156">
        <f t="shared" si="14"/>
        <v>0</v>
      </c>
      <c r="LM688" s="160">
        <f t="shared" si="15"/>
        <v>0</v>
      </c>
      <c r="LP688" s="189">
        <v>1.0</v>
      </c>
      <c r="LW688" s="12">
        <f t="shared" ref="LW688:MQ688" si="88">IFS(TODAY()&lt;=LC$2,0,WEEKDAY(LC$2)=2,0,WEEKDAY(LC$2)=3,1,WEEKDAY(LC$2)=4,0,WEEKDAY(LC$2)=5,1,WEEKDAY(LC$2)=6,0,WEEKDAY(LC$2)=7,1,WEEKDAY(LC$2)=1,0)</f>
        <v>1</v>
      </c>
      <c r="LX688" s="12">
        <f t="shared" si="88"/>
        <v>0</v>
      </c>
      <c r="LY688" s="12">
        <f t="shared" si="88"/>
        <v>1</v>
      </c>
      <c r="LZ688" s="12">
        <f t="shared" si="88"/>
        <v>0</v>
      </c>
      <c r="MA688" s="12">
        <f t="shared" si="88"/>
        <v>0</v>
      </c>
      <c r="MB688" s="12">
        <f t="shared" si="88"/>
        <v>0</v>
      </c>
      <c r="MC688" s="12">
        <f t="shared" si="88"/>
        <v>0</v>
      </c>
      <c r="MD688" s="12">
        <f t="shared" si="88"/>
        <v>0</v>
      </c>
      <c r="ME688" s="12">
        <f t="shared" si="88"/>
        <v>0</v>
      </c>
      <c r="MF688" s="12">
        <f t="shared" si="88"/>
        <v>0</v>
      </c>
      <c r="MG688" s="12">
        <f t="shared" si="88"/>
        <v>0</v>
      </c>
      <c r="MH688" s="12">
        <f t="shared" si="88"/>
        <v>1</v>
      </c>
      <c r="MI688" s="12">
        <f t="shared" si="88"/>
        <v>0</v>
      </c>
      <c r="MJ688" s="12">
        <f t="shared" si="88"/>
        <v>1</v>
      </c>
      <c r="MK688" s="12">
        <f t="shared" si="88"/>
        <v>0</v>
      </c>
      <c r="ML688" s="12">
        <f t="shared" si="88"/>
        <v>1</v>
      </c>
      <c r="MM688" s="12">
        <f t="shared" si="88"/>
        <v>0</v>
      </c>
      <c r="MN688" s="12">
        <f t="shared" si="88"/>
        <v>0</v>
      </c>
      <c r="MO688" s="12">
        <f t="shared" si="88"/>
        <v>1</v>
      </c>
      <c r="MP688" s="12">
        <f t="shared" si="88"/>
        <v>0</v>
      </c>
      <c r="MQ688" s="12">
        <f t="shared" si="88"/>
        <v>1</v>
      </c>
      <c r="QX688" s="560">
        <v>46213.0</v>
      </c>
    </row>
    <row r="689">
      <c r="A689" s="12"/>
      <c r="B689" s="12"/>
      <c r="C689" s="12"/>
      <c r="D689" s="12"/>
      <c r="E689" s="58"/>
      <c r="F689" s="12"/>
      <c r="G689" s="12"/>
      <c r="H689" s="12"/>
      <c r="I689" s="143">
        <f t="shared" si="22"/>
        <v>-24</v>
      </c>
      <c r="J689" s="537">
        <v>46218.0</v>
      </c>
      <c r="K689" s="294" t="s">
        <v>48</v>
      </c>
      <c r="L689" s="108"/>
      <c r="M689" s="86" t="s">
        <v>348</v>
      </c>
      <c r="N689" s="86">
        <v>246.0</v>
      </c>
      <c r="O689" s="86">
        <v>30.0</v>
      </c>
      <c r="U689" s="162" t="s">
        <v>3678</v>
      </c>
      <c r="V689" s="538" t="s">
        <v>3448</v>
      </c>
      <c r="W689" s="622" t="s">
        <v>3679</v>
      </c>
      <c r="X689" s="140"/>
      <c r="Y689" s="166">
        <f t="shared" si="23"/>
        <v>24</v>
      </c>
      <c r="Z689" s="26">
        <f t="shared" si="7"/>
        <v>0</v>
      </c>
      <c r="AA689" s="26">
        <f t="shared" si="8"/>
        <v>0</v>
      </c>
      <c r="AB689" s="26">
        <f t="shared" si="9"/>
        <v>0</v>
      </c>
      <c r="AC689" s="155">
        <v>0.0</v>
      </c>
      <c r="AD689" s="155">
        <v>0.0</v>
      </c>
      <c r="AE689" s="155">
        <v>0.0</v>
      </c>
      <c r="AF689" s="155">
        <v>0.0</v>
      </c>
      <c r="AG689" s="155">
        <v>0.0</v>
      </c>
      <c r="AH689" s="155">
        <v>0.0</v>
      </c>
      <c r="BN689" s="155">
        <v>0.0</v>
      </c>
      <c r="BO689" s="155">
        <v>0.0</v>
      </c>
      <c r="BP689" s="155">
        <v>0.0</v>
      </c>
      <c r="BQ689" s="155">
        <v>0.0</v>
      </c>
      <c r="BR689" s="155">
        <v>0.0</v>
      </c>
      <c r="BS689" s="155">
        <v>0.0</v>
      </c>
      <c r="CV689" s="156">
        <v>0.0</v>
      </c>
      <c r="CW689" s="156">
        <v>0.0</v>
      </c>
      <c r="CX689" s="156">
        <v>0.0</v>
      </c>
      <c r="CY689" s="156">
        <v>0.0</v>
      </c>
      <c r="CZ689" s="156">
        <v>0.0</v>
      </c>
      <c r="DA689" s="156">
        <v>0.0</v>
      </c>
      <c r="EG689" s="156">
        <v>0.0</v>
      </c>
      <c r="EH689" s="156">
        <v>0.0</v>
      </c>
      <c r="EI689" s="156">
        <v>0.0</v>
      </c>
      <c r="EJ689" s="156">
        <v>0.0</v>
      </c>
      <c r="EK689" s="156">
        <v>0.0</v>
      </c>
      <c r="EL689" s="156">
        <v>0.0</v>
      </c>
      <c r="FQ689" s="156">
        <v>0.0</v>
      </c>
      <c r="FR689" s="156">
        <v>0.0</v>
      </c>
      <c r="FS689" s="156">
        <v>0.0</v>
      </c>
      <c r="FT689" s="156">
        <v>0.0</v>
      </c>
      <c r="FU689" s="156">
        <v>0.0</v>
      </c>
      <c r="FV689" s="156">
        <v>0.0</v>
      </c>
      <c r="FW689" s="157"/>
      <c r="FX689" s="157"/>
      <c r="FY689" s="157"/>
      <c r="FZ689" s="157"/>
      <c r="GA689" s="157"/>
      <c r="GB689" s="157"/>
      <c r="GC689" s="157"/>
      <c r="GD689" s="157"/>
      <c r="GE689" s="157"/>
      <c r="GF689" s="157"/>
      <c r="GG689" s="157"/>
      <c r="GH689" s="157"/>
      <c r="GI689" s="157"/>
      <c r="GJ689" s="157"/>
      <c r="GK689" s="157"/>
      <c r="GL689" s="157"/>
      <c r="GM689" s="157"/>
      <c r="GN689" s="157"/>
      <c r="GO689" s="157"/>
      <c r="GP689" s="158"/>
      <c r="GQ689" s="157"/>
      <c r="GR689" s="157"/>
      <c r="GS689" s="157"/>
      <c r="GT689" s="157"/>
      <c r="GU689" s="157"/>
      <c r="GV689" s="157"/>
      <c r="GW689" s="157"/>
      <c r="GX689" s="157"/>
      <c r="GY689" s="157"/>
      <c r="GZ689" s="157"/>
      <c r="HA689" s="157"/>
      <c r="HB689" s="155">
        <v>0.0</v>
      </c>
      <c r="HC689" s="155">
        <v>0.0</v>
      </c>
      <c r="HD689" s="155">
        <v>0.0</v>
      </c>
      <c r="HE689" s="155">
        <v>0.0</v>
      </c>
      <c r="HF689" s="155">
        <v>0.0</v>
      </c>
      <c r="HG689" s="155">
        <v>0.0</v>
      </c>
      <c r="IL689" s="159">
        <v>7.0</v>
      </c>
      <c r="IM689" s="156">
        <v>0.0</v>
      </c>
      <c r="IN689" s="156">
        <v>0.0</v>
      </c>
      <c r="IO689" s="156">
        <v>0.0</v>
      </c>
      <c r="IP689" s="156">
        <v>0.0</v>
      </c>
      <c r="IQ689" s="160">
        <v>0.0</v>
      </c>
      <c r="JF689" s="174">
        <v>1.0</v>
      </c>
      <c r="JG689" s="174">
        <v>0.0</v>
      </c>
      <c r="JH689" s="177">
        <v>1.0</v>
      </c>
      <c r="JI689" s="174"/>
      <c r="JJ689" s="174"/>
      <c r="JK689" s="175">
        <v>1.0</v>
      </c>
      <c r="JL689" s="174"/>
      <c r="JM689" s="174"/>
      <c r="JN689" s="174"/>
      <c r="JO689" s="174"/>
      <c r="JP689" s="175">
        <v>1.0</v>
      </c>
      <c r="JQ689" s="174"/>
      <c r="JR689" s="175">
        <v>1.0</v>
      </c>
      <c r="JS689" s="174"/>
      <c r="JT689" s="175">
        <v>1.0</v>
      </c>
      <c r="JU689" s="174"/>
      <c r="JV689" s="175">
        <v>1.0</v>
      </c>
      <c r="JW689" s="159">
        <v>11.0</v>
      </c>
      <c r="JX689" s="156">
        <v>0.0</v>
      </c>
      <c r="JY689" s="156">
        <v>0.0</v>
      </c>
      <c r="JZ689" s="156">
        <v>0.0</v>
      </c>
      <c r="KA689" s="156">
        <v>0.0</v>
      </c>
      <c r="KB689" s="160">
        <v>0.0</v>
      </c>
      <c r="KC689" s="174"/>
      <c r="KD689" s="174"/>
      <c r="KE689" s="175">
        <v>1.0</v>
      </c>
      <c r="KF689" s="174"/>
      <c r="KG689" s="175">
        <v>1.0</v>
      </c>
      <c r="KH689" s="174"/>
      <c r="KI689" s="175">
        <v>1.0</v>
      </c>
      <c r="KJ689" s="174"/>
      <c r="KK689" s="174"/>
      <c r="KL689" s="175">
        <v>1.0</v>
      </c>
      <c r="KM689" s="174"/>
      <c r="KN689" s="175">
        <v>1.0</v>
      </c>
      <c r="KO689" s="174"/>
      <c r="KP689" s="175">
        <v>1.0</v>
      </c>
      <c r="KQ689" s="174"/>
      <c r="KR689" s="174"/>
      <c r="KS689" s="186">
        <v>1.0</v>
      </c>
      <c r="KT689" s="174"/>
      <c r="KU689" s="175">
        <v>1.0</v>
      </c>
      <c r="KV689" s="174"/>
      <c r="KW689" s="175">
        <v>1.0</v>
      </c>
      <c r="KX689" s="174"/>
      <c r="KY689" s="174"/>
      <c r="KZ689" s="175">
        <v>1.0</v>
      </c>
      <c r="LA689" s="174"/>
      <c r="LB689" s="175">
        <v>1.0</v>
      </c>
      <c r="LC689" s="174"/>
      <c r="LD689" s="174"/>
      <c r="LE689" s="174"/>
      <c r="LF689" s="174"/>
      <c r="LG689" s="174"/>
      <c r="LH689" s="159">
        <f t="shared" si="10"/>
        <v>6</v>
      </c>
      <c r="LI689" s="156">
        <f t="shared" si="11"/>
        <v>0</v>
      </c>
      <c r="LJ689" s="156">
        <f t="shared" si="12"/>
        <v>0</v>
      </c>
      <c r="LK689" s="156">
        <f t="shared" si="13"/>
        <v>0</v>
      </c>
      <c r="LL689" s="156">
        <f t="shared" si="14"/>
        <v>0</v>
      </c>
      <c r="LM689" s="160">
        <f t="shared" si="15"/>
        <v>0</v>
      </c>
      <c r="LN689" s="174"/>
      <c r="LO689" s="174"/>
      <c r="LP689" s="174"/>
      <c r="LQ689" s="187">
        <v>1.0</v>
      </c>
      <c r="LR689" s="174"/>
      <c r="LS689" s="174"/>
      <c r="LT689" s="187">
        <v>1.0</v>
      </c>
      <c r="LU689" s="174"/>
      <c r="LV689" s="187">
        <v>1.0</v>
      </c>
      <c r="LW689" s="174">
        <f t="shared" ref="LW689:MQ689" si="89">IFS(TODAY()&lt;=LW$2,0,WEEKDAY(LW$2)=2,1,WEEKDAY(LW$2)=3,0,WEEKDAY(LW$2)=4,1,WEEKDAY(LW$2)=5,0,WEEKDAY(LW$2)=6,1,WEEKDAY(LW$2)=7,0,WEEKDAY(LW$2)=1,0)</f>
        <v>0</v>
      </c>
      <c r="LX689" s="174">
        <f t="shared" si="89"/>
        <v>1</v>
      </c>
      <c r="LY689" s="174">
        <f t="shared" si="89"/>
        <v>0</v>
      </c>
      <c r="LZ689" s="174">
        <f t="shared" si="89"/>
        <v>0</v>
      </c>
      <c r="MA689" s="174">
        <f t="shared" si="89"/>
        <v>1</v>
      </c>
      <c r="MB689" s="174">
        <f t="shared" si="89"/>
        <v>0</v>
      </c>
      <c r="MC689" s="174">
        <f t="shared" si="89"/>
        <v>1</v>
      </c>
      <c r="MD689" s="174">
        <f t="shared" si="89"/>
        <v>0</v>
      </c>
      <c r="ME689" s="174">
        <f t="shared" si="89"/>
        <v>0</v>
      </c>
      <c r="MF689" s="174">
        <f t="shared" si="89"/>
        <v>0</v>
      </c>
      <c r="MG689" s="174">
        <f t="shared" si="89"/>
        <v>0</v>
      </c>
      <c r="MH689" s="174">
        <f t="shared" si="89"/>
        <v>0</v>
      </c>
      <c r="MI689" s="174">
        <f t="shared" si="89"/>
        <v>0</v>
      </c>
      <c r="MJ689" s="174">
        <f t="shared" si="89"/>
        <v>0</v>
      </c>
      <c r="MK689" s="174">
        <f t="shared" si="89"/>
        <v>0</v>
      </c>
      <c r="ML689" s="174">
        <f t="shared" si="89"/>
        <v>0</v>
      </c>
      <c r="MM689" s="174">
        <f t="shared" si="89"/>
        <v>0</v>
      </c>
      <c r="MN689" s="174">
        <f t="shared" si="89"/>
        <v>0</v>
      </c>
      <c r="MO689" s="174">
        <f t="shared" si="89"/>
        <v>0</v>
      </c>
      <c r="MP689" s="174">
        <f t="shared" si="89"/>
        <v>0</v>
      </c>
      <c r="MQ689" s="174">
        <f t="shared" si="89"/>
        <v>0</v>
      </c>
      <c r="QX689" s="560">
        <v>46214.0</v>
      </c>
    </row>
    <row r="690">
      <c r="A690" s="12"/>
      <c r="B690" s="12"/>
      <c r="C690" s="12"/>
      <c r="D690" s="12"/>
      <c r="E690" s="12"/>
      <c r="F690" s="12"/>
      <c r="G690" s="12"/>
      <c r="H690" s="12"/>
      <c r="I690" s="143">
        <f t="shared" si="22"/>
        <v>-20</v>
      </c>
      <c r="J690" s="537">
        <v>46218.0</v>
      </c>
      <c r="K690" s="294" t="s">
        <v>48</v>
      </c>
      <c r="L690" s="108"/>
      <c r="M690" s="86" t="s">
        <v>107</v>
      </c>
      <c r="N690" s="86">
        <v>246.0</v>
      </c>
      <c r="O690" s="86">
        <v>30.0</v>
      </c>
      <c r="U690" s="162" t="s">
        <v>3373</v>
      </c>
      <c r="V690" s="538" t="s">
        <v>2993</v>
      </c>
      <c r="W690" s="125" t="s">
        <v>3680</v>
      </c>
      <c r="X690" s="140"/>
      <c r="Y690" s="166">
        <f t="shared" si="23"/>
        <v>20</v>
      </c>
      <c r="Z690" s="26">
        <f t="shared" si="7"/>
        <v>0</v>
      </c>
      <c r="AA690" s="26">
        <f t="shared" si="8"/>
        <v>0</v>
      </c>
      <c r="AB690" s="26">
        <f t="shared" si="9"/>
        <v>0</v>
      </c>
      <c r="AC690" s="156">
        <v>0.0</v>
      </c>
      <c r="AD690" s="156">
        <v>0.0</v>
      </c>
      <c r="AE690" s="156">
        <v>0.0</v>
      </c>
      <c r="AF690" s="156">
        <v>0.0</v>
      </c>
      <c r="AG690" s="156">
        <v>0.0</v>
      </c>
      <c r="AH690" s="156">
        <v>0.0</v>
      </c>
      <c r="BN690" s="155">
        <v>0.0</v>
      </c>
      <c r="BO690" s="155">
        <v>0.0</v>
      </c>
      <c r="BP690" s="155">
        <v>0.0</v>
      </c>
      <c r="BQ690" s="155">
        <v>0.0</v>
      </c>
      <c r="BR690" s="155">
        <v>0.0</v>
      </c>
      <c r="BS690" s="155">
        <v>0.0</v>
      </c>
      <c r="CV690" s="156">
        <v>0.0</v>
      </c>
      <c r="CW690" s="156">
        <v>0.0</v>
      </c>
      <c r="CX690" s="156">
        <v>0.0</v>
      </c>
      <c r="CY690" s="156">
        <v>0.0</v>
      </c>
      <c r="CZ690" s="156">
        <v>0.0</v>
      </c>
      <c r="DA690" s="156">
        <v>0.0</v>
      </c>
      <c r="EG690" s="156">
        <v>0.0</v>
      </c>
      <c r="EH690" s="156">
        <v>0.0</v>
      </c>
      <c r="EI690" s="156">
        <v>0.0</v>
      </c>
      <c r="EJ690" s="156">
        <v>0.0</v>
      </c>
      <c r="EK690" s="156">
        <v>0.0</v>
      </c>
      <c r="EL690" s="156">
        <v>0.0</v>
      </c>
      <c r="FQ690" s="156">
        <v>0.0</v>
      </c>
      <c r="FR690" s="156">
        <v>0.0</v>
      </c>
      <c r="FS690" s="156">
        <v>0.0</v>
      </c>
      <c r="FT690" s="156">
        <v>0.0</v>
      </c>
      <c r="FU690" s="156">
        <v>0.0</v>
      </c>
      <c r="FV690" s="156">
        <v>0.0</v>
      </c>
      <c r="FW690" s="157"/>
      <c r="FX690" s="157"/>
      <c r="FY690" s="157"/>
      <c r="FZ690" s="157"/>
      <c r="GA690" s="157"/>
      <c r="GB690" s="157"/>
      <c r="GC690" s="157"/>
      <c r="GD690" s="157"/>
      <c r="GE690" s="157"/>
      <c r="GF690" s="157"/>
      <c r="GG690" s="157"/>
      <c r="GH690" s="157"/>
      <c r="GI690" s="157"/>
      <c r="GJ690" s="157"/>
      <c r="GK690" s="157"/>
      <c r="GL690" s="157"/>
      <c r="GM690" s="157"/>
      <c r="GN690" s="157"/>
      <c r="GO690" s="157"/>
      <c r="GP690" s="158"/>
      <c r="GQ690" s="157"/>
      <c r="GR690" s="157"/>
      <c r="GS690" s="157"/>
      <c r="GT690" s="157"/>
      <c r="GU690" s="157"/>
      <c r="GV690" s="157"/>
      <c r="GW690" s="157"/>
      <c r="GX690" s="157"/>
      <c r="GY690" s="157"/>
      <c r="GZ690" s="157"/>
      <c r="HA690" s="157"/>
      <c r="HB690" s="155">
        <v>0.0</v>
      </c>
      <c r="HC690" s="155">
        <v>0.0</v>
      </c>
      <c r="HD690" s="155">
        <v>0.0</v>
      </c>
      <c r="HE690" s="155">
        <v>0.0</v>
      </c>
      <c r="HF690" s="155">
        <v>0.0</v>
      </c>
      <c r="HG690" s="155">
        <v>0.0</v>
      </c>
      <c r="IL690" s="159">
        <v>8.0</v>
      </c>
      <c r="IM690" s="156">
        <v>0.0</v>
      </c>
      <c r="IN690" s="156">
        <v>0.0</v>
      </c>
      <c r="IO690" s="156">
        <v>0.0</v>
      </c>
      <c r="IP690" s="156">
        <v>0.0</v>
      </c>
      <c r="IQ690" s="160">
        <v>0.0</v>
      </c>
      <c r="JF690" s="174">
        <v>1.0</v>
      </c>
      <c r="JG690" s="174">
        <v>0.0</v>
      </c>
      <c r="JH690" s="177">
        <v>1.0</v>
      </c>
      <c r="JI690" s="174"/>
      <c r="JJ690" s="174"/>
      <c r="JK690" s="175">
        <v>1.0</v>
      </c>
      <c r="JL690" s="174"/>
      <c r="JM690" s="175">
        <v>1.0</v>
      </c>
      <c r="JN690" s="174"/>
      <c r="JO690" s="175">
        <v>1.0</v>
      </c>
      <c r="JP690" s="174"/>
      <c r="JQ690" s="174"/>
      <c r="JR690" s="175">
        <v>1.0</v>
      </c>
      <c r="JS690" s="174"/>
      <c r="JT690" s="175">
        <v>1.0</v>
      </c>
      <c r="JU690" s="174"/>
      <c r="JV690" s="175">
        <v>1.0</v>
      </c>
      <c r="JW690" s="159">
        <v>6.0</v>
      </c>
      <c r="JX690" s="156">
        <v>0.0</v>
      </c>
      <c r="JY690" s="156">
        <v>0.0</v>
      </c>
      <c r="JZ690" s="156">
        <v>0.0</v>
      </c>
      <c r="KA690" s="156">
        <v>0.0</v>
      </c>
      <c r="KB690" s="160">
        <v>0.0</v>
      </c>
      <c r="KC690" s="174"/>
      <c r="KD690" s="174"/>
      <c r="KE690" s="175">
        <v>1.0</v>
      </c>
      <c r="KF690" s="174"/>
      <c r="KG690" s="174"/>
      <c r="KH690" s="174"/>
      <c r="KI690" s="174"/>
      <c r="KJ690" s="174"/>
      <c r="KK690" s="174"/>
      <c r="KL690" s="174"/>
      <c r="KM690" s="174"/>
      <c r="KN690" s="174"/>
      <c r="KO690" s="174"/>
      <c r="KP690" s="174"/>
      <c r="KQ690" s="174"/>
      <c r="KR690" s="174"/>
      <c r="KS690" s="186">
        <v>1.0</v>
      </c>
      <c r="KT690" s="174"/>
      <c r="KU690" s="175">
        <v>1.0</v>
      </c>
      <c r="KV690" s="174"/>
      <c r="KW690" s="174"/>
      <c r="KX690" s="174"/>
      <c r="KY690" s="174"/>
      <c r="KZ690" s="175">
        <v>1.0</v>
      </c>
      <c r="LA690" s="174"/>
      <c r="LB690" s="175">
        <v>1.0</v>
      </c>
      <c r="LC690" s="174"/>
      <c r="LD690" s="175">
        <v>1.0</v>
      </c>
      <c r="LE690" s="174"/>
      <c r="LF690" s="174"/>
      <c r="LG690" s="174"/>
      <c r="LH690" s="159">
        <f t="shared" si="10"/>
        <v>6</v>
      </c>
      <c r="LI690" s="156">
        <f t="shared" si="11"/>
        <v>0</v>
      </c>
      <c r="LJ690" s="156">
        <f t="shared" si="12"/>
        <v>0</v>
      </c>
      <c r="LK690" s="156">
        <f t="shared" si="13"/>
        <v>0</v>
      </c>
      <c r="LL690" s="156">
        <f t="shared" si="14"/>
        <v>0</v>
      </c>
      <c r="LM690" s="160">
        <f t="shared" si="15"/>
        <v>0</v>
      </c>
      <c r="LN690" s="174"/>
      <c r="LO690" s="174"/>
      <c r="LP690" s="174"/>
      <c r="LQ690" s="187">
        <v>1.0</v>
      </c>
      <c r="LR690" s="174"/>
      <c r="LS690" s="174"/>
      <c r="LT690" s="187">
        <v>1.0</v>
      </c>
      <c r="LU690" s="174"/>
      <c r="LV690" s="187">
        <v>1.0</v>
      </c>
      <c r="LW690" s="174">
        <f t="shared" ref="LW690:MQ690" si="90">IFS(TODAY()&lt;=LW$2,0,WEEKDAY(LW$2)=2,1,WEEKDAY(LW$2)=3,0,WEEKDAY(LW$2)=4,1,WEEKDAY(LW$2)=5,0,WEEKDAY(LW$2)=6,1,WEEKDAY(LW$2)=7,0,WEEKDAY(LW$2)=1,0)</f>
        <v>0</v>
      </c>
      <c r="LX690" s="174">
        <f t="shared" si="90"/>
        <v>1</v>
      </c>
      <c r="LY690" s="174">
        <f t="shared" si="90"/>
        <v>0</v>
      </c>
      <c r="LZ690" s="174">
        <f t="shared" si="90"/>
        <v>0</v>
      </c>
      <c r="MA690" s="174">
        <f t="shared" si="90"/>
        <v>1</v>
      </c>
      <c r="MB690" s="174">
        <f t="shared" si="90"/>
        <v>0</v>
      </c>
      <c r="MC690" s="174">
        <f t="shared" si="90"/>
        <v>1</v>
      </c>
      <c r="MD690" s="174">
        <f t="shared" si="90"/>
        <v>0</v>
      </c>
      <c r="ME690" s="174">
        <f t="shared" si="90"/>
        <v>0</v>
      </c>
      <c r="MF690" s="174">
        <f t="shared" si="90"/>
        <v>0</v>
      </c>
      <c r="MG690" s="174">
        <f t="shared" si="90"/>
        <v>0</v>
      </c>
      <c r="MH690" s="174">
        <f t="shared" si="90"/>
        <v>0</v>
      </c>
      <c r="MI690" s="174">
        <f t="shared" si="90"/>
        <v>0</v>
      </c>
      <c r="MJ690" s="174">
        <f t="shared" si="90"/>
        <v>0</v>
      </c>
      <c r="MK690" s="174">
        <f t="shared" si="90"/>
        <v>0</v>
      </c>
      <c r="ML690" s="174">
        <f t="shared" si="90"/>
        <v>0</v>
      </c>
      <c r="MM690" s="174">
        <f t="shared" si="90"/>
        <v>0</v>
      </c>
      <c r="MN690" s="174">
        <f t="shared" si="90"/>
        <v>0</v>
      </c>
      <c r="MO690" s="174">
        <f t="shared" si="90"/>
        <v>0</v>
      </c>
      <c r="MP690" s="174">
        <f t="shared" si="90"/>
        <v>0</v>
      </c>
      <c r="MQ690" s="174">
        <f t="shared" si="90"/>
        <v>0</v>
      </c>
      <c r="QX690" s="560">
        <v>46215.0</v>
      </c>
    </row>
    <row r="691">
      <c r="A691" s="12"/>
      <c r="B691" s="12"/>
      <c r="C691" s="12"/>
      <c r="D691" s="12"/>
      <c r="E691" s="12"/>
      <c r="F691" s="12"/>
      <c r="G691" s="12"/>
      <c r="H691" s="12"/>
      <c r="I691" s="143">
        <f t="shared" si="22"/>
        <v>-20</v>
      </c>
      <c r="J691" s="537">
        <v>46219.0</v>
      </c>
      <c r="K691" s="294" t="s">
        <v>48</v>
      </c>
      <c r="L691" s="162"/>
      <c r="M691" s="86" t="s">
        <v>435</v>
      </c>
      <c r="N691" s="86">
        <v>256.0</v>
      </c>
      <c r="O691" s="86">
        <v>30.0</v>
      </c>
      <c r="U691" s="162" t="s">
        <v>3681</v>
      </c>
      <c r="V691" s="538" t="s">
        <v>581</v>
      </c>
      <c r="W691" s="185" t="s">
        <v>3682</v>
      </c>
      <c r="X691" s="140"/>
      <c r="Y691" s="166">
        <f t="shared" si="23"/>
        <v>20</v>
      </c>
      <c r="Z691" s="26">
        <f t="shared" si="7"/>
        <v>0</v>
      </c>
      <c r="AA691" s="26">
        <f t="shared" si="8"/>
        <v>0</v>
      </c>
      <c r="AB691" s="26">
        <f t="shared" si="9"/>
        <v>0</v>
      </c>
      <c r="AC691" s="156">
        <v>0.0</v>
      </c>
      <c r="AD691" s="156">
        <v>0.0</v>
      </c>
      <c r="AE691" s="156">
        <v>0.0</v>
      </c>
      <c r="AF691" s="156">
        <v>0.0</v>
      </c>
      <c r="AG691" s="156">
        <v>0.0</v>
      </c>
      <c r="AH691" s="156">
        <v>0.0</v>
      </c>
      <c r="BN691" s="155">
        <v>0.0</v>
      </c>
      <c r="BO691" s="155">
        <v>0.0</v>
      </c>
      <c r="BP691" s="155">
        <v>0.0</v>
      </c>
      <c r="BQ691" s="155">
        <v>0.0</v>
      </c>
      <c r="BR691" s="155">
        <v>0.0</v>
      </c>
      <c r="BS691" s="155">
        <v>0.0</v>
      </c>
      <c r="CV691" s="156">
        <v>0.0</v>
      </c>
      <c r="CW691" s="156">
        <v>0.0</v>
      </c>
      <c r="CX691" s="156">
        <v>0.0</v>
      </c>
      <c r="CY691" s="156">
        <v>0.0</v>
      </c>
      <c r="CZ691" s="156">
        <v>0.0</v>
      </c>
      <c r="DA691" s="156">
        <v>0.0</v>
      </c>
      <c r="EG691" s="156">
        <v>0.0</v>
      </c>
      <c r="EH691" s="156">
        <v>0.0</v>
      </c>
      <c r="EI691" s="156">
        <v>0.0</v>
      </c>
      <c r="EJ691" s="156">
        <v>0.0</v>
      </c>
      <c r="EK691" s="156">
        <v>0.0</v>
      </c>
      <c r="EL691" s="156">
        <v>0.0</v>
      </c>
      <c r="FQ691" s="156">
        <v>0.0</v>
      </c>
      <c r="FR691" s="156">
        <v>0.0</v>
      </c>
      <c r="FS691" s="156">
        <v>0.0</v>
      </c>
      <c r="FT691" s="156">
        <v>0.0</v>
      </c>
      <c r="FU691" s="156">
        <v>0.0</v>
      </c>
      <c r="FV691" s="156">
        <v>0.0</v>
      </c>
      <c r="FW691" s="157"/>
      <c r="FX691" s="157"/>
      <c r="FY691" s="157"/>
      <c r="FZ691" s="157"/>
      <c r="GA691" s="157"/>
      <c r="GB691" s="157"/>
      <c r="GC691" s="157"/>
      <c r="GD691" s="157"/>
      <c r="GE691" s="157"/>
      <c r="GF691" s="157"/>
      <c r="GG691" s="157"/>
      <c r="GH691" s="157"/>
      <c r="GI691" s="157"/>
      <c r="GJ691" s="157"/>
      <c r="GK691" s="157"/>
      <c r="GL691" s="157"/>
      <c r="GM691" s="157"/>
      <c r="GN691" s="157"/>
      <c r="GO691" s="157"/>
      <c r="GP691" s="158"/>
      <c r="GQ691" s="157"/>
      <c r="GR691" s="157"/>
      <c r="GS691" s="157"/>
      <c r="GT691" s="157"/>
      <c r="GU691" s="157"/>
      <c r="GV691" s="157"/>
      <c r="GW691" s="157"/>
      <c r="GX691" s="157"/>
      <c r="GY691" s="157"/>
      <c r="GZ691" s="157"/>
      <c r="HA691" s="157"/>
      <c r="HB691" s="155">
        <v>0.0</v>
      </c>
      <c r="HC691" s="155">
        <v>0.0</v>
      </c>
      <c r="HD691" s="155">
        <v>0.0</v>
      </c>
      <c r="HE691" s="155">
        <v>0.0</v>
      </c>
      <c r="HF691" s="155">
        <v>0.0</v>
      </c>
      <c r="HG691" s="155">
        <v>0.0</v>
      </c>
      <c r="IL691" s="159">
        <v>8.0</v>
      </c>
      <c r="IM691" s="156">
        <v>0.0</v>
      </c>
      <c r="IN691" s="156">
        <v>0.0</v>
      </c>
      <c r="IO691" s="156">
        <v>0.0</v>
      </c>
      <c r="IP691" s="156">
        <v>0.0</v>
      </c>
      <c r="IQ691" s="160">
        <v>0.0</v>
      </c>
      <c r="JG691" s="172">
        <v>1.0</v>
      </c>
      <c r="JH691" s="170">
        <v>1.0</v>
      </c>
      <c r="JI691" s="172"/>
      <c r="JJ691" s="172"/>
      <c r="JK691" s="172">
        <v>1.0</v>
      </c>
      <c r="JL691" s="172"/>
      <c r="JM691" s="172"/>
      <c r="JN691" s="172">
        <v>1.0</v>
      </c>
      <c r="JO691" s="172"/>
      <c r="JP691" s="172">
        <v>1.0</v>
      </c>
      <c r="JQ691" s="172"/>
      <c r="JR691" s="172">
        <v>1.0</v>
      </c>
      <c r="JS691" s="172"/>
      <c r="JT691" s="172"/>
      <c r="JU691" s="172">
        <v>1.0</v>
      </c>
      <c r="JV691" s="172">
        <v>1.0</v>
      </c>
      <c r="JW691" s="159">
        <v>9.0</v>
      </c>
      <c r="JX691" s="156">
        <v>0.0</v>
      </c>
      <c r="JY691" s="156">
        <v>0.0</v>
      </c>
      <c r="JZ691" s="156">
        <v>0.0</v>
      </c>
      <c r="KA691" s="156">
        <v>0.0</v>
      </c>
      <c r="KB691" s="160">
        <v>0.0</v>
      </c>
      <c r="KE691" s="86">
        <v>1.0</v>
      </c>
      <c r="KI691" s="86">
        <v>2.0</v>
      </c>
      <c r="KL691" s="86">
        <v>1.0</v>
      </c>
      <c r="KO691" s="86">
        <v>1.0</v>
      </c>
      <c r="KS691" s="378">
        <v>1.0</v>
      </c>
      <c r="KV691" s="86">
        <v>1.0</v>
      </c>
      <c r="KZ691" s="86">
        <v>1.0</v>
      </c>
      <c r="LC691" s="86">
        <v>1.0</v>
      </c>
      <c r="LH691" s="159">
        <f t="shared" si="10"/>
        <v>3</v>
      </c>
      <c r="LI691" s="156">
        <f t="shared" si="11"/>
        <v>0</v>
      </c>
      <c r="LJ691" s="156">
        <f t="shared" si="12"/>
        <v>0</v>
      </c>
      <c r="LK691" s="156">
        <f t="shared" si="13"/>
        <v>0</v>
      </c>
      <c r="LL691" s="156">
        <f t="shared" si="14"/>
        <v>0</v>
      </c>
      <c r="LM691" s="160">
        <f t="shared" si="15"/>
        <v>0</v>
      </c>
      <c r="LP691" s="189">
        <v>1.0</v>
      </c>
      <c r="LT691" s="189">
        <v>1.0</v>
      </c>
      <c r="LV691" s="189">
        <v>1.0</v>
      </c>
      <c r="QX691" s="560">
        <v>46216.0</v>
      </c>
    </row>
    <row r="692">
      <c r="A692" s="58"/>
      <c r="B692" s="58"/>
      <c r="C692" s="12"/>
      <c r="D692" s="12"/>
      <c r="E692" s="12"/>
      <c r="F692" s="12"/>
      <c r="G692" s="12"/>
      <c r="H692" s="12"/>
      <c r="I692" s="143">
        <f t="shared" si="22"/>
        <v>-3</v>
      </c>
      <c r="J692" s="606">
        <v>46237.0</v>
      </c>
      <c r="K692" s="529" t="s">
        <v>48</v>
      </c>
      <c r="L692" s="607"/>
      <c r="M692" s="608" t="s">
        <v>107</v>
      </c>
      <c r="N692" s="597">
        <v>246.0</v>
      </c>
      <c r="O692" s="596">
        <v>60.0</v>
      </c>
      <c r="P692" s="598"/>
      <c r="Q692" s="598"/>
      <c r="R692" s="598"/>
      <c r="S692" s="598"/>
      <c r="T692" s="598"/>
      <c r="U692" s="596" t="s">
        <v>3493</v>
      </c>
      <c r="V692" s="621" t="s">
        <v>3494</v>
      </c>
      <c r="W692" s="623" t="s">
        <v>3658</v>
      </c>
      <c r="X692" s="140"/>
      <c r="Y692" s="166">
        <f t="shared" si="23"/>
        <v>3</v>
      </c>
      <c r="Z692" s="26">
        <f t="shared" si="7"/>
        <v>0</v>
      </c>
      <c r="AA692" s="26">
        <f t="shared" si="8"/>
        <v>0</v>
      </c>
      <c r="AB692" s="26">
        <f t="shared" si="9"/>
        <v>0</v>
      </c>
      <c r="AC692" s="156">
        <v>0.0</v>
      </c>
      <c r="AD692" s="156">
        <v>0.0</v>
      </c>
      <c r="AE692" s="156">
        <v>0.0</v>
      </c>
      <c r="AF692" s="156">
        <v>0.0</v>
      </c>
      <c r="AG692" s="156">
        <v>0.0</v>
      </c>
      <c r="AH692" s="156">
        <v>0.0</v>
      </c>
      <c r="BN692" s="155">
        <v>0.0</v>
      </c>
      <c r="BO692" s="155">
        <v>0.0</v>
      </c>
      <c r="BP692" s="155">
        <v>0.0</v>
      </c>
      <c r="BQ692" s="155">
        <v>0.0</v>
      </c>
      <c r="BR692" s="155">
        <v>0.0</v>
      </c>
      <c r="BS692" s="155">
        <v>0.0</v>
      </c>
      <c r="CV692" s="156">
        <v>0.0</v>
      </c>
      <c r="CW692" s="156">
        <v>0.0</v>
      </c>
      <c r="CX692" s="156">
        <v>0.0</v>
      </c>
      <c r="CY692" s="156">
        <v>0.0</v>
      </c>
      <c r="CZ692" s="156">
        <v>0.0</v>
      </c>
      <c r="DA692" s="156">
        <v>0.0</v>
      </c>
      <c r="EG692" s="156">
        <v>0.0</v>
      </c>
      <c r="EH692" s="156">
        <v>0.0</v>
      </c>
      <c r="EI692" s="156">
        <v>0.0</v>
      </c>
      <c r="EJ692" s="156">
        <v>0.0</v>
      </c>
      <c r="EK692" s="156">
        <v>0.0</v>
      </c>
      <c r="EL692" s="156">
        <v>0.0</v>
      </c>
      <c r="FQ692" s="156">
        <v>0.0</v>
      </c>
      <c r="FR692" s="156">
        <v>0.0</v>
      </c>
      <c r="FS692" s="156">
        <v>0.0</v>
      </c>
      <c r="FT692" s="156">
        <v>0.0</v>
      </c>
      <c r="FU692" s="156">
        <v>0.0</v>
      </c>
      <c r="FV692" s="156">
        <v>0.0</v>
      </c>
      <c r="FW692" s="157"/>
      <c r="FX692" s="157"/>
      <c r="FY692" s="157"/>
      <c r="FZ692" s="157"/>
      <c r="GA692" s="157"/>
      <c r="GB692" s="157"/>
      <c r="GC692" s="157"/>
      <c r="GD692" s="157"/>
      <c r="GE692" s="157"/>
      <c r="GF692" s="157"/>
      <c r="GG692" s="157"/>
      <c r="GH692" s="157"/>
      <c r="GI692" s="157"/>
      <c r="GJ692" s="157"/>
      <c r="GK692" s="157"/>
      <c r="GL692" s="157"/>
      <c r="GM692" s="157"/>
      <c r="GN692" s="157"/>
      <c r="GO692" s="157"/>
      <c r="GP692" s="158"/>
      <c r="GQ692" s="157"/>
      <c r="GR692" s="157"/>
      <c r="GS692" s="157"/>
      <c r="GT692" s="157"/>
      <c r="GU692" s="157"/>
      <c r="GV692" s="157"/>
      <c r="GW692" s="157"/>
      <c r="GX692" s="157"/>
      <c r="GY692" s="157"/>
      <c r="GZ692" s="157"/>
      <c r="HA692" s="157"/>
      <c r="HB692" s="155">
        <v>0.0</v>
      </c>
      <c r="HC692" s="155">
        <v>0.0</v>
      </c>
      <c r="HD692" s="155">
        <v>0.0</v>
      </c>
      <c r="HE692" s="155">
        <v>0.0</v>
      </c>
      <c r="HF692" s="155">
        <v>0.0</v>
      </c>
      <c r="HG692" s="155">
        <v>0.0</v>
      </c>
      <c r="IL692" s="159">
        <v>0.0</v>
      </c>
      <c r="IM692" s="156">
        <v>0.0</v>
      </c>
      <c r="IN692" s="156">
        <v>0.0</v>
      </c>
      <c r="IO692" s="156">
        <v>0.0</v>
      </c>
      <c r="IP692" s="156">
        <v>0.0</v>
      </c>
      <c r="IQ692" s="160">
        <v>0.0</v>
      </c>
      <c r="JH692" s="25"/>
      <c r="JW692" s="159">
        <v>0.0</v>
      </c>
      <c r="JX692" s="156">
        <v>0.0</v>
      </c>
      <c r="JY692" s="156">
        <v>0.0</v>
      </c>
      <c r="JZ692" s="156">
        <v>0.0</v>
      </c>
      <c r="KA692" s="156">
        <v>0.0</v>
      </c>
      <c r="KB692" s="160">
        <v>0.0</v>
      </c>
      <c r="KC692" s="174"/>
      <c r="KD692" s="174"/>
      <c r="KE692" s="174"/>
      <c r="KF692" s="174"/>
      <c r="KG692" s="174"/>
      <c r="KH692" s="174"/>
      <c r="KI692" s="174"/>
      <c r="KJ692" s="174"/>
      <c r="KK692" s="174"/>
      <c r="KL692" s="174"/>
      <c r="KM692" s="174"/>
      <c r="KN692" s="174"/>
      <c r="KO692" s="174"/>
      <c r="KP692" s="174"/>
      <c r="KQ692" s="174"/>
      <c r="KR692" s="174"/>
      <c r="KS692" s="472"/>
      <c r="KT692" s="174"/>
      <c r="KU692" s="174"/>
      <c r="KV692" s="174"/>
      <c r="KW692" s="174"/>
      <c r="KX692" s="174"/>
      <c r="KY692" s="174"/>
      <c r="KZ692" s="174"/>
      <c r="LA692" s="174"/>
      <c r="LB692" s="174"/>
      <c r="LC692" s="174"/>
      <c r="LD692" s="174"/>
      <c r="LE692" s="174"/>
      <c r="LF692" s="174"/>
      <c r="LG692" s="174"/>
      <c r="LH692" s="159">
        <f t="shared" si="10"/>
        <v>3</v>
      </c>
      <c r="LI692" s="156">
        <f t="shared" si="11"/>
        <v>0</v>
      </c>
      <c r="LJ692" s="156">
        <f t="shared" si="12"/>
        <v>0</v>
      </c>
      <c r="LK692" s="156">
        <f t="shared" si="13"/>
        <v>0</v>
      </c>
      <c r="LL692" s="156">
        <f t="shared" si="14"/>
        <v>0</v>
      </c>
      <c r="LM692" s="160">
        <f t="shared" si="15"/>
        <v>0</v>
      </c>
      <c r="LN692" s="174"/>
      <c r="LO692" s="174"/>
      <c r="LP692" s="174"/>
      <c r="LQ692" s="174"/>
      <c r="LR692" s="174"/>
      <c r="LS692" s="174"/>
      <c r="LT692" s="174"/>
      <c r="LU692" s="174"/>
      <c r="LV692" s="174"/>
      <c r="LW692" s="174">
        <f t="shared" ref="LW692:MQ692" si="91">IFS(TODAY()&lt;=LW$2,0,WEEKDAY(LW$2)=2,1,WEEKDAY(LW$2)=3,0,WEEKDAY(LW$2)=4,1,WEEKDAY(LW$2)=5,0,WEEKDAY(LW$2)=6,1,WEEKDAY(LW$2)=7,0,WEEKDAY(LW$2)=1,0)</f>
        <v>0</v>
      </c>
      <c r="LX692" s="174">
        <f t="shared" si="91"/>
        <v>1</v>
      </c>
      <c r="LY692" s="174">
        <f t="shared" si="91"/>
        <v>0</v>
      </c>
      <c r="LZ692" s="174">
        <f t="shared" si="91"/>
        <v>0</v>
      </c>
      <c r="MA692" s="174">
        <f t="shared" si="91"/>
        <v>1</v>
      </c>
      <c r="MB692" s="174">
        <f t="shared" si="91"/>
        <v>0</v>
      </c>
      <c r="MC692" s="174">
        <f t="shared" si="91"/>
        <v>1</v>
      </c>
      <c r="MD692" s="174">
        <f t="shared" si="91"/>
        <v>0</v>
      </c>
      <c r="ME692" s="174">
        <f t="shared" si="91"/>
        <v>0</v>
      </c>
      <c r="MF692" s="174">
        <f t="shared" si="91"/>
        <v>0</v>
      </c>
      <c r="MG692" s="174">
        <f t="shared" si="91"/>
        <v>0</v>
      </c>
      <c r="MH692" s="174">
        <f t="shared" si="91"/>
        <v>0</v>
      </c>
      <c r="MI692" s="174">
        <f t="shared" si="91"/>
        <v>0</v>
      </c>
      <c r="MJ692" s="174">
        <f t="shared" si="91"/>
        <v>0</v>
      </c>
      <c r="MK692" s="174">
        <f t="shared" si="91"/>
        <v>0</v>
      </c>
      <c r="ML692" s="174">
        <f t="shared" si="91"/>
        <v>0</v>
      </c>
      <c r="MM692" s="174">
        <f t="shared" si="91"/>
        <v>0</v>
      </c>
      <c r="MN692" s="174">
        <f t="shared" si="91"/>
        <v>0</v>
      </c>
      <c r="MO692" s="174">
        <f t="shared" si="91"/>
        <v>0</v>
      </c>
      <c r="MP692" s="174">
        <f t="shared" si="91"/>
        <v>0</v>
      </c>
      <c r="MQ692" s="174">
        <f t="shared" si="91"/>
        <v>0</v>
      </c>
      <c r="QX692" s="560">
        <v>46217.0</v>
      </c>
    </row>
    <row r="693">
      <c r="A693" s="12"/>
      <c r="B693" s="12"/>
      <c r="C693" s="12"/>
      <c r="D693" s="12"/>
      <c r="E693" s="12"/>
      <c r="F693" s="12"/>
      <c r="G693" s="12"/>
      <c r="H693" s="12"/>
      <c r="I693" s="143">
        <f t="shared" si="22"/>
        <v>-12</v>
      </c>
      <c r="J693" s="537">
        <v>46221.0</v>
      </c>
      <c r="K693" s="294" t="s">
        <v>48</v>
      </c>
      <c r="L693" s="624"/>
      <c r="M693" s="625" t="s">
        <v>107</v>
      </c>
      <c r="N693" s="625">
        <v>357.0</v>
      </c>
      <c r="O693" s="625">
        <v>45.0</v>
      </c>
      <c r="P693" s="626"/>
      <c r="Q693" s="626"/>
      <c r="R693" s="626"/>
      <c r="S693" s="626"/>
      <c r="T693" s="626"/>
      <c r="U693" s="625" t="s">
        <v>3683</v>
      </c>
      <c r="V693" s="627" t="s">
        <v>2658</v>
      </c>
      <c r="W693" s="628" t="s">
        <v>306</v>
      </c>
      <c r="X693" s="140"/>
      <c r="Y693" s="166">
        <f t="shared" si="23"/>
        <v>12</v>
      </c>
      <c r="Z693" s="26">
        <f t="shared" si="7"/>
        <v>0</v>
      </c>
      <c r="AA693" s="26">
        <f t="shared" si="8"/>
        <v>0</v>
      </c>
      <c r="AB693" s="26">
        <f t="shared" si="9"/>
        <v>0</v>
      </c>
      <c r="AC693" s="156">
        <v>0.0</v>
      </c>
      <c r="AD693" s="156">
        <v>0.0</v>
      </c>
      <c r="AE693" s="156">
        <v>0.0</v>
      </c>
      <c r="AF693" s="156">
        <v>0.0</v>
      </c>
      <c r="AG693" s="156">
        <v>0.0</v>
      </c>
      <c r="AH693" s="156">
        <v>0.0</v>
      </c>
      <c r="BN693" s="155">
        <v>0.0</v>
      </c>
      <c r="BO693" s="155">
        <v>0.0</v>
      </c>
      <c r="BP693" s="155">
        <v>0.0</v>
      </c>
      <c r="BQ693" s="155">
        <v>0.0</v>
      </c>
      <c r="BR693" s="155">
        <v>0.0</v>
      </c>
      <c r="BS693" s="155">
        <v>0.0</v>
      </c>
      <c r="CV693" s="156">
        <v>0.0</v>
      </c>
      <c r="CW693" s="156">
        <v>0.0</v>
      </c>
      <c r="CX693" s="156">
        <v>0.0</v>
      </c>
      <c r="CY693" s="156">
        <v>0.0</v>
      </c>
      <c r="CZ693" s="156">
        <v>0.0</v>
      </c>
      <c r="DA693" s="156">
        <v>0.0</v>
      </c>
      <c r="EG693" s="156">
        <v>0.0</v>
      </c>
      <c r="EH693" s="156">
        <v>0.0</v>
      </c>
      <c r="EI693" s="156">
        <v>0.0</v>
      </c>
      <c r="EJ693" s="156">
        <v>0.0</v>
      </c>
      <c r="EK693" s="156">
        <v>0.0</v>
      </c>
      <c r="EL693" s="156">
        <v>0.0</v>
      </c>
      <c r="FQ693" s="156">
        <v>0.0</v>
      </c>
      <c r="FR693" s="156">
        <v>0.0</v>
      </c>
      <c r="FS693" s="156">
        <v>0.0</v>
      </c>
      <c r="FT693" s="156">
        <v>0.0</v>
      </c>
      <c r="FU693" s="156">
        <v>0.0</v>
      </c>
      <c r="FV693" s="156">
        <v>0.0</v>
      </c>
      <c r="FW693" s="157"/>
      <c r="FX693" s="157"/>
      <c r="FY693" s="157"/>
      <c r="FZ693" s="157"/>
      <c r="GA693" s="157"/>
      <c r="GB693" s="157"/>
      <c r="GC693" s="157"/>
      <c r="GD693" s="157"/>
      <c r="GE693" s="157"/>
      <c r="GF693" s="157"/>
      <c r="GG693" s="157"/>
      <c r="GH693" s="157"/>
      <c r="GI693" s="157"/>
      <c r="GJ693" s="157"/>
      <c r="GK693" s="157"/>
      <c r="GL693" s="157"/>
      <c r="GM693" s="157"/>
      <c r="GN693" s="157"/>
      <c r="GO693" s="157"/>
      <c r="GP693" s="158"/>
      <c r="GQ693" s="157"/>
      <c r="GR693" s="157"/>
      <c r="GS693" s="157"/>
      <c r="GT693" s="157"/>
      <c r="GU693" s="157"/>
      <c r="GV693" s="157"/>
      <c r="GW693" s="157"/>
      <c r="GX693" s="157"/>
      <c r="GY693" s="157"/>
      <c r="GZ693" s="157"/>
      <c r="HA693" s="157"/>
      <c r="HB693" s="155">
        <v>0.0</v>
      </c>
      <c r="HC693" s="155">
        <v>0.0</v>
      </c>
      <c r="HD693" s="155">
        <v>0.0</v>
      </c>
      <c r="HE693" s="155">
        <v>0.0</v>
      </c>
      <c r="HF693" s="155">
        <v>0.0</v>
      </c>
      <c r="HG693" s="155">
        <v>0.0</v>
      </c>
      <c r="IL693" s="159">
        <v>0.0</v>
      </c>
      <c r="IM693" s="156">
        <v>0.0</v>
      </c>
      <c r="IN693" s="156">
        <v>0.0</v>
      </c>
      <c r="IO693" s="156">
        <v>0.0</v>
      </c>
      <c r="IP693" s="156">
        <v>0.0</v>
      </c>
      <c r="IQ693" s="160">
        <v>0.0</v>
      </c>
      <c r="JH693" s="25"/>
      <c r="JI693" s="172"/>
      <c r="JJ693" s="172"/>
      <c r="JK693" s="172"/>
      <c r="JL693" s="172"/>
      <c r="JM693" s="172"/>
      <c r="JN693" s="172"/>
      <c r="JO693" s="172"/>
      <c r="JP693" s="172"/>
      <c r="JQ693" s="172"/>
      <c r="JR693" s="172"/>
      <c r="JS693" s="172"/>
      <c r="JT693" s="172"/>
      <c r="JU693" s="172"/>
      <c r="JV693" s="172"/>
      <c r="JW693" s="159">
        <v>5.0</v>
      </c>
      <c r="JX693" s="156">
        <v>0.0</v>
      </c>
      <c r="JY693" s="156">
        <v>0.0</v>
      </c>
      <c r="JZ693" s="156">
        <v>0.0</v>
      </c>
      <c r="KA693" s="156">
        <v>0.0</v>
      </c>
      <c r="KB693" s="160">
        <v>0.0</v>
      </c>
      <c r="KC693" s="172"/>
      <c r="KD693" s="172"/>
      <c r="KE693" s="172"/>
      <c r="KF693" s="172">
        <v>1.0</v>
      </c>
      <c r="KG693" s="172"/>
      <c r="KH693" s="172">
        <v>1.0</v>
      </c>
      <c r="KI693" s="172"/>
      <c r="KJ693" s="172"/>
      <c r="KK693" s="172"/>
      <c r="KL693" s="172"/>
      <c r="KM693" s="172">
        <v>1.0</v>
      </c>
      <c r="KN693" s="172"/>
      <c r="KO693" s="172">
        <v>1.0</v>
      </c>
      <c r="KP693" s="172"/>
      <c r="KQ693" s="172">
        <v>1.0</v>
      </c>
      <c r="KR693" s="172"/>
      <c r="KS693" s="432"/>
      <c r="KT693" s="172"/>
      <c r="KU693" s="172"/>
      <c r="KV693" s="172"/>
      <c r="KW693" s="172"/>
      <c r="KX693" s="172"/>
      <c r="KY693" s="172"/>
      <c r="KZ693" s="172"/>
      <c r="LA693" s="172"/>
      <c r="LB693" s="172"/>
      <c r="LC693" s="172"/>
      <c r="LD693" s="172"/>
      <c r="LE693" s="172"/>
      <c r="LF693" s="172"/>
      <c r="LG693" s="172"/>
      <c r="LH693" s="159">
        <f t="shared" si="10"/>
        <v>7</v>
      </c>
      <c r="LI693" s="156">
        <f t="shared" si="11"/>
        <v>0</v>
      </c>
      <c r="LJ693" s="156">
        <f t="shared" si="12"/>
        <v>0</v>
      </c>
      <c r="LK693" s="156">
        <f t="shared" si="13"/>
        <v>0</v>
      </c>
      <c r="LL693" s="156">
        <f t="shared" si="14"/>
        <v>0</v>
      </c>
      <c r="LM693" s="160">
        <f t="shared" si="15"/>
        <v>0</v>
      </c>
      <c r="LW693" s="12">
        <f t="shared" ref="LW693:MQ693" si="92">IFS(TODAY()&lt;=LC$2,0,WEEKDAY(LC$2)=2,0,WEEKDAY(LC$2)=3,1,WEEKDAY(LC$2)=4,0,WEEKDAY(LC$2)=5,1,WEEKDAY(LC$2)=6,0,WEEKDAY(LC$2)=7,1,WEEKDAY(LC$2)=1,0)</f>
        <v>1</v>
      </c>
      <c r="LX693" s="12">
        <f t="shared" si="92"/>
        <v>0</v>
      </c>
      <c r="LY693" s="12">
        <f t="shared" si="92"/>
        <v>1</v>
      </c>
      <c r="LZ693" s="12">
        <f t="shared" si="92"/>
        <v>0</v>
      </c>
      <c r="MA693" s="12">
        <f t="shared" si="92"/>
        <v>0</v>
      </c>
      <c r="MB693" s="12">
        <f t="shared" si="92"/>
        <v>0</v>
      </c>
      <c r="MC693" s="12">
        <f t="shared" si="92"/>
        <v>0</v>
      </c>
      <c r="MD693" s="12">
        <f t="shared" si="92"/>
        <v>0</v>
      </c>
      <c r="ME693" s="12">
        <f t="shared" si="92"/>
        <v>0</v>
      </c>
      <c r="MF693" s="12">
        <f t="shared" si="92"/>
        <v>0</v>
      </c>
      <c r="MG693" s="12">
        <f t="shared" si="92"/>
        <v>0</v>
      </c>
      <c r="MH693" s="12">
        <f t="shared" si="92"/>
        <v>1</v>
      </c>
      <c r="MI693" s="12">
        <f t="shared" si="92"/>
        <v>0</v>
      </c>
      <c r="MJ693" s="12">
        <f t="shared" si="92"/>
        <v>1</v>
      </c>
      <c r="MK693" s="12">
        <f t="shared" si="92"/>
        <v>0</v>
      </c>
      <c r="ML693" s="12">
        <f t="shared" si="92"/>
        <v>1</v>
      </c>
      <c r="MM693" s="12">
        <f t="shared" si="92"/>
        <v>0</v>
      </c>
      <c r="MN693" s="12">
        <f t="shared" si="92"/>
        <v>0</v>
      </c>
      <c r="MO693" s="12">
        <f t="shared" si="92"/>
        <v>1</v>
      </c>
      <c r="MP693" s="12">
        <f t="shared" si="92"/>
        <v>0</v>
      </c>
      <c r="MQ693" s="12">
        <f t="shared" si="92"/>
        <v>1</v>
      </c>
      <c r="QX693" s="560">
        <v>46217.0</v>
      </c>
    </row>
    <row r="694">
      <c r="A694" s="12"/>
      <c r="B694" s="12"/>
      <c r="C694" s="12"/>
      <c r="D694" s="12"/>
      <c r="E694" s="12"/>
      <c r="F694" s="12"/>
      <c r="G694" s="12"/>
      <c r="H694" s="12"/>
      <c r="I694" s="143">
        <f t="shared" si="22"/>
        <v>-12</v>
      </c>
      <c r="J694" s="537">
        <v>46221.0</v>
      </c>
      <c r="K694" s="294" t="s">
        <v>48</v>
      </c>
      <c r="L694" s="624"/>
      <c r="M694" s="625" t="s">
        <v>107</v>
      </c>
      <c r="N694" s="625">
        <v>357.0</v>
      </c>
      <c r="O694" s="625">
        <v>45.0</v>
      </c>
      <c r="P694" s="626"/>
      <c r="Q694" s="626"/>
      <c r="R694" s="626"/>
      <c r="S694" s="626"/>
      <c r="T694" s="626"/>
      <c r="U694" s="625" t="s">
        <v>3683</v>
      </c>
      <c r="V694" s="627" t="s">
        <v>2658</v>
      </c>
      <c r="W694" s="629" t="s">
        <v>306</v>
      </c>
      <c r="X694" s="140"/>
      <c r="Y694" s="166">
        <f t="shared" si="23"/>
        <v>12</v>
      </c>
      <c r="Z694" s="26">
        <f t="shared" si="7"/>
        <v>0</v>
      </c>
      <c r="AA694" s="26">
        <f t="shared" si="8"/>
        <v>0</v>
      </c>
      <c r="AB694" s="26">
        <f t="shared" si="9"/>
        <v>0</v>
      </c>
      <c r="AC694" s="156">
        <v>0.0</v>
      </c>
      <c r="AD694" s="156">
        <v>0.0</v>
      </c>
      <c r="AE694" s="156">
        <v>0.0</v>
      </c>
      <c r="AF694" s="156">
        <v>0.0</v>
      </c>
      <c r="AG694" s="156">
        <v>0.0</v>
      </c>
      <c r="AH694" s="156">
        <v>0.0</v>
      </c>
      <c r="BN694" s="155">
        <v>0.0</v>
      </c>
      <c r="BO694" s="155">
        <v>0.0</v>
      </c>
      <c r="BP694" s="155">
        <v>0.0</v>
      </c>
      <c r="BQ694" s="155">
        <v>0.0</v>
      </c>
      <c r="BR694" s="155">
        <v>0.0</v>
      </c>
      <c r="BS694" s="155">
        <v>0.0</v>
      </c>
      <c r="CV694" s="156">
        <v>0.0</v>
      </c>
      <c r="CW694" s="156">
        <v>0.0</v>
      </c>
      <c r="CX694" s="156">
        <v>0.0</v>
      </c>
      <c r="CY694" s="156">
        <v>0.0</v>
      </c>
      <c r="CZ694" s="156">
        <v>0.0</v>
      </c>
      <c r="DA694" s="156">
        <v>0.0</v>
      </c>
      <c r="EG694" s="156">
        <v>0.0</v>
      </c>
      <c r="EH694" s="156">
        <v>0.0</v>
      </c>
      <c r="EI694" s="156">
        <v>0.0</v>
      </c>
      <c r="EJ694" s="156">
        <v>0.0</v>
      </c>
      <c r="EK694" s="156">
        <v>0.0</v>
      </c>
      <c r="EL694" s="156">
        <v>0.0</v>
      </c>
      <c r="FQ694" s="156">
        <v>0.0</v>
      </c>
      <c r="FR694" s="156">
        <v>0.0</v>
      </c>
      <c r="FS694" s="156">
        <v>0.0</v>
      </c>
      <c r="FT694" s="156">
        <v>0.0</v>
      </c>
      <c r="FU694" s="156">
        <v>0.0</v>
      </c>
      <c r="FV694" s="156">
        <v>0.0</v>
      </c>
      <c r="FW694" s="157"/>
      <c r="FX694" s="157"/>
      <c r="FY694" s="157"/>
      <c r="FZ694" s="157"/>
      <c r="GA694" s="157"/>
      <c r="GB694" s="157"/>
      <c r="GC694" s="157"/>
      <c r="GD694" s="157"/>
      <c r="GE694" s="157"/>
      <c r="GF694" s="157"/>
      <c r="GG694" s="157"/>
      <c r="GH694" s="157"/>
      <c r="GI694" s="157"/>
      <c r="GJ694" s="157"/>
      <c r="GK694" s="157"/>
      <c r="GL694" s="157"/>
      <c r="GM694" s="157"/>
      <c r="GN694" s="157"/>
      <c r="GO694" s="157"/>
      <c r="GP694" s="158"/>
      <c r="GQ694" s="157"/>
      <c r="GR694" s="157"/>
      <c r="GS694" s="157"/>
      <c r="GT694" s="157"/>
      <c r="GU694" s="157"/>
      <c r="GV694" s="157"/>
      <c r="GW694" s="157"/>
      <c r="GX694" s="157"/>
      <c r="GY694" s="157"/>
      <c r="GZ694" s="157"/>
      <c r="HA694" s="157"/>
      <c r="HB694" s="155">
        <v>0.0</v>
      </c>
      <c r="HC694" s="155">
        <v>0.0</v>
      </c>
      <c r="HD694" s="155">
        <v>0.0</v>
      </c>
      <c r="HE694" s="155">
        <v>0.0</v>
      </c>
      <c r="HF694" s="155">
        <v>0.0</v>
      </c>
      <c r="HG694" s="155">
        <v>0.0</v>
      </c>
      <c r="IL694" s="159">
        <v>0.0</v>
      </c>
      <c r="IM694" s="156">
        <v>0.0</v>
      </c>
      <c r="IN694" s="156">
        <v>0.0</v>
      </c>
      <c r="IO694" s="156">
        <v>0.0</v>
      </c>
      <c r="IP694" s="156">
        <v>0.0</v>
      </c>
      <c r="IQ694" s="160">
        <v>0.0</v>
      </c>
      <c r="JH694" s="25"/>
      <c r="JI694" s="172"/>
      <c r="JJ694" s="172"/>
      <c r="JK694" s="172"/>
      <c r="JL694" s="172"/>
      <c r="JM694" s="172"/>
      <c r="JN694" s="172"/>
      <c r="JO694" s="172"/>
      <c r="JP694" s="172"/>
      <c r="JQ694" s="172"/>
      <c r="JR694" s="172"/>
      <c r="JS694" s="172"/>
      <c r="JT694" s="172"/>
      <c r="JU694" s="172"/>
      <c r="JV694" s="172"/>
      <c r="JW694" s="159">
        <v>5.0</v>
      </c>
      <c r="JX694" s="156">
        <v>0.0</v>
      </c>
      <c r="JY694" s="156">
        <v>0.0</v>
      </c>
      <c r="JZ694" s="156">
        <v>0.0</v>
      </c>
      <c r="KA694" s="156">
        <v>0.0</v>
      </c>
      <c r="KB694" s="160">
        <v>0.0</v>
      </c>
      <c r="KC694" s="172"/>
      <c r="KD694" s="172"/>
      <c r="KE694" s="172"/>
      <c r="KF694" s="172">
        <v>1.0</v>
      </c>
      <c r="KG694" s="172"/>
      <c r="KH694" s="172">
        <v>1.0</v>
      </c>
      <c r="KI694" s="172"/>
      <c r="KJ694" s="172"/>
      <c r="KK694" s="172"/>
      <c r="KL694" s="172"/>
      <c r="KM694" s="172">
        <v>1.0</v>
      </c>
      <c r="KN694" s="172"/>
      <c r="KO694" s="172">
        <v>1.0</v>
      </c>
      <c r="KP694" s="172"/>
      <c r="KQ694" s="172">
        <v>1.0</v>
      </c>
      <c r="KR694" s="172"/>
      <c r="KS694" s="432"/>
      <c r="KT694" s="172"/>
      <c r="KU694" s="172"/>
      <c r="KV694" s="172"/>
      <c r="KW694" s="172"/>
      <c r="KX694" s="172"/>
      <c r="KY694" s="172"/>
      <c r="KZ694" s="172"/>
      <c r="LA694" s="172"/>
      <c r="LB694" s="172"/>
      <c r="LC694" s="172"/>
      <c r="LD694" s="172"/>
      <c r="LE694" s="172"/>
      <c r="LF694" s="172"/>
      <c r="LG694" s="172"/>
      <c r="LH694" s="159">
        <f t="shared" si="10"/>
        <v>7</v>
      </c>
      <c r="LI694" s="156">
        <f t="shared" si="11"/>
        <v>0</v>
      </c>
      <c r="LJ694" s="156">
        <f t="shared" si="12"/>
        <v>0</v>
      </c>
      <c r="LK694" s="156">
        <f t="shared" si="13"/>
        <v>0</v>
      </c>
      <c r="LL694" s="156">
        <f t="shared" si="14"/>
        <v>0</v>
      </c>
      <c r="LM694" s="160">
        <f t="shared" si="15"/>
        <v>0</v>
      </c>
      <c r="LW694" s="12">
        <f t="shared" ref="LW694:MQ694" si="93">IFS(TODAY()&lt;=LC$2,0,WEEKDAY(LC$2)=2,0,WEEKDAY(LC$2)=3,1,WEEKDAY(LC$2)=4,0,WEEKDAY(LC$2)=5,1,WEEKDAY(LC$2)=6,0,WEEKDAY(LC$2)=7,1,WEEKDAY(LC$2)=1,0)</f>
        <v>1</v>
      </c>
      <c r="LX694" s="12">
        <f t="shared" si="93"/>
        <v>0</v>
      </c>
      <c r="LY694" s="12">
        <f t="shared" si="93"/>
        <v>1</v>
      </c>
      <c r="LZ694" s="12">
        <f t="shared" si="93"/>
        <v>0</v>
      </c>
      <c r="MA694" s="12">
        <f t="shared" si="93"/>
        <v>0</v>
      </c>
      <c r="MB694" s="12">
        <f t="shared" si="93"/>
        <v>0</v>
      </c>
      <c r="MC694" s="12">
        <f t="shared" si="93"/>
        <v>0</v>
      </c>
      <c r="MD694" s="12">
        <f t="shared" si="93"/>
        <v>0</v>
      </c>
      <c r="ME694" s="12">
        <f t="shared" si="93"/>
        <v>0</v>
      </c>
      <c r="MF694" s="12">
        <f t="shared" si="93"/>
        <v>0</v>
      </c>
      <c r="MG694" s="12">
        <f t="shared" si="93"/>
        <v>0</v>
      </c>
      <c r="MH694" s="12">
        <f t="shared" si="93"/>
        <v>1</v>
      </c>
      <c r="MI694" s="12">
        <f t="shared" si="93"/>
        <v>0</v>
      </c>
      <c r="MJ694" s="12">
        <f t="shared" si="93"/>
        <v>1</v>
      </c>
      <c r="MK694" s="12">
        <f t="shared" si="93"/>
        <v>0</v>
      </c>
      <c r="ML694" s="12">
        <f t="shared" si="93"/>
        <v>1</v>
      </c>
      <c r="MM694" s="12">
        <f t="shared" si="93"/>
        <v>0</v>
      </c>
      <c r="MN694" s="12">
        <f t="shared" si="93"/>
        <v>0</v>
      </c>
      <c r="MO694" s="12">
        <f t="shared" si="93"/>
        <v>1</v>
      </c>
      <c r="MP694" s="12">
        <f t="shared" si="93"/>
        <v>0</v>
      </c>
      <c r="MQ694" s="12">
        <f t="shared" si="93"/>
        <v>1</v>
      </c>
      <c r="QX694" s="560">
        <v>46217.0</v>
      </c>
    </row>
    <row r="695">
      <c r="A695" s="12"/>
      <c r="B695" s="12"/>
      <c r="C695" s="12"/>
      <c r="D695" s="12"/>
      <c r="E695" s="12"/>
      <c r="F695" s="12"/>
      <c r="G695" s="12"/>
      <c r="H695" s="12"/>
      <c r="I695" s="143">
        <f t="shared" si="22"/>
        <v>-23</v>
      </c>
      <c r="J695" s="537">
        <v>46226.0</v>
      </c>
      <c r="K695" s="294" t="s">
        <v>48</v>
      </c>
      <c r="L695" s="543" t="s">
        <v>3485</v>
      </c>
      <c r="M695" s="162" t="s">
        <v>348</v>
      </c>
      <c r="N695" s="86">
        <v>357.0</v>
      </c>
      <c r="O695" s="86">
        <v>30.0</v>
      </c>
      <c r="U695" s="162" t="s">
        <v>3423</v>
      </c>
      <c r="V695" s="538" t="s">
        <v>3420</v>
      </c>
      <c r="W695" s="185" t="s">
        <v>3684</v>
      </c>
      <c r="X695" s="140"/>
      <c r="Y695" s="166">
        <f t="shared" si="23"/>
        <v>23</v>
      </c>
      <c r="Z695" s="26">
        <f t="shared" si="7"/>
        <v>0</v>
      </c>
      <c r="AA695" s="26">
        <f t="shared" si="8"/>
        <v>6</v>
      </c>
      <c r="AB695" s="26">
        <f t="shared" si="9"/>
        <v>0</v>
      </c>
      <c r="AC695" s="156">
        <v>0.0</v>
      </c>
      <c r="AD695" s="156">
        <v>0.0</v>
      </c>
      <c r="AE695" s="156">
        <v>0.0</v>
      </c>
      <c r="AF695" s="156">
        <v>0.0</v>
      </c>
      <c r="AG695" s="156">
        <v>0.0</v>
      </c>
      <c r="AH695" s="156">
        <v>0.0</v>
      </c>
      <c r="BN695" s="155">
        <v>0.0</v>
      </c>
      <c r="BO695" s="155">
        <v>0.0</v>
      </c>
      <c r="BP695" s="155">
        <v>0.0</v>
      </c>
      <c r="BQ695" s="155">
        <v>0.0</v>
      </c>
      <c r="BR695" s="155">
        <v>0.0</v>
      </c>
      <c r="BS695" s="155">
        <v>0.0</v>
      </c>
      <c r="CV695" s="156">
        <v>0.0</v>
      </c>
      <c r="CW695" s="156">
        <v>0.0</v>
      </c>
      <c r="CX695" s="156">
        <v>0.0</v>
      </c>
      <c r="CY695" s="156">
        <v>0.0</v>
      </c>
      <c r="CZ695" s="156">
        <v>0.0</v>
      </c>
      <c r="DA695" s="156">
        <v>0.0</v>
      </c>
      <c r="EG695" s="156">
        <v>0.0</v>
      </c>
      <c r="EH695" s="156">
        <v>0.0</v>
      </c>
      <c r="EI695" s="156">
        <v>0.0</v>
      </c>
      <c r="EJ695" s="156">
        <v>0.0</v>
      </c>
      <c r="EK695" s="156">
        <v>0.0</v>
      </c>
      <c r="EL695" s="156">
        <v>0.0</v>
      </c>
      <c r="FQ695" s="156">
        <v>0.0</v>
      </c>
      <c r="FR695" s="156">
        <v>0.0</v>
      </c>
      <c r="FS695" s="156">
        <v>0.0</v>
      </c>
      <c r="FT695" s="156">
        <v>0.0</v>
      </c>
      <c r="FU695" s="156">
        <v>0.0</v>
      </c>
      <c r="FV695" s="156">
        <v>0.0</v>
      </c>
      <c r="FW695" s="157"/>
      <c r="FX695" s="157"/>
      <c r="FY695" s="157"/>
      <c r="FZ695" s="157"/>
      <c r="GA695" s="157"/>
      <c r="GB695" s="157"/>
      <c r="GC695" s="157"/>
      <c r="GD695" s="157"/>
      <c r="GE695" s="157"/>
      <c r="GF695" s="157"/>
      <c r="GG695" s="157"/>
      <c r="GH695" s="157"/>
      <c r="GI695" s="157"/>
      <c r="GJ695" s="157"/>
      <c r="GK695" s="157"/>
      <c r="GL695" s="157"/>
      <c r="GM695" s="157"/>
      <c r="GN695" s="157"/>
      <c r="GO695" s="157"/>
      <c r="GP695" s="158"/>
      <c r="GQ695" s="157"/>
      <c r="GR695" s="157"/>
      <c r="GS695" s="157"/>
      <c r="GT695" s="157"/>
      <c r="GU695" s="157"/>
      <c r="GV695" s="157"/>
      <c r="GW695" s="157"/>
      <c r="GX695" s="157"/>
      <c r="GY695" s="157"/>
      <c r="GZ695" s="157"/>
      <c r="HA695" s="157"/>
      <c r="HB695" s="155">
        <v>0.0</v>
      </c>
      <c r="HC695" s="155">
        <v>0.0</v>
      </c>
      <c r="HD695" s="155">
        <v>0.0</v>
      </c>
      <c r="HE695" s="155">
        <v>0.0</v>
      </c>
      <c r="HF695" s="155">
        <v>0.0</v>
      </c>
      <c r="HG695" s="155">
        <v>0.0</v>
      </c>
      <c r="IL695" s="159">
        <v>1.0</v>
      </c>
      <c r="IM695" s="156">
        <v>0.0</v>
      </c>
      <c r="IN695" s="156">
        <v>0.0</v>
      </c>
      <c r="IO695" s="156">
        <v>0.0</v>
      </c>
      <c r="IP695" s="156">
        <v>0.0</v>
      </c>
      <c r="IQ695" s="160">
        <v>0.0</v>
      </c>
      <c r="JH695" s="25"/>
      <c r="JN695" s="172">
        <v>1.0</v>
      </c>
      <c r="JO695" s="172"/>
      <c r="JP695" s="172"/>
      <c r="JQ695" s="172"/>
      <c r="JR695" s="172"/>
      <c r="JS695" s="172"/>
      <c r="JT695" s="172"/>
      <c r="JU695" s="172"/>
      <c r="JV695" s="172"/>
      <c r="JW695" s="159">
        <v>12.0</v>
      </c>
      <c r="JX695" s="156">
        <v>0.0</v>
      </c>
      <c r="JY695" s="156">
        <v>0.0</v>
      </c>
      <c r="JZ695" s="156">
        <v>4.0</v>
      </c>
      <c r="KA695" s="156">
        <v>0.0</v>
      </c>
      <c r="KB695" s="160">
        <v>0.0</v>
      </c>
      <c r="KC695" s="172" t="s">
        <v>624</v>
      </c>
      <c r="KD695" s="172">
        <v>1.0</v>
      </c>
      <c r="KE695" s="172"/>
      <c r="KF695" s="172">
        <v>1.0</v>
      </c>
      <c r="KG695" s="172"/>
      <c r="KH695" s="172" t="s">
        <v>624</v>
      </c>
      <c r="KI695" s="172"/>
      <c r="KJ695" s="172">
        <v>1.0</v>
      </c>
      <c r="KK695" s="172"/>
      <c r="KL695" s="172"/>
      <c r="KM695" s="172">
        <v>1.0</v>
      </c>
      <c r="KN695" s="172"/>
      <c r="KO695" s="172">
        <v>1.0</v>
      </c>
      <c r="KP695" s="172"/>
      <c r="KQ695" s="172">
        <v>1.0</v>
      </c>
      <c r="KR695" s="172"/>
      <c r="KS695" s="432"/>
      <c r="KT695" s="172">
        <v>1.0</v>
      </c>
      <c r="KU695" s="172"/>
      <c r="KV695" s="172">
        <v>1.0</v>
      </c>
      <c r="KW695" s="172"/>
      <c r="KX695" s="172" t="s">
        <v>624</v>
      </c>
      <c r="KY695" s="172"/>
      <c r="KZ695" s="172"/>
      <c r="LA695" s="172" t="s">
        <v>624</v>
      </c>
      <c r="LB695" s="172"/>
      <c r="LC695" s="172"/>
      <c r="LD695" s="172"/>
      <c r="LE695" s="172"/>
      <c r="LF695" s="172"/>
      <c r="LG695" s="172"/>
      <c r="LH695" s="159">
        <f t="shared" si="10"/>
        <v>10</v>
      </c>
      <c r="LI695" s="156">
        <f t="shared" si="11"/>
        <v>0</v>
      </c>
      <c r="LJ695" s="156">
        <f t="shared" si="12"/>
        <v>0</v>
      </c>
      <c r="LK695" s="156">
        <f t="shared" si="13"/>
        <v>2</v>
      </c>
      <c r="LL695" s="156">
        <f t="shared" si="14"/>
        <v>0</v>
      </c>
      <c r="LM695" s="160">
        <f t="shared" si="15"/>
        <v>0</v>
      </c>
      <c r="LP695" s="189" t="s">
        <v>624</v>
      </c>
      <c r="LR695" s="189" t="s">
        <v>624</v>
      </c>
      <c r="LU695" s="189">
        <v>1.0</v>
      </c>
      <c r="LW695" s="12">
        <f t="shared" ref="LW695:MQ695" si="94">IFS(TODAY()&lt;=LC$2,0,WEEKDAY(LC$2)=2,0,WEEKDAY(LC$2)=3,1,WEEKDAY(LC$2)=4,0,WEEKDAY(LC$2)=5,1,WEEKDAY(LC$2)=6,0,WEEKDAY(LC$2)=7,1,WEEKDAY(LC$2)=1,0)</f>
        <v>1</v>
      </c>
      <c r="LX695" s="12">
        <f t="shared" si="94"/>
        <v>0</v>
      </c>
      <c r="LY695" s="12">
        <f t="shared" si="94"/>
        <v>1</v>
      </c>
      <c r="LZ695" s="12">
        <f t="shared" si="94"/>
        <v>0</v>
      </c>
      <c r="MA695" s="12">
        <f t="shared" si="94"/>
        <v>0</v>
      </c>
      <c r="MB695" s="12">
        <f t="shared" si="94"/>
        <v>0</v>
      </c>
      <c r="MC695" s="12">
        <f t="shared" si="94"/>
        <v>0</v>
      </c>
      <c r="MD695" s="12">
        <f t="shared" si="94"/>
        <v>0</v>
      </c>
      <c r="ME695" s="12">
        <f t="shared" si="94"/>
        <v>0</v>
      </c>
      <c r="MF695" s="12">
        <f t="shared" si="94"/>
        <v>0</v>
      </c>
      <c r="MG695" s="12">
        <f t="shared" si="94"/>
        <v>0</v>
      </c>
      <c r="MH695" s="12">
        <f t="shared" si="94"/>
        <v>1</v>
      </c>
      <c r="MI695" s="12">
        <f t="shared" si="94"/>
        <v>0</v>
      </c>
      <c r="MJ695" s="12">
        <f t="shared" si="94"/>
        <v>1</v>
      </c>
      <c r="MK695" s="12">
        <f t="shared" si="94"/>
        <v>0</v>
      </c>
      <c r="ML695" s="12">
        <f t="shared" si="94"/>
        <v>1</v>
      </c>
      <c r="MM695" s="12">
        <f t="shared" si="94"/>
        <v>0</v>
      </c>
      <c r="MN695" s="12">
        <f t="shared" si="94"/>
        <v>0</v>
      </c>
      <c r="MO695" s="12">
        <f t="shared" si="94"/>
        <v>1</v>
      </c>
      <c r="MP695" s="12">
        <f t="shared" si="94"/>
        <v>0</v>
      </c>
      <c r="MQ695" s="12">
        <f t="shared" si="94"/>
        <v>1</v>
      </c>
      <c r="QX695" s="560">
        <v>46217.0</v>
      </c>
    </row>
    <row r="696">
      <c r="A696" s="12"/>
      <c r="B696" s="12"/>
      <c r="C696" s="12"/>
      <c r="D696" s="12"/>
      <c r="E696" s="12"/>
      <c r="F696" s="12"/>
      <c r="G696" s="12"/>
      <c r="H696" s="12"/>
      <c r="I696" s="143">
        <f t="shared" si="22"/>
        <v>-24</v>
      </c>
      <c r="J696" s="537">
        <v>46225.0</v>
      </c>
      <c r="K696" s="294" t="s">
        <v>48</v>
      </c>
      <c r="L696" s="543" t="s">
        <v>3485</v>
      </c>
      <c r="M696" s="86" t="s">
        <v>107</v>
      </c>
      <c r="N696" s="188">
        <v>246.0</v>
      </c>
      <c r="O696" s="86">
        <v>30.0</v>
      </c>
      <c r="U696" s="162" t="s">
        <v>1338</v>
      </c>
      <c r="V696" s="538" t="s">
        <v>1981</v>
      </c>
      <c r="W696" s="185" t="s">
        <v>3685</v>
      </c>
      <c r="X696" s="140"/>
      <c r="Y696" s="166">
        <f t="shared" si="23"/>
        <v>24</v>
      </c>
      <c r="Z696" s="26">
        <f t="shared" si="7"/>
        <v>0</v>
      </c>
      <c r="AA696" s="26">
        <f t="shared" si="8"/>
        <v>0</v>
      </c>
      <c r="AB696" s="26">
        <f t="shared" si="9"/>
        <v>0</v>
      </c>
      <c r="AC696" s="156">
        <v>0.0</v>
      </c>
      <c r="AD696" s="156">
        <v>0.0</v>
      </c>
      <c r="AE696" s="156">
        <v>0.0</v>
      </c>
      <c r="AF696" s="156">
        <v>0.0</v>
      </c>
      <c r="AG696" s="156">
        <v>0.0</v>
      </c>
      <c r="AH696" s="156">
        <v>0.0</v>
      </c>
      <c r="BN696" s="155">
        <v>0.0</v>
      </c>
      <c r="BO696" s="155">
        <v>0.0</v>
      </c>
      <c r="BP696" s="155">
        <v>0.0</v>
      </c>
      <c r="BQ696" s="155">
        <v>0.0</v>
      </c>
      <c r="BR696" s="155">
        <v>0.0</v>
      </c>
      <c r="BS696" s="155">
        <v>0.0</v>
      </c>
      <c r="CV696" s="156">
        <v>0.0</v>
      </c>
      <c r="CW696" s="156">
        <v>0.0</v>
      </c>
      <c r="CX696" s="156">
        <v>0.0</v>
      </c>
      <c r="CY696" s="156">
        <v>0.0</v>
      </c>
      <c r="CZ696" s="156">
        <v>0.0</v>
      </c>
      <c r="DA696" s="156">
        <v>0.0</v>
      </c>
      <c r="EG696" s="156">
        <v>0.0</v>
      </c>
      <c r="EH696" s="156">
        <v>0.0</v>
      </c>
      <c r="EI696" s="156">
        <v>0.0</v>
      </c>
      <c r="EJ696" s="156">
        <v>0.0</v>
      </c>
      <c r="EK696" s="156">
        <v>0.0</v>
      </c>
      <c r="EL696" s="156">
        <v>0.0</v>
      </c>
      <c r="FQ696" s="156">
        <v>0.0</v>
      </c>
      <c r="FR696" s="156">
        <v>0.0</v>
      </c>
      <c r="FS696" s="156">
        <v>0.0</v>
      </c>
      <c r="FT696" s="156">
        <v>0.0</v>
      </c>
      <c r="FU696" s="156">
        <v>0.0</v>
      </c>
      <c r="FV696" s="156">
        <v>0.0</v>
      </c>
      <c r="FW696" s="157"/>
      <c r="FX696" s="157"/>
      <c r="FY696" s="157"/>
      <c r="FZ696" s="157"/>
      <c r="GA696" s="157"/>
      <c r="GB696" s="157"/>
      <c r="GC696" s="157"/>
      <c r="GD696" s="157"/>
      <c r="GE696" s="157"/>
      <c r="GF696" s="157"/>
      <c r="GG696" s="157"/>
      <c r="GH696" s="157"/>
      <c r="GI696" s="157"/>
      <c r="GJ696" s="157"/>
      <c r="GK696" s="157"/>
      <c r="GL696" s="157"/>
      <c r="GM696" s="157"/>
      <c r="GN696" s="157"/>
      <c r="GO696" s="157"/>
      <c r="GP696" s="158"/>
      <c r="GQ696" s="157"/>
      <c r="GR696" s="157"/>
      <c r="GS696" s="157"/>
      <c r="GT696" s="157"/>
      <c r="GU696" s="157"/>
      <c r="GV696" s="157"/>
      <c r="GW696" s="157"/>
      <c r="GX696" s="157"/>
      <c r="GY696" s="157"/>
      <c r="GZ696" s="157"/>
      <c r="HA696" s="157"/>
      <c r="HB696" s="155">
        <v>0.0</v>
      </c>
      <c r="HC696" s="155">
        <v>0.0</v>
      </c>
      <c r="HD696" s="155">
        <v>0.0</v>
      </c>
      <c r="HE696" s="155">
        <v>0.0</v>
      </c>
      <c r="HF696" s="155">
        <v>0.0</v>
      </c>
      <c r="HG696" s="155">
        <v>0.0</v>
      </c>
      <c r="IL696" s="159">
        <v>5.0</v>
      </c>
      <c r="IM696" s="156">
        <v>0.0</v>
      </c>
      <c r="IN696" s="156">
        <v>0.0</v>
      </c>
      <c r="IO696" s="156">
        <v>0.0</v>
      </c>
      <c r="IP696" s="156">
        <v>0.0</v>
      </c>
      <c r="IQ696" s="160">
        <v>0.0</v>
      </c>
      <c r="JH696" s="25"/>
      <c r="JM696" s="175">
        <v>1.0</v>
      </c>
      <c r="JN696" s="174"/>
      <c r="JO696" s="175">
        <v>1.0</v>
      </c>
      <c r="JP696" s="174"/>
      <c r="JQ696" s="174"/>
      <c r="JR696" s="175">
        <v>1.0</v>
      </c>
      <c r="JS696" s="174"/>
      <c r="JT696" s="175">
        <v>1.0</v>
      </c>
      <c r="JU696" s="174"/>
      <c r="JV696" s="175">
        <v>1.0</v>
      </c>
      <c r="JW696" s="159">
        <v>13.0</v>
      </c>
      <c r="JX696" s="156">
        <v>0.0</v>
      </c>
      <c r="JY696" s="156">
        <v>0.0</v>
      </c>
      <c r="JZ696" s="156">
        <v>0.0</v>
      </c>
      <c r="KA696" s="156">
        <v>0.0</v>
      </c>
      <c r="KB696" s="160">
        <v>0.0</v>
      </c>
      <c r="KC696" s="174"/>
      <c r="KD696" s="174"/>
      <c r="KE696" s="175">
        <v>1.0</v>
      </c>
      <c r="KF696" s="174"/>
      <c r="KG696" s="175">
        <v>1.0</v>
      </c>
      <c r="KH696" s="174"/>
      <c r="KI696" s="175">
        <v>1.0</v>
      </c>
      <c r="KJ696" s="174"/>
      <c r="KK696" s="174"/>
      <c r="KL696" s="175">
        <v>1.0</v>
      </c>
      <c r="KM696" s="174"/>
      <c r="KN696" s="175">
        <v>1.0</v>
      </c>
      <c r="KO696" s="174"/>
      <c r="KP696" s="175">
        <v>1.0</v>
      </c>
      <c r="KQ696" s="174"/>
      <c r="KR696" s="174"/>
      <c r="KS696" s="186">
        <v>1.0</v>
      </c>
      <c r="KT696" s="174"/>
      <c r="KU696" s="175">
        <v>1.0</v>
      </c>
      <c r="KV696" s="174"/>
      <c r="KW696" s="175">
        <v>1.0</v>
      </c>
      <c r="KX696" s="174"/>
      <c r="KY696" s="174"/>
      <c r="KZ696" s="175">
        <v>1.0</v>
      </c>
      <c r="LA696" s="174"/>
      <c r="LB696" s="175">
        <v>1.0</v>
      </c>
      <c r="LC696" s="174"/>
      <c r="LD696" s="175">
        <v>1.0</v>
      </c>
      <c r="LE696" s="174"/>
      <c r="LF696" s="174"/>
      <c r="LG696" s="175">
        <v>1.0</v>
      </c>
      <c r="LH696" s="159">
        <f t="shared" si="10"/>
        <v>6</v>
      </c>
      <c r="LI696" s="156">
        <f t="shared" si="11"/>
        <v>0</v>
      </c>
      <c r="LJ696" s="156">
        <f t="shared" si="12"/>
        <v>0</v>
      </c>
      <c r="LK696" s="156">
        <f t="shared" si="13"/>
        <v>0</v>
      </c>
      <c r="LL696" s="156">
        <f t="shared" si="14"/>
        <v>0</v>
      </c>
      <c r="LM696" s="160">
        <f t="shared" si="15"/>
        <v>0</v>
      </c>
      <c r="LN696" s="174"/>
      <c r="LO696" s="174"/>
      <c r="LP696" s="174"/>
      <c r="LQ696" s="187">
        <v>1.0</v>
      </c>
      <c r="LR696" s="174"/>
      <c r="LS696" s="174"/>
      <c r="LT696" s="187">
        <v>1.0</v>
      </c>
      <c r="LU696" s="174"/>
      <c r="LV696" s="187">
        <v>1.0</v>
      </c>
      <c r="LW696" s="174">
        <f t="shared" ref="LW696:MQ696" si="95">IFS(TODAY()&lt;=LW$2,0,WEEKDAY(LW$2)=2,1,WEEKDAY(LW$2)=3,0,WEEKDAY(LW$2)=4,1,WEEKDAY(LW$2)=5,0,WEEKDAY(LW$2)=6,1,WEEKDAY(LW$2)=7,0,WEEKDAY(LW$2)=1,0)</f>
        <v>0</v>
      </c>
      <c r="LX696" s="174">
        <f t="shared" si="95"/>
        <v>1</v>
      </c>
      <c r="LY696" s="174">
        <f t="shared" si="95"/>
        <v>0</v>
      </c>
      <c r="LZ696" s="174">
        <f t="shared" si="95"/>
        <v>0</v>
      </c>
      <c r="MA696" s="174">
        <f t="shared" si="95"/>
        <v>1</v>
      </c>
      <c r="MB696" s="174">
        <f t="shared" si="95"/>
        <v>0</v>
      </c>
      <c r="MC696" s="174">
        <f t="shared" si="95"/>
        <v>1</v>
      </c>
      <c r="MD696" s="174">
        <f t="shared" si="95"/>
        <v>0</v>
      </c>
      <c r="ME696" s="174">
        <f t="shared" si="95"/>
        <v>0</v>
      </c>
      <c r="MF696" s="174">
        <f t="shared" si="95"/>
        <v>0</v>
      </c>
      <c r="MG696" s="174">
        <f t="shared" si="95"/>
        <v>0</v>
      </c>
      <c r="MH696" s="174">
        <f t="shared" si="95"/>
        <v>0</v>
      </c>
      <c r="MI696" s="174">
        <f t="shared" si="95"/>
        <v>0</v>
      </c>
      <c r="MJ696" s="174">
        <f t="shared" si="95"/>
        <v>0</v>
      </c>
      <c r="MK696" s="174">
        <f t="shared" si="95"/>
        <v>0</v>
      </c>
      <c r="ML696" s="174">
        <f t="shared" si="95"/>
        <v>0</v>
      </c>
      <c r="MM696" s="174">
        <f t="shared" si="95"/>
        <v>0</v>
      </c>
      <c r="MN696" s="174">
        <f t="shared" si="95"/>
        <v>0</v>
      </c>
      <c r="MO696" s="174">
        <f t="shared" si="95"/>
        <v>0</v>
      </c>
      <c r="MP696" s="174">
        <f t="shared" si="95"/>
        <v>0</v>
      </c>
      <c r="MQ696" s="174">
        <f t="shared" si="95"/>
        <v>0</v>
      </c>
      <c r="QX696" s="560">
        <v>46219.0</v>
      </c>
    </row>
    <row r="697">
      <c r="A697" s="12"/>
      <c r="B697" s="12"/>
      <c r="C697" s="12"/>
      <c r="D697" s="12"/>
      <c r="E697" s="12"/>
      <c r="F697" s="12"/>
      <c r="G697" s="12"/>
      <c r="H697" s="12"/>
      <c r="I697" s="143">
        <f t="shared" si="22"/>
        <v>-14</v>
      </c>
      <c r="J697" s="537">
        <v>46226.0</v>
      </c>
      <c r="K697" s="294" t="s">
        <v>48</v>
      </c>
      <c r="L697" s="108"/>
      <c r="M697" s="86" t="s">
        <v>228</v>
      </c>
      <c r="N697" s="86">
        <v>357.0</v>
      </c>
      <c r="O697" s="86">
        <v>30.0</v>
      </c>
      <c r="U697" s="162" t="s">
        <v>3210</v>
      </c>
      <c r="V697" s="538" t="s">
        <v>3186</v>
      </c>
      <c r="W697" s="125" t="s">
        <v>3686</v>
      </c>
      <c r="X697" s="140"/>
      <c r="Y697" s="166">
        <f t="shared" si="23"/>
        <v>14</v>
      </c>
      <c r="Z697" s="26">
        <f t="shared" si="7"/>
        <v>0</v>
      </c>
      <c r="AA697" s="26">
        <f t="shared" si="8"/>
        <v>0</v>
      </c>
      <c r="AB697" s="26">
        <f t="shared" si="9"/>
        <v>0</v>
      </c>
      <c r="AC697" s="156">
        <v>0.0</v>
      </c>
      <c r="AD697" s="156">
        <v>0.0</v>
      </c>
      <c r="AE697" s="156">
        <v>0.0</v>
      </c>
      <c r="AF697" s="156">
        <v>0.0</v>
      </c>
      <c r="AG697" s="156">
        <v>0.0</v>
      </c>
      <c r="AH697" s="156">
        <v>0.0</v>
      </c>
      <c r="BN697" s="155">
        <v>0.0</v>
      </c>
      <c r="BO697" s="155">
        <v>0.0</v>
      </c>
      <c r="BP697" s="155">
        <v>0.0</v>
      </c>
      <c r="BQ697" s="155">
        <v>0.0</v>
      </c>
      <c r="BR697" s="155">
        <v>0.0</v>
      </c>
      <c r="BS697" s="155">
        <v>0.0</v>
      </c>
      <c r="CV697" s="156">
        <v>0.0</v>
      </c>
      <c r="CW697" s="156">
        <v>0.0</v>
      </c>
      <c r="CX697" s="156">
        <v>0.0</v>
      </c>
      <c r="CY697" s="156">
        <v>0.0</v>
      </c>
      <c r="CZ697" s="156">
        <v>0.0</v>
      </c>
      <c r="DA697" s="156">
        <v>0.0</v>
      </c>
      <c r="EG697" s="156">
        <v>0.0</v>
      </c>
      <c r="EH697" s="156">
        <v>0.0</v>
      </c>
      <c r="EI697" s="156">
        <v>0.0</v>
      </c>
      <c r="EJ697" s="156">
        <v>0.0</v>
      </c>
      <c r="EK697" s="156">
        <v>0.0</v>
      </c>
      <c r="EL697" s="156">
        <v>0.0</v>
      </c>
      <c r="FQ697" s="156">
        <v>0.0</v>
      </c>
      <c r="FR697" s="156">
        <v>0.0</v>
      </c>
      <c r="FS697" s="156">
        <v>0.0</v>
      </c>
      <c r="FT697" s="156">
        <v>0.0</v>
      </c>
      <c r="FU697" s="156">
        <v>0.0</v>
      </c>
      <c r="FV697" s="156">
        <v>0.0</v>
      </c>
      <c r="FW697" s="157"/>
      <c r="FX697" s="157"/>
      <c r="FY697" s="157"/>
      <c r="FZ697" s="157"/>
      <c r="GA697" s="157"/>
      <c r="GB697" s="157"/>
      <c r="GC697" s="157"/>
      <c r="GD697" s="157"/>
      <c r="GE697" s="157"/>
      <c r="GF697" s="157"/>
      <c r="GG697" s="157"/>
      <c r="GH697" s="157"/>
      <c r="GI697" s="157"/>
      <c r="GJ697" s="157"/>
      <c r="GK697" s="157"/>
      <c r="GL697" s="157"/>
      <c r="GM697" s="157"/>
      <c r="GN697" s="157"/>
      <c r="GO697" s="157"/>
      <c r="GP697" s="158"/>
      <c r="GQ697" s="157"/>
      <c r="GR697" s="157"/>
      <c r="GS697" s="157"/>
      <c r="GT697" s="157"/>
      <c r="GU697" s="157"/>
      <c r="GV697" s="157"/>
      <c r="GW697" s="157"/>
      <c r="GX697" s="157"/>
      <c r="GY697" s="157"/>
      <c r="GZ697" s="157"/>
      <c r="HA697" s="157"/>
      <c r="HB697" s="155">
        <v>0.0</v>
      </c>
      <c r="HC697" s="155">
        <v>0.0</v>
      </c>
      <c r="HD697" s="155">
        <v>0.0</v>
      </c>
      <c r="HE697" s="155">
        <v>0.0</v>
      </c>
      <c r="HF697" s="155">
        <v>0.0</v>
      </c>
      <c r="HG697" s="155">
        <v>0.0</v>
      </c>
      <c r="IL697" s="159">
        <v>2.0</v>
      </c>
      <c r="IM697" s="156">
        <v>0.0</v>
      </c>
      <c r="IN697" s="156">
        <v>0.0</v>
      </c>
      <c r="IO697" s="156">
        <v>0.0</v>
      </c>
      <c r="IP697" s="156">
        <v>0.0</v>
      </c>
      <c r="IQ697" s="160">
        <v>0.0</v>
      </c>
      <c r="JH697" s="25"/>
      <c r="JN697" s="86">
        <v>1.0</v>
      </c>
      <c r="JP697" s="86">
        <v>1.0</v>
      </c>
      <c r="JW697" s="159">
        <v>4.0</v>
      </c>
      <c r="JX697" s="156">
        <v>0.0</v>
      </c>
      <c r="JY697" s="156">
        <v>0.0</v>
      </c>
      <c r="JZ697" s="156">
        <v>0.0</v>
      </c>
      <c r="KA697" s="156">
        <v>0.0</v>
      </c>
      <c r="KB697" s="160">
        <v>0.0</v>
      </c>
      <c r="KC697" s="172"/>
      <c r="KD697" s="172"/>
      <c r="KE697" s="172"/>
      <c r="KF697" s="172"/>
      <c r="KG697" s="172"/>
      <c r="KH697" s="172"/>
      <c r="KI697" s="172"/>
      <c r="KJ697" s="172"/>
      <c r="KK697" s="172"/>
      <c r="KL697" s="172"/>
      <c r="KM697" s="172"/>
      <c r="KN697" s="172"/>
      <c r="KO697" s="172"/>
      <c r="KP697" s="172"/>
      <c r="KQ697" s="172"/>
      <c r="KR697" s="172"/>
      <c r="KS697" s="432"/>
      <c r="KT697" s="172">
        <v>1.0</v>
      </c>
      <c r="KU697" s="172"/>
      <c r="KV697" s="172"/>
      <c r="KW697" s="172">
        <v>1.0</v>
      </c>
      <c r="KX697" s="172">
        <v>1.0</v>
      </c>
      <c r="KY697" s="172"/>
      <c r="KZ697" s="172"/>
      <c r="LA697" s="172">
        <v>1.0</v>
      </c>
      <c r="LB697" s="172"/>
      <c r="LC697" s="172"/>
      <c r="LD697" s="172"/>
      <c r="LE697" s="172"/>
      <c r="LF697" s="172"/>
      <c r="LG697" s="172"/>
      <c r="LH697" s="159">
        <f t="shared" si="10"/>
        <v>8</v>
      </c>
      <c r="LI697" s="156">
        <f t="shared" si="11"/>
        <v>0</v>
      </c>
      <c r="LJ697" s="156">
        <f t="shared" si="12"/>
        <v>0</v>
      </c>
      <c r="LK697" s="156">
        <f t="shared" si="13"/>
        <v>0</v>
      </c>
      <c r="LL697" s="156">
        <f t="shared" si="14"/>
        <v>0</v>
      </c>
      <c r="LM697" s="160">
        <f t="shared" si="15"/>
        <v>0</v>
      </c>
      <c r="LU697" s="189">
        <v>1.0</v>
      </c>
      <c r="LW697" s="12">
        <f t="shared" ref="LW697:MQ697" si="96">IFS(TODAY()&lt;=LC$2,0,WEEKDAY(LC$2)=2,0,WEEKDAY(LC$2)=3,1,WEEKDAY(LC$2)=4,0,WEEKDAY(LC$2)=5,1,WEEKDAY(LC$2)=6,0,WEEKDAY(LC$2)=7,1,WEEKDAY(LC$2)=1,0)</f>
        <v>1</v>
      </c>
      <c r="LX697" s="12">
        <f t="shared" si="96"/>
        <v>0</v>
      </c>
      <c r="LY697" s="12">
        <f t="shared" si="96"/>
        <v>1</v>
      </c>
      <c r="LZ697" s="12">
        <f t="shared" si="96"/>
        <v>0</v>
      </c>
      <c r="MA697" s="12">
        <f t="shared" si="96"/>
        <v>0</v>
      </c>
      <c r="MB697" s="12">
        <f t="shared" si="96"/>
        <v>0</v>
      </c>
      <c r="MC697" s="12">
        <f t="shared" si="96"/>
        <v>0</v>
      </c>
      <c r="MD697" s="12">
        <f t="shared" si="96"/>
        <v>0</v>
      </c>
      <c r="ME697" s="12">
        <f t="shared" si="96"/>
        <v>0</v>
      </c>
      <c r="MF697" s="12">
        <f t="shared" si="96"/>
        <v>0</v>
      </c>
      <c r="MG697" s="12">
        <f t="shared" si="96"/>
        <v>0</v>
      </c>
      <c r="MH697" s="12">
        <f t="shared" si="96"/>
        <v>1</v>
      </c>
      <c r="MI697" s="12">
        <f t="shared" si="96"/>
        <v>0</v>
      </c>
      <c r="MJ697" s="12">
        <f t="shared" si="96"/>
        <v>1</v>
      </c>
      <c r="MK697" s="12">
        <f t="shared" si="96"/>
        <v>0</v>
      </c>
      <c r="ML697" s="12">
        <f t="shared" si="96"/>
        <v>1</v>
      </c>
      <c r="MM697" s="12">
        <f t="shared" si="96"/>
        <v>0</v>
      </c>
      <c r="MN697" s="12">
        <f t="shared" si="96"/>
        <v>0</v>
      </c>
      <c r="MO697" s="12">
        <f t="shared" si="96"/>
        <v>1</v>
      </c>
      <c r="MP697" s="12">
        <f t="shared" si="96"/>
        <v>0</v>
      </c>
      <c r="MQ697" s="12">
        <f t="shared" si="96"/>
        <v>1</v>
      </c>
      <c r="QX697" s="560">
        <v>46219.0</v>
      </c>
    </row>
    <row r="698">
      <c r="A698" s="12"/>
      <c r="B698" s="12"/>
      <c r="C698" s="12"/>
      <c r="D698" s="12"/>
      <c r="E698" s="12"/>
      <c r="F698" s="494"/>
      <c r="G698" s="12"/>
      <c r="H698" s="12"/>
      <c r="I698" s="143">
        <f t="shared" si="22"/>
        <v>-9</v>
      </c>
      <c r="J698" s="537">
        <v>46230.0</v>
      </c>
      <c r="K698" s="294" t="s">
        <v>48</v>
      </c>
      <c r="L698" s="108"/>
      <c r="M698" s="86" t="s">
        <v>348</v>
      </c>
      <c r="N698" s="86">
        <v>246.0</v>
      </c>
      <c r="O698" s="86">
        <v>30.0</v>
      </c>
      <c r="U698" s="162" t="s">
        <v>3241</v>
      </c>
      <c r="V698" s="538" t="s">
        <v>1093</v>
      </c>
      <c r="W698" s="185" t="s">
        <v>3687</v>
      </c>
      <c r="X698" s="140"/>
      <c r="Y698" s="166">
        <f t="shared" si="23"/>
        <v>9</v>
      </c>
      <c r="Z698" s="26">
        <f t="shared" si="7"/>
        <v>0</v>
      </c>
      <c r="AA698" s="26">
        <f t="shared" si="8"/>
        <v>0</v>
      </c>
      <c r="AB698" s="26">
        <f t="shared" si="9"/>
        <v>0</v>
      </c>
      <c r="AC698" s="156">
        <v>0.0</v>
      </c>
      <c r="AD698" s="156">
        <v>0.0</v>
      </c>
      <c r="AE698" s="156">
        <v>0.0</v>
      </c>
      <c r="AF698" s="156">
        <v>0.0</v>
      </c>
      <c r="AG698" s="156">
        <v>0.0</v>
      </c>
      <c r="AH698" s="156">
        <v>0.0</v>
      </c>
      <c r="BN698" s="155">
        <v>0.0</v>
      </c>
      <c r="BO698" s="155">
        <v>0.0</v>
      </c>
      <c r="BP698" s="155">
        <v>0.0</v>
      </c>
      <c r="BQ698" s="155">
        <v>0.0</v>
      </c>
      <c r="BR698" s="155">
        <v>0.0</v>
      </c>
      <c r="BS698" s="155">
        <v>0.0</v>
      </c>
      <c r="CV698" s="156">
        <v>0.0</v>
      </c>
      <c r="CW698" s="156">
        <v>0.0</v>
      </c>
      <c r="CX698" s="156">
        <v>0.0</v>
      </c>
      <c r="CY698" s="156">
        <v>0.0</v>
      </c>
      <c r="CZ698" s="156">
        <v>0.0</v>
      </c>
      <c r="DA698" s="156">
        <v>0.0</v>
      </c>
      <c r="EG698" s="156">
        <v>0.0</v>
      </c>
      <c r="EH698" s="156">
        <v>0.0</v>
      </c>
      <c r="EI698" s="156">
        <v>0.0</v>
      </c>
      <c r="EJ698" s="156">
        <v>0.0</v>
      </c>
      <c r="EK698" s="156">
        <v>0.0</v>
      </c>
      <c r="EL698" s="156">
        <v>0.0</v>
      </c>
      <c r="FQ698" s="156">
        <v>0.0</v>
      </c>
      <c r="FR698" s="156">
        <v>0.0</v>
      </c>
      <c r="FS698" s="156">
        <v>0.0</v>
      </c>
      <c r="FT698" s="156">
        <v>0.0</v>
      </c>
      <c r="FU698" s="156">
        <v>0.0</v>
      </c>
      <c r="FV698" s="156">
        <v>0.0</v>
      </c>
      <c r="FW698" s="157"/>
      <c r="FX698" s="157"/>
      <c r="FY698" s="157"/>
      <c r="FZ698" s="157"/>
      <c r="GA698" s="157"/>
      <c r="GB698" s="157"/>
      <c r="GC698" s="157"/>
      <c r="GD698" s="157"/>
      <c r="GE698" s="157"/>
      <c r="GF698" s="157"/>
      <c r="GG698" s="157"/>
      <c r="GH698" s="157"/>
      <c r="GI698" s="157"/>
      <c r="GJ698" s="157"/>
      <c r="GK698" s="157"/>
      <c r="GL698" s="157"/>
      <c r="GM698" s="157"/>
      <c r="GN698" s="157"/>
      <c r="GO698" s="157"/>
      <c r="GP698" s="158"/>
      <c r="GQ698" s="157"/>
      <c r="GR698" s="157"/>
      <c r="GS698" s="157"/>
      <c r="GT698" s="157"/>
      <c r="GU698" s="157"/>
      <c r="GV698" s="157"/>
      <c r="GW698" s="157"/>
      <c r="GX698" s="157"/>
      <c r="GY698" s="157"/>
      <c r="GZ698" s="157"/>
      <c r="HA698" s="157"/>
      <c r="HB698" s="155">
        <v>0.0</v>
      </c>
      <c r="HC698" s="155">
        <v>0.0</v>
      </c>
      <c r="HD698" s="155">
        <v>0.0</v>
      </c>
      <c r="HE698" s="155">
        <v>0.0</v>
      </c>
      <c r="HF698" s="155">
        <v>0.0</v>
      </c>
      <c r="HG698" s="155">
        <v>0.0</v>
      </c>
      <c r="IL698" s="159">
        <v>2.0</v>
      </c>
      <c r="IM698" s="156">
        <v>0.0</v>
      </c>
      <c r="IN698" s="156">
        <v>0.0</v>
      </c>
      <c r="IO698" s="156">
        <v>0.0</v>
      </c>
      <c r="IP698" s="156">
        <v>0.0</v>
      </c>
      <c r="IQ698" s="160">
        <v>0.0</v>
      </c>
      <c r="JH698" s="25"/>
      <c r="JR698" s="175">
        <v>1.0</v>
      </c>
      <c r="JS698" s="174"/>
      <c r="JT698" s="174"/>
      <c r="JU698" s="174"/>
      <c r="JV698" s="175">
        <v>1.0</v>
      </c>
      <c r="JW698" s="159">
        <v>4.0</v>
      </c>
      <c r="JX698" s="156">
        <v>0.0</v>
      </c>
      <c r="JY698" s="156">
        <v>0.0</v>
      </c>
      <c r="JZ698" s="156">
        <v>0.0</v>
      </c>
      <c r="KA698" s="156">
        <v>0.0</v>
      </c>
      <c r="KB698" s="160">
        <v>0.0</v>
      </c>
      <c r="KC698" s="174"/>
      <c r="KD698" s="174"/>
      <c r="KE698" s="174"/>
      <c r="KF698" s="174"/>
      <c r="KG698" s="175">
        <v>1.0</v>
      </c>
      <c r="KH698" s="174"/>
      <c r="KI698" s="175">
        <v>1.0</v>
      </c>
      <c r="KJ698" s="174"/>
      <c r="KK698" s="174"/>
      <c r="KL698" s="175">
        <v>1.0</v>
      </c>
      <c r="KM698" s="174"/>
      <c r="KN698" s="174"/>
      <c r="KO698" s="174"/>
      <c r="KP698" s="175">
        <v>1.0</v>
      </c>
      <c r="KQ698" s="174"/>
      <c r="KR698" s="174"/>
      <c r="KS698" s="472"/>
      <c r="KT698" s="174"/>
      <c r="KU698" s="174"/>
      <c r="KV698" s="174"/>
      <c r="KW698" s="174"/>
      <c r="KX698" s="174"/>
      <c r="KY698" s="174"/>
      <c r="KZ698" s="174"/>
      <c r="LA698" s="174"/>
      <c r="LB698" s="174"/>
      <c r="LC698" s="174"/>
      <c r="LD698" s="174"/>
      <c r="LE698" s="174"/>
      <c r="LF698" s="174"/>
      <c r="LG698" s="174"/>
      <c r="LH698" s="159">
        <f t="shared" si="10"/>
        <v>3</v>
      </c>
      <c r="LI698" s="156">
        <f t="shared" si="11"/>
        <v>0</v>
      </c>
      <c r="LJ698" s="156">
        <f t="shared" si="12"/>
        <v>0</v>
      </c>
      <c r="LK698" s="156">
        <f t="shared" si="13"/>
        <v>0</v>
      </c>
      <c r="LL698" s="156">
        <f t="shared" si="14"/>
        <v>0</v>
      </c>
      <c r="LM698" s="160">
        <f t="shared" si="15"/>
        <v>0</v>
      </c>
      <c r="LN698" s="174"/>
      <c r="LO698" s="174"/>
      <c r="LP698" s="174"/>
      <c r="LQ698" s="174"/>
      <c r="LR698" s="174"/>
      <c r="LS698" s="174"/>
      <c r="LT698" s="174"/>
      <c r="LU698" s="174"/>
      <c r="LV698" s="174"/>
      <c r="LW698" s="174">
        <f t="shared" ref="LW698:MQ698" si="97">IFS(TODAY()&lt;=LW$2,0,WEEKDAY(LW$2)=2,1,WEEKDAY(LW$2)=3,0,WEEKDAY(LW$2)=4,1,WEEKDAY(LW$2)=5,0,WEEKDAY(LW$2)=6,1,WEEKDAY(LW$2)=7,0,WEEKDAY(LW$2)=1,0)</f>
        <v>0</v>
      </c>
      <c r="LX698" s="174">
        <f t="shared" si="97"/>
        <v>1</v>
      </c>
      <c r="LY698" s="174">
        <f t="shared" si="97"/>
        <v>0</v>
      </c>
      <c r="LZ698" s="174">
        <f t="shared" si="97"/>
        <v>0</v>
      </c>
      <c r="MA698" s="174">
        <f t="shared" si="97"/>
        <v>1</v>
      </c>
      <c r="MB698" s="174">
        <f t="shared" si="97"/>
        <v>0</v>
      </c>
      <c r="MC698" s="174">
        <f t="shared" si="97"/>
        <v>1</v>
      </c>
      <c r="MD698" s="174">
        <f t="shared" si="97"/>
        <v>0</v>
      </c>
      <c r="ME698" s="174">
        <f t="shared" si="97"/>
        <v>0</v>
      </c>
      <c r="MF698" s="174">
        <f t="shared" si="97"/>
        <v>0</v>
      </c>
      <c r="MG698" s="174">
        <f t="shared" si="97"/>
        <v>0</v>
      </c>
      <c r="MH698" s="174">
        <f t="shared" si="97"/>
        <v>0</v>
      </c>
      <c r="MI698" s="174">
        <f t="shared" si="97"/>
        <v>0</v>
      </c>
      <c r="MJ698" s="174">
        <f t="shared" si="97"/>
        <v>0</v>
      </c>
      <c r="MK698" s="174">
        <f t="shared" si="97"/>
        <v>0</v>
      </c>
      <c r="ML698" s="174">
        <f t="shared" si="97"/>
        <v>0</v>
      </c>
      <c r="MM698" s="174">
        <f t="shared" si="97"/>
        <v>0</v>
      </c>
      <c r="MN698" s="174">
        <f t="shared" si="97"/>
        <v>0</v>
      </c>
      <c r="MO698" s="174">
        <f t="shared" si="97"/>
        <v>0</v>
      </c>
      <c r="MP698" s="174">
        <f t="shared" si="97"/>
        <v>0</v>
      </c>
      <c r="MQ698" s="174">
        <f t="shared" si="97"/>
        <v>0</v>
      </c>
      <c r="QX698" s="560">
        <v>46221.0</v>
      </c>
    </row>
    <row r="699">
      <c r="A699" s="12"/>
      <c r="B699" s="12"/>
      <c r="C699" s="12"/>
      <c r="D699" s="12"/>
      <c r="E699" s="12"/>
      <c r="F699" s="12"/>
      <c r="G699" s="12"/>
      <c r="H699" s="12"/>
      <c r="I699" s="143">
        <f t="shared" si="22"/>
        <v>-18</v>
      </c>
      <c r="J699" s="537">
        <v>46232.0</v>
      </c>
      <c r="K699" s="294" t="s">
        <v>48</v>
      </c>
      <c r="L699" s="543" t="s">
        <v>3485</v>
      </c>
      <c r="M699" s="86" t="s">
        <v>3139</v>
      </c>
      <c r="N699" s="86">
        <v>246.0</v>
      </c>
      <c r="O699" s="86">
        <v>30.0</v>
      </c>
      <c r="U699" s="162" t="s">
        <v>3688</v>
      </c>
      <c r="V699" s="538" t="s">
        <v>1093</v>
      </c>
      <c r="W699" s="185" t="s">
        <v>3689</v>
      </c>
      <c r="X699" s="140"/>
      <c r="Y699" s="166">
        <f t="shared" si="23"/>
        <v>18</v>
      </c>
      <c r="Z699" s="26">
        <f t="shared" si="7"/>
        <v>0</v>
      </c>
      <c r="AA699" s="26">
        <f t="shared" si="8"/>
        <v>0</v>
      </c>
      <c r="AB699" s="26">
        <f t="shared" si="9"/>
        <v>0</v>
      </c>
      <c r="AC699" s="156">
        <v>0.0</v>
      </c>
      <c r="AD699" s="156">
        <v>0.0</v>
      </c>
      <c r="AE699" s="156">
        <v>0.0</v>
      </c>
      <c r="AF699" s="156">
        <v>0.0</v>
      </c>
      <c r="AG699" s="156">
        <v>0.0</v>
      </c>
      <c r="AH699" s="156">
        <v>0.0</v>
      </c>
      <c r="BN699" s="155">
        <v>0.0</v>
      </c>
      <c r="BO699" s="155">
        <v>0.0</v>
      </c>
      <c r="BP699" s="155">
        <v>0.0</v>
      </c>
      <c r="BQ699" s="155">
        <v>0.0</v>
      </c>
      <c r="BR699" s="155">
        <v>0.0</v>
      </c>
      <c r="BS699" s="155">
        <v>0.0</v>
      </c>
      <c r="CV699" s="156">
        <v>0.0</v>
      </c>
      <c r="CW699" s="156">
        <v>0.0</v>
      </c>
      <c r="CX699" s="156">
        <v>0.0</v>
      </c>
      <c r="CY699" s="156">
        <v>0.0</v>
      </c>
      <c r="CZ699" s="156">
        <v>0.0</v>
      </c>
      <c r="DA699" s="156">
        <v>0.0</v>
      </c>
      <c r="EG699" s="156">
        <v>0.0</v>
      </c>
      <c r="EH699" s="156">
        <v>0.0</v>
      </c>
      <c r="EI699" s="156">
        <v>0.0</v>
      </c>
      <c r="EJ699" s="156">
        <v>0.0</v>
      </c>
      <c r="EK699" s="156">
        <v>0.0</v>
      </c>
      <c r="EL699" s="156">
        <v>0.0</v>
      </c>
      <c r="FQ699" s="156">
        <v>0.0</v>
      </c>
      <c r="FR699" s="156">
        <v>0.0</v>
      </c>
      <c r="FS699" s="156">
        <v>0.0</v>
      </c>
      <c r="FT699" s="156">
        <v>0.0</v>
      </c>
      <c r="FU699" s="156">
        <v>0.0</v>
      </c>
      <c r="FV699" s="156">
        <v>0.0</v>
      </c>
      <c r="FW699" s="157"/>
      <c r="FX699" s="157"/>
      <c r="FY699" s="157"/>
      <c r="FZ699" s="157"/>
      <c r="GA699" s="157"/>
      <c r="GB699" s="157"/>
      <c r="GC699" s="157"/>
      <c r="GD699" s="157"/>
      <c r="GE699" s="157"/>
      <c r="GF699" s="157"/>
      <c r="GG699" s="157"/>
      <c r="GH699" s="157"/>
      <c r="GI699" s="157"/>
      <c r="GJ699" s="157"/>
      <c r="GK699" s="157"/>
      <c r="GL699" s="157"/>
      <c r="GM699" s="157"/>
      <c r="GN699" s="157"/>
      <c r="GO699" s="157"/>
      <c r="GP699" s="158"/>
      <c r="GQ699" s="157"/>
      <c r="GR699" s="157"/>
      <c r="GS699" s="157"/>
      <c r="GT699" s="157"/>
      <c r="GU699" s="157"/>
      <c r="GV699" s="157"/>
      <c r="GW699" s="157"/>
      <c r="GX699" s="157"/>
      <c r="GY699" s="157"/>
      <c r="GZ699" s="157"/>
      <c r="HA699" s="157"/>
      <c r="HB699" s="155">
        <v>0.0</v>
      </c>
      <c r="HC699" s="155">
        <v>0.0</v>
      </c>
      <c r="HD699" s="155">
        <v>0.0</v>
      </c>
      <c r="HE699" s="155">
        <v>0.0</v>
      </c>
      <c r="HF699" s="155">
        <v>0.0</v>
      </c>
      <c r="HG699" s="155">
        <v>0.0</v>
      </c>
      <c r="IL699" s="159">
        <v>1.0</v>
      </c>
      <c r="IM699" s="156">
        <v>0.0</v>
      </c>
      <c r="IN699" s="156">
        <v>0.0</v>
      </c>
      <c r="IO699" s="156">
        <v>0.0</v>
      </c>
      <c r="IP699" s="156">
        <v>0.0</v>
      </c>
      <c r="IQ699" s="160">
        <v>0.0</v>
      </c>
      <c r="JH699" s="25"/>
      <c r="JT699" s="86">
        <v>1.0</v>
      </c>
      <c r="JW699" s="159">
        <v>12.0</v>
      </c>
      <c r="JX699" s="156">
        <v>0.0</v>
      </c>
      <c r="JY699" s="156">
        <v>0.0</v>
      </c>
      <c r="JZ699" s="156">
        <v>0.0</v>
      </c>
      <c r="KA699" s="156">
        <v>0.0</v>
      </c>
      <c r="KB699" s="160">
        <v>0.0</v>
      </c>
      <c r="KC699" s="175">
        <v>1.0</v>
      </c>
      <c r="KD699" s="175">
        <v>1.0</v>
      </c>
      <c r="KE699" s="174"/>
      <c r="KF699" s="175">
        <v>1.0</v>
      </c>
      <c r="KG699" s="174"/>
      <c r="KH699" s="174"/>
      <c r="KI699" s="174"/>
      <c r="KJ699" s="175">
        <v>1.0</v>
      </c>
      <c r="KK699" s="175">
        <v>1.0</v>
      </c>
      <c r="KL699" s="174"/>
      <c r="KM699" s="175">
        <v>1.0</v>
      </c>
      <c r="KN699" s="174"/>
      <c r="KO699" s="174"/>
      <c r="KP699" s="174"/>
      <c r="KQ699" s="175">
        <v>1.0</v>
      </c>
      <c r="KR699" s="175">
        <v>1.0</v>
      </c>
      <c r="KS699" s="472"/>
      <c r="KT699" s="174"/>
      <c r="KU699" s="174"/>
      <c r="KV699" s="174"/>
      <c r="KW699" s="174"/>
      <c r="KX699" s="175">
        <v>1.0</v>
      </c>
      <c r="KY699" s="175">
        <v>1.0</v>
      </c>
      <c r="KZ699" s="174"/>
      <c r="LA699" s="175">
        <v>1.0</v>
      </c>
      <c r="LB699" s="174"/>
      <c r="LC699" s="174"/>
      <c r="LD699" s="174"/>
      <c r="LE699" s="175">
        <v>1.0</v>
      </c>
      <c r="LF699" s="174"/>
      <c r="LG699" s="174"/>
      <c r="LH699" s="159">
        <f t="shared" si="10"/>
        <v>5</v>
      </c>
      <c r="LI699" s="156">
        <f t="shared" si="11"/>
        <v>0</v>
      </c>
      <c r="LJ699" s="156">
        <f t="shared" si="12"/>
        <v>0</v>
      </c>
      <c r="LK699" s="156">
        <f t="shared" si="13"/>
        <v>0</v>
      </c>
      <c r="LL699" s="156">
        <f t="shared" si="14"/>
        <v>0</v>
      </c>
      <c r="LM699" s="160">
        <f t="shared" si="15"/>
        <v>0</v>
      </c>
      <c r="LN699" s="174"/>
      <c r="LO699" s="174"/>
      <c r="LP699" s="174"/>
      <c r="LQ699" s="174"/>
      <c r="LR699" s="187">
        <v>1.0</v>
      </c>
      <c r="LS699" s="174"/>
      <c r="LT699" s="174"/>
      <c r="LU699" s="187">
        <v>1.0</v>
      </c>
      <c r="LV699" s="174"/>
      <c r="LW699" s="174">
        <f t="shared" ref="LW699:MQ699" si="98">IFS(TODAY()&lt;=LW$2,0,WEEKDAY(LW$2)=2,1,WEEKDAY(LW$2)=3,0,WEEKDAY(LW$2)=4,1,WEEKDAY(LW$2)=5,0,WEEKDAY(LW$2)=6,1,WEEKDAY(LW$2)=7,0,WEEKDAY(LW$2)=1,0)</f>
        <v>0</v>
      </c>
      <c r="LX699" s="174">
        <f t="shared" si="98"/>
        <v>1</v>
      </c>
      <c r="LY699" s="174">
        <f t="shared" si="98"/>
        <v>0</v>
      </c>
      <c r="LZ699" s="174">
        <f t="shared" si="98"/>
        <v>0</v>
      </c>
      <c r="MA699" s="174">
        <f t="shared" si="98"/>
        <v>1</v>
      </c>
      <c r="MB699" s="174">
        <f t="shared" si="98"/>
        <v>0</v>
      </c>
      <c r="MC699" s="174">
        <f t="shared" si="98"/>
        <v>1</v>
      </c>
      <c r="MD699" s="174">
        <f t="shared" si="98"/>
        <v>0</v>
      </c>
      <c r="ME699" s="174">
        <f t="shared" si="98"/>
        <v>0</v>
      </c>
      <c r="MF699" s="174">
        <f t="shared" si="98"/>
        <v>0</v>
      </c>
      <c r="MG699" s="174">
        <f t="shared" si="98"/>
        <v>0</v>
      </c>
      <c r="MH699" s="174">
        <f t="shared" si="98"/>
        <v>0</v>
      </c>
      <c r="MI699" s="174">
        <f t="shared" si="98"/>
        <v>0</v>
      </c>
      <c r="MJ699" s="174">
        <f t="shared" si="98"/>
        <v>0</v>
      </c>
      <c r="MK699" s="174">
        <f t="shared" si="98"/>
        <v>0</v>
      </c>
      <c r="ML699" s="174">
        <f t="shared" si="98"/>
        <v>0</v>
      </c>
      <c r="MM699" s="174">
        <f t="shared" si="98"/>
        <v>0</v>
      </c>
      <c r="MN699" s="174">
        <f t="shared" si="98"/>
        <v>0</v>
      </c>
      <c r="MO699" s="174">
        <f t="shared" si="98"/>
        <v>0</v>
      </c>
      <c r="MP699" s="174">
        <f t="shared" si="98"/>
        <v>0</v>
      </c>
      <c r="MQ699" s="174">
        <f t="shared" si="98"/>
        <v>0</v>
      </c>
      <c r="QX699" s="560">
        <v>46221.0</v>
      </c>
    </row>
    <row r="700">
      <c r="A700" s="12"/>
      <c r="B700" s="12"/>
      <c r="C700" s="12"/>
      <c r="D700" s="12"/>
      <c r="E700" s="12"/>
      <c r="F700" s="12"/>
      <c r="G700" s="12"/>
      <c r="H700" s="12"/>
      <c r="I700" s="143">
        <f t="shared" si="22"/>
        <v>-13</v>
      </c>
      <c r="J700" s="537">
        <v>46230.0</v>
      </c>
      <c r="K700" s="294" t="s">
        <v>48</v>
      </c>
      <c r="L700" s="108"/>
      <c r="M700" s="86" t="s">
        <v>107</v>
      </c>
      <c r="N700" s="188">
        <v>246.0</v>
      </c>
      <c r="O700" s="86">
        <v>30.0</v>
      </c>
      <c r="U700" s="162" t="s">
        <v>3004</v>
      </c>
      <c r="V700" s="538" t="s">
        <v>3005</v>
      </c>
      <c r="W700" s="185" t="s">
        <v>3690</v>
      </c>
      <c r="X700" s="140"/>
      <c r="Y700" s="166">
        <f t="shared" si="23"/>
        <v>13</v>
      </c>
      <c r="Z700" s="26">
        <f t="shared" si="7"/>
        <v>0</v>
      </c>
      <c r="AA700" s="26">
        <f t="shared" si="8"/>
        <v>0</v>
      </c>
      <c r="AB700" s="26">
        <f t="shared" si="9"/>
        <v>0</v>
      </c>
      <c r="AC700" s="156">
        <v>0.0</v>
      </c>
      <c r="AD700" s="156">
        <v>0.0</v>
      </c>
      <c r="AE700" s="156">
        <v>0.0</v>
      </c>
      <c r="AF700" s="156">
        <v>0.0</v>
      </c>
      <c r="AG700" s="156">
        <v>0.0</v>
      </c>
      <c r="AH700" s="156">
        <v>0.0</v>
      </c>
      <c r="BN700" s="155">
        <v>0.0</v>
      </c>
      <c r="BO700" s="155">
        <v>0.0</v>
      </c>
      <c r="BP700" s="155">
        <v>0.0</v>
      </c>
      <c r="BQ700" s="155">
        <v>0.0</v>
      </c>
      <c r="BR700" s="155">
        <v>0.0</v>
      </c>
      <c r="BS700" s="155">
        <v>0.0</v>
      </c>
      <c r="CV700" s="156">
        <v>0.0</v>
      </c>
      <c r="CW700" s="156">
        <v>0.0</v>
      </c>
      <c r="CX700" s="156">
        <v>0.0</v>
      </c>
      <c r="CY700" s="156">
        <v>0.0</v>
      </c>
      <c r="CZ700" s="156">
        <v>0.0</v>
      </c>
      <c r="DA700" s="156">
        <v>0.0</v>
      </c>
      <c r="EG700" s="156">
        <v>0.0</v>
      </c>
      <c r="EH700" s="156">
        <v>0.0</v>
      </c>
      <c r="EI700" s="156">
        <v>0.0</v>
      </c>
      <c r="EJ700" s="156">
        <v>0.0</v>
      </c>
      <c r="EK700" s="156">
        <v>0.0</v>
      </c>
      <c r="EL700" s="156">
        <v>0.0</v>
      </c>
      <c r="FQ700" s="156">
        <v>0.0</v>
      </c>
      <c r="FR700" s="156">
        <v>0.0</v>
      </c>
      <c r="FS700" s="156">
        <v>0.0</v>
      </c>
      <c r="FT700" s="156">
        <v>0.0</v>
      </c>
      <c r="FU700" s="156">
        <v>0.0</v>
      </c>
      <c r="FV700" s="156">
        <v>0.0</v>
      </c>
      <c r="FW700" s="157"/>
      <c r="FX700" s="157"/>
      <c r="FY700" s="157"/>
      <c r="FZ700" s="157"/>
      <c r="GA700" s="157"/>
      <c r="GB700" s="157"/>
      <c r="GC700" s="157"/>
      <c r="GD700" s="157"/>
      <c r="GE700" s="157"/>
      <c r="GF700" s="157"/>
      <c r="GG700" s="157"/>
      <c r="GH700" s="157"/>
      <c r="GI700" s="157"/>
      <c r="GJ700" s="157"/>
      <c r="GK700" s="157"/>
      <c r="GL700" s="157"/>
      <c r="GM700" s="157"/>
      <c r="GN700" s="157"/>
      <c r="GO700" s="157"/>
      <c r="GP700" s="158"/>
      <c r="GQ700" s="157"/>
      <c r="GR700" s="157"/>
      <c r="GS700" s="157"/>
      <c r="GT700" s="157"/>
      <c r="GU700" s="157"/>
      <c r="GV700" s="157"/>
      <c r="GW700" s="157"/>
      <c r="GX700" s="157"/>
      <c r="GY700" s="157"/>
      <c r="GZ700" s="157"/>
      <c r="HA700" s="157"/>
      <c r="HB700" s="155">
        <v>0.0</v>
      </c>
      <c r="HC700" s="155">
        <v>0.0</v>
      </c>
      <c r="HD700" s="155">
        <v>0.0</v>
      </c>
      <c r="HE700" s="155">
        <v>0.0</v>
      </c>
      <c r="HF700" s="155">
        <v>0.0</v>
      </c>
      <c r="HG700" s="155">
        <v>0.0</v>
      </c>
      <c r="IL700" s="159">
        <v>2.0</v>
      </c>
      <c r="IM700" s="156">
        <v>0.0</v>
      </c>
      <c r="IN700" s="156">
        <v>0.0</v>
      </c>
      <c r="IO700" s="156">
        <v>0.0</v>
      </c>
      <c r="IP700" s="156">
        <v>0.0</v>
      </c>
      <c r="IQ700" s="160">
        <v>0.0</v>
      </c>
      <c r="JH700" s="25"/>
      <c r="JR700" s="175">
        <v>1.0</v>
      </c>
      <c r="JS700" s="174"/>
      <c r="JT700" s="175">
        <v>1.0</v>
      </c>
      <c r="JU700" s="174"/>
      <c r="JV700" s="175"/>
      <c r="JW700" s="159">
        <v>6.0</v>
      </c>
      <c r="JX700" s="156">
        <v>0.0</v>
      </c>
      <c r="JY700" s="156">
        <v>0.0</v>
      </c>
      <c r="JZ700" s="156">
        <v>0.0</v>
      </c>
      <c r="KA700" s="156">
        <v>0.0</v>
      </c>
      <c r="KB700" s="160">
        <v>0.0</v>
      </c>
      <c r="KC700" s="174"/>
      <c r="KD700" s="174"/>
      <c r="KE700" s="174"/>
      <c r="KF700" s="174"/>
      <c r="KG700" s="175">
        <v>1.0</v>
      </c>
      <c r="KH700" s="174"/>
      <c r="KI700" s="174"/>
      <c r="KJ700" s="174"/>
      <c r="KK700" s="174"/>
      <c r="KL700" s="174"/>
      <c r="KM700" s="174"/>
      <c r="KN700" s="175"/>
      <c r="KO700" s="174"/>
      <c r="KP700" s="174"/>
      <c r="KQ700" s="174"/>
      <c r="KR700" s="174"/>
      <c r="KS700" s="186">
        <v>1.0</v>
      </c>
      <c r="KT700" s="174"/>
      <c r="KU700" s="174"/>
      <c r="KV700" s="174"/>
      <c r="KW700" s="175">
        <v>1.0</v>
      </c>
      <c r="KX700" s="174"/>
      <c r="KY700" s="174"/>
      <c r="KZ700" s="175">
        <v>1.0</v>
      </c>
      <c r="LA700" s="174"/>
      <c r="LB700" s="175">
        <v>1.0</v>
      </c>
      <c r="LC700" s="174"/>
      <c r="LD700" s="175">
        <v>1.0</v>
      </c>
      <c r="LE700" s="174"/>
      <c r="LF700" s="174"/>
      <c r="LG700" s="174"/>
      <c r="LH700" s="159">
        <f t="shared" si="10"/>
        <v>5</v>
      </c>
      <c r="LI700" s="156">
        <f t="shared" si="11"/>
        <v>0</v>
      </c>
      <c r="LJ700" s="156">
        <f t="shared" si="12"/>
        <v>0</v>
      </c>
      <c r="LK700" s="156">
        <f t="shared" si="13"/>
        <v>0</v>
      </c>
      <c r="LL700" s="156">
        <f t="shared" si="14"/>
        <v>0</v>
      </c>
      <c r="LM700" s="160">
        <f t="shared" si="15"/>
        <v>0</v>
      </c>
      <c r="LN700" s="174"/>
      <c r="LO700" s="174"/>
      <c r="LP700" s="174"/>
      <c r="LQ700" s="187">
        <v>1.0</v>
      </c>
      <c r="LR700" s="174"/>
      <c r="LS700" s="174"/>
      <c r="LT700" s="187">
        <v>1.0</v>
      </c>
      <c r="LU700" s="174"/>
      <c r="LV700" s="174"/>
      <c r="LW700" s="174">
        <f t="shared" ref="LW700:MQ700" si="99">IFS(TODAY()&lt;=LW$2,0,WEEKDAY(LW$2)=2,1,WEEKDAY(LW$2)=3,0,WEEKDAY(LW$2)=4,1,WEEKDAY(LW$2)=5,0,WEEKDAY(LW$2)=6,1,WEEKDAY(LW$2)=7,0,WEEKDAY(LW$2)=1,0)</f>
        <v>0</v>
      </c>
      <c r="LX700" s="174">
        <f t="shared" si="99"/>
        <v>1</v>
      </c>
      <c r="LY700" s="174">
        <f t="shared" si="99"/>
        <v>0</v>
      </c>
      <c r="LZ700" s="174">
        <f t="shared" si="99"/>
        <v>0</v>
      </c>
      <c r="MA700" s="174">
        <f t="shared" si="99"/>
        <v>1</v>
      </c>
      <c r="MB700" s="174">
        <f t="shared" si="99"/>
        <v>0</v>
      </c>
      <c r="MC700" s="174">
        <f t="shared" si="99"/>
        <v>1</v>
      </c>
      <c r="MD700" s="174">
        <f t="shared" si="99"/>
        <v>0</v>
      </c>
      <c r="ME700" s="174">
        <f t="shared" si="99"/>
        <v>0</v>
      </c>
      <c r="MF700" s="174">
        <f t="shared" si="99"/>
        <v>0</v>
      </c>
      <c r="MG700" s="174">
        <f t="shared" si="99"/>
        <v>0</v>
      </c>
      <c r="MH700" s="174">
        <f t="shared" si="99"/>
        <v>0</v>
      </c>
      <c r="MI700" s="174">
        <f t="shared" si="99"/>
        <v>0</v>
      </c>
      <c r="MJ700" s="174">
        <f t="shared" si="99"/>
        <v>0</v>
      </c>
      <c r="MK700" s="174">
        <f t="shared" si="99"/>
        <v>0</v>
      </c>
      <c r="ML700" s="174">
        <f t="shared" si="99"/>
        <v>0</v>
      </c>
      <c r="MM700" s="174">
        <f t="shared" si="99"/>
        <v>0</v>
      </c>
      <c r="MN700" s="174">
        <f t="shared" si="99"/>
        <v>0</v>
      </c>
      <c r="MO700" s="174">
        <f t="shared" si="99"/>
        <v>0</v>
      </c>
      <c r="MP700" s="174">
        <f t="shared" si="99"/>
        <v>0</v>
      </c>
      <c r="MQ700" s="174">
        <f t="shared" si="99"/>
        <v>0</v>
      </c>
      <c r="QX700" s="560">
        <v>46223.0</v>
      </c>
    </row>
    <row r="701">
      <c r="A701" s="12"/>
      <c r="B701" s="12"/>
      <c r="C701" s="12"/>
      <c r="D701" s="12"/>
      <c r="E701" s="58"/>
      <c r="F701" s="12"/>
      <c r="G701" s="12"/>
      <c r="H701" s="12"/>
      <c r="I701" s="143">
        <f t="shared" si="22"/>
        <v>-7</v>
      </c>
      <c r="J701" s="537">
        <v>46230.0</v>
      </c>
      <c r="K701" s="294" t="s">
        <v>48</v>
      </c>
      <c r="L701" s="108"/>
      <c r="M701" s="86" t="s">
        <v>424</v>
      </c>
      <c r="N701" s="86" t="s">
        <v>1243</v>
      </c>
      <c r="O701" s="86">
        <v>30.0</v>
      </c>
      <c r="U701" s="162" t="s">
        <v>2519</v>
      </c>
      <c r="V701" s="538" t="s">
        <v>307</v>
      </c>
      <c r="W701" s="185" t="s">
        <v>3691</v>
      </c>
      <c r="X701" s="140"/>
      <c r="Y701" s="166">
        <f t="shared" si="23"/>
        <v>7</v>
      </c>
      <c r="Z701" s="26">
        <f t="shared" si="7"/>
        <v>0</v>
      </c>
      <c r="AA701" s="26">
        <f t="shared" si="8"/>
        <v>0</v>
      </c>
      <c r="AB701" s="26">
        <f t="shared" si="9"/>
        <v>0</v>
      </c>
      <c r="AC701" s="156">
        <v>0.0</v>
      </c>
      <c r="AD701" s="156">
        <v>0.0</v>
      </c>
      <c r="AE701" s="156">
        <v>0.0</v>
      </c>
      <c r="AF701" s="156">
        <v>0.0</v>
      </c>
      <c r="AG701" s="156">
        <v>0.0</v>
      </c>
      <c r="AH701" s="156">
        <v>0.0</v>
      </c>
      <c r="BN701" s="155">
        <v>0.0</v>
      </c>
      <c r="BO701" s="155">
        <v>0.0</v>
      </c>
      <c r="BP701" s="155">
        <v>0.0</v>
      </c>
      <c r="BQ701" s="155">
        <v>0.0</v>
      </c>
      <c r="BR701" s="155">
        <v>0.0</v>
      </c>
      <c r="BS701" s="155">
        <v>0.0</v>
      </c>
      <c r="CV701" s="156">
        <v>0.0</v>
      </c>
      <c r="CW701" s="156">
        <v>0.0</v>
      </c>
      <c r="CX701" s="156">
        <v>0.0</v>
      </c>
      <c r="CY701" s="156">
        <v>0.0</v>
      </c>
      <c r="CZ701" s="156">
        <v>0.0</v>
      </c>
      <c r="DA701" s="156">
        <v>0.0</v>
      </c>
      <c r="EG701" s="156">
        <v>0.0</v>
      </c>
      <c r="EH701" s="156">
        <v>0.0</v>
      </c>
      <c r="EI701" s="156">
        <v>0.0</v>
      </c>
      <c r="EJ701" s="156">
        <v>0.0</v>
      </c>
      <c r="EK701" s="156">
        <v>0.0</v>
      </c>
      <c r="EL701" s="156">
        <v>0.0</v>
      </c>
      <c r="FQ701" s="156">
        <v>0.0</v>
      </c>
      <c r="FR701" s="156">
        <v>0.0</v>
      </c>
      <c r="FS701" s="156">
        <v>0.0</v>
      </c>
      <c r="FT701" s="156">
        <v>0.0</v>
      </c>
      <c r="FU701" s="156">
        <v>0.0</v>
      </c>
      <c r="FV701" s="156">
        <v>0.0</v>
      </c>
      <c r="FW701" s="157"/>
      <c r="FX701" s="157"/>
      <c r="FY701" s="157"/>
      <c r="FZ701" s="157"/>
      <c r="GA701" s="157"/>
      <c r="GB701" s="157"/>
      <c r="GC701" s="157"/>
      <c r="GD701" s="157"/>
      <c r="GE701" s="157"/>
      <c r="GF701" s="157"/>
      <c r="GG701" s="157"/>
      <c r="GH701" s="157"/>
      <c r="GI701" s="157"/>
      <c r="GJ701" s="157"/>
      <c r="GK701" s="157"/>
      <c r="GL701" s="157"/>
      <c r="GM701" s="157"/>
      <c r="GN701" s="157"/>
      <c r="GO701" s="157"/>
      <c r="GP701" s="158"/>
      <c r="GQ701" s="157"/>
      <c r="GR701" s="157"/>
      <c r="GS701" s="157"/>
      <c r="GT701" s="157"/>
      <c r="GU701" s="157"/>
      <c r="GV701" s="157"/>
      <c r="GW701" s="157"/>
      <c r="GX701" s="157"/>
      <c r="GY701" s="157"/>
      <c r="GZ701" s="157"/>
      <c r="HA701" s="157"/>
      <c r="HB701" s="155">
        <v>0.0</v>
      </c>
      <c r="HC701" s="155">
        <v>0.0</v>
      </c>
      <c r="HD701" s="155">
        <v>0.0</v>
      </c>
      <c r="HE701" s="155">
        <v>0.0</v>
      </c>
      <c r="HF701" s="155">
        <v>0.0</v>
      </c>
      <c r="HG701" s="155">
        <v>0.0</v>
      </c>
      <c r="IL701" s="159">
        <v>2.0</v>
      </c>
      <c r="IM701" s="156">
        <v>0.0</v>
      </c>
      <c r="IN701" s="156">
        <v>0.0</v>
      </c>
      <c r="IO701" s="156">
        <v>0.0</v>
      </c>
      <c r="IP701" s="156">
        <v>0.0</v>
      </c>
      <c r="IQ701" s="160">
        <v>0.0</v>
      </c>
      <c r="JH701" s="25"/>
      <c r="JR701" s="86">
        <v>1.0</v>
      </c>
      <c r="JV701" s="86">
        <v>1.0</v>
      </c>
      <c r="JW701" s="159">
        <v>4.0</v>
      </c>
      <c r="JX701" s="156">
        <v>0.0</v>
      </c>
      <c r="JY701" s="156">
        <v>0.0</v>
      </c>
      <c r="JZ701" s="156">
        <v>0.0</v>
      </c>
      <c r="KA701" s="156">
        <v>0.0</v>
      </c>
      <c r="KB701" s="160">
        <v>0.0</v>
      </c>
      <c r="KI701" s="86">
        <v>1.0</v>
      </c>
      <c r="KS701" s="178"/>
      <c r="KU701" s="86">
        <v>1.0</v>
      </c>
      <c r="KZ701" s="86">
        <v>1.0</v>
      </c>
      <c r="LD701" s="86">
        <v>1.0</v>
      </c>
      <c r="LH701" s="159">
        <f t="shared" si="10"/>
        <v>1</v>
      </c>
      <c r="LI701" s="156">
        <f t="shared" si="11"/>
        <v>0</v>
      </c>
      <c r="LJ701" s="156">
        <f t="shared" si="12"/>
        <v>0</v>
      </c>
      <c r="LK701" s="156">
        <f t="shared" si="13"/>
        <v>0</v>
      </c>
      <c r="LL701" s="156">
        <f t="shared" si="14"/>
        <v>0</v>
      </c>
      <c r="LM701" s="160">
        <f t="shared" si="15"/>
        <v>0</v>
      </c>
      <c r="LN701" s="174"/>
      <c r="LO701" s="174"/>
      <c r="LP701" s="174"/>
      <c r="LQ701" s="187">
        <v>1.0</v>
      </c>
      <c r="LR701" s="174"/>
      <c r="LS701" s="174"/>
      <c r="LT701" s="174"/>
      <c r="LU701" s="174"/>
      <c r="LV701" s="174"/>
      <c r="LW701" s="174"/>
      <c r="LX701" s="174"/>
      <c r="LY701" s="174"/>
      <c r="LZ701" s="174"/>
      <c r="MA701" s="174"/>
      <c r="MB701" s="174"/>
      <c r="MC701" s="174"/>
      <c r="MD701" s="174"/>
      <c r="ME701" s="174"/>
      <c r="MF701" s="174"/>
      <c r="MG701" s="174"/>
      <c r="MH701" s="174"/>
      <c r="MI701" s="174"/>
      <c r="MJ701" s="174"/>
      <c r="MK701" s="174"/>
      <c r="ML701" s="174"/>
      <c r="MM701" s="174"/>
      <c r="MN701" s="174"/>
      <c r="MO701" s="174"/>
      <c r="MP701" s="174"/>
      <c r="MQ701" s="174"/>
      <c r="QX701" s="560">
        <v>46223.0</v>
      </c>
    </row>
    <row r="702">
      <c r="A702" s="12"/>
      <c r="B702" s="12"/>
      <c r="C702" s="12"/>
      <c r="D702" s="12"/>
      <c r="E702" s="12"/>
      <c r="F702" s="12"/>
      <c r="G702" s="12"/>
      <c r="H702" s="12"/>
      <c r="I702" s="143">
        <f t="shared" si="22"/>
        <v>-18</v>
      </c>
      <c r="J702" s="537">
        <v>46230.0</v>
      </c>
      <c r="K702" s="294" t="s">
        <v>48</v>
      </c>
      <c r="L702" s="108"/>
      <c r="M702" s="162" t="s">
        <v>435</v>
      </c>
      <c r="N702" s="86">
        <v>246.0</v>
      </c>
      <c r="O702" s="86">
        <v>30.0</v>
      </c>
      <c r="U702" s="162" t="s">
        <v>3678</v>
      </c>
      <c r="V702" s="538" t="s">
        <v>3448</v>
      </c>
      <c r="W702" s="185" t="s">
        <v>3692</v>
      </c>
      <c r="X702" s="140"/>
      <c r="Y702" s="166">
        <f t="shared" si="23"/>
        <v>18</v>
      </c>
      <c r="Z702" s="26">
        <f t="shared" si="7"/>
        <v>0</v>
      </c>
      <c r="AA702" s="26">
        <f t="shared" si="8"/>
        <v>0</v>
      </c>
      <c r="AB702" s="26">
        <f t="shared" si="9"/>
        <v>0</v>
      </c>
      <c r="AC702" s="156">
        <v>0.0</v>
      </c>
      <c r="AD702" s="156">
        <v>0.0</v>
      </c>
      <c r="AE702" s="156">
        <v>0.0</v>
      </c>
      <c r="AF702" s="156">
        <v>0.0</v>
      </c>
      <c r="AG702" s="156">
        <v>0.0</v>
      </c>
      <c r="AH702" s="156">
        <v>0.0</v>
      </c>
      <c r="BN702" s="155">
        <v>0.0</v>
      </c>
      <c r="BO702" s="155">
        <v>0.0</v>
      </c>
      <c r="BP702" s="155">
        <v>0.0</v>
      </c>
      <c r="BQ702" s="155">
        <v>0.0</v>
      </c>
      <c r="BR702" s="155">
        <v>0.0</v>
      </c>
      <c r="BS702" s="155">
        <v>0.0</v>
      </c>
      <c r="CV702" s="156">
        <v>0.0</v>
      </c>
      <c r="CW702" s="156">
        <v>0.0</v>
      </c>
      <c r="CX702" s="156">
        <v>0.0</v>
      </c>
      <c r="CY702" s="156">
        <v>0.0</v>
      </c>
      <c r="CZ702" s="156">
        <v>0.0</v>
      </c>
      <c r="DA702" s="156">
        <v>0.0</v>
      </c>
      <c r="EG702" s="156">
        <v>0.0</v>
      </c>
      <c r="EH702" s="156">
        <v>0.0</v>
      </c>
      <c r="EI702" s="156">
        <v>0.0</v>
      </c>
      <c r="EJ702" s="156">
        <v>0.0</v>
      </c>
      <c r="EK702" s="156">
        <v>0.0</v>
      </c>
      <c r="EL702" s="156">
        <v>0.0</v>
      </c>
      <c r="FQ702" s="156">
        <v>0.0</v>
      </c>
      <c r="FR702" s="156">
        <v>0.0</v>
      </c>
      <c r="FS702" s="156">
        <v>0.0</v>
      </c>
      <c r="FT702" s="156">
        <v>0.0</v>
      </c>
      <c r="FU702" s="156">
        <v>0.0</v>
      </c>
      <c r="FV702" s="156">
        <v>0.0</v>
      </c>
      <c r="FW702" s="157"/>
      <c r="FX702" s="157"/>
      <c r="FY702" s="157"/>
      <c r="FZ702" s="157"/>
      <c r="GA702" s="157"/>
      <c r="GB702" s="157"/>
      <c r="GC702" s="157"/>
      <c r="GD702" s="157"/>
      <c r="GE702" s="157"/>
      <c r="GF702" s="157"/>
      <c r="GG702" s="157"/>
      <c r="GH702" s="157"/>
      <c r="GI702" s="157"/>
      <c r="GJ702" s="157"/>
      <c r="GK702" s="157"/>
      <c r="GL702" s="157"/>
      <c r="GM702" s="157"/>
      <c r="GN702" s="157"/>
      <c r="GO702" s="157"/>
      <c r="GP702" s="158"/>
      <c r="GQ702" s="157"/>
      <c r="GR702" s="157"/>
      <c r="GS702" s="157"/>
      <c r="GT702" s="157"/>
      <c r="GU702" s="157"/>
      <c r="GV702" s="157"/>
      <c r="GW702" s="157"/>
      <c r="GX702" s="157"/>
      <c r="GY702" s="157"/>
      <c r="GZ702" s="157"/>
      <c r="HA702" s="157"/>
      <c r="HB702" s="155">
        <v>0.0</v>
      </c>
      <c r="HC702" s="155">
        <v>0.0</v>
      </c>
      <c r="HD702" s="155">
        <v>0.0</v>
      </c>
      <c r="HE702" s="155">
        <v>0.0</v>
      </c>
      <c r="HF702" s="155">
        <v>0.0</v>
      </c>
      <c r="HG702" s="155">
        <v>0.0</v>
      </c>
      <c r="IL702" s="159">
        <v>3.0</v>
      </c>
      <c r="IM702" s="156">
        <v>0.0</v>
      </c>
      <c r="IN702" s="156">
        <v>0.0</v>
      </c>
      <c r="IO702" s="156">
        <v>0.0</v>
      </c>
      <c r="IP702" s="156">
        <v>0.0</v>
      </c>
      <c r="IQ702" s="160">
        <v>0.0</v>
      </c>
      <c r="JH702" s="25"/>
      <c r="JR702" s="175">
        <v>1.0</v>
      </c>
      <c r="JS702" s="174"/>
      <c r="JT702" s="175">
        <v>1.0</v>
      </c>
      <c r="JU702" s="174"/>
      <c r="JV702" s="175">
        <v>1.0</v>
      </c>
      <c r="JW702" s="159">
        <v>9.0</v>
      </c>
      <c r="JX702" s="156">
        <v>0.0</v>
      </c>
      <c r="JY702" s="156">
        <v>0.0</v>
      </c>
      <c r="JZ702" s="156">
        <v>0.0</v>
      </c>
      <c r="KA702" s="156">
        <v>0.0</v>
      </c>
      <c r="KB702" s="160">
        <v>0.0</v>
      </c>
      <c r="KC702" s="174"/>
      <c r="KD702" s="174"/>
      <c r="KE702" s="175">
        <v>1.0</v>
      </c>
      <c r="KF702" s="174"/>
      <c r="KG702" s="175"/>
      <c r="KH702" s="175"/>
      <c r="KI702" s="175">
        <v>1.0</v>
      </c>
      <c r="KJ702" s="174"/>
      <c r="KK702" s="174"/>
      <c r="KL702" s="175">
        <v>1.0</v>
      </c>
      <c r="KM702" s="174"/>
      <c r="KN702" s="174"/>
      <c r="KO702" s="174"/>
      <c r="KP702" s="175">
        <v>1.0</v>
      </c>
      <c r="KQ702" s="174"/>
      <c r="KR702" s="174"/>
      <c r="KS702" s="186">
        <v>1.0</v>
      </c>
      <c r="KT702" s="174"/>
      <c r="KU702" s="175">
        <v>1.0</v>
      </c>
      <c r="KV702" s="174"/>
      <c r="KW702" s="175">
        <v>1.0</v>
      </c>
      <c r="KX702" s="174"/>
      <c r="KY702" s="174"/>
      <c r="KZ702" s="175">
        <v>1.0</v>
      </c>
      <c r="LA702" s="174"/>
      <c r="LB702" s="174"/>
      <c r="LC702" s="174"/>
      <c r="LD702" s="175">
        <v>1.0</v>
      </c>
      <c r="LE702" s="174"/>
      <c r="LF702" s="174"/>
      <c r="LG702" s="174"/>
      <c r="LH702" s="159">
        <f t="shared" si="10"/>
        <v>6</v>
      </c>
      <c r="LI702" s="156">
        <f t="shared" si="11"/>
        <v>0</v>
      </c>
      <c r="LJ702" s="156">
        <f t="shared" si="12"/>
        <v>0</v>
      </c>
      <c r="LK702" s="156">
        <f t="shared" si="13"/>
        <v>0</v>
      </c>
      <c r="LL702" s="156">
        <f t="shared" si="14"/>
        <v>0</v>
      </c>
      <c r="LM702" s="160">
        <f t="shared" si="15"/>
        <v>0</v>
      </c>
      <c r="LN702" s="174"/>
      <c r="LO702" s="174"/>
      <c r="LP702" s="174"/>
      <c r="LQ702" s="187">
        <v>1.0</v>
      </c>
      <c r="LR702" s="174"/>
      <c r="LS702" s="174"/>
      <c r="LT702" s="187">
        <v>1.0</v>
      </c>
      <c r="LU702" s="174"/>
      <c r="LV702" s="187">
        <v>1.0</v>
      </c>
      <c r="LW702" s="174">
        <f t="shared" ref="LW702:MQ702" si="100">IFS(TODAY()&lt;=LW$2,0,WEEKDAY(LW$2)=2,1,WEEKDAY(LW$2)=3,0,WEEKDAY(LW$2)=4,1,WEEKDAY(LW$2)=5,0,WEEKDAY(LW$2)=6,1,WEEKDAY(LW$2)=7,0,WEEKDAY(LW$2)=1,0)</f>
        <v>0</v>
      </c>
      <c r="LX702" s="174">
        <f t="shared" si="100"/>
        <v>1</v>
      </c>
      <c r="LY702" s="174">
        <f t="shared" si="100"/>
        <v>0</v>
      </c>
      <c r="LZ702" s="174">
        <f t="shared" si="100"/>
        <v>0</v>
      </c>
      <c r="MA702" s="174">
        <f t="shared" si="100"/>
        <v>1</v>
      </c>
      <c r="MB702" s="174">
        <f t="shared" si="100"/>
        <v>0</v>
      </c>
      <c r="MC702" s="174">
        <f t="shared" si="100"/>
        <v>1</v>
      </c>
      <c r="MD702" s="174">
        <f t="shared" si="100"/>
        <v>0</v>
      </c>
      <c r="ME702" s="174">
        <f t="shared" si="100"/>
        <v>0</v>
      </c>
      <c r="MF702" s="174">
        <f t="shared" si="100"/>
        <v>0</v>
      </c>
      <c r="MG702" s="174">
        <f t="shared" si="100"/>
        <v>0</v>
      </c>
      <c r="MH702" s="174">
        <f t="shared" si="100"/>
        <v>0</v>
      </c>
      <c r="MI702" s="174">
        <f t="shared" si="100"/>
        <v>0</v>
      </c>
      <c r="MJ702" s="174">
        <f t="shared" si="100"/>
        <v>0</v>
      </c>
      <c r="MK702" s="174">
        <f t="shared" si="100"/>
        <v>0</v>
      </c>
      <c r="ML702" s="174">
        <f t="shared" si="100"/>
        <v>0</v>
      </c>
      <c r="MM702" s="174">
        <f t="shared" si="100"/>
        <v>0</v>
      </c>
      <c r="MN702" s="174">
        <f t="shared" si="100"/>
        <v>0</v>
      </c>
      <c r="MO702" s="174">
        <f t="shared" si="100"/>
        <v>0</v>
      </c>
      <c r="MP702" s="174">
        <f t="shared" si="100"/>
        <v>0</v>
      </c>
      <c r="MQ702" s="174">
        <f t="shared" si="100"/>
        <v>0</v>
      </c>
      <c r="QX702" s="560">
        <v>46225.0</v>
      </c>
    </row>
    <row r="703">
      <c r="A703" s="12"/>
      <c r="B703" s="12"/>
      <c r="C703" s="12"/>
      <c r="D703" s="12"/>
      <c r="E703" s="12"/>
      <c r="F703" s="494"/>
      <c r="G703" s="12"/>
      <c r="H703" s="12"/>
      <c r="I703" s="143">
        <f t="shared" si="22"/>
        <v>-18</v>
      </c>
      <c r="J703" s="537">
        <v>46234.0</v>
      </c>
      <c r="K703" s="294" t="s">
        <v>48</v>
      </c>
      <c r="L703" s="108"/>
      <c r="M703" s="86" t="s">
        <v>3693</v>
      </c>
      <c r="N703" s="86">
        <v>246.0</v>
      </c>
      <c r="O703" s="86">
        <v>30.0</v>
      </c>
      <c r="U703" s="162" t="s">
        <v>3241</v>
      </c>
      <c r="V703" s="538" t="s">
        <v>613</v>
      </c>
      <c r="W703" s="125" t="s">
        <v>3694</v>
      </c>
      <c r="X703" s="140"/>
      <c r="Y703" s="166">
        <f t="shared" si="23"/>
        <v>18</v>
      </c>
      <c r="Z703" s="26">
        <f t="shared" si="7"/>
        <v>0</v>
      </c>
      <c r="AA703" s="26">
        <f t="shared" si="8"/>
        <v>1</v>
      </c>
      <c r="AB703" s="26">
        <f t="shared" si="9"/>
        <v>0</v>
      </c>
      <c r="AC703" s="156">
        <v>0.0</v>
      </c>
      <c r="AD703" s="156">
        <v>0.0</v>
      </c>
      <c r="AE703" s="156">
        <v>0.0</v>
      </c>
      <c r="AF703" s="156">
        <v>0.0</v>
      </c>
      <c r="AG703" s="156">
        <v>0.0</v>
      </c>
      <c r="AH703" s="156">
        <v>0.0</v>
      </c>
      <c r="BN703" s="155">
        <v>0.0</v>
      </c>
      <c r="BO703" s="155">
        <v>0.0</v>
      </c>
      <c r="BP703" s="155">
        <v>0.0</v>
      </c>
      <c r="BQ703" s="155">
        <v>0.0</v>
      </c>
      <c r="BR703" s="155">
        <v>0.0</v>
      </c>
      <c r="BS703" s="155">
        <v>0.0</v>
      </c>
      <c r="CV703" s="156">
        <v>0.0</v>
      </c>
      <c r="CW703" s="156">
        <v>0.0</v>
      </c>
      <c r="CX703" s="156">
        <v>0.0</v>
      </c>
      <c r="CY703" s="156">
        <v>0.0</v>
      </c>
      <c r="CZ703" s="156">
        <v>0.0</v>
      </c>
      <c r="DA703" s="156">
        <v>0.0</v>
      </c>
      <c r="EG703" s="156">
        <v>0.0</v>
      </c>
      <c r="EH703" s="156">
        <v>0.0</v>
      </c>
      <c r="EI703" s="156">
        <v>0.0</v>
      </c>
      <c r="EJ703" s="156">
        <v>0.0</v>
      </c>
      <c r="EK703" s="156">
        <v>0.0</v>
      </c>
      <c r="EL703" s="156">
        <v>0.0</v>
      </c>
      <c r="FQ703" s="156">
        <v>0.0</v>
      </c>
      <c r="FR703" s="156">
        <v>0.0</v>
      </c>
      <c r="FS703" s="156">
        <v>0.0</v>
      </c>
      <c r="FT703" s="156">
        <v>0.0</v>
      </c>
      <c r="FU703" s="156">
        <v>0.0</v>
      </c>
      <c r="FV703" s="156">
        <v>0.0</v>
      </c>
      <c r="FW703" s="157"/>
      <c r="FX703" s="157"/>
      <c r="FY703" s="157"/>
      <c r="FZ703" s="157"/>
      <c r="GA703" s="157"/>
      <c r="GB703" s="157"/>
      <c r="GC703" s="157"/>
      <c r="GD703" s="157"/>
      <c r="GE703" s="157"/>
      <c r="GF703" s="157"/>
      <c r="GG703" s="157"/>
      <c r="GH703" s="157"/>
      <c r="GI703" s="157"/>
      <c r="GJ703" s="157"/>
      <c r="GK703" s="157"/>
      <c r="GL703" s="157"/>
      <c r="GM703" s="157"/>
      <c r="GN703" s="157"/>
      <c r="GO703" s="157"/>
      <c r="GP703" s="158"/>
      <c r="GQ703" s="157"/>
      <c r="GR703" s="157"/>
      <c r="GS703" s="157"/>
      <c r="GT703" s="157"/>
      <c r="GU703" s="157"/>
      <c r="GV703" s="157"/>
      <c r="GW703" s="157"/>
      <c r="GX703" s="157"/>
      <c r="GY703" s="157"/>
      <c r="GZ703" s="157"/>
      <c r="HA703" s="157"/>
      <c r="HB703" s="155">
        <v>0.0</v>
      </c>
      <c r="HC703" s="155">
        <v>0.0</v>
      </c>
      <c r="HD703" s="155">
        <v>0.0</v>
      </c>
      <c r="HE703" s="155">
        <v>0.0</v>
      </c>
      <c r="HF703" s="155">
        <v>0.0</v>
      </c>
      <c r="HG703" s="155">
        <v>0.0</v>
      </c>
      <c r="IL703" s="159">
        <v>1.0</v>
      </c>
      <c r="IM703" s="156">
        <v>0.0</v>
      </c>
      <c r="IN703" s="156">
        <v>0.0</v>
      </c>
      <c r="IO703" s="156">
        <v>0.0</v>
      </c>
      <c r="IP703" s="156">
        <v>0.0</v>
      </c>
      <c r="IQ703" s="160">
        <v>0.0</v>
      </c>
      <c r="JH703" s="25"/>
      <c r="JV703" s="86">
        <v>1.0</v>
      </c>
      <c r="JW703" s="159">
        <v>11.0</v>
      </c>
      <c r="JX703" s="156">
        <v>0.0</v>
      </c>
      <c r="JY703" s="156">
        <v>0.0</v>
      </c>
      <c r="JZ703" s="156">
        <v>1.0</v>
      </c>
      <c r="KA703" s="156">
        <v>0.0</v>
      </c>
      <c r="KB703" s="160">
        <v>0.0</v>
      </c>
      <c r="KC703" s="174"/>
      <c r="KD703" s="174"/>
      <c r="KE703" s="175">
        <v>1.0</v>
      </c>
      <c r="KF703" s="174"/>
      <c r="KG703" s="175">
        <v>1.0</v>
      </c>
      <c r="KH703" s="174"/>
      <c r="KI703" s="175">
        <v>1.0</v>
      </c>
      <c r="KJ703" s="174"/>
      <c r="KK703" s="174"/>
      <c r="KL703" s="175">
        <v>1.0</v>
      </c>
      <c r="KM703" s="174"/>
      <c r="KN703" s="175">
        <v>1.0</v>
      </c>
      <c r="KO703" s="174"/>
      <c r="KP703" s="175">
        <v>1.0</v>
      </c>
      <c r="KQ703" s="174"/>
      <c r="KR703" s="174"/>
      <c r="KS703" s="186">
        <v>1.0</v>
      </c>
      <c r="KT703" s="174"/>
      <c r="KU703" s="175">
        <v>1.0</v>
      </c>
      <c r="KV703" s="174"/>
      <c r="KW703" s="174"/>
      <c r="KX703" s="174"/>
      <c r="KY703" s="174"/>
      <c r="KZ703" s="175" t="s">
        <v>624</v>
      </c>
      <c r="LA703" s="174"/>
      <c r="LB703" s="175">
        <v>1.0</v>
      </c>
      <c r="LC703" s="174"/>
      <c r="LD703" s="175">
        <v>1.0</v>
      </c>
      <c r="LE703" s="174"/>
      <c r="LF703" s="174"/>
      <c r="LG703" s="174"/>
      <c r="LH703" s="159">
        <f t="shared" si="10"/>
        <v>6</v>
      </c>
      <c r="LI703" s="156">
        <f t="shared" si="11"/>
        <v>0</v>
      </c>
      <c r="LJ703" s="156">
        <f t="shared" si="12"/>
        <v>0</v>
      </c>
      <c r="LK703" s="156">
        <f t="shared" si="13"/>
        <v>0</v>
      </c>
      <c r="LL703" s="156">
        <f t="shared" si="14"/>
        <v>0</v>
      </c>
      <c r="LM703" s="160">
        <f t="shared" si="15"/>
        <v>0</v>
      </c>
      <c r="LN703" s="174"/>
      <c r="LO703" s="174"/>
      <c r="LP703" s="174"/>
      <c r="LQ703" s="187">
        <v>1.0</v>
      </c>
      <c r="LR703" s="174"/>
      <c r="LS703" s="174"/>
      <c r="LT703" s="187">
        <v>1.0</v>
      </c>
      <c r="LU703" s="174"/>
      <c r="LV703" s="187">
        <v>1.0</v>
      </c>
      <c r="LW703" s="174">
        <f t="shared" ref="LW703:MQ703" si="101">IFS(TODAY()&lt;=LW$2,0,WEEKDAY(LW$2)=2,1,WEEKDAY(LW$2)=3,0,WEEKDAY(LW$2)=4,1,WEEKDAY(LW$2)=5,0,WEEKDAY(LW$2)=6,1,WEEKDAY(LW$2)=7,0,WEEKDAY(LW$2)=1,0)</f>
        <v>0</v>
      </c>
      <c r="LX703" s="174">
        <f t="shared" si="101"/>
        <v>1</v>
      </c>
      <c r="LY703" s="174">
        <f t="shared" si="101"/>
        <v>0</v>
      </c>
      <c r="LZ703" s="174">
        <f t="shared" si="101"/>
        <v>0</v>
      </c>
      <c r="MA703" s="174">
        <f t="shared" si="101"/>
        <v>1</v>
      </c>
      <c r="MB703" s="174">
        <f t="shared" si="101"/>
        <v>0</v>
      </c>
      <c r="MC703" s="174">
        <f t="shared" si="101"/>
        <v>1</v>
      </c>
      <c r="MD703" s="174">
        <f t="shared" si="101"/>
        <v>0</v>
      </c>
      <c r="ME703" s="174">
        <f t="shared" si="101"/>
        <v>0</v>
      </c>
      <c r="MF703" s="174">
        <f t="shared" si="101"/>
        <v>0</v>
      </c>
      <c r="MG703" s="174">
        <f t="shared" si="101"/>
        <v>0</v>
      </c>
      <c r="MH703" s="174">
        <f t="shared" si="101"/>
        <v>0</v>
      </c>
      <c r="MI703" s="174">
        <f t="shared" si="101"/>
        <v>0</v>
      </c>
      <c r="MJ703" s="174">
        <f t="shared" si="101"/>
        <v>0</v>
      </c>
      <c r="MK703" s="174">
        <f t="shared" si="101"/>
        <v>0</v>
      </c>
      <c r="ML703" s="174">
        <f t="shared" si="101"/>
        <v>0</v>
      </c>
      <c r="MM703" s="174">
        <f t="shared" si="101"/>
        <v>0</v>
      </c>
      <c r="MN703" s="174">
        <f t="shared" si="101"/>
        <v>0</v>
      </c>
      <c r="MO703" s="174">
        <f t="shared" si="101"/>
        <v>0</v>
      </c>
      <c r="MP703" s="174">
        <f t="shared" si="101"/>
        <v>0</v>
      </c>
      <c r="MQ703" s="174">
        <f t="shared" si="101"/>
        <v>0</v>
      </c>
      <c r="QX703" s="560">
        <v>46225.0</v>
      </c>
    </row>
    <row r="704">
      <c r="A704" s="12"/>
      <c r="B704" s="12"/>
      <c r="C704" s="12"/>
      <c r="D704" s="12"/>
      <c r="E704" s="12"/>
      <c r="F704" s="12"/>
      <c r="G704" s="12"/>
      <c r="H704" s="12"/>
      <c r="I704" s="143">
        <f t="shared" si="22"/>
        <v>-12</v>
      </c>
      <c r="J704" s="537">
        <v>46234.0</v>
      </c>
      <c r="K704" s="294" t="s">
        <v>48</v>
      </c>
      <c r="L704" s="108"/>
      <c r="M704" s="86" t="s">
        <v>3695</v>
      </c>
      <c r="N704" s="86">
        <v>35.0</v>
      </c>
      <c r="O704" s="86">
        <v>30.0</v>
      </c>
      <c r="U704" s="162" t="s">
        <v>3696</v>
      </c>
      <c r="V704" s="538" t="s">
        <v>3359</v>
      </c>
      <c r="W704" s="125" t="s">
        <v>3697</v>
      </c>
      <c r="X704" s="140"/>
      <c r="Y704" s="166">
        <f t="shared" si="23"/>
        <v>12</v>
      </c>
      <c r="Z704" s="26">
        <f t="shared" si="7"/>
        <v>0</v>
      </c>
      <c r="AA704" s="26">
        <f t="shared" si="8"/>
        <v>0</v>
      </c>
      <c r="AB704" s="26">
        <f t="shared" si="9"/>
        <v>0</v>
      </c>
      <c r="AC704" s="156">
        <v>0.0</v>
      </c>
      <c r="AD704" s="156">
        <v>0.0</v>
      </c>
      <c r="AE704" s="156">
        <v>0.0</v>
      </c>
      <c r="AF704" s="156">
        <v>0.0</v>
      </c>
      <c r="AG704" s="156">
        <v>0.0</v>
      </c>
      <c r="AH704" s="156">
        <v>0.0</v>
      </c>
      <c r="BN704" s="155">
        <v>0.0</v>
      </c>
      <c r="BO704" s="155">
        <v>0.0</v>
      </c>
      <c r="BP704" s="155">
        <v>0.0</v>
      </c>
      <c r="BQ704" s="155">
        <v>0.0</v>
      </c>
      <c r="BR704" s="155">
        <v>0.0</v>
      </c>
      <c r="BS704" s="155">
        <v>0.0</v>
      </c>
      <c r="CV704" s="156">
        <v>0.0</v>
      </c>
      <c r="CW704" s="156">
        <v>0.0</v>
      </c>
      <c r="CX704" s="156">
        <v>0.0</v>
      </c>
      <c r="CY704" s="156">
        <v>0.0</v>
      </c>
      <c r="CZ704" s="156">
        <v>0.0</v>
      </c>
      <c r="DA704" s="156">
        <v>0.0</v>
      </c>
      <c r="EG704" s="156">
        <v>0.0</v>
      </c>
      <c r="EH704" s="156">
        <v>0.0</v>
      </c>
      <c r="EI704" s="156">
        <v>0.0</v>
      </c>
      <c r="EJ704" s="156">
        <v>0.0</v>
      </c>
      <c r="EK704" s="156">
        <v>0.0</v>
      </c>
      <c r="EL704" s="156">
        <v>0.0</v>
      </c>
      <c r="FQ704" s="156">
        <v>0.0</v>
      </c>
      <c r="FR704" s="156">
        <v>0.0</v>
      </c>
      <c r="FS704" s="156">
        <v>0.0</v>
      </c>
      <c r="FT704" s="156">
        <v>0.0</v>
      </c>
      <c r="FU704" s="156">
        <v>0.0</v>
      </c>
      <c r="FV704" s="156">
        <v>0.0</v>
      </c>
      <c r="FW704" s="157"/>
      <c r="FX704" s="157"/>
      <c r="FY704" s="157"/>
      <c r="FZ704" s="157"/>
      <c r="GA704" s="157"/>
      <c r="GB704" s="157"/>
      <c r="GC704" s="157"/>
      <c r="GD704" s="157"/>
      <c r="GE704" s="157"/>
      <c r="GF704" s="157"/>
      <c r="GG704" s="157"/>
      <c r="GH704" s="157"/>
      <c r="GI704" s="157"/>
      <c r="GJ704" s="157"/>
      <c r="GK704" s="157"/>
      <c r="GL704" s="157"/>
      <c r="GM704" s="157"/>
      <c r="GN704" s="157"/>
      <c r="GO704" s="157"/>
      <c r="GP704" s="158"/>
      <c r="GQ704" s="157"/>
      <c r="GR704" s="157"/>
      <c r="GS704" s="157"/>
      <c r="GT704" s="157"/>
      <c r="GU704" s="157"/>
      <c r="GV704" s="157"/>
      <c r="GW704" s="157"/>
      <c r="GX704" s="157"/>
      <c r="GY704" s="157"/>
      <c r="GZ704" s="157"/>
      <c r="HA704" s="157"/>
      <c r="HB704" s="155">
        <v>0.0</v>
      </c>
      <c r="HC704" s="155">
        <v>0.0</v>
      </c>
      <c r="HD704" s="155">
        <v>0.0</v>
      </c>
      <c r="HE704" s="155">
        <v>0.0</v>
      </c>
      <c r="HF704" s="155">
        <v>0.0</v>
      </c>
      <c r="HG704" s="155">
        <v>0.0</v>
      </c>
      <c r="IL704" s="159">
        <v>1.0</v>
      </c>
      <c r="IM704" s="156">
        <v>0.0</v>
      </c>
      <c r="IN704" s="156">
        <v>0.0</v>
      </c>
      <c r="IO704" s="156">
        <v>0.0</v>
      </c>
      <c r="IP704" s="156">
        <v>0.0</v>
      </c>
      <c r="IQ704" s="160">
        <v>0.0</v>
      </c>
      <c r="JH704" s="25"/>
      <c r="JV704" s="86">
        <v>1.0</v>
      </c>
      <c r="JW704" s="159">
        <v>8.0</v>
      </c>
      <c r="JX704" s="156">
        <v>0.0</v>
      </c>
      <c r="JY704" s="156">
        <v>0.0</v>
      </c>
      <c r="JZ704" s="156">
        <v>0.0</v>
      </c>
      <c r="KA704" s="156">
        <v>0.0</v>
      </c>
      <c r="KB704" s="160">
        <v>0.0</v>
      </c>
      <c r="KF704" s="86">
        <v>1.0</v>
      </c>
      <c r="KH704" s="86">
        <v>1.0</v>
      </c>
      <c r="KN704" s="86">
        <v>1.0</v>
      </c>
      <c r="KO704" s="86">
        <v>1.0</v>
      </c>
      <c r="KS704" s="178"/>
      <c r="KT704" s="86">
        <v>1.0</v>
      </c>
      <c r="KW704" s="86">
        <v>1.0</v>
      </c>
      <c r="LA704" s="86">
        <v>1.0</v>
      </c>
      <c r="LC704" s="86">
        <v>1.0</v>
      </c>
      <c r="LH704" s="159">
        <f t="shared" si="10"/>
        <v>3</v>
      </c>
      <c r="LI704" s="156">
        <f t="shared" si="11"/>
        <v>0</v>
      </c>
      <c r="LJ704" s="156">
        <f t="shared" si="12"/>
        <v>0</v>
      </c>
      <c r="LK704" s="156">
        <f t="shared" si="13"/>
        <v>0</v>
      </c>
      <c r="LL704" s="156">
        <f t="shared" si="14"/>
        <v>0</v>
      </c>
      <c r="LM704" s="160">
        <f t="shared" si="15"/>
        <v>0</v>
      </c>
      <c r="LP704" s="189">
        <v>1.0</v>
      </c>
      <c r="LQ704" s="189">
        <v>1.0</v>
      </c>
      <c r="LU704" s="189">
        <v>1.0</v>
      </c>
      <c r="QX704" s="560">
        <v>46226.0</v>
      </c>
    </row>
    <row r="705">
      <c r="A705" s="12"/>
      <c r="B705" s="12"/>
      <c r="C705" s="12"/>
      <c r="D705" s="12"/>
      <c r="E705" s="12"/>
      <c r="F705" s="12"/>
      <c r="G705" s="12"/>
      <c r="H705" s="12"/>
      <c r="I705" s="143">
        <f t="shared" si="22"/>
        <v>-18</v>
      </c>
      <c r="J705" s="537">
        <v>46232.0</v>
      </c>
      <c r="K705" s="294" t="s">
        <v>48</v>
      </c>
      <c r="L705" s="543" t="s">
        <v>3485</v>
      </c>
      <c r="M705" s="86" t="s">
        <v>3698</v>
      </c>
      <c r="N705" s="86">
        <v>246.0</v>
      </c>
      <c r="O705" s="86">
        <v>30.0</v>
      </c>
      <c r="U705" s="162" t="s">
        <v>3590</v>
      </c>
      <c r="V705" s="538" t="s">
        <v>3568</v>
      </c>
      <c r="W705" s="185" t="s">
        <v>3699</v>
      </c>
      <c r="X705" s="140"/>
      <c r="Y705" s="166">
        <f t="shared" si="23"/>
        <v>18</v>
      </c>
      <c r="Z705" s="26">
        <f t="shared" si="7"/>
        <v>0</v>
      </c>
      <c r="AA705" s="26">
        <f t="shared" si="8"/>
        <v>0</v>
      </c>
      <c r="AB705" s="26">
        <f t="shared" si="9"/>
        <v>0</v>
      </c>
      <c r="AC705" s="156">
        <v>0.0</v>
      </c>
      <c r="AD705" s="156">
        <v>0.0</v>
      </c>
      <c r="AE705" s="156">
        <v>0.0</v>
      </c>
      <c r="AF705" s="156">
        <v>0.0</v>
      </c>
      <c r="AG705" s="156">
        <v>0.0</v>
      </c>
      <c r="AH705" s="156">
        <v>0.0</v>
      </c>
      <c r="BN705" s="155">
        <v>0.0</v>
      </c>
      <c r="BO705" s="155">
        <v>0.0</v>
      </c>
      <c r="BP705" s="155">
        <v>0.0</v>
      </c>
      <c r="BQ705" s="155">
        <v>0.0</v>
      </c>
      <c r="BR705" s="155">
        <v>0.0</v>
      </c>
      <c r="BS705" s="155">
        <v>0.0</v>
      </c>
      <c r="CV705" s="156">
        <v>0.0</v>
      </c>
      <c r="CW705" s="156">
        <v>0.0</v>
      </c>
      <c r="CX705" s="156">
        <v>0.0</v>
      </c>
      <c r="CY705" s="156">
        <v>0.0</v>
      </c>
      <c r="CZ705" s="156">
        <v>0.0</v>
      </c>
      <c r="DA705" s="156">
        <v>0.0</v>
      </c>
      <c r="EG705" s="156">
        <v>0.0</v>
      </c>
      <c r="EH705" s="156">
        <v>0.0</v>
      </c>
      <c r="EI705" s="156">
        <v>0.0</v>
      </c>
      <c r="EJ705" s="156">
        <v>0.0</v>
      </c>
      <c r="EK705" s="156">
        <v>0.0</v>
      </c>
      <c r="EL705" s="156">
        <v>0.0</v>
      </c>
      <c r="FQ705" s="156">
        <v>0.0</v>
      </c>
      <c r="FR705" s="156">
        <v>0.0</v>
      </c>
      <c r="FS705" s="156">
        <v>0.0</v>
      </c>
      <c r="FT705" s="156">
        <v>0.0</v>
      </c>
      <c r="FU705" s="156">
        <v>0.0</v>
      </c>
      <c r="FV705" s="156">
        <v>0.0</v>
      </c>
      <c r="FW705" s="157"/>
      <c r="FX705" s="157"/>
      <c r="FY705" s="157"/>
      <c r="FZ705" s="157"/>
      <c r="GA705" s="157"/>
      <c r="GB705" s="157"/>
      <c r="GC705" s="157"/>
      <c r="GD705" s="157"/>
      <c r="GE705" s="157"/>
      <c r="GF705" s="157"/>
      <c r="GG705" s="157"/>
      <c r="GH705" s="157"/>
      <c r="GI705" s="157"/>
      <c r="GJ705" s="157"/>
      <c r="GK705" s="157"/>
      <c r="GL705" s="157"/>
      <c r="GM705" s="157"/>
      <c r="GN705" s="157"/>
      <c r="GO705" s="157"/>
      <c r="GP705" s="158"/>
      <c r="GQ705" s="157"/>
      <c r="GR705" s="157"/>
      <c r="GS705" s="157"/>
      <c r="GT705" s="157"/>
      <c r="GU705" s="157"/>
      <c r="GV705" s="157"/>
      <c r="GW705" s="157"/>
      <c r="GX705" s="157"/>
      <c r="GY705" s="157"/>
      <c r="GZ705" s="157"/>
      <c r="HA705" s="157"/>
      <c r="HB705" s="155">
        <v>0.0</v>
      </c>
      <c r="HC705" s="155">
        <v>0.0</v>
      </c>
      <c r="HD705" s="155">
        <v>0.0</v>
      </c>
      <c r="HE705" s="155">
        <v>0.0</v>
      </c>
      <c r="HF705" s="155">
        <v>0.0</v>
      </c>
      <c r="HG705" s="155">
        <v>0.0</v>
      </c>
      <c r="IL705" s="159">
        <v>2.0</v>
      </c>
      <c r="IM705" s="156">
        <v>0.0</v>
      </c>
      <c r="IN705" s="156">
        <v>0.0</v>
      </c>
      <c r="IO705" s="156">
        <v>0.0</v>
      </c>
      <c r="IP705" s="156">
        <v>0.0</v>
      </c>
      <c r="IQ705" s="160">
        <v>0.0</v>
      </c>
      <c r="JH705" s="25"/>
      <c r="JT705" s="175">
        <v>1.0</v>
      </c>
      <c r="JU705" s="174"/>
      <c r="JV705" s="175">
        <v>1.0</v>
      </c>
      <c r="JW705" s="159">
        <v>9.0</v>
      </c>
      <c r="JX705" s="156">
        <v>0.0</v>
      </c>
      <c r="JY705" s="156">
        <v>0.0</v>
      </c>
      <c r="JZ705" s="156">
        <v>0.0</v>
      </c>
      <c r="KA705" s="156">
        <v>0.0</v>
      </c>
      <c r="KB705" s="160">
        <v>0.0</v>
      </c>
      <c r="KC705" s="174"/>
      <c r="KD705" s="174"/>
      <c r="KE705" s="175">
        <v>1.0</v>
      </c>
      <c r="KF705" s="174"/>
      <c r="KG705" s="175">
        <v>1.0</v>
      </c>
      <c r="KH705" s="174"/>
      <c r="KI705" s="174"/>
      <c r="KJ705" s="174"/>
      <c r="KK705" s="175">
        <v>2.0</v>
      </c>
      <c r="KL705" s="174"/>
      <c r="KM705" s="174"/>
      <c r="KN705" s="174"/>
      <c r="KO705" s="174"/>
      <c r="KP705" s="174"/>
      <c r="KQ705" s="174"/>
      <c r="KR705" s="175">
        <v>2.0</v>
      </c>
      <c r="KS705" s="472"/>
      <c r="KT705" s="175">
        <v>1.0</v>
      </c>
      <c r="KU705" s="174"/>
      <c r="KV705" s="174"/>
      <c r="KW705" s="174"/>
      <c r="KX705" s="174"/>
      <c r="KY705" s="175">
        <v>1.0</v>
      </c>
      <c r="KZ705" s="174"/>
      <c r="LA705" s="175">
        <v>1.0</v>
      </c>
      <c r="LB705" s="174"/>
      <c r="LC705" s="174"/>
      <c r="LD705" s="174"/>
      <c r="LE705" s="174"/>
      <c r="LF705" s="174"/>
      <c r="LG705" s="174"/>
      <c r="LH705" s="159">
        <f t="shared" si="10"/>
        <v>7</v>
      </c>
      <c r="LI705" s="156">
        <f t="shared" si="11"/>
        <v>0</v>
      </c>
      <c r="LJ705" s="156">
        <f t="shared" si="12"/>
        <v>0</v>
      </c>
      <c r="LK705" s="156">
        <f t="shared" si="13"/>
        <v>0</v>
      </c>
      <c r="LL705" s="156">
        <f t="shared" si="14"/>
        <v>0</v>
      </c>
      <c r="LM705" s="160">
        <f t="shared" si="15"/>
        <v>0</v>
      </c>
      <c r="LN705" s="187">
        <v>1.0</v>
      </c>
      <c r="LO705" s="174"/>
      <c r="LP705" s="187">
        <v>1.0</v>
      </c>
      <c r="LQ705" s="174"/>
      <c r="LR705" s="174"/>
      <c r="LS705" s="187">
        <v>1.0</v>
      </c>
      <c r="LT705" s="174"/>
      <c r="LU705" s="187">
        <v>1.0</v>
      </c>
      <c r="LV705" s="174"/>
      <c r="LW705" s="174">
        <f t="shared" ref="LW705:MQ705" si="102">IFS(TODAY()&lt;=LW$2,0,WEEKDAY(LW$2)=2,1,WEEKDAY(LW$2)=3,0,WEEKDAY(LW$2)=4,1,WEEKDAY(LW$2)=5,0,WEEKDAY(LW$2)=6,1,WEEKDAY(LW$2)=7,0,WEEKDAY(LW$2)=1,0)</f>
        <v>0</v>
      </c>
      <c r="LX705" s="174">
        <f t="shared" si="102"/>
        <v>1</v>
      </c>
      <c r="LY705" s="174">
        <f t="shared" si="102"/>
        <v>0</v>
      </c>
      <c r="LZ705" s="174">
        <f t="shared" si="102"/>
        <v>0</v>
      </c>
      <c r="MA705" s="174">
        <f t="shared" si="102"/>
        <v>1</v>
      </c>
      <c r="MB705" s="174">
        <f t="shared" si="102"/>
        <v>0</v>
      </c>
      <c r="MC705" s="174">
        <f t="shared" si="102"/>
        <v>1</v>
      </c>
      <c r="MD705" s="174">
        <f t="shared" si="102"/>
        <v>0</v>
      </c>
      <c r="ME705" s="174">
        <f t="shared" si="102"/>
        <v>0</v>
      </c>
      <c r="MF705" s="174">
        <f t="shared" si="102"/>
        <v>0</v>
      </c>
      <c r="MG705" s="174">
        <f t="shared" si="102"/>
        <v>0</v>
      </c>
      <c r="MH705" s="174">
        <f t="shared" si="102"/>
        <v>0</v>
      </c>
      <c r="MI705" s="174">
        <f t="shared" si="102"/>
        <v>0</v>
      </c>
      <c r="MJ705" s="174">
        <f t="shared" si="102"/>
        <v>0</v>
      </c>
      <c r="MK705" s="174">
        <f t="shared" si="102"/>
        <v>0</v>
      </c>
      <c r="ML705" s="174">
        <f t="shared" si="102"/>
        <v>0</v>
      </c>
      <c r="MM705" s="174">
        <f t="shared" si="102"/>
        <v>0</v>
      </c>
      <c r="MN705" s="174">
        <f t="shared" si="102"/>
        <v>0</v>
      </c>
      <c r="MO705" s="174">
        <f t="shared" si="102"/>
        <v>0</v>
      </c>
      <c r="MP705" s="174">
        <f t="shared" si="102"/>
        <v>0</v>
      </c>
      <c r="MQ705" s="174">
        <f t="shared" si="102"/>
        <v>0</v>
      </c>
      <c r="QX705" s="560">
        <v>46227.0</v>
      </c>
    </row>
    <row r="706">
      <c r="A706" s="58"/>
      <c r="B706" s="58"/>
      <c r="C706" s="12"/>
      <c r="D706" s="12"/>
      <c r="E706" s="12"/>
      <c r="F706" s="12"/>
      <c r="G706" s="12"/>
      <c r="H706" s="12"/>
      <c r="I706" s="143">
        <f t="shared" si="22"/>
        <v>-15</v>
      </c>
      <c r="J706" s="537">
        <v>46237.0</v>
      </c>
      <c r="K706" s="294" t="s">
        <v>53</v>
      </c>
      <c r="L706" s="23">
        <v>46279.0</v>
      </c>
      <c r="M706" s="86" t="s">
        <v>228</v>
      </c>
      <c r="N706" s="86">
        <v>246.0</v>
      </c>
      <c r="O706" s="86">
        <v>30.0</v>
      </c>
      <c r="U706" s="162" t="s">
        <v>3700</v>
      </c>
      <c r="V706" s="538" t="s">
        <v>3701</v>
      </c>
      <c r="W706" s="185" t="s">
        <v>3702</v>
      </c>
      <c r="X706" s="140"/>
      <c r="Y706" s="166">
        <f t="shared" si="23"/>
        <v>15</v>
      </c>
      <c r="Z706" s="26">
        <f t="shared" si="7"/>
        <v>0</v>
      </c>
      <c r="AA706" s="26">
        <f t="shared" si="8"/>
        <v>0</v>
      </c>
      <c r="AB706" s="26">
        <f t="shared" si="9"/>
        <v>0</v>
      </c>
      <c r="AC706" s="156">
        <v>0.0</v>
      </c>
      <c r="AD706" s="156">
        <v>0.0</v>
      </c>
      <c r="AE706" s="156">
        <v>0.0</v>
      </c>
      <c r="AF706" s="156">
        <v>0.0</v>
      </c>
      <c r="AG706" s="156">
        <v>0.0</v>
      </c>
      <c r="AH706" s="156">
        <v>0.0</v>
      </c>
      <c r="BN706" s="155">
        <v>0.0</v>
      </c>
      <c r="BO706" s="155">
        <v>0.0</v>
      </c>
      <c r="BP706" s="155">
        <v>0.0</v>
      </c>
      <c r="BQ706" s="155">
        <v>0.0</v>
      </c>
      <c r="BR706" s="155">
        <v>0.0</v>
      </c>
      <c r="BS706" s="155">
        <v>0.0</v>
      </c>
      <c r="CV706" s="156">
        <v>0.0</v>
      </c>
      <c r="CW706" s="156">
        <v>0.0</v>
      </c>
      <c r="CX706" s="156">
        <v>0.0</v>
      </c>
      <c r="CY706" s="156">
        <v>0.0</v>
      </c>
      <c r="CZ706" s="156">
        <v>0.0</v>
      </c>
      <c r="DA706" s="156">
        <v>0.0</v>
      </c>
      <c r="EG706" s="156">
        <v>0.0</v>
      </c>
      <c r="EH706" s="156">
        <v>0.0</v>
      </c>
      <c r="EI706" s="156">
        <v>0.0</v>
      </c>
      <c r="EJ706" s="156">
        <v>0.0</v>
      </c>
      <c r="EK706" s="156">
        <v>0.0</v>
      </c>
      <c r="EL706" s="156">
        <v>0.0</v>
      </c>
      <c r="FQ706" s="156">
        <v>0.0</v>
      </c>
      <c r="FR706" s="156">
        <v>0.0</v>
      </c>
      <c r="FS706" s="156">
        <v>0.0</v>
      </c>
      <c r="FT706" s="156">
        <v>0.0</v>
      </c>
      <c r="FU706" s="156">
        <v>0.0</v>
      </c>
      <c r="FV706" s="156">
        <v>0.0</v>
      </c>
      <c r="FW706" s="157"/>
      <c r="FX706" s="157"/>
      <c r="FY706" s="157"/>
      <c r="FZ706" s="157"/>
      <c r="GA706" s="157"/>
      <c r="GB706" s="157"/>
      <c r="GC706" s="157"/>
      <c r="GD706" s="157"/>
      <c r="GE706" s="157"/>
      <c r="GF706" s="157"/>
      <c r="GG706" s="157"/>
      <c r="GH706" s="157"/>
      <c r="GI706" s="157"/>
      <c r="GJ706" s="157"/>
      <c r="GK706" s="157"/>
      <c r="GL706" s="157"/>
      <c r="GM706" s="157"/>
      <c r="GN706" s="157"/>
      <c r="GO706" s="157"/>
      <c r="GP706" s="158"/>
      <c r="GQ706" s="157"/>
      <c r="GR706" s="157"/>
      <c r="GS706" s="157"/>
      <c r="GT706" s="157"/>
      <c r="GU706" s="157"/>
      <c r="GV706" s="157"/>
      <c r="GW706" s="157"/>
      <c r="GX706" s="157"/>
      <c r="GY706" s="157"/>
      <c r="GZ706" s="157"/>
      <c r="HA706" s="157"/>
      <c r="HB706" s="155">
        <v>0.0</v>
      </c>
      <c r="HC706" s="155">
        <v>0.0</v>
      </c>
      <c r="HD706" s="155">
        <v>0.0</v>
      </c>
      <c r="HE706" s="155">
        <v>0.0</v>
      </c>
      <c r="HF706" s="155">
        <v>0.0</v>
      </c>
      <c r="HG706" s="155">
        <v>0.0</v>
      </c>
      <c r="IL706" s="159">
        <v>0.0</v>
      </c>
      <c r="IM706" s="156">
        <v>0.0</v>
      </c>
      <c r="IN706" s="156">
        <v>0.0</v>
      </c>
      <c r="IO706" s="156">
        <v>0.0</v>
      </c>
      <c r="IP706" s="156">
        <v>0.0</v>
      </c>
      <c r="IQ706" s="160">
        <v>0.0</v>
      </c>
      <c r="JH706" s="25"/>
      <c r="JW706" s="159">
        <v>10.0</v>
      </c>
      <c r="JX706" s="156">
        <v>0.0</v>
      </c>
      <c r="JY706" s="156">
        <v>0.0</v>
      </c>
      <c r="JZ706" s="156">
        <v>0.0</v>
      </c>
      <c r="KA706" s="156">
        <v>0.0</v>
      </c>
      <c r="KB706" s="160">
        <v>0.0</v>
      </c>
      <c r="KC706" s="174"/>
      <c r="KD706" s="174"/>
      <c r="KE706" s="175">
        <v>1.0</v>
      </c>
      <c r="KF706" s="174"/>
      <c r="KG706" s="175">
        <v>1.0</v>
      </c>
      <c r="KH706" s="174"/>
      <c r="KI706" s="175">
        <v>1.0</v>
      </c>
      <c r="KJ706" s="174"/>
      <c r="KK706" s="174"/>
      <c r="KL706" s="175">
        <v>1.0</v>
      </c>
      <c r="KM706" s="174"/>
      <c r="KN706" s="175">
        <v>1.0</v>
      </c>
      <c r="KO706" s="174"/>
      <c r="KP706" s="175">
        <v>1.0</v>
      </c>
      <c r="KQ706" s="174"/>
      <c r="KR706" s="174"/>
      <c r="KS706" s="186">
        <v>1.0</v>
      </c>
      <c r="KT706" s="174"/>
      <c r="KU706" s="175">
        <v>1.0</v>
      </c>
      <c r="KV706" s="174"/>
      <c r="KW706" s="175">
        <v>1.0</v>
      </c>
      <c r="KX706" s="174"/>
      <c r="KY706" s="174"/>
      <c r="KZ706" s="174"/>
      <c r="LA706" s="174"/>
      <c r="LB706" s="175">
        <v>1.0</v>
      </c>
      <c r="LC706" s="174"/>
      <c r="LD706" s="174"/>
      <c r="LE706" s="174"/>
      <c r="LF706" s="174"/>
      <c r="LG706" s="174"/>
      <c r="LH706" s="159">
        <f t="shared" si="10"/>
        <v>5</v>
      </c>
      <c r="LI706" s="156">
        <f t="shared" si="11"/>
        <v>0</v>
      </c>
      <c r="LJ706" s="156">
        <f t="shared" si="12"/>
        <v>0</v>
      </c>
      <c r="LK706" s="156">
        <f t="shared" si="13"/>
        <v>0</v>
      </c>
      <c r="LL706" s="156">
        <f t="shared" si="14"/>
        <v>0</v>
      </c>
      <c r="LM706" s="160">
        <f t="shared" si="15"/>
        <v>0</v>
      </c>
      <c r="LN706" s="174"/>
      <c r="LO706" s="174"/>
      <c r="LP706" s="174"/>
      <c r="LQ706" s="174"/>
      <c r="LR706" s="187">
        <v>1.0</v>
      </c>
      <c r="LS706" s="174"/>
      <c r="LT706" s="187">
        <v>1.0</v>
      </c>
      <c r="LU706" s="174"/>
      <c r="LV706" s="174"/>
      <c r="LW706" s="174">
        <f t="shared" ref="LW706:MQ706" si="103">IFS(TODAY()&lt;=LW$2,0,WEEKDAY(LW$2)=2,1,WEEKDAY(LW$2)=3,0,WEEKDAY(LW$2)=4,1,WEEKDAY(LW$2)=5,0,WEEKDAY(LW$2)=6,1,WEEKDAY(LW$2)=7,0,WEEKDAY(LW$2)=1,0)</f>
        <v>0</v>
      </c>
      <c r="LX706" s="174">
        <f t="shared" si="103"/>
        <v>1</v>
      </c>
      <c r="LY706" s="174">
        <f t="shared" si="103"/>
        <v>0</v>
      </c>
      <c r="LZ706" s="174">
        <f t="shared" si="103"/>
        <v>0</v>
      </c>
      <c r="MA706" s="174">
        <f t="shared" si="103"/>
        <v>1</v>
      </c>
      <c r="MB706" s="174">
        <f t="shared" si="103"/>
        <v>0</v>
      </c>
      <c r="MC706" s="174">
        <f t="shared" si="103"/>
        <v>1</v>
      </c>
      <c r="MD706" s="174">
        <f t="shared" si="103"/>
        <v>0</v>
      </c>
      <c r="ME706" s="174">
        <f t="shared" si="103"/>
        <v>0</v>
      </c>
      <c r="MF706" s="174">
        <f t="shared" si="103"/>
        <v>0</v>
      </c>
      <c r="MG706" s="174">
        <f t="shared" si="103"/>
        <v>0</v>
      </c>
      <c r="MH706" s="174">
        <f t="shared" si="103"/>
        <v>0</v>
      </c>
      <c r="MI706" s="174">
        <f t="shared" si="103"/>
        <v>0</v>
      </c>
      <c r="MJ706" s="174">
        <f t="shared" si="103"/>
        <v>0</v>
      </c>
      <c r="MK706" s="174">
        <f t="shared" si="103"/>
        <v>0</v>
      </c>
      <c r="ML706" s="174">
        <f t="shared" si="103"/>
        <v>0</v>
      </c>
      <c r="MM706" s="174">
        <f t="shared" si="103"/>
        <v>0</v>
      </c>
      <c r="MN706" s="174">
        <f t="shared" si="103"/>
        <v>0</v>
      </c>
      <c r="MO706" s="174">
        <f t="shared" si="103"/>
        <v>0</v>
      </c>
      <c r="MP706" s="174">
        <f t="shared" si="103"/>
        <v>0</v>
      </c>
      <c r="MQ706" s="174">
        <f t="shared" si="103"/>
        <v>0</v>
      </c>
      <c r="QX706" s="560">
        <v>46228.0</v>
      </c>
    </row>
    <row r="707">
      <c r="A707" s="12"/>
      <c r="B707" s="12"/>
      <c r="C707" s="12"/>
      <c r="D707" s="12"/>
      <c r="E707" s="12"/>
      <c r="F707" s="12"/>
      <c r="G707" s="473"/>
      <c r="H707" s="12"/>
      <c r="I707" s="143">
        <f t="shared" si="22"/>
        <v>-18</v>
      </c>
      <c r="J707" s="537">
        <v>46234.0</v>
      </c>
      <c r="K707" s="294" t="s">
        <v>48</v>
      </c>
      <c r="L707" s="108"/>
      <c r="M707" s="86" t="s">
        <v>435</v>
      </c>
      <c r="N707" s="86">
        <v>246.0</v>
      </c>
      <c r="O707" s="86">
        <v>30.0</v>
      </c>
      <c r="U707" s="162" t="s">
        <v>1140</v>
      </c>
      <c r="V707" s="538" t="s">
        <v>3499</v>
      </c>
      <c r="W707" s="185" t="s">
        <v>3703</v>
      </c>
      <c r="X707" s="140"/>
      <c r="Y707" s="166">
        <f t="shared" si="23"/>
        <v>18</v>
      </c>
      <c r="Z707" s="26">
        <f t="shared" si="7"/>
        <v>0</v>
      </c>
      <c r="AA707" s="26">
        <f t="shared" si="8"/>
        <v>0</v>
      </c>
      <c r="AB707" s="26">
        <f t="shared" si="9"/>
        <v>0</v>
      </c>
      <c r="AC707" s="156">
        <v>0.0</v>
      </c>
      <c r="AD707" s="156">
        <v>0.0</v>
      </c>
      <c r="AE707" s="156">
        <v>0.0</v>
      </c>
      <c r="AF707" s="156">
        <v>0.0</v>
      </c>
      <c r="AG707" s="156">
        <v>0.0</v>
      </c>
      <c r="AH707" s="156">
        <v>0.0</v>
      </c>
      <c r="BN707" s="155">
        <v>0.0</v>
      </c>
      <c r="BO707" s="155">
        <v>0.0</v>
      </c>
      <c r="BP707" s="155">
        <v>0.0</v>
      </c>
      <c r="BQ707" s="155">
        <v>0.0</v>
      </c>
      <c r="BR707" s="155">
        <v>0.0</v>
      </c>
      <c r="BS707" s="155">
        <v>0.0</v>
      </c>
      <c r="CV707" s="156">
        <v>0.0</v>
      </c>
      <c r="CW707" s="156">
        <v>0.0</v>
      </c>
      <c r="CX707" s="156">
        <v>0.0</v>
      </c>
      <c r="CY707" s="156">
        <v>0.0</v>
      </c>
      <c r="CZ707" s="156">
        <v>0.0</v>
      </c>
      <c r="DA707" s="156">
        <v>0.0</v>
      </c>
      <c r="EG707" s="156">
        <v>0.0</v>
      </c>
      <c r="EH707" s="156">
        <v>0.0</v>
      </c>
      <c r="EI707" s="156">
        <v>0.0</v>
      </c>
      <c r="EJ707" s="156">
        <v>0.0</v>
      </c>
      <c r="EK707" s="156">
        <v>0.0</v>
      </c>
      <c r="EL707" s="156">
        <v>0.0</v>
      </c>
      <c r="FQ707" s="156">
        <v>0.0</v>
      </c>
      <c r="FR707" s="156">
        <v>0.0</v>
      </c>
      <c r="FS707" s="156">
        <v>0.0</v>
      </c>
      <c r="FT707" s="156">
        <v>0.0</v>
      </c>
      <c r="FU707" s="156">
        <v>0.0</v>
      </c>
      <c r="FV707" s="156">
        <v>0.0</v>
      </c>
      <c r="FW707" s="157"/>
      <c r="FX707" s="157"/>
      <c r="FY707" s="157"/>
      <c r="FZ707" s="157"/>
      <c r="GA707" s="157"/>
      <c r="GB707" s="157"/>
      <c r="GC707" s="157"/>
      <c r="GD707" s="157"/>
      <c r="GE707" s="157"/>
      <c r="GF707" s="157"/>
      <c r="GG707" s="157"/>
      <c r="GH707" s="157"/>
      <c r="GI707" s="157"/>
      <c r="GJ707" s="157"/>
      <c r="GK707" s="157"/>
      <c r="GL707" s="157"/>
      <c r="GM707" s="157"/>
      <c r="GN707" s="157"/>
      <c r="GO707" s="157"/>
      <c r="GP707" s="158"/>
      <c r="GQ707" s="157"/>
      <c r="GR707" s="157"/>
      <c r="GS707" s="157"/>
      <c r="GT707" s="157"/>
      <c r="GU707" s="157"/>
      <c r="GV707" s="157"/>
      <c r="GW707" s="157"/>
      <c r="GX707" s="157"/>
      <c r="GY707" s="157"/>
      <c r="GZ707" s="157"/>
      <c r="HA707" s="157"/>
      <c r="HB707" s="155">
        <v>0.0</v>
      </c>
      <c r="HC707" s="155">
        <v>0.0</v>
      </c>
      <c r="HD707" s="155">
        <v>0.0</v>
      </c>
      <c r="HE707" s="155">
        <v>0.0</v>
      </c>
      <c r="HF707" s="155">
        <v>0.0</v>
      </c>
      <c r="HG707" s="155">
        <v>0.0</v>
      </c>
      <c r="IL707" s="159">
        <v>1.0</v>
      </c>
      <c r="IM707" s="156">
        <v>0.0</v>
      </c>
      <c r="IN707" s="156">
        <v>0.0</v>
      </c>
      <c r="IO707" s="156">
        <v>0.0</v>
      </c>
      <c r="IP707" s="156">
        <v>0.0</v>
      </c>
      <c r="IQ707" s="160">
        <v>0.0</v>
      </c>
      <c r="JH707" s="25"/>
      <c r="JV707" s="86">
        <v>1.0</v>
      </c>
      <c r="JW707" s="159">
        <v>12.0</v>
      </c>
      <c r="JX707" s="156">
        <v>0.0</v>
      </c>
      <c r="JY707" s="156">
        <v>0.0</v>
      </c>
      <c r="JZ707" s="156">
        <v>0.0</v>
      </c>
      <c r="KA707" s="156">
        <v>0.0</v>
      </c>
      <c r="KB707" s="160">
        <v>0.0</v>
      </c>
      <c r="KC707" s="174"/>
      <c r="KD707" s="174"/>
      <c r="KE707" s="175">
        <v>1.0</v>
      </c>
      <c r="KF707" s="174"/>
      <c r="KG707" s="175">
        <v>1.0</v>
      </c>
      <c r="KH707" s="174"/>
      <c r="KI707" s="175">
        <v>1.0</v>
      </c>
      <c r="KJ707" s="174"/>
      <c r="KK707" s="174"/>
      <c r="KL707" s="175">
        <v>1.0</v>
      </c>
      <c r="KM707" s="174"/>
      <c r="KN707" s="174"/>
      <c r="KO707" s="174"/>
      <c r="KP707" s="175">
        <v>1.0</v>
      </c>
      <c r="KQ707" s="174"/>
      <c r="KR707" s="175">
        <v>1.0</v>
      </c>
      <c r="KS707" s="186">
        <v>2.0</v>
      </c>
      <c r="KT707" s="174"/>
      <c r="KU707" s="175">
        <v>1.0</v>
      </c>
      <c r="KV707" s="174"/>
      <c r="KW707" s="175">
        <v>1.0</v>
      </c>
      <c r="KX707" s="174"/>
      <c r="KY707" s="174"/>
      <c r="KZ707" s="175">
        <v>1.0</v>
      </c>
      <c r="LA707" s="174"/>
      <c r="LB707" s="174"/>
      <c r="LC707" s="175"/>
      <c r="LD707" s="175">
        <v>1.0</v>
      </c>
      <c r="LE707" s="174"/>
      <c r="LF707" s="174"/>
      <c r="LG707" s="174"/>
      <c r="LH707" s="159">
        <f t="shared" si="10"/>
        <v>5</v>
      </c>
      <c r="LI707" s="156">
        <f t="shared" si="11"/>
        <v>0</v>
      </c>
      <c r="LJ707" s="156">
        <f t="shared" si="12"/>
        <v>0</v>
      </c>
      <c r="LK707" s="156">
        <f t="shared" si="13"/>
        <v>0</v>
      </c>
      <c r="LL707" s="156">
        <f t="shared" si="14"/>
        <v>0</v>
      </c>
      <c r="LM707" s="160">
        <f t="shared" si="15"/>
        <v>0</v>
      </c>
      <c r="LN707" s="174"/>
      <c r="LO707" s="174"/>
      <c r="LP707" s="174"/>
      <c r="LQ707" s="187">
        <v>1.0</v>
      </c>
      <c r="LR707" s="174"/>
      <c r="LS707" s="174"/>
      <c r="LT707" s="187">
        <v>1.0</v>
      </c>
      <c r="LU707" s="174"/>
      <c r="LV707" s="174"/>
      <c r="LW707" s="174">
        <f t="shared" ref="LW707:MQ707" si="104">IFS(TODAY()&lt;=LW$2,0,WEEKDAY(LW$2)=2,1,WEEKDAY(LW$2)=3,0,WEEKDAY(LW$2)=4,1,WEEKDAY(LW$2)=5,0,WEEKDAY(LW$2)=6,1,WEEKDAY(LW$2)=7,0,WEEKDAY(LW$2)=1,0)</f>
        <v>0</v>
      </c>
      <c r="LX707" s="174">
        <f t="shared" si="104"/>
        <v>1</v>
      </c>
      <c r="LY707" s="174">
        <f t="shared" si="104"/>
        <v>0</v>
      </c>
      <c r="LZ707" s="174">
        <f t="shared" si="104"/>
        <v>0</v>
      </c>
      <c r="MA707" s="174">
        <f t="shared" si="104"/>
        <v>1</v>
      </c>
      <c r="MB707" s="174">
        <f t="shared" si="104"/>
        <v>0</v>
      </c>
      <c r="MC707" s="174">
        <f t="shared" si="104"/>
        <v>1</v>
      </c>
      <c r="MD707" s="174">
        <f t="shared" si="104"/>
        <v>0</v>
      </c>
      <c r="ME707" s="174">
        <f t="shared" si="104"/>
        <v>0</v>
      </c>
      <c r="MF707" s="174">
        <f t="shared" si="104"/>
        <v>0</v>
      </c>
      <c r="MG707" s="174">
        <f t="shared" si="104"/>
        <v>0</v>
      </c>
      <c r="MH707" s="174">
        <f t="shared" si="104"/>
        <v>0</v>
      </c>
      <c r="MI707" s="174">
        <f t="shared" si="104"/>
        <v>0</v>
      </c>
      <c r="MJ707" s="174">
        <f t="shared" si="104"/>
        <v>0</v>
      </c>
      <c r="MK707" s="174">
        <f t="shared" si="104"/>
        <v>0</v>
      </c>
      <c r="ML707" s="174">
        <f t="shared" si="104"/>
        <v>0</v>
      </c>
      <c r="MM707" s="174">
        <f t="shared" si="104"/>
        <v>0</v>
      </c>
      <c r="MN707" s="174">
        <f t="shared" si="104"/>
        <v>0</v>
      </c>
      <c r="MO707" s="174">
        <f t="shared" si="104"/>
        <v>0</v>
      </c>
      <c r="MP707" s="174">
        <f t="shared" si="104"/>
        <v>0</v>
      </c>
      <c r="MQ707" s="174">
        <f t="shared" si="104"/>
        <v>0</v>
      </c>
      <c r="QX707" s="560">
        <v>46229.0</v>
      </c>
    </row>
    <row r="708">
      <c r="A708" s="58"/>
      <c r="B708" s="58"/>
      <c r="C708" s="12"/>
      <c r="D708" s="12"/>
      <c r="E708" s="12"/>
      <c r="F708" s="12"/>
      <c r="G708" s="12"/>
      <c r="H708" s="12"/>
      <c r="I708" s="143">
        <f t="shared" si="22"/>
        <v>-3</v>
      </c>
      <c r="J708" s="537">
        <v>46237.0</v>
      </c>
      <c r="K708" s="529" t="s">
        <v>48</v>
      </c>
      <c r="L708" s="595"/>
      <c r="M708" s="596" t="s">
        <v>107</v>
      </c>
      <c r="N708" s="597">
        <v>246.0</v>
      </c>
      <c r="O708" s="596">
        <v>60.0</v>
      </c>
      <c r="P708" s="598"/>
      <c r="Q708" s="598"/>
      <c r="R708" s="598"/>
      <c r="S708" s="598"/>
      <c r="T708" s="598"/>
      <c r="U708" s="596" t="s">
        <v>3493</v>
      </c>
      <c r="V708" s="621" t="s">
        <v>3494</v>
      </c>
      <c r="W708" s="623" t="s">
        <v>3658</v>
      </c>
      <c r="X708" s="140"/>
      <c r="Y708" s="166">
        <f t="shared" si="23"/>
        <v>3</v>
      </c>
      <c r="Z708" s="26">
        <f t="shared" si="7"/>
        <v>0</v>
      </c>
      <c r="AA708" s="26">
        <f t="shared" si="8"/>
        <v>0</v>
      </c>
      <c r="AB708" s="26">
        <f t="shared" si="9"/>
        <v>0</v>
      </c>
      <c r="AC708" s="156">
        <v>0.0</v>
      </c>
      <c r="AD708" s="156">
        <v>0.0</v>
      </c>
      <c r="AE708" s="156">
        <v>0.0</v>
      </c>
      <c r="AF708" s="156">
        <v>0.0</v>
      </c>
      <c r="AG708" s="156">
        <v>0.0</v>
      </c>
      <c r="AH708" s="156">
        <v>0.0</v>
      </c>
      <c r="BN708" s="155">
        <v>0.0</v>
      </c>
      <c r="BO708" s="155">
        <v>0.0</v>
      </c>
      <c r="BP708" s="155">
        <v>0.0</v>
      </c>
      <c r="BQ708" s="155">
        <v>0.0</v>
      </c>
      <c r="BR708" s="155">
        <v>0.0</v>
      </c>
      <c r="BS708" s="155">
        <v>0.0</v>
      </c>
      <c r="CV708" s="156">
        <v>0.0</v>
      </c>
      <c r="CW708" s="156">
        <v>0.0</v>
      </c>
      <c r="CX708" s="156">
        <v>0.0</v>
      </c>
      <c r="CY708" s="156">
        <v>0.0</v>
      </c>
      <c r="CZ708" s="156">
        <v>0.0</v>
      </c>
      <c r="DA708" s="156">
        <v>0.0</v>
      </c>
      <c r="EG708" s="156">
        <v>0.0</v>
      </c>
      <c r="EH708" s="156">
        <v>0.0</v>
      </c>
      <c r="EI708" s="156">
        <v>0.0</v>
      </c>
      <c r="EJ708" s="156">
        <v>0.0</v>
      </c>
      <c r="EK708" s="156">
        <v>0.0</v>
      </c>
      <c r="EL708" s="156">
        <v>0.0</v>
      </c>
      <c r="FQ708" s="156">
        <v>0.0</v>
      </c>
      <c r="FR708" s="156">
        <v>0.0</v>
      </c>
      <c r="FS708" s="156">
        <v>0.0</v>
      </c>
      <c r="FT708" s="156">
        <v>0.0</v>
      </c>
      <c r="FU708" s="156">
        <v>0.0</v>
      </c>
      <c r="FV708" s="156">
        <v>0.0</v>
      </c>
      <c r="FW708" s="157"/>
      <c r="FX708" s="157"/>
      <c r="FY708" s="157"/>
      <c r="FZ708" s="157"/>
      <c r="GA708" s="157"/>
      <c r="GB708" s="157"/>
      <c r="GC708" s="157"/>
      <c r="GD708" s="157"/>
      <c r="GE708" s="157"/>
      <c r="GF708" s="157"/>
      <c r="GG708" s="157"/>
      <c r="GH708" s="157"/>
      <c r="GI708" s="157"/>
      <c r="GJ708" s="157"/>
      <c r="GK708" s="157"/>
      <c r="GL708" s="157"/>
      <c r="GM708" s="157"/>
      <c r="GN708" s="157"/>
      <c r="GO708" s="157"/>
      <c r="GP708" s="158"/>
      <c r="GQ708" s="157"/>
      <c r="GR708" s="157"/>
      <c r="GS708" s="157"/>
      <c r="GT708" s="157"/>
      <c r="GU708" s="157"/>
      <c r="GV708" s="157"/>
      <c r="GW708" s="157"/>
      <c r="GX708" s="157"/>
      <c r="GY708" s="157"/>
      <c r="GZ708" s="157"/>
      <c r="HA708" s="157"/>
      <c r="HB708" s="155">
        <v>0.0</v>
      </c>
      <c r="HC708" s="155">
        <v>0.0</v>
      </c>
      <c r="HD708" s="155">
        <v>0.0</v>
      </c>
      <c r="HE708" s="155">
        <v>0.0</v>
      </c>
      <c r="HF708" s="155">
        <v>0.0</v>
      </c>
      <c r="HG708" s="155">
        <v>0.0</v>
      </c>
      <c r="IL708" s="159">
        <v>0.0</v>
      </c>
      <c r="IM708" s="156">
        <v>0.0</v>
      </c>
      <c r="IN708" s="156">
        <v>0.0</v>
      </c>
      <c r="IO708" s="156">
        <v>0.0</v>
      </c>
      <c r="IP708" s="156">
        <v>0.0</v>
      </c>
      <c r="IQ708" s="160">
        <v>0.0</v>
      </c>
      <c r="JH708" s="25"/>
      <c r="JW708" s="159">
        <v>0.0</v>
      </c>
      <c r="JX708" s="156">
        <v>0.0</v>
      </c>
      <c r="JY708" s="156">
        <v>0.0</v>
      </c>
      <c r="JZ708" s="156">
        <v>0.0</v>
      </c>
      <c r="KA708" s="156">
        <v>0.0</v>
      </c>
      <c r="KB708" s="160">
        <v>0.0</v>
      </c>
      <c r="KC708" s="174"/>
      <c r="KD708" s="174"/>
      <c r="KE708" s="174"/>
      <c r="KF708" s="174"/>
      <c r="KG708" s="174"/>
      <c r="KH708" s="174"/>
      <c r="KI708" s="174"/>
      <c r="KJ708" s="174"/>
      <c r="KK708" s="174"/>
      <c r="KL708" s="174"/>
      <c r="KM708" s="174"/>
      <c r="KN708" s="174"/>
      <c r="KO708" s="174"/>
      <c r="KP708" s="174"/>
      <c r="KQ708" s="174"/>
      <c r="KR708" s="174"/>
      <c r="KS708" s="472"/>
      <c r="KT708" s="174"/>
      <c r="KU708" s="174"/>
      <c r="KV708" s="174"/>
      <c r="KW708" s="174"/>
      <c r="KX708" s="174"/>
      <c r="KY708" s="174"/>
      <c r="KZ708" s="174"/>
      <c r="LA708" s="174"/>
      <c r="LB708" s="174"/>
      <c r="LC708" s="174"/>
      <c r="LD708" s="174"/>
      <c r="LE708" s="174"/>
      <c r="LF708" s="174"/>
      <c r="LG708" s="174"/>
      <c r="LH708" s="159">
        <f t="shared" si="10"/>
        <v>3</v>
      </c>
      <c r="LI708" s="156">
        <f t="shared" si="11"/>
        <v>0</v>
      </c>
      <c r="LJ708" s="156">
        <f t="shared" si="12"/>
        <v>0</v>
      </c>
      <c r="LK708" s="156">
        <f t="shared" si="13"/>
        <v>0</v>
      </c>
      <c r="LL708" s="156">
        <f t="shared" si="14"/>
        <v>0</v>
      </c>
      <c r="LM708" s="160">
        <f t="shared" si="15"/>
        <v>0</v>
      </c>
      <c r="LN708" s="174"/>
      <c r="LO708" s="174"/>
      <c r="LP708" s="174"/>
      <c r="LQ708" s="174"/>
      <c r="LR708" s="174"/>
      <c r="LS708" s="174"/>
      <c r="LT708" s="174"/>
      <c r="LU708" s="174"/>
      <c r="LV708" s="174"/>
      <c r="LW708" s="174">
        <f t="shared" ref="LW708:MQ708" si="105">IFS(TODAY()&lt;=LW$2,0,WEEKDAY(LW$2)=2,1,WEEKDAY(LW$2)=3,0,WEEKDAY(LW$2)=4,1,WEEKDAY(LW$2)=5,0,WEEKDAY(LW$2)=6,1,WEEKDAY(LW$2)=7,0,WEEKDAY(LW$2)=1,0)</f>
        <v>0</v>
      </c>
      <c r="LX708" s="174">
        <f t="shared" si="105"/>
        <v>1</v>
      </c>
      <c r="LY708" s="174">
        <f t="shared" si="105"/>
        <v>0</v>
      </c>
      <c r="LZ708" s="174">
        <f t="shared" si="105"/>
        <v>0</v>
      </c>
      <c r="MA708" s="174">
        <f t="shared" si="105"/>
        <v>1</v>
      </c>
      <c r="MB708" s="174">
        <f t="shared" si="105"/>
        <v>0</v>
      </c>
      <c r="MC708" s="174">
        <f t="shared" si="105"/>
        <v>1</v>
      </c>
      <c r="MD708" s="174">
        <f t="shared" si="105"/>
        <v>0</v>
      </c>
      <c r="ME708" s="174">
        <f t="shared" si="105"/>
        <v>0</v>
      </c>
      <c r="MF708" s="174">
        <f t="shared" si="105"/>
        <v>0</v>
      </c>
      <c r="MG708" s="174">
        <f t="shared" si="105"/>
        <v>0</v>
      </c>
      <c r="MH708" s="174">
        <f t="shared" si="105"/>
        <v>0</v>
      </c>
      <c r="MI708" s="174">
        <f t="shared" si="105"/>
        <v>0</v>
      </c>
      <c r="MJ708" s="174">
        <f t="shared" si="105"/>
        <v>0</v>
      </c>
      <c r="MK708" s="174">
        <f t="shared" si="105"/>
        <v>0</v>
      </c>
      <c r="ML708" s="174">
        <f t="shared" si="105"/>
        <v>0</v>
      </c>
      <c r="MM708" s="174">
        <f t="shared" si="105"/>
        <v>0</v>
      </c>
      <c r="MN708" s="174">
        <f t="shared" si="105"/>
        <v>0</v>
      </c>
      <c r="MO708" s="174">
        <f t="shared" si="105"/>
        <v>0</v>
      </c>
      <c r="MP708" s="174">
        <f t="shared" si="105"/>
        <v>0</v>
      </c>
      <c r="MQ708" s="174">
        <f t="shared" si="105"/>
        <v>0</v>
      </c>
      <c r="QX708" s="560">
        <v>46230.0</v>
      </c>
    </row>
    <row r="709">
      <c r="A709" s="58"/>
      <c r="B709" s="58"/>
      <c r="C709" s="12"/>
      <c r="D709" s="12"/>
      <c r="E709" s="12"/>
      <c r="F709" s="12"/>
      <c r="G709" s="12"/>
      <c r="H709" s="12"/>
      <c r="I709" s="143">
        <f t="shared" si="22"/>
        <v>-11</v>
      </c>
      <c r="J709" s="537">
        <v>46237.0</v>
      </c>
      <c r="K709" s="294" t="s">
        <v>48</v>
      </c>
      <c r="L709" s="108"/>
      <c r="M709" s="86" t="s">
        <v>228</v>
      </c>
      <c r="N709" s="86">
        <v>246.0</v>
      </c>
      <c r="O709" s="86">
        <v>30.0</v>
      </c>
      <c r="U709" s="162" t="s">
        <v>3590</v>
      </c>
      <c r="V709" s="538" t="s">
        <v>3568</v>
      </c>
      <c r="W709" s="125" t="s">
        <v>3704</v>
      </c>
      <c r="X709" s="140"/>
      <c r="Y709" s="166">
        <f t="shared" si="23"/>
        <v>11</v>
      </c>
      <c r="Z709" s="26">
        <f t="shared" si="7"/>
        <v>0</v>
      </c>
      <c r="AA709" s="26">
        <f t="shared" si="8"/>
        <v>0</v>
      </c>
      <c r="AB709" s="26">
        <f t="shared" si="9"/>
        <v>0</v>
      </c>
      <c r="AC709" s="156">
        <v>0.0</v>
      </c>
      <c r="AD709" s="156">
        <v>0.0</v>
      </c>
      <c r="AE709" s="156">
        <v>0.0</v>
      </c>
      <c r="AF709" s="156">
        <v>0.0</v>
      </c>
      <c r="AG709" s="156">
        <v>0.0</v>
      </c>
      <c r="AH709" s="156">
        <v>0.0</v>
      </c>
      <c r="BN709" s="155">
        <v>0.0</v>
      </c>
      <c r="BO709" s="155">
        <v>0.0</v>
      </c>
      <c r="BP709" s="155">
        <v>0.0</v>
      </c>
      <c r="BQ709" s="155">
        <v>0.0</v>
      </c>
      <c r="BR709" s="155">
        <v>0.0</v>
      </c>
      <c r="BS709" s="155">
        <v>0.0</v>
      </c>
      <c r="CV709" s="156">
        <v>0.0</v>
      </c>
      <c r="CW709" s="156">
        <v>0.0</v>
      </c>
      <c r="CX709" s="156">
        <v>0.0</v>
      </c>
      <c r="CY709" s="156">
        <v>0.0</v>
      </c>
      <c r="CZ709" s="156">
        <v>0.0</v>
      </c>
      <c r="DA709" s="156">
        <v>0.0</v>
      </c>
      <c r="EG709" s="156">
        <v>0.0</v>
      </c>
      <c r="EH709" s="156">
        <v>0.0</v>
      </c>
      <c r="EI709" s="156">
        <v>0.0</v>
      </c>
      <c r="EJ709" s="156">
        <v>0.0</v>
      </c>
      <c r="EK709" s="156">
        <v>0.0</v>
      </c>
      <c r="EL709" s="156">
        <v>0.0</v>
      </c>
      <c r="FQ709" s="156">
        <v>0.0</v>
      </c>
      <c r="FR709" s="156">
        <v>0.0</v>
      </c>
      <c r="FS709" s="156">
        <v>0.0</v>
      </c>
      <c r="FT709" s="156">
        <v>0.0</v>
      </c>
      <c r="FU709" s="156">
        <v>0.0</v>
      </c>
      <c r="FV709" s="156">
        <v>0.0</v>
      </c>
      <c r="FW709" s="157"/>
      <c r="FX709" s="157"/>
      <c r="FY709" s="157"/>
      <c r="FZ709" s="157"/>
      <c r="GA709" s="157"/>
      <c r="GB709" s="157"/>
      <c r="GC709" s="157"/>
      <c r="GD709" s="157"/>
      <c r="GE709" s="157"/>
      <c r="GF709" s="157"/>
      <c r="GG709" s="157"/>
      <c r="GH709" s="157"/>
      <c r="GI709" s="157"/>
      <c r="GJ709" s="157"/>
      <c r="GK709" s="157"/>
      <c r="GL709" s="157"/>
      <c r="GM709" s="157"/>
      <c r="GN709" s="157"/>
      <c r="GO709" s="157"/>
      <c r="GP709" s="158"/>
      <c r="GQ709" s="157"/>
      <c r="GR709" s="157"/>
      <c r="GS709" s="157"/>
      <c r="GT709" s="157"/>
      <c r="GU709" s="157"/>
      <c r="GV709" s="157"/>
      <c r="GW709" s="157"/>
      <c r="GX709" s="157"/>
      <c r="GY709" s="157"/>
      <c r="GZ709" s="157"/>
      <c r="HA709" s="157"/>
      <c r="HB709" s="155">
        <v>0.0</v>
      </c>
      <c r="HC709" s="155">
        <v>0.0</v>
      </c>
      <c r="HD709" s="155">
        <v>0.0</v>
      </c>
      <c r="HE709" s="155">
        <v>0.0</v>
      </c>
      <c r="HF709" s="155">
        <v>0.0</v>
      </c>
      <c r="HG709" s="155">
        <v>0.0</v>
      </c>
      <c r="IL709" s="159">
        <v>0.0</v>
      </c>
      <c r="IM709" s="156">
        <v>0.0</v>
      </c>
      <c r="IN709" s="156">
        <v>0.0</v>
      </c>
      <c r="IO709" s="156">
        <v>0.0</v>
      </c>
      <c r="IP709" s="156">
        <v>0.0</v>
      </c>
      <c r="IQ709" s="160">
        <v>0.0</v>
      </c>
      <c r="JH709" s="25"/>
      <c r="JW709" s="159">
        <v>5.0</v>
      </c>
      <c r="JX709" s="156">
        <v>0.0</v>
      </c>
      <c r="JY709" s="156">
        <v>0.0</v>
      </c>
      <c r="JZ709" s="156">
        <v>0.0</v>
      </c>
      <c r="KA709" s="156">
        <v>0.0</v>
      </c>
      <c r="KB709" s="160">
        <v>0.0</v>
      </c>
      <c r="KC709" s="174"/>
      <c r="KD709" s="174"/>
      <c r="KE709" s="175">
        <v>1.0</v>
      </c>
      <c r="KF709" s="174"/>
      <c r="KG709" s="175">
        <v>1.0</v>
      </c>
      <c r="KH709" s="174"/>
      <c r="KI709" s="174"/>
      <c r="KJ709" s="175">
        <v>1.0</v>
      </c>
      <c r="KK709" s="174"/>
      <c r="KL709" s="174"/>
      <c r="KM709" s="174"/>
      <c r="KN709" s="174"/>
      <c r="KO709" s="174"/>
      <c r="KP709" s="175">
        <v>1.0</v>
      </c>
      <c r="KQ709" s="174"/>
      <c r="KR709" s="174"/>
      <c r="KS709" s="186">
        <v>1.0</v>
      </c>
      <c r="KT709" s="174"/>
      <c r="KU709" s="174"/>
      <c r="KV709" s="174"/>
      <c r="KW709" s="174"/>
      <c r="KX709" s="174"/>
      <c r="KY709" s="174"/>
      <c r="KZ709" s="174"/>
      <c r="LA709" s="174"/>
      <c r="LB709" s="174"/>
      <c r="LC709" s="174"/>
      <c r="LD709" s="174"/>
      <c r="LE709" s="174"/>
      <c r="LF709" s="174"/>
      <c r="LG709" s="174"/>
      <c r="LH709" s="159">
        <f t="shared" si="10"/>
        <v>6</v>
      </c>
      <c r="LI709" s="156">
        <f t="shared" si="11"/>
        <v>0</v>
      </c>
      <c r="LJ709" s="156">
        <f t="shared" si="12"/>
        <v>0</v>
      </c>
      <c r="LK709" s="156">
        <f t="shared" si="13"/>
        <v>0</v>
      </c>
      <c r="LL709" s="156">
        <f t="shared" si="14"/>
        <v>0</v>
      </c>
      <c r="LM709" s="160">
        <f t="shared" si="15"/>
        <v>0</v>
      </c>
      <c r="LN709" s="174"/>
      <c r="LO709" s="174"/>
      <c r="LP709" s="174"/>
      <c r="LQ709" s="187">
        <v>1.0</v>
      </c>
      <c r="LR709" s="174"/>
      <c r="LS709" s="174"/>
      <c r="LT709" s="187">
        <v>1.0</v>
      </c>
      <c r="LU709" s="174"/>
      <c r="LV709" s="187">
        <v>1.0</v>
      </c>
      <c r="LW709" s="174">
        <f t="shared" ref="LW709:MQ709" si="106">IFS(TODAY()&lt;=LW$2,0,WEEKDAY(LW$2)=2,1,WEEKDAY(LW$2)=3,0,WEEKDAY(LW$2)=4,1,WEEKDAY(LW$2)=5,0,WEEKDAY(LW$2)=6,1,WEEKDAY(LW$2)=7,0,WEEKDAY(LW$2)=1,0)</f>
        <v>0</v>
      </c>
      <c r="LX709" s="174">
        <f t="shared" si="106"/>
        <v>1</v>
      </c>
      <c r="LY709" s="174">
        <f t="shared" si="106"/>
        <v>0</v>
      </c>
      <c r="LZ709" s="174">
        <f t="shared" si="106"/>
        <v>0</v>
      </c>
      <c r="MA709" s="174">
        <f t="shared" si="106"/>
        <v>1</v>
      </c>
      <c r="MB709" s="174">
        <f t="shared" si="106"/>
        <v>0</v>
      </c>
      <c r="MC709" s="174">
        <f t="shared" si="106"/>
        <v>1</v>
      </c>
      <c r="MD709" s="174">
        <f t="shared" si="106"/>
        <v>0</v>
      </c>
      <c r="ME709" s="174">
        <f t="shared" si="106"/>
        <v>0</v>
      </c>
      <c r="MF709" s="174">
        <f t="shared" si="106"/>
        <v>0</v>
      </c>
      <c r="MG709" s="174">
        <f t="shared" si="106"/>
        <v>0</v>
      </c>
      <c r="MH709" s="174">
        <f t="shared" si="106"/>
        <v>0</v>
      </c>
      <c r="MI709" s="174">
        <f t="shared" si="106"/>
        <v>0</v>
      </c>
      <c r="MJ709" s="174">
        <f t="shared" si="106"/>
        <v>0</v>
      </c>
      <c r="MK709" s="174">
        <f t="shared" si="106"/>
        <v>0</v>
      </c>
      <c r="ML709" s="174">
        <f t="shared" si="106"/>
        <v>0</v>
      </c>
      <c r="MM709" s="174">
        <f t="shared" si="106"/>
        <v>0</v>
      </c>
      <c r="MN709" s="174">
        <f t="shared" si="106"/>
        <v>0</v>
      </c>
      <c r="MO709" s="174">
        <f t="shared" si="106"/>
        <v>0</v>
      </c>
      <c r="MP709" s="174">
        <f t="shared" si="106"/>
        <v>0</v>
      </c>
      <c r="MQ709" s="174">
        <f t="shared" si="106"/>
        <v>0</v>
      </c>
      <c r="QX709" s="560">
        <v>46230.0</v>
      </c>
    </row>
    <row r="710">
      <c r="A710" s="58"/>
      <c r="B710" s="58"/>
      <c r="C710" s="12"/>
      <c r="D710" s="12"/>
      <c r="E710" s="58"/>
      <c r="F710" s="12"/>
      <c r="G710" s="12"/>
      <c r="H710" s="12"/>
      <c r="I710" s="143">
        <f t="shared" si="22"/>
        <v>-10</v>
      </c>
      <c r="J710" s="537">
        <v>46239.0</v>
      </c>
      <c r="K710" s="294" t="s">
        <v>48</v>
      </c>
      <c r="L710" s="592" t="s">
        <v>3705</v>
      </c>
      <c r="M710" s="86" t="s">
        <v>3706</v>
      </c>
      <c r="N710" s="188" t="s">
        <v>3304</v>
      </c>
      <c r="O710" s="86">
        <v>30.0</v>
      </c>
      <c r="U710" s="538" t="s">
        <v>3707</v>
      </c>
      <c r="V710" s="162" t="s">
        <v>3359</v>
      </c>
      <c r="W710" s="185" t="s">
        <v>3708</v>
      </c>
      <c r="X710" s="140"/>
      <c r="Y710" s="166">
        <f t="shared" si="23"/>
        <v>10</v>
      </c>
      <c r="Z710" s="26">
        <f t="shared" si="7"/>
        <v>0</v>
      </c>
      <c r="AA710" s="26">
        <f t="shared" si="8"/>
        <v>0</v>
      </c>
      <c r="AB710" s="26">
        <f t="shared" si="9"/>
        <v>0</v>
      </c>
      <c r="AC710" s="156">
        <v>0.0</v>
      </c>
      <c r="AD710" s="156">
        <v>0.0</v>
      </c>
      <c r="AE710" s="156">
        <v>0.0</v>
      </c>
      <c r="AF710" s="156">
        <v>0.0</v>
      </c>
      <c r="AG710" s="156">
        <v>0.0</v>
      </c>
      <c r="AH710" s="156">
        <v>0.0</v>
      </c>
      <c r="BN710" s="155">
        <v>0.0</v>
      </c>
      <c r="BO710" s="155">
        <v>0.0</v>
      </c>
      <c r="BP710" s="155">
        <v>0.0</v>
      </c>
      <c r="BQ710" s="155">
        <v>0.0</v>
      </c>
      <c r="BR710" s="155">
        <v>0.0</v>
      </c>
      <c r="BS710" s="155">
        <v>0.0</v>
      </c>
      <c r="CV710" s="156">
        <v>0.0</v>
      </c>
      <c r="CW710" s="156">
        <v>0.0</v>
      </c>
      <c r="CX710" s="156">
        <v>0.0</v>
      </c>
      <c r="CY710" s="156">
        <v>0.0</v>
      </c>
      <c r="CZ710" s="156">
        <v>0.0</v>
      </c>
      <c r="DA710" s="156">
        <v>0.0</v>
      </c>
      <c r="EG710" s="156">
        <v>0.0</v>
      </c>
      <c r="EH710" s="156">
        <v>0.0</v>
      </c>
      <c r="EI710" s="156">
        <v>0.0</v>
      </c>
      <c r="EJ710" s="156">
        <v>0.0</v>
      </c>
      <c r="EK710" s="156">
        <v>0.0</v>
      </c>
      <c r="EL710" s="156">
        <v>0.0</v>
      </c>
      <c r="FQ710" s="156">
        <v>0.0</v>
      </c>
      <c r="FR710" s="156">
        <v>0.0</v>
      </c>
      <c r="FS710" s="156">
        <v>0.0</v>
      </c>
      <c r="FT710" s="156">
        <v>0.0</v>
      </c>
      <c r="FU710" s="156">
        <v>0.0</v>
      </c>
      <c r="FV710" s="156">
        <v>0.0</v>
      </c>
      <c r="FW710" s="157"/>
      <c r="FX710" s="157"/>
      <c r="FY710" s="157"/>
      <c r="FZ710" s="157"/>
      <c r="GA710" s="157"/>
      <c r="GB710" s="157"/>
      <c r="GC710" s="157"/>
      <c r="GD710" s="157"/>
      <c r="GE710" s="157"/>
      <c r="GF710" s="157"/>
      <c r="GG710" s="157"/>
      <c r="GH710" s="157"/>
      <c r="GI710" s="157"/>
      <c r="GJ710" s="157"/>
      <c r="GK710" s="157"/>
      <c r="GL710" s="157"/>
      <c r="GM710" s="157"/>
      <c r="GN710" s="157"/>
      <c r="GO710" s="157"/>
      <c r="GP710" s="158"/>
      <c r="GQ710" s="157"/>
      <c r="GR710" s="157"/>
      <c r="GS710" s="157"/>
      <c r="GT710" s="157"/>
      <c r="GU710" s="157"/>
      <c r="GV710" s="157"/>
      <c r="GW710" s="157"/>
      <c r="GX710" s="157"/>
      <c r="GY710" s="157"/>
      <c r="GZ710" s="157"/>
      <c r="HA710" s="157"/>
      <c r="HB710" s="155">
        <v>0.0</v>
      </c>
      <c r="HC710" s="155">
        <v>0.0</v>
      </c>
      <c r="HD710" s="155">
        <v>0.0</v>
      </c>
      <c r="HE710" s="155">
        <v>0.0</v>
      </c>
      <c r="HF710" s="155">
        <v>0.0</v>
      </c>
      <c r="HG710" s="155">
        <v>0.0</v>
      </c>
      <c r="IL710" s="159">
        <v>0.0</v>
      </c>
      <c r="IM710" s="156">
        <v>0.0</v>
      </c>
      <c r="IN710" s="156">
        <v>0.0</v>
      </c>
      <c r="IO710" s="156">
        <v>0.0</v>
      </c>
      <c r="IP710" s="156">
        <v>0.0</v>
      </c>
      <c r="IQ710" s="160">
        <v>0.0</v>
      </c>
      <c r="JH710" s="25"/>
      <c r="JW710" s="159">
        <v>9.0</v>
      </c>
      <c r="JX710" s="156">
        <v>0.0</v>
      </c>
      <c r="JY710" s="156">
        <v>0.0</v>
      </c>
      <c r="JZ710" s="156">
        <v>0.0</v>
      </c>
      <c r="KA710" s="156">
        <v>0.0</v>
      </c>
      <c r="KB710" s="160">
        <v>0.0</v>
      </c>
      <c r="KG710" s="175">
        <v>1.0</v>
      </c>
      <c r="KH710" s="174"/>
      <c r="KI710" s="174"/>
      <c r="KJ710" s="174"/>
      <c r="KK710" s="174"/>
      <c r="KL710" s="174"/>
      <c r="KM710" s="175">
        <v>2.0</v>
      </c>
      <c r="KN710" s="175">
        <v>1.0</v>
      </c>
      <c r="KO710" s="174"/>
      <c r="KP710" s="174"/>
      <c r="KQ710" s="174"/>
      <c r="KR710" s="174"/>
      <c r="KS710" s="472"/>
      <c r="KT710" s="174"/>
      <c r="KU710" s="175">
        <v>2.0</v>
      </c>
      <c r="KV710" s="174"/>
      <c r="KW710" s="174"/>
      <c r="KX710" s="174"/>
      <c r="KY710" s="175">
        <v>1.0</v>
      </c>
      <c r="KZ710" s="174"/>
      <c r="LA710" s="174"/>
      <c r="LB710" s="175">
        <v>2.0</v>
      </c>
      <c r="LC710" s="174"/>
      <c r="LD710" s="174"/>
      <c r="LE710" s="174"/>
      <c r="LF710" s="174"/>
      <c r="LG710" s="174"/>
      <c r="LH710" s="159">
        <f t="shared" si="10"/>
        <v>1</v>
      </c>
      <c r="LI710" s="156">
        <f t="shared" si="11"/>
        <v>0</v>
      </c>
      <c r="LJ710" s="156">
        <f t="shared" si="12"/>
        <v>0</v>
      </c>
      <c r="LK710" s="156">
        <f t="shared" si="13"/>
        <v>0</v>
      </c>
      <c r="LL710" s="156">
        <f t="shared" si="14"/>
        <v>0</v>
      </c>
      <c r="LM710" s="160">
        <f t="shared" si="15"/>
        <v>0</v>
      </c>
      <c r="LS710" s="189">
        <v>1.0</v>
      </c>
      <c r="QX710" s="560">
        <v>46230.0</v>
      </c>
    </row>
    <row r="711">
      <c r="A711" s="12"/>
      <c r="B711" s="12"/>
      <c r="C711" s="12"/>
      <c r="D711" s="12"/>
      <c r="E711" s="12"/>
      <c r="F711" s="12"/>
      <c r="G711" s="12"/>
      <c r="H711" s="12"/>
      <c r="I711" s="143">
        <f t="shared" si="22"/>
        <v>-4</v>
      </c>
      <c r="J711" s="537">
        <v>46240.0</v>
      </c>
      <c r="K711" s="294" t="s">
        <v>61</v>
      </c>
      <c r="L711" s="23">
        <v>46282.0</v>
      </c>
      <c r="M711" s="86" t="s">
        <v>560</v>
      </c>
      <c r="N711" s="188" t="s">
        <v>3709</v>
      </c>
      <c r="O711" s="86">
        <v>30.0</v>
      </c>
      <c r="U711" s="162" t="s">
        <v>2519</v>
      </c>
      <c r="V711" s="538" t="s">
        <v>307</v>
      </c>
      <c r="W711" s="125" t="s">
        <v>3710</v>
      </c>
      <c r="X711" s="140"/>
      <c r="Y711" s="166">
        <f t="shared" si="23"/>
        <v>4</v>
      </c>
      <c r="Z711" s="26">
        <f t="shared" si="7"/>
        <v>0</v>
      </c>
      <c r="AA711" s="26">
        <f t="shared" si="8"/>
        <v>0</v>
      </c>
      <c r="AB711" s="26">
        <f t="shared" si="9"/>
        <v>0</v>
      </c>
      <c r="AC711" s="156">
        <v>0.0</v>
      </c>
      <c r="AD711" s="156">
        <v>0.0</v>
      </c>
      <c r="AE711" s="156">
        <v>0.0</v>
      </c>
      <c r="AF711" s="156">
        <v>0.0</v>
      </c>
      <c r="AG711" s="156">
        <v>0.0</v>
      </c>
      <c r="AH711" s="156">
        <v>0.0</v>
      </c>
      <c r="BN711" s="155">
        <v>0.0</v>
      </c>
      <c r="BO711" s="155">
        <v>0.0</v>
      </c>
      <c r="BP711" s="155">
        <v>0.0</v>
      </c>
      <c r="BQ711" s="155">
        <v>0.0</v>
      </c>
      <c r="BR711" s="155">
        <v>0.0</v>
      </c>
      <c r="BS711" s="155">
        <v>0.0</v>
      </c>
      <c r="CV711" s="156">
        <v>0.0</v>
      </c>
      <c r="CW711" s="156">
        <v>0.0</v>
      </c>
      <c r="CX711" s="156">
        <v>0.0</v>
      </c>
      <c r="CY711" s="156">
        <v>0.0</v>
      </c>
      <c r="CZ711" s="156">
        <v>0.0</v>
      </c>
      <c r="DA711" s="156">
        <v>0.0</v>
      </c>
      <c r="EG711" s="156">
        <v>0.0</v>
      </c>
      <c r="EH711" s="156">
        <v>0.0</v>
      </c>
      <c r="EI711" s="156">
        <v>0.0</v>
      </c>
      <c r="EJ711" s="156">
        <v>0.0</v>
      </c>
      <c r="EK711" s="156">
        <v>0.0</v>
      </c>
      <c r="EL711" s="156">
        <v>0.0</v>
      </c>
      <c r="FQ711" s="156">
        <v>0.0</v>
      </c>
      <c r="FR711" s="156">
        <v>0.0</v>
      </c>
      <c r="FS711" s="156">
        <v>0.0</v>
      </c>
      <c r="FT711" s="156">
        <v>0.0</v>
      </c>
      <c r="FU711" s="156">
        <v>0.0</v>
      </c>
      <c r="FV711" s="156">
        <v>0.0</v>
      </c>
      <c r="FW711" s="157"/>
      <c r="FX711" s="157"/>
      <c r="FY711" s="157"/>
      <c r="FZ711" s="157"/>
      <c r="GA711" s="157"/>
      <c r="GB711" s="157"/>
      <c r="GC711" s="157"/>
      <c r="GD711" s="157"/>
      <c r="GE711" s="157"/>
      <c r="GF711" s="157"/>
      <c r="GG711" s="157"/>
      <c r="GH711" s="157"/>
      <c r="GI711" s="157"/>
      <c r="GJ711" s="157"/>
      <c r="GK711" s="157"/>
      <c r="GL711" s="157"/>
      <c r="GM711" s="157"/>
      <c r="GN711" s="157"/>
      <c r="GO711" s="157"/>
      <c r="GP711" s="158"/>
      <c r="GQ711" s="157"/>
      <c r="GR711" s="157"/>
      <c r="GS711" s="157"/>
      <c r="GT711" s="157"/>
      <c r="GU711" s="157"/>
      <c r="GV711" s="157"/>
      <c r="GW711" s="157"/>
      <c r="GX711" s="157"/>
      <c r="GY711" s="157"/>
      <c r="GZ711" s="157"/>
      <c r="HA711" s="157"/>
      <c r="HB711" s="155">
        <v>0.0</v>
      </c>
      <c r="HC711" s="155">
        <v>0.0</v>
      </c>
      <c r="HD711" s="155">
        <v>0.0</v>
      </c>
      <c r="HE711" s="155">
        <v>0.0</v>
      </c>
      <c r="HF711" s="155">
        <v>0.0</v>
      </c>
      <c r="HG711" s="155">
        <v>0.0</v>
      </c>
      <c r="IL711" s="159">
        <v>0.0</v>
      </c>
      <c r="IM711" s="156">
        <v>0.0</v>
      </c>
      <c r="IN711" s="156">
        <v>0.0</v>
      </c>
      <c r="IO711" s="156">
        <v>0.0</v>
      </c>
      <c r="IP711" s="156">
        <v>0.0</v>
      </c>
      <c r="IQ711" s="160">
        <v>0.0</v>
      </c>
      <c r="JH711" s="25"/>
      <c r="JW711" s="159">
        <v>4.0</v>
      </c>
      <c r="JX711" s="156">
        <v>0.0</v>
      </c>
      <c r="JY711" s="156">
        <v>0.0</v>
      </c>
      <c r="JZ711" s="156">
        <v>0.0</v>
      </c>
      <c r="KA711" s="156">
        <v>0.0</v>
      </c>
      <c r="KB711" s="160">
        <v>0.0</v>
      </c>
      <c r="KH711" s="172">
        <v>1.0</v>
      </c>
      <c r="KI711" s="172"/>
      <c r="KJ711" s="172"/>
      <c r="KK711" s="172"/>
      <c r="KL711" s="172"/>
      <c r="KM711" s="172"/>
      <c r="KN711" s="172"/>
      <c r="KO711" s="172"/>
      <c r="KP711" s="172"/>
      <c r="KQ711" s="172"/>
      <c r="KR711" s="172">
        <v>1.0</v>
      </c>
      <c r="KS711" s="432"/>
      <c r="KT711" s="172"/>
      <c r="KU711" s="172"/>
      <c r="KV711" s="172">
        <v>1.0</v>
      </c>
      <c r="KW711" s="172"/>
      <c r="KX711" s="172"/>
      <c r="KY711" s="172"/>
      <c r="KZ711" s="172"/>
      <c r="LA711" s="172"/>
      <c r="LB711" s="172"/>
      <c r="LC711" s="172">
        <v>1.0</v>
      </c>
      <c r="LD711" s="172"/>
      <c r="LE711" s="172"/>
      <c r="LF711" s="172"/>
      <c r="LG711" s="172"/>
      <c r="LH711" s="159">
        <f t="shared" si="10"/>
        <v>0</v>
      </c>
      <c r="LI711" s="156">
        <f t="shared" si="11"/>
        <v>0</v>
      </c>
      <c r="LJ711" s="156">
        <f t="shared" si="12"/>
        <v>0</v>
      </c>
      <c r="LK711" s="156">
        <f t="shared" si="13"/>
        <v>0</v>
      </c>
      <c r="LL711" s="156">
        <f t="shared" si="14"/>
        <v>0</v>
      </c>
      <c r="LM711" s="160">
        <f t="shared" si="15"/>
        <v>0</v>
      </c>
      <c r="QX711" s="560">
        <v>46232.0</v>
      </c>
    </row>
    <row r="712">
      <c r="A712" s="12"/>
      <c r="B712" s="12"/>
      <c r="C712" s="12"/>
      <c r="D712" s="12"/>
      <c r="E712" s="12"/>
      <c r="F712" s="12"/>
      <c r="G712" s="12"/>
      <c r="H712" s="12"/>
      <c r="I712" s="143">
        <f t="shared" si="22"/>
        <v>-13</v>
      </c>
      <c r="J712" s="537">
        <v>46240.0</v>
      </c>
      <c r="K712" s="294" t="s">
        <v>48</v>
      </c>
      <c r="L712" s="108"/>
      <c r="M712" s="86" t="s">
        <v>696</v>
      </c>
      <c r="N712" s="86">
        <v>457.0</v>
      </c>
      <c r="O712" s="86">
        <v>30.0</v>
      </c>
      <c r="U712" s="538" t="s">
        <v>3707</v>
      </c>
      <c r="V712" s="162" t="s">
        <v>3359</v>
      </c>
      <c r="W712" s="125" t="s">
        <v>3711</v>
      </c>
      <c r="X712" s="140"/>
      <c r="Y712" s="166">
        <f t="shared" si="23"/>
        <v>13</v>
      </c>
      <c r="Z712" s="26">
        <f t="shared" si="7"/>
        <v>0</v>
      </c>
      <c r="AA712" s="26">
        <f t="shared" si="8"/>
        <v>0</v>
      </c>
      <c r="AB712" s="26">
        <f t="shared" si="9"/>
        <v>0</v>
      </c>
      <c r="AC712" s="156">
        <v>0.0</v>
      </c>
      <c r="AD712" s="156">
        <v>0.0</v>
      </c>
      <c r="AE712" s="156">
        <v>0.0</v>
      </c>
      <c r="AF712" s="156">
        <v>0.0</v>
      </c>
      <c r="AG712" s="156">
        <v>0.0</v>
      </c>
      <c r="AH712" s="156">
        <v>0.0</v>
      </c>
      <c r="BN712" s="155">
        <v>0.0</v>
      </c>
      <c r="BO712" s="155">
        <v>0.0</v>
      </c>
      <c r="BP712" s="155">
        <v>0.0</v>
      </c>
      <c r="BQ712" s="155">
        <v>0.0</v>
      </c>
      <c r="BR712" s="155">
        <v>0.0</v>
      </c>
      <c r="BS712" s="155">
        <v>0.0</v>
      </c>
      <c r="CV712" s="156">
        <v>0.0</v>
      </c>
      <c r="CW712" s="156">
        <v>0.0</v>
      </c>
      <c r="CX712" s="156">
        <v>0.0</v>
      </c>
      <c r="CY712" s="156">
        <v>0.0</v>
      </c>
      <c r="CZ712" s="156">
        <v>0.0</v>
      </c>
      <c r="DA712" s="156">
        <v>0.0</v>
      </c>
      <c r="EG712" s="156">
        <v>0.0</v>
      </c>
      <c r="EH712" s="156">
        <v>0.0</v>
      </c>
      <c r="EI712" s="156">
        <v>0.0</v>
      </c>
      <c r="EJ712" s="156">
        <v>0.0</v>
      </c>
      <c r="EK712" s="156">
        <v>0.0</v>
      </c>
      <c r="EL712" s="156">
        <v>0.0</v>
      </c>
      <c r="FQ712" s="156">
        <v>0.0</v>
      </c>
      <c r="FR712" s="156">
        <v>0.0</v>
      </c>
      <c r="FS712" s="156">
        <v>0.0</v>
      </c>
      <c r="FT712" s="156">
        <v>0.0</v>
      </c>
      <c r="FU712" s="156">
        <v>0.0</v>
      </c>
      <c r="FV712" s="156">
        <v>0.0</v>
      </c>
      <c r="FW712" s="157"/>
      <c r="FX712" s="157"/>
      <c r="FY712" s="157"/>
      <c r="FZ712" s="157"/>
      <c r="GA712" s="157"/>
      <c r="GB712" s="157"/>
      <c r="GC712" s="157"/>
      <c r="GD712" s="157"/>
      <c r="GE712" s="157"/>
      <c r="GF712" s="157"/>
      <c r="GG712" s="157"/>
      <c r="GH712" s="157"/>
      <c r="GI712" s="157"/>
      <c r="GJ712" s="157"/>
      <c r="GK712" s="157"/>
      <c r="GL712" s="157"/>
      <c r="GM712" s="157"/>
      <c r="GN712" s="157"/>
      <c r="GO712" s="157"/>
      <c r="GP712" s="158"/>
      <c r="GQ712" s="157"/>
      <c r="GR712" s="157"/>
      <c r="GS712" s="157"/>
      <c r="GT712" s="157"/>
      <c r="GU712" s="157"/>
      <c r="GV712" s="157"/>
      <c r="GW712" s="157"/>
      <c r="GX712" s="157"/>
      <c r="GY712" s="157"/>
      <c r="GZ712" s="157"/>
      <c r="HA712" s="157"/>
      <c r="HB712" s="155">
        <v>0.0</v>
      </c>
      <c r="HC712" s="155">
        <v>0.0</v>
      </c>
      <c r="HD712" s="155">
        <v>0.0</v>
      </c>
      <c r="HE712" s="155">
        <v>0.0</v>
      </c>
      <c r="HF712" s="155">
        <v>0.0</v>
      </c>
      <c r="HG712" s="155">
        <v>0.0</v>
      </c>
      <c r="IL712" s="159">
        <v>0.0</v>
      </c>
      <c r="IM712" s="156">
        <v>0.0</v>
      </c>
      <c r="IN712" s="156">
        <v>0.0</v>
      </c>
      <c r="IO712" s="156">
        <v>0.0</v>
      </c>
      <c r="IP712" s="156">
        <v>0.0</v>
      </c>
      <c r="IQ712" s="160">
        <v>0.0</v>
      </c>
      <c r="JH712" s="25"/>
      <c r="JW712" s="159">
        <v>11.0</v>
      </c>
      <c r="JX712" s="156">
        <v>0.0</v>
      </c>
      <c r="JY712" s="156">
        <v>0.0</v>
      </c>
      <c r="JZ712" s="156">
        <v>0.0</v>
      </c>
      <c r="KA712" s="156">
        <v>0.0</v>
      </c>
      <c r="KB712" s="160">
        <v>0.0</v>
      </c>
      <c r="KH712" s="175">
        <v>1.0</v>
      </c>
      <c r="KI712" s="174"/>
      <c r="KJ712" s="175">
        <v>1.0</v>
      </c>
      <c r="KK712" s="174"/>
      <c r="KL712" s="174"/>
      <c r="KM712" s="174"/>
      <c r="KN712" s="174"/>
      <c r="KO712" s="175">
        <v>2.0</v>
      </c>
      <c r="KP712" s="174"/>
      <c r="KQ712" s="175">
        <v>1.0</v>
      </c>
      <c r="KR712" s="174"/>
      <c r="KS712" s="472"/>
      <c r="KT712" s="174"/>
      <c r="KU712" s="175">
        <v>1.0</v>
      </c>
      <c r="KV712" s="175">
        <v>1.0</v>
      </c>
      <c r="KW712" s="174"/>
      <c r="KX712" s="175">
        <v>1.0</v>
      </c>
      <c r="KY712" s="174"/>
      <c r="KZ712" s="174"/>
      <c r="LA712" s="174"/>
      <c r="LB712" s="175">
        <v>1.0</v>
      </c>
      <c r="LC712" s="175">
        <v>1.0</v>
      </c>
      <c r="LD712" s="174"/>
      <c r="LE712" s="175">
        <v>1.0</v>
      </c>
      <c r="LF712" s="174"/>
      <c r="LG712" s="174"/>
      <c r="LH712" s="159">
        <f t="shared" si="10"/>
        <v>2</v>
      </c>
      <c r="LI712" s="156">
        <f t="shared" si="11"/>
        <v>0</v>
      </c>
      <c r="LJ712" s="156">
        <f t="shared" si="12"/>
        <v>0</v>
      </c>
      <c r="LK712" s="156">
        <f t="shared" si="13"/>
        <v>0</v>
      </c>
      <c r="LL712" s="156">
        <f t="shared" si="14"/>
        <v>0</v>
      </c>
      <c r="LM712" s="160">
        <f t="shared" si="15"/>
        <v>0</v>
      </c>
      <c r="LP712" s="189">
        <v>1.0</v>
      </c>
      <c r="LR712" s="189">
        <v>1.0</v>
      </c>
      <c r="QX712" s="560">
        <v>46233.0</v>
      </c>
    </row>
    <row r="713">
      <c r="A713" s="12"/>
      <c r="B713" s="12"/>
      <c r="C713" s="12"/>
      <c r="D713" s="12"/>
      <c r="E713" s="12"/>
      <c r="F713" s="12"/>
      <c r="G713" s="12"/>
      <c r="H713" s="12"/>
      <c r="I713" s="143">
        <f t="shared" si="22"/>
        <v>-5</v>
      </c>
      <c r="J713" s="537">
        <v>46239.0</v>
      </c>
      <c r="K713" s="294" t="s">
        <v>48</v>
      </c>
      <c r="L713" s="108"/>
      <c r="M713" s="162" t="s">
        <v>107</v>
      </c>
      <c r="N713" s="188">
        <v>246.0</v>
      </c>
      <c r="O713" s="86">
        <v>30.0</v>
      </c>
      <c r="U713" s="162" t="s">
        <v>1391</v>
      </c>
      <c r="V713" s="538" t="s">
        <v>2920</v>
      </c>
      <c r="W713" s="125" t="s">
        <v>3712</v>
      </c>
      <c r="X713" s="140"/>
      <c r="Y713" s="166">
        <f t="shared" si="23"/>
        <v>5</v>
      </c>
      <c r="Z713" s="26">
        <f t="shared" si="7"/>
        <v>0</v>
      </c>
      <c r="AA713" s="26">
        <f t="shared" si="8"/>
        <v>0</v>
      </c>
      <c r="AB713" s="26">
        <f t="shared" si="9"/>
        <v>0</v>
      </c>
      <c r="AC713" s="156">
        <v>0.0</v>
      </c>
      <c r="AD713" s="156">
        <v>0.0</v>
      </c>
      <c r="AE713" s="156">
        <v>0.0</v>
      </c>
      <c r="AF713" s="156">
        <v>0.0</v>
      </c>
      <c r="AG713" s="156">
        <v>0.0</v>
      </c>
      <c r="AH713" s="156">
        <v>0.0</v>
      </c>
      <c r="BN713" s="155">
        <v>0.0</v>
      </c>
      <c r="BO713" s="155">
        <v>0.0</v>
      </c>
      <c r="BP713" s="155">
        <v>0.0</v>
      </c>
      <c r="BQ713" s="155">
        <v>0.0</v>
      </c>
      <c r="BR713" s="155">
        <v>0.0</v>
      </c>
      <c r="BS713" s="155">
        <v>0.0</v>
      </c>
      <c r="CV713" s="156">
        <v>0.0</v>
      </c>
      <c r="CW713" s="156">
        <v>0.0</v>
      </c>
      <c r="CX713" s="156">
        <v>0.0</v>
      </c>
      <c r="CY713" s="156">
        <v>0.0</v>
      </c>
      <c r="CZ713" s="156">
        <v>0.0</v>
      </c>
      <c r="DA713" s="156">
        <v>0.0</v>
      </c>
      <c r="EG713" s="156">
        <v>0.0</v>
      </c>
      <c r="EH713" s="156">
        <v>0.0</v>
      </c>
      <c r="EI713" s="156">
        <v>0.0</v>
      </c>
      <c r="EJ713" s="156">
        <v>0.0</v>
      </c>
      <c r="EK713" s="156">
        <v>0.0</v>
      </c>
      <c r="EL713" s="156">
        <v>0.0</v>
      </c>
      <c r="FQ713" s="156">
        <v>0.0</v>
      </c>
      <c r="FR713" s="156">
        <v>0.0</v>
      </c>
      <c r="FS713" s="156">
        <v>0.0</v>
      </c>
      <c r="FT713" s="156">
        <v>0.0</v>
      </c>
      <c r="FU713" s="156">
        <v>0.0</v>
      </c>
      <c r="FV713" s="156">
        <v>0.0</v>
      </c>
      <c r="FW713" s="157"/>
      <c r="FX713" s="157"/>
      <c r="FY713" s="157"/>
      <c r="FZ713" s="157"/>
      <c r="GA713" s="157"/>
      <c r="GB713" s="157"/>
      <c r="GC713" s="157"/>
      <c r="GD713" s="157"/>
      <c r="GE713" s="157"/>
      <c r="GF713" s="157"/>
      <c r="GG713" s="157"/>
      <c r="GH713" s="157"/>
      <c r="GI713" s="157"/>
      <c r="GJ713" s="157"/>
      <c r="GK713" s="157"/>
      <c r="GL713" s="157"/>
      <c r="GM713" s="157"/>
      <c r="GN713" s="157"/>
      <c r="GO713" s="157"/>
      <c r="GP713" s="158"/>
      <c r="GQ713" s="157"/>
      <c r="GR713" s="157"/>
      <c r="GS713" s="157"/>
      <c r="GT713" s="157"/>
      <c r="GU713" s="157"/>
      <c r="GV713" s="157"/>
      <c r="GW713" s="157"/>
      <c r="GX713" s="157"/>
      <c r="GY713" s="157"/>
      <c r="GZ713" s="157"/>
      <c r="HA713" s="157"/>
      <c r="HB713" s="155">
        <v>0.0</v>
      </c>
      <c r="HC713" s="155">
        <v>0.0</v>
      </c>
      <c r="HD713" s="155">
        <v>0.0</v>
      </c>
      <c r="HE713" s="155">
        <v>0.0</v>
      </c>
      <c r="HF713" s="155">
        <v>0.0</v>
      </c>
      <c r="HG713" s="155">
        <v>0.0</v>
      </c>
      <c r="IL713" s="159">
        <v>0.0</v>
      </c>
      <c r="IM713" s="156">
        <v>0.0</v>
      </c>
      <c r="IN713" s="156">
        <v>0.0</v>
      </c>
      <c r="IO713" s="156">
        <v>0.0</v>
      </c>
      <c r="IP713" s="156">
        <v>0.0</v>
      </c>
      <c r="IQ713" s="160">
        <v>0.0</v>
      </c>
      <c r="JH713" s="25"/>
      <c r="JW713" s="159">
        <v>2.0</v>
      </c>
      <c r="JX713" s="156">
        <v>0.0</v>
      </c>
      <c r="JY713" s="156">
        <v>0.0</v>
      </c>
      <c r="JZ713" s="156">
        <v>0.0</v>
      </c>
      <c r="KA713" s="156">
        <v>0.0</v>
      </c>
      <c r="KB713" s="160">
        <v>0.0</v>
      </c>
      <c r="KC713" s="174"/>
      <c r="KD713" s="174"/>
      <c r="KE713" s="174"/>
      <c r="KF713" s="174"/>
      <c r="KG713" s="175">
        <v>1.0</v>
      </c>
      <c r="KH713" s="174"/>
      <c r="KI713" s="175">
        <v>1.0</v>
      </c>
      <c r="KJ713" s="174"/>
      <c r="KK713" s="174"/>
      <c r="KL713" s="174"/>
      <c r="KM713" s="174"/>
      <c r="KN713" s="174"/>
      <c r="KO713" s="174"/>
      <c r="KP713" s="174"/>
      <c r="KQ713" s="174"/>
      <c r="KR713" s="174"/>
      <c r="KS713" s="472"/>
      <c r="KT713" s="174"/>
      <c r="KU713" s="174"/>
      <c r="KV713" s="174"/>
      <c r="KW713" s="174"/>
      <c r="KX713" s="174"/>
      <c r="KY713" s="174"/>
      <c r="KZ713" s="174"/>
      <c r="LA713" s="174"/>
      <c r="LB713" s="174"/>
      <c r="LC713" s="174"/>
      <c r="LD713" s="174"/>
      <c r="LE713" s="174"/>
      <c r="LF713" s="174"/>
      <c r="LG713" s="174"/>
      <c r="LH713" s="159">
        <f t="shared" si="10"/>
        <v>3</v>
      </c>
      <c r="LI713" s="156">
        <f t="shared" si="11"/>
        <v>0</v>
      </c>
      <c r="LJ713" s="156">
        <f t="shared" si="12"/>
        <v>0</v>
      </c>
      <c r="LK713" s="156">
        <f t="shared" si="13"/>
        <v>0</v>
      </c>
      <c r="LL713" s="156">
        <f t="shared" si="14"/>
        <v>0</v>
      </c>
      <c r="LM713" s="160">
        <f t="shared" si="15"/>
        <v>0</v>
      </c>
      <c r="LN713" s="174"/>
      <c r="LO713" s="174"/>
      <c r="LP713" s="174"/>
      <c r="LQ713" s="174"/>
      <c r="LR713" s="174"/>
      <c r="LS713" s="174"/>
      <c r="LT713" s="174"/>
      <c r="LU713" s="174"/>
      <c r="LV713" s="174"/>
      <c r="LW713" s="174">
        <f t="shared" ref="LW713:MQ713" si="107">IFS(TODAY()&lt;=LW$2,0,WEEKDAY(LW$2)=2,1,WEEKDAY(LW$2)=3,0,WEEKDAY(LW$2)=4,1,WEEKDAY(LW$2)=5,0,WEEKDAY(LW$2)=6,1,WEEKDAY(LW$2)=7,0,WEEKDAY(LW$2)=1,0)</f>
        <v>0</v>
      </c>
      <c r="LX713" s="174">
        <f t="shared" si="107"/>
        <v>1</v>
      </c>
      <c r="LY713" s="174">
        <f t="shared" si="107"/>
        <v>0</v>
      </c>
      <c r="LZ713" s="174">
        <f t="shared" si="107"/>
        <v>0</v>
      </c>
      <c r="MA713" s="174">
        <f t="shared" si="107"/>
        <v>1</v>
      </c>
      <c r="MB713" s="174">
        <f t="shared" si="107"/>
        <v>0</v>
      </c>
      <c r="MC713" s="174">
        <f t="shared" si="107"/>
        <v>1</v>
      </c>
      <c r="MD713" s="174">
        <f t="shared" si="107"/>
        <v>0</v>
      </c>
      <c r="ME713" s="174">
        <f t="shared" si="107"/>
        <v>0</v>
      </c>
      <c r="MF713" s="174">
        <f t="shared" si="107"/>
        <v>0</v>
      </c>
      <c r="MG713" s="174">
        <f t="shared" si="107"/>
        <v>0</v>
      </c>
      <c r="MH713" s="174">
        <f t="shared" si="107"/>
        <v>0</v>
      </c>
      <c r="MI713" s="174">
        <f t="shared" si="107"/>
        <v>0</v>
      </c>
      <c r="MJ713" s="174">
        <f t="shared" si="107"/>
        <v>0</v>
      </c>
      <c r="MK713" s="174">
        <f t="shared" si="107"/>
        <v>0</v>
      </c>
      <c r="ML713" s="174">
        <f t="shared" si="107"/>
        <v>0</v>
      </c>
      <c r="MM713" s="174">
        <f t="shared" si="107"/>
        <v>0</v>
      </c>
      <c r="MN713" s="174">
        <f t="shared" si="107"/>
        <v>0</v>
      </c>
      <c r="MO713" s="174">
        <f t="shared" si="107"/>
        <v>0</v>
      </c>
      <c r="MP713" s="174">
        <f t="shared" si="107"/>
        <v>0</v>
      </c>
      <c r="MQ713" s="174">
        <f t="shared" si="107"/>
        <v>0</v>
      </c>
      <c r="QX713" s="560">
        <v>46235.0</v>
      </c>
    </row>
    <row r="714">
      <c r="A714" s="12"/>
      <c r="B714" s="12"/>
      <c r="C714" s="12"/>
      <c r="D714" s="12"/>
      <c r="E714" s="12"/>
      <c r="F714" s="12"/>
      <c r="G714" s="12"/>
      <c r="H714" s="12"/>
      <c r="I714" s="143">
        <f t="shared" si="22"/>
        <v>-3</v>
      </c>
      <c r="J714" s="537">
        <v>46237.0</v>
      </c>
      <c r="K714" s="294" t="s">
        <v>48</v>
      </c>
      <c r="L714" s="595"/>
      <c r="M714" s="596" t="s">
        <v>107</v>
      </c>
      <c r="N714" s="597">
        <v>246.0</v>
      </c>
      <c r="O714" s="596">
        <v>60.0</v>
      </c>
      <c r="P714" s="598"/>
      <c r="Q714" s="598"/>
      <c r="R714" s="598"/>
      <c r="S714" s="598"/>
      <c r="T714" s="598"/>
      <c r="U714" s="596" t="s">
        <v>3493</v>
      </c>
      <c r="V714" s="621" t="s">
        <v>3494</v>
      </c>
      <c r="W714" s="600" t="s">
        <v>3658</v>
      </c>
      <c r="X714" s="140"/>
      <c r="Y714" s="166">
        <f t="shared" si="23"/>
        <v>3</v>
      </c>
      <c r="Z714" s="26">
        <f t="shared" si="7"/>
        <v>0</v>
      </c>
      <c r="AA714" s="26">
        <f t="shared" si="8"/>
        <v>0</v>
      </c>
      <c r="AB714" s="26">
        <f t="shared" si="9"/>
        <v>0</v>
      </c>
      <c r="AC714" s="156">
        <v>0.0</v>
      </c>
      <c r="AD714" s="156">
        <v>0.0</v>
      </c>
      <c r="AE714" s="156">
        <v>0.0</v>
      </c>
      <c r="AF714" s="156">
        <v>0.0</v>
      </c>
      <c r="AG714" s="156">
        <v>0.0</v>
      </c>
      <c r="AH714" s="156">
        <v>0.0</v>
      </c>
      <c r="BN714" s="155">
        <v>0.0</v>
      </c>
      <c r="BO714" s="155">
        <v>0.0</v>
      </c>
      <c r="BP714" s="155">
        <v>0.0</v>
      </c>
      <c r="BQ714" s="155">
        <v>0.0</v>
      </c>
      <c r="BR714" s="155">
        <v>0.0</v>
      </c>
      <c r="BS714" s="155">
        <v>0.0</v>
      </c>
      <c r="CV714" s="156">
        <v>0.0</v>
      </c>
      <c r="CW714" s="156">
        <v>0.0</v>
      </c>
      <c r="CX714" s="156">
        <v>0.0</v>
      </c>
      <c r="CY714" s="156">
        <v>0.0</v>
      </c>
      <c r="CZ714" s="156">
        <v>0.0</v>
      </c>
      <c r="DA714" s="156">
        <v>0.0</v>
      </c>
      <c r="EG714" s="156">
        <v>0.0</v>
      </c>
      <c r="EH714" s="156">
        <v>0.0</v>
      </c>
      <c r="EI714" s="156">
        <v>0.0</v>
      </c>
      <c r="EJ714" s="156">
        <v>0.0</v>
      </c>
      <c r="EK714" s="156">
        <v>0.0</v>
      </c>
      <c r="EL714" s="156">
        <v>0.0</v>
      </c>
      <c r="FQ714" s="156">
        <v>0.0</v>
      </c>
      <c r="FR714" s="156">
        <v>0.0</v>
      </c>
      <c r="FS714" s="156">
        <v>0.0</v>
      </c>
      <c r="FT714" s="156">
        <v>0.0</v>
      </c>
      <c r="FU714" s="156">
        <v>0.0</v>
      </c>
      <c r="FV714" s="156">
        <v>0.0</v>
      </c>
      <c r="FW714" s="157"/>
      <c r="FX714" s="157"/>
      <c r="FY714" s="157"/>
      <c r="FZ714" s="157"/>
      <c r="GA714" s="157"/>
      <c r="GB714" s="157"/>
      <c r="GC714" s="157"/>
      <c r="GD714" s="157"/>
      <c r="GE714" s="157"/>
      <c r="GF714" s="157"/>
      <c r="GG714" s="157"/>
      <c r="GH714" s="157"/>
      <c r="GI714" s="157"/>
      <c r="GJ714" s="157"/>
      <c r="GK714" s="157"/>
      <c r="GL714" s="157"/>
      <c r="GM714" s="157"/>
      <c r="GN714" s="157"/>
      <c r="GO714" s="157"/>
      <c r="GP714" s="158"/>
      <c r="GQ714" s="157"/>
      <c r="GR714" s="157"/>
      <c r="GS714" s="157"/>
      <c r="GT714" s="157"/>
      <c r="GU714" s="157"/>
      <c r="GV714" s="157"/>
      <c r="GW714" s="157"/>
      <c r="GX714" s="157"/>
      <c r="GY714" s="157"/>
      <c r="GZ714" s="157"/>
      <c r="HA714" s="157"/>
      <c r="HB714" s="155">
        <v>0.0</v>
      </c>
      <c r="HC714" s="155">
        <v>0.0</v>
      </c>
      <c r="HD714" s="155">
        <v>0.0</v>
      </c>
      <c r="HE714" s="155">
        <v>0.0</v>
      </c>
      <c r="HF714" s="155">
        <v>0.0</v>
      </c>
      <c r="HG714" s="155">
        <v>0.0</v>
      </c>
      <c r="IL714" s="159">
        <v>0.0</v>
      </c>
      <c r="IM714" s="156">
        <v>0.0</v>
      </c>
      <c r="IN714" s="156">
        <v>0.0</v>
      </c>
      <c r="IO714" s="156">
        <v>0.0</v>
      </c>
      <c r="IP714" s="156">
        <v>0.0</v>
      </c>
      <c r="IQ714" s="160">
        <v>0.0</v>
      </c>
      <c r="JH714" s="25"/>
      <c r="JW714" s="159">
        <v>0.0</v>
      </c>
      <c r="JX714" s="156">
        <v>0.0</v>
      </c>
      <c r="JY714" s="156">
        <v>0.0</v>
      </c>
      <c r="JZ714" s="156">
        <v>0.0</v>
      </c>
      <c r="KA714" s="156">
        <v>0.0</v>
      </c>
      <c r="KB714" s="160">
        <v>0.0</v>
      </c>
      <c r="KC714" s="174"/>
      <c r="KD714" s="174"/>
      <c r="KE714" s="174"/>
      <c r="KF714" s="174"/>
      <c r="KG714" s="174"/>
      <c r="KH714" s="174"/>
      <c r="KI714" s="174"/>
      <c r="KJ714" s="174"/>
      <c r="KK714" s="174"/>
      <c r="KL714" s="174"/>
      <c r="KM714" s="174"/>
      <c r="KN714" s="174"/>
      <c r="KO714" s="174"/>
      <c r="KP714" s="174"/>
      <c r="KQ714" s="174"/>
      <c r="KR714" s="174"/>
      <c r="KS714" s="472"/>
      <c r="KT714" s="174"/>
      <c r="KU714" s="174"/>
      <c r="KV714" s="174"/>
      <c r="KW714" s="174"/>
      <c r="KX714" s="174"/>
      <c r="KY714" s="174"/>
      <c r="KZ714" s="174"/>
      <c r="LA714" s="174"/>
      <c r="LB714" s="174"/>
      <c r="LC714" s="174"/>
      <c r="LD714" s="174"/>
      <c r="LE714" s="174"/>
      <c r="LF714" s="174"/>
      <c r="LG714" s="174"/>
      <c r="LH714" s="159">
        <f t="shared" si="10"/>
        <v>3</v>
      </c>
      <c r="LI714" s="156">
        <f t="shared" si="11"/>
        <v>0</v>
      </c>
      <c r="LJ714" s="156">
        <f t="shared" si="12"/>
        <v>0</v>
      </c>
      <c r="LK714" s="156">
        <f t="shared" si="13"/>
        <v>0</v>
      </c>
      <c r="LL714" s="156">
        <f t="shared" si="14"/>
        <v>0</v>
      </c>
      <c r="LM714" s="160">
        <f t="shared" si="15"/>
        <v>0</v>
      </c>
      <c r="LN714" s="174"/>
      <c r="LO714" s="174"/>
      <c r="LP714" s="174"/>
      <c r="LQ714" s="174"/>
      <c r="LR714" s="174"/>
      <c r="LS714" s="174"/>
      <c r="LT714" s="174"/>
      <c r="LU714" s="174"/>
      <c r="LV714" s="174"/>
      <c r="LW714" s="174">
        <f t="shared" ref="LW714:MQ714" si="108">IFS(TODAY()&lt;=LW$2,0,WEEKDAY(LW$2)=2,1,WEEKDAY(LW$2)=3,0,WEEKDAY(LW$2)=4,1,WEEKDAY(LW$2)=5,0,WEEKDAY(LW$2)=6,1,WEEKDAY(LW$2)=7,0,WEEKDAY(LW$2)=1,0)</f>
        <v>0</v>
      </c>
      <c r="LX714" s="174">
        <f t="shared" si="108"/>
        <v>1</v>
      </c>
      <c r="LY714" s="174">
        <f t="shared" si="108"/>
        <v>0</v>
      </c>
      <c r="LZ714" s="174">
        <f t="shared" si="108"/>
        <v>0</v>
      </c>
      <c r="MA714" s="174">
        <f t="shared" si="108"/>
        <v>1</v>
      </c>
      <c r="MB714" s="174">
        <f t="shared" si="108"/>
        <v>0</v>
      </c>
      <c r="MC714" s="174">
        <f t="shared" si="108"/>
        <v>1</v>
      </c>
      <c r="MD714" s="174">
        <f t="shared" si="108"/>
        <v>0</v>
      </c>
      <c r="ME714" s="174">
        <f t="shared" si="108"/>
        <v>0</v>
      </c>
      <c r="MF714" s="174">
        <f t="shared" si="108"/>
        <v>0</v>
      </c>
      <c r="MG714" s="174">
        <f t="shared" si="108"/>
        <v>0</v>
      </c>
      <c r="MH714" s="174">
        <f t="shared" si="108"/>
        <v>0</v>
      </c>
      <c r="MI714" s="174">
        <f t="shared" si="108"/>
        <v>0</v>
      </c>
      <c r="MJ714" s="174">
        <f t="shared" si="108"/>
        <v>0</v>
      </c>
      <c r="MK714" s="174">
        <f t="shared" si="108"/>
        <v>0</v>
      </c>
      <c r="ML714" s="174">
        <f t="shared" si="108"/>
        <v>0</v>
      </c>
      <c r="MM714" s="174">
        <f t="shared" si="108"/>
        <v>0</v>
      </c>
      <c r="MN714" s="174">
        <f t="shared" si="108"/>
        <v>0</v>
      </c>
      <c r="MO714" s="174">
        <f t="shared" si="108"/>
        <v>0</v>
      </c>
      <c r="MP714" s="174">
        <f t="shared" si="108"/>
        <v>0</v>
      </c>
      <c r="MQ714" s="174">
        <f t="shared" si="108"/>
        <v>0</v>
      </c>
      <c r="QX714" s="560">
        <v>46235.0</v>
      </c>
    </row>
    <row r="715">
      <c r="A715" s="12"/>
      <c r="B715" s="12"/>
      <c r="C715" s="12"/>
      <c r="D715" s="12"/>
      <c r="E715" s="12"/>
      <c r="F715" s="12"/>
      <c r="G715" s="12"/>
      <c r="H715" s="12"/>
      <c r="I715" s="143">
        <f t="shared" si="22"/>
        <v>-18</v>
      </c>
      <c r="J715" s="537">
        <v>46242.0</v>
      </c>
      <c r="K715" s="294" t="s">
        <v>48</v>
      </c>
      <c r="L715" s="162" t="s">
        <v>3485</v>
      </c>
      <c r="M715" s="162" t="s">
        <v>1433</v>
      </c>
      <c r="N715" s="86">
        <v>357.0</v>
      </c>
      <c r="O715" s="86">
        <v>30.0</v>
      </c>
      <c r="U715" s="162" t="s">
        <v>3592</v>
      </c>
      <c r="V715" s="538" t="s">
        <v>3593</v>
      </c>
      <c r="W715" s="185" t="s">
        <v>3713</v>
      </c>
      <c r="X715" s="140"/>
      <c r="Y715" s="166">
        <f t="shared" si="23"/>
        <v>18</v>
      </c>
      <c r="Z715" s="26">
        <f t="shared" si="7"/>
        <v>0</v>
      </c>
      <c r="AA715" s="26">
        <f t="shared" si="8"/>
        <v>0</v>
      </c>
      <c r="AB715" s="26">
        <f t="shared" si="9"/>
        <v>0</v>
      </c>
      <c r="AC715" s="156">
        <v>0.0</v>
      </c>
      <c r="AD715" s="156">
        <v>0.0</v>
      </c>
      <c r="AE715" s="156">
        <v>0.0</v>
      </c>
      <c r="AF715" s="156">
        <v>0.0</v>
      </c>
      <c r="AG715" s="156">
        <v>0.0</v>
      </c>
      <c r="AH715" s="156">
        <v>0.0</v>
      </c>
      <c r="BN715" s="155">
        <v>0.0</v>
      </c>
      <c r="BO715" s="155">
        <v>0.0</v>
      </c>
      <c r="BP715" s="155">
        <v>0.0</v>
      </c>
      <c r="BQ715" s="155">
        <v>0.0</v>
      </c>
      <c r="BR715" s="155">
        <v>0.0</v>
      </c>
      <c r="BS715" s="155">
        <v>0.0</v>
      </c>
      <c r="CV715" s="156">
        <v>0.0</v>
      </c>
      <c r="CW715" s="156">
        <v>0.0</v>
      </c>
      <c r="CX715" s="156">
        <v>0.0</v>
      </c>
      <c r="CY715" s="156">
        <v>0.0</v>
      </c>
      <c r="CZ715" s="156">
        <v>0.0</v>
      </c>
      <c r="DA715" s="156">
        <v>0.0</v>
      </c>
      <c r="EG715" s="156">
        <v>0.0</v>
      </c>
      <c r="EH715" s="156">
        <v>0.0</v>
      </c>
      <c r="EI715" s="156">
        <v>0.0</v>
      </c>
      <c r="EJ715" s="156">
        <v>0.0</v>
      </c>
      <c r="EK715" s="156">
        <v>0.0</v>
      </c>
      <c r="EL715" s="156">
        <v>0.0</v>
      </c>
      <c r="FQ715" s="156">
        <v>0.0</v>
      </c>
      <c r="FR715" s="156">
        <v>0.0</v>
      </c>
      <c r="FS715" s="156">
        <v>0.0</v>
      </c>
      <c r="FT715" s="156">
        <v>0.0</v>
      </c>
      <c r="FU715" s="156">
        <v>0.0</v>
      </c>
      <c r="FV715" s="156">
        <v>0.0</v>
      </c>
      <c r="FW715" s="157"/>
      <c r="FX715" s="157"/>
      <c r="FY715" s="157"/>
      <c r="FZ715" s="157"/>
      <c r="GA715" s="157"/>
      <c r="GB715" s="157"/>
      <c r="GC715" s="157"/>
      <c r="GD715" s="157"/>
      <c r="GE715" s="157"/>
      <c r="GF715" s="157"/>
      <c r="GG715" s="157"/>
      <c r="GH715" s="157"/>
      <c r="GI715" s="157"/>
      <c r="GJ715" s="157"/>
      <c r="GK715" s="157"/>
      <c r="GL715" s="157"/>
      <c r="GM715" s="157"/>
      <c r="GN715" s="157"/>
      <c r="GO715" s="157"/>
      <c r="GP715" s="158"/>
      <c r="GQ715" s="157"/>
      <c r="GR715" s="157"/>
      <c r="GS715" s="157"/>
      <c r="GT715" s="157"/>
      <c r="GU715" s="157"/>
      <c r="GV715" s="157"/>
      <c r="GW715" s="157"/>
      <c r="GX715" s="157"/>
      <c r="GY715" s="157"/>
      <c r="GZ715" s="157"/>
      <c r="HA715" s="157"/>
      <c r="HB715" s="155">
        <v>0.0</v>
      </c>
      <c r="HC715" s="155">
        <v>0.0</v>
      </c>
      <c r="HD715" s="155">
        <v>0.0</v>
      </c>
      <c r="HE715" s="155">
        <v>0.0</v>
      </c>
      <c r="HF715" s="155">
        <v>0.0</v>
      </c>
      <c r="HG715" s="155">
        <v>0.0</v>
      </c>
      <c r="IL715" s="159">
        <v>0.0</v>
      </c>
      <c r="IM715" s="156">
        <v>0.0</v>
      </c>
      <c r="IN715" s="156">
        <v>0.0</v>
      </c>
      <c r="IO715" s="156">
        <v>0.0</v>
      </c>
      <c r="IP715" s="156">
        <v>0.0</v>
      </c>
      <c r="IQ715" s="160">
        <v>0.0</v>
      </c>
      <c r="JH715" s="25"/>
      <c r="JW715" s="159">
        <v>8.0</v>
      </c>
      <c r="JX715" s="156">
        <v>0.0</v>
      </c>
      <c r="JY715" s="156">
        <v>0.0</v>
      </c>
      <c r="JZ715" s="156">
        <v>0.0</v>
      </c>
      <c r="KA715" s="156">
        <v>0.0</v>
      </c>
      <c r="KB715" s="160">
        <v>0.0</v>
      </c>
      <c r="KC715" s="172"/>
      <c r="KD715" s="172"/>
      <c r="KE715" s="172"/>
      <c r="KF715" s="172"/>
      <c r="KG715" s="172"/>
      <c r="KH715" s="172"/>
      <c r="KI715" s="172"/>
      <c r="KJ715" s="172">
        <v>1.0</v>
      </c>
      <c r="KK715" s="172"/>
      <c r="KL715" s="172">
        <v>1.0</v>
      </c>
      <c r="KM715" s="172"/>
      <c r="KN715" s="172"/>
      <c r="KO715" s="172">
        <v>1.0</v>
      </c>
      <c r="KP715" s="172"/>
      <c r="KQ715" s="172">
        <v>1.0</v>
      </c>
      <c r="KR715" s="172"/>
      <c r="KS715" s="432"/>
      <c r="KT715" s="172"/>
      <c r="KU715" s="172"/>
      <c r="KV715" s="172">
        <v>1.0</v>
      </c>
      <c r="KW715" s="172"/>
      <c r="KX715" s="172">
        <v>1.0</v>
      </c>
      <c r="KY715" s="172"/>
      <c r="KZ715" s="172"/>
      <c r="LA715" s="172">
        <v>1.0</v>
      </c>
      <c r="LB715" s="172"/>
      <c r="LC715" s="172">
        <v>1.0</v>
      </c>
      <c r="LD715" s="172"/>
      <c r="LE715" s="172"/>
      <c r="LF715" s="172"/>
      <c r="LG715" s="172"/>
      <c r="LH715" s="159">
        <f t="shared" si="10"/>
        <v>10</v>
      </c>
      <c r="LI715" s="156">
        <f t="shared" si="11"/>
        <v>0</v>
      </c>
      <c r="LJ715" s="156">
        <f t="shared" si="12"/>
        <v>0</v>
      </c>
      <c r="LK715" s="156">
        <f t="shared" si="13"/>
        <v>0</v>
      </c>
      <c r="LL715" s="156">
        <f t="shared" si="14"/>
        <v>0</v>
      </c>
      <c r="LM715" s="160">
        <f t="shared" si="15"/>
        <v>0</v>
      </c>
      <c r="LP715" s="189">
        <v>1.0</v>
      </c>
      <c r="LR715" s="189">
        <v>1.0</v>
      </c>
      <c r="LU715" s="189">
        <v>1.0</v>
      </c>
      <c r="LW715" s="12">
        <f t="shared" ref="LW715:MQ715" si="109">IFS(TODAY()&lt;=LC$2,0,WEEKDAY(LC$2)=2,0,WEEKDAY(LC$2)=3,1,WEEKDAY(LC$2)=4,0,WEEKDAY(LC$2)=5,1,WEEKDAY(LC$2)=6,0,WEEKDAY(LC$2)=7,1,WEEKDAY(LC$2)=1,0)</f>
        <v>1</v>
      </c>
      <c r="LX715" s="12">
        <f t="shared" si="109"/>
        <v>0</v>
      </c>
      <c r="LY715" s="12">
        <f t="shared" si="109"/>
        <v>1</v>
      </c>
      <c r="LZ715" s="12">
        <f t="shared" si="109"/>
        <v>0</v>
      </c>
      <c r="MA715" s="12">
        <f t="shared" si="109"/>
        <v>0</v>
      </c>
      <c r="MB715" s="12">
        <f t="shared" si="109"/>
        <v>0</v>
      </c>
      <c r="MC715" s="12">
        <f t="shared" si="109"/>
        <v>0</v>
      </c>
      <c r="MD715" s="12">
        <f t="shared" si="109"/>
        <v>0</v>
      </c>
      <c r="ME715" s="12">
        <f t="shared" si="109"/>
        <v>0</v>
      </c>
      <c r="MF715" s="12">
        <f t="shared" si="109"/>
        <v>0</v>
      </c>
      <c r="MG715" s="12">
        <f t="shared" si="109"/>
        <v>0</v>
      </c>
      <c r="MH715" s="12">
        <f t="shared" si="109"/>
        <v>1</v>
      </c>
      <c r="MI715" s="12">
        <f t="shared" si="109"/>
        <v>0</v>
      </c>
      <c r="MJ715" s="12">
        <f t="shared" si="109"/>
        <v>1</v>
      </c>
      <c r="MK715" s="12">
        <f t="shared" si="109"/>
        <v>0</v>
      </c>
      <c r="ML715" s="12">
        <f t="shared" si="109"/>
        <v>1</v>
      </c>
      <c r="MM715" s="12">
        <f t="shared" si="109"/>
        <v>0</v>
      </c>
      <c r="MN715" s="12">
        <f t="shared" si="109"/>
        <v>0</v>
      </c>
      <c r="MO715" s="12">
        <f t="shared" si="109"/>
        <v>1</v>
      </c>
      <c r="MP715" s="12">
        <f t="shared" si="109"/>
        <v>0</v>
      </c>
      <c r="MQ715" s="12">
        <f t="shared" si="109"/>
        <v>1</v>
      </c>
      <c r="QX715" s="560">
        <v>46239.0</v>
      </c>
    </row>
    <row r="716">
      <c r="A716" s="12"/>
      <c r="B716" s="12"/>
      <c r="C716" s="12"/>
      <c r="D716" s="12"/>
      <c r="E716" s="58"/>
      <c r="F716" s="12"/>
      <c r="G716" s="12"/>
      <c r="H716" s="12"/>
      <c r="I716" s="143">
        <f t="shared" si="22"/>
        <v>-18</v>
      </c>
      <c r="J716" s="537">
        <v>46245.0</v>
      </c>
      <c r="K716" s="294" t="s">
        <v>48</v>
      </c>
      <c r="L716" s="108"/>
      <c r="M716" s="86" t="s">
        <v>107</v>
      </c>
      <c r="N716" s="86">
        <v>357.0</v>
      </c>
      <c r="O716" s="86">
        <v>30.0</v>
      </c>
      <c r="U716" s="162" t="s">
        <v>3025</v>
      </c>
      <c r="V716" s="538" t="s">
        <v>3064</v>
      </c>
      <c r="W716" s="185" t="s">
        <v>3714</v>
      </c>
      <c r="X716" s="140"/>
      <c r="Y716" s="166">
        <f t="shared" si="23"/>
        <v>18</v>
      </c>
      <c r="Z716" s="26">
        <f t="shared" si="7"/>
        <v>0</v>
      </c>
      <c r="AA716" s="26">
        <f t="shared" si="8"/>
        <v>0</v>
      </c>
      <c r="AB716" s="26">
        <f t="shared" si="9"/>
        <v>0</v>
      </c>
      <c r="AC716" s="156">
        <v>0.0</v>
      </c>
      <c r="AD716" s="156">
        <v>0.0</v>
      </c>
      <c r="AE716" s="156">
        <v>0.0</v>
      </c>
      <c r="AF716" s="156">
        <v>0.0</v>
      </c>
      <c r="AG716" s="156">
        <v>0.0</v>
      </c>
      <c r="AH716" s="156">
        <v>0.0</v>
      </c>
      <c r="BN716" s="155">
        <v>0.0</v>
      </c>
      <c r="BO716" s="155">
        <v>0.0</v>
      </c>
      <c r="BP716" s="155">
        <v>0.0</v>
      </c>
      <c r="BQ716" s="155">
        <v>0.0</v>
      </c>
      <c r="BR716" s="155">
        <v>0.0</v>
      </c>
      <c r="BS716" s="155">
        <v>0.0</v>
      </c>
      <c r="CV716" s="156">
        <v>0.0</v>
      </c>
      <c r="CW716" s="156">
        <v>0.0</v>
      </c>
      <c r="CX716" s="156">
        <v>0.0</v>
      </c>
      <c r="CY716" s="156">
        <v>0.0</v>
      </c>
      <c r="CZ716" s="156">
        <v>0.0</v>
      </c>
      <c r="DA716" s="156">
        <v>0.0</v>
      </c>
      <c r="EG716" s="156">
        <v>0.0</v>
      </c>
      <c r="EH716" s="156">
        <v>0.0</v>
      </c>
      <c r="EI716" s="156">
        <v>0.0</v>
      </c>
      <c r="EJ716" s="156">
        <v>0.0</v>
      </c>
      <c r="EK716" s="156">
        <v>0.0</v>
      </c>
      <c r="EL716" s="156">
        <v>0.0</v>
      </c>
      <c r="FQ716" s="156">
        <v>0.0</v>
      </c>
      <c r="FR716" s="156">
        <v>0.0</v>
      </c>
      <c r="FS716" s="156">
        <v>0.0</v>
      </c>
      <c r="FT716" s="156">
        <v>0.0</v>
      </c>
      <c r="FU716" s="156">
        <v>0.0</v>
      </c>
      <c r="FV716" s="156">
        <v>0.0</v>
      </c>
      <c r="FW716" s="157"/>
      <c r="FX716" s="157"/>
      <c r="FY716" s="157"/>
      <c r="FZ716" s="157"/>
      <c r="GA716" s="157"/>
      <c r="GB716" s="157"/>
      <c r="GC716" s="157"/>
      <c r="GD716" s="157"/>
      <c r="GE716" s="157"/>
      <c r="GF716" s="157"/>
      <c r="GG716" s="157"/>
      <c r="GH716" s="157"/>
      <c r="GI716" s="157"/>
      <c r="GJ716" s="157"/>
      <c r="GK716" s="157"/>
      <c r="GL716" s="157"/>
      <c r="GM716" s="157"/>
      <c r="GN716" s="157"/>
      <c r="GO716" s="157"/>
      <c r="GP716" s="158"/>
      <c r="GQ716" s="157"/>
      <c r="GR716" s="157"/>
      <c r="GS716" s="157"/>
      <c r="GT716" s="157"/>
      <c r="GU716" s="157"/>
      <c r="GV716" s="157"/>
      <c r="GW716" s="157"/>
      <c r="GX716" s="157"/>
      <c r="GY716" s="157"/>
      <c r="GZ716" s="157"/>
      <c r="HA716" s="157"/>
      <c r="HB716" s="155">
        <v>0.0</v>
      </c>
      <c r="HC716" s="155">
        <v>0.0</v>
      </c>
      <c r="HD716" s="155">
        <v>0.0</v>
      </c>
      <c r="HE716" s="155">
        <v>0.0</v>
      </c>
      <c r="HF716" s="155">
        <v>0.0</v>
      </c>
      <c r="HG716" s="155">
        <v>0.0</v>
      </c>
      <c r="IL716" s="159">
        <v>0.0</v>
      </c>
      <c r="IM716" s="156">
        <v>0.0</v>
      </c>
      <c r="IN716" s="156">
        <v>0.0</v>
      </c>
      <c r="IO716" s="156">
        <v>0.0</v>
      </c>
      <c r="IP716" s="156">
        <v>0.0</v>
      </c>
      <c r="IQ716" s="160">
        <v>0.0</v>
      </c>
      <c r="JH716" s="25"/>
      <c r="JW716" s="159">
        <v>8.0</v>
      </c>
      <c r="JX716" s="156">
        <v>0.0</v>
      </c>
      <c r="JY716" s="156">
        <v>0.0</v>
      </c>
      <c r="JZ716" s="156">
        <v>0.0</v>
      </c>
      <c r="KA716" s="156">
        <v>0.0</v>
      </c>
      <c r="KB716" s="160">
        <v>0.0</v>
      </c>
      <c r="KC716" s="172"/>
      <c r="KD716" s="172"/>
      <c r="KE716" s="172"/>
      <c r="KF716" s="172"/>
      <c r="KG716" s="172"/>
      <c r="KH716" s="172"/>
      <c r="KI716" s="172"/>
      <c r="KJ716" s="172"/>
      <c r="KK716" s="172"/>
      <c r="KL716" s="172"/>
      <c r="KM716" s="172">
        <v>1.0</v>
      </c>
      <c r="KN716" s="172"/>
      <c r="KO716" s="172">
        <v>1.0</v>
      </c>
      <c r="KP716" s="172"/>
      <c r="KQ716" s="172"/>
      <c r="KR716" s="172"/>
      <c r="KS716" s="432"/>
      <c r="KT716" s="172">
        <v>1.0</v>
      </c>
      <c r="KU716" s="172"/>
      <c r="KV716" s="172">
        <v>1.0</v>
      </c>
      <c r="KW716" s="172"/>
      <c r="KX716" s="172">
        <v>1.0</v>
      </c>
      <c r="KY716" s="172"/>
      <c r="KZ716" s="172"/>
      <c r="LA716" s="172">
        <v>1.0</v>
      </c>
      <c r="LB716" s="172"/>
      <c r="LC716" s="172">
        <v>1.0</v>
      </c>
      <c r="LD716" s="172"/>
      <c r="LE716" s="172">
        <v>1.0</v>
      </c>
      <c r="LF716" s="172"/>
      <c r="LG716" s="172"/>
      <c r="LH716" s="159">
        <f t="shared" si="10"/>
        <v>10</v>
      </c>
      <c r="LI716" s="156">
        <f t="shared" si="11"/>
        <v>0</v>
      </c>
      <c r="LJ716" s="156">
        <f t="shared" si="12"/>
        <v>0</v>
      </c>
      <c r="LK716" s="156">
        <f t="shared" si="13"/>
        <v>0</v>
      </c>
      <c r="LL716" s="156">
        <f t="shared" si="14"/>
        <v>0</v>
      </c>
      <c r="LM716" s="160">
        <f t="shared" si="15"/>
        <v>0</v>
      </c>
      <c r="LP716" s="189">
        <v>1.0</v>
      </c>
      <c r="LR716" s="189">
        <v>1.0</v>
      </c>
      <c r="LU716" s="189">
        <v>1.0</v>
      </c>
      <c r="LW716" s="12">
        <f t="shared" ref="LW716:MQ716" si="110">IFS(TODAY()&lt;=LC$2,0,WEEKDAY(LC$2)=2,0,WEEKDAY(LC$2)=3,1,WEEKDAY(LC$2)=4,0,WEEKDAY(LC$2)=5,1,WEEKDAY(LC$2)=6,0,WEEKDAY(LC$2)=7,1,WEEKDAY(LC$2)=1,0)</f>
        <v>1</v>
      </c>
      <c r="LX716" s="12">
        <f t="shared" si="110"/>
        <v>0</v>
      </c>
      <c r="LY716" s="12">
        <f t="shared" si="110"/>
        <v>1</v>
      </c>
      <c r="LZ716" s="12">
        <f t="shared" si="110"/>
        <v>0</v>
      </c>
      <c r="MA716" s="12">
        <f t="shared" si="110"/>
        <v>0</v>
      </c>
      <c r="MB716" s="12">
        <f t="shared" si="110"/>
        <v>0</v>
      </c>
      <c r="MC716" s="12">
        <f t="shared" si="110"/>
        <v>0</v>
      </c>
      <c r="MD716" s="12">
        <f t="shared" si="110"/>
        <v>0</v>
      </c>
      <c r="ME716" s="12">
        <f t="shared" si="110"/>
        <v>0</v>
      </c>
      <c r="MF716" s="12">
        <f t="shared" si="110"/>
        <v>0</v>
      </c>
      <c r="MG716" s="12">
        <f t="shared" si="110"/>
        <v>0</v>
      </c>
      <c r="MH716" s="12">
        <f t="shared" si="110"/>
        <v>1</v>
      </c>
      <c r="MI716" s="12">
        <f t="shared" si="110"/>
        <v>0</v>
      </c>
      <c r="MJ716" s="12">
        <f t="shared" si="110"/>
        <v>1</v>
      </c>
      <c r="MK716" s="12">
        <f t="shared" si="110"/>
        <v>0</v>
      </c>
      <c r="ML716" s="12">
        <f t="shared" si="110"/>
        <v>1</v>
      </c>
      <c r="MM716" s="12">
        <f t="shared" si="110"/>
        <v>0</v>
      </c>
      <c r="MN716" s="12">
        <f t="shared" si="110"/>
        <v>0</v>
      </c>
      <c r="MO716" s="12">
        <f t="shared" si="110"/>
        <v>1</v>
      </c>
      <c r="MP716" s="12">
        <f t="shared" si="110"/>
        <v>0</v>
      </c>
      <c r="MQ716" s="12">
        <f t="shared" si="110"/>
        <v>1</v>
      </c>
      <c r="QX716" s="560">
        <v>46239.0</v>
      </c>
    </row>
    <row r="717">
      <c r="A717" s="12"/>
      <c r="B717" s="12"/>
      <c r="C717" s="12"/>
      <c r="D717" s="12"/>
      <c r="E717" s="58"/>
      <c r="F717" s="12"/>
      <c r="G717" s="12"/>
      <c r="H717" s="12"/>
      <c r="I717" s="143">
        <f t="shared" si="22"/>
        <v>-4</v>
      </c>
      <c r="J717" s="537">
        <v>46248.0</v>
      </c>
      <c r="K717" s="164" t="s">
        <v>61</v>
      </c>
      <c r="L717" s="23">
        <v>46273.0</v>
      </c>
      <c r="M717" s="162" t="s">
        <v>435</v>
      </c>
      <c r="N717" s="188">
        <v>246.0</v>
      </c>
      <c r="O717" s="86">
        <v>30.0</v>
      </c>
      <c r="U717" s="162" t="s">
        <v>2724</v>
      </c>
      <c r="V717" s="538" t="s">
        <v>2813</v>
      </c>
      <c r="W717" s="185" t="s">
        <v>3715</v>
      </c>
      <c r="X717" s="140"/>
      <c r="Y717" s="166">
        <f t="shared" si="23"/>
        <v>4</v>
      </c>
      <c r="Z717" s="26">
        <f t="shared" si="7"/>
        <v>0</v>
      </c>
      <c r="AA717" s="26">
        <f t="shared" si="8"/>
        <v>0</v>
      </c>
      <c r="AB717" s="26">
        <f t="shared" si="9"/>
        <v>0</v>
      </c>
      <c r="AC717" s="156">
        <v>0.0</v>
      </c>
      <c r="AD717" s="156">
        <v>0.0</v>
      </c>
      <c r="AE717" s="156">
        <v>0.0</v>
      </c>
      <c r="AF717" s="156">
        <v>0.0</v>
      </c>
      <c r="AG717" s="156">
        <v>0.0</v>
      </c>
      <c r="AH717" s="156">
        <v>0.0</v>
      </c>
      <c r="BN717" s="155">
        <v>0.0</v>
      </c>
      <c r="BO717" s="155">
        <v>0.0</v>
      </c>
      <c r="BP717" s="155">
        <v>0.0</v>
      </c>
      <c r="BQ717" s="155">
        <v>0.0</v>
      </c>
      <c r="BR717" s="155">
        <v>0.0</v>
      </c>
      <c r="BS717" s="155">
        <v>0.0</v>
      </c>
      <c r="CV717" s="156">
        <v>0.0</v>
      </c>
      <c r="CW717" s="156">
        <v>0.0</v>
      </c>
      <c r="CX717" s="156">
        <v>0.0</v>
      </c>
      <c r="CY717" s="156">
        <v>0.0</v>
      </c>
      <c r="CZ717" s="156">
        <v>0.0</v>
      </c>
      <c r="DA717" s="156">
        <v>0.0</v>
      </c>
      <c r="EG717" s="156">
        <v>0.0</v>
      </c>
      <c r="EH717" s="156">
        <v>0.0</v>
      </c>
      <c r="EI717" s="156">
        <v>0.0</v>
      </c>
      <c r="EJ717" s="156">
        <v>0.0</v>
      </c>
      <c r="EK717" s="156">
        <v>0.0</v>
      </c>
      <c r="EL717" s="156">
        <v>0.0</v>
      </c>
      <c r="FQ717" s="156">
        <v>0.0</v>
      </c>
      <c r="FR717" s="156">
        <v>0.0</v>
      </c>
      <c r="FS717" s="156">
        <v>0.0</v>
      </c>
      <c r="FT717" s="156">
        <v>0.0</v>
      </c>
      <c r="FU717" s="156">
        <v>0.0</v>
      </c>
      <c r="FV717" s="156">
        <v>0.0</v>
      </c>
      <c r="FW717" s="157"/>
      <c r="FX717" s="157"/>
      <c r="FY717" s="157"/>
      <c r="FZ717" s="157"/>
      <c r="GA717" s="157"/>
      <c r="GB717" s="157"/>
      <c r="GC717" s="157"/>
      <c r="GD717" s="157"/>
      <c r="GE717" s="157"/>
      <c r="GF717" s="157"/>
      <c r="GG717" s="157"/>
      <c r="GH717" s="157"/>
      <c r="GI717" s="157"/>
      <c r="GJ717" s="157"/>
      <c r="GK717" s="157"/>
      <c r="GL717" s="157"/>
      <c r="GM717" s="157"/>
      <c r="GN717" s="157"/>
      <c r="GO717" s="157"/>
      <c r="GP717" s="158"/>
      <c r="GQ717" s="157"/>
      <c r="GR717" s="157"/>
      <c r="GS717" s="157"/>
      <c r="GT717" s="157"/>
      <c r="GU717" s="157"/>
      <c r="GV717" s="157"/>
      <c r="GW717" s="157"/>
      <c r="GX717" s="157"/>
      <c r="GY717" s="157"/>
      <c r="GZ717" s="157"/>
      <c r="HA717" s="157"/>
      <c r="HB717" s="155">
        <v>0.0</v>
      </c>
      <c r="HC717" s="155">
        <v>0.0</v>
      </c>
      <c r="HD717" s="155">
        <v>0.0</v>
      </c>
      <c r="HE717" s="155">
        <v>0.0</v>
      </c>
      <c r="HF717" s="155">
        <v>0.0</v>
      </c>
      <c r="HG717" s="155">
        <v>0.0</v>
      </c>
      <c r="IL717" s="159">
        <v>0.0</v>
      </c>
      <c r="IM717" s="156">
        <v>0.0</v>
      </c>
      <c r="IN717" s="156">
        <v>0.0</v>
      </c>
      <c r="IO717" s="156">
        <v>0.0</v>
      </c>
      <c r="IP717" s="156">
        <v>0.0</v>
      </c>
      <c r="IQ717" s="160">
        <v>0.0</v>
      </c>
      <c r="JH717" s="25"/>
      <c r="JW717" s="159">
        <v>1.0</v>
      </c>
      <c r="JX717" s="156">
        <v>0.0</v>
      </c>
      <c r="JY717" s="156">
        <v>0.0</v>
      </c>
      <c r="JZ717" s="156">
        <v>0.0</v>
      </c>
      <c r="KA717" s="156">
        <v>0.0</v>
      </c>
      <c r="KB717" s="160">
        <v>0.0</v>
      </c>
      <c r="KP717" s="86">
        <v>1.0</v>
      </c>
      <c r="KS717" s="178"/>
      <c r="KT717" s="174"/>
      <c r="KU717" s="174"/>
      <c r="KV717" s="174"/>
      <c r="KW717" s="174"/>
      <c r="KX717" s="174"/>
      <c r="KY717" s="174"/>
      <c r="KZ717" s="174"/>
      <c r="LA717" s="174"/>
      <c r="LB717" s="175"/>
      <c r="LC717" s="174"/>
      <c r="LD717" s="174"/>
      <c r="LE717" s="174"/>
      <c r="LF717" s="174"/>
      <c r="LG717" s="174"/>
      <c r="LH717" s="159">
        <f t="shared" si="10"/>
        <v>3</v>
      </c>
      <c r="LI717" s="156">
        <f t="shared" si="11"/>
        <v>0</v>
      </c>
      <c r="LJ717" s="156">
        <f t="shared" si="12"/>
        <v>0</v>
      </c>
      <c r="LK717" s="156">
        <f t="shared" si="13"/>
        <v>0</v>
      </c>
      <c r="LL717" s="156">
        <f t="shared" si="14"/>
        <v>0</v>
      </c>
      <c r="LM717" s="160">
        <f t="shared" si="15"/>
        <v>0</v>
      </c>
      <c r="LN717" s="174"/>
      <c r="LO717" s="174"/>
      <c r="LP717" s="174"/>
      <c r="LQ717" s="174"/>
      <c r="LR717" s="174"/>
      <c r="LS717" s="174"/>
      <c r="LT717" s="174"/>
      <c r="LU717" s="174"/>
      <c r="LV717" s="174"/>
      <c r="LW717" s="174">
        <f t="shared" ref="LW717:MQ717" si="111">IFS(TODAY()&lt;=LW$2,0,WEEKDAY(LW$2)=2,1,WEEKDAY(LW$2)=3,0,WEEKDAY(LW$2)=4,1,WEEKDAY(LW$2)=5,0,WEEKDAY(LW$2)=6,1,WEEKDAY(LW$2)=7,0,WEEKDAY(LW$2)=1,0)</f>
        <v>0</v>
      </c>
      <c r="LX717" s="174">
        <f t="shared" si="111"/>
        <v>1</v>
      </c>
      <c r="LY717" s="174">
        <f t="shared" si="111"/>
        <v>0</v>
      </c>
      <c r="LZ717" s="174">
        <f t="shared" si="111"/>
        <v>0</v>
      </c>
      <c r="MA717" s="174">
        <f t="shared" si="111"/>
        <v>1</v>
      </c>
      <c r="MB717" s="174">
        <f t="shared" si="111"/>
        <v>0</v>
      </c>
      <c r="MC717" s="174">
        <f t="shared" si="111"/>
        <v>1</v>
      </c>
      <c r="MD717" s="174">
        <f t="shared" si="111"/>
        <v>0</v>
      </c>
      <c r="ME717" s="174">
        <f t="shared" si="111"/>
        <v>0</v>
      </c>
      <c r="MF717" s="174">
        <f t="shared" si="111"/>
        <v>0</v>
      </c>
      <c r="MG717" s="174">
        <f t="shared" si="111"/>
        <v>0</v>
      </c>
      <c r="MH717" s="174">
        <f t="shared" si="111"/>
        <v>0</v>
      </c>
      <c r="MI717" s="174">
        <f t="shared" si="111"/>
        <v>0</v>
      </c>
      <c r="MJ717" s="174">
        <f t="shared" si="111"/>
        <v>0</v>
      </c>
      <c r="MK717" s="174">
        <f t="shared" si="111"/>
        <v>0</v>
      </c>
      <c r="ML717" s="174">
        <f t="shared" si="111"/>
        <v>0</v>
      </c>
      <c r="MM717" s="174">
        <f t="shared" si="111"/>
        <v>0</v>
      </c>
      <c r="MN717" s="174">
        <f t="shared" si="111"/>
        <v>0</v>
      </c>
      <c r="MO717" s="174">
        <f t="shared" si="111"/>
        <v>0</v>
      </c>
      <c r="MP717" s="174">
        <f t="shared" si="111"/>
        <v>0</v>
      </c>
      <c r="MQ717" s="174">
        <f t="shared" si="111"/>
        <v>0</v>
      </c>
      <c r="QX717" s="560">
        <v>46239.0</v>
      </c>
    </row>
    <row r="718">
      <c r="A718" s="12"/>
      <c r="B718" s="12"/>
      <c r="C718" s="12"/>
      <c r="D718" s="12"/>
      <c r="E718" s="12"/>
      <c r="F718" s="12"/>
      <c r="G718" s="12"/>
      <c r="H718" s="12"/>
      <c r="I718" s="143">
        <f t="shared" si="22"/>
        <v>-9</v>
      </c>
      <c r="J718" s="537">
        <v>46247.0</v>
      </c>
      <c r="K718" s="294" t="s">
        <v>48</v>
      </c>
      <c r="L718" s="108"/>
      <c r="M718" s="86" t="s">
        <v>400</v>
      </c>
      <c r="N718" s="86">
        <v>357.0</v>
      </c>
      <c r="O718" s="86">
        <v>30.0</v>
      </c>
      <c r="U718" s="162" t="s">
        <v>3433</v>
      </c>
      <c r="V718" s="538" t="s">
        <v>3434</v>
      </c>
      <c r="W718" s="185" t="s">
        <v>3716</v>
      </c>
      <c r="X718" s="140"/>
      <c r="Y718" s="166">
        <f t="shared" si="23"/>
        <v>9</v>
      </c>
      <c r="Z718" s="26">
        <f t="shared" si="7"/>
        <v>0</v>
      </c>
      <c r="AA718" s="26">
        <f t="shared" si="8"/>
        <v>0</v>
      </c>
      <c r="AB718" s="26">
        <f t="shared" si="9"/>
        <v>0</v>
      </c>
      <c r="AC718" s="156">
        <v>0.0</v>
      </c>
      <c r="AD718" s="156">
        <v>0.0</v>
      </c>
      <c r="AE718" s="156">
        <v>0.0</v>
      </c>
      <c r="AF718" s="156">
        <v>0.0</v>
      </c>
      <c r="AG718" s="156">
        <v>0.0</v>
      </c>
      <c r="AH718" s="156">
        <v>0.0</v>
      </c>
      <c r="BN718" s="155">
        <v>0.0</v>
      </c>
      <c r="BO718" s="155">
        <v>0.0</v>
      </c>
      <c r="BP718" s="155">
        <v>0.0</v>
      </c>
      <c r="BQ718" s="155">
        <v>0.0</v>
      </c>
      <c r="BR718" s="155">
        <v>0.0</v>
      </c>
      <c r="BS718" s="155">
        <v>0.0</v>
      </c>
      <c r="CV718" s="156">
        <v>0.0</v>
      </c>
      <c r="CW718" s="156">
        <v>0.0</v>
      </c>
      <c r="CX718" s="156">
        <v>0.0</v>
      </c>
      <c r="CY718" s="156">
        <v>0.0</v>
      </c>
      <c r="CZ718" s="156">
        <v>0.0</v>
      </c>
      <c r="DA718" s="156">
        <v>0.0</v>
      </c>
      <c r="EG718" s="156">
        <v>0.0</v>
      </c>
      <c r="EH718" s="156">
        <v>0.0</v>
      </c>
      <c r="EI718" s="156">
        <v>0.0</v>
      </c>
      <c r="EJ718" s="156">
        <v>0.0</v>
      </c>
      <c r="EK718" s="156">
        <v>0.0</v>
      </c>
      <c r="EL718" s="156">
        <v>0.0</v>
      </c>
      <c r="FQ718" s="156">
        <v>0.0</v>
      </c>
      <c r="FR718" s="156">
        <v>0.0</v>
      </c>
      <c r="FS718" s="156">
        <v>0.0</v>
      </c>
      <c r="FT718" s="156">
        <v>0.0</v>
      </c>
      <c r="FU718" s="156">
        <v>0.0</v>
      </c>
      <c r="FV718" s="156">
        <v>0.0</v>
      </c>
      <c r="FW718" s="157"/>
      <c r="FX718" s="157"/>
      <c r="FY718" s="157"/>
      <c r="FZ718" s="157"/>
      <c r="GA718" s="157"/>
      <c r="GB718" s="157"/>
      <c r="GC718" s="157"/>
      <c r="GD718" s="157"/>
      <c r="GE718" s="157"/>
      <c r="GF718" s="157"/>
      <c r="GG718" s="157"/>
      <c r="GH718" s="157"/>
      <c r="GI718" s="157"/>
      <c r="GJ718" s="157"/>
      <c r="GK718" s="157"/>
      <c r="GL718" s="157"/>
      <c r="GM718" s="157"/>
      <c r="GN718" s="157"/>
      <c r="GO718" s="157"/>
      <c r="GP718" s="158"/>
      <c r="GQ718" s="157"/>
      <c r="GR718" s="157"/>
      <c r="GS718" s="157"/>
      <c r="GT718" s="157"/>
      <c r="GU718" s="157"/>
      <c r="GV718" s="157"/>
      <c r="GW718" s="157"/>
      <c r="GX718" s="157"/>
      <c r="GY718" s="157"/>
      <c r="GZ718" s="157"/>
      <c r="HA718" s="157"/>
      <c r="HB718" s="155">
        <v>0.0</v>
      </c>
      <c r="HC718" s="155">
        <v>0.0</v>
      </c>
      <c r="HD718" s="155">
        <v>0.0</v>
      </c>
      <c r="HE718" s="155">
        <v>0.0</v>
      </c>
      <c r="HF718" s="155">
        <v>0.0</v>
      </c>
      <c r="HG718" s="155">
        <v>0.0</v>
      </c>
      <c r="IL718" s="159">
        <v>0.0</v>
      </c>
      <c r="IM718" s="156">
        <v>0.0</v>
      </c>
      <c r="IN718" s="156">
        <v>0.0</v>
      </c>
      <c r="IO718" s="156">
        <v>0.0</v>
      </c>
      <c r="IP718" s="156">
        <v>0.0</v>
      </c>
      <c r="IQ718" s="160">
        <v>0.0</v>
      </c>
      <c r="JH718" s="25"/>
      <c r="JW718" s="159">
        <v>1.0</v>
      </c>
      <c r="JX718" s="156">
        <v>0.0</v>
      </c>
      <c r="JY718" s="156">
        <v>0.0</v>
      </c>
      <c r="JZ718" s="156">
        <v>0.0</v>
      </c>
      <c r="KA718" s="156">
        <v>0.0</v>
      </c>
      <c r="KB718" s="160">
        <v>0.0</v>
      </c>
      <c r="KO718" s="86">
        <v>1.0</v>
      </c>
      <c r="KS718" s="178"/>
      <c r="KT718" s="172"/>
      <c r="KU718" s="172"/>
      <c r="KV718" s="172"/>
      <c r="KW718" s="172"/>
      <c r="KX718" s="172"/>
      <c r="KY718" s="172"/>
      <c r="KZ718" s="172"/>
      <c r="LA718" s="172"/>
      <c r="LB718" s="172"/>
      <c r="LC718" s="172"/>
      <c r="LD718" s="172"/>
      <c r="LE718" s="172"/>
      <c r="LF718" s="172"/>
      <c r="LG718" s="172"/>
      <c r="LH718" s="159">
        <f t="shared" si="10"/>
        <v>8</v>
      </c>
      <c r="LI718" s="156">
        <f t="shared" si="11"/>
        <v>0</v>
      </c>
      <c r="LJ718" s="156">
        <f t="shared" si="12"/>
        <v>0</v>
      </c>
      <c r="LK718" s="156">
        <f t="shared" si="13"/>
        <v>0</v>
      </c>
      <c r="LL718" s="156">
        <f t="shared" si="14"/>
        <v>0</v>
      </c>
      <c r="LM718" s="160">
        <f t="shared" si="15"/>
        <v>0</v>
      </c>
      <c r="LU718" s="189">
        <v>1.0</v>
      </c>
      <c r="LW718" s="12">
        <f t="shared" ref="LW718:MQ718" si="112">IFS(TODAY()&lt;=LC$2,0,WEEKDAY(LC$2)=2,0,WEEKDAY(LC$2)=3,1,WEEKDAY(LC$2)=4,0,WEEKDAY(LC$2)=5,1,WEEKDAY(LC$2)=6,0,WEEKDAY(LC$2)=7,1,WEEKDAY(LC$2)=1,0)</f>
        <v>1</v>
      </c>
      <c r="LX718" s="12">
        <f t="shared" si="112"/>
        <v>0</v>
      </c>
      <c r="LY718" s="12">
        <f t="shared" si="112"/>
        <v>1</v>
      </c>
      <c r="LZ718" s="12">
        <f t="shared" si="112"/>
        <v>0</v>
      </c>
      <c r="MA718" s="12">
        <f t="shared" si="112"/>
        <v>0</v>
      </c>
      <c r="MB718" s="12">
        <f t="shared" si="112"/>
        <v>0</v>
      </c>
      <c r="MC718" s="12">
        <f t="shared" si="112"/>
        <v>0</v>
      </c>
      <c r="MD718" s="12">
        <f t="shared" si="112"/>
        <v>0</v>
      </c>
      <c r="ME718" s="12">
        <f t="shared" si="112"/>
        <v>0</v>
      </c>
      <c r="MF718" s="12">
        <f t="shared" si="112"/>
        <v>0</v>
      </c>
      <c r="MG718" s="12">
        <f t="shared" si="112"/>
        <v>0</v>
      </c>
      <c r="MH718" s="12">
        <f t="shared" si="112"/>
        <v>1</v>
      </c>
      <c r="MI718" s="12">
        <f t="shared" si="112"/>
        <v>0</v>
      </c>
      <c r="MJ718" s="12">
        <f t="shared" si="112"/>
        <v>1</v>
      </c>
      <c r="MK718" s="12">
        <f t="shared" si="112"/>
        <v>0</v>
      </c>
      <c r="ML718" s="12">
        <f t="shared" si="112"/>
        <v>1</v>
      </c>
      <c r="MM718" s="12">
        <f t="shared" si="112"/>
        <v>0</v>
      </c>
      <c r="MN718" s="12">
        <f t="shared" si="112"/>
        <v>0</v>
      </c>
      <c r="MO718" s="12">
        <f t="shared" si="112"/>
        <v>1</v>
      </c>
      <c r="MP718" s="12">
        <f t="shared" si="112"/>
        <v>0</v>
      </c>
      <c r="MQ718" s="12">
        <f t="shared" si="112"/>
        <v>1</v>
      </c>
      <c r="QX718" s="560">
        <v>46240.0</v>
      </c>
    </row>
    <row r="719">
      <c r="A719" s="12"/>
      <c r="B719" s="12"/>
      <c r="C719" s="12"/>
      <c r="D719" s="12"/>
      <c r="E719" s="58"/>
      <c r="F719" s="12"/>
      <c r="G719" s="12"/>
      <c r="H719" s="12"/>
      <c r="I719" s="143">
        <f t="shared" si="22"/>
        <v>-11</v>
      </c>
      <c r="J719" s="537">
        <v>46247.0</v>
      </c>
      <c r="K719" s="294" t="s">
        <v>48</v>
      </c>
      <c r="L719" s="108"/>
      <c r="M719" s="86" t="s">
        <v>400</v>
      </c>
      <c r="N719" s="86">
        <v>357.0</v>
      </c>
      <c r="O719" s="86">
        <v>30.0</v>
      </c>
      <c r="U719" s="162" t="s">
        <v>3717</v>
      </c>
      <c r="V719" s="538" t="s">
        <v>3565</v>
      </c>
      <c r="W719" s="185" t="s">
        <v>3718</v>
      </c>
      <c r="X719" s="140"/>
      <c r="Y719" s="166">
        <f t="shared" si="23"/>
        <v>11</v>
      </c>
      <c r="Z719" s="26">
        <f t="shared" si="7"/>
        <v>0</v>
      </c>
      <c r="AA719" s="26">
        <f t="shared" si="8"/>
        <v>0</v>
      </c>
      <c r="AB719" s="26">
        <f t="shared" si="9"/>
        <v>0</v>
      </c>
      <c r="AC719" s="156">
        <v>0.0</v>
      </c>
      <c r="AD719" s="156">
        <v>0.0</v>
      </c>
      <c r="AE719" s="156">
        <v>0.0</v>
      </c>
      <c r="AF719" s="156">
        <v>0.0</v>
      </c>
      <c r="AG719" s="156">
        <v>0.0</v>
      </c>
      <c r="AH719" s="156">
        <v>0.0</v>
      </c>
      <c r="BN719" s="155">
        <v>0.0</v>
      </c>
      <c r="BO719" s="155">
        <v>0.0</v>
      </c>
      <c r="BP719" s="155">
        <v>0.0</v>
      </c>
      <c r="BQ719" s="155">
        <v>0.0</v>
      </c>
      <c r="BR719" s="155">
        <v>0.0</v>
      </c>
      <c r="BS719" s="155">
        <v>0.0</v>
      </c>
      <c r="CV719" s="156">
        <v>0.0</v>
      </c>
      <c r="CW719" s="156">
        <v>0.0</v>
      </c>
      <c r="CX719" s="156">
        <v>0.0</v>
      </c>
      <c r="CY719" s="156">
        <v>0.0</v>
      </c>
      <c r="CZ719" s="156">
        <v>0.0</v>
      </c>
      <c r="DA719" s="156">
        <v>0.0</v>
      </c>
      <c r="EG719" s="156">
        <v>0.0</v>
      </c>
      <c r="EH719" s="156">
        <v>0.0</v>
      </c>
      <c r="EI719" s="156">
        <v>0.0</v>
      </c>
      <c r="EJ719" s="156">
        <v>0.0</v>
      </c>
      <c r="EK719" s="156">
        <v>0.0</v>
      </c>
      <c r="EL719" s="156">
        <v>0.0</v>
      </c>
      <c r="FQ719" s="156">
        <v>0.0</v>
      </c>
      <c r="FR719" s="156">
        <v>0.0</v>
      </c>
      <c r="FS719" s="156">
        <v>0.0</v>
      </c>
      <c r="FT719" s="156">
        <v>0.0</v>
      </c>
      <c r="FU719" s="156">
        <v>0.0</v>
      </c>
      <c r="FV719" s="156">
        <v>0.0</v>
      </c>
      <c r="FW719" s="157"/>
      <c r="FX719" s="157"/>
      <c r="FY719" s="157"/>
      <c r="FZ719" s="157"/>
      <c r="GA719" s="157"/>
      <c r="GB719" s="157"/>
      <c r="GC719" s="157"/>
      <c r="GD719" s="157"/>
      <c r="GE719" s="157"/>
      <c r="GF719" s="157"/>
      <c r="GG719" s="157"/>
      <c r="GH719" s="157"/>
      <c r="GI719" s="157"/>
      <c r="GJ719" s="157"/>
      <c r="GK719" s="157"/>
      <c r="GL719" s="157"/>
      <c r="GM719" s="157"/>
      <c r="GN719" s="157"/>
      <c r="GO719" s="157"/>
      <c r="GP719" s="158"/>
      <c r="GQ719" s="157"/>
      <c r="GR719" s="157"/>
      <c r="GS719" s="157"/>
      <c r="GT719" s="157"/>
      <c r="GU719" s="157"/>
      <c r="GV719" s="157"/>
      <c r="GW719" s="157"/>
      <c r="GX719" s="157"/>
      <c r="GY719" s="157"/>
      <c r="GZ719" s="157"/>
      <c r="HA719" s="157"/>
      <c r="HB719" s="155">
        <v>0.0</v>
      </c>
      <c r="HC719" s="155">
        <v>0.0</v>
      </c>
      <c r="HD719" s="155">
        <v>0.0</v>
      </c>
      <c r="HE719" s="155">
        <v>0.0</v>
      </c>
      <c r="HF719" s="155">
        <v>0.0</v>
      </c>
      <c r="HG719" s="155">
        <v>0.0</v>
      </c>
      <c r="IL719" s="159">
        <v>0.0</v>
      </c>
      <c r="IM719" s="156">
        <v>0.0</v>
      </c>
      <c r="IN719" s="156">
        <v>0.0</v>
      </c>
      <c r="IO719" s="156">
        <v>0.0</v>
      </c>
      <c r="IP719" s="156">
        <v>0.0</v>
      </c>
      <c r="IQ719" s="160">
        <v>0.0</v>
      </c>
      <c r="JH719" s="25"/>
      <c r="JW719" s="159">
        <v>4.0</v>
      </c>
      <c r="JX719" s="156">
        <v>0.0</v>
      </c>
      <c r="JY719" s="156">
        <v>0.0</v>
      </c>
      <c r="JZ719" s="156">
        <v>0.0</v>
      </c>
      <c r="KA719" s="156">
        <v>0.0</v>
      </c>
      <c r="KB719" s="160">
        <v>0.0</v>
      </c>
      <c r="KO719" s="86">
        <v>1.0</v>
      </c>
      <c r="KQ719" s="86">
        <v>1.0</v>
      </c>
      <c r="KS719" s="178"/>
      <c r="KT719" s="172"/>
      <c r="KU719" s="172">
        <v>1.0</v>
      </c>
      <c r="KV719" s="172">
        <v>1.0</v>
      </c>
      <c r="KW719" s="172"/>
      <c r="KX719" s="172"/>
      <c r="KY719" s="172"/>
      <c r="KZ719" s="172"/>
      <c r="LA719" s="172"/>
      <c r="LB719" s="172"/>
      <c r="LC719" s="172"/>
      <c r="LD719" s="172"/>
      <c r="LE719" s="172"/>
      <c r="LF719" s="172"/>
      <c r="LG719" s="172"/>
      <c r="LH719" s="159">
        <f t="shared" si="10"/>
        <v>7</v>
      </c>
      <c r="LI719" s="156">
        <f t="shared" si="11"/>
        <v>0</v>
      </c>
      <c r="LJ719" s="156">
        <f t="shared" si="12"/>
        <v>0</v>
      </c>
      <c r="LK719" s="156">
        <f t="shared" si="13"/>
        <v>0</v>
      </c>
      <c r="LL719" s="156">
        <f t="shared" si="14"/>
        <v>0</v>
      </c>
      <c r="LM719" s="160">
        <f t="shared" si="15"/>
        <v>0</v>
      </c>
      <c r="LW719" s="12">
        <f t="shared" ref="LW719:MQ719" si="113">IFS(TODAY()&lt;=LC$2,0,WEEKDAY(LC$2)=2,0,WEEKDAY(LC$2)=3,1,WEEKDAY(LC$2)=4,0,WEEKDAY(LC$2)=5,1,WEEKDAY(LC$2)=6,0,WEEKDAY(LC$2)=7,1,WEEKDAY(LC$2)=1,0)</f>
        <v>1</v>
      </c>
      <c r="LX719" s="12">
        <f t="shared" si="113"/>
        <v>0</v>
      </c>
      <c r="LY719" s="12">
        <f t="shared" si="113"/>
        <v>1</v>
      </c>
      <c r="LZ719" s="12">
        <f t="shared" si="113"/>
        <v>0</v>
      </c>
      <c r="MA719" s="12">
        <f t="shared" si="113"/>
        <v>0</v>
      </c>
      <c r="MB719" s="12">
        <f t="shared" si="113"/>
        <v>0</v>
      </c>
      <c r="MC719" s="12">
        <f t="shared" si="113"/>
        <v>0</v>
      </c>
      <c r="MD719" s="12">
        <f t="shared" si="113"/>
        <v>0</v>
      </c>
      <c r="ME719" s="12">
        <f t="shared" si="113"/>
        <v>0</v>
      </c>
      <c r="MF719" s="12">
        <f t="shared" si="113"/>
        <v>0</v>
      </c>
      <c r="MG719" s="12">
        <f t="shared" si="113"/>
        <v>0</v>
      </c>
      <c r="MH719" s="12">
        <f t="shared" si="113"/>
        <v>1</v>
      </c>
      <c r="MI719" s="12">
        <f t="shared" si="113"/>
        <v>0</v>
      </c>
      <c r="MJ719" s="12">
        <f t="shared" si="113"/>
        <v>1</v>
      </c>
      <c r="MK719" s="12">
        <f t="shared" si="113"/>
        <v>0</v>
      </c>
      <c r="ML719" s="12">
        <f t="shared" si="113"/>
        <v>1</v>
      </c>
      <c r="MM719" s="12">
        <f t="shared" si="113"/>
        <v>0</v>
      </c>
      <c r="MN719" s="12">
        <f t="shared" si="113"/>
        <v>0</v>
      </c>
      <c r="MO719" s="12">
        <f t="shared" si="113"/>
        <v>1</v>
      </c>
      <c r="MP719" s="12">
        <f t="shared" si="113"/>
        <v>0</v>
      </c>
      <c r="MQ719" s="12">
        <f t="shared" si="113"/>
        <v>1</v>
      </c>
      <c r="QX719" s="560">
        <v>46240.0</v>
      </c>
    </row>
    <row r="720">
      <c r="A720" s="12"/>
      <c r="B720" s="12"/>
      <c r="C720" s="12"/>
      <c r="D720" s="12"/>
      <c r="E720" s="12"/>
      <c r="F720" s="12"/>
      <c r="G720" s="12"/>
      <c r="H720" s="12"/>
      <c r="I720" s="143">
        <f t="shared" si="22"/>
        <v>-11</v>
      </c>
      <c r="J720" s="537">
        <v>46246.0</v>
      </c>
      <c r="K720" s="630" t="s">
        <v>48</v>
      </c>
      <c r="L720" s="543" t="s">
        <v>3485</v>
      </c>
      <c r="M720" s="162" t="s">
        <v>339</v>
      </c>
      <c r="N720" s="188">
        <v>246.0</v>
      </c>
      <c r="O720" s="86">
        <v>30.0</v>
      </c>
      <c r="U720" s="162" t="s">
        <v>3573</v>
      </c>
      <c r="V720" s="538" t="s">
        <v>3540</v>
      </c>
      <c r="W720" s="185" t="s">
        <v>3719</v>
      </c>
      <c r="X720" s="140"/>
      <c r="Y720" s="166">
        <f t="shared" si="23"/>
        <v>11</v>
      </c>
      <c r="Z720" s="26">
        <f t="shared" si="7"/>
        <v>0</v>
      </c>
      <c r="AA720" s="26">
        <f t="shared" si="8"/>
        <v>0</v>
      </c>
      <c r="AB720" s="26">
        <f t="shared" si="9"/>
        <v>0</v>
      </c>
      <c r="AC720" s="156">
        <v>0.0</v>
      </c>
      <c r="AD720" s="156">
        <v>0.0</v>
      </c>
      <c r="AE720" s="156">
        <v>0.0</v>
      </c>
      <c r="AF720" s="156">
        <v>0.0</v>
      </c>
      <c r="AG720" s="156">
        <v>0.0</v>
      </c>
      <c r="AH720" s="156">
        <v>0.0</v>
      </c>
      <c r="BN720" s="155">
        <v>0.0</v>
      </c>
      <c r="BO720" s="155">
        <v>0.0</v>
      </c>
      <c r="BP720" s="155">
        <v>0.0</v>
      </c>
      <c r="BQ720" s="155">
        <v>0.0</v>
      </c>
      <c r="BR720" s="155">
        <v>0.0</v>
      </c>
      <c r="BS720" s="155">
        <v>0.0</v>
      </c>
      <c r="CV720" s="156">
        <v>0.0</v>
      </c>
      <c r="CW720" s="156">
        <v>0.0</v>
      </c>
      <c r="CX720" s="156">
        <v>0.0</v>
      </c>
      <c r="CY720" s="156">
        <v>0.0</v>
      </c>
      <c r="CZ720" s="156">
        <v>0.0</v>
      </c>
      <c r="DA720" s="156">
        <v>0.0</v>
      </c>
      <c r="EG720" s="156">
        <v>0.0</v>
      </c>
      <c r="EH720" s="156">
        <v>0.0</v>
      </c>
      <c r="EI720" s="156">
        <v>0.0</v>
      </c>
      <c r="EJ720" s="156">
        <v>0.0</v>
      </c>
      <c r="EK720" s="156">
        <v>0.0</v>
      </c>
      <c r="EL720" s="156">
        <v>0.0</v>
      </c>
      <c r="FQ720" s="156">
        <v>0.0</v>
      </c>
      <c r="FR720" s="156">
        <v>0.0</v>
      </c>
      <c r="FS720" s="156">
        <v>0.0</v>
      </c>
      <c r="FT720" s="156">
        <v>0.0</v>
      </c>
      <c r="FU720" s="156">
        <v>0.0</v>
      </c>
      <c r="FV720" s="156">
        <v>0.0</v>
      </c>
      <c r="FW720" s="157"/>
      <c r="FX720" s="157"/>
      <c r="FY720" s="157"/>
      <c r="FZ720" s="157"/>
      <c r="GA720" s="157"/>
      <c r="GB720" s="157"/>
      <c r="GC720" s="157"/>
      <c r="GD720" s="157"/>
      <c r="GE720" s="157"/>
      <c r="GF720" s="157"/>
      <c r="GG720" s="157"/>
      <c r="GH720" s="157"/>
      <c r="GI720" s="157"/>
      <c r="GJ720" s="157"/>
      <c r="GK720" s="157"/>
      <c r="GL720" s="157"/>
      <c r="GM720" s="157"/>
      <c r="GN720" s="157"/>
      <c r="GO720" s="157"/>
      <c r="GP720" s="158"/>
      <c r="GQ720" s="157"/>
      <c r="GR720" s="157"/>
      <c r="GS720" s="157"/>
      <c r="GT720" s="157"/>
      <c r="GU720" s="157"/>
      <c r="GV720" s="157"/>
      <c r="GW720" s="157"/>
      <c r="GX720" s="157"/>
      <c r="GY720" s="157"/>
      <c r="GZ720" s="157"/>
      <c r="HA720" s="157"/>
      <c r="HB720" s="155">
        <v>0.0</v>
      </c>
      <c r="HC720" s="155">
        <v>0.0</v>
      </c>
      <c r="HD720" s="155">
        <v>0.0</v>
      </c>
      <c r="HE720" s="155">
        <v>0.0</v>
      </c>
      <c r="HF720" s="155">
        <v>0.0</v>
      </c>
      <c r="HG720" s="155">
        <v>0.0</v>
      </c>
      <c r="IL720" s="159">
        <v>0.0</v>
      </c>
      <c r="IM720" s="156">
        <v>0.0</v>
      </c>
      <c r="IN720" s="156">
        <v>0.0</v>
      </c>
      <c r="IO720" s="156">
        <v>0.0</v>
      </c>
      <c r="IP720" s="156">
        <v>0.0</v>
      </c>
      <c r="IQ720" s="160">
        <v>0.0</v>
      </c>
      <c r="JH720" s="25"/>
      <c r="JW720" s="159">
        <v>6.0</v>
      </c>
      <c r="JX720" s="156">
        <v>0.0</v>
      </c>
      <c r="JY720" s="156">
        <v>0.0</v>
      </c>
      <c r="JZ720" s="156">
        <v>0.0</v>
      </c>
      <c r="KA720" s="156">
        <v>0.0</v>
      </c>
      <c r="KB720" s="160">
        <v>0.0</v>
      </c>
      <c r="KN720" s="175">
        <v>1.0</v>
      </c>
      <c r="KO720" s="174"/>
      <c r="KP720" s="175">
        <v>1.0</v>
      </c>
      <c r="KQ720" s="174"/>
      <c r="KR720" s="174"/>
      <c r="KS720" s="472"/>
      <c r="KT720" s="174"/>
      <c r="KU720" s="175">
        <v>1.0</v>
      </c>
      <c r="KV720" s="174"/>
      <c r="KW720" s="175">
        <v>1.0</v>
      </c>
      <c r="KX720" s="174"/>
      <c r="KY720" s="174"/>
      <c r="KZ720" s="174"/>
      <c r="LA720" s="174"/>
      <c r="LB720" s="175">
        <v>1.0</v>
      </c>
      <c r="LC720" s="174"/>
      <c r="LD720" s="175">
        <v>1.0</v>
      </c>
      <c r="LE720" s="174"/>
      <c r="LF720" s="174"/>
      <c r="LG720" s="174"/>
      <c r="LH720" s="159">
        <f t="shared" si="10"/>
        <v>5</v>
      </c>
      <c r="LI720" s="156">
        <f t="shared" si="11"/>
        <v>0</v>
      </c>
      <c r="LJ720" s="156">
        <f t="shared" si="12"/>
        <v>0</v>
      </c>
      <c r="LK720" s="156">
        <f t="shared" si="13"/>
        <v>0</v>
      </c>
      <c r="LL720" s="156">
        <f t="shared" si="14"/>
        <v>0</v>
      </c>
      <c r="LM720" s="160">
        <f t="shared" si="15"/>
        <v>0</v>
      </c>
      <c r="LN720" s="174"/>
      <c r="LO720" s="174"/>
      <c r="LP720" s="174"/>
      <c r="LQ720" s="187">
        <v>1.0</v>
      </c>
      <c r="LR720" s="174"/>
      <c r="LS720" s="174"/>
      <c r="LT720" s="187">
        <v>1.0</v>
      </c>
      <c r="LU720" s="174"/>
      <c r="LV720" s="174"/>
      <c r="LW720" s="174">
        <f t="shared" ref="LW720:MQ720" si="114">IFS(TODAY()&lt;=LW$2,0,WEEKDAY(LW$2)=2,1,WEEKDAY(LW$2)=3,0,WEEKDAY(LW$2)=4,1,WEEKDAY(LW$2)=5,0,WEEKDAY(LW$2)=6,1,WEEKDAY(LW$2)=7,0,WEEKDAY(LW$2)=1,0)</f>
        <v>0</v>
      </c>
      <c r="LX720" s="174">
        <f t="shared" si="114"/>
        <v>1</v>
      </c>
      <c r="LY720" s="174">
        <f t="shared" si="114"/>
        <v>0</v>
      </c>
      <c r="LZ720" s="174">
        <f t="shared" si="114"/>
        <v>0</v>
      </c>
      <c r="MA720" s="174">
        <f t="shared" si="114"/>
        <v>1</v>
      </c>
      <c r="MB720" s="174">
        <f t="shared" si="114"/>
        <v>0</v>
      </c>
      <c r="MC720" s="174">
        <f t="shared" si="114"/>
        <v>1</v>
      </c>
      <c r="MD720" s="174">
        <f t="shared" si="114"/>
        <v>0</v>
      </c>
      <c r="ME720" s="174">
        <f t="shared" si="114"/>
        <v>0</v>
      </c>
      <c r="MF720" s="174">
        <f t="shared" si="114"/>
        <v>0</v>
      </c>
      <c r="MG720" s="174">
        <f t="shared" si="114"/>
        <v>0</v>
      </c>
      <c r="MH720" s="174">
        <f t="shared" si="114"/>
        <v>0</v>
      </c>
      <c r="MI720" s="174">
        <f t="shared" si="114"/>
        <v>0</v>
      </c>
      <c r="MJ720" s="174">
        <f t="shared" si="114"/>
        <v>0</v>
      </c>
      <c r="MK720" s="174">
        <f t="shared" si="114"/>
        <v>0</v>
      </c>
      <c r="ML720" s="174">
        <f t="shared" si="114"/>
        <v>0</v>
      </c>
      <c r="MM720" s="174">
        <f t="shared" si="114"/>
        <v>0</v>
      </c>
      <c r="MN720" s="174">
        <f t="shared" si="114"/>
        <v>0</v>
      </c>
      <c r="MO720" s="174">
        <f t="shared" si="114"/>
        <v>0</v>
      </c>
      <c r="MP720" s="174">
        <f t="shared" si="114"/>
        <v>0</v>
      </c>
      <c r="MQ720" s="174">
        <f t="shared" si="114"/>
        <v>0</v>
      </c>
      <c r="QX720" s="560">
        <v>46241.0</v>
      </c>
    </row>
    <row r="721">
      <c r="A721" s="12"/>
      <c r="B721" s="12"/>
      <c r="C721" s="12"/>
      <c r="D721" s="12"/>
      <c r="E721" s="58"/>
      <c r="F721" s="12"/>
      <c r="G721" s="12"/>
      <c r="H721" s="12"/>
      <c r="I721" s="143">
        <f t="shared" si="22"/>
        <v>-15</v>
      </c>
      <c r="J721" s="537">
        <v>46247.0</v>
      </c>
      <c r="K721" s="294" t="s">
        <v>48</v>
      </c>
      <c r="L721" s="108"/>
      <c r="M721" s="86" t="s">
        <v>400</v>
      </c>
      <c r="N721" s="86">
        <v>357.0</v>
      </c>
      <c r="O721" s="86">
        <v>30.0</v>
      </c>
      <c r="U721" s="162" t="s">
        <v>3720</v>
      </c>
      <c r="V721" s="538" t="s">
        <v>3721</v>
      </c>
      <c r="W721" s="185" t="s">
        <v>3722</v>
      </c>
      <c r="X721" s="140"/>
      <c r="Y721" s="166">
        <f t="shared" si="23"/>
        <v>15</v>
      </c>
      <c r="Z721" s="26">
        <f t="shared" si="7"/>
        <v>0</v>
      </c>
      <c r="AA721" s="26">
        <f t="shared" si="8"/>
        <v>0</v>
      </c>
      <c r="AB721" s="26">
        <f t="shared" si="9"/>
        <v>0</v>
      </c>
      <c r="AC721" s="156">
        <v>0.0</v>
      </c>
      <c r="AD721" s="156">
        <v>0.0</v>
      </c>
      <c r="AE721" s="156">
        <v>0.0</v>
      </c>
      <c r="AF721" s="156">
        <v>0.0</v>
      </c>
      <c r="AG721" s="156">
        <v>0.0</v>
      </c>
      <c r="AH721" s="156">
        <v>0.0</v>
      </c>
      <c r="BN721" s="155">
        <v>0.0</v>
      </c>
      <c r="BO721" s="155">
        <v>0.0</v>
      </c>
      <c r="BP721" s="155">
        <v>0.0</v>
      </c>
      <c r="BQ721" s="155">
        <v>0.0</v>
      </c>
      <c r="BR721" s="155">
        <v>0.0</v>
      </c>
      <c r="BS721" s="155">
        <v>0.0</v>
      </c>
      <c r="CV721" s="156">
        <v>0.0</v>
      </c>
      <c r="CW721" s="156">
        <v>0.0</v>
      </c>
      <c r="CX721" s="156">
        <v>0.0</v>
      </c>
      <c r="CY721" s="156">
        <v>0.0</v>
      </c>
      <c r="CZ721" s="156">
        <v>0.0</v>
      </c>
      <c r="DA721" s="156">
        <v>0.0</v>
      </c>
      <c r="EG721" s="156">
        <v>0.0</v>
      </c>
      <c r="EH721" s="156">
        <v>0.0</v>
      </c>
      <c r="EI721" s="156">
        <v>0.0</v>
      </c>
      <c r="EJ721" s="156">
        <v>0.0</v>
      </c>
      <c r="EK721" s="156">
        <v>0.0</v>
      </c>
      <c r="EL721" s="156">
        <v>0.0</v>
      </c>
      <c r="FQ721" s="156">
        <v>0.0</v>
      </c>
      <c r="FR721" s="156">
        <v>0.0</v>
      </c>
      <c r="FS721" s="156">
        <v>0.0</v>
      </c>
      <c r="FT721" s="156">
        <v>0.0</v>
      </c>
      <c r="FU721" s="156">
        <v>0.0</v>
      </c>
      <c r="FV721" s="156">
        <v>0.0</v>
      </c>
      <c r="FW721" s="157"/>
      <c r="FX721" s="157"/>
      <c r="FY721" s="157"/>
      <c r="FZ721" s="157"/>
      <c r="GA721" s="157"/>
      <c r="GB721" s="157"/>
      <c r="GC721" s="157"/>
      <c r="GD721" s="157"/>
      <c r="GE721" s="157"/>
      <c r="GF721" s="157"/>
      <c r="GG721" s="157"/>
      <c r="GH721" s="157"/>
      <c r="GI721" s="157"/>
      <c r="GJ721" s="157"/>
      <c r="GK721" s="157"/>
      <c r="GL721" s="157"/>
      <c r="GM721" s="157"/>
      <c r="GN721" s="157"/>
      <c r="GO721" s="157"/>
      <c r="GP721" s="158"/>
      <c r="GQ721" s="157"/>
      <c r="GR721" s="157"/>
      <c r="GS721" s="157"/>
      <c r="GT721" s="157"/>
      <c r="GU721" s="157"/>
      <c r="GV721" s="157"/>
      <c r="GW721" s="157"/>
      <c r="GX721" s="157"/>
      <c r="GY721" s="157"/>
      <c r="GZ721" s="157"/>
      <c r="HA721" s="157"/>
      <c r="HB721" s="155">
        <v>0.0</v>
      </c>
      <c r="HC721" s="155">
        <v>0.0</v>
      </c>
      <c r="HD721" s="155">
        <v>0.0</v>
      </c>
      <c r="HE721" s="155">
        <v>0.0</v>
      </c>
      <c r="HF721" s="155">
        <v>0.0</v>
      </c>
      <c r="HG721" s="155">
        <v>0.0</v>
      </c>
      <c r="IL721" s="159">
        <v>0.0</v>
      </c>
      <c r="IM721" s="156">
        <v>0.0</v>
      </c>
      <c r="IN721" s="156">
        <v>0.0</v>
      </c>
      <c r="IO721" s="156">
        <v>0.0</v>
      </c>
      <c r="IP721" s="156">
        <v>0.0</v>
      </c>
      <c r="IQ721" s="160">
        <v>0.0</v>
      </c>
      <c r="JH721" s="25"/>
      <c r="JW721" s="159">
        <v>6.0</v>
      </c>
      <c r="JX721" s="156">
        <v>0.0</v>
      </c>
      <c r="JY721" s="156">
        <v>0.0</v>
      </c>
      <c r="JZ721" s="156">
        <v>0.0</v>
      </c>
      <c r="KA721" s="156">
        <v>0.0</v>
      </c>
      <c r="KB721" s="160">
        <v>0.0</v>
      </c>
      <c r="KO721" s="86">
        <v>1.0</v>
      </c>
      <c r="KR721" s="86">
        <v>1.0</v>
      </c>
      <c r="KS721" s="178"/>
      <c r="KT721" s="172"/>
      <c r="KU721" s="172">
        <v>1.0</v>
      </c>
      <c r="KV721" s="172"/>
      <c r="KW721" s="172">
        <v>1.0</v>
      </c>
      <c r="KX721" s="172"/>
      <c r="KY721" s="172"/>
      <c r="KZ721" s="172"/>
      <c r="LA721" s="172">
        <v>1.0</v>
      </c>
      <c r="LB721" s="172"/>
      <c r="LC721" s="172"/>
      <c r="LD721" s="172">
        <v>1.0</v>
      </c>
      <c r="LE721" s="172"/>
      <c r="LF721" s="172"/>
      <c r="LG721" s="172"/>
      <c r="LH721" s="159">
        <f t="shared" si="10"/>
        <v>9</v>
      </c>
      <c r="LI721" s="156">
        <f t="shared" si="11"/>
        <v>0</v>
      </c>
      <c r="LJ721" s="156">
        <f t="shared" si="12"/>
        <v>0</v>
      </c>
      <c r="LK721" s="156">
        <f t="shared" si="13"/>
        <v>0</v>
      </c>
      <c r="LL721" s="156">
        <f t="shared" si="14"/>
        <v>0</v>
      </c>
      <c r="LM721" s="160">
        <f t="shared" si="15"/>
        <v>0</v>
      </c>
      <c r="LR721" s="189">
        <v>1.0</v>
      </c>
      <c r="LU721" s="189">
        <v>1.0</v>
      </c>
      <c r="LW721" s="12">
        <f t="shared" ref="LW721:MQ721" si="115">IFS(TODAY()&lt;=LC$2,0,WEEKDAY(LC$2)=2,0,WEEKDAY(LC$2)=3,1,WEEKDAY(LC$2)=4,0,WEEKDAY(LC$2)=5,1,WEEKDAY(LC$2)=6,0,WEEKDAY(LC$2)=7,1,WEEKDAY(LC$2)=1,0)</f>
        <v>1</v>
      </c>
      <c r="LX721" s="12">
        <f t="shared" si="115"/>
        <v>0</v>
      </c>
      <c r="LY721" s="12">
        <f t="shared" si="115"/>
        <v>1</v>
      </c>
      <c r="LZ721" s="12">
        <f t="shared" si="115"/>
        <v>0</v>
      </c>
      <c r="MA721" s="12">
        <f t="shared" si="115"/>
        <v>0</v>
      </c>
      <c r="MB721" s="12">
        <f t="shared" si="115"/>
        <v>0</v>
      </c>
      <c r="MC721" s="12">
        <f t="shared" si="115"/>
        <v>0</v>
      </c>
      <c r="MD721" s="12">
        <f t="shared" si="115"/>
        <v>0</v>
      </c>
      <c r="ME721" s="12">
        <f t="shared" si="115"/>
        <v>0</v>
      </c>
      <c r="MF721" s="12">
        <f t="shared" si="115"/>
        <v>0</v>
      </c>
      <c r="MG721" s="12">
        <f t="shared" si="115"/>
        <v>0</v>
      </c>
      <c r="MH721" s="12">
        <f t="shared" si="115"/>
        <v>1</v>
      </c>
      <c r="MI721" s="12">
        <f t="shared" si="115"/>
        <v>0</v>
      </c>
      <c r="MJ721" s="12">
        <f t="shared" si="115"/>
        <v>1</v>
      </c>
      <c r="MK721" s="12">
        <f t="shared" si="115"/>
        <v>0</v>
      </c>
      <c r="ML721" s="12">
        <f t="shared" si="115"/>
        <v>1</v>
      </c>
      <c r="MM721" s="12">
        <f t="shared" si="115"/>
        <v>0</v>
      </c>
      <c r="MN721" s="12">
        <f t="shared" si="115"/>
        <v>0</v>
      </c>
      <c r="MO721" s="12">
        <f t="shared" si="115"/>
        <v>1</v>
      </c>
      <c r="MP721" s="12">
        <f t="shared" si="115"/>
        <v>0</v>
      </c>
      <c r="MQ721" s="12">
        <f t="shared" si="115"/>
        <v>1</v>
      </c>
      <c r="QX721" s="560">
        <v>46241.0</v>
      </c>
    </row>
    <row r="722">
      <c r="A722" s="12"/>
      <c r="B722" s="12"/>
      <c r="C722" s="12"/>
      <c r="D722" s="12"/>
      <c r="E722" s="12"/>
      <c r="F722" s="25"/>
      <c r="G722" s="12"/>
      <c r="H722" s="12"/>
      <c r="I722" s="143">
        <f t="shared" si="22"/>
        <v>-10</v>
      </c>
      <c r="J722" s="537">
        <v>46251.0</v>
      </c>
      <c r="K722" s="294" t="s">
        <v>48</v>
      </c>
      <c r="L722" s="543" t="s">
        <v>3485</v>
      </c>
      <c r="M722" s="86" t="s">
        <v>107</v>
      </c>
      <c r="N722" s="188">
        <v>246.0</v>
      </c>
      <c r="O722" s="86">
        <v>30.0</v>
      </c>
      <c r="U722" s="162" t="s">
        <v>2791</v>
      </c>
      <c r="V722" s="538" t="s">
        <v>2792</v>
      </c>
      <c r="W722" s="125" t="s">
        <v>3723</v>
      </c>
      <c r="X722" s="140"/>
      <c r="Y722" s="166">
        <f t="shared" si="23"/>
        <v>10</v>
      </c>
      <c r="Z722" s="26">
        <f t="shared" si="7"/>
        <v>0</v>
      </c>
      <c r="AA722" s="26">
        <f t="shared" si="8"/>
        <v>0</v>
      </c>
      <c r="AB722" s="26">
        <f t="shared" si="9"/>
        <v>0</v>
      </c>
      <c r="AC722" s="156">
        <v>0.0</v>
      </c>
      <c r="AD722" s="156">
        <v>0.0</v>
      </c>
      <c r="AE722" s="156">
        <v>0.0</v>
      </c>
      <c r="AF722" s="156">
        <v>0.0</v>
      </c>
      <c r="AG722" s="156">
        <v>0.0</v>
      </c>
      <c r="AH722" s="156">
        <v>0.0</v>
      </c>
      <c r="BN722" s="155">
        <v>0.0</v>
      </c>
      <c r="BO722" s="155">
        <v>0.0</v>
      </c>
      <c r="BP722" s="155">
        <v>0.0</v>
      </c>
      <c r="BQ722" s="155">
        <v>0.0</v>
      </c>
      <c r="BR722" s="155">
        <v>0.0</v>
      </c>
      <c r="BS722" s="155">
        <v>0.0</v>
      </c>
      <c r="CV722" s="156">
        <v>0.0</v>
      </c>
      <c r="CW722" s="156">
        <v>0.0</v>
      </c>
      <c r="CX722" s="156">
        <v>0.0</v>
      </c>
      <c r="CY722" s="156">
        <v>0.0</v>
      </c>
      <c r="CZ722" s="156">
        <v>0.0</v>
      </c>
      <c r="DA722" s="156">
        <v>0.0</v>
      </c>
      <c r="EG722" s="156">
        <v>0.0</v>
      </c>
      <c r="EH722" s="156">
        <v>0.0</v>
      </c>
      <c r="EI722" s="156">
        <v>0.0</v>
      </c>
      <c r="EJ722" s="156">
        <v>0.0</v>
      </c>
      <c r="EK722" s="156">
        <v>0.0</v>
      </c>
      <c r="EL722" s="156">
        <v>0.0</v>
      </c>
      <c r="FQ722" s="156">
        <v>0.0</v>
      </c>
      <c r="FR722" s="156">
        <v>0.0</v>
      </c>
      <c r="FS722" s="156">
        <v>0.0</v>
      </c>
      <c r="FT722" s="156">
        <v>0.0</v>
      </c>
      <c r="FU722" s="156">
        <v>0.0</v>
      </c>
      <c r="FV722" s="156">
        <v>0.0</v>
      </c>
      <c r="FW722" s="157"/>
      <c r="FX722" s="157"/>
      <c r="FY722" s="157"/>
      <c r="FZ722" s="157"/>
      <c r="GA722" s="157"/>
      <c r="GB722" s="157"/>
      <c r="GC722" s="157"/>
      <c r="GD722" s="157"/>
      <c r="GE722" s="157"/>
      <c r="GF722" s="157"/>
      <c r="GG722" s="157"/>
      <c r="GH722" s="157"/>
      <c r="GI722" s="157"/>
      <c r="GJ722" s="157"/>
      <c r="GK722" s="157"/>
      <c r="GL722" s="157"/>
      <c r="GM722" s="157"/>
      <c r="GN722" s="157"/>
      <c r="GO722" s="157"/>
      <c r="GP722" s="158"/>
      <c r="GQ722" s="157"/>
      <c r="GR722" s="157"/>
      <c r="GS722" s="157"/>
      <c r="GT722" s="157"/>
      <c r="GU722" s="157"/>
      <c r="GV722" s="157"/>
      <c r="GW722" s="157"/>
      <c r="GX722" s="157"/>
      <c r="GY722" s="157"/>
      <c r="GZ722" s="157"/>
      <c r="HA722" s="157"/>
      <c r="HB722" s="155">
        <v>0.0</v>
      </c>
      <c r="HC722" s="155">
        <v>0.0</v>
      </c>
      <c r="HD722" s="155">
        <v>0.0</v>
      </c>
      <c r="HE722" s="155">
        <v>0.0</v>
      </c>
      <c r="HF722" s="155">
        <v>0.0</v>
      </c>
      <c r="HG722" s="155">
        <v>0.0</v>
      </c>
      <c r="IL722" s="159">
        <v>0.0</v>
      </c>
      <c r="IM722" s="156">
        <v>0.0</v>
      </c>
      <c r="IN722" s="156">
        <v>0.0</v>
      </c>
      <c r="IO722" s="156">
        <v>0.0</v>
      </c>
      <c r="IP722" s="156">
        <v>0.0</v>
      </c>
      <c r="IQ722" s="160">
        <v>0.0</v>
      </c>
      <c r="JH722" s="25"/>
      <c r="JW722" s="159">
        <v>6.0</v>
      </c>
      <c r="JX722" s="156">
        <v>0.0</v>
      </c>
      <c r="JY722" s="156">
        <v>0.0</v>
      </c>
      <c r="JZ722" s="156">
        <v>0.0</v>
      </c>
      <c r="KA722" s="156">
        <v>0.0</v>
      </c>
      <c r="KB722" s="160">
        <v>0.0</v>
      </c>
      <c r="KS722" s="86">
        <v>1.0</v>
      </c>
      <c r="KT722" s="174"/>
      <c r="KU722" s="174"/>
      <c r="KV722" s="174"/>
      <c r="KW722" s="175">
        <v>2.0</v>
      </c>
      <c r="KX722" s="174"/>
      <c r="KY722" s="174"/>
      <c r="KZ722" s="175">
        <v>1.0</v>
      </c>
      <c r="LA722" s="174"/>
      <c r="LB722" s="175">
        <v>1.0</v>
      </c>
      <c r="LC722" s="174"/>
      <c r="LD722" s="175">
        <v>1.0</v>
      </c>
      <c r="LE722" s="174"/>
      <c r="LF722" s="174"/>
      <c r="LG722" s="174"/>
      <c r="LH722" s="159">
        <f t="shared" si="10"/>
        <v>4</v>
      </c>
      <c r="LI722" s="156">
        <f t="shared" si="11"/>
        <v>0</v>
      </c>
      <c r="LJ722" s="156">
        <f t="shared" si="12"/>
        <v>0</v>
      </c>
      <c r="LK722" s="156">
        <f t="shared" si="13"/>
        <v>0</v>
      </c>
      <c r="LL722" s="156">
        <f t="shared" si="14"/>
        <v>0</v>
      </c>
      <c r="LM722" s="160">
        <f t="shared" si="15"/>
        <v>0</v>
      </c>
      <c r="LN722" s="174"/>
      <c r="LO722" s="174"/>
      <c r="LP722" s="174"/>
      <c r="LQ722" s="187">
        <v>1.0</v>
      </c>
      <c r="LR722" s="174"/>
      <c r="LS722" s="174"/>
      <c r="LT722" s="174"/>
      <c r="LU722" s="174"/>
      <c r="LV722" s="174"/>
      <c r="LW722" s="174">
        <f t="shared" ref="LW722:MQ722" si="116">IFS(TODAY()&lt;=LW$2,0,WEEKDAY(LW$2)=2,1,WEEKDAY(LW$2)=3,0,WEEKDAY(LW$2)=4,1,WEEKDAY(LW$2)=5,0,WEEKDAY(LW$2)=6,1,WEEKDAY(LW$2)=7,0,WEEKDAY(LW$2)=1,0)</f>
        <v>0</v>
      </c>
      <c r="LX722" s="174">
        <f t="shared" si="116"/>
        <v>1</v>
      </c>
      <c r="LY722" s="174">
        <f t="shared" si="116"/>
        <v>0</v>
      </c>
      <c r="LZ722" s="174">
        <f t="shared" si="116"/>
        <v>0</v>
      </c>
      <c r="MA722" s="174">
        <f t="shared" si="116"/>
        <v>1</v>
      </c>
      <c r="MB722" s="174">
        <f t="shared" si="116"/>
        <v>0</v>
      </c>
      <c r="MC722" s="174">
        <f t="shared" si="116"/>
        <v>1</v>
      </c>
      <c r="MD722" s="174">
        <f t="shared" si="116"/>
        <v>0</v>
      </c>
      <c r="ME722" s="174">
        <f t="shared" si="116"/>
        <v>0</v>
      </c>
      <c r="MF722" s="174">
        <f t="shared" si="116"/>
        <v>0</v>
      </c>
      <c r="MG722" s="174">
        <f t="shared" si="116"/>
        <v>0</v>
      </c>
      <c r="MH722" s="174">
        <f t="shared" si="116"/>
        <v>0</v>
      </c>
      <c r="MI722" s="174">
        <f t="shared" si="116"/>
        <v>0</v>
      </c>
      <c r="MJ722" s="174">
        <f t="shared" si="116"/>
        <v>0</v>
      </c>
      <c r="MK722" s="174">
        <f t="shared" si="116"/>
        <v>0</v>
      </c>
      <c r="ML722" s="174">
        <f t="shared" si="116"/>
        <v>0</v>
      </c>
      <c r="MM722" s="174">
        <f t="shared" si="116"/>
        <v>0</v>
      </c>
      <c r="MN722" s="174">
        <f t="shared" si="116"/>
        <v>0</v>
      </c>
      <c r="MO722" s="174">
        <f t="shared" si="116"/>
        <v>0</v>
      </c>
      <c r="MP722" s="174">
        <f t="shared" si="116"/>
        <v>0</v>
      </c>
      <c r="MQ722" s="174">
        <f t="shared" si="116"/>
        <v>0</v>
      </c>
      <c r="QX722" s="560">
        <v>46246.0</v>
      </c>
    </row>
    <row r="723">
      <c r="A723" s="12"/>
      <c r="B723" s="12"/>
      <c r="C723" s="12"/>
      <c r="D723" s="12"/>
      <c r="E723" s="12"/>
      <c r="F723" s="494"/>
      <c r="G723" s="12"/>
      <c r="H723" s="12"/>
      <c r="I723" s="143">
        <f t="shared" si="22"/>
        <v>-11</v>
      </c>
      <c r="J723" s="537">
        <v>46251.0</v>
      </c>
      <c r="K723" s="294" t="s">
        <v>48</v>
      </c>
      <c r="L723" s="108"/>
      <c r="M723" s="86" t="s">
        <v>107</v>
      </c>
      <c r="N723" s="188">
        <v>246.0</v>
      </c>
      <c r="O723" s="86">
        <v>30.0</v>
      </c>
      <c r="U723" s="162" t="s">
        <v>684</v>
      </c>
      <c r="V723" s="538" t="s">
        <v>230</v>
      </c>
      <c r="W723" s="125" t="s">
        <v>3724</v>
      </c>
      <c r="X723" s="140"/>
      <c r="Y723" s="166">
        <f t="shared" si="23"/>
        <v>11</v>
      </c>
      <c r="Z723" s="26">
        <f t="shared" si="7"/>
        <v>0</v>
      </c>
      <c r="AA723" s="26">
        <f t="shared" si="8"/>
        <v>0</v>
      </c>
      <c r="AB723" s="26">
        <f t="shared" si="9"/>
        <v>0</v>
      </c>
      <c r="AC723" s="156">
        <v>0.0</v>
      </c>
      <c r="AD723" s="156">
        <v>0.0</v>
      </c>
      <c r="AE723" s="156">
        <v>0.0</v>
      </c>
      <c r="AF723" s="156">
        <v>0.0</v>
      </c>
      <c r="AG723" s="156">
        <v>0.0</v>
      </c>
      <c r="AH723" s="156">
        <v>0.0</v>
      </c>
      <c r="BN723" s="155">
        <v>0.0</v>
      </c>
      <c r="BO723" s="155">
        <v>0.0</v>
      </c>
      <c r="BP723" s="155">
        <v>0.0</v>
      </c>
      <c r="BQ723" s="155">
        <v>0.0</v>
      </c>
      <c r="BR723" s="155">
        <v>0.0</v>
      </c>
      <c r="BS723" s="155">
        <v>0.0</v>
      </c>
      <c r="CV723" s="156">
        <v>0.0</v>
      </c>
      <c r="CW723" s="156">
        <v>0.0</v>
      </c>
      <c r="CX723" s="156">
        <v>0.0</v>
      </c>
      <c r="CY723" s="156">
        <v>0.0</v>
      </c>
      <c r="CZ723" s="156">
        <v>0.0</v>
      </c>
      <c r="DA723" s="156">
        <v>0.0</v>
      </c>
      <c r="EG723" s="156">
        <v>0.0</v>
      </c>
      <c r="EH723" s="156">
        <v>0.0</v>
      </c>
      <c r="EI723" s="156">
        <v>0.0</v>
      </c>
      <c r="EJ723" s="156">
        <v>0.0</v>
      </c>
      <c r="EK723" s="156">
        <v>0.0</v>
      </c>
      <c r="EL723" s="156">
        <v>0.0</v>
      </c>
      <c r="FQ723" s="156">
        <v>0.0</v>
      </c>
      <c r="FR723" s="156">
        <v>0.0</v>
      </c>
      <c r="FS723" s="156">
        <v>0.0</v>
      </c>
      <c r="FT723" s="156">
        <v>0.0</v>
      </c>
      <c r="FU723" s="156">
        <v>0.0</v>
      </c>
      <c r="FV723" s="156">
        <v>0.0</v>
      </c>
      <c r="FW723" s="157"/>
      <c r="FX723" s="157"/>
      <c r="FY723" s="157"/>
      <c r="FZ723" s="157"/>
      <c r="GA723" s="157"/>
      <c r="GB723" s="157"/>
      <c r="GC723" s="157"/>
      <c r="GD723" s="157"/>
      <c r="GE723" s="157"/>
      <c r="GF723" s="157"/>
      <c r="GG723" s="157"/>
      <c r="GH723" s="157"/>
      <c r="GI723" s="157"/>
      <c r="GJ723" s="157"/>
      <c r="GK723" s="157"/>
      <c r="GL723" s="157"/>
      <c r="GM723" s="157"/>
      <c r="GN723" s="157"/>
      <c r="GO723" s="157"/>
      <c r="GP723" s="158"/>
      <c r="GQ723" s="157"/>
      <c r="GR723" s="157"/>
      <c r="GS723" s="157"/>
      <c r="GT723" s="157"/>
      <c r="GU723" s="157"/>
      <c r="GV723" s="157"/>
      <c r="GW723" s="157"/>
      <c r="GX723" s="157"/>
      <c r="GY723" s="157"/>
      <c r="GZ723" s="157"/>
      <c r="HA723" s="157"/>
      <c r="HB723" s="155">
        <v>0.0</v>
      </c>
      <c r="HC723" s="155">
        <v>0.0</v>
      </c>
      <c r="HD723" s="155">
        <v>0.0</v>
      </c>
      <c r="HE723" s="155">
        <v>0.0</v>
      </c>
      <c r="HF723" s="155">
        <v>0.0</v>
      </c>
      <c r="HG723" s="155">
        <v>0.0</v>
      </c>
      <c r="IL723" s="159">
        <v>0.0</v>
      </c>
      <c r="IM723" s="156">
        <v>0.0</v>
      </c>
      <c r="IN723" s="156">
        <v>0.0</v>
      </c>
      <c r="IO723" s="156">
        <v>0.0</v>
      </c>
      <c r="IP723" s="156">
        <v>0.0</v>
      </c>
      <c r="IQ723" s="160">
        <v>0.0</v>
      </c>
      <c r="JH723" s="25"/>
      <c r="JW723" s="159">
        <v>6.0</v>
      </c>
      <c r="JX723" s="156">
        <v>0.0</v>
      </c>
      <c r="JY723" s="156">
        <v>0.0</v>
      </c>
      <c r="JZ723" s="156">
        <v>0.0</v>
      </c>
      <c r="KA723" s="156">
        <v>0.0</v>
      </c>
      <c r="KB723" s="160">
        <v>0.0</v>
      </c>
      <c r="KS723" s="86">
        <v>1.0</v>
      </c>
      <c r="KT723" s="174"/>
      <c r="KU723" s="175">
        <v>1.0</v>
      </c>
      <c r="KV723" s="174"/>
      <c r="KW723" s="175">
        <v>1.0</v>
      </c>
      <c r="KX723" s="174"/>
      <c r="KY723" s="174"/>
      <c r="KZ723" s="175">
        <v>1.0</v>
      </c>
      <c r="LA723" s="174"/>
      <c r="LB723" s="175">
        <v>1.0</v>
      </c>
      <c r="LC723" s="174"/>
      <c r="LD723" s="175">
        <v>1.0</v>
      </c>
      <c r="LE723" s="174"/>
      <c r="LF723" s="174"/>
      <c r="LG723" s="174"/>
      <c r="LH723" s="159">
        <f t="shared" si="10"/>
        <v>5</v>
      </c>
      <c r="LI723" s="156">
        <f t="shared" si="11"/>
        <v>0</v>
      </c>
      <c r="LJ723" s="156">
        <f t="shared" si="12"/>
        <v>0</v>
      </c>
      <c r="LK723" s="156">
        <f t="shared" si="13"/>
        <v>0</v>
      </c>
      <c r="LL723" s="156">
        <f t="shared" si="14"/>
        <v>0</v>
      </c>
      <c r="LM723" s="160">
        <f t="shared" si="15"/>
        <v>0</v>
      </c>
      <c r="LN723" s="174"/>
      <c r="LO723" s="174"/>
      <c r="LP723" s="174"/>
      <c r="LQ723" s="174"/>
      <c r="LR723" s="174"/>
      <c r="LS723" s="174"/>
      <c r="LT723" s="187">
        <v>1.0</v>
      </c>
      <c r="LU723" s="174"/>
      <c r="LV723" s="187">
        <v>1.0</v>
      </c>
      <c r="LW723" s="174">
        <f t="shared" ref="LW723:MQ723" si="117">IFS(TODAY()&lt;=LW$2,0,WEEKDAY(LW$2)=2,1,WEEKDAY(LW$2)=3,0,WEEKDAY(LW$2)=4,1,WEEKDAY(LW$2)=5,0,WEEKDAY(LW$2)=6,1,WEEKDAY(LW$2)=7,0,WEEKDAY(LW$2)=1,0)</f>
        <v>0</v>
      </c>
      <c r="LX723" s="174">
        <f t="shared" si="117"/>
        <v>1</v>
      </c>
      <c r="LY723" s="174">
        <f t="shared" si="117"/>
        <v>0</v>
      </c>
      <c r="LZ723" s="174">
        <f t="shared" si="117"/>
        <v>0</v>
      </c>
      <c r="MA723" s="174">
        <f t="shared" si="117"/>
        <v>1</v>
      </c>
      <c r="MB723" s="174">
        <f t="shared" si="117"/>
        <v>0</v>
      </c>
      <c r="MC723" s="174">
        <f t="shared" si="117"/>
        <v>1</v>
      </c>
      <c r="MD723" s="174">
        <f t="shared" si="117"/>
        <v>0</v>
      </c>
      <c r="ME723" s="174">
        <f t="shared" si="117"/>
        <v>0</v>
      </c>
      <c r="MF723" s="174">
        <f t="shared" si="117"/>
        <v>0</v>
      </c>
      <c r="MG723" s="174">
        <f t="shared" si="117"/>
        <v>0</v>
      </c>
      <c r="MH723" s="174">
        <f t="shared" si="117"/>
        <v>0</v>
      </c>
      <c r="MI723" s="174">
        <f t="shared" si="117"/>
        <v>0</v>
      </c>
      <c r="MJ723" s="174">
        <f t="shared" si="117"/>
        <v>0</v>
      </c>
      <c r="MK723" s="174">
        <f t="shared" si="117"/>
        <v>0</v>
      </c>
      <c r="ML723" s="174">
        <f t="shared" si="117"/>
        <v>0</v>
      </c>
      <c r="MM723" s="174">
        <f t="shared" si="117"/>
        <v>0</v>
      </c>
      <c r="MN723" s="174">
        <f t="shared" si="117"/>
        <v>0</v>
      </c>
      <c r="MO723" s="174">
        <f t="shared" si="117"/>
        <v>0</v>
      </c>
      <c r="MP723" s="174">
        <f t="shared" si="117"/>
        <v>0</v>
      </c>
      <c r="MQ723" s="174">
        <f t="shared" si="117"/>
        <v>0</v>
      </c>
      <c r="QX723" s="560">
        <v>46246.0</v>
      </c>
    </row>
    <row r="724">
      <c r="A724" s="12"/>
      <c r="B724" s="12"/>
      <c r="C724" s="12"/>
      <c r="D724" s="12"/>
      <c r="E724" s="12"/>
      <c r="F724" s="12"/>
      <c r="G724" s="12"/>
      <c r="H724" s="12"/>
      <c r="I724" s="143">
        <f t="shared" si="22"/>
        <v>-14</v>
      </c>
      <c r="J724" s="537">
        <v>46252.0</v>
      </c>
      <c r="K724" s="294" t="s">
        <v>48</v>
      </c>
      <c r="L724" s="108"/>
      <c r="M724" s="86" t="s">
        <v>348</v>
      </c>
      <c r="N724" s="86">
        <v>357.0</v>
      </c>
      <c r="O724" s="86">
        <v>30.0</v>
      </c>
      <c r="U724" s="162" t="s">
        <v>3562</v>
      </c>
      <c r="V724" s="538" t="s">
        <v>3238</v>
      </c>
      <c r="W724" s="125" t="s">
        <v>3725</v>
      </c>
      <c r="X724" s="140"/>
      <c r="Y724" s="166">
        <f t="shared" si="23"/>
        <v>14</v>
      </c>
      <c r="Z724" s="26">
        <f t="shared" si="7"/>
        <v>0</v>
      </c>
      <c r="AA724" s="26">
        <f t="shared" si="8"/>
        <v>0</v>
      </c>
      <c r="AB724" s="26">
        <f t="shared" si="9"/>
        <v>0</v>
      </c>
      <c r="AC724" s="156">
        <v>0.0</v>
      </c>
      <c r="AD724" s="156">
        <v>0.0</v>
      </c>
      <c r="AE724" s="156">
        <v>0.0</v>
      </c>
      <c r="AF724" s="156">
        <v>0.0</v>
      </c>
      <c r="AG724" s="156">
        <v>0.0</v>
      </c>
      <c r="AH724" s="156">
        <v>0.0</v>
      </c>
      <c r="BN724" s="155">
        <v>0.0</v>
      </c>
      <c r="BO724" s="155">
        <v>0.0</v>
      </c>
      <c r="BP724" s="155">
        <v>0.0</v>
      </c>
      <c r="BQ724" s="155">
        <v>0.0</v>
      </c>
      <c r="BR724" s="155">
        <v>0.0</v>
      </c>
      <c r="BS724" s="155">
        <v>0.0</v>
      </c>
      <c r="CV724" s="156">
        <v>0.0</v>
      </c>
      <c r="CW724" s="156">
        <v>0.0</v>
      </c>
      <c r="CX724" s="156">
        <v>0.0</v>
      </c>
      <c r="CY724" s="156">
        <v>0.0</v>
      </c>
      <c r="CZ724" s="156">
        <v>0.0</v>
      </c>
      <c r="DA724" s="156">
        <v>0.0</v>
      </c>
      <c r="EG724" s="156">
        <v>0.0</v>
      </c>
      <c r="EH724" s="156">
        <v>0.0</v>
      </c>
      <c r="EI724" s="156">
        <v>0.0</v>
      </c>
      <c r="EJ724" s="156">
        <v>0.0</v>
      </c>
      <c r="EK724" s="156">
        <v>0.0</v>
      </c>
      <c r="EL724" s="156">
        <v>0.0</v>
      </c>
      <c r="FQ724" s="156">
        <v>0.0</v>
      </c>
      <c r="FR724" s="156">
        <v>0.0</v>
      </c>
      <c r="FS724" s="156">
        <v>0.0</v>
      </c>
      <c r="FT724" s="156">
        <v>0.0</v>
      </c>
      <c r="FU724" s="156">
        <v>0.0</v>
      </c>
      <c r="FV724" s="156">
        <v>0.0</v>
      </c>
      <c r="FW724" s="157"/>
      <c r="FX724" s="157"/>
      <c r="FY724" s="157"/>
      <c r="FZ724" s="157"/>
      <c r="GA724" s="157"/>
      <c r="GB724" s="157"/>
      <c r="GC724" s="157"/>
      <c r="GD724" s="157"/>
      <c r="GE724" s="157"/>
      <c r="GF724" s="157"/>
      <c r="GG724" s="157"/>
      <c r="GH724" s="157"/>
      <c r="GI724" s="157"/>
      <c r="GJ724" s="157"/>
      <c r="GK724" s="157"/>
      <c r="GL724" s="157"/>
      <c r="GM724" s="157"/>
      <c r="GN724" s="157"/>
      <c r="GO724" s="157"/>
      <c r="GP724" s="158"/>
      <c r="GQ724" s="157"/>
      <c r="GR724" s="157"/>
      <c r="GS724" s="157"/>
      <c r="GT724" s="157"/>
      <c r="GU724" s="157"/>
      <c r="GV724" s="157"/>
      <c r="GW724" s="157"/>
      <c r="GX724" s="157"/>
      <c r="GY724" s="157"/>
      <c r="GZ724" s="157"/>
      <c r="HA724" s="157"/>
      <c r="HB724" s="155">
        <v>0.0</v>
      </c>
      <c r="HC724" s="155">
        <v>0.0</v>
      </c>
      <c r="HD724" s="155">
        <v>0.0</v>
      </c>
      <c r="HE724" s="155">
        <v>0.0</v>
      </c>
      <c r="HF724" s="155">
        <v>0.0</v>
      </c>
      <c r="HG724" s="155">
        <v>0.0</v>
      </c>
      <c r="IL724" s="159">
        <v>0.0</v>
      </c>
      <c r="IM724" s="156">
        <v>0.0</v>
      </c>
      <c r="IN724" s="156">
        <v>0.0</v>
      </c>
      <c r="IO724" s="156">
        <v>0.0</v>
      </c>
      <c r="IP724" s="156">
        <v>0.0</v>
      </c>
      <c r="IQ724" s="160">
        <v>0.0</v>
      </c>
      <c r="JH724" s="25"/>
      <c r="JW724" s="159">
        <v>4.0</v>
      </c>
      <c r="JX724" s="156">
        <v>0.0</v>
      </c>
      <c r="JY724" s="156">
        <v>0.0</v>
      </c>
      <c r="JZ724" s="156">
        <v>0.0</v>
      </c>
      <c r="KA724" s="156">
        <v>0.0</v>
      </c>
      <c r="KB724" s="160">
        <v>0.0</v>
      </c>
      <c r="KT724" s="172">
        <v>1.0</v>
      </c>
      <c r="KU724" s="172"/>
      <c r="KV724" s="172">
        <v>1.0</v>
      </c>
      <c r="KW724" s="172"/>
      <c r="KX724" s="172"/>
      <c r="KY724" s="172"/>
      <c r="KZ724" s="172"/>
      <c r="LA724" s="172">
        <v>1.0</v>
      </c>
      <c r="LB724" s="172"/>
      <c r="LC724" s="172">
        <v>1.0</v>
      </c>
      <c r="LD724" s="172"/>
      <c r="LE724" s="172"/>
      <c r="LF724" s="172"/>
      <c r="LG724" s="172"/>
      <c r="LH724" s="159">
        <f t="shared" si="10"/>
        <v>10</v>
      </c>
      <c r="LI724" s="156">
        <f t="shared" si="11"/>
        <v>0</v>
      </c>
      <c r="LJ724" s="156">
        <f t="shared" si="12"/>
        <v>0</v>
      </c>
      <c r="LK724" s="156">
        <f t="shared" si="13"/>
        <v>0</v>
      </c>
      <c r="LL724" s="156">
        <f t="shared" si="14"/>
        <v>0</v>
      </c>
      <c r="LM724" s="160">
        <f t="shared" si="15"/>
        <v>0</v>
      </c>
      <c r="LP724" s="189">
        <v>1.0</v>
      </c>
      <c r="LR724" s="189">
        <v>1.0</v>
      </c>
      <c r="LU724" s="189">
        <v>1.0</v>
      </c>
      <c r="LW724" s="12">
        <f t="shared" ref="LW724:MQ724" si="118">IFS(TODAY()&lt;=LC$2,0,WEEKDAY(LC$2)=2,0,WEEKDAY(LC$2)=3,1,WEEKDAY(LC$2)=4,0,WEEKDAY(LC$2)=5,1,WEEKDAY(LC$2)=6,0,WEEKDAY(LC$2)=7,1,WEEKDAY(LC$2)=1,0)</f>
        <v>1</v>
      </c>
      <c r="LX724" s="12">
        <f t="shared" si="118"/>
        <v>0</v>
      </c>
      <c r="LY724" s="12">
        <f t="shared" si="118"/>
        <v>1</v>
      </c>
      <c r="LZ724" s="12">
        <f t="shared" si="118"/>
        <v>0</v>
      </c>
      <c r="MA724" s="12">
        <f t="shared" si="118"/>
        <v>0</v>
      </c>
      <c r="MB724" s="12">
        <f t="shared" si="118"/>
        <v>0</v>
      </c>
      <c r="MC724" s="12">
        <f t="shared" si="118"/>
        <v>0</v>
      </c>
      <c r="MD724" s="12">
        <f t="shared" si="118"/>
        <v>0</v>
      </c>
      <c r="ME724" s="12">
        <f t="shared" si="118"/>
        <v>0</v>
      </c>
      <c r="MF724" s="12">
        <f t="shared" si="118"/>
        <v>0</v>
      </c>
      <c r="MG724" s="12">
        <f t="shared" si="118"/>
        <v>0</v>
      </c>
      <c r="MH724" s="12">
        <f t="shared" si="118"/>
        <v>1</v>
      </c>
      <c r="MI724" s="12">
        <f t="shared" si="118"/>
        <v>0</v>
      </c>
      <c r="MJ724" s="12">
        <f t="shared" si="118"/>
        <v>1</v>
      </c>
      <c r="MK724" s="12">
        <f t="shared" si="118"/>
        <v>0</v>
      </c>
      <c r="ML724" s="12">
        <f t="shared" si="118"/>
        <v>1</v>
      </c>
      <c r="MM724" s="12">
        <f t="shared" si="118"/>
        <v>0</v>
      </c>
      <c r="MN724" s="12">
        <f t="shared" si="118"/>
        <v>0</v>
      </c>
      <c r="MO724" s="12">
        <f t="shared" si="118"/>
        <v>1</v>
      </c>
      <c r="MP724" s="12">
        <f t="shared" si="118"/>
        <v>0</v>
      </c>
      <c r="MQ724" s="12">
        <f t="shared" si="118"/>
        <v>1</v>
      </c>
      <c r="QX724" s="560">
        <v>46246.0</v>
      </c>
    </row>
    <row r="725">
      <c r="A725" s="12"/>
      <c r="B725" s="12"/>
      <c r="C725" s="12"/>
      <c r="D725" s="12"/>
      <c r="E725" s="12"/>
      <c r="F725" s="12"/>
      <c r="G725" s="12"/>
      <c r="H725" s="12"/>
      <c r="I725" s="143">
        <f t="shared" si="22"/>
        <v>-7</v>
      </c>
      <c r="J725" s="537">
        <v>46252.0</v>
      </c>
      <c r="K725" s="294" t="s">
        <v>48</v>
      </c>
      <c r="L725" s="108"/>
      <c r="M725" s="86" t="s">
        <v>1433</v>
      </c>
      <c r="N725" s="86">
        <v>23456.0</v>
      </c>
      <c r="O725" s="86">
        <v>30.0</v>
      </c>
      <c r="U725" s="162" t="s">
        <v>3622</v>
      </c>
      <c r="V725" s="538" t="s">
        <v>3623</v>
      </c>
      <c r="W725" s="125" t="s">
        <v>3726</v>
      </c>
      <c r="X725" s="140"/>
      <c r="Y725" s="166">
        <f t="shared" si="23"/>
        <v>7</v>
      </c>
      <c r="Z725" s="26">
        <f t="shared" si="7"/>
        <v>0</v>
      </c>
      <c r="AA725" s="26">
        <f t="shared" si="8"/>
        <v>1</v>
      </c>
      <c r="AB725" s="26">
        <f t="shared" si="9"/>
        <v>0</v>
      </c>
      <c r="AC725" s="156">
        <v>0.0</v>
      </c>
      <c r="AD725" s="156">
        <v>0.0</v>
      </c>
      <c r="AE725" s="156">
        <v>0.0</v>
      </c>
      <c r="AF725" s="156">
        <v>0.0</v>
      </c>
      <c r="AG725" s="156">
        <v>0.0</v>
      </c>
      <c r="AH725" s="156">
        <v>0.0</v>
      </c>
      <c r="BN725" s="155">
        <v>0.0</v>
      </c>
      <c r="BO725" s="155">
        <v>0.0</v>
      </c>
      <c r="BP725" s="155">
        <v>0.0</v>
      </c>
      <c r="BQ725" s="155">
        <v>0.0</v>
      </c>
      <c r="BR725" s="155">
        <v>0.0</v>
      </c>
      <c r="BS725" s="155">
        <v>0.0</v>
      </c>
      <c r="CV725" s="156">
        <v>0.0</v>
      </c>
      <c r="CW725" s="156">
        <v>0.0</v>
      </c>
      <c r="CX725" s="156">
        <v>0.0</v>
      </c>
      <c r="CY725" s="156">
        <v>0.0</v>
      </c>
      <c r="CZ725" s="156">
        <v>0.0</v>
      </c>
      <c r="DA725" s="156">
        <v>0.0</v>
      </c>
      <c r="EG725" s="156">
        <v>0.0</v>
      </c>
      <c r="EH725" s="156">
        <v>0.0</v>
      </c>
      <c r="EI725" s="156">
        <v>0.0</v>
      </c>
      <c r="EJ725" s="156">
        <v>0.0</v>
      </c>
      <c r="EK725" s="156">
        <v>0.0</v>
      </c>
      <c r="EL725" s="156">
        <v>0.0</v>
      </c>
      <c r="FQ725" s="156">
        <v>0.0</v>
      </c>
      <c r="FR725" s="156">
        <v>0.0</v>
      </c>
      <c r="FS725" s="156">
        <v>0.0</v>
      </c>
      <c r="FT725" s="156">
        <v>0.0</v>
      </c>
      <c r="FU725" s="156">
        <v>0.0</v>
      </c>
      <c r="FV725" s="156">
        <v>0.0</v>
      </c>
      <c r="FW725" s="157"/>
      <c r="FX725" s="157"/>
      <c r="FY725" s="157"/>
      <c r="FZ725" s="157"/>
      <c r="GA725" s="157"/>
      <c r="GB725" s="157"/>
      <c r="GC725" s="157"/>
      <c r="GD725" s="157"/>
      <c r="GE725" s="157"/>
      <c r="GF725" s="157"/>
      <c r="GG725" s="157"/>
      <c r="GH725" s="157"/>
      <c r="GI725" s="157"/>
      <c r="GJ725" s="157"/>
      <c r="GK725" s="157"/>
      <c r="GL725" s="157"/>
      <c r="GM725" s="157"/>
      <c r="GN725" s="157"/>
      <c r="GO725" s="157"/>
      <c r="GP725" s="158"/>
      <c r="GQ725" s="157"/>
      <c r="GR725" s="157"/>
      <c r="GS725" s="157"/>
      <c r="GT725" s="157"/>
      <c r="GU725" s="157"/>
      <c r="GV725" s="157"/>
      <c r="GW725" s="157"/>
      <c r="GX725" s="157"/>
      <c r="GY725" s="157"/>
      <c r="GZ725" s="157"/>
      <c r="HA725" s="157"/>
      <c r="HB725" s="155">
        <v>0.0</v>
      </c>
      <c r="HC725" s="155">
        <v>0.0</v>
      </c>
      <c r="HD725" s="155">
        <v>0.0</v>
      </c>
      <c r="HE725" s="155">
        <v>0.0</v>
      </c>
      <c r="HF725" s="155">
        <v>0.0</v>
      </c>
      <c r="HG725" s="155">
        <v>0.0</v>
      </c>
      <c r="IL725" s="159">
        <v>0.0</v>
      </c>
      <c r="IM725" s="156">
        <v>0.0</v>
      </c>
      <c r="IN725" s="156">
        <v>0.0</v>
      </c>
      <c r="IO725" s="156">
        <v>0.0</v>
      </c>
      <c r="IP725" s="156">
        <v>0.0</v>
      </c>
      <c r="IQ725" s="160">
        <v>0.0</v>
      </c>
      <c r="JH725" s="25"/>
      <c r="JW725" s="159">
        <v>6.0</v>
      </c>
      <c r="JX725" s="156">
        <v>0.0</v>
      </c>
      <c r="JY725" s="156">
        <v>0.0</v>
      </c>
      <c r="JZ725" s="156">
        <v>0.0</v>
      </c>
      <c r="KA725" s="156">
        <v>0.0</v>
      </c>
      <c r="KB725" s="160">
        <v>0.0</v>
      </c>
      <c r="KT725" s="175">
        <v>1.0</v>
      </c>
      <c r="KU725" s="175">
        <v>1.0</v>
      </c>
      <c r="KV725" s="175">
        <v>1.0</v>
      </c>
      <c r="KW725" s="175">
        <v>1.0</v>
      </c>
      <c r="KX725" s="174"/>
      <c r="KY725" s="174"/>
      <c r="KZ725" s="174"/>
      <c r="LA725" s="174"/>
      <c r="LB725" s="175">
        <v>1.0</v>
      </c>
      <c r="LC725" s="175">
        <v>1.0</v>
      </c>
      <c r="LD725" s="174"/>
      <c r="LE725" s="174"/>
      <c r="LF725" s="174"/>
      <c r="LG725" s="174"/>
      <c r="LH725" s="159">
        <f t="shared" si="10"/>
        <v>1</v>
      </c>
      <c r="LI725" s="156">
        <f t="shared" si="11"/>
        <v>0</v>
      </c>
      <c r="LJ725" s="156">
        <f t="shared" si="12"/>
        <v>0</v>
      </c>
      <c r="LK725" s="156">
        <f t="shared" si="13"/>
        <v>1</v>
      </c>
      <c r="LL725" s="156">
        <f t="shared" si="14"/>
        <v>0</v>
      </c>
      <c r="LM725" s="160">
        <f t="shared" si="15"/>
        <v>0</v>
      </c>
      <c r="LP725" s="189" t="s">
        <v>624</v>
      </c>
      <c r="QX725" s="560">
        <v>46247.0</v>
      </c>
    </row>
    <row r="726">
      <c r="A726" s="12"/>
      <c r="B726" s="12"/>
      <c r="C726" s="12"/>
      <c r="D726" s="12"/>
      <c r="E726" s="12"/>
      <c r="F726" s="12"/>
      <c r="G726" s="12"/>
      <c r="H726" s="12"/>
      <c r="I726" s="143">
        <f t="shared" si="22"/>
        <v>-8</v>
      </c>
      <c r="J726" s="537">
        <v>46258.0</v>
      </c>
      <c r="K726" s="294" t="s">
        <v>48</v>
      </c>
      <c r="L726" s="108"/>
      <c r="M726" s="162" t="s">
        <v>348</v>
      </c>
      <c r="N726" s="188">
        <v>246.0</v>
      </c>
      <c r="O726" s="86">
        <v>30.0</v>
      </c>
      <c r="U726" s="162" t="s">
        <v>3727</v>
      </c>
      <c r="V726" s="538" t="s">
        <v>3728</v>
      </c>
      <c r="W726" s="125" t="s">
        <v>3729</v>
      </c>
      <c r="X726" s="140"/>
      <c r="Y726" s="166">
        <f t="shared" si="23"/>
        <v>8</v>
      </c>
      <c r="Z726" s="26">
        <f t="shared" si="7"/>
        <v>0</v>
      </c>
      <c r="AA726" s="26">
        <f t="shared" si="8"/>
        <v>0</v>
      </c>
      <c r="AB726" s="26">
        <f t="shared" si="9"/>
        <v>0</v>
      </c>
      <c r="AC726" s="156">
        <v>0.0</v>
      </c>
      <c r="AD726" s="156">
        <v>0.0</v>
      </c>
      <c r="AE726" s="156">
        <v>0.0</v>
      </c>
      <c r="AF726" s="156">
        <v>0.0</v>
      </c>
      <c r="AG726" s="156">
        <v>0.0</v>
      </c>
      <c r="AH726" s="156">
        <v>0.0</v>
      </c>
      <c r="BN726" s="155">
        <v>0.0</v>
      </c>
      <c r="BO726" s="155">
        <v>0.0</v>
      </c>
      <c r="BP726" s="155">
        <v>0.0</v>
      </c>
      <c r="BQ726" s="155">
        <v>0.0</v>
      </c>
      <c r="BR726" s="155">
        <v>0.0</v>
      </c>
      <c r="BS726" s="155">
        <v>0.0</v>
      </c>
      <c r="CV726" s="156">
        <v>0.0</v>
      </c>
      <c r="CW726" s="156">
        <v>0.0</v>
      </c>
      <c r="CX726" s="156">
        <v>0.0</v>
      </c>
      <c r="CY726" s="156">
        <v>0.0</v>
      </c>
      <c r="CZ726" s="156">
        <v>0.0</v>
      </c>
      <c r="DA726" s="156">
        <v>0.0</v>
      </c>
      <c r="EG726" s="156">
        <v>0.0</v>
      </c>
      <c r="EH726" s="156">
        <v>0.0</v>
      </c>
      <c r="EI726" s="156">
        <v>0.0</v>
      </c>
      <c r="EJ726" s="156">
        <v>0.0</v>
      </c>
      <c r="EK726" s="156">
        <v>0.0</v>
      </c>
      <c r="EL726" s="156">
        <v>0.0</v>
      </c>
      <c r="FQ726" s="156">
        <v>0.0</v>
      </c>
      <c r="FR726" s="156">
        <v>0.0</v>
      </c>
      <c r="FS726" s="156">
        <v>0.0</v>
      </c>
      <c r="FT726" s="156">
        <v>0.0</v>
      </c>
      <c r="FU726" s="156">
        <v>0.0</v>
      </c>
      <c r="FV726" s="156">
        <v>0.0</v>
      </c>
      <c r="FW726" s="157"/>
      <c r="FX726" s="157"/>
      <c r="FY726" s="157"/>
      <c r="FZ726" s="157"/>
      <c r="GA726" s="157"/>
      <c r="GB726" s="157"/>
      <c r="GC726" s="157"/>
      <c r="GD726" s="157"/>
      <c r="GE726" s="157"/>
      <c r="GF726" s="157"/>
      <c r="GG726" s="157"/>
      <c r="GH726" s="157"/>
      <c r="GI726" s="157"/>
      <c r="GJ726" s="157"/>
      <c r="GK726" s="157"/>
      <c r="GL726" s="157"/>
      <c r="GM726" s="157"/>
      <c r="GN726" s="157"/>
      <c r="GO726" s="157"/>
      <c r="GP726" s="158"/>
      <c r="GQ726" s="157"/>
      <c r="GR726" s="157"/>
      <c r="GS726" s="157"/>
      <c r="GT726" s="157"/>
      <c r="GU726" s="157"/>
      <c r="GV726" s="157"/>
      <c r="GW726" s="157"/>
      <c r="GX726" s="157"/>
      <c r="GY726" s="157"/>
      <c r="GZ726" s="157"/>
      <c r="HA726" s="157"/>
      <c r="HB726" s="155">
        <v>0.0</v>
      </c>
      <c r="HC726" s="155">
        <v>0.0</v>
      </c>
      <c r="HD726" s="155">
        <v>0.0</v>
      </c>
      <c r="HE726" s="155">
        <v>0.0</v>
      </c>
      <c r="HF726" s="155">
        <v>0.0</v>
      </c>
      <c r="HG726" s="155">
        <v>0.0</v>
      </c>
      <c r="IL726" s="159">
        <v>0.0</v>
      </c>
      <c r="IM726" s="156">
        <v>0.0</v>
      </c>
      <c r="IN726" s="156">
        <v>0.0</v>
      </c>
      <c r="IO726" s="156">
        <v>0.0</v>
      </c>
      <c r="IP726" s="156">
        <v>0.0</v>
      </c>
      <c r="IQ726" s="160">
        <v>0.0</v>
      </c>
      <c r="JH726" s="25"/>
      <c r="JW726" s="159">
        <v>3.0</v>
      </c>
      <c r="JX726" s="156">
        <v>0.0</v>
      </c>
      <c r="JY726" s="156">
        <v>0.0</v>
      </c>
      <c r="JZ726" s="156">
        <v>0.0</v>
      </c>
      <c r="KA726" s="156">
        <v>0.0</v>
      </c>
      <c r="KB726" s="160">
        <v>0.0</v>
      </c>
      <c r="KZ726" s="175">
        <v>1.0</v>
      </c>
      <c r="LA726" s="174"/>
      <c r="LB726" s="174"/>
      <c r="LC726" s="175"/>
      <c r="LD726" s="175">
        <v>1.0</v>
      </c>
      <c r="LE726" s="174"/>
      <c r="LF726" s="174"/>
      <c r="LG726" s="175">
        <v>1.0</v>
      </c>
      <c r="LH726" s="159">
        <f t="shared" si="10"/>
        <v>5</v>
      </c>
      <c r="LI726" s="156">
        <f t="shared" si="11"/>
        <v>0</v>
      </c>
      <c r="LJ726" s="156">
        <f t="shared" si="12"/>
        <v>0</v>
      </c>
      <c r="LK726" s="156">
        <f t="shared" si="13"/>
        <v>0</v>
      </c>
      <c r="LL726" s="156">
        <f t="shared" si="14"/>
        <v>0</v>
      </c>
      <c r="LM726" s="160">
        <f t="shared" si="15"/>
        <v>0</v>
      </c>
      <c r="LN726" s="174"/>
      <c r="LO726" s="174"/>
      <c r="LP726" s="174"/>
      <c r="LQ726" s="174"/>
      <c r="LR726" s="174"/>
      <c r="LS726" s="174"/>
      <c r="LT726" s="187">
        <v>1.0</v>
      </c>
      <c r="LU726" s="174"/>
      <c r="LV726" s="187">
        <v>1.0</v>
      </c>
      <c r="LW726" s="174">
        <f t="shared" ref="LW726:MQ726" si="119">IFS(TODAY()&lt;=LW$2,0,WEEKDAY(LW$2)=2,1,WEEKDAY(LW$2)=3,0,WEEKDAY(LW$2)=4,1,WEEKDAY(LW$2)=5,0,WEEKDAY(LW$2)=6,1,WEEKDAY(LW$2)=7,0,WEEKDAY(LW$2)=1,0)</f>
        <v>0</v>
      </c>
      <c r="LX726" s="174">
        <f t="shared" si="119"/>
        <v>1</v>
      </c>
      <c r="LY726" s="174">
        <f t="shared" si="119"/>
        <v>0</v>
      </c>
      <c r="LZ726" s="174">
        <f t="shared" si="119"/>
        <v>0</v>
      </c>
      <c r="MA726" s="174">
        <f t="shared" si="119"/>
        <v>1</v>
      </c>
      <c r="MB726" s="174">
        <f t="shared" si="119"/>
        <v>0</v>
      </c>
      <c r="MC726" s="174">
        <f t="shared" si="119"/>
        <v>1</v>
      </c>
      <c r="MD726" s="174">
        <f t="shared" si="119"/>
        <v>0</v>
      </c>
      <c r="ME726" s="174">
        <f t="shared" si="119"/>
        <v>0</v>
      </c>
      <c r="MF726" s="174">
        <f t="shared" si="119"/>
        <v>0</v>
      </c>
      <c r="MG726" s="174">
        <f t="shared" si="119"/>
        <v>0</v>
      </c>
      <c r="MH726" s="174">
        <f t="shared" si="119"/>
        <v>0</v>
      </c>
      <c r="MI726" s="174">
        <f t="shared" si="119"/>
        <v>0</v>
      </c>
      <c r="MJ726" s="174">
        <f t="shared" si="119"/>
        <v>0</v>
      </c>
      <c r="MK726" s="174">
        <f t="shared" si="119"/>
        <v>0</v>
      </c>
      <c r="ML726" s="174">
        <f t="shared" si="119"/>
        <v>0</v>
      </c>
      <c r="MM726" s="174">
        <f t="shared" si="119"/>
        <v>0</v>
      </c>
      <c r="MN726" s="174">
        <f t="shared" si="119"/>
        <v>0</v>
      </c>
      <c r="MO726" s="174">
        <f t="shared" si="119"/>
        <v>0</v>
      </c>
      <c r="MP726" s="174">
        <f t="shared" si="119"/>
        <v>0</v>
      </c>
      <c r="MQ726" s="174">
        <f t="shared" si="119"/>
        <v>0</v>
      </c>
      <c r="QX726" s="560">
        <v>46247.0</v>
      </c>
    </row>
    <row r="727">
      <c r="A727" s="12"/>
      <c r="B727" s="12"/>
      <c r="C727" s="12"/>
      <c r="D727" s="12"/>
      <c r="E727" s="12"/>
      <c r="F727" s="12"/>
      <c r="G727" s="12"/>
      <c r="H727" s="12"/>
      <c r="I727" s="143">
        <f t="shared" si="22"/>
        <v>-9</v>
      </c>
      <c r="J727" s="537">
        <v>46255.0</v>
      </c>
      <c r="K727" s="294" t="s">
        <v>48</v>
      </c>
      <c r="L727" s="108"/>
      <c r="M727" s="86" t="s">
        <v>228</v>
      </c>
      <c r="N727" s="86">
        <v>246.0</v>
      </c>
      <c r="O727" s="86">
        <v>30.0</v>
      </c>
      <c r="U727" s="162" t="s">
        <v>3730</v>
      </c>
      <c r="V727" s="538" t="s">
        <v>3731</v>
      </c>
      <c r="W727" s="125" t="s">
        <v>3732</v>
      </c>
      <c r="X727" s="140"/>
      <c r="Y727" s="166">
        <f t="shared" si="23"/>
        <v>9</v>
      </c>
      <c r="Z727" s="26">
        <f t="shared" si="7"/>
        <v>0</v>
      </c>
      <c r="AA727" s="26">
        <f t="shared" si="8"/>
        <v>0</v>
      </c>
      <c r="AB727" s="26">
        <f t="shared" si="9"/>
        <v>0</v>
      </c>
      <c r="AC727" s="156">
        <v>0.0</v>
      </c>
      <c r="AD727" s="156">
        <v>0.0</v>
      </c>
      <c r="AE727" s="156">
        <v>0.0</v>
      </c>
      <c r="AF727" s="156">
        <v>0.0</v>
      </c>
      <c r="AG727" s="156">
        <v>0.0</v>
      </c>
      <c r="AH727" s="156">
        <v>0.0</v>
      </c>
      <c r="BN727" s="155">
        <v>0.0</v>
      </c>
      <c r="BO727" s="155">
        <v>0.0</v>
      </c>
      <c r="BP727" s="155">
        <v>0.0</v>
      </c>
      <c r="BQ727" s="155">
        <v>0.0</v>
      </c>
      <c r="BR727" s="155">
        <v>0.0</v>
      </c>
      <c r="BS727" s="155">
        <v>0.0</v>
      </c>
      <c r="CV727" s="156">
        <v>0.0</v>
      </c>
      <c r="CW727" s="156">
        <v>0.0</v>
      </c>
      <c r="CX727" s="156">
        <v>0.0</v>
      </c>
      <c r="CY727" s="156">
        <v>0.0</v>
      </c>
      <c r="CZ727" s="156">
        <v>0.0</v>
      </c>
      <c r="DA727" s="156">
        <v>0.0</v>
      </c>
      <c r="EG727" s="156">
        <v>0.0</v>
      </c>
      <c r="EH727" s="156">
        <v>0.0</v>
      </c>
      <c r="EI727" s="156">
        <v>0.0</v>
      </c>
      <c r="EJ727" s="156">
        <v>0.0</v>
      </c>
      <c r="EK727" s="156">
        <v>0.0</v>
      </c>
      <c r="EL727" s="156">
        <v>0.0</v>
      </c>
      <c r="FQ727" s="156">
        <v>0.0</v>
      </c>
      <c r="FR727" s="156">
        <v>0.0</v>
      </c>
      <c r="FS727" s="156">
        <v>0.0</v>
      </c>
      <c r="FT727" s="156">
        <v>0.0</v>
      </c>
      <c r="FU727" s="156">
        <v>0.0</v>
      </c>
      <c r="FV727" s="156">
        <v>0.0</v>
      </c>
      <c r="FW727" s="157"/>
      <c r="FX727" s="157"/>
      <c r="FY727" s="157"/>
      <c r="FZ727" s="157"/>
      <c r="GA727" s="157"/>
      <c r="GB727" s="157"/>
      <c r="GC727" s="157"/>
      <c r="GD727" s="157"/>
      <c r="GE727" s="157"/>
      <c r="GF727" s="157"/>
      <c r="GG727" s="157"/>
      <c r="GH727" s="157"/>
      <c r="GI727" s="157"/>
      <c r="GJ727" s="157"/>
      <c r="GK727" s="157"/>
      <c r="GL727" s="157"/>
      <c r="GM727" s="157"/>
      <c r="GN727" s="157"/>
      <c r="GO727" s="157"/>
      <c r="GP727" s="158"/>
      <c r="GQ727" s="157"/>
      <c r="GR727" s="157"/>
      <c r="GS727" s="157"/>
      <c r="GT727" s="157"/>
      <c r="GU727" s="157"/>
      <c r="GV727" s="157"/>
      <c r="GW727" s="157"/>
      <c r="GX727" s="157"/>
      <c r="GY727" s="157"/>
      <c r="GZ727" s="157"/>
      <c r="HA727" s="157"/>
      <c r="HB727" s="155">
        <v>0.0</v>
      </c>
      <c r="HC727" s="155">
        <v>0.0</v>
      </c>
      <c r="HD727" s="155">
        <v>0.0</v>
      </c>
      <c r="HE727" s="155">
        <v>0.0</v>
      </c>
      <c r="HF727" s="155">
        <v>0.0</v>
      </c>
      <c r="HG727" s="155">
        <v>0.0</v>
      </c>
      <c r="IL727" s="159">
        <v>0.0</v>
      </c>
      <c r="IM727" s="156">
        <v>0.0</v>
      </c>
      <c r="IN727" s="156">
        <v>0.0</v>
      </c>
      <c r="IO727" s="156">
        <v>0.0</v>
      </c>
      <c r="IP727" s="156">
        <v>0.0</v>
      </c>
      <c r="IQ727" s="160">
        <v>0.0</v>
      </c>
      <c r="JH727" s="25"/>
      <c r="JW727" s="159">
        <v>4.0</v>
      </c>
      <c r="JX727" s="156">
        <v>0.0</v>
      </c>
      <c r="JY727" s="156">
        <v>0.0</v>
      </c>
      <c r="JZ727" s="156">
        <v>0.0</v>
      </c>
      <c r="KA727" s="156">
        <v>0.0</v>
      </c>
      <c r="KB727" s="160">
        <v>0.0</v>
      </c>
      <c r="KW727" s="175">
        <v>1.0</v>
      </c>
      <c r="KX727" s="174"/>
      <c r="KY727" s="174"/>
      <c r="KZ727" s="175">
        <v>1.0</v>
      </c>
      <c r="LA727" s="174"/>
      <c r="LB727" s="175">
        <v>1.0</v>
      </c>
      <c r="LC727" s="174"/>
      <c r="LD727" s="175">
        <v>1.0</v>
      </c>
      <c r="LE727" s="174"/>
      <c r="LF727" s="174"/>
      <c r="LG727" s="174"/>
      <c r="LH727" s="159">
        <f t="shared" si="10"/>
        <v>5</v>
      </c>
      <c r="LI727" s="156">
        <f t="shared" si="11"/>
        <v>0</v>
      </c>
      <c r="LJ727" s="156">
        <f t="shared" si="12"/>
        <v>0</v>
      </c>
      <c r="LK727" s="156">
        <f t="shared" si="13"/>
        <v>0</v>
      </c>
      <c r="LL727" s="156">
        <f t="shared" si="14"/>
        <v>0</v>
      </c>
      <c r="LM727" s="160">
        <f t="shared" si="15"/>
        <v>0</v>
      </c>
      <c r="LN727" s="174"/>
      <c r="LO727" s="174"/>
      <c r="LP727" s="174"/>
      <c r="LQ727" s="187">
        <v>1.0</v>
      </c>
      <c r="LR727" s="174"/>
      <c r="LS727" s="174"/>
      <c r="LT727" s="187">
        <v>1.0</v>
      </c>
      <c r="LU727" s="174"/>
      <c r="LV727" s="174"/>
      <c r="LW727" s="174">
        <f t="shared" ref="LW727:MQ727" si="120">IFS(TODAY()&lt;=LW$2,0,WEEKDAY(LW$2)=2,1,WEEKDAY(LW$2)=3,0,WEEKDAY(LW$2)=4,1,WEEKDAY(LW$2)=5,0,WEEKDAY(LW$2)=6,1,WEEKDAY(LW$2)=7,0,WEEKDAY(LW$2)=1,0)</f>
        <v>0</v>
      </c>
      <c r="LX727" s="174">
        <f t="shared" si="120"/>
        <v>1</v>
      </c>
      <c r="LY727" s="174">
        <f t="shared" si="120"/>
        <v>0</v>
      </c>
      <c r="LZ727" s="174">
        <f t="shared" si="120"/>
        <v>0</v>
      </c>
      <c r="MA727" s="174">
        <f t="shared" si="120"/>
        <v>1</v>
      </c>
      <c r="MB727" s="174">
        <f t="shared" si="120"/>
        <v>0</v>
      </c>
      <c r="MC727" s="174">
        <f t="shared" si="120"/>
        <v>1</v>
      </c>
      <c r="MD727" s="174">
        <f t="shared" si="120"/>
        <v>0</v>
      </c>
      <c r="ME727" s="174">
        <f t="shared" si="120"/>
        <v>0</v>
      </c>
      <c r="MF727" s="174">
        <f t="shared" si="120"/>
        <v>0</v>
      </c>
      <c r="MG727" s="174">
        <f t="shared" si="120"/>
        <v>0</v>
      </c>
      <c r="MH727" s="174">
        <f t="shared" si="120"/>
        <v>0</v>
      </c>
      <c r="MI727" s="174">
        <f t="shared" si="120"/>
        <v>0</v>
      </c>
      <c r="MJ727" s="174">
        <f t="shared" si="120"/>
        <v>0</v>
      </c>
      <c r="MK727" s="174">
        <f t="shared" si="120"/>
        <v>0</v>
      </c>
      <c r="ML727" s="174">
        <f t="shared" si="120"/>
        <v>0</v>
      </c>
      <c r="MM727" s="174">
        <f t="shared" si="120"/>
        <v>0</v>
      </c>
      <c r="MN727" s="174">
        <f t="shared" si="120"/>
        <v>0</v>
      </c>
      <c r="MO727" s="174">
        <f t="shared" si="120"/>
        <v>0</v>
      </c>
      <c r="MP727" s="174">
        <f t="shared" si="120"/>
        <v>0</v>
      </c>
      <c r="MQ727" s="174">
        <f t="shared" si="120"/>
        <v>0</v>
      </c>
      <c r="QX727" s="560">
        <v>46251.0</v>
      </c>
    </row>
    <row r="728">
      <c r="A728" s="12"/>
      <c r="B728" s="12"/>
      <c r="C728" s="12"/>
      <c r="D728" s="12"/>
      <c r="E728" s="12"/>
      <c r="F728" s="12"/>
      <c r="G728" s="12"/>
      <c r="H728" s="12"/>
      <c r="I728" s="143">
        <f t="shared" si="22"/>
        <v>-11</v>
      </c>
      <c r="J728" s="537">
        <v>46255.0</v>
      </c>
      <c r="K728" s="294" t="s">
        <v>48</v>
      </c>
      <c r="L728" s="108"/>
      <c r="M728" s="86" t="s">
        <v>107</v>
      </c>
      <c r="N728" s="86">
        <v>246.0</v>
      </c>
      <c r="O728" s="86">
        <v>30.0</v>
      </c>
      <c r="U728" s="162" t="s">
        <v>3733</v>
      </c>
      <c r="V728" s="538" t="s">
        <v>3734</v>
      </c>
      <c r="W728" s="125" t="s">
        <v>3735</v>
      </c>
      <c r="X728" s="140"/>
      <c r="Y728" s="166">
        <f t="shared" si="23"/>
        <v>11</v>
      </c>
      <c r="Z728" s="26">
        <f t="shared" si="7"/>
        <v>0</v>
      </c>
      <c r="AA728" s="26">
        <f t="shared" si="8"/>
        <v>0</v>
      </c>
      <c r="AB728" s="26">
        <f t="shared" si="9"/>
        <v>0</v>
      </c>
      <c r="AC728" s="156">
        <v>0.0</v>
      </c>
      <c r="AD728" s="156">
        <v>0.0</v>
      </c>
      <c r="AE728" s="156">
        <v>0.0</v>
      </c>
      <c r="AF728" s="156">
        <v>0.0</v>
      </c>
      <c r="AG728" s="156">
        <v>0.0</v>
      </c>
      <c r="AH728" s="156">
        <v>0.0</v>
      </c>
      <c r="BN728" s="155">
        <v>0.0</v>
      </c>
      <c r="BO728" s="155">
        <v>0.0</v>
      </c>
      <c r="BP728" s="155">
        <v>0.0</v>
      </c>
      <c r="BQ728" s="155">
        <v>0.0</v>
      </c>
      <c r="BR728" s="155">
        <v>0.0</v>
      </c>
      <c r="BS728" s="155">
        <v>0.0</v>
      </c>
      <c r="CV728" s="156">
        <v>0.0</v>
      </c>
      <c r="CW728" s="156">
        <v>0.0</v>
      </c>
      <c r="CX728" s="156">
        <v>0.0</v>
      </c>
      <c r="CY728" s="156">
        <v>0.0</v>
      </c>
      <c r="CZ728" s="156">
        <v>0.0</v>
      </c>
      <c r="DA728" s="156">
        <v>0.0</v>
      </c>
      <c r="EG728" s="156">
        <v>0.0</v>
      </c>
      <c r="EH728" s="156">
        <v>0.0</v>
      </c>
      <c r="EI728" s="156">
        <v>0.0</v>
      </c>
      <c r="EJ728" s="156">
        <v>0.0</v>
      </c>
      <c r="EK728" s="156">
        <v>0.0</v>
      </c>
      <c r="EL728" s="156">
        <v>0.0</v>
      </c>
      <c r="FQ728" s="156">
        <v>0.0</v>
      </c>
      <c r="FR728" s="156">
        <v>0.0</v>
      </c>
      <c r="FS728" s="156">
        <v>0.0</v>
      </c>
      <c r="FT728" s="156">
        <v>0.0</v>
      </c>
      <c r="FU728" s="156">
        <v>0.0</v>
      </c>
      <c r="FV728" s="156">
        <v>0.0</v>
      </c>
      <c r="FW728" s="157"/>
      <c r="FX728" s="157"/>
      <c r="FY728" s="157"/>
      <c r="FZ728" s="157"/>
      <c r="GA728" s="157"/>
      <c r="GB728" s="157"/>
      <c r="GC728" s="157"/>
      <c r="GD728" s="157"/>
      <c r="GE728" s="157"/>
      <c r="GF728" s="157"/>
      <c r="GG728" s="157"/>
      <c r="GH728" s="157"/>
      <c r="GI728" s="157"/>
      <c r="GJ728" s="157"/>
      <c r="GK728" s="157"/>
      <c r="GL728" s="157"/>
      <c r="GM728" s="157"/>
      <c r="GN728" s="157"/>
      <c r="GO728" s="157"/>
      <c r="GP728" s="158"/>
      <c r="GQ728" s="157"/>
      <c r="GR728" s="157"/>
      <c r="GS728" s="157"/>
      <c r="GT728" s="157"/>
      <c r="GU728" s="157"/>
      <c r="GV728" s="157"/>
      <c r="GW728" s="157"/>
      <c r="GX728" s="157"/>
      <c r="GY728" s="157"/>
      <c r="GZ728" s="157"/>
      <c r="HA728" s="157"/>
      <c r="HB728" s="155">
        <v>0.0</v>
      </c>
      <c r="HC728" s="155">
        <v>0.0</v>
      </c>
      <c r="HD728" s="155">
        <v>0.0</v>
      </c>
      <c r="HE728" s="155">
        <v>0.0</v>
      </c>
      <c r="HF728" s="155">
        <v>0.0</v>
      </c>
      <c r="HG728" s="155">
        <v>0.0</v>
      </c>
      <c r="IL728" s="159">
        <v>0.0</v>
      </c>
      <c r="IM728" s="156">
        <v>0.0</v>
      </c>
      <c r="IN728" s="156">
        <v>0.0</v>
      </c>
      <c r="IO728" s="156">
        <v>0.0</v>
      </c>
      <c r="IP728" s="156">
        <v>0.0</v>
      </c>
      <c r="IQ728" s="160">
        <v>0.0</v>
      </c>
      <c r="JH728" s="25"/>
      <c r="JW728" s="159">
        <v>4.0</v>
      </c>
      <c r="JX728" s="156">
        <v>0.0</v>
      </c>
      <c r="JY728" s="156">
        <v>0.0</v>
      </c>
      <c r="JZ728" s="156">
        <v>0.0</v>
      </c>
      <c r="KA728" s="156">
        <v>0.0</v>
      </c>
      <c r="KB728" s="160">
        <v>0.0</v>
      </c>
      <c r="KW728" s="175">
        <v>1.0</v>
      </c>
      <c r="KX728" s="174"/>
      <c r="KY728" s="174"/>
      <c r="KZ728" s="175">
        <v>1.0</v>
      </c>
      <c r="LA728" s="174"/>
      <c r="LB728" s="175">
        <v>1.0</v>
      </c>
      <c r="LC728" s="174"/>
      <c r="LD728" s="175">
        <v>1.0</v>
      </c>
      <c r="LE728" s="174"/>
      <c r="LF728" s="174"/>
      <c r="LG728" s="174"/>
      <c r="LH728" s="159">
        <f t="shared" si="10"/>
        <v>7</v>
      </c>
      <c r="LI728" s="156">
        <f t="shared" si="11"/>
        <v>0</v>
      </c>
      <c r="LJ728" s="156">
        <f t="shared" si="12"/>
        <v>0</v>
      </c>
      <c r="LK728" s="156">
        <f t="shared" si="13"/>
        <v>0</v>
      </c>
      <c r="LL728" s="156">
        <f t="shared" si="14"/>
        <v>0</v>
      </c>
      <c r="LM728" s="160">
        <f t="shared" si="15"/>
        <v>0</v>
      </c>
      <c r="LN728" s="174"/>
      <c r="LO728" s="187">
        <v>1.0</v>
      </c>
      <c r="LP728" s="174"/>
      <c r="LQ728" s="187">
        <v>1.0</v>
      </c>
      <c r="LR728" s="174"/>
      <c r="LS728" s="174"/>
      <c r="LT728" s="187">
        <v>1.0</v>
      </c>
      <c r="LU728" s="174"/>
      <c r="LV728" s="187">
        <v>1.0</v>
      </c>
      <c r="LW728" s="174">
        <f t="shared" ref="LW728:MQ728" si="121">IFS(TODAY()&lt;=LW$2,0,WEEKDAY(LW$2)=2,1,WEEKDAY(LW$2)=3,0,WEEKDAY(LW$2)=4,1,WEEKDAY(LW$2)=5,0,WEEKDAY(LW$2)=6,1,WEEKDAY(LW$2)=7,0,WEEKDAY(LW$2)=1,0)</f>
        <v>0</v>
      </c>
      <c r="LX728" s="174">
        <f t="shared" si="121"/>
        <v>1</v>
      </c>
      <c r="LY728" s="174">
        <f t="shared" si="121"/>
        <v>0</v>
      </c>
      <c r="LZ728" s="174">
        <f t="shared" si="121"/>
        <v>0</v>
      </c>
      <c r="MA728" s="174">
        <f t="shared" si="121"/>
        <v>1</v>
      </c>
      <c r="MB728" s="174">
        <f t="shared" si="121"/>
        <v>0</v>
      </c>
      <c r="MC728" s="174">
        <f t="shared" si="121"/>
        <v>1</v>
      </c>
      <c r="MD728" s="174">
        <f t="shared" si="121"/>
        <v>0</v>
      </c>
      <c r="ME728" s="174">
        <f t="shared" si="121"/>
        <v>0</v>
      </c>
      <c r="MF728" s="174">
        <f t="shared" si="121"/>
        <v>0</v>
      </c>
      <c r="MG728" s="174">
        <f t="shared" si="121"/>
        <v>0</v>
      </c>
      <c r="MH728" s="174">
        <f t="shared" si="121"/>
        <v>0</v>
      </c>
      <c r="MI728" s="174">
        <f t="shared" si="121"/>
        <v>0</v>
      </c>
      <c r="MJ728" s="174">
        <f t="shared" si="121"/>
        <v>0</v>
      </c>
      <c r="MK728" s="174">
        <f t="shared" si="121"/>
        <v>0</v>
      </c>
      <c r="ML728" s="174">
        <f t="shared" si="121"/>
        <v>0</v>
      </c>
      <c r="MM728" s="174">
        <f t="shared" si="121"/>
        <v>0</v>
      </c>
      <c r="MN728" s="174">
        <f t="shared" si="121"/>
        <v>0</v>
      </c>
      <c r="MO728" s="174">
        <f t="shared" si="121"/>
        <v>0</v>
      </c>
      <c r="MP728" s="174">
        <f t="shared" si="121"/>
        <v>0</v>
      </c>
      <c r="MQ728" s="174">
        <f t="shared" si="121"/>
        <v>0</v>
      </c>
      <c r="QX728" s="560">
        <v>46251.0</v>
      </c>
    </row>
    <row r="729">
      <c r="A729" s="12"/>
      <c r="B729" s="12"/>
      <c r="C729" s="12"/>
      <c r="D729" s="12"/>
      <c r="E729" s="12"/>
      <c r="F729" s="12"/>
      <c r="G729" s="12"/>
      <c r="H729" s="12"/>
      <c r="I729" s="143">
        <f t="shared" si="22"/>
        <v>-6</v>
      </c>
      <c r="J729" s="537">
        <v>46258.0</v>
      </c>
      <c r="K729" s="164" t="s">
        <v>48</v>
      </c>
      <c r="L729" s="162" t="s">
        <v>3485</v>
      </c>
      <c r="M729" s="86" t="s">
        <v>3736</v>
      </c>
      <c r="N729" s="188">
        <v>246.0</v>
      </c>
      <c r="O729" s="86">
        <v>30.0</v>
      </c>
      <c r="U729" s="162" t="s">
        <v>3575</v>
      </c>
      <c r="V729" s="538" t="s">
        <v>1093</v>
      </c>
      <c r="W729" s="125" t="s">
        <v>3737</v>
      </c>
      <c r="X729" s="140"/>
      <c r="Y729" s="166">
        <f t="shared" si="23"/>
        <v>6</v>
      </c>
      <c r="Z729" s="26">
        <f t="shared" si="7"/>
        <v>0</v>
      </c>
      <c r="AA729" s="26">
        <f t="shared" si="8"/>
        <v>0</v>
      </c>
      <c r="AB729" s="26">
        <f t="shared" si="9"/>
        <v>0</v>
      </c>
      <c r="AC729" s="156">
        <v>0.0</v>
      </c>
      <c r="AD729" s="156">
        <v>0.0</v>
      </c>
      <c r="AE729" s="156">
        <v>0.0</v>
      </c>
      <c r="AF729" s="156">
        <v>0.0</v>
      </c>
      <c r="AG729" s="156">
        <v>0.0</v>
      </c>
      <c r="AH729" s="156">
        <v>0.0</v>
      </c>
      <c r="BN729" s="155">
        <v>0.0</v>
      </c>
      <c r="BO729" s="155">
        <v>0.0</v>
      </c>
      <c r="BP729" s="155">
        <v>0.0</v>
      </c>
      <c r="BQ729" s="155">
        <v>0.0</v>
      </c>
      <c r="BR729" s="155">
        <v>0.0</v>
      </c>
      <c r="BS729" s="155">
        <v>0.0</v>
      </c>
      <c r="CV729" s="156">
        <v>0.0</v>
      </c>
      <c r="CW729" s="156">
        <v>0.0</v>
      </c>
      <c r="CX729" s="156">
        <v>0.0</v>
      </c>
      <c r="CY729" s="156">
        <v>0.0</v>
      </c>
      <c r="CZ729" s="156">
        <v>0.0</v>
      </c>
      <c r="DA729" s="156">
        <v>0.0</v>
      </c>
      <c r="EG729" s="156">
        <v>0.0</v>
      </c>
      <c r="EH729" s="156">
        <v>0.0</v>
      </c>
      <c r="EI729" s="156">
        <v>0.0</v>
      </c>
      <c r="EJ729" s="156">
        <v>0.0</v>
      </c>
      <c r="EK729" s="156">
        <v>0.0</v>
      </c>
      <c r="EL729" s="156">
        <v>0.0</v>
      </c>
      <c r="FQ729" s="156">
        <v>0.0</v>
      </c>
      <c r="FR729" s="156">
        <v>0.0</v>
      </c>
      <c r="FS729" s="156">
        <v>0.0</v>
      </c>
      <c r="FT729" s="156">
        <v>0.0</v>
      </c>
      <c r="FU729" s="156">
        <v>0.0</v>
      </c>
      <c r="FV729" s="156">
        <v>0.0</v>
      </c>
      <c r="FW729" s="157"/>
      <c r="FX729" s="157"/>
      <c r="FY729" s="157"/>
      <c r="FZ729" s="157"/>
      <c r="GA729" s="157"/>
      <c r="GB729" s="157"/>
      <c r="GC729" s="157"/>
      <c r="GD729" s="157"/>
      <c r="GE729" s="157"/>
      <c r="GF729" s="157"/>
      <c r="GG729" s="157"/>
      <c r="GH729" s="157"/>
      <c r="GI729" s="157"/>
      <c r="GJ729" s="157"/>
      <c r="GK729" s="157"/>
      <c r="GL729" s="157"/>
      <c r="GM729" s="157"/>
      <c r="GN729" s="157"/>
      <c r="GO729" s="157"/>
      <c r="GP729" s="158"/>
      <c r="GQ729" s="157"/>
      <c r="GR729" s="157"/>
      <c r="GS729" s="157"/>
      <c r="GT729" s="157"/>
      <c r="GU729" s="157"/>
      <c r="GV729" s="157"/>
      <c r="GW729" s="157"/>
      <c r="GX729" s="157"/>
      <c r="GY729" s="157"/>
      <c r="GZ729" s="157"/>
      <c r="HA729" s="157"/>
      <c r="HB729" s="155">
        <v>0.0</v>
      </c>
      <c r="HC729" s="155">
        <v>0.0</v>
      </c>
      <c r="HD729" s="155">
        <v>0.0</v>
      </c>
      <c r="HE729" s="155">
        <v>0.0</v>
      </c>
      <c r="HF729" s="155">
        <v>0.0</v>
      </c>
      <c r="HG729" s="155">
        <v>0.0</v>
      </c>
      <c r="IL729" s="159">
        <v>0.0</v>
      </c>
      <c r="IM729" s="156">
        <v>0.0</v>
      </c>
      <c r="IN729" s="156">
        <v>0.0</v>
      </c>
      <c r="IO729" s="156">
        <v>0.0</v>
      </c>
      <c r="IP729" s="156">
        <v>0.0</v>
      </c>
      <c r="IQ729" s="160">
        <v>0.0</v>
      </c>
      <c r="JH729" s="25"/>
      <c r="JW729" s="159">
        <v>2.0</v>
      </c>
      <c r="JX729" s="156">
        <v>0.0</v>
      </c>
      <c r="JY729" s="156">
        <v>0.0</v>
      </c>
      <c r="JZ729" s="156">
        <v>0.0</v>
      </c>
      <c r="KA729" s="156">
        <v>0.0</v>
      </c>
      <c r="KB729" s="160">
        <v>0.0</v>
      </c>
      <c r="KZ729" s="175">
        <v>1.0</v>
      </c>
      <c r="LA729" s="174"/>
      <c r="LB729" s="175">
        <v>1.0</v>
      </c>
      <c r="LC729" s="174"/>
      <c r="LD729" s="174"/>
      <c r="LE729" s="174"/>
      <c r="LF729" s="174"/>
      <c r="LG729" s="174"/>
      <c r="LH729" s="159">
        <f t="shared" si="10"/>
        <v>4</v>
      </c>
      <c r="LI729" s="156">
        <f t="shared" si="11"/>
        <v>0</v>
      </c>
      <c r="LJ729" s="156">
        <f t="shared" si="12"/>
        <v>0</v>
      </c>
      <c r="LK729" s="156">
        <f t="shared" si="13"/>
        <v>0</v>
      </c>
      <c r="LL729" s="156">
        <f t="shared" si="14"/>
        <v>0</v>
      </c>
      <c r="LM729" s="160">
        <f t="shared" si="15"/>
        <v>0</v>
      </c>
      <c r="LN729" s="174"/>
      <c r="LO729" s="174"/>
      <c r="LP729" s="187">
        <v>1.0</v>
      </c>
      <c r="LQ729" s="174"/>
      <c r="LR729" s="174"/>
      <c r="LS729" s="174"/>
      <c r="LT729" s="174"/>
      <c r="LU729" s="174"/>
      <c r="LV729" s="174"/>
      <c r="LW729" s="174">
        <f t="shared" ref="LW729:MQ729" si="122">IFS(TODAY()&lt;=LW$2,0,WEEKDAY(LW$2)=2,1,WEEKDAY(LW$2)=3,0,WEEKDAY(LW$2)=4,1,WEEKDAY(LW$2)=5,0,WEEKDAY(LW$2)=6,1,WEEKDAY(LW$2)=7,0,WEEKDAY(LW$2)=1,0)</f>
        <v>0</v>
      </c>
      <c r="LX729" s="174">
        <f t="shared" si="122"/>
        <v>1</v>
      </c>
      <c r="LY729" s="174">
        <f t="shared" si="122"/>
        <v>0</v>
      </c>
      <c r="LZ729" s="174">
        <f t="shared" si="122"/>
        <v>0</v>
      </c>
      <c r="MA729" s="174">
        <f t="shared" si="122"/>
        <v>1</v>
      </c>
      <c r="MB729" s="174">
        <f t="shared" si="122"/>
        <v>0</v>
      </c>
      <c r="MC729" s="174">
        <f t="shared" si="122"/>
        <v>1</v>
      </c>
      <c r="MD729" s="174">
        <f t="shared" si="122"/>
        <v>0</v>
      </c>
      <c r="ME729" s="174">
        <f t="shared" si="122"/>
        <v>0</v>
      </c>
      <c r="MF729" s="174">
        <f t="shared" si="122"/>
        <v>0</v>
      </c>
      <c r="MG729" s="174">
        <f t="shared" si="122"/>
        <v>0</v>
      </c>
      <c r="MH729" s="174">
        <f t="shared" si="122"/>
        <v>0</v>
      </c>
      <c r="MI729" s="174">
        <f t="shared" si="122"/>
        <v>0</v>
      </c>
      <c r="MJ729" s="174">
        <f t="shared" si="122"/>
        <v>0</v>
      </c>
      <c r="MK729" s="174">
        <f t="shared" si="122"/>
        <v>0</v>
      </c>
      <c r="ML729" s="174">
        <f t="shared" si="122"/>
        <v>0</v>
      </c>
      <c r="MM729" s="174">
        <f t="shared" si="122"/>
        <v>0</v>
      </c>
      <c r="MN729" s="174">
        <f t="shared" si="122"/>
        <v>0</v>
      </c>
      <c r="MO729" s="174">
        <f t="shared" si="122"/>
        <v>0</v>
      </c>
      <c r="MP729" s="174">
        <f t="shared" si="122"/>
        <v>0</v>
      </c>
      <c r="MQ729" s="174">
        <f t="shared" si="122"/>
        <v>0</v>
      </c>
      <c r="QX729" s="560">
        <v>46252.0</v>
      </c>
    </row>
    <row r="730">
      <c r="A730" s="12"/>
      <c r="B730" s="12"/>
      <c r="C730" s="12"/>
      <c r="D730" s="12"/>
      <c r="E730" s="12"/>
      <c r="F730" s="494"/>
      <c r="G730" s="12"/>
      <c r="H730" s="12"/>
      <c r="I730" s="143">
        <f t="shared" si="22"/>
        <v>-7</v>
      </c>
      <c r="J730" s="537">
        <v>46259.0</v>
      </c>
      <c r="K730" s="164" t="s">
        <v>48</v>
      </c>
      <c r="L730" s="543" t="s">
        <v>3485</v>
      </c>
      <c r="M730" s="86" t="s">
        <v>3738</v>
      </c>
      <c r="N730" s="86">
        <v>234.0</v>
      </c>
      <c r="O730" s="86">
        <v>30.0</v>
      </c>
      <c r="U730" s="162" t="s">
        <v>3739</v>
      </c>
      <c r="V730" s="538" t="s">
        <v>3740</v>
      </c>
      <c r="W730" s="125" t="s">
        <v>3741</v>
      </c>
      <c r="X730" s="140"/>
      <c r="Y730" s="166">
        <f t="shared" si="23"/>
        <v>7</v>
      </c>
      <c r="Z730" s="26">
        <f t="shared" si="7"/>
        <v>0</v>
      </c>
      <c r="AA730" s="26">
        <f t="shared" si="8"/>
        <v>0</v>
      </c>
      <c r="AB730" s="26">
        <f t="shared" si="9"/>
        <v>0</v>
      </c>
      <c r="AC730" s="156">
        <v>0.0</v>
      </c>
      <c r="AD730" s="156">
        <v>0.0</v>
      </c>
      <c r="AE730" s="156">
        <v>0.0</v>
      </c>
      <c r="AF730" s="156">
        <v>0.0</v>
      </c>
      <c r="AG730" s="156">
        <v>0.0</v>
      </c>
      <c r="AH730" s="156">
        <v>0.0</v>
      </c>
      <c r="BN730" s="155">
        <v>0.0</v>
      </c>
      <c r="BO730" s="155">
        <v>0.0</v>
      </c>
      <c r="BP730" s="155">
        <v>0.0</v>
      </c>
      <c r="BQ730" s="155">
        <v>0.0</v>
      </c>
      <c r="BR730" s="155">
        <v>0.0</v>
      </c>
      <c r="BS730" s="155">
        <v>0.0</v>
      </c>
      <c r="CV730" s="156">
        <v>0.0</v>
      </c>
      <c r="CW730" s="156">
        <v>0.0</v>
      </c>
      <c r="CX730" s="156">
        <v>0.0</v>
      </c>
      <c r="CY730" s="156">
        <v>0.0</v>
      </c>
      <c r="CZ730" s="156">
        <v>0.0</v>
      </c>
      <c r="DA730" s="156">
        <v>0.0</v>
      </c>
      <c r="EG730" s="156">
        <v>0.0</v>
      </c>
      <c r="EH730" s="156">
        <v>0.0</v>
      </c>
      <c r="EI730" s="156">
        <v>0.0</v>
      </c>
      <c r="EJ730" s="156">
        <v>0.0</v>
      </c>
      <c r="EK730" s="156">
        <v>0.0</v>
      </c>
      <c r="EL730" s="156">
        <v>0.0</v>
      </c>
      <c r="FQ730" s="156">
        <v>0.0</v>
      </c>
      <c r="FR730" s="156">
        <v>0.0</v>
      </c>
      <c r="FS730" s="156">
        <v>0.0</v>
      </c>
      <c r="FT730" s="156">
        <v>0.0</v>
      </c>
      <c r="FU730" s="156">
        <v>0.0</v>
      </c>
      <c r="FV730" s="156">
        <v>0.0</v>
      </c>
      <c r="FW730" s="157"/>
      <c r="FX730" s="157"/>
      <c r="FY730" s="157"/>
      <c r="FZ730" s="157"/>
      <c r="GA730" s="157"/>
      <c r="GB730" s="157"/>
      <c r="GC730" s="157"/>
      <c r="GD730" s="157"/>
      <c r="GE730" s="157"/>
      <c r="GF730" s="157"/>
      <c r="GG730" s="157"/>
      <c r="GH730" s="157"/>
      <c r="GI730" s="157"/>
      <c r="GJ730" s="157"/>
      <c r="GK730" s="157"/>
      <c r="GL730" s="157"/>
      <c r="GM730" s="157"/>
      <c r="GN730" s="157"/>
      <c r="GO730" s="157"/>
      <c r="GP730" s="158"/>
      <c r="GQ730" s="157"/>
      <c r="GR730" s="157"/>
      <c r="GS730" s="157"/>
      <c r="GT730" s="157"/>
      <c r="GU730" s="157"/>
      <c r="GV730" s="157"/>
      <c r="GW730" s="157"/>
      <c r="GX730" s="157"/>
      <c r="GY730" s="157"/>
      <c r="GZ730" s="157"/>
      <c r="HA730" s="157"/>
      <c r="HB730" s="155">
        <v>0.0</v>
      </c>
      <c r="HC730" s="155">
        <v>0.0</v>
      </c>
      <c r="HD730" s="155">
        <v>0.0</v>
      </c>
      <c r="HE730" s="155">
        <v>0.0</v>
      </c>
      <c r="HF730" s="155">
        <v>0.0</v>
      </c>
      <c r="HG730" s="155">
        <v>0.0</v>
      </c>
      <c r="IL730" s="159">
        <v>0.0</v>
      </c>
      <c r="IM730" s="156">
        <v>0.0</v>
      </c>
      <c r="IN730" s="156">
        <v>0.0</v>
      </c>
      <c r="IO730" s="156">
        <v>0.0</v>
      </c>
      <c r="IP730" s="156">
        <v>0.0</v>
      </c>
      <c r="IQ730" s="160">
        <v>0.0</v>
      </c>
      <c r="JH730" s="25"/>
      <c r="JW730" s="159">
        <v>3.0</v>
      </c>
      <c r="JX730" s="156">
        <v>0.0</v>
      </c>
      <c r="JY730" s="156">
        <v>0.0</v>
      </c>
      <c r="JZ730" s="156">
        <v>0.0</v>
      </c>
      <c r="KA730" s="156">
        <v>0.0</v>
      </c>
      <c r="KB730" s="160">
        <v>0.0</v>
      </c>
      <c r="LA730" s="86">
        <v>1.0</v>
      </c>
      <c r="LB730" s="86">
        <v>1.0</v>
      </c>
      <c r="LC730" s="86">
        <v>1.0</v>
      </c>
      <c r="LH730" s="159">
        <f t="shared" si="10"/>
        <v>4</v>
      </c>
      <c r="LI730" s="156">
        <f t="shared" si="11"/>
        <v>0</v>
      </c>
      <c r="LJ730" s="156">
        <f t="shared" si="12"/>
        <v>0</v>
      </c>
      <c r="LK730" s="156">
        <f t="shared" si="13"/>
        <v>0</v>
      </c>
      <c r="LL730" s="156">
        <f t="shared" si="14"/>
        <v>0</v>
      </c>
      <c r="LM730" s="160">
        <f t="shared" si="15"/>
        <v>0</v>
      </c>
      <c r="LP730" s="189">
        <v>1.0</v>
      </c>
      <c r="LU730" s="189">
        <v>1.0</v>
      </c>
      <c r="LV730" s="189">
        <v>1.0</v>
      </c>
      <c r="LW730" s="189">
        <v>1.0</v>
      </c>
      <c r="QX730" s="560">
        <v>46253.0</v>
      </c>
    </row>
    <row r="731">
      <c r="A731" s="12"/>
      <c r="B731" s="12"/>
      <c r="C731" s="12"/>
      <c r="D731" s="126"/>
      <c r="E731" s="12"/>
      <c r="F731" s="12"/>
      <c r="G731" s="12"/>
      <c r="H731" s="12"/>
      <c r="I731" s="143">
        <f t="shared" si="22"/>
        <v>-6</v>
      </c>
      <c r="J731" s="537">
        <v>46258.0</v>
      </c>
      <c r="K731" s="164" t="s">
        <v>48</v>
      </c>
      <c r="L731" s="162" t="s">
        <v>3485</v>
      </c>
      <c r="M731" s="162" t="s">
        <v>435</v>
      </c>
      <c r="N731" s="86">
        <v>246.0</v>
      </c>
      <c r="O731" s="86">
        <v>30.0</v>
      </c>
      <c r="U731" s="162" t="s">
        <v>1092</v>
      </c>
      <c r="V731" s="538" t="s">
        <v>1093</v>
      </c>
      <c r="W731" s="125" t="s">
        <v>3742</v>
      </c>
      <c r="X731" s="140"/>
      <c r="Y731" s="166">
        <f t="shared" si="23"/>
        <v>6</v>
      </c>
      <c r="Z731" s="26">
        <f t="shared" si="7"/>
        <v>0</v>
      </c>
      <c r="AA731" s="26">
        <f t="shared" si="8"/>
        <v>0</v>
      </c>
      <c r="AB731" s="26">
        <f t="shared" si="9"/>
        <v>0</v>
      </c>
      <c r="AC731" s="156">
        <v>0.0</v>
      </c>
      <c r="AD731" s="156">
        <v>0.0</v>
      </c>
      <c r="AE731" s="156">
        <v>0.0</v>
      </c>
      <c r="AF731" s="156">
        <v>0.0</v>
      </c>
      <c r="AG731" s="156">
        <v>0.0</v>
      </c>
      <c r="AH731" s="156">
        <v>0.0</v>
      </c>
      <c r="BN731" s="155">
        <v>0.0</v>
      </c>
      <c r="BO731" s="155">
        <v>0.0</v>
      </c>
      <c r="BP731" s="155">
        <v>0.0</v>
      </c>
      <c r="BQ731" s="155">
        <v>0.0</v>
      </c>
      <c r="BR731" s="155">
        <v>0.0</v>
      </c>
      <c r="BS731" s="155">
        <v>0.0</v>
      </c>
      <c r="CV731" s="156">
        <v>0.0</v>
      </c>
      <c r="CW731" s="156">
        <v>0.0</v>
      </c>
      <c r="CX731" s="156">
        <v>0.0</v>
      </c>
      <c r="CY731" s="156">
        <v>0.0</v>
      </c>
      <c r="CZ731" s="156">
        <v>0.0</v>
      </c>
      <c r="DA731" s="156">
        <v>0.0</v>
      </c>
      <c r="EG731" s="156">
        <v>0.0</v>
      </c>
      <c r="EH731" s="156">
        <v>0.0</v>
      </c>
      <c r="EI731" s="156">
        <v>0.0</v>
      </c>
      <c r="EJ731" s="156">
        <v>0.0</v>
      </c>
      <c r="EK731" s="156">
        <v>0.0</v>
      </c>
      <c r="EL731" s="156">
        <v>0.0</v>
      </c>
      <c r="FQ731" s="156">
        <v>0.0</v>
      </c>
      <c r="FR731" s="156">
        <v>0.0</v>
      </c>
      <c r="FS731" s="156">
        <v>0.0</v>
      </c>
      <c r="FT731" s="156">
        <v>0.0</v>
      </c>
      <c r="FU731" s="156">
        <v>0.0</v>
      </c>
      <c r="FV731" s="156">
        <v>0.0</v>
      </c>
      <c r="FW731" s="157"/>
      <c r="FX731" s="157"/>
      <c r="FY731" s="157"/>
      <c r="FZ731" s="157"/>
      <c r="GA731" s="157"/>
      <c r="GB731" s="157"/>
      <c r="GC731" s="157"/>
      <c r="GD731" s="157"/>
      <c r="GE731" s="157"/>
      <c r="GF731" s="157"/>
      <c r="GG731" s="157"/>
      <c r="GH731" s="157"/>
      <c r="GI731" s="157"/>
      <c r="GJ731" s="157"/>
      <c r="GK731" s="157"/>
      <c r="GL731" s="157"/>
      <c r="GM731" s="157"/>
      <c r="GN731" s="157"/>
      <c r="GO731" s="157"/>
      <c r="GP731" s="158"/>
      <c r="GQ731" s="157"/>
      <c r="GR731" s="157"/>
      <c r="GS731" s="157"/>
      <c r="GT731" s="157"/>
      <c r="GU731" s="157"/>
      <c r="GV731" s="157"/>
      <c r="GW731" s="157"/>
      <c r="GX731" s="157"/>
      <c r="GY731" s="157"/>
      <c r="GZ731" s="157"/>
      <c r="HA731" s="157"/>
      <c r="HB731" s="155">
        <v>0.0</v>
      </c>
      <c r="HC731" s="155">
        <v>0.0</v>
      </c>
      <c r="HD731" s="155">
        <v>0.0</v>
      </c>
      <c r="HE731" s="155">
        <v>0.0</v>
      </c>
      <c r="HF731" s="155">
        <v>0.0</v>
      </c>
      <c r="HG731" s="155">
        <v>0.0</v>
      </c>
      <c r="IL731" s="159">
        <v>0.0</v>
      </c>
      <c r="IM731" s="156">
        <v>0.0</v>
      </c>
      <c r="IN731" s="156">
        <v>0.0</v>
      </c>
      <c r="IO731" s="156">
        <v>0.0</v>
      </c>
      <c r="IP731" s="156">
        <v>0.0</v>
      </c>
      <c r="IQ731" s="160">
        <v>0.0</v>
      </c>
      <c r="JH731" s="25"/>
      <c r="JW731" s="159">
        <v>3.0</v>
      </c>
      <c r="JX731" s="156">
        <v>0.0</v>
      </c>
      <c r="JY731" s="156">
        <v>0.0</v>
      </c>
      <c r="JZ731" s="156">
        <v>0.0</v>
      </c>
      <c r="KA731" s="156">
        <v>0.0</v>
      </c>
      <c r="KB731" s="160">
        <v>0.0</v>
      </c>
      <c r="KZ731" s="175">
        <v>1.0</v>
      </c>
      <c r="LA731" s="174"/>
      <c r="LB731" s="175">
        <v>1.0</v>
      </c>
      <c r="LC731" s="174"/>
      <c r="LD731" s="175">
        <v>1.0</v>
      </c>
      <c r="LE731" s="174"/>
      <c r="LF731" s="174"/>
      <c r="LG731" s="174"/>
      <c r="LH731" s="159">
        <f t="shared" si="10"/>
        <v>3</v>
      </c>
      <c r="LI731" s="156">
        <f t="shared" si="11"/>
        <v>0</v>
      </c>
      <c r="LJ731" s="156">
        <f t="shared" si="12"/>
        <v>0</v>
      </c>
      <c r="LK731" s="156">
        <f t="shared" si="13"/>
        <v>0</v>
      </c>
      <c r="LL731" s="156">
        <f t="shared" si="14"/>
        <v>0</v>
      </c>
      <c r="LM731" s="160">
        <f t="shared" si="15"/>
        <v>0</v>
      </c>
      <c r="LN731" s="174"/>
      <c r="LO731" s="174"/>
      <c r="LP731" s="174"/>
      <c r="LQ731" s="174"/>
      <c r="LR731" s="174"/>
      <c r="LS731" s="174"/>
      <c r="LT731" s="174"/>
      <c r="LU731" s="174"/>
      <c r="LV731" s="174"/>
      <c r="LW731" s="174">
        <f t="shared" ref="LW731:MQ731" si="123">IFS(TODAY()&lt;=LW$2,0,WEEKDAY(LW$2)=2,1,WEEKDAY(LW$2)=3,0,WEEKDAY(LW$2)=4,1,WEEKDAY(LW$2)=5,0,WEEKDAY(LW$2)=6,1,WEEKDAY(LW$2)=7,0,WEEKDAY(LW$2)=1,0)</f>
        <v>0</v>
      </c>
      <c r="LX731" s="174">
        <f t="shared" si="123"/>
        <v>1</v>
      </c>
      <c r="LY731" s="174">
        <f t="shared" si="123"/>
        <v>0</v>
      </c>
      <c r="LZ731" s="174">
        <f t="shared" si="123"/>
        <v>0</v>
      </c>
      <c r="MA731" s="174">
        <f t="shared" si="123"/>
        <v>1</v>
      </c>
      <c r="MB731" s="174">
        <f t="shared" si="123"/>
        <v>0</v>
      </c>
      <c r="MC731" s="174">
        <f t="shared" si="123"/>
        <v>1</v>
      </c>
      <c r="MD731" s="174">
        <f t="shared" si="123"/>
        <v>0</v>
      </c>
      <c r="ME731" s="174">
        <f t="shared" si="123"/>
        <v>0</v>
      </c>
      <c r="MF731" s="174">
        <f t="shared" si="123"/>
        <v>0</v>
      </c>
      <c r="MG731" s="174">
        <f t="shared" si="123"/>
        <v>0</v>
      </c>
      <c r="MH731" s="174">
        <f t="shared" si="123"/>
        <v>0</v>
      </c>
      <c r="MI731" s="174">
        <f t="shared" si="123"/>
        <v>0</v>
      </c>
      <c r="MJ731" s="174">
        <f t="shared" si="123"/>
        <v>0</v>
      </c>
      <c r="MK731" s="174">
        <f t="shared" si="123"/>
        <v>0</v>
      </c>
      <c r="ML731" s="174">
        <f t="shared" si="123"/>
        <v>0</v>
      </c>
      <c r="MM731" s="174">
        <f t="shared" si="123"/>
        <v>0</v>
      </c>
      <c r="MN731" s="174">
        <f t="shared" si="123"/>
        <v>0</v>
      </c>
      <c r="MO731" s="174">
        <f t="shared" si="123"/>
        <v>0</v>
      </c>
      <c r="MP731" s="174">
        <f t="shared" si="123"/>
        <v>0</v>
      </c>
      <c r="MQ731" s="174">
        <f t="shared" si="123"/>
        <v>0</v>
      </c>
      <c r="QX731" s="560">
        <v>46254.0</v>
      </c>
    </row>
    <row r="732">
      <c r="A732" s="12"/>
      <c r="B732" s="12"/>
      <c r="C732" s="12"/>
      <c r="D732" s="12"/>
      <c r="E732" s="12"/>
      <c r="F732" s="12"/>
      <c r="G732" s="12"/>
      <c r="H732" s="12"/>
      <c r="I732" s="143">
        <f t="shared" si="22"/>
        <v>-3</v>
      </c>
      <c r="J732" s="537">
        <v>46259.0</v>
      </c>
      <c r="K732" s="164" t="s">
        <v>48</v>
      </c>
      <c r="L732" s="108"/>
      <c r="M732" s="86" t="s">
        <v>3743</v>
      </c>
      <c r="N732" s="86">
        <v>35.0</v>
      </c>
      <c r="O732" s="86">
        <v>30.0</v>
      </c>
      <c r="U732" s="545" t="s">
        <v>3696</v>
      </c>
      <c r="V732" s="546" t="s">
        <v>3359</v>
      </c>
      <c r="W732" s="125" t="s">
        <v>3744</v>
      </c>
      <c r="X732" s="140"/>
      <c r="Y732" s="166">
        <f t="shared" si="23"/>
        <v>3</v>
      </c>
      <c r="Z732" s="26">
        <f t="shared" si="7"/>
        <v>0</v>
      </c>
      <c r="AA732" s="26">
        <f t="shared" si="8"/>
        <v>0</v>
      </c>
      <c r="AB732" s="26">
        <f t="shared" si="9"/>
        <v>0</v>
      </c>
      <c r="AC732" s="156">
        <v>0.0</v>
      </c>
      <c r="AD732" s="156">
        <v>0.0</v>
      </c>
      <c r="AE732" s="156">
        <v>0.0</v>
      </c>
      <c r="AF732" s="156">
        <v>0.0</v>
      </c>
      <c r="AG732" s="156">
        <v>0.0</v>
      </c>
      <c r="AH732" s="156">
        <v>0.0</v>
      </c>
      <c r="BN732" s="155">
        <v>0.0</v>
      </c>
      <c r="BO732" s="155">
        <v>0.0</v>
      </c>
      <c r="BP732" s="155">
        <v>0.0</v>
      </c>
      <c r="BQ732" s="155">
        <v>0.0</v>
      </c>
      <c r="BR732" s="155">
        <v>0.0</v>
      </c>
      <c r="BS732" s="155">
        <v>0.0</v>
      </c>
      <c r="CV732" s="156">
        <v>0.0</v>
      </c>
      <c r="CW732" s="156">
        <v>0.0</v>
      </c>
      <c r="CX732" s="156">
        <v>0.0</v>
      </c>
      <c r="CY732" s="156">
        <v>0.0</v>
      </c>
      <c r="CZ732" s="156">
        <v>0.0</v>
      </c>
      <c r="DA732" s="156">
        <v>0.0</v>
      </c>
      <c r="EG732" s="156">
        <v>0.0</v>
      </c>
      <c r="EH732" s="156">
        <v>0.0</v>
      </c>
      <c r="EI732" s="156">
        <v>0.0</v>
      </c>
      <c r="EJ732" s="156">
        <v>0.0</v>
      </c>
      <c r="EK732" s="156">
        <v>0.0</v>
      </c>
      <c r="EL732" s="156">
        <v>0.0</v>
      </c>
      <c r="FQ732" s="156">
        <v>0.0</v>
      </c>
      <c r="FR732" s="156">
        <v>0.0</v>
      </c>
      <c r="FS732" s="156">
        <v>0.0</v>
      </c>
      <c r="FT732" s="156">
        <v>0.0</v>
      </c>
      <c r="FU732" s="156">
        <v>0.0</v>
      </c>
      <c r="FV732" s="156">
        <v>0.0</v>
      </c>
      <c r="FW732" s="157"/>
      <c r="FX732" s="157"/>
      <c r="FY732" s="157"/>
      <c r="FZ732" s="157"/>
      <c r="GA732" s="157"/>
      <c r="GB732" s="157"/>
      <c r="GC732" s="157"/>
      <c r="GD732" s="157"/>
      <c r="GE732" s="157"/>
      <c r="GF732" s="157"/>
      <c r="GG732" s="157"/>
      <c r="GH732" s="157"/>
      <c r="GI732" s="157"/>
      <c r="GJ732" s="157"/>
      <c r="GK732" s="157"/>
      <c r="GL732" s="157"/>
      <c r="GM732" s="157"/>
      <c r="GN732" s="157"/>
      <c r="GO732" s="157"/>
      <c r="GP732" s="158"/>
      <c r="GQ732" s="157"/>
      <c r="GR732" s="157"/>
      <c r="GS732" s="157"/>
      <c r="GT732" s="157"/>
      <c r="GU732" s="157"/>
      <c r="GV732" s="157"/>
      <c r="GW732" s="157"/>
      <c r="GX732" s="157"/>
      <c r="GY732" s="157"/>
      <c r="GZ732" s="157"/>
      <c r="HA732" s="157"/>
      <c r="HB732" s="155">
        <v>0.0</v>
      </c>
      <c r="HC732" s="155">
        <v>0.0</v>
      </c>
      <c r="HD732" s="155">
        <v>0.0</v>
      </c>
      <c r="HE732" s="155">
        <v>0.0</v>
      </c>
      <c r="HF732" s="155">
        <v>0.0</v>
      </c>
      <c r="HG732" s="155">
        <v>0.0</v>
      </c>
      <c r="IL732" s="159">
        <v>0.0</v>
      </c>
      <c r="IM732" s="156">
        <v>0.0</v>
      </c>
      <c r="IN732" s="156">
        <v>0.0</v>
      </c>
      <c r="IO732" s="156">
        <v>0.0</v>
      </c>
      <c r="IP732" s="156">
        <v>0.0</v>
      </c>
      <c r="IQ732" s="160">
        <v>0.0</v>
      </c>
      <c r="JH732" s="25"/>
      <c r="JW732" s="159">
        <v>2.0</v>
      </c>
      <c r="JX732" s="156">
        <v>0.0</v>
      </c>
      <c r="JY732" s="156">
        <v>0.0</v>
      </c>
      <c r="JZ732" s="156">
        <v>0.0</v>
      </c>
      <c r="KA732" s="156">
        <v>0.0</v>
      </c>
      <c r="KB732" s="160">
        <v>0.0</v>
      </c>
      <c r="LA732" s="172">
        <v>1.0</v>
      </c>
      <c r="LB732" s="172"/>
      <c r="LC732" s="172">
        <v>1.0</v>
      </c>
      <c r="LD732" s="172"/>
      <c r="LE732" s="172"/>
      <c r="LF732" s="172"/>
      <c r="LG732" s="172"/>
      <c r="LH732" s="159">
        <f t="shared" si="10"/>
        <v>1</v>
      </c>
      <c r="LI732" s="156">
        <f t="shared" si="11"/>
        <v>0</v>
      </c>
      <c r="LJ732" s="156">
        <f t="shared" si="12"/>
        <v>0</v>
      </c>
      <c r="LK732" s="156">
        <f t="shared" si="13"/>
        <v>0</v>
      </c>
      <c r="LL732" s="156">
        <f t="shared" si="14"/>
        <v>0</v>
      </c>
      <c r="LM732" s="160">
        <f t="shared" si="15"/>
        <v>0</v>
      </c>
      <c r="LP732" s="189">
        <v>1.0</v>
      </c>
      <c r="QX732" s="560">
        <v>46254.0</v>
      </c>
    </row>
    <row r="733">
      <c r="A733" s="12"/>
      <c r="B733" s="12"/>
      <c r="C733" s="12"/>
      <c r="D733" s="12"/>
      <c r="E733" s="12"/>
      <c r="F733" s="12"/>
      <c r="G733" s="12"/>
      <c r="H733" s="12"/>
      <c r="I733" s="143">
        <f t="shared" si="22"/>
        <v>-11</v>
      </c>
      <c r="J733" s="537">
        <v>46259.0</v>
      </c>
      <c r="K733" s="164" t="s">
        <v>48</v>
      </c>
      <c r="L733" s="108"/>
      <c r="M733" s="86" t="s">
        <v>3745</v>
      </c>
      <c r="N733" s="86">
        <v>357.0</v>
      </c>
      <c r="O733" s="86">
        <v>30.0</v>
      </c>
      <c r="U733" s="162" t="s">
        <v>3746</v>
      </c>
      <c r="V733" s="538" t="s">
        <v>3747</v>
      </c>
      <c r="W733" s="125" t="s">
        <v>3748</v>
      </c>
      <c r="X733" s="140"/>
      <c r="Y733" s="166">
        <f t="shared" si="23"/>
        <v>11</v>
      </c>
      <c r="Z733" s="26">
        <f t="shared" si="7"/>
        <v>0</v>
      </c>
      <c r="AA733" s="26">
        <f t="shared" si="8"/>
        <v>1</v>
      </c>
      <c r="AB733" s="26">
        <f t="shared" si="9"/>
        <v>0</v>
      </c>
      <c r="AC733" s="156">
        <v>0.0</v>
      </c>
      <c r="AD733" s="156">
        <v>0.0</v>
      </c>
      <c r="AE733" s="156">
        <v>0.0</v>
      </c>
      <c r="AF733" s="156">
        <v>0.0</v>
      </c>
      <c r="AG733" s="156">
        <v>0.0</v>
      </c>
      <c r="AH733" s="156">
        <v>0.0</v>
      </c>
      <c r="BN733" s="155">
        <v>0.0</v>
      </c>
      <c r="BO733" s="155">
        <v>0.0</v>
      </c>
      <c r="BP733" s="155">
        <v>0.0</v>
      </c>
      <c r="BQ733" s="155">
        <v>0.0</v>
      </c>
      <c r="BR733" s="155">
        <v>0.0</v>
      </c>
      <c r="BS733" s="155">
        <v>0.0</v>
      </c>
      <c r="CV733" s="156">
        <v>0.0</v>
      </c>
      <c r="CW733" s="156">
        <v>0.0</v>
      </c>
      <c r="CX733" s="156">
        <v>0.0</v>
      </c>
      <c r="CY733" s="156">
        <v>0.0</v>
      </c>
      <c r="CZ733" s="156">
        <v>0.0</v>
      </c>
      <c r="DA733" s="156">
        <v>0.0</v>
      </c>
      <c r="EG733" s="156">
        <v>0.0</v>
      </c>
      <c r="EH733" s="156">
        <v>0.0</v>
      </c>
      <c r="EI733" s="156">
        <v>0.0</v>
      </c>
      <c r="EJ733" s="156">
        <v>0.0</v>
      </c>
      <c r="EK733" s="156">
        <v>0.0</v>
      </c>
      <c r="EL733" s="156">
        <v>0.0</v>
      </c>
      <c r="FQ733" s="156">
        <v>0.0</v>
      </c>
      <c r="FR733" s="156">
        <v>0.0</v>
      </c>
      <c r="FS733" s="156">
        <v>0.0</v>
      </c>
      <c r="FT733" s="156">
        <v>0.0</v>
      </c>
      <c r="FU733" s="156">
        <v>0.0</v>
      </c>
      <c r="FV733" s="156">
        <v>0.0</v>
      </c>
      <c r="FW733" s="157"/>
      <c r="FX733" s="157"/>
      <c r="FY733" s="157"/>
      <c r="FZ733" s="157"/>
      <c r="GA733" s="157"/>
      <c r="GB733" s="157"/>
      <c r="GC733" s="157"/>
      <c r="GD733" s="157"/>
      <c r="GE733" s="157"/>
      <c r="GF733" s="157"/>
      <c r="GG733" s="157"/>
      <c r="GH733" s="157"/>
      <c r="GI733" s="157"/>
      <c r="GJ733" s="157"/>
      <c r="GK733" s="157"/>
      <c r="GL733" s="157"/>
      <c r="GM733" s="157"/>
      <c r="GN733" s="157"/>
      <c r="GO733" s="157"/>
      <c r="GP733" s="158"/>
      <c r="GQ733" s="157"/>
      <c r="GR733" s="157"/>
      <c r="GS733" s="157"/>
      <c r="GT733" s="157"/>
      <c r="GU733" s="157"/>
      <c r="GV733" s="157"/>
      <c r="GW733" s="157"/>
      <c r="GX733" s="157"/>
      <c r="GY733" s="157"/>
      <c r="GZ733" s="157"/>
      <c r="HA733" s="157"/>
      <c r="HB733" s="155">
        <v>0.0</v>
      </c>
      <c r="HC733" s="155">
        <v>0.0</v>
      </c>
      <c r="HD733" s="155">
        <v>0.0</v>
      </c>
      <c r="HE733" s="155">
        <v>0.0</v>
      </c>
      <c r="HF733" s="155">
        <v>0.0</v>
      </c>
      <c r="HG733" s="155">
        <v>0.0</v>
      </c>
      <c r="IL733" s="159">
        <v>0.0</v>
      </c>
      <c r="IM733" s="156">
        <v>0.0</v>
      </c>
      <c r="IN733" s="156">
        <v>0.0</v>
      </c>
      <c r="IO733" s="156">
        <v>0.0</v>
      </c>
      <c r="IP733" s="156">
        <v>0.0</v>
      </c>
      <c r="IQ733" s="160">
        <v>0.0</v>
      </c>
      <c r="JH733" s="25"/>
      <c r="JW733" s="159">
        <v>2.0</v>
      </c>
      <c r="JX733" s="156">
        <v>0.0</v>
      </c>
      <c r="JY733" s="156">
        <v>0.0</v>
      </c>
      <c r="JZ733" s="156">
        <v>1.0</v>
      </c>
      <c r="KA733" s="156">
        <v>0.0</v>
      </c>
      <c r="KB733" s="160">
        <v>0.0</v>
      </c>
      <c r="LA733" s="172">
        <v>1.0</v>
      </c>
      <c r="LB733" s="172"/>
      <c r="LC733" s="172"/>
      <c r="LD733" s="172"/>
      <c r="LE733" s="172" t="s">
        <v>624</v>
      </c>
      <c r="LF733" s="172"/>
      <c r="LG733" s="172"/>
      <c r="LH733" s="159">
        <f t="shared" si="10"/>
        <v>9</v>
      </c>
      <c r="LI733" s="156">
        <f t="shared" si="11"/>
        <v>0</v>
      </c>
      <c r="LJ733" s="156">
        <f t="shared" si="12"/>
        <v>0</v>
      </c>
      <c r="LK733" s="156">
        <f t="shared" si="13"/>
        <v>0</v>
      </c>
      <c r="LL733" s="156">
        <f t="shared" si="14"/>
        <v>0</v>
      </c>
      <c r="LM733" s="160">
        <f t="shared" si="15"/>
        <v>0</v>
      </c>
      <c r="LP733" s="189">
        <v>1.0</v>
      </c>
      <c r="LU733" s="189">
        <v>1.0</v>
      </c>
      <c r="LW733" s="12">
        <f t="shared" ref="LW733:MQ733" si="124">IFS(TODAY()&lt;=LC$2,0,WEEKDAY(LC$2)=2,0,WEEKDAY(LC$2)=3,1,WEEKDAY(LC$2)=4,0,WEEKDAY(LC$2)=5,1,WEEKDAY(LC$2)=6,0,WEEKDAY(LC$2)=7,1,WEEKDAY(LC$2)=1,0)</f>
        <v>1</v>
      </c>
      <c r="LX733" s="12">
        <f t="shared" si="124"/>
        <v>0</v>
      </c>
      <c r="LY733" s="12">
        <f t="shared" si="124"/>
        <v>1</v>
      </c>
      <c r="LZ733" s="12">
        <f t="shared" si="124"/>
        <v>0</v>
      </c>
      <c r="MA733" s="12">
        <f t="shared" si="124"/>
        <v>0</v>
      </c>
      <c r="MB733" s="12">
        <f t="shared" si="124"/>
        <v>0</v>
      </c>
      <c r="MC733" s="12">
        <f t="shared" si="124"/>
        <v>0</v>
      </c>
      <c r="MD733" s="12">
        <f t="shared" si="124"/>
        <v>0</v>
      </c>
      <c r="ME733" s="12">
        <f t="shared" si="124"/>
        <v>0</v>
      </c>
      <c r="MF733" s="12">
        <f t="shared" si="124"/>
        <v>0</v>
      </c>
      <c r="MG733" s="12">
        <f t="shared" si="124"/>
        <v>0</v>
      </c>
      <c r="MH733" s="12">
        <f t="shared" si="124"/>
        <v>1</v>
      </c>
      <c r="MI733" s="12">
        <f t="shared" si="124"/>
        <v>0</v>
      </c>
      <c r="MJ733" s="12">
        <f t="shared" si="124"/>
        <v>1</v>
      </c>
      <c r="MK733" s="12">
        <f t="shared" si="124"/>
        <v>0</v>
      </c>
      <c r="ML733" s="12">
        <f t="shared" si="124"/>
        <v>1</v>
      </c>
      <c r="MM733" s="12">
        <f t="shared" si="124"/>
        <v>0</v>
      </c>
      <c r="MN733" s="12">
        <f t="shared" si="124"/>
        <v>0</v>
      </c>
      <c r="MO733" s="12">
        <f t="shared" si="124"/>
        <v>1</v>
      </c>
      <c r="MP733" s="12">
        <f t="shared" si="124"/>
        <v>0</v>
      </c>
      <c r="MQ733" s="12">
        <f t="shared" si="124"/>
        <v>1</v>
      </c>
      <c r="QX733" s="560">
        <v>46256.0</v>
      </c>
    </row>
    <row r="734">
      <c r="A734" s="12"/>
      <c r="B734" s="12"/>
      <c r="C734" s="12"/>
      <c r="D734" s="12"/>
      <c r="E734" s="12"/>
      <c r="F734" s="12"/>
      <c r="G734" s="12"/>
      <c r="H734" s="12"/>
      <c r="I734" s="143">
        <f t="shared" si="22"/>
        <v>-12</v>
      </c>
      <c r="J734" s="537">
        <v>46261.0</v>
      </c>
      <c r="K734" s="164" t="s">
        <v>48</v>
      </c>
      <c r="L734" s="108"/>
      <c r="M734" s="86" t="s">
        <v>107</v>
      </c>
      <c r="N734" s="86">
        <v>357.0</v>
      </c>
      <c r="O734" s="86">
        <v>30.0</v>
      </c>
      <c r="U734" s="162" t="s">
        <v>3344</v>
      </c>
      <c r="V734" s="538" t="s">
        <v>3080</v>
      </c>
      <c r="W734" s="125" t="s">
        <v>3749</v>
      </c>
      <c r="X734" s="140"/>
      <c r="Y734" s="166">
        <f t="shared" si="23"/>
        <v>12</v>
      </c>
      <c r="Z734" s="26">
        <f t="shared" si="7"/>
        <v>0</v>
      </c>
      <c r="AA734" s="26">
        <f t="shared" si="8"/>
        <v>0</v>
      </c>
      <c r="AB734" s="26">
        <f t="shared" si="9"/>
        <v>0</v>
      </c>
      <c r="AC734" s="156">
        <v>0.0</v>
      </c>
      <c r="AD734" s="156">
        <v>0.0</v>
      </c>
      <c r="AE734" s="156">
        <v>0.0</v>
      </c>
      <c r="AF734" s="156">
        <v>0.0</v>
      </c>
      <c r="AG734" s="156">
        <v>0.0</v>
      </c>
      <c r="AH734" s="156">
        <v>0.0</v>
      </c>
      <c r="BN734" s="155">
        <v>0.0</v>
      </c>
      <c r="BO734" s="155">
        <v>0.0</v>
      </c>
      <c r="BP734" s="155">
        <v>0.0</v>
      </c>
      <c r="BQ734" s="155">
        <v>0.0</v>
      </c>
      <c r="BR734" s="155">
        <v>0.0</v>
      </c>
      <c r="BS734" s="155">
        <v>0.0</v>
      </c>
      <c r="CV734" s="156">
        <v>0.0</v>
      </c>
      <c r="CW734" s="156">
        <v>0.0</v>
      </c>
      <c r="CX734" s="156">
        <v>0.0</v>
      </c>
      <c r="CY734" s="156">
        <v>0.0</v>
      </c>
      <c r="CZ734" s="156">
        <v>0.0</v>
      </c>
      <c r="DA734" s="156">
        <v>0.0</v>
      </c>
      <c r="EG734" s="156">
        <v>0.0</v>
      </c>
      <c r="EH734" s="156">
        <v>0.0</v>
      </c>
      <c r="EI734" s="156">
        <v>0.0</v>
      </c>
      <c r="EJ734" s="156">
        <v>0.0</v>
      </c>
      <c r="EK734" s="156">
        <v>0.0</v>
      </c>
      <c r="EL734" s="156">
        <v>0.0</v>
      </c>
      <c r="FQ734" s="156">
        <v>0.0</v>
      </c>
      <c r="FR734" s="156">
        <v>0.0</v>
      </c>
      <c r="FS734" s="156">
        <v>0.0</v>
      </c>
      <c r="FT734" s="156">
        <v>0.0</v>
      </c>
      <c r="FU734" s="156">
        <v>0.0</v>
      </c>
      <c r="FV734" s="156">
        <v>0.0</v>
      </c>
      <c r="FW734" s="157"/>
      <c r="FX734" s="157"/>
      <c r="FY734" s="157"/>
      <c r="FZ734" s="157"/>
      <c r="GA734" s="157"/>
      <c r="GB734" s="157"/>
      <c r="GC734" s="157"/>
      <c r="GD734" s="157"/>
      <c r="GE734" s="157"/>
      <c r="GF734" s="157"/>
      <c r="GG734" s="157"/>
      <c r="GH734" s="157"/>
      <c r="GI734" s="157"/>
      <c r="GJ734" s="157"/>
      <c r="GK734" s="157"/>
      <c r="GL734" s="157"/>
      <c r="GM734" s="157"/>
      <c r="GN734" s="157"/>
      <c r="GO734" s="157"/>
      <c r="GP734" s="158"/>
      <c r="GQ734" s="157"/>
      <c r="GR734" s="157"/>
      <c r="GS734" s="157"/>
      <c r="GT734" s="157"/>
      <c r="GU734" s="157"/>
      <c r="GV734" s="157"/>
      <c r="GW734" s="157"/>
      <c r="GX734" s="157"/>
      <c r="GY734" s="157"/>
      <c r="GZ734" s="157"/>
      <c r="HA734" s="157"/>
      <c r="HB734" s="155">
        <v>0.0</v>
      </c>
      <c r="HC734" s="155">
        <v>0.0</v>
      </c>
      <c r="HD734" s="155">
        <v>0.0</v>
      </c>
      <c r="HE734" s="155">
        <v>0.0</v>
      </c>
      <c r="HF734" s="155">
        <v>0.0</v>
      </c>
      <c r="HG734" s="155">
        <v>0.0</v>
      </c>
      <c r="IL734" s="159">
        <v>0.0</v>
      </c>
      <c r="IM734" s="156">
        <v>0.0</v>
      </c>
      <c r="IN734" s="156">
        <v>0.0</v>
      </c>
      <c r="IO734" s="156">
        <v>0.0</v>
      </c>
      <c r="IP734" s="156">
        <v>0.0</v>
      </c>
      <c r="IQ734" s="160">
        <v>0.0</v>
      </c>
      <c r="JH734" s="25"/>
      <c r="JW734" s="159">
        <v>2.0</v>
      </c>
      <c r="JX734" s="156">
        <v>0.0</v>
      </c>
      <c r="JY734" s="156">
        <v>0.0</v>
      </c>
      <c r="JZ734" s="156">
        <v>0.0</v>
      </c>
      <c r="KA734" s="156">
        <v>0.0</v>
      </c>
      <c r="KB734" s="160">
        <v>0.0</v>
      </c>
      <c r="LC734" s="86">
        <v>1.0</v>
      </c>
      <c r="LE734" s="86">
        <v>1.0</v>
      </c>
      <c r="LH734" s="159">
        <f t="shared" si="10"/>
        <v>10</v>
      </c>
      <c r="LI734" s="156">
        <f t="shared" si="11"/>
        <v>0</v>
      </c>
      <c r="LJ734" s="156">
        <f t="shared" si="12"/>
        <v>0</v>
      </c>
      <c r="LK734" s="156">
        <f t="shared" si="13"/>
        <v>0</v>
      </c>
      <c r="LL734" s="156">
        <f t="shared" si="14"/>
        <v>0</v>
      </c>
      <c r="LM734" s="160">
        <f t="shared" si="15"/>
        <v>0</v>
      </c>
      <c r="LP734" s="189">
        <v>1.0</v>
      </c>
      <c r="LR734" s="189">
        <v>1.0</v>
      </c>
      <c r="LU734" s="189">
        <v>1.0</v>
      </c>
      <c r="LW734" s="12">
        <f t="shared" ref="LW734:MQ734" si="125">IFS(TODAY()&lt;=LC$2,0,WEEKDAY(LC$2)=2,0,WEEKDAY(LC$2)=3,1,WEEKDAY(LC$2)=4,0,WEEKDAY(LC$2)=5,1,WEEKDAY(LC$2)=6,0,WEEKDAY(LC$2)=7,1,WEEKDAY(LC$2)=1,0)</f>
        <v>1</v>
      </c>
      <c r="LX734" s="12">
        <f t="shared" si="125"/>
        <v>0</v>
      </c>
      <c r="LY734" s="12">
        <f t="shared" si="125"/>
        <v>1</v>
      </c>
      <c r="LZ734" s="12">
        <f t="shared" si="125"/>
        <v>0</v>
      </c>
      <c r="MA734" s="12">
        <f t="shared" si="125"/>
        <v>0</v>
      </c>
      <c r="MB734" s="12">
        <f t="shared" si="125"/>
        <v>0</v>
      </c>
      <c r="MC734" s="12">
        <f t="shared" si="125"/>
        <v>0</v>
      </c>
      <c r="MD734" s="12">
        <f t="shared" si="125"/>
        <v>0</v>
      </c>
      <c r="ME734" s="12">
        <f t="shared" si="125"/>
        <v>0</v>
      </c>
      <c r="MF734" s="12">
        <f t="shared" si="125"/>
        <v>0</v>
      </c>
      <c r="MG734" s="12">
        <f t="shared" si="125"/>
        <v>0</v>
      </c>
      <c r="MH734" s="12">
        <f t="shared" si="125"/>
        <v>1</v>
      </c>
      <c r="MI734" s="12">
        <f t="shared" si="125"/>
        <v>0</v>
      </c>
      <c r="MJ734" s="12">
        <f t="shared" si="125"/>
        <v>1</v>
      </c>
      <c r="MK734" s="12">
        <f t="shared" si="125"/>
        <v>0</v>
      </c>
      <c r="ML734" s="12">
        <f t="shared" si="125"/>
        <v>1</v>
      </c>
      <c r="MM734" s="12">
        <f t="shared" si="125"/>
        <v>0</v>
      </c>
      <c r="MN734" s="12">
        <f t="shared" si="125"/>
        <v>0</v>
      </c>
      <c r="MO734" s="12">
        <f t="shared" si="125"/>
        <v>1</v>
      </c>
      <c r="MP734" s="12">
        <f t="shared" si="125"/>
        <v>0</v>
      </c>
      <c r="MQ734" s="12">
        <f t="shared" si="125"/>
        <v>1</v>
      </c>
      <c r="QX734" s="560">
        <v>46259.0</v>
      </c>
    </row>
    <row r="735">
      <c r="A735" s="12"/>
      <c r="B735" s="12"/>
      <c r="C735" s="12"/>
      <c r="D735" s="12"/>
      <c r="E735" s="12"/>
      <c r="F735" s="12"/>
      <c r="G735" s="12"/>
      <c r="H735" s="12"/>
      <c r="I735" s="143">
        <f t="shared" si="22"/>
        <v>-4</v>
      </c>
      <c r="J735" s="537">
        <v>46262.0</v>
      </c>
      <c r="K735" s="164" t="s">
        <v>48</v>
      </c>
      <c r="L735" s="108"/>
      <c r="M735" s="86" t="s">
        <v>107</v>
      </c>
      <c r="N735" s="86">
        <v>24.0</v>
      </c>
      <c r="O735" s="86">
        <v>30.0</v>
      </c>
      <c r="U735" s="162" t="s">
        <v>1140</v>
      </c>
      <c r="V735" s="538" t="s">
        <v>2501</v>
      </c>
      <c r="W735" s="125" t="s">
        <v>3750</v>
      </c>
      <c r="X735" s="140"/>
      <c r="Y735" s="166">
        <f t="shared" si="23"/>
        <v>4</v>
      </c>
      <c r="Z735" s="26">
        <f t="shared" si="7"/>
        <v>0</v>
      </c>
      <c r="AA735" s="26">
        <f t="shared" si="8"/>
        <v>0</v>
      </c>
      <c r="AB735" s="26">
        <f t="shared" si="9"/>
        <v>0</v>
      </c>
      <c r="AC735" s="156">
        <v>0.0</v>
      </c>
      <c r="AD735" s="156">
        <v>0.0</v>
      </c>
      <c r="AE735" s="156">
        <v>0.0</v>
      </c>
      <c r="AF735" s="156">
        <v>0.0</v>
      </c>
      <c r="AG735" s="156">
        <v>0.0</v>
      </c>
      <c r="AH735" s="156">
        <v>0.0</v>
      </c>
      <c r="BN735" s="155">
        <v>0.0</v>
      </c>
      <c r="BO735" s="155">
        <v>0.0</v>
      </c>
      <c r="BP735" s="155">
        <v>0.0</v>
      </c>
      <c r="BQ735" s="155">
        <v>0.0</v>
      </c>
      <c r="BR735" s="155">
        <v>0.0</v>
      </c>
      <c r="BS735" s="155">
        <v>0.0</v>
      </c>
      <c r="CV735" s="156">
        <v>0.0</v>
      </c>
      <c r="CW735" s="156">
        <v>0.0</v>
      </c>
      <c r="CX735" s="156">
        <v>0.0</v>
      </c>
      <c r="CY735" s="156">
        <v>0.0</v>
      </c>
      <c r="CZ735" s="156">
        <v>0.0</v>
      </c>
      <c r="DA735" s="156">
        <v>0.0</v>
      </c>
      <c r="EG735" s="156">
        <v>0.0</v>
      </c>
      <c r="EH735" s="156">
        <v>0.0</v>
      </c>
      <c r="EI735" s="156">
        <v>0.0</v>
      </c>
      <c r="EJ735" s="156">
        <v>0.0</v>
      </c>
      <c r="EK735" s="156">
        <v>0.0</v>
      </c>
      <c r="EL735" s="156">
        <v>0.0</v>
      </c>
      <c r="FQ735" s="156">
        <v>0.0</v>
      </c>
      <c r="FR735" s="156">
        <v>0.0</v>
      </c>
      <c r="FS735" s="156">
        <v>0.0</v>
      </c>
      <c r="FT735" s="156">
        <v>0.0</v>
      </c>
      <c r="FU735" s="156">
        <v>0.0</v>
      </c>
      <c r="FV735" s="156">
        <v>0.0</v>
      </c>
      <c r="FW735" s="157"/>
      <c r="FX735" s="157"/>
      <c r="FY735" s="157"/>
      <c r="FZ735" s="157"/>
      <c r="GA735" s="157"/>
      <c r="GB735" s="157"/>
      <c r="GC735" s="157"/>
      <c r="GD735" s="157"/>
      <c r="GE735" s="157"/>
      <c r="GF735" s="157"/>
      <c r="GG735" s="157"/>
      <c r="GH735" s="157"/>
      <c r="GI735" s="157"/>
      <c r="GJ735" s="157"/>
      <c r="GK735" s="157"/>
      <c r="GL735" s="157"/>
      <c r="GM735" s="157"/>
      <c r="GN735" s="157"/>
      <c r="GO735" s="157"/>
      <c r="GP735" s="158"/>
      <c r="GQ735" s="157"/>
      <c r="GR735" s="157"/>
      <c r="GS735" s="157"/>
      <c r="GT735" s="157"/>
      <c r="GU735" s="157"/>
      <c r="GV735" s="157"/>
      <c r="GW735" s="157"/>
      <c r="GX735" s="157"/>
      <c r="GY735" s="157"/>
      <c r="GZ735" s="157"/>
      <c r="HA735" s="157"/>
      <c r="HB735" s="155">
        <v>0.0</v>
      </c>
      <c r="HC735" s="155">
        <v>0.0</v>
      </c>
      <c r="HD735" s="155">
        <v>0.0</v>
      </c>
      <c r="HE735" s="155">
        <v>0.0</v>
      </c>
      <c r="HF735" s="155">
        <v>0.0</v>
      </c>
      <c r="HG735" s="155">
        <v>0.0</v>
      </c>
      <c r="IL735" s="159">
        <v>0.0</v>
      </c>
      <c r="IM735" s="156">
        <v>0.0</v>
      </c>
      <c r="IN735" s="156">
        <v>0.0</v>
      </c>
      <c r="IO735" s="156">
        <v>0.0</v>
      </c>
      <c r="IP735" s="156">
        <v>0.0</v>
      </c>
      <c r="IQ735" s="160">
        <v>0.0</v>
      </c>
      <c r="JH735" s="25"/>
      <c r="JW735" s="159">
        <v>1.0</v>
      </c>
      <c r="JX735" s="156">
        <v>0.0</v>
      </c>
      <c r="JY735" s="156">
        <v>0.0</v>
      </c>
      <c r="JZ735" s="156">
        <v>0.0</v>
      </c>
      <c r="KA735" s="156">
        <v>0.0</v>
      </c>
      <c r="KB735" s="160">
        <v>0.0</v>
      </c>
      <c r="LC735" s="174"/>
      <c r="LD735" s="175">
        <v>1.0</v>
      </c>
      <c r="LE735" s="174"/>
      <c r="LF735" s="174"/>
      <c r="LG735" s="174"/>
      <c r="LH735" s="159">
        <f t="shared" si="10"/>
        <v>3</v>
      </c>
      <c r="LI735" s="156">
        <f t="shared" si="11"/>
        <v>0</v>
      </c>
      <c r="LJ735" s="156">
        <f t="shared" si="12"/>
        <v>0</v>
      </c>
      <c r="LK735" s="156">
        <f t="shared" si="13"/>
        <v>0</v>
      </c>
      <c r="LL735" s="156">
        <f t="shared" si="14"/>
        <v>0</v>
      </c>
      <c r="LM735" s="160">
        <f t="shared" si="15"/>
        <v>0</v>
      </c>
      <c r="LQ735" s="189">
        <v>1.0</v>
      </c>
      <c r="LT735" s="189">
        <v>1.0</v>
      </c>
      <c r="LV735" s="189">
        <v>1.0</v>
      </c>
      <c r="QX735" s="560">
        <v>46259.0</v>
      </c>
    </row>
    <row r="736">
      <c r="A736" s="12"/>
      <c r="B736" s="12"/>
      <c r="C736" s="12"/>
      <c r="D736" s="12"/>
      <c r="E736" s="12"/>
      <c r="F736" s="12"/>
      <c r="G736" s="12"/>
      <c r="H736" s="12"/>
      <c r="I736" s="143">
        <f t="shared" si="22"/>
        <v>-2</v>
      </c>
      <c r="J736" s="537">
        <v>46268.0</v>
      </c>
      <c r="K736" s="294" t="s">
        <v>48</v>
      </c>
      <c r="L736" s="108"/>
      <c r="M736" s="86" t="s">
        <v>227</v>
      </c>
      <c r="N736" s="86">
        <v>35.0</v>
      </c>
      <c r="O736" s="86">
        <v>30.0</v>
      </c>
      <c r="U736" s="162" t="s">
        <v>786</v>
      </c>
      <c r="V736" s="538" t="s">
        <v>1974</v>
      </c>
      <c r="W736" s="125" t="s">
        <v>3751</v>
      </c>
      <c r="X736" s="140"/>
      <c r="Y736" s="166">
        <f t="shared" si="23"/>
        <v>2</v>
      </c>
      <c r="Z736" s="26">
        <f t="shared" si="7"/>
        <v>0</v>
      </c>
      <c r="AA736" s="26">
        <f t="shared" si="8"/>
        <v>0</v>
      </c>
      <c r="AB736" s="26">
        <f t="shared" si="9"/>
        <v>0</v>
      </c>
      <c r="AC736" s="156">
        <v>0.0</v>
      </c>
      <c r="AD736" s="156">
        <v>0.0</v>
      </c>
      <c r="AE736" s="156">
        <v>0.0</v>
      </c>
      <c r="AF736" s="156">
        <v>0.0</v>
      </c>
      <c r="AG736" s="156">
        <v>0.0</v>
      </c>
      <c r="AH736" s="156">
        <v>0.0</v>
      </c>
      <c r="BN736" s="155">
        <v>0.0</v>
      </c>
      <c r="BO736" s="155">
        <v>0.0</v>
      </c>
      <c r="BP736" s="155">
        <v>0.0</v>
      </c>
      <c r="BQ736" s="155">
        <v>0.0</v>
      </c>
      <c r="BR736" s="155">
        <v>0.0</v>
      </c>
      <c r="BS736" s="155">
        <v>0.0</v>
      </c>
      <c r="CV736" s="156">
        <v>0.0</v>
      </c>
      <c r="CW736" s="156">
        <v>0.0</v>
      </c>
      <c r="CX736" s="156">
        <v>0.0</v>
      </c>
      <c r="CY736" s="156">
        <v>0.0</v>
      </c>
      <c r="CZ736" s="156">
        <v>0.0</v>
      </c>
      <c r="DA736" s="156">
        <v>0.0</v>
      </c>
      <c r="EG736" s="156">
        <v>0.0</v>
      </c>
      <c r="EH736" s="156">
        <v>0.0</v>
      </c>
      <c r="EI736" s="156">
        <v>0.0</v>
      </c>
      <c r="EJ736" s="156">
        <v>0.0</v>
      </c>
      <c r="EK736" s="156">
        <v>0.0</v>
      </c>
      <c r="EL736" s="156">
        <v>0.0</v>
      </c>
      <c r="FQ736" s="156">
        <v>0.0</v>
      </c>
      <c r="FR736" s="156">
        <v>0.0</v>
      </c>
      <c r="FS736" s="156">
        <v>0.0</v>
      </c>
      <c r="FT736" s="156">
        <v>0.0</v>
      </c>
      <c r="FU736" s="156">
        <v>0.0</v>
      </c>
      <c r="FV736" s="156">
        <v>0.0</v>
      </c>
      <c r="FW736" s="157"/>
      <c r="FX736" s="157"/>
      <c r="FY736" s="157"/>
      <c r="FZ736" s="157"/>
      <c r="GA736" s="157"/>
      <c r="GB736" s="157"/>
      <c r="GC736" s="157"/>
      <c r="GD736" s="157"/>
      <c r="GE736" s="157"/>
      <c r="GF736" s="157"/>
      <c r="GG736" s="157"/>
      <c r="GH736" s="157"/>
      <c r="GI736" s="157"/>
      <c r="GJ736" s="157"/>
      <c r="GK736" s="157"/>
      <c r="GL736" s="157"/>
      <c r="GM736" s="157"/>
      <c r="GN736" s="157"/>
      <c r="GO736" s="157"/>
      <c r="GP736" s="158"/>
      <c r="GQ736" s="157"/>
      <c r="GR736" s="157"/>
      <c r="GS736" s="157"/>
      <c r="GT736" s="157"/>
      <c r="GU736" s="157"/>
      <c r="GV736" s="157"/>
      <c r="GW736" s="157"/>
      <c r="GX736" s="157"/>
      <c r="GY736" s="157"/>
      <c r="GZ736" s="157"/>
      <c r="HA736" s="157"/>
      <c r="HB736" s="155">
        <v>0.0</v>
      </c>
      <c r="HC736" s="155">
        <v>0.0</v>
      </c>
      <c r="HD736" s="155">
        <v>0.0</v>
      </c>
      <c r="HE736" s="155">
        <v>0.0</v>
      </c>
      <c r="HF736" s="155">
        <v>0.0</v>
      </c>
      <c r="HG736" s="155">
        <v>0.0</v>
      </c>
      <c r="IL736" s="159">
        <v>0.0</v>
      </c>
      <c r="IM736" s="156">
        <v>0.0</v>
      </c>
      <c r="IN736" s="156">
        <v>0.0</v>
      </c>
      <c r="IO736" s="156">
        <v>0.0</v>
      </c>
      <c r="IP736" s="156">
        <v>0.0</v>
      </c>
      <c r="IQ736" s="160">
        <v>0.0</v>
      </c>
      <c r="JH736" s="25"/>
      <c r="JW736" s="159">
        <v>0.0</v>
      </c>
      <c r="JX736" s="156">
        <v>0.0</v>
      </c>
      <c r="JY736" s="156">
        <v>0.0</v>
      </c>
      <c r="JZ736" s="156">
        <v>0.0</v>
      </c>
      <c r="KA736" s="156">
        <v>0.0</v>
      </c>
      <c r="KB736" s="160">
        <v>0.0</v>
      </c>
      <c r="LH736" s="159">
        <f t="shared" si="10"/>
        <v>2</v>
      </c>
      <c r="LI736" s="156">
        <f t="shared" si="11"/>
        <v>0</v>
      </c>
      <c r="LJ736" s="156">
        <f t="shared" si="12"/>
        <v>0</v>
      </c>
      <c r="LK736" s="156">
        <f t="shared" si="13"/>
        <v>0</v>
      </c>
      <c r="LL736" s="156">
        <f t="shared" si="14"/>
        <v>0</v>
      </c>
      <c r="LM736" s="160">
        <f t="shared" si="15"/>
        <v>0</v>
      </c>
      <c r="LP736" s="189">
        <v>1.0</v>
      </c>
      <c r="LU736" s="189">
        <v>1.0</v>
      </c>
      <c r="QX736" s="560">
        <v>46259.0</v>
      </c>
    </row>
    <row r="737">
      <c r="A737" s="12"/>
      <c r="B737" s="12"/>
      <c r="C737" s="12"/>
      <c r="D737" s="12"/>
      <c r="E737" s="12"/>
      <c r="F737" s="12"/>
      <c r="G737" s="12"/>
      <c r="H737" s="12"/>
      <c r="I737" s="143">
        <f t="shared" si="22"/>
        <v>-6</v>
      </c>
      <c r="J737" s="537">
        <v>46269.0</v>
      </c>
      <c r="K737" s="294" t="s">
        <v>48</v>
      </c>
      <c r="L737" s="543" t="s">
        <v>3752</v>
      </c>
      <c r="M737" s="86" t="s">
        <v>400</v>
      </c>
      <c r="N737" s="86">
        <v>246.0</v>
      </c>
      <c r="O737" s="86">
        <v>30.0</v>
      </c>
      <c r="U737" s="162" t="s">
        <v>1466</v>
      </c>
      <c r="V737" s="538" t="s">
        <v>1757</v>
      </c>
      <c r="W737" s="125" t="s">
        <v>3753</v>
      </c>
      <c r="X737" s="140"/>
      <c r="Y737" s="166">
        <f t="shared" si="23"/>
        <v>6</v>
      </c>
      <c r="Z737" s="26">
        <f t="shared" si="7"/>
        <v>0</v>
      </c>
      <c r="AA737" s="26">
        <f t="shared" si="8"/>
        <v>0</v>
      </c>
      <c r="AB737" s="26">
        <f t="shared" si="9"/>
        <v>0</v>
      </c>
      <c r="AC737" s="156">
        <v>0.0</v>
      </c>
      <c r="AD737" s="156">
        <v>0.0</v>
      </c>
      <c r="AE737" s="156">
        <v>0.0</v>
      </c>
      <c r="AF737" s="156">
        <v>0.0</v>
      </c>
      <c r="AG737" s="156">
        <v>0.0</v>
      </c>
      <c r="AH737" s="156">
        <v>0.0</v>
      </c>
      <c r="BN737" s="155">
        <v>0.0</v>
      </c>
      <c r="BO737" s="155">
        <v>0.0</v>
      </c>
      <c r="BP737" s="155">
        <v>0.0</v>
      </c>
      <c r="BQ737" s="155">
        <v>0.0</v>
      </c>
      <c r="BR737" s="155">
        <v>0.0</v>
      </c>
      <c r="BS737" s="155">
        <v>0.0</v>
      </c>
      <c r="CV737" s="156">
        <v>0.0</v>
      </c>
      <c r="CW737" s="156">
        <v>0.0</v>
      </c>
      <c r="CX737" s="156">
        <v>0.0</v>
      </c>
      <c r="CY737" s="156">
        <v>0.0</v>
      </c>
      <c r="CZ737" s="156">
        <v>0.0</v>
      </c>
      <c r="DA737" s="156">
        <v>0.0</v>
      </c>
      <c r="EG737" s="156">
        <v>0.0</v>
      </c>
      <c r="EH737" s="156">
        <v>0.0</v>
      </c>
      <c r="EI737" s="156">
        <v>0.0</v>
      </c>
      <c r="EJ737" s="156">
        <v>0.0</v>
      </c>
      <c r="EK737" s="156">
        <v>0.0</v>
      </c>
      <c r="EL737" s="156">
        <v>0.0</v>
      </c>
      <c r="FQ737" s="156">
        <v>0.0</v>
      </c>
      <c r="FR737" s="156">
        <v>0.0</v>
      </c>
      <c r="FS737" s="156">
        <v>0.0</v>
      </c>
      <c r="FT737" s="156">
        <v>0.0</v>
      </c>
      <c r="FU737" s="156">
        <v>0.0</v>
      </c>
      <c r="FV737" s="156">
        <v>0.0</v>
      </c>
      <c r="FW737" s="157"/>
      <c r="FX737" s="157"/>
      <c r="FY737" s="157"/>
      <c r="FZ737" s="157"/>
      <c r="GA737" s="157"/>
      <c r="GB737" s="157"/>
      <c r="GC737" s="157"/>
      <c r="GD737" s="157"/>
      <c r="GE737" s="157"/>
      <c r="GF737" s="157"/>
      <c r="GG737" s="157"/>
      <c r="GH737" s="157"/>
      <c r="GI737" s="157"/>
      <c r="GJ737" s="157"/>
      <c r="GK737" s="157"/>
      <c r="GL737" s="157"/>
      <c r="GM737" s="157"/>
      <c r="GN737" s="157"/>
      <c r="GO737" s="157"/>
      <c r="GP737" s="158"/>
      <c r="GQ737" s="157"/>
      <c r="GR737" s="157"/>
      <c r="GS737" s="157"/>
      <c r="GT737" s="157"/>
      <c r="GU737" s="157"/>
      <c r="GV737" s="157"/>
      <c r="GW737" s="157"/>
      <c r="GX737" s="157"/>
      <c r="GY737" s="157"/>
      <c r="GZ737" s="157"/>
      <c r="HA737" s="157"/>
      <c r="HB737" s="155">
        <v>0.0</v>
      </c>
      <c r="HC737" s="155">
        <v>0.0</v>
      </c>
      <c r="HD737" s="155">
        <v>0.0</v>
      </c>
      <c r="HE737" s="155">
        <v>0.0</v>
      </c>
      <c r="HF737" s="155">
        <v>0.0</v>
      </c>
      <c r="HG737" s="155">
        <v>0.0</v>
      </c>
      <c r="IL737" s="159">
        <v>0.0</v>
      </c>
      <c r="IM737" s="156">
        <v>0.0</v>
      </c>
      <c r="IN737" s="156">
        <v>0.0</v>
      </c>
      <c r="IO737" s="156">
        <v>0.0</v>
      </c>
      <c r="IP737" s="156">
        <v>0.0</v>
      </c>
      <c r="IQ737" s="160">
        <v>0.0</v>
      </c>
      <c r="JH737" s="25"/>
      <c r="JW737" s="159">
        <v>0.0</v>
      </c>
      <c r="JX737" s="156">
        <v>0.0</v>
      </c>
      <c r="JY737" s="156">
        <v>0.0</v>
      </c>
      <c r="JZ737" s="156">
        <v>0.0</v>
      </c>
      <c r="KA737" s="156">
        <v>0.0</v>
      </c>
      <c r="KB737" s="160">
        <v>0.0</v>
      </c>
      <c r="LH737" s="159">
        <f t="shared" si="10"/>
        <v>6</v>
      </c>
      <c r="LI737" s="156">
        <f t="shared" si="11"/>
        <v>0</v>
      </c>
      <c r="LJ737" s="156">
        <f t="shared" si="12"/>
        <v>0</v>
      </c>
      <c r="LK737" s="156">
        <f t="shared" si="13"/>
        <v>0</v>
      </c>
      <c r="LL737" s="156">
        <f t="shared" si="14"/>
        <v>0</v>
      </c>
      <c r="LM737" s="160">
        <f t="shared" si="15"/>
        <v>0</v>
      </c>
      <c r="LN737" s="174"/>
      <c r="LO737" s="174"/>
      <c r="LP737" s="174"/>
      <c r="LQ737" s="187">
        <v>1.0</v>
      </c>
      <c r="LR737" s="174"/>
      <c r="LS737" s="174"/>
      <c r="LT737" s="187">
        <v>1.0</v>
      </c>
      <c r="LU737" s="174"/>
      <c r="LV737" s="187">
        <v>1.0</v>
      </c>
      <c r="LW737" s="174">
        <f t="shared" ref="LW737:MQ737" si="126">IFS(TODAY()&lt;=LW$2,0,WEEKDAY(LW$2)=2,1,WEEKDAY(LW$2)=3,0,WEEKDAY(LW$2)=4,1,WEEKDAY(LW$2)=5,0,WEEKDAY(LW$2)=6,1,WEEKDAY(LW$2)=7,0,WEEKDAY(LW$2)=1,0)</f>
        <v>0</v>
      </c>
      <c r="LX737" s="174">
        <f t="shared" si="126"/>
        <v>1</v>
      </c>
      <c r="LY737" s="174">
        <f t="shared" si="126"/>
        <v>0</v>
      </c>
      <c r="LZ737" s="174">
        <f t="shared" si="126"/>
        <v>0</v>
      </c>
      <c r="MA737" s="174">
        <f t="shared" si="126"/>
        <v>1</v>
      </c>
      <c r="MB737" s="174">
        <f t="shared" si="126"/>
        <v>0</v>
      </c>
      <c r="MC737" s="174">
        <f t="shared" si="126"/>
        <v>1</v>
      </c>
      <c r="MD737" s="174">
        <f t="shared" si="126"/>
        <v>0</v>
      </c>
      <c r="ME737" s="174">
        <f t="shared" si="126"/>
        <v>0</v>
      </c>
      <c r="MF737" s="174">
        <f t="shared" si="126"/>
        <v>0</v>
      </c>
      <c r="MG737" s="174">
        <f t="shared" si="126"/>
        <v>0</v>
      </c>
      <c r="MH737" s="174">
        <f t="shared" si="126"/>
        <v>0</v>
      </c>
      <c r="MI737" s="174">
        <f t="shared" si="126"/>
        <v>0</v>
      </c>
      <c r="MJ737" s="174">
        <f t="shared" si="126"/>
        <v>0</v>
      </c>
      <c r="MK737" s="174">
        <f t="shared" si="126"/>
        <v>0</v>
      </c>
      <c r="ML737" s="174">
        <f t="shared" si="126"/>
        <v>0</v>
      </c>
      <c r="MM737" s="174">
        <f t="shared" si="126"/>
        <v>0</v>
      </c>
      <c r="MN737" s="174">
        <f t="shared" si="126"/>
        <v>0</v>
      </c>
      <c r="MO737" s="174">
        <f t="shared" si="126"/>
        <v>0</v>
      </c>
      <c r="MP737" s="174">
        <f t="shared" si="126"/>
        <v>0</v>
      </c>
      <c r="MQ737" s="174">
        <f t="shared" si="126"/>
        <v>0</v>
      </c>
      <c r="QX737" s="560">
        <v>46260.0</v>
      </c>
    </row>
    <row r="738">
      <c r="A738" s="12"/>
      <c r="B738" s="12"/>
      <c r="C738" s="12"/>
      <c r="D738" s="12"/>
      <c r="E738" s="12"/>
      <c r="F738" s="12"/>
      <c r="G738" s="12"/>
      <c r="H738" s="12"/>
      <c r="I738" s="143">
        <f t="shared" si="22"/>
        <v>-6</v>
      </c>
      <c r="J738" s="537">
        <v>46269.0</v>
      </c>
      <c r="K738" s="294" t="s">
        <v>48</v>
      </c>
      <c r="L738" s="108"/>
      <c r="M738" s="86" t="s">
        <v>1985</v>
      </c>
      <c r="N738" s="86">
        <v>246.0</v>
      </c>
      <c r="O738" s="86">
        <v>30.0</v>
      </c>
      <c r="U738" s="162" t="s">
        <v>3149</v>
      </c>
      <c r="V738" s="538" t="s">
        <v>1553</v>
      </c>
      <c r="W738" s="125" t="s">
        <v>3754</v>
      </c>
      <c r="X738" s="140"/>
      <c r="Y738" s="166">
        <f t="shared" si="23"/>
        <v>6</v>
      </c>
      <c r="Z738" s="26">
        <f t="shared" si="7"/>
        <v>0</v>
      </c>
      <c r="AA738" s="26">
        <f t="shared" si="8"/>
        <v>0</v>
      </c>
      <c r="AB738" s="26">
        <f t="shared" si="9"/>
        <v>0</v>
      </c>
      <c r="AC738" s="156">
        <v>0.0</v>
      </c>
      <c r="AD738" s="156">
        <v>0.0</v>
      </c>
      <c r="AE738" s="156">
        <v>0.0</v>
      </c>
      <c r="AF738" s="156">
        <v>0.0</v>
      </c>
      <c r="AG738" s="156">
        <v>0.0</v>
      </c>
      <c r="AH738" s="156">
        <v>0.0</v>
      </c>
      <c r="BN738" s="155">
        <v>0.0</v>
      </c>
      <c r="BO738" s="155">
        <v>0.0</v>
      </c>
      <c r="BP738" s="155">
        <v>0.0</v>
      </c>
      <c r="BQ738" s="155">
        <v>0.0</v>
      </c>
      <c r="BR738" s="155">
        <v>0.0</v>
      </c>
      <c r="BS738" s="155">
        <v>0.0</v>
      </c>
      <c r="CV738" s="156">
        <v>0.0</v>
      </c>
      <c r="CW738" s="156">
        <v>0.0</v>
      </c>
      <c r="CX738" s="156">
        <v>0.0</v>
      </c>
      <c r="CY738" s="156">
        <v>0.0</v>
      </c>
      <c r="CZ738" s="156">
        <v>0.0</v>
      </c>
      <c r="DA738" s="156">
        <v>0.0</v>
      </c>
      <c r="EG738" s="156">
        <v>0.0</v>
      </c>
      <c r="EH738" s="156">
        <v>0.0</v>
      </c>
      <c r="EI738" s="156">
        <v>0.0</v>
      </c>
      <c r="EJ738" s="156">
        <v>0.0</v>
      </c>
      <c r="EK738" s="156">
        <v>0.0</v>
      </c>
      <c r="EL738" s="156">
        <v>0.0</v>
      </c>
      <c r="FQ738" s="156">
        <v>0.0</v>
      </c>
      <c r="FR738" s="156">
        <v>0.0</v>
      </c>
      <c r="FS738" s="156">
        <v>0.0</v>
      </c>
      <c r="FT738" s="156">
        <v>0.0</v>
      </c>
      <c r="FU738" s="156">
        <v>0.0</v>
      </c>
      <c r="FV738" s="156">
        <v>0.0</v>
      </c>
      <c r="FW738" s="157"/>
      <c r="FX738" s="157"/>
      <c r="FY738" s="157"/>
      <c r="FZ738" s="157"/>
      <c r="GA738" s="157"/>
      <c r="GB738" s="157"/>
      <c r="GC738" s="157"/>
      <c r="GD738" s="157"/>
      <c r="GE738" s="157"/>
      <c r="GF738" s="157"/>
      <c r="GG738" s="157"/>
      <c r="GH738" s="157"/>
      <c r="GI738" s="157"/>
      <c r="GJ738" s="157"/>
      <c r="GK738" s="157"/>
      <c r="GL738" s="157"/>
      <c r="GM738" s="157"/>
      <c r="GN738" s="157"/>
      <c r="GO738" s="157"/>
      <c r="GP738" s="158"/>
      <c r="GQ738" s="157"/>
      <c r="GR738" s="157"/>
      <c r="GS738" s="157"/>
      <c r="GT738" s="157"/>
      <c r="GU738" s="157"/>
      <c r="GV738" s="157"/>
      <c r="GW738" s="157"/>
      <c r="GX738" s="157"/>
      <c r="GY738" s="157"/>
      <c r="GZ738" s="157"/>
      <c r="HA738" s="157"/>
      <c r="HB738" s="155">
        <v>0.0</v>
      </c>
      <c r="HC738" s="155">
        <v>0.0</v>
      </c>
      <c r="HD738" s="155">
        <v>0.0</v>
      </c>
      <c r="HE738" s="155">
        <v>0.0</v>
      </c>
      <c r="HF738" s="155">
        <v>0.0</v>
      </c>
      <c r="HG738" s="155">
        <v>0.0</v>
      </c>
      <c r="IL738" s="159">
        <v>0.0</v>
      </c>
      <c r="IM738" s="156">
        <v>0.0</v>
      </c>
      <c r="IN738" s="156">
        <v>0.0</v>
      </c>
      <c r="IO738" s="156">
        <v>0.0</v>
      </c>
      <c r="IP738" s="156">
        <v>0.0</v>
      </c>
      <c r="IQ738" s="160">
        <v>0.0</v>
      </c>
      <c r="JH738" s="25"/>
      <c r="JW738" s="159">
        <v>0.0</v>
      </c>
      <c r="JX738" s="156">
        <v>0.0</v>
      </c>
      <c r="JY738" s="156">
        <v>0.0</v>
      </c>
      <c r="JZ738" s="156">
        <v>0.0</v>
      </c>
      <c r="KA738" s="156">
        <v>0.0</v>
      </c>
      <c r="KB738" s="160">
        <v>0.0</v>
      </c>
      <c r="LH738" s="159">
        <f t="shared" si="10"/>
        <v>6</v>
      </c>
      <c r="LI738" s="156">
        <f t="shared" si="11"/>
        <v>0</v>
      </c>
      <c r="LJ738" s="156">
        <f t="shared" si="12"/>
        <v>0</v>
      </c>
      <c r="LK738" s="156">
        <f t="shared" si="13"/>
        <v>0</v>
      </c>
      <c r="LL738" s="156">
        <f t="shared" si="14"/>
        <v>0</v>
      </c>
      <c r="LM738" s="160">
        <f t="shared" si="15"/>
        <v>0</v>
      </c>
      <c r="LN738" s="174"/>
      <c r="LO738" s="174"/>
      <c r="LP738" s="174"/>
      <c r="LQ738" s="187">
        <v>1.0</v>
      </c>
      <c r="LR738" s="174"/>
      <c r="LS738" s="174"/>
      <c r="LT738" s="187">
        <v>1.0</v>
      </c>
      <c r="LU738" s="174"/>
      <c r="LV738" s="187">
        <v>1.0</v>
      </c>
      <c r="LW738" s="174">
        <f t="shared" ref="LW738:MQ738" si="127">IFS(TODAY()&lt;=LW$2,0,WEEKDAY(LW$2)=2,1,WEEKDAY(LW$2)=3,0,WEEKDAY(LW$2)=4,1,WEEKDAY(LW$2)=5,0,WEEKDAY(LW$2)=6,1,WEEKDAY(LW$2)=7,0,WEEKDAY(LW$2)=1,0)</f>
        <v>0</v>
      </c>
      <c r="LX738" s="174">
        <f t="shared" si="127"/>
        <v>1</v>
      </c>
      <c r="LY738" s="174">
        <f t="shared" si="127"/>
        <v>0</v>
      </c>
      <c r="LZ738" s="174">
        <f t="shared" si="127"/>
        <v>0</v>
      </c>
      <c r="MA738" s="174">
        <f t="shared" si="127"/>
        <v>1</v>
      </c>
      <c r="MB738" s="174">
        <f t="shared" si="127"/>
        <v>0</v>
      </c>
      <c r="MC738" s="174">
        <f t="shared" si="127"/>
        <v>1</v>
      </c>
      <c r="MD738" s="174">
        <f t="shared" si="127"/>
        <v>0</v>
      </c>
      <c r="ME738" s="174">
        <f t="shared" si="127"/>
        <v>0</v>
      </c>
      <c r="MF738" s="174">
        <f t="shared" si="127"/>
        <v>0</v>
      </c>
      <c r="MG738" s="174">
        <f t="shared" si="127"/>
        <v>0</v>
      </c>
      <c r="MH738" s="174">
        <f t="shared" si="127"/>
        <v>0</v>
      </c>
      <c r="MI738" s="174">
        <f t="shared" si="127"/>
        <v>0</v>
      </c>
      <c r="MJ738" s="174">
        <f t="shared" si="127"/>
        <v>0</v>
      </c>
      <c r="MK738" s="174">
        <f t="shared" si="127"/>
        <v>0</v>
      </c>
      <c r="ML738" s="174">
        <f t="shared" si="127"/>
        <v>0</v>
      </c>
      <c r="MM738" s="174">
        <f t="shared" si="127"/>
        <v>0</v>
      </c>
      <c r="MN738" s="174">
        <f t="shared" si="127"/>
        <v>0</v>
      </c>
      <c r="MO738" s="174">
        <f t="shared" si="127"/>
        <v>0</v>
      </c>
      <c r="MP738" s="174">
        <f t="shared" si="127"/>
        <v>0</v>
      </c>
      <c r="MQ738" s="174">
        <f t="shared" si="127"/>
        <v>0</v>
      </c>
      <c r="QX738" s="560">
        <v>46261.0</v>
      </c>
    </row>
    <row r="739">
      <c r="A739" s="12"/>
      <c r="B739" s="12"/>
      <c r="C739" s="12"/>
      <c r="D739" s="12"/>
      <c r="E739" s="12"/>
      <c r="F739" s="391"/>
      <c r="G739" s="12"/>
      <c r="H739" s="12"/>
      <c r="I739" s="143">
        <f t="shared" si="22"/>
        <v>0</v>
      </c>
      <c r="J739" s="620">
        <v>46286.0</v>
      </c>
      <c r="K739" s="294" t="s">
        <v>31</v>
      </c>
      <c r="L739" s="108"/>
      <c r="M739" s="86" t="s">
        <v>3755</v>
      </c>
      <c r="N739" s="86">
        <v>246.0</v>
      </c>
      <c r="O739" s="86">
        <v>30.0</v>
      </c>
      <c r="U739" s="169" t="s">
        <v>3090</v>
      </c>
      <c r="V739" s="579" t="s">
        <v>1705</v>
      </c>
      <c r="W739" s="125" t="s">
        <v>3756</v>
      </c>
      <c r="X739" s="140"/>
      <c r="Y739" s="166">
        <f t="shared" si="23"/>
        <v>0</v>
      </c>
      <c r="Z739" s="26">
        <f t="shared" si="7"/>
        <v>0</v>
      </c>
      <c r="AA739" s="26">
        <f t="shared" si="8"/>
        <v>0</v>
      </c>
      <c r="AB739" s="26">
        <f t="shared" si="9"/>
        <v>0</v>
      </c>
      <c r="AC739" s="156">
        <v>0.0</v>
      </c>
      <c r="AD739" s="156">
        <v>0.0</v>
      </c>
      <c r="AE739" s="156">
        <v>0.0</v>
      </c>
      <c r="AF739" s="156">
        <v>0.0</v>
      </c>
      <c r="AG739" s="156">
        <v>0.0</v>
      </c>
      <c r="AH739" s="156">
        <v>0.0</v>
      </c>
      <c r="BN739" s="155">
        <v>0.0</v>
      </c>
      <c r="BO739" s="155">
        <v>0.0</v>
      </c>
      <c r="BP739" s="155">
        <v>0.0</v>
      </c>
      <c r="BQ739" s="155">
        <v>0.0</v>
      </c>
      <c r="BR739" s="155">
        <v>0.0</v>
      </c>
      <c r="BS739" s="155">
        <v>0.0</v>
      </c>
      <c r="CV739" s="156">
        <v>0.0</v>
      </c>
      <c r="CW739" s="156">
        <v>0.0</v>
      </c>
      <c r="CX739" s="156">
        <v>0.0</v>
      </c>
      <c r="CY739" s="156">
        <v>0.0</v>
      </c>
      <c r="CZ739" s="156">
        <v>0.0</v>
      </c>
      <c r="DA739" s="156">
        <v>0.0</v>
      </c>
      <c r="EG739" s="156">
        <v>0.0</v>
      </c>
      <c r="EH739" s="156">
        <v>0.0</v>
      </c>
      <c r="EI739" s="156">
        <v>0.0</v>
      </c>
      <c r="EJ739" s="156">
        <v>0.0</v>
      </c>
      <c r="EK739" s="156">
        <v>0.0</v>
      </c>
      <c r="EL739" s="156">
        <v>0.0</v>
      </c>
      <c r="FQ739" s="156">
        <v>0.0</v>
      </c>
      <c r="FR739" s="156">
        <v>0.0</v>
      </c>
      <c r="FS739" s="156">
        <v>0.0</v>
      </c>
      <c r="FT739" s="156">
        <v>0.0</v>
      </c>
      <c r="FU739" s="156">
        <v>0.0</v>
      </c>
      <c r="FV739" s="156">
        <v>0.0</v>
      </c>
      <c r="FW739" s="157"/>
      <c r="FX739" s="157"/>
      <c r="FY739" s="157"/>
      <c r="FZ739" s="157"/>
      <c r="GA739" s="157"/>
      <c r="GB739" s="157"/>
      <c r="GC739" s="157"/>
      <c r="GD739" s="157"/>
      <c r="GE739" s="157"/>
      <c r="GF739" s="157"/>
      <c r="GG739" s="157"/>
      <c r="GH739" s="157"/>
      <c r="GI739" s="157"/>
      <c r="GJ739" s="157"/>
      <c r="GK739" s="157"/>
      <c r="GL739" s="157"/>
      <c r="GM739" s="157"/>
      <c r="GN739" s="157"/>
      <c r="GO739" s="157"/>
      <c r="GP739" s="158"/>
      <c r="GQ739" s="157"/>
      <c r="GR739" s="157"/>
      <c r="GS739" s="157"/>
      <c r="GT739" s="157"/>
      <c r="GU739" s="157"/>
      <c r="GV739" s="157"/>
      <c r="GW739" s="157"/>
      <c r="GX739" s="157"/>
      <c r="GY739" s="157"/>
      <c r="GZ739" s="157"/>
      <c r="HA739" s="157"/>
      <c r="HB739" s="155">
        <v>0.0</v>
      </c>
      <c r="HC739" s="155">
        <v>0.0</v>
      </c>
      <c r="HD739" s="155">
        <v>0.0</v>
      </c>
      <c r="HE739" s="155">
        <v>0.0</v>
      </c>
      <c r="HF739" s="155">
        <v>0.0</v>
      </c>
      <c r="HG739" s="155">
        <v>0.0</v>
      </c>
      <c r="IL739" s="159">
        <v>0.0</v>
      </c>
      <c r="IM739" s="156">
        <v>0.0</v>
      </c>
      <c r="IN739" s="156">
        <v>0.0</v>
      </c>
      <c r="IO739" s="156">
        <v>0.0</v>
      </c>
      <c r="IP739" s="156">
        <v>0.0</v>
      </c>
      <c r="IQ739" s="160">
        <v>0.0</v>
      </c>
      <c r="JH739" s="25"/>
      <c r="JW739" s="159">
        <v>0.0</v>
      </c>
      <c r="JX739" s="156">
        <v>0.0</v>
      </c>
      <c r="JY739" s="156">
        <v>0.0</v>
      </c>
      <c r="JZ739" s="156">
        <v>0.0</v>
      </c>
      <c r="KA739" s="156">
        <v>0.0</v>
      </c>
      <c r="KB739" s="160">
        <v>0.0</v>
      </c>
      <c r="LH739" s="159">
        <f t="shared" si="10"/>
        <v>0</v>
      </c>
      <c r="LI739" s="156">
        <f t="shared" si="11"/>
        <v>0</v>
      </c>
      <c r="LJ739" s="156">
        <f t="shared" si="12"/>
        <v>0</v>
      </c>
      <c r="LK739" s="156">
        <f t="shared" si="13"/>
        <v>0</v>
      </c>
      <c r="LL739" s="156">
        <f t="shared" si="14"/>
        <v>0</v>
      </c>
      <c r="LM739" s="160">
        <f t="shared" si="15"/>
        <v>0</v>
      </c>
      <c r="QX739" s="560">
        <v>46261.0</v>
      </c>
    </row>
    <row r="740">
      <c r="A740" s="12"/>
      <c r="B740" s="12"/>
      <c r="C740" s="12"/>
      <c r="D740" s="12"/>
      <c r="E740" s="12"/>
      <c r="F740" s="12"/>
      <c r="G740" s="12"/>
      <c r="H740" s="12"/>
      <c r="I740" s="143">
        <f t="shared" si="22"/>
        <v>-5</v>
      </c>
      <c r="J740" s="537">
        <v>46272.0</v>
      </c>
      <c r="K740" s="294" t="s">
        <v>48</v>
      </c>
      <c r="L740" s="108"/>
      <c r="M740" s="86" t="s">
        <v>3757</v>
      </c>
      <c r="N740" s="86">
        <v>246.0</v>
      </c>
      <c r="O740" s="86">
        <v>30.0</v>
      </c>
      <c r="U740" s="86" t="s">
        <v>3523</v>
      </c>
      <c r="V740" s="431" t="s">
        <v>3384</v>
      </c>
      <c r="W740" s="125" t="s">
        <v>3758</v>
      </c>
      <c r="X740" s="140"/>
      <c r="Y740" s="166">
        <f t="shared" si="23"/>
        <v>5</v>
      </c>
      <c r="Z740" s="26">
        <f t="shared" si="7"/>
        <v>0</v>
      </c>
      <c r="AA740" s="26">
        <f t="shared" si="8"/>
        <v>0</v>
      </c>
      <c r="AB740" s="26">
        <f t="shared" si="9"/>
        <v>0</v>
      </c>
      <c r="AC740" s="156">
        <v>0.0</v>
      </c>
      <c r="AD740" s="156">
        <v>0.0</v>
      </c>
      <c r="AE740" s="156">
        <v>0.0</v>
      </c>
      <c r="AF740" s="156">
        <v>0.0</v>
      </c>
      <c r="AG740" s="156">
        <v>0.0</v>
      </c>
      <c r="AH740" s="156">
        <v>0.0</v>
      </c>
      <c r="BN740" s="155">
        <v>0.0</v>
      </c>
      <c r="BO740" s="155">
        <v>0.0</v>
      </c>
      <c r="BP740" s="155">
        <v>0.0</v>
      </c>
      <c r="BQ740" s="155">
        <v>0.0</v>
      </c>
      <c r="BR740" s="155">
        <v>0.0</v>
      </c>
      <c r="BS740" s="155">
        <v>0.0</v>
      </c>
      <c r="CV740" s="156">
        <v>0.0</v>
      </c>
      <c r="CW740" s="156">
        <v>0.0</v>
      </c>
      <c r="CX740" s="156">
        <v>0.0</v>
      </c>
      <c r="CY740" s="156">
        <v>0.0</v>
      </c>
      <c r="CZ740" s="156">
        <v>0.0</v>
      </c>
      <c r="DA740" s="156">
        <v>0.0</v>
      </c>
      <c r="EG740" s="156">
        <v>0.0</v>
      </c>
      <c r="EH740" s="156">
        <v>0.0</v>
      </c>
      <c r="EI740" s="156">
        <v>0.0</v>
      </c>
      <c r="EJ740" s="156">
        <v>0.0</v>
      </c>
      <c r="EK740" s="156">
        <v>0.0</v>
      </c>
      <c r="EL740" s="156">
        <v>0.0</v>
      </c>
      <c r="FQ740" s="156">
        <v>0.0</v>
      </c>
      <c r="FR740" s="156">
        <v>0.0</v>
      </c>
      <c r="FS740" s="156">
        <v>0.0</v>
      </c>
      <c r="FT740" s="156">
        <v>0.0</v>
      </c>
      <c r="FU740" s="156">
        <v>0.0</v>
      </c>
      <c r="FV740" s="156">
        <v>0.0</v>
      </c>
      <c r="FW740" s="157"/>
      <c r="FX740" s="157"/>
      <c r="FY740" s="157"/>
      <c r="FZ740" s="157"/>
      <c r="GA740" s="157"/>
      <c r="GB740" s="157"/>
      <c r="GC740" s="157"/>
      <c r="GD740" s="157"/>
      <c r="GE740" s="157"/>
      <c r="GF740" s="157"/>
      <c r="GG740" s="157"/>
      <c r="GH740" s="157"/>
      <c r="GI740" s="157"/>
      <c r="GJ740" s="157"/>
      <c r="GK740" s="157"/>
      <c r="GL740" s="157"/>
      <c r="GM740" s="157"/>
      <c r="GN740" s="157"/>
      <c r="GO740" s="157"/>
      <c r="GP740" s="158"/>
      <c r="GQ740" s="157"/>
      <c r="GR740" s="157"/>
      <c r="GS740" s="157"/>
      <c r="GT740" s="157"/>
      <c r="GU740" s="157"/>
      <c r="GV740" s="157"/>
      <c r="GW740" s="157"/>
      <c r="GX740" s="157"/>
      <c r="GY740" s="157"/>
      <c r="GZ740" s="157"/>
      <c r="HA740" s="157"/>
      <c r="HB740" s="155">
        <v>0.0</v>
      </c>
      <c r="HC740" s="155">
        <v>0.0</v>
      </c>
      <c r="HD740" s="155">
        <v>0.0</v>
      </c>
      <c r="HE740" s="155">
        <v>0.0</v>
      </c>
      <c r="HF740" s="155">
        <v>0.0</v>
      </c>
      <c r="HG740" s="155">
        <v>0.0</v>
      </c>
      <c r="IL740" s="159">
        <v>0.0</v>
      </c>
      <c r="IM740" s="156">
        <v>0.0</v>
      </c>
      <c r="IN740" s="156">
        <v>0.0</v>
      </c>
      <c r="IO740" s="156">
        <v>0.0</v>
      </c>
      <c r="IP740" s="156">
        <v>0.0</v>
      </c>
      <c r="IQ740" s="160">
        <v>0.0</v>
      </c>
      <c r="JH740" s="25"/>
      <c r="JW740" s="159">
        <v>0.0</v>
      </c>
      <c r="JX740" s="156">
        <v>0.0</v>
      </c>
      <c r="JY740" s="156">
        <v>0.0</v>
      </c>
      <c r="JZ740" s="156">
        <v>0.0</v>
      </c>
      <c r="KA740" s="156">
        <v>0.0</v>
      </c>
      <c r="KB740" s="160">
        <v>0.0</v>
      </c>
      <c r="LH740" s="159">
        <f t="shared" si="10"/>
        <v>5</v>
      </c>
      <c r="LI740" s="156">
        <f t="shared" si="11"/>
        <v>0</v>
      </c>
      <c r="LJ740" s="156">
        <f t="shared" si="12"/>
        <v>0</v>
      </c>
      <c r="LK740" s="156">
        <f t="shared" si="13"/>
        <v>0</v>
      </c>
      <c r="LL740" s="156">
        <f t="shared" si="14"/>
        <v>0</v>
      </c>
      <c r="LM740" s="160">
        <f t="shared" si="15"/>
        <v>0</v>
      </c>
      <c r="LN740" s="174"/>
      <c r="LO740" s="174"/>
      <c r="LP740" s="174"/>
      <c r="LQ740" s="174"/>
      <c r="LR740" s="174"/>
      <c r="LS740" s="174"/>
      <c r="LT740" s="187">
        <v>1.0</v>
      </c>
      <c r="LU740" s="174"/>
      <c r="LV740" s="187">
        <v>1.0</v>
      </c>
      <c r="LW740" s="174">
        <f t="shared" ref="LW740:MQ740" si="128">IFS(TODAY()&lt;=LW$2,0,WEEKDAY(LW$2)=2,1,WEEKDAY(LW$2)=3,0,WEEKDAY(LW$2)=4,1,WEEKDAY(LW$2)=5,0,WEEKDAY(LW$2)=6,1,WEEKDAY(LW$2)=7,0,WEEKDAY(LW$2)=1,0)</f>
        <v>0</v>
      </c>
      <c r="LX740" s="174">
        <f t="shared" si="128"/>
        <v>1</v>
      </c>
      <c r="LY740" s="174">
        <f t="shared" si="128"/>
        <v>0</v>
      </c>
      <c r="LZ740" s="174">
        <f t="shared" si="128"/>
        <v>0</v>
      </c>
      <c r="MA740" s="174">
        <f t="shared" si="128"/>
        <v>1</v>
      </c>
      <c r="MB740" s="174">
        <f t="shared" si="128"/>
        <v>0</v>
      </c>
      <c r="MC740" s="174">
        <f t="shared" si="128"/>
        <v>1</v>
      </c>
      <c r="MD740" s="174">
        <f t="shared" si="128"/>
        <v>0</v>
      </c>
      <c r="ME740" s="174">
        <f t="shared" si="128"/>
        <v>0</v>
      </c>
      <c r="MF740" s="174">
        <f t="shared" si="128"/>
        <v>0</v>
      </c>
      <c r="MG740" s="174">
        <f t="shared" si="128"/>
        <v>0</v>
      </c>
      <c r="MH740" s="174">
        <f t="shared" si="128"/>
        <v>0</v>
      </c>
      <c r="MI740" s="174">
        <f t="shared" si="128"/>
        <v>0</v>
      </c>
      <c r="MJ740" s="174">
        <f t="shared" si="128"/>
        <v>0</v>
      </c>
      <c r="MK740" s="174">
        <f t="shared" si="128"/>
        <v>0</v>
      </c>
      <c r="ML740" s="174">
        <f t="shared" si="128"/>
        <v>0</v>
      </c>
      <c r="MM740" s="174">
        <f t="shared" si="128"/>
        <v>0</v>
      </c>
      <c r="MN740" s="174">
        <f t="shared" si="128"/>
        <v>0</v>
      </c>
      <c r="MO740" s="174">
        <f t="shared" si="128"/>
        <v>0</v>
      </c>
      <c r="MP740" s="174">
        <f t="shared" si="128"/>
        <v>0</v>
      </c>
      <c r="MQ740" s="174">
        <f t="shared" si="128"/>
        <v>0</v>
      </c>
      <c r="QX740" s="560">
        <v>46263.0</v>
      </c>
    </row>
    <row r="741">
      <c r="A741" s="12"/>
      <c r="B741" s="12"/>
      <c r="C741" s="12"/>
      <c r="D741" s="12"/>
      <c r="E741" s="58"/>
      <c r="F741" s="12"/>
      <c r="G741" s="12"/>
      <c r="H741" s="12"/>
      <c r="I741" s="143">
        <f t="shared" si="22"/>
        <v>-8</v>
      </c>
      <c r="J741" s="537">
        <v>46270.0</v>
      </c>
      <c r="K741" s="294" t="s">
        <v>48</v>
      </c>
      <c r="L741" s="543" t="s">
        <v>3485</v>
      </c>
      <c r="M741" s="86" t="s">
        <v>348</v>
      </c>
      <c r="N741" s="86">
        <v>357.0</v>
      </c>
      <c r="O741" s="86">
        <v>30.0</v>
      </c>
      <c r="U741" s="162" t="s">
        <v>3344</v>
      </c>
      <c r="V741" s="538" t="s">
        <v>3080</v>
      </c>
      <c r="W741" s="125" t="s">
        <v>3759</v>
      </c>
      <c r="X741" s="140"/>
      <c r="Y741" s="166">
        <f t="shared" si="23"/>
        <v>8</v>
      </c>
      <c r="Z741" s="26">
        <f t="shared" si="7"/>
        <v>0</v>
      </c>
      <c r="AA741" s="26">
        <f t="shared" si="8"/>
        <v>0</v>
      </c>
      <c r="AB741" s="26">
        <f t="shared" si="9"/>
        <v>0</v>
      </c>
      <c r="AC741" s="156">
        <v>0.0</v>
      </c>
      <c r="AD741" s="156">
        <v>0.0</v>
      </c>
      <c r="AE741" s="156">
        <v>0.0</v>
      </c>
      <c r="AF741" s="156">
        <v>0.0</v>
      </c>
      <c r="AG741" s="156">
        <v>0.0</v>
      </c>
      <c r="AH741" s="156">
        <v>0.0</v>
      </c>
      <c r="BN741" s="155">
        <v>0.0</v>
      </c>
      <c r="BO741" s="155">
        <v>0.0</v>
      </c>
      <c r="BP741" s="155">
        <v>0.0</v>
      </c>
      <c r="BQ741" s="155">
        <v>0.0</v>
      </c>
      <c r="BR741" s="155">
        <v>0.0</v>
      </c>
      <c r="BS741" s="155">
        <v>0.0</v>
      </c>
      <c r="CV741" s="156">
        <v>0.0</v>
      </c>
      <c r="CW741" s="156">
        <v>0.0</v>
      </c>
      <c r="CX741" s="156">
        <v>0.0</v>
      </c>
      <c r="CY741" s="156">
        <v>0.0</v>
      </c>
      <c r="CZ741" s="156">
        <v>0.0</v>
      </c>
      <c r="DA741" s="156">
        <v>0.0</v>
      </c>
      <c r="EG741" s="156">
        <v>0.0</v>
      </c>
      <c r="EH741" s="156">
        <v>0.0</v>
      </c>
      <c r="EI741" s="156">
        <v>0.0</v>
      </c>
      <c r="EJ741" s="156">
        <v>0.0</v>
      </c>
      <c r="EK741" s="156">
        <v>0.0</v>
      </c>
      <c r="EL741" s="156">
        <v>0.0</v>
      </c>
      <c r="FQ741" s="156">
        <v>0.0</v>
      </c>
      <c r="FR741" s="156">
        <v>0.0</v>
      </c>
      <c r="FS741" s="156">
        <v>0.0</v>
      </c>
      <c r="FT741" s="156">
        <v>0.0</v>
      </c>
      <c r="FU741" s="156">
        <v>0.0</v>
      </c>
      <c r="FV741" s="156">
        <v>0.0</v>
      </c>
      <c r="FW741" s="157"/>
      <c r="FX741" s="157"/>
      <c r="FY741" s="157"/>
      <c r="FZ741" s="157"/>
      <c r="GA741" s="157"/>
      <c r="GB741" s="157"/>
      <c r="GC741" s="157"/>
      <c r="GD741" s="157"/>
      <c r="GE741" s="157"/>
      <c r="GF741" s="157"/>
      <c r="GG741" s="157"/>
      <c r="GH741" s="157"/>
      <c r="GI741" s="157"/>
      <c r="GJ741" s="157"/>
      <c r="GK741" s="157"/>
      <c r="GL741" s="157"/>
      <c r="GM741" s="157"/>
      <c r="GN741" s="157"/>
      <c r="GO741" s="157"/>
      <c r="GP741" s="158"/>
      <c r="GQ741" s="157"/>
      <c r="GR741" s="157"/>
      <c r="GS741" s="157"/>
      <c r="GT741" s="157"/>
      <c r="GU741" s="157"/>
      <c r="GV741" s="157"/>
      <c r="GW741" s="157"/>
      <c r="GX741" s="157"/>
      <c r="GY741" s="157"/>
      <c r="GZ741" s="157"/>
      <c r="HA741" s="157"/>
      <c r="HB741" s="155">
        <v>0.0</v>
      </c>
      <c r="HC741" s="155">
        <v>0.0</v>
      </c>
      <c r="HD741" s="155">
        <v>0.0</v>
      </c>
      <c r="HE741" s="155">
        <v>0.0</v>
      </c>
      <c r="HF741" s="155">
        <v>0.0</v>
      </c>
      <c r="HG741" s="155">
        <v>0.0</v>
      </c>
      <c r="IL741" s="159">
        <v>0.0</v>
      </c>
      <c r="IM741" s="156">
        <v>0.0</v>
      </c>
      <c r="IN741" s="156">
        <v>0.0</v>
      </c>
      <c r="IO741" s="156">
        <v>0.0</v>
      </c>
      <c r="IP741" s="156">
        <v>0.0</v>
      </c>
      <c r="IQ741" s="160">
        <v>0.0</v>
      </c>
      <c r="JH741" s="25"/>
      <c r="JW741" s="159">
        <v>0.0</v>
      </c>
      <c r="JX741" s="156">
        <v>0.0</v>
      </c>
      <c r="JY741" s="156">
        <v>0.0</v>
      </c>
      <c r="JZ741" s="156">
        <v>0.0</v>
      </c>
      <c r="KA741" s="156">
        <v>0.0</v>
      </c>
      <c r="KB741" s="160">
        <v>0.0</v>
      </c>
      <c r="LH741" s="159">
        <f t="shared" si="10"/>
        <v>8</v>
      </c>
      <c r="LI741" s="156">
        <f t="shared" si="11"/>
        <v>0</v>
      </c>
      <c r="LJ741" s="156">
        <f t="shared" si="12"/>
        <v>0</v>
      </c>
      <c r="LK741" s="156">
        <f t="shared" si="13"/>
        <v>0</v>
      </c>
      <c r="LL741" s="156">
        <f t="shared" si="14"/>
        <v>0</v>
      </c>
      <c r="LM741" s="160">
        <f t="shared" si="15"/>
        <v>0</v>
      </c>
      <c r="LR741" s="189">
        <v>1.0</v>
      </c>
      <c r="LW741" s="12">
        <f t="shared" ref="LW741:MQ741" si="129">IFS(TODAY()&lt;=LC$2,0,WEEKDAY(LC$2)=2,0,WEEKDAY(LC$2)=3,1,WEEKDAY(LC$2)=4,0,WEEKDAY(LC$2)=5,1,WEEKDAY(LC$2)=6,0,WEEKDAY(LC$2)=7,1,WEEKDAY(LC$2)=1,0)</f>
        <v>1</v>
      </c>
      <c r="LX741" s="12">
        <f t="shared" si="129"/>
        <v>0</v>
      </c>
      <c r="LY741" s="12">
        <f t="shared" si="129"/>
        <v>1</v>
      </c>
      <c r="LZ741" s="12">
        <f t="shared" si="129"/>
        <v>0</v>
      </c>
      <c r="MA741" s="12">
        <f t="shared" si="129"/>
        <v>0</v>
      </c>
      <c r="MB741" s="12">
        <f t="shared" si="129"/>
        <v>0</v>
      </c>
      <c r="MC741" s="12">
        <f t="shared" si="129"/>
        <v>0</v>
      </c>
      <c r="MD741" s="12">
        <f t="shared" si="129"/>
        <v>0</v>
      </c>
      <c r="ME741" s="12">
        <f t="shared" si="129"/>
        <v>0</v>
      </c>
      <c r="MF741" s="12">
        <f t="shared" si="129"/>
        <v>0</v>
      </c>
      <c r="MG741" s="12">
        <f t="shared" si="129"/>
        <v>0</v>
      </c>
      <c r="MH741" s="12">
        <f t="shared" si="129"/>
        <v>1</v>
      </c>
      <c r="MI741" s="12">
        <f t="shared" si="129"/>
        <v>0</v>
      </c>
      <c r="MJ741" s="12">
        <f t="shared" si="129"/>
        <v>1</v>
      </c>
      <c r="MK741" s="12">
        <f t="shared" si="129"/>
        <v>0</v>
      </c>
      <c r="ML741" s="12">
        <f t="shared" si="129"/>
        <v>1</v>
      </c>
      <c r="MM741" s="12">
        <f t="shared" si="129"/>
        <v>0</v>
      </c>
      <c r="MN741" s="12">
        <f t="shared" si="129"/>
        <v>0</v>
      </c>
      <c r="MO741" s="12">
        <f t="shared" si="129"/>
        <v>1</v>
      </c>
      <c r="MP741" s="12">
        <f t="shared" si="129"/>
        <v>0</v>
      </c>
      <c r="MQ741" s="12">
        <f t="shared" si="129"/>
        <v>1</v>
      </c>
      <c r="QX741" s="560">
        <v>46263.0</v>
      </c>
    </row>
    <row r="742">
      <c r="A742" s="12"/>
      <c r="B742" s="12"/>
      <c r="C742" s="12"/>
      <c r="D742" s="12"/>
      <c r="E742" s="58"/>
      <c r="F742" s="494"/>
      <c r="G742" s="12"/>
      <c r="H742" s="12"/>
      <c r="I742" s="143">
        <f t="shared" si="22"/>
        <v>-4</v>
      </c>
      <c r="J742" s="537">
        <v>46272.0</v>
      </c>
      <c r="K742" s="294" t="s">
        <v>48</v>
      </c>
      <c r="L742" s="543" t="s">
        <v>3485</v>
      </c>
      <c r="M742" s="86" t="s">
        <v>2877</v>
      </c>
      <c r="N742" s="86">
        <v>246.0</v>
      </c>
      <c r="O742" s="86">
        <v>30.0</v>
      </c>
      <c r="U742" s="162" t="s">
        <v>447</v>
      </c>
      <c r="V742" s="538" t="s">
        <v>613</v>
      </c>
      <c r="W742" s="125" t="s">
        <v>3760</v>
      </c>
      <c r="X742" s="140"/>
      <c r="Y742" s="166">
        <f t="shared" si="23"/>
        <v>4</v>
      </c>
      <c r="Z742" s="26">
        <f t="shared" si="7"/>
        <v>0</v>
      </c>
      <c r="AA742" s="26">
        <f t="shared" si="8"/>
        <v>0</v>
      </c>
      <c r="AB742" s="26">
        <f t="shared" si="9"/>
        <v>0</v>
      </c>
      <c r="AC742" s="156">
        <v>0.0</v>
      </c>
      <c r="AD742" s="156">
        <v>0.0</v>
      </c>
      <c r="AE742" s="156">
        <v>0.0</v>
      </c>
      <c r="AF742" s="156">
        <v>0.0</v>
      </c>
      <c r="AG742" s="156">
        <v>0.0</v>
      </c>
      <c r="AH742" s="156">
        <v>0.0</v>
      </c>
      <c r="BN742" s="155">
        <v>0.0</v>
      </c>
      <c r="BO742" s="155">
        <v>0.0</v>
      </c>
      <c r="BP742" s="155">
        <v>0.0</v>
      </c>
      <c r="BQ742" s="155">
        <v>0.0</v>
      </c>
      <c r="BR742" s="155">
        <v>0.0</v>
      </c>
      <c r="BS742" s="155">
        <v>0.0</v>
      </c>
      <c r="CV742" s="156">
        <v>0.0</v>
      </c>
      <c r="CW742" s="156">
        <v>0.0</v>
      </c>
      <c r="CX742" s="156">
        <v>0.0</v>
      </c>
      <c r="CY742" s="156">
        <v>0.0</v>
      </c>
      <c r="CZ742" s="156">
        <v>0.0</v>
      </c>
      <c r="DA742" s="156">
        <v>0.0</v>
      </c>
      <c r="EG742" s="156">
        <v>0.0</v>
      </c>
      <c r="EH742" s="156">
        <v>0.0</v>
      </c>
      <c r="EI742" s="156">
        <v>0.0</v>
      </c>
      <c r="EJ742" s="156">
        <v>0.0</v>
      </c>
      <c r="EK742" s="156">
        <v>0.0</v>
      </c>
      <c r="EL742" s="156">
        <v>0.0</v>
      </c>
      <c r="FQ742" s="156">
        <v>0.0</v>
      </c>
      <c r="FR742" s="156">
        <v>0.0</v>
      </c>
      <c r="FS742" s="156">
        <v>0.0</v>
      </c>
      <c r="FT742" s="156">
        <v>0.0</v>
      </c>
      <c r="FU742" s="156">
        <v>0.0</v>
      </c>
      <c r="FV742" s="156">
        <v>0.0</v>
      </c>
      <c r="FW742" s="157"/>
      <c r="FX742" s="157"/>
      <c r="FY742" s="157"/>
      <c r="FZ742" s="157"/>
      <c r="GA742" s="157"/>
      <c r="GB742" s="157"/>
      <c r="GC742" s="157"/>
      <c r="GD742" s="157"/>
      <c r="GE742" s="157"/>
      <c r="GF742" s="157"/>
      <c r="GG742" s="157"/>
      <c r="GH742" s="157"/>
      <c r="GI742" s="157"/>
      <c r="GJ742" s="157"/>
      <c r="GK742" s="157"/>
      <c r="GL742" s="157"/>
      <c r="GM742" s="157"/>
      <c r="GN742" s="157"/>
      <c r="GO742" s="157"/>
      <c r="GP742" s="158"/>
      <c r="GQ742" s="157"/>
      <c r="GR742" s="157"/>
      <c r="GS742" s="157"/>
      <c r="GT742" s="157"/>
      <c r="GU742" s="157"/>
      <c r="GV742" s="157"/>
      <c r="GW742" s="157"/>
      <c r="GX742" s="157"/>
      <c r="GY742" s="157"/>
      <c r="GZ742" s="157"/>
      <c r="HA742" s="157"/>
      <c r="HB742" s="155">
        <v>0.0</v>
      </c>
      <c r="HC742" s="155">
        <v>0.0</v>
      </c>
      <c r="HD742" s="155">
        <v>0.0</v>
      </c>
      <c r="HE742" s="155">
        <v>0.0</v>
      </c>
      <c r="HF742" s="155">
        <v>0.0</v>
      </c>
      <c r="HG742" s="155">
        <v>0.0</v>
      </c>
      <c r="IL742" s="159">
        <v>0.0</v>
      </c>
      <c r="IM742" s="156">
        <v>0.0</v>
      </c>
      <c r="IN742" s="156">
        <v>0.0</v>
      </c>
      <c r="IO742" s="156">
        <v>0.0</v>
      </c>
      <c r="IP742" s="156">
        <v>0.0</v>
      </c>
      <c r="IQ742" s="160">
        <v>0.0</v>
      </c>
      <c r="JH742" s="25"/>
      <c r="JW742" s="159">
        <v>0.0</v>
      </c>
      <c r="JX742" s="156">
        <v>0.0</v>
      </c>
      <c r="JY742" s="156">
        <v>0.0</v>
      </c>
      <c r="JZ742" s="156">
        <v>0.0</v>
      </c>
      <c r="KA742" s="156">
        <v>0.0</v>
      </c>
      <c r="KB742" s="160">
        <v>0.0</v>
      </c>
      <c r="LH742" s="159">
        <f t="shared" si="10"/>
        <v>4</v>
      </c>
      <c r="LI742" s="156">
        <f t="shared" si="11"/>
        <v>0</v>
      </c>
      <c r="LJ742" s="156">
        <f t="shared" si="12"/>
        <v>0</v>
      </c>
      <c r="LK742" s="156">
        <f t="shared" si="13"/>
        <v>0</v>
      </c>
      <c r="LL742" s="156">
        <f t="shared" si="14"/>
        <v>0</v>
      </c>
      <c r="LM742" s="160">
        <f t="shared" si="15"/>
        <v>0</v>
      </c>
      <c r="LN742" s="174"/>
      <c r="LO742" s="174"/>
      <c r="LP742" s="174"/>
      <c r="LQ742" s="187"/>
      <c r="LR742" s="174"/>
      <c r="LS742" s="174"/>
      <c r="LT742" s="187">
        <v>1.0</v>
      </c>
      <c r="LU742" s="174"/>
      <c r="LV742" s="174"/>
      <c r="LW742" s="174">
        <f t="shared" ref="LW742:MQ742" si="130">IFS(TODAY()&lt;=LW$2,0,WEEKDAY(LW$2)=2,1,WEEKDAY(LW$2)=3,0,WEEKDAY(LW$2)=4,1,WEEKDAY(LW$2)=5,0,WEEKDAY(LW$2)=6,1,WEEKDAY(LW$2)=7,0,WEEKDAY(LW$2)=1,0)</f>
        <v>0</v>
      </c>
      <c r="LX742" s="174">
        <f t="shared" si="130"/>
        <v>1</v>
      </c>
      <c r="LY742" s="174">
        <f t="shared" si="130"/>
        <v>0</v>
      </c>
      <c r="LZ742" s="174">
        <f t="shared" si="130"/>
        <v>0</v>
      </c>
      <c r="MA742" s="174">
        <f t="shared" si="130"/>
        <v>1</v>
      </c>
      <c r="MB742" s="174">
        <f t="shared" si="130"/>
        <v>0</v>
      </c>
      <c r="MC742" s="174">
        <f t="shared" si="130"/>
        <v>1</v>
      </c>
      <c r="MD742" s="174">
        <f t="shared" si="130"/>
        <v>0</v>
      </c>
      <c r="ME742" s="174">
        <f t="shared" si="130"/>
        <v>0</v>
      </c>
      <c r="MF742" s="174">
        <f t="shared" si="130"/>
        <v>0</v>
      </c>
      <c r="MG742" s="174">
        <f t="shared" si="130"/>
        <v>0</v>
      </c>
      <c r="MH742" s="174">
        <f t="shared" si="130"/>
        <v>0</v>
      </c>
      <c r="MI742" s="174">
        <f t="shared" si="130"/>
        <v>0</v>
      </c>
      <c r="MJ742" s="174">
        <f t="shared" si="130"/>
        <v>0</v>
      </c>
      <c r="MK742" s="174">
        <f t="shared" si="130"/>
        <v>0</v>
      </c>
      <c r="ML742" s="174">
        <f t="shared" si="130"/>
        <v>0</v>
      </c>
      <c r="MM742" s="174">
        <f t="shared" si="130"/>
        <v>0</v>
      </c>
      <c r="MN742" s="174">
        <f t="shared" si="130"/>
        <v>0</v>
      </c>
      <c r="MO742" s="174">
        <f t="shared" si="130"/>
        <v>0</v>
      </c>
      <c r="MP742" s="174">
        <f t="shared" si="130"/>
        <v>0</v>
      </c>
      <c r="MQ742" s="174">
        <f t="shared" si="130"/>
        <v>0</v>
      </c>
      <c r="QX742" s="560">
        <v>46263.0</v>
      </c>
    </row>
    <row r="743">
      <c r="A743" s="12"/>
      <c r="B743" s="102"/>
      <c r="C743" s="12"/>
      <c r="D743" s="12"/>
      <c r="E743" s="12"/>
      <c r="F743" s="494"/>
      <c r="G743" s="12"/>
      <c r="H743" s="12"/>
      <c r="I743" s="143">
        <f t="shared" si="22"/>
        <v>-3</v>
      </c>
      <c r="J743" s="537">
        <v>46275.0</v>
      </c>
      <c r="K743" s="294" t="s">
        <v>48</v>
      </c>
      <c r="L743" s="108"/>
      <c r="M743" s="86" t="s">
        <v>400</v>
      </c>
      <c r="N743" s="86">
        <v>257.0</v>
      </c>
      <c r="O743" s="86">
        <v>30.0</v>
      </c>
      <c r="U743" s="162" t="s">
        <v>684</v>
      </c>
      <c r="V743" s="538" t="s">
        <v>230</v>
      </c>
      <c r="W743" s="125" t="s">
        <v>3761</v>
      </c>
      <c r="X743" s="140"/>
      <c r="Y743" s="166">
        <f t="shared" si="23"/>
        <v>3</v>
      </c>
      <c r="Z743" s="26">
        <f t="shared" si="7"/>
        <v>0</v>
      </c>
      <c r="AA743" s="26">
        <f t="shared" si="8"/>
        <v>0</v>
      </c>
      <c r="AB743" s="26">
        <f t="shared" si="9"/>
        <v>0</v>
      </c>
      <c r="AC743" s="156">
        <v>0.0</v>
      </c>
      <c r="AD743" s="156">
        <v>0.0</v>
      </c>
      <c r="AE743" s="156">
        <v>0.0</v>
      </c>
      <c r="AF743" s="156">
        <v>0.0</v>
      </c>
      <c r="AG743" s="156">
        <v>0.0</v>
      </c>
      <c r="AH743" s="156">
        <v>0.0</v>
      </c>
      <c r="BN743" s="155">
        <v>0.0</v>
      </c>
      <c r="BO743" s="155">
        <v>0.0</v>
      </c>
      <c r="BP743" s="155">
        <v>0.0</v>
      </c>
      <c r="BQ743" s="155">
        <v>0.0</v>
      </c>
      <c r="BR743" s="155">
        <v>0.0</v>
      </c>
      <c r="BS743" s="155">
        <v>0.0</v>
      </c>
      <c r="CV743" s="156">
        <v>0.0</v>
      </c>
      <c r="CW743" s="156">
        <v>0.0</v>
      </c>
      <c r="CX743" s="156">
        <v>0.0</v>
      </c>
      <c r="CY743" s="156">
        <v>0.0</v>
      </c>
      <c r="CZ743" s="156">
        <v>0.0</v>
      </c>
      <c r="DA743" s="156">
        <v>0.0</v>
      </c>
      <c r="EG743" s="156">
        <v>0.0</v>
      </c>
      <c r="EH743" s="156">
        <v>0.0</v>
      </c>
      <c r="EI743" s="156">
        <v>0.0</v>
      </c>
      <c r="EJ743" s="156">
        <v>0.0</v>
      </c>
      <c r="EK743" s="156">
        <v>0.0</v>
      </c>
      <c r="EL743" s="156">
        <v>0.0</v>
      </c>
      <c r="FQ743" s="156">
        <v>0.0</v>
      </c>
      <c r="FR743" s="156">
        <v>0.0</v>
      </c>
      <c r="FS743" s="156">
        <v>0.0</v>
      </c>
      <c r="FT743" s="156">
        <v>0.0</v>
      </c>
      <c r="FU743" s="156">
        <v>0.0</v>
      </c>
      <c r="FV743" s="156">
        <v>0.0</v>
      </c>
      <c r="FW743" s="157"/>
      <c r="FX743" s="157"/>
      <c r="FY743" s="157"/>
      <c r="FZ743" s="157"/>
      <c r="GA743" s="157"/>
      <c r="GB743" s="157"/>
      <c r="GC743" s="157"/>
      <c r="GD743" s="157"/>
      <c r="GE743" s="157"/>
      <c r="GF743" s="157"/>
      <c r="GG743" s="157"/>
      <c r="GH743" s="157"/>
      <c r="GI743" s="157"/>
      <c r="GJ743" s="157"/>
      <c r="GK743" s="157"/>
      <c r="GL743" s="157"/>
      <c r="GM743" s="157"/>
      <c r="GN743" s="157"/>
      <c r="GO743" s="157"/>
      <c r="GP743" s="158"/>
      <c r="GQ743" s="157"/>
      <c r="GR743" s="157"/>
      <c r="GS743" s="157"/>
      <c r="GT743" s="157"/>
      <c r="GU743" s="157"/>
      <c r="GV743" s="157"/>
      <c r="GW743" s="157"/>
      <c r="GX743" s="157"/>
      <c r="GY743" s="157"/>
      <c r="GZ743" s="157"/>
      <c r="HA743" s="157"/>
      <c r="HB743" s="155">
        <v>0.0</v>
      </c>
      <c r="HC743" s="155">
        <v>0.0</v>
      </c>
      <c r="HD743" s="155">
        <v>0.0</v>
      </c>
      <c r="HE743" s="155">
        <v>0.0</v>
      </c>
      <c r="HF743" s="155">
        <v>0.0</v>
      </c>
      <c r="HG743" s="155">
        <v>0.0</v>
      </c>
      <c r="IL743" s="159">
        <v>0.0</v>
      </c>
      <c r="IM743" s="156">
        <v>0.0</v>
      </c>
      <c r="IN743" s="156">
        <v>0.0</v>
      </c>
      <c r="IO743" s="156">
        <v>0.0</v>
      </c>
      <c r="IP743" s="156">
        <v>0.0</v>
      </c>
      <c r="IQ743" s="160">
        <v>0.0</v>
      </c>
      <c r="JH743" s="25"/>
      <c r="JW743" s="159">
        <v>0.0</v>
      </c>
      <c r="JX743" s="156">
        <v>0.0</v>
      </c>
      <c r="JY743" s="156">
        <v>0.0</v>
      </c>
      <c r="JZ743" s="156">
        <v>0.0</v>
      </c>
      <c r="KA743" s="156">
        <v>0.0</v>
      </c>
      <c r="KB743" s="160">
        <v>0.0</v>
      </c>
      <c r="LH743" s="159">
        <f t="shared" si="10"/>
        <v>3</v>
      </c>
      <c r="LI743" s="156">
        <f t="shared" si="11"/>
        <v>0</v>
      </c>
      <c r="LJ743" s="156">
        <f t="shared" si="12"/>
        <v>0</v>
      </c>
      <c r="LK743" s="156">
        <f t="shared" si="13"/>
        <v>0</v>
      </c>
      <c r="LL743" s="156">
        <f t="shared" si="14"/>
        <v>0</v>
      </c>
      <c r="LM743" s="160">
        <f t="shared" si="15"/>
        <v>0</v>
      </c>
      <c r="LW743" s="174">
        <f t="shared" ref="LW743:MQ743" si="131">IFS(TODAY()&lt;=LW$2,0,WEEKDAY(LW$2)=2,1,WEEKDAY(LW$2)=3,0,WEEKDAY(LW$2)=4,1,WEEKDAY(LW$2)=5,0,WEEKDAY(LW$2)=6,1,WEEKDAY(LW$2)=7,0,WEEKDAY(LW$2)=1,0)</f>
        <v>0</v>
      </c>
      <c r="LX743" s="174">
        <f t="shared" si="131"/>
        <v>1</v>
      </c>
      <c r="LY743" s="174">
        <f t="shared" si="131"/>
        <v>0</v>
      </c>
      <c r="LZ743" s="174">
        <f t="shared" si="131"/>
        <v>0</v>
      </c>
      <c r="MA743" s="174">
        <f t="shared" si="131"/>
        <v>1</v>
      </c>
      <c r="MB743" s="174">
        <f t="shared" si="131"/>
        <v>0</v>
      </c>
      <c r="MC743" s="174">
        <f t="shared" si="131"/>
        <v>1</v>
      </c>
      <c r="MD743" s="174">
        <f t="shared" si="131"/>
        <v>0</v>
      </c>
      <c r="ME743" s="174">
        <f t="shared" si="131"/>
        <v>0</v>
      </c>
      <c r="MF743" s="174">
        <f t="shared" si="131"/>
        <v>0</v>
      </c>
      <c r="MG743" s="174">
        <f t="shared" si="131"/>
        <v>0</v>
      </c>
      <c r="MH743" s="174">
        <f t="shared" si="131"/>
        <v>0</v>
      </c>
      <c r="MI743" s="174">
        <f t="shared" si="131"/>
        <v>0</v>
      </c>
      <c r="MJ743" s="174">
        <f t="shared" si="131"/>
        <v>0</v>
      </c>
      <c r="MK743" s="174">
        <f t="shared" si="131"/>
        <v>0</v>
      </c>
      <c r="ML743" s="174">
        <f t="shared" si="131"/>
        <v>0</v>
      </c>
      <c r="MM743" s="174">
        <f t="shared" si="131"/>
        <v>0</v>
      </c>
      <c r="MN743" s="174">
        <f t="shared" si="131"/>
        <v>0</v>
      </c>
      <c r="MO743" s="174">
        <f t="shared" si="131"/>
        <v>0</v>
      </c>
      <c r="MP743" s="174">
        <f t="shared" si="131"/>
        <v>0</v>
      </c>
      <c r="MQ743" s="174">
        <f t="shared" si="131"/>
        <v>0</v>
      </c>
      <c r="QX743" s="560">
        <v>46263.0</v>
      </c>
    </row>
    <row r="744">
      <c r="A744" s="12"/>
      <c r="B744" s="12"/>
      <c r="C744" s="12"/>
      <c r="D744" s="12"/>
      <c r="E744" s="12"/>
      <c r="F744" s="12"/>
      <c r="G744" s="12"/>
      <c r="H744" s="12"/>
      <c r="I744" s="143">
        <f t="shared" si="22"/>
        <v>-5</v>
      </c>
      <c r="J744" s="537">
        <v>46272.0</v>
      </c>
      <c r="K744" s="294" t="s">
        <v>48</v>
      </c>
      <c r="L744" s="108"/>
      <c r="M744" s="86" t="s">
        <v>400</v>
      </c>
      <c r="N744" s="188">
        <v>246.0</v>
      </c>
      <c r="O744" s="86">
        <v>30.0</v>
      </c>
      <c r="U744" s="162" t="s">
        <v>786</v>
      </c>
      <c r="V744" s="538" t="s">
        <v>1974</v>
      </c>
      <c r="W744" s="125" t="s">
        <v>3762</v>
      </c>
      <c r="X744" s="140"/>
      <c r="Y744" s="166">
        <f t="shared" si="23"/>
        <v>5</v>
      </c>
      <c r="Z744" s="26">
        <f t="shared" si="7"/>
        <v>0</v>
      </c>
      <c r="AA744" s="26">
        <f t="shared" si="8"/>
        <v>0</v>
      </c>
      <c r="AB744" s="26">
        <f t="shared" si="9"/>
        <v>0</v>
      </c>
      <c r="AC744" s="156">
        <v>0.0</v>
      </c>
      <c r="AD744" s="156">
        <v>0.0</v>
      </c>
      <c r="AE744" s="156">
        <v>0.0</v>
      </c>
      <c r="AF744" s="156">
        <v>0.0</v>
      </c>
      <c r="AG744" s="156">
        <v>0.0</v>
      </c>
      <c r="AH744" s="156">
        <v>0.0</v>
      </c>
      <c r="BN744" s="155">
        <v>0.0</v>
      </c>
      <c r="BO744" s="155">
        <v>0.0</v>
      </c>
      <c r="BP744" s="155">
        <v>0.0</v>
      </c>
      <c r="BQ744" s="155">
        <v>0.0</v>
      </c>
      <c r="BR744" s="155">
        <v>0.0</v>
      </c>
      <c r="BS744" s="155">
        <v>0.0</v>
      </c>
      <c r="CV744" s="156">
        <v>0.0</v>
      </c>
      <c r="CW744" s="156">
        <v>0.0</v>
      </c>
      <c r="CX744" s="156">
        <v>0.0</v>
      </c>
      <c r="CY744" s="156">
        <v>0.0</v>
      </c>
      <c r="CZ744" s="156">
        <v>0.0</v>
      </c>
      <c r="DA744" s="156">
        <v>0.0</v>
      </c>
      <c r="EG744" s="156">
        <v>0.0</v>
      </c>
      <c r="EH744" s="156">
        <v>0.0</v>
      </c>
      <c r="EI744" s="156">
        <v>0.0</v>
      </c>
      <c r="EJ744" s="156">
        <v>0.0</v>
      </c>
      <c r="EK744" s="156">
        <v>0.0</v>
      </c>
      <c r="EL744" s="156">
        <v>0.0</v>
      </c>
      <c r="FQ744" s="156">
        <v>0.0</v>
      </c>
      <c r="FR744" s="156">
        <v>0.0</v>
      </c>
      <c r="FS744" s="156">
        <v>0.0</v>
      </c>
      <c r="FT744" s="156">
        <v>0.0</v>
      </c>
      <c r="FU744" s="156">
        <v>0.0</v>
      </c>
      <c r="FV744" s="156">
        <v>0.0</v>
      </c>
      <c r="FW744" s="157"/>
      <c r="FX744" s="157"/>
      <c r="FY744" s="157"/>
      <c r="FZ744" s="157"/>
      <c r="GA744" s="157"/>
      <c r="GB744" s="157"/>
      <c r="GC744" s="157"/>
      <c r="GD744" s="157"/>
      <c r="GE744" s="157"/>
      <c r="GF744" s="157"/>
      <c r="GG744" s="157"/>
      <c r="GH744" s="157"/>
      <c r="GI744" s="157"/>
      <c r="GJ744" s="157"/>
      <c r="GK744" s="157"/>
      <c r="GL744" s="157"/>
      <c r="GM744" s="157"/>
      <c r="GN744" s="157"/>
      <c r="GO744" s="157"/>
      <c r="GP744" s="158"/>
      <c r="GQ744" s="157"/>
      <c r="GR744" s="157"/>
      <c r="GS744" s="157"/>
      <c r="GT744" s="157"/>
      <c r="GU744" s="157"/>
      <c r="GV744" s="157"/>
      <c r="GW744" s="157"/>
      <c r="GX744" s="157"/>
      <c r="GY744" s="157"/>
      <c r="GZ744" s="157"/>
      <c r="HA744" s="157"/>
      <c r="HB744" s="155">
        <v>0.0</v>
      </c>
      <c r="HC744" s="155">
        <v>0.0</v>
      </c>
      <c r="HD744" s="155">
        <v>0.0</v>
      </c>
      <c r="HE744" s="155">
        <v>0.0</v>
      </c>
      <c r="HF744" s="155">
        <v>0.0</v>
      </c>
      <c r="HG744" s="155">
        <v>0.0</v>
      </c>
      <c r="IL744" s="159">
        <v>0.0</v>
      </c>
      <c r="IM744" s="156">
        <v>0.0</v>
      </c>
      <c r="IN744" s="156">
        <v>0.0</v>
      </c>
      <c r="IO744" s="156">
        <v>0.0</v>
      </c>
      <c r="IP744" s="156">
        <v>0.0</v>
      </c>
      <c r="IQ744" s="160">
        <v>0.0</v>
      </c>
      <c r="JH744" s="25"/>
      <c r="JW744" s="159">
        <v>0.0</v>
      </c>
      <c r="JX744" s="156">
        <v>0.0</v>
      </c>
      <c r="JY744" s="156">
        <v>0.0</v>
      </c>
      <c r="JZ744" s="156">
        <v>0.0</v>
      </c>
      <c r="KA744" s="156">
        <v>0.0</v>
      </c>
      <c r="KB744" s="160">
        <v>0.0</v>
      </c>
      <c r="LH744" s="159">
        <f t="shared" si="10"/>
        <v>5</v>
      </c>
      <c r="LI744" s="156">
        <f t="shared" si="11"/>
        <v>0</v>
      </c>
      <c r="LJ744" s="156">
        <f t="shared" si="12"/>
        <v>0</v>
      </c>
      <c r="LK744" s="156">
        <f t="shared" si="13"/>
        <v>0</v>
      </c>
      <c r="LL744" s="156">
        <f t="shared" si="14"/>
        <v>0</v>
      </c>
      <c r="LM744" s="160">
        <f t="shared" si="15"/>
        <v>0</v>
      </c>
      <c r="LN744" s="174"/>
      <c r="LO744" s="174"/>
      <c r="LP744" s="174"/>
      <c r="LQ744" s="174"/>
      <c r="LR744" s="174"/>
      <c r="LS744" s="174"/>
      <c r="LT744" s="187">
        <v>1.0</v>
      </c>
      <c r="LU744" s="174"/>
      <c r="LV744" s="187">
        <v>1.0</v>
      </c>
      <c r="LW744" s="174">
        <f t="shared" ref="LW744:MQ744" si="132">IFS(TODAY()&lt;=LW$2,0,WEEKDAY(LW$2)=2,1,WEEKDAY(LW$2)=3,0,WEEKDAY(LW$2)=4,1,WEEKDAY(LW$2)=5,0,WEEKDAY(LW$2)=6,1,WEEKDAY(LW$2)=7,0,WEEKDAY(LW$2)=1,0)</f>
        <v>0</v>
      </c>
      <c r="LX744" s="174">
        <f t="shared" si="132"/>
        <v>1</v>
      </c>
      <c r="LY744" s="174">
        <f t="shared" si="132"/>
        <v>0</v>
      </c>
      <c r="LZ744" s="174">
        <f t="shared" si="132"/>
        <v>0</v>
      </c>
      <c r="MA744" s="174">
        <f t="shared" si="132"/>
        <v>1</v>
      </c>
      <c r="MB744" s="174">
        <f t="shared" si="132"/>
        <v>0</v>
      </c>
      <c r="MC744" s="174">
        <f t="shared" si="132"/>
        <v>1</v>
      </c>
      <c r="MD744" s="174">
        <f t="shared" si="132"/>
        <v>0</v>
      </c>
      <c r="ME744" s="174">
        <f t="shared" si="132"/>
        <v>0</v>
      </c>
      <c r="MF744" s="174">
        <f t="shared" si="132"/>
        <v>0</v>
      </c>
      <c r="MG744" s="174">
        <f t="shared" si="132"/>
        <v>0</v>
      </c>
      <c r="MH744" s="174">
        <f t="shared" si="132"/>
        <v>0</v>
      </c>
      <c r="MI744" s="174">
        <f t="shared" si="132"/>
        <v>0</v>
      </c>
      <c r="MJ744" s="174">
        <f t="shared" si="132"/>
        <v>0</v>
      </c>
      <c r="MK744" s="174">
        <f t="shared" si="132"/>
        <v>0</v>
      </c>
      <c r="ML744" s="174">
        <f t="shared" si="132"/>
        <v>0</v>
      </c>
      <c r="MM744" s="174">
        <f t="shared" si="132"/>
        <v>0</v>
      </c>
      <c r="MN744" s="174">
        <f t="shared" si="132"/>
        <v>0</v>
      </c>
      <c r="MO744" s="174">
        <f t="shared" si="132"/>
        <v>0</v>
      </c>
      <c r="MP744" s="174">
        <f t="shared" si="132"/>
        <v>0</v>
      </c>
      <c r="MQ744" s="174">
        <f t="shared" si="132"/>
        <v>0</v>
      </c>
      <c r="QX744" s="560">
        <v>46268.0</v>
      </c>
    </row>
    <row r="745">
      <c r="A745" s="12"/>
      <c r="B745" s="12"/>
      <c r="C745" s="12"/>
      <c r="D745" s="12"/>
      <c r="E745" s="58"/>
      <c r="F745" s="12"/>
      <c r="G745" s="12"/>
      <c r="H745" s="12"/>
      <c r="I745" s="143">
        <f t="shared" si="22"/>
        <v>-3</v>
      </c>
      <c r="J745" s="537">
        <v>46275.0</v>
      </c>
      <c r="K745" s="294" t="s">
        <v>48</v>
      </c>
      <c r="L745" s="108"/>
      <c r="M745" s="86" t="s">
        <v>3763</v>
      </c>
      <c r="N745" s="86">
        <v>235.0</v>
      </c>
      <c r="O745" s="86">
        <v>30.0</v>
      </c>
      <c r="U745" s="162" t="s">
        <v>3523</v>
      </c>
      <c r="V745" s="538" t="s">
        <v>3384</v>
      </c>
      <c r="W745" s="125" t="s">
        <v>3764</v>
      </c>
      <c r="X745" s="140"/>
      <c r="Y745" s="166">
        <f t="shared" si="23"/>
        <v>3</v>
      </c>
      <c r="Z745" s="26">
        <f t="shared" si="7"/>
        <v>0</v>
      </c>
      <c r="AA745" s="26">
        <f t="shared" si="8"/>
        <v>0</v>
      </c>
      <c r="AB745" s="26">
        <f t="shared" si="9"/>
        <v>0</v>
      </c>
      <c r="AC745" s="156">
        <v>0.0</v>
      </c>
      <c r="AD745" s="156">
        <v>0.0</v>
      </c>
      <c r="AE745" s="156">
        <v>0.0</v>
      </c>
      <c r="AF745" s="156">
        <v>0.0</v>
      </c>
      <c r="AG745" s="156">
        <v>0.0</v>
      </c>
      <c r="AH745" s="156">
        <v>0.0</v>
      </c>
      <c r="BN745" s="155">
        <v>0.0</v>
      </c>
      <c r="BO745" s="155">
        <v>0.0</v>
      </c>
      <c r="BP745" s="155">
        <v>0.0</v>
      </c>
      <c r="BQ745" s="155">
        <v>0.0</v>
      </c>
      <c r="BR745" s="155">
        <v>0.0</v>
      </c>
      <c r="BS745" s="155">
        <v>0.0</v>
      </c>
      <c r="CV745" s="156">
        <v>0.0</v>
      </c>
      <c r="CW745" s="156">
        <v>0.0</v>
      </c>
      <c r="CX745" s="156">
        <v>0.0</v>
      </c>
      <c r="CY745" s="156">
        <v>0.0</v>
      </c>
      <c r="CZ745" s="156">
        <v>0.0</v>
      </c>
      <c r="DA745" s="156">
        <v>0.0</v>
      </c>
      <c r="EG745" s="156">
        <v>0.0</v>
      </c>
      <c r="EH745" s="156">
        <v>0.0</v>
      </c>
      <c r="EI745" s="156">
        <v>0.0</v>
      </c>
      <c r="EJ745" s="156">
        <v>0.0</v>
      </c>
      <c r="EK745" s="156">
        <v>0.0</v>
      </c>
      <c r="EL745" s="156">
        <v>0.0</v>
      </c>
      <c r="FQ745" s="156">
        <v>0.0</v>
      </c>
      <c r="FR745" s="156">
        <v>0.0</v>
      </c>
      <c r="FS745" s="156">
        <v>0.0</v>
      </c>
      <c r="FT745" s="156">
        <v>0.0</v>
      </c>
      <c r="FU745" s="156">
        <v>0.0</v>
      </c>
      <c r="FV745" s="156">
        <v>0.0</v>
      </c>
      <c r="FW745" s="157"/>
      <c r="FX745" s="157"/>
      <c r="FY745" s="157"/>
      <c r="FZ745" s="157"/>
      <c r="GA745" s="157"/>
      <c r="GB745" s="157"/>
      <c r="GC745" s="157"/>
      <c r="GD745" s="157"/>
      <c r="GE745" s="157"/>
      <c r="GF745" s="157"/>
      <c r="GG745" s="157"/>
      <c r="GH745" s="157"/>
      <c r="GI745" s="157"/>
      <c r="GJ745" s="157"/>
      <c r="GK745" s="157"/>
      <c r="GL745" s="157"/>
      <c r="GM745" s="157"/>
      <c r="GN745" s="157"/>
      <c r="GO745" s="157"/>
      <c r="GP745" s="158"/>
      <c r="GQ745" s="157"/>
      <c r="GR745" s="157"/>
      <c r="GS745" s="157"/>
      <c r="GT745" s="157"/>
      <c r="GU745" s="157"/>
      <c r="GV745" s="157"/>
      <c r="GW745" s="157"/>
      <c r="GX745" s="157"/>
      <c r="GY745" s="157"/>
      <c r="GZ745" s="157"/>
      <c r="HA745" s="157"/>
      <c r="HB745" s="155">
        <v>0.0</v>
      </c>
      <c r="HC745" s="155">
        <v>0.0</v>
      </c>
      <c r="HD745" s="155">
        <v>0.0</v>
      </c>
      <c r="HE745" s="155">
        <v>0.0</v>
      </c>
      <c r="HF745" s="155">
        <v>0.0</v>
      </c>
      <c r="HG745" s="155">
        <v>0.0</v>
      </c>
      <c r="IL745" s="159">
        <v>0.0</v>
      </c>
      <c r="IM745" s="156">
        <v>0.0</v>
      </c>
      <c r="IN745" s="156">
        <v>0.0</v>
      </c>
      <c r="IO745" s="156">
        <v>0.0</v>
      </c>
      <c r="IP745" s="156">
        <v>0.0</v>
      </c>
      <c r="IQ745" s="160">
        <v>0.0</v>
      </c>
      <c r="JH745" s="25"/>
      <c r="JW745" s="159">
        <v>0.0</v>
      </c>
      <c r="JX745" s="156">
        <v>0.0</v>
      </c>
      <c r="JY745" s="156">
        <v>0.0</v>
      </c>
      <c r="JZ745" s="156">
        <v>0.0</v>
      </c>
      <c r="KA745" s="156">
        <v>0.0</v>
      </c>
      <c r="KB745" s="160">
        <v>0.0</v>
      </c>
      <c r="LH745" s="159">
        <f t="shared" si="10"/>
        <v>3</v>
      </c>
      <c r="LI745" s="156">
        <f t="shared" si="11"/>
        <v>0</v>
      </c>
      <c r="LJ745" s="156">
        <f t="shared" si="12"/>
        <v>0</v>
      </c>
      <c r="LK745" s="156">
        <f t="shared" si="13"/>
        <v>0</v>
      </c>
      <c r="LL745" s="156">
        <f t="shared" si="14"/>
        <v>0</v>
      </c>
      <c r="LM745" s="160">
        <f t="shared" si="15"/>
        <v>0</v>
      </c>
      <c r="LW745" s="174">
        <f t="shared" ref="LW745:MQ745" si="133">IFS(TODAY()&lt;=LW$2,0,WEEKDAY(LW$2)=2,1,WEEKDAY(LW$2)=3,0,WEEKDAY(LW$2)=4,1,WEEKDAY(LW$2)=5,0,WEEKDAY(LW$2)=6,1,WEEKDAY(LW$2)=7,0,WEEKDAY(LW$2)=1,0)</f>
        <v>0</v>
      </c>
      <c r="LX745" s="174">
        <f t="shared" si="133"/>
        <v>1</v>
      </c>
      <c r="LY745" s="174">
        <f t="shared" si="133"/>
        <v>0</v>
      </c>
      <c r="LZ745" s="174">
        <f t="shared" si="133"/>
        <v>0</v>
      </c>
      <c r="MA745" s="174">
        <f t="shared" si="133"/>
        <v>1</v>
      </c>
      <c r="MB745" s="174">
        <f t="shared" si="133"/>
        <v>0</v>
      </c>
      <c r="MC745" s="174">
        <f t="shared" si="133"/>
        <v>1</v>
      </c>
      <c r="MD745" s="174">
        <f t="shared" si="133"/>
        <v>0</v>
      </c>
      <c r="ME745" s="174">
        <f t="shared" si="133"/>
        <v>0</v>
      </c>
      <c r="MF745" s="174">
        <f t="shared" si="133"/>
        <v>0</v>
      </c>
      <c r="MG745" s="174">
        <f t="shared" si="133"/>
        <v>0</v>
      </c>
      <c r="MH745" s="174">
        <f t="shared" si="133"/>
        <v>0</v>
      </c>
      <c r="MI745" s="174">
        <f t="shared" si="133"/>
        <v>0</v>
      </c>
      <c r="MJ745" s="174">
        <f t="shared" si="133"/>
        <v>0</v>
      </c>
      <c r="MK745" s="174">
        <f t="shared" si="133"/>
        <v>0</v>
      </c>
      <c r="ML745" s="174">
        <f t="shared" si="133"/>
        <v>0</v>
      </c>
      <c r="MM745" s="174">
        <f t="shared" si="133"/>
        <v>0</v>
      </c>
      <c r="MN745" s="174">
        <f t="shared" si="133"/>
        <v>0</v>
      </c>
      <c r="MO745" s="174">
        <f t="shared" si="133"/>
        <v>0</v>
      </c>
      <c r="MP745" s="174">
        <f t="shared" si="133"/>
        <v>0</v>
      </c>
      <c r="MQ745" s="174">
        <f t="shared" si="133"/>
        <v>0</v>
      </c>
      <c r="QX745" s="560">
        <v>46268.0</v>
      </c>
    </row>
    <row r="746">
      <c r="A746" s="12"/>
      <c r="B746" s="12"/>
      <c r="C746" s="12"/>
      <c r="D746" s="12"/>
      <c r="E746" s="12"/>
      <c r="F746" s="12"/>
      <c r="G746" s="12"/>
      <c r="H746" s="12"/>
      <c r="I746" s="143">
        <f t="shared" si="22"/>
        <v>0</v>
      </c>
      <c r="J746" s="631">
        <v>46280.0</v>
      </c>
      <c r="K746" s="294" t="s">
        <v>31</v>
      </c>
      <c r="L746" s="108"/>
      <c r="M746" s="86" t="s">
        <v>435</v>
      </c>
      <c r="N746" s="86">
        <v>35.0</v>
      </c>
      <c r="O746" s="86">
        <v>30.0</v>
      </c>
      <c r="U746" s="538" t="s">
        <v>3603</v>
      </c>
      <c r="V746" s="162" t="s">
        <v>3604</v>
      </c>
      <c r="W746" s="125" t="s">
        <v>3765</v>
      </c>
      <c r="X746" s="140"/>
      <c r="Y746" s="166">
        <f t="shared" si="23"/>
        <v>0</v>
      </c>
      <c r="Z746" s="26">
        <f t="shared" si="7"/>
        <v>0</v>
      </c>
      <c r="AA746" s="26">
        <f t="shared" si="8"/>
        <v>0</v>
      </c>
      <c r="AB746" s="26">
        <f t="shared" si="9"/>
        <v>0</v>
      </c>
      <c r="AC746" s="156">
        <v>0.0</v>
      </c>
      <c r="AD746" s="156">
        <v>0.0</v>
      </c>
      <c r="AE746" s="156">
        <v>0.0</v>
      </c>
      <c r="AF746" s="156">
        <v>0.0</v>
      </c>
      <c r="AG746" s="156">
        <v>0.0</v>
      </c>
      <c r="AH746" s="156">
        <v>0.0</v>
      </c>
      <c r="BN746" s="155">
        <v>0.0</v>
      </c>
      <c r="BO746" s="155">
        <v>0.0</v>
      </c>
      <c r="BP746" s="155">
        <v>0.0</v>
      </c>
      <c r="BQ746" s="155">
        <v>0.0</v>
      </c>
      <c r="BR746" s="155">
        <v>0.0</v>
      </c>
      <c r="BS746" s="155">
        <v>0.0</v>
      </c>
      <c r="CV746" s="156">
        <v>0.0</v>
      </c>
      <c r="CW746" s="156">
        <v>0.0</v>
      </c>
      <c r="CX746" s="156">
        <v>0.0</v>
      </c>
      <c r="CY746" s="156">
        <v>0.0</v>
      </c>
      <c r="CZ746" s="156">
        <v>0.0</v>
      </c>
      <c r="DA746" s="156">
        <v>0.0</v>
      </c>
      <c r="EG746" s="156">
        <v>0.0</v>
      </c>
      <c r="EH746" s="156">
        <v>0.0</v>
      </c>
      <c r="EI746" s="156">
        <v>0.0</v>
      </c>
      <c r="EJ746" s="156">
        <v>0.0</v>
      </c>
      <c r="EK746" s="156">
        <v>0.0</v>
      </c>
      <c r="EL746" s="156">
        <v>0.0</v>
      </c>
      <c r="FQ746" s="156">
        <v>0.0</v>
      </c>
      <c r="FR746" s="156">
        <v>0.0</v>
      </c>
      <c r="FS746" s="156">
        <v>0.0</v>
      </c>
      <c r="FT746" s="156">
        <v>0.0</v>
      </c>
      <c r="FU746" s="156">
        <v>0.0</v>
      </c>
      <c r="FV746" s="156">
        <v>0.0</v>
      </c>
      <c r="FW746" s="157"/>
      <c r="FX746" s="157"/>
      <c r="FY746" s="157"/>
      <c r="FZ746" s="157"/>
      <c r="GA746" s="157"/>
      <c r="GB746" s="157"/>
      <c r="GC746" s="157"/>
      <c r="GD746" s="157"/>
      <c r="GE746" s="157"/>
      <c r="GF746" s="157"/>
      <c r="GG746" s="157"/>
      <c r="GH746" s="157"/>
      <c r="GI746" s="157"/>
      <c r="GJ746" s="157"/>
      <c r="GK746" s="157"/>
      <c r="GL746" s="157"/>
      <c r="GM746" s="157"/>
      <c r="GN746" s="157"/>
      <c r="GO746" s="157"/>
      <c r="GP746" s="158"/>
      <c r="GQ746" s="157"/>
      <c r="GR746" s="157"/>
      <c r="GS746" s="157"/>
      <c r="GT746" s="157"/>
      <c r="GU746" s="157"/>
      <c r="GV746" s="157"/>
      <c r="GW746" s="157"/>
      <c r="GX746" s="157"/>
      <c r="GY746" s="157"/>
      <c r="GZ746" s="157"/>
      <c r="HA746" s="157"/>
      <c r="HB746" s="155">
        <v>0.0</v>
      </c>
      <c r="HC746" s="155">
        <v>0.0</v>
      </c>
      <c r="HD746" s="155">
        <v>0.0</v>
      </c>
      <c r="HE746" s="155">
        <v>0.0</v>
      </c>
      <c r="HF746" s="155">
        <v>0.0</v>
      </c>
      <c r="HG746" s="155">
        <v>0.0</v>
      </c>
      <c r="IL746" s="159">
        <v>0.0</v>
      </c>
      <c r="IM746" s="156">
        <v>0.0</v>
      </c>
      <c r="IN746" s="156">
        <v>0.0</v>
      </c>
      <c r="IO746" s="156">
        <v>0.0</v>
      </c>
      <c r="IP746" s="156">
        <v>0.0</v>
      </c>
      <c r="IQ746" s="160">
        <v>0.0</v>
      </c>
      <c r="JH746" s="25"/>
      <c r="JW746" s="159">
        <v>0.0</v>
      </c>
      <c r="JX746" s="156">
        <v>0.0</v>
      </c>
      <c r="JY746" s="156">
        <v>0.0</v>
      </c>
      <c r="JZ746" s="156">
        <v>0.0</v>
      </c>
      <c r="KA746" s="156">
        <v>0.0</v>
      </c>
      <c r="KB746" s="160">
        <v>0.0</v>
      </c>
      <c r="LH746" s="159">
        <f t="shared" si="10"/>
        <v>0</v>
      </c>
      <c r="LI746" s="156">
        <f t="shared" si="11"/>
        <v>0</v>
      </c>
      <c r="LJ746" s="156">
        <f t="shared" si="12"/>
        <v>0</v>
      </c>
      <c r="LK746" s="156">
        <f t="shared" si="13"/>
        <v>0</v>
      </c>
      <c r="LL746" s="156">
        <f t="shared" si="14"/>
        <v>0</v>
      </c>
      <c r="LM746" s="160">
        <f t="shared" si="15"/>
        <v>0</v>
      </c>
      <c r="QX746" s="560">
        <v>46268.0</v>
      </c>
    </row>
    <row r="747">
      <c r="A747" s="12"/>
      <c r="B747" s="12"/>
      <c r="C747" s="12"/>
      <c r="D747" s="12"/>
      <c r="E747" s="12"/>
      <c r="F747" s="12"/>
      <c r="G747" s="12"/>
      <c r="H747" s="12"/>
      <c r="I747" s="143">
        <f t="shared" si="22"/>
        <v>0</v>
      </c>
      <c r="J747" s="537">
        <v>46275.0</v>
      </c>
      <c r="K747" s="294" t="s">
        <v>48</v>
      </c>
      <c r="L747" s="108"/>
      <c r="M747" s="86" t="s">
        <v>3263</v>
      </c>
      <c r="N747" s="86">
        <v>357.0</v>
      </c>
      <c r="O747" s="86">
        <v>30.0</v>
      </c>
      <c r="U747" s="162" t="s">
        <v>1965</v>
      </c>
      <c r="V747" s="538" t="s">
        <v>1838</v>
      </c>
      <c r="W747" s="125" t="s">
        <v>3766</v>
      </c>
      <c r="X747" s="140"/>
      <c r="Y747" s="166">
        <f t="shared" si="23"/>
        <v>0</v>
      </c>
      <c r="Z747" s="26">
        <f t="shared" si="7"/>
        <v>0</v>
      </c>
      <c r="AA747" s="26">
        <f t="shared" si="8"/>
        <v>0</v>
      </c>
      <c r="AB747" s="26">
        <f t="shared" si="9"/>
        <v>0</v>
      </c>
      <c r="AC747" s="156">
        <v>0.0</v>
      </c>
      <c r="AD747" s="156">
        <v>0.0</v>
      </c>
      <c r="AE747" s="156">
        <v>0.0</v>
      </c>
      <c r="AF747" s="156">
        <v>0.0</v>
      </c>
      <c r="AG747" s="156">
        <v>0.0</v>
      </c>
      <c r="AH747" s="156">
        <v>0.0</v>
      </c>
      <c r="BN747" s="155">
        <v>0.0</v>
      </c>
      <c r="BO747" s="155">
        <v>0.0</v>
      </c>
      <c r="BP747" s="155">
        <v>0.0</v>
      </c>
      <c r="BQ747" s="155">
        <v>0.0</v>
      </c>
      <c r="BR747" s="155">
        <v>0.0</v>
      </c>
      <c r="BS747" s="155">
        <v>0.0</v>
      </c>
      <c r="CV747" s="156">
        <v>0.0</v>
      </c>
      <c r="CW747" s="156">
        <v>0.0</v>
      </c>
      <c r="CX747" s="156">
        <v>0.0</v>
      </c>
      <c r="CY747" s="156">
        <v>0.0</v>
      </c>
      <c r="CZ747" s="156">
        <v>0.0</v>
      </c>
      <c r="DA747" s="156">
        <v>0.0</v>
      </c>
      <c r="EG747" s="156">
        <v>0.0</v>
      </c>
      <c r="EH747" s="156">
        <v>0.0</v>
      </c>
      <c r="EI747" s="156">
        <v>0.0</v>
      </c>
      <c r="EJ747" s="156">
        <v>0.0</v>
      </c>
      <c r="EK747" s="156">
        <v>0.0</v>
      </c>
      <c r="EL747" s="156">
        <v>0.0</v>
      </c>
      <c r="FQ747" s="156">
        <v>0.0</v>
      </c>
      <c r="FR747" s="156">
        <v>0.0</v>
      </c>
      <c r="FS747" s="156">
        <v>0.0</v>
      </c>
      <c r="FT747" s="156">
        <v>0.0</v>
      </c>
      <c r="FU747" s="156">
        <v>0.0</v>
      </c>
      <c r="FV747" s="156">
        <v>0.0</v>
      </c>
      <c r="FW747" s="157"/>
      <c r="FX747" s="157"/>
      <c r="FY747" s="157"/>
      <c r="FZ747" s="157"/>
      <c r="GA747" s="157"/>
      <c r="GB747" s="157"/>
      <c r="GC747" s="157"/>
      <c r="GD747" s="157"/>
      <c r="GE747" s="157"/>
      <c r="GF747" s="157"/>
      <c r="GG747" s="157"/>
      <c r="GH747" s="157"/>
      <c r="GI747" s="157"/>
      <c r="GJ747" s="157"/>
      <c r="GK747" s="157"/>
      <c r="GL747" s="157"/>
      <c r="GM747" s="157"/>
      <c r="GN747" s="157"/>
      <c r="GO747" s="157"/>
      <c r="GP747" s="158"/>
      <c r="GQ747" s="157"/>
      <c r="GR747" s="157"/>
      <c r="GS747" s="157"/>
      <c r="GT747" s="157"/>
      <c r="GU747" s="157"/>
      <c r="GV747" s="157"/>
      <c r="GW747" s="157"/>
      <c r="GX747" s="157"/>
      <c r="GY747" s="157"/>
      <c r="GZ747" s="157"/>
      <c r="HA747" s="157"/>
      <c r="HB747" s="155">
        <v>0.0</v>
      </c>
      <c r="HC747" s="155">
        <v>0.0</v>
      </c>
      <c r="HD747" s="155">
        <v>0.0</v>
      </c>
      <c r="HE747" s="155">
        <v>0.0</v>
      </c>
      <c r="HF747" s="155">
        <v>0.0</v>
      </c>
      <c r="HG747" s="155">
        <v>0.0</v>
      </c>
      <c r="IL747" s="159">
        <v>0.0</v>
      </c>
      <c r="IM747" s="156">
        <v>0.0</v>
      </c>
      <c r="IN747" s="156">
        <v>0.0</v>
      </c>
      <c r="IO747" s="156">
        <v>0.0</v>
      </c>
      <c r="IP747" s="156">
        <v>0.0</v>
      </c>
      <c r="IQ747" s="160">
        <v>0.0</v>
      </c>
      <c r="JH747" s="25"/>
      <c r="JW747" s="159">
        <v>0.0</v>
      </c>
      <c r="JX747" s="156">
        <v>0.0</v>
      </c>
      <c r="JY747" s="156">
        <v>0.0</v>
      </c>
      <c r="JZ747" s="156">
        <v>0.0</v>
      </c>
      <c r="KA747" s="156">
        <v>0.0</v>
      </c>
      <c r="KB747" s="160">
        <v>0.0</v>
      </c>
      <c r="LH747" s="159">
        <f t="shared" si="10"/>
        <v>0</v>
      </c>
      <c r="LI747" s="156">
        <f t="shared" si="11"/>
        <v>0</v>
      </c>
      <c r="LJ747" s="156">
        <f t="shared" si="12"/>
        <v>0</v>
      </c>
      <c r="LK747" s="156">
        <f t="shared" si="13"/>
        <v>0</v>
      </c>
      <c r="LL747" s="156">
        <f t="shared" si="14"/>
        <v>0</v>
      </c>
      <c r="LM747" s="160">
        <f t="shared" si="15"/>
        <v>0</v>
      </c>
      <c r="QX747" s="560">
        <v>46268.0</v>
      </c>
    </row>
    <row r="748">
      <c r="A748" s="12"/>
      <c r="B748" s="12"/>
      <c r="C748" s="12"/>
      <c r="D748" s="12"/>
      <c r="E748" s="12"/>
      <c r="F748" s="12"/>
      <c r="G748" s="12"/>
      <c r="H748" s="12"/>
      <c r="I748" s="143">
        <f t="shared" si="22"/>
        <v>-7</v>
      </c>
      <c r="J748" s="537">
        <v>46275.0</v>
      </c>
      <c r="K748" s="294" t="s">
        <v>48</v>
      </c>
      <c r="L748" s="108"/>
      <c r="M748" s="86" t="s">
        <v>3767</v>
      </c>
      <c r="N748" s="188">
        <v>357.0</v>
      </c>
      <c r="O748" s="86">
        <v>30.0</v>
      </c>
      <c r="U748" s="162" t="s">
        <v>3768</v>
      </c>
      <c r="V748" s="538" t="s">
        <v>3565</v>
      </c>
      <c r="W748" s="125" t="s">
        <v>3769</v>
      </c>
      <c r="X748" s="140"/>
      <c r="Y748" s="166">
        <f t="shared" si="23"/>
        <v>7</v>
      </c>
      <c r="Z748" s="26">
        <f t="shared" si="7"/>
        <v>0</v>
      </c>
      <c r="AA748" s="26">
        <f t="shared" si="8"/>
        <v>0</v>
      </c>
      <c r="AB748" s="26">
        <f t="shared" si="9"/>
        <v>0</v>
      </c>
      <c r="AC748" s="156">
        <v>0.0</v>
      </c>
      <c r="AD748" s="156">
        <v>0.0</v>
      </c>
      <c r="AE748" s="156">
        <v>0.0</v>
      </c>
      <c r="AF748" s="156">
        <v>0.0</v>
      </c>
      <c r="AG748" s="156">
        <v>0.0</v>
      </c>
      <c r="AH748" s="156">
        <v>0.0</v>
      </c>
      <c r="BN748" s="155">
        <v>0.0</v>
      </c>
      <c r="BO748" s="155">
        <v>0.0</v>
      </c>
      <c r="BP748" s="155">
        <v>0.0</v>
      </c>
      <c r="BQ748" s="155">
        <v>0.0</v>
      </c>
      <c r="BR748" s="155">
        <v>0.0</v>
      </c>
      <c r="BS748" s="155">
        <v>0.0</v>
      </c>
      <c r="CV748" s="156">
        <v>0.0</v>
      </c>
      <c r="CW748" s="156">
        <v>0.0</v>
      </c>
      <c r="CX748" s="156">
        <v>0.0</v>
      </c>
      <c r="CY748" s="156">
        <v>0.0</v>
      </c>
      <c r="CZ748" s="156">
        <v>0.0</v>
      </c>
      <c r="DA748" s="156">
        <v>0.0</v>
      </c>
      <c r="EG748" s="156">
        <v>0.0</v>
      </c>
      <c r="EH748" s="156">
        <v>0.0</v>
      </c>
      <c r="EI748" s="156">
        <v>0.0</v>
      </c>
      <c r="EJ748" s="156">
        <v>0.0</v>
      </c>
      <c r="EK748" s="156">
        <v>0.0</v>
      </c>
      <c r="EL748" s="156">
        <v>0.0</v>
      </c>
      <c r="FQ748" s="156">
        <v>0.0</v>
      </c>
      <c r="FR748" s="156">
        <v>0.0</v>
      </c>
      <c r="FS748" s="156">
        <v>0.0</v>
      </c>
      <c r="FT748" s="156">
        <v>0.0</v>
      </c>
      <c r="FU748" s="156">
        <v>0.0</v>
      </c>
      <c r="FV748" s="156">
        <v>0.0</v>
      </c>
      <c r="FW748" s="157"/>
      <c r="FX748" s="157"/>
      <c r="FY748" s="157"/>
      <c r="FZ748" s="157"/>
      <c r="GA748" s="157"/>
      <c r="GB748" s="157"/>
      <c r="GC748" s="157"/>
      <c r="GD748" s="157"/>
      <c r="GE748" s="157"/>
      <c r="GF748" s="157"/>
      <c r="GG748" s="157"/>
      <c r="GH748" s="157"/>
      <c r="GI748" s="157"/>
      <c r="GJ748" s="157"/>
      <c r="GK748" s="157"/>
      <c r="GL748" s="157"/>
      <c r="GM748" s="157"/>
      <c r="GN748" s="157"/>
      <c r="GO748" s="157"/>
      <c r="GP748" s="158"/>
      <c r="GQ748" s="157"/>
      <c r="GR748" s="157"/>
      <c r="GS748" s="157"/>
      <c r="GT748" s="157"/>
      <c r="GU748" s="157"/>
      <c r="GV748" s="157"/>
      <c r="GW748" s="157"/>
      <c r="GX748" s="157"/>
      <c r="GY748" s="157"/>
      <c r="GZ748" s="157"/>
      <c r="HA748" s="157"/>
      <c r="HB748" s="155">
        <v>0.0</v>
      </c>
      <c r="HC748" s="155">
        <v>0.0</v>
      </c>
      <c r="HD748" s="155">
        <v>0.0</v>
      </c>
      <c r="HE748" s="155">
        <v>0.0</v>
      </c>
      <c r="HF748" s="155">
        <v>0.0</v>
      </c>
      <c r="HG748" s="155">
        <v>0.0</v>
      </c>
      <c r="IL748" s="159">
        <v>0.0</v>
      </c>
      <c r="IM748" s="156">
        <v>0.0</v>
      </c>
      <c r="IN748" s="156">
        <v>0.0</v>
      </c>
      <c r="IO748" s="156">
        <v>0.0</v>
      </c>
      <c r="IP748" s="156">
        <v>0.0</v>
      </c>
      <c r="IQ748" s="160">
        <v>0.0</v>
      </c>
      <c r="JH748" s="25"/>
      <c r="JW748" s="159">
        <v>0.0</v>
      </c>
      <c r="JX748" s="156">
        <v>0.0</v>
      </c>
      <c r="JY748" s="156">
        <v>0.0</v>
      </c>
      <c r="JZ748" s="156">
        <v>0.0</v>
      </c>
      <c r="KA748" s="156">
        <v>0.0</v>
      </c>
      <c r="KB748" s="160">
        <v>0.0</v>
      </c>
      <c r="LH748" s="159">
        <f t="shared" si="10"/>
        <v>7</v>
      </c>
      <c r="LI748" s="156">
        <f t="shared" si="11"/>
        <v>0</v>
      </c>
      <c r="LJ748" s="156">
        <f t="shared" si="12"/>
        <v>0</v>
      </c>
      <c r="LK748" s="156">
        <f t="shared" si="13"/>
        <v>0</v>
      </c>
      <c r="LL748" s="156">
        <f t="shared" si="14"/>
        <v>0</v>
      </c>
      <c r="LM748" s="160">
        <f t="shared" si="15"/>
        <v>0</v>
      </c>
      <c r="LW748" s="174">
        <f t="shared" ref="LW748:MQ748" si="134">IFS(TODAY()&lt;=LW$2,0,WEEKDAY(LW$2)=2,3,WEEKDAY(LW$2)=3,1,WEEKDAY(LW$2)=4,0,WEEKDAY(LW$2)=5,1,WEEKDAY(LW$2)=6,0,WEEKDAY(LW$2)=7,1,WEEKDAY(LW$2)=1,0)</f>
        <v>1</v>
      </c>
      <c r="LX748" s="174">
        <f t="shared" si="134"/>
        <v>0</v>
      </c>
      <c r="LY748" s="174">
        <f t="shared" si="134"/>
        <v>1</v>
      </c>
      <c r="LZ748" s="174">
        <f t="shared" si="134"/>
        <v>0</v>
      </c>
      <c r="MA748" s="174">
        <f t="shared" si="134"/>
        <v>3</v>
      </c>
      <c r="MB748" s="174">
        <f t="shared" si="134"/>
        <v>1</v>
      </c>
      <c r="MC748" s="174">
        <f t="shared" si="134"/>
        <v>0</v>
      </c>
      <c r="MD748" s="174">
        <f t="shared" si="134"/>
        <v>1</v>
      </c>
      <c r="ME748" s="174">
        <f t="shared" si="134"/>
        <v>0</v>
      </c>
      <c r="MF748" s="174">
        <f t="shared" si="134"/>
        <v>0</v>
      </c>
      <c r="MG748" s="174">
        <f t="shared" si="134"/>
        <v>0</v>
      </c>
      <c r="MH748" s="174">
        <f t="shared" si="134"/>
        <v>0</v>
      </c>
      <c r="MI748" s="174">
        <f t="shared" si="134"/>
        <v>0</v>
      </c>
      <c r="MJ748" s="174">
        <f t="shared" si="134"/>
        <v>0</v>
      </c>
      <c r="MK748" s="174">
        <f t="shared" si="134"/>
        <v>0</v>
      </c>
      <c r="ML748" s="174">
        <f t="shared" si="134"/>
        <v>0</v>
      </c>
      <c r="MM748" s="174">
        <f t="shared" si="134"/>
        <v>0</v>
      </c>
      <c r="MN748" s="174">
        <f t="shared" si="134"/>
        <v>0</v>
      </c>
      <c r="MO748" s="174">
        <f t="shared" si="134"/>
        <v>0</v>
      </c>
      <c r="MP748" s="174">
        <f t="shared" si="134"/>
        <v>0</v>
      </c>
      <c r="MQ748" s="174">
        <f t="shared" si="134"/>
        <v>0</v>
      </c>
      <c r="QX748" s="560">
        <v>46269.0</v>
      </c>
    </row>
    <row r="749">
      <c r="A749" s="12"/>
      <c r="B749" s="12"/>
      <c r="C749" s="12"/>
      <c r="D749" s="12"/>
      <c r="E749" s="58"/>
      <c r="F749" s="494"/>
      <c r="G749" s="12"/>
      <c r="H749" s="12"/>
      <c r="I749" s="143">
        <f t="shared" si="22"/>
        <v>-7</v>
      </c>
      <c r="J749" s="537">
        <v>46275.0</v>
      </c>
      <c r="K749" s="294" t="s">
        <v>48</v>
      </c>
      <c r="L749" s="108"/>
      <c r="M749" s="86" t="s">
        <v>3770</v>
      </c>
      <c r="N749" s="86">
        <v>256.0</v>
      </c>
      <c r="O749" s="86">
        <v>30.0</v>
      </c>
      <c r="U749" s="162" t="s">
        <v>684</v>
      </c>
      <c r="V749" s="538" t="s">
        <v>230</v>
      </c>
      <c r="W749" s="185" t="s">
        <v>3771</v>
      </c>
      <c r="X749" s="140"/>
      <c r="Y749" s="166">
        <f t="shared" si="23"/>
        <v>7</v>
      </c>
      <c r="Z749" s="26">
        <f t="shared" si="7"/>
        <v>0</v>
      </c>
      <c r="AA749" s="26">
        <f t="shared" si="8"/>
        <v>0</v>
      </c>
      <c r="AB749" s="26">
        <f t="shared" si="9"/>
        <v>0</v>
      </c>
      <c r="AC749" s="156">
        <v>0.0</v>
      </c>
      <c r="AD749" s="156">
        <v>0.0</v>
      </c>
      <c r="AE749" s="156">
        <v>0.0</v>
      </c>
      <c r="AF749" s="156">
        <v>0.0</v>
      </c>
      <c r="AG749" s="156">
        <v>0.0</v>
      </c>
      <c r="AH749" s="156">
        <v>0.0</v>
      </c>
      <c r="BN749" s="155">
        <v>0.0</v>
      </c>
      <c r="BO749" s="155">
        <v>0.0</v>
      </c>
      <c r="BP749" s="155">
        <v>0.0</v>
      </c>
      <c r="BQ749" s="155">
        <v>0.0</v>
      </c>
      <c r="BR749" s="155">
        <v>0.0</v>
      </c>
      <c r="BS749" s="155">
        <v>0.0</v>
      </c>
      <c r="CV749" s="156">
        <v>0.0</v>
      </c>
      <c r="CW749" s="156">
        <v>0.0</v>
      </c>
      <c r="CX749" s="156">
        <v>0.0</v>
      </c>
      <c r="CY749" s="156">
        <v>0.0</v>
      </c>
      <c r="CZ749" s="156">
        <v>0.0</v>
      </c>
      <c r="DA749" s="156">
        <v>0.0</v>
      </c>
      <c r="EG749" s="156">
        <v>0.0</v>
      </c>
      <c r="EH749" s="156">
        <v>0.0</v>
      </c>
      <c r="EI749" s="156">
        <v>0.0</v>
      </c>
      <c r="EJ749" s="156">
        <v>0.0</v>
      </c>
      <c r="EK749" s="156">
        <v>0.0</v>
      </c>
      <c r="EL749" s="156">
        <v>0.0</v>
      </c>
      <c r="FQ749" s="156">
        <v>0.0</v>
      </c>
      <c r="FR749" s="156">
        <v>0.0</v>
      </c>
      <c r="FS749" s="156">
        <v>0.0</v>
      </c>
      <c r="FT749" s="156">
        <v>0.0</v>
      </c>
      <c r="FU749" s="156">
        <v>0.0</v>
      </c>
      <c r="FV749" s="156">
        <v>0.0</v>
      </c>
      <c r="FW749" s="157"/>
      <c r="FX749" s="157"/>
      <c r="FY749" s="157"/>
      <c r="FZ749" s="157"/>
      <c r="GA749" s="157"/>
      <c r="GB749" s="157"/>
      <c r="GC749" s="157"/>
      <c r="GD749" s="157"/>
      <c r="GE749" s="157"/>
      <c r="GF749" s="157"/>
      <c r="GG749" s="157"/>
      <c r="GH749" s="157"/>
      <c r="GI749" s="157"/>
      <c r="GJ749" s="157"/>
      <c r="GK749" s="157"/>
      <c r="GL749" s="157"/>
      <c r="GM749" s="157"/>
      <c r="GN749" s="157"/>
      <c r="GO749" s="157"/>
      <c r="GP749" s="158"/>
      <c r="GQ749" s="157"/>
      <c r="GR749" s="157"/>
      <c r="GS749" s="157"/>
      <c r="GT749" s="157"/>
      <c r="GU749" s="157"/>
      <c r="GV749" s="157"/>
      <c r="GW749" s="157"/>
      <c r="GX749" s="157"/>
      <c r="GY749" s="157"/>
      <c r="GZ749" s="157"/>
      <c r="HA749" s="157"/>
      <c r="HB749" s="155">
        <v>0.0</v>
      </c>
      <c r="HC749" s="155">
        <v>0.0</v>
      </c>
      <c r="HD749" s="155">
        <v>0.0</v>
      </c>
      <c r="HE749" s="155">
        <v>0.0</v>
      </c>
      <c r="HF749" s="155">
        <v>0.0</v>
      </c>
      <c r="HG749" s="155">
        <v>0.0</v>
      </c>
      <c r="IL749" s="159">
        <v>0.0</v>
      </c>
      <c r="IM749" s="156">
        <v>0.0</v>
      </c>
      <c r="IN749" s="156">
        <v>0.0</v>
      </c>
      <c r="IO749" s="156">
        <v>0.0</v>
      </c>
      <c r="IP749" s="156">
        <v>0.0</v>
      </c>
      <c r="IQ749" s="160">
        <v>0.0</v>
      </c>
      <c r="JH749" s="25"/>
      <c r="JW749" s="159">
        <v>0.0</v>
      </c>
      <c r="JX749" s="156">
        <v>0.0</v>
      </c>
      <c r="JY749" s="156">
        <v>0.0</v>
      </c>
      <c r="JZ749" s="156">
        <v>0.0</v>
      </c>
      <c r="KA749" s="156">
        <v>0.0</v>
      </c>
      <c r="KB749" s="160">
        <v>0.0</v>
      </c>
      <c r="LH749" s="159">
        <f t="shared" si="10"/>
        <v>7</v>
      </c>
      <c r="LI749" s="156">
        <f t="shared" si="11"/>
        <v>0</v>
      </c>
      <c r="LJ749" s="156">
        <f t="shared" si="12"/>
        <v>0</v>
      </c>
      <c r="LK749" s="156">
        <f t="shared" si="13"/>
        <v>0</v>
      </c>
      <c r="LL749" s="156">
        <f t="shared" si="14"/>
        <v>0</v>
      </c>
      <c r="LM749" s="160">
        <f t="shared" si="15"/>
        <v>0</v>
      </c>
      <c r="LW749" s="174">
        <f t="shared" ref="LW749:MQ749" si="135">IFS(TODAY()&lt;=LW$2,0,WEEKDAY(LW$2)=2,3,WEEKDAY(LW$2)=3,1,WEEKDAY(LW$2)=4,0,WEEKDAY(LW$2)=5,1,WEEKDAY(LW$2)=6,0,WEEKDAY(LW$2)=7,1,WEEKDAY(LW$2)=1,0)</f>
        <v>1</v>
      </c>
      <c r="LX749" s="174">
        <f t="shared" si="135"/>
        <v>0</v>
      </c>
      <c r="LY749" s="174">
        <f t="shared" si="135"/>
        <v>1</v>
      </c>
      <c r="LZ749" s="174">
        <f t="shared" si="135"/>
        <v>0</v>
      </c>
      <c r="MA749" s="174">
        <f t="shared" si="135"/>
        <v>3</v>
      </c>
      <c r="MB749" s="174">
        <f t="shared" si="135"/>
        <v>1</v>
      </c>
      <c r="MC749" s="174">
        <f t="shared" si="135"/>
        <v>0</v>
      </c>
      <c r="MD749" s="174">
        <f t="shared" si="135"/>
        <v>1</v>
      </c>
      <c r="ME749" s="174">
        <f t="shared" si="135"/>
        <v>0</v>
      </c>
      <c r="MF749" s="174">
        <f t="shared" si="135"/>
        <v>0</v>
      </c>
      <c r="MG749" s="174">
        <f t="shared" si="135"/>
        <v>0</v>
      </c>
      <c r="MH749" s="174">
        <f t="shared" si="135"/>
        <v>0</v>
      </c>
      <c r="MI749" s="174">
        <f t="shared" si="135"/>
        <v>0</v>
      </c>
      <c r="MJ749" s="174">
        <f t="shared" si="135"/>
        <v>0</v>
      </c>
      <c r="MK749" s="174">
        <f t="shared" si="135"/>
        <v>0</v>
      </c>
      <c r="ML749" s="174">
        <f t="shared" si="135"/>
        <v>0</v>
      </c>
      <c r="MM749" s="174">
        <f t="shared" si="135"/>
        <v>0</v>
      </c>
      <c r="MN749" s="174">
        <f t="shared" si="135"/>
        <v>0</v>
      </c>
      <c r="MO749" s="174">
        <f t="shared" si="135"/>
        <v>0</v>
      </c>
      <c r="MP749" s="174">
        <f t="shared" si="135"/>
        <v>0</v>
      </c>
      <c r="MQ749" s="174">
        <f t="shared" si="135"/>
        <v>0</v>
      </c>
      <c r="QX749" s="560">
        <v>46269.0</v>
      </c>
    </row>
    <row r="750">
      <c r="A750" s="12"/>
      <c r="B750" s="12"/>
      <c r="C750" s="12"/>
      <c r="D750" s="12"/>
      <c r="E750" s="12"/>
      <c r="F750" s="12"/>
      <c r="G750" s="12"/>
      <c r="H750" s="12"/>
      <c r="I750" s="143">
        <f t="shared" si="22"/>
        <v>0</v>
      </c>
      <c r="J750" s="537">
        <v>46275.0</v>
      </c>
      <c r="K750" s="294" t="s">
        <v>48</v>
      </c>
      <c r="L750" s="108"/>
      <c r="M750" s="86" t="s">
        <v>3772</v>
      </c>
      <c r="N750" s="86">
        <v>35.0</v>
      </c>
      <c r="O750" s="86">
        <v>30.0</v>
      </c>
      <c r="U750" s="162" t="s">
        <v>3423</v>
      </c>
      <c r="V750" s="538" t="s">
        <v>3420</v>
      </c>
      <c r="W750" s="125" t="s">
        <v>3773</v>
      </c>
      <c r="X750" s="140"/>
      <c r="Y750" s="166">
        <f t="shared" si="23"/>
        <v>0</v>
      </c>
      <c r="Z750" s="26">
        <f t="shared" si="7"/>
        <v>0</v>
      </c>
      <c r="AA750" s="26">
        <f t="shared" si="8"/>
        <v>0</v>
      </c>
      <c r="AB750" s="26">
        <f t="shared" si="9"/>
        <v>0</v>
      </c>
      <c r="AC750" s="156">
        <v>0.0</v>
      </c>
      <c r="AD750" s="156">
        <v>0.0</v>
      </c>
      <c r="AE750" s="156">
        <v>0.0</v>
      </c>
      <c r="AF750" s="156">
        <v>0.0</v>
      </c>
      <c r="AG750" s="156">
        <v>0.0</v>
      </c>
      <c r="AH750" s="156">
        <v>0.0</v>
      </c>
      <c r="BN750" s="155">
        <v>0.0</v>
      </c>
      <c r="BO750" s="155">
        <v>0.0</v>
      </c>
      <c r="BP750" s="155">
        <v>0.0</v>
      </c>
      <c r="BQ750" s="155">
        <v>0.0</v>
      </c>
      <c r="BR750" s="155">
        <v>0.0</v>
      </c>
      <c r="BS750" s="155">
        <v>0.0</v>
      </c>
      <c r="CV750" s="156">
        <v>0.0</v>
      </c>
      <c r="CW750" s="156">
        <v>0.0</v>
      </c>
      <c r="CX750" s="156">
        <v>0.0</v>
      </c>
      <c r="CY750" s="156">
        <v>0.0</v>
      </c>
      <c r="CZ750" s="156">
        <v>0.0</v>
      </c>
      <c r="DA750" s="156">
        <v>0.0</v>
      </c>
      <c r="EG750" s="156">
        <v>0.0</v>
      </c>
      <c r="EH750" s="156">
        <v>0.0</v>
      </c>
      <c r="EI750" s="156">
        <v>0.0</v>
      </c>
      <c r="EJ750" s="156">
        <v>0.0</v>
      </c>
      <c r="EK750" s="156">
        <v>0.0</v>
      </c>
      <c r="EL750" s="156">
        <v>0.0</v>
      </c>
      <c r="FQ750" s="156">
        <v>0.0</v>
      </c>
      <c r="FR750" s="156">
        <v>0.0</v>
      </c>
      <c r="FS750" s="156">
        <v>0.0</v>
      </c>
      <c r="FT750" s="156">
        <v>0.0</v>
      </c>
      <c r="FU750" s="156">
        <v>0.0</v>
      </c>
      <c r="FV750" s="156">
        <v>0.0</v>
      </c>
      <c r="FW750" s="157"/>
      <c r="FX750" s="157"/>
      <c r="FY750" s="157"/>
      <c r="FZ750" s="157"/>
      <c r="GA750" s="157"/>
      <c r="GB750" s="157"/>
      <c r="GC750" s="157"/>
      <c r="GD750" s="157"/>
      <c r="GE750" s="157"/>
      <c r="GF750" s="157"/>
      <c r="GG750" s="157"/>
      <c r="GH750" s="157"/>
      <c r="GI750" s="157"/>
      <c r="GJ750" s="157"/>
      <c r="GK750" s="157"/>
      <c r="GL750" s="157"/>
      <c r="GM750" s="157"/>
      <c r="GN750" s="157"/>
      <c r="GO750" s="157"/>
      <c r="GP750" s="158"/>
      <c r="GQ750" s="157"/>
      <c r="GR750" s="157"/>
      <c r="GS750" s="157"/>
      <c r="GT750" s="157"/>
      <c r="GU750" s="157"/>
      <c r="GV750" s="157"/>
      <c r="GW750" s="157"/>
      <c r="GX750" s="157"/>
      <c r="GY750" s="157"/>
      <c r="GZ750" s="157"/>
      <c r="HA750" s="157"/>
      <c r="HB750" s="155">
        <v>0.0</v>
      </c>
      <c r="HC750" s="155">
        <v>0.0</v>
      </c>
      <c r="HD750" s="155">
        <v>0.0</v>
      </c>
      <c r="HE750" s="155">
        <v>0.0</v>
      </c>
      <c r="HF750" s="155">
        <v>0.0</v>
      </c>
      <c r="HG750" s="155">
        <v>0.0</v>
      </c>
      <c r="IL750" s="159">
        <v>0.0</v>
      </c>
      <c r="IM750" s="156">
        <v>0.0</v>
      </c>
      <c r="IN750" s="156">
        <v>0.0</v>
      </c>
      <c r="IO750" s="156">
        <v>0.0</v>
      </c>
      <c r="IP750" s="156">
        <v>0.0</v>
      </c>
      <c r="IQ750" s="160">
        <v>0.0</v>
      </c>
      <c r="JH750" s="25"/>
      <c r="JW750" s="159">
        <v>0.0</v>
      </c>
      <c r="JX750" s="156">
        <v>0.0</v>
      </c>
      <c r="JY750" s="156">
        <v>0.0</v>
      </c>
      <c r="JZ750" s="156">
        <v>0.0</v>
      </c>
      <c r="KA750" s="156">
        <v>0.0</v>
      </c>
      <c r="KB750" s="160">
        <v>0.0</v>
      </c>
      <c r="LH750" s="159">
        <f t="shared" si="10"/>
        <v>0</v>
      </c>
      <c r="LI750" s="156">
        <f t="shared" si="11"/>
        <v>0</v>
      </c>
      <c r="LJ750" s="156">
        <f t="shared" si="12"/>
        <v>0</v>
      </c>
      <c r="LK750" s="156">
        <f t="shared" si="13"/>
        <v>0</v>
      </c>
      <c r="LL750" s="156">
        <f t="shared" si="14"/>
        <v>0</v>
      </c>
      <c r="LM750" s="160">
        <f t="shared" si="15"/>
        <v>0</v>
      </c>
      <c r="QX750" s="560">
        <v>46270.0</v>
      </c>
    </row>
    <row r="751">
      <c r="A751" s="12"/>
      <c r="B751" s="12"/>
      <c r="C751" s="12"/>
      <c r="D751" s="12"/>
      <c r="E751" s="58"/>
      <c r="F751" s="12"/>
      <c r="G751" s="12"/>
      <c r="H751" s="12"/>
      <c r="I751" s="143">
        <f t="shared" si="22"/>
        <v>-6</v>
      </c>
      <c r="J751" s="537">
        <v>46277.0</v>
      </c>
      <c r="K751" s="294" t="s">
        <v>48</v>
      </c>
      <c r="L751" s="86" t="s">
        <v>3774</v>
      </c>
      <c r="M751" s="246" t="s">
        <v>348</v>
      </c>
      <c r="N751" s="188">
        <v>357.0</v>
      </c>
      <c r="O751" s="86">
        <v>30.0</v>
      </c>
      <c r="U751" s="162" t="s">
        <v>3733</v>
      </c>
      <c r="V751" s="538" t="s">
        <v>3734</v>
      </c>
      <c r="W751" s="125" t="s">
        <v>3775</v>
      </c>
      <c r="X751" s="140"/>
      <c r="Y751" s="166">
        <f t="shared" si="23"/>
        <v>6</v>
      </c>
      <c r="Z751" s="26">
        <f t="shared" si="7"/>
        <v>0</v>
      </c>
      <c r="AA751" s="26">
        <f t="shared" si="8"/>
        <v>0</v>
      </c>
      <c r="AB751" s="26">
        <f t="shared" si="9"/>
        <v>0</v>
      </c>
      <c r="AC751" s="156">
        <v>0.0</v>
      </c>
      <c r="AD751" s="156">
        <v>0.0</v>
      </c>
      <c r="AE751" s="156">
        <v>0.0</v>
      </c>
      <c r="AF751" s="156">
        <v>0.0</v>
      </c>
      <c r="AG751" s="156">
        <v>0.0</v>
      </c>
      <c r="AH751" s="156">
        <v>0.0</v>
      </c>
      <c r="BN751" s="155">
        <v>0.0</v>
      </c>
      <c r="BO751" s="155">
        <v>0.0</v>
      </c>
      <c r="BP751" s="155">
        <v>0.0</v>
      </c>
      <c r="BQ751" s="155">
        <v>0.0</v>
      </c>
      <c r="BR751" s="155">
        <v>0.0</v>
      </c>
      <c r="BS751" s="155">
        <v>0.0</v>
      </c>
      <c r="CV751" s="156">
        <v>0.0</v>
      </c>
      <c r="CW751" s="156">
        <v>0.0</v>
      </c>
      <c r="CX751" s="156">
        <v>0.0</v>
      </c>
      <c r="CY751" s="156">
        <v>0.0</v>
      </c>
      <c r="CZ751" s="156">
        <v>0.0</v>
      </c>
      <c r="DA751" s="156">
        <v>0.0</v>
      </c>
      <c r="EG751" s="156">
        <v>0.0</v>
      </c>
      <c r="EH751" s="156">
        <v>0.0</v>
      </c>
      <c r="EI751" s="156">
        <v>0.0</v>
      </c>
      <c r="EJ751" s="156">
        <v>0.0</v>
      </c>
      <c r="EK751" s="156">
        <v>0.0</v>
      </c>
      <c r="EL751" s="156">
        <v>0.0</v>
      </c>
      <c r="FQ751" s="156">
        <v>0.0</v>
      </c>
      <c r="FR751" s="156">
        <v>0.0</v>
      </c>
      <c r="FS751" s="156">
        <v>0.0</v>
      </c>
      <c r="FT751" s="156">
        <v>0.0</v>
      </c>
      <c r="FU751" s="156">
        <v>0.0</v>
      </c>
      <c r="FV751" s="156">
        <v>0.0</v>
      </c>
      <c r="FW751" s="157"/>
      <c r="FX751" s="157"/>
      <c r="FY751" s="157"/>
      <c r="FZ751" s="157"/>
      <c r="GA751" s="157"/>
      <c r="GB751" s="157"/>
      <c r="GC751" s="157"/>
      <c r="GD751" s="157"/>
      <c r="GE751" s="157"/>
      <c r="GF751" s="157"/>
      <c r="GG751" s="157"/>
      <c r="GH751" s="157"/>
      <c r="GI751" s="157"/>
      <c r="GJ751" s="157"/>
      <c r="GK751" s="157"/>
      <c r="GL751" s="157"/>
      <c r="GM751" s="157"/>
      <c r="GN751" s="157"/>
      <c r="GO751" s="157"/>
      <c r="GP751" s="158"/>
      <c r="GQ751" s="157"/>
      <c r="GR751" s="157"/>
      <c r="GS751" s="157"/>
      <c r="GT751" s="157"/>
      <c r="GU751" s="157"/>
      <c r="GV751" s="157"/>
      <c r="GW751" s="157"/>
      <c r="GX751" s="157"/>
      <c r="GY751" s="157"/>
      <c r="GZ751" s="157"/>
      <c r="HA751" s="157"/>
      <c r="HB751" s="155">
        <v>0.0</v>
      </c>
      <c r="HC751" s="155">
        <v>0.0</v>
      </c>
      <c r="HD751" s="155">
        <v>0.0</v>
      </c>
      <c r="HE751" s="155">
        <v>0.0</v>
      </c>
      <c r="HF751" s="155">
        <v>0.0</v>
      </c>
      <c r="HG751" s="155">
        <v>0.0</v>
      </c>
      <c r="IL751" s="159">
        <v>0.0</v>
      </c>
      <c r="IM751" s="156">
        <v>0.0</v>
      </c>
      <c r="IN751" s="156">
        <v>0.0</v>
      </c>
      <c r="IO751" s="156">
        <v>0.0</v>
      </c>
      <c r="IP751" s="156">
        <v>0.0</v>
      </c>
      <c r="IQ751" s="160">
        <v>0.0</v>
      </c>
      <c r="JH751" s="25"/>
      <c r="JW751" s="159">
        <v>0.0</v>
      </c>
      <c r="JX751" s="156">
        <v>0.0</v>
      </c>
      <c r="JY751" s="156">
        <v>0.0</v>
      </c>
      <c r="JZ751" s="156">
        <v>0.0</v>
      </c>
      <c r="KA751" s="156">
        <v>0.0</v>
      </c>
      <c r="KB751" s="160">
        <v>0.0</v>
      </c>
      <c r="LH751" s="159">
        <f t="shared" si="10"/>
        <v>6</v>
      </c>
      <c r="LI751" s="156">
        <f t="shared" si="11"/>
        <v>0</v>
      </c>
      <c r="LJ751" s="156">
        <f t="shared" si="12"/>
        <v>0</v>
      </c>
      <c r="LK751" s="156">
        <f t="shared" si="13"/>
        <v>0</v>
      </c>
      <c r="LL751" s="156">
        <f t="shared" si="14"/>
        <v>0</v>
      </c>
      <c r="LM751" s="160">
        <f t="shared" si="15"/>
        <v>0</v>
      </c>
      <c r="LY751" s="174">
        <f t="shared" ref="LY751:MQ751" si="136">IFS(TODAY()&lt;=LY$2,0,WEEKDAY(LY$2)=2,3,WEEKDAY(LY$2)=3,1,WEEKDAY(LY$2)=4,0,WEEKDAY(LY$2)=5,1,WEEKDAY(LY$2)=6,0,WEEKDAY(LY$2)=7,1,WEEKDAY(LY$2)=1,0)</f>
        <v>1</v>
      </c>
      <c r="LZ751" s="174">
        <f t="shared" si="136"/>
        <v>0</v>
      </c>
      <c r="MA751" s="174">
        <f t="shared" si="136"/>
        <v>3</v>
      </c>
      <c r="MB751" s="174">
        <f t="shared" si="136"/>
        <v>1</v>
      </c>
      <c r="MC751" s="174">
        <f t="shared" si="136"/>
        <v>0</v>
      </c>
      <c r="MD751" s="174">
        <f t="shared" si="136"/>
        <v>1</v>
      </c>
      <c r="ME751" s="174">
        <f t="shared" si="136"/>
        <v>0</v>
      </c>
      <c r="MF751" s="174">
        <f t="shared" si="136"/>
        <v>0</v>
      </c>
      <c r="MG751" s="174">
        <f t="shared" si="136"/>
        <v>0</v>
      </c>
      <c r="MH751" s="174">
        <f t="shared" si="136"/>
        <v>0</v>
      </c>
      <c r="MI751" s="174">
        <f t="shared" si="136"/>
        <v>0</v>
      </c>
      <c r="MJ751" s="174">
        <f t="shared" si="136"/>
        <v>0</v>
      </c>
      <c r="MK751" s="174">
        <f t="shared" si="136"/>
        <v>0</v>
      </c>
      <c r="ML751" s="174">
        <f t="shared" si="136"/>
        <v>0</v>
      </c>
      <c r="MM751" s="174">
        <f t="shared" si="136"/>
        <v>0</v>
      </c>
      <c r="MN751" s="174">
        <f t="shared" si="136"/>
        <v>0</v>
      </c>
      <c r="MO751" s="174">
        <f t="shared" si="136"/>
        <v>0</v>
      </c>
      <c r="MP751" s="174">
        <f t="shared" si="136"/>
        <v>0</v>
      </c>
      <c r="MQ751" s="174">
        <f t="shared" si="136"/>
        <v>0</v>
      </c>
      <c r="QX751" s="560">
        <v>46272.0</v>
      </c>
    </row>
    <row r="752">
      <c r="A752" s="12"/>
      <c r="B752" s="12"/>
      <c r="C752" s="12"/>
      <c r="D752" s="12"/>
      <c r="E752" s="12"/>
      <c r="F752" s="494"/>
      <c r="G752" s="12"/>
      <c r="H752" s="12"/>
      <c r="I752" s="143">
        <f t="shared" si="22"/>
        <v>-6</v>
      </c>
      <c r="J752" s="537">
        <v>46277.0</v>
      </c>
      <c r="K752" s="294" t="s">
        <v>48</v>
      </c>
      <c r="L752" s="108"/>
      <c r="M752" s="162" t="s">
        <v>348</v>
      </c>
      <c r="N752" s="188">
        <v>357.0</v>
      </c>
      <c r="O752" s="86">
        <v>30.0</v>
      </c>
      <c r="U752" s="162" t="s">
        <v>684</v>
      </c>
      <c r="V752" s="538" t="s">
        <v>230</v>
      </c>
      <c r="W752" s="125" t="s">
        <v>3776</v>
      </c>
      <c r="X752" s="140"/>
      <c r="Y752" s="166">
        <f t="shared" si="23"/>
        <v>6</v>
      </c>
      <c r="Z752" s="26">
        <f t="shared" si="7"/>
        <v>0</v>
      </c>
      <c r="AA752" s="26">
        <f t="shared" si="8"/>
        <v>0</v>
      </c>
      <c r="AB752" s="26">
        <f t="shared" si="9"/>
        <v>0</v>
      </c>
      <c r="AC752" s="156">
        <v>0.0</v>
      </c>
      <c r="AD752" s="156">
        <v>0.0</v>
      </c>
      <c r="AE752" s="156">
        <v>0.0</v>
      </c>
      <c r="AF752" s="156">
        <v>0.0</v>
      </c>
      <c r="AG752" s="156">
        <v>0.0</v>
      </c>
      <c r="AH752" s="156">
        <v>0.0</v>
      </c>
      <c r="BN752" s="155">
        <v>0.0</v>
      </c>
      <c r="BO752" s="155">
        <v>0.0</v>
      </c>
      <c r="BP752" s="155">
        <v>0.0</v>
      </c>
      <c r="BQ752" s="155">
        <v>0.0</v>
      </c>
      <c r="BR752" s="155">
        <v>0.0</v>
      </c>
      <c r="BS752" s="155">
        <v>0.0</v>
      </c>
      <c r="CV752" s="156">
        <v>0.0</v>
      </c>
      <c r="CW752" s="156">
        <v>0.0</v>
      </c>
      <c r="CX752" s="156">
        <v>0.0</v>
      </c>
      <c r="CY752" s="156">
        <v>0.0</v>
      </c>
      <c r="CZ752" s="156">
        <v>0.0</v>
      </c>
      <c r="DA752" s="156">
        <v>0.0</v>
      </c>
      <c r="EG752" s="156">
        <v>0.0</v>
      </c>
      <c r="EH752" s="156">
        <v>0.0</v>
      </c>
      <c r="EI752" s="156">
        <v>0.0</v>
      </c>
      <c r="EJ752" s="156">
        <v>0.0</v>
      </c>
      <c r="EK752" s="156">
        <v>0.0</v>
      </c>
      <c r="EL752" s="156">
        <v>0.0</v>
      </c>
      <c r="FQ752" s="156">
        <v>0.0</v>
      </c>
      <c r="FR752" s="156">
        <v>0.0</v>
      </c>
      <c r="FS752" s="156">
        <v>0.0</v>
      </c>
      <c r="FT752" s="156">
        <v>0.0</v>
      </c>
      <c r="FU752" s="156">
        <v>0.0</v>
      </c>
      <c r="FV752" s="156">
        <v>0.0</v>
      </c>
      <c r="FW752" s="157"/>
      <c r="FX752" s="157"/>
      <c r="FY752" s="157"/>
      <c r="FZ752" s="157"/>
      <c r="GA752" s="157"/>
      <c r="GB752" s="157"/>
      <c r="GC752" s="157"/>
      <c r="GD752" s="157"/>
      <c r="GE752" s="157"/>
      <c r="GF752" s="157"/>
      <c r="GG752" s="157"/>
      <c r="GH752" s="157"/>
      <c r="GI752" s="157"/>
      <c r="GJ752" s="157"/>
      <c r="GK752" s="157"/>
      <c r="GL752" s="157"/>
      <c r="GM752" s="157"/>
      <c r="GN752" s="157"/>
      <c r="GO752" s="157"/>
      <c r="GP752" s="158"/>
      <c r="GQ752" s="157"/>
      <c r="GR752" s="157"/>
      <c r="GS752" s="157"/>
      <c r="GT752" s="157"/>
      <c r="GU752" s="157"/>
      <c r="GV752" s="157"/>
      <c r="GW752" s="157"/>
      <c r="GX752" s="157"/>
      <c r="GY752" s="157"/>
      <c r="GZ752" s="157"/>
      <c r="HA752" s="157"/>
      <c r="HB752" s="155">
        <v>0.0</v>
      </c>
      <c r="HC752" s="155">
        <v>0.0</v>
      </c>
      <c r="HD752" s="155">
        <v>0.0</v>
      </c>
      <c r="HE752" s="155">
        <v>0.0</v>
      </c>
      <c r="HF752" s="155">
        <v>0.0</v>
      </c>
      <c r="HG752" s="155">
        <v>0.0</v>
      </c>
      <c r="IL752" s="159">
        <v>0.0</v>
      </c>
      <c r="IM752" s="156">
        <v>0.0</v>
      </c>
      <c r="IN752" s="156">
        <v>0.0</v>
      </c>
      <c r="IO752" s="156">
        <v>0.0</v>
      </c>
      <c r="IP752" s="156">
        <v>0.0</v>
      </c>
      <c r="IQ752" s="160">
        <v>0.0</v>
      </c>
      <c r="JH752" s="25"/>
      <c r="JW752" s="159">
        <v>0.0</v>
      </c>
      <c r="JX752" s="156">
        <v>0.0</v>
      </c>
      <c r="JY752" s="156">
        <v>0.0</v>
      </c>
      <c r="JZ752" s="156">
        <v>0.0</v>
      </c>
      <c r="KA752" s="156">
        <v>0.0</v>
      </c>
      <c r="KB752" s="160">
        <v>0.0</v>
      </c>
      <c r="LH752" s="159">
        <f t="shared" si="10"/>
        <v>6</v>
      </c>
      <c r="LI752" s="156">
        <f t="shared" si="11"/>
        <v>0</v>
      </c>
      <c r="LJ752" s="156">
        <f t="shared" si="12"/>
        <v>0</v>
      </c>
      <c r="LK752" s="156">
        <f t="shared" si="13"/>
        <v>0</v>
      </c>
      <c r="LL752" s="156">
        <f t="shared" si="14"/>
        <v>0</v>
      </c>
      <c r="LM752" s="160">
        <f t="shared" si="15"/>
        <v>0</v>
      </c>
      <c r="LY752" s="174">
        <f t="shared" ref="LY752:MQ752" si="137">IFS(TODAY()&lt;=LY$2,0,WEEKDAY(LY$2)=2,3,WEEKDAY(LY$2)=3,1,WEEKDAY(LY$2)=4,0,WEEKDAY(LY$2)=5,1,WEEKDAY(LY$2)=6,0,WEEKDAY(LY$2)=7,1,WEEKDAY(LY$2)=1,0)</f>
        <v>1</v>
      </c>
      <c r="LZ752" s="174">
        <f t="shared" si="137"/>
        <v>0</v>
      </c>
      <c r="MA752" s="174">
        <f t="shared" si="137"/>
        <v>3</v>
      </c>
      <c r="MB752" s="174">
        <f t="shared" si="137"/>
        <v>1</v>
      </c>
      <c r="MC752" s="174">
        <f t="shared" si="137"/>
        <v>0</v>
      </c>
      <c r="MD752" s="174">
        <f t="shared" si="137"/>
        <v>1</v>
      </c>
      <c r="ME752" s="174">
        <f t="shared" si="137"/>
        <v>0</v>
      </c>
      <c r="MF752" s="174">
        <f t="shared" si="137"/>
        <v>0</v>
      </c>
      <c r="MG752" s="174">
        <f t="shared" si="137"/>
        <v>0</v>
      </c>
      <c r="MH752" s="174">
        <f t="shared" si="137"/>
        <v>0</v>
      </c>
      <c r="MI752" s="174">
        <f t="shared" si="137"/>
        <v>0</v>
      </c>
      <c r="MJ752" s="174">
        <f t="shared" si="137"/>
        <v>0</v>
      </c>
      <c r="MK752" s="174">
        <f t="shared" si="137"/>
        <v>0</v>
      </c>
      <c r="ML752" s="174">
        <f t="shared" si="137"/>
        <v>0</v>
      </c>
      <c r="MM752" s="174">
        <f t="shared" si="137"/>
        <v>0</v>
      </c>
      <c r="MN752" s="174">
        <f t="shared" si="137"/>
        <v>0</v>
      </c>
      <c r="MO752" s="174">
        <f t="shared" si="137"/>
        <v>0</v>
      </c>
      <c r="MP752" s="174">
        <f t="shared" si="137"/>
        <v>0</v>
      </c>
      <c r="MQ752" s="174">
        <f t="shared" si="137"/>
        <v>0</v>
      </c>
      <c r="QX752" s="560">
        <v>46273.0</v>
      </c>
    </row>
    <row r="753">
      <c r="A753" s="12"/>
      <c r="B753" s="12"/>
      <c r="C753" s="12"/>
      <c r="D753" s="12"/>
      <c r="E753" s="12"/>
      <c r="F753" s="12"/>
      <c r="G753" s="12"/>
      <c r="H753" s="12"/>
      <c r="I753" s="143">
        <f t="shared" si="22"/>
        <v>0</v>
      </c>
      <c r="J753" s="541">
        <v>46281.0</v>
      </c>
      <c r="K753" s="294" t="s">
        <v>31</v>
      </c>
      <c r="L753" s="543" t="s">
        <v>3485</v>
      </c>
      <c r="M753" s="86" t="s">
        <v>1985</v>
      </c>
      <c r="N753" s="86">
        <v>246.0</v>
      </c>
      <c r="O753" s="86">
        <v>30.0</v>
      </c>
      <c r="U753" s="162" t="s">
        <v>3777</v>
      </c>
      <c r="V753" s="538" t="s">
        <v>3778</v>
      </c>
      <c r="W753" s="125" t="s">
        <v>3779</v>
      </c>
      <c r="X753" s="140"/>
      <c r="Y753" s="166">
        <f t="shared" si="23"/>
        <v>0</v>
      </c>
      <c r="Z753" s="26">
        <f t="shared" si="7"/>
        <v>0</v>
      </c>
      <c r="AA753" s="26">
        <f t="shared" si="8"/>
        <v>0</v>
      </c>
      <c r="AB753" s="26">
        <f t="shared" si="9"/>
        <v>0</v>
      </c>
      <c r="AC753" s="156">
        <v>0.0</v>
      </c>
      <c r="AD753" s="156">
        <v>0.0</v>
      </c>
      <c r="AE753" s="156">
        <v>0.0</v>
      </c>
      <c r="AF753" s="156">
        <v>0.0</v>
      </c>
      <c r="AG753" s="156">
        <v>0.0</v>
      </c>
      <c r="AH753" s="156">
        <v>0.0</v>
      </c>
      <c r="BN753" s="155">
        <v>0.0</v>
      </c>
      <c r="BO753" s="155">
        <v>0.0</v>
      </c>
      <c r="BP753" s="155">
        <v>0.0</v>
      </c>
      <c r="BQ753" s="155">
        <v>0.0</v>
      </c>
      <c r="BR753" s="155">
        <v>0.0</v>
      </c>
      <c r="BS753" s="155">
        <v>0.0</v>
      </c>
      <c r="CV753" s="156">
        <v>0.0</v>
      </c>
      <c r="CW753" s="156">
        <v>0.0</v>
      </c>
      <c r="CX753" s="156">
        <v>0.0</v>
      </c>
      <c r="CY753" s="156">
        <v>0.0</v>
      </c>
      <c r="CZ753" s="156">
        <v>0.0</v>
      </c>
      <c r="DA753" s="156">
        <v>0.0</v>
      </c>
      <c r="EG753" s="156">
        <v>0.0</v>
      </c>
      <c r="EH753" s="156">
        <v>0.0</v>
      </c>
      <c r="EI753" s="156">
        <v>0.0</v>
      </c>
      <c r="EJ753" s="156">
        <v>0.0</v>
      </c>
      <c r="EK753" s="156">
        <v>0.0</v>
      </c>
      <c r="EL753" s="156">
        <v>0.0</v>
      </c>
      <c r="FQ753" s="156">
        <v>0.0</v>
      </c>
      <c r="FR753" s="156">
        <v>0.0</v>
      </c>
      <c r="FS753" s="156">
        <v>0.0</v>
      </c>
      <c r="FT753" s="156">
        <v>0.0</v>
      </c>
      <c r="FU753" s="156">
        <v>0.0</v>
      </c>
      <c r="FV753" s="156">
        <v>0.0</v>
      </c>
      <c r="FW753" s="157"/>
      <c r="FX753" s="157"/>
      <c r="FY753" s="157"/>
      <c r="FZ753" s="157"/>
      <c r="GA753" s="157"/>
      <c r="GB753" s="157"/>
      <c r="GC753" s="157"/>
      <c r="GD753" s="157"/>
      <c r="GE753" s="157"/>
      <c r="GF753" s="157"/>
      <c r="GG753" s="157"/>
      <c r="GH753" s="157"/>
      <c r="GI753" s="157"/>
      <c r="GJ753" s="157"/>
      <c r="GK753" s="157"/>
      <c r="GL753" s="157"/>
      <c r="GM753" s="157"/>
      <c r="GN753" s="157"/>
      <c r="GO753" s="157"/>
      <c r="GP753" s="158"/>
      <c r="GQ753" s="157"/>
      <c r="GR753" s="157"/>
      <c r="GS753" s="157"/>
      <c r="GT753" s="157"/>
      <c r="GU753" s="157"/>
      <c r="GV753" s="157"/>
      <c r="GW753" s="157"/>
      <c r="GX753" s="157"/>
      <c r="GY753" s="157"/>
      <c r="GZ753" s="157"/>
      <c r="HA753" s="157"/>
      <c r="HB753" s="155">
        <v>0.0</v>
      </c>
      <c r="HC753" s="155">
        <v>0.0</v>
      </c>
      <c r="HD753" s="155">
        <v>0.0</v>
      </c>
      <c r="HE753" s="155">
        <v>0.0</v>
      </c>
      <c r="HF753" s="155">
        <v>0.0</v>
      </c>
      <c r="HG753" s="155">
        <v>0.0</v>
      </c>
      <c r="IL753" s="159">
        <v>0.0</v>
      </c>
      <c r="IM753" s="156">
        <v>0.0</v>
      </c>
      <c r="IN753" s="156">
        <v>0.0</v>
      </c>
      <c r="IO753" s="156">
        <v>0.0</v>
      </c>
      <c r="IP753" s="156">
        <v>0.0</v>
      </c>
      <c r="IQ753" s="160">
        <v>0.0</v>
      </c>
      <c r="JH753" s="25"/>
      <c r="JW753" s="159">
        <v>0.0</v>
      </c>
      <c r="JX753" s="156">
        <v>0.0</v>
      </c>
      <c r="JY753" s="156">
        <v>0.0</v>
      </c>
      <c r="JZ753" s="156">
        <v>0.0</v>
      </c>
      <c r="KA753" s="156">
        <v>0.0</v>
      </c>
      <c r="KB753" s="160">
        <v>0.0</v>
      </c>
      <c r="LH753" s="159">
        <f t="shared" si="10"/>
        <v>0</v>
      </c>
      <c r="LI753" s="156">
        <f t="shared" si="11"/>
        <v>0</v>
      </c>
      <c r="LJ753" s="156">
        <f t="shared" si="12"/>
        <v>0</v>
      </c>
      <c r="LK753" s="156">
        <f t="shared" si="13"/>
        <v>0</v>
      </c>
      <c r="LL753" s="156">
        <f t="shared" si="14"/>
        <v>0</v>
      </c>
      <c r="LM753" s="160">
        <f t="shared" si="15"/>
        <v>0</v>
      </c>
      <c r="QX753" s="560">
        <v>46273.0</v>
      </c>
    </row>
    <row r="754">
      <c r="A754" s="12"/>
      <c r="B754" s="12"/>
      <c r="C754" s="12"/>
      <c r="D754" s="12"/>
      <c r="E754" s="12"/>
      <c r="F754" s="12"/>
      <c r="G754" s="12"/>
      <c r="H754" s="12"/>
      <c r="I754" s="143">
        <f t="shared" si="22"/>
        <v>-2</v>
      </c>
      <c r="J754" s="537">
        <v>46279.0</v>
      </c>
      <c r="K754" s="294" t="s">
        <v>48</v>
      </c>
      <c r="L754" s="108"/>
      <c r="M754" s="86" t="s">
        <v>228</v>
      </c>
      <c r="N754" s="86">
        <v>2467.0</v>
      </c>
      <c r="O754" s="86">
        <v>30.0</v>
      </c>
      <c r="U754" s="162" t="s">
        <v>2724</v>
      </c>
      <c r="V754" s="538" t="s">
        <v>2813</v>
      </c>
      <c r="W754" s="125" t="s">
        <v>3780</v>
      </c>
      <c r="X754" s="140"/>
      <c r="Y754" s="166">
        <f t="shared" si="23"/>
        <v>2</v>
      </c>
      <c r="Z754" s="26">
        <f t="shared" si="7"/>
        <v>0</v>
      </c>
      <c r="AA754" s="26">
        <f t="shared" si="8"/>
        <v>0</v>
      </c>
      <c r="AB754" s="26">
        <f t="shared" si="9"/>
        <v>0</v>
      </c>
      <c r="AC754" s="156">
        <v>0.0</v>
      </c>
      <c r="AD754" s="156">
        <v>0.0</v>
      </c>
      <c r="AE754" s="156">
        <v>0.0</v>
      </c>
      <c r="AF754" s="156">
        <v>0.0</v>
      </c>
      <c r="AG754" s="156">
        <v>0.0</v>
      </c>
      <c r="AH754" s="156">
        <v>0.0</v>
      </c>
      <c r="BN754" s="155">
        <v>0.0</v>
      </c>
      <c r="BO754" s="155">
        <v>0.0</v>
      </c>
      <c r="BP754" s="155">
        <v>0.0</v>
      </c>
      <c r="BQ754" s="155">
        <v>0.0</v>
      </c>
      <c r="BR754" s="155">
        <v>0.0</v>
      </c>
      <c r="BS754" s="155">
        <v>0.0</v>
      </c>
      <c r="CV754" s="156">
        <v>0.0</v>
      </c>
      <c r="CW754" s="156">
        <v>0.0</v>
      </c>
      <c r="CX754" s="156">
        <v>0.0</v>
      </c>
      <c r="CY754" s="156">
        <v>0.0</v>
      </c>
      <c r="CZ754" s="156">
        <v>0.0</v>
      </c>
      <c r="DA754" s="156">
        <v>0.0</v>
      </c>
      <c r="EG754" s="156">
        <v>0.0</v>
      </c>
      <c r="EH754" s="156">
        <v>0.0</v>
      </c>
      <c r="EI754" s="156">
        <v>0.0</v>
      </c>
      <c r="EJ754" s="156">
        <v>0.0</v>
      </c>
      <c r="EK754" s="156">
        <v>0.0</v>
      </c>
      <c r="EL754" s="156">
        <v>0.0</v>
      </c>
      <c r="FQ754" s="156">
        <v>0.0</v>
      </c>
      <c r="FR754" s="156">
        <v>0.0</v>
      </c>
      <c r="FS754" s="156">
        <v>0.0</v>
      </c>
      <c r="FT754" s="156">
        <v>0.0</v>
      </c>
      <c r="FU754" s="156">
        <v>0.0</v>
      </c>
      <c r="FV754" s="156">
        <v>0.0</v>
      </c>
      <c r="FW754" s="157"/>
      <c r="FX754" s="157"/>
      <c r="FY754" s="157"/>
      <c r="FZ754" s="157"/>
      <c r="GA754" s="157"/>
      <c r="GB754" s="157"/>
      <c r="GC754" s="157"/>
      <c r="GD754" s="157"/>
      <c r="GE754" s="157"/>
      <c r="GF754" s="157"/>
      <c r="GG754" s="157"/>
      <c r="GH754" s="157"/>
      <c r="GI754" s="157"/>
      <c r="GJ754" s="157"/>
      <c r="GK754" s="157"/>
      <c r="GL754" s="157"/>
      <c r="GM754" s="157"/>
      <c r="GN754" s="157"/>
      <c r="GO754" s="157"/>
      <c r="GP754" s="158"/>
      <c r="GQ754" s="157"/>
      <c r="GR754" s="157"/>
      <c r="GS754" s="157"/>
      <c r="GT754" s="157"/>
      <c r="GU754" s="157"/>
      <c r="GV754" s="157"/>
      <c r="GW754" s="157"/>
      <c r="GX754" s="157"/>
      <c r="GY754" s="157"/>
      <c r="GZ754" s="157"/>
      <c r="HA754" s="157"/>
      <c r="HB754" s="155">
        <v>0.0</v>
      </c>
      <c r="HC754" s="155">
        <v>0.0</v>
      </c>
      <c r="HD754" s="155">
        <v>0.0</v>
      </c>
      <c r="HE754" s="155">
        <v>0.0</v>
      </c>
      <c r="HF754" s="155">
        <v>0.0</v>
      </c>
      <c r="HG754" s="155">
        <v>0.0</v>
      </c>
      <c r="IL754" s="159">
        <v>0.0</v>
      </c>
      <c r="IM754" s="156">
        <v>0.0</v>
      </c>
      <c r="IN754" s="156">
        <v>0.0</v>
      </c>
      <c r="IO754" s="156">
        <v>0.0</v>
      </c>
      <c r="IP754" s="156">
        <v>0.0</v>
      </c>
      <c r="IQ754" s="160">
        <v>0.0</v>
      </c>
      <c r="JH754" s="25"/>
      <c r="JW754" s="159">
        <v>0.0</v>
      </c>
      <c r="JX754" s="156">
        <v>0.0</v>
      </c>
      <c r="JY754" s="156">
        <v>0.0</v>
      </c>
      <c r="JZ754" s="156">
        <v>0.0</v>
      </c>
      <c r="KA754" s="156">
        <v>0.0</v>
      </c>
      <c r="KB754" s="160">
        <v>0.0</v>
      </c>
      <c r="LH754" s="159">
        <f t="shared" si="10"/>
        <v>2</v>
      </c>
      <c r="LI754" s="156">
        <f t="shared" si="11"/>
        <v>0</v>
      </c>
      <c r="LJ754" s="156">
        <f t="shared" si="12"/>
        <v>0</v>
      </c>
      <c r="LK754" s="156">
        <f t="shared" si="13"/>
        <v>0</v>
      </c>
      <c r="LL754" s="156">
        <f t="shared" si="14"/>
        <v>0</v>
      </c>
      <c r="LM754" s="160">
        <f t="shared" si="15"/>
        <v>0</v>
      </c>
      <c r="MA754" s="174">
        <f t="shared" ref="MA754:MQ754" si="138">IFS(TODAY()&lt;=MA$2,0,WEEKDAY(MA$2)=2,1,WEEKDAY(MA$2)=3,0,WEEKDAY(MA$2)=4,1,WEEKDAY(MA$2)=5,0,WEEKDAY(MA$2)=6,1,WEEKDAY(MA$2)=7,0,WEEKDAY(MA$2)=1,0)</f>
        <v>1</v>
      </c>
      <c r="MB754" s="174">
        <f t="shared" si="138"/>
        <v>0</v>
      </c>
      <c r="MC754" s="174">
        <f t="shared" si="138"/>
        <v>1</v>
      </c>
      <c r="MD754" s="174">
        <f t="shared" si="138"/>
        <v>0</v>
      </c>
      <c r="ME754" s="174">
        <f t="shared" si="138"/>
        <v>0</v>
      </c>
      <c r="MF754" s="174">
        <f t="shared" si="138"/>
        <v>0</v>
      </c>
      <c r="MG754" s="174">
        <f t="shared" si="138"/>
        <v>0</v>
      </c>
      <c r="MH754" s="174">
        <f t="shared" si="138"/>
        <v>0</v>
      </c>
      <c r="MI754" s="174">
        <f t="shared" si="138"/>
        <v>0</v>
      </c>
      <c r="MJ754" s="174">
        <f t="shared" si="138"/>
        <v>0</v>
      </c>
      <c r="MK754" s="174">
        <f t="shared" si="138"/>
        <v>0</v>
      </c>
      <c r="ML754" s="174">
        <f t="shared" si="138"/>
        <v>0</v>
      </c>
      <c r="MM754" s="174">
        <f t="shared" si="138"/>
        <v>0</v>
      </c>
      <c r="MN754" s="174">
        <f t="shared" si="138"/>
        <v>0</v>
      </c>
      <c r="MO754" s="174">
        <f t="shared" si="138"/>
        <v>0</v>
      </c>
      <c r="MP754" s="174">
        <f t="shared" si="138"/>
        <v>0</v>
      </c>
      <c r="MQ754" s="174">
        <f t="shared" si="138"/>
        <v>0</v>
      </c>
      <c r="QX754" s="560">
        <v>46273.0</v>
      </c>
    </row>
    <row r="755">
      <c r="A755" s="12"/>
      <c r="B755" s="12"/>
      <c r="C755" s="12"/>
      <c r="D755" s="12"/>
      <c r="E755" s="12"/>
      <c r="F755" s="12"/>
      <c r="G755" s="12"/>
      <c r="H755" s="12"/>
      <c r="I755" s="143">
        <f t="shared" si="22"/>
        <v>0</v>
      </c>
      <c r="J755" s="108"/>
      <c r="K755" s="294" t="s">
        <v>42</v>
      </c>
      <c r="L755" s="86" t="s">
        <v>3781</v>
      </c>
      <c r="M755" s="86" t="s">
        <v>107</v>
      </c>
      <c r="N755" s="86">
        <v>246.0</v>
      </c>
      <c r="O755" s="86">
        <v>30.0</v>
      </c>
      <c r="U755" s="169" t="s">
        <v>3178</v>
      </c>
      <c r="V755" s="579" t="s">
        <v>3179</v>
      </c>
      <c r="W755" s="125" t="s">
        <v>3782</v>
      </c>
      <c r="X755" s="140"/>
      <c r="Y755" s="166">
        <f t="shared" si="23"/>
        <v>0</v>
      </c>
      <c r="Z755" s="26">
        <f t="shared" si="7"/>
        <v>0</v>
      </c>
      <c r="AA755" s="26">
        <f t="shared" si="8"/>
        <v>0</v>
      </c>
      <c r="AB755" s="26">
        <f t="shared" si="9"/>
        <v>0</v>
      </c>
      <c r="AC755" s="156">
        <v>0.0</v>
      </c>
      <c r="AD755" s="156">
        <v>0.0</v>
      </c>
      <c r="AE755" s="156">
        <v>0.0</v>
      </c>
      <c r="AF755" s="156">
        <v>0.0</v>
      </c>
      <c r="AG755" s="156">
        <v>0.0</v>
      </c>
      <c r="AH755" s="156">
        <v>0.0</v>
      </c>
      <c r="BN755" s="155">
        <v>0.0</v>
      </c>
      <c r="BO755" s="155">
        <v>0.0</v>
      </c>
      <c r="BP755" s="155">
        <v>0.0</v>
      </c>
      <c r="BQ755" s="155">
        <v>0.0</v>
      </c>
      <c r="BR755" s="155">
        <v>0.0</v>
      </c>
      <c r="BS755" s="155">
        <v>0.0</v>
      </c>
      <c r="CV755" s="156">
        <v>0.0</v>
      </c>
      <c r="CW755" s="156">
        <v>0.0</v>
      </c>
      <c r="CX755" s="156">
        <v>0.0</v>
      </c>
      <c r="CY755" s="156">
        <v>0.0</v>
      </c>
      <c r="CZ755" s="156">
        <v>0.0</v>
      </c>
      <c r="DA755" s="156">
        <v>0.0</v>
      </c>
      <c r="EG755" s="156">
        <v>0.0</v>
      </c>
      <c r="EH755" s="156">
        <v>0.0</v>
      </c>
      <c r="EI755" s="156">
        <v>0.0</v>
      </c>
      <c r="EJ755" s="156">
        <v>0.0</v>
      </c>
      <c r="EK755" s="156">
        <v>0.0</v>
      </c>
      <c r="EL755" s="156">
        <v>0.0</v>
      </c>
      <c r="FQ755" s="156">
        <v>0.0</v>
      </c>
      <c r="FR755" s="156">
        <v>0.0</v>
      </c>
      <c r="FS755" s="156">
        <v>0.0</v>
      </c>
      <c r="FT755" s="156">
        <v>0.0</v>
      </c>
      <c r="FU755" s="156">
        <v>0.0</v>
      </c>
      <c r="FV755" s="156">
        <v>0.0</v>
      </c>
      <c r="FW755" s="157"/>
      <c r="FX755" s="157"/>
      <c r="FY755" s="157"/>
      <c r="FZ755" s="157"/>
      <c r="GA755" s="157"/>
      <c r="GB755" s="157"/>
      <c r="GC755" s="157"/>
      <c r="GD755" s="157"/>
      <c r="GE755" s="157"/>
      <c r="GF755" s="157"/>
      <c r="GG755" s="157"/>
      <c r="GH755" s="157"/>
      <c r="GI755" s="157"/>
      <c r="GJ755" s="157"/>
      <c r="GK755" s="157"/>
      <c r="GL755" s="157"/>
      <c r="GM755" s="157"/>
      <c r="GN755" s="157"/>
      <c r="GO755" s="157"/>
      <c r="GP755" s="158"/>
      <c r="GQ755" s="157"/>
      <c r="GR755" s="157"/>
      <c r="GS755" s="157"/>
      <c r="GT755" s="157"/>
      <c r="GU755" s="157"/>
      <c r="GV755" s="157"/>
      <c r="GW755" s="157"/>
      <c r="GX755" s="157"/>
      <c r="GY755" s="157"/>
      <c r="GZ755" s="157"/>
      <c r="HA755" s="157"/>
      <c r="HB755" s="155">
        <v>0.0</v>
      </c>
      <c r="HC755" s="155">
        <v>0.0</v>
      </c>
      <c r="HD755" s="155">
        <v>0.0</v>
      </c>
      <c r="HE755" s="155">
        <v>0.0</v>
      </c>
      <c r="HF755" s="155">
        <v>0.0</v>
      </c>
      <c r="HG755" s="155">
        <v>0.0</v>
      </c>
      <c r="IL755" s="159">
        <v>0.0</v>
      </c>
      <c r="IM755" s="156">
        <v>0.0</v>
      </c>
      <c r="IN755" s="156">
        <v>0.0</v>
      </c>
      <c r="IO755" s="156">
        <v>0.0</v>
      </c>
      <c r="IP755" s="156">
        <v>0.0</v>
      </c>
      <c r="IQ755" s="160">
        <v>0.0</v>
      </c>
      <c r="JH755" s="25"/>
      <c r="JW755" s="159">
        <v>0.0</v>
      </c>
      <c r="JX755" s="156">
        <v>0.0</v>
      </c>
      <c r="JY755" s="156">
        <v>0.0</v>
      </c>
      <c r="JZ755" s="156">
        <v>0.0</v>
      </c>
      <c r="KA755" s="156">
        <v>0.0</v>
      </c>
      <c r="KB755" s="160">
        <v>0.0</v>
      </c>
      <c r="LH755" s="159">
        <f t="shared" si="10"/>
        <v>0</v>
      </c>
      <c r="LI755" s="156">
        <f t="shared" si="11"/>
        <v>0</v>
      </c>
      <c r="LJ755" s="156">
        <f t="shared" si="12"/>
        <v>0</v>
      </c>
      <c r="LK755" s="156">
        <f t="shared" si="13"/>
        <v>0</v>
      </c>
      <c r="LL755" s="156">
        <f t="shared" si="14"/>
        <v>0</v>
      </c>
      <c r="LM755" s="160">
        <f t="shared" si="15"/>
        <v>0</v>
      </c>
      <c r="QX755" s="560">
        <v>46276.0</v>
      </c>
    </row>
    <row r="756">
      <c r="A756" s="12"/>
      <c r="B756" s="12"/>
      <c r="C756" s="12"/>
      <c r="D756" s="12"/>
      <c r="E756" s="12"/>
      <c r="F756" s="12"/>
      <c r="G756" s="12"/>
      <c r="H756" s="12"/>
      <c r="I756" s="143">
        <f t="shared" si="22"/>
        <v>0</v>
      </c>
      <c r="J756" s="541">
        <v>46282.0</v>
      </c>
      <c r="K756" s="294" t="s">
        <v>31</v>
      </c>
      <c r="L756" s="543" t="s">
        <v>3485</v>
      </c>
      <c r="M756" s="468" t="s">
        <v>3783</v>
      </c>
      <c r="N756" s="86">
        <v>357.0</v>
      </c>
      <c r="O756" s="86">
        <v>30.0</v>
      </c>
      <c r="U756" s="162" t="s">
        <v>3344</v>
      </c>
      <c r="V756" s="538" t="s">
        <v>3080</v>
      </c>
      <c r="W756" s="125" t="s">
        <v>3784</v>
      </c>
      <c r="X756" s="140"/>
      <c r="Y756" s="166">
        <f t="shared" si="23"/>
        <v>0</v>
      </c>
      <c r="Z756" s="26">
        <f t="shared" si="7"/>
        <v>0</v>
      </c>
      <c r="AA756" s="26">
        <f t="shared" si="8"/>
        <v>0</v>
      </c>
      <c r="AB756" s="26">
        <f t="shared" si="9"/>
        <v>0</v>
      </c>
      <c r="AC756" s="156">
        <v>0.0</v>
      </c>
      <c r="AD756" s="156">
        <v>0.0</v>
      </c>
      <c r="AE756" s="156">
        <v>0.0</v>
      </c>
      <c r="AF756" s="156">
        <v>0.0</v>
      </c>
      <c r="AG756" s="156">
        <v>0.0</v>
      </c>
      <c r="AH756" s="156">
        <v>0.0</v>
      </c>
      <c r="BN756" s="155">
        <v>0.0</v>
      </c>
      <c r="BO756" s="155">
        <v>0.0</v>
      </c>
      <c r="BP756" s="155">
        <v>0.0</v>
      </c>
      <c r="BQ756" s="155">
        <v>0.0</v>
      </c>
      <c r="BR756" s="155">
        <v>0.0</v>
      </c>
      <c r="BS756" s="155">
        <v>0.0</v>
      </c>
      <c r="CV756" s="156">
        <v>0.0</v>
      </c>
      <c r="CW756" s="156">
        <v>0.0</v>
      </c>
      <c r="CX756" s="156">
        <v>0.0</v>
      </c>
      <c r="CY756" s="156">
        <v>0.0</v>
      </c>
      <c r="CZ756" s="156">
        <v>0.0</v>
      </c>
      <c r="DA756" s="156">
        <v>0.0</v>
      </c>
      <c r="EG756" s="156">
        <v>0.0</v>
      </c>
      <c r="EH756" s="156">
        <v>0.0</v>
      </c>
      <c r="EI756" s="156">
        <v>0.0</v>
      </c>
      <c r="EJ756" s="156">
        <v>0.0</v>
      </c>
      <c r="EK756" s="156">
        <v>0.0</v>
      </c>
      <c r="EL756" s="156">
        <v>0.0</v>
      </c>
      <c r="FQ756" s="156">
        <v>0.0</v>
      </c>
      <c r="FR756" s="156">
        <v>0.0</v>
      </c>
      <c r="FS756" s="156">
        <v>0.0</v>
      </c>
      <c r="FT756" s="156">
        <v>0.0</v>
      </c>
      <c r="FU756" s="156">
        <v>0.0</v>
      </c>
      <c r="FV756" s="156">
        <v>0.0</v>
      </c>
      <c r="FW756" s="157"/>
      <c r="FX756" s="157"/>
      <c r="FY756" s="157"/>
      <c r="FZ756" s="157"/>
      <c r="GA756" s="157"/>
      <c r="GB756" s="157"/>
      <c r="GC756" s="157"/>
      <c r="GD756" s="157"/>
      <c r="GE756" s="157"/>
      <c r="GF756" s="157"/>
      <c r="GG756" s="157"/>
      <c r="GH756" s="157"/>
      <c r="GI756" s="157"/>
      <c r="GJ756" s="157"/>
      <c r="GK756" s="157"/>
      <c r="GL756" s="157"/>
      <c r="GM756" s="157"/>
      <c r="GN756" s="157"/>
      <c r="GO756" s="157"/>
      <c r="GP756" s="158"/>
      <c r="GQ756" s="157"/>
      <c r="GR756" s="157"/>
      <c r="GS756" s="157"/>
      <c r="GT756" s="157"/>
      <c r="GU756" s="157"/>
      <c r="GV756" s="157"/>
      <c r="GW756" s="157"/>
      <c r="GX756" s="157"/>
      <c r="GY756" s="157"/>
      <c r="GZ756" s="157"/>
      <c r="HA756" s="157"/>
      <c r="HB756" s="155">
        <v>0.0</v>
      </c>
      <c r="HC756" s="155">
        <v>0.0</v>
      </c>
      <c r="HD756" s="155">
        <v>0.0</v>
      </c>
      <c r="HE756" s="155">
        <v>0.0</v>
      </c>
      <c r="HF756" s="155">
        <v>0.0</v>
      </c>
      <c r="HG756" s="155">
        <v>0.0</v>
      </c>
      <c r="IL756" s="159">
        <v>0.0</v>
      </c>
      <c r="IM756" s="156">
        <v>0.0</v>
      </c>
      <c r="IN756" s="156">
        <v>0.0</v>
      </c>
      <c r="IO756" s="156">
        <v>0.0</v>
      </c>
      <c r="IP756" s="156">
        <v>0.0</v>
      </c>
      <c r="IQ756" s="160">
        <v>0.0</v>
      </c>
      <c r="JH756" s="25"/>
      <c r="JW756" s="159">
        <v>0.0</v>
      </c>
      <c r="JX756" s="156">
        <v>0.0</v>
      </c>
      <c r="JY756" s="156">
        <v>0.0</v>
      </c>
      <c r="JZ756" s="156">
        <v>0.0</v>
      </c>
      <c r="KA756" s="156">
        <v>0.0</v>
      </c>
      <c r="KB756" s="160">
        <v>0.0</v>
      </c>
      <c r="LH756" s="159">
        <f t="shared" si="10"/>
        <v>0</v>
      </c>
      <c r="LI756" s="156">
        <f t="shared" si="11"/>
        <v>0</v>
      </c>
      <c r="LJ756" s="156">
        <f t="shared" si="12"/>
        <v>0</v>
      </c>
      <c r="LK756" s="156">
        <f t="shared" si="13"/>
        <v>0</v>
      </c>
      <c r="LL756" s="156">
        <f t="shared" si="14"/>
        <v>0</v>
      </c>
      <c r="LM756" s="160">
        <f t="shared" si="15"/>
        <v>0</v>
      </c>
      <c r="QX756" s="560">
        <v>46276.0</v>
      </c>
    </row>
    <row r="757">
      <c r="A757" s="12"/>
      <c r="B757" s="12"/>
      <c r="C757" s="12"/>
      <c r="D757" s="12"/>
      <c r="E757" s="12"/>
      <c r="F757" s="12"/>
      <c r="G757" s="12"/>
      <c r="H757" s="12"/>
      <c r="I757" s="143">
        <f t="shared" si="22"/>
        <v>0</v>
      </c>
      <c r="J757" s="108"/>
      <c r="K757" s="294" t="s">
        <v>42</v>
      </c>
      <c r="L757" s="108"/>
      <c r="M757" s="86" t="s">
        <v>3785</v>
      </c>
      <c r="N757" s="86">
        <v>256.0</v>
      </c>
      <c r="O757" s="86">
        <v>30.0</v>
      </c>
      <c r="U757" s="169" t="s">
        <v>3523</v>
      </c>
      <c r="V757" s="579" t="s">
        <v>3384</v>
      </c>
      <c r="W757" s="125" t="s">
        <v>3786</v>
      </c>
      <c r="X757" s="140"/>
      <c r="Y757" s="166">
        <f t="shared" si="23"/>
        <v>0</v>
      </c>
      <c r="Z757" s="26">
        <f t="shared" si="7"/>
        <v>0</v>
      </c>
      <c r="AA757" s="26">
        <f t="shared" si="8"/>
        <v>0</v>
      </c>
      <c r="AB757" s="26">
        <f t="shared" si="9"/>
        <v>0</v>
      </c>
      <c r="AC757" s="156">
        <v>0.0</v>
      </c>
      <c r="AD757" s="156">
        <v>0.0</v>
      </c>
      <c r="AE757" s="156">
        <v>0.0</v>
      </c>
      <c r="AF757" s="156">
        <v>0.0</v>
      </c>
      <c r="AG757" s="156">
        <v>0.0</v>
      </c>
      <c r="AH757" s="156">
        <v>0.0</v>
      </c>
      <c r="BN757" s="155">
        <v>0.0</v>
      </c>
      <c r="BO757" s="155">
        <v>0.0</v>
      </c>
      <c r="BP757" s="155">
        <v>0.0</v>
      </c>
      <c r="BQ757" s="155">
        <v>0.0</v>
      </c>
      <c r="BR757" s="155">
        <v>0.0</v>
      </c>
      <c r="BS757" s="155">
        <v>0.0</v>
      </c>
      <c r="CV757" s="156">
        <v>0.0</v>
      </c>
      <c r="CW757" s="156">
        <v>0.0</v>
      </c>
      <c r="CX757" s="156">
        <v>0.0</v>
      </c>
      <c r="CY757" s="156">
        <v>0.0</v>
      </c>
      <c r="CZ757" s="156">
        <v>0.0</v>
      </c>
      <c r="DA757" s="156">
        <v>0.0</v>
      </c>
      <c r="EG757" s="156">
        <v>0.0</v>
      </c>
      <c r="EH757" s="156">
        <v>0.0</v>
      </c>
      <c r="EI757" s="156">
        <v>0.0</v>
      </c>
      <c r="EJ757" s="156">
        <v>0.0</v>
      </c>
      <c r="EK757" s="156">
        <v>0.0</v>
      </c>
      <c r="EL757" s="156">
        <v>0.0</v>
      </c>
      <c r="FQ757" s="156">
        <v>0.0</v>
      </c>
      <c r="FR757" s="156">
        <v>0.0</v>
      </c>
      <c r="FS757" s="156">
        <v>0.0</v>
      </c>
      <c r="FT757" s="156">
        <v>0.0</v>
      </c>
      <c r="FU757" s="156">
        <v>0.0</v>
      </c>
      <c r="FV757" s="156">
        <v>0.0</v>
      </c>
      <c r="FW757" s="157"/>
      <c r="FX757" s="157"/>
      <c r="FY757" s="157"/>
      <c r="FZ757" s="157"/>
      <c r="GA757" s="157"/>
      <c r="GB757" s="157"/>
      <c r="GC757" s="157"/>
      <c r="GD757" s="157"/>
      <c r="GE757" s="157"/>
      <c r="GF757" s="157"/>
      <c r="GG757" s="157"/>
      <c r="GH757" s="157"/>
      <c r="GI757" s="157"/>
      <c r="GJ757" s="157"/>
      <c r="GK757" s="157"/>
      <c r="GL757" s="157"/>
      <c r="GM757" s="157"/>
      <c r="GN757" s="157"/>
      <c r="GO757" s="157"/>
      <c r="GP757" s="158"/>
      <c r="GQ757" s="157"/>
      <c r="GR757" s="157"/>
      <c r="GS757" s="157"/>
      <c r="GT757" s="157"/>
      <c r="GU757" s="157"/>
      <c r="GV757" s="157"/>
      <c r="GW757" s="157"/>
      <c r="GX757" s="157"/>
      <c r="GY757" s="157"/>
      <c r="GZ757" s="157"/>
      <c r="HA757" s="157"/>
      <c r="HB757" s="155">
        <v>0.0</v>
      </c>
      <c r="HC757" s="155">
        <v>0.0</v>
      </c>
      <c r="HD757" s="155">
        <v>0.0</v>
      </c>
      <c r="HE757" s="155">
        <v>0.0</v>
      </c>
      <c r="HF757" s="155">
        <v>0.0</v>
      </c>
      <c r="HG757" s="155">
        <v>0.0</v>
      </c>
      <c r="IL757" s="159">
        <v>0.0</v>
      </c>
      <c r="IM757" s="156">
        <v>0.0</v>
      </c>
      <c r="IN757" s="156">
        <v>0.0</v>
      </c>
      <c r="IO757" s="156">
        <v>0.0</v>
      </c>
      <c r="IP757" s="156">
        <v>0.0</v>
      </c>
      <c r="IQ757" s="160">
        <v>0.0</v>
      </c>
      <c r="JH757" s="25"/>
      <c r="JW757" s="159">
        <v>0.0</v>
      </c>
      <c r="JX757" s="156">
        <v>0.0</v>
      </c>
      <c r="JY757" s="156">
        <v>0.0</v>
      </c>
      <c r="JZ757" s="156">
        <v>0.0</v>
      </c>
      <c r="KA757" s="156">
        <v>0.0</v>
      </c>
      <c r="KB757" s="160">
        <v>0.0</v>
      </c>
      <c r="LH757" s="159">
        <f t="shared" si="10"/>
        <v>0</v>
      </c>
      <c r="LI757" s="156">
        <f t="shared" si="11"/>
        <v>0</v>
      </c>
      <c r="LJ757" s="156">
        <f t="shared" si="12"/>
        <v>0</v>
      </c>
      <c r="LK757" s="156">
        <f t="shared" si="13"/>
        <v>0</v>
      </c>
      <c r="LL757" s="156">
        <f t="shared" si="14"/>
        <v>0</v>
      </c>
      <c r="LM757" s="160">
        <f t="shared" si="15"/>
        <v>0</v>
      </c>
      <c r="QX757" s="560">
        <v>46279.0</v>
      </c>
    </row>
    <row r="758">
      <c r="A758" s="12"/>
      <c r="B758" s="12"/>
      <c r="C758" s="12"/>
      <c r="D758" s="12"/>
      <c r="E758" s="12"/>
      <c r="F758" s="589"/>
      <c r="G758" s="12"/>
      <c r="H758" s="12"/>
      <c r="I758" s="143">
        <f t="shared" si="22"/>
        <v>0</v>
      </c>
      <c r="J758" s="108"/>
      <c r="K758" s="294" t="s">
        <v>42</v>
      </c>
      <c r="L758" s="108"/>
      <c r="M758" s="86" t="s">
        <v>3787</v>
      </c>
      <c r="N758" s="86">
        <v>2467.0</v>
      </c>
      <c r="O758" s="86">
        <v>30.0</v>
      </c>
      <c r="U758" s="169" t="s">
        <v>447</v>
      </c>
      <c r="V758" s="579" t="s">
        <v>613</v>
      </c>
      <c r="W758" s="125" t="s">
        <v>3788</v>
      </c>
      <c r="X758" s="140"/>
      <c r="Y758" s="166">
        <f t="shared" si="23"/>
        <v>0</v>
      </c>
      <c r="Z758" s="26">
        <f t="shared" si="7"/>
        <v>0</v>
      </c>
      <c r="AA758" s="26">
        <f t="shared" si="8"/>
        <v>0</v>
      </c>
      <c r="AB758" s="26">
        <f t="shared" si="9"/>
        <v>0</v>
      </c>
      <c r="AC758" s="156">
        <v>0.0</v>
      </c>
      <c r="AD758" s="156">
        <v>0.0</v>
      </c>
      <c r="AE758" s="156">
        <v>0.0</v>
      </c>
      <c r="AF758" s="156">
        <v>0.0</v>
      </c>
      <c r="AG758" s="156">
        <v>0.0</v>
      </c>
      <c r="AH758" s="156">
        <v>0.0</v>
      </c>
      <c r="BN758" s="155">
        <v>0.0</v>
      </c>
      <c r="BO758" s="155">
        <v>0.0</v>
      </c>
      <c r="BP758" s="155">
        <v>0.0</v>
      </c>
      <c r="BQ758" s="155">
        <v>0.0</v>
      </c>
      <c r="BR758" s="155">
        <v>0.0</v>
      </c>
      <c r="BS758" s="155">
        <v>0.0</v>
      </c>
      <c r="CV758" s="156">
        <v>0.0</v>
      </c>
      <c r="CW758" s="156">
        <v>0.0</v>
      </c>
      <c r="CX758" s="156">
        <v>0.0</v>
      </c>
      <c r="CY758" s="156">
        <v>0.0</v>
      </c>
      <c r="CZ758" s="156">
        <v>0.0</v>
      </c>
      <c r="DA758" s="156">
        <v>0.0</v>
      </c>
      <c r="EG758" s="156">
        <v>0.0</v>
      </c>
      <c r="EH758" s="156">
        <v>0.0</v>
      </c>
      <c r="EI758" s="156">
        <v>0.0</v>
      </c>
      <c r="EJ758" s="156">
        <v>0.0</v>
      </c>
      <c r="EK758" s="156">
        <v>0.0</v>
      </c>
      <c r="EL758" s="156">
        <v>0.0</v>
      </c>
      <c r="FQ758" s="156">
        <v>0.0</v>
      </c>
      <c r="FR758" s="156">
        <v>0.0</v>
      </c>
      <c r="FS758" s="156">
        <v>0.0</v>
      </c>
      <c r="FT758" s="156">
        <v>0.0</v>
      </c>
      <c r="FU758" s="156">
        <v>0.0</v>
      </c>
      <c r="FV758" s="156">
        <v>0.0</v>
      </c>
      <c r="FW758" s="157"/>
      <c r="FX758" s="157"/>
      <c r="FY758" s="157"/>
      <c r="FZ758" s="157"/>
      <c r="GA758" s="157"/>
      <c r="GB758" s="157"/>
      <c r="GC758" s="157"/>
      <c r="GD758" s="157"/>
      <c r="GE758" s="157"/>
      <c r="GF758" s="157"/>
      <c r="GG758" s="157"/>
      <c r="GH758" s="157"/>
      <c r="GI758" s="157"/>
      <c r="GJ758" s="157"/>
      <c r="GK758" s="157"/>
      <c r="GL758" s="157"/>
      <c r="GM758" s="157"/>
      <c r="GN758" s="157"/>
      <c r="GO758" s="157"/>
      <c r="GP758" s="158"/>
      <c r="GQ758" s="157"/>
      <c r="GR758" s="157"/>
      <c r="GS758" s="157"/>
      <c r="GT758" s="157"/>
      <c r="GU758" s="157"/>
      <c r="GV758" s="157"/>
      <c r="GW758" s="157"/>
      <c r="GX758" s="157"/>
      <c r="GY758" s="157"/>
      <c r="GZ758" s="157"/>
      <c r="HA758" s="157"/>
      <c r="HB758" s="155">
        <v>0.0</v>
      </c>
      <c r="HC758" s="155">
        <v>0.0</v>
      </c>
      <c r="HD758" s="155">
        <v>0.0</v>
      </c>
      <c r="HE758" s="155">
        <v>0.0</v>
      </c>
      <c r="HF758" s="155">
        <v>0.0</v>
      </c>
      <c r="HG758" s="155">
        <v>0.0</v>
      </c>
      <c r="IL758" s="159">
        <v>0.0</v>
      </c>
      <c r="IM758" s="156">
        <v>0.0</v>
      </c>
      <c r="IN758" s="156">
        <v>0.0</v>
      </c>
      <c r="IO758" s="156">
        <v>0.0</v>
      </c>
      <c r="IP758" s="156">
        <v>0.0</v>
      </c>
      <c r="IQ758" s="160">
        <v>0.0</v>
      </c>
      <c r="JH758" s="25"/>
      <c r="JW758" s="159">
        <v>0.0</v>
      </c>
      <c r="JX758" s="156">
        <v>0.0</v>
      </c>
      <c r="JY758" s="156">
        <v>0.0</v>
      </c>
      <c r="JZ758" s="156">
        <v>0.0</v>
      </c>
      <c r="KA758" s="156">
        <v>0.0</v>
      </c>
      <c r="KB758" s="160">
        <v>0.0</v>
      </c>
      <c r="LH758" s="159">
        <f t="shared" si="10"/>
        <v>0</v>
      </c>
      <c r="LI758" s="156">
        <f t="shared" si="11"/>
        <v>0</v>
      </c>
      <c r="LJ758" s="156">
        <f t="shared" si="12"/>
        <v>0</v>
      </c>
      <c r="LK758" s="156">
        <f t="shared" si="13"/>
        <v>0</v>
      </c>
      <c r="LL758" s="156">
        <f t="shared" si="14"/>
        <v>0</v>
      </c>
      <c r="LM758" s="160">
        <f t="shared" si="15"/>
        <v>0</v>
      </c>
      <c r="QX758" s="560">
        <v>46279.0</v>
      </c>
    </row>
    <row r="759">
      <c r="A759" s="12"/>
      <c r="B759" s="12"/>
      <c r="C759" s="12"/>
      <c r="D759" s="12"/>
      <c r="E759" s="12"/>
      <c r="F759" s="12"/>
      <c r="G759" s="12"/>
      <c r="H759" s="12"/>
      <c r="I759" s="143">
        <f t="shared" si="22"/>
        <v>0</v>
      </c>
      <c r="J759" s="108"/>
      <c r="K759" s="294" t="s">
        <v>42</v>
      </c>
      <c r="L759" s="108"/>
      <c r="M759" s="86" t="s">
        <v>400</v>
      </c>
      <c r="N759" s="188">
        <v>246.0</v>
      </c>
      <c r="O759" s="86">
        <v>30.0</v>
      </c>
      <c r="U759" s="169" t="s">
        <v>1140</v>
      </c>
      <c r="V759" s="579" t="s">
        <v>3499</v>
      </c>
      <c r="W759" s="125" t="s">
        <v>3789</v>
      </c>
      <c r="X759" s="140"/>
      <c r="Y759" s="166">
        <f t="shared" si="23"/>
        <v>0</v>
      </c>
      <c r="Z759" s="26">
        <f t="shared" si="7"/>
        <v>0</v>
      </c>
      <c r="AA759" s="26">
        <f t="shared" si="8"/>
        <v>0</v>
      </c>
      <c r="AB759" s="26">
        <f t="shared" si="9"/>
        <v>0</v>
      </c>
      <c r="AC759" s="156">
        <v>0.0</v>
      </c>
      <c r="AD759" s="156">
        <v>0.0</v>
      </c>
      <c r="AE759" s="156">
        <v>0.0</v>
      </c>
      <c r="AF759" s="156">
        <v>0.0</v>
      </c>
      <c r="AG759" s="156">
        <v>0.0</v>
      </c>
      <c r="AH759" s="156">
        <v>0.0</v>
      </c>
      <c r="BN759" s="155">
        <v>0.0</v>
      </c>
      <c r="BO759" s="155">
        <v>0.0</v>
      </c>
      <c r="BP759" s="155">
        <v>0.0</v>
      </c>
      <c r="BQ759" s="155">
        <v>0.0</v>
      </c>
      <c r="BR759" s="155">
        <v>0.0</v>
      </c>
      <c r="BS759" s="155">
        <v>0.0</v>
      </c>
      <c r="CV759" s="156">
        <v>0.0</v>
      </c>
      <c r="CW759" s="156">
        <v>0.0</v>
      </c>
      <c r="CX759" s="156">
        <v>0.0</v>
      </c>
      <c r="CY759" s="156">
        <v>0.0</v>
      </c>
      <c r="CZ759" s="156">
        <v>0.0</v>
      </c>
      <c r="DA759" s="156">
        <v>0.0</v>
      </c>
      <c r="EG759" s="156">
        <v>0.0</v>
      </c>
      <c r="EH759" s="156">
        <v>0.0</v>
      </c>
      <c r="EI759" s="156">
        <v>0.0</v>
      </c>
      <c r="EJ759" s="156">
        <v>0.0</v>
      </c>
      <c r="EK759" s="156">
        <v>0.0</v>
      </c>
      <c r="EL759" s="156">
        <v>0.0</v>
      </c>
      <c r="FQ759" s="156">
        <v>0.0</v>
      </c>
      <c r="FR759" s="156">
        <v>0.0</v>
      </c>
      <c r="FS759" s="156">
        <v>0.0</v>
      </c>
      <c r="FT759" s="156">
        <v>0.0</v>
      </c>
      <c r="FU759" s="156">
        <v>0.0</v>
      </c>
      <c r="FV759" s="156">
        <v>0.0</v>
      </c>
      <c r="FW759" s="157"/>
      <c r="FX759" s="157"/>
      <c r="FY759" s="157"/>
      <c r="FZ759" s="157"/>
      <c r="GA759" s="157"/>
      <c r="GB759" s="157"/>
      <c r="GC759" s="157"/>
      <c r="GD759" s="157"/>
      <c r="GE759" s="157"/>
      <c r="GF759" s="157"/>
      <c r="GG759" s="157"/>
      <c r="GH759" s="157"/>
      <c r="GI759" s="157"/>
      <c r="GJ759" s="157"/>
      <c r="GK759" s="157"/>
      <c r="GL759" s="157"/>
      <c r="GM759" s="157"/>
      <c r="GN759" s="157"/>
      <c r="GO759" s="157"/>
      <c r="GP759" s="158"/>
      <c r="GQ759" s="157"/>
      <c r="GR759" s="157"/>
      <c r="GS759" s="157"/>
      <c r="GT759" s="157"/>
      <c r="GU759" s="157"/>
      <c r="GV759" s="157"/>
      <c r="GW759" s="157"/>
      <c r="GX759" s="157"/>
      <c r="GY759" s="157"/>
      <c r="GZ759" s="157"/>
      <c r="HA759" s="157"/>
      <c r="HB759" s="155">
        <v>0.0</v>
      </c>
      <c r="HC759" s="155">
        <v>0.0</v>
      </c>
      <c r="HD759" s="155">
        <v>0.0</v>
      </c>
      <c r="HE759" s="155">
        <v>0.0</v>
      </c>
      <c r="HF759" s="155">
        <v>0.0</v>
      </c>
      <c r="HG759" s="155">
        <v>0.0</v>
      </c>
      <c r="IL759" s="159">
        <v>0.0</v>
      </c>
      <c r="IM759" s="156">
        <v>0.0</v>
      </c>
      <c r="IN759" s="156">
        <v>0.0</v>
      </c>
      <c r="IO759" s="156">
        <v>0.0</v>
      </c>
      <c r="IP759" s="156">
        <v>0.0</v>
      </c>
      <c r="IQ759" s="160">
        <v>0.0</v>
      </c>
      <c r="JH759" s="25"/>
      <c r="JW759" s="159">
        <v>0.0</v>
      </c>
      <c r="JX759" s="156">
        <v>0.0</v>
      </c>
      <c r="JY759" s="156">
        <v>0.0</v>
      </c>
      <c r="JZ759" s="156">
        <v>0.0</v>
      </c>
      <c r="KA759" s="156">
        <v>0.0</v>
      </c>
      <c r="KB759" s="160">
        <v>0.0</v>
      </c>
      <c r="LH759" s="159">
        <f t="shared" si="10"/>
        <v>0</v>
      </c>
      <c r="LI759" s="156">
        <f t="shared" si="11"/>
        <v>0</v>
      </c>
      <c r="LJ759" s="156">
        <f t="shared" si="12"/>
        <v>0</v>
      </c>
      <c r="LK759" s="156">
        <f t="shared" si="13"/>
        <v>0</v>
      </c>
      <c r="LL759" s="156">
        <f t="shared" si="14"/>
        <v>0</v>
      </c>
      <c r="LM759" s="160">
        <f t="shared" si="15"/>
        <v>0</v>
      </c>
      <c r="QX759" s="560">
        <v>46280.0</v>
      </c>
    </row>
    <row r="760">
      <c r="A760" s="12"/>
      <c r="B760" s="12"/>
      <c r="C760" s="12"/>
      <c r="D760" s="12"/>
      <c r="E760" s="12"/>
      <c r="F760" s="12"/>
      <c r="G760" s="12"/>
      <c r="H760" s="12"/>
      <c r="I760" s="143">
        <f t="shared" si="22"/>
        <v>0</v>
      </c>
      <c r="J760" s="108"/>
      <c r="K760" s="294" t="s">
        <v>42</v>
      </c>
      <c r="L760" s="543" t="s">
        <v>3790</v>
      </c>
      <c r="M760" s="86" t="s">
        <v>3123</v>
      </c>
      <c r="N760" s="86">
        <v>246.0</v>
      </c>
      <c r="U760" s="169" t="s">
        <v>2519</v>
      </c>
      <c r="V760" s="579" t="s">
        <v>307</v>
      </c>
      <c r="W760" s="125" t="s">
        <v>3791</v>
      </c>
      <c r="X760" s="140"/>
      <c r="Y760" s="166">
        <f t="shared" si="23"/>
        <v>0</v>
      </c>
      <c r="Z760" s="26">
        <f t="shared" si="7"/>
        <v>0</v>
      </c>
      <c r="AA760" s="26">
        <f t="shared" si="8"/>
        <v>0</v>
      </c>
      <c r="AB760" s="26">
        <f t="shared" si="9"/>
        <v>0</v>
      </c>
      <c r="AC760" s="156">
        <v>0.0</v>
      </c>
      <c r="AD760" s="156">
        <v>0.0</v>
      </c>
      <c r="AE760" s="156">
        <v>0.0</v>
      </c>
      <c r="AF760" s="156">
        <v>0.0</v>
      </c>
      <c r="AG760" s="156">
        <v>0.0</v>
      </c>
      <c r="AH760" s="156">
        <v>0.0</v>
      </c>
      <c r="BN760" s="155">
        <v>0.0</v>
      </c>
      <c r="BO760" s="155">
        <v>0.0</v>
      </c>
      <c r="BP760" s="155">
        <v>0.0</v>
      </c>
      <c r="BQ760" s="155">
        <v>0.0</v>
      </c>
      <c r="BR760" s="155">
        <v>0.0</v>
      </c>
      <c r="BS760" s="155">
        <v>0.0</v>
      </c>
      <c r="CV760" s="156">
        <v>0.0</v>
      </c>
      <c r="CW760" s="156">
        <v>0.0</v>
      </c>
      <c r="CX760" s="156">
        <v>0.0</v>
      </c>
      <c r="CY760" s="156">
        <v>0.0</v>
      </c>
      <c r="CZ760" s="156">
        <v>0.0</v>
      </c>
      <c r="DA760" s="156">
        <v>0.0</v>
      </c>
      <c r="EG760" s="156">
        <v>0.0</v>
      </c>
      <c r="EH760" s="156">
        <v>0.0</v>
      </c>
      <c r="EI760" s="156">
        <v>0.0</v>
      </c>
      <c r="EJ760" s="156">
        <v>0.0</v>
      </c>
      <c r="EK760" s="156">
        <v>0.0</v>
      </c>
      <c r="EL760" s="156">
        <v>0.0</v>
      </c>
      <c r="FQ760" s="156">
        <v>0.0</v>
      </c>
      <c r="FR760" s="156">
        <v>0.0</v>
      </c>
      <c r="FS760" s="156">
        <v>0.0</v>
      </c>
      <c r="FT760" s="156">
        <v>0.0</v>
      </c>
      <c r="FU760" s="156">
        <v>0.0</v>
      </c>
      <c r="FV760" s="156">
        <v>0.0</v>
      </c>
      <c r="FW760" s="157"/>
      <c r="FX760" s="157"/>
      <c r="FY760" s="157"/>
      <c r="FZ760" s="157"/>
      <c r="GA760" s="157"/>
      <c r="GB760" s="157"/>
      <c r="GC760" s="157"/>
      <c r="GD760" s="157"/>
      <c r="GE760" s="157"/>
      <c r="GF760" s="157"/>
      <c r="GG760" s="157"/>
      <c r="GH760" s="157"/>
      <c r="GI760" s="157"/>
      <c r="GJ760" s="157"/>
      <c r="GK760" s="157"/>
      <c r="GL760" s="157"/>
      <c r="GM760" s="157"/>
      <c r="GN760" s="157"/>
      <c r="GO760" s="157"/>
      <c r="GP760" s="158"/>
      <c r="GQ760" s="157"/>
      <c r="GR760" s="157"/>
      <c r="GS760" s="157"/>
      <c r="GT760" s="157"/>
      <c r="GU760" s="157"/>
      <c r="GV760" s="157"/>
      <c r="GW760" s="157"/>
      <c r="GX760" s="157"/>
      <c r="GY760" s="157"/>
      <c r="GZ760" s="157"/>
      <c r="HA760" s="157"/>
      <c r="HB760" s="155">
        <v>0.0</v>
      </c>
      <c r="HC760" s="155">
        <v>0.0</v>
      </c>
      <c r="HD760" s="155">
        <v>0.0</v>
      </c>
      <c r="HE760" s="155">
        <v>0.0</v>
      </c>
      <c r="HF760" s="155">
        <v>0.0</v>
      </c>
      <c r="HG760" s="155">
        <v>0.0</v>
      </c>
      <c r="IL760" s="159">
        <v>0.0</v>
      </c>
      <c r="IM760" s="156">
        <v>0.0</v>
      </c>
      <c r="IN760" s="156">
        <v>0.0</v>
      </c>
      <c r="IO760" s="156">
        <v>0.0</v>
      </c>
      <c r="IP760" s="156">
        <v>0.0</v>
      </c>
      <c r="IQ760" s="160">
        <v>0.0</v>
      </c>
      <c r="JH760" s="25"/>
      <c r="JW760" s="159">
        <v>0.0</v>
      </c>
      <c r="JX760" s="156">
        <v>0.0</v>
      </c>
      <c r="JY760" s="156">
        <v>0.0</v>
      </c>
      <c r="JZ760" s="156">
        <v>0.0</v>
      </c>
      <c r="KA760" s="156">
        <v>0.0</v>
      </c>
      <c r="KB760" s="160">
        <v>0.0</v>
      </c>
      <c r="LH760" s="159">
        <f t="shared" si="10"/>
        <v>0</v>
      </c>
      <c r="LI760" s="156">
        <f t="shared" si="11"/>
        <v>0</v>
      </c>
      <c r="LJ760" s="156">
        <f t="shared" si="12"/>
        <v>0</v>
      </c>
      <c r="LK760" s="156">
        <f t="shared" si="13"/>
        <v>0</v>
      </c>
      <c r="LL760" s="156">
        <f t="shared" si="14"/>
        <v>0</v>
      </c>
      <c r="LM760" s="160">
        <f t="shared" si="15"/>
        <v>0</v>
      </c>
      <c r="QX760" s="560">
        <v>46281.0</v>
      </c>
    </row>
    <row r="761">
      <c r="A761" s="12"/>
      <c r="B761" s="12"/>
      <c r="C761" s="12"/>
      <c r="D761" s="12"/>
      <c r="E761" s="12"/>
      <c r="F761" s="12"/>
      <c r="G761" s="12"/>
      <c r="H761" s="12"/>
      <c r="I761" s="143">
        <f t="shared" si="22"/>
        <v>0</v>
      </c>
      <c r="J761" s="108"/>
      <c r="K761" s="294" t="s">
        <v>42</v>
      </c>
      <c r="L761" s="543" t="s">
        <v>3485</v>
      </c>
      <c r="M761" s="86" t="s">
        <v>435</v>
      </c>
      <c r="N761" s="86">
        <v>246.0</v>
      </c>
      <c r="O761" s="86">
        <v>30.0</v>
      </c>
      <c r="V761" s="161"/>
      <c r="W761" s="86" t="s">
        <v>3792</v>
      </c>
      <c r="X761" s="140"/>
      <c r="Y761" s="166">
        <f t="shared" si="23"/>
        <v>0</v>
      </c>
      <c r="Z761" s="26">
        <f t="shared" si="7"/>
        <v>0</v>
      </c>
      <c r="AA761" s="26">
        <f t="shared" si="8"/>
        <v>0</v>
      </c>
      <c r="AB761" s="26">
        <f t="shared" si="9"/>
        <v>0</v>
      </c>
      <c r="AC761" s="156">
        <v>0.0</v>
      </c>
      <c r="AD761" s="156">
        <v>0.0</v>
      </c>
      <c r="AE761" s="156">
        <v>0.0</v>
      </c>
      <c r="AF761" s="156">
        <v>0.0</v>
      </c>
      <c r="AG761" s="156">
        <v>0.0</v>
      </c>
      <c r="AH761" s="156">
        <v>0.0</v>
      </c>
      <c r="BN761" s="155">
        <v>0.0</v>
      </c>
      <c r="BO761" s="155">
        <v>0.0</v>
      </c>
      <c r="BP761" s="155">
        <v>0.0</v>
      </c>
      <c r="BQ761" s="155">
        <v>0.0</v>
      </c>
      <c r="BR761" s="155">
        <v>0.0</v>
      </c>
      <c r="BS761" s="155">
        <v>0.0</v>
      </c>
      <c r="CV761" s="156">
        <v>0.0</v>
      </c>
      <c r="CW761" s="156">
        <v>0.0</v>
      </c>
      <c r="CX761" s="156">
        <v>0.0</v>
      </c>
      <c r="CY761" s="156">
        <v>0.0</v>
      </c>
      <c r="CZ761" s="156">
        <v>0.0</v>
      </c>
      <c r="DA761" s="156">
        <v>0.0</v>
      </c>
      <c r="EG761" s="156">
        <v>0.0</v>
      </c>
      <c r="EH761" s="156">
        <v>0.0</v>
      </c>
      <c r="EI761" s="156">
        <v>0.0</v>
      </c>
      <c r="EJ761" s="156">
        <v>0.0</v>
      </c>
      <c r="EK761" s="156">
        <v>0.0</v>
      </c>
      <c r="EL761" s="156">
        <v>0.0</v>
      </c>
      <c r="FQ761" s="156">
        <v>0.0</v>
      </c>
      <c r="FR761" s="156">
        <v>0.0</v>
      </c>
      <c r="FS761" s="156">
        <v>0.0</v>
      </c>
      <c r="FT761" s="156">
        <v>0.0</v>
      </c>
      <c r="FU761" s="156">
        <v>0.0</v>
      </c>
      <c r="FV761" s="156">
        <v>0.0</v>
      </c>
      <c r="FW761" s="157"/>
      <c r="FX761" s="157"/>
      <c r="FY761" s="157"/>
      <c r="FZ761" s="157"/>
      <c r="GA761" s="157"/>
      <c r="GB761" s="157"/>
      <c r="GC761" s="157"/>
      <c r="GD761" s="157"/>
      <c r="GE761" s="157"/>
      <c r="GF761" s="157"/>
      <c r="GG761" s="157"/>
      <c r="GH761" s="157"/>
      <c r="GI761" s="157"/>
      <c r="GJ761" s="157"/>
      <c r="GK761" s="157"/>
      <c r="GL761" s="157"/>
      <c r="GM761" s="157"/>
      <c r="GN761" s="157"/>
      <c r="GO761" s="157"/>
      <c r="GP761" s="158"/>
      <c r="GQ761" s="157"/>
      <c r="GR761" s="157"/>
      <c r="GS761" s="157"/>
      <c r="GT761" s="157"/>
      <c r="GU761" s="157"/>
      <c r="GV761" s="157"/>
      <c r="GW761" s="157"/>
      <c r="GX761" s="157"/>
      <c r="GY761" s="157"/>
      <c r="GZ761" s="157"/>
      <c r="HA761" s="157"/>
      <c r="HB761" s="155">
        <v>0.0</v>
      </c>
      <c r="HC761" s="155">
        <v>0.0</v>
      </c>
      <c r="HD761" s="155">
        <v>0.0</v>
      </c>
      <c r="HE761" s="155">
        <v>0.0</v>
      </c>
      <c r="HF761" s="155">
        <v>0.0</v>
      </c>
      <c r="HG761" s="155">
        <v>0.0</v>
      </c>
      <c r="IL761" s="159">
        <v>0.0</v>
      </c>
      <c r="IM761" s="156">
        <v>0.0</v>
      </c>
      <c r="IN761" s="156">
        <v>0.0</v>
      </c>
      <c r="IO761" s="156">
        <v>0.0</v>
      </c>
      <c r="IP761" s="156">
        <v>0.0</v>
      </c>
      <c r="IQ761" s="160">
        <v>0.0</v>
      </c>
      <c r="JH761" s="25"/>
      <c r="JW761" s="159">
        <v>0.0</v>
      </c>
      <c r="JX761" s="156">
        <v>0.0</v>
      </c>
      <c r="JY761" s="156">
        <v>0.0</v>
      </c>
      <c r="JZ761" s="156">
        <v>0.0</v>
      </c>
      <c r="KA761" s="156">
        <v>0.0</v>
      </c>
      <c r="KB761" s="160">
        <v>0.0</v>
      </c>
      <c r="LH761" s="159">
        <f t="shared" si="10"/>
        <v>0</v>
      </c>
      <c r="LI761" s="156">
        <f t="shared" si="11"/>
        <v>0</v>
      </c>
      <c r="LJ761" s="156">
        <f t="shared" si="12"/>
        <v>0</v>
      </c>
      <c r="LK761" s="156">
        <f t="shared" si="13"/>
        <v>0</v>
      </c>
      <c r="LL761" s="156">
        <f t="shared" si="14"/>
        <v>0</v>
      </c>
      <c r="LM761" s="160">
        <f t="shared" si="15"/>
        <v>0</v>
      </c>
      <c r="QX761" s="560">
        <v>46281.0</v>
      </c>
    </row>
    <row r="762">
      <c r="A762" s="12"/>
      <c r="B762" s="12"/>
      <c r="C762" s="12"/>
      <c r="D762" s="12"/>
      <c r="E762" s="12"/>
      <c r="F762" s="12"/>
      <c r="G762" s="12"/>
      <c r="H762" s="12"/>
      <c r="I762" s="143">
        <f t="shared" si="22"/>
        <v>0</v>
      </c>
      <c r="J762" s="108"/>
      <c r="K762" s="294" t="s">
        <v>42</v>
      </c>
      <c r="L762" s="632" t="s">
        <v>3793</v>
      </c>
      <c r="M762" s="86" t="s">
        <v>400</v>
      </c>
      <c r="N762" s="86">
        <v>246.0</v>
      </c>
      <c r="O762" s="86">
        <v>30.0</v>
      </c>
      <c r="V762" s="161"/>
      <c r="W762" s="125" t="s">
        <v>3794</v>
      </c>
      <c r="X762" s="140"/>
      <c r="Y762" s="166">
        <f t="shared" si="23"/>
        <v>0</v>
      </c>
      <c r="Z762" s="26">
        <f t="shared" si="7"/>
        <v>0</v>
      </c>
      <c r="AA762" s="26">
        <f t="shared" si="8"/>
        <v>0</v>
      </c>
      <c r="AB762" s="26">
        <f t="shared" si="9"/>
        <v>0</v>
      </c>
      <c r="AC762" s="156">
        <v>0.0</v>
      </c>
      <c r="AD762" s="156">
        <v>0.0</v>
      </c>
      <c r="AE762" s="156">
        <v>0.0</v>
      </c>
      <c r="AF762" s="156">
        <v>0.0</v>
      </c>
      <c r="AG762" s="156">
        <v>0.0</v>
      </c>
      <c r="AH762" s="156">
        <v>0.0</v>
      </c>
      <c r="BN762" s="155">
        <v>0.0</v>
      </c>
      <c r="BO762" s="155">
        <v>0.0</v>
      </c>
      <c r="BP762" s="155">
        <v>0.0</v>
      </c>
      <c r="BQ762" s="155">
        <v>0.0</v>
      </c>
      <c r="BR762" s="155">
        <v>0.0</v>
      </c>
      <c r="BS762" s="155">
        <v>0.0</v>
      </c>
      <c r="CV762" s="156">
        <v>0.0</v>
      </c>
      <c r="CW762" s="156">
        <v>0.0</v>
      </c>
      <c r="CX762" s="156">
        <v>0.0</v>
      </c>
      <c r="CY762" s="156">
        <v>0.0</v>
      </c>
      <c r="CZ762" s="156">
        <v>0.0</v>
      </c>
      <c r="DA762" s="156">
        <v>0.0</v>
      </c>
      <c r="EG762" s="156">
        <v>0.0</v>
      </c>
      <c r="EH762" s="156">
        <v>0.0</v>
      </c>
      <c r="EI762" s="156">
        <v>0.0</v>
      </c>
      <c r="EJ762" s="156">
        <v>0.0</v>
      </c>
      <c r="EK762" s="156">
        <v>0.0</v>
      </c>
      <c r="EL762" s="156">
        <v>0.0</v>
      </c>
      <c r="FQ762" s="156">
        <v>0.0</v>
      </c>
      <c r="FR762" s="156">
        <v>0.0</v>
      </c>
      <c r="FS762" s="156">
        <v>0.0</v>
      </c>
      <c r="FT762" s="156">
        <v>0.0</v>
      </c>
      <c r="FU762" s="156">
        <v>0.0</v>
      </c>
      <c r="FV762" s="156">
        <v>0.0</v>
      </c>
      <c r="FW762" s="157"/>
      <c r="FX762" s="157"/>
      <c r="FY762" s="157"/>
      <c r="FZ762" s="157"/>
      <c r="GA762" s="157"/>
      <c r="GB762" s="157"/>
      <c r="GC762" s="157"/>
      <c r="GD762" s="157"/>
      <c r="GE762" s="157"/>
      <c r="GF762" s="157"/>
      <c r="GG762" s="157"/>
      <c r="GH762" s="157"/>
      <c r="GI762" s="157"/>
      <c r="GJ762" s="157"/>
      <c r="GK762" s="157"/>
      <c r="GL762" s="157"/>
      <c r="GM762" s="157"/>
      <c r="GN762" s="157"/>
      <c r="GO762" s="157"/>
      <c r="GP762" s="158"/>
      <c r="GQ762" s="157"/>
      <c r="GR762" s="157"/>
      <c r="GS762" s="157"/>
      <c r="GT762" s="157"/>
      <c r="GU762" s="157"/>
      <c r="GV762" s="157"/>
      <c r="GW762" s="157"/>
      <c r="GX762" s="157"/>
      <c r="GY762" s="157"/>
      <c r="GZ762" s="157"/>
      <c r="HA762" s="157"/>
      <c r="HB762" s="155">
        <v>0.0</v>
      </c>
      <c r="HC762" s="155">
        <v>0.0</v>
      </c>
      <c r="HD762" s="155">
        <v>0.0</v>
      </c>
      <c r="HE762" s="155">
        <v>0.0</v>
      </c>
      <c r="HF762" s="155">
        <v>0.0</v>
      </c>
      <c r="HG762" s="155">
        <v>0.0</v>
      </c>
      <c r="IL762" s="159">
        <v>0.0</v>
      </c>
      <c r="IM762" s="156">
        <v>0.0</v>
      </c>
      <c r="IN762" s="156">
        <v>0.0</v>
      </c>
      <c r="IO762" s="156">
        <v>0.0</v>
      </c>
      <c r="IP762" s="156">
        <v>0.0</v>
      </c>
      <c r="IQ762" s="160">
        <v>0.0</v>
      </c>
      <c r="JH762" s="25"/>
      <c r="JW762" s="159">
        <v>0.0</v>
      </c>
      <c r="JX762" s="156">
        <v>0.0</v>
      </c>
      <c r="JY762" s="156">
        <v>0.0</v>
      </c>
      <c r="JZ762" s="156">
        <v>0.0</v>
      </c>
      <c r="KA762" s="156">
        <v>0.0</v>
      </c>
      <c r="KB762" s="160">
        <v>0.0</v>
      </c>
      <c r="LH762" s="159">
        <f t="shared" si="10"/>
        <v>0</v>
      </c>
      <c r="LI762" s="156">
        <f t="shared" si="11"/>
        <v>0</v>
      </c>
      <c r="LJ762" s="156">
        <f t="shared" si="12"/>
        <v>0</v>
      </c>
      <c r="LK762" s="156">
        <f t="shared" si="13"/>
        <v>0</v>
      </c>
      <c r="LL762" s="156">
        <f t="shared" si="14"/>
        <v>0</v>
      </c>
      <c r="LM762" s="160">
        <f t="shared" si="15"/>
        <v>0</v>
      </c>
      <c r="QX762" s="560">
        <v>46281.0</v>
      </c>
    </row>
    <row r="763">
      <c r="A763" s="12"/>
      <c r="B763" s="12"/>
      <c r="C763" s="12"/>
      <c r="D763" s="12"/>
      <c r="E763" s="12"/>
      <c r="F763" s="12"/>
      <c r="G763" s="12"/>
      <c r="H763" s="12"/>
      <c r="I763" s="143">
        <f t="shared" si="22"/>
        <v>0</v>
      </c>
      <c r="J763" s="108"/>
      <c r="K763" s="203"/>
      <c r="L763" s="108"/>
      <c r="V763" s="161"/>
      <c r="X763" s="140"/>
      <c r="Y763" s="166">
        <f t="shared" si="23"/>
        <v>0</v>
      </c>
      <c r="Z763" s="26">
        <f t="shared" si="7"/>
        <v>0</v>
      </c>
      <c r="AA763" s="26">
        <f t="shared" si="8"/>
        <v>0</v>
      </c>
      <c r="AB763" s="26">
        <f t="shared" si="9"/>
        <v>0</v>
      </c>
      <c r="AC763" s="156">
        <v>0.0</v>
      </c>
      <c r="AD763" s="156">
        <v>0.0</v>
      </c>
      <c r="AE763" s="156">
        <v>0.0</v>
      </c>
      <c r="AF763" s="156">
        <v>0.0</v>
      </c>
      <c r="AG763" s="156">
        <v>0.0</v>
      </c>
      <c r="AH763" s="156">
        <v>0.0</v>
      </c>
      <c r="BN763" s="155">
        <v>0.0</v>
      </c>
      <c r="BO763" s="155">
        <v>0.0</v>
      </c>
      <c r="BP763" s="155">
        <v>0.0</v>
      </c>
      <c r="BQ763" s="155">
        <v>0.0</v>
      </c>
      <c r="BR763" s="155">
        <v>0.0</v>
      </c>
      <c r="BS763" s="155">
        <v>0.0</v>
      </c>
      <c r="CV763" s="156">
        <v>0.0</v>
      </c>
      <c r="CW763" s="156">
        <v>0.0</v>
      </c>
      <c r="CX763" s="156">
        <v>0.0</v>
      </c>
      <c r="CY763" s="156">
        <v>0.0</v>
      </c>
      <c r="CZ763" s="156">
        <v>0.0</v>
      </c>
      <c r="DA763" s="156">
        <v>0.0</v>
      </c>
      <c r="EG763" s="156">
        <v>0.0</v>
      </c>
      <c r="EH763" s="156">
        <v>0.0</v>
      </c>
      <c r="EI763" s="156">
        <v>0.0</v>
      </c>
      <c r="EJ763" s="156">
        <v>0.0</v>
      </c>
      <c r="EK763" s="156">
        <v>0.0</v>
      </c>
      <c r="EL763" s="156">
        <v>0.0</v>
      </c>
      <c r="FQ763" s="156">
        <v>0.0</v>
      </c>
      <c r="FR763" s="156">
        <v>0.0</v>
      </c>
      <c r="FS763" s="156">
        <v>0.0</v>
      </c>
      <c r="FT763" s="156">
        <v>0.0</v>
      </c>
      <c r="FU763" s="156">
        <v>0.0</v>
      </c>
      <c r="FV763" s="156">
        <v>0.0</v>
      </c>
      <c r="FW763" s="157"/>
      <c r="FX763" s="157"/>
      <c r="FY763" s="157"/>
      <c r="FZ763" s="157"/>
      <c r="GA763" s="157"/>
      <c r="GB763" s="157"/>
      <c r="GC763" s="157"/>
      <c r="GD763" s="157"/>
      <c r="GE763" s="157"/>
      <c r="GF763" s="157"/>
      <c r="GG763" s="157"/>
      <c r="GH763" s="157"/>
      <c r="GI763" s="157"/>
      <c r="GJ763" s="157"/>
      <c r="GK763" s="157"/>
      <c r="GL763" s="157"/>
      <c r="GM763" s="157"/>
      <c r="GN763" s="157"/>
      <c r="GO763" s="157"/>
      <c r="GP763" s="158"/>
      <c r="GQ763" s="157"/>
      <c r="GR763" s="157"/>
      <c r="GS763" s="157"/>
      <c r="GT763" s="157"/>
      <c r="GU763" s="157"/>
      <c r="GV763" s="157"/>
      <c r="GW763" s="157"/>
      <c r="GX763" s="157"/>
      <c r="GY763" s="157"/>
      <c r="GZ763" s="157"/>
      <c r="HA763" s="157"/>
      <c r="HB763" s="155">
        <v>0.0</v>
      </c>
      <c r="HC763" s="155">
        <v>0.0</v>
      </c>
      <c r="HD763" s="155">
        <v>0.0</v>
      </c>
      <c r="HE763" s="155">
        <v>0.0</v>
      </c>
      <c r="HF763" s="155">
        <v>0.0</v>
      </c>
      <c r="HG763" s="155">
        <v>0.0</v>
      </c>
      <c r="IL763" s="159">
        <v>0.0</v>
      </c>
      <c r="IM763" s="156">
        <v>0.0</v>
      </c>
      <c r="IN763" s="156">
        <v>0.0</v>
      </c>
      <c r="IO763" s="156">
        <v>0.0</v>
      </c>
      <c r="IP763" s="156">
        <v>0.0</v>
      </c>
      <c r="IQ763" s="160">
        <v>0.0</v>
      </c>
      <c r="JH763" s="25"/>
      <c r="JW763" s="159">
        <v>0.0</v>
      </c>
      <c r="JX763" s="156">
        <v>0.0</v>
      </c>
      <c r="JY763" s="156">
        <v>0.0</v>
      </c>
      <c r="JZ763" s="156">
        <v>0.0</v>
      </c>
      <c r="KA763" s="156">
        <v>0.0</v>
      </c>
      <c r="KB763" s="160">
        <v>0.0</v>
      </c>
      <c r="LH763" s="159">
        <f t="shared" si="10"/>
        <v>0</v>
      </c>
      <c r="LI763" s="156">
        <f t="shared" si="11"/>
        <v>0</v>
      </c>
      <c r="LJ763" s="156">
        <f t="shared" si="12"/>
        <v>0</v>
      </c>
      <c r="LK763" s="156">
        <f t="shared" si="13"/>
        <v>0</v>
      </c>
      <c r="LL763" s="156">
        <f t="shared" si="14"/>
        <v>0</v>
      </c>
      <c r="LM763" s="160">
        <f t="shared" si="15"/>
        <v>0</v>
      </c>
      <c r="QX763" s="633"/>
    </row>
    <row r="764">
      <c r="A764" s="12"/>
      <c r="B764" s="12"/>
      <c r="C764" s="12"/>
      <c r="D764" s="12"/>
      <c r="E764" s="12"/>
      <c r="F764" s="12"/>
      <c r="G764" s="12"/>
      <c r="H764" s="12"/>
      <c r="I764" s="143">
        <f t="shared" si="22"/>
        <v>0</v>
      </c>
      <c r="J764" s="108"/>
      <c r="K764" s="203"/>
      <c r="L764" s="108"/>
      <c r="V764" s="161"/>
      <c r="X764" s="140"/>
      <c r="Y764" s="166">
        <f t="shared" si="23"/>
        <v>0</v>
      </c>
      <c r="Z764" s="26">
        <f t="shared" si="7"/>
        <v>0</v>
      </c>
      <c r="AA764" s="26">
        <f t="shared" si="8"/>
        <v>0</v>
      </c>
      <c r="AB764" s="26">
        <f t="shared" si="9"/>
        <v>0</v>
      </c>
      <c r="AC764" s="156">
        <v>0.0</v>
      </c>
      <c r="AD764" s="156">
        <v>0.0</v>
      </c>
      <c r="AE764" s="156">
        <v>0.0</v>
      </c>
      <c r="AF764" s="156">
        <v>0.0</v>
      </c>
      <c r="AG764" s="156">
        <v>0.0</v>
      </c>
      <c r="AH764" s="156">
        <v>0.0</v>
      </c>
      <c r="BN764" s="155">
        <v>0.0</v>
      </c>
      <c r="BO764" s="155">
        <v>0.0</v>
      </c>
      <c r="BP764" s="155">
        <v>0.0</v>
      </c>
      <c r="BQ764" s="155">
        <v>0.0</v>
      </c>
      <c r="BR764" s="155">
        <v>0.0</v>
      </c>
      <c r="BS764" s="155">
        <v>0.0</v>
      </c>
      <c r="CV764" s="156">
        <v>0.0</v>
      </c>
      <c r="CW764" s="156">
        <v>0.0</v>
      </c>
      <c r="CX764" s="156">
        <v>0.0</v>
      </c>
      <c r="CY764" s="156">
        <v>0.0</v>
      </c>
      <c r="CZ764" s="156">
        <v>0.0</v>
      </c>
      <c r="DA764" s="156">
        <v>0.0</v>
      </c>
      <c r="EG764" s="156">
        <v>0.0</v>
      </c>
      <c r="EH764" s="156">
        <v>0.0</v>
      </c>
      <c r="EI764" s="156">
        <v>0.0</v>
      </c>
      <c r="EJ764" s="156">
        <v>0.0</v>
      </c>
      <c r="EK764" s="156">
        <v>0.0</v>
      </c>
      <c r="EL764" s="156">
        <v>0.0</v>
      </c>
      <c r="FQ764" s="156">
        <v>0.0</v>
      </c>
      <c r="FR764" s="156">
        <v>0.0</v>
      </c>
      <c r="FS764" s="156">
        <v>0.0</v>
      </c>
      <c r="FT764" s="156">
        <v>0.0</v>
      </c>
      <c r="FU764" s="156">
        <v>0.0</v>
      </c>
      <c r="FV764" s="156">
        <v>0.0</v>
      </c>
      <c r="FW764" s="157"/>
      <c r="FX764" s="157"/>
      <c r="FY764" s="157"/>
      <c r="FZ764" s="157"/>
      <c r="GA764" s="157"/>
      <c r="GB764" s="157"/>
      <c r="GC764" s="157"/>
      <c r="GD764" s="157"/>
      <c r="GE764" s="157"/>
      <c r="GF764" s="157"/>
      <c r="GG764" s="157"/>
      <c r="GH764" s="157"/>
      <c r="GI764" s="157"/>
      <c r="GJ764" s="157"/>
      <c r="GK764" s="157"/>
      <c r="GL764" s="157"/>
      <c r="GM764" s="157"/>
      <c r="GN764" s="157"/>
      <c r="GO764" s="157"/>
      <c r="GP764" s="158"/>
      <c r="GQ764" s="157"/>
      <c r="GR764" s="157"/>
      <c r="GS764" s="157"/>
      <c r="GT764" s="157"/>
      <c r="GU764" s="157"/>
      <c r="GV764" s="157"/>
      <c r="GW764" s="157"/>
      <c r="GX764" s="157"/>
      <c r="GY764" s="157"/>
      <c r="GZ764" s="157"/>
      <c r="HA764" s="157"/>
      <c r="HB764" s="155">
        <v>0.0</v>
      </c>
      <c r="HC764" s="155">
        <v>0.0</v>
      </c>
      <c r="HD764" s="155">
        <v>0.0</v>
      </c>
      <c r="HE764" s="155">
        <v>0.0</v>
      </c>
      <c r="HF764" s="155">
        <v>0.0</v>
      </c>
      <c r="HG764" s="155">
        <v>0.0</v>
      </c>
      <c r="IL764" s="159">
        <v>0.0</v>
      </c>
      <c r="IM764" s="156">
        <v>0.0</v>
      </c>
      <c r="IN764" s="156">
        <v>0.0</v>
      </c>
      <c r="IO764" s="156">
        <v>0.0</v>
      </c>
      <c r="IP764" s="156">
        <v>0.0</v>
      </c>
      <c r="IQ764" s="160">
        <v>0.0</v>
      </c>
      <c r="JH764" s="25"/>
      <c r="JW764" s="159">
        <v>0.0</v>
      </c>
      <c r="JX764" s="156">
        <v>0.0</v>
      </c>
      <c r="JY764" s="156">
        <v>0.0</v>
      </c>
      <c r="JZ764" s="156">
        <v>0.0</v>
      </c>
      <c r="KA764" s="156">
        <v>0.0</v>
      </c>
      <c r="KB764" s="160">
        <v>0.0</v>
      </c>
      <c r="LH764" s="159">
        <f t="shared" si="10"/>
        <v>0</v>
      </c>
      <c r="LI764" s="156">
        <f t="shared" si="11"/>
        <v>0</v>
      </c>
      <c r="LJ764" s="156">
        <f t="shared" si="12"/>
        <v>0</v>
      </c>
      <c r="LK764" s="156">
        <f t="shared" si="13"/>
        <v>0</v>
      </c>
      <c r="LL764" s="156">
        <f t="shared" si="14"/>
        <v>0</v>
      </c>
      <c r="LM764" s="160">
        <f t="shared" si="15"/>
        <v>0</v>
      </c>
      <c r="QX764" s="633"/>
    </row>
    <row r="765">
      <c r="A765" s="12"/>
      <c r="B765" s="12"/>
      <c r="C765" s="12"/>
      <c r="D765" s="12"/>
      <c r="E765" s="12"/>
      <c r="F765" s="12"/>
      <c r="G765" s="12"/>
      <c r="H765" s="12"/>
      <c r="I765" s="143">
        <f t="shared" si="22"/>
        <v>0</v>
      </c>
      <c r="J765" s="108"/>
      <c r="K765" s="203"/>
      <c r="L765" s="108"/>
      <c r="V765" s="161"/>
      <c r="X765" s="140"/>
      <c r="Y765" s="166">
        <f t="shared" si="23"/>
        <v>0</v>
      </c>
      <c r="Z765" s="26">
        <f t="shared" si="7"/>
        <v>0</v>
      </c>
      <c r="AA765" s="26">
        <f t="shared" si="8"/>
        <v>0</v>
      </c>
      <c r="AB765" s="26">
        <f t="shared" si="9"/>
        <v>0</v>
      </c>
      <c r="AC765" s="156">
        <v>0.0</v>
      </c>
      <c r="AD765" s="156">
        <v>0.0</v>
      </c>
      <c r="AE765" s="156">
        <v>0.0</v>
      </c>
      <c r="AF765" s="156">
        <v>0.0</v>
      </c>
      <c r="AG765" s="156">
        <v>0.0</v>
      </c>
      <c r="AH765" s="156">
        <v>0.0</v>
      </c>
      <c r="BN765" s="155">
        <v>0.0</v>
      </c>
      <c r="BO765" s="155">
        <v>0.0</v>
      </c>
      <c r="BP765" s="155">
        <v>0.0</v>
      </c>
      <c r="BQ765" s="155">
        <v>0.0</v>
      </c>
      <c r="BR765" s="155">
        <v>0.0</v>
      </c>
      <c r="BS765" s="155">
        <v>0.0</v>
      </c>
      <c r="CV765" s="156">
        <v>0.0</v>
      </c>
      <c r="CW765" s="156">
        <v>0.0</v>
      </c>
      <c r="CX765" s="156">
        <v>0.0</v>
      </c>
      <c r="CY765" s="156">
        <v>0.0</v>
      </c>
      <c r="CZ765" s="156">
        <v>0.0</v>
      </c>
      <c r="DA765" s="156">
        <v>0.0</v>
      </c>
      <c r="EG765" s="156">
        <v>0.0</v>
      </c>
      <c r="EH765" s="156">
        <v>0.0</v>
      </c>
      <c r="EI765" s="156">
        <v>0.0</v>
      </c>
      <c r="EJ765" s="156">
        <v>0.0</v>
      </c>
      <c r="EK765" s="156">
        <v>0.0</v>
      </c>
      <c r="EL765" s="156">
        <v>0.0</v>
      </c>
      <c r="FQ765" s="156">
        <v>0.0</v>
      </c>
      <c r="FR765" s="156">
        <v>0.0</v>
      </c>
      <c r="FS765" s="156">
        <v>0.0</v>
      </c>
      <c r="FT765" s="156">
        <v>0.0</v>
      </c>
      <c r="FU765" s="156">
        <v>0.0</v>
      </c>
      <c r="FV765" s="156">
        <v>0.0</v>
      </c>
      <c r="FW765" s="157"/>
      <c r="FX765" s="157"/>
      <c r="FY765" s="157"/>
      <c r="FZ765" s="157"/>
      <c r="GA765" s="157"/>
      <c r="GB765" s="157"/>
      <c r="GC765" s="157"/>
      <c r="GD765" s="157"/>
      <c r="GE765" s="157"/>
      <c r="GF765" s="157"/>
      <c r="GG765" s="157"/>
      <c r="GH765" s="157"/>
      <c r="GI765" s="157"/>
      <c r="GJ765" s="157"/>
      <c r="GK765" s="157"/>
      <c r="GL765" s="157"/>
      <c r="GM765" s="157"/>
      <c r="GN765" s="157"/>
      <c r="GO765" s="157"/>
      <c r="GP765" s="158"/>
      <c r="GQ765" s="157"/>
      <c r="GR765" s="157"/>
      <c r="GS765" s="157"/>
      <c r="GT765" s="157"/>
      <c r="GU765" s="157"/>
      <c r="GV765" s="157"/>
      <c r="GW765" s="157"/>
      <c r="GX765" s="157"/>
      <c r="GY765" s="157"/>
      <c r="GZ765" s="157"/>
      <c r="HA765" s="157"/>
      <c r="HB765" s="155">
        <v>0.0</v>
      </c>
      <c r="HC765" s="155">
        <v>0.0</v>
      </c>
      <c r="HD765" s="155">
        <v>0.0</v>
      </c>
      <c r="HE765" s="155">
        <v>0.0</v>
      </c>
      <c r="HF765" s="155">
        <v>0.0</v>
      </c>
      <c r="HG765" s="155">
        <v>0.0</v>
      </c>
      <c r="IL765" s="159">
        <v>0.0</v>
      </c>
      <c r="IM765" s="156">
        <v>0.0</v>
      </c>
      <c r="IN765" s="156">
        <v>0.0</v>
      </c>
      <c r="IO765" s="156">
        <v>0.0</v>
      </c>
      <c r="IP765" s="156">
        <v>0.0</v>
      </c>
      <c r="IQ765" s="160">
        <v>0.0</v>
      </c>
      <c r="JH765" s="25"/>
      <c r="JW765" s="159">
        <v>0.0</v>
      </c>
      <c r="JX765" s="156">
        <v>0.0</v>
      </c>
      <c r="JY765" s="156">
        <v>0.0</v>
      </c>
      <c r="JZ765" s="156">
        <v>0.0</v>
      </c>
      <c r="KA765" s="156">
        <v>0.0</v>
      </c>
      <c r="KB765" s="160">
        <v>0.0</v>
      </c>
      <c r="LH765" s="159">
        <f t="shared" si="10"/>
        <v>0</v>
      </c>
      <c r="LI765" s="156">
        <f t="shared" si="11"/>
        <v>0</v>
      </c>
      <c r="LJ765" s="156">
        <f t="shared" si="12"/>
        <v>0</v>
      </c>
      <c r="LK765" s="156">
        <f t="shared" si="13"/>
        <v>0</v>
      </c>
      <c r="LL765" s="156">
        <f t="shared" si="14"/>
        <v>0</v>
      </c>
      <c r="LM765" s="160">
        <f t="shared" si="15"/>
        <v>0</v>
      </c>
      <c r="QX765" s="633"/>
    </row>
    <row r="766">
      <c r="A766" s="12"/>
      <c r="B766" s="12"/>
      <c r="C766" s="12"/>
      <c r="D766" s="12"/>
      <c r="E766" s="12"/>
      <c r="F766" s="12"/>
      <c r="G766" s="12"/>
      <c r="H766" s="12"/>
      <c r="I766" s="143">
        <f t="shared" si="22"/>
        <v>0</v>
      </c>
      <c r="J766" s="108"/>
      <c r="K766" s="203"/>
      <c r="L766" s="108"/>
      <c r="V766" s="161"/>
      <c r="X766" s="140"/>
      <c r="Y766" s="166">
        <f t="shared" si="23"/>
        <v>0</v>
      </c>
      <c r="Z766" s="26">
        <f t="shared" si="7"/>
        <v>0</v>
      </c>
      <c r="AA766" s="26">
        <f t="shared" si="8"/>
        <v>0</v>
      </c>
      <c r="AB766" s="26">
        <f t="shared" si="9"/>
        <v>0</v>
      </c>
      <c r="AC766" s="156">
        <v>0.0</v>
      </c>
      <c r="AD766" s="156">
        <v>0.0</v>
      </c>
      <c r="AE766" s="156">
        <v>0.0</v>
      </c>
      <c r="AF766" s="156">
        <v>0.0</v>
      </c>
      <c r="AG766" s="156">
        <v>0.0</v>
      </c>
      <c r="AH766" s="156">
        <v>0.0</v>
      </c>
      <c r="BN766" s="155">
        <v>0.0</v>
      </c>
      <c r="BO766" s="155">
        <v>0.0</v>
      </c>
      <c r="BP766" s="155">
        <v>0.0</v>
      </c>
      <c r="BQ766" s="155">
        <v>0.0</v>
      </c>
      <c r="BR766" s="155">
        <v>0.0</v>
      </c>
      <c r="BS766" s="155">
        <v>0.0</v>
      </c>
      <c r="CV766" s="156">
        <v>0.0</v>
      </c>
      <c r="CW766" s="156">
        <v>0.0</v>
      </c>
      <c r="CX766" s="156">
        <v>0.0</v>
      </c>
      <c r="CY766" s="156">
        <v>0.0</v>
      </c>
      <c r="CZ766" s="156">
        <v>0.0</v>
      </c>
      <c r="DA766" s="156">
        <v>0.0</v>
      </c>
      <c r="EG766" s="156">
        <v>0.0</v>
      </c>
      <c r="EH766" s="156">
        <v>0.0</v>
      </c>
      <c r="EI766" s="156">
        <v>0.0</v>
      </c>
      <c r="EJ766" s="156">
        <v>0.0</v>
      </c>
      <c r="EK766" s="156">
        <v>0.0</v>
      </c>
      <c r="EL766" s="156">
        <v>0.0</v>
      </c>
      <c r="FQ766" s="156">
        <v>0.0</v>
      </c>
      <c r="FR766" s="156">
        <v>0.0</v>
      </c>
      <c r="FS766" s="156">
        <v>0.0</v>
      </c>
      <c r="FT766" s="156">
        <v>0.0</v>
      </c>
      <c r="FU766" s="156">
        <v>0.0</v>
      </c>
      <c r="FV766" s="156">
        <v>0.0</v>
      </c>
      <c r="FW766" s="157"/>
      <c r="FX766" s="157"/>
      <c r="FY766" s="157"/>
      <c r="FZ766" s="157"/>
      <c r="GA766" s="157"/>
      <c r="GB766" s="157"/>
      <c r="GC766" s="157"/>
      <c r="GD766" s="157"/>
      <c r="GE766" s="157"/>
      <c r="GF766" s="157"/>
      <c r="GG766" s="157"/>
      <c r="GH766" s="157"/>
      <c r="GI766" s="157"/>
      <c r="GJ766" s="157"/>
      <c r="GK766" s="157"/>
      <c r="GL766" s="157"/>
      <c r="GM766" s="157"/>
      <c r="GN766" s="157"/>
      <c r="GO766" s="157"/>
      <c r="GP766" s="158"/>
      <c r="GQ766" s="157"/>
      <c r="GR766" s="157"/>
      <c r="GS766" s="157"/>
      <c r="GT766" s="157"/>
      <c r="GU766" s="157"/>
      <c r="GV766" s="157"/>
      <c r="GW766" s="157"/>
      <c r="GX766" s="157"/>
      <c r="GY766" s="157"/>
      <c r="GZ766" s="157"/>
      <c r="HA766" s="157"/>
      <c r="HB766" s="155">
        <v>0.0</v>
      </c>
      <c r="HC766" s="155">
        <v>0.0</v>
      </c>
      <c r="HD766" s="155">
        <v>0.0</v>
      </c>
      <c r="HE766" s="155">
        <v>0.0</v>
      </c>
      <c r="HF766" s="155">
        <v>0.0</v>
      </c>
      <c r="HG766" s="155">
        <v>0.0</v>
      </c>
      <c r="IL766" s="159">
        <v>0.0</v>
      </c>
      <c r="IM766" s="156">
        <v>0.0</v>
      </c>
      <c r="IN766" s="156">
        <v>0.0</v>
      </c>
      <c r="IO766" s="156">
        <v>0.0</v>
      </c>
      <c r="IP766" s="156">
        <v>0.0</v>
      </c>
      <c r="IQ766" s="160">
        <v>0.0</v>
      </c>
      <c r="JH766" s="25"/>
      <c r="JW766" s="159">
        <v>0.0</v>
      </c>
      <c r="JX766" s="156">
        <v>0.0</v>
      </c>
      <c r="JY766" s="156">
        <v>0.0</v>
      </c>
      <c r="JZ766" s="156">
        <v>0.0</v>
      </c>
      <c r="KA766" s="156">
        <v>0.0</v>
      </c>
      <c r="KB766" s="160">
        <v>0.0</v>
      </c>
      <c r="LH766" s="159">
        <f t="shared" si="10"/>
        <v>0</v>
      </c>
      <c r="LI766" s="156">
        <f t="shared" si="11"/>
        <v>0</v>
      </c>
      <c r="LJ766" s="156">
        <f t="shared" si="12"/>
        <v>0</v>
      </c>
      <c r="LK766" s="156">
        <f t="shared" si="13"/>
        <v>0</v>
      </c>
      <c r="LL766" s="156">
        <f t="shared" si="14"/>
        <v>0</v>
      </c>
      <c r="LM766" s="160">
        <f t="shared" si="15"/>
        <v>0</v>
      </c>
      <c r="QX766" s="633"/>
    </row>
    <row r="767">
      <c r="A767" s="12"/>
      <c r="B767" s="12"/>
      <c r="C767" s="12"/>
      <c r="D767" s="12"/>
      <c r="E767" s="12"/>
      <c r="F767" s="12"/>
      <c r="G767" s="12"/>
      <c r="H767" s="12"/>
      <c r="I767" s="143">
        <f t="shared" si="22"/>
        <v>0</v>
      </c>
      <c r="J767" s="108"/>
      <c r="K767" s="203"/>
      <c r="L767" s="108"/>
      <c r="V767" s="161"/>
      <c r="X767" s="140"/>
      <c r="Y767" s="166">
        <f t="shared" si="23"/>
        <v>0</v>
      </c>
      <c r="Z767" s="26">
        <f t="shared" si="7"/>
        <v>0</v>
      </c>
      <c r="AA767" s="26">
        <f t="shared" si="8"/>
        <v>0</v>
      </c>
      <c r="AB767" s="26">
        <f t="shared" si="9"/>
        <v>0</v>
      </c>
      <c r="AC767" s="156">
        <v>0.0</v>
      </c>
      <c r="AD767" s="156">
        <v>0.0</v>
      </c>
      <c r="AE767" s="156">
        <v>0.0</v>
      </c>
      <c r="AF767" s="156">
        <v>0.0</v>
      </c>
      <c r="AG767" s="156">
        <v>0.0</v>
      </c>
      <c r="AH767" s="156">
        <v>0.0</v>
      </c>
      <c r="BN767" s="155">
        <v>0.0</v>
      </c>
      <c r="BO767" s="155">
        <v>0.0</v>
      </c>
      <c r="BP767" s="155">
        <v>0.0</v>
      </c>
      <c r="BQ767" s="155">
        <v>0.0</v>
      </c>
      <c r="BR767" s="155">
        <v>0.0</v>
      </c>
      <c r="BS767" s="155">
        <v>0.0</v>
      </c>
      <c r="CV767" s="156">
        <v>0.0</v>
      </c>
      <c r="CW767" s="156">
        <v>0.0</v>
      </c>
      <c r="CX767" s="156">
        <v>0.0</v>
      </c>
      <c r="CY767" s="156">
        <v>0.0</v>
      </c>
      <c r="CZ767" s="156">
        <v>0.0</v>
      </c>
      <c r="DA767" s="156">
        <v>0.0</v>
      </c>
      <c r="EG767" s="156">
        <v>0.0</v>
      </c>
      <c r="EH767" s="156">
        <v>0.0</v>
      </c>
      <c r="EI767" s="156">
        <v>0.0</v>
      </c>
      <c r="EJ767" s="156">
        <v>0.0</v>
      </c>
      <c r="EK767" s="156">
        <v>0.0</v>
      </c>
      <c r="EL767" s="156">
        <v>0.0</v>
      </c>
      <c r="FQ767" s="156">
        <v>0.0</v>
      </c>
      <c r="FR767" s="156">
        <v>0.0</v>
      </c>
      <c r="FS767" s="156">
        <v>0.0</v>
      </c>
      <c r="FT767" s="156">
        <v>0.0</v>
      </c>
      <c r="FU767" s="156">
        <v>0.0</v>
      </c>
      <c r="FV767" s="156">
        <v>0.0</v>
      </c>
      <c r="FW767" s="157"/>
      <c r="FX767" s="157"/>
      <c r="FY767" s="157"/>
      <c r="FZ767" s="157"/>
      <c r="GA767" s="157"/>
      <c r="GB767" s="157"/>
      <c r="GC767" s="157"/>
      <c r="GD767" s="157"/>
      <c r="GE767" s="157"/>
      <c r="GF767" s="157"/>
      <c r="GG767" s="157"/>
      <c r="GH767" s="157"/>
      <c r="GI767" s="157"/>
      <c r="GJ767" s="157"/>
      <c r="GK767" s="157"/>
      <c r="GL767" s="157"/>
      <c r="GM767" s="157"/>
      <c r="GN767" s="157"/>
      <c r="GO767" s="157"/>
      <c r="GP767" s="158"/>
      <c r="GQ767" s="157"/>
      <c r="GR767" s="157"/>
      <c r="GS767" s="157"/>
      <c r="GT767" s="157"/>
      <c r="GU767" s="157"/>
      <c r="GV767" s="157"/>
      <c r="GW767" s="157"/>
      <c r="GX767" s="157"/>
      <c r="GY767" s="157"/>
      <c r="GZ767" s="157"/>
      <c r="HA767" s="157"/>
      <c r="HB767" s="155">
        <v>0.0</v>
      </c>
      <c r="HC767" s="155">
        <v>0.0</v>
      </c>
      <c r="HD767" s="155">
        <v>0.0</v>
      </c>
      <c r="HE767" s="155">
        <v>0.0</v>
      </c>
      <c r="HF767" s="155">
        <v>0.0</v>
      </c>
      <c r="HG767" s="155">
        <v>0.0</v>
      </c>
      <c r="IL767" s="159">
        <v>0.0</v>
      </c>
      <c r="IM767" s="156">
        <v>0.0</v>
      </c>
      <c r="IN767" s="156">
        <v>0.0</v>
      </c>
      <c r="IO767" s="156">
        <v>0.0</v>
      </c>
      <c r="IP767" s="156">
        <v>0.0</v>
      </c>
      <c r="IQ767" s="160">
        <v>0.0</v>
      </c>
      <c r="JH767" s="25"/>
      <c r="JW767" s="159">
        <v>0.0</v>
      </c>
      <c r="JX767" s="156">
        <v>0.0</v>
      </c>
      <c r="JY767" s="156">
        <v>0.0</v>
      </c>
      <c r="JZ767" s="156">
        <v>0.0</v>
      </c>
      <c r="KA767" s="156">
        <v>0.0</v>
      </c>
      <c r="KB767" s="160">
        <v>0.0</v>
      </c>
      <c r="LH767" s="159">
        <f t="shared" si="10"/>
        <v>0</v>
      </c>
      <c r="LI767" s="156">
        <f t="shared" si="11"/>
        <v>0</v>
      </c>
      <c r="LJ767" s="156">
        <f t="shared" si="12"/>
        <v>0</v>
      </c>
      <c r="LK767" s="156">
        <f t="shared" si="13"/>
        <v>0</v>
      </c>
      <c r="LL767" s="156">
        <f t="shared" si="14"/>
        <v>0</v>
      </c>
      <c r="LM767" s="160">
        <f t="shared" si="15"/>
        <v>0</v>
      </c>
      <c r="QX767" s="633"/>
    </row>
    <row r="768">
      <c r="A768" s="12"/>
      <c r="B768" s="12"/>
      <c r="C768" s="12"/>
      <c r="D768" s="12"/>
      <c r="E768" s="12"/>
      <c r="F768" s="12"/>
      <c r="G768" s="12"/>
      <c r="H768" s="12"/>
      <c r="I768" s="143">
        <f t="shared" si="22"/>
        <v>0</v>
      </c>
      <c r="J768" s="108"/>
      <c r="K768" s="203"/>
      <c r="L768" s="108"/>
      <c r="V768" s="161"/>
      <c r="X768" s="140"/>
      <c r="Y768" s="166">
        <f t="shared" si="23"/>
        <v>0</v>
      </c>
      <c r="Z768" s="26">
        <f t="shared" si="7"/>
        <v>0</v>
      </c>
      <c r="AA768" s="26">
        <f t="shared" si="8"/>
        <v>0</v>
      </c>
      <c r="AB768" s="26">
        <f t="shared" si="9"/>
        <v>0</v>
      </c>
      <c r="AC768" s="156">
        <v>0.0</v>
      </c>
      <c r="AD768" s="156">
        <v>0.0</v>
      </c>
      <c r="AE768" s="156">
        <v>0.0</v>
      </c>
      <c r="AF768" s="156">
        <v>0.0</v>
      </c>
      <c r="AG768" s="156">
        <v>0.0</v>
      </c>
      <c r="AH768" s="156">
        <v>0.0</v>
      </c>
      <c r="BN768" s="155">
        <v>0.0</v>
      </c>
      <c r="BO768" s="155">
        <v>0.0</v>
      </c>
      <c r="BP768" s="155">
        <v>0.0</v>
      </c>
      <c r="BQ768" s="155">
        <v>0.0</v>
      </c>
      <c r="BR768" s="155">
        <v>0.0</v>
      </c>
      <c r="BS768" s="155">
        <v>0.0</v>
      </c>
      <c r="CV768" s="156">
        <v>0.0</v>
      </c>
      <c r="CW768" s="156">
        <v>0.0</v>
      </c>
      <c r="CX768" s="156">
        <v>0.0</v>
      </c>
      <c r="CY768" s="156">
        <v>0.0</v>
      </c>
      <c r="CZ768" s="156">
        <v>0.0</v>
      </c>
      <c r="DA768" s="156">
        <v>0.0</v>
      </c>
      <c r="EG768" s="156">
        <v>0.0</v>
      </c>
      <c r="EH768" s="156">
        <v>0.0</v>
      </c>
      <c r="EI768" s="156">
        <v>0.0</v>
      </c>
      <c r="EJ768" s="156">
        <v>0.0</v>
      </c>
      <c r="EK768" s="156">
        <v>0.0</v>
      </c>
      <c r="EL768" s="156">
        <v>0.0</v>
      </c>
      <c r="FQ768" s="156">
        <v>0.0</v>
      </c>
      <c r="FR768" s="156">
        <v>0.0</v>
      </c>
      <c r="FS768" s="156">
        <v>0.0</v>
      </c>
      <c r="FT768" s="156">
        <v>0.0</v>
      </c>
      <c r="FU768" s="156">
        <v>0.0</v>
      </c>
      <c r="FV768" s="156">
        <v>0.0</v>
      </c>
      <c r="FW768" s="157"/>
      <c r="FX768" s="157"/>
      <c r="FY768" s="157"/>
      <c r="FZ768" s="157"/>
      <c r="GA768" s="157"/>
      <c r="GB768" s="157"/>
      <c r="GC768" s="157"/>
      <c r="GD768" s="157"/>
      <c r="GE768" s="157"/>
      <c r="GF768" s="157"/>
      <c r="GG768" s="157"/>
      <c r="GH768" s="157"/>
      <c r="GI768" s="157"/>
      <c r="GJ768" s="157"/>
      <c r="GK768" s="157"/>
      <c r="GL768" s="157"/>
      <c r="GM768" s="157"/>
      <c r="GN768" s="157"/>
      <c r="GO768" s="157"/>
      <c r="GP768" s="158"/>
      <c r="GQ768" s="157"/>
      <c r="GR768" s="157"/>
      <c r="GS768" s="157"/>
      <c r="GT768" s="157"/>
      <c r="GU768" s="157"/>
      <c r="GV768" s="157"/>
      <c r="GW768" s="157"/>
      <c r="GX768" s="157"/>
      <c r="GY768" s="157"/>
      <c r="GZ768" s="157"/>
      <c r="HA768" s="157"/>
      <c r="HB768" s="155">
        <v>0.0</v>
      </c>
      <c r="HC768" s="155">
        <v>0.0</v>
      </c>
      <c r="HD768" s="155">
        <v>0.0</v>
      </c>
      <c r="HE768" s="155">
        <v>0.0</v>
      </c>
      <c r="HF768" s="155">
        <v>0.0</v>
      </c>
      <c r="HG768" s="155">
        <v>0.0</v>
      </c>
      <c r="IL768" s="159">
        <v>0.0</v>
      </c>
      <c r="IM768" s="156">
        <v>0.0</v>
      </c>
      <c r="IN768" s="156">
        <v>0.0</v>
      </c>
      <c r="IO768" s="156">
        <v>0.0</v>
      </c>
      <c r="IP768" s="156">
        <v>0.0</v>
      </c>
      <c r="IQ768" s="160">
        <v>0.0</v>
      </c>
      <c r="JH768" s="25"/>
      <c r="JW768" s="159">
        <v>0.0</v>
      </c>
      <c r="JX768" s="156">
        <v>0.0</v>
      </c>
      <c r="JY768" s="156">
        <v>0.0</v>
      </c>
      <c r="JZ768" s="156">
        <v>0.0</v>
      </c>
      <c r="KA768" s="156">
        <v>0.0</v>
      </c>
      <c r="KB768" s="160">
        <v>0.0</v>
      </c>
      <c r="LH768" s="159">
        <f t="shared" si="10"/>
        <v>0</v>
      </c>
      <c r="LI768" s="156">
        <f t="shared" si="11"/>
        <v>0</v>
      </c>
      <c r="LJ768" s="156">
        <f t="shared" si="12"/>
        <v>0</v>
      </c>
      <c r="LK768" s="156">
        <f t="shared" si="13"/>
        <v>0</v>
      </c>
      <c r="LL768" s="156">
        <f t="shared" si="14"/>
        <v>0</v>
      </c>
      <c r="LM768" s="160">
        <f t="shared" si="15"/>
        <v>0</v>
      </c>
      <c r="QX768" s="633"/>
    </row>
    <row r="769">
      <c r="A769" s="12"/>
      <c r="B769" s="12"/>
      <c r="C769" s="12"/>
      <c r="D769" s="12"/>
      <c r="E769" s="12"/>
      <c r="F769" s="12"/>
      <c r="G769" s="12"/>
      <c r="H769" s="12"/>
      <c r="I769" s="143">
        <f t="shared" si="22"/>
        <v>0</v>
      </c>
      <c r="J769" s="108"/>
      <c r="K769" s="203"/>
      <c r="L769" s="108"/>
      <c r="V769" s="161"/>
      <c r="X769" s="140"/>
      <c r="Y769" s="166">
        <f t="shared" si="23"/>
        <v>0</v>
      </c>
      <c r="Z769" s="26">
        <f t="shared" si="7"/>
        <v>0</v>
      </c>
      <c r="AA769" s="26">
        <f t="shared" si="8"/>
        <v>0</v>
      </c>
      <c r="AB769" s="26">
        <f t="shared" si="9"/>
        <v>0</v>
      </c>
      <c r="AC769" s="156">
        <v>0.0</v>
      </c>
      <c r="AD769" s="156">
        <v>0.0</v>
      </c>
      <c r="AE769" s="156">
        <v>0.0</v>
      </c>
      <c r="AF769" s="156">
        <v>0.0</v>
      </c>
      <c r="AG769" s="156">
        <v>0.0</v>
      </c>
      <c r="AH769" s="156">
        <v>0.0</v>
      </c>
      <c r="BN769" s="155">
        <v>0.0</v>
      </c>
      <c r="BO769" s="155">
        <v>0.0</v>
      </c>
      <c r="BP769" s="155">
        <v>0.0</v>
      </c>
      <c r="BQ769" s="155">
        <v>0.0</v>
      </c>
      <c r="BR769" s="155">
        <v>0.0</v>
      </c>
      <c r="BS769" s="155">
        <v>0.0</v>
      </c>
      <c r="CV769" s="156">
        <v>0.0</v>
      </c>
      <c r="CW769" s="156">
        <v>0.0</v>
      </c>
      <c r="CX769" s="156">
        <v>0.0</v>
      </c>
      <c r="CY769" s="156">
        <v>0.0</v>
      </c>
      <c r="CZ769" s="156">
        <v>0.0</v>
      </c>
      <c r="DA769" s="156">
        <v>0.0</v>
      </c>
      <c r="EG769" s="156">
        <v>0.0</v>
      </c>
      <c r="EH769" s="156">
        <v>0.0</v>
      </c>
      <c r="EI769" s="156">
        <v>0.0</v>
      </c>
      <c r="EJ769" s="156">
        <v>0.0</v>
      </c>
      <c r="EK769" s="156">
        <v>0.0</v>
      </c>
      <c r="EL769" s="156">
        <v>0.0</v>
      </c>
      <c r="FQ769" s="156">
        <v>0.0</v>
      </c>
      <c r="FR769" s="156">
        <v>0.0</v>
      </c>
      <c r="FS769" s="156">
        <v>0.0</v>
      </c>
      <c r="FT769" s="156">
        <v>0.0</v>
      </c>
      <c r="FU769" s="156">
        <v>0.0</v>
      </c>
      <c r="FV769" s="156">
        <v>0.0</v>
      </c>
      <c r="FW769" s="157"/>
      <c r="FX769" s="157"/>
      <c r="FY769" s="157"/>
      <c r="FZ769" s="157"/>
      <c r="GA769" s="157"/>
      <c r="GB769" s="157"/>
      <c r="GC769" s="157"/>
      <c r="GD769" s="157"/>
      <c r="GE769" s="157"/>
      <c r="GF769" s="157"/>
      <c r="GG769" s="157"/>
      <c r="GH769" s="157"/>
      <c r="GI769" s="157"/>
      <c r="GJ769" s="157"/>
      <c r="GK769" s="157"/>
      <c r="GL769" s="157"/>
      <c r="GM769" s="157"/>
      <c r="GN769" s="157"/>
      <c r="GO769" s="157"/>
      <c r="GP769" s="158"/>
      <c r="GQ769" s="157"/>
      <c r="GR769" s="157"/>
      <c r="GS769" s="157"/>
      <c r="GT769" s="157"/>
      <c r="GU769" s="157"/>
      <c r="GV769" s="157"/>
      <c r="GW769" s="157"/>
      <c r="GX769" s="157"/>
      <c r="GY769" s="157"/>
      <c r="GZ769" s="157"/>
      <c r="HA769" s="157"/>
      <c r="HB769" s="155">
        <v>0.0</v>
      </c>
      <c r="HC769" s="155">
        <v>0.0</v>
      </c>
      <c r="HD769" s="155">
        <v>0.0</v>
      </c>
      <c r="HE769" s="155">
        <v>0.0</v>
      </c>
      <c r="HF769" s="155">
        <v>0.0</v>
      </c>
      <c r="HG769" s="155">
        <v>0.0</v>
      </c>
      <c r="IL769" s="159">
        <v>0.0</v>
      </c>
      <c r="IM769" s="156">
        <v>0.0</v>
      </c>
      <c r="IN769" s="156">
        <v>0.0</v>
      </c>
      <c r="IO769" s="156">
        <v>0.0</v>
      </c>
      <c r="IP769" s="156">
        <v>0.0</v>
      </c>
      <c r="IQ769" s="160">
        <v>0.0</v>
      </c>
      <c r="JH769" s="25"/>
      <c r="JW769" s="159">
        <v>0.0</v>
      </c>
      <c r="JX769" s="156">
        <v>0.0</v>
      </c>
      <c r="JY769" s="156">
        <v>0.0</v>
      </c>
      <c r="JZ769" s="156">
        <v>0.0</v>
      </c>
      <c r="KA769" s="156">
        <v>0.0</v>
      </c>
      <c r="KB769" s="160">
        <v>0.0</v>
      </c>
      <c r="LH769" s="159">
        <f t="shared" si="10"/>
        <v>0</v>
      </c>
      <c r="LI769" s="156">
        <f t="shared" si="11"/>
        <v>0</v>
      </c>
      <c r="LJ769" s="156">
        <f t="shared" si="12"/>
        <v>0</v>
      </c>
      <c r="LK769" s="156">
        <f t="shared" si="13"/>
        <v>0</v>
      </c>
      <c r="LL769" s="156">
        <f t="shared" si="14"/>
        <v>0</v>
      </c>
      <c r="LM769" s="160">
        <f t="shared" si="15"/>
        <v>0</v>
      </c>
      <c r="QX769" s="633"/>
    </row>
    <row r="770">
      <c r="A770" s="12"/>
      <c r="B770" s="12"/>
      <c r="C770" s="12"/>
      <c r="D770" s="12"/>
      <c r="E770" s="12"/>
      <c r="F770" s="12"/>
      <c r="G770" s="12"/>
      <c r="H770" s="12"/>
      <c r="I770" s="143">
        <f t="shared" si="22"/>
        <v>0</v>
      </c>
      <c r="J770" s="108"/>
      <c r="K770" s="203"/>
      <c r="L770" s="108"/>
      <c r="V770" s="161"/>
      <c r="X770" s="140"/>
      <c r="Y770" s="166">
        <f t="shared" si="23"/>
        <v>0</v>
      </c>
      <c r="Z770" s="26">
        <f t="shared" si="7"/>
        <v>0</v>
      </c>
      <c r="AA770" s="26">
        <f t="shared" si="8"/>
        <v>0</v>
      </c>
      <c r="AB770" s="26">
        <f t="shared" si="9"/>
        <v>0</v>
      </c>
      <c r="AC770" s="156">
        <v>0.0</v>
      </c>
      <c r="AD770" s="156">
        <v>0.0</v>
      </c>
      <c r="AE770" s="156">
        <v>0.0</v>
      </c>
      <c r="AF770" s="156">
        <v>0.0</v>
      </c>
      <c r="AG770" s="156">
        <v>0.0</v>
      </c>
      <c r="AH770" s="156">
        <v>0.0</v>
      </c>
      <c r="BN770" s="155">
        <v>0.0</v>
      </c>
      <c r="BO770" s="155">
        <v>0.0</v>
      </c>
      <c r="BP770" s="155">
        <v>0.0</v>
      </c>
      <c r="BQ770" s="155">
        <v>0.0</v>
      </c>
      <c r="BR770" s="155">
        <v>0.0</v>
      </c>
      <c r="BS770" s="155">
        <v>0.0</v>
      </c>
      <c r="CV770" s="156">
        <v>0.0</v>
      </c>
      <c r="CW770" s="156">
        <v>0.0</v>
      </c>
      <c r="CX770" s="156">
        <v>0.0</v>
      </c>
      <c r="CY770" s="156">
        <v>0.0</v>
      </c>
      <c r="CZ770" s="156">
        <v>0.0</v>
      </c>
      <c r="DA770" s="156">
        <v>0.0</v>
      </c>
      <c r="EG770" s="156">
        <v>0.0</v>
      </c>
      <c r="EH770" s="156">
        <v>0.0</v>
      </c>
      <c r="EI770" s="156">
        <v>0.0</v>
      </c>
      <c r="EJ770" s="156">
        <v>0.0</v>
      </c>
      <c r="EK770" s="156">
        <v>0.0</v>
      </c>
      <c r="EL770" s="156">
        <v>0.0</v>
      </c>
      <c r="FQ770" s="156">
        <v>0.0</v>
      </c>
      <c r="FR770" s="156">
        <v>0.0</v>
      </c>
      <c r="FS770" s="156">
        <v>0.0</v>
      </c>
      <c r="FT770" s="156">
        <v>0.0</v>
      </c>
      <c r="FU770" s="156">
        <v>0.0</v>
      </c>
      <c r="FV770" s="156">
        <v>0.0</v>
      </c>
      <c r="FW770" s="157"/>
      <c r="FX770" s="157"/>
      <c r="FY770" s="157"/>
      <c r="FZ770" s="157"/>
      <c r="GA770" s="157"/>
      <c r="GB770" s="157"/>
      <c r="GC770" s="157"/>
      <c r="GD770" s="157"/>
      <c r="GE770" s="157"/>
      <c r="GF770" s="157"/>
      <c r="GG770" s="157"/>
      <c r="GH770" s="157"/>
      <c r="GI770" s="157"/>
      <c r="GJ770" s="157"/>
      <c r="GK770" s="157"/>
      <c r="GL770" s="157"/>
      <c r="GM770" s="157"/>
      <c r="GN770" s="157"/>
      <c r="GO770" s="157"/>
      <c r="GP770" s="158"/>
      <c r="GQ770" s="157"/>
      <c r="GR770" s="157"/>
      <c r="GS770" s="157"/>
      <c r="GT770" s="157"/>
      <c r="GU770" s="157"/>
      <c r="GV770" s="157"/>
      <c r="GW770" s="157"/>
      <c r="GX770" s="157"/>
      <c r="GY770" s="157"/>
      <c r="GZ770" s="157"/>
      <c r="HA770" s="157"/>
      <c r="HB770" s="155">
        <v>0.0</v>
      </c>
      <c r="HC770" s="155">
        <v>0.0</v>
      </c>
      <c r="HD770" s="155">
        <v>0.0</v>
      </c>
      <c r="HE770" s="155">
        <v>0.0</v>
      </c>
      <c r="HF770" s="155">
        <v>0.0</v>
      </c>
      <c r="HG770" s="155">
        <v>0.0</v>
      </c>
      <c r="IL770" s="159">
        <v>0.0</v>
      </c>
      <c r="IM770" s="156">
        <v>0.0</v>
      </c>
      <c r="IN770" s="156">
        <v>0.0</v>
      </c>
      <c r="IO770" s="156">
        <v>0.0</v>
      </c>
      <c r="IP770" s="156">
        <v>0.0</v>
      </c>
      <c r="IQ770" s="160">
        <v>0.0</v>
      </c>
      <c r="JH770" s="25"/>
      <c r="JW770" s="159">
        <v>0.0</v>
      </c>
      <c r="JX770" s="156">
        <v>0.0</v>
      </c>
      <c r="JY770" s="156">
        <v>0.0</v>
      </c>
      <c r="JZ770" s="156">
        <v>0.0</v>
      </c>
      <c r="KA770" s="156">
        <v>0.0</v>
      </c>
      <c r="KB770" s="160">
        <v>0.0</v>
      </c>
      <c r="LH770" s="159">
        <f t="shared" si="10"/>
        <v>0</v>
      </c>
      <c r="LI770" s="156">
        <f t="shared" si="11"/>
        <v>0</v>
      </c>
      <c r="LJ770" s="156">
        <f t="shared" si="12"/>
        <v>0</v>
      </c>
      <c r="LK770" s="156">
        <f t="shared" si="13"/>
        <v>0</v>
      </c>
      <c r="LL770" s="156">
        <f t="shared" si="14"/>
        <v>0</v>
      </c>
      <c r="LM770" s="160">
        <f t="shared" si="15"/>
        <v>0</v>
      </c>
      <c r="QX770" s="633"/>
    </row>
    <row r="771">
      <c r="A771" s="12"/>
      <c r="B771" s="12"/>
      <c r="C771" s="12"/>
      <c r="D771" s="12"/>
      <c r="E771" s="12"/>
      <c r="F771" s="12"/>
      <c r="G771" s="12"/>
      <c r="H771" s="12"/>
      <c r="I771" s="143">
        <f t="shared" si="22"/>
        <v>0</v>
      </c>
      <c r="J771" s="108"/>
      <c r="K771" s="203"/>
      <c r="L771" s="108"/>
      <c r="V771" s="161"/>
      <c r="X771" s="140"/>
      <c r="Y771" s="166">
        <f t="shared" si="23"/>
        <v>0</v>
      </c>
      <c r="Z771" s="26">
        <f t="shared" si="7"/>
        <v>0</v>
      </c>
      <c r="AA771" s="26">
        <f t="shared" si="8"/>
        <v>0</v>
      </c>
      <c r="AB771" s="26">
        <f t="shared" si="9"/>
        <v>0</v>
      </c>
      <c r="AC771" s="156">
        <v>0.0</v>
      </c>
      <c r="AD771" s="156">
        <v>0.0</v>
      </c>
      <c r="AE771" s="156">
        <v>0.0</v>
      </c>
      <c r="AF771" s="156">
        <v>0.0</v>
      </c>
      <c r="AG771" s="156">
        <v>0.0</v>
      </c>
      <c r="AH771" s="156">
        <v>0.0</v>
      </c>
      <c r="BN771" s="155">
        <v>0.0</v>
      </c>
      <c r="BO771" s="155">
        <v>0.0</v>
      </c>
      <c r="BP771" s="155">
        <v>0.0</v>
      </c>
      <c r="BQ771" s="155">
        <v>0.0</v>
      </c>
      <c r="BR771" s="155">
        <v>0.0</v>
      </c>
      <c r="BS771" s="155">
        <v>0.0</v>
      </c>
      <c r="CV771" s="156">
        <v>0.0</v>
      </c>
      <c r="CW771" s="156">
        <v>0.0</v>
      </c>
      <c r="CX771" s="156">
        <v>0.0</v>
      </c>
      <c r="CY771" s="156">
        <v>0.0</v>
      </c>
      <c r="CZ771" s="156">
        <v>0.0</v>
      </c>
      <c r="DA771" s="156">
        <v>0.0</v>
      </c>
      <c r="EG771" s="156">
        <v>0.0</v>
      </c>
      <c r="EH771" s="156">
        <v>0.0</v>
      </c>
      <c r="EI771" s="156">
        <v>0.0</v>
      </c>
      <c r="EJ771" s="156">
        <v>0.0</v>
      </c>
      <c r="EK771" s="156">
        <v>0.0</v>
      </c>
      <c r="EL771" s="156">
        <v>0.0</v>
      </c>
      <c r="FQ771" s="156">
        <v>0.0</v>
      </c>
      <c r="FR771" s="156">
        <v>0.0</v>
      </c>
      <c r="FS771" s="156">
        <v>0.0</v>
      </c>
      <c r="FT771" s="156">
        <v>0.0</v>
      </c>
      <c r="FU771" s="156">
        <v>0.0</v>
      </c>
      <c r="FV771" s="156">
        <v>0.0</v>
      </c>
      <c r="FW771" s="157"/>
      <c r="FX771" s="157"/>
      <c r="FY771" s="157"/>
      <c r="FZ771" s="157"/>
      <c r="GA771" s="157"/>
      <c r="GB771" s="157"/>
      <c r="GC771" s="157"/>
      <c r="GD771" s="157"/>
      <c r="GE771" s="157"/>
      <c r="GF771" s="157"/>
      <c r="GG771" s="157"/>
      <c r="GH771" s="157"/>
      <c r="GI771" s="157"/>
      <c r="GJ771" s="157"/>
      <c r="GK771" s="157"/>
      <c r="GL771" s="157"/>
      <c r="GM771" s="157"/>
      <c r="GN771" s="157"/>
      <c r="GO771" s="157"/>
      <c r="GP771" s="158"/>
      <c r="GQ771" s="157"/>
      <c r="GR771" s="157"/>
      <c r="GS771" s="157"/>
      <c r="GT771" s="157"/>
      <c r="GU771" s="157"/>
      <c r="GV771" s="157"/>
      <c r="GW771" s="157"/>
      <c r="GX771" s="157"/>
      <c r="GY771" s="157"/>
      <c r="GZ771" s="157"/>
      <c r="HA771" s="157"/>
      <c r="HB771" s="155">
        <v>0.0</v>
      </c>
      <c r="HC771" s="155">
        <v>0.0</v>
      </c>
      <c r="HD771" s="155">
        <v>0.0</v>
      </c>
      <c r="HE771" s="155">
        <v>0.0</v>
      </c>
      <c r="HF771" s="155">
        <v>0.0</v>
      </c>
      <c r="HG771" s="155">
        <v>0.0</v>
      </c>
      <c r="IL771" s="159">
        <v>0.0</v>
      </c>
      <c r="IM771" s="156">
        <v>0.0</v>
      </c>
      <c r="IN771" s="156">
        <v>0.0</v>
      </c>
      <c r="IO771" s="156">
        <v>0.0</v>
      </c>
      <c r="IP771" s="156">
        <v>0.0</v>
      </c>
      <c r="IQ771" s="160">
        <v>0.0</v>
      </c>
      <c r="JH771" s="25"/>
      <c r="JW771" s="159">
        <v>0.0</v>
      </c>
      <c r="JX771" s="156">
        <v>0.0</v>
      </c>
      <c r="JY771" s="156">
        <v>0.0</v>
      </c>
      <c r="JZ771" s="156">
        <v>0.0</v>
      </c>
      <c r="KA771" s="156">
        <v>0.0</v>
      </c>
      <c r="KB771" s="160">
        <v>0.0</v>
      </c>
      <c r="LH771" s="159">
        <f t="shared" si="10"/>
        <v>0</v>
      </c>
      <c r="LI771" s="156">
        <f t="shared" si="11"/>
        <v>0</v>
      </c>
      <c r="LJ771" s="156">
        <f t="shared" si="12"/>
        <v>0</v>
      </c>
      <c r="LK771" s="156">
        <f t="shared" si="13"/>
        <v>0</v>
      </c>
      <c r="LL771" s="156">
        <f t="shared" si="14"/>
        <v>0</v>
      </c>
      <c r="LM771" s="160">
        <f t="shared" si="15"/>
        <v>0</v>
      </c>
      <c r="QX771" s="633"/>
    </row>
    <row r="772">
      <c r="A772" s="12"/>
      <c r="B772" s="12"/>
      <c r="C772" s="12"/>
      <c r="D772" s="12"/>
      <c r="E772" s="12"/>
      <c r="F772" s="12"/>
      <c r="G772" s="12"/>
      <c r="H772" s="12"/>
      <c r="I772" s="143">
        <f t="shared" si="22"/>
        <v>0</v>
      </c>
      <c r="J772" s="108"/>
      <c r="K772" s="203"/>
      <c r="L772" s="108"/>
      <c r="V772" s="161"/>
      <c r="X772" s="140"/>
      <c r="Y772" s="166">
        <f t="shared" si="23"/>
        <v>0</v>
      </c>
      <c r="Z772" s="26">
        <f t="shared" si="7"/>
        <v>0</v>
      </c>
      <c r="AA772" s="26">
        <f t="shared" si="8"/>
        <v>0</v>
      </c>
      <c r="AB772" s="26">
        <f t="shared" si="9"/>
        <v>0</v>
      </c>
      <c r="AC772" s="156">
        <v>0.0</v>
      </c>
      <c r="AD772" s="156">
        <v>0.0</v>
      </c>
      <c r="AE772" s="156">
        <v>0.0</v>
      </c>
      <c r="AF772" s="156">
        <v>0.0</v>
      </c>
      <c r="AG772" s="156">
        <v>0.0</v>
      </c>
      <c r="AH772" s="156">
        <v>0.0</v>
      </c>
      <c r="BN772" s="155">
        <v>0.0</v>
      </c>
      <c r="BO772" s="155">
        <v>0.0</v>
      </c>
      <c r="BP772" s="155">
        <v>0.0</v>
      </c>
      <c r="BQ772" s="155">
        <v>0.0</v>
      </c>
      <c r="BR772" s="155">
        <v>0.0</v>
      </c>
      <c r="BS772" s="155">
        <v>0.0</v>
      </c>
      <c r="CV772" s="156">
        <v>0.0</v>
      </c>
      <c r="CW772" s="156">
        <v>0.0</v>
      </c>
      <c r="CX772" s="156">
        <v>0.0</v>
      </c>
      <c r="CY772" s="156">
        <v>0.0</v>
      </c>
      <c r="CZ772" s="156">
        <v>0.0</v>
      </c>
      <c r="DA772" s="156">
        <v>0.0</v>
      </c>
      <c r="EG772" s="156">
        <v>0.0</v>
      </c>
      <c r="EH772" s="156">
        <v>0.0</v>
      </c>
      <c r="EI772" s="156">
        <v>0.0</v>
      </c>
      <c r="EJ772" s="156">
        <v>0.0</v>
      </c>
      <c r="EK772" s="156">
        <v>0.0</v>
      </c>
      <c r="EL772" s="156">
        <v>0.0</v>
      </c>
      <c r="FQ772" s="156">
        <v>0.0</v>
      </c>
      <c r="FR772" s="156">
        <v>0.0</v>
      </c>
      <c r="FS772" s="156">
        <v>0.0</v>
      </c>
      <c r="FT772" s="156">
        <v>0.0</v>
      </c>
      <c r="FU772" s="156">
        <v>0.0</v>
      </c>
      <c r="FV772" s="156">
        <v>0.0</v>
      </c>
      <c r="FW772" s="157"/>
      <c r="FX772" s="157"/>
      <c r="FY772" s="157"/>
      <c r="FZ772" s="157"/>
      <c r="GA772" s="157"/>
      <c r="GB772" s="157"/>
      <c r="GC772" s="157"/>
      <c r="GD772" s="157"/>
      <c r="GE772" s="157"/>
      <c r="GF772" s="157"/>
      <c r="GG772" s="157"/>
      <c r="GH772" s="157"/>
      <c r="GI772" s="157"/>
      <c r="GJ772" s="157"/>
      <c r="GK772" s="157"/>
      <c r="GL772" s="157"/>
      <c r="GM772" s="157"/>
      <c r="GN772" s="157"/>
      <c r="GO772" s="157"/>
      <c r="GP772" s="158"/>
      <c r="GQ772" s="157"/>
      <c r="GR772" s="157"/>
      <c r="GS772" s="157"/>
      <c r="GT772" s="157"/>
      <c r="GU772" s="157"/>
      <c r="GV772" s="157"/>
      <c r="GW772" s="157"/>
      <c r="GX772" s="157"/>
      <c r="GY772" s="157"/>
      <c r="GZ772" s="157"/>
      <c r="HA772" s="157"/>
      <c r="HB772" s="155">
        <v>0.0</v>
      </c>
      <c r="HC772" s="155">
        <v>0.0</v>
      </c>
      <c r="HD772" s="155">
        <v>0.0</v>
      </c>
      <c r="HE772" s="155">
        <v>0.0</v>
      </c>
      <c r="HF772" s="155">
        <v>0.0</v>
      </c>
      <c r="HG772" s="155">
        <v>0.0</v>
      </c>
      <c r="IL772" s="159">
        <v>0.0</v>
      </c>
      <c r="IM772" s="156">
        <v>0.0</v>
      </c>
      <c r="IN772" s="156">
        <v>0.0</v>
      </c>
      <c r="IO772" s="156">
        <v>0.0</v>
      </c>
      <c r="IP772" s="156">
        <v>0.0</v>
      </c>
      <c r="IQ772" s="160">
        <v>0.0</v>
      </c>
      <c r="JH772" s="25"/>
      <c r="JW772" s="159">
        <v>0.0</v>
      </c>
      <c r="JX772" s="156">
        <v>0.0</v>
      </c>
      <c r="JY772" s="156">
        <v>0.0</v>
      </c>
      <c r="JZ772" s="156">
        <v>0.0</v>
      </c>
      <c r="KA772" s="156">
        <v>0.0</v>
      </c>
      <c r="KB772" s="160">
        <v>0.0</v>
      </c>
      <c r="LH772" s="159">
        <f t="shared" si="10"/>
        <v>0</v>
      </c>
      <c r="LI772" s="156">
        <f t="shared" si="11"/>
        <v>0</v>
      </c>
      <c r="LJ772" s="156">
        <f t="shared" si="12"/>
        <v>0</v>
      </c>
      <c r="LK772" s="156">
        <f t="shared" si="13"/>
        <v>0</v>
      </c>
      <c r="LL772" s="156">
        <f t="shared" si="14"/>
        <v>0</v>
      </c>
      <c r="LM772" s="160">
        <f t="shared" si="15"/>
        <v>0</v>
      </c>
      <c r="QX772" s="633"/>
    </row>
    <row r="773">
      <c r="A773" s="12"/>
      <c r="B773" s="12"/>
      <c r="C773" s="12"/>
      <c r="D773" s="12"/>
      <c r="E773" s="12"/>
      <c r="F773" s="12"/>
      <c r="G773" s="12"/>
      <c r="H773" s="12"/>
      <c r="I773" s="143">
        <f t="shared" si="22"/>
        <v>0</v>
      </c>
      <c r="J773" s="108"/>
      <c r="K773" s="203"/>
      <c r="L773" s="108"/>
      <c r="V773" s="161"/>
      <c r="X773" s="140"/>
      <c r="Y773" s="166">
        <f t="shared" si="23"/>
        <v>0</v>
      </c>
      <c r="Z773" s="26">
        <f t="shared" si="7"/>
        <v>0</v>
      </c>
      <c r="AA773" s="26">
        <f t="shared" si="8"/>
        <v>0</v>
      </c>
      <c r="AB773" s="26">
        <f t="shared" si="9"/>
        <v>0</v>
      </c>
      <c r="AC773" s="156">
        <v>0.0</v>
      </c>
      <c r="AD773" s="156">
        <v>0.0</v>
      </c>
      <c r="AE773" s="156">
        <v>0.0</v>
      </c>
      <c r="AF773" s="156">
        <v>0.0</v>
      </c>
      <c r="AG773" s="156">
        <v>0.0</v>
      </c>
      <c r="AH773" s="156">
        <v>0.0</v>
      </c>
      <c r="BN773" s="155">
        <v>0.0</v>
      </c>
      <c r="BO773" s="155">
        <v>0.0</v>
      </c>
      <c r="BP773" s="155">
        <v>0.0</v>
      </c>
      <c r="BQ773" s="155">
        <v>0.0</v>
      </c>
      <c r="BR773" s="155">
        <v>0.0</v>
      </c>
      <c r="BS773" s="155">
        <v>0.0</v>
      </c>
      <c r="CV773" s="156">
        <v>0.0</v>
      </c>
      <c r="CW773" s="156">
        <v>0.0</v>
      </c>
      <c r="CX773" s="156">
        <v>0.0</v>
      </c>
      <c r="CY773" s="156">
        <v>0.0</v>
      </c>
      <c r="CZ773" s="156">
        <v>0.0</v>
      </c>
      <c r="DA773" s="156">
        <v>0.0</v>
      </c>
      <c r="EG773" s="156">
        <v>0.0</v>
      </c>
      <c r="EH773" s="156">
        <v>0.0</v>
      </c>
      <c r="EI773" s="156">
        <v>0.0</v>
      </c>
      <c r="EJ773" s="156">
        <v>0.0</v>
      </c>
      <c r="EK773" s="156">
        <v>0.0</v>
      </c>
      <c r="EL773" s="156">
        <v>0.0</v>
      </c>
      <c r="FQ773" s="156">
        <v>0.0</v>
      </c>
      <c r="FR773" s="156">
        <v>0.0</v>
      </c>
      <c r="FS773" s="156">
        <v>0.0</v>
      </c>
      <c r="FT773" s="156">
        <v>0.0</v>
      </c>
      <c r="FU773" s="156">
        <v>0.0</v>
      </c>
      <c r="FV773" s="156">
        <v>0.0</v>
      </c>
      <c r="FW773" s="157"/>
      <c r="FX773" s="157"/>
      <c r="FY773" s="157"/>
      <c r="FZ773" s="157"/>
      <c r="GA773" s="157"/>
      <c r="GB773" s="157"/>
      <c r="GC773" s="157"/>
      <c r="GD773" s="157"/>
      <c r="GE773" s="157"/>
      <c r="GF773" s="157"/>
      <c r="GG773" s="157"/>
      <c r="GH773" s="157"/>
      <c r="GI773" s="157"/>
      <c r="GJ773" s="157"/>
      <c r="GK773" s="157"/>
      <c r="GL773" s="157"/>
      <c r="GM773" s="157"/>
      <c r="GN773" s="157"/>
      <c r="GO773" s="157"/>
      <c r="GP773" s="158"/>
      <c r="GQ773" s="157"/>
      <c r="GR773" s="157"/>
      <c r="GS773" s="157"/>
      <c r="GT773" s="157"/>
      <c r="GU773" s="157"/>
      <c r="GV773" s="157"/>
      <c r="GW773" s="157"/>
      <c r="GX773" s="157"/>
      <c r="GY773" s="157"/>
      <c r="GZ773" s="157"/>
      <c r="HA773" s="157"/>
      <c r="HB773" s="155">
        <v>0.0</v>
      </c>
      <c r="HC773" s="155">
        <v>0.0</v>
      </c>
      <c r="HD773" s="155">
        <v>0.0</v>
      </c>
      <c r="HE773" s="155">
        <v>0.0</v>
      </c>
      <c r="HF773" s="155">
        <v>0.0</v>
      </c>
      <c r="HG773" s="155">
        <v>0.0</v>
      </c>
      <c r="IL773" s="159">
        <v>0.0</v>
      </c>
      <c r="IM773" s="156">
        <v>0.0</v>
      </c>
      <c r="IN773" s="156">
        <v>0.0</v>
      </c>
      <c r="IO773" s="156">
        <v>0.0</v>
      </c>
      <c r="IP773" s="156">
        <v>0.0</v>
      </c>
      <c r="IQ773" s="160">
        <v>0.0</v>
      </c>
      <c r="JH773" s="25"/>
      <c r="JW773" s="159">
        <v>0.0</v>
      </c>
      <c r="JX773" s="156">
        <v>0.0</v>
      </c>
      <c r="JY773" s="156">
        <v>0.0</v>
      </c>
      <c r="JZ773" s="156">
        <v>0.0</v>
      </c>
      <c r="KA773" s="156">
        <v>0.0</v>
      </c>
      <c r="KB773" s="160">
        <v>0.0</v>
      </c>
      <c r="LH773" s="159">
        <f t="shared" si="10"/>
        <v>0</v>
      </c>
      <c r="LI773" s="156">
        <f t="shared" si="11"/>
        <v>0</v>
      </c>
      <c r="LJ773" s="156">
        <f t="shared" si="12"/>
        <v>0</v>
      </c>
      <c r="LK773" s="156">
        <f t="shared" si="13"/>
        <v>0</v>
      </c>
      <c r="LL773" s="156">
        <f t="shared" si="14"/>
        <v>0</v>
      </c>
      <c r="LM773" s="160">
        <f t="shared" si="15"/>
        <v>0</v>
      </c>
      <c r="QX773" s="633"/>
    </row>
    <row r="774">
      <c r="A774" s="12"/>
      <c r="B774" s="12"/>
      <c r="C774" s="12"/>
      <c r="D774" s="12"/>
      <c r="E774" s="12"/>
      <c r="F774" s="12"/>
      <c r="G774" s="12"/>
      <c r="H774" s="12"/>
      <c r="I774" s="143">
        <f t="shared" si="22"/>
        <v>0</v>
      </c>
      <c r="J774" s="108"/>
      <c r="K774" s="203"/>
      <c r="L774" s="108"/>
      <c r="V774" s="161"/>
      <c r="X774" s="140"/>
      <c r="Y774" s="166">
        <f t="shared" si="23"/>
        <v>0</v>
      </c>
      <c r="Z774" s="26">
        <f t="shared" si="7"/>
        <v>0</v>
      </c>
      <c r="AA774" s="26">
        <f t="shared" si="8"/>
        <v>0</v>
      </c>
      <c r="AB774" s="26">
        <f t="shared" si="9"/>
        <v>0</v>
      </c>
      <c r="AC774" s="156">
        <v>0.0</v>
      </c>
      <c r="AD774" s="156">
        <v>0.0</v>
      </c>
      <c r="AE774" s="156">
        <v>0.0</v>
      </c>
      <c r="AF774" s="156">
        <v>0.0</v>
      </c>
      <c r="AG774" s="156">
        <v>0.0</v>
      </c>
      <c r="AH774" s="156">
        <v>0.0</v>
      </c>
      <c r="BN774" s="155">
        <v>0.0</v>
      </c>
      <c r="BO774" s="155">
        <v>0.0</v>
      </c>
      <c r="BP774" s="155">
        <v>0.0</v>
      </c>
      <c r="BQ774" s="155">
        <v>0.0</v>
      </c>
      <c r="BR774" s="155">
        <v>0.0</v>
      </c>
      <c r="BS774" s="155">
        <v>0.0</v>
      </c>
      <c r="CV774" s="156">
        <v>0.0</v>
      </c>
      <c r="CW774" s="156">
        <v>0.0</v>
      </c>
      <c r="CX774" s="156">
        <v>0.0</v>
      </c>
      <c r="CY774" s="156">
        <v>0.0</v>
      </c>
      <c r="CZ774" s="156">
        <v>0.0</v>
      </c>
      <c r="DA774" s="156">
        <v>0.0</v>
      </c>
      <c r="EG774" s="156">
        <v>0.0</v>
      </c>
      <c r="EH774" s="156">
        <v>0.0</v>
      </c>
      <c r="EI774" s="156">
        <v>0.0</v>
      </c>
      <c r="EJ774" s="156">
        <v>0.0</v>
      </c>
      <c r="EK774" s="156">
        <v>0.0</v>
      </c>
      <c r="EL774" s="156">
        <v>0.0</v>
      </c>
      <c r="FQ774" s="156">
        <v>0.0</v>
      </c>
      <c r="FR774" s="156">
        <v>0.0</v>
      </c>
      <c r="FS774" s="156">
        <v>0.0</v>
      </c>
      <c r="FT774" s="156">
        <v>0.0</v>
      </c>
      <c r="FU774" s="156">
        <v>0.0</v>
      </c>
      <c r="FV774" s="156">
        <v>0.0</v>
      </c>
      <c r="FW774" s="157"/>
      <c r="FX774" s="157"/>
      <c r="FY774" s="157"/>
      <c r="FZ774" s="157"/>
      <c r="GA774" s="157"/>
      <c r="GB774" s="157"/>
      <c r="GC774" s="157"/>
      <c r="GD774" s="157"/>
      <c r="GE774" s="157"/>
      <c r="GF774" s="157"/>
      <c r="GG774" s="157"/>
      <c r="GH774" s="157"/>
      <c r="GI774" s="157"/>
      <c r="GJ774" s="157"/>
      <c r="GK774" s="157"/>
      <c r="GL774" s="157"/>
      <c r="GM774" s="157"/>
      <c r="GN774" s="157"/>
      <c r="GO774" s="157"/>
      <c r="GP774" s="158"/>
      <c r="GQ774" s="157"/>
      <c r="GR774" s="157"/>
      <c r="GS774" s="157"/>
      <c r="GT774" s="157"/>
      <c r="GU774" s="157"/>
      <c r="GV774" s="157"/>
      <c r="GW774" s="157"/>
      <c r="GX774" s="157"/>
      <c r="GY774" s="157"/>
      <c r="GZ774" s="157"/>
      <c r="HA774" s="157"/>
      <c r="HB774" s="155">
        <v>0.0</v>
      </c>
      <c r="HC774" s="155">
        <v>0.0</v>
      </c>
      <c r="HD774" s="155">
        <v>0.0</v>
      </c>
      <c r="HE774" s="155">
        <v>0.0</v>
      </c>
      <c r="HF774" s="155">
        <v>0.0</v>
      </c>
      <c r="HG774" s="155">
        <v>0.0</v>
      </c>
      <c r="IL774" s="159">
        <v>0.0</v>
      </c>
      <c r="IM774" s="156">
        <v>0.0</v>
      </c>
      <c r="IN774" s="156">
        <v>0.0</v>
      </c>
      <c r="IO774" s="156">
        <v>0.0</v>
      </c>
      <c r="IP774" s="156">
        <v>0.0</v>
      </c>
      <c r="IQ774" s="160">
        <v>0.0</v>
      </c>
      <c r="JH774" s="25"/>
      <c r="JW774" s="159">
        <v>0.0</v>
      </c>
      <c r="JX774" s="156">
        <v>0.0</v>
      </c>
      <c r="JY774" s="156">
        <v>0.0</v>
      </c>
      <c r="JZ774" s="156">
        <v>0.0</v>
      </c>
      <c r="KA774" s="156">
        <v>0.0</v>
      </c>
      <c r="KB774" s="160">
        <v>0.0</v>
      </c>
      <c r="LH774" s="159">
        <f t="shared" si="10"/>
        <v>0</v>
      </c>
      <c r="LI774" s="156">
        <f t="shared" si="11"/>
        <v>0</v>
      </c>
      <c r="LJ774" s="156">
        <f t="shared" si="12"/>
        <v>0</v>
      </c>
      <c r="LK774" s="156">
        <f t="shared" si="13"/>
        <v>0</v>
      </c>
      <c r="LL774" s="156">
        <f t="shared" si="14"/>
        <v>0</v>
      </c>
      <c r="LM774" s="160">
        <f t="shared" si="15"/>
        <v>0</v>
      </c>
      <c r="QX774" s="633"/>
    </row>
    <row r="775">
      <c r="A775" s="12"/>
      <c r="B775" s="12"/>
      <c r="C775" s="12"/>
      <c r="D775" s="12"/>
      <c r="E775" s="12"/>
      <c r="F775" s="12"/>
      <c r="G775" s="12"/>
      <c r="H775" s="12"/>
      <c r="I775" s="143">
        <f t="shared" si="22"/>
        <v>0</v>
      </c>
      <c r="J775" s="108"/>
      <c r="K775" s="203"/>
      <c r="L775" s="108"/>
      <c r="V775" s="161"/>
      <c r="X775" s="140"/>
      <c r="Y775" s="166">
        <f t="shared" si="23"/>
        <v>0</v>
      </c>
      <c r="Z775" s="26">
        <f t="shared" si="7"/>
        <v>0</v>
      </c>
      <c r="AA775" s="26">
        <f t="shared" si="8"/>
        <v>0</v>
      </c>
      <c r="AB775" s="26">
        <f t="shared" si="9"/>
        <v>0</v>
      </c>
      <c r="AC775" s="156">
        <v>0.0</v>
      </c>
      <c r="AD775" s="156">
        <v>0.0</v>
      </c>
      <c r="AE775" s="156">
        <v>0.0</v>
      </c>
      <c r="AF775" s="156">
        <v>0.0</v>
      </c>
      <c r="AG775" s="156">
        <v>0.0</v>
      </c>
      <c r="AH775" s="156">
        <v>0.0</v>
      </c>
      <c r="BN775" s="155">
        <v>0.0</v>
      </c>
      <c r="BO775" s="155">
        <v>0.0</v>
      </c>
      <c r="BP775" s="155">
        <v>0.0</v>
      </c>
      <c r="BQ775" s="155">
        <v>0.0</v>
      </c>
      <c r="BR775" s="155">
        <v>0.0</v>
      </c>
      <c r="BS775" s="155">
        <v>0.0</v>
      </c>
      <c r="CV775" s="156">
        <v>0.0</v>
      </c>
      <c r="CW775" s="156">
        <v>0.0</v>
      </c>
      <c r="CX775" s="156">
        <v>0.0</v>
      </c>
      <c r="CY775" s="156">
        <v>0.0</v>
      </c>
      <c r="CZ775" s="156">
        <v>0.0</v>
      </c>
      <c r="DA775" s="156">
        <v>0.0</v>
      </c>
      <c r="EG775" s="156">
        <v>0.0</v>
      </c>
      <c r="EH775" s="156">
        <v>0.0</v>
      </c>
      <c r="EI775" s="156">
        <v>0.0</v>
      </c>
      <c r="EJ775" s="156">
        <v>0.0</v>
      </c>
      <c r="EK775" s="156">
        <v>0.0</v>
      </c>
      <c r="EL775" s="156">
        <v>0.0</v>
      </c>
      <c r="FQ775" s="156">
        <v>0.0</v>
      </c>
      <c r="FR775" s="156">
        <v>0.0</v>
      </c>
      <c r="FS775" s="156">
        <v>0.0</v>
      </c>
      <c r="FT775" s="156">
        <v>0.0</v>
      </c>
      <c r="FU775" s="156">
        <v>0.0</v>
      </c>
      <c r="FV775" s="156">
        <v>0.0</v>
      </c>
      <c r="FW775" s="157"/>
      <c r="FX775" s="157"/>
      <c r="FY775" s="157"/>
      <c r="FZ775" s="157"/>
      <c r="GA775" s="157"/>
      <c r="GB775" s="157"/>
      <c r="GC775" s="157"/>
      <c r="GD775" s="157"/>
      <c r="GE775" s="157"/>
      <c r="GF775" s="157"/>
      <c r="GG775" s="157"/>
      <c r="GH775" s="157"/>
      <c r="GI775" s="157"/>
      <c r="GJ775" s="157"/>
      <c r="GK775" s="157"/>
      <c r="GL775" s="157"/>
      <c r="GM775" s="157"/>
      <c r="GN775" s="157"/>
      <c r="GO775" s="157"/>
      <c r="GP775" s="158"/>
      <c r="GQ775" s="157"/>
      <c r="GR775" s="157"/>
      <c r="GS775" s="157"/>
      <c r="GT775" s="157"/>
      <c r="GU775" s="157"/>
      <c r="GV775" s="157"/>
      <c r="GW775" s="157"/>
      <c r="GX775" s="157"/>
      <c r="GY775" s="157"/>
      <c r="GZ775" s="157"/>
      <c r="HA775" s="157"/>
      <c r="HB775" s="155">
        <v>0.0</v>
      </c>
      <c r="HC775" s="155">
        <v>0.0</v>
      </c>
      <c r="HD775" s="155">
        <v>0.0</v>
      </c>
      <c r="HE775" s="155">
        <v>0.0</v>
      </c>
      <c r="HF775" s="155">
        <v>0.0</v>
      </c>
      <c r="HG775" s="155">
        <v>0.0</v>
      </c>
      <c r="IL775" s="159">
        <v>0.0</v>
      </c>
      <c r="IM775" s="156">
        <v>0.0</v>
      </c>
      <c r="IN775" s="156">
        <v>0.0</v>
      </c>
      <c r="IO775" s="156">
        <v>0.0</v>
      </c>
      <c r="IP775" s="156">
        <v>0.0</v>
      </c>
      <c r="IQ775" s="160">
        <v>0.0</v>
      </c>
      <c r="JH775" s="25"/>
      <c r="JW775" s="159">
        <v>0.0</v>
      </c>
      <c r="JX775" s="156">
        <v>0.0</v>
      </c>
      <c r="JY775" s="156">
        <v>0.0</v>
      </c>
      <c r="JZ775" s="156">
        <v>0.0</v>
      </c>
      <c r="KA775" s="156">
        <v>0.0</v>
      </c>
      <c r="KB775" s="160">
        <v>0.0</v>
      </c>
      <c r="LH775" s="159">
        <f t="shared" si="10"/>
        <v>0</v>
      </c>
      <c r="LI775" s="156">
        <f t="shared" si="11"/>
        <v>0</v>
      </c>
      <c r="LJ775" s="156">
        <f t="shared" si="12"/>
        <v>0</v>
      </c>
      <c r="LK775" s="156">
        <f t="shared" si="13"/>
        <v>0</v>
      </c>
      <c r="LL775" s="156">
        <f t="shared" si="14"/>
        <v>0</v>
      </c>
      <c r="LM775" s="160">
        <f t="shared" si="15"/>
        <v>0</v>
      </c>
      <c r="QX775" s="633"/>
    </row>
    <row r="776">
      <c r="A776" s="12"/>
      <c r="B776" s="12"/>
      <c r="C776" s="12"/>
      <c r="D776" s="12"/>
      <c r="E776" s="12"/>
      <c r="F776" s="12"/>
      <c r="G776" s="12"/>
      <c r="H776" s="12"/>
      <c r="I776" s="143">
        <f t="shared" si="22"/>
        <v>0</v>
      </c>
      <c r="J776" s="108"/>
      <c r="K776" s="203"/>
      <c r="L776" s="108"/>
      <c r="V776" s="161"/>
      <c r="X776" s="140"/>
      <c r="Y776" s="166">
        <f t="shared" si="23"/>
        <v>0</v>
      </c>
      <c r="Z776" s="26">
        <f t="shared" si="7"/>
        <v>0</v>
      </c>
      <c r="AA776" s="26">
        <f t="shared" si="8"/>
        <v>0</v>
      </c>
      <c r="AB776" s="26">
        <f t="shared" si="9"/>
        <v>0</v>
      </c>
      <c r="AC776" s="156">
        <v>0.0</v>
      </c>
      <c r="AD776" s="156">
        <v>0.0</v>
      </c>
      <c r="AE776" s="156">
        <v>0.0</v>
      </c>
      <c r="AF776" s="156">
        <v>0.0</v>
      </c>
      <c r="AG776" s="156">
        <v>0.0</v>
      </c>
      <c r="AH776" s="156">
        <v>0.0</v>
      </c>
      <c r="BN776" s="155">
        <v>0.0</v>
      </c>
      <c r="BO776" s="155">
        <v>0.0</v>
      </c>
      <c r="BP776" s="155">
        <v>0.0</v>
      </c>
      <c r="BQ776" s="155">
        <v>0.0</v>
      </c>
      <c r="BR776" s="155">
        <v>0.0</v>
      </c>
      <c r="BS776" s="155">
        <v>0.0</v>
      </c>
      <c r="CV776" s="156">
        <v>0.0</v>
      </c>
      <c r="CW776" s="156">
        <v>0.0</v>
      </c>
      <c r="CX776" s="156">
        <v>0.0</v>
      </c>
      <c r="CY776" s="156">
        <v>0.0</v>
      </c>
      <c r="CZ776" s="156">
        <v>0.0</v>
      </c>
      <c r="DA776" s="156">
        <v>0.0</v>
      </c>
      <c r="EG776" s="156">
        <v>0.0</v>
      </c>
      <c r="EH776" s="156">
        <v>0.0</v>
      </c>
      <c r="EI776" s="156">
        <v>0.0</v>
      </c>
      <c r="EJ776" s="156">
        <v>0.0</v>
      </c>
      <c r="EK776" s="156">
        <v>0.0</v>
      </c>
      <c r="EL776" s="156">
        <v>0.0</v>
      </c>
      <c r="FQ776" s="156">
        <v>0.0</v>
      </c>
      <c r="FR776" s="156">
        <v>0.0</v>
      </c>
      <c r="FS776" s="156">
        <v>0.0</v>
      </c>
      <c r="FT776" s="156">
        <v>0.0</v>
      </c>
      <c r="FU776" s="156">
        <v>0.0</v>
      </c>
      <c r="FV776" s="156">
        <v>0.0</v>
      </c>
      <c r="FW776" s="157"/>
      <c r="FX776" s="157"/>
      <c r="FY776" s="157"/>
      <c r="FZ776" s="157"/>
      <c r="GA776" s="157"/>
      <c r="GB776" s="157"/>
      <c r="GC776" s="157"/>
      <c r="GD776" s="157"/>
      <c r="GE776" s="157"/>
      <c r="GF776" s="157"/>
      <c r="GG776" s="157"/>
      <c r="GH776" s="157"/>
      <c r="GI776" s="157"/>
      <c r="GJ776" s="157"/>
      <c r="GK776" s="157"/>
      <c r="GL776" s="157"/>
      <c r="GM776" s="157"/>
      <c r="GN776" s="157"/>
      <c r="GO776" s="157"/>
      <c r="GP776" s="158"/>
      <c r="GQ776" s="157"/>
      <c r="GR776" s="157"/>
      <c r="GS776" s="157"/>
      <c r="GT776" s="157"/>
      <c r="GU776" s="157"/>
      <c r="GV776" s="157"/>
      <c r="GW776" s="157"/>
      <c r="GX776" s="157"/>
      <c r="GY776" s="157"/>
      <c r="GZ776" s="157"/>
      <c r="HA776" s="157"/>
      <c r="HB776" s="155">
        <v>0.0</v>
      </c>
      <c r="HC776" s="155">
        <v>0.0</v>
      </c>
      <c r="HD776" s="155">
        <v>0.0</v>
      </c>
      <c r="HE776" s="155">
        <v>0.0</v>
      </c>
      <c r="HF776" s="155">
        <v>0.0</v>
      </c>
      <c r="HG776" s="155">
        <v>0.0</v>
      </c>
      <c r="IL776" s="159">
        <v>0.0</v>
      </c>
      <c r="IM776" s="156">
        <v>0.0</v>
      </c>
      <c r="IN776" s="156">
        <v>0.0</v>
      </c>
      <c r="IO776" s="156">
        <v>0.0</v>
      </c>
      <c r="IP776" s="156">
        <v>0.0</v>
      </c>
      <c r="IQ776" s="160">
        <v>0.0</v>
      </c>
      <c r="JH776" s="25"/>
      <c r="JW776" s="159">
        <v>0.0</v>
      </c>
      <c r="JX776" s="156">
        <v>0.0</v>
      </c>
      <c r="JY776" s="156">
        <v>0.0</v>
      </c>
      <c r="JZ776" s="156">
        <v>0.0</v>
      </c>
      <c r="KA776" s="156">
        <v>0.0</v>
      </c>
      <c r="KB776" s="160">
        <v>0.0</v>
      </c>
      <c r="LH776" s="159">
        <f t="shared" si="10"/>
        <v>0</v>
      </c>
      <c r="LI776" s="156">
        <f t="shared" si="11"/>
        <v>0</v>
      </c>
      <c r="LJ776" s="156">
        <f t="shared" si="12"/>
        <v>0</v>
      </c>
      <c r="LK776" s="156">
        <f t="shared" si="13"/>
        <v>0</v>
      </c>
      <c r="LL776" s="156">
        <f t="shared" si="14"/>
        <v>0</v>
      </c>
      <c r="LM776" s="160">
        <f t="shared" si="15"/>
        <v>0</v>
      </c>
      <c r="QX776" s="633"/>
    </row>
    <row r="777">
      <c r="A777" s="12"/>
      <c r="B777" s="12"/>
      <c r="C777" s="12"/>
      <c r="D777" s="12"/>
      <c r="E777" s="12"/>
      <c r="F777" s="12"/>
      <c r="G777" s="12"/>
      <c r="H777" s="12"/>
      <c r="I777" s="143">
        <f t="shared" si="22"/>
        <v>0</v>
      </c>
      <c r="J777" s="108"/>
      <c r="K777" s="203"/>
      <c r="L777" s="108"/>
      <c r="V777" s="161"/>
      <c r="X777" s="140"/>
      <c r="Y777" s="166">
        <f t="shared" si="23"/>
        <v>0</v>
      </c>
      <c r="Z777" s="26">
        <f t="shared" si="7"/>
        <v>0</v>
      </c>
      <c r="AA777" s="26">
        <f t="shared" si="8"/>
        <v>0</v>
      </c>
      <c r="AB777" s="26">
        <f t="shared" si="9"/>
        <v>0</v>
      </c>
      <c r="AC777" s="156">
        <v>0.0</v>
      </c>
      <c r="AD777" s="156">
        <v>0.0</v>
      </c>
      <c r="AE777" s="156">
        <v>0.0</v>
      </c>
      <c r="AF777" s="156">
        <v>0.0</v>
      </c>
      <c r="AG777" s="156">
        <v>0.0</v>
      </c>
      <c r="AH777" s="156">
        <v>0.0</v>
      </c>
      <c r="BN777" s="155">
        <v>0.0</v>
      </c>
      <c r="BO777" s="155">
        <v>0.0</v>
      </c>
      <c r="BP777" s="155">
        <v>0.0</v>
      </c>
      <c r="BQ777" s="155">
        <v>0.0</v>
      </c>
      <c r="BR777" s="155">
        <v>0.0</v>
      </c>
      <c r="BS777" s="155">
        <v>0.0</v>
      </c>
      <c r="CV777" s="156">
        <v>0.0</v>
      </c>
      <c r="CW777" s="156">
        <v>0.0</v>
      </c>
      <c r="CX777" s="156">
        <v>0.0</v>
      </c>
      <c r="CY777" s="156">
        <v>0.0</v>
      </c>
      <c r="CZ777" s="156">
        <v>0.0</v>
      </c>
      <c r="DA777" s="156">
        <v>0.0</v>
      </c>
      <c r="EG777" s="156">
        <v>0.0</v>
      </c>
      <c r="EH777" s="156">
        <v>0.0</v>
      </c>
      <c r="EI777" s="156">
        <v>0.0</v>
      </c>
      <c r="EJ777" s="156">
        <v>0.0</v>
      </c>
      <c r="EK777" s="156">
        <v>0.0</v>
      </c>
      <c r="EL777" s="156">
        <v>0.0</v>
      </c>
      <c r="FQ777" s="156">
        <v>0.0</v>
      </c>
      <c r="FR777" s="156">
        <v>0.0</v>
      </c>
      <c r="FS777" s="156">
        <v>0.0</v>
      </c>
      <c r="FT777" s="156">
        <v>0.0</v>
      </c>
      <c r="FU777" s="156">
        <v>0.0</v>
      </c>
      <c r="FV777" s="156">
        <v>0.0</v>
      </c>
      <c r="FW777" s="157"/>
      <c r="FX777" s="157"/>
      <c r="FY777" s="157"/>
      <c r="FZ777" s="157"/>
      <c r="GA777" s="157"/>
      <c r="GB777" s="157"/>
      <c r="GC777" s="157"/>
      <c r="GD777" s="157"/>
      <c r="GE777" s="157"/>
      <c r="GF777" s="157"/>
      <c r="GG777" s="157"/>
      <c r="GH777" s="157"/>
      <c r="GI777" s="157"/>
      <c r="GJ777" s="157"/>
      <c r="GK777" s="157"/>
      <c r="GL777" s="157"/>
      <c r="GM777" s="157"/>
      <c r="GN777" s="157"/>
      <c r="GO777" s="157"/>
      <c r="GP777" s="158"/>
      <c r="GQ777" s="157"/>
      <c r="GR777" s="157"/>
      <c r="GS777" s="157"/>
      <c r="GT777" s="157"/>
      <c r="GU777" s="157"/>
      <c r="GV777" s="157"/>
      <c r="GW777" s="157"/>
      <c r="GX777" s="157"/>
      <c r="GY777" s="157"/>
      <c r="GZ777" s="157"/>
      <c r="HA777" s="157"/>
      <c r="HB777" s="155">
        <v>0.0</v>
      </c>
      <c r="HC777" s="155">
        <v>0.0</v>
      </c>
      <c r="HD777" s="155">
        <v>0.0</v>
      </c>
      <c r="HE777" s="155">
        <v>0.0</v>
      </c>
      <c r="HF777" s="155">
        <v>0.0</v>
      </c>
      <c r="HG777" s="155">
        <v>0.0</v>
      </c>
      <c r="IL777" s="159">
        <v>0.0</v>
      </c>
      <c r="IM777" s="156">
        <v>0.0</v>
      </c>
      <c r="IN777" s="156">
        <v>0.0</v>
      </c>
      <c r="IO777" s="156">
        <v>0.0</v>
      </c>
      <c r="IP777" s="156">
        <v>0.0</v>
      </c>
      <c r="IQ777" s="160">
        <v>0.0</v>
      </c>
      <c r="JH777" s="25"/>
      <c r="JW777" s="159">
        <v>0.0</v>
      </c>
      <c r="JX777" s="156">
        <v>0.0</v>
      </c>
      <c r="JY777" s="156">
        <v>0.0</v>
      </c>
      <c r="JZ777" s="156">
        <v>0.0</v>
      </c>
      <c r="KA777" s="156">
        <v>0.0</v>
      </c>
      <c r="KB777" s="160">
        <v>0.0</v>
      </c>
      <c r="LH777" s="159">
        <f t="shared" si="10"/>
        <v>0</v>
      </c>
      <c r="LI777" s="156">
        <f t="shared" si="11"/>
        <v>0</v>
      </c>
      <c r="LJ777" s="156">
        <f t="shared" si="12"/>
        <v>0</v>
      </c>
      <c r="LK777" s="156">
        <f t="shared" si="13"/>
        <v>0</v>
      </c>
      <c r="LL777" s="156">
        <f t="shared" si="14"/>
        <v>0</v>
      </c>
      <c r="LM777" s="160">
        <f t="shared" si="15"/>
        <v>0</v>
      </c>
      <c r="QX777" s="633"/>
    </row>
    <row r="778">
      <c r="A778" s="12"/>
      <c r="B778" s="12"/>
      <c r="C778" s="12"/>
      <c r="D778" s="12"/>
      <c r="E778" s="12"/>
      <c r="F778" s="12"/>
      <c r="G778" s="12"/>
      <c r="H778" s="12"/>
      <c r="I778" s="143">
        <f t="shared" si="22"/>
        <v>0</v>
      </c>
      <c r="J778" s="108"/>
      <c r="K778" s="203"/>
      <c r="L778" s="108"/>
      <c r="V778" s="161"/>
      <c r="X778" s="140"/>
      <c r="Y778" s="166">
        <f t="shared" si="23"/>
        <v>0</v>
      </c>
      <c r="Z778" s="26">
        <f t="shared" si="7"/>
        <v>0</v>
      </c>
      <c r="AA778" s="26">
        <f t="shared" si="8"/>
        <v>0</v>
      </c>
      <c r="AB778" s="26">
        <f t="shared" si="9"/>
        <v>0</v>
      </c>
      <c r="AC778" s="156">
        <v>0.0</v>
      </c>
      <c r="AD778" s="156">
        <v>0.0</v>
      </c>
      <c r="AE778" s="156">
        <v>0.0</v>
      </c>
      <c r="AF778" s="156">
        <v>0.0</v>
      </c>
      <c r="AG778" s="156">
        <v>0.0</v>
      </c>
      <c r="AH778" s="156">
        <v>0.0</v>
      </c>
      <c r="BN778" s="155">
        <v>0.0</v>
      </c>
      <c r="BO778" s="155">
        <v>0.0</v>
      </c>
      <c r="BP778" s="155">
        <v>0.0</v>
      </c>
      <c r="BQ778" s="155">
        <v>0.0</v>
      </c>
      <c r="BR778" s="155">
        <v>0.0</v>
      </c>
      <c r="BS778" s="155">
        <v>0.0</v>
      </c>
      <c r="CV778" s="156">
        <v>0.0</v>
      </c>
      <c r="CW778" s="156">
        <v>0.0</v>
      </c>
      <c r="CX778" s="156">
        <v>0.0</v>
      </c>
      <c r="CY778" s="156">
        <v>0.0</v>
      </c>
      <c r="CZ778" s="156">
        <v>0.0</v>
      </c>
      <c r="DA778" s="156">
        <v>0.0</v>
      </c>
      <c r="EG778" s="156">
        <v>0.0</v>
      </c>
      <c r="EH778" s="156">
        <v>0.0</v>
      </c>
      <c r="EI778" s="156">
        <v>0.0</v>
      </c>
      <c r="EJ778" s="156">
        <v>0.0</v>
      </c>
      <c r="EK778" s="156">
        <v>0.0</v>
      </c>
      <c r="EL778" s="156">
        <v>0.0</v>
      </c>
      <c r="FQ778" s="156">
        <v>0.0</v>
      </c>
      <c r="FR778" s="156">
        <v>0.0</v>
      </c>
      <c r="FS778" s="156">
        <v>0.0</v>
      </c>
      <c r="FT778" s="156">
        <v>0.0</v>
      </c>
      <c r="FU778" s="156">
        <v>0.0</v>
      </c>
      <c r="FV778" s="156">
        <v>0.0</v>
      </c>
      <c r="FW778" s="157"/>
      <c r="FX778" s="157"/>
      <c r="FY778" s="157"/>
      <c r="FZ778" s="157"/>
      <c r="GA778" s="157"/>
      <c r="GB778" s="157"/>
      <c r="GC778" s="157"/>
      <c r="GD778" s="157"/>
      <c r="GE778" s="157"/>
      <c r="GF778" s="157"/>
      <c r="GG778" s="157"/>
      <c r="GH778" s="157"/>
      <c r="GI778" s="157"/>
      <c r="GJ778" s="157"/>
      <c r="GK778" s="157"/>
      <c r="GL778" s="157"/>
      <c r="GM778" s="157"/>
      <c r="GN778" s="157"/>
      <c r="GO778" s="157"/>
      <c r="GP778" s="158"/>
      <c r="GQ778" s="157"/>
      <c r="GR778" s="157"/>
      <c r="GS778" s="157"/>
      <c r="GT778" s="157"/>
      <c r="GU778" s="157"/>
      <c r="GV778" s="157"/>
      <c r="GW778" s="157"/>
      <c r="GX778" s="157"/>
      <c r="GY778" s="157"/>
      <c r="GZ778" s="157"/>
      <c r="HA778" s="157"/>
      <c r="HB778" s="155">
        <v>0.0</v>
      </c>
      <c r="HC778" s="155">
        <v>0.0</v>
      </c>
      <c r="HD778" s="155">
        <v>0.0</v>
      </c>
      <c r="HE778" s="155">
        <v>0.0</v>
      </c>
      <c r="HF778" s="155">
        <v>0.0</v>
      </c>
      <c r="HG778" s="155">
        <v>0.0</v>
      </c>
      <c r="IL778" s="159">
        <v>0.0</v>
      </c>
      <c r="IM778" s="156">
        <v>0.0</v>
      </c>
      <c r="IN778" s="156">
        <v>0.0</v>
      </c>
      <c r="IO778" s="156">
        <v>0.0</v>
      </c>
      <c r="IP778" s="156">
        <v>0.0</v>
      </c>
      <c r="IQ778" s="160">
        <v>0.0</v>
      </c>
      <c r="JH778" s="25"/>
      <c r="JW778" s="159">
        <v>0.0</v>
      </c>
      <c r="JX778" s="156">
        <v>0.0</v>
      </c>
      <c r="JY778" s="156">
        <v>0.0</v>
      </c>
      <c r="JZ778" s="156">
        <v>0.0</v>
      </c>
      <c r="KA778" s="156">
        <v>0.0</v>
      </c>
      <c r="KB778" s="160">
        <v>0.0</v>
      </c>
      <c r="LH778" s="159">
        <f t="shared" si="10"/>
        <v>0</v>
      </c>
      <c r="LI778" s="156">
        <f t="shared" si="11"/>
        <v>0</v>
      </c>
      <c r="LJ778" s="156">
        <f t="shared" si="12"/>
        <v>0</v>
      </c>
      <c r="LK778" s="156">
        <f t="shared" si="13"/>
        <v>0</v>
      </c>
      <c r="LL778" s="156">
        <f t="shared" si="14"/>
        <v>0</v>
      </c>
      <c r="LM778" s="160">
        <f t="shared" si="15"/>
        <v>0</v>
      </c>
      <c r="QX778" s="633"/>
    </row>
    <row r="779">
      <c r="A779" s="12"/>
      <c r="B779" s="12"/>
      <c r="C779" s="12"/>
      <c r="D779" s="12"/>
      <c r="E779" s="12"/>
      <c r="F779" s="12"/>
      <c r="G779" s="12"/>
      <c r="H779" s="12"/>
      <c r="I779" s="143">
        <f t="shared" si="22"/>
        <v>0</v>
      </c>
      <c r="J779" s="108"/>
      <c r="K779" s="203"/>
      <c r="L779" s="108"/>
      <c r="V779" s="161"/>
      <c r="X779" s="140"/>
      <c r="Y779" s="166">
        <f t="shared" si="23"/>
        <v>0</v>
      </c>
      <c r="Z779" s="26">
        <f t="shared" si="7"/>
        <v>0</v>
      </c>
      <c r="AA779" s="26">
        <f t="shared" si="8"/>
        <v>0</v>
      </c>
      <c r="AB779" s="26">
        <f t="shared" si="9"/>
        <v>0</v>
      </c>
      <c r="AC779" s="156">
        <v>0.0</v>
      </c>
      <c r="AD779" s="156">
        <v>0.0</v>
      </c>
      <c r="AE779" s="156">
        <v>0.0</v>
      </c>
      <c r="AF779" s="156">
        <v>0.0</v>
      </c>
      <c r="AG779" s="156">
        <v>0.0</v>
      </c>
      <c r="AH779" s="156">
        <v>0.0</v>
      </c>
      <c r="BN779" s="155">
        <v>0.0</v>
      </c>
      <c r="BO779" s="155">
        <v>0.0</v>
      </c>
      <c r="BP779" s="155">
        <v>0.0</v>
      </c>
      <c r="BQ779" s="155">
        <v>0.0</v>
      </c>
      <c r="BR779" s="155">
        <v>0.0</v>
      </c>
      <c r="BS779" s="155">
        <v>0.0</v>
      </c>
      <c r="CV779" s="156">
        <v>0.0</v>
      </c>
      <c r="CW779" s="156">
        <v>0.0</v>
      </c>
      <c r="CX779" s="156">
        <v>0.0</v>
      </c>
      <c r="CY779" s="156">
        <v>0.0</v>
      </c>
      <c r="CZ779" s="156">
        <v>0.0</v>
      </c>
      <c r="DA779" s="156">
        <v>0.0</v>
      </c>
      <c r="EG779" s="156">
        <v>0.0</v>
      </c>
      <c r="EH779" s="156">
        <v>0.0</v>
      </c>
      <c r="EI779" s="156">
        <v>0.0</v>
      </c>
      <c r="EJ779" s="156">
        <v>0.0</v>
      </c>
      <c r="EK779" s="156">
        <v>0.0</v>
      </c>
      <c r="EL779" s="156">
        <v>0.0</v>
      </c>
      <c r="FQ779" s="156">
        <v>0.0</v>
      </c>
      <c r="FR779" s="156">
        <v>0.0</v>
      </c>
      <c r="FS779" s="156">
        <v>0.0</v>
      </c>
      <c r="FT779" s="156">
        <v>0.0</v>
      </c>
      <c r="FU779" s="156">
        <v>0.0</v>
      </c>
      <c r="FV779" s="156">
        <v>0.0</v>
      </c>
      <c r="FW779" s="157"/>
      <c r="FX779" s="157"/>
      <c r="FY779" s="157"/>
      <c r="FZ779" s="157"/>
      <c r="GA779" s="157"/>
      <c r="GB779" s="157"/>
      <c r="GC779" s="157"/>
      <c r="GD779" s="157"/>
      <c r="GE779" s="157"/>
      <c r="GF779" s="157"/>
      <c r="GG779" s="157"/>
      <c r="GH779" s="157"/>
      <c r="GI779" s="157"/>
      <c r="GJ779" s="157"/>
      <c r="GK779" s="157"/>
      <c r="GL779" s="157"/>
      <c r="GM779" s="157"/>
      <c r="GN779" s="157"/>
      <c r="GO779" s="157"/>
      <c r="GP779" s="158"/>
      <c r="GQ779" s="157"/>
      <c r="GR779" s="157"/>
      <c r="GS779" s="157"/>
      <c r="GT779" s="157"/>
      <c r="GU779" s="157"/>
      <c r="GV779" s="157"/>
      <c r="GW779" s="157"/>
      <c r="GX779" s="157"/>
      <c r="GY779" s="157"/>
      <c r="GZ779" s="157"/>
      <c r="HA779" s="157"/>
      <c r="HB779" s="155">
        <v>0.0</v>
      </c>
      <c r="HC779" s="155">
        <v>0.0</v>
      </c>
      <c r="HD779" s="155">
        <v>0.0</v>
      </c>
      <c r="HE779" s="155">
        <v>0.0</v>
      </c>
      <c r="HF779" s="155">
        <v>0.0</v>
      </c>
      <c r="HG779" s="155">
        <v>0.0</v>
      </c>
      <c r="IL779" s="159">
        <v>0.0</v>
      </c>
      <c r="IM779" s="156">
        <v>0.0</v>
      </c>
      <c r="IN779" s="156">
        <v>0.0</v>
      </c>
      <c r="IO779" s="156">
        <v>0.0</v>
      </c>
      <c r="IP779" s="156">
        <v>0.0</v>
      </c>
      <c r="IQ779" s="160">
        <v>0.0</v>
      </c>
      <c r="JH779" s="25"/>
      <c r="JW779" s="159">
        <v>0.0</v>
      </c>
      <c r="JX779" s="156">
        <v>0.0</v>
      </c>
      <c r="JY779" s="156">
        <v>0.0</v>
      </c>
      <c r="JZ779" s="156">
        <v>0.0</v>
      </c>
      <c r="KA779" s="156">
        <v>0.0</v>
      </c>
      <c r="KB779" s="160">
        <v>0.0</v>
      </c>
      <c r="LH779" s="159">
        <f t="shared" si="10"/>
        <v>0</v>
      </c>
      <c r="LI779" s="156">
        <f t="shared" si="11"/>
        <v>0</v>
      </c>
      <c r="LJ779" s="156">
        <f t="shared" si="12"/>
        <v>0</v>
      </c>
      <c r="LK779" s="156">
        <f t="shared" si="13"/>
        <v>0</v>
      </c>
      <c r="LL779" s="156">
        <f t="shared" si="14"/>
        <v>0</v>
      </c>
      <c r="LM779" s="160">
        <f t="shared" si="15"/>
        <v>0</v>
      </c>
      <c r="QX779" s="633"/>
    </row>
    <row r="780">
      <c r="A780" s="12"/>
      <c r="B780" s="12"/>
      <c r="C780" s="12"/>
      <c r="D780" s="12"/>
      <c r="E780" s="12"/>
      <c r="F780" s="12"/>
      <c r="G780" s="12"/>
      <c r="H780" s="12"/>
      <c r="I780" s="143">
        <f t="shared" si="22"/>
        <v>0</v>
      </c>
      <c r="J780" s="108"/>
      <c r="K780" s="203"/>
      <c r="L780" s="108"/>
      <c r="V780" s="161"/>
      <c r="X780" s="140"/>
      <c r="Y780" s="166">
        <f t="shared" si="23"/>
        <v>0</v>
      </c>
      <c r="Z780" s="26">
        <f t="shared" si="7"/>
        <v>0</v>
      </c>
      <c r="AA780" s="26">
        <f t="shared" si="8"/>
        <v>0</v>
      </c>
      <c r="AB780" s="26">
        <f t="shared" si="9"/>
        <v>0</v>
      </c>
      <c r="AC780" s="156">
        <v>0.0</v>
      </c>
      <c r="AD780" s="156">
        <v>0.0</v>
      </c>
      <c r="AE780" s="156">
        <v>0.0</v>
      </c>
      <c r="AF780" s="156">
        <v>0.0</v>
      </c>
      <c r="AG780" s="156">
        <v>0.0</v>
      </c>
      <c r="AH780" s="156">
        <v>0.0</v>
      </c>
      <c r="BN780" s="155">
        <v>0.0</v>
      </c>
      <c r="BO780" s="155">
        <v>0.0</v>
      </c>
      <c r="BP780" s="155">
        <v>0.0</v>
      </c>
      <c r="BQ780" s="155">
        <v>0.0</v>
      </c>
      <c r="BR780" s="155">
        <v>0.0</v>
      </c>
      <c r="BS780" s="155">
        <v>0.0</v>
      </c>
      <c r="CV780" s="156">
        <v>0.0</v>
      </c>
      <c r="CW780" s="156">
        <v>0.0</v>
      </c>
      <c r="CX780" s="156">
        <v>0.0</v>
      </c>
      <c r="CY780" s="156">
        <v>0.0</v>
      </c>
      <c r="CZ780" s="156">
        <v>0.0</v>
      </c>
      <c r="DA780" s="156">
        <v>0.0</v>
      </c>
      <c r="EG780" s="156">
        <v>0.0</v>
      </c>
      <c r="EH780" s="156">
        <v>0.0</v>
      </c>
      <c r="EI780" s="156">
        <v>0.0</v>
      </c>
      <c r="EJ780" s="156">
        <v>0.0</v>
      </c>
      <c r="EK780" s="156">
        <v>0.0</v>
      </c>
      <c r="EL780" s="156">
        <v>0.0</v>
      </c>
      <c r="FQ780" s="156">
        <v>0.0</v>
      </c>
      <c r="FR780" s="156">
        <v>0.0</v>
      </c>
      <c r="FS780" s="156">
        <v>0.0</v>
      </c>
      <c r="FT780" s="156">
        <v>0.0</v>
      </c>
      <c r="FU780" s="156">
        <v>0.0</v>
      </c>
      <c r="FV780" s="156">
        <v>0.0</v>
      </c>
      <c r="FW780" s="157"/>
      <c r="FX780" s="157"/>
      <c r="FY780" s="157"/>
      <c r="FZ780" s="157"/>
      <c r="GA780" s="157"/>
      <c r="GB780" s="157"/>
      <c r="GC780" s="157"/>
      <c r="GD780" s="157"/>
      <c r="GE780" s="157"/>
      <c r="GF780" s="157"/>
      <c r="GG780" s="157"/>
      <c r="GH780" s="157"/>
      <c r="GI780" s="157"/>
      <c r="GJ780" s="157"/>
      <c r="GK780" s="157"/>
      <c r="GL780" s="157"/>
      <c r="GM780" s="157"/>
      <c r="GN780" s="157"/>
      <c r="GO780" s="157"/>
      <c r="GP780" s="158"/>
      <c r="GQ780" s="157"/>
      <c r="GR780" s="157"/>
      <c r="GS780" s="157"/>
      <c r="GT780" s="157"/>
      <c r="GU780" s="157"/>
      <c r="GV780" s="157"/>
      <c r="GW780" s="157"/>
      <c r="GX780" s="157"/>
      <c r="GY780" s="157"/>
      <c r="GZ780" s="157"/>
      <c r="HA780" s="157"/>
      <c r="HB780" s="155">
        <v>0.0</v>
      </c>
      <c r="HC780" s="155">
        <v>0.0</v>
      </c>
      <c r="HD780" s="155">
        <v>0.0</v>
      </c>
      <c r="HE780" s="155">
        <v>0.0</v>
      </c>
      <c r="HF780" s="155">
        <v>0.0</v>
      </c>
      <c r="HG780" s="155">
        <v>0.0</v>
      </c>
      <c r="IL780" s="159">
        <v>0.0</v>
      </c>
      <c r="IM780" s="156">
        <v>0.0</v>
      </c>
      <c r="IN780" s="156">
        <v>0.0</v>
      </c>
      <c r="IO780" s="156">
        <v>0.0</v>
      </c>
      <c r="IP780" s="156">
        <v>0.0</v>
      </c>
      <c r="IQ780" s="160">
        <v>0.0</v>
      </c>
      <c r="JH780" s="25"/>
      <c r="JW780" s="159">
        <v>0.0</v>
      </c>
      <c r="JX780" s="156">
        <v>0.0</v>
      </c>
      <c r="JY780" s="156">
        <v>0.0</v>
      </c>
      <c r="JZ780" s="156">
        <v>0.0</v>
      </c>
      <c r="KA780" s="156">
        <v>0.0</v>
      </c>
      <c r="KB780" s="160">
        <v>0.0</v>
      </c>
      <c r="LH780" s="159">
        <f t="shared" si="10"/>
        <v>0</v>
      </c>
      <c r="LI780" s="156">
        <f t="shared" si="11"/>
        <v>0</v>
      </c>
      <c r="LJ780" s="156">
        <f t="shared" si="12"/>
        <v>0</v>
      </c>
      <c r="LK780" s="156">
        <f t="shared" si="13"/>
        <v>0</v>
      </c>
      <c r="LL780" s="156">
        <f t="shared" si="14"/>
        <v>0</v>
      </c>
      <c r="LM780" s="160">
        <f t="shared" si="15"/>
        <v>0</v>
      </c>
      <c r="QX780" s="633"/>
    </row>
    <row r="781">
      <c r="A781" s="12"/>
      <c r="B781" s="12"/>
      <c r="C781" s="12"/>
      <c r="D781" s="12"/>
      <c r="E781" s="12"/>
      <c r="F781" s="12"/>
      <c r="G781" s="12"/>
      <c r="H781" s="12"/>
      <c r="I781" s="143">
        <f t="shared" si="22"/>
        <v>0</v>
      </c>
      <c r="J781" s="108"/>
      <c r="K781" s="203"/>
      <c r="L781" s="108"/>
      <c r="V781" s="161"/>
      <c r="X781" s="140"/>
      <c r="Y781" s="166">
        <f t="shared" si="23"/>
        <v>0</v>
      </c>
      <c r="Z781" s="26">
        <f t="shared" si="7"/>
        <v>0</v>
      </c>
      <c r="AA781" s="26">
        <f t="shared" si="8"/>
        <v>0</v>
      </c>
      <c r="AB781" s="26">
        <f t="shared" si="9"/>
        <v>0</v>
      </c>
      <c r="AC781" s="156">
        <v>0.0</v>
      </c>
      <c r="AD781" s="156">
        <v>0.0</v>
      </c>
      <c r="AE781" s="156">
        <v>0.0</v>
      </c>
      <c r="AF781" s="156">
        <v>0.0</v>
      </c>
      <c r="AG781" s="156">
        <v>0.0</v>
      </c>
      <c r="AH781" s="156">
        <v>0.0</v>
      </c>
      <c r="BN781" s="155">
        <v>0.0</v>
      </c>
      <c r="BO781" s="155">
        <v>0.0</v>
      </c>
      <c r="BP781" s="155">
        <v>0.0</v>
      </c>
      <c r="BQ781" s="155">
        <v>0.0</v>
      </c>
      <c r="BR781" s="155">
        <v>0.0</v>
      </c>
      <c r="BS781" s="155">
        <v>0.0</v>
      </c>
      <c r="CV781" s="156">
        <v>0.0</v>
      </c>
      <c r="CW781" s="156">
        <v>0.0</v>
      </c>
      <c r="CX781" s="156">
        <v>0.0</v>
      </c>
      <c r="CY781" s="156">
        <v>0.0</v>
      </c>
      <c r="CZ781" s="156">
        <v>0.0</v>
      </c>
      <c r="DA781" s="156">
        <v>0.0</v>
      </c>
      <c r="EG781" s="156">
        <v>0.0</v>
      </c>
      <c r="EH781" s="156">
        <v>0.0</v>
      </c>
      <c r="EI781" s="156">
        <v>0.0</v>
      </c>
      <c r="EJ781" s="156">
        <v>0.0</v>
      </c>
      <c r="EK781" s="156">
        <v>0.0</v>
      </c>
      <c r="EL781" s="156">
        <v>0.0</v>
      </c>
      <c r="FQ781" s="156">
        <v>0.0</v>
      </c>
      <c r="FR781" s="156">
        <v>0.0</v>
      </c>
      <c r="FS781" s="156">
        <v>0.0</v>
      </c>
      <c r="FT781" s="156">
        <v>0.0</v>
      </c>
      <c r="FU781" s="156">
        <v>0.0</v>
      </c>
      <c r="FV781" s="156">
        <v>0.0</v>
      </c>
      <c r="FW781" s="157"/>
      <c r="FX781" s="157"/>
      <c r="FY781" s="157"/>
      <c r="FZ781" s="157"/>
      <c r="GA781" s="157"/>
      <c r="GB781" s="157"/>
      <c r="GC781" s="157"/>
      <c r="GD781" s="157"/>
      <c r="GE781" s="157"/>
      <c r="GF781" s="157"/>
      <c r="GG781" s="157"/>
      <c r="GH781" s="157"/>
      <c r="GI781" s="157"/>
      <c r="GJ781" s="157"/>
      <c r="GK781" s="157"/>
      <c r="GL781" s="157"/>
      <c r="GM781" s="157"/>
      <c r="GN781" s="157"/>
      <c r="GO781" s="157"/>
      <c r="GP781" s="158"/>
      <c r="GQ781" s="157"/>
      <c r="GR781" s="157"/>
      <c r="GS781" s="157"/>
      <c r="GT781" s="157"/>
      <c r="GU781" s="157"/>
      <c r="GV781" s="157"/>
      <c r="GW781" s="157"/>
      <c r="GX781" s="157"/>
      <c r="GY781" s="157"/>
      <c r="GZ781" s="157"/>
      <c r="HA781" s="157"/>
      <c r="HB781" s="155">
        <v>0.0</v>
      </c>
      <c r="HC781" s="155">
        <v>0.0</v>
      </c>
      <c r="HD781" s="155">
        <v>0.0</v>
      </c>
      <c r="HE781" s="155">
        <v>0.0</v>
      </c>
      <c r="HF781" s="155">
        <v>0.0</v>
      </c>
      <c r="HG781" s="155">
        <v>0.0</v>
      </c>
      <c r="IL781" s="159">
        <v>0.0</v>
      </c>
      <c r="IM781" s="156">
        <v>0.0</v>
      </c>
      <c r="IN781" s="156">
        <v>0.0</v>
      </c>
      <c r="IO781" s="156">
        <v>0.0</v>
      </c>
      <c r="IP781" s="156">
        <v>0.0</v>
      </c>
      <c r="IQ781" s="160">
        <v>0.0</v>
      </c>
      <c r="JH781" s="25"/>
      <c r="JW781" s="159">
        <v>0.0</v>
      </c>
      <c r="JX781" s="156">
        <v>0.0</v>
      </c>
      <c r="JY781" s="156">
        <v>0.0</v>
      </c>
      <c r="JZ781" s="156">
        <v>0.0</v>
      </c>
      <c r="KA781" s="156">
        <v>0.0</v>
      </c>
      <c r="KB781" s="160">
        <v>0.0</v>
      </c>
      <c r="LH781" s="159">
        <f t="shared" si="10"/>
        <v>0</v>
      </c>
      <c r="LI781" s="156">
        <f t="shared" si="11"/>
        <v>0</v>
      </c>
      <c r="LJ781" s="156">
        <f t="shared" si="12"/>
        <v>0</v>
      </c>
      <c r="LK781" s="156">
        <f t="shared" si="13"/>
        <v>0</v>
      </c>
      <c r="LL781" s="156">
        <f t="shared" si="14"/>
        <v>0</v>
      </c>
      <c r="LM781" s="160">
        <f t="shared" si="15"/>
        <v>0</v>
      </c>
      <c r="QX781" s="633"/>
    </row>
    <row r="782">
      <c r="A782" s="12"/>
      <c r="B782" s="12"/>
      <c r="C782" s="12"/>
      <c r="D782" s="12"/>
      <c r="E782" s="12"/>
      <c r="F782" s="12"/>
      <c r="G782" s="12"/>
      <c r="H782" s="12"/>
      <c r="I782" s="143">
        <f t="shared" si="22"/>
        <v>0</v>
      </c>
      <c r="J782" s="108"/>
      <c r="K782" s="203"/>
      <c r="L782" s="108"/>
      <c r="V782" s="161"/>
      <c r="X782" s="140"/>
      <c r="Y782" s="166">
        <f t="shared" si="23"/>
        <v>0</v>
      </c>
      <c r="Z782" s="26">
        <f t="shared" si="7"/>
        <v>0</v>
      </c>
      <c r="AA782" s="26">
        <f t="shared" si="8"/>
        <v>0</v>
      </c>
      <c r="AB782" s="26">
        <f t="shared" si="9"/>
        <v>0</v>
      </c>
      <c r="AC782" s="156">
        <v>0.0</v>
      </c>
      <c r="AD782" s="156">
        <v>0.0</v>
      </c>
      <c r="AE782" s="156">
        <v>0.0</v>
      </c>
      <c r="AF782" s="156">
        <v>0.0</v>
      </c>
      <c r="AG782" s="156">
        <v>0.0</v>
      </c>
      <c r="AH782" s="156">
        <v>0.0</v>
      </c>
      <c r="BN782" s="155">
        <v>0.0</v>
      </c>
      <c r="BO782" s="155">
        <v>0.0</v>
      </c>
      <c r="BP782" s="155">
        <v>0.0</v>
      </c>
      <c r="BQ782" s="155">
        <v>0.0</v>
      </c>
      <c r="BR782" s="155">
        <v>0.0</v>
      </c>
      <c r="BS782" s="155">
        <v>0.0</v>
      </c>
      <c r="CV782" s="156">
        <v>0.0</v>
      </c>
      <c r="CW782" s="156">
        <v>0.0</v>
      </c>
      <c r="CX782" s="156">
        <v>0.0</v>
      </c>
      <c r="CY782" s="156">
        <v>0.0</v>
      </c>
      <c r="CZ782" s="156">
        <v>0.0</v>
      </c>
      <c r="DA782" s="156">
        <v>0.0</v>
      </c>
      <c r="EG782" s="156">
        <v>0.0</v>
      </c>
      <c r="EH782" s="156">
        <v>0.0</v>
      </c>
      <c r="EI782" s="156">
        <v>0.0</v>
      </c>
      <c r="EJ782" s="156">
        <v>0.0</v>
      </c>
      <c r="EK782" s="156">
        <v>0.0</v>
      </c>
      <c r="EL782" s="156">
        <v>0.0</v>
      </c>
      <c r="FQ782" s="156">
        <v>0.0</v>
      </c>
      <c r="FR782" s="156">
        <v>0.0</v>
      </c>
      <c r="FS782" s="156">
        <v>0.0</v>
      </c>
      <c r="FT782" s="156">
        <v>0.0</v>
      </c>
      <c r="FU782" s="156">
        <v>0.0</v>
      </c>
      <c r="FV782" s="156">
        <v>0.0</v>
      </c>
      <c r="FW782" s="157"/>
      <c r="FX782" s="157"/>
      <c r="FY782" s="157"/>
      <c r="FZ782" s="157"/>
      <c r="GA782" s="157"/>
      <c r="GB782" s="157"/>
      <c r="GC782" s="157"/>
      <c r="GD782" s="157"/>
      <c r="GE782" s="157"/>
      <c r="GF782" s="157"/>
      <c r="GG782" s="157"/>
      <c r="GH782" s="157"/>
      <c r="GI782" s="157"/>
      <c r="GJ782" s="157"/>
      <c r="GK782" s="157"/>
      <c r="GL782" s="157"/>
      <c r="GM782" s="157"/>
      <c r="GN782" s="157"/>
      <c r="GO782" s="157"/>
      <c r="GP782" s="158"/>
      <c r="GQ782" s="157"/>
      <c r="GR782" s="157"/>
      <c r="GS782" s="157"/>
      <c r="GT782" s="157"/>
      <c r="GU782" s="157"/>
      <c r="GV782" s="157"/>
      <c r="GW782" s="157"/>
      <c r="GX782" s="157"/>
      <c r="GY782" s="157"/>
      <c r="GZ782" s="157"/>
      <c r="HA782" s="157"/>
      <c r="HB782" s="155">
        <v>0.0</v>
      </c>
      <c r="HC782" s="155">
        <v>0.0</v>
      </c>
      <c r="HD782" s="155">
        <v>0.0</v>
      </c>
      <c r="HE782" s="155">
        <v>0.0</v>
      </c>
      <c r="HF782" s="155">
        <v>0.0</v>
      </c>
      <c r="HG782" s="155">
        <v>0.0</v>
      </c>
      <c r="IL782" s="159">
        <v>0.0</v>
      </c>
      <c r="IM782" s="156">
        <v>0.0</v>
      </c>
      <c r="IN782" s="156">
        <v>0.0</v>
      </c>
      <c r="IO782" s="156">
        <v>0.0</v>
      </c>
      <c r="IP782" s="156">
        <v>0.0</v>
      </c>
      <c r="IQ782" s="160">
        <v>0.0</v>
      </c>
      <c r="JH782" s="25"/>
      <c r="JW782" s="159">
        <v>0.0</v>
      </c>
      <c r="JX782" s="156">
        <v>0.0</v>
      </c>
      <c r="JY782" s="156">
        <v>0.0</v>
      </c>
      <c r="JZ782" s="156">
        <v>0.0</v>
      </c>
      <c r="KA782" s="156">
        <v>0.0</v>
      </c>
      <c r="KB782" s="160">
        <v>0.0</v>
      </c>
      <c r="LH782" s="159">
        <f t="shared" si="10"/>
        <v>0</v>
      </c>
      <c r="LI782" s="156">
        <f t="shared" si="11"/>
        <v>0</v>
      </c>
      <c r="LJ782" s="156">
        <f t="shared" si="12"/>
        <v>0</v>
      </c>
      <c r="LK782" s="156">
        <f t="shared" si="13"/>
        <v>0</v>
      </c>
      <c r="LL782" s="156">
        <f t="shared" si="14"/>
        <v>0</v>
      </c>
      <c r="LM782" s="160">
        <f t="shared" si="15"/>
        <v>0</v>
      </c>
      <c r="QX782" s="633"/>
    </row>
    <row r="783">
      <c r="A783" s="12"/>
      <c r="B783" s="12"/>
      <c r="C783" s="12"/>
      <c r="D783" s="12"/>
      <c r="E783" s="12"/>
      <c r="F783" s="12"/>
      <c r="G783" s="12"/>
      <c r="H783" s="12"/>
      <c r="I783" s="143">
        <f t="shared" si="22"/>
        <v>0</v>
      </c>
      <c r="J783" s="108"/>
      <c r="K783" s="203"/>
      <c r="L783" s="108"/>
      <c r="V783" s="161"/>
      <c r="X783" s="140"/>
      <c r="Y783" s="166">
        <f t="shared" si="23"/>
        <v>0</v>
      </c>
      <c r="Z783" s="26">
        <f t="shared" si="7"/>
        <v>0</v>
      </c>
      <c r="AA783" s="26">
        <f t="shared" si="8"/>
        <v>0</v>
      </c>
      <c r="AB783" s="26">
        <f t="shared" si="9"/>
        <v>0</v>
      </c>
      <c r="AC783" s="156">
        <v>0.0</v>
      </c>
      <c r="AD783" s="156">
        <v>0.0</v>
      </c>
      <c r="AE783" s="156">
        <v>0.0</v>
      </c>
      <c r="AF783" s="156">
        <v>0.0</v>
      </c>
      <c r="AG783" s="156">
        <v>0.0</v>
      </c>
      <c r="AH783" s="156">
        <v>0.0</v>
      </c>
      <c r="BN783" s="155">
        <v>0.0</v>
      </c>
      <c r="BO783" s="155">
        <v>0.0</v>
      </c>
      <c r="BP783" s="155">
        <v>0.0</v>
      </c>
      <c r="BQ783" s="155">
        <v>0.0</v>
      </c>
      <c r="BR783" s="155">
        <v>0.0</v>
      </c>
      <c r="BS783" s="155">
        <v>0.0</v>
      </c>
      <c r="CV783" s="156">
        <v>0.0</v>
      </c>
      <c r="CW783" s="156">
        <v>0.0</v>
      </c>
      <c r="CX783" s="156">
        <v>0.0</v>
      </c>
      <c r="CY783" s="156">
        <v>0.0</v>
      </c>
      <c r="CZ783" s="156">
        <v>0.0</v>
      </c>
      <c r="DA783" s="156">
        <v>0.0</v>
      </c>
      <c r="EG783" s="156">
        <v>0.0</v>
      </c>
      <c r="EH783" s="156">
        <v>0.0</v>
      </c>
      <c r="EI783" s="156">
        <v>0.0</v>
      </c>
      <c r="EJ783" s="156">
        <v>0.0</v>
      </c>
      <c r="EK783" s="156">
        <v>0.0</v>
      </c>
      <c r="EL783" s="156">
        <v>0.0</v>
      </c>
      <c r="FQ783" s="156">
        <v>0.0</v>
      </c>
      <c r="FR783" s="156">
        <v>0.0</v>
      </c>
      <c r="FS783" s="156">
        <v>0.0</v>
      </c>
      <c r="FT783" s="156">
        <v>0.0</v>
      </c>
      <c r="FU783" s="156">
        <v>0.0</v>
      </c>
      <c r="FV783" s="156">
        <v>0.0</v>
      </c>
      <c r="FW783" s="157"/>
      <c r="FX783" s="157"/>
      <c r="FY783" s="157"/>
      <c r="FZ783" s="157"/>
      <c r="GA783" s="157"/>
      <c r="GB783" s="157"/>
      <c r="GC783" s="157"/>
      <c r="GD783" s="157"/>
      <c r="GE783" s="157"/>
      <c r="GF783" s="157"/>
      <c r="GG783" s="157"/>
      <c r="GH783" s="157"/>
      <c r="GI783" s="157"/>
      <c r="GJ783" s="157"/>
      <c r="GK783" s="157"/>
      <c r="GL783" s="157"/>
      <c r="GM783" s="157"/>
      <c r="GN783" s="157"/>
      <c r="GO783" s="157"/>
      <c r="GP783" s="158"/>
      <c r="GQ783" s="157"/>
      <c r="GR783" s="157"/>
      <c r="GS783" s="157"/>
      <c r="GT783" s="157"/>
      <c r="GU783" s="157"/>
      <c r="GV783" s="157"/>
      <c r="GW783" s="157"/>
      <c r="GX783" s="157"/>
      <c r="GY783" s="157"/>
      <c r="GZ783" s="157"/>
      <c r="HA783" s="157"/>
      <c r="HB783" s="155">
        <v>0.0</v>
      </c>
      <c r="HC783" s="155">
        <v>0.0</v>
      </c>
      <c r="HD783" s="155">
        <v>0.0</v>
      </c>
      <c r="HE783" s="155">
        <v>0.0</v>
      </c>
      <c r="HF783" s="155">
        <v>0.0</v>
      </c>
      <c r="HG783" s="155">
        <v>0.0</v>
      </c>
      <c r="IL783" s="159">
        <v>0.0</v>
      </c>
      <c r="IM783" s="156">
        <v>0.0</v>
      </c>
      <c r="IN783" s="156">
        <v>0.0</v>
      </c>
      <c r="IO783" s="156">
        <v>0.0</v>
      </c>
      <c r="IP783" s="156">
        <v>0.0</v>
      </c>
      <c r="IQ783" s="160">
        <v>0.0</v>
      </c>
      <c r="JH783" s="25"/>
      <c r="JW783" s="159">
        <v>0.0</v>
      </c>
      <c r="JX783" s="156">
        <v>0.0</v>
      </c>
      <c r="JY783" s="156">
        <v>0.0</v>
      </c>
      <c r="JZ783" s="156">
        <v>0.0</v>
      </c>
      <c r="KA783" s="156">
        <v>0.0</v>
      </c>
      <c r="KB783" s="160">
        <v>0.0</v>
      </c>
      <c r="LH783" s="159">
        <f t="shared" si="10"/>
        <v>0</v>
      </c>
      <c r="LI783" s="156">
        <f t="shared" si="11"/>
        <v>0</v>
      </c>
      <c r="LJ783" s="156">
        <f t="shared" si="12"/>
        <v>0</v>
      </c>
      <c r="LK783" s="156">
        <f t="shared" si="13"/>
        <v>0</v>
      </c>
      <c r="LL783" s="156">
        <f t="shared" si="14"/>
        <v>0</v>
      </c>
      <c r="LM783" s="160">
        <f t="shared" si="15"/>
        <v>0</v>
      </c>
      <c r="QX783" s="633"/>
    </row>
    <row r="784">
      <c r="A784" s="12"/>
      <c r="B784" s="12"/>
      <c r="C784" s="12"/>
      <c r="D784" s="12"/>
      <c r="E784" s="12"/>
      <c r="F784" s="12"/>
      <c r="G784" s="12"/>
      <c r="H784" s="12"/>
      <c r="I784" s="143">
        <f t="shared" si="22"/>
        <v>0</v>
      </c>
      <c r="J784" s="108"/>
      <c r="K784" s="203"/>
      <c r="L784" s="108"/>
      <c r="V784" s="161"/>
      <c r="X784" s="140"/>
      <c r="Y784" s="166">
        <f t="shared" si="23"/>
        <v>0</v>
      </c>
      <c r="Z784" s="26">
        <f t="shared" si="7"/>
        <v>0</v>
      </c>
      <c r="AA784" s="26">
        <f t="shared" si="8"/>
        <v>0</v>
      </c>
      <c r="AB784" s="26">
        <f t="shared" si="9"/>
        <v>0</v>
      </c>
      <c r="AC784" s="156">
        <v>0.0</v>
      </c>
      <c r="AD784" s="156">
        <v>0.0</v>
      </c>
      <c r="AE784" s="156">
        <v>0.0</v>
      </c>
      <c r="AF784" s="156">
        <v>0.0</v>
      </c>
      <c r="AG784" s="156">
        <v>0.0</v>
      </c>
      <c r="AH784" s="156">
        <v>0.0</v>
      </c>
      <c r="BN784" s="155">
        <v>0.0</v>
      </c>
      <c r="BO784" s="155">
        <v>0.0</v>
      </c>
      <c r="BP784" s="155">
        <v>0.0</v>
      </c>
      <c r="BQ784" s="155">
        <v>0.0</v>
      </c>
      <c r="BR784" s="155">
        <v>0.0</v>
      </c>
      <c r="BS784" s="155">
        <v>0.0</v>
      </c>
      <c r="CV784" s="156">
        <v>0.0</v>
      </c>
      <c r="CW784" s="156">
        <v>0.0</v>
      </c>
      <c r="CX784" s="156">
        <v>0.0</v>
      </c>
      <c r="CY784" s="156">
        <v>0.0</v>
      </c>
      <c r="CZ784" s="156">
        <v>0.0</v>
      </c>
      <c r="DA784" s="156">
        <v>0.0</v>
      </c>
      <c r="EG784" s="156">
        <v>0.0</v>
      </c>
      <c r="EH784" s="156">
        <v>0.0</v>
      </c>
      <c r="EI784" s="156">
        <v>0.0</v>
      </c>
      <c r="EJ784" s="156">
        <v>0.0</v>
      </c>
      <c r="EK784" s="156">
        <v>0.0</v>
      </c>
      <c r="EL784" s="156">
        <v>0.0</v>
      </c>
      <c r="FQ784" s="156">
        <v>0.0</v>
      </c>
      <c r="FR784" s="156">
        <v>0.0</v>
      </c>
      <c r="FS784" s="156">
        <v>0.0</v>
      </c>
      <c r="FT784" s="156">
        <v>0.0</v>
      </c>
      <c r="FU784" s="156">
        <v>0.0</v>
      </c>
      <c r="FV784" s="156">
        <v>0.0</v>
      </c>
      <c r="FW784" s="157"/>
      <c r="FX784" s="157"/>
      <c r="FY784" s="157"/>
      <c r="FZ784" s="157"/>
      <c r="GA784" s="157"/>
      <c r="GB784" s="157"/>
      <c r="GC784" s="157"/>
      <c r="GD784" s="157"/>
      <c r="GE784" s="157"/>
      <c r="GF784" s="157"/>
      <c r="GG784" s="157"/>
      <c r="GH784" s="157"/>
      <c r="GI784" s="157"/>
      <c r="GJ784" s="157"/>
      <c r="GK784" s="157"/>
      <c r="GL784" s="157"/>
      <c r="GM784" s="157"/>
      <c r="GN784" s="157"/>
      <c r="GO784" s="157"/>
      <c r="GP784" s="158"/>
      <c r="GQ784" s="157"/>
      <c r="GR784" s="157"/>
      <c r="GS784" s="157"/>
      <c r="GT784" s="157"/>
      <c r="GU784" s="157"/>
      <c r="GV784" s="157"/>
      <c r="GW784" s="157"/>
      <c r="GX784" s="157"/>
      <c r="GY784" s="157"/>
      <c r="GZ784" s="157"/>
      <c r="HA784" s="157"/>
      <c r="HB784" s="155">
        <v>0.0</v>
      </c>
      <c r="HC784" s="155">
        <v>0.0</v>
      </c>
      <c r="HD784" s="155">
        <v>0.0</v>
      </c>
      <c r="HE784" s="155">
        <v>0.0</v>
      </c>
      <c r="HF784" s="155">
        <v>0.0</v>
      </c>
      <c r="HG784" s="155">
        <v>0.0</v>
      </c>
      <c r="IL784" s="159">
        <v>0.0</v>
      </c>
      <c r="IM784" s="156">
        <v>0.0</v>
      </c>
      <c r="IN784" s="156">
        <v>0.0</v>
      </c>
      <c r="IO784" s="156">
        <v>0.0</v>
      </c>
      <c r="IP784" s="156">
        <v>0.0</v>
      </c>
      <c r="IQ784" s="160">
        <v>0.0</v>
      </c>
      <c r="JH784" s="25"/>
      <c r="JW784" s="159">
        <v>0.0</v>
      </c>
      <c r="JX784" s="156">
        <v>0.0</v>
      </c>
      <c r="JY784" s="156">
        <v>0.0</v>
      </c>
      <c r="JZ784" s="156">
        <v>0.0</v>
      </c>
      <c r="KA784" s="156">
        <v>0.0</v>
      </c>
      <c r="KB784" s="160">
        <v>0.0</v>
      </c>
      <c r="LH784" s="159">
        <f t="shared" si="10"/>
        <v>0</v>
      </c>
      <c r="LI784" s="156">
        <f t="shared" si="11"/>
        <v>0</v>
      </c>
      <c r="LJ784" s="156">
        <f t="shared" si="12"/>
        <v>0</v>
      </c>
      <c r="LK784" s="156">
        <f t="shared" si="13"/>
        <v>0</v>
      </c>
      <c r="LL784" s="156">
        <f t="shared" si="14"/>
        <v>0</v>
      </c>
      <c r="LM784" s="160">
        <f t="shared" si="15"/>
        <v>0</v>
      </c>
      <c r="QX784" s="633"/>
    </row>
    <row r="785">
      <c r="A785" s="12"/>
      <c r="B785" s="12"/>
      <c r="C785" s="12"/>
      <c r="D785" s="12"/>
      <c r="E785" s="12"/>
      <c r="F785" s="12"/>
      <c r="G785" s="12"/>
      <c r="H785" s="12"/>
      <c r="I785" s="143">
        <f t="shared" si="22"/>
        <v>0</v>
      </c>
      <c r="J785" s="108"/>
      <c r="K785" s="203"/>
      <c r="L785" s="108"/>
      <c r="V785" s="161"/>
      <c r="X785" s="140"/>
      <c r="Y785" s="166">
        <f t="shared" si="23"/>
        <v>0</v>
      </c>
      <c r="Z785" s="26">
        <f t="shared" si="7"/>
        <v>0</v>
      </c>
      <c r="AA785" s="26">
        <f t="shared" si="8"/>
        <v>0</v>
      </c>
      <c r="AB785" s="26">
        <f t="shared" si="9"/>
        <v>0</v>
      </c>
      <c r="AC785" s="156">
        <v>0.0</v>
      </c>
      <c r="AD785" s="156">
        <v>0.0</v>
      </c>
      <c r="AE785" s="156">
        <v>0.0</v>
      </c>
      <c r="AF785" s="156">
        <v>0.0</v>
      </c>
      <c r="AG785" s="156">
        <v>0.0</v>
      </c>
      <c r="AH785" s="156">
        <v>0.0</v>
      </c>
      <c r="BN785" s="155">
        <v>0.0</v>
      </c>
      <c r="BO785" s="155">
        <v>0.0</v>
      </c>
      <c r="BP785" s="155">
        <v>0.0</v>
      </c>
      <c r="BQ785" s="155">
        <v>0.0</v>
      </c>
      <c r="BR785" s="155">
        <v>0.0</v>
      </c>
      <c r="BS785" s="155">
        <v>0.0</v>
      </c>
      <c r="CV785" s="156">
        <v>0.0</v>
      </c>
      <c r="CW785" s="156">
        <v>0.0</v>
      </c>
      <c r="CX785" s="156">
        <v>0.0</v>
      </c>
      <c r="CY785" s="156">
        <v>0.0</v>
      </c>
      <c r="CZ785" s="156">
        <v>0.0</v>
      </c>
      <c r="DA785" s="156">
        <v>0.0</v>
      </c>
      <c r="EG785" s="156">
        <v>0.0</v>
      </c>
      <c r="EH785" s="156">
        <v>0.0</v>
      </c>
      <c r="EI785" s="156">
        <v>0.0</v>
      </c>
      <c r="EJ785" s="156">
        <v>0.0</v>
      </c>
      <c r="EK785" s="156">
        <v>0.0</v>
      </c>
      <c r="EL785" s="156">
        <v>0.0</v>
      </c>
      <c r="FQ785" s="156">
        <v>0.0</v>
      </c>
      <c r="FR785" s="156">
        <v>0.0</v>
      </c>
      <c r="FS785" s="156">
        <v>0.0</v>
      </c>
      <c r="FT785" s="156">
        <v>0.0</v>
      </c>
      <c r="FU785" s="156">
        <v>0.0</v>
      </c>
      <c r="FV785" s="156">
        <v>0.0</v>
      </c>
      <c r="FW785" s="157"/>
      <c r="FX785" s="157"/>
      <c r="FY785" s="157"/>
      <c r="FZ785" s="157"/>
      <c r="GA785" s="157"/>
      <c r="GB785" s="157"/>
      <c r="GC785" s="157"/>
      <c r="GD785" s="157"/>
      <c r="GE785" s="157"/>
      <c r="GF785" s="157"/>
      <c r="GG785" s="157"/>
      <c r="GH785" s="157"/>
      <c r="GI785" s="157"/>
      <c r="GJ785" s="157"/>
      <c r="GK785" s="157"/>
      <c r="GL785" s="157"/>
      <c r="GM785" s="157"/>
      <c r="GN785" s="157"/>
      <c r="GO785" s="157"/>
      <c r="GP785" s="158"/>
      <c r="GQ785" s="157"/>
      <c r="GR785" s="157"/>
      <c r="GS785" s="157"/>
      <c r="GT785" s="157"/>
      <c r="GU785" s="157"/>
      <c r="GV785" s="157"/>
      <c r="GW785" s="157"/>
      <c r="GX785" s="157"/>
      <c r="GY785" s="157"/>
      <c r="GZ785" s="157"/>
      <c r="HA785" s="157"/>
      <c r="HB785" s="155">
        <v>0.0</v>
      </c>
      <c r="HC785" s="155">
        <v>0.0</v>
      </c>
      <c r="HD785" s="155">
        <v>0.0</v>
      </c>
      <c r="HE785" s="155">
        <v>0.0</v>
      </c>
      <c r="HF785" s="155">
        <v>0.0</v>
      </c>
      <c r="HG785" s="155">
        <v>0.0</v>
      </c>
      <c r="IL785" s="159">
        <v>0.0</v>
      </c>
      <c r="IM785" s="156">
        <v>0.0</v>
      </c>
      <c r="IN785" s="156">
        <v>0.0</v>
      </c>
      <c r="IO785" s="156">
        <v>0.0</v>
      </c>
      <c r="IP785" s="156">
        <v>0.0</v>
      </c>
      <c r="IQ785" s="160">
        <v>0.0</v>
      </c>
      <c r="JH785" s="25"/>
      <c r="JW785" s="159">
        <v>0.0</v>
      </c>
      <c r="JX785" s="156">
        <v>0.0</v>
      </c>
      <c r="JY785" s="156">
        <v>0.0</v>
      </c>
      <c r="JZ785" s="156">
        <v>0.0</v>
      </c>
      <c r="KA785" s="156">
        <v>0.0</v>
      </c>
      <c r="KB785" s="160">
        <v>0.0</v>
      </c>
      <c r="LH785" s="159">
        <f t="shared" si="10"/>
        <v>0</v>
      </c>
      <c r="LI785" s="156">
        <f t="shared" si="11"/>
        <v>0</v>
      </c>
      <c r="LJ785" s="156">
        <f t="shared" si="12"/>
        <v>0</v>
      </c>
      <c r="LK785" s="156">
        <f t="shared" si="13"/>
        <v>0</v>
      </c>
      <c r="LL785" s="156">
        <f t="shared" si="14"/>
        <v>0</v>
      </c>
      <c r="LM785" s="160">
        <f t="shared" si="15"/>
        <v>0</v>
      </c>
      <c r="QX785" s="633"/>
    </row>
    <row r="786">
      <c r="A786" s="12"/>
      <c r="B786" s="12"/>
      <c r="C786" s="12"/>
      <c r="D786" s="12"/>
      <c r="E786" s="12"/>
      <c r="F786" s="12"/>
      <c r="G786" s="12"/>
      <c r="H786" s="12"/>
      <c r="I786" s="143">
        <f t="shared" si="22"/>
        <v>0</v>
      </c>
      <c r="J786" s="108"/>
      <c r="K786" s="203"/>
      <c r="L786" s="108"/>
      <c r="V786" s="161"/>
      <c r="X786" s="140"/>
      <c r="Y786" s="166">
        <f t="shared" si="23"/>
        <v>0</v>
      </c>
      <c r="Z786" s="26">
        <f t="shared" si="7"/>
        <v>0</v>
      </c>
      <c r="AA786" s="26">
        <f t="shared" si="8"/>
        <v>0</v>
      </c>
      <c r="AB786" s="26">
        <f t="shared" si="9"/>
        <v>0</v>
      </c>
      <c r="AC786" s="156">
        <v>0.0</v>
      </c>
      <c r="AD786" s="156">
        <v>0.0</v>
      </c>
      <c r="AE786" s="156">
        <v>0.0</v>
      </c>
      <c r="AF786" s="156">
        <v>0.0</v>
      </c>
      <c r="AG786" s="156">
        <v>0.0</v>
      </c>
      <c r="AH786" s="156">
        <v>0.0</v>
      </c>
      <c r="BN786" s="155">
        <v>0.0</v>
      </c>
      <c r="BO786" s="155">
        <v>0.0</v>
      </c>
      <c r="BP786" s="155">
        <v>0.0</v>
      </c>
      <c r="BQ786" s="155">
        <v>0.0</v>
      </c>
      <c r="BR786" s="155">
        <v>0.0</v>
      </c>
      <c r="BS786" s="155">
        <v>0.0</v>
      </c>
      <c r="CV786" s="156">
        <v>0.0</v>
      </c>
      <c r="CW786" s="156">
        <v>0.0</v>
      </c>
      <c r="CX786" s="156">
        <v>0.0</v>
      </c>
      <c r="CY786" s="156">
        <v>0.0</v>
      </c>
      <c r="CZ786" s="156">
        <v>0.0</v>
      </c>
      <c r="DA786" s="156">
        <v>0.0</v>
      </c>
      <c r="EG786" s="156">
        <v>0.0</v>
      </c>
      <c r="EH786" s="156">
        <v>0.0</v>
      </c>
      <c r="EI786" s="156">
        <v>0.0</v>
      </c>
      <c r="EJ786" s="156">
        <v>0.0</v>
      </c>
      <c r="EK786" s="156">
        <v>0.0</v>
      </c>
      <c r="EL786" s="156">
        <v>0.0</v>
      </c>
      <c r="FQ786" s="156">
        <v>0.0</v>
      </c>
      <c r="FR786" s="156">
        <v>0.0</v>
      </c>
      <c r="FS786" s="156">
        <v>0.0</v>
      </c>
      <c r="FT786" s="156">
        <v>0.0</v>
      </c>
      <c r="FU786" s="156">
        <v>0.0</v>
      </c>
      <c r="FV786" s="156">
        <v>0.0</v>
      </c>
      <c r="FW786" s="157"/>
      <c r="FX786" s="157"/>
      <c r="FY786" s="157"/>
      <c r="FZ786" s="157"/>
      <c r="GA786" s="157"/>
      <c r="GB786" s="157"/>
      <c r="GC786" s="157"/>
      <c r="GD786" s="157"/>
      <c r="GE786" s="157"/>
      <c r="GF786" s="157"/>
      <c r="GG786" s="157"/>
      <c r="GH786" s="157"/>
      <c r="GI786" s="157"/>
      <c r="GJ786" s="157"/>
      <c r="GK786" s="157"/>
      <c r="GL786" s="157"/>
      <c r="GM786" s="157"/>
      <c r="GN786" s="157"/>
      <c r="GO786" s="157"/>
      <c r="GP786" s="158"/>
      <c r="GQ786" s="157"/>
      <c r="GR786" s="157"/>
      <c r="GS786" s="157"/>
      <c r="GT786" s="157"/>
      <c r="GU786" s="157"/>
      <c r="GV786" s="157"/>
      <c r="GW786" s="157"/>
      <c r="GX786" s="157"/>
      <c r="GY786" s="157"/>
      <c r="GZ786" s="157"/>
      <c r="HA786" s="157"/>
      <c r="HB786" s="155">
        <v>0.0</v>
      </c>
      <c r="HC786" s="155">
        <v>0.0</v>
      </c>
      <c r="HD786" s="155">
        <v>0.0</v>
      </c>
      <c r="HE786" s="155">
        <v>0.0</v>
      </c>
      <c r="HF786" s="155">
        <v>0.0</v>
      </c>
      <c r="HG786" s="155">
        <v>0.0</v>
      </c>
      <c r="IL786" s="159">
        <v>0.0</v>
      </c>
      <c r="IM786" s="156">
        <v>0.0</v>
      </c>
      <c r="IN786" s="156">
        <v>0.0</v>
      </c>
      <c r="IO786" s="156">
        <v>0.0</v>
      </c>
      <c r="IP786" s="156">
        <v>0.0</v>
      </c>
      <c r="IQ786" s="160">
        <v>0.0</v>
      </c>
      <c r="JH786" s="25"/>
      <c r="JW786" s="159">
        <v>0.0</v>
      </c>
      <c r="JX786" s="156">
        <v>0.0</v>
      </c>
      <c r="JY786" s="156">
        <v>0.0</v>
      </c>
      <c r="JZ786" s="156">
        <v>0.0</v>
      </c>
      <c r="KA786" s="156">
        <v>0.0</v>
      </c>
      <c r="KB786" s="160">
        <v>0.0</v>
      </c>
      <c r="LH786" s="159">
        <f t="shared" si="10"/>
        <v>0</v>
      </c>
      <c r="LI786" s="156">
        <f t="shared" si="11"/>
        <v>0</v>
      </c>
      <c r="LJ786" s="156">
        <f t="shared" si="12"/>
        <v>0</v>
      </c>
      <c r="LK786" s="156">
        <f t="shared" si="13"/>
        <v>0</v>
      </c>
      <c r="LL786" s="156">
        <f t="shared" si="14"/>
        <v>0</v>
      </c>
      <c r="LM786" s="160">
        <f t="shared" si="15"/>
        <v>0</v>
      </c>
      <c r="QX786" s="633"/>
    </row>
    <row r="787">
      <c r="A787" s="12"/>
      <c r="B787" s="12"/>
      <c r="C787" s="12"/>
      <c r="D787" s="12"/>
      <c r="E787" s="12"/>
      <c r="F787" s="12"/>
      <c r="G787" s="12"/>
      <c r="H787" s="12"/>
      <c r="I787" s="143">
        <f t="shared" si="22"/>
        <v>0</v>
      </c>
      <c r="J787" s="108"/>
      <c r="K787" s="203"/>
      <c r="L787" s="108"/>
      <c r="V787" s="161"/>
      <c r="X787" s="140"/>
      <c r="Y787" s="166">
        <f t="shared" si="23"/>
        <v>0</v>
      </c>
      <c r="Z787" s="26">
        <f t="shared" si="7"/>
        <v>0</v>
      </c>
      <c r="AA787" s="26">
        <f t="shared" si="8"/>
        <v>0</v>
      </c>
      <c r="AB787" s="26">
        <f t="shared" si="9"/>
        <v>0</v>
      </c>
      <c r="AC787" s="156">
        <v>0.0</v>
      </c>
      <c r="AD787" s="156">
        <v>0.0</v>
      </c>
      <c r="AE787" s="156">
        <v>0.0</v>
      </c>
      <c r="AF787" s="156">
        <v>0.0</v>
      </c>
      <c r="AG787" s="156">
        <v>0.0</v>
      </c>
      <c r="AH787" s="156">
        <v>0.0</v>
      </c>
      <c r="BN787" s="155">
        <v>0.0</v>
      </c>
      <c r="BO787" s="155">
        <v>0.0</v>
      </c>
      <c r="BP787" s="155">
        <v>0.0</v>
      </c>
      <c r="BQ787" s="155">
        <v>0.0</v>
      </c>
      <c r="BR787" s="155">
        <v>0.0</v>
      </c>
      <c r="BS787" s="155">
        <v>0.0</v>
      </c>
      <c r="CV787" s="156">
        <v>0.0</v>
      </c>
      <c r="CW787" s="156">
        <v>0.0</v>
      </c>
      <c r="CX787" s="156">
        <v>0.0</v>
      </c>
      <c r="CY787" s="156">
        <v>0.0</v>
      </c>
      <c r="CZ787" s="156">
        <v>0.0</v>
      </c>
      <c r="DA787" s="156">
        <v>0.0</v>
      </c>
      <c r="EG787" s="156">
        <v>0.0</v>
      </c>
      <c r="EH787" s="156">
        <v>0.0</v>
      </c>
      <c r="EI787" s="156">
        <v>0.0</v>
      </c>
      <c r="EJ787" s="156">
        <v>0.0</v>
      </c>
      <c r="EK787" s="156">
        <v>0.0</v>
      </c>
      <c r="EL787" s="156">
        <v>0.0</v>
      </c>
      <c r="FQ787" s="156">
        <v>0.0</v>
      </c>
      <c r="FR787" s="156">
        <v>0.0</v>
      </c>
      <c r="FS787" s="156">
        <v>0.0</v>
      </c>
      <c r="FT787" s="156">
        <v>0.0</v>
      </c>
      <c r="FU787" s="156">
        <v>0.0</v>
      </c>
      <c r="FV787" s="156">
        <v>0.0</v>
      </c>
      <c r="FW787" s="157"/>
      <c r="FX787" s="157"/>
      <c r="FY787" s="157"/>
      <c r="FZ787" s="157"/>
      <c r="GA787" s="157"/>
      <c r="GB787" s="157"/>
      <c r="GC787" s="157"/>
      <c r="GD787" s="157"/>
      <c r="GE787" s="157"/>
      <c r="GF787" s="157"/>
      <c r="GG787" s="157"/>
      <c r="GH787" s="157"/>
      <c r="GI787" s="157"/>
      <c r="GJ787" s="157"/>
      <c r="GK787" s="157"/>
      <c r="GL787" s="157"/>
      <c r="GM787" s="157"/>
      <c r="GN787" s="157"/>
      <c r="GO787" s="157"/>
      <c r="GP787" s="158"/>
      <c r="GQ787" s="157"/>
      <c r="GR787" s="157"/>
      <c r="GS787" s="157"/>
      <c r="GT787" s="157"/>
      <c r="GU787" s="157"/>
      <c r="GV787" s="157"/>
      <c r="GW787" s="157"/>
      <c r="GX787" s="157"/>
      <c r="GY787" s="157"/>
      <c r="GZ787" s="157"/>
      <c r="HA787" s="157"/>
      <c r="HB787" s="155">
        <v>0.0</v>
      </c>
      <c r="HC787" s="155">
        <v>0.0</v>
      </c>
      <c r="HD787" s="155">
        <v>0.0</v>
      </c>
      <c r="HE787" s="155">
        <v>0.0</v>
      </c>
      <c r="HF787" s="155">
        <v>0.0</v>
      </c>
      <c r="HG787" s="155">
        <v>0.0</v>
      </c>
      <c r="IL787" s="159">
        <v>0.0</v>
      </c>
      <c r="IM787" s="156">
        <v>0.0</v>
      </c>
      <c r="IN787" s="156">
        <v>0.0</v>
      </c>
      <c r="IO787" s="156">
        <v>0.0</v>
      </c>
      <c r="IP787" s="156">
        <v>0.0</v>
      </c>
      <c r="IQ787" s="160">
        <v>0.0</v>
      </c>
      <c r="JH787" s="25"/>
      <c r="JW787" s="159">
        <v>0.0</v>
      </c>
      <c r="JX787" s="156">
        <v>0.0</v>
      </c>
      <c r="JY787" s="156">
        <v>0.0</v>
      </c>
      <c r="JZ787" s="156">
        <v>0.0</v>
      </c>
      <c r="KA787" s="156">
        <v>0.0</v>
      </c>
      <c r="KB787" s="160">
        <v>0.0</v>
      </c>
      <c r="LH787" s="159">
        <f t="shared" si="10"/>
        <v>0</v>
      </c>
      <c r="LI787" s="156">
        <f t="shared" si="11"/>
        <v>0</v>
      </c>
      <c r="LJ787" s="156">
        <f t="shared" si="12"/>
        <v>0</v>
      </c>
      <c r="LK787" s="156">
        <f t="shared" si="13"/>
        <v>0</v>
      </c>
      <c r="LL787" s="156">
        <f t="shared" si="14"/>
        <v>0</v>
      </c>
      <c r="LM787" s="160">
        <f t="shared" si="15"/>
        <v>0</v>
      </c>
      <c r="QX787" s="633"/>
    </row>
    <row r="788">
      <c r="A788" s="12"/>
      <c r="B788" s="12"/>
      <c r="C788" s="12"/>
      <c r="D788" s="12"/>
      <c r="E788" s="12"/>
      <c r="F788" s="12"/>
      <c r="G788" s="12"/>
      <c r="H788" s="12"/>
      <c r="I788" s="143">
        <f t="shared" si="22"/>
        <v>0</v>
      </c>
      <c r="J788" s="108"/>
      <c r="K788" s="203"/>
      <c r="L788" s="108"/>
      <c r="V788" s="161"/>
      <c r="X788" s="140"/>
      <c r="Y788" s="166">
        <f t="shared" si="23"/>
        <v>0</v>
      </c>
      <c r="Z788" s="26">
        <f t="shared" si="7"/>
        <v>0</v>
      </c>
      <c r="AA788" s="26">
        <f t="shared" si="8"/>
        <v>0</v>
      </c>
      <c r="AB788" s="26">
        <f t="shared" si="9"/>
        <v>0</v>
      </c>
      <c r="AC788" s="156">
        <v>0.0</v>
      </c>
      <c r="AD788" s="156">
        <v>0.0</v>
      </c>
      <c r="AE788" s="156">
        <v>0.0</v>
      </c>
      <c r="AF788" s="156">
        <v>0.0</v>
      </c>
      <c r="AG788" s="156">
        <v>0.0</v>
      </c>
      <c r="AH788" s="156">
        <v>0.0</v>
      </c>
      <c r="BN788" s="155">
        <v>0.0</v>
      </c>
      <c r="BO788" s="155">
        <v>0.0</v>
      </c>
      <c r="BP788" s="155">
        <v>0.0</v>
      </c>
      <c r="BQ788" s="155">
        <v>0.0</v>
      </c>
      <c r="BR788" s="155">
        <v>0.0</v>
      </c>
      <c r="BS788" s="155">
        <v>0.0</v>
      </c>
      <c r="CV788" s="156">
        <v>0.0</v>
      </c>
      <c r="CW788" s="156">
        <v>0.0</v>
      </c>
      <c r="CX788" s="156">
        <v>0.0</v>
      </c>
      <c r="CY788" s="156">
        <v>0.0</v>
      </c>
      <c r="CZ788" s="156">
        <v>0.0</v>
      </c>
      <c r="DA788" s="156">
        <v>0.0</v>
      </c>
      <c r="EG788" s="156">
        <v>0.0</v>
      </c>
      <c r="EH788" s="156">
        <v>0.0</v>
      </c>
      <c r="EI788" s="156">
        <v>0.0</v>
      </c>
      <c r="EJ788" s="156">
        <v>0.0</v>
      </c>
      <c r="EK788" s="156">
        <v>0.0</v>
      </c>
      <c r="EL788" s="156">
        <v>0.0</v>
      </c>
      <c r="FQ788" s="156">
        <v>0.0</v>
      </c>
      <c r="FR788" s="156">
        <v>0.0</v>
      </c>
      <c r="FS788" s="156">
        <v>0.0</v>
      </c>
      <c r="FT788" s="156">
        <v>0.0</v>
      </c>
      <c r="FU788" s="156">
        <v>0.0</v>
      </c>
      <c r="FV788" s="156">
        <v>0.0</v>
      </c>
      <c r="FW788" s="157"/>
      <c r="FX788" s="157"/>
      <c r="FY788" s="157"/>
      <c r="FZ788" s="157"/>
      <c r="GA788" s="157"/>
      <c r="GB788" s="157"/>
      <c r="GC788" s="157"/>
      <c r="GD788" s="157"/>
      <c r="GE788" s="157"/>
      <c r="GF788" s="157"/>
      <c r="GG788" s="157"/>
      <c r="GH788" s="157"/>
      <c r="GI788" s="157"/>
      <c r="GJ788" s="157"/>
      <c r="GK788" s="157"/>
      <c r="GL788" s="157"/>
      <c r="GM788" s="157"/>
      <c r="GN788" s="157"/>
      <c r="GO788" s="157"/>
      <c r="GP788" s="158"/>
      <c r="GQ788" s="157"/>
      <c r="GR788" s="157"/>
      <c r="GS788" s="157"/>
      <c r="GT788" s="157"/>
      <c r="GU788" s="157"/>
      <c r="GV788" s="157"/>
      <c r="GW788" s="157"/>
      <c r="GX788" s="157"/>
      <c r="GY788" s="157"/>
      <c r="GZ788" s="157"/>
      <c r="HA788" s="157"/>
      <c r="HB788" s="155">
        <v>0.0</v>
      </c>
      <c r="HC788" s="155">
        <v>0.0</v>
      </c>
      <c r="HD788" s="155">
        <v>0.0</v>
      </c>
      <c r="HE788" s="155">
        <v>0.0</v>
      </c>
      <c r="HF788" s="155">
        <v>0.0</v>
      </c>
      <c r="HG788" s="155">
        <v>0.0</v>
      </c>
      <c r="IL788" s="159">
        <v>0.0</v>
      </c>
      <c r="IM788" s="156">
        <v>0.0</v>
      </c>
      <c r="IN788" s="156">
        <v>0.0</v>
      </c>
      <c r="IO788" s="156">
        <v>0.0</v>
      </c>
      <c r="IP788" s="156">
        <v>0.0</v>
      </c>
      <c r="IQ788" s="160">
        <v>0.0</v>
      </c>
      <c r="JH788" s="25"/>
      <c r="JW788" s="159">
        <v>0.0</v>
      </c>
      <c r="JX788" s="156">
        <v>0.0</v>
      </c>
      <c r="JY788" s="156">
        <v>0.0</v>
      </c>
      <c r="JZ788" s="156">
        <v>0.0</v>
      </c>
      <c r="KA788" s="156">
        <v>0.0</v>
      </c>
      <c r="KB788" s="160">
        <v>0.0</v>
      </c>
      <c r="LH788" s="159">
        <f t="shared" si="10"/>
        <v>0</v>
      </c>
      <c r="LI788" s="156">
        <f t="shared" si="11"/>
        <v>0</v>
      </c>
      <c r="LJ788" s="156">
        <f t="shared" si="12"/>
        <v>0</v>
      </c>
      <c r="LK788" s="156">
        <f t="shared" si="13"/>
        <v>0</v>
      </c>
      <c r="LL788" s="156">
        <f t="shared" si="14"/>
        <v>0</v>
      </c>
      <c r="LM788" s="160">
        <f t="shared" si="15"/>
        <v>0</v>
      </c>
      <c r="QX788" s="633"/>
    </row>
    <row r="789">
      <c r="A789" s="12"/>
      <c r="B789" s="12"/>
      <c r="C789" s="12"/>
      <c r="D789" s="12"/>
      <c r="E789" s="12"/>
      <c r="F789" s="12"/>
      <c r="G789" s="12"/>
      <c r="H789" s="12"/>
      <c r="I789" s="143">
        <f t="shared" si="22"/>
        <v>0</v>
      </c>
      <c r="J789" s="108"/>
      <c r="K789" s="203"/>
      <c r="L789" s="108"/>
      <c r="V789" s="161"/>
      <c r="X789" s="140"/>
      <c r="Y789" s="166">
        <f t="shared" si="23"/>
        <v>0</v>
      </c>
      <c r="Z789" s="26">
        <f t="shared" si="7"/>
        <v>0</v>
      </c>
      <c r="AA789" s="26">
        <f t="shared" si="8"/>
        <v>0</v>
      </c>
      <c r="AB789" s="26">
        <f t="shared" si="9"/>
        <v>0</v>
      </c>
      <c r="AC789" s="156">
        <v>0.0</v>
      </c>
      <c r="AD789" s="156">
        <v>0.0</v>
      </c>
      <c r="AE789" s="156">
        <v>0.0</v>
      </c>
      <c r="AF789" s="156">
        <v>0.0</v>
      </c>
      <c r="AG789" s="156">
        <v>0.0</v>
      </c>
      <c r="AH789" s="156">
        <v>0.0</v>
      </c>
      <c r="BN789" s="155">
        <v>0.0</v>
      </c>
      <c r="BO789" s="155">
        <v>0.0</v>
      </c>
      <c r="BP789" s="155">
        <v>0.0</v>
      </c>
      <c r="BQ789" s="155">
        <v>0.0</v>
      </c>
      <c r="BR789" s="155">
        <v>0.0</v>
      </c>
      <c r="BS789" s="155">
        <v>0.0</v>
      </c>
      <c r="CV789" s="156">
        <v>0.0</v>
      </c>
      <c r="CW789" s="156">
        <v>0.0</v>
      </c>
      <c r="CX789" s="156">
        <v>0.0</v>
      </c>
      <c r="CY789" s="156">
        <v>0.0</v>
      </c>
      <c r="CZ789" s="156">
        <v>0.0</v>
      </c>
      <c r="DA789" s="156">
        <v>0.0</v>
      </c>
      <c r="EG789" s="156">
        <v>0.0</v>
      </c>
      <c r="EH789" s="156">
        <v>0.0</v>
      </c>
      <c r="EI789" s="156">
        <v>0.0</v>
      </c>
      <c r="EJ789" s="156">
        <v>0.0</v>
      </c>
      <c r="EK789" s="156">
        <v>0.0</v>
      </c>
      <c r="EL789" s="156">
        <v>0.0</v>
      </c>
      <c r="FQ789" s="156">
        <v>0.0</v>
      </c>
      <c r="FR789" s="156">
        <v>0.0</v>
      </c>
      <c r="FS789" s="156">
        <v>0.0</v>
      </c>
      <c r="FT789" s="156">
        <v>0.0</v>
      </c>
      <c r="FU789" s="156">
        <v>0.0</v>
      </c>
      <c r="FV789" s="156">
        <v>0.0</v>
      </c>
      <c r="FW789" s="157"/>
      <c r="FX789" s="157"/>
      <c r="FY789" s="157"/>
      <c r="FZ789" s="157"/>
      <c r="GA789" s="157"/>
      <c r="GB789" s="157"/>
      <c r="GC789" s="157"/>
      <c r="GD789" s="157"/>
      <c r="GE789" s="157"/>
      <c r="GF789" s="157"/>
      <c r="GG789" s="157"/>
      <c r="GH789" s="157"/>
      <c r="GI789" s="157"/>
      <c r="GJ789" s="157"/>
      <c r="GK789" s="157"/>
      <c r="GL789" s="157"/>
      <c r="GM789" s="157"/>
      <c r="GN789" s="157"/>
      <c r="GO789" s="157"/>
      <c r="GP789" s="158"/>
      <c r="GQ789" s="157"/>
      <c r="GR789" s="157"/>
      <c r="GS789" s="157"/>
      <c r="GT789" s="157"/>
      <c r="GU789" s="157"/>
      <c r="GV789" s="157"/>
      <c r="GW789" s="157"/>
      <c r="GX789" s="157"/>
      <c r="GY789" s="157"/>
      <c r="GZ789" s="157"/>
      <c r="HA789" s="157"/>
      <c r="HB789" s="155">
        <v>0.0</v>
      </c>
      <c r="HC789" s="155">
        <v>0.0</v>
      </c>
      <c r="HD789" s="155">
        <v>0.0</v>
      </c>
      <c r="HE789" s="155">
        <v>0.0</v>
      </c>
      <c r="HF789" s="155">
        <v>0.0</v>
      </c>
      <c r="HG789" s="155">
        <v>0.0</v>
      </c>
      <c r="IL789" s="159">
        <v>0.0</v>
      </c>
      <c r="IM789" s="156">
        <v>0.0</v>
      </c>
      <c r="IN789" s="156">
        <v>0.0</v>
      </c>
      <c r="IO789" s="156">
        <v>0.0</v>
      </c>
      <c r="IP789" s="156">
        <v>0.0</v>
      </c>
      <c r="IQ789" s="160">
        <v>0.0</v>
      </c>
      <c r="JH789" s="25"/>
      <c r="JW789" s="159">
        <v>0.0</v>
      </c>
      <c r="JX789" s="156">
        <v>0.0</v>
      </c>
      <c r="JY789" s="156">
        <v>0.0</v>
      </c>
      <c r="JZ789" s="156">
        <v>0.0</v>
      </c>
      <c r="KA789" s="156">
        <v>0.0</v>
      </c>
      <c r="KB789" s="160">
        <v>0.0</v>
      </c>
      <c r="LH789" s="159">
        <f t="shared" si="10"/>
        <v>0</v>
      </c>
      <c r="LI789" s="156">
        <f t="shared" si="11"/>
        <v>0</v>
      </c>
      <c r="LJ789" s="156">
        <f t="shared" si="12"/>
        <v>0</v>
      </c>
      <c r="LK789" s="156">
        <f t="shared" si="13"/>
        <v>0</v>
      </c>
      <c r="LL789" s="156">
        <f t="shared" si="14"/>
        <v>0</v>
      </c>
      <c r="LM789" s="160">
        <f t="shared" si="15"/>
        <v>0</v>
      </c>
      <c r="QX789" s="633"/>
    </row>
    <row r="790">
      <c r="A790" s="12"/>
      <c r="B790" s="12"/>
      <c r="C790" s="12"/>
      <c r="D790" s="12"/>
      <c r="E790" s="12"/>
      <c r="F790" s="12"/>
      <c r="G790" s="12"/>
      <c r="H790" s="12"/>
      <c r="I790" s="143">
        <f t="shared" si="22"/>
        <v>0</v>
      </c>
      <c r="J790" s="108"/>
      <c r="K790" s="203"/>
      <c r="L790" s="108"/>
      <c r="V790" s="161"/>
      <c r="X790" s="140"/>
      <c r="Y790" s="166">
        <f t="shared" si="23"/>
        <v>0</v>
      </c>
      <c r="Z790" s="26">
        <f t="shared" si="7"/>
        <v>0</v>
      </c>
      <c r="AA790" s="26">
        <f t="shared" si="8"/>
        <v>0</v>
      </c>
      <c r="AB790" s="26">
        <f t="shared" si="9"/>
        <v>0</v>
      </c>
      <c r="AC790" s="156">
        <v>0.0</v>
      </c>
      <c r="AD790" s="156">
        <v>0.0</v>
      </c>
      <c r="AE790" s="156">
        <v>0.0</v>
      </c>
      <c r="AF790" s="156">
        <v>0.0</v>
      </c>
      <c r="AG790" s="156">
        <v>0.0</v>
      </c>
      <c r="AH790" s="156">
        <v>0.0</v>
      </c>
      <c r="BN790" s="155">
        <v>0.0</v>
      </c>
      <c r="BO790" s="155">
        <v>0.0</v>
      </c>
      <c r="BP790" s="155">
        <v>0.0</v>
      </c>
      <c r="BQ790" s="155">
        <v>0.0</v>
      </c>
      <c r="BR790" s="155">
        <v>0.0</v>
      </c>
      <c r="BS790" s="155">
        <v>0.0</v>
      </c>
      <c r="CV790" s="156">
        <v>0.0</v>
      </c>
      <c r="CW790" s="156">
        <v>0.0</v>
      </c>
      <c r="CX790" s="156">
        <v>0.0</v>
      </c>
      <c r="CY790" s="156">
        <v>0.0</v>
      </c>
      <c r="CZ790" s="156">
        <v>0.0</v>
      </c>
      <c r="DA790" s="156">
        <v>0.0</v>
      </c>
      <c r="EG790" s="156">
        <v>0.0</v>
      </c>
      <c r="EH790" s="156">
        <v>0.0</v>
      </c>
      <c r="EI790" s="156">
        <v>0.0</v>
      </c>
      <c r="EJ790" s="156">
        <v>0.0</v>
      </c>
      <c r="EK790" s="156">
        <v>0.0</v>
      </c>
      <c r="EL790" s="156">
        <v>0.0</v>
      </c>
      <c r="FQ790" s="156">
        <v>0.0</v>
      </c>
      <c r="FR790" s="156">
        <v>0.0</v>
      </c>
      <c r="FS790" s="156">
        <v>0.0</v>
      </c>
      <c r="FT790" s="156">
        <v>0.0</v>
      </c>
      <c r="FU790" s="156">
        <v>0.0</v>
      </c>
      <c r="FV790" s="156">
        <v>0.0</v>
      </c>
      <c r="FW790" s="157"/>
      <c r="FX790" s="157"/>
      <c r="FY790" s="157"/>
      <c r="FZ790" s="157"/>
      <c r="GA790" s="157"/>
      <c r="GB790" s="157"/>
      <c r="GC790" s="157"/>
      <c r="GD790" s="157"/>
      <c r="GE790" s="157"/>
      <c r="GF790" s="157"/>
      <c r="GG790" s="157"/>
      <c r="GH790" s="157"/>
      <c r="GI790" s="157"/>
      <c r="GJ790" s="157"/>
      <c r="GK790" s="157"/>
      <c r="GL790" s="157"/>
      <c r="GM790" s="157"/>
      <c r="GN790" s="157"/>
      <c r="GO790" s="157"/>
      <c r="GP790" s="158"/>
      <c r="GQ790" s="157"/>
      <c r="GR790" s="157"/>
      <c r="GS790" s="157"/>
      <c r="GT790" s="157"/>
      <c r="GU790" s="157"/>
      <c r="GV790" s="157"/>
      <c r="GW790" s="157"/>
      <c r="GX790" s="157"/>
      <c r="GY790" s="157"/>
      <c r="GZ790" s="157"/>
      <c r="HA790" s="157"/>
      <c r="HB790" s="155">
        <v>0.0</v>
      </c>
      <c r="HC790" s="155">
        <v>0.0</v>
      </c>
      <c r="HD790" s="155">
        <v>0.0</v>
      </c>
      <c r="HE790" s="155">
        <v>0.0</v>
      </c>
      <c r="HF790" s="155">
        <v>0.0</v>
      </c>
      <c r="HG790" s="155">
        <v>0.0</v>
      </c>
      <c r="IL790" s="159">
        <v>0.0</v>
      </c>
      <c r="IM790" s="156">
        <v>0.0</v>
      </c>
      <c r="IN790" s="156">
        <v>0.0</v>
      </c>
      <c r="IO790" s="156">
        <v>0.0</v>
      </c>
      <c r="IP790" s="156">
        <v>0.0</v>
      </c>
      <c r="IQ790" s="160">
        <v>0.0</v>
      </c>
      <c r="JH790" s="25"/>
      <c r="JW790" s="159">
        <v>0.0</v>
      </c>
      <c r="JX790" s="156">
        <v>0.0</v>
      </c>
      <c r="JY790" s="156">
        <v>0.0</v>
      </c>
      <c r="JZ790" s="156">
        <v>0.0</v>
      </c>
      <c r="KA790" s="156">
        <v>0.0</v>
      </c>
      <c r="KB790" s="160">
        <v>0.0</v>
      </c>
      <c r="LH790" s="159">
        <f t="shared" si="10"/>
        <v>0</v>
      </c>
      <c r="LI790" s="156">
        <f t="shared" si="11"/>
        <v>0</v>
      </c>
      <c r="LJ790" s="156">
        <f t="shared" si="12"/>
        <v>0</v>
      </c>
      <c r="LK790" s="156">
        <f t="shared" si="13"/>
        <v>0</v>
      </c>
      <c r="LL790" s="156">
        <f t="shared" si="14"/>
        <v>0</v>
      </c>
      <c r="LM790" s="160">
        <f t="shared" si="15"/>
        <v>0</v>
      </c>
      <c r="QX790" s="633"/>
    </row>
    <row r="791">
      <c r="A791" s="12"/>
      <c r="B791" s="12"/>
      <c r="C791" s="12"/>
      <c r="D791" s="12"/>
      <c r="E791" s="12"/>
      <c r="F791" s="12"/>
      <c r="G791" s="12"/>
      <c r="H791" s="12"/>
      <c r="I791" s="143">
        <f t="shared" si="22"/>
        <v>0</v>
      </c>
      <c r="J791" s="108"/>
      <c r="K791" s="203"/>
      <c r="L791" s="108"/>
      <c r="V791" s="161"/>
      <c r="X791" s="140"/>
      <c r="Y791" s="166">
        <f t="shared" si="23"/>
        <v>0</v>
      </c>
      <c r="Z791" s="26">
        <f t="shared" si="7"/>
        <v>0</v>
      </c>
      <c r="AA791" s="26">
        <f t="shared" si="8"/>
        <v>0</v>
      </c>
      <c r="AB791" s="26">
        <f t="shared" si="9"/>
        <v>0</v>
      </c>
      <c r="AC791" s="156">
        <v>0.0</v>
      </c>
      <c r="AD791" s="156">
        <v>0.0</v>
      </c>
      <c r="AE791" s="156">
        <v>0.0</v>
      </c>
      <c r="AF791" s="156">
        <v>0.0</v>
      </c>
      <c r="AG791" s="156">
        <v>0.0</v>
      </c>
      <c r="AH791" s="156">
        <v>0.0</v>
      </c>
      <c r="BN791" s="155">
        <v>0.0</v>
      </c>
      <c r="BO791" s="155">
        <v>0.0</v>
      </c>
      <c r="BP791" s="155">
        <v>0.0</v>
      </c>
      <c r="BQ791" s="155">
        <v>0.0</v>
      </c>
      <c r="BR791" s="155">
        <v>0.0</v>
      </c>
      <c r="BS791" s="155">
        <v>0.0</v>
      </c>
      <c r="CV791" s="156">
        <v>0.0</v>
      </c>
      <c r="CW791" s="156">
        <v>0.0</v>
      </c>
      <c r="CX791" s="156">
        <v>0.0</v>
      </c>
      <c r="CY791" s="156">
        <v>0.0</v>
      </c>
      <c r="CZ791" s="156">
        <v>0.0</v>
      </c>
      <c r="DA791" s="156">
        <v>0.0</v>
      </c>
      <c r="EG791" s="156">
        <v>0.0</v>
      </c>
      <c r="EH791" s="156">
        <v>0.0</v>
      </c>
      <c r="EI791" s="156">
        <v>0.0</v>
      </c>
      <c r="EJ791" s="156">
        <v>0.0</v>
      </c>
      <c r="EK791" s="156">
        <v>0.0</v>
      </c>
      <c r="EL791" s="156">
        <v>0.0</v>
      </c>
      <c r="FQ791" s="156">
        <v>0.0</v>
      </c>
      <c r="FR791" s="156">
        <v>0.0</v>
      </c>
      <c r="FS791" s="156">
        <v>0.0</v>
      </c>
      <c r="FT791" s="156">
        <v>0.0</v>
      </c>
      <c r="FU791" s="156">
        <v>0.0</v>
      </c>
      <c r="FV791" s="156">
        <v>0.0</v>
      </c>
      <c r="FW791" s="157"/>
      <c r="FX791" s="157"/>
      <c r="FY791" s="157"/>
      <c r="FZ791" s="157"/>
      <c r="GA791" s="157"/>
      <c r="GB791" s="157"/>
      <c r="GC791" s="157"/>
      <c r="GD791" s="157"/>
      <c r="GE791" s="157"/>
      <c r="GF791" s="157"/>
      <c r="GG791" s="157"/>
      <c r="GH791" s="157"/>
      <c r="GI791" s="157"/>
      <c r="GJ791" s="157"/>
      <c r="GK791" s="157"/>
      <c r="GL791" s="157"/>
      <c r="GM791" s="157"/>
      <c r="GN791" s="157"/>
      <c r="GO791" s="157"/>
      <c r="GP791" s="158"/>
      <c r="GQ791" s="157"/>
      <c r="GR791" s="157"/>
      <c r="GS791" s="157"/>
      <c r="GT791" s="157"/>
      <c r="GU791" s="157"/>
      <c r="GV791" s="157"/>
      <c r="GW791" s="157"/>
      <c r="GX791" s="157"/>
      <c r="GY791" s="157"/>
      <c r="GZ791" s="157"/>
      <c r="HA791" s="157"/>
      <c r="HB791" s="155">
        <v>0.0</v>
      </c>
      <c r="HC791" s="155">
        <v>0.0</v>
      </c>
      <c r="HD791" s="155">
        <v>0.0</v>
      </c>
      <c r="HE791" s="155">
        <v>0.0</v>
      </c>
      <c r="HF791" s="155">
        <v>0.0</v>
      </c>
      <c r="HG791" s="155">
        <v>0.0</v>
      </c>
      <c r="IL791" s="159">
        <v>0.0</v>
      </c>
      <c r="IM791" s="156">
        <v>0.0</v>
      </c>
      <c r="IN791" s="156">
        <v>0.0</v>
      </c>
      <c r="IO791" s="156">
        <v>0.0</v>
      </c>
      <c r="IP791" s="156">
        <v>0.0</v>
      </c>
      <c r="IQ791" s="160">
        <v>0.0</v>
      </c>
      <c r="JH791" s="25"/>
      <c r="JW791" s="159">
        <v>0.0</v>
      </c>
      <c r="JX791" s="156">
        <v>0.0</v>
      </c>
      <c r="JY791" s="156">
        <v>0.0</v>
      </c>
      <c r="JZ791" s="156">
        <v>0.0</v>
      </c>
      <c r="KA791" s="156">
        <v>0.0</v>
      </c>
      <c r="KB791" s="160">
        <v>0.0</v>
      </c>
      <c r="LH791" s="159">
        <f t="shared" si="10"/>
        <v>0</v>
      </c>
      <c r="LI791" s="156">
        <f t="shared" si="11"/>
        <v>0</v>
      </c>
      <c r="LJ791" s="156">
        <f t="shared" si="12"/>
        <v>0</v>
      </c>
      <c r="LK791" s="156">
        <f t="shared" si="13"/>
        <v>0</v>
      </c>
      <c r="LL791" s="156">
        <f t="shared" si="14"/>
        <v>0</v>
      </c>
      <c r="LM791" s="160">
        <f t="shared" si="15"/>
        <v>0</v>
      </c>
      <c r="QX791" s="633"/>
    </row>
    <row r="792">
      <c r="A792" s="12"/>
      <c r="B792" s="12"/>
      <c r="C792" s="12"/>
      <c r="D792" s="12"/>
      <c r="E792" s="12"/>
      <c r="F792" s="12"/>
      <c r="G792" s="12"/>
      <c r="H792" s="12"/>
      <c r="I792" s="143">
        <f t="shared" si="22"/>
        <v>0</v>
      </c>
      <c r="J792" s="108"/>
      <c r="K792" s="203"/>
      <c r="L792" s="108"/>
      <c r="V792" s="161"/>
      <c r="X792" s="140"/>
      <c r="Y792" s="166">
        <f t="shared" si="23"/>
        <v>0</v>
      </c>
      <c r="Z792" s="26">
        <f t="shared" si="7"/>
        <v>0</v>
      </c>
      <c r="AA792" s="26">
        <f t="shared" si="8"/>
        <v>0</v>
      </c>
      <c r="AB792" s="26">
        <f t="shared" si="9"/>
        <v>0</v>
      </c>
      <c r="AC792" s="156">
        <v>0.0</v>
      </c>
      <c r="AD792" s="156">
        <v>0.0</v>
      </c>
      <c r="AE792" s="156">
        <v>0.0</v>
      </c>
      <c r="AF792" s="156">
        <v>0.0</v>
      </c>
      <c r="AG792" s="156">
        <v>0.0</v>
      </c>
      <c r="AH792" s="156">
        <v>0.0</v>
      </c>
      <c r="BN792" s="155">
        <v>0.0</v>
      </c>
      <c r="BO792" s="155">
        <v>0.0</v>
      </c>
      <c r="BP792" s="155">
        <v>0.0</v>
      </c>
      <c r="BQ792" s="155">
        <v>0.0</v>
      </c>
      <c r="BR792" s="155">
        <v>0.0</v>
      </c>
      <c r="BS792" s="155">
        <v>0.0</v>
      </c>
      <c r="CV792" s="156">
        <v>0.0</v>
      </c>
      <c r="CW792" s="156">
        <v>0.0</v>
      </c>
      <c r="CX792" s="156">
        <v>0.0</v>
      </c>
      <c r="CY792" s="156">
        <v>0.0</v>
      </c>
      <c r="CZ792" s="156">
        <v>0.0</v>
      </c>
      <c r="DA792" s="156">
        <v>0.0</v>
      </c>
      <c r="EG792" s="156">
        <v>0.0</v>
      </c>
      <c r="EH792" s="156">
        <v>0.0</v>
      </c>
      <c r="EI792" s="156">
        <v>0.0</v>
      </c>
      <c r="EJ792" s="156">
        <v>0.0</v>
      </c>
      <c r="EK792" s="156">
        <v>0.0</v>
      </c>
      <c r="EL792" s="156">
        <v>0.0</v>
      </c>
      <c r="FQ792" s="156">
        <v>0.0</v>
      </c>
      <c r="FR792" s="156">
        <v>0.0</v>
      </c>
      <c r="FS792" s="156">
        <v>0.0</v>
      </c>
      <c r="FT792" s="156">
        <v>0.0</v>
      </c>
      <c r="FU792" s="156">
        <v>0.0</v>
      </c>
      <c r="FV792" s="156">
        <v>0.0</v>
      </c>
      <c r="FW792" s="157"/>
      <c r="FX792" s="157"/>
      <c r="FY792" s="157"/>
      <c r="FZ792" s="157"/>
      <c r="GA792" s="157"/>
      <c r="GB792" s="157"/>
      <c r="GC792" s="157"/>
      <c r="GD792" s="157"/>
      <c r="GE792" s="157"/>
      <c r="GF792" s="157"/>
      <c r="GG792" s="157"/>
      <c r="GH792" s="157"/>
      <c r="GI792" s="157"/>
      <c r="GJ792" s="157"/>
      <c r="GK792" s="157"/>
      <c r="GL792" s="157"/>
      <c r="GM792" s="157"/>
      <c r="GN792" s="157"/>
      <c r="GO792" s="157"/>
      <c r="GP792" s="158"/>
      <c r="GQ792" s="157"/>
      <c r="GR792" s="157"/>
      <c r="GS792" s="157"/>
      <c r="GT792" s="157"/>
      <c r="GU792" s="157"/>
      <c r="GV792" s="157"/>
      <c r="GW792" s="157"/>
      <c r="GX792" s="157"/>
      <c r="GY792" s="157"/>
      <c r="GZ792" s="157"/>
      <c r="HA792" s="157"/>
      <c r="HB792" s="155">
        <v>0.0</v>
      </c>
      <c r="HC792" s="155">
        <v>0.0</v>
      </c>
      <c r="HD792" s="155">
        <v>0.0</v>
      </c>
      <c r="HE792" s="155">
        <v>0.0</v>
      </c>
      <c r="HF792" s="155">
        <v>0.0</v>
      </c>
      <c r="HG792" s="155">
        <v>0.0</v>
      </c>
      <c r="IL792" s="159">
        <v>0.0</v>
      </c>
      <c r="IM792" s="156">
        <v>0.0</v>
      </c>
      <c r="IN792" s="156">
        <v>0.0</v>
      </c>
      <c r="IO792" s="156">
        <v>0.0</v>
      </c>
      <c r="IP792" s="156">
        <v>0.0</v>
      </c>
      <c r="IQ792" s="160">
        <v>0.0</v>
      </c>
      <c r="JH792" s="25"/>
      <c r="JW792" s="159">
        <v>0.0</v>
      </c>
      <c r="JX792" s="156">
        <v>0.0</v>
      </c>
      <c r="JY792" s="156">
        <v>0.0</v>
      </c>
      <c r="JZ792" s="156">
        <v>0.0</v>
      </c>
      <c r="KA792" s="156">
        <v>0.0</v>
      </c>
      <c r="KB792" s="160">
        <v>0.0</v>
      </c>
      <c r="LH792" s="159">
        <f t="shared" si="10"/>
        <v>0</v>
      </c>
      <c r="LI792" s="156">
        <f t="shared" si="11"/>
        <v>0</v>
      </c>
      <c r="LJ792" s="156">
        <f t="shared" si="12"/>
        <v>0</v>
      </c>
      <c r="LK792" s="156">
        <f t="shared" si="13"/>
        <v>0</v>
      </c>
      <c r="LL792" s="156">
        <f t="shared" si="14"/>
        <v>0</v>
      </c>
      <c r="LM792" s="160">
        <f t="shared" si="15"/>
        <v>0</v>
      </c>
      <c r="QX792" s="633"/>
    </row>
    <row r="793">
      <c r="A793" s="12"/>
      <c r="B793" s="12"/>
      <c r="C793" s="12"/>
      <c r="D793" s="12"/>
      <c r="E793" s="12"/>
      <c r="F793" s="12"/>
      <c r="G793" s="12"/>
      <c r="H793" s="12"/>
      <c r="I793" s="143">
        <f t="shared" si="22"/>
        <v>0</v>
      </c>
      <c r="J793" s="108"/>
      <c r="K793" s="203"/>
      <c r="L793" s="108"/>
      <c r="V793" s="161"/>
      <c r="X793" s="140"/>
      <c r="Y793" s="166">
        <f t="shared" si="23"/>
        <v>0</v>
      </c>
      <c r="Z793" s="26">
        <f t="shared" si="7"/>
        <v>0</v>
      </c>
      <c r="AA793" s="26">
        <f t="shared" si="8"/>
        <v>0</v>
      </c>
      <c r="AB793" s="26">
        <f t="shared" si="9"/>
        <v>0</v>
      </c>
      <c r="AC793" s="156">
        <v>0.0</v>
      </c>
      <c r="AD793" s="156">
        <v>0.0</v>
      </c>
      <c r="AE793" s="156">
        <v>0.0</v>
      </c>
      <c r="AF793" s="156">
        <v>0.0</v>
      </c>
      <c r="AG793" s="156">
        <v>0.0</v>
      </c>
      <c r="AH793" s="156">
        <v>0.0</v>
      </c>
      <c r="BN793" s="155">
        <v>0.0</v>
      </c>
      <c r="BO793" s="155">
        <v>0.0</v>
      </c>
      <c r="BP793" s="155">
        <v>0.0</v>
      </c>
      <c r="BQ793" s="155">
        <v>0.0</v>
      </c>
      <c r="BR793" s="155">
        <v>0.0</v>
      </c>
      <c r="BS793" s="155">
        <v>0.0</v>
      </c>
      <c r="CV793" s="156">
        <v>0.0</v>
      </c>
      <c r="CW793" s="156">
        <v>0.0</v>
      </c>
      <c r="CX793" s="156">
        <v>0.0</v>
      </c>
      <c r="CY793" s="156">
        <v>0.0</v>
      </c>
      <c r="CZ793" s="156">
        <v>0.0</v>
      </c>
      <c r="DA793" s="156">
        <v>0.0</v>
      </c>
      <c r="EG793" s="156">
        <v>0.0</v>
      </c>
      <c r="EH793" s="156">
        <v>0.0</v>
      </c>
      <c r="EI793" s="156">
        <v>0.0</v>
      </c>
      <c r="EJ793" s="156">
        <v>0.0</v>
      </c>
      <c r="EK793" s="156">
        <v>0.0</v>
      </c>
      <c r="EL793" s="156">
        <v>0.0</v>
      </c>
      <c r="FQ793" s="156">
        <v>0.0</v>
      </c>
      <c r="FR793" s="156">
        <v>0.0</v>
      </c>
      <c r="FS793" s="156">
        <v>0.0</v>
      </c>
      <c r="FT793" s="156">
        <v>0.0</v>
      </c>
      <c r="FU793" s="156">
        <v>0.0</v>
      </c>
      <c r="FV793" s="156">
        <v>0.0</v>
      </c>
      <c r="FW793" s="157"/>
      <c r="FX793" s="157"/>
      <c r="FY793" s="157"/>
      <c r="FZ793" s="157"/>
      <c r="GA793" s="157"/>
      <c r="GB793" s="157"/>
      <c r="GC793" s="157"/>
      <c r="GD793" s="157"/>
      <c r="GE793" s="157"/>
      <c r="GF793" s="157"/>
      <c r="GG793" s="157"/>
      <c r="GH793" s="157"/>
      <c r="GI793" s="157"/>
      <c r="GJ793" s="157"/>
      <c r="GK793" s="157"/>
      <c r="GL793" s="157"/>
      <c r="GM793" s="157"/>
      <c r="GN793" s="157"/>
      <c r="GO793" s="157"/>
      <c r="GP793" s="158"/>
      <c r="GQ793" s="157"/>
      <c r="GR793" s="157"/>
      <c r="GS793" s="157"/>
      <c r="GT793" s="157"/>
      <c r="GU793" s="157"/>
      <c r="GV793" s="157"/>
      <c r="GW793" s="157"/>
      <c r="GX793" s="157"/>
      <c r="GY793" s="157"/>
      <c r="GZ793" s="157"/>
      <c r="HA793" s="157"/>
      <c r="HB793" s="155">
        <v>0.0</v>
      </c>
      <c r="HC793" s="155">
        <v>0.0</v>
      </c>
      <c r="HD793" s="155">
        <v>0.0</v>
      </c>
      <c r="HE793" s="155">
        <v>0.0</v>
      </c>
      <c r="HF793" s="155">
        <v>0.0</v>
      </c>
      <c r="HG793" s="155">
        <v>0.0</v>
      </c>
      <c r="IL793" s="159">
        <v>0.0</v>
      </c>
      <c r="IM793" s="156">
        <v>0.0</v>
      </c>
      <c r="IN793" s="156">
        <v>0.0</v>
      </c>
      <c r="IO793" s="156">
        <v>0.0</v>
      </c>
      <c r="IP793" s="156">
        <v>0.0</v>
      </c>
      <c r="IQ793" s="160">
        <v>0.0</v>
      </c>
      <c r="JH793" s="25"/>
      <c r="JW793" s="159">
        <v>0.0</v>
      </c>
      <c r="JX793" s="156">
        <v>0.0</v>
      </c>
      <c r="JY793" s="156">
        <v>0.0</v>
      </c>
      <c r="JZ793" s="156">
        <v>0.0</v>
      </c>
      <c r="KA793" s="156">
        <v>0.0</v>
      </c>
      <c r="KB793" s="160">
        <v>0.0</v>
      </c>
      <c r="LH793" s="159">
        <f t="shared" si="10"/>
        <v>0</v>
      </c>
      <c r="LI793" s="156">
        <f t="shared" si="11"/>
        <v>0</v>
      </c>
      <c r="LJ793" s="156">
        <f t="shared" si="12"/>
        <v>0</v>
      </c>
      <c r="LK793" s="156">
        <f t="shared" si="13"/>
        <v>0</v>
      </c>
      <c r="LL793" s="156">
        <f t="shared" si="14"/>
        <v>0</v>
      </c>
      <c r="LM793" s="160">
        <f t="shared" si="15"/>
        <v>0</v>
      </c>
      <c r="QX793" s="633"/>
    </row>
    <row r="794">
      <c r="A794" s="12"/>
      <c r="B794" s="12"/>
      <c r="C794" s="12"/>
      <c r="D794" s="12"/>
      <c r="E794" s="12"/>
      <c r="F794" s="12"/>
      <c r="G794" s="12"/>
      <c r="H794" s="12"/>
      <c r="I794" s="143">
        <f t="shared" si="22"/>
        <v>0</v>
      </c>
      <c r="J794" s="108"/>
      <c r="K794" s="203"/>
      <c r="L794" s="108"/>
      <c r="V794" s="161"/>
      <c r="X794" s="140"/>
      <c r="Y794" s="166">
        <f t="shared" si="23"/>
        <v>0</v>
      </c>
      <c r="Z794" s="26">
        <f t="shared" si="7"/>
        <v>0</v>
      </c>
      <c r="AA794" s="26">
        <f t="shared" si="8"/>
        <v>0</v>
      </c>
      <c r="AB794" s="26">
        <f t="shared" si="9"/>
        <v>0</v>
      </c>
      <c r="AC794" s="156">
        <v>0.0</v>
      </c>
      <c r="AD794" s="156">
        <v>0.0</v>
      </c>
      <c r="AE794" s="156">
        <v>0.0</v>
      </c>
      <c r="AF794" s="156">
        <v>0.0</v>
      </c>
      <c r="AG794" s="156">
        <v>0.0</v>
      </c>
      <c r="AH794" s="156">
        <v>0.0</v>
      </c>
      <c r="BN794" s="155">
        <v>0.0</v>
      </c>
      <c r="BO794" s="155">
        <v>0.0</v>
      </c>
      <c r="BP794" s="155">
        <v>0.0</v>
      </c>
      <c r="BQ794" s="155">
        <v>0.0</v>
      </c>
      <c r="BR794" s="155">
        <v>0.0</v>
      </c>
      <c r="BS794" s="155">
        <v>0.0</v>
      </c>
      <c r="CV794" s="156">
        <v>0.0</v>
      </c>
      <c r="CW794" s="156">
        <v>0.0</v>
      </c>
      <c r="CX794" s="156">
        <v>0.0</v>
      </c>
      <c r="CY794" s="156">
        <v>0.0</v>
      </c>
      <c r="CZ794" s="156">
        <v>0.0</v>
      </c>
      <c r="DA794" s="156">
        <v>0.0</v>
      </c>
      <c r="EG794" s="156">
        <v>0.0</v>
      </c>
      <c r="EH794" s="156">
        <v>0.0</v>
      </c>
      <c r="EI794" s="156">
        <v>0.0</v>
      </c>
      <c r="EJ794" s="156">
        <v>0.0</v>
      </c>
      <c r="EK794" s="156">
        <v>0.0</v>
      </c>
      <c r="EL794" s="156">
        <v>0.0</v>
      </c>
      <c r="FQ794" s="156">
        <v>0.0</v>
      </c>
      <c r="FR794" s="156">
        <v>0.0</v>
      </c>
      <c r="FS794" s="156">
        <v>0.0</v>
      </c>
      <c r="FT794" s="156">
        <v>0.0</v>
      </c>
      <c r="FU794" s="156">
        <v>0.0</v>
      </c>
      <c r="FV794" s="156">
        <v>0.0</v>
      </c>
      <c r="FW794" s="157"/>
      <c r="FX794" s="157"/>
      <c r="FY794" s="157"/>
      <c r="FZ794" s="157"/>
      <c r="GA794" s="157"/>
      <c r="GB794" s="157"/>
      <c r="GC794" s="157"/>
      <c r="GD794" s="157"/>
      <c r="GE794" s="157"/>
      <c r="GF794" s="157"/>
      <c r="GG794" s="157"/>
      <c r="GH794" s="157"/>
      <c r="GI794" s="157"/>
      <c r="GJ794" s="157"/>
      <c r="GK794" s="157"/>
      <c r="GL794" s="157"/>
      <c r="GM794" s="157"/>
      <c r="GN794" s="157"/>
      <c r="GO794" s="157"/>
      <c r="GP794" s="158"/>
      <c r="GQ794" s="157"/>
      <c r="GR794" s="157"/>
      <c r="GS794" s="157"/>
      <c r="GT794" s="157"/>
      <c r="GU794" s="157"/>
      <c r="GV794" s="157"/>
      <c r="GW794" s="157"/>
      <c r="GX794" s="157"/>
      <c r="GY794" s="157"/>
      <c r="GZ794" s="157"/>
      <c r="HA794" s="157"/>
      <c r="HB794" s="155">
        <v>0.0</v>
      </c>
      <c r="HC794" s="155">
        <v>0.0</v>
      </c>
      <c r="HD794" s="155">
        <v>0.0</v>
      </c>
      <c r="HE794" s="155">
        <v>0.0</v>
      </c>
      <c r="HF794" s="155">
        <v>0.0</v>
      </c>
      <c r="HG794" s="155">
        <v>0.0</v>
      </c>
      <c r="IL794" s="159">
        <v>0.0</v>
      </c>
      <c r="IM794" s="156">
        <v>0.0</v>
      </c>
      <c r="IN794" s="156">
        <v>0.0</v>
      </c>
      <c r="IO794" s="156">
        <v>0.0</v>
      </c>
      <c r="IP794" s="156">
        <v>0.0</v>
      </c>
      <c r="IQ794" s="160">
        <v>0.0</v>
      </c>
      <c r="JH794" s="25"/>
      <c r="JW794" s="159">
        <v>0.0</v>
      </c>
      <c r="JX794" s="156">
        <v>0.0</v>
      </c>
      <c r="JY794" s="156">
        <v>0.0</v>
      </c>
      <c r="JZ794" s="156">
        <v>0.0</v>
      </c>
      <c r="KA794" s="156">
        <v>0.0</v>
      </c>
      <c r="KB794" s="160">
        <v>0.0</v>
      </c>
      <c r="LH794" s="159">
        <f t="shared" si="10"/>
        <v>0</v>
      </c>
      <c r="LI794" s="156">
        <f t="shared" si="11"/>
        <v>0</v>
      </c>
      <c r="LJ794" s="156">
        <f t="shared" si="12"/>
        <v>0</v>
      </c>
      <c r="LK794" s="156">
        <f t="shared" si="13"/>
        <v>0</v>
      </c>
      <c r="LL794" s="156">
        <f t="shared" si="14"/>
        <v>0</v>
      </c>
      <c r="LM794" s="160">
        <f t="shared" si="15"/>
        <v>0</v>
      </c>
      <c r="QX794" s="633"/>
    </row>
    <row r="795">
      <c r="A795" s="12"/>
      <c r="B795" s="12"/>
      <c r="C795" s="12"/>
      <c r="D795" s="12"/>
      <c r="E795" s="12"/>
      <c r="F795" s="12"/>
      <c r="G795" s="12"/>
      <c r="H795" s="12"/>
      <c r="I795" s="143">
        <f t="shared" si="22"/>
        <v>0</v>
      </c>
      <c r="J795" s="108"/>
      <c r="K795" s="203"/>
      <c r="L795" s="108"/>
      <c r="V795" s="161"/>
      <c r="X795" s="140"/>
      <c r="Y795" s="166">
        <f t="shared" si="23"/>
        <v>0</v>
      </c>
      <c r="Z795" s="26">
        <f t="shared" si="7"/>
        <v>0</v>
      </c>
      <c r="AA795" s="26">
        <f t="shared" si="8"/>
        <v>0</v>
      </c>
      <c r="AB795" s="26">
        <f t="shared" si="9"/>
        <v>0</v>
      </c>
      <c r="AC795" s="156">
        <v>0.0</v>
      </c>
      <c r="AD795" s="156">
        <v>0.0</v>
      </c>
      <c r="AE795" s="156">
        <v>0.0</v>
      </c>
      <c r="AF795" s="156">
        <v>0.0</v>
      </c>
      <c r="AG795" s="156">
        <v>0.0</v>
      </c>
      <c r="AH795" s="156">
        <v>0.0</v>
      </c>
      <c r="BN795" s="155">
        <v>0.0</v>
      </c>
      <c r="BO795" s="155">
        <v>0.0</v>
      </c>
      <c r="BP795" s="155">
        <v>0.0</v>
      </c>
      <c r="BQ795" s="155">
        <v>0.0</v>
      </c>
      <c r="BR795" s="155">
        <v>0.0</v>
      </c>
      <c r="BS795" s="155">
        <v>0.0</v>
      </c>
      <c r="CV795" s="156">
        <v>0.0</v>
      </c>
      <c r="CW795" s="156">
        <v>0.0</v>
      </c>
      <c r="CX795" s="156">
        <v>0.0</v>
      </c>
      <c r="CY795" s="156">
        <v>0.0</v>
      </c>
      <c r="CZ795" s="156">
        <v>0.0</v>
      </c>
      <c r="DA795" s="156">
        <v>0.0</v>
      </c>
      <c r="EG795" s="156">
        <v>0.0</v>
      </c>
      <c r="EH795" s="156">
        <v>0.0</v>
      </c>
      <c r="EI795" s="156">
        <v>0.0</v>
      </c>
      <c r="EJ795" s="156">
        <v>0.0</v>
      </c>
      <c r="EK795" s="156">
        <v>0.0</v>
      </c>
      <c r="EL795" s="156">
        <v>0.0</v>
      </c>
      <c r="FQ795" s="156">
        <v>0.0</v>
      </c>
      <c r="FR795" s="156">
        <v>0.0</v>
      </c>
      <c r="FS795" s="156">
        <v>0.0</v>
      </c>
      <c r="FT795" s="156">
        <v>0.0</v>
      </c>
      <c r="FU795" s="156">
        <v>0.0</v>
      </c>
      <c r="FV795" s="156">
        <v>0.0</v>
      </c>
      <c r="FW795" s="157"/>
      <c r="FX795" s="157"/>
      <c r="FY795" s="157"/>
      <c r="FZ795" s="157"/>
      <c r="GA795" s="157"/>
      <c r="GB795" s="157"/>
      <c r="GC795" s="157"/>
      <c r="GD795" s="157"/>
      <c r="GE795" s="157"/>
      <c r="GF795" s="157"/>
      <c r="GG795" s="157"/>
      <c r="GH795" s="157"/>
      <c r="GI795" s="157"/>
      <c r="GJ795" s="157"/>
      <c r="GK795" s="157"/>
      <c r="GL795" s="157"/>
      <c r="GM795" s="157"/>
      <c r="GN795" s="157"/>
      <c r="GO795" s="157"/>
      <c r="GP795" s="158"/>
      <c r="GQ795" s="157"/>
      <c r="GR795" s="157"/>
      <c r="GS795" s="157"/>
      <c r="GT795" s="157"/>
      <c r="GU795" s="157"/>
      <c r="GV795" s="157"/>
      <c r="GW795" s="157"/>
      <c r="GX795" s="157"/>
      <c r="GY795" s="157"/>
      <c r="GZ795" s="157"/>
      <c r="HA795" s="157"/>
      <c r="HB795" s="155">
        <v>0.0</v>
      </c>
      <c r="HC795" s="155">
        <v>0.0</v>
      </c>
      <c r="HD795" s="155">
        <v>0.0</v>
      </c>
      <c r="HE795" s="155">
        <v>0.0</v>
      </c>
      <c r="HF795" s="155">
        <v>0.0</v>
      </c>
      <c r="HG795" s="155">
        <v>0.0</v>
      </c>
      <c r="IL795" s="159">
        <v>0.0</v>
      </c>
      <c r="IM795" s="156">
        <v>0.0</v>
      </c>
      <c r="IN795" s="156">
        <v>0.0</v>
      </c>
      <c r="IO795" s="156">
        <v>0.0</v>
      </c>
      <c r="IP795" s="156">
        <v>0.0</v>
      </c>
      <c r="IQ795" s="160">
        <v>0.0</v>
      </c>
      <c r="JH795" s="25"/>
      <c r="JW795" s="159">
        <v>0.0</v>
      </c>
      <c r="JX795" s="156">
        <v>0.0</v>
      </c>
      <c r="JY795" s="156">
        <v>0.0</v>
      </c>
      <c r="JZ795" s="156">
        <v>0.0</v>
      </c>
      <c r="KA795" s="156">
        <v>0.0</v>
      </c>
      <c r="KB795" s="160">
        <v>0.0</v>
      </c>
      <c r="LH795" s="159">
        <f t="shared" si="10"/>
        <v>0</v>
      </c>
      <c r="LI795" s="156">
        <f t="shared" si="11"/>
        <v>0</v>
      </c>
      <c r="LJ795" s="156">
        <f t="shared" si="12"/>
        <v>0</v>
      </c>
      <c r="LK795" s="156">
        <f t="shared" si="13"/>
        <v>0</v>
      </c>
      <c r="LL795" s="156">
        <f t="shared" si="14"/>
        <v>0</v>
      </c>
      <c r="LM795" s="160">
        <f t="shared" si="15"/>
        <v>0</v>
      </c>
      <c r="QX795" s="633"/>
    </row>
    <row r="796">
      <c r="A796" s="12"/>
      <c r="B796" s="12"/>
      <c r="C796" s="12"/>
      <c r="D796" s="12"/>
      <c r="E796" s="12"/>
      <c r="F796" s="12"/>
      <c r="G796" s="12"/>
      <c r="H796" s="12"/>
      <c r="I796" s="143">
        <f t="shared" si="22"/>
        <v>0</v>
      </c>
      <c r="J796" s="108"/>
      <c r="K796" s="203"/>
      <c r="L796" s="108"/>
      <c r="V796" s="161"/>
      <c r="X796" s="140"/>
      <c r="Y796" s="166">
        <f t="shared" si="23"/>
        <v>0</v>
      </c>
      <c r="Z796" s="26">
        <f t="shared" si="7"/>
        <v>0</v>
      </c>
      <c r="AA796" s="26">
        <f t="shared" si="8"/>
        <v>0</v>
      </c>
      <c r="AB796" s="26">
        <f t="shared" si="9"/>
        <v>0</v>
      </c>
      <c r="AC796" s="156">
        <v>0.0</v>
      </c>
      <c r="AD796" s="156">
        <v>0.0</v>
      </c>
      <c r="AE796" s="156">
        <v>0.0</v>
      </c>
      <c r="AF796" s="156">
        <v>0.0</v>
      </c>
      <c r="AG796" s="156">
        <v>0.0</v>
      </c>
      <c r="AH796" s="156">
        <v>0.0</v>
      </c>
      <c r="BN796" s="155">
        <v>0.0</v>
      </c>
      <c r="BO796" s="155">
        <v>0.0</v>
      </c>
      <c r="BP796" s="155">
        <v>0.0</v>
      </c>
      <c r="BQ796" s="155">
        <v>0.0</v>
      </c>
      <c r="BR796" s="155">
        <v>0.0</v>
      </c>
      <c r="BS796" s="155">
        <v>0.0</v>
      </c>
      <c r="CV796" s="156">
        <v>0.0</v>
      </c>
      <c r="CW796" s="156">
        <v>0.0</v>
      </c>
      <c r="CX796" s="156">
        <v>0.0</v>
      </c>
      <c r="CY796" s="156">
        <v>0.0</v>
      </c>
      <c r="CZ796" s="156">
        <v>0.0</v>
      </c>
      <c r="DA796" s="156">
        <v>0.0</v>
      </c>
      <c r="EG796" s="156">
        <v>0.0</v>
      </c>
      <c r="EH796" s="156">
        <v>0.0</v>
      </c>
      <c r="EI796" s="156">
        <v>0.0</v>
      </c>
      <c r="EJ796" s="156">
        <v>0.0</v>
      </c>
      <c r="EK796" s="156">
        <v>0.0</v>
      </c>
      <c r="EL796" s="156">
        <v>0.0</v>
      </c>
      <c r="FQ796" s="156">
        <v>0.0</v>
      </c>
      <c r="FR796" s="156">
        <v>0.0</v>
      </c>
      <c r="FS796" s="156">
        <v>0.0</v>
      </c>
      <c r="FT796" s="156">
        <v>0.0</v>
      </c>
      <c r="FU796" s="156">
        <v>0.0</v>
      </c>
      <c r="FV796" s="156">
        <v>0.0</v>
      </c>
      <c r="FW796" s="157"/>
      <c r="FX796" s="157"/>
      <c r="FY796" s="157"/>
      <c r="FZ796" s="157"/>
      <c r="GA796" s="157"/>
      <c r="GB796" s="157"/>
      <c r="GC796" s="157"/>
      <c r="GD796" s="157"/>
      <c r="GE796" s="157"/>
      <c r="GF796" s="157"/>
      <c r="GG796" s="157"/>
      <c r="GH796" s="157"/>
      <c r="GI796" s="157"/>
      <c r="GJ796" s="157"/>
      <c r="GK796" s="157"/>
      <c r="GL796" s="157"/>
      <c r="GM796" s="157"/>
      <c r="GN796" s="157"/>
      <c r="GO796" s="157"/>
      <c r="GP796" s="158"/>
      <c r="GQ796" s="157"/>
      <c r="GR796" s="157"/>
      <c r="GS796" s="157"/>
      <c r="GT796" s="157"/>
      <c r="GU796" s="157"/>
      <c r="GV796" s="157"/>
      <c r="GW796" s="157"/>
      <c r="GX796" s="157"/>
      <c r="GY796" s="157"/>
      <c r="GZ796" s="157"/>
      <c r="HA796" s="157"/>
      <c r="HB796" s="155">
        <v>0.0</v>
      </c>
      <c r="HC796" s="155">
        <v>0.0</v>
      </c>
      <c r="HD796" s="155">
        <v>0.0</v>
      </c>
      <c r="HE796" s="155">
        <v>0.0</v>
      </c>
      <c r="HF796" s="155">
        <v>0.0</v>
      </c>
      <c r="HG796" s="155">
        <v>0.0</v>
      </c>
      <c r="IL796" s="159">
        <v>0.0</v>
      </c>
      <c r="IM796" s="156">
        <v>0.0</v>
      </c>
      <c r="IN796" s="156">
        <v>0.0</v>
      </c>
      <c r="IO796" s="156">
        <v>0.0</v>
      </c>
      <c r="IP796" s="156">
        <v>0.0</v>
      </c>
      <c r="IQ796" s="160">
        <v>0.0</v>
      </c>
      <c r="JH796" s="25"/>
      <c r="JW796" s="159">
        <v>0.0</v>
      </c>
      <c r="JX796" s="156">
        <v>0.0</v>
      </c>
      <c r="JY796" s="156">
        <v>0.0</v>
      </c>
      <c r="JZ796" s="156">
        <v>0.0</v>
      </c>
      <c r="KA796" s="156">
        <v>0.0</v>
      </c>
      <c r="KB796" s="160">
        <v>0.0</v>
      </c>
      <c r="LH796" s="159">
        <f t="shared" si="10"/>
        <v>0</v>
      </c>
      <c r="LI796" s="156">
        <f t="shared" si="11"/>
        <v>0</v>
      </c>
      <c r="LJ796" s="156">
        <f t="shared" si="12"/>
        <v>0</v>
      </c>
      <c r="LK796" s="156">
        <f t="shared" si="13"/>
        <v>0</v>
      </c>
      <c r="LL796" s="156">
        <f t="shared" si="14"/>
        <v>0</v>
      </c>
      <c r="LM796" s="160">
        <f t="shared" si="15"/>
        <v>0</v>
      </c>
      <c r="QX796" s="633"/>
    </row>
    <row r="797">
      <c r="A797" s="12"/>
      <c r="B797" s="12"/>
      <c r="C797" s="12"/>
      <c r="D797" s="12"/>
      <c r="E797" s="12"/>
      <c r="F797" s="12"/>
      <c r="G797" s="12"/>
      <c r="H797" s="12"/>
      <c r="I797" s="143">
        <f t="shared" si="22"/>
        <v>0</v>
      </c>
      <c r="J797" s="108"/>
      <c r="K797" s="203"/>
      <c r="L797" s="108"/>
      <c r="V797" s="161"/>
      <c r="X797" s="140"/>
      <c r="Y797" s="166">
        <f t="shared" si="23"/>
        <v>0</v>
      </c>
      <c r="Z797" s="26">
        <f t="shared" si="7"/>
        <v>0</v>
      </c>
      <c r="AA797" s="26">
        <f t="shared" si="8"/>
        <v>0</v>
      </c>
      <c r="AB797" s="26">
        <f t="shared" si="9"/>
        <v>0</v>
      </c>
      <c r="AC797" s="156">
        <v>0.0</v>
      </c>
      <c r="AD797" s="156">
        <v>0.0</v>
      </c>
      <c r="AE797" s="156">
        <v>0.0</v>
      </c>
      <c r="AF797" s="156">
        <v>0.0</v>
      </c>
      <c r="AG797" s="156">
        <v>0.0</v>
      </c>
      <c r="AH797" s="156">
        <v>0.0</v>
      </c>
      <c r="BN797" s="155">
        <v>0.0</v>
      </c>
      <c r="BO797" s="155">
        <v>0.0</v>
      </c>
      <c r="BP797" s="155">
        <v>0.0</v>
      </c>
      <c r="BQ797" s="155">
        <v>0.0</v>
      </c>
      <c r="BR797" s="155">
        <v>0.0</v>
      </c>
      <c r="BS797" s="155">
        <v>0.0</v>
      </c>
      <c r="CV797" s="156">
        <v>0.0</v>
      </c>
      <c r="CW797" s="156">
        <v>0.0</v>
      </c>
      <c r="CX797" s="156">
        <v>0.0</v>
      </c>
      <c r="CY797" s="156">
        <v>0.0</v>
      </c>
      <c r="CZ797" s="156">
        <v>0.0</v>
      </c>
      <c r="DA797" s="156">
        <v>0.0</v>
      </c>
      <c r="EG797" s="156">
        <v>0.0</v>
      </c>
      <c r="EH797" s="156">
        <v>0.0</v>
      </c>
      <c r="EI797" s="156">
        <v>0.0</v>
      </c>
      <c r="EJ797" s="156">
        <v>0.0</v>
      </c>
      <c r="EK797" s="156">
        <v>0.0</v>
      </c>
      <c r="EL797" s="156">
        <v>0.0</v>
      </c>
      <c r="FQ797" s="156">
        <v>0.0</v>
      </c>
      <c r="FR797" s="156">
        <v>0.0</v>
      </c>
      <c r="FS797" s="156">
        <v>0.0</v>
      </c>
      <c r="FT797" s="156">
        <v>0.0</v>
      </c>
      <c r="FU797" s="156">
        <v>0.0</v>
      </c>
      <c r="FV797" s="156">
        <v>0.0</v>
      </c>
      <c r="FW797" s="157"/>
      <c r="FX797" s="157"/>
      <c r="FY797" s="157"/>
      <c r="FZ797" s="157"/>
      <c r="GA797" s="157"/>
      <c r="GB797" s="157"/>
      <c r="GC797" s="157"/>
      <c r="GD797" s="157"/>
      <c r="GE797" s="157"/>
      <c r="GF797" s="157"/>
      <c r="GG797" s="157"/>
      <c r="GH797" s="157"/>
      <c r="GI797" s="157"/>
      <c r="GJ797" s="157"/>
      <c r="GK797" s="157"/>
      <c r="GL797" s="157"/>
      <c r="GM797" s="157"/>
      <c r="GN797" s="157"/>
      <c r="GO797" s="157"/>
      <c r="GP797" s="158"/>
      <c r="GQ797" s="157"/>
      <c r="GR797" s="157"/>
      <c r="GS797" s="157"/>
      <c r="GT797" s="157"/>
      <c r="GU797" s="157"/>
      <c r="GV797" s="157"/>
      <c r="GW797" s="157"/>
      <c r="GX797" s="157"/>
      <c r="GY797" s="157"/>
      <c r="GZ797" s="157"/>
      <c r="HA797" s="157"/>
      <c r="HB797" s="155">
        <v>0.0</v>
      </c>
      <c r="HC797" s="155">
        <v>0.0</v>
      </c>
      <c r="HD797" s="155">
        <v>0.0</v>
      </c>
      <c r="HE797" s="155">
        <v>0.0</v>
      </c>
      <c r="HF797" s="155">
        <v>0.0</v>
      </c>
      <c r="HG797" s="155">
        <v>0.0</v>
      </c>
      <c r="IL797" s="159">
        <v>0.0</v>
      </c>
      <c r="IM797" s="156">
        <v>0.0</v>
      </c>
      <c r="IN797" s="156">
        <v>0.0</v>
      </c>
      <c r="IO797" s="156">
        <v>0.0</v>
      </c>
      <c r="IP797" s="156">
        <v>0.0</v>
      </c>
      <c r="IQ797" s="160">
        <v>0.0</v>
      </c>
      <c r="JH797" s="25"/>
      <c r="JW797" s="159">
        <v>0.0</v>
      </c>
      <c r="JX797" s="156">
        <v>0.0</v>
      </c>
      <c r="JY797" s="156">
        <v>0.0</v>
      </c>
      <c r="JZ797" s="156">
        <v>0.0</v>
      </c>
      <c r="KA797" s="156">
        <v>0.0</v>
      </c>
      <c r="KB797" s="160">
        <v>0.0</v>
      </c>
      <c r="LH797" s="159">
        <f t="shared" si="10"/>
        <v>0</v>
      </c>
      <c r="LI797" s="156">
        <f t="shared" si="11"/>
        <v>0</v>
      </c>
      <c r="LJ797" s="156">
        <f t="shared" si="12"/>
        <v>0</v>
      </c>
      <c r="LK797" s="156">
        <f t="shared" si="13"/>
        <v>0</v>
      </c>
      <c r="LL797" s="156">
        <f t="shared" si="14"/>
        <v>0</v>
      </c>
      <c r="LM797" s="160">
        <f t="shared" si="15"/>
        <v>0</v>
      </c>
      <c r="QX797" s="633"/>
    </row>
    <row r="798">
      <c r="A798" s="12"/>
      <c r="B798" s="12"/>
      <c r="C798" s="12"/>
      <c r="D798" s="12"/>
      <c r="E798" s="12"/>
      <c r="F798" s="12"/>
      <c r="G798" s="12"/>
      <c r="H798" s="12"/>
      <c r="I798" s="143">
        <f t="shared" si="22"/>
        <v>0</v>
      </c>
      <c r="J798" s="108"/>
      <c r="K798" s="203"/>
      <c r="L798" s="108"/>
      <c r="V798" s="161"/>
      <c r="X798" s="140"/>
      <c r="Y798" s="166">
        <f t="shared" si="23"/>
        <v>0</v>
      </c>
      <c r="Z798" s="26">
        <f t="shared" si="7"/>
        <v>0</v>
      </c>
      <c r="AA798" s="26">
        <f t="shared" si="8"/>
        <v>0</v>
      </c>
      <c r="AB798" s="26">
        <f t="shared" si="9"/>
        <v>0</v>
      </c>
      <c r="AC798" s="156">
        <v>0.0</v>
      </c>
      <c r="AD798" s="156">
        <v>0.0</v>
      </c>
      <c r="AE798" s="156">
        <v>0.0</v>
      </c>
      <c r="AF798" s="156">
        <v>0.0</v>
      </c>
      <c r="AG798" s="156">
        <v>0.0</v>
      </c>
      <c r="AH798" s="156">
        <v>0.0</v>
      </c>
      <c r="BN798" s="155">
        <v>0.0</v>
      </c>
      <c r="BO798" s="155">
        <v>0.0</v>
      </c>
      <c r="BP798" s="155">
        <v>0.0</v>
      </c>
      <c r="BQ798" s="155">
        <v>0.0</v>
      </c>
      <c r="BR798" s="155">
        <v>0.0</v>
      </c>
      <c r="BS798" s="155">
        <v>0.0</v>
      </c>
      <c r="CV798" s="156">
        <v>0.0</v>
      </c>
      <c r="CW798" s="156">
        <v>0.0</v>
      </c>
      <c r="CX798" s="156">
        <v>0.0</v>
      </c>
      <c r="CY798" s="156">
        <v>0.0</v>
      </c>
      <c r="CZ798" s="156">
        <v>0.0</v>
      </c>
      <c r="DA798" s="156">
        <v>0.0</v>
      </c>
      <c r="EG798" s="156">
        <v>0.0</v>
      </c>
      <c r="EH798" s="156">
        <v>0.0</v>
      </c>
      <c r="EI798" s="156">
        <v>0.0</v>
      </c>
      <c r="EJ798" s="156">
        <v>0.0</v>
      </c>
      <c r="EK798" s="156">
        <v>0.0</v>
      </c>
      <c r="EL798" s="156">
        <v>0.0</v>
      </c>
      <c r="FQ798" s="156">
        <v>0.0</v>
      </c>
      <c r="FR798" s="156">
        <v>0.0</v>
      </c>
      <c r="FS798" s="156">
        <v>0.0</v>
      </c>
      <c r="FT798" s="156">
        <v>0.0</v>
      </c>
      <c r="FU798" s="156">
        <v>0.0</v>
      </c>
      <c r="FV798" s="156">
        <v>0.0</v>
      </c>
      <c r="FW798" s="157"/>
      <c r="FX798" s="157"/>
      <c r="FY798" s="157"/>
      <c r="FZ798" s="157"/>
      <c r="GA798" s="157"/>
      <c r="GB798" s="157"/>
      <c r="GC798" s="157"/>
      <c r="GD798" s="157"/>
      <c r="GE798" s="157"/>
      <c r="GF798" s="157"/>
      <c r="GG798" s="157"/>
      <c r="GH798" s="157"/>
      <c r="GI798" s="157"/>
      <c r="GJ798" s="157"/>
      <c r="GK798" s="157"/>
      <c r="GL798" s="157"/>
      <c r="GM798" s="157"/>
      <c r="GN798" s="157"/>
      <c r="GO798" s="157"/>
      <c r="GP798" s="158"/>
      <c r="GQ798" s="157"/>
      <c r="GR798" s="157"/>
      <c r="GS798" s="157"/>
      <c r="GT798" s="157"/>
      <c r="GU798" s="157"/>
      <c r="GV798" s="157"/>
      <c r="GW798" s="157"/>
      <c r="GX798" s="157"/>
      <c r="GY798" s="157"/>
      <c r="GZ798" s="157"/>
      <c r="HA798" s="157"/>
      <c r="HB798" s="155">
        <v>0.0</v>
      </c>
      <c r="HC798" s="155">
        <v>0.0</v>
      </c>
      <c r="HD798" s="155">
        <v>0.0</v>
      </c>
      <c r="HE798" s="155">
        <v>0.0</v>
      </c>
      <c r="HF798" s="155">
        <v>0.0</v>
      </c>
      <c r="HG798" s="155">
        <v>0.0</v>
      </c>
      <c r="IL798" s="159">
        <v>0.0</v>
      </c>
      <c r="IM798" s="156">
        <v>0.0</v>
      </c>
      <c r="IN798" s="156">
        <v>0.0</v>
      </c>
      <c r="IO798" s="156">
        <v>0.0</v>
      </c>
      <c r="IP798" s="156">
        <v>0.0</v>
      </c>
      <c r="IQ798" s="160">
        <v>0.0</v>
      </c>
      <c r="JH798" s="25"/>
      <c r="JW798" s="159">
        <v>0.0</v>
      </c>
      <c r="JX798" s="156">
        <v>0.0</v>
      </c>
      <c r="JY798" s="156">
        <v>0.0</v>
      </c>
      <c r="JZ798" s="156">
        <v>0.0</v>
      </c>
      <c r="KA798" s="156">
        <v>0.0</v>
      </c>
      <c r="KB798" s="160">
        <v>0.0</v>
      </c>
      <c r="LH798" s="159">
        <f t="shared" si="10"/>
        <v>0</v>
      </c>
      <c r="LI798" s="156">
        <f t="shared" si="11"/>
        <v>0</v>
      </c>
      <c r="LJ798" s="156">
        <f t="shared" si="12"/>
        <v>0</v>
      </c>
      <c r="LK798" s="156">
        <f t="shared" si="13"/>
        <v>0</v>
      </c>
      <c r="LL798" s="156">
        <f t="shared" si="14"/>
        <v>0</v>
      </c>
      <c r="LM798" s="160">
        <f t="shared" si="15"/>
        <v>0</v>
      </c>
      <c r="QX798" s="633"/>
    </row>
    <row r="799">
      <c r="A799" s="12"/>
      <c r="B799" s="12"/>
      <c r="C799" s="12"/>
      <c r="D799" s="12"/>
      <c r="E799" s="12"/>
      <c r="F799" s="12"/>
      <c r="G799" s="12"/>
      <c r="H799" s="12"/>
      <c r="I799" s="143">
        <f t="shared" si="22"/>
        <v>0</v>
      </c>
      <c r="J799" s="108"/>
      <c r="K799" s="203"/>
      <c r="L799" s="108"/>
      <c r="V799" s="161"/>
      <c r="X799" s="140"/>
      <c r="Y799" s="166">
        <f t="shared" si="23"/>
        <v>0</v>
      </c>
      <c r="Z799" s="26">
        <f t="shared" si="7"/>
        <v>0</v>
      </c>
      <c r="AA799" s="26">
        <f t="shared" si="8"/>
        <v>0</v>
      </c>
      <c r="AB799" s="26">
        <f t="shared" si="9"/>
        <v>0</v>
      </c>
      <c r="AC799" s="156">
        <v>0.0</v>
      </c>
      <c r="AD799" s="156">
        <v>0.0</v>
      </c>
      <c r="AE799" s="156">
        <v>0.0</v>
      </c>
      <c r="AF799" s="156">
        <v>0.0</v>
      </c>
      <c r="AG799" s="156">
        <v>0.0</v>
      </c>
      <c r="AH799" s="156">
        <v>0.0</v>
      </c>
      <c r="BN799" s="155">
        <v>0.0</v>
      </c>
      <c r="BO799" s="155">
        <v>0.0</v>
      </c>
      <c r="BP799" s="155">
        <v>0.0</v>
      </c>
      <c r="BQ799" s="155">
        <v>0.0</v>
      </c>
      <c r="BR799" s="155">
        <v>0.0</v>
      </c>
      <c r="BS799" s="155">
        <v>0.0</v>
      </c>
      <c r="CV799" s="156">
        <v>0.0</v>
      </c>
      <c r="CW799" s="156">
        <v>0.0</v>
      </c>
      <c r="CX799" s="156">
        <v>0.0</v>
      </c>
      <c r="CY799" s="156">
        <v>0.0</v>
      </c>
      <c r="CZ799" s="156">
        <v>0.0</v>
      </c>
      <c r="DA799" s="156">
        <v>0.0</v>
      </c>
      <c r="EG799" s="156">
        <v>0.0</v>
      </c>
      <c r="EH799" s="156">
        <v>0.0</v>
      </c>
      <c r="EI799" s="156">
        <v>0.0</v>
      </c>
      <c r="EJ799" s="156">
        <v>0.0</v>
      </c>
      <c r="EK799" s="156">
        <v>0.0</v>
      </c>
      <c r="EL799" s="156">
        <v>0.0</v>
      </c>
      <c r="FQ799" s="156">
        <v>0.0</v>
      </c>
      <c r="FR799" s="156">
        <v>0.0</v>
      </c>
      <c r="FS799" s="156">
        <v>0.0</v>
      </c>
      <c r="FT799" s="156">
        <v>0.0</v>
      </c>
      <c r="FU799" s="156">
        <v>0.0</v>
      </c>
      <c r="FV799" s="156">
        <v>0.0</v>
      </c>
      <c r="FW799" s="157"/>
      <c r="FX799" s="157"/>
      <c r="FY799" s="157"/>
      <c r="FZ799" s="157"/>
      <c r="GA799" s="157"/>
      <c r="GB799" s="157"/>
      <c r="GC799" s="157"/>
      <c r="GD799" s="157"/>
      <c r="GE799" s="157"/>
      <c r="GF799" s="157"/>
      <c r="GG799" s="157"/>
      <c r="GH799" s="157"/>
      <c r="GI799" s="157"/>
      <c r="GJ799" s="157"/>
      <c r="GK799" s="157"/>
      <c r="GL799" s="157"/>
      <c r="GM799" s="157"/>
      <c r="GN799" s="157"/>
      <c r="GO799" s="157"/>
      <c r="GP799" s="158"/>
      <c r="GQ799" s="157"/>
      <c r="GR799" s="157"/>
      <c r="GS799" s="157"/>
      <c r="GT799" s="157"/>
      <c r="GU799" s="157"/>
      <c r="GV799" s="157"/>
      <c r="GW799" s="157"/>
      <c r="GX799" s="157"/>
      <c r="GY799" s="157"/>
      <c r="GZ799" s="157"/>
      <c r="HA799" s="157"/>
      <c r="HB799" s="155">
        <v>0.0</v>
      </c>
      <c r="HC799" s="155">
        <v>0.0</v>
      </c>
      <c r="HD799" s="155">
        <v>0.0</v>
      </c>
      <c r="HE799" s="155">
        <v>0.0</v>
      </c>
      <c r="HF799" s="155">
        <v>0.0</v>
      </c>
      <c r="HG799" s="155">
        <v>0.0</v>
      </c>
      <c r="IL799" s="159">
        <v>0.0</v>
      </c>
      <c r="IM799" s="156">
        <v>0.0</v>
      </c>
      <c r="IN799" s="156">
        <v>0.0</v>
      </c>
      <c r="IO799" s="156">
        <v>0.0</v>
      </c>
      <c r="IP799" s="156">
        <v>0.0</v>
      </c>
      <c r="IQ799" s="160">
        <v>0.0</v>
      </c>
      <c r="JH799" s="25"/>
      <c r="JW799" s="159">
        <v>0.0</v>
      </c>
      <c r="JX799" s="156">
        <v>0.0</v>
      </c>
      <c r="JY799" s="156">
        <v>0.0</v>
      </c>
      <c r="JZ799" s="156">
        <v>0.0</v>
      </c>
      <c r="KA799" s="156">
        <v>0.0</v>
      </c>
      <c r="KB799" s="160">
        <v>0.0</v>
      </c>
      <c r="LH799" s="159">
        <f t="shared" si="10"/>
        <v>0</v>
      </c>
      <c r="LI799" s="156">
        <f t="shared" si="11"/>
        <v>0</v>
      </c>
      <c r="LJ799" s="156">
        <f t="shared" si="12"/>
        <v>0</v>
      </c>
      <c r="LK799" s="156">
        <f t="shared" si="13"/>
        <v>0</v>
      </c>
      <c r="LL799" s="156">
        <f t="shared" si="14"/>
        <v>0</v>
      </c>
      <c r="LM799" s="160">
        <f t="shared" si="15"/>
        <v>0</v>
      </c>
      <c r="QX799" s="633"/>
    </row>
    <row r="800">
      <c r="A800" s="12"/>
      <c r="B800" s="12"/>
      <c r="C800" s="12"/>
      <c r="D800" s="12"/>
      <c r="E800" s="12"/>
      <c r="F800" s="12"/>
      <c r="G800" s="12"/>
      <c r="H800" s="12"/>
      <c r="I800" s="143">
        <f t="shared" si="22"/>
        <v>0</v>
      </c>
      <c r="J800" s="108"/>
      <c r="K800" s="203"/>
      <c r="L800" s="108"/>
      <c r="V800" s="161"/>
      <c r="X800" s="140"/>
      <c r="Y800" s="166">
        <f t="shared" si="23"/>
        <v>0</v>
      </c>
      <c r="Z800" s="26">
        <f t="shared" si="7"/>
        <v>0</v>
      </c>
      <c r="AA800" s="26">
        <f t="shared" si="8"/>
        <v>0</v>
      </c>
      <c r="AB800" s="26">
        <f t="shared" si="9"/>
        <v>0</v>
      </c>
      <c r="AC800" s="156">
        <v>0.0</v>
      </c>
      <c r="AD800" s="156">
        <v>0.0</v>
      </c>
      <c r="AE800" s="156">
        <v>0.0</v>
      </c>
      <c r="AF800" s="156">
        <v>0.0</v>
      </c>
      <c r="AG800" s="156">
        <v>0.0</v>
      </c>
      <c r="AH800" s="156">
        <v>0.0</v>
      </c>
      <c r="BN800" s="155">
        <v>0.0</v>
      </c>
      <c r="BO800" s="155">
        <v>0.0</v>
      </c>
      <c r="BP800" s="155">
        <v>0.0</v>
      </c>
      <c r="BQ800" s="155">
        <v>0.0</v>
      </c>
      <c r="BR800" s="155">
        <v>0.0</v>
      </c>
      <c r="BS800" s="155">
        <v>0.0</v>
      </c>
      <c r="CV800" s="156">
        <v>0.0</v>
      </c>
      <c r="CW800" s="156">
        <v>0.0</v>
      </c>
      <c r="CX800" s="156">
        <v>0.0</v>
      </c>
      <c r="CY800" s="156">
        <v>0.0</v>
      </c>
      <c r="CZ800" s="156">
        <v>0.0</v>
      </c>
      <c r="DA800" s="156">
        <v>0.0</v>
      </c>
      <c r="EG800" s="156">
        <v>0.0</v>
      </c>
      <c r="EH800" s="156">
        <v>0.0</v>
      </c>
      <c r="EI800" s="156">
        <v>0.0</v>
      </c>
      <c r="EJ800" s="156">
        <v>0.0</v>
      </c>
      <c r="EK800" s="156">
        <v>0.0</v>
      </c>
      <c r="EL800" s="156">
        <v>0.0</v>
      </c>
      <c r="FQ800" s="156">
        <v>0.0</v>
      </c>
      <c r="FR800" s="156">
        <v>0.0</v>
      </c>
      <c r="FS800" s="156">
        <v>0.0</v>
      </c>
      <c r="FT800" s="156">
        <v>0.0</v>
      </c>
      <c r="FU800" s="156">
        <v>0.0</v>
      </c>
      <c r="FV800" s="156">
        <v>0.0</v>
      </c>
      <c r="FW800" s="157"/>
      <c r="FX800" s="157"/>
      <c r="FY800" s="157"/>
      <c r="FZ800" s="157"/>
      <c r="GA800" s="157"/>
      <c r="GB800" s="157"/>
      <c r="GC800" s="157"/>
      <c r="GD800" s="157"/>
      <c r="GE800" s="157"/>
      <c r="GF800" s="157"/>
      <c r="GG800" s="157"/>
      <c r="GH800" s="157"/>
      <c r="GI800" s="157"/>
      <c r="GJ800" s="157"/>
      <c r="GK800" s="157"/>
      <c r="GL800" s="157"/>
      <c r="GM800" s="157"/>
      <c r="GN800" s="157"/>
      <c r="GO800" s="157"/>
      <c r="GP800" s="158"/>
      <c r="GQ800" s="157"/>
      <c r="GR800" s="157"/>
      <c r="GS800" s="157"/>
      <c r="GT800" s="157"/>
      <c r="GU800" s="157"/>
      <c r="GV800" s="157"/>
      <c r="GW800" s="157"/>
      <c r="GX800" s="157"/>
      <c r="GY800" s="157"/>
      <c r="GZ800" s="157"/>
      <c r="HA800" s="157"/>
      <c r="HB800" s="155">
        <v>0.0</v>
      </c>
      <c r="HC800" s="155">
        <v>0.0</v>
      </c>
      <c r="HD800" s="155">
        <v>0.0</v>
      </c>
      <c r="HE800" s="155">
        <v>0.0</v>
      </c>
      <c r="HF800" s="155">
        <v>0.0</v>
      </c>
      <c r="HG800" s="155">
        <v>0.0</v>
      </c>
      <c r="IL800" s="159">
        <v>0.0</v>
      </c>
      <c r="IM800" s="156">
        <v>0.0</v>
      </c>
      <c r="IN800" s="156">
        <v>0.0</v>
      </c>
      <c r="IO800" s="156">
        <v>0.0</v>
      </c>
      <c r="IP800" s="156">
        <v>0.0</v>
      </c>
      <c r="IQ800" s="160">
        <v>0.0</v>
      </c>
      <c r="JH800" s="25"/>
      <c r="JW800" s="159">
        <v>0.0</v>
      </c>
      <c r="JX800" s="156">
        <v>0.0</v>
      </c>
      <c r="JY800" s="156">
        <v>0.0</v>
      </c>
      <c r="JZ800" s="156">
        <v>0.0</v>
      </c>
      <c r="KA800" s="156">
        <v>0.0</v>
      </c>
      <c r="KB800" s="160">
        <v>0.0</v>
      </c>
      <c r="LH800" s="159">
        <f t="shared" si="10"/>
        <v>0</v>
      </c>
      <c r="LI800" s="156">
        <f t="shared" si="11"/>
        <v>0</v>
      </c>
      <c r="LJ800" s="156">
        <f t="shared" si="12"/>
        <v>0</v>
      </c>
      <c r="LK800" s="156">
        <f t="shared" si="13"/>
        <v>0</v>
      </c>
      <c r="LL800" s="156">
        <f t="shared" si="14"/>
        <v>0</v>
      </c>
      <c r="LM800" s="160">
        <f t="shared" si="15"/>
        <v>0</v>
      </c>
      <c r="QX800" s="633"/>
    </row>
    <row r="801">
      <c r="A801" s="12"/>
      <c r="B801" s="12"/>
      <c r="C801" s="12"/>
      <c r="D801" s="12"/>
      <c r="E801" s="12"/>
      <c r="F801" s="12"/>
      <c r="G801" s="12"/>
      <c r="H801" s="12"/>
      <c r="I801" s="143">
        <f t="shared" si="22"/>
        <v>0</v>
      </c>
      <c r="J801" s="108"/>
      <c r="K801" s="203"/>
      <c r="L801" s="108"/>
      <c r="V801" s="161"/>
      <c r="X801" s="140"/>
      <c r="Y801" s="166">
        <f t="shared" si="23"/>
        <v>0</v>
      </c>
      <c r="Z801" s="26">
        <f t="shared" si="7"/>
        <v>0</v>
      </c>
      <c r="AA801" s="26">
        <f t="shared" si="8"/>
        <v>0</v>
      </c>
      <c r="AB801" s="26">
        <f t="shared" si="9"/>
        <v>0</v>
      </c>
      <c r="AC801" s="156">
        <v>0.0</v>
      </c>
      <c r="AD801" s="156">
        <v>0.0</v>
      </c>
      <c r="AE801" s="156">
        <v>0.0</v>
      </c>
      <c r="AF801" s="156">
        <v>0.0</v>
      </c>
      <c r="AG801" s="156">
        <v>0.0</v>
      </c>
      <c r="AH801" s="156">
        <v>0.0</v>
      </c>
      <c r="BN801" s="155">
        <v>0.0</v>
      </c>
      <c r="BO801" s="155">
        <v>0.0</v>
      </c>
      <c r="BP801" s="155">
        <v>0.0</v>
      </c>
      <c r="BQ801" s="155">
        <v>0.0</v>
      </c>
      <c r="BR801" s="155">
        <v>0.0</v>
      </c>
      <c r="BS801" s="155">
        <v>0.0</v>
      </c>
      <c r="CV801" s="156">
        <v>0.0</v>
      </c>
      <c r="CW801" s="156">
        <v>0.0</v>
      </c>
      <c r="CX801" s="156">
        <v>0.0</v>
      </c>
      <c r="CY801" s="156">
        <v>0.0</v>
      </c>
      <c r="CZ801" s="156">
        <v>0.0</v>
      </c>
      <c r="DA801" s="156">
        <v>0.0</v>
      </c>
      <c r="EG801" s="156">
        <v>0.0</v>
      </c>
      <c r="EH801" s="156">
        <v>0.0</v>
      </c>
      <c r="EI801" s="156">
        <v>0.0</v>
      </c>
      <c r="EJ801" s="156">
        <v>0.0</v>
      </c>
      <c r="EK801" s="156">
        <v>0.0</v>
      </c>
      <c r="EL801" s="156">
        <v>0.0</v>
      </c>
      <c r="FQ801" s="156">
        <v>0.0</v>
      </c>
      <c r="FR801" s="156">
        <v>0.0</v>
      </c>
      <c r="FS801" s="156">
        <v>0.0</v>
      </c>
      <c r="FT801" s="156">
        <v>0.0</v>
      </c>
      <c r="FU801" s="156">
        <v>0.0</v>
      </c>
      <c r="FV801" s="156">
        <v>0.0</v>
      </c>
      <c r="FW801" s="157"/>
      <c r="FX801" s="157"/>
      <c r="FY801" s="157"/>
      <c r="FZ801" s="157"/>
      <c r="GA801" s="157"/>
      <c r="GB801" s="157"/>
      <c r="GC801" s="157"/>
      <c r="GD801" s="157"/>
      <c r="GE801" s="157"/>
      <c r="GF801" s="157"/>
      <c r="GG801" s="157"/>
      <c r="GH801" s="157"/>
      <c r="GI801" s="157"/>
      <c r="GJ801" s="157"/>
      <c r="GK801" s="157"/>
      <c r="GL801" s="157"/>
      <c r="GM801" s="157"/>
      <c r="GN801" s="157"/>
      <c r="GO801" s="157"/>
      <c r="GP801" s="158"/>
      <c r="GQ801" s="157"/>
      <c r="GR801" s="157"/>
      <c r="GS801" s="157"/>
      <c r="GT801" s="157"/>
      <c r="GU801" s="157"/>
      <c r="GV801" s="157"/>
      <c r="GW801" s="157"/>
      <c r="GX801" s="157"/>
      <c r="GY801" s="157"/>
      <c r="GZ801" s="157"/>
      <c r="HA801" s="157"/>
      <c r="HB801" s="155">
        <v>0.0</v>
      </c>
      <c r="HC801" s="155">
        <v>0.0</v>
      </c>
      <c r="HD801" s="155">
        <v>0.0</v>
      </c>
      <c r="HE801" s="155">
        <v>0.0</v>
      </c>
      <c r="HF801" s="155">
        <v>0.0</v>
      </c>
      <c r="HG801" s="155">
        <v>0.0</v>
      </c>
      <c r="IL801" s="159">
        <v>0.0</v>
      </c>
      <c r="IM801" s="156">
        <v>0.0</v>
      </c>
      <c r="IN801" s="156">
        <v>0.0</v>
      </c>
      <c r="IO801" s="156">
        <v>0.0</v>
      </c>
      <c r="IP801" s="156">
        <v>0.0</v>
      </c>
      <c r="IQ801" s="160">
        <v>0.0</v>
      </c>
      <c r="JH801" s="25"/>
      <c r="JW801" s="159">
        <v>0.0</v>
      </c>
      <c r="JX801" s="156">
        <v>0.0</v>
      </c>
      <c r="JY801" s="156">
        <v>0.0</v>
      </c>
      <c r="JZ801" s="156">
        <v>0.0</v>
      </c>
      <c r="KA801" s="156">
        <v>0.0</v>
      </c>
      <c r="KB801" s="160">
        <v>0.0</v>
      </c>
      <c r="LH801" s="159">
        <f t="shared" si="10"/>
        <v>0</v>
      </c>
      <c r="LI801" s="156">
        <f t="shared" si="11"/>
        <v>0</v>
      </c>
      <c r="LJ801" s="156">
        <f t="shared" si="12"/>
        <v>0</v>
      </c>
      <c r="LK801" s="156">
        <f t="shared" si="13"/>
        <v>0</v>
      </c>
      <c r="LL801" s="156">
        <f t="shared" si="14"/>
        <v>0</v>
      </c>
      <c r="LM801" s="160">
        <f t="shared" si="15"/>
        <v>0</v>
      </c>
      <c r="QX801" s="633"/>
    </row>
    <row r="802">
      <c r="A802" s="12"/>
      <c r="B802" s="12"/>
      <c r="C802" s="12"/>
      <c r="D802" s="12"/>
      <c r="E802" s="12"/>
      <c r="F802" s="12"/>
      <c r="G802" s="12"/>
      <c r="H802" s="12"/>
      <c r="I802" s="143">
        <f t="shared" si="22"/>
        <v>0</v>
      </c>
      <c r="J802" s="108"/>
      <c r="K802" s="203"/>
      <c r="L802" s="108"/>
      <c r="V802" s="161"/>
      <c r="X802" s="140"/>
      <c r="Y802" s="166">
        <f t="shared" si="23"/>
        <v>0</v>
      </c>
      <c r="Z802" s="26">
        <f t="shared" si="7"/>
        <v>0</v>
      </c>
      <c r="AA802" s="26">
        <f t="shared" si="8"/>
        <v>0</v>
      </c>
      <c r="AB802" s="26">
        <f t="shared" si="9"/>
        <v>0</v>
      </c>
      <c r="AC802" s="156">
        <v>0.0</v>
      </c>
      <c r="AD802" s="156">
        <v>0.0</v>
      </c>
      <c r="AE802" s="156">
        <v>0.0</v>
      </c>
      <c r="AF802" s="156">
        <v>0.0</v>
      </c>
      <c r="AG802" s="156">
        <v>0.0</v>
      </c>
      <c r="AH802" s="156">
        <v>0.0</v>
      </c>
      <c r="BN802" s="155">
        <v>0.0</v>
      </c>
      <c r="BO802" s="155">
        <v>0.0</v>
      </c>
      <c r="BP802" s="155">
        <v>0.0</v>
      </c>
      <c r="BQ802" s="155">
        <v>0.0</v>
      </c>
      <c r="BR802" s="155">
        <v>0.0</v>
      </c>
      <c r="BS802" s="155">
        <v>0.0</v>
      </c>
      <c r="CV802" s="156">
        <v>0.0</v>
      </c>
      <c r="CW802" s="156">
        <v>0.0</v>
      </c>
      <c r="CX802" s="156">
        <v>0.0</v>
      </c>
      <c r="CY802" s="156">
        <v>0.0</v>
      </c>
      <c r="CZ802" s="156">
        <v>0.0</v>
      </c>
      <c r="DA802" s="156">
        <v>0.0</v>
      </c>
      <c r="EG802" s="156">
        <v>0.0</v>
      </c>
      <c r="EH802" s="156">
        <v>0.0</v>
      </c>
      <c r="EI802" s="156">
        <v>0.0</v>
      </c>
      <c r="EJ802" s="156">
        <v>0.0</v>
      </c>
      <c r="EK802" s="156">
        <v>0.0</v>
      </c>
      <c r="EL802" s="156">
        <v>0.0</v>
      </c>
      <c r="FQ802" s="156">
        <v>0.0</v>
      </c>
      <c r="FR802" s="156">
        <v>0.0</v>
      </c>
      <c r="FS802" s="156">
        <v>0.0</v>
      </c>
      <c r="FT802" s="156">
        <v>0.0</v>
      </c>
      <c r="FU802" s="156">
        <v>0.0</v>
      </c>
      <c r="FV802" s="156">
        <v>0.0</v>
      </c>
      <c r="FW802" s="157"/>
      <c r="FX802" s="157"/>
      <c r="FY802" s="157"/>
      <c r="FZ802" s="157"/>
      <c r="GA802" s="157"/>
      <c r="GB802" s="157"/>
      <c r="GC802" s="157"/>
      <c r="GD802" s="157"/>
      <c r="GE802" s="157"/>
      <c r="GF802" s="157"/>
      <c r="GG802" s="157"/>
      <c r="GH802" s="157"/>
      <c r="GI802" s="157"/>
      <c r="GJ802" s="157"/>
      <c r="GK802" s="157"/>
      <c r="GL802" s="157"/>
      <c r="GM802" s="157"/>
      <c r="GN802" s="157"/>
      <c r="GO802" s="157"/>
      <c r="GP802" s="158"/>
      <c r="GQ802" s="157"/>
      <c r="GR802" s="157"/>
      <c r="GS802" s="157"/>
      <c r="GT802" s="157"/>
      <c r="GU802" s="157"/>
      <c r="GV802" s="157"/>
      <c r="GW802" s="157"/>
      <c r="GX802" s="157"/>
      <c r="GY802" s="157"/>
      <c r="GZ802" s="157"/>
      <c r="HA802" s="157"/>
      <c r="HB802" s="155">
        <v>0.0</v>
      </c>
      <c r="HC802" s="155">
        <v>0.0</v>
      </c>
      <c r="HD802" s="155">
        <v>0.0</v>
      </c>
      <c r="HE802" s="155">
        <v>0.0</v>
      </c>
      <c r="HF802" s="155">
        <v>0.0</v>
      </c>
      <c r="HG802" s="155">
        <v>0.0</v>
      </c>
      <c r="IL802" s="159">
        <v>0.0</v>
      </c>
      <c r="IM802" s="156">
        <v>0.0</v>
      </c>
      <c r="IN802" s="156">
        <v>0.0</v>
      </c>
      <c r="IO802" s="156">
        <v>0.0</v>
      </c>
      <c r="IP802" s="156">
        <v>0.0</v>
      </c>
      <c r="IQ802" s="160">
        <v>0.0</v>
      </c>
      <c r="JH802" s="25"/>
      <c r="JW802" s="159">
        <v>0.0</v>
      </c>
      <c r="JX802" s="156">
        <v>0.0</v>
      </c>
      <c r="JY802" s="156">
        <v>0.0</v>
      </c>
      <c r="JZ802" s="156">
        <v>0.0</v>
      </c>
      <c r="KA802" s="156">
        <v>0.0</v>
      </c>
      <c r="KB802" s="160">
        <v>0.0</v>
      </c>
      <c r="LH802" s="159">
        <f t="shared" si="10"/>
        <v>0</v>
      </c>
      <c r="LI802" s="156">
        <f t="shared" si="11"/>
        <v>0</v>
      </c>
      <c r="LJ802" s="156">
        <f t="shared" si="12"/>
        <v>0</v>
      </c>
      <c r="LK802" s="156">
        <f t="shared" si="13"/>
        <v>0</v>
      </c>
      <c r="LL802" s="156">
        <f t="shared" si="14"/>
        <v>0</v>
      </c>
      <c r="LM802" s="160">
        <f t="shared" si="15"/>
        <v>0</v>
      </c>
      <c r="QX802" s="633"/>
    </row>
    <row r="803">
      <c r="A803" s="12"/>
      <c r="B803" s="12"/>
      <c r="C803" s="12"/>
      <c r="D803" s="12"/>
      <c r="E803" s="12"/>
      <c r="F803" s="12"/>
      <c r="G803" s="12"/>
      <c r="H803" s="12"/>
      <c r="I803" s="143">
        <f t="shared" si="22"/>
        <v>0</v>
      </c>
      <c r="J803" s="108"/>
      <c r="K803" s="203"/>
      <c r="L803" s="108"/>
      <c r="V803" s="161"/>
      <c r="X803" s="140"/>
      <c r="Y803" s="166">
        <f t="shared" si="23"/>
        <v>0</v>
      </c>
      <c r="Z803" s="26">
        <f t="shared" si="7"/>
        <v>0</v>
      </c>
      <c r="AA803" s="26">
        <f t="shared" si="8"/>
        <v>0</v>
      </c>
      <c r="AB803" s="26">
        <f t="shared" si="9"/>
        <v>0</v>
      </c>
      <c r="AC803" s="156">
        <v>0.0</v>
      </c>
      <c r="AD803" s="156">
        <v>0.0</v>
      </c>
      <c r="AE803" s="156">
        <v>0.0</v>
      </c>
      <c r="AF803" s="156">
        <v>0.0</v>
      </c>
      <c r="AG803" s="156">
        <v>0.0</v>
      </c>
      <c r="AH803" s="156">
        <v>0.0</v>
      </c>
      <c r="BN803" s="155">
        <v>0.0</v>
      </c>
      <c r="BO803" s="155">
        <v>0.0</v>
      </c>
      <c r="BP803" s="155">
        <v>0.0</v>
      </c>
      <c r="BQ803" s="155">
        <v>0.0</v>
      </c>
      <c r="BR803" s="155">
        <v>0.0</v>
      </c>
      <c r="BS803" s="155">
        <v>0.0</v>
      </c>
      <c r="CV803" s="156">
        <v>0.0</v>
      </c>
      <c r="CW803" s="156">
        <v>0.0</v>
      </c>
      <c r="CX803" s="156">
        <v>0.0</v>
      </c>
      <c r="CY803" s="156">
        <v>0.0</v>
      </c>
      <c r="CZ803" s="156">
        <v>0.0</v>
      </c>
      <c r="DA803" s="156">
        <v>0.0</v>
      </c>
      <c r="EG803" s="156">
        <v>0.0</v>
      </c>
      <c r="EH803" s="156">
        <v>0.0</v>
      </c>
      <c r="EI803" s="156">
        <v>0.0</v>
      </c>
      <c r="EJ803" s="156">
        <v>0.0</v>
      </c>
      <c r="EK803" s="156">
        <v>0.0</v>
      </c>
      <c r="EL803" s="156">
        <v>0.0</v>
      </c>
      <c r="FQ803" s="156">
        <v>0.0</v>
      </c>
      <c r="FR803" s="156">
        <v>0.0</v>
      </c>
      <c r="FS803" s="156">
        <v>0.0</v>
      </c>
      <c r="FT803" s="156">
        <v>0.0</v>
      </c>
      <c r="FU803" s="156">
        <v>0.0</v>
      </c>
      <c r="FV803" s="156">
        <v>0.0</v>
      </c>
      <c r="FW803" s="157"/>
      <c r="FX803" s="157"/>
      <c r="FY803" s="157"/>
      <c r="FZ803" s="157"/>
      <c r="GA803" s="157"/>
      <c r="GB803" s="157"/>
      <c r="GC803" s="157"/>
      <c r="GD803" s="157"/>
      <c r="GE803" s="157"/>
      <c r="GF803" s="157"/>
      <c r="GG803" s="157"/>
      <c r="GH803" s="157"/>
      <c r="GI803" s="157"/>
      <c r="GJ803" s="157"/>
      <c r="GK803" s="157"/>
      <c r="GL803" s="157"/>
      <c r="GM803" s="157"/>
      <c r="GN803" s="157"/>
      <c r="GO803" s="157"/>
      <c r="GP803" s="158"/>
      <c r="GQ803" s="157"/>
      <c r="GR803" s="157"/>
      <c r="GS803" s="157"/>
      <c r="GT803" s="157"/>
      <c r="GU803" s="157"/>
      <c r="GV803" s="157"/>
      <c r="GW803" s="157"/>
      <c r="GX803" s="157"/>
      <c r="GY803" s="157"/>
      <c r="GZ803" s="157"/>
      <c r="HA803" s="157"/>
      <c r="HB803" s="155">
        <v>0.0</v>
      </c>
      <c r="HC803" s="155">
        <v>0.0</v>
      </c>
      <c r="HD803" s="155">
        <v>0.0</v>
      </c>
      <c r="HE803" s="155">
        <v>0.0</v>
      </c>
      <c r="HF803" s="155">
        <v>0.0</v>
      </c>
      <c r="HG803" s="155">
        <v>0.0</v>
      </c>
      <c r="IL803" s="159">
        <v>0.0</v>
      </c>
      <c r="IM803" s="156">
        <v>0.0</v>
      </c>
      <c r="IN803" s="156">
        <v>0.0</v>
      </c>
      <c r="IO803" s="156">
        <v>0.0</v>
      </c>
      <c r="IP803" s="156">
        <v>0.0</v>
      </c>
      <c r="IQ803" s="160">
        <v>0.0</v>
      </c>
      <c r="JH803" s="25"/>
      <c r="JW803" s="159">
        <v>0.0</v>
      </c>
      <c r="JX803" s="156">
        <v>0.0</v>
      </c>
      <c r="JY803" s="156">
        <v>0.0</v>
      </c>
      <c r="JZ803" s="156">
        <v>0.0</v>
      </c>
      <c r="KA803" s="156">
        <v>0.0</v>
      </c>
      <c r="KB803" s="160">
        <v>0.0</v>
      </c>
      <c r="LH803" s="159">
        <f t="shared" si="10"/>
        <v>0</v>
      </c>
      <c r="LI803" s="156">
        <f t="shared" si="11"/>
        <v>0</v>
      </c>
      <c r="LJ803" s="156">
        <f t="shared" si="12"/>
        <v>0</v>
      </c>
      <c r="LK803" s="156">
        <f t="shared" si="13"/>
        <v>0</v>
      </c>
      <c r="LL803" s="156">
        <f t="shared" si="14"/>
        <v>0</v>
      </c>
      <c r="LM803" s="160">
        <f t="shared" si="15"/>
        <v>0</v>
      </c>
      <c r="QX803" s="633"/>
    </row>
    <row r="804">
      <c r="A804" s="12"/>
      <c r="B804" s="12"/>
      <c r="C804" s="12"/>
      <c r="D804" s="12"/>
      <c r="E804" s="12"/>
      <c r="F804" s="12"/>
      <c r="G804" s="12"/>
      <c r="H804" s="12"/>
      <c r="I804" s="143">
        <f t="shared" si="22"/>
        <v>0</v>
      </c>
      <c r="J804" s="108"/>
      <c r="K804" s="203"/>
      <c r="L804" s="108"/>
      <c r="V804" s="161"/>
      <c r="X804" s="140"/>
      <c r="Y804" s="166">
        <f t="shared" si="23"/>
        <v>0</v>
      </c>
      <c r="Z804" s="26">
        <f t="shared" si="7"/>
        <v>0</v>
      </c>
      <c r="AA804" s="26">
        <f t="shared" si="8"/>
        <v>0</v>
      </c>
      <c r="AB804" s="26">
        <f t="shared" si="9"/>
        <v>0</v>
      </c>
      <c r="AC804" s="156">
        <v>0.0</v>
      </c>
      <c r="AD804" s="156">
        <v>0.0</v>
      </c>
      <c r="AE804" s="156">
        <v>0.0</v>
      </c>
      <c r="AF804" s="156">
        <v>0.0</v>
      </c>
      <c r="AG804" s="156">
        <v>0.0</v>
      </c>
      <c r="AH804" s="156">
        <v>0.0</v>
      </c>
      <c r="BN804" s="155">
        <v>0.0</v>
      </c>
      <c r="BO804" s="155">
        <v>0.0</v>
      </c>
      <c r="BP804" s="155">
        <v>0.0</v>
      </c>
      <c r="BQ804" s="155">
        <v>0.0</v>
      </c>
      <c r="BR804" s="155">
        <v>0.0</v>
      </c>
      <c r="BS804" s="155">
        <v>0.0</v>
      </c>
      <c r="CV804" s="156">
        <v>0.0</v>
      </c>
      <c r="CW804" s="156">
        <v>0.0</v>
      </c>
      <c r="CX804" s="156">
        <v>0.0</v>
      </c>
      <c r="CY804" s="156">
        <v>0.0</v>
      </c>
      <c r="CZ804" s="156">
        <v>0.0</v>
      </c>
      <c r="DA804" s="156">
        <v>0.0</v>
      </c>
      <c r="EG804" s="156">
        <v>0.0</v>
      </c>
      <c r="EH804" s="156">
        <v>0.0</v>
      </c>
      <c r="EI804" s="156">
        <v>0.0</v>
      </c>
      <c r="EJ804" s="156">
        <v>0.0</v>
      </c>
      <c r="EK804" s="156">
        <v>0.0</v>
      </c>
      <c r="EL804" s="156">
        <v>0.0</v>
      </c>
      <c r="FQ804" s="156">
        <v>0.0</v>
      </c>
      <c r="FR804" s="156">
        <v>0.0</v>
      </c>
      <c r="FS804" s="156">
        <v>0.0</v>
      </c>
      <c r="FT804" s="156">
        <v>0.0</v>
      </c>
      <c r="FU804" s="156">
        <v>0.0</v>
      </c>
      <c r="FV804" s="156">
        <v>0.0</v>
      </c>
      <c r="FW804" s="157"/>
      <c r="FX804" s="157"/>
      <c r="FY804" s="157"/>
      <c r="FZ804" s="157"/>
      <c r="GA804" s="157"/>
      <c r="GB804" s="157"/>
      <c r="GC804" s="157"/>
      <c r="GD804" s="157"/>
      <c r="GE804" s="157"/>
      <c r="GF804" s="157"/>
      <c r="GG804" s="157"/>
      <c r="GH804" s="157"/>
      <c r="GI804" s="157"/>
      <c r="GJ804" s="157"/>
      <c r="GK804" s="157"/>
      <c r="GL804" s="157"/>
      <c r="GM804" s="157"/>
      <c r="GN804" s="157"/>
      <c r="GO804" s="157"/>
      <c r="GP804" s="158"/>
      <c r="GQ804" s="157"/>
      <c r="GR804" s="157"/>
      <c r="GS804" s="157"/>
      <c r="GT804" s="157"/>
      <c r="GU804" s="157"/>
      <c r="GV804" s="157"/>
      <c r="GW804" s="157"/>
      <c r="GX804" s="157"/>
      <c r="GY804" s="157"/>
      <c r="GZ804" s="157"/>
      <c r="HA804" s="157"/>
      <c r="HB804" s="155">
        <v>0.0</v>
      </c>
      <c r="HC804" s="155">
        <v>0.0</v>
      </c>
      <c r="HD804" s="155">
        <v>0.0</v>
      </c>
      <c r="HE804" s="155">
        <v>0.0</v>
      </c>
      <c r="HF804" s="155">
        <v>0.0</v>
      </c>
      <c r="HG804" s="155">
        <v>0.0</v>
      </c>
      <c r="IL804" s="159">
        <v>0.0</v>
      </c>
      <c r="IM804" s="156">
        <v>0.0</v>
      </c>
      <c r="IN804" s="156">
        <v>0.0</v>
      </c>
      <c r="IO804" s="156">
        <v>0.0</v>
      </c>
      <c r="IP804" s="156">
        <v>0.0</v>
      </c>
      <c r="IQ804" s="160">
        <v>0.0</v>
      </c>
      <c r="JH804" s="25"/>
      <c r="JW804" s="159">
        <v>0.0</v>
      </c>
      <c r="JX804" s="156">
        <v>0.0</v>
      </c>
      <c r="JY804" s="156">
        <v>0.0</v>
      </c>
      <c r="JZ804" s="156">
        <v>0.0</v>
      </c>
      <c r="KA804" s="156">
        <v>0.0</v>
      </c>
      <c r="KB804" s="160">
        <v>0.0</v>
      </c>
      <c r="LH804" s="159">
        <f t="shared" si="10"/>
        <v>0</v>
      </c>
      <c r="LI804" s="156">
        <f t="shared" si="11"/>
        <v>0</v>
      </c>
      <c r="LJ804" s="156">
        <f t="shared" si="12"/>
        <v>0</v>
      </c>
      <c r="LK804" s="156">
        <f t="shared" si="13"/>
        <v>0</v>
      </c>
      <c r="LL804" s="156">
        <f t="shared" si="14"/>
        <v>0</v>
      </c>
      <c r="LM804" s="160">
        <f t="shared" si="15"/>
        <v>0</v>
      </c>
      <c r="QX804" s="633"/>
    </row>
    <row r="805">
      <c r="A805" s="12"/>
      <c r="B805" s="12"/>
      <c r="C805" s="12"/>
      <c r="D805" s="12"/>
      <c r="E805" s="12"/>
      <c r="F805" s="12"/>
      <c r="G805" s="12"/>
      <c r="H805" s="12"/>
      <c r="I805" s="143">
        <f t="shared" si="22"/>
        <v>0</v>
      </c>
      <c r="J805" s="108"/>
      <c r="K805" s="203"/>
      <c r="L805" s="108"/>
      <c r="V805" s="161"/>
      <c r="X805" s="140"/>
      <c r="Y805" s="166">
        <f t="shared" si="23"/>
        <v>0</v>
      </c>
      <c r="Z805" s="26">
        <f t="shared" si="7"/>
        <v>0</v>
      </c>
      <c r="AA805" s="26">
        <f t="shared" si="8"/>
        <v>0</v>
      </c>
      <c r="AB805" s="26">
        <f t="shared" si="9"/>
        <v>0</v>
      </c>
      <c r="AC805" s="156">
        <v>0.0</v>
      </c>
      <c r="AD805" s="156">
        <v>0.0</v>
      </c>
      <c r="AE805" s="156">
        <v>0.0</v>
      </c>
      <c r="AF805" s="156">
        <v>0.0</v>
      </c>
      <c r="AG805" s="156">
        <v>0.0</v>
      </c>
      <c r="AH805" s="156">
        <v>0.0</v>
      </c>
      <c r="BN805" s="155">
        <v>0.0</v>
      </c>
      <c r="BO805" s="155">
        <v>0.0</v>
      </c>
      <c r="BP805" s="155">
        <v>0.0</v>
      </c>
      <c r="BQ805" s="155">
        <v>0.0</v>
      </c>
      <c r="BR805" s="155">
        <v>0.0</v>
      </c>
      <c r="BS805" s="155">
        <v>0.0</v>
      </c>
      <c r="CV805" s="156">
        <v>0.0</v>
      </c>
      <c r="CW805" s="156">
        <v>0.0</v>
      </c>
      <c r="CX805" s="156">
        <v>0.0</v>
      </c>
      <c r="CY805" s="156">
        <v>0.0</v>
      </c>
      <c r="CZ805" s="156">
        <v>0.0</v>
      </c>
      <c r="DA805" s="156">
        <v>0.0</v>
      </c>
      <c r="EG805" s="156">
        <v>0.0</v>
      </c>
      <c r="EH805" s="156">
        <v>0.0</v>
      </c>
      <c r="EI805" s="156">
        <v>0.0</v>
      </c>
      <c r="EJ805" s="156">
        <v>0.0</v>
      </c>
      <c r="EK805" s="156">
        <v>0.0</v>
      </c>
      <c r="EL805" s="156">
        <v>0.0</v>
      </c>
      <c r="FQ805" s="156">
        <v>0.0</v>
      </c>
      <c r="FR805" s="156">
        <v>0.0</v>
      </c>
      <c r="FS805" s="156">
        <v>0.0</v>
      </c>
      <c r="FT805" s="156">
        <v>0.0</v>
      </c>
      <c r="FU805" s="156">
        <v>0.0</v>
      </c>
      <c r="FV805" s="156">
        <v>0.0</v>
      </c>
      <c r="FW805" s="157"/>
      <c r="FX805" s="157"/>
      <c r="FY805" s="157"/>
      <c r="FZ805" s="157"/>
      <c r="GA805" s="157"/>
      <c r="GB805" s="157"/>
      <c r="GC805" s="157"/>
      <c r="GD805" s="157"/>
      <c r="GE805" s="157"/>
      <c r="GF805" s="157"/>
      <c r="GG805" s="157"/>
      <c r="GH805" s="157"/>
      <c r="GI805" s="157"/>
      <c r="GJ805" s="157"/>
      <c r="GK805" s="157"/>
      <c r="GL805" s="157"/>
      <c r="GM805" s="157"/>
      <c r="GN805" s="157"/>
      <c r="GO805" s="157"/>
      <c r="GP805" s="158"/>
      <c r="GQ805" s="157"/>
      <c r="GR805" s="157"/>
      <c r="GS805" s="157"/>
      <c r="GT805" s="157"/>
      <c r="GU805" s="157"/>
      <c r="GV805" s="157"/>
      <c r="GW805" s="157"/>
      <c r="GX805" s="157"/>
      <c r="GY805" s="157"/>
      <c r="GZ805" s="157"/>
      <c r="HA805" s="157"/>
      <c r="HB805" s="155">
        <v>0.0</v>
      </c>
      <c r="HC805" s="155">
        <v>0.0</v>
      </c>
      <c r="HD805" s="155">
        <v>0.0</v>
      </c>
      <c r="HE805" s="155">
        <v>0.0</v>
      </c>
      <c r="HF805" s="155">
        <v>0.0</v>
      </c>
      <c r="HG805" s="155">
        <v>0.0</v>
      </c>
      <c r="IL805" s="159">
        <v>0.0</v>
      </c>
      <c r="IM805" s="156">
        <v>0.0</v>
      </c>
      <c r="IN805" s="156">
        <v>0.0</v>
      </c>
      <c r="IO805" s="156">
        <v>0.0</v>
      </c>
      <c r="IP805" s="156">
        <v>0.0</v>
      </c>
      <c r="IQ805" s="160">
        <v>0.0</v>
      </c>
      <c r="JH805" s="25"/>
      <c r="JW805" s="159">
        <v>0.0</v>
      </c>
      <c r="JX805" s="156">
        <v>0.0</v>
      </c>
      <c r="JY805" s="156">
        <v>0.0</v>
      </c>
      <c r="JZ805" s="156">
        <v>0.0</v>
      </c>
      <c r="KA805" s="156">
        <v>0.0</v>
      </c>
      <c r="KB805" s="160">
        <v>0.0</v>
      </c>
      <c r="LH805" s="159">
        <f t="shared" si="10"/>
        <v>0</v>
      </c>
      <c r="LI805" s="156">
        <f t="shared" si="11"/>
        <v>0</v>
      </c>
      <c r="LJ805" s="156">
        <f t="shared" si="12"/>
        <v>0</v>
      </c>
      <c r="LK805" s="156">
        <f t="shared" si="13"/>
        <v>0</v>
      </c>
      <c r="LL805" s="156">
        <f t="shared" si="14"/>
        <v>0</v>
      </c>
      <c r="LM805" s="160">
        <f t="shared" si="15"/>
        <v>0</v>
      </c>
      <c r="QX805" s="633"/>
    </row>
    <row r="806">
      <c r="A806" s="12"/>
      <c r="B806" s="12"/>
      <c r="C806" s="12"/>
      <c r="D806" s="12"/>
      <c r="E806" s="12"/>
      <c r="F806" s="12"/>
      <c r="G806" s="12"/>
      <c r="H806" s="12"/>
      <c r="I806" s="143">
        <f t="shared" si="22"/>
        <v>0</v>
      </c>
      <c r="J806" s="108"/>
      <c r="K806" s="203"/>
      <c r="L806" s="108"/>
      <c r="V806" s="161"/>
      <c r="X806" s="140"/>
      <c r="Y806" s="166">
        <f t="shared" si="23"/>
        <v>0</v>
      </c>
      <c r="Z806" s="26">
        <f t="shared" si="7"/>
        <v>0</v>
      </c>
      <c r="AA806" s="26">
        <f t="shared" si="8"/>
        <v>0</v>
      </c>
      <c r="AB806" s="26">
        <f t="shared" si="9"/>
        <v>0</v>
      </c>
      <c r="AC806" s="156">
        <v>0.0</v>
      </c>
      <c r="AD806" s="156">
        <v>0.0</v>
      </c>
      <c r="AE806" s="156">
        <v>0.0</v>
      </c>
      <c r="AF806" s="156">
        <v>0.0</v>
      </c>
      <c r="AG806" s="156">
        <v>0.0</v>
      </c>
      <c r="AH806" s="156">
        <v>0.0</v>
      </c>
      <c r="BN806" s="155">
        <v>0.0</v>
      </c>
      <c r="BO806" s="155">
        <v>0.0</v>
      </c>
      <c r="BP806" s="155">
        <v>0.0</v>
      </c>
      <c r="BQ806" s="155">
        <v>0.0</v>
      </c>
      <c r="BR806" s="155">
        <v>0.0</v>
      </c>
      <c r="BS806" s="155">
        <v>0.0</v>
      </c>
      <c r="CV806" s="156">
        <v>0.0</v>
      </c>
      <c r="CW806" s="156">
        <v>0.0</v>
      </c>
      <c r="CX806" s="156">
        <v>0.0</v>
      </c>
      <c r="CY806" s="156">
        <v>0.0</v>
      </c>
      <c r="CZ806" s="156">
        <v>0.0</v>
      </c>
      <c r="DA806" s="156">
        <v>0.0</v>
      </c>
      <c r="EG806" s="156">
        <v>0.0</v>
      </c>
      <c r="EH806" s="156">
        <v>0.0</v>
      </c>
      <c r="EI806" s="156">
        <v>0.0</v>
      </c>
      <c r="EJ806" s="156">
        <v>0.0</v>
      </c>
      <c r="EK806" s="156">
        <v>0.0</v>
      </c>
      <c r="EL806" s="156">
        <v>0.0</v>
      </c>
      <c r="FQ806" s="156">
        <v>0.0</v>
      </c>
      <c r="FR806" s="156">
        <v>0.0</v>
      </c>
      <c r="FS806" s="156">
        <v>0.0</v>
      </c>
      <c r="FT806" s="156">
        <v>0.0</v>
      </c>
      <c r="FU806" s="156">
        <v>0.0</v>
      </c>
      <c r="FV806" s="156">
        <v>0.0</v>
      </c>
      <c r="FW806" s="157"/>
      <c r="FX806" s="157"/>
      <c r="FY806" s="157"/>
      <c r="FZ806" s="157"/>
      <c r="GA806" s="157"/>
      <c r="GB806" s="157"/>
      <c r="GC806" s="157"/>
      <c r="GD806" s="157"/>
      <c r="GE806" s="157"/>
      <c r="GF806" s="157"/>
      <c r="GG806" s="157"/>
      <c r="GH806" s="157"/>
      <c r="GI806" s="157"/>
      <c r="GJ806" s="157"/>
      <c r="GK806" s="157"/>
      <c r="GL806" s="157"/>
      <c r="GM806" s="157"/>
      <c r="GN806" s="157"/>
      <c r="GO806" s="157"/>
      <c r="GP806" s="158"/>
      <c r="GQ806" s="157"/>
      <c r="GR806" s="157"/>
      <c r="GS806" s="157"/>
      <c r="GT806" s="157"/>
      <c r="GU806" s="157"/>
      <c r="GV806" s="157"/>
      <c r="GW806" s="157"/>
      <c r="GX806" s="157"/>
      <c r="GY806" s="157"/>
      <c r="GZ806" s="157"/>
      <c r="HA806" s="157"/>
      <c r="HB806" s="155">
        <v>0.0</v>
      </c>
      <c r="HC806" s="155">
        <v>0.0</v>
      </c>
      <c r="HD806" s="155">
        <v>0.0</v>
      </c>
      <c r="HE806" s="155">
        <v>0.0</v>
      </c>
      <c r="HF806" s="155">
        <v>0.0</v>
      </c>
      <c r="HG806" s="155">
        <v>0.0</v>
      </c>
      <c r="IL806" s="159">
        <v>0.0</v>
      </c>
      <c r="IM806" s="156">
        <v>0.0</v>
      </c>
      <c r="IN806" s="156">
        <v>0.0</v>
      </c>
      <c r="IO806" s="156">
        <v>0.0</v>
      </c>
      <c r="IP806" s="156">
        <v>0.0</v>
      </c>
      <c r="IQ806" s="160">
        <v>0.0</v>
      </c>
      <c r="JH806" s="25"/>
      <c r="JW806" s="159">
        <v>0.0</v>
      </c>
      <c r="JX806" s="156">
        <v>0.0</v>
      </c>
      <c r="JY806" s="156">
        <v>0.0</v>
      </c>
      <c r="JZ806" s="156">
        <v>0.0</v>
      </c>
      <c r="KA806" s="156">
        <v>0.0</v>
      </c>
      <c r="KB806" s="160">
        <v>0.0</v>
      </c>
      <c r="LH806" s="159">
        <f t="shared" si="10"/>
        <v>0</v>
      </c>
      <c r="LI806" s="156">
        <f t="shared" si="11"/>
        <v>0</v>
      </c>
      <c r="LJ806" s="156">
        <f t="shared" si="12"/>
        <v>0</v>
      </c>
      <c r="LK806" s="156">
        <f t="shared" si="13"/>
        <v>0</v>
      </c>
      <c r="LL806" s="156">
        <f t="shared" si="14"/>
        <v>0</v>
      </c>
      <c r="LM806" s="160">
        <f t="shared" si="15"/>
        <v>0</v>
      </c>
      <c r="QX806" s="633"/>
    </row>
    <row r="807">
      <c r="A807" s="12"/>
      <c r="B807" s="12"/>
      <c r="C807" s="12"/>
      <c r="D807" s="12"/>
      <c r="E807" s="12"/>
      <c r="F807" s="12"/>
      <c r="G807" s="12"/>
      <c r="H807" s="12"/>
      <c r="I807" s="143">
        <f t="shared" si="22"/>
        <v>0</v>
      </c>
      <c r="J807" s="108"/>
      <c r="K807" s="203"/>
      <c r="L807" s="108"/>
      <c r="V807" s="161"/>
      <c r="X807" s="140"/>
      <c r="Y807" s="166">
        <f t="shared" si="23"/>
        <v>0</v>
      </c>
      <c r="Z807" s="26">
        <f t="shared" si="7"/>
        <v>0</v>
      </c>
      <c r="AA807" s="26">
        <f t="shared" si="8"/>
        <v>0</v>
      </c>
      <c r="AB807" s="26">
        <f t="shared" si="9"/>
        <v>0</v>
      </c>
      <c r="AC807" s="156">
        <v>0.0</v>
      </c>
      <c r="AD807" s="156">
        <v>0.0</v>
      </c>
      <c r="AE807" s="156">
        <v>0.0</v>
      </c>
      <c r="AF807" s="156">
        <v>0.0</v>
      </c>
      <c r="AG807" s="156">
        <v>0.0</v>
      </c>
      <c r="AH807" s="156">
        <v>0.0</v>
      </c>
      <c r="BN807" s="155">
        <v>0.0</v>
      </c>
      <c r="BO807" s="155">
        <v>0.0</v>
      </c>
      <c r="BP807" s="155">
        <v>0.0</v>
      </c>
      <c r="BQ807" s="155">
        <v>0.0</v>
      </c>
      <c r="BR807" s="155">
        <v>0.0</v>
      </c>
      <c r="BS807" s="155">
        <v>0.0</v>
      </c>
      <c r="CV807" s="156">
        <v>0.0</v>
      </c>
      <c r="CW807" s="156">
        <v>0.0</v>
      </c>
      <c r="CX807" s="156">
        <v>0.0</v>
      </c>
      <c r="CY807" s="156">
        <v>0.0</v>
      </c>
      <c r="CZ807" s="156">
        <v>0.0</v>
      </c>
      <c r="DA807" s="156">
        <v>0.0</v>
      </c>
      <c r="EG807" s="156">
        <v>0.0</v>
      </c>
      <c r="EH807" s="156">
        <v>0.0</v>
      </c>
      <c r="EI807" s="156">
        <v>0.0</v>
      </c>
      <c r="EJ807" s="156">
        <v>0.0</v>
      </c>
      <c r="EK807" s="156">
        <v>0.0</v>
      </c>
      <c r="EL807" s="156">
        <v>0.0</v>
      </c>
      <c r="FQ807" s="156">
        <v>0.0</v>
      </c>
      <c r="FR807" s="156">
        <v>0.0</v>
      </c>
      <c r="FS807" s="156">
        <v>0.0</v>
      </c>
      <c r="FT807" s="156">
        <v>0.0</v>
      </c>
      <c r="FU807" s="156">
        <v>0.0</v>
      </c>
      <c r="FV807" s="156">
        <v>0.0</v>
      </c>
      <c r="FW807" s="157"/>
      <c r="FX807" s="157"/>
      <c r="FY807" s="157"/>
      <c r="FZ807" s="157"/>
      <c r="GA807" s="157"/>
      <c r="GB807" s="157"/>
      <c r="GC807" s="157"/>
      <c r="GD807" s="157"/>
      <c r="GE807" s="157"/>
      <c r="GF807" s="157"/>
      <c r="GG807" s="157"/>
      <c r="GH807" s="157"/>
      <c r="GI807" s="157"/>
      <c r="GJ807" s="157"/>
      <c r="GK807" s="157"/>
      <c r="GL807" s="157"/>
      <c r="GM807" s="157"/>
      <c r="GN807" s="157"/>
      <c r="GO807" s="157"/>
      <c r="GP807" s="158"/>
      <c r="GQ807" s="157"/>
      <c r="GR807" s="157"/>
      <c r="GS807" s="157"/>
      <c r="GT807" s="157"/>
      <c r="GU807" s="157"/>
      <c r="GV807" s="157"/>
      <c r="GW807" s="157"/>
      <c r="GX807" s="157"/>
      <c r="GY807" s="157"/>
      <c r="GZ807" s="157"/>
      <c r="HA807" s="157"/>
      <c r="HB807" s="155">
        <v>0.0</v>
      </c>
      <c r="HC807" s="155">
        <v>0.0</v>
      </c>
      <c r="HD807" s="155">
        <v>0.0</v>
      </c>
      <c r="HE807" s="155">
        <v>0.0</v>
      </c>
      <c r="HF807" s="155">
        <v>0.0</v>
      </c>
      <c r="HG807" s="155">
        <v>0.0</v>
      </c>
      <c r="IL807" s="159">
        <v>0.0</v>
      </c>
      <c r="IM807" s="156">
        <v>0.0</v>
      </c>
      <c r="IN807" s="156">
        <v>0.0</v>
      </c>
      <c r="IO807" s="156">
        <v>0.0</v>
      </c>
      <c r="IP807" s="156">
        <v>0.0</v>
      </c>
      <c r="IQ807" s="160">
        <v>0.0</v>
      </c>
      <c r="JH807" s="25"/>
      <c r="JW807" s="159">
        <v>0.0</v>
      </c>
      <c r="JX807" s="156">
        <v>0.0</v>
      </c>
      <c r="JY807" s="156">
        <v>0.0</v>
      </c>
      <c r="JZ807" s="156">
        <v>0.0</v>
      </c>
      <c r="KA807" s="156">
        <v>0.0</v>
      </c>
      <c r="KB807" s="160">
        <v>0.0</v>
      </c>
      <c r="LH807" s="159">
        <f t="shared" si="10"/>
        <v>0</v>
      </c>
      <c r="LI807" s="156">
        <f t="shared" si="11"/>
        <v>0</v>
      </c>
      <c r="LJ807" s="156">
        <f t="shared" si="12"/>
        <v>0</v>
      </c>
      <c r="LK807" s="156">
        <f t="shared" si="13"/>
        <v>0</v>
      </c>
      <c r="LL807" s="156">
        <f t="shared" si="14"/>
        <v>0</v>
      </c>
      <c r="LM807" s="160">
        <f t="shared" si="15"/>
        <v>0</v>
      </c>
      <c r="QX807" s="633"/>
    </row>
    <row r="808">
      <c r="A808" s="12"/>
      <c r="B808" s="12"/>
      <c r="C808" s="12"/>
      <c r="D808" s="12"/>
      <c r="E808" s="12"/>
      <c r="F808" s="12"/>
      <c r="G808" s="12"/>
      <c r="H808" s="12"/>
      <c r="I808" s="143">
        <f t="shared" si="22"/>
        <v>0</v>
      </c>
      <c r="J808" s="108"/>
      <c r="K808" s="203"/>
      <c r="L808" s="108"/>
      <c r="V808" s="161"/>
      <c r="X808" s="140"/>
      <c r="Y808" s="166">
        <f t="shared" si="23"/>
        <v>0</v>
      </c>
      <c r="Z808" s="26">
        <f t="shared" si="7"/>
        <v>0</v>
      </c>
      <c r="AA808" s="26">
        <f t="shared" si="8"/>
        <v>0</v>
      </c>
      <c r="AB808" s="26">
        <f t="shared" si="9"/>
        <v>0</v>
      </c>
      <c r="AC808" s="156">
        <v>0.0</v>
      </c>
      <c r="AD808" s="156">
        <v>0.0</v>
      </c>
      <c r="AE808" s="156">
        <v>0.0</v>
      </c>
      <c r="AF808" s="156">
        <v>0.0</v>
      </c>
      <c r="AG808" s="156">
        <v>0.0</v>
      </c>
      <c r="AH808" s="156">
        <v>0.0</v>
      </c>
      <c r="BN808" s="155">
        <v>0.0</v>
      </c>
      <c r="BO808" s="155">
        <v>0.0</v>
      </c>
      <c r="BP808" s="155">
        <v>0.0</v>
      </c>
      <c r="BQ808" s="155">
        <v>0.0</v>
      </c>
      <c r="BR808" s="155">
        <v>0.0</v>
      </c>
      <c r="BS808" s="155">
        <v>0.0</v>
      </c>
      <c r="CV808" s="156">
        <v>0.0</v>
      </c>
      <c r="CW808" s="156">
        <v>0.0</v>
      </c>
      <c r="CX808" s="156">
        <v>0.0</v>
      </c>
      <c r="CY808" s="156">
        <v>0.0</v>
      </c>
      <c r="CZ808" s="156">
        <v>0.0</v>
      </c>
      <c r="DA808" s="156">
        <v>0.0</v>
      </c>
      <c r="EG808" s="156">
        <v>0.0</v>
      </c>
      <c r="EH808" s="156">
        <v>0.0</v>
      </c>
      <c r="EI808" s="156">
        <v>0.0</v>
      </c>
      <c r="EJ808" s="156">
        <v>0.0</v>
      </c>
      <c r="EK808" s="156">
        <v>0.0</v>
      </c>
      <c r="EL808" s="156">
        <v>0.0</v>
      </c>
      <c r="FQ808" s="156">
        <v>0.0</v>
      </c>
      <c r="FR808" s="156">
        <v>0.0</v>
      </c>
      <c r="FS808" s="156">
        <v>0.0</v>
      </c>
      <c r="FT808" s="156">
        <v>0.0</v>
      </c>
      <c r="FU808" s="156">
        <v>0.0</v>
      </c>
      <c r="FV808" s="156">
        <v>0.0</v>
      </c>
      <c r="FW808" s="157"/>
      <c r="FX808" s="157"/>
      <c r="FY808" s="157"/>
      <c r="FZ808" s="157"/>
      <c r="GA808" s="157"/>
      <c r="GB808" s="157"/>
      <c r="GC808" s="157"/>
      <c r="GD808" s="157"/>
      <c r="GE808" s="157"/>
      <c r="GF808" s="157"/>
      <c r="GG808" s="157"/>
      <c r="GH808" s="157"/>
      <c r="GI808" s="157"/>
      <c r="GJ808" s="157"/>
      <c r="GK808" s="157"/>
      <c r="GL808" s="157"/>
      <c r="GM808" s="157"/>
      <c r="GN808" s="157"/>
      <c r="GO808" s="157"/>
      <c r="GP808" s="158"/>
      <c r="GQ808" s="157"/>
      <c r="GR808" s="157"/>
      <c r="GS808" s="157"/>
      <c r="GT808" s="157"/>
      <c r="GU808" s="157"/>
      <c r="GV808" s="157"/>
      <c r="GW808" s="157"/>
      <c r="GX808" s="157"/>
      <c r="GY808" s="157"/>
      <c r="GZ808" s="157"/>
      <c r="HA808" s="157"/>
      <c r="HB808" s="155">
        <v>0.0</v>
      </c>
      <c r="HC808" s="155">
        <v>0.0</v>
      </c>
      <c r="HD808" s="155">
        <v>0.0</v>
      </c>
      <c r="HE808" s="155">
        <v>0.0</v>
      </c>
      <c r="HF808" s="155">
        <v>0.0</v>
      </c>
      <c r="HG808" s="155">
        <v>0.0</v>
      </c>
      <c r="IL808" s="159">
        <v>0.0</v>
      </c>
      <c r="IM808" s="156">
        <v>0.0</v>
      </c>
      <c r="IN808" s="156">
        <v>0.0</v>
      </c>
      <c r="IO808" s="156">
        <v>0.0</v>
      </c>
      <c r="IP808" s="156">
        <v>0.0</v>
      </c>
      <c r="IQ808" s="160">
        <v>0.0</v>
      </c>
      <c r="JH808" s="25"/>
      <c r="JW808" s="159">
        <v>0.0</v>
      </c>
      <c r="JX808" s="156">
        <v>0.0</v>
      </c>
      <c r="JY808" s="156">
        <v>0.0</v>
      </c>
      <c r="JZ808" s="156">
        <v>0.0</v>
      </c>
      <c r="KA808" s="156">
        <v>0.0</v>
      </c>
      <c r="KB808" s="160">
        <v>0.0</v>
      </c>
      <c r="LH808" s="159">
        <f t="shared" si="10"/>
        <v>0</v>
      </c>
      <c r="LI808" s="156">
        <f t="shared" si="11"/>
        <v>0</v>
      </c>
      <c r="LJ808" s="156">
        <f t="shared" si="12"/>
        <v>0</v>
      </c>
      <c r="LK808" s="156">
        <f t="shared" si="13"/>
        <v>0</v>
      </c>
      <c r="LL808" s="156">
        <f t="shared" si="14"/>
        <v>0</v>
      </c>
      <c r="LM808" s="160">
        <f t="shared" si="15"/>
        <v>0</v>
      </c>
      <c r="QX808" s="633"/>
    </row>
    <row r="809">
      <c r="A809" s="12"/>
      <c r="B809" s="12"/>
      <c r="C809" s="12"/>
      <c r="D809" s="12"/>
      <c r="E809" s="12"/>
      <c r="F809" s="12"/>
      <c r="G809" s="12"/>
      <c r="H809" s="12"/>
      <c r="I809" s="143">
        <f t="shared" si="22"/>
        <v>0</v>
      </c>
      <c r="J809" s="108"/>
      <c r="K809" s="203"/>
      <c r="L809" s="108"/>
      <c r="V809" s="161"/>
      <c r="X809" s="140"/>
      <c r="Y809" s="166">
        <f t="shared" si="23"/>
        <v>0</v>
      </c>
      <c r="Z809" s="26">
        <f t="shared" si="7"/>
        <v>0</v>
      </c>
      <c r="AA809" s="26">
        <f t="shared" si="8"/>
        <v>0</v>
      </c>
      <c r="AB809" s="26">
        <f t="shared" si="9"/>
        <v>0</v>
      </c>
      <c r="AC809" s="156">
        <v>0.0</v>
      </c>
      <c r="AD809" s="156">
        <v>0.0</v>
      </c>
      <c r="AE809" s="156">
        <v>0.0</v>
      </c>
      <c r="AF809" s="156">
        <v>0.0</v>
      </c>
      <c r="AG809" s="156">
        <v>0.0</v>
      </c>
      <c r="AH809" s="156">
        <v>0.0</v>
      </c>
      <c r="BN809" s="155">
        <v>0.0</v>
      </c>
      <c r="BO809" s="155">
        <v>0.0</v>
      </c>
      <c r="BP809" s="155">
        <v>0.0</v>
      </c>
      <c r="BQ809" s="155">
        <v>0.0</v>
      </c>
      <c r="BR809" s="155">
        <v>0.0</v>
      </c>
      <c r="BS809" s="155">
        <v>0.0</v>
      </c>
      <c r="CV809" s="156">
        <v>0.0</v>
      </c>
      <c r="CW809" s="156">
        <v>0.0</v>
      </c>
      <c r="CX809" s="156">
        <v>0.0</v>
      </c>
      <c r="CY809" s="156">
        <v>0.0</v>
      </c>
      <c r="CZ809" s="156">
        <v>0.0</v>
      </c>
      <c r="DA809" s="156">
        <v>0.0</v>
      </c>
      <c r="EG809" s="156">
        <v>0.0</v>
      </c>
      <c r="EH809" s="156">
        <v>0.0</v>
      </c>
      <c r="EI809" s="156">
        <v>0.0</v>
      </c>
      <c r="EJ809" s="156">
        <v>0.0</v>
      </c>
      <c r="EK809" s="156">
        <v>0.0</v>
      </c>
      <c r="EL809" s="156">
        <v>0.0</v>
      </c>
      <c r="FQ809" s="156">
        <v>0.0</v>
      </c>
      <c r="FR809" s="156">
        <v>0.0</v>
      </c>
      <c r="FS809" s="156">
        <v>0.0</v>
      </c>
      <c r="FT809" s="156">
        <v>0.0</v>
      </c>
      <c r="FU809" s="156">
        <v>0.0</v>
      </c>
      <c r="FV809" s="156">
        <v>0.0</v>
      </c>
      <c r="FW809" s="157"/>
      <c r="FX809" s="157"/>
      <c r="FY809" s="157"/>
      <c r="FZ809" s="157"/>
      <c r="GA809" s="157"/>
      <c r="GB809" s="157"/>
      <c r="GC809" s="157"/>
      <c r="GD809" s="157"/>
      <c r="GE809" s="157"/>
      <c r="GF809" s="157"/>
      <c r="GG809" s="157"/>
      <c r="GH809" s="157"/>
      <c r="GI809" s="157"/>
      <c r="GJ809" s="157"/>
      <c r="GK809" s="157"/>
      <c r="GL809" s="157"/>
      <c r="GM809" s="157"/>
      <c r="GN809" s="157"/>
      <c r="GO809" s="157"/>
      <c r="GP809" s="158"/>
      <c r="GQ809" s="157"/>
      <c r="GR809" s="157"/>
      <c r="GS809" s="157"/>
      <c r="GT809" s="157"/>
      <c r="GU809" s="157"/>
      <c r="GV809" s="157"/>
      <c r="GW809" s="157"/>
      <c r="GX809" s="157"/>
      <c r="GY809" s="157"/>
      <c r="GZ809" s="157"/>
      <c r="HA809" s="157"/>
      <c r="HB809" s="155">
        <v>0.0</v>
      </c>
      <c r="HC809" s="155">
        <v>0.0</v>
      </c>
      <c r="HD809" s="155">
        <v>0.0</v>
      </c>
      <c r="HE809" s="155">
        <v>0.0</v>
      </c>
      <c r="HF809" s="155">
        <v>0.0</v>
      </c>
      <c r="HG809" s="155">
        <v>0.0</v>
      </c>
      <c r="IL809" s="159">
        <v>0.0</v>
      </c>
      <c r="IM809" s="156">
        <v>0.0</v>
      </c>
      <c r="IN809" s="156">
        <v>0.0</v>
      </c>
      <c r="IO809" s="156">
        <v>0.0</v>
      </c>
      <c r="IP809" s="156">
        <v>0.0</v>
      </c>
      <c r="IQ809" s="160">
        <v>0.0</v>
      </c>
      <c r="JH809" s="25"/>
      <c r="JW809" s="159">
        <v>0.0</v>
      </c>
      <c r="JX809" s="156">
        <v>0.0</v>
      </c>
      <c r="JY809" s="156">
        <v>0.0</v>
      </c>
      <c r="JZ809" s="156">
        <v>0.0</v>
      </c>
      <c r="KA809" s="156">
        <v>0.0</v>
      </c>
      <c r="KB809" s="160">
        <v>0.0</v>
      </c>
      <c r="LH809" s="159">
        <f t="shared" si="10"/>
        <v>0</v>
      </c>
      <c r="LI809" s="156">
        <f t="shared" si="11"/>
        <v>0</v>
      </c>
      <c r="LJ809" s="156">
        <f t="shared" si="12"/>
        <v>0</v>
      </c>
      <c r="LK809" s="156">
        <f t="shared" si="13"/>
        <v>0</v>
      </c>
      <c r="LL809" s="156">
        <f t="shared" si="14"/>
        <v>0</v>
      </c>
      <c r="LM809" s="160">
        <f t="shared" si="15"/>
        <v>0</v>
      </c>
      <c r="QX809" s="633"/>
    </row>
    <row r="810">
      <c r="A810" s="12"/>
      <c r="B810" s="12"/>
      <c r="C810" s="12"/>
      <c r="D810" s="12"/>
      <c r="E810" s="12"/>
      <c r="F810" s="12"/>
      <c r="G810" s="12"/>
      <c r="H810" s="12"/>
      <c r="I810" s="143">
        <f t="shared" si="22"/>
        <v>0</v>
      </c>
      <c r="J810" s="108"/>
      <c r="K810" s="203"/>
      <c r="L810" s="108"/>
      <c r="V810" s="161"/>
      <c r="X810" s="140"/>
      <c r="Y810" s="166">
        <f t="shared" si="23"/>
        <v>0</v>
      </c>
      <c r="Z810" s="26">
        <f t="shared" si="7"/>
        <v>0</v>
      </c>
      <c r="AA810" s="26">
        <f t="shared" si="8"/>
        <v>0</v>
      </c>
      <c r="AB810" s="26">
        <f t="shared" si="9"/>
        <v>0</v>
      </c>
      <c r="AC810" s="156">
        <v>0.0</v>
      </c>
      <c r="AD810" s="156">
        <v>0.0</v>
      </c>
      <c r="AE810" s="156">
        <v>0.0</v>
      </c>
      <c r="AF810" s="156">
        <v>0.0</v>
      </c>
      <c r="AG810" s="156">
        <v>0.0</v>
      </c>
      <c r="AH810" s="156">
        <v>0.0</v>
      </c>
      <c r="BN810" s="155">
        <v>0.0</v>
      </c>
      <c r="BO810" s="155">
        <v>0.0</v>
      </c>
      <c r="BP810" s="155">
        <v>0.0</v>
      </c>
      <c r="BQ810" s="155">
        <v>0.0</v>
      </c>
      <c r="BR810" s="155">
        <v>0.0</v>
      </c>
      <c r="BS810" s="155">
        <v>0.0</v>
      </c>
      <c r="CV810" s="156">
        <v>0.0</v>
      </c>
      <c r="CW810" s="156">
        <v>0.0</v>
      </c>
      <c r="CX810" s="156">
        <v>0.0</v>
      </c>
      <c r="CY810" s="156">
        <v>0.0</v>
      </c>
      <c r="CZ810" s="156">
        <v>0.0</v>
      </c>
      <c r="DA810" s="156">
        <v>0.0</v>
      </c>
      <c r="EG810" s="156">
        <v>0.0</v>
      </c>
      <c r="EH810" s="156">
        <v>0.0</v>
      </c>
      <c r="EI810" s="156">
        <v>0.0</v>
      </c>
      <c r="EJ810" s="156">
        <v>0.0</v>
      </c>
      <c r="EK810" s="156">
        <v>0.0</v>
      </c>
      <c r="EL810" s="156">
        <v>0.0</v>
      </c>
      <c r="FQ810" s="156">
        <v>0.0</v>
      </c>
      <c r="FR810" s="156">
        <v>0.0</v>
      </c>
      <c r="FS810" s="156">
        <v>0.0</v>
      </c>
      <c r="FT810" s="156">
        <v>0.0</v>
      </c>
      <c r="FU810" s="156">
        <v>0.0</v>
      </c>
      <c r="FV810" s="156">
        <v>0.0</v>
      </c>
      <c r="FW810" s="157"/>
      <c r="FX810" s="157"/>
      <c r="FY810" s="157"/>
      <c r="FZ810" s="157"/>
      <c r="GA810" s="157"/>
      <c r="GB810" s="157"/>
      <c r="GC810" s="157"/>
      <c r="GD810" s="157"/>
      <c r="GE810" s="157"/>
      <c r="GF810" s="157"/>
      <c r="GG810" s="157"/>
      <c r="GH810" s="157"/>
      <c r="GI810" s="157"/>
      <c r="GJ810" s="157"/>
      <c r="GK810" s="157"/>
      <c r="GL810" s="157"/>
      <c r="GM810" s="157"/>
      <c r="GN810" s="157"/>
      <c r="GO810" s="157"/>
      <c r="GP810" s="158"/>
      <c r="GQ810" s="157"/>
      <c r="GR810" s="157"/>
      <c r="GS810" s="157"/>
      <c r="GT810" s="157"/>
      <c r="GU810" s="157"/>
      <c r="GV810" s="157"/>
      <c r="GW810" s="157"/>
      <c r="GX810" s="157"/>
      <c r="GY810" s="157"/>
      <c r="GZ810" s="157"/>
      <c r="HA810" s="157"/>
      <c r="HB810" s="155">
        <v>0.0</v>
      </c>
      <c r="HC810" s="155">
        <v>0.0</v>
      </c>
      <c r="HD810" s="155">
        <v>0.0</v>
      </c>
      <c r="HE810" s="155">
        <v>0.0</v>
      </c>
      <c r="HF810" s="155">
        <v>0.0</v>
      </c>
      <c r="HG810" s="155">
        <v>0.0</v>
      </c>
      <c r="IL810" s="159">
        <v>0.0</v>
      </c>
      <c r="IM810" s="156">
        <v>0.0</v>
      </c>
      <c r="IN810" s="156">
        <v>0.0</v>
      </c>
      <c r="IO810" s="156">
        <v>0.0</v>
      </c>
      <c r="IP810" s="156">
        <v>0.0</v>
      </c>
      <c r="IQ810" s="160">
        <v>0.0</v>
      </c>
      <c r="JH810" s="25"/>
      <c r="JW810" s="159">
        <v>0.0</v>
      </c>
      <c r="JX810" s="156">
        <v>0.0</v>
      </c>
      <c r="JY810" s="156">
        <v>0.0</v>
      </c>
      <c r="JZ810" s="156">
        <v>0.0</v>
      </c>
      <c r="KA810" s="156">
        <v>0.0</v>
      </c>
      <c r="KB810" s="160">
        <v>0.0</v>
      </c>
      <c r="LH810" s="159">
        <f t="shared" si="10"/>
        <v>0</v>
      </c>
      <c r="LI810" s="156">
        <f t="shared" si="11"/>
        <v>0</v>
      </c>
      <c r="LJ810" s="156">
        <f t="shared" si="12"/>
        <v>0</v>
      </c>
      <c r="LK810" s="156">
        <f t="shared" si="13"/>
        <v>0</v>
      </c>
      <c r="LL810" s="156">
        <f t="shared" si="14"/>
        <v>0</v>
      </c>
      <c r="LM810" s="160">
        <f t="shared" si="15"/>
        <v>0</v>
      </c>
      <c r="QX810" s="633"/>
    </row>
    <row r="811">
      <c r="A811" s="12"/>
      <c r="B811" s="12"/>
      <c r="C811" s="12"/>
      <c r="D811" s="12"/>
      <c r="E811" s="12"/>
      <c r="F811" s="12"/>
      <c r="G811" s="12"/>
      <c r="H811" s="12"/>
      <c r="I811" s="143">
        <f t="shared" si="22"/>
        <v>0</v>
      </c>
      <c r="J811" s="108"/>
      <c r="K811" s="203"/>
      <c r="L811" s="108"/>
      <c r="V811" s="161"/>
      <c r="X811" s="140"/>
      <c r="Y811" s="166">
        <f t="shared" si="23"/>
        <v>0</v>
      </c>
      <c r="Z811" s="26">
        <f t="shared" si="7"/>
        <v>0</v>
      </c>
      <c r="AA811" s="26">
        <f t="shared" si="8"/>
        <v>0</v>
      </c>
      <c r="AB811" s="26">
        <f t="shared" si="9"/>
        <v>0</v>
      </c>
      <c r="AC811" s="156">
        <v>0.0</v>
      </c>
      <c r="AD811" s="156">
        <v>0.0</v>
      </c>
      <c r="AE811" s="156">
        <v>0.0</v>
      </c>
      <c r="AF811" s="156">
        <v>0.0</v>
      </c>
      <c r="AG811" s="156">
        <v>0.0</v>
      </c>
      <c r="AH811" s="156">
        <v>0.0</v>
      </c>
      <c r="BN811" s="155">
        <v>0.0</v>
      </c>
      <c r="BO811" s="155">
        <v>0.0</v>
      </c>
      <c r="BP811" s="155">
        <v>0.0</v>
      </c>
      <c r="BQ811" s="155">
        <v>0.0</v>
      </c>
      <c r="BR811" s="155">
        <v>0.0</v>
      </c>
      <c r="BS811" s="155">
        <v>0.0</v>
      </c>
      <c r="CV811" s="156">
        <v>0.0</v>
      </c>
      <c r="CW811" s="156">
        <v>0.0</v>
      </c>
      <c r="CX811" s="156">
        <v>0.0</v>
      </c>
      <c r="CY811" s="156">
        <v>0.0</v>
      </c>
      <c r="CZ811" s="156">
        <v>0.0</v>
      </c>
      <c r="DA811" s="156">
        <v>0.0</v>
      </c>
      <c r="EG811" s="156">
        <v>0.0</v>
      </c>
      <c r="EH811" s="156">
        <v>0.0</v>
      </c>
      <c r="EI811" s="156">
        <v>0.0</v>
      </c>
      <c r="EJ811" s="156">
        <v>0.0</v>
      </c>
      <c r="EK811" s="156">
        <v>0.0</v>
      </c>
      <c r="EL811" s="156">
        <v>0.0</v>
      </c>
      <c r="FQ811" s="156">
        <v>0.0</v>
      </c>
      <c r="FR811" s="156">
        <v>0.0</v>
      </c>
      <c r="FS811" s="156">
        <v>0.0</v>
      </c>
      <c r="FT811" s="156">
        <v>0.0</v>
      </c>
      <c r="FU811" s="156">
        <v>0.0</v>
      </c>
      <c r="FV811" s="156">
        <v>0.0</v>
      </c>
      <c r="FW811" s="157"/>
      <c r="FX811" s="157"/>
      <c r="FY811" s="157"/>
      <c r="FZ811" s="157"/>
      <c r="GA811" s="157"/>
      <c r="GB811" s="157"/>
      <c r="GC811" s="157"/>
      <c r="GD811" s="157"/>
      <c r="GE811" s="157"/>
      <c r="GF811" s="157"/>
      <c r="GG811" s="157"/>
      <c r="GH811" s="157"/>
      <c r="GI811" s="157"/>
      <c r="GJ811" s="157"/>
      <c r="GK811" s="157"/>
      <c r="GL811" s="157"/>
      <c r="GM811" s="157"/>
      <c r="GN811" s="157"/>
      <c r="GO811" s="157"/>
      <c r="GP811" s="158"/>
      <c r="GQ811" s="157"/>
      <c r="GR811" s="157"/>
      <c r="GS811" s="157"/>
      <c r="GT811" s="157"/>
      <c r="GU811" s="157"/>
      <c r="GV811" s="157"/>
      <c r="GW811" s="157"/>
      <c r="GX811" s="157"/>
      <c r="GY811" s="157"/>
      <c r="GZ811" s="157"/>
      <c r="HA811" s="157"/>
      <c r="HB811" s="155">
        <v>0.0</v>
      </c>
      <c r="HC811" s="155">
        <v>0.0</v>
      </c>
      <c r="HD811" s="155">
        <v>0.0</v>
      </c>
      <c r="HE811" s="155">
        <v>0.0</v>
      </c>
      <c r="HF811" s="155">
        <v>0.0</v>
      </c>
      <c r="HG811" s="155">
        <v>0.0</v>
      </c>
      <c r="IL811" s="159">
        <v>0.0</v>
      </c>
      <c r="IM811" s="156">
        <v>0.0</v>
      </c>
      <c r="IN811" s="156">
        <v>0.0</v>
      </c>
      <c r="IO811" s="156">
        <v>0.0</v>
      </c>
      <c r="IP811" s="156">
        <v>0.0</v>
      </c>
      <c r="IQ811" s="160">
        <v>0.0</v>
      </c>
      <c r="JH811" s="25"/>
      <c r="JW811" s="159">
        <v>0.0</v>
      </c>
      <c r="JX811" s="156">
        <v>0.0</v>
      </c>
      <c r="JY811" s="156">
        <v>0.0</v>
      </c>
      <c r="JZ811" s="156">
        <v>0.0</v>
      </c>
      <c r="KA811" s="156">
        <v>0.0</v>
      </c>
      <c r="KB811" s="160">
        <v>0.0</v>
      </c>
      <c r="LH811" s="159">
        <f t="shared" si="10"/>
        <v>0</v>
      </c>
      <c r="LI811" s="156">
        <f t="shared" si="11"/>
        <v>0</v>
      </c>
      <c r="LJ811" s="156">
        <f t="shared" si="12"/>
        <v>0</v>
      </c>
      <c r="LK811" s="156">
        <f t="shared" si="13"/>
        <v>0</v>
      </c>
      <c r="LL811" s="156">
        <f t="shared" si="14"/>
        <v>0</v>
      </c>
      <c r="LM811" s="160">
        <f t="shared" si="15"/>
        <v>0</v>
      </c>
      <c r="QX811" s="633"/>
    </row>
    <row r="812">
      <c r="A812" s="12"/>
      <c r="B812" s="12"/>
      <c r="C812" s="12"/>
      <c r="D812" s="12"/>
      <c r="E812" s="12"/>
      <c r="F812" s="12"/>
      <c r="G812" s="12"/>
      <c r="H812" s="12"/>
      <c r="I812" s="143">
        <f t="shared" si="22"/>
        <v>0</v>
      </c>
      <c r="J812" s="108"/>
      <c r="K812" s="203"/>
      <c r="L812" s="108"/>
      <c r="V812" s="161"/>
      <c r="X812" s="140"/>
      <c r="Y812" s="166">
        <f t="shared" si="23"/>
        <v>0</v>
      </c>
      <c r="Z812" s="26">
        <f t="shared" si="7"/>
        <v>0</v>
      </c>
      <c r="AA812" s="26">
        <f t="shared" si="8"/>
        <v>0</v>
      </c>
      <c r="AB812" s="26">
        <f t="shared" si="9"/>
        <v>0</v>
      </c>
      <c r="AC812" s="156">
        <v>0.0</v>
      </c>
      <c r="AD812" s="156">
        <v>0.0</v>
      </c>
      <c r="AE812" s="156">
        <v>0.0</v>
      </c>
      <c r="AF812" s="156">
        <v>0.0</v>
      </c>
      <c r="AG812" s="156">
        <v>0.0</v>
      </c>
      <c r="AH812" s="156">
        <v>0.0</v>
      </c>
      <c r="BN812" s="155">
        <v>0.0</v>
      </c>
      <c r="BO812" s="155">
        <v>0.0</v>
      </c>
      <c r="BP812" s="155">
        <v>0.0</v>
      </c>
      <c r="BQ812" s="155">
        <v>0.0</v>
      </c>
      <c r="BR812" s="155">
        <v>0.0</v>
      </c>
      <c r="BS812" s="155">
        <v>0.0</v>
      </c>
      <c r="CV812" s="156">
        <v>0.0</v>
      </c>
      <c r="CW812" s="156">
        <v>0.0</v>
      </c>
      <c r="CX812" s="156">
        <v>0.0</v>
      </c>
      <c r="CY812" s="156">
        <v>0.0</v>
      </c>
      <c r="CZ812" s="156">
        <v>0.0</v>
      </c>
      <c r="DA812" s="156">
        <v>0.0</v>
      </c>
      <c r="EG812" s="156">
        <v>0.0</v>
      </c>
      <c r="EH812" s="156">
        <v>0.0</v>
      </c>
      <c r="EI812" s="156">
        <v>0.0</v>
      </c>
      <c r="EJ812" s="156">
        <v>0.0</v>
      </c>
      <c r="EK812" s="156">
        <v>0.0</v>
      </c>
      <c r="EL812" s="156">
        <v>0.0</v>
      </c>
      <c r="FQ812" s="156">
        <v>0.0</v>
      </c>
      <c r="FR812" s="156">
        <v>0.0</v>
      </c>
      <c r="FS812" s="156">
        <v>0.0</v>
      </c>
      <c r="FT812" s="156">
        <v>0.0</v>
      </c>
      <c r="FU812" s="156">
        <v>0.0</v>
      </c>
      <c r="FV812" s="156">
        <v>0.0</v>
      </c>
      <c r="FW812" s="157"/>
      <c r="FX812" s="157"/>
      <c r="FY812" s="157"/>
      <c r="FZ812" s="157"/>
      <c r="GA812" s="157"/>
      <c r="GB812" s="157"/>
      <c r="GC812" s="157"/>
      <c r="GD812" s="157"/>
      <c r="GE812" s="157"/>
      <c r="GF812" s="157"/>
      <c r="GG812" s="157"/>
      <c r="GH812" s="157"/>
      <c r="GI812" s="157"/>
      <c r="GJ812" s="157"/>
      <c r="GK812" s="157"/>
      <c r="GL812" s="157"/>
      <c r="GM812" s="157"/>
      <c r="GN812" s="157"/>
      <c r="GO812" s="157"/>
      <c r="GP812" s="158"/>
      <c r="GQ812" s="157"/>
      <c r="GR812" s="157"/>
      <c r="GS812" s="157"/>
      <c r="GT812" s="157"/>
      <c r="GU812" s="157"/>
      <c r="GV812" s="157"/>
      <c r="GW812" s="157"/>
      <c r="GX812" s="157"/>
      <c r="GY812" s="157"/>
      <c r="GZ812" s="157"/>
      <c r="HA812" s="157"/>
      <c r="HB812" s="155">
        <v>0.0</v>
      </c>
      <c r="HC812" s="155">
        <v>0.0</v>
      </c>
      <c r="HD812" s="155">
        <v>0.0</v>
      </c>
      <c r="HE812" s="155">
        <v>0.0</v>
      </c>
      <c r="HF812" s="155">
        <v>0.0</v>
      </c>
      <c r="HG812" s="155">
        <v>0.0</v>
      </c>
      <c r="IL812" s="159">
        <v>0.0</v>
      </c>
      <c r="IM812" s="156">
        <v>0.0</v>
      </c>
      <c r="IN812" s="156">
        <v>0.0</v>
      </c>
      <c r="IO812" s="156">
        <v>0.0</v>
      </c>
      <c r="IP812" s="156">
        <v>0.0</v>
      </c>
      <c r="IQ812" s="160">
        <v>0.0</v>
      </c>
      <c r="JH812" s="25"/>
      <c r="JW812" s="159">
        <v>0.0</v>
      </c>
      <c r="JX812" s="156">
        <v>0.0</v>
      </c>
      <c r="JY812" s="156">
        <v>0.0</v>
      </c>
      <c r="JZ812" s="156">
        <v>0.0</v>
      </c>
      <c r="KA812" s="156">
        <v>0.0</v>
      </c>
      <c r="KB812" s="160">
        <v>0.0</v>
      </c>
      <c r="LH812" s="159">
        <f t="shared" si="10"/>
        <v>0</v>
      </c>
      <c r="LI812" s="156">
        <f t="shared" si="11"/>
        <v>0</v>
      </c>
      <c r="LJ812" s="156">
        <f t="shared" si="12"/>
        <v>0</v>
      </c>
      <c r="LK812" s="156">
        <f t="shared" si="13"/>
        <v>0</v>
      </c>
      <c r="LL812" s="156">
        <f t="shared" si="14"/>
        <v>0</v>
      </c>
      <c r="LM812" s="160">
        <f t="shared" si="15"/>
        <v>0</v>
      </c>
      <c r="QX812" s="633"/>
    </row>
    <row r="813">
      <c r="A813" s="12"/>
      <c r="B813" s="12"/>
      <c r="C813" s="12"/>
      <c r="D813" s="12"/>
      <c r="E813" s="12"/>
      <c r="F813" s="12"/>
      <c r="G813" s="12"/>
      <c r="H813" s="12"/>
      <c r="I813" s="143">
        <f t="shared" si="22"/>
        <v>0</v>
      </c>
      <c r="J813" s="108"/>
      <c r="K813" s="203"/>
      <c r="L813" s="108"/>
      <c r="V813" s="161"/>
      <c r="X813" s="140"/>
      <c r="Y813" s="166">
        <f t="shared" si="23"/>
        <v>0</v>
      </c>
      <c r="Z813" s="26">
        <f t="shared" si="7"/>
        <v>0</v>
      </c>
      <c r="AA813" s="26">
        <f t="shared" si="8"/>
        <v>0</v>
      </c>
      <c r="AB813" s="26">
        <f t="shared" si="9"/>
        <v>0</v>
      </c>
      <c r="AC813" s="156">
        <v>0.0</v>
      </c>
      <c r="AD813" s="156">
        <v>0.0</v>
      </c>
      <c r="AE813" s="156">
        <v>0.0</v>
      </c>
      <c r="AF813" s="156">
        <v>0.0</v>
      </c>
      <c r="AG813" s="156">
        <v>0.0</v>
      </c>
      <c r="AH813" s="156">
        <v>0.0</v>
      </c>
      <c r="BN813" s="155">
        <v>0.0</v>
      </c>
      <c r="BO813" s="155">
        <v>0.0</v>
      </c>
      <c r="BP813" s="155">
        <v>0.0</v>
      </c>
      <c r="BQ813" s="155">
        <v>0.0</v>
      </c>
      <c r="BR813" s="155">
        <v>0.0</v>
      </c>
      <c r="BS813" s="155">
        <v>0.0</v>
      </c>
      <c r="CV813" s="156">
        <v>0.0</v>
      </c>
      <c r="CW813" s="156">
        <v>0.0</v>
      </c>
      <c r="CX813" s="156">
        <v>0.0</v>
      </c>
      <c r="CY813" s="156">
        <v>0.0</v>
      </c>
      <c r="CZ813" s="156">
        <v>0.0</v>
      </c>
      <c r="DA813" s="156">
        <v>0.0</v>
      </c>
      <c r="EG813" s="156">
        <v>0.0</v>
      </c>
      <c r="EH813" s="156">
        <v>0.0</v>
      </c>
      <c r="EI813" s="156">
        <v>0.0</v>
      </c>
      <c r="EJ813" s="156">
        <v>0.0</v>
      </c>
      <c r="EK813" s="156">
        <v>0.0</v>
      </c>
      <c r="EL813" s="156">
        <v>0.0</v>
      </c>
      <c r="FQ813" s="156">
        <v>0.0</v>
      </c>
      <c r="FR813" s="156">
        <v>0.0</v>
      </c>
      <c r="FS813" s="156">
        <v>0.0</v>
      </c>
      <c r="FT813" s="156">
        <v>0.0</v>
      </c>
      <c r="FU813" s="156">
        <v>0.0</v>
      </c>
      <c r="FV813" s="156">
        <v>0.0</v>
      </c>
      <c r="FW813" s="157"/>
      <c r="FX813" s="157"/>
      <c r="FY813" s="157"/>
      <c r="FZ813" s="157"/>
      <c r="GA813" s="157"/>
      <c r="GB813" s="157"/>
      <c r="GC813" s="157"/>
      <c r="GD813" s="157"/>
      <c r="GE813" s="157"/>
      <c r="GF813" s="157"/>
      <c r="GG813" s="157"/>
      <c r="GH813" s="157"/>
      <c r="GI813" s="157"/>
      <c r="GJ813" s="157"/>
      <c r="GK813" s="157"/>
      <c r="GL813" s="157"/>
      <c r="GM813" s="157"/>
      <c r="GN813" s="157"/>
      <c r="GO813" s="157"/>
      <c r="GP813" s="158"/>
      <c r="GQ813" s="157"/>
      <c r="GR813" s="157"/>
      <c r="GS813" s="157"/>
      <c r="GT813" s="157"/>
      <c r="GU813" s="157"/>
      <c r="GV813" s="157"/>
      <c r="GW813" s="157"/>
      <c r="GX813" s="157"/>
      <c r="GY813" s="157"/>
      <c r="GZ813" s="157"/>
      <c r="HA813" s="157"/>
      <c r="HB813" s="155">
        <v>0.0</v>
      </c>
      <c r="HC813" s="155">
        <v>0.0</v>
      </c>
      <c r="HD813" s="155">
        <v>0.0</v>
      </c>
      <c r="HE813" s="155">
        <v>0.0</v>
      </c>
      <c r="HF813" s="155">
        <v>0.0</v>
      </c>
      <c r="HG813" s="155">
        <v>0.0</v>
      </c>
      <c r="IL813" s="159">
        <v>0.0</v>
      </c>
      <c r="IM813" s="156">
        <v>0.0</v>
      </c>
      <c r="IN813" s="156">
        <v>0.0</v>
      </c>
      <c r="IO813" s="156">
        <v>0.0</v>
      </c>
      <c r="IP813" s="156">
        <v>0.0</v>
      </c>
      <c r="IQ813" s="160">
        <v>0.0</v>
      </c>
      <c r="JH813" s="25"/>
      <c r="JW813" s="159">
        <v>0.0</v>
      </c>
      <c r="JX813" s="156">
        <v>0.0</v>
      </c>
      <c r="JY813" s="156">
        <v>0.0</v>
      </c>
      <c r="JZ813" s="156">
        <v>0.0</v>
      </c>
      <c r="KA813" s="156">
        <v>0.0</v>
      </c>
      <c r="KB813" s="160">
        <v>0.0</v>
      </c>
      <c r="LH813" s="159">
        <f t="shared" si="10"/>
        <v>0</v>
      </c>
      <c r="LI813" s="156">
        <f t="shared" si="11"/>
        <v>0</v>
      </c>
      <c r="LJ813" s="156">
        <f t="shared" si="12"/>
        <v>0</v>
      </c>
      <c r="LK813" s="156">
        <f t="shared" si="13"/>
        <v>0</v>
      </c>
      <c r="LL813" s="156">
        <f t="shared" si="14"/>
        <v>0</v>
      </c>
      <c r="LM813" s="160">
        <f t="shared" si="15"/>
        <v>0</v>
      </c>
      <c r="QX813" s="633"/>
    </row>
    <row r="814">
      <c r="A814" s="12"/>
      <c r="B814" s="12"/>
      <c r="C814" s="12"/>
      <c r="D814" s="12"/>
      <c r="E814" s="12"/>
      <c r="F814" s="12"/>
      <c r="G814" s="12"/>
      <c r="H814" s="12"/>
      <c r="I814" s="143">
        <f t="shared" si="22"/>
        <v>0</v>
      </c>
      <c r="J814" s="108"/>
      <c r="K814" s="203"/>
      <c r="L814" s="108"/>
      <c r="V814" s="161"/>
      <c r="X814" s="140"/>
      <c r="Y814" s="166">
        <f t="shared" si="23"/>
        <v>0</v>
      </c>
      <c r="Z814" s="26">
        <f t="shared" si="7"/>
        <v>0</v>
      </c>
      <c r="AA814" s="26">
        <f t="shared" si="8"/>
        <v>0</v>
      </c>
      <c r="AB814" s="26">
        <f t="shared" si="9"/>
        <v>0</v>
      </c>
      <c r="AC814" s="156">
        <v>0.0</v>
      </c>
      <c r="AD814" s="156">
        <v>0.0</v>
      </c>
      <c r="AE814" s="156">
        <v>0.0</v>
      </c>
      <c r="AF814" s="156">
        <v>0.0</v>
      </c>
      <c r="AG814" s="156">
        <v>0.0</v>
      </c>
      <c r="AH814" s="156">
        <v>0.0</v>
      </c>
      <c r="BN814" s="155">
        <v>0.0</v>
      </c>
      <c r="BO814" s="155">
        <v>0.0</v>
      </c>
      <c r="BP814" s="155">
        <v>0.0</v>
      </c>
      <c r="BQ814" s="155">
        <v>0.0</v>
      </c>
      <c r="BR814" s="155">
        <v>0.0</v>
      </c>
      <c r="BS814" s="155">
        <v>0.0</v>
      </c>
      <c r="CV814" s="156">
        <v>0.0</v>
      </c>
      <c r="CW814" s="156">
        <v>0.0</v>
      </c>
      <c r="CX814" s="156">
        <v>0.0</v>
      </c>
      <c r="CY814" s="156">
        <v>0.0</v>
      </c>
      <c r="CZ814" s="156">
        <v>0.0</v>
      </c>
      <c r="DA814" s="156">
        <v>0.0</v>
      </c>
      <c r="EG814" s="156">
        <v>0.0</v>
      </c>
      <c r="EH814" s="156">
        <v>0.0</v>
      </c>
      <c r="EI814" s="156">
        <v>0.0</v>
      </c>
      <c r="EJ814" s="156">
        <v>0.0</v>
      </c>
      <c r="EK814" s="156">
        <v>0.0</v>
      </c>
      <c r="EL814" s="156">
        <v>0.0</v>
      </c>
      <c r="FQ814" s="156">
        <v>0.0</v>
      </c>
      <c r="FR814" s="156">
        <v>0.0</v>
      </c>
      <c r="FS814" s="156">
        <v>0.0</v>
      </c>
      <c r="FT814" s="156">
        <v>0.0</v>
      </c>
      <c r="FU814" s="156">
        <v>0.0</v>
      </c>
      <c r="FV814" s="156">
        <v>0.0</v>
      </c>
      <c r="FW814" s="157"/>
      <c r="FX814" s="157"/>
      <c r="FY814" s="157"/>
      <c r="FZ814" s="157"/>
      <c r="GA814" s="157"/>
      <c r="GB814" s="157"/>
      <c r="GC814" s="157"/>
      <c r="GD814" s="157"/>
      <c r="GE814" s="157"/>
      <c r="GF814" s="157"/>
      <c r="GG814" s="157"/>
      <c r="GH814" s="157"/>
      <c r="GI814" s="157"/>
      <c r="GJ814" s="157"/>
      <c r="GK814" s="157"/>
      <c r="GL814" s="157"/>
      <c r="GM814" s="157"/>
      <c r="GN814" s="157"/>
      <c r="GO814" s="157"/>
      <c r="GP814" s="158"/>
      <c r="GQ814" s="157"/>
      <c r="GR814" s="157"/>
      <c r="GS814" s="157"/>
      <c r="GT814" s="157"/>
      <c r="GU814" s="157"/>
      <c r="GV814" s="157"/>
      <c r="GW814" s="157"/>
      <c r="GX814" s="157"/>
      <c r="GY814" s="157"/>
      <c r="GZ814" s="157"/>
      <c r="HA814" s="157"/>
      <c r="HB814" s="155">
        <v>0.0</v>
      </c>
      <c r="HC814" s="155">
        <v>0.0</v>
      </c>
      <c r="HD814" s="155">
        <v>0.0</v>
      </c>
      <c r="HE814" s="155">
        <v>0.0</v>
      </c>
      <c r="HF814" s="155">
        <v>0.0</v>
      </c>
      <c r="HG814" s="155">
        <v>0.0</v>
      </c>
      <c r="IL814" s="159">
        <v>0.0</v>
      </c>
      <c r="IM814" s="156">
        <v>0.0</v>
      </c>
      <c r="IN814" s="156">
        <v>0.0</v>
      </c>
      <c r="IO814" s="156">
        <v>0.0</v>
      </c>
      <c r="IP814" s="156">
        <v>0.0</v>
      </c>
      <c r="IQ814" s="160">
        <v>0.0</v>
      </c>
      <c r="JH814" s="25"/>
      <c r="JW814" s="159">
        <v>0.0</v>
      </c>
      <c r="JX814" s="156">
        <v>0.0</v>
      </c>
      <c r="JY814" s="156">
        <v>0.0</v>
      </c>
      <c r="JZ814" s="156">
        <v>0.0</v>
      </c>
      <c r="KA814" s="156">
        <v>0.0</v>
      </c>
      <c r="KB814" s="160">
        <v>0.0</v>
      </c>
      <c r="LH814" s="159">
        <f t="shared" si="10"/>
        <v>0</v>
      </c>
      <c r="LI814" s="156">
        <f t="shared" si="11"/>
        <v>0</v>
      </c>
      <c r="LJ814" s="156">
        <f t="shared" si="12"/>
        <v>0</v>
      </c>
      <c r="LK814" s="156">
        <f t="shared" si="13"/>
        <v>0</v>
      </c>
      <c r="LL814" s="156">
        <f t="shared" si="14"/>
        <v>0</v>
      </c>
      <c r="LM814" s="160">
        <f t="shared" si="15"/>
        <v>0</v>
      </c>
      <c r="QX814" s="633"/>
    </row>
    <row r="815">
      <c r="A815" s="12"/>
      <c r="B815" s="12"/>
      <c r="C815" s="12"/>
      <c r="D815" s="12"/>
      <c r="E815" s="12"/>
      <c r="F815" s="12"/>
      <c r="G815" s="12"/>
      <c r="H815" s="12"/>
      <c r="I815" s="143">
        <f t="shared" si="22"/>
        <v>0</v>
      </c>
      <c r="J815" s="108"/>
      <c r="K815" s="203"/>
      <c r="L815" s="108"/>
      <c r="V815" s="161"/>
      <c r="X815" s="140"/>
      <c r="Y815" s="166">
        <f t="shared" si="23"/>
        <v>0</v>
      </c>
      <c r="Z815" s="26">
        <f t="shared" si="7"/>
        <v>0</v>
      </c>
      <c r="AA815" s="26">
        <f t="shared" si="8"/>
        <v>0</v>
      </c>
      <c r="AB815" s="26">
        <f t="shared" si="9"/>
        <v>0</v>
      </c>
      <c r="AC815" s="156">
        <v>0.0</v>
      </c>
      <c r="AD815" s="156">
        <v>0.0</v>
      </c>
      <c r="AE815" s="156">
        <v>0.0</v>
      </c>
      <c r="AF815" s="156">
        <v>0.0</v>
      </c>
      <c r="AG815" s="156">
        <v>0.0</v>
      </c>
      <c r="AH815" s="156">
        <v>0.0</v>
      </c>
      <c r="BN815" s="155">
        <v>0.0</v>
      </c>
      <c r="BO815" s="155">
        <v>0.0</v>
      </c>
      <c r="BP815" s="155">
        <v>0.0</v>
      </c>
      <c r="BQ815" s="155">
        <v>0.0</v>
      </c>
      <c r="BR815" s="155">
        <v>0.0</v>
      </c>
      <c r="BS815" s="155">
        <v>0.0</v>
      </c>
      <c r="CV815" s="156">
        <v>0.0</v>
      </c>
      <c r="CW815" s="156">
        <v>0.0</v>
      </c>
      <c r="CX815" s="156">
        <v>0.0</v>
      </c>
      <c r="CY815" s="156">
        <v>0.0</v>
      </c>
      <c r="CZ815" s="156">
        <v>0.0</v>
      </c>
      <c r="DA815" s="156">
        <v>0.0</v>
      </c>
      <c r="EG815" s="156">
        <v>0.0</v>
      </c>
      <c r="EH815" s="156">
        <v>0.0</v>
      </c>
      <c r="EI815" s="156">
        <v>0.0</v>
      </c>
      <c r="EJ815" s="156">
        <v>0.0</v>
      </c>
      <c r="EK815" s="156">
        <v>0.0</v>
      </c>
      <c r="EL815" s="156">
        <v>0.0</v>
      </c>
      <c r="FQ815" s="156">
        <v>0.0</v>
      </c>
      <c r="FR815" s="156">
        <v>0.0</v>
      </c>
      <c r="FS815" s="156">
        <v>0.0</v>
      </c>
      <c r="FT815" s="156">
        <v>0.0</v>
      </c>
      <c r="FU815" s="156">
        <v>0.0</v>
      </c>
      <c r="FV815" s="156">
        <v>0.0</v>
      </c>
      <c r="FW815" s="157"/>
      <c r="FX815" s="157"/>
      <c r="FY815" s="157"/>
      <c r="FZ815" s="157"/>
      <c r="GA815" s="157"/>
      <c r="GB815" s="157"/>
      <c r="GC815" s="157"/>
      <c r="GD815" s="157"/>
      <c r="GE815" s="157"/>
      <c r="GF815" s="157"/>
      <c r="GG815" s="157"/>
      <c r="GH815" s="157"/>
      <c r="GI815" s="157"/>
      <c r="GJ815" s="157"/>
      <c r="GK815" s="157"/>
      <c r="GL815" s="157"/>
      <c r="GM815" s="157"/>
      <c r="GN815" s="157"/>
      <c r="GO815" s="157"/>
      <c r="GP815" s="158"/>
      <c r="GQ815" s="157"/>
      <c r="GR815" s="157"/>
      <c r="GS815" s="157"/>
      <c r="GT815" s="157"/>
      <c r="GU815" s="157"/>
      <c r="GV815" s="157"/>
      <c r="GW815" s="157"/>
      <c r="GX815" s="157"/>
      <c r="GY815" s="157"/>
      <c r="GZ815" s="157"/>
      <c r="HA815" s="157"/>
      <c r="HB815" s="155">
        <v>0.0</v>
      </c>
      <c r="HC815" s="155">
        <v>0.0</v>
      </c>
      <c r="HD815" s="155">
        <v>0.0</v>
      </c>
      <c r="HE815" s="155">
        <v>0.0</v>
      </c>
      <c r="HF815" s="155">
        <v>0.0</v>
      </c>
      <c r="HG815" s="155">
        <v>0.0</v>
      </c>
      <c r="IL815" s="159">
        <v>0.0</v>
      </c>
      <c r="IM815" s="156">
        <v>0.0</v>
      </c>
      <c r="IN815" s="156">
        <v>0.0</v>
      </c>
      <c r="IO815" s="156">
        <v>0.0</v>
      </c>
      <c r="IP815" s="156">
        <v>0.0</v>
      </c>
      <c r="IQ815" s="160">
        <v>0.0</v>
      </c>
      <c r="JH815" s="25"/>
      <c r="JW815" s="159">
        <v>0.0</v>
      </c>
      <c r="JX815" s="156">
        <v>0.0</v>
      </c>
      <c r="JY815" s="156">
        <v>0.0</v>
      </c>
      <c r="JZ815" s="156">
        <v>0.0</v>
      </c>
      <c r="KA815" s="156">
        <v>0.0</v>
      </c>
      <c r="KB815" s="160">
        <v>0.0</v>
      </c>
      <c r="LH815" s="159">
        <f t="shared" si="10"/>
        <v>0</v>
      </c>
      <c r="LI815" s="156">
        <f t="shared" si="11"/>
        <v>0</v>
      </c>
      <c r="LJ815" s="156">
        <f t="shared" si="12"/>
        <v>0</v>
      </c>
      <c r="LK815" s="156">
        <f t="shared" si="13"/>
        <v>0</v>
      </c>
      <c r="LL815" s="156">
        <f t="shared" si="14"/>
        <v>0</v>
      </c>
      <c r="LM815" s="160">
        <f t="shared" si="15"/>
        <v>0</v>
      </c>
      <c r="QX815" s="633"/>
    </row>
    <row r="816">
      <c r="A816" s="12"/>
      <c r="B816" s="12"/>
      <c r="C816" s="12"/>
      <c r="D816" s="12"/>
      <c r="E816" s="12"/>
      <c r="F816" s="12"/>
      <c r="G816" s="12"/>
      <c r="H816" s="12"/>
      <c r="I816" s="143">
        <f t="shared" si="22"/>
        <v>0</v>
      </c>
      <c r="J816" s="108"/>
      <c r="K816" s="203"/>
      <c r="L816" s="108"/>
      <c r="V816" s="161"/>
      <c r="X816" s="140"/>
      <c r="Y816" s="166">
        <f t="shared" si="23"/>
        <v>0</v>
      </c>
      <c r="Z816" s="26">
        <f t="shared" si="7"/>
        <v>0</v>
      </c>
      <c r="AA816" s="26">
        <f t="shared" si="8"/>
        <v>0</v>
      </c>
      <c r="AB816" s="26">
        <f t="shared" si="9"/>
        <v>0</v>
      </c>
      <c r="AC816" s="156">
        <v>0.0</v>
      </c>
      <c r="AD816" s="156">
        <v>0.0</v>
      </c>
      <c r="AE816" s="156">
        <v>0.0</v>
      </c>
      <c r="AF816" s="156">
        <v>0.0</v>
      </c>
      <c r="AG816" s="156">
        <v>0.0</v>
      </c>
      <c r="AH816" s="156">
        <v>0.0</v>
      </c>
      <c r="BN816" s="155">
        <v>0.0</v>
      </c>
      <c r="BO816" s="155">
        <v>0.0</v>
      </c>
      <c r="BP816" s="155">
        <v>0.0</v>
      </c>
      <c r="BQ816" s="155">
        <v>0.0</v>
      </c>
      <c r="BR816" s="155">
        <v>0.0</v>
      </c>
      <c r="BS816" s="155">
        <v>0.0</v>
      </c>
      <c r="CV816" s="156">
        <v>0.0</v>
      </c>
      <c r="CW816" s="156">
        <v>0.0</v>
      </c>
      <c r="CX816" s="156">
        <v>0.0</v>
      </c>
      <c r="CY816" s="156">
        <v>0.0</v>
      </c>
      <c r="CZ816" s="156">
        <v>0.0</v>
      </c>
      <c r="DA816" s="156">
        <v>0.0</v>
      </c>
      <c r="EG816" s="156">
        <v>0.0</v>
      </c>
      <c r="EH816" s="156">
        <v>0.0</v>
      </c>
      <c r="EI816" s="156">
        <v>0.0</v>
      </c>
      <c r="EJ816" s="156">
        <v>0.0</v>
      </c>
      <c r="EK816" s="156">
        <v>0.0</v>
      </c>
      <c r="EL816" s="156">
        <v>0.0</v>
      </c>
      <c r="FQ816" s="156">
        <v>0.0</v>
      </c>
      <c r="FR816" s="156">
        <v>0.0</v>
      </c>
      <c r="FS816" s="156">
        <v>0.0</v>
      </c>
      <c r="FT816" s="156">
        <v>0.0</v>
      </c>
      <c r="FU816" s="156">
        <v>0.0</v>
      </c>
      <c r="FV816" s="156">
        <v>0.0</v>
      </c>
      <c r="FW816" s="157"/>
      <c r="FX816" s="157"/>
      <c r="FY816" s="157"/>
      <c r="FZ816" s="157"/>
      <c r="GA816" s="157"/>
      <c r="GB816" s="157"/>
      <c r="GC816" s="157"/>
      <c r="GD816" s="157"/>
      <c r="GE816" s="157"/>
      <c r="GF816" s="157"/>
      <c r="GG816" s="157"/>
      <c r="GH816" s="157"/>
      <c r="GI816" s="157"/>
      <c r="GJ816" s="157"/>
      <c r="GK816" s="157"/>
      <c r="GL816" s="157"/>
      <c r="GM816" s="157"/>
      <c r="GN816" s="157"/>
      <c r="GO816" s="157"/>
      <c r="GP816" s="158"/>
      <c r="GQ816" s="157"/>
      <c r="GR816" s="157"/>
      <c r="GS816" s="157"/>
      <c r="GT816" s="157"/>
      <c r="GU816" s="157"/>
      <c r="GV816" s="157"/>
      <c r="GW816" s="157"/>
      <c r="GX816" s="157"/>
      <c r="GY816" s="157"/>
      <c r="GZ816" s="157"/>
      <c r="HA816" s="157"/>
      <c r="HB816" s="155">
        <v>0.0</v>
      </c>
      <c r="HC816" s="155">
        <v>0.0</v>
      </c>
      <c r="HD816" s="155">
        <v>0.0</v>
      </c>
      <c r="HE816" s="155">
        <v>0.0</v>
      </c>
      <c r="HF816" s="155">
        <v>0.0</v>
      </c>
      <c r="HG816" s="155">
        <v>0.0</v>
      </c>
      <c r="IL816" s="159">
        <v>0.0</v>
      </c>
      <c r="IM816" s="156">
        <v>0.0</v>
      </c>
      <c r="IN816" s="156">
        <v>0.0</v>
      </c>
      <c r="IO816" s="156">
        <v>0.0</v>
      </c>
      <c r="IP816" s="156">
        <v>0.0</v>
      </c>
      <c r="IQ816" s="160">
        <v>0.0</v>
      </c>
      <c r="JH816" s="25"/>
      <c r="JW816" s="159">
        <v>0.0</v>
      </c>
      <c r="JX816" s="156">
        <v>0.0</v>
      </c>
      <c r="JY816" s="156">
        <v>0.0</v>
      </c>
      <c r="JZ816" s="156">
        <v>0.0</v>
      </c>
      <c r="KA816" s="156">
        <v>0.0</v>
      </c>
      <c r="KB816" s="160">
        <v>0.0</v>
      </c>
      <c r="LH816" s="159">
        <f t="shared" si="10"/>
        <v>0</v>
      </c>
      <c r="LI816" s="156">
        <f t="shared" si="11"/>
        <v>0</v>
      </c>
      <c r="LJ816" s="156">
        <f t="shared" si="12"/>
        <v>0</v>
      </c>
      <c r="LK816" s="156">
        <f t="shared" si="13"/>
        <v>0</v>
      </c>
      <c r="LL816" s="156">
        <f t="shared" si="14"/>
        <v>0</v>
      </c>
      <c r="LM816" s="160">
        <f t="shared" si="15"/>
        <v>0</v>
      </c>
      <c r="QX816" s="633"/>
    </row>
    <row r="817">
      <c r="A817" s="12"/>
      <c r="B817" s="12"/>
      <c r="C817" s="12"/>
      <c r="D817" s="12"/>
      <c r="E817" s="12"/>
      <c r="F817" s="12"/>
      <c r="G817" s="12"/>
      <c r="H817" s="12"/>
      <c r="I817" s="143">
        <f t="shared" si="22"/>
        <v>0</v>
      </c>
      <c r="J817" s="108"/>
      <c r="K817" s="203"/>
      <c r="L817" s="108"/>
      <c r="V817" s="161"/>
      <c r="X817" s="140"/>
      <c r="Y817" s="166">
        <f t="shared" si="23"/>
        <v>0</v>
      </c>
      <c r="Z817" s="26">
        <f t="shared" si="7"/>
        <v>0</v>
      </c>
      <c r="AA817" s="26">
        <f t="shared" si="8"/>
        <v>0</v>
      </c>
      <c r="AB817" s="26">
        <f t="shared" si="9"/>
        <v>0</v>
      </c>
      <c r="AC817" s="156">
        <v>0.0</v>
      </c>
      <c r="AD817" s="156">
        <v>0.0</v>
      </c>
      <c r="AE817" s="156">
        <v>0.0</v>
      </c>
      <c r="AF817" s="156">
        <v>0.0</v>
      </c>
      <c r="AG817" s="156">
        <v>0.0</v>
      </c>
      <c r="AH817" s="156">
        <v>0.0</v>
      </c>
      <c r="BN817" s="155">
        <v>0.0</v>
      </c>
      <c r="BO817" s="155">
        <v>0.0</v>
      </c>
      <c r="BP817" s="155">
        <v>0.0</v>
      </c>
      <c r="BQ817" s="155">
        <v>0.0</v>
      </c>
      <c r="BR817" s="155">
        <v>0.0</v>
      </c>
      <c r="BS817" s="155">
        <v>0.0</v>
      </c>
      <c r="CV817" s="156">
        <v>0.0</v>
      </c>
      <c r="CW817" s="156">
        <v>0.0</v>
      </c>
      <c r="CX817" s="156">
        <v>0.0</v>
      </c>
      <c r="CY817" s="156">
        <v>0.0</v>
      </c>
      <c r="CZ817" s="156">
        <v>0.0</v>
      </c>
      <c r="DA817" s="156">
        <v>0.0</v>
      </c>
      <c r="EG817" s="156">
        <v>0.0</v>
      </c>
      <c r="EH817" s="156">
        <v>0.0</v>
      </c>
      <c r="EI817" s="156">
        <v>0.0</v>
      </c>
      <c r="EJ817" s="156">
        <v>0.0</v>
      </c>
      <c r="EK817" s="156">
        <v>0.0</v>
      </c>
      <c r="EL817" s="156">
        <v>0.0</v>
      </c>
      <c r="FQ817" s="156">
        <v>0.0</v>
      </c>
      <c r="FR817" s="156">
        <v>0.0</v>
      </c>
      <c r="FS817" s="156">
        <v>0.0</v>
      </c>
      <c r="FT817" s="156">
        <v>0.0</v>
      </c>
      <c r="FU817" s="156">
        <v>0.0</v>
      </c>
      <c r="FV817" s="156">
        <v>0.0</v>
      </c>
      <c r="FW817" s="157"/>
      <c r="FX817" s="157"/>
      <c r="FY817" s="157"/>
      <c r="FZ817" s="157"/>
      <c r="GA817" s="157"/>
      <c r="GB817" s="157"/>
      <c r="GC817" s="157"/>
      <c r="GD817" s="157"/>
      <c r="GE817" s="157"/>
      <c r="GF817" s="157"/>
      <c r="GG817" s="157"/>
      <c r="GH817" s="157"/>
      <c r="GI817" s="157"/>
      <c r="GJ817" s="157"/>
      <c r="GK817" s="157"/>
      <c r="GL817" s="157"/>
      <c r="GM817" s="157"/>
      <c r="GN817" s="157"/>
      <c r="GO817" s="157"/>
      <c r="GP817" s="158"/>
      <c r="GQ817" s="157"/>
      <c r="GR817" s="157"/>
      <c r="GS817" s="157"/>
      <c r="GT817" s="157"/>
      <c r="GU817" s="157"/>
      <c r="GV817" s="157"/>
      <c r="GW817" s="157"/>
      <c r="GX817" s="157"/>
      <c r="GY817" s="157"/>
      <c r="GZ817" s="157"/>
      <c r="HA817" s="157"/>
      <c r="HB817" s="155">
        <v>0.0</v>
      </c>
      <c r="HC817" s="155">
        <v>0.0</v>
      </c>
      <c r="HD817" s="155">
        <v>0.0</v>
      </c>
      <c r="HE817" s="155">
        <v>0.0</v>
      </c>
      <c r="HF817" s="155">
        <v>0.0</v>
      </c>
      <c r="HG817" s="155">
        <v>0.0</v>
      </c>
      <c r="IL817" s="159">
        <v>0.0</v>
      </c>
      <c r="IM817" s="156">
        <v>0.0</v>
      </c>
      <c r="IN817" s="156">
        <v>0.0</v>
      </c>
      <c r="IO817" s="156">
        <v>0.0</v>
      </c>
      <c r="IP817" s="156">
        <v>0.0</v>
      </c>
      <c r="IQ817" s="160">
        <v>0.0</v>
      </c>
      <c r="JH817" s="25"/>
      <c r="JW817" s="159">
        <v>0.0</v>
      </c>
      <c r="JX817" s="156">
        <v>0.0</v>
      </c>
      <c r="JY817" s="156">
        <v>0.0</v>
      </c>
      <c r="JZ817" s="156">
        <v>0.0</v>
      </c>
      <c r="KA817" s="156">
        <v>0.0</v>
      </c>
      <c r="KB817" s="160">
        <v>0.0</v>
      </c>
      <c r="LH817" s="159">
        <f t="shared" si="10"/>
        <v>0</v>
      </c>
      <c r="LI817" s="156">
        <f t="shared" si="11"/>
        <v>0</v>
      </c>
      <c r="LJ817" s="156">
        <f t="shared" si="12"/>
        <v>0</v>
      </c>
      <c r="LK817" s="156">
        <f t="shared" si="13"/>
        <v>0</v>
      </c>
      <c r="LL817" s="156">
        <f t="shared" si="14"/>
        <v>0</v>
      </c>
      <c r="LM817" s="160">
        <f t="shared" si="15"/>
        <v>0</v>
      </c>
      <c r="QX817" s="633"/>
    </row>
    <row r="818">
      <c r="A818" s="12"/>
      <c r="B818" s="12"/>
      <c r="C818" s="12"/>
      <c r="D818" s="12"/>
      <c r="E818" s="12"/>
      <c r="F818" s="12"/>
      <c r="G818" s="12"/>
      <c r="H818" s="12"/>
      <c r="I818" s="143">
        <f t="shared" si="22"/>
        <v>0</v>
      </c>
      <c r="J818" s="108"/>
      <c r="K818" s="203"/>
      <c r="L818" s="108"/>
      <c r="V818" s="161"/>
      <c r="X818" s="140"/>
      <c r="Y818" s="166">
        <f t="shared" si="23"/>
        <v>0</v>
      </c>
      <c r="Z818" s="26">
        <f t="shared" si="7"/>
        <v>0</v>
      </c>
      <c r="AA818" s="26">
        <f t="shared" si="8"/>
        <v>0</v>
      </c>
      <c r="AB818" s="26">
        <f t="shared" si="9"/>
        <v>0</v>
      </c>
      <c r="AC818" s="156">
        <v>0.0</v>
      </c>
      <c r="AD818" s="156">
        <v>0.0</v>
      </c>
      <c r="AE818" s="156">
        <v>0.0</v>
      </c>
      <c r="AF818" s="156">
        <v>0.0</v>
      </c>
      <c r="AG818" s="156">
        <v>0.0</v>
      </c>
      <c r="AH818" s="156">
        <v>0.0</v>
      </c>
      <c r="BN818" s="155">
        <v>0.0</v>
      </c>
      <c r="BO818" s="155">
        <v>0.0</v>
      </c>
      <c r="BP818" s="155">
        <v>0.0</v>
      </c>
      <c r="BQ818" s="155">
        <v>0.0</v>
      </c>
      <c r="BR818" s="155">
        <v>0.0</v>
      </c>
      <c r="BS818" s="155">
        <v>0.0</v>
      </c>
      <c r="CV818" s="156">
        <v>0.0</v>
      </c>
      <c r="CW818" s="156">
        <v>0.0</v>
      </c>
      <c r="CX818" s="156">
        <v>0.0</v>
      </c>
      <c r="CY818" s="156">
        <v>0.0</v>
      </c>
      <c r="CZ818" s="156">
        <v>0.0</v>
      </c>
      <c r="DA818" s="156">
        <v>0.0</v>
      </c>
      <c r="EG818" s="156">
        <v>0.0</v>
      </c>
      <c r="EH818" s="156">
        <v>0.0</v>
      </c>
      <c r="EI818" s="156">
        <v>0.0</v>
      </c>
      <c r="EJ818" s="156">
        <v>0.0</v>
      </c>
      <c r="EK818" s="156">
        <v>0.0</v>
      </c>
      <c r="EL818" s="156">
        <v>0.0</v>
      </c>
      <c r="FQ818" s="156">
        <v>0.0</v>
      </c>
      <c r="FR818" s="156">
        <v>0.0</v>
      </c>
      <c r="FS818" s="156">
        <v>0.0</v>
      </c>
      <c r="FT818" s="156">
        <v>0.0</v>
      </c>
      <c r="FU818" s="156">
        <v>0.0</v>
      </c>
      <c r="FV818" s="156">
        <v>0.0</v>
      </c>
      <c r="FW818" s="157"/>
      <c r="FX818" s="157"/>
      <c r="FY818" s="157"/>
      <c r="FZ818" s="157"/>
      <c r="GA818" s="157"/>
      <c r="GB818" s="157"/>
      <c r="GC818" s="157"/>
      <c r="GD818" s="157"/>
      <c r="GE818" s="157"/>
      <c r="GF818" s="157"/>
      <c r="GG818" s="157"/>
      <c r="GH818" s="157"/>
      <c r="GI818" s="157"/>
      <c r="GJ818" s="157"/>
      <c r="GK818" s="157"/>
      <c r="GL818" s="157"/>
      <c r="GM818" s="157"/>
      <c r="GN818" s="157"/>
      <c r="GO818" s="157"/>
      <c r="GP818" s="158"/>
      <c r="GQ818" s="157"/>
      <c r="GR818" s="157"/>
      <c r="GS818" s="157"/>
      <c r="GT818" s="157"/>
      <c r="GU818" s="157"/>
      <c r="GV818" s="157"/>
      <c r="GW818" s="157"/>
      <c r="GX818" s="157"/>
      <c r="GY818" s="157"/>
      <c r="GZ818" s="157"/>
      <c r="HA818" s="157"/>
      <c r="HB818" s="155">
        <v>0.0</v>
      </c>
      <c r="HC818" s="155">
        <v>0.0</v>
      </c>
      <c r="HD818" s="155">
        <v>0.0</v>
      </c>
      <c r="HE818" s="155">
        <v>0.0</v>
      </c>
      <c r="HF818" s="155">
        <v>0.0</v>
      </c>
      <c r="HG818" s="155">
        <v>0.0</v>
      </c>
      <c r="IL818" s="159">
        <v>0.0</v>
      </c>
      <c r="IM818" s="156">
        <v>0.0</v>
      </c>
      <c r="IN818" s="156">
        <v>0.0</v>
      </c>
      <c r="IO818" s="156">
        <v>0.0</v>
      </c>
      <c r="IP818" s="156">
        <v>0.0</v>
      </c>
      <c r="IQ818" s="160">
        <v>0.0</v>
      </c>
      <c r="JH818" s="25"/>
      <c r="JW818" s="159">
        <v>0.0</v>
      </c>
      <c r="JX818" s="156">
        <v>0.0</v>
      </c>
      <c r="JY818" s="156">
        <v>0.0</v>
      </c>
      <c r="JZ818" s="156">
        <v>0.0</v>
      </c>
      <c r="KA818" s="156">
        <v>0.0</v>
      </c>
      <c r="KB818" s="160">
        <v>0.0</v>
      </c>
      <c r="LH818" s="159">
        <f t="shared" si="10"/>
        <v>0</v>
      </c>
      <c r="LI818" s="156">
        <f t="shared" si="11"/>
        <v>0</v>
      </c>
      <c r="LJ818" s="156">
        <f t="shared" si="12"/>
        <v>0</v>
      </c>
      <c r="LK818" s="156">
        <f t="shared" si="13"/>
        <v>0</v>
      </c>
      <c r="LL818" s="156">
        <f t="shared" si="14"/>
        <v>0</v>
      </c>
      <c r="LM818" s="160">
        <f t="shared" si="15"/>
        <v>0</v>
      </c>
      <c r="QX818" s="633"/>
    </row>
    <row r="819">
      <c r="A819" s="12"/>
      <c r="B819" s="12"/>
      <c r="C819" s="12"/>
      <c r="D819" s="12"/>
      <c r="E819" s="12"/>
      <c r="F819" s="12"/>
      <c r="G819" s="12"/>
      <c r="H819" s="12"/>
      <c r="I819" s="143">
        <f t="shared" si="22"/>
        <v>0</v>
      </c>
      <c r="J819" s="108"/>
      <c r="K819" s="203"/>
      <c r="L819" s="108"/>
      <c r="V819" s="161"/>
      <c r="X819" s="140"/>
      <c r="Y819" s="166">
        <f t="shared" si="23"/>
        <v>0</v>
      </c>
      <c r="Z819" s="26">
        <f t="shared" si="7"/>
        <v>0</v>
      </c>
      <c r="AA819" s="26">
        <f t="shared" si="8"/>
        <v>0</v>
      </c>
      <c r="AB819" s="26">
        <f t="shared" si="9"/>
        <v>0</v>
      </c>
      <c r="AC819" s="156">
        <v>0.0</v>
      </c>
      <c r="AD819" s="156">
        <v>0.0</v>
      </c>
      <c r="AE819" s="156">
        <v>0.0</v>
      </c>
      <c r="AF819" s="156">
        <v>0.0</v>
      </c>
      <c r="AG819" s="156">
        <v>0.0</v>
      </c>
      <c r="AH819" s="156">
        <v>0.0</v>
      </c>
      <c r="BN819" s="155">
        <v>0.0</v>
      </c>
      <c r="BO819" s="155">
        <v>0.0</v>
      </c>
      <c r="BP819" s="155">
        <v>0.0</v>
      </c>
      <c r="BQ819" s="155">
        <v>0.0</v>
      </c>
      <c r="BR819" s="155">
        <v>0.0</v>
      </c>
      <c r="BS819" s="155">
        <v>0.0</v>
      </c>
      <c r="CV819" s="156">
        <v>0.0</v>
      </c>
      <c r="CW819" s="156">
        <v>0.0</v>
      </c>
      <c r="CX819" s="156">
        <v>0.0</v>
      </c>
      <c r="CY819" s="156">
        <v>0.0</v>
      </c>
      <c r="CZ819" s="156">
        <v>0.0</v>
      </c>
      <c r="DA819" s="156">
        <v>0.0</v>
      </c>
      <c r="EG819" s="156">
        <v>0.0</v>
      </c>
      <c r="EH819" s="156">
        <v>0.0</v>
      </c>
      <c r="EI819" s="156">
        <v>0.0</v>
      </c>
      <c r="EJ819" s="156">
        <v>0.0</v>
      </c>
      <c r="EK819" s="156">
        <v>0.0</v>
      </c>
      <c r="EL819" s="156">
        <v>0.0</v>
      </c>
      <c r="FQ819" s="156">
        <v>0.0</v>
      </c>
      <c r="FR819" s="156">
        <v>0.0</v>
      </c>
      <c r="FS819" s="156">
        <v>0.0</v>
      </c>
      <c r="FT819" s="156">
        <v>0.0</v>
      </c>
      <c r="FU819" s="156">
        <v>0.0</v>
      </c>
      <c r="FV819" s="156">
        <v>0.0</v>
      </c>
      <c r="FW819" s="157"/>
      <c r="FX819" s="157"/>
      <c r="FY819" s="157"/>
      <c r="FZ819" s="157"/>
      <c r="GA819" s="157"/>
      <c r="GB819" s="157"/>
      <c r="GC819" s="157"/>
      <c r="GD819" s="157"/>
      <c r="GE819" s="157"/>
      <c r="GF819" s="157"/>
      <c r="GG819" s="157"/>
      <c r="GH819" s="157"/>
      <c r="GI819" s="157"/>
      <c r="GJ819" s="157"/>
      <c r="GK819" s="157"/>
      <c r="GL819" s="157"/>
      <c r="GM819" s="157"/>
      <c r="GN819" s="157"/>
      <c r="GO819" s="157"/>
      <c r="GP819" s="158"/>
      <c r="GQ819" s="157"/>
      <c r="GR819" s="157"/>
      <c r="GS819" s="157"/>
      <c r="GT819" s="157"/>
      <c r="GU819" s="157"/>
      <c r="GV819" s="157"/>
      <c r="GW819" s="157"/>
      <c r="GX819" s="157"/>
      <c r="GY819" s="157"/>
      <c r="GZ819" s="157"/>
      <c r="HA819" s="157"/>
      <c r="HB819" s="155">
        <v>0.0</v>
      </c>
      <c r="HC819" s="155">
        <v>0.0</v>
      </c>
      <c r="HD819" s="155">
        <v>0.0</v>
      </c>
      <c r="HE819" s="155">
        <v>0.0</v>
      </c>
      <c r="HF819" s="155">
        <v>0.0</v>
      </c>
      <c r="HG819" s="155">
        <v>0.0</v>
      </c>
      <c r="IL819" s="159">
        <v>0.0</v>
      </c>
      <c r="IM819" s="156">
        <v>0.0</v>
      </c>
      <c r="IN819" s="156">
        <v>0.0</v>
      </c>
      <c r="IO819" s="156">
        <v>0.0</v>
      </c>
      <c r="IP819" s="156">
        <v>0.0</v>
      </c>
      <c r="IQ819" s="160">
        <v>0.0</v>
      </c>
      <c r="JH819" s="25"/>
      <c r="JW819" s="159">
        <v>0.0</v>
      </c>
      <c r="JX819" s="156">
        <v>0.0</v>
      </c>
      <c r="JY819" s="156">
        <v>0.0</v>
      </c>
      <c r="JZ819" s="156">
        <v>0.0</v>
      </c>
      <c r="KA819" s="156">
        <v>0.0</v>
      </c>
      <c r="KB819" s="160">
        <v>0.0</v>
      </c>
      <c r="LH819" s="159">
        <f t="shared" si="10"/>
        <v>0</v>
      </c>
      <c r="LI819" s="156">
        <f t="shared" si="11"/>
        <v>0</v>
      </c>
      <c r="LJ819" s="156">
        <f t="shared" si="12"/>
        <v>0</v>
      </c>
      <c r="LK819" s="156">
        <f t="shared" si="13"/>
        <v>0</v>
      </c>
      <c r="LL819" s="156">
        <f t="shared" si="14"/>
        <v>0</v>
      </c>
      <c r="LM819" s="160">
        <f t="shared" si="15"/>
        <v>0</v>
      </c>
      <c r="QX819" s="633"/>
    </row>
    <row r="820">
      <c r="A820" s="12"/>
      <c r="B820" s="12"/>
      <c r="C820" s="12"/>
      <c r="D820" s="12"/>
      <c r="E820" s="12"/>
      <c r="F820" s="12"/>
      <c r="G820" s="12"/>
      <c r="H820" s="12"/>
      <c r="I820" s="143">
        <f t="shared" si="22"/>
        <v>0</v>
      </c>
      <c r="J820" s="108"/>
      <c r="K820" s="203"/>
      <c r="L820" s="108"/>
      <c r="V820" s="161"/>
      <c r="X820" s="140"/>
      <c r="Y820" s="166">
        <f t="shared" si="23"/>
        <v>0</v>
      </c>
      <c r="Z820" s="26">
        <f t="shared" si="7"/>
        <v>0</v>
      </c>
      <c r="AA820" s="26">
        <f t="shared" si="8"/>
        <v>0</v>
      </c>
      <c r="AB820" s="26">
        <f t="shared" si="9"/>
        <v>0</v>
      </c>
      <c r="AC820" s="156">
        <v>0.0</v>
      </c>
      <c r="AD820" s="156">
        <v>0.0</v>
      </c>
      <c r="AE820" s="156">
        <v>0.0</v>
      </c>
      <c r="AF820" s="156">
        <v>0.0</v>
      </c>
      <c r="AG820" s="156">
        <v>0.0</v>
      </c>
      <c r="AH820" s="156">
        <v>0.0</v>
      </c>
      <c r="BN820" s="155">
        <v>0.0</v>
      </c>
      <c r="BO820" s="155">
        <v>0.0</v>
      </c>
      <c r="BP820" s="155">
        <v>0.0</v>
      </c>
      <c r="BQ820" s="155">
        <v>0.0</v>
      </c>
      <c r="BR820" s="155">
        <v>0.0</v>
      </c>
      <c r="BS820" s="155">
        <v>0.0</v>
      </c>
      <c r="CV820" s="156">
        <v>0.0</v>
      </c>
      <c r="CW820" s="156">
        <v>0.0</v>
      </c>
      <c r="CX820" s="156">
        <v>0.0</v>
      </c>
      <c r="CY820" s="156">
        <v>0.0</v>
      </c>
      <c r="CZ820" s="156">
        <v>0.0</v>
      </c>
      <c r="DA820" s="156">
        <v>0.0</v>
      </c>
      <c r="EG820" s="156">
        <v>0.0</v>
      </c>
      <c r="EH820" s="156">
        <v>0.0</v>
      </c>
      <c r="EI820" s="156">
        <v>0.0</v>
      </c>
      <c r="EJ820" s="156">
        <v>0.0</v>
      </c>
      <c r="EK820" s="156">
        <v>0.0</v>
      </c>
      <c r="EL820" s="156">
        <v>0.0</v>
      </c>
      <c r="FQ820" s="156">
        <v>0.0</v>
      </c>
      <c r="FR820" s="156">
        <v>0.0</v>
      </c>
      <c r="FS820" s="156">
        <v>0.0</v>
      </c>
      <c r="FT820" s="156">
        <v>0.0</v>
      </c>
      <c r="FU820" s="156">
        <v>0.0</v>
      </c>
      <c r="FV820" s="156">
        <v>0.0</v>
      </c>
      <c r="FW820" s="157"/>
      <c r="FX820" s="157"/>
      <c r="FY820" s="157"/>
      <c r="FZ820" s="157"/>
      <c r="GA820" s="157"/>
      <c r="GB820" s="157"/>
      <c r="GC820" s="157"/>
      <c r="GD820" s="157"/>
      <c r="GE820" s="157"/>
      <c r="GF820" s="157"/>
      <c r="GG820" s="157"/>
      <c r="GH820" s="157"/>
      <c r="GI820" s="157"/>
      <c r="GJ820" s="157"/>
      <c r="GK820" s="157"/>
      <c r="GL820" s="157"/>
      <c r="GM820" s="157"/>
      <c r="GN820" s="157"/>
      <c r="GO820" s="157"/>
      <c r="GP820" s="158"/>
      <c r="GQ820" s="157"/>
      <c r="GR820" s="157"/>
      <c r="GS820" s="157"/>
      <c r="GT820" s="157"/>
      <c r="GU820" s="157"/>
      <c r="GV820" s="157"/>
      <c r="GW820" s="157"/>
      <c r="GX820" s="157"/>
      <c r="GY820" s="157"/>
      <c r="GZ820" s="157"/>
      <c r="HA820" s="157"/>
      <c r="HB820" s="155">
        <v>0.0</v>
      </c>
      <c r="HC820" s="155">
        <v>0.0</v>
      </c>
      <c r="HD820" s="155">
        <v>0.0</v>
      </c>
      <c r="HE820" s="155">
        <v>0.0</v>
      </c>
      <c r="HF820" s="155">
        <v>0.0</v>
      </c>
      <c r="HG820" s="155">
        <v>0.0</v>
      </c>
      <c r="IL820" s="159">
        <v>0.0</v>
      </c>
      <c r="IM820" s="156">
        <v>0.0</v>
      </c>
      <c r="IN820" s="156">
        <v>0.0</v>
      </c>
      <c r="IO820" s="156">
        <v>0.0</v>
      </c>
      <c r="IP820" s="156">
        <v>0.0</v>
      </c>
      <c r="IQ820" s="160">
        <v>0.0</v>
      </c>
      <c r="JH820" s="25"/>
      <c r="JW820" s="159">
        <v>0.0</v>
      </c>
      <c r="JX820" s="156">
        <v>0.0</v>
      </c>
      <c r="JY820" s="156">
        <v>0.0</v>
      </c>
      <c r="JZ820" s="156">
        <v>0.0</v>
      </c>
      <c r="KA820" s="156">
        <v>0.0</v>
      </c>
      <c r="KB820" s="160">
        <v>0.0</v>
      </c>
      <c r="LH820" s="159">
        <f t="shared" si="10"/>
        <v>0</v>
      </c>
      <c r="LI820" s="156">
        <f t="shared" si="11"/>
        <v>0</v>
      </c>
      <c r="LJ820" s="156">
        <f t="shared" si="12"/>
        <v>0</v>
      </c>
      <c r="LK820" s="156">
        <f t="shared" si="13"/>
        <v>0</v>
      </c>
      <c r="LL820" s="156">
        <f t="shared" si="14"/>
        <v>0</v>
      </c>
      <c r="LM820" s="160">
        <f t="shared" si="15"/>
        <v>0</v>
      </c>
      <c r="QX820" s="633"/>
    </row>
    <row r="821">
      <c r="A821" s="12"/>
      <c r="B821" s="12"/>
      <c r="C821" s="12"/>
      <c r="D821" s="12"/>
      <c r="E821" s="12"/>
      <c r="F821" s="12"/>
      <c r="G821" s="12"/>
      <c r="H821" s="12"/>
      <c r="I821" s="143">
        <f t="shared" si="22"/>
        <v>0</v>
      </c>
      <c r="J821" s="108"/>
      <c r="K821" s="203"/>
      <c r="L821" s="108"/>
      <c r="V821" s="161"/>
      <c r="X821" s="140"/>
      <c r="Y821" s="166">
        <f t="shared" si="23"/>
        <v>0</v>
      </c>
      <c r="Z821" s="26">
        <f t="shared" si="7"/>
        <v>0</v>
      </c>
      <c r="AA821" s="26">
        <f t="shared" si="8"/>
        <v>0</v>
      </c>
      <c r="AB821" s="26">
        <f t="shared" si="9"/>
        <v>0</v>
      </c>
      <c r="AC821" s="156">
        <v>0.0</v>
      </c>
      <c r="AD821" s="156">
        <v>0.0</v>
      </c>
      <c r="AE821" s="156">
        <v>0.0</v>
      </c>
      <c r="AF821" s="156">
        <v>0.0</v>
      </c>
      <c r="AG821" s="156">
        <v>0.0</v>
      </c>
      <c r="AH821" s="156">
        <v>0.0</v>
      </c>
      <c r="BN821" s="155">
        <v>0.0</v>
      </c>
      <c r="BO821" s="155">
        <v>0.0</v>
      </c>
      <c r="BP821" s="155">
        <v>0.0</v>
      </c>
      <c r="BQ821" s="155">
        <v>0.0</v>
      </c>
      <c r="BR821" s="155">
        <v>0.0</v>
      </c>
      <c r="BS821" s="155">
        <v>0.0</v>
      </c>
      <c r="CV821" s="156">
        <v>0.0</v>
      </c>
      <c r="CW821" s="156">
        <v>0.0</v>
      </c>
      <c r="CX821" s="156">
        <v>0.0</v>
      </c>
      <c r="CY821" s="156">
        <v>0.0</v>
      </c>
      <c r="CZ821" s="156">
        <v>0.0</v>
      </c>
      <c r="DA821" s="156">
        <v>0.0</v>
      </c>
      <c r="EG821" s="156">
        <v>0.0</v>
      </c>
      <c r="EH821" s="156">
        <v>0.0</v>
      </c>
      <c r="EI821" s="156">
        <v>0.0</v>
      </c>
      <c r="EJ821" s="156">
        <v>0.0</v>
      </c>
      <c r="EK821" s="156">
        <v>0.0</v>
      </c>
      <c r="EL821" s="156">
        <v>0.0</v>
      </c>
      <c r="FQ821" s="156">
        <v>0.0</v>
      </c>
      <c r="FR821" s="156">
        <v>0.0</v>
      </c>
      <c r="FS821" s="156">
        <v>0.0</v>
      </c>
      <c r="FT821" s="156">
        <v>0.0</v>
      </c>
      <c r="FU821" s="156">
        <v>0.0</v>
      </c>
      <c r="FV821" s="156">
        <v>0.0</v>
      </c>
      <c r="FW821" s="157"/>
      <c r="FX821" s="157"/>
      <c r="FY821" s="157"/>
      <c r="FZ821" s="157"/>
      <c r="GA821" s="157"/>
      <c r="GB821" s="157"/>
      <c r="GC821" s="157"/>
      <c r="GD821" s="157"/>
      <c r="GE821" s="157"/>
      <c r="GF821" s="157"/>
      <c r="GG821" s="157"/>
      <c r="GH821" s="157"/>
      <c r="GI821" s="157"/>
      <c r="GJ821" s="157"/>
      <c r="GK821" s="157"/>
      <c r="GL821" s="157"/>
      <c r="GM821" s="157"/>
      <c r="GN821" s="157"/>
      <c r="GO821" s="157"/>
      <c r="GP821" s="158"/>
      <c r="GQ821" s="157"/>
      <c r="GR821" s="157"/>
      <c r="GS821" s="157"/>
      <c r="GT821" s="157"/>
      <c r="GU821" s="157"/>
      <c r="GV821" s="157"/>
      <c r="GW821" s="157"/>
      <c r="GX821" s="157"/>
      <c r="GY821" s="157"/>
      <c r="GZ821" s="157"/>
      <c r="HA821" s="157"/>
      <c r="HB821" s="155">
        <v>0.0</v>
      </c>
      <c r="HC821" s="155">
        <v>0.0</v>
      </c>
      <c r="HD821" s="155">
        <v>0.0</v>
      </c>
      <c r="HE821" s="155">
        <v>0.0</v>
      </c>
      <c r="HF821" s="155">
        <v>0.0</v>
      </c>
      <c r="HG821" s="155">
        <v>0.0</v>
      </c>
      <c r="IL821" s="159">
        <v>0.0</v>
      </c>
      <c r="IM821" s="156">
        <v>0.0</v>
      </c>
      <c r="IN821" s="156">
        <v>0.0</v>
      </c>
      <c r="IO821" s="156">
        <v>0.0</v>
      </c>
      <c r="IP821" s="156">
        <v>0.0</v>
      </c>
      <c r="IQ821" s="160">
        <v>0.0</v>
      </c>
      <c r="JH821" s="25"/>
      <c r="JW821" s="159">
        <v>0.0</v>
      </c>
      <c r="JX821" s="156">
        <v>0.0</v>
      </c>
      <c r="JY821" s="156">
        <v>0.0</v>
      </c>
      <c r="JZ821" s="156">
        <v>0.0</v>
      </c>
      <c r="KA821" s="156">
        <v>0.0</v>
      </c>
      <c r="KB821" s="160">
        <v>0.0</v>
      </c>
      <c r="LH821" s="159">
        <f t="shared" si="10"/>
        <v>0</v>
      </c>
      <c r="LI821" s="156">
        <f t="shared" si="11"/>
        <v>0</v>
      </c>
      <c r="LJ821" s="156">
        <f t="shared" si="12"/>
        <v>0</v>
      </c>
      <c r="LK821" s="156">
        <f t="shared" si="13"/>
        <v>0</v>
      </c>
      <c r="LL821" s="156">
        <f t="shared" si="14"/>
        <v>0</v>
      </c>
      <c r="LM821" s="160">
        <f t="shared" si="15"/>
        <v>0</v>
      </c>
      <c r="QX821" s="633"/>
    </row>
    <row r="822">
      <c r="A822" s="12"/>
      <c r="B822" s="12"/>
      <c r="C822" s="12"/>
      <c r="D822" s="12"/>
      <c r="E822" s="12"/>
      <c r="F822" s="12"/>
      <c r="G822" s="12"/>
      <c r="H822" s="12"/>
      <c r="I822" s="143">
        <f t="shared" si="22"/>
        <v>0</v>
      </c>
      <c r="J822" s="108"/>
      <c r="K822" s="203"/>
      <c r="L822" s="108"/>
      <c r="V822" s="161"/>
      <c r="X822" s="140"/>
      <c r="Y822" s="166">
        <f t="shared" si="23"/>
        <v>0</v>
      </c>
      <c r="Z822" s="26">
        <f t="shared" si="7"/>
        <v>0</v>
      </c>
      <c r="AA822" s="26">
        <f t="shared" si="8"/>
        <v>0</v>
      </c>
      <c r="AB822" s="26">
        <f t="shared" si="9"/>
        <v>0</v>
      </c>
      <c r="AC822" s="156">
        <v>0.0</v>
      </c>
      <c r="AD822" s="156">
        <v>0.0</v>
      </c>
      <c r="AE822" s="156">
        <v>0.0</v>
      </c>
      <c r="AF822" s="156">
        <v>0.0</v>
      </c>
      <c r="AG822" s="156">
        <v>0.0</v>
      </c>
      <c r="AH822" s="156">
        <v>0.0</v>
      </c>
      <c r="BN822" s="155">
        <v>0.0</v>
      </c>
      <c r="BO822" s="155">
        <v>0.0</v>
      </c>
      <c r="BP822" s="155">
        <v>0.0</v>
      </c>
      <c r="BQ822" s="155">
        <v>0.0</v>
      </c>
      <c r="BR822" s="155">
        <v>0.0</v>
      </c>
      <c r="BS822" s="155">
        <v>0.0</v>
      </c>
      <c r="CV822" s="156">
        <v>0.0</v>
      </c>
      <c r="CW822" s="156">
        <v>0.0</v>
      </c>
      <c r="CX822" s="156">
        <v>0.0</v>
      </c>
      <c r="CY822" s="156">
        <v>0.0</v>
      </c>
      <c r="CZ822" s="156">
        <v>0.0</v>
      </c>
      <c r="DA822" s="156">
        <v>0.0</v>
      </c>
      <c r="EG822" s="156">
        <v>0.0</v>
      </c>
      <c r="EH822" s="156">
        <v>0.0</v>
      </c>
      <c r="EI822" s="156">
        <v>0.0</v>
      </c>
      <c r="EJ822" s="156">
        <v>0.0</v>
      </c>
      <c r="EK822" s="156">
        <v>0.0</v>
      </c>
      <c r="EL822" s="156">
        <v>0.0</v>
      </c>
      <c r="FQ822" s="156">
        <v>0.0</v>
      </c>
      <c r="FR822" s="156">
        <v>0.0</v>
      </c>
      <c r="FS822" s="156">
        <v>0.0</v>
      </c>
      <c r="FT822" s="156">
        <v>0.0</v>
      </c>
      <c r="FU822" s="156">
        <v>0.0</v>
      </c>
      <c r="FV822" s="156">
        <v>0.0</v>
      </c>
      <c r="FW822" s="157"/>
      <c r="FX822" s="157"/>
      <c r="FY822" s="157"/>
      <c r="FZ822" s="157"/>
      <c r="GA822" s="157"/>
      <c r="GB822" s="157"/>
      <c r="GC822" s="157"/>
      <c r="GD822" s="157"/>
      <c r="GE822" s="157"/>
      <c r="GF822" s="157"/>
      <c r="GG822" s="157"/>
      <c r="GH822" s="157"/>
      <c r="GI822" s="157"/>
      <c r="GJ822" s="157"/>
      <c r="GK822" s="157"/>
      <c r="GL822" s="157"/>
      <c r="GM822" s="157"/>
      <c r="GN822" s="157"/>
      <c r="GO822" s="157"/>
      <c r="GP822" s="158"/>
      <c r="GQ822" s="157"/>
      <c r="GR822" s="157"/>
      <c r="GS822" s="157"/>
      <c r="GT822" s="157"/>
      <c r="GU822" s="157"/>
      <c r="GV822" s="157"/>
      <c r="GW822" s="157"/>
      <c r="GX822" s="157"/>
      <c r="GY822" s="157"/>
      <c r="GZ822" s="157"/>
      <c r="HA822" s="157"/>
      <c r="HB822" s="155">
        <v>0.0</v>
      </c>
      <c r="HC822" s="155">
        <v>0.0</v>
      </c>
      <c r="HD822" s="155">
        <v>0.0</v>
      </c>
      <c r="HE822" s="155">
        <v>0.0</v>
      </c>
      <c r="HF822" s="155">
        <v>0.0</v>
      </c>
      <c r="HG822" s="155">
        <v>0.0</v>
      </c>
      <c r="IL822" s="159">
        <v>0.0</v>
      </c>
      <c r="IM822" s="156">
        <v>0.0</v>
      </c>
      <c r="IN822" s="156">
        <v>0.0</v>
      </c>
      <c r="IO822" s="156">
        <v>0.0</v>
      </c>
      <c r="IP822" s="156">
        <v>0.0</v>
      </c>
      <c r="IQ822" s="160">
        <v>0.0</v>
      </c>
      <c r="JH822" s="25"/>
      <c r="JW822" s="159">
        <v>0.0</v>
      </c>
      <c r="JX822" s="156">
        <v>0.0</v>
      </c>
      <c r="JY822" s="156">
        <v>0.0</v>
      </c>
      <c r="JZ822" s="156">
        <v>0.0</v>
      </c>
      <c r="KA822" s="156">
        <v>0.0</v>
      </c>
      <c r="KB822" s="160">
        <v>0.0</v>
      </c>
      <c r="LH822" s="159">
        <f t="shared" si="10"/>
        <v>0</v>
      </c>
      <c r="LI822" s="156">
        <f t="shared" si="11"/>
        <v>0</v>
      </c>
      <c r="LJ822" s="156">
        <f t="shared" si="12"/>
        <v>0</v>
      </c>
      <c r="LK822" s="156">
        <f t="shared" si="13"/>
        <v>0</v>
      </c>
      <c r="LL822" s="156">
        <f t="shared" si="14"/>
        <v>0</v>
      </c>
      <c r="LM822" s="160">
        <f t="shared" si="15"/>
        <v>0</v>
      </c>
      <c r="QX822" s="633"/>
    </row>
    <row r="823">
      <c r="A823" s="12"/>
      <c r="B823" s="12"/>
      <c r="C823" s="12"/>
      <c r="D823" s="12"/>
      <c r="E823" s="12"/>
      <c r="F823" s="12"/>
      <c r="G823" s="12"/>
      <c r="H823" s="12"/>
      <c r="I823" s="143">
        <f t="shared" si="22"/>
        <v>0</v>
      </c>
      <c r="J823" s="108"/>
      <c r="K823" s="203"/>
      <c r="L823" s="108"/>
      <c r="V823" s="161"/>
      <c r="X823" s="140"/>
      <c r="Y823" s="166">
        <f t="shared" si="23"/>
        <v>0</v>
      </c>
      <c r="Z823" s="26">
        <f t="shared" si="7"/>
        <v>0</v>
      </c>
      <c r="AA823" s="26">
        <f t="shared" si="8"/>
        <v>0</v>
      </c>
      <c r="AB823" s="26">
        <f t="shared" si="9"/>
        <v>0</v>
      </c>
      <c r="AC823" s="156">
        <v>0.0</v>
      </c>
      <c r="AD823" s="156">
        <v>0.0</v>
      </c>
      <c r="AE823" s="156">
        <v>0.0</v>
      </c>
      <c r="AF823" s="156">
        <v>0.0</v>
      </c>
      <c r="AG823" s="156">
        <v>0.0</v>
      </c>
      <c r="AH823" s="156">
        <v>0.0</v>
      </c>
      <c r="BN823" s="155">
        <v>0.0</v>
      </c>
      <c r="BO823" s="155">
        <v>0.0</v>
      </c>
      <c r="BP823" s="155">
        <v>0.0</v>
      </c>
      <c r="BQ823" s="155">
        <v>0.0</v>
      </c>
      <c r="BR823" s="155">
        <v>0.0</v>
      </c>
      <c r="BS823" s="155">
        <v>0.0</v>
      </c>
      <c r="CV823" s="156">
        <v>0.0</v>
      </c>
      <c r="CW823" s="156">
        <v>0.0</v>
      </c>
      <c r="CX823" s="156">
        <v>0.0</v>
      </c>
      <c r="CY823" s="156">
        <v>0.0</v>
      </c>
      <c r="CZ823" s="156">
        <v>0.0</v>
      </c>
      <c r="DA823" s="156">
        <v>0.0</v>
      </c>
      <c r="EG823" s="156">
        <v>0.0</v>
      </c>
      <c r="EH823" s="156">
        <v>0.0</v>
      </c>
      <c r="EI823" s="156">
        <v>0.0</v>
      </c>
      <c r="EJ823" s="156">
        <v>0.0</v>
      </c>
      <c r="EK823" s="156">
        <v>0.0</v>
      </c>
      <c r="EL823" s="156">
        <v>0.0</v>
      </c>
      <c r="FQ823" s="156">
        <v>0.0</v>
      </c>
      <c r="FR823" s="156">
        <v>0.0</v>
      </c>
      <c r="FS823" s="156">
        <v>0.0</v>
      </c>
      <c r="FT823" s="156">
        <v>0.0</v>
      </c>
      <c r="FU823" s="156">
        <v>0.0</v>
      </c>
      <c r="FV823" s="156">
        <v>0.0</v>
      </c>
      <c r="FW823" s="157"/>
      <c r="FX823" s="157"/>
      <c r="FY823" s="157"/>
      <c r="FZ823" s="157"/>
      <c r="GA823" s="157"/>
      <c r="GB823" s="157"/>
      <c r="GC823" s="157"/>
      <c r="GD823" s="157"/>
      <c r="GE823" s="157"/>
      <c r="GF823" s="157"/>
      <c r="GG823" s="157"/>
      <c r="GH823" s="157"/>
      <c r="GI823" s="157"/>
      <c r="GJ823" s="157"/>
      <c r="GK823" s="157"/>
      <c r="GL823" s="157"/>
      <c r="GM823" s="157"/>
      <c r="GN823" s="157"/>
      <c r="GO823" s="157"/>
      <c r="GP823" s="158"/>
      <c r="GQ823" s="157"/>
      <c r="GR823" s="157"/>
      <c r="GS823" s="157"/>
      <c r="GT823" s="157"/>
      <c r="GU823" s="157"/>
      <c r="GV823" s="157"/>
      <c r="GW823" s="157"/>
      <c r="GX823" s="157"/>
      <c r="GY823" s="157"/>
      <c r="GZ823" s="157"/>
      <c r="HA823" s="157"/>
      <c r="HB823" s="155">
        <v>0.0</v>
      </c>
      <c r="HC823" s="155">
        <v>0.0</v>
      </c>
      <c r="HD823" s="155">
        <v>0.0</v>
      </c>
      <c r="HE823" s="155">
        <v>0.0</v>
      </c>
      <c r="HF823" s="155">
        <v>0.0</v>
      </c>
      <c r="HG823" s="155">
        <v>0.0</v>
      </c>
      <c r="IL823" s="159">
        <v>0.0</v>
      </c>
      <c r="IM823" s="156">
        <v>0.0</v>
      </c>
      <c r="IN823" s="156">
        <v>0.0</v>
      </c>
      <c r="IO823" s="156">
        <v>0.0</v>
      </c>
      <c r="IP823" s="156">
        <v>0.0</v>
      </c>
      <c r="IQ823" s="160">
        <v>0.0</v>
      </c>
      <c r="JH823" s="25"/>
      <c r="JW823" s="159">
        <v>0.0</v>
      </c>
      <c r="JX823" s="156">
        <v>0.0</v>
      </c>
      <c r="JY823" s="156">
        <v>0.0</v>
      </c>
      <c r="JZ823" s="156">
        <v>0.0</v>
      </c>
      <c r="KA823" s="156">
        <v>0.0</v>
      </c>
      <c r="KB823" s="160">
        <v>0.0</v>
      </c>
      <c r="LH823" s="159">
        <f t="shared" si="10"/>
        <v>0</v>
      </c>
      <c r="LI823" s="156">
        <f t="shared" si="11"/>
        <v>0</v>
      </c>
      <c r="LJ823" s="156">
        <f t="shared" si="12"/>
        <v>0</v>
      </c>
      <c r="LK823" s="156">
        <f t="shared" si="13"/>
        <v>0</v>
      </c>
      <c r="LL823" s="156">
        <f t="shared" si="14"/>
        <v>0</v>
      </c>
      <c r="LM823" s="160">
        <f t="shared" si="15"/>
        <v>0</v>
      </c>
      <c r="QX823" s="633"/>
    </row>
    <row r="824">
      <c r="A824" s="12"/>
      <c r="B824" s="12"/>
      <c r="C824" s="12"/>
      <c r="D824" s="12"/>
      <c r="E824" s="12"/>
      <c r="F824" s="12"/>
      <c r="G824" s="12"/>
      <c r="H824" s="12"/>
      <c r="I824" s="143">
        <f t="shared" si="22"/>
        <v>0</v>
      </c>
      <c r="J824" s="108"/>
      <c r="K824" s="203"/>
      <c r="L824" s="108"/>
      <c r="V824" s="161"/>
      <c r="X824" s="140"/>
      <c r="Y824" s="166">
        <f t="shared" si="23"/>
        <v>0</v>
      </c>
      <c r="Z824" s="26">
        <f t="shared" si="7"/>
        <v>0</v>
      </c>
      <c r="AA824" s="26">
        <f t="shared" si="8"/>
        <v>0</v>
      </c>
      <c r="AB824" s="26">
        <f t="shared" si="9"/>
        <v>0</v>
      </c>
      <c r="AC824" s="156">
        <v>0.0</v>
      </c>
      <c r="AD824" s="156">
        <v>0.0</v>
      </c>
      <c r="AE824" s="156">
        <v>0.0</v>
      </c>
      <c r="AF824" s="156">
        <v>0.0</v>
      </c>
      <c r="AG824" s="156">
        <v>0.0</v>
      </c>
      <c r="AH824" s="156">
        <v>0.0</v>
      </c>
      <c r="BN824" s="155">
        <v>0.0</v>
      </c>
      <c r="BO824" s="155">
        <v>0.0</v>
      </c>
      <c r="BP824" s="155">
        <v>0.0</v>
      </c>
      <c r="BQ824" s="155">
        <v>0.0</v>
      </c>
      <c r="BR824" s="155">
        <v>0.0</v>
      </c>
      <c r="BS824" s="155">
        <v>0.0</v>
      </c>
      <c r="CV824" s="156">
        <v>0.0</v>
      </c>
      <c r="CW824" s="156">
        <v>0.0</v>
      </c>
      <c r="CX824" s="156">
        <v>0.0</v>
      </c>
      <c r="CY824" s="156">
        <v>0.0</v>
      </c>
      <c r="CZ824" s="156">
        <v>0.0</v>
      </c>
      <c r="DA824" s="156">
        <v>0.0</v>
      </c>
      <c r="EG824" s="156">
        <v>0.0</v>
      </c>
      <c r="EH824" s="156">
        <v>0.0</v>
      </c>
      <c r="EI824" s="156">
        <v>0.0</v>
      </c>
      <c r="EJ824" s="156">
        <v>0.0</v>
      </c>
      <c r="EK824" s="156">
        <v>0.0</v>
      </c>
      <c r="EL824" s="156">
        <v>0.0</v>
      </c>
      <c r="FQ824" s="156">
        <v>0.0</v>
      </c>
      <c r="FR824" s="156">
        <v>0.0</v>
      </c>
      <c r="FS824" s="156">
        <v>0.0</v>
      </c>
      <c r="FT824" s="156">
        <v>0.0</v>
      </c>
      <c r="FU824" s="156">
        <v>0.0</v>
      </c>
      <c r="FV824" s="156">
        <v>0.0</v>
      </c>
      <c r="FW824" s="157"/>
      <c r="FX824" s="157"/>
      <c r="FY824" s="157"/>
      <c r="FZ824" s="157"/>
      <c r="GA824" s="157"/>
      <c r="GB824" s="157"/>
      <c r="GC824" s="157"/>
      <c r="GD824" s="157"/>
      <c r="GE824" s="157"/>
      <c r="GF824" s="157"/>
      <c r="GG824" s="157"/>
      <c r="GH824" s="157"/>
      <c r="GI824" s="157"/>
      <c r="GJ824" s="157"/>
      <c r="GK824" s="157"/>
      <c r="GL824" s="157"/>
      <c r="GM824" s="157"/>
      <c r="GN824" s="157"/>
      <c r="GO824" s="157"/>
      <c r="GP824" s="158"/>
      <c r="GQ824" s="157"/>
      <c r="GR824" s="157"/>
      <c r="GS824" s="157"/>
      <c r="GT824" s="157"/>
      <c r="GU824" s="157"/>
      <c r="GV824" s="157"/>
      <c r="GW824" s="157"/>
      <c r="GX824" s="157"/>
      <c r="GY824" s="157"/>
      <c r="GZ824" s="157"/>
      <c r="HA824" s="157"/>
      <c r="HB824" s="155">
        <v>0.0</v>
      </c>
      <c r="HC824" s="155">
        <v>0.0</v>
      </c>
      <c r="HD824" s="155">
        <v>0.0</v>
      </c>
      <c r="HE824" s="155">
        <v>0.0</v>
      </c>
      <c r="HF824" s="155">
        <v>0.0</v>
      </c>
      <c r="HG824" s="155">
        <v>0.0</v>
      </c>
      <c r="IL824" s="159">
        <v>0.0</v>
      </c>
      <c r="IM824" s="156">
        <v>0.0</v>
      </c>
      <c r="IN824" s="156">
        <v>0.0</v>
      </c>
      <c r="IO824" s="156">
        <v>0.0</v>
      </c>
      <c r="IP824" s="156">
        <v>0.0</v>
      </c>
      <c r="IQ824" s="160">
        <v>0.0</v>
      </c>
      <c r="JH824" s="25"/>
      <c r="JW824" s="159">
        <v>0.0</v>
      </c>
      <c r="JX824" s="156">
        <v>0.0</v>
      </c>
      <c r="JY824" s="156">
        <v>0.0</v>
      </c>
      <c r="JZ824" s="156">
        <v>0.0</v>
      </c>
      <c r="KA824" s="156">
        <v>0.0</v>
      </c>
      <c r="KB824" s="160">
        <v>0.0</v>
      </c>
      <c r="LH824" s="159">
        <f t="shared" si="10"/>
        <v>0</v>
      </c>
      <c r="LI824" s="156">
        <f t="shared" si="11"/>
        <v>0</v>
      </c>
      <c r="LJ824" s="156">
        <f t="shared" si="12"/>
        <v>0</v>
      </c>
      <c r="LK824" s="156">
        <f t="shared" si="13"/>
        <v>0</v>
      </c>
      <c r="LL824" s="156">
        <f t="shared" si="14"/>
        <v>0</v>
      </c>
      <c r="LM824" s="160">
        <f t="shared" si="15"/>
        <v>0</v>
      </c>
      <c r="QX824" s="633"/>
    </row>
    <row r="825">
      <c r="A825" s="12"/>
      <c r="B825" s="12"/>
      <c r="C825" s="12"/>
      <c r="D825" s="12"/>
      <c r="E825" s="12"/>
      <c r="F825" s="12"/>
      <c r="G825" s="12"/>
      <c r="H825" s="12"/>
      <c r="I825" s="143">
        <f t="shared" si="22"/>
        <v>0</v>
      </c>
      <c r="J825" s="108"/>
      <c r="K825" s="203"/>
      <c r="L825" s="108"/>
      <c r="V825" s="161"/>
      <c r="X825" s="140"/>
      <c r="Y825" s="166">
        <f t="shared" si="23"/>
        <v>0</v>
      </c>
      <c r="Z825" s="26">
        <f t="shared" si="7"/>
        <v>0</v>
      </c>
      <c r="AA825" s="26">
        <f t="shared" si="8"/>
        <v>0</v>
      </c>
      <c r="AB825" s="26">
        <f t="shared" si="9"/>
        <v>0</v>
      </c>
      <c r="AC825" s="156">
        <v>0.0</v>
      </c>
      <c r="AD825" s="156">
        <v>0.0</v>
      </c>
      <c r="AE825" s="156">
        <v>0.0</v>
      </c>
      <c r="AF825" s="156">
        <v>0.0</v>
      </c>
      <c r="AG825" s="156">
        <v>0.0</v>
      </c>
      <c r="AH825" s="156">
        <v>0.0</v>
      </c>
      <c r="BN825" s="155">
        <v>0.0</v>
      </c>
      <c r="BO825" s="155">
        <v>0.0</v>
      </c>
      <c r="BP825" s="155">
        <v>0.0</v>
      </c>
      <c r="BQ825" s="155">
        <v>0.0</v>
      </c>
      <c r="BR825" s="155">
        <v>0.0</v>
      </c>
      <c r="BS825" s="155">
        <v>0.0</v>
      </c>
      <c r="CV825" s="156">
        <v>0.0</v>
      </c>
      <c r="CW825" s="156">
        <v>0.0</v>
      </c>
      <c r="CX825" s="156">
        <v>0.0</v>
      </c>
      <c r="CY825" s="156">
        <v>0.0</v>
      </c>
      <c r="CZ825" s="156">
        <v>0.0</v>
      </c>
      <c r="DA825" s="156">
        <v>0.0</v>
      </c>
      <c r="EG825" s="156">
        <v>0.0</v>
      </c>
      <c r="EH825" s="156">
        <v>0.0</v>
      </c>
      <c r="EI825" s="156">
        <v>0.0</v>
      </c>
      <c r="EJ825" s="156">
        <v>0.0</v>
      </c>
      <c r="EK825" s="156">
        <v>0.0</v>
      </c>
      <c r="EL825" s="156">
        <v>0.0</v>
      </c>
      <c r="FQ825" s="156">
        <v>0.0</v>
      </c>
      <c r="FR825" s="156">
        <v>0.0</v>
      </c>
      <c r="FS825" s="156">
        <v>0.0</v>
      </c>
      <c r="FT825" s="156">
        <v>0.0</v>
      </c>
      <c r="FU825" s="156">
        <v>0.0</v>
      </c>
      <c r="FV825" s="156">
        <v>0.0</v>
      </c>
      <c r="FW825" s="157"/>
      <c r="FX825" s="157"/>
      <c r="FY825" s="157"/>
      <c r="FZ825" s="157"/>
      <c r="GA825" s="157"/>
      <c r="GB825" s="157"/>
      <c r="GC825" s="157"/>
      <c r="GD825" s="157"/>
      <c r="GE825" s="157"/>
      <c r="GF825" s="157"/>
      <c r="GG825" s="157"/>
      <c r="GH825" s="157"/>
      <c r="GI825" s="157"/>
      <c r="GJ825" s="157"/>
      <c r="GK825" s="157"/>
      <c r="GL825" s="157"/>
      <c r="GM825" s="157"/>
      <c r="GN825" s="157"/>
      <c r="GO825" s="157"/>
      <c r="GP825" s="158"/>
      <c r="GQ825" s="157"/>
      <c r="GR825" s="157"/>
      <c r="GS825" s="157"/>
      <c r="GT825" s="157"/>
      <c r="GU825" s="157"/>
      <c r="GV825" s="157"/>
      <c r="GW825" s="157"/>
      <c r="GX825" s="157"/>
      <c r="GY825" s="157"/>
      <c r="GZ825" s="157"/>
      <c r="HA825" s="157"/>
      <c r="HB825" s="155">
        <v>0.0</v>
      </c>
      <c r="HC825" s="155">
        <v>0.0</v>
      </c>
      <c r="HD825" s="155">
        <v>0.0</v>
      </c>
      <c r="HE825" s="155">
        <v>0.0</v>
      </c>
      <c r="HF825" s="155">
        <v>0.0</v>
      </c>
      <c r="HG825" s="155">
        <v>0.0</v>
      </c>
      <c r="IL825" s="159">
        <v>0.0</v>
      </c>
      <c r="IM825" s="156">
        <v>0.0</v>
      </c>
      <c r="IN825" s="156">
        <v>0.0</v>
      </c>
      <c r="IO825" s="156">
        <v>0.0</v>
      </c>
      <c r="IP825" s="156">
        <v>0.0</v>
      </c>
      <c r="IQ825" s="160">
        <v>0.0</v>
      </c>
      <c r="JH825" s="25"/>
      <c r="JW825" s="159">
        <v>0.0</v>
      </c>
      <c r="JX825" s="156">
        <v>0.0</v>
      </c>
      <c r="JY825" s="156">
        <v>0.0</v>
      </c>
      <c r="JZ825" s="156">
        <v>0.0</v>
      </c>
      <c r="KA825" s="156">
        <v>0.0</v>
      </c>
      <c r="KB825" s="160">
        <v>0.0</v>
      </c>
      <c r="LH825" s="159">
        <f t="shared" si="10"/>
        <v>0</v>
      </c>
      <c r="LI825" s="156">
        <f t="shared" si="11"/>
        <v>0</v>
      </c>
      <c r="LJ825" s="156">
        <f t="shared" si="12"/>
        <v>0</v>
      </c>
      <c r="LK825" s="156">
        <f t="shared" si="13"/>
        <v>0</v>
      </c>
      <c r="LL825" s="156">
        <f t="shared" si="14"/>
        <v>0</v>
      </c>
      <c r="LM825" s="160">
        <f t="shared" si="15"/>
        <v>0</v>
      </c>
      <c r="QX825" s="633"/>
    </row>
    <row r="826">
      <c r="A826" s="12"/>
      <c r="B826" s="12"/>
      <c r="C826" s="12"/>
      <c r="D826" s="12"/>
      <c r="E826" s="12"/>
      <c r="F826" s="12"/>
      <c r="G826" s="12"/>
      <c r="H826" s="12"/>
      <c r="I826" s="143">
        <f t="shared" si="22"/>
        <v>0</v>
      </c>
      <c r="J826" s="108"/>
      <c r="K826" s="203"/>
      <c r="L826" s="108"/>
      <c r="V826" s="161"/>
      <c r="X826" s="140"/>
      <c r="Y826" s="166">
        <f t="shared" si="23"/>
        <v>0</v>
      </c>
      <c r="Z826" s="26">
        <f t="shared" si="7"/>
        <v>0</v>
      </c>
      <c r="AA826" s="26">
        <f t="shared" si="8"/>
        <v>0</v>
      </c>
      <c r="AB826" s="26">
        <f t="shared" si="9"/>
        <v>0</v>
      </c>
      <c r="AC826" s="156">
        <v>0.0</v>
      </c>
      <c r="AD826" s="156">
        <v>0.0</v>
      </c>
      <c r="AE826" s="156">
        <v>0.0</v>
      </c>
      <c r="AF826" s="156">
        <v>0.0</v>
      </c>
      <c r="AG826" s="156">
        <v>0.0</v>
      </c>
      <c r="AH826" s="156">
        <v>0.0</v>
      </c>
      <c r="BN826" s="155">
        <v>0.0</v>
      </c>
      <c r="BO826" s="155">
        <v>0.0</v>
      </c>
      <c r="BP826" s="155">
        <v>0.0</v>
      </c>
      <c r="BQ826" s="155">
        <v>0.0</v>
      </c>
      <c r="BR826" s="155">
        <v>0.0</v>
      </c>
      <c r="BS826" s="155">
        <v>0.0</v>
      </c>
      <c r="CV826" s="156">
        <v>0.0</v>
      </c>
      <c r="CW826" s="156">
        <v>0.0</v>
      </c>
      <c r="CX826" s="156">
        <v>0.0</v>
      </c>
      <c r="CY826" s="156">
        <v>0.0</v>
      </c>
      <c r="CZ826" s="156">
        <v>0.0</v>
      </c>
      <c r="DA826" s="156">
        <v>0.0</v>
      </c>
      <c r="EG826" s="156">
        <v>0.0</v>
      </c>
      <c r="EH826" s="156">
        <v>0.0</v>
      </c>
      <c r="EI826" s="156">
        <v>0.0</v>
      </c>
      <c r="EJ826" s="156">
        <v>0.0</v>
      </c>
      <c r="EK826" s="156">
        <v>0.0</v>
      </c>
      <c r="EL826" s="156">
        <v>0.0</v>
      </c>
      <c r="FQ826" s="156">
        <v>0.0</v>
      </c>
      <c r="FR826" s="156">
        <v>0.0</v>
      </c>
      <c r="FS826" s="156">
        <v>0.0</v>
      </c>
      <c r="FT826" s="156">
        <v>0.0</v>
      </c>
      <c r="FU826" s="156">
        <v>0.0</v>
      </c>
      <c r="FV826" s="156">
        <v>0.0</v>
      </c>
      <c r="FW826" s="157"/>
      <c r="FX826" s="157"/>
      <c r="FY826" s="157"/>
      <c r="FZ826" s="157"/>
      <c r="GA826" s="157"/>
      <c r="GB826" s="157"/>
      <c r="GC826" s="157"/>
      <c r="GD826" s="157"/>
      <c r="GE826" s="157"/>
      <c r="GF826" s="157"/>
      <c r="GG826" s="157"/>
      <c r="GH826" s="157"/>
      <c r="GI826" s="157"/>
      <c r="GJ826" s="157"/>
      <c r="GK826" s="157"/>
      <c r="GL826" s="157"/>
      <c r="GM826" s="157"/>
      <c r="GN826" s="157"/>
      <c r="GO826" s="157"/>
      <c r="GP826" s="158"/>
      <c r="GQ826" s="157"/>
      <c r="GR826" s="157"/>
      <c r="GS826" s="157"/>
      <c r="GT826" s="157"/>
      <c r="GU826" s="157"/>
      <c r="GV826" s="157"/>
      <c r="GW826" s="157"/>
      <c r="GX826" s="157"/>
      <c r="GY826" s="157"/>
      <c r="GZ826" s="157"/>
      <c r="HA826" s="157"/>
      <c r="HB826" s="155">
        <v>0.0</v>
      </c>
      <c r="HC826" s="155">
        <v>0.0</v>
      </c>
      <c r="HD826" s="155">
        <v>0.0</v>
      </c>
      <c r="HE826" s="155">
        <v>0.0</v>
      </c>
      <c r="HF826" s="155">
        <v>0.0</v>
      </c>
      <c r="HG826" s="155">
        <v>0.0</v>
      </c>
      <c r="IL826" s="159">
        <v>0.0</v>
      </c>
      <c r="IM826" s="156">
        <v>0.0</v>
      </c>
      <c r="IN826" s="156">
        <v>0.0</v>
      </c>
      <c r="IO826" s="156">
        <v>0.0</v>
      </c>
      <c r="IP826" s="156">
        <v>0.0</v>
      </c>
      <c r="IQ826" s="160">
        <v>0.0</v>
      </c>
      <c r="JH826" s="25"/>
      <c r="JW826" s="159">
        <v>0.0</v>
      </c>
      <c r="JX826" s="156">
        <v>0.0</v>
      </c>
      <c r="JY826" s="156">
        <v>0.0</v>
      </c>
      <c r="JZ826" s="156">
        <v>0.0</v>
      </c>
      <c r="KA826" s="156">
        <v>0.0</v>
      </c>
      <c r="KB826" s="160">
        <v>0.0</v>
      </c>
      <c r="LH826" s="159">
        <f t="shared" si="10"/>
        <v>0</v>
      </c>
      <c r="LI826" s="156">
        <f t="shared" si="11"/>
        <v>0</v>
      </c>
      <c r="LJ826" s="156">
        <f t="shared" si="12"/>
        <v>0</v>
      </c>
      <c r="LK826" s="156">
        <f t="shared" si="13"/>
        <v>0</v>
      </c>
      <c r="LL826" s="156">
        <f t="shared" si="14"/>
        <v>0</v>
      </c>
      <c r="LM826" s="160">
        <f t="shared" si="15"/>
        <v>0</v>
      </c>
      <c r="QX826" s="633"/>
    </row>
    <row r="827">
      <c r="A827" s="12"/>
      <c r="B827" s="12"/>
      <c r="C827" s="12"/>
      <c r="D827" s="12"/>
      <c r="E827" s="12"/>
      <c r="F827" s="12"/>
      <c r="G827" s="12"/>
      <c r="H827" s="12"/>
      <c r="I827" s="143">
        <f t="shared" si="22"/>
        <v>0</v>
      </c>
      <c r="J827" s="108"/>
      <c r="K827" s="203"/>
      <c r="L827" s="108"/>
      <c r="V827" s="161"/>
      <c r="X827" s="140"/>
      <c r="Y827" s="166">
        <f t="shared" si="23"/>
        <v>0</v>
      </c>
      <c r="Z827" s="26">
        <f t="shared" si="7"/>
        <v>0</v>
      </c>
      <c r="AA827" s="26">
        <f t="shared" si="8"/>
        <v>0</v>
      </c>
      <c r="AB827" s="26">
        <f t="shared" si="9"/>
        <v>0</v>
      </c>
      <c r="AC827" s="156">
        <v>0.0</v>
      </c>
      <c r="AD827" s="156">
        <v>0.0</v>
      </c>
      <c r="AE827" s="156">
        <v>0.0</v>
      </c>
      <c r="AF827" s="156">
        <v>0.0</v>
      </c>
      <c r="AG827" s="156">
        <v>0.0</v>
      </c>
      <c r="AH827" s="156">
        <v>0.0</v>
      </c>
      <c r="BN827" s="155">
        <v>0.0</v>
      </c>
      <c r="BO827" s="155">
        <v>0.0</v>
      </c>
      <c r="BP827" s="155">
        <v>0.0</v>
      </c>
      <c r="BQ827" s="155">
        <v>0.0</v>
      </c>
      <c r="BR827" s="155">
        <v>0.0</v>
      </c>
      <c r="BS827" s="155">
        <v>0.0</v>
      </c>
      <c r="CV827" s="156">
        <v>0.0</v>
      </c>
      <c r="CW827" s="156">
        <v>0.0</v>
      </c>
      <c r="CX827" s="156">
        <v>0.0</v>
      </c>
      <c r="CY827" s="156">
        <v>0.0</v>
      </c>
      <c r="CZ827" s="156">
        <v>0.0</v>
      </c>
      <c r="DA827" s="156">
        <v>0.0</v>
      </c>
      <c r="EG827" s="156">
        <v>0.0</v>
      </c>
      <c r="EH827" s="156">
        <v>0.0</v>
      </c>
      <c r="EI827" s="156">
        <v>0.0</v>
      </c>
      <c r="EJ827" s="156">
        <v>0.0</v>
      </c>
      <c r="EK827" s="156">
        <v>0.0</v>
      </c>
      <c r="EL827" s="156">
        <v>0.0</v>
      </c>
      <c r="FQ827" s="156">
        <v>0.0</v>
      </c>
      <c r="FR827" s="156">
        <v>0.0</v>
      </c>
      <c r="FS827" s="156">
        <v>0.0</v>
      </c>
      <c r="FT827" s="156">
        <v>0.0</v>
      </c>
      <c r="FU827" s="156">
        <v>0.0</v>
      </c>
      <c r="FV827" s="156">
        <v>0.0</v>
      </c>
      <c r="FW827" s="157"/>
      <c r="FX827" s="157"/>
      <c r="FY827" s="157"/>
      <c r="FZ827" s="157"/>
      <c r="GA827" s="157"/>
      <c r="GB827" s="157"/>
      <c r="GC827" s="157"/>
      <c r="GD827" s="157"/>
      <c r="GE827" s="157"/>
      <c r="GF827" s="157"/>
      <c r="GG827" s="157"/>
      <c r="GH827" s="157"/>
      <c r="GI827" s="157"/>
      <c r="GJ827" s="157"/>
      <c r="GK827" s="157"/>
      <c r="GL827" s="157"/>
      <c r="GM827" s="157"/>
      <c r="GN827" s="157"/>
      <c r="GO827" s="157"/>
      <c r="GP827" s="158"/>
      <c r="GQ827" s="157"/>
      <c r="GR827" s="157"/>
      <c r="GS827" s="157"/>
      <c r="GT827" s="157"/>
      <c r="GU827" s="157"/>
      <c r="GV827" s="157"/>
      <c r="GW827" s="157"/>
      <c r="GX827" s="157"/>
      <c r="GY827" s="157"/>
      <c r="GZ827" s="157"/>
      <c r="HA827" s="157"/>
      <c r="HB827" s="155">
        <v>0.0</v>
      </c>
      <c r="HC827" s="155">
        <v>0.0</v>
      </c>
      <c r="HD827" s="155">
        <v>0.0</v>
      </c>
      <c r="HE827" s="155">
        <v>0.0</v>
      </c>
      <c r="HF827" s="155">
        <v>0.0</v>
      </c>
      <c r="HG827" s="155">
        <v>0.0</v>
      </c>
      <c r="IL827" s="159">
        <v>0.0</v>
      </c>
      <c r="IM827" s="156">
        <v>0.0</v>
      </c>
      <c r="IN827" s="156">
        <v>0.0</v>
      </c>
      <c r="IO827" s="156">
        <v>0.0</v>
      </c>
      <c r="IP827" s="156">
        <v>0.0</v>
      </c>
      <c r="IQ827" s="160">
        <v>0.0</v>
      </c>
      <c r="JH827" s="25"/>
      <c r="JW827" s="159">
        <v>0.0</v>
      </c>
      <c r="JX827" s="156">
        <v>0.0</v>
      </c>
      <c r="JY827" s="156">
        <v>0.0</v>
      </c>
      <c r="JZ827" s="156">
        <v>0.0</v>
      </c>
      <c r="KA827" s="156">
        <v>0.0</v>
      </c>
      <c r="KB827" s="160">
        <v>0.0</v>
      </c>
      <c r="LH827" s="159">
        <f t="shared" si="10"/>
        <v>0</v>
      </c>
      <c r="LI827" s="156">
        <f t="shared" si="11"/>
        <v>0</v>
      </c>
      <c r="LJ827" s="156">
        <f t="shared" si="12"/>
        <v>0</v>
      </c>
      <c r="LK827" s="156">
        <f t="shared" si="13"/>
        <v>0</v>
      </c>
      <c r="LL827" s="156">
        <f t="shared" si="14"/>
        <v>0</v>
      </c>
      <c r="LM827" s="160">
        <f t="shared" si="15"/>
        <v>0</v>
      </c>
      <c r="QX827" s="633"/>
    </row>
    <row r="828">
      <c r="A828" s="12"/>
      <c r="B828" s="12"/>
      <c r="C828" s="12"/>
      <c r="D828" s="12"/>
      <c r="E828" s="12"/>
      <c r="F828" s="12"/>
      <c r="G828" s="12"/>
      <c r="H828" s="12"/>
      <c r="I828" s="143">
        <f t="shared" si="22"/>
        <v>0</v>
      </c>
      <c r="J828" s="108"/>
      <c r="K828" s="203"/>
      <c r="L828" s="108"/>
      <c r="V828" s="161"/>
      <c r="X828" s="140"/>
      <c r="Y828" s="166">
        <f t="shared" si="23"/>
        <v>0</v>
      </c>
      <c r="Z828" s="26">
        <f t="shared" si="7"/>
        <v>0</v>
      </c>
      <c r="AA828" s="26">
        <f t="shared" si="8"/>
        <v>0</v>
      </c>
      <c r="AB828" s="26">
        <f t="shared" si="9"/>
        <v>0</v>
      </c>
      <c r="AC828" s="156">
        <v>0.0</v>
      </c>
      <c r="AD828" s="156">
        <v>0.0</v>
      </c>
      <c r="AE828" s="156">
        <v>0.0</v>
      </c>
      <c r="AF828" s="156">
        <v>0.0</v>
      </c>
      <c r="AG828" s="156">
        <v>0.0</v>
      </c>
      <c r="AH828" s="156">
        <v>0.0</v>
      </c>
      <c r="BN828" s="155">
        <v>0.0</v>
      </c>
      <c r="BO828" s="155">
        <v>0.0</v>
      </c>
      <c r="BP828" s="155">
        <v>0.0</v>
      </c>
      <c r="BQ828" s="155">
        <v>0.0</v>
      </c>
      <c r="BR828" s="155">
        <v>0.0</v>
      </c>
      <c r="BS828" s="155">
        <v>0.0</v>
      </c>
      <c r="CV828" s="156">
        <v>0.0</v>
      </c>
      <c r="CW828" s="156">
        <v>0.0</v>
      </c>
      <c r="CX828" s="156">
        <v>0.0</v>
      </c>
      <c r="CY828" s="156">
        <v>0.0</v>
      </c>
      <c r="CZ828" s="156">
        <v>0.0</v>
      </c>
      <c r="DA828" s="156">
        <v>0.0</v>
      </c>
      <c r="EG828" s="156">
        <v>0.0</v>
      </c>
      <c r="EH828" s="156">
        <v>0.0</v>
      </c>
      <c r="EI828" s="156">
        <v>0.0</v>
      </c>
      <c r="EJ828" s="156">
        <v>0.0</v>
      </c>
      <c r="EK828" s="156">
        <v>0.0</v>
      </c>
      <c r="EL828" s="156">
        <v>0.0</v>
      </c>
      <c r="FQ828" s="156">
        <v>0.0</v>
      </c>
      <c r="FR828" s="156">
        <v>0.0</v>
      </c>
      <c r="FS828" s="156">
        <v>0.0</v>
      </c>
      <c r="FT828" s="156">
        <v>0.0</v>
      </c>
      <c r="FU828" s="156">
        <v>0.0</v>
      </c>
      <c r="FV828" s="156">
        <v>0.0</v>
      </c>
      <c r="FW828" s="157"/>
      <c r="FX828" s="157"/>
      <c r="FY828" s="157"/>
      <c r="FZ828" s="157"/>
      <c r="GA828" s="157"/>
      <c r="GB828" s="157"/>
      <c r="GC828" s="157"/>
      <c r="GD828" s="157"/>
      <c r="GE828" s="157"/>
      <c r="GF828" s="157"/>
      <c r="GG828" s="157"/>
      <c r="GH828" s="157"/>
      <c r="GI828" s="157"/>
      <c r="GJ828" s="157"/>
      <c r="GK828" s="157"/>
      <c r="GL828" s="157"/>
      <c r="GM828" s="157"/>
      <c r="GN828" s="157"/>
      <c r="GO828" s="157"/>
      <c r="GP828" s="158"/>
      <c r="GQ828" s="157"/>
      <c r="GR828" s="157"/>
      <c r="GS828" s="157"/>
      <c r="GT828" s="157"/>
      <c r="GU828" s="157"/>
      <c r="GV828" s="157"/>
      <c r="GW828" s="157"/>
      <c r="GX828" s="157"/>
      <c r="GY828" s="157"/>
      <c r="GZ828" s="157"/>
      <c r="HA828" s="157"/>
      <c r="HB828" s="155">
        <v>0.0</v>
      </c>
      <c r="HC828" s="155">
        <v>0.0</v>
      </c>
      <c r="HD828" s="155">
        <v>0.0</v>
      </c>
      <c r="HE828" s="155">
        <v>0.0</v>
      </c>
      <c r="HF828" s="155">
        <v>0.0</v>
      </c>
      <c r="HG828" s="155">
        <v>0.0</v>
      </c>
      <c r="IL828" s="159">
        <v>0.0</v>
      </c>
      <c r="IM828" s="156">
        <v>0.0</v>
      </c>
      <c r="IN828" s="156">
        <v>0.0</v>
      </c>
      <c r="IO828" s="156">
        <v>0.0</v>
      </c>
      <c r="IP828" s="156">
        <v>0.0</v>
      </c>
      <c r="IQ828" s="160">
        <v>0.0</v>
      </c>
      <c r="JH828" s="25"/>
      <c r="JW828" s="159">
        <v>0.0</v>
      </c>
      <c r="JX828" s="156">
        <v>0.0</v>
      </c>
      <c r="JY828" s="156">
        <v>0.0</v>
      </c>
      <c r="JZ828" s="156">
        <v>0.0</v>
      </c>
      <c r="KA828" s="156">
        <v>0.0</v>
      </c>
      <c r="KB828" s="160">
        <v>0.0</v>
      </c>
      <c r="LH828" s="159">
        <f t="shared" si="10"/>
        <v>0</v>
      </c>
      <c r="LI828" s="156">
        <f t="shared" si="11"/>
        <v>0</v>
      </c>
      <c r="LJ828" s="156">
        <f t="shared" si="12"/>
        <v>0</v>
      </c>
      <c r="LK828" s="156">
        <f t="shared" si="13"/>
        <v>0</v>
      </c>
      <c r="LL828" s="156">
        <f t="shared" si="14"/>
        <v>0</v>
      </c>
      <c r="LM828" s="160">
        <f t="shared" si="15"/>
        <v>0</v>
      </c>
      <c r="QX828" s="633"/>
    </row>
    <row r="829">
      <c r="A829" s="12"/>
      <c r="B829" s="12"/>
      <c r="C829" s="12"/>
      <c r="D829" s="12"/>
      <c r="E829" s="12"/>
      <c r="F829" s="12"/>
      <c r="G829" s="12"/>
      <c r="H829" s="12"/>
      <c r="I829" s="143">
        <f t="shared" si="22"/>
        <v>0</v>
      </c>
      <c r="J829" s="108"/>
      <c r="K829" s="203"/>
      <c r="L829" s="108"/>
      <c r="V829" s="161"/>
      <c r="X829" s="140"/>
      <c r="Y829" s="166">
        <f t="shared" si="23"/>
        <v>0</v>
      </c>
      <c r="Z829" s="26">
        <f t="shared" si="7"/>
        <v>0</v>
      </c>
      <c r="AA829" s="26">
        <f t="shared" si="8"/>
        <v>0</v>
      </c>
      <c r="AB829" s="26">
        <f t="shared" si="9"/>
        <v>0</v>
      </c>
      <c r="AC829" s="156">
        <v>0.0</v>
      </c>
      <c r="AD829" s="156">
        <v>0.0</v>
      </c>
      <c r="AE829" s="156">
        <v>0.0</v>
      </c>
      <c r="AF829" s="156">
        <v>0.0</v>
      </c>
      <c r="AG829" s="156">
        <v>0.0</v>
      </c>
      <c r="AH829" s="156">
        <v>0.0</v>
      </c>
      <c r="BN829" s="155">
        <v>0.0</v>
      </c>
      <c r="BO829" s="155">
        <v>0.0</v>
      </c>
      <c r="BP829" s="155">
        <v>0.0</v>
      </c>
      <c r="BQ829" s="155">
        <v>0.0</v>
      </c>
      <c r="BR829" s="155">
        <v>0.0</v>
      </c>
      <c r="BS829" s="155">
        <v>0.0</v>
      </c>
      <c r="CV829" s="156">
        <v>0.0</v>
      </c>
      <c r="CW829" s="156">
        <v>0.0</v>
      </c>
      <c r="CX829" s="156">
        <v>0.0</v>
      </c>
      <c r="CY829" s="156">
        <v>0.0</v>
      </c>
      <c r="CZ829" s="156">
        <v>0.0</v>
      </c>
      <c r="DA829" s="156">
        <v>0.0</v>
      </c>
      <c r="EG829" s="156">
        <v>0.0</v>
      </c>
      <c r="EH829" s="156">
        <v>0.0</v>
      </c>
      <c r="EI829" s="156">
        <v>0.0</v>
      </c>
      <c r="EJ829" s="156">
        <v>0.0</v>
      </c>
      <c r="EK829" s="156">
        <v>0.0</v>
      </c>
      <c r="EL829" s="156">
        <v>0.0</v>
      </c>
      <c r="FQ829" s="156">
        <v>0.0</v>
      </c>
      <c r="FR829" s="156">
        <v>0.0</v>
      </c>
      <c r="FS829" s="156">
        <v>0.0</v>
      </c>
      <c r="FT829" s="156">
        <v>0.0</v>
      </c>
      <c r="FU829" s="156">
        <v>0.0</v>
      </c>
      <c r="FV829" s="156">
        <v>0.0</v>
      </c>
      <c r="FW829" s="157"/>
      <c r="FX829" s="157"/>
      <c r="FY829" s="157"/>
      <c r="FZ829" s="157"/>
      <c r="GA829" s="157"/>
      <c r="GB829" s="157"/>
      <c r="GC829" s="157"/>
      <c r="GD829" s="157"/>
      <c r="GE829" s="157"/>
      <c r="GF829" s="157"/>
      <c r="GG829" s="157"/>
      <c r="GH829" s="157"/>
      <c r="GI829" s="157"/>
      <c r="GJ829" s="157"/>
      <c r="GK829" s="157"/>
      <c r="GL829" s="157"/>
      <c r="GM829" s="157"/>
      <c r="GN829" s="157"/>
      <c r="GO829" s="157"/>
      <c r="GP829" s="158"/>
      <c r="GQ829" s="157"/>
      <c r="GR829" s="157"/>
      <c r="GS829" s="157"/>
      <c r="GT829" s="157"/>
      <c r="GU829" s="157"/>
      <c r="GV829" s="157"/>
      <c r="GW829" s="157"/>
      <c r="GX829" s="157"/>
      <c r="GY829" s="157"/>
      <c r="GZ829" s="157"/>
      <c r="HA829" s="157"/>
      <c r="HB829" s="155">
        <v>0.0</v>
      </c>
      <c r="HC829" s="155">
        <v>0.0</v>
      </c>
      <c r="HD829" s="155">
        <v>0.0</v>
      </c>
      <c r="HE829" s="155">
        <v>0.0</v>
      </c>
      <c r="HF829" s="155">
        <v>0.0</v>
      </c>
      <c r="HG829" s="155">
        <v>0.0</v>
      </c>
      <c r="IL829" s="159">
        <v>0.0</v>
      </c>
      <c r="IM829" s="156">
        <v>0.0</v>
      </c>
      <c r="IN829" s="156">
        <v>0.0</v>
      </c>
      <c r="IO829" s="156">
        <v>0.0</v>
      </c>
      <c r="IP829" s="156">
        <v>0.0</v>
      </c>
      <c r="IQ829" s="160">
        <v>0.0</v>
      </c>
      <c r="JH829" s="25"/>
      <c r="JW829" s="159">
        <v>0.0</v>
      </c>
      <c r="JX829" s="156">
        <v>0.0</v>
      </c>
      <c r="JY829" s="156">
        <v>0.0</v>
      </c>
      <c r="JZ829" s="156">
        <v>0.0</v>
      </c>
      <c r="KA829" s="156">
        <v>0.0</v>
      </c>
      <c r="KB829" s="160">
        <v>0.0</v>
      </c>
      <c r="LH829" s="159">
        <f t="shared" si="10"/>
        <v>0</v>
      </c>
      <c r="LI829" s="156">
        <f t="shared" si="11"/>
        <v>0</v>
      </c>
      <c r="LJ829" s="156">
        <f t="shared" si="12"/>
        <v>0</v>
      </c>
      <c r="LK829" s="156">
        <f t="shared" si="13"/>
        <v>0</v>
      </c>
      <c r="LL829" s="156">
        <f t="shared" si="14"/>
        <v>0</v>
      </c>
      <c r="LM829" s="160">
        <f t="shared" si="15"/>
        <v>0</v>
      </c>
      <c r="QX829" s="633"/>
    </row>
    <row r="830">
      <c r="A830" s="12"/>
      <c r="B830" s="12"/>
      <c r="C830" s="12"/>
      <c r="D830" s="12"/>
      <c r="E830" s="12"/>
      <c r="F830" s="12"/>
      <c r="G830" s="12"/>
      <c r="H830" s="12"/>
      <c r="I830" s="143">
        <f t="shared" si="22"/>
        <v>0</v>
      </c>
      <c r="J830" s="108"/>
      <c r="K830" s="203"/>
      <c r="L830" s="108"/>
      <c r="V830" s="161"/>
      <c r="X830" s="140"/>
      <c r="Y830" s="166">
        <f t="shared" si="23"/>
        <v>0</v>
      </c>
      <c r="Z830" s="26">
        <f t="shared" si="7"/>
        <v>0</v>
      </c>
      <c r="AA830" s="26">
        <f t="shared" si="8"/>
        <v>0</v>
      </c>
      <c r="AB830" s="26">
        <f t="shared" si="9"/>
        <v>0</v>
      </c>
      <c r="AC830" s="156">
        <v>0.0</v>
      </c>
      <c r="AD830" s="156">
        <v>0.0</v>
      </c>
      <c r="AE830" s="156">
        <v>0.0</v>
      </c>
      <c r="AF830" s="156">
        <v>0.0</v>
      </c>
      <c r="AG830" s="156">
        <v>0.0</v>
      </c>
      <c r="AH830" s="156">
        <v>0.0</v>
      </c>
      <c r="BN830" s="155">
        <v>0.0</v>
      </c>
      <c r="BO830" s="155">
        <v>0.0</v>
      </c>
      <c r="BP830" s="155">
        <v>0.0</v>
      </c>
      <c r="BQ830" s="155">
        <v>0.0</v>
      </c>
      <c r="BR830" s="155">
        <v>0.0</v>
      </c>
      <c r="BS830" s="155">
        <v>0.0</v>
      </c>
      <c r="CV830" s="156">
        <v>0.0</v>
      </c>
      <c r="CW830" s="156">
        <v>0.0</v>
      </c>
      <c r="CX830" s="156">
        <v>0.0</v>
      </c>
      <c r="CY830" s="156">
        <v>0.0</v>
      </c>
      <c r="CZ830" s="156">
        <v>0.0</v>
      </c>
      <c r="DA830" s="156">
        <v>0.0</v>
      </c>
      <c r="EG830" s="156">
        <v>0.0</v>
      </c>
      <c r="EH830" s="156">
        <v>0.0</v>
      </c>
      <c r="EI830" s="156">
        <v>0.0</v>
      </c>
      <c r="EJ830" s="156">
        <v>0.0</v>
      </c>
      <c r="EK830" s="156">
        <v>0.0</v>
      </c>
      <c r="EL830" s="156">
        <v>0.0</v>
      </c>
      <c r="FQ830" s="156">
        <v>0.0</v>
      </c>
      <c r="FR830" s="156">
        <v>0.0</v>
      </c>
      <c r="FS830" s="156">
        <v>0.0</v>
      </c>
      <c r="FT830" s="156">
        <v>0.0</v>
      </c>
      <c r="FU830" s="156">
        <v>0.0</v>
      </c>
      <c r="FV830" s="156">
        <v>0.0</v>
      </c>
      <c r="FW830" s="157"/>
      <c r="FX830" s="157"/>
      <c r="FY830" s="157"/>
      <c r="FZ830" s="157"/>
      <c r="GA830" s="157"/>
      <c r="GB830" s="157"/>
      <c r="GC830" s="157"/>
      <c r="GD830" s="157"/>
      <c r="GE830" s="157"/>
      <c r="GF830" s="157"/>
      <c r="GG830" s="157"/>
      <c r="GH830" s="157"/>
      <c r="GI830" s="157"/>
      <c r="GJ830" s="157"/>
      <c r="GK830" s="157"/>
      <c r="GL830" s="157"/>
      <c r="GM830" s="157"/>
      <c r="GN830" s="157"/>
      <c r="GO830" s="157"/>
      <c r="GP830" s="158"/>
      <c r="GQ830" s="157"/>
      <c r="GR830" s="157"/>
      <c r="GS830" s="157"/>
      <c r="GT830" s="157"/>
      <c r="GU830" s="157"/>
      <c r="GV830" s="157"/>
      <c r="GW830" s="157"/>
      <c r="GX830" s="157"/>
      <c r="GY830" s="157"/>
      <c r="GZ830" s="157"/>
      <c r="HA830" s="157"/>
      <c r="HB830" s="155">
        <v>0.0</v>
      </c>
      <c r="HC830" s="155">
        <v>0.0</v>
      </c>
      <c r="HD830" s="155">
        <v>0.0</v>
      </c>
      <c r="HE830" s="155">
        <v>0.0</v>
      </c>
      <c r="HF830" s="155">
        <v>0.0</v>
      </c>
      <c r="HG830" s="155">
        <v>0.0</v>
      </c>
      <c r="IL830" s="159">
        <v>0.0</v>
      </c>
      <c r="IM830" s="156">
        <v>0.0</v>
      </c>
      <c r="IN830" s="156">
        <v>0.0</v>
      </c>
      <c r="IO830" s="156">
        <v>0.0</v>
      </c>
      <c r="IP830" s="156">
        <v>0.0</v>
      </c>
      <c r="IQ830" s="160">
        <v>0.0</v>
      </c>
      <c r="JH830" s="25"/>
      <c r="JW830" s="159">
        <v>0.0</v>
      </c>
      <c r="JX830" s="156">
        <v>0.0</v>
      </c>
      <c r="JY830" s="156">
        <v>0.0</v>
      </c>
      <c r="JZ830" s="156">
        <v>0.0</v>
      </c>
      <c r="KA830" s="156">
        <v>0.0</v>
      </c>
      <c r="KB830" s="160">
        <v>0.0</v>
      </c>
      <c r="LH830" s="159">
        <f t="shared" si="10"/>
        <v>0</v>
      </c>
      <c r="LI830" s="156">
        <f t="shared" si="11"/>
        <v>0</v>
      </c>
      <c r="LJ830" s="156">
        <f t="shared" si="12"/>
        <v>0</v>
      </c>
      <c r="LK830" s="156">
        <f t="shared" si="13"/>
        <v>0</v>
      </c>
      <c r="LL830" s="156">
        <f t="shared" si="14"/>
        <v>0</v>
      </c>
      <c r="LM830" s="160">
        <f t="shared" si="15"/>
        <v>0</v>
      </c>
      <c r="QX830" s="633"/>
    </row>
    <row r="831">
      <c r="A831" s="12"/>
      <c r="B831" s="12"/>
      <c r="C831" s="12"/>
      <c r="D831" s="12"/>
      <c r="E831" s="12"/>
      <c r="F831" s="12"/>
      <c r="G831" s="12"/>
      <c r="H831" s="12"/>
      <c r="I831" s="143">
        <f t="shared" si="22"/>
        <v>0</v>
      </c>
      <c r="J831" s="108"/>
      <c r="K831" s="203"/>
      <c r="L831" s="108"/>
      <c r="V831" s="161"/>
      <c r="X831" s="140"/>
      <c r="Y831" s="166">
        <f t="shared" si="23"/>
        <v>0</v>
      </c>
      <c r="Z831" s="26">
        <f t="shared" si="7"/>
        <v>0</v>
      </c>
      <c r="AA831" s="26">
        <f t="shared" si="8"/>
        <v>0</v>
      </c>
      <c r="AB831" s="26">
        <f t="shared" si="9"/>
        <v>0</v>
      </c>
      <c r="AC831" s="156">
        <v>0.0</v>
      </c>
      <c r="AD831" s="156">
        <v>0.0</v>
      </c>
      <c r="AE831" s="156">
        <v>0.0</v>
      </c>
      <c r="AF831" s="156">
        <v>0.0</v>
      </c>
      <c r="AG831" s="156">
        <v>0.0</v>
      </c>
      <c r="AH831" s="156">
        <v>0.0</v>
      </c>
      <c r="BN831" s="155">
        <v>0.0</v>
      </c>
      <c r="BO831" s="155">
        <v>0.0</v>
      </c>
      <c r="BP831" s="155">
        <v>0.0</v>
      </c>
      <c r="BQ831" s="155">
        <v>0.0</v>
      </c>
      <c r="BR831" s="155">
        <v>0.0</v>
      </c>
      <c r="BS831" s="155">
        <v>0.0</v>
      </c>
      <c r="CV831" s="156">
        <v>0.0</v>
      </c>
      <c r="CW831" s="156">
        <v>0.0</v>
      </c>
      <c r="CX831" s="156">
        <v>0.0</v>
      </c>
      <c r="CY831" s="156">
        <v>0.0</v>
      </c>
      <c r="CZ831" s="156">
        <v>0.0</v>
      </c>
      <c r="DA831" s="156">
        <v>0.0</v>
      </c>
      <c r="EG831" s="156">
        <v>0.0</v>
      </c>
      <c r="EH831" s="156">
        <v>0.0</v>
      </c>
      <c r="EI831" s="156">
        <v>0.0</v>
      </c>
      <c r="EJ831" s="156">
        <v>0.0</v>
      </c>
      <c r="EK831" s="156">
        <v>0.0</v>
      </c>
      <c r="EL831" s="156">
        <v>0.0</v>
      </c>
      <c r="FQ831" s="156">
        <v>0.0</v>
      </c>
      <c r="FR831" s="156">
        <v>0.0</v>
      </c>
      <c r="FS831" s="156">
        <v>0.0</v>
      </c>
      <c r="FT831" s="156">
        <v>0.0</v>
      </c>
      <c r="FU831" s="156">
        <v>0.0</v>
      </c>
      <c r="FV831" s="156">
        <v>0.0</v>
      </c>
      <c r="FW831" s="157"/>
      <c r="FX831" s="157"/>
      <c r="FY831" s="157"/>
      <c r="FZ831" s="157"/>
      <c r="GA831" s="157"/>
      <c r="GB831" s="157"/>
      <c r="GC831" s="157"/>
      <c r="GD831" s="157"/>
      <c r="GE831" s="157"/>
      <c r="GF831" s="157"/>
      <c r="GG831" s="157"/>
      <c r="GH831" s="157"/>
      <c r="GI831" s="157"/>
      <c r="GJ831" s="157"/>
      <c r="GK831" s="157"/>
      <c r="GL831" s="157"/>
      <c r="GM831" s="157"/>
      <c r="GN831" s="157"/>
      <c r="GO831" s="157"/>
      <c r="GP831" s="158"/>
      <c r="GQ831" s="157"/>
      <c r="GR831" s="157"/>
      <c r="GS831" s="157"/>
      <c r="GT831" s="157"/>
      <c r="GU831" s="157"/>
      <c r="GV831" s="157"/>
      <c r="GW831" s="157"/>
      <c r="GX831" s="157"/>
      <c r="GY831" s="157"/>
      <c r="GZ831" s="157"/>
      <c r="HA831" s="157"/>
      <c r="HB831" s="155">
        <v>0.0</v>
      </c>
      <c r="HC831" s="155">
        <v>0.0</v>
      </c>
      <c r="HD831" s="155">
        <v>0.0</v>
      </c>
      <c r="HE831" s="155">
        <v>0.0</v>
      </c>
      <c r="HF831" s="155">
        <v>0.0</v>
      </c>
      <c r="HG831" s="155">
        <v>0.0</v>
      </c>
      <c r="IL831" s="159">
        <v>0.0</v>
      </c>
      <c r="IM831" s="156">
        <v>0.0</v>
      </c>
      <c r="IN831" s="156">
        <v>0.0</v>
      </c>
      <c r="IO831" s="156">
        <v>0.0</v>
      </c>
      <c r="IP831" s="156">
        <v>0.0</v>
      </c>
      <c r="IQ831" s="160">
        <v>0.0</v>
      </c>
      <c r="JH831" s="25"/>
      <c r="JW831" s="159">
        <v>0.0</v>
      </c>
      <c r="JX831" s="156">
        <v>0.0</v>
      </c>
      <c r="JY831" s="156">
        <v>0.0</v>
      </c>
      <c r="JZ831" s="156">
        <v>0.0</v>
      </c>
      <c r="KA831" s="156">
        <v>0.0</v>
      </c>
      <c r="KB831" s="160">
        <v>0.0</v>
      </c>
      <c r="LH831" s="159">
        <f t="shared" si="10"/>
        <v>0</v>
      </c>
      <c r="LI831" s="156">
        <f t="shared" si="11"/>
        <v>0</v>
      </c>
      <c r="LJ831" s="156">
        <f t="shared" si="12"/>
        <v>0</v>
      </c>
      <c r="LK831" s="156">
        <f t="shared" si="13"/>
        <v>0</v>
      </c>
      <c r="LL831" s="156">
        <f t="shared" si="14"/>
        <v>0</v>
      </c>
      <c r="LM831" s="160">
        <f t="shared" si="15"/>
        <v>0</v>
      </c>
      <c r="QX831" s="633"/>
    </row>
    <row r="832">
      <c r="A832" s="12"/>
      <c r="B832" s="12"/>
      <c r="C832" s="12"/>
      <c r="D832" s="12"/>
      <c r="E832" s="12"/>
      <c r="F832" s="12"/>
      <c r="G832" s="12"/>
      <c r="H832" s="12"/>
      <c r="I832" s="143">
        <f t="shared" si="22"/>
        <v>0</v>
      </c>
      <c r="J832" s="108"/>
      <c r="K832" s="203"/>
      <c r="L832" s="108"/>
      <c r="V832" s="161"/>
      <c r="X832" s="140"/>
      <c r="Y832" s="166">
        <f t="shared" si="23"/>
        <v>0</v>
      </c>
      <c r="Z832" s="26">
        <f t="shared" si="7"/>
        <v>0</v>
      </c>
      <c r="AA832" s="26">
        <f t="shared" si="8"/>
        <v>0</v>
      </c>
      <c r="AB832" s="26">
        <f t="shared" si="9"/>
        <v>0</v>
      </c>
      <c r="AC832" s="156">
        <v>0.0</v>
      </c>
      <c r="AD832" s="156">
        <v>0.0</v>
      </c>
      <c r="AE832" s="156">
        <v>0.0</v>
      </c>
      <c r="AF832" s="156">
        <v>0.0</v>
      </c>
      <c r="AG832" s="156">
        <v>0.0</v>
      </c>
      <c r="AH832" s="156">
        <v>0.0</v>
      </c>
      <c r="BN832" s="155">
        <v>0.0</v>
      </c>
      <c r="BO832" s="155">
        <v>0.0</v>
      </c>
      <c r="BP832" s="155">
        <v>0.0</v>
      </c>
      <c r="BQ832" s="155">
        <v>0.0</v>
      </c>
      <c r="BR832" s="155">
        <v>0.0</v>
      </c>
      <c r="BS832" s="155">
        <v>0.0</v>
      </c>
      <c r="CV832" s="156">
        <v>0.0</v>
      </c>
      <c r="CW832" s="156">
        <v>0.0</v>
      </c>
      <c r="CX832" s="156">
        <v>0.0</v>
      </c>
      <c r="CY832" s="156">
        <v>0.0</v>
      </c>
      <c r="CZ832" s="156">
        <v>0.0</v>
      </c>
      <c r="DA832" s="156">
        <v>0.0</v>
      </c>
      <c r="EG832" s="156">
        <v>0.0</v>
      </c>
      <c r="EH832" s="156">
        <v>0.0</v>
      </c>
      <c r="EI832" s="156">
        <v>0.0</v>
      </c>
      <c r="EJ832" s="156">
        <v>0.0</v>
      </c>
      <c r="EK832" s="156">
        <v>0.0</v>
      </c>
      <c r="EL832" s="156">
        <v>0.0</v>
      </c>
      <c r="FQ832" s="156">
        <v>0.0</v>
      </c>
      <c r="FR832" s="156">
        <v>0.0</v>
      </c>
      <c r="FS832" s="156">
        <v>0.0</v>
      </c>
      <c r="FT832" s="156">
        <v>0.0</v>
      </c>
      <c r="FU832" s="156">
        <v>0.0</v>
      </c>
      <c r="FV832" s="156">
        <v>0.0</v>
      </c>
      <c r="FW832" s="157"/>
      <c r="FX832" s="157"/>
      <c r="FY832" s="157"/>
      <c r="FZ832" s="157"/>
      <c r="GA832" s="157"/>
      <c r="GB832" s="157"/>
      <c r="GC832" s="157"/>
      <c r="GD832" s="157"/>
      <c r="GE832" s="157"/>
      <c r="GF832" s="157"/>
      <c r="GG832" s="157"/>
      <c r="GH832" s="157"/>
      <c r="GI832" s="157"/>
      <c r="GJ832" s="157"/>
      <c r="GK832" s="157"/>
      <c r="GL832" s="157"/>
      <c r="GM832" s="157"/>
      <c r="GN832" s="157"/>
      <c r="GO832" s="157"/>
      <c r="GP832" s="158"/>
      <c r="GQ832" s="157"/>
      <c r="GR832" s="157"/>
      <c r="GS832" s="157"/>
      <c r="GT832" s="157"/>
      <c r="GU832" s="157"/>
      <c r="GV832" s="157"/>
      <c r="GW832" s="157"/>
      <c r="GX832" s="157"/>
      <c r="GY832" s="157"/>
      <c r="GZ832" s="157"/>
      <c r="HA832" s="157"/>
      <c r="HB832" s="155">
        <v>0.0</v>
      </c>
      <c r="HC832" s="155">
        <v>0.0</v>
      </c>
      <c r="HD832" s="155">
        <v>0.0</v>
      </c>
      <c r="HE832" s="155">
        <v>0.0</v>
      </c>
      <c r="HF832" s="155">
        <v>0.0</v>
      </c>
      <c r="HG832" s="155">
        <v>0.0</v>
      </c>
      <c r="IL832" s="159">
        <v>0.0</v>
      </c>
      <c r="IM832" s="156">
        <v>0.0</v>
      </c>
      <c r="IN832" s="156">
        <v>0.0</v>
      </c>
      <c r="IO832" s="156">
        <v>0.0</v>
      </c>
      <c r="IP832" s="156">
        <v>0.0</v>
      </c>
      <c r="IQ832" s="160">
        <v>0.0</v>
      </c>
      <c r="JH832" s="25"/>
      <c r="JW832" s="159">
        <v>0.0</v>
      </c>
      <c r="JX832" s="156">
        <v>0.0</v>
      </c>
      <c r="JY832" s="156">
        <v>0.0</v>
      </c>
      <c r="JZ832" s="156">
        <v>0.0</v>
      </c>
      <c r="KA832" s="156">
        <v>0.0</v>
      </c>
      <c r="KB832" s="160">
        <v>0.0</v>
      </c>
      <c r="LH832" s="159">
        <f t="shared" si="10"/>
        <v>0</v>
      </c>
      <c r="LI832" s="156">
        <f t="shared" si="11"/>
        <v>0</v>
      </c>
      <c r="LJ832" s="156">
        <f t="shared" si="12"/>
        <v>0</v>
      </c>
      <c r="LK832" s="156">
        <f t="shared" si="13"/>
        <v>0</v>
      </c>
      <c r="LL832" s="156">
        <f t="shared" si="14"/>
        <v>0</v>
      </c>
      <c r="LM832" s="160">
        <f t="shared" si="15"/>
        <v>0</v>
      </c>
      <c r="QX832" s="633"/>
    </row>
    <row r="833">
      <c r="A833" s="12"/>
      <c r="B833" s="12"/>
      <c r="C833" s="12"/>
      <c r="D833" s="12"/>
      <c r="E833" s="12"/>
      <c r="F833" s="12"/>
      <c r="G833" s="12"/>
      <c r="H833" s="12"/>
      <c r="I833" s="143">
        <f t="shared" si="22"/>
        <v>0</v>
      </c>
      <c r="J833" s="108"/>
      <c r="K833" s="203"/>
      <c r="L833" s="108"/>
      <c r="V833" s="161"/>
      <c r="X833" s="140"/>
      <c r="Y833" s="166">
        <f t="shared" si="23"/>
        <v>0</v>
      </c>
      <c r="Z833" s="26">
        <f t="shared" si="7"/>
        <v>0</v>
      </c>
      <c r="AA833" s="26">
        <f t="shared" si="8"/>
        <v>0</v>
      </c>
      <c r="AB833" s="26">
        <f t="shared" si="9"/>
        <v>0</v>
      </c>
      <c r="AC833" s="156">
        <v>0.0</v>
      </c>
      <c r="AD833" s="156">
        <v>0.0</v>
      </c>
      <c r="AE833" s="156">
        <v>0.0</v>
      </c>
      <c r="AF833" s="156">
        <v>0.0</v>
      </c>
      <c r="AG833" s="156">
        <v>0.0</v>
      </c>
      <c r="AH833" s="156">
        <v>0.0</v>
      </c>
      <c r="BN833" s="155">
        <v>0.0</v>
      </c>
      <c r="BO833" s="155">
        <v>0.0</v>
      </c>
      <c r="BP833" s="155">
        <v>0.0</v>
      </c>
      <c r="BQ833" s="155">
        <v>0.0</v>
      </c>
      <c r="BR833" s="155">
        <v>0.0</v>
      </c>
      <c r="BS833" s="155">
        <v>0.0</v>
      </c>
      <c r="CV833" s="156">
        <v>0.0</v>
      </c>
      <c r="CW833" s="156">
        <v>0.0</v>
      </c>
      <c r="CX833" s="156">
        <v>0.0</v>
      </c>
      <c r="CY833" s="156">
        <v>0.0</v>
      </c>
      <c r="CZ833" s="156">
        <v>0.0</v>
      </c>
      <c r="DA833" s="156">
        <v>0.0</v>
      </c>
      <c r="EG833" s="156">
        <v>0.0</v>
      </c>
      <c r="EH833" s="156">
        <v>0.0</v>
      </c>
      <c r="EI833" s="156">
        <v>0.0</v>
      </c>
      <c r="EJ833" s="156">
        <v>0.0</v>
      </c>
      <c r="EK833" s="156">
        <v>0.0</v>
      </c>
      <c r="EL833" s="156">
        <v>0.0</v>
      </c>
      <c r="FQ833" s="156">
        <v>0.0</v>
      </c>
      <c r="FR833" s="156">
        <v>0.0</v>
      </c>
      <c r="FS833" s="156">
        <v>0.0</v>
      </c>
      <c r="FT833" s="156">
        <v>0.0</v>
      </c>
      <c r="FU833" s="156">
        <v>0.0</v>
      </c>
      <c r="FV833" s="156">
        <v>0.0</v>
      </c>
      <c r="FW833" s="157"/>
      <c r="FX833" s="157"/>
      <c r="FY833" s="157"/>
      <c r="FZ833" s="157"/>
      <c r="GA833" s="157"/>
      <c r="GB833" s="157"/>
      <c r="GC833" s="157"/>
      <c r="GD833" s="157"/>
      <c r="GE833" s="157"/>
      <c r="GF833" s="157"/>
      <c r="GG833" s="157"/>
      <c r="GH833" s="157"/>
      <c r="GI833" s="157"/>
      <c r="GJ833" s="157"/>
      <c r="GK833" s="157"/>
      <c r="GL833" s="157"/>
      <c r="GM833" s="157"/>
      <c r="GN833" s="157"/>
      <c r="GO833" s="157"/>
      <c r="GP833" s="158"/>
      <c r="GQ833" s="157"/>
      <c r="GR833" s="157"/>
      <c r="GS833" s="157"/>
      <c r="GT833" s="157"/>
      <c r="GU833" s="157"/>
      <c r="GV833" s="157"/>
      <c r="GW833" s="157"/>
      <c r="GX833" s="157"/>
      <c r="GY833" s="157"/>
      <c r="GZ833" s="157"/>
      <c r="HA833" s="157"/>
      <c r="HB833" s="155">
        <v>0.0</v>
      </c>
      <c r="HC833" s="155">
        <v>0.0</v>
      </c>
      <c r="HD833" s="155">
        <v>0.0</v>
      </c>
      <c r="HE833" s="155">
        <v>0.0</v>
      </c>
      <c r="HF833" s="155">
        <v>0.0</v>
      </c>
      <c r="HG833" s="155">
        <v>0.0</v>
      </c>
      <c r="IL833" s="159">
        <v>0.0</v>
      </c>
      <c r="IM833" s="156">
        <v>0.0</v>
      </c>
      <c r="IN833" s="156">
        <v>0.0</v>
      </c>
      <c r="IO833" s="156">
        <v>0.0</v>
      </c>
      <c r="IP833" s="156">
        <v>0.0</v>
      </c>
      <c r="IQ833" s="160">
        <v>0.0</v>
      </c>
      <c r="JH833" s="25"/>
      <c r="JW833" s="159">
        <v>0.0</v>
      </c>
      <c r="JX833" s="156">
        <v>0.0</v>
      </c>
      <c r="JY833" s="156">
        <v>0.0</v>
      </c>
      <c r="JZ833" s="156">
        <v>0.0</v>
      </c>
      <c r="KA833" s="156">
        <v>0.0</v>
      </c>
      <c r="KB833" s="160">
        <v>0.0</v>
      </c>
      <c r="LH833" s="159">
        <f t="shared" si="10"/>
        <v>0</v>
      </c>
      <c r="LI833" s="156">
        <f t="shared" si="11"/>
        <v>0</v>
      </c>
      <c r="LJ833" s="156">
        <f t="shared" si="12"/>
        <v>0</v>
      </c>
      <c r="LK833" s="156">
        <f t="shared" si="13"/>
        <v>0</v>
      </c>
      <c r="LL833" s="156">
        <f t="shared" si="14"/>
        <v>0</v>
      </c>
      <c r="LM833" s="160">
        <f t="shared" si="15"/>
        <v>0</v>
      </c>
      <c r="QX833" s="633"/>
    </row>
    <row r="834">
      <c r="A834" s="12"/>
      <c r="B834" s="12"/>
      <c r="C834" s="12"/>
      <c r="D834" s="12"/>
      <c r="E834" s="12"/>
      <c r="F834" s="12"/>
      <c r="G834" s="12"/>
      <c r="H834" s="12"/>
      <c r="I834" s="143">
        <f t="shared" si="22"/>
        <v>0</v>
      </c>
      <c r="J834" s="108"/>
      <c r="K834" s="203"/>
      <c r="L834" s="108"/>
      <c r="V834" s="161"/>
      <c r="X834" s="140"/>
      <c r="Y834" s="166">
        <f t="shared" si="23"/>
        <v>0</v>
      </c>
      <c r="Z834" s="26">
        <f t="shared" si="7"/>
        <v>0</v>
      </c>
      <c r="AA834" s="26">
        <f t="shared" si="8"/>
        <v>0</v>
      </c>
      <c r="AB834" s="26">
        <f t="shared" si="9"/>
        <v>0</v>
      </c>
      <c r="AC834" s="156">
        <v>0.0</v>
      </c>
      <c r="AD834" s="156">
        <v>0.0</v>
      </c>
      <c r="AE834" s="156">
        <v>0.0</v>
      </c>
      <c r="AF834" s="156">
        <v>0.0</v>
      </c>
      <c r="AG834" s="156">
        <v>0.0</v>
      </c>
      <c r="AH834" s="156">
        <v>0.0</v>
      </c>
      <c r="BN834" s="155">
        <v>0.0</v>
      </c>
      <c r="BO834" s="155">
        <v>0.0</v>
      </c>
      <c r="BP834" s="155">
        <v>0.0</v>
      </c>
      <c r="BQ834" s="155">
        <v>0.0</v>
      </c>
      <c r="BR834" s="155">
        <v>0.0</v>
      </c>
      <c r="BS834" s="155">
        <v>0.0</v>
      </c>
      <c r="CV834" s="156">
        <v>0.0</v>
      </c>
      <c r="CW834" s="156">
        <v>0.0</v>
      </c>
      <c r="CX834" s="156">
        <v>0.0</v>
      </c>
      <c r="CY834" s="156">
        <v>0.0</v>
      </c>
      <c r="CZ834" s="156">
        <v>0.0</v>
      </c>
      <c r="DA834" s="156">
        <v>0.0</v>
      </c>
      <c r="EG834" s="156">
        <v>0.0</v>
      </c>
      <c r="EH834" s="156">
        <v>0.0</v>
      </c>
      <c r="EI834" s="156">
        <v>0.0</v>
      </c>
      <c r="EJ834" s="156">
        <v>0.0</v>
      </c>
      <c r="EK834" s="156">
        <v>0.0</v>
      </c>
      <c r="EL834" s="156">
        <v>0.0</v>
      </c>
      <c r="FQ834" s="156">
        <v>0.0</v>
      </c>
      <c r="FR834" s="156">
        <v>0.0</v>
      </c>
      <c r="FS834" s="156">
        <v>0.0</v>
      </c>
      <c r="FT834" s="156">
        <v>0.0</v>
      </c>
      <c r="FU834" s="156">
        <v>0.0</v>
      </c>
      <c r="FV834" s="156">
        <v>0.0</v>
      </c>
      <c r="FW834" s="157"/>
      <c r="FX834" s="157"/>
      <c r="FY834" s="157"/>
      <c r="FZ834" s="157"/>
      <c r="GA834" s="157"/>
      <c r="GB834" s="157"/>
      <c r="GC834" s="157"/>
      <c r="GD834" s="157"/>
      <c r="GE834" s="157"/>
      <c r="GF834" s="157"/>
      <c r="GG834" s="157"/>
      <c r="GH834" s="157"/>
      <c r="GI834" s="157"/>
      <c r="GJ834" s="157"/>
      <c r="GK834" s="157"/>
      <c r="GL834" s="157"/>
      <c r="GM834" s="157"/>
      <c r="GN834" s="157"/>
      <c r="GO834" s="157"/>
      <c r="GP834" s="158"/>
      <c r="GQ834" s="157"/>
      <c r="GR834" s="157"/>
      <c r="GS834" s="157"/>
      <c r="GT834" s="157"/>
      <c r="GU834" s="157"/>
      <c r="GV834" s="157"/>
      <c r="GW834" s="157"/>
      <c r="GX834" s="157"/>
      <c r="GY834" s="157"/>
      <c r="GZ834" s="157"/>
      <c r="HA834" s="157"/>
      <c r="HB834" s="155">
        <v>0.0</v>
      </c>
      <c r="HC834" s="155">
        <v>0.0</v>
      </c>
      <c r="HD834" s="155">
        <v>0.0</v>
      </c>
      <c r="HE834" s="155">
        <v>0.0</v>
      </c>
      <c r="HF834" s="155">
        <v>0.0</v>
      </c>
      <c r="HG834" s="155">
        <v>0.0</v>
      </c>
      <c r="IL834" s="159">
        <v>0.0</v>
      </c>
      <c r="IM834" s="156">
        <v>0.0</v>
      </c>
      <c r="IN834" s="156">
        <v>0.0</v>
      </c>
      <c r="IO834" s="156">
        <v>0.0</v>
      </c>
      <c r="IP834" s="156">
        <v>0.0</v>
      </c>
      <c r="IQ834" s="160">
        <v>0.0</v>
      </c>
      <c r="JH834" s="25"/>
      <c r="JW834" s="159">
        <v>0.0</v>
      </c>
      <c r="JX834" s="156">
        <v>0.0</v>
      </c>
      <c r="JY834" s="156">
        <v>0.0</v>
      </c>
      <c r="JZ834" s="156">
        <v>0.0</v>
      </c>
      <c r="KA834" s="156">
        <v>0.0</v>
      </c>
      <c r="KB834" s="160">
        <v>0.0</v>
      </c>
      <c r="LH834" s="159">
        <f t="shared" si="10"/>
        <v>0</v>
      </c>
      <c r="LI834" s="156">
        <f t="shared" si="11"/>
        <v>0</v>
      </c>
      <c r="LJ834" s="156">
        <f t="shared" si="12"/>
        <v>0</v>
      </c>
      <c r="LK834" s="156">
        <f t="shared" si="13"/>
        <v>0</v>
      </c>
      <c r="LL834" s="156">
        <f t="shared" si="14"/>
        <v>0</v>
      </c>
      <c r="LM834" s="160">
        <f t="shared" si="15"/>
        <v>0</v>
      </c>
      <c r="QX834" s="633"/>
    </row>
    <row r="835">
      <c r="A835" s="12"/>
      <c r="B835" s="12"/>
      <c r="C835" s="12"/>
      <c r="D835" s="12"/>
      <c r="E835" s="12"/>
      <c r="F835" s="12"/>
      <c r="G835" s="12"/>
      <c r="H835" s="12"/>
      <c r="I835" s="143">
        <f t="shared" si="22"/>
        <v>0</v>
      </c>
      <c r="J835" s="108"/>
      <c r="K835" s="203"/>
      <c r="L835" s="108"/>
      <c r="V835" s="161"/>
      <c r="X835" s="140"/>
      <c r="Y835" s="166">
        <f t="shared" si="23"/>
        <v>0</v>
      </c>
      <c r="Z835" s="26">
        <f t="shared" si="7"/>
        <v>0</v>
      </c>
      <c r="AA835" s="26">
        <f t="shared" si="8"/>
        <v>0</v>
      </c>
      <c r="AB835" s="26">
        <f t="shared" si="9"/>
        <v>0</v>
      </c>
      <c r="AC835" s="156">
        <v>0.0</v>
      </c>
      <c r="AD835" s="156">
        <v>0.0</v>
      </c>
      <c r="AE835" s="156">
        <v>0.0</v>
      </c>
      <c r="AF835" s="156">
        <v>0.0</v>
      </c>
      <c r="AG835" s="156">
        <v>0.0</v>
      </c>
      <c r="AH835" s="156">
        <v>0.0</v>
      </c>
      <c r="BN835" s="155">
        <v>0.0</v>
      </c>
      <c r="BO835" s="155">
        <v>0.0</v>
      </c>
      <c r="BP835" s="155">
        <v>0.0</v>
      </c>
      <c r="BQ835" s="155">
        <v>0.0</v>
      </c>
      <c r="BR835" s="155">
        <v>0.0</v>
      </c>
      <c r="BS835" s="155">
        <v>0.0</v>
      </c>
      <c r="CV835" s="156">
        <v>0.0</v>
      </c>
      <c r="CW835" s="156">
        <v>0.0</v>
      </c>
      <c r="CX835" s="156">
        <v>0.0</v>
      </c>
      <c r="CY835" s="156">
        <v>0.0</v>
      </c>
      <c r="CZ835" s="156">
        <v>0.0</v>
      </c>
      <c r="DA835" s="156">
        <v>0.0</v>
      </c>
      <c r="EG835" s="156">
        <v>0.0</v>
      </c>
      <c r="EH835" s="156">
        <v>0.0</v>
      </c>
      <c r="EI835" s="156">
        <v>0.0</v>
      </c>
      <c r="EJ835" s="156">
        <v>0.0</v>
      </c>
      <c r="EK835" s="156">
        <v>0.0</v>
      </c>
      <c r="EL835" s="156">
        <v>0.0</v>
      </c>
      <c r="FQ835" s="156">
        <v>0.0</v>
      </c>
      <c r="FR835" s="156">
        <v>0.0</v>
      </c>
      <c r="FS835" s="156">
        <v>0.0</v>
      </c>
      <c r="FT835" s="156">
        <v>0.0</v>
      </c>
      <c r="FU835" s="156">
        <v>0.0</v>
      </c>
      <c r="FV835" s="156">
        <v>0.0</v>
      </c>
      <c r="FW835" s="157"/>
      <c r="FX835" s="157"/>
      <c r="FY835" s="157"/>
      <c r="FZ835" s="157"/>
      <c r="GA835" s="157"/>
      <c r="GB835" s="157"/>
      <c r="GC835" s="157"/>
      <c r="GD835" s="157"/>
      <c r="GE835" s="157"/>
      <c r="GF835" s="157"/>
      <c r="GG835" s="157"/>
      <c r="GH835" s="157"/>
      <c r="GI835" s="157"/>
      <c r="GJ835" s="157"/>
      <c r="GK835" s="157"/>
      <c r="GL835" s="157"/>
      <c r="GM835" s="157"/>
      <c r="GN835" s="157"/>
      <c r="GO835" s="157"/>
      <c r="GP835" s="158"/>
      <c r="GQ835" s="157"/>
      <c r="GR835" s="157"/>
      <c r="GS835" s="157"/>
      <c r="GT835" s="157"/>
      <c r="GU835" s="157"/>
      <c r="GV835" s="157"/>
      <c r="GW835" s="157"/>
      <c r="GX835" s="157"/>
      <c r="GY835" s="157"/>
      <c r="GZ835" s="157"/>
      <c r="HA835" s="157"/>
      <c r="HB835" s="155">
        <v>0.0</v>
      </c>
      <c r="HC835" s="155">
        <v>0.0</v>
      </c>
      <c r="HD835" s="155">
        <v>0.0</v>
      </c>
      <c r="HE835" s="155">
        <v>0.0</v>
      </c>
      <c r="HF835" s="155">
        <v>0.0</v>
      </c>
      <c r="HG835" s="155">
        <v>0.0</v>
      </c>
      <c r="IL835" s="159">
        <v>0.0</v>
      </c>
      <c r="IM835" s="156">
        <v>0.0</v>
      </c>
      <c r="IN835" s="156">
        <v>0.0</v>
      </c>
      <c r="IO835" s="156">
        <v>0.0</v>
      </c>
      <c r="IP835" s="156">
        <v>0.0</v>
      </c>
      <c r="IQ835" s="160">
        <v>0.0</v>
      </c>
      <c r="JH835" s="25"/>
      <c r="JW835" s="159">
        <v>0.0</v>
      </c>
      <c r="JX835" s="156">
        <v>0.0</v>
      </c>
      <c r="JY835" s="156">
        <v>0.0</v>
      </c>
      <c r="JZ835" s="156">
        <v>0.0</v>
      </c>
      <c r="KA835" s="156">
        <v>0.0</v>
      </c>
      <c r="KB835" s="160">
        <v>0.0</v>
      </c>
      <c r="LH835" s="159">
        <f t="shared" si="10"/>
        <v>0</v>
      </c>
      <c r="LI835" s="156">
        <f t="shared" si="11"/>
        <v>0</v>
      </c>
      <c r="LJ835" s="156">
        <f t="shared" si="12"/>
        <v>0</v>
      </c>
      <c r="LK835" s="156">
        <f t="shared" si="13"/>
        <v>0</v>
      </c>
      <c r="LL835" s="156">
        <f t="shared" si="14"/>
        <v>0</v>
      </c>
      <c r="LM835" s="160">
        <f t="shared" si="15"/>
        <v>0</v>
      </c>
      <c r="QX835" s="633"/>
    </row>
    <row r="836">
      <c r="A836" s="12"/>
      <c r="B836" s="12"/>
      <c r="C836" s="12"/>
      <c r="D836" s="12"/>
      <c r="E836" s="12"/>
      <c r="F836" s="12"/>
      <c r="G836" s="12"/>
      <c r="H836" s="12"/>
      <c r="I836" s="143">
        <f t="shared" si="22"/>
        <v>0</v>
      </c>
      <c r="J836" s="108"/>
      <c r="K836" s="203"/>
      <c r="L836" s="108"/>
      <c r="V836" s="161"/>
      <c r="X836" s="140"/>
      <c r="Y836" s="166">
        <f t="shared" si="23"/>
        <v>0</v>
      </c>
      <c r="Z836" s="26">
        <f t="shared" si="7"/>
        <v>0</v>
      </c>
      <c r="AA836" s="26">
        <f t="shared" si="8"/>
        <v>0</v>
      </c>
      <c r="AB836" s="26">
        <f t="shared" si="9"/>
        <v>0</v>
      </c>
      <c r="AC836" s="156">
        <v>0.0</v>
      </c>
      <c r="AD836" s="156">
        <v>0.0</v>
      </c>
      <c r="AE836" s="156">
        <v>0.0</v>
      </c>
      <c r="AF836" s="156">
        <v>0.0</v>
      </c>
      <c r="AG836" s="156">
        <v>0.0</v>
      </c>
      <c r="AH836" s="156">
        <v>0.0</v>
      </c>
      <c r="BN836" s="155">
        <v>0.0</v>
      </c>
      <c r="BO836" s="155">
        <v>0.0</v>
      </c>
      <c r="BP836" s="155">
        <v>0.0</v>
      </c>
      <c r="BQ836" s="155">
        <v>0.0</v>
      </c>
      <c r="BR836" s="155">
        <v>0.0</v>
      </c>
      <c r="BS836" s="155">
        <v>0.0</v>
      </c>
      <c r="CV836" s="156">
        <v>0.0</v>
      </c>
      <c r="CW836" s="156">
        <v>0.0</v>
      </c>
      <c r="CX836" s="156">
        <v>0.0</v>
      </c>
      <c r="CY836" s="156">
        <v>0.0</v>
      </c>
      <c r="CZ836" s="156">
        <v>0.0</v>
      </c>
      <c r="DA836" s="156">
        <v>0.0</v>
      </c>
      <c r="EG836" s="156">
        <v>0.0</v>
      </c>
      <c r="EH836" s="156">
        <v>0.0</v>
      </c>
      <c r="EI836" s="156">
        <v>0.0</v>
      </c>
      <c r="EJ836" s="156">
        <v>0.0</v>
      </c>
      <c r="EK836" s="156">
        <v>0.0</v>
      </c>
      <c r="EL836" s="156">
        <v>0.0</v>
      </c>
      <c r="FQ836" s="156">
        <v>0.0</v>
      </c>
      <c r="FR836" s="156">
        <v>0.0</v>
      </c>
      <c r="FS836" s="156">
        <v>0.0</v>
      </c>
      <c r="FT836" s="156">
        <v>0.0</v>
      </c>
      <c r="FU836" s="156">
        <v>0.0</v>
      </c>
      <c r="FV836" s="156">
        <v>0.0</v>
      </c>
      <c r="FW836" s="157"/>
      <c r="FX836" s="157"/>
      <c r="FY836" s="157"/>
      <c r="FZ836" s="157"/>
      <c r="GA836" s="157"/>
      <c r="GB836" s="157"/>
      <c r="GC836" s="157"/>
      <c r="GD836" s="157"/>
      <c r="GE836" s="157"/>
      <c r="GF836" s="157"/>
      <c r="GG836" s="157"/>
      <c r="GH836" s="157"/>
      <c r="GI836" s="157"/>
      <c r="GJ836" s="157"/>
      <c r="GK836" s="157"/>
      <c r="GL836" s="157"/>
      <c r="GM836" s="157"/>
      <c r="GN836" s="157"/>
      <c r="GO836" s="157"/>
      <c r="GP836" s="158"/>
      <c r="GQ836" s="157"/>
      <c r="GR836" s="157"/>
      <c r="GS836" s="157"/>
      <c r="GT836" s="157"/>
      <c r="GU836" s="157"/>
      <c r="GV836" s="157"/>
      <c r="GW836" s="157"/>
      <c r="GX836" s="157"/>
      <c r="GY836" s="157"/>
      <c r="GZ836" s="157"/>
      <c r="HA836" s="157"/>
      <c r="HB836" s="155">
        <v>0.0</v>
      </c>
      <c r="HC836" s="155">
        <v>0.0</v>
      </c>
      <c r="HD836" s="155">
        <v>0.0</v>
      </c>
      <c r="HE836" s="155">
        <v>0.0</v>
      </c>
      <c r="HF836" s="155">
        <v>0.0</v>
      </c>
      <c r="HG836" s="155">
        <v>0.0</v>
      </c>
      <c r="IL836" s="159">
        <v>0.0</v>
      </c>
      <c r="IM836" s="156">
        <v>0.0</v>
      </c>
      <c r="IN836" s="156">
        <v>0.0</v>
      </c>
      <c r="IO836" s="156">
        <v>0.0</v>
      </c>
      <c r="IP836" s="156">
        <v>0.0</v>
      </c>
      <c r="IQ836" s="160">
        <v>0.0</v>
      </c>
      <c r="JH836" s="25"/>
      <c r="JW836" s="159">
        <v>0.0</v>
      </c>
      <c r="JX836" s="156">
        <v>0.0</v>
      </c>
      <c r="JY836" s="156">
        <v>0.0</v>
      </c>
      <c r="JZ836" s="156">
        <v>0.0</v>
      </c>
      <c r="KA836" s="156">
        <v>0.0</v>
      </c>
      <c r="KB836" s="160">
        <v>0.0</v>
      </c>
      <c r="LH836" s="159">
        <f t="shared" si="10"/>
        <v>0</v>
      </c>
      <c r="LI836" s="156">
        <f t="shared" si="11"/>
        <v>0</v>
      </c>
      <c r="LJ836" s="156">
        <f t="shared" si="12"/>
        <v>0</v>
      </c>
      <c r="LK836" s="156">
        <f t="shared" si="13"/>
        <v>0</v>
      </c>
      <c r="LL836" s="156">
        <f t="shared" si="14"/>
        <v>0</v>
      </c>
      <c r="LM836" s="160">
        <f t="shared" si="15"/>
        <v>0</v>
      </c>
      <c r="QX836" s="633"/>
    </row>
    <row r="837">
      <c r="A837" s="12"/>
      <c r="B837" s="12"/>
      <c r="C837" s="12"/>
      <c r="D837" s="12"/>
      <c r="E837" s="12"/>
      <c r="F837" s="12"/>
      <c r="G837" s="12"/>
      <c r="H837" s="12"/>
      <c r="I837" s="143">
        <f t="shared" si="22"/>
        <v>0</v>
      </c>
      <c r="J837" s="108"/>
      <c r="K837" s="203"/>
      <c r="L837" s="108"/>
      <c r="V837" s="161"/>
      <c r="X837" s="140"/>
      <c r="Y837" s="166">
        <f t="shared" si="23"/>
        <v>0</v>
      </c>
      <c r="Z837" s="26">
        <f t="shared" si="7"/>
        <v>0</v>
      </c>
      <c r="AA837" s="26">
        <f t="shared" si="8"/>
        <v>0</v>
      </c>
      <c r="AB837" s="26">
        <f t="shared" si="9"/>
        <v>0</v>
      </c>
      <c r="AC837" s="156">
        <v>0.0</v>
      </c>
      <c r="AD837" s="156">
        <v>0.0</v>
      </c>
      <c r="AE837" s="156">
        <v>0.0</v>
      </c>
      <c r="AF837" s="156">
        <v>0.0</v>
      </c>
      <c r="AG837" s="156">
        <v>0.0</v>
      </c>
      <c r="AH837" s="156">
        <v>0.0</v>
      </c>
      <c r="BN837" s="155">
        <v>0.0</v>
      </c>
      <c r="BO837" s="155">
        <v>0.0</v>
      </c>
      <c r="BP837" s="155">
        <v>0.0</v>
      </c>
      <c r="BQ837" s="155">
        <v>0.0</v>
      </c>
      <c r="BR837" s="155">
        <v>0.0</v>
      </c>
      <c r="BS837" s="155">
        <v>0.0</v>
      </c>
      <c r="CV837" s="156">
        <v>0.0</v>
      </c>
      <c r="CW837" s="156">
        <v>0.0</v>
      </c>
      <c r="CX837" s="156">
        <v>0.0</v>
      </c>
      <c r="CY837" s="156">
        <v>0.0</v>
      </c>
      <c r="CZ837" s="156">
        <v>0.0</v>
      </c>
      <c r="DA837" s="156">
        <v>0.0</v>
      </c>
      <c r="EG837" s="156">
        <v>0.0</v>
      </c>
      <c r="EH837" s="156">
        <v>0.0</v>
      </c>
      <c r="EI837" s="156">
        <v>0.0</v>
      </c>
      <c r="EJ837" s="156">
        <v>0.0</v>
      </c>
      <c r="EK837" s="156">
        <v>0.0</v>
      </c>
      <c r="EL837" s="156">
        <v>0.0</v>
      </c>
      <c r="FQ837" s="156">
        <v>0.0</v>
      </c>
      <c r="FR837" s="156">
        <v>0.0</v>
      </c>
      <c r="FS837" s="156">
        <v>0.0</v>
      </c>
      <c r="FT837" s="156">
        <v>0.0</v>
      </c>
      <c r="FU837" s="156">
        <v>0.0</v>
      </c>
      <c r="FV837" s="156">
        <v>0.0</v>
      </c>
      <c r="FW837" s="157"/>
      <c r="FX837" s="157"/>
      <c r="FY837" s="157"/>
      <c r="FZ837" s="157"/>
      <c r="GA837" s="157"/>
      <c r="GB837" s="157"/>
      <c r="GC837" s="157"/>
      <c r="GD837" s="157"/>
      <c r="GE837" s="157"/>
      <c r="GF837" s="157"/>
      <c r="GG837" s="157"/>
      <c r="GH837" s="157"/>
      <c r="GI837" s="157"/>
      <c r="GJ837" s="157"/>
      <c r="GK837" s="157"/>
      <c r="GL837" s="157"/>
      <c r="GM837" s="157"/>
      <c r="GN837" s="157"/>
      <c r="GO837" s="157"/>
      <c r="GP837" s="158"/>
      <c r="GQ837" s="157"/>
      <c r="GR837" s="157"/>
      <c r="GS837" s="157"/>
      <c r="GT837" s="157"/>
      <c r="GU837" s="157"/>
      <c r="GV837" s="157"/>
      <c r="GW837" s="157"/>
      <c r="GX837" s="157"/>
      <c r="GY837" s="157"/>
      <c r="GZ837" s="157"/>
      <c r="HA837" s="157"/>
      <c r="HB837" s="155">
        <v>0.0</v>
      </c>
      <c r="HC837" s="155">
        <v>0.0</v>
      </c>
      <c r="HD837" s="155">
        <v>0.0</v>
      </c>
      <c r="HE837" s="155">
        <v>0.0</v>
      </c>
      <c r="HF837" s="155">
        <v>0.0</v>
      </c>
      <c r="HG837" s="155">
        <v>0.0</v>
      </c>
      <c r="IL837" s="159">
        <v>0.0</v>
      </c>
      <c r="IM837" s="156">
        <v>0.0</v>
      </c>
      <c r="IN837" s="156">
        <v>0.0</v>
      </c>
      <c r="IO837" s="156">
        <v>0.0</v>
      </c>
      <c r="IP837" s="156">
        <v>0.0</v>
      </c>
      <c r="IQ837" s="160">
        <v>0.0</v>
      </c>
      <c r="JH837" s="25"/>
      <c r="JW837" s="159">
        <v>0.0</v>
      </c>
      <c r="JX837" s="156">
        <v>0.0</v>
      </c>
      <c r="JY837" s="156">
        <v>0.0</v>
      </c>
      <c r="JZ837" s="156">
        <v>0.0</v>
      </c>
      <c r="KA837" s="156">
        <v>0.0</v>
      </c>
      <c r="KB837" s="160">
        <v>0.0</v>
      </c>
      <c r="LH837" s="159">
        <f t="shared" si="10"/>
        <v>0</v>
      </c>
      <c r="LI837" s="156">
        <f t="shared" si="11"/>
        <v>0</v>
      </c>
      <c r="LJ837" s="156">
        <f t="shared" si="12"/>
        <v>0</v>
      </c>
      <c r="LK837" s="156">
        <f t="shared" si="13"/>
        <v>0</v>
      </c>
      <c r="LL837" s="156">
        <f t="shared" si="14"/>
        <v>0</v>
      </c>
      <c r="LM837" s="160">
        <f t="shared" si="15"/>
        <v>0</v>
      </c>
      <c r="QX837" s="633"/>
    </row>
    <row r="838">
      <c r="A838" s="12"/>
      <c r="B838" s="12"/>
      <c r="C838" s="12"/>
      <c r="D838" s="12"/>
      <c r="E838" s="12"/>
      <c r="F838" s="12"/>
      <c r="G838" s="12"/>
      <c r="H838" s="12"/>
      <c r="I838" s="143">
        <f t="shared" si="22"/>
        <v>0</v>
      </c>
      <c r="J838" s="108"/>
      <c r="K838" s="203"/>
      <c r="L838" s="108"/>
      <c r="V838" s="161"/>
      <c r="X838" s="140"/>
      <c r="Y838" s="166">
        <f t="shared" si="23"/>
        <v>0</v>
      </c>
      <c r="Z838" s="26">
        <f t="shared" si="7"/>
        <v>0</v>
      </c>
      <c r="AA838" s="26">
        <f t="shared" si="8"/>
        <v>0</v>
      </c>
      <c r="AB838" s="26">
        <f t="shared" si="9"/>
        <v>0</v>
      </c>
      <c r="AC838" s="156">
        <v>0.0</v>
      </c>
      <c r="AD838" s="156">
        <v>0.0</v>
      </c>
      <c r="AE838" s="156">
        <v>0.0</v>
      </c>
      <c r="AF838" s="156">
        <v>0.0</v>
      </c>
      <c r="AG838" s="156">
        <v>0.0</v>
      </c>
      <c r="AH838" s="156">
        <v>0.0</v>
      </c>
      <c r="BN838" s="155">
        <v>0.0</v>
      </c>
      <c r="BO838" s="155">
        <v>0.0</v>
      </c>
      <c r="BP838" s="155">
        <v>0.0</v>
      </c>
      <c r="BQ838" s="155">
        <v>0.0</v>
      </c>
      <c r="BR838" s="155">
        <v>0.0</v>
      </c>
      <c r="BS838" s="155">
        <v>0.0</v>
      </c>
      <c r="CV838" s="156">
        <v>0.0</v>
      </c>
      <c r="CW838" s="156">
        <v>0.0</v>
      </c>
      <c r="CX838" s="156">
        <v>0.0</v>
      </c>
      <c r="CY838" s="156">
        <v>0.0</v>
      </c>
      <c r="CZ838" s="156">
        <v>0.0</v>
      </c>
      <c r="DA838" s="156">
        <v>0.0</v>
      </c>
      <c r="EG838" s="156">
        <v>0.0</v>
      </c>
      <c r="EH838" s="156">
        <v>0.0</v>
      </c>
      <c r="EI838" s="156">
        <v>0.0</v>
      </c>
      <c r="EJ838" s="156">
        <v>0.0</v>
      </c>
      <c r="EK838" s="156">
        <v>0.0</v>
      </c>
      <c r="EL838" s="156">
        <v>0.0</v>
      </c>
      <c r="FQ838" s="156">
        <v>0.0</v>
      </c>
      <c r="FR838" s="156">
        <v>0.0</v>
      </c>
      <c r="FS838" s="156">
        <v>0.0</v>
      </c>
      <c r="FT838" s="156">
        <v>0.0</v>
      </c>
      <c r="FU838" s="156">
        <v>0.0</v>
      </c>
      <c r="FV838" s="156">
        <v>0.0</v>
      </c>
      <c r="FW838" s="157"/>
      <c r="FX838" s="157"/>
      <c r="FY838" s="157"/>
      <c r="FZ838" s="157"/>
      <c r="GA838" s="157"/>
      <c r="GB838" s="157"/>
      <c r="GC838" s="157"/>
      <c r="GD838" s="157"/>
      <c r="GE838" s="157"/>
      <c r="GF838" s="157"/>
      <c r="GG838" s="157"/>
      <c r="GH838" s="157"/>
      <c r="GI838" s="157"/>
      <c r="GJ838" s="157"/>
      <c r="GK838" s="157"/>
      <c r="GL838" s="157"/>
      <c r="GM838" s="157"/>
      <c r="GN838" s="157"/>
      <c r="GO838" s="157"/>
      <c r="GP838" s="158"/>
      <c r="GQ838" s="157"/>
      <c r="GR838" s="157"/>
      <c r="GS838" s="157"/>
      <c r="GT838" s="157"/>
      <c r="GU838" s="157"/>
      <c r="GV838" s="157"/>
      <c r="GW838" s="157"/>
      <c r="GX838" s="157"/>
      <c r="GY838" s="157"/>
      <c r="GZ838" s="157"/>
      <c r="HA838" s="157"/>
      <c r="HB838" s="155">
        <v>0.0</v>
      </c>
      <c r="HC838" s="155">
        <v>0.0</v>
      </c>
      <c r="HD838" s="155">
        <v>0.0</v>
      </c>
      <c r="HE838" s="155">
        <v>0.0</v>
      </c>
      <c r="HF838" s="155">
        <v>0.0</v>
      </c>
      <c r="HG838" s="155">
        <v>0.0</v>
      </c>
      <c r="IL838" s="159">
        <v>0.0</v>
      </c>
      <c r="IM838" s="156">
        <v>0.0</v>
      </c>
      <c r="IN838" s="156">
        <v>0.0</v>
      </c>
      <c r="IO838" s="156">
        <v>0.0</v>
      </c>
      <c r="IP838" s="156">
        <v>0.0</v>
      </c>
      <c r="IQ838" s="160">
        <v>0.0</v>
      </c>
      <c r="JH838" s="25"/>
      <c r="JW838" s="159">
        <v>0.0</v>
      </c>
      <c r="JX838" s="156">
        <v>0.0</v>
      </c>
      <c r="JY838" s="156">
        <v>0.0</v>
      </c>
      <c r="JZ838" s="156">
        <v>0.0</v>
      </c>
      <c r="KA838" s="156">
        <v>0.0</v>
      </c>
      <c r="KB838" s="160">
        <v>0.0</v>
      </c>
      <c r="LH838" s="159">
        <f t="shared" si="10"/>
        <v>0</v>
      </c>
      <c r="LI838" s="156">
        <f t="shared" si="11"/>
        <v>0</v>
      </c>
      <c r="LJ838" s="156">
        <f t="shared" si="12"/>
        <v>0</v>
      </c>
      <c r="LK838" s="156">
        <f t="shared" si="13"/>
        <v>0</v>
      </c>
      <c r="LL838" s="156">
        <f t="shared" si="14"/>
        <v>0</v>
      </c>
      <c r="LM838" s="160">
        <f t="shared" si="15"/>
        <v>0</v>
      </c>
      <c r="QX838" s="633"/>
    </row>
    <row r="839">
      <c r="A839" s="12"/>
      <c r="B839" s="12"/>
      <c r="C839" s="12"/>
      <c r="D839" s="12"/>
      <c r="E839" s="12"/>
      <c r="F839" s="12"/>
      <c r="G839" s="12"/>
      <c r="H839" s="12"/>
      <c r="I839" s="143">
        <f t="shared" si="22"/>
        <v>0</v>
      </c>
      <c r="J839" s="108"/>
      <c r="K839" s="203"/>
      <c r="L839" s="108"/>
      <c r="V839" s="161"/>
      <c r="X839" s="140"/>
      <c r="Y839" s="166">
        <f t="shared" si="23"/>
        <v>0</v>
      </c>
      <c r="Z839" s="26">
        <f t="shared" si="7"/>
        <v>0</v>
      </c>
      <c r="AA839" s="26">
        <f t="shared" si="8"/>
        <v>0</v>
      </c>
      <c r="AB839" s="26">
        <f t="shared" si="9"/>
        <v>0</v>
      </c>
      <c r="AC839" s="156">
        <v>0.0</v>
      </c>
      <c r="AD839" s="156">
        <v>0.0</v>
      </c>
      <c r="AE839" s="156">
        <v>0.0</v>
      </c>
      <c r="AF839" s="156">
        <v>0.0</v>
      </c>
      <c r="AG839" s="156">
        <v>0.0</v>
      </c>
      <c r="AH839" s="156">
        <v>0.0</v>
      </c>
      <c r="BN839" s="155">
        <v>0.0</v>
      </c>
      <c r="BO839" s="155">
        <v>0.0</v>
      </c>
      <c r="BP839" s="155">
        <v>0.0</v>
      </c>
      <c r="BQ839" s="155">
        <v>0.0</v>
      </c>
      <c r="BR839" s="155">
        <v>0.0</v>
      </c>
      <c r="BS839" s="155">
        <v>0.0</v>
      </c>
      <c r="CV839" s="156">
        <v>0.0</v>
      </c>
      <c r="CW839" s="156">
        <v>0.0</v>
      </c>
      <c r="CX839" s="156">
        <v>0.0</v>
      </c>
      <c r="CY839" s="156">
        <v>0.0</v>
      </c>
      <c r="CZ839" s="156">
        <v>0.0</v>
      </c>
      <c r="DA839" s="156">
        <v>0.0</v>
      </c>
      <c r="EG839" s="156">
        <v>0.0</v>
      </c>
      <c r="EH839" s="156">
        <v>0.0</v>
      </c>
      <c r="EI839" s="156">
        <v>0.0</v>
      </c>
      <c r="EJ839" s="156">
        <v>0.0</v>
      </c>
      <c r="EK839" s="156">
        <v>0.0</v>
      </c>
      <c r="EL839" s="156">
        <v>0.0</v>
      </c>
      <c r="FQ839" s="156">
        <v>0.0</v>
      </c>
      <c r="FR839" s="156">
        <v>0.0</v>
      </c>
      <c r="FS839" s="156">
        <v>0.0</v>
      </c>
      <c r="FT839" s="156">
        <v>0.0</v>
      </c>
      <c r="FU839" s="156">
        <v>0.0</v>
      </c>
      <c r="FV839" s="156">
        <v>0.0</v>
      </c>
      <c r="FW839" s="157"/>
      <c r="FX839" s="157"/>
      <c r="FY839" s="157"/>
      <c r="FZ839" s="157"/>
      <c r="GA839" s="157"/>
      <c r="GB839" s="157"/>
      <c r="GC839" s="157"/>
      <c r="GD839" s="157"/>
      <c r="GE839" s="157"/>
      <c r="GF839" s="157"/>
      <c r="GG839" s="157"/>
      <c r="GH839" s="157"/>
      <c r="GI839" s="157"/>
      <c r="GJ839" s="157"/>
      <c r="GK839" s="157"/>
      <c r="GL839" s="157"/>
      <c r="GM839" s="157"/>
      <c r="GN839" s="157"/>
      <c r="GO839" s="157"/>
      <c r="GP839" s="158"/>
      <c r="GQ839" s="157"/>
      <c r="GR839" s="157"/>
      <c r="GS839" s="157"/>
      <c r="GT839" s="157"/>
      <c r="GU839" s="157"/>
      <c r="GV839" s="157"/>
      <c r="GW839" s="157"/>
      <c r="GX839" s="157"/>
      <c r="GY839" s="157"/>
      <c r="GZ839" s="157"/>
      <c r="HA839" s="157"/>
      <c r="HB839" s="155">
        <v>0.0</v>
      </c>
      <c r="HC839" s="155">
        <v>0.0</v>
      </c>
      <c r="HD839" s="155">
        <v>0.0</v>
      </c>
      <c r="HE839" s="155">
        <v>0.0</v>
      </c>
      <c r="HF839" s="155">
        <v>0.0</v>
      </c>
      <c r="HG839" s="155">
        <v>0.0</v>
      </c>
      <c r="IL839" s="159">
        <v>0.0</v>
      </c>
      <c r="IM839" s="156">
        <v>0.0</v>
      </c>
      <c r="IN839" s="156">
        <v>0.0</v>
      </c>
      <c r="IO839" s="156">
        <v>0.0</v>
      </c>
      <c r="IP839" s="156">
        <v>0.0</v>
      </c>
      <c r="IQ839" s="160">
        <v>0.0</v>
      </c>
      <c r="JH839" s="25"/>
      <c r="JW839" s="159">
        <v>0.0</v>
      </c>
      <c r="JX839" s="156">
        <v>0.0</v>
      </c>
      <c r="JY839" s="156">
        <v>0.0</v>
      </c>
      <c r="JZ839" s="156">
        <v>0.0</v>
      </c>
      <c r="KA839" s="156">
        <v>0.0</v>
      </c>
      <c r="KB839" s="160">
        <v>0.0</v>
      </c>
      <c r="LH839" s="159">
        <f t="shared" si="10"/>
        <v>0</v>
      </c>
      <c r="LI839" s="156">
        <f t="shared" si="11"/>
        <v>0</v>
      </c>
      <c r="LJ839" s="156">
        <f t="shared" si="12"/>
        <v>0</v>
      </c>
      <c r="LK839" s="156">
        <f t="shared" si="13"/>
        <v>0</v>
      </c>
      <c r="LL839" s="156">
        <f t="shared" si="14"/>
        <v>0</v>
      </c>
      <c r="LM839" s="160">
        <f t="shared" si="15"/>
        <v>0</v>
      </c>
      <c r="QX839" s="633"/>
    </row>
    <row r="840">
      <c r="A840" s="12"/>
      <c r="B840" s="12"/>
      <c r="C840" s="12"/>
      <c r="D840" s="12"/>
      <c r="E840" s="12"/>
      <c r="F840" s="12"/>
      <c r="G840" s="12"/>
      <c r="H840" s="12"/>
      <c r="I840" s="143">
        <f t="shared" si="22"/>
        <v>0</v>
      </c>
      <c r="J840" s="108"/>
      <c r="K840" s="203"/>
      <c r="L840" s="108"/>
      <c r="V840" s="161"/>
      <c r="X840" s="140"/>
      <c r="Y840" s="166">
        <f t="shared" si="23"/>
        <v>0</v>
      </c>
      <c r="Z840" s="26">
        <f t="shared" si="7"/>
        <v>0</v>
      </c>
      <c r="AA840" s="26">
        <f t="shared" si="8"/>
        <v>0</v>
      </c>
      <c r="AB840" s="26">
        <f t="shared" si="9"/>
        <v>0</v>
      </c>
      <c r="AC840" s="156">
        <v>0.0</v>
      </c>
      <c r="AD840" s="156">
        <v>0.0</v>
      </c>
      <c r="AE840" s="156">
        <v>0.0</v>
      </c>
      <c r="AF840" s="156">
        <v>0.0</v>
      </c>
      <c r="AG840" s="156">
        <v>0.0</v>
      </c>
      <c r="AH840" s="156">
        <v>0.0</v>
      </c>
      <c r="BN840" s="155">
        <v>0.0</v>
      </c>
      <c r="BO840" s="155">
        <v>0.0</v>
      </c>
      <c r="BP840" s="155">
        <v>0.0</v>
      </c>
      <c r="BQ840" s="155">
        <v>0.0</v>
      </c>
      <c r="BR840" s="155">
        <v>0.0</v>
      </c>
      <c r="BS840" s="155">
        <v>0.0</v>
      </c>
      <c r="CV840" s="156">
        <v>0.0</v>
      </c>
      <c r="CW840" s="156">
        <v>0.0</v>
      </c>
      <c r="CX840" s="156">
        <v>0.0</v>
      </c>
      <c r="CY840" s="156">
        <v>0.0</v>
      </c>
      <c r="CZ840" s="156">
        <v>0.0</v>
      </c>
      <c r="DA840" s="156">
        <v>0.0</v>
      </c>
      <c r="EG840" s="156">
        <v>0.0</v>
      </c>
      <c r="EH840" s="156">
        <v>0.0</v>
      </c>
      <c r="EI840" s="156">
        <v>0.0</v>
      </c>
      <c r="EJ840" s="156">
        <v>0.0</v>
      </c>
      <c r="EK840" s="156">
        <v>0.0</v>
      </c>
      <c r="EL840" s="156">
        <v>0.0</v>
      </c>
      <c r="FQ840" s="156">
        <v>0.0</v>
      </c>
      <c r="FR840" s="156">
        <v>0.0</v>
      </c>
      <c r="FS840" s="156">
        <v>0.0</v>
      </c>
      <c r="FT840" s="156">
        <v>0.0</v>
      </c>
      <c r="FU840" s="156">
        <v>0.0</v>
      </c>
      <c r="FV840" s="156">
        <v>0.0</v>
      </c>
      <c r="FW840" s="157"/>
      <c r="FX840" s="157"/>
      <c r="FY840" s="157"/>
      <c r="FZ840" s="157"/>
      <c r="GA840" s="157"/>
      <c r="GB840" s="157"/>
      <c r="GC840" s="157"/>
      <c r="GD840" s="157"/>
      <c r="GE840" s="157"/>
      <c r="GF840" s="157"/>
      <c r="GG840" s="157"/>
      <c r="GH840" s="157"/>
      <c r="GI840" s="157"/>
      <c r="GJ840" s="157"/>
      <c r="GK840" s="157"/>
      <c r="GL840" s="157"/>
      <c r="GM840" s="157"/>
      <c r="GN840" s="157"/>
      <c r="GO840" s="157"/>
      <c r="GP840" s="158"/>
      <c r="GQ840" s="157"/>
      <c r="GR840" s="157"/>
      <c r="GS840" s="157"/>
      <c r="GT840" s="157"/>
      <c r="GU840" s="157"/>
      <c r="GV840" s="157"/>
      <c r="GW840" s="157"/>
      <c r="GX840" s="157"/>
      <c r="GY840" s="157"/>
      <c r="GZ840" s="157"/>
      <c r="HA840" s="157"/>
      <c r="HB840" s="155">
        <v>0.0</v>
      </c>
      <c r="HC840" s="155">
        <v>0.0</v>
      </c>
      <c r="HD840" s="155">
        <v>0.0</v>
      </c>
      <c r="HE840" s="155">
        <v>0.0</v>
      </c>
      <c r="HF840" s="155">
        <v>0.0</v>
      </c>
      <c r="HG840" s="155">
        <v>0.0</v>
      </c>
      <c r="IL840" s="159">
        <v>0.0</v>
      </c>
      <c r="IM840" s="156">
        <v>0.0</v>
      </c>
      <c r="IN840" s="156">
        <v>0.0</v>
      </c>
      <c r="IO840" s="156">
        <v>0.0</v>
      </c>
      <c r="IP840" s="156">
        <v>0.0</v>
      </c>
      <c r="IQ840" s="160">
        <v>0.0</v>
      </c>
      <c r="JH840" s="25"/>
      <c r="JW840" s="159">
        <v>0.0</v>
      </c>
      <c r="JX840" s="156">
        <v>0.0</v>
      </c>
      <c r="JY840" s="156">
        <v>0.0</v>
      </c>
      <c r="JZ840" s="156">
        <v>0.0</v>
      </c>
      <c r="KA840" s="156">
        <v>0.0</v>
      </c>
      <c r="KB840" s="160">
        <v>0.0</v>
      </c>
      <c r="LH840" s="159">
        <f t="shared" si="10"/>
        <v>0</v>
      </c>
      <c r="LI840" s="156">
        <f t="shared" si="11"/>
        <v>0</v>
      </c>
      <c r="LJ840" s="156">
        <f t="shared" si="12"/>
        <v>0</v>
      </c>
      <c r="LK840" s="156">
        <f t="shared" si="13"/>
        <v>0</v>
      </c>
      <c r="LL840" s="156">
        <f t="shared" si="14"/>
        <v>0</v>
      </c>
      <c r="LM840" s="160">
        <f t="shared" si="15"/>
        <v>0</v>
      </c>
      <c r="QX840" s="633"/>
    </row>
    <row r="841">
      <c r="A841" s="12"/>
      <c r="B841" s="12"/>
      <c r="C841" s="12"/>
      <c r="D841" s="12"/>
      <c r="E841" s="12"/>
      <c r="F841" s="12"/>
      <c r="G841" s="12"/>
      <c r="H841" s="12"/>
      <c r="I841" s="143">
        <f t="shared" si="22"/>
        <v>0</v>
      </c>
      <c r="J841" s="108"/>
      <c r="K841" s="203"/>
      <c r="L841" s="108"/>
      <c r="V841" s="161"/>
      <c r="X841" s="140"/>
      <c r="Y841" s="166">
        <f t="shared" si="23"/>
        <v>0</v>
      </c>
      <c r="Z841" s="26">
        <f t="shared" si="7"/>
        <v>0</v>
      </c>
      <c r="AA841" s="26">
        <f t="shared" si="8"/>
        <v>0</v>
      </c>
      <c r="AB841" s="26">
        <f t="shared" si="9"/>
        <v>0</v>
      </c>
      <c r="AC841" s="156">
        <v>0.0</v>
      </c>
      <c r="AD841" s="156">
        <v>0.0</v>
      </c>
      <c r="AE841" s="156">
        <v>0.0</v>
      </c>
      <c r="AF841" s="156">
        <v>0.0</v>
      </c>
      <c r="AG841" s="156">
        <v>0.0</v>
      </c>
      <c r="AH841" s="156">
        <v>0.0</v>
      </c>
      <c r="BN841" s="155">
        <v>0.0</v>
      </c>
      <c r="BO841" s="155">
        <v>0.0</v>
      </c>
      <c r="BP841" s="155">
        <v>0.0</v>
      </c>
      <c r="BQ841" s="155">
        <v>0.0</v>
      </c>
      <c r="BR841" s="155">
        <v>0.0</v>
      </c>
      <c r="BS841" s="155">
        <v>0.0</v>
      </c>
      <c r="CV841" s="156">
        <v>0.0</v>
      </c>
      <c r="CW841" s="156">
        <v>0.0</v>
      </c>
      <c r="CX841" s="156">
        <v>0.0</v>
      </c>
      <c r="CY841" s="156">
        <v>0.0</v>
      </c>
      <c r="CZ841" s="156">
        <v>0.0</v>
      </c>
      <c r="DA841" s="156">
        <v>0.0</v>
      </c>
      <c r="EG841" s="156">
        <v>0.0</v>
      </c>
      <c r="EH841" s="156">
        <v>0.0</v>
      </c>
      <c r="EI841" s="156">
        <v>0.0</v>
      </c>
      <c r="EJ841" s="156">
        <v>0.0</v>
      </c>
      <c r="EK841" s="156">
        <v>0.0</v>
      </c>
      <c r="EL841" s="156">
        <v>0.0</v>
      </c>
      <c r="FQ841" s="156">
        <v>0.0</v>
      </c>
      <c r="FR841" s="156">
        <v>0.0</v>
      </c>
      <c r="FS841" s="156">
        <v>0.0</v>
      </c>
      <c r="FT841" s="156">
        <v>0.0</v>
      </c>
      <c r="FU841" s="156">
        <v>0.0</v>
      </c>
      <c r="FV841" s="156">
        <v>0.0</v>
      </c>
      <c r="FW841" s="157"/>
      <c r="FX841" s="157"/>
      <c r="FY841" s="157"/>
      <c r="FZ841" s="157"/>
      <c r="GA841" s="157"/>
      <c r="GB841" s="157"/>
      <c r="GC841" s="157"/>
      <c r="GD841" s="157"/>
      <c r="GE841" s="157"/>
      <c r="GF841" s="157"/>
      <c r="GG841" s="157"/>
      <c r="GH841" s="157"/>
      <c r="GI841" s="157"/>
      <c r="GJ841" s="157"/>
      <c r="GK841" s="157"/>
      <c r="GL841" s="157"/>
      <c r="GM841" s="157"/>
      <c r="GN841" s="157"/>
      <c r="GO841" s="157"/>
      <c r="GP841" s="158"/>
      <c r="GQ841" s="157"/>
      <c r="GR841" s="157"/>
      <c r="GS841" s="157"/>
      <c r="GT841" s="157"/>
      <c r="GU841" s="157"/>
      <c r="GV841" s="157"/>
      <c r="GW841" s="157"/>
      <c r="GX841" s="157"/>
      <c r="GY841" s="157"/>
      <c r="GZ841" s="157"/>
      <c r="HA841" s="157"/>
      <c r="HB841" s="155">
        <v>0.0</v>
      </c>
      <c r="HC841" s="155">
        <v>0.0</v>
      </c>
      <c r="HD841" s="155">
        <v>0.0</v>
      </c>
      <c r="HE841" s="155">
        <v>0.0</v>
      </c>
      <c r="HF841" s="155">
        <v>0.0</v>
      </c>
      <c r="HG841" s="155">
        <v>0.0</v>
      </c>
      <c r="IL841" s="159">
        <v>0.0</v>
      </c>
      <c r="IM841" s="156">
        <v>0.0</v>
      </c>
      <c r="IN841" s="156">
        <v>0.0</v>
      </c>
      <c r="IO841" s="156">
        <v>0.0</v>
      </c>
      <c r="IP841" s="156">
        <v>0.0</v>
      </c>
      <c r="IQ841" s="160">
        <v>0.0</v>
      </c>
      <c r="JH841" s="25"/>
      <c r="JW841" s="159">
        <v>0.0</v>
      </c>
      <c r="JX841" s="156">
        <v>0.0</v>
      </c>
      <c r="JY841" s="156">
        <v>0.0</v>
      </c>
      <c r="JZ841" s="156">
        <v>0.0</v>
      </c>
      <c r="KA841" s="156">
        <v>0.0</v>
      </c>
      <c r="KB841" s="160">
        <v>0.0</v>
      </c>
      <c r="LH841" s="159">
        <f t="shared" si="10"/>
        <v>0</v>
      </c>
      <c r="LI841" s="156">
        <f t="shared" si="11"/>
        <v>0</v>
      </c>
      <c r="LJ841" s="156">
        <f t="shared" si="12"/>
        <v>0</v>
      </c>
      <c r="LK841" s="156">
        <f t="shared" si="13"/>
        <v>0</v>
      </c>
      <c r="LL841" s="156">
        <f t="shared" si="14"/>
        <v>0</v>
      </c>
      <c r="LM841" s="160">
        <f t="shared" si="15"/>
        <v>0</v>
      </c>
      <c r="QX841" s="633"/>
    </row>
    <row r="842">
      <c r="A842" s="12"/>
      <c r="B842" s="12"/>
      <c r="C842" s="12"/>
      <c r="D842" s="12"/>
      <c r="E842" s="12"/>
      <c r="F842" s="12"/>
      <c r="G842" s="12"/>
      <c r="H842" s="12"/>
      <c r="I842" s="143">
        <f t="shared" si="22"/>
        <v>0</v>
      </c>
      <c r="J842" s="108"/>
      <c r="K842" s="203"/>
      <c r="L842" s="108"/>
      <c r="V842" s="161"/>
      <c r="X842" s="140"/>
      <c r="Y842" s="166">
        <f t="shared" si="23"/>
        <v>0</v>
      </c>
      <c r="Z842" s="26">
        <f t="shared" si="7"/>
        <v>0</v>
      </c>
      <c r="AA842" s="26">
        <f t="shared" si="8"/>
        <v>0</v>
      </c>
      <c r="AB842" s="26">
        <f t="shared" si="9"/>
        <v>0</v>
      </c>
      <c r="AC842" s="156">
        <v>0.0</v>
      </c>
      <c r="AD842" s="156">
        <v>0.0</v>
      </c>
      <c r="AE842" s="156">
        <v>0.0</v>
      </c>
      <c r="AF842" s="156">
        <v>0.0</v>
      </c>
      <c r="AG842" s="156">
        <v>0.0</v>
      </c>
      <c r="AH842" s="156">
        <v>0.0</v>
      </c>
      <c r="BN842" s="155">
        <v>0.0</v>
      </c>
      <c r="BO842" s="155">
        <v>0.0</v>
      </c>
      <c r="BP842" s="155">
        <v>0.0</v>
      </c>
      <c r="BQ842" s="155">
        <v>0.0</v>
      </c>
      <c r="BR842" s="155">
        <v>0.0</v>
      </c>
      <c r="BS842" s="155">
        <v>0.0</v>
      </c>
      <c r="CV842" s="156">
        <v>0.0</v>
      </c>
      <c r="CW842" s="156">
        <v>0.0</v>
      </c>
      <c r="CX842" s="156">
        <v>0.0</v>
      </c>
      <c r="CY842" s="156">
        <v>0.0</v>
      </c>
      <c r="CZ842" s="156">
        <v>0.0</v>
      </c>
      <c r="DA842" s="156">
        <v>0.0</v>
      </c>
      <c r="EG842" s="156">
        <v>0.0</v>
      </c>
      <c r="EH842" s="156">
        <v>0.0</v>
      </c>
      <c r="EI842" s="156">
        <v>0.0</v>
      </c>
      <c r="EJ842" s="156">
        <v>0.0</v>
      </c>
      <c r="EK842" s="156">
        <v>0.0</v>
      </c>
      <c r="EL842" s="156">
        <v>0.0</v>
      </c>
      <c r="FQ842" s="156">
        <v>0.0</v>
      </c>
      <c r="FR842" s="156">
        <v>0.0</v>
      </c>
      <c r="FS842" s="156">
        <v>0.0</v>
      </c>
      <c r="FT842" s="156">
        <v>0.0</v>
      </c>
      <c r="FU842" s="156">
        <v>0.0</v>
      </c>
      <c r="FV842" s="156">
        <v>0.0</v>
      </c>
      <c r="FW842" s="157"/>
      <c r="FX842" s="157"/>
      <c r="FY842" s="157"/>
      <c r="FZ842" s="157"/>
      <c r="GA842" s="157"/>
      <c r="GB842" s="157"/>
      <c r="GC842" s="157"/>
      <c r="GD842" s="157"/>
      <c r="GE842" s="157"/>
      <c r="GF842" s="157"/>
      <c r="GG842" s="157"/>
      <c r="GH842" s="157"/>
      <c r="GI842" s="157"/>
      <c r="GJ842" s="157"/>
      <c r="GK842" s="157"/>
      <c r="GL842" s="157"/>
      <c r="GM842" s="157"/>
      <c r="GN842" s="157"/>
      <c r="GO842" s="157"/>
      <c r="GP842" s="158"/>
      <c r="GQ842" s="157"/>
      <c r="GR842" s="157"/>
      <c r="GS842" s="157"/>
      <c r="GT842" s="157"/>
      <c r="GU842" s="157"/>
      <c r="GV842" s="157"/>
      <c r="GW842" s="157"/>
      <c r="GX842" s="157"/>
      <c r="GY842" s="157"/>
      <c r="GZ842" s="157"/>
      <c r="HA842" s="157"/>
      <c r="HB842" s="155">
        <v>0.0</v>
      </c>
      <c r="HC842" s="155">
        <v>0.0</v>
      </c>
      <c r="HD842" s="155">
        <v>0.0</v>
      </c>
      <c r="HE842" s="155">
        <v>0.0</v>
      </c>
      <c r="HF842" s="155">
        <v>0.0</v>
      </c>
      <c r="HG842" s="155">
        <v>0.0</v>
      </c>
      <c r="IL842" s="159">
        <v>0.0</v>
      </c>
      <c r="IM842" s="156">
        <v>0.0</v>
      </c>
      <c r="IN842" s="156">
        <v>0.0</v>
      </c>
      <c r="IO842" s="156">
        <v>0.0</v>
      </c>
      <c r="IP842" s="156">
        <v>0.0</v>
      </c>
      <c r="IQ842" s="160">
        <v>0.0</v>
      </c>
      <c r="JH842" s="25"/>
      <c r="JW842" s="159">
        <v>0.0</v>
      </c>
      <c r="JX842" s="156">
        <v>0.0</v>
      </c>
      <c r="JY842" s="156">
        <v>0.0</v>
      </c>
      <c r="JZ842" s="156">
        <v>0.0</v>
      </c>
      <c r="KA842" s="156">
        <v>0.0</v>
      </c>
      <c r="KB842" s="160">
        <v>0.0</v>
      </c>
      <c r="LH842" s="159">
        <f t="shared" si="10"/>
        <v>0</v>
      </c>
      <c r="LI842" s="156">
        <f t="shared" si="11"/>
        <v>0</v>
      </c>
      <c r="LJ842" s="156">
        <f t="shared" si="12"/>
        <v>0</v>
      </c>
      <c r="LK842" s="156">
        <f t="shared" si="13"/>
        <v>0</v>
      </c>
      <c r="LL842" s="156">
        <f t="shared" si="14"/>
        <v>0</v>
      </c>
      <c r="LM842" s="160">
        <f t="shared" si="15"/>
        <v>0</v>
      </c>
      <c r="QX842" s="633"/>
    </row>
    <row r="843">
      <c r="A843" s="12"/>
      <c r="B843" s="12"/>
      <c r="C843" s="12"/>
      <c r="D843" s="12"/>
      <c r="E843" s="12"/>
      <c r="F843" s="12"/>
      <c r="G843" s="12"/>
      <c r="H843" s="12"/>
      <c r="I843" s="143">
        <f t="shared" si="22"/>
        <v>0</v>
      </c>
      <c r="J843" s="108"/>
      <c r="K843" s="203"/>
      <c r="L843" s="108"/>
      <c r="V843" s="161"/>
      <c r="X843" s="140"/>
      <c r="Y843" s="166">
        <f t="shared" si="23"/>
        <v>0</v>
      </c>
      <c r="Z843" s="26">
        <f t="shared" si="7"/>
        <v>0</v>
      </c>
      <c r="AA843" s="26">
        <f t="shared" si="8"/>
        <v>0</v>
      </c>
      <c r="AB843" s="26">
        <f t="shared" si="9"/>
        <v>0</v>
      </c>
      <c r="AC843" s="156">
        <v>0.0</v>
      </c>
      <c r="AD843" s="156">
        <v>0.0</v>
      </c>
      <c r="AE843" s="156">
        <v>0.0</v>
      </c>
      <c r="AF843" s="156">
        <v>0.0</v>
      </c>
      <c r="AG843" s="156">
        <v>0.0</v>
      </c>
      <c r="AH843" s="156">
        <v>0.0</v>
      </c>
      <c r="BN843" s="155">
        <v>0.0</v>
      </c>
      <c r="BO843" s="155">
        <v>0.0</v>
      </c>
      <c r="BP843" s="155">
        <v>0.0</v>
      </c>
      <c r="BQ843" s="155">
        <v>0.0</v>
      </c>
      <c r="BR843" s="155">
        <v>0.0</v>
      </c>
      <c r="BS843" s="155">
        <v>0.0</v>
      </c>
      <c r="CV843" s="156">
        <v>0.0</v>
      </c>
      <c r="CW843" s="156">
        <v>0.0</v>
      </c>
      <c r="CX843" s="156">
        <v>0.0</v>
      </c>
      <c r="CY843" s="156">
        <v>0.0</v>
      </c>
      <c r="CZ843" s="156">
        <v>0.0</v>
      </c>
      <c r="DA843" s="156">
        <v>0.0</v>
      </c>
      <c r="EG843" s="156">
        <v>0.0</v>
      </c>
      <c r="EH843" s="156">
        <v>0.0</v>
      </c>
      <c r="EI843" s="156">
        <v>0.0</v>
      </c>
      <c r="EJ843" s="156">
        <v>0.0</v>
      </c>
      <c r="EK843" s="156">
        <v>0.0</v>
      </c>
      <c r="EL843" s="156">
        <v>0.0</v>
      </c>
      <c r="FQ843" s="156">
        <v>0.0</v>
      </c>
      <c r="FR843" s="156">
        <v>0.0</v>
      </c>
      <c r="FS843" s="156">
        <v>0.0</v>
      </c>
      <c r="FT843" s="156">
        <v>0.0</v>
      </c>
      <c r="FU843" s="156">
        <v>0.0</v>
      </c>
      <c r="FV843" s="156">
        <v>0.0</v>
      </c>
      <c r="FW843" s="157"/>
      <c r="FX843" s="157"/>
      <c r="FY843" s="157"/>
      <c r="FZ843" s="157"/>
      <c r="GA843" s="157"/>
      <c r="GB843" s="157"/>
      <c r="GC843" s="157"/>
      <c r="GD843" s="157"/>
      <c r="GE843" s="157"/>
      <c r="GF843" s="157"/>
      <c r="GG843" s="157"/>
      <c r="GH843" s="157"/>
      <c r="GI843" s="157"/>
      <c r="GJ843" s="157"/>
      <c r="GK843" s="157"/>
      <c r="GL843" s="157"/>
      <c r="GM843" s="157"/>
      <c r="GN843" s="157"/>
      <c r="GO843" s="157"/>
      <c r="GP843" s="158"/>
      <c r="GQ843" s="157"/>
      <c r="GR843" s="157"/>
      <c r="GS843" s="157"/>
      <c r="GT843" s="157"/>
      <c r="GU843" s="157"/>
      <c r="GV843" s="157"/>
      <c r="GW843" s="157"/>
      <c r="GX843" s="157"/>
      <c r="GY843" s="157"/>
      <c r="GZ843" s="157"/>
      <c r="HA843" s="157"/>
      <c r="HB843" s="155">
        <v>0.0</v>
      </c>
      <c r="HC843" s="155">
        <v>0.0</v>
      </c>
      <c r="HD843" s="155">
        <v>0.0</v>
      </c>
      <c r="HE843" s="155">
        <v>0.0</v>
      </c>
      <c r="HF843" s="155">
        <v>0.0</v>
      </c>
      <c r="HG843" s="155">
        <v>0.0</v>
      </c>
      <c r="IL843" s="159">
        <v>0.0</v>
      </c>
      <c r="IM843" s="156">
        <v>0.0</v>
      </c>
      <c r="IN843" s="156">
        <v>0.0</v>
      </c>
      <c r="IO843" s="156">
        <v>0.0</v>
      </c>
      <c r="IP843" s="156">
        <v>0.0</v>
      </c>
      <c r="IQ843" s="160">
        <v>0.0</v>
      </c>
      <c r="JH843" s="25"/>
      <c r="JW843" s="159">
        <v>0.0</v>
      </c>
      <c r="JX843" s="156">
        <v>0.0</v>
      </c>
      <c r="JY843" s="156">
        <v>0.0</v>
      </c>
      <c r="JZ843" s="156">
        <v>0.0</v>
      </c>
      <c r="KA843" s="156">
        <v>0.0</v>
      </c>
      <c r="KB843" s="160">
        <v>0.0</v>
      </c>
      <c r="LH843" s="159">
        <f t="shared" si="10"/>
        <v>0</v>
      </c>
      <c r="LI843" s="156">
        <f t="shared" si="11"/>
        <v>0</v>
      </c>
      <c r="LJ843" s="156">
        <f t="shared" si="12"/>
        <v>0</v>
      </c>
      <c r="LK843" s="156">
        <f t="shared" si="13"/>
        <v>0</v>
      </c>
      <c r="LL843" s="156">
        <f t="shared" si="14"/>
        <v>0</v>
      </c>
      <c r="LM843" s="160">
        <f t="shared" si="15"/>
        <v>0</v>
      </c>
      <c r="QX843" s="633"/>
    </row>
    <row r="844">
      <c r="A844" s="12"/>
      <c r="B844" s="12"/>
      <c r="C844" s="12"/>
      <c r="D844" s="12"/>
      <c r="E844" s="12"/>
      <c r="F844" s="12"/>
      <c r="G844" s="12"/>
      <c r="H844" s="12"/>
      <c r="I844" s="143">
        <f t="shared" si="22"/>
        <v>0</v>
      </c>
      <c r="J844" s="108"/>
      <c r="K844" s="203"/>
      <c r="L844" s="108"/>
      <c r="V844" s="161"/>
      <c r="X844" s="140"/>
      <c r="Y844" s="166">
        <f t="shared" si="23"/>
        <v>0</v>
      </c>
      <c r="Z844" s="26">
        <f t="shared" si="7"/>
        <v>0</v>
      </c>
      <c r="AA844" s="26">
        <f t="shared" si="8"/>
        <v>0</v>
      </c>
      <c r="AB844" s="26">
        <f t="shared" si="9"/>
        <v>0</v>
      </c>
      <c r="AC844" s="156">
        <v>0.0</v>
      </c>
      <c r="AD844" s="156">
        <v>0.0</v>
      </c>
      <c r="AE844" s="156">
        <v>0.0</v>
      </c>
      <c r="AF844" s="156">
        <v>0.0</v>
      </c>
      <c r="AG844" s="156">
        <v>0.0</v>
      </c>
      <c r="AH844" s="156">
        <v>0.0</v>
      </c>
      <c r="BN844" s="155">
        <v>0.0</v>
      </c>
      <c r="BO844" s="155">
        <v>0.0</v>
      </c>
      <c r="BP844" s="155">
        <v>0.0</v>
      </c>
      <c r="BQ844" s="155">
        <v>0.0</v>
      </c>
      <c r="BR844" s="155">
        <v>0.0</v>
      </c>
      <c r="BS844" s="155">
        <v>0.0</v>
      </c>
      <c r="CV844" s="156">
        <v>0.0</v>
      </c>
      <c r="CW844" s="156">
        <v>0.0</v>
      </c>
      <c r="CX844" s="156">
        <v>0.0</v>
      </c>
      <c r="CY844" s="156">
        <v>0.0</v>
      </c>
      <c r="CZ844" s="156">
        <v>0.0</v>
      </c>
      <c r="DA844" s="156">
        <v>0.0</v>
      </c>
      <c r="EG844" s="156">
        <v>0.0</v>
      </c>
      <c r="EH844" s="156">
        <v>0.0</v>
      </c>
      <c r="EI844" s="156">
        <v>0.0</v>
      </c>
      <c r="EJ844" s="156">
        <v>0.0</v>
      </c>
      <c r="EK844" s="156">
        <v>0.0</v>
      </c>
      <c r="EL844" s="156">
        <v>0.0</v>
      </c>
      <c r="FQ844" s="156">
        <v>0.0</v>
      </c>
      <c r="FR844" s="156">
        <v>0.0</v>
      </c>
      <c r="FS844" s="156">
        <v>0.0</v>
      </c>
      <c r="FT844" s="156">
        <v>0.0</v>
      </c>
      <c r="FU844" s="156">
        <v>0.0</v>
      </c>
      <c r="FV844" s="156">
        <v>0.0</v>
      </c>
      <c r="FW844" s="157"/>
      <c r="FX844" s="157"/>
      <c r="FY844" s="157"/>
      <c r="FZ844" s="157"/>
      <c r="GA844" s="157"/>
      <c r="GB844" s="157"/>
      <c r="GC844" s="157"/>
      <c r="GD844" s="157"/>
      <c r="GE844" s="157"/>
      <c r="GF844" s="157"/>
      <c r="GG844" s="157"/>
      <c r="GH844" s="157"/>
      <c r="GI844" s="157"/>
      <c r="GJ844" s="157"/>
      <c r="GK844" s="157"/>
      <c r="GL844" s="157"/>
      <c r="GM844" s="157"/>
      <c r="GN844" s="157"/>
      <c r="GO844" s="157"/>
      <c r="GP844" s="158"/>
      <c r="GQ844" s="157"/>
      <c r="GR844" s="157"/>
      <c r="GS844" s="157"/>
      <c r="GT844" s="157"/>
      <c r="GU844" s="157"/>
      <c r="GV844" s="157"/>
      <c r="GW844" s="157"/>
      <c r="GX844" s="157"/>
      <c r="GY844" s="157"/>
      <c r="GZ844" s="157"/>
      <c r="HA844" s="157"/>
      <c r="HB844" s="155">
        <v>0.0</v>
      </c>
      <c r="HC844" s="155">
        <v>0.0</v>
      </c>
      <c r="HD844" s="155">
        <v>0.0</v>
      </c>
      <c r="HE844" s="155">
        <v>0.0</v>
      </c>
      <c r="HF844" s="155">
        <v>0.0</v>
      </c>
      <c r="HG844" s="155">
        <v>0.0</v>
      </c>
      <c r="IL844" s="159">
        <v>0.0</v>
      </c>
      <c r="IM844" s="156">
        <v>0.0</v>
      </c>
      <c r="IN844" s="156">
        <v>0.0</v>
      </c>
      <c r="IO844" s="156">
        <v>0.0</v>
      </c>
      <c r="IP844" s="156">
        <v>0.0</v>
      </c>
      <c r="IQ844" s="160">
        <v>0.0</v>
      </c>
      <c r="JH844" s="25"/>
      <c r="JW844" s="159">
        <v>0.0</v>
      </c>
      <c r="JX844" s="156">
        <v>0.0</v>
      </c>
      <c r="JY844" s="156">
        <v>0.0</v>
      </c>
      <c r="JZ844" s="156">
        <v>0.0</v>
      </c>
      <c r="KA844" s="156">
        <v>0.0</v>
      </c>
      <c r="KB844" s="160">
        <v>0.0</v>
      </c>
      <c r="LH844" s="159">
        <f t="shared" si="10"/>
        <v>0</v>
      </c>
      <c r="LI844" s="156">
        <f t="shared" si="11"/>
        <v>0</v>
      </c>
      <c r="LJ844" s="156">
        <f t="shared" si="12"/>
        <v>0</v>
      </c>
      <c r="LK844" s="156">
        <f t="shared" si="13"/>
        <v>0</v>
      </c>
      <c r="LL844" s="156">
        <f t="shared" si="14"/>
        <v>0</v>
      </c>
      <c r="LM844" s="160">
        <f t="shared" si="15"/>
        <v>0</v>
      </c>
      <c r="QX844" s="633"/>
    </row>
    <row r="845">
      <c r="A845" s="12"/>
      <c r="B845" s="12"/>
      <c r="C845" s="12"/>
      <c r="D845" s="12"/>
      <c r="E845" s="12"/>
      <c r="F845" s="12"/>
      <c r="G845" s="12"/>
      <c r="H845" s="12"/>
      <c r="I845" s="143">
        <f t="shared" si="22"/>
        <v>0</v>
      </c>
      <c r="J845" s="108"/>
      <c r="K845" s="203"/>
      <c r="L845" s="108"/>
      <c r="V845" s="161"/>
      <c r="X845" s="140"/>
      <c r="Y845" s="166">
        <f t="shared" si="23"/>
        <v>0</v>
      </c>
      <c r="Z845" s="26">
        <f t="shared" si="7"/>
        <v>0</v>
      </c>
      <c r="AA845" s="26">
        <f t="shared" si="8"/>
        <v>0</v>
      </c>
      <c r="AB845" s="26">
        <f t="shared" si="9"/>
        <v>0</v>
      </c>
      <c r="AC845" s="156">
        <v>0.0</v>
      </c>
      <c r="AD845" s="156">
        <v>0.0</v>
      </c>
      <c r="AE845" s="156">
        <v>0.0</v>
      </c>
      <c r="AF845" s="156">
        <v>0.0</v>
      </c>
      <c r="AG845" s="156">
        <v>0.0</v>
      </c>
      <c r="AH845" s="156">
        <v>0.0</v>
      </c>
      <c r="BN845" s="155">
        <v>0.0</v>
      </c>
      <c r="BO845" s="155">
        <v>0.0</v>
      </c>
      <c r="BP845" s="155">
        <v>0.0</v>
      </c>
      <c r="BQ845" s="155">
        <v>0.0</v>
      </c>
      <c r="BR845" s="155">
        <v>0.0</v>
      </c>
      <c r="BS845" s="155">
        <v>0.0</v>
      </c>
      <c r="CV845" s="156">
        <v>0.0</v>
      </c>
      <c r="CW845" s="156">
        <v>0.0</v>
      </c>
      <c r="CX845" s="156">
        <v>0.0</v>
      </c>
      <c r="CY845" s="156">
        <v>0.0</v>
      </c>
      <c r="CZ845" s="156">
        <v>0.0</v>
      </c>
      <c r="DA845" s="156">
        <v>0.0</v>
      </c>
      <c r="EG845" s="156">
        <v>0.0</v>
      </c>
      <c r="EH845" s="156">
        <v>0.0</v>
      </c>
      <c r="EI845" s="156">
        <v>0.0</v>
      </c>
      <c r="EJ845" s="156">
        <v>0.0</v>
      </c>
      <c r="EK845" s="156">
        <v>0.0</v>
      </c>
      <c r="EL845" s="156">
        <v>0.0</v>
      </c>
      <c r="FQ845" s="156">
        <v>0.0</v>
      </c>
      <c r="FR845" s="156">
        <v>0.0</v>
      </c>
      <c r="FS845" s="156">
        <v>0.0</v>
      </c>
      <c r="FT845" s="156">
        <v>0.0</v>
      </c>
      <c r="FU845" s="156">
        <v>0.0</v>
      </c>
      <c r="FV845" s="156">
        <v>0.0</v>
      </c>
      <c r="FW845" s="157"/>
      <c r="FX845" s="157"/>
      <c r="FY845" s="157"/>
      <c r="FZ845" s="157"/>
      <c r="GA845" s="157"/>
      <c r="GB845" s="157"/>
      <c r="GC845" s="157"/>
      <c r="GD845" s="157"/>
      <c r="GE845" s="157"/>
      <c r="GF845" s="157"/>
      <c r="GG845" s="157"/>
      <c r="GH845" s="157"/>
      <c r="GI845" s="157"/>
      <c r="GJ845" s="157"/>
      <c r="GK845" s="157"/>
      <c r="GL845" s="157"/>
      <c r="GM845" s="157"/>
      <c r="GN845" s="157"/>
      <c r="GO845" s="157"/>
      <c r="GP845" s="158"/>
      <c r="GQ845" s="157"/>
      <c r="GR845" s="157"/>
      <c r="GS845" s="157"/>
      <c r="GT845" s="157"/>
      <c r="GU845" s="157"/>
      <c r="GV845" s="157"/>
      <c r="GW845" s="157"/>
      <c r="GX845" s="157"/>
      <c r="GY845" s="157"/>
      <c r="GZ845" s="157"/>
      <c r="HA845" s="157"/>
      <c r="HB845" s="155">
        <v>0.0</v>
      </c>
      <c r="HC845" s="155">
        <v>0.0</v>
      </c>
      <c r="HD845" s="155">
        <v>0.0</v>
      </c>
      <c r="HE845" s="155">
        <v>0.0</v>
      </c>
      <c r="HF845" s="155">
        <v>0.0</v>
      </c>
      <c r="HG845" s="155">
        <v>0.0</v>
      </c>
      <c r="IL845" s="159">
        <v>0.0</v>
      </c>
      <c r="IM845" s="156">
        <v>0.0</v>
      </c>
      <c r="IN845" s="156">
        <v>0.0</v>
      </c>
      <c r="IO845" s="156">
        <v>0.0</v>
      </c>
      <c r="IP845" s="156">
        <v>0.0</v>
      </c>
      <c r="IQ845" s="160">
        <v>0.0</v>
      </c>
      <c r="JH845" s="25"/>
      <c r="JW845" s="159">
        <v>0.0</v>
      </c>
      <c r="JX845" s="156">
        <v>0.0</v>
      </c>
      <c r="JY845" s="156">
        <v>0.0</v>
      </c>
      <c r="JZ845" s="156">
        <v>0.0</v>
      </c>
      <c r="KA845" s="156">
        <v>0.0</v>
      </c>
      <c r="KB845" s="160">
        <v>0.0</v>
      </c>
      <c r="LH845" s="159">
        <f t="shared" si="10"/>
        <v>0</v>
      </c>
      <c r="LI845" s="156">
        <f t="shared" si="11"/>
        <v>0</v>
      </c>
      <c r="LJ845" s="156">
        <f t="shared" si="12"/>
        <v>0</v>
      </c>
      <c r="LK845" s="156">
        <f t="shared" si="13"/>
        <v>0</v>
      </c>
      <c r="LL845" s="156">
        <f t="shared" si="14"/>
        <v>0</v>
      </c>
      <c r="LM845" s="160">
        <f t="shared" si="15"/>
        <v>0</v>
      </c>
      <c r="QX845" s="633"/>
    </row>
    <row r="846">
      <c r="A846" s="12"/>
      <c r="B846" s="12"/>
      <c r="C846" s="12"/>
      <c r="D846" s="12"/>
      <c r="E846" s="12"/>
      <c r="F846" s="12"/>
      <c r="G846" s="12"/>
      <c r="H846" s="12"/>
      <c r="I846" s="143">
        <f t="shared" si="22"/>
        <v>0</v>
      </c>
      <c r="J846" s="108"/>
      <c r="K846" s="203"/>
      <c r="L846" s="108"/>
      <c r="V846" s="161"/>
      <c r="X846" s="140"/>
      <c r="Y846" s="166">
        <f t="shared" si="23"/>
        <v>0</v>
      </c>
      <c r="Z846" s="26">
        <f t="shared" si="7"/>
        <v>0</v>
      </c>
      <c r="AA846" s="26">
        <f t="shared" si="8"/>
        <v>0</v>
      </c>
      <c r="AB846" s="26">
        <f t="shared" si="9"/>
        <v>0</v>
      </c>
      <c r="AC846" s="156">
        <v>0.0</v>
      </c>
      <c r="AD846" s="156">
        <v>0.0</v>
      </c>
      <c r="AE846" s="156">
        <v>0.0</v>
      </c>
      <c r="AF846" s="156">
        <v>0.0</v>
      </c>
      <c r="AG846" s="156">
        <v>0.0</v>
      </c>
      <c r="AH846" s="156">
        <v>0.0</v>
      </c>
      <c r="BN846" s="155">
        <v>0.0</v>
      </c>
      <c r="BO846" s="155">
        <v>0.0</v>
      </c>
      <c r="BP846" s="155">
        <v>0.0</v>
      </c>
      <c r="BQ846" s="155">
        <v>0.0</v>
      </c>
      <c r="BR846" s="155">
        <v>0.0</v>
      </c>
      <c r="BS846" s="155">
        <v>0.0</v>
      </c>
      <c r="CV846" s="156">
        <v>0.0</v>
      </c>
      <c r="CW846" s="156">
        <v>0.0</v>
      </c>
      <c r="CX846" s="156">
        <v>0.0</v>
      </c>
      <c r="CY846" s="156">
        <v>0.0</v>
      </c>
      <c r="CZ846" s="156">
        <v>0.0</v>
      </c>
      <c r="DA846" s="156">
        <v>0.0</v>
      </c>
      <c r="EG846" s="156">
        <v>0.0</v>
      </c>
      <c r="EH846" s="156">
        <v>0.0</v>
      </c>
      <c r="EI846" s="156">
        <v>0.0</v>
      </c>
      <c r="EJ846" s="156">
        <v>0.0</v>
      </c>
      <c r="EK846" s="156">
        <v>0.0</v>
      </c>
      <c r="EL846" s="156">
        <v>0.0</v>
      </c>
      <c r="FQ846" s="156">
        <v>0.0</v>
      </c>
      <c r="FR846" s="156">
        <v>0.0</v>
      </c>
      <c r="FS846" s="156">
        <v>0.0</v>
      </c>
      <c r="FT846" s="156">
        <v>0.0</v>
      </c>
      <c r="FU846" s="156">
        <v>0.0</v>
      </c>
      <c r="FV846" s="156">
        <v>0.0</v>
      </c>
      <c r="FW846" s="157"/>
      <c r="FX846" s="157"/>
      <c r="FY846" s="157"/>
      <c r="FZ846" s="157"/>
      <c r="GA846" s="157"/>
      <c r="GB846" s="157"/>
      <c r="GC846" s="157"/>
      <c r="GD846" s="157"/>
      <c r="GE846" s="157"/>
      <c r="GF846" s="157"/>
      <c r="GG846" s="157"/>
      <c r="GH846" s="157"/>
      <c r="GI846" s="157"/>
      <c r="GJ846" s="157"/>
      <c r="GK846" s="157"/>
      <c r="GL846" s="157"/>
      <c r="GM846" s="157"/>
      <c r="GN846" s="157"/>
      <c r="GO846" s="157"/>
      <c r="GP846" s="158"/>
      <c r="GQ846" s="157"/>
      <c r="GR846" s="157"/>
      <c r="GS846" s="157"/>
      <c r="GT846" s="157"/>
      <c r="GU846" s="157"/>
      <c r="GV846" s="157"/>
      <c r="GW846" s="157"/>
      <c r="GX846" s="157"/>
      <c r="GY846" s="157"/>
      <c r="GZ846" s="157"/>
      <c r="HA846" s="157"/>
      <c r="HB846" s="155">
        <v>0.0</v>
      </c>
      <c r="HC846" s="155">
        <v>0.0</v>
      </c>
      <c r="HD846" s="155">
        <v>0.0</v>
      </c>
      <c r="HE846" s="155">
        <v>0.0</v>
      </c>
      <c r="HF846" s="155">
        <v>0.0</v>
      </c>
      <c r="HG846" s="155">
        <v>0.0</v>
      </c>
      <c r="IL846" s="159">
        <v>0.0</v>
      </c>
      <c r="IM846" s="156">
        <v>0.0</v>
      </c>
      <c r="IN846" s="156">
        <v>0.0</v>
      </c>
      <c r="IO846" s="156">
        <v>0.0</v>
      </c>
      <c r="IP846" s="156">
        <v>0.0</v>
      </c>
      <c r="IQ846" s="160">
        <v>0.0</v>
      </c>
      <c r="JH846" s="25"/>
      <c r="JW846" s="159">
        <v>0.0</v>
      </c>
      <c r="JX846" s="156">
        <v>0.0</v>
      </c>
      <c r="JY846" s="156">
        <v>0.0</v>
      </c>
      <c r="JZ846" s="156">
        <v>0.0</v>
      </c>
      <c r="KA846" s="156">
        <v>0.0</v>
      </c>
      <c r="KB846" s="160">
        <v>0.0</v>
      </c>
      <c r="LH846" s="159">
        <f t="shared" si="10"/>
        <v>0</v>
      </c>
      <c r="LI846" s="156">
        <f t="shared" si="11"/>
        <v>0</v>
      </c>
      <c r="LJ846" s="156">
        <f t="shared" si="12"/>
        <v>0</v>
      </c>
      <c r="LK846" s="156">
        <f t="shared" si="13"/>
        <v>0</v>
      </c>
      <c r="LL846" s="156">
        <f t="shared" si="14"/>
        <v>0</v>
      </c>
      <c r="LM846" s="160">
        <f t="shared" si="15"/>
        <v>0</v>
      </c>
      <c r="QX846" s="633"/>
    </row>
    <row r="847">
      <c r="A847" s="12"/>
      <c r="B847" s="12"/>
      <c r="C847" s="12"/>
      <c r="D847" s="12"/>
      <c r="E847" s="12"/>
      <c r="F847" s="12"/>
      <c r="G847" s="12"/>
      <c r="H847" s="12"/>
      <c r="I847" s="143">
        <f t="shared" si="22"/>
        <v>0</v>
      </c>
      <c r="J847" s="108"/>
      <c r="K847" s="203"/>
      <c r="L847" s="108"/>
      <c r="V847" s="161"/>
      <c r="X847" s="140"/>
      <c r="Y847" s="166">
        <f t="shared" si="23"/>
        <v>0</v>
      </c>
      <c r="Z847" s="26">
        <f t="shared" si="7"/>
        <v>0</v>
      </c>
      <c r="AA847" s="26">
        <f t="shared" si="8"/>
        <v>0</v>
      </c>
      <c r="AB847" s="26">
        <f t="shared" si="9"/>
        <v>0</v>
      </c>
      <c r="AC847" s="156">
        <v>0.0</v>
      </c>
      <c r="AD847" s="156">
        <v>0.0</v>
      </c>
      <c r="AE847" s="156">
        <v>0.0</v>
      </c>
      <c r="AF847" s="156">
        <v>0.0</v>
      </c>
      <c r="AG847" s="156">
        <v>0.0</v>
      </c>
      <c r="AH847" s="156">
        <v>0.0</v>
      </c>
      <c r="BN847" s="155">
        <v>0.0</v>
      </c>
      <c r="BO847" s="155">
        <v>0.0</v>
      </c>
      <c r="BP847" s="155">
        <v>0.0</v>
      </c>
      <c r="BQ847" s="155">
        <v>0.0</v>
      </c>
      <c r="BR847" s="155">
        <v>0.0</v>
      </c>
      <c r="BS847" s="155">
        <v>0.0</v>
      </c>
      <c r="CV847" s="156">
        <v>0.0</v>
      </c>
      <c r="CW847" s="156">
        <v>0.0</v>
      </c>
      <c r="CX847" s="156">
        <v>0.0</v>
      </c>
      <c r="CY847" s="156">
        <v>0.0</v>
      </c>
      <c r="CZ847" s="156">
        <v>0.0</v>
      </c>
      <c r="DA847" s="156">
        <v>0.0</v>
      </c>
      <c r="EG847" s="156">
        <v>0.0</v>
      </c>
      <c r="EH847" s="156">
        <v>0.0</v>
      </c>
      <c r="EI847" s="156">
        <v>0.0</v>
      </c>
      <c r="EJ847" s="156">
        <v>0.0</v>
      </c>
      <c r="EK847" s="156">
        <v>0.0</v>
      </c>
      <c r="EL847" s="156">
        <v>0.0</v>
      </c>
      <c r="FQ847" s="156">
        <v>0.0</v>
      </c>
      <c r="FR847" s="156">
        <v>0.0</v>
      </c>
      <c r="FS847" s="156">
        <v>0.0</v>
      </c>
      <c r="FT847" s="156">
        <v>0.0</v>
      </c>
      <c r="FU847" s="156">
        <v>0.0</v>
      </c>
      <c r="FV847" s="156">
        <v>0.0</v>
      </c>
      <c r="FW847" s="157"/>
      <c r="FX847" s="157"/>
      <c r="FY847" s="157"/>
      <c r="FZ847" s="157"/>
      <c r="GA847" s="157"/>
      <c r="GB847" s="157"/>
      <c r="GC847" s="157"/>
      <c r="GD847" s="157"/>
      <c r="GE847" s="157"/>
      <c r="GF847" s="157"/>
      <c r="GG847" s="157"/>
      <c r="GH847" s="157"/>
      <c r="GI847" s="157"/>
      <c r="GJ847" s="157"/>
      <c r="GK847" s="157"/>
      <c r="GL847" s="157"/>
      <c r="GM847" s="157"/>
      <c r="GN847" s="157"/>
      <c r="GO847" s="157"/>
      <c r="GP847" s="158"/>
      <c r="GQ847" s="157"/>
      <c r="GR847" s="157"/>
      <c r="GS847" s="157"/>
      <c r="GT847" s="157"/>
      <c r="GU847" s="157"/>
      <c r="GV847" s="157"/>
      <c r="GW847" s="157"/>
      <c r="GX847" s="157"/>
      <c r="GY847" s="157"/>
      <c r="GZ847" s="157"/>
      <c r="HA847" s="157"/>
      <c r="HB847" s="155">
        <v>0.0</v>
      </c>
      <c r="HC847" s="155">
        <v>0.0</v>
      </c>
      <c r="HD847" s="155">
        <v>0.0</v>
      </c>
      <c r="HE847" s="155">
        <v>0.0</v>
      </c>
      <c r="HF847" s="155">
        <v>0.0</v>
      </c>
      <c r="HG847" s="155">
        <v>0.0</v>
      </c>
      <c r="IL847" s="159">
        <v>0.0</v>
      </c>
      <c r="IM847" s="156">
        <v>0.0</v>
      </c>
      <c r="IN847" s="156">
        <v>0.0</v>
      </c>
      <c r="IO847" s="156">
        <v>0.0</v>
      </c>
      <c r="IP847" s="156">
        <v>0.0</v>
      </c>
      <c r="IQ847" s="160">
        <v>0.0</v>
      </c>
      <c r="JH847" s="25"/>
      <c r="JW847" s="159">
        <v>0.0</v>
      </c>
      <c r="JX847" s="156">
        <v>0.0</v>
      </c>
      <c r="JY847" s="156">
        <v>0.0</v>
      </c>
      <c r="JZ847" s="156">
        <v>0.0</v>
      </c>
      <c r="KA847" s="156">
        <v>0.0</v>
      </c>
      <c r="KB847" s="160">
        <v>0.0</v>
      </c>
      <c r="LH847" s="159">
        <f t="shared" si="10"/>
        <v>0</v>
      </c>
      <c r="LI847" s="156">
        <f t="shared" si="11"/>
        <v>0</v>
      </c>
      <c r="LJ847" s="156">
        <f t="shared" si="12"/>
        <v>0</v>
      </c>
      <c r="LK847" s="156">
        <f t="shared" si="13"/>
        <v>0</v>
      </c>
      <c r="LL847" s="156">
        <f t="shared" si="14"/>
        <v>0</v>
      </c>
      <c r="LM847" s="160">
        <f t="shared" si="15"/>
        <v>0</v>
      </c>
      <c r="QX847" s="633"/>
    </row>
    <row r="848">
      <c r="A848" s="12"/>
      <c r="B848" s="12"/>
      <c r="C848" s="12"/>
      <c r="D848" s="12"/>
      <c r="E848" s="12"/>
      <c r="F848" s="12"/>
      <c r="G848" s="12"/>
      <c r="H848" s="12"/>
      <c r="I848" s="143">
        <f t="shared" si="22"/>
        <v>0</v>
      </c>
      <c r="J848" s="108"/>
      <c r="K848" s="203"/>
      <c r="L848" s="108"/>
      <c r="V848" s="161"/>
      <c r="X848" s="140"/>
      <c r="Y848" s="166">
        <f t="shared" si="23"/>
        <v>0</v>
      </c>
      <c r="Z848" s="26">
        <f t="shared" si="7"/>
        <v>0</v>
      </c>
      <c r="AA848" s="26">
        <f t="shared" si="8"/>
        <v>0</v>
      </c>
      <c r="AB848" s="26">
        <f t="shared" si="9"/>
        <v>0</v>
      </c>
      <c r="AC848" s="156">
        <v>0.0</v>
      </c>
      <c r="AD848" s="156">
        <v>0.0</v>
      </c>
      <c r="AE848" s="156">
        <v>0.0</v>
      </c>
      <c r="AF848" s="156">
        <v>0.0</v>
      </c>
      <c r="AG848" s="156">
        <v>0.0</v>
      </c>
      <c r="AH848" s="156">
        <v>0.0</v>
      </c>
      <c r="BN848" s="155">
        <v>0.0</v>
      </c>
      <c r="BO848" s="155">
        <v>0.0</v>
      </c>
      <c r="BP848" s="155">
        <v>0.0</v>
      </c>
      <c r="BQ848" s="155">
        <v>0.0</v>
      </c>
      <c r="BR848" s="155">
        <v>0.0</v>
      </c>
      <c r="BS848" s="155">
        <v>0.0</v>
      </c>
      <c r="CV848" s="156">
        <v>0.0</v>
      </c>
      <c r="CW848" s="156">
        <v>0.0</v>
      </c>
      <c r="CX848" s="156">
        <v>0.0</v>
      </c>
      <c r="CY848" s="156">
        <v>0.0</v>
      </c>
      <c r="CZ848" s="156">
        <v>0.0</v>
      </c>
      <c r="DA848" s="156">
        <v>0.0</v>
      </c>
      <c r="EG848" s="156">
        <v>0.0</v>
      </c>
      <c r="EH848" s="156">
        <v>0.0</v>
      </c>
      <c r="EI848" s="156">
        <v>0.0</v>
      </c>
      <c r="EJ848" s="156">
        <v>0.0</v>
      </c>
      <c r="EK848" s="156">
        <v>0.0</v>
      </c>
      <c r="EL848" s="156">
        <v>0.0</v>
      </c>
      <c r="FQ848" s="156">
        <v>0.0</v>
      </c>
      <c r="FR848" s="156">
        <v>0.0</v>
      </c>
      <c r="FS848" s="156">
        <v>0.0</v>
      </c>
      <c r="FT848" s="156">
        <v>0.0</v>
      </c>
      <c r="FU848" s="156">
        <v>0.0</v>
      </c>
      <c r="FV848" s="156">
        <v>0.0</v>
      </c>
      <c r="FW848" s="157"/>
      <c r="FX848" s="157"/>
      <c r="FY848" s="157"/>
      <c r="FZ848" s="157"/>
      <c r="GA848" s="157"/>
      <c r="GB848" s="157"/>
      <c r="GC848" s="157"/>
      <c r="GD848" s="157"/>
      <c r="GE848" s="157"/>
      <c r="GF848" s="157"/>
      <c r="GG848" s="157"/>
      <c r="GH848" s="157"/>
      <c r="GI848" s="157"/>
      <c r="GJ848" s="157"/>
      <c r="GK848" s="157"/>
      <c r="GL848" s="157"/>
      <c r="GM848" s="157"/>
      <c r="GN848" s="157"/>
      <c r="GO848" s="157"/>
      <c r="GP848" s="158"/>
      <c r="GQ848" s="157"/>
      <c r="GR848" s="157"/>
      <c r="GS848" s="157"/>
      <c r="GT848" s="157"/>
      <c r="GU848" s="157"/>
      <c r="GV848" s="157"/>
      <c r="GW848" s="157"/>
      <c r="GX848" s="157"/>
      <c r="GY848" s="157"/>
      <c r="GZ848" s="157"/>
      <c r="HA848" s="157"/>
      <c r="HB848" s="155">
        <v>0.0</v>
      </c>
      <c r="HC848" s="155">
        <v>0.0</v>
      </c>
      <c r="HD848" s="155">
        <v>0.0</v>
      </c>
      <c r="HE848" s="155">
        <v>0.0</v>
      </c>
      <c r="HF848" s="155">
        <v>0.0</v>
      </c>
      <c r="HG848" s="155">
        <v>0.0</v>
      </c>
      <c r="IL848" s="159">
        <v>0.0</v>
      </c>
      <c r="IM848" s="156">
        <v>0.0</v>
      </c>
      <c r="IN848" s="156">
        <v>0.0</v>
      </c>
      <c r="IO848" s="156">
        <v>0.0</v>
      </c>
      <c r="IP848" s="156">
        <v>0.0</v>
      </c>
      <c r="IQ848" s="160">
        <v>0.0</v>
      </c>
      <c r="JH848" s="25"/>
      <c r="JW848" s="159">
        <v>0.0</v>
      </c>
      <c r="JX848" s="156">
        <v>0.0</v>
      </c>
      <c r="JY848" s="156">
        <v>0.0</v>
      </c>
      <c r="JZ848" s="156">
        <v>0.0</v>
      </c>
      <c r="KA848" s="156">
        <v>0.0</v>
      </c>
      <c r="KB848" s="160">
        <v>0.0</v>
      </c>
      <c r="LH848" s="159">
        <f t="shared" si="10"/>
        <v>0</v>
      </c>
      <c r="LI848" s="156">
        <f t="shared" si="11"/>
        <v>0</v>
      </c>
      <c r="LJ848" s="156">
        <f t="shared" si="12"/>
        <v>0</v>
      </c>
      <c r="LK848" s="156">
        <f t="shared" si="13"/>
        <v>0</v>
      </c>
      <c r="LL848" s="156">
        <f t="shared" si="14"/>
        <v>0</v>
      </c>
      <c r="LM848" s="160">
        <f t="shared" si="15"/>
        <v>0</v>
      </c>
      <c r="QX848" s="633"/>
    </row>
    <row r="849">
      <c r="A849" s="12"/>
      <c r="B849" s="12"/>
      <c r="C849" s="12"/>
      <c r="D849" s="12"/>
      <c r="E849" s="12"/>
      <c r="F849" s="12"/>
      <c r="G849" s="12"/>
      <c r="H849" s="12"/>
      <c r="I849" s="143">
        <f t="shared" si="22"/>
        <v>0</v>
      </c>
      <c r="J849" s="108"/>
      <c r="K849" s="203"/>
      <c r="L849" s="108"/>
      <c r="V849" s="161"/>
      <c r="X849" s="140"/>
      <c r="Y849" s="166">
        <f t="shared" si="23"/>
        <v>0</v>
      </c>
      <c r="Z849" s="26">
        <f t="shared" si="7"/>
        <v>0</v>
      </c>
      <c r="AA849" s="26">
        <f t="shared" si="8"/>
        <v>0</v>
      </c>
      <c r="AB849" s="26">
        <f t="shared" si="9"/>
        <v>0</v>
      </c>
      <c r="AC849" s="156">
        <v>0.0</v>
      </c>
      <c r="AD849" s="156">
        <v>0.0</v>
      </c>
      <c r="AE849" s="156">
        <v>0.0</v>
      </c>
      <c r="AF849" s="156">
        <v>0.0</v>
      </c>
      <c r="AG849" s="156">
        <v>0.0</v>
      </c>
      <c r="AH849" s="156">
        <v>0.0</v>
      </c>
      <c r="BN849" s="155">
        <v>0.0</v>
      </c>
      <c r="BO849" s="155">
        <v>0.0</v>
      </c>
      <c r="BP849" s="155">
        <v>0.0</v>
      </c>
      <c r="BQ849" s="155">
        <v>0.0</v>
      </c>
      <c r="BR849" s="155">
        <v>0.0</v>
      </c>
      <c r="BS849" s="155">
        <v>0.0</v>
      </c>
      <c r="CV849" s="156">
        <v>0.0</v>
      </c>
      <c r="CW849" s="156">
        <v>0.0</v>
      </c>
      <c r="CX849" s="156">
        <v>0.0</v>
      </c>
      <c r="CY849" s="156">
        <v>0.0</v>
      </c>
      <c r="CZ849" s="156">
        <v>0.0</v>
      </c>
      <c r="DA849" s="156">
        <v>0.0</v>
      </c>
      <c r="EG849" s="156">
        <v>0.0</v>
      </c>
      <c r="EH849" s="156">
        <v>0.0</v>
      </c>
      <c r="EI849" s="156">
        <v>0.0</v>
      </c>
      <c r="EJ849" s="156">
        <v>0.0</v>
      </c>
      <c r="EK849" s="156">
        <v>0.0</v>
      </c>
      <c r="EL849" s="156">
        <v>0.0</v>
      </c>
      <c r="FQ849" s="156">
        <v>0.0</v>
      </c>
      <c r="FR849" s="156">
        <v>0.0</v>
      </c>
      <c r="FS849" s="156">
        <v>0.0</v>
      </c>
      <c r="FT849" s="156">
        <v>0.0</v>
      </c>
      <c r="FU849" s="156">
        <v>0.0</v>
      </c>
      <c r="FV849" s="156">
        <v>0.0</v>
      </c>
      <c r="FW849" s="157"/>
      <c r="FX849" s="157"/>
      <c r="FY849" s="157"/>
      <c r="FZ849" s="157"/>
      <c r="GA849" s="157"/>
      <c r="GB849" s="157"/>
      <c r="GC849" s="157"/>
      <c r="GD849" s="157"/>
      <c r="GE849" s="157"/>
      <c r="GF849" s="157"/>
      <c r="GG849" s="157"/>
      <c r="GH849" s="157"/>
      <c r="GI849" s="157"/>
      <c r="GJ849" s="157"/>
      <c r="GK849" s="157"/>
      <c r="GL849" s="157"/>
      <c r="GM849" s="157"/>
      <c r="GN849" s="157"/>
      <c r="GO849" s="157"/>
      <c r="GP849" s="158"/>
      <c r="GQ849" s="157"/>
      <c r="GR849" s="157"/>
      <c r="GS849" s="157"/>
      <c r="GT849" s="157"/>
      <c r="GU849" s="157"/>
      <c r="GV849" s="157"/>
      <c r="GW849" s="157"/>
      <c r="GX849" s="157"/>
      <c r="GY849" s="157"/>
      <c r="GZ849" s="157"/>
      <c r="HA849" s="157"/>
      <c r="HB849" s="155">
        <v>0.0</v>
      </c>
      <c r="HC849" s="155">
        <v>0.0</v>
      </c>
      <c r="HD849" s="155">
        <v>0.0</v>
      </c>
      <c r="HE849" s="155">
        <v>0.0</v>
      </c>
      <c r="HF849" s="155">
        <v>0.0</v>
      </c>
      <c r="HG849" s="155">
        <v>0.0</v>
      </c>
      <c r="IL849" s="159">
        <v>0.0</v>
      </c>
      <c r="IM849" s="156">
        <v>0.0</v>
      </c>
      <c r="IN849" s="156">
        <v>0.0</v>
      </c>
      <c r="IO849" s="156">
        <v>0.0</v>
      </c>
      <c r="IP849" s="156">
        <v>0.0</v>
      </c>
      <c r="IQ849" s="160">
        <v>0.0</v>
      </c>
      <c r="JH849" s="25"/>
      <c r="JW849" s="159">
        <v>0.0</v>
      </c>
      <c r="JX849" s="156">
        <v>0.0</v>
      </c>
      <c r="JY849" s="156">
        <v>0.0</v>
      </c>
      <c r="JZ849" s="156">
        <v>0.0</v>
      </c>
      <c r="KA849" s="156">
        <v>0.0</v>
      </c>
      <c r="KB849" s="160">
        <v>0.0</v>
      </c>
      <c r="LH849" s="159">
        <f t="shared" si="10"/>
        <v>0</v>
      </c>
      <c r="LI849" s="156">
        <f t="shared" si="11"/>
        <v>0</v>
      </c>
      <c r="LJ849" s="156">
        <f t="shared" si="12"/>
        <v>0</v>
      </c>
      <c r="LK849" s="156">
        <f t="shared" si="13"/>
        <v>0</v>
      </c>
      <c r="LL849" s="156">
        <f t="shared" si="14"/>
        <v>0</v>
      </c>
      <c r="LM849" s="160">
        <f t="shared" si="15"/>
        <v>0</v>
      </c>
      <c r="QX849" s="633"/>
    </row>
    <row r="850">
      <c r="A850" s="12"/>
      <c r="B850" s="12"/>
      <c r="C850" s="12"/>
      <c r="D850" s="12"/>
      <c r="E850" s="12"/>
      <c r="F850" s="12"/>
      <c r="G850" s="12"/>
      <c r="H850" s="12"/>
      <c r="I850" s="143">
        <f t="shared" si="22"/>
        <v>0</v>
      </c>
      <c r="J850" s="108"/>
      <c r="K850" s="203"/>
      <c r="L850" s="108"/>
      <c r="V850" s="161"/>
      <c r="X850" s="140"/>
      <c r="Y850" s="166">
        <f t="shared" si="23"/>
        <v>0</v>
      </c>
      <c r="Z850" s="26">
        <f t="shared" si="7"/>
        <v>0</v>
      </c>
      <c r="AA850" s="26">
        <f t="shared" si="8"/>
        <v>0</v>
      </c>
      <c r="AB850" s="26">
        <f t="shared" si="9"/>
        <v>0</v>
      </c>
      <c r="AC850" s="156">
        <v>0.0</v>
      </c>
      <c r="AD850" s="156">
        <v>0.0</v>
      </c>
      <c r="AE850" s="156">
        <v>0.0</v>
      </c>
      <c r="AF850" s="156">
        <v>0.0</v>
      </c>
      <c r="AG850" s="156">
        <v>0.0</v>
      </c>
      <c r="AH850" s="156">
        <v>0.0</v>
      </c>
      <c r="BN850" s="155">
        <v>0.0</v>
      </c>
      <c r="BO850" s="155">
        <v>0.0</v>
      </c>
      <c r="BP850" s="155">
        <v>0.0</v>
      </c>
      <c r="BQ850" s="155">
        <v>0.0</v>
      </c>
      <c r="BR850" s="155">
        <v>0.0</v>
      </c>
      <c r="BS850" s="155">
        <v>0.0</v>
      </c>
      <c r="CV850" s="156">
        <v>0.0</v>
      </c>
      <c r="CW850" s="156">
        <v>0.0</v>
      </c>
      <c r="CX850" s="156">
        <v>0.0</v>
      </c>
      <c r="CY850" s="156">
        <v>0.0</v>
      </c>
      <c r="CZ850" s="156">
        <v>0.0</v>
      </c>
      <c r="DA850" s="156">
        <v>0.0</v>
      </c>
      <c r="EG850" s="156">
        <v>0.0</v>
      </c>
      <c r="EH850" s="156">
        <v>0.0</v>
      </c>
      <c r="EI850" s="156">
        <v>0.0</v>
      </c>
      <c r="EJ850" s="156">
        <v>0.0</v>
      </c>
      <c r="EK850" s="156">
        <v>0.0</v>
      </c>
      <c r="EL850" s="156">
        <v>0.0</v>
      </c>
      <c r="FQ850" s="156">
        <v>0.0</v>
      </c>
      <c r="FR850" s="156">
        <v>0.0</v>
      </c>
      <c r="FS850" s="156">
        <v>0.0</v>
      </c>
      <c r="FT850" s="156">
        <v>0.0</v>
      </c>
      <c r="FU850" s="156">
        <v>0.0</v>
      </c>
      <c r="FV850" s="156">
        <v>0.0</v>
      </c>
      <c r="FW850" s="157"/>
      <c r="FX850" s="157"/>
      <c r="FY850" s="157"/>
      <c r="FZ850" s="157"/>
      <c r="GA850" s="157"/>
      <c r="GB850" s="157"/>
      <c r="GC850" s="157"/>
      <c r="GD850" s="157"/>
      <c r="GE850" s="157"/>
      <c r="GF850" s="157"/>
      <c r="GG850" s="157"/>
      <c r="GH850" s="157"/>
      <c r="GI850" s="157"/>
      <c r="GJ850" s="157"/>
      <c r="GK850" s="157"/>
      <c r="GL850" s="157"/>
      <c r="GM850" s="157"/>
      <c r="GN850" s="157"/>
      <c r="GO850" s="157"/>
      <c r="GP850" s="158"/>
      <c r="GQ850" s="157"/>
      <c r="GR850" s="157"/>
      <c r="GS850" s="157"/>
      <c r="GT850" s="157"/>
      <c r="GU850" s="157"/>
      <c r="GV850" s="157"/>
      <c r="GW850" s="157"/>
      <c r="GX850" s="157"/>
      <c r="GY850" s="157"/>
      <c r="GZ850" s="157"/>
      <c r="HA850" s="157"/>
      <c r="HB850" s="155">
        <v>0.0</v>
      </c>
      <c r="HC850" s="155">
        <v>0.0</v>
      </c>
      <c r="HD850" s="155">
        <v>0.0</v>
      </c>
      <c r="HE850" s="155">
        <v>0.0</v>
      </c>
      <c r="HF850" s="155">
        <v>0.0</v>
      </c>
      <c r="HG850" s="155">
        <v>0.0</v>
      </c>
      <c r="IL850" s="159">
        <v>0.0</v>
      </c>
      <c r="IM850" s="156">
        <v>0.0</v>
      </c>
      <c r="IN850" s="156">
        <v>0.0</v>
      </c>
      <c r="IO850" s="156">
        <v>0.0</v>
      </c>
      <c r="IP850" s="156">
        <v>0.0</v>
      </c>
      <c r="IQ850" s="160">
        <v>0.0</v>
      </c>
      <c r="JH850" s="25"/>
      <c r="JW850" s="159">
        <v>0.0</v>
      </c>
      <c r="JX850" s="156">
        <v>0.0</v>
      </c>
      <c r="JY850" s="156">
        <v>0.0</v>
      </c>
      <c r="JZ850" s="156">
        <v>0.0</v>
      </c>
      <c r="KA850" s="156">
        <v>0.0</v>
      </c>
      <c r="KB850" s="160">
        <v>0.0</v>
      </c>
      <c r="LH850" s="159">
        <f t="shared" si="10"/>
        <v>0</v>
      </c>
      <c r="LI850" s="156">
        <f t="shared" si="11"/>
        <v>0</v>
      </c>
      <c r="LJ850" s="156">
        <f t="shared" si="12"/>
        <v>0</v>
      </c>
      <c r="LK850" s="156">
        <f t="shared" si="13"/>
        <v>0</v>
      </c>
      <c r="LL850" s="156">
        <f t="shared" si="14"/>
        <v>0</v>
      </c>
      <c r="LM850" s="160">
        <f t="shared" si="15"/>
        <v>0</v>
      </c>
      <c r="QX850" s="633"/>
    </row>
    <row r="851">
      <c r="A851" s="12"/>
      <c r="B851" s="12"/>
      <c r="C851" s="12"/>
      <c r="D851" s="12"/>
      <c r="E851" s="12"/>
      <c r="F851" s="12"/>
      <c r="G851" s="12"/>
      <c r="H851" s="12"/>
      <c r="I851" s="143">
        <f t="shared" si="22"/>
        <v>0</v>
      </c>
      <c r="J851" s="108"/>
      <c r="K851" s="203"/>
      <c r="L851" s="108"/>
      <c r="V851" s="161"/>
      <c r="X851" s="140"/>
      <c r="Y851" s="166">
        <f t="shared" si="23"/>
        <v>0</v>
      </c>
      <c r="Z851" s="26">
        <f t="shared" si="7"/>
        <v>0</v>
      </c>
      <c r="AA851" s="26">
        <f t="shared" si="8"/>
        <v>0</v>
      </c>
      <c r="AB851" s="26">
        <f t="shared" si="9"/>
        <v>0</v>
      </c>
      <c r="AC851" s="156">
        <v>0.0</v>
      </c>
      <c r="AD851" s="156">
        <v>0.0</v>
      </c>
      <c r="AE851" s="156">
        <v>0.0</v>
      </c>
      <c r="AF851" s="156">
        <v>0.0</v>
      </c>
      <c r="AG851" s="156">
        <v>0.0</v>
      </c>
      <c r="AH851" s="156">
        <v>0.0</v>
      </c>
      <c r="BN851" s="155">
        <v>0.0</v>
      </c>
      <c r="BO851" s="155">
        <v>0.0</v>
      </c>
      <c r="BP851" s="155">
        <v>0.0</v>
      </c>
      <c r="BQ851" s="155">
        <v>0.0</v>
      </c>
      <c r="BR851" s="155">
        <v>0.0</v>
      </c>
      <c r="BS851" s="155">
        <v>0.0</v>
      </c>
      <c r="CV851" s="156">
        <v>0.0</v>
      </c>
      <c r="CW851" s="156">
        <v>0.0</v>
      </c>
      <c r="CX851" s="156">
        <v>0.0</v>
      </c>
      <c r="CY851" s="156">
        <v>0.0</v>
      </c>
      <c r="CZ851" s="156">
        <v>0.0</v>
      </c>
      <c r="DA851" s="156">
        <v>0.0</v>
      </c>
      <c r="EG851" s="156">
        <v>0.0</v>
      </c>
      <c r="EH851" s="156">
        <v>0.0</v>
      </c>
      <c r="EI851" s="156">
        <v>0.0</v>
      </c>
      <c r="EJ851" s="156">
        <v>0.0</v>
      </c>
      <c r="EK851" s="156">
        <v>0.0</v>
      </c>
      <c r="EL851" s="156">
        <v>0.0</v>
      </c>
      <c r="FQ851" s="156">
        <v>0.0</v>
      </c>
      <c r="FR851" s="156">
        <v>0.0</v>
      </c>
      <c r="FS851" s="156">
        <v>0.0</v>
      </c>
      <c r="FT851" s="156">
        <v>0.0</v>
      </c>
      <c r="FU851" s="156">
        <v>0.0</v>
      </c>
      <c r="FV851" s="156">
        <v>0.0</v>
      </c>
      <c r="FW851" s="157"/>
      <c r="FX851" s="157"/>
      <c r="FY851" s="157"/>
      <c r="FZ851" s="157"/>
      <c r="GA851" s="157"/>
      <c r="GB851" s="157"/>
      <c r="GC851" s="157"/>
      <c r="GD851" s="157"/>
      <c r="GE851" s="157"/>
      <c r="GF851" s="157"/>
      <c r="GG851" s="157"/>
      <c r="GH851" s="157"/>
      <c r="GI851" s="157"/>
      <c r="GJ851" s="157"/>
      <c r="GK851" s="157"/>
      <c r="GL851" s="157"/>
      <c r="GM851" s="157"/>
      <c r="GN851" s="157"/>
      <c r="GO851" s="157"/>
      <c r="GP851" s="158"/>
      <c r="GQ851" s="157"/>
      <c r="GR851" s="157"/>
      <c r="GS851" s="157"/>
      <c r="GT851" s="157"/>
      <c r="GU851" s="157"/>
      <c r="GV851" s="157"/>
      <c r="GW851" s="157"/>
      <c r="GX851" s="157"/>
      <c r="GY851" s="157"/>
      <c r="GZ851" s="157"/>
      <c r="HA851" s="157"/>
      <c r="HB851" s="155">
        <v>0.0</v>
      </c>
      <c r="HC851" s="155">
        <v>0.0</v>
      </c>
      <c r="HD851" s="155">
        <v>0.0</v>
      </c>
      <c r="HE851" s="155">
        <v>0.0</v>
      </c>
      <c r="HF851" s="155">
        <v>0.0</v>
      </c>
      <c r="HG851" s="155">
        <v>0.0</v>
      </c>
      <c r="IL851" s="159">
        <v>0.0</v>
      </c>
      <c r="IM851" s="156">
        <v>0.0</v>
      </c>
      <c r="IN851" s="156">
        <v>0.0</v>
      </c>
      <c r="IO851" s="156">
        <v>0.0</v>
      </c>
      <c r="IP851" s="156">
        <v>0.0</v>
      </c>
      <c r="IQ851" s="160">
        <v>0.0</v>
      </c>
      <c r="JH851" s="25"/>
      <c r="JW851" s="159">
        <v>0.0</v>
      </c>
      <c r="JX851" s="156">
        <v>0.0</v>
      </c>
      <c r="JY851" s="156">
        <v>0.0</v>
      </c>
      <c r="JZ851" s="156">
        <v>0.0</v>
      </c>
      <c r="KA851" s="156">
        <v>0.0</v>
      </c>
      <c r="KB851" s="160">
        <v>0.0</v>
      </c>
      <c r="LH851" s="159">
        <f t="shared" si="10"/>
        <v>0</v>
      </c>
      <c r="LI851" s="156">
        <f t="shared" si="11"/>
        <v>0</v>
      </c>
      <c r="LJ851" s="156">
        <f t="shared" si="12"/>
        <v>0</v>
      </c>
      <c r="LK851" s="156">
        <f t="shared" si="13"/>
        <v>0</v>
      </c>
      <c r="LL851" s="156">
        <f t="shared" si="14"/>
        <v>0</v>
      </c>
      <c r="LM851" s="160">
        <f t="shared" si="15"/>
        <v>0</v>
      </c>
      <c r="QX851" s="633"/>
    </row>
    <row r="852">
      <c r="A852" s="12"/>
      <c r="B852" s="12"/>
      <c r="C852" s="12"/>
      <c r="D852" s="12"/>
      <c r="E852" s="12"/>
      <c r="F852" s="12"/>
      <c r="G852" s="12"/>
      <c r="H852" s="12"/>
      <c r="I852" s="143">
        <f t="shared" si="22"/>
        <v>0</v>
      </c>
      <c r="J852" s="108"/>
      <c r="K852" s="203"/>
      <c r="L852" s="108"/>
      <c r="V852" s="161"/>
      <c r="X852" s="140"/>
      <c r="Y852" s="166">
        <f t="shared" si="23"/>
        <v>0</v>
      </c>
      <c r="Z852" s="26">
        <f t="shared" si="7"/>
        <v>0</v>
      </c>
      <c r="AA852" s="26">
        <f t="shared" si="8"/>
        <v>0</v>
      </c>
      <c r="AB852" s="26">
        <f t="shared" si="9"/>
        <v>0</v>
      </c>
      <c r="AC852" s="156">
        <v>0.0</v>
      </c>
      <c r="AD852" s="156">
        <v>0.0</v>
      </c>
      <c r="AE852" s="156">
        <v>0.0</v>
      </c>
      <c r="AF852" s="156">
        <v>0.0</v>
      </c>
      <c r="AG852" s="156">
        <v>0.0</v>
      </c>
      <c r="AH852" s="156">
        <v>0.0</v>
      </c>
      <c r="BN852" s="155">
        <v>0.0</v>
      </c>
      <c r="BO852" s="155">
        <v>0.0</v>
      </c>
      <c r="BP852" s="155">
        <v>0.0</v>
      </c>
      <c r="BQ852" s="155">
        <v>0.0</v>
      </c>
      <c r="BR852" s="155">
        <v>0.0</v>
      </c>
      <c r="BS852" s="155">
        <v>0.0</v>
      </c>
      <c r="CV852" s="156">
        <v>0.0</v>
      </c>
      <c r="CW852" s="156">
        <v>0.0</v>
      </c>
      <c r="CX852" s="156">
        <v>0.0</v>
      </c>
      <c r="CY852" s="156">
        <v>0.0</v>
      </c>
      <c r="CZ852" s="156">
        <v>0.0</v>
      </c>
      <c r="DA852" s="156">
        <v>0.0</v>
      </c>
      <c r="EG852" s="156">
        <v>0.0</v>
      </c>
      <c r="EH852" s="156">
        <v>0.0</v>
      </c>
      <c r="EI852" s="156">
        <v>0.0</v>
      </c>
      <c r="EJ852" s="156">
        <v>0.0</v>
      </c>
      <c r="EK852" s="156">
        <v>0.0</v>
      </c>
      <c r="EL852" s="156">
        <v>0.0</v>
      </c>
      <c r="FQ852" s="156">
        <v>0.0</v>
      </c>
      <c r="FR852" s="156">
        <v>0.0</v>
      </c>
      <c r="FS852" s="156">
        <v>0.0</v>
      </c>
      <c r="FT852" s="156">
        <v>0.0</v>
      </c>
      <c r="FU852" s="156">
        <v>0.0</v>
      </c>
      <c r="FV852" s="156">
        <v>0.0</v>
      </c>
      <c r="FW852" s="157"/>
      <c r="FX852" s="157"/>
      <c r="FY852" s="157"/>
      <c r="FZ852" s="157"/>
      <c r="GA852" s="157"/>
      <c r="GB852" s="157"/>
      <c r="GC852" s="157"/>
      <c r="GD852" s="157"/>
      <c r="GE852" s="157"/>
      <c r="GF852" s="157"/>
      <c r="GG852" s="157"/>
      <c r="GH852" s="157"/>
      <c r="GI852" s="157"/>
      <c r="GJ852" s="157"/>
      <c r="GK852" s="157"/>
      <c r="GL852" s="157"/>
      <c r="GM852" s="157"/>
      <c r="GN852" s="157"/>
      <c r="GO852" s="157"/>
      <c r="GP852" s="158"/>
      <c r="GQ852" s="157"/>
      <c r="GR852" s="157"/>
      <c r="GS852" s="157"/>
      <c r="GT852" s="157"/>
      <c r="GU852" s="157"/>
      <c r="GV852" s="157"/>
      <c r="GW852" s="157"/>
      <c r="GX852" s="157"/>
      <c r="GY852" s="157"/>
      <c r="GZ852" s="157"/>
      <c r="HA852" s="157"/>
      <c r="HB852" s="155">
        <v>0.0</v>
      </c>
      <c r="HC852" s="155">
        <v>0.0</v>
      </c>
      <c r="HD852" s="155">
        <v>0.0</v>
      </c>
      <c r="HE852" s="155">
        <v>0.0</v>
      </c>
      <c r="HF852" s="155">
        <v>0.0</v>
      </c>
      <c r="HG852" s="155">
        <v>0.0</v>
      </c>
      <c r="IL852" s="159">
        <v>0.0</v>
      </c>
      <c r="IM852" s="156">
        <v>0.0</v>
      </c>
      <c r="IN852" s="156">
        <v>0.0</v>
      </c>
      <c r="IO852" s="156">
        <v>0.0</v>
      </c>
      <c r="IP852" s="156">
        <v>0.0</v>
      </c>
      <c r="IQ852" s="160">
        <v>0.0</v>
      </c>
      <c r="JH852" s="25"/>
      <c r="JW852" s="159">
        <v>0.0</v>
      </c>
      <c r="JX852" s="156">
        <v>0.0</v>
      </c>
      <c r="JY852" s="156">
        <v>0.0</v>
      </c>
      <c r="JZ852" s="156">
        <v>0.0</v>
      </c>
      <c r="KA852" s="156">
        <v>0.0</v>
      </c>
      <c r="KB852" s="160">
        <v>0.0</v>
      </c>
      <c r="LH852" s="159">
        <f t="shared" si="10"/>
        <v>0</v>
      </c>
      <c r="LI852" s="156">
        <f t="shared" si="11"/>
        <v>0</v>
      </c>
      <c r="LJ852" s="156">
        <f t="shared" si="12"/>
        <v>0</v>
      </c>
      <c r="LK852" s="156">
        <f t="shared" si="13"/>
        <v>0</v>
      </c>
      <c r="LL852" s="156">
        <f t="shared" si="14"/>
        <v>0</v>
      </c>
      <c r="LM852" s="160">
        <f t="shared" si="15"/>
        <v>0</v>
      </c>
      <c r="QX852" s="633"/>
    </row>
    <row r="853">
      <c r="A853" s="12"/>
      <c r="B853" s="12"/>
      <c r="C853" s="12"/>
      <c r="D853" s="12"/>
      <c r="E853" s="12"/>
      <c r="F853" s="12"/>
      <c r="G853" s="12"/>
      <c r="H853" s="12"/>
      <c r="I853" s="143">
        <f t="shared" si="22"/>
        <v>0</v>
      </c>
      <c r="J853" s="108"/>
      <c r="K853" s="203"/>
      <c r="L853" s="108"/>
      <c r="V853" s="161"/>
      <c r="X853" s="140"/>
      <c r="Y853" s="166">
        <f t="shared" si="23"/>
        <v>0</v>
      </c>
      <c r="Z853" s="26">
        <f t="shared" si="7"/>
        <v>0</v>
      </c>
      <c r="AA853" s="26">
        <f t="shared" si="8"/>
        <v>0</v>
      </c>
      <c r="AB853" s="26">
        <f t="shared" si="9"/>
        <v>0</v>
      </c>
      <c r="AC853" s="156">
        <v>0.0</v>
      </c>
      <c r="AD853" s="156">
        <v>0.0</v>
      </c>
      <c r="AE853" s="156">
        <v>0.0</v>
      </c>
      <c r="AF853" s="156">
        <v>0.0</v>
      </c>
      <c r="AG853" s="156">
        <v>0.0</v>
      </c>
      <c r="AH853" s="156">
        <v>0.0</v>
      </c>
      <c r="BN853" s="155">
        <v>0.0</v>
      </c>
      <c r="BO853" s="155">
        <v>0.0</v>
      </c>
      <c r="BP853" s="155">
        <v>0.0</v>
      </c>
      <c r="BQ853" s="155">
        <v>0.0</v>
      </c>
      <c r="BR853" s="155">
        <v>0.0</v>
      </c>
      <c r="BS853" s="155">
        <v>0.0</v>
      </c>
      <c r="CV853" s="156">
        <v>0.0</v>
      </c>
      <c r="CW853" s="156">
        <v>0.0</v>
      </c>
      <c r="CX853" s="156">
        <v>0.0</v>
      </c>
      <c r="CY853" s="156">
        <v>0.0</v>
      </c>
      <c r="CZ853" s="156">
        <v>0.0</v>
      </c>
      <c r="DA853" s="156">
        <v>0.0</v>
      </c>
      <c r="EG853" s="156">
        <v>0.0</v>
      </c>
      <c r="EH853" s="156">
        <v>0.0</v>
      </c>
      <c r="EI853" s="156">
        <v>0.0</v>
      </c>
      <c r="EJ853" s="156">
        <v>0.0</v>
      </c>
      <c r="EK853" s="156">
        <v>0.0</v>
      </c>
      <c r="EL853" s="156">
        <v>0.0</v>
      </c>
      <c r="FQ853" s="156">
        <v>0.0</v>
      </c>
      <c r="FR853" s="156">
        <v>0.0</v>
      </c>
      <c r="FS853" s="156">
        <v>0.0</v>
      </c>
      <c r="FT853" s="156">
        <v>0.0</v>
      </c>
      <c r="FU853" s="156">
        <v>0.0</v>
      </c>
      <c r="FV853" s="156">
        <v>0.0</v>
      </c>
      <c r="FW853" s="157"/>
      <c r="FX853" s="157"/>
      <c r="FY853" s="157"/>
      <c r="FZ853" s="157"/>
      <c r="GA853" s="157"/>
      <c r="GB853" s="157"/>
      <c r="GC853" s="157"/>
      <c r="GD853" s="157"/>
      <c r="GE853" s="157"/>
      <c r="GF853" s="157"/>
      <c r="GG853" s="157"/>
      <c r="GH853" s="157"/>
      <c r="GI853" s="157"/>
      <c r="GJ853" s="157"/>
      <c r="GK853" s="157"/>
      <c r="GL853" s="157"/>
      <c r="GM853" s="157"/>
      <c r="GN853" s="157"/>
      <c r="GO853" s="157"/>
      <c r="GP853" s="158"/>
      <c r="GQ853" s="157"/>
      <c r="GR853" s="157"/>
      <c r="GS853" s="157"/>
      <c r="GT853" s="157"/>
      <c r="GU853" s="157"/>
      <c r="GV853" s="157"/>
      <c r="GW853" s="157"/>
      <c r="GX853" s="157"/>
      <c r="GY853" s="157"/>
      <c r="GZ853" s="157"/>
      <c r="HA853" s="157"/>
      <c r="HB853" s="155">
        <v>0.0</v>
      </c>
      <c r="HC853" s="155">
        <v>0.0</v>
      </c>
      <c r="HD853" s="155">
        <v>0.0</v>
      </c>
      <c r="HE853" s="155">
        <v>0.0</v>
      </c>
      <c r="HF853" s="155">
        <v>0.0</v>
      </c>
      <c r="HG853" s="155">
        <v>0.0</v>
      </c>
      <c r="IL853" s="159">
        <v>0.0</v>
      </c>
      <c r="IM853" s="156">
        <v>0.0</v>
      </c>
      <c r="IN853" s="156">
        <v>0.0</v>
      </c>
      <c r="IO853" s="156">
        <v>0.0</v>
      </c>
      <c r="IP853" s="156">
        <v>0.0</v>
      </c>
      <c r="IQ853" s="160">
        <v>0.0</v>
      </c>
      <c r="JH853" s="25"/>
      <c r="JW853" s="159">
        <v>0.0</v>
      </c>
      <c r="JX853" s="156">
        <v>0.0</v>
      </c>
      <c r="JY853" s="156">
        <v>0.0</v>
      </c>
      <c r="JZ853" s="156">
        <v>0.0</v>
      </c>
      <c r="KA853" s="156">
        <v>0.0</v>
      </c>
      <c r="KB853" s="160">
        <v>0.0</v>
      </c>
      <c r="LH853" s="159">
        <f t="shared" si="10"/>
        <v>0</v>
      </c>
      <c r="LI853" s="156">
        <f t="shared" si="11"/>
        <v>0</v>
      </c>
      <c r="LJ853" s="156">
        <f t="shared" si="12"/>
        <v>0</v>
      </c>
      <c r="LK853" s="156">
        <f t="shared" si="13"/>
        <v>0</v>
      </c>
      <c r="LL853" s="156">
        <f t="shared" si="14"/>
        <v>0</v>
      </c>
      <c r="LM853" s="160">
        <f t="shared" si="15"/>
        <v>0</v>
      </c>
      <c r="QX853" s="633"/>
    </row>
    <row r="854">
      <c r="A854" s="12"/>
      <c r="B854" s="12"/>
      <c r="C854" s="12"/>
      <c r="D854" s="12"/>
      <c r="E854" s="12"/>
      <c r="F854" s="12"/>
      <c r="G854" s="12"/>
      <c r="H854" s="12"/>
      <c r="I854" s="143">
        <f t="shared" si="22"/>
        <v>0</v>
      </c>
      <c r="J854" s="108"/>
      <c r="K854" s="203"/>
      <c r="L854" s="108"/>
      <c r="V854" s="161"/>
      <c r="X854" s="140"/>
      <c r="Y854" s="166">
        <f t="shared" si="23"/>
        <v>0</v>
      </c>
      <c r="Z854" s="26">
        <f t="shared" si="7"/>
        <v>0</v>
      </c>
      <c r="AA854" s="26">
        <f t="shared" si="8"/>
        <v>0</v>
      </c>
      <c r="AB854" s="26">
        <f t="shared" si="9"/>
        <v>0</v>
      </c>
      <c r="AC854" s="156">
        <v>0.0</v>
      </c>
      <c r="AD854" s="156">
        <v>0.0</v>
      </c>
      <c r="AE854" s="156">
        <v>0.0</v>
      </c>
      <c r="AF854" s="156">
        <v>0.0</v>
      </c>
      <c r="AG854" s="156">
        <v>0.0</v>
      </c>
      <c r="AH854" s="156">
        <v>0.0</v>
      </c>
      <c r="BN854" s="155">
        <v>0.0</v>
      </c>
      <c r="BO854" s="155">
        <v>0.0</v>
      </c>
      <c r="BP854" s="155">
        <v>0.0</v>
      </c>
      <c r="BQ854" s="155">
        <v>0.0</v>
      </c>
      <c r="BR854" s="155">
        <v>0.0</v>
      </c>
      <c r="BS854" s="155">
        <v>0.0</v>
      </c>
      <c r="CV854" s="156">
        <v>0.0</v>
      </c>
      <c r="CW854" s="156">
        <v>0.0</v>
      </c>
      <c r="CX854" s="156">
        <v>0.0</v>
      </c>
      <c r="CY854" s="156">
        <v>0.0</v>
      </c>
      <c r="CZ854" s="156">
        <v>0.0</v>
      </c>
      <c r="DA854" s="156">
        <v>0.0</v>
      </c>
      <c r="EG854" s="156">
        <v>0.0</v>
      </c>
      <c r="EH854" s="156">
        <v>0.0</v>
      </c>
      <c r="EI854" s="156">
        <v>0.0</v>
      </c>
      <c r="EJ854" s="156">
        <v>0.0</v>
      </c>
      <c r="EK854" s="156">
        <v>0.0</v>
      </c>
      <c r="EL854" s="156">
        <v>0.0</v>
      </c>
      <c r="FQ854" s="156">
        <v>0.0</v>
      </c>
      <c r="FR854" s="156">
        <v>0.0</v>
      </c>
      <c r="FS854" s="156">
        <v>0.0</v>
      </c>
      <c r="FT854" s="156">
        <v>0.0</v>
      </c>
      <c r="FU854" s="156">
        <v>0.0</v>
      </c>
      <c r="FV854" s="156">
        <v>0.0</v>
      </c>
      <c r="FW854" s="157"/>
      <c r="FX854" s="157"/>
      <c r="FY854" s="157"/>
      <c r="FZ854" s="157"/>
      <c r="GA854" s="157"/>
      <c r="GB854" s="157"/>
      <c r="GC854" s="157"/>
      <c r="GD854" s="157"/>
      <c r="GE854" s="157"/>
      <c r="GF854" s="157"/>
      <c r="GG854" s="157"/>
      <c r="GH854" s="157"/>
      <c r="GI854" s="157"/>
      <c r="GJ854" s="157"/>
      <c r="GK854" s="157"/>
      <c r="GL854" s="157"/>
      <c r="GM854" s="157"/>
      <c r="GN854" s="157"/>
      <c r="GO854" s="157"/>
      <c r="GP854" s="158"/>
      <c r="GQ854" s="157"/>
      <c r="GR854" s="157"/>
      <c r="GS854" s="157"/>
      <c r="GT854" s="157"/>
      <c r="GU854" s="157"/>
      <c r="GV854" s="157"/>
      <c r="GW854" s="157"/>
      <c r="GX854" s="157"/>
      <c r="GY854" s="157"/>
      <c r="GZ854" s="157"/>
      <c r="HA854" s="157"/>
      <c r="HB854" s="155">
        <v>0.0</v>
      </c>
      <c r="HC854" s="155">
        <v>0.0</v>
      </c>
      <c r="HD854" s="155">
        <v>0.0</v>
      </c>
      <c r="HE854" s="155">
        <v>0.0</v>
      </c>
      <c r="HF854" s="155">
        <v>0.0</v>
      </c>
      <c r="HG854" s="155">
        <v>0.0</v>
      </c>
      <c r="IL854" s="159">
        <v>0.0</v>
      </c>
      <c r="IM854" s="156">
        <v>0.0</v>
      </c>
      <c r="IN854" s="156">
        <v>0.0</v>
      </c>
      <c r="IO854" s="156">
        <v>0.0</v>
      </c>
      <c r="IP854" s="156">
        <v>0.0</v>
      </c>
      <c r="IQ854" s="160">
        <v>0.0</v>
      </c>
      <c r="JH854" s="25"/>
      <c r="JW854" s="159">
        <v>0.0</v>
      </c>
      <c r="JX854" s="156">
        <v>0.0</v>
      </c>
      <c r="JY854" s="156">
        <v>0.0</v>
      </c>
      <c r="JZ854" s="156">
        <v>0.0</v>
      </c>
      <c r="KA854" s="156">
        <v>0.0</v>
      </c>
      <c r="KB854" s="160">
        <v>0.0</v>
      </c>
      <c r="LH854" s="159">
        <f t="shared" si="10"/>
        <v>0</v>
      </c>
      <c r="LI854" s="156">
        <f t="shared" si="11"/>
        <v>0</v>
      </c>
      <c r="LJ854" s="156">
        <f t="shared" si="12"/>
        <v>0</v>
      </c>
      <c r="LK854" s="156">
        <f t="shared" si="13"/>
        <v>0</v>
      </c>
      <c r="LL854" s="156">
        <f t="shared" si="14"/>
        <v>0</v>
      </c>
      <c r="LM854" s="160">
        <f t="shared" si="15"/>
        <v>0</v>
      </c>
      <c r="QX854" s="633"/>
    </row>
    <row r="855">
      <c r="A855" s="12"/>
      <c r="B855" s="12"/>
      <c r="C855" s="12"/>
      <c r="D855" s="12"/>
      <c r="E855" s="12"/>
      <c r="F855" s="12"/>
      <c r="G855" s="12"/>
      <c r="H855" s="12"/>
      <c r="I855" s="143">
        <f t="shared" si="22"/>
        <v>0</v>
      </c>
      <c r="J855" s="108"/>
      <c r="K855" s="203"/>
      <c r="L855" s="108"/>
      <c r="V855" s="161"/>
      <c r="X855" s="140"/>
      <c r="Y855" s="166">
        <f t="shared" si="23"/>
        <v>0</v>
      </c>
      <c r="Z855" s="26">
        <f t="shared" si="7"/>
        <v>0</v>
      </c>
      <c r="AA855" s="26">
        <f t="shared" si="8"/>
        <v>0</v>
      </c>
      <c r="AB855" s="26">
        <f t="shared" si="9"/>
        <v>0</v>
      </c>
      <c r="AC855" s="156">
        <v>0.0</v>
      </c>
      <c r="AD855" s="156">
        <v>0.0</v>
      </c>
      <c r="AE855" s="156">
        <v>0.0</v>
      </c>
      <c r="AF855" s="156">
        <v>0.0</v>
      </c>
      <c r="AG855" s="156">
        <v>0.0</v>
      </c>
      <c r="AH855" s="156">
        <v>0.0</v>
      </c>
      <c r="BN855" s="155">
        <v>0.0</v>
      </c>
      <c r="BO855" s="155">
        <v>0.0</v>
      </c>
      <c r="BP855" s="155">
        <v>0.0</v>
      </c>
      <c r="BQ855" s="155">
        <v>0.0</v>
      </c>
      <c r="BR855" s="155">
        <v>0.0</v>
      </c>
      <c r="BS855" s="155">
        <v>0.0</v>
      </c>
      <c r="CV855" s="156">
        <v>0.0</v>
      </c>
      <c r="CW855" s="156">
        <v>0.0</v>
      </c>
      <c r="CX855" s="156">
        <v>0.0</v>
      </c>
      <c r="CY855" s="156">
        <v>0.0</v>
      </c>
      <c r="CZ855" s="156">
        <v>0.0</v>
      </c>
      <c r="DA855" s="156">
        <v>0.0</v>
      </c>
      <c r="EG855" s="156">
        <v>0.0</v>
      </c>
      <c r="EH855" s="156">
        <v>0.0</v>
      </c>
      <c r="EI855" s="156">
        <v>0.0</v>
      </c>
      <c r="EJ855" s="156">
        <v>0.0</v>
      </c>
      <c r="EK855" s="156">
        <v>0.0</v>
      </c>
      <c r="EL855" s="156">
        <v>0.0</v>
      </c>
      <c r="FQ855" s="156">
        <v>0.0</v>
      </c>
      <c r="FR855" s="156">
        <v>0.0</v>
      </c>
      <c r="FS855" s="156">
        <v>0.0</v>
      </c>
      <c r="FT855" s="156">
        <v>0.0</v>
      </c>
      <c r="FU855" s="156">
        <v>0.0</v>
      </c>
      <c r="FV855" s="156">
        <v>0.0</v>
      </c>
      <c r="FW855" s="157"/>
      <c r="FX855" s="157"/>
      <c r="FY855" s="157"/>
      <c r="FZ855" s="157"/>
      <c r="GA855" s="157"/>
      <c r="GB855" s="157"/>
      <c r="GC855" s="157"/>
      <c r="GD855" s="157"/>
      <c r="GE855" s="157"/>
      <c r="GF855" s="157"/>
      <c r="GG855" s="157"/>
      <c r="GH855" s="157"/>
      <c r="GI855" s="157"/>
      <c r="GJ855" s="157"/>
      <c r="GK855" s="157"/>
      <c r="GL855" s="157"/>
      <c r="GM855" s="157"/>
      <c r="GN855" s="157"/>
      <c r="GO855" s="157"/>
      <c r="GP855" s="158"/>
      <c r="GQ855" s="157"/>
      <c r="GR855" s="157"/>
      <c r="GS855" s="157"/>
      <c r="GT855" s="157"/>
      <c r="GU855" s="157"/>
      <c r="GV855" s="157"/>
      <c r="GW855" s="157"/>
      <c r="GX855" s="157"/>
      <c r="GY855" s="157"/>
      <c r="GZ855" s="157"/>
      <c r="HA855" s="157"/>
      <c r="HB855" s="155">
        <v>0.0</v>
      </c>
      <c r="HC855" s="155">
        <v>0.0</v>
      </c>
      <c r="HD855" s="155">
        <v>0.0</v>
      </c>
      <c r="HE855" s="155">
        <v>0.0</v>
      </c>
      <c r="HF855" s="155">
        <v>0.0</v>
      </c>
      <c r="HG855" s="155">
        <v>0.0</v>
      </c>
      <c r="IL855" s="159">
        <v>0.0</v>
      </c>
      <c r="IM855" s="156">
        <v>0.0</v>
      </c>
      <c r="IN855" s="156">
        <v>0.0</v>
      </c>
      <c r="IO855" s="156">
        <v>0.0</v>
      </c>
      <c r="IP855" s="156">
        <v>0.0</v>
      </c>
      <c r="IQ855" s="160">
        <v>0.0</v>
      </c>
      <c r="JH855" s="25"/>
      <c r="JW855" s="159">
        <v>0.0</v>
      </c>
      <c r="JX855" s="156">
        <v>0.0</v>
      </c>
      <c r="JY855" s="156">
        <v>0.0</v>
      </c>
      <c r="JZ855" s="156">
        <v>0.0</v>
      </c>
      <c r="KA855" s="156">
        <v>0.0</v>
      </c>
      <c r="KB855" s="160">
        <v>0.0</v>
      </c>
      <c r="LH855" s="159">
        <f t="shared" si="10"/>
        <v>0</v>
      </c>
      <c r="LI855" s="156">
        <f t="shared" si="11"/>
        <v>0</v>
      </c>
      <c r="LJ855" s="156">
        <f t="shared" si="12"/>
        <v>0</v>
      </c>
      <c r="LK855" s="156">
        <f t="shared" si="13"/>
        <v>0</v>
      </c>
      <c r="LL855" s="156">
        <f t="shared" si="14"/>
        <v>0</v>
      </c>
      <c r="LM855" s="160">
        <f t="shared" si="15"/>
        <v>0</v>
      </c>
      <c r="QX855" s="633"/>
    </row>
    <row r="856">
      <c r="A856" s="12"/>
      <c r="B856" s="12"/>
      <c r="C856" s="12"/>
      <c r="D856" s="12"/>
      <c r="E856" s="12"/>
      <c r="F856" s="12"/>
      <c r="G856" s="12"/>
      <c r="H856" s="12"/>
      <c r="I856" s="143">
        <f t="shared" si="22"/>
        <v>0</v>
      </c>
      <c r="J856" s="108"/>
      <c r="K856" s="203"/>
      <c r="L856" s="108"/>
      <c r="V856" s="161"/>
      <c r="X856" s="140"/>
      <c r="Y856" s="166">
        <f t="shared" si="23"/>
        <v>0</v>
      </c>
      <c r="Z856" s="26">
        <f t="shared" si="7"/>
        <v>0</v>
      </c>
      <c r="AA856" s="26">
        <f t="shared" si="8"/>
        <v>0</v>
      </c>
      <c r="AB856" s="26">
        <f t="shared" si="9"/>
        <v>0</v>
      </c>
      <c r="AC856" s="156">
        <v>0.0</v>
      </c>
      <c r="AD856" s="156">
        <v>0.0</v>
      </c>
      <c r="AE856" s="156">
        <v>0.0</v>
      </c>
      <c r="AF856" s="156">
        <v>0.0</v>
      </c>
      <c r="AG856" s="156">
        <v>0.0</v>
      </c>
      <c r="AH856" s="156">
        <v>0.0</v>
      </c>
      <c r="BN856" s="155">
        <v>0.0</v>
      </c>
      <c r="BO856" s="155">
        <v>0.0</v>
      </c>
      <c r="BP856" s="155">
        <v>0.0</v>
      </c>
      <c r="BQ856" s="155">
        <v>0.0</v>
      </c>
      <c r="BR856" s="155">
        <v>0.0</v>
      </c>
      <c r="BS856" s="155">
        <v>0.0</v>
      </c>
      <c r="CV856" s="156">
        <v>0.0</v>
      </c>
      <c r="CW856" s="156">
        <v>0.0</v>
      </c>
      <c r="CX856" s="156">
        <v>0.0</v>
      </c>
      <c r="CY856" s="156">
        <v>0.0</v>
      </c>
      <c r="CZ856" s="156">
        <v>0.0</v>
      </c>
      <c r="DA856" s="156">
        <v>0.0</v>
      </c>
      <c r="EG856" s="156">
        <v>0.0</v>
      </c>
      <c r="EH856" s="156">
        <v>0.0</v>
      </c>
      <c r="EI856" s="156">
        <v>0.0</v>
      </c>
      <c r="EJ856" s="156">
        <v>0.0</v>
      </c>
      <c r="EK856" s="156">
        <v>0.0</v>
      </c>
      <c r="EL856" s="156">
        <v>0.0</v>
      </c>
      <c r="FQ856" s="156">
        <v>0.0</v>
      </c>
      <c r="FR856" s="156">
        <v>0.0</v>
      </c>
      <c r="FS856" s="156">
        <v>0.0</v>
      </c>
      <c r="FT856" s="156">
        <v>0.0</v>
      </c>
      <c r="FU856" s="156">
        <v>0.0</v>
      </c>
      <c r="FV856" s="156">
        <v>0.0</v>
      </c>
      <c r="FW856" s="157"/>
      <c r="FX856" s="157"/>
      <c r="FY856" s="157"/>
      <c r="FZ856" s="157"/>
      <c r="GA856" s="157"/>
      <c r="GB856" s="157"/>
      <c r="GC856" s="157"/>
      <c r="GD856" s="157"/>
      <c r="GE856" s="157"/>
      <c r="GF856" s="157"/>
      <c r="GG856" s="157"/>
      <c r="GH856" s="157"/>
      <c r="GI856" s="157"/>
      <c r="GJ856" s="157"/>
      <c r="GK856" s="157"/>
      <c r="GL856" s="157"/>
      <c r="GM856" s="157"/>
      <c r="GN856" s="157"/>
      <c r="GO856" s="157"/>
      <c r="GP856" s="158"/>
      <c r="GQ856" s="157"/>
      <c r="GR856" s="157"/>
      <c r="GS856" s="157"/>
      <c r="GT856" s="157"/>
      <c r="GU856" s="157"/>
      <c r="GV856" s="157"/>
      <c r="GW856" s="157"/>
      <c r="GX856" s="157"/>
      <c r="GY856" s="157"/>
      <c r="GZ856" s="157"/>
      <c r="HA856" s="157"/>
      <c r="HB856" s="155">
        <v>0.0</v>
      </c>
      <c r="HC856" s="155">
        <v>0.0</v>
      </c>
      <c r="HD856" s="155">
        <v>0.0</v>
      </c>
      <c r="HE856" s="155">
        <v>0.0</v>
      </c>
      <c r="HF856" s="155">
        <v>0.0</v>
      </c>
      <c r="HG856" s="155">
        <v>0.0</v>
      </c>
      <c r="IL856" s="159">
        <v>0.0</v>
      </c>
      <c r="IM856" s="156">
        <v>0.0</v>
      </c>
      <c r="IN856" s="156">
        <v>0.0</v>
      </c>
      <c r="IO856" s="156">
        <v>0.0</v>
      </c>
      <c r="IP856" s="156">
        <v>0.0</v>
      </c>
      <c r="IQ856" s="160">
        <v>0.0</v>
      </c>
      <c r="JH856" s="25"/>
      <c r="JW856" s="159">
        <v>0.0</v>
      </c>
      <c r="JX856" s="156">
        <v>0.0</v>
      </c>
      <c r="JY856" s="156">
        <v>0.0</v>
      </c>
      <c r="JZ856" s="156">
        <v>0.0</v>
      </c>
      <c r="KA856" s="156">
        <v>0.0</v>
      </c>
      <c r="KB856" s="160">
        <v>0.0</v>
      </c>
      <c r="LH856" s="159">
        <f t="shared" si="10"/>
        <v>0</v>
      </c>
      <c r="LI856" s="156">
        <f t="shared" si="11"/>
        <v>0</v>
      </c>
      <c r="LJ856" s="156">
        <f t="shared" si="12"/>
        <v>0</v>
      </c>
      <c r="LK856" s="156">
        <f t="shared" si="13"/>
        <v>0</v>
      </c>
      <c r="LL856" s="156">
        <f t="shared" si="14"/>
        <v>0</v>
      </c>
      <c r="LM856" s="160">
        <f t="shared" si="15"/>
        <v>0</v>
      </c>
      <c r="QX856" s="633"/>
    </row>
    <row r="857">
      <c r="A857" s="12"/>
      <c r="B857" s="12"/>
      <c r="C857" s="12"/>
      <c r="D857" s="12"/>
      <c r="E857" s="12"/>
      <c r="F857" s="12"/>
      <c r="G857" s="12"/>
      <c r="H857" s="12"/>
      <c r="I857" s="143">
        <f t="shared" si="22"/>
        <v>0</v>
      </c>
      <c r="J857" s="108"/>
      <c r="K857" s="203"/>
      <c r="L857" s="108"/>
      <c r="V857" s="161"/>
      <c r="X857" s="140"/>
      <c r="Y857" s="166">
        <f t="shared" si="23"/>
        <v>0</v>
      </c>
      <c r="Z857" s="26">
        <f t="shared" si="7"/>
        <v>0</v>
      </c>
      <c r="AA857" s="26">
        <f t="shared" si="8"/>
        <v>0</v>
      </c>
      <c r="AB857" s="26">
        <f t="shared" si="9"/>
        <v>0</v>
      </c>
      <c r="AC857" s="156">
        <v>0.0</v>
      </c>
      <c r="AD857" s="156">
        <v>0.0</v>
      </c>
      <c r="AE857" s="156">
        <v>0.0</v>
      </c>
      <c r="AF857" s="156">
        <v>0.0</v>
      </c>
      <c r="AG857" s="156">
        <v>0.0</v>
      </c>
      <c r="AH857" s="156">
        <v>0.0</v>
      </c>
      <c r="BN857" s="155">
        <v>0.0</v>
      </c>
      <c r="BO857" s="155">
        <v>0.0</v>
      </c>
      <c r="BP857" s="155">
        <v>0.0</v>
      </c>
      <c r="BQ857" s="155">
        <v>0.0</v>
      </c>
      <c r="BR857" s="155">
        <v>0.0</v>
      </c>
      <c r="BS857" s="155">
        <v>0.0</v>
      </c>
      <c r="CV857" s="156">
        <v>0.0</v>
      </c>
      <c r="CW857" s="156">
        <v>0.0</v>
      </c>
      <c r="CX857" s="156">
        <v>0.0</v>
      </c>
      <c r="CY857" s="156">
        <v>0.0</v>
      </c>
      <c r="CZ857" s="156">
        <v>0.0</v>
      </c>
      <c r="DA857" s="156">
        <v>0.0</v>
      </c>
      <c r="EG857" s="156">
        <v>0.0</v>
      </c>
      <c r="EH857" s="156">
        <v>0.0</v>
      </c>
      <c r="EI857" s="156">
        <v>0.0</v>
      </c>
      <c r="EJ857" s="156">
        <v>0.0</v>
      </c>
      <c r="EK857" s="156">
        <v>0.0</v>
      </c>
      <c r="EL857" s="156">
        <v>0.0</v>
      </c>
      <c r="FQ857" s="156">
        <v>0.0</v>
      </c>
      <c r="FR857" s="156">
        <v>0.0</v>
      </c>
      <c r="FS857" s="156">
        <v>0.0</v>
      </c>
      <c r="FT857" s="156">
        <v>0.0</v>
      </c>
      <c r="FU857" s="156">
        <v>0.0</v>
      </c>
      <c r="FV857" s="156">
        <v>0.0</v>
      </c>
      <c r="FW857" s="157"/>
      <c r="FX857" s="157"/>
      <c r="FY857" s="157"/>
      <c r="FZ857" s="157"/>
      <c r="GA857" s="157"/>
      <c r="GB857" s="157"/>
      <c r="GC857" s="157"/>
      <c r="GD857" s="157"/>
      <c r="GE857" s="157"/>
      <c r="GF857" s="157"/>
      <c r="GG857" s="157"/>
      <c r="GH857" s="157"/>
      <c r="GI857" s="157"/>
      <c r="GJ857" s="157"/>
      <c r="GK857" s="157"/>
      <c r="GL857" s="157"/>
      <c r="GM857" s="157"/>
      <c r="GN857" s="157"/>
      <c r="GO857" s="157"/>
      <c r="GP857" s="158"/>
      <c r="GQ857" s="157"/>
      <c r="GR857" s="157"/>
      <c r="GS857" s="157"/>
      <c r="GT857" s="157"/>
      <c r="GU857" s="157"/>
      <c r="GV857" s="157"/>
      <c r="GW857" s="157"/>
      <c r="GX857" s="157"/>
      <c r="GY857" s="157"/>
      <c r="GZ857" s="157"/>
      <c r="HA857" s="157"/>
      <c r="HB857" s="155">
        <v>0.0</v>
      </c>
      <c r="HC857" s="155">
        <v>0.0</v>
      </c>
      <c r="HD857" s="155">
        <v>0.0</v>
      </c>
      <c r="HE857" s="155">
        <v>0.0</v>
      </c>
      <c r="HF857" s="155">
        <v>0.0</v>
      </c>
      <c r="HG857" s="155">
        <v>0.0</v>
      </c>
      <c r="IL857" s="159">
        <v>0.0</v>
      </c>
      <c r="IM857" s="156">
        <v>0.0</v>
      </c>
      <c r="IN857" s="156">
        <v>0.0</v>
      </c>
      <c r="IO857" s="156">
        <v>0.0</v>
      </c>
      <c r="IP857" s="156">
        <v>0.0</v>
      </c>
      <c r="IQ857" s="160">
        <v>0.0</v>
      </c>
      <c r="JH857" s="25"/>
      <c r="JW857" s="159">
        <v>0.0</v>
      </c>
      <c r="JX857" s="156">
        <v>0.0</v>
      </c>
      <c r="JY857" s="156">
        <v>0.0</v>
      </c>
      <c r="JZ857" s="156">
        <v>0.0</v>
      </c>
      <c r="KA857" s="156">
        <v>0.0</v>
      </c>
      <c r="KB857" s="160">
        <v>0.0</v>
      </c>
      <c r="LH857" s="159">
        <f t="shared" si="10"/>
        <v>0</v>
      </c>
      <c r="LI857" s="156">
        <f t="shared" si="11"/>
        <v>0</v>
      </c>
      <c r="LJ857" s="156">
        <f t="shared" si="12"/>
        <v>0</v>
      </c>
      <c r="LK857" s="156">
        <f t="shared" si="13"/>
        <v>0</v>
      </c>
      <c r="LL857" s="156">
        <f t="shared" si="14"/>
        <v>0</v>
      </c>
      <c r="LM857" s="160">
        <f t="shared" si="15"/>
        <v>0</v>
      </c>
      <c r="QX857" s="633"/>
    </row>
    <row r="858">
      <c r="A858" s="12"/>
      <c r="B858" s="12"/>
      <c r="C858" s="12"/>
      <c r="D858" s="12"/>
      <c r="E858" s="12"/>
      <c r="F858" s="12"/>
      <c r="G858" s="12"/>
      <c r="H858" s="12"/>
      <c r="I858" s="143">
        <f t="shared" si="22"/>
        <v>0</v>
      </c>
      <c r="J858" s="108"/>
      <c r="K858" s="203"/>
      <c r="L858" s="108"/>
      <c r="V858" s="161"/>
      <c r="X858" s="140"/>
      <c r="Y858" s="166">
        <f t="shared" si="23"/>
        <v>0</v>
      </c>
      <c r="Z858" s="26">
        <f t="shared" si="7"/>
        <v>0</v>
      </c>
      <c r="AA858" s="26">
        <f t="shared" si="8"/>
        <v>0</v>
      </c>
      <c r="AB858" s="26">
        <f t="shared" si="9"/>
        <v>0</v>
      </c>
      <c r="AC858" s="156">
        <v>0.0</v>
      </c>
      <c r="AD858" s="156">
        <v>0.0</v>
      </c>
      <c r="AE858" s="156">
        <v>0.0</v>
      </c>
      <c r="AF858" s="156">
        <v>0.0</v>
      </c>
      <c r="AG858" s="156">
        <v>0.0</v>
      </c>
      <c r="AH858" s="156">
        <v>0.0</v>
      </c>
      <c r="BN858" s="155">
        <v>0.0</v>
      </c>
      <c r="BO858" s="155">
        <v>0.0</v>
      </c>
      <c r="BP858" s="155">
        <v>0.0</v>
      </c>
      <c r="BQ858" s="155">
        <v>0.0</v>
      </c>
      <c r="BR858" s="155">
        <v>0.0</v>
      </c>
      <c r="BS858" s="155">
        <v>0.0</v>
      </c>
      <c r="CV858" s="156">
        <v>0.0</v>
      </c>
      <c r="CW858" s="156">
        <v>0.0</v>
      </c>
      <c r="CX858" s="156">
        <v>0.0</v>
      </c>
      <c r="CY858" s="156">
        <v>0.0</v>
      </c>
      <c r="CZ858" s="156">
        <v>0.0</v>
      </c>
      <c r="DA858" s="156">
        <v>0.0</v>
      </c>
      <c r="EG858" s="156">
        <v>0.0</v>
      </c>
      <c r="EH858" s="156">
        <v>0.0</v>
      </c>
      <c r="EI858" s="156">
        <v>0.0</v>
      </c>
      <c r="EJ858" s="156">
        <v>0.0</v>
      </c>
      <c r="EK858" s="156">
        <v>0.0</v>
      </c>
      <c r="EL858" s="156">
        <v>0.0</v>
      </c>
      <c r="FQ858" s="156">
        <v>0.0</v>
      </c>
      <c r="FR858" s="156">
        <v>0.0</v>
      </c>
      <c r="FS858" s="156">
        <v>0.0</v>
      </c>
      <c r="FT858" s="156">
        <v>0.0</v>
      </c>
      <c r="FU858" s="156">
        <v>0.0</v>
      </c>
      <c r="FV858" s="156">
        <v>0.0</v>
      </c>
      <c r="FW858" s="157"/>
      <c r="FX858" s="157"/>
      <c r="FY858" s="157"/>
      <c r="FZ858" s="157"/>
      <c r="GA858" s="157"/>
      <c r="GB858" s="157"/>
      <c r="GC858" s="157"/>
      <c r="GD858" s="157"/>
      <c r="GE858" s="157"/>
      <c r="GF858" s="157"/>
      <c r="GG858" s="157"/>
      <c r="GH858" s="157"/>
      <c r="GI858" s="157"/>
      <c r="GJ858" s="157"/>
      <c r="GK858" s="157"/>
      <c r="GL858" s="157"/>
      <c r="GM858" s="157"/>
      <c r="GN858" s="157"/>
      <c r="GO858" s="157"/>
      <c r="GP858" s="158"/>
      <c r="GQ858" s="157"/>
      <c r="GR858" s="157"/>
      <c r="GS858" s="157"/>
      <c r="GT858" s="157"/>
      <c r="GU858" s="157"/>
      <c r="GV858" s="157"/>
      <c r="GW858" s="157"/>
      <c r="GX858" s="157"/>
      <c r="GY858" s="157"/>
      <c r="GZ858" s="157"/>
      <c r="HA858" s="157"/>
      <c r="HB858" s="155">
        <v>0.0</v>
      </c>
      <c r="HC858" s="155">
        <v>0.0</v>
      </c>
      <c r="HD858" s="155">
        <v>0.0</v>
      </c>
      <c r="HE858" s="155">
        <v>0.0</v>
      </c>
      <c r="HF858" s="155">
        <v>0.0</v>
      </c>
      <c r="HG858" s="155">
        <v>0.0</v>
      </c>
      <c r="IL858" s="159">
        <v>0.0</v>
      </c>
      <c r="IM858" s="156">
        <v>0.0</v>
      </c>
      <c r="IN858" s="156">
        <v>0.0</v>
      </c>
      <c r="IO858" s="156">
        <v>0.0</v>
      </c>
      <c r="IP858" s="156">
        <v>0.0</v>
      </c>
      <c r="IQ858" s="160">
        <v>0.0</v>
      </c>
      <c r="JH858" s="25"/>
      <c r="JW858" s="159">
        <v>0.0</v>
      </c>
      <c r="JX858" s="156">
        <v>0.0</v>
      </c>
      <c r="JY858" s="156">
        <v>0.0</v>
      </c>
      <c r="JZ858" s="156">
        <v>0.0</v>
      </c>
      <c r="KA858" s="156">
        <v>0.0</v>
      </c>
      <c r="KB858" s="160">
        <v>0.0</v>
      </c>
      <c r="LH858" s="159">
        <f t="shared" si="10"/>
        <v>0</v>
      </c>
      <c r="LI858" s="156">
        <f t="shared" si="11"/>
        <v>0</v>
      </c>
      <c r="LJ858" s="156">
        <f t="shared" si="12"/>
        <v>0</v>
      </c>
      <c r="LK858" s="156">
        <f t="shared" si="13"/>
        <v>0</v>
      </c>
      <c r="LL858" s="156">
        <f t="shared" si="14"/>
        <v>0</v>
      </c>
      <c r="LM858" s="160">
        <f t="shared" si="15"/>
        <v>0</v>
      </c>
      <c r="QX858" s="633"/>
    </row>
    <row r="859">
      <c r="A859" s="12"/>
      <c r="B859" s="12"/>
      <c r="C859" s="12"/>
      <c r="D859" s="12"/>
      <c r="E859" s="12"/>
      <c r="F859" s="12"/>
      <c r="G859" s="12"/>
      <c r="H859" s="12"/>
      <c r="I859" s="143">
        <f t="shared" si="22"/>
        <v>0</v>
      </c>
      <c r="J859" s="108"/>
      <c r="K859" s="203"/>
      <c r="L859" s="108"/>
      <c r="V859" s="161"/>
      <c r="X859" s="140"/>
      <c r="Y859" s="166">
        <f t="shared" si="23"/>
        <v>0</v>
      </c>
      <c r="Z859" s="26">
        <f t="shared" si="7"/>
        <v>0</v>
      </c>
      <c r="AA859" s="26">
        <f t="shared" si="8"/>
        <v>0</v>
      </c>
      <c r="AB859" s="26">
        <f t="shared" si="9"/>
        <v>0</v>
      </c>
      <c r="AC859" s="156">
        <v>0.0</v>
      </c>
      <c r="AD859" s="156">
        <v>0.0</v>
      </c>
      <c r="AE859" s="156">
        <v>0.0</v>
      </c>
      <c r="AF859" s="156">
        <v>0.0</v>
      </c>
      <c r="AG859" s="156">
        <v>0.0</v>
      </c>
      <c r="AH859" s="156">
        <v>0.0</v>
      </c>
      <c r="BN859" s="155">
        <v>0.0</v>
      </c>
      <c r="BO859" s="155">
        <v>0.0</v>
      </c>
      <c r="BP859" s="155">
        <v>0.0</v>
      </c>
      <c r="BQ859" s="155">
        <v>0.0</v>
      </c>
      <c r="BR859" s="155">
        <v>0.0</v>
      </c>
      <c r="BS859" s="155">
        <v>0.0</v>
      </c>
      <c r="CV859" s="156">
        <v>0.0</v>
      </c>
      <c r="CW859" s="156">
        <v>0.0</v>
      </c>
      <c r="CX859" s="156">
        <v>0.0</v>
      </c>
      <c r="CY859" s="156">
        <v>0.0</v>
      </c>
      <c r="CZ859" s="156">
        <v>0.0</v>
      </c>
      <c r="DA859" s="156">
        <v>0.0</v>
      </c>
      <c r="EG859" s="156">
        <v>0.0</v>
      </c>
      <c r="EH859" s="156">
        <v>0.0</v>
      </c>
      <c r="EI859" s="156">
        <v>0.0</v>
      </c>
      <c r="EJ859" s="156">
        <v>0.0</v>
      </c>
      <c r="EK859" s="156">
        <v>0.0</v>
      </c>
      <c r="EL859" s="156">
        <v>0.0</v>
      </c>
      <c r="FQ859" s="156">
        <v>0.0</v>
      </c>
      <c r="FR859" s="156">
        <v>0.0</v>
      </c>
      <c r="FS859" s="156">
        <v>0.0</v>
      </c>
      <c r="FT859" s="156">
        <v>0.0</v>
      </c>
      <c r="FU859" s="156">
        <v>0.0</v>
      </c>
      <c r="FV859" s="156">
        <v>0.0</v>
      </c>
      <c r="FW859" s="157"/>
      <c r="FX859" s="157"/>
      <c r="FY859" s="157"/>
      <c r="FZ859" s="157"/>
      <c r="GA859" s="157"/>
      <c r="GB859" s="157"/>
      <c r="GC859" s="157"/>
      <c r="GD859" s="157"/>
      <c r="GE859" s="157"/>
      <c r="GF859" s="157"/>
      <c r="GG859" s="157"/>
      <c r="GH859" s="157"/>
      <c r="GI859" s="157"/>
      <c r="GJ859" s="157"/>
      <c r="GK859" s="157"/>
      <c r="GL859" s="157"/>
      <c r="GM859" s="157"/>
      <c r="GN859" s="157"/>
      <c r="GO859" s="157"/>
      <c r="GP859" s="158"/>
      <c r="GQ859" s="157"/>
      <c r="GR859" s="157"/>
      <c r="GS859" s="157"/>
      <c r="GT859" s="157"/>
      <c r="GU859" s="157"/>
      <c r="GV859" s="157"/>
      <c r="GW859" s="157"/>
      <c r="GX859" s="157"/>
      <c r="GY859" s="157"/>
      <c r="GZ859" s="157"/>
      <c r="HA859" s="157"/>
      <c r="HB859" s="155">
        <v>0.0</v>
      </c>
      <c r="HC859" s="155">
        <v>0.0</v>
      </c>
      <c r="HD859" s="155">
        <v>0.0</v>
      </c>
      <c r="HE859" s="155">
        <v>0.0</v>
      </c>
      <c r="HF859" s="155">
        <v>0.0</v>
      </c>
      <c r="HG859" s="155">
        <v>0.0</v>
      </c>
      <c r="IL859" s="159">
        <v>0.0</v>
      </c>
      <c r="IM859" s="156">
        <v>0.0</v>
      </c>
      <c r="IN859" s="156">
        <v>0.0</v>
      </c>
      <c r="IO859" s="156">
        <v>0.0</v>
      </c>
      <c r="IP859" s="156">
        <v>0.0</v>
      </c>
      <c r="IQ859" s="160">
        <v>0.0</v>
      </c>
      <c r="JH859" s="25"/>
      <c r="JW859" s="159">
        <v>0.0</v>
      </c>
      <c r="JX859" s="156">
        <v>0.0</v>
      </c>
      <c r="JY859" s="156">
        <v>0.0</v>
      </c>
      <c r="JZ859" s="156">
        <v>0.0</v>
      </c>
      <c r="KA859" s="156">
        <v>0.0</v>
      </c>
      <c r="KB859" s="160">
        <v>0.0</v>
      </c>
      <c r="LH859" s="159">
        <f t="shared" si="10"/>
        <v>0</v>
      </c>
      <c r="LI859" s="156">
        <f t="shared" si="11"/>
        <v>0</v>
      </c>
      <c r="LJ859" s="156">
        <f t="shared" si="12"/>
        <v>0</v>
      </c>
      <c r="LK859" s="156">
        <f t="shared" si="13"/>
        <v>0</v>
      </c>
      <c r="LL859" s="156">
        <f t="shared" si="14"/>
        <v>0</v>
      </c>
      <c r="LM859" s="160">
        <f t="shared" si="15"/>
        <v>0</v>
      </c>
      <c r="QX859" s="633"/>
    </row>
    <row r="860">
      <c r="A860" s="12"/>
      <c r="B860" s="12"/>
      <c r="C860" s="12"/>
      <c r="D860" s="12"/>
      <c r="E860" s="12"/>
      <c r="F860" s="12"/>
      <c r="G860" s="12"/>
      <c r="H860" s="12"/>
      <c r="I860" s="143">
        <f t="shared" si="22"/>
        <v>0</v>
      </c>
      <c r="J860" s="108"/>
      <c r="K860" s="203"/>
      <c r="L860" s="108"/>
      <c r="V860" s="161"/>
      <c r="X860" s="140"/>
      <c r="Y860" s="166">
        <f t="shared" si="23"/>
        <v>0</v>
      </c>
      <c r="Z860" s="26">
        <f t="shared" si="7"/>
        <v>0</v>
      </c>
      <c r="AA860" s="26">
        <f t="shared" si="8"/>
        <v>0</v>
      </c>
      <c r="AB860" s="26">
        <f t="shared" si="9"/>
        <v>0</v>
      </c>
      <c r="AC860" s="156">
        <v>0.0</v>
      </c>
      <c r="AD860" s="156">
        <v>0.0</v>
      </c>
      <c r="AE860" s="156">
        <v>0.0</v>
      </c>
      <c r="AF860" s="156">
        <v>0.0</v>
      </c>
      <c r="AG860" s="156">
        <v>0.0</v>
      </c>
      <c r="AH860" s="156">
        <v>0.0</v>
      </c>
      <c r="BN860" s="155">
        <v>0.0</v>
      </c>
      <c r="BO860" s="155">
        <v>0.0</v>
      </c>
      <c r="BP860" s="155">
        <v>0.0</v>
      </c>
      <c r="BQ860" s="155">
        <v>0.0</v>
      </c>
      <c r="BR860" s="155">
        <v>0.0</v>
      </c>
      <c r="BS860" s="155">
        <v>0.0</v>
      </c>
      <c r="CV860" s="156">
        <v>0.0</v>
      </c>
      <c r="CW860" s="156">
        <v>0.0</v>
      </c>
      <c r="CX860" s="156">
        <v>0.0</v>
      </c>
      <c r="CY860" s="156">
        <v>0.0</v>
      </c>
      <c r="CZ860" s="156">
        <v>0.0</v>
      </c>
      <c r="DA860" s="156">
        <v>0.0</v>
      </c>
      <c r="EG860" s="156">
        <v>0.0</v>
      </c>
      <c r="EH860" s="156">
        <v>0.0</v>
      </c>
      <c r="EI860" s="156">
        <v>0.0</v>
      </c>
      <c r="EJ860" s="156">
        <v>0.0</v>
      </c>
      <c r="EK860" s="156">
        <v>0.0</v>
      </c>
      <c r="EL860" s="156">
        <v>0.0</v>
      </c>
      <c r="FQ860" s="156">
        <v>0.0</v>
      </c>
      <c r="FR860" s="156">
        <v>0.0</v>
      </c>
      <c r="FS860" s="156">
        <v>0.0</v>
      </c>
      <c r="FT860" s="156">
        <v>0.0</v>
      </c>
      <c r="FU860" s="156">
        <v>0.0</v>
      </c>
      <c r="FV860" s="156">
        <v>0.0</v>
      </c>
      <c r="FW860" s="157"/>
      <c r="FX860" s="157"/>
      <c r="FY860" s="157"/>
      <c r="FZ860" s="157"/>
      <c r="GA860" s="157"/>
      <c r="GB860" s="157"/>
      <c r="GC860" s="157"/>
      <c r="GD860" s="157"/>
      <c r="GE860" s="157"/>
      <c r="GF860" s="157"/>
      <c r="GG860" s="157"/>
      <c r="GH860" s="157"/>
      <c r="GI860" s="157"/>
      <c r="GJ860" s="157"/>
      <c r="GK860" s="157"/>
      <c r="GL860" s="157"/>
      <c r="GM860" s="157"/>
      <c r="GN860" s="157"/>
      <c r="GO860" s="157"/>
      <c r="GP860" s="158"/>
      <c r="GQ860" s="157"/>
      <c r="GR860" s="157"/>
      <c r="GS860" s="157"/>
      <c r="GT860" s="157"/>
      <c r="GU860" s="157"/>
      <c r="GV860" s="157"/>
      <c r="GW860" s="157"/>
      <c r="GX860" s="157"/>
      <c r="GY860" s="157"/>
      <c r="GZ860" s="157"/>
      <c r="HA860" s="157"/>
      <c r="HB860" s="155">
        <v>0.0</v>
      </c>
      <c r="HC860" s="155">
        <v>0.0</v>
      </c>
      <c r="HD860" s="155">
        <v>0.0</v>
      </c>
      <c r="HE860" s="155">
        <v>0.0</v>
      </c>
      <c r="HF860" s="155">
        <v>0.0</v>
      </c>
      <c r="HG860" s="155">
        <v>0.0</v>
      </c>
      <c r="IL860" s="159">
        <v>0.0</v>
      </c>
      <c r="IM860" s="156">
        <v>0.0</v>
      </c>
      <c r="IN860" s="156">
        <v>0.0</v>
      </c>
      <c r="IO860" s="156">
        <v>0.0</v>
      </c>
      <c r="IP860" s="156">
        <v>0.0</v>
      </c>
      <c r="IQ860" s="160">
        <v>0.0</v>
      </c>
      <c r="JH860" s="25"/>
      <c r="JW860" s="159">
        <v>0.0</v>
      </c>
      <c r="JX860" s="156">
        <v>0.0</v>
      </c>
      <c r="JY860" s="156">
        <v>0.0</v>
      </c>
      <c r="JZ860" s="156">
        <v>0.0</v>
      </c>
      <c r="KA860" s="156">
        <v>0.0</v>
      </c>
      <c r="KB860" s="160">
        <v>0.0</v>
      </c>
      <c r="LH860" s="159">
        <f t="shared" si="10"/>
        <v>0</v>
      </c>
      <c r="LI860" s="156">
        <f t="shared" si="11"/>
        <v>0</v>
      </c>
      <c r="LJ860" s="156">
        <f t="shared" si="12"/>
        <v>0</v>
      </c>
      <c r="LK860" s="156">
        <f t="shared" si="13"/>
        <v>0</v>
      </c>
      <c r="LL860" s="156">
        <f t="shared" si="14"/>
        <v>0</v>
      </c>
      <c r="LM860" s="160">
        <f t="shared" si="15"/>
        <v>0</v>
      </c>
      <c r="QX860" s="633"/>
    </row>
    <row r="861">
      <c r="A861" s="12"/>
      <c r="B861" s="12"/>
      <c r="C861" s="12"/>
      <c r="D861" s="12"/>
      <c r="E861" s="12"/>
      <c r="F861" s="12"/>
      <c r="G861" s="12"/>
      <c r="H861" s="12"/>
      <c r="I861" s="143">
        <f t="shared" si="22"/>
        <v>0</v>
      </c>
      <c r="J861" s="108"/>
      <c r="K861" s="203"/>
      <c r="L861" s="108"/>
      <c r="V861" s="161"/>
      <c r="X861" s="140"/>
      <c r="Y861" s="166">
        <f t="shared" si="23"/>
        <v>0</v>
      </c>
      <c r="Z861" s="26">
        <f t="shared" si="7"/>
        <v>0</v>
      </c>
      <c r="AA861" s="26">
        <f t="shared" si="8"/>
        <v>0</v>
      </c>
      <c r="AB861" s="26">
        <f t="shared" si="9"/>
        <v>0</v>
      </c>
      <c r="AC861" s="156">
        <v>0.0</v>
      </c>
      <c r="AD861" s="156">
        <v>0.0</v>
      </c>
      <c r="AE861" s="156">
        <v>0.0</v>
      </c>
      <c r="AF861" s="156">
        <v>0.0</v>
      </c>
      <c r="AG861" s="156">
        <v>0.0</v>
      </c>
      <c r="AH861" s="156">
        <v>0.0</v>
      </c>
      <c r="BN861" s="155">
        <v>0.0</v>
      </c>
      <c r="BO861" s="155">
        <v>0.0</v>
      </c>
      <c r="BP861" s="155">
        <v>0.0</v>
      </c>
      <c r="BQ861" s="155">
        <v>0.0</v>
      </c>
      <c r="BR861" s="155">
        <v>0.0</v>
      </c>
      <c r="BS861" s="155">
        <v>0.0</v>
      </c>
      <c r="CV861" s="156">
        <v>0.0</v>
      </c>
      <c r="CW861" s="156">
        <v>0.0</v>
      </c>
      <c r="CX861" s="156">
        <v>0.0</v>
      </c>
      <c r="CY861" s="156">
        <v>0.0</v>
      </c>
      <c r="CZ861" s="156">
        <v>0.0</v>
      </c>
      <c r="DA861" s="156">
        <v>0.0</v>
      </c>
      <c r="EG861" s="156">
        <v>0.0</v>
      </c>
      <c r="EH861" s="156">
        <v>0.0</v>
      </c>
      <c r="EI861" s="156">
        <v>0.0</v>
      </c>
      <c r="EJ861" s="156">
        <v>0.0</v>
      </c>
      <c r="EK861" s="156">
        <v>0.0</v>
      </c>
      <c r="EL861" s="156">
        <v>0.0</v>
      </c>
      <c r="FQ861" s="156">
        <v>0.0</v>
      </c>
      <c r="FR861" s="156">
        <v>0.0</v>
      </c>
      <c r="FS861" s="156">
        <v>0.0</v>
      </c>
      <c r="FT861" s="156">
        <v>0.0</v>
      </c>
      <c r="FU861" s="156">
        <v>0.0</v>
      </c>
      <c r="FV861" s="156">
        <v>0.0</v>
      </c>
      <c r="FW861" s="157"/>
      <c r="FX861" s="157"/>
      <c r="FY861" s="157"/>
      <c r="FZ861" s="157"/>
      <c r="GA861" s="157"/>
      <c r="GB861" s="157"/>
      <c r="GC861" s="157"/>
      <c r="GD861" s="157"/>
      <c r="GE861" s="157"/>
      <c r="GF861" s="157"/>
      <c r="GG861" s="157"/>
      <c r="GH861" s="157"/>
      <c r="GI861" s="157"/>
      <c r="GJ861" s="157"/>
      <c r="GK861" s="157"/>
      <c r="GL861" s="157"/>
      <c r="GM861" s="157"/>
      <c r="GN861" s="157"/>
      <c r="GO861" s="157"/>
      <c r="GP861" s="158"/>
      <c r="GQ861" s="157"/>
      <c r="GR861" s="157"/>
      <c r="GS861" s="157"/>
      <c r="GT861" s="157"/>
      <c r="GU861" s="157"/>
      <c r="GV861" s="157"/>
      <c r="GW861" s="157"/>
      <c r="GX861" s="157"/>
      <c r="GY861" s="157"/>
      <c r="GZ861" s="157"/>
      <c r="HA861" s="157"/>
      <c r="HB861" s="155">
        <v>0.0</v>
      </c>
      <c r="HC861" s="155">
        <v>0.0</v>
      </c>
      <c r="HD861" s="155">
        <v>0.0</v>
      </c>
      <c r="HE861" s="155">
        <v>0.0</v>
      </c>
      <c r="HF861" s="155">
        <v>0.0</v>
      </c>
      <c r="HG861" s="155">
        <v>0.0</v>
      </c>
      <c r="IL861" s="159">
        <v>0.0</v>
      </c>
      <c r="IM861" s="156">
        <v>0.0</v>
      </c>
      <c r="IN861" s="156">
        <v>0.0</v>
      </c>
      <c r="IO861" s="156">
        <v>0.0</v>
      </c>
      <c r="IP861" s="156">
        <v>0.0</v>
      </c>
      <c r="IQ861" s="160">
        <v>0.0</v>
      </c>
      <c r="JH861" s="25"/>
      <c r="JW861" s="159">
        <v>0.0</v>
      </c>
      <c r="JX861" s="156">
        <v>0.0</v>
      </c>
      <c r="JY861" s="156">
        <v>0.0</v>
      </c>
      <c r="JZ861" s="156">
        <v>0.0</v>
      </c>
      <c r="KA861" s="156">
        <v>0.0</v>
      </c>
      <c r="KB861" s="160">
        <v>0.0</v>
      </c>
      <c r="LH861" s="159">
        <f t="shared" si="10"/>
        <v>0</v>
      </c>
      <c r="LI861" s="156">
        <f t="shared" si="11"/>
        <v>0</v>
      </c>
      <c r="LJ861" s="156">
        <f t="shared" si="12"/>
        <v>0</v>
      </c>
      <c r="LK861" s="156">
        <f t="shared" si="13"/>
        <v>0</v>
      </c>
      <c r="LL861" s="156">
        <f t="shared" si="14"/>
        <v>0</v>
      </c>
      <c r="LM861" s="160">
        <f t="shared" si="15"/>
        <v>0</v>
      </c>
      <c r="QX861" s="633"/>
    </row>
    <row r="862">
      <c r="A862" s="12"/>
      <c r="B862" s="12"/>
      <c r="C862" s="12"/>
      <c r="D862" s="12"/>
      <c r="E862" s="12"/>
      <c r="F862" s="12"/>
      <c r="G862" s="12"/>
      <c r="H862" s="12"/>
      <c r="I862" s="143">
        <f t="shared" si="22"/>
        <v>0</v>
      </c>
      <c r="J862" s="108"/>
      <c r="K862" s="203"/>
      <c r="L862" s="108"/>
      <c r="V862" s="161"/>
      <c r="X862" s="140"/>
      <c r="Y862" s="166">
        <f t="shared" si="23"/>
        <v>0</v>
      </c>
      <c r="Z862" s="26">
        <f t="shared" si="7"/>
        <v>0</v>
      </c>
      <c r="AA862" s="26">
        <f t="shared" si="8"/>
        <v>0</v>
      </c>
      <c r="AB862" s="26">
        <f t="shared" si="9"/>
        <v>0</v>
      </c>
      <c r="AC862" s="156">
        <v>0.0</v>
      </c>
      <c r="AD862" s="156">
        <v>0.0</v>
      </c>
      <c r="AE862" s="156">
        <v>0.0</v>
      </c>
      <c r="AF862" s="156">
        <v>0.0</v>
      </c>
      <c r="AG862" s="156">
        <v>0.0</v>
      </c>
      <c r="AH862" s="156">
        <v>0.0</v>
      </c>
      <c r="BN862" s="155">
        <v>0.0</v>
      </c>
      <c r="BO862" s="155">
        <v>0.0</v>
      </c>
      <c r="BP862" s="155">
        <v>0.0</v>
      </c>
      <c r="BQ862" s="155">
        <v>0.0</v>
      </c>
      <c r="BR862" s="155">
        <v>0.0</v>
      </c>
      <c r="BS862" s="155">
        <v>0.0</v>
      </c>
      <c r="CV862" s="156">
        <v>0.0</v>
      </c>
      <c r="CW862" s="156">
        <v>0.0</v>
      </c>
      <c r="CX862" s="156">
        <v>0.0</v>
      </c>
      <c r="CY862" s="156">
        <v>0.0</v>
      </c>
      <c r="CZ862" s="156">
        <v>0.0</v>
      </c>
      <c r="DA862" s="156">
        <v>0.0</v>
      </c>
      <c r="EG862" s="156">
        <v>0.0</v>
      </c>
      <c r="EH862" s="156">
        <v>0.0</v>
      </c>
      <c r="EI862" s="156">
        <v>0.0</v>
      </c>
      <c r="EJ862" s="156">
        <v>0.0</v>
      </c>
      <c r="EK862" s="156">
        <v>0.0</v>
      </c>
      <c r="EL862" s="156">
        <v>0.0</v>
      </c>
      <c r="FQ862" s="156">
        <v>0.0</v>
      </c>
      <c r="FR862" s="156">
        <v>0.0</v>
      </c>
      <c r="FS862" s="156">
        <v>0.0</v>
      </c>
      <c r="FT862" s="156">
        <v>0.0</v>
      </c>
      <c r="FU862" s="156">
        <v>0.0</v>
      </c>
      <c r="FV862" s="156">
        <v>0.0</v>
      </c>
      <c r="FW862" s="157"/>
      <c r="FX862" s="157"/>
      <c r="FY862" s="157"/>
      <c r="FZ862" s="157"/>
      <c r="GA862" s="157"/>
      <c r="GB862" s="157"/>
      <c r="GC862" s="157"/>
      <c r="GD862" s="157"/>
      <c r="GE862" s="157"/>
      <c r="GF862" s="157"/>
      <c r="GG862" s="157"/>
      <c r="GH862" s="157"/>
      <c r="GI862" s="157"/>
      <c r="GJ862" s="157"/>
      <c r="GK862" s="157"/>
      <c r="GL862" s="157"/>
      <c r="GM862" s="157"/>
      <c r="GN862" s="157"/>
      <c r="GO862" s="157"/>
      <c r="GP862" s="158"/>
      <c r="GQ862" s="157"/>
      <c r="GR862" s="157"/>
      <c r="GS862" s="157"/>
      <c r="GT862" s="157"/>
      <c r="GU862" s="157"/>
      <c r="GV862" s="157"/>
      <c r="GW862" s="157"/>
      <c r="GX862" s="157"/>
      <c r="GY862" s="157"/>
      <c r="GZ862" s="157"/>
      <c r="HA862" s="157"/>
      <c r="HB862" s="155">
        <v>0.0</v>
      </c>
      <c r="HC862" s="155">
        <v>0.0</v>
      </c>
      <c r="HD862" s="155">
        <v>0.0</v>
      </c>
      <c r="HE862" s="155">
        <v>0.0</v>
      </c>
      <c r="HF862" s="155">
        <v>0.0</v>
      </c>
      <c r="HG862" s="155">
        <v>0.0</v>
      </c>
      <c r="IL862" s="159">
        <v>0.0</v>
      </c>
      <c r="IM862" s="156">
        <v>0.0</v>
      </c>
      <c r="IN862" s="156">
        <v>0.0</v>
      </c>
      <c r="IO862" s="156">
        <v>0.0</v>
      </c>
      <c r="IP862" s="156">
        <v>0.0</v>
      </c>
      <c r="IQ862" s="160">
        <v>0.0</v>
      </c>
      <c r="JH862" s="25"/>
      <c r="JW862" s="159">
        <v>0.0</v>
      </c>
      <c r="JX862" s="156">
        <v>0.0</v>
      </c>
      <c r="JY862" s="156">
        <v>0.0</v>
      </c>
      <c r="JZ862" s="156">
        <v>0.0</v>
      </c>
      <c r="KA862" s="156">
        <v>0.0</v>
      </c>
      <c r="KB862" s="160">
        <v>0.0</v>
      </c>
      <c r="LH862" s="159">
        <f t="shared" si="10"/>
        <v>0</v>
      </c>
      <c r="LI862" s="156">
        <f t="shared" si="11"/>
        <v>0</v>
      </c>
      <c r="LJ862" s="156">
        <f t="shared" si="12"/>
        <v>0</v>
      </c>
      <c r="LK862" s="156">
        <f t="shared" si="13"/>
        <v>0</v>
      </c>
      <c r="LL862" s="156">
        <f t="shared" si="14"/>
        <v>0</v>
      </c>
      <c r="LM862" s="160">
        <f t="shared" si="15"/>
        <v>0</v>
      </c>
      <c r="QX862" s="633"/>
    </row>
    <row r="863">
      <c r="A863" s="12"/>
      <c r="B863" s="12"/>
      <c r="C863" s="12"/>
      <c r="D863" s="12"/>
      <c r="E863" s="12"/>
      <c r="F863" s="12"/>
      <c r="G863" s="12"/>
      <c r="H863" s="12"/>
      <c r="I863" s="143">
        <f t="shared" si="22"/>
        <v>0</v>
      </c>
      <c r="J863" s="108"/>
      <c r="K863" s="203"/>
      <c r="L863" s="108"/>
      <c r="V863" s="161"/>
      <c r="X863" s="140"/>
      <c r="Y863" s="166">
        <f t="shared" si="23"/>
        <v>0</v>
      </c>
      <c r="Z863" s="26">
        <f t="shared" si="7"/>
        <v>0</v>
      </c>
      <c r="AA863" s="26">
        <f t="shared" si="8"/>
        <v>0</v>
      </c>
      <c r="AB863" s="26">
        <f t="shared" si="9"/>
        <v>0</v>
      </c>
      <c r="AC863" s="156">
        <v>0.0</v>
      </c>
      <c r="AD863" s="156">
        <v>0.0</v>
      </c>
      <c r="AE863" s="156">
        <v>0.0</v>
      </c>
      <c r="AF863" s="156">
        <v>0.0</v>
      </c>
      <c r="AG863" s="156">
        <v>0.0</v>
      </c>
      <c r="AH863" s="156">
        <v>0.0</v>
      </c>
      <c r="BN863" s="155">
        <v>0.0</v>
      </c>
      <c r="BO863" s="155">
        <v>0.0</v>
      </c>
      <c r="BP863" s="155">
        <v>0.0</v>
      </c>
      <c r="BQ863" s="155">
        <v>0.0</v>
      </c>
      <c r="BR863" s="155">
        <v>0.0</v>
      </c>
      <c r="BS863" s="155">
        <v>0.0</v>
      </c>
      <c r="CV863" s="156">
        <v>0.0</v>
      </c>
      <c r="CW863" s="156">
        <v>0.0</v>
      </c>
      <c r="CX863" s="156">
        <v>0.0</v>
      </c>
      <c r="CY863" s="156">
        <v>0.0</v>
      </c>
      <c r="CZ863" s="156">
        <v>0.0</v>
      </c>
      <c r="DA863" s="156">
        <v>0.0</v>
      </c>
      <c r="EG863" s="156">
        <v>0.0</v>
      </c>
      <c r="EH863" s="156">
        <v>0.0</v>
      </c>
      <c r="EI863" s="156">
        <v>0.0</v>
      </c>
      <c r="EJ863" s="156">
        <v>0.0</v>
      </c>
      <c r="EK863" s="156">
        <v>0.0</v>
      </c>
      <c r="EL863" s="156">
        <v>0.0</v>
      </c>
      <c r="FQ863" s="156">
        <v>0.0</v>
      </c>
      <c r="FR863" s="156">
        <v>0.0</v>
      </c>
      <c r="FS863" s="156">
        <v>0.0</v>
      </c>
      <c r="FT863" s="156">
        <v>0.0</v>
      </c>
      <c r="FU863" s="156">
        <v>0.0</v>
      </c>
      <c r="FV863" s="156">
        <v>0.0</v>
      </c>
      <c r="FW863" s="157"/>
      <c r="FX863" s="157"/>
      <c r="FY863" s="157"/>
      <c r="FZ863" s="157"/>
      <c r="GA863" s="157"/>
      <c r="GB863" s="157"/>
      <c r="GC863" s="157"/>
      <c r="GD863" s="157"/>
      <c r="GE863" s="157"/>
      <c r="GF863" s="157"/>
      <c r="GG863" s="157"/>
      <c r="GH863" s="157"/>
      <c r="GI863" s="157"/>
      <c r="GJ863" s="157"/>
      <c r="GK863" s="157"/>
      <c r="GL863" s="157"/>
      <c r="GM863" s="157"/>
      <c r="GN863" s="157"/>
      <c r="GO863" s="157"/>
      <c r="GP863" s="158"/>
      <c r="GQ863" s="157"/>
      <c r="GR863" s="157"/>
      <c r="GS863" s="157"/>
      <c r="GT863" s="157"/>
      <c r="GU863" s="157"/>
      <c r="GV863" s="157"/>
      <c r="GW863" s="157"/>
      <c r="GX863" s="157"/>
      <c r="GY863" s="157"/>
      <c r="GZ863" s="157"/>
      <c r="HA863" s="157"/>
      <c r="HB863" s="155">
        <v>0.0</v>
      </c>
      <c r="HC863" s="155">
        <v>0.0</v>
      </c>
      <c r="HD863" s="155">
        <v>0.0</v>
      </c>
      <c r="HE863" s="155">
        <v>0.0</v>
      </c>
      <c r="HF863" s="155">
        <v>0.0</v>
      </c>
      <c r="HG863" s="155">
        <v>0.0</v>
      </c>
      <c r="IL863" s="159">
        <v>0.0</v>
      </c>
      <c r="IM863" s="156">
        <v>0.0</v>
      </c>
      <c r="IN863" s="156">
        <v>0.0</v>
      </c>
      <c r="IO863" s="156">
        <v>0.0</v>
      </c>
      <c r="IP863" s="156">
        <v>0.0</v>
      </c>
      <c r="IQ863" s="160">
        <v>0.0</v>
      </c>
      <c r="JH863" s="25"/>
      <c r="JW863" s="159">
        <v>0.0</v>
      </c>
      <c r="JX863" s="156">
        <v>0.0</v>
      </c>
      <c r="JY863" s="156">
        <v>0.0</v>
      </c>
      <c r="JZ863" s="156">
        <v>0.0</v>
      </c>
      <c r="KA863" s="156">
        <v>0.0</v>
      </c>
      <c r="KB863" s="160">
        <v>0.0</v>
      </c>
      <c r="LH863" s="159">
        <f t="shared" si="10"/>
        <v>0</v>
      </c>
      <c r="LI863" s="156">
        <f t="shared" si="11"/>
        <v>0</v>
      </c>
      <c r="LJ863" s="156">
        <f t="shared" si="12"/>
        <v>0</v>
      </c>
      <c r="LK863" s="156">
        <f t="shared" si="13"/>
        <v>0</v>
      </c>
      <c r="LL863" s="156">
        <f t="shared" si="14"/>
        <v>0</v>
      </c>
      <c r="LM863" s="160">
        <f t="shared" si="15"/>
        <v>0</v>
      </c>
      <c r="QX863" s="633"/>
    </row>
    <row r="864">
      <c r="A864" s="12"/>
      <c r="B864" s="12"/>
      <c r="C864" s="12"/>
      <c r="D864" s="12"/>
      <c r="E864" s="12"/>
      <c r="F864" s="12"/>
      <c r="G864" s="12"/>
      <c r="H864" s="12"/>
      <c r="I864" s="143">
        <f t="shared" si="22"/>
        <v>0</v>
      </c>
      <c r="J864" s="108"/>
      <c r="K864" s="203"/>
      <c r="L864" s="108"/>
      <c r="V864" s="161"/>
      <c r="X864" s="140"/>
      <c r="Y864" s="166">
        <f t="shared" si="23"/>
        <v>0</v>
      </c>
      <c r="Z864" s="26">
        <f t="shared" si="7"/>
        <v>0</v>
      </c>
      <c r="AA864" s="26">
        <f t="shared" si="8"/>
        <v>0</v>
      </c>
      <c r="AB864" s="26">
        <f t="shared" si="9"/>
        <v>0</v>
      </c>
      <c r="AC864" s="156">
        <v>0.0</v>
      </c>
      <c r="AD864" s="156">
        <v>0.0</v>
      </c>
      <c r="AE864" s="156">
        <v>0.0</v>
      </c>
      <c r="AF864" s="156">
        <v>0.0</v>
      </c>
      <c r="AG864" s="156">
        <v>0.0</v>
      </c>
      <c r="AH864" s="156">
        <v>0.0</v>
      </c>
      <c r="BN864" s="155">
        <v>0.0</v>
      </c>
      <c r="BO864" s="155">
        <v>0.0</v>
      </c>
      <c r="BP864" s="155">
        <v>0.0</v>
      </c>
      <c r="BQ864" s="155">
        <v>0.0</v>
      </c>
      <c r="BR864" s="155">
        <v>0.0</v>
      </c>
      <c r="BS864" s="155">
        <v>0.0</v>
      </c>
      <c r="CV864" s="156">
        <v>0.0</v>
      </c>
      <c r="CW864" s="156">
        <v>0.0</v>
      </c>
      <c r="CX864" s="156">
        <v>0.0</v>
      </c>
      <c r="CY864" s="156">
        <v>0.0</v>
      </c>
      <c r="CZ864" s="156">
        <v>0.0</v>
      </c>
      <c r="DA864" s="156">
        <v>0.0</v>
      </c>
      <c r="EG864" s="156">
        <v>0.0</v>
      </c>
      <c r="EH864" s="156">
        <v>0.0</v>
      </c>
      <c r="EI864" s="156">
        <v>0.0</v>
      </c>
      <c r="EJ864" s="156">
        <v>0.0</v>
      </c>
      <c r="EK864" s="156">
        <v>0.0</v>
      </c>
      <c r="EL864" s="156">
        <v>0.0</v>
      </c>
      <c r="FQ864" s="156">
        <v>0.0</v>
      </c>
      <c r="FR864" s="156">
        <v>0.0</v>
      </c>
      <c r="FS864" s="156">
        <v>0.0</v>
      </c>
      <c r="FT864" s="156">
        <v>0.0</v>
      </c>
      <c r="FU864" s="156">
        <v>0.0</v>
      </c>
      <c r="FV864" s="156">
        <v>0.0</v>
      </c>
      <c r="FW864" s="157"/>
      <c r="FX864" s="157"/>
      <c r="FY864" s="157"/>
      <c r="FZ864" s="157"/>
      <c r="GA864" s="157"/>
      <c r="GB864" s="157"/>
      <c r="GC864" s="157"/>
      <c r="GD864" s="157"/>
      <c r="GE864" s="157"/>
      <c r="GF864" s="157"/>
      <c r="GG864" s="157"/>
      <c r="GH864" s="157"/>
      <c r="GI864" s="157"/>
      <c r="GJ864" s="157"/>
      <c r="GK864" s="157"/>
      <c r="GL864" s="157"/>
      <c r="GM864" s="157"/>
      <c r="GN864" s="157"/>
      <c r="GO864" s="157"/>
      <c r="GP864" s="158"/>
      <c r="GQ864" s="157"/>
      <c r="GR864" s="157"/>
      <c r="GS864" s="157"/>
      <c r="GT864" s="157"/>
      <c r="GU864" s="157"/>
      <c r="GV864" s="157"/>
      <c r="GW864" s="157"/>
      <c r="GX864" s="157"/>
      <c r="GY864" s="157"/>
      <c r="GZ864" s="157"/>
      <c r="HA864" s="157"/>
      <c r="HB864" s="155">
        <v>0.0</v>
      </c>
      <c r="HC864" s="155">
        <v>0.0</v>
      </c>
      <c r="HD864" s="155">
        <v>0.0</v>
      </c>
      <c r="HE864" s="155">
        <v>0.0</v>
      </c>
      <c r="HF864" s="155">
        <v>0.0</v>
      </c>
      <c r="HG864" s="155">
        <v>0.0</v>
      </c>
      <c r="IL864" s="159">
        <v>0.0</v>
      </c>
      <c r="IM864" s="156">
        <v>0.0</v>
      </c>
      <c r="IN864" s="156">
        <v>0.0</v>
      </c>
      <c r="IO864" s="156">
        <v>0.0</v>
      </c>
      <c r="IP864" s="156">
        <v>0.0</v>
      </c>
      <c r="IQ864" s="160">
        <v>0.0</v>
      </c>
      <c r="JH864" s="25"/>
      <c r="JW864" s="159">
        <v>0.0</v>
      </c>
      <c r="JX864" s="156">
        <v>0.0</v>
      </c>
      <c r="JY864" s="156">
        <v>0.0</v>
      </c>
      <c r="JZ864" s="156">
        <v>0.0</v>
      </c>
      <c r="KA864" s="156">
        <v>0.0</v>
      </c>
      <c r="KB864" s="160">
        <v>0.0</v>
      </c>
      <c r="LH864" s="159">
        <f t="shared" si="10"/>
        <v>0</v>
      </c>
      <c r="LI864" s="156">
        <f t="shared" si="11"/>
        <v>0</v>
      </c>
      <c r="LJ864" s="156">
        <f t="shared" si="12"/>
        <v>0</v>
      </c>
      <c r="LK864" s="156">
        <f t="shared" si="13"/>
        <v>0</v>
      </c>
      <c r="LL864" s="156">
        <f t="shared" si="14"/>
        <v>0</v>
      </c>
      <c r="LM864" s="160">
        <f t="shared" si="15"/>
        <v>0</v>
      </c>
      <c r="QX864" s="633"/>
    </row>
    <row r="865">
      <c r="A865" s="12"/>
      <c r="B865" s="12"/>
      <c r="C865" s="12"/>
      <c r="D865" s="12"/>
      <c r="E865" s="12"/>
      <c r="F865" s="12"/>
      <c r="G865" s="12"/>
      <c r="H865" s="12"/>
      <c r="I865" s="143">
        <f t="shared" si="22"/>
        <v>0</v>
      </c>
      <c r="J865" s="108"/>
      <c r="K865" s="203"/>
      <c r="L865" s="108"/>
      <c r="V865" s="161"/>
      <c r="X865" s="140"/>
      <c r="Y865" s="166">
        <f t="shared" si="23"/>
        <v>0</v>
      </c>
      <c r="Z865" s="26">
        <f t="shared" si="7"/>
        <v>0</v>
      </c>
      <c r="AA865" s="26">
        <f t="shared" si="8"/>
        <v>0</v>
      </c>
      <c r="AB865" s="26">
        <f t="shared" si="9"/>
        <v>0</v>
      </c>
      <c r="AC865" s="156">
        <v>0.0</v>
      </c>
      <c r="AD865" s="156">
        <v>0.0</v>
      </c>
      <c r="AE865" s="156">
        <v>0.0</v>
      </c>
      <c r="AF865" s="156">
        <v>0.0</v>
      </c>
      <c r="AG865" s="156">
        <v>0.0</v>
      </c>
      <c r="AH865" s="156">
        <v>0.0</v>
      </c>
      <c r="BN865" s="155">
        <v>0.0</v>
      </c>
      <c r="BO865" s="155">
        <v>0.0</v>
      </c>
      <c r="BP865" s="155">
        <v>0.0</v>
      </c>
      <c r="BQ865" s="155">
        <v>0.0</v>
      </c>
      <c r="BR865" s="155">
        <v>0.0</v>
      </c>
      <c r="BS865" s="155">
        <v>0.0</v>
      </c>
      <c r="CV865" s="156">
        <v>0.0</v>
      </c>
      <c r="CW865" s="156">
        <v>0.0</v>
      </c>
      <c r="CX865" s="156">
        <v>0.0</v>
      </c>
      <c r="CY865" s="156">
        <v>0.0</v>
      </c>
      <c r="CZ865" s="156">
        <v>0.0</v>
      </c>
      <c r="DA865" s="156">
        <v>0.0</v>
      </c>
      <c r="EG865" s="156">
        <v>0.0</v>
      </c>
      <c r="EH865" s="156">
        <v>0.0</v>
      </c>
      <c r="EI865" s="156">
        <v>0.0</v>
      </c>
      <c r="EJ865" s="156">
        <v>0.0</v>
      </c>
      <c r="EK865" s="156">
        <v>0.0</v>
      </c>
      <c r="EL865" s="156">
        <v>0.0</v>
      </c>
      <c r="FQ865" s="156">
        <v>0.0</v>
      </c>
      <c r="FR865" s="156">
        <v>0.0</v>
      </c>
      <c r="FS865" s="156">
        <v>0.0</v>
      </c>
      <c r="FT865" s="156">
        <v>0.0</v>
      </c>
      <c r="FU865" s="156">
        <v>0.0</v>
      </c>
      <c r="FV865" s="156">
        <v>0.0</v>
      </c>
      <c r="FW865" s="157"/>
      <c r="FX865" s="157"/>
      <c r="FY865" s="157"/>
      <c r="FZ865" s="157"/>
      <c r="GA865" s="157"/>
      <c r="GB865" s="157"/>
      <c r="GC865" s="157"/>
      <c r="GD865" s="157"/>
      <c r="GE865" s="157"/>
      <c r="GF865" s="157"/>
      <c r="GG865" s="157"/>
      <c r="GH865" s="157"/>
      <c r="GI865" s="157"/>
      <c r="GJ865" s="157"/>
      <c r="GK865" s="157"/>
      <c r="GL865" s="157"/>
      <c r="GM865" s="157"/>
      <c r="GN865" s="157"/>
      <c r="GO865" s="157"/>
      <c r="GP865" s="158"/>
      <c r="GQ865" s="157"/>
      <c r="GR865" s="157"/>
      <c r="GS865" s="157"/>
      <c r="GT865" s="157"/>
      <c r="GU865" s="157"/>
      <c r="GV865" s="157"/>
      <c r="GW865" s="157"/>
      <c r="GX865" s="157"/>
      <c r="GY865" s="157"/>
      <c r="GZ865" s="157"/>
      <c r="HA865" s="157"/>
      <c r="HB865" s="155">
        <v>0.0</v>
      </c>
      <c r="HC865" s="155">
        <v>0.0</v>
      </c>
      <c r="HD865" s="155">
        <v>0.0</v>
      </c>
      <c r="HE865" s="155">
        <v>0.0</v>
      </c>
      <c r="HF865" s="155">
        <v>0.0</v>
      </c>
      <c r="HG865" s="155">
        <v>0.0</v>
      </c>
      <c r="IL865" s="159">
        <v>0.0</v>
      </c>
      <c r="IM865" s="156">
        <v>0.0</v>
      </c>
      <c r="IN865" s="156">
        <v>0.0</v>
      </c>
      <c r="IO865" s="156">
        <v>0.0</v>
      </c>
      <c r="IP865" s="156">
        <v>0.0</v>
      </c>
      <c r="IQ865" s="160">
        <v>0.0</v>
      </c>
      <c r="JH865" s="25"/>
      <c r="JW865" s="159">
        <v>0.0</v>
      </c>
      <c r="JX865" s="156">
        <v>0.0</v>
      </c>
      <c r="JY865" s="156">
        <v>0.0</v>
      </c>
      <c r="JZ865" s="156">
        <v>0.0</v>
      </c>
      <c r="KA865" s="156">
        <v>0.0</v>
      </c>
      <c r="KB865" s="160">
        <v>0.0</v>
      </c>
      <c r="LH865" s="159">
        <f t="shared" si="10"/>
        <v>0</v>
      </c>
      <c r="LI865" s="156">
        <f t="shared" si="11"/>
        <v>0</v>
      </c>
      <c r="LJ865" s="156">
        <f t="shared" si="12"/>
        <v>0</v>
      </c>
      <c r="LK865" s="156">
        <f t="shared" si="13"/>
        <v>0</v>
      </c>
      <c r="LL865" s="156">
        <f t="shared" si="14"/>
        <v>0</v>
      </c>
      <c r="LM865" s="160">
        <f t="shared" si="15"/>
        <v>0</v>
      </c>
      <c r="QX865" s="633"/>
    </row>
    <row r="866">
      <c r="A866" s="12"/>
      <c r="B866" s="12"/>
      <c r="C866" s="12"/>
      <c r="D866" s="12"/>
      <c r="E866" s="12"/>
      <c r="F866" s="12"/>
      <c r="G866" s="12"/>
      <c r="H866" s="12"/>
      <c r="I866" s="143">
        <f t="shared" si="22"/>
        <v>0</v>
      </c>
      <c r="J866" s="108"/>
      <c r="K866" s="203"/>
      <c r="L866" s="108"/>
      <c r="V866" s="161"/>
      <c r="X866" s="140"/>
      <c r="Y866" s="166">
        <f t="shared" si="23"/>
        <v>0</v>
      </c>
      <c r="Z866" s="26">
        <f t="shared" si="7"/>
        <v>0</v>
      </c>
      <c r="AA866" s="26">
        <f t="shared" si="8"/>
        <v>0</v>
      </c>
      <c r="AB866" s="26">
        <f t="shared" si="9"/>
        <v>0</v>
      </c>
      <c r="AC866" s="156">
        <v>0.0</v>
      </c>
      <c r="AD866" s="156">
        <v>0.0</v>
      </c>
      <c r="AE866" s="156">
        <v>0.0</v>
      </c>
      <c r="AF866" s="156">
        <v>0.0</v>
      </c>
      <c r="AG866" s="156">
        <v>0.0</v>
      </c>
      <c r="AH866" s="156">
        <v>0.0</v>
      </c>
      <c r="BN866" s="155">
        <v>0.0</v>
      </c>
      <c r="BO866" s="155">
        <v>0.0</v>
      </c>
      <c r="BP866" s="155">
        <v>0.0</v>
      </c>
      <c r="BQ866" s="155">
        <v>0.0</v>
      </c>
      <c r="BR866" s="155">
        <v>0.0</v>
      </c>
      <c r="BS866" s="155">
        <v>0.0</v>
      </c>
      <c r="CV866" s="156">
        <v>0.0</v>
      </c>
      <c r="CW866" s="156">
        <v>0.0</v>
      </c>
      <c r="CX866" s="156">
        <v>0.0</v>
      </c>
      <c r="CY866" s="156">
        <v>0.0</v>
      </c>
      <c r="CZ866" s="156">
        <v>0.0</v>
      </c>
      <c r="DA866" s="156">
        <v>0.0</v>
      </c>
      <c r="EG866" s="156">
        <v>0.0</v>
      </c>
      <c r="EH866" s="156">
        <v>0.0</v>
      </c>
      <c r="EI866" s="156">
        <v>0.0</v>
      </c>
      <c r="EJ866" s="156">
        <v>0.0</v>
      </c>
      <c r="EK866" s="156">
        <v>0.0</v>
      </c>
      <c r="EL866" s="156">
        <v>0.0</v>
      </c>
      <c r="FQ866" s="156">
        <v>0.0</v>
      </c>
      <c r="FR866" s="156">
        <v>0.0</v>
      </c>
      <c r="FS866" s="156">
        <v>0.0</v>
      </c>
      <c r="FT866" s="156">
        <v>0.0</v>
      </c>
      <c r="FU866" s="156">
        <v>0.0</v>
      </c>
      <c r="FV866" s="156">
        <v>0.0</v>
      </c>
      <c r="FW866" s="157"/>
      <c r="FX866" s="157"/>
      <c r="FY866" s="157"/>
      <c r="FZ866" s="157"/>
      <c r="GA866" s="157"/>
      <c r="GB866" s="157"/>
      <c r="GC866" s="157"/>
      <c r="GD866" s="157"/>
      <c r="GE866" s="157"/>
      <c r="GF866" s="157"/>
      <c r="GG866" s="157"/>
      <c r="GH866" s="157"/>
      <c r="GI866" s="157"/>
      <c r="GJ866" s="157"/>
      <c r="GK866" s="157"/>
      <c r="GL866" s="157"/>
      <c r="GM866" s="157"/>
      <c r="GN866" s="157"/>
      <c r="GO866" s="157"/>
      <c r="GP866" s="158"/>
      <c r="GQ866" s="157"/>
      <c r="GR866" s="157"/>
      <c r="GS866" s="157"/>
      <c r="GT866" s="157"/>
      <c r="GU866" s="157"/>
      <c r="GV866" s="157"/>
      <c r="GW866" s="157"/>
      <c r="GX866" s="157"/>
      <c r="GY866" s="157"/>
      <c r="GZ866" s="157"/>
      <c r="HA866" s="157"/>
      <c r="HB866" s="155">
        <v>0.0</v>
      </c>
      <c r="HC866" s="155">
        <v>0.0</v>
      </c>
      <c r="HD866" s="155">
        <v>0.0</v>
      </c>
      <c r="HE866" s="155">
        <v>0.0</v>
      </c>
      <c r="HF866" s="155">
        <v>0.0</v>
      </c>
      <c r="HG866" s="155">
        <v>0.0</v>
      </c>
      <c r="IL866" s="159">
        <v>0.0</v>
      </c>
      <c r="IM866" s="156">
        <v>0.0</v>
      </c>
      <c r="IN866" s="156">
        <v>0.0</v>
      </c>
      <c r="IO866" s="156">
        <v>0.0</v>
      </c>
      <c r="IP866" s="156">
        <v>0.0</v>
      </c>
      <c r="IQ866" s="160">
        <v>0.0</v>
      </c>
      <c r="JH866" s="25"/>
      <c r="JW866" s="159">
        <v>0.0</v>
      </c>
      <c r="JX866" s="156">
        <v>0.0</v>
      </c>
      <c r="JY866" s="156">
        <v>0.0</v>
      </c>
      <c r="JZ866" s="156">
        <v>0.0</v>
      </c>
      <c r="KA866" s="156">
        <v>0.0</v>
      </c>
      <c r="KB866" s="160">
        <v>0.0</v>
      </c>
      <c r="LH866" s="159">
        <f t="shared" si="10"/>
        <v>0</v>
      </c>
      <c r="LI866" s="156">
        <f t="shared" si="11"/>
        <v>0</v>
      </c>
      <c r="LJ866" s="156">
        <f t="shared" si="12"/>
        <v>0</v>
      </c>
      <c r="LK866" s="156">
        <f t="shared" si="13"/>
        <v>0</v>
      </c>
      <c r="LL866" s="156">
        <f t="shared" si="14"/>
        <v>0</v>
      </c>
      <c r="LM866" s="160">
        <f t="shared" si="15"/>
        <v>0</v>
      </c>
      <c r="QX866" s="633"/>
    </row>
    <row r="867">
      <c r="A867" s="12"/>
      <c r="B867" s="12"/>
      <c r="C867" s="12"/>
      <c r="D867" s="12"/>
      <c r="E867" s="12"/>
      <c r="F867" s="12"/>
      <c r="G867" s="12"/>
      <c r="H867" s="12"/>
      <c r="I867" s="143">
        <f t="shared" si="22"/>
        <v>0</v>
      </c>
      <c r="J867" s="108"/>
      <c r="K867" s="203"/>
      <c r="L867" s="108"/>
      <c r="V867" s="161"/>
      <c r="X867" s="140"/>
      <c r="Y867" s="166">
        <f t="shared" si="23"/>
        <v>0</v>
      </c>
      <c r="Z867" s="26">
        <f t="shared" si="7"/>
        <v>0</v>
      </c>
      <c r="AA867" s="26">
        <f t="shared" si="8"/>
        <v>0</v>
      </c>
      <c r="AB867" s="26">
        <f t="shared" si="9"/>
        <v>0</v>
      </c>
      <c r="AC867" s="156">
        <v>0.0</v>
      </c>
      <c r="AD867" s="156">
        <v>0.0</v>
      </c>
      <c r="AE867" s="156">
        <v>0.0</v>
      </c>
      <c r="AF867" s="156">
        <v>0.0</v>
      </c>
      <c r="AG867" s="156">
        <v>0.0</v>
      </c>
      <c r="AH867" s="156">
        <v>0.0</v>
      </c>
      <c r="BN867" s="155">
        <v>0.0</v>
      </c>
      <c r="BO867" s="155">
        <v>0.0</v>
      </c>
      <c r="BP867" s="155">
        <v>0.0</v>
      </c>
      <c r="BQ867" s="155">
        <v>0.0</v>
      </c>
      <c r="BR867" s="155">
        <v>0.0</v>
      </c>
      <c r="BS867" s="155">
        <v>0.0</v>
      </c>
      <c r="CV867" s="156">
        <v>0.0</v>
      </c>
      <c r="CW867" s="156">
        <v>0.0</v>
      </c>
      <c r="CX867" s="156">
        <v>0.0</v>
      </c>
      <c r="CY867" s="156">
        <v>0.0</v>
      </c>
      <c r="CZ867" s="156">
        <v>0.0</v>
      </c>
      <c r="DA867" s="156">
        <v>0.0</v>
      </c>
      <c r="EG867" s="156">
        <v>0.0</v>
      </c>
      <c r="EH867" s="156">
        <v>0.0</v>
      </c>
      <c r="EI867" s="156">
        <v>0.0</v>
      </c>
      <c r="EJ867" s="156">
        <v>0.0</v>
      </c>
      <c r="EK867" s="156">
        <v>0.0</v>
      </c>
      <c r="EL867" s="156">
        <v>0.0</v>
      </c>
      <c r="FQ867" s="156">
        <v>0.0</v>
      </c>
      <c r="FR867" s="156">
        <v>0.0</v>
      </c>
      <c r="FS867" s="156">
        <v>0.0</v>
      </c>
      <c r="FT867" s="156">
        <v>0.0</v>
      </c>
      <c r="FU867" s="156">
        <v>0.0</v>
      </c>
      <c r="FV867" s="156">
        <v>0.0</v>
      </c>
      <c r="FW867" s="157"/>
      <c r="FX867" s="157"/>
      <c r="FY867" s="157"/>
      <c r="FZ867" s="157"/>
      <c r="GA867" s="157"/>
      <c r="GB867" s="157"/>
      <c r="GC867" s="157"/>
      <c r="GD867" s="157"/>
      <c r="GE867" s="157"/>
      <c r="GF867" s="157"/>
      <c r="GG867" s="157"/>
      <c r="GH867" s="157"/>
      <c r="GI867" s="157"/>
      <c r="GJ867" s="157"/>
      <c r="GK867" s="157"/>
      <c r="GL867" s="157"/>
      <c r="GM867" s="157"/>
      <c r="GN867" s="157"/>
      <c r="GO867" s="157"/>
      <c r="GP867" s="158"/>
      <c r="GQ867" s="157"/>
      <c r="GR867" s="157"/>
      <c r="GS867" s="157"/>
      <c r="GT867" s="157"/>
      <c r="GU867" s="157"/>
      <c r="GV867" s="157"/>
      <c r="GW867" s="157"/>
      <c r="GX867" s="157"/>
      <c r="GY867" s="157"/>
      <c r="GZ867" s="157"/>
      <c r="HA867" s="157"/>
      <c r="HB867" s="155">
        <v>0.0</v>
      </c>
      <c r="HC867" s="155">
        <v>0.0</v>
      </c>
      <c r="HD867" s="155">
        <v>0.0</v>
      </c>
      <c r="HE867" s="155">
        <v>0.0</v>
      </c>
      <c r="HF867" s="155">
        <v>0.0</v>
      </c>
      <c r="HG867" s="155">
        <v>0.0</v>
      </c>
      <c r="IL867" s="159">
        <v>0.0</v>
      </c>
      <c r="IM867" s="156">
        <v>0.0</v>
      </c>
      <c r="IN867" s="156">
        <v>0.0</v>
      </c>
      <c r="IO867" s="156">
        <v>0.0</v>
      </c>
      <c r="IP867" s="156">
        <v>0.0</v>
      </c>
      <c r="IQ867" s="160">
        <v>0.0</v>
      </c>
      <c r="JH867" s="25"/>
      <c r="JW867" s="159">
        <v>0.0</v>
      </c>
      <c r="JX867" s="156">
        <v>0.0</v>
      </c>
      <c r="JY867" s="156">
        <v>0.0</v>
      </c>
      <c r="JZ867" s="156">
        <v>0.0</v>
      </c>
      <c r="KA867" s="156">
        <v>0.0</v>
      </c>
      <c r="KB867" s="160">
        <v>0.0</v>
      </c>
      <c r="LH867" s="159">
        <f t="shared" si="10"/>
        <v>0</v>
      </c>
      <c r="LI867" s="156">
        <f t="shared" si="11"/>
        <v>0</v>
      </c>
      <c r="LJ867" s="156">
        <f t="shared" si="12"/>
        <v>0</v>
      </c>
      <c r="LK867" s="156">
        <f t="shared" si="13"/>
        <v>0</v>
      </c>
      <c r="LL867" s="156">
        <f t="shared" si="14"/>
        <v>0</v>
      </c>
      <c r="LM867" s="160">
        <f t="shared" si="15"/>
        <v>0</v>
      </c>
      <c r="QX867" s="633"/>
    </row>
    <row r="868">
      <c r="A868" s="12"/>
      <c r="B868" s="12"/>
      <c r="C868" s="12"/>
      <c r="D868" s="12"/>
      <c r="E868" s="12"/>
      <c r="F868" s="12"/>
      <c r="G868" s="12"/>
      <c r="H868" s="12"/>
      <c r="I868" s="143">
        <f t="shared" si="22"/>
        <v>0</v>
      </c>
      <c r="J868" s="108"/>
      <c r="K868" s="203"/>
      <c r="L868" s="108"/>
      <c r="V868" s="161"/>
      <c r="X868" s="140"/>
      <c r="Y868" s="166">
        <f t="shared" si="23"/>
        <v>0</v>
      </c>
      <c r="Z868" s="26">
        <f t="shared" si="7"/>
        <v>0</v>
      </c>
      <c r="AA868" s="26">
        <f t="shared" si="8"/>
        <v>0</v>
      </c>
      <c r="AB868" s="26">
        <f t="shared" si="9"/>
        <v>0</v>
      </c>
      <c r="AC868" s="156">
        <v>0.0</v>
      </c>
      <c r="AD868" s="156">
        <v>0.0</v>
      </c>
      <c r="AE868" s="156">
        <v>0.0</v>
      </c>
      <c r="AF868" s="156">
        <v>0.0</v>
      </c>
      <c r="AG868" s="156">
        <v>0.0</v>
      </c>
      <c r="AH868" s="156">
        <v>0.0</v>
      </c>
      <c r="BN868" s="155">
        <v>0.0</v>
      </c>
      <c r="BO868" s="155">
        <v>0.0</v>
      </c>
      <c r="BP868" s="155">
        <v>0.0</v>
      </c>
      <c r="BQ868" s="155">
        <v>0.0</v>
      </c>
      <c r="BR868" s="155">
        <v>0.0</v>
      </c>
      <c r="BS868" s="155">
        <v>0.0</v>
      </c>
      <c r="CV868" s="156">
        <v>0.0</v>
      </c>
      <c r="CW868" s="156">
        <v>0.0</v>
      </c>
      <c r="CX868" s="156">
        <v>0.0</v>
      </c>
      <c r="CY868" s="156">
        <v>0.0</v>
      </c>
      <c r="CZ868" s="156">
        <v>0.0</v>
      </c>
      <c r="DA868" s="156">
        <v>0.0</v>
      </c>
      <c r="EG868" s="156">
        <v>0.0</v>
      </c>
      <c r="EH868" s="156">
        <v>0.0</v>
      </c>
      <c r="EI868" s="156">
        <v>0.0</v>
      </c>
      <c r="EJ868" s="156">
        <v>0.0</v>
      </c>
      <c r="EK868" s="156">
        <v>0.0</v>
      </c>
      <c r="EL868" s="156">
        <v>0.0</v>
      </c>
      <c r="FQ868" s="156">
        <v>0.0</v>
      </c>
      <c r="FR868" s="156">
        <v>0.0</v>
      </c>
      <c r="FS868" s="156">
        <v>0.0</v>
      </c>
      <c r="FT868" s="156">
        <v>0.0</v>
      </c>
      <c r="FU868" s="156">
        <v>0.0</v>
      </c>
      <c r="FV868" s="156">
        <v>0.0</v>
      </c>
      <c r="FW868" s="157"/>
      <c r="FX868" s="157"/>
      <c r="FY868" s="157"/>
      <c r="FZ868" s="157"/>
      <c r="GA868" s="157"/>
      <c r="GB868" s="157"/>
      <c r="GC868" s="157"/>
      <c r="GD868" s="157"/>
      <c r="GE868" s="157"/>
      <c r="GF868" s="157"/>
      <c r="GG868" s="157"/>
      <c r="GH868" s="157"/>
      <c r="GI868" s="157"/>
      <c r="GJ868" s="157"/>
      <c r="GK868" s="157"/>
      <c r="GL868" s="157"/>
      <c r="GM868" s="157"/>
      <c r="GN868" s="157"/>
      <c r="GO868" s="157"/>
      <c r="GP868" s="158"/>
      <c r="GQ868" s="157"/>
      <c r="GR868" s="157"/>
      <c r="GS868" s="157"/>
      <c r="GT868" s="157"/>
      <c r="GU868" s="157"/>
      <c r="GV868" s="157"/>
      <c r="GW868" s="157"/>
      <c r="GX868" s="157"/>
      <c r="GY868" s="157"/>
      <c r="GZ868" s="157"/>
      <c r="HA868" s="157"/>
      <c r="HB868" s="155">
        <v>0.0</v>
      </c>
      <c r="HC868" s="155">
        <v>0.0</v>
      </c>
      <c r="HD868" s="155">
        <v>0.0</v>
      </c>
      <c r="HE868" s="155">
        <v>0.0</v>
      </c>
      <c r="HF868" s="155">
        <v>0.0</v>
      </c>
      <c r="HG868" s="155">
        <v>0.0</v>
      </c>
      <c r="IL868" s="159">
        <v>0.0</v>
      </c>
      <c r="IM868" s="156">
        <v>0.0</v>
      </c>
      <c r="IN868" s="156">
        <v>0.0</v>
      </c>
      <c r="IO868" s="156">
        <v>0.0</v>
      </c>
      <c r="IP868" s="156">
        <v>0.0</v>
      </c>
      <c r="IQ868" s="160">
        <v>0.0</v>
      </c>
      <c r="JH868" s="25"/>
      <c r="JW868" s="159">
        <v>0.0</v>
      </c>
      <c r="JX868" s="156">
        <v>0.0</v>
      </c>
      <c r="JY868" s="156">
        <v>0.0</v>
      </c>
      <c r="JZ868" s="156">
        <v>0.0</v>
      </c>
      <c r="KA868" s="156">
        <v>0.0</v>
      </c>
      <c r="KB868" s="160">
        <v>0.0</v>
      </c>
      <c r="LH868" s="159">
        <f t="shared" si="10"/>
        <v>0</v>
      </c>
      <c r="LI868" s="156">
        <f t="shared" si="11"/>
        <v>0</v>
      </c>
      <c r="LJ868" s="156">
        <f t="shared" si="12"/>
        <v>0</v>
      </c>
      <c r="LK868" s="156">
        <f t="shared" si="13"/>
        <v>0</v>
      </c>
      <c r="LL868" s="156">
        <f t="shared" si="14"/>
        <v>0</v>
      </c>
      <c r="LM868" s="160">
        <f t="shared" si="15"/>
        <v>0</v>
      </c>
      <c r="QX868" s="633"/>
    </row>
    <row r="869">
      <c r="A869" s="12"/>
      <c r="B869" s="12"/>
      <c r="C869" s="12"/>
      <c r="D869" s="12"/>
      <c r="E869" s="12"/>
      <c r="F869" s="12"/>
      <c r="G869" s="12"/>
      <c r="H869" s="12"/>
      <c r="I869" s="143">
        <f t="shared" si="22"/>
        <v>0</v>
      </c>
      <c r="J869" s="108"/>
      <c r="K869" s="203"/>
      <c r="L869" s="108"/>
      <c r="V869" s="161"/>
      <c r="X869" s="140"/>
      <c r="Y869" s="166">
        <f t="shared" si="23"/>
        <v>0</v>
      </c>
      <c r="Z869" s="26">
        <f t="shared" si="7"/>
        <v>0</v>
      </c>
      <c r="AA869" s="26">
        <f t="shared" si="8"/>
        <v>0</v>
      </c>
      <c r="AB869" s="26">
        <f t="shared" si="9"/>
        <v>0</v>
      </c>
      <c r="AC869" s="156">
        <v>0.0</v>
      </c>
      <c r="AD869" s="156">
        <v>0.0</v>
      </c>
      <c r="AE869" s="156">
        <v>0.0</v>
      </c>
      <c r="AF869" s="156">
        <v>0.0</v>
      </c>
      <c r="AG869" s="156">
        <v>0.0</v>
      </c>
      <c r="AH869" s="156">
        <v>0.0</v>
      </c>
      <c r="BN869" s="155">
        <v>0.0</v>
      </c>
      <c r="BO869" s="155">
        <v>0.0</v>
      </c>
      <c r="BP869" s="155">
        <v>0.0</v>
      </c>
      <c r="BQ869" s="155">
        <v>0.0</v>
      </c>
      <c r="BR869" s="155">
        <v>0.0</v>
      </c>
      <c r="BS869" s="155">
        <v>0.0</v>
      </c>
      <c r="CV869" s="156">
        <v>0.0</v>
      </c>
      <c r="CW869" s="156">
        <v>0.0</v>
      </c>
      <c r="CX869" s="156">
        <v>0.0</v>
      </c>
      <c r="CY869" s="156">
        <v>0.0</v>
      </c>
      <c r="CZ869" s="156">
        <v>0.0</v>
      </c>
      <c r="DA869" s="156">
        <v>0.0</v>
      </c>
      <c r="EG869" s="156">
        <v>0.0</v>
      </c>
      <c r="EH869" s="156">
        <v>0.0</v>
      </c>
      <c r="EI869" s="156">
        <v>0.0</v>
      </c>
      <c r="EJ869" s="156">
        <v>0.0</v>
      </c>
      <c r="EK869" s="156">
        <v>0.0</v>
      </c>
      <c r="EL869" s="156">
        <v>0.0</v>
      </c>
      <c r="FQ869" s="156">
        <v>0.0</v>
      </c>
      <c r="FR869" s="156">
        <v>0.0</v>
      </c>
      <c r="FS869" s="156">
        <v>0.0</v>
      </c>
      <c r="FT869" s="156">
        <v>0.0</v>
      </c>
      <c r="FU869" s="156">
        <v>0.0</v>
      </c>
      <c r="FV869" s="156">
        <v>0.0</v>
      </c>
      <c r="FW869" s="157"/>
      <c r="FX869" s="157"/>
      <c r="FY869" s="157"/>
      <c r="FZ869" s="157"/>
      <c r="GA869" s="157"/>
      <c r="GB869" s="157"/>
      <c r="GC869" s="157"/>
      <c r="GD869" s="157"/>
      <c r="GE869" s="157"/>
      <c r="GF869" s="157"/>
      <c r="GG869" s="157"/>
      <c r="GH869" s="157"/>
      <c r="GI869" s="157"/>
      <c r="GJ869" s="157"/>
      <c r="GK869" s="157"/>
      <c r="GL869" s="157"/>
      <c r="GM869" s="157"/>
      <c r="GN869" s="157"/>
      <c r="GO869" s="157"/>
      <c r="GP869" s="158"/>
      <c r="GQ869" s="157"/>
      <c r="GR869" s="157"/>
      <c r="GS869" s="157"/>
      <c r="GT869" s="157"/>
      <c r="GU869" s="157"/>
      <c r="GV869" s="157"/>
      <c r="GW869" s="157"/>
      <c r="GX869" s="157"/>
      <c r="GY869" s="157"/>
      <c r="GZ869" s="157"/>
      <c r="HA869" s="157"/>
      <c r="HB869" s="155">
        <v>0.0</v>
      </c>
      <c r="HC869" s="155">
        <v>0.0</v>
      </c>
      <c r="HD869" s="155">
        <v>0.0</v>
      </c>
      <c r="HE869" s="155">
        <v>0.0</v>
      </c>
      <c r="HF869" s="155">
        <v>0.0</v>
      </c>
      <c r="HG869" s="155">
        <v>0.0</v>
      </c>
      <c r="IL869" s="159">
        <v>0.0</v>
      </c>
      <c r="IM869" s="156">
        <v>0.0</v>
      </c>
      <c r="IN869" s="156">
        <v>0.0</v>
      </c>
      <c r="IO869" s="156">
        <v>0.0</v>
      </c>
      <c r="IP869" s="156">
        <v>0.0</v>
      </c>
      <c r="IQ869" s="160">
        <v>0.0</v>
      </c>
      <c r="JH869" s="25"/>
      <c r="JW869" s="159">
        <v>0.0</v>
      </c>
      <c r="JX869" s="156">
        <v>0.0</v>
      </c>
      <c r="JY869" s="156">
        <v>0.0</v>
      </c>
      <c r="JZ869" s="156">
        <v>0.0</v>
      </c>
      <c r="KA869" s="156">
        <v>0.0</v>
      </c>
      <c r="KB869" s="160">
        <v>0.0</v>
      </c>
      <c r="LH869" s="159">
        <f t="shared" si="10"/>
        <v>0</v>
      </c>
      <c r="LI869" s="156">
        <f t="shared" si="11"/>
        <v>0</v>
      </c>
      <c r="LJ869" s="156">
        <f t="shared" si="12"/>
        <v>0</v>
      </c>
      <c r="LK869" s="156">
        <f t="shared" si="13"/>
        <v>0</v>
      </c>
      <c r="LL869" s="156">
        <f t="shared" si="14"/>
        <v>0</v>
      </c>
      <c r="LM869" s="160">
        <f t="shared" si="15"/>
        <v>0</v>
      </c>
      <c r="QX869" s="633"/>
    </row>
    <row r="870">
      <c r="A870" s="12"/>
      <c r="B870" s="12"/>
      <c r="C870" s="12"/>
      <c r="D870" s="12"/>
      <c r="E870" s="12"/>
      <c r="F870" s="12"/>
      <c r="G870" s="12"/>
      <c r="H870" s="12"/>
      <c r="I870" s="143">
        <f t="shared" si="22"/>
        <v>0</v>
      </c>
      <c r="J870" s="108"/>
      <c r="K870" s="203"/>
      <c r="L870" s="108"/>
      <c r="V870" s="161"/>
      <c r="X870" s="140"/>
      <c r="Y870" s="166">
        <f t="shared" si="23"/>
        <v>0</v>
      </c>
      <c r="Z870" s="26">
        <f t="shared" si="7"/>
        <v>0</v>
      </c>
      <c r="AA870" s="26">
        <f t="shared" si="8"/>
        <v>0</v>
      </c>
      <c r="AB870" s="26">
        <f t="shared" si="9"/>
        <v>0</v>
      </c>
      <c r="AC870" s="156">
        <v>0.0</v>
      </c>
      <c r="AD870" s="156">
        <v>0.0</v>
      </c>
      <c r="AE870" s="156">
        <v>0.0</v>
      </c>
      <c r="AF870" s="156">
        <v>0.0</v>
      </c>
      <c r="AG870" s="156">
        <v>0.0</v>
      </c>
      <c r="AH870" s="156">
        <v>0.0</v>
      </c>
      <c r="BN870" s="155">
        <v>0.0</v>
      </c>
      <c r="BO870" s="155">
        <v>0.0</v>
      </c>
      <c r="BP870" s="155">
        <v>0.0</v>
      </c>
      <c r="BQ870" s="155">
        <v>0.0</v>
      </c>
      <c r="BR870" s="155">
        <v>0.0</v>
      </c>
      <c r="BS870" s="155">
        <v>0.0</v>
      </c>
      <c r="CV870" s="156">
        <v>0.0</v>
      </c>
      <c r="CW870" s="156">
        <v>0.0</v>
      </c>
      <c r="CX870" s="156">
        <v>0.0</v>
      </c>
      <c r="CY870" s="156">
        <v>0.0</v>
      </c>
      <c r="CZ870" s="156">
        <v>0.0</v>
      </c>
      <c r="DA870" s="156">
        <v>0.0</v>
      </c>
      <c r="EG870" s="156">
        <v>0.0</v>
      </c>
      <c r="EH870" s="156">
        <v>0.0</v>
      </c>
      <c r="EI870" s="156">
        <v>0.0</v>
      </c>
      <c r="EJ870" s="156">
        <v>0.0</v>
      </c>
      <c r="EK870" s="156">
        <v>0.0</v>
      </c>
      <c r="EL870" s="156">
        <v>0.0</v>
      </c>
      <c r="FQ870" s="156">
        <v>0.0</v>
      </c>
      <c r="FR870" s="156">
        <v>0.0</v>
      </c>
      <c r="FS870" s="156">
        <v>0.0</v>
      </c>
      <c r="FT870" s="156">
        <v>0.0</v>
      </c>
      <c r="FU870" s="156">
        <v>0.0</v>
      </c>
      <c r="FV870" s="156">
        <v>0.0</v>
      </c>
      <c r="FW870" s="157"/>
      <c r="FX870" s="157"/>
      <c r="FY870" s="157"/>
      <c r="FZ870" s="157"/>
      <c r="GA870" s="157"/>
      <c r="GB870" s="157"/>
      <c r="GC870" s="157"/>
      <c r="GD870" s="157"/>
      <c r="GE870" s="157"/>
      <c r="GF870" s="157"/>
      <c r="GG870" s="157"/>
      <c r="GH870" s="157"/>
      <c r="GI870" s="157"/>
      <c r="GJ870" s="157"/>
      <c r="GK870" s="157"/>
      <c r="GL870" s="157"/>
      <c r="GM870" s="157"/>
      <c r="GN870" s="157"/>
      <c r="GO870" s="157"/>
      <c r="GP870" s="158"/>
      <c r="GQ870" s="157"/>
      <c r="GR870" s="157"/>
      <c r="GS870" s="157"/>
      <c r="GT870" s="157"/>
      <c r="GU870" s="157"/>
      <c r="GV870" s="157"/>
      <c r="GW870" s="157"/>
      <c r="GX870" s="157"/>
      <c r="GY870" s="157"/>
      <c r="GZ870" s="157"/>
      <c r="HA870" s="157"/>
      <c r="HB870" s="155">
        <v>0.0</v>
      </c>
      <c r="HC870" s="155">
        <v>0.0</v>
      </c>
      <c r="HD870" s="155">
        <v>0.0</v>
      </c>
      <c r="HE870" s="155">
        <v>0.0</v>
      </c>
      <c r="HF870" s="155">
        <v>0.0</v>
      </c>
      <c r="HG870" s="155">
        <v>0.0</v>
      </c>
      <c r="IL870" s="159">
        <v>0.0</v>
      </c>
      <c r="IM870" s="156">
        <v>0.0</v>
      </c>
      <c r="IN870" s="156">
        <v>0.0</v>
      </c>
      <c r="IO870" s="156">
        <v>0.0</v>
      </c>
      <c r="IP870" s="156">
        <v>0.0</v>
      </c>
      <c r="IQ870" s="160">
        <v>0.0</v>
      </c>
      <c r="JH870" s="25"/>
      <c r="JW870" s="159">
        <v>0.0</v>
      </c>
      <c r="JX870" s="156">
        <v>0.0</v>
      </c>
      <c r="JY870" s="156">
        <v>0.0</v>
      </c>
      <c r="JZ870" s="156">
        <v>0.0</v>
      </c>
      <c r="KA870" s="156">
        <v>0.0</v>
      </c>
      <c r="KB870" s="160">
        <v>0.0</v>
      </c>
      <c r="LH870" s="159">
        <f t="shared" si="10"/>
        <v>0</v>
      </c>
      <c r="LI870" s="156">
        <f t="shared" si="11"/>
        <v>0</v>
      </c>
      <c r="LJ870" s="156">
        <f t="shared" si="12"/>
        <v>0</v>
      </c>
      <c r="LK870" s="156">
        <f t="shared" si="13"/>
        <v>0</v>
      </c>
      <c r="LL870" s="156">
        <f t="shared" si="14"/>
        <v>0</v>
      </c>
      <c r="LM870" s="160">
        <f t="shared" si="15"/>
        <v>0</v>
      </c>
      <c r="QX870" s="633"/>
    </row>
    <row r="871">
      <c r="A871" s="12"/>
      <c r="B871" s="12"/>
      <c r="C871" s="12"/>
      <c r="D871" s="12"/>
      <c r="E871" s="12"/>
      <c r="F871" s="12"/>
      <c r="G871" s="12"/>
      <c r="H871" s="12"/>
      <c r="I871" s="143">
        <f t="shared" si="22"/>
        <v>0</v>
      </c>
      <c r="J871" s="108"/>
      <c r="K871" s="203"/>
      <c r="L871" s="108"/>
      <c r="V871" s="161"/>
      <c r="X871" s="140"/>
      <c r="Y871" s="166">
        <f t="shared" si="23"/>
        <v>0</v>
      </c>
      <c r="Z871" s="26">
        <f t="shared" si="7"/>
        <v>0</v>
      </c>
      <c r="AA871" s="26">
        <f t="shared" si="8"/>
        <v>0</v>
      </c>
      <c r="AB871" s="26">
        <f t="shared" si="9"/>
        <v>0</v>
      </c>
      <c r="AC871" s="156">
        <v>0.0</v>
      </c>
      <c r="AD871" s="156">
        <v>0.0</v>
      </c>
      <c r="AE871" s="156">
        <v>0.0</v>
      </c>
      <c r="AF871" s="156">
        <v>0.0</v>
      </c>
      <c r="AG871" s="156">
        <v>0.0</v>
      </c>
      <c r="AH871" s="156">
        <v>0.0</v>
      </c>
      <c r="BN871" s="155">
        <v>0.0</v>
      </c>
      <c r="BO871" s="155">
        <v>0.0</v>
      </c>
      <c r="BP871" s="155">
        <v>0.0</v>
      </c>
      <c r="BQ871" s="155">
        <v>0.0</v>
      </c>
      <c r="BR871" s="155">
        <v>0.0</v>
      </c>
      <c r="BS871" s="155">
        <v>0.0</v>
      </c>
      <c r="CV871" s="156">
        <v>0.0</v>
      </c>
      <c r="CW871" s="156">
        <v>0.0</v>
      </c>
      <c r="CX871" s="156">
        <v>0.0</v>
      </c>
      <c r="CY871" s="156">
        <v>0.0</v>
      </c>
      <c r="CZ871" s="156">
        <v>0.0</v>
      </c>
      <c r="DA871" s="156">
        <v>0.0</v>
      </c>
      <c r="EG871" s="156">
        <v>0.0</v>
      </c>
      <c r="EH871" s="156">
        <v>0.0</v>
      </c>
      <c r="EI871" s="156">
        <v>0.0</v>
      </c>
      <c r="EJ871" s="156">
        <v>0.0</v>
      </c>
      <c r="EK871" s="156">
        <v>0.0</v>
      </c>
      <c r="EL871" s="156">
        <v>0.0</v>
      </c>
      <c r="FQ871" s="156">
        <v>0.0</v>
      </c>
      <c r="FR871" s="156">
        <v>0.0</v>
      </c>
      <c r="FS871" s="156">
        <v>0.0</v>
      </c>
      <c r="FT871" s="156">
        <v>0.0</v>
      </c>
      <c r="FU871" s="156">
        <v>0.0</v>
      </c>
      <c r="FV871" s="156">
        <v>0.0</v>
      </c>
      <c r="FW871" s="157"/>
      <c r="FX871" s="157"/>
      <c r="FY871" s="157"/>
      <c r="FZ871" s="157"/>
      <c r="GA871" s="157"/>
      <c r="GB871" s="157"/>
      <c r="GC871" s="157"/>
      <c r="GD871" s="157"/>
      <c r="GE871" s="157"/>
      <c r="GF871" s="157"/>
      <c r="GG871" s="157"/>
      <c r="GH871" s="157"/>
      <c r="GI871" s="157"/>
      <c r="GJ871" s="157"/>
      <c r="GK871" s="157"/>
      <c r="GL871" s="157"/>
      <c r="GM871" s="157"/>
      <c r="GN871" s="157"/>
      <c r="GO871" s="157"/>
      <c r="GP871" s="158"/>
      <c r="GQ871" s="157"/>
      <c r="GR871" s="157"/>
      <c r="GS871" s="157"/>
      <c r="GT871" s="157"/>
      <c r="GU871" s="157"/>
      <c r="GV871" s="157"/>
      <c r="GW871" s="157"/>
      <c r="GX871" s="157"/>
      <c r="GY871" s="157"/>
      <c r="GZ871" s="157"/>
      <c r="HA871" s="157"/>
      <c r="HB871" s="155">
        <v>0.0</v>
      </c>
      <c r="HC871" s="155">
        <v>0.0</v>
      </c>
      <c r="HD871" s="155">
        <v>0.0</v>
      </c>
      <c r="HE871" s="155">
        <v>0.0</v>
      </c>
      <c r="HF871" s="155">
        <v>0.0</v>
      </c>
      <c r="HG871" s="155">
        <v>0.0</v>
      </c>
      <c r="IL871" s="159">
        <v>0.0</v>
      </c>
      <c r="IM871" s="156">
        <v>0.0</v>
      </c>
      <c r="IN871" s="156">
        <v>0.0</v>
      </c>
      <c r="IO871" s="156">
        <v>0.0</v>
      </c>
      <c r="IP871" s="156">
        <v>0.0</v>
      </c>
      <c r="IQ871" s="160">
        <v>0.0</v>
      </c>
      <c r="JH871" s="25"/>
      <c r="JW871" s="159">
        <v>0.0</v>
      </c>
      <c r="JX871" s="156">
        <v>0.0</v>
      </c>
      <c r="JY871" s="156">
        <v>0.0</v>
      </c>
      <c r="JZ871" s="156">
        <v>0.0</v>
      </c>
      <c r="KA871" s="156">
        <v>0.0</v>
      </c>
      <c r="KB871" s="160">
        <v>0.0</v>
      </c>
      <c r="LH871" s="159">
        <f t="shared" si="10"/>
        <v>0</v>
      </c>
      <c r="LI871" s="156">
        <f t="shared" si="11"/>
        <v>0</v>
      </c>
      <c r="LJ871" s="156">
        <f t="shared" si="12"/>
        <v>0</v>
      </c>
      <c r="LK871" s="156">
        <f t="shared" si="13"/>
        <v>0</v>
      </c>
      <c r="LL871" s="156">
        <f t="shared" si="14"/>
        <v>0</v>
      </c>
      <c r="LM871" s="160">
        <f t="shared" si="15"/>
        <v>0</v>
      </c>
      <c r="QX871" s="633"/>
    </row>
    <row r="872">
      <c r="A872" s="12"/>
      <c r="B872" s="12"/>
      <c r="C872" s="12"/>
      <c r="D872" s="12"/>
      <c r="E872" s="12"/>
      <c r="F872" s="12"/>
      <c r="G872" s="12"/>
      <c r="H872" s="12"/>
      <c r="I872" s="143">
        <f t="shared" si="22"/>
        <v>0</v>
      </c>
      <c r="J872" s="108"/>
      <c r="K872" s="203"/>
      <c r="L872" s="108"/>
      <c r="V872" s="161"/>
      <c r="X872" s="140"/>
      <c r="Y872" s="166">
        <f t="shared" si="23"/>
        <v>0</v>
      </c>
      <c r="Z872" s="26">
        <f t="shared" si="7"/>
        <v>0</v>
      </c>
      <c r="AA872" s="26">
        <f t="shared" si="8"/>
        <v>0</v>
      </c>
      <c r="AB872" s="26">
        <f t="shared" si="9"/>
        <v>0</v>
      </c>
      <c r="AC872" s="156">
        <v>0.0</v>
      </c>
      <c r="AD872" s="156">
        <v>0.0</v>
      </c>
      <c r="AE872" s="156">
        <v>0.0</v>
      </c>
      <c r="AF872" s="156">
        <v>0.0</v>
      </c>
      <c r="AG872" s="156">
        <v>0.0</v>
      </c>
      <c r="AH872" s="156">
        <v>0.0</v>
      </c>
      <c r="BN872" s="155">
        <v>0.0</v>
      </c>
      <c r="BO872" s="155">
        <v>0.0</v>
      </c>
      <c r="BP872" s="155">
        <v>0.0</v>
      </c>
      <c r="BQ872" s="155">
        <v>0.0</v>
      </c>
      <c r="BR872" s="155">
        <v>0.0</v>
      </c>
      <c r="BS872" s="155">
        <v>0.0</v>
      </c>
      <c r="CV872" s="156">
        <v>0.0</v>
      </c>
      <c r="CW872" s="156">
        <v>0.0</v>
      </c>
      <c r="CX872" s="156">
        <v>0.0</v>
      </c>
      <c r="CY872" s="156">
        <v>0.0</v>
      </c>
      <c r="CZ872" s="156">
        <v>0.0</v>
      </c>
      <c r="DA872" s="156">
        <v>0.0</v>
      </c>
      <c r="EG872" s="156">
        <v>0.0</v>
      </c>
      <c r="EH872" s="156">
        <v>0.0</v>
      </c>
      <c r="EI872" s="156">
        <v>0.0</v>
      </c>
      <c r="EJ872" s="156">
        <v>0.0</v>
      </c>
      <c r="EK872" s="156">
        <v>0.0</v>
      </c>
      <c r="EL872" s="156">
        <v>0.0</v>
      </c>
      <c r="FQ872" s="156">
        <v>0.0</v>
      </c>
      <c r="FR872" s="156">
        <v>0.0</v>
      </c>
      <c r="FS872" s="156">
        <v>0.0</v>
      </c>
      <c r="FT872" s="156">
        <v>0.0</v>
      </c>
      <c r="FU872" s="156">
        <v>0.0</v>
      </c>
      <c r="FV872" s="156">
        <v>0.0</v>
      </c>
      <c r="FW872" s="157"/>
      <c r="FX872" s="157"/>
      <c r="FY872" s="157"/>
      <c r="FZ872" s="157"/>
      <c r="GA872" s="157"/>
      <c r="GB872" s="157"/>
      <c r="GC872" s="157"/>
      <c r="GD872" s="157"/>
      <c r="GE872" s="157"/>
      <c r="GF872" s="157"/>
      <c r="GG872" s="157"/>
      <c r="GH872" s="157"/>
      <c r="GI872" s="157"/>
      <c r="GJ872" s="157"/>
      <c r="GK872" s="157"/>
      <c r="GL872" s="157"/>
      <c r="GM872" s="157"/>
      <c r="GN872" s="157"/>
      <c r="GO872" s="157"/>
      <c r="GP872" s="158"/>
      <c r="GQ872" s="157"/>
      <c r="GR872" s="157"/>
      <c r="GS872" s="157"/>
      <c r="GT872" s="157"/>
      <c r="GU872" s="157"/>
      <c r="GV872" s="157"/>
      <c r="GW872" s="157"/>
      <c r="GX872" s="157"/>
      <c r="GY872" s="157"/>
      <c r="GZ872" s="157"/>
      <c r="HA872" s="157"/>
      <c r="HB872" s="155">
        <v>0.0</v>
      </c>
      <c r="HC872" s="155">
        <v>0.0</v>
      </c>
      <c r="HD872" s="155">
        <v>0.0</v>
      </c>
      <c r="HE872" s="155">
        <v>0.0</v>
      </c>
      <c r="HF872" s="155">
        <v>0.0</v>
      </c>
      <c r="HG872" s="155">
        <v>0.0</v>
      </c>
      <c r="IL872" s="159">
        <v>0.0</v>
      </c>
      <c r="IM872" s="156">
        <v>0.0</v>
      </c>
      <c r="IN872" s="156">
        <v>0.0</v>
      </c>
      <c r="IO872" s="156">
        <v>0.0</v>
      </c>
      <c r="IP872" s="156">
        <v>0.0</v>
      </c>
      <c r="IQ872" s="160">
        <v>0.0</v>
      </c>
      <c r="JH872" s="25"/>
      <c r="JW872" s="159">
        <v>0.0</v>
      </c>
      <c r="JX872" s="156">
        <v>0.0</v>
      </c>
      <c r="JY872" s="156">
        <v>0.0</v>
      </c>
      <c r="JZ872" s="156">
        <v>0.0</v>
      </c>
      <c r="KA872" s="156">
        <v>0.0</v>
      </c>
      <c r="KB872" s="160">
        <v>0.0</v>
      </c>
      <c r="LH872" s="159">
        <f t="shared" si="10"/>
        <v>0</v>
      </c>
      <c r="LI872" s="156">
        <f t="shared" si="11"/>
        <v>0</v>
      </c>
      <c r="LJ872" s="156">
        <f t="shared" si="12"/>
        <v>0</v>
      </c>
      <c r="LK872" s="156">
        <f t="shared" si="13"/>
        <v>0</v>
      </c>
      <c r="LL872" s="156">
        <f t="shared" si="14"/>
        <v>0</v>
      </c>
      <c r="LM872" s="160">
        <f t="shared" si="15"/>
        <v>0</v>
      </c>
      <c r="QX872" s="633"/>
    </row>
    <row r="873">
      <c r="A873" s="12"/>
      <c r="B873" s="12"/>
      <c r="C873" s="12"/>
      <c r="D873" s="12"/>
      <c r="E873" s="12"/>
      <c r="F873" s="12"/>
      <c r="G873" s="12"/>
      <c r="H873" s="12"/>
      <c r="I873" s="143">
        <f t="shared" si="22"/>
        <v>0</v>
      </c>
      <c r="J873" s="108"/>
      <c r="K873" s="203"/>
      <c r="L873" s="108"/>
      <c r="V873" s="161"/>
      <c r="X873" s="140"/>
      <c r="Y873" s="166">
        <f t="shared" si="23"/>
        <v>0</v>
      </c>
      <c r="Z873" s="26">
        <f t="shared" si="7"/>
        <v>0</v>
      </c>
      <c r="AA873" s="26">
        <f t="shared" si="8"/>
        <v>0</v>
      </c>
      <c r="AB873" s="26">
        <f t="shared" si="9"/>
        <v>0</v>
      </c>
      <c r="AC873" s="156">
        <v>0.0</v>
      </c>
      <c r="AD873" s="156">
        <v>0.0</v>
      </c>
      <c r="AE873" s="156">
        <v>0.0</v>
      </c>
      <c r="AF873" s="156">
        <v>0.0</v>
      </c>
      <c r="AG873" s="156">
        <v>0.0</v>
      </c>
      <c r="AH873" s="156">
        <v>0.0</v>
      </c>
      <c r="BN873" s="155">
        <v>0.0</v>
      </c>
      <c r="BO873" s="155">
        <v>0.0</v>
      </c>
      <c r="BP873" s="155">
        <v>0.0</v>
      </c>
      <c r="BQ873" s="155">
        <v>0.0</v>
      </c>
      <c r="BR873" s="155">
        <v>0.0</v>
      </c>
      <c r="BS873" s="155">
        <v>0.0</v>
      </c>
      <c r="CV873" s="156">
        <v>0.0</v>
      </c>
      <c r="CW873" s="156">
        <v>0.0</v>
      </c>
      <c r="CX873" s="156">
        <v>0.0</v>
      </c>
      <c r="CY873" s="156">
        <v>0.0</v>
      </c>
      <c r="CZ873" s="156">
        <v>0.0</v>
      </c>
      <c r="DA873" s="156">
        <v>0.0</v>
      </c>
      <c r="EG873" s="156">
        <v>0.0</v>
      </c>
      <c r="EH873" s="156">
        <v>0.0</v>
      </c>
      <c r="EI873" s="156">
        <v>0.0</v>
      </c>
      <c r="EJ873" s="156">
        <v>0.0</v>
      </c>
      <c r="EK873" s="156">
        <v>0.0</v>
      </c>
      <c r="EL873" s="156">
        <v>0.0</v>
      </c>
      <c r="FQ873" s="156">
        <v>0.0</v>
      </c>
      <c r="FR873" s="156">
        <v>0.0</v>
      </c>
      <c r="FS873" s="156">
        <v>0.0</v>
      </c>
      <c r="FT873" s="156">
        <v>0.0</v>
      </c>
      <c r="FU873" s="156">
        <v>0.0</v>
      </c>
      <c r="FV873" s="156">
        <v>0.0</v>
      </c>
      <c r="FW873" s="157"/>
      <c r="FX873" s="157"/>
      <c r="FY873" s="157"/>
      <c r="FZ873" s="157"/>
      <c r="GA873" s="157"/>
      <c r="GB873" s="157"/>
      <c r="GC873" s="157"/>
      <c r="GD873" s="157"/>
      <c r="GE873" s="157"/>
      <c r="GF873" s="157"/>
      <c r="GG873" s="157"/>
      <c r="GH873" s="157"/>
      <c r="GI873" s="157"/>
      <c r="GJ873" s="157"/>
      <c r="GK873" s="157"/>
      <c r="GL873" s="157"/>
      <c r="GM873" s="157"/>
      <c r="GN873" s="157"/>
      <c r="GO873" s="157"/>
      <c r="GP873" s="158"/>
      <c r="GQ873" s="157"/>
      <c r="GR873" s="157"/>
      <c r="GS873" s="157"/>
      <c r="GT873" s="157"/>
      <c r="GU873" s="157"/>
      <c r="GV873" s="157"/>
      <c r="GW873" s="157"/>
      <c r="GX873" s="157"/>
      <c r="GY873" s="157"/>
      <c r="GZ873" s="157"/>
      <c r="HA873" s="157"/>
      <c r="HB873" s="155">
        <v>0.0</v>
      </c>
      <c r="HC873" s="155">
        <v>0.0</v>
      </c>
      <c r="HD873" s="155">
        <v>0.0</v>
      </c>
      <c r="HE873" s="155">
        <v>0.0</v>
      </c>
      <c r="HF873" s="155">
        <v>0.0</v>
      </c>
      <c r="HG873" s="155">
        <v>0.0</v>
      </c>
      <c r="IL873" s="159">
        <v>0.0</v>
      </c>
      <c r="IM873" s="156">
        <v>0.0</v>
      </c>
      <c r="IN873" s="156">
        <v>0.0</v>
      </c>
      <c r="IO873" s="156">
        <v>0.0</v>
      </c>
      <c r="IP873" s="156">
        <v>0.0</v>
      </c>
      <c r="IQ873" s="160">
        <v>0.0</v>
      </c>
      <c r="JH873" s="25"/>
      <c r="JW873" s="159">
        <v>0.0</v>
      </c>
      <c r="JX873" s="156">
        <v>0.0</v>
      </c>
      <c r="JY873" s="156">
        <v>0.0</v>
      </c>
      <c r="JZ873" s="156">
        <v>0.0</v>
      </c>
      <c r="KA873" s="156">
        <v>0.0</v>
      </c>
      <c r="KB873" s="160">
        <v>0.0</v>
      </c>
      <c r="LH873" s="159">
        <f t="shared" si="10"/>
        <v>0</v>
      </c>
      <c r="LI873" s="156">
        <f t="shared" si="11"/>
        <v>0</v>
      </c>
      <c r="LJ873" s="156">
        <f t="shared" si="12"/>
        <v>0</v>
      </c>
      <c r="LK873" s="156">
        <f t="shared" si="13"/>
        <v>0</v>
      </c>
      <c r="LL873" s="156">
        <f t="shared" si="14"/>
        <v>0</v>
      </c>
      <c r="LM873" s="160">
        <f t="shared" si="15"/>
        <v>0</v>
      </c>
      <c r="QX873" s="633"/>
    </row>
    <row r="874">
      <c r="A874" s="12"/>
      <c r="B874" s="12"/>
      <c r="C874" s="12"/>
      <c r="D874" s="12"/>
      <c r="E874" s="12"/>
      <c r="F874" s="12"/>
      <c r="G874" s="12"/>
      <c r="H874" s="12"/>
      <c r="I874" s="143">
        <f t="shared" si="22"/>
        <v>0</v>
      </c>
      <c r="J874" s="108"/>
      <c r="K874" s="203"/>
      <c r="L874" s="108"/>
      <c r="V874" s="161"/>
      <c r="X874" s="140"/>
      <c r="Y874" s="166">
        <f t="shared" si="23"/>
        <v>0</v>
      </c>
      <c r="Z874" s="26">
        <f t="shared" si="7"/>
        <v>0</v>
      </c>
      <c r="AA874" s="26">
        <f t="shared" si="8"/>
        <v>0</v>
      </c>
      <c r="AB874" s="26">
        <f t="shared" si="9"/>
        <v>0</v>
      </c>
      <c r="AC874" s="156">
        <v>0.0</v>
      </c>
      <c r="AD874" s="156">
        <v>0.0</v>
      </c>
      <c r="AE874" s="156">
        <v>0.0</v>
      </c>
      <c r="AF874" s="156">
        <v>0.0</v>
      </c>
      <c r="AG874" s="156">
        <v>0.0</v>
      </c>
      <c r="AH874" s="156">
        <v>0.0</v>
      </c>
      <c r="BN874" s="155">
        <v>0.0</v>
      </c>
      <c r="BO874" s="155">
        <v>0.0</v>
      </c>
      <c r="BP874" s="155">
        <v>0.0</v>
      </c>
      <c r="BQ874" s="155">
        <v>0.0</v>
      </c>
      <c r="BR874" s="155">
        <v>0.0</v>
      </c>
      <c r="BS874" s="155">
        <v>0.0</v>
      </c>
      <c r="CV874" s="156">
        <v>0.0</v>
      </c>
      <c r="CW874" s="156">
        <v>0.0</v>
      </c>
      <c r="CX874" s="156">
        <v>0.0</v>
      </c>
      <c r="CY874" s="156">
        <v>0.0</v>
      </c>
      <c r="CZ874" s="156">
        <v>0.0</v>
      </c>
      <c r="DA874" s="156">
        <v>0.0</v>
      </c>
      <c r="EG874" s="156">
        <v>0.0</v>
      </c>
      <c r="EH874" s="156">
        <v>0.0</v>
      </c>
      <c r="EI874" s="156">
        <v>0.0</v>
      </c>
      <c r="EJ874" s="156">
        <v>0.0</v>
      </c>
      <c r="EK874" s="156">
        <v>0.0</v>
      </c>
      <c r="EL874" s="156">
        <v>0.0</v>
      </c>
      <c r="FQ874" s="156">
        <v>0.0</v>
      </c>
      <c r="FR874" s="156">
        <v>0.0</v>
      </c>
      <c r="FS874" s="156">
        <v>0.0</v>
      </c>
      <c r="FT874" s="156">
        <v>0.0</v>
      </c>
      <c r="FU874" s="156">
        <v>0.0</v>
      </c>
      <c r="FV874" s="156">
        <v>0.0</v>
      </c>
      <c r="FW874" s="157"/>
      <c r="FX874" s="157"/>
      <c r="FY874" s="157"/>
      <c r="FZ874" s="157"/>
      <c r="GA874" s="157"/>
      <c r="GB874" s="157"/>
      <c r="GC874" s="157"/>
      <c r="GD874" s="157"/>
      <c r="GE874" s="157"/>
      <c r="GF874" s="157"/>
      <c r="GG874" s="157"/>
      <c r="GH874" s="157"/>
      <c r="GI874" s="157"/>
      <c r="GJ874" s="157"/>
      <c r="GK874" s="157"/>
      <c r="GL874" s="157"/>
      <c r="GM874" s="157"/>
      <c r="GN874" s="157"/>
      <c r="GO874" s="157"/>
      <c r="GP874" s="158"/>
      <c r="GQ874" s="157"/>
      <c r="GR874" s="157"/>
      <c r="GS874" s="157"/>
      <c r="GT874" s="157"/>
      <c r="GU874" s="157"/>
      <c r="GV874" s="157"/>
      <c r="GW874" s="157"/>
      <c r="GX874" s="157"/>
      <c r="GY874" s="157"/>
      <c r="GZ874" s="157"/>
      <c r="HA874" s="157"/>
      <c r="HB874" s="155">
        <v>0.0</v>
      </c>
      <c r="HC874" s="155">
        <v>0.0</v>
      </c>
      <c r="HD874" s="155">
        <v>0.0</v>
      </c>
      <c r="HE874" s="155">
        <v>0.0</v>
      </c>
      <c r="HF874" s="155">
        <v>0.0</v>
      </c>
      <c r="HG874" s="155">
        <v>0.0</v>
      </c>
      <c r="IL874" s="159">
        <v>0.0</v>
      </c>
      <c r="IM874" s="156">
        <v>0.0</v>
      </c>
      <c r="IN874" s="156">
        <v>0.0</v>
      </c>
      <c r="IO874" s="156">
        <v>0.0</v>
      </c>
      <c r="IP874" s="156">
        <v>0.0</v>
      </c>
      <c r="IQ874" s="160">
        <v>0.0</v>
      </c>
      <c r="JH874" s="25"/>
      <c r="JW874" s="159">
        <v>0.0</v>
      </c>
      <c r="JX874" s="156">
        <v>0.0</v>
      </c>
      <c r="JY874" s="156">
        <v>0.0</v>
      </c>
      <c r="JZ874" s="156">
        <v>0.0</v>
      </c>
      <c r="KA874" s="156">
        <v>0.0</v>
      </c>
      <c r="KB874" s="160">
        <v>0.0</v>
      </c>
      <c r="LH874" s="159">
        <f t="shared" si="10"/>
        <v>0</v>
      </c>
      <c r="LI874" s="156">
        <f t="shared" si="11"/>
        <v>0</v>
      </c>
      <c r="LJ874" s="156">
        <f t="shared" si="12"/>
        <v>0</v>
      </c>
      <c r="LK874" s="156">
        <f t="shared" si="13"/>
        <v>0</v>
      </c>
      <c r="LL874" s="156">
        <f t="shared" si="14"/>
        <v>0</v>
      </c>
      <c r="LM874" s="160">
        <f t="shared" si="15"/>
        <v>0</v>
      </c>
      <c r="QX874" s="633"/>
    </row>
    <row r="875">
      <c r="A875" s="12"/>
      <c r="B875" s="12"/>
      <c r="C875" s="12"/>
      <c r="D875" s="12"/>
      <c r="E875" s="12"/>
      <c r="F875" s="12"/>
      <c r="G875" s="12"/>
      <c r="H875" s="12"/>
      <c r="I875" s="143">
        <f t="shared" si="22"/>
        <v>0</v>
      </c>
      <c r="J875" s="108"/>
      <c r="K875" s="203"/>
      <c r="L875" s="108"/>
      <c r="V875" s="161"/>
      <c r="X875" s="140"/>
      <c r="Y875" s="166">
        <f t="shared" si="23"/>
        <v>0</v>
      </c>
      <c r="Z875" s="26">
        <f t="shared" si="7"/>
        <v>0</v>
      </c>
      <c r="AA875" s="26">
        <f t="shared" si="8"/>
        <v>0</v>
      </c>
      <c r="AB875" s="26">
        <f t="shared" si="9"/>
        <v>0</v>
      </c>
      <c r="AC875" s="156">
        <v>0.0</v>
      </c>
      <c r="AD875" s="156">
        <v>0.0</v>
      </c>
      <c r="AE875" s="156">
        <v>0.0</v>
      </c>
      <c r="AF875" s="156">
        <v>0.0</v>
      </c>
      <c r="AG875" s="156">
        <v>0.0</v>
      </c>
      <c r="AH875" s="156">
        <v>0.0</v>
      </c>
      <c r="BN875" s="155">
        <v>0.0</v>
      </c>
      <c r="BO875" s="155">
        <v>0.0</v>
      </c>
      <c r="BP875" s="155">
        <v>0.0</v>
      </c>
      <c r="BQ875" s="155">
        <v>0.0</v>
      </c>
      <c r="BR875" s="155">
        <v>0.0</v>
      </c>
      <c r="BS875" s="155">
        <v>0.0</v>
      </c>
      <c r="CV875" s="156">
        <v>0.0</v>
      </c>
      <c r="CW875" s="156">
        <v>0.0</v>
      </c>
      <c r="CX875" s="156">
        <v>0.0</v>
      </c>
      <c r="CY875" s="156">
        <v>0.0</v>
      </c>
      <c r="CZ875" s="156">
        <v>0.0</v>
      </c>
      <c r="DA875" s="156">
        <v>0.0</v>
      </c>
      <c r="EG875" s="156">
        <v>0.0</v>
      </c>
      <c r="EH875" s="156">
        <v>0.0</v>
      </c>
      <c r="EI875" s="156">
        <v>0.0</v>
      </c>
      <c r="EJ875" s="156">
        <v>0.0</v>
      </c>
      <c r="EK875" s="156">
        <v>0.0</v>
      </c>
      <c r="EL875" s="156">
        <v>0.0</v>
      </c>
      <c r="FQ875" s="156">
        <v>0.0</v>
      </c>
      <c r="FR875" s="156">
        <v>0.0</v>
      </c>
      <c r="FS875" s="156">
        <v>0.0</v>
      </c>
      <c r="FT875" s="156">
        <v>0.0</v>
      </c>
      <c r="FU875" s="156">
        <v>0.0</v>
      </c>
      <c r="FV875" s="156">
        <v>0.0</v>
      </c>
      <c r="FW875" s="157"/>
      <c r="FX875" s="157"/>
      <c r="FY875" s="157"/>
      <c r="FZ875" s="157"/>
      <c r="GA875" s="157"/>
      <c r="GB875" s="157"/>
      <c r="GC875" s="157"/>
      <c r="GD875" s="157"/>
      <c r="GE875" s="157"/>
      <c r="GF875" s="157"/>
      <c r="GG875" s="157"/>
      <c r="GH875" s="157"/>
      <c r="GI875" s="157"/>
      <c r="GJ875" s="157"/>
      <c r="GK875" s="157"/>
      <c r="GL875" s="157"/>
      <c r="GM875" s="157"/>
      <c r="GN875" s="157"/>
      <c r="GO875" s="157"/>
      <c r="GP875" s="158"/>
      <c r="GQ875" s="157"/>
      <c r="GR875" s="157"/>
      <c r="GS875" s="157"/>
      <c r="GT875" s="157"/>
      <c r="GU875" s="157"/>
      <c r="GV875" s="157"/>
      <c r="GW875" s="157"/>
      <c r="GX875" s="157"/>
      <c r="GY875" s="157"/>
      <c r="GZ875" s="157"/>
      <c r="HA875" s="157"/>
      <c r="HB875" s="155">
        <v>0.0</v>
      </c>
      <c r="HC875" s="155">
        <v>0.0</v>
      </c>
      <c r="HD875" s="155">
        <v>0.0</v>
      </c>
      <c r="HE875" s="155">
        <v>0.0</v>
      </c>
      <c r="HF875" s="155">
        <v>0.0</v>
      </c>
      <c r="HG875" s="155">
        <v>0.0</v>
      </c>
      <c r="IL875" s="159">
        <v>0.0</v>
      </c>
      <c r="IM875" s="156">
        <v>0.0</v>
      </c>
      <c r="IN875" s="156">
        <v>0.0</v>
      </c>
      <c r="IO875" s="156">
        <v>0.0</v>
      </c>
      <c r="IP875" s="156">
        <v>0.0</v>
      </c>
      <c r="IQ875" s="160">
        <v>0.0</v>
      </c>
      <c r="JH875" s="25"/>
      <c r="JW875" s="159">
        <v>0.0</v>
      </c>
      <c r="JX875" s="156">
        <v>0.0</v>
      </c>
      <c r="JY875" s="156">
        <v>0.0</v>
      </c>
      <c r="JZ875" s="156">
        <v>0.0</v>
      </c>
      <c r="KA875" s="156">
        <v>0.0</v>
      </c>
      <c r="KB875" s="160">
        <v>0.0</v>
      </c>
      <c r="LH875" s="159">
        <f t="shared" si="10"/>
        <v>0</v>
      </c>
      <c r="LI875" s="156">
        <f t="shared" si="11"/>
        <v>0</v>
      </c>
      <c r="LJ875" s="156">
        <f t="shared" si="12"/>
        <v>0</v>
      </c>
      <c r="LK875" s="156">
        <f t="shared" si="13"/>
        <v>0</v>
      </c>
      <c r="LL875" s="156">
        <f t="shared" si="14"/>
        <v>0</v>
      </c>
      <c r="LM875" s="160">
        <f t="shared" si="15"/>
        <v>0</v>
      </c>
      <c r="QX875" s="633"/>
    </row>
    <row r="876">
      <c r="A876" s="12"/>
      <c r="B876" s="12"/>
      <c r="C876" s="12"/>
      <c r="D876" s="12"/>
      <c r="E876" s="12"/>
      <c r="F876" s="12"/>
      <c r="G876" s="12"/>
      <c r="H876" s="12"/>
      <c r="I876" s="143">
        <f t="shared" si="22"/>
        <v>0</v>
      </c>
      <c r="J876" s="108"/>
      <c r="K876" s="203"/>
      <c r="L876" s="108"/>
      <c r="V876" s="161"/>
      <c r="X876" s="140"/>
      <c r="Y876" s="166">
        <f t="shared" si="23"/>
        <v>0</v>
      </c>
      <c r="Z876" s="26">
        <f t="shared" si="7"/>
        <v>0</v>
      </c>
      <c r="AA876" s="26">
        <f t="shared" si="8"/>
        <v>0</v>
      </c>
      <c r="AB876" s="26">
        <f t="shared" si="9"/>
        <v>0</v>
      </c>
      <c r="AC876" s="156">
        <v>0.0</v>
      </c>
      <c r="AD876" s="156">
        <v>0.0</v>
      </c>
      <c r="AE876" s="156">
        <v>0.0</v>
      </c>
      <c r="AF876" s="156">
        <v>0.0</v>
      </c>
      <c r="AG876" s="156">
        <v>0.0</v>
      </c>
      <c r="AH876" s="156">
        <v>0.0</v>
      </c>
      <c r="BN876" s="155">
        <v>0.0</v>
      </c>
      <c r="BO876" s="155">
        <v>0.0</v>
      </c>
      <c r="BP876" s="155">
        <v>0.0</v>
      </c>
      <c r="BQ876" s="155">
        <v>0.0</v>
      </c>
      <c r="BR876" s="155">
        <v>0.0</v>
      </c>
      <c r="BS876" s="155">
        <v>0.0</v>
      </c>
      <c r="CV876" s="156">
        <v>0.0</v>
      </c>
      <c r="CW876" s="156">
        <v>0.0</v>
      </c>
      <c r="CX876" s="156">
        <v>0.0</v>
      </c>
      <c r="CY876" s="156">
        <v>0.0</v>
      </c>
      <c r="CZ876" s="156">
        <v>0.0</v>
      </c>
      <c r="DA876" s="156">
        <v>0.0</v>
      </c>
      <c r="EG876" s="156">
        <v>0.0</v>
      </c>
      <c r="EH876" s="156">
        <v>0.0</v>
      </c>
      <c r="EI876" s="156">
        <v>0.0</v>
      </c>
      <c r="EJ876" s="156">
        <v>0.0</v>
      </c>
      <c r="EK876" s="156">
        <v>0.0</v>
      </c>
      <c r="EL876" s="156">
        <v>0.0</v>
      </c>
      <c r="FQ876" s="156">
        <v>0.0</v>
      </c>
      <c r="FR876" s="156">
        <v>0.0</v>
      </c>
      <c r="FS876" s="156">
        <v>0.0</v>
      </c>
      <c r="FT876" s="156">
        <v>0.0</v>
      </c>
      <c r="FU876" s="156">
        <v>0.0</v>
      </c>
      <c r="FV876" s="156">
        <v>0.0</v>
      </c>
      <c r="FW876" s="157"/>
      <c r="FX876" s="157"/>
      <c r="FY876" s="157"/>
      <c r="FZ876" s="157"/>
      <c r="GA876" s="157"/>
      <c r="GB876" s="157"/>
      <c r="GC876" s="157"/>
      <c r="GD876" s="157"/>
      <c r="GE876" s="157"/>
      <c r="GF876" s="157"/>
      <c r="GG876" s="157"/>
      <c r="GH876" s="157"/>
      <c r="GI876" s="157"/>
      <c r="GJ876" s="157"/>
      <c r="GK876" s="157"/>
      <c r="GL876" s="157"/>
      <c r="GM876" s="157"/>
      <c r="GN876" s="157"/>
      <c r="GO876" s="157"/>
      <c r="GP876" s="158"/>
      <c r="GQ876" s="157"/>
      <c r="GR876" s="157"/>
      <c r="GS876" s="157"/>
      <c r="GT876" s="157"/>
      <c r="GU876" s="157"/>
      <c r="GV876" s="157"/>
      <c r="GW876" s="157"/>
      <c r="GX876" s="157"/>
      <c r="GY876" s="157"/>
      <c r="GZ876" s="157"/>
      <c r="HA876" s="157"/>
      <c r="HB876" s="155">
        <v>0.0</v>
      </c>
      <c r="HC876" s="155">
        <v>0.0</v>
      </c>
      <c r="HD876" s="155">
        <v>0.0</v>
      </c>
      <c r="HE876" s="155">
        <v>0.0</v>
      </c>
      <c r="HF876" s="155">
        <v>0.0</v>
      </c>
      <c r="HG876" s="155">
        <v>0.0</v>
      </c>
      <c r="IL876" s="159">
        <v>0.0</v>
      </c>
      <c r="IM876" s="156">
        <v>0.0</v>
      </c>
      <c r="IN876" s="156">
        <v>0.0</v>
      </c>
      <c r="IO876" s="156">
        <v>0.0</v>
      </c>
      <c r="IP876" s="156">
        <v>0.0</v>
      </c>
      <c r="IQ876" s="160">
        <v>0.0</v>
      </c>
      <c r="JH876" s="25"/>
      <c r="JW876" s="159">
        <v>0.0</v>
      </c>
      <c r="JX876" s="156">
        <v>0.0</v>
      </c>
      <c r="JY876" s="156">
        <v>0.0</v>
      </c>
      <c r="JZ876" s="156">
        <v>0.0</v>
      </c>
      <c r="KA876" s="156">
        <v>0.0</v>
      </c>
      <c r="KB876" s="160">
        <v>0.0</v>
      </c>
      <c r="LH876" s="159">
        <f t="shared" si="10"/>
        <v>0</v>
      </c>
      <c r="LI876" s="156">
        <f t="shared" si="11"/>
        <v>0</v>
      </c>
      <c r="LJ876" s="156">
        <f t="shared" si="12"/>
        <v>0</v>
      </c>
      <c r="LK876" s="156">
        <f t="shared" si="13"/>
        <v>0</v>
      </c>
      <c r="LL876" s="156">
        <f t="shared" si="14"/>
        <v>0</v>
      </c>
      <c r="LM876" s="160">
        <f t="shared" si="15"/>
        <v>0</v>
      </c>
      <c r="QX876" s="633"/>
    </row>
    <row r="877">
      <c r="A877" s="12"/>
      <c r="B877" s="12"/>
      <c r="C877" s="12"/>
      <c r="D877" s="12"/>
      <c r="E877" s="12"/>
      <c r="F877" s="12"/>
      <c r="G877" s="12"/>
      <c r="H877" s="12"/>
      <c r="I877" s="143">
        <f t="shared" si="22"/>
        <v>0</v>
      </c>
      <c r="J877" s="108"/>
      <c r="K877" s="203"/>
      <c r="L877" s="108"/>
      <c r="V877" s="161"/>
      <c r="X877" s="140"/>
      <c r="Y877" s="166">
        <f t="shared" si="23"/>
        <v>0</v>
      </c>
      <c r="Z877" s="26">
        <f t="shared" si="7"/>
        <v>0</v>
      </c>
      <c r="AA877" s="26">
        <f t="shared" si="8"/>
        <v>0</v>
      </c>
      <c r="AB877" s="26">
        <f t="shared" si="9"/>
        <v>0</v>
      </c>
      <c r="AC877" s="156">
        <v>0.0</v>
      </c>
      <c r="AD877" s="156">
        <v>0.0</v>
      </c>
      <c r="AE877" s="156">
        <v>0.0</v>
      </c>
      <c r="AF877" s="156">
        <v>0.0</v>
      </c>
      <c r="AG877" s="156">
        <v>0.0</v>
      </c>
      <c r="AH877" s="156">
        <v>0.0</v>
      </c>
      <c r="BN877" s="155">
        <v>0.0</v>
      </c>
      <c r="BO877" s="155">
        <v>0.0</v>
      </c>
      <c r="BP877" s="155">
        <v>0.0</v>
      </c>
      <c r="BQ877" s="155">
        <v>0.0</v>
      </c>
      <c r="BR877" s="155">
        <v>0.0</v>
      </c>
      <c r="BS877" s="155">
        <v>0.0</v>
      </c>
      <c r="CV877" s="156">
        <v>0.0</v>
      </c>
      <c r="CW877" s="156">
        <v>0.0</v>
      </c>
      <c r="CX877" s="156">
        <v>0.0</v>
      </c>
      <c r="CY877" s="156">
        <v>0.0</v>
      </c>
      <c r="CZ877" s="156">
        <v>0.0</v>
      </c>
      <c r="DA877" s="156">
        <v>0.0</v>
      </c>
      <c r="EG877" s="156">
        <v>0.0</v>
      </c>
      <c r="EH877" s="156">
        <v>0.0</v>
      </c>
      <c r="EI877" s="156">
        <v>0.0</v>
      </c>
      <c r="EJ877" s="156">
        <v>0.0</v>
      </c>
      <c r="EK877" s="156">
        <v>0.0</v>
      </c>
      <c r="EL877" s="156">
        <v>0.0</v>
      </c>
      <c r="FQ877" s="156">
        <v>0.0</v>
      </c>
      <c r="FR877" s="156">
        <v>0.0</v>
      </c>
      <c r="FS877" s="156">
        <v>0.0</v>
      </c>
      <c r="FT877" s="156">
        <v>0.0</v>
      </c>
      <c r="FU877" s="156">
        <v>0.0</v>
      </c>
      <c r="FV877" s="156">
        <v>0.0</v>
      </c>
      <c r="FW877" s="157"/>
      <c r="FX877" s="157"/>
      <c r="FY877" s="157"/>
      <c r="FZ877" s="157"/>
      <c r="GA877" s="157"/>
      <c r="GB877" s="157"/>
      <c r="GC877" s="157"/>
      <c r="GD877" s="157"/>
      <c r="GE877" s="157"/>
      <c r="GF877" s="157"/>
      <c r="GG877" s="157"/>
      <c r="GH877" s="157"/>
      <c r="GI877" s="157"/>
      <c r="GJ877" s="157"/>
      <c r="GK877" s="157"/>
      <c r="GL877" s="157"/>
      <c r="GM877" s="157"/>
      <c r="GN877" s="157"/>
      <c r="GO877" s="157"/>
      <c r="GP877" s="158"/>
      <c r="GQ877" s="157"/>
      <c r="GR877" s="157"/>
      <c r="GS877" s="157"/>
      <c r="GT877" s="157"/>
      <c r="GU877" s="157"/>
      <c r="GV877" s="157"/>
      <c r="GW877" s="157"/>
      <c r="GX877" s="157"/>
      <c r="GY877" s="157"/>
      <c r="GZ877" s="157"/>
      <c r="HA877" s="157"/>
      <c r="HB877" s="155">
        <v>0.0</v>
      </c>
      <c r="HC877" s="155">
        <v>0.0</v>
      </c>
      <c r="HD877" s="155">
        <v>0.0</v>
      </c>
      <c r="HE877" s="155">
        <v>0.0</v>
      </c>
      <c r="HF877" s="155">
        <v>0.0</v>
      </c>
      <c r="HG877" s="155">
        <v>0.0</v>
      </c>
      <c r="IL877" s="159">
        <v>0.0</v>
      </c>
      <c r="IM877" s="156">
        <v>0.0</v>
      </c>
      <c r="IN877" s="156">
        <v>0.0</v>
      </c>
      <c r="IO877" s="156">
        <v>0.0</v>
      </c>
      <c r="IP877" s="156">
        <v>0.0</v>
      </c>
      <c r="IQ877" s="160">
        <v>0.0</v>
      </c>
      <c r="JH877" s="25"/>
      <c r="JW877" s="159">
        <v>0.0</v>
      </c>
      <c r="JX877" s="156">
        <v>0.0</v>
      </c>
      <c r="JY877" s="156">
        <v>0.0</v>
      </c>
      <c r="JZ877" s="156">
        <v>0.0</v>
      </c>
      <c r="KA877" s="156">
        <v>0.0</v>
      </c>
      <c r="KB877" s="160">
        <v>0.0</v>
      </c>
      <c r="LH877" s="159">
        <f t="shared" si="10"/>
        <v>0</v>
      </c>
      <c r="LI877" s="156">
        <f t="shared" si="11"/>
        <v>0</v>
      </c>
      <c r="LJ877" s="156">
        <f t="shared" si="12"/>
        <v>0</v>
      </c>
      <c r="LK877" s="156">
        <f t="shared" si="13"/>
        <v>0</v>
      </c>
      <c r="LL877" s="156">
        <f t="shared" si="14"/>
        <v>0</v>
      </c>
      <c r="LM877" s="160">
        <f t="shared" si="15"/>
        <v>0</v>
      </c>
      <c r="QX877" s="633"/>
    </row>
    <row r="878">
      <c r="A878" s="12"/>
      <c r="B878" s="12"/>
      <c r="C878" s="12"/>
      <c r="D878" s="12"/>
      <c r="E878" s="12"/>
      <c r="F878" s="12"/>
      <c r="G878" s="12"/>
      <c r="H878" s="12"/>
      <c r="I878" s="143">
        <f t="shared" si="22"/>
        <v>0</v>
      </c>
      <c r="J878" s="108"/>
      <c r="K878" s="203"/>
      <c r="L878" s="108"/>
      <c r="V878" s="161"/>
      <c r="X878" s="140"/>
      <c r="Y878" s="166">
        <f t="shared" si="23"/>
        <v>0</v>
      </c>
      <c r="Z878" s="26">
        <f t="shared" si="7"/>
        <v>0</v>
      </c>
      <c r="AA878" s="26">
        <f t="shared" si="8"/>
        <v>0</v>
      </c>
      <c r="AB878" s="26">
        <f t="shared" si="9"/>
        <v>0</v>
      </c>
      <c r="AC878" s="156">
        <v>0.0</v>
      </c>
      <c r="AD878" s="156">
        <v>0.0</v>
      </c>
      <c r="AE878" s="156">
        <v>0.0</v>
      </c>
      <c r="AF878" s="156">
        <v>0.0</v>
      </c>
      <c r="AG878" s="156">
        <v>0.0</v>
      </c>
      <c r="AH878" s="156">
        <v>0.0</v>
      </c>
      <c r="BN878" s="155">
        <v>0.0</v>
      </c>
      <c r="BO878" s="155">
        <v>0.0</v>
      </c>
      <c r="BP878" s="155">
        <v>0.0</v>
      </c>
      <c r="BQ878" s="155">
        <v>0.0</v>
      </c>
      <c r="BR878" s="155">
        <v>0.0</v>
      </c>
      <c r="BS878" s="155">
        <v>0.0</v>
      </c>
      <c r="CV878" s="156">
        <v>0.0</v>
      </c>
      <c r="CW878" s="156">
        <v>0.0</v>
      </c>
      <c r="CX878" s="156">
        <v>0.0</v>
      </c>
      <c r="CY878" s="156">
        <v>0.0</v>
      </c>
      <c r="CZ878" s="156">
        <v>0.0</v>
      </c>
      <c r="DA878" s="156">
        <v>0.0</v>
      </c>
      <c r="EG878" s="156">
        <v>0.0</v>
      </c>
      <c r="EH878" s="156">
        <v>0.0</v>
      </c>
      <c r="EI878" s="156">
        <v>0.0</v>
      </c>
      <c r="EJ878" s="156">
        <v>0.0</v>
      </c>
      <c r="EK878" s="156">
        <v>0.0</v>
      </c>
      <c r="EL878" s="156">
        <v>0.0</v>
      </c>
      <c r="FQ878" s="156">
        <v>0.0</v>
      </c>
      <c r="FR878" s="156">
        <v>0.0</v>
      </c>
      <c r="FS878" s="156">
        <v>0.0</v>
      </c>
      <c r="FT878" s="156">
        <v>0.0</v>
      </c>
      <c r="FU878" s="156">
        <v>0.0</v>
      </c>
      <c r="FV878" s="156">
        <v>0.0</v>
      </c>
      <c r="FW878" s="157"/>
      <c r="FX878" s="157"/>
      <c r="FY878" s="157"/>
      <c r="FZ878" s="157"/>
      <c r="GA878" s="157"/>
      <c r="GB878" s="157"/>
      <c r="GC878" s="157"/>
      <c r="GD878" s="157"/>
      <c r="GE878" s="157"/>
      <c r="GF878" s="157"/>
      <c r="GG878" s="157"/>
      <c r="GH878" s="157"/>
      <c r="GI878" s="157"/>
      <c r="GJ878" s="157"/>
      <c r="GK878" s="157"/>
      <c r="GL878" s="157"/>
      <c r="GM878" s="157"/>
      <c r="GN878" s="157"/>
      <c r="GO878" s="157"/>
      <c r="GP878" s="158"/>
      <c r="GQ878" s="157"/>
      <c r="GR878" s="157"/>
      <c r="GS878" s="157"/>
      <c r="GT878" s="157"/>
      <c r="GU878" s="157"/>
      <c r="GV878" s="157"/>
      <c r="GW878" s="157"/>
      <c r="GX878" s="157"/>
      <c r="GY878" s="157"/>
      <c r="GZ878" s="157"/>
      <c r="HA878" s="157"/>
      <c r="HB878" s="155">
        <v>0.0</v>
      </c>
      <c r="HC878" s="155">
        <v>0.0</v>
      </c>
      <c r="HD878" s="155">
        <v>0.0</v>
      </c>
      <c r="HE878" s="155">
        <v>0.0</v>
      </c>
      <c r="HF878" s="155">
        <v>0.0</v>
      </c>
      <c r="HG878" s="155">
        <v>0.0</v>
      </c>
      <c r="IL878" s="159">
        <v>0.0</v>
      </c>
      <c r="IM878" s="156">
        <v>0.0</v>
      </c>
      <c r="IN878" s="156">
        <v>0.0</v>
      </c>
      <c r="IO878" s="156">
        <v>0.0</v>
      </c>
      <c r="IP878" s="156">
        <v>0.0</v>
      </c>
      <c r="IQ878" s="160">
        <v>0.0</v>
      </c>
      <c r="JH878" s="25"/>
      <c r="JW878" s="159">
        <v>0.0</v>
      </c>
      <c r="JX878" s="156">
        <v>0.0</v>
      </c>
      <c r="JY878" s="156">
        <v>0.0</v>
      </c>
      <c r="JZ878" s="156">
        <v>0.0</v>
      </c>
      <c r="KA878" s="156">
        <v>0.0</v>
      </c>
      <c r="KB878" s="160">
        <v>0.0</v>
      </c>
      <c r="LH878" s="159">
        <f t="shared" si="10"/>
        <v>0</v>
      </c>
      <c r="LI878" s="156">
        <f t="shared" si="11"/>
        <v>0</v>
      </c>
      <c r="LJ878" s="156">
        <f t="shared" si="12"/>
        <v>0</v>
      </c>
      <c r="LK878" s="156">
        <f t="shared" si="13"/>
        <v>0</v>
      </c>
      <c r="LL878" s="156">
        <f t="shared" si="14"/>
        <v>0</v>
      </c>
      <c r="LM878" s="160">
        <f t="shared" si="15"/>
        <v>0</v>
      </c>
      <c r="QX878" s="633"/>
    </row>
    <row r="879">
      <c r="A879" s="12"/>
      <c r="B879" s="12"/>
      <c r="C879" s="12"/>
      <c r="D879" s="12"/>
      <c r="E879" s="12"/>
      <c r="F879" s="12"/>
      <c r="G879" s="12"/>
      <c r="H879" s="12"/>
      <c r="I879" s="143">
        <f t="shared" si="22"/>
        <v>0</v>
      </c>
      <c r="J879" s="108"/>
      <c r="K879" s="203"/>
      <c r="L879" s="108"/>
      <c r="V879" s="161"/>
      <c r="X879" s="140"/>
      <c r="Y879" s="166">
        <f t="shared" si="23"/>
        <v>0</v>
      </c>
      <c r="Z879" s="26">
        <f t="shared" si="7"/>
        <v>0</v>
      </c>
      <c r="AA879" s="26">
        <f t="shared" si="8"/>
        <v>0</v>
      </c>
      <c r="AB879" s="26">
        <f t="shared" si="9"/>
        <v>0</v>
      </c>
      <c r="AC879" s="156">
        <v>0.0</v>
      </c>
      <c r="AD879" s="156">
        <v>0.0</v>
      </c>
      <c r="AE879" s="156">
        <v>0.0</v>
      </c>
      <c r="AF879" s="156">
        <v>0.0</v>
      </c>
      <c r="AG879" s="156">
        <v>0.0</v>
      </c>
      <c r="AH879" s="156">
        <v>0.0</v>
      </c>
      <c r="BN879" s="155">
        <v>0.0</v>
      </c>
      <c r="BO879" s="155">
        <v>0.0</v>
      </c>
      <c r="BP879" s="155">
        <v>0.0</v>
      </c>
      <c r="BQ879" s="155">
        <v>0.0</v>
      </c>
      <c r="BR879" s="155">
        <v>0.0</v>
      </c>
      <c r="BS879" s="155">
        <v>0.0</v>
      </c>
      <c r="CV879" s="156">
        <v>0.0</v>
      </c>
      <c r="CW879" s="156">
        <v>0.0</v>
      </c>
      <c r="CX879" s="156">
        <v>0.0</v>
      </c>
      <c r="CY879" s="156">
        <v>0.0</v>
      </c>
      <c r="CZ879" s="156">
        <v>0.0</v>
      </c>
      <c r="DA879" s="156">
        <v>0.0</v>
      </c>
      <c r="EG879" s="156">
        <v>0.0</v>
      </c>
      <c r="EH879" s="156">
        <v>0.0</v>
      </c>
      <c r="EI879" s="156">
        <v>0.0</v>
      </c>
      <c r="EJ879" s="156">
        <v>0.0</v>
      </c>
      <c r="EK879" s="156">
        <v>0.0</v>
      </c>
      <c r="EL879" s="156">
        <v>0.0</v>
      </c>
      <c r="FQ879" s="156">
        <v>0.0</v>
      </c>
      <c r="FR879" s="156">
        <v>0.0</v>
      </c>
      <c r="FS879" s="156">
        <v>0.0</v>
      </c>
      <c r="FT879" s="156">
        <v>0.0</v>
      </c>
      <c r="FU879" s="156">
        <v>0.0</v>
      </c>
      <c r="FV879" s="156">
        <v>0.0</v>
      </c>
      <c r="FW879" s="157"/>
      <c r="FX879" s="157"/>
      <c r="FY879" s="157"/>
      <c r="FZ879" s="157"/>
      <c r="GA879" s="157"/>
      <c r="GB879" s="157"/>
      <c r="GC879" s="157"/>
      <c r="GD879" s="157"/>
      <c r="GE879" s="157"/>
      <c r="GF879" s="157"/>
      <c r="GG879" s="157"/>
      <c r="GH879" s="157"/>
      <c r="GI879" s="157"/>
      <c r="GJ879" s="157"/>
      <c r="GK879" s="157"/>
      <c r="GL879" s="157"/>
      <c r="GM879" s="157"/>
      <c r="GN879" s="157"/>
      <c r="GO879" s="157"/>
      <c r="GP879" s="158"/>
      <c r="GQ879" s="157"/>
      <c r="GR879" s="157"/>
      <c r="GS879" s="157"/>
      <c r="GT879" s="157"/>
      <c r="GU879" s="157"/>
      <c r="GV879" s="157"/>
      <c r="GW879" s="157"/>
      <c r="GX879" s="157"/>
      <c r="GY879" s="157"/>
      <c r="GZ879" s="157"/>
      <c r="HA879" s="157"/>
      <c r="HB879" s="155">
        <v>0.0</v>
      </c>
      <c r="HC879" s="155">
        <v>0.0</v>
      </c>
      <c r="HD879" s="155">
        <v>0.0</v>
      </c>
      <c r="HE879" s="155">
        <v>0.0</v>
      </c>
      <c r="HF879" s="155">
        <v>0.0</v>
      </c>
      <c r="HG879" s="155">
        <v>0.0</v>
      </c>
      <c r="IL879" s="159">
        <v>0.0</v>
      </c>
      <c r="IM879" s="156">
        <v>0.0</v>
      </c>
      <c r="IN879" s="156">
        <v>0.0</v>
      </c>
      <c r="IO879" s="156">
        <v>0.0</v>
      </c>
      <c r="IP879" s="156">
        <v>0.0</v>
      </c>
      <c r="IQ879" s="160">
        <v>0.0</v>
      </c>
      <c r="JH879" s="25"/>
      <c r="JW879" s="159">
        <v>0.0</v>
      </c>
      <c r="JX879" s="156">
        <v>0.0</v>
      </c>
      <c r="JY879" s="156">
        <v>0.0</v>
      </c>
      <c r="JZ879" s="156">
        <v>0.0</v>
      </c>
      <c r="KA879" s="156">
        <v>0.0</v>
      </c>
      <c r="KB879" s="160">
        <v>0.0</v>
      </c>
      <c r="LH879" s="159">
        <f t="shared" si="10"/>
        <v>0</v>
      </c>
      <c r="LI879" s="156">
        <f t="shared" si="11"/>
        <v>0</v>
      </c>
      <c r="LJ879" s="156">
        <f t="shared" si="12"/>
        <v>0</v>
      </c>
      <c r="LK879" s="156">
        <f t="shared" si="13"/>
        <v>0</v>
      </c>
      <c r="LL879" s="156">
        <f t="shared" si="14"/>
        <v>0</v>
      </c>
      <c r="LM879" s="160">
        <f t="shared" si="15"/>
        <v>0</v>
      </c>
      <c r="QX879" s="633"/>
    </row>
    <row r="880">
      <c r="A880" s="12"/>
      <c r="B880" s="12"/>
      <c r="C880" s="12"/>
      <c r="D880" s="12"/>
      <c r="E880" s="12"/>
      <c r="F880" s="12"/>
      <c r="G880" s="12"/>
      <c r="H880" s="12"/>
      <c r="I880" s="143">
        <f t="shared" si="22"/>
        <v>0</v>
      </c>
      <c r="J880" s="108"/>
      <c r="K880" s="203"/>
      <c r="L880" s="108"/>
      <c r="V880" s="161"/>
      <c r="X880" s="140"/>
      <c r="Y880" s="166">
        <f t="shared" si="23"/>
        <v>0</v>
      </c>
      <c r="Z880" s="26">
        <f t="shared" si="7"/>
        <v>0</v>
      </c>
      <c r="AA880" s="26">
        <f t="shared" si="8"/>
        <v>0</v>
      </c>
      <c r="AB880" s="26">
        <f t="shared" si="9"/>
        <v>0</v>
      </c>
      <c r="AC880" s="156">
        <v>0.0</v>
      </c>
      <c r="AD880" s="156">
        <v>0.0</v>
      </c>
      <c r="AE880" s="156">
        <v>0.0</v>
      </c>
      <c r="AF880" s="156">
        <v>0.0</v>
      </c>
      <c r="AG880" s="156">
        <v>0.0</v>
      </c>
      <c r="AH880" s="156">
        <v>0.0</v>
      </c>
      <c r="BN880" s="155">
        <v>0.0</v>
      </c>
      <c r="BO880" s="155">
        <v>0.0</v>
      </c>
      <c r="BP880" s="155">
        <v>0.0</v>
      </c>
      <c r="BQ880" s="155">
        <v>0.0</v>
      </c>
      <c r="BR880" s="155">
        <v>0.0</v>
      </c>
      <c r="BS880" s="155">
        <v>0.0</v>
      </c>
      <c r="CV880" s="156">
        <v>0.0</v>
      </c>
      <c r="CW880" s="156">
        <v>0.0</v>
      </c>
      <c r="CX880" s="156">
        <v>0.0</v>
      </c>
      <c r="CY880" s="156">
        <v>0.0</v>
      </c>
      <c r="CZ880" s="156">
        <v>0.0</v>
      </c>
      <c r="DA880" s="156">
        <v>0.0</v>
      </c>
      <c r="EG880" s="156">
        <v>0.0</v>
      </c>
      <c r="EH880" s="156">
        <v>0.0</v>
      </c>
      <c r="EI880" s="156">
        <v>0.0</v>
      </c>
      <c r="EJ880" s="156">
        <v>0.0</v>
      </c>
      <c r="EK880" s="156">
        <v>0.0</v>
      </c>
      <c r="EL880" s="156">
        <v>0.0</v>
      </c>
      <c r="FQ880" s="156">
        <v>0.0</v>
      </c>
      <c r="FR880" s="156">
        <v>0.0</v>
      </c>
      <c r="FS880" s="156">
        <v>0.0</v>
      </c>
      <c r="FT880" s="156">
        <v>0.0</v>
      </c>
      <c r="FU880" s="156">
        <v>0.0</v>
      </c>
      <c r="FV880" s="156">
        <v>0.0</v>
      </c>
      <c r="FW880" s="157"/>
      <c r="FX880" s="157"/>
      <c r="FY880" s="157"/>
      <c r="FZ880" s="157"/>
      <c r="GA880" s="157"/>
      <c r="GB880" s="157"/>
      <c r="GC880" s="157"/>
      <c r="GD880" s="157"/>
      <c r="GE880" s="157"/>
      <c r="GF880" s="157"/>
      <c r="GG880" s="157"/>
      <c r="GH880" s="157"/>
      <c r="GI880" s="157"/>
      <c r="GJ880" s="157"/>
      <c r="GK880" s="157"/>
      <c r="GL880" s="157"/>
      <c r="GM880" s="157"/>
      <c r="GN880" s="157"/>
      <c r="GO880" s="157"/>
      <c r="GP880" s="158"/>
      <c r="GQ880" s="157"/>
      <c r="GR880" s="157"/>
      <c r="GS880" s="157"/>
      <c r="GT880" s="157"/>
      <c r="GU880" s="157"/>
      <c r="GV880" s="157"/>
      <c r="GW880" s="157"/>
      <c r="GX880" s="157"/>
      <c r="GY880" s="157"/>
      <c r="GZ880" s="157"/>
      <c r="HA880" s="157"/>
      <c r="HB880" s="155">
        <v>0.0</v>
      </c>
      <c r="HC880" s="155">
        <v>0.0</v>
      </c>
      <c r="HD880" s="155">
        <v>0.0</v>
      </c>
      <c r="HE880" s="155">
        <v>0.0</v>
      </c>
      <c r="HF880" s="155">
        <v>0.0</v>
      </c>
      <c r="HG880" s="155">
        <v>0.0</v>
      </c>
      <c r="IL880" s="159">
        <v>0.0</v>
      </c>
      <c r="IM880" s="156">
        <v>0.0</v>
      </c>
      <c r="IN880" s="156">
        <v>0.0</v>
      </c>
      <c r="IO880" s="156">
        <v>0.0</v>
      </c>
      <c r="IP880" s="156">
        <v>0.0</v>
      </c>
      <c r="IQ880" s="160">
        <v>0.0</v>
      </c>
      <c r="JH880" s="25"/>
      <c r="JW880" s="159">
        <v>0.0</v>
      </c>
      <c r="JX880" s="156">
        <v>0.0</v>
      </c>
      <c r="JY880" s="156">
        <v>0.0</v>
      </c>
      <c r="JZ880" s="156">
        <v>0.0</v>
      </c>
      <c r="KA880" s="156">
        <v>0.0</v>
      </c>
      <c r="KB880" s="160">
        <v>0.0</v>
      </c>
      <c r="LH880" s="159">
        <f t="shared" si="10"/>
        <v>0</v>
      </c>
      <c r="LI880" s="156">
        <f t="shared" si="11"/>
        <v>0</v>
      </c>
      <c r="LJ880" s="156">
        <f t="shared" si="12"/>
        <v>0</v>
      </c>
      <c r="LK880" s="156">
        <f t="shared" si="13"/>
        <v>0</v>
      </c>
      <c r="LL880" s="156">
        <f t="shared" si="14"/>
        <v>0</v>
      </c>
      <c r="LM880" s="160">
        <f t="shared" si="15"/>
        <v>0</v>
      </c>
      <c r="QX880" s="633"/>
    </row>
    <row r="881">
      <c r="A881" s="12"/>
      <c r="B881" s="12"/>
      <c r="C881" s="12"/>
      <c r="D881" s="12"/>
      <c r="E881" s="12"/>
      <c r="F881" s="12"/>
      <c r="G881" s="12"/>
      <c r="H881" s="12"/>
      <c r="I881" s="143">
        <f t="shared" si="22"/>
        <v>0</v>
      </c>
      <c r="J881" s="108"/>
      <c r="K881" s="203"/>
      <c r="L881" s="108"/>
      <c r="V881" s="161"/>
      <c r="X881" s="140"/>
      <c r="Y881" s="166">
        <f t="shared" si="23"/>
        <v>0</v>
      </c>
      <c r="Z881" s="26">
        <f t="shared" si="7"/>
        <v>0</v>
      </c>
      <c r="AA881" s="26">
        <f t="shared" si="8"/>
        <v>0</v>
      </c>
      <c r="AB881" s="26">
        <f t="shared" si="9"/>
        <v>0</v>
      </c>
      <c r="AC881" s="156">
        <v>0.0</v>
      </c>
      <c r="AD881" s="156">
        <v>0.0</v>
      </c>
      <c r="AE881" s="156">
        <v>0.0</v>
      </c>
      <c r="AF881" s="156">
        <v>0.0</v>
      </c>
      <c r="AG881" s="156">
        <v>0.0</v>
      </c>
      <c r="AH881" s="156">
        <v>0.0</v>
      </c>
      <c r="BN881" s="155">
        <v>0.0</v>
      </c>
      <c r="BO881" s="155">
        <v>0.0</v>
      </c>
      <c r="BP881" s="155">
        <v>0.0</v>
      </c>
      <c r="BQ881" s="155">
        <v>0.0</v>
      </c>
      <c r="BR881" s="155">
        <v>0.0</v>
      </c>
      <c r="BS881" s="155">
        <v>0.0</v>
      </c>
      <c r="CV881" s="156">
        <v>0.0</v>
      </c>
      <c r="CW881" s="156">
        <v>0.0</v>
      </c>
      <c r="CX881" s="156">
        <v>0.0</v>
      </c>
      <c r="CY881" s="156">
        <v>0.0</v>
      </c>
      <c r="CZ881" s="156">
        <v>0.0</v>
      </c>
      <c r="DA881" s="156">
        <v>0.0</v>
      </c>
      <c r="EG881" s="156">
        <v>0.0</v>
      </c>
      <c r="EH881" s="156">
        <v>0.0</v>
      </c>
      <c r="EI881" s="156">
        <v>0.0</v>
      </c>
      <c r="EJ881" s="156">
        <v>0.0</v>
      </c>
      <c r="EK881" s="156">
        <v>0.0</v>
      </c>
      <c r="EL881" s="156">
        <v>0.0</v>
      </c>
      <c r="FQ881" s="156">
        <v>0.0</v>
      </c>
      <c r="FR881" s="156">
        <v>0.0</v>
      </c>
      <c r="FS881" s="156">
        <v>0.0</v>
      </c>
      <c r="FT881" s="156">
        <v>0.0</v>
      </c>
      <c r="FU881" s="156">
        <v>0.0</v>
      </c>
      <c r="FV881" s="156">
        <v>0.0</v>
      </c>
      <c r="FW881" s="157"/>
      <c r="FX881" s="157"/>
      <c r="FY881" s="157"/>
      <c r="FZ881" s="157"/>
      <c r="GA881" s="157"/>
      <c r="GB881" s="157"/>
      <c r="GC881" s="157"/>
      <c r="GD881" s="157"/>
      <c r="GE881" s="157"/>
      <c r="GF881" s="157"/>
      <c r="GG881" s="157"/>
      <c r="GH881" s="157"/>
      <c r="GI881" s="157"/>
      <c r="GJ881" s="157"/>
      <c r="GK881" s="157"/>
      <c r="GL881" s="157"/>
      <c r="GM881" s="157"/>
      <c r="GN881" s="157"/>
      <c r="GO881" s="157"/>
      <c r="GP881" s="158"/>
      <c r="GQ881" s="157"/>
      <c r="GR881" s="157"/>
      <c r="GS881" s="157"/>
      <c r="GT881" s="157"/>
      <c r="GU881" s="157"/>
      <c r="GV881" s="157"/>
      <c r="GW881" s="157"/>
      <c r="GX881" s="157"/>
      <c r="GY881" s="157"/>
      <c r="GZ881" s="157"/>
      <c r="HA881" s="157"/>
      <c r="HB881" s="155">
        <v>0.0</v>
      </c>
      <c r="HC881" s="155">
        <v>0.0</v>
      </c>
      <c r="HD881" s="155">
        <v>0.0</v>
      </c>
      <c r="HE881" s="155">
        <v>0.0</v>
      </c>
      <c r="HF881" s="155">
        <v>0.0</v>
      </c>
      <c r="HG881" s="155">
        <v>0.0</v>
      </c>
      <c r="IL881" s="159">
        <v>0.0</v>
      </c>
      <c r="IM881" s="156">
        <v>0.0</v>
      </c>
      <c r="IN881" s="156">
        <v>0.0</v>
      </c>
      <c r="IO881" s="156">
        <v>0.0</v>
      </c>
      <c r="IP881" s="156">
        <v>0.0</v>
      </c>
      <c r="IQ881" s="160">
        <v>0.0</v>
      </c>
      <c r="JH881" s="25"/>
      <c r="JW881" s="159">
        <v>0.0</v>
      </c>
      <c r="JX881" s="156">
        <v>0.0</v>
      </c>
      <c r="JY881" s="156">
        <v>0.0</v>
      </c>
      <c r="JZ881" s="156">
        <v>0.0</v>
      </c>
      <c r="KA881" s="156">
        <v>0.0</v>
      </c>
      <c r="KB881" s="160">
        <v>0.0</v>
      </c>
      <c r="LH881" s="159">
        <f t="shared" si="10"/>
        <v>0</v>
      </c>
      <c r="LI881" s="156">
        <f t="shared" si="11"/>
        <v>0</v>
      </c>
      <c r="LJ881" s="156">
        <f t="shared" si="12"/>
        <v>0</v>
      </c>
      <c r="LK881" s="156">
        <f t="shared" si="13"/>
        <v>0</v>
      </c>
      <c r="LL881" s="156">
        <f t="shared" si="14"/>
        <v>0</v>
      </c>
      <c r="LM881" s="160">
        <f t="shared" si="15"/>
        <v>0</v>
      </c>
      <c r="QX881" s="633"/>
    </row>
    <row r="882">
      <c r="A882" s="12"/>
      <c r="B882" s="12"/>
      <c r="C882" s="12"/>
      <c r="D882" s="12"/>
      <c r="E882" s="12"/>
      <c r="F882" s="12"/>
      <c r="G882" s="12"/>
      <c r="H882" s="12"/>
      <c r="I882" s="143">
        <f t="shared" si="22"/>
        <v>0</v>
      </c>
      <c r="J882" s="108"/>
      <c r="K882" s="203"/>
      <c r="L882" s="108"/>
      <c r="V882" s="161"/>
      <c r="X882" s="140"/>
      <c r="Y882" s="166">
        <f t="shared" si="23"/>
        <v>0</v>
      </c>
      <c r="Z882" s="26">
        <f t="shared" si="7"/>
        <v>0</v>
      </c>
      <c r="AA882" s="26">
        <f t="shared" si="8"/>
        <v>0</v>
      </c>
      <c r="AB882" s="26">
        <f t="shared" si="9"/>
        <v>0</v>
      </c>
      <c r="AC882" s="156">
        <v>0.0</v>
      </c>
      <c r="AD882" s="156">
        <v>0.0</v>
      </c>
      <c r="AE882" s="156">
        <v>0.0</v>
      </c>
      <c r="AF882" s="156">
        <v>0.0</v>
      </c>
      <c r="AG882" s="156">
        <v>0.0</v>
      </c>
      <c r="AH882" s="156">
        <v>0.0</v>
      </c>
      <c r="BN882" s="155">
        <v>0.0</v>
      </c>
      <c r="BO882" s="155">
        <v>0.0</v>
      </c>
      <c r="BP882" s="155">
        <v>0.0</v>
      </c>
      <c r="BQ882" s="155">
        <v>0.0</v>
      </c>
      <c r="BR882" s="155">
        <v>0.0</v>
      </c>
      <c r="BS882" s="155">
        <v>0.0</v>
      </c>
      <c r="CV882" s="156">
        <v>0.0</v>
      </c>
      <c r="CW882" s="156">
        <v>0.0</v>
      </c>
      <c r="CX882" s="156">
        <v>0.0</v>
      </c>
      <c r="CY882" s="156">
        <v>0.0</v>
      </c>
      <c r="CZ882" s="156">
        <v>0.0</v>
      </c>
      <c r="DA882" s="156">
        <v>0.0</v>
      </c>
      <c r="EG882" s="156">
        <v>0.0</v>
      </c>
      <c r="EH882" s="156">
        <v>0.0</v>
      </c>
      <c r="EI882" s="156">
        <v>0.0</v>
      </c>
      <c r="EJ882" s="156">
        <v>0.0</v>
      </c>
      <c r="EK882" s="156">
        <v>0.0</v>
      </c>
      <c r="EL882" s="156">
        <v>0.0</v>
      </c>
      <c r="FQ882" s="156">
        <v>0.0</v>
      </c>
      <c r="FR882" s="156">
        <v>0.0</v>
      </c>
      <c r="FS882" s="156">
        <v>0.0</v>
      </c>
      <c r="FT882" s="156">
        <v>0.0</v>
      </c>
      <c r="FU882" s="156">
        <v>0.0</v>
      </c>
      <c r="FV882" s="156">
        <v>0.0</v>
      </c>
      <c r="FW882" s="157"/>
      <c r="FX882" s="157"/>
      <c r="FY882" s="157"/>
      <c r="FZ882" s="157"/>
      <c r="GA882" s="157"/>
      <c r="GB882" s="157"/>
      <c r="GC882" s="157"/>
      <c r="GD882" s="157"/>
      <c r="GE882" s="157"/>
      <c r="GF882" s="157"/>
      <c r="GG882" s="157"/>
      <c r="GH882" s="157"/>
      <c r="GI882" s="157"/>
      <c r="GJ882" s="157"/>
      <c r="GK882" s="157"/>
      <c r="GL882" s="157"/>
      <c r="GM882" s="157"/>
      <c r="GN882" s="157"/>
      <c r="GO882" s="157"/>
      <c r="GP882" s="158"/>
      <c r="GQ882" s="157"/>
      <c r="GR882" s="157"/>
      <c r="GS882" s="157"/>
      <c r="GT882" s="157"/>
      <c r="GU882" s="157"/>
      <c r="GV882" s="157"/>
      <c r="GW882" s="157"/>
      <c r="GX882" s="157"/>
      <c r="GY882" s="157"/>
      <c r="GZ882" s="157"/>
      <c r="HA882" s="157"/>
      <c r="HB882" s="155">
        <v>0.0</v>
      </c>
      <c r="HC882" s="155">
        <v>0.0</v>
      </c>
      <c r="HD882" s="155">
        <v>0.0</v>
      </c>
      <c r="HE882" s="155">
        <v>0.0</v>
      </c>
      <c r="HF882" s="155">
        <v>0.0</v>
      </c>
      <c r="HG882" s="155">
        <v>0.0</v>
      </c>
      <c r="IL882" s="159">
        <v>0.0</v>
      </c>
      <c r="IM882" s="156">
        <v>0.0</v>
      </c>
      <c r="IN882" s="156">
        <v>0.0</v>
      </c>
      <c r="IO882" s="156">
        <v>0.0</v>
      </c>
      <c r="IP882" s="156">
        <v>0.0</v>
      </c>
      <c r="IQ882" s="160">
        <v>0.0</v>
      </c>
      <c r="JH882" s="25"/>
      <c r="JW882" s="159">
        <v>0.0</v>
      </c>
      <c r="JX882" s="156">
        <v>0.0</v>
      </c>
      <c r="JY882" s="156">
        <v>0.0</v>
      </c>
      <c r="JZ882" s="156">
        <v>0.0</v>
      </c>
      <c r="KA882" s="156">
        <v>0.0</v>
      </c>
      <c r="KB882" s="160">
        <v>0.0</v>
      </c>
      <c r="LH882" s="159">
        <f t="shared" si="10"/>
        <v>0</v>
      </c>
      <c r="LI882" s="156">
        <f t="shared" si="11"/>
        <v>0</v>
      </c>
      <c r="LJ882" s="156">
        <f t="shared" si="12"/>
        <v>0</v>
      </c>
      <c r="LK882" s="156">
        <f t="shared" si="13"/>
        <v>0</v>
      </c>
      <c r="LL882" s="156">
        <f t="shared" si="14"/>
        <v>0</v>
      </c>
      <c r="LM882" s="160">
        <f t="shared" si="15"/>
        <v>0</v>
      </c>
      <c r="QX882" s="633"/>
    </row>
    <row r="883">
      <c r="A883" s="12"/>
      <c r="B883" s="12"/>
      <c r="C883" s="12"/>
      <c r="D883" s="12"/>
      <c r="E883" s="12"/>
      <c r="F883" s="12"/>
      <c r="G883" s="12"/>
      <c r="H883" s="12"/>
      <c r="I883" s="143">
        <f t="shared" si="22"/>
        <v>0</v>
      </c>
      <c r="J883" s="108"/>
      <c r="K883" s="203"/>
      <c r="L883" s="108"/>
      <c r="V883" s="161"/>
      <c r="X883" s="140"/>
      <c r="Y883" s="166">
        <f t="shared" si="23"/>
        <v>0</v>
      </c>
      <c r="Z883" s="26">
        <f t="shared" si="7"/>
        <v>0</v>
      </c>
      <c r="AA883" s="26">
        <f t="shared" si="8"/>
        <v>0</v>
      </c>
      <c r="AB883" s="26">
        <f t="shared" si="9"/>
        <v>0</v>
      </c>
      <c r="AC883" s="156">
        <v>0.0</v>
      </c>
      <c r="AD883" s="156">
        <v>0.0</v>
      </c>
      <c r="AE883" s="156">
        <v>0.0</v>
      </c>
      <c r="AF883" s="156">
        <v>0.0</v>
      </c>
      <c r="AG883" s="156">
        <v>0.0</v>
      </c>
      <c r="AH883" s="156">
        <v>0.0</v>
      </c>
      <c r="BN883" s="155">
        <v>0.0</v>
      </c>
      <c r="BO883" s="155">
        <v>0.0</v>
      </c>
      <c r="BP883" s="155">
        <v>0.0</v>
      </c>
      <c r="BQ883" s="155">
        <v>0.0</v>
      </c>
      <c r="BR883" s="155">
        <v>0.0</v>
      </c>
      <c r="BS883" s="155">
        <v>0.0</v>
      </c>
      <c r="CV883" s="156">
        <v>0.0</v>
      </c>
      <c r="CW883" s="156">
        <v>0.0</v>
      </c>
      <c r="CX883" s="156">
        <v>0.0</v>
      </c>
      <c r="CY883" s="156">
        <v>0.0</v>
      </c>
      <c r="CZ883" s="156">
        <v>0.0</v>
      </c>
      <c r="DA883" s="156">
        <v>0.0</v>
      </c>
      <c r="EG883" s="156">
        <v>0.0</v>
      </c>
      <c r="EH883" s="156">
        <v>0.0</v>
      </c>
      <c r="EI883" s="156">
        <v>0.0</v>
      </c>
      <c r="EJ883" s="156">
        <v>0.0</v>
      </c>
      <c r="EK883" s="156">
        <v>0.0</v>
      </c>
      <c r="EL883" s="156">
        <v>0.0</v>
      </c>
      <c r="FQ883" s="156">
        <v>0.0</v>
      </c>
      <c r="FR883" s="156">
        <v>0.0</v>
      </c>
      <c r="FS883" s="156">
        <v>0.0</v>
      </c>
      <c r="FT883" s="156">
        <v>0.0</v>
      </c>
      <c r="FU883" s="156">
        <v>0.0</v>
      </c>
      <c r="FV883" s="156">
        <v>0.0</v>
      </c>
      <c r="FW883" s="157"/>
      <c r="FX883" s="157"/>
      <c r="FY883" s="157"/>
      <c r="FZ883" s="157"/>
      <c r="GA883" s="157"/>
      <c r="GB883" s="157"/>
      <c r="GC883" s="157"/>
      <c r="GD883" s="157"/>
      <c r="GE883" s="157"/>
      <c r="GF883" s="157"/>
      <c r="GG883" s="157"/>
      <c r="GH883" s="157"/>
      <c r="GI883" s="157"/>
      <c r="GJ883" s="157"/>
      <c r="GK883" s="157"/>
      <c r="GL883" s="157"/>
      <c r="GM883" s="157"/>
      <c r="GN883" s="157"/>
      <c r="GO883" s="157"/>
      <c r="GP883" s="158"/>
      <c r="GQ883" s="157"/>
      <c r="GR883" s="157"/>
      <c r="GS883" s="157"/>
      <c r="GT883" s="157"/>
      <c r="GU883" s="157"/>
      <c r="GV883" s="157"/>
      <c r="GW883" s="157"/>
      <c r="GX883" s="157"/>
      <c r="GY883" s="157"/>
      <c r="GZ883" s="157"/>
      <c r="HA883" s="157"/>
      <c r="HB883" s="155">
        <v>0.0</v>
      </c>
      <c r="HC883" s="155">
        <v>0.0</v>
      </c>
      <c r="HD883" s="155">
        <v>0.0</v>
      </c>
      <c r="HE883" s="155">
        <v>0.0</v>
      </c>
      <c r="HF883" s="155">
        <v>0.0</v>
      </c>
      <c r="HG883" s="155">
        <v>0.0</v>
      </c>
      <c r="IL883" s="159">
        <v>0.0</v>
      </c>
      <c r="IM883" s="156">
        <v>0.0</v>
      </c>
      <c r="IN883" s="156">
        <v>0.0</v>
      </c>
      <c r="IO883" s="156">
        <v>0.0</v>
      </c>
      <c r="IP883" s="156">
        <v>0.0</v>
      </c>
      <c r="IQ883" s="160">
        <v>0.0</v>
      </c>
      <c r="JH883" s="25"/>
      <c r="JW883" s="159">
        <v>0.0</v>
      </c>
      <c r="JX883" s="156">
        <v>0.0</v>
      </c>
      <c r="JY883" s="156">
        <v>0.0</v>
      </c>
      <c r="JZ883" s="156">
        <v>0.0</v>
      </c>
      <c r="KA883" s="156">
        <v>0.0</v>
      </c>
      <c r="KB883" s="160">
        <v>0.0</v>
      </c>
      <c r="LH883" s="159">
        <f t="shared" si="10"/>
        <v>0</v>
      </c>
      <c r="LI883" s="156">
        <f t="shared" si="11"/>
        <v>0</v>
      </c>
      <c r="LJ883" s="156">
        <f t="shared" si="12"/>
        <v>0</v>
      </c>
      <c r="LK883" s="156">
        <f t="shared" si="13"/>
        <v>0</v>
      </c>
      <c r="LL883" s="156">
        <f t="shared" si="14"/>
        <v>0</v>
      </c>
      <c r="LM883" s="160">
        <f t="shared" si="15"/>
        <v>0</v>
      </c>
      <c r="QX883" s="633"/>
    </row>
    <row r="884">
      <c r="A884" s="12"/>
      <c r="B884" s="12"/>
      <c r="C884" s="12"/>
      <c r="D884" s="12"/>
      <c r="E884" s="12"/>
      <c r="F884" s="12"/>
      <c r="G884" s="12"/>
      <c r="H884" s="12"/>
      <c r="I884" s="143">
        <f t="shared" si="22"/>
        <v>0</v>
      </c>
      <c r="J884" s="108"/>
      <c r="K884" s="203"/>
      <c r="L884" s="108"/>
      <c r="V884" s="161"/>
      <c r="X884" s="140"/>
      <c r="Y884" s="166">
        <f t="shared" si="23"/>
        <v>0</v>
      </c>
      <c r="Z884" s="26">
        <f t="shared" si="7"/>
        <v>0</v>
      </c>
      <c r="AA884" s="26">
        <f t="shared" si="8"/>
        <v>0</v>
      </c>
      <c r="AB884" s="26">
        <f t="shared" si="9"/>
        <v>0</v>
      </c>
      <c r="AC884" s="156">
        <v>0.0</v>
      </c>
      <c r="AD884" s="156">
        <v>0.0</v>
      </c>
      <c r="AE884" s="156">
        <v>0.0</v>
      </c>
      <c r="AF884" s="156">
        <v>0.0</v>
      </c>
      <c r="AG884" s="156">
        <v>0.0</v>
      </c>
      <c r="AH884" s="156">
        <v>0.0</v>
      </c>
      <c r="BN884" s="155">
        <v>0.0</v>
      </c>
      <c r="BO884" s="155">
        <v>0.0</v>
      </c>
      <c r="BP884" s="155">
        <v>0.0</v>
      </c>
      <c r="BQ884" s="155">
        <v>0.0</v>
      </c>
      <c r="BR884" s="155">
        <v>0.0</v>
      </c>
      <c r="BS884" s="155">
        <v>0.0</v>
      </c>
      <c r="CV884" s="156">
        <v>0.0</v>
      </c>
      <c r="CW884" s="156">
        <v>0.0</v>
      </c>
      <c r="CX884" s="156">
        <v>0.0</v>
      </c>
      <c r="CY884" s="156">
        <v>0.0</v>
      </c>
      <c r="CZ884" s="156">
        <v>0.0</v>
      </c>
      <c r="DA884" s="156">
        <v>0.0</v>
      </c>
      <c r="EG884" s="156">
        <v>0.0</v>
      </c>
      <c r="EH884" s="156">
        <v>0.0</v>
      </c>
      <c r="EI884" s="156">
        <v>0.0</v>
      </c>
      <c r="EJ884" s="156">
        <v>0.0</v>
      </c>
      <c r="EK884" s="156">
        <v>0.0</v>
      </c>
      <c r="EL884" s="156">
        <v>0.0</v>
      </c>
      <c r="FQ884" s="156">
        <v>0.0</v>
      </c>
      <c r="FR884" s="156">
        <v>0.0</v>
      </c>
      <c r="FS884" s="156">
        <v>0.0</v>
      </c>
      <c r="FT884" s="156">
        <v>0.0</v>
      </c>
      <c r="FU884" s="156">
        <v>0.0</v>
      </c>
      <c r="FV884" s="156">
        <v>0.0</v>
      </c>
      <c r="FW884" s="157"/>
      <c r="FX884" s="157"/>
      <c r="FY884" s="157"/>
      <c r="FZ884" s="157"/>
      <c r="GA884" s="157"/>
      <c r="GB884" s="157"/>
      <c r="GC884" s="157"/>
      <c r="GD884" s="157"/>
      <c r="GE884" s="157"/>
      <c r="GF884" s="157"/>
      <c r="GG884" s="157"/>
      <c r="GH884" s="157"/>
      <c r="GI884" s="157"/>
      <c r="GJ884" s="157"/>
      <c r="GK884" s="157"/>
      <c r="GL884" s="157"/>
      <c r="GM884" s="157"/>
      <c r="GN884" s="157"/>
      <c r="GO884" s="157"/>
      <c r="GP884" s="158"/>
      <c r="GQ884" s="157"/>
      <c r="GR884" s="157"/>
      <c r="GS884" s="157"/>
      <c r="GT884" s="157"/>
      <c r="GU884" s="157"/>
      <c r="GV884" s="157"/>
      <c r="GW884" s="157"/>
      <c r="GX884" s="157"/>
      <c r="GY884" s="157"/>
      <c r="GZ884" s="157"/>
      <c r="HA884" s="157"/>
      <c r="HB884" s="155">
        <v>0.0</v>
      </c>
      <c r="HC884" s="155">
        <v>0.0</v>
      </c>
      <c r="HD884" s="155">
        <v>0.0</v>
      </c>
      <c r="HE884" s="155">
        <v>0.0</v>
      </c>
      <c r="HF884" s="155">
        <v>0.0</v>
      </c>
      <c r="HG884" s="155">
        <v>0.0</v>
      </c>
      <c r="IL884" s="159">
        <v>0.0</v>
      </c>
      <c r="IM884" s="156">
        <v>0.0</v>
      </c>
      <c r="IN884" s="156">
        <v>0.0</v>
      </c>
      <c r="IO884" s="156">
        <v>0.0</v>
      </c>
      <c r="IP884" s="156">
        <v>0.0</v>
      </c>
      <c r="IQ884" s="160">
        <v>0.0</v>
      </c>
      <c r="JH884" s="25"/>
      <c r="JW884" s="159">
        <v>0.0</v>
      </c>
      <c r="JX884" s="156">
        <v>0.0</v>
      </c>
      <c r="JY884" s="156">
        <v>0.0</v>
      </c>
      <c r="JZ884" s="156">
        <v>0.0</v>
      </c>
      <c r="KA884" s="156">
        <v>0.0</v>
      </c>
      <c r="KB884" s="160">
        <v>0.0</v>
      </c>
      <c r="LH884" s="159">
        <f t="shared" si="10"/>
        <v>0</v>
      </c>
      <c r="LI884" s="156">
        <f t="shared" si="11"/>
        <v>0</v>
      </c>
      <c r="LJ884" s="156">
        <f t="shared" si="12"/>
        <v>0</v>
      </c>
      <c r="LK884" s="156">
        <f t="shared" si="13"/>
        <v>0</v>
      </c>
      <c r="LL884" s="156">
        <f t="shared" si="14"/>
        <v>0</v>
      </c>
      <c r="LM884" s="160">
        <f t="shared" si="15"/>
        <v>0</v>
      </c>
      <c r="QX884" s="633"/>
    </row>
    <row r="885">
      <c r="A885" s="12"/>
      <c r="B885" s="12"/>
      <c r="C885" s="12"/>
      <c r="D885" s="12"/>
      <c r="E885" s="12"/>
      <c r="F885" s="12"/>
      <c r="G885" s="12"/>
      <c r="H885" s="12"/>
      <c r="I885" s="143">
        <f t="shared" si="22"/>
        <v>0</v>
      </c>
      <c r="J885" s="108"/>
      <c r="K885" s="203"/>
      <c r="L885" s="108"/>
      <c r="V885" s="161"/>
      <c r="X885" s="140"/>
      <c r="Y885" s="166">
        <f t="shared" si="23"/>
        <v>0</v>
      </c>
      <c r="Z885" s="26">
        <f t="shared" si="7"/>
        <v>0</v>
      </c>
      <c r="AA885" s="26">
        <f t="shared" si="8"/>
        <v>0</v>
      </c>
      <c r="AB885" s="26">
        <f t="shared" si="9"/>
        <v>0</v>
      </c>
      <c r="AC885" s="156">
        <v>0.0</v>
      </c>
      <c r="AD885" s="156">
        <v>0.0</v>
      </c>
      <c r="AE885" s="156">
        <v>0.0</v>
      </c>
      <c r="AF885" s="156">
        <v>0.0</v>
      </c>
      <c r="AG885" s="156">
        <v>0.0</v>
      </c>
      <c r="AH885" s="156">
        <v>0.0</v>
      </c>
      <c r="BN885" s="155">
        <v>0.0</v>
      </c>
      <c r="BO885" s="155">
        <v>0.0</v>
      </c>
      <c r="BP885" s="155">
        <v>0.0</v>
      </c>
      <c r="BQ885" s="155">
        <v>0.0</v>
      </c>
      <c r="BR885" s="155">
        <v>0.0</v>
      </c>
      <c r="BS885" s="155">
        <v>0.0</v>
      </c>
      <c r="CV885" s="156">
        <v>0.0</v>
      </c>
      <c r="CW885" s="156">
        <v>0.0</v>
      </c>
      <c r="CX885" s="156">
        <v>0.0</v>
      </c>
      <c r="CY885" s="156">
        <v>0.0</v>
      </c>
      <c r="CZ885" s="156">
        <v>0.0</v>
      </c>
      <c r="DA885" s="156">
        <v>0.0</v>
      </c>
      <c r="EG885" s="156">
        <v>0.0</v>
      </c>
      <c r="EH885" s="156">
        <v>0.0</v>
      </c>
      <c r="EI885" s="156">
        <v>0.0</v>
      </c>
      <c r="EJ885" s="156">
        <v>0.0</v>
      </c>
      <c r="EK885" s="156">
        <v>0.0</v>
      </c>
      <c r="EL885" s="156">
        <v>0.0</v>
      </c>
      <c r="FQ885" s="156">
        <v>0.0</v>
      </c>
      <c r="FR885" s="156">
        <v>0.0</v>
      </c>
      <c r="FS885" s="156">
        <v>0.0</v>
      </c>
      <c r="FT885" s="156">
        <v>0.0</v>
      </c>
      <c r="FU885" s="156">
        <v>0.0</v>
      </c>
      <c r="FV885" s="156">
        <v>0.0</v>
      </c>
      <c r="FW885" s="157"/>
      <c r="FX885" s="157"/>
      <c r="FY885" s="157"/>
      <c r="FZ885" s="157"/>
      <c r="GA885" s="157"/>
      <c r="GB885" s="157"/>
      <c r="GC885" s="157"/>
      <c r="GD885" s="157"/>
      <c r="GE885" s="157"/>
      <c r="GF885" s="157"/>
      <c r="GG885" s="157"/>
      <c r="GH885" s="157"/>
      <c r="GI885" s="157"/>
      <c r="GJ885" s="157"/>
      <c r="GK885" s="157"/>
      <c r="GL885" s="157"/>
      <c r="GM885" s="157"/>
      <c r="GN885" s="157"/>
      <c r="GO885" s="157"/>
      <c r="GP885" s="158"/>
      <c r="GQ885" s="157"/>
      <c r="GR885" s="157"/>
      <c r="GS885" s="157"/>
      <c r="GT885" s="157"/>
      <c r="GU885" s="157"/>
      <c r="GV885" s="157"/>
      <c r="GW885" s="157"/>
      <c r="GX885" s="157"/>
      <c r="GY885" s="157"/>
      <c r="GZ885" s="157"/>
      <c r="HA885" s="157"/>
      <c r="HB885" s="155">
        <v>0.0</v>
      </c>
      <c r="HC885" s="155">
        <v>0.0</v>
      </c>
      <c r="HD885" s="155">
        <v>0.0</v>
      </c>
      <c r="HE885" s="155">
        <v>0.0</v>
      </c>
      <c r="HF885" s="155">
        <v>0.0</v>
      </c>
      <c r="HG885" s="155">
        <v>0.0</v>
      </c>
      <c r="IL885" s="159">
        <v>0.0</v>
      </c>
      <c r="IM885" s="156">
        <v>0.0</v>
      </c>
      <c r="IN885" s="156">
        <v>0.0</v>
      </c>
      <c r="IO885" s="156">
        <v>0.0</v>
      </c>
      <c r="IP885" s="156">
        <v>0.0</v>
      </c>
      <c r="IQ885" s="160">
        <v>0.0</v>
      </c>
      <c r="JH885" s="25"/>
      <c r="JW885" s="159">
        <v>0.0</v>
      </c>
      <c r="JX885" s="156">
        <v>0.0</v>
      </c>
      <c r="JY885" s="156">
        <v>0.0</v>
      </c>
      <c r="JZ885" s="156">
        <v>0.0</v>
      </c>
      <c r="KA885" s="156">
        <v>0.0</v>
      </c>
      <c r="KB885" s="160">
        <v>0.0</v>
      </c>
      <c r="LH885" s="159">
        <f t="shared" si="10"/>
        <v>0</v>
      </c>
      <c r="LI885" s="156">
        <f t="shared" si="11"/>
        <v>0</v>
      </c>
      <c r="LJ885" s="156">
        <f t="shared" si="12"/>
        <v>0</v>
      </c>
      <c r="LK885" s="156">
        <f t="shared" si="13"/>
        <v>0</v>
      </c>
      <c r="LL885" s="156">
        <f t="shared" si="14"/>
        <v>0</v>
      </c>
      <c r="LM885" s="160">
        <f t="shared" si="15"/>
        <v>0</v>
      </c>
      <c r="QX885" s="633"/>
    </row>
    <row r="886">
      <c r="A886" s="12"/>
      <c r="B886" s="12"/>
      <c r="C886" s="12"/>
      <c r="D886" s="12"/>
      <c r="E886" s="12"/>
      <c r="F886" s="12"/>
      <c r="G886" s="12"/>
      <c r="H886" s="12"/>
      <c r="I886" s="143">
        <f t="shared" si="22"/>
        <v>0</v>
      </c>
      <c r="J886" s="108"/>
      <c r="K886" s="203"/>
      <c r="L886" s="108"/>
      <c r="V886" s="161"/>
      <c r="X886" s="140"/>
      <c r="Y886" s="166">
        <f t="shared" si="23"/>
        <v>0</v>
      </c>
      <c r="Z886" s="26">
        <f t="shared" si="7"/>
        <v>0</v>
      </c>
      <c r="AA886" s="26">
        <f t="shared" si="8"/>
        <v>0</v>
      </c>
      <c r="AB886" s="26">
        <f t="shared" si="9"/>
        <v>0</v>
      </c>
      <c r="AC886" s="156">
        <v>0.0</v>
      </c>
      <c r="AD886" s="156">
        <v>0.0</v>
      </c>
      <c r="AE886" s="156">
        <v>0.0</v>
      </c>
      <c r="AF886" s="156">
        <v>0.0</v>
      </c>
      <c r="AG886" s="156">
        <v>0.0</v>
      </c>
      <c r="AH886" s="156">
        <v>0.0</v>
      </c>
      <c r="BN886" s="155">
        <v>0.0</v>
      </c>
      <c r="BO886" s="155">
        <v>0.0</v>
      </c>
      <c r="BP886" s="155">
        <v>0.0</v>
      </c>
      <c r="BQ886" s="155">
        <v>0.0</v>
      </c>
      <c r="BR886" s="155">
        <v>0.0</v>
      </c>
      <c r="BS886" s="155">
        <v>0.0</v>
      </c>
      <c r="CV886" s="156">
        <v>0.0</v>
      </c>
      <c r="CW886" s="156">
        <v>0.0</v>
      </c>
      <c r="CX886" s="156">
        <v>0.0</v>
      </c>
      <c r="CY886" s="156">
        <v>0.0</v>
      </c>
      <c r="CZ886" s="156">
        <v>0.0</v>
      </c>
      <c r="DA886" s="156">
        <v>0.0</v>
      </c>
      <c r="EG886" s="156">
        <v>0.0</v>
      </c>
      <c r="EH886" s="156">
        <v>0.0</v>
      </c>
      <c r="EI886" s="156">
        <v>0.0</v>
      </c>
      <c r="EJ886" s="156">
        <v>0.0</v>
      </c>
      <c r="EK886" s="156">
        <v>0.0</v>
      </c>
      <c r="EL886" s="156">
        <v>0.0</v>
      </c>
      <c r="FQ886" s="156">
        <v>0.0</v>
      </c>
      <c r="FR886" s="156">
        <v>0.0</v>
      </c>
      <c r="FS886" s="156">
        <v>0.0</v>
      </c>
      <c r="FT886" s="156">
        <v>0.0</v>
      </c>
      <c r="FU886" s="156">
        <v>0.0</v>
      </c>
      <c r="FV886" s="156">
        <v>0.0</v>
      </c>
      <c r="FW886" s="157"/>
      <c r="FX886" s="157"/>
      <c r="FY886" s="157"/>
      <c r="FZ886" s="157"/>
      <c r="GA886" s="157"/>
      <c r="GB886" s="157"/>
      <c r="GC886" s="157"/>
      <c r="GD886" s="157"/>
      <c r="GE886" s="157"/>
      <c r="GF886" s="157"/>
      <c r="GG886" s="157"/>
      <c r="GH886" s="157"/>
      <c r="GI886" s="157"/>
      <c r="GJ886" s="157"/>
      <c r="GK886" s="157"/>
      <c r="GL886" s="157"/>
      <c r="GM886" s="157"/>
      <c r="GN886" s="157"/>
      <c r="GO886" s="157"/>
      <c r="GP886" s="158"/>
      <c r="GQ886" s="157"/>
      <c r="GR886" s="157"/>
      <c r="GS886" s="157"/>
      <c r="GT886" s="157"/>
      <c r="GU886" s="157"/>
      <c r="GV886" s="157"/>
      <c r="GW886" s="157"/>
      <c r="GX886" s="157"/>
      <c r="GY886" s="157"/>
      <c r="GZ886" s="157"/>
      <c r="HA886" s="157"/>
      <c r="HB886" s="155">
        <v>0.0</v>
      </c>
      <c r="HC886" s="155">
        <v>0.0</v>
      </c>
      <c r="HD886" s="155">
        <v>0.0</v>
      </c>
      <c r="HE886" s="155">
        <v>0.0</v>
      </c>
      <c r="HF886" s="155">
        <v>0.0</v>
      </c>
      <c r="HG886" s="155">
        <v>0.0</v>
      </c>
      <c r="IL886" s="159">
        <v>0.0</v>
      </c>
      <c r="IM886" s="156">
        <v>0.0</v>
      </c>
      <c r="IN886" s="156">
        <v>0.0</v>
      </c>
      <c r="IO886" s="156">
        <v>0.0</v>
      </c>
      <c r="IP886" s="156">
        <v>0.0</v>
      </c>
      <c r="IQ886" s="160">
        <v>0.0</v>
      </c>
      <c r="JH886" s="25"/>
      <c r="JW886" s="159">
        <v>0.0</v>
      </c>
      <c r="JX886" s="156">
        <v>0.0</v>
      </c>
      <c r="JY886" s="156">
        <v>0.0</v>
      </c>
      <c r="JZ886" s="156">
        <v>0.0</v>
      </c>
      <c r="KA886" s="156">
        <v>0.0</v>
      </c>
      <c r="KB886" s="160">
        <v>0.0</v>
      </c>
      <c r="LH886" s="159">
        <f t="shared" si="10"/>
        <v>0</v>
      </c>
      <c r="LI886" s="156">
        <f t="shared" si="11"/>
        <v>0</v>
      </c>
      <c r="LJ886" s="156">
        <f t="shared" si="12"/>
        <v>0</v>
      </c>
      <c r="LK886" s="156">
        <f t="shared" si="13"/>
        <v>0</v>
      </c>
      <c r="LL886" s="156">
        <f t="shared" si="14"/>
        <v>0</v>
      </c>
      <c r="LM886" s="160">
        <f t="shared" si="15"/>
        <v>0</v>
      </c>
      <c r="QX886" s="633"/>
    </row>
    <row r="887">
      <c r="A887" s="12"/>
      <c r="B887" s="12"/>
      <c r="C887" s="12"/>
      <c r="D887" s="12"/>
      <c r="E887" s="12"/>
      <c r="F887" s="12"/>
      <c r="G887" s="12"/>
      <c r="H887" s="12"/>
      <c r="I887" s="143">
        <f t="shared" si="22"/>
        <v>0</v>
      </c>
      <c r="J887" s="108"/>
      <c r="K887" s="203"/>
      <c r="L887" s="108"/>
      <c r="V887" s="161"/>
      <c r="X887" s="140"/>
      <c r="Y887" s="166">
        <f t="shared" si="23"/>
        <v>0</v>
      </c>
      <c r="Z887" s="26">
        <f t="shared" si="7"/>
        <v>0</v>
      </c>
      <c r="AA887" s="26">
        <f t="shared" si="8"/>
        <v>0</v>
      </c>
      <c r="AB887" s="26">
        <f t="shared" si="9"/>
        <v>0</v>
      </c>
      <c r="AC887" s="156">
        <v>0.0</v>
      </c>
      <c r="AD887" s="156">
        <v>0.0</v>
      </c>
      <c r="AE887" s="156">
        <v>0.0</v>
      </c>
      <c r="AF887" s="156">
        <v>0.0</v>
      </c>
      <c r="AG887" s="156">
        <v>0.0</v>
      </c>
      <c r="AH887" s="156">
        <v>0.0</v>
      </c>
      <c r="BN887" s="155">
        <v>0.0</v>
      </c>
      <c r="BO887" s="155">
        <v>0.0</v>
      </c>
      <c r="BP887" s="155">
        <v>0.0</v>
      </c>
      <c r="BQ887" s="155">
        <v>0.0</v>
      </c>
      <c r="BR887" s="155">
        <v>0.0</v>
      </c>
      <c r="BS887" s="155">
        <v>0.0</v>
      </c>
      <c r="CV887" s="156">
        <v>0.0</v>
      </c>
      <c r="CW887" s="156">
        <v>0.0</v>
      </c>
      <c r="CX887" s="156">
        <v>0.0</v>
      </c>
      <c r="CY887" s="156">
        <v>0.0</v>
      </c>
      <c r="CZ887" s="156">
        <v>0.0</v>
      </c>
      <c r="DA887" s="156">
        <v>0.0</v>
      </c>
      <c r="EG887" s="156">
        <v>0.0</v>
      </c>
      <c r="EH887" s="156">
        <v>0.0</v>
      </c>
      <c r="EI887" s="156">
        <v>0.0</v>
      </c>
      <c r="EJ887" s="156">
        <v>0.0</v>
      </c>
      <c r="EK887" s="156">
        <v>0.0</v>
      </c>
      <c r="EL887" s="156">
        <v>0.0</v>
      </c>
      <c r="FQ887" s="156">
        <v>0.0</v>
      </c>
      <c r="FR887" s="156">
        <v>0.0</v>
      </c>
      <c r="FS887" s="156">
        <v>0.0</v>
      </c>
      <c r="FT887" s="156">
        <v>0.0</v>
      </c>
      <c r="FU887" s="156">
        <v>0.0</v>
      </c>
      <c r="FV887" s="156">
        <v>0.0</v>
      </c>
      <c r="FW887" s="157"/>
      <c r="FX887" s="157"/>
      <c r="FY887" s="157"/>
      <c r="FZ887" s="157"/>
      <c r="GA887" s="157"/>
      <c r="GB887" s="157"/>
      <c r="GC887" s="157"/>
      <c r="GD887" s="157"/>
      <c r="GE887" s="157"/>
      <c r="GF887" s="157"/>
      <c r="GG887" s="157"/>
      <c r="GH887" s="157"/>
      <c r="GI887" s="157"/>
      <c r="GJ887" s="157"/>
      <c r="GK887" s="157"/>
      <c r="GL887" s="157"/>
      <c r="GM887" s="157"/>
      <c r="GN887" s="157"/>
      <c r="GO887" s="157"/>
      <c r="GP887" s="158"/>
      <c r="GQ887" s="157"/>
      <c r="GR887" s="157"/>
      <c r="GS887" s="157"/>
      <c r="GT887" s="157"/>
      <c r="GU887" s="157"/>
      <c r="GV887" s="157"/>
      <c r="GW887" s="157"/>
      <c r="GX887" s="157"/>
      <c r="GY887" s="157"/>
      <c r="GZ887" s="157"/>
      <c r="HA887" s="157"/>
      <c r="HB887" s="155">
        <v>0.0</v>
      </c>
      <c r="HC887" s="155">
        <v>0.0</v>
      </c>
      <c r="HD887" s="155">
        <v>0.0</v>
      </c>
      <c r="HE887" s="155">
        <v>0.0</v>
      </c>
      <c r="HF887" s="155">
        <v>0.0</v>
      </c>
      <c r="HG887" s="155">
        <v>0.0</v>
      </c>
      <c r="IL887" s="159">
        <v>0.0</v>
      </c>
      <c r="IM887" s="156">
        <v>0.0</v>
      </c>
      <c r="IN887" s="156">
        <v>0.0</v>
      </c>
      <c r="IO887" s="156">
        <v>0.0</v>
      </c>
      <c r="IP887" s="156">
        <v>0.0</v>
      </c>
      <c r="IQ887" s="160">
        <v>0.0</v>
      </c>
      <c r="JH887" s="25"/>
      <c r="JW887" s="159">
        <v>0.0</v>
      </c>
      <c r="JX887" s="156">
        <v>0.0</v>
      </c>
      <c r="JY887" s="156">
        <v>0.0</v>
      </c>
      <c r="JZ887" s="156">
        <v>0.0</v>
      </c>
      <c r="KA887" s="156">
        <v>0.0</v>
      </c>
      <c r="KB887" s="160">
        <v>0.0</v>
      </c>
      <c r="LH887" s="159">
        <f t="shared" si="10"/>
        <v>0</v>
      </c>
      <c r="LI887" s="156">
        <f t="shared" si="11"/>
        <v>0</v>
      </c>
      <c r="LJ887" s="156">
        <f t="shared" si="12"/>
        <v>0</v>
      </c>
      <c r="LK887" s="156">
        <f t="shared" si="13"/>
        <v>0</v>
      </c>
      <c r="LL887" s="156">
        <f t="shared" si="14"/>
        <v>0</v>
      </c>
      <c r="LM887" s="160">
        <f t="shared" si="15"/>
        <v>0</v>
      </c>
      <c r="QX887" s="633"/>
    </row>
    <row r="888">
      <c r="A888" s="12"/>
      <c r="B888" s="12"/>
      <c r="C888" s="12"/>
      <c r="D888" s="12"/>
      <c r="E888" s="12"/>
      <c r="F888" s="12"/>
      <c r="G888" s="12"/>
      <c r="H888" s="12"/>
      <c r="I888" s="143">
        <f t="shared" si="22"/>
        <v>0</v>
      </c>
      <c r="J888" s="108"/>
      <c r="K888" s="203"/>
      <c r="L888" s="108"/>
      <c r="V888" s="161"/>
      <c r="X888" s="140"/>
      <c r="Y888" s="166">
        <f t="shared" si="23"/>
        <v>0</v>
      </c>
      <c r="Z888" s="26">
        <f t="shared" si="7"/>
        <v>0</v>
      </c>
      <c r="AA888" s="26">
        <f t="shared" si="8"/>
        <v>0</v>
      </c>
      <c r="AB888" s="26">
        <f t="shared" si="9"/>
        <v>0</v>
      </c>
      <c r="AC888" s="156">
        <v>0.0</v>
      </c>
      <c r="AD888" s="156">
        <v>0.0</v>
      </c>
      <c r="AE888" s="156">
        <v>0.0</v>
      </c>
      <c r="AF888" s="156">
        <v>0.0</v>
      </c>
      <c r="AG888" s="156">
        <v>0.0</v>
      </c>
      <c r="AH888" s="156">
        <v>0.0</v>
      </c>
      <c r="BN888" s="155">
        <v>0.0</v>
      </c>
      <c r="BO888" s="155">
        <v>0.0</v>
      </c>
      <c r="BP888" s="155">
        <v>0.0</v>
      </c>
      <c r="BQ888" s="155">
        <v>0.0</v>
      </c>
      <c r="BR888" s="155">
        <v>0.0</v>
      </c>
      <c r="BS888" s="155">
        <v>0.0</v>
      </c>
      <c r="CV888" s="156">
        <v>0.0</v>
      </c>
      <c r="CW888" s="156">
        <v>0.0</v>
      </c>
      <c r="CX888" s="156">
        <v>0.0</v>
      </c>
      <c r="CY888" s="156">
        <v>0.0</v>
      </c>
      <c r="CZ888" s="156">
        <v>0.0</v>
      </c>
      <c r="DA888" s="156">
        <v>0.0</v>
      </c>
      <c r="EG888" s="156">
        <v>0.0</v>
      </c>
      <c r="EH888" s="156">
        <v>0.0</v>
      </c>
      <c r="EI888" s="156">
        <v>0.0</v>
      </c>
      <c r="EJ888" s="156">
        <v>0.0</v>
      </c>
      <c r="EK888" s="156">
        <v>0.0</v>
      </c>
      <c r="EL888" s="156">
        <v>0.0</v>
      </c>
      <c r="FQ888" s="156">
        <v>0.0</v>
      </c>
      <c r="FR888" s="156">
        <v>0.0</v>
      </c>
      <c r="FS888" s="156">
        <v>0.0</v>
      </c>
      <c r="FT888" s="156">
        <v>0.0</v>
      </c>
      <c r="FU888" s="156">
        <v>0.0</v>
      </c>
      <c r="FV888" s="156">
        <v>0.0</v>
      </c>
      <c r="FW888" s="157"/>
      <c r="FX888" s="157"/>
      <c r="FY888" s="157"/>
      <c r="FZ888" s="157"/>
      <c r="GA888" s="157"/>
      <c r="GB888" s="157"/>
      <c r="GC888" s="157"/>
      <c r="GD888" s="157"/>
      <c r="GE888" s="157"/>
      <c r="GF888" s="157"/>
      <c r="GG888" s="157"/>
      <c r="GH888" s="157"/>
      <c r="GI888" s="157"/>
      <c r="GJ888" s="157"/>
      <c r="GK888" s="157"/>
      <c r="GL888" s="157"/>
      <c r="GM888" s="157"/>
      <c r="GN888" s="157"/>
      <c r="GO888" s="157"/>
      <c r="GP888" s="158"/>
      <c r="GQ888" s="157"/>
      <c r="GR888" s="157"/>
      <c r="GS888" s="157"/>
      <c r="GT888" s="157"/>
      <c r="GU888" s="157"/>
      <c r="GV888" s="157"/>
      <c r="GW888" s="157"/>
      <c r="GX888" s="157"/>
      <c r="GY888" s="157"/>
      <c r="GZ888" s="157"/>
      <c r="HA888" s="157"/>
      <c r="HB888" s="155">
        <v>0.0</v>
      </c>
      <c r="HC888" s="155">
        <v>0.0</v>
      </c>
      <c r="HD888" s="155">
        <v>0.0</v>
      </c>
      <c r="HE888" s="155">
        <v>0.0</v>
      </c>
      <c r="HF888" s="155">
        <v>0.0</v>
      </c>
      <c r="HG888" s="155">
        <v>0.0</v>
      </c>
      <c r="IL888" s="159">
        <v>0.0</v>
      </c>
      <c r="IM888" s="156">
        <v>0.0</v>
      </c>
      <c r="IN888" s="156">
        <v>0.0</v>
      </c>
      <c r="IO888" s="156">
        <v>0.0</v>
      </c>
      <c r="IP888" s="156">
        <v>0.0</v>
      </c>
      <c r="IQ888" s="160">
        <v>0.0</v>
      </c>
      <c r="JH888" s="25"/>
      <c r="JW888" s="159">
        <v>0.0</v>
      </c>
      <c r="JX888" s="156">
        <v>0.0</v>
      </c>
      <c r="JY888" s="156">
        <v>0.0</v>
      </c>
      <c r="JZ888" s="156">
        <v>0.0</v>
      </c>
      <c r="KA888" s="156">
        <v>0.0</v>
      </c>
      <c r="KB888" s="160">
        <v>0.0</v>
      </c>
      <c r="LH888" s="159">
        <f t="shared" si="10"/>
        <v>0</v>
      </c>
      <c r="LI888" s="156">
        <f t="shared" si="11"/>
        <v>0</v>
      </c>
      <c r="LJ888" s="156">
        <f t="shared" si="12"/>
        <v>0</v>
      </c>
      <c r="LK888" s="156">
        <f t="shared" si="13"/>
        <v>0</v>
      </c>
      <c r="LL888" s="156">
        <f t="shared" si="14"/>
        <v>0</v>
      </c>
      <c r="LM888" s="160">
        <f t="shared" si="15"/>
        <v>0</v>
      </c>
      <c r="QX888" s="633"/>
    </row>
    <row r="889">
      <c r="A889" s="12"/>
      <c r="B889" s="12"/>
      <c r="C889" s="12"/>
      <c r="D889" s="12"/>
      <c r="E889" s="12"/>
      <c r="F889" s="12"/>
      <c r="G889" s="12"/>
      <c r="H889" s="12"/>
      <c r="I889" s="143">
        <f t="shared" si="22"/>
        <v>0</v>
      </c>
      <c r="J889" s="108"/>
      <c r="K889" s="203"/>
      <c r="L889" s="108"/>
      <c r="V889" s="161"/>
      <c r="X889" s="140"/>
      <c r="Y889" s="166">
        <f t="shared" si="23"/>
        <v>0</v>
      </c>
      <c r="Z889" s="26">
        <f t="shared" si="7"/>
        <v>0</v>
      </c>
      <c r="AA889" s="26">
        <f t="shared" si="8"/>
        <v>0</v>
      </c>
      <c r="AB889" s="26">
        <f t="shared" si="9"/>
        <v>0</v>
      </c>
      <c r="AC889" s="156">
        <v>0.0</v>
      </c>
      <c r="AD889" s="156">
        <v>0.0</v>
      </c>
      <c r="AE889" s="156">
        <v>0.0</v>
      </c>
      <c r="AF889" s="156">
        <v>0.0</v>
      </c>
      <c r="AG889" s="156">
        <v>0.0</v>
      </c>
      <c r="AH889" s="156">
        <v>0.0</v>
      </c>
      <c r="BN889" s="155">
        <v>0.0</v>
      </c>
      <c r="BO889" s="155">
        <v>0.0</v>
      </c>
      <c r="BP889" s="155">
        <v>0.0</v>
      </c>
      <c r="BQ889" s="155">
        <v>0.0</v>
      </c>
      <c r="BR889" s="155">
        <v>0.0</v>
      </c>
      <c r="BS889" s="155">
        <v>0.0</v>
      </c>
      <c r="CV889" s="156">
        <v>0.0</v>
      </c>
      <c r="CW889" s="156">
        <v>0.0</v>
      </c>
      <c r="CX889" s="156">
        <v>0.0</v>
      </c>
      <c r="CY889" s="156">
        <v>0.0</v>
      </c>
      <c r="CZ889" s="156">
        <v>0.0</v>
      </c>
      <c r="DA889" s="156">
        <v>0.0</v>
      </c>
      <c r="EG889" s="156">
        <v>0.0</v>
      </c>
      <c r="EH889" s="156">
        <v>0.0</v>
      </c>
      <c r="EI889" s="156">
        <v>0.0</v>
      </c>
      <c r="EJ889" s="156">
        <v>0.0</v>
      </c>
      <c r="EK889" s="156">
        <v>0.0</v>
      </c>
      <c r="EL889" s="156">
        <v>0.0</v>
      </c>
      <c r="FQ889" s="156">
        <v>0.0</v>
      </c>
      <c r="FR889" s="156">
        <v>0.0</v>
      </c>
      <c r="FS889" s="156">
        <v>0.0</v>
      </c>
      <c r="FT889" s="156">
        <v>0.0</v>
      </c>
      <c r="FU889" s="156">
        <v>0.0</v>
      </c>
      <c r="FV889" s="156">
        <v>0.0</v>
      </c>
      <c r="FW889" s="157"/>
      <c r="FX889" s="157"/>
      <c r="FY889" s="157"/>
      <c r="FZ889" s="157"/>
      <c r="GA889" s="157"/>
      <c r="GB889" s="157"/>
      <c r="GC889" s="157"/>
      <c r="GD889" s="157"/>
      <c r="GE889" s="157"/>
      <c r="GF889" s="157"/>
      <c r="GG889" s="157"/>
      <c r="GH889" s="157"/>
      <c r="GI889" s="157"/>
      <c r="GJ889" s="157"/>
      <c r="GK889" s="157"/>
      <c r="GL889" s="157"/>
      <c r="GM889" s="157"/>
      <c r="GN889" s="157"/>
      <c r="GO889" s="157"/>
      <c r="GP889" s="158"/>
      <c r="GQ889" s="157"/>
      <c r="GR889" s="157"/>
      <c r="GS889" s="157"/>
      <c r="GT889" s="157"/>
      <c r="GU889" s="157"/>
      <c r="GV889" s="157"/>
      <c r="GW889" s="157"/>
      <c r="GX889" s="157"/>
      <c r="GY889" s="157"/>
      <c r="GZ889" s="157"/>
      <c r="HA889" s="157"/>
      <c r="HB889" s="155">
        <v>0.0</v>
      </c>
      <c r="HC889" s="155">
        <v>0.0</v>
      </c>
      <c r="HD889" s="155">
        <v>0.0</v>
      </c>
      <c r="HE889" s="155">
        <v>0.0</v>
      </c>
      <c r="HF889" s="155">
        <v>0.0</v>
      </c>
      <c r="HG889" s="155">
        <v>0.0</v>
      </c>
      <c r="IL889" s="159">
        <v>0.0</v>
      </c>
      <c r="IM889" s="156">
        <v>0.0</v>
      </c>
      <c r="IN889" s="156">
        <v>0.0</v>
      </c>
      <c r="IO889" s="156">
        <v>0.0</v>
      </c>
      <c r="IP889" s="156">
        <v>0.0</v>
      </c>
      <c r="IQ889" s="160">
        <v>0.0</v>
      </c>
      <c r="JH889" s="25"/>
      <c r="JW889" s="159">
        <v>0.0</v>
      </c>
      <c r="JX889" s="156">
        <v>0.0</v>
      </c>
      <c r="JY889" s="156">
        <v>0.0</v>
      </c>
      <c r="JZ889" s="156">
        <v>0.0</v>
      </c>
      <c r="KA889" s="156">
        <v>0.0</v>
      </c>
      <c r="KB889" s="160">
        <v>0.0</v>
      </c>
      <c r="LH889" s="159">
        <f t="shared" si="10"/>
        <v>0</v>
      </c>
      <c r="LI889" s="156">
        <f t="shared" si="11"/>
        <v>0</v>
      </c>
      <c r="LJ889" s="156">
        <f t="shared" si="12"/>
        <v>0</v>
      </c>
      <c r="LK889" s="156">
        <f t="shared" si="13"/>
        <v>0</v>
      </c>
      <c r="LL889" s="156">
        <f t="shared" si="14"/>
        <v>0</v>
      </c>
      <c r="LM889" s="160">
        <f t="shared" si="15"/>
        <v>0</v>
      </c>
      <c r="QX889" s="633"/>
    </row>
    <row r="890">
      <c r="A890" s="12"/>
      <c r="B890" s="12"/>
      <c r="C890" s="12"/>
      <c r="D890" s="12"/>
      <c r="E890" s="12"/>
      <c r="F890" s="12"/>
      <c r="G890" s="12"/>
      <c r="H890" s="12"/>
      <c r="I890" s="143">
        <f t="shared" si="22"/>
        <v>0</v>
      </c>
      <c r="J890" s="108"/>
      <c r="K890" s="203"/>
      <c r="L890" s="108"/>
      <c r="V890" s="161"/>
      <c r="X890" s="140"/>
      <c r="Y890" s="166">
        <f t="shared" si="23"/>
        <v>0</v>
      </c>
      <c r="Z890" s="26">
        <f t="shared" si="7"/>
        <v>0</v>
      </c>
      <c r="AA890" s="26">
        <f t="shared" si="8"/>
        <v>0</v>
      </c>
      <c r="AB890" s="26">
        <f t="shared" si="9"/>
        <v>0</v>
      </c>
      <c r="AC890" s="156">
        <v>0.0</v>
      </c>
      <c r="AD890" s="156">
        <v>0.0</v>
      </c>
      <c r="AE890" s="156">
        <v>0.0</v>
      </c>
      <c r="AF890" s="156">
        <v>0.0</v>
      </c>
      <c r="AG890" s="156">
        <v>0.0</v>
      </c>
      <c r="AH890" s="156">
        <v>0.0</v>
      </c>
      <c r="BN890" s="155">
        <v>0.0</v>
      </c>
      <c r="BO890" s="155">
        <v>0.0</v>
      </c>
      <c r="BP890" s="155">
        <v>0.0</v>
      </c>
      <c r="BQ890" s="155">
        <v>0.0</v>
      </c>
      <c r="BR890" s="155">
        <v>0.0</v>
      </c>
      <c r="BS890" s="155">
        <v>0.0</v>
      </c>
      <c r="CV890" s="156">
        <v>0.0</v>
      </c>
      <c r="CW890" s="156">
        <v>0.0</v>
      </c>
      <c r="CX890" s="156">
        <v>0.0</v>
      </c>
      <c r="CY890" s="156">
        <v>0.0</v>
      </c>
      <c r="CZ890" s="156">
        <v>0.0</v>
      </c>
      <c r="DA890" s="156">
        <v>0.0</v>
      </c>
      <c r="EG890" s="156">
        <v>0.0</v>
      </c>
      <c r="EH890" s="156">
        <v>0.0</v>
      </c>
      <c r="EI890" s="156">
        <v>0.0</v>
      </c>
      <c r="EJ890" s="156">
        <v>0.0</v>
      </c>
      <c r="EK890" s="156">
        <v>0.0</v>
      </c>
      <c r="EL890" s="156">
        <v>0.0</v>
      </c>
      <c r="FQ890" s="156">
        <v>0.0</v>
      </c>
      <c r="FR890" s="156">
        <v>0.0</v>
      </c>
      <c r="FS890" s="156">
        <v>0.0</v>
      </c>
      <c r="FT890" s="156">
        <v>0.0</v>
      </c>
      <c r="FU890" s="156">
        <v>0.0</v>
      </c>
      <c r="FV890" s="156">
        <v>0.0</v>
      </c>
      <c r="FW890" s="157"/>
      <c r="FX890" s="157"/>
      <c r="FY890" s="157"/>
      <c r="FZ890" s="157"/>
      <c r="GA890" s="157"/>
      <c r="GB890" s="157"/>
      <c r="GC890" s="157"/>
      <c r="GD890" s="157"/>
      <c r="GE890" s="157"/>
      <c r="GF890" s="157"/>
      <c r="GG890" s="157"/>
      <c r="GH890" s="157"/>
      <c r="GI890" s="157"/>
      <c r="GJ890" s="157"/>
      <c r="GK890" s="157"/>
      <c r="GL890" s="157"/>
      <c r="GM890" s="157"/>
      <c r="GN890" s="157"/>
      <c r="GO890" s="157"/>
      <c r="GP890" s="158"/>
      <c r="GQ890" s="157"/>
      <c r="GR890" s="157"/>
      <c r="GS890" s="157"/>
      <c r="GT890" s="157"/>
      <c r="GU890" s="157"/>
      <c r="GV890" s="157"/>
      <c r="GW890" s="157"/>
      <c r="GX890" s="157"/>
      <c r="GY890" s="157"/>
      <c r="GZ890" s="157"/>
      <c r="HA890" s="157"/>
      <c r="HB890" s="155">
        <v>0.0</v>
      </c>
      <c r="HC890" s="155">
        <v>0.0</v>
      </c>
      <c r="HD890" s="155">
        <v>0.0</v>
      </c>
      <c r="HE890" s="155">
        <v>0.0</v>
      </c>
      <c r="HF890" s="155">
        <v>0.0</v>
      </c>
      <c r="HG890" s="155">
        <v>0.0</v>
      </c>
      <c r="IL890" s="159">
        <v>0.0</v>
      </c>
      <c r="IM890" s="156">
        <v>0.0</v>
      </c>
      <c r="IN890" s="156">
        <v>0.0</v>
      </c>
      <c r="IO890" s="156">
        <v>0.0</v>
      </c>
      <c r="IP890" s="156">
        <v>0.0</v>
      </c>
      <c r="IQ890" s="160">
        <v>0.0</v>
      </c>
      <c r="JH890" s="25"/>
      <c r="JW890" s="159">
        <v>0.0</v>
      </c>
      <c r="JX890" s="156">
        <v>0.0</v>
      </c>
      <c r="JY890" s="156">
        <v>0.0</v>
      </c>
      <c r="JZ890" s="156">
        <v>0.0</v>
      </c>
      <c r="KA890" s="156">
        <v>0.0</v>
      </c>
      <c r="KB890" s="160">
        <v>0.0</v>
      </c>
      <c r="LH890" s="159">
        <f t="shared" si="10"/>
        <v>0</v>
      </c>
      <c r="LI890" s="156">
        <f t="shared" si="11"/>
        <v>0</v>
      </c>
      <c r="LJ890" s="156">
        <f t="shared" si="12"/>
        <v>0</v>
      </c>
      <c r="LK890" s="156">
        <f t="shared" si="13"/>
        <v>0</v>
      </c>
      <c r="LL890" s="156">
        <f t="shared" si="14"/>
        <v>0</v>
      </c>
      <c r="LM890" s="160">
        <f t="shared" si="15"/>
        <v>0</v>
      </c>
      <c r="QX890" s="633"/>
    </row>
    <row r="891">
      <c r="A891" s="12"/>
      <c r="B891" s="12"/>
      <c r="C891" s="12"/>
      <c r="D891" s="12"/>
      <c r="E891" s="12"/>
      <c r="F891" s="12"/>
      <c r="G891" s="12"/>
      <c r="H891" s="12"/>
      <c r="I891" s="143">
        <f t="shared" si="22"/>
        <v>0</v>
      </c>
      <c r="J891" s="108"/>
      <c r="K891" s="203"/>
      <c r="L891" s="108"/>
      <c r="V891" s="161"/>
      <c r="X891" s="140"/>
      <c r="Y891" s="166">
        <f t="shared" si="23"/>
        <v>0</v>
      </c>
      <c r="Z891" s="26">
        <f t="shared" si="7"/>
        <v>0</v>
      </c>
      <c r="AA891" s="26">
        <f t="shared" si="8"/>
        <v>0</v>
      </c>
      <c r="AB891" s="26">
        <f t="shared" si="9"/>
        <v>0</v>
      </c>
      <c r="AC891" s="156">
        <v>0.0</v>
      </c>
      <c r="AD891" s="156">
        <v>0.0</v>
      </c>
      <c r="AE891" s="156">
        <v>0.0</v>
      </c>
      <c r="AF891" s="156">
        <v>0.0</v>
      </c>
      <c r="AG891" s="156">
        <v>0.0</v>
      </c>
      <c r="AH891" s="156">
        <v>0.0</v>
      </c>
      <c r="BN891" s="155">
        <v>0.0</v>
      </c>
      <c r="BO891" s="155">
        <v>0.0</v>
      </c>
      <c r="BP891" s="155">
        <v>0.0</v>
      </c>
      <c r="BQ891" s="155">
        <v>0.0</v>
      </c>
      <c r="BR891" s="155">
        <v>0.0</v>
      </c>
      <c r="BS891" s="155">
        <v>0.0</v>
      </c>
      <c r="CV891" s="156">
        <v>0.0</v>
      </c>
      <c r="CW891" s="156">
        <v>0.0</v>
      </c>
      <c r="CX891" s="156">
        <v>0.0</v>
      </c>
      <c r="CY891" s="156">
        <v>0.0</v>
      </c>
      <c r="CZ891" s="156">
        <v>0.0</v>
      </c>
      <c r="DA891" s="156">
        <v>0.0</v>
      </c>
      <c r="EG891" s="156">
        <v>0.0</v>
      </c>
      <c r="EH891" s="156">
        <v>0.0</v>
      </c>
      <c r="EI891" s="156">
        <v>0.0</v>
      </c>
      <c r="EJ891" s="156">
        <v>0.0</v>
      </c>
      <c r="EK891" s="156">
        <v>0.0</v>
      </c>
      <c r="EL891" s="156">
        <v>0.0</v>
      </c>
      <c r="FQ891" s="156">
        <v>0.0</v>
      </c>
      <c r="FR891" s="156">
        <v>0.0</v>
      </c>
      <c r="FS891" s="156">
        <v>0.0</v>
      </c>
      <c r="FT891" s="156">
        <v>0.0</v>
      </c>
      <c r="FU891" s="156">
        <v>0.0</v>
      </c>
      <c r="FV891" s="156">
        <v>0.0</v>
      </c>
      <c r="FW891" s="157"/>
      <c r="FX891" s="157"/>
      <c r="FY891" s="157"/>
      <c r="FZ891" s="157"/>
      <c r="GA891" s="157"/>
      <c r="GB891" s="157"/>
      <c r="GC891" s="157"/>
      <c r="GD891" s="157"/>
      <c r="GE891" s="157"/>
      <c r="GF891" s="157"/>
      <c r="GG891" s="157"/>
      <c r="GH891" s="157"/>
      <c r="GI891" s="157"/>
      <c r="GJ891" s="157"/>
      <c r="GK891" s="157"/>
      <c r="GL891" s="157"/>
      <c r="GM891" s="157"/>
      <c r="GN891" s="157"/>
      <c r="GO891" s="157"/>
      <c r="GP891" s="158"/>
      <c r="GQ891" s="157"/>
      <c r="GR891" s="157"/>
      <c r="GS891" s="157"/>
      <c r="GT891" s="157"/>
      <c r="GU891" s="157"/>
      <c r="GV891" s="157"/>
      <c r="GW891" s="157"/>
      <c r="GX891" s="157"/>
      <c r="GY891" s="157"/>
      <c r="GZ891" s="157"/>
      <c r="HA891" s="157"/>
      <c r="HB891" s="155">
        <v>0.0</v>
      </c>
      <c r="HC891" s="155">
        <v>0.0</v>
      </c>
      <c r="HD891" s="155">
        <v>0.0</v>
      </c>
      <c r="HE891" s="155">
        <v>0.0</v>
      </c>
      <c r="HF891" s="155">
        <v>0.0</v>
      </c>
      <c r="HG891" s="155">
        <v>0.0</v>
      </c>
      <c r="IL891" s="159">
        <v>0.0</v>
      </c>
      <c r="IM891" s="156">
        <v>0.0</v>
      </c>
      <c r="IN891" s="156">
        <v>0.0</v>
      </c>
      <c r="IO891" s="156">
        <v>0.0</v>
      </c>
      <c r="IP891" s="156">
        <v>0.0</v>
      </c>
      <c r="IQ891" s="160">
        <v>0.0</v>
      </c>
      <c r="JH891" s="25"/>
      <c r="JW891" s="159">
        <v>0.0</v>
      </c>
      <c r="JX891" s="156">
        <v>0.0</v>
      </c>
      <c r="JY891" s="156">
        <v>0.0</v>
      </c>
      <c r="JZ891" s="156">
        <v>0.0</v>
      </c>
      <c r="KA891" s="156">
        <v>0.0</v>
      </c>
      <c r="KB891" s="160">
        <v>0.0</v>
      </c>
      <c r="LH891" s="159">
        <f t="shared" si="10"/>
        <v>0</v>
      </c>
      <c r="LI891" s="156">
        <f t="shared" si="11"/>
        <v>0</v>
      </c>
      <c r="LJ891" s="156">
        <f t="shared" si="12"/>
        <v>0</v>
      </c>
      <c r="LK891" s="156">
        <f t="shared" si="13"/>
        <v>0</v>
      </c>
      <c r="LL891" s="156">
        <f t="shared" si="14"/>
        <v>0</v>
      </c>
      <c r="LM891" s="160">
        <f t="shared" si="15"/>
        <v>0</v>
      </c>
      <c r="QX891" s="633"/>
    </row>
    <row r="892">
      <c r="A892" s="12"/>
      <c r="B892" s="12"/>
      <c r="C892" s="12"/>
      <c r="D892" s="12"/>
      <c r="E892" s="12"/>
      <c r="F892" s="12"/>
      <c r="G892" s="12"/>
      <c r="H892" s="12"/>
      <c r="I892" s="143">
        <f t="shared" si="22"/>
        <v>0</v>
      </c>
      <c r="J892" s="108"/>
      <c r="K892" s="203"/>
      <c r="L892" s="108"/>
      <c r="V892" s="161"/>
      <c r="X892" s="140"/>
      <c r="Y892" s="166">
        <f t="shared" si="23"/>
        <v>0</v>
      </c>
      <c r="Z892" s="26">
        <f t="shared" si="7"/>
        <v>0</v>
      </c>
      <c r="AA892" s="26">
        <f t="shared" si="8"/>
        <v>0</v>
      </c>
      <c r="AB892" s="26">
        <f t="shared" si="9"/>
        <v>0</v>
      </c>
      <c r="AC892" s="156">
        <v>0.0</v>
      </c>
      <c r="AD892" s="156">
        <v>0.0</v>
      </c>
      <c r="AE892" s="156">
        <v>0.0</v>
      </c>
      <c r="AF892" s="156">
        <v>0.0</v>
      </c>
      <c r="AG892" s="156">
        <v>0.0</v>
      </c>
      <c r="AH892" s="156">
        <v>0.0</v>
      </c>
      <c r="BN892" s="155">
        <v>0.0</v>
      </c>
      <c r="BO892" s="155">
        <v>0.0</v>
      </c>
      <c r="BP892" s="155">
        <v>0.0</v>
      </c>
      <c r="BQ892" s="155">
        <v>0.0</v>
      </c>
      <c r="BR892" s="155">
        <v>0.0</v>
      </c>
      <c r="BS892" s="155">
        <v>0.0</v>
      </c>
      <c r="CV892" s="156">
        <v>0.0</v>
      </c>
      <c r="CW892" s="156">
        <v>0.0</v>
      </c>
      <c r="CX892" s="156">
        <v>0.0</v>
      </c>
      <c r="CY892" s="156">
        <v>0.0</v>
      </c>
      <c r="CZ892" s="156">
        <v>0.0</v>
      </c>
      <c r="DA892" s="156">
        <v>0.0</v>
      </c>
      <c r="EG892" s="156">
        <v>0.0</v>
      </c>
      <c r="EH892" s="156">
        <v>0.0</v>
      </c>
      <c r="EI892" s="156">
        <v>0.0</v>
      </c>
      <c r="EJ892" s="156">
        <v>0.0</v>
      </c>
      <c r="EK892" s="156">
        <v>0.0</v>
      </c>
      <c r="EL892" s="156">
        <v>0.0</v>
      </c>
      <c r="FQ892" s="156">
        <v>0.0</v>
      </c>
      <c r="FR892" s="156">
        <v>0.0</v>
      </c>
      <c r="FS892" s="156">
        <v>0.0</v>
      </c>
      <c r="FT892" s="156">
        <v>0.0</v>
      </c>
      <c r="FU892" s="156">
        <v>0.0</v>
      </c>
      <c r="FV892" s="156">
        <v>0.0</v>
      </c>
      <c r="FW892" s="157"/>
      <c r="FX892" s="157"/>
      <c r="FY892" s="157"/>
      <c r="FZ892" s="157"/>
      <c r="GA892" s="157"/>
      <c r="GB892" s="157"/>
      <c r="GC892" s="157"/>
      <c r="GD892" s="157"/>
      <c r="GE892" s="157"/>
      <c r="GF892" s="157"/>
      <c r="GG892" s="157"/>
      <c r="GH892" s="157"/>
      <c r="GI892" s="157"/>
      <c r="GJ892" s="157"/>
      <c r="GK892" s="157"/>
      <c r="GL892" s="157"/>
      <c r="GM892" s="157"/>
      <c r="GN892" s="157"/>
      <c r="GO892" s="157"/>
      <c r="GP892" s="158"/>
      <c r="GQ892" s="157"/>
      <c r="GR892" s="157"/>
      <c r="GS892" s="157"/>
      <c r="GT892" s="157"/>
      <c r="GU892" s="157"/>
      <c r="GV892" s="157"/>
      <c r="GW892" s="157"/>
      <c r="GX892" s="157"/>
      <c r="GY892" s="157"/>
      <c r="GZ892" s="157"/>
      <c r="HA892" s="157"/>
      <c r="HB892" s="155">
        <v>0.0</v>
      </c>
      <c r="HC892" s="155">
        <v>0.0</v>
      </c>
      <c r="HD892" s="155">
        <v>0.0</v>
      </c>
      <c r="HE892" s="155">
        <v>0.0</v>
      </c>
      <c r="HF892" s="155">
        <v>0.0</v>
      </c>
      <c r="HG892" s="155">
        <v>0.0</v>
      </c>
      <c r="IL892" s="159">
        <v>0.0</v>
      </c>
      <c r="IM892" s="156">
        <v>0.0</v>
      </c>
      <c r="IN892" s="156">
        <v>0.0</v>
      </c>
      <c r="IO892" s="156">
        <v>0.0</v>
      </c>
      <c r="IP892" s="156">
        <v>0.0</v>
      </c>
      <c r="IQ892" s="160">
        <v>0.0</v>
      </c>
      <c r="JH892" s="25"/>
      <c r="JW892" s="159">
        <v>0.0</v>
      </c>
      <c r="JX892" s="156">
        <v>0.0</v>
      </c>
      <c r="JY892" s="156">
        <v>0.0</v>
      </c>
      <c r="JZ892" s="156">
        <v>0.0</v>
      </c>
      <c r="KA892" s="156">
        <v>0.0</v>
      </c>
      <c r="KB892" s="160">
        <v>0.0</v>
      </c>
      <c r="LH892" s="159">
        <f t="shared" si="10"/>
        <v>0</v>
      </c>
      <c r="LI892" s="156">
        <f t="shared" si="11"/>
        <v>0</v>
      </c>
      <c r="LJ892" s="156">
        <f t="shared" si="12"/>
        <v>0</v>
      </c>
      <c r="LK892" s="156">
        <f t="shared" si="13"/>
        <v>0</v>
      </c>
      <c r="LL892" s="156">
        <f t="shared" si="14"/>
        <v>0</v>
      </c>
      <c r="LM892" s="160">
        <f t="shared" si="15"/>
        <v>0</v>
      </c>
      <c r="QX892" s="633"/>
    </row>
    <row r="893">
      <c r="A893" s="12"/>
      <c r="B893" s="12"/>
      <c r="C893" s="12"/>
      <c r="D893" s="12"/>
      <c r="E893" s="12"/>
      <c r="F893" s="12"/>
      <c r="G893" s="12"/>
      <c r="H893" s="12"/>
      <c r="I893" s="143">
        <f t="shared" si="22"/>
        <v>0</v>
      </c>
      <c r="J893" s="108"/>
      <c r="K893" s="203"/>
      <c r="L893" s="108"/>
      <c r="V893" s="161"/>
      <c r="X893" s="140"/>
      <c r="Y893" s="166">
        <f t="shared" si="23"/>
        <v>0</v>
      </c>
      <c r="Z893" s="26">
        <f t="shared" si="7"/>
        <v>0</v>
      </c>
      <c r="AA893" s="26">
        <f t="shared" si="8"/>
        <v>0</v>
      </c>
      <c r="AB893" s="26">
        <f t="shared" si="9"/>
        <v>0</v>
      </c>
      <c r="AC893" s="156">
        <v>0.0</v>
      </c>
      <c r="AD893" s="156">
        <v>0.0</v>
      </c>
      <c r="AE893" s="156">
        <v>0.0</v>
      </c>
      <c r="AF893" s="156">
        <v>0.0</v>
      </c>
      <c r="AG893" s="156">
        <v>0.0</v>
      </c>
      <c r="AH893" s="156">
        <v>0.0</v>
      </c>
      <c r="BN893" s="155">
        <v>0.0</v>
      </c>
      <c r="BO893" s="155">
        <v>0.0</v>
      </c>
      <c r="BP893" s="155">
        <v>0.0</v>
      </c>
      <c r="BQ893" s="155">
        <v>0.0</v>
      </c>
      <c r="BR893" s="155">
        <v>0.0</v>
      </c>
      <c r="BS893" s="155">
        <v>0.0</v>
      </c>
      <c r="CV893" s="156">
        <v>0.0</v>
      </c>
      <c r="CW893" s="156">
        <v>0.0</v>
      </c>
      <c r="CX893" s="156">
        <v>0.0</v>
      </c>
      <c r="CY893" s="156">
        <v>0.0</v>
      </c>
      <c r="CZ893" s="156">
        <v>0.0</v>
      </c>
      <c r="DA893" s="156">
        <v>0.0</v>
      </c>
      <c r="EG893" s="156">
        <v>0.0</v>
      </c>
      <c r="EH893" s="156">
        <v>0.0</v>
      </c>
      <c r="EI893" s="156">
        <v>0.0</v>
      </c>
      <c r="EJ893" s="156">
        <v>0.0</v>
      </c>
      <c r="EK893" s="156">
        <v>0.0</v>
      </c>
      <c r="EL893" s="156">
        <v>0.0</v>
      </c>
      <c r="FQ893" s="156">
        <v>0.0</v>
      </c>
      <c r="FR893" s="156">
        <v>0.0</v>
      </c>
      <c r="FS893" s="156">
        <v>0.0</v>
      </c>
      <c r="FT893" s="156">
        <v>0.0</v>
      </c>
      <c r="FU893" s="156">
        <v>0.0</v>
      </c>
      <c r="FV893" s="156">
        <v>0.0</v>
      </c>
      <c r="FW893" s="157"/>
      <c r="FX893" s="157"/>
      <c r="FY893" s="157"/>
      <c r="FZ893" s="157"/>
      <c r="GA893" s="157"/>
      <c r="GB893" s="157"/>
      <c r="GC893" s="157"/>
      <c r="GD893" s="157"/>
      <c r="GE893" s="157"/>
      <c r="GF893" s="157"/>
      <c r="GG893" s="157"/>
      <c r="GH893" s="157"/>
      <c r="GI893" s="157"/>
      <c r="GJ893" s="157"/>
      <c r="GK893" s="157"/>
      <c r="GL893" s="157"/>
      <c r="GM893" s="157"/>
      <c r="GN893" s="157"/>
      <c r="GO893" s="157"/>
      <c r="GP893" s="158"/>
      <c r="GQ893" s="157"/>
      <c r="GR893" s="157"/>
      <c r="GS893" s="157"/>
      <c r="GT893" s="157"/>
      <c r="GU893" s="157"/>
      <c r="GV893" s="157"/>
      <c r="GW893" s="157"/>
      <c r="GX893" s="157"/>
      <c r="GY893" s="157"/>
      <c r="GZ893" s="157"/>
      <c r="HA893" s="157"/>
      <c r="HB893" s="155">
        <v>0.0</v>
      </c>
      <c r="HC893" s="155">
        <v>0.0</v>
      </c>
      <c r="HD893" s="155">
        <v>0.0</v>
      </c>
      <c r="HE893" s="155">
        <v>0.0</v>
      </c>
      <c r="HF893" s="155">
        <v>0.0</v>
      </c>
      <c r="HG893" s="155">
        <v>0.0</v>
      </c>
      <c r="IL893" s="159">
        <v>0.0</v>
      </c>
      <c r="IM893" s="156">
        <v>0.0</v>
      </c>
      <c r="IN893" s="156">
        <v>0.0</v>
      </c>
      <c r="IO893" s="156">
        <v>0.0</v>
      </c>
      <c r="IP893" s="156">
        <v>0.0</v>
      </c>
      <c r="IQ893" s="160">
        <v>0.0</v>
      </c>
      <c r="JH893" s="25"/>
      <c r="JW893" s="159">
        <v>0.0</v>
      </c>
      <c r="JX893" s="156">
        <v>0.0</v>
      </c>
      <c r="JY893" s="156">
        <v>0.0</v>
      </c>
      <c r="JZ893" s="156">
        <v>0.0</v>
      </c>
      <c r="KA893" s="156">
        <v>0.0</v>
      </c>
      <c r="KB893" s="160">
        <v>0.0</v>
      </c>
      <c r="LH893" s="159">
        <f t="shared" si="10"/>
        <v>0</v>
      </c>
      <c r="LI893" s="156">
        <f t="shared" si="11"/>
        <v>0</v>
      </c>
      <c r="LJ893" s="156">
        <f t="shared" si="12"/>
        <v>0</v>
      </c>
      <c r="LK893" s="156">
        <f t="shared" si="13"/>
        <v>0</v>
      </c>
      <c r="LL893" s="156">
        <f t="shared" si="14"/>
        <v>0</v>
      </c>
      <c r="LM893" s="160">
        <f t="shared" si="15"/>
        <v>0</v>
      </c>
      <c r="QX893" s="633"/>
    </row>
    <row r="894">
      <c r="A894" s="12"/>
      <c r="B894" s="12"/>
      <c r="C894" s="12"/>
      <c r="D894" s="12"/>
      <c r="E894" s="12"/>
      <c r="F894" s="12"/>
      <c r="G894" s="12"/>
      <c r="H894" s="12"/>
      <c r="I894" s="143">
        <f t="shared" si="22"/>
        <v>0</v>
      </c>
      <c r="J894" s="108"/>
      <c r="K894" s="203"/>
      <c r="L894" s="108"/>
      <c r="V894" s="161"/>
      <c r="X894" s="140"/>
      <c r="Y894" s="166">
        <f t="shared" si="23"/>
        <v>0</v>
      </c>
      <c r="Z894" s="26">
        <f t="shared" si="7"/>
        <v>0</v>
      </c>
      <c r="AA894" s="26">
        <f t="shared" si="8"/>
        <v>0</v>
      </c>
      <c r="AB894" s="26">
        <f t="shared" si="9"/>
        <v>0</v>
      </c>
      <c r="AC894" s="156">
        <v>0.0</v>
      </c>
      <c r="AD894" s="156">
        <v>0.0</v>
      </c>
      <c r="AE894" s="156">
        <v>0.0</v>
      </c>
      <c r="AF894" s="156">
        <v>0.0</v>
      </c>
      <c r="AG894" s="156">
        <v>0.0</v>
      </c>
      <c r="AH894" s="156">
        <v>0.0</v>
      </c>
      <c r="BN894" s="155">
        <v>0.0</v>
      </c>
      <c r="BO894" s="155">
        <v>0.0</v>
      </c>
      <c r="BP894" s="155">
        <v>0.0</v>
      </c>
      <c r="BQ894" s="155">
        <v>0.0</v>
      </c>
      <c r="BR894" s="155">
        <v>0.0</v>
      </c>
      <c r="BS894" s="155">
        <v>0.0</v>
      </c>
      <c r="CV894" s="156">
        <v>0.0</v>
      </c>
      <c r="CW894" s="156">
        <v>0.0</v>
      </c>
      <c r="CX894" s="156">
        <v>0.0</v>
      </c>
      <c r="CY894" s="156">
        <v>0.0</v>
      </c>
      <c r="CZ894" s="156">
        <v>0.0</v>
      </c>
      <c r="DA894" s="156">
        <v>0.0</v>
      </c>
      <c r="EG894" s="156">
        <v>0.0</v>
      </c>
      <c r="EH894" s="156">
        <v>0.0</v>
      </c>
      <c r="EI894" s="156">
        <v>0.0</v>
      </c>
      <c r="EJ894" s="156">
        <v>0.0</v>
      </c>
      <c r="EK894" s="156">
        <v>0.0</v>
      </c>
      <c r="EL894" s="156">
        <v>0.0</v>
      </c>
      <c r="FQ894" s="156">
        <v>0.0</v>
      </c>
      <c r="FR894" s="156">
        <v>0.0</v>
      </c>
      <c r="FS894" s="156">
        <v>0.0</v>
      </c>
      <c r="FT894" s="156">
        <v>0.0</v>
      </c>
      <c r="FU894" s="156">
        <v>0.0</v>
      </c>
      <c r="FV894" s="156">
        <v>0.0</v>
      </c>
      <c r="FW894" s="157"/>
      <c r="FX894" s="157"/>
      <c r="FY894" s="157"/>
      <c r="FZ894" s="157"/>
      <c r="GA894" s="157"/>
      <c r="GB894" s="157"/>
      <c r="GC894" s="157"/>
      <c r="GD894" s="157"/>
      <c r="GE894" s="157"/>
      <c r="GF894" s="157"/>
      <c r="GG894" s="157"/>
      <c r="GH894" s="157"/>
      <c r="GI894" s="157"/>
      <c r="GJ894" s="157"/>
      <c r="GK894" s="157"/>
      <c r="GL894" s="157"/>
      <c r="GM894" s="157"/>
      <c r="GN894" s="157"/>
      <c r="GO894" s="157"/>
      <c r="GP894" s="158"/>
      <c r="GQ894" s="157"/>
      <c r="GR894" s="157"/>
      <c r="GS894" s="157"/>
      <c r="GT894" s="157"/>
      <c r="GU894" s="157"/>
      <c r="GV894" s="157"/>
      <c r="GW894" s="157"/>
      <c r="GX894" s="157"/>
      <c r="GY894" s="157"/>
      <c r="GZ894" s="157"/>
      <c r="HA894" s="157"/>
      <c r="HB894" s="155">
        <v>0.0</v>
      </c>
      <c r="HC894" s="155">
        <v>0.0</v>
      </c>
      <c r="HD894" s="155">
        <v>0.0</v>
      </c>
      <c r="HE894" s="155">
        <v>0.0</v>
      </c>
      <c r="HF894" s="155">
        <v>0.0</v>
      </c>
      <c r="HG894" s="155">
        <v>0.0</v>
      </c>
      <c r="IL894" s="159">
        <v>0.0</v>
      </c>
      <c r="IM894" s="156">
        <v>0.0</v>
      </c>
      <c r="IN894" s="156">
        <v>0.0</v>
      </c>
      <c r="IO894" s="156">
        <v>0.0</v>
      </c>
      <c r="IP894" s="156">
        <v>0.0</v>
      </c>
      <c r="IQ894" s="160">
        <v>0.0</v>
      </c>
      <c r="JH894" s="25"/>
      <c r="JW894" s="159">
        <v>0.0</v>
      </c>
      <c r="JX894" s="156">
        <v>0.0</v>
      </c>
      <c r="JY894" s="156">
        <v>0.0</v>
      </c>
      <c r="JZ894" s="156">
        <v>0.0</v>
      </c>
      <c r="KA894" s="156">
        <v>0.0</v>
      </c>
      <c r="KB894" s="160">
        <v>0.0</v>
      </c>
      <c r="LH894" s="159">
        <f t="shared" si="10"/>
        <v>0</v>
      </c>
      <c r="LI894" s="156">
        <f t="shared" si="11"/>
        <v>0</v>
      </c>
      <c r="LJ894" s="156">
        <f t="shared" si="12"/>
        <v>0</v>
      </c>
      <c r="LK894" s="156">
        <f t="shared" si="13"/>
        <v>0</v>
      </c>
      <c r="LL894" s="156">
        <f t="shared" si="14"/>
        <v>0</v>
      </c>
      <c r="LM894" s="160">
        <f t="shared" si="15"/>
        <v>0</v>
      </c>
      <c r="QX894" s="633"/>
    </row>
    <row r="895">
      <c r="A895" s="12"/>
      <c r="B895" s="12"/>
      <c r="C895" s="12"/>
      <c r="D895" s="12"/>
      <c r="E895" s="12"/>
      <c r="F895" s="12"/>
      <c r="G895" s="12"/>
      <c r="H895" s="12"/>
      <c r="I895" s="143">
        <f t="shared" si="22"/>
        <v>0</v>
      </c>
      <c r="J895" s="108"/>
      <c r="K895" s="203"/>
      <c r="L895" s="108"/>
      <c r="V895" s="161"/>
      <c r="X895" s="140"/>
      <c r="Y895" s="166">
        <f t="shared" si="23"/>
        <v>0</v>
      </c>
      <c r="Z895" s="26">
        <f t="shared" si="7"/>
        <v>0</v>
      </c>
      <c r="AA895" s="26">
        <f t="shared" si="8"/>
        <v>0</v>
      </c>
      <c r="AB895" s="26">
        <f t="shared" si="9"/>
        <v>0</v>
      </c>
      <c r="AC895" s="156">
        <v>0.0</v>
      </c>
      <c r="AD895" s="156">
        <v>0.0</v>
      </c>
      <c r="AE895" s="156">
        <v>0.0</v>
      </c>
      <c r="AF895" s="156">
        <v>0.0</v>
      </c>
      <c r="AG895" s="156">
        <v>0.0</v>
      </c>
      <c r="AH895" s="156">
        <v>0.0</v>
      </c>
      <c r="BN895" s="155">
        <v>0.0</v>
      </c>
      <c r="BO895" s="155">
        <v>0.0</v>
      </c>
      <c r="BP895" s="155">
        <v>0.0</v>
      </c>
      <c r="BQ895" s="155">
        <v>0.0</v>
      </c>
      <c r="BR895" s="155">
        <v>0.0</v>
      </c>
      <c r="BS895" s="155">
        <v>0.0</v>
      </c>
      <c r="CV895" s="156">
        <v>0.0</v>
      </c>
      <c r="CW895" s="156">
        <v>0.0</v>
      </c>
      <c r="CX895" s="156">
        <v>0.0</v>
      </c>
      <c r="CY895" s="156">
        <v>0.0</v>
      </c>
      <c r="CZ895" s="156">
        <v>0.0</v>
      </c>
      <c r="DA895" s="156">
        <v>0.0</v>
      </c>
      <c r="EG895" s="156">
        <v>0.0</v>
      </c>
      <c r="EH895" s="156">
        <v>0.0</v>
      </c>
      <c r="EI895" s="156">
        <v>0.0</v>
      </c>
      <c r="EJ895" s="156">
        <v>0.0</v>
      </c>
      <c r="EK895" s="156">
        <v>0.0</v>
      </c>
      <c r="EL895" s="156">
        <v>0.0</v>
      </c>
      <c r="FQ895" s="156">
        <v>0.0</v>
      </c>
      <c r="FR895" s="156">
        <v>0.0</v>
      </c>
      <c r="FS895" s="156">
        <v>0.0</v>
      </c>
      <c r="FT895" s="156">
        <v>0.0</v>
      </c>
      <c r="FU895" s="156">
        <v>0.0</v>
      </c>
      <c r="FV895" s="156">
        <v>0.0</v>
      </c>
      <c r="FW895" s="157"/>
      <c r="FX895" s="157"/>
      <c r="FY895" s="157"/>
      <c r="FZ895" s="157"/>
      <c r="GA895" s="157"/>
      <c r="GB895" s="157"/>
      <c r="GC895" s="157"/>
      <c r="GD895" s="157"/>
      <c r="GE895" s="157"/>
      <c r="GF895" s="157"/>
      <c r="GG895" s="157"/>
      <c r="GH895" s="157"/>
      <c r="GI895" s="157"/>
      <c r="GJ895" s="157"/>
      <c r="GK895" s="157"/>
      <c r="GL895" s="157"/>
      <c r="GM895" s="157"/>
      <c r="GN895" s="157"/>
      <c r="GO895" s="157"/>
      <c r="GP895" s="158"/>
      <c r="GQ895" s="157"/>
      <c r="GR895" s="157"/>
      <c r="GS895" s="157"/>
      <c r="GT895" s="157"/>
      <c r="GU895" s="157"/>
      <c r="GV895" s="157"/>
      <c r="GW895" s="157"/>
      <c r="GX895" s="157"/>
      <c r="GY895" s="157"/>
      <c r="GZ895" s="157"/>
      <c r="HA895" s="157"/>
      <c r="HB895" s="155">
        <v>0.0</v>
      </c>
      <c r="HC895" s="155">
        <v>0.0</v>
      </c>
      <c r="HD895" s="155">
        <v>0.0</v>
      </c>
      <c r="HE895" s="155">
        <v>0.0</v>
      </c>
      <c r="HF895" s="155">
        <v>0.0</v>
      </c>
      <c r="HG895" s="155">
        <v>0.0</v>
      </c>
      <c r="IL895" s="159">
        <v>0.0</v>
      </c>
      <c r="IM895" s="156">
        <v>0.0</v>
      </c>
      <c r="IN895" s="156">
        <v>0.0</v>
      </c>
      <c r="IO895" s="156">
        <v>0.0</v>
      </c>
      <c r="IP895" s="156">
        <v>0.0</v>
      </c>
      <c r="IQ895" s="160">
        <v>0.0</v>
      </c>
      <c r="JH895" s="25"/>
      <c r="JW895" s="159">
        <v>0.0</v>
      </c>
      <c r="JX895" s="156">
        <v>0.0</v>
      </c>
      <c r="JY895" s="156">
        <v>0.0</v>
      </c>
      <c r="JZ895" s="156">
        <v>0.0</v>
      </c>
      <c r="KA895" s="156">
        <v>0.0</v>
      </c>
      <c r="KB895" s="160">
        <v>0.0</v>
      </c>
      <c r="LH895" s="159">
        <f t="shared" si="10"/>
        <v>0</v>
      </c>
      <c r="LI895" s="156">
        <f t="shared" si="11"/>
        <v>0</v>
      </c>
      <c r="LJ895" s="156">
        <f t="shared" si="12"/>
        <v>0</v>
      </c>
      <c r="LK895" s="156">
        <f t="shared" si="13"/>
        <v>0</v>
      </c>
      <c r="LL895" s="156">
        <f t="shared" si="14"/>
        <v>0</v>
      </c>
      <c r="LM895" s="160">
        <f t="shared" si="15"/>
        <v>0</v>
      </c>
      <c r="QX895" s="633"/>
    </row>
    <row r="896">
      <c r="A896" s="12"/>
      <c r="B896" s="12"/>
      <c r="C896" s="12"/>
      <c r="D896" s="12"/>
      <c r="E896" s="12"/>
      <c r="F896" s="12"/>
      <c r="G896" s="12"/>
      <c r="H896" s="12"/>
      <c r="I896" s="143">
        <f t="shared" si="22"/>
        <v>0</v>
      </c>
      <c r="J896" s="108"/>
      <c r="K896" s="203"/>
      <c r="L896" s="108"/>
      <c r="V896" s="161"/>
      <c r="X896" s="140"/>
      <c r="Y896" s="166">
        <f t="shared" si="23"/>
        <v>0</v>
      </c>
      <c r="Z896" s="26">
        <f t="shared" si="7"/>
        <v>0</v>
      </c>
      <c r="AA896" s="26">
        <f t="shared" si="8"/>
        <v>0</v>
      </c>
      <c r="AB896" s="26">
        <f t="shared" si="9"/>
        <v>0</v>
      </c>
      <c r="AC896" s="156">
        <v>0.0</v>
      </c>
      <c r="AD896" s="156">
        <v>0.0</v>
      </c>
      <c r="AE896" s="156">
        <v>0.0</v>
      </c>
      <c r="AF896" s="156">
        <v>0.0</v>
      </c>
      <c r="AG896" s="156">
        <v>0.0</v>
      </c>
      <c r="AH896" s="156">
        <v>0.0</v>
      </c>
      <c r="BN896" s="155">
        <v>0.0</v>
      </c>
      <c r="BO896" s="155">
        <v>0.0</v>
      </c>
      <c r="BP896" s="155">
        <v>0.0</v>
      </c>
      <c r="BQ896" s="155">
        <v>0.0</v>
      </c>
      <c r="BR896" s="155">
        <v>0.0</v>
      </c>
      <c r="BS896" s="155">
        <v>0.0</v>
      </c>
      <c r="CV896" s="156">
        <v>0.0</v>
      </c>
      <c r="CW896" s="156">
        <v>0.0</v>
      </c>
      <c r="CX896" s="156">
        <v>0.0</v>
      </c>
      <c r="CY896" s="156">
        <v>0.0</v>
      </c>
      <c r="CZ896" s="156">
        <v>0.0</v>
      </c>
      <c r="DA896" s="156">
        <v>0.0</v>
      </c>
      <c r="EG896" s="156">
        <v>0.0</v>
      </c>
      <c r="EH896" s="156">
        <v>0.0</v>
      </c>
      <c r="EI896" s="156">
        <v>0.0</v>
      </c>
      <c r="EJ896" s="156">
        <v>0.0</v>
      </c>
      <c r="EK896" s="156">
        <v>0.0</v>
      </c>
      <c r="EL896" s="156">
        <v>0.0</v>
      </c>
      <c r="FQ896" s="156">
        <v>0.0</v>
      </c>
      <c r="FR896" s="156">
        <v>0.0</v>
      </c>
      <c r="FS896" s="156">
        <v>0.0</v>
      </c>
      <c r="FT896" s="156">
        <v>0.0</v>
      </c>
      <c r="FU896" s="156">
        <v>0.0</v>
      </c>
      <c r="FV896" s="156">
        <v>0.0</v>
      </c>
      <c r="FW896" s="157"/>
      <c r="FX896" s="157"/>
      <c r="FY896" s="157"/>
      <c r="FZ896" s="157"/>
      <c r="GA896" s="157"/>
      <c r="GB896" s="157"/>
      <c r="GC896" s="157"/>
      <c r="GD896" s="157"/>
      <c r="GE896" s="157"/>
      <c r="GF896" s="157"/>
      <c r="GG896" s="157"/>
      <c r="GH896" s="157"/>
      <c r="GI896" s="157"/>
      <c r="GJ896" s="157"/>
      <c r="GK896" s="157"/>
      <c r="GL896" s="157"/>
      <c r="GM896" s="157"/>
      <c r="GN896" s="157"/>
      <c r="GO896" s="157"/>
      <c r="GP896" s="158"/>
      <c r="GQ896" s="157"/>
      <c r="GR896" s="157"/>
      <c r="GS896" s="157"/>
      <c r="GT896" s="157"/>
      <c r="GU896" s="157"/>
      <c r="GV896" s="157"/>
      <c r="GW896" s="157"/>
      <c r="GX896" s="157"/>
      <c r="GY896" s="157"/>
      <c r="GZ896" s="157"/>
      <c r="HA896" s="157"/>
      <c r="HB896" s="155">
        <v>0.0</v>
      </c>
      <c r="HC896" s="155">
        <v>0.0</v>
      </c>
      <c r="HD896" s="155">
        <v>0.0</v>
      </c>
      <c r="HE896" s="155">
        <v>0.0</v>
      </c>
      <c r="HF896" s="155">
        <v>0.0</v>
      </c>
      <c r="HG896" s="155">
        <v>0.0</v>
      </c>
      <c r="IL896" s="159">
        <v>0.0</v>
      </c>
      <c r="IM896" s="156">
        <v>0.0</v>
      </c>
      <c r="IN896" s="156">
        <v>0.0</v>
      </c>
      <c r="IO896" s="156">
        <v>0.0</v>
      </c>
      <c r="IP896" s="156">
        <v>0.0</v>
      </c>
      <c r="IQ896" s="160">
        <v>0.0</v>
      </c>
      <c r="JH896" s="25"/>
      <c r="JW896" s="159">
        <v>0.0</v>
      </c>
      <c r="JX896" s="156">
        <v>0.0</v>
      </c>
      <c r="JY896" s="156">
        <v>0.0</v>
      </c>
      <c r="JZ896" s="156">
        <v>0.0</v>
      </c>
      <c r="KA896" s="156">
        <v>0.0</v>
      </c>
      <c r="KB896" s="160">
        <v>0.0</v>
      </c>
      <c r="LH896" s="159">
        <f t="shared" si="10"/>
        <v>0</v>
      </c>
      <c r="LI896" s="156">
        <f t="shared" si="11"/>
        <v>0</v>
      </c>
      <c r="LJ896" s="156">
        <f t="shared" si="12"/>
        <v>0</v>
      </c>
      <c r="LK896" s="156">
        <f t="shared" si="13"/>
        <v>0</v>
      </c>
      <c r="LL896" s="156">
        <f t="shared" si="14"/>
        <v>0</v>
      </c>
      <c r="LM896" s="160">
        <f t="shared" si="15"/>
        <v>0</v>
      </c>
      <c r="QX896" s="633"/>
    </row>
    <row r="897">
      <c r="A897" s="12"/>
      <c r="B897" s="12"/>
      <c r="C897" s="12"/>
      <c r="D897" s="12"/>
      <c r="E897" s="12"/>
      <c r="F897" s="12"/>
      <c r="G897" s="12"/>
      <c r="H897" s="12"/>
      <c r="I897" s="143">
        <f t="shared" si="22"/>
        <v>0</v>
      </c>
      <c r="J897" s="108"/>
      <c r="K897" s="203"/>
      <c r="L897" s="108"/>
      <c r="V897" s="161"/>
      <c r="X897" s="140"/>
      <c r="Y897" s="166">
        <f t="shared" si="23"/>
        <v>0</v>
      </c>
      <c r="Z897" s="26">
        <f t="shared" si="7"/>
        <v>0</v>
      </c>
      <c r="AA897" s="26">
        <f t="shared" si="8"/>
        <v>0</v>
      </c>
      <c r="AB897" s="26">
        <f t="shared" si="9"/>
        <v>0</v>
      </c>
      <c r="AC897" s="156">
        <v>0.0</v>
      </c>
      <c r="AD897" s="156">
        <v>0.0</v>
      </c>
      <c r="AE897" s="156">
        <v>0.0</v>
      </c>
      <c r="AF897" s="156">
        <v>0.0</v>
      </c>
      <c r="AG897" s="156">
        <v>0.0</v>
      </c>
      <c r="AH897" s="156">
        <v>0.0</v>
      </c>
      <c r="BN897" s="155">
        <v>0.0</v>
      </c>
      <c r="BO897" s="155">
        <v>0.0</v>
      </c>
      <c r="BP897" s="155">
        <v>0.0</v>
      </c>
      <c r="BQ897" s="155">
        <v>0.0</v>
      </c>
      <c r="BR897" s="155">
        <v>0.0</v>
      </c>
      <c r="BS897" s="155">
        <v>0.0</v>
      </c>
      <c r="CV897" s="156">
        <v>0.0</v>
      </c>
      <c r="CW897" s="156">
        <v>0.0</v>
      </c>
      <c r="CX897" s="156">
        <v>0.0</v>
      </c>
      <c r="CY897" s="156">
        <v>0.0</v>
      </c>
      <c r="CZ897" s="156">
        <v>0.0</v>
      </c>
      <c r="DA897" s="156">
        <v>0.0</v>
      </c>
      <c r="EG897" s="156">
        <v>0.0</v>
      </c>
      <c r="EH897" s="156">
        <v>0.0</v>
      </c>
      <c r="EI897" s="156">
        <v>0.0</v>
      </c>
      <c r="EJ897" s="156">
        <v>0.0</v>
      </c>
      <c r="EK897" s="156">
        <v>0.0</v>
      </c>
      <c r="EL897" s="156">
        <v>0.0</v>
      </c>
      <c r="FQ897" s="156">
        <v>0.0</v>
      </c>
      <c r="FR897" s="156">
        <v>0.0</v>
      </c>
      <c r="FS897" s="156">
        <v>0.0</v>
      </c>
      <c r="FT897" s="156">
        <v>0.0</v>
      </c>
      <c r="FU897" s="156">
        <v>0.0</v>
      </c>
      <c r="FV897" s="156">
        <v>0.0</v>
      </c>
      <c r="FW897" s="157"/>
      <c r="FX897" s="157"/>
      <c r="FY897" s="157"/>
      <c r="FZ897" s="157"/>
      <c r="GA897" s="157"/>
      <c r="GB897" s="157"/>
      <c r="GC897" s="157"/>
      <c r="GD897" s="157"/>
      <c r="GE897" s="157"/>
      <c r="GF897" s="157"/>
      <c r="GG897" s="157"/>
      <c r="GH897" s="157"/>
      <c r="GI897" s="157"/>
      <c r="GJ897" s="157"/>
      <c r="GK897" s="157"/>
      <c r="GL897" s="157"/>
      <c r="GM897" s="157"/>
      <c r="GN897" s="157"/>
      <c r="GO897" s="157"/>
      <c r="GP897" s="158"/>
      <c r="GQ897" s="157"/>
      <c r="GR897" s="157"/>
      <c r="GS897" s="157"/>
      <c r="GT897" s="157"/>
      <c r="GU897" s="157"/>
      <c r="GV897" s="157"/>
      <c r="GW897" s="157"/>
      <c r="GX897" s="157"/>
      <c r="GY897" s="157"/>
      <c r="GZ897" s="157"/>
      <c r="HA897" s="157"/>
      <c r="HB897" s="155">
        <v>0.0</v>
      </c>
      <c r="HC897" s="155">
        <v>0.0</v>
      </c>
      <c r="HD897" s="155">
        <v>0.0</v>
      </c>
      <c r="HE897" s="155">
        <v>0.0</v>
      </c>
      <c r="HF897" s="155">
        <v>0.0</v>
      </c>
      <c r="HG897" s="155">
        <v>0.0</v>
      </c>
      <c r="IL897" s="159">
        <v>0.0</v>
      </c>
      <c r="IM897" s="156">
        <v>0.0</v>
      </c>
      <c r="IN897" s="156">
        <v>0.0</v>
      </c>
      <c r="IO897" s="156">
        <v>0.0</v>
      </c>
      <c r="IP897" s="156">
        <v>0.0</v>
      </c>
      <c r="IQ897" s="160">
        <v>0.0</v>
      </c>
      <c r="JH897" s="25"/>
      <c r="JW897" s="159">
        <v>0.0</v>
      </c>
      <c r="JX897" s="156">
        <v>0.0</v>
      </c>
      <c r="JY897" s="156">
        <v>0.0</v>
      </c>
      <c r="JZ897" s="156">
        <v>0.0</v>
      </c>
      <c r="KA897" s="156">
        <v>0.0</v>
      </c>
      <c r="KB897" s="160">
        <v>0.0</v>
      </c>
      <c r="LH897" s="159">
        <f t="shared" si="10"/>
        <v>0</v>
      </c>
      <c r="LI897" s="156">
        <f t="shared" si="11"/>
        <v>0</v>
      </c>
      <c r="LJ897" s="156">
        <f t="shared" si="12"/>
        <v>0</v>
      </c>
      <c r="LK897" s="156">
        <f t="shared" si="13"/>
        <v>0</v>
      </c>
      <c r="LL897" s="156">
        <f t="shared" si="14"/>
        <v>0</v>
      </c>
      <c r="LM897" s="160">
        <f t="shared" si="15"/>
        <v>0</v>
      </c>
      <c r="QX897" s="633"/>
    </row>
    <row r="898">
      <c r="A898" s="12"/>
      <c r="B898" s="12"/>
      <c r="C898" s="12"/>
      <c r="D898" s="12"/>
      <c r="E898" s="12"/>
      <c r="F898" s="12"/>
      <c r="G898" s="12"/>
      <c r="H898" s="12"/>
      <c r="I898" s="143">
        <f t="shared" si="22"/>
        <v>0</v>
      </c>
      <c r="J898" s="108"/>
      <c r="K898" s="203"/>
      <c r="L898" s="108"/>
      <c r="V898" s="161"/>
      <c r="X898" s="140"/>
      <c r="Y898" s="166">
        <f t="shared" si="23"/>
        <v>0</v>
      </c>
      <c r="Z898" s="26">
        <f t="shared" si="7"/>
        <v>0</v>
      </c>
      <c r="AA898" s="26">
        <f t="shared" si="8"/>
        <v>0</v>
      </c>
      <c r="AB898" s="26">
        <f t="shared" si="9"/>
        <v>0</v>
      </c>
      <c r="AC898" s="156">
        <v>0.0</v>
      </c>
      <c r="AD898" s="156">
        <v>0.0</v>
      </c>
      <c r="AE898" s="156">
        <v>0.0</v>
      </c>
      <c r="AF898" s="156">
        <v>0.0</v>
      </c>
      <c r="AG898" s="156">
        <v>0.0</v>
      </c>
      <c r="AH898" s="156">
        <v>0.0</v>
      </c>
      <c r="BN898" s="155">
        <v>0.0</v>
      </c>
      <c r="BO898" s="155">
        <v>0.0</v>
      </c>
      <c r="BP898" s="155">
        <v>0.0</v>
      </c>
      <c r="BQ898" s="155">
        <v>0.0</v>
      </c>
      <c r="BR898" s="155">
        <v>0.0</v>
      </c>
      <c r="BS898" s="155">
        <v>0.0</v>
      </c>
      <c r="CV898" s="156">
        <v>0.0</v>
      </c>
      <c r="CW898" s="156">
        <v>0.0</v>
      </c>
      <c r="CX898" s="156">
        <v>0.0</v>
      </c>
      <c r="CY898" s="156">
        <v>0.0</v>
      </c>
      <c r="CZ898" s="156">
        <v>0.0</v>
      </c>
      <c r="DA898" s="156">
        <v>0.0</v>
      </c>
      <c r="EG898" s="156">
        <v>0.0</v>
      </c>
      <c r="EH898" s="156">
        <v>0.0</v>
      </c>
      <c r="EI898" s="156">
        <v>0.0</v>
      </c>
      <c r="EJ898" s="156">
        <v>0.0</v>
      </c>
      <c r="EK898" s="156">
        <v>0.0</v>
      </c>
      <c r="EL898" s="156">
        <v>0.0</v>
      </c>
      <c r="FQ898" s="156">
        <v>0.0</v>
      </c>
      <c r="FR898" s="156">
        <v>0.0</v>
      </c>
      <c r="FS898" s="156">
        <v>0.0</v>
      </c>
      <c r="FT898" s="156">
        <v>0.0</v>
      </c>
      <c r="FU898" s="156">
        <v>0.0</v>
      </c>
      <c r="FV898" s="156">
        <v>0.0</v>
      </c>
      <c r="FW898" s="157"/>
      <c r="FX898" s="157"/>
      <c r="FY898" s="157"/>
      <c r="FZ898" s="157"/>
      <c r="GA898" s="157"/>
      <c r="GB898" s="157"/>
      <c r="GC898" s="157"/>
      <c r="GD898" s="157"/>
      <c r="GE898" s="157"/>
      <c r="GF898" s="157"/>
      <c r="GG898" s="157"/>
      <c r="GH898" s="157"/>
      <c r="GI898" s="157"/>
      <c r="GJ898" s="157"/>
      <c r="GK898" s="157"/>
      <c r="GL898" s="157"/>
      <c r="GM898" s="157"/>
      <c r="GN898" s="157"/>
      <c r="GO898" s="157"/>
      <c r="GP898" s="158"/>
      <c r="GQ898" s="157"/>
      <c r="GR898" s="157"/>
      <c r="GS898" s="157"/>
      <c r="GT898" s="157"/>
      <c r="GU898" s="157"/>
      <c r="GV898" s="157"/>
      <c r="GW898" s="157"/>
      <c r="GX898" s="157"/>
      <c r="GY898" s="157"/>
      <c r="GZ898" s="157"/>
      <c r="HA898" s="157"/>
      <c r="HB898" s="155">
        <v>0.0</v>
      </c>
      <c r="HC898" s="155">
        <v>0.0</v>
      </c>
      <c r="HD898" s="155">
        <v>0.0</v>
      </c>
      <c r="HE898" s="155">
        <v>0.0</v>
      </c>
      <c r="HF898" s="155">
        <v>0.0</v>
      </c>
      <c r="HG898" s="155">
        <v>0.0</v>
      </c>
      <c r="IL898" s="159">
        <v>0.0</v>
      </c>
      <c r="IM898" s="156">
        <v>0.0</v>
      </c>
      <c r="IN898" s="156">
        <v>0.0</v>
      </c>
      <c r="IO898" s="156">
        <v>0.0</v>
      </c>
      <c r="IP898" s="156">
        <v>0.0</v>
      </c>
      <c r="IQ898" s="160">
        <v>0.0</v>
      </c>
      <c r="JH898" s="25"/>
      <c r="JW898" s="159">
        <v>0.0</v>
      </c>
      <c r="JX898" s="156">
        <v>0.0</v>
      </c>
      <c r="JY898" s="156">
        <v>0.0</v>
      </c>
      <c r="JZ898" s="156">
        <v>0.0</v>
      </c>
      <c r="KA898" s="156">
        <v>0.0</v>
      </c>
      <c r="KB898" s="160">
        <v>0.0</v>
      </c>
      <c r="LH898" s="159">
        <f t="shared" si="10"/>
        <v>0</v>
      </c>
      <c r="LI898" s="156">
        <f t="shared" si="11"/>
        <v>0</v>
      </c>
      <c r="LJ898" s="156">
        <f t="shared" si="12"/>
        <v>0</v>
      </c>
      <c r="LK898" s="156">
        <f t="shared" si="13"/>
        <v>0</v>
      </c>
      <c r="LL898" s="156">
        <f t="shared" si="14"/>
        <v>0</v>
      </c>
      <c r="LM898" s="160">
        <f t="shared" si="15"/>
        <v>0</v>
      </c>
      <c r="QX898" s="633"/>
    </row>
    <row r="899">
      <c r="A899" s="12"/>
      <c r="B899" s="12"/>
      <c r="C899" s="12"/>
      <c r="D899" s="12"/>
      <c r="E899" s="12"/>
      <c r="F899" s="12"/>
      <c r="G899" s="12"/>
      <c r="H899" s="12"/>
      <c r="I899" s="143">
        <f t="shared" si="22"/>
        <v>0</v>
      </c>
      <c r="J899" s="108"/>
      <c r="K899" s="203"/>
      <c r="L899" s="108"/>
      <c r="V899" s="161"/>
      <c r="X899" s="140"/>
      <c r="Y899" s="166">
        <f t="shared" si="23"/>
        <v>0</v>
      </c>
      <c r="Z899" s="26">
        <f t="shared" si="7"/>
        <v>0</v>
      </c>
      <c r="AA899" s="26">
        <f t="shared" si="8"/>
        <v>0</v>
      </c>
      <c r="AB899" s="26">
        <f t="shared" si="9"/>
        <v>0</v>
      </c>
      <c r="AC899" s="156">
        <v>0.0</v>
      </c>
      <c r="AD899" s="156">
        <v>0.0</v>
      </c>
      <c r="AE899" s="156">
        <v>0.0</v>
      </c>
      <c r="AF899" s="156">
        <v>0.0</v>
      </c>
      <c r="AG899" s="156">
        <v>0.0</v>
      </c>
      <c r="AH899" s="156">
        <v>0.0</v>
      </c>
      <c r="BN899" s="155">
        <v>0.0</v>
      </c>
      <c r="BO899" s="155">
        <v>0.0</v>
      </c>
      <c r="BP899" s="155">
        <v>0.0</v>
      </c>
      <c r="BQ899" s="155">
        <v>0.0</v>
      </c>
      <c r="BR899" s="155">
        <v>0.0</v>
      </c>
      <c r="BS899" s="155">
        <v>0.0</v>
      </c>
      <c r="CV899" s="156">
        <v>0.0</v>
      </c>
      <c r="CW899" s="156">
        <v>0.0</v>
      </c>
      <c r="CX899" s="156">
        <v>0.0</v>
      </c>
      <c r="CY899" s="156">
        <v>0.0</v>
      </c>
      <c r="CZ899" s="156">
        <v>0.0</v>
      </c>
      <c r="DA899" s="156">
        <v>0.0</v>
      </c>
      <c r="EG899" s="156">
        <v>0.0</v>
      </c>
      <c r="EH899" s="156">
        <v>0.0</v>
      </c>
      <c r="EI899" s="156">
        <v>0.0</v>
      </c>
      <c r="EJ899" s="156">
        <v>0.0</v>
      </c>
      <c r="EK899" s="156">
        <v>0.0</v>
      </c>
      <c r="EL899" s="156">
        <v>0.0</v>
      </c>
      <c r="FQ899" s="156">
        <v>0.0</v>
      </c>
      <c r="FR899" s="156">
        <v>0.0</v>
      </c>
      <c r="FS899" s="156">
        <v>0.0</v>
      </c>
      <c r="FT899" s="156">
        <v>0.0</v>
      </c>
      <c r="FU899" s="156">
        <v>0.0</v>
      </c>
      <c r="FV899" s="156">
        <v>0.0</v>
      </c>
      <c r="FW899" s="157"/>
      <c r="FX899" s="157"/>
      <c r="FY899" s="157"/>
      <c r="FZ899" s="157"/>
      <c r="GA899" s="157"/>
      <c r="GB899" s="157"/>
      <c r="GC899" s="157"/>
      <c r="GD899" s="157"/>
      <c r="GE899" s="157"/>
      <c r="GF899" s="157"/>
      <c r="GG899" s="157"/>
      <c r="GH899" s="157"/>
      <c r="GI899" s="157"/>
      <c r="GJ899" s="157"/>
      <c r="GK899" s="157"/>
      <c r="GL899" s="157"/>
      <c r="GM899" s="157"/>
      <c r="GN899" s="157"/>
      <c r="GO899" s="157"/>
      <c r="GP899" s="158"/>
      <c r="GQ899" s="157"/>
      <c r="GR899" s="157"/>
      <c r="GS899" s="157"/>
      <c r="GT899" s="157"/>
      <c r="GU899" s="157"/>
      <c r="GV899" s="157"/>
      <c r="GW899" s="157"/>
      <c r="GX899" s="157"/>
      <c r="GY899" s="157"/>
      <c r="GZ899" s="157"/>
      <c r="HA899" s="157"/>
      <c r="HB899" s="155">
        <v>0.0</v>
      </c>
      <c r="HC899" s="155">
        <v>0.0</v>
      </c>
      <c r="HD899" s="155">
        <v>0.0</v>
      </c>
      <c r="HE899" s="155">
        <v>0.0</v>
      </c>
      <c r="HF899" s="155">
        <v>0.0</v>
      </c>
      <c r="HG899" s="155">
        <v>0.0</v>
      </c>
      <c r="IL899" s="159">
        <v>0.0</v>
      </c>
      <c r="IM899" s="156">
        <v>0.0</v>
      </c>
      <c r="IN899" s="156">
        <v>0.0</v>
      </c>
      <c r="IO899" s="156">
        <v>0.0</v>
      </c>
      <c r="IP899" s="156">
        <v>0.0</v>
      </c>
      <c r="IQ899" s="160">
        <v>0.0</v>
      </c>
      <c r="JH899" s="25"/>
      <c r="JW899" s="159">
        <v>0.0</v>
      </c>
      <c r="JX899" s="156">
        <v>0.0</v>
      </c>
      <c r="JY899" s="156">
        <v>0.0</v>
      </c>
      <c r="JZ899" s="156">
        <v>0.0</v>
      </c>
      <c r="KA899" s="156">
        <v>0.0</v>
      </c>
      <c r="KB899" s="160">
        <v>0.0</v>
      </c>
      <c r="LH899" s="159">
        <f t="shared" si="10"/>
        <v>0</v>
      </c>
      <c r="LI899" s="156">
        <f t="shared" si="11"/>
        <v>0</v>
      </c>
      <c r="LJ899" s="156">
        <f t="shared" si="12"/>
        <v>0</v>
      </c>
      <c r="LK899" s="156">
        <f t="shared" si="13"/>
        <v>0</v>
      </c>
      <c r="LL899" s="156">
        <f t="shared" si="14"/>
        <v>0</v>
      </c>
      <c r="LM899" s="160">
        <f t="shared" si="15"/>
        <v>0</v>
      </c>
      <c r="QX899" s="633"/>
    </row>
    <row r="900">
      <c r="A900" s="12"/>
      <c r="B900" s="12"/>
      <c r="C900" s="12"/>
      <c r="D900" s="12"/>
      <c r="E900" s="12"/>
      <c r="F900" s="12"/>
      <c r="G900" s="12"/>
      <c r="H900" s="12"/>
      <c r="I900" s="143">
        <f t="shared" si="22"/>
        <v>0</v>
      </c>
      <c r="J900" s="108"/>
      <c r="K900" s="203"/>
      <c r="L900" s="108"/>
      <c r="V900" s="161"/>
      <c r="X900" s="140"/>
      <c r="Y900" s="166">
        <f t="shared" si="23"/>
        <v>0</v>
      </c>
      <c r="Z900" s="26">
        <f t="shared" si="7"/>
        <v>0</v>
      </c>
      <c r="AA900" s="26">
        <f t="shared" si="8"/>
        <v>0</v>
      </c>
      <c r="AB900" s="26">
        <f t="shared" si="9"/>
        <v>0</v>
      </c>
      <c r="AC900" s="156">
        <v>0.0</v>
      </c>
      <c r="AD900" s="156">
        <v>0.0</v>
      </c>
      <c r="AE900" s="156">
        <v>0.0</v>
      </c>
      <c r="AF900" s="156">
        <v>0.0</v>
      </c>
      <c r="AG900" s="156">
        <v>0.0</v>
      </c>
      <c r="AH900" s="156">
        <v>0.0</v>
      </c>
      <c r="BN900" s="155">
        <v>0.0</v>
      </c>
      <c r="BO900" s="155">
        <v>0.0</v>
      </c>
      <c r="BP900" s="155">
        <v>0.0</v>
      </c>
      <c r="BQ900" s="155">
        <v>0.0</v>
      </c>
      <c r="BR900" s="155">
        <v>0.0</v>
      </c>
      <c r="BS900" s="155">
        <v>0.0</v>
      </c>
      <c r="CV900" s="156">
        <v>0.0</v>
      </c>
      <c r="CW900" s="156">
        <v>0.0</v>
      </c>
      <c r="CX900" s="156">
        <v>0.0</v>
      </c>
      <c r="CY900" s="156">
        <v>0.0</v>
      </c>
      <c r="CZ900" s="156">
        <v>0.0</v>
      </c>
      <c r="DA900" s="156">
        <v>0.0</v>
      </c>
      <c r="EG900" s="156">
        <v>0.0</v>
      </c>
      <c r="EH900" s="156">
        <v>0.0</v>
      </c>
      <c r="EI900" s="156">
        <v>0.0</v>
      </c>
      <c r="EJ900" s="156">
        <v>0.0</v>
      </c>
      <c r="EK900" s="156">
        <v>0.0</v>
      </c>
      <c r="EL900" s="156">
        <v>0.0</v>
      </c>
      <c r="FQ900" s="156">
        <v>0.0</v>
      </c>
      <c r="FR900" s="156">
        <v>0.0</v>
      </c>
      <c r="FS900" s="156">
        <v>0.0</v>
      </c>
      <c r="FT900" s="156">
        <v>0.0</v>
      </c>
      <c r="FU900" s="156">
        <v>0.0</v>
      </c>
      <c r="FV900" s="156">
        <v>0.0</v>
      </c>
      <c r="FW900" s="157"/>
      <c r="FX900" s="157"/>
      <c r="FY900" s="157"/>
      <c r="FZ900" s="157"/>
      <c r="GA900" s="157"/>
      <c r="GB900" s="157"/>
      <c r="GC900" s="157"/>
      <c r="GD900" s="157"/>
      <c r="GE900" s="157"/>
      <c r="GF900" s="157"/>
      <c r="GG900" s="157"/>
      <c r="GH900" s="157"/>
      <c r="GI900" s="157"/>
      <c r="GJ900" s="157"/>
      <c r="GK900" s="157"/>
      <c r="GL900" s="157"/>
      <c r="GM900" s="157"/>
      <c r="GN900" s="157"/>
      <c r="GO900" s="157"/>
      <c r="GP900" s="158"/>
      <c r="GQ900" s="157"/>
      <c r="GR900" s="157"/>
      <c r="GS900" s="157"/>
      <c r="GT900" s="157"/>
      <c r="GU900" s="157"/>
      <c r="GV900" s="157"/>
      <c r="GW900" s="157"/>
      <c r="GX900" s="157"/>
      <c r="GY900" s="157"/>
      <c r="GZ900" s="157"/>
      <c r="HA900" s="157"/>
      <c r="HB900" s="155">
        <v>0.0</v>
      </c>
      <c r="HC900" s="155">
        <v>0.0</v>
      </c>
      <c r="HD900" s="155">
        <v>0.0</v>
      </c>
      <c r="HE900" s="155">
        <v>0.0</v>
      </c>
      <c r="HF900" s="155">
        <v>0.0</v>
      </c>
      <c r="HG900" s="155">
        <v>0.0</v>
      </c>
      <c r="IL900" s="159">
        <v>0.0</v>
      </c>
      <c r="IM900" s="156">
        <v>0.0</v>
      </c>
      <c r="IN900" s="156">
        <v>0.0</v>
      </c>
      <c r="IO900" s="156">
        <v>0.0</v>
      </c>
      <c r="IP900" s="156">
        <v>0.0</v>
      </c>
      <c r="IQ900" s="160">
        <v>0.0</v>
      </c>
      <c r="JH900" s="25"/>
      <c r="JW900" s="159">
        <v>0.0</v>
      </c>
      <c r="JX900" s="156">
        <v>0.0</v>
      </c>
      <c r="JY900" s="156">
        <v>0.0</v>
      </c>
      <c r="JZ900" s="156">
        <v>0.0</v>
      </c>
      <c r="KA900" s="156">
        <v>0.0</v>
      </c>
      <c r="KB900" s="160">
        <v>0.0</v>
      </c>
      <c r="LH900" s="159">
        <f t="shared" si="10"/>
        <v>0</v>
      </c>
      <c r="LI900" s="156">
        <f t="shared" si="11"/>
        <v>0</v>
      </c>
      <c r="LJ900" s="156">
        <f t="shared" si="12"/>
        <v>0</v>
      </c>
      <c r="LK900" s="156">
        <f t="shared" si="13"/>
        <v>0</v>
      </c>
      <c r="LL900" s="156">
        <f t="shared" si="14"/>
        <v>0</v>
      </c>
      <c r="LM900" s="160">
        <f t="shared" si="15"/>
        <v>0</v>
      </c>
      <c r="QX900" s="633"/>
    </row>
    <row r="901">
      <c r="A901" s="12"/>
      <c r="B901" s="12"/>
      <c r="C901" s="12"/>
      <c r="D901" s="12"/>
      <c r="E901" s="12"/>
      <c r="F901" s="12"/>
      <c r="G901" s="12"/>
      <c r="H901" s="12"/>
      <c r="I901" s="143">
        <f t="shared" si="22"/>
        <v>0</v>
      </c>
      <c r="J901" s="108"/>
      <c r="K901" s="203"/>
      <c r="L901" s="108"/>
      <c r="V901" s="161"/>
      <c r="X901" s="140"/>
      <c r="Y901" s="166">
        <f t="shared" si="23"/>
        <v>0</v>
      </c>
      <c r="Z901" s="26">
        <f t="shared" si="7"/>
        <v>0</v>
      </c>
      <c r="AA901" s="26">
        <f t="shared" si="8"/>
        <v>0</v>
      </c>
      <c r="AB901" s="26">
        <f t="shared" si="9"/>
        <v>0</v>
      </c>
      <c r="AC901" s="156">
        <v>0.0</v>
      </c>
      <c r="AD901" s="156">
        <v>0.0</v>
      </c>
      <c r="AE901" s="156">
        <v>0.0</v>
      </c>
      <c r="AF901" s="156">
        <v>0.0</v>
      </c>
      <c r="AG901" s="156">
        <v>0.0</v>
      </c>
      <c r="AH901" s="156">
        <v>0.0</v>
      </c>
      <c r="BN901" s="155">
        <v>0.0</v>
      </c>
      <c r="BO901" s="155">
        <v>0.0</v>
      </c>
      <c r="BP901" s="155">
        <v>0.0</v>
      </c>
      <c r="BQ901" s="155">
        <v>0.0</v>
      </c>
      <c r="BR901" s="155">
        <v>0.0</v>
      </c>
      <c r="BS901" s="155">
        <v>0.0</v>
      </c>
      <c r="CV901" s="156">
        <v>0.0</v>
      </c>
      <c r="CW901" s="156">
        <v>0.0</v>
      </c>
      <c r="CX901" s="156">
        <v>0.0</v>
      </c>
      <c r="CY901" s="156">
        <v>0.0</v>
      </c>
      <c r="CZ901" s="156">
        <v>0.0</v>
      </c>
      <c r="DA901" s="156">
        <v>0.0</v>
      </c>
      <c r="EG901" s="156">
        <v>0.0</v>
      </c>
      <c r="EH901" s="156">
        <v>0.0</v>
      </c>
      <c r="EI901" s="156">
        <v>0.0</v>
      </c>
      <c r="EJ901" s="156">
        <v>0.0</v>
      </c>
      <c r="EK901" s="156">
        <v>0.0</v>
      </c>
      <c r="EL901" s="156">
        <v>0.0</v>
      </c>
      <c r="FQ901" s="156">
        <v>0.0</v>
      </c>
      <c r="FR901" s="156">
        <v>0.0</v>
      </c>
      <c r="FS901" s="156">
        <v>0.0</v>
      </c>
      <c r="FT901" s="156">
        <v>0.0</v>
      </c>
      <c r="FU901" s="156">
        <v>0.0</v>
      </c>
      <c r="FV901" s="156">
        <v>0.0</v>
      </c>
      <c r="FW901" s="157"/>
      <c r="FX901" s="157"/>
      <c r="FY901" s="157"/>
      <c r="FZ901" s="157"/>
      <c r="GA901" s="157"/>
      <c r="GB901" s="157"/>
      <c r="GC901" s="157"/>
      <c r="GD901" s="157"/>
      <c r="GE901" s="157"/>
      <c r="GF901" s="157"/>
      <c r="GG901" s="157"/>
      <c r="GH901" s="157"/>
      <c r="GI901" s="157"/>
      <c r="GJ901" s="157"/>
      <c r="GK901" s="157"/>
      <c r="GL901" s="157"/>
      <c r="GM901" s="157"/>
      <c r="GN901" s="157"/>
      <c r="GO901" s="157"/>
      <c r="GP901" s="158"/>
      <c r="GQ901" s="157"/>
      <c r="GR901" s="157"/>
      <c r="GS901" s="157"/>
      <c r="GT901" s="157"/>
      <c r="GU901" s="157"/>
      <c r="GV901" s="157"/>
      <c r="GW901" s="157"/>
      <c r="GX901" s="157"/>
      <c r="GY901" s="157"/>
      <c r="GZ901" s="157"/>
      <c r="HA901" s="157"/>
      <c r="HB901" s="155">
        <v>0.0</v>
      </c>
      <c r="HC901" s="155">
        <v>0.0</v>
      </c>
      <c r="HD901" s="155">
        <v>0.0</v>
      </c>
      <c r="HE901" s="155">
        <v>0.0</v>
      </c>
      <c r="HF901" s="155">
        <v>0.0</v>
      </c>
      <c r="HG901" s="155">
        <v>0.0</v>
      </c>
      <c r="IL901" s="159">
        <v>0.0</v>
      </c>
      <c r="IM901" s="156">
        <v>0.0</v>
      </c>
      <c r="IN901" s="156">
        <v>0.0</v>
      </c>
      <c r="IO901" s="156">
        <v>0.0</v>
      </c>
      <c r="IP901" s="156">
        <v>0.0</v>
      </c>
      <c r="IQ901" s="160">
        <v>0.0</v>
      </c>
      <c r="JH901" s="25"/>
      <c r="JW901" s="159">
        <v>0.0</v>
      </c>
      <c r="JX901" s="156">
        <v>0.0</v>
      </c>
      <c r="JY901" s="156">
        <v>0.0</v>
      </c>
      <c r="JZ901" s="156">
        <v>0.0</v>
      </c>
      <c r="KA901" s="156">
        <v>0.0</v>
      </c>
      <c r="KB901" s="160">
        <v>0.0</v>
      </c>
      <c r="LH901" s="159">
        <f t="shared" si="10"/>
        <v>0</v>
      </c>
      <c r="LI901" s="156">
        <f t="shared" si="11"/>
        <v>0</v>
      </c>
      <c r="LJ901" s="156">
        <f t="shared" si="12"/>
        <v>0</v>
      </c>
      <c r="LK901" s="156">
        <f t="shared" si="13"/>
        <v>0</v>
      </c>
      <c r="LL901" s="156">
        <f t="shared" si="14"/>
        <v>0</v>
      </c>
      <c r="LM901" s="160">
        <f t="shared" si="15"/>
        <v>0</v>
      </c>
      <c r="QX901" s="633"/>
    </row>
    <row r="902">
      <c r="A902" s="12"/>
      <c r="B902" s="12"/>
      <c r="C902" s="12"/>
      <c r="D902" s="12"/>
      <c r="E902" s="12"/>
      <c r="F902" s="12"/>
      <c r="G902" s="12"/>
      <c r="H902" s="12"/>
      <c r="I902" s="143">
        <f t="shared" si="22"/>
        <v>0</v>
      </c>
      <c r="J902" s="108"/>
      <c r="K902" s="203"/>
      <c r="L902" s="108"/>
      <c r="V902" s="161"/>
      <c r="X902" s="140"/>
      <c r="Y902" s="166">
        <f t="shared" si="23"/>
        <v>0</v>
      </c>
      <c r="Z902" s="26">
        <f t="shared" si="7"/>
        <v>0</v>
      </c>
      <c r="AA902" s="26">
        <f t="shared" si="8"/>
        <v>0</v>
      </c>
      <c r="AB902" s="26">
        <f t="shared" si="9"/>
        <v>0</v>
      </c>
      <c r="AC902" s="156">
        <v>0.0</v>
      </c>
      <c r="AD902" s="156">
        <v>0.0</v>
      </c>
      <c r="AE902" s="156">
        <v>0.0</v>
      </c>
      <c r="AF902" s="156">
        <v>0.0</v>
      </c>
      <c r="AG902" s="156">
        <v>0.0</v>
      </c>
      <c r="AH902" s="156">
        <v>0.0</v>
      </c>
      <c r="BN902" s="155">
        <v>0.0</v>
      </c>
      <c r="BO902" s="155">
        <v>0.0</v>
      </c>
      <c r="BP902" s="155">
        <v>0.0</v>
      </c>
      <c r="BQ902" s="155">
        <v>0.0</v>
      </c>
      <c r="BR902" s="155">
        <v>0.0</v>
      </c>
      <c r="BS902" s="155">
        <v>0.0</v>
      </c>
      <c r="CV902" s="156">
        <v>0.0</v>
      </c>
      <c r="CW902" s="156">
        <v>0.0</v>
      </c>
      <c r="CX902" s="156">
        <v>0.0</v>
      </c>
      <c r="CY902" s="156">
        <v>0.0</v>
      </c>
      <c r="CZ902" s="156">
        <v>0.0</v>
      </c>
      <c r="DA902" s="156">
        <v>0.0</v>
      </c>
      <c r="EG902" s="156">
        <v>0.0</v>
      </c>
      <c r="EH902" s="156">
        <v>0.0</v>
      </c>
      <c r="EI902" s="156">
        <v>0.0</v>
      </c>
      <c r="EJ902" s="156">
        <v>0.0</v>
      </c>
      <c r="EK902" s="156">
        <v>0.0</v>
      </c>
      <c r="EL902" s="156">
        <v>0.0</v>
      </c>
      <c r="FQ902" s="156">
        <v>0.0</v>
      </c>
      <c r="FR902" s="156">
        <v>0.0</v>
      </c>
      <c r="FS902" s="156">
        <v>0.0</v>
      </c>
      <c r="FT902" s="156">
        <v>0.0</v>
      </c>
      <c r="FU902" s="156">
        <v>0.0</v>
      </c>
      <c r="FV902" s="156">
        <v>0.0</v>
      </c>
      <c r="FW902" s="157"/>
      <c r="FX902" s="157"/>
      <c r="FY902" s="157"/>
      <c r="FZ902" s="157"/>
      <c r="GA902" s="157"/>
      <c r="GB902" s="157"/>
      <c r="GC902" s="157"/>
      <c r="GD902" s="157"/>
      <c r="GE902" s="157"/>
      <c r="GF902" s="157"/>
      <c r="GG902" s="157"/>
      <c r="GH902" s="157"/>
      <c r="GI902" s="157"/>
      <c r="GJ902" s="157"/>
      <c r="GK902" s="157"/>
      <c r="GL902" s="157"/>
      <c r="GM902" s="157"/>
      <c r="GN902" s="157"/>
      <c r="GO902" s="157"/>
      <c r="GP902" s="158"/>
      <c r="GQ902" s="157"/>
      <c r="GR902" s="157"/>
      <c r="GS902" s="157"/>
      <c r="GT902" s="157"/>
      <c r="GU902" s="157"/>
      <c r="GV902" s="157"/>
      <c r="GW902" s="157"/>
      <c r="GX902" s="157"/>
      <c r="GY902" s="157"/>
      <c r="GZ902" s="157"/>
      <c r="HA902" s="157"/>
      <c r="HB902" s="155">
        <v>0.0</v>
      </c>
      <c r="HC902" s="155">
        <v>0.0</v>
      </c>
      <c r="HD902" s="155">
        <v>0.0</v>
      </c>
      <c r="HE902" s="155">
        <v>0.0</v>
      </c>
      <c r="HF902" s="155">
        <v>0.0</v>
      </c>
      <c r="HG902" s="155">
        <v>0.0</v>
      </c>
      <c r="IL902" s="159">
        <v>0.0</v>
      </c>
      <c r="IM902" s="156">
        <v>0.0</v>
      </c>
      <c r="IN902" s="156">
        <v>0.0</v>
      </c>
      <c r="IO902" s="156">
        <v>0.0</v>
      </c>
      <c r="IP902" s="156">
        <v>0.0</v>
      </c>
      <c r="IQ902" s="160">
        <v>0.0</v>
      </c>
      <c r="JH902" s="25"/>
      <c r="JW902" s="159">
        <v>0.0</v>
      </c>
      <c r="JX902" s="156">
        <v>0.0</v>
      </c>
      <c r="JY902" s="156">
        <v>0.0</v>
      </c>
      <c r="JZ902" s="156">
        <v>0.0</v>
      </c>
      <c r="KA902" s="156">
        <v>0.0</v>
      </c>
      <c r="KB902" s="160">
        <v>0.0</v>
      </c>
      <c r="LH902" s="159">
        <f t="shared" si="10"/>
        <v>0</v>
      </c>
      <c r="LI902" s="156">
        <f t="shared" si="11"/>
        <v>0</v>
      </c>
      <c r="LJ902" s="156">
        <f t="shared" si="12"/>
        <v>0</v>
      </c>
      <c r="LK902" s="156">
        <f t="shared" si="13"/>
        <v>0</v>
      </c>
      <c r="LL902" s="156">
        <f t="shared" si="14"/>
        <v>0</v>
      </c>
      <c r="LM902" s="160">
        <f t="shared" si="15"/>
        <v>0</v>
      </c>
      <c r="QX902" s="633"/>
    </row>
    <row r="903">
      <c r="A903" s="12"/>
      <c r="B903" s="12"/>
      <c r="C903" s="12"/>
      <c r="D903" s="12"/>
      <c r="E903" s="12"/>
      <c r="F903" s="12"/>
      <c r="G903" s="12"/>
      <c r="H903" s="12"/>
      <c r="I903" s="143">
        <f t="shared" si="22"/>
        <v>0</v>
      </c>
      <c r="J903" s="108"/>
      <c r="K903" s="203"/>
      <c r="L903" s="108"/>
      <c r="V903" s="161"/>
      <c r="X903" s="140"/>
      <c r="Y903" s="166">
        <f t="shared" si="23"/>
        <v>0</v>
      </c>
      <c r="Z903" s="26">
        <f t="shared" si="7"/>
        <v>0</v>
      </c>
      <c r="AA903" s="26">
        <f t="shared" si="8"/>
        <v>0</v>
      </c>
      <c r="AB903" s="26">
        <f t="shared" si="9"/>
        <v>0</v>
      </c>
      <c r="AC903" s="156">
        <v>0.0</v>
      </c>
      <c r="AD903" s="156">
        <v>0.0</v>
      </c>
      <c r="AE903" s="156">
        <v>0.0</v>
      </c>
      <c r="AF903" s="156">
        <v>0.0</v>
      </c>
      <c r="AG903" s="156">
        <v>0.0</v>
      </c>
      <c r="AH903" s="156">
        <v>0.0</v>
      </c>
      <c r="BN903" s="155">
        <v>0.0</v>
      </c>
      <c r="BO903" s="155">
        <v>0.0</v>
      </c>
      <c r="BP903" s="155">
        <v>0.0</v>
      </c>
      <c r="BQ903" s="155">
        <v>0.0</v>
      </c>
      <c r="BR903" s="155">
        <v>0.0</v>
      </c>
      <c r="BS903" s="155">
        <v>0.0</v>
      </c>
      <c r="CV903" s="156">
        <v>0.0</v>
      </c>
      <c r="CW903" s="156">
        <v>0.0</v>
      </c>
      <c r="CX903" s="156">
        <v>0.0</v>
      </c>
      <c r="CY903" s="156">
        <v>0.0</v>
      </c>
      <c r="CZ903" s="156">
        <v>0.0</v>
      </c>
      <c r="DA903" s="156">
        <v>0.0</v>
      </c>
      <c r="EG903" s="156">
        <v>0.0</v>
      </c>
      <c r="EH903" s="156">
        <v>0.0</v>
      </c>
      <c r="EI903" s="156">
        <v>0.0</v>
      </c>
      <c r="EJ903" s="156">
        <v>0.0</v>
      </c>
      <c r="EK903" s="156">
        <v>0.0</v>
      </c>
      <c r="EL903" s="156">
        <v>0.0</v>
      </c>
      <c r="FQ903" s="156">
        <v>0.0</v>
      </c>
      <c r="FR903" s="156">
        <v>0.0</v>
      </c>
      <c r="FS903" s="156">
        <v>0.0</v>
      </c>
      <c r="FT903" s="156">
        <v>0.0</v>
      </c>
      <c r="FU903" s="156">
        <v>0.0</v>
      </c>
      <c r="FV903" s="156">
        <v>0.0</v>
      </c>
      <c r="FW903" s="157"/>
      <c r="FX903" s="157"/>
      <c r="FY903" s="157"/>
      <c r="FZ903" s="157"/>
      <c r="GA903" s="157"/>
      <c r="GB903" s="157"/>
      <c r="GC903" s="157"/>
      <c r="GD903" s="157"/>
      <c r="GE903" s="157"/>
      <c r="GF903" s="157"/>
      <c r="GG903" s="157"/>
      <c r="GH903" s="157"/>
      <c r="GI903" s="157"/>
      <c r="GJ903" s="157"/>
      <c r="GK903" s="157"/>
      <c r="GL903" s="157"/>
      <c r="GM903" s="157"/>
      <c r="GN903" s="157"/>
      <c r="GO903" s="157"/>
      <c r="GP903" s="158"/>
      <c r="GQ903" s="157"/>
      <c r="GR903" s="157"/>
      <c r="GS903" s="157"/>
      <c r="GT903" s="157"/>
      <c r="GU903" s="157"/>
      <c r="GV903" s="157"/>
      <c r="GW903" s="157"/>
      <c r="GX903" s="157"/>
      <c r="GY903" s="157"/>
      <c r="GZ903" s="157"/>
      <c r="HA903" s="157"/>
      <c r="HB903" s="155">
        <v>0.0</v>
      </c>
      <c r="HC903" s="155">
        <v>0.0</v>
      </c>
      <c r="HD903" s="155">
        <v>0.0</v>
      </c>
      <c r="HE903" s="155">
        <v>0.0</v>
      </c>
      <c r="HF903" s="155">
        <v>0.0</v>
      </c>
      <c r="HG903" s="155">
        <v>0.0</v>
      </c>
      <c r="IL903" s="159">
        <v>0.0</v>
      </c>
      <c r="IM903" s="156">
        <v>0.0</v>
      </c>
      <c r="IN903" s="156">
        <v>0.0</v>
      </c>
      <c r="IO903" s="156">
        <v>0.0</v>
      </c>
      <c r="IP903" s="156">
        <v>0.0</v>
      </c>
      <c r="IQ903" s="160">
        <v>0.0</v>
      </c>
      <c r="JH903" s="25"/>
      <c r="JW903" s="159">
        <v>0.0</v>
      </c>
      <c r="JX903" s="156">
        <v>0.0</v>
      </c>
      <c r="JY903" s="156">
        <v>0.0</v>
      </c>
      <c r="JZ903" s="156">
        <v>0.0</v>
      </c>
      <c r="KA903" s="156">
        <v>0.0</v>
      </c>
      <c r="KB903" s="160">
        <v>0.0</v>
      </c>
      <c r="LH903" s="159">
        <f t="shared" si="10"/>
        <v>0</v>
      </c>
      <c r="LI903" s="156">
        <f t="shared" si="11"/>
        <v>0</v>
      </c>
      <c r="LJ903" s="156">
        <f t="shared" si="12"/>
        <v>0</v>
      </c>
      <c r="LK903" s="156">
        <f t="shared" si="13"/>
        <v>0</v>
      </c>
      <c r="LL903" s="156">
        <f t="shared" si="14"/>
        <v>0</v>
      </c>
      <c r="LM903" s="160">
        <f t="shared" si="15"/>
        <v>0</v>
      </c>
      <c r="QX903" s="633"/>
    </row>
    <row r="904">
      <c r="A904" s="12"/>
      <c r="B904" s="12"/>
      <c r="C904" s="12"/>
      <c r="D904" s="12"/>
      <c r="E904" s="12"/>
      <c r="F904" s="12"/>
      <c r="G904" s="12"/>
      <c r="H904" s="12"/>
      <c r="I904" s="143">
        <f t="shared" si="22"/>
        <v>0</v>
      </c>
      <c r="J904" s="108"/>
      <c r="K904" s="203"/>
      <c r="L904" s="108"/>
      <c r="V904" s="161"/>
      <c r="X904" s="140"/>
      <c r="Y904" s="166">
        <f t="shared" si="23"/>
        <v>0</v>
      </c>
      <c r="Z904" s="26">
        <f t="shared" si="7"/>
        <v>0</v>
      </c>
      <c r="AA904" s="26">
        <f t="shared" si="8"/>
        <v>0</v>
      </c>
      <c r="AB904" s="26">
        <f t="shared" si="9"/>
        <v>0</v>
      </c>
      <c r="AC904" s="156">
        <v>0.0</v>
      </c>
      <c r="AD904" s="156">
        <v>0.0</v>
      </c>
      <c r="AE904" s="156">
        <v>0.0</v>
      </c>
      <c r="AF904" s="156">
        <v>0.0</v>
      </c>
      <c r="AG904" s="156">
        <v>0.0</v>
      </c>
      <c r="AH904" s="156">
        <v>0.0</v>
      </c>
      <c r="BN904" s="155">
        <v>0.0</v>
      </c>
      <c r="BO904" s="155">
        <v>0.0</v>
      </c>
      <c r="BP904" s="155">
        <v>0.0</v>
      </c>
      <c r="BQ904" s="155">
        <v>0.0</v>
      </c>
      <c r="BR904" s="155">
        <v>0.0</v>
      </c>
      <c r="BS904" s="155">
        <v>0.0</v>
      </c>
      <c r="CV904" s="156">
        <v>0.0</v>
      </c>
      <c r="CW904" s="156">
        <v>0.0</v>
      </c>
      <c r="CX904" s="156">
        <v>0.0</v>
      </c>
      <c r="CY904" s="156">
        <v>0.0</v>
      </c>
      <c r="CZ904" s="156">
        <v>0.0</v>
      </c>
      <c r="DA904" s="156">
        <v>0.0</v>
      </c>
      <c r="EG904" s="156">
        <v>0.0</v>
      </c>
      <c r="EH904" s="156">
        <v>0.0</v>
      </c>
      <c r="EI904" s="156">
        <v>0.0</v>
      </c>
      <c r="EJ904" s="156">
        <v>0.0</v>
      </c>
      <c r="EK904" s="156">
        <v>0.0</v>
      </c>
      <c r="EL904" s="156">
        <v>0.0</v>
      </c>
      <c r="FQ904" s="156">
        <v>0.0</v>
      </c>
      <c r="FR904" s="156">
        <v>0.0</v>
      </c>
      <c r="FS904" s="156">
        <v>0.0</v>
      </c>
      <c r="FT904" s="156">
        <v>0.0</v>
      </c>
      <c r="FU904" s="156">
        <v>0.0</v>
      </c>
      <c r="FV904" s="156">
        <v>0.0</v>
      </c>
      <c r="FW904" s="157"/>
      <c r="FX904" s="157"/>
      <c r="FY904" s="157"/>
      <c r="FZ904" s="157"/>
      <c r="GA904" s="157"/>
      <c r="GB904" s="157"/>
      <c r="GC904" s="157"/>
      <c r="GD904" s="157"/>
      <c r="GE904" s="157"/>
      <c r="GF904" s="157"/>
      <c r="GG904" s="157"/>
      <c r="GH904" s="157"/>
      <c r="GI904" s="157"/>
      <c r="GJ904" s="157"/>
      <c r="GK904" s="157"/>
      <c r="GL904" s="157"/>
      <c r="GM904" s="157"/>
      <c r="GN904" s="157"/>
      <c r="GO904" s="157"/>
      <c r="GP904" s="158"/>
      <c r="GQ904" s="157"/>
      <c r="GR904" s="157"/>
      <c r="GS904" s="157"/>
      <c r="GT904" s="157"/>
      <c r="GU904" s="157"/>
      <c r="GV904" s="157"/>
      <c r="GW904" s="157"/>
      <c r="GX904" s="157"/>
      <c r="GY904" s="157"/>
      <c r="GZ904" s="157"/>
      <c r="HA904" s="157"/>
      <c r="HB904" s="155">
        <v>0.0</v>
      </c>
      <c r="HC904" s="155">
        <v>0.0</v>
      </c>
      <c r="HD904" s="155">
        <v>0.0</v>
      </c>
      <c r="HE904" s="155">
        <v>0.0</v>
      </c>
      <c r="HF904" s="155">
        <v>0.0</v>
      </c>
      <c r="HG904" s="155">
        <v>0.0</v>
      </c>
      <c r="IL904" s="159">
        <v>0.0</v>
      </c>
      <c r="IM904" s="156">
        <v>0.0</v>
      </c>
      <c r="IN904" s="156">
        <v>0.0</v>
      </c>
      <c r="IO904" s="156">
        <v>0.0</v>
      </c>
      <c r="IP904" s="156">
        <v>0.0</v>
      </c>
      <c r="IQ904" s="160">
        <v>0.0</v>
      </c>
      <c r="JH904" s="25"/>
      <c r="JW904" s="159">
        <v>0.0</v>
      </c>
      <c r="JX904" s="156">
        <v>0.0</v>
      </c>
      <c r="JY904" s="156">
        <v>0.0</v>
      </c>
      <c r="JZ904" s="156">
        <v>0.0</v>
      </c>
      <c r="KA904" s="156">
        <v>0.0</v>
      </c>
      <c r="KB904" s="160">
        <v>0.0</v>
      </c>
      <c r="LH904" s="159">
        <f t="shared" si="10"/>
        <v>0</v>
      </c>
      <c r="LI904" s="156">
        <f t="shared" si="11"/>
        <v>0</v>
      </c>
      <c r="LJ904" s="156">
        <f t="shared" si="12"/>
        <v>0</v>
      </c>
      <c r="LK904" s="156">
        <f t="shared" si="13"/>
        <v>0</v>
      </c>
      <c r="LL904" s="156">
        <f t="shared" si="14"/>
        <v>0</v>
      </c>
      <c r="LM904" s="160">
        <f t="shared" si="15"/>
        <v>0</v>
      </c>
      <c r="QX904" s="633"/>
    </row>
    <row r="905">
      <c r="A905" s="12"/>
      <c r="B905" s="12"/>
      <c r="C905" s="12"/>
      <c r="D905" s="12"/>
      <c r="E905" s="12"/>
      <c r="F905" s="12"/>
      <c r="G905" s="12"/>
      <c r="H905" s="12"/>
      <c r="I905" s="143">
        <f t="shared" si="22"/>
        <v>0</v>
      </c>
      <c r="J905" s="108"/>
      <c r="K905" s="203"/>
      <c r="L905" s="108"/>
      <c r="V905" s="161"/>
      <c r="X905" s="140"/>
      <c r="Y905" s="166">
        <f t="shared" si="23"/>
        <v>0</v>
      </c>
      <c r="Z905" s="26">
        <f t="shared" si="7"/>
        <v>0</v>
      </c>
      <c r="AA905" s="26">
        <f t="shared" si="8"/>
        <v>0</v>
      </c>
      <c r="AB905" s="26">
        <f t="shared" si="9"/>
        <v>0</v>
      </c>
      <c r="AC905" s="156">
        <v>0.0</v>
      </c>
      <c r="AD905" s="156">
        <v>0.0</v>
      </c>
      <c r="AE905" s="156">
        <v>0.0</v>
      </c>
      <c r="AF905" s="156">
        <v>0.0</v>
      </c>
      <c r="AG905" s="156">
        <v>0.0</v>
      </c>
      <c r="AH905" s="156">
        <v>0.0</v>
      </c>
      <c r="BN905" s="155">
        <v>0.0</v>
      </c>
      <c r="BO905" s="155">
        <v>0.0</v>
      </c>
      <c r="BP905" s="155">
        <v>0.0</v>
      </c>
      <c r="BQ905" s="155">
        <v>0.0</v>
      </c>
      <c r="BR905" s="155">
        <v>0.0</v>
      </c>
      <c r="BS905" s="155">
        <v>0.0</v>
      </c>
      <c r="CV905" s="156">
        <v>0.0</v>
      </c>
      <c r="CW905" s="156">
        <v>0.0</v>
      </c>
      <c r="CX905" s="156">
        <v>0.0</v>
      </c>
      <c r="CY905" s="156">
        <v>0.0</v>
      </c>
      <c r="CZ905" s="156">
        <v>0.0</v>
      </c>
      <c r="DA905" s="156">
        <v>0.0</v>
      </c>
      <c r="EG905" s="156">
        <v>0.0</v>
      </c>
      <c r="EH905" s="156">
        <v>0.0</v>
      </c>
      <c r="EI905" s="156">
        <v>0.0</v>
      </c>
      <c r="EJ905" s="156">
        <v>0.0</v>
      </c>
      <c r="EK905" s="156">
        <v>0.0</v>
      </c>
      <c r="EL905" s="156">
        <v>0.0</v>
      </c>
      <c r="FQ905" s="156">
        <v>0.0</v>
      </c>
      <c r="FR905" s="156">
        <v>0.0</v>
      </c>
      <c r="FS905" s="156">
        <v>0.0</v>
      </c>
      <c r="FT905" s="156">
        <v>0.0</v>
      </c>
      <c r="FU905" s="156">
        <v>0.0</v>
      </c>
      <c r="FV905" s="156">
        <v>0.0</v>
      </c>
      <c r="FW905" s="157"/>
      <c r="FX905" s="157"/>
      <c r="FY905" s="157"/>
      <c r="FZ905" s="157"/>
      <c r="GA905" s="157"/>
      <c r="GB905" s="157"/>
      <c r="GC905" s="157"/>
      <c r="GD905" s="157"/>
      <c r="GE905" s="157"/>
      <c r="GF905" s="157"/>
      <c r="GG905" s="157"/>
      <c r="GH905" s="157"/>
      <c r="GI905" s="157"/>
      <c r="GJ905" s="157"/>
      <c r="GK905" s="157"/>
      <c r="GL905" s="157"/>
      <c r="GM905" s="157"/>
      <c r="GN905" s="157"/>
      <c r="GO905" s="157"/>
      <c r="GP905" s="158"/>
      <c r="GQ905" s="157"/>
      <c r="GR905" s="157"/>
      <c r="GS905" s="157"/>
      <c r="GT905" s="157"/>
      <c r="GU905" s="157"/>
      <c r="GV905" s="157"/>
      <c r="GW905" s="157"/>
      <c r="GX905" s="157"/>
      <c r="GY905" s="157"/>
      <c r="GZ905" s="157"/>
      <c r="HA905" s="157"/>
      <c r="HB905" s="155">
        <v>0.0</v>
      </c>
      <c r="HC905" s="155">
        <v>0.0</v>
      </c>
      <c r="HD905" s="155">
        <v>0.0</v>
      </c>
      <c r="HE905" s="155">
        <v>0.0</v>
      </c>
      <c r="HF905" s="155">
        <v>0.0</v>
      </c>
      <c r="HG905" s="155">
        <v>0.0</v>
      </c>
      <c r="IL905" s="159">
        <v>0.0</v>
      </c>
      <c r="IM905" s="156">
        <v>0.0</v>
      </c>
      <c r="IN905" s="156">
        <v>0.0</v>
      </c>
      <c r="IO905" s="156">
        <v>0.0</v>
      </c>
      <c r="IP905" s="156">
        <v>0.0</v>
      </c>
      <c r="IQ905" s="160">
        <v>0.0</v>
      </c>
      <c r="JH905" s="25"/>
      <c r="JW905" s="159">
        <v>0.0</v>
      </c>
      <c r="JX905" s="156">
        <v>0.0</v>
      </c>
      <c r="JY905" s="156">
        <v>0.0</v>
      </c>
      <c r="JZ905" s="156">
        <v>0.0</v>
      </c>
      <c r="KA905" s="156">
        <v>0.0</v>
      </c>
      <c r="KB905" s="160">
        <v>0.0</v>
      </c>
      <c r="LH905" s="159">
        <f t="shared" si="10"/>
        <v>0</v>
      </c>
      <c r="LI905" s="156">
        <f t="shared" si="11"/>
        <v>0</v>
      </c>
      <c r="LJ905" s="156">
        <f t="shared" si="12"/>
        <v>0</v>
      </c>
      <c r="LK905" s="156">
        <f t="shared" si="13"/>
        <v>0</v>
      </c>
      <c r="LL905" s="156">
        <f t="shared" si="14"/>
        <v>0</v>
      </c>
      <c r="LM905" s="160">
        <f t="shared" si="15"/>
        <v>0</v>
      </c>
      <c r="QX905" s="633"/>
    </row>
    <row r="906">
      <c r="A906" s="12"/>
      <c r="B906" s="12"/>
      <c r="C906" s="12"/>
      <c r="D906" s="12"/>
      <c r="E906" s="12"/>
      <c r="F906" s="12"/>
      <c r="G906" s="12"/>
      <c r="H906" s="12"/>
      <c r="I906" s="143">
        <f t="shared" si="22"/>
        <v>0</v>
      </c>
      <c r="J906" s="108"/>
      <c r="K906" s="203"/>
      <c r="L906" s="108"/>
      <c r="V906" s="161"/>
      <c r="X906" s="140"/>
      <c r="Y906" s="166">
        <f t="shared" si="23"/>
        <v>0</v>
      </c>
      <c r="Z906" s="26">
        <f t="shared" si="7"/>
        <v>0</v>
      </c>
      <c r="AA906" s="26">
        <f t="shared" si="8"/>
        <v>0</v>
      </c>
      <c r="AB906" s="26">
        <f t="shared" si="9"/>
        <v>0</v>
      </c>
      <c r="AC906" s="156">
        <v>0.0</v>
      </c>
      <c r="AD906" s="156">
        <v>0.0</v>
      </c>
      <c r="AE906" s="156">
        <v>0.0</v>
      </c>
      <c r="AF906" s="156">
        <v>0.0</v>
      </c>
      <c r="AG906" s="156">
        <v>0.0</v>
      </c>
      <c r="AH906" s="156">
        <v>0.0</v>
      </c>
      <c r="BN906" s="155">
        <v>0.0</v>
      </c>
      <c r="BO906" s="155">
        <v>0.0</v>
      </c>
      <c r="BP906" s="155">
        <v>0.0</v>
      </c>
      <c r="BQ906" s="155">
        <v>0.0</v>
      </c>
      <c r="BR906" s="155">
        <v>0.0</v>
      </c>
      <c r="BS906" s="155">
        <v>0.0</v>
      </c>
      <c r="CV906" s="156">
        <v>0.0</v>
      </c>
      <c r="CW906" s="156">
        <v>0.0</v>
      </c>
      <c r="CX906" s="156">
        <v>0.0</v>
      </c>
      <c r="CY906" s="156">
        <v>0.0</v>
      </c>
      <c r="CZ906" s="156">
        <v>0.0</v>
      </c>
      <c r="DA906" s="156">
        <v>0.0</v>
      </c>
      <c r="EG906" s="156">
        <v>0.0</v>
      </c>
      <c r="EH906" s="156">
        <v>0.0</v>
      </c>
      <c r="EI906" s="156">
        <v>0.0</v>
      </c>
      <c r="EJ906" s="156">
        <v>0.0</v>
      </c>
      <c r="EK906" s="156">
        <v>0.0</v>
      </c>
      <c r="EL906" s="156">
        <v>0.0</v>
      </c>
      <c r="FQ906" s="156">
        <v>0.0</v>
      </c>
      <c r="FR906" s="156">
        <v>0.0</v>
      </c>
      <c r="FS906" s="156">
        <v>0.0</v>
      </c>
      <c r="FT906" s="156">
        <v>0.0</v>
      </c>
      <c r="FU906" s="156">
        <v>0.0</v>
      </c>
      <c r="FV906" s="156">
        <v>0.0</v>
      </c>
      <c r="FW906" s="157"/>
      <c r="FX906" s="157"/>
      <c r="FY906" s="157"/>
      <c r="FZ906" s="157"/>
      <c r="GA906" s="157"/>
      <c r="GB906" s="157"/>
      <c r="GC906" s="157"/>
      <c r="GD906" s="157"/>
      <c r="GE906" s="157"/>
      <c r="GF906" s="157"/>
      <c r="GG906" s="157"/>
      <c r="GH906" s="157"/>
      <c r="GI906" s="157"/>
      <c r="GJ906" s="157"/>
      <c r="GK906" s="157"/>
      <c r="GL906" s="157"/>
      <c r="GM906" s="157"/>
      <c r="GN906" s="157"/>
      <c r="GO906" s="157"/>
      <c r="GP906" s="158"/>
      <c r="GQ906" s="157"/>
      <c r="GR906" s="157"/>
      <c r="GS906" s="157"/>
      <c r="GT906" s="157"/>
      <c r="GU906" s="157"/>
      <c r="GV906" s="157"/>
      <c r="GW906" s="157"/>
      <c r="GX906" s="157"/>
      <c r="GY906" s="157"/>
      <c r="GZ906" s="157"/>
      <c r="HA906" s="157"/>
      <c r="HB906" s="155">
        <v>0.0</v>
      </c>
      <c r="HC906" s="155">
        <v>0.0</v>
      </c>
      <c r="HD906" s="155">
        <v>0.0</v>
      </c>
      <c r="HE906" s="155">
        <v>0.0</v>
      </c>
      <c r="HF906" s="155">
        <v>0.0</v>
      </c>
      <c r="HG906" s="155">
        <v>0.0</v>
      </c>
      <c r="IL906" s="159">
        <v>0.0</v>
      </c>
      <c r="IM906" s="156">
        <v>0.0</v>
      </c>
      <c r="IN906" s="156">
        <v>0.0</v>
      </c>
      <c r="IO906" s="156">
        <v>0.0</v>
      </c>
      <c r="IP906" s="156">
        <v>0.0</v>
      </c>
      <c r="IQ906" s="160">
        <v>0.0</v>
      </c>
      <c r="JH906" s="25"/>
      <c r="JW906" s="159">
        <v>0.0</v>
      </c>
      <c r="JX906" s="156">
        <v>0.0</v>
      </c>
      <c r="JY906" s="156">
        <v>0.0</v>
      </c>
      <c r="JZ906" s="156">
        <v>0.0</v>
      </c>
      <c r="KA906" s="156">
        <v>0.0</v>
      </c>
      <c r="KB906" s="160">
        <v>0.0</v>
      </c>
      <c r="LH906" s="159">
        <f t="shared" si="10"/>
        <v>0</v>
      </c>
      <c r="LI906" s="156">
        <f t="shared" si="11"/>
        <v>0</v>
      </c>
      <c r="LJ906" s="156">
        <f t="shared" si="12"/>
        <v>0</v>
      </c>
      <c r="LK906" s="156">
        <f t="shared" si="13"/>
        <v>0</v>
      </c>
      <c r="LL906" s="156">
        <f t="shared" si="14"/>
        <v>0</v>
      </c>
      <c r="LM906" s="160">
        <f t="shared" si="15"/>
        <v>0</v>
      </c>
      <c r="QX906" s="633"/>
    </row>
    <row r="907">
      <c r="A907" s="12"/>
      <c r="B907" s="12"/>
      <c r="C907" s="12"/>
      <c r="D907" s="12"/>
      <c r="E907" s="12"/>
      <c r="F907" s="12"/>
      <c r="G907" s="12"/>
      <c r="H907" s="12"/>
      <c r="I907" s="143">
        <f t="shared" si="22"/>
        <v>0</v>
      </c>
      <c r="J907" s="108"/>
      <c r="K907" s="203"/>
      <c r="L907" s="108"/>
      <c r="V907" s="161"/>
      <c r="X907" s="140"/>
      <c r="Y907" s="166">
        <f t="shared" si="23"/>
        <v>0</v>
      </c>
      <c r="Z907" s="26">
        <f t="shared" si="7"/>
        <v>0</v>
      </c>
      <c r="AA907" s="26">
        <f t="shared" si="8"/>
        <v>0</v>
      </c>
      <c r="AB907" s="26">
        <f t="shared" si="9"/>
        <v>0</v>
      </c>
      <c r="AC907" s="156">
        <v>0.0</v>
      </c>
      <c r="AD907" s="156">
        <v>0.0</v>
      </c>
      <c r="AE907" s="156">
        <v>0.0</v>
      </c>
      <c r="AF907" s="156">
        <v>0.0</v>
      </c>
      <c r="AG907" s="156">
        <v>0.0</v>
      </c>
      <c r="AH907" s="156">
        <v>0.0</v>
      </c>
      <c r="BN907" s="155">
        <v>0.0</v>
      </c>
      <c r="BO907" s="155">
        <v>0.0</v>
      </c>
      <c r="BP907" s="155">
        <v>0.0</v>
      </c>
      <c r="BQ907" s="155">
        <v>0.0</v>
      </c>
      <c r="BR907" s="155">
        <v>0.0</v>
      </c>
      <c r="BS907" s="155">
        <v>0.0</v>
      </c>
      <c r="CV907" s="156">
        <v>0.0</v>
      </c>
      <c r="CW907" s="156">
        <v>0.0</v>
      </c>
      <c r="CX907" s="156">
        <v>0.0</v>
      </c>
      <c r="CY907" s="156">
        <v>0.0</v>
      </c>
      <c r="CZ907" s="156">
        <v>0.0</v>
      </c>
      <c r="DA907" s="156">
        <v>0.0</v>
      </c>
      <c r="EG907" s="156">
        <v>0.0</v>
      </c>
      <c r="EH907" s="156">
        <v>0.0</v>
      </c>
      <c r="EI907" s="156">
        <v>0.0</v>
      </c>
      <c r="EJ907" s="156">
        <v>0.0</v>
      </c>
      <c r="EK907" s="156">
        <v>0.0</v>
      </c>
      <c r="EL907" s="156">
        <v>0.0</v>
      </c>
      <c r="FQ907" s="156">
        <v>0.0</v>
      </c>
      <c r="FR907" s="156">
        <v>0.0</v>
      </c>
      <c r="FS907" s="156">
        <v>0.0</v>
      </c>
      <c r="FT907" s="156">
        <v>0.0</v>
      </c>
      <c r="FU907" s="156">
        <v>0.0</v>
      </c>
      <c r="FV907" s="156">
        <v>0.0</v>
      </c>
      <c r="FW907" s="157"/>
      <c r="FX907" s="157"/>
      <c r="FY907" s="157"/>
      <c r="FZ907" s="157"/>
      <c r="GA907" s="157"/>
      <c r="GB907" s="157"/>
      <c r="GC907" s="157"/>
      <c r="GD907" s="157"/>
      <c r="GE907" s="157"/>
      <c r="GF907" s="157"/>
      <c r="GG907" s="157"/>
      <c r="GH907" s="157"/>
      <c r="GI907" s="157"/>
      <c r="GJ907" s="157"/>
      <c r="GK907" s="157"/>
      <c r="GL907" s="157"/>
      <c r="GM907" s="157"/>
      <c r="GN907" s="157"/>
      <c r="GO907" s="157"/>
      <c r="GP907" s="158"/>
      <c r="GQ907" s="157"/>
      <c r="GR907" s="157"/>
      <c r="GS907" s="157"/>
      <c r="GT907" s="157"/>
      <c r="GU907" s="157"/>
      <c r="GV907" s="157"/>
      <c r="GW907" s="157"/>
      <c r="GX907" s="157"/>
      <c r="GY907" s="157"/>
      <c r="GZ907" s="157"/>
      <c r="HA907" s="157"/>
      <c r="HB907" s="155">
        <v>0.0</v>
      </c>
      <c r="HC907" s="155">
        <v>0.0</v>
      </c>
      <c r="HD907" s="155">
        <v>0.0</v>
      </c>
      <c r="HE907" s="155">
        <v>0.0</v>
      </c>
      <c r="HF907" s="155">
        <v>0.0</v>
      </c>
      <c r="HG907" s="155">
        <v>0.0</v>
      </c>
      <c r="IL907" s="159">
        <v>0.0</v>
      </c>
      <c r="IM907" s="156">
        <v>0.0</v>
      </c>
      <c r="IN907" s="156">
        <v>0.0</v>
      </c>
      <c r="IO907" s="156">
        <v>0.0</v>
      </c>
      <c r="IP907" s="156">
        <v>0.0</v>
      </c>
      <c r="IQ907" s="160">
        <v>0.0</v>
      </c>
      <c r="JH907" s="25"/>
      <c r="JW907" s="159">
        <v>0.0</v>
      </c>
      <c r="JX907" s="156">
        <v>0.0</v>
      </c>
      <c r="JY907" s="156">
        <v>0.0</v>
      </c>
      <c r="JZ907" s="156">
        <v>0.0</v>
      </c>
      <c r="KA907" s="156">
        <v>0.0</v>
      </c>
      <c r="KB907" s="160">
        <v>0.0</v>
      </c>
      <c r="LH907" s="159">
        <f t="shared" si="10"/>
        <v>0</v>
      </c>
      <c r="LI907" s="156">
        <f t="shared" si="11"/>
        <v>0</v>
      </c>
      <c r="LJ907" s="156">
        <f t="shared" si="12"/>
        <v>0</v>
      </c>
      <c r="LK907" s="156">
        <f t="shared" si="13"/>
        <v>0</v>
      </c>
      <c r="LL907" s="156">
        <f t="shared" si="14"/>
        <v>0</v>
      </c>
      <c r="LM907" s="160">
        <f t="shared" si="15"/>
        <v>0</v>
      </c>
      <c r="QX907" s="633"/>
    </row>
    <row r="908">
      <c r="A908" s="12"/>
      <c r="B908" s="12"/>
      <c r="C908" s="12"/>
      <c r="D908" s="12"/>
      <c r="E908" s="12"/>
      <c r="F908" s="12"/>
      <c r="G908" s="12"/>
      <c r="H908" s="12"/>
      <c r="I908" s="143">
        <f t="shared" si="22"/>
        <v>0</v>
      </c>
      <c r="J908" s="108"/>
      <c r="K908" s="203"/>
      <c r="L908" s="108"/>
      <c r="V908" s="161"/>
      <c r="X908" s="140"/>
      <c r="Y908" s="166">
        <f t="shared" si="23"/>
        <v>0</v>
      </c>
      <c r="Z908" s="26">
        <f t="shared" si="7"/>
        <v>0</v>
      </c>
      <c r="AA908" s="26">
        <f t="shared" si="8"/>
        <v>0</v>
      </c>
      <c r="AB908" s="26">
        <f t="shared" si="9"/>
        <v>0</v>
      </c>
      <c r="AC908" s="156">
        <v>0.0</v>
      </c>
      <c r="AD908" s="156">
        <v>0.0</v>
      </c>
      <c r="AE908" s="156">
        <v>0.0</v>
      </c>
      <c r="AF908" s="156">
        <v>0.0</v>
      </c>
      <c r="AG908" s="156">
        <v>0.0</v>
      </c>
      <c r="AH908" s="156">
        <v>0.0</v>
      </c>
      <c r="BN908" s="155">
        <v>0.0</v>
      </c>
      <c r="BO908" s="155">
        <v>0.0</v>
      </c>
      <c r="BP908" s="155">
        <v>0.0</v>
      </c>
      <c r="BQ908" s="155">
        <v>0.0</v>
      </c>
      <c r="BR908" s="155">
        <v>0.0</v>
      </c>
      <c r="BS908" s="155">
        <v>0.0</v>
      </c>
      <c r="CV908" s="156">
        <v>0.0</v>
      </c>
      <c r="CW908" s="156">
        <v>0.0</v>
      </c>
      <c r="CX908" s="156">
        <v>0.0</v>
      </c>
      <c r="CY908" s="156">
        <v>0.0</v>
      </c>
      <c r="CZ908" s="156">
        <v>0.0</v>
      </c>
      <c r="DA908" s="156">
        <v>0.0</v>
      </c>
      <c r="EG908" s="156">
        <v>0.0</v>
      </c>
      <c r="EH908" s="156">
        <v>0.0</v>
      </c>
      <c r="EI908" s="156">
        <v>0.0</v>
      </c>
      <c r="EJ908" s="156">
        <v>0.0</v>
      </c>
      <c r="EK908" s="156">
        <v>0.0</v>
      </c>
      <c r="EL908" s="156">
        <v>0.0</v>
      </c>
      <c r="FQ908" s="156">
        <v>0.0</v>
      </c>
      <c r="FR908" s="156">
        <v>0.0</v>
      </c>
      <c r="FS908" s="156">
        <v>0.0</v>
      </c>
      <c r="FT908" s="156">
        <v>0.0</v>
      </c>
      <c r="FU908" s="156">
        <v>0.0</v>
      </c>
      <c r="FV908" s="156">
        <v>0.0</v>
      </c>
      <c r="FW908" s="157"/>
      <c r="FX908" s="157"/>
      <c r="FY908" s="157"/>
      <c r="FZ908" s="157"/>
      <c r="GA908" s="157"/>
      <c r="GB908" s="157"/>
      <c r="GC908" s="157"/>
      <c r="GD908" s="157"/>
      <c r="GE908" s="157"/>
      <c r="GF908" s="157"/>
      <c r="GG908" s="157"/>
      <c r="GH908" s="157"/>
      <c r="GI908" s="157"/>
      <c r="GJ908" s="157"/>
      <c r="GK908" s="157"/>
      <c r="GL908" s="157"/>
      <c r="GM908" s="157"/>
      <c r="GN908" s="157"/>
      <c r="GO908" s="157"/>
      <c r="GP908" s="158"/>
      <c r="GQ908" s="157"/>
      <c r="GR908" s="157"/>
      <c r="GS908" s="157"/>
      <c r="GT908" s="157"/>
      <c r="GU908" s="157"/>
      <c r="GV908" s="157"/>
      <c r="GW908" s="157"/>
      <c r="GX908" s="157"/>
      <c r="GY908" s="157"/>
      <c r="GZ908" s="157"/>
      <c r="HA908" s="157"/>
      <c r="HB908" s="155">
        <v>0.0</v>
      </c>
      <c r="HC908" s="155">
        <v>0.0</v>
      </c>
      <c r="HD908" s="155">
        <v>0.0</v>
      </c>
      <c r="HE908" s="155">
        <v>0.0</v>
      </c>
      <c r="HF908" s="155">
        <v>0.0</v>
      </c>
      <c r="HG908" s="155">
        <v>0.0</v>
      </c>
      <c r="IL908" s="159">
        <v>0.0</v>
      </c>
      <c r="IM908" s="156">
        <v>0.0</v>
      </c>
      <c r="IN908" s="156">
        <v>0.0</v>
      </c>
      <c r="IO908" s="156">
        <v>0.0</v>
      </c>
      <c r="IP908" s="156">
        <v>0.0</v>
      </c>
      <c r="IQ908" s="160">
        <v>0.0</v>
      </c>
      <c r="JH908" s="25"/>
      <c r="JW908" s="159">
        <v>0.0</v>
      </c>
      <c r="JX908" s="156">
        <v>0.0</v>
      </c>
      <c r="JY908" s="156">
        <v>0.0</v>
      </c>
      <c r="JZ908" s="156">
        <v>0.0</v>
      </c>
      <c r="KA908" s="156">
        <v>0.0</v>
      </c>
      <c r="KB908" s="160">
        <v>0.0</v>
      </c>
      <c r="LH908" s="159">
        <f t="shared" si="10"/>
        <v>0</v>
      </c>
      <c r="LI908" s="156">
        <f t="shared" si="11"/>
        <v>0</v>
      </c>
      <c r="LJ908" s="156">
        <f t="shared" si="12"/>
        <v>0</v>
      </c>
      <c r="LK908" s="156">
        <f t="shared" si="13"/>
        <v>0</v>
      </c>
      <c r="LL908" s="156">
        <f t="shared" si="14"/>
        <v>0</v>
      </c>
      <c r="LM908" s="160">
        <f t="shared" si="15"/>
        <v>0</v>
      </c>
      <c r="QX908" s="633"/>
    </row>
    <row r="909">
      <c r="A909" s="12"/>
      <c r="B909" s="12"/>
      <c r="C909" s="12"/>
      <c r="D909" s="12"/>
      <c r="E909" s="12"/>
      <c r="F909" s="12"/>
      <c r="G909" s="12"/>
      <c r="H909" s="12"/>
      <c r="I909" s="143">
        <f t="shared" si="22"/>
        <v>0</v>
      </c>
      <c r="J909" s="108"/>
      <c r="K909" s="203"/>
      <c r="L909" s="108"/>
      <c r="V909" s="161"/>
      <c r="X909" s="140"/>
      <c r="Y909" s="166">
        <f t="shared" si="23"/>
        <v>0</v>
      </c>
      <c r="Z909" s="26">
        <f t="shared" si="7"/>
        <v>0</v>
      </c>
      <c r="AA909" s="26">
        <f t="shared" si="8"/>
        <v>0</v>
      </c>
      <c r="AB909" s="26">
        <f t="shared" si="9"/>
        <v>0</v>
      </c>
      <c r="AC909" s="156">
        <v>0.0</v>
      </c>
      <c r="AD909" s="156">
        <v>0.0</v>
      </c>
      <c r="AE909" s="156">
        <v>0.0</v>
      </c>
      <c r="AF909" s="156">
        <v>0.0</v>
      </c>
      <c r="AG909" s="156">
        <v>0.0</v>
      </c>
      <c r="AH909" s="156">
        <v>0.0</v>
      </c>
      <c r="BN909" s="155">
        <v>0.0</v>
      </c>
      <c r="BO909" s="155">
        <v>0.0</v>
      </c>
      <c r="BP909" s="155">
        <v>0.0</v>
      </c>
      <c r="BQ909" s="155">
        <v>0.0</v>
      </c>
      <c r="BR909" s="155">
        <v>0.0</v>
      </c>
      <c r="BS909" s="155">
        <v>0.0</v>
      </c>
      <c r="CV909" s="156">
        <v>0.0</v>
      </c>
      <c r="CW909" s="156">
        <v>0.0</v>
      </c>
      <c r="CX909" s="156">
        <v>0.0</v>
      </c>
      <c r="CY909" s="156">
        <v>0.0</v>
      </c>
      <c r="CZ909" s="156">
        <v>0.0</v>
      </c>
      <c r="DA909" s="156">
        <v>0.0</v>
      </c>
      <c r="EG909" s="156">
        <v>0.0</v>
      </c>
      <c r="EH909" s="156">
        <v>0.0</v>
      </c>
      <c r="EI909" s="156">
        <v>0.0</v>
      </c>
      <c r="EJ909" s="156">
        <v>0.0</v>
      </c>
      <c r="EK909" s="156">
        <v>0.0</v>
      </c>
      <c r="EL909" s="156">
        <v>0.0</v>
      </c>
      <c r="FQ909" s="156">
        <v>0.0</v>
      </c>
      <c r="FR909" s="156">
        <v>0.0</v>
      </c>
      <c r="FS909" s="156">
        <v>0.0</v>
      </c>
      <c r="FT909" s="156">
        <v>0.0</v>
      </c>
      <c r="FU909" s="156">
        <v>0.0</v>
      </c>
      <c r="FV909" s="156">
        <v>0.0</v>
      </c>
      <c r="FW909" s="157"/>
      <c r="FX909" s="157"/>
      <c r="FY909" s="157"/>
      <c r="FZ909" s="157"/>
      <c r="GA909" s="157"/>
      <c r="GB909" s="157"/>
      <c r="GC909" s="157"/>
      <c r="GD909" s="157"/>
      <c r="GE909" s="157"/>
      <c r="GF909" s="157"/>
      <c r="GG909" s="157"/>
      <c r="GH909" s="157"/>
      <c r="GI909" s="157"/>
      <c r="GJ909" s="157"/>
      <c r="GK909" s="157"/>
      <c r="GL909" s="157"/>
      <c r="GM909" s="157"/>
      <c r="GN909" s="157"/>
      <c r="GO909" s="157"/>
      <c r="GP909" s="158"/>
      <c r="GQ909" s="157"/>
      <c r="GR909" s="157"/>
      <c r="GS909" s="157"/>
      <c r="GT909" s="157"/>
      <c r="GU909" s="157"/>
      <c r="GV909" s="157"/>
      <c r="GW909" s="157"/>
      <c r="GX909" s="157"/>
      <c r="GY909" s="157"/>
      <c r="GZ909" s="157"/>
      <c r="HA909" s="157"/>
      <c r="HB909" s="155">
        <v>0.0</v>
      </c>
      <c r="HC909" s="155">
        <v>0.0</v>
      </c>
      <c r="HD909" s="155">
        <v>0.0</v>
      </c>
      <c r="HE909" s="155">
        <v>0.0</v>
      </c>
      <c r="HF909" s="155">
        <v>0.0</v>
      </c>
      <c r="HG909" s="155">
        <v>0.0</v>
      </c>
      <c r="IL909" s="159">
        <v>0.0</v>
      </c>
      <c r="IM909" s="156">
        <v>0.0</v>
      </c>
      <c r="IN909" s="156">
        <v>0.0</v>
      </c>
      <c r="IO909" s="156">
        <v>0.0</v>
      </c>
      <c r="IP909" s="156">
        <v>0.0</v>
      </c>
      <c r="IQ909" s="160">
        <v>0.0</v>
      </c>
      <c r="JH909" s="25"/>
      <c r="JW909" s="159">
        <v>0.0</v>
      </c>
      <c r="JX909" s="156">
        <v>0.0</v>
      </c>
      <c r="JY909" s="156">
        <v>0.0</v>
      </c>
      <c r="JZ909" s="156">
        <v>0.0</v>
      </c>
      <c r="KA909" s="156">
        <v>0.0</v>
      </c>
      <c r="KB909" s="160">
        <v>0.0</v>
      </c>
      <c r="LH909" s="159">
        <f t="shared" si="10"/>
        <v>0</v>
      </c>
      <c r="LI909" s="156">
        <f t="shared" si="11"/>
        <v>0</v>
      </c>
      <c r="LJ909" s="156">
        <f t="shared" si="12"/>
        <v>0</v>
      </c>
      <c r="LK909" s="156">
        <f t="shared" si="13"/>
        <v>0</v>
      </c>
      <c r="LL909" s="156">
        <f t="shared" si="14"/>
        <v>0</v>
      </c>
      <c r="LM909" s="160">
        <f t="shared" si="15"/>
        <v>0</v>
      </c>
      <c r="QX909" s="633"/>
    </row>
    <row r="910">
      <c r="A910" s="12"/>
      <c r="B910" s="12"/>
      <c r="C910" s="12"/>
      <c r="D910" s="12"/>
      <c r="E910" s="12"/>
      <c r="F910" s="12"/>
      <c r="G910" s="12"/>
      <c r="H910" s="12"/>
      <c r="I910" s="143">
        <f t="shared" si="22"/>
        <v>0</v>
      </c>
      <c r="J910" s="108"/>
      <c r="K910" s="203"/>
      <c r="L910" s="108"/>
      <c r="V910" s="161"/>
      <c r="X910" s="140"/>
      <c r="Y910" s="166">
        <f t="shared" si="23"/>
        <v>0</v>
      </c>
      <c r="Z910" s="26">
        <f t="shared" si="7"/>
        <v>0</v>
      </c>
      <c r="AA910" s="26">
        <f t="shared" si="8"/>
        <v>0</v>
      </c>
      <c r="AB910" s="26">
        <f t="shared" si="9"/>
        <v>0</v>
      </c>
      <c r="AC910" s="156">
        <v>0.0</v>
      </c>
      <c r="AD910" s="156">
        <v>0.0</v>
      </c>
      <c r="AE910" s="156">
        <v>0.0</v>
      </c>
      <c r="AF910" s="156">
        <v>0.0</v>
      </c>
      <c r="AG910" s="156">
        <v>0.0</v>
      </c>
      <c r="AH910" s="156">
        <v>0.0</v>
      </c>
      <c r="BN910" s="155">
        <v>0.0</v>
      </c>
      <c r="BO910" s="155">
        <v>0.0</v>
      </c>
      <c r="BP910" s="155">
        <v>0.0</v>
      </c>
      <c r="BQ910" s="155">
        <v>0.0</v>
      </c>
      <c r="BR910" s="155">
        <v>0.0</v>
      </c>
      <c r="BS910" s="155">
        <v>0.0</v>
      </c>
      <c r="CV910" s="156">
        <v>0.0</v>
      </c>
      <c r="CW910" s="156">
        <v>0.0</v>
      </c>
      <c r="CX910" s="156">
        <v>0.0</v>
      </c>
      <c r="CY910" s="156">
        <v>0.0</v>
      </c>
      <c r="CZ910" s="156">
        <v>0.0</v>
      </c>
      <c r="DA910" s="156">
        <v>0.0</v>
      </c>
      <c r="EG910" s="156">
        <v>0.0</v>
      </c>
      <c r="EH910" s="156">
        <v>0.0</v>
      </c>
      <c r="EI910" s="156">
        <v>0.0</v>
      </c>
      <c r="EJ910" s="156">
        <v>0.0</v>
      </c>
      <c r="EK910" s="156">
        <v>0.0</v>
      </c>
      <c r="EL910" s="156">
        <v>0.0</v>
      </c>
      <c r="FQ910" s="156">
        <v>0.0</v>
      </c>
      <c r="FR910" s="156">
        <v>0.0</v>
      </c>
      <c r="FS910" s="156">
        <v>0.0</v>
      </c>
      <c r="FT910" s="156">
        <v>0.0</v>
      </c>
      <c r="FU910" s="156">
        <v>0.0</v>
      </c>
      <c r="FV910" s="156">
        <v>0.0</v>
      </c>
      <c r="FW910" s="157"/>
      <c r="FX910" s="157"/>
      <c r="FY910" s="157"/>
      <c r="FZ910" s="157"/>
      <c r="GA910" s="157"/>
      <c r="GB910" s="157"/>
      <c r="GC910" s="157"/>
      <c r="GD910" s="157"/>
      <c r="GE910" s="157"/>
      <c r="GF910" s="157"/>
      <c r="GG910" s="157"/>
      <c r="GH910" s="157"/>
      <c r="GI910" s="157"/>
      <c r="GJ910" s="157"/>
      <c r="GK910" s="157"/>
      <c r="GL910" s="157"/>
      <c r="GM910" s="157"/>
      <c r="GN910" s="157"/>
      <c r="GO910" s="157"/>
      <c r="GP910" s="158"/>
      <c r="GQ910" s="157"/>
      <c r="GR910" s="157"/>
      <c r="GS910" s="157"/>
      <c r="GT910" s="157"/>
      <c r="GU910" s="157"/>
      <c r="GV910" s="157"/>
      <c r="GW910" s="157"/>
      <c r="GX910" s="157"/>
      <c r="GY910" s="157"/>
      <c r="GZ910" s="157"/>
      <c r="HA910" s="157"/>
      <c r="HB910" s="155">
        <v>0.0</v>
      </c>
      <c r="HC910" s="155">
        <v>0.0</v>
      </c>
      <c r="HD910" s="155">
        <v>0.0</v>
      </c>
      <c r="HE910" s="155">
        <v>0.0</v>
      </c>
      <c r="HF910" s="155">
        <v>0.0</v>
      </c>
      <c r="HG910" s="155">
        <v>0.0</v>
      </c>
      <c r="IL910" s="159">
        <v>0.0</v>
      </c>
      <c r="IM910" s="156">
        <v>0.0</v>
      </c>
      <c r="IN910" s="156">
        <v>0.0</v>
      </c>
      <c r="IO910" s="156">
        <v>0.0</v>
      </c>
      <c r="IP910" s="156">
        <v>0.0</v>
      </c>
      <c r="IQ910" s="160">
        <v>0.0</v>
      </c>
      <c r="JH910" s="25"/>
      <c r="JW910" s="159">
        <v>0.0</v>
      </c>
      <c r="JX910" s="156">
        <v>0.0</v>
      </c>
      <c r="JY910" s="156">
        <v>0.0</v>
      </c>
      <c r="JZ910" s="156">
        <v>0.0</v>
      </c>
      <c r="KA910" s="156">
        <v>0.0</v>
      </c>
      <c r="KB910" s="160">
        <v>0.0</v>
      </c>
      <c r="LH910" s="159">
        <f t="shared" si="10"/>
        <v>0</v>
      </c>
      <c r="LI910" s="156">
        <f t="shared" si="11"/>
        <v>0</v>
      </c>
      <c r="LJ910" s="156">
        <f t="shared" si="12"/>
        <v>0</v>
      </c>
      <c r="LK910" s="156">
        <f t="shared" si="13"/>
        <v>0</v>
      </c>
      <c r="LL910" s="156">
        <f t="shared" si="14"/>
        <v>0</v>
      </c>
      <c r="LM910" s="160">
        <f t="shared" si="15"/>
        <v>0</v>
      </c>
      <c r="QX910" s="633"/>
    </row>
    <row r="911">
      <c r="A911" s="12"/>
      <c r="B911" s="12"/>
      <c r="C911" s="12"/>
      <c r="D911" s="12"/>
      <c r="E911" s="12"/>
      <c r="F911" s="12"/>
      <c r="G911" s="12"/>
      <c r="H911" s="12"/>
      <c r="I911" s="143">
        <f t="shared" si="22"/>
        <v>0</v>
      </c>
      <c r="J911" s="108"/>
      <c r="K911" s="203"/>
      <c r="L911" s="108"/>
      <c r="V911" s="161"/>
      <c r="X911" s="140"/>
      <c r="Y911" s="166">
        <f t="shared" si="23"/>
        <v>0</v>
      </c>
      <c r="Z911" s="26">
        <f t="shared" si="7"/>
        <v>0</v>
      </c>
      <c r="AA911" s="26">
        <f t="shared" si="8"/>
        <v>0</v>
      </c>
      <c r="AB911" s="26">
        <f t="shared" si="9"/>
        <v>0</v>
      </c>
      <c r="AC911" s="156">
        <v>0.0</v>
      </c>
      <c r="AD911" s="156">
        <v>0.0</v>
      </c>
      <c r="AE911" s="156">
        <v>0.0</v>
      </c>
      <c r="AF911" s="156">
        <v>0.0</v>
      </c>
      <c r="AG911" s="156">
        <v>0.0</v>
      </c>
      <c r="AH911" s="156">
        <v>0.0</v>
      </c>
      <c r="BN911" s="155">
        <v>0.0</v>
      </c>
      <c r="BO911" s="155">
        <v>0.0</v>
      </c>
      <c r="BP911" s="155">
        <v>0.0</v>
      </c>
      <c r="BQ911" s="155">
        <v>0.0</v>
      </c>
      <c r="BR911" s="155">
        <v>0.0</v>
      </c>
      <c r="BS911" s="155">
        <v>0.0</v>
      </c>
      <c r="CV911" s="156">
        <v>0.0</v>
      </c>
      <c r="CW911" s="156">
        <v>0.0</v>
      </c>
      <c r="CX911" s="156">
        <v>0.0</v>
      </c>
      <c r="CY911" s="156">
        <v>0.0</v>
      </c>
      <c r="CZ911" s="156">
        <v>0.0</v>
      </c>
      <c r="DA911" s="156">
        <v>0.0</v>
      </c>
      <c r="EG911" s="156">
        <v>0.0</v>
      </c>
      <c r="EH911" s="156">
        <v>0.0</v>
      </c>
      <c r="EI911" s="156">
        <v>0.0</v>
      </c>
      <c r="EJ911" s="156">
        <v>0.0</v>
      </c>
      <c r="EK911" s="156">
        <v>0.0</v>
      </c>
      <c r="EL911" s="156">
        <v>0.0</v>
      </c>
      <c r="FQ911" s="156">
        <v>0.0</v>
      </c>
      <c r="FR911" s="156">
        <v>0.0</v>
      </c>
      <c r="FS911" s="156">
        <v>0.0</v>
      </c>
      <c r="FT911" s="156">
        <v>0.0</v>
      </c>
      <c r="FU911" s="156">
        <v>0.0</v>
      </c>
      <c r="FV911" s="156">
        <v>0.0</v>
      </c>
      <c r="FW911" s="157"/>
      <c r="FX911" s="157"/>
      <c r="FY911" s="157"/>
      <c r="FZ911" s="157"/>
      <c r="GA911" s="157"/>
      <c r="GB911" s="157"/>
      <c r="GC911" s="157"/>
      <c r="GD911" s="157"/>
      <c r="GE911" s="157"/>
      <c r="GF911" s="157"/>
      <c r="GG911" s="157"/>
      <c r="GH911" s="157"/>
      <c r="GI911" s="157"/>
      <c r="GJ911" s="157"/>
      <c r="GK911" s="157"/>
      <c r="GL911" s="157"/>
      <c r="GM911" s="157"/>
      <c r="GN911" s="157"/>
      <c r="GO911" s="157"/>
      <c r="GP911" s="158"/>
      <c r="GQ911" s="157"/>
      <c r="GR911" s="157"/>
      <c r="GS911" s="157"/>
      <c r="GT911" s="157"/>
      <c r="GU911" s="157"/>
      <c r="GV911" s="157"/>
      <c r="GW911" s="157"/>
      <c r="GX911" s="157"/>
      <c r="GY911" s="157"/>
      <c r="GZ911" s="157"/>
      <c r="HA911" s="157"/>
      <c r="HB911" s="155">
        <v>0.0</v>
      </c>
      <c r="HC911" s="155">
        <v>0.0</v>
      </c>
      <c r="HD911" s="155">
        <v>0.0</v>
      </c>
      <c r="HE911" s="155">
        <v>0.0</v>
      </c>
      <c r="HF911" s="155">
        <v>0.0</v>
      </c>
      <c r="HG911" s="155">
        <v>0.0</v>
      </c>
      <c r="IL911" s="159">
        <v>0.0</v>
      </c>
      <c r="IM911" s="156">
        <v>0.0</v>
      </c>
      <c r="IN911" s="156">
        <v>0.0</v>
      </c>
      <c r="IO911" s="156">
        <v>0.0</v>
      </c>
      <c r="IP911" s="156">
        <v>0.0</v>
      </c>
      <c r="IQ911" s="160">
        <v>0.0</v>
      </c>
      <c r="JH911" s="25"/>
      <c r="JW911" s="159">
        <v>0.0</v>
      </c>
      <c r="JX911" s="156">
        <v>0.0</v>
      </c>
      <c r="JY911" s="156">
        <v>0.0</v>
      </c>
      <c r="JZ911" s="156">
        <v>0.0</v>
      </c>
      <c r="KA911" s="156">
        <v>0.0</v>
      </c>
      <c r="KB911" s="160">
        <v>0.0</v>
      </c>
      <c r="LH911" s="159">
        <f t="shared" si="10"/>
        <v>0</v>
      </c>
      <c r="LI911" s="156">
        <f t="shared" si="11"/>
        <v>0</v>
      </c>
      <c r="LJ911" s="156">
        <f t="shared" si="12"/>
        <v>0</v>
      </c>
      <c r="LK911" s="156">
        <f t="shared" si="13"/>
        <v>0</v>
      </c>
      <c r="LL911" s="156">
        <f t="shared" si="14"/>
        <v>0</v>
      </c>
      <c r="LM911" s="160">
        <f t="shared" si="15"/>
        <v>0</v>
      </c>
      <c r="QX911" s="633"/>
    </row>
    <row r="912">
      <c r="A912" s="12"/>
      <c r="B912" s="12"/>
      <c r="C912" s="12"/>
      <c r="D912" s="12"/>
      <c r="E912" s="12"/>
      <c r="F912" s="12"/>
      <c r="G912" s="12"/>
      <c r="H912" s="12"/>
      <c r="I912" s="143">
        <f t="shared" si="22"/>
        <v>0</v>
      </c>
      <c r="J912" s="108"/>
      <c r="K912" s="203"/>
      <c r="L912" s="108"/>
      <c r="V912" s="161"/>
      <c r="X912" s="140"/>
      <c r="Y912" s="166">
        <f t="shared" si="23"/>
        <v>0</v>
      </c>
      <c r="Z912" s="26">
        <f t="shared" si="7"/>
        <v>0</v>
      </c>
      <c r="AA912" s="26">
        <f t="shared" si="8"/>
        <v>0</v>
      </c>
      <c r="AB912" s="26">
        <f t="shared" si="9"/>
        <v>0</v>
      </c>
      <c r="AC912" s="156">
        <v>0.0</v>
      </c>
      <c r="AD912" s="156">
        <v>0.0</v>
      </c>
      <c r="AE912" s="156">
        <v>0.0</v>
      </c>
      <c r="AF912" s="156">
        <v>0.0</v>
      </c>
      <c r="AG912" s="156">
        <v>0.0</v>
      </c>
      <c r="AH912" s="156">
        <v>0.0</v>
      </c>
      <c r="BN912" s="155">
        <v>0.0</v>
      </c>
      <c r="BO912" s="155">
        <v>0.0</v>
      </c>
      <c r="BP912" s="155">
        <v>0.0</v>
      </c>
      <c r="BQ912" s="155">
        <v>0.0</v>
      </c>
      <c r="BR912" s="155">
        <v>0.0</v>
      </c>
      <c r="BS912" s="155">
        <v>0.0</v>
      </c>
      <c r="CV912" s="156">
        <v>0.0</v>
      </c>
      <c r="CW912" s="156">
        <v>0.0</v>
      </c>
      <c r="CX912" s="156">
        <v>0.0</v>
      </c>
      <c r="CY912" s="156">
        <v>0.0</v>
      </c>
      <c r="CZ912" s="156">
        <v>0.0</v>
      </c>
      <c r="DA912" s="156">
        <v>0.0</v>
      </c>
      <c r="EG912" s="156">
        <v>0.0</v>
      </c>
      <c r="EH912" s="156">
        <v>0.0</v>
      </c>
      <c r="EI912" s="156">
        <v>0.0</v>
      </c>
      <c r="EJ912" s="156">
        <v>0.0</v>
      </c>
      <c r="EK912" s="156">
        <v>0.0</v>
      </c>
      <c r="EL912" s="156">
        <v>0.0</v>
      </c>
      <c r="FQ912" s="156">
        <v>0.0</v>
      </c>
      <c r="FR912" s="156">
        <v>0.0</v>
      </c>
      <c r="FS912" s="156">
        <v>0.0</v>
      </c>
      <c r="FT912" s="156">
        <v>0.0</v>
      </c>
      <c r="FU912" s="156">
        <v>0.0</v>
      </c>
      <c r="FV912" s="156">
        <v>0.0</v>
      </c>
      <c r="FW912" s="157"/>
      <c r="FX912" s="157"/>
      <c r="FY912" s="157"/>
      <c r="FZ912" s="157"/>
      <c r="GA912" s="157"/>
      <c r="GB912" s="157"/>
      <c r="GC912" s="157"/>
      <c r="GD912" s="157"/>
      <c r="GE912" s="157"/>
      <c r="GF912" s="157"/>
      <c r="GG912" s="157"/>
      <c r="GH912" s="157"/>
      <c r="GI912" s="157"/>
      <c r="GJ912" s="157"/>
      <c r="GK912" s="157"/>
      <c r="GL912" s="157"/>
      <c r="GM912" s="157"/>
      <c r="GN912" s="157"/>
      <c r="GO912" s="157"/>
      <c r="GP912" s="158"/>
      <c r="GQ912" s="157"/>
      <c r="GR912" s="157"/>
      <c r="GS912" s="157"/>
      <c r="GT912" s="157"/>
      <c r="GU912" s="157"/>
      <c r="GV912" s="157"/>
      <c r="GW912" s="157"/>
      <c r="GX912" s="157"/>
      <c r="GY912" s="157"/>
      <c r="GZ912" s="157"/>
      <c r="HA912" s="157"/>
      <c r="HB912" s="155">
        <v>0.0</v>
      </c>
      <c r="HC912" s="155">
        <v>0.0</v>
      </c>
      <c r="HD912" s="155">
        <v>0.0</v>
      </c>
      <c r="HE912" s="155">
        <v>0.0</v>
      </c>
      <c r="HF912" s="155">
        <v>0.0</v>
      </c>
      <c r="HG912" s="155">
        <v>0.0</v>
      </c>
      <c r="IL912" s="159">
        <v>0.0</v>
      </c>
      <c r="IM912" s="156">
        <v>0.0</v>
      </c>
      <c r="IN912" s="156">
        <v>0.0</v>
      </c>
      <c r="IO912" s="156">
        <v>0.0</v>
      </c>
      <c r="IP912" s="156">
        <v>0.0</v>
      </c>
      <c r="IQ912" s="160">
        <v>0.0</v>
      </c>
      <c r="JH912" s="25"/>
      <c r="JW912" s="159">
        <v>0.0</v>
      </c>
      <c r="JX912" s="156">
        <v>0.0</v>
      </c>
      <c r="JY912" s="156">
        <v>0.0</v>
      </c>
      <c r="JZ912" s="156">
        <v>0.0</v>
      </c>
      <c r="KA912" s="156">
        <v>0.0</v>
      </c>
      <c r="KB912" s="160">
        <v>0.0</v>
      </c>
      <c r="LH912" s="159">
        <f t="shared" si="10"/>
        <v>0</v>
      </c>
      <c r="LI912" s="156">
        <f t="shared" si="11"/>
        <v>0</v>
      </c>
      <c r="LJ912" s="156">
        <f t="shared" si="12"/>
        <v>0</v>
      </c>
      <c r="LK912" s="156">
        <f t="shared" si="13"/>
        <v>0</v>
      </c>
      <c r="LL912" s="156">
        <f t="shared" si="14"/>
        <v>0</v>
      </c>
      <c r="LM912" s="160">
        <f t="shared" si="15"/>
        <v>0</v>
      </c>
      <c r="QX912" s="633"/>
    </row>
    <row r="913">
      <c r="A913" s="12"/>
      <c r="B913" s="12"/>
      <c r="C913" s="12"/>
      <c r="D913" s="12"/>
      <c r="E913" s="12"/>
      <c r="F913" s="12"/>
      <c r="G913" s="12"/>
      <c r="H913" s="12"/>
      <c r="I913" s="143">
        <f t="shared" si="22"/>
        <v>0</v>
      </c>
      <c r="J913" s="108"/>
      <c r="K913" s="203"/>
      <c r="L913" s="108"/>
      <c r="V913" s="161"/>
      <c r="X913" s="140"/>
      <c r="Y913" s="166">
        <f t="shared" si="23"/>
        <v>0</v>
      </c>
      <c r="Z913" s="26">
        <f t="shared" si="7"/>
        <v>0</v>
      </c>
      <c r="AA913" s="26">
        <f t="shared" si="8"/>
        <v>0</v>
      </c>
      <c r="AB913" s="26">
        <f t="shared" si="9"/>
        <v>0</v>
      </c>
      <c r="AC913" s="156">
        <v>0.0</v>
      </c>
      <c r="AD913" s="156">
        <v>0.0</v>
      </c>
      <c r="AE913" s="156">
        <v>0.0</v>
      </c>
      <c r="AF913" s="156">
        <v>0.0</v>
      </c>
      <c r="AG913" s="156">
        <v>0.0</v>
      </c>
      <c r="AH913" s="156">
        <v>0.0</v>
      </c>
      <c r="BN913" s="155">
        <v>0.0</v>
      </c>
      <c r="BO913" s="155">
        <v>0.0</v>
      </c>
      <c r="BP913" s="155">
        <v>0.0</v>
      </c>
      <c r="BQ913" s="155">
        <v>0.0</v>
      </c>
      <c r="BR913" s="155">
        <v>0.0</v>
      </c>
      <c r="BS913" s="155">
        <v>0.0</v>
      </c>
      <c r="CV913" s="156">
        <v>0.0</v>
      </c>
      <c r="CW913" s="156">
        <v>0.0</v>
      </c>
      <c r="CX913" s="156">
        <v>0.0</v>
      </c>
      <c r="CY913" s="156">
        <v>0.0</v>
      </c>
      <c r="CZ913" s="156">
        <v>0.0</v>
      </c>
      <c r="DA913" s="156">
        <v>0.0</v>
      </c>
      <c r="EG913" s="156">
        <v>0.0</v>
      </c>
      <c r="EH913" s="156">
        <v>0.0</v>
      </c>
      <c r="EI913" s="156">
        <v>0.0</v>
      </c>
      <c r="EJ913" s="156">
        <v>0.0</v>
      </c>
      <c r="EK913" s="156">
        <v>0.0</v>
      </c>
      <c r="EL913" s="156">
        <v>0.0</v>
      </c>
      <c r="FQ913" s="156">
        <v>0.0</v>
      </c>
      <c r="FR913" s="156">
        <v>0.0</v>
      </c>
      <c r="FS913" s="156">
        <v>0.0</v>
      </c>
      <c r="FT913" s="156">
        <v>0.0</v>
      </c>
      <c r="FU913" s="156">
        <v>0.0</v>
      </c>
      <c r="FV913" s="156">
        <v>0.0</v>
      </c>
      <c r="FW913" s="157"/>
      <c r="FX913" s="157"/>
      <c r="FY913" s="157"/>
      <c r="FZ913" s="157"/>
      <c r="GA913" s="157"/>
      <c r="GB913" s="157"/>
      <c r="GC913" s="157"/>
      <c r="GD913" s="157"/>
      <c r="GE913" s="157"/>
      <c r="GF913" s="157"/>
      <c r="GG913" s="157"/>
      <c r="GH913" s="157"/>
      <c r="GI913" s="157"/>
      <c r="GJ913" s="157"/>
      <c r="GK913" s="157"/>
      <c r="GL913" s="157"/>
      <c r="GM913" s="157"/>
      <c r="GN913" s="157"/>
      <c r="GO913" s="157"/>
      <c r="GP913" s="158"/>
      <c r="GQ913" s="157"/>
      <c r="GR913" s="157"/>
      <c r="GS913" s="157"/>
      <c r="GT913" s="157"/>
      <c r="GU913" s="157"/>
      <c r="GV913" s="157"/>
      <c r="GW913" s="157"/>
      <c r="GX913" s="157"/>
      <c r="GY913" s="157"/>
      <c r="GZ913" s="157"/>
      <c r="HA913" s="157"/>
      <c r="HB913" s="155">
        <v>0.0</v>
      </c>
      <c r="HC913" s="155">
        <v>0.0</v>
      </c>
      <c r="HD913" s="155">
        <v>0.0</v>
      </c>
      <c r="HE913" s="155">
        <v>0.0</v>
      </c>
      <c r="HF913" s="155">
        <v>0.0</v>
      </c>
      <c r="HG913" s="155">
        <v>0.0</v>
      </c>
      <c r="IL913" s="159">
        <v>0.0</v>
      </c>
      <c r="IM913" s="156">
        <v>0.0</v>
      </c>
      <c r="IN913" s="156">
        <v>0.0</v>
      </c>
      <c r="IO913" s="156">
        <v>0.0</v>
      </c>
      <c r="IP913" s="156">
        <v>0.0</v>
      </c>
      <c r="IQ913" s="160">
        <v>0.0</v>
      </c>
      <c r="JH913" s="25"/>
      <c r="JW913" s="159">
        <v>0.0</v>
      </c>
      <c r="JX913" s="156">
        <v>0.0</v>
      </c>
      <c r="JY913" s="156">
        <v>0.0</v>
      </c>
      <c r="JZ913" s="156">
        <v>0.0</v>
      </c>
      <c r="KA913" s="156">
        <v>0.0</v>
      </c>
      <c r="KB913" s="160">
        <v>0.0</v>
      </c>
      <c r="LH913" s="159">
        <f t="shared" si="10"/>
        <v>0</v>
      </c>
      <c r="LI913" s="156">
        <f t="shared" si="11"/>
        <v>0</v>
      </c>
      <c r="LJ913" s="156">
        <f t="shared" si="12"/>
        <v>0</v>
      </c>
      <c r="LK913" s="156">
        <f t="shared" si="13"/>
        <v>0</v>
      </c>
      <c r="LL913" s="156">
        <f t="shared" si="14"/>
        <v>0</v>
      </c>
      <c r="LM913" s="160">
        <f t="shared" si="15"/>
        <v>0</v>
      </c>
      <c r="QX913" s="633"/>
    </row>
    <row r="914">
      <c r="A914" s="12"/>
      <c r="B914" s="12"/>
      <c r="C914" s="12"/>
      <c r="D914" s="12"/>
      <c r="E914" s="12"/>
      <c r="F914" s="12"/>
      <c r="G914" s="12"/>
      <c r="H914" s="12"/>
      <c r="I914" s="143">
        <f t="shared" si="22"/>
        <v>0</v>
      </c>
      <c r="J914" s="108"/>
      <c r="K914" s="203"/>
      <c r="L914" s="108"/>
      <c r="V914" s="161"/>
      <c r="X914" s="140"/>
      <c r="Y914" s="166">
        <f t="shared" si="23"/>
        <v>0</v>
      </c>
      <c r="Z914" s="26">
        <f t="shared" si="7"/>
        <v>0</v>
      </c>
      <c r="AA914" s="26">
        <f t="shared" si="8"/>
        <v>0</v>
      </c>
      <c r="AB914" s="26">
        <f t="shared" si="9"/>
        <v>0</v>
      </c>
      <c r="AC914" s="156">
        <v>0.0</v>
      </c>
      <c r="AD914" s="156">
        <v>0.0</v>
      </c>
      <c r="AE914" s="156">
        <v>0.0</v>
      </c>
      <c r="AF914" s="156">
        <v>0.0</v>
      </c>
      <c r="AG914" s="156">
        <v>0.0</v>
      </c>
      <c r="AH914" s="156">
        <v>0.0</v>
      </c>
      <c r="BN914" s="155">
        <v>0.0</v>
      </c>
      <c r="BO914" s="155">
        <v>0.0</v>
      </c>
      <c r="BP914" s="155">
        <v>0.0</v>
      </c>
      <c r="BQ914" s="155">
        <v>0.0</v>
      </c>
      <c r="BR914" s="155">
        <v>0.0</v>
      </c>
      <c r="BS914" s="155">
        <v>0.0</v>
      </c>
      <c r="CV914" s="156">
        <v>0.0</v>
      </c>
      <c r="CW914" s="156">
        <v>0.0</v>
      </c>
      <c r="CX914" s="156">
        <v>0.0</v>
      </c>
      <c r="CY914" s="156">
        <v>0.0</v>
      </c>
      <c r="CZ914" s="156">
        <v>0.0</v>
      </c>
      <c r="DA914" s="156">
        <v>0.0</v>
      </c>
      <c r="EG914" s="156">
        <v>0.0</v>
      </c>
      <c r="EH914" s="156">
        <v>0.0</v>
      </c>
      <c r="EI914" s="156">
        <v>0.0</v>
      </c>
      <c r="EJ914" s="156">
        <v>0.0</v>
      </c>
      <c r="EK914" s="156">
        <v>0.0</v>
      </c>
      <c r="EL914" s="156">
        <v>0.0</v>
      </c>
      <c r="FQ914" s="156">
        <v>0.0</v>
      </c>
      <c r="FR914" s="156">
        <v>0.0</v>
      </c>
      <c r="FS914" s="156">
        <v>0.0</v>
      </c>
      <c r="FT914" s="156">
        <v>0.0</v>
      </c>
      <c r="FU914" s="156">
        <v>0.0</v>
      </c>
      <c r="FV914" s="156">
        <v>0.0</v>
      </c>
      <c r="FW914" s="157"/>
      <c r="FX914" s="157"/>
      <c r="FY914" s="157"/>
      <c r="FZ914" s="157"/>
      <c r="GA914" s="157"/>
      <c r="GB914" s="157"/>
      <c r="GC914" s="157"/>
      <c r="GD914" s="157"/>
      <c r="GE914" s="157"/>
      <c r="GF914" s="157"/>
      <c r="GG914" s="157"/>
      <c r="GH914" s="157"/>
      <c r="GI914" s="157"/>
      <c r="GJ914" s="157"/>
      <c r="GK914" s="157"/>
      <c r="GL914" s="157"/>
      <c r="GM914" s="157"/>
      <c r="GN914" s="157"/>
      <c r="GO914" s="157"/>
      <c r="GP914" s="158"/>
      <c r="GQ914" s="157"/>
      <c r="GR914" s="157"/>
      <c r="GS914" s="157"/>
      <c r="GT914" s="157"/>
      <c r="GU914" s="157"/>
      <c r="GV914" s="157"/>
      <c r="GW914" s="157"/>
      <c r="GX914" s="157"/>
      <c r="GY914" s="157"/>
      <c r="GZ914" s="157"/>
      <c r="HA914" s="157"/>
      <c r="HB914" s="155">
        <v>0.0</v>
      </c>
      <c r="HC914" s="155">
        <v>0.0</v>
      </c>
      <c r="HD914" s="155">
        <v>0.0</v>
      </c>
      <c r="HE914" s="155">
        <v>0.0</v>
      </c>
      <c r="HF914" s="155">
        <v>0.0</v>
      </c>
      <c r="HG914" s="155">
        <v>0.0</v>
      </c>
      <c r="IL914" s="159">
        <v>0.0</v>
      </c>
      <c r="IM914" s="156">
        <v>0.0</v>
      </c>
      <c r="IN914" s="156">
        <v>0.0</v>
      </c>
      <c r="IO914" s="156">
        <v>0.0</v>
      </c>
      <c r="IP914" s="156">
        <v>0.0</v>
      </c>
      <c r="IQ914" s="160">
        <v>0.0</v>
      </c>
      <c r="JH914" s="25"/>
      <c r="JW914" s="159">
        <v>0.0</v>
      </c>
      <c r="JX914" s="156">
        <v>0.0</v>
      </c>
      <c r="JY914" s="156">
        <v>0.0</v>
      </c>
      <c r="JZ914" s="156">
        <v>0.0</v>
      </c>
      <c r="KA914" s="156">
        <v>0.0</v>
      </c>
      <c r="KB914" s="160">
        <v>0.0</v>
      </c>
      <c r="LH914" s="159">
        <f t="shared" si="10"/>
        <v>0</v>
      </c>
      <c r="LI914" s="156">
        <f t="shared" si="11"/>
        <v>0</v>
      </c>
      <c r="LJ914" s="156">
        <f t="shared" si="12"/>
        <v>0</v>
      </c>
      <c r="LK914" s="156">
        <f t="shared" si="13"/>
        <v>0</v>
      </c>
      <c r="LL914" s="156">
        <f t="shared" si="14"/>
        <v>0</v>
      </c>
      <c r="LM914" s="160">
        <f t="shared" si="15"/>
        <v>0</v>
      </c>
      <c r="QX914" s="633"/>
    </row>
    <row r="915">
      <c r="A915" s="12"/>
      <c r="B915" s="12"/>
      <c r="C915" s="12"/>
      <c r="D915" s="12"/>
      <c r="E915" s="12"/>
      <c r="F915" s="12"/>
      <c r="G915" s="12"/>
      <c r="H915" s="12"/>
      <c r="I915" s="143">
        <f t="shared" si="22"/>
        <v>0</v>
      </c>
      <c r="J915" s="108"/>
      <c r="K915" s="203"/>
      <c r="L915" s="108"/>
      <c r="V915" s="161"/>
      <c r="X915" s="140"/>
      <c r="Y915" s="166">
        <f t="shared" si="23"/>
        <v>0</v>
      </c>
      <c r="Z915" s="26">
        <f t="shared" si="7"/>
        <v>0</v>
      </c>
      <c r="AA915" s="26">
        <f t="shared" si="8"/>
        <v>0</v>
      </c>
      <c r="AB915" s="26">
        <f t="shared" si="9"/>
        <v>0</v>
      </c>
      <c r="AC915" s="156">
        <v>0.0</v>
      </c>
      <c r="AD915" s="156">
        <v>0.0</v>
      </c>
      <c r="AE915" s="156">
        <v>0.0</v>
      </c>
      <c r="AF915" s="156">
        <v>0.0</v>
      </c>
      <c r="AG915" s="156">
        <v>0.0</v>
      </c>
      <c r="AH915" s="156">
        <v>0.0</v>
      </c>
      <c r="BN915" s="155">
        <v>0.0</v>
      </c>
      <c r="BO915" s="155">
        <v>0.0</v>
      </c>
      <c r="BP915" s="155">
        <v>0.0</v>
      </c>
      <c r="BQ915" s="155">
        <v>0.0</v>
      </c>
      <c r="BR915" s="155">
        <v>0.0</v>
      </c>
      <c r="BS915" s="155">
        <v>0.0</v>
      </c>
      <c r="CV915" s="156">
        <v>0.0</v>
      </c>
      <c r="CW915" s="156">
        <v>0.0</v>
      </c>
      <c r="CX915" s="156">
        <v>0.0</v>
      </c>
      <c r="CY915" s="156">
        <v>0.0</v>
      </c>
      <c r="CZ915" s="156">
        <v>0.0</v>
      </c>
      <c r="DA915" s="156">
        <v>0.0</v>
      </c>
      <c r="EG915" s="156">
        <v>0.0</v>
      </c>
      <c r="EH915" s="156">
        <v>0.0</v>
      </c>
      <c r="EI915" s="156">
        <v>0.0</v>
      </c>
      <c r="EJ915" s="156">
        <v>0.0</v>
      </c>
      <c r="EK915" s="156">
        <v>0.0</v>
      </c>
      <c r="EL915" s="156">
        <v>0.0</v>
      </c>
      <c r="FQ915" s="156">
        <v>0.0</v>
      </c>
      <c r="FR915" s="156">
        <v>0.0</v>
      </c>
      <c r="FS915" s="156">
        <v>0.0</v>
      </c>
      <c r="FT915" s="156">
        <v>0.0</v>
      </c>
      <c r="FU915" s="156">
        <v>0.0</v>
      </c>
      <c r="FV915" s="156">
        <v>0.0</v>
      </c>
      <c r="FW915" s="157"/>
      <c r="FX915" s="157"/>
      <c r="FY915" s="157"/>
      <c r="FZ915" s="157"/>
      <c r="GA915" s="157"/>
      <c r="GB915" s="157"/>
      <c r="GC915" s="157"/>
      <c r="GD915" s="157"/>
      <c r="GE915" s="157"/>
      <c r="GF915" s="157"/>
      <c r="GG915" s="157"/>
      <c r="GH915" s="157"/>
      <c r="GI915" s="157"/>
      <c r="GJ915" s="157"/>
      <c r="GK915" s="157"/>
      <c r="GL915" s="157"/>
      <c r="GM915" s="157"/>
      <c r="GN915" s="157"/>
      <c r="GO915" s="157"/>
      <c r="GP915" s="158"/>
      <c r="GQ915" s="157"/>
      <c r="GR915" s="157"/>
      <c r="GS915" s="157"/>
      <c r="GT915" s="157"/>
      <c r="GU915" s="157"/>
      <c r="GV915" s="157"/>
      <c r="GW915" s="157"/>
      <c r="GX915" s="157"/>
      <c r="GY915" s="157"/>
      <c r="GZ915" s="157"/>
      <c r="HA915" s="157"/>
      <c r="HB915" s="155">
        <v>0.0</v>
      </c>
      <c r="HC915" s="155">
        <v>0.0</v>
      </c>
      <c r="HD915" s="155">
        <v>0.0</v>
      </c>
      <c r="HE915" s="155">
        <v>0.0</v>
      </c>
      <c r="HF915" s="155">
        <v>0.0</v>
      </c>
      <c r="HG915" s="155">
        <v>0.0</v>
      </c>
      <c r="IL915" s="159">
        <v>0.0</v>
      </c>
      <c r="IM915" s="156">
        <v>0.0</v>
      </c>
      <c r="IN915" s="156">
        <v>0.0</v>
      </c>
      <c r="IO915" s="156">
        <v>0.0</v>
      </c>
      <c r="IP915" s="156">
        <v>0.0</v>
      </c>
      <c r="IQ915" s="160">
        <v>0.0</v>
      </c>
      <c r="JH915" s="25"/>
      <c r="JW915" s="159">
        <v>0.0</v>
      </c>
      <c r="JX915" s="156">
        <v>0.0</v>
      </c>
      <c r="JY915" s="156">
        <v>0.0</v>
      </c>
      <c r="JZ915" s="156">
        <v>0.0</v>
      </c>
      <c r="KA915" s="156">
        <v>0.0</v>
      </c>
      <c r="KB915" s="160">
        <v>0.0</v>
      </c>
      <c r="LH915" s="159">
        <f t="shared" si="10"/>
        <v>0</v>
      </c>
      <c r="LI915" s="156">
        <f t="shared" si="11"/>
        <v>0</v>
      </c>
      <c r="LJ915" s="156">
        <f t="shared" si="12"/>
        <v>0</v>
      </c>
      <c r="LK915" s="156">
        <f t="shared" si="13"/>
        <v>0</v>
      </c>
      <c r="LL915" s="156">
        <f t="shared" si="14"/>
        <v>0</v>
      </c>
      <c r="LM915" s="160">
        <f t="shared" si="15"/>
        <v>0</v>
      </c>
      <c r="QX915" s="633"/>
    </row>
    <row r="916">
      <c r="A916" s="12"/>
      <c r="B916" s="12"/>
      <c r="C916" s="12"/>
      <c r="D916" s="12"/>
      <c r="E916" s="12"/>
      <c r="F916" s="12"/>
      <c r="G916" s="12"/>
      <c r="H916" s="12"/>
      <c r="I916" s="143">
        <f t="shared" si="22"/>
        <v>0</v>
      </c>
      <c r="J916" s="108"/>
      <c r="K916" s="203"/>
      <c r="L916" s="108"/>
      <c r="V916" s="161"/>
      <c r="X916" s="140"/>
      <c r="Y916" s="166">
        <f t="shared" si="23"/>
        <v>0</v>
      </c>
      <c r="Z916" s="26">
        <f t="shared" si="7"/>
        <v>0</v>
      </c>
      <c r="AA916" s="26">
        <f t="shared" si="8"/>
        <v>0</v>
      </c>
      <c r="AB916" s="26">
        <f t="shared" si="9"/>
        <v>0</v>
      </c>
      <c r="AC916" s="156">
        <v>0.0</v>
      </c>
      <c r="AD916" s="156">
        <v>0.0</v>
      </c>
      <c r="AE916" s="156">
        <v>0.0</v>
      </c>
      <c r="AF916" s="156">
        <v>0.0</v>
      </c>
      <c r="AG916" s="156">
        <v>0.0</v>
      </c>
      <c r="AH916" s="156">
        <v>0.0</v>
      </c>
      <c r="BN916" s="155">
        <v>0.0</v>
      </c>
      <c r="BO916" s="155">
        <v>0.0</v>
      </c>
      <c r="BP916" s="155">
        <v>0.0</v>
      </c>
      <c r="BQ916" s="155">
        <v>0.0</v>
      </c>
      <c r="BR916" s="155">
        <v>0.0</v>
      </c>
      <c r="BS916" s="155">
        <v>0.0</v>
      </c>
      <c r="CV916" s="156">
        <v>0.0</v>
      </c>
      <c r="CW916" s="156">
        <v>0.0</v>
      </c>
      <c r="CX916" s="156">
        <v>0.0</v>
      </c>
      <c r="CY916" s="156">
        <v>0.0</v>
      </c>
      <c r="CZ916" s="156">
        <v>0.0</v>
      </c>
      <c r="DA916" s="156">
        <v>0.0</v>
      </c>
      <c r="EG916" s="156">
        <v>0.0</v>
      </c>
      <c r="EH916" s="156">
        <v>0.0</v>
      </c>
      <c r="EI916" s="156">
        <v>0.0</v>
      </c>
      <c r="EJ916" s="156">
        <v>0.0</v>
      </c>
      <c r="EK916" s="156">
        <v>0.0</v>
      </c>
      <c r="EL916" s="156">
        <v>0.0</v>
      </c>
      <c r="FQ916" s="156">
        <v>0.0</v>
      </c>
      <c r="FR916" s="156">
        <v>0.0</v>
      </c>
      <c r="FS916" s="156">
        <v>0.0</v>
      </c>
      <c r="FT916" s="156">
        <v>0.0</v>
      </c>
      <c r="FU916" s="156">
        <v>0.0</v>
      </c>
      <c r="FV916" s="156">
        <v>0.0</v>
      </c>
      <c r="FW916" s="157"/>
      <c r="FX916" s="157"/>
      <c r="FY916" s="157"/>
      <c r="FZ916" s="157"/>
      <c r="GA916" s="157"/>
      <c r="GB916" s="157"/>
      <c r="GC916" s="157"/>
      <c r="GD916" s="157"/>
      <c r="GE916" s="157"/>
      <c r="GF916" s="157"/>
      <c r="GG916" s="157"/>
      <c r="GH916" s="157"/>
      <c r="GI916" s="157"/>
      <c r="GJ916" s="157"/>
      <c r="GK916" s="157"/>
      <c r="GL916" s="157"/>
      <c r="GM916" s="157"/>
      <c r="GN916" s="157"/>
      <c r="GO916" s="157"/>
      <c r="GP916" s="158"/>
      <c r="GQ916" s="157"/>
      <c r="GR916" s="157"/>
      <c r="GS916" s="157"/>
      <c r="GT916" s="157"/>
      <c r="GU916" s="157"/>
      <c r="GV916" s="157"/>
      <c r="GW916" s="157"/>
      <c r="GX916" s="157"/>
      <c r="GY916" s="157"/>
      <c r="GZ916" s="157"/>
      <c r="HA916" s="157"/>
      <c r="HB916" s="155">
        <v>0.0</v>
      </c>
      <c r="HC916" s="155">
        <v>0.0</v>
      </c>
      <c r="HD916" s="155">
        <v>0.0</v>
      </c>
      <c r="HE916" s="155">
        <v>0.0</v>
      </c>
      <c r="HF916" s="155">
        <v>0.0</v>
      </c>
      <c r="HG916" s="155">
        <v>0.0</v>
      </c>
      <c r="IL916" s="159">
        <v>0.0</v>
      </c>
      <c r="IM916" s="156">
        <v>0.0</v>
      </c>
      <c r="IN916" s="156">
        <v>0.0</v>
      </c>
      <c r="IO916" s="156">
        <v>0.0</v>
      </c>
      <c r="IP916" s="156">
        <v>0.0</v>
      </c>
      <c r="IQ916" s="160">
        <v>0.0</v>
      </c>
      <c r="JH916" s="25"/>
      <c r="JW916" s="159">
        <v>0.0</v>
      </c>
      <c r="JX916" s="156">
        <v>0.0</v>
      </c>
      <c r="JY916" s="156">
        <v>0.0</v>
      </c>
      <c r="JZ916" s="156">
        <v>0.0</v>
      </c>
      <c r="KA916" s="156">
        <v>0.0</v>
      </c>
      <c r="KB916" s="160">
        <v>0.0</v>
      </c>
      <c r="LH916" s="159">
        <f t="shared" si="10"/>
        <v>0</v>
      </c>
      <c r="LI916" s="156">
        <f t="shared" si="11"/>
        <v>0</v>
      </c>
      <c r="LJ916" s="156">
        <f t="shared" si="12"/>
        <v>0</v>
      </c>
      <c r="LK916" s="156">
        <f t="shared" si="13"/>
        <v>0</v>
      </c>
      <c r="LL916" s="156">
        <f t="shared" si="14"/>
        <v>0</v>
      </c>
      <c r="LM916" s="160">
        <f t="shared" si="15"/>
        <v>0</v>
      </c>
      <c r="QX916" s="633"/>
    </row>
    <row r="917">
      <c r="A917" s="12"/>
      <c r="B917" s="12"/>
      <c r="C917" s="12"/>
      <c r="D917" s="12"/>
      <c r="E917" s="12"/>
      <c r="F917" s="12"/>
      <c r="G917" s="12"/>
      <c r="H917" s="12"/>
      <c r="I917" s="143">
        <f t="shared" si="22"/>
        <v>0</v>
      </c>
      <c r="J917" s="108"/>
      <c r="K917" s="203"/>
      <c r="L917" s="108"/>
      <c r="V917" s="161"/>
      <c r="X917" s="140"/>
      <c r="Y917" s="166">
        <f t="shared" si="23"/>
        <v>0</v>
      </c>
      <c r="Z917" s="26">
        <f t="shared" si="7"/>
        <v>0</v>
      </c>
      <c r="AA917" s="26">
        <f t="shared" si="8"/>
        <v>0</v>
      </c>
      <c r="AB917" s="26">
        <f t="shared" si="9"/>
        <v>0</v>
      </c>
      <c r="AC917" s="156">
        <v>0.0</v>
      </c>
      <c r="AD917" s="156">
        <v>0.0</v>
      </c>
      <c r="AE917" s="156">
        <v>0.0</v>
      </c>
      <c r="AF917" s="156">
        <v>0.0</v>
      </c>
      <c r="AG917" s="156">
        <v>0.0</v>
      </c>
      <c r="AH917" s="156">
        <v>0.0</v>
      </c>
      <c r="BN917" s="155">
        <v>0.0</v>
      </c>
      <c r="BO917" s="155">
        <v>0.0</v>
      </c>
      <c r="BP917" s="155">
        <v>0.0</v>
      </c>
      <c r="BQ917" s="155">
        <v>0.0</v>
      </c>
      <c r="BR917" s="155">
        <v>0.0</v>
      </c>
      <c r="BS917" s="155">
        <v>0.0</v>
      </c>
      <c r="CV917" s="156">
        <v>0.0</v>
      </c>
      <c r="CW917" s="156">
        <v>0.0</v>
      </c>
      <c r="CX917" s="156">
        <v>0.0</v>
      </c>
      <c r="CY917" s="156">
        <v>0.0</v>
      </c>
      <c r="CZ917" s="156">
        <v>0.0</v>
      </c>
      <c r="DA917" s="156">
        <v>0.0</v>
      </c>
      <c r="EG917" s="156">
        <v>0.0</v>
      </c>
      <c r="EH917" s="156">
        <v>0.0</v>
      </c>
      <c r="EI917" s="156">
        <v>0.0</v>
      </c>
      <c r="EJ917" s="156">
        <v>0.0</v>
      </c>
      <c r="EK917" s="156">
        <v>0.0</v>
      </c>
      <c r="EL917" s="156">
        <v>0.0</v>
      </c>
      <c r="FQ917" s="156">
        <v>0.0</v>
      </c>
      <c r="FR917" s="156">
        <v>0.0</v>
      </c>
      <c r="FS917" s="156">
        <v>0.0</v>
      </c>
      <c r="FT917" s="156">
        <v>0.0</v>
      </c>
      <c r="FU917" s="156">
        <v>0.0</v>
      </c>
      <c r="FV917" s="156">
        <v>0.0</v>
      </c>
      <c r="FW917" s="157"/>
      <c r="FX917" s="157"/>
      <c r="FY917" s="157"/>
      <c r="FZ917" s="157"/>
      <c r="GA917" s="157"/>
      <c r="GB917" s="157"/>
      <c r="GC917" s="157"/>
      <c r="GD917" s="157"/>
      <c r="GE917" s="157"/>
      <c r="GF917" s="157"/>
      <c r="GG917" s="157"/>
      <c r="GH917" s="157"/>
      <c r="GI917" s="157"/>
      <c r="GJ917" s="157"/>
      <c r="GK917" s="157"/>
      <c r="GL917" s="157"/>
      <c r="GM917" s="157"/>
      <c r="GN917" s="157"/>
      <c r="GO917" s="157"/>
      <c r="GP917" s="158"/>
      <c r="GQ917" s="157"/>
      <c r="GR917" s="157"/>
      <c r="GS917" s="157"/>
      <c r="GT917" s="157"/>
      <c r="GU917" s="157"/>
      <c r="GV917" s="157"/>
      <c r="GW917" s="157"/>
      <c r="GX917" s="157"/>
      <c r="GY917" s="157"/>
      <c r="GZ917" s="157"/>
      <c r="HA917" s="157"/>
      <c r="HB917" s="155">
        <v>0.0</v>
      </c>
      <c r="HC917" s="155">
        <v>0.0</v>
      </c>
      <c r="HD917" s="155">
        <v>0.0</v>
      </c>
      <c r="HE917" s="155">
        <v>0.0</v>
      </c>
      <c r="HF917" s="155">
        <v>0.0</v>
      </c>
      <c r="HG917" s="155">
        <v>0.0</v>
      </c>
      <c r="IL917" s="159">
        <v>0.0</v>
      </c>
      <c r="IM917" s="156">
        <v>0.0</v>
      </c>
      <c r="IN917" s="156">
        <v>0.0</v>
      </c>
      <c r="IO917" s="156">
        <v>0.0</v>
      </c>
      <c r="IP917" s="156">
        <v>0.0</v>
      </c>
      <c r="IQ917" s="160">
        <v>0.0</v>
      </c>
      <c r="JH917" s="25"/>
      <c r="JW917" s="159">
        <v>0.0</v>
      </c>
      <c r="JX917" s="156">
        <v>0.0</v>
      </c>
      <c r="JY917" s="156">
        <v>0.0</v>
      </c>
      <c r="JZ917" s="156">
        <v>0.0</v>
      </c>
      <c r="KA917" s="156">
        <v>0.0</v>
      </c>
      <c r="KB917" s="160">
        <v>0.0</v>
      </c>
      <c r="LH917" s="159">
        <f t="shared" si="10"/>
        <v>0</v>
      </c>
      <c r="LI917" s="156">
        <f t="shared" si="11"/>
        <v>0</v>
      </c>
      <c r="LJ917" s="156">
        <f t="shared" si="12"/>
        <v>0</v>
      </c>
      <c r="LK917" s="156">
        <f t="shared" si="13"/>
        <v>0</v>
      </c>
      <c r="LL917" s="156">
        <f t="shared" si="14"/>
        <v>0</v>
      </c>
      <c r="LM917" s="160">
        <f t="shared" si="15"/>
        <v>0</v>
      </c>
      <c r="QX917" s="633"/>
    </row>
    <row r="918">
      <c r="A918" s="12"/>
      <c r="B918" s="12"/>
      <c r="C918" s="12"/>
      <c r="D918" s="12"/>
      <c r="E918" s="12"/>
      <c r="F918" s="12"/>
      <c r="G918" s="12"/>
      <c r="H918" s="12"/>
      <c r="I918" s="143">
        <f t="shared" si="22"/>
        <v>0</v>
      </c>
      <c r="J918" s="108"/>
      <c r="K918" s="203"/>
      <c r="L918" s="108"/>
      <c r="V918" s="161"/>
      <c r="X918" s="140"/>
      <c r="Y918" s="166">
        <f t="shared" si="23"/>
        <v>0</v>
      </c>
      <c r="Z918" s="26">
        <f t="shared" si="7"/>
        <v>0</v>
      </c>
      <c r="AA918" s="26">
        <f t="shared" si="8"/>
        <v>0</v>
      </c>
      <c r="AB918" s="26">
        <f t="shared" si="9"/>
        <v>0</v>
      </c>
      <c r="AC918" s="156">
        <v>0.0</v>
      </c>
      <c r="AD918" s="156">
        <v>0.0</v>
      </c>
      <c r="AE918" s="156">
        <v>0.0</v>
      </c>
      <c r="AF918" s="156">
        <v>0.0</v>
      </c>
      <c r="AG918" s="156">
        <v>0.0</v>
      </c>
      <c r="AH918" s="156">
        <v>0.0</v>
      </c>
      <c r="BN918" s="155">
        <v>0.0</v>
      </c>
      <c r="BO918" s="155">
        <v>0.0</v>
      </c>
      <c r="BP918" s="155">
        <v>0.0</v>
      </c>
      <c r="BQ918" s="155">
        <v>0.0</v>
      </c>
      <c r="BR918" s="155">
        <v>0.0</v>
      </c>
      <c r="BS918" s="155">
        <v>0.0</v>
      </c>
      <c r="CV918" s="156">
        <v>0.0</v>
      </c>
      <c r="CW918" s="156">
        <v>0.0</v>
      </c>
      <c r="CX918" s="156">
        <v>0.0</v>
      </c>
      <c r="CY918" s="156">
        <v>0.0</v>
      </c>
      <c r="CZ918" s="156">
        <v>0.0</v>
      </c>
      <c r="DA918" s="156">
        <v>0.0</v>
      </c>
      <c r="EG918" s="156">
        <v>0.0</v>
      </c>
      <c r="EH918" s="156">
        <v>0.0</v>
      </c>
      <c r="EI918" s="156">
        <v>0.0</v>
      </c>
      <c r="EJ918" s="156">
        <v>0.0</v>
      </c>
      <c r="EK918" s="156">
        <v>0.0</v>
      </c>
      <c r="EL918" s="156">
        <v>0.0</v>
      </c>
      <c r="FQ918" s="156">
        <v>0.0</v>
      </c>
      <c r="FR918" s="156">
        <v>0.0</v>
      </c>
      <c r="FS918" s="156">
        <v>0.0</v>
      </c>
      <c r="FT918" s="156">
        <v>0.0</v>
      </c>
      <c r="FU918" s="156">
        <v>0.0</v>
      </c>
      <c r="FV918" s="156">
        <v>0.0</v>
      </c>
      <c r="FW918" s="157"/>
      <c r="FX918" s="157"/>
      <c r="FY918" s="157"/>
      <c r="FZ918" s="157"/>
      <c r="GA918" s="157"/>
      <c r="GB918" s="157"/>
      <c r="GC918" s="157"/>
      <c r="GD918" s="157"/>
      <c r="GE918" s="157"/>
      <c r="GF918" s="157"/>
      <c r="GG918" s="157"/>
      <c r="GH918" s="157"/>
      <c r="GI918" s="157"/>
      <c r="GJ918" s="157"/>
      <c r="GK918" s="157"/>
      <c r="GL918" s="157"/>
      <c r="GM918" s="157"/>
      <c r="GN918" s="157"/>
      <c r="GO918" s="157"/>
      <c r="GP918" s="158"/>
      <c r="GQ918" s="157"/>
      <c r="GR918" s="157"/>
      <c r="GS918" s="157"/>
      <c r="GT918" s="157"/>
      <c r="GU918" s="157"/>
      <c r="GV918" s="157"/>
      <c r="GW918" s="157"/>
      <c r="GX918" s="157"/>
      <c r="GY918" s="157"/>
      <c r="GZ918" s="157"/>
      <c r="HA918" s="157"/>
      <c r="HB918" s="155">
        <v>0.0</v>
      </c>
      <c r="HC918" s="155">
        <v>0.0</v>
      </c>
      <c r="HD918" s="155">
        <v>0.0</v>
      </c>
      <c r="HE918" s="155">
        <v>0.0</v>
      </c>
      <c r="HF918" s="155">
        <v>0.0</v>
      </c>
      <c r="HG918" s="155">
        <v>0.0</v>
      </c>
      <c r="IL918" s="159">
        <v>0.0</v>
      </c>
      <c r="IM918" s="156">
        <v>0.0</v>
      </c>
      <c r="IN918" s="156">
        <v>0.0</v>
      </c>
      <c r="IO918" s="156">
        <v>0.0</v>
      </c>
      <c r="IP918" s="156">
        <v>0.0</v>
      </c>
      <c r="IQ918" s="160">
        <v>0.0</v>
      </c>
      <c r="JH918" s="25"/>
      <c r="JW918" s="159">
        <v>0.0</v>
      </c>
      <c r="JX918" s="156">
        <v>0.0</v>
      </c>
      <c r="JY918" s="156">
        <v>0.0</v>
      </c>
      <c r="JZ918" s="156">
        <v>0.0</v>
      </c>
      <c r="KA918" s="156">
        <v>0.0</v>
      </c>
      <c r="KB918" s="160">
        <v>0.0</v>
      </c>
      <c r="LH918" s="159">
        <f t="shared" si="10"/>
        <v>0</v>
      </c>
      <c r="LI918" s="156">
        <f t="shared" si="11"/>
        <v>0</v>
      </c>
      <c r="LJ918" s="156">
        <f t="shared" si="12"/>
        <v>0</v>
      </c>
      <c r="LK918" s="156">
        <f t="shared" si="13"/>
        <v>0</v>
      </c>
      <c r="LL918" s="156">
        <f t="shared" si="14"/>
        <v>0</v>
      </c>
      <c r="LM918" s="160">
        <f t="shared" si="15"/>
        <v>0</v>
      </c>
      <c r="QX918" s="633"/>
    </row>
    <row r="919">
      <c r="A919" s="12"/>
      <c r="B919" s="12"/>
      <c r="C919" s="12"/>
      <c r="D919" s="12"/>
      <c r="E919" s="12"/>
      <c r="F919" s="12"/>
      <c r="G919" s="12"/>
      <c r="H919" s="12"/>
      <c r="I919" s="143">
        <f t="shared" si="22"/>
        <v>0</v>
      </c>
      <c r="J919" s="108"/>
      <c r="K919" s="203"/>
      <c r="L919" s="108"/>
      <c r="V919" s="161"/>
      <c r="X919" s="140"/>
      <c r="Y919" s="166">
        <f t="shared" si="23"/>
        <v>0</v>
      </c>
      <c r="Z919" s="26">
        <f t="shared" si="7"/>
        <v>0</v>
      </c>
      <c r="AA919" s="26">
        <f t="shared" si="8"/>
        <v>0</v>
      </c>
      <c r="AB919" s="26">
        <f t="shared" si="9"/>
        <v>0</v>
      </c>
      <c r="AC919" s="156">
        <v>0.0</v>
      </c>
      <c r="AD919" s="156">
        <v>0.0</v>
      </c>
      <c r="AE919" s="156">
        <v>0.0</v>
      </c>
      <c r="AF919" s="156">
        <v>0.0</v>
      </c>
      <c r="AG919" s="156">
        <v>0.0</v>
      </c>
      <c r="AH919" s="156">
        <v>0.0</v>
      </c>
      <c r="BN919" s="155">
        <v>0.0</v>
      </c>
      <c r="BO919" s="155">
        <v>0.0</v>
      </c>
      <c r="BP919" s="155">
        <v>0.0</v>
      </c>
      <c r="BQ919" s="155">
        <v>0.0</v>
      </c>
      <c r="BR919" s="155">
        <v>0.0</v>
      </c>
      <c r="BS919" s="155">
        <v>0.0</v>
      </c>
      <c r="CV919" s="156">
        <v>0.0</v>
      </c>
      <c r="CW919" s="156">
        <v>0.0</v>
      </c>
      <c r="CX919" s="156">
        <v>0.0</v>
      </c>
      <c r="CY919" s="156">
        <v>0.0</v>
      </c>
      <c r="CZ919" s="156">
        <v>0.0</v>
      </c>
      <c r="DA919" s="156">
        <v>0.0</v>
      </c>
      <c r="EG919" s="156">
        <v>0.0</v>
      </c>
      <c r="EH919" s="156">
        <v>0.0</v>
      </c>
      <c r="EI919" s="156">
        <v>0.0</v>
      </c>
      <c r="EJ919" s="156">
        <v>0.0</v>
      </c>
      <c r="EK919" s="156">
        <v>0.0</v>
      </c>
      <c r="EL919" s="156">
        <v>0.0</v>
      </c>
      <c r="FQ919" s="156">
        <v>0.0</v>
      </c>
      <c r="FR919" s="156">
        <v>0.0</v>
      </c>
      <c r="FS919" s="156">
        <v>0.0</v>
      </c>
      <c r="FT919" s="156">
        <v>0.0</v>
      </c>
      <c r="FU919" s="156">
        <v>0.0</v>
      </c>
      <c r="FV919" s="156">
        <v>0.0</v>
      </c>
      <c r="FW919" s="157"/>
      <c r="FX919" s="157"/>
      <c r="FY919" s="157"/>
      <c r="FZ919" s="157"/>
      <c r="GA919" s="157"/>
      <c r="GB919" s="157"/>
      <c r="GC919" s="157"/>
      <c r="GD919" s="157"/>
      <c r="GE919" s="157"/>
      <c r="GF919" s="157"/>
      <c r="GG919" s="157"/>
      <c r="GH919" s="157"/>
      <c r="GI919" s="157"/>
      <c r="GJ919" s="157"/>
      <c r="GK919" s="157"/>
      <c r="GL919" s="157"/>
      <c r="GM919" s="157"/>
      <c r="GN919" s="157"/>
      <c r="GO919" s="157"/>
      <c r="GP919" s="158"/>
      <c r="GQ919" s="157"/>
      <c r="GR919" s="157"/>
      <c r="GS919" s="157"/>
      <c r="GT919" s="157"/>
      <c r="GU919" s="157"/>
      <c r="GV919" s="157"/>
      <c r="GW919" s="157"/>
      <c r="GX919" s="157"/>
      <c r="GY919" s="157"/>
      <c r="GZ919" s="157"/>
      <c r="HA919" s="157"/>
      <c r="HB919" s="155">
        <v>0.0</v>
      </c>
      <c r="HC919" s="155">
        <v>0.0</v>
      </c>
      <c r="HD919" s="155">
        <v>0.0</v>
      </c>
      <c r="HE919" s="155">
        <v>0.0</v>
      </c>
      <c r="HF919" s="155">
        <v>0.0</v>
      </c>
      <c r="HG919" s="155">
        <v>0.0</v>
      </c>
      <c r="IL919" s="159">
        <v>0.0</v>
      </c>
      <c r="IM919" s="156">
        <v>0.0</v>
      </c>
      <c r="IN919" s="156">
        <v>0.0</v>
      </c>
      <c r="IO919" s="156">
        <v>0.0</v>
      </c>
      <c r="IP919" s="156">
        <v>0.0</v>
      </c>
      <c r="IQ919" s="160">
        <v>0.0</v>
      </c>
      <c r="JH919" s="25"/>
      <c r="JW919" s="159">
        <v>0.0</v>
      </c>
      <c r="JX919" s="156">
        <v>0.0</v>
      </c>
      <c r="JY919" s="156">
        <v>0.0</v>
      </c>
      <c r="JZ919" s="156">
        <v>0.0</v>
      </c>
      <c r="KA919" s="156">
        <v>0.0</v>
      </c>
      <c r="KB919" s="160">
        <v>0.0</v>
      </c>
      <c r="LH919" s="159">
        <f t="shared" si="10"/>
        <v>0</v>
      </c>
      <c r="LI919" s="156">
        <f t="shared" si="11"/>
        <v>0</v>
      </c>
      <c r="LJ919" s="156">
        <f t="shared" si="12"/>
        <v>0</v>
      </c>
      <c r="LK919" s="156">
        <f t="shared" si="13"/>
        <v>0</v>
      </c>
      <c r="LL919" s="156">
        <f t="shared" si="14"/>
        <v>0</v>
      </c>
      <c r="LM919" s="160">
        <f t="shared" si="15"/>
        <v>0</v>
      </c>
      <c r="QX919" s="633"/>
    </row>
    <row r="920">
      <c r="A920" s="12"/>
      <c r="B920" s="12"/>
      <c r="C920" s="12"/>
      <c r="D920" s="12"/>
      <c r="E920" s="12"/>
      <c r="F920" s="12"/>
      <c r="G920" s="12"/>
      <c r="H920" s="12"/>
      <c r="I920" s="143">
        <f t="shared" si="22"/>
        <v>0</v>
      </c>
      <c r="J920" s="108"/>
      <c r="K920" s="203"/>
      <c r="L920" s="108"/>
      <c r="V920" s="161"/>
      <c r="X920" s="140"/>
      <c r="Y920" s="166">
        <f t="shared" si="23"/>
        <v>0</v>
      </c>
      <c r="Z920" s="26">
        <f t="shared" si="7"/>
        <v>0</v>
      </c>
      <c r="AA920" s="26">
        <f t="shared" si="8"/>
        <v>0</v>
      </c>
      <c r="AB920" s="26">
        <f t="shared" si="9"/>
        <v>0</v>
      </c>
      <c r="AC920" s="156">
        <v>0.0</v>
      </c>
      <c r="AD920" s="156">
        <v>0.0</v>
      </c>
      <c r="AE920" s="156">
        <v>0.0</v>
      </c>
      <c r="AF920" s="156">
        <v>0.0</v>
      </c>
      <c r="AG920" s="156">
        <v>0.0</v>
      </c>
      <c r="AH920" s="156">
        <v>0.0</v>
      </c>
      <c r="BN920" s="155">
        <v>0.0</v>
      </c>
      <c r="BO920" s="155">
        <v>0.0</v>
      </c>
      <c r="BP920" s="155">
        <v>0.0</v>
      </c>
      <c r="BQ920" s="155">
        <v>0.0</v>
      </c>
      <c r="BR920" s="155">
        <v>0.0</v>
      </c>
      <c r="BS920" s="155">
        <v>0.0</v>
      </c>
      <c r="CV920" s="156">
        <v>0.0</v>
      </c>
      <c r="CW920" s="156">
        <v>0.0</v>
      </c>
      <c r="CX920" s="156">
        <v>0.0</v>
      </c>
      <c r="CY920" s="156">
        <v>0.0</v>
      </c>
      <c r="CZ920" s="156">
        <v>0.0</v>
      </c>
      <c r="DA920" s="156">
        <v>0.0</v>
      </c>
      <c r="EG920" s="156">
        <v>0.0</v>
      </c>
      <c r="EH920" s="156">
        <v>0.0</v>
      </c>
      <c r="EI920" s="156">
        <v>0.0</v>
      </c>
      <c r="EJ920" s="156">
        <v>0.0</v>
      </c>
      <c r="EK920" s="156">
        <v>0.0</v>
      </c>
      <c r="EL920" s="156">
        <v>0.0</v>
      </c>
      <c r="FQ920" s="156">
        <v>0.0</v>
      </c>
      <c r="FR920" s="156">
        <v>0.0</v>
      </c>
      <c r="FS920" s="156">
        <v>0.0</v>
      </c>
      <c r="FT920" s="156">
        <v>0.0</v>
      </c>
      <c r="FU920" s="156">
        <v>0.0</v>
      </c>
      <c r="FV920" s="156">
        <v>0.0</v>
      </c>
      <c r="FW920" s="157"/>
      <c r="FX920" s="157"/>
      <c r="FY920" s="157"/>
      <c r="FZ920" s="157"/>
      <c r="GA920" s="157"/>
      <c r="GB920" s="157"/>
      <c r="GC920" s="157"/>
      <c r="GD920" s="157"/>
      <c r="GE920" s="157"/>
      <c r="GF920" s="157"/>
      <c r="GG920" s="157"/>
      <c r="GH920" s="157"/>
      <c r="GI920" s="157"/>
      <c r="GJ920" s="157"/>
      <c r="GK920" s="157"/>
      <c r="GL920" s="157"/>
      <c r="GM920" s="157"/>
      <c r="GN920" s="157"/>
      <c r="GO920" s="157"/>
      <c r="GP920" s="158"/>
      <c r="GQ920" s="157"/>
      <c r="GR920" s="157"/>
      <c r="GS920" s="157"/>
      <c r="GT920" s="157"/>
      <c r="GU920" s="157"/>
      <c r="GV920" s="157"/>
      <c r="GW920" s="157"/>
      <c r="GX920" s="157"/>
      <c r="GY920" s="157"/>
      <c r="GZ920" s="157"/>
      <c r="HA920" s="157"/>
      <c r="HB920" s="155">
        <v>0.0</v>
      </c>
      <c r="HC920" s="155">
        <v>0.0</v>
      </c>
      <c r="HD920" s="155">
        <v>0.0</v>
      </c>
      <c r="HE920" s="155">
        <v>0.0</v>
      </c>
      <c r="HF920" s="155">
        <v>0.0</v>
      </c>
      <c r="HG920" s="155">
        <v>0.0</v>
      </c>
      <c r="IL920" s="159">
        <v>0.0</v>
      </c>
      <c r="IM920" s="156">
        <v>0.0</v>
      </c>
      <c r="IN920" s="156">
        <v>0.0</v>
      </c>
      <c r="IO920" s="156">
        <v>0.0</v>
      </c>
      <c r="IP920" s="156">
        <v>0.0</v>
      </c>
      <c r="IQ920" s="160">
        <v>0.0</v>
      </c>
      <c r="JH920" s="25"/>
      <c r="JW920" s="159">
        <v>0.0</v>
      </c>
      <c r="JX920" s="156">
        <v>0.0</v>
      </c>
      <c r="JY920" s="156">
        <v>0.0</v>
      </c>
      <c r="JZ920" s="156">
        <v>0.0</v>
      </c>
      <c r="KA920" s="156">
        <v>0.0</v>
      </c>
      <c r="KB920" s="160">
        <v>0.0</v>
      </c>
      <c r="LH920" s="159">
        <f t="shared" si="10"/>
        <v>0</v>
      </c>
      <c r="LI920" s="156">
        <f t="shared" si="11"/>
        <v>0</v>
      </c>
      <c r="LJ920" s="156">
        <f t="shared" si="12"/>
        <v>0</v>
      </c>
      <c r="LK920" s="156">
        <f t="shared" si="13"/>
        <v>0</v>
      </c>
      <c r="LL920" s="156">
        <f t="shared" si="14"/>
        <v>0</v>
      </c>
      <c r="LM920" s="160">
        <f t="shared" si="15"/>
        <v>0</v>
      </c>
      <c r="QX920" s="633"/>
    </row>
    <row r="921">
      <c r="A921" s="12"/>
      <c r="B921" s="12"/>
      <c r="C921" s="12"/>
      <c r="D921" s="12"/>
      <c r="E921" s="12"/>
      <c r="F921" s="12"/>
      <c r="G921" s="12"/>
      <c r="H921" s="12"/>
      <c r="I921" s="143">
        <f t="shared" si="22"/>
        <v>0</v>
      </c>
      <c r="J921" s="108"/>
      <c r="K921" s="203"/>
      <c r="L921" s="108"/>
      <c r="V921" s="161"/>
      <c r="X921" s="140"/>
      <c r="Y921" s="166">
        <f t="shared" si="23"/>
        <v>0</v>
      </c>
      <c r="Z921" s="26">
        <f t="shared" si="7"/>
        <v>0</v>
      </c>
      <c r="AA921" s="26">
        <f t="shared" si="8"/>
        <v>0</v>
      </c>
      <c r="AB921" s="26">
        <f t="shared" si="9"/>
        <v>0</v>
      </c>
      <c r="AC921" s="156">
        <v>0.0</v>
      </c>
      <c r="AD921" s="156">
        <v>0.0</v>
      </c>
      <c r="AE921" s="156">
        <v>0.0</v>
      </c>
      <c r="AF921" s="156">
        <v>0.0</v>
      </c>
      <c r="AG921" s="156">
        <v>0.0</v>
      </c>
      <c r="AH921" s="156">
        <v>0.0</v>
      </c>
      <c r="BN921" s="155">
        <v>0.0</v>
      </c>
      <c r="BO921" s="155">
        <v>0.0</v>
      </c>
      <c r="BP921" s="155">
        <v>0.0</v>
      </c>
      <c r="BQ921" s="155">
        <v>0.0</v>
      </c>
      <c r="BR921" s="155">
        <v>0.0</v>
      </c>
      <c r="BS921" s="155">
        <v>0.0</v>
      </c>
      <c r="CV921" s="156">
        <v>0.0</v>
      </c>
      <c r="CW921" s="156">
        <v>0.0</v>
      </c>
      <c r="CX921" s="156">
        <v>0.0</v>
      </c>
      <c r="CY921" s="156">
        <v>0.0</v>
      </c>
      <c r="CZ921" s="156">
        <v>0.0</v>
      </c>
      <c r="DA921" s="156">
        <v>0.0</v>
      </c>
      <c r="EG921" s="156">
        <v>0.0</v>
      </c>
      <c r="EH921" s="156">
        <v>0.0</v>
      </c>
      <c r="EI921" s="156">
        <v>0.0</v>
      </c>
      <c r="EJ921" s="156">
        <v>0.0</v>
      </c>
      <c r="EK921" s="156">
        <v>0.0</v>
      </c>
      <c r="EL921" s="156">
        <v>0.0</v>
      </c>
      <c r="FQ921" s="156">
        <v>0.0</v>
      </c>
      <c r="FR921" s="156">
        <v>0.0</v>
      </c>
      <c r="FS921" s="156">
        <v>0.0</v>
      </c>
      <c r="FT921" s="156">
        <v>0.0</v>
      </c>
      <c r="FU921" s="156">
        <v>0.0</v>
      </c>
      <c r="FV921" s="156">
        <v>0.0</v>
      </c>
      <c r="FW921" s="157"/>
      <c r="FX921" s="157"/>
      <c r="FY921" s="157"/>
      <c r="FZ921" s="157"/>
      <c r="GA921" s="157"/>
      <c r="GB921" s="157"/>
      <c r="GC921" s="157"/>
      <c r="GD921" s="157"/>
      <c r="GE921" s="157"/>
      <c r="GF921" s="157"/>
      <c r="GG921" s="157"/>
      <c r="GH921" s="157"/>
      <c r="GI921" s="157"/>
      <c r="GJ921" s="157"/>
      <c r="GK921" s="157"/>
      <c r="GL921" s="157"/>
      <c r="GM921" s="157"/>
      <c r="GN921" s="157"/>
      <c r="GO921" s="157"/>
      <c r="GP921" s="158"/>
      <c r="GQ921" s="157"/>
      <c r="GR921" s="157"/>
      <c r="GS921" s="157"/>
      <c r="GT921" s="157"/>
      <c r="GU921" s="157"/>
      <c r="GV921" s="157"/>
      <c r="GW921" s="157"/>
      <c r="GX921" s="157"/>
      <c r="GY921" s="157"/>
      <c r="GZ921" s="157"/>
      <c r="HA921" s="157"/>
      <c r="HB921" s="155">
        <v>0.0</v>
      </c>
      <c r="HC921" s="155">
        <v>0.0</v>
      </c>
      <c r="HD921" s="155">
        <v>0.0</v>
      </c>
      <c r="HE921" s="155">
        <v>0.0</v>
      </c>
      <c r="HF921" s="155">
        <v>0.0</v>
      </c>
      <c r="HG921" s="155">
        <v>0.0</v>
      </c>
      <c r="IL921" s="159">
        <v>0.0</v>
      </c>
      <c r="IM921" s="156">
        <v>0.0</v>
      </c>
      <c r="IN921" s="156">
        <v>0.0</v>
      </c>
      <c r="IO921" s="156">
        <v>0.0</v>
      </c>
      <c r="IP921" s="156">
        <v>0.0</v>
      </c>
      <c r="IQ921" s="160">
        <v>0.0</v>
      </c>
      <c r="JH921" s="25"/>
      <c r="JW921" s="159">
        <v>0.0</v>
      </c>
      <c r="JX921" s="156">
        <v>0.0</v>
      </c>
      <c r="JY921" s="156">
        <v>0.0</v>
      </c>
      <c r="JZ921" s="156">
        <v>0.0</v>
      </c>
      <c r="KA921" s="156">
        <v>0.0</v>
      </c>
      <c r="KB921" s="160">
        <v>0.0</v>
      </c>
      <c r="LH921" s="159">
        <f t="shared" si="10"/>
        <v>0</v>
      </c>
      <c r="LI921" s="156">
        <f t="shared" si="11"/>
        <v>0</v>
      </c>
      <c r="LJ921" s="156">
        <f t="shared" si="12"/>
        <v>0</v>
      </c>
      <c r="LK921" s="156">
        <f t="shared" si="13"/>
        <v>0</v>
      </c>
      <c r="LL921" s="156">
        <f t="shared" si="14"/>
        <v>0</v>
      </c>
      <c r="LM921" s="160">
        <f t="shared" si="15"/>
        <v>0</v>
      </c>
      <c r="QX921" s="633"/>
    </row>
    <row r="922">
      <c r="A922" s="12"/>
      <c r="B922" s="12"/>
      <c r="C922" s="12"/>
      <c r="D922" s="12"/>
      <c r="E922" s="12"/>
      <c r="F922" s="12"/>
      <c r="G922" s="12"/>
      <c r="H922" s="12"/>
      <c r="I922" s="143">
        <f t="shared" si="22"/>
        <v>0</v>
      </c>
      <c r="J922" s="108"/>
      <c r="K922" s="203"/>
      <c r="L922" s="108"/>
      <c r="V922" s="161"/>
      <c r="X922" s="140"/>
      <c r="Y922" s="166">
        <f t="shared" si="23"/>
        <v>0</v>
      </c>
      <c r="Z922" s="26">
        <f t="shared" si="7"/>
        <v>0</v>
      </c>
      <c r="AA922" s="26">
        <f t="shared" si="8"/>
        <v>0</v>
      </c>
      <c r="AB922" s="26">
        <f t="shared" si="9"/>
        <v>0</v>
      </c>
      <c r="AC922" s="156">
        <v>0.0</v>
      </c>
      <c r="AD922" s="156">
        <v>0.0</v>
      </c>
      <c r="AE922" s="156">
        <v>0.0</v>
      </c>
      <c r="AF922" s="156">
        <v>0.0</v>
      </c>
      <c r="AG922" s="156">
        <v>0.0</v>
      </c>
      <c r="AH922" s="156">
        <v>0.0</v>
      </c>
      <c r="BN922" s="155">
        <v>0.0</v>
      </c>
      <c r="BO922" s="155">
        <v>0.0</v>
      </c>
      <c r="BP922" s="155">
        <v>0.0</v>
      </c>
      <c r="BQ922" s="155">
        <v>0.0</v>
      </c>
      <c r="BR922" s="155">
        <v>0.0</v>
      </c>
      <c r="BS922" s="155">
        <v>0.0</v>
      </c>
      <c r="CV922" s="156">
        <v>0.0</v>
      </c>
      <c r="CW922" s="156">
        <v>0.0</v>
      </c>
      <c r="CX922" s="156">
        <v>0.0</v>
      </c>
      <c r="CY922" s="156">
        <v>0.0</v>
      </c>
      <c r="CZ922" s="156">
        <v>0.0</v>
      </c>
      <c r="DA922" s="156">
        <v>0.0</v>
      </c>
      <c r="EG922" s="156">
        <v>0.0</v>
      </c>
      <c r="EH922" s="156">
        <v>0.0</v>
      </c>
      <c r="EI922" s="156">
        <v>0.0</v>
      </c>
      <c r="EJ922" s="156">
        <v>0.0</v>
      </c>
      <c r="EK922" s="156">
        <v>0.0</v>
      </c>
      <c r="EL922" s="156">
        <v>0.0</v>
      </c>
      <c r="FQ922" s="156">
        <v>0.0</v>
      </c>
      <c r="FR922" s="156">
        <v>0.0</v>
      </c>
      <c r="FS922" s="156">
        <v>0.0</v>
      </c>
      <c r="FT922" s="156">
        <v>0.0</v>
      </c>
      <c r="FU922" s="156">
        <v>0.0</v>
      </c>
      <c r="FV922" s="156">
        <v>0.0</v>
      </c>
      <c r="FW922" s="157"/>
      <c r="FX922" s="157"/>
      <c r="FY922" s="157"/>
      <c r="FZ922" s="157"/>
      <c r="GA922" s="157"/>
      <c r="GB922" s="157"/>
      <c r="GC922" s="157"/>
      <c r="GD922" s="157"/>
      <c r="GE922" s="157"/>
      <c r="GF922" s="157"/>
      <c r="GG922" s="157"/>
      <c r="GH922" s="157"/>
      <c r="GI922" s="157"/>
      <c r="GJ922" s="157"/>
      <c r="GK922" s="157"/>
      <c r="GL922" s="157"/>
      <c r="GM922" s="157"/>
      <c r="GN922" s="157"/>
      <c r="GO922" s="157"/>
      <c r="GP922" s="158"/>
      <c r="GQ922" s="157"/>
      <c r="GR922" s="157"/>
      <c r="GS922" s="157"/>
      <c r="GT922" s="157"/>
      <c r="GU922" s="157"/>
      <c r="GV922" s="157"/>
      <c r="GW922" s="157"/>
      <c r="GX922" s="157"/>
      <c r="GY922" s="157"/>
      <c r="GZ922" s="157"/>
      <c r="HA922" s="157"/>
      <c r="HB922" s="155">
        <v>0.0</v>
      </c>
      <c r="HC922" s="155">
        <v>0.0</v>
      </c>
      <c r="HD922" s="155">
        <v>0.0</v>
      </c>
      <c r="HE922" s="155">
        <v>0.0</v>
      </c>
      <c r="HF922" s="155">
        <v>0.0</v>
      </c>
      <c r="HG922" s="155">
        <v>0.0</v>
      </c>
      <c r="IL922" s="159">
        <v>0.0</v>
      </c>
      <c r="IM922" s="156">
        <v>0.0</v>
      </c>
      <c r="IN922" s="156">
        <v>0.0</v>
      </c>
      <c r="IO922" s="156">
        <v>0.0</v>
      </c>
      <c r="IP922" s="156">
        <v>0.0</v>
      </c>
      <c r="IQ922" s="160">
        <v>0.0</v>
      </c>
      <c r="JH922" s="25"/>
      <c r="JW922" s="159">
        <v>0.0</v>
      </c>
      <c r="JX922" s="156">
        <v>0.0</v>
      </c>
      <c r="JY922" s="156">
        <v>0.0</v>
      </c>
      <c r="JZ922" s="156">
        <v>0.0</v>
      </c>
      <c r="KA922" s="156">
        <v>0.0</v>
      </c>
      <c r="KB922" s="160">
        <v>0.0</v>
      </c>
      <c r="LH922" s="159">
        <f t="shared" si="10"/>
        <v>0</v>
      </c>
      <c r="LI922" s="156">
        <f t="shared" si="11"/>
        <v>0</v>
      </c>
      <c r="LJ922" s="156">
        <f t="shared" si="12"/>
        <v>0</v>
      </c>
      <c r="LK922" s="156">
        <f t="shared" si="13"/>
        <v>0</v>
      </c>
      <c r="LL922" s="156">
        <f t="shared" si="14"/>
        <v>0</v>
      </c>
      <c r="LM922" s="160">
        <f t="shared" si="15"/>
        <v>0</v>
      </c>
      <c r="QX922" s="633"/>
    </row>
    <row r="923">
      <c r="A923" s="12"/>
      <c r="B923" s="12"/>
      <c r="C923" s="12"/>
      <c r="D923" s="12"/>
      <c r="E923" s="12"/>
      <c r="F923" s="12"/>
      <c r="G923" s="12"/>
      <c r="H923" s="12"/>
      <c r="I923" s="143">
        <f t="shared" si="22"/>
        <v>0</v>
      </c>
      <c r="J923" s="108"/>
      <c r="K923" s="203"/>
      <c r="L923" s="108"/>
      <c r="V923" s="161"/>
      <c r="X923" s="140"/>
      <c r="Y923" s="166">
        <f t="shared" si="23"/>
        <v>0</v>
      </c>
      <c r="Z923" s="26">
        <f t="shared" si="7"/>
        <v>0</v>
      </c>
      <c r="AA923" s="26">
        <f t="shared" si="8"/>
        <v>0</v>
      </c>
      <c r="AB923" s="26">
        <f t="shared" si="9"/>
        <v>0</v>
      </c>
      <c r="AC923" s="156">
        <v>0.0</v>
      </c>
      <c r="AD923" s="156">
        <v>0.0</v>
      </c>
      <c r="AE923" s="156">
        <v>0.0</v>
      </c>
      <c r="AF923" s="156">
        <v>0.0</v>
      </c>
      <c r="AG923" s="156">
        <v>0.0</v>
      </c>
      <c r="AH923" s="156">
        <v>0.0</v>
      </c>
      <c r="BN923" s="155">
        <v>0.0</v>
      </c>
      <c r="BO923" s="155">
        <v>0.0</v>
      </c>
      <c r="BP923" s="155">
        <v>0.0</v>
      </c>
      <c r="BQ923" s="155">
        <v>0.0</v>
      </c>
      <c r="BR923" s="155">
        <v>0.0</v>
      </c>
      <c r="BS923" s="155">
        <v>0.0</v>
      </c>
      <c r="CV923" s="156">
        <v>0.0</v>
      </c>
      <c r="CW923" s="156">
        <v>0.0</v>
      </c>
      <c r="CX923" s="156">
        <v>0.0</v>
      </c>
      <c r="CY923" s="156">
        <v>0.0</v>
      </c>
      <c r="CZ923" s="156">
        <v>0.0</v>
      </c>
      <c r="DA923" s="156">
        <v>0.0</v>
      </c>
      <c r="EG923" s="156">
        <v>0.0</v>
      </c>
      <c r="EH923" s="156">
        <v>0.0</v>
      </c>
      <c r="EI923" s="156">
        <v>0.0</v>
      </c>
      <c r="EJ923" s="156">
        <v>0.0</v>
      </c>
      <c r="EK923" s="156">
        <v>0.0</v>
      </c>
      <c r="EL923" s="156">
        <v>0.0</v>
      </c>
      <c r="FQ923" s="156">
        <v>0.0</v>
      </c>
      <c r="FR923" s="156">
        <v>0.0</v>
      </c>
      <c r="FS923" s="156">
        <v>0.0</v>
      </c>
      <c r="FT923" s="156">
        <v>0.0</v>
      </c>
      <c r="FU923" s="156">
        <v>0.0</v>
      </c>
      <c r="FV923" s="156">
        <v>0.0</v>
      </c>
      <c r="FW923" s="157"/>
      <c r="FX923" s="157"/>
      <c r="FY923" s="157"/>
      <c r="FZ923" s="157"/>
      <c r="GA923" s="157"/>
      <c r="GB923" s="157"/>
      <c r="GC923" s="157"/>
      <c r="GD923" s="157"/>
      <c r="GE923" s="157"/>
      <c r="GF923" s="157"/>
      <c r="GG923" s="157"/>
      <c r="GH923" s="157"/>
      <c r="GI923" s="157"/>
      <c r="GJ923" s="157"/>
      <c r="GK923" s="157"/>
      <c r="GL923" s="157"/>
      <c r="GM923" s="157"/>
      <c r="GN923" s="157"/>
      <c r="GO923" s="157"/>
      <c r="GP923" s="158"/>
      <c r="GQ923" s="157"/>
      <c r="GR923" s="157"/>
      <c r="GS923" s="157"/>
      <c r="GT923" s="157"/>
      <c r="GU923" s="157"/>
      <c r="GV923" s="157"/>
      <c r="GW923" s="157"/>
      <c r="GX923" s="157"/>
      <c r="GY923" s="157"/>
      <c r="GZ923" s="157"/>
      <c r="HA923" s="157"/>
      <c r="HB923" s="155">
        <v>0.0</v>
      </c>
      <c r="HC923" s="155">
        <v>0.0</v>
      </c>
      <c r="HD923" s="155">
        <v>0.0</v>
      </c>
      <c r="HE923" s="155">
        <v>0.0</v>
      </c>
      <c r="HF923" s="155">
        <v>0.0</v>
      </c>
      <c r="HG923" s="155">
        <v>0.0</v>
      </c>
      <c r="IL923" s="159">
        <v>0.0</v>
      </c>
      <c r="IM923" s="156">
        <v>0.0</v>
      </c>
      <c r="IN923" s="156">
        <v>0.0</v>
      </c>
      <c r="IO923" s="156">
        <v>0.0</v>
      </c>
      <c r="IP923" s="156">
        <v>0.0</v>
      </c>
      <c r="IQ923" s="160">
        <v>0.0</v>
      </c>
      <c r="JH923" s="25"/>
      <c r="JW923" s="159">
        <v>0.0</v>
      </c>
      <c r="JX923" s="156">
        <v>0.0</v>
      </c>
      <c r="JY923" s="156">
        <v>0.0</v>
      </c>
      <c r="JZ923" s="156">
        <v>0.0</v>
      </c>
      <c r="KA923" s="156">
        <v>0.0</v>
      </c>
      <c r="KB923" s="160">
        <v>0.0</v>
      </c>
      <c r="LH923" s="159">
        <f t="shared" si="10"/>
        <v>0</v>
      </c>
      <c r="LI923" s="156">
        <f t="shared" si="11"/>
        <v>0</v>
      </c>
      <c r="LJ923" s="156">
        <f t="shared" si="12"/>
        <v>0</v>
      </c>
      <c r="LK923" s="156">
        <f t="shared" si="13"/>
        <v>0</v>
      </c>
      <c r="LL923" s="156">
        <f t="shared" si="14"/>
        <v>0</v>
      </c>
      <c r="LM923" s="160">
        <f t="shared" si="15"/>
        <v>0</v>
      </c>
      <c r="QX923" s="633"/>
    </row>
    <row r="924">
      <c r="A924" s="12"/>
      <c r="B924" s="12"/>
      <c r="C924" s="12"/>
      <c r="D924" s="12"/>
      <c r="E924" s="12"/>
      <c r="F924" s="12"/>
      <c r="G924" s="12"/>
      <c r="H924" s="12"/>
      <c r="I924" s="143">
        <f t="shared" si="22"/>
        <v>0</v>
      </c>
      <c r="J924" s="108"/>
      <c r="K924" s="203"/>
      <c r="L924" s="108"/>
      <c r="V924" s="161"/>
      <c r="X924" s="140"/>
      <c r="Y924" s="166">
        <f t="shared" si="23"/>
        <v>0</v>
      </c>
      <c r="Z924" s="26">
        <f t="shared" si="7"/>
        <v>0</v>
      </c>
      <c r="AA924" s="26">
        <f t="shared" si="8"/>
        <v>0</v>
      </c>
      <c r="AB924" s="26">
        <f t="shared" si="9"/>
        <v>0</v>
      </c>
      <c r="AC924" s="156">
        <v>0.0</v>
      </c>
      <c r="AD924" s="156">
        <v>0.0</v>
      </c>
      <c r="AE924" s="156">
        <v>0.0</v>
      </c>
      <c r="AF924" s="156">
        <v>0.0</v>
      </c>
      <c r="AG924" s="156">
        <v>0.0</v>
      </c>
      <c r="AH924" s="156">
        <v>0.0</v>
      </c>
      <c r="BN924" s="155">
        <v>0.0</v>
      </c>
      <c r="BO924" s="155">
        <v>0.0</v>
      </c>
      <c r="BP924" s="155">
        <v>0.0</v>
      </c>
      <c r="BQ924" s="155">
        <v>0.0</v>
      </c>
      <c r="BR924" s="155">
        <v>0.0</v>
      </c>
      <c r="BS924" s="155">
        <v>0.0</v>
      </c>
      <c r="CV924" s="156">
        <v>0.0</v>
      </c>
      <c r="CW924" s="156">
        <v>0.0</v>
      </c>
      <c r="CX924" s="156">
        <v>0.0</v>
      </c>
      <c r="CY924" s="156">
        <v>0.0</v>
      </c>
      <c r="CZ924" s="156">
        <v>0.0</v>
      </c>
      <c r="DA924" s="156">
        <v>0.0</v>
      </c>
      <c r="EG924" s="156">
        <v>0.0</v>
      </c>
      <c r="EH924" s="156">
        <v>0.0</v>
      </c>
      <c r="EI924" s="156">
        <v>0.0</v>
      </c>
      <c r="EJ924" s="156">
        <v>0.0</v>
      </c>
      <c r="EK924" s="156">
        <v>0.0</v>
      </c>
      <c r="EL924" s="156">
        <v>0.0</v>
      </c>
      <c r="FQ924" s="156">
        <v>0.0</v>
      </c>
      <c r="FR924" s="156">
        <v>0.0</v>
      </c>
      <c r="FS924" s="156">
        <v>0.0</v>
      </c>
      <c r="FT924" s="156">
        <v>0.0</v>
      </c>
      <c r="FU924" s="156">
        <v>0.0</v>
      </c>
      <c r="FV924" s="156">
        <v>0.0</v>
      </c>
      <c r="FW924" s="157"/>
      <c r="FX924" s="157"/>
      <c r="FY924" s="157"/>
      <c r="FZ924" s="157"/>
      <c r="GA924" s="157"/>
      <c r="GB924" s="157"/>
      <c r="GC924" s="157"/>
      <c r="GD924" s="157"/>
      <c r="GE924" s="157"/>
      <c r="GF924" s="157"/>
      <c r="GG924" s="157"/>
      <c r="GH924" s="157"/>
      <c r="GI924" s="157"/>
      <c r="GJ924" s="157"/>
      <c r="GK924" s="157"/>
      <c r="GL924" s="157"/>
      <c r="GM924" s="157"/>
      <c r="GN924" s="157"/>
      <c r="GO924" s="157"/>
      <c r="GP924" s="158"/>
      <c r="GQ924" s="157"/>
      <c r="GR924" s="157"/>
      <c r="GS924" s="157"/>
      <c r="GT924" s="157"/>
      <c r="GU924" s="157"/>
      <c r="GV924" s="157"/>
      <c r="GW924" s="157"/>
      <c r="GX924" s="157"/>
      <c r="GY924" s="157"/>
      <c r="GZ924" s="157"/>
      <c r="HA924" s="157"/>
      <c r="HB924" s="155">
        <v>0.0</v>
      </c>
      <c r="HC924" s="155">
        <v>0.0</v>
      </c>
      <c r="HD924" s="155">
        <v>0.0</v>
      </c>
      <c r="HE924" s="155">
        <v>0.0</v>
      </c>
      <c r="HF924" s="155">
        <v>0.0</v>
      </c>
      <c r="HG924" s="155">
        <v>0.0</v>
      </c>
      <c r="IL924" s="159">
        <v>0.0</v>
      </c>
      <c r="IM924" s="156">
        <v>0.0</v>
      </c>
      <c r="IN924" s="156">
        <v>0.0</v>
      </c>
      <c r="IO924" s="156">
        <v>0.0</v>
      </c>
      <c r="IP924" s="156">
        <v>0.0</v>
      </c>
      <c r="IQ924" s="160">
        <v>0.0</v>
      </c>
      <c r="JH924" s="25"/>
      <c r="JW924" s="159">
        <v>0.0</v>
      </c>
      <c r="JX924" s="156">
        <v>0.0</v>
      </c>
      <c r="JY924" s="156">
        <v>0.0</v>
      </c>
      <c r="JZ924" s="156">
        <v>0.0</v>
      </c>
      <c r="KA924" s="156">
        <v>0.0</v>
      </c>
      <c r="KB924" s="160">
        <v>0.0</v>
      </c>
      <c r="LH924" s="159">
        <f t="shared" si="10"/>
        <v>0</v>
      </c>
      <c r="LI924" s="156">
        <f t="shared" si="11"/>
        <v>0</v>
      </c>
      <c r="LJ924" s="156">
        <f t="shared" si="12"/>
        <v>0</v>
      </c>
      <c r="LK924" s="156">
        <f t="shared" si="13"/>
        <v>0</v>
      </c>
      <c r="LL924" s="156">
        <f t="shared" si="14"/>
        <v>0</v>
      </c>
      <c r="LM924" s="160">
        <f t="shared" si="15"/>
        <v>0</v>
      </c>
      <c r="QX924" s="633"/>
    </row>
    <row r="925">
      <c r="A925" s="12"/>
      <c r="B925" s="12"/>
      <c r="C925" s="12"/>
      <c r="D925" s="12"/>
      <c r="E925" s="12"/>
      <c r="F925" s="12"/>
      <c r="G925" s="12"/>
      <c r="H925" s="12"/>
      <c r="I925" s="143">
        <f t="shared" si="22"/>
        <v>0</v>
      </c>
      <c r="J925" s="108"/>
      <c r="K925" s="203"/>
      <c r="L925" s="108"/>
      <c r="V925" s="161"/>
      <c r="X925" s="140"/>
      <c r="Y925" s="166">
        <f t="shared" si="23"/>
        <v>0</v>
      </c>
      <c r="Z925" s="26">
        <f t="shared" si="7"/>
        <v>0</v>
      </c>
      <c r="AA925" s="26">
        <f t="shared" si="8"/>
        <v>0</v>
      </c>
      <c r="AB925" s="26">
        <f t="shared" si="9"/>
        <v>0</v>
      </c>
      <c r="AC925" s="156">
        <v>0.0</v>
      </c>
      <c r="AD925" s="156">
        <v>0.0</v>
      </c>
      <c r="AE925" s="156">
        <v>0.0</v>
      </c>
      <c r="AF925" s="156">
        <v>0.0</v>
      </c>
      <c r="AG925" s="156">
        <v>0.0</v>
      </c>
      <c r="AH925" s="156">
        <v>0.0</v>
      </c>
      <c r="BN925" s="155">
        <v>0.0</v>
      </c>
      <c r="BO925" s="155">
        <v>0.0</v>
      </c>
      <c r="BP925" s="155">
        <v>0.0</v>
      </c>
      <c r="BQ925" s="155">
        <v>0.0</v>
      </c>
      <c r="BR925" s="155">
        <v>0.0</v>
      </c>
      <c r="BS925" s="155">
        <v>0.0</v>
      </c>
      <c r="CV925" s="156">
        <v>0.0</v>
      </c>
      <c r="CW925" s="156">
        <v>0.0</v>
      </c>
      <c r="CX925" s="156">
        <v>0.0</v>
      </c>
      <c r="CY925" s="156">
        <v>0.0</v>
      </c>
      <c r="CZ925" s="156">
        <v>0.0</v>
      </c>
      <c r="DA925" s="156">
        <v>0.0</v>
      </c>
      <c r="EG925" s="156">
        <v>0.0</v>
      </c>
      <c r="EH925" s="156">
        <v>0.0</v>
      </c>
      <c r="EI925" s="156">
        <v>0.0</v>
      </c>
      <c r="EJ925" s="156">
        <v>0.0</v>
      </c>
      <c r="EK925" s="156">
        <v>0.0</v>
      </c>
      <c r="EL925" s="156">
        <v>0.0</v>
      </c>
      <c r="FQ925" s="156">
        <v>0.0</v>
      </c>
      <c r="FR925" s="156">
        <v>0.0</v>
      </c>
      <c r="FS925" s="156">
        <v>0.0</v>
      </c>
      <c r="FT925" s="156">
        <v>0.0</v>
      </c>
      <c r="FU925" s="156">
        <v>0.0</v>
      </c>
      <c r="FV925" s="156">
        <v>0.0</v>
      </c>
      <c r="FW925" s="157"/>
      <c r="FX925" s="157"/>
      <c r="FY925" s="157"/>
      <c r="FZ925" s="157"/>
      <c r="GA925" s="157"/>
      <c r="GB925" s="157"/>
      <c r="GC925" s="157"/>
      <c r="GD925" s="157"/>
      <c r="GE925" s="157"/>
      <c r="GF925" s="157"/>
      <c r="GG925" s="157"/>
      <c r="GH925" s="157"/>
      <c r="GI925" s="157"/>
      <c r="GJ925" s="157"/>
      <c r="GK925" s="157"/>
      <c r="GL925" s="157"/>
      <c r="GM925" s="157"/>
      <c r="GN925" s="157"/>
      <c r="GO925" s="157"/>
      <c r="GP925" s="158"/>
      <c r="GQ925" s="157"/>
      <c r="GR925" s="157"/>
      <c r="GS925" s="157"/>
      <c r="GT925" s="157"/>
      <c r="GU925" s="157"/>
      <c r="GV925" s="157"/>
      <c r="GW925" s="157"/>
      <c r="GX925" s="157"/>
      <c r="GY925" s="157"/>
      <c r="GZ925" s="157"/>
      <c r="HA925" s="157"/>
      <c r="HB925" s="155">
        <v>0.0</v>
      </c>
      <c r="HC925" s="155">
        <v>0.0</v>
      </c>
      <c r="HD925" s="155">
        <v>0.0</v>
      </c>
      <c r="HE925" s="155">
        <v>0.0</v>
      </c>
      <c r="HF925" s="155">
        <v>0.0</v>
      </c>
      <c r="HG925" s="155">
        <v>0.0</v>
      </c>
      <c r="IL925" s="159">
        <v>0.0</v>
      </c>
      <c r="IM925" s="156">
        <v>0.0</v>
      </c>
      <c r="IN925" s="156">
        <v>0.0</v>
      </c>
      <c r="IO925" s="156">
        <v>0.0</v>
      </c>
      <c r="IP925" s="156">
        <v>0.0</v>
      </c>
      <c r="IQ925" s="160">
        <v>0.0</v>
      </c>
      <c r="JH925" s="25"/>
      <c r="JW925" s="159">
        <v>0.0</v>
      </c>
      <c r="JX925" s="156">
        <v>0.0</v>
      </c>
      <c r="JY925" s="156">
        <v>0.0</v>
      </c>
      <c r="JZ925" s="156">
        <v>0.0</v>
      </c>
      <c r="KA925" s="156">
        <v>0.0</v>
      </c>
      <c r="KB925" s="160">
        <v>0.0</v>
      </c>
      <c r="LH925" s="159">
        <f t="shared" si="10"/>
        <v>0</v>
      </c>
      <c r="LI925" s="156">
        <f t="shared" si="11"/>
        <v>0</v>
      </c>
      <c r="LJ925" s="156">
        <f t="shared" si="12"/>
        <v>0</v>
      </c>
      <c r="LK925" s="156">
        <f t="shared" si="13"/>
        <v>0</v>
      </c>
      <c r="LL925" s="156">
        <f t="shared" si="14"/>
        <v>0</v>
      </c>
      <c r="LM925" s="160">
        <f t="shared" si="15"/>
        <v>0</v>
      </c>
      <c r="QX925" s="633"/>
    </row>
    <row r="926">
      <c r="A926" s="12"/>
      <c r="B926" s="12"/>
      <c r="C926" s="12"/>
      <c r="D926" s="12"/>
      <c r="E926" s="12"/>
      <c r="F926" s="12"/>
      <c r="G926" s="12"/>
      <c r="H926" s="12"/>
      <c r="I926" s="143">
        <f t="shared" si="22"/>
        <v>0</v>
      </c>
      <c r="J926" s="108"/>
      <c r="K926" s="203"/>
      <c r="L926" s="108"/>
      <c r="V926" s="161"/>
      <c r="X926" s="140"/>
      <c r="Y926" s="166">
        <f t="shared" si="23"/>
        <v>0</v>
      </c>
      <c r="Z926" s="26">
        <f t="shared" si="7"/>
        <v>0</v>
      </c>
      <c r="AA926" s="26">
        <f t="shared" si="8"/>
        <v>0</v>
      </c>
      <c r="AB926" s="26">
        <f t="shared" si="9"/>
        <v>0</v>
      </c>
      <c r="AC926" s="156">
        <v>0.0</v>
      </c>
      <c r="AD926" s="156">
        <v>0.0</v>
      </c>
      <c r="AE926" s="156">
        <v>0.0</v>
      </c>
      <c r="AF926" s="156">
        <v>0.0</v>
      </c>
      <c r="AG926" s="156">
        <v>0.0</v>
      </c>
      <c r="AH926" s="156">
        <v>0.0</v>
      </c>
      <c r="BN926" s="155">
        <v>0.0</v>
      </c>
      <c r="BO926" s="155">
        <v>0.0</v>
      </c>
      <c r="BP926" s="155">
        <v>0.0</v>
      </c>
      <c r="BQ926" s="155">
        <v>0.0</v>
      </c>
      <c r="BR926" s="155">
        <v>0.0</v>
      </c>
      <c r="BS926" s="155">
        <v>0.0</v>
      </c>
      <c r="CV926" s="156">
        <v>0.0</v>
      </c>
      <c r="CW926" s="156">
        <v>0.0</v>
      </c>
      <c r="CX926" s="156">
        <v>0.0</v>
      </c>
      <c r="CY926" s="156">
        <v>0.0</v>
      </c>
      <c r="CZ926" s="156">
        <v>0.0</v>
      </c>
      <c r="DA926" s="156">
        <v>0.0</v>
      </c>
      <c r="EG926" s="156">
        <v>0.0</v>
      </c>
      <c r="EH926" s="156">
        <v>0.0</v>
      </c>
      <c r="EI926" s="156">
        <v>0.0</v>
      </c>
      <c r="EJ926" s="156">
        <v>0.0</v>
      </c>
      <c r="EK926" s="156">
        <v>0.0</v>
      </c>
      <c r="EL926" s="156">
        <v>0.0</v>
      </c>
      <c r="FQ926" s="156">
        <v>0.0</v>
      </c>
      <c r="FR926" s="156">
        <v>0.0</v>
      </c>
      <c r="FS926" s="156">
        <v>0.0</v>
      </c>
      <c r="FT926" s="156">
        <v>0.0</v>
      </c>
      <c r="FU926" s="156">
        <v>0.0</v>
      </c>
      <c r="FV926" s="156">
        <v>0.0</v>
      </c>
      <c r="FW926" s="157"/>
      <c r="FX926" s="157"/>
      <c r="FY926" s="157"/>
      <c r="FZ926" s="157"/>
      <c r="GA926" s="157"/>
      <c r="GB926" s="157"/>
      <c r="GC926" s="157"/>
      <c r="GD926" s="157"/>
      <c r="GE926" s="157"/>
      <c r="GF926" s="157"/>
      <c r="GG926" s="157"/>
      <c r="GH926" s="157"/>
      <c r="GI926" s="157"/>
      <c r="GJ926" s="157"/>
      <c r="GK926" s="157"/>
      <c r="GL926" s="157"/>
      <c r="GM926" s="157"/>
      <c r="GN926" s="157"/>
      <c r="GO926" s="157"/>
      <c r="GP926" s="158"/>
      <c r="GQ926" s="157"/>
      <c r="GR926" s="157"/>
      <c r="GS926" s="157"/>
      <c r="GT926" s="157"/>
      <c r="GU926" s="157"/>
      <c r="GV926" s="157"/>
      <c r="GW926" s="157"/>
      <c r="GX926" s="157"/>
      <c r="GY926" s="157"/>
      <c r="GZ926" s="157"/>
      <c r="HA926" s="157"/>
      <c r="HB926" s="155">
        <v>0.0</v>
      </c>
      <c r="HC926" s="155">
        <v>0.0</v>
      </c>
      <c r="HD926" s="155">
        <v>0.0</v>
      </c>
      <c r="HE926" s="155">
        <v>0.0</v>
      </c>
      <c r="HF926" s="155">
        <v>0.0</v>
      </c>
      <c r="HG926" s="155">
        <v>0.0</v>
      </c>
      <c r="IL926" s="159">
        <v>0.0</v>
      </c>
      <c r="IM926" s="156">
        <v>0.0</v>
      </c>
      <c r="IN926" s="156">
        <v>0.0</v>
      </c>
      <c r="IO926" s="156">
        <v>0.0</v>
      </c>
      <c r="IP926" s="156">
        <v>0.0</v>
      </c>
      <c r="IQ926" s="160">
        <v>0.0</v>
      </c>
      <c r="JH926" s="25"/>
      <c r="JW926" s="159">
        <v>0.0</v>
      </c>
      <c r="JX926" s="156">
        <v>0.0</v>
      </c>
      <c r="JY926" s="156">
        <v>0.0</v>
      </c>
      <c r="JZ926" s="156">
        <v>0.0</v>
      </c>
      <c r="KA926" s="156">
        <v>0.0</v>
      </c>
      <c r="KB926" s="160">
        <v>0.0</v>
      </c>
      <c r="LH926" s="159">
        <f t="shared" si="10"/>
        <v>0</v>
      </c>
      <c r="LI926" s="156">
        <f t="shared" si="11"/>
        <v>0</v>
      </c>
      <c r="LJ926" s="156">
        <f t="shared" si="12"/>
        <v>0</v>
      </c>
      <c r="LK926" s="156">
        <f t="shared" si="13"/>
        <v>0</v>
      </c>
      <c r="LL926" s="156">
        <f t="shared" si="14"/>
        <v>0</v>
      </c>
      <c r="LM926" s="160">
        <f t="shared" si="15"/>
        <v>0</v>
      </c>
      <c r="QX926" s="633"/>
    </row>
    <row r="927">
      <c r="A927" s="12"/>
      <c r="B927" s="12"/>
      <c r="C927" s="12"/>
      <c r="D927" s="12"/>
      <c r="E927" s="12"/>
      <c r="F927" s="12"/>
      <c r="G927" s="12"/>
      <c r="H927" s="12"/>
      <c r="I927" s="143">
        <f t="shared" si="22"/>
        <v>0</v>
      </c>
      <c r="J927" s="108"/>
      <c r="K927" s="203"/>
      <c r="L927" s="108"/>
      <c r="V927" s="161"/>
      <c r="X927" s="140"/>
      <c r="Y927" s="166">
        <f t="shared" si="23"/>
        <v>0</v>
      </c>
      <c r="Z927" s="26">
        <f t="shared" si="7"/>
        <v>0</v>
      </c>
      <c r="AA927" s="26">
        <f t="shared" si="8"/>
        <v>0</v>
      </c>
      <c r="AB927" s="26">
        <f t="shared" si="9"/>
        <v>0</v>
      </c>
      <c r="AC927" s="156">
        <v>0.0</v>
      </c>
      <c r="AD927" s="156">
        <v>0.0</v>
      </c>
      <c r="AE927" s="156">
        <v>0.0</v>
      </c>
      <c r="AF927" s="156">
        <v>0.0</v>
      </c>
      <c r="AG927" s="156">
        <v>0.0</v>
      </c>
      <c r="AH927" s="156">
        <v>0.0</v>
      </c>
      <c r="BN927" s="155">
        <v>0.0</v>
      </c>
      <c r="BO927" s="155">
        <v>0.0</v>
      </c>
      <c r="BP927" s="155">
        <v>0.0</v>
      </c>
      <c r="BQ927" s="155">
        <v>0.0</v>
      </c>
      <c r="BR927" s="155">
        <v>0.0</v>
      </c>
      <c r="BS927" s="155">
        <v>0.0</v>
      </c>
      <c r="CV927" s="156">
        <v>0.0</v>
      </c>
      <c r="CW927" s="156">
        <v>0.0</v>
      </c>
      <c r="CX927" s="156">
        <v>0.0</v>
      </c>
      <c r="CY927" s="156">
        <v>0.0</v>
      </c>
      <c r="CZ927" s="156">
        <v>0.0</v>
      </c>
      <c r="DA927" s="156">
        <v>0.0</v>
      </c>
      <c r="EG927" s="156">
        <v>0.0</v>
      </c>
      <c r="EH927" s="156">
        <v>0.0</v>
      </c>
      <c r="EI927" s="156">
        <v>0.0</v>
      </c>
      <c r="EJ927" s="156">
        <v>0.0</v>
      </c>
      <c r="EK927" s="156">
        <v>0.0</v>
      </c>
      <c r="EL927" s="156">
        <v>0.0</v>
      </c>
      <c r="FQ927" s="156">
        <v>0.0</v>
      </c>
      <c r="FR927" s="156">
        <v>0.0</v>
      </c>
      <c r="FS927" s="156">
        <v>0.0</v>
      </c>
      <c r="FT927" s="156">
        <v>0.0</v>
      </c>
      <c r="FU927" s="156">
        <v>0.0</v>
      </c>
      <c r="FV927" s="156">
        <v>0.0</v>
      </c>
      <c r="FW927" s="157"/>
      <c r="FX927" s="157"/>
      <c r="FY927" s="157"/>
      <c r="FZ927" s="157"/>
      <c r="GA927" s="157"/>
      <c r="GB927" s="157"/>
      <c r="GC927" s="157"/>
      <c r="GD927" s="157"/>
      <c r="GE927" s="157"/>
      <c r="GF927" s="157"/>
      <c r="GG927" s="157"/>
      <c r="GH927" s="157"/>
      <c r="GI927" s="157"/>
      <c r="GJ927" s="157"/>
      <c r="GK927" s="157"/>
      <c r="GL927" s="157"/>
      <c r="GM927" s="157"/>
      <c r="GN927" s="157"/>
      <c r="GO927" s="157"/>
      <c r="GP927" s="158"/>
      <c r="GQ927" s="157"/>
      <c r="GR927" s="157"/>
      <c r="GS927" s="157"/>
      <c r="GT927" s="157"/>
      <c r="GU927" s="157"/>
      <c r="GV927" s="157"/>
      <c r="GW927" s="157"/>
      <c r="GX927" s="157"/>
      <c r="GY927" s="157"/>
      <c r="GZ927" s="157"/>
      <c r="HA927" s="157"/>
      <c r="HB927" s="155">
        <v>0.0</v>
      </c>
      <c r="HC927" s="155">
        <v>0.0</v>
      </c>
      <c r="HD927" s="155">
        <v>0.0</v>
      </c>
      <c r="HE927" s="155">
        <v>0.0</v>
      </c>
      <c r="HF927" s="155">
        <v>0.0</v>
      </c>
      <c r="HG927" s="155">
        <v>0.0</v>
      </c>
      <c r="IL927" s="159">
        <v>0.0</v>
      </c>
      <c r="IM927" s="156">
        <v>0.0</v>
      </c>
      <c r="IN927" s="156">
        <v>0.0</v>
      </c>
      <c r="IO927" s="156">
        <v>0.0</v>
      </c>
      <c r="IP927" s="156">
        <v>0.0</v>
      </c>
      <c r="IQ927" s="160">
        <v>0.0</v>
      </c>
      <c r="JH927" s="25"/>
      <c r="JW927" s="159">
        <v>0.0</v>
      </c>
      <c r="JX927" s="156">
        <v>0.0</v>
      </c>
      <c r="JY927" s="156">
        <v>0.0</v>
      </c>
      <c r="JZ927" s="156">
        <v>0.0</v>
      </c>
      <c r="KA927" s="156">
        <v>0.0</v>
      </c>
      <c r="KB927" s="160">
        <v>0.0</v>
      </c>
      <c r="LH927" s="159">
        <f t="shared" si="10"/>
        <v>0</v>
      </c>
      <c r="LI927" s="156">
        <f t="shared" si="11"/>
        <v>0</v>
      </c>
      <c r="LJ927" s="156">
        <f t="shared" si="12"/>
        <v>0</v>
      </c>
      <c r="LK927" s="156">
        <f t="shared" si="13"/>
        <v>0</v>
      </c>
      <c r="LL927" s="156">
        <f t="shared" si="14"/>
        <v>0</v>
      </c>
      <c r="LM927" s="160">
        <f t="shared" si="15"/>
        <v>0</v>
      </c>
      <c r="QX927" s="633"/>
    </row>
    <row r="928">
      <c r="A928" s="12"/>
      <c r="B928" s="12"/>
      <c r="C928" s="12"/>
      <c r="D928" s="12"/>
      <c r="E928" s="12"/>
      <c r="F928" s="12"/>
      <c r="G928" s="12"/>
      <c r="H928" s="12"/>
      <c r="I928" s="143">
        <f t="shared" si="22"/>
        <v>0</v>
      </c>
      <c r="J928" s="108"/>
      <c r="K928" s="203"/>
      <c r="L928" s="108"/>
      <c r="V928" s="161"/>
      <c r="X928" s="140"/>
      <c r="Y928" s="166">
        <f t="shared" si="23"/>
        <v>0</v>
      </c>
      <c r="Z928" s="26">
        <f t="shared" si="7"/>
        <v>0</v>
      </c>
      <c r="AA928" s="26">
        <f t="shared" si="8"/>
        <v>0</v>
      </c>
      <c r="AB928" s="26">
        <f t="shared" si="9"/>
        <v>0</v>
      </c>
      <c r="AC928" s="156">
        <v>0.0</v>
      </c>
      <c r="AD928" s="156">
        <v>0.0</v>
      </c>
      <c r="AE928" s="156">
        <v>0.0</v>
      </c>
      <c r="AF928" s="156">
        <v>0.0</v>
      </c>
      <c r="AG928" s="156">
        <v>0.0</v>
      </c>
      <c r="AH928" s="156">
        <v>0.0</v>
      </c>
      <c r="BN928" s="155">
        <v>0.0</v>
      </c>
      <c r="BO928" s="155">
        <v>0.0</v>
      </c>
      <c r="BP928" s="155">
        <v>0.0</v>
      </c>
      <c r="BQ928" s="155">
        <v>0.0</v>
      </c>
      <c r="BR928" s="155">
        <v>0.0</v>
      </c>
      <c r="BS928" s="155">
        <v>0.0</v>
      </c>
      <c r="CV928" s="156">
        <v>0.0</v>
      </c>
      <c r="CW928" s="156">
        <v>0.0</v>
      </c>
      <c r="CX928" s="156">
        <v>0.0</v>
      </c>
      <c r="CY928" s="156">
        <v>0.0</v>
      </c>
      <c r="CZ928" s="156">
        <v>0.0</v>
      </c>
      <c r="DA928" s="156">
        <v>0.0</v>
      </c>
      <c r="EG928" s="156">
        <v>0.0</v>
      </c>
      <c r="EH928" s="156">
        <v>0.0</v>
      </c>
      <c r="EI928" s="156">
        <v>0.0</v>
      </c>
      <c r="EJ928" s="156">
        <v>0.0</v>
      </c>
      <c r="EK928" s="156">
        <v>0.0</v>
      </c>
      <c r="EL928" s="156">
        <v>0.0</v>
      </c>
      <c r="FQ928" s="156">
        <v>0.0</v>
      </c>
      <c r="FR928" s="156">
        <v>0.0</v>
      </c>
      <c r="FS928" s="156">
        <v>0.0</v>
      </c>
      <c r="FT928" s="156">
        <v>0.0</v>
      </c>
      <c r="FU928" s="156">
        <v>0.0</v>
      </c>
      <c r="FV928" s="156">
        <v>0.0</v>
      </c>
      <c r="FW928" s="157"/>
      <c r="FX928" s="157"/>
      <c r="FY928" s="157"/>
      <c r="FZ928" s="157"/>
      <c r="GA928" s="157"/>
      <c r="GB928" s="157"/>
      <c r="GC928" s="157"/>
      <c r="GD928" s="157"/>
      <c r="GE928" s="157"/>
      <c r="GF928" s="157"/>
      <c r="GG928" s="157"/>
      <c r="GH928" s="157"/>
      <c r="GI928" s="157"/>
      <c r="GJ928" s="157"/>
      <c r="GK928" s="157"/>
      <c r="GL928" s="157"/>
      <c r="GM928" s="157"/>
      <c r="GN928" s="157"/>
      <c r="GO928" s="157"/>
      <c r="GP928" s="158"/>
      <c r="GQ928" s="157"/>
      <c r="GR928" s="157"/>
      <c r="GS928" s="157"/>
      <c r="GT928" s="157"/>
      <c r="GU928" s="157"/>
      <c r="GV928" s="157"/>
      <c r="GW928" s="157"/>
      <c r="GX928" s="157"/>
      <c r="GY928" s="157"/>
      <c r="GZ928" s="157"/>
      <c r="HA928" s="157"/>
      <c r="HB928" s="155">
        <v>0.0</v>
      </c>
      <c r="HC928" s="155">
        <v>0.0</v>
      </c>
      <c r="HD928" s="155">
        <v>0.0</v>
      </c>
      <c r="HE928" s="155">
        <v>0.0</v>
      </c>
      <c r="HF928" s="155">
        <v>0.0</v>
      </c>
      <c r="HG928" s="155">
        <v>0.0</v>
      </c>
      <c r="IL928" s="159">
        <v>0.0</v>
      </c>
      <c r="IM928" s="156">
        <v>0.0</v>
      </c>
      <c r="IN928" s="156">
        <v>0.0</v>
      </c>
      <c r="IO928" s="156">
        <v>0.0</v>
      </c>
      <c r="IP928" s="156">
        <v>0.0</v>
      </c>
      <c r="IQ928" s="160">
        <v>0.0</v>
      </c>
      <c r="JH928" s="25"/>
      <c r="JW928" s="159">
        <v>0.0</v>
      </c>
      <c r="JX928" s="156">
        <v>0.0</v>
      </c>
      <c r="JY928" s="156">
        <v>0.0</v>
      </c>
      <c r="JZ928" s="156">
        <v>0.0</v>
      </c>
      <c r="KA928" s="156">
        <v>0.0</v>
      </c>
      <c r="KB928" s="160">
        <v>0.0</v>
      </c>
      <c r="LH928" s="159">
        <f t="shared" si="10"/>
        <v>0</v>
      </c>
      <c r="LI928" s="156">
        <f t="shared" si="11"/>
        <v>0</v>
      </c>
      <c r="LJ928" s="156">
        <f t="shared" si="12"/>
        <v>0</v>
      </c>
      <c r="LK928" s="156">
        <f t="shared" si="13"/>
        <v>0</v>
      </c>
      <c r="LL928" s="156">
        <f t="shared" si="14"/>
        <v>0</v>
      </c>
      <c r="LM928" s="160">
        <f t="shared" si="15"/>
        <v>0</v>
      </c>
      <c r="QX928" s="633"/>
    </row>
    <row r="929">
      <c r="A929" s="12"/>
      <c r="B929" s="12"/>
      <c r="C929" s="12"/>
      <c r="D929" s="12"/>
      <c r="E929" s="12"/>
      <c r="F929" s="12"/>
      <c r="G929" s="12"/>
      <c r="H929" s="12"/>
      <c r="I929" s="143">
        <f t="shared" si="22"/>
        <v>0</v>
      </c>
      <c r="J929" s="108"/>
      <c r="K929" s="203"/>
      <c r="L929" s="108"/>
      <c r="V929" s="161"/>
      <c r="X929" s="140"/>
      <c r="Y929" s="166">
        <f t="shared" si="23"/>
        <v>0</v>
      </c>
      <c r="Z929" s="26">
        <f t="shared" si="7"/>
        <v>0</v>
      </c>
      <c r="AA929" s="26">
        <f t="shared" si="8"/>
        <v>0</v>
      </c>
      <c r="AB929" s="26">
        <f t="shared" si="9"/>
        <v>0</v>
      </c>
      <c r="AC929" s="156">
        <v>0.0</v>
      </c>
      <c r="AD929" s="156">
        <v>0.0</v>
      </c>
      <c r="AE929" s="156">
        <v>0.0</v>
      </c>
      <c r="AF929" s="156">
        <v>0.0</v>
      </c>
      <c r="AG929" s="156">
        <v>0.0</v>
      </c>
      <c r="AH929" s="156">
        <v>0.0</v>
      </c>
      <c r="BN929" s="155">
        <v>0.0</v>
      </c>
      <c r="BO929" s="155">
        <v>0.0</v>
      </c>
      <c r="BP929" s="155">
        <v>0.0</v>
      </c>
      <c r="BQ929" s="155">
        <v>0.0</v>
      </c>
      <c r="BR929" s="155">
        <v>0.0</v>
      </c>
      <c r="BS929" s="155">
        <v>0.0</v>
      </c>
      <c r="CV929" s="156">
        <v>0.0</v>
      </c>
      <c r="CW929" s="156">
        <v>0.0</v>
      </c>
      <c r="CX929" s="156">
        <v>0.0</v>
      </c>
      <c r="CY929" s="156">
        <v>0.0</v>
      </c>
      <c r="CZ929" s="156">
        <v>0.0</v>
      </c>
      <c r="DA929" s="156">
        <v>0.0</v>
      </c>
      <c r="EG929" s="156">
        <v>0.0</v>
      </c>
      <c r="EH929" s="156">
        <v>0.0</v>
      </c>
      <c r="EI929" s="156">
        <v>0.0</v>
      </c>
      <c r="EJ929" s="156">
        <v>0.0</v>
      </c>
      <c r="EK929" s="156">
        <v>0.0</v>
      </c>
      <c r="EL929" s="156">
        <v>0.0</v>
      </c>
      <c r="FQ929" s="156">
        <v>0.0</v>
      </c>
      <c r="FR929" s="156">
        <v>0.0</v>
      </c>
      <c r="FS929" s="156">
        <v>0.0</v>
      </c>
      <c r="FT929" s="156">
        <v>0.0</v>
      </c>
      <c r="FU929" s="156">
        <v>0.0</v>
      </c>
      <c r="FV929" s="156">
        <v>0.0</v>
      </c>
      <c r="FW929" s="157"/>
      <c r="FX929" s="157"/>
      <c r="FY929" s="157"/>
      <c r="FZ929" s="157"/>
      <c r="GA929" s="157"/>
      <c r="GB929" s="157"/>
      <c r="GC929" s="157"/>
      <c r="GD929" s="157"/>
      <c r="GE929" s="157"/>
      <c r="GF929" s="157"/>
      <c r="GG929" s="157"/>
      <c r="GH929" s="157"/>
      <c r="GI929" s="157"/>
      <c r="GJ929" s="157"/>
      <c r="GK929" s="157"/>
      <c r="GL929" s="157"/>
      <c r="GM929" s="157"/>
      <c r="GN929" s="157"/>
      <c r="GO929" s="157"/>
      <c r="GP929" s="158"/>
      <c r="GQ929" s="157"/>
      <c r="GR929" s="157"/>
      <c r="GS929" s="157"/>
      <c r="GT929" s="157"/>
      <c r="GU929" s="157"/>
      <c r="GV929" s="157"/>
      <c r="GW929" s="157"/>
      <c r="GX929" s="157"/>
      <c r="GY929" s="157"/>
      <c r="GZ929" s="157"/>
      <c r="HA929" s="157"/>
      <c r="HB929" s="155">
        <v>0.0</v>
      </c>
      <c r="HC929" s="155">
        <v>0.0</v>
      </c>
      <c r="HD929" s="155">
        <v>0.0</v>
      </c>
      <c r="HE929" s="155">
        <v>0.0</v>
      </c>
      <c r="HF929" s="155">
        <v>0.0</v>
      </c>
      <c r="HG929" s="155">
        <v>0.0</v>
      </c>
      <c r="IL929" s="159">
        <v>0.0</v>
      </c>
      <c r="IM929" s="156">
        <v>0.0</v>
      </c>
      <c r="IN929" s="156">
        <v>0.0</v>
      </c>
      <c r="IO929" s="156">
        <v>0.0</v>
      </c>
      <c r="IP929" s="156">
        <v>0.0</v>
      </c>
      <c r="IQ929" s="160">
        <v>0.0</v>
      </c>
      <c r="JH929" s="25"/>
      <c r="JW929" s="159">
        <v>0.0</v>
      </c>
      <c r="JX929" s="156">
        <v>0.0</v>
      </c>
      <c r="JY929" s="156">
        <v>0.0</v>
      </c>
      <c r="JZ929" s="156">
        <v>0.0</v>
      </c>
      <c r="KA929" s="156">
        <v>0.0</v>
      </c>
      <c r="KB929" s="160">
        <v>0.0</v>
      </c>
      <c r="LH929" s="159">
        <f t="shared" si="10"/>
        <v>0</v>
      </c>
      <c r="LI929" s="156">
        <f t="shared" si="11"/>
        <v>0</v>
      </c>
      <c r="LJ929" s="156">
        <f t="shared" si="12"/>
        <v>0</v>
      </c>
      <c r="LK929" s="156">
        <f t="shared" si="13"/>
        <v>0</v>
      </c>
      <c r="LL929" s="156">
        <f t="shared" si="14"/>
        <v>0</v>
      </c>
      <c r="LM929" s="160">
        <f t="shared" si="15"/>
        <v>0</v>
      </c>
      <c r="QX929" s="633"/>
    </row>
    <row r="930">
      <c r="A930" s="12"/>
      <c r="B930" s="12"/>
      <c r="C930" s="12"/>
      <c r="D930" s="12"/>
      <c r="E930" s="12"/>
      <c r="F930" s="12"/>
      <c r="G930" s="12"/>
      <c r="H930" s="12"/>
      <c r="I930" s="143">
        <f t="shared" si="22"/>
        <v>0</v>
      </c>
      <c r="J930" s="108"/>
      <c r="K930" s="203"/>
      <c r="L930" s="108"/>
      <c r="V930" s="161"/>
      <c r="X930" s="140"/>
      <c r="Y930" s="166">
        <f t="shared" si="23"/>
        <v>0</v>
      </c>
      <c r="Z930" s="26">
        <f t="shared" si="7"/>
        <v>0</v>
      </c>
      <c r="AA930" s="26">
        <f t="shared" si="8"/>
        <v>0</v>
      </c>
      <c r="AB930" s="26">
        <f t="shared" si="9"/>
        <v>0</v>
      </c>
      <c r="AC930" s="156">
        <v>0.0</v>
      </c>
      <c r="AD930" s="156">
        <v>0.0</v>
      </c>
      <c r="AE930" s="156">
        <v>0.0</v>
      </c>
      <c r="AF930" s="156">
        <v>0.0</v>
      </c>
      <c r="AG930" s="156">
        <v>0.0</v>
      </c>
      <c r="AH930" s="156">
        <v>0.0</v>
      </c>
      <c r="BN930" s="155">
        <v>0.0</v>
      </c>
      <c r="BO930" s="155">
        <v>0.0</v>
      </c>
      <c r="BP930" s="155">
        <v>0.0</v>
      </c>
      <c r="BQ930" s="155">
        <v>0.0</v>
      </c>
      <c r="BR930" s="155">
        <v>0.0</v>
      </c>
      <c r="BS930" s="155">
        <v>0.0</v>
      </c>
      <c r="CV930" s="156">
        <v>0.0</v>
      </c>
      <c r="CW930" s="156">
        <v>0.0</v>
      </c>
      <c r="CX930" s="156">
        <v>0.0</v>
      </c>
      <c r="CY930" s="156">
        <v>0.0</v>
      </c>
      <c r="CZ930" s="156">
        <v>0.0</v>
      </c>
      <c r="DA930" s="156">
        <v>0.0</v>
      </c>
      <c r="EG930" s="156">
        <v>0.0</v>
      </c>
      <c r="EH930" s="156">
        <v>0.0</v>
      </c>
      <c r="EI930" s="156">
        <v>0.0</v>
      </c>
      <c r="EJ930" s="156">
        <v>0.0</v>
      </c>
      <c r="EK930" s="156">
        <v>0.0</v>
      </c>
      <c r="EL930" s="156">
        <v>0.0</v>
      </c>
      <c r="FQ930" s="156">
        <v>0.0</v>
      </c>
      <c r="FR930" s="156">
        <v>0.0</v>
      </c>
      <c r="FS930" s="156">
        <v>0.0</v>
      </c>
      <c r="FT930" s="156">
        <v>0.0</v>
      </c>
      <c r="FU930" s="156">
        <v>0.0</v>
      </c>
      <c r="FV930" s="156">
        <v>0.0</v>
      </c>
      <c r="FW930" s="157"/>
      <c r="FX930" s="157"/>
      <c r="FY930" s="157"/>
      <c r="FZ930" s="157"/>
      <c r="GA930" s="157"/>
      <c r="GB930" s="157"/>
      <c r="GC930" s="157"/>
      <c r="GD930" s="157"/>
      <c r="GE930" s="157"/>
      <c r="GF930" s="157"/>
      <c r="GG930" s="157"/>
      <c r="GH930" s="157"/>
      <c r="GI930" s="157"/>
      <c r="GJ930" s="157"/>
      <c r="GK930" s="157"/>
      <c r="GL930" s="157"/>
      <c r="GM930" s="157"/>
      <c r="GN930" s="157"/>
      <c r="GO930" s="157"/>
      <c r="GP930" s="158"/>
      <c r="GQ930" s="157"/>
      <c r="GR930" s="157"/>
      <c r="GS930" s="157"/>
      <c r="GT930" s="157"/>
      <c r="GU930" s="157"/>
      <c r="GV930" s="157"/>
      <c r="GW930" s="157"/>
      <c r="GX930" s="157"/>
      <c r="GY930" s="157"/>
      <c r="GZ930" s="157"/>
      <c r="HA930" s="157"/>
      <c r="HB930" s="155">
        <v>0.0</v>
      </c>
      <c r="HC930" s="155">
        <v>0.0</v>
      </c>
      <c r="HD930" s="155">
        <v>0.0</v>
      </c>
      <c r="HE930" s="155">
        <v>0.0</v>
      </c>
      <c r="HF930" s="155">
        <v>0.0</v>
      </c>
      <c r="HG930" s="155">
        <v>0.0</v>
      </c>
      <c r="IL930" s="159">
        <v>0.0</v>
      </c>
      <c r="IM930" s="156">
        <v>0.0</v>
      </c>
      <c r="IN930" s="156">
        <v>0.0</v>
      </c>
      <c r="IO930" s="156">
        <v>0.0</v>
      </c>
      <c r="IP930" s="156">
        <v>0.0</v>
      </c>
      <c r="IQ930" s="160">
        <v>0.0</v>
      </c>
      <c r="JH930" s="25"/>
      <c r="JW930" s="159">
        <v>0.0</v>
      </c>
      <c r="JX930" s="156">
        <v>0.0</v>
      </c>
      <c r="JY930" s="156">
        <v>0.0</v>
      </c>
      <c r="JZ930" s="156">
        <v>0.0</v>
      </c>
      <c r="KA930" s="156">
        <v>0.0</v>
      </c>
      <c r="KB930" s="160">
        <v>0.0</v>
      </c>
      <c r="LH930" s="159">
        <f t="shared" si="10"/>
        <v>0</v>
      </c>
      <c r="LI930" s="156">
        <f t="shared" si="11"/>
        <v>0</v>
      </c>
      <c r="LJ930" s="156">
        <f t="shared" si="12"/>
        <v>0</v>
      </c>
      <c r="LK930" s="156">
        <f t="shared" si="13"/>
        <v>0</v>
      </c>
      <c r="LL930" s="156">
        <f t="shared" si="14"/>
        <v>0</v>
      </c>
      <c r="LM930" s="160">
        <f t="shared" si="15"/>
        <v>0</v>
      </c>
      <c r="QX930" s="633"/>
    </row>
    <row r="931">
      <c r="A931" s="12"/>
      <c r="B931" s="12"/>
      <c r="C931" s="12"/>
      <c r="D931" s="12"/>
      <c r="E931" s="12"/>
      <c r="F931" s="12"/>
      <c r="G931" s="12"/>
      <c r="H931" s="12"/>
      <c r="I931" s="143">
        <f t="shared" si="22"/>
        <v>0</v>
      </c>
      <c r="J931" s="108"/>
      <c r="K931" s="203"/>
      <c r="L931" s="108"/>
      <c r="V931" s="161"/>
      <c r="X931" s="140"/>
      <c r="Y931" s="166">
        <f t="shared" si="23"/>
        <v>0</v>
      </c>
      <c r="Z931" s="26">
        <f t="shared" si="7"/>
        <v>0</v>
      </c>
      <c r="AA931" s="26">
        <f t="shared" si="8"/>
        <v>0</v>
      </c>
      <c r="AB931" s="26">
        <f t="shared" si="9"/>
        <v>0</v>
      </c>
      <c r="AC931" s="156">
        <v>0.0</v>
      </c>
      <c r="AD931" s="156">
        <v>0.0</v>
      </c>
      <c r="AE931" s="156">
        <v>0.0</v>
      </c>
      <c r="AF931" s="156">
        <v>0.0</v>
      </c>
      <c r="AG931" s="156">
        <v>0.0</v>
      </c>
      <c r="AH931" s="156">
        <v>0.0</v>
      </c>
      <c r="BN931" s="155">
        <v>0.0</v>
      </c>
      <c r="BO931" s="155">
        <v>0.0</v>
      </c>
      <c r="BP931" s="155">
        <v>0.0</v>
      </c>
      <c r="BQ931" s="155">
        <v>0.0</v>
      </c>
      <c r="BR931" s="155">
        <v>0.0</v>
      </c>
      <c r="BS931" s="155">
        <v>0.0</v>
      </c>
      <c r="CV931" s="156">
        <v>0.0</v>
      </c>
      <c r="CW931" s="156">
        <v>0.0</v>
      </c>
      <c r="CX931" s="156">
        <v>0.0</v>
      </c>
      <c r="CY931" s="156">
        <v>0.0</v>
      </c>
      <c r="CZ931" s="156">
        <v>0.0</v>
      </c>
      <c r="DA931" s="156">
        <v>0.0</v>
      </c>
      <c r="EG931" s="156">
        <v>0.0</v>
      </c>
      <c r="EH931" s="156">
        <v>0.0</v>
      </c>
      <c r="EI931" s="156">
        <v>0.0</v>
      </c>
      <c r="EJ931" s="156">
        <v>0.0</v>
      </c>
      <c r="EK931" s="156">
        <v>0.0</v>
      </c>
      <c r="EL931" s="156">
        <v>0.0</v>
      </c>
      <c r="FQ931" s="156">
        <v>0.0</v>
      </c>
      <c r="FR931" s="156">
        <v>0.0</v>
      </c>
      <c r="FS931" s="156">
        <v>0.0</v>
      </c>
      <c r="FT931" s="156">
        <v>0.0</v>
      </c>
      <c r="FU931" s="156">
        <v>0.0</v>
      </c>
      <c r="FV931" s="156">
        <v>0.0</v>
      </c>
      <c r="FW931" s="157"/>
      <c r="FX931" s="157"/>
      <c r="FY931" s="157"/>
      <c r="FZ931" s="157"/>
      <c r="GA931" s="157"/>
      <c r="GB931" s="157"/>
      <c r="GC931" s="157"/>
      <c r="GD931" s="157"/>
      <c r="GE931" s="157"/>
      <c r="GF931" s="157"/>
      <c r="GG931" s="157"/>
      <c r="GH931" s="157"/>
      <c r="GI931" s="157"/>
      <c r="GJ931" s="157"/>
      <c r="GK931" s="157"/>
      <c r="GL931" s="157"/>
      <c r="GM931" s="157"/>
      <c r="GN931" s="157"/>
      <c r="GO931" s="157"/>
      <c r="GP931" s="158"/>
      <c r="GQ931" s="157"/>
      <c r="GR931" s="157"/>
      <c r="GS931" s="157"/>
      <c r="GT931" s="157"/>
      <c r="GU931" s="157"/>
      <c r="GV931" s="157"/>
      <c r="GW931" s="157"/>
      <c r="GX931" s="157"/>
      <c r="GY931" s="157"/>
      <c r="GZ931" s="157"/>
      <c r="HA931" s="157"/>
      <c r="HB931" s="155">
        <v>0.0</v>
      </c>
      <c r="HC931" s="155">
        <v>0.0</v>
      </c>
      <c r="HD931" s="155">
        <v>0.0</v>
      </c>
      <c r="HE931" s="155">
        <v>0.0</v>
      </c>
      <c r="HF931" s="155">
        <v>0.0</v>
      </c>
      <c r="HG931" s="155">
        <v>0.0</v>
      </c>
      <c r="IL931" s="159">
        <v>0.0</v>
      </c>
      <c r="IM931" s="156">
        <v>0.0</v>
      </c>
      <c r="IN931" s="156">
        <v>0.0</v>
      </c>
      <c r="IO931" s="156">
        <v>0.0</v>
      </c>
      <c r="IP931" s="156">
        <v>0.0</v>
      </c>
      <c r="IQ931" s="160">
        <v>0.0</v>
      </c>
      <c r="JH931" s="25"/>
      <c r="JW931" s="159">
        <v>0.0</v>
      </c>
      <c r="JX931" s="156">
        <v>0.0</v>
      </c>
      <c r="JY931" s="156">
        <v>0.0</v>
      </c>
      <c r="JZ931" s="156">
        <v>0.0</v>
      </c>
      <c r="KA931" s="156">
        <v>0.0</v>
      </c>
      <c r="KB931" s="160">
        <v>0.0</v>
      </c>
      <c r="LH931" s="159">
        <f t="shared" si="10"/>
        <v>0</v>
      </c>
      <c r="LI931" s="156">
        <f t="shared" si="11"/>
        <v>0</v>
      </c>
      <c r="LJ931" s="156">
        <f t="shared" si="12"/>
        <v>0</v>
      </c>
      <c r="LK931" s="156">
        <f t="shared" si="13"/>
        <v>0</v>
      </c>
      <c r="LL931" s="156">
        <f t="shared" si="14"/>
        <v>0</v>
      </c>
      <c r="LM931" s="160">
        <f t="shared" si="15"/>
        <v>0</v>
      </c>
      <c r="QX931" s="633"/>
    </row>
    <row r="932">
      <c r="A932" s="12"/>
      <c r="B932" s="12"/>
      <c r="C932" s="12"/>
      <c r="D932" s="12"/>
      <c r="E932" s="12"/>
      <c r="F932" s="12"/>
      <c r="G932" s="12"/>
      <c r="H932" s="12"/>
      <c r="I932" s="143">
        <f t="shared" si="22"/>
        <v>0</v>
      </c>
      <c r="J932" s="108"/>
      <c r="K932" s="203"/>
      <c r="L932" s="108"/>
      <c r="V932" s="161"/>
      <c r="X932" s="140"/>
      <c r="Y932" s="166">
        <f t="shared" si="23"/>
        <v>0</v>
      </c>
      <c r="Z932" s="26">
        <f t="shared" si="7"/>
        <v>0</v>
      </c>
      <c r="AA932" s="26">
        <f t="shared" si="8"/>
        <v>0</v>
      </c>
      <c r="AB932" s="26">
        <f t="shared" si="9"/>
        <v>0</v>
      </c>
      <c r="AC932" s="156">
        <v>0.0</v>
      </c>
      <c r="AD932" s="156">
        <v>0.0</v>
      </c>
      <c r="AE932" s="156">
        <v>0.0</v>
      </c>
      <c r="AF932" s="156">
        <v>0.0</v>
      </c>
      <c r="AG932" s="156">
        <v>0.0</v>
      </c>
      <c r="AH932" s="156">
        <v>0.0</v>
      </c>
      <c r="BN932" s="155">
        <v>0.0</v>
      </c>
      <c r="BO932" s="155">
        <v>0.0</v>
      </c>
      <c r="BP932" s="155">
        <v>0.0</v>
      </c>
      <c r="BQ932" s="155">
        <v>0.0</v>
      </c>
      <c r="BR932" s="155">
        <v>0.0</v>
      </c>
      <c r="BS932" s="155">
        <v>0.0</v>
      </c>
      <c r="CV932" s="156">
        <v>0.0</v>
      </c>
      <c r="CW932" s="156">
        <v>0.0</v>
      </c>
      <c r="CX932" s="156">
        <v>0.0</v>
      </c>
      <c r="CY932" s="156">
        <v>0.0</v>
      </c>
      <c r="CZ932" s="156">
        <v>0.0</v>
      </c>
      <c r="DA932" s="156">
        <v>0.0</v>
      </c>
      <c r="EG932" s="156">
        <v>0.0</v>
      </c>
      <c r="EH932" s="156">
        <v>0.0</v>
      </c>
      <c r="EI932" s="156">
        <v>0.0</v>
      </c>
      <c r="EJ932" s="156">
        <v>0.0</v>
      </c>
      <c r="EK932" s="156">
        <v>0.0</v>
      </c>
      <c r="EL932" s="156">
        <v>0.0</v>
      </c>
      <c r="FQ932" s="156">
        <v>0.0</v>
      </c>
      <c r="FR932" s="156">
        <v>0.0</v>
      </c>
      <c r="FS932" s="156">
        <v>0.0</v>
      </c>
      <c r="FT932" s="156">
        <v>0.0</v>
      </c>
      <c r="FU932" s="156">
        <v>0.0</v>
      </c>
      <c r="FV932" s="156">
        <v>0.0</v>
      </c>
      <c r="FW932" s="157"/>
      <c r="FX932" s="157"/>
      <c r="FY932" s="157"/>
      <c r="FZ932" s="157"/>
      <c r="GA932" s="157"/>
      <c r="GB932" s="157"/>
      <c r="GC932" s="157"/>
      <c r="GD932" s="157"/>
      <c r="GE932" s="157"/>
      <c r="GF932" s="157"/>
      <c r="GG932" s="157"/>
      <c r="GH932" s="157"/>
      <c r="GI932" s="157"/>
      <c r="GJ932" s="157"/>
      <c r="GK932" s="157"/>
      <c r="GL932" s="157"/>
      <c r="GM932" s="157"/>
      <c r="GN932" s="157"/>
      <c r="GO932" s="157"/>
      <c r="GP932" s="158"/>
      <c r="GQ932" s="157"/>
      <c r="GR932" s="157"/>
      <c r="GS932" s="157"/>
      <c r="GT932" s="157"/>
      <c r="GU932" s="157"/>
      <c r="GV932" s="157"/>
      <c r="GW932" s="157"/>
      <c r="GX932" s="157"/>
      <c r="GY932" s="157"/>
      <c r="GZ932" s="157"/>
      <c r="HA932" s="157"/>
      <c r="HB932" s="155">
        <v>0.0</v>
      </c>
      <c r="HC932" s="155">
        <v>0.0</v>
      </c>
      <c r="HD932" s="155">
        <v>0.0</v>
      </c>
      <c r="HE932" s="155">
        <v>0.0</v>
      </c>
      <c r="HF932" s="155">
        <v>0.0</v>
      </c>
      <c r="HG932" s="155">
        <v>0.0</v>
      </c>
      <c r="IL932" s="159">
        <v>0.0</v>
      </c>
      <c r="IM932" s="156">
        <v>0.0</v>
      </c>
      <c r="IN932" s="156">
        <v>0.0</v>
      </c>
      <c r="IO932" s="156">
        <v>0.0</v>
      </c>
      <c r="IP932" s="156">
        <v>0.0</v>
      </c>
      <c r="IQ932" s="160">
        <v>0.0</v>
      </c>
      <c r="JH932" s="25"/>
      <c r="JW932" s="159">
        <v>0.0</v>
      </c>
      <c r="JX932" s="156">
        <v>0.0</v>
      </c>
      <c r="JY932" s="156">
        <v>0.0</v>
      </c>
      <c r="JZ932" s="156">
        <v>0.0</v>
      </c>
      <c r="KA932" s="156">
        <v>0.0</v>
      </c>
      <c r="KB932" s="160">
        <v>0.0</v>
      </c>
      <c r="LH932" s="159">
        <f t="shared" si="10"/>
        <v>0</v>
      </c>
      <c r="LI932" s="156">
        <f t="shared" si="11"/>
        <v>0</v>
      </c>
      <c r="LJ932" s="156">
        <f t="shared" si="12"/>
        <v>0</v>
      </c>
      <c r="LK932" s="156">
        <f t="shared" si="13"/>
        <v>0</v>
      </c>
      <c r="LL932" s="156">
        <f t="shared" si="14"/>
        <v>0</v>
      </c>
      <c r="LM932" s="160">
        <f t="shared" si="15"/>
        <v>0</v>
      </c>
      <c r="QX932" s="633"/>
    </row>
    <row r="933">
      <c r="A933" s="12"/>
      <c r="B933" s="12"/>
      <c r="C933" s="12"/>
      <c r="D933" s="12"/>
      <c r="E933" s="12"/>
      <c r="F933" s="12"/>
      <c r="G933" s="12"/>
      <c r="H933" s="12"/>
      <c r="I933" s="143">
        <f t="shared" si="22"/>
        <v>0</v>
      </c>
      <c r="J933" s="108"/>
      <c r="K933" s="203"/>
      <c r="L933" s="108"/>
      <c r="V933" s="161"/>
      <c r="X933" s="140"/>
      <c r="Y933" s="166">
        <f t="shared" si="23"/>
        <v>0</v>
      </c>
      <c r="Z933" s="26">
        <f t="shared" si="7"/>
        <v>0</v>
      </c>
      <c r="AA933" s="26">
        <f t="shared" si="8"/>
        <v>0</v>
      </c>
      <c r="AB933" s="26">
        <f t="shared" si="9"/>
        <v>0</v>
      </c>
      <c r="AC933" s="156">
        <v>0.0</v>
      </c>
      <c r="AD933" s="156">
        <v>0.0</v>
      </c>
      <c r="AE933" s="156">
        <v>0.0</v>
      </c>
      <c r="AF933" s="156">
        <v>0.0</v>
      </c>
      <c r="AG933" s="156">
        <v>0.0</v>
      </c>
      <c r="AH933" s="156">
        <v>0.0</v>
      </c>
      <c r="BN933" s="155">
        <v>0.0</v>
      </c>
      <c r="BO933" s="155">
        <v>0.0</v>
      </c>
      <c r="BP933" s="155">
        <v>0.0</v>
      </c>
      <c r="BQ933" s="155">
        <v>0.0</v>
      </c>
      <c r="BR933" s="155">
        <v>0.0</v>
      </c>
      <c r="BS933" s="155">
        <v>0.0</v>
      </c>
      <c r="CV933" s="156">
        <v>0.0</v>
      </c>
      <c r="CW933" s="156">
        <v>0.0</v>
      </c>
      <c r="CX933" s="156">
        <v>0.0</v>
      </c>
      <c r="CY933" s="156">
        <v>0.0</v>
      </c>
      <c r="CZ933" s="156">
        <v>0.0</v>
      </c>
      <c r="DA933" s="156">
        <v>0.0</v>
      </c>
      <c r="EG933" s="156">
        <v>0.0</v>
      </c>
      <c r="EH933" s="156">
        <v>0.0</v>
      </c>
      <c r="EI933" s="156">
        <v>0.0</v>
      </c>
      <c r="EJ933" s="156">
        <v>0.0</v>
      </c>
      <c r="EK933" s="156">
        <v>0.0</v>
      </c>
      <c r="EL933" s="156">
        <v>0.0</v>
      </c>
      <c r="FQ933" s="156">
        <v>0.0</v>
      </c>
      <c r="FR933" s="156">
        <v>0.0</v>
      </c>
      <c r="FS933" s="156">
        <v>0.0</v>
      </c>
      <c r="FT933" s="156">
        <v>0.0</v>
      </c>
      <c r="FU933" s="156">
        <v>0.0</v>
      </c>
      <c r="FV933" s="156">
        <v>0.0</v>
      </c>
      <c r="FW933" s="157"/>
      <c r="FX933" s="157"/>
      <c r="FY933" s="157"/>
      <c r="FZ933" s="157"/>
      <c r="GA933" s="157"/>
      <c r="GB933" s="157"/>
      <c r="GC933" s="157"/>
      <c r="GD933" s="157"/>
      <c r="GE933" s="157"/>
      <c r="GF933" s="157"/>
      <c r="GG933" s="157"/>
      <c r="GH933" s="157"/>
      <c r="GI933" s="157"/>
      <c r="GJ933" s="157"/>
      <c r="GK933" s="157"/>
      <c r="GL933" s="157"/>
      <c r="GM933" s="157"/>
      <c r="GN933" s="157"/>
      <c r="GO933" s="157"/>
      <c r="GP933" s="158"/>
      <c r="GQ933" s="157"/>
      <c r="GR933" s="157"/>
      <c r="GS933" s="157"/>
      <c r="GT933" s="157"/>
      <c r="GU933" s="157"/>
      <c r="GV933" s="157"/>
      <c r="GW933" s="157"/>
      <c r="GX933" s="157"/>
      <c r="GY933" s="157"/>
      <c r="GZ933" s="157"/>
      <c r="HA933" s="157"/>
      <c r="HB933" s="155">
        <v>0.0</v>
      </c>
      <c r="HC933" s="155">
        <v>0.0</v>
      </c>
      <c r="HD933" s="155">
        <v>0.0</v>
      </c>
      <c r="HE933" s="155">
        <v>0.0</v>
      </c>
      <c r="HF933" s="155">
        <v>0.0</v>
      </c>
      <c r="HG933" s="155">
        <v>0.0</v>
      </c>
      <c r="IL933" s="159">
        <v>0.0</v>
      </c>
      <c r="IM933" s="156">
        <v>0.0</v>
      </c>
      <c r="IN933" s="156">
        <v>0.0</v>
      </c>
      <c r="IO933" s="156">
        <v>0.0</v>
      </c>
      <c r="IP933" s="156">
        <v>0.0</v>
      </c>
      <c r="IQ933" s="160">
        <v>0.0</v>
      </c>
      <c r="JH933" s="25"/>
      <c r="JW933" s="159">
        <v>0.0</v>
      </c>
      <c r="JX933" s="156">
        <v>0.0</v>
      </c>
      <c r="JY933" s="156">
        <v>0.0</v>
      </c>
      <c r="JZ933" s="156">
        <v>0.0</v>
      </c>
      <c r="KA933" s="156">
        <v>0.0</v>
      </c>
      <c r="KB933" s="160">
        <v>0.0</v>
      </c>
      <c r="LH933" s="159">
        <f t="shared" si="10"/>
        <v>0</v>
      </c>
      <c r="LI933" s="156">
        <f t="shared" si="11"/>
        <v>0</v>
      </c>
      <c r="LJ933" s="156">
        <f t="shared" si="12"/>
        <v>0</v>
      </c>
      <c r="LK933" s="156">
        <f t="shared" si="13"/>
        <v>0</v>
      </c>
      <c r="LL933" s="156">
        <f t="shared" si="14"/>
        <v>0</v>
      </c>
      <c r="LM933" s="160">
        <f t="shared" si="15"/>
        <v>0</v>
      </c>
      <c r="QX933" s="633"/>
    </row>
    <row r="934">
      <c r="A934" s="12"/>
      <c r="B934" s="12"/>
      <c r="C934" s="12"/>
      <c r="D934" s="12"/>
      <c r="E934" s="12"/>
      <c r="F934" s="12"/>
      <c r="G934" s="12"/>
      <c r="H934" s="12"/>
      <c r="I934" s="143">
        <f t="shared" si="22"/>
        <v>0</v>
      </c>
      <c r="J934" s="108"/>
      <c r="K934" s="203"/>
      <c r="L934" s="108"/>
      <c r="V934" s="161"/>
      <c r="X934" s="140"/>
      <c r="Y934" s="166">
        <f t="shared" si="23"/>
        <v>0</v>
      </c>
      <c r="Z934" s="26">
        <f t="shared" si="7"/>
        <v>0</v>
      </c>
      <c r="AA934" s="26">
        <f t="shared" si="8"/>
        <v>0</v>
      </c>
      <c r="AB934" s="26">
        <f t="shared" si="9"/>
        <v>0</v>
      </c>
      <c r="AC934" s="156">
        <v>0.0</v>
      </c>
      <c r="AD934" s="156">
        <v>0.0</v>
      </c>
      <c r="AE934" s="156">
        <v>0.0</v>
      </c>
      <c r="AF934" s="156">
        <v>0.0</v>
      </c>
      <c r="AG934" s="156">
        <v>0.0</v>
      </c>
      <c r="AH934" s="156">
        <v>0.0</v>
      </c>
      <c r="BN934" s="155">
        <v>0.0</v>
      </c>
      <c r="BO934" s="155">
        <v>0.0</v>
      </c>
      <c r="BP934" s="155">
        <v>0.0</v>
      </c>
      <c r="BQ934" s="155">
        <v>0.0</v>
      </c>
      <c r="BR934" s="155">
        <v>0.0</v>
      </c>
      <c r="BS934" s="155">
        <v>0.0</v>
      </c>
      <c r="CV934" s="156">
        <v>0.0</v>
      </c>
      <c r="CW934" s="156">
        <v>0.0</v>
      </c>
      <c r="CX934" s="156">
        <v>0.0</v>
      </c>
      <c r="CY934" s="156">
        <v>0.0</v>
      </c>
      <c r="CZ934" s="156">
        <v>0.0</v>
      </c>
      <c r="DA934" s="156">
        <v>0.0</v>
      </c>
      <c r="EG934" s="156">
        <v>0.0</v>
      </c>
      <c r="EH934" s="156">
        <v>0.0</v>
      </c>
      <c r="EI934" s="156">
        <v>0.0</v>
      </c>
      <c r="EJ934" s="156">
        <v>0.0</v>
      </c>
      <c r="EK934" s="156">
        <v>0.0</v>
      </c>
      <c r="EL934" s="156">
        <v>0.0</v>
      </c>
      <c r="FQ934" s="156">
        <v>0.0</v>
      </c>
      <c r="FR934" s="156">
        <v>0.0</v>
      </c>
      <c r="FS934" s="156">
        <v>0.0</v>
      </c>
      <c r="FT934" s="156">
        <v>0.0</v>
      </c>
      <c r="FU934" s="156">
        <v>0.0</v>
      </c>
      <c r="FV934" s="156">
        <v>0.0</v>
      </c>
      <c r="FW934" s="157"/>
      <c r="FX934" s="157"/>
      <c r="FY934" s="157"/>
      <c r="FZ934" s="157"/>
      <c r="GA934" s="157"/>
      <c r="GB934" s="157"/>
      <c r="GC934" s="157"/>
      <c r="GD934" s="157"/>
      <c r="GE934" s="157"/>
      <c r="GF934" s="157"/>
      <c r="GG934" s="157"/>
      <c r="GH934" s="157"/>
      <c r="GI934" s="157"/>
      <c r="GJ934" s="157"/>
      <c r="GK934" s="157"/>
      <c r="GL934" s="157"/>
      <c r="GM934" s="157"/>
      <c r="GN934" s="157"/>
      <c r="GO934" s="157"/>
      <c r="GP934" s="158"/>
      <c r="GQ934" s="157"/>
      <c r="GR934" s="157"/>
      <c r="GS934" s="157"/>
      <c r="GT934" s="157"/>
      <c r="GU934" s="157"/>
      <c r="GV934" s="157"/>
      <c r="GW934" s="157"/>
      <c r="GX934" s="157"/>
      <c r="GY934" s="157"/>
      <c r="GZ934" s="157"/>
      <c r="HA934" s="157"/>
      <c r="HB934" s="155">
        <v>0.0</v>
      </c>
      <c r="HC934" s="155">
        <v>0.0</v>
      </c>
      <c r="HD934" s="155">
        <v>0.0</v>
      </c>
      <c r="HE934" s="155">
        <v>0.0</v>
      </c>
      <c r="HF934" s="155">
        <v>0.0</v>
      </c>
      <c r="HG934" s="155">
        <v>0.0</v>
      </c>
      <c r="IL934" s="159">
        <v>0.0</v>
      </c>
      <c r="IM934" s="156">
        <v>0.0</v>
      </c>
      <c r="IN934" s="156">
        <v>0.0</v>
      </c>
      <c r="IO934" s="156">
        <v>0.0</v>
      </c>
      <c r="IP934" s="156">
        <v>0.0</v>
      </c>
      <c r="IQ934" s="160">
        <v>0.0</v>
      </c>
      <c r="JH934" s="25"/>
      <c r="JW934" s="159">
        <v>0.0</v>
      </c>
      <c r="JX934" s="156">
        <v>0.0</v>
      </c>
      <c r="JY934" s="156">
        <v>0.0</v>
      </c>
      <c r="JZ934" s="156">
        <v>0.0</v>
      </c>
      <c r="KA934" s="156">
        <v>0.0</v>
      </c>
      <c r="KB934" s="160">
        <v>0.0</v>
      </c>
      <c r="LH934" s="159">
        <f t="shared" si="10"/>
        <v>0</v>
      </c>
      <c r="LI934" s="156">
        <f t="shared" si="11"/>
        <v>0</v>
      </c>
      <c r="LJ934" s="156">
        <f t="shared" si="12"/>
        <v>0</v>
      </c>
      <c r="LK934" s="156">
        <f t="shared" si="13"/>
        <v>0</v>
      </c>
      <c r="LL934" s="156">
        <f t="shared" si="14"/>
        <v>0</v>
      </c>
      <c r="LM934" s="160">
        <f t="shared" si="15"/>
        <v>0</v>
      </c>
      <c r="QX934" s="633"/>
    </row>
    <row r="935">
      <c r="A935" s="12"/>
      <c r="B935" s="12"/>
      <c r="C935" s="12"/>
      <c r="D935" s="12"/>
      <c r="E935" s="12"/>
      <c r="F935" s="12"/>
      <c r="G935" s="12"/>
      <c r="H935" s="12"/>
      <c r="I935" s="143">
        <f t="shared" si="22"/>
        <v>0</v>
      </c>
      <c r="J935" s="108"/>
      <c r="K935" s="203"/>
      <c r="L935" s="108"/>
      <c r="V935" s="161"/>
      <c r="X935" s="140"/>
      <c r="Y935" s="166">
        <f t="shared" si="23"/>
        <v>0</v>
      </c>
      <c r="Z935" s="26">
        <f t="shared" si="7"/>
        <v>0</v>
      </c>
      <c r="AA935" s="26">
        <f t="shared" si="8"/>
        <v>0</v>
      </c>
      <c r="AB935" s="26">
        <f t="shared" si="9"/>
        <v>0</v>
      </c>
      <c r="AC935" s="156">
        <v>0.0</v>
      </c>
      <c r="AD935" s="156">
        <v>0.0</v>
      </c>
      <c r="AE935" s="156">
        <v>0.0</v>
      </c>
      <c r="AF935" s="156">
        <v>0.0</v>
      </c>
      <c r="AG935" s="156">
        <v>0.0</v>
      </c>
      <c r="AH935" s="156">
        <v>0.0</v>
      </c>
      <c r="BN935" s="155">
        <v>0.0</v>
      </c>
      <c r="BO935" s="155">
        <v>0.0</v>
      </c>
      <c r="BP935" s="155">
        <v>0.0</v>
      </c>
      <c r="BQ935" s="155">
        <v>0.0</v>
      </c>
      <c r="BR935" s="155">
        <v>0.0</v>
      </c>
      <c r="BS935" s="155">
        <v>0.0</v>
      </c>
      <c r="CV935" s="156">
        <v>0.0</v>
      </c>
      <c r="CW935" s="156">
        <v>0.0</v>
      </c>
      <c r="CX935" s="156">
        <v>0.0</v>
      </c>
      <c r="CY935" s="156">
        <v>0.0</v>
      </c>
      <c r="CZ935" s="156">
        <v>0.0</v>
      </c>
      <c r="DA935" s="156">
        <v>0.0</v>
      </c>
      <c r="EG935" s="156">
        <v>0.0</v>
      </c>
      <c r="EH935" s="156">
        <v>0.0</v>
      </c>
      <c r="EI935" s="156">
        <v>0.0</v>
      </c>
      <c r="EJ935" s="156">
        <v>0.0</v>
      </c>
      <c r="EK935" s="156">
        <v>0.0</v>
      </c>
      <c r="EL935" s="156">
        <v>0.0</v>
      </c>
      <c r="FQ935" s="156">
        <v>0.0</v>
      </c>
      <c r="FR935" s="156">
        <v>0.0</v>
      </c>
      <c r="FS935" s="156">
        <v>0.0</v>
      </c>
      <c r="FT935" s="156">
        <v>0.0</v>
      </c>
      <c r="FU935" s="156">
        <v>0.0</v>
      </c>
      <c r="FV935" s="156">
        <v>0.0</v>
      </c>
      <c r="FW935" s="157"/>
      <c r="FX935" s="157"/>
      <c r="FY935" s="157"/>
      <c r="FZ935" s="157"/>
      <c r="GA935" s="157"/>
      <c r="GB935" s="157"/>
      <c r="GC935" s="157"/>
      <c r="GD935" s="157"/>
      <c r="GE935" s="157"/>
      <c r="GF935" s="157"/>
      <c r="GG935" s="157"/>
      <c r="GH935" s="157"/>
      <c r="GI935" s="157"/>
      <c r="GJ935" s="157"/>
      <c r="GK935" s="157"/>
      <c r="GL935" s="157"/>
      <c r="GM935" s="157"/>
      <c r="GN935" s="157"/>
      <c r="GO935" s="157"/>
      <c r="GP935" s="158"/>
      <c r="GQ935" s="157"/>
      <c r="GR935" s="157"/>
      <c r="GS935" s="157"/>
      <c r="GT935" s="157"/>
      <c r="GU935" s="157"/>
      <c r="GV935" s="157"/>
      <c r="GW935" s="157"/>
      <c r="GX935" s="157"/>
      <c r="GY935" s="157"/>
      <c r="GZ935" s="157"/>
      <c r="HA935" s="157"/>
      <c r="HB935" s="155">
        <v>0.0</v>
      </c>
      <c r="HC935" s="155">
        <v>0.0</v>
      </c>
      <c r="HD935" s="155">
        <v>0.0</v>
      </c>
      <c r="HE935" s="155">
        <v>0.0</v>
      </c>
      <c r="HF935" s="155">
        <v>0.0</v>
      </c>
      <c r="HG935" s="155">
        <v>0.0</v>
      </c>
      <c r="IL935" s="159">
        <v>0.0</v>
      </c>
      <c r="IM935" s="156">
        <v>0.0</v>
      </c>
      <c r="IN935" s="156">
        <v>0.0</v>
      </c>
      <c r="IO935" s="156">
        <v>0.0</v>
      </c>
      <c r="IP935" s="156">
        <v>0.0</v>
      </c>
      <c r="IQ935" s="160">
        <v>0.0</v>
      </c>
      <c r="JH935" s="25"/>
      <c r="JW935" s="159">
        <v>0.0</v>
      </c>
      <c r="JX935" s="156">
        <v>0.0</v>
      </c>
      <c r="JY935" s="156">
        <v>0.0</v>
      </c>
      <c r="JZ935" s="156">
        <v>0.0</v>
      </c>
      <c r="KA935" s="156">
        <v>0.0</v>
      </c>
      <c r="KB935" s="160">
        <v>0.0</v>
      </c>
      <c r="LH935" s="159">
        <f t="shared" si="10"/>
        <v>0</v>
      </c>
      <c r="LI935" s="156">
        <f t="shared" si="11"/>
        <v>0</v>
      </c>
      <c r="LJ935" s="156">
        <f t="shared" si="12"/>
        <v>0</v>
      </c>
      <c r="LK935" s="156">
        <f t="shared" si="13"/>
        <v>0</v>
      </c>
      <c r="LL935" s="156">
        <f t="shared" si="14"/>
        <v>0</v>
      </c>
      <c r="LM935" s="160">
        <f t="shared" si="15"/>
        <v>0</v>
      </c>
      <c r="QX935" s="633"/>
    </row>
    <row r="936">
      <c r="A936" s="12"/>
      <c r="B936" s="12"/>
      <c r="C936" s="12"/>
      <c r="D936" s="12"/>
      <c r="E936" s="12"/>
      <c r="F936" s="12"/>
      <c r="G936" s="12"/>
      <c r="H936" s="12"/>
      <c r="I936" s="143">
        <f t="shared" si="22"/>
        <v>0</v>
      </c>
      <c r="J936" s="108"/>
      <c r="K936" s="203"/>
      <c r="L936" s="108"/>
      <c r="V936" s="161"/>
      <c r="X936" s="140"/>
      <c r="Y936" s="166">
        <f t="shared" si="23"/>
        <v>0</v>
      </c>
      <c r="Z936" s="26">
        <f t="shared" si="7"/>
        <v>0</v>
      </c>
      <c r="AA936" s="26">
        <f t="shared" si="8"/>
        <v>0</v>
      </c>
      <c r="AB936" s="26">
        <f t="shared" si="9"/>
        <v>0</v>
      </c>
      <c r="AC936" s="156">
        <v>0.0</v>
      </c>
      <c r="AD936" s="156">
        <v>0.0</v>
      </c>
      <c r="AE936" s="156">
        <v>0.0</v>
      </c>
      <c r="AF936" s="156">
        <v>0.0</v>
      </c>
      <c r="AG936" s="156">
        <v>0.0</v>
      </c>
      <c r="AH936" s="156">
        <v>0.0</v>
      </c>
      <c r="BN936" s="155">
        <v>0.0</v>
      </c>
      <c r="BO936" s="155">
        <v>0.0</v>
      </c>
      <c r="BP936" s="155">
        <v>0.0</v>
      </c>
      <c r="BQ936" s="155">
        <v>0.0</v>
      </c>
      <c r="BR936" s="155">
        <v>0.0</v>
      </c>
      <c r="BS936" s="155">
        <v>0.0</v>
      </c>
      <c r="CV936" s="156">
        <v>0.0</v>
      </c>
      <c r="CW936" s="156">
        <v>0.0</v>
      </c>
      <c r="CX936" s="156">
        <v>0.0</v>
      </c>
      <c r="CY936" s="156">
        <v>0.0</v>
      </c>
      <c r="CZ936" s="156">
        <v>0.0</v>
      </c>
      <c r="DA936" s="156">
        <v>0.0</v>
      </c>
      <c r="EG936" s="156">
        <v>0.0</v>
      </c>
      <c r="EH936" s="156">
        <v>0.0</v>
      </c>
      <c r="EI936" s="156">
        <v>0.0</v>
      </c>
      <c r="EJ936" s="156">
        <v>0.0</v>
      </c>
      <c r="EK936" s="156">
        <v>0.0</v>
      </c>
      <c r="EL936" s="156">
        <v>0.0</v>
      </c>
      <c r="FQ936" s="156">
        <v>0.0</v>
      </c>
      <c r="FR936" s="156">
        <v>0.0</v>
      </c>
      <c r="FS936" s="156">
        <v>0.0</v>
      </c>
      <c r="FT936" s="156">
        <v>0.0</v>
      </c>
      <c r="FU936" s="156">
        <v>0.0</v>
      </c>
      <c r="FV936" s="156">
        <v>0.0</v>
      </c>
      <c r="FW936" s="157"/>
      <c r="FX936" s="157"/>
      <c r="FY936" s="157"/>
      <c r="FZ936" s="157"/>
      <c r="GA936" s="157"/>
      <c r="GB936" s="157"/>
      <c r="GC936" s="157"/>
      <c r="GD936" s="157"/>
      <c r="GE936" s="157"/>
      <c r="GF936" s="157"/>
      <c r="GG936" s="157"/>
      <c r="GH936" s="157"/>
      <c r="GI936" s="157"/>
      <c r="GJ936" s="157"/>
      <c r="GK936" s="157"/>
      <c r="GL936" s="157"/>
      <c r="GM936" s="157"/>
      <c r="GN936" s="157"/>
      <c r="GO936" s="157"/>
      <c r="GP936" s="158"/>
      <c r="GQ936" s="157"/>
      <c r="GR936" s="157"/>
      <c r="GS936" s="157"/>
      <c r="GT936" s="157"/>
      <c r="GU936" s="157"/>
      <c r="GV936" s="157"/>
      <c r="GW936" s="157"/>
      <c r="GX936" s="157"/>
      <c r="GY936" s="157"/>
      <c r="GZ936" s="157"/>
      <c r="HA936" s="157"/>
      <c r="HB936" s="155">
        <v>0.0</v>
      </c>
      <c r="HC936" s="155">
        <v>0.0</v>
      </c>
      <c r="HD936" s="155">
        <v>0.0</v>
      </c>
      <c r="HE936" s="155">
        <v>0.0</v>
      </c>
      <c r="HF936" s="155">
        <v>0.0</v>
      </c>
      <c r="HG936" s="155">
        <v>0.0</v>
      </c>
      <c r="IL936" s="159">
        <v>0.0</v>
      </c>
      <c r="IM936" s="156">
        <v>0.0</v>
      </c>
      <c r="IN936" s="156">
        <v>0.0</v>
      </c>
      <c r="IO936" s="156">
        <v>0.0</v>
      </c>
      <c r="IP936" s="156">
        <v>0.0</v>
      </c>
      <c r="IQ936" s="160">
        <v>0.0</v>
      </c>
      <c r="JH936" s="25"/>
      <c r="JW936" s="159">
        <v>0.0</v>
      </c>
      <c r="JX936" s="156">
        <v>0.0</v>
      </c>
      <c r="JY936" s="156">
        <v>0.0</v>
      </c>
      <c r="JZ936" s="156">
        <v>0.0</v>
      </c>
      <c r="KA936" s="156">
        <v>0.0</v>
      </c>
      <c r="KB936" s="160">
        <v>0.0</v>
      </c>
      <c r="LH936" s="159">
        <f t="shared" si="10"/>
        <v>0</v>
      </c>
      <c r="LI936" s="156">
        <f t="shared" si="11"/>
        <v>0</v>
      </c>
      <c r="LJ936" s="156">
        <f t="shared" si="12"/>
        <v>0</v>
      </c>
      <c r="LK936" s="156">
        <f t="shared" si="13"/>
        <v>0</v>
      </c>
      <c r="LL936" s="156">
        <f t="shared" si="14"/>
        <v>0</v>
      </c>
      <c r="LM936" s="160">
        <f t="shared" si="15"/>
        <v>0</v>
      </c>
      <c r="QX936" s="633"/>
    </row>
    <row r="937">
      <c r="A937" s="12"/>
      <c r="B937" s="12"/>
      <c r="C937" s="12"/>
      <c r="D937" s="12"/>
      <c r="E937" s="12"/>
      <c r="F937" s="12"/>
      <c r="G937" s="12"/>
      <c r="H937" s="12"/>
      <c r="I937" s="143">
        <f t="shared" si="22"/>
        <v>0</v>
      </c>
      <c r="J937" s="108"/>
      <c r="K937" s="203"/>
      <c r="L937" s="108"/>
      <c r="V937" s="161"/>
      <c r="X937" s="140"/>
      <c r="Y937" s="166">
        <f t="shared" si="23"/>
        <v>0</v>
      </c>
      <c r="Z937" s="26">
        <f t="shared" si="7"/>
        <v>0</v>
      </c>
      <c r="AA937" s="26">
        <f t="shared" si="8"/>
        <v>0</v>
      </c>
      <c r="AB937" s="26">
        <f t="shared" si="9"/>
        <v>0</v>
      </c>
      <c r="AC937" s="156">
        <v>0.0</v>
      </c>
      <c r="AD937" s="156">
        <v>0.0</v>
      </c>
      <c r="AE937" s="156">
        <v>0.0</v>
      </c>
      <c r="AF937" s="156">
        <v>0.0</v>
      </c>
      <c r="AG937" s="156">
        <v>0.0</v>
      </c>
      <c r="AH937" s="156">
        <v>0.0</v>
      </c>
      <c r="BN937" s="155">
        <v>0.0</v>
      </c>
      <c r="BO937" s="155">
        <v>0.0</v>
      </c>
      <c r="BP937" s="155">
        <v>0.0</v>
      </c>
      <c r="BQ937" s="155">
        <v>0.0</v>
      </c>
      <c r="BR937" s="155">
        <v>0.0</v>
      </c>
      <c r="BS937" s="155">
        <v>0.0</v>
      </c>
      <c r="CV937" s="156">
        <v>0.0</v>
      </c>
      <c r="CW937" s="156">
        <v>0.0</v>
      </c>
      <c r="CX937" s="156">
        <v>0.0</v>
      </c>
      <c r="CY937" s="156">
        <v>0.0</v>
      </c>
      <c r="CZ937" s="156">
        <v>0.0</v>
      </c>
      <c r="DA937" s="156">
        <v>0.0</v>
      </c>
      <c r="EG937" s="156">
        <v>0.0</v>
      </c>
      <c r="EH937" s="156">
        <v>0.0</v>
      </c>
      <c r="EI937" s="156">
        <v>0.0</v>
      </c>
      <c r="EJ937" s="156">
        <v>0.0</v>
      </c>
      <c r="EK937" s="156">
        <v>0.0</v>
      </c>
      <c r="EL937" s="156">
        <v>0.0</v>
      </c>
      <c r="FQ937" s="156">
        <v>0.0</v>
      </c>
      <c r="FR937" s="156">
        <v>0.0</v>
      </c>
      <c r="FS937" s="156">
        <v>0.0</v>
      </c>
      <c r="FT937" s="156">
        <v>0.0</v>
      </c>
      <c r="FU937" s="156">
        <v>0.0</v>
      </c>
      <c r="FV937" s="156">
        <v>0.0</v>
      </c>
      <c r="FW937" s="157"/>
      <c r="FX937" s="157"/>
      <c r="FY937" s="157"/>
      <c r="FZ937" s="157"/>
      <c r="GA937" s="157"/>
      <c r="GB937" s="157"/>
      <c r="GC937" s="157"/>
      <c r="GD937" s="157"/>
      <c r="GE937" s="157"/>
      <c r="GF937" s="157"/>
      <c r="GG937" s="157"/>
      <c r="GH937" s="157"/>
      <c r="GI937" s="157"/>
      <c r="GJ937" s="157"/>
      <c r="GK937" s="157"/>
      <c r="GL937" s="157"/>
      <c r="GM937" s="157"/>
      <c r="GN937" s="157"/>
      <c r="GO937" s="157"/>
      <c r="GP937" s="158"/>
      <c r="GQ937" s="157"/>
      <c r="GR937" s="157"/>
      <c r="GS937" s="157"/>
      <c r="GT937" s="157"/>
      <c r="GU937" s="157"/>
      <c r="GV937" s="157"/>
      <c r="GW937" s="157"/>
      <c r="GX937" s="157"/>
      <c r="GY937" s="157"/>
      <c r="GZ937" s="157"/>
      <c r="HA937" s="157"/>
      <c r="HB937" s="155">
        <v>0.0</v>
      </c>
      <c r="HC937" s="155">
        <v>0.0</v>
      </c>
      <c r="HD937" s="155">
        <v>0.0</v>
      </c>
      <c r="HE937" s="155">
        <v>0.0</v>
      </c>
      <c r="HF937" s="155">
        <v>0.0</v>
      </c>
      <c r="HG937" s="155">
        <v>0.0</v>
      </c>
      <c r="IL937" s="159">
        <v>0.0</v>
      </c>
      <c r="IM937" s="156">
        <v>0.0</v>
      </c>
      <c r="IN937" s="156">
        <v>0.0</v>
      </c>
      <c r="IO937" s="156">
        <v>0.0</v>
      </c>
      <c r="IP937" s="156">
        <v>0.0</v>
      </c>
      <c r="IQ937" s="160">
        <v>0.0</v>
      </c>
      <c r="JH937" s="25"/>
      <c r="JW937" s="159">
        <v>0.0</v>
      </c>
      <c r="JX937" s="156">
        <v>0.0</v>
      </c>
      <c r="JY937" s="156">
        <v>0.0</v>
      </c>
      <c r="JZ937" s="156">
        <v>0.0</v>
      </c>
      <c r="KA937" s="156">
        <v>0.0</v>
      </c>
      <c r="KB937" s="160">
        <v>0.0</v>
      </c>
      <c r="LH937" s="159">
        <f t="shared" si="10"/>
        <v>0</v>
      </c>
      <c r="LI937" s="156">
        <f t="shared" si="11"/>
        <v>0</v>
      </c>
      <c r="LJ937" s="156">
        <f t="shared" si="12"/>
        <v>0</v>
      </c>
      <c r="LK937" s="156">
        <f t="shared" si="13"/>
        <v>0</v>
      </c>
      <c r="LL937" s="156">
        <f t="shared" si="14"/>
        <v>0</v>
      </c>
      <c r="LM937" s="160">
        <f t="shared" si="15"/>
        <v>0</v>
      </c>
      <c r="QX937" s="633"/>
    </row>
    <row r="938">
      <c r="A938" s="12"/>
      <c r="B938" s="12"/>
      <c r="C938" s="12"/>
      <c r="D938" s="12"/>
      <c r="E938" s="12"/>
      <c r="F938" s="12"/>
      <c r="G938" s="12"/>
      <c r="H938" s="12"/>
      <c r="I938" s="143">
        <f t="shared" si="22"/>
        <v>0</v>
      </c>
      <c r="J938" s="108"/>
      <c r="K938" s="203"/>
      <c r="L938" s="108"/>
      <c r="V938" s="161"/>
      <c r="X938" s="140"/>
      <c r="Y938" s="166">
        <f t="shared" si="23"/>
        <v>0</v>
      </c>
      <c r="Z938" s="26">
        <f t="shared" si="7"/>
        <v>0</v>
      </c>
      <c r="AA938" s="26">
        <f t="shared" si="8"/>
        <v>0</v>
      </c>
      <c r="AB938" s="26">
        <f t="shared" si="9"/>
        <v>0</v>
      </c>
      <c r="AC938" s="156">
        <v>0.0</v>
      </c>
      <c r="AD938" s="156">
        <v>0.0</v>
      </c>
      <c r="AE938" s="156">
        <v>0.0</v>
      </c>
      <c r="AF938" s="156">
        <v>0.0</v>
      </c>
      <c r="AG938" s="156">
        <v>0.0</v>
      </c>
      <c r="AH938" s="156">
        <v>0.0</v>
      </c>
      <c r="BN938" s="155">
        <v>0.0</v>
      </c>
      <c r="BO938" s="155">
        <v>0.0</v>
      </c>
      <c r="BP938" s="155">
        <v>0.0</v>
      </c>
      <c r="BQ938" s="155">
        <v>0.0</v>
      </c>
      <c r="BR938" s="155">
        <v>0.0</v>
      </c>
      <c r="BS938" s="155">
        <v>0.0</v>
      </c>
      <c r="CV938" s="156">
        <v>0.0</v>
      </c>
      <c r="CW938" s="156">
        <v>0.0</v>
      </c>
      <c r="CX938" s="156">
        <v>0.0</v>
      </c>
      <c r="CY938" s="156">
        <v>0.0</v>
      </c>
      <c r="CZ938" s="156">
        <v>0.0</v>
      </c>
      <c r="DA938" s="156">
        <v>0.0</v>
      </c>
      <c r="EG938" s="156">
        <v>0.0</v>
      </c>
      <c r="EH938" s="156">
        <v>0.0</v>
      </c>
      <c r="EI938" s="156">
        <v>0.0</v>
      </c>
      <c r="EJ938" s="156">
        <v>0.0</v>
      </c>
      <c r="EK938" s="156">
        <v>0.0</v>
      </c>
      <c r="EL938" s="156">
        <v>0.0</v>
      </c>
      <c r="FQ938" s="156">
        <v>0.0</v>
      </c>
      <c r="FR938" s="156">
        <v>0.0</v>
      </c>
      <c r="FS938" s="156">
        <v>0.0</v>
      </c>
      <c r="FT938" s="156">
        <v>0.0</v>
      </c>
      <c r="FU938" s="156">
        <v>0.0</v>
      </c>
      <c r="FV938" s="156">
        <v>0.0</v>
      </c>
      <c r="FW938" s="157"/>
      <c r="FX938" s="157"/>
      <c r="FY938" s="157"/>
      <c r="FZ938" s="157"/>
      <c r="GA938" s="157"/>
      <c r="GB938" s="157"/>
      <c r="GC938" s="157"/>
      <c r="GD938" s="157"/>
      <c r="GE938" s="157"/>
      <c r="GF938" s="157"/>
      <c r="GG938" s="157"/>
      <c r="GH938" s="157"/>
      <c r="GI938" s="157"/>
      <c r="GJ938" s="157"/>
      <c r="GK938" s="157"/>
      <c r="GL938" s="157"/>
      <c r="GM938" s="157"/>
      <c r="GN938" s="157"/>
      <c r="GO938" s="157"/>
      <c r="GP938" s="158"/>
      <c r="GQ938" s="157"/>
      <c r="GR938" s="157"/>
      <c r="GS938" s="157"/>
      <c r="GT938" s="157"/>
      <c r="GU938" s="157"/>
      <c r="GV938" s="157"/>
      <c r="GW938" s="157"/>
      <c r="GX938" s="157"/>
      <c r="GY938" s="157"/>
      <c r="GZ938" s="157"/>
      <c r="HA938" s="157"/>
      <c r="HB938" s="155">
        <v>0.0</v>
      </c>
      <c r="HC938" s="155">
        <v>0.0</v>
      </c>
      <c r="HD938" s="155">
        <v>0.0</v>
      </c>
      <c r="HE938" s="155">
        <v>0.0</v>
      </c>
      <c r="HF938" s="155">
        <v>0.0</v>
      </c>
      <c r="HG938" s="155">
        <v>0.0</v>
      </c>
      <c r="IL938" s="159">
        <v>0.0</v>
      </c>
      <c r="IM938" s="156">
        <v>0.0</v>
      </c>
      <c r="IN938" s="156">
        <v>0.0</v>
      </c>
      <c r="IO938" s="156">
        <v>0.0</v>
      </c>
      <c r="IP938" s="156">
        <v>0.0</v>
      </c>
      <c r="IQ938" s="160">
        <v>0.0</v>
      </c>
      <c r="JH938" s="25"/>
      <c r="JW938" s="159">
        <v>0.0</v>
      </c>
      <c r="JX938" s="156">
        <v>0.0</v>
      </c>
      <c r="JY938" s="156">
        <v>0.0</v>
      </c>
      <c r="JZ938" s="156">
        <v>0.0</v>
      </c>
      <c r="KA938" s="156">
        <v>0.0</v>
      </c>
      <c r="KB938" s="160">
        <v>0.0</v>
      </c>
      <c r="LH938" s="159">
        <f t="shared" si="10"/>
        <v>0</v>
      </c>
      <c r="LI938" s="156">
        <f t="shared" si="11"/>
        <v>0</v>
      </c>
      <c r="LJ938" s="156">
        <f t="shared" si="12"/>
        <v>0</v>
      </c>
      <c r="LK938" s="156">
        <f t="shared" si="13"/>
        <v>0</v>
      </c>
      <c r="LL938" s="156">
        <f t="shared" si="14"/>
        <v>0</v>
      </c>
      <c r="LM938" s="160">
        <f t="shared" si="15"/>
        <v>0</v>
      </c>
      <c r="QX938" s="633"/>
    </row>
    <row r="939">
      <c r="A939" s="12"/>
      <c r="B939" s="12"/>
      <c r="C939" s="12"/>
      <c r="D939" s="12"/>
      <c r="E939" s="12"/>
      <c r="F939" s="12"/>
      <c r="G939" s="12"/>
      <c r="H939" s="12"/>
      <c r="I939" s="143">
        <f t="shared" si="22"/>
        <v>0</v>
      </c>
      <c r="J939" s="108"/>
      <c r="K939" s="203"/>
      <c r="L939" s="108"/>
      <c r="V939" s="161"/>
      <c r="X939" s="140"/>
      <c r="Y939" s="166">
        <f t="shared" si="23"/>
        <v>0</v>
      </c>
      <c r="Z939" s="26">
        <f t="shared" si="7"/>
        <v>0</v>
      </c>
      <c r="AA939" s="26">
        <f t="shared" si="8"/>
        <v>0</v>
      </c>
      <c r="AB939" s="26">
        <f t="shared" si="9"/>
        <v>0</v>
      </c>
      <c r="AC939" s="156">
        <v>0.0</v>
      </c>
      <c r="AD939" s="156">
        <v>0.0</v>
      </c>
      <c r="AE939" s="156">
        <v>0.0</v>
      </c>
      <c r="AF939" s="156">
        <v>0.0</v>
      </c>
      <c r="AG939" s="156">
        <v>0.0</v>
      </c>
      <c r="AH939" s="156">
        <v>0.0</v>
      </c>
      <c r="BN939" s="155">
        <v>0.0</v>
      </c>
      <c r="BO939" s="155">
        <v>0.0</v>
      </c>
      <c r="BP939" s="155">
        <v>0.0</v>
      </c>
      <c r="BQ939" s="155">
        <v>0.0</v>
      </c>
      <c r="BR939" s="155">
        <v>0.0</v>
      </c>
      <c r="BS939" s="155">
        <v>0.0</v>
      </c>
      <c r="CV939" s="156">
        <v>0.0</v>
      </c>
      <c r="CW939" s="156">
        <v>0.0</v>
      </c>
      <c r="CX939" s="156">
        <v>0.0</v>
      </c>
      <c r="CY939" s="156">
        <v>0.0</v>
      </c>
      <c r="CZ939" s="156">
        <v>0.0</v>
      </c>
      <c r="DA939" s="156">
        <v>0.0</v>
      </c>
      <c r="EG939" s="156">
        <v>0.0</v>
      </c>
      <c r="EH939" s="156">
        <v>0.0</v>
      </c>
      <c r="EI939" s="156">
        <v>0.0</v>
      </c>
      <c r="EJ939" s="156">
        <v>0.0</v>
      </c>
      <c r="EK939" s="156">
        <v>0.0</v>
      </c>
      <c r="EL939" s="156">
        <v>0.0</v>
      </c>
      <c r="FQ939" s="156">
        <v>0.0</v>
      </c>
      <c r="FR939" s="156">
        <v>0.0</v>
      </c>
      <c r="FS939" s="156">
        <v>0.0</v>
      </c>
      <c r="FT939" s="156">
        <v>0.0</v>
      </c>
      <c r="FU939" s="156">
        <v>0.0</v>
      </c>
      <c r="FV939" s="156">
        <v>0.0</v>
      </c>
      <c r="FW939" s="157"/>
      <c r="FX939" s="157"/>
      <c r="FY939" s="157"/>
      <c r="FZ939" s="157"/>
      <c r="GA939" s="157"/>
      <c r="GB939" s="157"/>
      <c r="GC939" s="157"/>
      <c r="GD939" s="157"/>
      <c r="GE939" s="157"/>
      <c r="GF939" s="157"/>
      <c r="GG939" s="157"/>
      <c r="GH939" s="157"/>
      <c r="GI939" s="157"/>
      <c r="GJ939" s="157"/>
      <c r="GK939" s="157"/>
      <c r="GL939" s="157"/>
      <c r="GM939" s="157"/>
      <c r="GN939" s="157"/>
      <c r="GO939" s="157"/>
      <c r="GP939" s="158"/>
      <c r="GQ939" s="157"/>
      <c r="GR939" s="157"/>
      <c r="GS939" s="157"/>
      <c r="GT939" s="157"/>
      <c r="GU939" s="157"/>
      <c r="GV939" s="157"/>
      <c r="GW939" s="157"/>
      <c r="GX939" s="157"/>
      <c r="GY939" s="157"/>
      <c r="GZ939" s="157"/>
      <c r="HA939" s="157"/>
      <c r="HB939" s="155">
        <v>0.0</v>
      </c>
      <c r="HC939" s="155">
        <v>0.0</v>
      </c>
      <c r="HD939" s="155">
        <v>0.0</v>
      </c>
      <c r="HE939" s="155">
        <v>0.0</v>
      </c>
      <c r="HF939" s="155">
        <v>0.0</v>
      </c>
      <c r="HG939" s="155">
        <v>0.0</v>
      </c>
      <c r="IL939" s="159">
        <v>0.0</v>
      </c>
      <c r="IM939" s="156">
        <v>0.0</v>
      </c>
      <c r="IN939" s="156">
        <v>0.0</v>
      </c>
      <c r="IO939" s="156">
        <v>0.0</v>
      </c>
      <c r="IP939" s="156">
        <v>0.0</v>
      </c>
      <c r="IQ939" s="160">
        <v>0.0</v>
      </c>
      <c r="JH939" s="25"/>
      <c r="JW939" s="159">
        <v>0.0</v>
      </c>
      <c r="JX939" s="156">
        <v>0.0</v>
      </c>
      <c r="JY939" s="156">
        <v>0.0</v>
      </c>
      <c r="JZ939" s="156">
        <v>0.0</v>
      </c>
      <c r="KA939" s="156">
        <v>0.0</v>
      </c>
      <c r="KB939" s="160">
        <v>0.0</v>
      </c>
      <c r="LH939" s="159">
        <f t="shared" si="10"/>
        <v>0</v>
      </c>
      <c r="LI939" s="156">
        <f t="shared" si="11"/>
        <v>0</v>
      </c>
      <c r="LJ939" s="156">
        <f t="shared" si="12"/>
        <v>0</v>
      </c>
      <c r="LK939" s="156">
        <f t="shared" si="13"/>
        <v>0</v>
      </c>
      <c r="LL939" s="156">
        <f t="shared" si="14"/>
        <v>0</v>
      </c>
      <c r="LM939" s="160">
        <f t="shared" si="15"/>
        <v>0</v>
      </c>
      <c r="QX939" s="633"/>
    </row>
    <row r="940">
      <c r="A940" s="12"/>
      <c r="B940" s="12"/>
      <c r="C940" s="12"/>
      <c r="D940" s="12"/>
      <c r="E940" s="12"/>
      <c r="F940" s="12"/>
      <c r="G940" s="12"/>
      <c r="H940" s="12"/>
      <c r="I940" s="143">
        <f t="shared" si="22"/>
        <v>0</v>
      </c>
      <c r="J940" s="108"/>
      <c r="K940" s="203"/>
      <c r="L940" s="108"/>
      <c r="V940" s="161"/>
      <c r="X940" s="140"/>
      <c r="Y940" s="166">
        <f t="shared" si="23"/>
        <v>0</v>
      </c>
      <c r="Z940" s="26">
        <f t="shared" si="7"/>
        <v>0</v>
      </c>
      <c r="AA940" s="26">
        <f t="shared" si="8"/>
        <v>0</v>
      </c>
      <c r="AB940" s="26">
        <f t="shared" si="9"/>
        <v>0</v>
      </c>
      <c r="AC940" s="156">
        <v>0.0</v>
      </c>
      <c r="AD940" s="156">
        <v>0.0</v>
      </c>
      <c r="AE940" s="156">
        <v>0.0</v>
      </c>
      <c r="AF940" s="156">
        <v>0.0</v>
      </c>
      <c r="AG940" s="156">
        <v>0.0</v>
      </c>
      <c r="AH940" s="156">
        <v>0.0</v>
      </c>
      <c r="BN940" s="155">
        <v>0.0</v>
      </c>
      <c r="BO940" s="155">
        <v>0.0</v>
      </c>
      <c r="BP940" s="155">
        <v>0.0</v>
      </c>
      <c r="BQ940" s="155">
        <v>0.0</v>
      </c>
      <c r="BR940" s="155">
        <v>0.0</v>
      </c>
      <c r="BS940" s="155">
        <v>0.0</v>
      </c>
      <c r="CV940" s="156">
        <v>0.0</v>
      </c>
      <c r="CW940" s="156">
        <v>0.0</v>
      </c>
      <c r="CX940" s="156">
        <v>0.0</v>
      </c>
      <c r="CY940" s="156">
        <v>0.0</v>
      </c>
      <c r="CZ940" s="156">
        <v>0.0</v>
      </c>
      <c r="DA940" s="156">
        <v>0.0</v>
      </c>
      <c r="EG940" s="156">
        <v>0.0</v>
      </c>
      <c r="EH940" s="156">
        <v>0.0</v>
      </c>
      <c r="EI940" s="156">
        <v>0.0</v>
      </c>
      <c r="EJ940" s="156">
        <v>0.0</v>
      </c>
      <c r="EK940" s="156">
        <v>0.0</v>
      </c>
      <c r="EL940" s="156">
        <v>0.0</v>
      </c>
      <c r="FQ940" s="156">
        <v>0.0</v>
      </c>
      <c r="FR940" s="156">
        <v>0.0</v>
      </c>
      <c r="FS940" s="156">
        <v>0.0</v>
      </c>
      <c r="FT940" s="156">
        <v>0.0</v>
      </c>
      <c r="FU940" s="156">
        <v>0.0</v>
      </c>
      <c r="FV940" s="156">
        <v>0.0</v>
      </c>
      <c r="FW940" s="157"/>
      <c r="FX940" s="157"/>
      <c r="FY940" s="157"/>
      <c r="FZ940" s="157"/>
      <c r="GA940" s="157"/>
      <c r="GB940" s="157"/>
      <c r="GC940" s="157"/>
      <c r="GD940" s="157"/>
      <c r="GE940" s="157"/>
      <c r="GF940" s="157"/>
      <c r="GG940" s="157"/>
      <c r="GH940" s="157"/>
      <c r="GI940" s="157"/>
      <c r="GJ940" s="157"/>
      <c r="GK940" s="157"/>
      <c r="GL940" s="157"/>
      <c r="GM940" s="157"/>
      <c r="GN940" s="157"/>
      <c r="GO940" s="157"/>
      <c r="GP940" s="158"/>
      <c r="GQ940" s="157"/>
      <c r="GR940" s="157"/>
      <c r="GS940" s="157"/>
      <c r="GT940" s="157"/>
      <c r="GU940" s="157"/>
      <c r="GV940" s="157"/>
      <c r="GW940" s="157"/>
      <c r="GX940" s="157"/>
      <c r="GY940" s="157"/>
      <c r="GZ940" s="157"/>
      <c r="HA940" s="157"/>
      <c r="HB940" s="155">
        <v>0.0</v>
      </c>
      <c r="HC940" s="155">
        <v>0.0</v>
      </c>
      <c r="HD940" s="155">
        <v>0.0</v>
      </c>
      <c r="HE940" s="155">
        <v>0.0</v>
      </c>
      <c r="HF940" s="155">
        <v>0.0</v>
      </c>
      <c r="HG940" s="155">
        <v>0.0</v>
      </c>
      <c r="IL940" s="159">
        <v>0.0</v>
      </c>
      <c r="IM940" s="156">
        <v>0.0</v>
      </c>
      <c r="IN940" s="156">
        <v>0.0</v>
      </c>
      <c r="IO940" s="156">
        <v>0.0</v>
      </c>
      <c r="IP940" s="156">
        <v>0.0</v>
      </c>
      <c r="IQ940" s="160">
        <v>0.0</v>
      </c>
      <c r="JH940" s="25"/>
      <c r="JW940" s="159">
        <v>0.0</v>
      </c>
      <c r="JX940" s="156">
        <v>0.0</v>
      </c>
      <c r="JY940" s="156">
        <v>0.0</v>
      </c>
      <c r="JZ940" s="156">
        <v>0.0</v>
      </c>
      <c r="KA940" s="156">
        <v>0.0</v>
      </c>
      <c r="KB940" s="160">
        <v>0.0</v>
      </c>
      <c r="LH940" s="159">
        <f t="shared" si="10"/>
        <v>0</v>
      </c>
      <c r="LI940" s="156">
        <f t="shared" si="11"/>
        <v>0</v>
      </c>
      <c r="LJ940" s="156">
        <f t="shared" si="12"/>
        <v>0</v>
      </c>
      <c r="LK940" s="156">
        <f t="shared" si="13"/>
        <v>0</v>
      </c>
      <c r="LL940" s="156">
        <f t="shared" si="14"/>
        <v>0</v>
      </c>
      <c r="LM940" s="160">
        <f t="shared" si="15"/>
        <v>0</v>
      </c>
      <c r="QX940" s="633"/>
    </row>
    <row r="941">
      <c r="A941" s="12"/>
      <c r="B941" s="12"/>
      <c r="C941" s="12"/>
      <c r="D941" s="12"/>
      <c r="E941" s="12"/>
      <c r="F941" s="12"/>
      <c r="G941" s="12"/>
      <c r="H941" s="12"/>
      <c r="I941" s="143">
        <f t="shared" si="22"/>
        <v>0</v>
      </c>
      <c r="J941" s="108"/>
      <c r="K941" s="203"/>
      <c r="L941" s="108"/>
      <c r="V941" s="161"/>
      <c r="X941" s="140"/>
      <c r="Y941" s="166">
        <f t="shared" si="23"/>
        <v>0</v>
      </c>
      <c r="Z941" s="26">
        <f t="shared" si="7"/>
        <v>0</v>
      </c>
      <c r="AA941" s="26">
        <f t="shared" si="8"/>
        <v>0</v>
      </c>
      <c r="AB941" s="26">
        <f t="shared" si="9"/>
        <v>0</v>
      </c>
      <c r="AC941" s="156">
        <v>0.0</v>
      </c>
      <c r="AD941" s="156">
        <v>0.0</v>
      </c>
      <c r="AE941" s="156">
        <v>0.0</v>
      </c>
      <c r="AF941" s="156">
        <v>0.0</v>
      </c>
      <c r="AG941" s="156">
        <v>0.0</v>
      </c>
      <c r="AH941" s="156">
        <v>0.0</v>
      </c>
      <c r="BN941" s="155">
        <v>0.0</v>
      </c>
      <c r="BO941" s="155">
        <v>0.0</v>
      </c>
      <c r="BP941" s="155">
        <v>0.0</v>
      </c>
      <c r="BQ941" s="155">
        <v>0.0</v>
      </c>
      <c r="BR941" s="155">
        <v>0.0</v>
      </c>
      <c r="BS941" s="155">
        <v>0.0</v>
      </c>
      <c r="CV941" s="156">
        <v>0.0</v>
      </c>
      <c r="CW941" s="156">
        <v>0.0</v>
      </c>
      <c r="CX941" s="156">
        <v>0.0</v>
      </c>
      <c r="CY941" s="156">
        <v>0.0</v>
      </c>
      <c r="CZ941" s="156">
        <v>0.0</v>
      </c>
      <c r="DA941" s="156">
        <v>0.0</v>
      </c>
      <c r="EG941" s="156">
        <v>0.0</v>
      </c>
      <c r="EH941" s="156">
        <v>0.0</v>
      </c>
      <c r="EI941" s="156">
        <v>0.0</v>
      </c>
      <c r="EJ941" s="156">
        <v>0.0</v>
      </c>
      <c r="EK941" s="156">
        <v>0.0</v>
      </c>
      <c r="EL941" s="156">
        <v>0.0</v>
      </c>
      <c r="FQ941" s="156">
        <v>0.0</v>
      </c>
      <c r="FR941" s="156">
        <v>0.0</v>
      </c>
      <c r="FS941" s="156">
        <v>0.0</v>
      </c>
      <c r="FT941" s="156">
        <v>0.0</v>
      </c>
      <c r="FU941" s="156">
        <v>0.0</v>
      </c>
      <c r="FV941" s="156">
        <v>0.0</v>
      </c>
      <c r="FW941" s="157"/>
      <c r="FX941" s="157"/>
      <c r="FY941" s="157"/>
      <c r="FZ941" s="157"/>
      <c r="GA941" s="157"/>
      <c r="GB941" s="157"/>
      <c r="GC941" s="157"/>
      <c r="GD941" s="157"/>
      <c r="GE941" s="157"/>
      <c r="GF941" s="157"/>
      <c r="GG941" s="157"/>
      <c r="GH941" s="157"/>
      <c r="GI941" s="157"/>
      <c r="GJ941" s="157"/>
      <c r="GK941" s="157"/>
      <c r="GL941" s="157"/>
      <c r="GM941" s="157"/>
      <c r="GN941" s="157"/>
      <c r="GO941" s="157"/>
      <c r="GP941" s="158"/>
      <c r="GQ941" s="157"/>
      <c r="GR941" s="157"/>
      <c r="GS941" s="157"/>
      <c r="GT941" s="157"/>
      <c r="GU941" s="157"/>
      <c r="GV941" s="157"/>
      <c r="GW941" s="157"/>
      <c r="GX941" s="157"/>
      <c r="GY941" s="157"/>
      <c r="GZ941" s="157"/>
      <c r="HA941" s="157"/>
      <c r="HB941" s="155">
        <v>0.0</v>
      </c>
      <c r="HC941" s="155">
        <v>0.0</v>
      </c>
      <c r="HD941" s="155">
        <v>0.0</v>
      </c>
      <c r="HE941" s="155">
        <v>0.0</v>
      </c>
      <c r="HF941" s="155">
        <v>0.0</v>
      </c>
      <c r="HG941" s="155">
        <v>0.0</v>
      </c>
      <c r="IL941" s="159">
        <v>0.0</v>
      </c>
      <c r="IM941" s="156">
        <v>0.0</v>
      </c>
      <c r="IN941" s="156">
        <v>0.0</v>
      </c>
      <c r="IO941" s="156">
        <v>0.0</v>
      </c>
      <c r="IP941" s="156">
        <v>0.0</v>
      </c>
      <c r="IQ941" s="160">
        <v>0.0</v>
      </c>
      <c r="JH941" s="25"/>
      <c r="JW941" s="159">
        <v>0.0</v>
      </c>
      <c r="JX941" s="156">
        <v>0.0</v>
      </c>
      <c r="JY941" s="156">
        <v>0.0</v>
      </c>
      <c r="JZ941" s="156">
        <v>0.0</v>
      </c>
      <c r="KA941" s="156">
        <v>0.0</v>
      </c>
      <c r="KB941" s="160">
        <v>0.0</v>
      </c>
      <c r="LH941" s="159">
        <f t="shared" si="10"/>
        <v>0</v>
      </c>
      <c r="LI941" s="156">
        <f t="shared" si="11"/>
        <v>0</v>
      </c>
      <c r="LJ941" s="156">
        <f t="shared" si="12"/>
        <v>0</v>
      </c>
      <c r="LK941" s="156">
        <f t="shared" si="13"/>
        <v>0</v>
      </c>
      <c r="LL941" s="156">
        <f t="shared" si="14"/>
        <v>0</v>
      </c>
      <c r="LM941" s="160">
        <f t="shared" si="15"/>
        <v>0</v>
      </c>
      <c r="QX941" s="633"/>
    </row>
    <row r="942">
      <c r="A942" s="12"/>
      <c r="B942" s="12"/>
      <c r="C942" s="12"/>
      <c r="D942" s="12"/>
      <c r="E942" s="12"/>
      <c r="F942" s="12"/>
      <c r="G942" s="12"/>
      <c r="H942" s="12"/>
      <c r="I942" s="143">
        <f t="shared" si="22"/>
        <v>0</v>
      </c>
      <c r="J942" s="108"/>
      <c r="K942" s="203"/>
      <c r="L942" s="108"/>
      <c r="V942" s="161"/>
      <c r="X942" s="140"/>
      <c r="Y942" s="166">
        <f t="shared" si="23"/>
        <v>0</v>
      </c>
      <c r="Z942" s="26">
        <f t="shared" si="7"/>
        <v>0</v>
      </c>
      <c r="AA942" s="26">
        <f t="shared" si="8"/>
        <v>0</v>
      </c>
      <c r="AB942" s="26">
        <f t="shared" si="9"/>
        <v>0</v>
      </c>
      <c r="AC942" s="156">
        <v>0.0</v>
      </c>
      <c r="AD942" s="156">
        <v>0.0</v>
      </c>
      <c r="AE942" s="156">
        <v>0.0</v>
      </c>
      <c r="AF942" s="156">
        <v>0.0</v>
      </c>
      <c r="AG942" s="156">
        <v>0.0</v>
      </c>
      <c r="AH942" s="156">
        <v>0.0</v>
      </c>
      <c r="BN942" s="155">
        <v>0.0</v>
      </c>
      <c r="BO942" s="155">
        <v>0.0</v>
      </c>
      <c r="BP942" s="155">
        <v>0.0</v>
      </c>
      <c r="BQ942" s="155">
        <v>0.0</v>
      </c>
      <c r="BR942" s="155">
        <v>0.0</v>
      </c>
      <c r="BS942" s="155">
        <v>0.0</v>
      </c>
      <c r="CV942" s="156">
        <v>0.0</v>
      </c>
      <c r="CW942" s="156">
        <v>0.0</v>
      </c>
      <c r="CX942" s="156">
        <v>0.0</v>
      </c>
      <c r="CY942" s="156">
        <v>0.0</v>
      </c>
      <c r="CZ942" s="156">
        <v>0.0</v>
      </c>
      <c r="DA942" s="156">
        <v>0.0</v>
      </c>
      <c r="EG942" s="156">
        <v>0.0</v>
      </c>
      <c r="EH942" s="156">
        <v>0.0</v>
      </c>
      <c r="EI942" s="156">
        <v>0.0</v>
      </c>
      <c r="EJ942" s="156">
        <v>0.0</v>
      </c>
      <c r="EK942" s="156">
        <v>0.0</v>
      </c>
      <c r="EL942" s="156">
        <v>0.0</v>
      </c>
      <c r="FQ942" s="156">
        <v>0.0</v>
      </c>
      <c r="FR942" s="156">
        <v>0.0</v>
      </c>
      <c r="FS942" s="156">
        <v>0.0</v>
      </c>
      <c r="FT942" s="156">
        <v>0.0</v>
      </c>
      <c r="FU942" s="156">
        <v>0.0</v>
      </c>
      <c r="FV942" s="156">
        <v>0.0</v>
      </c>
      <c r="FW942" s="157"/>
      <c r="FX942" s="157"/>
      <c r="FY942" s="157"/>
      <c r="FZ942" s="157"/>
      <c r="GA942" s="157"/>
      <c r="GB942" s="157"/>
      <c r="GC942" s="157"/>
      <c r="GD942" s="157"/>
      <c r="GE942" s="157"/>
      <c r="GF942" s="157"/>
      <c r="GG942" s="157"/>
      <c r="GH942" s="157"/>
      <c r="GI942" s="157"/>
      <c r="GJ942" s="157"/>
      <c r="GK942" s="157"/>
      <c r="GL942" s="157"/>
      <c r="GM942" s="157"/>
      <c r="GN942" s="157"/>
      <c r="GO942" s="157"/>
      <c r="GP942" s="158"/>
      <c r="GQ942" s="157"/>
      <c r="GR942" s="157"/>
      <c r="GS942" s="157"/>
      <c r="GT942" s="157"/>
      <c r="GU942" s="157"/>
      <c r="GV942" s="157"/>
      <c r="GW942" s="157"/>
      <c r="GX942" s="157"/>
      <c r="GY942" s="157"/>
      <c r="GZ942" s="157"/>
      <c r="HA942" s="157"/>
      <c r="HB942" s="155">
        <v>0.0</v>
      </c>
      <c r="HC942" s="155">
        <v>0.0</v>
      </c>
      <c r="HD942" s="155">
        <v>0.0</v>
      </c>
      <c r="HE942" s="155">
        <v>0.0</v>
      </c>
      <c r="HF942" s="155">
        <v>0.0</v>
      </c>
      <c r="HG942" s="155">
        <v>0.0</v>
      </c>
      <c r="IL942" s="159">
        <v>0.0</v>
      </c>
      <c r="IM942" s="156">
        <v>0.0</v>
      </c>
      <c r="IN942" s="156">
        <v>0.0</v>
      </c>
      <c r="IO942" s="156">
        <v>0.0</v>
      </c>
      <c r="IP942" s="156">
        <v>0.0</v>
      </c>
      <c r="IQ942" s="160">
        <v>0.0</v>
      </c>
      <c r="JH942" s="25"/>
      <c r="JW942" s="159">
        <v>0.0</v>
      </c>
      <c r="JX942" s="156">
        <v>0.0</v>
      </c>
      <c r="JY942" s="156">
        <v>0.0</v>
      </c>
      <c r="JZ942" s="156">
        <v>0.0</v>
      </c>
      <c r="KA942" s="156">
        <v>0.0</v>
      </c>
      <c r="KB942" s="160">
        <v>0.0</v>
      </c>
      <c r="LH942" s="159">
        <f t="shared" si="10"/>
        <v>0</v>
      </c>
      <c r="LI942" s="156">
        <f t="shared" si="11"/>
        <v>0</v>
      </c>
      <c r="LJ942" s="156">
        <f t="shared" si="12"/>
        <v>0</v>
      </c>
      <c r="LK942" s="156">
        <f t="shared" si="13"/>
        <v>0</v>
      </c>
      <c r="LL942" s="156">
        <f t="shared" si="14"/>
        <v>0</v>
      </c>
      <c r="LM942" s="160">
        <f t="shared" si="15"/>
        <v>0</v>
      </c>
      <c r="QX942" s="633"/>
    </row>
    <row r="943">
      <c r="A943" s="12"/>
      <c r="B943" s="12"/>
      <c r="C943" s="12"/>
      <c r="D943" s="12"/>
      <c r="E943" s="12"/>
      <c r="F943" s="12"/>
      <c r="G943" s="12"/>
      <c r="H943" s="12"/>
      <c r="I943" s="143">
        <f t="shared" si="22"/>
        <v>0</v>
      </c>
      <c r="J943" s="108"/>
      <c r="K943" s="203"/>
      <c r="L943" s="108"/>
      <c r="V943" s="161"/>
      <c r="X943" s="140"/>
      <c r="Y943" s="166">
        <f t="shared" si="23"/>
        <v>0</v>
      </c>
      <c r="Z943" s="26">
        <f t="shared" si="7"/>
        <v>0</v>
      </c>
      <c r="AA943" s="26">
        <f t="shared" si="8"/>
        <v>0</v>
      </c>
      <c r="AB943" s="26">
        <f t="shared" si="9"/>
        <v>0</v>
      </c>
      <c r="AC943" s="156">
        <v>0.0</v>
      </c>
      <c r="AD943" s="156">
        <v>0.0</v>
      </c>
      <c r="AE943" s="156">
        <v>0.0</v>
      </c>
      <c r="AF943" s="156">
        <v>0.0</v>
      </c>
      <c r="AG943" s="156">
        <v>0.0</v>
      </c>
      <c r="AH943" s="156">
        <v>0.0</v>
      </c>
      <c r="BN943" s="155">
        <v>0.0</v>
      </c>
      <c r="BO943" s="155">
        <v>0.0</v>
      </c>
      <c r="BP943" s="155">
        <v>0.0</v>
      </c>
      <c r="BQ943" s="155">
        <v>0.0</v>
      </c>
      <c r="BR943" s="155">
        <v>0.0</v>
      </c>
      <c r="BS943" s="155">
        <v>0.0</v>
      </c>
      <c r="CV943" s="156">
        <v>0.0</v>
      </c>
      <c r="CW943" s="156">
        <v>0.0</v>
      </c>
      <c r="CX943" s="156">
        <v>0.0</v>
      </c>
      <c r="CY943" s="156">
        <v>0.0</v>
      </c>
      <c r="CZ943" s="156">
        <v>0.0</v>
      </c>
      <c r="DA943" s="156">
        <v>0.0</v>
      </c>
      <c r="EG943" s="156">
        <v>0.0</v>
      </c>
      <c r="EH943" s="156">
        <v>0.0</v>
      </c>
      <c r="EI943" s="156">
        <v>0.0</v>
      </c>
      <c r="EJ943" s="156">
        <v>0.0</v>
      </c>
      <c r="EK943" s="156">
        <v>0.0</v>
      </c>
      <c r="EL943" s="156">
        <v>0.0</v>
      </c>
      <c r="FQ943" s="156">
        <v>0.0</v>
      </c>
      <c r="FR943" s="156">
        <v>0.0</v>
      </c>
      <c r="FS943" s="156">
        <v>0.0</v>
      </c>
      <c r="FT943" s="156">
        <v>0.0</v>
      </c>
      <c r="FU943" s="156">
        <v>0.0</v>
      </c>
      <c r="FV943" s="156">
        <v>0.0</v>
      </c>
      <c r="FW943" s="157"/>
      <c r="FX943" s="157"/>
      <c r="FY943" s="157"/>
      <c r="FZ943" s="157"/>
      <c r="GA943" s="157"/>
      <c r="GB943" s="157"/>
      <c r="GC943" s="157"/>
      <c r="GD943" s="157"/>
      <c r="GE943" s="157"/>
      <c r="GF943" s="157"/>
      <c r="GG943" s="157"/>
      <c r="GH943" s="157"/>
      <c r="GI943" s="157"/>
      <c r="GJ943" s="157"/>
      <c r="GK943" s="157"/>
      <c r="GL943" s="157"/>
      <c r="GM943" s="157"/>
      <c r="GN943" s="157"/>
      <c r="GO943" s="157"/>
      <c r="GP943" s="158"/>
      <c r="GQ943" s="157"/>
      <c r="GR943" s="157"/>
      <c r="GS943" s="157"/>
      <c r="GT943" s="157"/>
      <c r="GU943" s="157"/>
      <c r="GV943" s="157"/>
      <c r="GW943" s="157"/>
      <c r="GX943" s="157"/>
      <c r="GY943" s="157"/>
      <c r="GZ943" s="157"/>
      <c r="HA943" s="157"/>
      <c r="HB943" s="155">
        <v>0.0</v>
      </c>
      <c r="HC943" s="155">
        <v>0.0</v>
      </c>
      <c r="HD943" s="155">
        <v>0.0</v>
      </c>
      <c r="HE943" s="155">
        <v>0.0</v>
      </c>
      <c r="HF943" s="155">
        <v>0.0</v>
      </c>
      <c r="HG943" s="155">
        <v>0.0</v>
      </c>
      <c r="IL943" s="159">
        <v>0.0</v>
      </c>
      <c r="IM943" s="156">
        <v>0.0</v>
      </c>
      <c r="IN943" s="156">
        <v>0.0</v>
      </c>
      <c r="IO943" s="156">
        <v>0.0</v>
      </c>
      <c r="IP943" s="156">
        <v>0.0</v>
      </c>
      <c r="IQ943" s="160">
        <v>0.0</v>
      </c>
      <c r="JH943" s="25"/>
      <c r="JW943" s="159">
        <v>0.0</v>
      </c>
      <c r="JX943" s="156">
        <v>0.0</v>
      </c>
      <c r="JY943" s="156">
        <v>0.0</v>
      </c>
      <c r="JZ943" s="156">
        <v>0.0</v>
      </c>
      <c r="KA943" s="156">
        <v>0.0</v>
      </c>
      <c r="KB943" s="160">
        <v>0.0</v>
      </c>
      <c r="LH943" s="159">
        <f t="shared" si="10"/>
        <v>0</v>
      </c>
      <c r="LI943" s="156">
        <f t="shared" si="11"/>
        <v>0</v>
      </c>
      <c r="LJ943" s="156">
        <f t="shared" si="12"/>
        <v>0</v>
      </c>
      <c r="LK943" s="156">
        <f t="shared" si="13"/>
        <v>0</v>
      </c>
      <c r="LL943" s="156">
        <f t="shared" si="14"/>
        <v>0</v>
      </c>
      <c r="LM943" s="160">
        <f t="shared" si="15"/>
        <v>0</v>
      </c>
      <c r="QX943" s="633"/>
    </row>
    <row r="944">
      <c r="A944" s="12"/>
      <c r="B944" s="12"/>
      <c r="C944" s="12"/>
      <c r="D944" s="12"/>
      <c r="E944" s="12"/>
      <c r="F944" s="12"/>
      <c r="G944" s="12"/>
      <c r="H944" s="12"/>
      <c r="I944" s="143">
        <f t="shared" si="22"/>
        <v>0</v>
      </c>
      <c r="J944" s="108"/>
      <c r="K944" s="203"/>
      <c r="L944" s="108"/>
      <c r="V944" s="161"/>
      <c r="X944" s="140"/>
      <c r="Y944" s="166">
        <f t="shared" si="23"/>
        <v>0</v>
      </c>
      <c r="Z944" s="26">
        <f t="shared" si="7"/>
        <v>0</v>
      </c>
      <c r="AA944" s="26">
        <f t="shared" si="8"/>
        <v>0</v>
      </c>
      <c r="AB944" s="26">
        <f t="shared" si="9"/>
        <v>0</v>
      </c>
      <c r="AC944" s="156">
        <v>0.0</v>
      </c>
      <c r="AD944" s="156">
        <v>0.0</v>
      </c>
      <c r="AE944" s="156">
        <v>0.0</v>
      </c>
      <c r="AF944" s="156">
        <v>0.0</v>
      </c>
      <c r="AG944" s="156">
        <v>0.0</v>
      </c>
      <c r="AH944" s="156">
        <v>0.0</v>
      </c>
      <c r="BN944" s="155">
        <v>0.0</v>
      </c>
      <c r="BO944" s="155">
        <v>0.0</v>
      </c>
      <c r="BP944" s="155">
        <v>0.0</v>
      </c>
      <c r="BQ944" s="155">
        <v>0.0</v>
      </c>
      <c r="BR944" s="155">
        <v>0.0</v>
      </c>
      <c r="BS944" s="155">
        <v>0.0</v>
      </c>
      <c r="CV944" s="156">
        <v>0.0</v>
      </c>
      <c r="CW944" s="156">
        <v>0.0</v>
      </c>
      <c r="CX944" s="156">
        <v>0.0</v>
      </c>
      <c r="CY944" s="156">
        <v>0.0</v>
      </c>
      <c r="CZ944" s="156">
        <v>0.0</v>
      </c>
      <c r="DA944" s="156">
        <v>0.0</v>
      </c>
      <c r="EG944" s="156">
        <v>0.0</v>
      </c>
      <c r="EH944" s="156">
        <v>0.0</v>
      </c>
      <c r="EI944" s="156">
        <v>0.0</v>
      </c>
      <c r="EJ944" s="156">
        <v>0.0</v>
      </c>
      <c r="EK944" s="156">
        <v>0.0</v>
      </c>
      <c r="EL944" s="156">
        <v>0.0</v>
      </c>
      <c r="FQ944" s="156">
        <v>0.0</v>
      </c>
      <c r="FR944" s="156">
        <v>0.0</v>
      </c>
      <c r="FS944" s="156">
        <v>0.0</v>
      </c>
      <c r="FT944" s="156">
        <v>0.0</v>
      </c>
      <c r="FU944" s="156">
        <v>0.0</v>
      </c>
      <c r="FV944" s="156">
        <v>0.0</v>
      </c>
      <c r="FW944" s="157"/>
      <c r="FX944" s="157"/>
      <c r="FY944" s="157"/>
      <c r="FZ944" s="157"/>
      <c r="GA944" s="157"/>
      <c r="GB944" s="157"/>
      <c r="GC944" s="157"/>
      <c r="GD944" s="157"/>
      <c r="GE944" s="157"/>
      <c r="GF944" s="157"/>
      <c r="GG944" s="157"/>
      <c r="GH944" s="157"/>
      <c r="GI944" s="157"/>
      <c r="GJ944" s="157"/>
      <c r="GK944" s="157"/>
      <c r="GL944" s="157"/>
      <c r="GM944" s="157"/>
      <c r="GN944" s="157"/>
      <c r="GO944" s="157"/>
      <c r="GP944" s="158"/>
      <c r="GQ944" s="157"/>
      <c r="GR944" s="157"/>
      <c r="GS944" s="157"/>
      <c r="GT944" s="157"/>
      <c r="GU944" s="157"/>
      <c r="GV944" s="157"/>
      <c r="GW944" s="157"/>
      <c r="GX944" s="157"/>
      <c r="GY944" s="157"/>
      <c r="GZ944" s="157"/>
      <c r="HA944" s="157"/>
      <c r="HB944" s="155">
        <v>0.0</v>
      </c>
      <c r="HC944" s="155">
        <v>0.0</v>
      </c>
      <c r="HD944" s="155">
        <v>0.0</v>
      </c>
      <c r="HE944" s="155">
        <v>0.0</v>
      </c>
      <c r="HF944" s="155">
        <v>0.0</v>
      </c>
      <c r="HG944" s="155">
        <v>0.0</v>
      </c>
      <c r="IL944" s="159">
        <v>0.0</v>
      </c>
      <c r="IM944" s="156">
        <v>0.0</v>
      </c>
      <c r="IN944" s="156">
        <v>0.0</v>
      </c>
      <c r="IO944" s="156">
        <v>0.0</v>
      </c>
      <c r="IP944" s="156">
        <v>0.0</v>
      </c>
      <c r="IQ944" s="160">
        <v>0.0</v>
      </c>
      <c r="JH944" s="25"/>
      <c r="JW944" s="159">
        <v>0.0</v>
      </c>
      <c r="JX944" s="156">
        <v>0.0</v>
      </c>
      <c r="JY944" s="156">
        <v>0.0</v>
      </c>
      <c r="JZ944" s="156">
        <v>0.0</v>
      </c>
      <c r="KA944" s="156">
        <v>0.0</v>
      </c>
      <c r="KB944" s="160">
        <v>0.0</v>
      </c>
      <c r="LH944" s="159">
        <f t="shared" si="10"/>
        <v>0</v>
      </c>
      <c r="LI944" s="156">
        <f t="shared" si="11"/>
        <v>0</v>
      </c>
      <c r="LJ944" s="156">
        <f t="shared" si="12"/>
        <v>0</v>
      </c>
      <c r="LK944" s="156">
        <f t="shared" si="13"/>
        <v>0</v>
      </c>
      <c r="LL944" s="156">
        <f t="shared" si="14"/>
        <v>0</v>
      </c>
      <c r="LM944" s="160">
        <f t="shared" si="15"/>
        <v>0</v>
      </c>
      <c r="QX944" s="633"/>
    </row>
    <row r="945">
      <c r="A945" s="12"/>
      <c r="B945" s="12"/>
      <c r="C945" s="12"/>
      <c r="D945" s="12"/>
      <c r="E945" s="12"/>
      <c r="F945" s="12"/>
      <c r="G945" s="12"/>
      <c r="H945" s="12"/>
      <c r="I945" s="143">
        <f t="shared" si="22"/>
        <v>0</v>
      </c>
      <c r="J945" s="108"/>
      <c r="K945" s="203"/>
      <c r="L945" s="108"/>
      <c r="V945" s="161"/>
      <c r="X945" s="140"/>
      <c r="Y945" s="166">
        <f t="shared" si="23"/>
        <v>0</v>
      </c>
      <c r="Z945" s="26">
        <f t="shared" si="7"/>
        <v>0</v>
      </c>
      <c r="AA945" s="26">
        <f t="shared" si="8"/>
        <v>0</v>
      </c>
      <c r="AB945" s="26">
        <f t="shared" si="9"/>
        <v>0</v>
      </c>
      <c r="AC945" s="156">
        <v>0.0</v>
      </c>
      <c r="AD945" s="156">
        <v>0.0</v>
      </c>
      <c r="AE945" s="156">
        <v>0.0</v>
      </c>
      <c r="AF945" s="156">
        <v>0.0</v>
      </c>
      <c r="AG945" s="156">
        <v>0.0</v>
      </c>
      <c r="AH945" s="156">
        <v>0.0</v>
      </c>
      <c r="BN945" s="155">
        <v>0.0</v>
      </c>
      <c r="BO945" s="155">
        <v>0.0</v>
      </c>
      <c r="BP945" s="155">
        <v>0.0</v>
      </c>
      <c r="BQ945" s="155">
        <v>0.0</v>
      </c>
      <c r="BR945" s="155">
        <v>0.0</v>
      </c>
      <c r="BS945" s="155">
        <v>0.0</v>
      </c>
      <c r="CV945" s="156">
        <v>0.0</v>
      </c>
      <c r="CW945" s="156">
        <v>0.0</v>
      </c>
      <c r="CX945" s="156">
        <v>0.0</v>
      </c>
      <c r="CY945" s="156">
        <v>0.0</v>
      </c>
      <c r="CZ945" s="156">
        <v>0.0</v>
      </c>
      <c r="DA945" s="156">
        <v>0.0</v>
      </c>
      <c r="EG945" s="156">
        <v>0.0</v>
      </c>
      <c r="EH945" s="156">
        <v>0.0</v>
      </c>
      <c r="EI945" s="156">
        <v>0.0</v>
      </c>
      <c r="EJ945" s="156">
        <v>0.0</v>
      </c>
      <c r="EK945" s="156">
        <v>0.0</v>
      </c>
      <c r="EL945" s="156">
        <v>0.0</v>
      </c>
      <c r="FQ945" s="156">
        <v>0.0</v>
      </c>
      <c r="FR945" s="156">
        <v>0.0</v>
      </c>
      <c r="FS945" s="156">
        <v>0.0</v>
      </c>
      <c r="FT945" s="156">
        <v>0.0</v>
      </c>
      <c r="FU945" s="156">
        <v>0.0</v>
      </c>
      <c r="FV945" s="156">
        <v>0.0</v>
      </c>
      <c r="FW945" s="157"/>
      <c r="FX945" s="157"/>
      <c r="FY945" s="157"/>
      <c r="FZ945" s="157"/>
      <c r="GA945" s="157"/>
      <c r="GB945" s="157"/>
      <c r="GC945" s="157"/>
      <c r="GD945" s="157"/>
      <c r="GE945" s="157"/>
      <c r="GF945" s="157"/>
      <c r="GG945" s="157"/>
      <c r="GH945" s="157"/>
      <c r="GI945" s="157"/>
      <c r="GJ945" s="157"/>
      <c r="GK945" s="157"/>
      <c r="GL945" s="157"/>
      <c r="GM945" s="157"/>
      <c r="GN945" s="157"/>
      <c r="GO945" s="157"/>
      <c r="GP945" s="158"/>
      <c r="GQ945" s="157"/>
      <c r="GR945" s="157"/>
      <c r="GS945" s="157"/>
      <c r="GT945" s="157"/>
      <c r="GU945" s="157"/>
      <c r="GV945" s="157"/>
      <c r="GW945" s="157"/>
      <c r="GX945" s="157"/>
      <c r="GY945" s="157"/>
      <c r="GZ945" s="157"/>
      <c r="HA945" s="157"/>
      <c r="HB945" s="155">
        <v>0.0</v>
      </c>
      <c r="HC945" s="155">
        <v>0.0</v>
      </c>
      <c r="HD945" s="155">
        <v>0.0</v>
      </c>
      <c r="HE945" s="155">
        <v>0.0</v>
      </c>
      <c r="HF945" s="155">
        <v>0.0</v>
      </c>
      <c r="HG945" s="155">
        <v>0.0</v>
      </c>
      <c r="IL945" s="159">
        <v>0.0</v>
      </c>
      <c r="IM945" s="156">
        <v>0.0</v>
      </c>
      <c r="IN945" s="156">
        <v>0.0</v>
      </c>
      <c r="IO945" s="156">
        <v>0.0</v>
      </c>
      <c r="IP945" s="156">
        <v>0.0</v>
      </c>
      <c r="IQ945" s="160">
        <v>0.0</v>
      </c>
      <c r="JH945" s="25"/>
      <c r="JW945" s="159">
        <v>0.0</v>
      </c>
      <c r="JX945" s="156">
        <v>0.0</v>
      </c>
      <c r="JY945" s="156">
        <v>0.0</v>
      </c>
      <c r="JZ945" s="156">
        <v>0.0</v>
      </c>
      <c r="KA945" s="156">
        <v>0.0</v>
      </c>
      <c r="KB945" s="160">
        <v>0.0</v>
      </c>
      <c r="LH945" s="159">
        <f t="shared" si="10"/>
        <v>0</v>
      </c>
      <c r="LI945" s="156">
        <f t="shared" si="11"/>
        <v>0</v>
      </c>
      <c r="LJ945" s="156">
        <f t="shared" si="12"/>
        <v>0</v>
      </c>
      <c r="LK945" s="156">
        <f t="shared" si="13"/>
        <v>0</v>
      </c>
      <c r="LL945" s="156">
        <f t="shared" si="14"/>
        <v>0</v>
      </c>
      <c r="LM945" s="160">
        <f t="shared" si="15"/>
        <v>0</v>
      </c>
      <c r="QX945" s="633"/>
    </row>
    <row r="946">
      <c r="A946" s="12"/>
      <c r="B946" s="12"/>
      <c r="C946" s="12"/>
      <c r="D946" s="12"/>
      <c r="E946" s="12"/>
      <c r="F946" s="12"/>
      <c r="G946" s="12"/>
      <c r="H946" s="12"/>
      <c r="I946" s="143">
        <f t="shared" si="22"/>
        <v>0</v>
      </c>
      <c r="J946" s="108"/>
      <c r="K946" s="203"/>
      <c r="L946" s="108"/>
      <c r="V946" s="161"/>
      <c r="X946" s="140"/>
      <c r="Y946" s="166">
        <f t="shared" si="23"/>
        <v>0</v>
      </c>
      <c r="Z946" s="26">
        <f t="shared" si="7"/>
        <v>0</v>
      </c>
      <c r="AA946" s="26">
        <f t="shared" si="8"/>
        <v>0</v>
      </c>
      <c r="AB946" s="26">
        <f t="shared" si="9"/>
        <v>0</v>
      </c>
      <c r="AC946" s="156">
        <v>0.0</v>
      </c>
      <c r="AD946" s="156">
        <v>0.0</v>
      </c>
      <c r="AE946" s="156">
        <v>0.0</v>
      </c>
      <c r="AF946" s="156">
        <v>0.0</v>
      </c>
      <c r="AG946" s="156">
        <v>0.0</v>
      </c>
      <c r="AH946" s="156">
        <v>0.0</v>
      </c>
      <c r="BN946" s="155">
        <v>0.0</v>
      </c>
      <c r="BO946" s="155">
        <v>0.0</v>
      </c>
      <c r="BP946" s="155">
        <v>0.0</v>
      </c>
      <c r="BQ946" s="155">
        <v>0.0</v>
      </c>
      <c r="BR946" s="155">
        <v>0.0</v>
      </c>
      <c r="BS946" s="155">
        <v>0.0</v>
      </c>
      <c r="CV946" s="156">
        <v>0.0</v>
      </c>
      <c r="CW946" s="156">
        <v>0.0</v>
      </c>
      <c r="CX946" s="156">
        <v>0.0</v>
      </c>
      <c r="CY946" s="156">
        <v>0.0</v>
      </c>
      <c r="CZ946" s="156">
        <v>0.0</v>
      </c>
      <c r="DA946" s="156">
        <v>0.0</v>
      </c>
      <c r="EG946" s="156">
        <v>0.0</v>
      </c>
      <c r="EH946" s="156">
        <v>0.0</v>
      </c>
      <c r="EI946" s="156">
        <v>0.0</v>
      </c>
      <c r="EJ946" s="156">
        <v>0.0</v>
      </c>
      <c r="EK946" s="156">
        <v>0.0</v>
      </c>
      <c r="EL946" s="156">
        <v>0.0</v>
      </c>
      <c r="FQ946" s="156">
        <v>0.0</v>
      </c>
      <c r="FR946" s="156">
        <v>0.0</v>
      </c>
      <c r="FS946" s="156">
        <v>0.0</v>
      </c>
      <c r="FT946" s="156">
        <v>0.0</v>
      </c>
      <c r="FU946" s="156">
        <v>0.0</v>
      </c>
      <c r="FV946" s="156">
        <v>0.0</v>
      </c>
      <c r="FW946" s="157"/>
      <c r="FX946" s="157"/>
      <c r="FY946" s="157"/>
      <c r="FZ946" s="157"/>
      <c r="GA946" s="157"/>
      <c r="GB946" s="157"/>
      <c r="GC946" s="157"/>
      <c r="GD946" s="157"/>
      <c r="GE946" s="157"/>
      <c r="GF946" s="157"/>
      <c r="GG946" s="157"/>
      <c r="GH946" s="157"/>
      <c r="GI946" s="157"/>
      <c r="GJ946" s="157"/>
      <c r="GK946" s="157"/>
      <c r="GL946" s="157"/>
      <c r="GM946" s="157"/>
      <c r="GN946" s="157"/>
      <c r="GO946" s="157"/>
      <c r="GP946" s="158"/>
      <c r="GQ946" s="157"/>
      <c r="GR946" s="157"/>
      <c r="GS946" s="157"/>
      <c r="GT946" s="157"/>
      <c r="GU946" s="157"/>
      <c r="GV946" s="157"/>
      <c r="GW946" s="157"/>
      <c r="GX946" s="157"/>
      <c r="GY946" s="157"/>
      <c r="GZ946" s="157"/>
      <c r="HA946" s="157"/>
      <c r="HB946" s="155">
        <v>0.0</v>
      </c>
      <c r="HC946" s="155">
        <v>0.0</v>
      </c>
      <c r="HD946" s="155">
        <v>0.0</v>
      </c>
      <c r="HE946" s="155">
        <v>0.0</v>
      </c>
      <c r="HF946" s="155">
        <v>0.0</v>
      </c>
      <c r="HG946" s="155">
        <v>0.0</v>
      </c>
      <c r="IL946" s="159">
        <v>0.0</v>
      </c>
      <c r="IM946" s="156">
        <v>0.0</v>
      </c>
      <c r="IN946" s="156">
        <v>0.0</v>
      </c>
      <c r="IO946" s="156">
        <v>0.0</v>
      </c>
      <c r="IP946" s="156">
        <v>0.0</v>
      </c>
      <c r="IQ946" s="160">
        <v>0.0</v>
      </c>
      <c r="JH946" s="25"/>
      <c r="JW946" s="159">
        <v>0.0</v>
      </c>
      <c r="JX946" s="156">
        <v>0.0</v>
      </c>
      <c r="JY946" s="156">
        <v>0.0</v>
      </c>
      <c r="JZ946" s="156">
        <v>0.0</v>
      </c>
      <c r="KA946" s="156">
        <v>0.0</v>
      </c>
      <c r="KB946" s="160">
        <v>0.0</v>
      </c>
      <c r="LH946" s="159">
        <f t="shared" si="10"/>
        <v>0</v>
      </c>
      <c r="LI946" s="156">
        <f t="shared" si="11"/>
        <v>0</v>
      </c>
      <c r="LJ946" s="156">
        <f t="shared" si="12"/>
        <v>0</v>
      </c>
      <c r="LK946" s="156">
        <f t="shared" si="13"/>
        <v>0</v>
      </c>
      <c r="LL946" s="156">
        <f t="shared" si="14"/>
        <v>0</v>
      </c>
      <c r="LM946" s="160">
        <f t="shared" si="15"/>
        <v>0</v>
      </c>
      <c r="QX946" s="633"/>
    </row>
    <row r="947">
      <c r="A947" s="12"/>
      <c r="B947" s="12"/>
      <c r="C947" s="12"/>
      <c r="D947" s="12"/>
      <c r="E947" s="12"/>
      <c r="F947" s="12"/>
      <c r="G947" s="12"/>
      <c r="H947" s="12"/>
      <c r="I947" s="143">
        <f t="shared" si="22"/>
        <v>0</v>
      </c>
      <c r="J947" s="108"/>
      <c r="K947" s="203"/>
      <c r="L947" s="108"/>
      <c r="V947" s="161"/>
      <c r="X947" s="140"/>
      <c r="Y947" s="166">
        <f t="shared" si="23"/>
        <v>0</v>
      </c>
      <c r="Z947" s="26">
        <f t="shared" si="7"/>
        <v>0</v>
      </c>
      <c r="AA947" s="26">
        <f t="shared" si="8"/>
        <v>0</v>
      </c>
      <c r="AB947" s="26">
        <f t="shared" si="9"/>
        <v>0</v>
      </c>
      <c r="AC947" s="156">
        <v>0.0</v>
      </c>
      <c r="AD947" s="156">
        <v>0.0</v>
      </c>
      <c r="AE947" s="156">
        <v>0.0</v>
      </c>
      <c r="AF947" s="156">
        <v>0.0</v>
      </c>
      <c r="AG947" s="156">
        <v>0.0</v>
      </c>
      <c r="AH947" s="156">
        <v>0.0</v>
      </c>
      <c r="BN947" s="155">
        <v>0.0</v>
      </c>
      <c r="BO947" s="155">
        <v>0.0</v>
      </c>
      <c r="BP947" s="155">
        <v>0.0</v>
      </c>
      <c r="BQ947" s="155">
        <v>0.0</v>
      </c>
      <c r="BR947" s="155">
        <v>0.0</v>
      </c>
      <c r="BS947" s="155">
        <v>0.0</v>
      </c>
      <c r="CV947" s="156">
        <v>0.0</v>
      </c>
      <c r="CW947" s="156">
        <v>0.0</v>
      </c>
      <c r="CX947" s="156">
        <v>0.0</v>
      </c>
      <c r="CY947" s="156">
        <v>0.0</v>
      </c>
      <c r="CZ947" s="156">
        <v>0.0</v>
      </c>
      <c r="DA947" s="156">
        <v>0.0</v>
      </c>
      <c r="EG947" s="156">
        <v>0.0</v>
      </c>
      <c r="EH947" s="156">
        <v>0.0</v>
      </c>
      <c r="EI947" s="156">
        <v>0.0</v>
      </c>
      <c r="EJ947" s="156">
        <v>0.0</v>
      </c>
      <c r="EK947" s="156">
        <v>0.0</v>
      </c>
      <c r="EL947" s="156">
        <v>0.0</v>
      </c>
      <c r="FQ947" s="156">
        <v>0.0</v>
      </c>
      <c r="FR947" s="156">
        <v>0.0</v>
      </c>
      <c r="FS947" s="156">
        <v>0.0</v>
      </c>
      <c r="FT947" s="156">
        <v>0.0</v>
      </c>
      <c r="FU947" s="156">
        <v>0.0</v>
      </c>
      <c r="FV947" s="156">
        <v>0.0</v>
      </c>
      <c r="FW947" s="157"/>
      <c r="FX947" s="157"/>
      <c r="FY947" s="157"/>
      <c r="FZ947" s="157"/>
      <c r="GA947" s="157"/>
      <c r="GB947" s="157"/>
      <c r="GC947" s="157"/>
      <c r="GD947" s="157"/>
      <c r="GE947" s="157"/>
      <c r="GF947" s="157"/>
      <c r="GG947" s="157"/>
      <c r="GH947" s="157"/>
      <c r="GI947" s="157"/>
      <c r="GJ947" s="157"/>
      <c r="GK947" s="157"/>
      <c r="GL947" s="157"/>
      <c r="GM947" s="157"/>
      <c r="GN947" s="157"/>
      <c r="GO947" s="157"/>
      <c r="GP947" s="158"/>
      <c r="GQ947" s="157"/>
      <c r="GR947" s="157"/>
      <c r="GS947" s="157"/>
      <c r="GT947" s="157"/>
      <c r="GU947" s="157"/>
      <c r="GV947" s="157"/>
      <c r="GW947" s="157"/>
      <c r="GX947" s="157"/>
      <c r="GY947" s="157"/>
      <c r="GZ947" s="157"/>
      <c r="HA947" s="157"/>
      <c r="HB947" s="155">
        <v>0.0</v>
      </c>
      <c r="HC947" s="155">
        <v>0.0</v>
      </c>
      <c r="HD947" s="155">
        <v>0.0</v>
      </c>
      <c r="HE947" s="155">
        <v>0.0</v>
      </c>
      <c r="HF947" s="155">
        <v>0.0</v>
      </c>
      <c r="HG947" s="155">
        <v>0.0</v>
      </c>
      <c r="IL947" s="159">
        <v>0.0</v>
      </c>
      <c r="IM947" s="156">
        <v>0.0</v>
      </c>
      <c r="IN947" s="156">
        <v>0.0</v>
      </c>
      <c r="IO947" s="156">
        <v>0.0</v>
      </c>
      <c r="IP947" s="156">
        <v>0.0</v>
      </c>
      <c r="IQ947" s="160">
        <v>0.0</v>
      </c>
      <c r="JH947" s="25"/>
      <c r="JW947" s="159">
        <v>0.0</v>
      </c>
      <c r="JX947" s="156">
        <v>0.0</v>
      </c>
      <c r="JY947" s="156">
        <v>0.0</v>
      </c>
      <c r="JZ947" s="156">
        <v>0.0</v>
      </c>
      <c r="KA947" s="156">
        <v>0.0</v>
      </c>
      <c r="KB947" s="160">
        <v>0.0</v>
      </c>
      <c r="LH947" s="159">
        <f t="shared" si="10"/>
        <v>0</v>
      </c>
      <c r="LI947" s="156">
        <f t="shared" si="11"/>
        <v>0</v>
      </c>
      <c r="LJ947" s="156">
        <f t="shared" si="12"/>
        <v>0</v>
      </c>
      <c r="LK947" s="156">
        <f t="shared" si="13"/>
        <v>0</v>
      </c>
      <c r="LL947" s="156">
        <f t="shared" si="14"/>
        <v>0</v>
      </c>
      <c r="LM947" s="160">
        <f t="shared" si="15"/>
        <v>0</v>
      </c>
      <c r="QX947" s="633"/>
    </row>
    <row r="948">
      <c r="A948" s="12"/>
      <c r="B948" s="12"/>
      <c r="C948" s="12"/>
      <c r="D948" s="12"/>
      <c r="E948" s="12"/>
      <c r="F948" s="12"/>
      <c r="G948" s="12"/>
      <c r="H948" s="12"/>
      <c r="I948" s="143">
        <f t="shared" si="22"/>
        <v>0</v>
      </c>
      <c r="J948" s="108"/>
      <c r="K948" s="203"/>
      <c r="L948" s="108"/>
      <c r="V948" s="161"/>
      <c r="X948" s="140"/>
      <c r="Y948" s="166">
        <f t="shared" si="23"/>
        <v>0</v>
      </c>
      <c r="Z948" s="26">
        <f t="shared" si="7"/>
        <v>0</v>
      </c>
      <c r="AA948" s="26">
        <f t="shared" si="8"/>
        <v>0</v>
      </c>
      <c r="AB948" s="26">
        <f t="shared" si="9"/>
        <v>0</v>
      </c>
      <c r="AC948" s="156">
        <v>0.0</v>
      </c>
      <c r="AD948" s="156">
        <v>0.0</v>
      </c>
      <c r="AE948" s="156">
        <v>0.0</v>
      </c>
      <c r="AF948" s="156">
        <v>0.0</v>
      </c>
      <c r="AG948" s="156">
        <v>0.0</v>
      </c>
      <c r="AH948" s="156">
        <v>0.0</v>
      </c>
      <c r="BN948" s="155">
        <v>0.0</v>
      </c>
      <c r="BO948" s="155">
        <v>0.0</v>
      </c>
      <c r="BP948" s="155">
        <v>0.0</v>
      </c>
      <c r="BQ948" s="155">
        <v>0.0</v>
      </c>
      <c r="BR948" s="155">
        <v>0.0</v>
      </c>
      <c r="BS948" s="155">
        <v>0.0</v>
      </c>
      <c r="CV948" s="156">
        <v>0.0</v>
      </c>
      <c r="CW948" s="156">
        <v>0.0</v>
      </c>
      <c r="CX948" s="156">
        <v>0.0</v>
      </c>
      <c r="CY948" s="156">
        <v>0.0</v>
      </c>
      <c r="CZ948" s="156">
        <v>0.0</v>
      </c>
      <c r="DA948" s="156">
        <v>0.0</v>
      </c>
      <c r="EG948" s="156">
        <v>0.0</v>
      </c>
      <c r="EH948" s="156">
        <v>0.0</v>
      </c>
      <c r="EI948" s="156">
        <v>0.0</v>
      </c>
      <c r="EJ948" s="156">
        <v>0.0</v>
      </c>
      <c r="EK948" s="156">
        <v>0.0</v>
      </c>
      <c r="EL948" s="156">
        <v>0.0</v>
      </c>
      <c r="FQ948" s="156">
        <v>0.0</v>
      </c>
      <c r="FR948" s="156">
        <v>0.0</v>
      </c>
      <c r="FS948" s="156">
        <v>0.0</v>
      </c>
      <c r="FT948" s="156">
        <v>0.0</v>
      </c>
      <c r="FU948" s="156">
        <v>0.0</v>
      </c>
      <c r="FV948" s="156">
        <v>0.0</v>
      </c>
      <c r="FW948" s="157"/>
      <c r="FX948" s="157"/>
      <c r="FY948" s="157"/>
      <c r="FZ948" s="157"/>
      <c r="GA948" s="157"/>
      <c r="GB948" s="157"/>
      <c r="GC948" s="157"/>
      <c r="GD948" s="157"/>
      <c r="GE948" s="157"/>
      <c r="GF948" s="157"/>
      <c r="GG948" s="157"/>
      <c r="GH948" s="157"/>
      <c r="GI948" s="157"/>
      <c r="GJ948" s="157"/>
      <c r="GK948" s="157"/>
      <c r="GL948" s="157"/>
      <c r="GM948" s="157"/>
      <c r="GN948" s="157"/>
      <c r="GO948" s="157"/>
      <c r="GP948" s="158"/>
      <c r="GQ948" s="157"/>
      <c r="GR948" s="157"/>
      <c r="GS948" s="157"/>
      <c r="GT948" s="157"/>
      <c r="GU948" s="157"/>
      <c r="GV948" s="157"/>
      <c r="GW948" s="157"/>
      <c r="GX948" s="157"/>
      <c r="GY948" s="157"/>
      <c r="GZ948" s="157"/>
      <c r="HA948" s="157"/>
      <c r="HB948" s="155">
        <v>0.0</v>
      </c>
      <c r="HC948" s="155">
        <v>0.0</v>
      </c>
      <c r="HD948" s="155">
        <v>0.0</v>
      </c>
      <c r="HE948" s="155">
        <v>0.0</v>
      </c>
      <c r="HF948" s="155">
        <v>0.0</v>
      </c>
      <c r="HG948" s="155">
        <v>0.0</v>
      </c>
      <c r="IL948" s="159">
        <v>0.0</v>
      </c>
      <c r="IM948" s="156">
        <v>0.0</v>
      </c>
      <c r="IN948" s="156">
        <v>0.0</v>
      </c>
      <c r="IO948" s="156">
        <v>0.0</v>
      </c>
      <c r="IP948" s="156">
        <v>0.0</v>
      </c>
      <c r="IQ948" s="160">
        <v>0.0</v>
      </c>
      <c r="JH948" s="25"/>
      <c r="JW948" s="159">
        <v>0.0</v>
      </c>
      <c r="JX948" s="156">
        <v>0.0</v>
      </c>
      <c r="JY948" s="156">
        <v>0.0</v>
      </c>
      <c r="JZ948" s="156">
        <v>0.0</v>
      </c>
      <c r="KA948" s="156">
        <v>0.0</v>
      </c>
      <c r="KB948" s="160">
        <v>0.0</v>
      </c>
      <c r="LH948" s="159">
        <f t="shared" si="10"/>
        <v>0</v>
      </c>
      <c r="LI948" s="156">
        <f t="shared" si="11"/>
        <v>0</v>
      </c>
      <c r="LJ948" s="156">
        <f t="shared" si="12"/>
        <v>0</v>
      </c>
      <c r="LK948" s="156">
        <f t="shared" si="13"/>
        <v>0</v>
      </c>
      <c r="LL948" s="156">
        <f t="shared" si="14"/>
        <v>0</v>
      </c>
      <c r="LM948" s="160">
        <f t="shared" si="15"/>
        <v>0</v>
      </c>
      <c r="QX948" s="633"/>
    </row>
    <row r="949">
      <c r="A949" s="12"/>
      <c r="B949" s="12"/>
      <c r="C949" s="12"/>
      <c r="D949" s="12"/>
      <c r="E949" s="12"/>
      <c r="F949" s="12"/>
      <c r="G949" s="12"/>
      <c r="H949" s="12"/>
      <c r="I949" s="143">
        <f t="shared" si="22"/>
        <v>0</v>
      </c>
      <c r="J949" s="108"/>
      <c r="K949" s="203"/>
      <c r="L949" s="108"/>
      <c r="V949" s="161"/>
      <c r="X949" s="140"/>
      <c r="Y949" s="166">
        <f t="shared" si="23"/>
        <v>0</v>
      </c>
      <c r="Z949" s="26">
        <f t="shared" si="7"/>
        <v>0</v>
      </c>
      <c r="AA949" s="26">
        <f t="shared" si="8"/>
        <v>0</v>
      </c>
      <c r="AB949" s="26">
        <f t="shared" si="9"/>
        <v>0</v>
      </c>
      <c r="AC949" s="156">
        <v>0.0</v>
      </c>
      <c r="AD949" s="156">
        <v>0.0</v>
      </c>
      <c r="AE949" s="156">
        <v>0.0</v>
      </c>
      <c r="AF949" s="156">
        <v>0.0</v>
      </c>
      <c r="AG949" s="156">
        <v>0.0</v>
      </c>
      <c r="AH949" s="156">
        <v>0.0</v>
      </c>
      <c r="BN949" s="155">
        <v>0.0</v>
      </c>
      <c r="BO949" s="155">
        <v>0.0</v>
      </c>
      <c r="BP949" s="155">
        <v>0.0</v>
      </c>
      <c r="BQ949" s="155">
        <v>0.0</v>
      </c>
      <c r="BR949" s="155">
        <v>0.0</v>
      </c>
      <c r="BS949" s="155">
        <v>0.0</v>
      </c>
      <c r="CV949" s="156">
        <v>0.0</v>
      </c>
      <c r="CW949" s="156">
        <v>0.0</v>
      </c>
      <c r="CX949" s="156">
        <v>0.0</v>
      </c>
      <c r="CY949" s="156">
        <v>0.0</v>
      </c>
      <c r="CZ949" s="156">
        <v>0.0</v>
      </c>
      <c r="DA949" s="156">
        <v>0.0</v>
      </c>
      <c r="EG949" s="156">
        <v>0.0</v>
      </c>
      <c r="EH949" s="156">
        <v>0.0</v>
      </c>
      <c r="EI949" s="156">
        <v>0.0</v>
      </c>
      <c r="EJ949" s="156">
        <v>0.0</v>
      </c>
      <c r="EK949" s="156">
        <v>0.0</v>
      </c>
      <c r="EL949" s="156">
        <v>0.0</v>
      </c>
      <c r="FQ949" s="156">
        <v>0.0</v>
      </c>
      <c r="FR949" s="156">
        <v>0.0</v>
      </c>
      <c r="FS949" s="156">
        <v>0.0</v>
      </c>
      <c r="FT949" s="156">
        <v>0.0</v>
      </c>
      <c r="FU949" s="156">
        <v>0.0</v>
      </c>
      <c r="FV949" s="156">
        <v>0.0</v>
      </c>
      <c r="FW949" s="157"/>
      <c r="FX949" s="157"/>
      <c r="FY949" s="157"/>
      <c r="FZ949" s="157"/>
      <c r="GA949" s="157"/>
      <c r="GB949" s="157"/>
      <c r="GC949" s="157"/>
      <c r="GD949" s="157"/>
      <c r="GE949" s="157"/>
      <c r="GF949" s="157"/>
      <c r="GG949" s="157"/>
      <c r="GH949" s="157"/>
      <c r="GI949" s="157"/>
      <c r="GJ949" s="157"/>
      <c r="GK949" s="157"/>
      <c r="GL949" s="157"/>
      <c r="GM949" s="157"/>
      <c r="GN949" s="157"/>
      <c r="GO949" s="157"/>
      <c r="GP949" s="158"/>
      <c r="GQ949" s="157"/>
      <c r="GR949" s="157"/>
      <c r="GS949" s="157"/>
      <c r="GT949" s="157"/>
      <c r="GU949" s="157"/>
      <c r="GV949" s="157"/>
      <c r="GW949" s="157"/>
      <c r="GX949" s="157"/>
      <c r="GY949" s="157"/>
      <c r="GZ949" s="157"/>
      <c r="HA949" s="157"/>
      <c r="HB949" s="155">
        <v>0.0</v>
      </c>
      <c r="HC949" s="155">
        <v>0.0</v>
      </c>
      <c r="HD949" s="155">
        <v>0.0</v>
      </c>
      <c r="HE949" s="155">
        <v>0.0</v>
      </c>
      <c r="HF949" s="155">
        <v>0.0</v>
      </c>
      <c r="HG949" s="155">
        <v>0.0</v>
      </c>
      <c r="IL949" s="159">
        <v>0.0</v>
      </c>
      <c r="IM949" s="156">
        <v>0.0</v>
      </c>
      <c r="IN949" s="156">
        <v>0.0</v>
      </c>
      <c r="IO949" s="156">
        <v>0.0</v>
      </c>
      <c r="IP949" s="156">
        <v>0.0</v>
      </c>
      <c r="IQ949" s="160">
        <v>0.0</v>
      </c>
      <c r="JH949" s="25"/>
      <c r="JW949" s="159">
        <v>0.0</v>
      </c>
      <c r="JX949" s="156">
        <v>0.0</v>
      </c>
      <c r="JY949" s="156">
        <v>0.0</v>
      </c>
      <c r="JZ949" s="156">
        <v>0.0</v>
      </c>
      <c r="KA949" s="156">
        <v>0.0</v>
      </c>
      <c r="KB949" s="160">
        <v>0.0</v>
      </c>
      <c r="LH949" s="159">
        <f t="shared" si="10"/>
        <v>0</v>
      </c>
      <c r="LI949" s="156">
        <f t="shared" si="11"/>
        <v>0</v>
      </c>
      <c r="LJ949" s="156">
        <f t="shared" si="12"/>
        <v>0</v>
      </c>
      <c r="LK949" s="156">
        <f t="shared" si="13"/>
        <v>0</v>
      </c>
      <c r="LL949" s="156">
        <f t="shared" si="14"/>
        <v>0</v>
      </c>
      <c r="LM949" s="160">
        <f t="shared" si="15"/>
        <v>0</v>
      </c>
      <c r="QX949" s="633"/>
    </row>
    <row r="950">
      <c r="A950" s="12"/>
      <c r="B950" s="12"/>
      <c r="C950" s="12"/>
      <c r="D950" s="12"/>
      <c r="E950" s="12"/>
      <c r="F950" s="12"/>
      <c r="G950" s="12"/>
      <c r="H950" s="12"/>
      <c r="I950" s="143">
        <f t="shared" si="22"/>
        <v>0</v>
      </c>
      <c r="J950" s="108"/>
      <c r="K950" s="203"/>
      <c r="L950" s="108"/>
      <c r="V950" s="161"/>
      <c r="X950" s="140"/>
      <c r="Y950" s="166">
        <f t="shared" si="23"/>
        <v>0</v>
      </c>
      <c r="Z950" s="26">
        <f t="shared" si="7"/>
        <v>0</v>
      </c>
      <c r="AA950" s="26">
        <f t="shared" si="8"/>
        <v>0</v>
      </c>
      <c r="AB950" s="26">
        <f t="shared" si="9"/>
        <v>0</v>
      </c>
      <c r="AC950" s="156">
        <v>0.0</v>
      </c>
      <c r="AD950" s="156">
        <v>0.0</v>
      </c>
      <c r="AE950" s="156">
        <v>0.0</v>
      </c>
      <c r="AF950" s="156">
        <v>0.0</v>
      </c>
      <c r="AG950" s="156">
        <v>0.0</v>
      </c>
      <c r="AH950" s="156">
        <v>0.0</v>
      </c>
      <c r="BN950" s="155">
        <v>0.0</v>
      </c>
      <c r="BO950" s="155">
        <v>0.0</v>
      </c>
      <c r="BP950" s="155">
        <v>0.0</v>
      </c>
      <c r="BQ950" s="155">
        <v>0.0</v>
      </c>
      <c r="BR950" s="155">
        <v>0.0</v>
      </c>
      <c r="BS950" s="155">
        <v>0.0</v>
      </c>
      <c r="CV950" s="156">
        <v>0.0</v>
      </c>
      <c r="CW950" s="156">
        <v>0.0</v>
      </c>
      <c r="CX950" s="156">
        <v>0.0</v>
      </c>
      <c r="CY950" s="156">
        <v>0.0</v>
      </c>
      <c r="CZ950" s="156">
        <v>0.0</v>
      </c>
      <c r="DA950" s="156">
        <v>0.0</v>
      </c>
      <c r="EG950" s="156">
        <v>0.0</v>
      </c>
      <c r="EH950" s="156">
        <v>0.0</v>
      </c>
      <c r="EI950" s="156">
        <v>0.0</v>
      </c>
      <c r="EJ950" s="156">
        <v>0.0</v>
      </c>
      <c r="EK950" s="156">
        <v>0.0</v>
      </c>
      <c r="EL950" s="156">
        <v>0.0</v>
      </c>
      <c r="FQ950" s="156">
        <v>0.0</v>
      </c>
      <c r="FR950" s="156">
        <v>0.0</v>
      </c>
      <c r="FS950" s="156">
        <v>0.0</v>
      </c>
      <c r="FT950" s="156">
        <v>0.0</v>
      </c>
      <c r="FU950" s="156">
        <v>0.0</v>
      </c>
      <c r="FV950" s="156">
        <v>0.0</v>
      </c>
      <c r="FW950" s="157"/>
      <c r="FX950" s="157"/>
      <c r="FY950" s="157"/>
      <c r="FZ950" s="157"/>
      <c r="GA950" s="157"/>
      <c r="GB950" s="157"/>
      <c r="GC950" s="157"/>
      <c r="GD950" s="157"/>
      <c r="GE950" s="157"/>
      <c r="GF950" s="157"/>
      <c r="GG950" s="157"/>
      <c r="GH950" s="157"/>
      <c r="GI950" s="157"/>
      <c r="GJ950" s="157"/>
      <c r="GK950" s="157"/>
      <c r="GL950" s="157"/>
      <c r="GM950" s="157"/>
      <c r="GN950" s="157"/>
      <c r="GO950" s="157"/>
      <c r="GP950" s="158"/>
      <c r="GQ950" s="157"/>
      <c r="GR950" s="157"/>
      <c r="GS950" s="157"/>
      <c r="GT950" s="157"/>
      <c r="GU950" s="157"/>
      <c r="GV950" s="157"/>
      <c r="GW950" s="157"/>
      <c r="GX950" s="157"/>
      <c r="GY950" s="157"/>
      <c r="GZ950" s="157"/>
      <c r="HA950" s="157"/>
      <c r="HB950" s="155">
        <v>0.0</v>
      </c>
      <c r="HC950" s="155">
        <v>0.0</v>
      </c>
      <c r="HD950" s="155">
        <v>0.0</v>
      </c>
      <c r="HE950" s="155">
        <v>0.0</v>
      </c>
      <c r="HF950" s="155">
        <v>0.0</v>
      </c>
      <c r="HG950" s="155">
        <v>0.0</v>
      </c>
      <c r="IL950" s="159">
        <v>0.0</v>
      </c>
      <c r="IM950" s="156">
        <v>0.0</v>
      </c>
      <c r="IN950" s="156">
        <v>0.0</v>
      </c>
      <c r="IO950" s="156">
        <v>0.0</v>
      </c>
      <c r="IP950" s="156">
        <v>0.0</v>
      </c>
      <c r="IQ950" s="160">
        <v>0.0</v>
      </c>
      <c r="JH950" s="25"/>
      <c r="JW950" s="159">
        <v>0.0</v>
      </c>
      <c r="JX950" s="156">
        <v>0.0</v>
      </c>
      <c r="JY950" s="156">
        <v>0.0</v>
      </c>
      <c r="JZ950" s="156">
        <v>0.0</v>
      </c>
      <c r="KA950" s="156">
        <v>0.0</v>
      </c>
      <c r="KB950" s="160">
        <v>0.0</v>
      </c>
      <c r="LH950" s="159">
        <f t="shared" si="10"/>
        <v>0</v>
      </c>
      <c r="LI950" s="156">
        <f t="shared" si="11"/>
        <v>0</v>
      </c>
      <c r="LJ950" s="156">
        <f t="shared" si="12"/>
        <v>0</v>
      </c>
      <c r="LK950" s="156">
        <f t="shared" si="13"/>
        <v>0</v>
      </c>
      <c r="LL950" s="156">
        <f t="shared" si="14"/>
        <v>0</v>
      </c>
      <c r="LM950" s="160">
        <f t="shared" si="15"/>
        <v>0</v>
      </c>
      <c r="QX950" s="633"/>
    </row>
    <row r="951">
      <c r="A951" s="12"/>
      <c r="B951" s="12"/>
      <c r="C951" s="12"/>
      <c r="D951" s="12"/>
      <c r="E951" s="12"/>
      <c r="F951" s="12"/>
      <c r="G951" s="12"/>
      <c r="H951" s="12"/>
      <c r="I951" s="143">
        <f t="shared" si="22"/>
        <v>0</v>
      </c>
      <c r="J951" s="108"/>
      <c r="K951" s="203"/>
      <c r="L951" s="108"/>
      <c r="V951" s="161"/>
      <c r="X951" s="140"/>
      <c r="Y951" s="166">
        <f t="shared" si="23"/>
        <v>0</v>
      </c>
      <c r="Z951" s="26">
        <f t="shared" si="7"/>
        <v>0</v>
      </c>
      <c r="AA951" s="26">
        <f t="shared" si="8"/>
        <v>0</v>
      </c>
      <c r="AB951" s="26">
        <f t="shared" si="9"/>
        <v>0</v>
      </c>
      <c r="AC951" s="156">
        <v>0.0</v>
      </c>
      <c r="AD951" s="156">
        <v>0.0</v>
      </c>
      <c r="AE951" s="156">
        <v>0.0</v>
      </c>
      <c r="AF951" s="156">
        <v>0.0</v>
      </c>
      <c r="AG951" s="156">
        <v>0.0</v>
      </c>
      <c r="AH951" s="156">
        <v>0.0</v>
      </c>
      <c r="BN951" s="155">
        <v>0.0</v>
      </c>
      <c r="BO951" s="155">
        <v>0.0</v>
      </c>
      <c r="BP951" s="155">
        <v>0.0</v>
      </c>
      <c r="BQ951" s="155">
        <v>0.0</v>
      </c>
      <c r="BR951" s="155">
        <v>0.0</v>
      </c>
      <c r="BS951" s="155">
        <v>0.0</v>
      </c>
      <c r="CV951" s="156">
        <v>0.0</v>
      </c>
      <c r="CW951" s="156">
        <v>0.0</v>
      </c>
      <c r="CX951" s="156">
        <v>0.0</v>
      </c>
      <c r="CY951" s="156">
        <v>0.0</v>
      </c>
      <c r="CZ951" s="156">
        <v>0.0</v>
      </c>
      <c r="DA951" s="156">
        <v>0.0</v>
      </c>
      <c r="EG951" s="156">
        <v>0.0</v>
      </c>
      <c r="EH951" s="156">
        <v>0.0</v>
      </c>
      <c r="EI951" s="156">
        <v>0.0</v>
      </c>
      <c r="EJ951" s="156">
        <v>0.0</v>
      </c>
      <c r="EK951" s="156">
        <v>0.0</v>
      </c>
      <c r="EL951" s="156">
        <v>0.0</v>
      </c>
      <c r="FQ951" s="156">
        <v>0.0</v>
      </c>
      <c r="FR951" s="156">
        <v>0.0</v>
      </c>
      <c r="FS951" s="156">
        <v>0.0</v>
      </c>
      <c r="FT951" s="156">
        <v>0.0</v>
      </c>
      <c r="FU951" s="156">
        <v>0.0</v>
      </c>
      <c r="FV951" s="156">
        <v>0.0</v>
      </c>
      <c r="FW951" s="157"/>
      <c r="FX951" s="157"/>
      <c r="FY951" s="157"/>
      <c r="FZ951" s="157"/>
      <c r="GA951" s="157"/>
      <c r="GB951" s="157"/>
      <c r="GC951" s="157"/>
      <c r="GD951" s="157"/>
      <c r="GE951" s="157"/>
      <c r="GF951" s="157"/>
      <c r="GG951" s="157"/>
      <c r="GH951" s="157"/>
      <c r="GI951" s="157"/>
      <c r="GJ951" s="157"/>
      <c r="GK951" s="157"/>
      <c r="GL951" s="157"/>
      <c r="GM951" s="157"/>
      <c r="GN951" s="157"/>
      <c r="GO951" s="157"/>
      <c r="GP951" s="158"/>
      <c r="GQ951" s="157"/>
      <c r="GR951" s="157"/>
      <c r="GS951" s="157"/>
      <c r="GT951" s="157"/>
      <c r="GU951" s="157"/>
      <c r="GV951" s="157"/>
      <c r="GW951" s="157"/>
      <c r="GX951" s="157"/>
      <c r="GY951" s="157"/>
      <c r="GZ951" s="157"/>
      <c r="HA951" s="157"/>
      <c r="HB951" s="155">
        <v>0.0</v>
      </c>
      <c r="HC951" s="155">
        <v>0.0</v>
      </c>
      <c r="HD951" s="155">
        <v>0.0</v>
      </c>
      <c r="HE951" s="155">
        <v>0.0</v>
      </c>
      <c r="HF951" s="155">
        <v>0.0</v>
      </c>
      <c r="HG951" s="155">
        <v>0.0</v>
      </c>
      <c r="IL951" s="159">
        <v>0.0</v>
      </c>
      <c r="IM951" s="156">
        <v>0.0</v>
      </c>
      <c r="IN951" s="156">
        <v>0.0</v>
      </c>
      <c r="IO951" s="156">
        <v>0.0</v>
      </c>
      <c r="IP951" s="156">
        <v>0.0</v>
      </c>
      <c r="IQ951" s="160">
        <v>0.0</v>
      </c>
      <c r="JH951" s="25"/>
      <c r="JW951" s="159">
        <v>0.0</v>
      </c>
      <c r="JX951" s="156">
        <v>0.0</v>
      </c>
      <c r="JY951" s="156">
        <v>0.0</v>
      </c>
      <c r="JZ951" s="156">
        <v>0.0</v>
      </c>
      <c r="KA951" s="156">
        <v>0.0</v>
      </c>
      <c r="KB951" s="160">
        <v>0.0</v>
      </c>
      <c r="LH951" s="159">
        <f t="shared" si="10"/>
        <v>0</v>
      </c>
      <c r="LI951" s="156">
        <f t="shared" si="11"/>
        <v>0</v>
      </c>
      <c r="LJ951" s="156">
        <f t="shared" si="12"/>
        <v>0</v>
      </c>
      <c r="LK951" s="156">
        <f t="shared" si="13"/>
        <v>0</v>
      </c>
      <c r="LL951" s="156">
        <f t="shared" si="14"/>
        <v>0</v>
      </c>
      <c r="LM951" s="160">
        <f t="shared" si="15"/>
        <v>0</v>
      </c>
      <c r="QX951" s="633"/>
    </row>
    <row r="952">
      <c r="A952" s="12"/>
      <c r="B952" s="12"/>
      <c r="C952" s="12"/>
      <c r="D952" s="12"/>
      <c r="E952" s="12"/>
      <c r="F952" s="12"/>
      <c r="G952" s="12"/>
      <c r="H952" s="12"/>
      <c r="I952" s="143">
        <f t="shared" si="22"/>
        <v>0</v>
      </c>
      <c r="J952" s="108"/>
      <c r="K952" s="203"/>
      <c r="L952" s="108"/>
      <c r="V952" s="161"/>
      <c r="X952" s="140"/>
      <c r="Y952" s="166">
        <f t="shared" si="23"/>
        <v>0</v>
      </c>
      <c r="Z952" s="26">
        <f t="shared" si="7"/>
        <v>0</v>
      </c>
      <c r="AA952" s="26">
        <f t="shared" si="8"/>
        <v>0</v>
      </c>
      <c r="AB952" s="26">
        <f t="shared" si="9"/>
        <v>0</v>
      </c>
      <c r="AC952" s="156">
        <v>0.0</v>
      </c>
      <c r="AD952" s="156">
        <v>0.0</v>
      </c>
      <c r="AE952" s="156">
        <v>0.0</v>
      </c>
      <c r="AF952" s="156">
        <v>0.0</v>
      </c>
      <c r="AG952" s="156">
        <v>0.0</v>
      </c>
      <c r="AH952" s="156">
        <v>0.0</v>
      </c>
      <c r="BN952" s="155">
        <v>0.0</v>
      </c>
      <c r="BO952" s="155">
        <v>0.0</v>
      </c>
      <c r="BP952" s="155">
        <v>0.0</v>
      </c>
      <c r="BQ952" s="155">
        <v>0.0</v>
      </c>
      <c r="BR952" s="155">
        <v>0.0</v>
      </c>
      <c r="BS952" s="155">
        <v>0.0</v>
      </c>
      <c r="CV952" s="156">
        <v>0.0</v>
      </c>
      <c r="CW952" s="156">
        <v>0.0</v>
      </c>
      <c r="CX952" s="156">
        <v>0.0</v>
      </c>
      <c r="CY952" s="156">
        <v>0.0</v>
      </c>
      <c r="CZ952" s="156">
        <v>0.0</v>
      </c>
      <c r="DA952" s="156">
        <v>0.0</v>
      </c>
      <c r="EG952" s="156">
        <v>0.0</v>
      </c>
      <c r="EH952" s="156">
        <v>0.0</v>
      </c>
      <c r="EI952" s="156">
        <v>0.0</v>
      </c>
      <c r="EJ952" s="156">
        <v>0.0</v>
      </c>
      <c r="EK952" s="156">
        <v>0.0</v>
      </c>
      <c r="EL952" s="156">
        <v>0.0</v>
      </c>
      <c r="FQ952" s="156">
        <v>0.0</v>
      </c>
      <c r="FR952" s="156">
        <v>0.0</v>
      </c>
      <c r="FS952" s="156">
        <v>0.0</v>
      </c>
      <c r="FT952" s="156">
        <v>0.0</v>
      </c>
      <c r="FU952" s="156">
        <v>0.0</v>
      </c>
      <c r="FV952" s="156">
        <v>0.0</v>
      </c>
      <c r="FW952" s="157"/>
      <c r="FX952" s="157"/>
      <c r="FY952" s="157"/>
      <c r="FZ952" s="157"/>
      <c r="GA952" s="157"/>
      <c r="GB952" s="157"/>
      <c r="GC952" s="157"/>
      <c r="GD952" s="157"/>
      <c r="GE952" s="157"/>
      <c r="GF952" s="157"/>
      <c r="GG952" s="157"/>
      <c r="GH952" s="157"/>
      <c r="GI952" s="157"/>
      <c r="GJ952" s="157"/>
      <c r="GK952" s="157"/>
      <c r="GL952" s="157"/>
      <c r="GM952" s="157"/>
      <c r="GN952" s="157"/>
      <c r="GO952" s="157"/>
      <c r="GP952" s="158"/>
      <c r="GQ952" s="157"/>
      <c r="GR952" s="157"/>
      <c r="GS952" s="157"/>
      <c r="GT952" s="157"/>
      <c r="GU952" s="157"/>
      <c r="GV952" s="157"/>
      <c r="GW952" s="157"/>
      <c r="GX952" s="157"/>
      <c r="GY952" s="157"/>
      <c r="GZ952" s="157"/>
      <c r="HA952" s="157"/>
      <c r="HB952" s="155">
        <v>0.0</v>
      </c>
      <c r="HC952" s="155">
        <v>0.0</v>
      </c>
      <c r="HD952" s="155">
        <v>0.0</v>
      </c>
      <c r="HE952" s="155">
        <v>0.0</v>
      </c>
      <c r="HF952" s="155">
        <v>0.0</v>
      </c>
      <c r="HG952" s="155">
        <v>0.0</v>
      </c>
      <c r="IL952" s="159">
        <v>0.0</v>
      </c>
      <c r="IM952" s="156">
        <v>0.0</v>
      </c>
      <c r="IN952" s="156">
        <v>0.0</v>
      </c>
      <c r="IO952" s="156">
        <v>0.0</v>
      </c>
      <c r="IP952" s="156">
        <v>0.0</v>
      </c>
      <c r="IQ952" s="160">
        <v>0.0</v>
      </c>
      <c r="JH952" s="25"/>
      <c r="JW952" s="159">
        <v>0.0</v>
      </c>
      <c r="JX952" s="156">
        <v>0.0</v>
      </c>
      <c r="JY952" s="156">
        <v>0.0</v>
      </c>
      <c r="JZ952" s="156">
        <v>0.0</v>
      </c>
      <c r="KA952" s="156">
        <v>0.0</v>
      </c>
      <c r="KB952" s="160">
        <v>0.0</v>
      </c>
      <c r="LH952" s="159">
        <f t="shared" si="10"/>
        <v>0</v>
      </c>
      <c r="LI952" s="156">
        <f t="shared" si="11"/>
        <v>0</v>
      </c>
      <c r="LJ952" s="156">
        <f t="shared" si="12"/>
        <v>0</v>
      </c>
      <c r="LK952" s="156">
        <f t="shared" si="13"/>
        <v>0</v>
      </c>
      <c r="LL952" s="156">
        <f t="shared" si="14"/>
        <v>0</v>
      </c>
      <c r="LM952" s="160">
        <f t="shared" si="15"/>
        <v>0</v>
      </c>
      <c r="QX952" s="633"/>
    </row>
    <row r="953">
      <c r="A953" s="12"/>
      <c r="B953" s="12"/>
      <c r="C953" s="12"/>
      <c r="D953" s="12"/>
      <c r="E953" s="12"/>
      <c r="F953" s="12"/>
      <c r="G953" s="12"/>
      <c r="H953" s="12"/>
      <c r="I953" s="143">
        <f t="shared" si="22"/>
        <v>0</v>
      </c>
      <c r="J953" s="108"/>
      <c r="K953" s="203"/>
      <c r="L953" s="108"/>
      <c r="V953" s="161"/>
      <c r="X953" s="140"/>
      <c r="Y953" s="166">
        <f t="shared" si="23"/>
        <v>0</v>
      </c>
      <c r="Z953" s="26">
        <f t="shared" si="7"/>
        <v>0</v>
      </c>
      <c r="AA953" s="26">
        <f t="shared" si="8"/>
        <v>0</v>
      </c>
      <c r="AB953" s="26">
        <f t="shared" si="9"/>
        <v>0</v>
      </c>
      <c r="AC953" s="156">
        <v>0.0</v>
      </c>
      <c r="AD953" s="156">
        <v>0.0</v>
      </c>
      <c r="AE953" s="156">
        <v>0.0</v>
      </c>
      <c r="AF953" s="156">
        <v>0.0</v>
      </c>
      <c r="AG953" s="156">
        <v>0.0</v>
      </c>
      <c r="AH953" s="156">
        <v>0.0</v>
      </c>
      <c r="BN953" s="155">
        <v>0.0</v>
      </c>
      <c r="BO953" s="155">
        <v>0.0</v>
      </c>
      <c r="BP953" s="155">
        <v>0.0</v>
      </c>
      <c r="BQ953" s="155">
        <v>0.0</v>
      </c>
      <c r="BR953" s="155">
        <v>0.0</v>
      </c>
      <c r="BS953" s="155">
        <v>0.0</v>
      </c>
      <c r="CV953" s="156">
        <v>0.0</v>
      </c>
      <c r="CW953" s="156">
        <v>0.0</v>
      </c>
      <c r="CX953" s="156">
        <v>0.0</v>
      </c>
      <c r="CY953" s="156">
        <v>0.0</v>
      </c>
      <c r="CZ953" s="156">
        <v>0.0</v>
      </c>
      <c r="DA953" s="156">
        <v>0.0</v>
      </c>
      <c r="EG953" s="156">
        <v>0.0</v>
      </c>
      <c r="EH953" s="156">
        <v>0.0</v>
      </c>
      <c r="EI953" s="156">
        <v>0.0</v>
      </c>
      <c r="EJ953" s="156">
        <v>0.0</v>
      </c>
      <c r="EK953" s="156">
        <v>0.0</v>
      </c>
      <c r="EL953" s="156">
        <v>0.0</v>
      </c>
      <c r="FQ953" s="156">
        <v>0.0</v>
      </c>
      <c r="FR953" s="156">
        <v>0.0</v>
      </c>
      <c r="FS953" s="156">
        <v>0.0</v>
      </c>
      <c r="FT953" s="156">
        <v>0.0</v>
      </c>
      <c r="FU953" s="156">
        <v>0.0</v>
      </c>
      <c r="FV953" s="156">
        <v>0.0</v>
      </c>
      <c r="FW953" s="157"/>
      <c r="FX953" s="157"/>
      <c r="FY953" s="157"/>
      <c r="FZ953" s="157"/>
      <c r="GA953" s="157"/>
      <c r="GB953" s="157"/>
      <c r="GC953" s="157"/>
      <c r="GD953" s="157"/>
      <c r="GE953" s="157"/>
      <c r="GF953" s="157"/>
      <c r="GG953" s="157"/>
      <c r="GH953" s="157"/>
      <c r="GI953" s="157"/>
      <c r="GJ953" s="157"/>
      <c r="GK953" s="157"/>
      <c r="GL953" s="157"/>
      <c r="GM953" s="157"/>
      <c r="GN953" s="157"/>
      <c r="GO953" s="157"/>
      <c r="GP953" s="158"/>
      <c r="GQ953" s="157"/>
      <c r="GR953" s="157"/>
      <c r="GS953" s="157"/>
      <c r="GT953" s="157"/>
      <c r="GU953" s="157"/>
      <c r="GV953" s="157"/>
      <c r="GW953" s="157"/>
      <c r="GX953" s="157"/>
      <c r="GY953" s="157"/>
      <c r="GZ953" s="157"/>
      <c r="HA953" s="157"/>
      <c r="HB953" s="155">
        <v>0.0</v>
      </c>
      <c r="HC953" s="155">
        <v>0.0</v>
      </c>
      <c r="HD953" s="155">
        <v>0.0</v>
      </c>
      <c r="HE953" s="155">
        <v>0.0</v>
      </c>
      <c r="HF953" s="155">
        <v>0.0</v>
      </c>
      <c r="HG953" s="155">
        <v>0.0</v>
      </c>
      <c r="IL953" s="159">
        <v>0.0</v>
      </c>
      <c r="IM953" s="156">
        <v>0.0</v>
      </c>
      <c r="IN953" s="156">
        <v>0.0</v>
      </c>
      <c r="IO953" s="156">
        <v>0.0</v>
      </c>
      <c r="IP953" s="156">
        <v>0.0</v>
      </c>
      <c r="IQ953" s="160">
        <v>0.0</v>
      </c>
      <c r="JH953" s="25"/>
      <c r="JW953" s="159">
        <v>0.0</v>
      </c>
      <c r="JX953" s="156">
        <v>0.0</v>
      </c>
      <c r="JY953" s="156">
        <v>0.0</v>
      </c>
      <c r="JZ953" s="156">
        <v>0.0</v>
      </c>
      <c r="KA953" s="156">
        <v>0.0</v>
      </c>
      <c r="KB953" s="160">
        <v>0.0</v>
      </c>
      <c r="LH953" s="159">
        <f t="shared" si="10"/>
        <v>0</v>
      </c>
      <c r="LI953" s="156">
        <f t="shared" si="11"/>
        <v>0</v>
      </c>
      <c r="LJ953" s="156">
        <f t="shared" si="12"/>
        <v>0</v>
      </c>
      <c r="LK953" s="156">
        <f t="shared" si="13"/>
        <v>0</v>
      </c>
      <c r="LL953" s="156">
        <f t="shared" si="14"/>
        <v>0</v>
      </c>
      <c r="LM953" s="160">
        <f t="shared" si="15"/>
        <v>0</v>
      </c>
      <c r="QX953" s="633"/>
    </row>
    <row r="954">
      <c r="A954" s="12"/>
      <c r="B954" s="12"/>
      <c r="C954" s="12"/>
      <c r="D954" s="12"/>
      <c r="E954" s="12"/>
      <c r="F954" s="12"/>
      <c r="G954" s="12"/>
      <c r="H954" s="12"/>
      <c r="I954" s="143">
        <f t="shared" si="22"/>
        <v>0</v>
      </c>
      <c r="J954" s="108"/>
      <c r="K954" s="203"/>
      <c r="L954" s="108"/>
      <c r="V954" s="161"/>
      <c r="X954" s="140"/>
      <c r="Y954" s="166">
        <f t="shared" si="23"/>
        <v>0</v>
      </c>
      <c r="Z954" s="26">
        <f t="shared" si="7"/>
        <v>0</v>
      </c>
      <c r="AA954" s="26">
        <f t="shared" si="8"/>
        <v>0</v>
      </c>
      <c r="AB954" s="26">
        <f t="shared" si="9"/>
        <v>0</v>
      </c>
      <c r="AC954" s="156">
        <v>0.0</v>
      </c>
      <c r="AD954" s="156">
        <v>0.0</v>
      </c>
      <c r="AE954" s="156">
        <v>0.0</v>
      </c>
      <c r="AF954" s="156">
        <v>0.0</v>
      </c>
      <c r="AG954" s="156">
        <v>0.0</v>
      </c>
      <c r="AH954" s="156">
        <v>0.0</v>
      </c>
      <c r="BN954" s="155">
        <v>0.0</v>
      </c>
      <c r="BO954" s="155">
        <v>0.0</v>
      </c>
      <c r="BP954" s="155">
        <v>0.0</v>
      </c>
      <c r="BQ954" s="155">
        <v>0.0</v>
      </c>
      <c r="BR954" s="155">
        <v>0.0</v>
      </c>
      <c r="BS954" s="155">
        <v>0.0</v>
      </c>
      <c r="CV954" s="156">
        <v>0.0</v>
      </c>
      <c r="CW954" s="156">
        <v>0.0</v>
      </c>
      <c r="CX954" s="156">
        <v>0.0</v>
      </c>
      <c r="CY954" s="156">
        <v>0.0</v>
      </c>
      <c r="CZ954" s="156">
        <v>0.0</v>
      </c>
      <c r="DA954" s="156">
        <v>0.0</v>
      </c>
      <c r="EG954" s="156">
        <v>0.0</v>
      </c>
      <c r="EH954" s="156">
        <v>0.0</v>
      </c>
      <c r="EI954" s="156">
        <v>0.0</v>
      </c>
      <c r="EJ954" s="156">
        <v>0.0</v>
      </c>
      <c r="EK954" s="156">
        <v>0.0</v>
      </c>
      <c r="EL954" s="156">
        <v>0.0</v>
      </c>
      <c r="FQ954" s="156">
        <v>0.0</v>
      </c>
      <c r="FR954" s="156">
        <v>0.0</v>
      </c>
      <c r="FS954" s="156">
        <v>0.0</v>
      </c>
      <c r="FT954" s="156">
        <v>0.0</v>
      </c>
      <c r="FU954" s="156">
        <v>0.0</v>
      </c>
      <c r="FV954" s="156">
        <v>0.0</v>
      </c>
      <c r="FW954" s="157"/>
      <c r="FX954" s="157"/>
      <c r="FY954" s="157"/>
      <c r="FZ954" s="157"/>
      <c r="GA954" s="157"/>
      <c r="GB954" s="157"/>
      <c r="GC954" s="157"/>
      <c r="GD954" s="157"/>
      <c r="GE954" s="157"/>
      <c r="GF954" s="157"/>
      <c r="GG954" s="157"/>
      <c r="GH954" s="157"/>
      <c r="GI954" s="157"/>
      <c r="GJ954" s="157"/>
      <c r="GK954" s="157"/>
      <c r="GL954" s="157"/>
      <c r="GM954" s="157"/>
      <c r="GN954" s="157"/>
      <c r="GO954" s="157"/>
      <c r="GP954" s="158"/>
      <c r="GQ954" s="157"/>
      <c r="GR954" s="157"/>
      <c r="GS954" s="157"/>
      <c r="GT954" s="157"/>
      <c r="GU954" s="157"/>
      <c r="GV954" s="157"/>
      <c r="GW954" s="157"/>
      <c r="GX954" s="157"/>
      <c r="GY954" s="157"/>
      <c r="GZ954" s="157"/>
      <c r="HA954" s="157"/>
      <c r="HB954" s="155">
        <v>0.0</v>
      </c>
      <c r="HC954" s="155">
        <v>0.0</v>
      </c>
      <c r="HD954" s="155">
        <v>0.0</v>
      </c>
      <c r="HE954" s="155">
        <v>0.0</v>
      </c>
      <c r="HF954" s="155">
        <v>0.0</v>
      </c>
      <c r="HG954" s="155">
        <v>0.0</v>
      </c>
      <c r="IL954" s="159">
        <v>0.0</v>
      </c>
      <c r="IM954" s="156">
        <v>0.0</v>
      </c>
      <c r="IN954" s="156">
        <v>0.0</v>
      </c>
      <c r="IO954" s="156">
        <v>0.0</v>
      </c>
      <c r="IP954" s="156">
        <v>0.0</v>
      </c>
      <c r="IQ954" s="160">
        <v>0.0</v>
      </c>
      <c r="JH954" s="25"/>
      <c r="JW954" s="159">
        <v>0.0</v>
      </c>
      <c r="JX954" s="156">
        <v>0.0</v>
      </c>
      <c r="JY954" s="156">
        <v>0.0</v>
      </c>
      <c r="JZ954" s="156">
        <v>0.0</v>
      </c>
      <c r="KA954" s="156">
        <v>0.0</v>
      </c>
      <c r="KB954" s="160">
        <v>0.0</v>
      </c>
      <c r="LH954" s="159">
        <f t="shared" si="10"/>
        <v>0</v>
      </c>
      <c r="LI954" s="156">
        <f t="shared" si="11"/>
        <v>0</v>
      </c>
      <c r="LJ954" s="156">
        <f t="shared" si="12"/>
        <v>0</v>
      </c>
      <c r="LK954" s="156">
        <f t="shared" si="13"/>
        <v>0</v>
      </c>
      <c r="LL954" s="156">
        <f t="shared" si="14"/>
        <v>0</v>
      </c>
      <c r="LM954" s="160">
        <f t="shared" si="15"/>
        <v>0</v>
      </c>
      <c r="QX954" s="633"/>
    </row>
    <row r="955">
      <c r="A955" s="12"/>
      <c r="B955" s="12"/>
      <c r="C955" s="12"/>
      <c r="D955" s="12"/>
      <c r="E955" s="12"/>
      <c r="F955" s="12"/>
      <c r="G955" s="12"/>
      <c r="H955" s="12"/>
      <c r="I955" s="143">
        <f t="shared" si="22"/>
        <v>0</v>
      </c>
      <c r="J955" s="108"/>
      <c r="K955" s="203"/>
      <c r="L955" s="108"/>
      <c r="V955" s="161"/>
      <c r="X955" s="140"/>
      <c r="Y955" s="166">
        <f t="shared" si="23"/>
        <v>0</v>
      </c>
      <c r="Z955" s="26">
        <f t="shared" si="7"/>
        <v>0</v>
      </c>
      <c r="AA955" s="26">
        <f t="shared" si="8"/>
        <v>0</v>
      </c>
      <c r="AB955" s="26">
        <f t="shared" si="9"/>
        <v>0</v>
      </c>
      <c r="AC955" s="156">
        <v>0.0</v>
      </c>
      <c r="AD955" s="156">
        <v>0.0</v>
      </c>
      <c r="AE955" s="156">
        <v>0.0</v>
      </c>
      <c r="AF955" s="156">
        <v>0.0</v>
      </c>
      <c r="AG955" s="156">
        <v>0.0</v>
      </c>
      <c r="AH955" s="156">
        <v>0.0</v>
      </c>
      <c r="BN955" s="155">
        <v>0.0</v>
      </c>
      <c r="BO955" s="155">
        <v>0.0</v>
      </c>
      <c r="BP955" s="155">
        <v>0.0</v>
      </c>
      <c r="BQ955" s="155">
        <v>0.0</v>
      </c>
      <c r="BR955" s="155">
        <v>0.0</v>
      </c>
      <c r="BS955" s="155">
        <v>0.0</v>
      </c>
      <c r="CV955" s="156">
        <v>0.0</v>
      </c>
      <c r="CW955" s="156">
        <v>0.0</v>
      </c>
      <c r="CX955" s="156">
        <v>0.0</v>
      </c>
      <c r="CY955" s="156">
        <v>0.0</v>
      </c>
      <c r="CZ955" s="156">
        <v>0.0</v>
      </c>
      <c r="DA955" s="156">
        <v>0.0</v>
      </c>
      <c r="EG955" s="156">
        <v>0.0</v>
      </c>
      <c r="EH955" s="156">
        <v>0.0</v>
      </c>
      <c r="EI955" s="156">
        <v>0.0</v>
      </c>
      <c r="EJ955" s="156">
        <v>0.0</v>
      </c>
      <c r="EK955" s="156">
        <v>0.0</v>
      </c>
      <c r="EL955" s="156">
        <v>0.0</v>
      </c>
      <c r="FQ955" s="156">
        <v>0.0</v>
      </c>
      <c r="FR955" s="156">
        <v>0.0</v>
      </c>
      <c r="FS955" s="156">
        <v>0.0</v>
      </c>
      <c r="FT955" s="156">
        <v>0.0</v>
      </c>
      <c r="FU955" s="156">
        <v>0.0</v>
      </c>
      <c r="FV955" s="156">
        <v>0.0</v>
      </c>
      <c r="FW955" s="157"/>
      <c r="FX955" s="157"/>
      <c r="FY955" s="157"/>
      <c r="FZ955" s="157"/>
      <c r="GA955" s="157"/>
      <c r="GB955" s="157"/>
      <c r="GC955" s="157"/>
      <c r="GD955" s="157"/>
      <c r="GE955" s="157"/>
      <c r="GF955" s="157"/>
      <c r="GG955" s="157"/>
      <c r="GH955" s="157"/>
      <c r="GI955" s="157"/>
      <c r="GJ955" s="157"/>
      <c r="GK955" s="157"/>
      <c r="GL955" s="157"/>
      <c r="GM955" s="157"/>
      <c r="GN955" s="157"/>
      <c r="GO955" s="157"/>
      <c r="GP955" s="158"/>
      <c r="GQ955" s="157"/>
      <c r="GR955" s="157"/>
      <c r="GS955" s="157"/>
      <c r="GT955" s="157"/>
      <c r="GU955" s="157"/>
      <c r="GV955" s="157"/>
      <c r="GW955" s="157"/>
      <c r="GX955" s="157"/>
      <c r="GY955" s="157"/>
      <c r="GZ955" s="157"/>
      <c r="HA955" s="157"/>
      <c r="HB955" s="155">
        <v>0.0</v>
      </c>
      <c r="HC955" s="155">
        <v>0.0</v>
      </c>
      <c r="HD955" s="155">
        <v>0.0</v>
      </c>
      <c r="HE955" s="155">
        <v>0.0</v>
      </c>
      <c r="HF955" s="155">
        <v>0.0</v>
      </c>
      <c r="HG955" s="155">
        <v>0.0</v>
      </c>
      <c r="IL955" s="159">
        <v>0.0</v>
      </c>
      <c r="IM955" s="156">
        <v>0.0</v>
      </c>
      <c r="IN955" s="156">
        <v>0.0</v>
      </c>
      <c r="IO955" s="156">
        <v>0.0</v>
      </c>
      <c r="IP955" s="156">
        <v>0.0</v>
      </c>
      <c r="IQ955" s="160">
        <v>0.0</v>
      </c>
      <c r="JH955" s="25"/>
      <c r="JW955" s="159">
        <v>0.0</v>
      </c>
      <c r="JX955" s="156">
        <v>0.0</v>
      </c>
      <c r="JY955" s="156">
        <v>0.0</v>
      </c>
      <c r="JZ955" s="156">
        <v>0.0</v>
      </c>
      <c r="KA955" s="156">
        <v>0.0</v>
      </c>
      <c r="KB955" s="160">
        <v>0.0</v>
      </c>
      <c r="LH955" s="159">
        <f t="shared" si="10"/>
        <v>0</v>
      </c>
      <c r="LI955" s="156">
        <f t="shared" si="11"/>
        <v>0</v>
      </c>
      <c r="LJ955" s="156">
        <f t="shared" si="12"/>
        <v>0</v>
      </c>
      <c r="LK955" s="156">
        <f t="shared" si="13"/>
        <v>0</v>
      </c>
      <c r="LL955" s="156">
        <f t="shared" si="14"/>
        <v>0</v>
      </c>
      <c r="LM955" s="160">
        <f t="shared" si="15"/>
        <v>0</v>
      </c>
      <c r="QX955" s="633"/>
    </row>
    <row r="956">
      <c r="A956" s="12"/>
      <c r="B956" s="12"/>
      <c r="C956" s="12"/>
      <c r="D956" s="12"/>
      <c r="E956" s="12"/>
      <c r="F956" s="12"/>
      <c r="G956" s="12"/>
      <c r="H956" s="12"/>
      <c r="I956" s="143">
        <f t="shared" si="22"/>
        <v>0</v>
      </c>
      <c r="J956" s="108"/>
      <c r="K956" s="203"/>
      <c r="L956" s="108"/>
      <c r="V956" s="161"/>
      <c r="X956" s="140"/>
      <c r="Y956" s="166">
        <f t="shared" si="23"/>
        <v>0</v>
      </c>
      <c r="Z956" s="26">
        <f t="shared" si="7"/>
        <v>0</v>
      </c>
      <c r="AA956" s="26">
        <f t="shared" si="8"/>
        <v>0</v>
      </c>
      <c r="AB956" s="26">
        <f t="shared" si="9"/>
        <v>0</v>
      </c>
      <c r="AC956" s="156">
        <v>0.0</v>
      </c>
      <c r="AD956" s="156">
        <v>0.0</v>
      </c>
      <c r="AE956" s="156">
        <v>0.0</v>
      </c>
      <c r="AF956" s="156">
        <v>0.0</v>
      </c>
      <c r="AG956" s="156">
        <v>0.0</v>
      </c>
      <c r="AH956" s="156">
        <v>0.0</v>
      </c>
      <c r="BN956" s="155">
        <v>0.0</v>
      </c>
      <c r="BO956" s="155">
        <v>0.0</v>
      </c>
      <c r="BP956" s="155">
        <v>0.0</v>
      </c>
      <c r="BQ956" s="155">
        <v>0.0</v>
      </c>
      <c r="BR956" s="155">
        <v>0.0</v>
      </c>
      <c r="BS956" s="155">
        <v>0.0</v>
      </c>
      <c r="CV956" s="156">
        <v>0.0</v>
      </c>
      <c r="CW956" s="156">
        <v>0.0</v>
      </c>
      <c r="CX956" s="156">
        <v>0.0</v>
      </c>
      <c r="CY956" s="156">
        <v>0.0</v>
      </c>
      <c r="CZ956" s="156">
        <v>0.0</v>
      </c>
      <c r="DA956" s="156">
        <v>0.0</v>
      </c>
      <c r="EG956" s="156">
        <v>0.0</v>
      </c>
      <c r="EH956" s="156">
        <v>0.0</v>
      </c>
      <c r="EI956" s="156">
        <v>0.0</v>
      </c>
      <c r="EJ956" s="156">
        <v>0.0</v>
      </c>
      <c r="EK956" s="156">
        <v>0.0</v>
      </c>
      <c r="EL956" s="156">
        <v>0.0</v>
      </c>
      <c r="FQ956" s="156">
        <v>0.0</v>
      </c>
      <c r="FR956" s="156">
        <v>0.0</v>
      </c>
      <c r="FS956" s="156">
        <v>0.0</v>
      </c>
      <c r="FT956" s="156">
        <v>0.0</v>
      </c>
      <c r="FU956" s="156">
        <v>0.0</v>
      </c>
      <c r="FV956" s="156">
        <v>0.0</v>
      </c>
      <c r="FW956" s="157"/>
      <c r="FX956" s="157"/>
      <c r="FY956" s="157"/>
      <c r="FZ956" s="157"/>
      <c r="GA956" s="157"/>
      <c r="GB956" s="157"/>
      <c r="GC956" s="157"/>
      <c r="GD956" s="157"/>
      <c r="GE956" s="157"/>
      <c r="GF956" s="157"/>
      <c r="GG956" s="157"/>
      <c r="GH956" s="157"/>
      <c r="GI956" s="157"/>
      <c r="GJ956" s="157"/>
      <c r="GK956" s="157"/>
      <c r="GL956" s="157"/>
      <c r="GM956" s="157"/>
      <c r="GN956" s="157"/>
      <c r="GO956" s="157"/>
      <c r="GP956" s="158"/>
      <c r="GQ956" s="157"/>
      <c r="GR956" s="157"/>
      <c r="GS956" s="157"/>
      <c r="GT956" s="157"/>
      <c r="GU956" s="157"/>
      <c r="GV956" s="157"/>
      <c r="GW956" s="157"/>
      <c r="GX956" s="157"/>
      <c r="GY956" s="157"/>
      <c r="GZ956" s="157"/>
      <c r="HA956" s="157"/>
      <c r="HB956" s="155">
        <v>0.0</v>
      </c>
      <c r="HC956" s="155">
        <v>0.0</v>
      </c>
      <c r="HD956" s="155">
        <v>0.0</v>
      </c>
      <c r="HE956" s="155">
        <v>0.0</v>
      </c>
      <c r="HF956" s="155">
        <v>0.0</v>
      </c>
      <c r="HG956" s="155">
        <v>0.0</v>
      </c>
      <c r="IL956" s="159">
        <v>0.0</v>
      </c>
      <c r="IM956" s="156">
        <v>0.0</v>
      </c>
      <c r="IN956" s="156">
        <v>0.0</v>
      </c>
      <c r="IO956" s="156">
        <v>0.0</v>
      </c>
      <c r="IP956" s="156">
        <v>0.0</v>
      </c>
      <c r="IQ956" s="160">
        <v>0.0</v>
      </c>
      <c r="JH956" s="25"/>
      <c r="JW956" s="159">
        <v>0.0</v>
      </c>
      <c r="JX956" s="156">
        <v>0.0</v>
      </c>
      <c r="JY956" s="156">
        <v>0.0</v>
      </c>
      <c r="JZ956" s="156">
        <v>0.0</v>
      </c>
      <c r="KA956" s="156">
        <v>0.0</v>
      </c>
      <c r="KB956" s="160">
        <v>0.0</v>
      </c>
      <c r="LH956" s="159">
        <f t="shared" si="10"/>
        <v>0</v>
      </c>
      <c r="LI956" s="156">
        <f t="shared" si="11"/>
        <v>0</v>
      </c>
      <c r="LJ956" s="156">
        <f t="shared" si="12"/>
        <v>0</v>
      </c>
      <c r="LK956" s="156">
        <f t="shared" si="13"/>
        <v>0</v>
      </c>
      <c r="LL956" s="156">
        <f t="shared" si="14"/>
        <v>0</v>
      </c>
      <c r="LM956" s="160">
        <f t="shared" si="15"/>
        <v>0</v>
      </c>
      <c r="QX956" s="633"/>
    </row>
    <row r="957">
      <c r="A957" s="12"/>
      <c r="B957" s="12"/>
      <c r="C957" s="12"/>
      <c r="D957" s="12"/>
      <c r="E957" s="12"/>
      <c r="F957" s="12"/>
      <c r="G957" s="12"/>
      <c r="H957" s="12"/>
      <c r="I957" s="143">
        <f t="shared" si="22"/>
        <v>0</v>
      </c>
      <c r="J957" s="108"/>
      <c r="K957" s="203"/>
      <c r="L957" s="108"/>
      <c r="V957" s="161"/>
      <c r="X957" s="140"/>
      <c r="Y957" s="166">
        <f t="shared" si="23"/>
        <v>0</v>
      </c>
      <c r="Z957" s="26">
        <f t="shared" si="7"/>
        <v>0</v>
      </c>
      <c r="AA957" s="26">
        <f t="shared" si="8"/>
        <v>0</v>
      </c>
      <c r="AB957" s="26">
        <f t="shared" si="9"/>
        <v>0</v>
      </c>
      <c r="AC957" s="156">
        <v>0.0</v>
      </c>
      <c r="AD957" s="156">
        <v>0.0</v>
      </c>
      <c r="AE957" s="156">
        <v>0.0</v>
      </c>
      <c r="AF957" s="156">
        <v>0.0</v>
      </c>
      <c r="AG957" s="156">
        <v>0.0</v>
      </c>
      <c r="AH957" s="156">
        <v>0.0</v>
      </c>
      <c r="BN957" s="155">
        <v>0.0</v>
      </c>
      <c r="BO957" s="155">
        <v>0.0</v>
      </c>
      <c r="BP957" s="155">
        <v>0.0</v>
      </c>
      <c r="BQ957" s="155">
        <v>0.0</v>
      </c>
      <c r="BR957" s="155">
        <v>0.0</v>
      </c>
      <c r="BS957" s="155">
        <v>0.0</v>
      </c>
      <c r="CV957" s="156">
        <v>0.0</v>
      </c>
      <c r="CW957" s="156">
        <v>0.0</v>
      </c>
      <c r="CX957" s="156">
        <v>0.0</v>
      </c>
      <c r="CY957" s="156">
        <v>0.0</v>
      </c>
      <c r="CZ957" s="156">
        <v>0.0</v>
      </c>
      <c r="DA957" s="156">
        <v>0.0</v>
      </c>
      <c r="EG957" s="156">
        <v>0.0</v>
      </c>
      <c r="EH957" s="156">
        <v>0.0</v>
      </c>
      <c r="EI957" s="156">
        <v>0.0</v>
      </c>
      <c r="EJ957" s="156">
        <v>0.0</v>
      </c>
      <c r="EK957" s="156">
        <v>0.0</v>
      </c>
      <c r="EL957" s="156">
        <v>0.0</v>
      </c>
      <c r="FQ957" s="156">
        <v>0.0</v>
      </c>
      <c r="FR957" s="156">
        <v>0.0</v>
      </c>
      <c r="FS957" s="156">
        <v>0.0</v>
      </c>
      <c r="FT957" s="156">
        <v>0.0</v>
      </c>
      <c r="FU957" s="156">
        <v>0.0</v>
      </c>
      <c r="FV957" s="156">
        <v>0.0</v>
      </c>
      <c r="FW957" s="157"/>
      <c r="FX957" s="157"/>
      <c r="FY957" s="157"/>
      <c r="FZ957" s="157"/>
      <c r="GA957" s="157"/>
      <c r="GB957" s="157"/>
      <c r="GC957" s="157"/>
      <c r="GD957" s="157"/>
      <c r="GE957" s="157"/>
      <c r="GF957" s="157"/>
      <c r="GG957" s="157"/>
      <c r="GH957" s="157"/>
      <c r="GI957" s="157"/>
      <c r="GJ957" s="157"/>
      <c r="GK957" s="157"/>
      <c r="GL957" s="157"/>
      <c r="GM957" s="157"/>
      <c r="GN957" s="157"/>
      <c r="GO957" s="157"/>
      <c r="GP957" s="158"/>
      <c r="GQ957" s="157"/>
      <c r="GR957" s="157"/>
      <c r="GS957" s="157"/>
      <c r="GT957" s="157"/>
      <c r="GU957" s="157"/>
      <c r="GV957" s="157"/>
      <c r="GW957" s="157"/>
      <c r="GX957" s="157"/>
      <c r="GY957" s="157"/>
      <c r="GZ957" s="157"/>
      <c r="HA957" s="157"/>
      <c r="HB957" s="155">
        <v>0.0</v>
      </c>
      <c r="HC957" s="155">
        <v>0.0</v>
      </c>
      <c r="HD957" s="155">
        <v>0.0</v>
      </c>
      <c r="HE957" s="155">
        <v>0.0</v>
      </c>
      <c r="HF957" s="155">
        <v>0.0</v>
      </c>
      <c r="HG957" s="155">
        <v>0.0</v>
      </c>
      <c r="IL957" s="159">
        <v>0.0</v>
      </c>
      <c r="IM957" s="156">
        <v>0.0</v>
      </c>
      <c r="IN957" s="156">
        <v>0.0</v>
      </c>
      <c r="IO957" s="156">
        <v>0.0</v>
      </c>
      <c r="IP957" s="156">
        <v>0.0</v>
      </c>
      <c r="IQ957" s="160">
        <v>0.0</v>
      </c>
      <c r="JH957" s="25"/>
      <c r="JW957" s="159">
        <v>0.0</v>
      </c>
      <c r="JX957" s="156">
        <v>0.0</v>
      </c>
      <c r="JY957" s="156">
        <v>0.0</v>
      </c>
      <c r="JZ957" s="156">
        <v>0.0</v>
      </c>
      <c r="KA957" s="156">
        <v>0.0</v>
      </c>
      <c r="KB957" s="160">
        <v>0.0</v>
      </c>
      <c r="LH957" s="159">
        <f t="shared" si="10"/>
        <v>0</v>
      </c>
      <c r="LI957" s="156">
        <f t="shared" si="11"/>
        <v>0</v>
      </c>
      <c r="LJ957" s="156">
        <f t="shared" si="12"/>
        <v>0</v>
      </c>
      <c r="LK957" s="156">
        <f t="shared" si="13"/>
        <v>0</v>
      </c>
      <c r="LL957" s="156">
        <f t="shared" si="14"/>
        <v>0</v>
      </c>
      <c r="LM957" s="160">
        <f t="shared" si="15"/>
        <v>0</v>
      </c>
      <c r="QX957" s="633"/>
    </row>
    <row r="958">
      <c r="A958" s="12"/>
      <c r="B958" s="12"/>
      <c r="C958" s="12"/>
      <c r="D958" s="12"/>
      <c r="E958" s="12"/>
      <c r="F958" s="12"/>
      <c r="G958" s="12"/>
      <c r="H958" s="12"/>
      <c r="I958" s="143">
        <f t="shared" si="22"/>
        <v>0</v>
      </c>
      <c r="J958" s="108"/>
      <c r="K958" s="203"/>
      <c r="L958" s="108"/>
      <c r="V958" s="161"/>
      <c r="X958" s="140"/>
      <c r="Y958" s="166">
        <f t="shared" si="23"/>
        <v>0</v>
      </c>
      <c r="Z958" s="26">
        <f t="shared" si="7"/>
        <v>0</v>
      </c>
      <c r="AA958" s="26">
        <f t="shared" si="8"/>
        <v>0</v>
      </c>
      <c r="AB958" s="26">
        <f t="shared" si="9"/>
        <v>0</v>
      </c>
      <c r="AC958" s="156">
        <v>0.0</v>
      </c>
      <c r="AD958" s="156">
        <v>0.0</v>
      </c>
      <c r="AE958" s="156">
        <v>0.0</v>
      </c>
      <c r="AF958" s="156">
        <v>0.0</v>
      </c>
      <c r="AG958" s="156">
        <v>0.0</v>
      </c>
      <c r="AH958" s="156">
        <v>0.0</v>
      </c>
      <c r="BN958" s="155">
        <v>0.0</v>
      </c>
      <c r="BO958" s="155">
        <v>0.0</v>
      </c>
      <c r="BP958" s="155">
        <v>0.0</v>
      </c>
      <c r="BQ958" s="155">
        <v>0.0</v>
      </c>
      <c r="BR958" s="155">
        <v>0.0</v>
      </c>
      <c r="BS958" s="155">
        <v>0.0</v>
      </c>
      <c r="CV958" s="156">
        <v>0.0</v>
      </c>
      <c r="CW958" s="156">
        <v>0.0</v>
      </c>
      <c r="CX958" s="156">
        <v>0.0</v>
      </c>
      <c r="CY958" s="156">
        <v>0.0</v>
      </c>
      <c r="CZ958" s="156">
        <v>0.0</v>
      </c>
      <c r="DA958" s="156">
        <v>0.0</v>
      </c>
      <c r="EG958" s="156">
        <v>0.0</v>
      </c>
      <c r="EH958" s="156">
        <v>0.0</v>
      </c>
      <c r="EI958" s="156">
        <v>0.0</v>
      </c>
      <c r="EJ958" s="156">
        <v>0.0</v>
      </c>
      <c r="EK958" s="156">
        <v>0.0</v>
      </c>
      <c r="EL958" s="156">
        <v>0.0</v>
      </c>
      <c r="FQ958" s="156">
        <v>0.0</v>
      </c>
      <c r="FR958" s="156">
        <v>0.0</v>
      </c>
      <c r="FS958" s="156">
        <v>0.0</v>
      </c>
      <c r="FT958" s="156">
        <v>0.0</v>
      </c>
      <c r="FU958" s="156">
        <v>0.0</v>
      </c>
      <c r="FV958" s="156">
        <v>0.0</v>
      </c>
      <c r="FW958" s="157"/>
      <c r="FX958" s="157"/>
      <c r="FY958" s="157"/>
      <c r="FZ958" s="157"/>
      <c r="GA958" s="157"/>
      <c r="GB958" s="157"/>
      <c r="GC958" s="157"/>
      <c r="GD958" s="157"/>
      <c r="GE958" s="157"/>
      <c r="GF958" s="157"/>
      <c r="GG958" s="157"/>
      <c r="GH958" s="157"/>
      <c r="GI958" s="157"/>
      <c r="GJ958" s="157"/>
      <c r="GK958" s="157"/>
      <c r="GL958" s="157"/>
      <c r="GM958" s="157"/>
      <c r="GN958" s="157"/>
      <c r="GO958" s="157"/>
      <c r="GP958" s="158"/>
      <c r="GQ958" s="157"/>
      <c r="GR958" s="157"/>
      <c r="GS958" s="157"/>
      <c r="GT958" s="157"/>
      <c r="GU958" s="157"/>
      <c r="GV958" s="157"/>
      <c r="GW958" s="157"/>
      <c r="GX958" s="157"/>
      <c r="GY958" s="157"/>
      <c r="GZ958" s="157"/>
      <c r="HA958" s="157"/>
      <c r="HB958" s="155">
        <v>0.0</v>
      </c>
      <c r="HC958" s="155">
        <v>0.0</v>
      </c>
      <c r="HD958" s="155">
        <v>0.0</v>
      </c>
      <c r="HE958" s="155">
        <v>0.0</v>
      </c>
      <c r="HF958" s="155">
        <v>0.0</v>
      </c>
      <c r="HG958" s="155">
        <v>0.0</v>
      </c>
      <c r="IL958" s="159">
        <v>0.0</v>
      </c>
      <c r="IM958" s="156">
        <v>0.0</v>
      </c>
      <c r="IN958" s="156">
        <v>0.0</v>
      </c>
      <c r="IO958" s="156">
        <v>0.0</v>
      </c>
      <c r="IP958" s="156">
        <v>0.0</v>
      </c>
      <c r="IQ958" s="160">
        <v>0.0</v>
      </c>
      <c r="JH958" s="25"/>
      <c r="JW958" s="159">
        <v>0.0</v>
      </c>
      <c r="JX958" s="156">
        <v>0.0</v>
      </c>
      <c r="JY958" s="156">
        <v>0.0</v>
      </c>
      <c r="JZ958" s="156">
        <v>0.0</v>
      </c>
      <c r="KA958" s="156">
        <v>0.0</v>
      </c>
      <c r="KB958" s="160">
        <v>0.0</v>
      </c>
      <c r="LH958" s="159">
        <f t="shared" si="10"/>
        <v>0</v>
      </c>
      <c r="LI958" s="156">
        <f t="shared" si="11"/>
        <v>0</v>
      </c>
      <c r="LJ958" s="156">
        <f t="shared" si="12"/>
        <v>0</v>
      </c>
      <c r="LK958" s="156">
        <f t="shared" si="13"/>
        <v>0</v>
      </c>
      <c r="LL958" s="156">
        <f t="shared" si="14"/>
        <v>0</v>
      </c>
      <c r="LM958" s="160">
        <f t="shared" si="15"/>
        <v>0</v>
      </c>
      <c r="QX958" s="633"/>
    </row>
    <row r="959">
      <c r="A959" s="12"/>
      <c r="B959" s="12"/>
      <c r="C959" s="12"/>
      <c r="D959" s="12"/>
      <c r="E959" s="12"/>
      <c r="F959" s="12"/>
      <c r="G959" s="12"/>
      <c r="H959" s="12"/>
      <c r="I959" s="143">
        <f t="shared" si="22"/>
        <v>0</v>
      </c>
      <c r="J959" s="108"/>
      <c r="K959" s="203"/>
      <c r="L959" s="108"/>
      <c r="V959" s="161"/>
      <c r="X959" s="140"/>
      <c r="Y959" s="166">
        <f t="shared" si="23"/>
        <v>0</v>
      </c>
      <c r="Z959" s="26">
        <f t="shared" si="7"/>
        <v>0</v>
      </c>
      <c r="AA959" s="26">
        <f t="shared" si="8"/>
        <v>0</v>
      </c>
      <c r="AB959" s="26">
        <f t="shared" si="9"/>
        <v>0</v>
      </c>
      <c r="AC959" s="156">
        <v>0.0</v>
      </c>
      <c r="AD959" s="156">
        <v>0.0</v>
      </c>
      <c r="AE959" s="156">
        <v>0.0</v>
      </c>
      <c r="AF959" s="156">
        <v>0.0</v>
      </c>
      <c r="AG959" s="156">
        <v>0.0</v>
      </c>
      <c r="AH959" s="156">
        <v>0.0</v>
      </c>
      <c r="BN959" s="155">
        <v>0.0</v>
      </c>
      <c r="BO959" s="155">
        <v>0.0</v>
      </c>
      <c r="BP959" s="155">
        <v>0.0</v>
      </c>
      <c r="BQ959" s="155">
        <v>0.0</v>
      </c>
      <c r="BR959" s="155">
        <v>0.0</v>
      </c>
      <c r="BS959" s="155">
        <v>0.0</v>
      </c>
      <c r="CV959" s="156">
        <v>0.0</v>
      </c>
      <c r="CW959" s="156">
        <v>0.0</v>
      </c>
      <c r="CX959" s="156">
        <v>0.0</v>
      </c>
      <c r="CY959" s="156">
        <v>0.0</v>
      </c>
      <c r="CZ959" s="156">
        <v>0.0</v>
      </c>
      <c r="DA959" s="156">
        <v>0.0</v>
      </c>
      <c r="EG959" s="156">
        <v>0.0</v>
      </c>
      <c r="EH959" s="156">
        <v>0.0</v>
      </c>
      <c r="EI959" s="156">
        <v>0.0</v>
      </c>
      <c r="EJ959" s="156">
        <v>0.0</v>
      </c>
      <c r="EK959" s="156">
        <v>0.0</v>
      </c>
      <c r="EL959" s="156">
        <v>0.0</v>
      </c>
      <c r="FQ959" s="156">
        <v>0.0</v>
      </c>
      <c r="FR959" s="156">
        <v>0.0</v>
      </c>
      <c r="FS959" s="156">
        <v>0.0</v>
      </c>
      <c r="FT959" s="156">
        <v>0.0</v>
      </c>
      <c r="FU959" s="156">
        <v>0.0</v>
      </c>
      <c r="FV959" s="156">
        <v>0.0</v>
      </c>
      <c r="FW959" s="157"/>
      <c r="FX959" s="157"/>
      <c r="FY959" s="157"/>
      <c r="FZ959" s="157"/>
      <c r="GA959" s="157"/>
      <c r="GB959" s="157"/>
      <c r="GC959" s="157"/>
      <c r="GD959" s="157"/>
      <c r="GE959" s="157"/>
      <c r="GF959" s="157"/>
      <c r="GG959" s="157"/>
      <c r="GH959" s="157"/>
      <c r="GI959" s="157"/>
      <c r="GJ959" s="157"/>
      <c r="GK959" s="157"/>
      <c r="GL959" s="157"/>
      <c r="GM959" s="157"/>
      <c r="GN959" s="157"/>
      <c r="GO959" s="157"/>
      <c r="GP959" s="158"/>
      <c r="GQ959" s="157"/>
      <c r="GR959" s="157"/>
      <c r="GS959" s="157"/>
      <c r="GT959" s="157"/>
      <c r="GU959" s="157"/>
      <c r="GV959" s="157"/>
      <c r="GW959" s="157"/>
      <c r="GX959" s="157"/>
      <c r="GY959" s="157"/>
      <c r="GZ959" s="157"/>
      <c r="HA959" s="157"/>
      <c r="HB959" s="155">
        <v>0.0</v>
      </c>
      <c r="HC959" s="155">
        <v>0.0</v>
      </c>
      <c r="HD959" s="155">
        <v>0.0</v>
      </c>
      <c r="HE959" s="155">
        <v>0.0</v>
      </c>
      <c r="HF959" s="155">
        <v>0.0</v>
      </c>
      <c r="HG959" s="155">
        <v>0.0</v>
      </c>
      <c r="IL959" s="159">
        <v>0.0</v>
      </c>
      <c r="IM959" s="156">
        <v>0.0</v>
      </c>
      <c r="IN959" s="156">
        <v>0.0</v>
      </c>
      <c r="IO959" s="156">
        <v>0.0</v>
      </c>
      <c r="IP959" s="156">
        <v>0.0</v>
      </c>
      <c r="IQ959" s="160">
        <v>0.0</v>
      </c>
      <c r="JH959" s="25"/>
      <c r="JW959" s="159">
        <v>0.0</v>
      </c>
      <c r="JX959" s="156">
        <v>0.0</v>
      </c>
      <c r="JY959" s="156">
        <v>0.0</v>
      </c>
      <c r="JZ959" s="156">
        <v>0.0</v>
      </c>
      <c r="KA959" s="156">
        <v>0.0</v>
      </c>
      <c r="KB959" s="160">
        <v>0.0</v>
      </c>
      <c r="LH959" s="159">
        <f t="shared" si="10"/>
        <v>0</v>
      </c>
      <c r="LI959" s="156">
        <f t="shared" si="11"/>
        <v>0</v>
      </c>
      <c r="LJ959" s="156">
        <f t="shared" si="12"/>
        <v>0</v>
      </c>
      <c r="LK959" s="156">
        <f t="shared" si="13"/>
        <v>0</v>
      </c>
      <c r="LL959" s="156">
        <f t="shared" si="14"/>
        <v>0</v>
      </c>
      <c r="LM959" s="160">
        <f t="shared" si="15"/>
        <v>0</v>
      </c>
      <c r="QX959" s="633"/>
    </row>
    <row r="960">
      <c r="A960" s="12"/>
      <c r="B960" s="12"/>
      <c r="C960" s="12"/>
      <c r="D960" s="12"/>
      <c r="E960" s="12"/>
      <c r="F960" s="12"/>
      <c r="G960" s="12"/>
      <c r="H960" s="12"/>
      <c r="I960" s="143">
        <f t="shared" si="22"/>
        <v>0</v>
      </c>
      <c r="J960" s="108"/>
      <c r="K960" s="203"/>
      <c r="L960" s="108"/>
      <c r="V960" s="161"/>
      <c r="X960" s="140"/>
      <c r="Y960" s="166">
        <f t="shared" si="23"/>
        <v>0</v>
      </c>
      <c r="Z960" s="26">
        <f t="shared" si="7"/>
        <v>0</v>
      </c>
      <c r="AA960" s="26">
        <f t="shared" si="8"/>
        <v>0</v>
      </c>
      <c r="AB960" s="26">
        <f t="shared" si="9"/>
        <v>0</v>
      </c>
      <c r="AC960" s="156">
        <v>0.0</v>
      </c>
      <c r="AD960" s="156">
        <v>0.0</v>
      </c>
      <c r="AE960" s="156">
        <v>0.0</v>
      </c>
      <c r="AF960" s="156">
        <v>0.0</v>
      </c>
      <c r="AG960" s="156">
        <v>0.0</v>
      </c>
      <c r="AH960" s="156">
        <v>0.0</v>
      </c>
      <c r="BN960" s="155">
        <v>0.0</v>
      </c>
      <c r="BO960" s="155">
        <v>0.0</v>
      </c>
      <c r="BP960" s="155">
        <v>0.0</v>
      </c>
      <c r="BQ960" s="155">
        <v>0.0</v>
      </c>
      <c r="BR960" s="155">
        <v>0.0</v>
      </c>
      <c r="BS960" s="155">
        <v>0.0</v>
      </c>
      <c r="CV960" s="156">
        <v>0.0</v>
      </c>
      <c r="CW960" s="156">
        <v>0.0</v>
      </c>
      <c r="CX960" s="156">
        <v>0.0</v>
      </c>
      <c r="CY960" s="156">
        <v>0.0</v>
      </c>
      <c r="CZ960" s="156">
        <v>0.0</v>
      </c>
      <c r="DA960" s="156">
        <v>0.0</v>
      </c>
      <c r="EG960" s="156">
        <v>0.0</v>
      </c>
      <c r="EH960" s="156">
        <v>0.0</v>
      </c>
      <c r="EI960" s="156">
        <v>0.0</v>
      </c>
      <c r="EJ960" s="156">
        <v>0.0</v>
      </c>
      <c r="EK960" s="156">
        <v>0.0</v>
      </c>
      <c r="EL960" s="156">
        <v>0.0</v>
      </c>
      <c r="FQ960" s="156">
        <v>0.0</v>
      </c>
      <c r="FR960" s="156">
        <v>0.0</v>
      </c>
      <c r="FS960" s="156">
        <v>0.0</v>
      </c>
      <c r="FT960" s="156">
        <v>0.0</v>
      </c>
      <c r="FU960" s="156">
        <v>0.0</v>
      </c>
      <c r="FV960" s="156">
        <v>0.0</v>
      </c>
      <c r="FW960" s="157"/>
      <c r="FX960" s="157"/>
      <c r="FY960" s="157"/>
      <c r="FZ960" s="157"/>
      <c r="GA960" s="157"/>
      <c r="GB960" s="157"/>
      <c r="GC960" s="157"/>
      <c r="GD960" s="157"/>
      <c r="GE960" s="157"/>
      <c r="GF960" s="157"/>
      <c r="GG960" s="157"/>
      <c r="GH960" s="157"/>
      <c r="GI960" s="157"/>
      <c r="GJ960" s="157"/>
      <c r="GK960" s="157"/>
      <c r="GL960" s="157"/>
      <c r="GM960" s="157"/>
      <c r="GN960" s="157"/>
      <c r="GO960" s="157"/>
      <c r="GP960" s="158"/>
      <c r="GQ960" s="157"/>
      <c r="GR960" s="157"/>
      <c r="GS960" s="157"/>
      <c r="GT960" s="157"/>
      <c r="GU960" s="157"/>
      <c r="GV960" s="157"/>
      <c r="GW960" s="157"/>
      <c r="GX960" s="157"/>
      <c r="GY960" s="157"/>
      <c r="GZ960" s="157"/>
      <c r="HA960" s="157"/>
      <c r="HB960" s="155">
        <v>0.0</v>
      </c>
      <c r="HC960" s="155">
        <v>0.0</v>
      </c>
      <c r="HD960" s="155">
        <v>0.0</v>
      </c>
      <c r="HE960" s="155">
        <v>0.0</v>
      </c>
      <c r="HF960" s="155">
        <v>0.0</v>
      </c>
      <c r="HG960" s="155">
        <v>0.0</v>
      </c>
      <c r="IL960" s="159">
        <v>0.0</v>
      </c>
      <c r="IM960" s="156">
        <v>0.0</v>
      </c>
      <c r="IN960" s="156">
        <v>0.0</v>
      </c>
      <c r="IO960" s="156">
        <v>0.0</v>
      </c>
      <c r="IP960" s="156">
        <v>0.0</v>
      </c>
      <c r="IQ960" s="160">
        <v>0.0</v>
      </c>
      <c r="JH960" s="25"/>
      <c r="JW960" s="159">
        <v>0.0</v>
      </c>
      <c r="JX960" s="156">
        <v>0.0</v>
      </c>
      <c r="JY960" s="156">
        <v>0.0</v>
      </c>
      <c r="JZ960" s="156">
        <v>0.0</v>
      </c>
      <c r="KA960" s="156">
        <v>0.0</v>
      </c>
      <c r="KB960" s="160">
        <v>0.0</v>
      </c>
      <c r="LH960" s="159">
        <f t="shared" si="10"/>
        <v>0</v>
      </c>
      <c r="LI960" s="156">
        <f t="shared" si="11"/>
        <v>0</v>
      </c>
      <c r="LJ960" s="156">
        <f t="shared" si="12"/>
        <v>0</v>
      </c>
      <c r="LK960" s="156">
        <f t="shared" si="13"/>
        <v>0</v>
      </c>
      <c r="LL960" s="156">
        <f t="shared" si="14"/>
        <v>0</v>
      </c>
      <c r="LM960" s="160">
        <f t="shared" si="15"/>
        <v>0</v>
      </c>
      <c r="QX960" s="633"/>
    </row>
    <row r="961">
      <c r="A961" s="12"/>
      <c r="B961" s="12"/>
      <c r="C961" s="12"/>
      <c r="D961" s="12"/>
      <c r="E961" s="12"/>
      <c r="F961" s="12"/>
      <c r="G961" s="12"/>
      <c r="H961" s="12"/>
      <c r="I961" s="143">
        <f t="shared" si="22"/>
        <v>0</v>
      </c>
      <c r="J961" s="108"/>
      <c r="K961" s="203"/>
      <c r="L961" s="108"/>
      <c r="V961" s="161"/>
      <c r="X961" s="140"/>
      <c r="Y961" s="166">
        <f t="shared" si="23"/>
        <v>0</v>
      </c>
      <c r="Z961" s="26">
        <f t="shared" si="7"/>
        <v>0</v>
      </c>
      <c r="AA961" s="26">
        <f t="shared" si="8"/>
        <v>0</v>
      </c>
      <c r="AB961" s="26">
        <f t="shared" si="9"/>
        <v>0</v>
      </c>
      <c r="AC961" s="156">
        <v>0.0</v>
      </c>
      <c r="AD961" s="156">
        <v>0.0</v>
      </c>
      <c r="AE961" s="156">
        <v>0.0</v>
      </c>
      <c r="AF961" s="156">
        <v>0.0</v>
      </c>
      <c r="AG961" s="156">
        <v>0.0</v>
      </c>
      <c r="AH961" s="156">
        <v>0.0</v>
      </c>
      <c r="BN961" s="155">
        <v>0.0</v>
      </c>
      <c r="BO961" s="155">
        <v>0.0</v>
      </c>
      <c r="BP961" s="155">
        <v>0.0</v>
      </c>
      <c r="BQ961" s="155">
        <v>0.0</v>
      </c>
      <c r="BR961" s="155">
        <v>0.0</v>
      </c>
      <c r="BS961" s="155">
        <v>0.0</v>
      </c>
      <c r="CV961" s="156">
        <v>0.0</v>
      </c>
      <c r="CW961" s="156">
        <v>0.0</v>
      </c>
      <c r="CX961" s="156">
        <v>0.0</v>
      </c>
      <c r="CY961" s="156">
        <v>0.0</v>
      </c>
      <c r="CZ961" s="156">
        <v>0.0</v>
      </c>
      <c r="DA961" s="156">
        <v>0.0</v>
      </c>
      <c r="EG961" s="156">
        <v>0.0</v>
      </c>
      <c r="EH961" s="156">
        <v>0.0</v>
      </c>
      <c r="EI961" s="156">
        <v>0.0</v>
      </c>
      <c r="EJ961" s="156">
        <v>0.0</v>
      </c>
      <c r="EK961" s="156">
        <v>0.0</v>
      </c>
      <c r="EL961" s="156">
        <v>0.0</v>
      </c>
      <c r="FQ961" s="156">
        <v>0.0</v>
      </c>
      <c r="FR961" s="156">
        <v>0.0</v>
      </c>
      <c r="FS961" s="156">
        <v>0.0</v>
      </c>
      <c r="FT961" s="156">
        <v>0.0</v>
      </c>
      <c r="FU961" s="156">
        <v>0.0</v>
      </c>
      <c r="FV961" s="156">
        <v>0.0</v>
      </c>
      <c r="FW961" s="157"/>
      <c r="FX961" s="157"/>
      <c r="FY961" s="157"/>
      <c r="FZ961" s="157"/>
      <c r="GA961" s="157"/>
      <c r="GB961" s="157"/>
      <c r="GC961" s="157"/>
      <c r="GD961" s="157"/>
      <c r="GE961" s="157"/>
      <c r="GF961" s="157"/>
      <c r="GG961" s="157"/>
      <c r="GH961" s="157"/>
      <c r="GI961" s="157"/>
      <c r="GJ961" s="157"/>
      <c r="GK961" s="157"/>
      <c r="GL961" s="157"/>
      <c r="GM961" s="157"/>
      <c r="GN961" s="157"/>
      <c r="GO961" s="157"/>
      <c r="GP961" s="158"/>
      <c r="GQ961" s="157"/>
      <c r="GR961" s="157"/>
      <c r="GS961" s="157"/>
      <c r="GT961" s="157"/>
      <c r="GU961" s="157"/>
      <c r="GV961" s="157"/>
      <c r="GW961" s="157"/>
      <c r="GX961" s="157"/>
      <c r="GY961" s="157"/>
      <c r="GZ961" s="157"/>
      <c r="HA961" s="157"/>
      <c r="HB961" s="155">
        <v>0.0</v>
      </c>
      <c r="HC961" s="155">
        <v>0.0</v>
      </c>
      <c r="HD961" s="155">
        <v>0.0</v>
      </c>
      <c r="HE961" s="155">
        <v>0.0</v>
      </c>
      <c r="HF961" s="155">
        <v>0.0</v>
      </c>
      <c r="HG961" s="155">
        <v>0.0</v>
      </c>
      <c r="IL961" s="159">
        <v>0.0</v>
      </c>
      <c r="IM961" s="156">
        <v>0.0</v>
      </c>
      <c r="IN961" s="156">
        <v>0.0</v>
      </c>
      <c r="IO961" s="156">
        <v>0.0</v>
      </c>
      <c r="IP961" s="156">
        <v>0.0</v>
      </c>
      <c r="IQ961" s="160">
        <v>0.0</v>
      </c>
      <c r="JH961" s="25"/>
      <c r="JW961" s="159">
        <v>0.0</v>
      </c>
      <c r="JX961" s="156">
        <v>0.0</v>
      </c>
      <c r="JY961" s="156">
        <v>0.0</v>
      </c>
      <c r="JZ961" s="156">
        <v>0.0</v>
      </c>
      <c r="KA961" s="156">
        <v>0.0</v>
      </c>
      <c r="KB961" s="160">
        <v>0.0</v>
      </c>
      <c r="LH961" s="159">
        <f t="shared" si="10"/>
        <v>0</v>
      </c>
      <c r="LI961" s="156">
        <f t="shared" si="11"/>
        <v>0</v>
      </c>
      <c r="LJ961" s="156">
        <f t="shared" si="12"/>
        <v>0</v>
      </c>
      <c r="LK961" s="156">
        <f t="shared" si="13"/>
        <v>0</v>
      </c>
      <c r="LL961" s="156">
        <f t="shared" si="14"/>
        <v>0</v>
      </c>
      <c r="LM961" s="160">
        <f t="shared" si="15"/>
        <v>0</v>
      </c>
      <c r="QX961" s="633"/>
    </row>
    <row r="962">
      <c r="A962" s="12"/>
      <c r="B962" s="12"/>
      <c r="C962" s="12"/>
      <c r="D962" s="12"/>
      <c r="E962" s="12"/>
      <c r="F962" s="12"/>
      <c r="G962" s="12"/>
      <c r="H962" s="12"/>
      <c r="I962" s="143">
        <f t="shared" si="22"/>
        <v>0</v>
      </c>
      <c r="J962" s="108"/>
      <c r="K962" s="203"/>
      <c r="L962" s="108"/>
      <c r="V962" s="161"/>
      <c r="X962" s="140"/>
      <c r="Y962" s="166">
        <f t="shared" si="23"/>
        <v>0</v>
      </c>
      <c r="Z962" s="26">
        <f t="shared" si="7"/>
        <v>0</v>
      </c>
      <c r="AA962" s="26">
        <f t="shared" si="8"/>
        <v>0</v>
      </c>
      <c r="AB962" s="26">
        <f t="shared" si="9"/>
        <v>0</v>
      </c>
      <c r="AC962" s="156">
        <v>0.0</v>
      </c>
      <c r="AD962" s="156">
        <v>0.0</v>
      </c>
      <c r="AE962" s="156">
        <v>0.0</v>
      </c>
      <c r="AF962" s="156">
        <v>0.0</v>
      </c>
      <c r="AG962" s="156">
        <v>0.0</v>
      </c>
      <c r="AH962" s="156">
        <v>0.0</v>
      </c>
      <c r="BN962" s="155">
        <v>0.0</v>
      </c>
      <c r="BO962" s="155">
        <v>0.0</v>
      </c>
      <c r="BP962" s="155">
        <v>0.0</v>
      </c>
      <c r="BQ962" s="155">
        <v>0.0</v>
      </c>
      <c r="BR962" s="155">
        <v>0.0</v>
      </c>
      <c r="BS962" s="155">
        <v>0.0</v>
      </c>
      <c r="CV962" s="156">
        <v>0.0</v>
      </c>
      <c r="CW962" s="156">
        <v>0.0</v>
      </c>
      <c r="CX962" s="156">
        <v>0.0</v>
      </c>
      <c r="CY962" s="156">
        <v>0.0</v>
      </c>
      <c r="CZ962" s="156">
        <v>0.0</v>
      </c>
      <c r="DA962" s="156">
        <v>0.0</v>
      </c>
      <c r="EG962" s="156">
        <v>0.0</v>
      </c>
      <c r="EH962" s="156">
        <v>0.0</v>
      </c>
      <c r="EI962" s="156">
        <v>0.0</v>
      </c>
      <c r="EJ962" s="156">
        <v>0.0</v>
      </c>
      <c r="EK962" s="156">
        <v>0.0</v>
      </c>
      <c r="EL962" s="156">
        <v>0.0</v>
      </c>
      <c r="FQ962" s="156">
        <v>0.0</v>
      </c>
      <c r="FR962" s="156">
        <v>0.0</v>
      </c>
      <c r="FS962" s="156">
        <v>0.0</v>
      </c>
      <c r="FT962" s="156">
        <v>0.0</v>
      </c>
      <c r="FU962" s="156">
        <v>0.0</v>
      </c>
      <c r="FV962" s="156">
        <v>0.0</v>
      </c>
      <c r="FW962" s="157"/>
      <c r="FX962" s="157"/>
      <c r="FY962" s="157"/>
      <c r="FZ962" s="157"/>
      <c r="GA962" s="157"/>
      <c r="GB962" s="157"/>
      <c r="GC962" s="157"/>
      <c r="GD962" s="157"/>
      <c r="GE962" s="157"/>
      <c r="GF962" s="157"/>
      <c r="GG962" s="157"/>
      <c r="GH962" s="157"/>
      <c r="GI962" s="157"/>
      <c r="GJ962" s="157"/>
      <c r="GK962" s="157"/>
      <c r="GL962" s="157"/>
      <c r="GM962" s="157"/>
      <c r="GN962" s="157"/>
      <c r="GO962" s="157"/>
      <c r="GP962" s="158"/>
      <c r="GQ962" s="157"/>
      <c r="GR962" s="157"/>
      <c r="GS962" s="157"/>
      <c r="GT962" s="157"/>
      <c r="GU962" s="157"/>
      <c r="GV962" s="157"/>
      <c r="GW962" s="157"/>
      <c r="GX962" s="157"/>
      <c r="GY962" s="157"/>
      <c r="GZ962" s="157"/>
      <c r="HA962" s="157"/>
      <c r="HB962" s="155">
        <v>0.0</v>
      </c>
      <c r="HC962" s="155">
        <v>0.0</v>
      </c>
      <c r="HD962" s="155">
        <v>0.0</v>
      </c>
      <c r="HE962" s="155">
        <v>0.0</v>
      </c>
      <c r="HF962" s="155">
        <v>0.0</v>
      </c>
      <c r="HG962" s="155">
        <v>0.0</v>
      </c>
      <c r="IL962" s="159">
        <v>0.0</v>
      </c>
      <c r="IM962" s="156">
        <v>0.0</v>
      </c>
      <c r="IN962" s="156">
        <v>0.0</v>
      </c>
      <c r="IO962" s="156">
        <v>0.0</v>
      </c>
      <c r="IP962" s="156">
        <v>0.0</v>
      </c>
      <c r="IQ962" s="160">
        <v>0.0</v>
      </c>
      <c r="JH962" s="25"/>
      <c r="JW962" s="159">
        <v>0.0</v>
      </c>
      <c r="JX962" s="156">
        <v>0.0</v>
      </c>
      <c r="JY962" s="156">
        <v>0.0</v>
      </c>
      <c r="JZ962" s="156">
        <v>0.0</v>
      </c>
      <c r="KA962" s="156">
        <v>0.0</v>
      </c>
      <c r="KB962" s="160">
        <v>0.0</v>
      </c>
      <c r="LH962" s="159">
        <f t="shared" si="10"/>
        <v>0</v>
      </c>
      <c r="LI962" s="156">
        <f t="shared" si="11"/>
        <v>0</v>
      </c>
      <c r="LJ962" s="156">
        <f t="shared" si="12"/>
        <v>0</v>
      </c>
      <c r="LK962" s="156">
        <f t="shared" si="13"/>
        <v>0</v>
      </c>
      <c r="LL962" s="156">
        <f t="shared" si="14"/>
        <v>0</v>
      </c>
      <c r="LM962" s="160">
        <f t="shared" si="15"/>
        <v>0</v>
      </c>
      <c r="QX962" s="633"/>
    </row>
    <row r="963">
      <c r="A963" s="12"/>
      <c r="B963" s="12"/>
      <c r="C963" s="12"/>
      <c r="D963" s="12"/>
      <c r="E963" s="12"/>
      <c r="F963" s="12"/>
      <c r="G963" s="12"/>
      <c r="H963" s="12"/>
      <c r="I963" s="143">
        <f t="shared" si="22"/>
        <v>0</v>
      </c>
      <c r="J963" s="108"/>
      <c r="K963" s="203"/>
      <c r="L963" s="108"/>
      <c r="V963" s="161"/>
      <c r="X963" s="140"/>
      <c r="Y963" s="166">
        <f t="shared" si="23"/>
        <v>0</v>
      </c>
      <c r="Z963" s="26">
        <f t="shared" si="7"/>
        <v>0</v>
      </c>
      <c r="AA963" s="26">
        <f t="shared" si="8"/>
        <v>0</v>
      </c>
      <c r="AB963" s="26">
        <f t="shared" si="9"/>
        <v>0</v>
      </c>
      <c r="AC963" s="156">
        <v>0.0</v>
      </c>
      <c r="AD963" s="156">
        <v>0.0</v>
      </c>
      <c r="AE963" s="156">
        <v>0.0</v>
      </c>
      <c r="AF963" s="156">
        <v>0.0</v>
      </c>
      <c r="AG963" s="156">
        <v>0.0</v>
      </c>
      <c r="AH963" s="156">
        <v>0.0</v>
      </c>
      <c r="BN963" s="155">
        <v>0.0</v>
      </c>
      <c r="BO963" s="155">
        <v>0.0</v>
      </c>
      <c r="BP963" s="155">
        <v>0.0</v>
      </c>
      <c r="BQ963" s="155">
        <v>0.0</v>
      </c>
      <c r="BR963" s="155">
        <v>0.0</v>
      </c>
      <c r="BS963" s="155">
        <v>0.0</v>
      </c>
      <c r="CV963" s="156">
        <v>0.0</v>
      </c>
      <c r="CW963" s="156">
        <v>0.0</v>
      </c>
      <c r="CX963" s="156">
        <v>0.0</v>
      </c>
      <c r="CY963" s="156">
        <v>0.0</v>
      </c>
      <c r="CZ963" s="156">
        <v>0.0</v>
      </c>
      <c r="DA963" s="156">
        <v>0.0</v>
      </c>
      <c r="EG963" s="156">
        <v>0.0</v>
      </c>
      <c r="EH963" s="156">
        <v>0.0</v>
      </c>
      <c r="EI963" s="156">
        <v>0.0</v>
      </c>
      <c r="EJ963" s="156">
        <v>0.0</v>
      </c>
      <c r="EK963" s="156">
        <v>0.0</v>
      </c>
      <c r="EL963" s="156">
        <v>0.0</v>
      </c>
      <c r="FQ963" s="156">
        <v>0.0</v>
      </c>
      <c r="FR963" s="156">
        <v>0.0</v>
      </c>
      <c r="FS963" s="156">
        <v>0.0</v>
      </c>
      <c r="FT963" s="156">
        <v>0.0</v>
      </c>
      <c r="FU963" s="156">
        <v>0.0</v>
      </c>
      <c r="FV963" s="156">
        <v>0.0</v>
      </c>
      <c r="FW963" s="157"/>
      <c r="FX963" s="157"/>
      <c r="FY963" s="157"/>
      <c r="FZ963" s="157"/>
      <c r="GA963" s="157"/>
      <c r="GB963" s="157"/>
      <c r="GC963" s="157"/>
      <c r="GD963" s="157"/>
      <c r="GE963" s="157"/>
      <c r="GF963" s="157"/>
      <c r="GG963" s="157"/>
      <c r="GH963" s="157"/>
      <c r="GI963" s="157"/>
      <c r="GJ963" s="157"/>
      <c r="GK963" s="157"/>
      <c r="GL963" s="157"/>
      <c r="GM963" s="157"/>
      <c r="GN963" s="157"/>
      <c r="GO963" s="157"/>
      <c r="GP963" s="158"/>
      <c r="GQ963" s="157"/>
      <c r="GR963" s="157"/>
      <c r="GS963" s="157"/>
      <c r="GT963" s="157"/>
      <c r="GU963" s="157"/>
      <c r="GV963" s="157"/>
      <c r="GW963" s="157"/>
      <c r="GX963" s="157"/>
      <c r="GY963" s="157"/>
      <c r="GZ963" s="157"/>
      <c r="HA963" s="157"/>
      <c r="HB963" s="155">
        <v>0.0</v>
      </c>
      <c r="HC963" s="155">
        <v>0.0</v>
      </c>
      <c r="HD963" s="155">
        <v>0.0</v>
      </c>
      <c r="HE963" s="155">
        <v>0.0</v>
      </c>
      <c r="HF963" s="155">
        <v>0.0</v>
      </c>
      <c r="HG963" s="155">
        <v>0.0</v>
      </c>
      <c r="IL963" s="159">
        <v>0.0</v>
      </c>
      <c r="IM963" s="156">
        <v>0.0</v>
      </c>
      <c r="IN963" s="156">
        <v>0.0</v>
      </c>
      <c r="IO963" s="156">
        <v>0.0</v>
      </c>
      <c r="IP963" s="156">
        <v>0.0</v>
      </c>
      <c r="IQ963" s="160">
        <v>0.0</v>
      </c>
      <c r="JH963" s="25"/>
      <c r="JW963" s="159">
        <v>0.0</v>
      </c>
      <c r="JX963" s="156">
        <v>0.0</v>
      </c>
      <c r="JY963" s="156">
        <v>0.0</v>
      </c>
      <c r="JZ963" s="156">
        <v>0.0</v>
      </c>
      <c r="KA963" s="156">
        <v>0.0</v>
      </c>
      <c r="KB963" s="160">
        <v>0.0</v>
      </c>
      <c r="LH963" s="159">
        <f t="shared" si="10"/>
        <v>0</v>
      </c>
      <c r="LI963" s="156">
        <f t="shared" si="11"/>
        <v>0</v>
      </c>
      <c r="LJ963" s="156">
        <f t="shared" si="12"/>
        <v>0</v>
      </c>
      <c r="LK963" s="156">
        <f t="shared" si="13"/>
        <v>0</v>
      </c>
      <c r="LL963" s="156">
        <f t="shared" si="14"/>
        <v>0</v>
      </c>
      <c r="LM963" s="160">
        <f t="shared" si="15"/>
        <v>0</v>
      </c>
      <c r="QX963" s="633"/>
    </row>
    <row r="964">
      <c r="A964" s="12"/>
      <c r="B964" s="12"/>
      <c r="C964" s="12"/>
      <c r="D964" s="12"/>
      <c r="E964" s="12"/>
      <c r="F964" s="12"/>
      <c r="G964" s="12"/>
      <c r="H964" s="12"/>
      <c r="I964" s="143">
        <f t="shared" si="22"/>
        <v>0</v>
      </c>
      <c r="J964" s="108"/>
      <c r="K964" s="203"/>
      <c r="L964" s="108"/>
      <c r="V964" s="161"/>
      <c r="X964" s="140"/>
      <c r="Y964" s="166">
        <f t="shared" si="23"/>
        <v>0</v>
      </c>
      <c r="Z964" s="26">
        <f t="shared" si="7"/>
        <v>0</v>
      </c>
      <c r="AA964" s="26">
        <f t="shared" si="8"/>
        <v>0</v>
      </c>
      <c r="AB964" s="26">
        <f t="shared" si="9"/>
        <v>0</v>
      </c>
      <c r="AC964" s="156">
        <v>0.0</v>
      </c>
      <c r="AD964" s="156">
        <v>0.0</v>
      </c>
      <c r="AE964" s="156">
        <v>0.0</v>
      </c>
      <c r="AF964" s="156">
        <v>0.0</v>
      </c>
      <c r="AG964" s="156">
        <v>0.0</v>
      </c>
      <c r="AH964" s="156">
        <v>0.0</v>
      </c>
      <c r="BN964" s="155">
        <v>0.0</v>
      </c>
      <c r="BO964" s="155">
        <v>0.0</v>
      </c>
      <c r="BP964" s="155">
        <v>0.0</v>
      </c>
      <c r="BQ964" s="155">
        <v>0.0</v>
      </c>
      <c r="BR964" s="155">
        <v>0.0</v>
      </c>
      <c r="BS964" s="155">
        <v>0.0</v>
      </c>
      <c r="CV964" s="156">
        <v>0.0</v>
      </c>
      <c r="CW964" s="156">
        <v>0.0</v>
      </c>
      <c r="CX964" s="156">
        <v>0.0</v>
      </c>
      <c r="CY964" s="156">
        <v>0.0</v>
      </c>
      <c r="CZ964" s="156">
        <v>0.0</v>
      </c>
      <c r="DA964" s="156">
        <v>0.0</v>
      </c>
      <c r="EG964" s="156">
        <v>0.0</v>
      </c>
      <c r="EH964" s="156">
        <v>0.0</v>
      </c>
      <c r="EI964" s="156">
        <v>0.0</v>
      </c>
      <c r="EJ964" s="156">
        <v>0.0</v>
      </c>
      <c r="EK964" s="156">
        <v>0.0</v>
      </c>
      <c r="EL964" s="156">
        <v>0.0</v>
      </c>
      <c r="FQ964" s="156">
        <v>0.0</v>
      </c>
      <c r="FR964" s="156">
        <v>0.0</v>
      </c>
      <c r="FS964" s="156">
        <v>0.0</v>
      </c>
      <c r="FT964" s="156">
        <v>0.0</v>
      </c>
      <c r="FU964" s="156">
        <v>0.0</v>
      </c>
      <c r="FV964" s="156">
        <v>0.0</v>
      </c>
      <c r="FW964" s="157"/>
      <c r="FX964" s="157"/>
      <c r="FY964" s="157"/>
      <c r="FZ964" s="157"/>
      <c r="GA964" s="157"/>
      <c r="GB964" s="157"/>
      <c r="GC964" s="157"/>
      <c r="GD964" s="157"/>
      <c r="GE964" s="157"/>
      <c r="GF964" s="157"/>
      <c r="GG964" s="157"/>
      <c r="GH964" s="157"/>
      <c r="GI964" s="157"/>
      <c r="GJ964" s="157"/>
      <c r="GK964" s="157"/>
      <c r="GL964" s="157"/>
      <c r="GM964" s="157"/>
      <c r="GN964" s="157"/>
      <c r="GO964" s="157"/>
      <c r="GP964" s="158"/>
      <c r="GQ964" s="157"/>
      <c r="GR964" s="157"/>
      <c r="GS964" s="157"/>
      <c r="GT964" s="157"/>
      <c r="GU964" s="157"/>
      <c r="GV964" s="157"/>
      <c r="GW964" s="157"/>
      <c r="GX964" s="157"/>
      <c r="GY964" s="157"/>
      <c r="GZ964" s="157"/>
      <c r="HA964" s="157"/>
      <c r="HB964" s="155">
        <v>0.0</v>
      </c>
      <c r="HC964" s="155">
        <v>0.0</v>
      </c>
      <c r="HD964" s="155">
        <v>0.0</v>
      </c>
      <c r="HE964" s="155">
        <v>0.0</v>
      </c>
      <c r="HF964" s="155">
        <v>0.0</v>
      </c>
      <c r="HG964" s="155">
        <v>0.0</v>
      </c>
      <c r="IL964" s="159">
        <v>0.0</v>
      </c>
      <c r="IM964" s="156">
        <v>0.0</v>
      </c>
      <c r="IN964" s="156">
        <v>0.0</v>
      </c>
      <c r="IO964" s="156">
        <v>0.0</v>
      </c>
      <c r="IP964" s="156">
        <v>0.0</v>
      </c>
      <c r="IQ964" s="160">
        <v>0.0</v>
      </c>
      <c r="JH964" s="25"/>
      <c r="JW964" s="159">
        <v>0.0</v>
      </c>
      <c r="JX964" s="156">
        <v>0.0</v>
      </c>
      <c r="JY964" s="156">
        <v>0.0</v>
      </c>
      <c r="JZ964" s="156">
        <v>0.0</v>
      </c>
      <c r="KA964" s="156">
        <v>0.0</v>
      </c>
      <c r="KB964" s="160">
        <v>0.0</v>
      </c>
      <c r="LH964" s="159">
        <f t="shared" si="10"/>
        <v>0</v>
      </c>
      <c r="LI964" s="156">
        <f t="shared" si="11"/>
        <v>0</v>
      </c>
      <c r="LJ964" s="156">
        <f t="shared" si="12"/>
        <v>0</v>
      </c>
      <c r="LK964" s="156">
        <f t="shared" si="13"/>
        <v>0</v>
      </c>
      <c r="LL964" s="156">
        <f t="shared" si="14"/>
        <v>0</v>
      </c>
      <c r="LM964" s="160">
        <f t="shared" si="15"/>
        <v>0</v>
      </c>
      <c r="QX964" s="633"/>
    </row>
    <row r="965">
      <c r="A965" s="12"/>
      <c r="B965" s="12"/>
      <c r="C965" s="12"/>
      <c r="D965" s="12"/>
      <c r="E965" s="12"/>
      <c r="F965" s="12"/>
      <c r="G965" s="12"/>
      <c r="H965" s="12"/>
      <c r="I965" s="143">
        <f t="shared" si="22"/>
        <v>0</v>
      </c>
      <c r="J965" s="108"/>
      <c r="K965" s="203"/>
      <c r="L965" s="108"/>
      <c r="V965" s="161"/>
      <c r="X965" s="140"/>
      <c r="Y965" s="166">
        <f t="shared" si="23"/>
        <v>0</v>
      </c>
      <c r="Z965" s="26">
        <f t="shared" si="7"/>
        <v>0</v>
      </c>
      <c r="AA965" s="26">
        <f t="shared" si="8"/>
        <v>0</v>
      </c>
      <c r="AB965" s="26">
        <f t="shared" si="9"/>
        <v>0</v>
      </c>
      <c r="AC965" s="156">
        <v>0.0</v>
      </c>
      <c r="AD965" s="156">
        <v>0.0</v>
      </c>
      <c r="AE965" s="156">
        <v>0.0</v>
      </c>
      <c r="AF965" s="156">
        <v>0.0</v>
      </c>
      <c r="AG965" s="156">
        <v>0.0</v>
      </c>
      <c r="AH965" s="156">
        <v>0.0</v>
      </c>
      <c r="BN965" s="155">
        <v>0.0</v>
      </c>
      <c r="BO965" s="155">
        <v>0.0</v>
      </c>
      <c r="BP965" s="155">
        <v>0.0</v>
      </c>
      <c r="BQ965" s="155">
        <v>0.0</v>
      </c>
      <c r="BR965" s="155">
        <v>0.0</v>
      </c>
      <c r="BS965" s="155">
        <v>0.0</v>
      </c>
      <c r="CV965" s="156">
        <v>0.0</v>
      </c>
      <c r="CW965" s="156">
        <v>0.0</v>
      </c>
      <c r="CX965" s="156">
        <v>0.0</v>
      </c>
      <c r="CY965" s="156">
        <v>0.0</v>
      </c>
      <c r="CZ965" s="156">
        <v>0.0</v>
      </c>
      <c r="DA965" s="156">
        <v>0.0</v>
      </c>
      <c r="EG965" s="156">
        <v>0.0</v>
      </c>
      <c r="EH965" s="156">
        <v>0.0</v>
      </c>
      <c r="EI965" s="156">
        <v>0.0</v>
      </c>
      <c r="EJ965" s="156">
        <v>0.0</v>
      </c>
      <c r="EK965" s="156">
        <v>0.0</v>
      </c>
      <c r="EL965" s="156">
        <v>0.0</v>
      </c>
      <c r="FQ965" s="156">
        <v>0.0</v>
      </c>
      <c r="FR965" s="156">
        <v>0.0</v>
      </c>
      <c r="FS965" s="156">
        <v>0.0</v>
      </c>
      <c r="FT965" s="156">
        <v>0.0</v>
      </c>
      <c r="FU965" s="156">
        <v>0.0</v>
      </c>
      <c r="FV965" s="156">
        <v>0.0</v>
      </c>
      <c r="FW965" s="157"/>
      <c r="FX965" s="157"/>
      <c r="FY965" s="157"/>
      <c r="FZ965" s="157"/>
      <c r="GA965" s="157"/>
      <c r="GB965" s="157"/>
      <c r="GC965" s="157"/>
      <c r="GD965" s="157"/>
      <c r="GE965" s="157"/>
      <c r="GF965" s="157"/>
      <c r="GG965" s="157"/>
      <c r="GH965" s="157"/>
      <c r="GI965" s="157"/>
      <c r="GJ965" s="157"/>
      <c r="GK965" s="157"/>
      <c r="GL965" s="157"/>
      <c r="GM965" s="157"/>
      <c r="GN965" s="157"/>
      <c r="GO965" s="157"/>
      <c r="GP965" s="158"/>
      <c r="GQ965" s="157"/>
      <c r="GR965" s="157"/>
      <c r="GS965" s="157"/>
      <c r="GT965" s="157"/>
      <c r="GU965" s="157"/>
      <c r="GV965" s="157"/>
      <c r="GW965" s="157"/>
      <c r="GX965" s="157"/>
      <c r="GY965" s="157"/>
      <c r="GZ965" s="157"/>
      <c r="HA965" s="157"/>
      <c r="HB965" s="155">
        <v>0.0</v>
      </c>
      <c r="HC965" s="155">
        <v>0.0</v>
      </c>
      <c r="HD965" s="155">
        <v>0.0</v>
      </c>
      <c r="HE965" s="155">
        <v>0.0</v>
      </c>
      <c r="HF965" s="155">
        <v>0.0</v>
      </c>
      <c r="HG965" s="155">
        <v>0.0</v>
      </c>
      <c r="IL965" s="159">
        <v>0.0</v>
      </c>
      <c r="IM965" s="156">
        <v>0.0</v>
      </c>
      <c r="IN965" s="156">
        <v>0.0</v>
      </c>
      <c r="IO965" s="156">
        <v>0.0</v>
      </c>
      <c r="IP965" s="156">
        <v>0.0</v>
      </c>
      <c r="IQ965" s="160">
        <v>0.0</v>
      </c>
      <c r="JH965" s="25"/>
      <c r="JW965" s="159">
        <v>0.0</v>
      </c>
      <c r="JX965" s="156">
        <v>0.0</v>
      </c>
      <c r="JY965" s="156">
        <v>0.0</v>
      </c>
      <c r="JZ965" s="156">
        <v>0.0</v>
      </c>
      <c r="KA965" s="156">
        <v>0.0</v>
      </c>
      <c r="KB965" s="160">
        <v>0.0</v>
      </c>
      <c r="LH965" s="159">
        <f t="shared" si="10"/>
        <v>0</v>
      </c>
      <c r="LI965" s="156">
        <f t="shared" si="11"/>
        <v>0</v>
      </c>
      <c r="LJ965" s="156">
        <f t="shared" si="12"/>
        <v>0</v>
      </c>
      <c r="LK965" s="156">
        <f t="shared" si="13"/>
        <v>0</v>
      </c>
      <c r="LL965" s="156">
        <f t="shared" si="14"/>
        <v>0</v>
      </c>
      <c r="LM965" s="160">
        <f t="shared" si="15"/>
        <v>0</v>
      </c>
      <c r="QX965" s="633"/>
    </row>
    <row r="966">
      <c r="A966" s="12"/>
      <c r="B966" s="12"/>
      <c r="C966" s="12"/>
      <c r="D966" s="12"/>
      <c r="E966" s="12"/>
      <c r="F966" s="12"/>
      <c r="G966" s="12"/>
      <c r="H966" s="12"/>
      <c r="I966" s="143">
        <f t="shared" si="22"/>
        <v>0</v>
      </c>
      <c r="J966" s="108"/>
      <c r="K966" s="203"/>
      <c r="L966" s="108"/>
      <c r="V966" s="161"/>
      <c r="X966" s="140"/>
      <c r="Y966" s="166">
        <f t="shared" si="23"/>
        <v>0</v>
      </c>
      <c r="Z966" s="26">
        <f t="shared" si="7"/>
        <v>0</v>
      </c>
      <c r="AA966" s="26">
        <f t="shared" si="8"/>
        <v>0</v>
      </c>
      <c r="AB966" s="26">
        <f t="shared" si="9"/>
        <v>0</v>
      </c>
      <c r="AC966" s="156">
        <v>0.0</v>
      </c>
      <c r="AD966" s="156">
        <v>0.0</v>
      </c>
      <c r="AE966" s="156">
        <v>0.0</v>
      </c>
      <c r="AF966" s="156">
        <v>0.0</v>
      </c>
      <c r="AG966" s="156">
        <v>0.0</v>
      </c>
      <c r="AH966" s="156">
        <v>0.0</v>
      </c>
      <c r="BN966" s="155">
        <v>0.0</v>
      </c>
      <c r="BO966" s="155">
        <v>0.0</v>
      </c>
      <c r="BP966" s="155">
        <v>0.0</v>
      </c>
      <c r="BQ966" s="155">
        <v>0.0</v>
      </c>
      <c r="BR966" s="155">
        <v>0.0</v>
      </c>
      <c r="BS966" s="155">
        <v>0.0</v>
      </c>
      <c r="CV966" s="156">
        <v>0.0</v>
      </c>
      <c r="CW966" s="156">
        <v>0.0</v>
      </c>
      <c r="CX966" s="156">
        <v>0.0</v>
      </c>
      <c r="CY966" s="156">
        <v>0.0</v>
      </c>
      <c r="CZ966" s="156">
        <v>0.0</v>
      </c>
      <c r="DA966" s="156">
        <v>0.0</v>
      </c>
      <c r="EG966" s="156">
        <v>0.0</v>
      </c>
      <c r="EH966" s="156">
        <v>0.0</v>
      </c>
      <c r="EI966" s="156">
        <v>0.0</v>
      </c>
      <c r="EJ966" s="156">
        <v>0.0</v>
      </c>
      <c r="EK966" s="156">
        <v>0.0</v>
      </c>
      <c r="EL966" s="156">
        <v>0.0</v>
      </c>
      <c r="FQ966" s="156">
        <v>0.0</v>
      </c>
      <c r="FR966" s="156">
        <v>0.0</v>
      </c>
      <c r="FS966" s="156">
        <v>0.0</v>
      </c>
      <c r="FT966" s="156">
        <v>0.0</v>
      </c>
      <c r="FU966" s="156">
        <v>0.0</v>
      </c>
      <c r="FV966" s="156">
        <v>0.0</v>
      </c>
      <c r="FW966" s="157"/>
      <c r="FX966" s="157"/>
      <c r="FY966" s="157"/>
      <c r="FZ966" s="157"/>
      <c r="GA966" s="157"/>
      <c r="GB966" s="157"/>
      <c r="GC966" s="157"/>
      <c r="GD966" s="157"/>
      <c r="GE966" s="157"/>
      <c r="GF966" s="157"/>
      <c r="GG966" s="157"/>
      <c r="GH966" s="157"/>
      <c r="GI966" s="157"/>
      <c r="GJ966" s="157"/>
      <c r="GK966" s="157"/>
      <c r="GL966" s="157"/>
      <c r="GM966" s="157"/>
      <c r="GN966" s="157"/>
      <c r="GO966" s="157"/>
      <c r="GP966" s="158"/>
      <c r="GQ966" s="157"/>
      <c r="GR966" s="157"/>
      <c r="GS966" s="157"/>
      <c r="GT966" s="157"/>
      <c r="GU966" s="157"/>
      <c r="GV966" s="157"/>
      <c r="GW966" s="157"/>
      <c r="GX966" s="157"/>
      <c r="GY966" s="157"/>
      <c r="GZ966" s="157"/>
      <c r="HA966" s="157"/>
      <c r="HB966" s="155">
        <v>0.0</v>
      </c>
      <c r="HC966" s="155">
        <v>0.0</v>
      </c>
      <c r="HD966" s="155">
        <v>0.0</v>
      </c>
      <c r="HE966" s="155">
        <v>0.0</v>
      </c>
      <c r="HF966" s="155">
        <v>0.0</v>
      </c>
      <c r="HG966" s="155">
        <v>0.0</v>
      </c>
      <c r="IL966" s="159">
        <v>0.0</v>
      </c>
      <c r="IM966" s="156">
        <v>0.0</v>
      </c>
      <c r="IN966" s="156">
        <v>0.0</v>
      </c>
      <c r="IO966" s="156">
        <v>0.0</v>
      </c>
      <c r="IP966" s="156">
        <v>0.0</v>
      </c>
      <c r="IQ966" s="160">
        <v>0.0</v>
      </c>
      <c r="JH966" s="25"/>
      <c r="JW966" s="159">
        <v>0.0</v>
      </c>
      <c r="JX966" s="156">
        <v>0.0</v>
      </c>
      <c r="JY966" s="156">
        <v>0.0</v>
      </c>
      <c r="JZ966" s="156">
        <v>0.0</v>
      </c>
      <c r="KA966" s="156">
        <v>0.0</v>
      </c>
      <c r="KB966" s="160">
        <v>0.0</v>
      </c>
      <c r="LH966" s="159">
        <f t="shared" si="10"/>
        <v>0</v>
      </c>
      <c r="LI966" s="156">
        <f t="shared" si="11"/>
        <v>0</v>
      </c>
      <c r="LJ966" s="156">
        <f t="shared" si="12"/>
        <v>0</v>
      </c>
      <c r="LK966" s="156">
        <f t="shared" si="13"/>
        <v>0</v>
      </c>
      <c r="LL966" s="156">
        <f t="shared" si="14"/>
        <v>0</v>
      </c>
      <c r="LM966" s="160">
        <f t="shared" si="15"/>
        <v>0</v>
      </c>
      <c r="QX966" s="633"/>
    </row>
    <row r="967">
      <c r="A967" s="12"/>
      <c r="B967" s="12"/>
      <c r="C967" s="12"/>
      <c r="D967" s="12"/>
      <c r="E967" s="12"/>
      <c r="F967" s="12"/>
      <c r="G967" s="12"/>
      <c r="H967" s="12"/>
      <c r="I967" s="143">
        <f t="shared" si="22"/>
        <v>0</v>
      </c>
      <c r="J967" s="108"/>
      <c r="K967" s="203"/>
      <c r="L967" s="108"/>
      <c r="V967" s="161"/>
      <c r="X967" s="140"/>
      <c r="Y967" s="166">
        <f t="shared" si="23"/>
        <v>0</v>
      </c>
      <c r="Z967" s="26">
        <f t="shared" si="7"/>
        <v>0</v>
      </c>
      <c r="AA967" s="26">
        <f t="shared" si="8"/>
        <v>0</v>
      </c>
      <c r="AB967" s="26">
        <f t="shared" si="9"/>
        <v>0</v>
      </c>
      <c r="AC967" s="156">
        <v>0.0</v>
      </c>
      <c r="AD967" s="156">
        <v>0.0</v>
      </c>
      <c r="AE967" s="156">
        <v>0.0</v>
      </c>
      <c r="AF967" s="156">
        <v>0.0</v>
      </c>
      <c r="AG967" s="156">
        <v>0.0</v>
      </c>
      <c r="AH967" s="156">
        <v>0.0</v>
      </c>
      <c r="BN967" s="155">
        <v>0.0</v>
      </c>
      <c r="BO967" s="155">
        <v>0.0</v>
      </c>
      <c r="BP967" s="155">
        <v>0.0</v>
      </c>
      <c r="BQ967" s="155">
        <v>0.0</v>
      </c>
      <c r="BR967" s="155">
        <v>0.0</v>
      </c>
      <c r="BS967" s="155">
        <v>0.0</v>
      </c>
      <c r="CV967" s="156">
        <v>0.0</v>
      </c>
      <c r="CW967" s="156">
        <v>0.0</v>
      </c>
      <c r="CX967" s="156">
        <v>0.0</v>
      </c>
      <c r="CY967" s="156">
        <v>0.0</v>
      </c>
      <c r="CZ967" s="156">
        <v>0.0</v>
      </c>
      <c r="DA967" s="156">
        <v>0.0</v>
      </c>
      <c r="EG967" s="156">
        <v>0.0</v>
      </c>
      <c r="EH967" s="156">
        <v>0.0</v>
      </c>
      <c r="EI967" s="156">
        <v>0.0</v>
      </c>
      <c r="EJ967" s="156">
        <v>0.0</v>
      </c>
      <c r="EK967" s="156">
        <v>0.0</v>
      </c>
      <c r="EL967" s="156">
        <v>0.0</v>
      </c>
      <c r="FQ967" s="156">
        <v>0.0</v>
      </c>
      <c r="FR967" s="156">
        <v>0.0</v>
      </c>
      <c r="FS967" s="156">
        <v>0.0</v>
      </c>
      <c r="FT967" s="156">
        <v>0.0</v>
      </c>
      <c r="FU967" s="156">
        <v>0.0</v>
      </c>
      <c r="FV967" s="156">
        <v>0.0</v>
      </c>
      <c r="FW967" s="157"/>
      <c r="FX967" s="157"/>
      <c r="FY967" s="157"/>
      <c r="FZ967" s="157"/>
      <c r="GA967" s="157"/>
      <c r="GB967" s="157"/>
      <c r="GC967" s="157"/>
      <c r="GD967" s="157"/>
      <c r="GE967" s="157"/>
      <c r="GF967" s="157"/>
      <c r="GG967" s="157"/>
      <c r="GH967" s="157"/>
      <c r="GI967" s="157"/>
      <c r="GJ967" s="157"/>
      <c r="GK967" s="157"/>
      <c r="GL967" s="157"/>
      <c r="GM967" s="157"/>
      <c r="GN967" s="157"/>
      <c r="GO967" s="157"/>
      <c r="GP967" s="158"/>
      <c r="GQ967" s="157"/>
      <c r="GR967" s="157"/>
      <c r="GS967" s="157"/>
      <c r="GT967" s="157"/>
      <c r="GU967" s="157"/>
      <c r="GV967" s="157"/>
      <c r="GW967" s="157"/>
      <c r="GX967" s="157"/>
      <c r="GY967" s="157"/>
      <c r="GZ967" s="157"/>
      <c r="HA967" s="157"/>
      <c r="HB967" s="155">
        <v>0.0</v>
      </c>
      <c r="HC967" s="155">
        <v>0.0</v>
      </c>
      <c r="HD967" s="155">
        <v>0.0</v>
      </c>
      <c r="HE967" s="155">
        <v>0.0</v>
      </c>
      <c r="HF967" s="155">
        <v>0.0</v>
      </c>
      <c r="HG967" s="155">
        <v>0.0</v>
      </c>
      <c r="IL967" s="159">
        <v>0.0</v>
      </c>
      <c r="IM967" s="156">
        <v>0.0</v>
      </c>
      <c r="IN967" s="156">
        <v>0.0</v>
      </c>
      <c r="IO967" s="156">
        <v>0.0</v>
      </c>
      <c r="IP967" s="156">
        <v>0.0</v>
      </c>
      <c r="IQ967" s="160">
        <v>0.0</v>
      </c>
      <c r="JH967" s="25"/>
      <c r="JW967" s="159">
        <v>0.0</v>
      </c>
      <c r="JX967" s="156">
        <v>0.0</v>
      </c>
      <c r="JY967" s="156">
        <v>0.0</v>
      </c>
      <c r="JZ967" s="156">
        <v>0.0</v>
      </c>
      <c r="KA967" s="156">
        <v>0.0</v>
      </c>
      <c r="KB967" s="160">
        <v>0.0</v>
      </c>
      <c r="LH967" s="159">
        <f t="shared" si="10"/>
        <v>0</v>
      </c>
      <c r="LI967" s="156">
        <f t="shared" si="11"/>
        <v>0</v>
      </c>
      <c r="LJ967" s="156">
        <f t="shared" si="12"/>
        <v>0</v>
      </c>
      <c r="LK967" s="156">
        <f t="shared" si="13"/>
        <v>0</v>
      </c>
      <c r="LL967" s="156">
        <f t="shared" si="14"/>
        <v>0</v>
      </c>
      <c r="LM967" s="160">
        <f t="shared" si="15"/>
        <v>0</v>
      </c>
      <c r="QX967" s="633"/>
    </row>
    <row r="968">
      <c r="A968" s="12"/>
      <c r="B968" s="12"/>
      <c r="C968" s="12"/>
      <c r="D968" s="12"/>
      <c r="E968" s="12"/>
      <c r="F968" s="12"/>
      <c r="G968" s="12"/>
      <c r="H968" s="12"/>
      <c r="I968" s="143">
        <f t="shared" si="22"/>
        <v>0</v>
      </c>
      <c r="J968" s="108"/>
      <c r="K968" s="203"/>
      <c r="L968" s="108"/>
      <c r="V968" s="161"/>
      <c r="X968" s="140"/>
      <c r="Y968" s="166">
        <f t="shared" si="23"/>
        <v>0</v>
      </c>
      <c r="Z968" s="26">
        <f t="shared" si="7"/>
        <v>0</v>
      </c>
      <c r="AA968" s="26">
        <f t="shared" si="8"/>
        <v>0</v>
      </c>
      <c r="AB968" s="26">
        <f t="shared" si="9"/>
        <v>0</v>
      </c>
      <c r="AC968" s="156">
        <v>0.0</v>
      </c>
      <c r="AD968" s="156">
        <v>0.0</v>
      </c>
      <c r="AE968" s="156">
        <v>0.0</v>
      </c>
      <c r="AF968" s="156">
        <v>0.0</v>
      </c>
      <c r="AG968" s="156">
        <v>0.0</v>
      </c>
      <c r="AH968" s="156">
        <v>0.0</v>
      </c>
      <c r="BN968" s="155">
        <v>0.0</v>
      </c>
      <c r="BO968" s="155">
        <v>0.0</v>
      </c>
      <c r="BP968" s="155">
        <v>0.0</v>
      </c>
      <c r="BQ968" s="155">
        <v>0.0</v>
      </c>
      <c r="BR968" s="155">
        <v>0.0</v>
      </c>
      <c r="BS968" s="155">
        <v>0.0</v>
      </c>
      <c r="CV968" s="156">
        <v>0.0</v>
      </c>
      <c r="CW968" s="156">
        <v>0.0</v>
      </c>
      <c r="CX968" s="156">
        <v>0.0</v>
      </c>
      <c r="CY968" s="156">
        <v>0.0</v>
      </c>
      <c r="CZ968" s="156">
        <v>0.0</v>
      </c>
      <c r="DA968" s="156">
        <v>0.0</v>
      </c>
      <c r="EG968" s="156">
        <v>0.0</v>
      </c>
      <c r="EH968" s="156">
        <v>0.0</v>
      </c>
      <c r="EI968" s="156">
        <v>0.0</v>
      </c>
      <c r="EJ968" s="156">
        <v>0.0</v>
      </c>
      <c r="EK968" s="156">
        <v>0.0</v>
      </c>
      <c r="EL968" s="156">
        <v>0.0</v>
      </c>
      <c r="FQ968" s="156">
        <v>0.0</v>
      </c>
      <c r="FR968" s="156">
        <v>0.0</v>
      </c>
      <c r="FS968" s="156">
        <v>0.0</v>
      </c>
      <c r="FT968" s="156">
        <v>0.0</v>
      </c>
      <c r="FU968" s="156">
        <v>0.0</v>
      </c>
      <c r="FV968" s="156">
        <v>0.0</v>
      </c>
      <c r="FW968" s="157"/>
      <c r="FX968" s="157"/>
      <c r="FY968" s="157"/>
      <c r="FZ968" s="157"/>
      <c r="GA968" s="157"/>
      <c r="GB968" s="157"/>
      <c r="GC968" s="157"/>
      <c r="GD968" s="157"/>
      <c r="GE968" s="157"/>
      <c r="GF968" s="157"/>
      <c r="GG968" s="157"/>
      <c r="GH968" s="157"/>
      <c r="GI968" s="157"/>
      <c r="GJ968" s="157"/>
      <c r="GK968" s="157"/>
      <c r="GL968" s="157"/>
      <c r="GM968" s="157"/>
      <c r="GN968" s="157"/>
      <c r="GO968" s="157"/>
      <c r="GP968" s="158"/>
      <c r="GQ968" s="157"/>
      <c r="GR968" s="157"/>
      <c r="GS968" s="157"/>
      <c r="GT968" s="157"/>
      <c r="GU968" s="157"/>
      <c r="GV968" s="157"/>
      <c r="GW968" s="157"/>
      <c r="GX968" s="157"/>
      <c r="GY968" s="157"/>
      <c r="GZ968" s="157"/>
      <c r="HA968" s="157"/>
      <c r="HB968" s="155">
        <v>0.0</v>
      </c>
      <c r="HC968" s="155">
        <v>0.0</v>
      </c>
      <c r="HD968" s="155">
        <v>0.0</v>
      </c>
      <c r="HE968" s="155">
        <v>0.0</v>
      </c>
      <c r="HF968" s="155">
        <v>0.0</v>
      </c>
      <c r="HG968" s="155">
        <v>0.0</v>
      </c>
      <c r="IL968" s="159">
        <v>0.0</v>
      </c>
      <c r="IM968" s="156">
        <v>0.0</v>
      </c>
      <c r="IN968" s="156">
        <v>0.0</v>
      </c>
      <c r="IO968" s="156">
        <v>0.0</v>
      </c>
      <c r="IP968" s="156">
        <v>0.0</v>
      </c>
      <c r="IQ968" s="160">
        <v>0.0</v>
      </c>
      <c r="JH968" s="25"/>
      <c r="JW968" s="159">
        <v>0.0</v>
      </c>
      <c r="JX968" s="156">
        <v>0.0</v>
      </c>
      <c r="JY968" s="156">
        <v>0.0</v>
      </c>
      <c r="JZ968" s="156">
        <v>0.0</v>
      </c>
      <c r="KA968" s="156">
        <v>0.0</v>
      </c>
      <c r="KB968" s="160">
        <v>0.0</v>
      </c>
      <c r="LH968" s="159">
        <f t="shared" si="10"/>
        <v>0</v>
      </c>
      <c r="LI968" s="156">
        <f t="shared" si="11"/>
        <v>0</v>
      </c>
      <c r="LJ968" s="156">
        <f t="shared" si="12"/>
        <v>0</v>
      </c>
      <c r="LK968" s="156">
        <f t="shared" si="13"/>
        <v>0</v>
      </c>
      <c r="LL968" s="156">
        <f t="shared" si="14"/>
        <v>0</v>
      </c>
      <c r="LM968" s="160">
        <f t="shared" si="15"/>
        <v>0</v>
      </c>
      <c r="QX968" s="633"/>
    </row>
    <row r="969">
      <c r="A969" s="12"/>
      <c r="B969" s="12"/>
      <c r="C969" s="12"/>
      <c r="D969" s="12"/>
      <c r="E969" s="12"/>
      <c r="F969" s="12"/>
      <c r="G969" s="12"/>
      <c r="H969" s="12"/>
      <c r="I969" s="143">
        <f t="shared" si="22"/>
        <v>0</v>
      </c>
      <c r="J969" s="108"/>
      <c r="K969" s="203"/>
      <c r="L969" s="108"/>
      <c r="V969" s="161"/>
      <c r="X969" s="140"/>
      <c r="Y969" s="166">
        <f t="shared" si="23"/>
        <v>0</v>
      </c>
      <c r="Z969" s="26">
        <f t="shared" si="7"/>
        <v>0</v>
      </c>
      <c r="AA969" s="26">
        <f t="shared" si="8"/>
        <v>0</v>
      </c>
      <c r="AB969" s="26">
        <f t="shared" si="9"/>
        <v>0</v>
      </c>
      <c r="AC969" s="156">
        <v>0.0</v>
      </c>
      <c r="AD969" s="156">
        <v>0.0</v>
      </c>
      <c r="AE969" s="156">
        <v>0.0</v>
      </c>
      <c r="AF969" s="156">
        <v>0.0</v>
      </c>
      <c r="AG969" s="156">
        <v>0.0</v>
      </c>
      <c r="AH969" s="156">
        <v>0.0</v>
      </c>
      <c r="BN969" s="155">
        <v>0.0</v>
      </c>
      <c r="BO969" s="155">
        <v>0.0</v>
      </c>
      <c r="BP969" s="155">
        <v>0.0</v>
      </c>
      <c r="BQ969" s="155">
        <v>0.0</v>
      </c>
      <c r="BR969" s="155">
        <v>0.0</v>
      </c>
      <c r="BS969" s="155">
        <v>0.0</v>
      </c>
      <c r="CV969" s="156">
        <v>0.0</v>
      </c>
      <c r="CW969" s="156">
        <v>0.0</v>
      </c>
      <c r="CX969" s="156">
        <v>0.0</v>
      </c>
      <c r="CY969" s="156">
        <v>0.0</v>
      </c>
      <c r="CZ969" s="156">
        <v>0.0</v>
      </c>
      <c r="DA969" s="156">
        <v>0.0</v>
      </c>
      <c r="EG969" s="156">
        <v>0.0</v>
      </c>
      <c r="EH969" s="156">
        <v>0.0</v>
      </c>
      <c r="EI969" s="156">
        <v>0.0</v>
      </c>
      <c r="EJ969" s="156">
        <v>0.0</v>
      </c>
      <c r="EK969" s="156">
        <v>0.0</v>
      </c>
      <c r="EL969" s="156">
        <v>0.0</v>
      </c>
      <c r="FQ969" s="156">
        <v>0.0</v>
      </c>
      <c r="FR969" s="156">
        <v>0.0</v>
      </c>
      <c r="FS969" s="156">
        <v>0.0</v>
      </c>
      <c r="FT969" s="156">
        <v>0.0</v>
      </c>
      <c r="FU969" s="156">
        <v>0.0</v>
      </c>
      <c r="FV969" s="156">
        <v>0.0</v>
      </c>
      <c r="FW969" s="157"/>
      <c r="FX969" s="157"/>
      <c r="FY969" s="157"/>
      <c r="FZ969" s="157"/>
      <c r="GA969" s="157"/>
      <c r="GB969" s="157"/>
      <c r="GC969" s="157"/>
      <c r="GD969" s="157"/>
      <c r="GE969" s="157"/>
      <c r="GF969" s="157"/>
      <c r="GG969" s="157"/>
      <c r="GH969" s="157"/>
      <c r="GI969" s="157"/>
      <c r="GJ969" s="157"/>
      <c r="GK969" s="157"/>
      <c r="GL969" s="157"/>
      <c r="GM969" s="157"/>
      <c r="GN969" s="157"/>
      <c r="GO969" s="157"/>
      <c r="GP969" s="158"/>
      <c r="GQ969" s="157"/>
      <c r="GR969" s="157"/>
      <c r="GS969" s="157"/>
      <c r="GT969" s="157"/>
      <c r="GU969" s="157"/>
      <c r="GV969" s="157"/>
      <c r="GW969" s="157"/>
      <c r="GX969" s="157"/>
      <c r="GY969" s="157"/>
      <c r="GZ969" s="157"/>
      <c r="HA969" s="157"/>
      <c r="HB969" s="155">
        <v>0.0</v>
      </c>
      <c r="HC969" s="155">
        <v>0.0</v>
      </c>
      <c r="HD969" s="155">
        <v>0.0</v>
      </c>
      <c r="HE969" s="155">
        <v>0.0</v>
      </c>
      <c r="HF969" s="155">
        <v>0.0</v>
      </c>
      <c r="HG969" s="155">
        <v>0.0</v>
      </c>
      <c r="IL969" s="159">
        <v>0.0</v>
      </c>
      <c r="IM969" s="156">
        <v>0.0</v>
      </c>
      <c r="IN969" s="156">
        <v>0.0</v>
      </c>
      <c r="IO969" s="156">
        <v>0.0</v>
      </c>
      <c r="IP969" s="156">
        <v>0.0</v>
      </c>
      <c r="IQ969" s="160">
        <v>0.0</v>
      </c>
      <c r="JH969" s="25"/>
      <c r="JW969" s="159">
        <v>0.0</v>
      </c>
      <c r="JX969" s="156">
        <v>0.0</v>
      </c>
      <c r="JY969" s="156">
        <v>0.0</v>
      </c>
      <c r="JZ969" s="156">
        <v>0.0</v>
      </c>
      <c r="KA969" s="156">
        <v>0.0</v>
      </c>
      <c r="KB969" s="160">
        <v>0.0</v>
      </c>
      <c r="LH969" s="159">
        <f t="shared" si="10"/>
        <v>0</v>
      </c>
      <c r="LI969" s="156">
        <f t="shared" si="11"/>
        <v>0</v>
      </c>
      <c r="LJ969" s="156">
        <f t="shared" si="12"/>
        <v>0</v>
      </c>
      <c r="LK969" s="156">
        <f t="shared" si="13"/>
        <v>0</v>
      </c>
      <c r="LL969" s="156">
        <f t="shared" si="14"/>
        <v>0</v>
      </c>
      <c r="LM969" s="160">
        <f t="shared" si="15"/>
        <v>0</v>
      </c>
      <c r="QX969" s="633"/>
    </row>
    <row r="970">
      <c r="A970" s="12"/>
      <c r="B970" s="12"/>
      <c r="C970" s="12"/>
      <c r="D970" s="12"/>
      <c r="E970" s="12"/>
      <c r="F970" s="12"/>
      <c r="G970" s="12"/>
      <c r="H970" s="12"/>
      <c r="I970" s="143">
        <f t="shared" si="22"/>
        <v>0</v>
      </c>
      <c r="J970" s="108"/>
      <c r="K970" s="203"/>
      <c r="L970" s="108"/>
      <c r="V970" s="161"/>
      <c r="X970" s="140"/>
      <c r="Y970" s="166">
        <f t="shared" si="23"/>
        <v>0</v>
      </c>
      <c r="Z970" s="26">
        <f t="shared" si="7"/>
        <v>0</v>
      </c>
      <c r="AA970" s="26">
        <f t="shared" si="8"/>
        <v>0</v>
      </c>
      <c r="AB970" s="26">
        <f t="shared" si="9"/>
        <v>0</v>
      </c>
      <c r="AC970" s="156">
        <v>0.0</v>
      </c>
      <c r="AD970" s="156">
        <v>0.0</v>
      </c>
      <c r="AE970" s="156">
        <v>0.0</v>
      </c>
      <c r="AF970" s="156">
        <v>0.0</v>
      </c>
      <c r="AG970" s="156">
        <v>0.0</v>
      </c>
      <c r="AH970" s="156">
        <v>0.0</v>
      </c>
      <c r="BN970" s="155">
        <v>0.0</v>
      </c>
      <c r="BO970" s="155">
        <v>0.0</v>
      </c>
      <c r="BP970" s="155">
        <v>0.0</v>
      </c>
      <c r="BQ970" s="155">
        <v>0.0</v>
      </c>
      <c r="BR970" s="155">
        <v>0.0</v>
      </c>
      <c r="BS970" s="155">
        <v>0.0</v>
      </c>
      <c r="CV970" s="156">
        <v>0.0</v>
      </c>
      <c r="CW970" s="156">
        <v>0.0</v>
      </c>
      <c r="CX970" s="156">
        <v>0.0</v>
      </c>
      <c r="CY970" s="156">
        <v>0.0</v>
      </c>
      <c r="CZ970" s="156">
        <v>0.0</v>
      </c>
      <c r="DA970" s="156">
        <v>0.0</v>
      </c>
      <c r="EG970" s="156">
        <v>0.0</v>
      </c>
      <c r="EH970" s="156">
        <v>0.0</v>
      </c>
      <c r="EI970" s="156">
        <v>0.0</v>
      </c>
      <c r="EJ970" s="156">
        <v>0.0</v>
      </c>
      <c r="EK970" s="156">
        <v>0.0</v>
      </c>
      <c r="EL970" s="156">
        <v>0.0</v>
      </c>
      <c r="FQ970" s="156">
        <v>0.0</v>
      </c>
      <c r="FR970" s="156">
        <v>0.0</v>
      </c>
      <c r="FS970" s="156">
        <v>0.0</v>
      </c>
      <c r="FT970" s="156">
        <v>0.0</v>
      </c>
      <c r="FU970" s="156">
        <v>0.0</v>
      </c>
      <c r="FV970" s="156">
        <v>0.0</v>
      </c>
      <c r="FW970" s="157"/>
      <c r="FX970" s="157"/>
      <c r="FY970" s="157"/>
      <c r="FZ970" s="157"/>
      <c r="GA970" s="157"/>
      <c r="GB970" s="157"/>
      <c r="GC970" s="157"/>
      <c r="GD970" s="157"/>
      <c r="GE970" s="157"/>
      <c r="GF970" s="157"/>
      <c r="GG970" s="157"/>
      <c r="GH970" s="157"/>
      <c r="GI970" s="157"/>
      <c r="GJ970" s="157"/>
      <c r="GK970" s="157"/>
      <c r="GL970" s="157"/>
      <c r="GM970" s="157"/>
      <c r="GN970" s="157"/>
      <c r="GO970" s="157"/>
      <c r="GP970" s="158"/>
      <c r="GQ970" s="157"/>
      <c r="GR970" s="157"/>
      <c r="GS970" s="157"/>
      <c r="GT970" s="157"/>
      <c r="GU970" s="157"/>
      <c r="GV970" s="157"/>
      <c r="GW970" s="157"/>
      <c r="GX970" s="157"/>
      <c r="GY970" s="157"/>
      <c r="GZ970" s="157"/>
      <c r="HA970" s="157"/>
      <c r="HB970" s="155">
        <v>0.0</v>
      </c>
      <c r="HC970" s="155">
        <v>0.0</v>
      </c>
      <c r="HD970" s="155">
        <v>0.0</v>
      </c>
      <c r="HE970" s="155">
        <v>0.0</v>
      </c>
      <c r="HF970" s="155">
        <v>0.0</v>
      </c>
      <c r="HG970" s="155">
        <v>0.0</v>
      </c>
      <c r="IL970" s="159">
        <v>0.0</v>
      </c>
      <c r="IM970" s="156">
        <v>0.0</v>
      </c>
      <c r="IN970" s="156">
        <v>0.0</v>
      </c>
      <c r="IO970" s="156">
        <v>0.0</v>
      </c>
      <c r="IP970" s="156">
        <v>0.0</v>
      </c>
      <c r="IQ970" s="160">
        <v>0.0</v>
      </c>
      <c r="JH970" s="25"/>
      <c r="JW970" s="159">
        <v>0.0</v>
      </c>
      <c r="JX970" s="156">
        <v>0.0</v>
      </c>
      <c r="JY970" s="156">
        <v>0.0</v>
      </c>
      <c r="JZ970" s="156">
        <v>0.0</v>
      </c>
      <c r="KA970" s="156">
        <v>0.0</v>
      </c>
      <c r="KB970" s="160">
        <v>0.0</v>
      </c>
      <c r="LH970" s="159">
        <f t="shared" si="10"/>
        <v>0</v>
      </c>
      <c r="LI970" s="156">
        <f t="shared" si="11"/>
        <v>0</v>
      </c>
      <c r="LJ970" s="156">
        <f t="shared" si="12"/>
        <v>0</v>
      </c>
      <c r="LK970" s="156">
        <f t="shared" si="13"/>
        <v>0</v>
      </c>
      <c r="LL970" s="156">
        <f t="shared" si="14"/>
        <v>0</v>
      </c>
      <c r="LM970" s="160">
        <f t="shared" si="15"/>
        <v>0</v>
      </c>
      <c r="QX970" s="633"/>
    </row>
    <row r="971">
      <c r="A971" s="12"/>
      <c r="B971" s="12"/>
      <c r="C971" s="12"/>
      <c r="D971" s="12"/>
      <c r="E971" s="12"/>
      <c r="F971" s="12"/>
      <c r="G971" s="12"/>
      <c r="H971" s="12"/>
      <c r="I971" s="143">
        <f t="shared" si="22"/>
        <v>0</v>
      </c>
      <c r="J971" s="108"/>
      <c r="K971" s="203"/>
      <c r="L971" s="108"/>
      <c r="V971" s="161"/>
      <c r="X971" s="140"/>
      <c r="Y971" s="166">
        <f t="shared" si="23"/>
        <v>0</v>
      </c>
      <c r="Z971" s="26">
        <f t="shared" si="7"/>
        <v>0</v>
      </c>
      <c r="AA971" s="26">
        <f t="shared" si="8"/>
        <v>0</v>
      </c>
      <c r="AB971" s="26">
        <f t="shared" si="9"/>
        <v>0</v>
      </c>
      <c r="AC971" s="156">
        <v>0.0</v>
      </c>
      <c r="AD971" s="156">
        <v>0.0</v>
      </c>
      <c r="AE971" s="156">
        <v>0.0</v>
      </c>
      <c r="AF971" s="156">
        <v>0.0</v>
      </c>
      <c r="AG971" s="156">
        <v>0.0</v>
      </c>
      <c r="AH971" s="156">
        <v>0.0</v>
      </c>
      <c r="BN971" s="155">
        <v>0.0</v>
      </c>
      <c r="BO971" s="155">
        <v>0.0</v>
      </c>
      <c r="BP971" s="155">
        <v>0.0</v>
      </c>
      <c r="BQ971" s="155">
        <v>0.0</v>
      </c>
      <c r="BR971" s="155">
        <v>0.0</v>
      </c>
      <c r="BS971" s="155">
        <v>0.0</v>
      </c>
      <c r="CV971" s="156">
        <v>0.0</v>
      </c>
      <c r="CW971" s="156">
        <v>0.0</v>
      </c>
      <c r="CX971" s="156">
        <v>0.0</v>
      </c>
      <c r="CY971" s="156">
        <v>0.0</v>
      </c>
      <c r="CZ971" s="156">
        <v>0.0</v>
      </c>
      <c r="DA971" s="156">
        <v>0.0</v>
      </c>
      <c r="EG971" s="156">
        <v>0.0</v>
      </c>
      <c r="EH971" s="156">
        <v>0.0</v>
      </c>
      <c r="EI971" s="156">
        <v>0.0</v>
      </c>
      <c r="EJ971" s="156">
        <v>0.0</v>
      </c>
      <c r="EK971" s="156">
        <v>0.0</v>
      </c>
      <c r="EL971" s="156">
        <v>0.0</v>
      </c>
      <c r="FQ971" s="156">
        <v>0.0</v>
      </c>
      <c r="FR971" s="156">
        <v>0.0</v>
      </c>
      <c r="FS971" s="156">
        <v>0.0</v>
      </c>
      <c r="FT971" s="156">
        <v>0.0</v>
      </c>
      <c r="FU971" s="156">
        <v>0.0</v>
      </c>
      <c r="FV971" s="156">
        <v>0.0</v>
      </c>
      <c r="FW971" s="157"/>
      <c r="FX971" s="157"/>
      <c r="FY971" s="157"/>
      <c r="FZ971" s="157"/>
      <c r="GA971" s="157"/>
      <c r="GB971" s="157"/>
      <c r="GC971" s="157"/>
      <c r="GD971" s="157"/>
      <c r="GE971" s="157"/>
      <c r="GF971" s="157"/>
      <c r="GG971" s="157"/>
      <c r="GH971" s="157"/>
      <c r="GI971" s="157"/>
      <c r="GJ971" s="157"/>
      <c r="GK971" s="157"/>
      <c r="GL971" s="157"/>
      <c r="GM971" s="157"/>
      <c r="GN971" s="157"/>
      <c r="GO971" s="157"/>
      <c r="GP971" s="158"/>
      <c r="GQ971" s="157"/>
      <c r="GR971" s="157"/>
      <c r="GS971" s="157"/>
      <c r="GT971" s="157"/>
      <c r="GU971" s="157"/>
      <c r="GV971" s="157"/>
      <c r="GW971" s="157"/>
      <c r="GX971" s="157"/>
      <c r="GY971" s="157"/>
      <c r="GZ971" s="157"/>
      <c r="HA971" s="157"/>
      <c r="HB971" s="155">
        <v>0.0</v>
      </c>
      <c r="HC971" s="155">
        <v>0.0</v>
      </c>
      <c r="HD971" s="155">
        <v>0.0</v>
      </c>
      <c r="HE971" s="155">
        <v>0.0</v>
      </c>
      <c r="HF971" s="155">
        <v>0.0</v>
      </c>
      <c r="HG971" s="155">
        <v>0.0</v>
      </c>
      <c r="IL971" s="159">
        <v>0.0</v>
      </c>
      <c r="IM971" s="156">
        <v>0.0</v>
      </c>
      <c r="IN971" s="156">
        <v>0.0</v>
      </c>
      <c r="IO971" s="156">
        <v>0.0</v>
      </c>
      <c r="IP971" s="156">
        <v>0.0</v>
      </c>
      <c r="IQ971" s="160">
        <v>0.0</v>
      </c>
      <c r="JH971" s="25"/>
      <c r="JW971" s="159">
        <v>0.0</v>
      </c>
      <c r="JX971" s="156">
        <v>0.0</v>
      </c>
      <c r="JY971" s="156">
        <v>0.0</v>
      </c>
      <c r="JZ971" s="156">
        <v>0.0</v>
      </c>
      <c r="KA971" s="156">
        <v>0.0</v>
      </c>
      <c r="KB971" s="160">
        <v>0.0</v>
      </c>
      <c r="LH971" s="159">
        <f t="shared" si="10"/>
        <v>0</v>
      </c>
      <c r="LI971" s="156">
        <f t="shared" si="11"/>
        <v>0</v>
      </c>
      <c r="LJ971" s="156">
        <f t="shared" si="12"/>
        <v>0</v>
      </c>
      <c r="LK971" s="156">
        <f t="shared" si="13"/>
        <v>0</v>
      </c>
      <c r="LL971" s="156">
        <f t="shared" si="14"/>
        <v>0</v>
      </c>
      <c r="LM971" s="160">
        <f t="shared" si="15"/>
        <v>0</v>
      </c>
      <c r="QX971" s="633"/>
    </row>
    <row r="972">
      <c r="A972" s="12"/>
      <c r="B972" s="12"/>
      <c r="C972" s="12"/>
      <c r="D972" s="12"/>
      <c r="E972" s="12"/>
      <c r="F972" s="12"/>
      <c r="G972" s="12"/>
      <c r="H972" s="12"/>
      <c r="I972" s="143">
        <f t="shared" si="22"/>
        <v>0</v>
      </c>
      <c r="J972" s="108"/>
      <c r="K972" s="203"/>
      <c r="L972" s="108"/>
      <c r="V972" s="161"/>
      <c r="X972" s="140"/>
      <c r="Y972" s="166">
        <f t="shared" si="23"/>
        <v>0</v>
      </c>
      <c r="Z972" s="26">
        <f t="shared" si="7"/>
        <v>0</v>
      </c>
      <c r="AA972" s="26">
        <f t="shared" si="8"/>
        <v>0</v>
      </c>
      <c r="AB972" s="26">
        <f t="shared" si="9"/>
        <v>0</v>
      </c>
      <c r="AC972" s="156">
        <v>0.0</v>
      </c>
      <c r="AD972" s="156">
        <v>0.0</v>
      </c>
      <c r="AE972" s="156">
        <v>0.0</v>
      </c>
      <c r="AF972" s="156">
        <v>0.0</v>
      </c>
      <c r="AG972" s="156">
        <v>0.0</v>
      </c>
      <c r="AH972" s="156">
        <v>0.0</v>
      </c>
      <c r="BN972" s="155">
        <v>0.0</v>
      </c>
      <c r="BO972" s="155">
        <v>0.0</v>
      </c>
      <c r="BP972" s="155">
        <v>0.0</v>
      </c>
      <c r="BQ972" s="155">
        <v>0.0</v>
      </c>
      <c r="BR972" s="155">
        <v>0.0</v>
      </c>
      <c r="BS972" s="155">
        <v>0.0</v>
      </c>
      <c r="CV972" s="156">
        <v>0.0</v>
      </c>
      <c r="CW972" s="156">
        <v>0.0</v>
      </c>
      <c r="CX972" s="156">
        <v>0.0</v>
      </c>
      <c r="CY972" s="156">
        <v>0.0</v>
      </c>
      <c r="CZ972" s="156">
        <v>0.0</v>
      </c>
      <c r="DA972" s="156">
        <v>0.0</v>
      </c>
      <c r="EG972" s="156">
        <v>0.0</v>
      </c>
      <c r="EH972" s="156">
        <v>0.0</v>
      </c>
      <c r="EI972" s="156">
        <v>0.0</v>
      </c>
      <c r="EJ972" s="156">
        <v>0.0</v>
      </c>
      <c r="EK972" s="156">
        <v>0.0</v>
      </c>
      <c r="EL972" s="156">
        <v>0.0</v>
      </c>
      <c r="FQ972" s="156">
        <v>0.0</v>
      </c>
      <c r="FR972" s="156">
        <v>0.0</v>
      </c>
      <c r="FS972" s="156">
        <v>0.0</v>
      </c>
      <c r="FT972" s="156">
        <v>0.0</v>
      </c>
      <c r="FU972" s="156">
        <v>0.0</v>
      </c>
      <c r="FV972" s="156">
        <v>0.0</v>
      </c>
      <c r="FW972" s="157"/>
      <c r="FX972" s="157"/>
      <c r="FY972" s="157"/>
      <c r="FZ972" s="157"/>
      <c r="GA972" s="157"/>
      <c r="GB972" s="157"/>
      <c r="GC972" s="157"/>
      <c r="GD972" s="157"/>
      <c r="GE972" s="157"/>
      <c r="GF972" s="157"/>
      <c r="GG972" s="157"/>
      <c r="GH972" s="157"/>
      <c r="GI972" s="157"/>
      <c r="GJ972" s="157"/>
      <c r="GK972" s="157"/>
      <c r="GL972" s="157"/>
      <c r="GM972" s="157"/>
      <c r="GN972" s="157"/>
      <c r="GO972" s="157"/>
      <c r="GP972" s="158"/>
      <c r="GQ972" s="157"/>
      <c r="GR972" s="157"/>
      <c r="GS972" s="157"/>
      <c r="GT972" s="157"/>
      <c r="GU972" s="157"/>
      <c r="GV972" s="157"/>
      <c r="GW972" s="157"/>
      <c r="GX972" s="157"/>
      <c r="GY972" s="157"/>
      <c r="GZ972" s="157"/>
      <c r="HA972" s="157"/>
      <c r="HB972" s="155">
        <v>0.0</v>
      </c>
      <c r="HC972" s="155">
        <v>0.0</v>
      </c>
      <c r="HD972" s="155">
        <v>0.0</v>
      </c>
      <c r="HE972" s="155">
        <v>0.0</v>
      </c>
      <c r="HF972" s="155">
        <v>0.0</v>
      </c>
      <c r="HG972" s="155">
        <v>0.0</v>
      </c>
      <c r="IL972" s="159">
        <v>0.0</v>
      </c>
      <c r="IM972" s="156">
        <v>0.0</v>
      </c>
      <c r="IN972" s="156">
        <v>0.0</v>
      </c>
      <c r="IO972" s="156">
        <v>0.0</v>
      </c>
      <c r="IP972" s="156">
        <v>0.0</v>
      </c>
      <c r="IQ972" s="160">
        <v>0.0</v>
      </c>
      <c r="JH972" s="25"/>
      <c r="JW972" s="159">
        <v>0.0</v>
      </c>
      <c r="JX972" s="156">
        <v>0.0</v>
      </c>
      <c r="JY972" s="156">
        <v>0.0</v>
      </c>
      <c r="JZ972" s="156">
        <v>0.0</v>
      </c>
      <c r="KA972" s="156">
        <v>0.0</v>
      </c>
      <c r="KB972" s="160">
        <v>0.0</v>
      </c>
      <c r="LH972" s="159">
        <f t="shared" si="10"/>
        <v>0</v>
      </c>
      <c r="LI972" s="156">
        <f t="shared" si="11"/>
        <v>0</v>
      </c>
      <c r="LJ972" s="156">
        <f t="shared" si="12"/>
        <v>0</v>
      </c>
      <c r="LK972" s="156">
        <f t="shared" si="13"/>
        <v>0</v>
      </c>
      <c r="LL972" s="156">
        <f t="shared" si="14"/>
        <v>0</v>
      </c>
      <c r="LM972" s="160">
        <f t="shared" si="15"/>
        <v>0</v>
      </c>
      <c r="QX972" s="633"/>
    </row>
    <row r="973">
      <c r="A973" s="12"/>
      <c r="B973" s="12"/>
      <c r="C973" s="12"/>
      <c r="D973" s="12"/>
      <c r="E973" s="12"/>
      <c r="F973" s="12"/>
      <c r="G973" s="12"/>
      <c r="H973" s="12"/>
      <c r="I973" s="143">
        <f t="shared" si="22"/>
        <v>0</v>
      </c>
      <c r="J973" s="108"/>
      <c r="K973" s="203"/>
      <c r="L973" s="108"/>
      <c r="V973" s="161"/>
      <c r="X973" s="140"/>
      <c r="Y973" s="166">
        <f t="shared" si="23"/>
        <v>0</v>
      </c>
      <c r="Z973" s="26">
        <f t="shared" si="7"/>
        <v>0</v>
      </c>
      <c r="AA973" s="26">
        <f t="shared" si="8"/>
        <v>0</v>
      </c>
      <c r="AB973" s="26">
        <f t="shared" si="9"/>
        <v>0</v>
      </c>
      <c r="AC973" s="156">
        <v>0.0</v>
      </c>
      <c r="AD973" s="156">
        <v>0.0</v>
      </c>
      <c r="AE973" s="156">
        <v>0.0</v>
      </c>
      <c r="AF973" s="156">
        <v>0.0</v>
      </c>
      <c r="AG973" s="156">
        <v>0.0</v>
      </c>
      <c r="AH973" s="156">
        <v>0.0</v>
      </c>
      <c r="BN973" s="155">
        <v>0.0</v>
      </c>
      <c r="BO973" s="155">
        <v>0.0</v>
      </c>
      <c r="BP973" s="155">
        <v>0.0</v>
      </c>
      <c r="BQ973" s="155">
        <v>0.0</v>
      </c>
      <c r="BR973" s="155">
        <v>0.0</v>
      </c>
      <c r="BS973" s="155">
        <v>0.0</v>
      </c>
      <c r="CV973" s="156">
        <v>0.0</v>
      </c>
      <c r="CW973" s="156">
        <v>0.0</v>
      </c>
      <c r="CX973" s="156">
        <v>0.0</v>
      </c>
      <c r="CY973" s="156">
        <v>0.0</v>
      </c>
      <c r="CZ973" s="156">
        <v>0.0</v>
      </c>
      <c r="DA973" s="156">
        <v>0.0</v>
      </c>
      <c r="EG973" s="156">
        <v>0.0</v>
      </c>
      <c r="EH973" s="156">
        <v>0.0</v>
      </c>
      <c r="EI973" s="156">
        <v>0.0</v>
      </c>
      <c r="EJ973" s="156">
        <v>0.0</v>
      </c>
      <c r="EK973" s="156">
        <v>0.0</v>
      </c>
      <c r="EL973" s="156">
        <v>0.0</v>
      </c>
      <c r="FQ973" s="156">
        <v>0.0</v>
      </c>
      <c r="FR973" s="156">
        <v>0.0</v>
      </c>
      <c r="FS973" s="156">
        <v>0.0</v>
      </c>
      <c r="FT973" s="156">
        <v>0.0</v>
      </c>
      <c r="FU973" s="156">
        <v>0.0</v>
      </c>
      <c r="FV973" s="156">
        <v>0.0</v>
      </c>
      <c r="FW973" s="157"/>
      <c r="FX973" s="157"/>
      <c r="FY973" s="157"/>
      <c r="FZ973" s="157"/>
      <c r="GA973" s="157"/>
      <c r="GB973" s="157"/>
      <c r="GC973" s="157"/>
      <c r="GD973" s="157"/>
      <c r="GE973" s="157"/>
      <c r="GF973" s="157"/>
      <c r="GG973" s="157"/>
      <c r="GH973" s="157"/>
      <c r="GI973" s="157"/>
      <c r="GJ973" s="157"/>
      <c r="GK973" s="157"/>
      <c r="GL973" s="157"/>
      <c r="GM973" s="157"/>
      <c r="GN973" s="157"/>
      <c r="GO973" s="157"/>
      <c r="GP973" s="158"/>
      <c r="GQ973" s="157"/>
      <c r="GR973" s="157"/>
      <c r="GS973" s="157"/>
      <c r="GT973" s="157"/>
      <c r="GU973" s="157"/>
      <c r="GV973" s="157"/>
      <c r="GW973" s="157"/>
      <c r="GX973" s="157"/>
      <c r="GY973" s="157"/>
      <c r="GZ973" s="157"/>
      <c r="HA973" s="157"/>
      <c r="HB973" s="155">
        <v>0.0</v>
      </c>
      <c r="HC973" s="155">
        <v>0.0</v>
      </c>
      <c r="HD973" s="155">
        <v>0.0</v>
      </c>
      <c r="HE973" s="155">
        <v>0.0</v>
      </c>
      <c r="HF973" s="155">
        <v>0.0</v>
      </c>
      <c r="HG973" s="155">
        <v>0.0</v>
      </c>
      <c r="IL973" s="159">
        <v>0.0</v>
      </c>
      <c r="IM973" s="156">
        <v>0.0</v>
      </c>
      <c r="IN973" s="156">
        <v>0.0</v>
      </c>
      <c r="IO973" s="156">
        <v>0.0</v>
      </c>
      <c r="IP973" s="156">
        <v>0.0</v>
      </c>
      <c r="IQ973" s="160">
        <v>0.0</v>
      </c>
      <c r="JH973" s="25"/>
      <c r="JW973" s="159">
        <v>0.0</v>
      </c>
      <c r="JX973" s="156">
        <v>0.0</v>
      </c>
      <c r="JY973" s="156">
        <v>0.0</v>
      </c>
      <c r="JZ973" s="156">
        <v>0.0</v>
      </c>
      <c r="KA973" s="156">
        <v>0.0</v>
      </c>
      <c r="KB973" s="160">
        <v>0.0</v>
      </c>
      <c r="LH973" s="159">
        <f t="shared" si="10"/>
        <v>0</v>
      </c>
      <c r="LI973" s="156">
        <f t="shared" si="11"/>
        <v>0</v>
      </c>
      <c r="LJ973" s="156">
        <f t="shared" si="12"/>
        <v>0</v>
      </c>
      <c r="LK973" s="156">
        <f t="shared" si="13"/>
        <v>0</v>
      </c>
      <c r="LL973" s="156">
        <f t="shared" si="14"/>
        <v>0</v>
      </c>
      <c r="LM973" s="160">
        <f t="shared" si="15"/>
        <v>0</v>
      </c>
      <c r="QX973" s="633"/>
    </row>
    <row r="974">
      <c r="A974" s="12"/>
      <c r="B974" s="12"/>
      <c r="C974" s="12"/>
      <c r="D974" s="12"/>
      <c r="E974" s="12"/>
      <c r="F974" s="12"/>
      <c r="G974" s="12"/>
      <c r="H974" s="12"/>
      <c r="I974" s="143">
        <f t="shared" si="22"/>
        <v>0</v>
      </c>
      <c r="J974" s="108"/>
      <c r="K974" s="203"/>
      <c r="L974" s="108"/>
      <c r="V974" s="161"/>
      <c r="X974" s="140"/>
      <c r="Y974" s="166">
        <f t="shared" si="23"/>
        <v>0</v>
      </c>
      <c r="Z974" s="26">
        <f t="shared" si="7"/>
        <v>0</v>
      </c>
      <c r="AA974" s="26">
        <f t="shared" si="8"/>
        <v>0</v>
      </c>
      <c r="AB974" s="26">
        <f t="shared" si="9"/>
        <v>0</v>
      </c>
      <c r="AC974" s="156">
        <v>0.0</v>
      </c>
      <c r="AD974" s="156">
        <v>0.0</v>
      </c>
      <c r="AE974" s="156">
        <v>0.0</v>
      </c>
      <c r="AF974" s="156">
        <v>0.0</v>
      </c>
      <c r="AG974" s="156">
        <v>0.0</v>
      </c>
      <c r="AH974" s="156">
        <v>0.0</v>
      </c>
      <c r="BN974" s="155">
        <v>0.0</v>
      </c>
      <c r="BO974" s="155">
        <v>0.0</v>
      </c>
      <c r="BP974" s="155">
        <v>0.0</v>
      </c>
      <c r="BQ974" s="155">
        <v>0.0</v>
      </c>
      <c r="BR974" s="155">
        <v>0.0</v>
      </c>
      <c r="BS974" s="155">
        <v>0.0</v>
      </c>
      <c r="CV974" s="156">
        <v>0.0</v>
      </c>
      <c r="CW974" s="156">
        <v>0.0</v>
      </c>
      <c r="CX974" s="156">
        <v>0.0</v>
      </c>
      <c r="CY974" s="156">
        <v>0.0</v>
      </c>
      <c r="CZ974" s="156">
        <v>0.0</v>
      </c>
      <c r="DA974" s="156">
        <v>0.0</v>
      </c>
      <c r="EG974" s="156">
        <v>0.0</v>
      </c>
      <c r="EH974" s="156">
        <v>0.0</v>
      </c>
      <c r="EI974" s="156">
        <v>0.0</v>
      </c>
      <c r="EJ974" s="156">
        <v>0.0</v>
      </c>
      <c r="EK974" s="156">
        <v>0.0</v>
      </c>
      <c r="EL974" s="156">
        <v>0.0</v>
      </c>
      <c r="FQ974" s="156">
        <v>0.0</v>
      </c>
      <c r="FR974" s="156">
        <v>0.0</v>
      </c>
      <c r="FS974" s="156">
        <v>0.0</v>
      </c>
      <c r="FT974" s="156">
        <v>0.0</v>
      </c>
      <c r="FU974" s="156">
        <v>0.0</v>
      </c>
      <c r="FV974" s="156">
        <v>0.0</v>
      </c>
      <c r="FW974" s="157"/>
      <c r="FX974" s="157"/>
      <c r="FY974" s="157"/>
      <c r="FZ974" s="157"/>
      <c r="GA974" s="157"/>
      <c r="GB974" s="157"/>
      <c r="GC974" s="157"/>
      <c r="GD974" s="157"/>
      <c r="GE974" s="157"/>
      <c r="GF974" s="157"/>
      <c r="GG974" s="157"/>
      <c r="GH974" s="157"/>
      <c r="GI974" s="157"/>
      <c r="GJ974" s="157"/>
      <c r="GK974" s="157"/>
      <c r="GL974" s="157"/>
      <c r="GM974" s="157"/>
      <c r="GN974" s="157"/>
      <c r="GO974" s="157"/>
      <c r="GP974" s="158"/>
      <c r="GQ974" s="157"/>
      <c r="GR974" s="157"/>
      <c r="GS974" s="157"/>
      <c r="GT974" s="157"/>
      <c r="GU974" s="157"/>
      <c r="GV974" s="157"/>
      <c r="GW974" s="157"/>
      <c r="GX974" s="157"/>
      <c r="GY974" s="157"/>
      <c r="GZ974" s="157"/>
      <c r="HA974" s="157"/>
      <c r="HB974" s="155">
        <v>0.0</v>
      </c>
      <c r="HC974" s="155">
        <v>0.0</v>
      </c>
      <c r="HD974" s="155">
        <v>0.0</v>
      </c>
      <c r="HE974" s="155">
        <v>0.0</v>
      </c>
      <c r="HF974" s="155">
        <v>0.0</v>
      </c>
      <c r="HG974" s="155">
        <v>0.0</v>
      </c>
      <c r="IL974" s="159">
        <v>0.0</v>
      </c>
      <c r="IM974" s="156">
        <v>0.0</v>
      </c>
      <c r="IN974" s="156">
        <v>0.0</v>
      </c>
      <c r="IO974" s="156">
        <v>0.0</v>
      </c>
      <c r="IP974" s="156">
        <v>0.0</v>
      </c>
      <c r="IQ974" s="160">
        <v>0.0</v>
      </c>
      <c r="JH974" s="25"/>
      <c r="JW974" s="159">
        <v>0.0</v>
      </c>
      <c r="JX974" s="156">
        <v>0.0</v>
      </c>
      <c r="JY974" s="156">
        <v>0.0</v>
      </c>
      <c r="JZ974" s="156">
        <v>0.0</v>
      </c>
      <c r="KA974" s="156">
        <v>0.0</v>
      </c>
      <c r="KB974" s="160">
        <v>0.0</v>
      </c>
      <c r="LH974" s="159">
        <f t="shared" si="10"/>
        <v>0</v>
      </c>
      <c r="LI974" s="156">
        <f t="shared" si="11"/>
        <v>0</v>
      </c>
      <c r="LJ974" s="156">
        <f t="shared" si="12"/>
        <v>0</v>
      </c>
      <c r="LK974" s="156">
        <f t="shared" si="13"/>
        <v>0</v>
      </c>
      <c r="LL974" s="156">
        <f t="shared" si="14"/>
        <v>0</v>
      </c>
      <c r="LM974" s="160">
        <f t="shared" si="15"/>
        <v>0</v>
      </c>
      <c r="QX974" s="633"/>
    </row>
    <row r="975">
      <c r="A975" s="12"/>
      <c r="B975" s="12"/>
      <c r="C975" s="12"/>
      <c r="D975" s="12"/>
      <c r="E975" s="12"/>
      <c r="F975" s="12"/>
      <c r="G975" s="12"/>
      <c r="H975" s="12"/>
      <c r="I975" s="143">
        <f t="shared" si="22"/>
        <v>0</v>
      </c>
      <c r="J975" s="108"/>
      <c r="K975" s="203"/>
      <c r="L975" s="108"/>
      <c r="V975" s="161"/>
      <c r="X975" s="140"/>
      <c r="Y975" s="166">
        <f t="shared" si="23"/>
        <v>0</v>
      </c>
      <c r="Z975" s="26">
        <f t="shared" si="7"/>
        <v>0</v>
      </c>
      <c r="AA975" s="26">
        <f t="shared" si="8"/>
        <v>0</v>
      </c>
      <c r="AB975" s="26">
        <f t="shared" si="9"/>
        <v>0</v>
      </c>
      <c r="AC975" s="156">
        <v>0.0</v>
      </c>
      <c r="AD975" s="156">
        <v>0.0</v>
      </c>
      <c r="AE975" s="156">
        <v>0.0</v>
      </c>
      <c r="AF975" s="156">
        <v>0.0</v>
      </c>
      <c r="AG975" s="156">
        <v>0.0</v>
      </c>
      <c r="AH975" s="156">
        <v>0.0</v>
      </c>
      <c r="BN975" s="155">
        <v>0.0</v>
      </c>
      <c r="BO975" s="155">
        <v>0.0</v>
      </c>
      <c r="BP975" s="155">
        <v>0.0</v>
      </c>
      <c r="BQ975" s="155">
        <v>0.0</v>
      </c>
      <c r="BR975" s="155">
        <v>0.0</v>
      </c>
      <c r="BS975" s="155">
        <v>0.0</v>
      </c>
      <c r="CV975" s="156">
        <v>0.0</v>
      </c>
      <c r="CW975" s="156">
        <v>0.0</v>
      </c>
      <c r="CX975" s="156">
        <v>0.0</v>
      </c>
      <c r="CY975" s="156">
        <v>0.0</v>
      </c>
      <c r="CZ975" s="156">
        <v>0.0</v>
      </c>
      <c r="DA975" s="156">
        <v>0.0</v>
      </c>
      <c r="EG975" s="156">
        <v>0.0</v>
      </c>
      <c r="EH975" s="156">
        <v>0.0</v>
      </c>
      <c r="EI975" s="156">
        <v>0.0</v>
      </c>
      <c r="EJ975" s="156">
        <v>0.0</v>
      </c>
      <c r="EK975" s="156">
        <v>0.0</v>
      </c>
      <c r="EL975" s="156">
        <v>0.0</v>
      </c>
      <c r="FQ975" s="156">
        <v>0.0</v>
      </c>
      <c r="FR975" s="156">
        <v>0.0</v>
      </c>
      <c r="FS975" s="156">
        <v>0.0</v>
      </c>
      <c r="FT975" s="156">
        <v>0.0</v>
      </c>
      <c r="FU975" s="156">
        <v>0.0</v>
      </c>
      <c r="FV975" s="156">
        <v>0.0</v>
      </c>
      <c r="FW975" s="157"/>
      <c r="FX975" s="157"/>
      <c r="FY975" s="157"/>
      <c r="FZ975" s="157"/>
      <c r="GA975" s="157"/>
      <c r="GB975" s="157"/>
      <c r="GC975" s="157"/>
      <c r="GD975" s="157"/>
      <c r="GE975" s="157"/>
      <c r="GF975" s="157"/>
      <c r="GG975" s="157"/>
      <c r="GH975" s="157"/>
      <c r="GI975" s="157"/>
      <c r="GJ975" s="157"/>
      <c r="GK975" s="157"/>
      <c r="GL975" s="157"/>
      <c r="GM975" s="157"/>
      <c r="GN975" s="157"/>
      <c r="GO975" s="157"/>
      <c r="GP975" s="158"/>
      <c r="GQ975" s="157"/>
      <c r="GR975" s="157"/>
      <c r="GS975" s="157"/>
      <c r="GT975" s="157"/>
      <c r="GU975" s="157"/>
      <c r="GV975" s="157"/>
      <c r="GW975" s="157"/>
      <c r="GX975" s="157"/>
      <c r="GY975" s="157"/>
      <c r="GZ975" s="157"/>
      <c r="HA975" s="157"/>
      <c r="HB975" s="155">
        <v>0.0</v>
      </c>
      <c r="HC975" s="155">
        <v>0.0</v>
      </c>
      <c r="HD975" s="155">
        <v>0.0</v>
      </c>
      <c r="HE975" s="155">
        <v>0.0</v>
      </c>
      <c r="HF975" s="155">
        <v>0.0</v>
      </c>
      <c r="HG975" s="155">
        <v>0.0</v>
      </c>
      <c r="IL975" s="159">
        <v>0.0</v>
      </c>
      <c r="IM975" s="156">
        <v>0.0</v>
      </c>
      <c r="IN975" s="156">
        <v>0.0</v>
      </c>
      <c r="IO975" s="156">
        <v>0.0</v>
      </c>
      <c r="IP975" s="156">
        <v>0.0</v>
      </c>
      <c r="IQ975" s="160">
        <v>0.0</v>
      </c>
      <c r="JH975" s="25"/>
      <c r="JW975" s="159">
        <v>0.0</v>
      </c>
      <c r="JX975" s="156">
        <v>0.0</v>
      </c>
      <c r="JY975" s="156">
        <v>0.0</v>
      </c>
      <c r="JZ975" s="156">
        <v>0.0</v>
      </c>
      <c r="KA975" s="156">
        <v>0.0</v>
      </c>
      <c r="KB975" s="160">
        <v>0.0</v>
      </c>
      <c r="LH975" s="159">
        <f t="shared" si="10"/>
        <v>0</v>
      </c>
      <c r="LI975" s="156">
        <f t="shared" si="11"/>
        <v>0</v>
      </c>
      <c r="LJ975" s="156">
        <f t="shared" si="12"/>
        <v>0</v>
      </c>
      <c r="LK975" s="156">
        <f t="shared" si="13"/>
        <v>0</v>
      </c>
      <c r="LL975" s="156">
        <f t="shared" si="14"/>
        <v>0</v>
      </c>
      <c r="LM975" s="160">
        <f t="shared" si="15"/>
        <v>0</v>
      </c>
      <c r="QX975" s="633"/>
    </row>
    <row r="976">
      <c r="A976" s="12"/>
      <c r="B976" s="12"/>
      <c r="C976" s="12"/>
      <c r="D976" s="12"/>
      <c r="E976" s="12"/>
      <c r="F976" s="12"/>
      <c r="G976" s="12"/>
      <c r="H976" s="12"/>
      <c r="I976" s="143">
        <f t="shared" si="22"/>
        <v>0</v>
      </c>
      <c r="J976" s="108"/>
      <c r="K976" s="203"/>
      <c r="L976" s="108"/>
      <c r="V976" s="161"/>
      <c r="X976" s="140"/>
      <c r="Y976" s="166">
        <f t="shared" si="23"/>
        <v>0</v>
      </c>
      <c r="Z976" s="26">
        <f t="shared" si="7"/>
        <v>0</v>
      </c>
      <c r="AA976" s="26">
        <f t="shared" si="8"/>
        <v>0</v>
      </c>
      <c r="AB976" s="26">
        <f t="shared" si="9"/>
        <v>0</v>
      </c>
      <c r="AC976" s="156">
        <v>0.0</v>
      </c>
      <c r="AD976" s="156">
        <v>0.0</v>
      </c>
      <c r="AE976" s="156">
        <v>0.0</v>
      </c>
      <c r="AF976" s="156">
        <v>0.0</v>
      </c>
      <c r="AG976" s="156">
        <v>0.0</v>
      </c>
      <c r="AH976" s="156">
        <v>0.0</v>
      </c>
      <c r="BN976" s="155">
        <v>0.0</v>
      </c>
      <c r="BO976" s="155">
        <v>0.0</v>
      </c>
      <c r="BP976" s="155">
        <v>0.0</v>
      </c>
      <c r="BQ976" s="155">
        <v>0.0</v>
      </c>
      <c r="BR976" s="155">
        <v>0.0</v>
      </c>
      <c r="BS976" s="155">
        <v>0.0</v>
      </c>
      <c r="CV976" s="156">
        <v>0.0</v>
      </c>
      <c r="CW976" s="156">
        <v>0.0</v>
      </c>
      <c r="CX976" s="156">
        <v>0.0</v>
      </c>
      <c r="CY976" s="156">
        <v>0.0</v>
      </c>
      <c r="CZ976" s="156">
        <v>0.0</v>
      </c>
      <c r="DA976" s="156">
        <v>0.0</v>
      </c>
      <c r="EG976" s="156">
        <v>0.0</v>
      </c>
      <c r="EH976" s="156">
        <v>0.0</v>
      </c>
      <c r="EI976" s="156">
        <v>0.0</v>
      </c>
      <c r="EJ976" s="156">
        <v>0.0</v>
      </c>
      <c r="EK976" s="156">
        <v>0.0</v>
      </c>
      <c r="EL976" s="156">
        <v>0.0</v>
      </c>
      <c r="FQ976" s="156">
        <v>0.0</v>
      </c>
      <c r="FR976" s="156">
        <v>0.0</v>
      </c>
      <c r="FS976" s="156">
        <v>0.0</v>
      </c>
      <c r="FT976" s="156">
        <v>0.0</v>
      </c>
      <c r="FU976" s="156">
        <v>0.0</v>
      </c>
      <c r="FV976" s="156">
        <v>0.0</v>
      </c>
      <c r="FW976" s="157"/>
      <c r="FX976" s="157"/>
      <c r="FY976" s="157"/>
      <c r="FZ976" s="157"/>
      <c r="GA976" s="157"/>
      <c r="GB976" s="157"/>
      <c r="GC976" s="157"/>
      <c r="GD976" s="157"/>
      <c r="GE976" s="157"/>
      <c r="GF976" s="157"/>
      <c r="GG976" s="157"/>
      <c r="GH976" s="157"/>
      <c r="GI976" s="157"/>
      <c r="GJ976" s="157"/>
      <c r="GK976" s="157"/>
      <c r="GL976" s="157"/>
      <c r="GM976" s="157"/>
      <c r="GN976" s="157"/>
      <c r="GO976" s="157"/>
      <c r="GP976" s="158"/>
      <c r="GQ976" s="157"/>
      <c r="GR976" s="157"/>
      <c r="GS976" s="157"/>
      <c r="GT976" s="157"/>
      <c r="GU976" s="157"/>
      <c r="GV976" s="157"/>
      <c r="GW976" s="157"/>
      <c r="GX976" s="157"/>
      <c r="GY976" s="157"/>
      <c r="GZ976" s="157"/>
      <c r="HA976" s="157"/>
      <c r="HB976" s="155">
        <v>0.0</v>
      </c>
      <c r="HC976" s="155">
        <v>0.0</v>
      </c>
      <c r="HD976" s="155">
        <v>0.0</v>
      </c>
      <c r="HE976" s="155">
        <v>0.0</v>
      </c>
      <c r="HF976" s="155">
        <v>0.0</v>
      </c>
      <c r="HG976" s="155">
        <v>0.0</v>
      </c>
      <c r="IL976" s="159">
        <v>0.0</v>
      </c>
      <c r="IM976" s="156">
        <v>0.0</v>
      </c>
      <c r="IN976" s="156">
        <v>0.0</v>
      </c>
      <c r="IO976" s="156">
        <v>0.0</v>
      </c>
      <c r="IP976" s="156">
        <v>0.0</v>
      </c>
      <c r="IQ976" s="160">
        <v>0.0</v>
      </c>
      <c r="JH976" s="25"/>
      <c r="JW976" s="159">
        <v>0.0</v>
      </c>
      <c r="JX976" s="156">
        <v>0.0</v>
      </c>
      <c r="JY976" s="156">
        <v>0.0</v>
      </c>
      <c r="JZ976" s="156">
        <v>0.0</v>
      </c>
      <c r="KA976" s="156">
        <v>0.0</v>
      </c>
      <c r="KB976" s="160">
        <v>0.0</v>
      </c>
      <c r="LH976" s="159">
        <f t="shared" si="10"/>
        <v>0</v>
      </c>
      <c r="LI976" s="156">
        <f t="shared" si="11"/>
        <v>0</v>
      </c>
      <c r="LJ976" s="156">
        <f t="shared" si="12"/>
        <v>0</v>
      </c>
      <c r="LK976" s="156">
        <f t="shared" si="13"/>
        <v>0</v>
      </c>
      <c r="LL976" s="156">
        <f t="shared" si="14"/>
        <v>0</v>
      </c>
      <c r="LM976" s="160">
        <f t="shared" si="15"/>
        <v>0</v>
      </c>
      <c r="QX976" s="633"/>
    </row>
    <row r="977">
      <c r="A977" s="12"/>
      <c r="B977" s="12"/>
      <c r="C977" s="12"/>
      <c r="D977" s="12"/>
      <c r="E977" s="12"/>
      <c r="F977" s="12"/>
      <c r="G977" s="12"/>
      <c r="H977" s="12"/>
      <c r="I977" s="143">
        <f t="shared" si="22"/>
        <v>0</v>
      </c>
      <c r="J977" s="108"/>
      <c r="K977" s="203"/>
      <c r="L977" s="108"/>
      <c r="V977" s="161"/>
      <c r="X977" s="140"/>
      <c r="Y977" s="166">
        <f t="shared" si="23"/>
        <v>0</v>
      </c>
      <c r="Z977" s="26">
        <f t="shared" si="7"/>
        <v>0</v>
      </c>
      <c r="AA977" s="26">
        <f t="shared" si="8"/>
        <v>0</v>
      </c>
      <c r="AB977" s="26">
        <f t="shared" si="9"/>
        <v>0</v>
      </c>
      <c r="AC977" s="156">
        <v>0.0</v>
      </c>
      <c r="AD977" s="156">
        <v>0.0</v>
      </c>
      <c r="AE977" s="156">
        <v>0.0</v>
      </c>
      <c r="AF977" s="156">
        <v>0.0</v>
      </c>
      <c r="AG977" s="156">
        <v>0.0</v>
      </c>
      <c r="AH977" s="156">
        <v>0.0</v>
      </c>
      <c r="BN977" s="155">
        <v>0.0</v>
      </c>
      <c r="BO977" s="155">
        <v>0.0</v>
      </c>
      <c r="BP977" s="155">
        <v>0.0</v>
      </c>
      <c r="BQ977" s="155">
        <v>0.0</v>
      </c>
      <c r="BR977" s="155">
        <v>0.0</v>
      </c>
      <c r="BS977" s="155">
        <v>0.0</v>
      </c>
      <c r="CV977" s="156">
        <v>0.0</v>
      </c>
      <c r="CW977" s="156">
        <v>0.0</v>
      </c>
      <c r="CX977" s="156">
        <v>0.0</v>
      </c>
      <c r="CY977" s="156">
        <v>0.0</v>
      </c>
      <c r="CZ977" s="156">
        <v>0.0</v>
      </c>
      <c r="DA977" s="156">
        <v>0.0</v>
      </c>
      <c r="EG977" s="156">
        <v>0.0</v>
      </c>
      <c r="EH977" s="156">
        <v>0.0</v>
      </c>
      <c r="EI977" s="156">
        <v>0.0</v>
      </c>
      <c r="EJ977" s="156">
        <v>0.0</v>
      </c>
      <c r="EK977" s="156">
        <v>0.0</v>
      </c>
      <c r="EL977" s="156">
        <v>0.0</v>
      </c>
      <c r="FQ977" s="156">
        <v>0.0</v>
      </c>
      <c r="FR977" s="156">
        <v>0.0</v>
      </c>
      <c r="FS977" s="156">
        <v>0.0</v>
      </c>
      <c r="FT977" s="156">
        <v>0.0</v>
      </c>
      <c r="FU977" s="156">
        <v>0.0</v>
      </c>
      <c r="FV977" s="156">
        <v>0.0</v>
      </c>
      <c r="FW977" s="157"/>
      <c r="FX977" s="157"/>
      <c r="FY977" s="157"/>
      <c r="FZ977" s="157"/>
      <c r="GA977" s="157"/>
      <c r="GB977" s="157"/>
      <c r="GC977" s="157"/>
      <c r="GD977" s="157"/>
      <c r="GE977" s="157"/>
      <c r="GF977" s="157"/>
      <c r="GG977" s="157"/>
      <c r="GH977" s="157"/>
      <c r="GI977" s="157"/>
      <c r="GJ977" s="157"/>
      <c r="GK977" s="157"/>
      <c r="GL977" s="157"/>
      <c r="GM977" s="157"/>
      <c r="GN977" s="157"/>
      <c r="GO977" s="157"/>
      <c r="GP977" s="158"/>
      <c r="GQ977" s="157"/>
      <c r="GR977" s="157"/>
      <c r="GS977" s="157"/>
      <c r="GT977" s="157"/>
      <c r="GU977" s="157"/>
      <c r="GV977" s="157"/>
      <c r="GW977" s="157"/>
      <c r="GX977" s="157"/>
      <c r="GY977" s="157"/>
      <c r="GZ977" s="157"/>
      <c r="HA977" s="157"/>
      <c r="HB977" s="155">
        <v>0.0</v>
      </c>
      <c r="HC977" s="155">
        <v>0.0</v>
      </c>
      <c r="HD977" s="155">
        <v>0.0</v>
      </c>
      <c r="HE977" s="155">
        <v>0.0</v>
      </c>
      <c r="HF977" s="155">
        <v>0.0</v>
      </c>
      <c r="HG977" s="155">
        <v>0.0</v>
      </c>
      <c r="IL977" s="159">
        <v>0.0</v>
      </c>
      <c r="IM977" s="156">
        <v>0.0</v>
      </c>
      <c r="IN977" s="156">
        <v>0.0</v>
      </c>
      <c r="IO977" s="156">
        <v>0.0</v>
      </c>
      <c r="IP977" s="156">
        <v>0.0</v>
      </c>
      <c r="IQ977" s="160">
        <v>0.0</v>
      </c>
      <c r="JH977" s="25"/>
      <c r="JW977" s="159">
        <v>0.0</v>
      </c>
      <c r="JX977" s="156">
        <v>0.0</v>
      </c>
      <c r="JY977" s="156">
        <v>0.0</v>
      </c>
      <c r="JZ977" s="156">
        <v>0.0</v>
      </c>
      <c r="KA977" s="156">
        <v>0.0</v>
      </c>
      <c r="KB977" s="160">
        <v>0.0</v>
      </c>
      <c r="LH977" s="159">
        <f t="shared" si="10"/>
        <v>0</v>
      </c>
      <c r="LI977" s="156">
        <f t="shared" si="11"/>
        <v>0</v>
      </c>
      <c r="LJ977" s="156">
        <f t="shared" si="12"/>
        <v>0</v>
      </c>
      <c r="LK977" s="156">
        <f t="shared" si="13"/>
        <v>0</v>
      </c>
      <c r="LL977" s="156">
        <f t="shared" si="14"/>
        <v>0</v>
      </c>
      <c r="LM977" s="160">
        <f t="shared" si="15"/>
        <v>0</v>
      </c>
      <c r="QX977" s="633"/>
    </row>
    <row r="978">
      <c r="A978" s="12"/>
      <c r="B978" s="12"/>
      <c r="C978" s="12"/>
      <c r="D978" s="12"/>
      <c r="E978" s="12"/>
      <c r="F978" s="12"/>
      <c r="G978" s="12"/>
      <c r="H978" s="12"/>
      <c r="I978" s="143">
        <f t="shared" si="22"/>
        <v>0</v>
      </c>
      <c r="J978" s="108"/>
      <c r="K978" s="203"/>
      <c r="L978" s="108"/>
      <c r="V978" s="161"/>
      <c r="X978" s="140"/>
      <c r="Y978" s="166">
        <f t="shared" si="23"/>
        <v>0</v>
      </c>
      <c r="Z978" s="26">
        <f t="shared" si="7"/>
        <v>0</v>
      </c>
      <c r="AA978" s="26">
        <f t="shared" si="8"/>
        <v>0</v>
      </c>
      <c r="AB978" s="26">
        <f t="shared" si="9"/>
        <v>0</v>
      </c>
      <c r="AC978" s="156">
        <v>0.0</v>
      </c>
      <c r="AD978" s="156">
        <v>0.0</v>
      </c>
      <c r="AE978" s="156">
        <v>0.0</v>
      </c>
      <c r="AF978" s="156">
        <v>0.0</v>
      </c>
      <c r="AG978" s="156">
        <v>0.0</v>
      </c>
      <c r="AH978" s="156">
        <v>0.0</v>
      </c>
      <c r="BN978" s="155">
        <v>0.0</v>
      </c>
      <c r="BO978" s="155">
        <v>0.0</v>
      </c>
      <c r="BP978" s="155">
        <v>0.0</v>
      </c>
      <c r="BQ978" s="155">
        <v>0.0</v>
      </c>
      <c r="BR978" s="155">
        <v>0.0</v>
      </c>
      <c r="BS978" s="155">
        <v>0.0</v>
      </c>
      <c r="CV978" s="156">
        <v>0.0</v>
      </c>
      <c r="CW978" s="156">
        <v>0.0</v>
      </c>
      <c r="CX978" s="156">
        <v>0.0</v>
      </c>
      <c r="CY978" s="156">
        <v>0.0</v>
      </c>
      <c r="CZ978" s="156">
        <v>0.0</v>
      </c>
      <c r="DA978" s="156">
        <v>0.0</v>
      </c>
      <c r="EG978" s="156">
        <v>0.0</v>
      </c>
      <c r="EH978" s="156">
        <v>0.0</v>
      </c>
      <c r="EI978" s="156">
        <v>0.0</v>
      </c>
      <c r="EJ978" s="156">
        <v>0.0</v>
      </c>
      <c r="EK978" s="156">
        <v>0.0</v>
      </c>
      <c r="EL978" s="156">
        <v>0.0</v>
      </c>
      <c r="FQ978" s="156">
        <v>0.0</v>
      </c>
      <c r="FR978" s="156">
        <v>0.0</v>
      </c>
      <c r="FS978" s="156">
        <v>0.0</v>
      </c>
      <c r="FT978" s="156">
        <v>0.0</v>
      </c>
      <c r="FU978" s="156">
        <v>0.0</v>
      </c>
      <c r="FV978" s="156">
        <v>0.0</v>
      </c>
      <c r="FW978" s="157"/>
      <c r="FX978" s="157"/>
      <c r="FY978" s="157"/>
      <c r="FZ978" s="157"/>
      <c r="GA978" s="157"/>
      <c r="GB978" s="157"/>
      <c r="GC978" s="157"/>
      <c r="GD978" s="157"/>
      <c r="GE978" s="157"/>
      <c r="GF978" s="157"/>
      <c r="GG978" s="157"/>
      <c r="GH978" s="157"/>
      <c r="GI978" s="157"/>
      <c r="GJ978" s="157"/>
      <c r="GK978" s="157"/>
      <c r="GL978" s="157"/>
      <c r="GM978" s="157"/>
      <c r="GN978" s="157"/>
      <c r="GO978" s="157"/>
      <c r="GP978" s="158"/>
      <c r="GQ978" s="157"/>
      <c r="GR978" s="157"/>
      <c r="GS978" s="157"/>
      <c r="GT978" s="157"/>
      <c r="GU978" s="157"/>
      <c r="GV978" s="157"/>
      <c r="GW978" s="157"/>
      <c r="GX978" s="157"/>
      <c r="GY978" s="157"/>
      <c r="GZ978" s="157"/>
      <c r="HA978" s="157"/>
      <c r="HB978" s="155">
        <v>0.0</v>
      </c>
      <c r="HC978" s="155">
        <v>0.0</v>
      </c>
      <c r="HD978" s="155">
        <v>0.0</v>
      </c>
      <c r="HE978" s="155">
        <v>0.0</v>
      </c>
      <c r="HF978" s="155">
        <v>0.0</v>
      </c>
      <c r="HG978" s="155">
        <v>0.0</v>
      </c>
      <c r="IL978" s="159">
        <v>0.0</v>
      </c>
      <c r="IM978" s="156">
        <v>0.0</v>
      </c>
      <c r="IN978" s="156">
        <v>0.0</v>
      </c>
      <c r="IO978" s="156">
        <v>0.0</v>
      </c>
      <c r="IP978" s="156">
        <v>0.0</v>
      </c>
      <c r="IQ978" s="160">
        <v>0.0</v>
      </c>
      <c r="JH978" s="25"/>
      <c r="JW978" s="159">
        <v>0.0</v>
      </c>
      <c r="JX978" s="156">
        <v>0.0</v>
      </c>
      <c r="JY978" s="156">
        <v>0.0</v>
      </c>
      <c r="JZ978" s="156">
        <v>0.0</v>
      </c>
      <c r="KA978" s="156">
        <v>0.0</v>
      </c>
      <c r="KB978" s="160">
        <v>0.0</v>
      </c>
      <c r="LH978" s="159">
        <f t="shared" si="10"/>
        <v>0</v>
      </c>
      <c r="LI978" s="156">
        <f t="shared" si="11"/>
        <v>0</v>
      </c>
      <c r="LJ978" s="156">
        <f t="shared" si="12"/>
        <v>0</v>
      </c>
      <c r="LK978" s="156">
        <f t="shared" si="13"/>
        <v>0</v>
      </c>
      <c r="LL978" s="156">
        <f t="shared" si="14"/>
        <v>0</v>
      </c>
      <c r="LM978" s="160">
        <f t="shared" si="15"/>
        <v>0</v>
      </c>
      <c r="QX978" s="633"/>
    </row>
    <row r="979">
      <c r="A979" s="12"/>
      <c r="B979" s="12"/>
      <c r="C979" s="12"/>
      <c r="D979" s="12"/>
      <c r="E979" s="12"/>
      <c r="F979" s="12"/>
      <c r="G979" s="12"/>
      <c r="H979" s="12"/>
      <c r="I979" s="143">
        <f t="shared" si="22"/>
        <v>0</v>
      </c>
      <c r="J979" s="108"/>
      <c r="K979" s="203"/>
      <c r="L979" s="108"/>
      <c r="V979" s="161"/>
      <c r="X979" s="140"/>
      <c r="Y979" s="166">
        <f t="shared" si="23"/>
        <v>0</v>
      </c>
      <c r="Z979" s="26">
        <f t="shared" si="7"/>
        <v>0</v>
      </c>
      <c r="AA979" s="26">
        <f t="shared" si="8"/>
        <v>0</v>
      </c>
      <c r="AB979" s="26">
        <f t="shared" si="9"/>
        <v>0</v>
      </c>
      <c r="AC979" s="156">
        <v>0.0</v>
      </c>
      <c r="AD979" s="156">
        <v>0.0</v>
      </c>
      <c r="AE979" s="156">
        <v>0.0</v>
      </c>
      <c r="AF979" s="156">
        <v>0.0</v>
      </c>
      <c r="AG979" s="156">
        <v>0.0</v>
      </c>
      <c r="AH979" s="156">
        <v>0.0</v>
      </c>
      <c r="BN979" s="155">
        <v>0.0</v>
      </c>
      <c r="BO979" s="155">
        <v>0.0</v>
      </c>
      <c r="BP979" s="155">
        <v>0.0</v>
      </c>
      <c r="BQ979" s="155">
        <v>0.0</v>
      </c>
      <c r="BR979" s="155">
        <v>0.0</v>
      </c>
      <c r="BS979" s="155">
        <v>0.0</v>
      </c>
      <c r="CV979" s="156">
        <v>0.0</v>
      </c>
      <c r="CW979" s="156">
        <v>0.0</v>
      </c>
      <c r="CX979" s="156">
        <v>0.0</v>
      </c>
      <c r="CY979" s="156">
        <v>0.0</v>
      </c>
      <c r="CZ979" s="156">
        <v>0.0</v>
      </c>
      <c r="DA979" s="156">
        <v>0.0</v>
      </c>
      <c r="EG979" s="156">
        <v>0.0</v>
      </c>
      <c r="EH979" s="156">
        <v>0.0</v>
      </c>
      <c r="EI979" s="156">
        <v>0.0</v>
      </c>
      <c r="EJ979" s="156">
        <v>0.0</v>
      </c>
      <c r="EK979" s="156">
        <v>0.0</v>
      </c>
      <c r="EL979" s="156">
        <v>0.0</v>
      </c>
      <c r="FQ979" s="156">
        <v>0.0</v>
      </c>
      <c r="FR979" s="156">
        <v>0.0</v>
      </c>
      <c r="FS979" s="156">
        <v>0.0</v>
      </c>
      <c r="FT979" s="156">
        <v>0.0</v>
      </c>
      <c r="FU979" s="156">
        <v>0.0</v>
      </c>
      <c r="FV979" s="156">
        <v>0.0</v>
      </c>
      <c r="FW979" s="157"/>
      <c r="FX979" s="157"/>
      <c r="FY979" s="157"/>
      <c r="FZ979" s="157"/>
      <c r="GA979" s="157"/>
      <c r="GB979" s="157"/>
      <c r="GC979" s="157"/>
      <c r="GD979" s="157"/>
      <c r="GE979" s="157"/>
      <c r="GF979" s="157"/>
      <c r="GG979" s="157"/>
      <c r="GH979" s="157"/>
      <c r="GI979" s="157"/>
      <c r="GJ979" s="157"/>
      <c r="GK979" s="157"/>
      <c r="GL979" s="157"/>
      <c r="GM979" s="157"/>
      <c r="GN979" s="157"/>
      <c r="GO979" s="157"/>
      <c r="GP979" s="158"/>
      <c r="GQ979" s="157"/>
      <c r="GR979" s="157"/>
      <c r="GS979" s="157"/>
      <c r="GT979" s="157"/>
      <c r="GU979" s="157"/>
      <c r="GV979" s="157"/>
      <c r="GW979" s="157"/>
      <c r="GX979" s="157"/>
      <c r="GY979" s="157"/>
      <c r="GZ979" s="157"/>
      <c r="HA979" s="157"/>
      <c r="HB979" s="155">
        <v>0.0</v>
      </c>
      <c r="HC979" s="155">
        <v>0.0</v>
      </c>
      <c r="HD979" s="155">
        <v>0.0</v>
      </c>
      <c r="HE979" s="155">
        <v>0.0</v>
      </c>
      <c r="HF979" s="155">
        <v>0.0</v>
      </c>
      <c r="HG979" s="155">
        <v>0.0</v>
      </c>
      <c r="IL979" s="159">
        <v>0.0</v>
      </c>
      <c r="IM979" s="156">
        <v>0.0</v>
      </c>
      <c r="IN979" s="156">
        <v>0.0</v>
      </c>
      <c r="IO979" s="156">
        <v>0.0</v>
      </c>
      <c r="IP979" s="156">
        <v>0.0</v>
      </c>
      <c r="IQ979" s="160">
        <v>0.0</v>
      </c>
      <c r="JH979" s="25"/>
      <c r="JW979" s="159">
        <v>0.0</v>
      </c>
      <c r="JX979" s="156">
        <v>0.0</v>
      </c>
      <c r="JY979" s="156">
        <v>0.0</v>
      </c>
      <c r="JZ979" s="156">
        <v>0.0</v>
      </c>
      <c r="KA979" s="156">
        <v>0.0</v>
      </c>
      <c r="KB979" s="160">
        <v>0.0</v>
      </c>
      <c r="LH979" s="159">
        <f t="shared" si="10"/>
        <v>0</v>
      </c>
      <c r="LI979" s="156">
        <f t="shared" si="11"/>
        <v>0</v>
      </c>
      <c r="LJ979" s="156">
        <f t="shared" si="12"/>
        <v>0</v>
      </c>
      <c r="LK979" s="156">
        <f t="shared" si="13"/>
        <v>0</v>
      </c>
      <c r="LL979" s="156">
        <f t="shared" si="14"/>
        <v>0</v>
      </c>
      <c r="LM979" s="160">
        <f t="shared" si="15"/>
        <v>0</v>
      </c>
      <c r="QX979" s="633"/>
    </row>
    <row r="980">
      <c r="A980" s="12"/>
      <c r="B980" s="12"/>
      <c r="C980" s="12"/>
      <c r="D980" s="12"/>
      <c r="E980" s="12"/>
      <c r="F980" s="12"/>
      <c r="G980" s="12"/>
      <c r="H980" s="12"/>
      <c r="I980" s="143">
        <f t="shared" si="22"/>
        <v>0</v>
      </c>
      <c r="J980" s="108"/>
      <c r="K980" s="203"/>
      <c r="L980" s="108"/>
      <c r="V980" s="161"/>
      <c r="X980" s="140"/>
      <c r="Y980" s="166">
        <f t="shared" si="23"/>
        <v>0</v>
      </c>
      <c r="Z980" s="26">
        <f t="shared" si="7"/>
        <v>0</v>
      </c>
      <c r="AA980" s="26">
        <f t="shared" si="8"/>
        <v>0</v>
      </c>
      <c r="AB980" s="26">
        <f t="shared" si="9"/>
        <v>0</v>
      </c>
      <c r="AC980" s="156">
        <v>0.0</v>
      </c>
      <c r="AD980" s="156">
        <v>0.0</v>
      </c>
      <c r="AE980" s="156">
        <v>0.0</v>
      </c>
      <c r="AF980" s="156">
        <v>0.0</v>
      </c>
      <c r="AG980" s="156">
        <v>0.0</v>
      </c>
      <c r="AH980" s="156">
        <v>0.0</v>
      </c>
      <c r="BN980" s="155">
        <v>0.0</v>
      </c>
      <c r="BO980" s="155">
        <v>0.0</v>
      </c>
      <c r="BP980" s="155">
        <v>0.0</v>
      </c>
      <c r="BQ980" s="155">
        <v>0.0</v>
      </c>
      <c r="BR980" s="155">
        <v>0.0</v>
      </c>
      <c r="BS980" s="155">
        <v>0.0</v>
      </c>
      <c r="CV980" s="156">
        <v>0.0</v>
      </c>
      <c r="CW980" s="156">
        <v>0.0</v>
      </c>
      <c r="CX980" s="156">
        <v>0.0</v>
      </c>
      <c r="CY980" s="156">
        <v>0.0</v>
      </c>
      <c r="CZ980" s="156">
        <v>0.0</v>
      </c>
      <c r="DA980" s="156">
        <v>0.0</v>
      </c>
      <c r="EG980" s="156">
        <v>0.0</v>
      </c>
      <c r="EH980" s="156">
        <v>0.0</v>
      </c>
      <c r="EI980" s="156">
        <v>0.0</v>
      </c>
      <c r="EJ980" s="156">
        <v>0.0</v>
      </c>
      <c r="EK980" s="156">
        <v>0.0</v>
      </c>
      <c r="EL980" s="156">
        <v>0.0</v>
      </c>
      <c r="FQ980" s="156">
        <v>0.0</v>
      </c>
      <c r="FR980" s="156">
        <v>0.0</v>
      </c>
      <c r="FS980" s="156">
        <v>0.0</v>
      </c>
      <c r="FT980" s="156">
        <v>0.0</v>
      </c>
      <c r="FU980" s="156">
        <v>0.0</v>
      </c>
      <c r="FV980" s="156">
        <v>0.0</v>
      </c>
      <c r="FW980" s="157"/>
      <c r="FX980" s="157"/>
      <c r="FY980" s="157"/>
      <c r="FZ980" s="157"/>
      <c r="GA980" s="157"/>
      <c r="GB980" s="157"/>
      <c r="GC980" s="157"/>
      <c r="GD980" s="157"/>
      <c r="GE980" s="157"/>
      <c r="GF980" s="157"/>
      <c r="GG980" s="157"/>
      <c r="GH980" s="157"/>
      <c r="GI980" s="157"/>
      <c r="GJ980" s="157"/>
      <c r="GK980" s="157"/>
      <c r="GL980" s="157"/>
      <c r="GM980" s="157"/>
      <c r="GN980" s="157"/>
      <c r="GO980" s="157"/>
      <c r="GP980" s="158"/>
      <c r="GQ980" s="157"/>
      <c r="GR980" s="157"/>
      <c r="GS980" s="157"/>
      <c r="GT980" s="157"/>
      <c r="GU980" s="157"/>
      <c r="GV980" s="157"/>
      <c r="GW980" s="157"/>
      <c r="GX980" s="157"/>
      <c r="GY980" s="157"/>
      <c r="GZ980" s="157"/>
      <c r="HA980" s="157"/>
      <c r="HB980" s="155">
        <v>0.0</v>
      </c>
      <c r="HC980" s="155">
        <v>0.0</v>
      </c>
      <c r="HD980" s="155">
        <v>0.0</v>
      </c>
      <c r="HE980" s="155">
        <v>0.0</v>
      </c>
      <c r="HF980" s="155">
        <v>0.0</v>
      </c>
      <c r="HG980" s="155">
        <v>0.0</v>
      </c>
      <c r="IL980" s="159">
        <v>0.0</v>
      </c>
      <c r="IM980" s="156">
        <v>0.0</v>
      </c>
      <c r="IN980" s="156">
        <v>0.0</v>
      </c>
      <c r="IO980" s="156">
        <v>0.0</v>
      </c>
      <c r="IP980" s="156">
        <v>0.0</v>
      </c>
      <c r="IQ980" s="160">
        <v>0.0</v>
      </c>
      <c r="JH980" s="25"/>
      <c r="JW980" s="159">
        <v>0.0</v>
      </c>
      <c r="JX980" s="156">
        <v>0.0</v>
      </c>
      <c r="JY980" s="156">
        <v>0.0</v>
      </c>
      <c r="JZ980" s="156">
        <v>0.0</v>
      </c>
      <c r="KA980" s="156">
        <v>0.0</v>
      </c>
      <c r="KB980" s="160">
        <v>0.0</v>
      </c>
      <c r="LH980" s="159">
        <f t="shared" si="10"/>
        <v>0</v>
      </c>
      <c r="LI980" s="156">
        <f t="shared" si="11"/>
        <v>0</v>
      </c>
      <c r="LJ980" s="156">
        <f t="shared" si="12"/>
        <v>0</v>
      </c>
      <c r="LK980" s="156">
        <f t="shared" si="13"/>
        <v>0</v>
      </c>
      <c r="LL980" s="156">
        <f t="shared" si="14"/>
        <v>0</v>
      </c>
      <c r="LM980" s="160">
        <f t="shared" si="15"/>
        <v>0</v>
      </c>
      <c r="QX980" s="633"/>
    </row>
    <row r="981">
      <c r="A981" s="12"/>
      <c r="B981" s="12"/>
      <c r="C981" s="12"/>
      <c r="D981" s="12"/>
      <c r="E981" s="12"/>
      <c r="F981" s="12"/>
      <c r="G981" s="12"/>
      <c r="H981" s="12"/>
      <c r="I981" s="143">
        <f t="shared" si="22"/>
        <v>0</v>
      </c>
      <c r="J981" s="108"/>
      <c r="K981" s="203"/>
      <c r="L981" s="108"/>
      <c r="V981" s="161"/>
      <c r="X981" s="140"/>
      <c r="Y981" s="166">
        <f t="shared" si="23"/>
        <v>0</v>
      </c>
      <c r="Z981" s="26">
        <f t="shared" si="7"/>
        <v>0</v>
      </c>
      <c r="AA981" s="26">
        <f t="shared" si="8"/>
        <v>0</v>
      </c>
      <c r="AB981" s="26">
        <f t="shared" si="9"/>
        <v>0</v>
      </c>
      <c r="AC981" s="156">
        <v>0.0</v>
      </c>
      <c r="AD981" s="156">
        <v>0.0</v>
      </c>
      <c r="AE981" s="156">
        <v>0.0</v>
      </c>
      <c r="AF981" s="156">
        <v>0.0</v>
      </c>
      <c r="AG981" s="156">
        <v>0.0</v>
      </c>
      <c r="AH981" s="156">
        <v>0.0</v>
      </c>
      <c r="BN981" s="155">
        <v>0.0</v>
      </c>
      <c r="BO981" s="155">
        <v>0.0</v>
      </c>
      <c r="BP981" s="155">
        <v>0.0</v>
      </c>
      <c r="BQ981" s="155">
        <v>0.0</v>
      </c>
      <c r="BR981" s="155">
        <v>0.0</v>
      </c>
      <c r="BS981" s="155">
        <v>0.0</v>
      </c>
      <c r="CV981" s="156">
        <v>0.0</v>
      </c>
      <c r="CW981" s="156">
        <v>0.0</v>
      </c>
      <c r="CX981" s="156">
        <v>0.0</v>
      </c>
      <c r="CY981" s="156">
        <v>0.0</v>
      </c>
      <c r="CZ981" s="156">
        <v>0.0</v>
      </c>
      <c r="DA981" s="156">
        <v>0.0</v>
      </c>
      <c r="EG981" s="156">
        <v>0.0</v>
      </c>
      <c r="EH981" s="156">
        <v>0.0</v>
      </c>
      <c r="EI981" s="156">
        <v>0.0</v>
      </c>
      <c r="EJ981" s="156">
        <v>0.0</v>
      </c>
      <c r="EK981" s="156">
        <v>0.0</v>
      </c>
      <c r="EL981" s="156">
        <v>0.0</v>
      </c>
      <c r="FQ981" s="156">
        <v>0.0</v>
      </c>
      <c r="FR981" s="156">
        <v>0.0</v>
      </c>
      <c r="FS981" s="156">
        <v>0.0</v>
      </c>
      <c r="FT981" s="156">
        <v>0.0</v>
      </c>
      <c r="FU981" s="156">
        <v>0.0</v>
      </c>
      <c r="FV981" s="156">
        <v>0.0</v>
      </c>
      <c r="FW981" s="157"/>
      <c r="FX981" s="157"/>
      <c r="FY981" s="157"/>
      <c r="FZ981" s="157"/>
      <c r="GA981" s="157"/>
      <c r="GB981" s="157"/>
      <c r="GC981" s="157"/>
      <c r="GD981" s="157"/>
      <c r="GE981" s="157"/>
      <c r="GF981" s="157"/>
      <c r="GG981" s="157"/>
      <c r="GH981" s="157"/>
      <c r="GI981" s="157"/>
      <c r="GJ981" s="157"/>
      <c r="GK981" s="157"/>
      <c r="GL981" s="157"/>
      <c r="GM981" s="157"/>
      <c r="GN981" s="157"/>
      <c r="GO981" s="157"/>
      <c r="GP981" s="158"/>
      <c r="GQ981" s="157"/>
      <c r="GR981" s="157"/>
      <c r="GS981" s="157"/>
      <c r="GT981" s="157"/>
      <c r="GU981" s="157"/>
      <c r="GV981" s="157"/>
      <c r="GW981" s="157"/>
      <c r="GX981" s="157"/>
      <c r="GY981" s="157"/>
      <c r="GZ981" s="157"/>
      <c r="HA981" s="157"/>
      <c r="HB981" s="155">
        <v>0.0</v>
      </c>
      <c r="HC981" s="155">
        <v>0.0</v>
      </c>
      <c r="HD981" s="155">
        <v>0.0</v>
      </c>
      <c r="HE981" s="155">
        <v>0.0</v>
      </c>
      <c r="HF981" s="155">
        <v>0.0</v>
      </c>
      <c r="HG981" s="155">
        <v>0.0</v>
      </c>
      <c r="IL981" s="159">
        <v>0.0</v>
      </c>
      <c r="IM981" s="156">
        <v>0.0</v>
      </c>
      <c r="IN981" s="156">
        <v>0.0</v>
      </c>
      <c r="IO981" s="156">
        <v>0.0</v>
      </c>
      <c r="IP981" s="156">
        <v>0.0</v>
      </c>
      <c r="IQ981" s="160">
        <v>0.0</v>
      </c>
      <c r="JH981" s="25"/>
      <c r="JW981" s="159">
        <v>0.0</v>
      </c>
      <c r="JX981" s="156">
        <v>0.0</v>
      </c>
      <c r="JY981" s="156">
        <v>0.0</v>
      </c>
      <c r="JZ981" s="156">
        <v>0.0</v>
      </c>
      <c r="KA981" s="156">
        <v>0.0</v>
      </c>
      <c r="KB981" s="160">
        <v>0.0</v>
      </c>
      <c r="LH981" s="159">
        <f t="shared" si="10"/>
        <v>0</v>
      </c>
      <c r="LI981" s="156">
        <f t="shared" si="11"/>
        <v>0</v>
      </c>
      <c r="LJ981" s="156">
        <f t="shared" si="12"/>
        <v>0</v>
      </c>
      <c r="LK981" s="156">
        <f t="shared" si="13"/>
        <v>0</v>
      </c>
      <c r="LL981" s="156">
        <f t="shared" si="14"/>
        <v>0</v>
      </c>
      <c r="LM981" s="160">
        <f t="shared" si="15"/>
        <v>0</v>
      </c>
      <c r="QX981" s="633"/>
    </row>
    <row r="982">
      <c r="A982" s="12"/>
      <c r="B982" s="12"/>
      <c r="C982" s="12"/>
      <c r="D982" s="12"/>
      <c r="E982" s="12"/>
      <c r="F982" s="12"/>
      <c r="G982" s="12"/>
      <c r="H982" s="12"/>
      <c r="I982" s="143">
        <f t="shared" si="22"/>
        <v>0</v>
      </c>
      <c r="J982" s="108"/>
      <c r="K982" s="203"/>
      <c r="L982" s="108"/>
      <c r="V982" s="161"/>
      <c r="X982" s="140"/>
      <c r="Y982" s="166">
        <f t="shared" si="23"/>
        <v>0</v>
      </c>
      <c r="Z982" s="26">
        <f t="shared" si="7"/>
        <v>0</v>
      </c>
      <c r="AA982" s="26">
        <f t="shared" si="8"/>
        <v>0</v>
      </c>
      <c r="AB982" s="26">
        <f t="shared" si="9"/>
        <v>0</v>
      </c>
      <c r="AC982" s="156">
        <v>0.0</v>
      </c>
      <c r="AD982" s="156">
        <v>0.0</v>
      </c>
      <c r="AE982" s="156">
        <v>0.0</v>
      </c>
      <c r="AF982" s="156">
        <v>0.0</v>
      </c>
      <c r="AG982" s="156">
        <v>0.0</v>
      </c>
      <c r="AH982" s="156">
        <v>0.0</v>
      </c>
      <c r="BN982" s="155">
        <v>0.0</v>
      </c>
      <c r="BO982" s="155">
        <v>0.0</v>
      </c>
      <c r="BP982" s="155">
        <v>0.0</v>
      </c>
      <c r="BQ982" s="155">
        <v>0.0</v>
      </c>
      <c r="BR982" s="155">
        <v>0.0</v>
      </c>
      <c r="BS982" s="155">
        <v>0.0</v>
      </c>
      <c r="CV982" s="156">
        <v>0.0</v>
      </c>
      <c r="CW982" s="156">
        <v>0.0</v>
      </c>
      <c r="CX982" s="156">
        <v>0.0</v>
      </c>
      <c r="CY982" s="156">
        <v>0.0</v>
      </c>
      <c r="CZ982" s="156">
        <v>0.0</v>
      </c>
      <c r="DA982" s="156">
        <v>0.0</v>
      </c>
      <c r="EG982" s="156">
        <v>0.0</v>
      </c>
      <c r="EH982" s="156">
        <v>0.0</v>
      </c>
      <c r="EI982" s="156">
        <v>0.0</v>
      </c>
      <c r="EJ982" s="156">
        <v>0.0</v>
      </c>
      <c r="EK982" s="156">
        <v>0.0</v>
      </c>
      <c r="EL982" s="156">
        <v>0.0</v>
      </c>
      <c r="FQ982" s="156">
        <v>0.0</v>
      </c>
      <c r="FR982" s="156">
        <v>0.0</v>
      </c>
      <c r="FS982" s="156">
        <v>0.0</v>
      </c>
      <c r="FT982" s="156">
        <v>0.0</v>
      </c>
      <c r="FU982" s="156">
        <v>0.0</v>
      </c>
      <c r="FV982" s="156">
        <v>0.0</v>
      </c>
      <c r="FW982" s="157"/>
      <c r="FX982" s="157"/>
      <c r="FY982" s="157"/>
      <c r="FZ982" s="157"/>
      <c r="GA982" s="157"/>
      <c r="GB982" s="157"/>
      <c r="GC982" s="157"/>
      <c r="GD982" s="157"/>
      <c r="GE982" s="157"/>
      <c r="GF982" s="157"/>
      <c r="GG982" s="157"/>
      <c r="GH982" s="157"/>
      <c r="GI982" s="157"/>
      <c r="GJ982" s="157"/>
      <c r="GK982" s="157"/>
      <c r="GL982" s="157"/>
      <c r="GM982" s="157"/>
      <c r="GN982" s="157"/>
      <c r="GO982" s="157"/>
      <c r="GP982" s="158"/>
      <c r="GQ982" s="157"/>
      <c r="GR982" s="157"/>
      <c r="GS982" s="157"/>
      <c r="GT982" s="157"/>
      <c r="GU982" s="157"/>
      <c r="GV982" s="157"/>
      <c r="GW982" s="157"/>
      <c r="GX982" s="157"/>
      <c r="GY982" s="157"/>
      <c r="GZ982" s="157"/>
      <c r="HA982" s="157"/>
      <c r="HB982" s="155">
        <v>0.0</v>
      </c>
      <c r="HC982" s="155">
        <v>0.0</v>
      </c>
      <c r="HD982" s="155">
        <v>0.0</v>
      </c>
      <c r="HE982" s="155">
        <v>0.0</v>
      </c>
      <c r="HF982" s="155">
        <v>0.0</v>
      </c>
      <c r="HG982" s="155">
        <v>0.0</v>
      </c>
      <c r="IL982" s="159">
        <v>0.0</v>
      </c>
      <c r="IM982" s="156">
        <v>0.0</v>
      </c>
      <c r="IN982" s="156">
        <v>0.0</v>
      </c>
      <c r="IO982" s="156">
        <v>0.0</v>
      </c>
      <c r="IP982" s="156">
        <v>0.0</v>
      </c>
      <c r="IQ982" s="160">
        <v>0.0</v>
      </c>
      <c r="JH982" s="25"/>
      <c r="JW982" s="159">
        <v>0.0</v>
      </c>
      <c r="JX982" s="156">
        <v>0.0</v>
      </c>
      <c r="JY982" s="156">
        <v>0.0</v>
      </c>
      <c r="JZ982" s="156">
        <v>0.0</v>
      </c>
      <c r="KA982" s="156">
        <v>0.0</v>
      </c>
      <c r="KB982" s="160">
        <v>0.0</v>
      </c>
      <c r="LH982" s="159">
        <f t="shared" si="10"/>
        <v>0</v>
      </c>
      <c r="LI982" s="156">
        <f t="shared" si="11"/>
        <v>0</v>
      </c>
      <c r="LJ982" s="156">
        <f t="shared" si="12"/>
        <v>0</v>
      </c>
      <c r="LK982" s="156">
        <f t="shared" si="13"/>
        <v>0</v>
      </c>
      <c r="LL982" s="156">
        <f t="shared" si="14"/>
        <v>0</v>
      </c>
      <c r="LM982" s="160">
        <f t="shared" si="15"/>
        <v>0</v>
      </c>
      <c r="QX982" s="633"/>
    </row>
    <row r="983">
      <c r="A983" s="12"/>
      <c r="B983" s="12"/>
      <c r="C983" s="12"/>
      <c r="D983" s="12"/>
      <c r="E983" s="12"/>
      <c r="F983" s="12"/>
      <c r="G983" s="12"/>
      <c r="H983" s="12"/>
      <c r="I983" s="143">
        <f t="shared" si="22"/>
        <v>0</v>
      </c>
      <c r="J983" s="108"/>
      <c r="K983" s="203"/>
      <c r="L983" s="108"/>
      <c r="V983" s="161"/>
      <c r="X983" s="140"/>
      <c r="Y983" s="166">
        <f t="shared" si="23"/>
        <v>0</v>
      </c>
      <c r="Z983" s="26">
        <f t="shared" si="7"/>
        <v>0</v>
      </c>
      <c r="AA983" s="26">
        <f t="shared" si="8"/>
        <v>0</v>
      </c>
      <c r="AB983" s="26">
        <f t="shared" si="9"/>
        <v>0</v>
      </c>
      <c r="AC983" s="156">
        <v>0.0</v>
      </c>
      <c r="AD983" s="156">
        <v>0.0</v>
      </c>
      <c r="AE983" s="156">
        <v>0.0</v>
      </c>
      <c r="AF983" s="156">
        <v>0.0</v>
      </c>
      <c r="AG983" s="156">
        <v>0.0</v>
      </c>
      <c r="AH983" s="156">
        <v>0.0</v>
      </c>
      <c r="BN983" s="155">
        <v>0.0</v>
      </c>
      <c r="BO983" s="155">
        <v>0.0</v>
      </c>
      <c r="BP983" s="155">
        <v>0.0</v>
      </c>
      <c r="BQ983" s="155">
        <v>0.0</v>
      </c>
      <c r="BR983" s="155">
        <v>0.0</v>
      </c>
      <c r="BS983" s="155">
        <v>0.0</v>
      </c>
      <c r="CV983" s="156">
        <v>0.0</v>
      </c>
      <c r="CW983" s="156">
        <v>0.0</v>
      </c>
      <c r="CX983" s="156">
        <v>0.0</v>
      </c>
      <c r="CY983" s="156">
        <v>0.0</v>
      </c>
      <c r="CZ983" s="156">
        <v>0.0</v>
      </c>
      <c r="DA983" s="156">
        <v>0.0</v>
      </c>
      <c r="EG983" s="156">
        <v>0.0</v>
      </c>
      <c r="EH983" s="156">
        <v>0.0</v>
      </c>
      <c r="EI983" s="156">
        <v>0.0</v>
      </c>
      <c r="EJ983" s="156">
        <v>0.0</v>
      </c>
      <c r="EK983" s="156">
        <v>0.0</v>
      </c>
      <c r="EL983" s="156">
        <v>0.0</v>
      </c>
      <c r="FQ983" s="156">
        <v>0.0</v>
      </c>
      <c r="FR983" s="156">
        <v>0.0</v>
      </c>
      <c r="FS983" s="156">
        <v>0.0</v>
      </c>
      <c r="FT983" s="156">
        <v>0.0</v>
      </c>
      <c r="FU983" s="156">
        <v>0.0</v>
      </c>
      <c r="FV983" s="156">
        <v>0.0</v>
      </c>
      <c r="FW983" s="157"/>
      <c r="FX983" s="157"/>
      <c r="FY983" s="157"/>
      <c r="FZ983" s="157"/>
      <c r="GA983" s="157"/>
      <c r="GB983" s="157"/>
      <c r="GC983" s="157"/>
      <c r="GD983" s="157"/>
      <c r="GE983" s="157"/>
      <c r="GF983" s="157"/>
      <c r="GG983" s="157"/>
      <c r="GH983" s="157"/>
      <c r="GI983" s="157"/>
      <c r="GJ983" s="157"/>
      <c r="GK983" s="157"/>
      <c r="GL983" s="157"/>
      <c r="GM983" s="157"/>
      <c r="GN983" s="157"/>
      <c r="GO983" s="157"/>
      <c r="GP983" s="158"/>
      <c r="GQ983" s="157"/>
      <c r="GR983" s="157"/>
      <c r="GS983" s="157"/>
      <c r="GT983" s="157"/>
      <c r="GU983" s="157"/>
      <c r="GV983" s="157"/>
      <c r="GW983" s="157"/>
      <c r="GX983" s="157"/>
      <c r="GY983" s="157"/>
      <c r="GZ983" s="157"/>
      <c r="HA983" s="157"/>
      <c r="HB983" s="155">
        <v>0.0</v>
      </c>
      <c r="HC983" s="155">
        <v>0.0</v>
      </c>
      <c r="HD983" s="155">
        <v>0.0</v>
      </c>
      <c r="HE983" s="155">
        <v>0.0</v>
      </c>
      <c r="HF983" s="155">
        <v>0.0</v>
      </c>
      <c r="HG983" s="155">
        <v>0.0</v>
      </c>
      <c r="IL983" s="159">
        <v>0.0</v>
      </c>
      <c r="IM983" s="156">
        <v>0.0</v>
      </c>
      <c r="IN983" s="156">
        <v>0.0</v>
      </c>
      <c r="IO983" s="156">
        <v>0.0</v>
      </c>
      <c r="IP983" s="156">
        <v>0.0</v>
      </c>
      <c r="IQ983" s="160">
        <v>0.0</v>
      </c>
      <c r="JH983" s="25"/>
      <c r="JW983" s="159">
        <v>0.0</v>
      </c>
      <c r="JX983" s="156">
        <v>0.0</v>
      </c>
      <c r="JY983" s="156">
        <v>0.0</v>
      </c>
      <c r="JZ983" s="156">
        <v>0.0</v>
      </c>
      <c r="KA983" s="156">
        <v>0.0</v>
      </c>
      <c r="KB983" s="160">
        <v>0.0</v>
      </c>
      <c r="LH983" s="159">
        <f t="shared" si="10"/>
        <v>0</v>
      </c>
      <c r="LI983" s="156">
        <f t="shared" si="11"/>
        <v>0</v>
      </c>
      <c r="LJ983" s="156">
        <f t="shared" si="12"/>
        <v>0</v>
      </c>
      <c r="LK983" s="156">
        <f t="shared" si="13"/>
        <v>0</v>
      </c>
      <c r="LL983" s="156">
        <f t="shared" si="14"/>
        <v>0</v>
      </c>
      <c r="LM983" s="160">
        <f t="shared" si="15"/>
        <v>0</v>
      </c>
      <c r="QX983" s="633"/>
    </row>
    <row r="984">
      <c r="A984" s="12"/>
      <c r="B984" s="12"/>
      <c r="C984" s="12"/>
      <c r="D984" s="12"/>
      <c r="E984" s="12"/>
      <c r="F984" s="12"/>
      <c r="G984" s="12"/>
      <c r="H984" s="12"/>
      <c r="I984" s="143">
        <f t="shared" si="22"/>
        <v>0</v>
      </c>
      <c r="J984" s="108"/>
      <c r="K984" s="203"/>
      <c r="L984" s="108"/>
      <c r="V984" s="161"/>
      <c r="X984" s="140"/>
      <c r="Y984" s="166">
        <f t="shared" si="23"/>
        <v>0</v>
      </c>
      <c r="Z984" s="26">
        <f t="shared" si="7"/>
        <v>0</v>
      </c>
      <c r="AA984" s="26">
        <f t="shared" si="8"/>
        <v>0</v>
      </c>
      <c r="AB984" s="26">
        <f t="shared" si="9"/>
        <v>0</v>
      </c>
      <c r="AC984" s="156">
        <v>0.0</v>
      </c>
      <c r="AD984" s="156">
        <v>0.0</v>
      </c>
      <c r="AE984" s="156">
        <v>0.0</v>
      </c>
      <c r="AF984" s="156">
        <v>0.0</v>
      </c>
      <c r="AG984" s="156">
        <v>0.0</v>
      </c>
      <c r="AH984" s="156">
        <v>0.0</v>
      </c>
      <c r="BN984" s="155">
        <v>0.0</v>
      </c>
      <c r="BO984" s="155">
        <v>0.0</v>
      </c>
      <c r="BP984" s="155">
        <v>0.0</v>
      </c>
      <c r="BQ984" s="155">
        <v>0.0</v>
      </c>
      <c r="BR984" s="155">
        <v>0.0</v>
      </c>
      <c r="BS984" s="155">
        <v>0.0</v>
      </c>
      <c r="CV984" s="156">
        <v>0.0</v>
      </c>
      <c r="CW984" s="156">
        <v>0.0</v>
      </c>
      <c r="CX984" s="156">
        <v>0.0</v>
      </c>
      <c r="CY984" s="156">
        <v>0.0</v>
      </c>
      <c r="CZ984" s="156">
        <v>0.0</v>
      </c>
      <c r="DA984" s="156">
        <v>0.0</v>
      </c>
      <c r="EG984" s="156">
        <v>0.0</v>
      </c>
      <c r="EH984" s="156">
        <v>0.0</v>
      </c>
      <c r="EI984" s="156">
        <v>0.0</v>
      </c>
      <c r="EJ984" s="156">
        <v>0.0</v>
      </c>
      <c r="EK984" s="156">
        <v>0.0</v>
      </c>
      <c r="EL984" s="156">
        <v>0.0</v>
      </c>
      <c r="FQ984" s="156">
        <v>0.0</v>
      </c>
      <c r="FR984" s="156">
        <v>0.0</v>
      </c>
      <c r="FS984" s="156">
        <v>0.0</v>
      </c>
      <c r="FT984" s="156">
        <v>0.0</v>
      </c>
      <c r="FU984" s="156">
        <v>0.0</v>
      </c>
      <c r="FV984" s="156">
        <v>0.0</v>
      </c>
      <c r="FW984" s="157"/>
      <c r="FX984" s="157"/>
      <c r="FY984" s="157"/>
      <c r="FZ984" s="157"/>
      <c r="GA984" s="157"/>
      <c r="GB984" s="157"/>
      <c r="GC984" s="157"/>
      <c r="GD984" s="157"/>
      <c r="GE984" s="157"/>
      <c r="GF984" s="157"/>
      <c r="GG984" s="157"/>
      <c r="GH984" s="157"/>
      <c r="GI984" s="157"/>
      <c r="GJ984" s="157"/>
      <c r="GK984" s="157"/>
      <c r="GL984" s="157"/>
      <c r="GM984" s="157"/>
      <c r="GN984" s="157"/>
      <c r="GO984" s="157"/>
      <c r="GP984" s="158"/>
      <c r="GQ984" s="157"/>
      <c r="GR984" s="157"/>
      <c r="GS984" s="157"/>
      <c r="GT984" s="157"/>
      <c r="GU984" s="157"/>
      <c r="GV984" s="157"/>
      <c r="GW984" s="157"/>
      <c r="GX984" s="157"/>
      <c r="GY984" s="157"/>
      <c r="GZ984" s="157"/>
      <c r="HA984" s="157"/>
      <c r="HB984" s="155">
        <v>0.0</v>
      </c>
      <c r="HC984" s="155">
        <v>0.0</v>
      </c>
      <c r="HD984" s="155">
        <v>0.0</v>
      </c>
      <c r="HE984" s="155">
        <v>0.0</v>
      </c>
      <c r="HF984" s="155">
        <v>0.0</v>
      </c>
      <c r="HG984" s="155">
        <v>0.0</v>
      </c>
      <c r="IL984" s="159">
        <v>0.0</v>
      </c>
      <c r="IM984" s="156">
        <v>0.0</v>
      </c>
      <c r="IN984" s="156">
        <v>0.0</v>
      </c>
      <c r="IO984" s="156">
        <v>0.0</v>
      </c>
      <c r="IP984" s="156">
        <v>0.0</v>
      </c>
      <c r="IQ984" s="160">
        <v>0.0</v>
      </c>
      <c r="JH984" s="25"/>
      <c r="JW984" s="159">
        <v>0.0</v>
      </c>
      <c r="JX984" s="156">
        <v>0.0</v>
      </c>
      <c r="JY984" s="156">
        <v>0.0</v>
      </c>
      <c r="JZ984" s="156">
        <v>0.0</v>
      </c>
      <c r="KA984" s="156">
        <v>0.0</v>
      </c>
      <c r="KB984" s="160">
        <v>0.0</v>
      </c>
      <c r="LH984" s="159">
        <f t="shared" si="10"/>
        <v>0</v>
      </c>
      <c r="LI984" s="156">
        <f t="shared" si="11"/>
        <v>0</v>
      </c>
      <c r="LJ984" s="156">
        <f t="shared" si="12"/>
        <v>0</v>
      </c>
      <c r="LK984" s="156">
        <f t="shared" si="13"/>
        <v>0</v>
      </c>
      <c r="LL984" s="156">
        <f t="shared" si="14"/>
        <v>0</v>
      </c>
      <c r="LM984" s="160">
        <f t="shared" si="15"/>
        <v>0</v>
      </c>
      <c r="QX984" s="633"/>
    </row>
    <row r="985">
      <c r="A985" s="12"/>
      <c r="B985" s="12"/>
      <c r="C985" s="12"/>
      <c r="D985" s="12"/>
      <c r="E985" s="12"/>
      <c r="F985" s="12"/>
      <c r="G985" s="12"/>
      <c r="H985" s="12"/>
      <c r="I985" s="143">
        <f t="shared" si="22"/>
        <v>0</v>
      </c>
      <c r="J985" s="108"/>
      <c r="K985" s="203"/>
      <c r="L985" s="108"/>
      <c r="V985" s="161"/>
      <c r="X985" s="140"/>
      <c r="Y985" s="166">
        <f t="shared" si="23"/>
        <v>0</v>
      </c>
      <c r="Z985" s="26">
        <f t="shared" si="7"/>
        <v>0</v>
      </c>
      <c r="AA985" s="26">
        <f t="shared" si="8"/>
        <v>0</v>
      </c>
      <c r="AB985" s="26">
        <f t="shared" si="9"/>
        <v>0</v>
      </c>
      <c r="AC985" s="156">
        <v>0.0</v>
      </c>
      <c r="AD985" s="156">
        <v>0.0</v>
      </c>
      <c r="AE985" s="156">
        <v>0.0</v>
      </c>
      <c r="AF985" s="156">
        <v>0.0</v>
      </c>
      <c r="AG985" s="156">
        <v>0.0</v>
      </c>
      <c r="AH985" s="156">
        <v>0.0</v>
      </c>
      <c r="BN985" s="155">
        <v>0.0</v>
      </c>
      <c r="BO985" s="155">
        <v>0.0</v>
      </c>
      <c r="BP985" s="155">
        <v>0.0</v>
      </c>
      <c r="BQ985" s="155">
        <v>0.0</v>
      </c>
      <c r="BR985" s="155">
        <v>0.0</v>
      </c>
      <c r="BS985" s="155">
        <v>0.0</v>
      </c>
      <c r="CV985" s="156">
        <v>0.0</v>
      </c>
      <c r="CW985" s="156">
        <v>0.0</v>
      </c>
      <c r="CX985" s="156">
        <v>0.0</v>
      </c>
      <c r="CY985" s="156">
        <v>0.0</v>
      </c>
      <c r="CZ985" s="156">
        <v>0.0</v>
      </c>
      <c r="DA985" s="156">
        <v>0.0</v>
      </c>
      <c r="EG985" s="156">
        <v>0.0</v>
      </c>
      <c r="EH985" s="156">
        <v>0.0</v>
      </c>
      <c r="EI985" s="156">
        <v>0.0</v>
      </c>
      <c r="EJ985" s="156">
        <v>0.0</v>
      </c>
      <c r="EK985" s="156">
        <v>0.0</v>
      </c>
      <c r="EL985" s="156">
        <v>0.0</v>
      </c>
      <c r="FQ985" s="156">
        <v>0.0</v>
      </c>
      <c r="FR985" s="156">
        <v>0.0</v>
      </c>
      <c r="FS985" s="156">
        <v>0.0</v>
      </c>
      <c r="FT985" s="156">
        <v>0.0</v>
      </c>
      <c r="FU985" s="156">
        <v>0.0</v>
      </c>
      <c r="FV985" s="156">
        <v>0.0</v>
      </c>
      <c r="FW985" s="157"/>
      <c r="FX985" s="157"/>
      <c r="FY985" s="157"/>
      <c r="FZ985" s="157"/>
      <c r="GA985" s="157"/>
      <c r="GB985" s="157"/>
      <c r="GC985" s="157"/>
      <c r="GD985" s="157"/>
      <c r="GE985" s="157"/>
      <c r="GF985" s="157"/>
      <c r="GG985" s="157"/>
      <c r="GH985" s="157"/>
      <c r="GI985" s="157"/>
      <c r="GJ985" s="157"/>
      <c r="GK985" s="157"/>
      <c r="GL985" s="157"/>
      <c r="GM985" s="157"/>
      <c r="GN985" s="157"/>
      <c r="GO985" s="157"/>
      <c r="GP985" s="158"/>
      <c r="GQ985" s="157"/>
      <c r="GR985" s="157"/>
      <c r="GS985" s="157"/>
      <c r="GT985" s="157"/>
      <c r="GU985" s="157"/>
      <c r="GV985" s="157"/>
      <c r="GW985" s="157"/>
      <c r="GX985" s="157"/>
      <c r="GY985" s="157"/>
      <c r="GZ985" s="157"/>
      <c r="HA985" s="157"/>
      <c r="HB985" s="155">
        <v>0.0</v>
      </c>
      <c r="HC985" s="155">
        <v>0.0</v>
      </c>
      <c r="HD985" s="155">
        <v>0.0</v>
      </c>
      <c r="HE985" s="155">
        <v>0.0</v>
      </c>
      <c r="HF985" s="155">
        <v>0.0</v>
      </c>
      <c r="HG985" s="155">
        <v>0.0</v>
      </c>
      <c r="IL985" s="159">
        <v>0.0</v>
      </c>
      <c r="IM985" s="156">
        <v>0.0</v>
      </c>
      <c r="IN985" s="156">
        <v>0.0</v>
      </c>
      <c r="IO985" s="156">
        <v>0.0</v>
      </c>
      <c r="IP985" s="156">
        <v>0.0</v>
      </c>
      <c r="IQ985" s="160">
        <v>0.0</v>
      </c>
      <c r="JH985" s="25"/>
      <c r="JW985" s="159">
        <v>0.0</v>
      </c>
      <c r="JX985" s="156">
        <v>0.0</v>
      </c>
      <c r="JY985" s="156">
        <v>0.0</v>
      </c>
      <c r="JZ985" s="156">
        <v>0.0</v>
      </c>
      <c r="KA985" s="156">
        <v>0.0</v>
      </c>
      <c r="KB985" s="160">
        <v>0.0</v>
      </c>
      <c r="LH985" s="159">
        <f t="shared" si="10"/>
        <v>0</v>
      </c>
      <c r="LI985" s="156">
        <f t="shared" si="11"/>
        <v>0</v>
      </c>
      <c r="LJ985" s="156">
        <f t="shared" si="12"/>
        <v>0</v>
      </c>
      <c r="LK985" s="156">
        <f t="shared" si="13"/>
        <v>0</v>
      </c>
      <c r="LL985" s="156">
        <f t="shared" si="14"/>
        <v>0</v>
      </c>
      <c r="LM985" s="160">
        <f t="shared" si="15"/>
        <v>0</v>
      </c>
      <c r="QX985" s="633"/>
    </row>
    <row r="986">
      <c r="A986" s="12"/>
      <c r="B986" s="12"/>
      <c r="C986" s="12"/>
      <c r="D986" s="12"/>
      <c r="E986" s="12"/>
      <c r="F986" s="12"/>
      <c r="G986" s="12"/>
      <c r="H986" s="12"/>
      <c r="I986" s="143">
        <f t="shared" si="22"/>
        <v>0</v>
      </c>
      <c r="J986" s="108"/>
      <c r="K986" s="203"/>
      <c r="L986" s="108"/>
      <c r="V986" s="161"/>
      <c r="X986" s="140"/>
      <c r="Y986" s="166">
        <f t="shared" si="23"/>
        <v>0</v>
      </c>
      <c r="Z986" s="26">
        <f t="shared" si="7"/>
        <v>0</v>
      </c>
      <c r="AA986" s="26">
        <f t="shared" si="8"/>
        <v>0</v>
      </c>
      <c r="AB986" s="26">
        <f t="shared" si="9"/>
        <v>0</v>
      </c>
      <c r="AC986" s="156">
        <v>0.0</v>
      </c>
      <c r="AD986" s="156">
        <v>0.0</v>
      </c>
      <c r="AE986" s="156">
        <v>0.0</v>
      </c>
      <c r="AF986" s="156">
        <v>0.0</v>
      </c>
      <c r="AG986" s="156">
        <v>0.0</v>
      </c>
      <c r="AH986" s="156">
        <v>0.0</v>
      </c>
      <c r="BN986" s="155">
        <v>0.0</v>
      </c>
      <c r="BO986" s="155">
        <v>0.0</v>
      </c>
      <c r="BP986" s="155">
        <v>0.0</v>
      </c>
      <c r="BQ986" s="155">
        <v>0.0</v>
      </c>
      <c r="BR986" s="155">
        <v>0.0</v>
      </c>
      <c r="BS986" s="155">
        <v>0.0</v>
      </c>
      <c r="CV986" s="156">
        <v>0.0</v>
      </c>
      <c r="CW986" s="156">
        <v>0.0</v>
      </c>
      <c r="CX986" s="156">
        <v>0.0</v>
      </c>
      <c r="CY986" s="156">
        <v>0.0</v>
      </c>
      <c r="CZ986" s="156">
        <v>0.0</v>
      </c>
      <c r="DA986" s="156">
        <v>0.0</v>
      </c>
      <c r="EG986" s="156">
        <v>0.0</v>
      </c>
      <c r="EH986" s="156">
        <v>0.0</v>
      </c>
      <c r="EI986" s="156">
        <v>0.0</v>
      </c>
      <c r="EJ986" s="156">
        <v>0.0</v>
      </c>
      <c r="EK986" s="156">
        <v>0.0</v>
      </c>
      <c r="EL986" s="156">
        <v>0.0</v>
      </c>
      <c r="FQ986" s="156">
        <v>0.0</v>
      </c>
      <c r="FR986" s="156">
        <v>0.0</v>
      </c>
      <c r="FS986" s="156">
        <v>0.0</v>
      </c>
      <c r="FT986" s="156">
        <v>0.0</v>
      </c>
      <c r="FU986" s="156">
        <v>0.0</v>
      </c>
      <c r="FV986" s="156">
        <v>0.0</v>
      </c>
      <c r="FW986" s="157"/>
      <c r="FX986" s="157"/>
      <c r="FY986" s="157"/>
      <c r="FZ986" s="157"/>
      <c r="GA986" s="157"/>
      <c r="GB986" s="157"/>
      <c r="GC986" s="157"/>
      <c r="GD986" s="157"/>
      <c r="GE986" s="157"/>
      <c r="GF986" s="157"/>
      <c r="GG986" s="157"/>
      <c r="GH986" s="157"/>
      <c r="GI986" s="157"/>
      <c r="GJ986" s="157"/>
      <c r="GK986" s="157"/>
      <c r="GL986" s="157"/>
      <c r="GM986" s="157"/>
      <c r="GN986" s="157"/>
      <c r="GO986" s="157"/>
      <c r="GP986" s="158"/>
      <c r="GQ986" s="157"/>
      <c r="GR986" s="157"/>
      <c r="GS986" s="157"/>
      <c r="GT986" s="157"/>
      <c r="GU986" s="157"/>
      <c r="GV986" s="157"/>
      <c r="GW986" s="157"/>
      <c r="GX986" s="157"/>
      <c r="GY986" s="157"/>
      <c r="GZ986" s="157"/>
      <c r="HA986" s="157"/>
      <c r="HB986" s="155">
        <v>0.0</v>
      </c>
      <c r="HC986" s="155">
        <v>0.0</v>
      </c>
      <c r="HD986" s="155">
        <v>0.0</v>
      </c>
      <c r="HE986" s="155">
        <v>0.0</v>
      </c>
      <c r="HF986" s="155">
        <v>0.0</v>
      </c>
      <c r="HG986" s="155">
        <v>0.0</v>
      </c>
      <c r="IL986" s="159">
        <v>0.0</v>
      </c>
      <c r="IM986" s="156">
        <v>0.0</v>
      </c>
      <c r="IN986" s="156">
        <v>0.0</v>
      </c>
      <c r="IO986" s="156">
        <v>0.0</v>
      </c>
      <c r="IP986" s="156">
        <v>0.0</v>
      </c>
      <c r="IQ986" s="160">
        <v>0.0</v>
      </c>
      <c r="JH986" s="25"/>
      <c r="JW986" s="159">
        <v>0.0</v>
      </c>
      <c r="JX986" s="156">
        <v>0.0</v>
      </c>
      <c r="JY986" s="156">
        <v>0.0</v>
      </c>
      <c r="JZ986" s="156">
        <v>0.0</v>
      </c>
      <c r="KA986" s="156">
        <v>0.0</v>
      </c>
      <c r="KB986" s="160">
        <v>0.0</v>
      </c>
      <c r="LH986" s="159">
        <f t="shared" si="10"/>
        <v>0</v>
      </c>
      <c r="LI986" s="156">
        <f t="shared" si="11"/>
        <v>0</v>
      </c>
      <c r="LJ986" s="156">
        <f t="shared" si="12"/>
        <v>0</v>
      </c>
      <c r="LK986" s="156">
        <f t="shared" si="13"/>
        <v>0</v>
      </c>
      <c r="LL986" s="156">
        <f t="shared" si="14"/>
        <v>0</v>
      </c>
      <c r="LM986" s="160">
        <f t="shared" si="15"/>
        <v>0</v>
      </c>
      <c r="QX986" s="633"/>
    </row>
    <row r="987">
      <c r="A987" s="12"/>
      <c r="B987" s="12"/>
      <c r="C987" s="12"/>
      <c r="D987" s="12"/>
      <c r="E987" s="12"/>
      <c r="F987" s="12"/>
      <c r="G987" s="12"/>
      <c r="H987" s="12"/>
      <c r="I987" s="143">
        <f t="shared" si="22"/>
        <v>0</v>
      </c>
      <c r="J987" s="108"/>
      <c r="K987" s="203"/>
      <c r="L987" s="108"/>
      <c r="V987" s="161"/>
      <c r="X987" s="140"/>
      <c r="Y987" s="166">
        <f t="shared" si="23"/>
        <v>0</v>
      </c>
      <c r="Z987" s="26">
        <f t="shared" si="7"/>
        <v>0</v>
      </c>
      <c r="AA987" s="26">
        <f t="shared" si="8"/>
        <v>0</v>
      </c>
      <c r="AB987" s="26">
        <f t="shared" si="9"/>
        <v>0</v>
      </c>
      <c r="AC987" s="156">
        <v>0.0</v>
      </c>
      <c r="AD987" s="156">
        <v>0.0</v>
      </c>
      <c r="AE987" s="156">
        <v>0.0</v>
      </c>
      <c r="AF987" s="156">
        <v>0.0</v>
      </c>
      <c r="AG987" s="156">
        <v>0.0</v>
      </c>
      <c r="AH987" s="156">
        <v>0.0</v>
      </c>
      <c r="BN987" s="155">
        <v>0.0</v>
      </c>
      <c r="BO987" s="155">
        <v>0.0</v>
      </c>
      <c r="BP987" s="155">
        <v>0.0</v>
      </c>
      <c r="BQ987" s="155">
        <v>0.0</v>
      </c>
      <c r="BR987" s="155">
        <v>0.0</v>
      </c>
      <c r="BS987" s="155">
        <v>0.0</v>
      </c>
      <c r="CV987" s="156">
        <v>0.0</v>
      </c>
      <c r="CW987" s="156">
        <v>0.0</v>
      </c>
      <c r="CX987" s="156">
        <v>0.0</v>
      </c>
      <c r="CY987" s="156">
        <v>0.0</v>
      </c>
      <c r="CZ987" s="156">
        <v>0.0</v>
      </c>
      <c r="DA987" s="156">
        <v>0.0</v>
      </c>
      <c r="EG987" s="156">
        <v>0.0</v>
      </c>
      <c r="EH987" s="156">
        <v>0.0</v>
      </c>
      <c r="EI987" s="156">
        <v>0.0</v>
      </c>
      <c r="EJ987" s="156">
        <v>0.0</v>
      </c>
      <c r="EK987" s="156">
        <v>0.0</v>
      </c>
      <c r="EL987" s="156">
        <v>0.0</v>
      </c>
      <c r="FQ987" s="156">
        <v>0.0</v>
      </c>
      <c r="FR987" s="156">
        <v>0.0</v>
      </c>
      <c r="FS987" s="156">
        <v>0.0</v>
      </c>
      <c r="FT987" s="156">
        <v>0.0</v>
      </c>
      <c r="FU987" s="156">
        <v>0.0</v>
      </c>
      <c r="FV987" s="156">
        <v>0.0</v>
      </c>
      <c r="FW987" s="157"/>
      <c r="FX987" s="157"/>
      <c r="FY987" s="157"/>
      <c r="FZ987" s="157"/>
      <c r="GA987" s="157"/>
      <c r="GB987" s="157"/>
      <c r="GC987" s="157"/>
      <c r="GD987" s="157"/>
      <c r="GE987" s="157"/>
      <c r="GF987" s="157"/>
      <c r="GG987" s="157"/>
      <c r="GH987" s="157"/>
      <c r="GI987" s="157"/>
      <c r="GJ987" s="157"/>
      <c r="GK987" s="157"/>
      <c r="GL987" s="157"/>
      <c r="GM987" s="157"/>
      <c r="GN987" s="157"/>
      <c r="GO987" s="157"/>
      <c r="GP987" s="158"/>
      <c r="GQ987" s="157"/>
      <c r="GR987" s="157"/>
      <c r="GS987" s="157"/>
      <c r="GT987" s="157"/>
      <c r="GU987" s="157"/>
      <c r="GV987" s="157"/>
      <c r="GW987" s="157"/>
      <c r="GX987" s="157"/>
      <c r="GY987" s="157"/>
      <c r="GZ987" s="157"/>
      <c r="HA987" s="157"/>
      <c r="HB987" s="155">
        <v>0.0</v>
      </c>
      <c r="HC987" s="155">
        <v>0.0</v>
      </c>
      <c r="HD987" s="155">
        <v>0.0</v>
      </c>
      <c r="HE987" s="155">
        <v>0.0</v>
      </c>
      <c r="HF987" s="155">
        <v>0.0</v>
      </c>
      <c r="HG987" s="155">
        <v>0.0</v>
      </c>
      <c r="IL987" s="159">
        <v>0.0</v>
      </c>
      <c r="IM987" s="156">
        <v>0.0</v>
      </c>
      <c r="IN987" s="156">
        <v>0.0</v>
      </c>
      <c r="IO987" s="156">
        <v>0.0</v>
      </c>
      <c r="IP987" s="156">
        <v>0.0</v>
      </c>
      <c r="IQ987" s="160">
        <v>0.0</v>
      </c>
      <c r="JH987" s="25"/>
      <c r="JW987" s="159">
        <v>0.0</v>
      </c>
      <c r="JX987" s="156">
        <v>0.0</v>
      </c>
      <c r="JY987" s="156">
        <v>0.0</v>
      </c>
      <c r="JZ987" s="156">
        <v>0.0</v>
      </c>
      <c r="KA987" s="156">
        <v>0.0</v>
      </c>
      <c r="KB987" s="160">
        <v>0.0</v>
      </c>
      <c r="LH987" s="159">
        <f t="shared" si="10"/>
        <v>0</v>
      </c>
      <c r="LI987" s="156">
        <f t="shared" si="11"/>
        <v>0</v>
      </c>
      <c r="LJ987" s="156">
        <f t="shared" si="12"/>
        <v>0</v>
      </c>
      <c r="LK987" s="156">
        <f t="shared" si="13"/>
        <v>0</v>
      </c>
      <c r="LL987" s="156">
        <f t="shared" si="14"/>
        <v>0</v>
      </c>
      <c r="LM987" s="160">
        <f t="shared" si="15"/>
        <v>0</v>
      </c>
      <c r="QX987" s="633"/>
    </row>
    <row r="988">
      <c r="A988" s="12"/>
      <c r="B988" s="12"/>
      <c r="C988" s="12"/>
      <c r="D988" s="12"/>
      <c r="E988" s="12"/>
      <c r="F988" s="12"/>
      <c r="G988" s="12"/>
      <c r="H988" s="12"/>
      <c r="I988" s="143">
        <f t="shared" si="22"/>
        <v>0</v>
      </c>
      <c r="J988" s="108"/>
      <c r="K988" s="203"/>
      <c r="L988" s="108"/>
      <c r="V988" s="161"/>
      <c r="X988" s="140"/>
      <c r="Y988" s="166">
        <f t="shared" si="23"/>
        <v>0</v>
      </c>
      <c r="Z988" s="26">
        <f t="shared" si="7"/>
        <v>0</v>
      </c>
      <c r="AA988" s="26">
        <f t="shared" si="8"/>
        <v>0</v>
      </c>
      <c r="AB988" s="26">
        <f t="shared" si="9"/>
        <v>0</v>
      </c>
      <c r="AC988" s="156">
        <v>0.0</v>
      </c>
      <c r="AD988" s="156">
        <v>0.0</v>
      </c>
      <c r="AE988" s="156">
        <v>0.0</v>
      </c>
      <c r="AF988" s="156">
        <v>0.0</v>
      </c>
      <c r="AG988" s="156">
        <v>0.0</v>
      </c>
      <c r="AH988" s="156">
        <v>0.0</v>
      </c>
      <c r="BN988" s="155">
        <v>0.0</v>
      </c>
      <c r="BO988" s="155">
        <v>0.0</v>
      </c>
      <c r="BP988" s="155">
        <v>0.0</v>
      </c>
      <c r="BQ988" s="155">
        <v>0.0</v>
      </c>
      <c r="BR988" s="155">
        <v>0.0</v>
      </c>
      <c r="BS988" s="155">
        <v>0.0</v>
      </c>
      <c r="CV988" s="156">
        <v>0.0</v>
      </c>
      <c r="CW988" s="156">
        <v>0.0</v>
      </c>
      <c r="CX988" s="156">
        <v>0.0</v>
      </c>
      <c r="CY988" s="156">
        <v>0.0</v>
      </c>
      <c r="CZ988" s="156">
        <v>0.0</v>
      </c>
      <c r="DA988" s="156">
        <v>0.0</v>
      </c>
      <c r="EG988" s="156">
        <v>0.0</v>
      </c>
      <c r="EH988" s="156">
        <v>0.0</v>
      </c>
      <c r="EI988" s="156">
        <v>0.0</v>
      </c>
      <c r="EJ988" s="156">
        <v>0.0</v>
      </c>
      <c r="EK988" s="156">
        <v>0.0</v>
      </c>
      <c r="EL988" s="156">
        <v>0.0</v>
      </c>
      <c r="FQ988" s="156">
        <v>0.0</v>
      </c>
      <c r="FR988" s="156">
        <v>0.0</v>
      </c>
      <c r="FS988" s="156">
        <v>0.0</v>
      </c>
      <c r="FT988" s="156">
        <v>0.0</v>
      </c>
      <c r="FU988" s="156">
        <v>0.0</v>
      </c>
      <c r="FV988" s="156">
        <v>0.0</v>
      </c>
      <c r="FW988" s="157"/>
      <c r="FX988" s="157"/>
      <c r="FY988" s="157"/>
      <c r="FZ988" s="157"/>
      <c r="GA988" s="157"/>
      <c r="GB988" s="157"/>
      <c r="GC988" s="157"/>
      <c r="GD988" s="157"/>
      <c r="GE988" s="157"/>
      <c r="GF988" s="157"/>
      <c r="GG988" s="157"/>
      <c r="GH988" s="157"/>
      <c r="GI988" s="157"/>
      <c r="GJ988" s="157"/>
      <c r="GK988" s="157"/>
      <c r="GL988" s="157"/>
      <c r="GM988" s="157"/>
      <c r="GN988" s="157"/>
      <c r="GO988" s="157"/>
      <c r="GP988" s="158"/>
      <c r="GQ988" s="157"/>
      <c r="GR988" s="157"/>
      <c r="GS988" s="157"/>
      <c r="GT988" s="157"/>
      <c r="GU988" s="157"/>
      <c r="GV988" s="157"/>
      <c r="GW988" s="157"/>
      <c r="GX988" s="157"/>
      <c r="GY988" s="157"/>
      <c r="GZ988" s="157"/>
      <c r="HA988" s="157"/>
      <c r="HB988" s="155">
        <v>0.0</v>
      </c>
      <c r="HC988" s="155">
        <v>0.0</v>
      </c>
      <c r="HD988" s="155">
        <v>0.0</v>
      </c>
      <c r="HE988" s="155">
        <v>0.0</v>
      </c>
      <c r="HF988" s="155">
        <v>0.0</v>
      </c>
      <c r="HG988" s="155">
        <v>0.0</v>
      </c>
      <c r="IL988" s="159">
        <v>0.0</v>
      </c>
      <c r="IM988" s="156">
        <v>0.0</v>
      </c>
      <c r="IN988" s="156">
        <v>0.0</v>
      </c>
      <c r="IO988" s="156">
        <v>0.0</v>
      </c>
      <c r="IP988" s="156">
        <v>0.0</v>
      </c>
      <c r="IQ988" s="160">
        <v>0.0</v>
      </c>
      <c r="JH988" s="25"/>
      <c r="JW988" s="159">
        <v>0.0</v>
      </c>
      <c r="JX988" s="156">
        <v>0.0</v>
      </c>
      <c r="JY988" s="156">
        <v>0.0</v>
      </c>
      <c r="JZ988" s="156">
        <v>0.0</v>
      </c>
      <c r="KA988" s="156">
        <v>0.0</v>
      </c>
      <c r="KB988" s="160">
        <v>0.0</v>
      </c>
      <c r="LH988" s="159">
        <f t="shared" si="10"/>
        <v>0</v>
      </c>
      <c r="LI988" s="156">
        <f t="shared" si="11"/>
        <v>0</v>
      </c>
      <c r="LJ988" s="156">
        <f t="shared" si="12"/>
        <v>0</v>
      </c>
      <c r="LK988" s="156">
        <f t="shared" si="13"/>
        <v>0</v>
      </c>
      <c r="LL988" s="156">
        <f t="shared" si="14"/>
        <v>0</v>
      </c>
      <c r="LM988" s="160">
        <f t="shared" si="15"/>
        <v>0</v>
      </c>
      <c r="QX988" s="633"/>
    </row>
    <row r="989">
      <c r="A989" s="12"/>
      <c r="B989" s="12"/>
      <c r="C989" s="12"/>
      <c r="D989" s="12"/>
      <c r="E989" s="12"/>
      <c r="F989" s="12"/>
      <c r="G989" s="12"/>
      <c r="H989" s="12"/>
      <c r="I989" s="143">
        <f t="shared" si="22"/>
        <v>0</v>
      </c>
      <c r="J989" s="108"/>
      <c r="K989" s="203"/>
      <c r="L989" s="108"/>
      <c r="V989" s="161"/>
      <c r="X989" s="140"/>
      <c r="Y989" s="166">
        <f t="shared" si="23"/>
        <v>0</v>
      </c>
      <c r="Z989" s="26">
        <f t="shared" si="7"/>
        <v>0</v>
      </c>
      <c r="AA989" s="26">
        <f t="shared" si="8"/>
        <v>0</v>
      </c>
      <c r="AB989" s="26">
        <f t="shared" si="9"/>
        <v>0</v>
      </c>
      <c r="AC989" s="156">
        <v>0.0</v>
      </c>
      <c r="AD989" s="156">
        <v>0.0</v>
      </c>
      <c r="AE989" s="156">
        <v>0.0</v>
      </c>
      <c r="AF989" s="156">
        <v>0.0</v>
      </c>
      <c r="AG989" s="156">
        <v>0.0</v>
      </c>
      <c r="AH989" s="156">
        <v>0.0</v>
      </c>
      <c r="BN989" s="155">
        <v>0.0</v>
      </c>
      <c r="BO989" s="155">
        <v>0.0</v>
      </c>
      <c r="BP989" s="155">
        <v>0.0</v>
      </c>
      <c r="BQ989" s="155">
        <v>0.0</v>
      </c>
      <c r="BR989" s="155">
        <v>0.0</v>
      </c>
      <c r="BS989" s="155">
        <v>0.0</v>
      </c>
      <c r="CV989" s="156">
        <v>0.0</v>
      </c>
      <c r="CW989" s="156">
        <v>0.0</v>
      </c>
      <c r="CX989" s="156">
        <v>0.0</v>
      </c>
      <c r="CY989" s="156">
        <v>0.0</v>
      </c>
      <c r="CZ989" s="156">
        <v>0.0</v>
      </c>
      <c r="DA989" s="156">
        <v>0.0</v>
      </c>
      <c r="EG989" s="156">
        <v>0.0</v>
      </c>
      <c r="EH989" s="156">
        <v>0.0</v>
      </c>
      <c r="EI989" s="156">
        <v>0.0</v>
      </c>
      <c r="EJ989" s="156">
        <v>0.0</v>
      </c>
      <c r="EK989" s="156">
        <v>0.0</v>
      </c>
      <c r="EL989" s="156">
        <v>0.0</v>
      </c>
      <c r="FQ989" s="156">
        <v>0.0</v>
      </c>
      <c r="FR989" s="156">
        <v>0.0</v>
      </c>
      <c r="FS989" s="156">
        <v>0.0</v>
      </c>
      <c r="FT989" s="156">
        <v>0.0</v>
      </c>
      <c r="FU989" s="156">
        <v>0.0</v>
      </c>
      <c r="FV989" s="156">
        <v>0.0</v>
      </c>
      <c r="FW989" s="157"/>
      <c r="FX989" s="157"/>
      <c r="FY989" s="157"/>
      <c r="FZ989" s="157"/>
      <c r="GA989" s="157"/>
      <c r="GB989" s="157"/>
      <c r="GC989" s="157"/>
      <c r="GD989" s="157"/>
      <c r="GE989" s="157"/>
      <c r="GF989" s="157"/>
      <c r="GG989" s="157"/>
      <c r="GH989" s="157"/>
      <c r="GI989" s="157"/>
      <c r="GJ989" s="157"/>
      <c r="GK989" s="157"/>
      <c r="GL989" s="157"/>
      <c r="GM989" s="157"/>
      <c r="GN989" s="157"/>
      <c r="GO989" s="157"/>
      <c r="GP989" s="158"/>
      <c r="GQ989" s="157"/>
      <c r="GR989" s="157"/>
      <c r="GS989" s="157"/>
      <c r="GT989" s="157"/>
      <c r="GU989" s="157"/>
      <c r="GV989" s="157"/>
      <c r="GW989" s="157"/>
      <c r="GX989" s="157"/>
      <c r="GY989" s="157"/>
      <c r="GZ989" s="157"/>
      <c r="HA989" s="157"/>
      <c r="HB989" s="155">
        <v>0.0</v>
      </c>
      <c r="HC989" s="155">
        <v>0.0</v>
      </c>
      <c r="HD989" s="155">
        <v>0.0</v>
      </c>
      <c r="HE989" s="155">
        <v>0.0</v>
      </c>
      <c r="HF989" s="155">
        <v>0.0</v>
      </c>
      <c r="HG989" s="155">
        <v>0.0</v>
      </c>
      <c r="IL989" s="159">
        <v>0.0</v>
      </c>
      <c r="IM989" s="156">
        <v>0.0</v>
      </c>
      <c r="IN989" s="156">
        <v>0.0</v>
      </c>
      <c r="IO989" s="156">
        <v>0.0</v>
      </c>
      <c r="IP989" s="156">
        <v>0.0</v>
      </c>
      <c r="IQ989" s="160">
        <v>0.0</v>
      </c>
      <c r="JH989" s="25"/>
      <c r="JW989" s="159">
        <v>0.0</v>
      </c>
      <c r="JX989" s="156">
        <v>0.0</v>
      </c>
      <c r="JY989" s="156">
        <v>0.0</v>
      </c>
      <c r="JZ989" s="156">
        <v>0.0</v>
      </c>
      <c r="KA989" s="156">
        <v>0.0</v>
      </c>
      <c r="KB989" s="160">
        <v>0.0</v>
      </c>
      <c r="LH989" s="159">
        <f t="shared" si="10"/>
        <v>0</v>
      </c>
      <c r="LI989" s="156">
        <f t="shared" si="11"/>
        <v>0</v>
      </c>
      <c r="LJ989" s="156">
        <f t="shared" si="12"/>
        <v>0</v>
      </c>
      <c r="LK989" s="156">
        <f t="shared" si="13"/>
        <v>0</v>
      </c>
      <c r="LL989" s="156">
        <f t="shared" si="14"/>
        <v>0</v>
      </c>
      <c r="LM989" s="160">
        <f t="shared" si="15"/>
        <v>0</v>
      </c>
      <c r="QX989" s="633"/>
    </row>
    <row r="990">
      <c r="A990" s="12"/>
      <c r="B990" s="12"/>
      <c r="C990" s="12"/>
      <c r="D990" s="12"/>
      <c r="E990" s="12"/>
      <c r="F990" s="12"/>
      <c r="G990" s="12"/>
      <c r="H990" s="12"/>
      <c r="I990" s="143">
        <f t="shared" si="22"/>
        <v>0</v>
      </c>
      <c r="J990" s="108"/>
      <c r="K990" s="203"/>
      <c r="L990" s="108"/>
      <c r="V990" s="161"/>
      <c r="X990" s="140"/>
      <c r="Y990" s="166">
        <f t="shared" si="23"/>
        <v>0</v>
      </c>
      <c r="Z990" s="26">
        <f t="shared" si="7"/>
        <v>0</v>
      </c>
      <c r="AA990" s="26">
        <f t="shared" si="8"/>
        <v>0</v>
      </c>
      <c r="AB990" s="26">
        <f t="shared" si="9"/>
        <v>0</v>
      </c>
      <c r="AC990" s="156">
        <v>0.0</v>
      </c>
      <c r="AD990" s="156">
        <v>0.0</v>
      </c>
      <c r="AE990" s="156">
        <v>0.0</v>
      </c>
      <c r="AF990" s="156">
        <v>0.0</v>
      </c>
      <c r="AG990" s="156">
        <v>0.0</v>
      </c>
      <c r="AH990" s="156">
        <v>0.0</v>
      </c>
      <c r="BN990" s="155">
        <v>0.0</v>
      </c>
      <c r="BO990" s="155">
        <v>0.0</v>
      </c>
      <c r="BP990" s="155">
        <v>0.0</v>
      </c>
      <c r="BQ990" s="155">
        <v>0.0</v>
      </c>
      <c r="BR990" s="155">
        <v>0.0</v>
      </c>
      <c r="BS990" s="155">
        <v>0.0</v>
      </c>
      <c r="CV990" s="156">
        <v>0.0</v>
      </c>
      <c r="CW990" s="156">
        <v>0.0</v>
      </c>
      <c r="CX990" s="156">
        <v>0.0</v>
      </c>
      <c r="CY990" s="156">
        <v>0.0</v>
      </c>
      <c r="CZ990" s="156">
        <v>0.0</v>
      </c>
      <c r="DA990" s="156">
        <v>0.0</v>
      </c>
      <c r="EG990" s="156">
        <v>0.0</v>
      </c>
      <c r="EH990" s="156">
        <v>0.0</v>
      </c>
      <c r="EI990" s="156">
        <v>0.0</v>
      </c>
      <c r="EJ990" s="156">
        <v>0.0</v>
      </c>
      <c r="EK990" s="156">
        <v>0.0</v>
      </c>
      <c r="EL990" s="156">
        <v>0.0</v>
      </c>
      <c r="FQ990" s="156">
        <v>0.0</v>
      </c>
      <c r="FR990" s="156">
        <v>0.0</v>
      </c>
      <c r="FS990" s="156">
        <v>0.0</v>
      </c>
      <c r="FT990" s="156">
        <v>0.0</v>
      </c>
      <c r="FU990" s="156">
        <v>0.0</v>
      </c>
      <c r="FV990" s="156">
        <v>0.0</v>
      </c>
      <c r="FW990" s="157"/>
      <c r="FX990" s="157"/>
      <c r="FY990" s="157"/>
      <c r="FZ990" s="157"/>
      <c r="GA990" s="157"/>
      <c r="GB990" s="157"/>
      <c r="GC990" s="157"/>
      <c r="GD990" s="157"/>
      <c r="GE990" s="157"/>
      <c r="GF990" s="157"/>
      <c r="GG990" s="157"/>
      <c r="GH990" s="157"/>
      <c r="GI990" s="157"/>
      <c r="GJ990" s="157"/>
      <c r="GK990" s="157"/>
      <c r="GL990" s="157"/>
      <c r="GM990" s="157"/>
      <c r="GN990" s="157"/>
      <c r="GO990" s="157"/>
      <c r="GP990" s="158"/>
      <c r="GQ990" s="157"/>
      <c r="GR990" s="157"/>
      <c r="GS990" s="157"/>
      <c r="GT990" s="157"/>
      <c r="GU990" s="157"/>
      <c r="GV990" s="157"/>
      <c r="GW990" s="157"/>
      <c r="GX990" s="157"/>
      <c r="GY990" s="157"/>
      <c r="GZ990" s="157"/>
      <c r="HA990" s="157"/>
      <c r="HB990" s="155">
        <v>0.0</v>
      </c>
      <c r="HC990" s="155">
        <v>0.0</v>
      </c>
      <c r="HD990" s="155">
        <v>0.0</v>
      </c>
      <c r="HE990" s="155">
        <v>0.0</v>
      </c>
      <c r="HF990" s="155">
        <v>0.0</v>
      </c>
      <c r="HG990" s="155">
        <v>0.0</v>
      </c>
      <c r="IL990" s="159">
        <v>0.0</v>
      </c>
      <c r="IM990" s="156">
        <v>0.0</v>
      </c>
      <c r="IN990" s="156">
        <v>0.0</v>
      </c>
      <c r="IO990" s="156">
        <v>0.0</v>
      </c>
      <c r="IP990" s="156">
        <v>0.0</v>
      </c>
      <c r="IQ990" s="160">
        <v>0.0</v>
      </c>
      <c r="JH990" s="25"/>
      <c r="JW990" s="159">
        <v>0.0</v>
      </c>
      <c r="JX990" s="156">
        <v>0.0</v>
      </c>
      <c r="JY990" s="156">
        <v>0.0</v>
      </c>
      <c r="JZ990" s="156">
        <v>0.0</v>
      </c>
      <c r="KA990" s="156">
        <v>0.0</v>
      </c>
      <c r="KB990" s="160">
        <v>0.0</v>
      </c>
      <c r="LH990" s="159">
        <f t="shared" si="10"/>
        <v>0</v>
      </c>
      <c r="LI990" s="156">
        <f t="shared" si="11"/>
        <v>0</v>
      </c>
      <c r="LJ990" s="156">
        <f t="shared" si="12"/>
        <v>0</v>
      </c>
      <c r="LK990" s="156">
        <f t="shared" si="13"/>
        <v>0</v>
      </c>
      <c r="LL990" s="156">
        <f t="shared" si="14"/>
        <v>0</v>
      </c>
      <c r="LM990" s="160">
        <f t="shared" si="15"/>
        <v>0</v>
      </c>
      <c r="QX990" s="633"/>
    </row>
    <row r="991">
      <c r="A991" s="12"/>
      <c r="B991" s="12"/>
      <c r="C991" s="12"/>
      <c r="D991" s="12"/>
      <c r="E991" s="12"/>
      <c r="F991" s="12"/>
      <c r="G991" s="12"/>
      <c r="H991" s="12"/>
      <c r="I991" s="143">
        <f t="shared" si="22"/>
        <v>0</v>
      </c>
      <c r="J991" s="108"/>
      <c r="K991" s="203"/>
      <c r="L991" s="108"/>
      <c r="V991" s="161"/>
      <c r="X991" s="140"/>
      <c r="Y991" s="166">
        <f t="shared" si="23"/>
        <v>0</v>
      </c>
      <c r="Z991" s="26">
        <f t="shared" si="7"/>
        <v>0</v>
      </c>
      <c r="AA991" s="26">
        <f t="shared" si="8"/>
        <v>0</v>
      </c>
      <c r="AB991" s="26">
        <f t="shared" si="9"/>
        <v>0</v>
      </c>
      <c r="AC991" s="156">
        <v>0.0</v>
      </c>
      <c r="AD991" s="156">
        <v>0.0</v>
      </c>
      <c r="AE991" s="156">
        <v>0.0</v>
      </c>
      <c r="AF991" s="156">
        <v>0.0</v>
      </c>
      <c r="AG991" s="156">
        <v>0.0</v>
      </c>
      <c r="AH991" s="156">
        <v>0.0</v>
      </c>
      <c r="BN991" s="155">
        <v>0.0</v>
      </c>
      <c r="BO991" s="155">
        <v>0.0</v>
      </c>
      <c r="BP991" s="155">
        <v>0.0</v>
      </c>
      <c r="BQ991" s="155">
        <v>0.0</v>
      </c>
      <c r="BR991" s="155">
        <v>0.0</v>
      </c>
      <c r="BS991" s="155">
        <v>0.0</v>
      </c>
      <c r="CV991" s="156">
        <v>0.0</v>
      </c>
      <c r="CW991" s="156">
        <v>0.0</v>
      </c>
      <c r="CX991" s="156">
        <v>0.0</v>
      </c>
      <c r="CY991" s="156">
        <v>0.0</v>
      </c>
      <c r="CZ991" s="156">
        <v>0.0</v>
      </c>
      <c r="DA991" s="156">
        <v>0.0</v>
      </c>
      <c r="EG991" s="156">
        <v>0.0</v>
      </c>
      <c r="EH991" s="156">
        <v>0.0</v>
      </c>
      <c r="EI991" s="156">
        <v>0.0</v>
      </c>
      <c r="EJ991" s="156">
        <v>0.0</v>
      </c>
      <c r="EK991" s="156">
        <v>0.0</v>
      </c>
      <c r="EL991" s="156">
        <v>0.0</v>
      </c>
      <c r="FQ991" s="156">
        <v>0.0</v>
      </c>
      <c r="FR991" s="156">
        <v>0.0</v>
      </c>
      <c r="FS991" s="156">
        <v>0.0</v>
      </c>
      <c r="FT991" s="156">
        <v>0.0</v>
      </c>
      <c r="FU991" s="156">
        <v>0.0</v>
      </c>
      <c r="FV991" s="156">
        <v>0.0</v>
      </c>
      <c r="FW991" s="157"/>
      <c r="FX991" s="157"/>
      <c r="FY991" s="157"/>
      <c r="FZ991" s="157"/>
      <c r="GA991" s="157"/>
      <c r="GB991" s="157"/>
      <c r="GC991" s="157"/>
      <c r="GD991" s="157"/>
      <c r="GE991" s="157"/>
      <c r="GF991" s="157"/>
      <c r="GG991" s="157"/>
      <c r="GH991" s="157"/>
      <c r="GI991" s="157"/>
      <c r="GJ991" s="157"/>
      <c r="GK991" s="157"/>
      <c r="GL991" s="157"/>
      <c r="GM991" s="157"/>
      <c r="GN991" s="157"/>
      <c r="GO991" s="157"/>
      <c r="GP991" s="158"/>
      <c r="GQ991" s="157"/>
      <c r="GR991" s="157"/>
      <c r="GS991" s="157"/>
      <c r="GT991" s="157"/>
      <c r="GU991" s="157"/>
      <c r="GV991" s="157"/>
      <c r="GW991" s="157"/>
      <c r="GX991" s="157"/>
      <c r="GY991" s="157"/>
      <c r="GZ991" s="157"/>
      <c r="HA991" s="157"/>
      <c r="HB991" s="155">
        <v>0.0</v>
      </c>
      <c r="HC991" s="155">
        <v>0.0</v>
      </c>
      <c r="HD991" s="155">
        <v>0.0</v>
      </c>
      <c r="HE991" s="155">
        <v>0.0</v>
      </c>
      <c r="HF991" s="155">
        <v>0.0</v>
      </c>
      <c r="HG991" s="155">
        <v>0.0</v>
      </c>
      <c r="IL991" s="159">
        <v>0.0</v>
      </c>
      <c r="IM991" s="156">
        <v>0.0</v>
      </c>
      <c r="IN991" s="156">
        <v>0.0</v>
      </c>
      <c r="IO991" s="156">
        <v>0.0</v>
      </c>
      <c r="IP991" s="156">
        <v>0.0</v>
      </c>
      <c r="IQ991" s="160">
        <v>0.0</v>
      </c>
      <c r="JH991" s="25"/>
      <c r="JW991" s="159">
        <v>0.0</v>
      </c>
      <c r="JX991" s="156">
        <v>0.0</v>
      </c>
      <c r="JY991" s="156">
        <v>0.0</v>
      </c>
      <c r="JZ991" s="156">
        <v>0.0</v>
      </c>
      <c r="KA991" s="156">
        <v>0.0</v>
      </c>
      <c r="KB991" s="160">
        <v>0.0</v>
      </c>
      <c r="LH991" s="159">
        <f t="shared" si="10"/>
        <v>0</v>
      </c>
      <c r="LI991" s="156">
        <f t="shared" si="11"/>
        <v>0</v>
      </c>
      <c r="LJ991" s="156">
        <f t="shared" si="12"/>
        <v>0</v>
      </c>
      <c r="LK991" s="156">
        <f t="shared" si="13"/>
        <v>0</v>
      </c>
      <c r="LL991" s="156">
        <f t="shared" si="14"/>
        <v>0</v>
      </c>
      <c r="LM991" s="160">
        <f t="shared" si="15"/>
        <v>0</v>
      </c>
      <c r="QX991" s="633"/>
    </row>
    <row r="992">
      <c r="A992" s="12"/>
      <c r="B992" s="12"/>
      <c r="C992" s="12"/>
      <c r="D992" s="12"/>
      <c r="E992" s="12"/>
      <c r="F992" s="12"/>
      <c r="G992" s="12"/>
      <c r="H992" s="12"/>
      <c r="I992" s="143">
        <f t="shared" si="22"/>
        <v>0</v>
      </c>
      <c r="J992" s="108"/>
      <c r="K992" s="203"/>
      <c r="L992" s="108"/>
      <c r="V992" s="161"/>
      <c r="X992" s="140"/>
      <c r="Y992" s="166">
        <f t="shared" si="23"/>
        <v>0</v>
      </c>
      <c r="Z992" s="26">
        <f t="shared" si="7"/>
        <v>0</v>
      </c>
      <c r="AA992" s="26">
        <f t="shared" si="8"/>
        <v>0</v>
      </c>
      <c r="AB992" s="26">
        <f t="shared" si="9"/>
        <v>0</v>
      </c>
      <c r="AC992" s="156">
        <v>0.0</v>
      </c>
      <c r="AD992" s="156">
        <v>0.0</v>
      </c>
      <c r="AE992" s="156">
        <v>0.0</v>
      </c>
      <c r="AF992" s="156">
        <v>0.0</v>
      </c>
      <c r="AG992" s="156">
        <v>0.0</v>
      </c>
      <c r="AH992" s="156">
        <v>0.0</v>
      </c>
      <c r="BN992" s="155">
        <v>0.0</v>
      </c>
      <c r="BO992" s="155">
        <v>0.0</v>
      </c>
      <c r="BP992" s="155">
        <v>0.0</v>
      </c>
      <c r="BQ992" s="155">
        <v>0.0</v>
      </c>
      <c r="BR992" s="155">
        <v>0.0</v>
      </c>
      <c r="BS992" s="155">
        <v>0.0</v>
      </c>
      <c r="CV992" s="156">
        <v>0.0</v>
      </c>
      <c r="CW992" s="156">
        <v>0.0</v>
      </c>
      <c r="CX992" s="156">
        <v>0.0</v>
      </c>
      <c r="CY992" s="156">
        <v>0.0</v>
      </c>
      <c r="CZ992" s="156">
        <v>0.0</v>
      </c>
      <c r="DA992" s="156">
        <v>0.0</v>
      </c>
      <c r="EG992" s="156">
        <v>0.0</v>
      </c>
      <c r="EH992" s="156">
        <v>0.0</v>
      </c>
      <c r="EI992" s="156">
        <v>0.0</v>
      </c>
      <c r="EJ992" s="156">
        <v>0.0</v>
      </c>
      <c r="EK992" s="156">
        <v>0.0</v>
      </c>
      <c r="EL992" s="156">
        <v>0.0</v>
      </c>
      <c r="FQ992" s="156">
        <v>0.0</v>
      </c>
      <c r="FR992" s="156">
        <v>0.0</v>
      </c>
      <c r="FS992" s="156">
        <v>0.0</v>
      </c>
      <c r="FT992" s="156">
        <v>0.0</v>
      </c>
      <c r="FU992" s="156">
        <v>0.0</v>
      </c>
      <c r="FV992" s="156">
        <v>0.0</v>
      </c>
      <c r="FW992" s="157"/>
      <c r="FX992" s="157"/>
      <c r="FY992" s="157"/>
      <c r="FZ992" s="157"/>
      <c r="GA992" s="157"/>
      <c r="GB992" s="157"/>
      <c r="GC992" s="157"/>
      <c r="GD992" s="157"/>
      <c r="GE992" s="157"/>
      <c r="GF992" s="157"/>
      <c r="GG992" s="157"/>
      <c r="GH992" s="157"/>
      <c r="GI992" s="157"/>
      <c r="GJ992" s="157"/>
      <c r="GK992" s="157"/>
      <c r="GL992" s="157"/>
      <c r="GM992" s="157"/>
      <c r="GN992" s="157"/>
      <c r="GO992" s="157"/>
      <c r="GP992" s="158"/>
      <c r="GQ992" s="157"/>
      <c r="GR992" s="157"/>
      <c r="GS992" s="157"/>
      <c r="GT992" s="157"/>
      <c r="GU992" s="157"/>
      <c r="GV992" s="157"/>
      <c r="GW992" s="157"/>
      <c r="GX992" s="157"/>
      <c r="GY992" s="157"/>
      <c r="GZ992" s="157"/>
      <c r="HA992" s="157"/>
      <c r="HB992" s="155">
        <v>0.0</v>
      </c>
      <c r="HC992" s="155">
        <v>0.0</v>
      </c>
      <c r="HD992" s="155">
        <v>0.0</v>
      </c>
      <c r="HE992" s="155">
        <v>0.0</v>
      </c>
      <c r="HF992" s="155">
        <v>0.0</v>
      </c>
      <c r="HG992" s="155">
        <v>0.0</v>
      </c>
      <c r="IL992" s="159">
        <v>0.0</v>
      </c>
      <c r="IM992" s="156">
        <v>0.0</v>
      </c>
      <c r="IN992" s="156">
        <v>0.0</v>
      </c>
      <c r="IO992" s="156">
        <v>0.0</v>
      </c>
      <c r="IP992" s="156">
        <v>0.0</v>
      </c>
      <c r="IQ992" s="160">
        <v>0.0</v>
      </c>
      <c r="JH992" s="25"/>
      <c r="JW992" s="159">
        <v>0.0</v>
      </c>
      <c r="JX992" s="156">
        <v>0.0</v>
      </c>
      <c r="JY992" s="156">
        <v>0.0</v>
      </c>
      <c r="JZ992" s="156">
        <v>0.0</v>
      </c>
      <c r="KA992" s="156">
        <v>0.0</v>
      </c>
      <c r="KB992" s="160">
        <v>0.0</v>
      </c>
      <c r="LH992" s="159">
        <f t="shared" si="10"/>
        <v>0</v>
      </c>
      <c r="LI992" s="156">
        <f t="shared" si="11"/>
        <v>0</v>
      </c>
      <c r="LJ992" s="156">
        <f t="shared" si="12"/>
        <v>0</v>
      </c>
      <c r="LK992" s="156">
        <f t="shared" si="13"/>
        <v>0</v>
      </c>
      <c r="LL992" s="156">
        <f t="shared" si="14"/>
        <v>0</v>
      </c>
      <c r="LM992" s="160">
        <f t="shared" si="15"/>
        <v>0</v>
      </c>
      <c r="QX992" s="633"/>
    </row>
    <row r="993">
      <c r="A993" s="12"/>
      <c r="B993" s="12"/>
      <c r="C993" s="12"/>
      <c r="D993" s="12"/>
      <c r="E993" s="12"/>
      <c r="F993" s="12"/>
      <c r="G993" s="12"/>
      <c r="H993" s="12"/>
      <c r="I993" s="143">
        <f t="shared" si="22"/>
        <v>0</v>
      </c>
      <c r="J993" s="108"/>
      <c r="K993" s="203"/>
      <c r="L993" s="108"/>
      <c r="V993" s="161"/>
      <c r="X993" s="140"/>
      <c r="Y993" s="166">
        <f t="shared" si="23"/>
        <v>0</v>
      </c>
      <c r="Z993" s="26">
        <f t="shared" si="7"/>
        <v>0</v>
      </c>
      <c r="AA993" s="26">
        <f t="shared" si="8"/>
        <v>0</v>
      </c>
      <c r="AB993" s="26">
        <f t="shared" si="9"/>
        <v>0</v>
      </c>
      <c r="AC993" s="156">
        <v>0.0</v>
      </c>
      <c r="AD993" s="156">
        <v>0.0</v>
      </c>
      <c r="AE993" s="156">
        <v>0.0</v>
      </c>
      <c r="AF993" s="156">
        <v>0.0</v>
      </c>
      <c r="AG993" s="156">
        <v>0.0</v>
      </c>
      <c r="AH993" s="156">
        <v>0.0</v>
      </c>
      <c r="BN993" s="155">
        <v>0.0</v>
      </c>
      <c r="BO993" s="155">
        <v>0.0</v>
      </c>
      <c r="BP993" s="155">
        <v>0.0</v>
      </c>
      <c r="BQ993" s="155">
        <v>0.0</v>
      </c>
      <c r="BR993" s="155">
        <v>0.0</v>
      </c>
      <c r="BS993" s="155">
        <v>0.0</v>
      </c>
      <c r="CV993" s="156">
        <v>0.0</v>
      </c>
      <c r="CW993" s="156">
        <v>0.0</v>
      </c>
      <c r="CX993" s="156">
        <v>0.0</v>
      </c>
      <c r="CY993" s="156">
        <v>0.0</v>
      </c>
      <c r="CZ993" s="156">
        <v>0.0</v>
      </c>
      <c r="DA993" s="156">
        <v>0.0</v>
      </c>
      <c r="EG993" s="156">
        <v>0.0</v>
      </c>
      <c r="EH993" s="156">
        <v>0.0</v>
      </c>
      <c r="EI993" s="156">
        <v>0.0</v>
      </c>
      <c r="EJ993" s="156">
        <v>0.0</v>
      </c>
      <c r="EK993" s="156">
        <v>0.0</v>
      </c>
      <c r="EL993" s="156">
        <v>0.0</v>
      </c>
      <c r="FQ993" s="156">
        <v>0.0</v>
      </c>
      <c r="FR993" s="156">
        <v>0.0</v>
      </c>
      <c r="FS993" s="156">
        <v>0.0</v>
      </c>
      <c r="FT993" s="156">
        <v>0.0</v>
      </c>
      <c r="FU993" s="156">
        <v>0.0</v>
      </c>
      <c r="FV993" s="156">
        <v>0.0</v>
      </c>
      <c r="FW993" s="157"/>
      <c r="FX993" s="157"/>
      <c r="FY993" s="157"/>
      <c r="FZ993" s="157"/>
      <c r="GA993" s="157"/>
      <c r="GB993" s="157"/>
      <c r="GC993" s="157"/>
      <c r="GD993" s="157"/>
      <c r="GE993" s="157"/>
      <c r="GF993" s="157"/>
      <c r="GG993" s="157"/>
      <c r="GH993" s="157"/>
      <c r="GI993" s="157"/>
      <c r="GJ993" s="157"/>
      <c r="GK993" s="157"/>
      <c r="GL993" s="157"/>
      <c r="GM993" s="157"/>
      <c r="GN993" s="157"/>
      <c r="GO993" s="157"/>
      <c r="GP993" s="158"/>
      <c r="GQ993" s="157"/>
      <c r="GR993" s="157"/>
      <c r="GS993" s="157"/>
      <c r="GT993" s="157"/>
      <c r="GU993" s="157"/>
      <c r="GV993" s="157"/>
      <c r="GW993" s="157"/>
      <c r="GX993" s="157"/>
      <c r="GY993" s="157"/>
      <c r="GZ993" s="157"/>
      <c r="HA993" s="157"/>
      <c r="HB993" s="155">
        <v>0.0</v>
      </c>
      <c r="HC993" s="155">
        <v>0.0</v>
      </c>
      <c r="HD993" s="155">
        <v>0.0</v>
      </c>
      <c r="HE993" s="155">
        <v>0.0</v>
      </c>
      <c r="HF993" s="155">
        <v>0.0</v>
      </c>
      <c r="HG993" s="155">
        <v>0.0</v>
      </c>
      <c r="IL993" s="159">
        <v>0.0</v>
      </c>
      <c r="IM993" s="156">
        <v>0.0</v>
      </c>
      <c r="IN993" s="156">
        <v>0.0</v>
      </c>
      <c r="IO993" s="156">
        <v>0.0</v>
      </c>
      <c r="IP993" s="156">
        <v>0.0</v>
      </c>
      <c r="IQ993" s="160">
        <v>0.0</v>
      </c>
      <c r="JH993" s="25"/>
      <c r="JW993" s="159">
        <v>0.0</v>
      </c>
      <c r="JX993" s="156">
        <v>0.0</v>
      </c>
      <c r="JY993" s="156">
        <v>0.0</v>
      </c>
      <c r="JZ993" s="156">
        <v>0.0</v>
      </c>
      <c r="KA993" s="156">
        <v>0.0</v>
      </c>
      <c r="KB993" s="160">
        <v>0.0</v>
      </c>
      <c r="LH993" s="159">
        <f t="shared" si="10"/>
        <v>0</v>
      </c>
      <c r="LI993" s="156">
        <f t="shared" si="11"/>
        <v>0</v>
      </c>
      <c r="LJ993" s="156">
        <f t="shared" si="12"/>
        <v>0</v>
      </c>
      <c r="LK993" s="156">
        <f t="shared" si="13"/>
        <v>0</v>
      </c>
      <c r="LL993" s="156">
        <f t="shared" si="14"/>
        <v>0</v>
      </c>
      <c r="LM993" s="160">
        <f t="shared" si="15"/>
        <v>0</v>
      </c>
      <c r="QX993" s="633"/>
    </row>
    <row r="994">
      <c r="A994" s="12"/>
      <c r="B994" s="12"/>
      <c r="C994" s="12"/>
      <c r="D994" s="12"/>
      <c r="E994" s="12"/>
      <c r="F994" s="12"/>
      <c r="G994" s="12"/>
      <c r="H994" s="12"/>
      <c r="I994" s="143">
        <f t="shared" si="22"/>
        <v>0</v>
      </c>
      <c r="J994" s="108"/>
      <c r="K994" s="203"/>
      <c r="L994" s="108"/>
      <c r="V994" s="161"/>
      <c r="X994" s="140"/>
      <c r="Y994" s="166">
        <f t="shared" si="23"/>
        <v>0</v>
      </c>
      <c r="Z994" s="26">
        <f t="shared" si="7"/>
        <v>0</v>
      </c>
      <c r="AA994" s="26">
        <f t="shared" si="8"/>
        <v>0</v>
      </c>
      <c r="AB994" s="26">
        <f t="shared" si="9"/>
        <v>0</v>
      </c>
      <c r="AC994" s="156">
        <v>0.0</v>
      </c>
      <c r="AD994" s="156">
        <v>0.0</v>
      </c>
      <c r="AE994" s="156">
        <v>0.0</v>
      </c>
      <c r="AF994" s="156">
        <v>0.0</v>
      </c>
      <c r="AG994" s="156">
        <v>0.0</v>
      </c>
      <c r="AH994" s="156">
        <v>0.0</v>
      </c>
      <c r="BN994" s="155">
        <v>0.0</v>
      </c>
      <c r="BO994" s="155">
        <v>0.0</v>
      </c>
      <c r="BP994" s="155">
        <v>0.0</v>
      </c>
      <c r="BQ994" s="155">
        <v>0.0</v>
      </c>
      <c r="BR994" s="155">
        <v>0.0</v>
      </c>
      <c r="BS994" s="155">
        <v>0.0</v>
      </c>
      <c r="CV994" s="156">
        <v>0.0</v>
      </c>
      <c r="CW994" s="156">
        <v>0.0</v>
      </c>
      <c r="CX994" s="156">
        <v>0.0</v>
      </c>
      <c r="CY994" s="156">
        <v>0.0</v>
      </c>
      <c r="CZ994" s="156">
        <v>0.0</v>
      </c>
      <c r="DA994" s="156">
        <v>0.0</v>
      </c>
      <c r="EG994" s="156">
        <v>0.0</v>
      </c>
      <c r="EH994" s="156">
        <v>0.0</v>
      </c>
      <c r="EI994" s="156">
        <v>0.0</v>
      </c>
      <c r="EJ994" s="156">
        <v>0.0</v>
      </c>
      <c r="EK994" s="156">
        <v>0.0</v>
      </c>
      <c r="EL994" s="156">
        <v>0.0</v>
      </c>
      <c r="FQ994" s="156">
        <v>0.0</v>
      </c>
      <c r="FR994" s="156">
        <v>0.0</v>
      </c>
      <c r="FS994" s="156">
        <v>0.0</v>
      </c>
      <c r="FT994" s="156">
        <v>0.0</v>
      </c>
      <c r="FU994" s="156">
        <v>0.0</v>
      </c>
      <c r="FV994" s="156">
        <v>0.0</v>
      </c>
      <c r="FW994" s="157"/>
      <c r="FX994" s="157"/>
      <c r="FY994" s="157"/>
      <c r="FZ994" s="157"/>
      <c r="GA994" s="157"/>
      <c r="GB994" s="157"/>
      <c r="GC994" s="157"/>
      <c r="GD994" s="157"/>
      <c r="GE994" s="157"/>
      <c r="GF994" s="157"/>
      <c r="GG994" s="157"/>
      <c r="GH994" s="157"/>
      <c r="GI994" s="157"/>
      <c r="GJ994" s="157"/>
      <c r="GK994" s="157"/>
      <c r="GL994" s="157"/>
      <c r="GM994" s="157"/>
      <c r="GN994" s="157"/>
      <c r="GO994" s="157"/>
      <c r="GP994" s="158"/>
      <c r="GQ994" s="157"/>
      <c r="GR994" s="157"/>
      <c r="GS994" s="157"/>
      <c r="GT994" s="157"/>
      <c r="GU994" s="157"/>
      <c r="GV994" s="157"/>
      <c r="GW994" s="157"/>
      <c r="GX994" s="157"/>
      <c r="GY994" s="157"/>
      <c r="GZ994" s="157"/>
      <c r="HA994" s="157"/>
      <c r="HB994" s="155">
        <v>0.0</v>
      </c>
      <c r="HC994" s="155">
        <v>0.0</v>
      </c>
      <c r="HD994" s="155">
        <v>0.0</v>
      </c>
      <c r="HE994" s="155">
        <v>0.0</v>
      </c>
      <c r="HF994" s="155">
        <v>0.0</v>
      </c>
      <c r="HG994" s="155">
        <v>0.0</v>
      </c>
      <c r="IL994" s="159">
        <v>0.0</v>
      </c>
      <c r="IM994" s="156">
        <v>0.0</v>
      </c>
      <c r="IN994" s="156">
        <v>0.0</v>
      </c>
      <c r="IO994" s="156">
        <v>0.0</v>
      </c>
      <c r="IP994" s="156">
        <v>0.0</v>
      </c>
      <c r="IQ994" s="160">
        <v>0.0</v>
      </c>
      <c r="JH994" s="25"/>
      <c r="JW994" s="159">
        <v>0.0</v>
      </c>
      <c r="JX994" s="156">
        <v>0.0</v>
      </c>
      <c r="JY994" s="156">
        <v>0.0</v>
      </c>
      <c r="JZ994" s="156">
        <v>0.0</v>
      </c>
      <c r="KA994" s="156">
        <v>0.0</v>
      </c>
      <c r="KB994" s="160">
        <v>0.0</v>
      </c>
      <c r="LH994" s="159">
        <f t="shared" si="10"/>
        <v>0</v>
      </c>
      <c r="LI994" s="156">
        <f t="shared" si="11"/>
        <v>0</v>
      </c>
      <c r="LJ994" s="156">
        <f t="shared" si="12"/>
        <v>0</v>
      </c>
      <c r="LK994" s="156">
        <f t="shared" si="13"/>
        <v>0</v>
      </c>
      <c r="LL994" s="156">
        <f t="shared" si="14"/>
        <v>0</v>
      </c>
      <c r="LM994" s="160">
        <f t="shared" si="15"/>
        <v>0</v>
      </c>
      <c r="QX994" s="633"/>
    </row>
    <row r="995">
      <c r="A995" s="12"/>
      <c r="B995" s="12"/>
      <c r="C995" s="12"/>
      <c r="D995" s="12"/>
      <c r="E995" s="12"/>
      <c r="F995" s="12"/>
      <c r="G995" s="12"/>
      <c r="H995" s="12"/>
      <c r="I995" s="143">
        <f t="shared" si="22"/>
        <v>0</v>
      </c>
      <c r="J995" s="108"/>
      <c r="K995" s="203"/>
      <c r="L995" s="108"/>
      <c r="V995" s="161"/>
      <c r="X995" s="140"/>
      <c r="Y995" s="166">
        <f t="shared" si="23"/>
        <v>0</v>
      </c>
      <c r="Z995" s="26">
        <f t="shared" si="7"/>
        <v>0</v>
      </c>
      <c r="AA995" s="26">
        <f t="shared" si="8"/>
        <v>0</v>
      </c>
      <c r="AB995" s="26">
        <f t="shared" si="9"/>
        <v>0</v>
      </c>
      <c r="AC995" s="156">
        <v>0.0</v>
      </c>
      <c r="AD995" s="156">
        <v>0.0</v>
      </c>
      <c r="AE995" s="156">
        <v>0.0</v>
      </c>
      <c r="AF995" s="156">
        <v>0.0</v>
      </c>
      <c r="AG995" s="156">
        <v>0.0</v>
      </c>
      <c r="AH995" s="156">
        <v>0.0</v>
      </c>
      <c r="BN995" s="155">
        <v>0.0</v>
      </c>
      <c r="BO995" s="155">
        <v>0.0</v>
      </c>
      <c r="BP995" s="155">
        <v>0.0</v>
      </c>
      <c r="BQ995" s="155">
        <v>0.0</v>
      </c>
      <c r="BR995" s="155">
        <v>0.0</v>
      </c>
      <c r="BS995" s="155">
        <v>0.0</v>
      </c>
      <c r="CV995" s="156">
        <v>0.0</v>
      </c>
      <c r="CW995" s="156">
        <v>0.0</v>
      </c>
      <c r="CX995" s="156">
        <v>0.0</v>
      </c>
      <c r="CY995" s="156">
        <v>0.0</v>
      </c>
      <c r="CZ995" s="156">
        <v>0.0</v>
      </c>
      <c r="DA995" s="156">
        <v>0.0</v>
      </c>
      <c r="EG995" s="156">
        <v>0.0</v>
      </c>
      <c r="EH995" s="156">
        <v>0.0</v>
      </c>
      <c r="EI995" s="156">
        <v>0.0</v>
      </c>
      <c r="EJ995" s="156">
        <v>0.0</v>
      </c>
      <c r="EK995" s="156">
        <v>0.0</v>
      </c>
      <c r="EL995" s="156">
        <v>0.0</v>
      </c>
      <c r="FQ995" s="156">
        <v>0.0</v>
      </c>
      <c r="FR995" s="156">
        <v>0.0</v>
      </c>
      <c r="FS995" s="156">
        <v>0.0</v>
      </c>
      <c r="FT995" s="156">
        <v>0.0</v>
      </c>
      <c r="FU995" s="156">
        <v>0.0</v>
      </c>
      <c r="FV995" s="156">
        <v>0.0</v>
      </c>
      <c r="FW995" s="157"/>
      <c r="FX995" s="157"/>
      <c r="FY995" s="157"/>
      <c r="FZ995" s="157"/>
      <c r="GA995" s="157"/>
      <c r="GB995" s="157"/>
      <c r="GC995" s="157"/>
      <c r="GD995" s="157"/>
      <c r="GE995" s="157"/>
      <c r="GF995" s="157"/>
      <c r="GG995" s="157"/>
      <c r="GH995" s="157"/>
      <c r="GI995" s="157"/>
      <c r="GJ995" s="157"/>
      <c r="GK995" s="157"/>
      <c r="GL995" s="157"/>
      <c r="GM995" s="157"/>
      <c r="GN995" s="157"/>
      <c r="GO995" s="157"/>
      <c r="GP995" s="158"/>
      <c r="GQ995" s="157"/>
      <c r="GR995" s="157"/>
      <c r="GS995" s="157"/>
      <c r="GT995" s="157"/>
      <c r="GU995" s="157"/>
      <c r="GV995" s="157"/>
      <c r="GW995" s="157"/>
      <c r="GX995" s="157"/>
      <c r="GY995" s="157"/>
      <c r="GZ995" s="157"/>
      <c r="HA995" s="157"/>
      <c r="HB995" s="155">
        <v>0.0</v>
      </c>
      <c r="HC995" s="155">
        <v>0.0</v>
      </c>
      <c r="HD995" s="155">
        <v>0.0</v>
      </c>
      <c r="HE995" s="155">
        <v>0.0</v>
      </c>
      <c r="HF995" s="155">
        <v>0.0</v>
      </c>
      <c r="HG995" s="155">
        <v>0.0</v>
      </c>
      <c r="IL995" s="159">
        <v>0.0</v>
      </c>
      <c r="IM995" s="156">
        <v>0.0</v>
      </c>
      <c r="IN995" s="156">
        <v>0.0</v>
      </c>
      <c r="IO995" s="156">
        <v>0.0</v>
      </c>
      <c r="IP995" s="156">
        <v>0.0</v>
      </c>
      <c r="IQ995" s="160">
        <v>0.0</v>
      </c>
      <c r="JH995" s="25"/>
      <c r="JW995" s="159">
        <v>0.0</v>
      </c>
      <c r="JX995" s="156">
        <v>0.0</v>
      </c>
      <c r="JY995" s="156">
        <v>0.0</v>
      </c>
      <c r="JZ995" s="156">
        <v>0.0</v>
      </c>
      <c r="KA995" s="156">
        <v>0.0</v>
      </c>
      <c r="KB995" s="160">
        <v>0.0</v>
      </c>
      <c r="LH995" s="159">
        <f t="shared" si="10"/>
        <v>0</v>
      </c>
      <c r="LI995" s="156">
        <f t="shared" si="11"/>
        <v>0</v>
      </c>
      <c r="LJ995" s="156">
        <f t="shared" si="12"/>
        <v>0</v>
      </c>
      <c r="LK995" s="156">
        <f t="shared" si="13"/>
        <v>0</v>
      </c>
      <c r="LL995" s="156">
        <f t="shared" si="14"/>
        <v>0</v>
      </c>
      <c r="LM995" s="160">
        <f t="shared" si="15"/>
        <v>0</v>
      </c>
      <c r="QX995" s="633"/>
    </row>
    <row r="996">
      <c r="A996" s="12"/>
      <c r="B996" s="12"/>
      <c r="C996" s="12"/>
      <c r="D996" s="12"/>
      <c r="E996" s="12"/>
      <c r="F996" s="12"/>
      <c r="G996" s="12"/>
      <c r="H996" s="12"/>
      <c r="I996" s="143">
        <f t="shared" si="22"/>
        <v>0</v>
      </c>
      <c r="J996" s="108"/>
      <c r="K996" s="203"/>
      <c r="L996" s="108"/>
      <c r="V996" s="161"/>
      <c r="X996" s="140"/>
      <c r="Y996" s="166">
        <f t="shared" si="23"/>
        <v>0</v>
      </c>
      <c r="Z996" s="26">
        <f t="shared" si="7"/>
        <v>0</v>
      </c>
      <c r="AA996" s="26">
        <f t="shared" si="8"/>
        <v>0</v>
      </c>
      <c r="AB996" s="26">
        <f t="shared" si="9"/>
        <v>0</v>
      </c>
      <c r="AC996" s="156">
        <v>0.0</v>
      </c>
      <c r="AD996" s="156">
        <v>0.0</v>
      </c>
      <c r="AE996" s="156">
        <v>0.0</v>
      </c>
      <c r="AF996" s="156">
        <v>0.0</v>
      </c>
      <c r="AG996" s="156">
        <v>0.0</v>
      </c>
      <c r="AH996" s="156">
        <v>0.0</v>
      </c>
      <c r="BN996" s="155">
        <v>0.0</v>
      </c>
      <c r="BO996" s="155">
        <v>0.0</v>
      </c>
      <c r="BP996" s="155">
        <v>0.0</v>
      </c>
      <c r="BQ996" s="155">
        <v>0.0</v>
      </c>
      <c r="BR996" s="155">
        <v>0.0</v>
      </c>
      <c r="BS996" s="155">
        <v>0.0</v>
      </c>
      <c r="CV996" s="156">
        <v>0.0</v>
      </c>
      <c r="CW996" s="156">
        <v>0.0</v>
      </c>
      <c r="CX996" s="156">
        <v>0.0</v>
      </c>
      <c r="CY996" s="156">
        <v>0.0</v>
      </c>
      <c r="CZ996" s="156">
        <v>0.0</v>
      </c>
      <c r="DA996" s="156">
        <v>0.0</v>
      </c>
      <c r="EG996" s="156">
        <v>0.0</v>
      </c>
      <c r="EH996" s="156">
        <v>0.0</v>
      </c>
      <c r="EI996" s="156">
        <v>0.0</v>
      </c>
      <c r="EJ996" s="156">
        <v>0.0</v>
      </c>
      <c r="EK996" s="156">
        <v>0.0</v>
      </c>
      <c r="EL996" s="156">
        <v>0.0</v>
      </c>
      <c r="FQ996" s="156">
        <v>0.0</v>
      </c>
      <c r="FR996" s="156">
        <v>0.0</v>
      </c>
      <c r="FS996" s="156">
        <v>0.0</v>
      </c>
      <c r="FT996" s="156">
        <v>0.0</v>
      </c>
      <c r="FU996" s="156">
        <v>0.0</v>
      </c>
      <c r="FV996" s="156">
        <v>0.0</v>
      </c>
      <c r="FW996" s="157"/>
      <c r="FX996" s="157"/>
      <c r="FY996" s="157"/>
      <c r="FZ996" s="157"/>
      <c r="GA996" s="157"/>
      <c r="GB996" s="157"/>
      <c r="GC996" s="157"/>
      <c r="GD996" s="157"/>
      <c r="GE996" s="157"/>
      <c r="GF996" s="157"/>
      <c r="GG996" s="157"/>
      <c r="GH996" s="157"/>
      <c r="GI996" s="157"/>
      <c r="GJ996" s="157"/>
      <c r="GK996" s="157"/>
      <c r="GL996" s="157"/>
      <c r="GM996" s="157"/>
      <c r="GN996" s="157"/>
      <c r="GO996" s="157"/>
      <c r="GP996" s="158"/>
      <c r="GQ996" s="157"/>
      <c r="GR996" s="157"/>
      <c r="GS996" s="157"/>
      <c r="GT996" s="157"/>
      <c r="GU996" s="157"/>
      <c r="GV996" s="157"/>
      <c r="GW996" s="157"/>
      <c r="GX996" s="157"/>
      <c r="GY996" s="157"/>
      <c r="GZ996" s="157"/>
      <c r="HA996" s="157"/>
      <c r="HB996" s="155">
        <v>0.0</v>
      </c>
      <c r="HC996" s="155">
        <v>0.0</v>
      </c>
      <c r="HD996" s="155">
        <v>0.0</v>
      </c>
      <c r="HE996" s="155">
        <v>0.0</v>
      </c>
      <c r="HF996" s="155">
        <v>0.0</v>
      </c>
      <c r="HG996" s="155">
        <v>0.0</v>
      </c>
      <c r="IL996" s="159">
        <v>0.0</v>
      </c>
      <c r="IM996" s="156">
        <v>0.0</v>
      </c>
      <c r="IN996" s="156">
        <v>0.0</v>
      </c>
      <c r="IO996" s="156">
        <v>0.0</v>
      </c>
      <c r="IP996" s="156">
        <v>0.0</v>
      </c>
      <c r="IQ996" s="160">
        <v>0.0</v>
      </c>
      <c r="JH996" s="25"/>
      <c r="JW996" s="159">
        <v>0.0</v>
      </c>
      <c r="JX996" s="156">
        <v>0.0</v>
      </c>
      <c r="JY996" s="156">
        <v>0.0</v>
      </c>
      <c r="JZ996" s="156">
        <v>0.0</v>
      </c>
      <c r="KA996" s="156">
        <v>0.0</v>
      </c>
      <c r="KB996" s="160">
        <v>0.0</v>
      </c>
      <c r="LH996" s="159">
        <f t="shared" si="10"/>
        <v>0</v>
      </c>
      <c r="LI996" s="156">
        <f t="shared" si="11"/>
        <v>0</v>
      </c>
      <c r="LJ996" s="156">
        <f t="shared" si="12"/>
        <v>0</v>
      </c>
      <c r="LK996" s="156">
        <f t="shared" si="13"/>
        <v>0</v>
      </c>
      <c r="LL996" s="156">
        <f t="shared" si="14"/>
        <v>0</v>
      </c>
      <c r="LM996" s="160">
        <f t="shared" si="15"/>
        <v>0</v>
      </c>
      <c r="QX996" s="633"/>
    </row>
    <row r="997">
      <c r="A997" s="12"/>
      <c r="B997" s="12"/>
      <c r="C997" s="12"/>
      <c r="D997" s="12"/>
      <c r="E997" s="12"/>
      <c r="F997" s="12"/>
      <c r="G997" s="12"/>
      <c r="H997" s="12"/>
      <c r="I997" s="143">
        <f t="shared" si="22"/>
        <v>0</v>
      </c>
      <c r="J997" s="108"/>
      <c r="K997" s="203"/>
      <c r="L997" s="108"/>
      <c r="V997" s="161"/>
      <c r="X997" s="140"/>
      <c r="Y997" s="166">
        <f t="shared" si="23"/>
        <v>0</v>
      </c>
      <c r="Z997" s="26">
        <f t="shared" si="7"/>
        <v>0</v>
      </c>
      <c r="AA997" s="26">
        <f t="shared" si="8"/>
        <v>0</v>
      </c>
      <c r="AB997" s="26">
        <f t="shared" si="9"/>
        <v>0</v>
      </c>
      <c r="AC997" s="156">
        <v>0.0</v>
      </c>
      <c r="AD997" s="156">
        <v>0.0</v>
      </c>
      <c r="AE997" s="156">
        <v>0.0</v>
      </c>
      <c r="AF997" s="156">
        <v>0.0</v>
      </c>
      <c r="AG997" s="156">
        <v>0.0</v>
      </c>
      <c r="AH997" s="156">
        <v>0.0</v>
      </c>
      <c r="BN997" s="155">
        <v>0.0</v>
      </c>
      <c r="BO997" s="155">
        <v>0.0</v>
      </c>
      <c r="BP997" s="155">
        <v>0.0</v>
      </c>
      <c r="BQ997" s="155">
        <v>0.0</v>
      </c>
      <c r="BR997" s="155">
        <v>0.0</v>
      </c>
      <c r="BS997" s="155">
        <v>0.0</v>
      </c>
      <c r="CV997" s="156">
        <v>0.0</v>
      </c>
      <c r="CW997" s="156">
        <v>0.0</v>
      </c>
      <c r="CX997" s="156">
        <v>0.0</v>
      </c>
      <c r="CY997" s="156">
        <v>0.0</v>
      </c>
      <c r="CZ997" s="156">
        <v>0.0</v>
      </c>
      <c r="DA997" s="156">
        <v>0.0</v>
      </c>
      <c r="EG997" s="156">
        <v>0.0</v>
      </c>
      <c r="EH997" s="156">
        <v>0.0</v>
      </c>
      <c r="EI997" s="156">
        <v>0.0</v>
      </c>
      <c r="EJ997" s="156">
        <v>0.0</v>
      </c>
      <c r="EK997" s="156">
        <v>0.0</v>
      </c>
      <c r="EL997" s="156">
        <v>0.0</v>
      </c>
      <c r="FQ997" s="156">
        <v>0.0</v>
      </c>
      <c r="FR997" s="156">
        <v>0.0</v>
      </c>
      <c r="FS997" s="156">
        <v>0.0</v>
      </c>
      <c r="FT997" s="156">
        <v>0.0</v>
      </c>
      <c r="FU997" s="156">
        <v>0.0</v>
      </c>
      <c r="FV997" s="156">
        <v>0.0</v>
      </c>
      <c r="FW997" s="157"/>
      <c r="FX997" s="157"/>
      <c r="FY997" s="157"/>
      <c r="FZ997" s="157"/>
      <c r="GA997" s="157"/>
      <c r="GB997" s="157"/>
      <c r="GC997" s="157"/>
      <c r="GD997" s="157"/>
      <c r="GE997" s="157"/>
      <c r="GF997" s="157"/>
      <c r="GG997" s="157"/>
      <c r="GH997" s="157"/>
      <c r="GI997" s="157"/>
      <c r="GJ997" s="157"/>
      <c r="GK997" s="157"/>
      <c r="GL997" s="157"/>
      <c r="GM997" s="157"/>
      <c r="GN997" s="157"/>
      <c r="GO997" s="157"/>
      <c r="GP997" s="158"/>
      <c r="GQ997" s="157"/>
      <c r="GR997" s="157"/>
      <c r="GS997" s="157"/>
      <c r="GT997" s="157"/>
      <c r="GU997" s="157"/>
      <c r="GV997" s="157"/>
      <c r="GW997" s="157"/>
      <c r="GX997" s="157"/>
      <c r="GY997" s="157"/>
      <c r="GZ997" s="157"/>
      <c r="HA997" s="157"/>
      <c r="HB997" s="155">
        <v>0.0</v>
      </c>
      <c r="HC997" s="155">
        <v>0.0</v>
      </c>
      <c r="HD997" s="155">
        <v>0.0</v>
      </c>
      <c r="HE997" s="155">
        <v>0.0</v>
      </c>
      <c r="HF997" s="155">
        <v>0.0</v>
      </c>
      <c r="HG997" s="155">
        <v>0.0</v>
      </c>
      <c r="IL997" s="159">
        <v>0.0</v>
      </c>
      <c r="IM997" s="156">
        <v>0.0</v>
      </c>
      <c r="IN997" s="156">
        <v>0.0</v>
      </c>
      <c r="IO997" s="156">
        <v>0.0</v>
      </c>
      <c r="IP997" s="156">
        <v>0.0</v>
      </c>
      <c r="IQ997" s="160">
        <v>0.0</v>
      </c>
      <c r="JH997" s="25"/>
      <c r="JW997" s="159">
        <v>0.0</v>
      </c>
      <c r="JX997" s="156">
        <v>0.0</v>
      </c>
      <c r="JY997" s="156">
        <v>0.0</v>
      </c>
      <c r="JZ997" s="156">
        <v>0.0</v>
      </c>
      <c r="KA997" s="156">
        <v>0.0</v>
      </c>
      <c r="KB997" s="160">
        <v>0.0</v>
      </c>
      <c r="LH997" s="159">
        <f t="shared" si="10"/>
        <v>0</v>
      </c>
      <c r="LI997" s="156">
        <f t="shared" si="11"/>
        <v>0</v>
      </c>
      <c r="LJ997" s="156">
        <f t="shared" si="12"/>
        <v>0</v>
      </c>
      <c r="LK997" s="156">
        <f t="shared" si="13"/>
        <v>0</v>
      </c>
      <c r="LL997" s="156">
        <f t="shared" si="14"/>
        <v>0</v>
      </c>
      <c r="LM997" s="160">
        <f t="shared" si="15"/>
        <v>0</v>
      </c>
      <c r="QX997" s="633"/>
    </row>
    <row r="998">
      <c r="A998" s="12"/>
      <c r="B998" s="12"/>
      <c r="C998" s="12"/>
      <c r="D998" s="12"/>
      <c r="E998" s="12"/>
      <c r="F998" s="12"/>
      <c r="G998" s="12"/>
      <c r="H998" s="12"/>
      <c r="I998" s="143">
        <f t="shared" si="22"/>
        <v>0</v>
      </c>
      <c r="J998" s="108"/>
      <c r="K998" s="203"/>
      <c r="L998" s="108"/>
      <c r="V998" s="161"/>
      <c r="X998" s="140"/>
      <c r="Y998" s="166">
        <f t="shared" si="23"/>
        <v>0</v>
      </c>
      <c r="Z998" s="26">
        <f t="shared" si="7"/>
        <v>0</v>
      </c>
      <c r="AA998" s="26">
        <f t="shared" si="8"/>
        <v>0</v>
      </c>
      <c r="AB998" s="26">
        <f t="shared" si="9"/>
        <v>0</v>
      </c>
      <c r="AC998" s="156">
        <v>0.0</v>
      </c>
      <c r="AD998" s="156">
        <v>0.0</v>
      </c>
      <c r="AE998" s="156">
        <v>0.0</v>
      </c>
      <c r="AF998" s="156">
        <v>0.0</v>
      </c>
      <c r="AG998" s="156">
        <v>0.0</v>
      </c>
      <c r="AH998" s="156">
        <v>0.0</v>
      </c>
      <c r="BN998" s="155">
        <v>0.0</v>
      </c>
      <c r="BO998" s="155">
        <v>0.0</v>
      </c>
      <c r="BP998" s="155">
        <v>0.0</v>
      </c>
      <c r="BQ998" s="155">
        <v>0.0</v>
      </c>
      <c r="BR998" s="155">
        <v>0.0</v>
      </c>
      <c r="BS998" s="155">
        <v>0.0</v>
      </c>
      <c r="CV998" s="156">
        <v>0.0</v>
      </c>
      <c r="CW998" s="156">
        <v>0.0</v>
      </c>
      <c r="CX998" s="156">
        <v>0.0</v>
      </c>
      <c r="CY998" s="156">
        <v>0.0</v>
      </c>
      <c r="CZ998" s="156">
        <v>0.0</v>
      </c>
      <c r="DA998" s="156">
        <v>0.0</v>
      </c>
      <c r="EG998" s="156">
        <v>0.0</v>
      </c>
      <c r="EH998" s="156">
        <v>0.0</v>
      </c>
      <c r="EI998" s="156">
        <v>0.0</v>
      </c>
      <c r="EJ998" s="156">
        <v>0.0</v>
      </c>
      <c r="EK998" s="156">
        <v>0.0</v>
      </c>
      <c r="EL998" s="156">
        <v>0.0</v>
      </c>
      <c r="FQ998" s="156">
        <v>0.0</v>
      </c>
      <c r="FR998" s="156">
        <v>0.0</v>
      </c>
      <c r="FS998" s="156">
        <v>0.0</v>
      </c>
      <c r="FT998" s="156">
        <v>0.0</v>
      </c>
      <c r="FU998" s="156">
        <v>0.0</v>
      </c>
      <c r="FV998" s="156">
        <v>0.0</v>
      </c>
      <c r="FW998" s="157"/>
      <c r="FX998" s="157"/>
      <c r="FY998" s="157"/>
      <c r="FZ998" s="157"/>
      <c r="GA998" s="157"/>
      <c r="GB998" s="157"/>
      <c r="GC998" s="157"/>
      <c r="GD998" s="157"/>
      <c r="GE998" s="157"/>
      <c r="GF998" s="157"/>
      <c r="GG998" s="157"/>
      <c r="GH998" s="157"/>
      <c r="GI998" s="157"/>
      <c r="GJ998" s="157"/>
      <c r="GK998" s="157"/>
      <c r="GL998" s="157"/>
      <c r="GM998" s="157"/>
      <c r="GN998" s="157"/>
      <c r="GO998" s="157"/>
      <c r="GP998" s="158"/>
      <c r="GQ998" s="157"/>
      <c r="GR998" s="157"/>
      <c r="GS998" s="157"/>
      <c r="GT998" s="157"/>
      <c r="GU998" s="157"/>
      <c r="GV998" s="157"/>
      <c r="GW998" s="157"/>
      <c r="GX998" s="157"/>
      <c r="GY998" s="157"/>
      <c r="GZ998" s="157"/>
      <c r="HA998" s="157"/>
      <c r="HB998" s="155">
        <v>0.0</v>
      </c>
      <c r="HC998" s="155">
        <v>0.0</v>
      </c>
      <c r="HD998" s="155">
        <v>0.0</v>
      </c>
      <c r="HE998" s="155">
        <v>0.0</v>
      </c>
      <c r="HF998" s="155">
        <v>0.0</v>
      </c>
      <c r="HG998" s="155">
        <v>0.0</v>
      </c>
      <c r="IL998" s="159">
        <v>0.0</v>
      </c>
      <c r="IM998" s="156">
        <v>0.0</v>
      </c>
      <c r="IN998" s="156">
        <v>0.0</v>
      </c>
      <c r="IO998" s="156">
        <v>0.0</v>
      </c>
      <c r="IP998" s="156">
        <v>0.0</v>
      </c>
      <c r="IQ998" s="160">
        <v>0.0</v>
      </c>
      <c r="JH998" s="25"/>
      <c r="JW998" s="159">
        <v>0.0</v>
      </c>
      <c r="JX998" s="156">
        <v>0.0</v>
      </c>
      <c r="JY998" s="156">
        <v>0.0</v>
      </c>
      <c r="JZ998" s="156">
        <v>0.0</v>
      </c>
      <c r="KA998" s="156">
        <v>0.0</v>
      </c>
      <c r="KB998" s="160">
        <v>0.0</v>
      </c>
      <c r="LH998" s="159">
        <f t="shared" si="10"/>
        <v>0</v>
      </c>
      <c r="LI998" s="156">
        <f t="shared" si="11"/>
        <v>0</v>
      </c>
      <c r="LJ998" s="156">
        <f t="shared" si="12"/>
        <v>0</v>
      </c>
      <c r="LK998" s="156">
        <f t="shared" si="13"/>
        <v>0</v>
      </c>
      <c r="LL998" s="156">
        <f t="shared" si="14"/>
        <v>0</v>
      </c>
      <c r="LM998" s="160">
        <f t="shared" si="15"/>
        <v>0</v>
      </c>
      <c r="QX998" s="633"/>
    </row>
    <row r="999">
      <c r="A999" s="12"/>
      <c r="B999" s="12"/>
      <c r="C999" s="12"/>
      <c r="D999" s="12"/>
      <c r="E999" s="12"/>
      <c r="F999" s="12"/>
      <c r="G999" s="12"/>
      <c r="H999" s="12"/>
      <c r="I999" s="143">
        <f t="shared" si="22"/>
        <v>0</v>
      </c>
      <c r="J999" s="108"/>
      <c r="K999" s="203"/>
      <c r="L999" s="108"/>
      <c r="V999" s="161"/>
      <c r="X999" s="140"/>
      <c r="Y999" s="166">
        <f t="shared" si="23"/>
        <v>0</v>
      </c>
      <c r="Z999" s="26">
        <f t="shared" si="7"/>
        <v>0</v>
      </c>
      <c r="AA999" s="26">
        <f t="shared" si="8"/>
        <v>0</v>
      </c>
      <c r="AB999" s="26">
        <f t="shared" si="9"/>
        <v>0</v>
      </c>
      <c r="AC999" s="156">
        <v>0.0</v>
      </c>
      <c r="AD999" s="156">
        <v>0.0</v>
      </c>
      <c r="AE999" s="156">
        <v>0.0</v>
      </c>
      <c r="AF999" s="156">
        <v>0.0</v>
      </c>
      <c r="AG999" s="156">
        <v>0.0</v>
      </c>
      <c r="AH999" s="156">
        <v>0.0</v>
      </c>
      <c r="BN999" s="155">
        <v>0.0</v>
      </c>
      <c r="BO999" s="155">
        <v>0.0</v>
      </c>
      <c r="BP999" s="155">
        <v>0.0</v>
      </c>
      <c r="BQ999" s="155">
        <v>0.0</v>
      </c>
      <c r="BR999" s="155">
        <v>0.0</v>
      </c>
      <c r="BS999" s="155">
        <v>0.0</v>
      </c>
      <c r="CV999" s="156">
        <v>0.0</v>
      </c>
      <c r="CW999" s="156">
        <v>0.0</v>
      </c>
      <c r="CX999" s="156">
        <v>0.0</v>
      </c>
      <c r="CY999" s="156">
        <v>0.0</v>
      </c>
      <c r="CZ999" s="156">
        <v>0.0</v>
      </c>
      <c r="DA999" s="156">
        <v>0.0</v>
      </c>
      <c r="EG999" s="156">
        <v>0.0</v>
      </c>
      <c r="EH999" s="156">
        <v>0.0</v>
      </c>
      <c r="EI999" s="156">
        <v>0.0</v>
      </c>
      <c r="EJ999" s="156">
        <v>0.0</v>
      </c>
      <c r="EK999" s="156">
        <v>0.0</v>
      </c>
      <c r="EL999" s="156">
        <v>0.0</v>
      </c>
      <c r="FQ999" s="156">
        <v>0.0</v>
      </c>
      <c r="FR999" s="156">
        <v>0.0</v>
      </c>
      <c r="FS999" s="156">
        <v>0.0</v>
      </c>
      <c r="FT999" s="156">
        <v>0.0</v>
      </c>
      <c r="FU999" s="156">
        <v>0.0</v>
      </c>
      <c r="FV999" s="156">
        <v>0.0</v>
      </c>
      <c r="FW999" s="157"/>
      <c r="FX999" s="157"/>
      <c r="FY999" s="157"/>
      <c r="FZ999" s="157"/>
      <c r="GA999" s="157"/>
      <c r="GB999" s="157"/>
      <c r="GC999" s="157"/>
      <c r="GD999" s="157"/>
      <c r="GE999" s="157"/>
      <c r="GF999" s="157"/>
      <c r="GG999" s="157"/>
      <c r="GH999" s="157"/>
      <c r="GI999" s="157"/>
      <c r="GJ999" s="157"/>
      <c r="GK999" s="157"/>
      <c r="GL999" s="157"/>
      <c r="GM999" s="157"/>
      <c r="GN999" s="157"/>
      <c r="GO999" s="157"/>
      <c r="GP999" s="158"/>
      <c r="GQ999" s="157"/>
      <c r="GR999" s="157"/>
      <c r="GS999" s="157"/>
      <c r="GT999" s="157"/>
      <c r="GU999" s="157"/>
      <c r="GV999" s="157"/>
      <c r="GW999" s="157"/>
      <c r="GX999" s="157"/>
      <c r="GY999" s="157"/>
      <c r="GZ999" s="157"/>
      <c r="HA999" s="157"/>
      <c r="HB999" s="155">
        <v>0.0</v>
      </c>
      <c r="HC999" s="155">
        <v>0.0</v>
      </c>
      <c r="HD999" s="155">
        <v>0.0</v>
      </c>
      <c r="HE999" s="155">
        <v>0.0</v>
      </c>
      <c r="HF999" s="155">
        <v>0.0</v>
      </c>
      <c r="HG999" s="155">
        <v>0.0</v>
      </c>
      <c r="IL999" s="159">
        <v>0.0</v>
      </c>
      <c r="IM999" s="156">
        <v>0.0</v>
      </c>
      <c r="IN999" s="156">
        <v>0.0</v>
      </c>
      <c r="IO999" s="156">
        <v>0.0</v>
      </c>
      <c r="IP999" s="156">
        <v>0.0</v>
      </c>
      <c r="IQ999" s="160">
        <v>0.0</v>
      </c>
      <c r="JH999" s="25"/>
      <c r="JW999" s="159">
        <v>0.0</v>
      </c>
      <c r="JX999" s="156">
        <v>0.0</v>
      </c>
      <c r="JY999" s="156">
        <v>0.0</v>
      </c>
      <c r="JZ999" s="156">
        <v>0.0</v>
      </c>
      <c r="KA999" s="156">
        <v>0.0</v>
      </c>
      <c r="KB999" s="160">
        <v>0.0</v>
      </c>
      <c r="LH999" s="159">
        <f t="shared" si="10"/>
        <v>0</v>
      </c>
      <c r="LI999" s="156">
        <f t="shared" si="11"/>
        <v>0</v>
      </c>
      <c r="LJ999" s="156">
        <f t="shared" si="12"/>
        <v>0</v>
      </c>
      <c r="LK999" s="156">
        <f t="shared" si="13"/>
        <v>0</v>
      </c>
      <c r="LL999" s="156">
        <f t="shared" si="14"/>
        <v>0</v>
      </c>
      <c r="LM999" s="160">
        <f t="shared" si="15"/>
        <v>0</v>
      </c>
      <c r="QX999" s="633"/>
    </row>
    <row r="1000">
      <c r="A1000" s="12"/>
      <c r="B1000" s="12"/>
      <c r="C1000" s="12"/>
      <c r="D1000" s="12"/>
      <c r="E1000" s="12"/>
      <c r="F1000" s="12"/>
      <c r="G1000" s="12"/>
      <c r="H1000" s="12"/>
      <c r="I1000" s="143">
        <f t="shared" si="22"/>
        <v>0</v>
      </c>
      <c r="J1000" s="108"/>
      <c r="K1000" s="203"/>
      <c r="L1000" s="108"/>
      <c r="V1000" s="161"/>
      <c r="X1000" s="140"/>
      <c r="Y1000" s="166">
        <f t="shared" si="23"/>
        <v>0</v>
      </c>
      <c r="Z1000" s="26">
        <f t="shared" si="7"/>
        <v>0</v>
      </c>
      <c r="AA1000" s="26">
        <f t="shared" si="8"/>
        <v>0</v>
      </c>
      <c r="AB1000" s="26">
        <f t="shared" si="9"/>
        <v>0</v>
      </c>
      <c r="AC1000" s="156">
        <v>0.0</v>
      </c>
      <c r="AD1000" s="156">
        <v>0.0</v>
      </c>
      <c r="AE1000" s="156">
        <v>0.0</v>
      </c>
      <c r="AF1000" s="156">
        <v>0.0</v>
      </c>
      <c r="AG1000" s="156">
        <v>0.0</v>
      </c>
      <c r="AH1000" s="156">
        <v>0.0</v>
      </c>
      <c r="BN1000" s="155">
        <v>0.0</v>
      </c>
      <c r="BO1000" s="155">
        <v>0.0</v>
      </c>
      <c r="BP1000" s="155">
        <v>0.0</v>
      </c>
      <c r="BQ1000" s="155">
        <v>0.0</v>
      </c>
      <c r="BR1000" s="155">
        <v>0.0</v>
      </c>
      <c r="BS1000" s="155">
        <v>0.0</v>
      </c>
      <c r="CV1000" s="156">
        <v>0.0</v>
      </c>
      <c r="CW1000" s="156">
        <v>0.0</v>
      </c>
      <c r="CX1000" s="156">
        <v>0.0</v>
      </c>
      <c r="CY1000" s="156">
        <v>0.0</v>
      </c>
      <c r="CZ1000" s="156">
        <v>0.0</v>
      </c>
      <c r="DA1000" s="156">
        <v>0.0</v>
      </c>
      <c r="EG1000" s="156">
        <v>0.0</v>
      </c>
      <c r="EH1000" s="156">
        <v>0.0</v>
      </c>
      <c r="EI1000" s="156">
        <v>0.0</v>
      </c>
      <c r="EJ1000" s="156">
        <v>0.0</v>
      </c>
      <c r="EK1000" s="156">
        <v>0.0</v>
      </c>
      <c r="EL1000" s="156">
        <v>0.0</v>
      </c>
      <c r="FQ1000" s="156">
        <v>0.0</v>
      </c>
      <c r="FR1000" s="156">
        <v>0.0</v>
      </c>
      <c r="FS1000" s="156">
        <v>0.0</v>
      </c>
      <c r="FT1000" s="156">
        <v>0.0</v>
      </c>
      <c r="FU1000" s="156">
        <v>0.0</v>
      </c>
      <c r="FV1000" s="156">
        <v>0.0</v>
      </c>
      <c r="FW1000" s="157"/>
      <c r="FX1000" s="157"/>
      <c r="FY1000" s="157"/>
      <c r="FZ1000" s="157"/>
      <c r="GA1000" s="157"/>
      <c r="GB1000" s="157"/>
      <c r="GC1000" s="157"/>
      <c r="GD1000" s="157"/>
      <c r="GE1000" s="157"/>
      <c r="GF1000" s="157"/>
      <c r="GG1000" s="157"/>
      <c r="GH1000" s="157"/>
      <c r="GI1000" s="157"/>
      <c r="GJ1000" s="157"/>
      <c r="GK1000" s="157"/>
      <c r="GL1000" s="157"/>
      <c r="GM1000" s="157"/>
      <c r="GN1000" s="157"/>
      <c r="GO1000" s="157"/>
      <c r="GP1000" s="158"/>
      <c r="GQ1000" s="157"/>
      <c r="GR1000" s="157"/>
      <c r="GS1000" s="157"/>
      <c r="GT1000" s="157"/>
      <c r="GU1000" s="157"/>
      <c r="GV1000" s="157"/>
      <c r="GW1000" s="157"/>
      <c r="GX1000" s="157"/>
      <c r="GY1000" s="157"/>
      <c r="GZ1000" s="157"/>
      <c r="HA1000" s="157"/>
      <c r="HB1000" s="155">
        <v>0.0</v>
      </c>
      <c r="HC1000" s="155">
        <v>0.0</v>
      </c>
      <c r="HD1000" s="155">
        <v>0.0</v>
      </c>
      <c r="HE1000" s="155">
        <v>0.0</v>
      </c>
      <c r="HF1000" s="155">
        <v>0.0</v>
      </c>
      <c r="HG1000" s="155">
        <v>0.0</v>
      </c>
      <c r="IL1000" s="159">
        <v>0.0</v>
      </c>
      <c r="IM1000" s="156">
        <v>0.0</v>
      </c>
      <c r="IN1000" s="156">
        <v>0.0</v>
      </c>
      <c r="IO1000" s="156">
        <v>0.0</v>
      </c>
      <c r="IP1000" s="156">
        <v>0.0</v>
      </c>
      <c r="IQ1000" s="160">
        <v>0.0</v>
      </c>
      <c r="JH1000" s="25"/>
      <c r="JW1000" s="159">
        <v>0.0</v>
      </c>
      <c r="JX1000" s="156">
        <v>0.0</v>
      </c>
      <c r="JY1000" s="156">
        <v>0.0</v>
      </c>
      <c r="JZ1000" s="156">
        <v>0.0</v>
      </c>
      <c r="KA1000" s="156">
        <v>0.0</v>
      </c>
      <c r="KB1000" s="160">
        <v>0.0</v>
      </c>
      <c r="LH1000" s="159">
        <f t="shared" si="10"/>
        <v>0</v>
      </c>
      <c r="LI1000" s="156">
        <f t="shared" si="11"/>
        <v>0</v>
      </c>
      <c r="LJ1000" s="156">
        <f t="shared" si="12"/>
        <v>0</v>
      </c>
      <c r="LK1000" s="156">
        <f t="shared" si="13"/>
        <v>0</v>
      </c>
      <c r="LL1000" s="156">
        <f t="shared" si="14"/>
        <v>0</v>
      </c>
      <c r="LM1000" s="160">
        <f t="shared" si="15"/>
        <v>0</v>
      </c>
      <c r="QX1000" s="633"/>
    </row>
    <row r="1001">
      <c r="A1001" s="12"/>
      <c r="B1001" s="12"/>
      <c r="C1001" s="12"/>
      <c r="D1001" s="12"/>
      <c r="E1001" s="12"/>
      <c r="F1001" s="12"/>
      <c r="G1001" s="12"/>
      <c r="H1001" s="12"/>
      <c r="I1001" s="143">
        <f t="shared" si="22"/>
        <v>0</v>
      </c>
      <c r="J1001" s="108"/>
      <c r="K1001" s="203"/>
      <c r="L1001" s="108"/>
      <c r="V1001" s="161"/>
      <c r="X1001" s="140"/>
      <c r="Y1001" s="166">
        <f t="shared" si="23"/>
        <v>0</v>
      </c>
      <c r="Z1001" s="26">
        <f t="shared" si="7"/>
        <v>0</v>
      </c>
      <c r="AA1001" s="26">
        <f t="shared" si="8"/>
        <v>0</v>
      </c>
      <c r="AB1001" s="26">
        <f t="shared" si="9"/>
        <v>0</v>
      </c>
      <c r="AC1001" s="156">
        <v>0.0</v>
      </c>
      <c r="AD1001" s="156">
        <v>0.0</v>
      </c>
      <c r="AE1001" s="156">
        <v>0.0</v>
      </c>
      <c r="AF1001" s="156">
        <v>0.0</v>
      </c>
      <c r="AG1001" s="156">
        <v>0.0</v>
      </c>
      <c r="AH1001" s="156">
        <v>0.0</v>
      </c>
      <c r="BN1001" s="155">
        <v>0.0</v>
      </c>
      <c r="BO1001" s="155">
        <v>0.0</v>
      </c>
      <c r="BP1001" s="155">
        <v>0.0</v>
      </c>
      <c r="BQ1001" s="155">
        <v>0.0</v>
      </c>
      <c r="BR1001" s="155">
        <v>0.0</v>
      </c>
      <c r="BS1001" s="155">
        <v>0.0</v>
      </c>
      <c r="CV1001" s="156">
        <v>0.0</v>
      </c>
      <c r="CW1001" s="156">
        <v>0.0</v>
      </c>
      <c r="CX1001" s="156">
        <v>0.0</v>
      </c>
      <c r="CY1001" s="156">
        <v>0.0</v>
      </c>
      <c r="CZ1001" s="156">
        <v>0.0</v>
      </c>
      <c r="DA1001" s="156">
        <v>0.0</v>
      </c>
      <c r="EG1001" s="156">
        <v>0.0</v>
      </c>
      <c r="EH1001" s="156">
        <v>0.0</v>
      </c>
      <c r="EI1001" s="156">
        <v>0.0</v>
      </c>
      <c r="EJ1001" s="156">
        <v>0.0</v>
      </c>
      <c r="EK1001" s="156">
        <v>0.0</v>
      </c>
      <c r="EL1001" s="156">
        <v>0.0</v>
      </c>
      <c r="FQ1001" s="156">
        <v>0.0</v>
      </c>
      <c r="FR1001" s="156">
        <v>0.0</v>
      </c>
      <c r="FS1001" s="156">
        <v>0.0</v>
      </c>
      <c r="FT1001" s="156">
        <v>0.0</v>
      </c>
      <c r="FU1001" s="156">
        <v>0.0</v>
      </c>
      <c r="FV1001" s="156">
        <v>0.0</v>
      </c>
      <c r="FW1001" s="157"/>
      <c r="FX1001" s="157"/>
      <c r="FY1001" s="157"/>
      <c r="FZ1001" s="157"/>
      <c r="GA1001" s="157"/>
      <c r="GB1001" s="157"/>
      <c r="GC1001" s="157"/>
      <c r="GD1001" s="157"/>
      <c r="GE1001" s="157"/>
      <c r="GF1001" s="157"/>
      <c r="GG1001" s="157"/>
      <c r="GH1001" s="157"/>
      <c r="GI1001" s="157"/>
      <c r="GJ1001" s="157"/>
      <c r="GK1001" s="157"/>
      <c r="GL1001" s="157"/>
      <c r="GM1001" s="157"/>
      <c r="GN1001" s="157"/>
      <c r="GO1001" s="157"/>
      <c r="GP1001" s="158"/>
      <c r="GQ1001" s="157"/>
      <c r="GR1001" s="157"/>
      <c r="GS1001" s="157"/>
      <c r="GT1001" s="157"/>
      <c r="GU1001" s="157"/>
      <c r="GV1001" s="157"/>
      <c r="GW1001" s="157"/>
      <c r="GX1001" s="157"/>
      <c r="GY1001" s="157"/>
      <c r="GZ1001" s="157"/>
      <c r="HA1001" s="157"/>
      <c r="HB1001" s="155">
        <v>0.0</v>
      </c>
      <c r="HC1001" s="155">
        <v>0.0</v>
      </c>
      <c r="HD1001" s="155">
        <v>0.0</v>
      </c>
      <c r="HE1001" s="155">
        <v>0.0</v>
      </c>
      <c r="HF1001" s="155">
        <v>0.0</v>
      </c>
      <c r="HG1001" s="155">
        <v>0.0</v>
      </c>
      <c r="IL1001" s="159">
        <v>0.0</v>
      </c>
      <c r="IM1001" s="156">
        <v>0.0</v>
      </c>
      <c r="IN1001" s="156">
        <v>0.0</v>
      </c>
      <c r="IO1001" s="156">
        <v>0.0</v>
      </c>
      <c r="IP1001" s="156">
        <v>0.0</v>
      </c>
      <c r="IQ1001" s="160">
        <v>0.0</v>
      </c>
      <c r="JH1001" s="25"/>
      <c r="JW1001" s="159">
        <v>0.0</v>
      </c>
      <c r="JX1001" s="156">
        <v>0.0</v>
      </c>
      <c r="JY1001" s="156">
        <v>0.0</v>
      </c>
      <c r="JZ1001" s="156">
        <v>0.0</v>
      </c>
      <c r="KA1001" s="156">
        <v>0.0</v>
      </c>
      <c r="KB1001" s="160">
        <v>0.0</v>
      </c>
      <c r="LH1001" s="159">
        <f t="shared" si="10"/>
        <v>0</v>
      </c>
      <c r="LI1001" s="156">
        <f t="shared" si="11"/>
        <v>0</v>
      </c>
      <c r="LJ1001" s="156">
        <f t="shared" si="12"/>
        <v>0</v>
      </c>
      <c r="LK1001" s="156">
        <f t="shared" si="13"/>
        <v>0</v>
      </c>
      <c r="LL1001" s="156">
        <f t="shared" si="14"/>
        <v>0</v>
      </c>
      <c r="LM1001" s="160">
        <f t="shared" si="15"/>
        <v>0</v>
      </c>
      <c r="QX1001" s="633"/>
    </row>
    <row r="1002">
      <c r="A1002" s="12"/>
      <c r="B1002" s="12"/>
      <c r="C1002" s="12"/>
      <c r="D1002" s="12"/>
      <c r="E1002" s="12"/>
      <c r="F1002" s="12"/>
      <c r="G1002" s="12"/>
      <c r="H1002" s="12"/>
      <c r="I1002" s="143">
        <f t="shared" si="22"/>
        <v>0</v>
      </c>
      <c r="J1002" s="108"/>
      <c r="K1002" s="203"/>
      <c r="L1002" s="108"/>
      <c r="V1002" s="161"/>
      <c r="X1002" s="140"/>
      <c r="Y1002" s="166">
        <f t="shared" si="23"/>
        <v>0</v>
      </c>
      <c r="Z1002" s="26">
        <f t="shared" si="7"/>
        <v>0</v>
      </c>
      <c r="AA1002" s="26">
        <f t="shared" si="8"/>
        <v>0</v>
      </c>
      <c r="AB1002" s="26">
        <f t="shared" si="9"/>
        <v>0</v>
      </c>
      <c r="AC1002" s="156">
        <v>0.0</v>
      </c>
      <c r="AD1002" s="156">
        <v>0.0</v>
      </c>
      <c r="AE1002" s="156">
        <v>0.0</v>
      </c>
      <c r="AF1002" s="156">
        <v>0.0</v>
      </c>
      <c r="AG1002" s="156">
        <v>0.0</v>
      </c>
      <c r="AH1002" s="156">
        <v>0.0</v>
      </c>
      <c r="BN1002" s="155">
        <v>0.0</v>
      </c>
      <c r="BO1002" s="155">
        <v>0.0</v>
      </c>
      <c r="BP1002" s="155">
        <v>0.0</v>
      </c>
      <c r="BQ1002" s="155">
        <v>0.0</v>
      </c>
      <c r="BR1002" s="155">
        <v>0.0</v>
      </c>
      <c r="BS1002" s="155">
        <v>0.0</v>
      </c>
      <c r="CV1002" s="156">
        <v>0.0</v>
      </c>
      <c r="CW1002" s="156">
        <v>0.0</v>
      </c>
      <c r="CX1002" s="156">
        <v>0.0</v>
      </c>
      <c r="CY1002" s="156">
        <v>0.0</v>
      </c>
      <c r="CZ1002" s="156">
        <v>0.0</v>
      </c>
      <c r="DA1002" s="156">
        <v>0.0</v>
      </c>
      <c r="EG1002" s="156">
        <v>0.0</v>
      </c>
      <c r="EH1002" s="156">
        <v>0.0</v>
      </c>
      <c r="EI1002" s="156">
        <v>0.0</v>
      </c>
      <c r="EJ1002" s="156">
        <v>0.0</v>
      </c>
      <c r="EK1002" s="156">
        <v>0.0</v>
      </c>
      <c r="EL1002" s="156">
        <v>0.0</v>
      </c>
      <c r="FQ1002" s="156">
        <v>0.0</v>
      </c>
      <c r="FR1002" s="156">
        <v>0.0</v>
      </c>
      <c r="FS1002" s="156">
        <v>0.0</v>
      </c>
      <c r="FT1002" s="156">
        <v>0.0</v>
      </c>
      <c r="FU1002" s="156">
        <v>0.0</v>
      </c>
      <c r="FV1002" s="156">
        <v>0.0</v>
      </c>
      <c r="FW1002" s="157"/>
      <c r="FX1002" s="157"/>
      <c r="FY1002" s="157"/>
      <c r="FZ1002" s="157"/>
      <c r="GA1002" s="157"/>
      <c r="GB1002" s="157"/>
      <c r="GC1002" s="157"/>
      <c r="GD1002" s="157"/>
      <c r="GE1002" s="157"/>
      <c r="GF1002" s="157"/>
      <c r="GG1002" s="157"/>
      <c r="GH1002" s="157"/>
      <c r="GI1002" s="157"/>
      <c r="GJ1002" s="157"/>
      <c r="GK1002" s="157"/>
      <c r="GL1002" s="157"/>
      <c r="GM1002" s="157"/>
      <c r="GN1002" s="157"/>
      <c r="GO1002" s="157"/>
      <c r="GP1002" s="158"/>
      <c r="GQ1002" s="157"/>
      <c r="GR1002" s="157"/>
      <c r="GS1002" s="157"/>
      <c r="GT1002" s="157"/>
      <c r="GU1002" s="157"/>
      <c r="GV1002" s="157"/>
      <c r="GW1002" s="157"/>
      <c r="GX1002" s="157"/>
      <c r="GY1002" s="157"/>
      <c r="GZ1002" s="157"/>
      <c r="HA1002" s="157"/>
      <c r="HB1002" s="155">
        <v>0.0</v>
      </c>
      <c r="HC1002" s="155">
        <v>0.0</v>
      </c>
      <c r="HD1002" s="155">
        <v>0.0</v>
      </c>
      <c r="HE1002" s="155">
        <v>0.0</v>
      </c>
      <c r="HF1002" s="155">
        <v>0.0</v>
      </c>
      <c r="HG1002" s="155">
        <v>0.0</v>
      </c>
      <c r="IL1002" s="159">
        <v>0.0</v>
      </c>
      <c r="IM1002" s="156">
        <v>0.0</v>
      </c>
      <c r="IN1002" s="156">
        <v>0.0</v>
      </c>
      <c r="IO1002" s="156">
        <v>0.0</v>
      </c>
      <c r="IP1002" s="156">
        <v>0.0</v>
      </c>
      <c r="IQ1002" s="160">
        <v>0.0</v>
      </c>
      <c r="JH1002" s="25"/>
      <c r="JW1002" s="159">
        <v>0.0</v>
      </c>
      <c r="JX1002" s="156">
        <v>0.0</v>
      </c>
      <c r="JY1002" s="156">
        <v>0.0</v>
      </c>
      <c r="JZ1002" s="156">
        <v>0.0</v>
      </c>
      <c r="KA1002" s="156">
        <v>0.0</v>
      </c>
      <c r="KB1002" s="160">
        <v>0.0</v>
      </c>
      <c r="LH1002" s="159">
        <f t="shared" si="10"/>
        <v>0</v>
      </c>
      <c r="LI1002" s="156">
        <f t="shared" si="11"/>
        <v>0</v>
      </c>
      <c r="LJ1002" s="156">
        <f t="shared" si="12"/>
        <v>0</v>
      </c>
      <c r="LK1002" s="156">
        <f t="shared" si="13"/>
        <v>0</v>
      </c>
      <c r="LL1002" s="156">
        <f t="shared" si="14"/>
        <v>0</v>
      </c>
      <c r="LM1002" s="160">
        <f t="shared" si="15"/>
        <v>0</v>
      </c>
      <c r="QX1002" s="633"/>
    </row>
    <row r="1003">
      <c r="A1003" s="12"/>
      <c r="B1003" s="12"/>
      <c r="C1003" s="12"/>
      <c r="D1003" s="12"/>
      <c r="E1003" s="12"/>
      <c r="F1003" s="12"/>
      <c r="G1003" s="12"/>
      <c r="H1003" s="12"/>
      <c r="I1003" s="143">
        <f t="shared" si="22"/>
        <v>0</v>
      </c>
      <c r="J1003" s="108"/>
      <c r="K1003" s="203"/>
      <c r="L1003" s="108"/>
      <c r="V1003" s="161"/>
      <c r="X1003" s="140"/>
      <c r="Y1003" s="166">
        <f t="shared" si="23"/>
        <v>0</v>
      </c>
      <c r="Z1003" s="26">
        <f t="shared" si="7"/>
        <v>0</v>
      </c>
      <c r="AA1003" s="26">
        <f t="shared" si="8"/>
        <v>0</v>
      </c>
      <c r="AB1003" s="26">
        <f t="shared" si="9"/>
        <v>0</v>
      </c>
      <c r="AC1003" s="156">
        <v>0.0</v>
      </c>
      <c r="AD1003" s="156">
        <v>0.0</v>
      </c>
      <c r="AE1003" s="156">
        <v>0.0</v>
      </c>
      <c r="AF1003" s="156">
        <v>0.0</v>
      </c>
      <c r="AG1003" s="156">
        <v>0.0</v>
      </c>
      <c r="AH1003" s="156">
        <v>0.0</v>
      </c>
      <c r="BN1003" s="155">
        <v>0.0</v>
      </c>
      <c r="BO1003" s="155">
        <v>0.0</v>
      </c>
      <c r="BP1003" s="155">
        <v>0.0</v>
      </c>
      <c r="BQ1003" s="155">
        <v>0.0</v>
      </c>
      <c r="BR1003" s="155">
        <v>0.0</v>
      </c>
      <c r="BS1003" s="155">
        <v>0.0</v>
      </c>
      <c r="CV1003" s="156">
        <v>0.0</v>
      </c>
      <c r="CW1003" s="156">
        <v>0.0</v>
      </c>
      <c r="CX1003" s="156">
        <v>0.0</v>
      </c>
      <c r="CY1003" s="156">
        <v>0.0</v>
      </c>
      <c r="CZ1003" s="156">
        <v>0.0</v>
      </c>
      <c r="DA1003" s="156">
        <v>0.0</v>
      </c>
      <c r="EG1003" s="156">
        <v>0.0</v>
      </c>
      <c r="EH1003" s="156">
        <v>0.0</v>
      </c>
      <c r="EI1003" s="156">
        <v>0.0</v>
      </c>
      <c r="EJ1003" s="156">
        <v>0.0</v>
      </c>
      <c r="EK1003" s="156">
        <v>0.0</v>
      </c>
      <c r="EL1003" s="156">
        <v>0.0</v>
      </c>
      <c r="FQ1003" s="156">
        <v>0.0</v>
      </c>
      <c r="FR1003" s="156">
        <v>0.0</v>
      </c>
      <c r="FS1003" s="156">
        <v>0.0</v>
      </c>
      <c r="FT1003" s="156">
        <v>0.0</v>
      </c>
      <c r="FU1003" s="156">
        <v>0.0</v>
      </c>
      <c r="FV1003" s="156">
        <v>0.0</v>
      </c>
      <c r="FW1003" s="157"/>
      <c r="FX1003" s="157"/>
      <c r="FY1003" s="157"/>
      <c r="FZ1003" s="157"/>
      <c r="GA1003" s="157"/>
      <c r="GB1003" s="157"/>
      <c r="GC1003" s="157"/>
      <c r="GD1003" s="157"/>
      <c r="GE1003" s="157"/>
      <c r="GF1003" s="157"/>
      <c r="GG1003" s="157"/>
      <c r="GH1003" s="157"/>
      <c r="GI1003" s="157"/>
      <c r="GJ1003" s="157"/>
      <c r="GK1003" s="157"/>
      <c r="GL1003" s="157"/>
      <c r="GM1003" s="157"/>
      <c r="GN1003" s="157"/>
      <c r="GO1003" s="157"/>
      <c r="GP1003" s="158"/>
      <c r="GQ1003" s="157"/>
      <c r="GR1003" s="157"/>
      <c r="GS1003" s="157"/>
      <c r="GT1003" s="157"/>
      <c r="GU1003" s="157"/>
      <c r="GV1003" s="157"/>
      <c r="GW1003" s="157"/>
      <c r="GX1003" s="157"/>
      <c r="GY1003" s="157"/>
      <c r="GZ1003" s="157"/>
      <c r="HA1003" s="157"/>
      <c r="HB1003" s="155">
        <v>0.0</v>
      </c>
      <c r="HC1003" s="155">
        <v>0.0</v>
      </c>
      <c r="HD1003" s="155">
        <v>0.0</v>
      </c>
      <c r="HE1003" s="155">
        <v>0.0</v>
      </c>
      <c r="HF1003" s="155">
        <v>0.0</v>
      </c>
      <c r="HG1003" s="155">
        <v>0.0</v>
      </c>
      <c r="IL1003" s="159">
        <v>0.0</v>
      </c>
      <c r="IM1003" s="156">
        <v>0.0</v>
      </c>
      <c r="IN1003" s="156">
        <v>0.0</v>
      </c>
      <c r="IO1003" s="156">
        <v>0.0</v>
      </c>
      <c r="IP1003" s="156">
        <v>0.0</v>
      </c>
      <c r="IQ1003" s="160">
        <v>0.0</v>
      </c>
      <c r="JH1003" s="25"/>
      <c r="JW1003" s="159">
        <v>0.0</v>
      </c>
      <c r="JX1003" s="156">
        <v>0.0</v>
      </c>
      <c r="JY1003" s="156">
        <v>0.0</v>
      </c>
      <c r="JZ1003" s="156">
        <v>0.0</v>
      </c>
      <c r="KA1003" s="156">
        <v>0.0</v>
      </c>
      <c r="KB1003" s="160">
        <v>0.0</v>
      </c>
      <c r="LH1003" s="159">
        <f t="shared" si="10"/>
        <v>0</v>
      </c>
      <c r="LI1003" s="156">
        <f t="shared" si="11"/>
        <v>0</v>
      </c>
      <c r="LJ1003" s="156">
        <f t="shared" si="12"/>
        <v>0</v>
      </c>
      <c r="LK1003" s="156">
        <f t="shared" si="13"/>
        <v>0</v>
      </c>
      <c r="LL1003" s="156">
        <f t="shared" si="14"/>
        <v>0</v>
      </c>
      <c r="LM1003" s="160">
        <f t="shared" si="15"/>
        <v>0</v>
      </c>
      <c r="QX1003" s="633"/>
    </row>
    <row r="1004">
      <c r="A1004" s="12"/>
      <c r="B1004" s="12"/>
      <c r="C1004" s="12"/>
      <c r="D1004" s="12"/>
      <c r="E1004" s="12"/>
      <c r="F1004" s="12"/>
      <c r="G1004" s="12"/>
      <c r="H1004" s="12"/>
      <c r="I1004" s="143">
        <f t="shared" si="22"/>
        <v>0</v>
      </c>
      <c r="J1004" s="108"/>
      <c r="K1004" s="203"/>
      <c r="L1004" s="108"/>
      <c r="V1004" s="161"/>
      <c r="X1004" s="140"/>
      <c r="Y1004" s="166">
        <f t="shared" si="23"/>
        <v>0</v>
      </c>
      <c r="Z1004" s="26">
        <f t="shared" si="7"/>
        <v>0</v>
      </c>
      <c r="AA1004" s="26">
        <f t="shared" si="8"/>
        <v>0</v>
      </c>
      <c r="AB1004" s="26">
        <f t="shared" si="9"/>
        <v>0</v>
      </c>
      <c r="AC1004" s="156">
        <v>0.0</v>
      </c>
      <c r="AD1004" s="156">
        <v>0.0</v>
      </c>
      <c r="AE1004" s="156">
        <v>0.0</v>
      </c>
      <c r="AF1004" s="156">
        <v>0.0</v>
      </c>
      <c r="AG1004" s="156">
        <v>0.0</v>
      </c>
      <c r="AH1004" s="156">
        <v>0.0</v>
      </c>
      <c r="BN1004" s="155">
        <v>0.0</v>
      </c>
      <c r="BO1004" s="155">
        <v>0.0</v>
      </c>
      <c r="BP1004" s="155">
        <v>0.0</v>
      </c>
      <c r="BQ1004" s="155">
        <v>0.0</v>
      </c>
      <c r="BR1004" s="155">
        <v>0.0</v>
      </c>
      <c r="BS1004" s="155">
        <v>0.0</v>
      </c>
      <c r="CV1004" s="156">
        <v>0.0</v>
      </c>
      <c r="CW1004" s="156">
        <v>0.0</v>
      </c>
      <c r="CX1004" s="156">
        <v>0.0</v>
      </c>
      <c r="CY1004" s="156">
        <v>0.0</v>
      </c>
      <c r="CZ1004" s="156">
        <v>0.0</v>
      </c>
      <c r="DA1004" s="156">
        <v>0.0</v>
      </c>
      <c r="EG1004" s="156">
        <v>0.0</v>
      </c>
      <c r="EH1004" s="156">
        <v>0.0</v>
      </c>
      <c r="EI1004" s="156">
        <v>0.0</v>
      </c>
      <c r="EJ1004" s="156">
        <v>0.0</v>
      </c>
      <c r="EK1004" s="156">
        <v>0.0</v>
      </c>
      <c r="EL1004" s="156">
        <v>0.0</v>
      </c>
      <c r="FQ1004" s="156">
        <v>0.0</v>
      </c>
      <c r="FR1004" s="156">
        <v>0.0</v>
      </c>
      <c r="FS1004" s="156">
        <v>0.0</v>
      </c>
      <c r="FT1004" s="156">
        <v>0.0</v>
      </c>
      <c r="FU1004" s="156">
        <v>0.0</v>
      </c>
      <c r="FV1004" s="156">
        <v>0.0</v>
      </c>
      <c r="FW1004" s="157"/>
      <c r="FX1004" s="157"/>
      <c r="FY1004" s="157"/>
      <c r="FZ1004" s="157"/>
      <c r="GA1004" s="157"/>
      <c r="GB1004" s="157"/>
      <c r="GC1004" s="157"/>
      <c r="GD1004" s="157"/>
      <c r="GE1004" s="157"/>
      <c r="GF1004" s="157"/>
      <c r="GG1004" s="157"/>
      <c r="GH1004" s="157"/>
      <c r="GI1004" s="157"/>
      <c r="GJ1004" s="157"/>
      <c r="GK1004" s="157"/>
      <c r="GL1004" s="157"/>
      <c r="GM1004" s="157"/>
      <c r="GN1004" s="157"/>
      <c r="GO1004" s="157"/>
      <c r="GP1004" s="158"/>
      <c r="GQ1004" s="157"/>
      <c r="GR1004" s="157"/>
      <c r="GS1004" s="157"/>
      <c r="GT1004" s="157"/>
      <c r="GU1004" s="157"/>
      <c r="GV1004" s="157"/>
      <c r="GW1004" s="157"/>
      <c r="GX1004" s="157"/>
      <c r="GY1004" s="157"/>
      <c r="GZ1004" s="157"/>
      <c r="HA1004" s="157"/>
      <c r="HB1004" s="155">
        <v>0.0</v>
      </c>
      <c r="HC1004" s="155">
        <v>0.0</v>
      </c>
      <c r="HD1004" s="155">
        <v>0.0</v>
      </c>
      <c r="HE1004" s="155">
        <v>0.0</v>
      </c>
      <c r="HF1004" s="155">
        <v>0.0</v>
      </c>
      <c r="HG1004" s="155">
        <v>0.0</v>
      </c>
      <c r="IL1004" s="159">
        <v>0.0</v>
      </c>
      <c r="IM1004" s="156">
        <v>0.0</v>
      </c>
      <c r="IN1004" s="156">
        <v>0.0</v>
      </c>
      <c r="IO1004" s="156">
        <v>0.0</v>
      </c>
      <c r="IP1004" s="156">
        <v>0.0</v>
      </c>
      <c r="IQ1004" s="160">
        <v>0.0</v>
      </c>
      <c r="JH1004" s="25"/>
      <c r="JW1004" s="159">
        <v>0.0</v>
      </c>
      <c r="JX1004" s="156">
        <v>0.0</v>
      </c>
      <c r="JY1004" s="156">
        <v>0.0</v>
      </c>
      <c r="JZ1004" s="156">
        <v>0.0</v>
      </c>
      <c r="KA1004" s="156">
        <v>0.0</v>
      </c>
      <c r="KB1004" s="160">
        <v>0.0</v>
      </c>
      <c r="LH1004" s="159">
        <f t="shared" si="10"/>
        <v>0</v>
      </c>
      <c r="LI1004" s="156">
        <f t="shared" si="11"/>
        <v>0</v>
      </c>
      <c r="LJ1004" s="156">
        <f t="shared" si="12"/>
        <v>0</v>
      </c>
      <c r="LK1004" s="156">
        <f t="shared" si="13"/>
        <v>0</v>
      </c>
      <c r="LL1004" s="156">
        <f t="shared" si="14"/>
        <v>0</v>
      </c>
      <c r="LM1004" s="160">
        <f t="shared" si="15"/>
        <v>0</v>
      </c>
      <c r="QX1004" s="633"/>
    </row>
    <row r="1005">
      <c r="A1005" s="12"/>
      <c r="B1005" s="12"/>
      <c r="C1005" s="12"/>
      <c r="D1005" s="12"/>
      <c r="E1005" s="12"/>
      <c r="F1005" s="12"/>
      <c r="G1005" s="12"/>
      <c r="H1005" s="12"/>
      <c r="I1005" s="143">
        <f t="shared" si="22"/>
        <v>0</v>
      </c>
      <c r="J1005" s="108"/>
      <c r="K1005" s="203"/>
      <c r="L1005" s="108"/>
      <c r="V1005" s="161"/>
      <c r="X1005" s="140"/>
      <c r="Y1005" s="166">
        <f t="shared" si="23"/>
        <v>0</v>
      </c>
      <c r="Z1005" s="26">
        <f t="shared" si="7"/>
        <v>0</v>
      </c>
      <c r="AA1005" s="26">
        <f t="shared" si="8"/>
        <v>0</v>
      </c>
      <c r="AB1005" s="26">
        <f t="shared" si="9"/>
        <v>0</v>
      </c>
      <c r="AC1005" s="156">
        <v>0.0</v>
      </c>
      <c r="AD1005" s="156">
        <v>0.0</v>
      </c>
      <c r="AE1005" s="156">
        <v>0.0</v>
      </c>
      <c r="AF1005" s="156">
        <v>0.0</v>
      </c>
      <c r="AG1005" s="156">
        <v>0.0</v>
      </c>
      <c r="AH1005" s="156">
        <v>0.0</v>
      </c>
      <c r="BN1005" s="155">
        <v>0.0</v>
      </c>
      <c r="BO1005" s="155">
        <v>0.0</v>
      </c>
      <c r="BP1005" s="155">
        <v>0.0</v>
      </c>
      <c r="BQ1005" s="155">
        <v>0.0</v>
      </c>
      <c r="BR1005" s="155">
        <v>0.0</v>
      </c>
      <c r="BS1005" s="155">
        <v>0.0</v>
      </c>
      <c r="CV1005" s="156">
        <v>0.0</v>
      </c>
      <c r="CW1005" s="156">
        <v>0.0</v>
      </c>
      <c r="CX1005" s="156">
        <v>0.0</v>
      </c>
      <c r="CY1005" s="156">
        <v>0.0</v>
      </c>
      <c r="CZ1005" s="156">
        <v>0.0</v>
      </c>
      <c r="DA1005" s="156">
        <v>0.0</v>
      </c>
      <c r="EG1005" s="156">
        <v>0.0</v>
      </c>
      <c r="EH1005" s="156">
        <v>0.0</v>
      </c>
      <c r="EI1005" s="156">
        <v>0.0</v>
      </c>
      <c r="EJ1005" s="156">
        <v>0.0</v>
      </c>
      <c r="EK1005" s="156">
        <v>0.0</v>
      </c>
      <c r="EL1005" s="156">
        <v>0.0</v>
      </c>
      <c r="FQ1005" s="156">
        <v>0.0</v>
      </c>
      <c r="FR1005" s="156">
        <v>0.0</v>
      </c>
      <c r="FS1005" s="156">
        <v>0.0</v>
      </c>
      <c r="FT1005" s="156">
        <v>0.0</v>
      </c>
      <c r="FU1005" s="156">
        <v>0.0</v>
      </c>
      <c r="FV1005" s="156">
        <v>0.0</v>
      </c>
      <c r="FW1005" s="157"/>
      <c r="FX1005" s="157"/>
      <c r="FY1005" s="157"/>
      <c r="FZ1005" s="157"/>
      <c r="GA1005" s="157"/>
      <c r="GB1005" s="157"/>
      <c r="GC1005" s="157"/>
      <c r="GD1005" s="157"/>
      <c r="GE1005" s="157"/>
      <c r="GF1005" s="157"/>
      <c r="GG1005" s="157"/>
      <c r="GH1005" s="157"/>
      <c r="GI1005" s="157"/>
      <c r="GJ1005" s="157"/>
      <c r="GK1005" s="157"/>
      <c r="GL1005" s="157"/>
      <c r="GM1005" s="157"/>
      <c r="GN1005" s="157"/>
      <c r="GO1005" s="157"/>
      <c r="GP1005" s="158"/>
      <c r="GQ1005" s="157"/>
      <c r="GR1005" s="157"/>
      <c r="GS1005" s="157"/>
      <c r="GT1005" s="157"/>
      <c r="GU1005" s="157"/>
      <c r="GV1005" s="157"/>
      <c r="GW1005" s="157"/>
      <c r="GX1005" s="157"/>
      <c r="GY1005" s="157"/>
      <c r="GZ1005" s="157"/>
      <c r="HA1005" s="157"/>
      <c r="HB1005" s="155">
        <v>0.0</v>
      </c>
      <c r="HC1005" s="155">
        <v>0.0</v>
      </c>
      <c r="HD1005" s="155">
        <v>0.0</v>
      </c>
      <c r="HE1005" s="155">
        <v>0.0</v>
      </c>
      <c r="HF1005" s="155">
        <v>0.0</v>
      </c>
      <c r="HG1005" s="155">
        <v>0.0</v>
      </c>
      <c r="IL1005" s="159">
        <v>0.0</v>
      </c>
      <c r="IM1005" s="156">
        <v>0.0</v>
      </c>
      <c r="IN1005" s="156">
        <v>0.0</v>
      </c>
      <c r="IO1005" s="156">
        <v>0.0</v>
      </c>
      <c r="IP1005" s="156">
        <v>0.0</v>
      </c>
      <c r="IQ1005" s="160">
        <v>0.0</v>
      </c>
      <c r="JH1005" s="25"/>
      <c r="JW1005" s="159">
        <v>0.0</v>
      </c>
      <c r="JX1005" s="156">
        <v>0.0</v>
      </c>
      <c r="JY1005" s="156">
        <v>0.0</v>
      </c>
      <c r="JZ1005" s="156">
        <v>0.0</v>
      </c>
      <c r="KA1005" s="156">
        <v>0.0</v>
      </c>
      <c r="KB1005" s="160">
        <v>0.0</v>
      </c>
      <c r="LH1005" s="159">
        <f t="shared" si="10"/>
        <v>0</v>
      </c>
      <c r="LI1005" s="156">
        <f t="shared" si="11"/>
        <v>0</v>
      </c>
      <c r="LJ1005" s="156">
        <f t="shared" si="12"/>
        <v>0</v>
      </c>
      <c r="LK1005" s="156">
        <f t="shared" si="13"/>
        <v>0</v>
      </c>
      <c r="LL1005" s="156">
        <f t="shared" si="14"/>
        <v>0</v>
      </c>
      <c r="LM1005" s="160">
        <f t="shared" si="15"/>
        <v>0</v>
      </c>
      <c r="QX1005" s="633"/>
    </row>
    <row r="1006">
      <c r="A1006" s="12"/>
      <c r="B1006" s="12"/>
      <c r="C1006" s="12"/>
      <c r="D1006" s="12"/>
      <c r="E1006" s="12"/>
      <c r="F1006" s="12"/>
      <c r="G1006" s="12"/>
      <c r="H1006" s="12"/>
      <c r="I1006" s="143">
        <f t="shared" si="22"/>
        <v>0</v>
      </c>
      <c r="J1006" s="108"/>
      <c r="K1006" s="203"/>
      <c r="L1006" s="108"/>
      <c r="V1006" s="161"/>
      <c r="X1006" s="140"/>
      <c r="Y1006" s="166">
        <f t="shared" si="23"/>
        <v>0</v>
      </c>
      <c r="Z1006" s="26">
        <f t="shared" si="7"/>
        <v>0</v>
      </c>
      <c r="AA1006" s="26">
        <f t="shared" si="8"/>
        <v>0</v>
      </c>
      <c r="AB1006" s="26">
        <f t="shared" si="9"/>
        <v>0</v>
      </c>
      <c r="AC1006" s="156">
        <v>0.0</v>
      </c>
      <c r="AD1006" s="156">
        <v>0.0</v>
      </c>
      <c r="AE1006" s="156">
        <v>0.0</v>
      </c>
      <c r="AF1006" s="156">
        <v>0.0</v>
      </c>
      <c r="AG1006" s="156">
        <v>0.0</v>
      </c>
      <c r="AH1006" s="156">
        <v>0.0</v>
      </c>
      <c r="BN1006" s="155">
        <v>0.0</v>
      </c>
      <c r="BO1006" s="155">
        <v>0.0</v>
      </c>
      <c r="BP1006" s="155">
        <v>0.0</v>
      </c>
      <c r="BQ1006" s="155">
        <v>0.0</v>
      </c>
      <c r="BR1006" s="155">
        <v>0.0</v>
      </c>
      <c r="BS1006" s="155">
        <v>0.0</v>
      </c>
      <c r="CV1006" s="156">
        <v>0.0</v>
      </c>
      <c r="CW1006" s="156">
        <v>0.0</v>
      </c>
      <c r="CX1006" s="156">
        <v>0.0</v>
      </c>
      <c r="CY1006" s="156">
        <v>0.0</v>
      </c>
      <c r="CZ1006" s="156">
        <v>0.0</v>
      </c>
      <c r="DA1006" s="156">
        <v>0.0</v>
      </c>
      <c r="EG1006" s="156">
        <v>0.0</v>
      </c>
      <c r="EH1006" s="156">
        <v>0.0</v>
      </c>
      <c r="EI1006" s="156">
        <v>0.0</v>
      </c>
      <c r="EJ1006" s="156">
        <v>0.0</v>
      </c>
      <c r="EK1006" s="156">
        <v>0.0</v>
      </c>
      <c r="EL1006" s="156">
        <v>0.0</v>
      </c>
      <c r="FQ1006" s="156">
        <v>0.0</v>
      </c>
      <c r="FR1006" s="156">
        <v>0.0</v>
      </c>
      <c r="FS1006" s="156">
        <v>0.0</v>
      </c>
      <c r="FT1006" s="156">
        <v>0.0</v>
      </c>
      <c r="FU1006" s="156">
        <v>0.0</v>
      </c>
      <c r="FV1006" s="156">
        <v>0.0</v>
      </c>
      <c r="FW1006" s="157"/>
      <c r="FX1006" s="157"/>
      <c r="FY1006" s="157"/>
      <c r="FZ1006" s="157"/>
      <c r="GA1006" s="157"/>
      <c r="GB1006" s="157"/>
      <c r="GC1006" s="157"/>
      <c r="GD1006" s="157"/>
      <c r="GE1006" s="157"/>
      <c r="GF1006" s="157"/>
      <c r="GG1006" s="157"/>
      <c r="GH1006" s="157"/>
      <c r="GI1006" s="157"/>
      <c r="GJ1006" s="157"/>
      <c r="GK1006" s="157"/>
      <c r="GL1006" s="157"/>
      <c r="GM1006" s="157"/>
      <c r="GN1006" s="157"/>
      <c r="GO1006" s="157"/>
      <c r="GP1006" s="158"/>
      <c r="GQ1006" s="157"/>
      <c r="GR1006" s="157"/>
      <c r="GS1006" s="157"/>
      <c r="GT1006" s="157"/>
      <c r="GU1006" s="157"/>
      <c r="GV1006" s="157"/>
      <c r="GW1006" s="157"/>
      <c r="GX1006" s="157"/>
      <c r="GY1006" s="157"/>
      <c r="GZ1006" s="157"/>
      <c r="HA1006" s="157"/>
      <c r="HB1006" s="155">
        <v>0.0</v>
      </c>
      <c r="HC1006" s="155">
        <v>0.0</v>
      </c>
      <c r="HD1006" s="155">
        <v>0.0</v>
      </c>
      <c r="HE1006" s="155">
        <v>0.0</v>
      </c>
      <c r="HF1006" s="155">
        <v>0.0</v>
      </c>
      <c r="HG1006" s="155">
        <v>0.0</v>
      </c>
      <c r="IL1006" s="159">
        <v>0.0</v>
      </c>
      <c r="IM1006" s="156">
        <v>0.0</v>
      </c>
      <c r="IN1006" s="156">
        <v>0.0</v>
      </c>
      <c r="IO1006" s="156">
        <v>0.0</v>
      </c>
      <c r="IP1006" s="156">
        <v>0.0</v>
      </c>
      <c r="IQ1006" s="160">
        <v>0.0</v>
      </c>
      <c r="JH1006" s="25"/>
      <c r="JW1006" s="159">
        <v>0.0</v>
      </c>
      <c r="JX1006" s="156">
        <v>0.0</v>
      </c>
      <c r="JY1006" s="156">
        <v>0.0</v>
      </c>
      <c r="JZ1006" s="156">
        <v>0.0</v>
      </c>
      <c r="KA1006" s="156">
        <v>0.0</v>
      </c>
      <c r="KB1006" s="160">
        <v>0.0</v>
      </c>
      <c r="LH1006" s="159">
        <f t="shared" si="10"/>
        <v>0</v>
      </c>
      <c r="LI1006" s="156">
        <f t="shared" si="11"/>
        <v>0</v>
      </c>
      <c r="LJ1006" s="156">
        <f t="shared" si="12"/>
        <v>0</v>
      </c>
      <c r="LK1006" s="156">
        <f t="shared" si="13"/>
        <v>0</v>
      </c>
      <c r="LL1006" s="156">
        <f t="shared" si="14"/>
        <v>0</v>
      </c>
      <c r="LM1006" s="160">
        <f t="shared" si="15"/>
        <v>0</v>
      </c>
      <c r="QX1006" s="633"/>
    </row>
    <row r="1007">
      <c r="A1007" s="12"/>
      <c r="B1007" s="12"/>
      <c r="C1007" s="12"/>
      <c r="D1007" s="12"/>
      <c r="E1007" s="12"/>
      <c r="F1007" s="12"/>
      <c r="G1007" s="12"/>
      <c r="H1007" s="12"/>
      <c r="I1007" s="143">
        <f t="shared" si="22"/>
        <v>0</v>
      </c>
      <c r="J1007" s="108"/>
      <c r="K1007" s="203"/>
      <c r="L1007" s="108"/>
      <c r="V1007" s="161"/>
      <c r="X1007" s="140"/>
      <c r="Y1007" s="166">
        <f t="shared" si="23"/>
        <v>0</v>
      </c>
      <c r="Z1007" s="26">
        <f t="shared" si="7"/>
        <v>0</v>
      </c>
      <c r="AA1007" s="26">
        <f t="shared" si="8"/>
        <v>0</v>
      </c>
      <c r="AB1007" s="26">
        <f t="shared" si="9"/>
        <v>0</v>
      </c>
      <c r="AC1007" s="156">
        <v>0.0</v>
      </c>
      <c r="AD1007" s="156">
        <v>0.0</v>
      </c>
      <c r="AE1007" s="156">
        <v>0.0</v>
      </c>
      <c r="AF1007" s="156">
        <v>0.0</v>
      </c>
      <c r="AG1007" s="156">
        <v>0.0</v>
      </c>
      <c r="AH1007" s="156">
        <v>0.0</v>
      </c>
      <c r="BN1007" s="155">
        <v>0.0</v>
      </c>
      <c r="BO1007" s="155">
        <v>0.0</v>
      </c>
      <c r="BP1007" s="155">
        <v>0.0</v>
      </c>
      <c r="BQ1007" s="155">
        <v>0.0</v>
      </c>
      <c r="BR1007" s="155">
        <v>0.0</v>
      </c>
      <c r="BS1007" s="155">
        <v>0.0</v>
      </c>
      <c r="CV1007" s="156">
        <v>0.0</v>
      </c>
      <c r="CW1007" s="156">
        <v>0.0</v>
      </c>
      <c r="CX1007" s="156">
        <v>0.0</v>
      </c>
      <c r="CY1007" s="156">
        <v>0.0</v>
      </c>
      <c r="CZ1007" s="156">
        <v>0.0</v>
      </c>
      <c r="DA1007" s="156">
        <v>0.0</v>
      </c>
      <c r="EG1007" s="156">
        <v>0.0</v>
      </c>
      <c r="EH1007" s="156">
        <v>0.0</v>
      </c>
      <c r="EI1007" s="156">
        <v>0.0</v>
      </c>
      <c r="EJ1007" s="156">
        <v>0.0</v>
      </c>
      <c r="EK1007" s="156">
        <v>0.0</v>
      </c>
      <c r="EL1007" s="156">
        <v>0.0</v>
      </c>
      <c r="FQ1007" s="156">
        <v>0.0</v>
      </c>
      <c r="FR1007" s="156">
        <v>0.0</v>
      </c>
      <c r="FS1007" s="156">
        <v>0.0</v>
      </c>
      <c r="FT1007" s="156">
        <v>0.0</v>
      </c>
      <c r="FU1007" s="156">
        <v>0.0</v>
      </c>
      <c r="FV1007" s="156">
        <v>0.0</v>
      </c>
      <c r="FW1007" s="157"/>
      <c r="FX1007" s="157"/>
      <c r="FY1007" s="157"/>
      <c r="FZ1007" s="157"/>
      <c r="GA1007" s="157"/>
      <c r="GB1007" s="157"/>
      <c r="GC1007" s="157"/>
      <c r="GD1007" s="157"/>
      <c r="GE1007" s="157"/>
      <c r="GF1007" s="157"/>
      <c r="GG1007" s="157"/>
      <c r="GH1007" s="157"/>
      <c r="GI1007" s="157"/>
      <c r="GJ1007" s="157"/>
      <c r="GK1007" s="157"/>
      <c r="GL1007" s="157"/>
      <c r="GM1007" s="157"/>
      <c r="GN1007" s="157"/>
      <c r="GO1007" s="157"/>
      <c r="GP1007" s="158"/>
      <c r="GQ1007" s="157"/>
      <c r="GR1007" s="157"/>
      <c r="GS1007" s="157"/>
      <c r="GT1007" s="157"/>
      <c r="GU1007" s="157"/>
      <c r="GV1007" s="157"/>
      <c r="GW1007" s="157"/>
      <c r="GX1007" s="157"/>
      <c r="GY1007" s="157"/>
      <c r="GZ1007" s="157"/>
      <c r="HA1007" s="157"/>
      <c r="HB1007" s="155">
        <v>0.0</v>
      </c>
      <c r="HC1007" s="155">
        <v>0.0</v>
      </c>
      <c r="HD1007" s="155">
        <v>0.0</v>
      </c>
      <c r="HE1007" s="155">
        <v>0.0</v>
      </c>
      <c r="HF1007" s="155">
        <v>0.0</v>
      </c>
      <c r="HG1007" s="155">
        <v>0.0</v>
      </c>
      <c r="IL1007" s="159">
        <v>0.0</v>
      </c>
      <c r="IM1007" s="156">
        <v>0.0</v>
      </c>
      <c r="IN1007" s="156">
        <v>0.0</v>
      </c>
      <c r="IO1007" s="156">
        <v>0.0</v>
      </c>
      <c r="IP1007" s="156">
        <v>0.0</v>
      </c>
      <c r="IQ1007" s="160">
        <v>0.0</v>
      </c>
      <c r="JH1007" s="25"/>
      <c r="JW1007" s="159">
        <v>0.0</v>
      </c>
      <c r="JX1007" s="156">
        <v>0.0</v>
      </c>
      <c r="JY1007" s="156">
        <v>0.0</v>
      </c>
      <c r="JZ1007" s="156">
        <v>0.0</v>
      </c>
      <c r="KA1007" s="156">
        <v>0.0</v>
      </c>
      <c r="KB1007" s="160">
        <v>0.0</v>
      </c>
      <c r="LH1007" s="159">
        <f t="shared" si="10"/>
        <v>0</v>
      </c>
      <c r="LI1007" s="156">
        <f t="shared" si="11"/>
        <v>0</v>
      </c>
      <c r="LJ1007" s="156">
        <f t="shared" si="12"/>
        <v>0</v>
      </c>
      <c r="LK1007" s="156">
        <f t="shared" si="13"/>
        <v>0</v>
      </c>
      <c r="LL1007" s="156">
        <f t="shared" si="14"/>
        <v>0</v>
      </c>
      <c r="LM1007" s="160">
        <f t="shared" si="15"/>
        <v>0</v>
      </c>
      <c r="QX1007" s="633"/>
    </row>
    <row r="1008">
      <c r="A1008" s="12"/>
      <c r="B1008" s="12"/>
      <c r="C1008" s="12"/>
      <c r="D1008" s="12"/>
      <c r="E1008" s="12"/>
      <c r="F1008" s="12"/>
      <c r="G1008" s="12"/>
      <c r="H1008" s="12"/>
      <c r="I1008" s="143">
        <f t="shared" si="22"/>
        <v>0</v>
      </c>
      <c r="J1008" s="108"/>
      <c r="K1008" s="203"/>
      <c r="L1008" s="108"/>
      <c r="V1008" s="161"/>
      <c r="X1008" s="140"/>
      <c r="Y1008" s="166">
        <f t="shared" si="23"/>
        <v>0</v>
      </c>
      <c r="Z1008" s="26">
        <f t="shared" si="7"/>
        <v>0</v>
      </c>
      <c r="AA1008" s="26">
        <f t="shared" si="8"/>
        <v>0</v>
      </c>
      <c r="AB1008" s="26">
        <f t="shared" si="9"/>
        <v>0</v>
      </c>
      <c r="AC1008" s="156">
        <v>0.0</v>
      </c>
      <c r="AD1008" s="156">
        <v>0.0</v>
      </c>
      <c r="AE1008" s="156">
        <v>0.0</v>
      </c>
      <c r="AF1008" s="156">
        <v>0.0</v>
      </c>
      <c r="AG1008" s="156">
        <v>0.0</v>
      </c>
      <c r="AH1008" s="156">
        <v>0.0</v>
      </c>
      <c r="BN1008" s="155">
        <v>0.0</v>
      </c>
      <c r="BO1008" s="155">
        <v>0.0</v>
      </c>
      <c r="BP1008" s="155">
        <v>0.0</v>
      </c>
      <c r="BQ1008" s="155">
        <v>0.0</v>
      </c>
      <c r="BR1008" s="155">
        <v>0.0</v>
      </c>
      <c r="BS1008" s="155">
        <v>0.0</v>
      </c>
      <c r="CV1008" s="156">
        <v>0.0</v>
      </c>
      <c r="CW1008" s="156">
        <v>0.0</v>
      </c>
      <c r="CX1008" s="156">
        <v>0.0</v>
      </c>
      <c r="CY1008" s="156">
        <v>0.0</v>
      </c>
      <c r="CZ1008" s="156">
        <v>0.0</v>
      </c>
      <c r="DA1008" s="156">
        <v>0.0</v>
      </c>
      <c r="EG1008" s="156">
        <v>0.0</v>
      </c>
      <c r="EH1008" s="156">
        <v>0.0</v>
      </c>
      <c r="EI1008" s="156">
        <v>0.0</v>
      </c>
      <c r="EJ1008" s="156">
        <v>0.0</v>
      </c>
      <c r="EK1008" s="156">
        <v>0.0</v>
      </c>
      <c r="EL1008" s="156">
        <v>0.0</v>
      </c>
      <c r="FQ1008" s="156">
        <v>0.0</v>
      </c>
      <c r="FR1008" s="156">
        <v>0.0</v>
      </c>
      <c r="FS1008" s="156">
        <v>0.0</v>
      </c>
      <c r="FT1008" s="156">
        <v>0.0</v>
      </c>
      <c r="FU1008" s="156">
        <v>0.0</v>
      </c>
      <c r="FV1008" s="156">
        <v>0.0</v>
      </c>
      <c r="FW1008" s="157"/>
      <c r="FX1008" s="157"/>
      <c r="FY1008" s="157"/>
      <c r="FZ1008" s="157"/>
      <c r="GA1008" s="157"/>
      <c r="GB1008" s="157"/>
      <c r="GC1008" s="157"/>
      <c r="GD1008" s="157"/>
      <c r="GE1008" s="157"/>
      <c r="GF1008" s="157"/>
      <c r="GG1008" s="157"/>
      <c r="GH1008" s="157"/>
      <c r="GI1008" s="157"/>
      <c r="GJ1008" s="157"/>
      <c r="GK1008" s="157"/>
      <c r="GL1008" s="157"/>
      <c r="GM1008" s="157"/>
      <c r="GN1008" s="157"/>
      <c r="GO1008" s="157"/>
      <c r="GP1008" s="158"/>
      <c r="GQ1008" s="157"/>
      <c r="GR1008" s="157"/>
      <c r="GS1008" s="157"/>
      <c r="GT1008" s="157"/>
      <c r="GU1008" s="157"/>
      <c r="GV1008" s="157"/>
      <c r="GW1008" s="157"/>
      <c r="GX1008" s="157"/>
      <c r="GY1008" s="157"/>
      <c r="GZ1008" s="157"/>
      <c r="HA1008" s="157"/>
      <c r="HB1008" s="155">
        <v>0.0</v>
      </c>
      <c r="HC1008" s="155">
        <v>0.0</v>
      </c>
      <c r="HD1008" s="155">
        <v>0.0</v>
      </c>
      <c r="HE1008" s="155">
        <v>0.0</v>
      </c>
      <c r="HF1008" s="155">
        <v>0.0</v>
      </c>
      <c r="HG1008" s="155">
        <v>0.0</v>
      </c>
      <c r="IL1008" s="159">
        <v>0.0</v>
      </c>
      <c r="IM1008" s="156">
        <v>0.0</v>
      </c>
      <c r="IN1008" s="156">
        <v>0.0</v>
      </c>
      <c r="IO1008" s="156">
        <v>0.0</v>
      </c>
      <c r="IP1008" s="156">
        <v>0.0</v>
      </c>
      <c r="IQ1008" s="160">
        <v>0.0</v>
      </c>
      <c r="JH1008" s="25"/>
      <c r="JW1008" s="159">
        <v>0.0</v>
      </c>
      <c r="JX1008" s="156">
        <v>0.0</v>
      </c>
      <c r="JY1008" s="156">
        <v>0.0</v>
      </c>
      <c r="JZ1008" s="156">
        <v>0.0</v>
      </c>
      <c r="KA1008" s="156">
        <v>0.0</v>
      </c>
      <c r="KB1008" s="160">
        <v>0.0</v>
      </c>
      <c r="LH1008" s="159">
        <f t="shared" si="10"/>
        <v>0</v>
      </c>
      <c r="LI1008" s="156">
        <f t="shared" si="11"/>
        <v>0</v>
      </c>
      <c r="LJ1008" s="156">
        <f t="shared" si="12"/>
        <v>0</v>
      </c>
      <c r="LK1008" s="156">
        <f t="shared" si="13"/>
        <v>0</v>
      </c>
      <c r="LL1008" s="156">
        <f t="shared" si="14"/>
        <v>0</v>
      </c>
      <c r="LM1008" s="160">
        <f t="shared" si="15"/>
        <v>0</v>
      </c>
      <c r="QX1008" s="633"/>
    </row>
    <row r="1009">
      <c r="A1009" s="12"/>
      <c r="B1009" s="12"/>
      <c r="C1009" s="12"/>
      <c r="D1009" s="12"/>
      <c r="E1009" s="12"/>
      <c r="F1009" s="12"/>
      <c r="G1009" s="12"/>
      <c r="H1009" s="12"/>
      <c r="I1009" s="143">
        <f t="shared" si="22"/>
        <v>0</v>
      </c>
      <c r="J1009" s="108"/>
      <c r="K1009" s="203"/>
      <c r="L1009" s="108"/>
      <c r="V1009" s="161"/>
      <c r="X1009" s="140"/>
      <c r="Y1009" s="166">
        <f t="shared" si="23"/>
        <v>0</v>
      </c>
      <c r="Z1009" s="26">
        <f t="shared" si="7"/>
        <v>0</v>
      </c>
      <c r="AA1009" s="26">
        <f t="shared" si="8"/>
        <v>0</v>
      </c>
      <c r="AB1009" s="26">
        <f t="shared" si="9"/>
        <v>0</v>
      </c>
      <c r="AC1009" s="156">
        <v>0.0</v>
      </c>
      <c r="AD1009" s="156">
        <v>0.0</v>
      </c>
      <c r="AE1009" s="156">
        <v>0.0</v>
      </c>
      <c r="AF1009" s="156">
        <v>0.0</v>
      </c>
      <c r="AG1009" s="156">
        <v>0.0</v>
      </c>
      <c r="AH1009" s="156">
        <v>0.0</v>
      </c>
      <c r="BN1009" s="155">
        <v>0.0</v>
      </c>
      <c r="BO1009" s="155">
        <v>0.0</v>
      </c>
      <c r="BP1009" s="155">
        <v>0.0</v>
      </c>
      <c r="BQ1009" s="155">
        <v>0.0</v>
      </c>
      <c r="BR1009" s="155">
        <v>0.0</v>
      </c>
      <c r="BS1009" s="155">
        <v>0.0</v>
      </c>
      <c r="CV1009" s="156">
        <v>0.0</v>
      </c>
      <c r="CW1009" s="156">
        <v>0.0</v>
      </c>
      <c r="CX1009" s="156">
        <v>0.0</v>
      </c>
      <c r="CY1009" s="156">
        <v>0.0</v>
      </c>
      <c r="CZ1009" s="156">
        <v>0.0</v>
      </c>
      <c r="DA1009" s="156">
        <v>0.0</v>
      </c>
      <c r="EG1009" s="156">
        <v>0.0</v>
      </c>
      <c r="EH1009" s="156">
        <v>0.0</v>
      </c>
      <c r="EI1009" s="156">
        <v>0.0</v>
      </c>
      <c r="EJ1009" s="156">
        <v>0.0</v>
      </c>
      <c r="EK1009" s="156">
        <v>0.0</v>
      </c>
      <c r="EL1009" s="156">
        <v>0.0</v>
      </c>
      <c r="FQ1009" s="156">
        <v>0.0</v>
      </c>
      <c r="FR1009" s="156">
        <v>0.0</v>
      </c>
      <c r="FS1009" s="156">
        <v>0.0</v>
      </c>
      <c r="FT1009" s="156">
        <v>0.0</v>
      </c>
      <c r="FU1009" s="156">
        <v>0.0</v>
      </c>
      <c r="FV1009" s="156">
        <v>0.0</v>
      </c>
      <c r="FW1009" s="157"/>
      <c r="FX1009" s="157"/>
      <c r="FY1009" s="157"/>
      <c r="FZ1009" s="157"/>
      <c r="GA1009" s="157"/>
      <c r="GB1009" s="157"/>
      <c r="GC1009" s="157"/>
      <c r="GD1009" s="157"/>
      <c r="GE1009" s="157"/>
      <c r="GF1009" s="157"/>
      <c r="GG1009" s="157"/>
      <c r="GH1009" s="157"/>
      <c r="GI1009" s="157"/>
      <c r="GJ1009" s="157"/>
      <c r="GK1009" s="157"/>
      <c r="GL1009" s="157"/>
      <c r="GM1009" s="157"/>
      <c r="GN1009" s="157"/>
      <c r="GO1009" s="157"/>
      <c r="GP1009" s="158"/>
      <c r="GQ1009" s="157"/>
      <c r="GR1009" s="157"/>
      <c r="GS1009" s="157"/>
      <c r="GT1009" s="157"/>
      <c r="GU1009" s="157"/>
      <c r="GV1009" s="157"/>
      <c r="GW1009" s="157"/>
      <c r="GX1009" s="157"/>
      <c r="GY1009" s="157"/>
      <c r="GZ1009" s="157"/>
      <c r="HA1009" s="157"/>
      <c r="HB1009" s="155">
        <v>0.0</v>
      </c>
      <c r="HC1009" s="155">
        <v>0.0</v>
      </c>
      <c r="HD1009" s="155">
        <v>0.0</v>
      </c>
      <c r="HE1009" s="155">
        <v>0.0</v>
      </c>
      <c r="HF1009" s="155">
        <v>0.0</v>
      </c>
      <c r="HG1009" s="155">
        <v>0.0</v>
      </c>
      <c r="IL1009" s="159">
        <v>0.0</v>
      </c>
      <c r="IM1009" s="156">
        <v>0.0</v>
      </c>
      <c r="IN1009" s="156">
        <v>0.0</v>
      </c>
      <c r="IO1009" s="156">
        <v>0.0</v>
      </c>
      <c r="IP1009" s="156">
        <v>0.0</v>
      </c>
      <c r="IQ1009" s="160">
        <v>0.0</v>
      </c>
      <c r="JH1009" s="25"/>
      <c r="JW1009" s="159">
        <v>0.0</v>
      </c>
      <c r="JX1009" s="156">
        <v>0.0</v>
      </c>
      <c r="JY1009" s="156">
        <v>0.0</v>
      </c>
      <c r="JZ1009" s="156">
        <v>0.0</v>
      </c>
      <c r="KA1009" s="156">
        <v>0.0</v>
      </c>
      <c r="KB1009" s="160">
        <v>0.0</v>
      </c>
      <c r="LH1009" s="159">
        <f t="shared" si="10"/>
        <v>0</v>
      </c>
      <c r="LI1009" s="156">
        <f t="shared" si="11"/>
        <v>0</v>
      </c>
      <c r="LJ1009" s="156">
        <f t="shared" si="12"/>
        <v>0</v>
      </c>
      <c r="LK1009" s="156">
        <f t="shared" si="13"/>
        <v>0</v>
      </c>
      <c r="LL1009" s="156">
        <f t="shared" si="14"/>
        <v>0</v>
      </c>
      <c r="LM1009" s="160">
        <f t="shared" si="15"/>
        <v>0</v>
      </c>
      <c r="QX1009" s="633"/>
    </row>
    <row r="1010">
      <c r="A1010" s="12"/>
      <c r="B1010" s="12"/>
      <c r="C1010" s="12"/>
      <c r="D1010" s="12"/>
      <c r="E1010" s="12"/>
      <c r="F1010" s="12"/>
      <c r="G1010" s="12"/>
      <c r="H1010" s="12"/>
      <c r="I1010" s="143">
        <f t="shared" si="22"/>
        <v>0</v>
      </c>
      <c r="J1010" s="108"/>
      <c r="K1010" s="203"/>
      <c r="L1010" s="108"/>
      <c r="V1010" s="161"/>
      <c r="X1010" s="140"/>
      <c r="Y1010" s="166">
        <f t="shared" si="23"/>
        <v>0</v>
      </c>
      <c r="Z1010" s="26">
        <f t="shared" si="7"/>
        <v>0</v>
      </c>
      <c r="AA1010" s="26">
        <f t="shared" si="8"/>
        <v>0</v>
      </c>
      <c r="AB1010" s="26">
        <f t="shared" si="9"/>
        <v>0</v>
      </c>
      <c r="AC1010" s="156">
        <v>0.0</v>
      </c>
      <c r="AD1010" s="156">
        <v>0.0</v>
      </c>
      <c r="AE1010" s="156">
        <v>0.0</v>
      </c>
      <c r="AF1010" s="156">
        <v>0.0</v>
      </c>
      <c r="AG1010" s="156">
        <v>0.0</v>
      </c>
      <c r="AH1010" s="156">
        <v>0.0</v>
      </c>
      <c r="BN1010" s="155">
        <v>0.0</v>
      </c>
      <c r="BO1010" s="155">
        <v>0.0</v>
      </c>
      <c r="BP1010" s="155">
        <v>0.0</v>
      </c>
      <c r="BQ1010" s="155">
        <v>0.0</v>
      </c>
      <c r="BR1010" s="155">
        <v>0.0</v>
      </c>
      <c r="BS1010" s="155">
        <v>0.0</v>
      </c>
      <c r="CV1010" s="156">
        <v>0.0</v>
      </c>
      <c r="CW1010" s="156">
        <v>0.0</v>
      </c>
      <c r="CX1010" s="156">
        <v>0.0</v>
      </c>
      <c r="CY1010" s="156">
        <v>0.0</v>
      </c>
      <c r="CZ1010" s="156">
        <v>0.0</v>
      </c>
      <c r="DA1010" s="156">
        <v>0.0</v>
      </c>
      <c r="EG1010" s="156">
        <v>0.0</v>
      </c>
      <c r="EH1010" s="156">
        <v>0.0</v>
      </c>
      <c r="EI1010" s="156">
        <v>0.0</v>
      </c>
      <c r="EJ1010" s="156">
        <v>0.0</v>
      </c>
      <c r="EK1010" s="156">
        <v>0.0</v>
      </c>
      <c r="EL1010" s="156">
        <v>0.0</v>
      </c>
      <c r="FQ1010" s="156">
        <v>0.0</v>
      </c>
      <c r="FR1010" s="156">
        <v>0.0</v>
      </c>
      <c r="FS1010" s="156">
        <v>0.0</v>
      </c>
      <c r="FT1010" s="156">
        <v>0.0</v>
      </c>
      <c r="FU1010" s="156">
        <v>0.0</v>
      </c>
      <c r="FV1010" s="156">
        <v>0.0</v>
      </c>
      <c r="FW1010" s="157"/>
      <c r="FX1010" s="157"/>
      <c r="FY1010" s="157"/>
      <c r="FZ1010" s="157"/>
      <c r="GA1010" s="157"/>
      <c r="GB1010" s="157"/>
      <c r="GC1010" s="157"/>
      <c r="GD1010" s="157"/>
      <c r="GE1010" s="157"/>
      <c r="GF1010" s="157"/>
      <c r="GG1010" s="157"/>
      <c r="GH1010" s="157"/>
      <c r="GI1010" s="157"/>
      <c r="GJ1010" s="157"/>
      <c r="GK1010" s="157"/>
      <c r="GL1010" s="157"/>
      <c r="GM1010" s="157"/>
      <c r="GN1010" s="157"/>
      <c r="GO1010" s="157"/>
      <c r="GP1010" s="158"/>
      <c r="GQ1010" s="157"/>
      <c r="GR1010" s="157"/>
      <c r="GS1010" s="157"/>
      <c r="GT1010" s="157"/>
      <c r="GU1010" s="157"/>
      <c r="GV1010" s="157"/>
      <c r="GW1010" s="157"/>
      <c r="GX1010" s="157"/>
      <c r="GY1010" s="157"/>
      <c r="GZ1010" s="157"/>
      <c r="HA1010" s="157"/>
      <c r="HB1010" s="155">
        <v>0.0</v>
      </c>
      <c r="HC1010" s="155">
        <v>0.0</v>
      </c>
      <c r="HD1010" s="155">
        <v>0.0</v>
      </c>
      <c r="HE1010" s="155">
        <v>0.0</v>
      </c>
      <c r="HF1010" s="155">
        <v>0.0</v>
      </c>
      <c r="HG1010" s="155">
        <v>0.0</v>
      </c>
      <c r="IL1010" s="159">
        <v>0.0</v>
      </c>
      <c r="IM1010" s="156">
        <v>0.0</v>
      </c>
      <c r="IN1010" s="156">
        <v>0.0</v>
      </c>
      <c r="IO1010" s="156">
        <v>0.0</v>
      </c>
      <c r="IP1010" s="156">
        <v>0.0</v>
      </c>
      <c r="IQ1010" s="160">
        <v>0.0</v>
      </c>
      <c r="JH1010" s="25"/>
      <c r="JW1010" s="159">
        <v>0.0</v>
      </c>
      <c r="JX1010" s="156">
        <v>0.0</v>
      </c>
      <c r="JY1010" s="156">
        <v>0.0</v>
      </c>
      <c r="JZ1010" s="156">
        <v>0.0</v>
      </c>
      <c r="KA1010" s="156">
        <v>0.0</v>
      </c>
      <c r="KB1010" s="160">
        <v>0.0</v>
      </c>
      <c r="LH1010" s="159">
        <f t="shared" si="10"/>
        <v>0</v>
      </c>
      <c r="LI1010" s="156">
        <f t="shared" si="11"/>
        <v>0</v>
      </c>
      <c r="LJ1010" s="156">
        <f t="shared" si="12"/>
        <v>0</v>
      </c>
      <c r="LK1010" s="156">
        <f t="shared" si="13"/>
        <v>0</v>
      </c>
      <c r="LL1010" s="156">
        <f t="shared" si="14"/>
        <v>0</v>
      </c>
      <c r="LM1010" s="160">
        <f t="shared" si="15"/>
        <v>0</v>
      </c>
      <c r="QX1010" s="633"/>
    </row>
    <row r="1011">
      <c r="A1011" s="12"/>
      <c r="B1011" s="12"/>
      <c r="C1011" s="12"/>
      <c r="D1011" s="12"/>
      <c r="E1011" s="12"/>
      <c r="F1011" s="12"/>
      <c r="G1011" s="12"/>
      <c r="H1011" s="12"/>
      <c r="I1011" s="143">
        <f t="shared" si="22"/>
        <v>0</v>
      </c>
      <c r="J1011" s="108"/>
      <c r="K1011" s="203"/>
      <c r="L1011" s="108"/>
      <c r="V1011" s="161"/>
      <c r="X1011" s="140"/>
      <c r="Y1011" s="166">
        <f t="shared" si="23"/>
        <v>0</v>
      </c>
      <c r="Z1011" s="26">
        <f t="shared" si="7"/>
        <v>0</v>
      </c>
      <c r="AA1011" s="26">
        <f t="shared" si="8"/>
        <v>0</v>
      </c>
      <c r="AB1011" s="26">
        <f t="shared" si="9"/>
        <v>0</v>
      </c>
      <c r="AC1011" s="156">
        <v>0.0</v>
      </c>
      <c r="AD1011" s="156">
        <v>0.0</v>
      </c>
      <c r="AE1011" s="156">
        <v>0.0</v>
      </c>
      <c r="AF1011" s="156">
        <v>0.0</v>
      </c>
      <c r="AG1011" s="156">
        <v>0.0</v>
      </c>
      <c r="AH1011" s="156">
        <v>0.0</v>
      </c>
      <c r="BN1011" s="155">
        <v>0.0</v>
      </c>
      <c r="BO1011" s="155">
        <v>0.0</v>
      </c>
      <c r="BP1011" s="155">
        <v>0.0</v>
      </c>
      <c r="BQ1011" s="155">
        <v>0.0</v>
      </c>
      <c r="BR1011" s="155">
        <v>0.0</v>
      </c>
      <c r="BS1011" s="155">
        <v>0.0</v>
      </c>
      <c r="CV1011" s="156">
        <v>0.0</v>
      </c>
      <c r="CW1011" s="156">
        <v>0.0</v>
      </c>
      <c r="CX1011" s="156">
        <v>0.0</v>
      </c>
      <c r="CY1011" s="156">
        <v>0.0</v>
      </c>
      <c r="CZ1011" s="156">
        <v>0.0</v>
      </c>
      <c r="DA1011" s="156">
        <v>0.0</v>
      </c>
      <c r="EG1011" s="156">
        <v>0.0</v>
      </c>
      <c r="EH1011" s="156">
        <v>0.0</v>
      </c>
      <c r="EI1011" s="156">
        <v>0.0</v>
      </c>
      <c r="EJ1011" s="156">
        <v>0.0</v>
      </c>
      <c r="EK1011" s="156">
        <v>0.0</v>
      </c>
      <c r="EL1011" s="156">
        <v>0.0</v>
      </c>
      <c r="FQ1011" s="156">
        <v>0.0</v>
      </c>
      <c r="FR1011" s="156">
        <v>0.0</v>
      </c>
      <c r="FS1011" s="156">
        <v>0.0</v>
      </c>
      <c r="FT1011" s="156">
        <v>0.0</v>
      </c>
      <c r="FU1011" s="156">
        <v>0.0</v>
      </c>
      <c r="FV1011" s="156">
        <v>0.0</v>
      </c>
      <c r="FW1011" s="157"/>
      <c r="FX1011" s="157"/>
      <c r="FY1011" s="157"/>
      <c r="FZ1011" s="157"/>
      <c r="GA1011" s="157"/>
      <c r="GB1011" s="157"/>
      <c r="GC1011" s="157"/>
      <c r="GD1011" s="157"/>
      <c r="GE1011" s="157"/>
      <c r="GF1011" s="157"/>
      <c r="GG1011" s="157"/>
      <c r="GH1011" s="157"/>
      <c r="GI1011" s="157"/>
      <c r="GJ1011" s="157"/>
      <c r="GK1011" s="157"/>
      <c r="GL1011" s="157"/>
      <c r="GM1011" s="157"/>
      <c r="GN1011" s="157"/>
      <c r="GO1011" s="157"/>
      <c r="GP1011" s="158"/>
      <c r="GQ1011" s="157"/>
      <c r="GR1011" s="157"/>
      <c r="GS1011" s="157"/>
      <c r="GT1011" s="157"/>
      <c r="GU1011" s="157"/>
      <c r="GV1011" s="157"/>
      <c r="GW1011" s="157"/>
      <c r="GX1011" s="157"/>
      <c r="GY1011" s="157"/>
      <c r="GZ1011" s="157"/>
      <c r="HA1011" s="157"/>
      <c r="HB1011" s="155">
        <v>0.0</v>
      </c>
      <c r="HC1011" s="155">
        <v>0.0</v>
      </c>
      <c r="HD1011" s="155">
        <v>0.0</v>
      </c>
      <c r="HE1011" s="155">
        <v>0.0</v>
      </c>
      <c r="HF1011" s="155">
        <v>0.0</v>
      </c>
      <c r="HG1011" s="155">
        <v>0.0</v>
      </c>
      <c r="IL1011" s="634">
        <v>0.0</v>
      </c>
      <c r="IM1011" s="635">
        <v>0.0</v>
      </c>
      <c r="IN1011" s="635">
        <v>0.0</v>
      </c>
      <c r="IO1011" s="635">
        <v>0.0</v>
      </c>
      <c r="IP1011" s="635">
        <v>0.0</v>
      </c>
      <c r="IQ1011" s="636">
        <v>0.0</v>
      </c>
      <c r="JH1011" s="25"/>
      <c r="JW1011" s="159">
        <v>0.0</v>
      </c>
      <c r="JX1011" s="156">
        <v>0.0</v>
      </c>
      <c r="JY1011" s="156">
        <v>0.0</v>
      </c>
      <c r="JZ1011" s="156">
        <v>0.0</v>
      </c>
      <c r="KA1011" s="156">
        <v>0.0</v>
      </c>
      <c r="KB1011" s="160">
        <v>0.0</v>
      </c>
      <c r="LH1011" s="159">
        <f t="shared" si="10"/>
        <v>0</v>
      </c>
      <c r="LI1011" s="156">
        <f t="shared" si="11"/>
        <v>0</v>
      </c>
      <c r="LJ1011" s="156">
        <f t="shared" si="12"/>
        <v>0</v>
      </c>
      <c r="LK1011" s="156">
        <f t="shared" si="13"/>
        <v>0</v>
      </c>
      <c r="LL1011" s="156">
        <f t="shared" si="14"/>
        <v>0</v>
      </c>
      <c r="LM1011" s="160">
        <f t="shared" si="15"/>
        <v>0</v>
      </c>
      <c r="QX1011" s="633"/>
    </row>
  </sheetData>
  <conditionalFormatting sqref="I1:I1001">
    <cfRule type="cellIs" dxfId="3" priority="1" operator="lessThan">
      <formula>0</formula>
    </cfRule>
  </conditionalFormatting>
  <dataValidations>
    <dataValidation type="custom" allowBlank="1" showDropDown="1" sqref="L3:L197 L200:L228 L230:L510 L512 J3:J514 L514 J516 L533">
      <formula1>OR(NOT(ISERROR(DATEVALUE(J3))), AND(ISNUMBER(J3), LEFT(CELL("format", J3))="D"))</formula1>
    </dataValidation>
    <dataValidation type="list" allowBlank="1" sqref="K17 K36 K38 K40 K42 K45 K53 K57 K74 K77 K95 K99 K111 K113 K117 K122 K173 K176:K177 K180 K184 K201 K224 K241 K265">
      <formula1>"Đang học,Kết thúc,Bảo lưu"</formula1>
    </dataValidation>
    <dataValidation type="list" allowBlank="1" sqref="K3:K16 K18:K35 K37 K39 K41 K43:K44 K46:K52 K54:K56 K58:K73 K75:K76 K78:K94 K96:K98 K100:K110 K112 K114:K116 K118:K121 K123:K172 K174:K175 K178:K179 K181:K183 K185:K200 K202:K223 K225:K240 K242:K264 K266:K1011">
      <formula1>Setting!$A$2:$A$9</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3" max="3" width="26.0"/>
    <col customWidth="1" min="4" max="4" width="34.25"/>
  </cols>
  <sheetData>
    <row r="1" ht="20.25" customHeight="1">
      <c r="A1" s="2" t="s">
        <v>1</v>
      </c>
      <c r="B1" s="4" t="s">
        <v>2</v>
      </c>
      <c r="C1" s="4" t="s">
        <v>3</v>
      </c>
      <c r="D1" s="4" t="s">
        <v>4</v>
      </c>
      <c r="E1" s="2" t="s">
        <v>5</v>
      </c>
      <c r="F1" s="5"/>
      <c r="G1" s="5"/>
    </row>
    <row r="2" hidden="1">
      <c r="A2" s="7">
        <v>46043.0</v>
      </c>
      <c r="B2" s="9">
        <v>4.20284679E8</v>
      </c>
      <c r="C2" s="9" t="s">
        <v>8</v>
      </c>
      <c r="D2" s="10" t="s">
        <v>9</v>
      </c>
      <c r="E2" s="11" t="s">
        <v>10</v>
      </c>
    </row>
    <row r="3" hidden="1">
      <c r="A3" s="7">
        <v>46043.0</v>
      </c>
      <c r="B3" s="9">
        <v>4.20291147E8</v>
      </c>
      <c r="C3" s="9" t="s">
        <v>12</v>
      </c>
      <c r="D3" s="10" t="s">
        <v>9</v>
      </c>
      <c r="E3" s="11" t="s">
        <v>10</v>
      </c>
      <c r="F3" s="9"/>
      <c r="G3" s="9"/>
      <c r="H3" s="9"/>
      <c r="I3" s="9"/>
      <c r="J3" s="9"/>
      <c r="K3" s="9"/>
      <c r="L3" s="9"/>
      <c r="M3" s="9"/>
      <c r="N3" s="9"/>
      <c r="O3" s="9"/>
      <c r="P3" s="9"/>
      <c r="Q3" s="9"/>
      <c r="R3" s="9"/>
      <c r="S3" s="9"/>
      <c r="T3" s="9"/>
      <c r="U3" s="9"/>
      <c r="V3" s="9"/>
      <c r="W3" s="9"/>
      <c r="X3" s="9"/>
      <c r="Y3" s="9"/>
      <c r="Z3" s="9"/>
    </row>
    <row r="4" hidden="1">
      <c r="A4" s="7">
        <v>46043.0</v>
      </c>
      <c r="B4" s="9">
        <v>4.20291039E8</v>
      </c>
      <c r="C4" s="9" t="s">
        <v>13</v>
      </c>
      <c r="D4" s="10" t="s">
        <v>14</v>
      </c>
      <c r="E4" s="11" t="s">
        <v>10</v>
      </c>
    </row>
    <row r="5" hidden="1">
      <c r="A5" s="7">
        <v>46044.0</v>
      </c>
      <c r="B5" s="12">
        <v>4.20291234E8</v>
      </c>
      <c r="C5" s="12" t="s">
        <v>15</v>
      </c>
      <c r="D5" s="10" t="s">
        <v>16</v>
      </c>
      <c r="E5" s="11" t="s">
        <v>10</v>
      </c>
    </row>
    <row r="6" hidden="1">
      <c r="A6" s="7">
        <v>46048.0</v>
      </c>
      <c r="B6" s="12">
        <v>4.20290975E8</v>
      </c>
      <c r="C6" s="12" t="s">
        <v>17</v>
      </c>
      <c r="D6" s="10" t="s">
        <v>9</v>
      </c>
      <c r="E6" s="11" t="s">
        <v>10</v>
      </c>
    </row>
    <row r="7" hidden="1">
      <c r="A7" s="7">
        <v>46048.0</v>
      </c>
      <c r="B7" s="12">
        <v>4.20291377E8</v>
      </c>
      <c r="C7" s="12" t="s">
        <v>19</v>
      </c>
      <c r="D7" s="10" t="s">
        <v>16</v>
      </c>
      <c r="E7" s="11" t="s">
        <v>10</v>
      </c>
    </row>
    <row r="8" hidden="1">
      <c r="A8" s="7">
        <v>46048.0</v>
      </c>
      <c r="B8" s="12">
        <v>4.20291162E8</v>
      </c>
      <c r="C8" s="12" t="s">
        <v>20</v>
      </c>
      <c r="D8" s="10" t="s">
        <v>16</v>
      </c>
      <c r="E8" s="11" t="s">
        <v>10</v>
      </c>
    </row>
    <row r="9" hidden="1">
      <c r="A9" s="7">
        <v>46049.0</v>
      </c>
      <c r="B9" s="12">
        <v>4.20291231E8</v>
      </c>
      <c r="C9" s="12" t="s">
        <v>21</v>
      </c>
      <c r="D9" s="10" t="s">
        <v>22</v>
      </c>
      <c r="E9" s="11" t="s">
        <v>10</v>
      </c>
    </row>
    <row r="10" hidden="1">
      <c r="A10" s="7">
        <v>46049.0</v>
      </c>
      <c r="B10" s="9"/>
      <c r="C10" s="16" t="s">
        <v>24</v>
      </c>
      <c r="D10" s="10" t="s">
        <v>25</v>
      </c>
      <c r="E10" s="11" t="s">
        <v>10</v>
      </c>
    </row>
    <row r="11" hidden="1">
      <c r="A11" s="7">
        <v>46050.0</v>
      </c>
      <c r="B11" s="12">
        <v>4.20290975E8</v>
      </c>
      <c r="C11" s="12" t="s">
        <v>17</v>
      </c>
      <c r="D11" s="10" t="s">
        <v>26</v>
      </c>
      <c r="E11" s="11" t="s">
        <v>10</v>
      </c>
    </row>
    <row r="12" hidden="1">
      <c r="A12" s="7">
        <v>46050.0</v>
      </c>
      <c r="B12" s="12">
        <v>4.2029128E8</v>
      </c>
      <c r="C12" s="12" t="s">
        <v>27</v>
      </c>
      <c r="D12" s="10" t="s">
        <v>28</v>
      </c>
      <c r="E12" s="11" t="s">
        <v>10</v>
      </c>
    </row>
    <row r="13" hidden="1">
      <c r="A13" s="7">
        <v>46051.0</v>
      </c>
      <c r="B13" s="12">
        <v>4.20291753E8</v>
      </c>
      <c r="C13" s="12" t="s">
        <v>29</v>
      </c>
      <c r="D13" s="10" t="s">
        <v>30</v>
      </c>
      <c r="E13" s="11" t="s">
        <v>10</v>
      </c>
    </row>
    <row r="14" hidden="1">
      <c r="A14" s="7">
        <v>46055.0</v>
      </c>
      <c r="B14" s="12">
        <v>4.20288659E8</v>
      </c>
      <c r="C14" s="12" t="s">
        <v>32</v>
      </c>
      <c r="D14" s="10" t="s">
        <v>28</v>
      </c>
      <c r="E14" s="11" t="s">
        <v>10</v>
      </c>
    </row>
    <row r="15" hidden="1">
      <c r="A15" s="7">
        <v>46055.0</v>
      </c>
      <c r="B15" s="12">
        <v>4.2029171E8</v>
      </c>
      <c r="C15" s="12" t="s">
        <v>33</v>
      </c>
      <c r="D15" s="10" t="s">
        <v>28</v>
      </c>
      <c r="E15" s="11" t="s">
        <v>10</v>
      </c>
    </row>
    <row r="16" hidden="1">
      <c r="A16" s="7">
        <v>46055.0</v>
      </c>
      <c r="B16" s="12">
        <v>4.20287218E8</v>
      </c>
      <c r="C16" s="12" t="s">
        <v>34</v>
      </c>
      <c r="D16" s="10" t="s">
        <v>16</v>
      </c>
      <c r="E16" s="11" t="s">
        <v>10</v>
      </c>
    </row>
    <row r="17" hidden="1">
      <c r="A17" s="7">
        <v>46057.0</v>
      </c>
      <c r="B17" s="12">
        <v>4.20291376E8</v>
      </c>
      <c r="C17" s="12" t="s">
        <v>35</v>
      </c>
      <c r="D17" s="10" t="s">
        <v>16</v>
      </c>
      <c r="E17" s="11" t="s">
        <v>10</v>
      </c>
    </row>
    <row r="18" hidden="1">
      <c r="A18" s="19">
        <v>46059.0</v>
      </c>
      <c r="B18" s="12">
        <v>4.20290156E8</v>
      </c>
      <c r="C18" s="12" t="s">
        <v>36</v>
      </c>
      <c r="D18" s="10" t="s">
        <v>28</v>
      </c>
      <c r="E18" s="11" t="s">
        <v>10</v>
      </c>
    </row>
    <row r="19" hidden="1">
      <c r="A19" s="19">
        <v>46059.0</v>
      </c>
      <c r="B19" s="12">
        <v>4.2029091E8</v>
      </c>
      <c r="C19" s="12" t="s">
        <v>37</v>
      </c>
      <c r="D19" s="10" t="s">
        <v>26</v>
      </c>
      <c r="E19" s="11" t="s">
        <v>10</v>
      </c>
    </row>
    <row r="20" hidden="1">
      <c r="A20" s="19">
        <v>46059.0</v>
      </c>
      <c r="B20" s="12">
        <v>4.20292E8</v>
      </c>
      <c r="C20" s="12" t="s">
        <v>39</v>
      </c>
      <c r="D20" s="10" t="s">
        <v>26</v>
      </c>
      <c r="E20" s="11" t="s">
        <v>10</v>
      </c>
    </row>
    <row r="21" hidden="1">
      <c r="A21" s="19">
        <v>46063.0</v>
      </c>
      <c r="B21" s="12">
        <v>4.20290679E8</v>
      </c>
      <c r="C21" s="12" t="s">
        <v>40</v>
      </c>
      <c r="D21" s="10" t="s">
        <v>28</v>
      </c>
      <c r="E21" s="11" t="s">
        <v>10</v>
      </c>
    </row>
    <row r="22" hidden="1">
      <c r="A22" s="19">
        <v>46063.0</v>
      </c>
      <c r="B22" s="12">
        <v>4.20291313E8</v>
      </c>
      <c r="C22" s="12" t="s">
        <v>41</v>
      </c>
      <c r="D22" s="10" t="s">
        <v>26</v>
      </c>
      <c r="E22" s="11" t="s">
        <v>10</v>
      </c>
    </row>
    <row r="23" hidden="1">
      <c r="A23" s="19">
        <v>46064.0</v>
      </c>
      <c r="B23" s="12">
        <v>4.20291973E8</v>
      </c>
      <c r="C23" s="12" t="s">
        <v>43</v>
      </c>
      <c r="D23" s="10" t="s">
        <v>28</v>
      </c>
      <c r="E23" s="11" t="s">
        <v>10</v>
      </c>
    </row>
    <row r="24" hidden="1">
      <c r="A24" s="19">
        <v>46064.0</v>
      </c>
      <c r="B24" s="12">
        <v>4.20291874E8</v>
      </c>
      <c r="C24" s="12" t="s">
        <v>44</v>
      </c>
      <c r="D24" s="10" t="s">
        <v>28</v>
      </c>
      <c r="E24" s="11" t="s">
        <v>10</v>
      </c>
    </row>
    <row r="25" hidden="1">
      <c r="A25" s="19">
        <v>46065.0</v>
      </c>
      <c r="B25" s="9"/>
      <c r="C25" s="22" t="s">
        <v>45</v>
      </c>
      <c r="D25" s="10" t="s">
        <v>28</v>
      </c>
      <c r="E25" s="11" t="s">
        <v>10</v>
      </c>
    </row>
    <row r="26" hidden="1">
      <c r="A26" s="19">
        <v>46077.0</v>
      </c>
      <c r="B26" s="9"/>
      <c r="C26" s="10" t="s">
        <v>46</v>
      </c>
      <c r="D26" s="10" t="s">
        <v>47</v>
      </c>
      <c r="E26" s="11" t="s">
        <v>10</v>
      </c>
    </row>
    <row r="27" hidden="1">
      <c r="A27" s="19">
        <v>46078.0</v>
      </c>
      <c r="B27" s="25">
        <v>4.20276218E8</v>
      </c>
      <c r="C27" s="25" t="s">
        <v>49</v>
      </c>
      <c r="D27" s="10" t="s">
        <v>28</v>
      </c>
      <c r="E27" s="11" t="s">
        <v>10</v>
      </c>
    </row>
    <row r="28" hidden="1">
      <c r="A28" s="19">
        <v>46079.0</v>
      </c>
      <c r="B28" s="12">
        <v>4.27892421E8</v>
      </c>
      <c r="C28" s="12" t="s">
        <v>50</v>
      </c>
      <c r="D28" s="10" t="s">
        <v>28</v>
      </c>
      <c r="E28" s="11" t="s">
        <v>10</v>
      </c>
    </row>
    <row r="29" hidden="1">
      <c r="A29" s="19">
        <v>46079.0</v>
      </c>
      <c r="B29" s="12">
        <v>4.20291172E8</v>
      </c>
      <c r="C29" s="12" t="s">
        <v>51</v>
      </c>
      <c r="D29" s="10" t="s">
        <v>28</v>
      </c>
      <c r="E29" s="11" t="s">
        <v>10</v>
      </c>
    </row>
    <row r="30" hidden="1">
      <c r="A30" s="19">
        <v>46080.0</v>
      </c>
      <c r="B30" s="9"/>
      <c r="C30" s="10" t="s">
        <v>52</v>
      </c>
      <c r="D30" s="10" t="s">
        <v>47</v>
      </c>
      <c r="E30" s="11" t="s">
        <v>10</v>
      </c>
    </row>
    <row r="31" hidden="1">
      <c r="A31" s="19">
        <v>46081.0</v>
      </c>
      <c r="B31" s="12">
        <v>4.27892783E8</v>
      </c>
      <c r="C31" s="12" t="s">
        <v>54</v>
      </c>
      <c r="D31" s="10" t="s">
        <v>14</v>
      </c>
      <c r="E31" s="11" t="s">
        <v>10</v>
      </c>
    </row>
    <row r="32" hidden="1">
      <c r="A32" s="19">
        <v>46083.0</v>
      </c>
      <c r="B32" s="12">
        <v>4.2029212E8</v>
      </c>
      <c r="C32" s="12" t="s">
        <v>55</v>
      </c>
      <c r="D32" s="10" t="s">
        <v>28</v>
      </c>
      <c r="E32" s="11" t="s">
        <v>10</v>
      </c>
    </row>
    <row r="33" hidden="1">
      <c r="A33" s="19">
        <v>46083.0</v>
      </c>
      <c r="B33" s="12">
        <v>4.27892701E8</v>
      </c>
      <c r="C33" s="12" t="s">
        <v>57</v>
      </c>
      <c r="D33" s="10" t="s">
        <v>26</v>
      </c>
      <c r="E33" s="11" t="s">
        <v>10</v>
      </c>
    </row>
    <row r="34" hidden="1">
      <c r="A34" s="19">
        <v>46084.0</v>
      </c>
      <c r="B34" s="12">
        <v>4.20289329E8</v>
      </c>
      <c r="C34" s="12" t="s">
        <v>59</v>
      </c>
      <c r="D34" s="10" t="s">
        <v>28</v>
      </c>
      <c r="E34" s="11" t="s">
        <v>10</v>
      </c>
    </row>
    <row r="35" hidden="1">
      <c r="A35" s="19">
        <v>46084.0</v>
      </c>
      <c r="B35" s="12">
        <v>4.2028996E8</v>
      </c>
      <c r="C35" s="12" t="s">
        <v>60</v>
      </c>
      <c r="D35" s="10" t="s">
        <v>16</v>
      </c>
      <c r="E35" s="11" t="s">
        <v>10</v>
      </c>
    </row>
    <row r="36" hidden="1">
      <c r="A36" s="19">
        <v>46086.0</v>
      </c>
      <c r="B36" s="12">
        <v>4.20289329E8</v>
      </c>
      <c r="C36" s="12" t="s">
        <v>59</v>
      </c>
      <c r="D36" s="10" t="s">
        <v>28</v>
      </c>
      <c r="E36" s="11" t="s">
        <v>10</v>
      </c>
    </row>
    <row r="37" hidden="1">
      <c r="A37" s="19">
        <v>46086.0</v>
      </c>
      <c r="B37" s="12">
        <v>4.27892702E8</v>
      </c>
      <c r="C37" s="12" t="s">
        <v>62</v>
      </c>
      <c r="D37" s="10" t="s">
        <v>26</v>
      </c>
      <c r="E37" s="11" t="s">
        <v>10</v>
      </c>
    </row>
    <row r="38" hidden="1">
      <c r="A38" s="19">
        <v>46087.0</v>
      </c>
      <c r="B38" s="12">
        <v>4.27892871E8</v>
      </c>
      <c r="C38" s="12" t="s">
        <v>63</v>
      </c>
      <c r="D38" s="10" t="s">
        <v>28</v>
      </c>
      <c r="E38" s="11" t="s">
        <v>10</v>
      </c>
    </row>
    <row r="39" hidden="1">
      <c r="A39" s="19">
        <v>46087.0</v>
      </c>
      <c r="B39" s="12">
        <v>4.27893118E8</v>
      </c>
      <c r="C39" s="12" t="s">
        <v>64</v>
      </c>
      <c r="D39" s="10" t="s">
        <v>28</v>
      </c>
      <c r="E39" s="11" t="s">
        <v>10</v>
      </c>
    </row>
    <row r="40" hidden="1">
      <c r="A40" s="19">
        <v>46090.0</v>
      </c>
      <c r="B40" s="12">
        <v>4.20290145E8</v>
      </c>
      <c r="C40" s="12" t="s">
        <v>65</v>
      </c>
      <c r="D40" s="10" t="s">
        <v>28</v>
      </c>
      <c r="E40" s="11" t="s">
        <v>10</v>
      </c>
    </row>
    <row r="41" hidden="1">
      <c r="A41" s="7">
        <v>46092.0</v>
      </c>
      <c r="B41" s="12">
        <v>4.27892897E8</v>
      </c>
      <c r="C41" s="12" t="s">
        <v>67</v>
      </c>
      <c r="D41" s="10" t="s">
        <v>30</v>
      </c>
      <c r="E41" s="11" t="s">
        <v>10</v>
      </c>
    </row>
    <row r="42" hidden="1">
      <c r="A42" s="19">
        <v>46095.0</v>
      </c>
      <c r="B42" s="9"/>
      <c r="C42" s="10" t="s">
        <v>70</v>
      </c>
      <c r="D42" s="10" t="s">
        <v>71</v>
      </c>
      <c r="E42" s="11" t="s">
        <v>10</v>
      </c>
    </row>
    <row r="43" hidden="1">
      <c r="A43" s="19">
        <v>46097.0</v>
      </c>
      <c r="B43" s="9"/>
      <c r="C43" s="10" t="s">
        <v>72</v>
      </c>
      <c r="D43" s="10" t="s">
        <v>73</v>
      </c>
      <c r="E43" s="11" t="s">
        <v>10</v>
      </c>
    </row>
    <row r="44" hidden="1">
      <c r="A44" s="19">
        <v>46097.0</v>
      </c>
      <c r="B44" s="9"/>
      <c r="C44" s="10" t="s">
        <v>74</v>
      </c>
      <c r="D44" s="10" t="s">
        <v>73</v>
      </c>
      <c r="E44" s="11" t="s">
        <v>10</v>
      </c>
    </row>
    <row r="45" hidden="1">
      <c r="A45" s="19">
        <v>46097.0</v>
      </c>
      <c r="B45" s="12">
        <v>4.27893704E8</v>
      </c>
      <c r="C45" s="12" t="s">
        <v>75</v>
      </c>
      <c r="D45" s="10" t="s">
        <v>28</v>
      </c>
      <c r="E45" s="11" t="s">
        <v>10</v>
      </c>
    </row>
    <row r="46" hidden="1">
      <c r="A46" s="19">
        <v>46099.0</v>
      </c>
      <c r="B46" s="9"/>
      <c r="C46" s="10" t="s">
        <v>77</v>
      </c>
      <c r="D46" s="10" t="s">
        <v>78</v>
      </c>
      <c r="E46" s="11" t="s">
        <v>10</v>
      </c>
    </row>
    <row r="47" hidden="1">
      <c r="A47" s="19">
        <v>46099.0</v>
      </c>
      <c r="B47" s="12">
        <v>4.27893604E8</v>
      </c>
      <c r="C47" s="12" t="s">
        <v>79</v>
      </c>
      <c r="D47" s="10" t="s">
        <v>22</v>
      </c>
      <c r="E47" s="11" t="s">
        <v>10</v>
      </c>
    </row>
    <row r="48" hidden="1">
      <c r="A48" s="19">
        <v>46100.0</v>
      </c>
      <c r="B48" s="12">
        <v>4.27893083E8</v>
      </c>
      <c r="C48" s="12" t="s">
        <v>81</v>
      </c>
      <c r="D48" s="10" t="s">
        <v>30</v>
      </c>
      <c r="E48" s="11" t="s">
        <v>10</v>
      </c>
    </row>
    <row r="49" hidden="1">
      <c r="A49" s="19">
        <v>46102.0</v>
      </c>
      <c r="B49" s="45">
        <v>4.27894243E8</v>
      </c>
      <c r="C49" s="21" t="s">
        <v>83</v>
      </c>
      <c r="D49" s="49" t="s">
        <v>26</v>
      </c>
      <c r="E49" s="11" t="s">
        <v>10</v>
      </c>
    </row>
    <row r="50" hidden="1">
      <c r="A50" s="19">
        <v>46104.0</v>
      </c>
      <c r="B50" s="12">
        <v>4.2028325E8</v>
      </c>
      <c r="C50" s="12" t="s">
        <v>86</v>
      </c>
      <c r="D50" s="49" t="s">
        <v>26</v>
      </c>
      <c r="E50" s="11" t="s">
        <v>10</v>
      </c>
    </row>
    <row r="51" hidden="1">
      <c r="A51" s="19">
        <v>46107.0</v>
      </c>
      <c r="B51" s="12">
        <v>4.27894103E8</v>
      </c>
      <c r="C51" s="12" t="s">
        <v>87</v>
      </c>
      <c r="D51" s="10" t="s">
        <v>89</v>
      </c>
      <c r="E51" s="11" t="s">
        <v>10</v>
      </c>
    </row>
    <row r="52" hidden="1">
      <c r="A52" s="19">
        <v>46108.0</v>
      </c>
      <c r="B52" s="9"/>
      <c r="C52" s="10" t="s">
        <v>90</v>
      </c>
      <c r="D52" s="10" t="s">
        <v>73</v>
      </c>
      <c r="E52" s="11" t="s">
        <v>10</v>
      </c>
    </row>
    <row r="53" hidden="1">
      <c r="A53" s="19">
        <v>46108.0</v>
      </c>
      <c r="B53" s="12">
        <v>4.27894411E8</v>
      </c>
      <c r="C53" s="12" t="s">
        <v>92</v>
      </c>
      <c r="D53" s="10" t="s">
        <v>30</v>
      </c>
      <c r="E53" s="11" t="s">
        <v>10</v>
      </c>
    </row>
    <row r="54" hidden="1">
      <c r="A54" s="19">
        <v>46108.0</v>
      </c>
      <c r="B54" s="12">
        <v>4.27894231E8</v>
      </c>
      <c r="C54" s="12" t="s">
        <v>93</v>
      </c>
      <c r="D54" s="10" t="s">
        <v>28</v>
      </c>
      <c r="E54" s="11" t="s">
        <v>10</v>
      </c>
    </row>
    <row r="55" hidden="1">
      <c r="A55" s="19">
        <v>46109.0</v>
      </c>
      <c r="B55" s="9"/>
      <c r="C55" s="10" t="s">
        <v>94</v>
      </c>
      <c r="D55" s="10" t="s">
        <v>73</v>
      </c>
      <c r="E55" s="11" t="s">
        <v>10</v>
      </c>
    </row>
    <row r="56" hidden="1">
      <c r="A56" s="19">
        <v>46109.0</v>
      </c>
      <c r="B56" s="12">
        <v>4.27894283E8</v>
      </c>
      <c r="C56" s="12" t="s">
        <v>95</v>
      </c>
      <c r="D56" s="10" t="s">
        <v>22</v>
      </c>
      <c r="E56" s="11" t="s">
        <v>10</v>
      </c>
    </row>
    <row r="57" hidden="1">
      <c r="A57" s="19">
        <v>46109.0</v>
      </c>
      <c r="B57" s="58">
        <v>4.20281745E8</v>
      </c>
      <c r="C57" s="58" t="s">
        <v>105</v>
      </c>
      <c r="D57" s="10" t="s">
        <v>107</v>
      </c>
      <c r="E57" s="11" t="s">
        <v>10</v>
      </c>
    </row>
    <row r="58" hidden="1">
      <c r="A58" s="19">
        <v>46111.0</v>
      </c>
      <c r="B58" s="12">
        <v>4.27894526E8</v>
      </c>
      <c r="C58" s="12" t="s">
        <v>110</v>
      </c>
      <c r="D58" s="10" t="s">
        <v>111</v>
      </c>
      <c r="E58" s="11" t="s">
        <v>10</v>
      </c>
    </row>
    <row r="59" hidden="1">
      <c r="A59" s="19">
        <v>46112.0</v>
      </c>
      <c r="B59" s="12">
        <v>4.27894785E8</v>
      </c>
      <c r="C59" s="12" t="s">
        <v>112</v>
      </c>
      <c r="D59" s="10" t="s">
        <v>113</v>
      </c>
      <c r="E59" s="11" t="s">
        <v>10</v>
      </c>
    </row>
    <row r="60" hidden="1">
      <c r="A60" s="19">
        <v>46113.0</v>
      </c>
      <c r="B60" s="12">
        <v>4.2789418E8</v>
      </c>
      <c r="C60" s="12" t="s">
        <v>132</v>
      </c>
      <c r="D60" s="10" t="s">
        <v>16</v>
      </c>
      <c r="E60" s="11" t="s">
        <v>10</v>
      </c>
    </row>
    <row r="61" hidden="1">
      <c r="A61" s="19">
        <v>46113.0</v>
      </c>
      <c r="B61" s="12">
        <v>4.27894711E8</v>
      </c>
      <c r="C61" s="12" t="s">
        <v>133</v>
      </c>
      <c r="D61" s="10" t="s">
        <v>26</v>
      </c>
      <c r="E61" s="11" t="s">
        <v>10</v>
      </c>
    </row>
    <row r="62" hidden="1">
      <c r="A62" s="19">
        <v>46116.0</v>
      </c>
      <c r="B62" s="12">
        <v>4.27894635E8</v>
      </c>
      <c r="C62" s="12" t="s">
        <v>137</v>
      </c>
      <c r="D62" s="10" t="s">
        <v>16</v>
      </c>
      <c r="E62" s="11" t="s">
        <v>10</v>
      </c>
    </row>
    <row r="63" hidden="1">
      <c r="A63" s="19">
        <v>46118.0</v>
      </c>
      <c r="B63" s="12">
        <v>4.20285678E8</v>
      </c>
      <c r="C63" s="12" t="s">
        <v>140</v>
      </c>
      <c r="D63" s="10" t="s">
        <v>16</v>
      </c>
      <c r="E63" s="11" t="s">
        <v>10</v>
      </c>
    </row>
    <row r="64" hidden="1">
      <c r="A64" s="19">
        <v>46118.0</v>
      </c>
      <c r="B64" s="12">
        <v>4.27894548E8</v>
      </c>
      <c r="C64" s="12" t="s">
        <v>144</v>
      </c>
      <c r="D64" s="10" t="s">
        <v>22</v>
      </c>
      <c r="E64" s="11" t="s">
        <v>10</v>
      </c>
    </row>
    <row r="65" hidden="1">
      <c r="A65" s="19">
        <v>46119.0</v>
      </c>
      <c r="B65" s="12">
        <v>4.27894936E8</v>
      </c>
      <c r="C65" s="12" t="s">
        <v>146</v>
      </c>
      <c r="D65" s="10" t="s">
        <v>16</v>
      </c>
      <c r="E65" s="11" t="s">
        <v>10</v>
      </c>
    </row>
    <row r="66" hidden="1">
      <c r="A66" s="19">
        <v>46120.0</v>
      </c>
      <c r="B66" s="12">
        <v>4.27893377E8</v>
      </c>
      <c r="C66" s="12" t="s">
        <v>149</v>
      </c>
      <c r="D66" s="10" t="s">
        <v>113</v>
      </c>
      <c r="E66" s="11" t="s">
        <v>10</v>
      </c>
    </row>
    <row r="67" hidden="1">
      <c r="A67" s="19">
        <v>46121.0</v>
      </c>
      <c r="B67" s="12">
        <v>4.27894969E8</v>
      </c>
      <c r="C67" s="12" t="s">
        <v>152</v>
      </c>
      <c r="D67" s="49" t="s">
        <v>26</v>
      </c>
      <c r="E67" s="11" t="s">
        <v>10</v>
      </c>
    </row>
    <row r="68">
      <c r="A68" s="19">
        <v>46121.0</v>
      </c>
      <c r="B68" s="12">
        <v>4.27894976E8</v>
      </c>
      <c r="C68" s="12" t="s">
        <v>157</v>
      </c>
      <c r="D68" s="49" t="s">
        <v>26</v>
      </c>
      <c r="E68" s="11" t="s">
        <v>10</v>
      </c>
    </row>
    <row r="69">
      <c r="A69" s="19">
        <v>46129.0</v>
      </c>
      <c r="B69" s="12">
        <v>4.27895227E8</v>
      </c>
      <c r="C69" s="12" t="s">
        <v>163</v>
      </c>
      <c r="D69" s="10" t="s">
        <v>164</v>
      </c>
      <c r="E69" s="11" t="s">
        <v>10</v>
      </c>
    </row>
    <row r="70">
      <c r="A70" s="19">
        <v>46130.0</v>
      </c>
      <c r="B70" s="9"/>
      <c r="C70" s="83" t="s">
        <v>168</v>
      </c>
      <c r="D70" s="10" t="s">
        <v>16</v>
      </c>
      <c r="E70" s="11" t="s">
        <v>10</v>
      </c>
    </row>
    <row r="71">
      <c r="A71" s="19">
        <v>46133.0</v>
      </c>
      <c r="B71" s="12">
        <v>4.20290465E8</v>
      </c>
      <c r="C71" s="12" t="s">
        <v>170</v>
      </c>
      <c r="D71" s="10" t="s">
        <v>30</v>
      </c>
      <c r="E71" s="11" t="s">
        <v>10</v>
      </c>
    </row>
    <row r="72">
      <c r="A72" s="19">
        <v>46134.0</v>
      </c>
      <c r="B72" s="12">
        <v>1.0054618E7</v>
      </c>
      <c r="C72" s="12" t="s">
        <v>171</v>
      </c>
      <c r="D72" s="10" t="s">
        <v>172</v>
      </c>
      <c r="E72" s="11" t="s">
        <v>10</v>
      </c>
    </row>
    <row r="73">
      <c r="A73" s="19">
        <v>46137.0</v>
      </c>
      <c r="B73" s="12">
        <v>4.27895348E8</v>
      </c>
      <c r="C73" s="12" t="s">
        <v>173</v>
      </c>
      <c r="D73" s="10" t="s">
        <v>16</v>
      </c>
      <c r="E73" s="11" t="s">
        <v>10</v>
      </c>
    </row>
    <row r="74">
      <c r="A74" s="19">
        <v>46148.0</v>
      </c>
      <c r="B74" s="12">
        <v>4.2789557E8</v>
      </c>
      <c r="C74" s="12" t="s">
        <v>174</v>
      </c>
      <c r="D74" s="10" t="s">
        <v>26</v>
      </c>
      <c r="E74" s="11" t="s">
        <v>10</v>
      </c>
    </row>
    <row r="75">
      <c r="A75" s="19">
        <v>46150.0</v>
      </c>
      <c r="C75" s="86" t="s">
        <v>175</v>
      </c>
      <c r="D75" s="10" t="s">
        <v>28</v>
      </c>
      <c r="E75" s="11" t="s">
        <v>10</v>
      </c>
    </row>
    <row r="76">
      <c r="A76" s="19">
        <v>46150.0</v>
      </c>
      <c r="B76" s="9"/>
      <c r="C76" s="10" t="s">
        <v>180</v>
      </c>
      <c r="D76" s="10" t="s">
        <v>28</v>
      </c>
      <c r="E76" s="11" t="s">
        <v>10</v>
      </c>
    </row>
    <row r="77">
      <c r="A77" s="19">
        <v>46150.0</v>
      </c>
      <c r="B77" s="9"/>
      <c r="C77" s="10" t="s">
        <v>186</v>
      </c>
      <c r="D77" s="10" t="s">
        <v>28</v>
      </c>
      <c r="E77" s="11" t="s">
        <v>10</v>
      </c>
    </row>
    <row r="78">
      <c r="A78" s="19">
        <v>46150.0</v>
      </c>
      <c r="B78" s="12">
        <v>4.27895651E8</v>
      </c>
      <c r="C78" s="12" t="s">
        <v>192</v>
      </c>
      <c r="D78" s="10" t="s">
        <v>194</v>
      </c>
      <c r="E78" s="11" t="s">
        <v>10</v>
      </c>
    </row>
    <row r="79">
      <c r="A79" s="19">
        <v>46153.0</v>
      </c>
      <c r="B79" s="12">
        <v>4.27895793E8</v>
      </c>
      <c r="C79" s="12" t="s">
        <v>199</v>
      </c>
      <c r="D79" s="10" t="s">
        <v>16</v>
      </c>
      <c r="E79" s="11" t="s">
        <v>10</v>
      </c>
    </row>
    <row r="80">
      <c r="A80" s="19">
        <v>46154.0</v>
      </c>
      <c r="B80" s="12">
        <v>4.2789595E8</v>
      </c>
      <c r="C80" s="12" t="s">
        <v>200</v>
      </c>
      <c r="D80" s="10" t="s">
        <v>22</v>
      </c>
      <c r="E80" s="11" t="s">
        <v>10</v>
      </c>
    </row>
    <row r="81">
      <c r="A81" s="19">
        <v>46156.0</v>
      </c>
      <c r="B81" s="12">
        <v>4.27896126E8</v>
      </c>
      <c r="C81" s="12" t="s">
        <v>54</v>
      </c>
      <c r="D81" s="10" t="s">
        <v>16</v>
      </c>
      <c r="E81" s="11" t="s">
        <v>10</v>
      </c>
    </row>
    <row r="82">
      <c r="A82" s="19">
        <v>46157.0</v>
      </c>
      <c r="B82" s="9"/>
      <c r="C82" s="10" t="s">
        <v>201</v>
      </c>
      <c r="D82" s="10" t="s">
        <v>202</v>
      </c>
      <c r="E82" s="11" t="s">
        <v>10</v>
      </c>
    </row>
    <row r="83">
      <c r="A83" s="19">
        <v>46158.0</v>
      </c>
      <c r="B83" s="12">
        <v>4.2789619E8</v>
      </c>
      <c r="C83" s="12" t="s">
        <v>203</v>
      </c>
      <c r="D83" s="10" t="s">
        <v>30</v>
      </c>
      <c r="E83" s="11" t="s">
        <v>10</v>
      </c>
    </row>
    <row r="84">
      <c r="A84" s="19">
        <v>46161.0</v>
      </c>
      <c r="B84" s="9"/>
      <c r="C84" s="10" t="s">
        <v>206</v>
      </c>
      <c r="D84" s="10" t="s">
        <v>207</v>
      </c>
      <c r="E84" s="11" t="s">
        <v>10</v>
      </c>
    </row>
    <row r="85">
      <c r="A85" s="19">
        <v>46161.0</v>
      </c>
      <c r="B85" s="12">
        <v>4.2789579E8</v>
      </c>
      <c r="C85" s="12" t="s">
        <v>208</v>
      </c>
      <c r="D85" s="10" t="s">
        <v>28</v>
      </c>
      <c r="E85" s="11" t="s">
        <v>10</v>
      </c>
    </row>
    <row r="86">
      <c r="A86" s="19">
        <v>46161.0</v>
      </c>
      <c r="B86" s="12">
        <v>4.27896204E8</v>
      </c>
      <c r="C86" s="12" t="s">
        <v>213</v>
      </c>
      <c r="D86" s="10" t="s">
        <v>16</v>
      </c>
      <c r="E86" s="11" t="s">
        <v>10</v>
      </c>
    </row>
    <row r="87">
      <c r="A87" s="19">
        <v>46165.0</v>
      </c>
      <c r="B87" s="45">
        <v>4.27895681E8</v>
      </c>
      <c r="C87" s="21" t="s">
        <v>220</v>
      </c>
      <c r="D87" s="49" t="s">
        <v>26</v>
      </c>
      <c r="E87" s="11" t="s">
        <v>10</v>
      </c>
    </row>
    <row r="88">
      <c r="A88" s="96">
        <v>46167.0</v>
      </c>
      <c r="B88" s="12">
        <v>4.27896428E8</v>
      </c>
      <c r="C88" s="12" t="s">
        <v>223</v>
      </c>
      <c r="D88" s="10" t="s">
        <v>30</v>
      </c>
      <c r="E88" s="11" t="s">
        <v>10</v>
      </c>
    </row>
    <row r="89">
      <c r="A89" s="19">
        <v>46168.0</v>
      </c>
      <c r="B89" s="12">
        <v>4.27895423E8</v>
      </c>
      <c r="C89" s="12" t="s">
        <v>225</v>
      </c>
      <c r="D89" s="10" t="s">
        <v>30</v>
      </c>
      <c r="E89" s="11" t="s">
        <v>10</v>
      </c>
    </row>
    <row r="90">
      <c r="A90" s="19">
        <v>46171.0</v>
      </c>
      <c r="B90" s="12">
        <v>4.2789659E8</v>
      </c>
      <c r="C90" s="12" t="s">
        <v>226</v>
      </c>
      <c r="D90" s="10" t="s">
        <v>227</v>
      </c>
      <c r="E90" s="11" t="s">
        <v>10</v>
      </c>
    </row>
    <row r="91">
      <c r="A91" s="19">
        <v>46171.0</v>
      </c>
      <c r="B91" s="10">
        <v>4.27896916E8</v>
      </c>
      <c r="C91" s="10" t="s">
        <v>232</v>
      </c>
      <c r="D91" s="10" t="s">
        <v>30</v>
      </c>
      <c r="E91" s="11" t="s">
        <v>10</v>
      </c>
    </row>
    <row r="92">
      <c r="A92" s="19">
        <v>46174.0</v>
      </c>
      <c r="B92" s="12">
        <v>4.27896774E8</v>
      </c>
      <c r="C92" s="12" t="s">
        <v>233</v>
      </c>
      <c r="D92" s="10" t="s">
        <v>28</v>
      </c>
      <c r="E92" s="11" t="s">
        <v>10</v>
      </c>
    </row>
    <row r="93">
      <c r="A93" s="7">
        <v>46174.0</v>
      </c>
      <c r="B93" s="12">
        <v>4.27896548E8</v>
      </c>
      <c r="C93" s="12" t="s">
        <v>234</v>
      </c>
      <c r="D93" s="10" t="s">
        <v>26</v>
      </c>
      <c r="E93" s="11" t="s">
        <v>10</v>
      </c>
    </row>
    <row r="94">
      <c r="A94" s="19">
        <v>46175.0</v>
      </c>
      <c r="B94" s="12">
        <v>4.27896605E8</v>
      </c>
      <c r="C94" s="12" t="s">
        <v>235</v>
      </c>
      <c r="D94" s="10" t="s">
        <v>28</v>
      </c>
      <c r="E94" s="11" t="s">
        <v>10</v>
      </c>
    </row>
    <row r="95">
      <c r="A95" s="19">
        <v>46182.0</v>
      </c>
      <c r="B95" s="12">
        <v>4.27896846E8</v>
      </c>
      <c r="C95" s="12" t="s">
        <v>236</v>
      </c>
      <c r="D95" s="10" t="s">
        <v>30</v>
      </c>
      <c r="E95" s="11" t="s">
        <v>10</v>
      </c>
    </row>
    <row r="96">
      <c r="A96" s="19">
        <v>46183.0</v>
      </c>
      <c r="B96" s="12">
        <v>4.27897138E8</v>
      </c>
      <c r="C96" s="12" t="s">
        <v>237</v>
      </c>
      <c r="D96" s="10" t="s">
        <v>26</v>
      </c>
      <c r="E96" s="11" t="s">
        <v>10</v>
      </c>
    </row>
    <row r="97">
      <c r="A97" s="7">
        <v>46184.0</v>
      </c>
      <c r="B97" s="45">
        <v>4.27897201E8</v>
      </c>
      <c r="C97" s="21" t="s">
        <v>238</v>
      </c>
      <c r="D97" s="10" t="s">
        <v>16</v>
      </c>
      <c r="E97" s="11" t="s">
        <v>10</v>
      </c>
    </row>
    <row r="98">
      <c r="A98" s="7">
        <v>46185.0</v>
      </c>
      <c r="B98" s="45">
        <v>4.27896148E8</v>
      </c>
      <c r="C98" s="21" t="s">
        <v>239</v>
      </c>
      <c r="D98" s="10" t="s">
        <v>30</v>
      </c>
      <c r="E98" s="11" t="s">
        <v>10</v>
      </c>
    </row>
    <row r="99">
      <c r="A99" s="19">
        <v>46189.0</v>
      </c>
      <c r="B99" s="9"/>
      <c r="C99" s="104" t="s">
        <v>240</v>
      </c>
      <c r="D99" s="10" t="s">
        <v>241</v>
      </c>
      <c r="E99" s="11" t="s">
        <v>10</v>
      </c>
    </row>
    <row r="100">
      <c r="A100" s="19">
        <v>46189.0</v>
      </c>
      <c r="B100" s="12">
        <v>4.27897457E8</v>
      </c>
      <c r="C100" s="12" t="s">
        <v>242</v>
      </c>
      <c r="D100" s="10" t="s">
        <v>26</v>
      </c>
      <c r="E100" s="11" t="s">
        <v>10</v>
      </c>
    </row>
    <row r="101">
      <c r="A101" s="7">
        <v>46190.0</v>
      </c>
      <c r="B101" s="12">
        <v>4.2028687E8</v>
      </c>
      <c r="C101" s="12" t="s">
        <v>246</v>
      </c>
      <c r="D101" s="10" t="s">
        <v>22</v>
      </c>
      <c r="E101" s="11" t="s">
        <v>10</v>
      </c>
    </row>
    <row r="102">
      <c r="A102" s="7">
        <v>46190.0</v>
      </c>
      <c r="B102" s="12">
        <v>4.27897403E8</v>
      </c>
      <c r="C102" s="12" t="s">
        <v>247</v>
      </c>
      <c r="D102" s="10" t="s">
        <v>22</v>
      </c>
      <c r="E102" s="11" t="s">
        <v>10</v>
      </c>
    </row>
    <row r="103">
      <c r="A103" s="7">
        <v>46191.0</v>
      </c>
      <c r="B103" s="12">
        <v>4.27897403E8</v>
      </c>
      <c r="C103" s="12" t="s">
        <v>247</v>
      </c>
      <c r="D103" s="10" t="s">
        <v>248</v>
      </c>
      <c r="E103" s="11" t="s">
        <v>10</v>
      </c>
    </row>
    <row r="104">
      <c r="A104" s="7">
        <v>46191.0</v>
      </c>
      <c r="B104" s="10">
        <v>4.27894711E8</v>
      </c>
      <c r="C104" s="10" t="s">
        <v>133</v>
      </c>
      <c r="D104" s="10" t="s">
        <v>249</v>
      </c>
      <c r="E104" s="11" t="s">
        <v>10</v>
      </c>
    </row>
    <row r="105">
      <c r="A105" s="19">
        <v>46192.0</v>
      </c>
      <c r="B105" s="9"/>
      <c r="C105" s="10" t="s">
        <v>250</v>
      </c>
      <c r="D105" s="10" t="s">
        <v>251</v>
      </c>
      <c r="E105" s="11" t="s">
        <v>10</v>
      </c>
    </row>
    <row r="106">
      <c r="A106" s="19">
        <v>46193.0</v>
      </c>
      <c r="B106" s="12">
        <v>4.27897585E8</v>
      </c>
      <c r="C106" s="12" t="s">
        <v>252</v>
      </c>
      <c r="D106" s="10" t="s">
        <v>253</v>
      </c>
      <c r="E106" s="11" t="s">
        <v>10</v>
      </c>
    </row>
    <row r="107">
      <c r="A107" s="19">
        <v>46193.0</v>
      </c>
      <c r="B107" s="108">
        <v>4.27897543E8</v>
      </c>
      <c r="C107" s="12" t="s">
        <v>254</v>
      </c>
      <c r="D107" s="10" t="s">
        <v>26</v>
      </c>
      <c r="E107" s="11" t="s">
        <v>10</v>
      </c>
    </row>
    <row r="108">
      <c r="A108" s="19">
        <v>46196.0</v>
      </c>
      <c r="B108" s="12">
        <v>4.27897275E8</v>
      </c>
      <c r="C108" s="12" t="s">
        <v>255</v>
      </c>
      <c r="D108" s="10" t="s">
        <v>257</v>
      </c>
      <c r="E108" s="11" t="s">
        <v>10</v>
      </c>
    </row>
    <row r="109">
      <c r="A109" s="19">
        <v>46197.0</v>
      </c>
      <c r="B109" s="12">
        <v>4.2789774E8</v>
      </c>
      <c r="C109" s="12" t="s">
        <v>260</v>
      </c>
      <c r="D109" s="10" t="s">
        <v>28</v>
      </c>
      <c r="E109" s="11" t="s">
        <v>10</v>
      </c>
    </row>
    <row r="110">
      <c r="A110" s="19">
        <v>46197.0</v>
      </c>
      <c r="B110" s="12">
        <v>4.27896541E8</v>
      </c>
      <c r="C110" s="12" t="s">
        <v>263</v>
      </c>
      <c r="D110" s="10" t="s">
        <v>26</v>
      </c>
      <c r="E110" s="11" t="s">
        <v>10</v>
      </c>
    </row>
    <row r="111">
      <c r="A111" s="19">
        <v>46199.0</v>
      </c>
      <c r="B111" s="12">
        <v>4.278979E8</v>
      </c>
      <c r="C111" s="12" t="s">
        <v>266</v>
      </c>
      <c r="D111" s="10" t="s">
        <v>26</v>
      </c>
      <c r="E111" s="11" t="s">
        <v>10</v>
      </c>
    </row>
    <row r="112">
      <c r="A112" s="19">
        <v>46202.0</v>
      </c>
      <c r="B112" s="9"/>
      <c r="C112" s="10" t="s">
        <v>271</v>
      </c>
      <c r="D112" s="10" t="s">
        <v>272</v>
      </c>
      <c r="E112" s="11" t="s">
        <v>10</v>
      </c>
    </row>
    <row r="113">
      <c r="A113" s="19">
        <v>46202.0</v>
      </c>
      <c r="B113" s="12">
        <v>4.2028186E8</v>
      </c>
      <c r="C113" s="12" t="s">
        <v>273</v>
      </c>
      <c r="D113" s="10" t="s">
        <v>28</v>
      </c>
      <c r="E113" s="11" t="s">
        <v>10</v>
      </c>
    </row>
    <row r="114">
      <c r="A114" s="19">
        <v>46203.0</v>
      </c>
      <c r="B114" s="12">
        <v>4.27896924E8</v>
      </c>
      <c r="C114" s="12" t="s">
        <v>274</v>
      </c>
      <c r="D114" s="10" t="s">
        <v>28</v>
      </c>
      <c r="E114" s="11" t="s">
        <v>10</v>
      </c>
    </row>
    <row r="115">
      <c r="A115" s="19">
        <v>46210.0</v>
      </c>
      <c r="B115" s="12">
        <v>4.27898222E8</v>
      </c>
      <c r="C115" s="12" t="s">
        <v>276</v>
      </c>
      <c r="D115" s="10" t="s">
        <v>28</v>
      </c>
      <c r="E115" s="11" t="s">
        <v>10</v>
      </c>
    </row>
    <row r="116">
      <c r="A116" s="19">
        <v>46211.0</v>
      </c>
      <c r="B116" s="12">
        <v>4.27898514E8</v>
      </c>
      <c r="C116" s="12" t="s">
        <v>280</v>
      </c>
      <c r="D116" s="10" t="s">
        <v>26</v>
      </c>
      <c r="E116" s="11" t="s">
        <v>10</v>
      </c>
    </row>
    <row r="117">
      <c r="A117" s="19">
        <v>46212.0</v>
      </c>
      <c r="B117" s="12">
        <v>4.27898092E8</v>
      </c>
      <c r="C117" s="12" t="s">
        <v>283</v>
      </c>
      <c r="D117" s="10" t="s">
        <v>28</v>
      </c>
      <c r="E117" s="11" t="s">
        <v>10</v>
      </c>
    </row>
    <row r="118">
      <c r="A118" s="19">
        <v>46213.0</v>
      </c>
      <c r="B118" s="12">
        <v>4.27898406E8</v>
      </c>
      <c r="C118" s="12" t="s">
        <v>288</v>
      </c>
      <c r="D118" s="10" t="s">
        <v>26</v>
      </c>
      <c r="E118" s="11" t="s">
        <v>10</v>
      </c>
    </row>
    <row r="119">
      <c r="A119" s="19">
        <v>46214.0</v>
      </c>
      <c r="B119" s="9"/>
      <c r="C119" s="10" t="s">
        <v>290</v>
      </c>
      <c r="D119" s="10" t="s">
        <v>28</v>
      </c>
      <c r="E119" s="11" t="s">
        <v>10</v>
      </c>
    </row>
    <row r="120">
      <c r="A120" s="19">
        <v>46216.0</v>
      </c>
      <c r="B120" s="12">
        <v>4.27898667E8</v>
      </c>
      <c r="C120" s="12" t="s">
        <v>291</v>
      </c>
      <c r="D120" s="10" t="s">
        <v>26</v>
      </c>
      <c r="E120" s="11" t="s">
        <v>10</v>
      </c>
    </row>
    <row r="121">
      <c r="A121" s="19">
        <v>46216.0</v>
      </c>
      <c r="B121" s="12">
        <v>4.27898223E8</v>
      </c>
      <c r="C121" s="12" t="s">
        <v>292</v>
      </c>
      <c r="D121" s="10" t="s">
        <v>28</v>
      </c>
      <c r="E121" s="11" t="s">
        <v>10</v>
      </c>
    </row>
    <row r="122">
      <c r="A122" s="19">
        <v>46217.0</v>
      </c>
      <c r="B122" s="9"/>
      <c r="C122" s="122" t="s">
        <v>293</v>
      </c>
      <c r="D122" s="10" t="s">
        <v>294</v>
      </c>
      <c r="E122" s="11" t="s">
        <v>10</v>
      </c>
    </row>
    <row r="123">
      <c r="A123" s="19">
        <v>46218.0</v>
      </c>
      <c r="B123" s="9"/>
      <c r="C123" s="10" t="s">
        <v>295</v>
      </c>
      <c r="D123" s="10" t="s">
        <v>202</v>
      </c>
      <c r="E123" s="11" t="s">
        <v>10</v>
      </c>
    </row>
    <row r="124">
      <c r="A124" s="19">
        <v>46218.0</v>
      </c>
      <c r="B124" s="12">
        <v>4.27898842E8</v>
      </c>
      <c r="C124" s="12" t="s">
        <v>296</v>
      </c>
      <c r="D124" s="10" t="s">
        <v>28</v>
      </c>
      <c r="E124" s="11" t="s">
        <v>10</v>
      </c>
    </row>
    <row r="125">
      <c r="A125" s="19">
        <v>46218.0</v>
      </c>
      <c r="B125" s="12">
        <v>4.27898506E8</v>
      </c>
      <c r="C125" s="12" t="s">
        <v>298</v>
      </c>
      <c r="D125" s="10" t="s">
        <v>26</v>
      </c>
      <c r="E125" s="11" t="s">
        <v>10</v>
      </c>
    </row>
    <row r="126">
      <c r="A126" s="19">
        <v>46219.0</v>
      </c>
      <c r="B126" s="12">
        <v>4.27898936E8</v>
      </c>
      <c r="C126" s="12" t="s">
        <v>301</v>
      </c>
      <c r="D126" s="10" t="s">
        <v>28</v>
      </c>
      <c r="E126" s="11" t="s">
        <v>10</v>
      </c>
    </row>
    <row r="127">
      <c r="A127" s="19">
        <v>46219.0</v>
      </c>
      <c r="B127" s="12">
        <v>4.27898796E8</v>
      </c>
      <c r="C127" s="12" t="s">
        <v>304</v>
      </c>
      <c r="D127" s="10" t="s">
        <v>16</v>
      </c>
      <c r="E127" s="11" t="s">
        <v>10</v>
      </c>
    </row>
    <row r="128">
      <c r="A128" s="19">
        <v>46221.0</v>
      </c>
      <c r="B128" s="25">
        <v>4.20291147E8</v>
      </c>
      <c r="C128" s="25" t="s">
        <v>12</v>
      </c>
      <c r="D128" s="10" t="s">
        <v>28</v>
      </c>
      <c r="E128" s="11" t="s">
        <v>10</v>
      </c>
    </row>
    <row r="129">
      <c r="A129" s="19">
        <v>46221.0</v>
      </c>
      <c r="B129" s="25"/>
      <c r="C129" s="125" t="s">
        <v>306</v>
      </c>
      <c r="D129" s="86" t="s">
        <v>309</v>
      </c>
      <c r="E129" s="11" t="s">
        <v>10</v>
      </c>
    </row>
    <row r="130">
      <c r="A130" s="19">
        <v>46224.0</v>
      </c>
      <c r="B130" s="126">
        <v>4.27894548E8</v>
      </c>
      <c r="C130" s="126" t="s">
        <v>144</v>
      </c>
      <c r="D130" s="10" t="s">
        <v>30</v>
      </c>
      <c r="E130" s="11" t="s">
        <v>10</v>
      </c>
    </row>
    <row r="131">
      <c r="A131" s="19">
        <v>46225.0</v>
      </c>
      <c r="B131" s="12">
        <v>1.0055887E7</v>
      </c>
      <c r="C131" s="12" t="s">
        <v>310</v>
      </c>
      <c r="D131" s="10" t="s">
        <v>28</v>
      </c>
      <c r="E131" s="11" t="s">
        <v>10</v>
      </c>
    </row>
    <row r="132">
      <c r="A132" s="19">
        <v>46226.0</v>
      </c>
      <c r="B132" s="12">
        <v>4.27899008E8</v>
      </c>
      <c r="C132" s="12" t="s">
        <v>311</v>
      </c>
      <c r="D132" s="10" t="s">
        <v>312</v>
      </c>
      <c r="E132" s="11" t="s">
        <v>10</v>
      </c>
    </row>
    <row r="133">
      <c r="A133" s="19">
        <v>46226.0</v>
      </c>
      <c r="B133" s="12">
        <v>4.27896516E8</v>
      </c>
      <c r="C133" s="12" t="s">
        <v>313</v>
      </c>
      <c r="D133" s="10" t="s">
        <v>30</v>
      </c>
      <c r="E133" s="11" t="s">
        <v>10</v>
      </c>
    </row>
    <row r="134">
      <c r="A134" s="19">
        <v>46230.0</v>
      </c>
      <c r="B134" s="12">
        <v>4.20286883E8</v>
      </c>
      <c r="C134" s="12" t="s">
        <v>314</v>
      </c>
      <c r="D134" s="10" t="s">
        <v>26</v>
      </c>
      <c r="E134" s="11" t="s">
        <v>10</v>
      </c>
    </row>
    <row r="135">
      <c r="A135" s="19">
        <v>46230.0</v>
      </c>
      <c r="B135" s="12">
        <v>4.20282914E8</v>
      </c>
      <c r="C135" s="12" t="s">
        <v>315</v>
      </c>
      <c r="D135" s="10" t="s">
        <v>28</v>
      </c>
      <c r="E135" s="11" t="s">
        <v>10</v>
      </c>
    </row>
    <row r="136">
      <c r="A136" s="19">
        <v>46230.0</v>
      </c>
      <c r="B136" s="12">
        <v>4.27899444E8</v>
      </c>
      <c r="C136" s="12" t="s">
        <v>316</v>
      </c>
      <c r="D136" s="10" t="s">
        <v>16</v>
      </c>
      <c r="E136" s="11" t="s">
        <v>10</v>
      </c>
    </row>
    <row r="137">
      <c r="A137" s="19">
        <v>46232.0</v>
      </c>
      <c r="B137" s="9"/>
      <c r="C137" s="10" t="s">
        <v>317</v>
      </c>
      <c r="D137" s="10" t="s">
        <v>202</v>
      </c>
      <c r="E137" s="11" t="s">
        <v>10</v>
      </c>
    </row>
    <row r="138">
      <c r="A138" s="19">
        <v>46232.0</v>
      </c>
      <c r="B138" s="9"/>
      <c r="C138" s="10" t="s">
        <v>321</v>
      </c>
      <c r="D138" s="10" t="s">
        <v>26</v>
      </c>
      <c r="E138" s="11" t="s">
        <v>10</v>
      </c>
    </row>
    <row r="139">
      <c r="A139" s="19">
        <v>46234.0</v>
      </c>
      <c r="B139" s="12">
        <v>4.27899231E8</v>
      </c>
      <c r="C139" s="12" t="s">
        <v>322</v>
      </c>
      <c r="D139" s="10" t="s">
        <v>28</v>
      </c>
      <c r="E139" s="11" t="s">
        <v>10</v>
      </c>
    </row>
    <row r="140">
      <c r="A140" s="19">
        <v>46234.0</v>
      </c>
      <c r="B140" s="12">
        <v>4.27899546E8</v>
      </c>
      <c r="C140" s="12" t="s">
        <v>323</v>
      </c>
      <c r="D140" s="10" t="s">
        <v>16</v>
      </c>
      <c r="E140" s="11" t="s">
        <v>10</v>
      </c>
    </row>
    <row r="141">
      <c r="A141" s="19">
        <v>46237.0</v>
      </c>
      <c r="B141" s="9"/>
      <c r="C141" s="129" t="s">
        <v>324</v>
      </c>
      <c r="D141" s="10" t="s">
        <v>325</v>
      </c>
      <c r="E141" s="11" t="s">
        <v>10</v>
      </c>
    </row>
    <row r="142">
      <c r="A142" s="19">
        <v>46237.0</v>
      </c>
      <c r="B142" s="45">
        <v>4.27899465E8</v>
      </c>
      <c r="C142" s="21" t="s">
        <v>326</v>
      </c>
      <c r="D142" s="10" t="s">
        <v>327</v>
      </c>
      <c r="E142" s="11" t="s">
        <v>10</v>
      </c>
    </row>
    <row r="143">
      <c r="A143" s="19">
        <v>46237.0</v>
      </c>
      <c r="B143" s="45">
        <v>4.27899294E8</v>
      </c>
      <c r="C143" s="21" t="s">
        <v>328</v>
      </c>
      <c r="D143" s="10" t="s">
        <v>327</v>
      </c>
      <c r="E143" s="11" t="s">
        <v>10</v>
      </c>
    </row>
    <row r="144">
      <c r="A144" s="19">
        <v>46238.0</v>
      </c>
      <c r="B144" s="12">
        <v>4.20291231E8</v>
      </c>
      <c r="C144" s="12" t="s">
        <v>21</v>
      </c>
      <c r="D144" s="10" t="s">
        <v>22</v>
      </c>
      <c r="E144" s="11" t="s">
        <v>10</v>
      </c>
    </row>
    <row r="145">
      <c r="A145" s="19">
        <v>46239.0</v>
      </c>
      <c r="B145" s="12">
        <v>4.27899686E8</v>
      </c>
      <c r="C145" s="12" t="s">
        <v>334</v>
      </c>
      <c r="D145" s="10" t="s">
        <v>28</v>
      </c>
      <c r="E145" s="11" t="s">
        <v>10</v>
      </c>
    </row>
    <row r="146">
      <c r="A146" s="19">
        <v>46245.0</v>
      </c>
      <c r="B146" s="12">
        <v>4.27898453E8</v>
      </c>
      <c r="C146" s="12" t="s">
        <v>335</v>
      </c>
      <c r="D146" s="10" t="s">
        <v>28</v>
      </c>
      <c r="E146" s="11" t="s">
        <v>10</v>
      </c>
    </row>
    <row r="147">
      <c r="A147" s="19">
        <v>46246.0</v>
      </c>
      <c r="B147" s="12">
        <v>4.27899475E8</v>
      </c>
      <c r="C147" s="12" t="s">
        <v>338</v>
      </c>
      <c r="D147" s="10" t="s">
        <v>339</v>
      </c>
      <c r="E147" s="11" t="s">
        <v>10</v>
      </c>
    </row>
    <row r="148">
      <c r="A148" s="19">
        <v>46248.0</v>
      </c>
      <c r="B148" s="12">
        <v>1.0054932E7</v>
      </c>
      <c r="C148" s="12" t="s">
        <v>340</v>
      </c>
      <c r="D148" s="10" t="s">
        <v>16</v>
      </c>
      <c r="E148" s="11" t="s">
        <v>10</v>
      </c>
    </row>
    <row r="149">
      <c r="A149" s="19">
        <v>46251.0</v>
      </c>
      <c r="B149" s="12">
        <v>4.27899439E8</v>
      </c>
      <c r="C149" s="12" t="s">
        <v>342</v>
      </c>
      <c r="D149" s="10" t="s">
        <v>28</v>
      </c>
      <c r="E149" s="11" t="s">
        <v>10</v>
      </c>
    </row>
    <row r="150">
      <c r="A150" s="19">
        <v>46251.0</v>
      </c>
      <c r="B150" s="12">
        <v>4.27899945E8</v>
      </c>
      <c r="C150" s="12" t="s">
        <v>346</v>
      </c>
      <c r="D150" s="10" t="s">
        <v>28</v>
      </c>
      <c r="E150" s="11" t="s">
        <v>10</v>
      </c>
    </row>
    <row r="151">
      <c r="A151" s="19">
        <v>46252.0</v>
      </c>
      <c r="B151" s="12">
        <v>4.27900141E8</v>
      </c>
      <c r="C151" s="12" t="s">
        <v>347</v>
      </c>
      <c r="D151" s="10" t="s">
        <v>348</v>
      </c>
      <c r="E151" s="11" t="s">
        <v>10</v>
      </c>
    </row>
    <row r="152">
      <c r="A152" s="19">
        <v>46255.0</v>
      </c>
      <c r="B152" s="12">
        <v>4.27899978E8</v>
      </c>
      <c r="C152" s="12" t="s">
        <v>349</v>
      </c>
      <c r="D152" s="10" t="s">
        <v>30</v>
      </c>
      <c r="E152" s="11" t="s">
        <v>10</v>
      </c>
    </row>
    <row r="153">
      <c r="A153" s="19">
        <v>46255.0</v>
      </c>
      <c r="B153" s="12">
        <v>4.27900113E8</v>
      </c>
      <c r="C153" s="12" t="s">
        <v>350</v>
      </c>
      <c r="D153" s="10" t="s">
        <v>28</v>
      </c>
      <c r="E153" s="11" t="s">
        <v>10</v>
      </c>
    </row>
    <row r="154">
      <c r="A154" s="19">
        <v>46255.0</v>
      </c>
      <c r="B154" s="9"/>
      <c r="C154" s="10" t="s">
        <v>351</v>
      </c>
      <c r="D154" s="10" t="s">
        <v>28</v>
      </c>
      <c r="E154" s="11" t="s">
        <v>10</v>
      </c>
    </row>
    <row r="155">
      <c r="A155" s="19">
        <v>46258.0</v>
      </c>
      <c r="B155" s="12">
        <v>4.27900008E8</v>
      </c>
      <c r="C155" s="12" t="s">
        <v>352</v>
      </c>
      <c r="D155" s="10" t="s">
        <v>16</v>
      </c>
      <c r="E155" s="11" t="s">
        <v>10</v>
      </c>
    </row>
    <row r="156">
      <c r="A156" s="19">
        <v>46258.0</v>
      </c>
      <c r="B156" s="9"/>
      <c r="C156" s="10" t="s">
        <v>353</v>
      </c>
      <c r="D156" s="10" t="s">
        <v>325</v>
      </c>
      <c r="E156" s="11" t="s">
        <v>10</v>
      </c>
    </row>
    <row r="157">
      <c r="A157" s="19">
        <v>46258.0</v>
      </c>
      <c r="B157" s="12">
        <v>4.27900152E8</v>
      </c>
      <c r="C157" s="12" t="s">
        <v>357</v>
      </c>
      <c r="D157" s="10" t="s">
        <v>16</v>
      </c>
      <c r="E157" s="11" t="s">
        <v>10</v>
      </c>
    </row>
    <row r="158">
      <c r="A158" s="19">
        <v>46259.0</v>
      </c>
      <c r="B158" s="9"/>
      <c r="C158" s="10" t="s">
        <v>360</v>
      </c>
      <c r="D158" s="10" t="s">
        <v>361</v>
      </c>
      <c r="E158" s="11" t="s">
        <v>10</v>
      </c>
    </row>
    <row r="159">
      <c r="A159" s="19">
        <v>46261.0</v>
      </c>
      <c r="B159" s="12">
        <v>4.27898973E8</v>
      </c>
      <c r="C159" s="12" t="s">
        <v>363</v>
      </c>
      <c r="D159" s="10" t="s">
        <v>28</v>
      </c>
      <c r="E159" s="11" t="s">
        <v>10</v>
      </c>
    </row>
    <row r="160">
      <c r="A160" s="19">
        <v>46262.0</v>
      </c>
      <c r="B160" s="12">
        <v>4.27900435E8</v>
      </c>
      <c r="C160" s="12" t="s">
        <v>364</v>
      </c>
      <c r="D160" s="10" t="s">
        <v>28</v>
      </c>
      <c r="E160" s="11" t="s">
        <v>10</v>
      </c>
    </row>
    <row r="161">
      <c r="A161" s="19">
        <v>46263.0</v>
      </c>
      <c r="B161" s="138">
        <v>4.27900492E8</v>
      </c>
      <c r="C161" s="10" t="s">
        <v>369</v>
      </c>
      <c r="D161" s="10" t="s">
        <v>370</v>
      </c>
      <c r="E161" s="11" t="s">
        <v>10</v>
      </c>
    </row>
    <row r="162">
      <c r="A162" s="19">
        <v>46268.0</v>
      </c>
      <c r="B162" s="12">
        <v>1.005552E7</v>
      </c>
      <c r="C162" s="12" t="s">
        <v>373</v>
      </c>
      <c r="D162" s="10" t="s">
        <v>22</v>
      </c>
      <c r="E162" s="11" t="s">
        <v>10</v>
      </c>
    </row>
    <row r="163">
      <c r="A163" s="19">
        <v>46269.0</v>
      </c>
      <c r="B163" s="12">
        <v>4.27900647E8</v>
      </c>
      <c r="C163" s="12" t="s">
        <v>378</v>
      </c>
      <c r="D163" s="10" t="s">
        <v>379</v>
      </c>
      <c r="E163" s="11" t="s">
        <v>10</v>
      </c>
    </row>
    <row r="164">
      <c r="A164" s="19">
        <v>46270.0</v>
      </c>
      <c r="B164" s="12">
        <v>4.27900492E8</v>
      </c>
      <c r="C164" s="12" t="s">
        <v>369</v>
      </c>
      <c r="D164" s="10" t="s">
        <v>26</v>
      </c>
      <c r="E164" s="11" t="s">
        <v>10</v>
      </c>
    </row>
    <row r="165">
      <c r="A165" s="19">
        <v>46270.0</v>
      </c>
      <c r="B165" s="12">
        <v>4.27900647E8</v>
      </c>
      <c r="C165" s="12" t="s">
        <v>378</v>
      </c>
      <c r="D165" s="10" t="s">
        <v>382</v>
      </c>
      <c r="E165" s="11" t="s">
        <v>10</v>
      </c>
    </row>
    <row r="166">
      <c r="A166" s="19">
        <v>46272.0</v>
      </c>
      <c r="B166" s="12">
        <v>1.0056681E7</v>
      </c>
      <c r="C166" s="12" t="s">
        <v>383</v>
      </c>
      <c r="D166" s="10" t="s">
        <v>28</v>
      </c>
      <c r="E166" s="11" t="s">
        <v>10</v>
      </c>
    </row>
    <row r="167">
      <c r="A167" s="19">
        <v>46272.0</v>
      </c>
      <c r="B167" s="12">
        <v>4.27900647E8</v>
      </c>
      <c r="C167" s="12" t="s">
        <v>378</v>
      </c>
      <c r="D167" s="10" t="s">
        <v>379</v>
      </c>
      <c r="E167" s="11" t="s">
        <v>10</v>
      </c>
    </row>
    <row r="168">
      <c r="A168" s="19">
        <v>46275.0</v>
      </c>
      <c r="B168" s="12">
        <v>4.27900405E8</v>
      </c>
      <c r="C168" s="12" t="s">
        <v>384</v>
      </c>
      <c r="D168" s="10" t="s">
        <v>385</v>
      </c>
      <c r="E168" s="11" t="s">
        <v>10</v>
      </c>
    </row>
    <row r="169">
      <c r="A169" s="19">
        <v>46277.0</v>
      </c>
      <c r="B169" s="12">
        <v>4.27900943E8</v>
      </c>
      <c r="C169" s="12" t="s">
        <v>386</v>
      </c>
      <c r="D169" s="10" t="s">
        <v>26</v>
      </c>
      <c r="E169" s="11" t="s">
        <v>10</v>
      </c>
    </row>
    <row r="170">
      <c r="A170" s="19">
        <v>46277.0</v>
      </c>
      <c r="B170" s="12">
        <v>4.27900799E8</v>
      </c>
      <c r="C170" s="12" t="s">
        <v>388</v>
      </c>
      <c r="D170" s="10" t="s">
        <v>26</v>
      </c>
      <c r="E170" s="11" t="s">
        <v>10</v>
      </c>
    </row>
    <row r="171">
      <c r="A171" s="19">
        <v>46277.0</v>
      </c>
      <c r="B171" s="9"/>
      <c r="C171" s="10" t="s">
        <v>390</v>
      </c>
      <c r="D171" s="10" t="s">
        <v>391</v>
      </c>
      <c r="E171" s="11" t="s">
        <v>10</v>
      </c>
    </row>
    <row r="172">
      <c r="A172" s="19">
        <v>46279.0</v>
      </c>
      <c r="B172" s="12">
        <v>4.27900416E8</v>
      </c>
      <c r="C172" s="12" t="s">
        <v>392</v>
      </c>
      <c r="D172" s="139" t="s">
        <v>30</v>
      </c>
      <c r="E172" s="11" t="s">
        <v>10</v>
      </c>
    </row>
    <row r="173">
      <c r="A173" s="19">
        <v>46280.0</v>
      </c>
      <c r="B173" s="58">
        <v>4.20290679E8</v>
      </c>
      <c r="C173" s="58" t="s">
        <v>40</v>
      </c>
      <c r="D173" s="49" t="s">
        <v>16</v>
      </c>
      <c r="E173" s="11" t="s">
        <v>10</v>
      </c>
    </row>
    <row r="174">
      <c r="A174" s="19">
        <v>46280.0</v>
      </c>
      <c r="B174" s="12">
        <v>4.27899803E8</v>
      </c>
      <c r="C174" s="12" t="s">
        <v>401</v>
      </c>
      <c r="D174" s="49" t="s">
        <v>16</v>
      </c>
      <c r="E174" s="11" t="s">
        <v>10</v>
      </c>
    </row>
    <row r="175">
      <c r="A175" s="140"/>
      <c r="B175" s="9"/>
      <c r="C175" s="9"/>
      <c r="D175" s="9"/>
      <c r="E175" s="11" t="s">
        <v>10</v>
      </c>
    </row>
    <row r="176">
      <c r="A176" s="140"/>
      <c r="B176" s="9"/>
      <c r="C176" s="9"/>
      <c r="D176" s="9"/>
      <c r="E176" s="11" t="s">
        <v>10</v>
      </c>
    </row>
    <row r="177">
      <c r="A177" s="140"/>
      <c r="B177" s="9"/>
      <c r="C177" s="9"/>
      <c r="D177" s="9"/>
      <c r="E177" s="11" t="s">
        <v>10</v>
      </c>
    </row>
    <row r="178">
      <c r="A178" s="140"/>
      <c r="B178" s="9"/>
      <c r="C178" s="9"/>
      <c r="D178" s="9"/>
      <c r="E178" s="11" t="s">
        <v>10</v>
      </c>
    </row>
    <row r="179">
      <c r="A179" s="140"/>
      <c r="B179" s="9"/>
      <c r="C179" s="9"/>
      <c r="D179" s="9"/>
      <c r="E179" s="11" t="s">
        <v>10</v>
      </c>
    </row>
    <row r="180">
      <c r="A180" s="140"/>
      <c r="B180" s="9"/>
      <c r="C180" s="9"/>
      <c r="D180" s="9"/>
      <c r="E180" s="11" t="s">
        <v>10</v>
      </c>
    </row>
    <row r="181">
      <c r="A181" s="140"/>
      <c r="B181" s="9"/>
      <c r="C181" s="9"/>
      <c r="D181" s="9"/>
      <c r="E181" s="11" t="s">
        <v>10</v>
      </c>
    </row>
    <row r="182">
      <c r="A182" s="140"/>
      <c r="B182" s="9"/>
      <c r="C182" s="9"/>
      <c r="D182" s="9"/>
      <c r="E182" s="11" t="s">
        <v>10</v>
      </c>
    </row>
    <row r="183">
      <c r="A183" s="140"/>
      <c r="B183" s="9"/>
      <c r="C183" s="9"/>
      <c r="D183" s="9"/>
      <c r="E183" s="11" t="s">
        <v>10</v>
      </c>
    </row>
    <row r="184">
      <c r="A184" s="140"/>
      <c r="B184" s="9"/>
      <c r="C184" s="9"/>
      <c r="D184" s="9"/>
      <c r="E184" s="11" t="s">
        <v>10</v>
      </c>
    </row>
    <row r="185">
      <c r="A185" s="140"/>
      <c r="B185" s="9"/>
      <c r="C185" s="9"/>
      <c r="D185" s="9"/>
      <c r="E185" s="11" t="s">
        <v>10</v>
      </c>
    </row>
    <row r="186">
      <c r="A186" s="140"/>
      <c r="B186" s="9"/>
      <c r="C186" s="9"/>
      <c r="D186" s="9"/>
      <c r="E186" s="11" t="s">
        <v>10</v>
      </c>
    </row>
    <row r="187">
      <c r="A187" s="140"/>
      <c r="B187" s="9"/>
      <c r="C187" s="9"/>
      <c r="D187" s="9"/>
      <c r="E187" s="11" t="s">
        <v>10</v>
      </c>
    </row>
    <row r="188">
      <c r="A188" s="140"/>
      <c r="B188" s="9"/>
      <c r="C188" s="9"/>
      <c r="D188" s="9"/>
      <c r="E188" s="11" t="s">
        <v>10</v>
      </c>
    </row>
    <row r="189">
      <c r="A189" s="140"/>
      <c r="B189" s="9"/>
      <c r="C189" s="9"/>
      <c r="D189" s="9"/>
      <c r="E189" s="11" t="s">
        <v>10</v>
      </c>
    </row>
    <row r="190">
      <c r="A190" s="140"/>
      <c r="B190" s="9"/>
      <c r="C190" s="9"/>
      <c r="D190" s="9"/>
      <c r="E190" s="11" t="s">
        <v>10</v>
      </c>
    </row>
    <row r="191">
      <c r="A191" s="140"/>
      <c r="B191" s="9"/>
      <c r="C191" s="9"/>
      <c r="D191" s="9"/>
      <c r="E191" s="11" t="s">
        <v>10</v>
      </c>
    </row>
    <row r="192">
      <c r="A192" s="140"/>
      <c r="B192" s="9"/>
      <c r="C192" s="9"/>
      <c r="D192" s="9"/>
      <c r="E192" s="11" t="s">
        <v>10</v>
      </c>
    </row>
    <row r="193">
      <c r="A193" s="140"/>
      <c r="B193" s="9"/>
      <c r="C193" s="9"/>
      <c r="D193" s="9"/>
      <c r="E193" s="11" t="s">
        <v>10</v>
      </c>
    </row>
    <row r="194">
      <c r="A194" s="140"/>
      <c r="B194" s="9"/>
      <c r="C194" s="9"/>
      <c r="D194" s="9"/>
      <c r="E194" s="11" t="s">
        <v>10</v>
      </c>
    </row>
    <row r="195">
      <c r="A195" s="140"/>
      <c r="B195" s="9"/>
      <c r="C195" s="9"/>
      <c r="D195" s="9"/>
      <c r="E195" s="11" t="s">
        <v>10</v>
      </c>
    </row>
    <row r="196">
      <c r="A196" s="140"/>
      <c r="B196" s="9"/>
      <c r="C196" s="9"/>
      <c r="D196" s="9"/>
      <c r="E196" s="11" t="s">
        <v>10</v>
      </c>
    </row>
    <row r="197">
      <c r="A197" s="140"/>
      <c r="B197" s="9"/>
      <c r="C197" s="9"/>
      <c r="D197" s="9"/>
      <c r="E197" s="11" t="s">
        <v>10</v>
      </c>
    </row>
    <row r="198">
      <c r="A198" s="140"/>
      <c r="B198" s="9"/>
      <c r="C198" s="9"/>
      <c r="D198" s="9"/>
      <c r="E198" s="11" t="s">
        <v>10</v>
      </c>
    </row>
    <row r="199">
      <c r="A199" s="140"/>
      <c r="B199" s="9"/>
      <c r="C199" s="9"/>
      <c r="D199" s="9"/>
      <c r="E199" s="11" t="s">
        <v>10</v>
      </c>
    </row>
    <row r="200">
      <c r="A200" s="140"/>
      <c r="B200" s="9"/>
      <c r="C200" s="9"/>
      <c r="D200" s="9"/>
      <c r="E200" s="11" t="s">
        <v>10</v>
      </c>
    </row>
    <row r="201">
      <c r="A201" s="140"/>
      <c r="B201" s="9"/>
      <c r="C201" s="9"/>
      <c r="D201" s="9"/>
      <c r="E201" s="11" t="s">
        <v>10</v>
      </c>
    </row>
    <row r="202">
      <c r="A202" s="140"/>
      <c r="B202" s="9"/>
      <c r="C202" s="9"/>
      <c r="D202" s="9"/>
      <c r="E202" s="11" t="s">
        <v>10</v>
      </c>
    </row>
    <row r="203">
      <c r="A203" s="140"/>
      <c r="B203" s="9"/>
      <c r="C203" s="9"/>
      <c r="D203" s="9"/>
      <c r="E203" s="11" t="s">
        <v>10</v>
      </c>
    </row>
    <row r="204">
      <c r="A204" s="140"/>
      <c r="B204" s="9"/>
      <c r="C204" s="9"/>
      <c r="D204" s="9"/>
      <c r="E204" s="11" t="s">
        <v>10</v>
      </c>
    </row>
    <row r="205">
      <c r="A205" s="140"/>
      <c r="B205" s="9"/>
      <c r="C205" s="9"/>
      <c r="D205" s="9"/>
      <c r="E205" s="11" t="s">
        <v>10</v>
      </c>
    </row>
    <row r="206">
      <c r="A206" s="140"/>
      <c r="B206" s="9"/>
      <c r="C206" s="9"/>
      <c r="D206" s="9"/>
      <c r="E206" s="11" t="s">
        <v>10</v>
      </c>
    </row>
    <row r="207">
      <c r="A207" s="140"/>
      <c r="B207" s="9"/>
      <c r="C207" s="9"/>
      <c r="D207" s="9"/>
      <c r="E207" s="11" t="s">
        <v>10</v>
      </c>
    </row>
    <row r="208">
      <c r="A208" s="140"/>
      <c r="B208" s="9"/>
      <c r="C208" s="9"/>
      <c r="D208" s="9"/>
      <c r="E208" s="11" t="s">
        <v>10</v>
      </c>
    </row>
    <row r="209">
      <c r="A209" s="140"/>
      <c r="B209" s="9"/>
      <c r="C209" s="9"/>
      <c r="D209" s="9"/>
      <c r="E209" s="11" t="s">
        <v>10</v>
      </c>
    </row>
    <row r="210">
      <c r="A210" s="140"/>
      <c r="B210" s="9"/>
      <c r="C210" s="9"/>
      <c r="D210" s="9"/>
      <c r="E210" s="11" t="s">
        <v>10</v>
      </c>
    </row>
    <row r="211">
      <c r="A211" s="140"/>
      <c r="B211" s="9"/>
      <c r="C211" s="9"/>
      <c r="D211" s="9"/>
      <c r="E211" s="11" t="s">
        <v>10</v>
      </c>
    </row>
    <row r="212">
      <c r="A212" s="140"/>
      <c r="B212" s="9"/>
      <c r="C212" s="9"/>
      <c r="D212" s="9"/>
      <c r="E212" s="11" t="s">
        <v>10</v>
      </c>
    </row>
    <row r="213">
      <c r="A213" s="140"/>
      <c r="B213" s="9"/>
      <c r="C213" s="9"/>
      <c r="D213" s="9"/>
      <c r="E213" s="11" t="s">
        <v>10</v>
      </c>
    </row>
    <row r="214">
      <c r="A214" s="140"/>
      <c r="B214" s="9"/>
      <c r="C214" s="9"/>
      <c r="D214" s="9"/>
      <c r="E214" s="11" t="s">
        <v>10</v>
      </c>
    </row>
    <row r="215">
      <c r="A215" s="140"/>
      <c r="B215" s="9"/>
      <c r="C215" s="9"/>
      <c r="D215" s="9"/>
      <c r="E215" s="11" t="s">
        <v>10</v>
      </c>
    </row>
    <row r="216">
      <c r="A216" s="140"/>
      <c r="B216" s="9"/>
      <c r="C216" s="9"/>
      <c r="D216" s="9"/>
      <c r="E216" s="11" t="s">
        <v>10</v>
      </c>
    </row>
    <row r="217">
      <c r="A217" s="140"/>
      <c r="B217" s="9"/>
      <c r="C217" s="9"/>
      <c r="D217" s="9"/>
      <c r="E217" s="11" t="s">
        <v>10</v>
      </c>
    </row>
    <row r="218">
      <c r="A218" s="140"/>
      <c r="B218" s="9"/>
      <c r="C218" s="9"/>
      <c r="D218" s="9"/>
      <c r="E218" s="11" t="s">
        <v>10</v>
      </c>
    </row>
    <row r="219">
      <c r="A219" s="140"/>
      <c r="B219" s="9"/>
      <c r="C219" s="9"/>
      <c r="D219" s="9"/>
      <c r="E219" s="11" t="s">
        <v>10</v>
      </c>
    </row>
    <row r="220">
      <c r="A220" s="140"/>
      <c r="B220" s="9"/>
      <c r="C220" s="9"/>
      <c r="D220" s="9"/>
      <c r="E220" s="11" t="s">
        <v>10</v>
      </c>
    </row>
    <row r="221">
      <c r="A221" s="140"/>
      <c r="B221" s="9"/>
      <c r="C221" s="9"/>
      <c r="D221" s="9"/>
      <c r="E221" s="11" t="s">
        <v>10</v>
      </c>
    </row>
    <row r="222">
      <c r="A222" s="140"/>
      <c r="B222" s="9"/>
      <c r="C222" s="9"/>
      <c r="D222" s="9"/>
      <c r="E222" s="11" t="s">
        <v>10</v>
      </c>
    </row>
    <row r="223">
      <c r="A223" s="140"/>
      <c r="B223" s="9"/>
      <c r="C223" s="9"/>
      <c r="D223" s="9"/>
      <c r="E223" s="11" t="s">
        <v>10</v>
      </c>
    </row>
    <row r="224">
      <c r="A224" s="140"/>
      <c r="B224" s="9"/>
      <c r="C224" s="9"/>
      <c r="D224" s="9"/>
      <c r="E224" s="11" t="s">
        <v>10</v>
      </c>
    </row>
    <row r="225">
      <c r="A225" s="140"/>
      <c r="B225" s="9"/>
      <c r="C225" s="9"/>
      <c r="D225" s="9"/>
      <c r="E225" s="11" t="s">
        <v>10</v>
      </c>
    </row>
    <row r="226">
      <c r="A226" s="140"/>
      <c r="B226" s="9"/>
      <c r="C226" s="9"/>
      <c r="D226" s="9"/>
      <c r="E226" s="11" t="s">
        <v>10</v>
      </c>
    </row>
    <row r="227">
      <c r="A227" s="140"/>
      <c r="B227" s="9"/>
      <c r="C227" s="9"/>
      <c r="D227" s="9"/>
      <c r="E227" s="11" t="s">
        <v>10</v>
      </c>
    </row>
    <row r="228">
      <c r="A228" s="140"/>
      <c r="B228" s="9"/>
      <c r="C228" s="9"/>
      <c r="D228" s="9"/>
      <c r="E228" s="11" t="s">
        <v>10</v>
      </c>
    </row>
    <row r="229">
      <c r="A229" s="140"/>
      <c r="B229" s="9"/>
      <c r="C229" s="9"/>
      <c r="D229" s="9"/>
      <c r="E229" s="11" t="s">
        <v>10</v>
      </c>
    </row>
    <row r="230">
      <c r="A230" s="140"/>
      <c r="B230" s="9"/>
      <c r="C230" s="9"/>
      <c r="D230" s="9"/>
      <c r="E230" s="11" t="s">
        <v>10</v>
      </c>
    </row>
    <row r="231">
      <c r="A231" s="140"/>
      <c r="B231" s="9"/>
      <c r="C231" s="9"/>
      <c r="D231" s="9"/>
      <c r="E231" s="11" t="s">
        <v>10</v>
      </c>
    </row>
    <row r="232">
      <c r="A232" s="140"/>
      <c r="B232" s="9"/>
      <c r="C232" s="9"/>
      <c r="D232" s="9"/>
      <c r="E232" s="11" t="s">
        <v>10</v>
      </c>
    </row>
    <row r="233">
      <c r="A233" s="140"/>
      <c r="B233" s="9"/>
      <c r="C233" s="9"/>
      <c r="D233" s="9"/>
      <c r="E233" s="11" t="s">
        <v>10</v>
      </c>
    </row>
    <row r="234">
      <c r="A234" s="140"/>
      <c r="B234" s="9"/>
      <c r="C234" s="9"/>
      <c r="D234" s="9"/>
      <c r="E234" s="11" t="s">
        <v>10</v>
      </c>
    </row>
    <row r="235">
      <c r="A235" s="140"/>
      <c r="B235" s="9"/>
      <c r="C235" s="9"/>
      <c r="D235" s="9"/>
      <c r="E235" s="11" t="s">
        <v>10</v>
      </c>
    </row>
    <row r="236">
      <c r="A236" s="140"/>
      <c r="B236" s="9"/>
      <c r="C236" s="9"/>
      <c r="D236" s="9"/>
      <c r="E236" s="11" t="s">
        <v>10</v>
      </c>
    </row>
    <row r="237">
      <c r="A237" s="140"/>
      <c r="B237" s="9"/>
      <c r="C237" s="9"/>
      <c r="D237" s="9"/>
      <c r="E237" s="11" t="s">
        <v>10</v>
      </c>
    </row>
    <row r="238">
      <c r="A238" s="140"/>
      <c r="B238" s="9"/>
      <c r="C238" s="9"/>
      <c r="D238" s="9"/>
      <c r="E238" s="11" t="s">
        <v>10</v>
      </c>
    </row>
    <row r="239">
      <c r="A239" s="140"/>
      <c r="B239" s="9"/>
      <c r="C239" s="9"/>
      <c r="D239" s="9"/>
      <c r="E239" s="11" t="s">
        <v>10</v>
      </c>
    </row>
    <row r="240">
      <c r="A240" s="140"/>
      <c r="B240" s="9"/>
      <c r="C240" s="9"/>
      <c r="D240" s="9"/>
      <c r="E240" s="11" t="s">
        <v>10</v>
      </c>
    </row>
    <row r="241">
      <c r="A241" s="140"/>
      <c r="B241" s="9"/>
      <c r="C241" s="9"/>
      <c r="D241" s="9"/>
      <c r="E241" s="11" t="s">
        <v>10</v>
      </c>
    </row>
    <row r="242">
      <c r="A242" s="140"/>
      <c r="B242" s="9"/>
      <c r="C242" s="9"/>
      <c r="D242" s="9"/>
      <c r="E242" s="11" t="s">
        <v>10</v>
      </c>
    </row>
    <row r="243">
      <c r="A243" s="140"/>
      <c r="B243" s="9"/>
      <c r="C243" s="9"/>
      <c r="D243" s="9"/>
      <c r="E243" s="11" t="s">
        <v>10</v>
      </c>
    </row>
    <row r="244">
      <c r="A244" s="140"/>
      <c r="B244" s="9"/>
      <c r="C244" s="9"/>
      <c r="D244" s="9"/>
      <c r="E244" s="11" t="s">
        <v>10</v>
      </c>
    </row>
    <row r="245">
      <c r="A245" s="140"/>
      <c r="B245" s="9"/>
      <c r="C245" s="9"/>
      <c r="D245" s="9"/>
      <c r="E245" s="11" t="s">
        <v>10</v>
      </c>
    </row>
    <row r="246">
      <c r="A246" s="140"/>
      <c r="B246" s="9"/>
      <c r="C246" s="9"/>
      <c r="D246" s="9"/>
      <c r="E246" s="11" t="s">
        <v>10</v>
      </c>
    </row>
    <row r="247">
      <c r="A247" s="140"/>
      <c r="B247" s="9"/>
      <c r="C247" s="9"/>
      <c r="D247" s="9"/>
      <c r="E247" s="11" t="s">
        <v>10</v>
      </c>
    </row>
    <row r="248">
      <c r="A248" s="140"/>
      <c r="B248" s="9"/>
      <c r="C248" s="9"/>
      <c r="D248" s="9"/>
      <c r="E248" s="11" t="s">
        <v>10</v>
      </c>
    </row>
    <row r="249">
      <c r="A249" s="140"/>
      <c r="B249" s="9"/>
      <c r="C249" s="9"/>
      <c r="D249" s="9"/>
      <c r="E249" s="11" t="s">
        <v>10</v>
      </c>
    </row>
    <row r="250">
      <c r="A250" s="140"/>
      <c r="B250" s="9"/>
      <c r="C250" s="9"/>
      <c r="D250" s="9"/>
      <c r="E250" s="11" t="s">
        <v>10</v>
      </c>
    </row>
    <row r="251">
      <c r="A251" s="140"/>
      <c r="B251" s="9"/>
      <c r="C251" s="9"/>
      <c r="D251" s="9"/>
      <c r="E251" s="11" t="s">
        <v>10</v>
      </c>
    </row>
    <row r="252">
      <c r="A252" s="140"/>
      <c r="B252" s="9"/>
      <c r="C252" s="9"/>
      <c r="D252" s="9"/>
      <c r="E252" s="11" t="s">
        <v>10</v>
      </c>
    </row>
    <row r="253">
      <c r="A253" s="140"/>
      <c r="B253" s="9"/>
      <c r="C253" s="9"/>
      <c r="D253" s="9"/>
      <c r="E253" s="11" t="s">
        <v>10</v>
      </c>
    </row>
    <row r="254">
      <c r="A254" s="140"/>
      <c r="B254" s="9"/>
      <c r="C254" s="9"/>
      <c r="D254" s="9"/>
      <c r="E254" s="11" t="s">
        <v>10</v>
      </c>
    </row>
    <row r="255">
      <c r="A255" s="140"/>
      <c r="B255" s="9"/>
      <c r="C255" s="9"/>
      <c r="D255" s="9"/>
      <c r="E255" s="11" t="s">
        <v>10</v>
      </c>
    </row>
    <row r="256">
      <c r="A256" s="140"/>
      <c r="B256" s="9"/>
      <c r="C256" s="9"/>
      <c r="D256" s="9"/>
      <c r="E256" s="11" t="s">
        <v>10</v>
      </c>
    </row>
    <row r="257">
      <c r="A257" s="140"/>
      <c r="B257" s="9"/>
      <c r="C257" s="9"/>
      <c r="D257" s="9"/>
      <c r="E257" s="11" t="s">
        <v>10</v>
      </c>
    </row>
    <row r="258">
      <c r="A258" s="140"/>
      <c r="B258" s="9"/>
      <c r="C258" s="9"/>
      <c r="D258" s="9"/>
      <c r="E258" s="11" t="s">
        <v>10</v>
      </c>
    </row>
    <row r="259">
      <c r="A259" s="140"/>
      <c r="B259" s="9"/>
      <c r="C259" s="9"/>
      <c r="D259" s="9"/>
      <c r="E259" s="11" t="s">
        <v>10</v>
      </c>
    </row>
    <row r="260">
      <c r="A260" s="140"/>
      <c r="B260" s="9"/>
      <c r="C260" s="9"/>
      <c r="D260" s="9"/>
      <c r="E260" s="11" t="s">
        <v>10</v>
      </c>
    </row>
    <row r="261">
      <c r="A261" s="140"/>
      <c r="B261" s="9"/>
      <c r="C261" s="9"/>
      <c r="D261" s="9"/>
      <c r="E261" s="11" t="s">
        <v>10</v>
      </c>
    </row>
    <row r="262">
      <c r="A262" s="140"/>
      <c r="B262" s="9"/>
      <c r="C262" s="9"/>
      <c r="D262" s="9"/>
      <c r="E262" s="11" t="s">
        <v>10</v>
      </c>
    </row>
    <row r="263">
      <c r="A263" s="140"/>
      <c r="B263" s="9"/>
      <c r="C263" s="9"/>
      <c r="D263" s="9"/>
      <c r="E263" s="11" t="s">
        <v>10</v>
      </c>
    </row>
    <row r="264">
      <c r="A264" s="140"/>
      <c r="B264" s="9"/>
      <c r="C264" s="9"/>
      <c r="D264" s="9"/>
      <c r="E264" s="11" t="s">
        <v>10</v>
      </c>
    </row>
    <row r="265">
      <c r="A265" s="140"/>
      <c r="B265" s="9"/>
      <c r="C265" s="9"/>
      <c r="D265" s="9"/>
      <c r="E265" s="11" t="s">
        <v>10</v>
      </c>
    </row>
    <row r="266">
      <c r="A266" s="140"/>
      <c r="B266" s="9"/>
      <c r="C266" s="9"/>
      <c r="D266" s="9"/>
      <c r="E266" s="11" t="s">
        <v>10</v>
      </c>
    </row>
    <row r="267">
      <c r="A267" s="140"/>
      <c r="B267" s="9"/>
      <c r="C267" s="9"/>
      <c r="D267" s="9"/>
      <c r="E267" s="11" t="s">
        <v>10</v>
      </c>
    </row>
    <row r="268">
      <c r="A268" s="140"/>
      <c r="B268" s="9"/>
      <c r="C268" s="9"/>
      <c r="D268" s="9"/>
      <c r="E268" s="11" t="s">
        <v>10</v>
      </c>
    </row>
    <row r="269">
      <c r="A269" s="140"/>
      <c r="B269" s="9"/>
      <c r="C269" s="9"/>
      <c r="D269" s="9"/>
      <c r="E269" s="11" t="s">
        <v>10</v>
      </c>
    </row>
    <row r="270">
      <c r="A270" s="140"/>
      <c r="B270" s="9"/>
      <c r="C270" s="9"/>
      <c r="D270" s="9"/>
      <c r="E270" s="11" t="s">
        <v>10</v>
      </c>
    </row>
    <row r="271">
      <c r="A271" s="140"/>
      <c r="B271" s="9"/>
      <c r="C271" s="9"/>
      <c r="D271" s="9"/>
      <c r="E271" s="11" t="s">
        <v>10</v>
      </c>
    </row>
    <row r="272">
      <c r="A272" s="140"/>
      <c r="B272" s="9"/>
      <c r="C272" s="9"/>
      <c r="D272" s="9"/>
      <c r="E272" s="11" t="s">
        <v>10</v>
      </c>
    </row>
    <row r="273">
      <c r="A273" s="140"/>
      <c r="B273" s="9"/>
      <c r="C273" s="9"/>
      <c r="D273" s="9"/>
      <c r="E273" s="11" t="s">
        <v>10</v>
      </c>
    </row>
    <row r="274">
      <c r="A274" s="140"/>
      <c r="B274" s="9"/>
      <c r="C274" s="9"/>
      <c r="D274" s="9"/>
      <c r="E274" s="11" t="s">
        <v>10</v>
      </c>
    </row>
    <row r="275">
      <c r="A275" s="140"/>
      <c r="B275" s="9"/>
      <c r="C275" s="9"/>
      <c r="D275" s="9"/>
      <c r="E275" s="11" t="s">
        <v>10</v>
      </c>
    </row>
    <row r="276">
      <c r="A276" s="140"/>
      <c r="B276" s="9"/>
      <c r="C276" s="9"/>
      <c r="D276" s="9"/>
      <c r="E276" s="11" t="s">
        <v>10</v>
      </c>
    </row>
    <row r="277">
      <c r="A277" s="140"/>
      <c r="B277" s="9"/>
      <c r="C277" s="9"/>
      <c r="D277" s="9"/>
      <c r="E277" s="11" t="s">
        <v>10</v>
      </c>
    </row>
    <row r="278">
      <c r="A278" s="140"/>
      <c r="B278" s="9"/>
      <c r="C278" s="9"/>
      <c r="D278" s="9"/>
      <c r="E278" s="11" t="s">
        <v>10</v>
      </c>
    </row>
    <row r="279">
      <c r="A279" s="140"/>
      <c r="B279" s="9"/>
      <c r="C279" s="9"/>
      <c r="D279" s="9"/>
      <c r="E279" s="11" t="s">
        <v>10</v>
      </c>
    </row>
    <row r="280">
      <c r="A280" s="140"/>
      <c r="B280" s="9"/>
      <c r="C280" s="9"/>
      <c r="D280" s="9"/>
      <c r="E280" s="11" t="s">
        <v>10</v>
      </c>
    </row>
    <row r="281">
      <c r="A281" s="140"/>
      <c r="B281" s="9"/>
      <c r="C281" s="9"/>
      <c r="D281" s="9"/>
      <c r="E281" s="11" t="s">
        <v>10</v>
      </c>
    </row>
    <row r="282">
      <c r="A282" s="140"/>
      <c r="B282" s="9"/>
      <c r="C282" s="9"/>
      <c r="D282" s="9"/>
      <c r="E282" s="11" t="s">
        <v>10</v>
      </c>
    </row>
    <row r="283">
      <c r="A283" s="140"/>
      <c r="B283" s="9"/>
      <c r="C283" s="9"/>
      <c r="D283" s="9"/>
      <c r="E283" s="11" t="s">
        <v>10</v>
      </c>
    </row>
    <row r="284">
      <c r="A284" s="140"/>
      <c r="B284" s="9"/>
      <c r="C284" s="9"/>
      <c r="D284" s="9"/>
      <c r="E284" s="11" t="s">
        <v>10</v>
      </c>
    </row>
    <row r="285">
      <c r="A285" s="140"/>
      <c r="B285" s="9"/>
      <c r="C285" s="9"/>
      <c r="D285" s="9"/>
      <c r="E285" s="11" t="s">
        <v>10</v>
      </c>
    </row>
    <row r="286">
      <c r="A286" s="140"/>
      <c r="B286" s="9"/>
      <c r="C286" s="9"/>
      <c r="D286" s="9"/>
      <c r="E286" s="11" t="s">
        <v>10</v>
      </c>
    </row>
    <row r="287">
      <c r="A287" s="140"/>
      <c r="B287" s="9"/>
      <c r="C287" s="9"/>
      <c r="D287" s="9"/>
      <c r="E287" s="11" t="s">
        <v>10</v>
      </c>
    </row>
    <row r="288">
      <c r="A288" s="140"/>
      <c r="B288" s="9"/>
      <c r="C288" s="9"/>
      <c r="D288" s="9"/>
      <c r="E288" s="11" t="s">
        <v>10</v>
      </c>
    </row>
    <row r="289">
      <c r="A289" s="140"/>
      <c r="B289" s="9"/>
      <c r="C289" s="9"/>
      <c r="D289" s="9"/>
      <c r="E289" s="11" t="s">
        <v>10</v>
      </c>
    </row>
    <row r="290">
      <c r="A290" s="140"/>
      <c r="B290" s="9"/>
      <c r="C290" s="9"/>
      <c r="D290" s="9"/>
      <c r="E290" s="11" t="s">
        <v>10</v>
      </c>
    </row>
    <row r="291">
      <c r="A291" s="140"/>
      <c r="B291" s="9"/>
      <c r="C291" s="9"/>
      <c r="D291" s="9"/>
      <c r="E291" s="11" t="s">
        <v>10</v>
      </c>
    </row>
    <row r="292">
      <c r="A292" s="140"/>
      <c r="B292" s="9"/>
      <c r="C292" s="9"/>
      <c r="D292" s="9"/>
      <c r="E292" s="11" t="s">
        <v>10</v>
      </c>
    </row>
    <row r="293">
      <c r="A293" s="140"/>
      <c r="B293" s="9"/>
      <c r="C293" s="9"/>
      <c r="D293" s="9"/>
      <c r="E293" s="11" t="s">
        <v>10</v>
      </c>
    </row>
    <row r="294">
      <c r="A294" s="140"/>
      <c r="B294" s="9"/>
      <c r="C294" s="9"/>
      <c r="D294" s="9"/>
      <c r="E294" s="11" t="s">
        <v>10</v>
      </c>
    </row>
    <row r="295">
      <c r="A295" s="140"/>
      <c r="B295" s="9"/>
      <c r="C295" s="9"/>
      <c r="D295" s="9"/>
      <c r="E295" s="11" t="s">
        <v>10</v>
      </c>
    </row>
    <row r="296">
      <c r="A296" s="140"/>
      <c r="B296" s="9"/>
      <c r="C296" s="9"/>
      <c r="D296" s="9"/>
      <c r="E296" s="11" t="s">
        <v>10</v>
      </c>
    </row>
    <row r="297">
      <c r="A297" s="140"/>
      <c r="B297" s="9"/>
      <c r="C297" s="9"/>
      <c r="D297" s="9"/>
      <c r="E297" s="11" t="s">
        <v>10</v>
      </c>
    </row>
    <row r="298">
      <c r="A298" s="140"/>
      <c r="B298" s="9"/>
      <c r="C298" s="9"/>
      <c r="D298" s="9"/>
      <c r="E298" s="11" t="s">
        <v>10</v>
      </c>
    </row>
    <row r="299">
      <c r="A299" s="140"/>
      <c r="B299" s="9"/>
      <c r="C299" s="9"/>
      <c r="D299" s="9"/>
      <c r="E299" s="11" t="s">
        <v>10</v>
      </c>
    </row>
    <row r="300">
      <c r="A300" s="140"/>
      <c r="B300" s="9"/>
      <c r="C300" s="9"/>
      <c r="D300" s="9"/>
      <c r="E300" s="11" t="s">
        <v>10</v>
      </c>
    </row>
    <row r="301">
      <c r="A301" s="140"/>
      <c r="B301" s="9"/>
      <c r="C301" s="9"/>
      <c r="D301" s="9"/>
      <c r="E301" s="11" t="s">
        <v>10</v>
      </c>
    </row>
    <row r="302">
      <c r="A302" s="140"/>
      <c r="B302" s="9"/>
      <c r="C302" s="9"/>
      <c r="D302" s="9"/>
      <c r="E302" s="11" t="s">
        <v>10</v>
      </c>
    </row>
    <row r="303">
      <c r="A303" s="140"/>
      <c r="B303" s="9"/>
      <c r="C303" s="9"/>
      <c r="D303" s="9"/>
      <c r="E303" s="11" t="s">
        <v>10</v>
      </c>
    </row>
    <row r="304">
      <c r="A304" s="140"/>
      <c r="B304" s="9"/>
      <c r="C304" s="9"/>
      <c r="D304" s="9"/>
      <c r="E304" s="11" t="s">
        <v>10</v>
      </c>
    </row>
    <row r="305">
      <c r="A305" s="140"/>
      <c r="B305" s="9"/>
      <c r="C305" s="9"/>
      <c r="D305" s="9"/>
      <c r="E305" s="11" t="s">
        <v>10</v>
      </c>
    </row>
    <row r="306">
      <c r="A306" s="140"/>
      <c r="B306" s="9"/>
      <c r="C306" s="9"/>
      <c r="D306" s="9"/>
      <c r="E306" s="11" t="s">
        <v>10</v>
      </c>
    </row>
    <row r="307">
      <c r="A307" s="140"/>
      <c r="B307" s="9"/>
      <c r="C307" s="9"/>
      <c r="D307" s="9"/>
      <c r="E307" s="11" t="s">
        <v>10</v>
      </c>
    </row>
    <row r="308">
      <c r="A308" s="140"/>
      <c r="B308" s="9"/>
      <c r="C308" s="9"/>
      <c r="D308" s="9"/>
      <c r="E308" s="11" t="s">
        <v>10</v>
      </c>
    </row>
    <row r="309">
      <c r="A309" s="140"/>
      <c r="B309" s="9"/>
      <c r="C309" s="9"/>
      <c r="D309" s="9"/>
      <c r="E309" s="11" t="s">
        <v>10</v>
      </c>
    </row>
    <row r="310">
      <c r="A310" s="140"/>
      <c r="B310" s="9"/>
      <c r="C310" s="9"/>
      <c r="D310" s="9"/>
      <c r="E310" s="11" t="s">
        <v>10</v>
      </c>
    </row>
    <row r="311">
      <c r="A311" s="140"/>
      <c r="B311" s="9"/>
      <c r="C311" s="9"/>
      <c r="D311" s="9"/>
      <c r="E311" s="11" t="s">
        <v>10</v>
      </c>
    </row>
    <row r="312">
      <c r="A312" s="140"/>
      <c r="B312" s="9"/>
      <c r="C312" s="9"/>
      <c r="D312" s="9"/>
      <c r="E312" s="11" t="s">
        <v>10</v>
      </c>
    </row>
    <row r="313">
      <c r="A313" s="140"/>
      <c r="B313" s="9"/>
      <c r="C313" s="9"/>
      <c r="D313" s="9"/>
      <c r="E313" s="11" t="s">
        <v>10</v>
      </c>
    </row>
    <row r="314">
      <c r="A314" s="140"/>
      <c r="B314" s="9"/>
      <c r="C314" s="9"/>
      <c r="D314" s="9"/>
      <c r="E314" s="11" t="s">
        <v>10</v>
      </c>
    </row>
    <row r="315">
      <c r="A315" s="140"/>
      <c r="B315" s="9"/>
      <c r="C315" s="9"/>
      <c r="D315" s="9"/>
      <c r="E315" s="11" t="s">
        <v>10</v>
      </c>
    </row>
    <row r="316">
      <c r="A316" s="140"/>
      <c r="B316" s="9"/>
      <c r="C316" s="9"/>
      <c r="D316" s="9"/>
      <c r="E316" s="11" t="s">
        <v>10</v>
      </c>
    </row>
    <row r="317">
      <c r="A317" s="140"/>
      <c r="B317" s="9"/>
      <c r="C317" s="9"/>
      <c r="D317" s="9"/>
      <c r="E317" s="11" t="s">
        <v>10</v>
      </c>
    </row>
    <row r="318">
      <c r="A318" s="140"/>
      <c r="B318" s="9"/>
      <c r="C318" s="9"/>
      <c r="D318" s="9"/>
      <c r="E318" s="11" t="s">
        <v>10</v>
      </c>
    </row>
    <row r="319">
      <c r="A319" s="140"/>
      <c r="B319" s="9"/>
      <c r="C319" s="9"/>
      <c r="D319" s="9"/>
      <c r="E319" s="11" t="s">
        <v>10</v>
      </c>
    </row>
    <row r="320">
      <c r="A320" s="140"/>
      <c r="B320" s="9"/>
      <c r="C320" s="9"/>
      <c r="D320" s="9"/>
      <c r="E320" s="11" t="s">
        <v>10</v>
      </c>
    </row>
    <row r="321">
      <c r="A321" s="140"/>
      <c r="B321" s="9"/>
      <c r="C321" s="9"/>
      <c r="D321" s="9"/>
      <c r="E321" s="11" t="s">
        <v>10</v>
      </c>
    </row>
    <row r="322">
      <c r="A322" s="140"/>
      <c r="B322" s="9"/>
      <c r="C322" s="9"/>
      <c r="D322" s="9"/>
      <c r="E322" s="11" t="s">
        <v>10</v>
      </c>
    </row>
    <row r="323">
      <c r="A323" s="140"/>
      <c r="B323" s="9"/>
      <c r="C323" s="9"/>
      <c r="D323" s="9"/>
      <c r="E323" s="11" t="s">
        <v>10</v>
      </c>
    </row>
    <row r="324">
      <c r="A324" s="140"/>
      <c r="B324" s="9"/>
      <c r="C324" s="9"/>
      <c r="D324" s="9"/>
      <c r="E324" s="11" t="s">
        <v>10</v>
      </c>
    </row>
    <row r="325">
      <c r="A325" s="140"/>
      <c r="B325" s="9"/>
      <c r="C325" s="9"/>
      <c r="D325" s="9"/>
      <c r="E325" s="11" t="s">
        <v>10</v>
      </c>
    </row>
    <row r="326">
      <c r="A326" s="140"/>
      <c r="B326" s="9"/>
      <c r="C326" s="9"/>
      <c r="D326" s="9"/>
      <c r="E326" s="11" t="s">
        <v>10</v>
      </c>
    </row>
    <row r="327">
      <c r="A327" s="140"/>
      <c r="B327" s="9"/>
      <c r="C327" s="9"/>
      <c r="D327" s="9"/>
      <c r="E327" s="11" t="s">
        <v>10</v>
      </c>
    </row>
    <row r="328">
      <c r="A328" s="140"/>
      <c r="B328" s="9"/>
      <c r="C328" s="9"/>
      <c r="D328" s="9"/>
      <c r="E328" s="11" t="s">
        <v>10</v>
      </c>
    </row>
    <row r="329">
      <c r="A329" s="140"/>
      <c r="B329" s="9"/>
      <c r="C329" s="9"/>
      <c r="D329" s="9"/>
      <c r="E329" s="11" t="s">
        <v>10</v>
      </c>
    </row>
    <row r="330">
      <c r="A330" s="140"/>
      <c r="B330" s="9"/>
      <c r="C330" s="9"/>
      <c r="D330" s="9"/>
      <c r="E330" s="11" t="s">
        <v>10</v>
      </c>
    </row>
    <row r="331">
      <c r="A331" s="140"/>
      <c r="B331" s="9"/>
      <c r="C331" s="9"/>
      <c r="D331" s="9"/>
      <c r="E331" s="11" t="s">
        <v>10</v>
      </c>
    </row>
    <row r="332">
      <c r="A332" s="140"/>
      <c r="B332" s="9"/>
      <c r="C332" s="9"/>
      <c r="D332" s="9"/>
      <c r="E332" s="11" t="s">
        <v>10</v>
      </c>
    </row>
    <row r="333">
      <c r="A333" s="140"/>
      <c r="B333" s="9"/>
      <c r="C333" s="9"/>
      <c r="D333" s="9"/>
      <c r="E333" s="11" t="s">
        <v>10</v>
      </c>
    </row>
    <row r="334">
      <c r="A334" s="140"/>
      <c r="B334" s="9"/>
      <c r="C334" s="9"/>
      <c r="D334" s="9"/>
      <c r="E334" s="11" t="s">
        <v>10</v>
      </c>
    </row>
    <row r="335">
      <c r="A335" s="140"/>
      <c r="B335" s="9"/>
      <c r="C335" s="9"/>
      <c r="D335" s="9"/>
      <c r="E335" s="11" t="s">
        <v>10</v>
      </c>
    </row>
    <row r="336">
      <c r="A336" s="140"/>
      <c r="B336" s="9"/>
      <c r="C336" s="9"/>
      <c r="D336" s="9"/>
      <c r="E336" s="11" t="s">
        <v>10</v>
      </c>
    </row>
    <row r="337">
      <c r="A337" s="140"/>
      <c r="B337" s="9"/>
      <c r="C337" s="9"/>
      <c r="D337" s="9"/>
      <c r="E337" s="11" t="s">
        <v>10</v>
      </c>
    </row>
    <row r="338">
      <c r="A338" s="140"/>
      <c r="B338" s="9"/>
      <c r="C338" s="9"/>
      <c r="D338" s="9"/>
      <c r="E338" s="11" t="s">
        <v>10</v>
      </c>
    </row>
    <row r="339">
      <c r="A339" s="140"/>
      <c r="B339" s="9"/>
      <c r="C339" s="9"/>
      <c r="D339" s="9"/>
      <c r="E339" s="11" t="s">
        <v>10</v>
      </c>
    </row>
    <row r="340">
      <c r="A340" s="140"/>
      <c r="B340" s="9"/>
      <c r="C340" s="9"/>
      <c r="D340" s="9"/>
      <c r="E340" s="11" t="s">
        <v>10</v>
      </c>
    </row>
    <row r="341">
      <c r="A341" s="140"/>
      <c r="B341" s="9"/>
      <c r="C341" s="9"/>
      <c r="D341" s="9"/>
      <c r="E341" s="11" t="s">
        <v>10</v>
      </c>
    </row>
    <row r="342">
      <c r="A342" s="140"/>
      <c r="B342" s="9"/>
      <c r="C342" s="9"/>
      <c r="D342" s="9"/>
      <c r="E342" s="11" t="s">
        <v>10</v>
      </c>
    </row>
    <row r="343">
      <c r="A343" s="140"/>
      <c r="B343" s="9"/>
      <c r="C343" s="9"/>
      <c r="D343" s="9"/>
      <c r="E343" s="11" t="s">
        <v>10</v>
      </c>
    </row>
    <row r="344">
      <c r="A344" s="140"/>
      <c r="B344" s="9"/>
      <c r="C344" s="9"/>
      <c r="D344" s="9"/>
      <c r="E344" s="11" t="s">
        <v>10</v>
      </c>
    </row>
    <row r="345">
      <c r="A345" s="140"/>
      <c r="B345" s="9"/>
      <c r="C345" s="9"/>
      <c r="D345" s="9"/>
      <c r="E345" s="11" t="s">
        <v>10</v>
      </c>
    </row>
    <row r="346">
      <c r="A346" s="140"/>
      <c r="B346" s="9"/>
      <c r="C346" s="9"/>
      <c r="D346" s="9"/>
      <c r="E346" s="11" t="s">
        <v>10</v>
      </c>
    </row>
    <row r="347">
      <c r="A347" s="140"/>
      <c r="B347" s="9"/>
      <c r="C347" s="9"/>
      <c r="D347" s="9"/>
      <c r="E347" s="11" t="s">
        <v>10</v>
      </c>
    </row>
    <row r="348">
      <c r="A348" s="140"/>
      <c r="B348" s="9"/>
      <c r="C348" s="9"/>
      <c r="D348" s="9"/>
      <c r="E348" s="11" t="s">
        <v>10</v>
      </c>
    </row>
    <row r="349">
      <c r="A349" s="140"/>
      <c r="B349" s="9"/>
      <c r="C349" s="9"/>
      <c r="D349" s="9"/>
      <c r="E349" s="11" t="s">
        <v>10</v>
      </c>
    </row>
    <row r="350">
      <c r="A350" s="140"/>
      <c r="B350" s="9"/>
      <c r="C350" s="9"/>
      <c r="D350" s="9"/>
      <c r="E350" s="11" t="s">
        <v>10</v>
      </c>
    </row>
    <row r="351">
      <c r="A351" s="140"/>
      <c r="B351" s="9"/>
      <c r="C351" s="9"/>
      <c r="D351" s="9"/>
      <c r="E351" s="11" t="s">
        <v>10</v>
      </c>
    </row>
    <row r="352">
      <c r="A352" s="140"/>
      <c r="B352" s="9"/>
      <c r="C352" s="9"/>
      <c r="D352" s="9"/>
      <c r="E352" s="11" t="s">
        <v>10</v>
      </c>
    </row>
    <row r="353">
      <c r="A353" s="140"/>
      <c r="B353" s="9"/>
      <c r="C353" s="9"/>
      <c r="D353" s="9"/>
      <c r="E353" s="11" t="s">
        <v>10</v>
      </c>
    </row>
    <row r="354">
      <c r="A354" s="140"/>
      <c r="B354" s="9"/>
      <c r="C354" s="9"/>
      <c r="D354" s="9"/>
      <c r="E354" s="11" t="s">
        <v>10</v>
      </c>
    </row>
    <row r="355">
      <c r="A355" s="140"/>
      <c r="B355" s="9"/>
      <c r="C355" s="9"/>
      <c r="D355" s="9"/>
      <c r="E355" s="11" t="s">
        <v>10</v>
      </c>
    </row>
    <row r="356">
      <c r="A356" s="140"/>
      <c r="B356" s="9"/>
      <c r="C356" s="9"/>
      <c r="D356" s="9"/>
      <c r="E356" s="11" t="s">
        <v>10</v>
      </c>
    </row>
    <row r="357">
      <c r="A357" s="140"/>
      <c r="B357" s="9"/>
      <c r="C357" s="9"/>
      <c r="D357" s="9"/>
      <c r="E357" s="11" t="s">
        <v>10</v>
      </c>
    </row>
    <row r="358">
      <c r="A358" s="140"/>
      <c r="B358" s="9"/>
      <c r="C358" s="9"/>
      <c r="D358" s="9"/>
      <c r="E358" s="11" t="s">
        <v>10</v>
      </c>
    </row>
    <row r="359">
      <c r="A359" s="140"/>
      <c r="B359" s="9"/>
      <c r="C359" s="9"/>
      <c r="D359" s="9"/>
      <c r="E359" s="11" t="s">
        <v>10</v>
      </c>
    </row>
    <row r="360">
      <c r="A360" s="140"/>
      <c r="B360" s="9"/>
      <c r="C360" s="9"/>
      <c r="D360" s="9"/>
      <c r="E360" s="11" t="s">
        <v>10</v>
      </c>
    </row>
    <row r="361">
      <c r="A361" s="140"/>
      <c r="B361" s="9"/>
      <c r="C361" s="9"/>
      <c r="D361" s="9"/>
      <c r="E361" s="11" t="s">
        <v>10</v>
      </c>
    </row>
    <row r="362">
      <c r="A362" s="140"/>
      <c r="B362" s="9"/>
      <c r="C362" s="9"/>
      <c r="D362" s="9"/>
      <c r="E362" s="11" t="s">
        <v>10</v>
      </c>
    </row>
    <row r="363">
      <c r="A363" s="140"/>
      <c r="B363" s="9"/>
      <c r="C363" s="9"/>
      <c r="D363" s="9"/>
      <c r="E363" s="11" t="s">
        <v>10</v>
      </c>
    </row>
    <row r="364">
      <c r="A364" s="140"/>
      <c r="B364" s="9"/>
      <c r="C364" s="9"/>
      <c r="D364" s="9"/>
      <c r="E364" s="11" t="s">
        <v>10</v>
      </c>
    </row>
    <row r="365">
      <c r="A365" s="140"/>
      <c r="B365" s="9"/>
      <c r="C365" s="9"/>
      <c r="D365" s="9"/>
      <c r="E365" s="11" t="s">
        <v>10</v>
      </c>
    </row>
    <row r="366">
      <c r="A366" s="140"/>
      <c r="B366" s="9"/>
      <c r="C366" s="9"/>
      <c r="D366" s="9"/>
      <c r="E366" s="11" t="s">
        <v>10</v>
      </c>
    </row>
    <row r="367">
      <c r="A367" s="140"/>
      <c r="B367" s="9"/>
      <c r="C367" s="9"/>
      <c r="D367" s="9"/>
      <c r="E367" s="11" t="s">
        <v>10</v>
      </c>
    </row>
    <row r="368">
      <c r="A368" s="140"/>
      <c r="B368" s="9"/>
      <c r="C368" s="9"/>
      <c r="D368" s="9"/>
      <c r="E368" s="11" t="s">
        <v>10</v>
      </c>
    </row>
    <row r="369">
      <c r="A369" s="140"/>
      <c r="B369" s="9"/>
      <c r="C369" s="9"/>
      <c r="D369" s="9"/>
      <c r="E369" s="11" t="s">
        <v>10</v>
      </c>
    </row>
    <row r="370">
      <c r="A370" s="140"/>
      <c r="B370" s="9"/>
      <c r="C370" s="9"/>
      <c r="D370" s="9"/>
      <c r="E370" s="11" t="s">
        <v>10</v>
      </c>
    </row>
    <row r="371">
      <c r="A371" s="140"/>
      <c r="B371" s="9"/>
      <c r="C371" s="9"/>
      <c r="D371" s="9"/>
      <c r="E371" s="11" t="s">
        <v>10</v>
      </c>
    </row>
    <row r="372">
      <c r="A372" s="140"/>
      <c r="B372" s="9"/>
      <c r="C372" s="9"/>
      <c r="D372" s="9"/>
      <c r="E372" s="11" t="s">
        <v>10</v>
      </c>
    </row>
    <row r="373">
      <c r="A373" s="140"/>
      <c r="B373" s="9"/>
      <c r="C373" s="9"/>
      <c r="D373" s="9"/>
      <c r="E373" s="11" t="s">
        <v>10</v>
      </c>
    </row>
    <row r="374">
      <c r="A374" s="140"/>
      <c r="B374" s="9"/>
      <c r="C374" s="9"/>
      <c r="D374" s="9"/>
      <c r="E374" s="11" t="s">
        <v>10</v>
      </c>
    </row>
    <row r="375">
      <c r="A375" s="140"/>
      <c r="B375" s="9"/>
      <c r="C375" s="9"/>
      <c r="D375" s="9"/>
      <c r="E375" s="11" t="s">
        <v>10</v>
      </c>
    </row>
    <row r="376">
      <c r="A376" s="140"/>
      <c r="B376" s="9"/>
      <c r="C376" s="9"/>
      <c r="D376" s="9"/>
      <c r="E376" s="11" t="s">
        <v>10</v>
      </c>
    </row>
    <row r="377">
      <c r="A377" s="140"/>
      <c r="B377" s="9"/>
      <c r="C377" s="9"/>
      <c r="D377" s="9"/>
      <c r="E377" s="11" t="s">
        <v>10</v>
      </c>
    </row>
    <row r="378">
      <c r="A378" s="140"/>
      <c r="B378" s="9"/>
      <c r="C378" s="9"/>
      <c r="D378" s="9"/>
      <c r="E378" s="11" t="s">
        <v>10</v>
      </c>
    </row>
    <row r="379">
      <c r="A379" s="140"/>
      <c r="B379" s="9"/>
      <c r="C379" s="9"/>
      <c r="D379" s="9"/>
      <c r="E379" s="11" t="s">
        <v>10</v>
      </c>
    </row>
    <row r="380">
      <c r="A380" s="140"/>
      <c r="B380" s="9"/>
      <c r="C380" s="9"/>
      <c r="D380" s="9"/>
      <c r="E380" s="11" t="s">
        <v>10</v>
      </c>
    </row>
    <row r="381">
      <c r="A381" s="140"/>
      <c r="B381" s="9"/>
      <c r="C381" s="9"/>
      <c r="D381" s="9"/>
      <c r="E381" s="11" t="s">
        <v>10</v>
      </c>
    </row>
    <row r="382">
      <c r="A382" s="140"/>
      <c r="B382" s="9"/>
      <c r="C382" s="9"/>
      <c r="D382" s="9"/>
      <c r="E382" s="11" t="s">
        <v>10</v>
      </c>
    </row>
    <row r="383">
      <c r="A383" s="140"/>
      <c r="B383" s="9"/>
      <c r="C383" s="9"/>
      <c r="D383" s="9"/>
      <c r="E383" s="11" t="s">
        <v>10</v>
      </c>
    </row>
    <row r="384">
      <c r="A384" s="140"/>
      <c r="B384" s="9"/>
      <c r="C384" s="9"/>
      <c r="D384" s="9"/>
      <c r="E384" s="11" t="s">
        <v>10</v>
      </c>
    </row>
    <row r="385">
      <c r="A385" s="140"/>
      <c r="B385" s="9"/>
      <c r="C385" s="9"/>
      <c r="D385" s="9"/>
      <c r="E385" s="11" t="s">
        <v>10</v>
      </c>
    </row>
    <row r="386">
      <c r="A386" s="140"/>
      <c r="B386" s="9"/>
      <c r="C386" s="9"/>
      <c r="D386" s="9"/>
      <c r="E386" s="11" t="s">
        <v>10</v>
      </c>
    </row>
    <row r="387">
      <c r="A387" s="140"/>
      <c r="B387" s="9"/>
      <c r="C387" s="9"/>
      <c r="D387" s="9"/>
      <c r="E387" s="11" t="s">
        <v>10</v>
      </c>
    </row>
    <row r="388">
      <c r="A388" s="140"/>
      <c r="B388" s="9"/>
      <c r="C388" s="9"/>
      <c r="D388" s="9"/>
      <c r="E388" s="11" t="s">
        <v>10</v>
      </c>
    </row>
    <row r="389">
      <c r="A389" s="140"/>
      <c r="B389" s="9"/>
      <c r="C389" s="9"/>
      <c r="D389" s="9"/>
      <c r="E389" s="11" t="s">
        <v>10</v>
      </c>
    </row>
    <row r="390">
      <c r="A390" s="140"/>
      <c r="B390" s="9"/>
      <c r="C390" s="9"/>
      <c r="D390" s="9"/>
      <c r="E390" s="11" t="s">
        <v>10</v>
      </c>
    </row>
    <row r="391">
      <c r="A391" s="140"/>
      <c r="B391" s="9"/>
      <c r="C391" s="9"/>
      <c r="D391" s="9"/>
      <c r="E391" s="11" t="s">
        <v>10</v>
      </c>
    </row>
    <row r="392">
      <c r="A392" s="140"/>
      <c r="B392" s="9"/>
      <c r="C392" s="9"/>
      <c r="D392" s="9"/>
      <c r="E392" s="11" t="s">
        <v>10</v>
      </c>
    </row>
    <row r="393">
      <c r="A393" s="140"/>
      <c r="B393" s="9"/>
      <c r="C393" s="9"/>
      <c r="D393" s="9"/>
      <c r="E393" s="11" t="s">
        <v>10</v>
      </c>
    </row>
    <row r="394">
      <c r="A394" s="140"/>
      <c r="B394" s="9"/>
      <c r="C394" s="9"/>
      <c r="D394" s="9"/>
      <c r="E394" s="11" t="s">
        <v>10</v>
      </c>
    </row>
    <row r="395">
      <c r="A395" s="140"/>
      <c r="B395" s="9"/>
      <c r="C395" s="9"/>
      <c r="D395" s="9"/>
      <c r="E395" s="11" t="s">
        <v>10</v>
      </c>
    </row>
    <row r="396">
      <c r="A396" s="140"/>
      <c r="B396" s="9"/>
      <c r="C396" s="9"/>
      <c r="D396" s="9"/>
      <c r="E396" s="11" t="s">
        <v>10</v>
      </c>
    </row>
    <row r="397">
      <c r="A397" s="140"/>
      <c r="B397" s="9"/>
      <c r="C397" s="9"/>
      <c r="D397" s="9"/>
      <c r="E397" s="11" t="s">
        <v>10</v>
      </c>
    </row>
    <row r="398">
      <c r="A398" s="140"/>
      <c r="B398" s="9"/>
      <c r="C398" s="9"/>
      <c r="D398" s="9"/>
      <c r="E398" s="11" t="s">
        <v>10</v>
      </c>
    </row>
    <row r="399">
      <c r="A399" s="140"/>
      <c r="B399" s="9"/>
      <c r="C399" s="9"/>
      <c r="D399" s="9"/>
      <c r="E399" s="11" t="s">
        <v>10</v>
      </c>
    </row>
    <row r="400">
      <c r="A400" s="140"/>
      <c r="B400" s="9"/>
      <c r="C400" s="9"/>
      <c r="D400" s="9"/>
      <c r="E400" s="11" t="s">
        <v>10</v>
      </c>
    </row>
    <row r="401">
      <c r="A401" s="140"/>
      <c r="B401" s="9"/>
      <c r="C401" s="9"/>
      <c r="D401" s="9"/>
      <c r="E401" s="11" t="s">
        <v>10</v>
      </c>
    </row>
    <row r="402">
      <c r="A402" s="140"/>
      <c r="B402" s="9"/>
      <c r="C402" s="9"/>
      <c r="D402" s="9"/>
      <c r="E402" s="11" t="s">
        <v>10</v>
      </c>
    </row>
    <row r="403">
      <c r="A403" s="140"/>
      <c r="B403" s="9"/>
      <c r="C403" s="9"/>
      <c r="D403" s="9"/>
      <c r="E403" s="11" t="s">
        <v>10</v>
      </c>
    </row>
    <row r="404">
      <c r="A404" s="140"/>
      <c r="B404" s="9"/>
      <c r="C404" s="9"/>
      <c r="D404" s="9"/>
      <c r="E404" s="11" t="s">
        <v>10</v>
      </c>
    </row>
    <row r="405">
      <c r="A405" s="140"/>
      <c r="B405" s="9"/>
      <c r="C405" s="9"/>
      <c r="D405" s="9"/>
      <c r="E405" s="11" t="s">
        <v>10</v>
      </c>
    </row>
    <row r="406">
      <c r="A406" s="140"/>
      <c r="B406" s="9"/>
      <c r="C406" s="9"/>
      <c r="D406" s="9"/>
      <c r="E406" s="11" t="s">
        <v>10</v>
      </c>
    </row>
    <row r="407">
      <c r="A407" s="140"/>
      <c r="B407" s="9"/>
      <c r="C407" s="9"/>
      <c r="D407" s="9"/>
      <c r="E407" s="11" t="s">
        <v>10</v>
      </c>
    </row>
    <row r="408">
      <c r="A408" s="140"/>
      <c r="B408" s="9"/>
      <c r="C408" s="9"/>
      <c r="D408" s="9"/>
      <c r="E408" s="11" t="s">
        <v>10</v>
      </c>
    </row>
    <row r="409">
      <c r="A409" s="140"/>
      <c r="B409" s="9"/>
      <c r="C409" s="9"/>
      <c r="D409" s="9"/>
      <c r="E409" s="11" t="s">
        <v>10</v>
      </c>
    </row>
    <row r="410">
      <c r="A410" s="140"/>
      <c r="B410" s="9"/>
      <c r="C410" s="9"/>
      <c r="D410" s="9"/>
      <c r="E410" s="11" t="s">
        <v>10</v>
      </c>
    </row>
    <row r="411">
      <c r="A411" s="140"/>
      <c r="B411" s="9"/>
      <c r="C411" s="9"/>
      <c r="D411" s="9"/>
      <c r="E411" s="11" t="s">
        <v>10</v>
      </c>
    </row>
    <row r="412">
      <c r="A412" s="140"/>
      <c r="B412" s="9"/>
      <c r="C412" s="9"/>
      <c r="D412" s="9"/>
      <c r="E412" s="11" t="s">
        <v>10</v>
      </c>
    </row>
    <row r="413">
      <c r="A413" s="140"/>
      <c r="B413" s="9"/>
      <c r="C413" s="9"/>
      <c r="D413" s="9"/>
      <c r="E413" s="11" t="s">
        <v>10</v>
      </c>
    </row>
    <row r="414">
      <c r="A414" s="140"/>
      <c r="B414" s="9"/>
      <c r="C414" s="9"/>
      <c r="D414" s="9"/>
      <c r="E414" s="11" t="s">
        <v>10</v>
      </c>
    </row>
    <row r="415">
      <c r="A415" s="140"/>
      <c r="B415" s="9"/>
      <c r="C415" s="9"/>
      <c r="D415" s="9"/>
      <c r="E415" s="11" t="s">
        <v>10</v>
      </c>
    </row>
    <row r="416">
      <c r="A416" s="140"/>
      <c r="B416" s="9"/>
      <c r="C416" s="9"/>
      <c r="D416" s="9"/>
      <c r="E416" s="11" t="s">
        <v>10</v>
      </c>
    </row>
    <row r="417">
      <c r="A417" s="140"/>
      <c r="B417" s="9"/>
      <c r="C417" s="9"/>
      <c r="D417" s="9"/>
      <c r="E417" s="11" t="s">
        <v>10</v>
      </c>
    </row>
    <row r="418">
      <c r="A418" s="140"/>
      <c r="B418" s="9"/>
      <c r="C418" s="9"/>
      <c r="D418" s="9"/>
      <c r="E418" s="11" t="s">
        <v>10</v>
      </c>
    </row>
    <row r="419">
      <c r="A419" s="140"/>
      <c r="B419" s="9"/>
      <c r="C419" s="9"/>
      <c r="D419" s="9"/>
      <c r="E419" s="11" t="s">
        <v>10</v>
      </c>
    </row>
    <row r="420">
      <c r="A420" s="140"/>
      <c r="B420" s="9"/>
      <c r="C420" s="9"/>
      <c r="D420" s="9"/>
      <c r="E420" s="11" t="s">
        <v>10</v>
      </c>
    </row>
    <row r="421">
      <c r="A421" s="140"/>
      <c r="B421" s="9"/>
      <c r="C421" s="9"/>
      <c r="D421" s="9"/>
      <c r="E421" s="11" t="s">
        <v>10</v>
      </c>
    </row>
    <row r="422">
      <c r="A422" s="140"/>
      <c r="B422" s="9"/>
      <c r="C422" s="9"/>
      <c r="D422" s="9"/>
      <c r="E422" s="11" t="s">
        <v>10</v>
      </c>
    </row>
    <row r="423">
      <c r="A423" s="140"/>
      <c r="B423" s="9"/>
      <c r="C423" s="9"/>
      <c r="D423" s="9"/>
      <c r="E423" s="11" t="s">
        <v>10</v>
      </c>
    </row>
    <row r="424">
      <c r="A424" s="140"/>
      <c r="B424" s="9"/>
      <c r="C424" s="9"/>
      <c r="D424" s="9"/>
      <c r="E424" s="11" t="s">
        <v>10</v>
      </c>
    </row>
    <row r="425">
      <c r="A425" s="140"/>
      <c r="B425" s="9"/>
      <c r="C425" s="9"/>
      <c r="D425" s="9"/>
      <c r="E425" s="11" t="s">
        <v>10</v>
      </c>
    </row>
    <row r="426">
      <c r="A426" s="140"/>
      <c r="B426" s="9"/>
      <c r="C426" s="9"/>
      <c r="D426" s="9"/>
      <c r="E426" s="11" t="s">
        <v>10</v>
      </c>
    </row>
    <row r="427">
      <c r="A427" s="140"/>
      <c r="B427" s="9"/>
      <c r="C427" s="9"/>
      <c r="D427" s="9"/>
      <c r="E427" s="11" t="s">
        <v>10</v>
      </c>
    </row>
    <row r="428">
      <c r="A428" s="140"/>
      <c r="B428" s="9"/>
      <c r="C428" s="9"/>
      <c r="D428" s="9"/>
      <c r="E428" s="11" t="s">
        <v>10</v>
      </c>
    </row>
    <row r="429">
      <c r="A429" s="140"/>
      <c r="B429" s="9"/>
      <c r="C429" s="9"/>
      <c r="D429" s="9"/>
      <c r="E429" s="11" t="s">
        <v>10</v>
      </c>
    </row>
    <row r="430">
      <c r="A430" s="140"/>
      <c r="B430" s="9"/>
      <c r="C430" s="9"/>
      <c r="D430" s="9"/>
      <c r="E430" s="11" t="s">
        <v>10</v>
      </c>
    </row>
    <row r="431">
      <c r="A431" s="140"/>
      <c r="B431" s="9"/>
      <c r="C431" s="9"/>
      <c r="D431" s="9"/>
      <c r="E431" s="11" t="s">
        <v>10</v>
      </c>
    </row>
    <row r="432">
      <c r="A432" s="140"/>
      <c r="B432" s="9"/>
      <c r="C432" s="9"/>
      <c r="D432" s="9"/>
      <c r="E432" s="11" t="s">
        <v>10</v>
      </c>
    </row>
    <row r="433">
      <c r="A433" s="140"/>
      <c r="B433" s="9"/>
      <c r="C433" s="9"/>
      <c r="D433" s="9"/>
      <c r="E433" s="11" t="s">
        <v>10</v>
      </c>
    </row>
    <row r="434">
      <c r="A434" s="140"/>
      <c r="B434" s="9"/>
      <c r="C434" s="9"/>
      <c r="D434" s="9"/>
      <c r="E434" s="11" t="s">
        <v>10</v>
      </c>
    </row>
    <row r="435">
      <c r="A435" s="140"/>
      <c r="B435" s="9"/>
      <c r="C435" s="9"/>
      <c r="D435" s="9"/>
      <c r="E435" s="11" t="s">
        <v>10</v>
      </c>
    </row>
    <row r="436">
      <c r="A436" s="140"/>
      <c r="B436" s="9"/>
      <c r="C436" s="9"/>
      <c r="D436" s="9"/>
      <c r="E436" s="11" t="s">
        <v>10</v>
      </c>
    </row>
    <row r="437">
      <c r="A437" s="140"/>
      <c r="B437" s="9"/>
      <c r="C437" s="9"/>
      <c r="D437" s="9"/>
      <c r="E437" s="11" t="s">
        <v>10</v>
      </c>
    </row>
    <row r="438">
      <c r="A438" s="140"/>
      <c r="B438" s="9"/>
      <c r="C438" s="9"/>
      <c r="D438" s="9"/>
      <c r="E438" s="11" t="s">
        <v>10</v>
      </c>
    </row>
    <row r="439">
      <c r="A439" s="140"/>
      <c r="B439" s="9"/>
      <c r="C439" s="9"/>
      <c r="D439" s="9"/>
      <c r="E439" s="11" t="s">
        <v>10</v>
      </c>
    </row>
    <row r="440">
      <c r="A440" s="140"/>
      <c r="B440" s="9"/>
      <c r="C440" s="9"/>
      <c r="D440" s="9"/>
      <c r="E440" s="11" t="s">
        <v>10</v>
      </c>
    </row>
    <row r="441">
      <c r="A441" s="140"/>
      <c r="B441" s="9"/>
      <c r="C441" s="9"/>
      <c r="D441" s="9"/>
      <c r="E441" s="11" t="s">
        <v>10</v>
      </c>
    </row>
    <row r="442">
      <c r="A442" s="140"/>
      <c r="B442" s="9"/>
      <c r="C442" s="9"/>
      <c r="D442" s="9"/>
      <c r="E442" s="11" t="s">
        <v>10</v>
      </c>
    </row>
    <row r="443">
      <c r="A443" s="140"/>
      <c r="B443" s="9"/>
      <c r="C443" s="9"/>
      <c r="D443" s="9"/>
      <c r="E443" s="11" t="s">
        <v>10</v>
      </c>
    </row>
    <row r="444">
      <c r="A444" s="140"/>
      <c r="B444" s="9"/>
      <c r="C444" s="9"/>
      <c r="D444" s="9"/>
      <c r="E444" s="11" t="s">
        <v>10</v>
      </c>
    </row>
    <row r="445">
      <c r="A445" s="140"/>
      <c r="B445" s="9"/>
      <c r="C445" s="9"/>
      <c r="D445" s="9"/>
      <c r="E445" s="11" t="s">
        <v>10</v>
      </c>
    </row>
    <row r="446">
      <c r="A446" s="140"/>
      <c r="B446" s="9"/>
      <c r="C446" s="9"/>
      <c r="D446" s="9"/>
      <c r="E446" s="11" t="s">
        <v>10</v>
      </c>
    </row>
    <row r="447">
      <c r="A447" s="140"/>
      <c r="B447" s="9"/>
      <c r="C447" s="9"/>
      <c r="D447" s="9"/>
      <c r="E447" s="11" t="s">
        <v>10</v>
      </c>
    </row>
    <row r="448">
      <c r="A448" s="140"/>
      <c r="B448" s="9"/>
      <c r="C448" s="9"/>
      <c r="D448" s="9"/>
      <c r="E448" s="11" t="s">
        <v>10</v>
      </c>
    </row>
    <row r="449">
      <c r="A449" s="140"/>
      <c r="B449" s="9"/>
      <c r="C449" s="9"/>
      <c r="D449" s="9"/>
      <c r="E449" s="11" t="s">
        <v>10</v>
      </c>
    </row>
    <row r="450">
      <c r="A450" s="140"/>
      <c r="B450" s="9"/>
      <c r="C450" s="9"/>
      <c r="D450" s="9"/>
      <c r="E450" s="11" t="s">
        <v>10</v>
      </c>
    </row>
    <row r="451">
      <c r="A451" s="140"/>
      <c r="B451" s="9"/>
      <c r="C451" s="9"/>
      <c r="D451" s="9"/>
      <c r="E451" s="11" t="s">
        <v>10</v>
      </c>
    </row>
    <row r="452">
      <c r="A452" s="140"/>
      <c r="B452" s="9"/>
      <c r="C452" s="9"/>
      <c r="D452" s="9"/>
      <c r="E452" s="11" t="s">
        <v>10</v>
      </c>
    </row>
    <row r="453">
      <c r="A453" s="140"/>
      <c r="B453" s="9"/>
      <c r="C453" s="9"/>
      <c r="D453" s="9"/>
      <c r="E453" s="11" t="s">
        <v>10</v>
      </c>
    </row>
    <row r="454">
      <c r="A454" s="140"/>
      <c r="B454" s="9"/>
      <c r="C454" s="9"/>
      <c r="D454" s="9"/>
      <c r="E454" s="11" t="s">
        <v>10</v>
      </c>
    </row>
    <row r="455">
      <c r="A455" s="140"/>
      <c r="B455" s="9"/>
      <c r="C455" s="9"/>
      <c r="D455" s="9"/>
      <c r="E455" s="11" t="s">
        <v>10</v>
      </c>
    </row>
    <row r="456">
      <c r="A456" s="140"/>
      <c r="B456" s="9"/>
      <c r="C456" s="9"/>
      <c r="D456" s="9"/>
      <c r="E456" s="11" t="s">
        <v>10</v>
      </c>
    </row>
    <row r="457">
      <c r="A457" s="140"/>
      <c r="B457" s="9"/>
      <c r="C457" s="9"/>
      <c r="D457" s="9"/>
      <c r="E457" s="11" t="s">
        <v>10</v>
      </c>
    </row>
    <row r="458">
      <c r="A458" s="140"/>
      <c r="B458" s="9"/>
      <c r="C458" s="9"/>
      <c r="D458" s="9"/>
      <c r="E458" s="11" t="s">
        <v>10</v>
      </c>
    </row>
    <row r="459">
      <c r="A459" s="140"/>
      <c r="B459" s="9"/>
      <c r="C459" s="9"/>
      <c r="D459" s="9"/>
      <c r="E459" s="11" t="s">
        <v>10</v>
      </c>
    </row>
    <row r="460">
      <c r="A460" s="140"/>
      <c r="B460" s="9"/>
      <c r="C460" s="9"/>
      <c r="D460" s="9"/>
      <c r="E460" s="11" t="s">
        <v>10</v>
      </c>
    </row>
    <row r="461">
      <c r="A461" s="140"/>
      <c r="B461" s="9"/>
      <c r="C461" s="9"/>
      <c r="D461" s="9"/>
      <c r="E461" s="11" t="s">
        <v>10</v>
      </c>
    </row>
    <row r="462">
      <c r="A462" s="140"/>
      <c r="B462" s="9"/>
      <c r="C462" s="9"/>
      <c r="D462" s="9"/>
      <c r="E462" s="11" t="s">
        <v>10</v>
      </c>
    </row>
    <row r="463">
      <c r="A463" s="140"/>
      <c r="B463" s="9"/>
      <c r="C463" s="9"/>
      <c r="D463" s="9"/>
      <c r="E463" s="11" t="s">
        <v>10</v>
      </c>
    </row>
    <row r="464">
      <c r="A464" s="140"/>
      <c r="B464" s="9"/>
      <c r="C464" s="9"/>
      <c r="D464" s="9"/>
      <c r="E464" s="11" t="s">
        <v>10</v>
      </c>
    </row>
    <row r="465">
      <c r="A465" s="140"/>
      <c r="B465" s="9"/>
      <c r="C465" s="9"/>
      <c r="D465" s="9"/>
      <c r="E465" s="11" t="s">
        <v>10</v>
      </c>
    </row>
    <row r="466">
      <c r="A466" s="140"/>
      <c r="B466" s="9"/>
      <c r="C466" s="9"/>
      <c r="D466" s="9"/>
      <c r="E466" s="11" t="s">
        <v>10</v>
      </c>
    </row>
    <row r="467">
      <c r="A467" s="140"/>
      <c r="B467" s="9"/>
      <c r="C467" s="9"/>
      <c r="D467" s="9"/>
      <c r="E467" s="11" t="s">
        <v>10</v>
      </c>
    </row>
    <row r="468">
      <c r="A468" s="140"/>
      <c r="B468" s="9"/>
      <c r="C468" s="9"/>
      <c r="D468" s="9"/>
      <c r="E468" s="11" t="s">
        <v>10</v>
      </c>
    </row>
    <row r="469">
      <c r="A469" s="140"/>
      <c r="B469" s="9"/>
      <c r="C469" s="9"/>
      <c r="D469" s="9"/>
      <c r="E469" s="11" t="s">
        <v>10</v>
      </c>
    </row>
    <row r="470">
      <c r="A470" s="140"/>
      <c r="B470" s="9"/>
      <c r="C470" s="9"/>
      <c r="D470" s="9"/>
      <c r="E470" s="11" t="s">
        <v>10</v>
      </c>
    </row>
    <row r="471">
      <c r="A471" s="140"/>
      <c r="B471" s="9"/>
      <c r="C471" s="9"/>
      <c r="D471" s="9"/>
      <c r="E471" s="11" t="s">
        <v>10</v>
      </c>
    </row>
    <row r="472">
      <c r="A472" s="140"/>
      <c r="B472" s="9"/>
      <c r="C472" s="9"/>
      <c r="D472" s="9"/>
      <c r="E472" s="11" t="s">
        <v>10</v>
      </c>
    </row>
    <row r="473">
      <c r="A473" s="140"/>
      <c r="B473" s="9"/>
      <c r="C473" s="9"/>
      <c r="D473" s="9"/>
      <c r="E473" s="11" t="s">
        <v>10</v>
      </c>
    </row>
    <row r="474">
      <c r="A474" s="140"/>
      <c r="B474" s="9"/>
      <c r="C474" s="9"/>
      <c r="D474" s="9"/>
      <c r="E474" s="11" t="s">
        <v>10</v>
      </c>
    </row>
    <row r="475">
      <c r="A475" s="140"/>
      <c r="B475" s="9"/>
      <c r="C475" s="9"/>
      <c r="D475" s="9"/>
      <c r="E475" s="11" t="s">
        <v>10</v>
      </c>
    </row>
    <row r="476">
      <c r="A476" s="140"/>
      <c r="B476" s="9"/>
      <c r="C476" s="9"/>
      <c r="D476" s="9"/>
      <c r="E476" s="11" t="s">
        <v>10</v>
      </c>
    </row>
    <row r="477">
      <c r="A477" s="140"/>
      <c r="B477" s="9"/>
      <c r="C477" s="9"/>
      <c r="D477" s="9"/>
      <c r="E477" s="11" t="s">
        <v>10</v>
      </c>
    </row>
    <row r="478">
      <c r="A478" s="140"/>
      <c r="B478" s="9"/>
      <c r="C478" s="9"/>
      <c r="D478" s="9"/>
      <c r="E478" s="11" t="s">
        <v>10</v>
      </c>
    </row>
    <row r="479">
      <c r="A479" s="140"/>
      <c r="B479" s="9"/>
      <c r="C479" s="9"/>
      <c r="D479" s="9"/>
      <c r="E479" s="11" t="s">
        <v>10</v>
      </c>
    </row>
    <row r="480">
      <c r="A480" s="140"/>
      <c r="B480" s="9"/>
      <c r="C480" s="9"/>
      <c r="D480" s="9"/>
      <c r="E480" s="11" t="s">
        <v>10</v>
      </c>
    </row>
    <row r="481">
      <c r="A481" s="140"/>
      <c r="B481" s="9"/>
      <c r="C481" s="9"/>
      <c r="D481" s="9"/>
      <c r="E481" s="11" t="s">
        <v>10</v>
      </c>
    </row>
    <row r="482">
      <c r="A482" s="140"/>
      <c r="B482" s="9"/>
      <c r="C482" s="9"/>
      <c r="D482" s="9"/>
      <c r="E482" s="11" t="s">
        <v>10</v>
      </c>
    </row>
    <row r="483">
      <c r="A483" s="140"/>
      <c r="B483" s="9"/>
      <c r="C483" s="9"/>
      <c r="D483" s="9"/>
      <c r="E483" s="11" t="s">
        <v>10</v>
      </c>
    </row>
    <row r="484">
      <c r="A484" s="140"/>
      <c r="B484" s="9"/>
      <c r="C484" s="9"/>
      <c r="D484" s="9"/>
      <c r="E484" s="11" t="s">
        <v>10</v>
      </c>
    </row>
    <row r="485">
      <c r="A485" s="140"/>
      <c r="B485" s="9"/>
      <c r="C485" s="9"/>
      <c r="D485" s="9"/>
      <c r="E485" s="11" t="s">
        <v>10</v>
      </c>
    </row>
    <row r="486">
      <c r="A486" s="140"/>
      <c r="B486" s="9"/>
      <c r="C486" s="9"/>
      <c r="D486" s="9"/>
      <c r="E486" s="11" t="s">
        <v>10</v>
      </c>
    </row>
    <row r="487">
      <c r="A487" s="140"/>
      <c r="B487" s="9"/>
      <c r="C487" s="9"/>
      <c r="D487" s="9"/>
      <c r="E487" s="11" t="s">
        <v>10</v>
      </c>
    </row>
    <row r="488">
      <c r="A488" s="140"/>
      <c r="B488" s="9"/>
      <c r="C488" s="9"/>
      <c r="D488" s="9"/>
      <c r="E488" s="11" t="s">
        <v>10</v>
      </c>
    </row>
    <row r="489">
      <c r="A489" s="140"/>
      <c r="B489" s="9"/>
      <c r="C489" s="9"/>
      <c r="D489" s="9"/>
      <c r="E489" s="11" t="s">
        <v>10</v>
      </c>
    </row>
    <row r="490">
      <c r="A490" s="140"/>
      <c r="B490" s="9"/>
      <c r="C490" s="9"/>
      <c r="D490" s="9"/>
      <c r="E490" s="11" t="s">
        <v>10</v>
      </c>
    </row>
    <row r="491">
      <c r="A491" s="140"/>
      <c r="B491" s="9"/>
      <c r="C491" s="9"/>
      <c r="D491" s="9"/>
      <c r="E491" s="11" t="s">
        <v>10</v>
      </c>
    </row>
    <row r="492">
      <c r="A492" s="140"/>
      <c r="B492" s="9"/>
      <c r="C492" s="9"/>
      <c r="D492" s="9"/>
      <c r="E492" s="11" t="s">
        <v>10</v>
      </c>
    </row>
    <row r="493">
      <c r="A493" s="140"/>
      <c r="B493" s="9"/>
      <c r="C493" s="9"/>
      <c r="D493" s="9"/>
      <c r="E493" s="11" t="s">
        <v>10</v>
      </c>
    </row>
    <row r="494">
      <c r="A494" s="140"/>
      <c r="B494" s="9"/>
      <c r="C494" s="9"/>
      <c r="D494" s="9"/>
      <c r="E494" s="11" t="s">
        <v>10</v>
      </c>
    </row>
    <row r="495">
      <c r="A495" s="140"/>
      <c r="B495" s="9"/>
      <c r="C495" s="9"/>
      <c r="D495" s="9"/>
      <c r="E495" s="11" t="s">
        <v>10</v>
      </c>
    </row>
    <row r="496">
      <c r="A496" s="140"/>
      <c r="B496" s="9"/>
      <c r="C496" s="9"/>
      <c r="D496" s="9"/>
      <c r="E496" s="11" t="s">
        <v>10</v>
      </c>
    </row>
    <row r="497">
      <c r="A497" s="140"/>
      <c r="B497" s="9"/>
      <c r="C497" s="9"/>
      <c r="D497" s="9"/>
      <c r="E497" s="11" t="s">
        <v>10</v>
      </c>
    </row>
    <row r="498">
      <c r="A498" s="140"/>
      <c r="B498" s="9"/>
      <c r="C498" s="9"/>
      <c r="D498" s="9"/>
      <c r="E498" s="11" t="s">
        <v>10</v>
      </c>
    </row>
    <row r="499">
      <c r="A499" s="140"/>
      <c r="B499" s="9"/>
      <c r="C499" s="9"/>
      <c r="D499" s="9"/>
      <c r="E499" s="11" t="s">
        <v>10</v>
      </c>
    </row>
    <row r="500">
      <c r="A500" s="140"/>
      <c r="B500" s="9"/>
      <c r="C500" s="9"/>
      <c r="D500" s="9"/>
      <c r="E500" s="11" t="s">
        <v>10</v>
      </c>
    </row>
    <row r="501">
      <c r="A501" s="140"/>
      <c r="B501" s="9"/>
      <c r="C501" s="9"/>
      <c r="D501" s="9"/>
      <c r="E501" s="11" t="s">
        <v>10</v>
      </c>
    </row>
    <row r="502">
      <c r="A502" s="140"/>
      <c r="B502" s="9"/>
      <c r="C502" s="9"/>
      <c r="D502" s="9"/>
      <c r="E502" s="11" t="s">
        <v>10</v>
      </c>
    </row>
    <row r="503">
      <c r="A503" s="140"/>
      <c r="B503" s="9"/>
      <c r="C503" s="9"/>
      <c r="D503" s="9"/>
      <c r="E503" s="11" t="s">
        <v>10</v>
      </c>
    </row>
    <row r="504">
      <c r="A504" s="140"/>
      <c r="B504" s="9"/>
      <c r="C504" s="9"/>
      <c r="D504" s="9"/>
      <c r="E504" s="11" t="s">
        <v>10</v>
      </c>
    </row>
    <row r="505">
      <c r="A505" s="140"/>
      <c r="B505" s="9"/>
      <c r="C505" s="9"/>
      <c r="D505" s="9"/>
      <c r="E505" s="11" t="s">
        <v>10</v>
      </c>
    </row>
    <row r="506">
      <c r="A506" s="140"/>
      <c r="B506" s="9"/>
      <c r="C506" s="9"/>
      <c r="D506" s="9"/>
      <c r="E506" s="11" t="s">
        <v>10</v>
      </c>
    </row>
    <row r="507">
      <c r="A507" s="140"/>
      <c r="B507" s="9"/>
      <c r="C507" s="9"/>
      <c r="D507" s="9"/>
      <c r="E507" s="11" t="s">
        <v>10</v>
      </c>
    </row>
    <row r="508">
      <c r="A508" s="140"/>
      <c r="B508" s="9"/>
      <c r="C508" s="9"/>
      <c r="D508" s="9"/>
      <c r="E508" s="11" t="s">
        <v>10</v>
      </c>
    </row>
    <row r="509">
      <c r="A509" s="140"/>
      <c r="B509" s="9"/>
      <c r="C509" s="9"/>
      <c r="D509" s="9"/>
      <c r="E509" s="11" t="s">
        <v>10</v>
      </c>
    </row>
    <row r="510">
      <c r="A510" s="140"/>
      <c r="B510" s="9"/>
      <c r="C510" s="9"/>
      <c r="D510" s="9"/>
      <c r="E510" s="11" t="s">
        <v>10</v>
      </c>
    </row>
    <row r="511">
      <c r="A511" s="140"/>
      <c r="B511" s="9"/>
      <c r="C511" s="9"/>
      <c r="D511" s="9"/>
      <c r="E511" s="11" t="s">
        <v>10</v>
      </c>
    </row>
    <row r="512">
      <c r="A512" s="140"/>
      <c r="B512" s="9"/>
      <c r="C512" s="9"/>
      <c r="D512" s="9"/>
      <c r="E512" s="11" t="s">
        <v>10</v>
      </c>
    </row>
    <row r="513">
      <c r="A513" s="140"/>
      <c r="B513" s="9"/>
      <c r="C513" s="9"/>
      <c r="D513" s="9"/>
      <c r="E513" s="11" t="s">
        <v>10</v>
      </c>
    </row>
    <row r="514">
      <c r="A514" s="140"/>
      <c r="B514" s="9"/>
      <c r="C514" s="9"/>
      <c r="D514" s="9"/>
      <c r="E514" s="11" t="s">
        <v>10</v>
      </c>
    </row>
    <row r="515">
      <c r="A515" s="140"/>
      <c r="B515" s="9"/>
      <c r="C515" s="9"/>
      <c r="D515" s="9"/>
      <c r="E515" s="11" t="s">
        <v>10</v>
      </c>
    </row>
    <row r="516">
      <c r="A516" s="140"/>
      <c r="B516" s="9"/>
      <c r="C516" s="9"/>
      <c r="D516" s="9"/>
      <c r="E516" s="11" t="s">
        <v>10</v>
      </c>
    </row>
    <row r="517">
      <c r="A517" s="140"/>
      <c r="B517" s="9"/>
      <c r="C517" s="9"/>
      <c r="D517" s="9"/>
      <c r="E517" s="11" t="s">
        <v>10</v>
      </c>
    </row>
    <row r="518">
      <c r="A518" s="140"/>
      <c r="B518" s="9"/>
      <c r="C518" s="9"/>
      <c r="D518" s="9"/>
      <c r="E518" s="11" t="s">
        <v>10</v>
      </c>
    </row>
    <row r="519">
      <c r="A519" s="140"/>
      <c r="B519" s="9"/>
      <c r="C519" s="9"/>
      <c r="D519" s="9"/>
      <c r="E519" s="11" t="s">
        <v>10</v>
      </c>
    </row>
    <row r="520">
      <c r="A520" s="140"/>
      <c r="B520" s="9"/>
      <c r="C520" s="9"/>
      <c r="D520" s="9"/>
      <c r="E520" s="11" t="s">
        <v>10</v>
      </c>
    </row>
    <row r="521">
      <c r="A521" s="140"/>
      <c r="B521" s="9"/>
      <c r="C521" s="9"/>
      <c r="D521" s="9"/>
      <c r="E521" s="11" t="s">
        <v>10</v>
      </c>
    </row>
    <row r="522">
      <c r="A522" s="140"/>
      <c r="B522" s="9"/>
      <c r="C522" s="9"/>
      <c r="D522" s="9"/>
      <c r="E522" s="11" t="s">
        <v>10</v>
      </c>
    </row>
    <row r="523">
      <c r="A523" s="140"/>
      <c r="B523" s="9"/>
      <c r="C523" s="9"/>
      <c r="D523" s="9"/>
      <c r="E523" s="11" t="s">
        <v>10</v>
      </c>
    </row>
    <row r="524">
      <c r="A524" s="140"/>
      <c r="B524" s="9"/>
      <c r="C524" s="9"/>
      <c r="D524" s="9"/>
      <c r="E524" s="11" t="s">
        <v>10</v>
      </c>
    </row>
    <row r="525">
      <c r="A525" s="140"/>
      <c r="B525" s="9"/>
      <c r="C525" s="9"/>
      <c r="D525" s="9"/>
      <c r="E525" s="11" t="s">
        <v>10</v>
      </c>
    </row>
    <row r="526">
      <c r="A526" s="140"/>
      <c r="B526" s="9"/>
      <c r="C526" s="9"/>
      <c r="D526" s="9"/>
      <c r="E526" s="11" t="s">
        <v>10</v>
      </c>
    </row>
    <row r="527">
      <c r="A527" s="140"/>
      <c r="B527" s="9"/>
      <c r="C527" s="9"/>
      <c r="D527" s="9"/>
      <c r="E527" s="11" t="s">
        <v>10</v>
      </c>
    </row>
    <row r="528">
      <c r="A528" s="140"/>
      <c r="B528" s="9"/>
      <c r="C528" s="9"/>
      <c r="D528" s="9"/>
      <c r="E528" s="11" t="s">
        <v>10</v>
      </c>
    </row>
    <row r="529">
      <c r="A529" s="140"/>
      <c r="B529" s="9"/>
      <c r="C529" s="9"/>
      <c r="D529" s="9"/>
      <c r="E529" s="11" t="s">
        <v>10</v>
      </c>
    </row>
    <row r="530">
      <c r="A530" s="140"/>
      <c r="B530" s="9"/>
      <c r="C530" s="9"/>
      <c r="D530" s="9"/>
      <c r="E530" s="11" t="s">
        <v>10</v>
      </c>
    </row>
    <row r="531">
      <c r="A531" s="140"/>
      <c r="B531" s="9"/>
      <c r="C531" s="9"/>
      <c r="D531" s="9"/>
      <c r="E531" s="11" t="s">
        <v>10</v>
      </c>
    </row>
    <row r="532">
      <c r="A532" s="140"/>
      <c r="B532" s="9"/>
      <c r="C532" s="9"/>
      <c r="D532" s="9"/>
      <c r="E532" s="11" t="s">
        <v>10</v>
      </c>
    </row>
    <row r="533">
      <c r="A533" s="140"/>
      <c r="B533" s="9"/>
      <c r="C533" s="9"/>
      <c r="D533" s="9"/>
      <c r="E533" s="11" t="s">
        <v>10</v>
      </c>
    </row>
    <row r="534">
      <c r="A534" s="140"/>
      <c r="B534" s="9"/>
      <c r="C534" s="9"/>
      <c r="D534" s="9"/>
      <c r="E534" s="11" t="s">
        <v>10</v>
      </c>
    </row>
    <row r="535">
      <c r="A535" s="140"/>
      <c r="B535" s="9"/>
      <c r="C535" s="9"/>
      <c r="D535" s="9"/>
      <c r="E535" s="11" t="s">
        <v>10</v>
      </c>
    </row>
    <row r="536">
      <c r="A536" s="140"/>
      <c r="B536" s="9"/>
      <c r="C536" s="9"/>
      <c r="D536" s="9"/>
      <c r="E536" s="11" t="s">
        <v>10</v>
      </c>
    </row>
    <row r="537">
      <c r="A537" s="140"/>
      <c r="B537" s="9"/>
      <c r="C537" s="9"/>
      <c r="D537" s="9"/>
      <c r="E537" s="11" t="s">
        <v>10</v>
      </c>
    </row>
    <row r="538">
      <c r="A538" s="140"/>
      <c r="B538" s="9"/>
      <c r="C538" s="9"/>
      <c r="D538" s="9"/>
      <c r="E538" s="11" t="s">
        <v>10</v>
      </c>
    </row>
    <row r="539">
      <c r="A539" s="140"/>
      <c r="B539" s="9"/>
      <c r="C539" s="9"/>
      <c r="D539" s="9"/>
      <c r="E539" s="11" t="s">
        <v>10</v>
      </c>
    </row>
    <row r="540">
      <c r="A540" s="140"/>
      <c r="B540" s="9"/>
      <c r="C540" s="9"/>
      <c r="D540" s="9"/>
      <c r="E540" s="11" t="s">
        <v>10</v>
      </c>
    </row>
    <row r="541">
      <c r="A541" s="140"/>
      <c r="B541" s="9"/>
      <c r="C541" s="9"/>
      <c r="D541" s="9"/>
      <c r="E541" s="11" t="s">
        <v>10</v>
      </c>
    </row>
    <row r="542">
      <c r="A542" s="140"/>
      <c r="B542" s="9"/>
      <c r="C542" s="9"/>
      <c r="D542" s="9"/>
      <c r="E542" s="11" t="s">
        <v>10</v>
      </c>
    </row>
    <row r="543">
      <c r="A543" s="140"/>
      <c r="B543" s="9"/>
      <c r="C543" s="9"/>
      <c r="D543" s="9"/>
      <c r="E543" s="11" t="s">
        <v>10</v>
      </c>
    </row>
    <row r="544">
      <c r="A544" s="140"/>
      <c r="B544" s="9"/>
      <c r="C544" s="9"/>
      <c r="D544" s="9"/>
      <c r="E544" s="11" t="s">
        <v>10</v>
      </c>
    </row>
    <row r="545">
      <c r="A545" s="140"/>
      <c r="B545" s="9"/>
      <c r="C545" s="9"/>
      <c r="D545" s="9"/>
      <c r="E545" s="11" t="s">
        <v>10</v>
      </c>
    </row>
    <row r="546">
      <c r="A546" s="140"/>
      <c r="B546" s="9"/>
      <c r="C546" s="9"/>
      <c r="D546" s="9"/>
      <c r="E546" s="11" t="s">
        <v>10</v>
      </c>
    </row>
    <row r="547">
      <c r="A547" s="140"/>
      <c r="B547" s="9"/>
      <c r="C547" s="9"/>
      <c r="D547" s="9"/>
      <c r="E547" s="11" t="s">
        <v>10</v>
      </c>
    </row>
    <row r="548">
      <c r="A548" s="140"/>
      <c r="B548" s="9"/>
      <c r="C548" s="9"/>
      <c r="D548" s="9"/>
      <c r="E548" s="11" t="s">
        <v>10</v>
      </c>
    </row>
    <row r="549">
      <c r="A549" s="140"/>
      <c r="B549" s="9"/>
      <c r="C549" s="9"/>
      <c r="D549" s="9"/>
      <c r="E549" s="11" t="s">
        <v>10</v>
      </c>
    </row>
    <row r="550">
      <c r="A550" s="140"/>
      <c r="B550" s="9"/>
      <c r="C550" s="9"/>
      <c r="D550" s="9"/>
      <c r="E550" s="11" t="s">
        <v>10</v>
      </c>
    </row>
    <row r="551">
      <c r="A551" s="140"/>
      <c r="B551" s="9"/>
      <c r="C551" s="9"/>
      <c r="D551" s="9"/>
      <c r="E551" s="11" t="s">
        <v>10</v>
      </c>
    </row>
    <row r="552">
      <c r="A552" s="140"/>
      <c r="B552" s="9"/>
      <c r="C552" s="9"/>
      <c r="D552" s="9"/>
      <c r="E552" s="11" t="s">
        <v>10</v>
      </c>
    </row>
    <row r="553">
      <c r="A553" s="140"/>
      <c r="B553" s="9"/>
      <c r="C553" s="9"/>
      <c r="D553" s="9"/>
      <c r="E553" s="11" t="s">
        <v>10</v>
      </c>
    </row>
    <row r="554">
      <c r="A554" s="140"/>
      <c r="B554" s="9"/>
      <c r="C554" s="9"/>
      <c r="D554" s="9"/>
      <c r="E554" s="11" t="s">
        <v>10</v>
      </c>
    </row>
    <row r="555">
      <c r="A555" s="140"/>
      <c r="B555" s="9"/>
      <c r="C555" s="9"/>
      <c r="D555" s="9"/>
      <c r="E555" s="11" t="s">
        <v>10</v>
      </c>
    </row>
    <row r="556">
      <c r="A556" s="140"/>
      <c r="B556" s="9"/>
      <c r="C556" s="9"/>
      <c r="D556" s="9"/>
      <c r="E556" s="11" t="s">
        <v>10</v>
      </c>
    </row>
    <row r="557">
      <c r="A557" s="140"/>
      <c r="B557" s="9"/>
      <c r="C557" s="9"/>
      <c r="D557" s="9"/>
      <c r="E557" s="11" t="s">
        <v>10</v>
      </c>
    </row>
    <row r="558">
      <c r="A558" s="140"/>
      <c r="B558" s="9"/>
      <c r="C558" s="9"/>
      <c r="D558" s="9"/>
      <c r="E558" s="11" t="s">
        <v>10</v>
      </c>
    </row>
    <row r="559">
      <c r="A559" s="140"/>
      <c r="B559" s="9"/>
      <c r="C559" s="9"/>
      <c r="D559" s="9"/>
      <c r="E559" s="11" t="s">
        <v>10</v>
      </c>
    </row>
    <row r="560">
      <c r="A560" s="140"/>
      <c r="B560" s="9"/>
      <c r="C560" s="9"/>
      <c r="D560" s="9"/>
      <c r="E560" s="11" t="s">
        <v>10</v>
      </c>
    </row>
    <row r="561">
      <c r="A561" s="140"/>
      <c r="B561" s="9"/>
      <c r="C561" s="9"/>
      <c r="D561" s="9"/>
      <c r="E561" s="11" t="s">
        <v>10</v>
      </c>
    </row>
    <row r="562">
      <c r="A562" s="140"/>
      <c r="B562" s="9"/>
      <c r="C562" s="9"/>
      <c r="D562" s="9"/>
      <c r="E562" s="11" t="s">
        <v>10</v>
      </c>
    </row>
    <row r="563">
      <c r="A563" s="140"/>
      <c r="B563" s="9"/>
      <c r="C563" s="9"/>
      <c r="D563" s="9"/>
      <c r="E563" s="11" t="s">
        <v>10</v>
      </c>
    </row>
    <row r="564">
      <c r="A564" s="140"/>
      <c r="B564" s="9"/>
      <c r="C564" s="9"/>
      <c r="D564" s="9"/>
      <c r="E564" s="11" t="s">
        <v>10</v>
      </c>
    </row>
    <row r="565">
      <c r="A565" s="140"/>
      <c r="B565" s="9"/>
      <c r="C565" s="9"/>
      <c r="D565" s="9"/>
      <c r="E565" s="11" t="s">
        <v>10</v>
      </c>
    </row>
    <row r="566">
      <c r="A566" s="140"/>
      <c r="B566" s="9"/>
      <c r="C566" s="9"/>
      <c r="D566" s="9"/>
      <c r="E566" s="11" t="s">
        <v>10</v>
      </c>
    </row>
    <row r="567">
      <c r="A567" s="140"/>
      <c r="B567" s="9"/>
      <c r="C567" s="9"/>
      <c r="D567" s="9"/>
      <c r="E567" s="11" t="s">
        <v>10</v>
      </c>
    </row>
    <row r="568">
      <c r="A568" s="140"/>
      <c r="B568" s="9"/>
      <c r="C568" s="9"/>
      <c r="D568" s="9"/>
      <c r="E568" s="11" t="s">
        <v>10</v>
      </c>
    </row>
    <row r="569">
      <c r="A569" s="140"/>
      <c r="B569" s="9"/>
      <c r="C569" s="9"/>
      <c r="D569" s="9"/>
      <c r="E569" s="11" t="s">
        <v>10</v>
      </c>
    </row>
    <row r="570">
      <c r="A570" s="140"/>
      <c r="B570" s="9"/>
      <c r="C570" s="9"/>
      <c r="D570" s="9"/>
      <c r="E570" s="11" t="s">
        <v>10</v>
      </c>
    </row>
    <row r="571">
      <c r="A571" s="140"/>
      <c r="B571" s="9"/>
      <c r="C571" s="9"/>
      <c r="D571" s="9"/>
      <c r="E571" s="11" t="s">
        <v>10</v>
      </c>
    </row>
    <row r="572">
      <c r="A572" s="140"/>
      <c r="B572" s="9"/>
      <c r="C572" s="9"/>
      <c r="D572" s="9"/>
      <c r="E572" s="11" t="s">
        <v>10</v>
      </c>
    </row>
    <row r="573">
      <c r="A573" s="140"/>
      <c r="B573" s="9"/>
      <c r="C573" s="9"/>
      <c r="D573" s="9"/>
      <c r="E573" s="11" t="s">
        <v>10</v>
      </c>
    </row>
    <row r="574">
      <c r="A574" s="140"/>
      <c r="B574" s="9"/>
      <c r="C574" s="9"/>
      <c r="D574" s="9"/>
      <c r="E574" s="11" t="s">
        <v>10</v>
      </c>
    </row>
    <row r="575">
      <c r="A575" s="140"/>
      <c r="B575" s="9"/>
      <c r="C575" s="9"/>
      <c r="D575" s="9"/>
      <c r="E575" s="11" t="s">
        <v>10</v>
      </c>
    </row>
    <row r="576">
      <c r="A576" s="140"/>
      <c r="B576" s="9"/>
      <c r="C576" s="9"/>
      <c r="D576" s="9"/>
      <c r="E576" s="11" t="s">
        <v>10</v>
      </c>
    </row>
    <row r="577">
      <c r="A577" s="140"/>
      <c r="B577" s="9"/>
      <c r="C577" s="9"/>
      <c r="D577" s="9"/>
      <c r="E577" s="11" t="s">
        <v>10</v>
      </c>
    </row>
    <row r="578">
      <c r="A578" s="140"/>
      <c r="B578" s="9"/>
      <c r="C578" s="9"/>
      <c r="D578" s="9"/>
      <c r="E578" s="11" t="s">
        <v>10</v>
      </c>
    </row>
    <row r="579">
      <c r="A579" s="140"/>
      <c r="B579" s="9"/>
      <c r="C579" s="9"/>
      <c r="D579" s="9"/>
      <c r="E579" s="11" t="s">
        <v>10</v>
      </c>
    </row>
    <row r="580">
      <c r="A580" s="140"/>
      <c r="B580" s="9"/>
      <c r="C580" s="9"/>
      <c r="D580" s="9"/>
      <c r="E580" s="11" t="s">
        <v>10</v>
      </c>
    </row>
    <row r="581">
      <c r="A581" s="140"/>
      <c r="B581" s="9"/>
      <c r="C581" s="9"/>
      <c r="D581" s="9"/>
      <c r="E581" s="11" t="s">
        <v>10</v>
      </c>
    </row>
    <row r="582">
      <c r="A582" s="140"/>
      <c r="B582" s="9"/>
      <c r="C582" s="9"/>
      <c r="D582" s="9"/>
      <c r="E582" s="11" t="s">
        <v>10</v>
      </c>
    </row>
    <row r="583">
      <c r="A583" s="140"/>
      <c r="B583" s="9"/>
      <c r="C583" s="9"/>
      <c r="D583" s="9"/>
      <c r="E583" s="11" t="s">
        <v>10</v>
      </c>
    </row>
    <row r="584">
      <c r="A584" s="140"/>
      <c r="B584" s="9"/>
      <c r="C584" s="9"/>
      <c r="D584" s="9"/>
      <c r="E584" s="11" t="s">
        <v>10</v>
      </c>
    </row>
    <row r="585">
      <c r="A585" s="140"/>
      <c r="B585" s="9"/>
      <c r="C585" s="9"/>
      <c r="D585" s="9"/>
      <c r="E585" s="11" t="s">
        <v>10</v>
      </c>
    </row>
    <row r="586">
      <c r="A586" s="140"/>
      <c r="B586" s="9"/>
      <c r="C586" s="9"/>
      <c r="D586" s="9"/>
      <c r="E586" s="11" t="s">
        <v>10</v>
      </c>
    </row>
    <row r="587">
      <c r="A587" s="140"/>
      <c r="B587" s="9"/>
      <c r="C587" s="9"/>
      <c r="D587" s="9"/>
      <c r="E587" s="11" t="s">
        <v>10</v>
      </c>
    </row>
    <row r="588">
      <c r="A588" s="140"/>
      <c r="B588" s="9"/>
      <c r="C588" s="9"/>
      <c r="D588" s="9"/>
      <c r="E588" s="11" t="s">
        <v>10</v>
      </c>
    </row>
    <row r="589">
      <c r="A589" s="140"/>
      <c r="B589" s="9"/>
      <c r="C589" s="9"/>
      <c r="D589" s="9"/>
      <c r="E589" s="11" t="s">
        <v>10</v>
      </c>
    </row>
    <row r="590">
      <c r="A590" s="140"/>
      <c r="B590" s="9"/>
      <c r="C590" s="9"/>
      <c r="D590" s="9"/>
      <c r="E590" s="11" t="s">
        <v>10</v>
      </c>
    </row>
    <row r="591">
      <c r="A591" s="140"/>
      <c r="B591" s="9"/>
      <c r="C591" s="9"/>
      <c r="D591" s="9"/>
      <c r="E591" s="11" t="s">
        <v>10</v>
      </c>
    </row>
    <row r="592">
      <c r="A592" s="140"/>
      <c r="B592" s="9"/>
      <c r="C592" s="9"/>
      <c r="D592" s="9"/>
      <c r="E592" s="11" t="s">
        <v>10</v>
      </c>
    </row>
    <row r="593">
      <c r="A593" s="140"/>
      <c r="B593" s="9"/>
      <c r="C593" s="9"/>
      <c r="D593" s="9"/>
      <c r="E593" s="11" t="s">
        <v>10</v>
      </c>
    </row>
    <row r="594">
      <c r="A594" s="140"/>
      <c r="B594" s="9"/>
      <c r="C594" s="9"/>
      <c r="D594" s="9"/>
      <c r="E594" s="11" t="s">
        <v>10</v>
      </c>
    </row>
    <row r="595">
      <c r="A595" s="140"/>
      <c r="B595" s="9"/>
      <c r="C595" s="9"/>
      <c r="D595" s="9"/>
      <c r="E595" s="11" t="s">
        <v>10</v>
      </c>
    </row>
    <row r="596">
      <c r="A596" s="140"/>
      <c r="B596" s="9"/>
      <c r="C596" s="9"/>
      <c r="D596" s="9"/>
      <c r="E596" s="11" t="s">
        <v>10</v>
      </c>
    </row>
    <row r="597">
      <c r="A597" s="140"/>
      <c r="B597" s="9"/>
      <c r="C597" s="9"/>
      <c r="D597" s="9"/>
      <c r="E597" s="11" t="s">
        <v>10</v>
      </c>
    </row>
    <row r="598">
      <c r="A598" s="140"/>
      <c r="B598" s="9"/>
      <c r="C598" s="9"/>
      <c r="D598" s="9"/>
      <c r="E598" s="11" t="s">
        <v>10</v>
      </c>
    </row>
    <row r="599">
      <c r="A599" s="140"/>
      <c r="B599" s="9"/>
      <c r="C599" s="9"/>
      <c r="D599" s="9"/>
      <c r="E599" s="11" t="s">
        <v>10</v>
      </c>
    </row>
    <row r="600">
      <c r="A600" s="140"/>
      <c r="B600" s="9"/>
      <c r="C600" s="9"/>
      <c r="D600" s="9"/>
      <c r="E600" s="11" t="s">
        <v>10</v>
      </c>
    </row>
    <row r="601">
      <c r="A601" s="140"/>
      <c r="B601" s="9"/>
      <c r="C601" s="9"/>
      <c r="D601" s="9"/>
      <c r="E601" s="11" t="s">
        <v>10</v>
      </c>
    </row>
    <row r="602">
      <c r="A602" s="140"/>
      <c r="B602" s="9"/>
      <c r="C602" s="9"/>
      <c r="D602" s="9"/>
      <c r="E602" s="11" t="s">
        <v>10</v>
      </c>
    </row>
    <row r="603">
      <c r="A603" s="140"/>
      <c r="B603" s="9"/>
      <c r="C603" s="9"/>
      <c r="D603" s="9"/>
      <c r="E603" s="11" t="s">
        <v>10</v>
      </c>
    </row>
    <row r="604">
      <c r="A604" s="140"/>
      <c r="B604" s="9"/>
      <c r="C604" s="9"/>
      <c r="D604" s="9"/>
      <c r="E604" s="11" t="s">
        <v>10</v>
      </c>
    </row>
    <row r="605">
      <c r="A605" s="140"/>
      <c r="B605" s="9"/>
      <c r="C605" s="9"/>
      <c r="D605" s="9"/>
      <c r="E605" s="11" t="s">
        <v>10</v>
      </c>
    </row>
    <row r="606">
      <c r="A606" s="140"/>
      <c r="B606" s="9"/>
      <c r="C606" s="9"/>
      <c r="D606" s="9"/>
      <c r="E606" s="11" t="s">
        <v>10</v>
      </c>
    </row>
    <row r="607">
      <c r="A607" s="140"/>
      <c r="B607" s="9"/>
      <c r="C607" s="9"/>
      <c r="D607" s="9"/>
      <c r="E607" s="11" t="s">
        <v>10</v>
      </c>
    </row>
    <row r="608">
      <c r="A608" s="140"/>
      <c r="B608" s="9"/>
      <c r="C608" s="9"/>
      <c r="D608" s="9"/>
      <c r="E608" s="11" t="s">
        <v>10</v>
      </c>
    </row>
    <row r="609">
      <c r="A609" s="140"/>
      <c r="B609" s="9"/>
      <c r="C609" s="9"/>
      <c r="D609" s="9"/>
      <c r="E609" s="11" t="s">
        <v>10</v>
      </c>
    </row>
    <row r="610">
      <c r="A610" s="140"/>
      <c r="B610" s="9"/>
      <c r="C610" s="9"/>
      <c r="D610" s="9"/>
      <c r="E610" s="11" t="s">
        <v>10</v>
      </c>
    </row>
    <row r="611">
      <c r="A611" s="140"/>
      <c r="B611" s="9"/>
      <c r="C611" s="9"/>
      <c r="D611" s="9"/>
      <c r="E611" s="11" t="s">
        <v>10</v>
      </c>
    </row>
    <row r="612">
      <c r="A612" s="140"/>
      <c r="B612" s="9"/>
      <c r="C612" s="9"/>
      <c r="D612" s="9"/>
      <c r="E612" s="11" t="s">
        <v>10</v>
      </c>
    </row>
    <row r="613">
      <c r="A613" s="140"/>
      <c r="B613" s="9"/>
      <c r="C613" s="9"/>
      <c r="D613" s="9"/>
      <c r="E613" s="11" t="s">
        <v>10</v>
      </c>
    </row>
    <row r="614">
      <c r="A614" s="140"/>
      <c r="B614" s="9"/>
      <c r="C614" s="9"/>
      <c r="D614" s="9"/>
      <c r="E614" s="11" t="s">
        <v>10</v>
      </c>
    </row>
    <row r="615">
      <c r="A615" s="140"/>
      <c r="B615" s="9"/>
      <c r="C615" s="9"/>
      <c r="D615" s="9"/>
      <c r="E615" s="11" t="s">
        <v>10</v>
      </c>
    </row>
    <row r="616">
      <c r="A616" s="140"/>
      <c r="B616" s="9"/>
      <c r="C616" s="9"/>
      <c r="D616" s="9"/>
      <c r="E616" s="11" t="s">
        <v>10</v>
      </c>
    </row>
    <row r="617">
      <c r="A617" s="140"/>
      <c r="B617" s="9"/>
      <c r="C617" s="9"/>
      <c r="D617" s="9"/>
      <c r="E617" s="11" t="s">
        <v>10</v>
      </c>
    </row>
    <row r="618">
      <c r="A618" s="140"/>
      <c r="B618" s="9"/>
      <c r="C618" s="9"/>
      <c r="D618" s="9"/>
      <c r="E618" s="11" t="s">
        <v>10</v>
      </c>
    </row>
    <row r="619">
      <c r="A619" s="140"/>
      <c r="B619" s="9"/>
      <c r="C619" s="9"/>
      <c r="D619" s="9"/>
      <c r="E619" s="11" t="s">
        <v>10</v>
      </c>
    </row>
    <row r="620">
      <c r="A620" s="140"/>
      <c r="B620" s="9"/>
      <c r="C620" s="9"/>
      <c r="D620" s="9"/>
      <c r="E620" s="11" t="s">
        <v>10</v>
      </c>
    </row>
    <row r="621">
      <c r="A621" s="140"/>
      <c r="B621" s="9"/>
      <c r="C621" s="9"/>
      <c r="D621" s="9"/>
      <c r="E621" s="11" t="s">
        <v>10</v>
      </c>
    </row>
    <row r="622">
      <c r="A622" s="140"/>
      <c r="B622" s="9"/>
      <c r="C622" s="9"/>
      <c r="D622" s="9"/>
      <c r="E622" s="11" t="s">
        <v>10</v>
      </c>
    </row>
    <row r="623">
      <c r="A623" s="140"/>
      <c r="B623" s="9"/>
      <c r="C623" s="9"/>
      <c r="D623" s="9"/>
      <c r="E623" s="11" t="s">
        <v>10</v>
      </c>
    </row>
    <row r="624">
      <c r="A624" s="140"/>
      <c r="B624" s="9"/>
      <c r="C624" s="9"/>
      <c r="D624" s="9"/>
      <c r="E624" s="11" t="s">
        <v>10</v>
      </c>
    </row>
    <row r="625">
      <c r="A625" s="140"/>
      <c r="B625" s="9"/>
      <c r="C625" s="9"/>
      <c r="D625" s="9"/>
      <c r="E625" s="11" t="s">
        <v>10</v>
      </c>
    </row>
    <row r="626">
      <c r="A626" s="140"/>
      <c r="B626" s="9"/>
      <c r="C626" s="9"/>
      <c r="D626" s="9"/>
      <c r="E626" s="11" t="s">
        <v>10</v>
      </c>
    </row>
    <row r="627">
      <c r="A627" s="140"/>
      <c r="B627" s="9"/>
      <c r="C627" s="9"/>
      <c r="D627" s="9"/>
      <c r="E627" s="11" t="s">
        <v>10</v>
      </c>
    </row>
    <row r="628">
      <c r="A628" s="140"/>
      <c r="B628" s="9"/>
      <c r="C628" s="9"/>
      <c r="D628" s="9"/>
      <c r="E628" s="11" t="s">
        <v>10</v>
      </c>
    </row>
    <row r="629">
      <c r="A629" s="140"/>
      <c r="B629" s="9"/>
      <c r="C629" s="9"/>
      <c r="D629" s="9"/>
      <c r="E629" s="11" t="s">
        <v>10</v>
      </c>
    </row>
    <row r="630">
      <c r="A630" s="140"/>
      <c r="B630" s="9"/>
      <c r="C630" s="9"/>
      <c r="D630" s="9"/>
      <c r="E630" s="11" t="s">
        <v>10</v>
      </c>
    </row>
    <row r="631">
      <c r="A631" s="140"/>
      <c r="B631" s="9"/>
      <c r="C631" s="9"/>
      <c r="D631" s="9"/>
      <c r="E631" s="11" t="s">
        <v>10</v>
      </c>
    </row>
    <row r="632">
      <c r="A632" s="140"/>
      <c r="B632" s="9"/>
      <c r="C632" s="9"/>
      <c r="D632" s="9"/>
      <c r="E632" s="11" t="s">
        <v>10</v>
      </c>
    </row>
    <row r="633">
      <c r="A633" s="140"/>
      <c r="B633" s="9"/>
      <c r="C633" s="9"/>
      <c r="D633" s="9"/>
      <c r="E633" s="11" t="s">
        <v>10</v>
      </c>
    </row>
    <row r="634">
      <c r="A634" s="140"/>
      <c r="B634" s="9"/>
      <c r="C634" s="9"/>
      <c r="D634" s="9"/>
      <c r="E634" s="11" t="s">
        <v>10</v>
      </c>
    </row>
    <row r="635">
      <c r="A635" s="140"/>
      <c r="B635" s="9"/>
      <c r="C635" s="9"/>
      <c r="D635" s="9"/>
      <c r="E635" s="11" t="s">
        <v>10</v>
      </c>
    </row>
    <row r="636">
      <c r="A636" s="140"/>
      <c r="B636" s="9"/>
      <c r="C636" s="9"/>
      <c r="D636" s="9"/>
      <c r="E636" s="11" t="s">
        <v>10</v>
      </c>
    </row>
    <row r="637">
      <c r="A637" s="140"/>
      <c r="B637" s="9"/>
      <c r="C637" s="9"/>
      <c r="D637" s="9"/>
      <c r="E637" s="11" t="s">
        <v>10</v>
      </c>
    </row>
    <row r="638">
      <c r="A638" s="140"/>
      <c r="B638" s="9"/>
      <c r="C638" s="9"/>
      <c r="D638" s="9"/>
      <c r="E638" s="11" t="s">
        <v>10</v>
      </c>
    </row>
    <row r="639">
      <c r="A639" s="140"/>
      <c r="B639" s="9"/>
      <c r="C639" s="9"/>
      <c r="D639" s="9"/>
      <c r="E639" s="11" t="s">
        <v>10</v>
      </c>
    </row>
    <row r="640">
      <c r="A640" s="140"/>
      <c r="B640" s="9"/>
      <c r="C640" s="9"/>
      <c r="D640" s="9"/>
      <c r="E640" s="11" t="s">
        <v>10</v>
      </c>
    </row>
    <row r="641">
      <c r="A641" s="140"/>
      <c r="B641" s="9"/>
      <c r="C641" s="9"/>
      <c r="D641" s="9"/>
      <c r="E641" s="11" t="s">
        <v>10</v>
      </c>
    </row>
    <row r="642">
      <c r="A642" s="140"/>
      <c r="B642" s="9"/>
      <c r="C642" s="9"/>
      <c r="D642" s="9"/>
      <c r="E642" s="11" t="s">
        <v>10</v>
      </c>
    </row>
    <row r="643">
      <c r="A643" s="140"/>
      <c r="B643" s="9"/>
      <c r="C643" s="9"/>
      <c r="D643" s="9"/>
      <c r="E643" s="11" t="s">
        <v>10</v>
      </c>
    </row>
    <row r="644">
      <c r="A644" s="140"/>
      <c r="B644" s="9"/>
      <c r="C644" s="9"/>
      <c r="D644" s="9"/>
      <c r="E644" s="11" t="s">
        <v>10</v>
      </c>
    </row>
    <row r="645">
      <c r="A645" s="140"/>
      <c r="B645" s="9"/>
      <c r="C645" s="9"/>
      <c r="D645" s="9"/>
      <c r="E645" s="11" t="s">
        <v>10</v>
      </c>
    </row>
    <row r="646">
      <c r="A646" s="140"/>
      <c r="B646" s="9"/>
      <c r="C646" s="9"/>
      <c r="D646" s="9"/>
      <c r="E646" s="11" t="s">
        <v>10</v>
      </c>
    </row>
    <row r="647">
      <c r="A647" s="140"/>
      <c r="B647" s="9"/>
      <c r="C647" s="9"/>
      <c r="D647" s="9"/>
      <c r="E647" s="11" t="s">
        <v>10</v>
      </c>
    </row>
    <row r="648">
      <c r="A648" s="140"/>
      <c r="B648" s="9"/>
      <c r="C648" s="9"/>
      <c r="D648" s="9"/>
      <c r="E648" s="11" t="s">
        <v>10</v>
      </c>
    </row>
    <row r="649">
      <c r="A649" s="140"/>
      <c r="B649" s="9"/>
      <c r="C649" s="9"/>
      <c r="D649" s="9"/>
      <c r="E649" s="11" t="s">
        <v>10</v>
      </c>
    </row>
    <row r="650">
      <c r="A650" s="140"/>
      <c r="B650" s="9"/>
      <c r="C650" s="9"/>
      <c r="D650" s="9"/>
      <c r="E650" s="11" t="s">
        <v>10</v>
      </c>
    </row>
    <row r="651">
      <c r="A651" s="140"/>
      <c r="B651" s="9"/>
      <c r="C651" s="9"/>
      <c r="D651" s="9"/>
      <c r="E651" s="11" t="s">
        <v>10</v>
      </c>
    </row>
    <row r="652">
      <c r="A652" s="140"/>
      <c r="B652" s="9"/>
      <c r="C652" s="9"/>
      <c r="D652" s="9"/>
      <c r="E652" s="11" t="s">
        <v>10</v>
      </c>
    </row>
    <row r="653">
      <c r="A653" s="140"/>
      <c r="B653" s="9"/>
      <c r="C653" s="9"/>
      <c r="D653" s="9"/>
      <c r="E653" s="11" t="s">
        <v>10</v>
      </c>
    </row>
    <row r="654">
      <c r="A654" s="140"/>
      <c r="B654" s="9"/>
      <c r="C654" s="9"/>
      <c r="D654" s="9"/>
      <c r="E654" s="11" t="s">
        <v>10</v>
      </c>
    </row>
    <row r="655">
      <c r="A655" s="140"/>
      <c r="B655" s="9"/>
      <c r="C655" s="9"/>
      <c r="D655" s="9"/>
      <c r="E655" s="11" t="s">
        <v>10</v>
      </c>
    </row>
    <row r="656">
      <c r="A656" s="140"/>
      <c r="B656" s="9"/>
      <c r="C656" s="9"/>
      <c r="D656" s="9"/>
      <c r="E656" s="11" t="s">
        <v>10</v>
      </c>
    </row>
    <row r="657">
      <c r="A657" s="140"/>
      <c r="B657" s="9"/>
      <c r="C657" s="9"/>
      <c r="D657" s="9"/>
      <c r="E657" s="11" t="s">
        <v>10</v>
      </c>
    </row>
    <row r="658">
      <c r="A658" s="140"/>
      <c r="B658" s="9"/>
      <c r="C658" s="9"/>
      <c r="D658" s="9"/>
      <c r="E658" s="11" t="s">
        <v>10</v>
      </c>
    </row>
    <row r="659">
      <c r="A659" s="140"/>
      <c r="B659" s="9"/>
      <c r="C659" s="9"/>
      <c r="D659" s="9"/>
      <c r="E659" s="11" t="s">
        <v>10</v>
      </c>
    </row>
    <row r="660">
      <c r="A660" s="140"/>
      <c r="B660" s="9"/>
      <c r="C660" s="9"/>
      <c r="D660" s="9"/>
      <c r="E660" s="11" t="s">
        <v>10</v>
      </c>
    </row>
    <row r="661">
      <c r="A661" s="140"/>
      <c r="B661" s="9"/>
      <c r="C661" s="9"/>
      <c r="D661" s="9"/>
      <c r="E661" s="11" t="s">
        <v>10</v>
      </c>
    </row>
    <row r="662">
      <c r="A662" s="140"/>
      <c r="B662" s="9"/>
      <c r="C662" s="9"/>
      <c r="D662" s="9"/>
      <c r="E662" s="11" t="s">
        <v>10</v>
      </c>
    </row>
    <row r="663">
      <c r="A663" s="140"/>
      <c r="B663" s="9"/>
      <c r="C663" s="9"/>
      <c r="D663" s="9"/>
      <c r="E663" s="11" t="s">
        <v>10</v>
      </c>
    </row>
    <row r="664">
      <c r="A664" s="140"/>
      <c r="B664" s="9"/>
      <c r="C664" s="9"/>
      <c r="D664" s="9"/>
      <c r="E664" s="11" t="s">
        <v>10</v>
      </c>
    </row>
    <row r="665">
      <c r="A665" s="140"/>
      <c r="B665" s="9"/>
      <c r="C665" s="9"/>
      <c r="D665" s="9"/>
      <c r="E665" s="11" t="s">
        <v>10</v>
      </c>
    </row>
    <row r="666">
      <c r="A666" s="140"/>
      <c r="B666" s="9"/>
      <c r="C666" s="9"/>
      <c r="D666" s="9"/>
      <c r="E666" s="11" t="s">
        <v>10</v>
      </c>
    </row>
    <row r="667">
      <c r="A667" s="140"/>
      <c r="B667" s="9"/>
      <c r="C667" s="9"/>
      <c r="D667" s="9"/>
      <c r="E667" s="11" t="s">
        <v>10</v>
      </c>
    </row>
    <row r="668">
      <c r="A668" s="140"/>
      <c r="B668" s="9"/>
      <c r="C668" s="9"/>
      <c r="D668" s="9"/>
      <c r="E668" s="11" t="s">
        <v>10</v>
      </c>
    </row>
    <row r="669">
      <c r="A669" s="140"/>
      <c r="B669" s="9"/>
      <c r="C669" s="9"/>
      <c r="D669" s="9"/>
      <c r="E669" s="11" t="s">
        <v>10</v>
      </c>
    </row>
    <row r="670">
      <c r="A670" s="140"/>
      <c r="B670" s="9"/>
      <c r="C670" s="9"/>
      <c r="D670" s="9"/>
      <c r="E670" s="11" t="s">
        <v>10</v>
      </c>
    </row>
    <row r="671">
      <c r="A671" s="140"/>
      <c r="B671" s="9"/>
      <c r="C671" s="9"/>
      <c r="D671" s="9"/>
      <c r="E671" s="11" t="s">
        <v>10</v>
      </c>
    </row>
    <row r="672">
      <c r="A672" s="140"/>
      <c r="B672" s="9"/>
      <c r="C672" s="9"/>
      <c r="D672" s="9"/>
      <c r="E672" s="11" t="s">
        <v>10</v>
      </c>
    </row>
    <row r="673">
      <c r="A673" s="140"/>
      <c r="B673" s="9"/>
      <c r="C673" s="9"/>
      <c r="D673" s="9"/>
      <c r="E673" s="11" t="s">
        <v>10</v>
      </c>
    </row>
    <row r="674">
      <c r="A674" s="140"/>
      <c r="B674" s="9"/>
      <c r="C674" s="9"/>
      <c r="D674" s="9"/>
      <c r="E674" s="11" t="s">
        <v>10</v>
      </c>
    </row>
    <row r="675">
      <c r="A675" s="140"/>
      <c r="B675" s="9"/>
      <c r="C675" s="9"/>
      <c r="D675" s="9"/>
      <c r="E675" s="11" t="s">
        <v>10</v>
      </c>
    </row>
    <row r="676">
      <c r="A676" s="140"/>
      <c r="B676" s="9"/>
      <c r="C676" s="9"/>
      <c r="D676" s="9"/>
      <c r="E676" s="11" t="s">
        <v>10</v>
      </c>
    </row>
    <row r="677">
      <c r="A677" s="140"/>
      <c r="B677" s="9"/>
      <c r="C677" s="9"/>
      <c r="D677" s="9"/>
      <c r="E677" s="11" t="s">
        <v>10</v>
      </c>
    </row>
    <row r="678">
      <c r="A678" s="140"/>
      <c r="B678" s="9"/>
      <c r="C678" s="9"/>
      <c r="D678" s="9"/>
      <c r="E678" s="11" t="s">
        <v>10</v>
      </c>
    </row>
    <row r="679">
      <c r="A679" s="140"/>
      <c r="B679" s="9"/>
      <c r="C679" s="9"/>
      <c r="D679" s="9"/>
      <c r="E679" s="11" t="s">
        <v>10</v>
      </c>
    </row>
    <row r="680">
      <c r="A680" s="140"/>
      <c r="B680" s="9"/>
      <c r="C680" s="9"/>
      <c r="D680" s="9"/>
      <c r="E680" s="11" t="s">
        <v>10</v>
      </c>
    </row>
    <row r="681">
      <c r="A681" s="140"/>
      <c r="B681" s="9"/>
      <c r="C681" s="9"/>
      <c r="D681" s="9"/>
      <c r="E681" s="11" t="s">
        <v>10</v>
      </c>
    </row>
    <row r="682">
      <c r="A682" s="140"/>
      <c r="B682" s="9"/>
      <c r="C682" s="9"/>
      <c r="D682" s="9"/>
      <c r="E682" s="11" t="s">
        <v>10</v>
      </c>
    </row>
    <row r="683">
      <c r="A683" s="140"/>
      <c r="B683" s="9"/>
      <c r="C683" s="9"/>
      <c r="D683" s="9"/>
      <c r="E683" s="11" t="s">
        <v>10</v>
      </c>
    </row>
    <row r="684">
      <c r="A684" s="140"/>
      <c r="B684" s="9"/>
      <c r="C684" s="9"/>
      <c r="D684" s="9"/>
      <c r="E684" s="11" t="s">
        <v>10</v>
      </c>
    </row>
    <row r="685">
      <c r="A685" s="140"/>
      <c r="B685" s="9"/>
      <c r="C685" s="9"/>
      <c r="D685" s="9"/>
      <c r="E685" s="11" t="s">
        <v>10</v>
      </c>
    </row>
    <row r="686">
      <c r="A686" s="140"/>
      <c r="B686" s="9"/>
      <c r="C686" s="9"/>
      <c r="D686" s="9"/>
      <c r="E686" s="11" t="s">
        <v>10</v>
      </c>
    </row>
    <row r="687">
      <c r="A687" s="140"/>
      <c r="B687" s="9"/>
      <c r="C687" s="9"/>
      <c r="D687" s="9"/>
      <c r="E687" s="11" t="s">
        <v>10</v>
      </c>
    </row>
    <row r="688">
      <c r="A688" s="140"/>
      <c r="B688" s="9"/>
      <c r="C688" s="9"/>
      <c r="D688" s="9"/>
      <c r="E688" s="11" t="s">
        <v>10</v>
      </c>
    </row>
    <row r="689">
      <c r="A689" s="140"/>
      <c r="B689" s="9"/>
      <c r="C689" s="9"/>
      <c r="D689" s="9"/>
      <c r="E689" s="11" t="s">
        <v>10</v>
      </c>
    </row>
    <row r="690">
      <c r="A690" s="140"/>
      <c r="B690" s="9"/>
      <c r="C690" s="9"/>
      <c r="D690" s="9"/>
      <c r="E690" s="11" t="s">
        <v>10</v>
      </c>
    </row>
    <row r="691">
      <c r="A691" s="140"/>
      <c r="B691" s="9"/>
      <c r="C691" s="9"/>
      <c r="D691" s="9"/>
      <c r="E691" s="11" t="s">
        <v>10</v>
      </c>
    </row>
    <row r="692">
      <c r="A692" s="140"/>
      <c r="B692" s="9"/>
      <c r="C692" s="9"/>
      <c r="D692" s="9"/>
      <c r="E692" s="11" t="s">
        <v>10</v>
      </c>
    </row>
    <row r="693">
      <c r="A693" s="140"/>
      <c r="B693" s="9"/>
      <c r="C693" s="9"/>
      <c r="D693" s="9"/>
      <c r="E693" s="11" t="s">
        <v>10</v>
      </c>
    </row>
    <row r="694">
      <c r="A694" s="140"/>
      <c r="B694" s="9"/>
      <c r="C694" s="9"/>
      <c r="D694" s="9"/>
      <c r="E694" s="11" t="s">
        <v>10</v>
      </c>
    </row>
    <row r="695">
      <c r="A695" s="140"/>
      <c r="B695" s="9"/>
      <c r="C695" s="9"/>
      <c r="D695" s="9"/>
      <c r="E695" s="11" t="s">
        <v>10</v>
      </c>
    </row>
    <row r="696">
      <c r="A696" s="140"/>
      <c r="B696" s="9"/>
      <c r="C696" s="9"/>
      <c r="D696" s="9"/>
      <c r="E696" s="11" t="s">
        <v>10</v>
      </c>
    </row>
    <row r="697">
      <c r="A697" s="140"/>
      <c r="B697" s="9"/>
      <c r="C697" s="9"/>
      <c r="D697" s="9"/>
      <c r="E697" s="11" t="s">
        <v>10</v>
      </c>
    </row>
    <row r="698">
      <c r="A698" s="140"/>
      <c r="B698" s="9"/>
      <c r="C698" s="9"/>
      <c r="D698" s="9"/>
      <c r="E698" s="11" t="s">
        <v>10</v>
      </c>
    </row>
    <row r="699">
      <c r="A699" s="140"/>
      <c r="B699" s="9"/>
      <c r="C699" s="9"/>
      <c r="D699" s="9"/>
      <c r="E699" s="11" t="s">
        <v>10</v>
      </c>
    </row>
    <row r="700">
      <c r="A700" s="140"/>
      <c r="B700" s="9"/>
      <c r="C700" s="9"/>
      <c r="D700" s="9"/>
      <c r="E700" s="11" t="s">
        <v>10</v>
      </c>
    </row>
    <row r="701">
      <c r="A701" s="140"/>
      <c r="B701" s="9"/>
      <c r="C701" s="9"/>
      <c r="D701" s="9"/>
      <c r="E701" s="11" t="s">
        <v>10</v>
      </c>
    </row>
    <row r="702">
      <c r="A702" s="140"/>
      <c r="B702" s="9"/>
      <c r="C702" s="9"/>
      <c r="D702" s="9"/>
      <c r="E702" s="11" t="s">
        <v>10</v>
      </c>
    </row>
    <row r="703">
      <c r="A703" s="140"/>
      <c r="B703" s="9"/>
      <c r="C703" s="9"/>
      <c r="D703" s="9"/>
      <c r="E703" s="11" t="s">
        <v>10</v>
      </c>
    </row>
    <row r="704">
      <c r="A704" s="140"/>
      <c r="B704" s="9"/>
      <c r="C704" s="9"/>
      <c r="D704" s="9"/>
      <c r="E704" s="11" t="s">
        <v>10</v>
      </c>
    </row>
    <row r="705">
      <c r="A705" s="140"/>
      <c r="B705" s="9"/>
      <c r="C705" s="9"/>
      <c r="D705" s="9"/>
      <c r="E705" s="11" t="s">
        <v>10</v>
      </c>
    </row>
    <row r="706">
      <c r="A706" s="140"/>
      <c r="B706" s="9"/>
      <c r="C706" s="9"/>
      <c r="D706" s="9"/>
      <c r="E706" s="11" t="s">
        <v>10</v>
      </c>
    </row>
    <row r="707">
      <c r="A707" s="140"/>
      <c r="B707" s="9"/>
      <c r="C707" s="9"/>
      <c r="D707" s="9"/>
      <c r="E707" s="11" t="s">
        <v>10</v>
      </c>
    </row>
    <row r="708">
      <c r="A708" s="140"/>
      <c r="B708" s="9"/>
      <c r="C708" s="9"/>
      <c r="D708" s="9"/>
      <c r="E708" s="11" t="s">
        <v>10</v>
      </c>
    </row>
    <row r="709">
      <c r="A709" s="140"/>
      <c r="B709" s="9"/>
      <c r="C709" s="9"/>
      <c r="D709" s="9"/>
      <c r="E709" s="11" t="s">
        <v>10</v>
      </c>
    </row>
    <row r="710">
      <c r="A710" s="140"/>
      <c r="B710" s="9"/>
      <c r="C710" s="9"/>
      <c r="D710" s="9"/>
      <c r="E710" s="11" t="s">
        <v>10</v>
      </c>
    </row>
    <row r="711">
      <c r="A711" s="140"/>
      <c r="B711" s="9"/>
      <c r="C711" s="9"/>
      <c r="D711" s="9"/>
      <c r="E711" s="11" t="s">
        <v>10</v>
      </c>
    </row>
    <row r="712">
      <c r="A712" s="140"/>
      <c r="B712" s="9"/>
      <c r="C712" s="9"/>
      <c r="D712" s="9"/>
      <c r="E712" s="11" t="s">
        <v>10</v>
      </c>
    </row>
    <row r="713">
      <c r="A713" s="140"/>
      <c r="B713" s="9"/>
      <c r="C713" s="9"/>
      <c r="D713" s="9"/>
      <c r="E713" s="11" t="s">
        <v>10</v>
      </c>
    </row>
    <row r="714">
      <c r="A714" s="140"/>
      <c r="B714" s="9"/>
      <c r="C714" s="9"/>
      <c r="D714" s="9"/>
      <c r="E714" s="11" t="s">
        <v>10</v>
      </c>
    </row>
    <row r="715">
      <c r="A715" s="140"/>
      <c r="B715" s="9"/>
      <c r="C715" s="9"/>
      <c r="D715" s="9"/>
      <c r="E715" s="11" t="s">
        <v>10</v>
      </c>
    </row>
    <row r="716">
      <c r="A716" s="140"/>
      <c r="B716" s="9"/>
      <c r="C716" s="9"/>
      <c r="D716" s="9"/>
      <c r="E716" s="11" t="s">
        <v>10</v>
      </c>
    </row>
    <row r="717">
      <c r="A717" s="140"/>
      <c r="B717" s="9"/>
      <c r="C717" s="9"/>
      <c r="D717" s="9"/>
      <c r="E717" s="11" t="s">
        <v>10</v>
      </c>
    </row>
    <row r="718">
      <c r="A718" s="140"/>
      <c r="B718" s="9"/>
      <c r="C718" s="9"/>
      <c r="D718" s="9"/>
      <c r="E718" s="11" t="s">
        <v>10</v>
      </c>
    </row>
    <row r="719">
      <c r="A719" s="140"/>
      <c r="B719" s="9"/>
      <c r="C719" s="9"/>
      <c r="D719" s="9"/>
      <c r="E719" s="11" t="s">
        <v>10</v>
      </c>
    </row>
    <row r="720">
      <c r="A720" s="140"/>
      <c r="B720" s="9"/>
      <c r="C720" s="9"/>
      <c r="D720" s="9"/>
      <c r="E720" s="11" t="s">
        <v>10</v>
      </c>
    </row>
    <row r="721">
      <c r="A721" s="140"/>
      <c r="B721" s="9"/>
      <c r="C721" s="9"/>
      <c r="D721" s="9"/>
      <c r="E721" s="11" t="s">
        <v>10</v>
      </c>
    </row>
    <row r="722">
      <c r="A722" s="140"/>
      <c r="B722" s="9"/>
      <c r="C722" s="9"/>
      <c r="D722" s="9"/>
      <c r="E722" s="11" t="s">
        <v>10</v>
      </c>
    </row>
    <row r="723">
      <c r="A723" s="140"/>
      <c r="B723" s="9"/>
      <c r="C723" s="9"/>
      <c r="D723" s="9"/>
      <c r="E723" s="11" t="s">
        <v>10</v>
      </c>
    </row>
    <row r="724">
      <c r="A724" s="140"/>
      <c r="B724" s="9"/>
      <c r="C724" s="9"/>
      <c r="D724" s="9"/>
      <c r="E724" s="11" t="s">
        <v>10</v>
      </c>
    </row>
    <row r="725">
      <c r="A725" s="140"/>
      <c r="B725" s="9"/>
      <c r="C725" s="9"/>
      <c r="D725" s="9"/>
      <c r="E725" s="11" t="s">
        <v>10</v>
      </c>
    </row>
    <row r="726">
      <c r="A726" s="140"/>
      <c r="B726" s="9"/>
      <c r="C726" s="9"/>
      <c r="D726" s="9"/>
      <c r="E726" s="11" t="s">
        <v>10</v>
      </c>
    </row>
    <row r="727">
      <c r="A727" s="140"/>
      <c r="B727" s="9"/>
      <c r="C727" s="9"/>
      <c r="D727" s="9"/>
      <c r="E727" s="11" t="s">
        <v>10</v>
      </c>
    </row>
    <row r="728">
      <c r="A728" s="140"/>
      <c r="B728" s="9"/>
      <c r="C728" s="9"/>
      <c r="D728" s="9"/>
      <c r="E728" s="11" t="s">
        <v>10</v>
      </c>
    </row>
    <row r="729">
      <c r="A729" s="140"/>
      <c r="B729" s="9"/>
      <c r="C729" s="9"/>
      <c r="D729" s="9"/>
      <c r="E729" s="11" t="s">
        <v>10</v>
      </c>
    </row>
    <row r="730">
      <c r="A730" s="140"/>
      <c r="B730" s="9"/>
      <c r="C730" s="9"/>
      <c r="D730" s="9"/>
      <c r="E730" s="11" t="s">
        <v>10</v>
      </c>
    </row>
    <row r="731">
      <c r="A731" s="140"/>
      <c r="B731" s="9"/>
      <c r="C731" s="9"/>
      <c r="D731" s="9"/>
      <c r="E731" s="11" t="s">
        <v>10</v>
      </c>
    </row>
    <row r="732">
      <c r="A732" s="140"/>
      <c r="B732" s="9"/>
      <c r="C732" s="9"/>
      <c r="D732" s="9"/>
      <c r="E732" s="11" t="s">
        <v>10</v>
      </c>
    </row>
    <row r="733">
      <c r="A733" s="140"/>
      <c r="B733" s="9"/>
      <c r="C733" s="9"/>
      <c r="D733" s="9"/>
      <c r="E733" s="11" t="s">
        <v>10</v>
      </c>
    </row>
    <row r="734">
      <c r="A734" s="140"/>
      <c r="B734" s="9"/>
      <c r="C734" s="9"/>
      <c r="D734" s="9"/>
      <c r="E734" s="11" t="s">
        <v>10</v>
      </c>
    </row>
    <row r="735">
      <c r="A735" s="140"/>
      <c r="B735" s="9"/>
      <c r="C735" s="9"/>
      <c r="D735" s="9"/>
      <c r="E735" s="11" t="s">
        <v>10</v>
      </c>
    </row>
    <row r="736">
      <c r="A736" s="140"/>
      <c r="B736" s="9"/>
      <c r="C736" s="9"/>
      <c r="D736" s="9"/>
      <c r="E736" s="11" t="s">
        <v>10</v>
      </c>
    </row>
    <row r="737">
      <c r="A737" s="140"/>
      <c r="B737" s="9"/>
      <c r="C737" s="9"/>
      <c r="D737" s="9"/>
      <c r="E737" s="11" t="s">
        <v>10</v>
      </c>
    </row>
    <row r="738">
      <c r="A738" s="140"/>
      <c r="B738" s="9"/>
      <c r="C738" s="9"/>
      <c r="D738" s="9"/>
      <c r="E738" s="11" t="s">
        <v>10</v>
      </c>
    </row>
    <row r="739">
      <c r="A739" s="140"/>
      <c r="B739" s="9"/>
      <c r="C739" s="9"/>
      <c r="D739" s="9"/>
      <c r="E739" s="11" t="s">
        <v>10</v>
      </c>
    </row>
    <row r="740">
      <c r="A740" s="140"/>
      <c r="B740" s="9"/>
      <c r="C740" s="9"/>
      <c r="D740" s="9"/>
      <c r="E740" s="11" t="s">
        <v>10</v>
      </c>
    </row>
    <row r="741">
      <c r="A741" s="140"/>
      <c r="B741" s="9"/>
      <c r="C741" s="9"/>
      <c r="D741" s="9"/>
      <c r="E741" s="11" t="s">
        <v>10</v>
      </c>
    </row>
    <row r="742">
      <c r="A742" s="140"/>
      <c r="B742" s="9"/>
      <c r="C742" s="9"/>
      <c r="D742" s="9"/>
      <c r="E742" s="11" t="s">
        <v>10</v>
      </c>
    </row>
    <row r="743">
      <c r="A743" s="140"/>
      <c r="B743" s="9"/>
      <c r="C743" s="9"/>
      <c r="D743" s="9"/>
      <c r="E743" s="11" t="s">
        <v>10</v>
      </c>
    </row>
    <row r="744">
      <c r="A744" s="140"/>
      <c r="B744" s="9"/>
      <c r="C744" s="9"/>
      <c r="D744" s="9"/>
      <c r="E744" s="11" t="s">
        <v>10</v>
      </c>
    </row>
    <row r="745">
      <c r="A745" s="140"/>
      <c r="B745" s="9"/>
      <c r="C745" s="9"/>
      <c r="D745" s="9"/>
      <c r="E745" s="11" t="s">
        <v>10</v>
      </c>
    </row>
    <row r="746">
      <c r="A746" s="140"/>
      <c r="B746" s="9"/>
      <c r="C746" s="9"/>
      <c r="D746" s="9"/>
      <c r="E746" s="11" t="s">
        <v>10</v>
      </c>
    </row>
    <row r="747">
      <c r="A747" s="140"/>
      <c r="B747" s="9"/>
      <c r="C747" s="9"/>
      <c r="D747" s="9"/>
      <c r="E747" s="11" t="s">
        <v>10</v>
      </c>
    </row>
    <row r="748">
      <c r="A748" s="140"/>
      <c r="B748" s="9"/>
      <c r="C748" s="9"/>
      <c r="D748" s="9"/>
      <c r="E748" s="11" t="s">
        <v>10</v>
      </c>
    </row>
    <row r="749">
      <c r="A749" s="140"/>
      <c r="B749" s="9"/>
      <c r="C749" s="9"/>
      <c r="D749" s="9"/>
      <c r="E749" s="11" t="s">
        <v>10</v>
      </c>
    </row>
    <row r="750">
      <c r="A750" s="140"/>
      <c r="B750" s="9"/>
      <c r="C750" s="9"/>
      <c r="D750" s="9"/>
      <c r="E750" s="11" t="s">
        <v>10</v>
      </c>
    </row>
    <row r="751">
      <c r="A751" s="140"/>
      <c r="B751" s="9"/>
      <c r="C751" s="9"/>
      <c r="D751" s="9"/>
      <c r="E751" s="11" t="s">
        <v>10</v>
      </c>
    </row>
    <row r="752">
      <c r="A752" s="140"/>
      <c r="B752" s="9"/>
      <c r="C752" s="9"/>
      <c r="D752" s="9"/>
      <c r="E752" s="11" t="s">
        <v>10</v>
      </c>
    </row>
    <row r="753">
      <c r="A753" s="140"/>
      <c r="B753" s="9"/>
      <c r="C753" s="9"/>
      <c r="D753" s="9"/>
      <c r="E753" s="11" t="s">
        <v>10</v>
      </c>
    </row>
    <row r="754">
      <c r="A754" s="140"/>
      <c r="B754" s="9"/>
      <c r="C754" s="9"/>
      <c r="D754" s="9"/>
      <c r="E754" s="11" t="s">
        <v>10</v>
      </c>
    </row>
    <row r="755">
      <c r="A755" s="140"/>
      <c r="B755" s="9"/>
      <c r="C755" s="9"/>
      <c r="D755" s="9"/>
      <c r="E755" s="11" t="s">
        <v>10</v>
      </c>
    </row>
    <row r="756">
      <c r="A756" s="140"/>
      <c r="B756" s="9"/>
      <c r="C756" s="9"/>
      <c r="D756" s="9"/>
      <c r="E756" s="11" t="s">
        <v>10</v>
      </c>
    </row>
    <row r="757">
      <c r="A757" s="140"/>
      <c r="B757" s="9"/>
      <c r="C757" s="9"/>
      <c r="D757" s="9"/>
      <c r="E757" s="11" t="s">
        <v>10</v>
      </c>
    </row>
    <row r="758">
      <c r="A758" s="140"/>
      <c r="B758" s="9"/>
      <c r="C758" s="9"/>
      <c r="D758" s="9"/>
      <c r="E758" s="11" t="s">
        <v>10</v>
      </c>
    </row>
    <row r="759">
      <c r="A759" s="140"/>
      <c r="B759" s="9"/>
      <c r="C759" s="9"/>
      <c r="D759" s="9"/>
      <c r="E759" s="11" t="s">
        <v>10</v>
      </c>
    </row>
    <row r="760">
      <c r="A760" s="140"/>
      <c r="B760" s="9"/>
      <c r="C760" s="9"/>
      <c r="D760" s="9"/>
      <c r="E760" s="11" t="s">
        <v>10</v>
      </c>
    </row>
    <row r="761">
      <c r="A761" s="140"/>
      <c r="B761" s="9"/>
      <c r="C761" s="9"/>
      <c r="D761" s="9"/>
      <c r="E761" s="11" t="s">
        <v>10</v>
      </c>
    </row>
    <row r="762">
      <c r="A762" s="140"/>
      <c r="B762" s="9"/>
      <c r="C762" s="9"/>
      <c r="D762" s="9"/>
      <c r="E762" s="11" t="s">
        <v>10</v>
      </c>
    </row>
    <row r="763">
      <c r="A763" s="140"/>
      <c r="B763" s="9"/>
      <c r="C763" s="9"/>
      <c r="D763" s="9"/>
      <c r="E763" s="11" t="s">
        <v>10</v>
      </c>
    </row>
    <row r="764">
      <c r="A764" s="140"/>
      <c r="B764" s="9"/>
      <c r="C764" s="9"/>
      <c r="D764" s="9"/>
      <c r="E764" s="11" t="s">
        <v>10</v>
      </c>
    </row>
    <row r="765">
      <c r="A765" s="140"/>
      <c r="B765" s="9"/>
      <c r="C765" s="9"/>
      <c r="D765" s="9"/>
      <c r="E765" s="11" t="s">
        <v>10</v>
      </c>
    </row>
    <row r="766">
      <c r="A766" s="140"/>
      <c r="B766" s="9"/>
      <c r="C766" s="9"/>
      <c r="D766" s="9"/>
      <c r="E766" s="11" t="s">
        <v>10</v>
      </c>
    </row>
    <row r="767">
      <c r="A767" s="140"/>
      <c r="B767" s="9"/>
      <c r="C767" s="9"/>
      <c r="D767" s="9"/>
      <c r="E767" s="11" t="s">
        <v>10</v>
      </c>
    </row>
    <row r="768">
      <c r="A768" s="140"/>
      <c r="B768" s="9"/>
      <c r="C768" s="9"/>
      <c r="D768" s="9"/>
      <c r="E768" s="11" t="s">
        <v>10</v>
      </c>
    </row>
    <row r="769">
      <c r="A769" s="140"/>
      <c r="B769" s="9"/>
      <c r="C769" s="9"/>
      <c r="D769" s="9"/>
      <c r="E769" s="11" t="s">
        <v>10</v>
      </c>
    </row>
    <row r="770">
      <c r="A770" s="140"/>
      <c r="B770" s="9"/>
      <c r="C770" s="9"/>
      <c r="D770" s="9"/>
      <c r="E770" s="11" t="s">
        <v>10</v>
      </c>
    </row>
    <row r="771">
      <c r="A771" s="140"/>
      <c r="B771" s="9"/>
      <c r="C771" s="9"/>
      <c r="D771" s="9"/>
      <c r="E771" s="11" t="s">
        <v>10</v>
      </c>
    </row>
    <row r="772">
      <c r="A772" s="140"/>
      <c r="B772" s="9"/>
      <c r="C772" s="9"/>
      <c r="D772" s="9"/>
      <c r="E772" s="11" t="s">
        <v>10</v>
      </c>
    </row>
    <row r="773">
      <c r="A773" s="140"/>
      <c r="B773" s="9"/>
      <c r="C773" s="9"/>
      <c r="D773" s="9"/>
      <c r="E773" s="11" t="s">
        <v>10</v>
      </c>
    </row>
    <row r="774">
      <c r="A774" s="140"/>
      <c r="B774" s="9"/>
      <c r="C774" s="9"/>
      <c r="D774" s="9"/>
      <c r="E774" s="11" t="s">
        <v>10</v>
      </c>
    </row>
    <row r="775">
      <c r="A775" s="140"/>
      <c r="B775" s="9"/>
      <c r="C775" s="9"/>
      <c r="D775" s="9"/>
      <c r="E775" s="11" t="s">
        <v>10</v>
      </c>
    </row>
    <row r="776">
      <c r="A776" s="140"/>
      <c r="B776" s="9"/>
      <c r="C776" s="9"/>
      <c r="D776" s="9"/>
      <c r="E776" s="11" t="s">
        <v>10</v>
      </c>
    </row>
    <row r="777">
      <c r="A777" s="140"/>
      <c r="B777" s="9"/>
      <c r="C777" s="9"/>
      <c r="D777" s="9"/>
      <c r="E777" s="11" t="s">
        <v>10</v>
      </c>
    </row>
    <row r="778">
      <c r="A778" s="140"/>
      <c r="B778" s="9"/>
      <c r="C778" s="9"/>
      <c r="D778" s="9"/>
      <c r="E778" s="11" t="s">
        <v>10</v>
      </c>
    </row>
    <row r="779">
      <c r="A779" s="140"/>
      <c r="B779" s="9"/>
      <c r="C779" s="9"/>
      <c r="D779" s="9"/>
      <c r="E779" s="11" t="s">
        <v>10</v>
      </c>
    </row>
    <row r="780">
      <c r="A780" s="140"/>
      <c r="B780" s="9"/>
      <c r="C780" s="9"/>
      <c r="D780" s="9"/>
      <c r="E780" s="11" t="s">
        <v>10</v>
      </c>
    </row>
    <row r="781">
      <c r="A781" s="140"/>
      <c r="B781" s="9"/>
      <c r="C781" s="9"/>
      <c r="D781" s="9"/>
      <c r="E781" s="11" t="s">
        <v>10</v>
      </c>
    </row>
    <row r="782">
      <c r="A782" s="140"/>
      <c r="B782" s="9"/>
      <c r="C782" s="9"/>
      <c r="D782" s="9"/>
      <c r="E782" s="11" t="s">
        <v>10</v>
      </c>
    </row>
    <row r="783">
      <c r="A783" s="140"/>
      <c r="B783" s="9"/>
      <c r="C783" s="9"/>
      <c r="D783" s="9"/>
      <c r="E783" s="11" t="s">
        <v>10</v>
      </c>
    </row>
    <row r="784">
      <c r="A784" s="140"/>
      <c r="B784" s="9"/>
      <c r="C784" s="9"/>
      <c r="D784" s="9"/>
      <c r="E784" s="11" t="s">
        <v>10</v>
      </c>
    </row>
    <row r="785">
      <c r="A785" s="140"/>
      <c r="B785" s="9"/>
      <c r="C785" s="9"/>
      <c r="D785" s="9"/>
      <c r="E785" s="11" t="s">
        <v>10</v>
      </c>
    </row>
    <row r="786">
      <c r="A786" s="140"/>
      <c r="B786" s="9"/>
      <c r="C786" s="9"/>
      <c r="D786" s="9"/>
      <c r="E786" s="11" t="s">
        <v>10</v>
      </c>
    </row>
    <row r="787">
      <c r="A787" s="140"/>
      <c r="B787" s="9"/>
      <c r="C787" s="9"/>
      <c r="D787" s="9"/>
      <c r="E787" s="11" t="s">
        <v>10</v>
      </c>
    </row>
    <row r="788">
      <c r="A788" s="140"/>
      <c r="B788" s="9"/>
      <c r="C788" s="9"/>
      <c r="D788" s="9"/>
      <c r="E788" s="11" t="s">
        <v>10</v>
      </c>
    </row>
    <row r="789">
      <c r="A789" s="140"/>
      <c r="B789" s="9"/>
      <c r="C789" s="9"/>
      <c r="D789" s="9"/>
      <c r="E789" s="11" t="s">
        <v>10</v>
      </c>
    </row>
    <row r="790">
      <c r="A790" s="140"/>
      <c r="B790" s="9"/>
      <c r="C790" s="9"/>
      <c r="D790" s="9"/>
      <c r="E790" s="11" t="s">
        <v>10</v>
      </c>
    </row>
    <row r="791">
      <c r="A791" s="140"/>
      <c r="B791" s="9"/>
      <c r="C791" s="9"/>
      <c r="D791" s="9"/>
      <c r="E791" s="11" t="s">
        <v>10</v>
      </c>
    </row>
    <row r="792">
      <c r="A792" s="140"/>
      <c r="B792" s="9"/>
      <c r="C792" s="9"/>
      <c r="D792" s="9"/>
      <c r="E792" s="11" t="s">
        <v>10</v>
      </c>
    </row>
    <row r="793">
      <c r="A793" s="140"/>
      <c r="B793" s="9"/>
      <c r="C793" s="9"/>
      <c r="D793" s="9"/>
      <c r="E793" s="11" t="s">
        <v>10</v>
      </c>
    </row>
    <row r="794">
      <c r="A794" s="140"/>
      <c r="B794" s="9"/>
      <c r="C794" s="9"/>
      <c r="D794" s="9"/>
      <c r="E794" s="11" t="s">
        <v>10</v>
      </c>
    </row>
    <row r="795">
      <c r="A795" s="140"/>
      <c r="B795" s="9"/>
      <c r="C795" s="9"/>
      <c r="D795" s="9"/>
      <c r="E795" s="11" t="s">
        <v>10</v>
      </c>
    </row>
    <row r="796">
      <c r="A796" s="140"/>
      <c r="B796" s="9"/>
      <c r="C796" s="9"/>
      <c r="D796" s="9"/>
      <c r="E796" s="11" t="s">
        <v>10</v>
      </c>
    </row>
    <row r="797">
      <c r="A797" s="140"/>
      <c r="B797" s="9"/>
      <c r="C797" s="9"/>
      <c r="D797" s="9"/>
      <c r="E797" s="11" t="s">
        <v>10</v>
      </c>
    </row>
    <row r="798">
      <c r="A798" s="140"/>
      <c r="B798" s="9"/>
      <c r="C798" s="9"/>
      <c r="D798" s="9"/>
      <c r="E798" s="11" t="s">
        <v>10</v>
      </c>
    </row>
    <row r="799">
      <c r="A799" s="140"/>
      <c r="B799" s="9"/>
      <c r="C799" s="9"/>
      <c r="D799" s="9"/>
      <c r="E799" s="11" t="s">
        <v>10</v>
      </c>
    </row>
    <row r="800">
      <c r="A800" s="140"/>
      <c r="B800" s="9"/>
      <c r="C800" s="9"/>
      <c r="D800" s="9"/>
      <c r="E800" s="11" t="s">
        <v>10</v>
      </c>
    </row>
    <row r="801">
      <c r="A801" s="140"/>
      <c r="B801" s="9"/>
      <c r="C801" s="9"/>
      <c r="D801" s="9"/>
      <c r="E801" s="11" t="s">
        <v>10</v>
      </c>
    </row>
    <row r="802">
      <c r="A802" s="140"/>
      <c r="B802" s="9"/>
      <c r="C802" s="9"/>
      <c r="D802" s="9"/>
      <c r="E802" s="11" t="s">
        <v>10</v>
      </c>
    </row>
    <row r="803">
      <c r="A803" s="140"/>
      <c r="B803" s="9"/>
      <c r="C803" s="9"/>
      <c r="D803" s="9"/>
      <c r="E803" s="11" t="s">
        <v>10</v>
      </c>
    </row>
    <row r="804">
      <c r="A804" s="140"/>
      <c r="B804" s="9"/>
      <c r="C804" s="9"/>
      <c r="D804" s="9"/>
      <c r="E804" s="11" t="s">
        <v>10</v>
      </c>
    </row>
    <row r="805">
      <c r="A805" s="140"/>
      <c r="B805" s="9"/>
      <c r="C805" s="9"/>
      <c r="D805" s="9"/>
      <c r="E805" s="11" t="s">
        <v>10</v>
      </c>
    </row>
    <row r="806">
      <c r="A806" s="140"/>
      <c r="B806" s="9"/>
      <c r="C806" s="9"/>
      <c r="D806" s="9"/>
      <c r="E806" s="11" t="s">
        <v>10</v>
      </c>
    </row>
    <row r="807">
      <c r="A807" s="140"/>
      <c r="B807" s="9"/>
      <c r="C807" s="9"/>
      <c r="D807" s="9"/>
      <c r="E807" s="11" t="s">
        <v>10</v>
      </c>
    </row>
    <row r="808">
      <c r="A808" s="140"/>
      <c r="B808" s="9"/>
      <c r="C808" s="9"/>
      <c r="D808" s="9"/>
      <c r="E808" s="11" t="s">
        <v>10</v>
      </c>
    </row>
    <row r="809">
      <c r="A809" s="140"/>
      <c r="B809" s="9"/>
      <c r="C809" s="9"/>
      <c r="D809" s="9"/>
      <c r="E809" s="11" t="s">
        <v>10</v>
      </c>
    </row>
    <row r="810">
      <c r="A810" s="140"/>
      <c r="B810" s="9"/>
      <c r="C810" s="9"/>
      <c r="D810" s="9"/>
      <c r="E810" s="11" t="s">
        <v>10</v>
      </c>
    </row>
    <row r="811">
      <c r="A811" s="140"/>
      <c r="B811" s="9"/>
      <c r="C811" s="9"/>
      <c r="D811" s="9"/>
      <c r="E811" s="11" t="s">
        <v>10</v>
      </c>
    </row>
    <row r="812">
      <c r="A812" s="140"/>
      <c r="B812" s="9"/>
      <c r="C812" s="9"/>
      <c r="D812" s="9"/>
      <c r="E812" s="11" t="s">
        <v>10</v>
      </c>
    </row>
    <row r="813">
      <c r="A813" s="140"/>
      <c r="B813" s="9"/>
      <c r="C813" s="9"/>
      <c r="D813" s="9"/>
      <c r="E813" s="11" t="s">
        <v>10</v>
      </c>
    </row>
    <row r="814">
      <c r="A814" s="140"/>
      <c r="B814" s="9"/>
      <c r="C814" s="9"/>
      <c r="D814" s="9"/>
      <c r="E814" s="11" t="s">
        <v>10</v>
      </c>
    </row>
    <row r="815">
      <c r="A815" s="140"/>
      <c r="B815" s="9"/>
      <c r="C815" s="9"/>
      <c r="D815" s="9"/>
      <c r="E815" s="11" t="s">
        <v>10</v>
      </c>
    </row>
    <row r="816">
      <c r="A816" s="140"/>
      <c r="B816" s="9"/>
      <c r="C816" s="9"/>
      <c r="D816" s="9"/>
      <c r="E816" s="11" t="s">
        <v>10</v>
      </c>
    </row>
    <row r="817">
      <c r="A817" s="140"/>
      <c r="B817" s="9"/>
      <c r="C817" s="9"/>
      <c r="D817" s="9"/>
      <c r="E817" s="11" t="s">
        <v>10</v>
      </c>
    </row>
    <row r="818">
      <c r="A818" s="140"/>
      <c r="B818" s="9"/>
      <c r="C818" s="9"/>
      <c r="D818" s="9"/>
      <c r="E818" s="11" t="s">
        <v>10</v>
      </c>
    </row>
    <row r="819">
      <c r="A819" s="140"/>
      <c r="B819" s="9"/>
      <c r="C819" s="9"/>
      <c r="D819" s="9"/>
      <c r="E819" s="11" t="s">
        <v>10</v>
      </c>
    </row>
    <row r="820">
      <c r="A820" s="140"/>
      <c r="B820" s="9"/>
      <c r="C820" s="9"/>
      <c r="D820" s="9"/>
      <c r="E820" s="11" t="s">
        <v>10</v>
      </c>
    </row>
    <row r="821">
      <c r="A821" s="140"/>
      <c r="B821" s="9"/>
      <c r="C821" s="9"/>
      <c r="D821" s="9"/>
      <c r="E821" s="11" t="s">
        <v>10</v>
      </c>
    </row>
    <row r="822">
      <c r="A822" s="140"/>
      <c r="B822" s="9"/>
      <c r="C822" s="9"/>
      <c r="D822" s="9"/>
      <c r="E822" s="11" t="s">
        <v>10</v>
      </c>
    </row>
    <row r="823">
      <c r="A823" s="140"/>
      <c r="B823" s="9"/>
      <c r="C823" s="9"/>
      <c r="D823" s="9"/>
      <c r="E823" s="11" t="s">
        <v>10</v>
      </c>
    </row>
    <row r="824">
      <c r="A824" s="140"/>
      <c r="B824" s="9"/>
      <c r="C824" s="9"/>
      <c r="D824" s="9"/>
      <c r="E824" s="11" t="s">
        <v>10</v>
      </c>
    </row>
    <row r="825">
      <c r="A825" s="140"/>
      <c r="B825" s="9"/>
      <c r="C825" s="9"/>
      <c r="D825" s="9"/>
      <c r="E825" s="11" t="s">
        <v>10</v>
      </c>
    </row>
    <row r="826">
      <c r="A826" s="140"/>
      <c r="B826" s="9"/>
      <c r="C826" s="9"/>
      <c r="D826" s="9"/>
      <c r="E826" s="11" t="s">
        <v>10</v>
      </c>
    </row>
    <row r="827">
      <c r="A827" s="140"/>
      <c r="B827" s="9"/>
      <c r="C827" s="9"/>
      <c r="D827" s="9"/>
      <c r="E827" s="11" t="s">
        <v>10</v>
      </c>
    </row>
    <row r="828">
      <c r="A828" s="140"/>
      <c r="B828" s="9"/>
      <c r="C828" s="9"/>
      <c r="D828" s="9"/>
      <c r="E828" s="11" t="s">
        <v>10</v>
      </c>
    </row>
    <row r="829">
      <c r="A829" s="140"/>
      <c r="B829" s="9"/>
      <c r="C829" s="9"/>
      <c r="D829" s="9"/>
      <c r="E829" s="11" t="s">
        <v>10</v>
      </c>
    </row>
    <row r="830">
      <c r="A830" s="140"/>
      <c r="B830" s="9"/>
      <c r="C830" s="9"/>
      <c r="D830" s="9"/>
      <c r="E830" s="11" t="s">
        <v>10</v>
      </c>
    </row>
    <row r="831">
      <c r="A831" s="140"/>
      <c r="B831" s="9"/>
      <c r="C831" s="9"/>
      <c r="D831" s="9"/>
      <c r="E831" s="11" t="s">
        <v>10</v>
      </c>
    </row>
    <row r="832">
      <c r="A832" s="140"/>
      <c r="B832" s="9"/>
      <c r="C832" s="9"/>
      <c r="D832" s="9"/>
      <c r="E832" s="11" t="s">
        <v>10</v>
      </c>
    </row>
    <row r="833">
      <c r="A833" s="140"/>
      <c r="B833" s="9"/>
      <c r="C833" s="9"/>
      <c r="D833" s="9"/>
      <c r="E833" s="11" t="s">
        <v>10</v>
      </c>
    </row>
    <row r="834">
      <c r="A834" s="140"/>
      <c r="B834" s="9"/>
      <c r="C834" s="9"/>
      <c r="D834" s="9"/>
      <c r="E834" s="11" t="s">
        <v>10</v>
      </c>
    </row>
    <row r="835">
      <c r="A835" s="140"/>
      <c r="B835" s="9"/>
      <c r="C835" s="9"/>
      <c r="D835" s="9"/>
      <c r="E835" s="11" t="s">
        <v>10</v>
      </c>
    </row>
    <row r="836">
      <c r="A836" s="140"/>
      <c r="B836" s="9"/>
      <c r="C836" s="9"/>
      <c r="D836" s="9"/>
      <c r="E836" s="11" t="s">
        <v>10</v>
      </c>
    </row>
    <row r="837">
      <c r="A837" s="140"/>
      <c r="B837" s="9"/>
      <c r="C837" s="9"/>
      <c r="D837" s="9"/>
      <c r="E837" s="11" t="s">
        <v>10</v>
      </c>
    </row>
    <row r="838">
      <c r="A838" s="140"/>
      <c r="B838" s="9"/>
      <c r="C838" s="9"/>
      <c r="D838" s="9"/>
      <c r="E838" s="11" t="s">
        <v>10</v>
      </c>
    </row>
    <row r="839">
      <c r="A839" s="140"/>
      <c r="B839" s="9"/>
      <c r="C839" s="9"/>
      <c r="D839" s="9"/>
      <c r="E839" s="11" t="s">
        <v>10</v>
      </c>
    </row>
    <row r="840">
      <c r="A840" s="140"/>
      <c r="B840" s="9"/>
      <c r="C840" s="9"/>
      <c r="D840" s="9"/>
      <c r="E840" s="11" t="s">
        <v>10</v>
      </c>
    </row>
    <row r="841">
      <c r="A841" s="140"/>
      <c r="B841" s="9"/>
      <c r="C841" s="9"/>
      <c r="D841" s="9"/>
      <c r="E841" s="11" t="s">
        <v>10</v>
      </c>
    </row>
    <row r="842">
      <c r="A842" s="140"/>
      <c r="B842" s="9"/>
      <c r="C842" s="9"/>
      <c r="D842" s="9"/>
      <c r="E842" s="11" t="s">
        <v>10</v>
      </c>
    </row>
    <row r="843">
      <c r="A843" s="140"/>
      <c r="B843" s="9"/>
      <c r="C843" s="9"/>
      <c r="D843" s="9"/>
      <c r="E843" s="11" t="s">
        <v>10</v>
      </c>
    </row>
    <row r="844">
      <c r="A844" s="140"/>
      <c r="B844" s="9"/>
      <c r="C844" s="9"/>
      <c r="D844" s="9"/>
      <c r="E844" s="11" t="s">
        <v>10</v>
      </c>
    </row>
    <row r="845">
      <c r="A845" s="140"/>
      <c r="B845" s="9"/>
      <c r="C845" s="9"/>
      <c r="D845" s="9"/>
      <c r="E845" s="11" t="s">
        <v>10</v>
      </c>
    </row>
    <row r="846">
      <c r="A846" s="140"/>
      <c r="B846" s="9"/>
      <c r="C846" s="9"/>
      <c r="D846" s="9"/>
      <c r="E846" s="11" t="s">
        <v>10</v>
      </c>
    </row>
    <row r="847">
      <c r="A847" s="140"/>
      <c r="B847" s="9"/>
      <c r="C847" s="9"/>
      <c r="D847" s="9"/>
      <c r="E847" s="11" t="s">
        <v>10</v>
      </c>
    </row>
    <row r="848">
      <c r="A848" s="140"/>
      <c r="B848" s="9"/>
      <c r="C848" s="9"/>
      <c r="D848" s="9"/>
      <c r="E848" s="11" t="s">
        <v>10</v>
      </c>
    </row>
    <row r="849">
      <c r="A849" s="140"/>
      <c r="B849" s="9"/>
      <c r="C849" s="9"/>
      <c r="D849" s="9"/>
      <c r="E849" s="11" t="s">
        <v>10</v>
      </c>
    </row>
    <row r="850">
      <c r="A850" s="140"/>
      <c r="B850" s="9"/>
      <c r="C850" s="9"/>
      <c r="D850" s="9"/>
      <c r="E850" s="11" t="s">
        <v>10</v>
      </c>
    </row>
    <row r="851">
      <c r="A851" s="140"/>
      <c r="B851" s="9"/>
      <c r="C851" s="9"/>
      <c r="D851" s="9"/>
      <c r="E851" s="11" t="s">
        <v>10</v>
      </c>
    </row>
    <row r="852">
      <c r="A852" s="140"/>
      <c r="B852" s="9"/>
      <c r="C852" s="9"/>
      <c r="D852" s="9"/>
      <c r="E852" s="11" t="s">
        <v>10</v>
      </c>
    </row>
    <row r="853">
      <c r="A853" s="140"/>
      <c r="B853" s="9"/>
      <c r="C853" s="9"/>
      <c r="D853" s="9"/>
      <c r="E853" s="11" t="s">
        <v>10</v>
      </c>
    </row>
    <row r="854">
      <c r="A854" s="140"/>
      <c r="B854" s="9"/>
      <c r="C854" s="9"/>
      <c r="D854" s="9"/>
      <c r="E854" s="11" t="s">
        <v>10</v>
      </c>
    </row>
    <row r="855">
      <c r="A855" s="140"/>
      <c r="B855" s="9"/>
      <c r="C855" s="9"/>
      <c r="D855" s="9"/>
      <c r="E855" s="11" t="s">
        <v>10</v>
      </c>
    </row>
    <row r="856">
      <c r="A856" s="140"/>
      <c r="B856" s="9"/>
      <c r="C856" s="9"/>
      <c r="D856" s="9"/>
      <c r="E856" s="11" t="s">
        <v>10</v>
      </c>
    </row>
    <row r="857">
      <c r="A857" s="140"/>
      <c r="B857" s="9"/>
      <c r="C857" s="9"/>
      <c r="D857" s="9"/>
      <c r="E857" s="11" t="s">
        <v>10</v>
      </c>
    </row>
    <row r="858">
      <c r="A858" s="140"/>
      <c r="B858" s="9"/>
      <c r="C858" s="9"/>
      <c r="D858" s="9"/>
      <c r="E858" s="11" t="s">
        <v>10</v>
      </c>
    </row>
    <row r="859">
      <c r="A859" s="140"/>
      <c r="B859" s="9"/>
      <c r="C859" s="9"/>
      <c r="D859" s="9"/>
      <c r="E859" s="11" t="s">
        <v>10</v>
      </c>
    </row>
    <row r="860">
      <c r="A860" s="140"/>
      <c r="B860" s="9"/>
      <c r="C860" s="9"/>
      <c r="D860" s="9"/>
      <c r="E860" s="11" t="s">
        <v>10</v>
      </c>
    </row>
    <row r="861">
      <c r="A861" s="140"/>
      <c r="B861" s="9"/>
      <c r="C861" s="9"/>
      <c r="D861" s="9"/>
      <c r="E861" s="11" t="s">
        <v>10</v>
      </c>
    </row>
    <row r="862">
      <c r="A862" s="140"/>
      <c r="B862" s="9"/>
      <c r="C862" s="9"/>
      <c r="D862" s="9"/>
      <c r="E862" s="11" t="s">
        <v>10</v>
      </c>
    </row>
    <row r="863">
      <c r="A863" s="140"/>
      <c r="B863" s="9"/>
      <c r="C863" s="9"/>
      <c r="D863" s="9"/>
      <c r="E863" s="11" t="s">
        <v>10</v>
      </c>
    </row>
    <row r="864">
      <c r="A864" s="140"/>
      <c r="B864" s="9"/>
      <c r="C864" s="9"/>
      <c r="D864" s="9"/>
      <c r="E864" s="11" t="s">
        <v>10</v>
      </c>
    </row>
    <row r="865">
      <c r="A865" s="140"/>
      <c r="B865" s="9"/>
      <c r="C865" s="9"/>
      <c r="D865" s="9"/>
      <c r="E865" s="11" t="s">
        <v>10</v>
      </c>
    </row>
    <row r="866">
      <c r="A866" s="140"/>
      <c r="B866" s="9"/>
      <c r="C866" s="9"/>
      <c r="D866" s="9"/>
      <c r="E866" s="11" t="s">
        <v>10</v>
      </c>
    </row>
    <row r="867">
      <c r="A867" s="140"/>
      <c r="B867" s="9"/>
      <c r="C867" s="9"/>
      <c r="D867" s="9"/>
      <c r="E867" s="11" t="s">
        <v>10</v>
      </c>
    </row>
    <row r="868">
      <c r="A868" s="140"/>
      <c r="B868" s="9"/>
      <c r="C868" s="9"/>
      <c r="D868" s="9"/>
      <c r="E868" s="11" t="s">
        <v>10</v>
      </c>
    </row>
    <row r="869">
      <c r="A869" s="140"/>
      <c r="B869" s="9"/>
      <c r="C869" s="9"/>
      <c r="D869" s="9"/>
      <c r="E869" s="11" t="s">
        <v>10</v>
      </c>
    </row>
    <row r="870">
      <c r="A870" s="140"/>
      <c r="B870" s="9"/>
      <c r="C870" s="9"/>
      <c r="D870" s="9"/>
      <c r="E870" s="11" t="s">
        <v>10</v>
      </c>
    </row>
    <row r="871">
      <c r="A871" s="140"/>
      <c r="B871" s="9"/>
      <c r="C871" s="9"/>
      <c r="D871" s="9"/>
      <c r="E871" s="11" t="s">
        <v>10</v>
      </c>
    </row>
    <row r="872">
      <c r="A872" s="140"/>
      <c r="B872" s="9"/>
      <c r="C872" s="9"/>
      <c r="D872" s="9"/>
      <c r="E872" s="11" t="s">
        <v>10</v>
      </c>
    </row>
    <row r="873">
      <c r="A873" s="140"/>
      <c r="B873" s="9"/>
      <c r="C873" s="9"/>
      <c r="D873" s="9"/>
      <c r="E873" s="11" t="s">
        <v>10</v>
      </c>
    </row>
    <row r="874">
      <c r="A874" s="140"/>
      <c r="B874" s="9"/>
      <c r="C874" s="9"/>
      <c r="D874" s="9"/>
      <c r="E874" s="11" t="s">
        <v>10</v>
      </c>
    </row>
    <row r="875">
      <c r="A875" s="140"/>
      <c r="B875" s="9"/>
      <c r="C875" s="9"/>
      <c r="D875" s="9"/>
      <c r="E875" s="11" t="s">
        <v>10</v>
      </c>
    </row>
    <row r="876">
      <c r="A876" s="140"/>
      <c r="B876" s="9"/>
      <c r="C876" s="9"/>
      <c r="D876" s="9"/>
      <c r="E876" s="11" t="s">
        <v>10</v>
      </c>
    </row>
    <row r="877">
      <c r="A877" s="140"/>
      <c r="B877" s="9"/>
      <c r="C877" s="9"/>
      <c r="D877" s="9"/>
      <c r="E877" s="11" t="s">
        <v>10</v>
      </c>
    </row>
    <row r="878">
      <c r="A878" s="140"/>
      <c r="B878" s="9"/>
      <c r="C878" s="9"/>
      <c r="D878" s="9"/>
      <c r="E878" s="11" t="s">
        <v>10</v>
      </c>
    </row>
    <row r="879">
      <c r="A879" s="140"/>
      <c r="B879" s="9"/>
      <c r="C879" s="9"/>
      <c r="D879" s="9"/>
      <c r="E879" s="11" t="s">
        <v>10</v>
      </c>
    </row>
    <row r="880">
      <c r="A880" s="140"/>
      <c r="B880" s="9"/>
      <c r="C880" s="9"/>
      <c r="D880" s="9"/>
      <c r="E880" s="11" t="s">
        <v>10</v>
      </c>
    </row>
    <row r="881">
      <c r="A881" s="140"/>
      <c r="B881" s="9"/>
      <c r="C881" s="9"/>
      <c r="D881" s="9"/>
      <c r="E881" s="11" t="s">
        <v>10</v>
      </c>
    </row>
    <row r="882">
      <c r="A882" s="140"/>
      <c r="B882" s="9"/>
      <c r="C882" s="9"/>
      <c r="D882" s="9"/>
      <c r="E882" s="11" t="s">
        <v>10</v>
      </c>
    </row>
    <row r="883">
      <c r="A883" s="140"/>
      <c r="B883" s="9"/>
      <c r="C883" s="9"/>
      <c r="D883" s="9"/>
      <c r="E883" s="11" t="s">
        <v>10</v>
      </c>
    </row>
    <row r="884">
      <c r="A884" s="140"/>
      <c r="B884" s="9"/>
      <c r="C884" s="9"/>
      <c r="D884" s="9"/>
      <c r="E884" s="11" t="s">
        <v>10</v>
      </c>
    </row>
    <row r="885">
      <c r="A885" s="140"/>
      <c r="B885" s="9"/>
      <c r="C885" s="9"/>
      <c r="D885" s="9"/>
      <c r="E885" s="11" t="s">
        <v>10</v>
      </c>
    </row>
    <row r="886">
      <c r="A886" s="140"/>
      <c r="B886" s="9"/>
      <c r="C886" s="9"/>
      <c r="D886" s="9"/>
      <c r="E886" s="11" t="s">
        <v>10</v>
      </c>
    </row>
    <row r="887">
      <c r="A887" s="140"/>
      <c r="B887" s="9"/>
      <c r="C887" s="9"/>
      <c r="D887" s="9"/>
      <c r="E887" s="11" t="s">
        <v>10</v>
      </c>
    </row>
    <row r="888">
      <c r="A888" s="140"/>
      <c r="B888" s="9"/>
      <c r="C888" s="9"/>
      <c r="D888" s="9"/>
      <c r="E888" s="11" t="s">
        <v>10</v>
      </c>
    </row>
    <row r="889">
      <c r="A889" s="140"/>
      <c r="B889" s="9"/>
      <c r="C889" s="9"/>
      <c r="D889" s="9"/>
      <c r="E889" s="11" t="s">
        <v>10</v>
      </c>
    </row>
    <row r="890">
      <c r="A890" s="140"/>
      <c r="B890" s="9"/>
      <c r="C890" s="9"/>
      <c r="D890" s="9"/>
      <c r="E890" s="11" t="s">
        <v>10</v>
      </c>
    </row>
    <row r="891">
      <c r="A891" s="140"/>
      <c r="B891" s="9"/>
      <c r="C891" s="9"/>
      <c r="D891" s="9"/>
      <c r="E891" s="11" t="s">
        <v>10</v>
      </c>
    </row>
    <row r="892">
      <c r="A892" s="140"/>
      <c r="B892" s="9"/>
      <c r="C892" s="9"/>
      <c r="D892" s="9"/>
      <c r="E892" s="11" t="s">
        <v>10</v>
      </c>
    </row>
    <row r="893">
      <c r="A893" s="140"/>
      <c r="B893" s="9"/>
      <c r="C893" s="9"/>
      <c r="D893" s="9"/>
      <c r="E893" s="11" t="s">
        <v>10</v>
      </c>
    </row>
    <row r="894">
      <c r="A894" s="140"/>
      <c r="B894" s="9"/>
      <c r="C894" s="9"/>
      <c r="D894" s="9"/>
      <c r="E894" s="11" t="s">
        <v>10</v>
      </c>
    </row>
    <row r="895">
      <c r="A895" s="140"/>
      <c r="B895" s="9"/>
      <c r="C895" s="9"/>
      <c r="D895" s="9"/>
      <c r="E895" s="11" t="s">
        <v>10</v>
      </c>
    </row>
    <row r="896">
      <c r="A896" s="140"/>
      <c r="B896" s="9"/>
      <c r="C896" s="9"/>
      <c r="D896" s="9"/>
      <c r="E896" s="11" t="s">
        <v>10</v>
      </c>
    </row>
    <row r="897">
      <c r="A897" s="140"/>
      <c r="B897" s="9"/>
      <c r="C897" s="9"/>
      <c r="D897" s="9"/>
      <c r="E897" s="11" t="s">
        <v>10</v>
      </c>
    </row>
    <row r="898">
      <c r="A898" s="140"/>
      <c r="B898" s="9"/>
      <c r="C898" s="9"/>
      <c r="D898" s="9"/>
      <c r="E898" s="11" t="s">
        <v>10</v>
      </c>
    </row>
    <row r="899">
      <c r="A899" s="140"/>
      <c r="B899" s="9"/>
      <c r="C899" s="9"/>
      <c r="D899" s="9"/>
      <c r="E899" s="11" t="s">
        <v>10</v>
      </c>
    </row>
    <row r="900">
      <c r="A900" s="140"/>
      <c r="B900" s="9"/>
      <c r="C900" s="9"/>
      <c r="D900" s="9"/>
      <c r="E900" s="11" t="s">
        <v>10</v>
      </c>
    </row>
    <row r="901">
      <c r="A901" s="140"/>
      <c r="B901" s="9"/>
      <c r="C901" s="9"/>
      <c r="D901" s="9"/>
      <c r="E901" s="11" t="s">
        <v>10</v>
      </c>
    </row>
    <row r="902">
      <c r="A902" s="140"/>
      <c r="B902" s="9"/>
      <c r="C902" s="9"/>
      <c r="D902" s="9"/>
      <c r="E902" s="11" t="s">
        <v>10</v>
      </c>
    </row>
    <row r="903">
      <c r="A903" s="140"/>
      <c r="B903" s="9"/>
      <c r="C903" s="9"/>
      <c r="D903" s="9"/>
      <c r="E903" s="11" t="s">
        <v>10</v>
      </c>
    </row>
    <row r="904">
      <c r="A904" s="140"/>
      <c r="B904" s="9"/>
      <c r="C904" s="9"/>
      <c r="D904" s="9"/>
      <c r="E904" s="11" t="s">
        <v>10</v>
      </c>
    </row>
    <row r="905">
      <c r="A905" s="140"/>
      <c r="B905" s="9"/>
      <c r="C905" s="9"/>
      <c r="D905" s="9"/>
      <c r="E905" s="11" t="s">
        <v>10</v>
      </c>
    </row>
    <row r="906">
      <c r="A906" s="140"/>
      <c r="B906" s="9"/>
      <c r="C906" s="9"/>
      <c r="D906" s="9"/>
      <c r="E906" s="11" t="s">
        <v>10</v>
      </c>
    </row>
    <row r="907">
      <c r="A907" s="140"/>
      <c r="B907" s="9"/>
      <c r="C907" s="9"/>
      <c r="D907" s="9"/>
      <c r="E907" s="11" t="s">
        <v>10</v>
      </c>
    </row>
    <row r="908">
      <c r="A908" s="140"/>
      <c r="B908" s="9"/>
      <c r="C908" s="9"/>
      <c r="D908" s="9"/>
      <c r="E908" s="11" t="s">
        <v>10</v>
      </c>
    </row>
    <row r="909">
      <c r="A909" s="140"/>
      <c r="B909" s="9"/>
      <c r="C909" s="9"/>
      <c r="D909" s="9"/>
      <c r="E909" s="11" t="s">
        <v>10</v>
      </c>
    </row>
    <row r="910">
      <c r="A910" s="140"/>
      <c r="B910" s="9"/>
      <c r="C910" s="9"/>
      <c r="D910" s="9"/>
      <c r="E910" s="11" t="s">
        <v>10</v>
      </c>
    </row>
    <row r="911">
      <c r="A911" s="140"/>
      <c r="B911" s="9"/>
      <c r="C911" s="9"/>
      <c r="D911" s="9"/>
      <c r="E911" s="11" t="s">
        <v>10</v>
      </c>
    </row>
    <row r="912">
      <c r="A912" s="140"/>
      <c r="B912" s="9"/>
      <c r="C912" s="9"/>
      <c r="D912" s="9"/>
      <c r="E912" s="11" t="s">
        <v>10</v>
      </c>
    </row>
    <row r="913">
      <c r="A913" s="140"/>
      <c r="B913" s="9"/>
      <c r="C913" s="9"/>
      <c r="D913" s="9"/>
      <c r="E913" s="11" t="s">
        <v>10</v>
      </c>
    </row>
    <row r="914">
      <c r="A914" s="140"/>
      <c r="B914" s="9"/>
      <c r="C914" s="9"/>
      <c r="D914" s="9"/>
      <c r="E914" s="11" t="s">
        <v>10</v>
      </c>
    </row>
    <row r="915">
      <c r="A915" s="140"/>
      <c r="B915" s="9"/>
      <c r="C915" s="9"/>
      <c r="D915" s="9"/>
      <c r="E915" s="11" t="s">
        <v>10</v>
      </c>
    </row>
    <row r="916">
      <c r="A916" s="140"/>
      <c r="B916" s="9"/>
      <c r="C916" s="9"/>
      <c r="D916" s="9"/>
      <c r="E916" s="11" t="s">
        <v>10</v>
      </c>
    </row>
    <row r="917">
      <c r="A917" s="140"/>
      <c r="B917" s="9"/>
      <c r="C917" s="9"/>
      <c r="D917" s="9"/>
      <c r="E917" s="11" t="s">
        <v>10</v>
      </c>
    </row>
    <row r="918">
      <c r="A918" s="140"/>
      <c r="B918" s="9"/>
      <c r="C918" s="9"/>
      <c r="D918" s="9"/>
      <c r="E918" s="11" t="s">
        <v>10</v>
      </c>
    </row>
    <row r="919">
      <c r="A919" s="140"/>
      <c r="B919" s="9"/>
      <c r="C919" s="9"/>
      <c r="D919" s="9"/>
      <c r="E919" s="11" t="s">
        <v>10</v>
      </c>
    </row>
    <row r="920">
      <c r="A920" s="140"/>
      <c r="B920" s="9"/>
      <c r="C920" s="9"/>
      <c r="D920" s="9"/>
      <c r="E920" s="11" t="s">
        <v>10</v>
      </c>
    </row>
    <row r="921">
      <c r="A921" s="140"/>
      <c r="B921" s="9"/>
      <c r="C921" s="9"/>
      <c r="D921" s="9"/>
      <c r="E921" s="11" t="s">
        <v>10</v>
      </c>
    </row>
    <row r="922">
      <c r="A922" s="140"/>
      <c r="B922" s="9"/>
      <c r="C922" s="9"/>
      <c r="D922" s="9"/>
      <c r="E922" s="11" t="s">
        <v>10</v>
      </c>
    </row>
    <row r="923">
      <c r="A923" s="140"/>
      <c r="B923" s="9"/>
      <c r="C923" s="9"/>
      <c r="D923" s="9"/>
      <c r="E923" s="11" t="s">
        <v>10</v>
      </c>
    </row>
    <row r="924">
      <c r="A924" s="140"/>
      <c r="B924" s="9"/>
      <c r="C924" s="9"/>
      <c r="D924" s="9"/>
      <c r="E924" s="11" t="s">
        <v>10</v>
      </c>
    </row>
    <row r="925">
      <c r="A925" s="140"/>
      <c r="B925" s="9"/>
      <c r="C925" s="9"/>
      <c r="D925" s="9"/>
      <c r="E925" s="11" t="s">
        <v>10</v>
      </c>
    </row>
    <row r="926">
      <c r="A926" s="140"/>
      <c r="B926" s="9"/>
      <c r="C926" s="9"/>
      <c r="D926" s="9"/>
      <c r="E926" s="11" t="s">
        <v>10</v>
      </c>
    </row>
    <row r="927">
      <c r="A927" s="140"/>
      <c r="B927" s="9"/>
      <c r="C927" s="9"/>
      <c r="D927" s="9"/>
      <c r="E927" s="11" t="s">
        <v>10</v>
      </c>
    </row>
    <row r="928">
      <c r="A928" s="140"/>
      <c r="B928" s="9"/>
      <c r="C928" s="9"/>
      <c r="D928" s="9"/>
      <c r="E928" s="11" t="s">
        <v>10</v>
      </c>
    </row>
    <row r="929">
      <c r="A929" s="140"/>
      <c r="B929" s="9"/>
      <c r="C929" s="9"/>
      <c r="D929" s="9"/>
      <c r="E929" s="11" t="s">
        <v>10</v>
      </c>
    </row>
    <row r="930">
      <c r="A930" s="140"/>
      <c r="B930" s="9"/>
      <c r="C930" s="9"/>
      <c r="D930" s="9"/>
      <c r="E930" s="11" t="s">
        <v>10</v>
      </c>
    </row>
    <row r="931">
      <c r="A931" s="140"/>
      <c r="B931" s="9"/>
      <c r="C931" s="9"/>
      <c r="D931" s="9"/>
      <c r="E931" s="11" t="s">
        <v>10</v>
      </c>
    </row>
    <row r="932">
      <c r="A932" s="140"/>
      <c r="B932" s="9"/>
      <c r="C932" s="9"/>
      <c r="D932" s="9"/>
      <c r="E932" s="11" t="s">
        <v>10</v>
      </c>
    </row>
    <row r="933">
      <c r="A933" s="140"/>
      <c r="B933" s="9"/>
      <c r="C933" s="9"/>
      <c r="D933" s="9"/>
      <c r="E933" s="11" t="s">
        <v>10</v>
      </c>
    </row>
    <row r="934">
      <c r="A934" s="140"/>
      <c r="B934" s="9"/>
      <c r="C934" s="9"/>
      <c r="D934" s="9"/>
      <c r="E934" s="11" t="s">
        <v>10</v>
      </c>
    </row>
    <row r="935">
      <c r="A935" s="140"/>
      <c r="B935" s="9"/>
      <c r="C935" s="9"/>
      <c r="D935" s="9"/>
      <c r="E935" s="11" t="s">
        <v>10</v>
      </c>
    </row>
    <row r="936">
      <c r="A936" s="140"/>
      <c r="B936" s="9"/>
      <c r="C936" s="9"/>
      <c r="D936" s="9"/>
      <c r="E936" s="11" t="s">
        <v>10</v>
      </c>
    </row>
    <row r="937">
      <c r="A937" s="140"/>
      <c r="B937" s="9"/>
      <c r="C937" s="9"/>
      <c r="D937" s="9"/>
      <c r="E937" s="11" t="s">
        <v>10</v>
      </c>
    </row>
    <row r="938">
      <c r="A938" s="140"/>
      <c r="B938" s="9"/>
      <c r="C938" s="9"/>
      <c r="D938" s="9"/>
      <c r="E938" s="11" t="s">
        <v>10</v>
      </c>
    </row>
    <row r="939">
      <c r="A939" s="140"/>
      <c r="B939" s="9"/>
      <c r="C939" s="9"/>
      <c r="D939" s="9"/>
      <c r="E939" s="11" t="s">
        <v>10</v>
      </c>
    </row>
    <row r="940">
      <c r="A940" s="140"/>
      <c r="B940" s="9"/>
      <c r="C940" s="9"/>
      <c r="D940" s="9"/>
      <c r="E940" s="11" t="s">
        <v>10</v>
      </c>
    </row>
    <row r="941">
      <c r="A941" s="140"/>
      <c r="B941" s="9"/>
      <c r="C941" s="9"/>
      <c r="D941" s="9"/>
      <c r="E941" s="11" t="s">
        <v>10</v>
      </c>
    </row>
    <row r="942">
      <c r="A942" s="140"/>
      <c r="B942" s="9"/>
      <c r="C942" s="9"/>
      <c r="D942" s="9"/>
      <c r="E942" s="11" t="s">
        <v>10</v>
      </c>
    </row>
    <row r="943">
      <c r="A943" s="140"/>
      <c r="B943" s="9"/>
      <c r="C943" s="9"/>
      <c r="D943" s="9"/>
      <c r="E943" s="11" t="s">
        <v>10</v>
      </c>
    </row>
    <row r="944">
      <c r="A944" s="140"/>
      <c r="B944" s="9"/>
      <c r="C944" s="9"/>
      <c r="D944" s="9"/>
      <c r="E944" s="11" t="s">
        <v>10</v>
      </c>
    </row>
    <row r="945">
      <c r="A945" s="140"/>
      <c r="B945" s="9"/>
      <c r="C945" s="9"/>
      <c r="D945" s="9"/>
      <c r="E945" s="11" t="s">
        <v>10</v>
      </c>
    </row>
    <row r="946">
      <c r="A946" s="140"/>
      <c r="B946" s="9"/>
      <c r="C946" s="9"/>
      <c r="D946" s="9"/>
      <c r="E946" s="11" t="s">
        <v>10</v>
      </c>
    </row>
    <row r="947">
      <c r="A947" s="140"/>
      <c r="B947" s="9"/>
      <c r="C947" s="9"/>
      <c r="D947" s="9"/>
      <c r="E947" s="11" t="s">
        <v>10</v>
      </c>
    </row>
    <row r="948">
      <c r="A948" s="140"/>
      <c r="B948" s="9"/>
      <c r="C948" s="9"/>
      <c r="D948" s="9"/>
      <c r="E948" s="11" t="s">
        <v>10</v>
      </c>
    </row>
    <row r="949">
      <c r="A949" s="140"/>
      <c r="B949" s="9"/>
      <c r="C949" s="9"/>
      <c r="D949" s="9"/>
      <c r="E949" s="11" t="s">
        <v>10</v>
      </c>
    </row>
    <row r="950">
      <c r="A950" s="140"/>
      <c r="B950" s="9"/>
      <c r="C950" s="9"/>
      <c r="D950" s="9"/>
      <c r="E950" s="11" t="s">
        <v>10</v>
      </c>
    </row>
    <row r="951">
      <c r="A951" s="140"/>
      <c r="B951" s="9"/>
      <c r="C951" s="9"/>
      <c r="D951" s="9"/>
      <c r="E951" s="11" t="s">
        <v>10</v>
      </c>
    </row>
    <row r="952">
      <c r="A952" s="140"/>
      <c r="B952" s="9"/>
      <c r="C952" s="9"/>
      <c r="D952" s="9"/>
      <c r="E952" s="11" t="s">
        <v>10</v>
      </c>
    </row>
    <row r="953">
      <c r="A953" s="140"/>
      <c r="B953" s="9"/>
      <c r="C953" s="9"/>
      <c r="D953" s="9"/>
      <c r="E953" s="11" t="s">
        <v>10</v>
      </c>
    </row>
    <row r="954">
      <c r="A954" s="140"/>
      <c r="B954" s="9"/>
      <c r="C954" s="9"/>
      <c r="D954" s="9"/>
      <c r="E954" s="11" t="s">
        <v>10</v>
      </c>
    </row>
    <row r="955">
      <c r="A955" s="140"/>
      <c r="B955" s="9"/>
      <c r="C955" s="9"/>
      <c r="D955" s="9"/>
      <c r="E955" s="11" t="s">
        <v>10</v>
      </c>
    </row>
    <row r="956">
      <c r="A956" s="140"/>
      <c r="B956" s="9"/>
      <c r="C956" s="9"/>
      <c r="D956" s="9"/>
      <c r="E956" s="11" t="s">
        <v>10</v>
      </c>
    </row>
    <row r="957">
      <c r="A957" s="140"/>
      <c r="B957" s="9"/>
      <c r="C957" s="9"/>
      <c r="D957" s="9"/>
      <c r="E957" s="11" t="s">
        <v>10</v>
      </c>
    </row>
    <row r="958">
      <c r="A958" s="140"/>
      <c r="B958" s="9"/>
      <c r="C958" s="9"/>
      <c r="D958" s="9"/>
      <c r="E958" s="11" t="s">
        <v>10</v>
      </c>
    </row>
    <row r="959">
      <c r="A959" s="140"/>
      <c r="B959" s="9"/>
      <c r="C959" s="9"/>
      <c r="D959" s="9"/>
      <c r="E959" s="11" t="s">
        <v>10</v>
      </c>
    </row>
    <row r="960">
      <c r="A960" s="140"/>
      <c r="B960" s="9"/>
      <c r="C960" s="9"/>
      <c r="D960" s="9"/>
      <c r="E960" s="11" t="s">
        <v>10</v>
      </c>
    </row>
    <row r="961">
      <c r="A961" s="140"/>
      <c r="B961" s="9"/>
      <c r="C961" s="9"/>
      <c r="D961" s="9"/>
      <c r="E961" s="11" t="s">
        <v>10</v>
      </c>
    </row>
    <row r="962">
      <c r="A962" s="140"/>
      <c r="B962" s="9"/>
      <c r="C962" s="9"/>
      <c r="D962" s="9"/>
      <c r="E962" s="11" t="s">
        <v>10</v>
      </c>
    </row>
    <row r="963">
      <c r="A963" s="140"/>
      <c r="B963" s="9"/>
      <c r="C963" s="9"/>
      <c r="D963" s="9"/>
      <c r="E963" s="11" t="s">
        <v>10</v>
      </c>
    </row>
    <row r="964">
      <c r="A964" s="140"/>
      <c r="B964" s="9"/>
      <c r="C964" s="9"/>
      <c r="D964" s="9"/>
      <c r="E964" s="11" t="s">
        <v>10</v>
      </c>
    </row>
    <row r="965">
      <c r="A965" s="140"/>
      <c r="B965" s="9"/>
      <c r="C965" s="9"/>
      <c r="D965" s="9"/>
      <c r="E965" s="11" t="s">
        <v>10</v>
      </c>
    </row>
    <row r="966">
      <c r="A966" s="140"/>
      <c r="B966" s="9"/>
      <c r="C966" s="9"/>
      <c r="D966" s="9"/>
      <c r="E966" s="11" t="s">
        <v>10</v>
      </c>
    </row>
    <row r="967">
      <c r="A967" s="140"/>
      <c r="B967" s="9"/>
      <c r="C967" s="9"/>
      <c r="D967" s="9"/>
      <c r="E967" s="11" t="s">
        <v>10</v>
      </c>
    </row>
    <row r="968">
      <c r="A968" s="140"/>
      <c r="B968" s="9"/>
      <c r="C968" s="9"/>
      <c r="D968" s="9"/>
      <c r="E968" s="11" t="s">
        <v>10</v>
      </c>
    </row>
    <row r="969">
      <c r="A969" s="140"/>
      <c r="B969" s="9"/>
      <c r="C969" s="9"/>
      <c r="D969" s="9"/>
      <c r="E969" s="11" t="s">
        <v>10</v>
      </c>
    </row>
    <row r="970">
      <c r="A970" s="140"/>
      <c r="B970" s="9"/>
      <c r="C970" s="9"/>
      <c r="D970" s="9"/>
      <c r="E970" s="11" t="s">
        <v>10</v>
      </c>
    </row>
    <row r="971">
      <c r="A971" s="140"/>
      <c r="B971" s="9"/>
      <c r="C971" s="9"/>
      <c r="D971" s="9"/>
      <c r="E971" s="11" t="s">
        <v>10</v>
      </c>
    </row>
    <row r="972">
      <c r="A972" s="140"/>
      <c r="B972" s="9"/>
      <c r="C972" s="9"/>
      <c r="D972" s="9"/>
      <c r="E972" s="11" t="s">
        <v>10</v>
      </c>
    </row>
    <row r="973">
      <c r="A973" s="140"/>
      <c r="B973" s="9"/>
      <c r="C973" s="9"/>
      <c r="D973" s="9"/>
      <c r="E973" s="11" t="s">
        <v>10</v>
      </c>
    </row>
    <row r="974">
      <c r="A974" s="140"/>
      <c r="B974" s="9"/>
      <c r="C974" s="9"/>
      <c r="D974" s="9"/>
      <c r="E974" s="11" t="s">
        <v>10</v>
      </c>
    </row>
    <row r="975">
      <c r="A975" s="140"/>
      <c r="B975" s="9"/>
      <c r="C975" s="9"/>
      <c r="D975" s="9"/>
      <c r="E975" s="11" t="s">
        <v>10</v>
      </c>
    </row>
    <row r="976">
      <c r="A976" s="140"/>
      <c r="B976" s="9"/>
      <c r="C976" s="9"/>
      <c r="D976" s="9"/>
      <c r="E976" s="11" t="s">
        <v>10</v>
      </c>
    </row>
    <row r="977">
      <c r="A977" s="140"/>
      <c r="B977" s="9"/>
      <c r="C977" s="9"/>
      <c r="D977" s="9"/>
      <c r="E977" s="11" t="s">
        <v>10</v>
      </c>
    </row>
    <row r="978">
      <c r="A978" s="140"/>
      <c r="B978" s="9"/>
      <c r="C978" s="9"/>
      <c r="D978" s="9"/>
      <c r="E978" s="11" t="s">
        <v>10</v>
      </c>
    </row>
    <row r="979">
      <c r="A979" s="140"/>
      <c r="B979" s="9"/>
      <c r="C979" s="9"/>
      <c r="D979" s="9"/>
      <c r="E979" s="11" t="s">
        <v>10</v>
      </c>
    </row>
    <row r="980">
      <c r="A980" s="140"/>
      <c r="B980" s="9"/>
      <c r="C980" s="9"/>
      <c r="D980" s="9"/>
      <c r="E980" s="11" t="s">
        <v>10</v>
      </c>
    </row>
    <row r="981">
      <c r="A981" s="140"/>
      <c r="B981" s="9"/>
      <c r="C981" s="9"/>
      <c r="D981" s="9"/>
      <c r="E981" s="11" t="s">
        <v>10</v>
      </c>
    </row>
    <row r="982">
      <c r="A982" s="140"/>
      <c r="B982" s="9"/>
      <c r="C982" s="9"/>
      <c r="D982" s="9"/>
      <c r="E982" s="11" t="s">
        <v>10</v>
      </c>
    </row>
    <row r="983">
      <c r="A983" s="140"/>
      <c r="B983" s="9"/>
      <c r="C983" s="9"/>
      <c r="D983" s="9"/>
      <c r="E983" s="11" t="s">
        <v>10</v>
      </c>
    </row>
    <row r="984">
      <c r="A984" s="140"/>
      <c r="B984" s="9"/>
      <c r="C984" s="9"/>
      <c r="D984" s="9"/>
      <c r="E984" s="11" t="s">
        <v>10</v>
      </c>
    </row>
    <row r="985">
      <c r="A985" s="140"/>
      <c r="B985" s="9"/>
      <c r="C985" s="9"/>
      <c r="D985" s="9"/>
      <c r="E985" s="11" t="s">
        <v>10</v>
      </c>
    </row>
    <row r="986">
      <c r="A986" s="140"/>
      <c r="B986" s="9"/>
      <c r="C986" s="9"/>
      <c r="D986" s="9"/>
      <c r="E986" s="11" t="s">
        <v>10</v>
      </c>
    </row>
    <row r="987">
      <c r="A987" s="140"/>
      <c r="B987" s="9"/>
      <c r="C987" s="9"/>
      <c r="D987" s="9"/>
      <c r="E987" s="11" t="s">
        <v>10</v>
      </c>
    </row>
    <row r="988">
      <c r="A988" s="140"/>
      <c r="B988" s="9"/>
      <c r="C988" s="9"/>
      <c r="D988" s="9"/>
      <c r="E988" s="11" t="s">
        <v>10</v>
      </c>
    </row>
    <row r="989">
      <c r="A989" s="140"/>
      <c r="B989" s="9"/>
      <c r="C989" s="9"/>
      <c r="D989" s="9"/>
      <c r="E989" s="11" t="s">
        <v>10</v>
      </c>
    </row>
    <row r="990">
      <c r="A990" s="140"/>
      <c r="B990" s="9"/>
      <c r="C990" s="9"/>
      <c r="D990" s="9"/>
      <c r="E990" s="11" t="s">
        <v>10</v>
      </c>
    </row>
    <row r="991">
      <c r="A991" s="140"/>
      <c r="B991" s="9"/>
      <c r="C991" s="9"/>
      <c r="D991" s="9"/>
      <c r="E991" s="11" t="s">
        <v>10</v>
      </c>
    </row>
    <row r="992">
      <c r="A992" s="140"/>
      <c r="B992" s="9"/>
      <c r="C992" s="9"/>
      <c r="D992" s="9"/>
      <c r="E992" s="11" t="s">
        <v>10</v>
      </c>
    </row>
    <row r="993">
      <c r="A993" s="140"/>
      <c r="B993" s="9"/>
      <c r="C993" s="9"/>
      <c r="D993" s="9"/>
      <c r="E993" s="11" t="s">
        <v>10</v>
      </c>
    </row>
    <row r="994">
      <c r="A994" s="140"/>
      <c r="B994" s="9"/>
      <c r="C994" s="9"/>
      <c r="D994" s="9"/>
      <c r="E994" s="11" t="s">
        <v>10</v>
      </c>
    </row>
    <row r="995">
      <c r="A995" s="140"/>
      <c r="B995" s="9"/>
      <c r="C995" s="9"/>
      <c r="D995" s="9"/>
      <c r="E995" s="11" t="s">
        <v>10</v>
      </c>
    </row>
    <row r="996">
      <c r="A996" s="140"/>
      <c r="B996" s="9"/>
      <c r="C996" s="9"/>
      <c r="D996" s="9"/>
      <c r="E996" s="11" t="s">
        <v>10</v>
      </c>
    </row>
    <row r="997">
      <c r="A997" s="140"/>
      <c r="B997" s="9"/>
      <c r="C997" s="9"/>
      <c r="D997" s="9"/>
      <c r="E997" s="11" t="s">
        <v>10</v>
      </c>
    </row>
    <row r="998">
      <c r="A998" s="140"/>
      <c r="B998" s="9"/>
      <c r="C998" s="9"/>
      <c r="D998" s="9"/>
      <c r="E998" s="11" t="s">
        <v>10</v>
      </c>
    </row>
    <row r="999">
      <c r="A999" s="140"/>
      <c r="B999" s="9"/>
      <c r="C999" s="9"/>
      <c r="D999" s="9"/>
      <c r="E999" s="11" t="s">
        <v>10</v>
      </c>
    </row>
    <row r="1000">
      <c r="A1000" s="140"/>
      <c r="B1000" s="9"/>
      <c r="C1000" s="9"/>
      <c r="D1000" s="9"/>
      <c r="E1000" s="11" t="s">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outlineLevelRow="1"/>
  <cols>
    <col customWidth="1" min="3" max="3" width="22.63"/>
    <col customWidth="1" min="8" max="8" width="17.25"/>
    <col customWidth="1" min="9" max="9" width="23.0"/>
    <col customWidth="1" min="10" max="10" width="40.0"/>
  </cols>
  <sheetData>
    <row r="1">
      <c r="A1" s="199"/>
      <c r="B1" s="201" t="s">
        <v>96</v>
      </c>
      <c r="C1" s="201" t="s">
        <v>741</v>
      </c>
      <c r="D1" s="199"/>
      <c r="E1" s="199"/>
      <c r="F1" s="199"/>
      <c r="G1" s="199"/>
      <c r="H1" s="199"/>
      <c r="I1" s="205" t="s">
        <v>743</v>
      </c>
      <c r="J1" s="207"/>
      <c r="K1" s="205" t="s">
        <v>744</v>
      </c>
      <c r="L1" s="210"/>
      <c r="M1" s="210"/>
      <c r="N1" s="210"/>
      <c r="O1" s="210"/>
      <c r="P1" s="207"/>
      <c r="Q1" s="199"/>
      <c r="R1" s="199"/>
      <c r="S1" s="199"/>
      <c r="T1" s="199"/>
      <c r="U1" s="199"/>
      <c r="V1" s="199"/>
      <c r="W1" s="199"/>
      <c r="X1" s="199"/>
      <c r="Y1" s="199"/>
      <c r="Z1" s="199"/>
      <c r="AA1" s="199"/>
      <c r="AB1" s="199"/>
      <c r="AC1" s="199"/>
      <c r="AD1" s="199"/>
      <c r="AE1" s="199"/>
      <c r="AF1" s="199"/>
      <c r="AG1" s="199"/>
      <c r="AH1" s="199"/>
      <c r="AI1" s="199"/>
      <c r="AJ1" s="199"/>
      <c r="AK1" s="199"/>
      <c r="AL1" s="199"/>
    </row>
    <row r="2">
      <c r="A2" s="213" t="s">
        <v>748</v>
      </c>
      <c r="B2" s="214"/>
      <c r="C2" s="214"/>
      <c r="D2" s="213" t="s">
        <v>136</v>
      </c>
      <c r="E2" s="213" t="s">
        <v>147</v>
      </c>
      <c r="F2" s="213" t="s">
        <v>749</v>
      </c>
      <c r="G2" s="213" t="s">
        <v>750</v>
      </c>
      <c r="H2" s="213" t="s">
        <v>751</v>
      </c>
      <c r="I2" s="213" t="s">
        <v>752</v>
      </c>
      <c r="J2" s="213" t="s">
        <v>753</v>
      </c>
      <c r="K2" s="213" t="s">
        <v>754</v>
      </c>
      <c r="L2" s="213" t="s">
        <v>1</v>
      </c>
      <c r="M2" s="213" t="s">
        <v>755</v>
      </c>
      <c r="N2" s="213" t="s">
        <v>1</v>
      </c>
      <c r="O2" s="213" t="s">
        <v>756</v>
      </c>
      <c r="P2" s="213" t="s">
        <v>1</v>
      </c>
      <c r="Q2" s="213" t="s">
        <v>757</v>
      </c>
      <c r="R2" s="199"/>
      <c r="S2" s="199"/>
      <c r="T2" s="199"/>
      <c r="U2" s="199"/>
      <c r="V2" s="199"/>
      <c r="W2" s="199"/>
      <c r="X2" s="199"/>
      <c r="Y2" s="199"/>
      <c r="Z2" s="199"/>
      <c r="AA2" s="199"/>
      <c r="AB2" s="199"/>
      <c r="AC2" s="199"/>
      <c r="AD2" s="199"/>
      <c r="AE2" s="199"/>
      <c r="AF2" s="199"/>
      <c r="AG2" s="199"/>
      <c r="AH2" s="199"/>
      <c r="AI2" s="199"/>
      <c r="AJ2" s="199"/>
      <c r="AK2" s="199"/>
      <c r="AL2" s="199"/>
    </row>
    <row r="3" hidden="1">
      <c r="B3" s="71">
        <v>4.20287132E8</v>
      </c>
      <c r="C3" s="26" t="s">
        <v>759</v>
      </c>
      <c r="D3" s="26" t="s">
        <v>219</v>
      </c>
      <c r="E3" s="215">
        <v>11.0</v>
      </c>
      <c r="F3" s="26"/>
      <c r="G3" s="217"/>
      <c r="H3" s="217"/>
      <c r="I3" s="217"/>
      <c r="J3" s="218"/>
    </row>
    <row r="4" hidden="1">
      <c r="B4" s="71">
        <v>4.20115079E8</v>
      </c>
      <c r="C4" s="26" t="s">
        <v>765</v>
      </c>
      <c r="D4" s="26" t="s">
        <v>262</v>
      </c>
      <c r="E4" s="215">
        <v>2.0</v>
      </c>
      <c r="F4" s="26" t="s">
        <v>766</v>
      </c>
      <c r="G4" s="217"/>
      <c r="H4" s="217"/>
      <c r="I4" s="217" t="s">
        <v>767</v>
      </c>
      <c r="J4" s="218"/>
    </row>
    <row r="5" hidden="1">
      <c r="B5" s="71">
        <v>4.20286159E8</v>
      </c>
      <c r="C5" s="26" t="s">
        <v>769</v>
      </c>
      <c r="D5" s="26" t="s">
        <v>219</v>
      </c>
      <c r="E5" s="220">
        <v>14.0</v>
      </c>
      <c r="F5" s="26" t="s">
        <v>766</v>
      </c>
      <c r="G5" s="217"/>
      <c r="H5" s="217"/>
      <c r="I5" s="217"/>
      <c r="J5" s="218"/>
    </row>
    <row r="6" hidden="1">
      <c r="B6" s="71">
        <v>4.20285832E8</v>
      </c>
      <c r="C6" s="26" t="s">
        <v>775</v>
      </c>
      <c r="D6" s="26" t="s">
        <v>262</v>
      </c>
      <c r="E6" s="220">
        <v>15.0</v>
      </c>
      <c r="F6" s="49" t="s">
        <v>766</v>
      </c>
      <c r="G6" s="221" t="s">
        <v>776</v>
      </c>
      <c r="H6" s="217"/>
      <c r="I6" s="217"/>
      <c r="J6" s="218" t="s">
        <v>777</v>
      </c>
    </row>
    <row r="7" hidden="1">
      <c r="B7" s="71">
        <v>4.20285887E8</v>
      </c>
      <c r="C7" s="26" t="s">
        <v>778</v>
      </c>
      <c r="D7" s="26" t="s">
        <v>219</v>
      </c>
      <c r="E7" s="220">
        <v>0.0</v>
      </c>
      <c r="F7" s="49" t="s">
        <v>766</v>
      </c>
      <c r="G7" s="221" t="s">
        <v>776</v>
      </c>
      <c r="H7" s="217"/>
      <c r="I7" s="217"/>
      <c r="J7" s="218" t="s">
        <v>780</v>
      </c>
    </row>
    <row r="8" hidden="1">
      <c r="B8" s="71">
        <v>4.20285505E8</v>
      </c>
      <c r="C8" s="222" t="s">
        <v>781</v>
      </c>
      <c r="D8" s="26" t="s">
        <v>219</v>
      </c>
      <c r="E8" s="215">
        <v>0.0</v>
      </c>
      <c r="F8" s="26" t="s">
        <v>766</v>
      </c>
      <c r="G8" s="221" t="s">
        <v>776</v>
      </c>
      <c r="H8" s="26"/>
      <c r="I8" s="224" t="s">
        <v>783</v>
      </c>
      <c r="J8" s="224"/>
    </row>
    <row r="9" hidden="1">
      <c r="B9" s="71">
        <v>4.20284532E8</v>
      </c>
      <c r="C9" s="222" t="s">
        <v>785</v>
      </c>
      <c r="D9" s="26" t="s">
        <v>262</v>
      </c>
      <c r="E9" s="215">
        <v>3.0</v>
      </c>
      <c r="F9" s="26"/>
      <c r="G9" s="26"/>
      <c r="H9" s="26"/>
      <c r="I9" s="26"/>
      <c r="J9" s="224"/>
    </row>
    <row r="10" hidden="1">
      <c r="B10" s="71">
        <v>4.20285204E8</v>
      </c>
      <c r="C10" s="222" t="s">
        <v>788</v>
      </c>
      <c r="D10" s="26" t="s">
        <v>420</v>
      </c>
      <c r="E10" s="220">
        <v>14.0</v>
      </c>
      <c r="F10" s="26"/>
      <c r="G10" s="26"/>
      <c r="H10" s="26"/>
      <c r="I10" s="26"/>
      <c r="J10" s="224"/>
    </row>
    <row r="11" hidden="1">
      <c r="B11" s="71">
        <v>4.20283854E8</v>
      </c>
      <c r="C11" s="222" t="s">
        <v>790</v>
      </c>
      <c r="D11" s="26" t="s">
        <v>219</v>
      </c>
      <c r="E11" s="215">
        <v>3.0</v>
      </c>
      <c r="F11" s="26"/>
      <c r="G11" s="26"/>
      <c r="H11" s="26"/>
      <c r="I11" s="26"/>
      <c r="J11" s="224"/>
    </row>
    <row r="12" hidden="1">
      <c r="B12" s="71">
        <v>4.20285022E8</v>
      </c>
      <c r="C12" s="222" t="s">
        <v>793</v>
      </c>
      <c r="D12" s="26" t="s">
        <v>219</v>
      </c>
      <c r="E12" s="215">
        <v>4.0</v>
      </c>
      <c r="F12" s="26"/>
      <c r="G12" s="26"/>
      <c r="H12" s="26"/>
      <c r="I12" s="26"/>
      <c r="J12" s="224"/>
    </row>
    <row r="13" hidden="1">
      <c r="B13" s="71">
        <v>4.20285517E8</v>
      </c>
      <c r="C13" s="222" t="s">
        <v>795</v>
      </c>
      <c r="D13" s="26" t="s">
        <v>368</v>
      </c>
      <c r="E13" s="220">
        <v>9.0</v>
      </c>
      <c r="F13" s="49" t="s">
        <v>766</v>
      </c>
      <c r="G13" s="26"/>
      <c r="H13" s="26"/>
      <c r="I13" s="49" t="s">
        <v>796</v>
      </c>
      <c r="J13" s="224"/>
    </row>
    <row r="14" hidden="1">
      <c r="B14" s="71">
        <v>4.2028201E8</v>
      </c>
      <c r="C14" s="222" t="s">
        <v>798</v>
      </c>
      <c r="D14" s="225" t="s">
        <v>219</v>
      </c>
      <c r="E14" s="220">
        <v>5.0</v>
      </c>
      <c r="F14" s="26" t="s">
        <v>766</v>
      </c>
      <c r="G14" s="26"/>
      <c r="H14" s="26"/>
      <c r="I14" s="26"/>
      <c r="J14" s="224"/>
    </row>
    <row r="15" hidden="1">
      <c r="B15" s="71">
        <v>4.20277244E8</v>
      </c>
      <c r="C15" s="222" t="s">
        <v>330</v>
      </c>
      <c r="D15" s="225" t="s">
        <v>219</v>
      </c>
      <c r="E15" s="215">
        <v>6.0</v>
      </c>
      <c r="F15" s="26"/>
      <c r="G15" s="26"/>
      <c r="H15" s="26"/>
      <c r="I15" s="26"/>
      <c r="J15" s="224"/>
    </row>
    <row r="16" hidden="1">
      <c r="B16" s="71">
        <v>4.20278078E8</v>
      </c>
      <c r="C16" s="222" t="s">
        <v>601</v>
      </c>
      <c r="D16" s="225" t="s">
        <v>262</v>
      </c>
      <c r="E16" s="220">
        <v>8.0</v>
      </c>
      <c r="F16" s="49" t="s">
        <v>766</v>
      </c>
      <c r="G16" s="26"/>
      <c r="H16" s="26"/>
      <c r="I16" s="26" t="s">
        <v>803</v>
      </c>
      <c r="J16" s="224"/>
    </row>
    <row r="17" hidden="1">
      <c r="B17" s="71">
        <v>4.19976966E8</v>
      </c>
      <c r="C17" s="222" t="s">
        <v>805</v>
      </c>
      <c r="D17" s="225" t="s">
        <v>368</v>
      </c>
      <c r="E17" s="220">
        <v>13.0</v>
      </c>
      <c r="F17" s="26"/>
      <c r="G17" s="26"/>
      <c r="H17" s="26"/>
      <c r="I17" s="26"/>
      <c r="J17" s="224"/>
    </row>
    <row r="18" hidden="1">
      <c r="B18" s="71">
        <v>4.20279835E8</v>
      </c>
      <c r="C18" s="222" t="s">
        <v>807</v>
      </c>
      <c r="D18" s="225" t="s">
        <v>262</v>
      </c>
      <c r="E18" s="220">
        <v>5.0</v>
      </c>
      <c r="F18" s="26" t="s">
        <v>766</v>
      </c>
      <c r="G18" s="26" t="s">
        <v>776</v>
      </c>
      <c r="H18" s="26"/>
      <c r="I18" s="224" t="s">
        <v>808</v>
      </c>
      <c r="J18" s="224" t="s">
        <v>809</v>
      </c>
    </row>
    <row r="19" hidden="1">
      <c r="B19" s="71">
        <v>4.20271345E8</v>
      </c>
      <c r="C19" s="222" t="s">
        <v>810</v>
      </c>
      <c r="D19" s="225" t="s">
        <v>219</v>
      </c>
      <c r="E19" s="220">
        <v>5.0</v>
      </c>
      <c r="F19" s="26"/>
      <c r="G19" s="26"/>
      <c r="H19" s="26"/>
      <c r="I19" s="26"/>
      <c r="J19" s="224"/>
    </row>
    <row r="20" hidden="1">
      <c r="B20" s="71">
        <v>4.20281568E8</v>
      </c>
      <c r="C20" s="222" t="s">
        <v>815</v>
      </c>
      <c r="D20" s="225" t="s">
        <v>262</v>
      </c>
      <c r="E20" s="215">
        <v>1.0</v>
      </c>
      <c r="F20" s="26" t="s">
        <v>766</v>
      </c>
      <c r="G20" s="26"/>
      <c r="H20" s="26"/>
      <c r="I20" s="26"/>
      <c r="J20" s="224" t="s">
        <v>817</v>
      </c>
    </row>
    <row r="21" hidden="1">
      <c r="B21" s="71">
        <v>4.20281416E8</v>
      </c>
      <c r="C21" s="222" t="s">
        <v>818</v>
      </c>
      <c r="D21" s="225" t="s">
        <v>420</v>
      </c>
      <c r="E21" s="220">
        <v>13.0</v>
      </c>
      <c r="F21" s="26" t="s">
        <v>766</v>
      </c>
      <c r="G21" s="26"/>
      <c r="H21" s="26"/>
      <c r="I21" s="26"/>
      <c r="J21" s="224" t="s">
        <v>819</v>
      </c>
    </row>
    <row r="22" hidden="1">
      <c r="B22" s="71">
        <v>4.20281861E8</v>
      </c>
      <c r="C22" s="26" t="s">
        <v>820</v>
      </c>
      <c r="D22" s="217"/>
      <c r="E22" s="226">
        <v>3.0</v>
      </c>
      <c r="F22" s="49" t="s">
        <v>766</v>
      </c>
      <c r="G22" s="227" t="s">
        <v>776</v>
      </c>
      <c r="H22" s="217"/>
      <c r="I22" s="217"/>
      <c r="J22" s="228" t="s">
        <v>824</v>
      </c>
    </row>
    <row r="23" hidden="1">
      <c r="B23" s="71">
        <v>4.20287339E8</v>
      </c>
      <c r="C23" s="26" t="s">
        <v>828</v>
      </c>
      <c r="D23" s="26" t="s">
        <v>464</v>
      </c>
      <c r="E23" s="226">
        <v>12.0</v>
      </c>
      <c r="F23" s="26"/>
      <c r="G23" s="217"/>
      <c r="H23" s="217"/>
      <c r="I23" s="217"/>
      <c r="J23" s="218"/>
    </row>
    <row r="24" hidden="1">
      <c r="B24" s="71">
        <v>4.20287554E8</v>
      </c>
      <c r="C24" s="26" t="s">
        <v>832</v>
      </c>
      <c r="D24" s="26" t="s">
        <v>464</v>
      </c>
      <c r="E24" s="226">
        <v>16.0</v>
      </c>
      <c r="F24" s="26"/>
      <c r="G24" s="217"/>
      <c r="H24" s="217"/>
      <c r="I24" s="217"/>
      <c r="J24" s="218"/>
    </row>
    <row r="25" hidden="1">
      <c r="B25" s="71">
        <v>4.20287688E8</v>
      </c>
      <c r="C25" s="26" t="s">
        <v>834</v>
      </c>
      <c r="D25" s="26" t="s">
        <v>464</v>
      </c>
      <c r="E25" s="229">
        <v>2.0</v>
      </c>
      <c r="F25" s="26"/>
      <c r="G25" s="217"/>
      <c r="H25" s="217"/>
      <c r="I25" s="228" t="s">
        <v>835</v>
      </c>
      <c r="J25" s="218"/>
    </row>
    <row r="26" hidden="1">
      <c r="B26" s="71">
        <v>4.20287976E8</v>
      </c>
      <c r="C26" s="26" t="s">
        <v>837</v>
      </c>
      <c r="D26" s="26" t="s">
        <v>839</v>
      </c>
      <c r="E26" s="226">
        <v>13.0</v>
      </c>
      <c r="F26" s="26"/>
      <c r="G26" s="217"/>
      <c r="H26" s="217"/>
      <c r="I26" s="217"/>
      <c r="J26" s="218"/>
    </row>
    <row r="27" hidden="1">
      <c r="B27" s="71">
        <v>4.20288358E8</v>
      </c>
      <c r="C27" s="26" t="s">
        <v>842</v>
      </c>
      <c r="D27" s="26" t="s">
        <v>843</v>
      </c>
      <c r="E27" s="226">
        <v>8.0</v>
      </c>
      <c r="F27" s="26"/>
      <c r="G27" s="217"/>
      <c r="H27" s="217"/>
      <c r="I27" s="217"/>
      <c r="J27" s="218"/>
    </row>
    <row r="28" hidden="1">
      <c r="B28" s="71">
        <v>4.20288637E8</v>
      </c>
      <c r="C28" s="26" t="s">
        <v>847</v>
      </c>
      <c r="D28" s="26" t="s">
        <v>464</v>
      </c>
      <c r="E28" s="226">
        <v>14.0</v>
      </c>
      <c r="F28" s="26"/>
      <c r="G28" s="217"/>
      <c r="H28" s="217"/>
      <c r="I28" s="217"/>
      <c r="J28" s="218"/>
    </row>
    <row r="29" hidden="1">
      <c r="B29" s="71">
        <v>4.20289038E8</v>
      </c>
      <c r="C29" s="26" t="s">
        <v>848</v>
      </c>
      <c r="D29" s="26" t="s">
        <v>464</v>
      </c>
      <c r="E29" s="226">
        <v>5.0</v>
      </c>
      <c r="F29" s="49" t="s">
        <v>766</v>
      </c>
      <c r="G29" s="217"/>
      <c r="H29" s="217"/>
      <c r="I29" s="227" t="s">
        <v>851</v>
      </c>
      <c r="J29" s="218"/>
    </row>
    <row r="30" hidden="1">
      <c r="B30" s="230">
        <v>4.20287715E8</v>
      </c>
      <c r="C30" s="231" t="s">
        <v>853</v>
      </c>
      <c r="D30" s="49" t="s">
        <v>368</v>
      </c>
      <c r="E30" s="232">
        <v>10.0</v>
      </c>
      <c r="F30" s="49" t="s">
        <v>766</v>
      </c>
      <c r="I30" s="227" t="s">
        <v>851</v>
      </c>
      <c r="J30" s="102"/>
    </row>
    <row r="31" hidden="1">
      <c r="B31" s="25">
        <v>4.20280843E8</v>
      </c>
      <c r="C31" s="25" t="s">
        <v>855</v>
      </c>
      <c r="D31" s="26" t="s">
        <v>464</v>
      </c>
      <c r="E31" s="232">
        <v>7.0</v>
      </c>
      <c r="F31" s="26"/>
      <c r="J31" s="102"/>
    </row>
    <row r="32" hidden="1">
      <c r="B32" s="71">
        <v>4.20285908E8</v>
      </c>
      <c r="C32" s="26" t="s">
        <v>859</v>
      </c>
      <c r="D32" s="26" t="s">
        <v>861</v>
      </c>
      <c r="E32" s="232">
        <v>14.0</v>
      </c>
      <c r="F32" s="26"/>
      <c r="J32" s="102"/>
    </row>
    <row r="33" hidden="1">
      <c r="B33" s="71">
        <v>4.20285678E8</v>
      </c>
      <c r="C33" s="26" t="s">
        <v>140</v>
      </c>
      <c r="D33" s="26" t="s">
        <v>862</v>
      </c>
      <c r="E33" s="232">
        <v>12.0</v>
      </c>
      <c r="F33" s="26"/>
      <c r="J33" s="102"/>
    </row>
    <row r="34" hidden="1">
      <c r="B34" s="71">
        <v>4.20284383E8</v>
      </c>
      <c r="C34" s="26" t="s">
        <v>863</v>
      </c>
      <c r="D34" s="26" t="s">
        <v>864</v>
      </c>
      <c r="E34" s="232">
        <v>3.0</v>
      </c>
      <c r="F34" s="26"/>
      <c r="J34" s="102"/>
    </row>
    <row r="35" hidden="1">
      <c r="B35" s="71">
        <v>4.20286597E8</v>
      </c>
      <c r="C35" s="26" t="s">
        <v>867</v>
      </c>
      <c r="D35" s="26" t="s">
        <v>367</v>
      </c>
      <c r="E35" s="232">
        <v>16.0</v>
      </c>
      <c r="F35" s="26"/>
      <c r="J35" s="102"/>
    </row>
    <row r="36" hidden="1">
      <c r="B36" s="71">
        <v>4.2028692E8</v>
      </c>
      <c r="C36" s="26" t="s">
        <v>869</v>
      </c>
      <c r="D36" s="26" t="s">
        <v>871</v>
      </c>
      <c r="E36" s="232">
        <v>16.0</v>
      </c>
      <c r="F36" s="26"/>
      <c r="J36" s="102"/>
    </row>
    <row r="37" hidden="1">
      <c r="B37" s="71">
        <v>4.20287304E8</v>
      </c>
      <c r="C37" s="26" t="s">
        <v>872</v>
      </c>
      <c r="D37" s="26" t="s">
        <v>300</v>
      </c>
      <c r="E37" s="232">
        <v>6.0</v>
      </c>
      <c r="F37" s="26"/>
      <c r="J37" s="102"/>
    </row>
    <row r="38" hidden="1">
      <c r="B38" s="71">
        <v>4.19976557E8</v>
      </c>
      <c r="C38" s="26" t="s">
        <v>877</v>
      </c>
      <c r="D38" s="26" t="s">
        <v>464</v>
      </c>
      <c r="E38" s="232">
        <v>9.0</v>
      </c>
      <c r="F38" s="26"/>
      <c r="J38" s="102"/>
    </row>
    <row r="39" hidden="1">
      <c r="B39" s="71">
        <v>4.20287223E8</v>
      </c>
      <c r="C39" s="26" t="s">
        <v>882</v>
      </c>
      <c r="D39" s="26" t="s">
        <v>464</v>
      </c>
      <c r="E39" s="232">
        <v>2.0</v>
      </c>
      <c r="F39" s="26"/>
      <c r="J39" s="102"/>
    </row>
    <row r="40" hidden="1">
      <c r="B40" s="71">
        <v>4.20287817E8</v>
      </c>
      <c r="C40" s="26" t="s">
        <v>883</v>
      </c>
      <c r="D40" s="26" t="s">
        <v>300</v>
      </c>
      <c r="E40" s="232">
        <v>12.0</v>
      </c>
      <c r="F40" s="26"/>
      <c r="J40" s="102"/>
    </row>
    <row r="41" hidden="1">
      <c r="B41" s="71">
        <v>4.20288098E8</v>
      </c>
      <c r="C41" s="26" t="s">
        <v>885</v>
      </c>
      <c r="D41" s="49" t="s">
        <v>886</v>
      </c>
      <c r="E41" s="232">
        <v>7.0</v>
      </c>
      <c r="F41" s="49" t="s">
        <v>766</v>
      </c>
      <c r="J41" s="102"/>
    </row>
    <row r="42" hidden="1">
      <c r="B42" s="71">
        <v>4.20287978E8</v>
      </c>
      <c r="C42" s="26" t="s">
        <v>888</v>
      </c>
      <c r="D42" s="26" t="s">
        <v>889</v>
      </c>
      <c r="E42" s="232">
        <v>13.0</v>
      </c>
      <c r="F42" s="26"/>
      <c r="J42" s="102"/>
    </row>
    <row r="43" hidden="1">
      <c r="B43" s="71">
        <v>4.20288665E8</v>
      </c>
      <c r="C43" s="26" t="s">
        <v>890</v>
      </c>
      <c r="D43" s="26" t="s">
        <v>464</v>
      </c>
      <c r="E43" s="237"/>
      <c r="F43" s="26"/>
      <c r="J43" s="102"/>
    </row>
    <row r="44" hidden="1">
      <c r="B44" s="71">
        <v>4.20288801E8</v>
      </c>
      <c r="C44" s="26" t="s">
        <v>894</v>
      </c>
      <c r="D44" s="26" t="s">
        <v>367</v>
      </c>
      <c r="E44" s="232">
        <v>15.0</v>
      </c>
      <c r="F44" s="26"/>
      <c r="J44" s="102"/>
    </row>
    <row r="45" hidden="1">
      <c r="B45" s="71">
        <v>4.20288998E8</v>
      </c>
      <c r="C45" s="26" t="s">
        <v>895</v>
      </c>
      <c r="D45" s="26" t="s">
        <v>871</v>
      </c>
      <c r="E45" s="232">
        <v>13.0</v>
      </c>
      <c r="F45" s="26"/>
      <c r="J45" s="102"/>
    </row>
    <row r="46" hidden="1">
      <c r="B46" s="71">
        <v>4.20288999E8</v>
      </c>
      <c r="C46" s="26" t="s">
        <v>897</v>
      </c>
      <c r="D46" s="26" t="s">
        <v>871</v>
      </c>
      <c r="E46" s="237"/>
      <c r="F46" s="26"/>
      <c r="J46" s="102"/>
    </row>
    <row r="47" hidden="1">
      <c r="B47" s="71">
        <v>4.20289E8</v>
      </c>
      <c r="C47" s="26" t="s">
        <v>898</v>
      </c>
      <c r="D47" s="26" t="s">
        <v>871</v>
      </c>
      <c r="E47" s="237"/>
      <c r="F47" s="26"/>
      <c r="J47" s="102"/>
    </row>
    <row r="48" hidden="1">
      <c r="B48" s="71">
        <v>4.20282988E8</v>
      </c>
      <c r="C48" s="26" t="s">
        <v>901</v>
      </c>
      <c r="D48" s="26" t="s">
        <v>871</v>
      </c>
      <c r="E48" s="237"/>
      <c r="F48" s="26"/>
      <c r="J48" s="102"/>
    </row>
    <row r="49" hidden="1">
      <c r="B49" s="71">
        <v>4.20289142E8</v>
      </c>
      <c r="C49" s="26" t="s">
        <v>903</v>
      </c>
      <c r="D49" s="25" t="s">
        <v>871</v>
      </c>
      <c r="E49" s="237"/>
      <c r="F49" s="26"/>
      <c r="J49" s="102"/>
    </row>
    <row r="50" hidden="1">
      <c r="B50" s="71">
        <v>4.20288692E8</v>
      </c>
      <c r="C50" s="26" t="s">
        <v>904</v>
      </c>
      <c r="D50" s="242" t="s">
        <v>464</v>
      </c>
      <c r="E50" s="237"/>
      <c r="F50" s="26"/>
      <c r="J50" s="102"/>
    </row>
    <row r="51" hidden="1">
      <c r="B51" s="71">
        <v>4.20289352E8</v>
      </c>
      <c r="C51" s="26" t="s">
        <v>909</v>
      </c>
      <c r="D51" s="49" t="s">
        <v>886</v>
      </c>
      <c r="E51" s="237"/>
      <c r="F51" s="26"/>
      <c r="J51" s="102"/>
    </row>
    <row r="52" hidden="1">
      <c r="B52" s="71">
        <v>4.20289727E8</v>
      </c>
      <c r="C52" s="26" t="s">
        <v>912</v>
      </c>
      <c r="D52" s="25" t="s">
        <v>871</v>
      </c>
      <c r="E52" s="237"/>
      <c r="F52" s="26"/>
      <c r="J52" s="102"/>
    </row>
    <row r="53" hidden="1">
      <c r="B53" s="71">
        <v>4.20289347E8</v>
      </c>
      <c r="C53" s="26" t="s">
        <v>914</v>
      </c>
      <c r="D53" s="25" t="s">
        <v>871</v>
      </c>
      <c r="E53" s="237"/>
      <c r="F53" s="26"/>
      <c r="G53" s="25"/>
      <c r="H53" s="25"/>
      <c r="I53" s="25"/>
      <c r="J53" s="102"/>
    </row>
    <row r="54" hidden="1">
      <c r="B54" s="71"/>
      <c r="C54" s="26"/>
      <c r="D54" s="26"/>
      <c r="E54" s="237"/>
      <c r="F54" s="25"/>
      <c r="G54" s="25"/>
      <c r="H54" s="25"/>
      <c r="I54" s="25"/>
      <c r="J54" s="102"/>
    </row>
    <row r="55" hidden="1">
      <c r="B55" s="71"/>
      <c r="C55" s="26"/>
      <c r="D55" s="26"/>
      <c r="E55" s="237"/>
      <c r="F55" s="25"/>
      <c r="G55" s="25"/>
      <c r="H55" s="25"/>
      <c r="I55" s="25"/>
      <c r="J55" s="102"/>
    </row>
    <row r="56" hidden="1">
      <c r="B56" s="71"/>
      <c r="C56" s="26"/>
      <c r="D56" s="26"/>
      <c r="E56" s="237"/>
      <c r="F56" s="25"/>
      <c r="G56" s="25"/>
      <c r="H56" s="25"/>
      <c r="I56" s="25"/>
      <c r="J56" s="102"/>
    </row>
    <row r="57" hidden="1">
      <c r="B57" s="243" t="s">
        <v>917</v>
      </c>
      <c r="C57" s="244" t="s">
        <v>918</v>
      </c>
      <c r="D57" s="26"/>
      <c r="E57" s="237"/>
      <c r="F57" s="25"/>
      <c r="G57" s="25"/>
      <c r="H57" s="25"/>
      <c r="I57" s="25"/>
      <c r="J57" s="102"/>
    </row>
    <row r="58" hidden="1">
      <c r="B58" s="245">
        <v>4.20283997E8</v>
      </c>
      <c r="C58" s="245" t="s">
        <v>924</v>
      </c>
      <c r="D58" s="26"/>
      <c r="E58" s="237"/>
      <c r="F58" s="49" t="s">
        <v>766</v>
      </c>
      <c r="G58" s="25"/>
      <c r="H58" s="25"/>
      <c r="I58" s="25"/>
      <c r="J58" s="246" t="s">
        <v>925</v>
      </c>
    </row>
    <row r="59" hidden="1">
      <c r="B59" s="25">
        <v>4.20279835E8</v>
      </c>
      <c r="C59" s="25" t="s">
        <v>807</v>
      </c>
      <c r="D59" s="25" t="s">
        <v>300</v>
      </c>
      <c r="E59" s="215">
        <v>4.0</v>
      </c>
      <c r="F59" s="49" t="s">
        <v>766</v>
      </c>
      <c r="G59" s="25"/>
      <c r="H59" s="25"/>
      <c r="I59" s="247" t="s">
        <v>926</v>
      </c>
      <c r="J59" s="102"/>
    </row>
    <row r="60" hidden="1">
      <c r="B60" s="25">
        <v>4.20281475E8</v>
      </c>
      <c r="C60" s="25" t="s">
        <v>930</v>
      </c>
      <c r="D60" s="25" t="s">
        <v>261</v>
      </c>
      <c r="E60" s="220">
        <v>10.0</v>
      </c>
      <c r="F60" s="49" t="s">
        <v>766</v>
      </c>
      <c r="G60" s="247" t="s">
        <v>931</v>
      </c>
      <c r="H60" s="25"/>
      <c r="I60" s="25"/>
      <c r="J60" s="102"/>
    </row>
    <row r="61" hidden="1">
      <c r="B61" s="25">
        <v>4.20284276E8</v>
      </c>
      <c r="C61" s="25" t="s">
        <v>933</v>
      </c>
      <c r="D61" s="25" t="s">
        <v>333</v>
      </c>
      <c r="E61" s="220">
        <v>14.0</v>
      </c>
      <c r="F61" s="49" t="s">
        <v>766</v>
      </c>
      <c r="G61" s="25"/>
      <c r="H61" s="25"/>
      <c r="I61" s="25"/>
      <c r="J61" s="102"/>
    </row>
    <row r="62" hidden="1">
      <c r="B62" s="25">
        <v>4.20284615E8</v>
      </c>
      <c r="C62" s="25" t="s">
        <v>934</v>
      </c>
      <c r="D62" s="25" t="s">
        <v>367</v>
      </c>
      <c r="E62" s="220">
        <v>11.0</v>
      </c>
      <c r="F62" s="49" t="s">
        <v>766</v>
      </c>
      <c r="G62" s="25"/>
      <c r="H62" s="25"/>
      <c r="I62" s="25"/>
      <c r="J62" s="86" t="s">
        <v>938</v>
      </c>
    </row>
    <row r="63" hidden="1">
      <c r="B63" s="25">
        <v>4.20115079E8</v>
      </c>
      <c r="C63" s="25" t="s">
        <v>765</v>
      </c>
      <c r="D63" s="25" t="s">
        <v>261</v>
      </c>
      <c r="E63" s="220">
        <v>6.42307692307692</v>
      </c>
      <c r="F63" s="49" t="s">
        <v>766</v>
      </c>
      <c r="G63" s="25"/>
      <c r="H63" s="25"/>
      <c r="I63" s="25"/>
      <c r="J63" s="102"/>
    </row>
    <row r="64" hidden="1">
      <c r="B64" s="25">
        <v>4.20285236E8</v>
      </c>
      <c r="C64" s="25" t="s">
        <v>942</v>
      </c>
      <c r="D64" s="25" t="s">
        <v>943</v>
      </c>
      <c r="E64" s="220">
        <v>12.0</v>
      </c>
      <c r="F64" s="49" t="s">
        <v>766</v>
      </c>
      <c r="G64" s="25"/>
      <c r="H64" s="25"/>
      <c r="I64" s="25"/>
      <c r="J64" s="102"/>
    </row>
    <row r="65" hidden="1">
      <c r="B65" s="25">
        <v>4.19976557E8</v>
      </c>
      <c r="C65" s="25" t="s">
        <v>877</v>
      </c>
      <c r="D65" s="25" t="s">
        <v>367</v>
      </c>
      <c r="E65" s="220">
        <v>3.1181818181818173</v>
      </c>
      <c r="F65" s="49" t="s">
        <v>766</v>
      </c>
      <c r="G65" s="25"/>
      <c r="H65" s="162" t="s">
        <v>945</v>
      </c>
      <c r="I65" s="25"/>
      <c r="J65" s="102"/>
    </row>
    <row r="66" hidden="1">
      <c r="B66" s="25">
        <v>4.20279402E8</v>
      </c>
      <c r="C66" s="25" t="s">
        <v>946</v>
      </c>
      <c r="D66" s="25" t="s">
        <v>300</v>
      </c>
      <c r="E66" s="220">
        <v>8.0</v>
      </c>
      <c r="F66" s="49" t="s">
        <v>766</v>
      </c>
      <c r="G66" s="25"/>
      <c r="H66" s="25"/>
      <c r="I66" s="25"/>
      <c r="J66" s="102"/>
    </row>
    <row r="67" hidden="1">
      <c r="B67" s="25">
        <v>4.2028825E8</v>
      </c>
      <c r="C67" s="25" t="s">
        <v>948</v>
      </c>
      <c r="D67" s="25" t="s">
        <v>261</v>
      </c>
      <c r="E67" s="220">
        <v>13.454545454545453</v>
      </c>
      <c r="F67" s="49" t="s">
        <v>766</v>
      </c>
      <c r="G67" s="25"/>
      <c r="H67" s="25"/>
      <c r="I67" s="25"/>
      <c r="J67" s="102"/>
    </row>
    <row r="68" hidden="1">
      <c r="B68" s="25">
        <v>4.20290593E8</v>
      </c>
      <c r="C68" s="25" t="s">
        <v>951</v>
      </c>
      <c r="D68" s="25" t="s">
        <v>464</v>
      </c>
      <c r="E68" s="220">
        <v>8.0</v>
      </c>
      <c r="F68" s="49" t="s">
        <v>766</v>
      </c>
      <c r="G68" s="25"/>
      <c r="H68" s="25"/>
      <c r="I68" s="25"/>
      <c r="J68" s="102"/>
    </row>
    <row r="69" hidden="1">
      <c r="B69" s="25">
        <v>4.20290331E8</v>
      </c>
      <c r="C69" s="25" t="s">
        <v>952</v>
      </c>
      <c r="D69" s="25" t="s">
        <v>367</v>
      </c>
      <c r="E69" s="215">
        <v>1.0</v>
      </c>
      <c r="F69" s="49" t="s">
        <v>766</v>
      </c>
      <c r="G69" s="25"/>
      <c r="H69" s="25"/>
      <c r="I69" s="25"/>
      <c r="J69" s="246" t="s">
        <v>954</v>
      </c>
    </row>
    <row r="70" hidden="1">
      <c r="B70" s="25">
        <v>4.20291313E8</v>
      </c>
      <c r="C70" s="25" t="s">
        <v>41</v>
      </c>
      <c r="D70" s="25" t="s">
        <v>367</v>
      </c>
      <c r="E70" s="220">
        <v>2.0</v>
      </c>
      <c r="F70" s="49" t="s">
        <v>766</v>
      </c>
      <c r="G70" s="25"/>
      <c r="H70" s="25"/>
      <c r="I70" s="162" t="s">
        <v>957</v>
      </c>
      <c r="J70" s="102"/>
    </row>
    <row r="71" hidden="1">
      <c r="B71" s="25">
        <v>4.27892353E8</v>
      </c>
      <c r="C71" s="25" t="s">
        <v>958</v>
      </c>
      <c r="D71" s="25" t="s">
        <v>464</v>
      </c>
      <c r="E71" s="220">
        <v>6.0</v>
      </c>
      <c r="F71" s="49" t="s">
        <v>766</v>
      </c>
      <c r="G71" s="25"/>
      <c r="H71" s="25"/>
      <c r="I71" s="25"/>
      <c r="J71" s="102"/>
    </row>
    <row r="72" hidden="1">
      <c r="B72" s="25">
        <v>4.27892411E8</v>
      </c>
      <c r="C72" s="25" t="s">
        <v>961</v>
      </c>
      <c r="D72" s="25" t="s">
        <v>454</v>
      </c>
      <c r="E72" s="220">
        <v>9.0</v>
      </c>
      <c r="F72" s="49" t="s">
        <v>766</v>
      </c>
      <c r="G72" s="25"/>
      <c r="H72" s="25"/>
      <c r="I72" s="25"/>
      <c r="J72" s="246" t="s">
        <v>964</v>
      </c>
    </row>
    <row r="73" hidden="1">
      <c r="B73" s="25">
        <v>4.2789244E8</v>
      </c>
      <c r="C73" s="25" t="s">
        <v>965</v>
      </c>
      <c r="D73" s="25" t="s">
        <v>966</v>
      </c>
      <c r="E73" s="220">
        <v>14.625934065934064</v>
      </c>
      <c r="F73" s="49" t="s">
        <v>766</v>
      </c>
      <c r="G73" s="25"/>
      <c r="H73" s="25"/>
      <c r="I73" s="25"/>
      <c r="J73" s="246" t="s">
        <v>964</v>
      </c>
    </row>
    <row r="74" hidden="1">
      <c r="B74" s="25">
        <v>4.2029212E8</v>
      </c>
      <c r="C74" s="25" t="s">
        <v>55</v>
      </c>
      <c r="D74" s="25" t="s">
        <v>464</v>
      </c>
      <c r="E74" s="220">
        <v>11.918032786885249</v>
      </c>
      <c r="F74" s="49" t="s">
        <v>766</v>
      </c>
      <c r="G74" s="25"/>
      <c r="H74" s="25"/>
      <c r="I74" s="25"/>
      <c r="J74" s="246" t="s">
        <v>964</v>
      </c>
    </row>
    <row r="75" hidden="1">
      <c r="B75" s="25">
        <v>4.27892702E8</v>
      </c>
      <c r="C75" s="25" t="s">
        <v>62</v>
      </c>
      <c r="D75" s="25" t="s">
        <v>464</v>
      </c>
      <c r="E75" s="220">
        <v>4.0</v>
      </c>
      <c r="F75" s="49" t="s">
        <v>766</v>
      </c>
      <c r="G75" s="25"/>
      <c r="H75" s="25"/>
      <c r="I75" s="25"/>
      <c r="J75" s="246" t="s">
        <v>964</v>
      </c>
    </row>
    <row r="76" hidden="1">
      <c r="B76" s="25">
        <v>4.27892701E8</v>
      </c>
      <c r="C76" s="25" t="s">
        <v>57</v>
      </c>
      <c r="D76" s="25" t="s">
        <v>261</v>
      </c>
      <c r="E76" s="220">
        <v>6.0</v>
      </c>
      <c r="F76" s="49" t="s">
        <v>766</v>
      </c>
      <c r="G76" s="25"/>
      <c r="H76" s="25"/>
      <c r="I76" s="25"/>
      <c r="J76" s="246" t="s">
        <v>970</v>
      </c>
    </row>
    <row r="77" hidden="1">
      <c r="B77" s="25">
        <v>4.2209222E8</v>
      </c>
      <c r="C77" s="25" t="s">
        <v>67</v>
      </c>
      <c r="D77" s="25" t="s">
        <v>464</v>
      </c>
      <c r="E77" s="220">
        <v>13.0</v>
      </c>
      <c r="F77" s="49" t="s">
        <v>766</v>
      </c>
      <c r="G77" s="25"/>
      <c r="H77" s="25"/>
      <c r="I77" s="25"/>
      <c r="J77" s="102"/>
    </row>
    <row r="78" hidden="1">
      <c r="B78" s="25">
        <v>4.27892871E8</v>
      </c>
      <c r="C78" s="25" t="s">
        <v>63</v>
      </c>
      <c r="D78" s="25" t="s">
        <v>464</v>
      </c>
      <c r="E78" s="220">
        <v>8.0</v>
      </c>
      <c r="F78" s="49" t="s">
        <v>766</v>
      </c>
      <c r="G78" s="25"/>
      <c r="H78" s="25"/>
      <c r="I78" s="25"/>
      <c r="J78" s="102"/>
    </row>
    <row r="79" hidden="1">
      <c r="B79" s="25">
        <v>4.27893682E8</v>
      </c>
      <c r="C79" s="25" t="s">
        <v>975</v>
      </c>
      <c r="D79" s="25" t="s">
        <v>464</v>
      </c>
      <c r="E79" s="220">
        <v>14.0</v>
      </c>
      <c r="F79" s="49" t="s">
        <v>766</v>
      </c>
      <c r="G79" s="25"/>
      <c r="H79" s="25"/>
      <c r="I79" s="25"/>
      <c r="J79" s="102"/>
    </row>
    <row r="80" hidden="1">
      <c r="B80" s="25">
        <v>4.2789356E8</v>
      </c>
      <c r="C80" s="25" t="s">
        <v>976</v>
      </c>
      <c r="D80" s="25" t="s">
        <v>261</v>
      </c>
      <c r="E80" s="220">
        <v>3.3999999999999986</v>
      </c>
      <c r="F80" s="49" t="s">
        <v>766</v>
      </c>
      <c r="G80" s="25"/>
      <c r="H80" s="25"/>
      <c r="I80" s="162" t="s">
        <v>957</v>
      </c>
      <c r="J80" s="102"/>
    </row>
    <row r="81" hidden="1">
      <c r="B81" s="25">
        <v>4.20287984E8</v>
      </c>
      <c r="C81" s="25" t="s">
        <v>978</v>
      </c>
      <c r="D81" s="25" t="s">
        <v>261</v>
      </c>
      <c r="E81" s="220">
        <v>13.0</v>
      </c>
      <c r="F81" s="49" t="s">
        <v>766</v>
      </c>
      <c r="G81" s="25"/>
      <c r="H81" s="25"/>
      <c r="I81" s="25"/>
      <c r="J81" s="102"/>
    </row>
    <row r="82" hidden="1">
      <c r="B82" s="25">
        <v>4.27893419E8</v>
      </c>
      <c r="C82" s="25" t="s">
        <v>980</v>
      </c>
      <c r="D82" s="25" t="s">
        <v>261</v>
      </c>
      <c r="E82" s="220">
        <v>10.537333333333333</v>
      </c>
      <c r="F82" s="49" t="s">
        <v>766</v>
      </c>
      <c r="G82" s="25"/>
      <c r="H82" s="25"/>
      <c r="I82" s="25"/>
      <c r="J82" s="102"/>
    </row>
    <row r="83" hidden="1">
      <c r="B83" s="25">
        <v>4.27893604E8</v>
      </c>
      <c r="C83" s="25" t="s">
        <v>79</v>
      </c>
      <c r="D83" s="25" t="s">
        <v>261</v>
      </c>
      <c r="E83" s="220">
        <v>9.333333333333332</v>
      </c>
      <c r="F83" s="49" t="s">
        <v>766</v>
      </c>
      <c r="G83" s="25"/>
      <c r="H83" s="25"/>
      <c r="I83" s="25"/>
      <c r="J83" s="246" t="s">
        <v>982</v>
      </c>
    </row>
    <row r="84" hidden="1">
      <c r="B84" s="25">
        <v>1.0054201E7</v>
      </c>
      <c r="C84" s="25" t="s">
        <v>983</v>
      </c>
      <c r="D84" s="25" t="s">
        <v>261</v>
      </c>
      <c r="E84" s="220">
        <v>16.0</v>
      </c>
      <c r="F84" s="49" t="s">
        <v>766</v>
      </c>
      <c r="G84" s="25"/>
      <c r="H84" s="25"/>
      <c r="I84" s="25"/>
      <c r="J84" s="246" t="s">
        <v>984</v>
      </c>
    </row>
    <row r="85" hidden="1">
      <c r="B85" s="25">
        <v>4.27894243E8</v>
      </c>
      <c r="C85" s="25" t="s">
        <v>83</v>
      </c>
      <c r="D85" s="25" t="s">
        <v>333</v>
      </c>
      <c r="E85" s="220">
        <v>7.571428571428573</v>
      </c>
      <c r="F85" s="49" t="s">
        <v>766</v>
      </c>
      <c r="G85" s="25"/>
      <c r="H85" s="25"/>
      <c r="I85" s="25"/>
      <c r="J85" s="246" t="s">
        <v>987</v>
      </c>
    </row>
    <row r="86" hidden="1">
      <c r="B86" s="25">
        <v>4.27894282E8</v>
      </c>
      <c r="C86" s="25" t="s">
        <v>989</v>
      </c>
      <c r="D86" s="25" t="s">
        <v>454</v>
      </c>
      <c r="E86" s="220">
        <v>14.457142857142856</v>
      </c>
      <c r="F86" s="49" t="s">
        <v>766</v>
      </c>
      <c r="G86" s="25"/>
      <c r="H86" s="25"/>
      <c r="I86" s="25"/>
      <c r="J86" s="246" t="s">
        <v>991</v>
      </c>
    </row>
    <row r="87" hidden="1">
      <c r="B87" s="25">
        <v>4.27894554E8</v>
      </c>
      <c r="C87" s="25" t="s">
        <v>994</v>
      </c>
      <c r="D87" s="25" t="s">
        <v>995</v>
      </c>
      <c r="E87" s="220">
        <v>11.150259067357513</v>
      </c>
      <c r="F87" s="49" t="s">
        <v>766</v>
      </c>
      <c r="G87" s="25"/>
      <c r="H87" s="25"/>
      <c r="I87" s="25"/>
      <c r="J87" s="102"/>
    </row>
    <row r="88">
      <c r="A88" s="249" t="s">
        <v>996</v>
      </c>
      <c r="B88" s="25"/>
      <c r="C88" s="25"/>
      <c r="D88" s="25"/>
      <c r="E88" s="220"/>
      <c r="F88" s="26"/>
      <c r="G88" s="25"/>
      <c r="H88" s="25"/>
      <c r="I88" s="25"/>
      <c r="J88" s="102"/>
    </row>
    <row r="89">
      <c r="A89" s="25"/>
      <c r="B89" s="71">
        <v>4.20281745E8</v>
      </c>
      <c r="C89" s="26" t="s">
        <v>105</v>
      </c>
      <c r="D89" s="26" t="s">
        <v>219</v>
      </c>
      <c r="E89" s="215">
        <v>4.0</v>
      </c>
      <c r="F89" s="49" t="s">
        <v>766</v>
      </c>
      <c r="G89" s="25"/>
      <c r="H89" s="25"/>
      <c r="I89" s="162" t="s">
        <v>998</v>
      </c>
      <c r="J89" s="102"/>
    </row>
    <row r="90">
      <c r="A90" s="25"/>
      <c r="B90" s="71">
        <v>4.20282574E8</v>
      </c>
      <c r="C90" s="26" t="s">
        <v>999</v>
      </c>
      <c r="D90" s="26" t="s">
        <v>262</v>
      </c>
      <c r="E90" s="220">
        <v>15.0</v>
      </c>
      <c r="F90" s="49" t="s">
        <v>766</v>
      </c>
      <c r="G90" s="25"/>
      <c r="H90" s="25"/>
      <c r="I90" s="162" t="s">
        <v>1001</v>
      </c>
      <c r="J90" s="102"/>
    </row>
    <row r="91">
      <c r="A91" s="25"/>
      <c r="B91" s="71">
        <v>4.20284773E8</v>
      </c>
      <c r="C91" s="26" t="s">
        <v>1002</v>
      </c>
      <c r="D91" s="26" t="s">
        <v>219</v>
      </c>
      <c r="E91" s="220">
        <v>13.0</v>
      </c>
      <c r="F91" s="49" t="s">
        <v>766</v>
      </c>
      <c r="G91" s="25"/>
      <c r="H91" s="25"/>
      <c r="I91" s="162" t="s">
        <v>1001</v>
      </c>
      <c r="J91" s="102"/>
    </row>
    <row r="92">
      <c r="A92" s="25"/>
      <c r="B92" s="71">
        <v>4.2028186E8</v>
      </c>
      <c r="C92" s="26" t="s">
        <v>273</v>
      </c>
      <c r="D92" s="26" t="s">
        <v>1003</v>
      </c>
      <c r="E92" s="220">
        <v>9.142857142857142</v>
      </c>
      <c r="F92" s="49" t="s">
        <v>766</v>
      </c>
      <c r="G92" s="25"/>
      <c r="H92" s="25"/>
      <c r="I92" s="162" t="s">
        <v>1004</v>
      </c>
      <c r="J92" s="102"/>
    </row>
    <row r="93">
      <c r="A93" s="25"/>
      <c r="B93" s="71">
        <v>4.20286462E8</v>
      </c>
      <c r="C93" s="26" t="s">
        <v>1008</v>
      </c>
      <c r="D93" s="26" t="s">
        <v>368</v>
      </c>
      <c r="E93" s="215">
        <v>0.0</v>
      </c>
      <c r="F93" s="49" t="s">
        <v>766</v>
      </c>
      <c r="G93" s="25"/>
      <c r="H93" s="25"/>
      <c r="I93" s="25"/>
      <c r="J93" s="246" t="s">
        <v>1012</v>
      </c>
    </row>
    <row r="94">
      <c r="A94" s="25"/>
      <c r="B94" s="71">
        <v>4.20288695E8</v>
      </c>
      <c r="C94" s="26" t="s">
        <v>1013</v>
      </c>
      <c r="D94" s="26" t="s">
        <v>368</v>
      </c>
      <c r="E94" s="220">
        <v>5.0</v>
      </c>
      <c r="F94" s="49" t="s">
        <v>766</v>
      </c>
      <c r="G94" s="25"/>
      <c r="H94" s="25"/>
      <c r="I94" s="25"/>
      <c r="J94" s="246" t="s">
        <v>1015</v>
      </c>
    </row>
    <row r="95">
      <c r="A95" s="25"/>
      <c r="B95" s="71">
        <v>4.20290398E8</v>
      </c>
      <c r="C95" s="26" t="s">
        <v>1016</v>
      </c>
      <c r="D95" s="26" t="s">
        <v>219</v>
      </c>
      <c r="E95" s="220">
        <v>8.0</v>
      </c>
      <c r="F95" s="49" t="s">
        <v>766</v>
      </c>
      <c r="G95" s="25"/>
      <c r="H95" s="25"/>
      <c r="I95" s="25"/>
      <c r="J95" s="246" t="s">
        <v>1017</v>
      </c>
    </row>
    <row r="96">
      <c r="A96" s="25"/>
      <c r="B96" s="71">
        <v>4.20288905E8</v>
      </c>
      <c r="C96" s="26" t="s">
        <v>1018</v>
      </c>
      <c r="D96" s="26" t="s">
        <v>219</v>
      </c>
      <c r="E96" s="220">
        <v>9.0</v>
      </c>
      <c r="F96" s="49" t="s">
        <v>766</v>
      </c>
      <c r="G96" s="162" t="s">
        <v>1019</v>
      </c>
      <c r="J96" s="246" t="s">
        <v>1020</v>
      </c>
    </row>
    <row r="97">
      <c r="A97" s="25"/>
      <c r="B97" s="71">
        <v>4.20290575E8</v>
      </c>
      <c r="C97" s="26" t="s">
        <v>1021</v>
      </c>
      <c r="D97" s="26" t="s">
        <v>262</v>
      </c>
      <c r="E97" s="220">
        <v>2.0</v>
      </c>
      <c r="F97" s="49" t="s">
        <v>766</v>
      </c>
      <c r="G97" s="247" t="s">
        <v>1024</v>
      </c>
      <c r="J97" s="102"/>
    </row>
    <row r="98">
      <c r="A98" s="25"/>
      <c r="B98" s="71">
        <v>4.20291234E8</v>
      </c>
      <c r="C98" s="26" t="s">
        <v>15</v>
      </c>
      <c r="D98" s="26" t="s">
        <v>262</v>
      </c>
      <c r="E98" s="220">
        <v>5.0</v>
      </c>
      <c r="F98" s="49" t="s">
        <v>766</v>
      </c>
      <c r="G98" s="25"/>
      <c r="I98" s="86" t="s">
        <v>1025</v>
      </c>
      <c r="J98" s="246" t="s">
        <v>1027</v>
      </c>
    </row>
    <row r="99">
      <c r="A99" s="25"/>
      <c r="B99" s="71">
        <v>4.20291172E8</v>
      </c>
      <c r="C99" s="26" t="s">
        <v>51</v>
      </c>
      <c r="D99" s="26" t="s">
        <v>262</v>
      </c>
      <c r="E99" s="220">
        <v>13.0</v>
      </c>
      <c r="F99" s="26"/>
      <c r="G99" s="25"/>
      <c r="I99" s="246" t="s">
        <v>1028</v>
      </c>
      <c r="J99" s="102"/>
    </row>
    <row r="100">
      <c r="A100" s="25"/>
      <c r="B100" s="71">
        <v>4.2029091E8</v>
      </c>
      <c r="C100" s="26" t="s">
        <v>37</v>
      </c>
      <c r="D100" s="26" t="s">
        <v>368</v>
      </c>
      <c r="E100" s="220">
        <v>6.0</v>
      </c>
      <c r="F100" s="49" t="s">
        <v>766</v>
      </c>
      <c r="G100" s="25"/>
      <c r="I100" s="250" t="s">
        <v>1030</v>
      </c>
      <c r="J100" s="250" t="s">
        <v>1031</v>
      </c>
    </row>
    <row r="101">
      <c r="A101" s="25"/>
      <c r="B101" s="71">
        <v>4.20289329E8</v>
      </c>
      <c r="C101" s="26" t="s">
        <v>59</v>
      </c>
      <c r="D101" s="26" t="s">
        <v>219</v>
      </c>
      <c r="E101" s="220">
        <v>5.0</v>
      </c>
      <c r="F101" s="26"/>
      <c r="G101" s="25"/>
      <c r="J101" s="102"/>
    </row>
    <row r="102">
      <c r="A102" s="25"/>
      <c r="B102" s="71">
        <v>4.20292058E8</v>
      </c>
      <c r="C102" s="26" t="s">
        <v>1034</v>
      </c>
      <c r="D102" s="26" t="s">
        <v>219</v>
      </c>
      <c r="E102" s="220">
        <v>1.845360824742265</v>
      </c>
      <c r="F102" s="49" t="s">
        <v>766</v>
      </c>
      <c r="G102" s="25"/>
      <c r="J102" s="246" t="s">
        <v>1036</v>
      </c>
    </row>
    <row r="103">
      <c r="A103" s="25"/>
      <c r="B103" s="71">
        <v>4.27893083E8</v>
      </c>
      <c r="C103" s="26" t="s">
        <v>81</v>
      </c>
      <c r="D103" s="26" t="s">
        <v>262</v>
      </c>
      <c r="E103" s="220">
        <v>0.0</v>
      </c>
      <c r="F103" s="49" t="s">
        <v>766</v>
      </c>
      <c r="G103" s="25"/>
      <c r="I103" s="86" t="s">
        <v>1037</v>
      </c>
      <c r="J103" s="102"/>
    </row>
    <row r="104">
      <c r="A104" s="25"/>
      <c r="B104" s="71">
        <v>4.27893158E8</v>
      </c>
      <c r="C104" s="26" t="s">
        <v>1038</v>
      </c>
      <c r="D104" s="26" t="s">
        <v>219</v>
      </c>
      <c r="E104" s="220">
        <v>5.0</v>
      </c>
      <c r="F104" s="49" t="s">
        <v>766</v>
      </c>
      <c r="G104" s="25"/>
      <c r="I104" s="250" t="s">
        <v>1039</v>
      </c>
      <c r="J104" s="102"/>
      <c r="L104" s="251">
        <v>46247.0</v>
      </c>
      <c r="N104" s="252">
        <v>46256.0</v>
      </c>
    </row>
    <row r="105">
      <c r="A105" s="25"/>
      <c r="B105" s="71">
        <v>4.27894103E8</v>
      </c>
      <c r="C105" s="26" t="s">
        <v>87</v>
      </c>
      <c r="D105" s="26" t="s">
        <v>368</v>
      </c>
      <c r="E105" s="220">
        <v>2.0</v>
      </c>
      <c r="F105" s="49" t="s">
        <v>766</v>
      </c>
      <c r="G105" s="25"/>
      <c r="J105" s="246" t="s">
        <v>1042</v>
      </c>
    </row>
    <row r="106" ht="30.75" customHeight="1">
      <c r="A106" s="25"/>
      <c r="B106" s="71">
        <v>4.27894635E8</v>
      </c>
      <c r="C106" s="26" t="s">
        <v>137</v>
      </c>
      <c r="D106" s="26" t="s">
        <v>262</v>
      </c>
      <c r="E106" s="215">
        <v>10.0</v>
      </c>
      <c r="F106" s="49" t="s">
        <v>766</v>
      </c>
      <c r="G106" s="25"/>
      <c r="I106" s="169" t="s">
        <v>1044</v>
      </c>
      <c r="J106" s="102"/>
    </row>
    <row r="107">
      <c r="A107" s="25"/>
      <c r="B107" s="71">
        <v>4.27894711E8</v>
      </c>
      <c r="C107" s="26" t="s">
        <v>133</v>
      </c>
      <c r="D107" s="26" t="s">
        <v>368</v>
      </c>
      <c r="E107" s="220">
        <v>0.9578947368421069</v>
      </c>
      <c r="F107" s="49" t="s">
        <v>766</v>
      </c>
      <c r="G107" s="25"/>
      <c r="H107" s="86" t="s">
        <v>1045</v>
      </c>
      <c r="J107" s="246" t="s">
        <v>1046</v>
      </c>
    </row>
    <row r="108">
      <c r="A108" s="25"/>
      <c r="B108" s="71">
        <v>4.27894594E8</v>
      </c>
      <c r="C108" s="26" t="s">
        <v>1048</v>
      </c>
      <c r="D108" s="26" t="s">
        <v>262</v>
      </c>
      <c r="E108" s="220">
        <v>5.0</v>
      </c>
      <c r="F108" s="49" t="s">
        <v>766</v>
      </c>
      <c r="G108" s="25"/>
      <c r="I108" s="86" t="s">
        <v>1049</v>
      </c>
      <c r="J108" s="102"/>
    </row>
    <row r="109">
      <c r="A109" s="25"/>
      <c r="B109" s="71">
        <v>4.27895172E8</v>
      </c>
      <c r="C109" s="26" t="s">
        <v>1051</v>
      </c>
      <c r="D109" s="26" t="s">
        <v>262</v>
      </c>
      <c r="E109" s="220">
        <v>2.0</v>
      </c>
      <c r="F109" s="49" t="s">
        <v>766</v>
      </c>
      <c r="G109" s="25"/>
      <c r="I109" s="86" t="s">
        <v>1049</v>
      </c>
      <c r="J109" s="102"/>
    </row>
    <row r="110">
      <c r="A110" s="25"/>
      <c r="B110" s="71">
        <v>4.20290465E8</v>
      </c>
      <c r="C110" s="26" t="s">
        <v>170</v>
      </c>
      <c r="D110" s="26" t="s">
        <v>420</v>
      </c>
      <c r="E110" s="220">
        <v>7.225806451612904</v>
      </c>
      <c r="F110" s="49" t="s">
        <v>766</v>
      </c>
      <c r="G110" s="25"/>
      <c r="I110" s="246" t="s">
        <v>1052</v>
      </c>
      <c r="J110" s="102"/>
    </row>
    <row r="111">
      <c r="A111" s="25"/>
      <c r="B111" s="71">
        <v>1.0054618E7</v>
      </c>
      <c r="C111" s="26" t="s">
        <v>171</v>
      </c>
      <c r="D111" s="26" t="s">
        <v>262</v>
      </c>
      <c r="E111" s="220">
        <v>9.0</v>
      </c>
      <c r="F111" s="26"/>
      <c r="G111" s="25"/>
      <c r="J111" s="102"/>
    </row>
    <row r="112">
      <c r="A112" s="25"/>
      <c r="B112" s="71">
        <v>4.27895494E8</v>
      </c>
      <c r="C112" s="26" t="s">
        <v>1055</v>
      </c>
      <c r="D112" s="26" t="s">
        <v>219</v>
      </c>
      <c r="E112" s="220">
        <v>11.384615384615383</v>
      </c>
      <c r="F112" s="26"/>
      <c r="G112" s="25"/>
      <c r="J112" s="102"/>
    </row>
    <row r="113">
      <c r="A113" s="25"/>
      <c r="B113" s="71">
        <v>4.27895651E8</v>
      </c>
      <c r="C113" s="26" t="s">
        <v>192</v>
      </c>
      <c r="D113" s="26" t="s">
        <v>219</v>
      </c>
      <c r="E113" s="220">
        <v>0.0</v>
      </c>
      <c r="F113" s="49" t="s">
        <v>766</v>
      </c>
      <c r="G113" s="25"/>
      <c r="J113" s="246" t="s">
        <v>1059</v>
      </c>
    </row>
    <row r="114">
      <c r="A114" s="25"/>
      <c r="B114" s="71">
        <v>4.27895793E8</v>
      </c>
      <c r="C114" s="26" t="s">
        <v>199</v>
      </c>
      <c r="D114" s="26" t="s">
        <v>262</v>
      </c>
      <c r="E114" s="215">
        <v>0.0</v>
      </c>
      <c r="F114" s="49" t="s">
        <v>766</v>
      </c>
      <c r="G114" s="25"/>
      <c r="J114" s="246" t="s">
        <v>1059</v>
      </c>
    </row>
    <row r="115">
      <c r="A115" s="25"/>
      <c r="B115" s="71">
        <v>4.27895861E8</v>
      </c>
      <c r="C115" s="26" t="s">
        <v>1060</v>
      </c>
      <c r="D115" s="26" t="s">
        <v>219</v>
      </c>
      <c r="E115" s="220">
        <v>4.929388235294116</v>
      </c>
      <c r="F115" s="26"/>
      <c r="G115" s="25"/>
      <c r="J115" s="102"/>
    </row>
    <row r="116">
      <c r="A116" s="25"/>
      <c r="B116" s="71">
        <v>4.27896018E8</v>
      </c>
      <c r="C116" s="26" t="s">
        <v>1061</v>
      </c>
      <c r="D116" s="26" t="s">
        <v>368</v>
      </c>
      <c r="E116" s="215">
        <v>1.0</v>
      </c>
      <c r="F116" s="26"/>
      <c r="G116" s="25"/>
      <c r="J116" s="102"/>
    </row>
    <row r="117">
      <c r="A117" s="25"/>
      <c r="B117" s="71">
        <v>4.27894576E8</v>
      </c>
      <c r="C117" s="26" t="s">
        <v>1064</v>
      </c>
      <c r="D117" s="26" t="s">
        <v>368</v>
      </c>
      <c r="E117" s="215">
        <v>2.0</v>
      </c>
      <c r="F117" s="49" t="s">
        <v>766</v>
      </c>
      <c r="G117" s="25"/>
      <c r="J117" s="246" t="s">
        <v>1065</v>
      </c>
    </row>
    <row r="118">
      <c r="A118" s="25"/>
      <c r="B118" s="71">
        <v>4.27896589E8</v>
      </c>
      <c r="C118" s="26" t="s">
        <v>1067</v>
      </c>
      <c r="D118" s="26" t="s">
        <v>219</v>
      </c>
      <c r="E118" s="220">
        <v>5.0</v>
      </c>
      <c r="F118" s="49" t="s">
        <v>766</v>
      </c>
      <c r="G118" s="25"/>
      <c r="J118" s="246" t="s">
        <v>1068</v>
      </c>
    </row>
    <row r="119">
      <c r="A119" s="25"/>
      <c r="B119" s="71">
        <v>4.27896566E8</v>
      </c>
      <c r="C119" s="26" t="s">
        <v>1069</v>
      </c>
      <c r="D119" s="26" t="s">
        <v>262</v>
      </c>
      <c r="E119" s="220">
        <v>6.0</v>
      </c>
      <c r="F119" s="49" t="s">
        <v>766</v>
      </c>
      <c r="G119" s="25"/>
      <c r="I119" s="86" t="s">
        <v>1070</v>
      </c>
      <c r="J119" s="246" t="s">
        <v>1071</v>
      </c>
    </row>
    <row r="120">
      <c r="A120" s="25"/>
      <c r="B120" s="71">
        <v>4.27895423E8</v>
      </c>
      <c r="C120" s="26" t="s">
        <v>225</v>
      </c>
      <c r="D120" s="26" t="s">
        <v>368</v>
      </c>
      <c r="E120" s="215">
        <v>0.0</v>
      </c>
      <c r="F120" s="49" t="s">
        <v>766</v>
      </c>
      <c r="G120" s="25"/>
      <c r="I120" s="86" t="s">
        <v>1074</v>
      </c>
      <c r="J120" s="102"/>
    </row>
    <row r="121">
      <c r="A121" s="25"/>
      <c r="B121" s="71">
        <v>4.27896661E8</v>
      </c>
      <c r="C121" s="26" t="s">
        <v>1076</v>
      </c>
      <c r="D121" s="26" t="s">
        <v>455</v>
      </c>
      <c r="E121" s="220">
        <v>12.0</v>
      </c>
      <c r="F121" s="26"/>
      <c r="G121" s="25"/>
      <c r="J121" s="102"/>
    </row>
    <row r="122">
      <c r="A122" s="25"/>
      <c r="B122" s="71">
        <v>4.27896825E8</v>
      </c>
      <c r="C122" s="26" t="s">
        <v>1080</v>
      </c>
      <c r="D122" s="26" t="s">
        <v>219</v>
      </c>
      <c r="E122" s="220">
        <v>15.0</v>
      </c>
      <c r="F122" s="26"/>
      <c r="G122" s="25"/>
      <c r="J122" s="102"/>
    </row>
    <row r="123">
      <c r="A123" s="25"/>
      <c r="B123" s="71">
        <v>4.27897012E8</v>
      </c>
      <c r="C123" s="26" t="s">
        <v>1082</v>
      </c>
      <c r="D123" s="26" t="s">
        <v>219</v>
      </c>
      <c r="E123" s="220">
        <v>8.0</v>
      </c>
      <c r="F123" s="49" t="s">
        <v>766</v>
      </c>
      <c r="G123" s="25"/>
      <c r="I123" s="86" t="s">
        <v>1001</v>
      </c>
      <c r="J123" s="246" t="s">
        <v>1083</v>
      </c>
    </row>
    <row r="124">
      <c r="A124" s="25"/>
      <c r="B124" s="71">
        <v>4.27897136E8</v>
      </c>
      <c r="C124" s="26" t="s">
        <v>1084</v>
      </c>
      <c r="D124" s="26" t="s">
        <v>262</v>
      </c>
      <c r="E124" s="220">
        <v>5.0</v>
      </c>
      <c r="F124" s="49" t="s">
        <v>766</v>
      </c>
      <c r="G124" s="25"/>
      <c r="I124" s="86" t="s">
        <v>1001</v>
      </c>
      <c r="J124" s="246" t="s">
        <v>1085</v>
      </c>
    </row>
    <row r="125">
      <c r="A125" s="25"/>
      <c r="B125" s="71">
        <v>4.27897201E8</v>
      </c>
      <c r="C125" s="26" t="s">
        <v>238</v>
      </c>
      <c r="D125" s="26" t="s">
        <v>219</v>
      </c>
      <c r="E125" s="220">
        <v>2.0</v>
      </c>
      <c r="F125" s="49" t="s">
        <v>766</v>
      </c>
      <c r="G125" s="25"/>
      <c r="I125" s="86" t="s">
        <v>1086</v>
      </c>
      <c r="J125" s="102"/>
    </row>
    <row r="126">
      <c r="A126" s="25"/>
      <c r="B126" s="71">
        <v>4.27897256E8</v>
      </c>
      <c r="C126" s="26" t="s">
        <v>1089</v>
      </c>
      <c r="D126" s="26" t="s">
        <v>219</v>
      </c>
      <c r="E126" s="220">
        <v>2.0</v>
      </c>
      <c r="F126" s="49" t="s">
        <v>766</v>
      </c>
      <c r="G126" s="25"/>
      <c r="J126" s="86" t="s">
        <v>1090</v>
      </c>
    </row>
    <row r="127">
      <c r="A127" s="25"/>
      <c r="B127" s="71">
        <v>4.27896148E8</v>
      </c>
      <c r="C127" s="26" t="s">
        <v>239</v>
      </c>
      <c r="D127" s="26" t="s">
        <v>368</v>
      </c>
      <c r="E127" s="220">
        <v>13.818181818181817</v>
      </c>
      <c r="F127" s="49" t="s">
        <v>766</v>
      </c>
      <c r="G127" s="25"/>
      <c r="I127" s="86" t="s">
        <v>1094</v>
      </c>
      <c r="J127" s="102"/>
    </row>
    <row r="128">
      <c r="A128" s="25"/>
      <c r="B128" s="71">
        <v>4.27897457E8</v>
      </c>
      <c r="C128" s="26" t="s">
        <v>242</v>
      </c>
      <c r="D128" s="26" t="s">
        <v>262</v>
      </c>
      <c r="E128" s="220">
        <v>4.0</v>
      </c>
      <c r="F128" s="26"/>
      <c r="G128" s="25"/>
      <c r="J128" s="102"/>
    </row>
    <row r="129">
      <c r="A129" s="25"/>
      <c r="B129" s="71">
        <v>4.2028687E8</v>
      </c>
      <c r="C129" s="26" t="s">
        <v>246</v>
      </c>
      <c r="D129" s="26" t="s">
        <v>368</v>
      </c>
      <c r="E129" s="215">
        <v>3.0</v>
      </c>
      <c r="F129" s="49" t="s">
        <v>766</v>
      </c>
      <c r="G129" s="25"/>
      <c r="J129" s="246" t="s">
        <v>1096</v>
      </c>
    </row>
    <row r="130">
      <c r="A130" s="25"/>
      <c r="B130" s="71">
        <v>4.27897403E8</v>
      </c>
      <c r="C130" s="26" t="s">
        <v>247</v>
      </c>
      <c r="D130" s="26" t="s">
        <v>219</v>
      </c>
      <c r="E130" s="220">
        <v>14.0</v>
      </c>
      <c r="F130" s="26"/>
      <c r="G130" s="25"/>
      <c r="J130" s="102"/>
    </row>
    <row r="131">
      <c r="A131" s="25"/>
      <c r="B131" s="71">
        <v>4.2789774E8</v>
      </c>
      <c r="C131" s="26" t="s">
        <v>260</v>
      </c>
      <c r="D131" s="26" t="s">
        <v>219</v>
      </c>
      <c r="E131" s="220">
        <v>1.0</v>
      </c>
      <c r="F131" s="49" t="s">
        <v>766</v>
      </c>
      <c r="G131" s="25"/>
      <c r="J131" s="246" t="s">
        <v>1099</v>
      </c>
    </row>
    <row r="132">
      <c r="A132" s="25"/>
      <c r="B132" s="71">
        <v>4.27897682E8</v>
      </c>
      <c r="C132" s="26" t="s">
        <v>1101</v>
      </c>
      <c r="D132" s="26" t="s">
        <v>368</v>
      </c>
      <c r="E132" s="220">
        <v>10.0</v>
      </c>
      <c r="F132" s="49" t="s">
        <v>766</v>
      </c>
      <c r="G132" s="25"/>
      <c r="I132" s="255" t="s">
        <v>1102</v>
      </c>
      <c r="J132" s="102"/>
    </row>
    <row r="133">
      <c r="A133" s="25"/>
      <c r="B133" s="71">
        <v>4.27897099E8</v>
      </c>
      <c r="C133" s="26" t="s">
        <v>1103</v>
      </c>
      <c r="D133" s="26" t="s">
        <v>219</v>
      </c>
      <c r="E133" s="215">
        <v>0.0</v>
      </c>
      <c r="F133" s="49" t="s">
        <v>766</v>
      </c>
      <c r="G133" s="25"/>
      <c r="J133" s="246" t="s">
        <v>1104</v>
      </c>
    </row>
    <row r="134">
      <c r="A134" s="25"/>
      <c r="B134" s="71">
        <v>4.2789614E8</v>
      </c>
      <c r="C134" s="26" t="s">
        <v>1105</v>
      </c>
      <c r="D134" s="26" t="s">
        <v>219</v>
      </c>
      <c r="E134" s="220">
        <v>3.6222857142857148</v>
      </c>
      <c r="F134" s="49" t="s">
        <v>766</v>
      </c>
      <c r="G134" s="25"/>
      <c r="I134" s="246" t="s">
        <v>1107</v>
      </c>
      <c r="J134" s="102"/>
    </row>
    <row r="135">
      <c r="A135" s="25"/>
      <c r="B135" s="71">
        <v>4.278979E8</v>
      </c>
      <c r="C135" s="26" t="s">
        <v>266</v>
      </c>
      <c r="D135" s="26" t="s">
        <v>368</v>
      </c>
      <c r="E135" s="220">
        <v>14.0</v>
      </c>
      <c r="F135" s="49" t="s">
        <v>766</v>
      </c>
      <c r="G135" s="25"/>
      <c r="I135" s="86" t="s">
        <v>1113</v>
      </c>
      <c r="J135" s="102"/>
    </row>
    <row r="136">
      <c r="A136" s="25"/>
      <c r="B136" s="71">
        <v>4.27897873E8</v>
      </c>
      <c r="C136" s="26" t="s">
        <v>1114</v>
      </c>
      <c r="D136" s="26" t="s">
        <v>420</v>
      </c>
      <c r="E136" s="220">
        <v>16.0</v>
      </c>
      <c r="F136" s="26"/>
      <c r="G136" s="25"/>
      <c r="J136" s="102"/>
    </row>
    <row r="137">
      <c r="A137" s="25"/>
      <c r="B137" s="71">
        <v>4.27898222E8</v>
      </c>
      <c r="C137" s="26" t="s">
        <v>276</v>
      </c>
      <c r="D137" s="26" t="s">
        <v>368</v>
      </c>
      <c r="E137" s="220">
        <v>16.0</v>
      </c>
      <c r="F137" s="49" t="s">
        <v>766</v>
      </c>
      <c r="G137" s="25"/>
      <c r="I137" s="86" t="s">
        <v>1116</v>
      </c>
      <c r="J137" s="102"/>
    </row>
    <row r="138">
      <c r="A138" s="25"/>
      <c r="B138" s="71">
        <v>4.27898379E8</v>
      </c>
      <c r="C138" s="26" t="s">
        <v>1117</v>
      </c>
      <c r="D138" s="26" t="s">
        <v>368</v>
      </c>
      <c r="E138" s="220">
        <v>14.0</v>
      </c>
      <c r="F138" s="26"/>
      <c r="G138" s="25"/>
      <c r="I138" s="86" t="s">
        <v>1118</v>
      </c>
      <c r="J138" s="102"/>
    </row>
    <row r="139">
      <c r="A139" s="25"/>
      <c r="B139" s="71">
        <v>4.27898514E8</v>
      </c>
      <c r="C139" s="26" t="s">
        <v>280</v>
      </c>
      <c r="D139" s="26" t="s">
        <v>219</v>
      </c>
      <c r="E139" s="220">
        <v>13.0</v>
      </c>
      <c r="F139" s="49" t="s">
        <v>766</v>
      </c>
      <c r="G139" s="25"/>
      <c r="H139" s="250" t="s">
        <v>1121</v>
      </c>
      <c r="J139" s="102"/>
    </row>
    <row r="140">
      <c r="A140" s="25"/>
      <c r="B140" s="71">
        <v>4.27898406E8</v>
      </c>
      <c r="C140" s="26" t="s">
        <v>288</v>
      </c>
      <c r="D140" s="26" t="s">
        <v>368</v>
      </c>
      <c r="E140" s="220">
        <v>15.0</v>
      </c>
      <c r="F140" s="26"/>
      <c r="G140" s="25"/>
      <c r="J140" s="102"/>
    </row>
    <row r="141">
      <c r="A141" s="25"/>
      <c r="B141" s="71">
        <v>4.27898936E8</v>
      </c>
      <c r="C141" s="26" t="s">
        <v>301</v>
      </c>
      <c r="D141" s="26" t="s">
        <v>219</v>
      </c>
      <c r="E141" s="220">
        <v>3.7799999999999994</v>
      </c>
      <c r="F141" s="49" t="s">
        <v>766</v>
      </c>
      <c r="G141" s="25"/>
      <c r="I141" s="246" t="s">
        <v>1123</v>
      </c>
      <c r="J141" s="246" t="s">
        <v>1124</v>
      </c>
    </row>
    <row r="142">
      <c r="A142" s="25"/>
      <c r="B142" s="71">
        <v>4.20291025E8</v>
      </c>
      <c r="C142" s="26" t="s">
        <v>1125</v>
      </c>
      <c r="D142" s="26" t="s">
        <v>262</v>
      </c>
      <c r="E142" s="220">
        <v>11.2</v>
      </c>
      <c r="F142" s="26"/>
      <c r="G142" s="25"/>
      <c r="J142" s="102"/>
    </row>
    <row r="143">
      <c r="A143" s="25"/>
      <c r="B143" s="71">
        <v>1.0055887E7</v>
      </c>
      <c r="C143" s="26" t="s">
        <v>310</v>
      </c>
      <c r="D143" s="26" t="s">
        <v>219</v>
      </c>
      <c r="E143" s="220">
        <v>13.369426751592357</v>
      </c>
      <c r="F143" s="26"/>
      <c r="G143" s="25"/>
      <c r="J143" s="102"/>
    </row>
    <row r="144">
      <c r="A144" s="249" t="s">
        <v>1128</v>
      </c>
      <c r="B144" s="71"/>
      <c r="C144" s="26"/>
      <c r="D144" s="26"/>
      <c r="E144" s="220"/>
      <c r="F144" s="26"/>
      <c r="G144" s="25"/>
      <c r="J144" s="102"/>
    </row>
    <row r="145">
      <c r="A145" s="25"/>
      <c r="B145" s="71"/>
      <c r="C145" s="26"/>
      <c r="D145" s="26"/>
      <c r="E145" s="220"/>
      <c r="F145" s="26"/>
      <c r="G145" s="25"/>
      <c r="J145" s="102"/>
    </row>
    <row r="146">
      <c r="A146" s="25"/>
      <c r="B146" s="71"/>
      <c r="C146" s="26"/>
      <c r="D146" s="26"/>
      <c r="E146" s="220"/>
      <c r="F146" s="26"/>
      <c r="G146" s="25"/>
      <c r="J146" s="102"/>
    </row>
    <row r="147">
      <c r="A147" s="25"/>
      <c r="B147" s="71"/>
      <c r="C147" s="26"/>
      <c r="D147" s="26"/>
      <c r="E147" s="220"/>
      <c r="F147" s="26"/>
      <c r="G147" s="25"/>
      <c r="J147" s="102"/>
    </row>
    <row r="148">
      <c r="A148" s="25"/>
      <c r="B148" s="71"/>
      <c r="C148" s="26"/>
      <c r="D148" s="26"/>
      <c r="E148" s="220"/>
      <c r="F148" s="26"/>
      <c r="G148" s="25"/>
      <c r="J148" s="102"/>
    </row>
    <row r="149">
      <c r="A149" s="25"/>
      <c r="B149" s="71"/>
      <c r="C149" s="26"/>
      <c r="D149" s="26"/>
      <c r="E149" s="220"/>
      <c r="F149" s="26"/>
      <c r="G149" s="25"/>
      <c r="J149" s="102"/>
    </row>
    <row r="150">
      <c r="A150" s="25"/>
      <c r="B150" s="71"/>
      <c r="C150" s="26"/>
      <c r="D150" s="26"/>
      <c r="E150" s="220"/>
      <c r="F150" s="26"/>
      <c r="G150" s="25"/>
      <c r="J150" s="102"/>
    </row>
    <row r="151">
      <c r="A151" s="25"/>
      <c r="B151" s="71"/>
      <c r="C151" s="26"/>
      <c r="D151" s="26"/>
      <c r="E151" s="220"/>
      <c r="F151" s="26"/>
      <c r="G151" s="25"/>
      <c r="J151" s="102"/>
    </row>
    <row r="152">
      <c r="A152" s="25"/>
      <c r="B152" s="71"/>
      <c r="C152" s="26"/>
      <c r="D152" s="26"/>
      <c r="E152" s="220"/>
      <c r="F152" s="26"/>
      <c r="G152" s="25"/>
      <c r="J152" s="102"/>
    </row>
    <row r="153">
      <c r="A153" s="25"/>
      <c r="B153" s="71"/>
      <c r="C153" s="26"/>
      <c r="D153" s="26"/>
      <c r="E153" s="220"/>
      <c r="F153" s="26"/>
      <c r="G153" s="25"/>
      <c r="J153" s="102"/>
    </row>
    <row r="154">
      <c r="A154" s="25"/>
      <c r="B154" s="71"/>
      <c r="C154" s="26"/>
      <c r="D154" s="26"/>
      <c r="E154" s="220"/>
      <c r="F154" s="26"/>
      <c r="G154" s="25"/>
      <c r="J154" s="102"/>
    </row>
    <row r="155">
      <c r="A155" s="25"/>
      <c r="B155" s="25"/>
      <c r="C155" s="25"/>
      <c r="D155" s="25"/>
      <c r="E155" s="25"/>
      <c r="F155" s="25"/>
      <c r="G155" s="25"/>
      <c r="J155" s="102"/>
    </row>
    <row r="156">
      <c r="A156" s="25"/>
      <c r="B156" s="25"/>
      <c r="C156" s="25"/>
      <c r="D156" s="25"/>
      <c r="E156" s="25"/>
      <c r="F156" s="25"/>
      <c r="G156" s="25"/>
      <c r="J156" s="102"/>
    </row>
    <row r="157">
      <c r="A157" s="25"/>
      <c r="B157" s="25"/>
      <c r="C157" s="25"/>
      <c r="D157" s="25"/>
      <c r="E157" s="25"/>
      <c r="F157" s="25"/>
      <c r="G157" s="25"/>
      <c r="J157" s="102"/>
    </row>
    <row r="158">
      <c r="A158" s="25"/>
      <c r="B158" s="25"/>
      <c r="C158" s="25"/>
      <c r="D158" s="25"/>
      <c r="E158" s="25"/>
      <c r="F158" s="25"/>
      <c r="G158" s="25"/>
      <c r="J158" s="102"/>
    </row>
    <row r="159">
      <c r="J159" s="102"/>
    </row>
    <row r="160">
      <c r="J160" s="102"/>
    </row>
    <row r="161">
      <c r="J161" s="102"/>
    </row>
    <row r="162">
      <c r="J162" s="102"/>
    </row>
    <row r="163">
      <c r="J163" s="102"/>
    </row>
    <row r="164">
      <c r="J164" s="102"/>
    </row>
    <row r="165">
      <c r="J165" s="102"/>
    </row>
    <row r="166">
      <c r="J166" s="102"/>
    </row>
    <row r="167">
      <c r="J167" s="102"/>
    </row>
    <row r="168">
      <c r="J168" s="102"/>
    </row>
    <row r="169">
      <c r="J169" s="102"/>
    </row>
    <row r="170">
      <c r="J170" s="102"/>
    </row>
    <row r="171">
      <c r="J171" s="102"/>
    </row>
    <row r="172">
      <c r="J172" s="102"/>
    </row>
    <row r="173">
      <c r="J173" s="102"/>
    </row>
    <row r="174">
      <c r="J174" s="102"/>
    </row>
    <row r="175">
      <c r="J175" s="102"/>
    </row>
    <row r="176">
      <c r="J176" s="102"/>
    </row>
    <row r="177">
      <c r="J177" s="102"/>
    </row>
    <row r="178">
      <c r="J178" s="102"/>
    </row>
    <row r="179">
      <c r="J179" s="102"/>
    </row>
    <row r="180">
      <c r="J180" s="102"/>
    </row>
    <row r="181">
      <c r="J181" s="102"/>
    </row>
    <row r="182">
      <c r="J182" s="102"/>
    </row>
    <row r="183">
      <c r="J183" s="102"/>
    </row>
    <row r="184">
      <c r="J184" s="102"/>
    </row>
    <row r="185">
      <c r="J185" s="102"/>
    </row>
    <row r="186">
      <c r="J186" s="102"/>
    </row>
    <row r="187">
      <c r="J187" s="102"/>
    </row>
    <row r="188">
      <c r="J188" s="102"/>
    </row>
    <row r="189">
      <c r="J189" s="102"/>
    </row>
    <row r="190">
      <c r="J190" s="102"/>
    </row>
    <row r="191">
      <c r="J191" s="102"/>
    </row>
    <row r="192">
      <c r="J192" s="102"/>
    </row>
    <row r="193">
      <c r="J193" s="102"/>
    </row>
    <row r="194">
      <c r="J194" s="102"/>
    </row>
    <row r="195">
      <c r="J195" s="102"/>
    </row>
    <row r="196">
      <c r="J196" s="102"/>
    </row>
    <row r="197">
      <c r="J197" s="102"/>
    </row>
    <row r="198">
      <c r="J198" s="102"/>
    </row>
    <row r="199">
      <c r="J199" s="102"/>
    </row>
    <row r="200">
      <c r="J200" s="102"/>
    </row>
    <row r="201">
      <c r="J201" s="102"/>
    </row>
    <row r="202">
      <c r="J202" s="102"/>
    </row>
    <row r="203">
      <c r="J203" s="102"/>
    </row>
    <row r="204">
      <c r="J204" s="102"/>
    </row>
    <row r="205">
      <c r="J205" s="102"/>
    </row>
    <row r="206">
      <c r="J206" s="102"/>
    </row>
    <row r="207">
      <c r="J207" s="102"/>
    </row>
    <row r="208">
      <c r="J208" s="102"/>
    </row>
    <row r="209">
      <c r="J209" s="102"/>
    </row>
    <row r="210">
      <c r="J210" s="102"/>
    </row>
    <row r="211">
      <c r="J211" s="102"/>
    </row>
    <row r="212">
      <c r="J212" s="102"/>
    </row>
    <row r="213">
      <c r="J213" s="102"/>
    </row>
    <row r="214">
      <c r="J214" s="102"/>
    </row>
    <row r="215">
      <c r="J215" s="102"/>
    </row>
    <row r="216">
      <c r="J216" s="102"/>
    </row>
    <row r="217">
      <c r="J217" s="102"/>
    </row>
    <row r="218">
      <c r="J218" s="102"/>
    </row>
    <row r="219">
      <c r="J219" s="102"/>
    </row>
    <row r="220">
      <c r="J220" s="102"/>
    </row>
    <row r="221">
      <c r="J221" s="102"/>
    </row>
    <row r="222">
      <c r="J222" s="102"/>
    </row>
    <row r="223">
      <c r="J223" s="102"/>
    </row>
    <row r="224">
      <c r="J224" s="102"/>
    </row>
    <row r="225">
      <c r="J225" s="102"/>
    </row>
    <row r="226">
      <c r="J226" s="102"/>
    </row>
    <row r="227">
      <c r="J227" s="102"/>
    </row>
    <row r="228">
      <c r="J228" s="102"/>
    </row>
    <row r="229">
      <c r="J229" s="102"/>
    </row>
    <row r="230">
      <c r="J230" s="102"/>
    </row>
    <row r="231">
      <c r="J231" s="102"/>
    </row>
    <row r="232">
      <c r="J232" s="102"/>
    </row>
    <row r="233">
      <c r="J233" s="102"/>
    </row>
    <row r="234">
      <c r="J234" s="102"/>
    </row>
    <row r="235">
      <c r="J235" s="102"/>
    </row>
    <row r="236">
      <c r="J236" s="102"/>
    </row>
    <row r="237">
      <c r="J237" s="102"/>
    </row>
    <row r="238">
      <c r="J238" s="102"/>
    </row>
    <row r="239">
      <c r="J239" s="102"/>
    </row>
    <row r="240">
      <c r="J240" s="102"/>
    </row>
    <row r="241">
      <c r="J241" s="102"/>
    </row>
    <row r="242">
      <c r="J242" s="102"/>
    </row>
    <row r="243">
      <c r="J243" s="102"/>
    </row>
    <row r="244">
      <c r="J244" s="102"/>
    </row>
    <row r="245">
      <c r="J245" s="102"/>
    </row>
    <row r="246">
      <c r="J246" s="102"/>
    </row>
    <row r="247">
      <c r="J247" s="102"/>
    </row>
    <row r="248">
      <c r="J248" s="102"/>
    </row>
    <row r="249">
      <c r="J249" s="102"/>
    </row>
    <row r="250">
      <c r="J250" s="102"/>
    </row>
    <row r="251">
      <c r="J251" s="102"/>
    </row>
    <row r="252">
      <c r="J252" s="102"/>
    </row>
    <row r="253">
      <c r="J253" s="102"/>
    </row>
    <row r="254">
      <c r="J254" s="102"/>
    </row>
    <row r="255">
      <c r="J255" s="102"/>
    </row>
    <row r="256">
      <c r="J256" s="102"/>
    </row>
    <row r="257">
      <c r="J257" s="102"/>
    </row>
    <row r="258">
      <c r="J258" s="102"/>
    </row>
    <row r="259">
      <c r="J259" s="102"/>
    </row>
    <row r="260">
      <c r="J260" s="102"/>
    </row>
    <row r="261">
      <c r="J261" s="102"/>
    </row>
    <row r="262">
      <c r="J262" s="102"/>
    </row>
    <row r="263">
      <c r="J263" s="102"/>
    </row>
    <row r="264">
      <c r="J264" s="102"/>
    </row>
    <row r="265">
      <c r="J265" s="102"/>
    </row>
    <row r="266">
      <c r="J266" s="102"/>
    </row>
    <row r="267">
      <c r="J267" s="102"/>
    </row>
    <row r="268">
      <c r="J268" s="102"/>
    </row>
    <row r="269">
      <c r="J269" s="102"/>
    </row>
    <row r="270">
      <c r="J270" s="102"/>
    </row>
    <row r="271">
      <c r="J271" s="102"/>
    </row>
    <row r="272">
      <c r="J272" s="102"/>
    </row>
    <row r="273">
      <c r="J273" s="102"/>
    </row>
    <row r="274">
      <c r="J274" s="102"/>
    </row>
    <row r="275">
      <c r="J275" s="102"/>
    </row>
    <row r="276">
      <c r="J276" s="102"/>
    </row>
    <row r="277">
      <c r="J277" s="102"/>
    </row>
    <row r="278">
      <c r="J278" s="102"/>
    </row>
    <row r="279">
      <c r="J279" s="102"/>
    </row>
    <row r="280">
      <c r="J280" s="102"/>
    </row>
    <row r="281">
      <c r="J281" s="102"/>
    </row>
    <row r="282">
      <c r="J282" s="102"/>
    </row>
    <row r="283">
      <c r="J283" s="102"/>
    </row>
    <row r="284">
      <c r="J284" s="102"/>
    </row>
    <row r="285">
      <c r="J285" s="102"/>
    </row>
    <row r="286">
      <c r="J286" s="102"/>
    </row>
    <row r="287">
      <c r="J287" s="102"/>
    </row>
    <row r="288">
      <c r="J288" s="102"/>
    </row>
    <row r="289">
      <c r="J289" s="102"/>
    </row>
    <row r="290">
      <c r="J290" s="102"/>
    </row>
    <row r="291">
      <c r="J291" s="102"/>
    </row>
    <row r="292">
      <c r="J292" s="102"/>
    </row>
    <row r="293">
      <c r="J293" s="102"/>
    </row>
    <row r="294">
      <c r="J294" s="102"/>
    </row>
    <row r="295">
      <c r="J295" s="102"/>
    </row>
    <row r="296">
      <c r="J296" s="102"/>
    </row>
    <row r="297">
      <c r="J297" s="102"/>
    </row>
    <row r="298">
      <c r="J298" s="102"/>
    </row>
    <row r="299">
      <c r="J299" s="102"/>
    </row>
    <row r="300">
      <c r="J300" s="102"/>
    </row>
    <row r="301">
      <c r="J301" s="102"/>
    </row>
    <row r="302">
      <c r="J302" s="102"/>
    </row>
    <row r="303">
      <c r="J303" s="102"/>
    </row>
    <row r="304">
      <c r="J304" s="102"/>
    </row>
    <row r="305">
      <c r="J305" s="102"/>
    </row>
    <row r="306">
      <c r="J306" s="102"/>
    </row>
    <row r="307">
      <c r="J307" s="102"/>
    </row>
    <row r="308">
      <c r="J308" s="102"/>
    </row>
    <row r="309">
      <c r="J309" s="102"/>
    </row>
    <row r="310">
      <c r="J310" s="102"/>
    </row>
    <row r="311">
      <c r="J311" s="102"/>
    </row>
    <row r="312">
      <c r="J312" s="102"/>
    </row>
    <row r="313">
      <c r="J313" s="102"/>
    </row>
    <row r="314">
      <c r="J314" s="102"/>
    </row>
    <row r="315">
      <c r="J315" s="102"/>
    </row>
    <row r="316">
      <c r="J316" s="102"/>
    </row>
    <row r="317">
      <c r="J317" s="102"/>
    </row>
    <row r="318">
      <c r="J318" s="102"/>
    </row>
    <row r="319">
      <c r="J319" s="102"/>
    </row>
    <row r="320">
      <c r="J320" s="102"/>
    </row>
    <row r="321">
      <c r="J321" s="102"/>
    </row>
    <row r="322">
      <c r="J322" s="102"/>
    </row>
    <row r="323">
      <c r="J323" s="102"/>
    </row>
    <row r="324">
      <c r="J324" s="102"/>
    </row>
    <row r="325">
      <c r="J325" s="102"/>
    </row>
    <row r="326">
      <c r="J326" s="102"/>
    </row>
    <row r="327">
      <c r="J327" s="102"/>
    </row>
    <row r="328">
      <c r="J328" s="102"/>
    </row>
    <row r="329">
      <c r="J329" s="102"/>
    </row>
    <row r="330">
      <c r="J330" s="102"/>
    </row>
    <row r="331">
      <c r="J331" s="102"/>
    </row>
    <row r="332">
      <c r="J332" s="102"/>
    </row>
    <row r="333">
      <c r="J333" s="102"/>
    </row>
    <row r="334">
      <c r="J334" s="102"/>
    </row>
    <row r="335">
      <c r="J335" s="102"/>
    </row>
    <row r="336">
      <c r="J336" s="102"/>
    </row>
    <row r="337">
      <c r="J337" s="102"/>
    </row>
    <row r="338">
      <c r="J338" s="102"/>
    </row>
    <row r="339">
      <c r="J339" s="102"/>
    </row>
    <row r="340">
      <c r="J340" s="102"/>
    </row>
    <row r="341">
      <c r="J341" s="102"/>
    </row>
    <row r="342">
      <c r="J342" s="102"/>
    </row>
    <row r="343">
      <c r="J343" s="102"/>
    </row>
    <row r="344">
      <c r="J344" s="102"/>
    </row>
    <row r="345">
      <c r="J345" s="102"/>
    </row>
    <row r="346">
      <c r="J346" s="102"/>
    </row>
    <row r="347">
      <c r="J347" s="102"/>
    </row>
    <row r="348">
      <c r="J348" s="102"/>
    </row>
    <row r="349">
      <c r="J349" s="102"/>
    </row>
    <row r="350">
      <c r="J350" s="102"/>
    </row>
    <row r="351">
      <c r="J351" s="102"/>
    </row>
    <row r="352">
      <c r="J352" s="102"/>
    </row>
    <row r="353">
      <c r="J353" s="102"/>
    </row>
    <row r="354">
      <c r="J354" s="102"/>
    </row>
    <row r="355">
      <c r="J355" s="102"/>
    </row>
    <row r="356">
      <c r="J356" s="102"/>
    </row>
    <row r="357">
      <c r="J357" s="102"/>
    </row>
    <row r="358">
      <c r="J358" s="102"/>
    </row>
    <row r="359">
      <c r="J359" s="102"/>
    </row>
    <row r="360">
      <c r="J360" s="102"/>
    </row>
    <row r="361">
      <c r="J361" s="102"/>
    </row>
    <row r="362">
      <c r="J362" s="102"/>
    </row>
    <row r="363">
      <c r="J363" s="102"/>
    </row>
    <row r="364">
      <c r="J364" s="102"/>
    </row>
    <row r="365">
      <c r="J365" s="102"/>
    </row>
    <row r="366">
      <c r="J366" s="102"/>
    </row>
    <row r="367">
      <c r="J367" s="102"/>
    </row>
    <row r="368">
      <c r="J368" s="102"/>
    </row>
    <row r="369">
      <c r="J369" s="102"/>
    </row>
    <row r="370">
      <c r="J370" s="102"/>
    </row>
    <row r="371">
      <c r="J371" s="102"/>
    </row>
    <row r="372">
      <c r="J372" s="102"/>
    </row>
    <row r="373">
      <c r="J373" s="102"/>
    </row>
    <row r="374">
      <c r="J374" s="102"/>
    </row>
    <row r="375">
      <c r="J375" s="102"/>
    </row>
    <row r="376">
      <c r="J376" s="102"/>
    </row>
    <row r="377">
      <c r="J377" s="102"/>
    </row>
    <row r="378">
      <c r="J378" s="102"/>
    </row>
    <row r="379">
      <c r="J379" s="102"/>
    </row>
    <row r="380">
      <c r="J380" s="102"/>
    </row>
    <row r="381">
      <c r="J381" s="102"/>
    </row>
    <row r="382">
      <c r="J382" s="102"/>
    </row>
    <row r="383">
      <c r="J383" s="102"/>
    </row>
    <row r="384">
      <c r="J384" s="102"/>
    </row>
    <row r="385">
      <c r="J385" s="102"/>
    </row>
    <row r="386">
      <c r="J386" s="102"/>
    </row>
    <row r="387">
      <c r="J387" s="102"/>
    </row>
    <row r="388">
      <c r="J388" s="102"/>
    </row>
    <row r="389">
      <c r="J389" s="102"/>
    </row>
    <row r="390">
      <c r="J390" s="102"/>
    </row>
    <row r="391">
      <c r="J391" s="102"/>
    </row>
    <row r="392">
      <c r="J392" s="102"/>
    </row>
    <row r="393">
      <c r="J393" s="102"/>
    </row>
    <row r="394">
      <c r="J394" s="102"/>
    </row>
    <row r="395">
      <c r="J395" s="102"/>
    </row>
    <row r="396">
      <c r="J396" s="102"/>
    </row>
    <row r="397">
      <c r="J397" s="102"/>
    </row>
    <row r="398">
      <c r="J398" s="102"/>
    </row>
    <row r="399">
      <c r="J399" s="102"/>
    </row>
    <row r="400">
      <c r="J400" s="102"/>
    </row>
    <row r="401">
      <c r="J401" s="102"/>
    </row>
    <row r="402">
      <c r="J402" s="102"/>
    </row>
    <row r="403">
      <c r="J403" s="102"/>
    </row>
    <row r="404">
      <c r="J404" s="102"/>
    </row>
    <row r="405">
      <c r="J405" s="102"/>
    </row>
    <row r="406">
      <c r="J406" s="102"/>
    </row>
    <row r="407">
      <c r="J407" s="102"/>
    </row>
    <row r="408">
      <c r="J408" s="102"/>
    </row>
    <row r="409">
      <c r="J409" s="102"/>
    </row>
    <row r="410">
      <c r="J410" s="102"/>
    </row>
    <row r="411">
      <c r="J411" s="102"/>
    </row>
    <row r="412">
      <c r="J412" s="102"/>
    </row>
    <row r="413">
      <c r="J413" s="102"/>
    </row>
    <row r="414">
      <c r="J414" s="102"/>
    </row>
    <row r="415">
      <c r="J415" s="102"/>
    </row>
    <row r="416">
      <c r="J416" s="102"/>
    </row>
    <row r="417">
      <c r="J417" s="102"/>
    </row>
    <row r="418">
      <c r="J418" s="102"/>
    </row>
    <row r="419">
      <c r="J419" s="102"/>
    </row>
    <row r="420">
      <c r="J420" s="102"/>
    </row>
    <row r="421">
      <c r="J421" s="102"/>
    </row>
    <row r="422">
      <c r="J422" s="102"/>
    </row>
    <row r="423">
      <c r="J423" s="102"/>
    </row>
    <row r="424">
      <c r="J424" s="102"/>
    </row>
    <row r="425">
      <c r="J425" s="102"/>
    </row>
    <row r="426">
      <c r="J426" s="102"/>
    </row>
    <row r="427">
      <c r="J427" s="102"/>
    </row>
    <row r="428">
      <c r="J428" s="102"/>
    </row>
    <row r="429">
      <c r="J429" s="102"/>
    </row>
    <row r="430">
      <c r="J430" s="102"/>
    </row>
    <row r="431">
      <c r="J431" s="102"/>
    </row>
    <row r="432">
      <c r="J432" s="102"/>
    </row>
    <row r="433">
      <c r="J433" s="102"/>
    </row>
    <row r="434">
      <c r="J434" s="102"/>
    </row>
    <row r="435">
      <c r="J435" s="102"/>
    </row>
    <row r="436">
      <c r="J436" s="102"/>
    </row>
    <row r="437">
      <c r="J437" s="102"/>
    </row>
    <row r="438">
      <c r="J438" s="102"/>
    </row>
    <row r="439">
      <c r="J439" s="102"/>
    </row>
    <row r="440">
      <c r="J440" s="102"/>
    </row>
    <row r="441">
      <c r="J441" s="102"/>
    </row>
    <row r="442">
      <c r="J442" s="102"/>
    </row>
    <row r="443">
      <c r="J443" s="102"/>
    </row>
    <row r="444">
      <c r="J444" s="102"/>
    </row>
    <row r="445">
      <c r="J445" s="102"/>
    </row>
    <row r="446">
      <c r="J446" s="102"/>
    </row>
    <row r="447">
      <c r="J447" s="102"/>
    </row>
    <row r="448">
      <c r="J448" s="102"/>
    </row>
    <row r="449">
      <c r="J449" s="102"/>
    </row>
    <row r="450">
      <c r="J450" s="102"/>
    </row>
    <row r="451">
      <c r="J451" s="102"/>
    </row>
    <row r="452">
      <c r="J452" s="102"/>
    </row>
    <row r="453">
      <c r="J453" s="102"/>
    </row>
    <row r="454">
      <c r="J454" s="102"/>
    </row>
    <row r="455">
      <c r="J455" s="102"/>
    </row>
    <row r="456">
      <c r="J456" s="102"/>
    </row>
    <row r="457">
      <c r="J457" s="102"/>
    </row>
    <row r="458">
      <c r="J458" s="102"/>
    </row>
    <row r="459">
      <c r="J459" s="102"/>
    </row>
    <row r="460">
      <c r="J460" s="102"/>
    </row>
    <row r="461">
      <c r="J461" s="102"/>
    </row>
    <row r="462">
      <c r="J462" s="102"/>
    </row>
    <row r="463">
      <c r="J463" s="102"/>
    </row>
    <row r="464">
      <c r="J464" s="102"/>
    </row>
    <row r="465">
      <c r="J465" s="102"/>
    </row>
    <row r="466">
      <c r="J466" s="102"/>
    </row>
    <row r="467">
      <c r="J467" s="102"/>
    </row>
    <row r="468">
      <c r="J468" s="102"/>
    </row>
    <row r="469">
      <c r="J469" s="102"/>
    </row>
    <row r="470">
      <c r="J470" s="102"/>
    </row>
    <row r="471">
      <c r="J471" s="102"/>
    </row>
    <row r="472">
      <c r="J472" s="102"/>
    </row>
    <row r="473">
      <c r="J473" s="102"/>
    </row>
    <row r="474">
      <c r="J474" s="102"/>
    </row>
    <row r="475">
      <c r="J475" s="102"/>
    </row>
    <row r="476">
      <c r="J476" s="102"/>
    </row>
    <row r="477">
      <c r="J477" s="102"/>
    </row>
    <row r="478">
      <c r="J478" s="102"/>
    </row>
    <row r="479">
      <c r="J479" s="102"/>
    </row>
    <row r="480">
      <c r="J480" s="102"/>
    </row>
    <row r="481">
      <c r="J481" s="102"/>
    </row>
    <row r="482">
      <c r="J482" s="102"/>
    </row>
    <row r="483">
      <c r="J483" s="102"/>
    </row>
    <row r="484">
      <c r="J484" s="102"/>
    </row>
    <row r="485">
      <c r="J485" s="102"/>
    </row>
    <row r="486">
      <c r="J486" s="102"/>
    </row>
    <row r="487">
      <c r="J487" s="102"/>
    </row>
    <row r="488">
      <c r="J488" s="102"/>
    </row>
    <row r="489">
      <c r="J489" s="102"/>
    </row>
    <row r="490">
      <c r="J490" s="102"/>
    </row>
    <row r="491">
      <c r="J491" s="102"/>
    </row>
    <row r="492">
      <c r="J492" s="102"/>
    </row>
    <row r="493">
      <c r="J493" s="102"/>
    </row>
    <row r="494">
      <c r="J494" s="102"/>
    </row>
    <row r="495">
      <c r="J495" s="102"/>
    </row>
    <row r="496">
      <c r="J496" s="102"/>
    </row>
    <row r="497">
      <c r="J497" s="102"/>
    </row>
    <row r="498">
      <c r="J498" s="102"/>
    </row>
    <row r="499">
      <c r="J499" s="102"/>
    </row>
    <row r="500">
      <c r="J500" s="102"/>
    </row>
    <row r="501">
      <c r="J501" s="102"/>
    </row>
    <row r="502">
      <c r="J502" s="102"/>
    </row>
    <row r="503">
      <c r="J503" s="102"/>
    </row>
    <row r="504">
      <c r="J504" s="102"/>
    </row>
    <row r="505">
      <c r="J505" s="102"/>
    </row>
    <row r="506">
      <c r="J506" s="102"/>
    </row>
    <row r="507">
      <c r="J507" s="102"/>
    </row>
    <row r="508">
      <c r="J508" s="102"/>
    </row>
    <row r="509">
      <c r="J509" s="102"/>
    </row>
    <row r="510">
      <c r="J510" s="102"/>
    </row>
    <row r="511">
      <c r="J511" s="102"/>
    </row>
    <row r="512">
      <c r="J512" s="102"/>
    </row>
    <row r="513">
      <c r="J513" s="102"/>
    </row>
    <row r="514">
      <c r="J514" s="102"/>
    </row>
    <row r="515">
      <c r="J515" s="102"/>
    </row>
    <row r="516">
      <c r="J516" s="102"/>
    </row>
    <row r="517">
      <c r="J517" s="102"/>
    </row>
    <row r="518">
      <c r="J518" s="102"/>
    </row>
    <row r="519">
      <c r="J519" s="102"/>
    </row>
    <row r="520">
      <c r="J520" s="102"/>
    </row>
    <row r="521">
      <c r="J521" s="102"/>
    </row>
    <row r="522">
      <c r="J522" s="102"/>
    </row>
    <row r="523">
      <c r="J523" s="102"/>
    </row>
    <row r="524">
      <c r="J524" s="102"/>
    </row>
    <row r="525">
      <c r="J525" s="102"/>
    </row>
    <row r="526">
      <c r="J526" s="102"/>
    </row>
    <row r="527">
      <c r="J527" s="102"/>
    </row>
    <row r="528">
      <c r="J528" s="102"/>
    </row>
    <row r="529">
      <c r="J529" s="102"/>
    </row>
    <row r="530">
      <c r="J530" s="102"/>
    </row>
    <row r="531">
      <c r="J531" s="102"/>
    </row>
    <row r="532">
      <c r="J532" s="102"/>
    </row>
    <row r="533">
      <c r="J533" s="102"/>
    </row>
    <row r="534">
      <c r="J534" s="102"/>
    </row>
    <row r="535">
      <c r="J535" s="102"/>
    </row>
    <row r="536">
      <c r="J536" s="102"/>
    </row>
    <row r="537">
      <c r="J537" s="102"/>
    </row>
    <row r="538">
      <c r="J538" s="102"/>
    </row>
    <row r="539">
      <c r="J539" s="102"/>
    </row>
    <row r="540">
      <c r="J540" s="102"/>
    </row>
    <row r="541">
      <c r="J541" s="102"/>
    </row>
    <row r="542">
      <c r="J542" s="102"/>
    </row>
    <row r="543">
      <c r="J543" s="102"/>
    </row>
    <row r="544">
      <c r="J544" s="102"/>
    </row>
    <row r="545">
      <c r="J545" s="102"/>
    </row>
    <row r="546">
      <c r="J546" s="102"/>
    </row>
    <row r="547">
      <c r="J547" s="102"/>
    </row>
    <row r="548">
      <c r="J548" s="102"/>
    </row>
    <row r="549">
      <c r="J549" s="102"/>
    </row>
    <row r="550">
      <c r="J550" s="102"/>
    </row>
    <row r="551">
      <c r="J551" s="102"/>
    </row>
    <row r="552">
      <c r="J552" s="102"/>
    </row>
    <row r="553">
      <c r="J553" s="102"/>
    </row>
    <row r="554">
      <c r="J554" s="102"/>
    </row>
    <row r="555">
      <c r="J555" s="102"/>
    </row>
    <row r="556">
      <c r="J556" s="102"/>
    </row>
    <row r="557">
      <c r="J557" s="102"/>
    </row>
    <row r="558">
      <c r="J558" s="102"/>
    </row>
    <row r="559">
      <c r="J559" s="102"/>
    </row>
    <row r="560">
      <c r="J560" s="102"/>
    </row>
    <row r="561">
      <c r="J561" s="102"/>
    </row>
    <row r="562">
      <c r="J562" s="102"/>
    </row>
    <row r="563">
      <c r="J563" s="102"/>
    </row>
    <row r="564">
      <c r="J564" s="102"/>
    </row>
    <row r="565">
      <c r="J565" s="102"/>
    </row>
    <row r="566">
      <c r="J566" s="102"/>
    </row>
    <row r="567">
      <c r="J567" s="102"/>
    </row>
    <row r="568">
      <c r="J568" s="102"/>
    </row>
    <row r="569">
      <c r="J569" s="102"/>
    </row>
    <row r="570">
      <c r="J570" s="102"/>
    </row>
    <row r="571">
      <c r="J571" s="102"/>
    </row>
    <row r="572">
      <c r="J572" s="102"/>
    </row>
    <row r="573">
      <c r="J573" s="102"/>
    </row>
    <row r="574">
      <c r="J574" s="102"/>
    </row>
    <row r="575">
      <c r="J575" s="102"/>
    </row>
    <row r="576">
      <c r="J576" s="102"/>
    </row>
    <row r="577">
      <c r="J577" s="102"/>
    </row>
    <row r="578">
      <c r="J578" s="102"/>
    </row>
    <row r="579">
      <c r="J579" s="102"/>
    </row>
    <row r="580">
      <c r="J580" s="102"/>
    </row>
    <row r="581">
      <c r="J581" s="102"/>
    </row>
    <row r="582">
      <c r="J582" s="102"/>
    </row>
    <row r="583">
      <c r="J583" s="102"/>
    </row>
    <row r="584">
      <c r="J584" s="102"/>
    </row>
    <row r="585">
      <c r="J585" s="102"/>
    </row>
    <row r="586">
      <c r="J586" s="102"/>
    </row>
    <row r="587">
      <c r="J587" s="102"/>
    </row>
    <row r="588">
      <c r="J588" s="102"/>
    </row>
    <row r="589">
      <c r="J589" s="102"/>
    </row>
    <row r="590">
      <c r="J590" s="102"/>
    </row>
    <row r="591">
      <c r="J591" s="102"/>
    </row>
    <row r="592">
      <c r="J592" s="102"/>
    </row>
    <row r="593">
      <c r="J593" s="102"/>
    </row>
    <row r="594">
      <c r="J594" s="102"/>
    </row>
    <row r="595">
      <c r="J595" s="102"/>
    </row>
    <row r="596">
      <c r="J596" s="102"/>
    </row>
    <row r="597">
      <c r="J597" s="102"/>
    </row>
    <row r="598">
      <c r="J598" s="102"/>
    </row>
    <row r="599">
      <c r="J599" s="102"/>
    </row>
    <row r="600">
      <c r="J600" s="102"/>
    </row>
    <row r="601">
      <c r="J601" s="102"/>
    </row>
    <row r="602">
      <c r="J602" s="102"/>
    </row>
    <row r="603">
      <c r="J603" s="102"/>
    </row>
    <row r="604">
      <c r="J604" s="102"/>
    </row>
    <row r="605">
      <c r="J605" s="102"/>
    </row>
    <row r="606">
      <c r="J606" s="102"/>
    </row>
    <row r="607">
      <c r="J607" s="102"/>
    </row>
    <row r="608">
      <c r="J608" s="102"/>
    </row>
    <row r="609">
      <c r="J609" s="102"/>
    </row>
    <row r="610">
      <c r="J610" s="102"/>
    </row>
    <row r="611">
      <c r="J611" s="102"/>
    </row>
    <row r="612">
      <c r="J612" s="102"/>
    </row>
    <row r="613">
      <c r="J613" s="102"/>
    </row>
    <row r="614">
      <c r="J614" s="102"/>
    </row>
    <row r="615">
      <c r="J615" s="102"/>
    </row>
    <row r="616">
      <c r="J616" s="102"/>
    </row>
    <row r="617">
      <c r="J617" s="102"/>
    </row>
    <row r="618">
      <c r="J618" s="102"/>
    </row>
    <row r="619">
      <c r="J619" s="102"/>
    </row>
    <row r="620">
      <c r="J620" s="102"/>
    </row>
    <row r="621">
      <c r="J621" s="102"/>
    </row>
    <row r="622">
      <c r="J622" s="102"/>
    </row>
    <row r="623">
      <c r="J623" s="102"/>
    </row>
    <row r="624">
      <c r="J624" s="102"/>
    </row>
    <row r="625">
      <c r="J625" s="102"/>
    </row>
    <row r="626">
      <c r="J626" s="102"/>
    </row>
    <row r="627">
      <c r="J627" s="102"/>
    </row>
    <row r="628">
      <c r="J628" s="102"/>
    </row>
    <row r="629">
      <c r="J629" s="102"/>
    </row>
    <row r="630">
      <c r="J630" s="102"/>
    </row>
    <row r="631">
      <c r="J631" s="102"/>
    </row>
    <row r="632">
      <c r="J632" s="102"/>
    </row>
    <row r="633">
      <c r="J633" s="102"/>
    </row>
    <row r="634">
      <c r="J634" s="102"/>
    </row>
    <row r="635">
      <c r="J635" s="102"/>
    </row>
    <row r="636">
      <c r="J636" s="102"/>
    </row>
    <row r="637">
      <c r="J637" s="102"/>
    </row>
    <row r="638">
      <c r="J638" s="102"/>
    </row>
    <row r="639">
      <c r="J639" s="102"/>
    </row>
    <row r="640">
      <c r="J640" s="102"/>
    </row>
    <row r="641">
      <c r="J641" s="102"/>
    </row>
    <row r="642">
      <c r="J642" s="102"/>
    </row>
    <row r="643">
      <c r="J643" s="102"/>
    </row>
    <row r="644">
      <c r="J644" s="102"/>
    </row>
    <row r="645">
      <c r="J645" s="102"/>
    </row>
    <row r="646">
      <c r="J646" s="102"/>
    </row>
    <row r="647">
      <c r="J647" s="102"/>
    </row>
    <row r="648">
      <c r="J648" s="102"/>
    </row>
    <row r="649">
      <c r="J649" s="102"/>
    </row>
    <row r="650">
      <c r="J650" s="102"/>
    </row>
    <row r="651">
      <c r="J651" s="102"/>
    </row>
    <row r="652">
      <c r="J652" s="102"/>
    </row>
    <row r="653">
      <c r="J653" s="102"/>
    </row>
    <row r="654">
      <c r="J654" s="102"/>
    </row>
    <row r="655">
      <c r="J655" s="102"/>
    </row>
    <row r="656">
      <c r="J656" s="102"/>
    </row>
    <row r="657">
      <c r="J657" s="102"/>
    </row>
    <row r="658">
      <c r="J658" s="102"/>
    </row>
    <row r="659">
      <c r="J659" s="102"/>
    </row>
    <row r="660">
      <c r="J660" s="102"/>
    </row>
    <row r="661">
      <c r="J661" s="102"/>
    </row>
    <row r="662">
      <c r="J662" s="102"/>
    </row>
    <row r="663">
      <c r="J663" s="102"/>
    </row>
    <row r="664">
      <c r="J664" s="102"/>
    </row>
    <row r="665">
      <c r="J665" s="102"/>
    </row>
    <row r="666">
      <c r="J666" s="102"/>
    </row>
    <row r="667">
      <c r="J667" s="102"/>
    </row>
    <row r="668">
      <c r="J668" s="102"/>
    </row>
    <row r="669">
      <c r="J669" s="102"/>
    </row>
    <row r="670">
      <c r="J670" s="102"/>
    </row>
    <row r="671">
      <c r="J671" s="102"/>
    </row>
    <row r="672">
      <c r="J672" s="102"/>
    </row>
    <row r="673">
      <c r="J673" s="102"/>
    </row>
    <row r="674">
      <c r="J674" s="102"/>
    </row>
    <row r="675">
      <c r="J675" s="102"/>
    </row>
    <row r="676">
      <c r="J676" s="102"/>
    </row>
    <row r="677">
      <c r="J677" s="102"/>
    </row>
    <row r="678">
      <c r="J678" s="102"/>
    </row>
    <row r="679">
      <c r="J679" s="102"/>
    </row>
    <row r="680">
      <c r="J680" s="102"/>
    </row>
    <row r="681">
      <c r="J681" s="102"/>
    </row>
    <row r="682">
      <c r="J682" s="102"/>
    </row>
    <row r="683">
      <c r="J683" s="102"/>
    </row>
    <row r="684">
      <c r="J684" s="102"/>
    </row>
    <row r="685">
      <c r="J685" s="102"/>
    </row>
    <row r="686">
      <c r="J686" s="102"/>
    </row>
    <row r="687">
      <c r="J687" s="102"/>
    </row>
    <row r="688">
      <c r="J688" s="102"/>
    </row>
    <row r="689">
      <c r="J689" s="102"/>
    </row>
    <row r="690">
      <c r="J690" s="102"/>
    </row>
    <row r="691">
      <c r="J691" s="102"/>
    </row>
    <row r="692">
      <c r="J692" s="102"/>
    </row>
    <row r="693">
      <c r="J693" s="102"/>
    </row>
    <row r="694">
      <c r="J694" s="102"/>
    </row>
    <row r="695">
      <c r="J695" s="102"/>
    </row>
    <row r="696">
      <c r="J696" s="102"/>
    </row>
    <row r="697">
      <c r="J697" s="102"/>
    </row>
    <row r="698">
      <c r="J698" s="102"/>
    </row>
    <row r="699">
      <c r="J699" s="102"/>
    </row>
    <row r="700">
      <c r="J700" s="102"/>
    </row>
    <row r="701">
      <c r="J701" s="102"/>
    </row>
    <row r="702">
      <c r="J702" s="102"/>
    </row>
    <row r="703">
      <c r="J703" s="102"/>
    </row>
    <row r="704">
      <c r="J704" s="102"/>
    </row>
    <row r="705">
      <c r="J705" s="102"/>
    </row>
    <row r="706">
      <c r="J706" s="102"/>
    </row>
    <row r="707">
      <c r="J707" s="102"/>
    </row>
    <row r="708">
      <c r="J708" s="102"/>
    </row>
    <row r="709">
      <c r="J709" s="102"/>
    </row>
    <row r="710">
      <c r="J710" s="102"/>
    </row>
    <row r="711">
      <c r="J711" s="102"/>
    </row>
    <row r="712">
      <c r="J712" s="102"/>
    </row>
    <row r="713">
      <c r="J713" s="102"/>
    </row>
    <row r="714">
      <c r="J714" s="102"/>
    </row>
    <row r="715">
      <c r="J715" s="102"/>
    </row>
    <row r="716">
      <c r="J716" s="102"/>
    </row>
    <row r="717">
      <c r="J717" s="102"/>
    </row>
    <row r="718">
      <c r="J718" s="102"/>
    </row>
    <row r="719">
      <c r="J719" s="102"/>
    </row>
    <row r="720">
      <c r="J720" s="102"/>
    </row>
    <row r="721">
      <c r="J721" s="102"/>
    </row>
    <row r="722">
      <c r="J722" s="102"/>
    </row>
    <row r="723">
      <c r="J723" s="102"/>
    </row>
    <row r="724">
      <c r="J724" s="102"/>
    </row>
    <row r="725">
      <c r="J725" s="102"/>
    </row>
    <row r="726">
      <c r="J726" s="102"/>
    </row>
    <row r="727">
      <c r="J727" s="102"/>
    </row>
    <row r="728">
      <c r="J728" s="102"/>
    </row>
    <row r="729">
      <c r="J729" s="102"/>
    </row>
    <row r="730">
      <c r="J730" s="102"/>
    </row>
    <row r="731">
      <c r="J731" s="102"/>
    </row>
    <row r="732">
      <c r="J732" s="102"/>
    </row>
    <row r="733">
      <c r="J733" s="102"/>
    </row>
    <row r="734">
      <c r="J734" s="102"/>
    </row>
    <row r="735">
      <c r="J735" s="102"/>
    </row>
    <row r="736">
      <c r="J736" s="102"/>
    </row>
    <row r="737">
      <c r="J737" s="102"/>
    </row>
    <row r="738">
      <c r="J738" s="102"/>
    </row>
    <row r="739">
      <c r="J739" s="102"/>
    </row>
    <row r="740">
      <c r="J740" s="102"/>
    </row>
    <row r="741">
      <c r="J741" s="102"/>
    </row>
    <row r="742">
      <c r="J742" s="102"/>
    </row>
    <row r="743">
      <c r="J743" s="102"/>
    </row>
    <row r="744">
      <c r="J744" s="102"/>
    </row>
    <row r="745">
      <c r="J745" s="102"/>
    </row>
    <row r="746">
      <c r="J746" s="102"/>
    </row>
    <row r="747">
      <c r="J747" s="102"/>
    </row>
    <row r="748">
      <c r="J748" s="102"/>
    </row>
    <row r="749">
      <c r="J749" s="102"/>
    </row>
    <row r="750">
      <c r="J750" s="102"/>
    </row>
    <row r="751">
      <c r="J751" s="102"/>
    </row>
    <row r="752">
      <c r="J752" s="102"/>
    </row>
    <row r="753">
      <c r="J753" s="102"/>
    </row>
    <row r="754">
      <c r="J754" s="102"/>
    </row>
    <row r="755">
      <c r="J755" s="102"/>
    </row>
    <row r="756">
      <c r="J756" s="102"/>
    </row>
    <row r="757">
      <c r="J757" s="102"/>
    </row>
    <row r="758">
      <c r="J758" s="102"/>
    </row>
    <row r="759">
      <c r="J759" s="102"/>
    </row>
    <row r="760">
      <c r="J760" s="102"/>
    </row>
    <row r="761">
      <c r="J761" s="102"/>
    </row>
    <row r="762">
      <c r="J762" s="102"/>
    </row>
    <row r="763">
      <c r="J763" s="102"/>
    </row>
    <row r="764">
      <c r="J764" s="102"/>
    </row>
    <row r="765">
      <c r="J765" s="102"/>
    </row>
    <row r="766">
      <c r="J766" s="102"/>
    </row>
    <row r="767">
      <c r="J767" s="102"/>
    </row>
    <row r="768">
      <c r="J768" s="102"/>
    </row>
    <row r="769">
      <c r="J769" s="102"/>
    </row>
    <row r="770">
      <c r="J770" s="102"/>
    </row>
    <row r="771">
      <c r="J771" s="102"/>
    </row>
    <row r="772">
      <c r="J772" s="102"/>
    </row>
    <row r="773">
      <c r="J773" s="102"/>
    </row>
    <row r="774">
      <c r="J774" s="102"/>
    </row>
    <row r="775">
      <c r="J775" s="102"/>
    </row>
    <row r="776">
      <c r="J776" s="102"/>
    </row>
    <row r="777">
      <c r="J777" s="102"/>
    </row>
    <row r="778">
      <c r="J778" s="102"/>
    </row>
    <row r="779">
      <c r="J779" s="102"/>
    </row>
    <row r="780">
      <c r="J780" s="102"/>
    </row>
    <row r="781">
      <c r="J781" s="102"/>
    </row>
    <row r="782">
      <c r="J782" s="102"/>
    </row>
    <row r="783">
      <c r="J783" s="102"/>
    </row>
    <row r="784">
      <c r="J784" s="102"/>
    </row>
    <row r="785">
      <c r="J785" s="102"/>
    </row>
    <row r="786">
      <c r="J786" s="102"/>
    </row>
    <row r="787">
      <c r="J787" s="102"/>
    </row>
    <row r="788">
      <c r="J788" s="102"/>
    </row>
    <row r="789">
      <c r="J789" s="102"/>
    </row>
    <row r="790">
      <c r="J790" s="102"/>
    </row>
    <row r="791">
      <c r="J791" s="102"/>
    </row>
    <row r="792">
      <c r="J792" s="102"/>
    </row>
    <row r="793">
      <c r="J793" s="102"/>
    </row>
    <row r="794">
      <c r="J794" s="102"/>
    </row>
    <row r="795">
      <c r="J795" s="102"/>
    </row>
    <row r="796">
      <c r="J796" s="102"/>
    </row>
    <row r="797">
      <c r="J797" s="102"/>
    </row>
    <row r="798">
      <c r="J798" s="102"/>
    </row>
    <row r="799">
      <c r="J799" s="102"/>
    </row>
    <row r="800">
      <c r="J800" s="102"/>
    </row>
    <row r="801">
      <c r="J801" s="102"/>
    </row>
    <row r="802">
      <c r="J802" s="102"/>
    </row>
    <row r="803">
      <c r="J803" s="102"/>
    </row>
    <row r="804">
      <c r="J804" s="102"/>
    </row>
    <row r="805">
      <c r="J805" s="102"/>
    </row>
    <row r="806">
      <c r="J806" s="102"/>
    </row>
    <row r="807">
      <c r="J807" s="102"/>
    </row>
    <row r="808">
      <c r="J808" s="102"/>
    </row>
    <row r="809">
      <c r="J809" s="102"/>
    </row>
    <row r="810">
      <c r="J810" s="102"/>
    </row>
    <row r="811">
      <c r="J811" s="102"/>
    </row>
    <row r="812">
      <c r="J812" s="102"/>
    </row>
    <row r="813">
      <c r="J813" s="102"/>
    </row>
    <row r="814">
      <c r="J814" s="102"/>
    </row>
    <row r="815">
      <c r="J815" s="102"/>
    </row>
    <row r="816">
      <c r="J816" s="102"/>
    </row>
    <row r="817">
      <c r="J817" s="102"/>
    </row>
    <row r="818">
      <c r="J818" s="102"/>
    </row>
    <row r="819">
      <c r="J819" s="102"/>
    </row>
    <row r="820">
      <c r="J820" s="102"/>
    </row>
    <row r="821">
      <c r="J821" s="102"/>
    </row>
    <row r="822">
      <c r="J822" s="102"/>
    </row>
    <row r="823">
      <c r="J823" s="102"/>
    </row>
    <row r="824">
      <c r="J824" s="102"/>
    </row>
    <row r="825">
      <c r="J825" s="102"/>
    </row>
    <row r="826">
      <c r="J826" s="102"/>
    </row>
    <row r="827">
      <c r="J827" s="102"/>
    </row>
    <row r="828">
      <c r="J828" s="102"/>
    </row>
    <row r="829">
      <c r="J829" s="102"/>
    </row>
    <row r="830">
      <c r="J830" s="102"/>
    </row>
    <row r="831">
      <c r="J831" s="102"/>
    </row>
    <row r="832">
      <c r="J832" s="102"/>
    </row>
    <row r="833">
      <c r="J833" s="102"/>
    </row>
    <row r="834">
      <c r="J834" s="102"/>
    </row>
    <row r="835">
      <c r="J835" s="102"/>
    </row>
    <row r="836">
      <c r="J836" s="102"/>
    </row>
    <row r="837">
      <c r="J837" s="102"/>
    </row>
    <row r="838">
      <c r="J838" s="102"/>
    </row>
    <row r="839">
      <c r="J839" s="102"/>
    </row>
    <row r="840">
      <c r="J840" s="102"/>
    </row>
    <row r="841">
      <c r="J841" s="102"/>
    </row>
    <row r="842">
      <c r="J842" s="102"/>
    </row>
    <row r="843">
      <c r="J843" s="102"/>
    </row>
    <row r="844">
      <c r="J844" s="102"/>
    </row>
    <row r="845">
      <c r="J845" s="102"/>
    </row>
    <row r="846">
      <c r="J846" s="102"/>
    </row>
    <row r="847">
      <c r="J847" s="102"/>
    </row>
    <row r="848">
      <c r="J848" s="102"/>
    </row>
    <row r="849">
      <c r="J849" s="102"/>
    </row>
    <row r="850">
      <c r="J850" s="102"/>
    </row>
    <row r="851">
      <c r="J851" s="102"/>
    </row>
    <row r="852">
      <c r="J852" s="102"/>
    </row>
    <row r="853">
      <c r="J853" s="102"/>
    </row>
    <row r="854">
      <c r="J854" s="102"/>
    </row>
    <row r="855">
      <c r="J855" s="102"/>
    </row>
    <row r="856">
      <c r="J856" s="102"/>
    </row>
    <row r="857">
      <c r="J857" s="102"/>
    </row>
    <row r="858">
      <c r="J858" s="102"/>
    </row>
    <row r="859">
      <c r="J859" s="102"/>
    </row>
    <row r="860">
      <c r="J860" s="102"/>
    </row>
    <row r="861">
      <c r="J861" s="102"/>
    </row>
    <row r="862">
      <c r="J862" s="102"/>
    </row>
    <row r="863">
      <c r="J863" s="102"/>
    </row>
    <row r="864">
      <c r="J864" s="102"/>
    </row>
    <row r="865">
      <c r="J865" s="102"/>
    </row>
    <row r="866">
      <c r="J866" s="102"/>
    </row>
    <row r="867">
      <c r="J867" s="102"/>
    </row>
    <row r="868">
      <c r="J868" s="102"/>
    </row>
    <row r="869">
      <c r="J869" s="102"/>
    </row>
    <row r="870">
      <c r="J870" s="102"/>
    </row>
    <row r="871">
      <c r="J871" s="102"/>
    </row>
    <row r="872">
      <c r="J872" s="102"/>
    </row>
    <row r="873">
      <c r="J873" s="102"/>
    </row>
    <row r="874">
      <c r="J874" s="102"/>
    </row>
    <row r="875">
      <c r="J875" s="102"/>
    </row>
    <row r="876">
      <c r="J876" s="102"/>
    </row>
    <row r="877">
      <c r="J877" s="102"/>
    </row>
    <row r="878">
      <c r="J878" s="102"/>
    </row>
    <row r="879">
      <c r="J879" s="102"/>
    </row>
    <row r="880">
      <c r="J880" s="102"/>
    </row>
    <row r="881">
      <c r="J881" s="102"/>
    </row>
    <row r="882">
      <c r="J882" s="102"/>
    </row>
    <row r="883">
      <c r="J883" s="102"/>
    </row>
    <row r="884">
      <c r="J884" s="102"/>
    </row>
    <row r="885">
      <c r="J885" s="102"/>
    </row>
    <row r="886">
      <c r="J886" s="102"/>
    </row>
    <row r="887">
      <c r="J887" s="102"/>
    </row>
    <row r="888">
      <c r="J888" s="102"/>
    </row>
    <row r="889">
      <c r="J889" s="102"/>
    </row>
    <row r="890">
      <c r="J890" s="102"/>
    </row>
    <row r="891">
      <c r="J891" s="102"/>
    </row>
    <row r="892">
      <c r="J892" s="102"/>
    </row>
    <row r="893">
      <c r="J893" s="102"/>
    </row>
    <row r="894">
      <c r="J894" s="102"/>
    </row>
    <row r="895">
      <c r="J895" s="102"/>
    </row>
    <row r="896">
      <c r="J896" s="102"/>
    </row>
    <row r="897">
      <c r="J897" s="102"/>
    </row>
    <row r="898">
      <c r="J898" s="102"/>
    </row>
    <row r="899">
      <c r="J899" s="102"/>
    </row>
    <row r="900">
      <c r="J900" s="102"/>
    </row>
    <row r="901">
      <c r="J901" s="102"/>
    </row>
    <row r="902">
      <c r="J902" s="102"/>
    </row>
    <row r="903">
      <c r="J903" s="102"/>
    </row>
    <row r="904">
      <c r="J904" s="102"/>
    </row>
    <row r="905">
      <c r="J905" s="102"/>
    </row>
    <row r="906">
      <c r="J906" s="102"/>
    </row>
    <row r="907">
      <c r="J907" s="102"/>
    </row>
    <row r="908">
      <c r="J908" s="102"/>
    </row>
    <row r="909">
      <c r="J909" s="102"/>
    </row>
    <row r="910">
      <c r="J910" s="102"/>
    </row>
    <row r="911">
      <c r="J911" s="102"/>
    </row>
    <row r="912">
      <c r="J912" s="102"/>
    </row>
    <row r="913">
      <c r="J913" s="102"/>
    </row>
    <row r="914">
      <c r="J914" s="102"/>
    </row>
    <row r="915">
      <c r="J915" s="102"/>
    </row>
    <row r="916">
      <c r="J916" s="102"/>
    </row>
    <row r="917">
      <c r="J917" s="102"/>
    </row>
    <row r="918">
      <c r="J918" s="102"/>
    </row>
    <row r="919">
      <c r="J919" s="102"/>
    </row>
    <row r="920">
      <c r="J920" s="102"/>
    </row>
    <row r="921">
      <c r="J921" s="102"/>
    </row>
    <row r="922">
      <c r="J922" s="102"/>
    </row>
    <row r="923">
      <c r="J923" s="102"/>
    </row>
    <row r="924">
      <c r="J924" s="102"/>
    </row>
    <row r="925">
      <c r="J925" s="102"/>
    </row>
    <row r="926">
      <c r="J926" s="102"/>
    </row>
    <row r="927">
      <c r="J927" s="102"/>
    </row>
    <row r="928">
      <c r="J928" s="102"/>
    </row>
    <row r="929">
      <c r="J929" s="102"/>
    </row>
    <row r="930">
      <c r="J930" s="102"/>
    </row>
    <row r="931">
      <c r="J931" s="102"/>
    </row>
    <row r="932">
      <c r="J932" s="102"/>
    </row>
    <row r="933">
      <c r="J933" s="102"/>
    </row>
    <row r="934">
      <c r="J934" s="102"/>
    </row>
    <row r="935">
      <c r="J935" s="102"/>
    </row>
    <row r="936">
      <c r="J936" s="102"/>
    </row>
    <row r="937">
      <c r="J937" s="102"/>
    </row>
    <row r="938">
      <c r="J938" s="102"/>
    </row>
    <row r="939">
      <c r="J939" s="102"/>
    </row>
    <row r="940">
      <c r="J940" s="102"/>
    </row>
    <row r="941">
      <c r="J941" s="102"/>
    </row>
    <row r="942">
      <c r="J942" s="102"/>
    </row>
    <row r="943">
      <c r="J943" s="102"/>
    </row>
    <row r="944">
      <c r="J944" s="102"/>
    </row>
    <row r="945">
      <c r="J945" s="102"/>
    </row>
    <row r="946">
      <c r="J946" s="102"/>
    </row>
    <row r="947">
      <c r="J947" s="102"/>
    </row>
    <row r="948">
      <c r="J948" s="102"/>
    </row>
    <row r="949">
      <c r="J949" s="102"/>
    </row>
    <row r="950">
      <c r="J950" s="102"/>
    </row>
    <row r="951">
      <c r="J951" s="102"/>
    </row>
    <row r="952">
      <c r="J952" s="102"/>
    </row>
    <row r="953">
      <c r="J953" s="102"/>
    </row>
    <row r="954">
      <c r="J954" s="102"/>
    </row>
    <row r="955">
      <c r="J955" s="102"/>
    </row>
    <row r="956">
      <c r="J956" s="102"/>
    </row>
    <row r="957">
      <c r="J957" s="102"/>
    </row>
    <row r="958">
      <c r="J958" s="102"/>
    </row>
    <row r="959">
      <c r="J959" s="102"/>
    </row>
  </sheetData>
  <mergeCells count="4">
    <mergeCell ref="B1:B2"/>
    <mergeCell ref="C1:C2"/>
    <mergeCell ref="I1:J1"/>
    <mergeCell ref="K1:P1"/>
  </mergeCells>
  <dataValidations>
    <dataValidation type="list" allowBlank="1" showErrorMessage="1" sqref="F3:F53 F58:F87 F89:F154">
      <formula1>"Tái tục đúng sản phẩm,Upsales,Tái tục chéo sản phẩm"</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7.5"/>
    <col customWidth="1" min="2" max="2" width="5.13"/>
    <col customWidth="1" min="4" max="4" width="20.0"/>
    <col customWidth="1" min="5" max="5" width="65.63"/>
  </cols>
  <sheetData>
    <row r="1">
      <c r="A1" s="233" t="s">
        <v>870</v>
      </c>
      <c r="B1" s="233" t="s">
        <v>1</v>
      </c>
      <c r="C1" s="234" t="s">
        <v>2</v>
      </c>
      <c r="D1" s="233" t="s">
        <v>3</v>
      </c>
      <c r="E1" s="235" t="s">
        <v>4</v>
      </c>
      <c r="F1" s="98"/>
      <c r="G1" s="233" t="s">
        <v>878</v>
      </c>
      <c r="H1" s="235" t="s">
        <v>879</v>
      </c>
      <c r="I1" s="235" t="s">
        <v>880</v>
      </c>
    </row>
    <row r="2">
      <c r="A2" s="21" t="str">
        <f>IFERROR(__xludf.DUMMYFUNCTION("QUERY(IMPORTRANGE(""https://docs.google.com/spreadsheets/d/1qLVqJrYqsmyIJsSQtW-oIaEF8LzFIt8xBuU0EmxgnxU/edit?usp=sharing"",""Nhật ký trực ca tối!A:F""),""Select * where Col6 contains 'CVHT01'"")"),"CHÂ")</f>
        <v>CHÂ</v>
      </c>
      <c r="B2" s="21" t="str">
        <f>IFERROR(__xludf.DUMMYFUNCTION("""COMPUTED_VALUE"""),"Ngày")</f>
        <v>Ngày</v>
      </c>
      <c r="C2" s="21" t="str">
        <f>IFERROR(__xludf.DUMMYFUNCTION("""COMPUTED_VALUE"""),"ID HV")</f>
        <v>ID HV</v>
      </c>
      <c r="D2" s="21" t="str">
        <f>IFERROR(__xludf.DUMMYFUNCTION("""COMPUTED_VALUE"""),"Tên HV")</f>
        <v>Tên HV</v>
      </c>
      <c r="E2" s="53" t="str">
        <f>IFERROR(__xludf.DUMMYFUNCTION("""COMPUTED_VALUE"""),"Vấn đề")</f>
        <v>Vấn đề</v>
      </c>
      <c r="F2" s="21" t="str">
        <f>IFERROR(__xludf.DUMMYFUNCTION("""COMPUTED_VALUE"""),"CVHT")</f>
        <v>CVHT</v>
      </c>
      <c r="G2" s="86" t="s">
        <v>891</v>
      </c>
      <c r="H2" s="21"/>
      <c r="I2" s="21"/>
    </row>
    <row r="3">
      <c r="A3" s="12"/>
      <c r="B3" s="241">
        <f>IFERROR(__xludf.DUMMYFUNCTION("""COMPUTED_VALUE"""),46024.0)</f>
        <v>46024</v>
      </c>
      <c r="C3" s="12" t="str">
        <f>IFERROR(__xludf.DUMMYFUNCTION("""COMPUTED_VALUE"""),"420290184")</f>
        <v>420290184</v>
      </c>
      <c r="D3" s="12" t="str">
        <f>IFERROR(__xludf.DUMMYFUNCTION("""COMPUTED_VALUE"""),"Lưu Văn Thời")</f>
        <v>Lưu Văn Thời</v>
      </c>
      <c r="E3" s="102" t="str">
        <f>IFERROR(__xludf.DUMMYFUNCTION("""COMPUTED_VALUE"""),"quét QR kb line bạn giúp em ạ")</f>
        <v>quét QR kb line bạn giúp em ạ</v>
      </c>
      <c r="F3" s="12" t="str">
        <f>IFERROR(__xludf.DUMMYFUNCTION("""COMPUTED_VALUE"""),"CVHT01")</f>
        <v>CVHT01</v>
      </c>
      <c r="G3" s="86" t="s">
        <v>891</v>
      </c>
    </row>
    <row r="4">
      <c r="A4" s="12"/>
      <c r="B4" s="241">
        <f>IFERROR(__xludf.DUMMYFUNCTION("""COMPUTED_VALUE"""),46024.0)</f>
        <v>46024</v>
      </c>
      <c r="C4" s="12" t="str">
        <f>IFERROR(__xludf.DUMMYFUNCTION("""COMPUTED_VALUE"""),"GV430")</f>
        <v>GV430</v>
      </c>
      <c r="D4" s="12" t="str">
        <f>IFERROR(__xludf.DUMMYFUNCTION("""COMPUTED_VALUE"""),"Lê Thị My")</f>
        <v>Lê Thị My</v>
      </c>
      <c r="E4" s="102" t="str">
        <f>IFERROR(__xludf.DUMMYFUNCTION("""COMPUTED_VALUE"""),"check lại công thức GV")</f>
        <v>check lại công thức GV</v>
      </c>
      <c r="F4" s="12" t="str">
        <f>IFERROR(__xludf.DUMMYFUNCTION("""COMPUTED_VALUE"""),"CVHT01")</f>
        <v>CVHT01</v>
      </c>
      <c r="G4" s="86" t="s">
        <v>891</v>
      </c>
    </row>
    <row r="5">
      <c r="A5" s="12"/>
      <c r="B5" s="241">
        <f>IFERROR(__xludf.DUMMYFUNCTION("""COMPUTED_VALUE"""),46027.0)</f>
        <v>46027</v>
      </c>
      <c r="C5" s="12" t="str">
        <f>IFERROR(__xludf.DUMMYFUNCTION("""COMPUTED_VALUE"""),"420285530")</f>
        <v>420285530</v>
      </c>
      <c r="D5" s="12" t="str">
        <f>IFERROR(__xludf.DUMMYFUNCTION("""COMPUTED_VALUE"""),"Trần Thụy Thảo My")</f>
        <v>Trần Thụy Thảo My</v>
      </c>
      <c r="E5" s="102" t="str">
        <f>IFERROR(__xludf.DUMMYFUNCTION("""COMPUTED_VALUE"""),"bạn muốn quay lại học nhưng GV bận cưới tháng 2 mới dạy lại được ạ ")</f>
        <v>bạn muốn quay lại học nhưng GV bận cưới tháng 2 mới dạy lại được ạ </v>
      </c>
      <c r="F5" s="12" t="str">
        <f>IFERROR(__xludf.DUMMYFUNCTION("""COMPUTED_VALUE"""),"CVHT01")</f>
        <v>CVHT01</v>
      </c>
      <c r="G5" s="86" t="s">
        <v>891</v>
      </c>
    </row>
    <row r="6">
      <c r="A6" s="12"/>
      <c r="B6" s="241">
        <f>IFERROR(__xludf.DUMMYFUNCTION("""COMPUTED_VALUE"""),46027.0)</f>
        <v>46027</v>
      </c>
      <c r="C6" s="12" t="str">
        <f>IFERROR(__xludf.DUMMYFUNCTION("""COMPUTED_VALUE"""),"GV321 ")</f>
        <v>GV321 </v>
      </c>
      <c r="D6" s="12" t="str">
        <f>IFERROR(__xludf.DUMMYFUNCTION("""COMPUTED_VALUE"""),"Trần Nguyên Linh Chi")</f>
        <v>Trần Nguyên Linh Chi</v>
      </c>
      <c r="E6" s="102" t="str">
        <f>IFERROR(__xludf.DUMMYFUNCTION("""COMPUTED_VALUE"""),"sửa chấm công ")</f>
        <v>sửa chấm công </v>
      </c>
      <c r="F6" s="12" t="str">
        <f>IFERROR(__xludf.DUMMYFUNCTION("""COMPUTED_VALUE"""),"CVHT01")</f>
        <v>CVHT01</v>
      </c>
      <c r="G6" s="86" t="s">
        <v>891</v>
      </c>
    </row>
    <row r="7">
      <c r="A7" s="12"/>
      <c r="B7" s="241">
        <f>IFERROR(__xludf.DUMMYFUNCTION("""COMPUTED_VALUE"""),46027.0)</f>
        <v>46027</v>
      </c>
      <c r="C7" s="12" t="str">
        <f>IFERROR(__xludf.DUMMYFUNCTION("""COMPUTED_VALUE"""),"GV157")</f>
        <v>GV157</v>
      </c>
      <c r="D7" s="12" t="str">
        <f>IFERROR(__xludf.DUMMYFUNCTION("""COMPUTED_VALUE""")," Đinh Thị Minh")</f>
        <v> Đinh Thị Minh</v>
      </c>
      <c r="E7" s="102" t="str">
        <f>IFERROR(__xludf.DUMMYFUNCTION("""COMPUTED_VALUE"""),"nhờ tạo sheet")</f>
        <v>nhờ tạo sheet</v>
      </c>
      <c r="F7" s="12" t="str">
        <f>IFERROR(__xludf.DUMMYFUNCTION("""COMPUTED_VALUE"""),"CVHT01")</f>
        <v>CVHT01</v>
      </c>
      <c r="G7" s="86" t="s">
        <v>891</v>
      </c>
    </row>
    <row r="8">
      <c r="A8" s="12"/>
      <c r="B8" s="241">
        <f>IFERROR(__xludf.DUMMYFUNCTION("""COMPUTED_VALUE"""),46030.0)</f>
        <v>46030</v>
      </c>
      <c r="C8" s="12" t="str">
        <f>IFERROR(__xludf.DUMMYFUNCTION("""COMPUTED_VALUE"""),"420281475")</f>
        <v>420281475</v>
      </c>
      <c r="D8" s="12" t="str">
        <f>IFERROR(__xludf.DUMMYFUNCTION("""COMPUTED_VALUE"""),"Trần Ngọc Như Anh")</f>
        <v>Trần Ngọc Như Anh</v>
      </c>
      <c r="E8" s="102" t="str">
        <f>IFERROR(__xludf.DUMMYFUNCTION("""COMPUTED_VALUE"""),"Chị hỗ trợ em gửi bạn video buổi học ạ")</f>
        <v>Chị hỗ trợ em gửi bạn video buổi học ạ</v>
      </c>
      <c r="F8" s="12" t="str">
        <f>IFERROR(__xludf.DUMMYFUNCTION("""COMPUTED_VALUE"""),"CVHT01")</f>
        <v>CVHT01</v>
      </c>
      <c r="G8" s="86" t="s">
        <v>891</v>
      </c>
    </row>
    <row r="9">
      <c r="A9" s="12"/>
      <c r="B9" s="241">
        <f>IFERROR(__xludf.DUMMYFUNCTION("""COMPUTED_VALUE"""),46031.0)</f>
        <v>46031</v>
      </c>
      <c r="C9" s="12" t="str">
        <f>IFERROR(__xludf.DUMMYFUNCTION("""COMPUTED_VALUE"""),"GV410")</f>
        <v>GV410</v>
      </c>
      <c r="D9" s="12" t="str">
        <f>IFERROR(__xludf.DUMMYFUNCTION("""COMPUTED_VALUE""")," Nguyễn Thị Anh")</f>
        <v> Nguyễn Thị Anh</v>
      </c>
      <c r="E9" s="102" t="str">
        <f>IFERROR(__xludf.DUMMYFUNCTION("""COMPUTED_VALUE"""),"slide K3L9 lỗi chữ hán : 進め ー＞ 勧め")</f>
        <v>slide K3L9 lỗi chữ hán : 進め ー＞ 勧め</v>
      </c>
      <c r="F9" s="12" t="str">
        <f>IFERROR(__xludf.DUMMYFUNCTION("""COMPUTED_VALUE"""),"CVHT01")</f>
        <v>CVHT01</v>
      </c>
      <c r="G9" s="86" t="s">
        <v>891</v>
      </c>
    </row>
    <row r="10">
      <c r="A10" s="12"/>
      <c r="B10" s="241">
        <f>IFERROR(__xludf.DUMMYFUNCTION("""COMPUTED_VALUE"""),46034.0)</f>
        <v>46034</v>
      </c>
      <c r="C10" s="12" t="str">
        <f>IFERROR(__xludf.DUMMYFUNCTION("""COMPUTED_VALUE"""),"420284701")</f>
        <v>420284701</v>
      </c>
      <c r="D10" s="12" t="str">
        <f>IFERROR(__xludf.DUMMYFUNCTION("""COMPUTED_VALUE"""),"Trần Thị Ngọc Huệ")</f>
        <v>Trần Thị Ngọc Huệ</v>
      </c>
      <c r="E10" s="102" t="str">
        <f>IFERROR(__xludf.DUMMYFUNCTION("""COMPUTED_VALUE"""),"C hỗ trợ bạn bảo lưu với ạ")</f>
        <v>C hỗ trợ bạn bảo lưu với ạ</v>
      </c>
      <c r="F10" s="12" t="str">
        <f>IFERROR(__xludf.DUMMYFUNCTION("""COMPUTED_VALUE"""),"CVHT01")</f>
        <v>CVHT01</v>
      </c>
      <c r="G10" s="86" t="s">
        <v>891</v>
      </c>
    </row>
    <row r="11">
      <c r="A11" s="12"/>
      <c r="B11" s="241">
        <f>IFERROR(__xludf.DUMMYFUNCTION("""COMPUTED_VALUE"""),46034.0)</f>
        <v>46034</v>
      </c>
      <c r="C11" s="12" t="str">
        <f>IFERROR(__xludf.DUMMYFUNCTION("""COMPUTED_VALUE"""),"GV315  ")</f>
        <v>GV315  </v>
      </c>
      <c r="D11" s="12" t="str">
        <f>IFERROR(__xludf.DUMMYFUNCTION("""COMPUTED_VALUE"""),"Phan Thị Trang")</f>
        <v>Phan Thị Trang</v>
      </c>
      <c r="E11" s="102" t="str">
        <f>IFERROR(__xludf.DUMMYFUNCTION("""COMPUTED_VALUE"""),"báo bị sai từ k2l9 trong sgk")</f>
        <v>báo bị sai từ k2l9 trong sgk</v>
      </c>
      <c r="F11" s="12" t="str">
        <f>IFERROR(__xludf.DUMMYFUNCTION("""COMPUTED_VALUE"""),"CVHT01")</f>
        <v>CVHT01</v>
      </c>
      <c r="G11" s="86" t="s">
        <v>891</v>
      </c>
    </row>
    <row r="12">
      <c r="A12" s="12"/>
      <c r="B12" s="241">
        <f>IFERROR(__xludf.DUMMYFUNCTION("""COMPUTED_VALUE"""),46034.0)</f>
        <v>46034</v>
      </c>
      <c r="C12" s="12" t="str">
        <f>IFERROR(__xludf.DUMMYFUNCTION("""COMPUTED_VALUE"""),"420282789")</f>
        <v>420282789</v>
      </c>
      <c r="D12" s="12" t="str">
        <f>IFERROR(__xludf.DUMMYFUNCTION("""COMPUTED_VALUE"""),"Lê Quang Anh")</f>
        <v>Lê Quang Anh</v>
      </c>
      <c r="E12" s="102" t="str">
        <f>IFERROR(__xludf.DUMMYFUNCTION("""COMPUTED_VALUE"""),"bạn hỏi về tiền học ạ")</f>
        <v>bạn hỏi về tiền học ạ</v>
      </c>
      <c r="F12" s="12" t="str">
        <f>IFERROR(__xludf.DUMMYFUNCTION("""COMPUTED_VALUE"""),"CVHT01")</f>
        <v>CVHT01</v>
      </c>
      <c r="G12" s="86" t="s">
        <v>891</v>
      </c>
    </row>
    <row r="13">
      <c r="A13" s="12"/>
      <c r="B13" s="241">
        <f>IFERROR(__xludf.DUMMYFUNCTION("""COMPUTED_VALUE"""),46035.0)</f>
        <v>46035</v>
      </c>
      <c r="C13" s="12" t="str">
        <f>IFERROR(__xludf.DUMMYFUNCTION("""COMPUTED_VALUE"""),"420288276")</f>
        <v>420288276</v>
      </c>
      <c r="D13" s="12" t="str">
        <f>IFERROR(__xludf.DUMMYFUNCTION("""COMPUTED_VALUE"""),"Hoàng Thị Ngọc Lan")</f>
        <v>Hoàng Thị Ngọc Lan</v>
      </c>
      <c r="E13" s="102" t="str">
        <f>IFERROR(__xludf.DUMMYFUNCTION("""COMPUTED_VALUE"""),"c thêm khóa mới cho bạn với ạ")</f>
        <v>c thêm khóa mới cho bạn với ạ</v>
      </c>
      <c r="F13" s="12" t="str">
        <f>IFERROR(__xludf.DUMMYFUNCTION("""COMPUTED_VALUE"""),"CVHT01")</f>
        <v>CVHT01</v>
      </c>
      <c r="G13" s="86" t="s">
        <v>891</v>
      </c>
    </row>
    <row r="14">
      <c r="A14" s="12"/>
      <c r="B14" s="241">
        <f>IFERROR(__xludf.DUMMYFUNCTION("""COMPUTED_VALUE"""),46036.0)</f>
        <v>46036</v>
      </c>
      <c r="C14" s="12" t="str">
        <f>IFERROR(__xludf.DUMMYFUNCTION("""COMPUTED_VALUE"""),"GV430")</f>
        <v>GV430</v>
      </c>
      <c r="D14" s="12" t="str">
        <f>IFERROR(__xludf.DUMMYFUNCTION("""COMPUTED_VALUE""")," Lê Thị My")</f>
        <v> Lê Thị My</v>
      </c>
      <c r="E14" s="102" t="str">
        <f>IFERROR(__xludf.DUMMYFUNCTION("""COMPUTED_VALUE"""),"Gv hỏi khóa Kaiwa ")</f>
        <v>Gv hỏi khóa Kaiwa </v>
      </c>
      <c r="F14" s="12" t="str">
        <f>IFERROR(__xludf.DUMMYFUNCTION("""COMPUTED_VALUE"""),"CVHT01")</f>
        <v>CVHT01</v>
      </c>
      <c r="G14" s="86" t="s">
        <v>891</v>
      </c>
    </row>
    <row r="15">
      <c r="A15" s="12"/>
      <c r="B15" s="241">
        <f>IFERROR(__xludf.DUMMYFUNCTION("""COMPUTED_VALUE"""),46041.0)</f>
        <v>46041</v>
      </c>
      <c r="C15" s="12" t="str">
        <f>IFERROR(__xludf.DUMMYFUNCTION("""COMPUTED_VALUE"""),"GV352 ")</f>
        <v>GV352 </v>
      </c>
      <c r="D15" s="12" t="str">
        <f>IFERROR(__xludf.DUMMYFUNCTION("""COMPUTED_VALUE"""),"Nguyễn Thị Oanh")</f>
        <v>Nguyễn Thị Oanh</v>
      </c>
      <c r="E15" s="102" t="str">
        <f>IFERROR(__xludf.DUMMYFUNCTION("""COMPUTED_VALUE"""),"Gv hỏi")</f>
        <v>Gv hỏi</v>
      </c>
      <c r="F15" s="12" t="str">
        <f>IFERROR(__xludf.DUMMYFUNCTION("""COMPUTED_VALUE"""),"CVHT01")</f>
        <v>CVHT01</v>
      </c>
      <c r="G15" s="86" t="s">
        <v>891</v>
      </c>
    </row>
    <row r="16">
      <c r="A16" s="12"/>
      <c r="B16" s="241">
        <f>IFERROR(__xludf.DUMMYFUNCTION("""COMPUTED_VALUE"""),46042.0)</f>
        <v>46042</v>
      </c>
      <c r="C16" s="12" t="str">
        <f>IFERROR(__xludf.DUMMYFUNCTION("""COMPUTED_VALUE"""),"420288734")</f>
        <v>420288734</v>
      </c>
      <c r="D16" s="12" t="str">
        <f>IFERROR(__xludf.DUMMYFUNCTION("""COMPUTED_VALUE"""),"Trương Văn Ngọc Chơn")</f>
        <v>Trương Văn Ngọc Chơn</v>
      </c>
      <c r="E16" s="102" t="str">
        <f>IFERROR(__xludf.DUMMYFUNCTION("""COMPUTED_VALUE"""),"Chị hỗ trợ bạn reset bài 5 giúp e")</f>
        <v>Chị hỗ trợ bạn reset bài 5 giúp e</v>
      </c>
      <c r="F16" s="12" t="str">
        <f>IFERROR(__xludf.DUMMYFUNCTION("""COMPUTED_VALUE"""),"CVHT01")</f>
        <v>CVHT01</v>
      </c>
      <c r="G16" s="86" t="s">
        <v>891</v>
      </c>
    </row>
    <row r="17">
      <c r="A17" s="12"/>
      <c r="B17" s="241">
        <f>IFERROR(__xludf.DUMMYFUNCTION("""COMPUTED_VALUE"""),46043.0)</f>
        <v>46043</v>
      </c>
      <c r="C17" s="12" t="str">
        <f>IFERROR(__xludf.DUMMYFUNCTION("""COMPUTED_VALUE"""),"420279194")</f>
        <v>420279194</v>
      </c>
      <c r="D17" s="12" t="str">
        <f>IFERROR(__xludf.DUMMYFUNCTION("""COMPUTED_VALUE"""),"Trần Thị Thơm")</f>
        <v>Trần Thị Thơm</v>
      </c>
      <c r="E17" s="102" t="str">
        <f>IFERROR(__xludf.DUMMYFUNCTION("""COMPUTED_VALUE"""),"c hướng dẫn lại bạn vào học nhé ạ, em hướng dẫn trên nhóm bạn vẫn bảo không vào được")</f>
        <v>c hướng dẫn lại bạn vào học nhé ạ, em hướng dẫn trên nhóm bạn vẫn bảo không vào được</v>
      </c>
      <c r="F17" s="12" t="str">
        <f>IFERROR(__xludf.DUMMYFUNCTION("""COMPUTED_VALUE"""),"CVHT01")</f>
        <v>CVHT01</v>
      </c>
      <c r="G17" s="86" t="s">
        <v>891</v>
      </c>
    </row>
    <row r="18">
      <c r="A18" s="12"/>
      <c r="B18" s="241">
        <f>IFERROR(__xludf.DUMMYFUNCTION("""COMPUTED_VALUE"""),46045.0)</f>
        <v>46045</v>
      </c>
      <c r="C18" s="12" t="str">
        <f>IFERROR(__xludf.DUMMYFUNCTION("""COMPUTED_VALUE"""),"420290347")</f>
        <v>420290347</v>
      </c>
      <c r="D18" s="12" t="str">
        <f>IFERROR(__xludf.DUMMYFUNCTION("""COMPUTED_VALUE"""),"Lương Văn Tài")</f>
        <v>Lương Văn Tài</v>
      </c>
      <c r="E18" s="102" t="str">
        <f>IFERROR(__xludf.DUMMYFUNCTION("""COMPUTED_VALUE"""),"c quét QR kb zalo bạn nhé ạ")</f>
        <v>c quét QR kb zalo bạn nhé ạ</v>
      </c>
      <c r="F18" s="12" t="str">
        <f>IFERROR(__xludf.DUMMYFUNCTION("""COMPUTED_VALUE"""),"CVHT01")</f>
        <v>CVHT01</v>
      </c>
      <c r="G18" s="86" t="s">
        <v>891</v>
      </c>
    </row>
    <row r="19">
      <c r="A19" s="12"/>
      <c r="B19" s="241">
        <f>IFERROR(__xludf.DUMMYFUNCTION("""COMPUTED_VALUE"""),46049.0)</f>
        <v>46049</v>
      </c>
      <c r="C19" s="12" t="str">
        <f>IFERROR(__xludf.DUMMYFUNCTION("""COMPUTED_VALUE"""),"420282010")</f>
        <v>420282010</v>
      </c>
      <c r="D19" s="12" t="str">
        <f>IFERROR(__xludf.DUMMYFUNCTION("""COMPUTED_VALUE"""),"Nguyễn Tro Tnics")</f>
        <v>Nguyễn Tro Tnics</v>
      </c>
      <c r="E19" s="102" t="str">
        <f>IFERROR(__xludf.DUMMYFUNCTION("""COMPUTED_VALUE"""),"Bạn muốn nghỉ học chị trao đổi vs bạn giúp em ạ")</f>
        <v>Bạn muốn nghỉ học chị trao đổi vs bạn giúp em ạ</v>
      </c>
      <c r="F19" s="12" t="str">
        <f>IFERROR(__xludf.DUMMYFUNCTION("""COMPUTED_VALUE"""),"CVHT01")</f>
        <v>CVHT01</v>
      </c>
      <c r="G19" s="86" t="s">
        <v>891</v>
      </c>
    </row>
    <row r="20">
      <c r="A20" s="12"/>
      <c r="B20" s="241">
        <f>IFERROR(__xludf.DUMMYFUNCTION("""COMPUTED_VALUE"""),46051.0)</f>
        <v>46051</v>
      </c>
      <c r="C20" s="12" t="str">
        <f>IFERROR(__xludf.DUMMYFUNCTION("""COMPUTED_VALUE"""),"420282010")</f>
        <v>420282010</v>
      </c>
      <c r="D20" s="12" t="str">
        <f>IFERROR(__xludf.DUMMYFUNCTION("""COMPUTED_VALUE"""),"Nguyễn Tro Tnics")</f>
        <v>Nguyễn Tro Tnics</v>
      </c>
      <c r="E20" s="102" t="str">
        <f>IFERROR(__xludf.DUMMYFUNCTION("""COMPUTED_VALUE"""),"Bạn muốn dừng khoá học lại")</f>
        <v>Bạn muốn dừng khoá học lại</v>
      </c>
      <c r="F20" s="12" t="str">
        <f>IFERROR(__xludf.DUMMYFUNCTION("""COMPUTED_VALUE"""),"CVHT01")</f>
        <v>CVHT01</v>
      </c>
      <c r="G20" s="86" t="s">
        <v>891</v>
      </c>
    </row>
    <row r="21">
      <c r="A21" s="12"/>
      <c r="B21" s="241">
        <f>IFERROR(__xludf.DUMMYFUNCTION("""COMPUTED_VALUE"""),46052.0)</f>
        <v>46052</v>
      </c>
      <c r="C21" s="12" t="str">
        <f>IFERROR(__xludf.DUMMYFUNCTION("""COMPUTED_VALUE"""),"420289142")</f>
        <v>420289142</v>
      </c>
      <c r="D21" s="12" t="str">
        <f>IFERROR(__xludf.DUMMYFUNCTION("""COMPUTED_VALUE"""),"Thạch Sơn Hoàng Mi")</f>
        <v>Thạch Sơn Hoàng Mi</v>
      </c>
      <c r="E21" s="102" t="str">
        <f>IFERROR(__xludf.DUMMYFUNCTION("""COMPUTED_VALUE"""),"bạn này lớp nhóm trên daymai xin video record c gửi bạn giúp em nha")</f>
        <v>bạn này lớp nhóm trên daymai xin video record c gửi bạn giúp em nha</v>
      </c>
      <c r="F21" s="12" t="str">
        <f>IFERROR(__xludf.DUMMYFUNCTION("""COMPUTED_VALUE"""),"CVHT01")</f>
        <v>CVHT01</v>
      </c>
      <c r="G21" s="86" t="s">
        <v>891</v>
      </c>
    </row>
    <row r="22">
      <c r="A22" s="12"/>
      <c r="B22" s="241">
        <f>IFERROR(__xludf.DUMMYFUNCTION("""COMPUTED_VALUE"""),46053.0)</f>
        <v>46053</v>
      </c>
      <c r="C22" s="12" t="str">
        <f>IFERROR(__xludf.DUMMYFUNCTION("""COMPUTED_VALUE"""),"GV143 ")</f>
        <v>GV143 </v>
      </c>
      <c r="D22" s="12" t="str">
        <f>IFERROR(__xludf.DUMMYFUNCTION("""COMPUTED_VALUE"""),"Hoàng Thị Mỹ")</f>
        <v>Hoàng Thị Mỹ</v>
      </c>
      <c r="E22" s="102" t="str">
        <f>IFERROR(__xludf.DUMMYFUNCTION("""COMPUTED_VALUE"""),"c chỉnh file excel cho GV nha")</f>
        <v>c chỉnh file excel cho GV nha</v>
      </c>
      <c r="F22" s="12" t="str">
        <f>IFERROR(__xludf.DUMMYFUNCTION("""COMPUTED_VALUE"""),"CVHT01")</f>
        <v>CVHT01</v>
      </c>
      <c r="G22" s="86" t="s">
        <v>891</v>
      </c>
    </row>
    <row r="23">
      <c r="A23" s="12"/>
      <c r="B23" s="241">
        <f>IFERROR(__xludf.DUMMYFUNCTION("""COMPUTED_VALUE"""),46055.0)</f>
        <v>46055</v>
      </c>
      <c r="C23" s="12" t="str">
        <f>IFERROR(__xludf.DUMMYFUNCTION("""COMPUTED_VALUE"""),"420279194")</f>
        <v>420279194</v>
      </c>
      <c r="D23" s="12" t="str">
        <f>IFERROR(__xludf.DUMMYFUNCTION("""COMPUTED_VALUE"""),"Trần Thị Thơm")</f>
        <v>Trần Thị Thơm</v>
      </c>
      <c r="E23" s="102" t="str">
        <f>IFERROR(__xludf.DUMMYFUNCTION("""COMPUTED_VALUE"""),"bạn hẹn tối mai 18h VN kiểm tra lại web ạ")</f>
        <v>bạn hẹn tối mai 18h VN kiểm tra lại web ạ</v>
      </c>
      <c r="F23" s="12" t="str">
        <f>IFERROR(__xludf.DUMMYFUNCTION("""COMPUTED_VALUE"""),"CVHT01")</f>
        <v>CVHT01</v>
      </c>
      <c r="G23" s="86" t="s">
        <v>891</v>
      </c>
    </row>
    <row r="24">
      <c r="A24" s="12"/>
      <c r="B24" s="241">
        <f>IFERROR(__xludf.DUMMYFUNCTION("""COMPUTED_VALUE"""),46056.0)</f>
        <v>46056</v>
      </c>
      <c r="C24" s="12" t="str">
        <f>IFERROR(__xludf.DUMMYFUNCTION("""COMPUTED_VALUE"""),"420288801")</f>
        <v>420288801</v>
      </c>
      <c r="D24" s="12" t="str">
        <f>IFERROR(__xludf.DUMMYFUNCTION("""COMPUTED_VALUE"""),"Phan Ngọc Quin")</f>
        <v>Phan Ngọc Quin</v>
      </c>
      <c r="E24" s="102" t="str">
        <f>IFERROR(__xludf.DUMMYFUNCTION("""COMPUTED_VALUE"""),"Bạn hỏi video chị ưi")</f>
        <v>Bạn hỏi video chị ưi</v>
      </c>
      <c r="F24" s="12" t="str">
        <f>IFERROR(__xludf.DUMMYFUNCTION("""COMPUTED_VALUE"""),"CVHT01")</f>
        <v>CVHT01</v>
      </c>
      <c r="G24" s="86" t="s">
        <v>891</v>
      </c>
    </row>
    <row r="25">
      <c r="A25" s="12"/>
      <c r="B25" s="241">
        <f>IFERROR(__xludf.DUMMYFUNCTION("""COMPUTED_VALUE"""),46066.0)</f>
        <v>46066</v>
      </c>
      <c r="C25" s="12" t="str">
        <f>IFERROR(__xludf.DUMMYFUNCTION("""COMPUTED_VALUE"""),"420285204")</f>
        <v>420285204</v>
      </c>
      <c r="D25" s="12" t="str">
        <f>IFERROR(__xludf.DUMMYFUNCTION("""COMPUTED_VALUE"""),"Huỳnh Lệ Uyến")</f>
        <v>Huỳnh Lệ Uyến</v>
      </c>
      <c r="E25" s="102" t="str">
        <f>IFERROR(__xludf.DUMMYFUNCTION("""COMPUTED_VALUE"""),"chị đọc tn của bạn này nha ạ, chủ đề Kaiwa ạ")</f>
        <v>chị đọc tn của bạn này nha ạ, chủ đề Kaiwa ạ</v>
      </c>
      <c r="F25" s="12" t="str">
        <f>IFERROR(__xludf.DUMMYFUNCTION("""COMPUTED_VALUE"""),"CVHT01")</f>
        <v>CVHT01</v>
      </c>
      <c r="G25" s="86" t="s">
        <v>891</v>
      </c>
    </row>
    <row r="26">
      <c r="A26" s="12"/>
      <c r="B26" s="241">
        <f>IFERROR(__xludf.DUMMYFUNCTION("""COMPUTED_VALUE"""),46067.0)</f>
        <v>46067</v>
      </c>
      <c r="C26" s="12" t="str">
        <f>IFERROR(__xludf.DUMMYFUNCTION("""COMPUTED_VALUE"""),"420270374")</f>
        <v>420270374</v>
      </c>
      <c r="D26" s="12" t="str">
        <f>IFERROR(__xludf.DUMMYFUNCTION("""COMPUTED_VALUE"""),"Nguyễn Văn Trọng")</f>
        <v>Nguyễn Văn Trọng</v>
      </c>
      <c r="E26" s="102" t="str">
        <f>IFERROR(__xludf.DUMMYFUNCTION("""COMPUTED_VALUE"""),"bạn muốn học T7 chị trao đổi giúp e ạ")</f>
        <v>bạn muốn học T7 chị trao đổi giúp e ạ</v>
      </c>
      <c r="F26" s="12" t="str">
        <f>IFERROR(__xludf.DUMMYFUNCTION("""COMPUTED_VALUE"""),"CVHT01")</f>
        <v>CVHT01</v>
      </c>
      <c r="G26" s="86" t="s">
        <v>891</v>
      </c>
    </row>
    <row r="27">
      <c r="A27" s="12"/>
      <c r="B27" s="241">
        <f>IFERROR(__xludf.DUMMYFUNCTION("""COMPUTED_VALUE"""),46076.0)</f>
        <v>46076</v>
      </c>
      <c r="C27" s="12" t="str">
        <f>IFERROR(__xludf.DUMMYFUNCTION("""COMPUTED_VALUE"""),"GV396")</f>
        <v>GV396</v>
      </c>
      <c r="D27" s="12" t="str">
        <f>IFERROR(__xludf.DUMMYFUNCTION("""COMPUTED_VALUE"""),"Trần Nguyệt Quyên")</f>
        <v>Trần Nguyệt Quyên</v>
      </c>
      <c r="E27" s="102" t="str">
        <f>IFERROR(__xludf.DUMMYFUNCTION("""COMPUTED_VALUE"""),"Tư vấn bạn 427892624 Lò Thị Hà ")</f>
        <v>Tư vấn bạn 427892624 Lò Thị Hà </v>
      </c>
      <c r="F27" s="12" t="str">
        <f>IFERROR(__xludf.DUMMYFUNCTION("""COMPUTED_VALUE"""),"CVHT01")</f>
        <v>CVHT01</v>
      </c>
      <c r="G27" s="86" t="s">
        <v>891</v>
      </c>
    </row>
    <row r="28">
      <c r="A28" s="12"/>
      <c r="B28" s="241">
        <f>IFERROR(__xludf.DUMMYFUNCTION("""COMPUTED_VALUE"""),46076.0)</f>
        <v>46076</v>
      </c>
      <c r="C28" s="12" t="str">
        <f>IFERROR(__xludf.DUMMYFUNCTION("""COMPUTED_VALUE"""),"420291147")</f>
        <v>420291147</v>
      </c>
      <c r="D28" s="12" t="str">
        <f>IFERROR(__xludf.DUMMYFUNCTION("""COMPUTED_VALUE"""),"Thế Thị Mạnh")</f>
        <v>Thế Thị Mạnh</v>
      </c>
      <c r="E28" s="102" t="str">
        <f>IFERROR(__xludf.DUMMYFUNCTION("""COMPUTED_VALUE"""),"check sửa bài")</f>
        <v>check sửa bài</v>
      </c>
      <c r="F28" s="12" t="str">
        <f>IFERROR(__xludf.DUMMYFUNCTION("""COMPUTED_VALUE"""),"CVHT01")</f>
        <v>CVHT01</v>
      </c>
      <c r="G28" s="86" t="s">
        <v>891</v>
      </c>
    </row>
    <row r="29">
      <c r="A29" s="12"/>
      <c r="B29" s="241">
        <f>IFERROR(__xludf.DUMMYFUNCTION("""COMPUTED_VALUE"""),46076.0)</f>
        <v>46076</v>
      </c>
      <c r="C29" s="12" t="str">
        <f>IFERROR(__xludf.DUMMYFUNCTION("""COMPUTED_VALUE"""),"420291147")</f>
        <v>420291147</v>
      </c>
      <c r="D29" s="12" t="str">
        <f>IFERROR(__xludf.DUMMYFUNCTION("""COMPUTED_VALUE"""),"Mạnh Thị Thế")</f>
        <v>Mạnh Thị Thế</v>
      </c>
      <c r="E29" s="102" t="str">
        <f>IFERROR(__xludf.DUMMYFUNCTION("""COMPUTED_VALUE"""),"Thống nhất lịch học với Bé Ngọc (Thế học 246 20hNB 18hVn)")</f>
        <v>Thống nhất lịch học với Bé Ngọc (Thế học 246 20hNB 18hVn)</v>
      </c>
      <c r="F29" s="12" t="str">
        <f>IFERROR(__xludf.DUMMYFUNCTION("""COMPUTED_VALUE"""),"CVHT01")</f>
        <v>CVHT01</v>
      </c>
      <c r="G29" s="86" t="s">
        <v>891</v>
      </c>
    </row>
    <row r="30">
      <c r="A30" s="12"/>
      <c r="B30" s="241">
        <f>IFERROR(__xludf.DUMMYFUNCTION("""COMPUTED_VALUE"""),46077.0)</f>
        <v>46077</v>
      </c>
      <c r="C30" s="12" t="str">
        <f>IFERROR(__xludf.DUMMYFUNCTION("""COMPUTED_VALUE"""),"420291147")</f>
        <v>420291147</v>
      </c>
      <c r="D30" s="12" t="str">
        <f>IFERROR(__xludf.DUMMYFUNCTION("""COMPUTED_VALUE"""),"Mạnh Thị Thế")</f>
        <v>Mạnh Thị Thế</v>
      </c>
      <c r="E30" s="102" t="str">
        <f>IFERROR(__xludf.DUMMYFUNCTION("""COMPUTED_VALUE"""),"bạn xin bảo lưu")</f>
        <v>bạn xin bảo lưu</v>
      </c>
      <c r="F30" s="12" t="str">
        <f>IFERROR(__xludf.DUMMYFUNCTION("""COMPUTED_VALUE"""),"CVHT01")</f>
        <v>CVHT01</v>
      </c>
      <c r="G30" s="86" t="s">
        <v>891</v>
      </c>
    </row>
    <row r="31">
      <c r="A31" s="12"/>
      <c r="B31" s="241">
        <f>IFERROR(__xludf.DUMMYFUNCTION("""COMPUTED_VALUE"""),46077.0)</f>
        <v>46077</v>
      </c>
      <c r="C31" s="12" t="str">
        <f>IFERROR(__xludf.DUMMYFUNCTION("""COMPUTED_VALUE"""),"420289329")</f>
        <v>420289329</v>
      </c>
      <c r="D31" s="12" t="str">
        <f>IFERROR(__xludf.DUMMYFUNCTION("""COMPUTED_VALUE"""),"Đoàn Thị Cẩm Thúy")</f>
        <v>Đoàn Thị Cẩm Thúy</v>
      </c>
      <c r="E31" s="102" t="str">
        <f>IFERROR(__xludf.DUMMYFUNCTION("""COMPUTED_VALUE"""),"bạn kêu thứ 3 tuân sau học ạ")</f>
        <v>bạn kêu thứ 3 tuân sau học ạ</v>
      </c>
      <c r="F31" s="12" t="str">
        <f>IFERROR(__xludf.DUMMYFUNCTION("""COMPUTED_VALUE"""),"CVHT01")</f>
        <v>CVHT01</v>
      </c>
      <c r="G31" s="86" t="s">
        <v>891</v>
      </c>
    </row>
    <row r="32">
      <c r="A32" s="12"/>
      <c r="B32" s="241">
        <f>IFERROR(__xludf.DUMMYFUNCTION("""COMPUTED_VALUE"""),46078.0)</f>
        <v>46078</v>
      </c>
      <c r="C32" s="12" t="str">
        <f>IFERROR(__xludf.DUMMYFUNCTION("""COMPUTED_VALUE"""),"420291147")</f>
        <v>420291147</v>
      </c>
      <c r="D32" s="12" t="str">
        <f>IFERROR(__xludf.DUMMYFUNCTION("""COMPUTED_VALUE"""),"Mạnh Thị Thế")</f>
        <v>Mạnh Thị Thế</v>
      </c>
      <c r="E32" s="102" t="str">
        <f>IFERROR(__xludf.DUMMYFUNCTION("""COMPUTED_VALUE"""),"bạn hỏi lịch JLPT ạ")</f>
        <v>bạn hỏi lịch JLPT ạ</v>
      </c>
      <c r="F32" s="12" t="str">
        <f>IFERROR(__xludf.DUMMYFUNCTION("""COMPUTED_VALUE"""),"CVHT01")</f>
        <v>CVHT01</v>
      </c>
      <c r="G32" s="86" t="s">
        <v>891</v>
      </c>
    </row>
    <row r="33">
      <c r="A33" s="12"/>
      <c r="B33" s="241">
        <f>IFERROR(__xludf.DUMMYFUNCTION("""COMPUTED_VALUE"""),46078.0)</f>
        <v>46078</v>
      </c>
      <c r="C33" s="12" t="str">
        <f>IFERROR(__xludf.DUMMYFUNCTION("""COMPUTED_VALUE"""),"420291313")</f>
        <v>420291313</v>
      </c>
      <c r="D33" s="12" t="str">
        <f>IFERROR(__xludf.DUMMYFUNCTION("""COMPUTED_VALUE"""),"Danh Quý")</f>
        <v>Danh Quý</v>
      </c>
      <c r="E33" s="102" t="str">
        <f>IFERROR(__xludf.DUMMYFUNCTION("""COMPUTED_VALUE"""),"bạn báo không thấy khóa học nữa ạ")</f>
        <v>bạn báo không thấy khóa học nữa ạ</v>
      </c>
      <c r="F33" s="12" t="str">
        <f>IFERROR(__xludf.DUMMYFUNCTION("""COMPUTED_VALUE"""),"CVHT01")</f>
        <v>CVHT01</v>
      </c>
      <c r="G33" s="86" t="s">
        <v>891</v>
      </c>
    </row>
    <row r="34">
      <c r="A34" s="12"/>
      <c r="B34" s="241">
        <f>IFERROR(__xludf.DUMMYFUNCTION("""COMPUTED_VALUE"""),46078.0)</f>
        <v>46078</v>
      </c>
      <c r="C34" s="12" t="str">
        <f>IFERROR(__xludf.DUMMYFUNCTION("""COMPUTED_VALUE"""),"420290396")</f>
        <v>420290396</v>
      </c>
      <c r="D34" s="12" t="str">
        <f>IFERROR(__xludf.DUMMYFUNCTION("""COMPUTED_VALUE"""),"Nguyễn Thái Hoàng")</f>
        <v>Nguyễn Thái Hoàng</v>
      </c>
      <c r="E34" s="102" t="str">
        <f>IFERROR(__xludf.DUMMYFUNCTION("""COMPUTED_VALUE"""),"bạn báo không thấy khóa học nữa ạ")</f>
        <v>bạn báo không thấy khóa học nữa ạ</v>
      </c>
      <c r="F34" s="12" t="str">
        <f>IFERROR(__xludf.DUMMYFUNCTION("""COMPUTED_VALUE"""),"CVHT01")</f>
        <v>CVHT01</v>
      </c>
      <c r="G34" s="86" t="s">
        <v>891</v>
      </c>
    </row>
    <row r="35">
      <c r="A35" s="12"/>
      <c r="B35" s="241">
        <f>IFERROR(__xludf.DUMMYFUNCTION("""COMPUTED_VALUE"""),46079.0)</f>
        <v>46079</v>
      </c>
      <c r="C35" s="12" t="str">
        <f>IFERROR(__xludf.DUMMYFUNCTION("""COMPUTED_VALUE"""),"427892421")</f>
        <v>427892421</v>
      </c>
      <c r="D35" s="12" t="str">
        <f>IFERROR(__xludf.DUMMYFUNCTION("""COMPUTED_VALUE"""),"Hồ Thị Kim Duyên")</f>
        <v>Hồ Thị Kim Duyên</v>
      </c>
      <c r="E35" s="102" t="str">
        <f>IFERROR(__xludf.DUMMYFUNCTION("""COMPUTED_VALUE"""),"Bạn k nộp đc bài ạ")</f>
        <v>Bạn k nộp đc bài ạ</v>
      </c>
      <c r="F35" s="12" t="str">
        <f>IFERROR(__xludf.DUMMYFUNCTION("""COMPUTED_VALUE"""),"CVHT01")</f>
        <v>CVHT01</v>
      </c>
      <c r="G35" s="86" t="s">
        <v>891</v>
      </c>
    </row>
    <row r="36">
      <c r="A36" s="12"/>
      <c r="B36" s="241">
        <f>IFERROR(__xludf.DUMMYFUNCTION("""COMPUTED_VALUE"""),46080.0)</f>
        <v>46080</v>
      </c>
      <c r="C36" s="12" t="str">
        <f>IFERROR(__xludf.DUMMYFUNCTION("""COMPUTED_VALUE"""),"420285236")</f>
        <v>420285236</v>
      </c>
      <c r="D36" s="12" t="str">
        <f>IFERROR(__xludf.DUMMYFUNCTION("""COMPUTED_VALUE"""),"Phan Thị Thanh Phương")</f>
        <v>Phan Thị Thanh Phương</v>
      </c>
      <c r="E36" s="102" t="str">
        <f>IFERROR(__xludf.DUMMYFUNCTION("""COMPUTED_VALUE"""),"chị trao đổi với bạn xem tình hình học ntn nha chị, (tin nhắn bên line của chiaki ss)")</f>
        <v>chị trao đổi với bạn xem tình hình học ntn nha chị, (tin nhắn bên line của chiaki ss)</v>
      </c>
      <c r="F36" s="12" t="str">
        <f>IFERROR(__xludf.DUMMYFUNCTION("""COMPUTED_VALUE"""),"CVHT01")</f>
        <v>CVHT01</v>
      </c>
      <c r="G36" s="86" t="s">
        <v>891</v>
      </c>
    </row>
    <row r="37">
      <c r="A37" s="12"/>
      <c r="B37" s="241">
        <f>IFERROR(__xludf.DUMMYFUNCTION("""COMPUTED_VALUE"""),46080.0)</f>
        <v>46080</v>
      </c>
      <c r="C37" s="12" t="str">
        <f>IFERROR(__xludf.DUMMYFUNCTION("""COMPUTED_VALUE"""),"420291376")</f>
        <v>420291376</v>
      </c>
      <c r="D37" s="12" t="str">
        <f>IFERROR(__xludf.DUMMYFUNCTION("""COMPUTED_VALUE"""),"Từ Thị Quế Linh")</f>
        <v>Từ Thị Quế Linh</v>
      </c>
      <c r="E37" s="102" t="str">
        <f>IFERROR(__xludf.DUMMYFUNCTION("""COMPUTED_VALUE"""),"baạn gặp vấn đề trên app học chỗ khung chat ạ")</f>
        <v>baạn gặp vấn đề trên app học chỗ khung chat ạ</v>
      </c>
      <c r="F37" s="12" t="str">
        <f>IFERROR(__xludf.DUMMYFUNCTION("""COMPUTED_VALUE"""),"CVHT01")</f>
        <v>CVHT01</v>
      </c>
      <c r="G37" s="86" t="s">
        <v>891</v>
      </c>
    </row>
    <row r="38">
      <c r="A38" s="12"/>
      <c r="B38" s="241">
        <f>IFERROR(__xludf.DUMMYFUNCTION("""COMPUTED_VALUE"""),46081.0)</f>
        <v>46081</v>
      </c>
      <c r="C38" s="12" t="str">
        <f>IFERROR(__xludf.DUMMYFUNCTION("""COMPUTED_VALUE"""),"10053741")</f>
        <v>10053741</v>
      </c>
      <c r="D38" s="12" t="str">
        <f>IFERROR(__xludf.DUMMYFUNCTION("""COMPUTED_VALUE"""),"Hồ Công Lý JLPT N3")</f>
        <v>Hồ Công Lý JLPT N3</v>
      </c>
      <c r="E38" s="102" t="str">
        <f>IFERROR(__xludf.DUMMYFUNCTION("""COMPUTED_VALUE"""),"Bạn xin video bài giảng")</f>
        <v>Bạn xin video bài giảng</v>
      </c>
      <c r="F38" s="12" t="str">
        <f>IFERROR(__xludf.DUMMYFUNCTION("""COMPUTED_VALUE"""),"CVHT01")</f>
        <v>CVHT01</v>
      </c>
      <c r="G38" s="86" t="s">
        <v>891</v>
      </c>
    </row>
    <row r="39">
      <c r="A39" s="12"/>
      <c r="B39" s="241">
        <f>IFERROR(__xludf.DUMMYFUNCTION("""COMPUTED_VALUE"""),46086.0)</f>
        <v>46086</v>
      </c>
      <c r="C39" s="12" t="str">
        <f>IFERROR(__xludf.DUMMYFUNCTION("""COMPUTED_VALUE"""),"10053741")</f>
        <v>10053741</v>
      </c>
      <c r="D39" s="12" t="str">
        <f>IFERROR(__xludf.DUMMYFUNCTION("""COMPUTED_VALUE"""),"Hồ Công Lý JLPT N3")</f>
        <v>Hồ Công Lý JLPT N3</v>
      </c>
      <c r="E39" s="102" t="str">
        <f>IFERROR(__xludf.DUMMYFUNCTION("""COMPUTED_VALUE"""),"bạn xin video ạ")</f>
        <v>bạn xin video ạ</v>
      </c>
      <c r="F39" s="12" t="str">
        <f>IFERROR(__xludf.DUMMYFUNCTION("""COMPUTED_VALUE"""),"CVHT01")</f>
        <v>CVHT01</v>
      </c>
      <c r="G39" s="86" t="s">
        <v>891</v>
      </c>
    </row>
    <row r="40">
      <c r="A40" s="12"/>
      <c r="B40" s="241">
        <f>IFERROR(__xludf.DUMMYFUNCTION("""COMPUTED_VALUE"""),46086.0)</f>
        <v>46086</v>
      </c>
      <c r="C40" s="12" t="str">
        <f>IFERROR(__xludf.DUMMYFUNCTION("""COMPUTED_VALUE"""),"420282644")</f>
        <v>420282644</v>
      </c>
      <c r="D40" s="12" t="str">
        <f>IFERROR(__xludf.DUMMYFUNCTION("""COMPUTED_VALUE"""),"Trần Thu Hà")</f>
        <v>Trần Thu Hà</v>
      </c>
      <c r="E40" s="102" t="str">
        <f>IFERROR(__xludf.DUMMYFUNCTION("""COMPUTED_VALUE"""),"bạn xin nghỉ học ạ")</f>
        <v>bạn xin nghỉ học ạ</v>
      </c>
      <c r="F40" s="12" t="str">
        <f>IFERROR(__xludf.DUMMYFUNCTION("""COMPUTED_VALUE"""),"CVHT01")</f>
        <v>CVHT01</v>
      </c>
      <c r="G40" s="86" t="s">
        <v>891</v>
      </c>
    </row>
    <row r="41">
      <c r="A41" s="12"/>
      <c r="B41" s="241">
        <f>IFERROR(__xludf.DUMMYFUNCTION("""COMPUTED_VALUE"""),46087.0)</f>
        <v>46087</v>
      </c>
      <c r="C41" s="12" t="str">
        <f>IFERROR(__xludf.DUMMYFUNCTION("""COMPUTED_VALUE"""),"420272465")</f>
        <v>420272465</v>
      </c>
      <c r="D41" s="12" t="str">
        <f>IFERROR(__xludf.DUMMYFUNCTION("""COMPUTED_VALUE"""),"Nguyễn Duy Đắc")</f>
        <v>Nguyễn Duy Đắc</v>
      </c>
      <c r="E41" s="102" t="str">
        <f>IFERROR(__xludf.DUMMYFUNCTION("""COMPUTED_VALUE"""),"đoạn nghe video bạn không nghe được")</f>
        <v>đoạn nghe video bạn không nghe được</v>
      </c>
      <c r="F41" s="12" t="str">
        <f>IFERROR(__xludf.DUMMYFUNCTION("""COMPUTED_VALUE"""),"CVHT01")</f>
        <v>CVHT01</v>
      </c>
      <c r="G41" s="86" t="s">
        <v>891</v>
      </c>
    </row>
    <row r="42">
      <c r="A42" s="12"/>
      <c r="B42" s="241">
        <f>IFERROR(__xludf.DUMMYFUNCTION("""COMPUTED_VALUE"""),46090.0)</f>
        <v>46090</v>
      </c>
      <c r="C42" s="12" t="str">
        <f>IFERROR(__xludf.DUMMYFUNCTION("""COMPUTED_VALUE"""),"GV 410")</f>
        <v>GV 410</v>
      </c>
      <c r="D42" s="12" t="str">
        <f>IFERROR(__xludf.DUMMYFUNCTION("""COMPUTED_VALUE"""),"Nguyễn Thị Anh")</f>
        <v>Nguyễn Thị Anh</v>
      </c>
      <c r="E42" s="102" t="str">
        <f>IFERROR(__xludf.DUMMYFUNCTION("""COMPUTED_VALUE"""),"Cô feedback về việc học của bạn 420287232 Hữu Danh")</f>
        <v>Cô feedback về việc học của bạn 420287232 Hữu Danh</v>
      </c>
      <c r="F42" s="12" t="str">
        <f>IFERROR(__xludf.DUMMYFUNCTION("""COMPUTED_VALUE"""),"CVHT01")</f>
        <v>CVHT01</v>
      </c>
      <c r="G42" s="86" t="s">
        <v>891</v>
      </c>
    </row>
    <row r="43">
      <c r="A43" s="12"/>
      <c r="B43" s="241">
        <f>IFERROR(__xludf.DUMMYFUNCTION("""COMPUTED_VALUE"""),46090.0)</f>
        <v>46090</v>
      </c>
      <c r="C43" s="12" t="str">
        <f>IFERROR(__xludf.DUMMYFUNCTION("""COMPUTED_VALUE"""),"420291710")</f>
        <v>420291710</v>
      </c>
      <c r="D43" s="12" t="str">
        <f>IFERROR(__xludf.DUMMYFUNCTION("""COMPUTED_VALUE"""),"Nguyễn Thị Hồng Nhung")</f>
        <v>Nguyễn Thị Hồng Nhung</v>
      </c>
      <c r="E43" s="102" t="str">
        <f>IFERROR(__xludf.DUMMYFUNCTION("""COMPUTED_VALUE"""),"Trao đổi lịch học")</f>
        <v>Trao đổi lịch học</v>
      </c>
      <c r="F43" s="12" t="str">
        <f>IFERROR(__xludf.DUMMYFUNCTION("""COMPUTED_VALUE"""),"CVHT01")</f>
        <v>CVHT01</v>
      </c>
      <c r="G43" s="86" t="s">
        <v>891</v>
      </c>
    </row>
    <row r="44">
      <c r="A44" s="12"/>
      <c r="B44" s="241">
        <f>IFERROR(__xludf.DUMMYFUNCTION("""COMPUTED_VALUE"""),46091.0)</f>
        <v>46091</v>
      </c>
      <c r="C44" s="12" t="str">
        <f>IFERROR(__xludf.DUMMYFUNCTION("""COMPUTED_VALUE"""),"420284976")</f>
        <v>420284976</v>
      </c>
      <c r="D44" s="12" t="str">
        <f>IFERROR(__xludf.DUMMYFUNCTION("""COMPUTED_VALUE"""),"Nguyễn Thiên Kim")</f>
        <v>Nguyễn Thiên Kim</v>
      </c>
      <c r="E44" s="102" t="str">
        <f>IFERROR(__xludf.DUMMYFUNCTION("""COMPUTED_VALUE"""),"baạn hỏi cách giải nén file ạ")</f>
        <v>baạn hỏi cách giải nén file ạ</v>
      </c>
      <c r="F44" s="12" t="str">
        <f>IFERROR(__xludf.DUMMYFUNCTION("""COMPUTED_VALUE"""),"CVHT01")</f>
        <v>CVHT01</v>
      </c>
      <c r="G44" s="86" t="s">
        <v>891</v>
      </c>
    </row>
    <row r="45">
      <c r="A45" s="12"/>
      <c r="B45" s="241">
        <f>IFERROR(__xludf.DUMMYFUNCTION("""COMPUTED_VALUE"""),46091.0)</f>
        <v>46091</v>
      </c>
      <c r="C45" s="12" t="str">
        <f>IFERROR(__xludf.DUMMYFUNCTION("""COMPUTED_VALUE"""),"GV382")</f>
        <v>GV382</v>
      </c>
      <c r="D45" s="12" t="str">
        <f>IFERROR(__xludf.DUMMYFUNCTION("""COMPUTED_VALUE"""),"Tạ Thị Hiền")</f>
        <v>Tạ Thị Hiền</v>
      </c>
      <c r="E45" s="102" t="str">
        <f>IFERROR(__xludf.DUMMYFUNCTION("""COMPUTED_VALUE"""),"trao đổi lịch dạy ạ")</f>
        <v>trao đổi lịch dạy ạ</v>
      </c>
      <c r="F45" s="12" t="str">
        <f>IFERROR(__xludf.DUMMYFUNCTION("""COMPUTED_VALUE"""),"CVHT01")</f>
        <v>CVHT01</v>
      </c>
      <c r="G45" s="86" t="s">
        <v>891</v>
      </c>
    </row>
    <row r="46">
      <c r="A46" s="12"/>
      <c r="B46" s="241">
        <f>IFERROR(__xludf.DUMMYFUNCTION("""COMPUTED_VALUE"""),46091.0)</f>
        <v>46091</v>
      </c>
      <c r="C46" s="12" t="str">
        <f>IFERROR(__xludf.DUMMYFUNCTION("""COMPUTED_VALUE"""),"420287978")</f>
        <v>420287978</v>
      </c>
      <c r="D46" s="12" t="str">
        <f>IFERROR(__xludf.DUMMYFUNCTION("""COMPUTED_VALUE"""),"Trần Thái Thu Ngân")</f>
        <v>Trần Thái Thu Ngân</v>
      </c>
      <c r="E46" s="102" t="str">
        <f>IFERROR(__xludf.DUMMYFUNCTION("""COMPUTED_VALUE"""),"Diễm ss báo bạn không vào học 2 hôm rồi, không liên lạc được, em check tn zl cũng không thấy xin nghỉ")</f>
        <v>Diễm ss báo bạn không vào học 2 hôm rồi, không liên lạc được, em check tn zl cũng không thấy xin nghỉ</v>
      </c>
      <c r="F46" s="12" t="str">
        <f>IFERROR(__xludf.DUMMYFUNCTION("""COMPUTED_VALUE"""),"CVHT01")</f>
        <v>CVHT01</v>
      </c>
      <c r="G46" s="86" t="s">
        <v>891</v>
      </c>
    </row>
    <row r="47">
      <c r="A47" s="12"/>
      <c r="B47" s="241">
        <f>IFERROR(__xludf.DUMMYFUNCTION("""COMPUTED_VALUE"""),46092.0)</f>
        <v>46092</v>
      </c>
      <c r="C47" s="12" t="str">
        <f>IFERROR(__xludf.DUMMYFUNCTION("""COMPUTED_VALUE"""),"420291068")</f>
        <v>420291068</v>
      </c>
      <c r="D47" s="12" t="str">
        <f>IFERROR(__xludf.DUMMYFUNCTION("""COMPUTED_VALUE"""),"Nguyễn Thị Thúy An")</f>
        <v>Nguyễn Thị Thúy An</v>
      </c>
      <c r="E47" s="102" t="str">
        <f>IFERROR(__xludf.DUMMYFUNCTION("""COMPUTED_VALUE"""),"xếp lịch học ạ")</f>
        <v>xếp lịch học ạ</v>
      </c>
      <c r="F47" s="12" t="str">
        <f>IFERROR(__xludf.DUMMYFUNCTION("""COMPUTED_VALUE"""),"CVHT01")</f>
        <v>CVHT01</v>
      </c>
      <c r="G47" s="86" t="s">
        <v>891</v>
      </c>
    </row>
    <row r="48">
      <c r="A48" s="12"/>
      <c r="B48" s="241">
        <f>IFERROR(__xludf.DUMMYFUNCTION("""COMPUTED_VALUE"""),46094.0)</f>
        <v>46094</v>
      </c>
      <c r="C48" s="12" t="str">
        <f>IFERROR(__xludf.DUMMYFUNCTION("""COMPUTED_VALUE"""),"420285309")</f>
        <v>420285309</v>
      </c>
      <c r="D48" s="12" t="str">
        <f>IFERROR(__xludf.DUMMYFUNCTION("""COMPUTED_VALUE"""),"Đào Thị Thu Huyền")</f>
        <v>Đào Thị Thu Huyền</v>
      </c>
      <c r="E48" s="102" t="str">
        <f>IFERROR(__xludf.DUMMYFUNCTION("""COMPUTED_VALUE"""),"Muốn đổi ca học sang 11h sáng NB")</f>
        <v>Muốn đổi ca học sang 11h sáng NB</v>
      </c>
      <c r="F48" s="12" t="str">
        <f>IFERROR(__xludf.DUMMYFUNCTION("""COMPUTED_VALUE"""),"CVHT01")</f>
        <v>CVHT01</v>
      </c>
      <c r="G48" s="86" t="s">
        <v>891</v>
      </c>
    </row>
    <row r="49">
      <c r="A49" s="12"/>
      <c r="B49" s="241">
        <f>IFERROR(__xludf.DUMMYFUNCTION("""COMPUTED_VALUE"""),46095.0)</f>
        <v>46095</v>
      </c>
      <c r="C49" s="12" t="str">
        <f>IFERROR(__xludf.DUMMYFUNCTION("""COMPUTED_VALUE"""),"GV468")</f>
        <v>GV468</v>
      </c>
      <c r="D49" s="12" t="str">
        <f>IFERROR(__xludf.DUMMYFUNCTION("""COMPUTED_VALUE"""),"Nguyễn Thị Hồng Hạnh")</f>
        <v>Nguyễn Thị Hồng Hạnh</v>
      </c>
      <c r="E49" s="102" t="str">
        <f>IFERROR(__xludf.DUMMYFUNCTION("""COMPUTED_VALUE"""),"cô hỏi hôm nay có được tính không")</f>
        <v>cô hỏi hôm nay có được tính không</v>
      </c>
      <c r="F49" s="12" t="str">
        <f>IFERROR(__xludf.DUMMYFUNCTION("""COMPUTED_VALUE"""),"CVHT01")</f>
        <v>CVHT01</v>
      </c>
      <c r="G49" s="86" t="s">
        <v>891</v>
      </c>
    </row>
    <row r="50">
      <c r="A50" s="12"/>
      <c r="B50" s="241">
        <f>IFERROR(__xludf.DUMMYFUNCTION("""COMPUTED_VALUE"""),46095.0)</f>
        <v>46095</v>
      </c>
      <c r="C50" s="12" t="str">
        <f>IFERROR(__xludf.DUMMYFUNCTION("""COMPUTED_VALUE"""),"427892440")</f>
        <v>427892440</v>
      </c>
      <c r="D50" s="12" t="str">
        <f>IFERROR(__xludf.DUMMYFUNCTION("""COMPUTED_VALUE"""),"Lộc Thị Ba")</f>
        <v>Lộc Thị Ba</v>
      </c>
      <c r="E50" s="102" t="str">
        <f>IFERROR(__xludf.DUMMYFUNCTION("""COMPUTED_VALUE"""),"xếp lịch học ạ")</f>
        <v>xếp lịch học ạ</v>
      </c>
      <c r="F50" s="12" t="str">
        <f>IFERROR(__xludf.DUMMYFUNCTION("""COMPUTED_VALUE"""),"CVHT01")</f>
        <v>CVHT01</v>
      </c>
      <c r="G50" s="86" t="s">
        <v>891</v>
      </c>
    </row>
    <row r="51">
      <c r="A51" s="12"/>
      <c r="B51" s="241">
        <f>IFERROR(__xludf.DUMMYFUNCTION("""COMPUTED_VALUE"""),46095.0)</f>
        <v>46095</v>
      </c>
      <c r="C51" s="12" t="str">
        <f>IFERROR(__xludf.DUMMYFUNCTION("""COMPUTED_VALUE"""),"420290229")</f>
        <v>420290229</v>
      </c>
      <c r="D51" s="12" t="str">
        <f>IFERROR(__xludf.DUMMYFUNCTION("""COMPUTED_VALUE"""),"Danh Hoàng Thủ")</f>
        <v>Danh Hoàng Thủ</v>
      </c>
      <c r="E51" s="102" t="str">
        <f>IFERROR(__xludf.DUMMYFUNCTION("""COMPUTED_VALUE"""),"baạn báo học hết bài 30 rồi ạ")</f>
        <v>baạn báo học hết bài 30 rồi ạ</v>
      </c>
      <c r="F51" s="12" t="str">
        <f>IFERROR(__xludf.DUMMYFUNCTION("""COMPUTED_VALUE"""),"CVHT01")</f>
        <v>CVHT01</v>
      </c>
      <c r="G51" s="86" t="s">
        <v>891</v>
      </c>
    </row>
    <row r="52">
      <c r="A52" s="12"/>
      <c r="B52" s="241">
        <f>IFERROR(__xludf.DUMMYFUNCTION("""COMPUTED_VALUE"""),46097.0)</f>
        <v>46097</v>
      </c>
      <c r="C52" s="12" t="str">
        <f>IFERROR(__xludf.DUMMYFUNCTION("""COMPUTED_VALUE"""),"420288159")</f>
        <v>420288159</v>
      </c>
      <c r="D52" s="12" t="str">
        <f>IFERROR(__xludf.DUMMYFUNCTION("""COMPUTED_VALUE"""),"Nguyễn Thị Ngọc Bích")</f>
        <v>Nguyễn Thị Ngọc Bích</v>
      </c>
      <c r="E52" s="102" t="str">
        <f>IFERROR(__xludf.DUMMYFUNCTION("""COMPUTED_VALUE"""),"baạn xin bảo lưu")</f>
        <v>baạn xin bảo lưu</v>
      </c>
      <c r="F52" s="12" t="str">
        <f>IFERROR(__xludf.DUMMYFUNCTION("""COMPUTED_VALUE"""),"CVHT01")</f>
        <v>CVHT01</v>
      </c>
      <c r="G52" s="86" t="s">
        <v>891</v>
      </c>
    </row>
    <row r="53">
      <c r="A53" s="12"/>
      <c r="B53" s="241">
        <f>IFERROR(__xludf.DUMMYFUNCTION("""COMPUTED_VALUE"""),46097.0)</f>
        <v>46097</v>
      </c>
      <c r="C53" s="12" t="str">
        <f>IFERROR(__xludf.DUMMYFUNCTION("""COMPUTED_VALUE"""),"420291753")</f>
        <v>420291753</v>
      </c>
      <c r="D53" s="12" t="str">
        <f>IFERROR(__xludf.DUMMYFUNCTION("""COMPUTED_VALUE"""),"Đoàn Hải Yến")</f>
        <v>Đoàn Hải Yến</v>
      </c>
      <c r="E53" s="102" t="str">
        <f>IFERROR(__xludf.DUMMYFUNCTION("""COMPUTED_VALUE"""),"Dạ e học thứ 4 và chủ nhật ạ")</f>
        <v>Dạ e học thứ 4 và chủ nhật ạ</v>
      </c>
      <c r="F53" s="12" t="str">
        <f>IFERROR(__xludf.DUMMYFUNCTION("""COMPUTED_VALUE"""),"CVHT01")</f>
        <v>CVHT01</v>
      </c>
      <c r="G53" s="86" t="s">
        <v>891</v>
      </c>
    </row>
    <row r="54">
      <c r="A54" s="12"/>
      <c r="B54" s="241">
        <f>IFERROR(__xludf.DUMMYFUNCTION("""COMPUTED_VALUE"""),46097.0)</f>
        <v>46097</v>
      </c>
      <c r="C54" s="12" t="str">
        <f>IFERROR(__xludf.DUMMYFUNCTION("""COMPUTED_VALUE"""),"420288947")</f>
        <v>420288947</v>
      </c>
      <c r="D54" s="12" t="str">
        <f>IFERROR(__xludf.DUMMYFUNCTION("""COMPUTED_VALUE"""),"Danh Trí Phẩm")</f>
        <v>Danh Trí Phẩm</v>
      </c>
      <c r="E54" s="102" t="str">
        <f>IFERROR(__xludf.DUMMYFUNCTION("""COMPUTED_VALUE"""),"Tuy nhiên với thời lượng 30' so với nội dung bài học thì học không xong ạ, bạn phản hồi buổi học ạ")</f>
        <v>Tuy nhiên với thời lượng 30' so với nội dung bài học thì học không xong ạ, bạn phản hồi buổi học ạ</v>
      </c>
      <c r="F54" s="12" t="str">
        <f>IFERROR(__xludf.DUMMYFUNCTION("""COMPUTED_VALUE"""),"CVHT01")</f>
        <v>CVHT01</v>
      </c>
      <c r="G54" s="86" t="s">
        <v>891</v>
      </c>
    </row>
    <row r="55">
      <c r="A55" s="12"/>
      <c r="B55" s="241">
        <f>IFERROR(__xludf.DUMMYFUNCTION("""COMPUTED_VALUE"""),46097.0)</f>
        <v>46097</v>
      </c>
      <c r="C55" s="12" t="str">
        <f>IFERROR(__xludf.DUMMYFUNCTION("""COMPUTED_VALUE"""),"420288801")</f>
        <v>420288801</v>
      </c>
      <c r="D55" s="12" t="str">
        <f>IFERROR(__xludf.DUMMYFUNCTION("""COMPUTED_VALUE"""),"Phan Ngọc Quin")</f>
        <v>Phan Ngọc Quin</v>
      </c>
      <c r="E55" s="102" t="str">
        <f>IFERROR(__xludf.DUMMYFUNCTION("""COMPUTED_VALUE"""),"lịch học ạ")</f>
        <v>lịch học ạ</v>
      </c>
      <c r="F55" s="12" t="str">
        <f>IFERROR(__xludf.DUMMYFUNCTION("""COMPUTED_VALUE"""),"CVHT01")</f>
        <v>CVHT01</v>
      </c>
      <c r="G55" s="86" t="s">
        <v>891</v>
      </c>
    </row>
    <row r="56">
      <c r="A56" s="12"/>
      <c r="B56" s="241">
        <f>IFERROR(__xludf.DUMMYFUNCTION("""COMPUTED_VALUE"""),46097.0)</f>
        <v>46097</v>
      </c>
      <c r="C56" s="12" t="str">
        <f>IFERROR(__xludf.DUMMYFUNCTION("""COMPUTED_VALUE"""),"GV443")</f>
        <v>GV443</v>
      </c>
      <c r="D56" s="12" t="str">
        <f>IFERROR(__xludf.DUMMYFUNCTION("""COMPUTED_VALUE"""),"Nguyễn Thị Huệ ")</f>
        <v>Nguyễn Thị Huệ </v>
      </c>
      <c r="E56" s="102" t="str">
        <f>IFERROR(__xludf.DUMMYFUNCTION("""COMPUTED_VALUE"""),"16/04 cô xin nghỉ chờ sinh")</f>
        <v>16/04 cô xin nghỉ chờ sinh</v>
      </c>
      <c r="F56" s="12" t="str">
        <f>IFERROR(__xludf.DUMMYFUNCTION("""COMPUTED_VALUE"""),"CVHT01")</f>
        <v>CVHT01</v>
      </c>
      <c r="G56" s="86" t="s">
        <v>891</v>
      </c>
    </row>
    <row r="57">
      <c r="A57" s="12"/>
      <c r="B57" s="241">
        <f>IFERROR(__xludf.DUMMYFUNCTION("""COMPUTED_VALUE"""),46098.0)</f>
        <v>46098</v>
      </c>
      <c r="C57" s="12" t="str">
        <f>IFERROR(__xludf.DUMMYFUNCTION("""COMPUTED_VALUE"""),"10053860")</f>
        <v>10053860</v>
      </c>
      <c r="D57" s="12" t="str">
        <f>IFERROR(__xludf.DUMMYFUNCTION("""COMPUTED_VALUE"""),"Nguyễn Thị Kim Cúc")</f>
        <v>Nguyễn Thị Kim Cúc</v>
      </c>
      <c r="E57" s="102" t="str">
        <f>IFERROR(__xludf.DUMMYFUNCTION("""COMPUTED_VALUE"""),"muốn tải app trên Macbook")</f>
        <v>muốn tải app trên Macbook</v>
      </c>
      <c r="F57" s="12" t="str">
        <f>IFERROR(__xludf.DUMMYFUNCTION("""COMPUTED_VALUE"""),"CVHT01")</f>
        <v>CVHT01</v>
      </c>
      <c r="G57" s="86" t="s">
        <v>891</v>
      </c>
    </row>
    <row r="58">
      <c r="A58" s="12"/>
      <c r="B58" s="241">
        <f>IFERROR(__xludf.DUMMYFUNCTION("""COMPUTED_VALUE"""),46099.0)</f>
        <v>46099</v>
      </c>
      <c r="C58" s="12" t="str">
        <f>IFERROR(__xludf.DUMMYFUNCTION("""COMPUTED_VALUE"""),"420285530")</f>
        <v>420285530</v>
      </c>
      <c r="D58" s="12" t="str">
        <f>IFERROR(__xludf.DUMMYFUNCTION("""COMPUTED_VALUE"""),"Trần Thụy Thảo My")</f>
        <v>Trần Thụy Thảo My</v>
      </c>
      <c r="E58" s="102" t="str">
        <f>IFERROR(__xludf.DUMMYFUNCTION("""COMPUTED_VALUE"""),"Bạn xin nghỉ luôn chị ạ")</f>
        <v>Bạn xin nghỉ luôn chị ạ</v>
      </c>
      <c r="F58" s="12" t="str">
        <f>IFERROR(__xludf.DUMMYFUNCTION("""COMPUTED_VALUE"""),"CVHT01")</f>
        <v>CVHT01</v>
      </c>
      <c r="G58" s="86" t="s">
        <v>891</v>
      </c>
    </row>
    <row r="59">
      <c r="A59" s="12"/>
      <c r="B59" s="241">
        <f>IFERROR(__xludf.DUMMYFUNCTION("""COMPUTED_VALUE"""),46100.0)</f>
        <v>46100</v>
      </c>
      <c r="C59" s="12" t="str">
        <f>IFERROR(__xludf.DUMMYFUNCTION("""COMPUTED_VALUE"""),"420290156")</f>
        <v>420290156</v>
      </c>
      <c r="D59" s="12" t="str">
        <f>IFERROR(__xludf.DUMMYFUNCTION("""COMPUTED_VALUE"""),"Nguyễn Thị Toán")</f>
        <v>Nguyễn Thị Toán</v>
      </c>
      <c r="E59" s="102" t="str">
        <f>IFERROR(__xludf.DUMMYFUNCTION("""COMPUTED_VALUE"""),"muốn xin xuống N5")</f>
        <v>muốn xin xuống N5</v>
      </c>
      <c r="F59" s="12" t="str">
        <f>IFERROR(__xludf.DUMMYFUNCTION("""COMPUTED_VALUE"""),"CVHT01")</f>
        <v>CVHT01</v>
      </c>
      <c r="G59" s="86" t="s">
        <v>891</v>
      </c>
    </row>
    <row r="60">
      <c r="A60" s="12"/>
      <c r="B60" s="241">
        <f>IFERROR(__xludf.DUMMYFUNCTION("""COMPUTED_VALUE"""),46100.0)</f>
        <v>46100</v>
      </c>
      <c r="C60" s="12" t="str">
        <f>IFERROR(__xludf.DUMMYFUNCTION("""COMPUTED_VALUE"""),"10053752")</f>
        <v>10053752</v>
      </c>
      <c r="D60" s="12" t="str">
        <f>IFERROR(__xludf.DUMMYFUNCTION("""COMPUTED_VALUE""")," Nguyễn Thị Hiền")</f>
        <v> Nguyễn Thị Hiền</v>
      </c>
      <c r="E60" s="102" t="str">
        <f>IFERROR(__xludf.DUMMYFUNCTION("""COMPUTED_VALUE"""),"không hiện tài liệu học (đen màn hình)")</f>
        <v>không hiện tài liệu học (đen màn hình)</v>
      </c>
      <c r="F60" s="12" t="str">
        <f>IFERROR(__xludf.DUMMYFUNCTION("""COMPUTED_VALUE"""),"CVHT01")</f>
        <v>CVHT01</v>
      </c>
      <c r="G60" s="86" t="s">
        <v>891</v>
      </c>
    </row>
    <row r="61">
      <c r="A61" s="12"/>
      <c r="B61" s="241">
        <f>IFERROR(__xludf.DUMMYFUNCTION("""COMPUTED_VALUE"""),46100.0)</f>
        <v>46100</v>
      </c>
      <c r="C61" s="12" t="str">
        <f>IFERROR(__xludf.DUMMYFUNCTION("""COMPUTED_VALUE"""),"427894243")</f>
        <v>427894243</v>
      </c>
      <c r="D61" s="12" t="str">
        <f>IFERROR(__xludf.DUMMYFUNCTION("""COMPUTED_VALUE"""),"Nguyễn Trần Duy Anh")</f>
        <v>Nguyễn Trần Duy Anh</v>
      </c>
      <c r="E61" s="102" t="str">
        <f>IFERROR(__xludf.DUMMYFUNCTION("""COMPUTED_VALUE"""),"Lịch học ạ")</f>
        <v>Lịch học ạ</v>
      </c>
      <c r="F61" s="12" t="str">
        <f>IFERROR(__xludf.DUMMYFUNCTION("""COMPUTED_VALUE"""),"CVHT01")</f>
        <v>CVHT01</v>
      </c>
      <c r="G61" s="86" t="s">
        <v>891</v>
      </c>
    </row>
    <row r="62">
      <c r="A62" s="12"/>
      <c r="B62" s="241">
        <f>IFERROR(__xludf.DUMMYFUNCTION("""COMPUTED_VALUE"""),46100.0)</f>
        <v>46100</v>
      </c>
      <c r="C62" s="12" t="str">
        <f>IFERROR(__xludf.DUMMYFUNCTION("""COMPUTED_VALUE"""),"10053752")</f>
        <v>10053752</v>
      </c>
      <c r="D62" s="12" t="str">
        <f>IFERROR(__xludf.DUMMYFUNCTION("""COMPUTED_VALUE"""),"Nguyễn Thị Hiền")</f>
        <v>Nguyễn Thị Hiền</v>
      </c>
      <c r="E62" s="102" t="str">
        <f>IFERROR(__xludf.DUMMYFUNCTION("""COMPUTED_VALUE"""),"bạn muốn hỗ trợ cách học vì bạn đọc ko hiểu ạ")</f>
        <v>bạn muốn hỗ trợ cách học vì bạn đọc ko hiểu ạ</v>
      </c>
      <c r="F62" s="12" t="str">
        <f>IFERROR(__xludf.DUMMYFUNCTION("""COMPUTED_VALUE"""),"CVHT01")</f>
        <v>CVHT01</v>
      </c>
      <c r="G62" s="86" t="s">
        <v>891</v>
      </c>
    </row>
    <row r="63">
      <c r="A63" s="12"/>
      <c r="B63" s="241">
        <f>IFERROR(__xludf.DUMMYFUNCTION("""COMPUTED_VALUE"""),46101.0)</f>
        <v>46101</v>
      </c>
      <c r="C63" s="12" t="str">
        <f>IFERROR(__xludf.DUMMYFUNCTION("""COMPUTED_VALUE"""),"10054052")</f>
        <v>10054052</v>
      </c>
      <c r="D63" s="12" t="str">
        <f>IFERROR(__xludf.DUMMYFUNCTION("""COMPUTED_VALUE"""),"Nguyễn Văn Tiến")</f>
        <v>Nguyễn Văn Tiến</v>
      </c>
      <c r="E63" s="102" t="str">
        <f>IFERROR(__xludf.DUMMYFUNCTION("""COMPUTED_VALUE"""),"baạn có ý kiến về phần BTVN ạ ""Vì tụi em ko phải full thời gian mà rãnh lúc nào tụi em lm lúc đó mà lỡ đang lm dỡ có việc thoát ra sau muốn vào lm tiếp thì ko lm đk nữa như vậy rất khó ạ""")</f>
        <v>baạn có ý kiến về phần BTVN ạ "Vì tụi em ko phải full thời gian mà rãnh lúc nào tụi em lm lúc đó mà lỡ đang lm dỡ có việc thoát ra sau muốn vào lm tiếp thì ko lm đk nữa như vậy rất khó ạ"</v>
      </c>
      <c r="F63" s="12" t="str">
        <f>IFERROR(__xludf.DUMMYFUNCTION("""COMPUTED_VALUE"""),"CVHT01")</f>
        <v>CVHT01</v>
      </c>
      <c r="G63" s="86" t="s">
        <v>891</v>
      </c>
    </row>
    <row r="64">
      <c r="A64" s="12"/>
      <c r="B64" s="241">
        <f>IFERROR(__xludf.DUMMYFUNCTION("""COMPUTED_VALUE"""),46101.0)</f>
        <v>46101</v>
      </c>
      <c r="C64" s="12" t="str">
        <f>IFERROR(__xludf.DUMMYFUNCTION("""COMPUTED_VALUE"""),"420290575")</f>
        <v>420290575</v>
      </c>
      <c r="D64" s="12" t="str">
        <f>IFERROR(__xludf.DUMMYFUNCTION("""COMPUTED_VALUE"""),"Đào Xuân Trường")</f>
        <v>Đào Xuân Trường</v>
      </c>
      <c r="E64" s="102" t="str">
        <f>IFERROR(__xludf.DUMMYFUNCTION("""COMPUTED_VALUE"""),"hỗ trợ bài ạ")</f>
        <v>hỗ trợ bài ạ</v>
      </c>
      <c r="F64" s="12" t="str">
        <f>IFERROR(__xludf.DUMMYFUNCTION("""COMPUTED_VALUE"""),"CVHT01")</f>
        <v>CVHT01</v>
      </c>
      <c r="G64" s="86" t="s">
        <v>891</v>
      </c>
    </row>
    <row r="65">
      <c r="A65" s="12"/>
      <c r="B65" s="241">
        <f>IFERROR(__xludf.DUMMYFUNCTION("""COMPUTED_VALUE"""),46101.0)</f>
        <v>46101</v>
      </c>
      <c r="C65" s="12" t="str">
        <f>IFERROR(__xludf.DUMMYFUNCTION("""COMPUTED_VALUE"""),"427892411")</f>
        <v>427892411</v>
      </c>
      <c r="D65" s="12" t="str">
        <f>IFERROR(__xludf.DUMMYFUNCTION("""COMPUTED_VALUE"""),"Vi Yến Hoa")</f>
        <v>Vi Yến Hoa</v>
      </c>
      <c r="E65" s="102" t="str">
        <f>IFERROR(__xludf.DUMMYFUNCTION("""COMPUTED_VALUE"""),"hỗ trợ PV")</f>
        <v>hỗ trợ PV</v>
      </c>
      <c r="F65" s="12" t="str">
        <f>IFERROR(__xludf.DUMMYFUNCTION("""COMPUTED_VALUE"""),"CVHT01")</f>
        <v>CVHT01</v>
      </c>
      <c r="G65" s="86" t="s">
        <v>891</v>
      </c>
    </row>
    <row r="66">
      <c r="A66" s="12"/>
      <c r="B66" s="241">
        <f>IFERROR(__xludf.DUMMYFUNCTION("""COMPUTED_VALUE"""),46101.0)</f>
        <v>46101</v>
      </c>
      <c r="C66" s="12" t="str">
        <f>IFERROR(__xludf.DUMMYFUNCTION("""COMPUTED_VALUE"""),"427893158")</f>
        <v>427893158</v>
      </c>
      <c r="D66" s="12" t="str">
        <f>IFERROR(__xludf.DUMMYFUNCTION("""COMPUTED_VALUE"""),"Trần Thị Ngọc Duyên")</f>
        <v>Trần Thị Ngọc Duyên</v>
      </c>
      <c r="E66" s="102" t="str">
        <f>IFERROR(__xludf.DUMMYFUNCTION("""COMPUTED_VALUE"""),"hỗ trợ BTVN")</f>
        <v>hỗ trợ BTVN</v>
      </c>
      <c r="F66" s="12" t="str">
        <f>IFERROR(__xludf.DUMMYFUNCTION("""COMPUTED_VALUE"""),"CVHT01")</f>
        <v>CVHT01</v>
      </c>
      <c r="G66" s="86" t="s">
        <v>891</v>
      </c>
    </row>
    <row r="67">
      <c r="A67" s="12"/>
      <c r="B67" s="241">
        <f>IFERROR(__xludf.DUMMYFUNCTION("""COMPUTED_VALUE"""),46101.0)</f>
        <v>46101</v>
      </c>
      <c r="C67" s="12" t="str">
        <f>IFERROR(__xludf.DUMMYFUNCTION("""COMPUTED_VALUE"""),"420275035")</f>
        <v>420275035</v>
      </c>
      <c r="D67" s="12" t="str">
        <f>IFERROR(__xludf.DUMMYFUNCTION("""COMPUTED_VALUE"""),"Nguyễn Văn Dũng")</f>
        <v>Nguyễn Văn Dũng</v>
      </c>
      <c r="E67" s="102" t="str">
        <f>IFERROR(__xludf.DUMMYFUNCTION("""COMPUTED_VALUE"""),"baạn báo tự học ạ")</f>
        <v>baạn báo tự học ạ</v>
      </c>
      <c r="F67" s="12" t="str">
        <f>IFERROR(__xludf.DUMMYFUNCTION("""COMPUTED_VALUE"""),"CVHT01")</f>
        <v>CVHT01</v>
      </c>
      <c r="G67" s="86" t="s">
        <v>891</v>
      </c>
    </row>
    <row r="68">
      <c r="A68" s="12"/>
      <c r="B68" s="241">
        <f>IFERROR(__xludf.DUMMYFUNCTION("""COMPUTED_VALUE"""),46101.0)</f>
        <v>46101</v>
      </c>
      <c r="C68" s="12" t="str">
        <f>IFERROR(__xludf.DUMMYFUNCTION("""COMPUTED_VALUE"""),"420291710")</f>
        <v>420291710</v>
      </c>
      <c r="D68" s="12" t="str">
        <f>IFERROR(__xludf.DUMMYFUNCTION("""COMPUTED_VALUE"""),"Nguyễn Thị Hồng Nhung")</f>
        <v>Nguyễn Thị Hồng Nhung</v>
      </c>
      <c r="E68" s="102" t="str">
        <f>IFERROR(__xludf.DUMMYFUNCTION("""COMPUTED_VALUE"""),"xin nghỉ học ạ")</f>
        <v>xin nghỉ học ạ</v>
      </c>
      <c r="F68" s="12" t="str">
        <f>IFERROR(__xludf.DUMMYFUNCTION("""COMPUTED_VALUE"""),"CVHT01")</f>
        <v>CVHT01</v>
      </c>
      <c r="G68" s="86" t="s">
        <v>891</v>
      </c>
    </row>
    <row r="69">
      <c r="A69" s="12"/>
      <c r="B69" s="241">
        <f>IFERROR(__xludf.DUMMYFUNCTION("""COMPUTED_VALUE"""),46101.0)</f>
        <v>46101</v>
      </c>
      <c r="C69" s="12" t="str">
        <f>IFERROR(__xludf.DUMMYFUNCTION("""COMPUTED_VALUE"""),"GV382")</f>
        <v>GV382</v>
      </c>
      <c r="D69" s="12" t="str">
        <f>IFERROR(__xludf.DUMMYFUNCTION("""COMPUTED_VALUE"""),"Tạ Thị Hiền")</f>
        <v>Tạ Thị Hiền</v>
      </c>
      <c r="E69" s="102" t="str">
        <f>IFERROR(__xludf.DUMMYFUNCTION("""COMPUTED_VALUE"""),"check link zoom ạ")</f>
        <v>check link zoom ạ</v>
      </c>
      <c r="F69" s="12" t="str">
        <f>IFERROR(__xludf.DUMMYFUNCTION("""COMPUTED_VALUE"""),"CVHT01")</f>
        <v>CVHT01</v>
      </c>
      <c r="G69" s="86" t="s">
        <v>891</v>
      </c>
    </row>
    <row r="70">
      <c r="A70" s="12"/>
      <c r="B70" s="241">
        <f>IFERROR(__xludf.DUMMYFUNCTION("""COMPUTED_VALUE"""),46101.0)</f>
        <v>46101</v>
      </c>
      <c r="C70" s="12" t="str">
        <f>IFERROR(__xludf.DUMMYFUNCTION("""COMPUTED_VALUE"""),"10053416")</f>
        <v>10053416</v>
      </c>
      <c r="D70" s="12" t="str">
        <f>IFERROR(__xludf.DUMMYFUNCTION("""COMPUTED_VALUE"""),"Võ Thị Mộng Trinh")</f>
        <v>Võ Thị Mộng Trinh</v>
      </c>
      <c r="E70" s="102" t="str">
        <f>IFERROR(__xludf.DUMMYFUNCTION("""COMPUTED_VALUE"""),"Em đang lm việc ở Nhật và đăng ký thi n3 ở nghiệp đoàn nhma giờ nd báo ko còn đki thi kịp, Thì e vẫn tiếp tục hoàn thành chương trình hc hay sao ss")</f>
        <v>Em đang lm việc ở Nhật và đăng ký thi n3 ở nghiệp đoàn nhma giờ nd báo ko còn đki thi kịp, Thì e vẫn tiếp tục hoàn thành chương trình hc hay sao ss</v>
      </c>
      <c r="F70" s="12" t="str">
        <f>IFERROR(__xludf.DUMMYFUNCTION("""COMPUTED_VALUE"""),"CVHT01")</f>
        <v>CVHT01</v>
      </c>
      <c r="G70" s="86" t="s">
        <v>891</v>
      </c>
    </row>
    <row r="71">
      <c r="A71" s="12"/>
      <c r="B71" s="241">
        <f>IFERROR(__xludf.DUMMYFUNCTION("""COMPUTED_VALUE"""),46101.0)</f>
        <v>46101</v>
      </c>
      <c r="C71" s="12" t="str">
        <f>IFERROR(__xludf.DUMMYFUNCTION("""COMPUTED_VALUE"""),"GV468")</f>
        <v>GV468</v>
      </c>
      <c r="D71" s="12" t="str">
        <f>IFERROR(__xludf.DUMMYFUNCTION("""COMPUTED_VALUE"""),"Nguyễn Thị Hồng Hạnh")</f>
        <v>Nguyễn Thị Hồng Hạnh</v>
      </c>
      <c r="E71" s="102" t="str">
        <f>IFERROR(__xludf.DUMMYFUNCTION("""COMPUTED_VALUE"""),"gv báo nay bạn nhi cũng k vào học ạ")</f>
        <v>gv báo nay bạn nhi cũng k vào học ạ</v>
      </c>
      <c r="F71" s="12" t="str">
        <f>IFERROR(__xludf.DUMMYFUNCTION("""COMPUTED_VALUE"""),"CVHT01")</f>
        <v>CVHT01</v>
      </c>
      <c r="G71" s="86" t="s">
        <v>891</v>
      </c>
    </row>
    <row r="72">
      <c r="A72" s="12"/>
      <c r="B72" s="241">
        <f>IFERROR(__xludf.DUMMYFUNCTION("""COMPUTED_VALUE"""),46104.0)</f>
        <v>46104</v>
      </c>
      <c r="C72" s="12" t="str">
        <f>IFERROR(__xludf.DUMMYFUNCTION("""COMPUTED_VALUE"""),"427892930")</f>
        <v>427892930</v>
      </c>
      <c r="D72" s="12" t="str">
        <f>IFERROR(__xludf.DUMMYFUNCTION("""COMPUTED_VALUE"""),"Nguyễn Bảo Anh")</f>
        <v>Nguyễn Bảo Anh</v>
      </c>
      <c r="E72" s="102" t="str">
        <f>IFERROR(__xludf.DUMMYFUNCTION("""COMPUTED_VALUE"""),"bạn xin bảo lưu")</f>
        <v>bạn xin bảo lưu</v>
      </c>
      <c r="F72" s="12" t="str">
        <f>IFERROR(__xludf.DUMMYFUNCTION("""COMPUTED_VALUE"""),"CVHT01")</f>
        <v>CVHT01</v>
      </c>
      <c r="G72" s="86" t="s">
        <v>891</v>
      </c>
    </row>
    <row r="73">
      <c r="A73" s="12"/>
      <c r="B73" s="241">
        <f>IFERROR(__xludf.DUMMYFUNCTION("""COMPUTED_VALUE"""),46105.0)</f>
        <v>46105</v>
      </c>
      <c r="C73" s="12" t="str">
        <f>IFERROR(__xludf.DUMMYFUNCTION("""COMPUTED_VALUE"""),"10053741")</f>
        <v>10053741</v>
      </c>
      <c r="D73" s="12" t="str">
        <f>IFERROR(__xludf.DUMMYFUNCTION("""COMPUTED_VALUE"""),"Hồ Công Lý")</f>
        <v>Hồ Công Lý</v>
      </c>
      <c r="E73" s="102" t="str">
        <f>IFERROR(__xludf.DUMMYFUNCTION("""COMPUTED_VALUE"""),"ss ơi cập nhập bài học ngày 23/3 ạ em muốn ôn lại ạ")</f>
        <v>ss ơi cập nhập bài học ngày 23/3 ạ em muốn ôn lại ạ</v>
      </c>
      <c r="F73" s="12" t="str">
        <f>IFERROR(__xludf.DUMMYFUNCTION("""COMPUTED_VALUE"""),"CVHT01")</f>
        <v>CVHT01</v>
      </c>
      <c r="G73" s="86" t="s">
        <v>891</v>
      </c>
    </row>
    <row r="74">
      <c r="A74" s="12"/>
      <c r="B74" s="241">
        <f>IFERROR(__xludf.DUMMYFUNCTION("""COMPUTED_VALUE"""),46105.0)</f>
        <v>46105</v>
      </c>
      <c r="C74" s="12" t="str">
        <f>IFERROR(__xludf.DUMMYFUNCTION("""COMPUTED_VALUE"""),"420275035")</f>
        <v>420275035</v>
      </c>
      <c r="D74" s="12" t="str">
        <f>IFERROR(__xludf.DUMMYFUNCTION("""COMPUTED_VALUE"""),"Nguyễn Văn Dũng")</f>
        <v>Nguyễn Văn Dũng</v>
      </c>
      <c r="E74" s="102" t="str">
        <f>IFERROR(__xludf.DUMMYFUNCTION("""COMPUTED_VALUE"""),"chị tổng hợp ngày tháng hết khóa học cho bạn nhé ạ")</f>
        <v>chị tổng hợp ngày tháng hết khóa học cho bạn nhé ạ</v>
      </c>
      <c r="F74" s="12" t="str">
        <f>IFERROR(__xludf.DUMMYFUNCTION("""COMPUTED_VALUE"""),"CVHT01")</f>
        <v>CVHT01</v>
      </c>
      <c r="G74" s="86" t="s">
        <v>891</v>
      </c>
    </row>
    <row r="75">
      <c r="A75" s="12"/>
      <c r="B75" s="241">
        <f>IFERROR(__xludf.DUMMYFUNCTION("""COMPUTED_VALUE"""),46105.0)</f>
        <v>46105</v>
      </c>
      <c r="C75" s="12" t="str">
        <f>IFERROR(__xludf.DUMMYFUNCTION("""COMPUTED_VALUE"""),"420287883")</f>
        <v>420287883</v>
      </c>
      <c r="D75" s="12" t="str">
        <f>IFERROR(__xludf.DUMMYFUNCTION("""COMPUTED_VALUE"""),"Mai Thị Mỹ Ngọc")</f>
        <v>Mai Thị Mỹ Ngọc</v>
      </c>
      <c r="E75" s="102" t="str">
        <f>IFERROR(__xludf.DUMMYFUNCTION("""COMPUTED_VALUE"""),"lịch học ạ")</f>
        <v>lịch học ạ</v>
      </c>
      <c r="F75" s="12" t="str">
        <f>IFERROR(__xludf.DUMMYFUNCTION("""COMPUTED_VALUE"""),"CVHT01")</f>
        <v>CVHT01</v>
      </c>
      <c r="G75" s="86" t="s">
        <v>891</v>
      </c>
    </row>
    <row r="76">
      <c r="A76" s="12"/>
      <c r="B76" s="241">
        <f>IFERROR(__xludf.DUMMYFUNCTION("""COMPUTED_VALUE"""),46105.0)</f>
        <v>46105</v>
      </c>
      <c r="C76" s="12" t="str">
        <f>IFERROR(__xludf.DUMMYFUNCTION("""COMPUTED_VALUE"""),"GV480")</f>
        <v>GV480</v>
      </c>
      <c r="D76" s="12" t="str">
        <f>IFERROR(__xludf.DUMMYFUNCTION("""COMPUTED_VALUE"""),"Nguyễn Thị Châm")</f>
        <v>Nguyễn Thị Châm</v>
      </c>
      <c r="E76" s="102" t="str">
        <f>IFERROR(__xludf.DUMMYFUNCTION("""COMPUTED_VALUE"""),"hỏi tài liệu ạ")</f>
        <v>hỏi tài liệu ạ</v>
      </c>
      <c r="F76" s="12" t="str">
        <f>IFERROR(__xludf.DUMMYFUNCTION("""COMPUTED_VALUE"""),"CVHT01")</f>
        <v>CVHT01</v>
      </c>
      <c r="G76" s="86" t="s">
        <v>891</v>
      </c>
    </row>
    <row r="77">
      <c r="A77" s="12"/>
      <c r="B77" s="241">
        <f>IFERROR(__xludf.DUMMYFUNCTION("""COMPUTED_VALUE"""),46106.0)</f>
        <v>46106</v>
      </c>
      <c r="C77" s="12" t="str">
        <f>IFERROR(__xludf.DUMMYFUNCTION("""COMPUTED_VALUE"""),"GV304")</f>
        <v>GV304</v>
      </c>
      <c r="D77" s="12" t="str">
        <f>IFERROR(__xludf.DUMMYFUNCTION("""COMPUTED_VALUE"""),"Nguyễn Thị Thảo Nguyên")</f>
        <v>Nguyễn Thị Thảo Nguyên</v>
      </c>
      <c r="E77" s="102" t="str">
        <f>IFERROR(__xludf.DUMMYFUNCTION("""COMPUTED_VALUE"""),"GV hỏi ạ")</f>
        <v>GV hỏi ạ</v>
      </c>
      <c r="F77" s="12" t="str">
        <f>IFERROR(__xludf.DUMMYFUNCTION("""COMPUTED_VALUE"""),"CVHT01")</f>
        <v>CVHT01</v>
      </c>
      <c r="G77" s="86" t="s">
        <v>891</v>
      </c>
    </row>
    <row r="78">
      <c r="A78" s="12"/>
      <c r="B78" s="241">
        <f>IFERROR(__xludf.DUMMYFUNCTION("""COMPUTED_VALUE"""),46107.0)</f>
        <v>46107</v>
      </c>
      <c r="C78" s="12" t="str">
        <f>IFERROR(__xludf.DUMMYFUNCTION("""COMPUTED_VALUE"""),"427893377")</f>
        <v>427893377</v>
      </c>
      <c r="D78" s="12" t="str">
        <f>IFERROR(__xludf.DUMMYFUNCTION("""COMPUTED_VALUE"""),"Nguyễn Quang Sơn")</f>
        <v>Nguyễn Quang Sơn</v>
      </c>
      <c r="E78" s="102" t="str">
        <f>IFERROR(__xludf.DUMMYFUNCTION("""COMPUTED_VALUE"""),"đki lịch học 246 20hVn 22h NB")</f>
        <v>đki lịch học 246 20hVn 22h NB</v>
      </c>
      <c r="F78" s="12" t="str">
        <f>IFERROR(__xludf.DUMMYFUNCTION("""COMPUTED_VALUE"""),"CVHT01")</f>
        <v>CVHT01</v>
      </c>
      <c r="G78" s="86" t="s">
        <v>891</v>
      </c>
    </row>
    <row r="79">
      <c r="A79" s="12"/>
      <c r="B79" s="241">
        <f>IFERROR(__xludf.DUMMYFUNCTION("""COMPUTED_VALUE"""),46107.0)</f>
        <v>46107</v>
      </c>
      <c r="C79" s="12" t="str">
        <f>IFERROR(__xludf.DUMMYFUNCTION("""COMPUTED_VALUE"""),"10054291")</f>
        <v>10054291</v>
      </c>
      <c r="D79" s="12" t="str">
        <f>IFERROR(__xludf.DUMMYFUNCTION("""COMPUTED_VALUE"""),"Cao Trần Thanh An")</f>
        <v>Cao Trần Thanh An</v>
      </c>
      <c r="E79" s="102" t="str">
        <f>IFERROR(__xludf.DUMMYFUNCTION("""COMPUTED_VALUE"""),"ko tạo được zl ạ")</f>
        <v>ko tạo được zl ạ</v>
      </c>
      <c r="F79" s="12" t="str">
        <f>IFERROR(__xludf.DUMMYFUNCTION("""COMPUTED_VALUE"""),"CVHT01")</f>
        <v>CVHT01</v>
      </c>
      <c r="G79" s="86" t="s">
        <v>891</v>
      </c>
    </row>
    <row r="80">
      <c r="A80" s="12"/>
      <c r="B80" s="241">
        <f>IFERROR(__xludf.DUMMYFUNCTION("""COMPUTED_VALUE"""),46107.0)</f>
        <v>46107</v>
      </c>
      <c r="C80" s="12" t="str">
        <f>IFERROR(__xludf.DUMMYFUNCTION("""COMPUTED_VALUE"""),"427893497")</f>
        <v>427893497</v>
      </c>
      <c r="D80" s="12" t="str">
        <f>IFERROR(__xludf.DUMMYFUNCTION("""COMPUTED_VALUE"""),"Võ Thuyên Trúc")</f>
        <v>Võ Thuyên Trúc</v>
      </c>
      <c r="E80" s="102" t="str">
        <f>IFERROR(__xludf.DUMMYFUNCTION("""COMPUTED_VALUE"""),"Dạ ss cho em xin bản ghi chép bài học hôm qua với ạ")</f>
        <v>Dạ ss cho em xin bản ghi chép bài học hôm qua với ạ</v>
      </c>
      <c r="F80" s="12" t="str">
        <f>IFERROR(__xludf.DUMMYFUNCTION("""COMPUTED_VALUE"""),"CVHT01")</f>
        <v>CVHT01</v>
      </c>
      <c r="G80" s="86" t="s">
        <v>891</v>
      </c>
    </row>
    <row r="81">
      <c r="A81" s="12"/>
      <c r="B81" s="241">
        <f>IFERROR(__xludf.DUMMYFUNCTION("""COMPUTED_VALUE"""),46107.0)</f>
        <v>46107</v>
      </c>
      <c r="C81" s="12" t="str">
        <f>IFERROR(__xludf.DUMMYFUNCTION("""COMPUTED_VALUE"""),"GV171")</f>
        <v>GV171</v>
      </c>
      <c r="D81" s="12" t="str">
        <f>IFERROR(__xludf.DUMMYFUNCTION("""COMPUTED_VALUE"""),"Midorikawa Chiaki")</f>
        <v>Midorikawa Chiaki</v>
      </c>
      <c r="E81" s="102" t="str">
        <f>IFERROR(__xludf.DUMMYFUNCTION("""COMPUTED_VALUE"""),"chị check lại số buổi học bù trên hệ thống cho ss nha")</f>
        <v>chị check lại số buổi học bù trên hệ thống cho ss nha</v>
      </c>
      <c r="F81" s="12" t="str">
        <f>IFERROR(__xludf.DUMMYFUNCTION("""COMPUTED_VALUE"""),"CVHT01")</f>
        <v>CVHT01</v>
      </c>
      <c r="G81" s="86" t="s">
        <v>891</v>
      </c>
    </row>
    <row r="82">
      <c r="A82" s="12"/>
      <c r="B82" s="241">
        <f>IFERROR(__xludf.DUMMYFUNCTION("""COMPUTED_VALUE"""),46108.0)</f>
        <v>46108</v>
      </c>
      <c r="C82" s="12" t="str">
        <f>IFERROR(__xludf.DUMMYFUNCTION("""COMPUTED_VALUE"""),"427894491")</f>
        <v>427894491</v>
      </c>
      <c r="D82" s="12" t="str">
        <f>IFERROR(__xludf.DUMMYFUNCTION("""COMPUTED_VALUE"""),"Phạm Văn Quyền ")</f>
        <v>Phạm Văn Quyền </v>
      </c>
      <c r="E82" s="102" t="str">
        <f>IFERROR(__xludf.DUMMYFUNCTION("""COMPUTED_VALUE"""),"bạn muốn đổi lớp học thử qua lớp n4 ")</f>
        <v>bạn muốn đổi lớp học thử qua lớp n4 </v>
      </c>
      <c r="F82" s="12" t="str">
        <f>IFERROR(__xludf.DUMMYFUNCTION("""COMPUTED_VALUE"""),"CVHT01")</f>
        <v>CVHT01</v>
      </c>
      <c r="G82" s="86" t="s">
        <v>891</v>
      </c>
    </row>
    <row r="83">
      <c r="A83" s="12"/>
      <c r="B83" s="241">
        <f>IFERROR(__xludf.DUMMYFUNCTION("""COMPUTED_VALUE"""),46109.0)</f>
        <v>46109</v>
      </c>
      <c r="C83" s="12" t="str">
        <f>IFERROR(__xludf.DUMMYFUNCTION("""COMPUTED_VALUE"""),"420288276")</f>
        <v>420288276</v>
      </c>
      <c r="D83" s="12" t="str">
        <f>IFERROR(__xludf.DUMMYFUNCTION("""COMPUTED_VALUE"""),"Hoàng Thị Ngọc Lan")</f>
        <v>Hoàng Thị Ngọc Lan</v>
      </c>
      <c r="E83" s="102" t="str">
        <f>IFERROR(__xludf.DUMMYFUNCTION("""COMPUTED_VALUE"""),"bạn hỏi dừng học có được hoàn phí không ạ")</f>
        <v>bạn hỏi dừng học có được hoàn phí không ạ</v>
      </c>
      <c r="F83" s="12" t="str">
        <f>IFERROR(__xludf.DUMMYFUNCTION("""COMPUTED_VALUE"""),"CVHT01")</f>
        <v>CVHT01</v>
      </c>
      <c r="G83" s="86" t="s">
        <v>891</v>
      </c>
    </row>
    <row r="84">
      <c r="A84" s="12"/>
      <c r="B84" s="241">
        <f>IFERROR(__xludf.DUMMYFUNCTION("""COMPUTED_VALUE"""),46112.0)</f>
        <v>46112</v>
      </c>
      <c r="C84" s="12" t="str">
        <f>IFERROR(__xludf.DUMMYFUNCTION("""COMPUTED_VALUE"""),"420282490")</f>
        <v>420282490</v>
      </c>
      <c r="D84" s="12" t="str">
        <f>IFERROR(__xludf.DUMMYFUNCTION("""COMPUTED_VALUE"""),"Huỳnh Thị Kim Sen")</f>
        <v>Huỳnh Thị Kim Sen</v>
      </c>
      <c r="E84" s="102" t="str">
        <f>IFERROR(__xludf.DUMMYFUNCTION("""COMPUTED_VALUE"""),"quay lại học ạ")</f>
        <v>quay lại học ạ</v>
      </c>
      <c r="F84" s="12" t="str">
        <f>IFERROR(__xludf.DUMMYFUNCTION("""COMPUTED_VALUE"""),"CVHT01")</f>
        <v>CVHT01</v>
      </c>
      <c r="G84" s="86" t="s">
        <v>891</v>
      </c>
    </row>
    <row r="85">
      <c r="A85" s="12"/>
      <c r="B85" s="241">
        <f>IFERROR(__xludf.DUMMYFUNCTION("""COMPUTED_VALUE"""),46112.0)</f>
        <v>46112</v>
      </c>
      <c r="C85" s="12" t="str">
        <f>IFERROR(__xludf.DUMMYFUNCTION("""COMPUTED_VALUE"""),"GV480")</f>
        <v>GV480</v>
      </c>
      <c r="D85" s="12" t="str">
        <f>IFERROR(__xludf.DUMMYFUNCTION("""COMPUTED_VALUE"""),"Nguyễn Thị Châm")</f>
        <v>Nguyễn Thị Châm</v>
      </c>
      <c r="E85" s="102" t="str">
        <f>IFERROR(__xludf.DUMMYFUNCTION("""COMPUTED_VALUE"""),"hỗ trợ điền lại thông tin học viên vì cô điền sai ạ")</f>
        <v>hỗ trợ điền lại thông tin học viên vì cô điền sai ạ</v>
      </c>
      <c r="F85" s="12" t="str">
        <f>IFERROR(__xludf.DUMMYFUNCTION("""COMPUTED_VALUE"""),"CVHT01")</f>
        <v>CVHT01</v>
      </c>
      <c r="G85" s="86" t="s">
        <v>891</v>
      </c>
    </row>
    <row r="86">
      <c r="A86" s="12"/>
      <c r="B86" s="241">
        <f>IFERROR(__xludf.DUMMYFUNCTION("""COMPUTED_VALUE"""),46112.0)</f>
        <v>46112</v>
      </c>
      <c r="C86" s="12" t="str">
        <f>IFERROR(__xludf.DUMMYFUNCTION("""COMPUTED_VALUE"""),"GV282")</f>
        <v>GV282</v>
      </c>
      <c r="D86" s="12" t="str">
        <f>IFERROR(__xludf.DUMMYFUNCTION("""COMPUTED_VALUE"""),"Trần Thị Hoài Linh")</f>
        <v>Trần Thị Hoài Linh</v>
      </c>
      <c r="E86" s="102" t="str">
        <f>IFERROR(__xludf.DUMMYFUNCTION("""COMPUTED_VALUE"""),"Giáo viên báo đang dạy thì lớp K245033 bị out ra ạ")</f>
        <v>Giáo viên báo đang dạy thì lớp K245033 bị out ra ạ</v>
      </c>
      <c r="F86" s="12" t="str">
        <f>IFERROR(__xludf.DUMMYFUNCTION("""COMPUTED_VALUE"""),"CVHT01")</f>
        <v>CVHT01</v>
      </c>
      <c r="G86" s="86" t="s">
        <v>891</v>
      </c>
    </row>
    <row r="87">
      <c r="A87" s="12"/>
      <c r="B87" s="241">
        <f>IFERROR(__xludf.DUMMYFUNCTION("""COMPUTED_VALUE"""),46113.0)</f>
        <v>46113</v>
      </c>
      <c r="C87" s="12" t="str">
        <f>IFERROR(__xludf.DUMMYFUNCTION("""COMPUTED_VALUE"""),"427894180")</f>
        <v>427894180</v>
      </c>
      <c r="D87" s="12" t="str">
        <f>IFERROR(__xludf.DUMMYFUNCTION("""COMPUTED_VALUE"""),"Nguyễn Thị Phuong")</f>
        <v>Nguyễn Thị Phuong</v>
      </c>
      <c r="E87" s="102" t="str">
        <f>IFERROR(__xludf.DUMMYFUNCTION("""COMPUTED_VALUE"""),"Bị lỗi không vào được web")</f>
        <v>Bị lỗi không vào được web</v>
      </c>
      <c r="F87" s="12" t="str">
        <f>IFERROR(__xludf.DUMMYFUNCTION("""COMPUTED_VALUE"""),"CVHT01")</f>
        <v>CVHT01</v>
      </c>
      <c r="G87" s="86" t="s">
        <v>891</v>
      </c>
    </row>
    <row r="88">
      <c r="A88" s="12"/>
      <c r="B88" s="241">
        <f>IFERROR(__xludf.DUMMYFUNCTION("""COMPUTED_VALUE"""),46113.0)</f>
        <v>46113</v>
      </c>
      <c r="C88" s="12" t="str">
        <f>IFERROR(__xludf.DUMMYFUNCTION("""COMPUTED_VALUE"""),"420289991")</f>
        <v>420289991</v>
      </c>
      <c r="D88" s="12" t="str">
        <f>IFERROR(__xludf.DUMMYFUNCTION("""COMPUTED_VALUE"""),"Vũ Bùi Công Minh")</f>
        <v>Vũ Bùi Công Minh</v>
      </c>
      <c r="E88" s="102" t="str">
        <f>IFERROR(__xludf.DUMMYFUNCTION("""COMPUTED_VALUE"""),"Muốn xin nghỉ hết tuần này")</f>
        <v>Muốn xin nghỉ hết tuần này</v>
      </c>
      <c r="F88" s="12" t="str">
        <f>IFERROR(__xludf.DUMMYFUNCTION("""COMPUTED_VALUE"""),"CVHT01")</f>
        <v>CVHT01</v>
      </c>
      <c r="G88" s="86" t="s">
        <v>891</v>
      </c>
    </row>
    <row r="89">
      <c r="A89" s="12"/>
      <c r="B89" s="241">
        <f>IFERROR(__xludf.DUMMYFUNCTION("""COMPUTED_VALUE"""),46114.0)</f>
        <v>46114</v>
      </c>
      <c r="C89" s="12" t="str">
        <f>IFERROR(__xludf.DUMMYFUNCTION("""COMPUTED_VALUE"""),"10054394")</f>
        <v>10054394</v>
      </c>
      <c r="D89" s="12" t="str">
        <f>IFERROR(__xludf.DUMMYFUNCTION("""COMPUTED_VALUE"""),"Trần Ngọc Tường Vi")</f>
        <v>Trần Ngọc Tường Vi</v>
      </c>
      <c r="E89" s="102" t="str">
        <f>IFERROR(__xludf.DUMMYFUNCTION("""COMPUTED_VALUE"""),"bạn hỏi bên mình dạy như nào ạ")</f>
        <v>bạn hỏi bên mình dạy như nào ạ</v>
      </c>
      <c r="F89" s="12" t="str">
        <f>IFERROR(__xludf.DUMMYFUNCTION("""COMPUTED_VALUE"""),"CVHT01")</f>
        <v>CVHT01</v>
      </c>
      <c r="G89" s="86" t="s">
        <v>891</v>
      </c>
    </row>
    <row r="90">
      <c r="A90" s="12"/>
      <c r="B90" s="241"/>
      <c r="C90" s="12" t="str">
        <f>IFERROR(__xludf.DUMMYFUNCTION("""COMPUTED_VALUE"""),"GV420")</f>
        <v>GV420</v>
      </c>
      <c r="D90" s="12" t="str">
        <f>IFERROR(__xludf.DUMMYFUNCTION("""COMPUTED_VALUE"""),"Nguyễn Thị Tú Quyên")</f>
        <v>Nguyễn Thị Tú Quyên</v>
      </c>
      <c r="E90" s="102" t="str">
        <f>IFERROR(__xludf.DUMMYFUNCTION("""COMPUTED_VALUE"""),"cô ko nhận được lớp nên nhờ tìm gv khác dạy ạ")</f>
        <v>cô ko nhận được lớp nên nhờ tìm gv khác dạy ạ</v>
      </c>
      <c r="F90" s="12" t="str">
        <f>IFERROR(__xludf.DUMMYFUNCTION("""COMPUTED_VALUE"""),"CVHT01")</f>
        <v>CVHT01</v>
      </c>
      <c r="G90" s="86" t="s">
        <v>891</v>
      </c>
    </row>
    <row r="91">
      <c r="A91" s="12"/>
      <c r="B91" s="241"/>
      <c r="C91" s="12" t="str">
        <f>IFERROR(__xludf.DUMMYFUNCTION("""COMPUTED_VALUE"""),"10054052")</f>
        <v>10054052</v>
      </c>
      <c r="D91" s="12" t="str">
        <f>IFERROR(__xludf.DUMMYFUNCTION("""COMPUTED_VALUE"""),"Nguyễn Văn Tiến")</f>
        <v>Nguyễn Văn Tiến</v>
      </c>
      <c r="E91" s="102" t="str">
        <f>IFERROR(__xludf.DUMMYFUNCTION("""COMPUTED_VALUE"""),"chiều tối thứ 6 gọi điện ạ")</f>
        <v>chiều tối thứ 6 gọi điện ạ</v>
      </c>
      <c r="F91" s="12" t="str">
        <f>IFERROR(__xludf.DUMMYFUNCTION("""COMPUTED_VALUE"""),"CVHT01")</f>
        <v>CVHT01</v>
      </c>
      <c r="G91" s="86" t="s">
        <v>891</v>
      </c>
    </row>
    <row r="92">
      <c r="A92" s="12"/>
      <c r="B92" s="241">
        <f>IFERROR(__xludf.DUMMYFUNCTION("""COMPUTED_VALUE"""),46115.0)</f>
        <v>46115</v>
      </c>
      <c r="C92" s="12" t="str">
        <f>IFERROR(__xludf.DUMMYFUNCTION("""COMPUTED_VALUE"""),"420284710")</f>
        <v>420284710</v>
      </c>
      <c r="D92" s="12" t="str">
        <f>IFERROR(__xludf.DUMMYFUNCTION("""COMPUTED_VALUE"""),"Nguyễn Thị Huỳnh Như")</f>
        <v>Nguyễn Thị Huỳnh Như</v>
      </c>
      <c r="E92" s="102" t="str">
        <f>IFERROR(__xludf.DUMMYFUNCTION("""COMPUTED_VALUE"""),"Chưa chốt được lịch học bù")</f>
        <v>Chưa chốt được lịch học bù</v>
      </c>
      <c r="F92" s="12" t="str">
        <f>IFERROR(__xludf.DUMMYFUNCTION("""COMPUTED_VALUE"""),"CVHT01")</f>
        <v>CVHT01</v>
      </c>
      <c r="G92" s="86" t="s">
        <v>891</v>
      </c>
    </row>
    <row r="93">
      <c r="A93" s="12"/>
      <c r="B93" s="241">
        <f>IFERROR(__xludf.DUMMYFUNCTION("""COMPUTED_VALUE"""),46115.0)</f>
        <v>46115</v>
      </c>
      <c r="C93" s="12" t="str">
        <f>IFERROR(__xludf.DUMMYFUNCTION("""COMPUTED_VALUE"""),"GV 382")</f>
        <v>GV 382</v>
      </c>
      <c r="D93" s="12" t="str">
        <f>IFERROR(__xludf.DUMMYFUNCTION("""COMPUTED_VALUE"""),"Tạ Thị Hiền")</f>
        <v>Tạ Thị Hiền</v>
      </c>
      <c r="E93" s="102" t="str">
        <f>IFERROR(__xludf.DUMMYFUNCTION("""COMPUTED_VALUE"""),"Báo về Hv 420287126 Trần Thành Đạt chỉ có thể nx từ bài 8, up link báo cáo học tập của Đạt")</f>
        <v>Báo về Hv 420287126 Trần Thành Đạt chỉ có thể nx từ bài 8, up link báo cáo học tập của Đạt</v>
      </c>
      <c r="F93" s="12" t="str">
        <f>IFERROR(__xludf.DUMMYFUNCTION("""COMPUTED_VALUE"""),"CVHT01")</f>
        <v>CVHT01</v>
      </c>
      <c r="G93" s="86" t="s">
        <v>891</v>
      </c>
    </row>
    <row r="94">
      <c r="A94" s="12"/>
      <c r="B94" s="241">
        <f>IFERROR(__xludf.DUMMYFUNCTION("""COMPUTED_VALUE"""),46115.0)</f>
        <v>46115</v>
      </c>
      <c r="C94" s="12" t="str">
        <f>IFERROR(__xludf.DUMMYFUNCTION("""COMPUTED_VALUE"""),"GV 292")</f>
        <v>GV 292</v>
      </c>
      <c r="D94" s="12" t="str">
        <f>IFERROR(__xludf.DUMMYFUNCTION("""COMPUTED_VALUE"""),"Phạm Võ Kiều Diễm")</f>
        <v>Phạm Võ Kiều Diễm</v>
      </c>
      <c r="E94" s="102" t="str">
        <f>IFERROR(__xludf.DUMMYFUNCTION("""COMPUTED_VALUE"""),"Báo về tình trạng học của hv VĨ")</f>
        <v>Báo về tình trạng học của hv VĨ</v>
      </c>
      <c r="F94" s="12" t="str">
        <f>IFERROR(__xludf.DUMMYFUNCTION("""COMPUTED_VALUE"""),"CVHT01")</f>
        <v>CVHT01</v>
      </c>
      <c r="G94" s="86" t="s">
        <v>891</v>
      </c>
    </row>
    <row r="95">
      <c r="A95" s="12"/>
      <c r="B95" s="241">
        <f>IFERROR(__xludf.DUMMYFUNCTION("""COMPUTED_VALUE"""),46115.0)</f>
        <v>46115</v>
      </c>
      <c r="C95" s="12" t="str">
        <f>IFERROR(__xludf.DUMMYFUNCTION("""COMPUTED_VALUE"""),"427894411")</f>
        <v>427894411</v>
      </c>
      <c r="D95" s="12" t="str">
        <f>IFERROR(__xludf.DUMMYFUNCTION("""COMPUTED_VALUE"""),"Trịnh Ngọc Long")</f>
        <v>Trịnh Ngọc Long</v>
      </c>
      <c r="E95" s="102" t="str">
        <f>IFERROR(__xludf.DUMMYFUNCTION("""COMPUTED_VALUE"""),"Muốn xin thêm tài liệu học từ vựng")</f>
        <v>Muốn xin thêm tài liệu học từ vựng</v>
      </c>
      <c r="F95" s="12" t="str">
        <f>IFERROR(__xludf.DUMMYFUNCTION("""COMPUTED_VALUE"""),"CVHT01")</f>
        <v>CVHT01</v>
      </c>
      <c r="G95" s="86" t="s">
        <v>891</v>
      </c>
    </row>
    <row r="96">
      <c r="A96" s="12"/>
      <c r="B96" s="241">
        <f>IFERROR(__xludf.DUMMYFUNCTION("""COMPUTED_VALUE"""),46116.0)</f>
        <v>46116</v>
      </c>
      <c r="C96" s="12" t="str">
        <f>IFERROR(__xludf.DUMMYFUNCTION("""COMPUTED_VALUE"""),"Gv370")</f>
        <v>Gv370</v>
      </c>
      <c r="D96" s="12" t="str">
        <f>IFERROR(__xludf.DUMMYFUNCTION("""COMPUTED_VALUE"""),"Tăng Thị Bích Ngọc")</f>
        <v>Tăng Thị Bích Ngọc</v>
      </c>
      <c r="E96" s="102" t="str">
        <f>IFERROR(__xludf.DUMMYFUNCTION("""COMPUTED_VALUE"""),"Các chị mở khoá tài liệu kaiwa 3 cho Thảo hiền nha. Bạn học xong kaiwa2 r ạ, Mà các chị ơi, khi nào làm thủ tục hoàn thuế nhắn em với nha các c")</f>
        <v>Các chị mở khoá tài liệu kaiwa 3 cho Thảo hiền nha. Bạn học xong kaiwa2 r ạ, Mà các chị ơi, khi nào làm thủ tục hoàn thuế nhắn em với nha các c</v>
      </c>
      <c r="F96" s="12" t="str">
        <f>IFERROR(__xludf.DUMMYFUNCTION("""COMPUTED_VALUE"""),"CVHT01")</f>
        <v>CVHT01</v>
      </c>
      <c r="G96" s="86" t="s">
        <v>891</v>
      </c>
    </row>
    <row r="97">
      <c r="A97" s="12"/>
      <c r="B97" s="241">
        <f>IFERROR(__xludf.DUMMYFUNCTION("""COMPUTED_VALUE"""),46116.0)</f>
        <v>46116</v>
      </c>
      <c r="C97" s="12" t="str">
        <f>IFERROR(__xludf.DUMMYFUNCTION("""COMPUTED_VALUE"""),"Gv425")</f>
        <v>Gv425</v>
      </c>
      <c r="D97" s="12" t="str">
        <f>IFERROR(__xludf.DUMMYFUNCTION("""COMPUTED_VALUE""")," Trần Thị Ngọc Thủy ")</f>
        <v> Trần Thị Ngọc Thủy </v>
      </c>
      <c r="E97" s="102" t="str">
        <f>IFERROR(__xludf.DUMMYFUNCTION("""COMPUTED_VALUE"""),"C kiếm thêm hv cho e nha")</f>
        <v>C kiếm thêm hv cho e nha</v>
      </c>
      <c r="F97" s="12" t="str">
        <f>IFERROR(__xludf.DUMMYFUNCTION("""COMPUTED_VALUE"""),"CVHT01")</f>
        <v>CVHT01</v>
      </c>
      <c r="G97" s="86" t="s">
        <v>891</v>
      </c>
    </row>
    <row r="98">
      <c r="A98" s="12"/>
      <c r="B98" s="241">
        <f>IFERROR(__xludf.DUMMYFUNCTION("""COMPUTED_VALUE"""),46116.0)</f>
        <v>46116</v>
      </c>
      <c r="C98" s="12" t="str">
        <f>IFERROR(__xludf.DUMMYFUNCTION("""COMPUTED_VALUE"""),"gv464")</f>
        <v>gv464</v>
      </c>
      <c r="D98" s="12" t="str">
        <f>IFERROR(__xludf.DUMMYFUNCTION("""COMPUTED_VALUE"""),"Trịnh Thị Thanh")</f>
        <v>Trịnh Thị Thanh</v>
      </c>
      <c r="E98" s="102" t="str">
        <f>IFERROR(__xludf.DUMMYFUNCTION("""COMPUTED_VALUE"""),"cô xin ý kiến để cải thiện giờ dạy ạ")</f>
        <v>cô xin ý kiến để cải thiện giờ dạy ạ</v>
      </c>
      <c r="F98" s="12" t="str">
        <f>IFERROR(__xludf.DUMMYFUNCTION("""COMPUTED_VALUE"""),"CVHT01")</f>
        <v>CVHT01</v>
      </c>
      <c r="G98" s="86" t="s">
        <v>891</v>
      </c>
    </row>
    <row r="99">
      <c r="A99" s="12"/>
      <c r="B99" s="241">
        <f>IFERROR(__xludf.DUMMYFUNCTION("""COMPUTED_VALUE"""),46116.0)</f>
        <v>46116</v>
      </c>
      <c r="C99" s="12" t="str">
        <f>IFERROR(__xludf.DUMMYFUNCTION("""COMPUTED_VALUE"""),"Gv382")</f>
        <v>Gv382</v>
      </c>
      <c r="D99" s="12" t="str">
        <f>IFERROR(__xludf.DUMMYFUNCTION("""COMPUTED_VALUE"""),"Tạ Thị Hiền")</f>
        <v>Tạ Thị Hiền</v>
      </c>
      <c r="E99" s="102" t="str">
        <f>IFERROR(__xludf.DUMMYFUNCTION("""COMPUTED_VALUE"""),"có lớp nào vào khung giờ 19h30 trở đi vào t2 4 6 chị cho e nhận với ạ, với 19h T357 nữa ạ")</f>
        <v>có lớp nào vào khung giờ 19h30 trở đi vào t2 4 6 chị cho e nhận với ạ, với 19h T357 nữa ạ</v>
      </c>
      <c r="F99" s="12" t="str">
        <f>IFERROR(__xludf.DUMMYFUNCTION("""COMPUTED_VALUE"""),"CVHT01")</f>
        <v>CVHT01</v>
      </c>
      <c r="G99" s="86" t="s">
        <v>891</v>
      </c>
    </row>
    <row r="100">
      <c r="A100" s="12"/>
      <c r="B100" s="241">
        <f>IFERROR(__xludf.DUMMYFUNCTION("""COMPUTED_VALUE"""),46116.0)</f>
        <v>46116</v>
      </c>
      <c r="C100" s="12" t="str">
        <f>IFERROR(__xludf.DUMMYFUNCTION("""COMPUTED_VALUE"""),"420290360")</f>
        <v>420290360</v>
      </c>
      <c r="D100" s="12" t="str">
        <f>IFERROR(__xludf.DUMMYFUNCTION("""COMPUTED_VALUE"""),"Lê Thị Cẩm Hân")</f>
        <v>Lê Thị Cẩm Hân</v>
      </c>
      <c r="E100" s="102" t="str">
        <f>IFERROR(__xludf.DUMMYFUNCTION("""COMPUTED_VALUE"""),"update record 3/4")</f>
        <v>update record 3/4</v>
      </c>
      <c r="F100" s="12" t="str">
        <f>IFERROR(__xludf.DUMMYFUNCTION("""COMPUTED_VALUE"""),"CVHT01")</f>
        <v>CVHT01</v>
      </c>
      <c r="G100" s="86" t="s">
        <v>891</v>
      </c>
    </row>
    <row r="101">
      <c r="A101" s="12"/>
      <c r="B101" s="241">
        <f>IFERROR(__xludf.DUMMYFUNCTION("""COMPUTED_VALUE"""),46116.0)</f>
        <v>46116</v>
      </c>
      <c r="C101" s="12" t="str">
        <f>IFERROR(__xludf.DUMMYFUNCTION("""COMPUTED_VALUE"""),"419976557")</f>
        <v>419976557</v>
      </c>
      <c r="D101" s="12" t="str">
        <f>IFERROR(__xludf.DUMMYFUNCTION("""COMPUTED_VALUE"""),"Nguyễn Anh Tài")</f>
        <v>Nguyễn Anh Tài</v>
      </c>
      <c r="E101" s="102" t="str">
        <f>IFERROR(__xludf.DUMMYFUNCTION("""COMPUTED_VALUE"""),"em có thể xin 1 buổi sensei chỉ em cách shadowing cho đúng được không ạ")</f>
        <v>em có thể xin 1 buổi sensei chỉ em cách shadowing cho đúng được không ạ</v>
      </c>
      <c r="F101" s="12" t="str">
        <f>IFERROR(__xludf.DUMMYFUNCTION("""COMPUTED_VALUE"""),"CVHT01")</f>
        <v>CVHT01</v>
      </c>
      <c r="G101" s="86" t="s">
        <v>891</v>
      </c>
    </row>
    <row r="102">
      <c r="A102" s="12"/>
      <c r="B102" s="241">
        <f>IFERROR(__xludf.DUMMYFUNCTION("""COMPUTED_VALUE"""),46116.0)</f>
        <v>46116</v>
      </c>
      <c r="C102" s="12" t="str">
        <f>IFERROR(__xludf.DUMMYFUNCTION("""COMPUTED_VALUE"""),"419976557")</f>
        <v>419976557</v>
      </c>
      <c r="D102" s="12" t="str">
        <f>IFERROR(__xludf.DUMMYFUNCTION("""COMPUTED_VALUE"""),"Nguyễn Anh Tài")</f>
        <v>Nguyễn Anh Tài</v>
      </c>
      <c r="E102" s="102" t="str">
        <f>IFERROR(__xludf.DUMMYFUNCTION("""COMPUTED_VALUE"""),"gửi học phí đợt 1 ạ")</f>
        <v>gửi học phí đợt 1 ạ</v>
      </c>
      <c r="F102" s="12" t="str">
        <f>IFERROR(__xludf.DUMMYFUNCTION("""COMPUTED_VALUE"""),"CVHT01")</f>
        <v>CVHT01</v>
      </c>
      <c r="G102" s="86" t="s">
        <v>891</v>
      </c>
    </row>
    <row r="103">
      <c r="A103" s="12"/>
      <c r="B103" s="241">
        <f>IFERROR(__xludf.DUMMYFUNCTION("""COMPUTED_VALUE"""),46118.0)</f>
        <v>46118</v>
      </c>
      <c r="C103" s="12" t="str">
        <f>IFERROR(__xludf.DUMMYFUNCTION("""COMPUTED_VALUE"""),"427892665")</f>
        <v>427892665</v>
      </c>
      <c r="D103" s="12" t="str">
        <f>IFERROR(__xludf.DUMMYFUNCTION("""COMPUTED_VALUE"""),"Nguyễn Ngân")</f>
        <v>Nguyễn Ngân</v>
      </c>
      <c r="E103" s="102" t="str">
        <f>IFERROR(__xludf.DUMMYFUNCTION("""COMPUTED_VALUE"""),"GV phản ánh bị đuối so với lớp KW3")</f>
        <v>GV phản ánh bị đuối so với lớp KW3</v>
      </c>
      <c r="F103" s="12" t="str">
        <f>IFERROR(__xludf.DUMMYFUNCTION("""COMPUTED_VALUE"""),"CVHT01")</f>
        <v>CVHT01</v>
      </c>
      <c r="G103" s="86" t="s">
        <v>891</v>
      </c>
    </row>
    <row r="104">
      <c r="A104" s="12"/>
      <c r="B104" s="241">
        <f>IFERROR(__xludf.DUMMYFUNCTION("""COMPUTED_VALUE"""),46118.0)</f>
        <v>46118</v>
      </c>
      <c r="C104" s="12" t="str">
        <f>IFERROR(__xludf.DUMMYFUNCTION("""COMPUTED_VALUE"""),"420285236")</f>
        <v>420285236</v>
      </c>
      <c r="D104" s="12" t="str">
        <f>IFERROR(__xludf.DUMMYFUNCTION("""COMPUTED_VALUE"""),"Phan Thị Thanh Phương")</f>
        <v>Phan Thị Thanh Phương</v>
      </c>
      <c r="E104" s="102" t="str">
        <f>IFERROR(__xludf.DUMMYFUNCTION("""COMPUTED_VALUE"""),"Check số buổi học còn lại")</f>
        <v>Check số buổi học còn lại</v>
      </c>
      <c r="F104" s="12" t="str">
        <f>IFERROR(__xludf.DUMMYFUNCTION("""COMPUTED_VALUE"""),"CVHT01")</f>
        <v>CVHT01</v>
      </c>
      <c r="G104" s="86" t="s">
        <v>891</v>
      </c>
    </row>
    <row r="105">
      <c r="A105" s="12"/>
      <c r="B105" s="241">
        <f>IFERROR(__xludf.DUMMYFUNCTION("""COMPUTED_VALUE"""),46118.0)</f>
        <v>46118</v>
      </c>
      <c r="C105" s="12" t="str">
        <f>IFERROR(__xludf.DUMMYFUNCTION("""COMPUTED_VALUE"""),"420289874")</f>
        <v>420289874</v>
      </c>
      <c r="D105" s="12" t="str">
        <f>IFERROR(__xludf.DUMMYFUNCTION("""COMPUTED_VALUE"""),"Phạm Minh Phú")</f>
        <v>Phạm Minh Phú</v>
      </c>
      <c r="E105" s="102" t="str">
        <f>IFERROR(__xludf.DUMMYFUNCTION("""COMPUTED_VALUE"""),"Tư vấn lên kaiwa 4")</f>
        <v>Tư vấn lên kaiwa 4</v>
      </c>
      <c r="F105" s="12" t="str">
        <f>IFERROR(__xludf.DUMMYFUNCTION("""COMPUTED_VALUE"""),"CVHT01")</f>
        <v>CVHT01</v>
      </c>
      <c r="G105" s="86" t="s">
        <v>891</v>
      </c>
    </row>
    <row r="106">
      <c r="A106" s="12"/>
      <c r="B106" s="241">
        <f>IFERROR(__xludf.DUMMYFUNCTION("""COMPUTED_VALUE"""),46118.0)</f>
        <v>46118</v>
      </c>
      <c r="C106" s="12" t="str">
        <f>IFERROR(__xludf.DUMMYFUNCTION("""COMPUTED_VALUE"""),"GV321")</f>
        <v>GV321</v>
      </c>
      <c r="D106" s="12" t="str">
        <f>IFERROR(__xludf.DUMMYFUNCTION("""COMPUTED_VALUE"""),"Trần Nguyên Linh Chi")</f>
        <v>Trần Nguyên Linh Chi</v>
      </c>
      <c r="E106" s="102" t="str">
        <f>IFERROR(__xludf.DUMMYFUNCTION("""COMPUTED_VALUE""")," Phản hồi số buổi học còn lại của hv")</f>
        <v> Phản hồi số buổi học còn lại của hv</v>
      </c>
      <c r="F106" s="12" t="str">
        <f>IFERROR(__xludf.DUMMYFUNCTION("""COMPUTED_VALUE"""),"CVHT01")</f>
        <v>CVHT01</v>
      </c>
      <c r="G106" s="86" t="s">
        <v>891</v>
      </c>
    </row>
    <row r="107">
      <c r="A107" s="12"/>
      <c r="B107" s="241">
        <f>IFERROR(__xludf.DUMMYFUNCTION("""COMPUTED_VALUE"""),46119.0)</f>
        <v>46119</v>
      </c>
      <c r="C107" s="12" t="str">
        <f>IFERROR(__xludf.DUMMYFUNCTION("""COMPUTED_VALUE"""),"420290360")</f>
        <v>420290360</v>
      </c>
      <c r="D107" s="12" t="str">
        <f>IFERROR(__xludf.DUMMYFUNCTION("""COMPUTED_VALUE"""),"Lê Thị Cẩm Hân")</f>
        <v>Lê Thị Cẩm Hân</v>
      </c>
      <c r="E107" s="102" t="str">
        <f>IFERROR(__xludf.DUMMYFUNCTION("""COMPUTED_VALUE"""),"up video record ngày 6")</f>
        <v>up video record ngày 6</v>
      </c>
      <c r="F107" s="12" t="str">
        <f>IFERROR(__xludf.DUMMYFUNCTION("""COMPUTED_VALUE"""),"CVHT01")</f>
        <v>CVHT01</v>
      </c>
      <c r="G107" s="86" t="s">
        <v>891</v>
      </c>
    </row>
    <row r="108">
      <c r="A108" s="12"/>
      <c r="B108" s="241">
        <f>IFERROR(__xludf.DUMMYFUNCTION("""COMPUTED_VALUE"""),46119.0)</f>
        <v>46119</v>
      </c>
      <c r="C108" s="12" t="str">
        <f>IFERROR(__xludf.DUMMYFUNCTION("""COMPUTED_VALUE"""),"420291313")</f>
        <v>420291313</v>
      </c>
      <c r="D108" s="12" t="str">
        <f>IFERROR(__xludf.DUMMYFUNCTION("""COMPUTED_VALUE"""),"Danh Quý")</f>
        <v>Danh Quý</v>
      </c>
      <c r="E108" s="102" t="str">
        <f>IFERROR(__xludf.DUMMYFUNCTION("""COMPUTED_VALUE"""),"hỏi khóa học của bạn dùng trong bao lâu ạ")</f>
        <v>hỏi khóa học của bạn dùng trong bao lâu ạ</v>
      </c>
      <c r="F108" s="12" t="str">
        <f>IFERROR(__xludf.DUMMYFUNCTION("""COMPUTED_VALUE"""),"CVHT01")</f>
        <v>CVHT01</v>
      </c>
      <c r="G108" s="86" t="s">
        <v>891</v>
      </c>
    </row>
    <row r="109">
      <c r="A109" s="12"/>
      <c r="B109" s="241">
        <f>IFERROR(__xludf.DUMMYFUNCTION("""COMPUTED_VALUE"""),46120.0)</f>
        <v>46120</v>
      </c>
      <c r="C109" s="12" t="str">
        <f>IFERROR(__xludf.DUMMYFUNCTION("""COMPUTED_VALUE"""),"GV 143")</f>
        <v>GV 143</v>
      </c>
      <c r="D109" s="12" t="str">
        <f>IFERROR(__xludf.DUMMYFUNCTION("""COMPUTED_VALUE"""),"Hoàng Thị Mỹ")</f>
        <v>Hoàng Thị Mỹ</v>
      </c>
      <c r="E109" s="102" t="str">
        <f>IFERROR(__xludf.DUMMYFUNCTION("""COMPUTED_VALUE"""),"Hỏi hình thức học của hv Diệu")</f>
        <v>Hỏi hình thức học của hv Diệu</v>
      </c>
      <c r="F109" s="12" t="str">
        <f>IFERROR(__xludf.DUMMYFUNCTION("""COMPUTED_VALUE"""),"CVHT01")</f>
        <v>CVHT01</v>
      </c>
      <c r="G109" s="86" t="s">
        <v>891</v>
      </c>
    </row>
    <row r="110">
      <c r="A110" s="12"/>
      <c r="B110" s="241">
        <f>IFERROR(__xludf.DUMMYFUNCTION("""COMPUTED_VALUE"""),46120.0)</f>
        <v>46120</v>
      </c>
      <c r="C110" s="12" t="str">
        <f>IFERROR(__xludf.DUMMYFUNCTION("""COMPUTED_VALUE"""),"GV 460")</f>
        <v>GV 460</v>
      </c>
      <c r="D110" s="12" t="str">
        <f>IFERROR(__xludf.DUMMYFUNCTION("""COMPUTED_VALUE"""),"Nguyễn Thị Thanh Thuỷ")</f>
        <v>Nguyễn Thị Thanh Thuỷ</v>
      </c>
      <c r="E110" s="102" t="str">
        <f>IFERROR(__xludf.DUMMYFUNCTION("""COMPUTED_VALUE"""),"Có 2 ca dạy nhưng hệ thống không cập nhật")</f>
        <v>Có 2 ca dạy nhưng hệ thống không cập nhật</v>
      </c>
      <c r="F110" s="12" t="str">
        <f>IFERROR(__xludf.DUMMYFUNCTION("""COMPUTED_VALUE"""),"CVHT01")</f>
        <v>CVHT01</v>
      </c>
      <c r="G110" s="86" t="s">
        <v>891</v>
      </c>
    </row>
    <row r="111">
      <c r="A111" s="12"/>
      <c r="B111" s="241">
        <f>IFERROR(__xludf.DUMMYFUNCTION("""COMPUTED_VALUE"""),46120.0)</f>
        <v>46120</v>
      </c>
      <c r="C111" s="12" t="str">
        <f>IFERROR(__xludf.DUMMYFUNCTION("""COMPUTED_VALUE"""),"427893377")</f>
        <v>427893377</v>
      </c>
      <c r="D111" s="12" t="str">
        <f>IFERROR(__xludf.DUMMYFUNCTION("""COMPUTED_VALUE"""),"Nguyễn Quang Sơn")</f>
        <v>Nguyễn Quang Sơn</v>
      </c>
      <c r="E111" s="102" t="str">
        <f>IFERROR(__xludf.DUMMYFUNCTION("""COMPUTED_VALUE"""),"Phản ánh bên phía gv Izumi bị lỗi mh, âm thanh bé (sau khi em test trên laptop hv nhìn bình thường ạ)")</f>
        <v>Phản ánh bên phía gv Izumi bị lỗi mh, âm thanh bé (sau khi em test trên laptop hv nhìn bình thường ạ)</v>
      </c>
      <c r="F111" s="12" t="str">
        <f>IFERROR(__xludf.DUMMYFUNCTION("""COMPUTED_VALUE"""),"CVHT01")</f>
        <v>CVHT01</v>
      </c>
      <c r="G111" s="86" t="s">
        <v>891</v>
      </c>
    </row>
    <row r="112">
      <c r="A112" s="12"/>
      <c r="B112" s="241">
        <f>IFERROR(__xludf.DUMMYFUNCTION("""COMPUTED_VALUE"""),46120.0)</f>
        <v>46120</v>
      </c>
      <c r="C112" s="12" t="str">
        <f>IFERROR(__xludf.DUMMYFUNCTION("""COMPUTED_VALUE"""),"420276012")</f>
        <v>420276012</v>
      </c>
      <c r="D112" s="12" t="str">
        <f>IFERROR(__xludf.DUMMYFUNCTION("""COMPUTED_VALUE"""),"Nguyễn Thị Thuỷ")</f>
        <v>Nguyễn Thị Thuỷ</v>
      </c>
      <c r="E112" s="102" t="str">
        <f>IFERROR(__xludf.DUMMYFUNCTION("""COMPUTED_VALUE"""),"Đang học khoá học khác ")</f>
        <v>Đang học khoá học khác </v>
      </c>
      <c r="F112" s="12" t="str">
        <f>IFERROR(__xludf.DUMMYFUNCTION("""COMPUTED_VALUE"""),"CVHT01")</f>
        <v>CVHT01</v>
      </c>
      <c r="G112" s="86" t="s">
        <v>891</v>
      </c>
    </row>
    <row r="113">
      <c r="A113" s="12"/>
      <c r="B113" s="241">
        <f>IFERROR(__xludf.DUMMYFUNCTION("""COMPUTED_VALUE"""),46122.0)</f>
        <v>46122</v>
      </c>
      <c r="C113" s="12" t="str">
        <f>IFERROR(__xludf.DUMMYFUNCTION("""COMPUTED_VALUE"""),"427894969")</f>
        <v>427894969</v>
      </c>
      <c r="D113" s="12" t="str">
        <f>IFERROR(__xludf.DUMMYFUNCTION("""COMPUTED_VALUE"""),"Lã Thị Kim Ngân")</f>
        <v>Lã Thị Kim Ngân</v>
      </c>
      <c r="E113" s="102" t="str">
        <f>IFERROR(__xludf.DUMMYFUNCTION("""COMPUTED_VALUE"""),"Tìm người học thay thế cho hợp đồng của mình ")</f>
        <v>Tìm người học thay thế cho hợp đồng của mình </v>
      </c>
      <c r="F113" s="12" t="str">
        <f>IFERROR(__xludf.DUMMYFUNCTION("""COMPUTED_VALUE"""),"CVHT01")</f>
        <v>CVHT01</v>
      </c>
      <c r="G113" s="86" t="s">
        <v>891</v>
      </c>
    </row>
    <row r="114">
      <c r="A114" s="12"/>
      <c r="B114" s="241">
        <f>IFERROR(__xludf.DUMMYFUNCTION("""COMPUTED_VALUE"""),46122.0)</f>
        <v>46122</v>
      </c>
      <c r="C114" s="12" t="str">
        <f>IFERROR(__xludf.DUMMYFUNCTION("""COMPUTED_VALUE"""),"420291376")</f>
        <v>420291376</v>
      </c>
      <c r="D114" s="12" t="str">
        <f>IFERROR(__xludf.DUMMYFUNCTION("""COMPUTED_VALUE"""),"Từ Thị Quế Linh")</f>
        <v>Từ Thị Quế Linh</v>
      </c>
      <c r="E114" s="102" t="str">
        <f>IFERROR(__xludf.DUMMYFUNCTION("""COMPUTED_VALUE"""),"Muốn xin đổi lịch học (đã nhắn gv ạ)")</f>
        <v>Muốn xin đổi lịch học (đã nhắn gv ạ)</v>
      </c>
      <c r="F114" s="12" t="str">
        <f>IFERROR(__xludf.DUMMYFUNCTION("""COMPUTED_VALUE"""),"CVHT01")</f>
        <v>CVHT01</v>
      </c>
      <c r="G114" s="86" t="s">
        <v>891</v>
      </c>
    </row>
    <row r="115">
      <c r="A115" s="12"/>
      <c r="B115" s="241">
        <f>IFERROR(__xludf.DUMMYFUNCTION("""COMPUTED_VALUE"""),46122.0)</f>
        <v>46122</v>
      </c>
      <c r="C115" s="12" t="str">
        <f>IFERROR(__xludf.DUMMYFUNCTION("""COMPUTED_VALUE"""),"427894522")</f>
        <v>427894522</v>
      </c>
      <c r="D115" s="12" t="str">
        <f>IFERROR(__xludf.DUMMYFUNCTION("""COMPUTED_VALUE"""),"Phạm Thị Tho")</f>
        <v>Phạm Thị Tho</v>
      </c>
      <c r="E115" s="102" t="str">
        <f>IFERROR(__xludf.DUMMYFUNCTION("""COMPUTED_VALUE"""),"Xin đổi học lên khoá N4")</f>
        <v>Xin đổi học lên khoá N4</v>
      </c>
      <c r="F115" s="12" t="str">
        <f>IFERROR(__xludf.DUMMYFUNCTION("""COMPUTED_VALUE"""),"CVHT01")</f>
        <v>CVHT01</v>
      </c>
      <c r="G115" s="86" t="s">
        <v>891</v>
      </c>
    </row>
    <row r="116">
      <c r="A116" s="12"/>
      <c r="B116" s="241">
        <f>IFERROR(__xludf.DUMMYFUNCTION("""COMPUTED_VALUE"""),46122.0)</f>
        <v>46122</v>
      </c>
      <c r="C116" s="12" t="str">
        <f>IFERROR(__xludf.DUMMYFUNCTION("""COMPUTED_VALUE"""),"10054562")</f>
        <v>10054562</v>
      </c>
      <c r="D116" s="12" t="str">
        <f>IFERROR(__xludf.DUMMYFUNCTION("""COMPUTED_VALUE"""),"Phạm Thị Thơm")</f>
        <v>Phạm Thị Thơm</v>
      </c>
      <c r="E116" s="102" t="str">
        <f>IFERROR(__xludf.DUMMYFUNCTION("""COMPUTED_VALUE"""),"Set lớp cho hv(Em chưa nắm rõ đầu số (01, 02, 03 của bạn để set lớp ạ)")</f>
        <v>Set lớp cho hv(Em chưa nắm rõ đầu số (01, 02, 03 của bạn để set lớp ạ)</v>
      </c>
      <c r="F116" s="12" t="str">
        <f>IFERROR(__xludf.DUMMYFUNCTION("""COMPUTED_VALUE"""),"CVHT01")</f>
        <v>CVHT01</v>
      </c>
      <c r="G116" s="86" t="s">
        <v>891</v>
      </c>
    </row>
    <row r="117">
      <c r="A117" s="12"/>
      <c r="B117" s="241">
        <f>IFERROR(__xludf.DUMMYFUNCTION("""COMPUTED_VALUE"""),46122.0)</f>
        <v>46122</v>
      </c>
      <c r="C117" s="12" t="str">
        <f>IFERROR(__xludf.DUMMYFUNCTION("""COMPUTED_VALUE"""),"10054586")</f>
        <v>10054586</v>
      </c>
      <c r="D117" s="12" t="str">
        <f>IFERROR(__xludf.DUMMYFUNCTION("""COMPUTED_VALUE"""),"Trần Văn Trường")</f>
        <v>Trần Văn Trường</v>
      </c>
      <c r="E117" s="102" t="str">
        <f>IFERROR(__xludf.DUMMYFUNCTION("""COMPUTED_VALUE"""),"Link drive trong sổ tay của bạn bị lỗi toàn bộ")</f>
        <v>Link drive trong sổ tay của bạn bị lỗi toàn bộ</v>
      </c>
      <c r="F117" s="12" t="str">
        <f>IFERROR(__xludf.DUMMYFUNCTION("""COMPUTED_VALUE"""),"CVHT01")</f>
        <v>CVHT01</v>
      </c>
      <c r="G117" s="86" t="s">
        <v>891</v>
      </c>
    </row>
    <row r="118">
      <c r="A118" s="12"/>
      <c r="B118" s="241">
        <f>IFERROR(__xludf.DUMMYFUNCTION("""COMPUTED_VALUE"""),46123.0)</f>
        <v>46123</v>
      </c>
      <c r="C118" s="12" t="str">
        <f>IFERROR(__xludf.DUMMYFUNCTION("""COMPUTED_VALUE"""),"427894936")</f>
        <v>427894936</v>
      </c>
      <c r="D118" s="12" t="str">
        <f>IFERROR(__xludf.DUMMYFUNCTION("""COMPUTED_VALUE"""),"Lê Thị Mỹ Duyên")</f>
        <v>Lê Thị Mỹ Duyên</v>
      </c>
      <c r="E118" s="102" t="str">
        <f>IFERROR(__xludf.DUMMYFUNCTION("""COMPUTED_VALUE"""),"trùng lịch học với Lâm giáo viên Ueno megumi")</f>
        <v>trùng lịch học với Lâm giáo viên Ueno megumi</v>
      </c>
      <c r="F118" s="12" t="str">
        <f>IFERROR(__xludf.DUMMYFUNCTION("""COMPUTED_VALUE"""),"CVHT01")</f>
        <v>CVHT01</v>
      </c>
      <c r="G118" s="86" t="s">
        <v>891</v>
      </c>
    </row>
    <row r="119">
      <c r="A119" s="12"/>
      <c r="B119" s="241">
        <f>IFERROR(__xludf.DUMMYFUNCTION("""COMPUTED_VALUE"""),46125.0)</f>
        <v>46125</v>
      </c>
      <c r="C119" s="12" t="str">
        <f>IFERROR(__xludf.DUMMYFUNCTION("""COMPUTED_VALUE"""),"GV382 ")</f>
        <v>GV382 </v>
      </c>
      <c r="D119" s="12" t="str">
        <f>IFERROR(__xludf.DUMMYFUNCTION("""COMPUTED_VALUE"""),"Tạ Thị Hiền")</f>
        <v>Tạ Thị Hiền</v>
      </c>
      <c r="E119" s="102" t="str">
        <f>IFERROR(__xludf.DUMMYFUNCTION("""COMPUTED_VALUE"""),"Hỏi về chính sách tăng lương")</f>
        <v>Hỏi về chính sách tăng lương</v>
      </c>
      <c r="F119" s="12" t="str">
        <f>IFERROR(__xludf.DUMMYFUNCTION("""COMPUTED_VALUE"""),"CVHT01")</f>
        <v>CVHT01</v>
      </c>
      <c r="G119" s="86" t="s">
        <v>891</v>
      </c>
    </row>
    <row r="120">
      <c r="A120" s="12"/>
      <c r="B120" s="241">
        <f>IFERROR(__xludf.DUMMYFUNCTION("""COMPUTED_VALUE"""),46125.0)</f>
        <v>46125</v>
      </c>
      <c r="C120" s="12" t="str">
        <f>IFERROR(__xludf.DUMMYFUNCTION("""COMPUTED_VALUE"""),"10054656")</f>
        <v>10054656</v>
      </c>
      <c r="D120" s="12" t="str">
        <f>IFERROR(__xludf.DUMMYFUNCTION("""COMPUTED_VALUE"""),"Phan Thị Nhàn ")</f>
        <v>Phan Thị Nhàn </v>
      </c>
      <c r="E120" s="102" t="str">
        <f>IFERROR(__xludf.DUMMYFUNCTION("""COMPUTED_VALUE"""),"không có file drive chuẩn bị bài JLPT")</f>
        <v>không có file drive chuẩn bị bài JLPT</v>
      </c>
      <c r="F120" s="12" t="str">
        <f>IFERROR(__xludf.DUMMYFUNCTION("""COMPUTED_VALUE"""),"CVHT01")</f>
        <v>CVHT01</v>
      </c>
      <c r="G120" s="86" t="s">
        <v>891</v>
      </c>
    </row>
    <row r="121">
      <c r="A121" s="12"/>
      <c r="B121" s="241">
        <f>IFERROR(__xludf.DUMMYFUNCTION("""COMPUTED_VALUE"""),46126.0)</f>
        <v>46126</v>
      </c>
      <c r="C121" s="12" t="str">
        <f>IFERROR(__xludf.DUMMYFUNCTION("""COMPUTED_VALUE"""),"10053416")</f>
        <v>10053416</v>
      </c>
      <c r="D121" s="12" t="str">
        <f>IFERROR(__xludf.DUMMYFUNCTION("""COMPUTED_VALUE"""),"Võ Thị Mộng Trinh")</f>
        <v>Võ Thị Mộng Trinh</v>
      </c>
      <c r="E121" s="102" t="str">
        <f>IFERROR(__xludf.DUMMYFUNCTION("""COMPUTED_VALUE"""),"tiếp tục trao đổi ạ")</f>
        <v>tiếp tục trao đổi ạ</v>
      </c>
      <c r="F121" s="12" t="str">
        <f>IFERROR(__xludf.DUMMYFUNCTION("""COMPUTED_VALUE"""),"CVHT01")</f>
        <v>CVHT01</v>
      </c>
      <c r="G121" s="86" t="s">
        <v>891</v>
      </c>
    </row>
    <row r="122">
      <c r="A122" s="12"/>
      <c r="B122" s="241">
        <f>IFERROR(__xludf.DUMMYFUNCTION("""COMPUTED_VALUE"""),46126.0)</f>
        <v>46126</v>
      </c>
      <c r="C122" s="12" t="str">
        <f>IFERROR(__xludf.DUMMYFUNCTION("""COMPUTED_VALUE"""),"10053411")</f>
        <v>10053411</v>
      </c>
      <c r="D122" s="12" t="str">
        <f>IFERROR(__xludf.DUMMYFUNCTION("""COMPUTED_VALUE"""),"Bùi thị Kiều Trang ")</f>
        <v>Bùi thị Kiều Trang </v>
      </c>
      <c r="E122" s="102" t="str">
        <f>IFERROR(__xludf.DUMMYFUNCTION("""COMPUTED_VALUE"""),"Xong 42 bài ròi là phải đki để ôn đề, Hay là trong khoá có vậy ss")</f>
        <v>Xong 42 bài ròi là phải đki để ôn đề, Hay là trong khoá có vậy ss</v>
      </c>
      <c r="F122" s="12" t="str">
        <f>IFERROR(__xludf.DUMMYFUNCTION("""COMPUTED_VALUE"""),"CVHT01")</f>
        <v>CVHT01</v>
      </c>
      <c r="G122" s="86" t="s">
        <v>891</v>
      </c>
    </row>
    <row r="123">
      <c r="A123" s="12"/>
      <c r="B123" s="241">
        <f>IFERROR(__xludf.DUMMYFUNCTION("""COMPUTED_VALUE"""),46126.0)</f>
        <v>46126</v>
      </c>
      <c r="C123" s="12" t="str">
        <f>IFERROR(__xludf.DUMMYFUNCTION("""COMPUTED_VALUE"""),"GV454")</f>
        <v>GV454</v>
      </c>
      <c r="D123" s="12" t="str">
        <f>IFERROR(__xludf.DUMMYFUNCTION("""COMPUTED_VALUE"""),"Đặng Ngọc Mai")</f>
        <v>Đặng Ngọc Mai</v>
      </c>
      <c r="E123" s="102" t="str">
        <f>IFERROR(__xludf.DUMMYFUNCTION("""COMPUTED_VALUE"""),"Dạ em có hoàn thành xong phần nhận xét cho bạn Mai từ buổi 1 đến buổi 30 rồi ạ. Phần kết quả giữa kì và kết quả cuối khóa có cần ghi không ạ?")</f>
        <v>Dạ em có hoàn thành xong phần nhận xét cho bạn Mai từ buổi 1 đến buổi 30 rồi ạ. Phần kết quả giữa kì và kết quả cuối khóa có cần ghi không ạ?</v>
      </c>
      <c r="F123" s="12" t="str">
        <f>IFERROR(__xludf.DUMMYFUNCTION("""COMPUTED_VALUE"""),"CVHT01")</f>
        <v>CVHT01</v>
      </c>
      <c r="G123" s="86" t="s">
        <v>891</v>
      </c>
    </row>
    <row r="124">
      <c r="A124" s="12"/>
      <c r="B124" s="241">
        <f>IFERROR(__xludf.DUMMYFUNCTION("""COMPUTED_VALUE"""),46126.0)</f>
        <v>46126</v>
      </c>
      <c r="C124" s="12" t="str">
        <f>IFERROR(__xludf.DUMMYFUNCTION("""COMPUTED_VALUE"""),"420290184")</f>
        <v>420290184</v>
      </c>
      <c r="D124" s="12" t="str">
        <f>IFERROR(__xludf.DUMMYFUNCTION("""COMPUTED_VALUE"""),"Lưu Văn Thời")</f>
        <v>Lưu Văn Thời</v>
      </c>
      <c r="E124" s="102" t="str">
        <f>IFERROR(__xludf.DUMMYFUNCTION("""COMPUTED_VALUE"""),"trao đổi lịch học ạ")</f>
        <v>trao đổi lịch học ạ</v>
      </c>
      <c r="F124" s="12" t="str">
        <f>IFERROR(__xludf.DUMMYFUNCTION("""COMPUTED_VALUE"""),"CVHT01")</f>
        <v>CVHT01</v>
      </c>
      <c r="G124" s="86" t="s">
        <v>891</v>
      </c>
    </row>
    <row r="125">
      <c r="A125" s="12"/>
      <c r="B125" s="241">
        <f>IFERROR(__xludf.DUMMYFUNCTION("""COMPUTED_VALUE"""),46127.0)</f>
        <v>46127</v>
      </c>
      <c r="C125" s="12" t="str">
        <f>IFERROR(__xludf.DUMMYFUNCTION("""COMPUTED_VALUE"""),"427893158")</f>
        <v>427893158</v>
      </c>
      <c r="D125" s="12" t="str">
        <f>IFERROR(__xludf.DUMMYFUNCTION("""COMPUTED_VALUE"""),"Trần Thị Ngọc Duyên")</f>
        <v>Trần Thị Ngọc Duyên</v>
      </c>
      <c r="E125" s="102" t="str">
        <f>IFERROR(__xludf.DUMMYFUNCTION("""COMPUTED_VALUE"""),"Muốn hỏi về format test kaiwa 2")</f>
        <v>Muốn hỏi về format test kaiwa 2</v>
      </c>
      <c r="F125" s="12" t="str">
        <f>IFERROR(__xludf.DUMMYFUNCTION("""COMPUTED_VALUE"""),"CVHT01")</f>
        <v>CVHT01</v>
      </c>
      <c r="G125" s="86" t="s">
        <v>891</v>
      </c>
    </row>
    <row r="126">
      <c r="A126" s="12"/>
      <c r="B126" s="241">
        <f>IFERROR(__xludf.DUMMYFUNCTION("""COMPUTED_VALUE"""),46127.0)</f>
        <v>46127</v>
      </c>
      <c r="C126" s="12" t="str">
        <f>IFERROR(__xludf.DUMMYFUNCTION("""COMPUTED_VALUE"""),"420290465")</f>
        <v>420290465</v>
      </c>
      <c r="D126" s="12" t="str">
        <f>IFERROR(__xludf.DUMMYFUNCTION("""COMPUTED_VALUE"""),"Giang Mỹ Nhàn")</f>
        <v>Giang Mỹ Nhàn</v>
      </c>
      <c r="E126" s="102" t="str">
        <f>IFERROR(__xludf.DUMMYFUNCTION("""COMPUTED_VALUE"""),"Muốn đăng ký thêm lịch học thứ 7")</f>
        <v>Muốn đăng ký thêm lịch học thứ 7</v>
      </c>
      <c r="F126" s="12" t="str">
        <f>IFERROR(__xludf.DUMMYFUNCTION("""COMPUTED_VALUE"""),"CVHT01")</f>
        <v>CVHT01</v>
      </c>
      <c r="G126" s="86" t="s">
        <v>891</v>
      </c>
    </row>
    <row r="127">
      <c r="A127" s="12"/>
      <c r="B127" s="241">
        <f>IFERROR(__xludf.DUMMYFUNCTION("""COMPUTED_VALUE"""),46128.0)</f>
        <v>46128</v>
      </c>
      <c r="C127" s="12" t="str">
        <f>IFERROR(__xludf.DUMMYFUNCTION("""COMPUTED_VALUE"""),"420291042")</f>
        <v>420291042</v>
      </c>
      <c r="D127" s="12" t="str">
        <f>IFERROR(__xludf.DUMMYFUNCTION("""COMPUTED_VALUE"""),"Nguyễn Thị Thuận")</f>
        <v>Nguyễn Thị Thuận</v>
      </c>
      <c r="E127" s="102" t="str">
        <f>IFERROR(__xludf.DUMMYFUNCTION("""COMPUTED_VALUE"""),"xin vid học ạ")</f>
        <v>xin vid học ạ</v>
      </c>
      <c r="F127" s="12" t="str">
        <f>IFERROR(__xludf.DUMMYFUNCTION("""COMPUTED_VALUE"""),"CVHT01")</f>
        <v>CVHT01</v>
      </c>
      <c r="G127" s="86" t="s">
        <v>891</v>
      </c>
    </row>
    <row r="128">
      <c r="A128" s="12"/>
      <c r="B128" s="241">
        <f>IFERROR(__xludf.DUMMYFUNCTION("""COMPUTED_VALUE"""),46128.0)</f>
        <v>46128</v>
      </c>
      <c r="C128" s="12" t="str">
        <f>IFERROR(__xludf.DUMMYFUNCTION("""COMPUTED_VALUE"""),"420290360")</f>
        <v>420290360</v>
      </c>
      <c r="D128" s="12" t="str">
        <f>IFERROR(__xludf.DUMMYFUNCTION("""COMPUTED_VALUE"""),"Lê Thị Cẩm Hân")</f>
        <v>Lê Thị Cẩm Hân</v>
      </c>
      <c r="E128" s="102" t="str">
        <f>IFERROR(__xludf.DUMMYFUNCTION("""COMPUTED_VALUE"""),"xin thêm bài đọc hểu ạ")</f>
        <v>xin thêm bài đọc hểu ạ</v>
      </c>
      <c r="F128" s="12" t="str">
        <f>IFERROR(__xludf.DUMMYFUNCTION("""COMPUTED_VALUE"""),"CVHT01")</f>
        <v>CVHT01</v>
      </c>
      <c r="G128" s="86" t="s">
        <v>891</v>
      </c>
    </row>
    <row r="129">
      <c r="A129" s="12"/>
      <c r="B129" s="241">
        <f>IFERROR(__xludf.DUMMYFUNCTION("""COMPUTED_VALUE"""),46128.0)</f>
        <v>46128</v>
      </c>
      <c r="C129" s="12" t="str">
        <f>IFERROR(__xludf.DUMMYFUNCTION("""COMPUTED_VALUE"""),"GV464 ")</f>
        <v>GV464 </v>
      </c>
      <c r="D129" s="12" t="str">
        <f>IFERROR(__xludf.DUMMYFUNCTION("""COMPUTED_VALUE"""),"Trịnh Thị Thanh")</f>
        <v>Trịnh Thị Thanh</v>
      </c>
      <c r="E129" s="102" t="str">
        <f>IFERROR(__xludf.DUMMYFUNCTION("""COMPUTED_VALUE"""),"Cho e hỏi trường hợp hsinh xin nghỉ quá giờ mới báo như này thì em có được công k ạ")</f>
        <v>Cho e hỏi trường hợp hsinh xin nghỉ quá giờ mới báo như này thì em có được công k ạ</v>
      </c>
      <c r="F129" s="12" t="str">
        <f>IFERROR(__xludf.DUMMYFUNCTION("""COMPUTED_VALUE"""),"CVHT01")</f>
        <v>CVHT01</v>
      </c>
      <c r="G129" s="86" t="s">
        <v>891</v>
      </c>
    </row>
    <row r="130">
      <c r="A130" s="12"/>
      <c r="B130" s="241">
        <f>IFERROR(__xludf.DUMMYFUNCTION("""COMPUTED_VALUE"""),46128.0)</f>
        <v>46128</v>
      </c>
      <c r="C130" s="12" t="str">
        <f>IFERROR(__xludf.DUMMYFUNCTION("""COMPUTED_VALUE"""),"420291068")</f>
        <v>420291068</v>
      </c>
      <c r="D130" s="12" t="str">
        <f>IFERROR(__xludf.DUMMYFUNCTION("""COMPUTED_VALUE"""),"Nguyễn Thị Thúy An")</f>
        <v>Nguyễn Thị Thúy An</v>
      </c>
      <c r="E130" s="102" t="str">
        <f>IFERROR(__xludf.DUMMYFUNCTION("""COMPUTED_VALUE"""),"E chỉ có lịch ngày 23 ạ,cho e xin 1 buổi ngày 23 với ạ")</f>
        <v>E chỉ có lịch ngày 23 ạ,cho e xin 1 buổi ngày 23 với ạ</v>
      </c>
      <c r="F130" s="12" t="str">
        <f>IFERROR(__xludf.DUMMYFUNCTION("""COMPUTED_VALUE"""),"CVHT01")</f>
        <v>CVHT01</v>
      </c>
      <c r="G130" s="86" t="s">
        <v>891</v>
      </c>
    </row>
    <row r="131">
      <c r="A131" s="12"/>
      <c r="B131" s="241">
        <f>IFERROR(__xludf.DUMMYFUNCTION("""COMPUTED_VALUE"""),46128.0)</f>
        <v>46128</v>
      </c>
      <c r="C131" s="12" t="str">
        <f>IFERROR(__xludf.DUMMYFUNCTION("""COMPUTED_VALUE"""),"10054618")</f>
        <v>10054618</v>
      </c>
      <c r="D131" s="12" t="str">
        <f>IFERROR(__xludf.DUMMYFUNCTION("""COMPUTED_VALUE"""),"Nguyễn Thị Thuỳ Dung")</f>
        <v>Nguyễn Thị Thuỳ Dung</v>
      </c>
      <c r="E131" s="102" t="str">
        <f>IFERROR(__xludf.DUMMYFUNCTION("""COMPUTED_VALUE"""),"cho e thêm khoá học để ôn lại ngữ pháp và kanji")</f>
        <v>cho e thêm khoá học để ôn lại ngữ pháp và kanji</v>
      </c>
      <c r="F131" s="12" t="str">
        <f>IFERROR(__xludf.DUMMYFUNCTION("""COMPUTED_VALUE"""),"CVHT01")</f>
        <v>CVHT01</v>
      </c>
      <c r="G131" s="86" t="s">
        <v>891</v>
      </c>
    </row>
    <row r="132">
      <c r="A132" s="12"/>
      <c r="B132" s="241">
        <f>IFERROR(__xludf.DUMMYFUNCTION("""COMPUTED_VALUE"""),46129.0)</f>
        <v>46129</v>
      </c>
      <c r="C132" s="12" t="str">
        <f>IFERROR(__xludf.DUMMYFUNCTION("""COMPUTED_VALUE"""),"427893118")</f>
        <v>427893118</v>
      </c>
      <c r="D132" s="12" t="str">
        <f>IFERROR(__xludf.DUMMYFUNCTION("""COMPUTED_VALUE"""),"Li Tuệ Anh")</f>
        <v>Li Tuệ Anh</v>
      </c>
      <c r="E132" s="102" t="str">
        <f>IFERROR(__xludf.DUMMYFUNCTION("""COMPUTED_VALUE"""),"Xếp lịch học bù ")</f>
        <v>Xếp lịch học bù </v>
      </c>
      <c r="F132" s="12" t="str">
        <f>IFERROR(__xludf.DUMMYFUNCTION("""COMPUTED_VALUE"""),"CVHT01")</f>
        <v>CVHT01</v>
      </c>
      <c r="G132" s="86" t="s">
        <v>891</v>
      </c>
    </row>
    <row r="133">
      <c r="A133" s="12"/>
      <c r="B133" s="241"/>
      <c r="C133" s="12" t="str">
        <f>IFERROR(__xludf.DUMMYFUNCTION("""COMPUTED_VALUE"""),"GV329  ")</f>
        <v>GV329  </v>
      </c>
      <c r="D133" s="12" t="str">
        <f>IFERROR(__xludf.DUMMYFUNCTION("""COMPUTED_VALUE"""),"Phạm Thị Thùy")</f>
        <v>Phạm Thị Thùy</v>
      </c>
      <c r="E133" s="102" t="str">
        <f>IFERROR(__xludf.DUMMYFUNCTION("""COMPUTED_VALUE"""),"Cô xin file JLPT ạ")</f>
        <v>Cô xin file JLPT ạ</v>
      </c>
      <c r="F133" s="12" t="str">
        <f>IFERROR(__xludf.DUMMYFUNCTION("""COMPUTED_VALUE"""),"CVHT01")</f>
        <v>CVHT01</v>
      </c>
      <c r="G133" s="86" t="s">
        <v>891</v>
      </c>
    </row>
    <row r="134">
      <c r="A134" s="12"/>
      <c r="B134" s="241"/>
      <c r="C134" s="12" t="str">
        <f>IFERROR(__xludf.DUMMYFUNCTION("""COMPUTED_VALUE"""),"427892484")</f>
        <v>427892484</v>
      </c>
      <c r="D134" s="12" t="str">
        <f>IFERROR(__xludf.DUMMYFUNCTION("""COMPUTED_VALUE"""),"Bùi Xuân Tỉnh")</f>
        <v>Bùi Xuân Tỉnh</v>
      </c>
      <c r="E134" s="102" t="str">
        <f>IFERROR(__xludf.DUMMYFUNCTION("""COMPUTED_VALUE"""),"báo xin nghỉ hẳn ạ")</f>
        <v>báo xin nghỉ hẳn ạ</v>
      </c>
      <c r="F134" s="12" t="str">
        <f>IFERROR(__xludf.DUMMYFUNCTION("""COMPUTED_VALUE"""),"CVHT01")</f>
        <v>CVHT01</v>
      </c>
      <c r="G134" s="86" t="s">
        <v>891</v>
      </c>
    </row>
    <row r="135">
      <c r="A135" s="12"/>
      <c r="B135" s="241"/>
      <c r="C135" s="12" t="str">
        <f>IFERROR(__xludf.DUMMYFUNCTION("""COMPUTED_VALUE"""),"10054656")</f>
        <v>10054656</v>
      </c>
      <c r="D135" s="12" t="str">
        <f>IFERROR(__xludf.DUMMYFUNCTION("""COMPUTED_VALUE"""),"Phí Thị Nhàn")</f>
        <v>Phí Thị Nhàn</v>
      </c>
      <c r="E135" s="102" t="str">
        <f>IFERROR(__xludf.DUMMYFUNCTION("""COMPUTED_VALUE"""),"hôm sau test lại hệ thống, nay trục trặc nên học qua zoom ạ")</f>
        <v>hôm sau test lại hệ thống, nay trục trặc nên học qua zoom ạ</v>
      </c>
      <c r="F135" s="12" t="str">
        <f>IFERROR(__xludf.DUMMYFUNCTION("""COMPUTED_VALUE"""),"CVHT01")</f>
        <v>CVHT01</v>
      </c>
      <c r="G135" s="86" t="s">
        <v>891</v>
      </c>
    </row>
    <row r="136">
      <c r="A136" s="12"/>
      <c r="B136" s="241"/>
      <c r="C136" s="12" t="str">
        <f>IFERROR(__xludf.DUMMYFUNCTION("""COMPUTED_VALUE"""),"GV430")</f>
        <v>GV430</v>
      </c>
      <c r="D136" s="12" t="str">
        <f>IFERROR(__xludf.DUMMYFUNCTION("""COMPUTED_VALUE""")," Lê Thị My")</f>
        <v> Lê Thị My</v>
      </c>
      <c r="E136" s="102" t="str">
        <f>IFERROR(__xludf.DUMMYFUNCTION("""COMPUTED_VALUE"""),"chị ơi e muốn vào viết báo cáo 2 bạn trang với tài, mà k hiểu sao e k mở được. chị xác nhânj giúp em với ạ")</f>
        <v>chị ơi e muốn vào viết báo cáo 2 bạn trang với tài, mà k hiểu sao e k mở được. chị xác nhânj giúp em với ạ</v>
      </c>
      <c r="F136" s="12" t="str">
        <f>IFERROR(__xludf.DUMMYFUNCTION("""COMPUTED_VALUE"""),"CVHT01")</f>
        <v>CVHT01</v>
      </c>
      <c r="G136" s="86" t="s">
        <v>891</v>
      </c>
    </row>
    <row r="137">
      <c r="A137" s="12"/>
      <c r="B137" s="241"/>
      <c r="C137" s="12" t="str">
        <f>IFERROR(__xludf.DUMMYFUNCTION("""COMPUTED_VALUE"""),"427894936")</f>
        <v>427894936</v>
      </c>
      <c r="D137" s="12" t="str">
        <f>IFERROR(__xludf.DUMMYFUNCTION("""COMPUTED_VALUE"""),"Lê Thị Mỹ Duyên")</f>
        <v>Lê Thị Mỹ Duyên</v>
      </c>
      <c r="E137" s="102" t="str">
        <f>IFERROR(__xludf.DUMMYFUNCTION("""COMPUTED_VALUE"""),"Dạ update video cho bạn ạ")</f>
        <v>Dạ update video cho bạn ạ</v>
      </c>
      <c r="F137" s="12" t="str">
        <f>IFERROR(__xludf.DUMMYFUNCTION("""COMPUTED_VALUE"""),"CVHT01")</f>
        <v>CVHT01</v>
      </c>
      <c r="G137" s="86" t="s">
        <v>891</v>
      </c>
    </row>
    <row r="138">
      <c r="A138" s="12"/>
      <c r="B138" s="241"/>
      <c r="C138" s="12" t="str">
        <f>IFERROR(__xludf.DUMMYFUNCTION("""COMPUTED_VALUE"""),"427892702")</f>
        <v>427892702</v>
      </c>
      <c r="D138" s="12" t="str">
        <f>IFERROR(__xludf.DUMMYFUNCTION("""COMPUTED_VALUE"""),"Lê Hồng Xuân")</f>
        <v>Lê Hồng Xuân</v>
      </c>
      <c r="E138" s="102" t="str">
        <f>IFERROR(__xludf.DUMMYFUNCTION("""COMPUTED_VALUE"""),"Dạ do trục trặc nên gv mới dạy được nửa bài 2, bạn hỏi nếu muốn học tiếp bài 2 thì có ảnh hưởng số buổi không ạ")</f>
        <v>Dạ do trục trặc nên gv mới dạy được nửa bài 2, bạn hỏi nếu muốn học tiếp bài 2 thì có ảnh hưởng số buổi không ạ</v>
      </c>
      <c r="F138" s="12" t="str">
        <f>IFERROR(__xludf.DUMMYFUNCTION("""COMPUTED_VALUE"""),"CVHT01")</f>
        <v>CVHT01</v>
      </c>
      <c r="G138" s="86" t="s">
        <v>891</v>
      </c>
    </row>
    <row r="139">
      <c r="A139" s="12"/>
      <c r="B139" s="241"/>
      <c r="C139" s="12" t="str">
        <f>IFERROR(__xludf.DUMMYFUNCTION("""COMPUTED_VALUE"""),"GV487 ")</f>
        <v>GV487 </v>
      </c>
      <c r="D139" s="12" t="str">
        <f>IFERROR(__xludf.DUMMYFUNCTION("""COMPUTED_VALUE"""),"Trần Phương Nam K3")</f>
        <v>Trần Phương Nam K3</v>
      </c>
      <c r="E139" s="102" t="str">
        <f>IFERROR(__xludf.DUMMYFUNCTION("""COMPUTED_VALUE"""),"Báo cáo lỗi file âm thanh và nd chưa được khớp")</f>
        <v>Báo cáo lỗi file âm thanh và nd chưa được khớp</v>
      </c>
      <c r="F139" s="12" t="str">
        <f>IFERROR(__xludf.DUMMYFUNCTION("""COMPUTED_VALUE"""),"CVHT01")</f>
        <v>CVHT01</v>
      </c>
      <c r="G139" s="86" t="s">
        <v>891</v>
      </c>
    </row>
    <row r="140">
      <c r="A140" s="12"/>
      <c r="B140" s="241"/>
      <c r="C140" s="12" t="str">
        <f>IFERROR(__xludf.DUMMYFUNCTION("""COMPUTED_VALUE"""),"GV445 ")</f>
        <v>GV445 </v>
      </c>
      <c r="D140" s="12" t="str">
        <f>IFERROR(__xludf.DUMMYFUNCTION("""COMPUTED_VALUE"""),"Đỗ Thị Thúy Ngần K2")</f>
        <v>Đỗ Thị Thúy Ngần K2</v>
      </c>
      <c r="E140" s="102" t="str">
        <f>IFERROR(__xludf.DUMMYFUNCTION("""COMPUTED_VALUE"""),"Lỗi web, k share slide được")</f>
        <v>Lỗi web, k share slide được</v>
      </c>
      <c r="F140" s="12" t="str">
        <f>IFERROR(__xludf.DUMMYFUNCTION("""COMPUTED_VALUE"""),"CVHT01")</f>
        <v>CVHT01</v>
      </c>
      <c r="G140" s="86" t="s">
        <v>891</v>
      </c>
    </row>
    <row r="141">
      <c r="A141" s="12"/>
      <c r="B141" s="241">
        <f>IFERROR(__xludf.DUMMYFUNCTION("""COMPUTED_VALUE"""),46133.0)</f>
        <v>46133</v>
      </c>
      <c r="C141" s="12" t="str">
        <f>IFERROR(__xludf.DUMMYFUNCTION("""COMPUTED_VALUE"""),"420282298")</f>
        <v>420282298</v>
      </c>
      <c r="D141" s="12" t="str">
        <f>IFERROR(__xludf.DUMMYFUNCTION("""COMPUTED_VALUE"""),"Vương Thị Như Quỳnh")</f>
        <v>Vương Thị Như Quỳnh</v>
      </c>
      <c r="E141" s="102" t="str">
        <f>IFERROR(__xludf.DUMMYFUNCTION("""COMPUTED_VALUE"""),"bạn hỏi mai 22/04 có học không ạ")</f>
        <v>bạn hỏi mai 22/04 có học không ạ</v>
      </c>
      <c r="F141" s="12" t="str">
        <f>IFERROR(__xludf.DUMMYFUNCTION("""COMPUTED_VALUE"""),"CVHT01")</f>
        <v>CVHT01</v>
      </c>
      <c r="G141" s="86" t="s">
        <v>891</v>
      </c>
    </row>
    <row r="142">
      <c r="A142" s="12"/>
      <c r="B142" s="241">
        <f>IFERROR(__xludf.DUMMYFUNCTION("""COMPUTED_VALUE"""),46133.0)</f>
        <v>46133</v>
      </c>
      <c r="C142" s="12" t="str">
        <f>IFERROR(__xludf.DUMMYFUNCTION("""COMPUTED_VALUE"""),"GV456 ")</f>
        <v>GV456 </v>
      </c>
      <c r="D142" s="12" t="str">
        <f>IFERROR(__xludf.DUMMYFUNCTION("""COMPUTED_VALUE"""),"Trần Anh Bảo Vy K3")</f>
        <v>Trần Anh Bảo Vy K3</v>
      </c>
      <c r="E142" s="102" t="str">
        <f>IFERROR(__xludf.DUMMYFUNCTION("""COMPUTED_VALUE"""),"nay lớp bạn Anh học 1 tiếng thì điền vào sheet スケジュール thế nào chị hen")</f>
        <v>nay lớp bạn Anh học 1 tiếng thì điền vào sheet スケジュール thế nào chị hen</v>
      </c>
      <c r="F142" s="12" t="str">
        <f>IFERROR(__xludf.DUMMYFUNCTION("""COMPUTED_VALUE"""),"CVHT01")</f>
        <v>CVHT01</v>
      </c>
      <c r="G142" s="86" t="s">
        <v>891</v>
      </c>
    </row>
    <row r="143">
      <c r="A143" s="12"/>
      <c r="B143" s="241"/>
      <c r="C143" s="12" t="str">
        <f>IFERROR(__xludf.DUMMYFUNCTION("""COMPUTED_VALUE"""),"427895494")</f>
        <v>427895494</v>
      </c>
      <c r="D143" s="12" t="str">
        <f>IFERROR(__xludf.DUMMYFUNCTION("""COMPUTED_VALUE"""),"Phạm Ngọc Nhật Tuyền")</f>
        <v>Phạm Ngọc Nhật Tuyền</v>
      </c>
      <c r="E143" s="102" t="str">
        <f>IFERROR(__xludf.DUMMYFUNCTION("""COMPUTED_VALUE"""),"Chizaru ss đã đồng ý mở lớp 29/4, 9h15VN")</f>
        <v>Chizaru ss đã đồng ý mở lớp 29/4, 9h15VN</v>
      </c>
      <c r="F143" s="12" t="str">
        <f>IFERROR(__xludf.DUMMYFUNCTION("""COMPUTED_VALUE"""),"CVHT01")</f>
        <v>CVHT01</v>
      </c>
      <c r="G143" s="86" t="s">
        <v>891</v>
      </c>
    </row>
    <row r="144">
      <c r="A144" s="12"/>
      <c r="B144" s="241"/>
      <c r="C144" s="12" t="str">
        <f>IFERROR(__xludf.DUMMYFUNCTION("""COMPUTED_VALUE"""),"GV362")</f>
        <v>GV362</v>
      </c>
      <c r="D144" s="12" t="str">
        <f>IFERROR(__xludf.DUMMYFUNCTION("""COMPUTED_VALUE"""),"Huyền Thanh Trâm")</f>
        <v>Huyền Thanh Trâm</v>
      </c>
      <c r="E144" s="102" t="str">
        <f>IFERROR(__xludf.DUMMYFUNCTION("""COMPUTED_VALUE"""),"Gv chưa dạy live bao giờ ạ")</f>
        <v>Gv chưa dạy live bao giờ ạ</v>
      </c>
      <c r="F144" s="12" t="str">
        <f>IFERROR(__xludf.DUMMYFUNCTION("""COMPUTED_VALUE"""),"CVHT01")</f>
        <v>CVHT01</v>
      </c>
      <c r="G144" s="86" t="s">
        <v>891</v>
      </c>
    </row>
    <row r="145">
      <c r="A145" s="12"/>
      <c r="B145" s="241"/>
      <c r="C145" s="12" t="str">
        <f>IFERROR(__xludf.DUMMYFUNCTION("""COMPUTED_VALUE"""),"GV171")</f>
        <v>GV171</v>
      </c>
      <c r="D145" s="12" t="str">
        <f>IFERROR(__xludf.DUMMYFUNCTION("""COMPUTED_VALUE"""),"Chiaki SS")</f>
        <v>Chiaki SS</v>
      </c>
      <c r="E145" s="102" t="str">
        <f>IFERROR(__xludf.DUMMYFUNCTION("""COMPUTED_VALUE"""),"Bàn giao hv 420291494 Mai Ngọc Trâm Anh từ tháng 5 cho GV khác")</f>
        <v>Bàn giao hv 420291494 Mai Ngọc Trâm Anh từ tháng 5 cho GV khác</v>
      </c>
      <c r="F145" s="12" t="str">
        <f>IFERROR(__xludf.DUMMYFUNCTION("""COMPUTED_VALUE"""),"CVHT01")</f>
        <v>CVHT01</v>
      </c>
      <c r="G145" s="86" t="s">
        <v>891</v>
      </c>
    </row>
    <row r="146">
      <c r="A146" s="12"/>
      <c r="B146" s="241"/>
      <c r="C146" s="12" t="str">
        <f>IFERROR(__xludf.DUMMYFUNCTION("""COMPUTED_VALUE"""),"420282010")</f>
        <v>420282010</v>
      </c>
      <c r="D146" s="12" t="str">
        <f>IFERROR(__xludf.DUMMYFUNCTION("""COMPUTED_VALUE"""),"Nguyễn Tro Tnics")</f>
        <v>Nguyễn Tro Tnics</v>
      </c>
      <c r="E146" s="102" t="str">
        <f>IFERROR(__xludf.DUMMYFUNCTION("""COMPUTED_VALUE"""),"Có thể bắt đầu học từ 4/5")</f>
        <v>Có thể bắt đầu học từ 4/5</v>
      </c>
      <c r="F146" s="12" t="str">
        <f>IFERROR(__xludf.DUMMYFUNCTION("""COMPUTED_VALUE"""),"CVHT01")</f>
        <v>CVHT01</v>
      </c>
      <c r="G146" s="86" t="s">
        <v>891</v>
      </c>
    </row>
    <row r="147">
      <c r="A147" s="12"/>
      <c r="B147" s="241">
        <f>IFERROR(__xludf.DUMMYFUNCTION("""COMPUTED_VALUE"""),46140.0)</f>
        <v>46140</v>
      </c>
      <c r="C147" s="12" t="str">
        <f>IFERROR(__xludf.DUMMYFUNCTION("""COMPUTED_VALUE"""),"427894969")</f>
        <v>427894969</v>
      </c>
      <c r="D147" s="12" t="str">
        <f>IFERROR(__xludf.DUMMYFUNCTION("""COMPUTED_VALUE"""),"Lã Thị Kim Ngân")</f>
        <v>Lã Thị Kim Ngân</v>
      </c>
      <c r="E147" s="102" t="str">
        <f>IFERROR(__xludf.DUMMYFUNCTION("""COMPUTED_VALUE"""),"Bạn muốn chuyển nhượng khóa học sang cho bạn bè ạ")</f>
        <v>Bạn muốn chuyển nhượng khóa học sang cho bạn bè ạ</v>
      </c>
      <c r="F147" s="12" t="str">
        <f>IFERROR(__xludf.DUMMYFUNCTION("""COMPUTED_VALUE"""),"CVHT01")</f>
        <v>CVHT01</v>
      </c>
      <c r="G147" s="86" t="s">
        <v>891</v>
      </c>
    </row>
    <row r="148">
      <c r="A148" s="12"/>
      <c r="B148" s="241">
        <f>IFERROR(__xludf.DUMMYFUNCTION("""COMPUTED_VALUE"""),46140.0)</f>
        <v>46140</v>
      </c>
      <c r="C148" s="12" t="str">
        <f>IFERROR(__xludf.DUMMYFUNCTION("""COMPUTED_VALUE"""),"427895651")</f>
        <v>427895651</v>
      </c>
      <c r="D148" s="12" t="str">
        <f>IFERROR(__xludf.DUMMYFUNCTION("""COMPUTED_VALUE"""),"Lương Huệ Ngân")</f>
        <v>Lương Huệ Ngân</v>
      </c>
      <c r="E148" s="102" t="str">
        <f>IFERROR(__xludf.DUMMYFUNCTION("""COMPUTED_VALUE"""),"bạn hỏi khóa jlpt N3 ạ")</f>
        <v>bạn hỏi khóa jlpt N3 ạ</v>
      </c>
      <c r="F148" s="12" t="str">
        <f>IFERROR(__xludf.DUMMYFUNCTION("""COMPUTED_VALUE"""),"CVHT01")</f>
        <v>CVHT01</v>
      </c>
      <c r="G148" s="86" t="s">
        <v>891</v>
      </c>
    </row>
    <row r="149">
      <c r="A149" s="12"/>
      <c r="B149" s="241"/>
      <c r="C149" s="12" t="str">
        <f>IFERROR(__xludf.DUMMYFUNCTION("""COMPUTED_VALUE"""),"420290794")</f>
        <v>420290794</v>
      </c>
      <c r="D149" s="12" t="str">
        <f>IFERROR(__xludf.DUMMYFUNCTION("""COMPUTED_VALUE"""),"Tòng Thị Mai")</f>
        <v>Tòng Thị Mai</v>
      </c>
      <c r="E149" s="102" t="str">
        <f>IFERROR(__xludf.DUMMYFUNCTION("""COMPUTED_VALUE"""),"Em chưa biết nữa ss ạ . Cty em k có lịch cố định , thất thường ấy . Như hôm nay giờ này em mới dc về nên khi nào học dc em báo trc thoii . Vì em nghỉ nhiều quá em cũng ngại để chắc chắn ss cho em bảo lưu đến 15/4 qua tuần lễ vàng các thứ cty em ổn định r "&amp;"em báo lại ss")</f>
        <v>Em chưa biết nữa ss ạ . Cty em k có lịch cố định , thất thường ấy . Như hôm nay giờ này em mới dc về nên khi nào học dc em báo trc thoii . Vì em nghỉ nhiều quá em cũng ngại để chắc chắn ss cho em bảo lưu đến 15/4 qua tuần lễ vàng các thứ cty em ổn định r em báo lại ss</v>
      </c>
      <c r="F149" s="12" t="str">
        <f>IFERROR(__xludf.DUMMYFUNCTION("""COMPUTED_VALUE"""),"CVHT01")</f>
        <v>CVHT01</v>
      </c>
      <c r="G149" s="86" t="s">
        <v>891</v>
      </c>
    </row>
    <row r="150">
      <c r="A150" s="12"/>
      <c r="B150" s="241"/>
      <c r="C150" s="12" t="str">
        <f>IFERROR(__xludf.DUMMYFUNCTION("""COMPUTED_VALUE"""),"420284695")</f>
        <v>420284695</v>
      </c>
      <c r="D150" s="12" t="str">
        <f>IFERROR(__xludf.DUMMYFUNCTION("""COMPUTED_VALUE"""),"Nguyễn Văn Phong")</f>
        <v>Nguyễn Văn Phong</v>
      </c>
      <c r="E150" s="102" t="str">
        <f>IFERROR(__xludf.DUMMYFUNCTION("""COMPUTED_VALUE"""),"muốn đổi sang ngày 8/5 bắt đầu quay lại khoá học ạ")</f>
        <v>muốn đổi sang ngày 8/5 bắt đầu quay lại khoá học ạ</v>
      </c>
      <c r="F150" s="12" t="str">
        <f>IFERROR(__xludf.DUMMYFUNCTION("""COMPUTED_VALUE"""),"CVHT01")</f>
        <v>CVHT01</v>
      </c>
      <c r="G150" s="86" t="s">
        <v>891</v>
      </c>
    </row>
    <row r="151">
      <c r="A151" s="12"/>
      <c r="B151" s="241"/>
      <c r="C151" s="12" t="str">
        <f>IFERROR(__xludf.DUMMYFUNCTION("""COMPUTED_VALUE"""),"427895227")</f>
        <v>427895227</v>
      </c>
      <c r="D151" s="12" t="str">
        <f>IFERROR(__xludf.DUMMYFUNCTION("""COMPUTED_VALUE"""),"Ngô Văn Tuyển")</f>
        <v>Ngô Văn Tuyển</v>
      </c>
      <c r="E151" s="102"/>
      <c r="F151" s="12" t="str">
        <f>IFERROR(__xludf.DUMMYFUNCTION("""COMPUTED_VALUE"""),"CVHT01")</f>
        <v>CVHT01</v>
      </c>
      <c r="G151" s="86" t="s">
        <v>891</v>
      </c>
    </row>
    <row r="152">
      <c r="A152" s="12"/>
      <c r="B152" s="241"/>
      <c r="C152" s="12" t="str">
        <f>IFERROR(__xludf.DUMMYFUNCTION("""COMPUTED_VALUE"""),"427895775")</f>
        <v>427895775</v>
      </c>
      <c r="D152" s="12" t="str">
        <f>IFERROR(__xludf.DUMMYFUNCTION("""COMPUTED_VALUE"""),"Nguyễn Thu Trang")</f>
        <v>Nguyễn Thu Trang</v>
      </c>
      <c r="E152" s="102" t="str">
        <f>IFERROR(__xludf.DUMMYFUNCTION("""COMPUTED_VALUE"""),"Chưa chốt được giờ học")</f>
        <v>Chưa chốt được giờ học</v>
      </c>
      <c r="F152" s="12" t="str">
        <f>IFERROR(__xludf.DUMMYFUNCTION("""COMPUTED_VALUE"""),"CVHT01")</f>
        <v>CVHT01</v>
      </c>
      <c r="G152" s="86" t="s">
        <v>891</v>
      </c>
    </row>
    <row r="153">
      <c r="A153" s="12"/>
      <c r="B153" s="241">
        <f>IFERROR(__xludf.DUMMYFUNCTION("""COMPUTED_VALUE"""),46147.0)</f>
        <v>46147</v>
      </c>
      <c r="C153" s="12" t="str">
        <f>IFERROR(__xludf.DUMMYFUNCTION("""COMPUTED_VALUE"""),"427892607")</f>
        <v>427892607</v>
      </c>
      <c r="D153" s="12" t="str">
        <f>IFERROR(__xludf.DUMMYFUNCTION("""COMPUTED_VALUE"""),"Lê Quang Tín")</f>
        <v>Lê Quang Tín</v>
      </c>
      <c r="E153" s="102" t="str">
        <f>IFERROR(__xludf.DUMMYFUNCTION("""COMPUTED_VALUE"""),"bạn quay lại học và muốn kaiwa tự do trong 30p học ạ")</f>
        <v>bạn quay lại học và muốn kaiwa tự do trong 30p học ạ</v>
      </c>
      <c r="F153" s="12" t="str">
        <f>IFERROR(__xludf.DUMMYFUNCTION("""COMPUTED_VALUE"""),"CVHT01")</f>
        <v>CVHT01</v>
      </c>
      <c r="G153" s="86" t="s">
        <v>891</v>
      </c>
    </row>
    <row r="154">
      <c r="A154" s="12"/>
      <c r="B154" s="241">
        <f>IFERROR(__xludf.DUMMYFUNCTION("""COMPUTED_VALUE"""),46148.0)</f>
        <v>46148</v>
      </c>
      <c r="C154" s="12" t="str">
        <f>IFERROR(__xludf.DUMMYFUNCTION("""COMPUTED_VALUE"""),"427894785")</f>
        <v>427894785</v>
      </c>
      <c r="D154" s="12" t="str">
        <f>IFERROR(__xludf.DUMMYFUNCTION("""COMPUTED_VALUE"""),"Nguyễn Văn Hoàn")</f>
        <v>Nguyễn Văn Hoàn</v>
      </c>
      <c r="E154" s="102" t="str">
        <f>IFERROR(__xludf.DUMMYFUNCTION("""COMPUTED_VALUE"""),"bạn muốn ngưng học vì thấy học 30' không đủ hiệu quả ạ")</f>
        <v>bạn muốn ngưng học vì thấy học 30' không đủ hiệu quả ạ</v>
      </c>
      <c r="F154" s="12" t="str">
        <f>IFERROR(__xludf.DUMMYFUNCTION("""COMPUTED_VALUE"""),"CVHT01")</f>
        <v>CVHT01</v>
      </c>
      <c r="G154" s="86" t="s">
        <v>891</v>
      </c>
    </row>
    <row r="155">
      <c r="A155" s="12"/>
      <c r="B155" s="241">
        <f>IFERROR(__xludf.DUMMYFUNCTION("""COMPUTED_VALUE"""),46149.0)</f>
        <v>46149</v>
      </c>
      <c r="C155" s="12" t="str">
        <f>IFERROR(__xludf.DUMMYFUNCTION("""COMPUTED_VALUE"""),"420282010")</f>
        <v>420282010</v>
      </c>
      <c r="D155" s="12" t="str">
        <f>IFERROR(__xludf.DUMMYFUNCTION("""COMPUTED_VALUE"""),"Nguyễn Tro Tnics")</f>
        <v>Nguyễn Tro Tnics</v>
      </c>
      <c r="E155" s="102" t="str">
        <f>IFERROR(__xludf.DUMMYFUNCTION("""COMPUTED_VALUE"""),"Bỏ giúp e bài 29 đi ss")</f>
        <v>Bỏ giúp e bài 29 đi ss</v>
      </c>
      <c r="F155" s="12" t="str">
        <f>IFERROR(__xludf.DUMMYFUNCTION("""COMPUTED_VALUE"""),"CVHT01")</f>
        <v>CVHT01</v>
      </c>
      <c r="G155" s="86" t="s">
        <v>891</v>
      </c>
    </row>
    <row r="156">
      <c r="A156" s="12"/>
      <c r="B156" s="241">
        <f>IFERROR(__xludf.DUMMYFUNCTION("""COMPUTED_VALUE"""),46149.0)</f>
        <v>46149</v>
      </c>
      <c r="C156" s="12" t="str">
        <f>IFERROR(__xludf.DUMMYFUNCTION("""COMPUTED_VALUE"""),"GV471 ")</f>
        <v>GV471 </v>
      </c>
      <c r="D156" s="12" t="str">
        <f>IFERROR(__xludf.DUMMYFUNCTION("""COMPUTED_VALUE"""),"Nguyễn Huyền Trang")</f>
        <v>Nguyễn Huyền Trang</v>
      </c>
      <c r="E156" s="102" t="str">
        <f>IFERROR(__xludf.DUMMYFUNCTION("""COMPUTED_VALUE"""),"Bạn Tú báo em là cái bài học trên app của bạn ý khác hoàn toàn chương trình kaiwa bạn đang học, Với lại phần bài tập bạn vẫn chưa làm được")</f>
        <v>Bạn Tú báo em là cái bài học trên app của bạn ý khác hoàn toàn chương trình kaiwa bạn đang học, Với lại phần bài tập bạn vẫn chưa làm được</v>
      </c>
      <c r="F156" s="12" t="str">
        <f>IFERROR(__xludf.DUMMYFUNCTION("""COMPUTED_VALUE"""),"CVHT01")</f>
        <v>CVHT01</v>
      </c>
      <c r="G156" s="86" t="s">
        <v>891</v>
      </c>
    </row>
    <row r="157">
      <c r="A157" s="12"/>
      <c r="B157" s="241">
        <f>IFERROR(__xludf.DUMMYFUNCTION("""COMPUTED_VALUE"""),46150.0)</f>
        <v>46150</v>
      </c>
      <c r="C157" s="12" t="str">
        <f>IFERROR(__xludf.DUMMYFUNCTION("""COMPUTED_VALUE"""),"427895414")</f>
        <v>427895414</v>
      </c>
      <c r="D157" s="12" t="str">
        <f>IFERROR(__xludf.DUMMYFUNCTION("""COMPUTED_VALUE"""),"Hồ Thị Anh Thư")</f>
        <v>Hồ Thị Anh Thư</v>
      </c>
      <c r="E157" s="102" t="str">
        <f>IFERROR(__xludf.DUMMYFUNCTION("""COMPUTED_VALUE"""),"Bạn xin link record ạ")</f>
        <v>Bạn xin link record ạ</v>
      </c>
      <c r="F157" s="12" t="str">
        <f>IFERROR(__xludf.DUMMYFUNCTION("""COMPUTED_VALUE"""),"CVHT01")</f>
        <v>CVHT01</v>
      </c>
      <c r="G157" s="86" t="s">
        <v>891</v>
      </c>
    </row>
    <row r="158">
      <c r="A158" s="12"/>
      <c r="B158" s="241">
        <f>IFERROR(__xludf.DUMMYFUNCTION("""COMPUTED_VALUE"""),46151.0)</f>
        <v>46151</v>
      </c>
      <c r="C158" s="12" t="str">
        <f>IFERROR(__xludf.DUMMYFUNCTION("""COMPUTED_VALUE"""),"420288695")</f>
        <v>420288695</v>
      </c>
      <c r="D158" s="12" t="str">
        <f>IFERROR(__xludf.DUMMYFUNCTION("""COMPUTED_VALUE"""),"Phan Thị Ái Nhiên")</f>
        <v>Phan Thị Ái Nhiên</v>
      </c>
      <c r="E158" s="102" t="str">
        <f>IFERROR(__xludf.DUMMYFUNCTION("""COMPUTED_VALUE"""),"bạn xin học lại ạ")</f>
        <v>bạn xin học lại ạ</v>
      </c>
      <c r="F158" s="12" t="str">
        <f>IFERROR(__xludf.DUMMYFUNCTION("""COMPUTED_VALUE"""),"CVHT01")</f>
        <v>CVHT01</v>
      </c>
      <c r="G158" s="86" t="s">
        <v>891</v>
      </c>
    </row>
    <row r="159">
      <c r="A159" s="12"/>
      <c r="B159" s="241">
        <f>IFERROR(__xludf.DUMMYFUNCTION("""COMPUTED_VALUE"""),46151.0)</f>
        <v>46151</v>
      </c>
      <c r="C159" s="12" t="str">
        <f>IFERROR(__xludf.DUMMYFUNCTION("""COMPUTED_VALUE"""),"420290156")</f>
        <v>420290156</v>
      </c>
      <c r="D159" s="12" t="str">
        <f>IFERROR(__xludf.DUMMYFUNCTION("""COMPUTED_VALUE"""),"Nguyễn Thị Toán")</f>
        <v>Nguyễn Thị Toán</v>
      </c>
      <c r="E159" s="102" t="str">
        <f>IFERROR(__xludf.DUMMYFUNCTION("""COMPUTED_VALUE"""),"Ss ơi , cho mk hỏi mk đăng ký học là ap có hiệu lực 1 năm, giờ sao k vào đc nữa vậy ạ")</f>
        <v>Ss ơi , cho mk hỏi mk đăng ký học là ap có hiệu lực 1 năm, giờ sao k vào đc nữa vậy ạ</v>
      </c>
      <c r="F159" s="12" t="str">
        <f>IFERROR(__xludf.DUMMYFUNCTION("""COMPUTED_VALUE"""),"CVHT01")</f>
        <v>CVHT01</v>
      </c>
      <c r="G159" s="86" t="s">
        <v>891</v>
      </c>
    </row>
    <row r="160">
      <c r="A160" s="12"/>
      <c r="B160" s="241">
        <f>IFERROR(__xludf.DUMMYFUNCTION("""COMPUTED_VALUE"""),46153.0)</f>
        <v>46153</v>
      </c>
      <c r="C160" s="12" t="str">
        <f>IFERROR(__xludf.DUMMYFUNCTION("""COMPUTED_VALUE"""),"420288642")</f>
        <v>420288642</v>
      </c>
      <c r="D160" s="12" t="str">
        <f>IFERROR(__xludf.DUMMYFUNCTION("""COMPUTED_VALUE"""),"Cao Thị Quỳnh Nga")</f>
        <v>Cao Thị Quỳnh Nga</v>
      </c>
      <c r="E160" s="102" t="str">
        <f>IFERROR(__xludf.DUMMYFUNCTION("""COMPUTED_VALUE"""),"Bạn muốn chuyển nhượng khóa học cho anh trai ạ")</f>
        <v>Bạn muốn chuyển nhượng khóa học cho anh trai ạ</v>
      </c>
      <c r="F160" s="12" t="str">
        <f>IFERROR(__xludf.DUMMYFUNCTION("""COMPUTED_VALUE"""),"CVHT01")</f>
        <v>CVHT01</v>
      </c>
      <c r="G160" s="86" t="s">
        <v>891</v>
      </c>
    </row>
    <row r="161">
      <c r="A161" s="12"/>
      <c r="B161" s="241">
        <f>IFERROR(__xludf.DUMMYFUNCTION("""COMPUTED_VALUE"""),46154.0)</f>
        <v>46154</v>
      </c>
      <c r="C161" s="12" t="str">
        <f>IFERROR(__xludf.DUMMYFUNCTION("""COMPUTED_VALUE"""),"427892607")</f>
        <v>427892607</v>
      </c>
      <c r="D161" s="12" t="str">
        <f>IFERROR(__xludf.DUMMYFUNCTION("""COMPUTED_VALUE"""),"Lê Quang Tín")</f>
        <v>Lê Quang Tín</v>
      </c>
      <c r="E161" s="102" t="str">
        <f>IFERROR(__xludf.DUMMYFUNCTION("""COMPUTED_VALUE"""),"Sensei Khóa N3 bên Trung tâm học thể nào ạ?")</f>
        <v>Sensei Khóa N3 bên Trung tâm học thể nào ạ?</v>
      </c>
      <c r="F161" s="12" t="str">
        <f>IFERROR(__xludf.DUMMYFUNCTION("""COMPUTED_VALUE"""),"CVHT01")</f>
        <v>CVHT01</v>
      </c>
      <c r="G161" s="86" t="s">
        <v>891</v>
      </c>
    </row>
    <row r="162">
      <c r="A162" s="12"/>
      <c r="B162" s="241">
        <f>IFERROR(__xludf.DUMMYFUNCTION("""COMPUTED_VALUE"""),46154.0)</f>
        <v>46154</v>
      </c>
      <c r="C162" s="12" t="str">
        <f>IFERROR(__xludf.DUMMYFUNCTION("""COMPUTED_VALUE"""),"427894796")</f>
        <v>427894796</v>
      </c>
      <c r="D162" s="12" t="str">
        <f>IFERROR(__xludf.DUMMYFUNCTION("""COMPUTED_VALUE"""),"Hoàng Đức Văn")</f>
        <v>Hoàng Đức Văn</v>
      </c>
      <c r="E162" s="102" t="str">
        <f>IFERROR(__xludf.DUMMYFUNCTION("""COMPUTED_VALUE"""),"Mẹ em ốm ss ạ em mai phải về việt nam nên chắc em xin phép nghỉ xong em về xem sao ss")</f>
        <v>Mẹ em ốm ss ạ em mai phải về việt nam nên chắc em xin phép nghỉ xong em về xem sao ss</v>
      </c>
      <c r="F162" s="12" t="str">
        <f>IFERROR(__xludf.DUMMYFUNCTION("""COMPUTED_VALUE"""),"CVHT01")</f>
        <v>CVHT01</v>
      </c>
      <c r="G162" s="86" t="s">
        <v>891</v>
      </c>
    </row>
    <row r="163">
      <c r="A163" s="12"/>
      <c r="B163" s="241">
        <f>IFERROR(__xludf.DUMMYFUNCTION("""COMPUTED_VALUE"""),46154.0)</f>
        <v>46154</v>
      </c>
      <c r="C163" s="12" t="str">
        <f>IFERROR(__xludf.DUMMYFUNCTION("""COMPUTED_VALUE"""),"10054875")</f>
        <v>10054875</v>
      </c>
      <c r="D163" s="12" t="str">
        <f>IFERROR(__xludf.DUMMYFUNCTION("""COMPUTED_VALUE"""),"Thanh Ngọc N3 CS")</f>
        <v>Thanh Ngọc N3 CS</v>
      </c>
      <c r="E163" s="102" t="str">
        <f>IFERROR(__xludf.DUMMYFUNCTION("""COMPUTED_VALUE"""),"bạn gửi mã zl mai chị quét bằng đt nhé ạ")</f>
        <v>bạn gửi mã zl mai chị quét bằng đt nhé ạ</v>
      </c>
      <c r="F163" s="12" t="str">
        <f>IFERROR(__xludf.DUMMYFUNCTION("""COMPUTED_VALUE"""),"CVHT01")</f>
        <v>CVHT01</v>
      </c>
      <c r="G163" s="86" t="s">
        <v>891</v>
      </c>
    </row>
    <row r="164">
      <c r="A164" s="12"/>
      <c r="B164" s="241">
        <f>IFERROR(__xludf.DUMMYFUNCTION("""COMPUTED_VALUE"""),46155.0)</f>
        <v>46155</v>
      </c>
      <c r="C164" s="12" t="str">
        <f>IFERROR(__xludf.DUMMYFUNCTION("""COMPUTED_VALUE"""),"427892607")</f>
        <v>427892607</v>
      </c>
      <c r="D164" s="12" t="str">
        <f>IFERROR(__xludf.DUMMYFUNCTION("""COMPUTED_VALUE"""),"Lê Quang Tín")</f>
        <v>Lê Quang Tín</v>
      </c>
      <c r="E164" s="102" t="str">
        <f>IFERROR(__xludf.DUMMYFUNCTION("""COMPUTED_VALUE"""),"bạn hỏi thông tin khóa học cấp tốc")</f>
        <v>bạn hỏi thông tin khóa học cấp tốc</v>
      </c>
      <c r="F164" s="12" t="str">
        <f>IFERROR(__xludf.DUMMYFUNCTION("""COMPUTED_VALUE"""),"CVHT01")</f>
        <v>CVHT01</v>
      </c>
      <c r="G164" s="86" t="s">
        <v>891</v>
      </c>
    </row>
    <row r="165">
      <c r="A165" s="12"/>
      <c r="B165" s="241">
        <f>IFERROR(__xludf.DUMMYFUNCTION("""COMPUTED_VALUE"""),46155.0)</f>
        <v>46155</v>
      </c>
      <c r="C165" s="12" t="str">
        <f>IFERROR(__xludf.DUMMYFUNCTION("""COMPUTED_VALUE"""),"427894554")</f>
        <v>427894554</v>
      </c>
      <c r="D165" s="12" t="str">
        <f>IFERROR(__xludf.DUMMYFUNCTION("""COMPUTED_VALUE"""),"Nguyễn Lê Minh")</f>
        <v>Nguyễn Lê Minh</v>
      </c>
      <c r="E165" s="102" t="str">
        <f>IFERROR(__xludf.DUMMYFUNCTION("""COMPUTED_VALUE"""),"Bạn vào hệ thống học hay bị lỗi không nhìn được hết slide")</f>
        <v>Bạn vào hệ thống học hay bị lỗi không nhìn được hết slide</v>
      </c>
      <c r="F165" s="12" t="str">
        <f>IFERROR(__xludf.DUMMYFUNCTION("""COMPUTED_VALUE"""),"CVHT01")</f>
        <v>CVHT01</v>
      </c>
      <c r="G165" s="86" t="s">
        <v>891</v>
      </c>
    </row>
    <row r="166">
      <c r="A166" s="12"/>
      <c r="B166" s="241">
        <f>IFERROR(__xludf.DUMMYFUNCTION("""COMPUTED_VALUE"""),46155.0)</f>
        <v>46155</v>
      </c>
      <c r="C166" s="12" t="str">
        <f>IFERROR(__xludf.DUMMYFUNCTION("""COMPUTED_VALUE"""),"GV410")</f>
        <v>GV410</v>
      </c>
      <c r="D166" s="12" t="str">
        <f>IFERROR(__xludf.DUMMYFUNCTION("""COMPUTED_VALUE"""),"Nguyễn Thị Anh ")</f>
        <v>Nguyễn Thị Anh </v>
      </c>
      <c r="E166" s="102" t="str">
        <f>IFERROR(__xludf.DUMMYFUNCTION("""COMPUTED_VALUE"""),"""Ngoài ra hệ thống của bên mình bị lỗi hay sao ấy. hôm qua và hôm nay em vào lớp trước và học sinh cũng vào trước giờ nhưng cả cô và trò đều không thấy nhau. đúng giờ mới nhìn thấy nhau nên nay cả em và Như đều vào sớm khoảng 10p mà không nhìn thấy nhau "&amp;"ạ""
")</f>
        <v>"Ngoài ra hệ thống của bên mình bị lỗi hay sao ấy. hôm qua và hôm nay em vào lớp trước và học sinh cũng vào trước giờ nhưng cả cô và trò đều không thấy nhau. đúng giờ mới nhìn thấy nhau nên nay cả em và Như đều vào sớm khoảng 10p mà không nhìn thấy nhau ạ"
</v>
      </c>
      <c r="F166" s="12" t="str">
        <f>IFERROR(__xludf.DUMMYFUNCTION("""COMPUTED_VALUE"""),"CVHT01")</f>
        <v>CVHT01</v>
      </c>
      <c r="G166" s="86" t="s">
        <v>891</v>
      </c>
    </row>
    <row r="167">
      <c r="A167" s="12"/>
      <c r="B167" s="241">
        <f>IFERROR(__xludf.DUMMYFUNCTION("""COMPUTED_VALUE"""),46155.0)</f>
        <v>46155</v>
      </c>
      <c r="C167" s="12" t="str">
        <f>IFERROR(__xludf.DUMMYFUNCTION("""COMPUTED_VALUE"""),"420283997")</f>
        <v>420283997</v>
      </c>
      <c r="D167" s="12" t="str">
        <f>IFERROR(__xludf.DUMMYFUNCTION("""COMPUTED_VALUE"""),"Nguyễn Mỹ Linh")</f>
        <v>Nguyễn Mỹ Linh</v>
      </c>
      <c r="E167" s="102" t="str">
        <f>IFERROR(__xludf.DUMMYFUNCTION("""COMPUTED_VALUE"""),"Bạn báo không muốn tiếp tục học lên khóa N2 ạ")</f>
        <v>Bạn báo không muốn tiếp tục học lên khóa N2 ạ</v>
      </c>
      <c r="F167" s="12" t="str">
        <f>IFERROR(__xludf.DUMMYFUNCTION("""COMPUTED_VALUE"""),"CVHT01")</f>
        <v>CVHT01</v>
      </c>
      <c r="G167" s="86" t="s">
        <v>891</v>
      </c>
    </row>
    <row r="168">
      <c r="A168" s="12"/>
      <c r="B168" s="241">
        <f>IFERROR(__xludf.DUMMYFUNCTION("""COMPUTED_VALUE"""),46155.0)</f>
        <v>46155</v>
      </c>
      <c r="C168" s="12" t="str">
        <f>IFERROR(__xludf.DUMMYFUNCTION("""COMPUTED_VALUE"""),"420272465")</f>
        <v>420272465</v>
      </c>
      <c r="D168" s="12" t="str">
        <f>IFERROR(__xludf.DUMMYFUNCTION("""COMPUTED_VALUE"""),"Nguyễn Duy Đắc")</f>
        <v>Nguyễn Duy Đắc</v>
      </c>
      <c r="E168" s="102" t="str">
        <f>IFERROR(__xludf.DUMMYFUNCTION("""COMPUTED_VALUE"""),"""Em muốn đăng ký học lên kaiwa7 luôn ạ.""")</f>
        <v>"Em muốn đăng ký học lên kaiwa7 luôn ạ."</v>
      </c>
      <c r="F168" s="12" t="str">
        <f>IFERROR(__xludf.DUMMYFUNCTION("""COMPUTED_VALUE"""),"CVHT01")</f>
        <v>CVHT01</v>
      </c>
      <c r="G168" s="86" t="s">
        <v>891</v>
      </c>
    </row>
    <row r="169">
      <c r="A169" s="12"/>
      <c r="B169" s="241">
        <f>IFERROR(__xludf.DUMMYFUNCTION("""COMPUTED_VALUE"""),46155.0)</f>
        <v>46155</v>
      </c>
      <c r="C169" s="12" t="str">
        <f>IFERROR(__xludf.DUMMYFUNCTION("""COMPUTED_VALUE"""),"10055102")</f>
        <v>10055102</v>
      </c>
      <c r="D169" s="12" t="str">
        <f>IFERROR(__xludf.DUMMYFUNCTION("""COMPUTED_VALUE"""),"Trần Tuệ Ân")</f>
        <v>Trần Tuệ Ân</v>
      </c>
      <c r="E169" s="102" t="str">
        <f>IFERROR(__xludf.DUMMYFUNCTION("""COMPUTED_VALUE"""),"các chị add thêm khóa N4 cho bạn ạ")</f>
        <v>các chị add thêm khóa N4 cho bạn ạ</v>
      </c>
      <c r="F169" s="12" t="str">
        <f>IFERROR(__xludf.DUMMYFUNCTION("""COMPUTED_VALUE"""),"CVHT01")</f>
        <v>CVHT01</v>
      </c>
      <c r="G169" s="86" t="s">
        <v>891</v>
      </c>
    </row>
    <row r="170">
      <c r="A170" s="12"/>
      <c r="B170" s="241">
        <f>IFERROR(__xludf.DUMMYFUNCTION("""COMPUTED_VALUE"""),46155.0)</f>
        <v>46155</v>
      </c>
      <c r="C170" s="12" t="str">
        <f>IFERROR(__xludf.DUMMYFUNCTION("""COMPUTED_VALUE"""),"GV487")</f>
        <v>GV487</v>
      </c>
      <c r="D170" s="12" t="str">
        <f>IFERROR(__xludf.DUMMYFUNCTION("""COMPUTED_VALUE"""),"Trần Phương Nam")</f>
        <v>Trần Phương Nam</v>
      </c>
      <c r="E170" s="102" t="str">
        <f>IFERROR(__xludf.DUMMYFUNCTION("""COMPUTED_VALUE"""),""" Chị ơi em đã hỏi bạn Thơm rồi, nhưng bạn ấy quyết định không học lên nữa ạ""
")</f>
        <v>" Chị ơi em đã hỏi bạn Thơm rồi, nhưng bạn ấy quyết định không học lên nữa ạ"
</v>
      </c>
      <c r="F170" s="12" t="str">
        <f>IFERROR(__xludf.DUMMYFUNCTION("""COMPUTED_VALUE"""),"CVHT01")</f>
        <v>CVHT01</v>
      </c>
      <c r="G170" s="86" t="s">
        <v>891</v>
      </c>
    </row>
    <row r="171">
      <c r="A171" s="12"/>
      <c r="B171" s="241">
        <f>IFERROR(__xludf.DUMMYFUNCTION("""COMPUTED_VALUE"""),46155.0)</f>
        <v>46155</v>
      </c>
      <c r="C171" s="12" t="str">
        <f>IFERROR(__xludf.DUMMYFUNCTION("""COMPUTED_VALUE"""),"10054313")</f>
        <v>10054313</v>
      </c>
      <c r="D171" s="12" t="str">
        <f>IFERROR(__xludf.DUMMYFUNCTION("""COMPUTED_VALUE"""),"Bùi Thúy Nga ")</f>
        <v>Bùi Thúy Nga </v>
      </c>
      <c r="E171" s="102" t="str">
        <f>IFERROR(__xludf.DUMMYFUNCTION("""COMPUTED_VALUE"""),"Bạn đã rep tin nhắn muốn tư vấn khóa học ạ")</f>
        <v>Bạn đã rep tin nhắn muốn tư vấn khóa học ạ</v>
      </c>
      <c r="F171" s="12" t="str">
        <f>IFERROR(__xludf.DUMMYFUNCTION("""COMPUTED_VALUE"""),"CVHT01")</f>
        <v>CVHT01</v>
      </c>
      <c r="G171" s="86" t="s">
        <v>891</v>
      </c>
    </row>
    <row r="172">
      <c r="A172" s="12"/>
      <c r="B172" s="241">
        <f>IFERROR(__xludf.DUMMYFUNCTION("""COMPUTED_VALUE"""),46156.0)</f>
        <v>46156</v>
      </c>
      <c r="C172" s="12" t="str">
        <f>IFERROR(__xludf.DUMMYFUNCTION("""COMPUTED_VALUE"""),"GV496")</f>
        <v>GV496</v>
      </c>
      <c r="D172" s="12" t="str">
        <f>IFERROR(__xludf.DUMMYFUNCTION("""COMPUTED_VALUE"""),"Võ Thị Thanh Lam K2")</f>
        <v>Võ Thị Thanh Lam K2</v>
      </c>
      <c r="E172" s="102" t="str">
        <f>IFERROR(__xludf.DUMMYFUNCTION("""COMPUTED_VALUE"""),"Với cả e chấm bài tập theo link nào ạ? Vì e chỉ mới nhận được barem chấm điểm thôi ạ.")</f>
        <v>Với cả e chấm bài tập theo link nào ạ? Vì e chỉ mới nhận được barem chấm điểm thôi ạ.</v>
      </c>
      <c r="F172" s="12" t="str">
        <f>IFERROR(__xludf.DUMMYFUNCTION("""COMPUTED_VALUE"""),"CVHT01")</f>
        <v>CVHT01</v>
      </c>
      <c r="G172" s="86" t="s">
        <v>891</v>
      </c>
    </row>
    <row r="173">
      <c r="A173" s="12"/>
      <c r="B173" s="241">
        <f>IFERROR(__xludf.DUMMYFUNCTION("""COMPUTED_VALUE"""),46157.0)</f>
        <v>46157</v>
      </c>
      <c r="C173" s="12" t="str">
        <f>IFERROR(__xludf.DUMMYFUNCTION("""COMPUTED_VALUE"""),"GV348")</f>
        <v>GV348</v>
      </c>
      <c r="D173" s="12" t="str">
        <f>IFERROR(__xludf.DUMMYFUNCTION("""COMPUTED_VALUE"""),"Tạ Thị Thắm")</f>
        <v>Tạ Thị Thắm</v>
      </c>
      <c r="E173" s="102" t="str">
        <f>IFERROR(__xludf.DUMMYFUNCTION("""COMPUTED_VALUE"""),"""mai chị gắn cho em tên bạn Hường lên file nha chị""")</f>
        <v>"mai chị gắn cho em tên bạn Hường lên file nha chị"</v>
      </c>
      <c r="F173" s="12" t="str">
        <f>IFERROR(__xludf.DUMMYFUNCTION("""COMPUTED_VALUE"""),"CVHT01")</f>
        <v>CVHT01</v>
      </c>
      <c r="G173" s="86" t="s">
        <v>891</v>
      </c>
    </row>
    <row r="174">
      <c r="A174" s="12"/>
      <c r="B174" s="241">
        <f>IFERROR(__xludf.DUMMYFUNCTION("""COMPUTED_VALUE"""),46157.0)</f>
        <v>46157</v>
      </c>
      <c r="C174" s="12" t="str">
        <f>IFERROR(__xludf.DUMMYFUNCTION("""COMPUTED_VALUE"""),"10054072")</f>
        <v>10054072</v>
      </c>
      <c r="D174" s="12" t="str">
        <f>IFERROR(__xludf.DUMMYFUNCTION("""COMPUTED_VALUE"""),"Phạm Văn Minh")</f>
        <v>Phạm Văn Minh</v>
      </c>
      <c r="E174" s="102" t="str">
        <f>IFERROR(__xludf.DUMMYFUNCTION("""COMPUTED_VALUE"""),"Bạn xin bảo lưu ạ")</f>
        <v>Bạn xin bảo lưu ạ</v>
      </c>
      <c r="F174" s="12" t="str">
        <f>IFERROR(__xludf.DUMMYFUNCTION("""COMPUTED_VALUE"""),"CVHT01")</f>
        <v>CVHT01</v>
      </c>
      <c r="G174" s="86" t="s">
        <v>891</v>
      </c>
    </row>
    <row r="175">
      <c r="A175" s="12"/>
      <c r="B175" s="241">
        <f>IFERROR(__xludf.DUMMYFUNCTION("""COMPUTED_VALUE"""),46157.0)</f>
        <v>46157</v>
      </c>
      <c r="C175" s="12" t="str">
        <f>IFERROR(__xludf.DUMMYFUNCTION("""COMPUTED_VALUE"""),"419976557")</f>
        <v>419976557</v>
      </c>
      <c r="D175" s="12" t="str">
        <f>IFERROR(__xludf.DUMMYFUNCTION("""COMPUTED_VALUE"""),"Nguyễn Anh Tài")</f>
        <v>Nguyễn Anh Tài</v>
      </c>
      <c r="E175" s="102" t="str">
        <f>IFERROR(__xludf.DUMMYFUNCTION("""COMPUTED_VALUE"""),""" em có thể xin trung tâm ngày 30 tháng 5 em gửi phần học phí còn lại được không ạ""")</f>
        <v>" em có thể xin trung tâm ngày 30 tháng 5 em gửi phần học phí còn lại được không ạ"</v>
      </c>
      <c r="F175" s="12" t="str">
        <f>IFERROR(__xludf.DUMMYFUNCTION("""COMPUTED_VALUE"""),"CVHT01")</f>
        <v>CVHT01</v>
      </c>
      <c r="G175" s="86" t="s">
        <v>891</v>
      </c>
    </row>
    <row r="176">
      <c r="A176" s="12"/>
      <c r="B176" s="241">
        <f>IFERROR(__xludf.DUMMYFUNCTION("""COMPUTED_VALUE"""),46158.0)</f>
        <v>46158</v>
      </c>
      <c r="C176" s="12" t="str">
        <f>IFERROR(__xludf.DUMMYFUNCTION("""COMPUTED_VALUE"""),"427895797")</f>
        <v>427895797</v>
      </c>
      <c r="D176" s="12" t="str">
        <f>IFERROR(__xludf.DUMMYFUNCTION("""COMPUTED_VALUE"""),"Vương Thị Kim Chi N4 ( 1:1)")</f>
        <v>Vương Thị Kim Chi N4 ( 1:1)</v>
      </c>
      <c r="E176" s="102" t="str">
        <f>IFERROR(__xludf.DUMMYFUNCTION("""COMPUTED_VALUE"""),"Thế ví dụ e làm xong bài ,chấm xong rồi , có xem lại được bài đã làm ko sensei . Hay là xong rồi là ko xem đc nữa ạ .")</f>
        <v>Thế ví dụ e làm xong bài ,chấm xong rồi , có xem lại được bài đã làm ko sensei . Hay là xong rồi là ko xem đc nữa ạ .</v>
      </c>
      <c r="F176" s="12" t="str">
        <f>IFERROR(__xludf.DUMMYFUNCTION("""COMPUTED_VALUE"""),"CVHT01")</f>
        <v>CVHT01</v>
      </c>
      <c r="G176" s="86" t="s">
        <v>891</v>
      </c>
    </row>
    <row r="177">
      <c r="A177" s="12"/>
      <c r="B177" s="241">
        <f>IFERROR(__xludf.DUMMYFUNCTION("""COMPUTED_VALUE"""),46160.0)</f>
        <v>46160</v>
      </c>
      <c r="C177" s="12" t="str">
        <f>IFERROR(__xludf.DUMMYFUNCTION("""COMPUTED_VALUE"""),"420290360")</f>
        <v>420290360</v>
      </c>
      <c r="D177" s="12" t="str">
        <f>IFERROR(__xludf.DUMMYFUNCTION("""COMPUTED_VALUE"""),"Lê Thị Cẩm Hân")</f>
        <v>Lê Thị Cẩm Hân</v>
      </c>
      <c r="E177" s="102" t="str">
        <f>IFERROR(__xludf.DUMMYFUNCTION("""COMPUTED_VALUE"""),"""Ss ơi. Cho em xin học video đến cuối tháng 5 ạ.""")</f>
        <v>"Ss ơi. Cho em xin học video đến cuối tháng 5 ạ."</v>
      </c>
      <c r="F177" s="12" t="str">
        <f>IFERROR(__xludf.DUMMYFUNCTION("""COMPUTED_VALUE"""),"CVHT01")</f>
        <v>CVHT01</v>
      </c>
      <c r="G177" s="86" t="s">
        <v>891</v>
      </c>
    </row>
    <row r="178">
      <c r="A178" s="12"/>
      <c r="B178" s="241">
        <f>IFERROR(__xludf.DUMMYFUNCTION("""COMPUTED_VALUE"""),46160.0)</f>
        <v>46160</v>
      </c>
      <c r="C178" s="12" t="str">
        <f>IFERROR(__xludf.DUMMYFUNCTION("""COMPUTED_VALUE"""),"420275369")</f>
        <v>420275369</v>
      </c>
      <c r="D178" s="12" t="str">
        <f>IFERROR(__xludf.DUMMYFUNCTION("""COMPUTED_VALUE"""),"PHẠM VĂN GIÁP")</f>
        <v>PHẠM VĂN GIÁP</v>
      </c>
      <c r="E178" s="102" t="str">
        <f>IFERROR(__xludf.DUMMYFUNCTION("""COMPUTED_VALUE"""),"""Ss cho e đăng ký lớp nhưng mà cho e xin cuối tháng e đóng học phí dc ko vì khi đó e gửi tiền về cho gđ rồi e đóng luôn dc ko ss
""")</f>
        <v>"Ss cho e đăng ký lớp nhưng mà cho e xin cuối tháng e đóng học phí dc ko vì khi đó e gửi tiền về cho gđ rồi e đóng luôn dc ko ss
"</v>
      </c>
      <c r="F178" s="12" t="str">
        <f>IFERROR(__xludf.DUMMYFUNCTION("""COMPUTED_VALUE"""),"CVHT01")</f>
        <v>CVHT01</v>
      </c>
      <c r="G178" s="86" t="s">
        <v>891</v>
      </c>
    </row>
    <row r="179">
      <c r="A179" s="12"/>
      <c r="B179" s="241">
        <f>IFERROR(__xludf.DUMMYFUNCTION("""COMPUTED_VALUE"""),46160.0)</f>
        <v>46160</v>
      </c>
      <c r="C179" s="12" t="str">
        <f>IFERROR(__xludf.DUMMYFUNCTION("""COMPUTED_VALUE"""),"427895643")</f>
        <v>427895643</v>
      </c>
      <c r="D179" s="12" t="str">
        <f>IFERROR(__xludf.DUMMYFUNCTION("""COMPUTED_VALUE"""),"Trần Quốc Huy")</f>
        <v>Trần Quốc Huy</v>
      </c>
      <c r="E179" s="102" t="str">
        <f>IFERROR(__xludf.DUMMYFUNCTION("""COMPUTED_VALUE"""),"""Kiểu trước em có đăng ký là học 15 buổi voi người việt xong học tiếp 15 buổi người nhật á sensei nhưng mà em còn kiểu hoie khó với em í sensei nên cho e học với cô ngọc luôn đến 30 buôit được k sensei""")</f>
        <v>"Kiểu trước em có đăng ký là học 15 buổi voi người việt xong học tiếp 15 buổi người nhật á sensei nhưng mà em còn kiểu hoie khó với em í sensei nên cho e học với cô ngọc luôn đến 30 buôit được k sensei"</v>
      </c>
      <c r="F179" s="12" t="str">
        <f>IFERROR(__xludf.DUMMYFUNCTION("""COMPUTED_VALUE"""),"CVHT01")</f>
        <v>CVHT01</v>
      </c>
      <c r="G179" s="86" t="s">
        <v>891</v>
      </c>
    </row>
    <row r="180">
      <c r="A180" s="12"/>
      <c r="B180" s="241">
        <f>IFERROR(__xludf.DUMMYFUNCTION("""COMPUTED_VALUE"""),46161.0)</f>
        <v>46161</v>
      </c>
      <c r="C180" s="12" t="str">
        <f>IFERROR(__xludf.DUMMYFUNCTION("""COMPUTED_VALUE"""),"420291162")</f>
        <v>420291162</v>
      </c>
      <c r="D180" s="12" t="str">
        <f>IFERROR(__xludf.DUMMYFUNCTION("""COMPUTED_VALUE"""),"Triệu Văn Vĩ")</f>
        <v>Triệu Văn Vĩ</v>
      </c>
      <c r="E180" s="102" t="str">
        <f>IFERROR(__xludf.DUMMYFUNCTION("""COMPUTED_VALUE"""),"Ss trao đổi với Diễm ss dùm em với ạ, Đầu tuần sau em có thể học lại đc ạ")</f>
        <v>Ss trao đổi với Diễm ss dùm em với ạ, Đầu tuần sau em có thể học lại đc ạ</v>
      </c>
      <c r="F180" s="12" t="str">
        <f>IFERROR(__xludf.DUMMYFUNCTION("""COMPUTED_VALUE"""),"CVHT01")</f>
        <v>CVHT01</v>
      </c>
      <c r="G180" s="86" t="s">
        <v>891</v>
      </c>
    </row>
    <row r="181">
      <c r="A181" s="12"/>
      <c r="B181" s="241">
        <f>IFERROR(__xludf.DUMMYFUNCTION("""COMPUTED_VALUE"""),46161.0)</f>
        <v>46161</v>
      </c>
      <c r="C181" s="12" t="str">
        <f>IFERROR(__xludf.DUMMYFUNCTION("""COMPUTED_VALUE"""),"420272465")</f>
        <v>420272465</v>
      </c>
      <c r="D181" s="12" t="str">
        <f>IFERROR(__xludf.DUMMYFUNCTION("""COMPUTED_VALUE"""),"Nguyễn Duy Đắc")</f>
        <v>Nguyễn Duy Đắc</v>
      </c>
      <c r="E181" s="102" t="str">
        <f>IFERROR(__xludf.DUMMYFUNCTION("""COMPUTED_VALUE"""),"chị kiểm tra lại khóa học cho bạn nha, tại hiện có một bài thui ạ")</f>
        <v>chị kiểm tra lại khóa học cho bạn nha, tại hiện có một bài thui ạ</v>
      </c>
      <c r="F181" s="12" t="str">
        <f>IFERROR(__xludf.DUMMYFUNCTION("""COMPUTED_VALUE"""),"CVHT01")</f>
        <v>CVHT01</v>
      </c>
      <c r="G181" s="86" t="s">
        <v>891</v>
      </c>
    </row>
    <row r="182">
      <c r="A182" s="12"/>
      <c r="B182" s="241">
        <f>IFERROR(__xludf.DUMMYFUNCTION("""COMPUTED_VALUE"""),46161.0)</f>
        <v>46161</v>
      </c>
      <c r="C182" s="12" t="str">
        <f>IFERROR(__xludf.DUMMYFUNCTION("""COMPUTED_VALUE"""),"10055062")</f>
        <v>10055062</v>
      </c>
      <c r="D182" s="12" t="str">
        <f>IFERROR(__xludf.DUMMYFUNCTION("""COMPUTED_VALUE"""),"Trần Quang Bảo N4N3")</f>
        <v>Trần Quang Bảo N4N3</v>
      </c>
      <c r="E182" s="102" t="str">
        <f>IFERROR(__xludf.DUMMYFUNCTION("""COMPUTED_VALUE"""),"Ss ơi ss có video nào về dùng trợ từ に không ạ lên n4 e hay bị dùng sai trợ từ に khi dịch câu e cũng hay bị dịch sai trợ từ に")</f>
        <v>Ss ơi ss có video nào về dùng trợ từ に không ạ lên n4 e hay bị dùng sai trợ từ に khi dịch câu e cũng hay bị dịch sai trợ từ に</v>
      </c>
      <c r="F182" s="12" t="str">
        <f>IFERROR(__xludf.DUMMYFUNCTION("""COMPUTED_VALUE"""),"CVHT01")</f>
        <v>CVHT01</v>
      </c>
      <c r="G182" s="86" t="s">
        <v>891</v>
      </c>
    </row>
    <row r="183">
      <c r="A183" s="12"/>
      <c r="B183" s="241">
        <f>IFERROR(__xludf.DUMMYFUNCTION("""COMPUTED_VALUE"""),46161.0)</f>
        <v>46161</v>
      </c>
      <c r="C183" s="12" t="str">
        <f>IFERROR(__xludf.DUMMYFUNCTION("""COMPUTED_VALUE"""),"10054391")</f>
        <v>10054391</v>
      </c>
      <c r="D183" s="12" t="str">
        <f>IFERROR(__xludf.DUMMYFUNCTION("""COMPUTED_VALUE"""),"Nguyễn Văn Đan Trường")</f>
        <v>Nguyễn Văn Đan Trường</v>
      </c>
      <c r="E183" s="102" t="str">
        <f>IFERROR(__xludf.DUMMYFUNCTION("""COMPUTED_VALUE"""),"bạn báo lỗi tài liệu ạ")</f>
        <v>bạn báo lỗi tài liệu ạ</v>
      </c>
      <c r="F183" s="12" t="str">
        <f>IFERROR(__xludf.DUMMYFUNCTION("""COMPUTED_VALUE"""),"CVHT01")</f>
        <v>CVHT01</v>
      </c>
      <c r="G183" s="86" t="s">
        <v>891</v>
      </c>
    </row>
    <row r="184">
      <c r="A184" s="12"/>
      <c r="B184" s="241">
        <f>IFERROR(__xludf.DUMMYFUNCTION("""COMPUTED_VALUE"""),46163.0)</f>
        <v>46163</v>
      </c>
      <c r="C184" s="12" t="str">
        <f>IFERROR(__xludf.DUMMYFUNCTION("""COMPUTED_VALUE"""),"GV501 ")</f>
        <v>GV501 </v>
      </c>
      <c r="D184" s="12" t="str">
        <f>IFERROR(__xludf.DUMMYFUNCTION("""COMPUTED_VALUE"""),"Nguyễn Thị Ngọc Hiền K2")</f>
        <v>Nguyễn Thị Ngọc Hiền K2</v>
      </c>
      <c r="E184" s="102" t="str">
        <f>IFERROR(__xludf.DUMMYFUNCTION("""COMPUTED_VALUE"""),"Tài liệu của lớp prekaiwa2 trên hệ thống bị sai một chút ở bảng chữ cái, có hai hàng な　và bị thiếu hàng は ý ạ.")</f>
        <v>Tài liệu của lớp prekaiwa2 trên hệ thống bị sai một chút ở bảng chữ cái, có hai hàng な　và bị thiếu hàng は ý ạ.</v>
      </c>
      <c r="F184" s="12" t="str">
        <f>IFERROR(__xludf.DUMMYFUNCTION("""COMPUTED_VALUE"""),"CVHT01")</f>
        <v>CVHT01</v>
      </c>
      <c r="G184" s="86" t="s">
        <v>891</v>
      </c>
    </row>
    <row r="185">
      <c r="A185" s="12"/>
      <c r="B185" s="241">
        <f>IFERROR(__xludf.DUMMYFUNCTION("""COMPUTED_VALUE"""),46163.0)</f>
        <v>46163</v>
      </c>
      <c r="C185" s="12" t="str">
        <f>IFERROR(__xludf.DUMMYFUNCTION("""COMPUTED_VALUE"""),"420290184")</f>
        <v>420290184</v>
      </c>
      <c r="D185" s="12" t="str">
        <f>IFERROR(__xludf.DUMMYFUNCTION("""COMPUTED_VALUE"""),"Lưu Văn Thời N3")</f>
        <v>Lưu Văn Thời N3</v>
      </c>
      <c r="E185" s="102" t="str">
        <f>IFERROR(__xludf.DUMMYFUNCTION("""COMPUTED_VALUE"""),"bạn báo bài nghe của bạn bị lỗi tiếng ạ")</f>
        <v>bạn báo bài nghe của bạn bị lỗi tiếng ạ</v>
      </c>
      <c r="F185" s="12" t="str">
        <f>IFERROR(__xludf.DUMMYFUNCTION("""COMPUTED_VALUE"""),"CVHT01")</f>
        <v>CVHT01</v>
      </c>
      <c r="G185" s="86" t="s">
        <v>891</v>
      </c>
    </row>
    <row r="186">
      <c r="A186" s="12"/>
      <c r="B186" s="241">
        <f>IFERROR(__xludf.DUMMYFUNCTION("""COMPUTED_VALUE"""),46163.0)</f>
        <v>46163</v>
      </c>
      <c r="C186" s="12" t="str">
        <f>IFERROR(__xludf.DUMMYFUNCTION("""COMPUTED_VALUE"""),"10054200")</f>
        <v>10054200</v>
      </c>
      <c r="D186" s="12" t="str">
        <f>IFERROR(__xludf.DUMMYFUNCTION("""COMPUTED_VALUE"""),"Phan Thị Tuyết Phương JLPT N4")</f>
        <v>Phan Thị Tuyết Phương JLPT N4</v>
      </c>
      <c r="E186" s="102" t="str">
        <f>IFERROR(__xludf.DUMMYFUNCTION("""COMPUTED_VALUE"""),"em nghĩ trung tâm nên có thêm phần giải thích tiếng việt phía dưới. Chỉ đưa đáp án chung chung em ko hiểu, bạn muốn thêm phần giải thích ạ")</f>
        <v>em nghĩ trung tâm nên có thêm phần giải thích tiếng việt phía dưới. Chỉ đưa đáp án chung chung em ko hiểu, bạn muốn thêm phần giải thích ạ</v>
      </c>
      <c r="F186" s="12" t="str">
        <f>IFERROR(__xludf.DUMMYFUNCTION("""COMPUTED_VALUE"""),"CVHT01")</f>
        <v>CVHT01</v>
      </c>
      <c r="G186" s="86" t="s">
        <v>891</v>
      </c>
    </row>
    <row r="187">
      <c r="A187" s="12"/>
      <c r="B187" s="241">
        <f>IFERROR(__xludf.DUMMYFUNCTION("""COMPUTED_VALUE"""),46163.0)</f>
        <v>46163</v>
      </c>
      <c r="C187" s="12" t="str">
        <f>IFERROR(__xludf.DUMMYFUNCTION("""COMPUTED_VALUE"""),"427896204")</f>
        <v>427896204</v>
      </c>
      <c r="D187" s="12" t="str">
        <f>IFERROR(__xludf.DUMMYFUNCTION("""COMPUTED_VALUE"""),"Kim Đa Ri")</f>
        <v>Kim Đa Ri</v>
      </c>
      <c r="E187" s="102" t="str">
        <f>IFERROR(__xludf.DUMMYFUNCTION("""COMPUTED_VALUE"""),"Ss ơi.. có thể cho em đổi khóa kaiwa này chuyển sang học jlpt N3 được không ạ🥲")</f>
        <v>Ss ơi.. có thể cho em đổi khóa kaiwa này chuyển sang học jlpt N3 được không ạ🥲</v>
      </c>
      <c r="F187" s="12" t="str">
        <f>IFERROR(__xludf.DUMMYFUNCTION("""COMPUTED_VALUE"""),"CVHT01")</f>
        <v>CVHT01</v>
      </c>
      <c r="G187" s="86" t="s">
        <v>891</v>
      </c>
    </row>
    <row r="188">
      <c r="A188" s="12"/>
      <c r="B188" s="241">
        <f>IFERROR(__xludf.DUMMYFUNCTION("""COMPUTED_VALUE"""),46163.0)</f>
        <v>46163</v>
      </c>
      <c r="C188" s="12" t="str">
        <f>IFERROR(__xludf.DUMMYFUNCTION("""COMPUTED_VALUE"""),"10054831")</f>
        <v>10054831</v>
      </c>
      <c r="D188" s="12" t="str">
        <f>IFERROR(__xludf.DUMMYFUNCTION("""COMPUTED_VALUE"""),"Nguyễn Quang Vũ N4N3")</f>
        <v>Nguyễn Quang Vũ N4N3</v>
      </c>
      <c r="E188" s="102" t="str">
        <f>IFERROR(__xludf.DUMMYFUNCTION("""COMPUTED_VALUE"""),"Bạn muốn có thêm tài liệu kanji để học ạ")</f>
        <v>Bạn muốn có thêm tài liệu kanji để học ạ</v>
      </c>
      <c r="F188" s="12" t="str">
        <f>IFERROR(__xludf.DUMMYFUNCTION("""COMPUTED_VALUE"""),"CVHT01")</f>
        <v>CVHT01</v>
      </c>
      <c r="G188" s="86" t="s">
        <v>891</v>
      </c>
    </row>
    <row r="189">
      <c r="A189" s="12"/>
      <c r="B189" s="241">
        <f>IFERROR(__xludf.DUMMYFUNCTION("""COMPUTED_VALUE"""),46164.0)</f>
        <v>46164</v>
      </c>
      <c r="C189" s="12" t="str">
        <f>IFERROR(__xludf.DUMMYFUNCTION("""COMPUTED_VALUE"""),"420290575")</f>
        <v>420290575</v>
      </c>
      <c r="D189" s="12" t="str">
        <f>IFERROR(__xludf.DUMMYFUNCTION("""COMPUTED_VALUE"""),"Đào Xuân Trường")</f>
        <v>Đào Xuân Trường</v>
      </c>
      <c r="E189" s="102" t="str">
        <f>IFERROR(__xludf.DUMMYFUNCTION("""COMPUTED_VALUE"""),"""Lúc trước khi học Kaiwa 1, vì trình độ của em cao hơn một chút nên để kịp phỏng vấn đơn hàng em đã được học vượt nhanh hơn.
Cho em hỏi phần nội dung đã bỏ qua lúc đó thì sau này em có thể được học bù lại theo kiểu buổi nói chuyện/luyện kaiwa bình thườn"&amp;"g không ạ?""")</f>
        <v>"Lúc trước khi học Kaiwa 1, vì trình độ của em cao hơn một chút nên để kịp phỏng vấn đơn hàng em đã được học vượt nhanh hơn.
Cho em hỏi phần nội dung đã bỏ qua lúc đó thì sau này em có thể được học bù lại theo kiểu buổi nói chuyện/luyện kaiwa bình thường không ạ?"</v>
      </c>
      <c r="F189" s="12" t="str">
        <f>IFERROR(__xludf.DUMMYFUNCTION("""COMPUTED_VALUE"""),"CVHT01")</f>
        <v>CVHT01</v>
      </c>
    </row>
    <row r="190">
      <c r="A190" s="12"/>
      <c r="B190" s="241">
        <f>IFERROR(__xludf.DUMMYFUNCTION("""COMPUTED_VALUE"""),46164.0)</f>
        <v>46164</v>
      </c>
      <c r="C190" s="12" t="str">
        <f>IFERROR(__xludf.DUMMYFUNCTION("""COMPUTED_VALUE"""),"427892411")</f>
        <v>427892411</v>
      </c>
      <c r="D190" s="12" t="str">
        <f>IFERROR(__xludf.DUMMYFUNCTION("""COMPUTED_VALUE"""),"Vi Yến Hoa")</f>
        <v>Vi Yến Hoa</v>
      </c>
      <c r="E190" s="102" t="str">
        <f>IFERROR(__xludf.DUMMYFUNCTION("""COMPUTED_VALUE"""),"Bạn rep lại không muốn học lên kaiwa 5 nữa ạ")</f>
        <v>Bạn rep lại không muốn học lên kaiwa 5 nữa ạ</v>
      </c>
      <c r="F190" s="12" t="str">
        <f>IFERROR(__xludf.DUMMYFUNCTION("""COMPUTED_VALUE"""),"CVHT01")</f>
        <v>CVHT01</v>
      </c>
    </row>
    <row r="191">
      <c r="A191" s="12"/>
      <c r="B191" s="241">
        <f>IFERROR(__xludf.DUMMYFUNCTION("""COMPUTED_VALUE"""),46165.0)</f>
        <v>46165</v>
      </c>
      <c r="C191" s="12" t="str">
        <f>IFERROR(__xludf.DUMMYFUNCTION("""COMPUTED_VALUE"""),"GV425 ")</f>
        <v>GV425 </v>
      </c>
      <c r="D191" s="12" t="str">
        <f>IFERROR(__xludf.DUMMYFUNCTION("""COMPUTED_VALUE"""),"Trần Thị Ngọc Thủy")</f>
        <v>Trần Thị Ngọc Thủy</v>
      </c>
      <c r="E191" s="102" t="str">
        <f>IFERROR(__xludf.DUMMYFUNCTION("""COMPUTED_VALUE"""),"chị check tin nhắn của cô nhé ạ")</f>
        <v>chị check tin nhắn của cô nhé ạ</v>
      </c>
      <c r="F191" s="12" t="str">
        <f>IFERROR(__xludf.DUMMYFUNCTION("""COMPUTED_VALUE"""),"CVHT01")</f>
        <v>CVHT01</v>
      </c>
    </row>
    <row r="192">
      <c r="A192" s="12"/>
      <c r="B192" s="241">
        <f>IFERROR(__xludf.DUMMYFUNCTION("""COMPUTED_VALUE"""),46165.0)</f>
        <v>46165</v>
      </c>
      <c r="C192" s="12" t="str">
        <f>IFERROR(__xludf.DUMMYFUNCTION("""COMPUTED_VALUE"""),"GV501 ")</f>
        <v>GV501 </v>
      </c>
      <c r="D192" s="12" t="str">
        <f>IFERROR(__xludf.DUMMYFUNCTION("""COMPUTED_VALUE"""),"Nguyễn Thị Ngọc Hiền K2")</f>
        <v>Nguyễn Thị Ngọc Hiền K2</v>
      </c>
      <c r="E192" s="102" t="str">
        <f>IFERROR(__xludf.DUMMYFUNCTION("""COMPUTED_VALUE"""),"Slide bài 2 trên hệ thống cũng có lỗi ở bảng chữ cái ạ.")</f>
        <v>Slide bài 2 trên hệ thống cũng có lỗi ở bảng chữ cái ạ.</v>
      </c>
      <c r="F192" s="12" t="str">
        <f>IFERROR(__xludf.DUMMYFUNCTION("""COMPUTED_VALUE"""),"CVHT01")</f>
        <v>CVHT01</v>
      </c>
    </row>
    <row r="193">
      <c r="A193" s="12"/>
      <c r="B193" s="241">
        <f>IFERROR(__xludf.DUMMYFUNCTION("""COMPUTED_VALUE"""),46165.0)</f>
        <v>46165</v>
      </c>
      <c r="C193" s="12" t="str">
        <f>IFERROR(__xludf.DUMMYFUNCTION("""COMPUTED_VALUE"""),"427896671 ")</f>
        <v>427896671 </v>
      </c>
      <c r="D193" s="12" t="str">
        <f>IFERROR(__xludf.DUMMYFUNCTION("""COMPUTED_VALUE"""),"Nguyễn Quang Trung")</f>
        <v>Nguyễn Quang Trung</v>
      </c>
      <c r="E193" s="102" t="str">
        <f>IFERROR(__xludf.DUMMYFUNCTION("""COMPUTED_VALUE"""),"lịch học theo đổi theo lịch làm ạ")</f>
        <v>lịch học theo đổi theo lịch làm ạ</v>
      </c>
      <c r="F193" s="12" t="str">
        <f>IFERROR(__xludf.DUMMYFUNCTION("""COMPUTED_VALUE"""),"CVHT01")</f>
        <v>CVHT01</v>
      </c>
    </row>
    <row r="194">
      <c r="A194" s="12"/>
      <c r="B194" s="241">
        <f>IFERROR(__xludf.DUMMYFUNCTION("""COMPUTED_VALUE"""),46165.0)</f>
        <v>46165</v>
      </c>
      <c r="C194" s="12" t="str">
        <f>IFERROR(__xludf.DUMMYFUNCTION("""COMPUTED_VALUE"""),"427896671 ")</f>
        <v>427896671 </v>
      </c>
      <c r="D194" s="12" t="str">
        <f>IFERROR(__xludf.DUMMYFUNCTION("""COMPUTED_VALUE"""),"Nguyễn Quang Trung")</f>
        <v>Nguyễn Quang Trung</v>
      </c>
      <c r="E194" s="102" t="str">
        <f>IFERROR(__xludf.DUMMYFUNCTION("""COMPUTED_VALUE"""),"Vs mấy bài đâu e muốn kaiwa chủ đề phong vấn ạ, tại e sắp đi xin việc nên muốn luyện ạ, bạn xin tài liệu ạ")</f>
        <v>Vs mấy bài đâu e muốn kaiwa chủ đề phong vấn ạ, tại e sắp đi xin việc nên muốn luyện ạ, bạn xin tài liệu ạ</v>
      </c>
      <c r="F194" s="12" t="str">
        <f>IFERROR(__xludf.DUMMYFUNCTION("""COMPUTED_VALUE"""),"CVHT01")</f>
        <v>CVHT01</v>
      </c>
    </row>
    <row r="195">
      <c r="A195" s="12"/>
      <c r="B195" s="241">
        <f>IFERROR(__xludf.DUMMYFUNCTION("""COMPUTED_VALUE"""),46165.0)</f>
        <v>46165</v>
      </c>
      <c r="C195" s="12" t="str">
        <f>IFERROR(__xludf.DUMMYFUNCTION("""COMPUTED_VALUE"""),"GV501 ")</f>
        <v>GV501 </v>
      </c>
      <c r="D195" s="12" t="str">
        <f>IFERROR(__xludf.DUMMYFUNCTION("""COMPUTED_VALUE"""),"Nguyễn Thị Ngọc Hiền K2")</f>
        <v>Nguyễn Thị Ngọc Hiền K2</v>
      </c>
      <c r="E195" s="102" t="str">
        <f>IFERROR(__xludf.DUMMYFUNCTION("""COMPUTED_VALUE"""),"phần báo cáo của bạn Chi em lỡ ấn nhầm nên nó không còn hiện trên hệ thống nữa nhờ chị hỗ trợ em với nhé")</f>
        <v>phần báo cáo của bạn Chi em lỡ ấn nhầm nên nó không còn hiện trên hệ thống nữa nhờ chị hỗ trợ em với nhé</v>
      </c>
      <c r="F195" s="12" t="str">
        <f>IFERROR(__xludf.DUMMYFUNCTION("""COMPUTED_VALUE"""),"CVHT01")</f>
        <v>CVHT01</v>
      </c>
      <c r="G195" s="86" t="s">
        <v>891</v>
      </c>
    </row>
    <row r="196">
      <c r="A196" s="12"/>
      <c r="B196" s="241">
        <f>IFERROR(__xludf.DUMMYFUNCTION("""COMPUTED_VALUE"""),46165.0)</f>
        <v>46165</v>
      </c>
      <c r="C196" s="12" t="str">
        <f>IFERROR(__xludf.DUMMYFUNCTION("""COMPUTED_VALUE"""),"427895575")</f>
        <v>427895575</v>
      </c>
      <c r="D196" s="12" t="str">
        <f>IFERROR(__xludf.DUMMYFUNCTION("""COMPUTED_VALUE"""),"Phan Anh Tuấn JLPT N3 CBCS")</f>
        <v>Phan Anh Tuấn JLPT N3 CBCS</v>
      </c>
      <c r="E196" s="102" t="str">
        <f>IFERROR(__xludf.DUMMYFUNCTION("""COMPUTED_VALUE"""),"Chị đọc tin nhắn của bạn bên Line nhé ạ, bạn phàn nàn về vấn đề kanji N3 và học từ kiểm tra từ mới mất nhiều thời gian ạ")</f>
        <v>Chị đọc tin nhắn của bạn bên Line nhé ạ, bạn phàn nàn về vấn đề kanji N3 và học từ kiểm tra từ mới mất nhiều thời gian ạ</v>
      </c>
      <c r="F196" s="12" t="str">
        <f>IFERROR(__xludf.DUMMYFUNCTION("""COMPUTED_VALUE"""),"CVHT01")</f>
        <v>CVHT01</v>
      </c>
    </row>
    <row r="197">
      <c r="A197" s="12"/>
      <c r="B197" s="241">
        <f>IFERROR(__xludf.DUMMYFUNCTION("""COMPUTED_VALUE"""),46168.0)</f>
        <v>46168</v>
      </c>
      <c r="C197" s="12" t="str">
        <f>IFERROR(__xludf.DUMMYFUNCTION("""COMPUTED_VALUE"""),"427895570")</f>
        <v>427895570</v>
      </c>
      <c r="D197" s="12" t="str">
        <f>IFERROR(__xludf.DUMMYFUNCTION("""COMPUTED_VALUE"""),"Vũ Đình Bính")</f>
        <v>Vũ Đình Bính</v>
      </c>
      <c r="E197" s="102" t="str">
        <f>IFERROR(__xludf.DUMMYFUNCTION("""COMPUTED_VALUE"""),"bài tập vẫn bị lỗi ạ")</f>
        <v>bài tập vẫn bị lỗi ạ</v>
      </c>
      <c r="F197" s="12" t="str">
        <f>IFERROR(__xludf.DUMMYFUNCTION("""COMPUTED_VALUE"""),"CVHT01")</f>
        <v>CVHT01</v>
      </c>
      <c r="G197" s="86" t="s">
        <v>891</v>
      </c>
    </row>
    <row r="198">
      <c r="A198" s="12"/>
      <c r="B198" s="241">
        <f>IFERROR(__xludf.DUMMYFUNCTION("""COMPUTED_VALUE"""),46168.0)</f>
        <v>46168</v>
      </c>
      <c r="C198" s="12" t="str">
        <f>IFERROR(__xludf.DUMMYFUNCTION("""COMPUTED_VALUE"""),"GV501")</f>
        <v>GV501</v>
      </c>
      <c r="D198" s="12" t="str">
        <f>IFERROR(__xludf.DUMMYFUNCTION("""COMPUTED_VALUE""")," Nguyễn Thị Ngọc Hiền K2")</f>
        <v> Nguyễn Thị Ngọc Hiền K2</v>
      </c>
      <c r="E198" s="102" t="str">
        <f>IFERROR(__xludf.DUMMYFUNCTION("""COMPUTED_VALUE"""),"Em thấy ở bảnng này khung giờ bị trùng nhau không biết có ảnh hưởng gì không ạ")</f>
        <v>Em thấy ở bảnng này khung giờ bị trùng nhau không biết có ảnh hưởng gì không ạ</v>
      </c>
      <c r="F198" s="12" t="str">
        <f>IFERROR(__xludf.DUMMYFUNCTION("""COMPUTED_VALUE"""),"CVHT01")</f>
        <v>CVHT01</v>
      </c>
      <c r="G198" s="86" t="s">
        <v>891</v>
      </c>
    </row>
    <row r="199">
      <c r="A199" s="12"/>
      <c r="B199" s="241">
        <f>IFERROR(__xludf.DUMMYFUNCTION("""COMPUTED_VALUE"""),46168.0)</f>
        <v>46168</v>
      </c>
      <c r="C199" s="12" t="str">
        <f>IFERROR(__xludf.DUMMYFUNCTION("""COMPUTED_VALUE"""),"GV382")</f>
        <v>GV382</v>
      </c>
      <c r="D199" s="12" t="str">
        <f>IFERROR(__xludf.DUMMYFUNCTION("""COMPUTED_VALUE""")," Tạ Thị Hiền K3")</f>
        <v> Tạ Thị Hiền K3</v>
      </c>
      <c r="E199" s="102" t="str">
        <f>IFERROR(__xludf.DUMMYFUNCTION("""COMPUTED_VALUE"""),"bạn Thưởng có mong muốn là phần topic sẽ k nois topic mà sẽ chuyển sang nói hội thoại, em thì k vấn đề gì ạ , nhưng e muốn hỏi các chị nếu như vậy thì có ảnh hưởng gì đến slide bài giảng của trung tâm k ạ")</f>
        <v>bạn Thưởng có mong muốn là phần topic sẽ k nois topic mà sẽ chuyển sang nói hội thoại, em thì k vấn đề gì ạ , nhưng e muốn hỏi các chị nếu như vậy thì có ảnh hưởng gì đến slide bài giảng của trung tâm k ạ</v>
      </c>
      <c r="F199" s="12" t="str">
        <f>IFERROR(__xludf.DUMMYFUNCTION("""COMPUTED_VALUE"""),"CVHT01")</f>
        <v>CVHT01</v>
      </c>
      <c r="G199" s="86" t="s">
        <v>891</v>
      </c>
    </row>
    <row r="200">
      <c r="A200" s="12"/>
      <c r="B200" s="241">
        <f>IFERROR(__xludf.DUMMYFUNCTION("""COMPUTED_VALUE"""),46169.0)</f>
        <v>46169</v>
      </c>
      <c r="C200" s="12" t="str">
        <f>IFERROR(__xludf.DUMMYFUNCTION("""COMPUTED_VALUE"""),"GV492 ")</f>
        <v>GV492 </v>
      </c>
      <c r="D200" s="12" t="str">
        <f>IFERROR(__xludf.DUMMYFUNCTION("""COMPUTED_VALUE"""),"Phùng Thị Thuý Hằng K2")</f>
        <v>Phùng Thị Thuý Hằng K2</v>
      </c>
      <c r="E200" s="102" t="str">
        <f>IFERROR(__xludf.DUMMYFUNCTION("""COMPUTED_VALUE"""),"""Link nghe bài 9 kaiwa2 Bị sai ạ"", ""Bài 8 thì bài nghe ý nghe từ bài 2 rồi"" ")</f>
        <v>"Link nghe bài 9 kaiwa2 Bị sai ạ", "Bài 8 thì bài nghe ý nghe từ bài 2 rồi" </v>
      </c>
      <c r="F200" s="12" t="str">
        <f>IFERROR(__xludf.DUMMYFUNCTION("""COMPUTED_VALUE"""),"CVHT01")</f>
        <v>CVHT01</v>
      </c>
      <c r="G200" s="86" t="s">
        <v>891</v>
      </c>
    </row>
    <row r="201">
      <c r="A201" s="12"/>
      <c r="B201" s="241">
        <f>IFERROR(__xludf.DUMMYFUNCTION("""COMPUTED_VALUE"""),46169.0)</f>
        <v>46169</v>
      </c>
      <c r="C201" s="12" t="str">
        <f>IFERROR(__xludf.DUMMYFUNCTION("""COMPUTED_VALUE"""),"427896213")</f>
        <v>427896213</v>
      </c>
      <c r="D201" s="12" t="str">
        <f>IFERROR(__xludf.DUMMYFUNCTION("""COMPUTED_VALUE"""),"Lê Văn Hoài")</f>
        <v>Lê Văn Hoài</v>
      </c>
      <c r="E201" s="102" t="str">
        <f>IFERROR(__xludf.DUMMYFUNCTION("""COMPUTED_VALUE"""),"""ss em muốn học kaiwa một buổi á""")</f>
        <v>"ss em muốn học kaiwa một buổi á"</v>
      </c>
      <c r="F201" s="12" t="str">
        <f>IFERROR(__xludf.DUMMYFUNCTION("""COMPUTED_VALUE"""),"CVHT01")</f>
        <v>CVHT01</v>
      </c>
      <c r="G201" s="86" t="s">
        <v>891</v>
      </c>
    </row>
    <row r="202">
      <c r="A202" s="12"/>
      <c r="B202" s="241">
        <f>IFERROR(__xludf.DUMMYFUNCTION("""COMPUTED_VALUE"""),46169.0)</f>
        <v>46169</v>
      </c>
      <c r="C202" s="12" t="str">
        <f>IFERROR(__xludf.DUMMYFUNCTION("""COMPUTED_VALUE"""),"10054391")</f>
        <v>10054391</v>
      </c>
      <c r="D202" s="12" t="str">
        <f>IFERROR(__xludf.DUMMYFUNCTION("""COMPUTED_VALUE"""),"Nguyễn Văn Đan Trường")</f>
        <v>Nguyễn Văn Đan Trường</v>
      </c>
      <c r="E202" s="102" t="str">
        <f>IFERROR(__xludf.DUMMYFUNCTION("""COMPUTED_VALUE"""),"""dạ ý em là đề (đề thi) em làm qua câu cái bấm quay lại xem là đáp án tự động mất hết á sensei. em phải làm lại hiii""")</f>
        <v>"dạ ý em là đề (đề thi) em làm qua câu cái bấm quay lại xem là đáp án tự động mất hết á sensei. em phải làm lại hiii"</v>
      </c>
      <c r="F202" s="12" t="str">
        <f>IFERROR(__xludf.DUMMYFUNCTION("""COMPUTED_VALUE"""),"CVHT01")</f>
        <v>CVHT01</v>
      </c>
      <c r="G202" s="86" t="s">
        <v>891</v>
      </c>
    </row>
    <row r="203">
      <c r="A203" s="12"/>
      <c r="B203" s="241">
        <f>IFERROR(__xludf.DUMMYFUNCTION("""COMPUTED_VALUE"""),46170.0)</f>
        <v>46170</v>
      </c>
      <c r="C203" s="12" t="str">
        <f>IFERROR(__xludf.DUMMYFUNCTION("""COMPUTED_VALUE"""),"427896480")</f>
        <v>427896480</v>
      </c>
      <c r="D203" s="12" t="str">
        <f>IFERROR(__xludf.DUMMYFUNCTION("""COMPUTED_VALUE"""),"Trần Thúy Hằng")</f>
        <v>Trần Thúy Hằng</v>
      </c>
      <c r="E203" s="102" t="str">
        <f>IFERROR(__xludf.DUMMYFUNCTION("""COMPUTED_VALUE"""),"E muốn đổi giáo viên ạ, Giáo viên này e nghe kịp nhưng nói nhanh quá e chưa kịp hỏi luôn ý")</f>
        <v>E muốn đổi giáo viên ạ, Giáo viên này e nghe kịp nhưng nói nhanh quá e chưa kịp hỏi luôn ý</v>
      </c>
      <c r="F203" s="12" t="str">
        <f>IFERROR(__xludf.DUMMYFUNCTION("""COMPUTED_VALUE"""),"CVHT01")</f>
        <v>CVHT01</v>
      </c>
      <c r="G203" s="86" t="s">
        <v>891</v>
      </c>
    </row>
    <row r="204">
      <c r="A204" s="12"/>
      <c r="B204" s="241">
        <f>IFERROR(__xludf.DUMMYFUNCTION("""COMPUTED_VALUE"""),46170.0)</f>
        <v>46170</v>
      </c>
      <c r="C204" s="12" t="str">
        <f>IFERROR(__xludf.DUMMYFUNCTION("""COMPUTED_VALUE"""),"10054562")</f>
        <v>10054562</v>
      </c>
      <c r="D204" s="12" t="str">
        <f>IFERROR(__xludf.DUMMYFUNCTION("""COMPUTED_VALUE""")," Phạm Thị Thơm N4")</f>
        <v> Phạm Thị Thơm N4</v>
      </c>
      <c r="E204" s="102" t="str">
        <f>IFERROR(__xludf.DUMMYFUNCTION("""COMPUTED_VALUE"""),"dạo này e lm đêm nên k vào học dc ạ")</f>
        <v>dạo này e lm đêm nên k vào học dc ạ</v>
      </c>
      <c r="F204" s="12" t="str">
        <f>IFERROR(__xludf.DUMMYFUNCTION("""COMPUTED_VALUE"""),"CVHT01")</f>
        <v>CVHT01</v>
      </c>
      <c r="G204" s="86" t="s">
        <v>891</v>
      </c>
    </row>
    <row r="205">
      <c r="A205" s="12"/>
      <c r="B205" s="241">
        <f>IFERROR(__xludf.DUMMYFUNCTION("""COMPUTED_VALUE"""),46170.0)</f>
        <v>46170</v>
      </c>
      <c r="C205" s="12" t="str">
        <f>IFERROR(__xludf.DUMMYFUNCTION("""COMPUTED_VALUE"""),"427893285")</f>
        <v>427893285</v>
      </c>
      <c r="D205" s="12" t="str">
        <f>IFERROR(__xludf.DUMMYFUNCTION("""COMPUTED_VALUE"""),"Nguyễn Thị Hoa JLPT N5")</f>
        <v>Nguyễn Thị Hoa JLPT N5</v>
      </c>
      <c r="E205" s="102" t="str">
        <f>IFERROR(__xludf.DUMMYFUNCTION("""COMPUTED_VALUE"""),"Từ bài 11 e thấy khó ạ, Bài 12 cấu trúc e vẫn chưa hiểu rõ")</f>
        <v>Từ bài 11 e thấy khó ạ, Bài 12 cấu trúc e vẫn chưa hiểu rõ</v>
      </c>
      <c r="F205" s="12" t="str">
        <f>IFERROR(__xludf.DUMMYFUNCTION("""COMPUTED_VALUE"""),"CVHT01")</f>
        <v>CVHT01</v>
      </c>
      <c r="G205" s="86" t="s">
        <v>891</v>
      </c>
    </row>
    <row r="206">
      <c r="A206" s="12"/>
      <c r="B206" s="241">
        <f>IFERROR(__xludf.DUMMYFUNCTION("""COMPUTED_VALUE"""),46170.0)</f>
        <v>46170</v>
      </c>
      <c r="C206" s="12" t="str">
        <f>IFERROR(__xludf.DUMMYFUNCTION("""COMPUTED_VALUE"""),"GV489 ")</f>
        <v>GV489 </v>
      </c>
      <c r="D206" s="12" t="str">
        <f>IFERROR(__xludf.DUMMYFUNCTION("""COMPUTED_VALUE"""),"Bùi Hoa Xuân K2")</f>
        <v>Bùi Hoa Xuân K2</v>
      </c>
      <c r="E206" s="102" t="str">
        <f>IFERROR(__xludf.DUMMYFUNCTION("""COMPUTED_VALUE"""),"Bạn Khánh với Trung hỏi em về phần kiểm tra giữa kì trong bài 15, hai bạn chưa hiểu cách làm, nhờ bên mình hỗ trợ bạn giúp e với ạ")</f>
        <v>Bạn Khánh với Trung hỏi em về phần kiểm tra giữa kì trong bài 15, hai bạn chưa hiểu cách làm, nhờ bên mình hỗ trợ bạn giúp e với ạ</v>
      </c>
      <c r="F206" s="12" t="str">
        <f>IFERROR(__xludf.DUMMYFUNCTION("""COMPUTED_VALUE"""),"CVHT01")</f>
        <v>CVHT01</v>
      </c>
      <c r="G206" s="86" t="s">
        <v>891</v>
      </c>
    </row>
    <row r="207">
      <c r="A207" s="12"/>
      <c r="B207" s="241">
        <f>IFERROR(__xludf.DUMMYFUNCTION("""COMPUTED_VALUE"""),46170.0)</f>
        <v>46170</v>
      </c>
      <c r="C207" s="12" t="str">
        <f>IFERROR(__xludf.DUMMYFUNCTION("""COMPUTED_VALUE"""),"427895950")</f>
        <v>427895950</v>
      </c>
      <c r="D207" s="12" t="str">
        <f>IFERROR(__xludf.DUMMYFUNCTION("""COMPUTED_VALUE"""),"Nguyễn Duy Thưởng")</f>
        <v>Nguyễn Duy Thưởng</v>
      </c>
      <c r="E207" s="102" t="str">
        <f>IFERROR(__xludf.DUMMYFUNCTION("""COMPUTED_VALUE"""),"Dạ e muốn kaiwa theo chủ đề thay vì topic ạ, Dạ e muốn kaiwa theo chủ đề thay vì topic ạ")</f>
        <v>Dạ e muốn kaiwa theo chủ đề thay vì topic ạ, Dạ e muốn kaiwa theo chủ đề thay vì topic ạ</v>
      </c>
      <c r="F207" s="12" t="str">
        <f>IFERROR(__xludf.DUMMYFUNCTION("""COMPUTED_VALUE"""),"CVHT01")</f>
        <v>CVHT01</v>
      </c>
      <c r="G207" s="86" t="s">
        <v>891</v>
      </c>
    </row>
    <row r="208">
      <c r="A208" s="12"/>
      <c r="B208" s="241">
        <f>IFERROR(__xludf.DUMMYFUNCTION("""COMPUTED_VALUE"""),46170.0)</f>
        <v>46170</v>
      </c>
      <c r="C208" s="12" t="str">
        <f>IFERROR(__xludf.DUMMYFUNCTION("""COMPUTED_VALUE"""),"10055040")</f>
        <v>10055040</v>
      </c>
      <c r="D208" s="12" t="str">
        <f>IFERROR(__xludf.DUMMYFUNCTION("""COMPUTED_VALUE"""),"Lê Thúy Hồng N4")</f>
        <v>Lê Thúy Hồng N4</v>
      </c>
      <c r="E208" s="102" t="str">
        <f>IFERROR(__xludf.DUMMYFUNCTION("""COMPUTED_VALUE"""),"Bạn sợ ko theo được lớp ạ")</f>
        <v>Bạn sợ ko theo được lớp ạ</v>
      </c>
      <c r="F208" s="12" t="str">
        <f>IFERROR(__xludf.DUMMYFUNCTION("""COMPUTED_VALUE"""),"CVHT01")</f>
        <v>CVHT01</v>
      </c>
      <c r="G208" s="86" t="s">
        <v>891</v>
      </c>
    </row>
    <row r="209">
      <c r="A209" s="12"/>
      <c r="B209" s="241">
        <f>IFERROR(__xludf.DUMMYFUNCTION("""COMPUTED_VALUE"""),46171.0)</f>
        <v>46171</v>
      </c>
      <c r="C209" s="12" t="str">
        <f>IFERROR(__xludf.DUMMYFUNCTION("""COMPUTED_VALUE"""),"GV505 ")</f>
        <v>GV505 </v>
      </c>
      <c r="D209" s="12" t="str">
        <f>IFERROR(__xludf.DUMMYFUNCTION("""COMPUTED_VALUE"""),"Đoàn Quang Dũng Kaiwa 2")</f>
        <v>Đoàn Quang Dũng Kaiwa 2</v>
      </c>
      <c r="E209" s="102" t="str">
        <f>IFERROR(__xludf.DUMMYFUNCTION("""COMPUTED_VALUE"""),"""Dạ cho em hỏi phần nộp BTVN của học viên nằm ở mục nào ạ""")</f>
        <v>"Dạ cho em hỏi phần nộp BTVN của học viên nằm ở mục nào ạ"</v>
      </c>
      <c r="F209" s="12" t="str">
        <f>IFERROR(__xludf.DUMMYFUNCTION("""COMPUTED_VALUE"""),"CVHT01")</f>
        <v>CVHT01</v>
      </c>
      <c r="G209" s="86" t="s">
        <v>891</v>
      </c>
    </row>
    <row r="210">
      <c r="A210" s="12"/>
      <c r="B210" s="241">
        <f>IFERROR(__xludf.DUMMYFUNCTION("""COMPUTED_VALUE"""),46172.0)</f>
        <v>46172</v>
      </c>
      <c r="C210" s="12" t="str">
        <f>IFERROR(__xludf.DUMMYFUNCTION("""COMPUTED_VALUE"""),"GV382")</f>
        <v>GV382</v>
      </c>
      <c r="D210" s="12" t="str">
        <f>IFERROR(__xludf.DUMMYFUNCTION("""COMPUTED_VALUE""")," Tạ Thị Hiền")</f>
        <v> Tạ Thị Hiền</v>
      </c>
      <c r="E210" s="102" t="str">
        <f>IFERROR(__xludf.DUMMYFUNCTION("""COMPUTED_VALUE"""),"""vậy e vẫn daỵ như giáo án của bên trung tâm nha  c"" ")</f>
        <v>"vậy e vẫn daỵ như giáo án của bên trung tâm nha  c" </v>
      </c>
      <c r="F210" s="12" t="str">
        <f>IFERROR(__xludf.DUMMYFUNCTION("""COMPUTED_VALUE"""),"CVHT01")</f>
        <v>CVHT01</v>
      </c>
      <c r="G210" s="86" t="s">
        <v>891</v>
      </c>
    </row>
    <row r="211">
      <c r="A211" s="12"/>
      <c r="B211" s="241">
        <f>IFERROR(__xludf.DUMMYFUNCTION("""COMPUTED_VALUE"""),46175.0)</f>
        <v>46175</v>
      </c>
      <c r="C211" s="12" t="str">
        <f>IFERROR(__xludf.DUMMYFUNCTION("""COMPUTED_VALUE"""),"GV420 ")</f>
        <v>GV420 </v>
      </c>
      <c r="D211" s="12" t="str">
        <f>IFERROR(__xludf.DUMMYFUNCTION("""COMPUTED_VALUE"""),"Nguyễn Thị Tú Quyên K2")</f>
        <v>Nguyễn Thị Tú Quyên K2</v>
      </c>
      <c r="E211" s="102" t="str">
        <f>IFERROR(__xludf.DUMMYFUNCTION("""COMPUTED_VALUE"""),"nhận lớp của 420291562	Nguyễn Sĩ Thanh Tú")</f>
        <v>nhận lớp của 420291562	Nguyễn Sĩ Thanh Tú</v>
      </c>
      <c r="F211" s="12" t="str">
        <f>IFERROR(__xludf.DUMMYFUNCTION("""COMPUTED_VALUE"""),"CVHT01")</f>
        <v>CVHT01</v>
      </c>
      <c r="G211" s="86" t="s">
        <v>891</v>
      </c>
    </row>
    <row r="212">
      <c r="A212" s="12"/>
      <c r="B212" s="241">
        <f>IFERROR(__xludf.DUMMYFUNCTION("""COMPUTED_VALUE"""),46175.0)</f>
        <v>46175</v>
      </c>
      <c r="C212" s="12" t="str">
        <f>IFERROR(__xludf.DUMMYFUNCTION("""COMPUTED_VALUE"""),"GV487 ")</f>
        <v>GV487 </v>
      </c>
      <c r="D212" s="12" t="str">
        <f>IFERROR(__xludf.DUMMYFUNCTION("""COMPUTED_VALUE"""),"Trần Phương Nam K3")</f>
        <v>Trần Phương Nam K3</v>
      </c>
      <c r="E212" s="102" t="str">
        <f>IFERROR(__xludf.DUMMYFUNCTION("""COMPUTED_VALUE"""),"Bạn Tân chậm quá, như kiểu em đang dạy ngữ pháp cho bạn hơn là kaiwa ý ạ.")</f>
        <v>Bạn Tân chậm quá, như kiểu em đang dạy ngữ pháp cho bạn hơn là kaiwa ý ạ.</v>
      </c>
      <c r="F212" s="12" t="str">
        <f>IFERROR(__xludf.DUMMYFUNCTION("""COMPUTED_VALUE"""),"CVHT01")</f>
        <v>CVHT01</v>
      </c>
      <c r="G212" s="86" t="s">
        <v>891</v>
      </c>
    </row>
    <row r="213">
      <c r="A213" s="12"/>
      <c r="B213" s="241">
        <f>IFERROR(__xludf.DUMMYFUNCTION("""COMPUTED_VALUE"""),46177.0)</f>
        <v>46177</v>
      </c>
      <c r="C213" s="12" t="str">
        <f>IFERROR(__xludf.DUMMYFUNCTION("""COMPUTED_VALUE"""),"420279402")</f>
        <v>420279402</v>
      </c>
      <c r="D213" s="12" t="str">
        <f>IFERROR(__xludf.DUMMYFUNCTION("""COMPUTED_VALUE"""),"Vũ Thị Cúc Hoa")</f>
        <v>Vũ Thị Cúc Hoa</v>
      </c>
      <c r="E213" s="102" t="str">
        <f>IFERROR(__xludf.DUMMYFUNCTION("""COMPUTED_VALUE"""),"Ưu đãi có thời hạn ko ss ? Giờ kinh phí e chưa đủ ạ 🥲")</f>
        <v>Ưu đãi có thời hạn ko ss ? Giờ kinh phí e chưa đủ ạ 🥲</v>
      </c>
      <c r="F213" s="12" t="str">
        <f>IFERROR(__xludf.DUMMYFUNCTION("""COMPUTED_VALUE"""),"CVHT01")</f>
        <v>CVHT01</v>
      </c>
      <c r="G213" s="86" t="s">
        <v>891</v>
      </c>
    </row>
    <row r="214">
      <c r="A214" s="12"/>
      <c r="B214" s="241">
        <f>IFERROR(__xludf.DUMMYFUNCTION("""COMPUTED_VALUE"""),46177.0)</f>
        <v>46177</v>
      </c>
      <c r="C214" s="12" t="str">
        <f>IFERROR(__xludf.DUMMYFUNCTION("""COMPUTED_VALUE"""),"420279412")</f>
        <v>420279412</v>
      </c>
      <c r="D214" s="12" t="str">
        <f>IFERROR(__xludf.DUMMYFUNCTION("""COMPUTED_VALUE"""),"Phan Thành Long")</f>
        <v>Phan Thành Long</v>
      </c>
      <c r="E214" s="102" t="str">
        <f>IFERROR(__xludf.DUMMYFUNCTION("""COMPUTED_VALUE"""),"1 ôn thi, bạn đki khóa ôn thi ạ")</f>
        <v>1 ôn thi, bạn đki khóa ôn thi ạ</v>
      </c>
      <c r="F214" s="12" t="str">
        <f>IFERROR(__xludf.DUMMYFUNCTION("""COMPUTED_VALUE"""),"CVHT01")</f>
        <v>CVHT01</v>
      </c>
      <c r="G214" s="86" t="s">
        <v>891</v>
      </c>
    </row>
    <row r="215">
      <c r="A215" s="12"/>
      <c r="B215" s="241">
        <f>IFERROR(__xludf.DUMMYFUNCTION("""COMPUTED_VALUE"""),46177.0)</f>
        <v>46177</v>
      </c>
      <c r="C215" s="12" t="str">
        <f>IFERROR(__xludf.DUMMYFUNCTION("""COMPUTED_VALUE"""),"420280935")</f>
        <v>420280935</v>
      </c>
      <c r="D215" s="12" t="str">
        <f>IFERROR(__xludf.DUMMYFUNCTION("""COMPUTED_VALUE"""),"Bùi Thị Tươi")</f>
        <v>Bùi Thị Tươi</v>
      </c>
      <c r="E215" s="102" t="str">
        <f>IFERROR(__xludf.DUMMYFUNCTION("""COMPUTED_VALUE"""),"e giờ đang học chuyên ngành để thi kaigo fukushi ạ")</f>
        <v>e giờ đang học chuyên ngành để thi kaigo fukushi ạ</v>
      </c>
      <c r="F215" s="12" t="str">
        <f>IFERROR(__xludf.DUMMYFUNCTION("""COMPUTED_VALUE"""),"CVHT01")</f>
        <v>CVHT01</v>
      </c>
      <c r="G215" s="86" t="s">
        <v>891</v>
      </c>
    </row>
    <row r="216">
      <c r="A216" s="12"/>
      <c r="B216" s="241">
        <f>IFERROR(__xludf.DUMMYFUNCTION("""COMPUTED_VALUE"""),46177.0)</f>
        <v>46177</v>
      </c>
      <c r="C216" s="12" t="str">
        <f>IFERROR(__xludf.DUMMYFUNCTION("""COMPUTED_VALUE"""),"427896590")</f>
        <v>427896590</v>
      </c>
      <c r="D216" s="12" t="str">
        <f>IFERROR(__xludf.DUMMYFUNCTION("""COMPUTED_VALUE"""),"Hoàng Văn Hoàn")</f>
        <v>Hoàng Văn Hoàn</v>
      </c>
      <c r="E216" s="102" t="str">
        <f>IFERROR(__xludf.DUMMYFUNCTION("""COMPUTED_VALUE"""),"Bạn bảo BTVN với kiến thức bạn học khác nhau ạ")</f>
        <v>Bạn bảo BTVN với kiến thức bạn học khác nhau ạ</v>
      </c>
      <c r="F216" s="12" t="str">
        <f>IFERROR(__xludf.DUMMYFUNCTION("""COMPUTED_VALUE"""),"CVHT01")</f>
        <v>CVHT01</v>
      </c>
      <c r="G216" s="86" t="s">
        <v>891</v>
      </c>
    </row>
    <row r="217">
      <c r="A217" s="12"/>
      <c r="B217" s="241">
        <f>IFERROR(__xludf.DUMMYFUNCTION("""COMPUTED_VALUE"""),46177.0)</f>
        <v>46177</v>
      </c>
      <c r="C217" s="12" t="str">
        <f>IFERROR(__xludf.DUMMYFUNCTION("""COMPUTED_VALUE"""),"420270941")</f>
        <v>420270941</v>
      </c>
      <c r="D217" s="12" t="str">
        <f>IFERROR(__xludf.DUMMYFUNCTION("""COMPUTED_VALUE"""),"Nguyễn Đức Tài")</f>
        <v>Nguyễn Đức Tài</v>
      </c>
      <c r="E217" s="102" t="str">
        <f>IFERROR(__xludf.DUMMYFUNCTION("""COMPUTED_VALUE"""),"Bạn hỏi giáo viên chủ nhiệm là ai ạ")</f>
        <v>Bạn hỏi giáo viên chủ nhiệm là ai ạ</v>
      </c>
      <c r="F217" s="12" t="str">
        <f>IFERROR(__xludf.DUMMYFUNCTION("""COMPUTED_VALUE"""),"CVHT01")</f>
        <v>CVHT01</v>
      </c>
      <c r="G217" s="86" t="s">
        <v>891</v>
      </c>
    </row>
    <row r="218">
      <c r="A218" s="12"/>
      <c r="B218" s="241">
        <f>IFERROR(__xludf.DUMMYFUNCTION("""COMPUTED_VALUE"""),46178.0)</f>
        <v>46178</v>
      </c>
      <c r="C218" s="12" t="str">
        <f>IFERROR(__xludf.DUMMYFUNCTION("""COMPUTED_VALUE"""),"10054302")</f>
        <v>10054302</v>
      </c>
      <c r="D218" s="12" t="str">
        <f>IFERROR(__xludf.DUMMYFUNCTION("""COMPUTED_VALUE"""),"Lê Nguyễn Tường Vy JLPT N3")</f>
        <v>Lê Nguyễn Tường Vy JLPT N3</v>
      </c>
      <c r="E218" s="102" t="str">
        <f>IFERROR(__xludf.DUMMYFUNCTION("""COMPUTED_VALUE"""),"""Với lại thỉnh thoảng phần tài liệu học và phần e học với ss thì nội dung khác nhau ạ"", "" Như lúc nãy e làm bài tập buổi 27 nhưng ngữ pháp và tự vựng lại nằm ở buổi 28 ạ""")</f>
        <v>"Với lại thỉnh thoảng phần tài liệu học và phần e học với ss thì nội dung khác nhau ạ", " Như lúc nãy e làm bài tập buổi 27 nhưng ngữ pháp và tự vựng lại nằm ở buổi 28 ạ"</v>
      </c>
      <c r="F218" s="12" t="str">
        <f>IFERROR(__xludf.DUMMYFUNCTION("""COMPUTED_VALUE"""),"CVHT01")</f>
        <v>CVHT01</v>
      </c>
      <c r="G218" s="86" t="s">
        <v>891</v>
      </c>
    </row>
    <row r="219">
      <c r="A219" s="12"/>
      <c r="B219" s="241">
        <f>IFERROR(__xludf.DUMMYFUNCTION("""COMPUTED_VALUE"""),46178.0)</f>
        <v>46178</v>
      </c>
      <c r="C219" s="12" t="str">
        <f>IFERROR(__xludf.DUMMYFUNCTION("""COMPUTED_VALUE"""),"420281560")</f>
        <v>420281560</v>
      </c>
      <c r="D219" s="12" t="str">
        <f>IFERROR(__xludf.DUMMYFUNCTION("""COMPUTED_VALUE"""),"Lê Ngọc Ánh")</f>
        <v>Lê Ngọc Ánh</v>
      </c>
      <c r="E219" s="102" t="str">
        <f>IFERROR(__xludf.DUMMYFUNCTION("""COMPUTED_VALUE"""),"bạn đã rep lại về mục tiêu tiếng nhật sắp tới của bạn là 2,3 ạ. Các chị hỗ trợ bạn tiếp ạ.")</f>
        <v>bạn đã rep lại về mục tiêu tiếng nhật sắp tới của bạn là 2,3 ạ. Các chị hỗ trợ bạn tiếp ạ.</v>
      </c>
      <c r="F219" s="12" t="str">
        <f>IFERROR(__xludf.DUMMYFUNCTION("""COMPUTED_VALUE"""),"CVHT01")</f>
        <v>CVHT01</v>
      </c>
      <c r="G219" s="86" t="s">
        <v>891</v>
      </c>
    </row>
    <row r="220">
      <c r="A220" s="12"/>
      <c r="B220" s="241">
        <f>IFERROR(__xludf.DUMMYFUNCTION("""COMPUTED_VALUE"""),46178.0)</f>
        <v>46178</v>
      </c>
      <c r="C220" s="12" t="str">
        <f>IFERROR(__xludf.DUMMYFUNCTION("""COMPUTED_VALUE"""),"GV445 ")</f>
        <v>GV445 </v>
      </c>
      <c r="D220" s="12" t="str">
        <f>IFERROR(__xludf.DUMMYFUNCTION("""COMPUTED_VALUE""")," Đỗ Thị Thúy Ngần K2")</f>
        <v> Đỗ Thị Thúy Ngần K2</v>
      </c>
      <c r="E220" s="102" t="str">
        <f>IFERROR(__xludf.DUMMYFUNCTION("""COMPUTED_VALUE"""),"""c ơi bữa trc e thấy mail nhắc hoàn thành hồ sơ"", ""bên c bạn nào phụ trách nhỉ"", "" e quên zalo rùi""")</f>
        <v>"c ơi bữa trc e thấy mail nhắc hoàn thành hồ sơ", "bên c bạn nào phụ trách nhỉ", " e quên zalo rùi"</v>
      </c>
      <c r="F220" s="12" t="str">
        <f>IFERROR(__xludf.DUMMYFUNCTION("""COMPUTED_VALUE"""),"CVHT01")</f>
        <v>CVHT01</v>
      </c>
      <c r="G220" s="86" t="s">
        <v>891</v>
      </c>
    </row>
    <row r="221">
      <c r="A221" s="12"/>
      <c r="B221" s="241">
        <f>IFERROR(__xludf.DUMMYFUNCTION("""COMPUTED_VALUE"""),46178.0)</f>
        <v>46178</v>
      </c>
      <c r="C221" s="12" t="str">
        <f>IFERROR(__xludf.DUMMYFUNCTION("""COMPUTED_VALUE"""),"427896251")</f>
        <v>427896251</v>
      </c>
      <c r="D221" s="12" t="str">
        <f>IFERROR(__xludf.DUMMYFUNCTION("""COMPUTED_VALUE"""),"Nguyễn Thu Thảo N4 ( 1:1)")</f>
        <v>Nguyễn Thu Thảo N4 ( 1:1)</v>
      </c>
      <c r="E221" s="102" t="str">
        <f>IFERROR(__xludf.DUMMYFUNCTION("""COMPUTED_VALUE"""),"Các chị xác nhận lại số buổi quy đổi của bạn này giúp em ạ.")</f>
        <v>Các chị xác nhận lại số buổi quy đổi của bạn này giúp em ạ.</v>
      </c>
      <c r="F221" s="12" t="str">
        <f>IFERROR(__xludf.DUMMYFUNCTION("""COMPUTED_VALUE"""),"CVHT01")</f>
        <v>CVHT01</v>
      </c>
      <c r="G221" s="86" t="s">
        <v>891</v>
      </c>
    </row>
    <row r="222">
      <c r="A222" s="12"/>
      <c r="B222" s="241">
        <f>IFERROR(__xludf.DUMMYFUNCTION("""COMPUTED_VALUE"""),46178.0)</f>
        <v>46178</v>
      </c>
      <c r="C222" s="12" t="str">
        <f>IFERROR(__xludf.DUMMYFUNCTION("""COMPUTED_VALUE"""),"GV456 ")</f>
        <v>GV456 </v>
      </c>
      <c r="D222" s="12" t="str">
        <f>IFERROR(__xludf.DUMMYFUNCTION("""COMPUTED_VALUE"""),"Trần Anh Bảo Vy K3")</f>
        <v>Trần Anh Bảo Vy K3</v>
      </c>
      <c r="E222" s="102" t="str">
        <f>IFERROR(__xludf.DUMMYFUNCTION("""COMPUTED_VALUE"""),"""bài K3L24 : cái đoạn 銀行かどうかのATMでお
thì ""かどうかの"" này nghĩa là gì vậy ạ ?""")</f>
        <v>"bài K3L24 : cái đoạn 銀行かどうかのATMでお
thì "かどうかの" này nghĩa là gì vậy ạ ?"</v>
      </c>
      <c r="F222" s="12" t="str">
        <f>IFERROR(__xludf.DUMMYFUNCTION("""COMPUTED_VALUE"""),"CVHT01")</f>
        <v>CVHT01</v>
      </c>
      <c r="G222" s="86" t="s">
        <v>891</v>
      </c>
    </row>
    <row r="223">
      <c r="A223" s="12"/>
      <c r="B223" s="241">
        <f>IFERROR(__xludf.DUMMYFUNCTION("""COMPUTED_VALUE"""),46179.0)</f>
        <v>46179</v>
      </c>
      <c r="C223" s="12" t="str">
        <f>IFERROR(__xludf.DUMMYFUNCTION("""COMPUTED_VALUE"""),"GV501 ")</f>
        <v>GV501 </v>
      </c>
      <c r="D223" s="12" t="str">
        <f>IFERROR(__xludf.DUMMYFUNCTION("""COMPUTED_VALUE"""),"Nguyễn Thị Ngọc Hiền K2")</f>
        <v>Nguyễn Thị Ngọc Hiền K2</v>
      </c>
      <c r="E223" s="102" t="str">
        <f>IFERROR(__xludf.DUMMYFUNCTION("""COMPUTED_VALUE"""),"Bạn Dũng lớp bắt đầu 5p rồi mới báo nghỉ nên cô chưa biết điền bảng ntn ạ")</f>
        <v>Bạn Dũng lớp bắt đầu 5p rồi mới báo nghỉ nên cô chưa biết điền bảng ntn ạ</v>
      </c>
      <c r="F223" s="12" t="str">
        <f>IFERROR(__xludf.DUMMYFUNCTION("""COMPUTED_VALUE"""),"CVHT01")</f>
        <v>CVHT01</v>
      </c>
      <c r="G223" s="86" t="s">
        <v>891</v>
      </c>
    </row>
    <row r="224">
      <c r="A224" s="12"/>
      <c r="B224" s="241">
        <f>IFERROR(__xludf.DUMMYFUNCTION("""COMPUTED_VALUE"""),46179.0)</f>
        <v>46179</v>
      </c>
      <c r="C224" s="12" t="str">
        <f>IFERROR(__xludf.DUMMYFUNCTION("""COMPUTED_VALUE"""),"GV501 ")</f>
        <v>GV501 </v>
      </c>
      <c r="D224" s="12" t="str">
        <f>IFERROR(__xludf.DUMMYFUNCTION("""COMPUTED_VALUE"""),"Nguyễn Thị Ngọc Hiền K2")</f>
        <v>Nguyễn Thị Ngọc Hiền K2</v>
      </c>
      <c r="E224" s="102" t="str">
        <f>IFERROR(__xludf.DUMMYFUNCTION("""COMPUTED_VALUE"""),"Có hai slide bị lỗi nhờ ss báo lại với bên kỹ thuật giúp em nha")</f>
        <v>Có hai slide bị lỗi nhờ ss báo lại với bên kỹ thuật giúp em nha</v>
      </c>
      <c r="F224" s="12" t="str">
        <f>IFERROR(__xludf.DUMMYFUNCTION("""COMPUTED_VALUE"""),"CVHT01")</f>
        <v>CVHT01</v>
      </c>
      <c r="G224" s="86" t="s">
        <v>891</v>
      </c>
    </row>
    <row r="225">
      <c r="A225" s="12"/>
      <c r="B225" s="241">
        <f>IFERROR(__xludf.DUMMYFUNCTION("""COMPUTED_VALUE"""),46182.0)</f>
        <v>46182</v>
      </c>
      <c r="C225" s="12" t="str">
        <f>IFERROR(__xludf.DUMMYFUNCTION("""COMPUTED_VALUE"""),"420287982")</f>
        <v>420287982</v>
      </c>
      <c r="D225" s="12" t="str">
        <f>IFERROR(__xludf.DUMMYFUNCTION("""COMPUTED_VALUE"""),"Võ Thị Nhung")</f>
        <v>Võ Thị Nhung</v>
      </c>
      <c r="E225" s="102" t="str">
        <f>IFERROR(__xludf.DUMMYFUNCTION("""COMPUTED_VALUE"""),"Bạn xác nhận không học nữa ạ")</f>
        <v>Bạn xác nhận không học nữa ạ</v>
      </c>
      <c r="F225" s="12" t="str">
        <f>IFERROR(__xludf.DUMMYFUNCTION("""COMPUTED_VALUE"""),"CVHT01")</f>
        <v>CVHT01</v>
      </c>
      <c r="G225" s="86" t="s">
        <v>891</v>
      </c>
    </row>
    <row r="226">
      <c r="A226" s="12"/>
      <c r="B226" s="241">
        <f>IFERROR(__xludf.DUMMYFUNCTION("""COMPUTED_VALUE"""),46182.0)</f>
        <v>46182</v>
      </c>
      <c r="C226" s="12" t="str">
        <f>IFERROR(__xludf.DUMMYFUNCTION("""COMPUTED_VALUE"""),"GV394 ")</f>
        <v>GV394 </v>
      </c>
      <c r="D226" s="12" t="str">
        <f>IFERROR(__xludf.DUMMYFUNCTION("""COMPUTED_VALUE"""),"Nguyễn Thị Diễm My K3")</f>
        <v>Nguyễn Thị Diễm My K3</v>
      </c>
      <c r="E226" s="102" t="str">
        <f>IFERROR(__xludf.DUMMYFUNCTION("""COMPUTED_VALUE"""),"""với lại trong sheet HV của em chưa có Trường, nhờ chị set ạ""")</f>
        <v>"với lại trong sheet HV của em chưa có Trường, nhờ chị set ạ"</v>
      </c>
      <c r="F226" s="12" t="str">
        <f>IFERROR(__xludf.DUMMYFUNCTION("""COMPUTED_VALUE"""),"CVHT01")</f>
        <v>CVHT01</v>
      </c>
      <c r="G226" s="86" t="s">
        <v>891</v>
      </c>
    </row>
    <row r="227">
      <c r="A227" s="12"/>
      <c r="B227" s="241">
        <f>IFERROR(__xludf.DUMMYFUNCTION("""COMPUTED_VALUE"""),46182.0)</f>
        <v>46182</v>
      </c>
      <c r="C227" s="12" t="str">
        <f>IFERROR(__xludf.DUMMYFUNCTION("""COMPUTED_VALUE"""),"427895054 ")</f>
        <v>427895054 </v>
      </c>
      <c r="D227" s="12" t="str">
        <f>IFERROR(__xludf.DUMMYFUNCTION("""COMPUTED_VALUE""")," Vũ Thị Tâm")</f>
        <v> Vũ Thị Tâm</v>
      </c>
      <c r="E227" s="102" t="str">
        <f>IFERROR(__xludf.DUMMYFUNCTION("""COMPUTED_VALUE"""),"Bạn đang muốn nghỉ học cả tháng 6 này ạ")</f>
        <v>Bạn đang muốn nghỉ học cả tháng 6 này ạ</v>
      </c>
      <c r="F227" s="12" t="str">
        <f>IFERROR(__xludf.DUMMYFUNCTION("""COMPUTED_VALUE"""),"CVHT01")</f>
        <v>CVHT01</v>
      </c>
      <c r="G227" s="86" t="s">
        <v>891</v>
      </c>
    </row>
    <row r="228">
      <c r="A228" s="12"/>
      <c r="B228" s="241">
        <f>IFERROR(__xludf.DUMMYFUNCTION("""COMPUTED_VALUE"""),46182.0)</f>
        <v>46182</v>
      </c>
      <c r="C228" s="12" t="str">
        <f>IFERROR(__xludf.DUMMYFUNCTION("""COMPUTED_VALUE"""),"427896846")</f>
        <v>427896846</v>
      </c>
      <c r="D228" s="12" t="str">
        <f>IFERROR(__xludf.DUMMYFUNCTION("""COMPUTED_VALUE"""),"Hoàng Trọng Phú")</f>
        <v>Hoàng Trọng Phú</v>
      </c>
      <c r="E228" s="102" t="str">
        <f>IFERROR(__xludf.DUMMYFUNCTION("""COMPUTED_VALUE"""),"Bạn gặp trục trặc khi làm BTVN, các chị hỗ trợ bạn tiếp ạ")</f>
        <v>Bạn gặp trục trặc khi làm BTVN, các chị hỗ trợ bạn tiếp ạ</v>
      </c>
      <c r="F228" s="12" t="str">
        <f>IFERROR(__xludf.DUMMYFUNCTION("""COMPUTED_VALUE"""),"CVHT01")</f>
        <v>CVHT01</v>
      </c>
      <c r="G228" s="86" t="s">
        <v>891</v>
      </c>
    </row>
    <row r="229">
      <c r="A229" s="12"/>
      <c r="B229" s="241">
        <f>IFERROR(__xludf.DUMMYFUNCTION("""COMPUTED_VALUE"""),46184.0)</f>
        <v>46184</v>
      </c>
      <c r="C229" s="12" t="str">
        <f>IFERROR(__xludf.DUMMYFUNCTION("""COMPUTED_VALUE"""),"427896434")</f>
        <v>427896434</v>
      </c>
      <c r="D229" s="12" t="str">
        <f>IFERROR(__xludf.DUMMYFUNCTION("""COMPUTED_VALUE"""),"Lê Xuân Cường")</f>
        <v>Lê Xuân Cường</v>
      </c>
      <c r="E229" s="102" t="str">
        <f>IFERROR(__xludf.DUMMYFUNCTION("""COMPUTED_VALUE"""),"Ss ơi  hôm nay em học kaiwai 2 hơi quá với kiến thức của em, Cho em học từ kaiwa 1 được không ạ!")</f>
        <v>Ss ơi  hôm nay em học kaiwai 2 hơi quá với kiến thức của em, Cho em học từ kaiwa 1 được không ạ!</v>
      </c>
      <c r="F229" s="12" t="str">
        <f>IFERROR(__xludf.DUMMYFUNCTION("""COMPUTED_VALUE"""),"CVHT01")</f>
        <v>CVHT01</v>
      </c>
      <c r="G229" s="86" t="s">
        <v>891</v>
      </c>
    </row>
    <row r="230">
      <c r="A230" s="12"/>
      <c r="B230" s="241">
        <f>IFERROR(__xludf.DUMMYFUNCTION("""COMPUTED_VALUE"""),46184.0)</f>
        <v>46184</v>
      </c>
      <c r="C230" s="12" t="str">
        <f>IFERROR(__xludf.DUMMYFUNCTION("""COMPUTED_VALUE"""),"GV331")</f>
        <v>GV331</v>
      </c>
      <c r="D230" s="12" t="str">
        <f>IFERROR(__xludf.DUMMYFUNCTION("""COMPUTED_VALUE""")," Lê Thị La Vang K2 - JLPT N4")</f>
        <v> Lê Thị La Vang K2 - JLPT N4</v>
      </c>
      <c r="E230" s="102" t="str">
        <f>IFERROR(__xludf.DUMMYFUNCTION("""COMPUTED_VALUE"""),"cô muốn xin tài khoản daymai để set lịch học ạ")</f>
        <v>cô muốn xin tài khoản daymai để set lịch học ạ</v>
      </c>
      <c r="F230" s="12" t="str">
        <f>IFERROR(__xludf.DUMMYFUNCTION("""COMPUTED_VALUE"""),"CVHT01")</f>
        <v>CVHT01</v>
      </c>
      <c r="G230" s="86" t="s">
        <v>891</v>
      </c>
    </row>
    <row r="231">
      <c r="A231" s="12"/>
      <c r="B231" s="241">
        <f>IFERROR(__xludf.DUMMYFUNCTION("""COMPUTED_VALUE"""),46184.0)</f>
        <v>46184</v>
      </c>
      <c r="C231" s="12" t="str">
        <f>IFERROR(__xludf.DUMMYFUNCTION("""COMPUTED_VALUE"""),"427896548")</f>
        <v>427896548</v>
      </c>
      <c r="D231" s="12" t="str">
        <f>IFERROR(__xludf.DUMMYFUNCTION("""COMPUTED_VALUE"""),"Nguyễn Văn Thức")</f>
        <v>Nguyễn Văn Thức</v>
      </c>
      <c r="E231" s="102" t="str">
        <f>IFERROR(__xludf.DUMMYFUNCTION("""COMPUTED_VALUE"""),"Bạn ko làm được BTVN trên app ạ, với lại video học trong app có mấy phần bị lag ạ, video ko chạy được ạ")</f>
        <v>Bạn ko làm được BTVN trên app ạ, với lại video học trong app có mấy phần bị lag ạ, video ko chạy được ạ</v>
      </c>
      <c r="F231" s="12" t="str">
        <f>IFERROR(__xludf.DUMMYFUNCTION("""COMPUTED_VALUE"""),"CVHT01")</f>
        <v>CVHT01</v>
      </c>
      <c r="G231" s="86" t="s">
        <v>891</v>
      </c>
    </row>
    <row r="232">
      <c r="A232" s="12"/>
      <c r="B232" s="241">
        <f>IFERROR(__xludf.DUMMYFUNCTION("""COMPUTED_VALUE"""),46184.0)</f>
        <v>46184</v>
      </c>
      <c r="C232" s="12" t="str">
        <f>IFERROR(__xludf.DUMMYFUNCTION("""COMPUTED_VALUE"""),"427896548")</f>
        <v>427896548</v>
      </c>
      <c r="D232" s="12" t="str">
        <f>IFERROR(__xludf.DUMMYFUNCTION("""COMPUTED_VALUE"""),"Nguyễn Văn Thức")</f>
        <v>Nguyễn Văn Thức</v>
      </c>
      <c r="E232" s="102" t="str">
        <f>IFERROR(__xludf.DUMMYFUNCTION("""COMPUTED_VALUE"""),"chị ơi chị xóa BTVN cho bạn giúp em nhé, em vào chỗ kết quả BTVN mà ko xóa được hình như do sai chỗ ạ")</f>
        <v>chị ơi chị xóa BTVN cho bạn giúp em nhé, em vào chỗ kết quả BTVN mà ko xóa được hình như do sai chỗ ạ</v>
      </c>
      <c r="F232" s="12" t="str">
        <f>IFERROR(__xludf.DUMMYFUNCTION("""COMPUTED_VALUE"""),"CVHT01")</f>
        <v>CVHT01</v>
      </c>
      <c r="G232" s="86" t="s">
        <v>891</v>
      </c>
    </row>
    <row r="233">
      <c r="A233" s="12"/>
      <c r="B233" s="241">
        <f>IFERROR(__xludf.DUMMYFUNCTION("""COMPUTED_VALUE"""),46185.0)</f>
        <v>46185</v>
      </c>
      <c r="C233" s="12" t="str">
        <f>IFERROR(__xludf.DUMMYFUNCTION("""COMPUTED_VALUE"""),"427896774")</f>
        <v>427896774</v>
      </c>
      <c r="D233" s="12" t="str">
        <f>IFERROR(__xludf.DUMMYFUNCTION("""COMPUTED_VALUE"""),"Nguyễn Đình Tuyến")</f>
        <v>Nguyễn Đình Tuyến</v>
      </c>
      <c r="E233" s="102" t="str">
        <f>IFERROR(__xludf.DUMMYFUNCTION("""COMPUTED_VALUE"""),"""H mình chuyển từ học kaiwa sang học JLPT dc ko ạ""")</f>
        <v>"H mình chuyển từ học kaiwa sang học JLPT dc ko ạ"</v>
      </c>
      <c r="F233" s="12" t="str">
        <f>IFERROR(__xludf.DUMMYFUNCTION("""COMPUTED_VALUE"""),"CVHT01")</f>
        <v>CVHT01</v>
      </c>
      <c r="G233" s="86" t="s">
        <v>891</v>
      </c>
    </row>
    <row r="234">
      <c r="A234" s="12"/>
      <c r="B234" s="241">
        <f>IFERROR(__xludf.DUMMYFUNCTION("""COMPUTED_VALUE"""),46186.0)</f>
        <v>46186</v>
      </c>
      <c r="C234" s="12" t="str">
        <f>IFERROR(__xludf.DUMMYFUNCTION("""COMPUTED_VALUE"""),"GV499 ")</f>
        <v>GV499 </v>
      </c>
      <c r="D234" s="12" t="str">
        <f>IFERROR(__xludf.DUMMYFUNCTION("""COMPUTED_VALUE"""),"Nguyễn Phát Lợi K3")</f>
        <v>Nguyễn Phát Lợi K3</v>
      </c>
      <c r="E234" s="102" t="str">
        <f>IFERROR(__xludf.DUMMYFUNCTION("""COMPUTED_VALUE"""),"Chị ơi với lại file ex em thấy bạn Huyền có 12 buổi hả chị")</f>
        <v>Chị ơi với lại file ex em thấy bạn Huyền có 12 buổi hả chị</v>
      </c>
      <c r="F234" s="12" t="str">
        <f>IFERROR(__xludf.DUMMYFUNCTION("""COMPUTED_VALUE"""),"CVHT01")</f>
        <v>CVHT01</v>
      </c>
      <c r="G234" s="86" t="s">
        <v>891</v>
      </c>
    </row>
    <row r="235">
      <c r="A235" s="12"/>
      <c r="B235" s="241">
        <f>IFERROR(__xludf.DUMMYFUNCTION("""COMPUTED_VALUE"""),46186.0)</f>
        <v>46186</v>
      </c>
      <c r="C235" s="12" t="str">
        <f>IFERROR(__xludf.DUMMYFUNCTION("""COMPUTED_VALUE""")," 10053752  ")</f>
        <v> 10053752  </v>
      </c>
      <c r="D235" s="12" t="str">
        <f>IFERROR(__xludf.DUMMYFUNCTION("""COMPUTED_VALUE"""),"Nguyễn Thị Hiền JLPT N2")</f>
        <v>Nguyễn Thị Hiền JLPT N2</v>
      </c>
      <c r="E235" s="102" t="str">
        <f>IFERROR(__xludf.DUMMYFUNCTION("""COMPUTED_VALUE"""),"Tháng 7 bạn chưa thi nên muốn dời lịch học ạ")</f>
        <v>Tháng 7 bạn chưa thi nên muốn dời lịch học ạ</v>
      </c>
      <c r="F235" s="12" t="str">
        <f>IFERROR(__xludf.DUMMYFUNCTION("""COMPUTED_VALUE"""),"CVHT01")</f>
        <v>CVHT01</v>
      </c>
      <c r="G235" s="86" t="s">
        <v>891</v>
      </c>
    </row>
    <row r="236">
      <c r="A236" s="12"/>
      <c r="B236" s="241">
        <f>IFERROR(__xludf.DUMMYFUNCTION("""COMPUTED_VALUE"""),46186.0)</f>
        <v>46186</v>
      </c>
      <c r="C236" s="12" t="str">
        <f>IFERROR(__xludf.DUMMYFUNCTION("""COMPUTED_VALUE"""),"GV382")</f>
        <v>GV382</v>
      </c>
      <c r="D236" s="12" t="str">
        <f>IFERROR(__xludf.DUMMYFUNCTION("""COMPUTED_VALUE""")," Tạ Thị Hiền K3")</f>
        <v> Tạ Thị Hiền K3</v>
      </c>
      <c r="E236" s="102" t="str">
        <f>IFERROR(__xludf.DUMMYFUNCTION("""COMPUTED_VALUE"""),"Bạn Như Anh còn 3 buổi học chị trao đổi bạn có học nữa hay thôi ạ")</f>
        <v>Bạn Như Anh còn 3 buổi học chị trao đổi bạn có học nữa hay thôi ạ</v>
      </c>
      <c r="F236" s="12" t="str">
        <f>IFERROR(__xludf.DUMMYFUNCTION("""COMPUTED_VALUE"""),"CVHT01")</f>
        <v>CVHT01</v>
      </c>
      <c r="G236" s="86" t="s">
        <v>891</v>
      </c>
    </row>
    <row r="237">
      <c r="A237" s="12"/>
      <c r="B237" s="241">
        <f>IFERROR(__xludf.DUMMYFUNCTION("""COMPUTED_VALUE"""),46188.0)</f>
        <v>46188</v>
      </c>
      <c r="C237" s="12" t="str">
        <f>IFERROR(__xludf.DUMMYFUNCTION("""COMPUTED_VALUE"""),"10055600")</f>
        <v>10055600</v>
      </c>
      <c r="D237" s="12" t="str">
        <f>IFERROR(__xludf.DUMMYFUNCTION("""COMPUTED_VALUE"""),"Nguyễn Ngọc Sơn N4N3")</f>
        <v>Nguyễn Ngọc Sơn N4N3</v>
      </c>
      <c r="E237" s="102" t="str">
        <f>IFERROR(__xludf.DUMMYFUNCTION("""COMPUTED_VALUE"""),"Các chị hỗ trợ bạn giải nén để xem giáo trình học ạ")</f>
        <v>Các chị hỗ trợ bạn giải nén để xem giáo trình học ạ</v>
      </c>
      <c r="F237" s="12" t="str">
        <f>IFERROR(__xludf.DUMMYFUNCTION("""COMPUTED_VALUE"""),"CVHT01")</f>
        <v>CVHT01</v>
      </c>
      <c r="G237" s="86" t="s">
        <v>891</v>
      </c>
    </row>
    <row r="238">
      <c r="A238" s="12"/>
      <c r="B238" s="241">
        <f>IFERROR(__xludf.DUMMYFUNCTION("""COMPUTED_VALUE"""),46188.0)</f>
        <v>46188</v>
      </c>
      <c r="C238" s="12" t="str">
        <f>IFERROR(__xludf.DUMMYFUNCTION("""COMPUTED_VALUE"""),"420291377")</f>
        <v>420291377</v>
      </c>
      <c r="D238" s="12" t="str">
        <f>IFERROR(__xludf.DUMMYFUNCTION("""COMPUTED_VALUE"""),"Lê Thị Xuân Mai")</f>
        <v>Lê Thị Xuân Mai</v>
      </c>
      <c r="E238" s="102" t="str">
        <f>IFERROR(__xludf.DUMMYFUNCTION("""COMPUTED_VALUE"""),"Bạn hỏi ""Ss cho e xin những  tha  động từ và tự  động từ  nhé.. e hơi  rối  chỗ này"" ạ")</f>
        <v>Bạn hỏi "Ss cho e xin những  tha  động từ và tự  động từ  nhé.. e hơi  rối  chỗ này" ạ</v>
      </c>
      <c r="F238" s="12" t="str">
        <f>IFERROR(__xludf.DUMMYFUNCTION("""COMPUTED_VALUE"""),"CVHT01")</f>
        <v>CVHT01</v>
      </c>
      <c r="G238" s="86" t="s">
        <v>891</v>
      </c>
    </row>
    <row r="239">
      <c r="A239" s="12"/>
      <c r="B239" s="241">
        <f>IFERROR(__xludf.DUMMYFUNCTION("""COMPUTED_VALUE"""),46188.0)</f>
        <v>46188</v>
      </c>
      <c r="C239" s="12" t="str">
        <f>IFERROR(__xludf.DUMMYFUNCTION("""COMPUTED_VALUE"""),"10055137")</f>
        <v>10055137</v>
      </c>
      <c r="D239" s="12" t="str">
        <f>IFERROR(__xludf.DUMMYFUNCTION("""COMPUTED_VALUE"""),"Nguyễn Văn Nam ")</f>
        <v>Nguyễn Văn Nam </v>
      </c>
      <c r="E239" s="102" t="str">
        <f>IFERROR(__xludf.DUMMYFUNCTION("""COMPUTED_VALUE"""),"Bạn gửi mã Zalo rồi ạ")</f>
        <v>Bạn gửi mã Zalo rồi ạ</v>
      </c>
      <c r="F239" s="12" t="str">
        <f>IFERROR(__xludf.DUMMYFUNCTION("""COMPUTED_VALUE"""),"CVHT01")</f>
        <v>CVHT01</v>
      </c>
      <c r="G239" s="86" t="s">
        <v>891</v>
      </c>
    </row>
    <row r="240">
      <c r="A240" s="12"/>
      <c r="B240" s="241">
        <f>IFERROR(__xludf.DUMMYFUNCTION("""COMPUTED_VALUE"""),46189.0)</f>
        <v>46189</v>
      </c>
      <c r="C240" s="12" t="str">
        <f>IFERROR(__xludf.DUMMYFUNCTION("""COMPUTED_VALUE"""),"427896003")</f>
        <v>427896003</v>
      </c>
      <c r="D240" s="12" t="str">
        <f>IFERROR(__xludf.DUMMYFUNCTION("""COMPUTED_VALUE"""),"Lữ Thi Ngọc Trầm")</f>
        <v>Lữ Thi Ngọc Trầm</v>
      </c>
      <c r="E240" s="102" t="str">
        <f>IFERROR(__xludf.DUMMYFUNCTION("""COMPUTED_VALUE"""),"ss ơi còn em muốn chuyển tiền việt thì như nào ạ")</f>
        <v>ss ơi còn em muốn chuyển tiền việt thì như nào ạ</v>
      </c>
      <c r="F240" s="12" t="str">
        <f>IFERROR(__xludf.DUMMYFUNCTION("""COMPUTED_VALUE"""),"CVHT01")</f>
        <v>CVHT01</v>
      </c>
      <c r="G240" s="86" t="s">
        <v>891</v>
      </c>
    </row>
    <row r="241">
      <c r="A241" s="12"/>
      <c r="B241" s="241">
        <f>IFERROR(__xludf.DUMMYFUNCTION("""COMPUTED_VALUE"""),46190.0)</f>
        <v>46190</v>
      </c>
      <c r="C241" s="12" t="str">
        <f>IFERROR(__xludf.DUMMYFUNCTION("""COMPUTED_VALUE"""),"427896204")</f>
        <v>427896204</v>
      </c>
      <c r="D241" s="12" t="str">
        <f>IFERROR(__xludf.DUMMYFUNCTION("""COMPUTED_VALUE"""),"Kim Đa Ri")</f>
        <v>Kim Đa Ri</v>
      </c>
      <c r="E241" s="102" t="str">
        <f>IFERROR(__xludf.DUMMYFUNCTION("""COMPUTED_VALUE"""),""" Ss ơi có thể hỗ trợ em chuyển sang học jlpt n3 được không ạ, e cũng cố gắng học cũng được hơn 10buổi nhưng vẫn cảm thấy không cãi thiện được trong kaiwa và khả năng tiến bộ cũng không thấy, em thật sự muốn chuyển sang học jlpt để có thêm vốn từ vựng và"&amp;" ngữ pháp ạ mong ss có thể hộ trợ cho e ạ..""")</f>
        <v>" Ss ơi có thể hỗ trợ em chuyển sang học jlpt n3 được không ạ, e cũng cố gắng học cũng được hơn 10buổi nhưng vẫn cảm thấy không cãi thiện được trong kaiwa và khả năng tiến bộ cũng không thấy, em thật sự muốn chuyển sang học jlpt để có thêm vốn từ vựng và ngữ pháp ạ mong ss có thể hộ trợ cho e ạ.."</v>
      </c>
      <c r="F241" s="12" t="str">
        <f>IFERROR(__xludf.DUMMYFUNCTION("""COMPUTED_VALUE"""),"CVHT01")</f>
        <v>CVHT01</v>
      </c>
      <c r="G241" s="86" t="s">
        <v>891</v>
      </c>
    </row>
    <row r="242">
      <c r="A242" s="12"/>
      <c r="B242" s="241">
        <f>IFERROR(__xludf.DUMMYFUNCTION("""COMPUTED_VALUE"""),46190.0)</f>
        <v>46190</v>
      </c>
      <c r="C242" s="12" t="str">
        <f>IFERROR(__xludf.DUMMYFUNCTION("""COMPUTED_VALUE"""),"427897403")</f>
        <v>427897403</v>
      </c>
      <c r="D242" s="12" t="str">
        <f>IFERROR(__xludf.DUMMYFUNCTION("""COMPUTED_VALUE"""),"Nguyễn Huỳnh Bảo Châu")</f>
        <v>Nguyễn Huỳnh Bảo Châu</v>
      </c>
      <c r="E242" s="102" t="str">
        <f>IFERROR(__xludf.DUMMYFUNCTION("""COMPUTED_VALUE"""),"Nay bạn khai giảng mà mic bạn bị bé quá nên phải chuyển học zoom ạ, em hẹn bạn tối mai check hệ thống lúc 20h VN ạ, các chị note lại cho chị Hải ạ")</f>
        <v>Nay bạn khai giảng mà mic bạn bị bé quá nên phải chuyển học zoom ạ, em hẹn bạn tối mai check hệ thống lúc 20h VN ạ, các chị note lại cho chị Hải ạ</v>
      </c>
      <c r="F242" s="12" t="str">
        <f>IFERROR(__xludf.DUMMYFUNCTION("""COMPUTED_VALUE"""),"CVHT01")</f>
        <v>CVHT01</v>
      </c>
      <c r="G242" s="86" t="s">
        <v>891</v>
      </c>
    </row>
    <row r="243">
      <c r="A243" s="12"/>
      <c r="B243" s="241">
        <f>IFERROR(__xludf.DUMMYFUNCTION("""COMPUTED_VALUE"""),46191.0)</f>
        <v>46191</v>
      </c>
      <c r="C243" s="12" t="str">
        <f>IFERROR(__xludf.DUMMYFUNCTION("""COMPUTED_VALUE"""),"GV396 ")</f>
        <v>GV396 </v>
      </c>
      <c r="D243" s="12" t="str">
        <f>IFERROR(__xludf.DUMMYFUNCTION("""COMPUTED_VALUE"""),"Trần Nguyệt Quyên K3")</f>
        <v>Trần Nguyệt Quyên K3</v>
      </c>
      <c r="E243" s="102" t="str">
        <f>IFERROR(__xludf.DUMMYFUNCTION("""COMPUTED_VALUE"""),"cô báo nhận được lớp ạ,  bạn này đổi thành 246 19h00Vn, em vẫn dạy được nhỉ")</f>
        <v>cô báo nhận được lớp ạ,  bạn này đổi thành 246 19h00Vn, em vẫn dạy được nhỉ</v>
      </c>
      <c r="F243" s="12" t="str">
        <f>IFERROR(__xludf.DUMMYFUNCTION("""COMPUTED_VALUE"""),"CVHT01")</f>
        <v>CVHT01</v>
      </c>
      <c r="G243" s="86" t="s">
        <v>891</v>
      </c>
    </row>
    <row r="244">
      <c r="A244" s="12"/>
      <c r="B244" s="241">
        <f>IFERROR(__xludf.DUMMYFUNCTION("""COMPUTED_VALUE"""),46191.0)</f>
        <v>46191</v>
      </c>
      <c r="C244" s="12" t="str">
        <f>IFERROR(__xludf.DUMMYFUNCTION("""COMPUTED_VALUE"""),"427897328")</f>
        <v>427897328</v>
      </c>
      <c r="D244" s="12" t="str">
        <f>IFERROR(__xludf.DUMMYFUNCTION("""COMPUTED_VALUE"""),"Vũ Trọng Giang")</f>
        <v>Vũ Trọng Giang</v>
      </c>
      <c r="E244" s="102" t="str">
        <f>IFERROR(__xludf.DUMMYFUNCTION("""COMPUTED_VALUE"""),"Ss tải giùm em bài ghi hình bài học hôm qua lên giúp em xíu ạ . Hôm qua mạng chập chờn quá nên nhiều cái em ko nghe rõ lắm")</f>
        <v>Ss tải giùm em bài ghi hình bài học hôm qua lên giúp em xíu ạ . Hôm qua mạng chập chờn quá nên nhiều cái em ko nghe rõ lắm</v>
      </c>
      <c r="F244" s="12" t="str">
        <f>IFERROR(__xludf.DUMMYFUNCTION("""COMPUTED_VALUE"""),"CVHT01")</f>
        <v>CVHT01</v>
      </c>
      <c r="G244" s="86" t="s">
        <v>891</v>
      </c>
    </row>
    <row r="245">
      <c r="A245" s="12"/>
      <c r="B245" s="241">
        <f>IFERROR(__xludf.DUMMYFUNCTION("""COMPUTED_VALUE"""),46191.0)</f>
        <v>46191</v>
      </c>
      <c r="C245" s="12" t="str">
        <f>IFERROR(__xludf.DUMMYFUNCTION("""COMPUTED_VALUE"""),"10054391")</f>
        <v>10054391</v>
      </c>
      <c r="D245" s="12" t="str">
        <f>IFERROR(__xludf.DUMMYFUNCTION("""COMPUTED_VALUE"""),"Nguyễn Văn Đan Trường N4CBCS")</f>
        <v>Nguyễn Văn Đan Trường N4CBCS</v>
      </c>
      <c r="E245" s="102" t="str">
        <f>IFERROR(__xludf.DUMMYFUNCTION("""COMPUTED_VALUE"""),"Bạn báo câu 7/30 bị trùng đáp án ạ")</f>
        <v>Bạn báo câu 7/30 bị trùng đáp án ạ</v>
      </c>
      <c r="F245" s="12" t="str">
        <f>IFERROR(__xludf.DUMMYFUNCTION("""COMPUTED_VALUE"""),"CVHT01")</f>
        <v>CVHT01</v>
      </c>
      <c r="G245" s="86" t="s">
        <v>891</v>
      </c>
    </row>
    <row r="246">
      <c r="A246" s="12"/>
      <c r="B246" s="241">
        <f>IFERROR(__xludf.DUMMYFUNCTION("""COMPUTED_VALUE"""),46191.0)</f>
        <v>46191</v>
      </c>
      <c r="C246" s="12" t="str">
        <f>IFERROR(__xludf.DUMMYFUNCTION("""COMPUTED_VALUE"""),"427897403")</f>
        <v>427897403</v>
      </c>
      <c r="D246" s="12" t="str">
        <f>IFERROR(__xludf.DUMMYFUNCTION("""COMPUTED_VALUE""")," Nguyễn Huỳnh Bảo Châu")</f>
        <v> Nguyễn Huỳnh Bảo Châu</v>
      </c>
      <c r="E246" s="102" t="str">
        <f>IFERROR(__xludf.DUMMYFUNCTION("""COMPUTED_VALUE"""),"Báo cáo kết quả test lớp: bạn nói nhưng vẫn ko nghe được ạ")</f>
        <v>Báo cáo kết quả test lớp: bạn nói nhưng vẫn ko nghe được ạ</v>
      </c>
      <c r="F246" s="12" t="str">
        <f>IFERROR(__xludf.DUMMYFUNCTION("""COMPUTED_VALUE"""),"CVHT01")</f>
        <v>CVHT01</v>
      </c>
      <c r="G246" s="86" t="s">
        <v>891</v>
      </c>
    </row>
    <row r="247">
      <c r="A247" s="12"/>
      <c r="B247" s="241">
        <f>IFERROR(__xludf.DUMMYFUNCTION("""COMPUTED_VALUE"""),46192.0)</f>
        <v>46192</v>
      </c>
      <c r="C247" s="12" t="str">
        <f>IFERROR(__xludf.DUMMYFUNCTION("""COMPUTED_VALUE"""),"427896825")</f>
        <v>427896825</v>
      </c>
      <c r="D247" s="12" t="str">
        <f>IFERROR(__xludf.DUMMYFUNCTION("""COMPUTED_VALUE"""),"Nguyễn Ngọc Phiến")</f>
        <v>Nguyễn Ngọc Phiến</v>
      </c>
      <c r="E247" s="102" t="str">
        <f>IFERROR(__xludf.DUMMYFUNCTION("""COMPUTED_VALUE"""),"""mình học 3 buổi rồi, nhưng mà mình đang muốn đổi lên lớp cao hơn ko biết dc ko ạ"", "" giáo trình kaiwa 2 này tuy mình cũng ko hẳn trôi chảy lắm nhưng mà mấy từ vựng và ngữ pháp trong đó mình cũng đang hay dùng rồi.
nên giờ chỉ học như vậy thôi thì ...."&amp;"., cảm giác ko đủ kích thích lắm.""")</f>
        <v>"mình học 3 buổi rồi, nhưng mà mình đang muốn đổi lên lớp cao hơn ko biết dc ko ạ", " giáo trình kaiwa 2 này tuy mình cũng ko hẳn trôi chảy lắm nhưng mà mấy từ vựng và ngữ pháp trong đó mình cũng đang hay dùng rồi.
nên giờ chỉ học như vậy thôi thì ....., cảm giác ko đủ kích thích lắm."</v>
      </c>
      <c r="F247" s="12" t="str">
        <f>IFERROR(__xludf.DUMMYFUNCTION("""COMPUTED_VALUE"""),"CVHT01")</f>
        <v>CVHT01</v>
      </c>
      <c r="G247" s="86" t="s">
        <v>891</v>
      </c>
    </row>
    <row r="248">
      <c r="A248" s="12"/>
      <c r="B248" s="241">
        <f>IFERROR(__xludf.DUMMYFUNCTION("""COMPUTED_VALUE"""),46192.0)</f>
        <v>46192</v>
      </c>
      <c r="C248" s="12" t="str">
        <f>IFERROR(__xludf.DUMMYFUNCTION("""COMPUTED_VALUE"""),"420287083")</f>
        <v>420287083</v>
      </c>
      <c r="D248" s="12" t="str">
        <f>IFERROR(__xludf.DUMMYFUNCTION("""COMPUTED_VALUE"""),"Trần Thanh Tùng")</f>
        <v>Trần Thanh Tùng</v>
      </c>
      <c r="E248" s="102" t="str">
        <f>IFERROR(__xludf.DUMMYFUNCTION("""COMPUTED_VALUE"""),"""vâng từ t7 bắt đầu chuyển qua khóa jlpt nhé ss""")</f>
        <v>"vâng từ t7 bắt đầu chuyển qua khóa jlpt nhé ss"</v>
      </c>
      <c r="F248" s="12" t="str">
        <f>IFERROR(__xludf.DUMMYFUNCTION("""COMPUTED_VALUE"""),"CVHT01")</f>
        <v>CVHT01</v>
      </c>
      <c r="G248" s="86" t="s">
        <v>891</v>
      </c>
    </row>
    <row r="249">
      <c r="A249" s="12"/>
      <c r="B249" s="241">
        <f>IFERROR(__xludf.DUMMYFUNCTION("""COMPUTED_VALUE"""),46193.0)</f>
        <v>46193</v>
      </c>
      <c r="C249" s="12" t="str">
        <f>IFERROR(__xludf.DUMMYFUNCTION("""COMPUTED_VALUE"""),"427897543")</f>
        <v>427897543</v>
      </c>
      <c r="D249" s="12" t="str">
        <f>IFERROR(__xludf.DUMMYFUNCTION("""COMPUTED_VALUE"""),"Nguyễn Thị Lan")</f>
        <v>Nguyễn Thị Lan</v>
      </c>
      <c r="E249" s="102" t="str">
        <f>IFERROR(__xludf.DUMMYFUNCTION("""COMPUTED_VALUE"""),"Bạn không xem được slide trình chiếu dù đã làm theo như hướng dẫn, bạn có gửi ảnh ở tin nhắn zl ạ, bấm vô icon máy chiếu nó hiện ra every one")</f>
        <v>Bạn không xem được slide trình chiếu dù đã làm theo như hướng dẫn, bạn có gửi ảnh ở tin nhắn zl ạ, bấm vô icon máy chiếu nó hiện ra every one</v>
      </c>
      <c r="F249" s="12" t="str">
        <f>IFERROR(__xludf.DUMMYFUNCTION("""COMPUTED_VALUE"""),"CVHT01")</f>
        <v>CVHT01</v>
      </c>
      <c r="G249" s="86" t="s">
        <v>891</v>
      </c>
    </row>
    <row r="250">
      <c r="A250" s="12"/>
      <c r="B250" s="241">
        <f>IFERROR(__xludf.DUMMYFUNCTION("""COMPUTED_VALUE"""),46193.0)</f>
        <v>46193</v>
      </c>
      <c r="C250" s="12" t="str">
        <f>IFERROR(__xludf.DUMMYFUNCTION("""COMPUTED_VALUE"""),"427897328")</f>
        <v>427897328</v>
      </c>
      <c r="D250" s="12" t="str">
        <f>IFERROR(__xludf.DUMMYFUNCTION("""COMPUTED_VALUE"""),"Vũ Trọng Giang")</f>
        <v>Vũ Trọng Giang</v>
      </c>
      <c r="E250" s="102" t="str">
        <f>IFERROR(__xludf.DUMMYFUNCTION("""COMPUTED_VALUE"""),"Chị update video record cho bạn ạ")</f>
        <v>Chị update video record cho bạn ạ</v>
      </c>
      <c r="F250" s="12" t="str">
        <f>IFERROR(__xludf.DUMMYFUNCTION("""COMPUTED_VALUE"""),"CVHT01")</f>
        <v>CVHT01</v>
      </c>
      <c r="G250" s="86" t="s">
        <v>891</v>
      </c>
    </row>
    <row r="251">
      <c r="A251" s="12"/>
      <c r="B251" s="241">
        <f>IFERROR(__xludf.DUMMYFUNCTION("""COMPUTED_VALUE"""),46193.0)</f>
        <v>46193</v>
      </c>
      <c r="C251" s="12" t="str">
        <f>IFERROR(__xludf.DUMMYFUNCTION("""COMPUTED_VALUE"""),"GV425 ")</f>
        <v>GV425 </v>
      </c>
      <c r="D251" s="12" t="str">
        <f>IFERROR(__xludf.DUMMYFUNCTION("""COMPUTED_VALUE"""),"Trần Thị Ngọc Thủy K2")</f>
        <v>Trần Thị Ngọc Thủy K2</v>
      </c>
      <c r="E251" s="102" t="str">
        <f>IFERROR(__xludf.DUMMYFUNCTION("""COMPUTED_VALUE"""),"Tân san từ tuần sau lịch học sẽ như này ạ:Tuần sau 15hvn 17hnb
Tuần sau nữa 17:30vn 19:30nb
Các tuần thay luân phiên nhau, học 357 ạ, em chưa biết cách set lịch học nhiều tuần, chị set hộ em nha")</f>
        <v>Tân san từ tuần sau lịch học sẽ như này ạ:Tuần sau 15hvn 17hnb
Tuần sau nữa 17:30vn 19:30nb
Các tuần thay luân phiên nhau, học 357 ạ, em chưa biết cách set lịch học nhiều tuần, chị set hộ em nha</v>
      </c>
      <c r="F251" s="12" t="str">
        <f>IFERROR(__xludf.DUMMYFUNCTION("""COMPUTED_VALUE"""),"CVHT01")</f>
        <v>CVHT01</v>
      </c>
      <c r="G251" s="86" t="s">
        <v>891</v>
      </c>
    </row>
    <row r="252">
      <c r="A252" s="12"/>
      <c r="B252" s="241">
        <f>IFERROR(__xludf.DUMMYFUNCTION("""COMPUTED_VALUE"""),46196.0)</f>
        <v>46196</v>
      </c>
      <c r="C252" s="12" t="str">
        <f>IFERROR(__xludf.DUMMYFUNCTION("""COMPUTED_VALUE"""),"427897873 ")</f>
        <v>427897873 </v>
      </c>
      <c r="D252" s="12" t="str">
        <f>IFERROR(__xludf.DUMMYFUNCTION("""COMPUTED_VALUE"""),"Nguyễn Thị Tuyền")</f>
        <v>Nguyễn Thị Tuyền</v>
      </c>
      <c r="E252" s="102" t="str">
        <f>IFERROR(__xludf.DUMMYFUNCTION("""COMPUTED_VALUE"""),"giáo viên báo là t2 8h30 được ạ, t4 thì 9h30 ạ")</f>
        <v>giáo viên báo là t2 8h30 được ạ, t4 thì 9h30 ạ</v>
      </c>
      <c r="F252" s="12" t="str">
        <f>IFERROR(__xludf.DUMMYFUNCTION("""COMPUTED_VALUE"""),"CVHT01")</f>
        <v>CVHT01</v>
      </c>
      <c r="G252" s="86" t="s">
        <v>891</v>
      </c>
    </row>
    <row r="253">
      <c r="A253" s="12"/>
      <c r="B253" s="241">
        <f>IFERROR(__xludf.DUMMYFUNCTION("""COMPUTED_VALUE"""),46196.0)</f>
        <v>46196</v>
      </c>
      <c r="C253" s="12" t="str">
        <f>IFERROR(__xludf.DUMMYFUNCTION("""COMPUTED_VALUE"""),"427896140")</f>
        <v>427896140</v>
      </c>
      <c r="D253" s="12" t="str">
        <f>IFERROR(__xludf.DUMMYFUNCTION("""COMPUTED_VALUE""")," Lường Tuyết Ngân")</f>
        <v> Lường Tuyết Ngân</v>
      </c>
      <c r="E253" s="102" t="str">
        <f>IFERROR(__xludf.DUMMYFUNCTION("""COMPUTED_VALUE"""),"Ss ơi chủ nhật tuần tới e đi thi ạ, thì min bt bù vào ngày thứ 5 dc k ạ (t5 ngày 09/07)")</f>
        <v>Ss ơi chủ nhật tuần tới e đi thi ạ, thì min bt bù vào ngày thứ 5 dc k ạ (t5 ngày 09/07)</v>
      </c>
      <c r="F253" s="12" t="str">
        <f>IFERROR(__xludf.DUMMYFUNCTION("""COMPUTED_VALUE"""),"CVHT01")</f>
        <v>CVHT01</v>
      </c>
      <c r="G253" s="86" t="s">
        <v>891</v>
      </c>
    </row>
    <row r="254">
      <c r="A254" s="12"/>
      <c r="B254" s="241">
        <f>IFERROR(__xludf.DUMMYFUNCTION("""COMPUTED_VALUE"""),46196.0)</f>
        <v>46196</v>
      </c>
      <c r="C254" s="12" t="str">
        <f>IFERROR(__xludf.DUMMYFUNCTION("""COMPUTED_VALUE"""),"427894711")</f>
        <v>427894711</v>
      </c>
      <c r="D254" s="12" t="str">
        <f>IFERROR(__xludf.DUMMYFUNCTION("""COMPUTED_VALUE"""),"Lê Thị Ngọc Hân")</f>
        <v>Lê Thị Ngọc Hân</v>
      </c>
      <c r="E254" s="102" t="str">
        <f>IFERROR(__xludf.DUMMYFUNCTION("""COMPUTED_VALUE"""),"Ss cho e hỏi học phí của 1/2 lớp kaiwa 4 là bao nhiêu ạ.")</f>
        <v>Ss cho e hỏi học phí của 1/2 lớp kaiwa 4 là bao nhiêu ạ.</v>
      </c>
      <c r="F254" s="12" t="str">
        <f>IFERROR(__xludf.DUMMYFUNCTION("""COMPUTED_VALUE"""),"CVHT01")</f>
        <v>CVHT01</v>
      </c>
      <c r="G254" s="86" t="s">
        <v>891</v>
      </c>
    </row>
    <row r="255">
      <c r="A255" s="12"/>
      <c r="B255" s="241">
        <f>IFERROR(__xludf.DUMMYFUNCTION("""COMPUTED_VALUE"""),46196.0)</f>
        <v>46196</v>
      </c>
      <c r="C255" s="12" t="str">
        <f>IFERROR(__xludf.DUMMYFUNCTION("""COMPUTED_VALUE"""),"GV37 ")</f>
        <v>GV37 </v>
      </c>
      <c r="D255" s="12" t="str">
        <f>IFERROR(__xludf.DUMMYFUNCTION("""COMPUTED_VALUE"""),"Trần Thị Thoa  K3")</f>
        <v>Trần Thị Thoa  K3</v>
      </c>
      <c r="E255" s="102" t="str">
        <f>IFERROR(__xludf.DUMMYFUNCTION("""COMPUTED_VALUE"""),"Ôi c ơi, e xin lỗi, em quên mất xem nhầm lịch. Tuần sau nữa e mới dạy dk cơ ạ,huuu")</f>
        <v>Ôi c ơi, e xin lỗi, em quên mất xem nhầm lịch. Tuần sau nữa e mới dạy dk cơ ạ,huuu</v>
      </c>
      <c r="F255" s="12" t="str">
        <f>IFERROR(__xludf.DUMMYFUNCTION("""COMPUTED_VALUE"""),"CVHT01")</f>
        <v>CVHT01</v>
      </c>
      <c r="G255" s="86" t="s">
        <v>891</v>
      </c>
    </row>
    <row r="256">
      <c r="A256" s="12"/>
      <c r="B256" s="241">
        <f>IFERROR(__xludf.DUMMYFUNCTION("""COMPUTED_VALUE"""),46196.0)</f>
        <v>46196</v>
      </c>
      <c r="C256" s="12" t="str">
        <f>IFERROR(__xludf.DUMMYFUNCTION("""COMPUTED_VALUE"""),"GV490 ")</f>
        <v>GV490 </v>
      </c>
      <c r="D256" s="12" t="str">
        <f>IFERROR(__xludf.DUMMYFUNCTION("""COMPUTED_VALUE"""),"Nguyễn Việt Hà K3")</f>
        <v>Nguyễn Việt Hà K3</v>
      </c>
      <c r="E256" s="102" t="str">
        <f>IFERROR(__xludf.DUMMYFUNCTION("""COMPUTED_VALUE"""),"Dạ c, điền bảng スケジュール là lỗi hệ thông nhé")</f>
        <v>Dạ c, điền bảng スケジュール là lỗi hệ thông nhé</v>
      </c>
      <c r="F256" s="12" t="str">
        <f>IFERROR(__xludf.DUMMYFUNCTION("""COMPUTED_VALUE"""),"CVHT01")</f>
        <v>CVHT01</v>
      </c>
      <c r="G256" s="86" t="s">
        <v>891</v>
      </c>
    </row>
    <row r="257">
      <c r="A257" s="12"/>
      <c r="B257" s="241">
        <f>IFERROR(__xludf.DUMMYFUNCTION("""COMPUTED_VALUE"""),46196.0)</f>
        <v>46196</v>
      </c>
      <c r="C257" s="12" t="str">
        <f>IFERROR(__xludf.DUMMYFUNCTION("""COMPUTED_VALUE"""),"10053752 ")</f>
        <v>10053752 </v>
      </c>
      <c r="D257" s="12" t="str">
        <f>IFERROR(__xludf.DUMMYFUNCTION("""COMPUTED_VALUE""")," Nguyễn Thị Hiền JLPT N2")</f>
        <v> Nguyễn Thị Hiền JLPT N2</v>
      </c>
      <c r="E257" s="102" t="str">
        <f>IFERROR(__xludf.DUMMYFUNCTION("""COMPUTED_VALUE"""),"C check tin nhắn zl nhé ạ, bạn muốn có buổi ôn tập ạ")</f>
        <v>C check tin nhắn zl nhé ạ, bạn muốn có buổi ôn tập ạ</v>
      </c>
      <c r="F257" s="12" t="str">
        <f>IFERROR(__xludf.DUMMYFUNCTION("""COMPUTED_VALUE"""),"CVHT01")</f>
        <v>CVHT01</v>
      </c>
      <c r="G257" s="86" t="s">
        <v>891</v>
      </c>
    </row>
    <row r="258">
      <c r="A258" s="12"/>
      <c r="B258" s="241">
        <f>IFERROR(__xludf.DUMMYFUNCTION("""COMPUTED_VALUE"""),46198.0)</f>
        <v>46198</v>
      </c>
      <c r="C258" s="12" t="str">
        <f>IFERROR(__xludf.DUMMYFUNCTION("""COMPUTED_VALUE"""),"427896434")</f>
        <v>427896434</v>
      </c>
      <c r="D258" s="12" t="str">
        <f>IFERROR(__xludf.DUMMYFUNCTION("""COMPUTED_VALUE"""),"Lê Xuân Cường")</f>
        <v>Lê Xuân Cường</v>
      </c>
      <c r="E258" s="102" t="str">
        <f>IFERROR(__xludf.DUMMYFUNCTION("""COMPUTED_VALUE"""),"ss ơi em muốn học lên , nhưng cấu trúc ngữ pháp và từ vừng em còn yếu . em muốn học lại từ cho trắc ngữ pháp và kiến thúc ạ, em cảm thấy không theo được  khóa này , em nuốm đổi khóa có được không ạ")</f>
        <v>ss ơi em muốn học lên , nhưng cấu trúc ngữ pháp và từ vừng em còn yếu . em muốn học lại từ cho trắc ngữ pháp và kiến thúc ạ, em cảm thấy không theo được  khóa này , em nuốm đổi khóa có được không ạ</v>
      </c>
      <c r="F258" s="12" t="str">
        <f>IFERROR(__xludf.DUMMYFUNCTION("""COMPUTED_VALUE"""),"CVHT01")</f>
        <v>CVHT01</v>
      </c>
      <c r="G258" s="86" t="s">
        <v>891</v>
      </c>
    </row>
    <row r="259">
      <c r="A259" s="12"/>
      <c r="B259" s="241">
        <f>IFERROR(__xludf.DUMMYFUNCTION("""COMPUTED_VALUE"""),46198.0)</f>
        <v>46198</v>
      </c>
      <c r="C259" s="12" t="str">
        <f>IFERROR(__xludf.DUMMYFUNCTION("""COMPUTED_VALUE"""),"GV385 ")</f>
        <v>GV385 </v>
      </c>
      <c r="D259" s="12" t="str">
        <f>IFERROR(__xludf.DUMMYFUNCTION("""COMPUTED_VALUE""")," Lê Nữ Trang Nhung K3")</f>
        <v> Lê Nữ Trang Nhung K3</v>
      </c>
      <c r="E259" s="102" t="str">
        <f>IFERROR(__xludf.DUMMYFUNCTION("""COMPUTED_VALUE"""),"hôm nay mình mới đi, đến 10.7 mới về bạn à")</f>
        <v>hôm nay mình mới đi, đến 10.7 mới về bạn à</v>
      </c>
      <c r="F259" s="12" t="str">
        <f>IFERROR(__xludf.DUMMYFUNCTION("""COMPUTED_VALUE"""),"CVHT01")</f>
        <v>CVHT01</v>
      </c>
      <c r="G259" s="86" t="s">
        <v>891</v>
      </c>
    </row>
    <row r="260">
      <c r="A260" s="12"/>
      <c r="B260" s="241">
        <f>IFERROR(__xludf.DUMMYFUNCTION("""COMPUTED_VALUE"""),46199.0)</f>
        <v>46199</v>
      </c>
      <c r="C260" s="12" t="str">
        <f>IFERROR(__xludf.DUMMYFUNCTION("""COMPUTED_VALUE"""),"427896548")</f>
        <v>427896548</v>
      </c>
      <c r="D260" s="12" t="str">
        <f>IFERROR(__xludf.DUMMYFUNCTION("""COMPUTED_VALUE"""),"Nguyễn Văn Thức")</f>
        <v>Nguyễn Văn Thức</v>
      </c>
      <c r="E260" s="102" t="str">
        <f>IFERROR(__xludf.DUMMYFUNCTION("""COMPUTED_VALUE"""),"""mấy bài đã học k có lưu nữa v ss"" "" mới lưu tới bài 5"" bạn hỏi link record ạ")</f>
        <v>"mấy bài đã học k có lưu nữa v ss" " mới lưu tới bài 5" bạn hỏi link record ạ</v>
      </c>
      <c r="F260" s="12" t="str">
        <f>IFERROR(__xludf.DUMMYFUNCTION("""COMPUTED_VALUE"""),"CVHT01")</f>
        <v>CVHT01</v>
      </c>
      <c r="G260" s="86" t="s">
        <v>891</v>
      </c>
    </row>
    <row r="261">
      <c r="A261" s="12"/>
      <c r="B261" s="286">
        <f>IFERROR(__xludf.DUMMYFUNCTION("""COMPUTED_VALUE"""),46200.0)</f>
        <v>46200</v>
      </c>
      <c r="C261" s="12" t="str">
        <f>IFERROR(__xludf.DUMMYFUNCTION("""COMPUTED_VALUE"""),"427896605")</f>
        <v>427896605</v>
      </c>
      <c r="D261" s="12" t="str">
        <f>IFERROR(__xludf.DUMMYFUNCTION("""COMPUTED_VALUE"""),"Nguyễn Công Dũng")</f>
        <v>Nguyễn Công Dũng</v>
      </c>
      <c r="E261" s="246" t="str">
        <f>IFERROR(__xludf.DUMMYFUNCTION("""COMPUTED_VALUE"""),"Cho e thay lại lịch học khác đc k ss nhỉ.lịch học này đôi lúc trùng lịch làm việc của em nên đôi lúc có thể k tham gia đầy đủ được")</f>
        <v>Cho e thay lại lịch học khác đc k ss nhỉ.lịch học này đôi lúc trùng lịch làm việc của em nên đôi lúc có thể k tham gia đầy đủ được</v>
      </c>
      <c r="F261" s="12" t="str">
        <f>IFERROR(__xludf.DUMMYFUNCTION("""COMPUTED_VALUE"""),"CVHT01")</f>
        <v>CVHT01</v>
      </c>
      <c r="G261" s="86" t="s">
        <v>891</v>
      </c>
    </row>
    <row r="262">
      <c r="A262" s="12"/>
      <c r="B262" s="286">
        <f>IFERROR(__xludf.DUMMYFUNCTION("""COMPUTED_VALUE"""),46200.0)</f>
        <v>46200</v>
      </c>
      <c r="C262" s="12" t="str">
        <f>IFERROR(__xludf.DUMMYFUNCTION("""COMPUTED_VALUE"""),"420290593")</f>
        <v>420290593</v>
      </c>
      <c r="D262" s="12" t="str">
        <f>IFERROR(__xludf.DUMMYFUNCTION("""COMPUTED_VALUE"""),"Đỗ Thị Ngọc Yến")</f>
        <v>Đỗ Thị Ngọc Yến</v>
      </c>
      <c r="E262" s="102" t="str">
        <f>IFERROR(__xludf.DUMMYFUNCTION("""COMPUTED_VALUE"""),"Thật sự e xin lỗi ss ạ. Cho e xin kết thúc trương trình học sớm nhé. Do gần đây lịch làm của e liên tục thay đổi. Nên e thể Học được ạ")</f>
        <v>Thật sự e xin lỗi ss ạ. Cho e xin kết thúc trương trình học sớm nhé. Do gần đây lịch làm của e liên tục thay đổi. Nên e thể Học được ạ</v>
      </c>
      <c r="F262" s="12" t="str">
        <f>IFERROR(__xludf.DUMMYFUNCTION("""COMPUTED_VALUE"""),"CVHT01")</f>
        <v>CVHT01</v>
      </c>
      <c r="G262" s="86" t="s">
        <v>891</v>
      </c>
    </row>
    <row r="263">
      <c r="A263" s="12"/>
      <c r="B263" s="241">
        <f>IFERROR(__xludf.DUMMYFUNCTION("""COMPUTED_VALUE"""),46202.0)</f>
        <v>46202</v>
      </c>
      <c r="C263" s="12" t="str">
        <f>IFERROR(__xludf.DUMMYFUNCTION("""COMPUTED_VALUE"""),"420287758")</f>
        <v>420287758</v>
      </c>
      <c r="D263" s="12" t="str">
        <f>IFERROR(__xludf.DUMMYFUNCTION("""COMPUTED_VALUE"""),"Đỗ Thị Thu Phương")</f>
        <v>Đỗ Thị Thu Phương</v>
      </c>
      <c r="E263" s="102" t="str">
        <f>IFERROR(__xludf.DUMMYFUNCTION("""COMPUTED_VALUE"""),"Bạn muốn bảo lưu ạ")</f>
        <v>Bạn muốn bảo lưu ạ</v>
      </c>
      <c r="F263" s="12" t="str">
        <f>IFERROR(__xludf.DUMMYFUNCTION("""COMPUTED_VALUE"""),"CVHT01")</f>
        <v>CVHT01</v>
      </c>
      <c r="G263" s="86" t="s">
        <v>891</v>
      </c>
    </row>
    <row r="264">
      <c r="A264" s="12"/>
      <c r="B264" s="241">
        <f>IFERROR(__xludf.DUMMYFUNCTION("""COMPUTED_VALUE"""),46202.0)</f>
        <v>46202</v>
      </c>
      <c r="C264" s="12" t="str">
        <f>IFERROR(__xludf.DUMMYFUNCTION("""COMPUTED_VALUE"""),"10054163 ")</f>
        <v>10054163 </v>
      </c>
      <c r="D264" s="12" t="str">
        <f>IFERROR(__xludf.DUMMYFUNCTION("""COMPUTED_VALUE""")," Thạch Sane Ha JLPT N4")</f>
        <v> Thạch Sane Ha JLPT N4</v>
      </c>
      <c r="E264" s="102" t="str">
        <f>IFERROR(__xludf.DUMMYFUNCTION("""COMPUTED_VALUE"""),"""Giờ e đang tính kiếm lớp kaiwa để học"" các chị tư vấn cho bạn ạ")</f>
        <v>"Giờ e đang tính kiếm lớp kaiwa để học" các chị tư vấn cho bạn ạ</v>
      </c>
      <c r="F264" s="12" t="str">
        <f>IFERROR(__xludf.DUMMYFUNCTION("""COMPUTED_VALUE"""),"CVHT01")</f>
        <v>CVHT01</v>
      </c>
      <c r="G264" s="86" t="s">
        <v>891</v>
      </c>
    </row>
    <row r="265">
      <c r="A265" s="12"/>
      <c r="B265" s="241">
        <f>IFERROR(__xludf.DUMMYFUNCTION("""COMPUTED_VALUE"""),46202.0)</f>
        <v>46202</v>
      </c>
      <c r="C265" s="12" t="str">
        <f>IFERROR(__xludf.DUMMYFUNCTION("""COMPUTED_VALUE"""),"427896548")</f>
        <v>427896548</v>
      </c>
      <c r="D265" s="12" t="str">
        <f>IFERROR(__xludf.DUMMYFUNCTION("""COMPUTED_VALUE"""),"Nguyễn Văn Thức")</f>
        <v>Nguyễn Văn Thức</v>
      </c>
      <c r="E265" s="102" t="str">
        <f>IFERROR(__xludf.DUMMYFUNCTION("""COMPUTED_VALUE"""),"Bạn dán link record sang chrome để xem ở điện thoại nhưng ko được ạ")</f>
        <v>Bạn dán link record sang chrome để xem ở điện thoại nhưng ko được ạ</v>
      </c>
      <c r="F265" s="12" t="str">
        <f>IFERROR(__xludf.DUMMYFUNCTION("""COMPUTED_VALUE"""),"CVHT01")</f>
        <v>CVHT01</v>
      </c>
      <c r="G265" s="86" t="s">
        <v>891</v>
      </c>
    </row>
    <row r="266">
      <c r="A266" s="12"/>
      <c r="B266" s="241">
        <f>IFERROR(__xludf.DUMMYFUNCTION("""COMPUTED_VALUE"""),46202.0)</f>
        <v>46202</v>
      </c>
      <c r="C266" s="12" t="str">
        <f>IFERROR(__xludf.DUMMYFUNCTION("""COMPUTED_VALUE"""),"10053931")</f>
        <v>10053931</v>
      </c>
      <c r="D266" s="12" t="str">
        <f>IFERROR(__xludf.DUMMYFUNCTION("""COMPUTED_VALUE"""),"Phạm Ngọc Anh Quý N3")</f>
        <v>Phạm Ngọc Anh Quý N3</v>
      </c>
      <c r="E266" s="102" t="str">
        <f>IFERROR(__xludf.DUMMYFUNCTION("""COMPUTED_VALUE"""),":""Làm bt hái sao , đục lỗ mà suy nghĩ lâu quá "" "" Có mẹo làm bài tăng điểm ko ss""")</f>
        <v>:"Làm bt hái sao , đục lỗ mà suy nghĩ lâu quá " " Có mẹo làm bài tăng điểm ko ss"</v>
      </c>
      <c r="F266" s="12" t="str">
        <f>IFERROR(__xludf.DUMMYFUNCTION("""COMPUTED_VALUE"""),"CVHT01")</f>
        <v>CVHT01</v>
      </c>
      <c r="G266" s="86" t="s">
        <v>891</v>
      </c>
    </row>
    <row r="267">
      <c r="A267" s="12"/>
      <c r="B267" s="241">
        <f>IFERROR(__xludf.DUMMYFUNCTION("""COMPUTED_VALUE"""),46202.0)</f>
        <v>46202</v>
      </c>
      <c r="C267" s="12" t="str">
        <f>IFERROR(__xludf.DUMMYFUNCTION("""COMPUTED_VALUE"""),"427896480")</f>
        <v>427896480</v>
      </c>
      <c r="D267" s="12" t="str">
        <f>IFERROR(__xludf.DUMMYFUNCTION("""COMPUTED_VALUE"""),"Trần Thúy Hằng")</f>
        <v>Trần Thúy Hằng</v>
      </c>
      <c r="E267" s="102" t="str">
        <f>IFERROR(__xludf.DUMMYFUNCTION("""COMPUTED_VALUE"""),"""Ko ạ chỉ là e muốn dừng lại thôi"",""Lý do cá nhân ý ạ""")</f>
        <v>"Ko ạ chỉ là e muốn dừng lại thôi","Lý do cá nhân ý ạ"</v>
      </c>
      <c r="F267" s="12" t="str">
        <f>IFERROR(__xludf.DUMMYFUNCTION("""COMPUTED_VALUE"""),"CVHT01")</f>
        <v>CVHT01</v>
      </c>
      <c r="G267" s="86" t="s">
        <v>891</v>
      </c>
    </row>
    <row r="268">
      <c r="A268" s="12"/>
      <c r="B268" s="241">
        <f>IFERROR(__xludf.DUMMYFUNCTION("""COMPUTED_VALUE"""),46203.0)</f>
        <v>46203</v>
      </c>
      <c r="C268" s="12" t="str">
        <f>IFERROR(__xludf.DUMMYFUNCTION("""COMPUTED_VALUE"""),"427897275")</f>
        <v>427897275</v>
      </c>
      <c r="D268" s="12" t="str">
        <f>IFERROR(__xludf.DUMMYFUNCTION("""COMPUTED_VALUE"""),"Võ Thị Vi")</f>
        <v>Võ Thị Vi</v>
      </c>
      <c r="E268" s="102" t="str">
        <f>IFERROR(__xludf.DUMMYFUNCTION("""COMPUTED_VALUE"""),"thứ 246 lúc 20h30Vn/22h30Nb, bạn học được ạ")</f>
        <v>thứ 246 lúc 20h30Vn/22h30Nb, bạn học được ạ</v>
      </c>
      <c r="F268" s="12" t="str">
        <f>IFERROR(__xludf.DUMMYFUNCTION("""COMPUTED_VALUE"""),"CVHT01")</f>
        <v>CVHT01</v>
      </c>
      <c r="G268" s="86" t="s">
        <v>891</v>
      </c>
    </row>
    <row r="269">
      <c r="A269" s="12"/>
      <c r="B269" s="241">
        <f>IFERROR(__xludf.DUMMYFUNCTION("""COMPUTED_VALUE"""),46203.0)</f>
        <v>46203</v>
      </c>
      <c r="C269" s="12" t="str">
        <f>IFERROR(__xludf.DUMMYFUNCTION("""COMPUTED_VALUE"""),"427896140")</f>
        <v>427896140</v>
      </c>
      <c r="D269" s="12" t="str">
        <f>IFERROR(__xludf.DUMMYFUNCTION("""COMPUTED_VALUE"""),"  Lường Tuyết Ngân")</f>
        <v>  Lường Tuyết Ngân</v>
      </c>
      <c r="E269" s="102" t="str">
        <f>IFERROR(__xludf.DUMMYFUNCTION("""COMPUTED_VALUE"""),"Ss ơi, ngoài bài tập về nhà còn có bài tập nào khác để e luyện viết câu ko ạ, Từ tiếng việt sang tiếng nhật ạ, học cách nói nối câu ạ")</f>
        <v>Ss ơi, ngoài bài tập về nhà còn có bài tập nào khác để e luyện viết câu ko ạ, Từ tiếng việt sang tiếng nhật ạ, học cách nói nối câu ạ</v>
      </c>
      <c r="F269" s="12" t="str">
        <f>IFERROR(__xludf.DUMMYFUNCTION("""COMPUTED_VALUE"""),"CVHT01")</f>
        <v>CVHT01</v>
      </c>
      <c r="G269" s="86" t="s">
        <v>891</v>
      </c>
    </row>
    <row r="270">
      <c r="A270" s="12"/>
      <c r="B270" s="241">
        <f>IFERROR(__xludf.DUMMYFUNCTION("""COMPUTED_VALUE"""),46203.0)</f>
        <v>46203</v>
      </c>
      <c r="C270" s="12" t="str">
        <f>IFERROR(__xludf.DUMMYFUNCTION("""COMPUTED_VALUE"""),"427893083")</f>
        <v>427893083</v>
      </c>
      <c r="D270" s="12" t="str">
        <f>IFERROR(__xludf.DUMMYFUNCTION("""COMPUTED_VALUE"""),"Trần Thị Thùy Nhung")</f>
        <v>Trần Thị Thùy Nhung</v>
      </c>
      <c r="E270" s="102" t="str">
        <f>IFERROR(__xludf.DUMMYFUNCTION("""COMPUTED_VALUE"""),"Tầm 9h nhật học đc ko ss, Ss e học thứ 6,7 vào lúc 9h tối nha ss")</f>
        <v>Tầm 9h nhật học đc ko ss, Ss e học thứ 6,7 vào lúc 9h tối nha ss</v>
      </c>
      <c r="F270" s="12" t="str">
        <f>IFERROR(__xludf.DUMMYFUNCTION("""COMPUTED_VALUE"""),"CVHT01")</f>
        <v>CVHT01</v>
      </c>
      <c r="G270" s="86" t="s">
        <v>891</v>
      </c>
    </row>
    <row r="271">
      <c r="A271" s="12"/>
      <c r="B271" s="241">
        <f>IFERROR(__xludf.DUMMYFUNCTION("""COMPUTED_VALUE"""),46203.0)</f>
        <v>46203</v>
      </c>
      <c r="C271" s="12" t="str">
        <f>IFERROR(__xludf.DUMMYFUNCTION("""COMPUTED_VALUE"""),"427896924")</f>
        <v>427896924</v>
      </c>
      <c r="D271" s="12" t="str">
        <f>IFERROR(__xludf.DUMMYFUNCTION("""COMPUTED_VALUE"""),"Thái Văn Hai Ngàn")</f>
        <v>Thái Văn Hai Ngàn</v>
      </c>
      <c r="E271" s="102" t="str">
        <f>IFERROR(__xludf.DUMMYFUNCTION("""COMPUTED_VALUE"""),"Ss ơi cho e xin video buổi học hôm nay được không ạ")</f>
        <v>Ss ơi cho e xin video buổi học hôm nay được không ạ</v>
      </c>
      <c r="F271" s="12" t="str">
        <f>IFERROR(__xludf.DUMMYFUNCTION("""COMPUTED_VALUE"""),"CVHT01")</f>
        <v>CVHT01</v>
      </c>
      <c r="G271" s="86" t="s">
        <v>891</v>
      </c>
    </row>
    <row r="272">
      <c r="A272" s="12"/>
      <c r="B272" s="241">
        <f>IFERROR(__xludf.DUMMYFUNCTION("""COMPUTED_VALUE"""),46203.0)</f>
        <v>46203</v>
      </c>
      <c r="C272" s="12" t="str">
        <f>IFERROR(__xludf.DUMMYFUNCTION("""COMPUTED_VALUE"""),"427897900")</f>
        <v>427897900</v>
      </c>
      <c r="D272" s="12" t="str">
        <f>IFERROR(__xludf.DUMMYFUNCTION("""COMPUTED_VALUE"""),"Lê Ngọc Phương Khanh")</f>
        <v>Lê Ngọc Phương Khanh</v>
      </c>
      <c r="E272" s="102" t="str">
        <f>IFERROR(__xludf.DUMMYFUNCTION("""COMPUTED_VALUE"""),"Phần video bài giảng với file bài khác nhau dạ ss Của bài 3 đó ạ")</f>
        <v>Phần video bài giảng với file bài khác nhau dạ ss Của bài 3 đó ạ</v>
      </c>
      <c r="F272" s="12" t="str">
        <f>IFERROR(__xludf.DUMMYFUNCTION("""COMPUTED_VALUE"""),"CVHT01")</f>
        <v>CVHT01</v>
      </c>
      <c r="G272" s="86" t="s">
        <v>891</v>
      </c>
    </row>
    <row r="273">
      <c r="A273" s="12"/>
      <c r="B273" s="241">
        <f>IFERROR(__xludf.DUMMYFUNCTION("""COMPUTED_VALUE"""),46203.0)</f>
        <v>46203</v>
      </c>
      <c r="C273" s="12" t="str">
        <f>IFERROR(__xludf.DUMMYFUNCTION("""COMPUTED_VALUE"""),"420290184")</f>
        <v>420290184</v>
      </c>
      <c r="D273" s="12" t="str">
        <f>IFERROR(__xludf.DUMMYFUNCTION("""COMPUTED_VALUE"""),"Lưu Văn Thời N3")</f>
        <v>Lưu Văn Thời N3</v>
      </c>
      <c r="E273" s="102" t="str">
        <f>IFERROR(__xludf.DUMMYFUNCTION("""COMPUTED_VALUE"""),"Em ms làm bài thi thử số 3 ạ, Nm web báo 131,75, Còn tn về gmail là 73,19 ạ")</f>
        <v>Em ms làm bài thi thử số 3 ạ, Nm web báo 131,75, Còn tn về gmail là 73,19 ạ</v>
      </c>
      <c r="F273" s="12" t="str">
        <f>IFERROR(__xludf.DUMMYFUNCTION("""COMPUTED_VALUE"""),"CVHT01")</f>
        <v>CVHT01</v>
      </c>
      <c r="G273" s="86" t="s">
        <v>891</v>
      </c>
    </row>
    <row r="274">
      <c r="A274" s="12"/>
      <c r="B274" s="241">
        <f>IFERROR(__xludf.DUMMYFUNCTION("""COMPUTED_VALUE"""),46204.0)</f>
        <v>46204</v>
      </c>
      <c r="C274" s="12" t="str">
        <f>IFERROR(__xludf.DUMMYFUNCTION("""COMPUTED_VALUE"""),"427896924")</f>
        <v>427896924</v>
      </c>
      <c r="D274" s="12" t="str">
        <f>IFERROR(__xludf.DUMMYFUNCTION("""COMPUTED_VALUE"""),"Thái Văn Hai Ngàn")</f>
        <v>Thái Văn Hai Ngàn</v>
      </c>
      <c r="E274" s="102" t="str">
        <f>IFERROR(__xludf.DUMMYFUNCTION("""COMPUTED_VALUE"""),"""Cho e xin dời lại vài tháng đc k ạ""""e vừa học tkt thực phẩm vs học lại N4 để có vốn từ vựng khi học kaiwa sẽ hiệu quả hơn ạ""")</f>
        <v>"Cho e xin dời lại vài tháng đc k ạ""e vừa học tkt thực phẩm vs học lại N4 để có vốn từ vựng khi học kaiwa sẽ hiệu quả hơn ạ"</v>
      </c>
      <c r="F274" s="12" t="str">
        <f>IFERROR(__xludf.DUMMYFUNCTION("""COMPUTED_VALUE"""),"CVHT01")</f>
        <v>CVHT01</v>
      </c>
      <c r="G274" s="86" t="s">
        <v>891</v>
      </c>
    </row>
    <row r="275">
      <c r="A275" s="12"/>
      <c r="B275" s="241">
        <f>IFERROR(__xludf.DUMMYFUNCTION("""COMPUTED_VALUE"""),46204.0)</f>
        <v>46204</v>
      </c>
      <c r="C275" s="12" t="str">
        <f>IFERROR(__xludf.DUMMYFUNCTION("""COMPUTED_VALUE"""),"427898162")</f>
        <v>427898162</v>
      </c>
      <c r="D275" s="12" t="str">
        <f>IFERROR(__xludf.DUMMYFUNCTION("""COMPUTED_VALUE"""),"Trần Thị Kim Thoa N5")</f>
        <v>Trần Thị Kim Thoa N5</v>
      </c>
      <c r="E275" s="102" t="str">
        <f>IFERROR(__xludf.DUMMYFUNCTION("""COMPUTED_VALUE"""),"Khóa N5 của bạn trên hệ thống (cả app và web) chỉ hiện 1 bài và giáo trình thì ko hiện luôn ạ")</f>
        <v>Khóa N5 của bạn trên hệ thống (cả app và web) chỉ hiện 1 bài và giáo trình thì ko hiện luôn ạ</v>
      </c>
      <c r="F275" s="12" t="str">
        <f>IFERROR(__xludf.DUMMYFUNCTION("""COMPUTED_VALUE"""),"CVHT01")</f>
        <v>CVHT01</v>
      </c>
      <c r="G275" s="86" t="s">
        <v>891</v>
      </c>
    </row>
    <row r="276">
      <c r="A276" s="12"/>
      <c r="B276" s="241">
        <f>IFERROR(__xludf.DUMMYFUNCTION("""COMPUTED_VALUE"""),46204.0)</f>
        <v>46204</v>
      </c>
      <c r="C276" s="12" t="str">
        <f>IFERROR(__xludf.DUMMYFUNCTION("""COMPUTED_VALUE"""),"GV382 ")</f>
        <v>GV382 </v>
      </c>
      <c r="D276" s="12" t="str">
        <f>IFERROR(__xludf.DUMMYFUNCTION("""COMPUTED_VALUE"""),"Tạ Thị Hiền K3")</f>
        <v>Tạ Thị Hiền K3</v>
      </c>
      <c r="E276" s="102" t="str">
        <f>IFERROR(__xludf.DUMMYFUNCTION("""COMPUTED_VALUE"""),""" chị ơi, em đã gửi hồ sơ hợp đồng về cty, k biết là trung tâm đã nhận được chưa ạ""")</f>
        <v>" chị ơi, em đã gửi hồ sơ hợp đồng về cty, k biết là trung tâm đã nhận được chưa ạ"</v>
      </c>
      <c r="F276" s="12" t="str">
        <f>IFERROR(__xludf.DUMMYFUNCTION("""COMPUTED_VALUE"""),"CVHT01")</f>
        <v>CVHT01</v>
      </c>
      <c r="G276" s="86" t="s">
        <v>891</v>
      </c>
    </row>
    <row r="277">
      <c r="A277" s="12"/>
      <c r="B277" s="241">
        <f>IFERROR(__xludf.DUMMYFUNCTION("""COMPUTED_VALUE"""),46205.0)</f>
        <v>46205</v>
      </c>
      <c r="C277" s="12" t="str">
        <f>IFERROR(__xludf.DUMMYFUNCTION("""COMPUTED_VALUE"""),"GV490 ")</f>
        <v>GV490 </v>
      </c>
      <c r="D277" s="12" t="str">
        <f>IFERROR(__xludf.DUMMYFUNCTION("""COMPUTED_VALUE"""),"Nguyễn Việt Hà K3")</f>
        <v>Nguyễn Việt Hà K3</v>
      </c>
      <c r="E277" s="102" t="str">
        <f>IFERROR(__xludf.DUMMYFUNCTION("""COMPUTED_VALUE"""),"Chị ơi, bạn Diệu hôm nay học bài 26 rồi ạ, chuẩn bị kt cuối khoá đúng k c")</f>
        <v>Chị ơi, bạn Diệu hôm nay học bài 26 rồi ạ, chuẩn bị kt cuối khoá đúng k c</v>
      </c>
      <c r="F277" s="12" t="str">
        <f>IFERROR(__xludf.DUMMYFUNCTION("""COMPUTED_VALUE"""),"CVHT01")</f>
        <v>CVHT01</v>
      </c>
      <c r="G277" s="86" t="s">
        <v>891</v>
      </c>
    </row>
    <row r="278">
      <c r="A278" s="12"/>
      <c r="B278" s="241">
        <f>IFERROR(__xludf.DUMMYFUNCTION("""COMPUTED_VALUE"""),46205.0)</f>
        <v>46205</v>
      </c>
      <c r="C278" s="12" t="str">
        <f>IFERROR(__xludf.DUMMYFUNCTION("""COMPUTED_VALUE"""),"10054391")</f>
        <v>10054391</v>
      </c>
      <c r="D278" s="12" t="str">
        <f>IFERROR(__xludf.DUMMYFUNCTION("""COMPUTED_VALUE"""),"Nguyễn Văn Đan Trường N4CBCS")</f>
        <v>Nguyễn Văn Đan Trường N4CBCS</v>
      </c>
      <c r="E278" s="102" t="str">
        <f>IFERROR(__xludf.DUMMYFUNCTION("""COMPUTED_VALUE"""),"chị check tin nhắn zalo nhé ạ")</f>
        <v>chị check tin nhắn zalo nhé ạ</v>
      </c>
      <c r="F278" s="12" t="str">
        <f>IFERROR(__xludf.DUMMYFUNCTION("""COMPUTED_VALUE"""),"CVHT01")</f>
        <v>CVHT01</v>
      </c>
      <c r="G278" s="86" t="s">
        <v>891</v>
      </c>
    </row>
    <row r="279">
      <c r="A279" s="12"/>
      <c r="B279" s="241">
        <f>IFERROR(__xludf.DUMMYFUNCTION("""COMPUTED_VALUE"""),46206.0)</f>
        <v>46206</v>
      </c>
      <c r="C279" s="12" t="str">
        <f>IFERROR(__xludf.DUMMYFUNCTION("""COMPUTED_VALUE"""),"10054388")</f>
        <v>10054388</v>
      </c>
      <c r="D279" s="12" t="str">
        <f>IFERROR(__xludf.DUMMYFUNCTION("""COMPUTED_VALUE"""),"Nguyễn Thị Hồng Dung JLPT N4")</f>
        <v>Nguyễn Thị Hồng Dung JLPT N4</v>
      </c>
      <c r="E279" s="102" t="str">
        <f>IFERROR(__xludf.DUMMYFUNCTION("""COMPUTED_VALUE"""),"""Dạ vâng ạ. 
Em học xong khoá này em không học nữa vậy còn tiền 1 triệu bảo lưu kia thì sao ss ạ. """)</f>
        <v>"Dạ vâng ạ. 
Em học xong khoá này em không học nữa vậy còn tiền 1 triệu bảo lưu kia thì sao ss ạ. "</v>
      </c>
      <c r="F279" s="12" t="str">
        <f>IFERROR(__xludf.DUMMYFUNCTION("""COMPUTED_VALUE"""),"CVHT01")</f>
        <v>CVHT01</v>
      </c>
      <c r="G279" s="86" t="s">
        <v>891</v>
      </c>
    </row>
    <row r="280">
      <c r="A280" s="12"/>
      <c r="B280" s="241">
        <f>IFERROR(__xludf.DUMMYFUNCTION("""COMPUTED_VALUE"""),46207.0)</f>
        <v>46207</v>
      </c>
      <c r="C280" s="12" t="str">
        <f>IFERROR(__xludf.DUMMYFUNCTION("""COMPUTED_VALUE"""),"427897328")</f>
        <v>427897328</v>
      </c>
      <c r="D280" s="12" t="str">
        <f>IFERROR(__xludf.DUMMYFUNCTION("""COMPUTED_VALUE"""),"Vũ Trọng Giang")</f>
        <v>Vũ Trọng Giang</v>
      </c>
      <c r="E280" s="102" t="str">
        <f>IFERROR(__xludf.DUMMYFUNCTION("""COMPUTED_VALUE"""),"Ss biết sao bị lố thêm 5-10 phút ko ss. Thật sự đã ko kịp bài hội thoại cuối cùng đó ss . Dù lố vẫn không kịp. Về lượng từ vựng em đã nói giáo trình soạn ra quá đơn giản , không thể cung cấp cho người giao tiếp về khối lượng từ vựng trong phần giao tiếp đ"&amp;"ược. Thật sự em không thể theo nỗi với phương pháp bên trung tâm được . Mong trung tâm hỗ trợ để em có thể chuyển qua   1 trung tâm khác có phương pháp phù hợp với bản thân hơn . Đã gần 1/3 chặng đường nhưng thật Sự em thấy mình không cải thiện được là ba"&amp;"o nhiêu")</f>
        <v>Ss biết sao bị lố thêm 5-10 phút ko ss. Thật sự đã ko kịp bài hội thoại cuối cùng đó ss . Dù lố vẫn không kịp. Về lượng từ vựng em đã nói giáo trình soạn ra quá đơn giản , không thể cung cấp cho người giao tiếp về khối lượng từ vựng trong phần giao tiếp được. Thật sự em không thể theo nỗi với phương pháp bên trung tâm được . Mong trung tâm hỗ trợ để em có thể chuyển qua   1 trung tâm khác có phương pháp phù hợp với bản thân hơn . Đã gần 1/3 chặng đường nhưng thật Sự em thấy mình không cải thiện được là bao nhiêu</v>
      </c>
      <c r="F280" s="12" t="str">
        <f>IFERROR(__xludf.DUMMYFUNCTION("""COMPUTED_VALUE"""),"CVHT01")</f>
        <v>CVHT01</v>
      </c>
      <c r="G280" s="86" t="s">
        <v>891</v>
      </c>
    </row>
    <row r="281">
      <c r="A281" s="12"/>
      <c r="B281" s="241">
        <f>IFERROR(__xludf.DUMMYFUNCTION("""COMPUTED_VALUE"""),46207.0)</f>
        <v>46207</v>
      </c>
      <c r="C281" s="12" t="str">
        <f>IFERROR(__xludf.DUMMYFUNCTION("""COMPUTED_VALUE"""),"10055677")</f>
        <v>10055677</v>
      </c>
      <c r="D281" s="12" t="str">
        <f>IFERROR(__xludf.DUMMYFUNCTION("""COMPUTED_VALUE"""),"Nguyễn Văn Tuấn N3")</f>
        <v>Nguyễn Văn Tuấn N3</v>
      </c>
      <c r="E281" s="102" t="str">
        <f>IFERROR(__xludf.DUMMYFUNCTION("""COMPUTED_VALUE"""),"Ak ma tiẹn e co ueu cau nhỏ, khi học tren lop mong ss chia ra goi tung nguoi 1 chua bai cho đều  du nguoi biet hay ko biet , chư e học den buoi thư 3 roi  hom nhieu nhất goi dk co 5-6 lân mong ss tren lơp luu ý a,Măc dù goi e có the ko làm dk cau đó nhung"&amp;" 1 lần gọi là 1 lân tập chung để ssuy nghi nhu the nó se giup minh vận dụng tư duy de nho hon chứ cư ngoi nghe thì hieu qua cug ko cao dau a")</f>
        <v>Ak ma tiẹn e co ueu cau nhỏ, khi học tren lop mong ss chia ra goi tung nguoi 1 chua bai cho đều  du nguoi biet hay ko biet , chư e học den buoi thư 3 roi  hom nhieu nhất goi dk co 5-6 lân mong ss tren lơp luu ý a,Măc dù goi e có the ko làm dk cau đó nhung 1 lần gọi là 1 lân tập chung để ssuy nghi nhu the nó se giup minh vận dụng tư duy de nho hon chứ cư ngoi nghe thì hieu qua cug ko cao dau a</v>
      </c>
      <c r="F281" s="12" t="str">
        <f>IFERROR(__xludf.DUMMYFUNCTION("""COMPUTED_VALUE"""),"CVHT01")</f>
        <v>CVHT01</v>
      </c>
      <c r="G281" s="86" t="s">
        <v>891</v>
      </c>
    </row>
    <row r="282">
      <c r="A282" s="12"/>
      <c r="B282" s="241">
        <f>IFERROR(__xludf.DUMMYFUNCTION("""COMPUTED_VALUE"""),46207.0)</f>
        <v>46207</v>
      </c>
      <c r="C282" s="12" t="str">
        <f>IFERROR(__xludf.DUMMYFUNCTION("""COMPUTED_VALUE"""),"10055263")</f>
        <v>10055263</v>
      </c>
      <c r="D282" s="12" t="str">
        <f>IFERROR(__xludf.DUMMYFUNCTION("""COMPUTED_VALUE"""),"Nguyễn Thị Kim Ngân  N5N4CB (1:1)")</f>
        <v>Nguyễn Thị Kim Ngân  N5N4CB (1:1)</v>
      </c>
      <c r="E282" s="102" t="str">
        <f>IFERROR(__xludf.DUMMYFUNCTION("""COMPUTED_VALUE"""),"Em muốn đổi h học lại 21h NB ạ")</f>
        <v>Em muốn đổi h học lại 21h NB ạ</v>
      </c>
      <c r="F282" s="12" t="str">
        <f>IFERROR(__xludf.DUMMYFUNCTION("""COMPUTED_VALUE"""),"CVHT01")</f>
        <v>CVHT01</v>
      </c>
      <c r="G282" s="86" t="s">
        <v>891</v>
      </c>
    </row>
    <row r="283">
      <c r="A283" s="12"/>
      <c r="B283" s="241">
        <f>IFERROR(__xludf.DUMMYFUNCTION("""COMPUTED_VALUE"""),46207.0)</f>
        <v>46207</v>
      </c>
      <c r="C283" s="12" t="str">
        <f>IFERROR(__xludf.DUMMYFUNCTION("""COMPUTED_VALUE"""),"GV501 ")</f>
        <v>GV501 </v>
      </c>
      <c r="D283" s="12" t="str">
        <f>IFERROR(__xludf.DUMMYFUNCTION("""COMPUTED_VALUE"""),"Nguyễn Thị Ngọc Hiền K2")</f>
        <v>Nguyễn Thị Ngọc Hiền K2</v>
      </c>
      <c r="E283" s="102" t="str">
        <f>IFERROR(__xludf.DUMMYFUNCTION("""COMPUTED_VALUE"""),"À em báo cáo tình hình học của Chế san ạ. Chế san chưa làm bài tập 1 bài nào, và càng đi vào sâu các bài thì càng khó và Chế san không theo kịp ss ạ. Ở phần từ vựng và ngữ pháp mất khá nhiều thời gian ở phần này. Hơn nữa là như em có báo từ buổi đầu thì C"&amp;"hế san chưa đọc hết được cả bảng chữ cái và chưa nắm cơ bản danh động từ ạ. Vì vậy trong tiết học đi khá chậm và phải lượt bỏ cả phần nghe và làm thuyết trình. Nên em chưa có hướng đi phù hợp cho bạn nhờ ss hỗ trợ ạ.")</f>
        <v>À em báo cáo tình hình học của Chế san ạ. Chế san chưa làm bài tập 1 bài nào, và càng đi vào sâu các bài thì càng khó và Chế san không theo kịp ss ạ. Ở phần từ vựng và ngữ pháp mất khá nhiều thời gian ở phần này. Hơn nữa là như em có báo từ buổi đầu thì Chế san chưa đọc hết được cả bảng chữ cái và chưa nắm cơ bản danh động từ ạ. Vì vậy trong tiết học đi khá chậm và phải lượt bỏ cả phần nghe và làm thuyết trình. Nên em chưa có hướng đi phù hợp cho bạn nhờ ss hỗ trợ ạ.</v>
      </c>
      <c r="F283" s="12" t="str">
        <f>IFERROR(__xludf.DUMMYFUNCTION("""COMPUTED_VALUE"""),"CVHT01")</f>
        <v>CVHT01</v>
      </c>
      <c r="G283" s="86" t="s">
        <v>891</v>
      </c>
    </row>
    <row r="284">
      <c r="A284" s="12"/>
      <c r="B284" s="241">
        <f>IFERROR(__xludf.DUMMYFUNCTION("""COMPUTED_VALUE"""),46209.0)</f>
        <v>46209</v>
      </c>
      <c r="C284" s="12" t="str">
        <f>IFERROR(__xludf.DUMMYFUNCTION("""COMPUTED_VALUE"""),"427896251")</f>
        <v>427896251</v>
      </c>
      <c r="D284" s="12" t="str">
        <f>IFERROR(__xludf.DUMMYFUNCTION("""COMPUTED_VALUE"""),"Nguyễn Thu Thảo N4 ( 1:1)")</f>
        <v>Nguyễn Thu Thảo N4 ( 1:1)</v>
      </c>
      <c r="E284" s="102" t="str">
        <f>IFERROR(__xludf.DUMMYFUNCTION("""COMPUTED_VALUE"""),"Dạ bạn muốn gọi điện thoại cho bên mình ạ, em hẹn bạn ngày mai lúc 18h30 vn ạ.")</f>
        <v>Dạ bạn muốn gọi điện thoại cho bên mình ạ, em hẹn bạn ngày mai lúc 18h30 vn ạ.</v>
      </c>
      <c r="F284" s="12" t="str">
        <f>IFERROR(__xludf.DUMMYFUNCTION("""COMPUTED_VALUE"""),"CVHT01")</f>
        <v>CVHT01</v>
      </c>
      <c r="G284" s="86" t="s">
        <v>891</v>
      </c>
    </row>
    <row r="285">
      <c r="A285" s="12"/>
      <c r="B285" s="241">
        <f>IFERROR(__xludf.DUMMYFUNCTION("""COMPUTED_VALUE"""),46210.0)</f>
        <v>46210</v>
      </c>
      <c r="C285" s="12" t="str">
        <f>IFERROR(__xludf.DUMMYFUNCTION("""COMPUTED_VALUE"""),"GV442 ")</f>
        <v>GV442 </v>
      </c>
      <c r="D285" s="12" t="str">
        <f>IFERROR(__xludf.DUMMYFUNCTION("""COMPUTED_VALUE"""),"Nguyễn Thị Huyền K2")</f>
        <v>Nguyễn Thị Huyền K2</v>
      </c>
      <c r="E285" s="102" t="str">
        <f>IFERROR(__xludf.DUMMYFUNCTION("""COMPUTED_VALUE"""),"Dạ nếu không thấy trên hệ thống thì học ở gg meet chị ạ do máy tính e bị lỗi nên e mượn máy tính của bạn ạ")</f>
        <v>Dạ nếu không thấy trên hệ thống thì học ở gg meet chị ạ do máy tính e bị lỗi nên e mượn máy tính của bạn ạ</v>
      </c>
      <c r="F285" s="12" t="str">
        <f>IFERROR(__xludf.DUMMYFUNCTION("""COMPUTED_VALUE"""),"CVHT01")</f>
        <v>CVHT01</v>
      </c>
      <c r="G285" s="86" t="s">
        <v>891</v>
      </c>
    </row>
    <row r="286">
      <c r="A286" s="12"/>
      <c r="B286" s="241">
        <f>IFERROR(__xludf.DUMMYFUNCTION("""COMPUTED_VALUE"""),46210.0)</f>
        <v>46210</v>
      </c>
      <c r="C286" s="12" t="str">
        <f>IFERROR(__xludf.DUMMYFUNCTION("""COMPUTED_VALUE"""),"427896204")</f>
        <v>427896204</v>
      </c>
      <c r="D286" s="12" t="str">
        <f>IFERROR(__xludf.DUMMYFUNCTION("""COMPUTED_VALUE"""),"Kim Đa Ri")</f>
        <v>Kim Đa Ri</v>
      </c>
      <c r="E286" s="102" t="str">
        <f>IFERROR(__xludf.DUMMYFUNCTION("""COMPUTED_VALUE"""),"Giữa tháng 8 cũng được ss ơi")</f>
        <v>Giữa tháng 8 cũng được ss ơi</v>
      </c>
      <c r="F286" s="12" t="str">
        <f>IFERROR(__xludf.DUMMYFUNCTION("""COMPUTED_VALUE"""),"CVHT01")</f>
        <v>CVHT01</v>
      </c>
      <c r="G286" s="86" t="s">
        <v>891</v>
      </c>
    </row>
    <row r="287">
      <c r="A287" s="12"/>
      <c r="B287" s="241">
        <f>IFERROR(__xludf.DUMMYFUNCTION("""COMPUTED_VALUE"""),46210.0)</f>
        <v>46210</v>
      </c>
      <c r="C287" s="12" t="str">
        <f>IFERROR(__xludf.DUMMYFUNCTION("""COMPUTED_VALUE"""),"427898222 ")</f>
        <v>427898222 </v>
      </c>
      <c r="D287" s="12" t="str">
        <f>IFERROR(__xludf.DUMMYFUNCTION("""COMPUTED_VALUE"""),"Nguyễn Thị Lan Hương")</f>
        <v>Nguyễn Thị Lan Hương</v>
      </c>
      <c r="E287" s="102" t="str">
        <f>IFERROR(__xludf.DUMMYFUNCTION("""COMPUTED_VALUE"""),"Bạn thao tác nhưng ko vào được lớp ạ")</f>
        <v>Bạn thao tác nhưng ko vào được lớp ạ</v>
      </c>
      <c r="F287" s="12" t="str">
        <f>IFERROR(__xludf.DUMMYFUNCTION("""COMPUTED_VALUE"""),"CVHT01")</f>
        <v>CVHT01</v>
      </c>
      <c r="G287" s="86" t="s">
        <v>891</v>
      </c>
    </row>
    <row r="288">
      <c r="A288" s="12"/>
      <c r="B288" s="241">
        <f>IFERROR(__xludf.DUMMYFUNCTION("""COMPUTED_VALUE"""),46210.0)</f>
        <v>46210</v>
      </c>
      <c r="C288" s="12" t="str">
        <f>IFERROR(__xludf.DUMMYFUNCTION("""COMPUTED_VALUE"""),"420284746")</f>
        <v>420284746</v>
      </c>
      <c r="D288" s="12" t="str">
        <f>IFERROR(__xludf.DUMMYFUNCTION("""COMPUTED_VALUE"""),"Đỗ Thị Lệ Nga")</f>
        <v>Đỗ Thị Lệ Nga</v>
      </c>
      <c r="E288" s="102" t="str">
        <f>IFERROR(__xludf.DUMMYFUNCTION("""COMPUTED_VALUE"""),"Ss ơi em chuyển đi ngành thực phẩm, Em học có thee đổi thành thực phẩm dc k ạ")</f>
        <v>Ss ơi em chuyển đi ngành thực phẩm, Em học có thee đổi thành thực phẩm dc k ạ</v>
      </c>
      <c r="F288" s="12" t="str">
        <f>IFERROR(__xludf.DUMMYFUNCTION("""COMPUTED_VALUE"""),"CVHT01")</f>
        <v>CVHT01</v>
      </c>
      <c r="G288" s="86" t="s">
        <v>891</v>
      </c>
    </row>
    <row r="289">
      <c r="A289" s="12"/>
      <c r="B289" s="241">
        <f>IFERROR(__xludf.DUMMYFUNCTION("""COMPUTED_VALUE"""),46210.0)</f>
        <v>46210</v>
      </c>
      <c r="C289" s="12" t="str">
        <f>IFERROR(__xludf.DUMMYFUNCTION("""COMPUTED_VALUE"""),"427898222")</f>
        <v>427898222</v>
      </c>
      <c r="D289" s="12" t="str">
        <f>IFERROR(__xludf.DUMMYFUNCTION("""COMPUTED_VALUE"""),"Nguyễn Thị Lan Hương")</f>
        <v>Nguyễn Thị Lan Hương</v>
      </c>
      <c r="E289" s="102" t="str">
        <f>IFERROR(__xludf.DUMMYFUNCTION("""COMPUTED_VALUE"""),"em xin video ghi lại buổi học vừa r ạ")</f>
        <v>em xin video ghi lại buổi học vừa r ạ</v>
      </c>
      <c r="F289" s="12" t="str">
        <f>IFERROR(__xludf.DUMMYFUNCTION("""COMPUTED_VALUE"""),"CVHT01")</f>
        <v>CVHT01</v>
      </c>
      <c r="G289" s="86" t="s">
        <v>891</v>
      </c>
    </row>
    <row r="290">
      <c r="A290" s="12"/>
      <c r="B290" s="241">
        <f>IFERROR(__xludf.DUMMYFUNCTION("""COMPUTED_VALUE"""),46211.0)</f>
        <v>46211</v>
      </c>
      <c r="C290" s="12" t="str">
        <f>IFERROR(__xludf.DUMMYFUNCTION("""COMPUTED_VALUE"""),"10054932")</f>
        <v>10054932</v>
      </c>
      <c r="D290" s="12" t="str">
        <f>IFERROR(__xludf.DUMMYFUNCTION("""COMPUTED_VALUE"""),"Đào Vân Anh JLPT N4N3")</f>
        <v>Đào Vân Anh JLPT N4N3</v>
      </c>
      <c r="E290" s="102" t="str">
        <f>IFERROR(__xludf.DUMMYFUNCTION("""COMPUTED_VALUE"""),"""Ss ơi e xin nghỉ lớp n4 bh có lớp kaiwa n3 thì ss báo e nhé ạ""")</f>
        <v>"Ss ơi e xin nghỉ lớp n4 bh có lớp kaiwa n3 thì ss báo e nhé ạ"</v>
      </c>
      <c r="F290" s="12" t="str">
        <f>IFERROR(__xludf.DUMMYFUNCTION("""COMPUTED_VALUE"""),"CVHT01")</f>
        <v>CVHT01</v>
      </c>
      <c r="G290" s="86" t="s">
        <v>891</v>
      </c>
    </row>
    <row r="291">
      <c r="A291" s="12"/>
      <c r="B291" s="241">
        <f>IFERROR(__xludf.DUMMYFUNCTION("""COMPUTED_VALUE"""),46211.0)</f>
        <v>46211</v>
      </c>
      <c r="C291" s="12" t="str">
        <f>IFERROR(__xludf.DUMMYFUNCTION("""COMPUTED_VALUE"""),"GV331 ")</f>
        <v>GV331 </v>
      </c>
      <c r="D291" s="12" t="str">
        <f>IFERROR(__xludf.DUMMYFUNCTION("""COMPUTED_VALUE"""),"Lê Thị La Vang K2 - JLPT N4")</f>
        <v>Lê Thị La Vang K2 - JLPT N4</v>
      </c>
      <c r="E291" s="102" t="str">
        <f>IFERROR(__xludf.DUMMYFUNCTION("""COMPUTED_VALUE"""),"""@Aiko Sensei à c ơi deal với bạn ấy 14h trở đi được ko ạ. 1h trưa hơi sớm""")</f>
        <v>"@Aiko Sensei à c ơi deal với bạn ấy 14h trở đi được ko ạ. 1h trưa hơi sớm"</v>
      </c>
      <c r="F291" s="12" t="str">
        <f>IFERROR(__xludf.DUMMYFUNCTION("""COMPUTED_VALUE"""),"CVHT01")</f>
        <v>CVHT01</v>
      </c>
      <c r="G291" s="86" t="s">
        <v>891</v>
      </c>
    </row>
    <row r="292">
      <c r="A292" s="12"/>
      <c r="B292" s="241">
        <f>IFERROR(__xludf.DUMMYFUNCTION("""COMPUTED_VALUE"""),46211.0)</f>
        <v>46211</v>
      </c>
      <c r="C292" s="12" t="str">
        <f>IFERROR(__xludf.DUMMYFUNCTION("""COMPUTED_VALUE"""),"427897525")</f>
        <v>427897525</v>
      </c>
      <c r="D292" s="12" t="str">
        <f>IFERROR(__xludf.DUMMYFUNCTION("""COMPUTED_VALUE"""),"Đặng Thị Thu Vân N5 ( 1:1)")</f>
        <v>Đặng Thị Thu Vân N5 ( 1:1)</v>
      </c>
      <c r="E292" s="102" t="str">
        <f>IFERROR(__xludf.DUMMYFUNCTION("""COMPUTED_VALUE"""),"""Dạ ,sensei cho e đang ký học từ thư 3 tuần sau 14/7 ạ, sensei cho e xin học 1 tuần 2 buổi thứ 3 &amp; thứ 7 được không ạ.""""E xin học buổi tổi 7h30 giờ VN ạ""
Bạn gửi lịch học ạ,các chị sắp xếp giáo viên cho bạn ạ")</f>
        <v>"Dạ ,sensei cho e đang ký học từ thư 3 tuần sau 14/7 ạ, sensei cho e xin học 1 tuần 2 buổi thứ 3 &amp; thứ 7 được không ạ.""E xin học buổi tổi 7h30 giờ VN ạ"
Bạn gửi lịch học ạ,các chị sắp xếp giáo viên cho bạn ạ</v>
      </c>
      <c r="F292" s="12" t="str">
        <f>IFERROR(__xludf.DUMMYFUNCTION("""COMPUTED_VALUE"""),"CVHT01")</f>
        <v>CVHT01</v>
      </c>
      <c r="G292" s="86" t="s">
        <v>891</v>
      </c>
    </row>
    <row r="293">
      <c r="A293" s="12"/>
      <c r="B293" s="241">
        <f>IFERROR(__xludf.DUMMYFUNCTION("""COMPUTED_VALUE"""),46212.0)</f>
        <v>46212</v>
      </c>
      <c r="C293" s="12" t="str">
        <f>IFERROR(__xludf.DUMMYFUNCTION("""COMPUTED_VALUE"""),"427892803")</f>
        <v>427892803</v>
      </c>
      <c r="D293" s="12" t="str">
        <f>IFERROR(__xludf.DUMMYFUNCTION("""COMPUTED_VALUE"""),"Ngọ Văn Quyết")</f>
        <v>Ngọ Văn Quyết</v>
      </c>
      <c r="E293" s="102" t="str">
        <f>IFERROR(__xludf.DUMMYFUNCTION("""COMPUTED_VALUE"""),"Các chị tư vấn cho bạn lộ trình học N2 ạ")</f>
        <v>Các chị tư vấn cho bạn lộ trình học N2 ạ</v>
      </c>
      <c r="F293" s="12" t="str">
        <f>IFERROR(__xludf.DUMMYFUNCTION("""COMPUTED_VALUE"""),"CVHT01")</f>
        <v>CVHT01</v>
      </c>
      <c r="G293" s="86" t="s">
        <v>891</v>
      </c>
    </row>
    <row r="294">
      <c r="A294" s="12"/>
      <c r="B294" s="241">
        <f>IFERROR(__xludf.DUMMYFUNCTION("""COMPUTED_VALUE"""),46212.0)</f>
        <v>46212</v>
      </c>
      <c r="C294" s="12" t="str">
        <f>IFERROR(__xludf.DUMMYFUNCTION("""COMPUTED_VALUE"""),"10054932")</f>
        <v>10054932</v>
      </c>
      <c r="D294" s="12" t="str">
        <f>IFERROR(__xludf.DUMMYFUNCTION("""COMPUTED_VALUE"""),"Đào Vân Anh JLPT N4N3")</f>
        <v>Đào Vân Anh JLPT N4N3</v>
      </c>
      <c r="E294" s="102" t="str">
        <f>IFERROR(__xludf.DUMMYFUNCTION("""COMPUTED_VALUE"""),"""Theo nhóm lớp thì nt vậy ss""")</f>
        <v>"Theo nhóm lớp thì nt vậy ss"</v>
      </c>
      <c r="F294" s="12" t="str">
        <f>IFERROR(__xludf.DUMMYFUNCTION("""COMPUTED_VALUE"""),"CVHT01")</f>
        <v>CVHT01</v>
      </c>
      <c r="G294" s="86" t="s">
        <v>891</v>
      </c>
    </row>
    <row r="295">
      <c r="A295" s="12"/>
      <c r="B295" s="241">
        <f>IFERROR(__xludf.DUMMYFUNCTION("""COMPUTED_VALUE"""),46213.0)</f>
        <v>46213</v>
      </c>
      <c r="C295" s="12" t="str">
        <f>IFERROR(__xludf.DUMMYFUNCTION("""COMPUTED_VALUE"""),"427897543")</f>
        <v>427897543</v>
      </c>
      <c r="D295" s="12" t="str">
        <f>IFERROR(__xludf.DUMMYFUNCTION("""COMPUTED_VALUE"""),"Nguyễn Thị Lan")</f>
        <v>Nguyễn Thị Lan</v>
      </c>
      <c r="E295" s="102" t="str">
        <f>IFERROR(__xludf.DUMMYFUNCTION("""COMPUTED_VALUE"""),"""Cho e xin nghỉ luôn hé SS ! 
Đầu e vẫn chưa khỏi SS ạ ! 
Làm về e uống thuốc nằm chiều giờ vẫn chưa ổn SS ạ 
Công ty thêm việc nữa e đuối sức quá SS
Với tình hình tài chính của e gặp khó khăn nữa ạ ! Nên e không tham gia hết khóa học của e được SS ạ"&amp;"!
E xin nghỉ ít bữa đầu đỡ e cố gắng tự học tiếp SS hé ! 
E rất xin lỗi vì sự nghỉ giữa chừng của e ạ """)</f>
        <v>"Cho e xin nghỉ luôn hé SS ! 
Đầu e vẫn chưa khỏi SS ạ ! 
Làm về e uống thuốc nằm chiều giờ vẫn chưa ổn SS ạ 
Công ty thêm việc nữa e đuối sức quá SS
Với tình hình tài chính của e gặp khó khăn nữa ạ ! Nên e không tham gia hết khóa học của e được SS ạ!
E xin nghỉ ít bữa đầu đỡ e cố gắng tự học tiếp SS hé ! 
E rất xin lỗi vì sự nghỉ giữa chừng của e ạ "</v>
      </c>
      <c r="F295" s="12" t="str">
        <f>IFERROR(__xludf.DUMMYFUNCTION("""COMPUTED_VALUE"""),"CVHT01")</f>
        <v>CVHT01</v>
      </c>
      <c r="G295" s="86" t="s">
        <v>891</v>
      </c>
    </row>
    <row r="296">
      <c r="A296" s="12"/>
      <c r="B296" s="241">
        <f>IFERROR(__xludf.DUMMYFUNCTION("""COMPUTED_VALUE"""),46213.0)</f>
        <v>46213</v>
      </c>
      <c r="C296" s="12" t="str">
        <f>IFERROR(__xludf.DUMMYFUNCTION("""COMPUTED_VALUE"""),"427898406")</f>
        <v>427898406</v>
      </c>
      <c r="D296" s="12" t="str">
        <f>IFERROR(__xludf.DUMMYFUNCTION("""COMPUTED_VALUE"""),"Dương Thị Thảo")</f>
        <v>Dương Thị Thảo</v>
      </c>
      <c r="E296" s="102" t="str">
        <f>IFERROR(__xludf.DUMMYFUNCTION("""COMPUTED_VALUE"""),"""Trong bài có file nghe""""Có thể gửi cho e để e luyện nghe ko ạ""")</f>
        <v>"Trong bài có file nghe""Có thể gửi cho e để e luyện nghe ko ạ"</v>
      </c>
      <c r="F296" s="12" t="str">
        <f>IFERROR(__xludf.DUMMYFUNCTION("""COMPUTED_VALUE"""),"CVHT01")</f>
        <v>CVHT01</v>
      </c>
      <c r="G296" s="86" t="s">
        <v>891</v>
      </c>
    </row>
    <row r="297">
      <c r="A297" s="12"/>
      <c r="B297" s="241">
        <f>IFERROR(__xludf.DUMMYFUNCTION("""COMPUTED_VALUE"""),46213.0)</f>
        <v>46213</v>
      </c>
      <c r="C297" s="12" t="str">
        <f>IFERROR(__xludf.DUMMYFUNCTION("""COMPUTED_VALUE"""),"GV456 ")</f>
        <v>GV456 </v>
      </c>
      <c r="D297" s="12" t="str">
        <f>IFERROR(__xludf.DUMMYFUNCTION("""COMPUTED_VALUE""")," Trần Anh Bảo Vy K3")</f>
        <v> Trần Anh Bảo Vy K3</v>
      </c>
      <c r="E297" s="102" t="str">
        <f>IFERROR(__xludf.DUMMYFUNCTION("""COMPUTED_VALUE"""),"""@Chika Sensei trước mắt em nhận được 
Mà nếu bạn lên K3 thì chưa chắc chắn nhận tiếp được ạ (tùy tình hình lúc đó)""")</f>
        <v>"@Chika Sensei trước mắt em nhận được 
Mà nếu bạn lên K3 thì chưa chắc chắn nhận tiếp được ạ (tùy tình hình lúc đó)"</v>
      </c>
      <c r="F297" s="12" t="str">
        <f>IFERROR(__xludf.DUMMYFUNCTION("""COMPUTED_VALUE"""),"CVHT01")</f>
        <v>CVHT01</v>
      </c>
      <c r="G297" s="86" t="s">
        <v>891</v>
      </c>
    </row>
    <row r="298">
      <c r="A298" s="12"/>
      <c r="B298" s="241">
        <f>IFERROR(__xludf.DUMMYFUNCTION("""COMPUTED_VALUE"""),46213.0)</f>
        <v>46213</v>
      </c>
      <c r="C298" s="12" t="str">
        <f>IFERROR(__xludf.DUMMYFUNCTION("""COMPUTED_VALUE"""),"427898936")</f>
        <v>427898936</v>
      </c>
      <c r="D298" s="12" t="str">
        <f>IFERROR(__xludf.DUMMYFUNCTION("""COMPUTED_VALUE"""),"Trần Thị Lan")</f>
        <v>Trần Thị Lan</v>
      </c>
      <c r="E298" s="102" t="str">
        <f>IFERROR(__xludf.DUMMYFUNCTION("""COMPUTED_VALUE"""),"Mail bạn bị sai hay sao ấy ạ, em và bạn đăng nhập đều ko đúng ạ")</f>
        <v>Mail bạn bị sai hay sao ấy ạ, em và bạn đăng nhập đều ko đúng ạ</v>
      </c>
      <c r="F298" s="12" t="str">
        <f>IFERROR(__xludf.DUMMYFUNCTION("""COMPUTED_VALUE"""),"CVHT01")</f>
        <v>CVHT01</v>
      </c>
      <c r="G298" s="86" t="s">
        <v>891</v>
      </c>
    </row>
    <row r="299">
      <c r="A299" s="12"/>
      <c r="B299" s="241">
        <f>IFERROR(__xludf.DUMMYFUNCTION("""COMPUTED_VALUE"""),46214.0)</f>
        <v>46214</v>
      </c>
      <c r="C299" s="12" t="str">
        <f>IFERROR(__xludf.DUMMYFUNCTION("""COMPUTED_VALUE"""),"420291147")</f>
        <v>420291147</v>
      </c>
      <c r="D299" s="12" t="str">
        <f>IFERROR(__xludf.DUMMYFUNCTION("""COMPUTED_VALUE"""),"Mạnh Thị Thế")</f>
        <v>Mạnh Thị Thế</v>
      </c>
      <c r="E299" s="102" t="str">
        <f>IFERROR(__xludf.DUMMYFUNCTION("""COMPUTED_VALUE"""),"Bạn có thể bắt đầu học vào thứ 5 ạ, em search chưa thấy lớp nào của bạn có Trang ss nên em k biết báo Trang ss nào ạ")</f>
        <v>Bạn có thể bắt đầu học vào thứ 5 ạ, em search chưa thấy lớp nào của bạn có Trang ss nên em k biết báo Trang ss nào ạ</v>
      </c>
      <c r="F299" s="12" t="str">
        <f>IFERROR(__xludf.DUMMYFUNCTION("""COMPUTED_VALUE"""),"CVHT01")</f>
        <v>CVHT01</v>
      </c>
      <c r="G299" s="86" t="s">
        <v>891</v>
      </c>
    </row>
    <row r="300">
      <c r="A300" s="12"/>
      <c r="B300" s="241">
        <f>IFERROR(__xludf.DUMMYFUNCTION("""COMPUTED_VALUE"""),46214.0)</f>
        <v>46214</v>
      </c>
      <c r="C300" s="12" t="str">
        <f>IFERROR(__xludf.DUMMYFUNCTION("""COMPUTED_VALUE"""),"420278623")</f>
        <v>420278623</v>
      </c>
      <c r="D300" s="12" t="str">
        <f>IFERROR(__xludf.DUMMYFUNCTION("""COMPUTED_VALUE"""),"Trần Long")</f>
        <v>Trần Long</v>
      </c>
      <c r="E300" s="102" t="str">
        <f>IFERROR(__xludf.DUMMYFUNCTION("""COMPUTED_VALUE"""),"Bạn báo làm full tuần ạ")</f>
        <v>Bạn báo làm full tuần ạ</v>
      </c>
      <c r="F300" s="12" t="str">
        <f>IFERROR(__xludf.DUMMYFUNCTION("""COMPUTED_VALUE"""),"CVHT01")</f>
        <v>CVHT01</v>
      </c>
      <c r="G300" s="86" t="s">
        <v>891</v>
      </c>
    </row>
    <row r="301">
      <c r="A301" s="12"/>
      <c r="B301" s="241">
        <f>IFERROR(__xludf.DUMMYFUNCTION("""COMPUTED_VALUE"""),46216.0)</f>
        <v>46216</v>
      </c>
      <c r="C301" s="12" t="str">
        <f>IFERROR(__xludf.DUMMYFUNCTION("""COMPUTED_VALUE"""),"GV492 ")</f>
        <v>GV492 </v>
      </c>
      <c r="D301" s="12" t="str">
        <f>IFERROR(__xludf.DUMMYFUNCTION("""COMPUTED_VALUE"""),"Phùng Thị Thuý Hằng K2")</f>
        <v>Phùng Thị Thuý Hằng K2</v>
      </c>
      <c r="E301" s="102" t="str">
        <f>IFERROR(__xludf.DUMMYFUNCTION("""COMPUTED_VALUE"""),"""với chị ơi, hnay e thấy bạn tài đến bài 15 mà bạn ý còn 5 buổi nữa ạ""""Bài 15 này em ôn trong mấy buổi cuối ạ""")</f>
        <v>"với chị ơi, hnay e thấy bạn tài đến bài 15 mà bạn ý còn 5 buổi nữa ạ""Bài 15 này em ôn trong mấy buổi cuối ạ"</v>
      </c>
      <c r="F301" s="12" t="str">
        <f>IFERROR(__xludf.DUMMYFUNCTION("""COMPUTED_VALUE"""),"CVHT01")</f>
        <v>CVHT01</v>
      </c>
      <c r="G301" s="86" t="s">
        <v>891</v>
      </c>
    </row>
    <row r="302">
      <c r="A302" s="12"/>
      <c r="B302" s="241">
        <f>IFERROR(__xludf.DUMMYFUNCTION("""COMPUTED_VALUE"""),46216.0)</f>
        <v>46216</v>
      </c>
      <c r="C302" s="12" t="str">
        <f>IFERROR(__xludf.DUMMYFUNCTION("""COMPUTED_VALUE"""),"420284976")</f>
        <v>420284976</v>
      </c>
      <c r="D302" s="12" t="str">
        <f>IFERROR(__xludf.DUMMYFUNCTION("""COMPUTED_VALUE"""),"Nguyễn Thiên Kim")</f>
        <v>Nguyễn Thiên Kim</v>
      </c>
      <c r="E302" s="102" t="str">
        <f>IFERROR(__xludf.DUMMYFUNCTION("""COMPUTED_VALUE"""),"""Học 2-4-6 ,21h nhật""")</f>
        <v>"Học 2-4-6 ,21h nhật"</v>
      </c>
      <c r="F302" s="12" t="str">
        <f>IFERROR(__xludf.DUMMYFUNCTION("""COMPUTED_VALUE"""),"CVHT01")</f>
        <v>CVHT01</v>
      </c>
      <c r="G302" s="86" t="s">
        <v>891</v>
      </c>
    </row>
    <row r="303">
      <c r="A303" s="12"/>
      <c r="B303" s="241">
        <f>IFERROR(__xludf.DUMMYFUNCTION("""COMPUTED_VALUE"""),46216.0)</f>
        <v>46216</v>
      </c>
      <c r="C303" s="12" t="str">
        <f>IFERROR(__xludf.DUMMYFUNCTION("""COMPUTED_VALUE"""),"10054200")</f>
        <v>10054200</v>
      </c>
      <c r="D303" s="12" t="str">
        <f>IFERROR(__xludf.DUMMYFUNCTION("""COMPUTED_VALUE"""),"Phan Thị Tuyết Phương JLPT N4")</f>
        <v>Phan Thị Tuyết Phương JLPT N4</v>
      </c>
      <c r="E303" s="102" t="str">
        <f>IFERROR(__xludf.DUMMYFUNCTION("""COMPUTED_VALUE"""),"""Dạ 246 21h nb ạ""")</f>
        <v>"Dạ 246 21h nb ạ"</v>
      </c>
      <c r="F303" s="12" t="str">
        <f>IFERROR(__xludf.DUMMYFUNCTION("""COMPUTED_VALUE"""),"CVHT01")</f>
        <v>CVHT01</v>
      </c>
      <c r="G303" s="86" t="s">
        <v>891</v>
      </c>
    </row>
    <row r="304">
      <c r="A304" s="12"/>
      <c r="B304" s="241">
        <f>IFERROR(__xludf.DUMMYFUNCTION("""COMPUTED_VALUE"""),46216.0)</f>
        <v>46216</v>
      </c>
      <c r="C304" s="12" t="str">
        <f>IFERROR(__xludf.DUMMYFUNCTION("""COMPUTED_VALUE"""),"420290184")</f>
        <v>420290184</v>
      </c>
      <c r="D304" s="12" t="str">
        <f>IFERROR(__xludf.DUMMYFUNCTION("""COMPUTED_VALUE"""),"Lưu Văn Thời N3")</f>
        <v>Lưu Văn Thời N3</v>
      </c>
      <c r="E304" s="102" t="str">
        <f>IFERROR(__xludf.DUMMYFUNCTION("""COMPUTED_VALUE"""),"""E muốn học kaiwa vs kanji ạ"", chị tư vấn tiếp cho bạn ạ")</f>
        <v>"E muốn học kaiwa vs kanji ạ", chị tư vấn tiếp cho bạn ạ</v>
      </c>
      <c r="F304" s="12" t="str">
        <f>IFERROR(__xludf.DUMMYFUNCTION("""COMPUTED_VALUE"""),"CVHT01")</f>
        <v>CVHT01</v>
      </c>
      <c r="G304" s="86" t="s">
        <v>891</v>
      </c>
    </row>
    <row r="305">
      <c r="A305" s="12"/>
      <c r="B305" s="286">
        <f>IFERROR(__xludf.DUMMYFUNCTION("""COMPUTED_VALUE"""),46217.0)</f>
        <v>46217</v>
      </c>
      <c r="C305" s="12" t="str">
        <f>IFERROR(__xludf.DUMMYFUNCTION("""COMPUTED_VALUE"""),"420291025")</f>
        <v>420291025</v>
      </c>
      <c r="D305" s="12" t="str">
        <f>IFERROR(__xludf.DUMMYFUNCTION("""COMPUTED_VALUE"""),"Huỳnh Thị Thúy Lan")</f>
        <v>Huỳnh Thị Thúy Lan</v>
      </c>
      <c r="E305" s="246" t="str">
        <f>IFERROR(__xludf.DUMMYFUNCTION("""COMPUTED_VALUE"""),"Ss ơi line e tải về sử dụng có 1 cuộc gọi tới giờ luôn nên e hk bk gửi qua cho ss như nào hết ak")</f>
        <v>Ss ơi line e tải về sử dụng có 1 cuộc gọi tới giờ luôn nên e hk bk gửi qua cho ss như nào hết ak</v>
      </c>
      <c r="F305" s="12" t="str">
        <f>IFERROR(__xludf.DUMMYFUNCTION("""COMPUTED_VALUE"""),"CVHT01")</f>
        <v>CVHT01</v>
      </c>
      <c r="G305" s="86" t="s">
        <v>891</v>
      </c>
    </row>
    <row r="306">
      <c r="A306" s="12"/>
      <c r="B306" s="241">
        <f>IFERROR(__xludf.DUMMYFUNCTION("""COMPUTED_VALUE"""),46217.0)</f>
        <v>46217</v>
      </c>
      <c r="C306" s="12" t="str">
        <f>IFERROR(__xludf.DUMMYFUNCTION("""COMPUTED_VALUE"""),"GV361")</f>
        <v>GV361</v>
      </c>
      <c r="D306" s="12" t="str">
        <f>IFERROR(__xludf.DUMMYFUNCTION("""COMPUTED_VALUE"""),"Nguyễn Thị Nụ K3")</f>
        <v>Nguyễn Thị Nụ K3</v>
      </c>
      <c r="E306" s="102" t="str">
        <f>IFERROR(__xludf.DUMMYFUNCTION("""COMPUTED_VALUE"""),"t6 c dạy Tuệ Anh mà, Hỏi bạn đổi thứ 6 sang t5 đx ko")</f>
        <v>t6 c dạy Tuệ Anh mà, Hỏi bạn đổi thứ 6 sang t5 đx ko</v>
      </c>
      <c r="F306" s="12" t="str">
        <f>IFERROR(__xludf.DUMMYFUNCTION("""COMPUTED_VALUE"""),"CVHT01")</f>
        <v>CVHT01</v>
      </c>
      <c r="G306" s="86" t="s">
        <v>891</v>
      </c>
    </row>
    <row r="307">
      <c r="A307" s="12"/>
      <c r="B307" s="241">
        <f>IFERROR(__xludf.DUMMYFUNCTION("""COMPUTED_VALUE"""),46217.0)</f>
        <v>46217</v>
      </c>
      <c r="C307" s="12" t="str">
        <f>IFERROR(__xludf.DUMMYFUNCTION("""COMPUTED_VALUE"""),"10054391")</f>
        <v>10054391</v>
      </c>
      <c r="D307" s="12" t="str">
        <f>IFERROR(__xludf.DUMMYFUNCTION("""COMPUTED_VALUE"""),"Nguyễn Văn Đan Trường N4CBCS")</f>
        <v>Nguyễn Văn Đan Trường N4CBCS</v>
      </c>
      <c r="E307" s="102" t="str">
        <f>IFERROR(__xludf.DUMMYFUNCTION("""COMPUTED_VALUE"""),"Bạn gửi thông tin cccd ạ")</f>
        <v>Bạn gửi thông tin cccd ạ</v>
      </c>
      <c r="F307" s="12" t="str">
        <f>IFERROR(__xludf.DUMMYFUNCTION("""COMPUTED_VALUE"""),"CVHT01")</f>
        <v>CVHT01</v>
      </c>
      <c r="G307" s="86" t="s">
        <v>891</v>
      </c>
    </row>
    <row r="308">
      <c r="A308" s="12"/>
      <c r="B308" s="241">
        <f>IFERROR(__xludf.DUMMYFUNCTION("""COMPUTED_VALUE"""),46217.0)</f>
        <v>46217</v>
      </c>
      <c r="C308" s="12" t="str">
        <f>IFERROR(__xludf.DUMMYFUNCTION("""COMPUTED_VALUE"""),"427896428")</f>
        <v>427896428</v>
      </c>
      <c r="D308" s="12" t="str">
        <f>IFERROR(__xludf.DUMMYFUNCTION("""COMPUTED_VALUE"""),"Lê Thị Thanh Vân")</f>
        <v>Lê Thị Thanh Vân</v>
      </c>
      <c r="E308" s="102" t="str">
        <f>IFERROR(__xludf.DUMMYFUNCTION("""COMPUTED_VALUE"""),"Bạn muốn học tiếp lên ạ")</f>
        <v>Bạn muốn học tiếp lên ạ</v>
      </c>
      <c r="F308" s="12" t="str">
        <f>IFERROR(__xludf.DUMMYFUNCTION("""COMPUTED_VALUE"""),"CVHT01")</f>
        <v>CVHT01</v>
      </c>
      <c r="G308" s="86" t="s">
        <v>891</v>
      </c>
    </row>
    <row r="309">
      <c r="A309" s="12"/>
      <c r="B309" s="241">
        <f>IFERROR(__xludf.DUMMYFUNCTION("""COMPUTED_VALUE"""),46217.0)</f>
        <v>46217</v>
      </c>
      <c r="C309" s="12" t="str">
        <f>IFERROR(__xludf.DUMMYFUNCTION("""COMPUTED_VALUE"""),"420291147")</f>
        <v>420291147</v>
      </c>
      <c r="D309" s="12" t="str">
        <f>IFERROR(__xludf.DUMMYFUNCTION("""COMPUTED_VALUE"""),"Mạnh Thị Thế")</f>
        <v>Mạnh Thị Thế</v>
      </c>
      <c r="E309" s="102" t="str">
        <f>IFERROR(__xludf.DUMMYFUNCTION("""COMPUTED_VALUE"""),"e hocn đến bài bao nhiêu r ss oi🤣")</f>
        <v>e hocn đến bài bao nhiêu r ss oi🤣</v>
      </c>
      <c r="F309" s="12" t="str">
        <f>IFERROR(__xludf.DUMMYFUNCTION("""COMPUTED_VALUE"""),"CVHT01")</f>
        <v>CVHT01</v>
      </c>
      <c r="G309" s="86" t="s">
        <v>891</v>
      </c>
    </row>
    <row r="310">
      <c r="A310" s="12"/>
      <c r="B310" s="241">
        <f>IFERROR(__xludf.DUMMYFUNCTION("""COMPUTED_VALUE"""),46217.0)</f>
        <v>46217</v>
      </c>
      <c r="C310" s="12" t="str">
        <f>IFERROR(__xludf.DUMMYFUNCTION("""COMPUTED_VALUE"""),"GV501")</f>
        <v>GV501</v>
      </c>
      <c r="D310" s="12" t="str">
        <f>IFERROR(__xludf.DUMMYFUNCTION("""COMPUTED_VALUE""")," Nguyễn Thị Ngọc Hiền K2")</f>
        <v> Nguyễn Thị Ngọc Hiền K2</v>
      </c>
      <c r="E310" s="102" t="str">
        <f>IFERROR(__xludf.DUMMYFUNCTION("""COMPUTED_VALUE"""),"Slide kaiwa 1 bài 18 có bị nhầm lẫn file nghe ý ạ. File nghe 2 nhưng nội dung trên slide là file nghe 3 và, nội dung file nghe 2 thì không có ạ")</f>
        <v>Slide kaiwa 1 bài 18 có bị nhầm lẫn file nghe ý ạ. File nghe 2 nhưng nội dung trên slide là file nghe 3 và, nội dung file nghe 2 thì không có ạ</v>
      </c>
      <c r="F310" s="12" t="str">
        <f>IFERROR(__xludf.DUMMYFUNCTION("""COMPUTED_VALUE"""),"CVHT01")</f>
        <v>CVHT01</v>
      </c>
      <c r="G310" s="86" t="s">
        <v>891</v>
      </c>
    </row>
    <row r="311">
      <c r="A311" s="12"/>
      <c r="B311" s="241">
        <f>IFERROR(__xludf.DUMMYFUNCTION("""COMPUTED_VALUE"""),46218.0)</f>
        <v>46218</v>
      </c>
      <c r="C311" s="12" t="str">
        <f>IFERROR(__xludf.DUMMYFUNCTION("""COMPUTED_VALUE"""),"420284865")</f>
        <v>420284865</v>
      </c>
      <c r="D311" s="12" t="str">
        <f>IFERROR(__xludf.DUMMYFUNCTION("""COMPUTED_VALUE"""),"Trịnh Hùng Anh N3")</f>
        <v>Trịnh Hùng Anh N3</v>
      </c>
      <c r="E311" s="102" t="str">
        <f>IFERROR(__xludf.DUMMYFUNCTION("""COMPUTED_VALUE"""),"""Ss giới thiệu lớp n2 với ạ""""Học phí thì ntn ạ""")</f>
        <v>"Ss giới thiệu lớp n2 với ạ""Học phí thì ntn ạ"</v>
      </c>
      <c r="F311" s="12" t="str">
        <f>IFERROR(__xludf.DUMMYFUNCTION("""COMPUTED_VALUE"""),"CVHT01")</f>
        <v>CVHT01</v>
      </c>
      <c r="G311" s="86" t="s">
        <v>891</v>
      </c>
    </row>
    <row r="312">
      <c r="A312" s="12"/>
      <c r="B312" s="241">
        <f>IFERROR(__xludf.DUMMYFUNCTION("""COMPUTED_VALUE"""),46218.0)</f>
        <v>46218</v>
      </c>
      <c r="C312" s="12" t="str">
        <f>IFERROR(__xludf.DUMMYFUNCTION("""COMPUTED_VALUE"""),"10054791")</f>
        <v>10054791</v>
      </c>
      <c r="D312" s="12" t="str">
        <f>IFERROR(__xludf.DUMMYFUNCTION("""COMPUTED_VALUE"""),"Đoàn Thị Khánh Ly JLPT N4N3")</f>
        <v>Đoàn Thị Khánh Ly JLPT N4N3</v>
      </c>
      <c r="E312" s="102" t="str">
        <f>IFERROR(__xludf.DUMMYFUNCTION("""COMPUTED_VALUE"""),"""Mình chỉ có lịch học từ 21h thôi ạ""""Tại mình ở nhà k đi làm lên giờ kết thúc hơi muộn so với thời gian của mình ý """)</f>
        <v>"Mình chỉ có lịch học từ 21h thôi ạ""Tại mình ở nhà k đi làm lên giờ kết thúc hơi muộn so với thời gian của mình ý "</v>
      </c>
      <c r="F312" s="12" t="str">
        <f>IFERROR(__xludf.DUMMYFUNCTION("""COMPUTED_VALUE"""),"CVHT01")</f>
        <v>CVHT01</v>
      </c>
      <c r="G312" s="86" t="s">
        <v>891</v>
      </c>
    </row>
    <row r="313">
      <c r="A313" s="12"/>
      <c r="B313" s="241">
        <f>IFERROR(__xludf.DUMMYFUNCTION("""COMPUTED_VALUE"""),46219.0)</f>
        <v>46219</v>
      </c>
      <c r="C313" s="12" t="str">
        <f>IFERROR(__xludf.DUMMYFUNCTION("""COMPUTED_VALUE"""),"10055600")</f>
        <v>10055600</v>
      </c>
      <c r="D313" s="12" t="str">
        <f>IFERROR(__xludf.DUMMYFUNCTION("""COMPUTED_VALUE"""),"Nguyễn Ngọc Sơn N4N3")</f>
        <v>Nguyễn Ngọc Sơn N4N3</v>
      </c>
      <c r="E313" s="102" t="str">
        <f>IFERROR(__xludf.DUMMYFUNCTION("""COMPUTED_VALUE"""),"""tình hình là nhà e có việc ạ ss bây giờ cho e bảo lưu lại việc học dc ko ạ ss ổn e sẽ học lại ạ""")</f>
        <v>"tình hình là nhà e có việc ạ ss bây giờ cho e bảo lưu lại việc học dc ko ạ ss ổn e sẽ học lại ạ"</v>
      </c>
      <c r="F313" s="12" t="str">
        <f>IFERROR(__xludf.DUMMYFUNCTION("""COMPUTED_VALUE"""),"CVHT01")</f>
        <v>CVHT01</v>
      </c>
      <c r="G313" s="86" t="s">
        <v>891</v>
      </c>
    </row>
    <row r="314">
      <c r="A314" s="12"/>
      <c r="B314" s="241">
        <f>IFERROR(__xludf.DUMMYFUNCTION("""COMPUTED_VALUE"""),46219.0)</f>
        <v>46219</v>
      </c>
      <c r="C314" s="12" t="str">
        <f>IFERROR(__xludf.DUMMYFUNCTION("""COMPUTED_VALUE"""),"427897275")</f>
        <v>427897275</v>
      </c>
      <c r="D314" s="12" t="str">
        <f>IFERROR(__xludf.DUMMYFUNCTION("""COMPUTED_VALUE"""),"Võ Thị Vi")</f>
        <v>Võ Thị Vi</v>
      </c>
      <c r="E314" s="102" t="str">
        <f>IFERROR(__xludf.DUMMYFUNCTION("""COMPUTED_VALUE"""),"Bạn này học kaigo ạ nhưng có vẻ là cô Satou vẫn dạy mấy bài cuối theo kaiwa 3 thường. Nhờ chị nhắn lại với cô Satou là bạn học  kaigo và gửi cô tài liệu dạy kaigo nhé ạ.")</f>
        <v>Bạn này học kaigo ạ nhưng có vẻ là cô Satou vẫn dạy mấy bài cuối theo kaiwa 3 thường. Nhờ chị nhắn lại với cô Satou là bạn học  kaigo và gửi cô tài liệu dạy kaigo nhé ạ.</v>
      </c>
      <c r="F314" s="12" t="str">
        <f>IFERROR(__xludf.DUMMYFUNCTION("""COMPUTED_VALUE"""),"CVHT01")</f>
        <v>CVHT01</v>
      </c>
      <c r="G314" s="86" t="s">
        <v>891</v>
      </c>
    </row>
    <row r="315">
      <c r="A315" s="12"/>
      <c r="B315" s="241">
        <f>IFERROR(__xludf.DUMMYFUNCTION("""COMPUTED_VALUE"""),46220.0)</f>
        <v>46220</v>
      </c>
      <c r="C315" s="12" t="str">
        <f>IFERROR(__xludf.DUMMYFUNCTION("""COMPUTED_VALUE"""),"10054932")</f>
        <v>10054932</v>
      </c>
      <c r="D315" s="12" t="str">
        <f>IFERROR(__xludf.DUMMYFUNCTION("""COMPUTED_VALUE"""),"Đào Vân Anh JLPT N4N3")</f>
        <v>Đào Vân Anh JLPT N4N3</v>
      </c>
      <c r="E315" s="102" t="str">
        <f>IFERROR(__xludf.DUMMYFUNCTION("""COMPUTED_VALUE"""),"""Ss ơi cho e xin bài tập làm về các trợ từ được k ạ""")</f>
        <v>"Ss ơi cho e xin bài tập làm về các trợ từ được k ạ"</v>
      </c>
      <c r="F315" s="12" t="str">
        <f>IFERROR(__xludf.DUMMYFUNCTION("""COMPUTED_VALUE"""),"CVHT01")</f>
        <v>CVHT01</v>
      </c>
      <c r="G315" s="86" t="s">
        <v>891</v>
      </c>
    </row>
    <row r="316">
      <c r="A316" s="12"/>
      <c r="B316" s="241">
        <f>IFERROR(__xludf.DUMMYFUNCTION("""COMPUTED_VALUE"""),46220.0)</f>
        <v>46220</v>
      </c>
      <c r="C316" s="12" t="str">
        <f>IFERROR(__xludf.DUMMYFUNCTION("""COMPUTED_VALUE"""),"427897543")</f>
        <v>427897543</v>
      </c>
      <c r="D316" s="12" t="str">
        <f>IFERROR(__xludf.DUMMYFUNCTION("""COMPUTED_VALUE"""),"Nguyễn Thị Lan")</f>
        <v>Nguyễn Thị Lan</v>
      </c>
      <c r="E316" s="102" t="str">
        <f>IFERROR(__xludf.DUMMYFUNCTION("""COMPUTED_VALUE"""),"""Sang năm ổn ổn e liên lạc với SS học lại từ đầu cho chắc SS ạ ! """)</f>
        <v>"Sang năm ổn ổn e liên lạc với SS học lại từ đầu cho chắc SS ạ ! "</v>
      </c>
      <c r="F316" s="12" t="str">
        <f>IFERROR(__xludf.DUMMYFUNCTION("""COMPUTED_VALUE"""),"CVHT01")</f>
        <v>CVHT01</v>
      </c>
      <c r="G316" s="86" t="s">
        <v>891</v>
      </c>
    </row>
    <row r="317">
      <c r="A317" s="12"/>
      <c r="B317" s="241">
        <f>IFERROR(__xludf.DUMMYFUNCTION("""COMPUTED_VALUE"""),46220.0)</f>
        <v>46220</v>
      </c>
      <c r="C317" s="12" t="str">
        <f>IFERROR(__xludf.DUMMYFUNCTION("""COMPUTED_VALUE"""),"GV501 ")</f>
        <v>GV501 </v>
      </c>
      <c r="D317" s="12" t="str">
        <f>IFERROR(__xludf.DUMMYFUNCTION("""COMPUTED_VALUE"""),"Nguyễn Thị Ngọc Hiền K2")</f>
        <v>Nguyễn Thị Ngọc Hiền K2</v>
      </c>
      <c r="E317" s="102" t="str">
        <f>IFERROR(__xludf.DUMMYFUNCTION("""COMPUTED_VALUE"""),"""Ss ơi Chế san có trao đổi với em là muốn đi sâu ngữ pháp và từ vựng hơn vì muốn học cơ bản chứ nếu k biết cơ bản mà càng ngày học càng khó thì không hiểu cũng không áp dụng được kiến thức ý ạ. Nên em muốn trao đổi với bên trung tâm là cho phép em thay đ"&amp;"ổi giáo án hiện tahi của Chế san 1 tí thì có được không ạ.""")</f>
        <v>"Ss ơi Chế san có trao đổi với em là muốn đi sâu ngữ pháp và từ vựng hơn vì muốn học cơ bản chứ nếu k biết cơ bản mà càng ngày học càng khó thì không hiểu cũng không áp dụng được kiến thức ý ạ. Nên em muốn trao đổi với bên trung tâm là cho phép em thay đổi giáo án hiện tahi của Chế san 1 tí thì có được không ạ."</v>
      </c>
      <c r="F317" s="12" t="str">
        <f>IFERROR(__xludf.DUMMYFUNCTION("""COMPUTED_VALUE"""),"CVHT01")</f>
        <v>CVHT01</v>
      </c>
      <c r="G317" s="86" t="s">
        <v>891</v>
      </c>
    </row>
    <row r="318">
      <c r="A318" s="12"/>
      <c r="B318" s="241">
        <f>IFERROR(__xludf.DUMMYFUNCTION("""COMPUTED_VALUE"""),46220.0)</f>
        <v>46220</v>
      </c>
      <c r="C318" s="12" t="str">
        <f>IFERROR(__xludf.DUMMYFUNCTION("""COMPUTED_VALUE"""),"GV496 ")</f>
        <v>GV496 </v>
      </c>
      <c r="D318" s="12" t="str">
        <f>IFERROR(__xludf.DUMMYFUNCTION("""COMPUTED_VALUE""")," Võ Thị Thanh Lam K2")</f>
        <v> Võ Thị Thanh Lam K2</v>
      </c>
      <c r="E318" s="102" t="str">
        <f>IFERROR(__xludf.DUMMYFUNCTION("""COMPUTED_VALUE"""),"""Giờ e mới đọc được tn ạ . E nhận lớp này nha c""")</f>
        <v>"Giờ e mới đọc được tn ạ . E nhận lớp này nha c"</v>
      </c>
      <c r="F318" s="12" t="str">
        <f>IFERROR(__xludf.DUMMYFUNCTION("""COMPUTED_VALUE"""),"CVHT01")</f>
        <v>CVHT01</v>
      </c>
      <c r="G318" s="86" t="s">
        <v>891</v>
      </c>
    </row>
    <row r="319">
      <c r="A319" s="12"/>
      <c r="B319" s="241">
        <f>IFERROR(__xludf.DUMMYFUNCTION("""COMPUTED_VALUE"""),46221.0)</f>
        <v>46221</v>
      </c>
      <c r="C319" s="12" t="str">
        <f>IFERROR(__xludf.DUMMYFUNCTION("""COMPUTED_VALUE"""),"10055796")</f>
        <v>10055796</v>
      </c>
      <c r="D319" s="12" t="str">
        <f>IFERROR(__xludf.DUMMYFUNCTION("""COMPUTED_VALUE""")," Nguyễn Thị Như Anh N5N4CB")</f>
        <v> Nguyễn Thị Như Anh N5N4CB</v>
      </c>
      <c r="E319" s="102" t="str">
        <f>IFERROR(__xludf.DUMMYFUNCTION("""COMPUTED_VALUE"""),"Lúc đầu nói ngày 17 học, Mà giờ bảo vẫn đang tuyển sinh")</f>
        <v>Lúc đầu nói ngày 17 học, Mà giờ bảo vẫn đang tuyển sinh</v>
      </c>
      <c r="F319" s="12" t="str">
        <f>IFERROR(__xludf.DUMMYFUNCTION("""COMPUTED_VALUE"""),"CVHT01")</f>
        <v>CVHT01</v>
      </c>
      <c r="G319" s="86" t="s">
        <v>891</v>
      </c>
    </row>
    <row r="320">
      <c r="A320" s="12"/>
      <c r="B320" s="241">
        <f>IFERROR(__xludf.DUMMYFUNCTION("""COMPUTED_VALUE"""),46223.0)</f>
        <v>46223</v>
      </c>
      <c r="C320" s="12" t="str">
        <f>IFERROR(__xludf.DUMMYFUNCTION("""COMPUTED_VALUE"""),"420286883")</f>
        <v>420286883</v>
      </c>
      <c r="D320" s="12" t="str">
        <f>IFERROR(__xludf.DUMMYFUNCTION("""COMPUTED_VALUE"""),"Lê Ngọc Hiệp")</f>
        <v>Lê Ngọc Hiệp</v>
      </c>
      <c r="E320" s="102" t="str">
        <f>IFERROR(__xludf.DUMMYFUNCTION("""COMPUTED_VALUE"""),"""Nếu thứ 6 khai giảng, bên mình cho em xin thứ 2 tuần sau ngày 27 bắt đầu khai giảng được không ạ""")</f>
        <v>"Nếu thứ 6 khai giảng, bên mình cho em xin thứ 2 tuần sau ngày 27 bắt đầu khai giảng được không ạ"</v>
      </c>
      <c r="F320" s="12" t="str">
        <f>IFERROR(__xludf.DUMMYFUNCTION("""COMPUTED_VALUE"""),"CVHT01")</f>
        <v>CVHT01</v>
      </c>
      <c r="G320" s="86" t="s">
        <v>891</v>
      </c>
    </row>
    <row r="321">
      <c r="A321" s="12"/>
      <c r="B321" s="241">
        <f>IFERROR(__xludf.DUMMYFUNCTION("""COMPUTED_VALUE"""),46223.0)</f>
        <v>46223</v>
      </c>
      <c r="C321" s="12" t="str">
        <f>IFERROR(__xludf.DUMMYFUNCTION("""COMPUTED_VALUE"""),"427895793")</f>
        <v>427895793</v>
      </c>
      <c r="D321" s="12" t="str">
        <f>IFERROR(__xludf.DUMMYFUNCTION("""COMPUTED_VALUE"""),"Nguyễn Công Kỳ")</f>
        <v>Nguyễn Công Kỳ</v>
      </c>
      <c r="E321" s="102" t="str">
        <f>IFERROR(__xludf.DUMMYFUNCTION("""COMPUTED_VALUE"""),"""Vậy 246 đi ạ""")</f>
        <v>"Vậy 246 đi ạ"</v>
      </c>
      <c r="F321" s="12" t="str">
        <f>IFERROR(__xludf.DUMMYFUNCTION("""COMPUTED_VALUE"""),"CVHT01")</f>
        <v>CVHT01</v>
      </c>
      <c r="G321" s="86" t="s">
        <v>891</v>
      </c>
    </row>
    <row r="322">
      <c r="A322" s="12"/>
      <c r="B322" s="241">
        <f>IFERROR(__xludf.DUMMYFUNCTION("""COMPUTED_VALUE"""),46223.0)</f>
        <v>46223</v>
      </c>
      <c r="C322" s="12" t="str">
        <f>IFERROR(__xludf.DUMMYFUNCTION("""COMPUTED_VALUE"""),"GV408 ")</f>
        <v>GV408 </v>
      </c>
      <c r="D322" s="12" t="str">
        <f>IFERROR(__xludf.DUMMYFUNCTION("""COMPUTED_VALUE"""),"Lê Thị Linh K2")</f>
        <v>Lê Thị Linh K2</v>
      </c>
      <c r="E322" s="102" t="str">
        <f>IFERROR(__xludf.DUMMYFUNCTION("""COMPUTED_VALUE"""),"""Dạ hiện thứ 5 và 7 em bận từ 18h45 đến 20h15 còn những ngày khác em đều có thể dạy kể cả ca ngày ạ""")</f>
        <v>"Dạ hiện thứ 5 và 7 em bận từ 18h45 đến 20h15 còn những ngày khác em đều có thể dạy kể cả ca ngày ạ"</v>
      </c>
      <c r="F322" s="12" t="str">
        <f>IFERROR(__xludf.DUMMYFUNCTION("""COMPUTED_VALUE"""),"CVHT01")</f>
        <v>CVHT01</v>
      </c>
      <c r="G322" s="86" t="s">
        <v>891</v>
      </c>
    </row>
    <row r="323">
      <c r="A323" s="12"/>
      <c r="B323" s="241">
        <f>IFERROR(__xludf.DUMMYFUNCTION("""COMPUTED_VALUE"""),46224.0)</f>
        <v>46224</v>
      </c>
      <c r="C323" s="12" t="str">
        <f>IFERROR(__xludf.DUMMYFUNCTION("""COMPUTED_VALUE"""),"GV361 ")</f>
        <v>GV361 </v>
      </c>
      <c r="D323" s="12" t="str">
        <f>IFERROR(__xludf.DUMMYFUNCTION("""COMPUTED_VALUE"""),"Nguyễn Thị Nụ K3")</f>
        <v>Nguyễn Thị Nụ K3</v>
      </c>
      <c r="E323" s="102" t="str">
        <f>IFERROR(__xludf.DUMMYFUNCTION("""COMPUTED_VALUE"""),"Mai c dạy lớp N3 chưa em")</f>
        <v>Mai c dạy lớp N3 chưa em</v>
      </c>
      <c r="F323" s="12" t="str">
        <f>IFERROR(__xludf.DUMMYFUNCTION("""COMPUTED_VALUE"""),"CVHT01")</f>
        <v>CVHT01</v>
      </c>
      <c r="G323" s="86" t="s">
        <v>891</v>
      </c>
    </row>
    <row r="324">
      <c r="A324" s="12"/>
      <c r="B324" s="241">
        <f>IFERROR(__xludf.DUMMYFUNCTION("""COMPUTED_VALUE"""),46224.0)</f>
        <v>46224</v>
      </c>
      <c r="C324" s="12" t="str">
        <f>IFERROR(__xludf.DUMMYFUNCTION("""COMPUTED_VALUE"""),"10054391")</f>
        <v>10054391</v>
      </c>
      <c r="D324" s="12" t="str">
        <f>IFERROR(__xludf.DUMMYFUNCTION("""COMPUTED_VALUE"""),"Nguyễn Văn Đan Trường N4CBCS")</f>
        <v>Nguyễn Văn Đan Trường N4CBCS</v>
      </c>
      <c r="E324" s="102" t="str">
        <f>IFERROR(__xludf.DUMMYFUNCTION("""COMPUTED_VALUE"""),"Ss ơi n3 một bài sẽ học hai buổi hả ss")</f>
        <v>Ss ơi n3 một bài sẽ học hai buổi hả ss</v>
      </c>
      <c r="F324" s="12" t="str">
        <f>IFERROR(__xludf.DUMMYFUNCTION("""COMPUTED_VALUE"""),"CVHT01")</f>
        <v>CVHT01</v>
      </c>
      <c r="G324" s="86" t="s">
        <v>891</v>
      </c>
    </row>
    <row r="325">
      <c r="A325" s="12"/>
      <c r="B325" s="241">
        <f>IFERROR(__xludf.DUMMYFUNCTION("""COMPUTED_VALUE"""),46224.0)</f>
        <v>46224</v>
      </c>
      <c r="C325" s="12" t="str">
        <f>IFERROR(__xludf.DUMMYFUNCTION("""COMPUTED_VALUE"""),"GV382 ")</f>
        <v>GV382 </v>
      </c>
      <c r="D325" s="12" t="str">
        <f>IFERROR(__xludf.DUMMYFUNCTION("""COMPUTED_VALUE"""),"Tạ Thị Hiền K3")</f>
        <v>Tạ Thị Hiền K3</v>
      </c>
      <c r="E325" s="102" t="str">
        <f>IFERROR(__xludf.DUMMYFUNCTION("""COMPUTED_VALUE"""),"c thêm bạn Dương vào giúp e nha")</f>
        <v>c thêm bạn Dương vào giúp e nha</v>
      </c>
      <c r="F325" s="12" t="str">
        <f>IFERROR(__xludf.DUMMYFUNCTION("""COMPUTED_VALUE"""),"CVHT01")</f>
        <v>CVHT01</v>
      </c>
      <c r="G325" s="86" t="s">
        <v>891</v>
      </c>
    </row>
    <row r="326">
      <c r="A326" s="12"/>
      <c r="B326" s="241">
        <f>IFERROR(__xludf.DUMMYFUNCTION("""COMPUTED_VALUE"""),46224.0)</f>
        <v>46224</v>
      </c>
      <c r="C326" s="12" t="str">
        <f>IFERROR(__xludf.DUMMYFUNCTION("""COMPUTED_VALUE"""),"GV496 ")</f>
        <v>GV496 </v>
      </c>
      <c r="D326" s="12" t="str">
        <f>IFERROR(__xludf.DUMMYFUNCTION("""COMPUTED_VALUE"""),"Võ Thị Thanh Lam K2")</f>
        <v>Võ Thị Thanh Lam K2</v>
      </c>
      <c r="E326" s="102" t="str">
        <f>IFERROR(__xludf.DUMMYFUNCTION("""COMPUTED_VALUE"""),"Có ấn quay rồi mà sao h vào k thấy c oiii cứuuu e")</f>
        <v>Có ấn quay rồi mà sao h vào k thấy c oiii cứuuu e</v>
      </c>
      <c r="F326" s="12" t="str">
        <f>IFERROR(__xludf.DUMMYFUNCTION("""COMPUTED_VALUE"""),"CVHT01")</f>
        <v>CVHT01</v>
      </c>
      <c r="G326" s="86" t="s">
        <v>891</v>
      </c>
    </row>
    <row r="327">
      <c r="A327" s="12"/>
      <c r="B327" s="241">
        <f>IFERROR(__xludf.DUMMYFUNCTION("""COMPUTED_VALUE"""),46224.0)</f>
        <v>46224</v>
      </c>
      <c r="C327" s="12" t="str">
        <f>IFERROR(__xludf.DUMMYFUNCTION("""COMPUTED_VALUE"""),"10055639")</f>
        <v>10055639</v>
      </c>
      <c r="D327" s="12" t="str">
        <f>IFERROR(__xludf.DUMMYFUNCTION("""COMPUTED_VALUE"""),"Nguyễn Thanh Duy  JLPT N3")</f>
        <v>Nguyễn Thanh Duy  JLPT N3</v>
      </c>
      <c r="E327" s="102" t="str">
        <f>IFERROR(__xludf.DUMMYFUNCTION("""COMPUTED_VALUE"""),"Định vào học bài mà bó quay qài gần nữa tiếng ùi cô ạ")</f>
        <v>Định vào học bài mà bó quay qài gần nữa tiếng ùi cô ạ</v>
      </c>
      <c r="F327" s="12" t="str">
        <f>IFERROR(__xludf.DUMMYFUNCTION("""COMPUTED_VALUE"""),"CVHT01")</f>
        <v>CVHT01</v>
      </c>
      <c r="G327" s="86" t="s">
        <v>891</v>
      </c>
    </row>
    <row r="328">
      <c r="A328" s="12"/>
      <c r="B328" s="241">
        <f>IFERROR(__xludf.DUMMYFUNCTION("""COMPUTED_VALUE"""),46224.0)</f>
        <v>46224</v>
      </c>
      <c r="C328" s="12" t="str">
        <f>IFERROR(__xludf.DUMMYFUNCTION("""COMPUTED_VALUE"""),"420290910")</f>
        <v>420290910</v>
      </c>
      <c r="D328" s="12" t="str">
        <f>IFERROR(__xludf.DUMMYFUNCTION("""COMPUTED_VALUE"""),"Phạm Nguyễn Mỹ Dung")</f>
        <v>Phạm Nguyễn Mỹ Dung</v>
      </c>
      <c r="E328" s="102" t="str">
        <f>IFERROR(__xludf.DUMMYFUNCTION("""COMPUTED_VALUE"""),"Kojima ss báo là bạn Dung vào nhầm zoom của ss, nma bạn dung bảo là satou ss cũng dạy ở đó, chị xem lại giúp em nha c")</f>
        <v>Kojima ss báo là bạn Dung vào nhầm zoom của ss, nma bạn dung bảo là satou ss cũng dạy ở đó, chị xem lại giúp em nha c</v>
      </c>
      <c r="F328" s="12" t="str">
        <f>IFERROR(__xludf.DUMMYFUNCTION("""COMPUTED_VALUE"""),"CVHT01")</f>
        <v>CVHT01</v>
      </c>
      <c r="G328" s="86" t="s">
        <v>891</v>
      </c>
    </row>
    <row r="329">
      <c r="A329" s="12"/>
      <c r="B329" s="241">
        <f>IFERROR(__xludf.DUMMYFUNCTION("""COMPUTED_VALUE"""),46225.0)</f>
        <v>46225</v>
      </c>
      <c r="C329" s="12" t="str">
        <f>IFERROR(__xludf.DUMMYFUNCTION("""COMPUTED_VALUE"""),"427896661 ")</f>
        <v>427896661 </v>
      </c>
      <c r="D329" s="12" t="str">
        <f>IFERROR(__xludf.DUMMYFUNCTION("""COMPUTED_VALUE""")," Trịnh Phương Uyên")</f>
        <v> Trịnh Phương Uyên</v>
      </c>
      <c r="E329" s="102" t="str">
        <f>IFERROR(__xludf.DUMMYFUNCTION("""COMPUTED_VALUE"""),"""em gặp vấn đề ở mục nộp bài ghi âm: khi em ấn nút kết thúc, nghe lại đoạn ghi âm rồi ấn nộp bài, trang web không load. Em không ấn lại được nút nộp bài nữa. Khi web load xong thì toàn bộ bài làm (cả phần note và ghi âm đều bị reset)""")</f>
        <v>"em gặp vấn đề ở mục nộp bài ghi âm: khi em ấn nút kết thúc, nghe lại đoạn ghi âm rồi ấn nộp bài, trang web không load. Em không ấn lại được nút nộp bài nữa. Khi web load xong thì toàn bộ bài làm (cả phần note và ghi âm đều bị reset)"</v>
      </c>
      <c r="F329" s="12" t="str">
        <f>IFERROR(__xludf.DUMMYFUNCTION("""COMPUTED_VALUE"""),"CVHT01")</f>
        <v>CVHT01</v>
      </c>
      <c r="G329" s="86" t="s">
        <v>891</v>
      </c>
    </row>
    <row r="330">
      <c r="A330" s="12"/>
      <c r="B330" s="241">
        <f>IFERROR(__xludf.DUMMYFUNCTION("""COMPUTED_VALUE"""),46225.0)</f>
        <v>46225</v>
      </c>
      <c r="C330" s="12" t="str">
        <f>IFERROR(__xludf.DUMMYFUNCTION("""COMPUTED_VALUE"""),"427898223")</f>
        <v>427898223</v>
      </c>
      <c r="D330" s="12" t="str">
        <f>IFERROR(__xludf.DUMMYFUNCTION("""COMPUTED_VALUE"""),"Nguyễn Thị Hà")</f>
        <v>Nguyễn Thị Hà</v>
      </c>
      <c r="E330" s="102" t="str">
        <f>IFERROR(__xludf.DUMMYFUNCTION("""COMPUTED_VALUE"""),"""Cho em hỏi em muốn đổi giáo viên nữ người Nhật được không ạ """)</f>
        <v>"Cho em hỏi em muốn đổi giáo viên nữ người Nhật được không ạ "</v>
      </c>
      <c r="F330" s="12" t="str">
        <f>IFERROR(__xludf.DUMMYFUNCTION("""COMPUTED_VALUE"""),"CVHT01")</f>
        <v>CVHT01</v>
      </c>
      <c r="G330" s="86" t="s">
        <v>891</v>
      </c>
    </row>
    <row r="331">
      <c r="A331" s="12"/>
      <c r="B331" s="241">
        <f>IFERROR(__xludf.DUMMYFUNCTION("""COMPUTED_VALUE"""),46225.0)</f>
        <v>46225</v>
      </c>
      <c r="C331" s="12" t="str">
        <f>IFERROR(__xludf.DUMMYFUNCTION("""COMPUTED_VALUE"""),"427896140  ")</f>
        <v>427896140  </v>
      </c>
      <c r="D331" s="12" t="str">
        <f>IFERROR(__xludf.DUMMYFUNCTION("""COMPUTED_VALUE"""),"  Lường Tuyết Ngân")</f>
        <v>  Lường Tuyết Ngân</v>
      </c>
      <c r="E331" s="102" t="str">
        <f>IFERROR(__xludf.DUMMYFUNCTION("""COMPUTED_VALUE"""),"""Em muốn trao đổi về giáo trình học ạ""""E muốn học về kaiwa hoại thoại hằng ngày, chứ k muốn học theo từ vựng cấu trúc ngữ phẩm như bth ạ""")</f>
        <v>"Em muốn trao đổi về giáo trình học ạ""E muốn học về kaiwa hoại thoại hằng ngày, chứ k muốn học theo từ vựng cấu trúc ngữ phẩm như bth ạ"</v>
      </c>
      <c r="F331" s="12" t="str">
        <f>IFERROR(__xludf.DUMMYFUNCTION("""COMPUTED_VALUE"""),"CVHT01")</f>
        <v>CVHT01</v>
      </c>
      <c r="G331" s="86" t="s">
        <v>891</v>
      </c>
    </row>
    <row r="332">
      <c r="A332" s="12"/>
      <c r="B332" s="241">
        <f>IFERROR(__xludf.DUMMYFUNCTION("""COMPUTED_VALUE"""),46225.0)</f>
        <v>46225</v>
      </c>
      <c r="C332" s="12" t="str">
        <f>IFERROR(__xludf.DUMMYFUNCTION("""COMPUTED_VALUE"""),"GV348  ")</f>
        <v>GV348  </v>
      </c>
      <c r="D332" s="12" t="str">
        <f>IFERROR(__xludf.DUMMYFUNCTION("""COMPUTED_VALUE"""),"Tạ Thị Thắm K2")</f>
        <v>Tạ Thị Thắm K2</v>
      </c>
      <c r="E332" s="102" t="str">
        <f>IFERROR(__xludf.DUMMYFUNCTION("""COMPUTED_VALUE"""),"""Nay em test bạn n5 rồi buổi sau lên n4 hay sao ạ""")</f>
        <v>"Nay em test bạn n5 rồi buổi sau lên n4 hay sao ạ"</v>
      </c>
      <c r="F332" s="12" t="str">
        <f>IFERROR(__xludf.DUMMYFUNCTION("""COMPUTED_VALUE"""),"CVHT01")</f>
        <v>CVHT01</v>
      </c>
      <c r="G332" s="86" t="s">
        <v>891</v>
      </c>
    </row>
    <row r="333">
      <c r="A333" s="12"/>
      <c r="B333" s="241">
        <f>IFERROR(__xludf.DUMMYFUNCTION("""COMPUTED_VALUE"""),46225.0)</f>
        <v>46225</v>
      </c>
      <c r="C333" s="12" t="str">
        <f>IFERROR(__xludf.DUMMYFUNCTION("""COMPUTED_VALUE"""),"GV382 ")</f>
        <v>GV382 </v>
      </c>
      <c r="D333" s="12" t="str">
        <f>IFERROR(__xludf.DUMMYFUNCTION("""COMPUTED_VALUE""")," Tạ Thị Hiền K3")</f>
        <v> Tạ Thị Hiền K3</v>
      </c>
      <c r="E333" s="102" t="str">
        <f>IFERROR(__xludf.DUMMYFUNCTION("""COMPUTED_VALUE"""),"""c chưa thêm lịch của bạn Dương giúp em ạ""")</f>
        <v>"c chưa thêm lịch của bạn Dương giúp em ạ"</v>
      </c>
      <c r="F333" s="12" t="str">
        <f>IFERROR(__xludf.DUMMYFUNCTION("""COMPUTED_VALUE"""),"CVHT01")</f>
        <v>CVHT01</v>
      </c>
      <c r="G333" s="86" t="s">
        <v>891</v>
      </c>
    </row>
    <row r="334">
      <c r="A334" s="12"/>
      <c r="B334" s="241">
        <f>IFERROR(__xludf.DUMMYFUNCTION("""COMPUTED_VALUE"""),46225.0)</f>
        <v>46225</v>
      </c>
      <c r="C334" s="12" t="str">
        <f>IFERROR(__xludf.DUMMYFUNCTION("""COMPUTED_VALUE"""),"10055887")</f>
        <v>10055887</v>
      </c>
      <c r="D334" s="12" t="str">
        <f>IFERROR(__xludf.DUMMYFUNCTION("""COMPUTED_VALUE"""),"Nguyễn Thị Thu Thương")</f>
        <v>Nguyễn Thị Thu Thương</v>
      </c>
      <c r="E334" s="102" t="str">
        <f>IFERROR(__xludf.DUMMYFUNCTION("""COMPUTED_VALUE"""),"Chị gửi bạn link record nhé ạ.")</f>
        <v>Chị gửi bạn link record nhé ạ.</v>
      </c>
      <c r="F334" s="12" t="str">
        <f>IFERROR(__xludf.DUMMYFUNCTION("""COMPUTED_VALUE"""),"CVHT01")</f>
        <v>CVHT01</v>
      </c>
      <c r="G334" s="86" t="s">
        <v>891</v>
      </c>
    </row>
    <row r="335">
      <c r="A335" s="12"/>
      <c r="B335" s="241">
        <f>IFERROR(__xludf.DUMMYFUNCTION("""COMPUTED_VALUE"""),46226.0)</f>
        <v>46226</v>
      </c>
      <c r="C335" s="12" t="str">
        <f>IFERROR(__xludf.DUMMYFUNCTION("""COMPUTED_VALUE"""),"427896434")</f>
        <v>427896434</v>
      </c>
      <c r="D335" s="12" t="str">
        <f>IFERROR(__xludf.DUMMYFUNCTION("""COMPUTED_VALUE"""),"Lê Xuân Cường")</f>
        <v>Lê Xuân Cường</v>
      </c>
      <c r="E335" s="102" t="str">
        <f>IFERROR(__xludf.DUMMYFUNCTION("""COMPUTED_VALUE"""),"@Chika Sensei Ss có file cách dùng của các thể và chịa thể không ạ, Cho em xin với ạ")</f>
        <v>@Chika Sensei Ss có file cách dùng của các thể và chịa thể không ạ, Cho em xin với ạ</v>
      </c>
      <c r="F335" s="12" t="str">
        <f>IFERROR(__xludf.DUMMYFUNCTION("""COMPUTED_VALUE"""),"CVHT01")</f>
        <v>CVHT01</v>
      </c>
      <c r="G335" s="86" t="s">
        <v>891</v>
      </c>
    </row>
    <row r="336">
      <c r="A336" s="12"/>
      <c r="B336" s="241">
        <f>IFERROR(__xludf.DUMMYFUNCTION("""COMPUTED_VALUE"""),46226.0)</f>
        <v>46226</v>
      </c>
      <c r="C336" s="12" t="str">
        <f>IFERROR(__xludf.DUMMYFUNCTION("""COMPUTED_VALUE"""),"420288423")</f>
        <v>420288423</v>
      </c>
      <c r="D336" s="12" t="str">
        <f>IFERROR(__xludf.DUMMYFUNCTION("""COMPUTED_VALUE"""),"Đặng Văn Thắng")</f>
        <v>Đặng Văn Thắng</v>
      </c>
      <c r="E336" s="102" t="str">
        <f>IFERROR(__xludf.DUMMYFUNCTION("""COMPUTED_VALUE"""),"Hỗ trợ bạn ghi âm trên máy tính ạ")</f>
        <v>Hỗ trợ bạn ghi âm trên máy tính ạ</v>
      </c>
      <c r="F336" s="12" t="str">
        <f>IFERROR(__xludf.DUMMYFUNCTION("""COMPUTED_VALUE"""),"CVHT01")</f>
        <v>CVHT01</v>
      </c>
      <c r="G336" s="86" t="s">
        <v>891</v>
      </c>
    </row>
    <row r="337">
      <c r="A337" s="12"/>
      <c r="B337" s="241">
        <f>IFERROR(__xludf.DUMMYFUNCTION("""COMPUTED_VALUE"""),46226.0)</f>
        <v>46226</v>
      </c>
      <c r="C337" s="12" t="str">
        <f>IFERROR(__xludf.DUMMYFUNCTION("""COMPUTED_VALUE"""),"GV490 ")</f>
        <v>GV490 </v>
      </c>
      <c r="D337" s="12" t="str">
        <f>IFERROR(__xludf.DUMMYFUNCTION("""COMPUTED_VALUE"""),"Nguyễn Việt Hà K3")</f>
        <v>Nguyễn Việt Hà K3</v>
      </c>
      <c r="E337" s="102" t="str">
        <f>IFERROR(__xludf.DUMMYFUNCTION("""COMPUTED_VALUE"""),"e đã gửi thông tin tài khoản ngân hàng của e rồi nhưng chưa đc sửa lại ạ")</f>
        <v>e đã gửi thông tin tài khoản ngân hàng của e rồi nhưng chưa đc sửa lại ạ</v>
      </c>
      <c r="F337" s="12" t="str">
        <f>IFERROR(__xludf.DUMMYFUNCTION("""COMPUTED_VALUE"""),"CVHT01")</f>
        <v>CVHT01</v>
      </c>
      <c r="G337" s="86" t="s">
        <v>891</v>
      </c>
    </row>
    <row r="338">
      <c r="A338" s="12"/>
      <c r="B338" s="241">
        <f>IFERROR(__xludf.DUMMYFUNCTION("""COMPUTED_VALUE"""),46226.0)</f>
        <v>46226</v>
      </c>
      <c r="C338" s="12" t="str">
        <f>IFERROR(__xludf.DUMMYFUNCTION("""COMPUTED_VALUE"""),"GV304 ")</f>
        <v>GV304 </v>
      </c>
      <c r="D338" s="12" t="str">
        <f>IFERROR(__xludf.DUMMYFUNCTION("""COMPUTED_VALUE"""),"Nguyễn Thị Thảo Nguyên K2")</f>
        <v>Nguyễn Thị Thảo Nguyên K2</v>
      </c>
      <c r="E338" s="102" t="str">
        <f>IFERROR(__xludf.DUMMYFUNCTION("""COMPUTED_VALUE"""),"Cô không bật được cam trong giờ dạy ạ")</f>
        <v>Cô không bật được cam trong giờ dạy ạ</v>
      </c>
      <c r="F338" s="12" t="str">
        <f>IFERROR(__xludf.DUMMYFUNCTION("""COMPUTED_VALUE"""),"CVHT01")</f>
        <v>CVHT01</v>
      </c>
      <c r="G338" s="86" t="s">
        <v>891</v>
      </c>
    </row>
    <row r="339">
      <c r="A339" s="12"/>
      <c r="B339" s="241">
        <f>IFERROR(__xludf.DUMMYFUNCTION("""COMPUTED_VALUE"""),46226.0)</f>
        <v>46226</v>
      </c>
      <c r="C339" s="12" t="str">
        <f>IFERROR(__xludf.DUMMYFUNCTION("""COMPUTED_VALUE"""),"GV304 ")</f>
        <v>GV304 </v>
      </c>
      <c r="D339" s="12" t="str">
        <f>IFERROR(__xludf.DUMMYFUNCTION("""COMPUTED_VALUE"""),"Nguyễn Thị Thảo Nguyên K2")</f>
        <v>Nguyễn Thị Thảo Nguyên K2</v>
      </c>
      <c r="E339" s="102" t="str">
        <f>IFERROR(__xludf.DUMMYFUNCTION("""COMPUTED_VALUE"""),"Bạn tím cũng học từ bài K1L16 đúng ko c")</f>
        <v>Bạn tím cũng học từ bài K1L16 đúng ko c</v>
      </c>
      <c r="F339" s="12" t="str">
        <f>IFERROR(__xludf.DUMMYFUNCTION("""COMPUTED_VALUE"""),"CVHT01")</f>
        <v>CVHT01</v>
      </c>
      <c r="G339" s="86" t="s">
        <v>891</v>
      </c>
    </row>
    <row r="340">
      <c r="A340" s="12"/>
      <c r="B340" s="241">
        <f>IFERROR(__xludf.DUMMYFUNCTION("""COMPUTED_VALUE"""),46227.0)</f>
        <v>46227</v>
      </c>
      <c r="C340" s="12" t="str">
        <f>IFERROR(__xludf.DUMMYFUNCTION("""COMPUTED_VALUE"""),"GV501 ")</f>
        <v>GV501 </v>
      </c>
      <c r="D340" s="12" t="str">
        <f>IFERROR(__xludf.DUMMYFUNCTION("""COMPUTED_VALUE"""),"Nguyễn Thị Ngọc Hiền K2")</f>
        <v>Nguyễn Thị Ngọc Hiền K2</v>
      </c>
      <c r="E340" s="102" t="str">
        <f>IFERROR(__xludf.DUMMYFUNCTION("""COMPUTED_VALUE"""),"""Cho em hỏi là phần thuế trừ là 10% và cuối năm có được hoàn lại k ạ.""")</f>
        <v>"Cho em hỏi là phần thuế trừ là 10% và cuối năm có được hoàn lại k ạ."</v>
      </c>
      <c r="F340" s="12" t="str">
        <f>IFERROR(__xludf.DUMMYFUNCTION("""COMPUTED_VALUE"""),"CVHT01")</f>
        <v>CVHT01</v>
      </c>
      <c r="G340" s="86" t="s">
        <v>891</v>
      </c>
    </row>
    <row r="341">
      <c r="A341" s="12"/>
      <c r="B341" s="241">
        <f>IFERROR(__xludf.DUMMYFUNCTION("""COMPUTED_VALUE"""),46227.0)</f>
        <v>46227</v>
      </c>
      <c r="C341" s="12" t="str">
        <f>IFERROR(__xludf.DUMMYFUNCTION("""COMPUTED_VALUE"""),"GV361 ")</f>
        <v>GV361 </v>
      </c>
      <c r="D341" s="12" t="str">
        <f>IFERROR(__xludf.DUMMYFUNCTION("""COMPUTED_VALUE"""),"Nguyễn Thị Nụ K3")</f>
        <v>Nguyễn Thị Nụ K3</v>
      </c>
      <c r="E341" s="102" t="str">
        <f>IFERROR(__xludf.DUMMYFUNCTION("""COMPUTED_VALUE"""),"""Anh này học N4 may ra theo nổi""""Chứ trình ảnh N5""""Nhét lên N3""")</f>
        <v>"Anh này học N4 may ra theo nổi""Chứ trình ảnh N5""Nhét lên N3"</v>
      </c>
      <c r="F341" s="12" t="str">
        <f>IFERROR(__xludf.DUMMYFUNCTION("""COMPUTED_VALUE"""),"CVHT01")</f>
        <v>CVHT01</v>
      </c>
      <c r="G341" s="86" t="s">
        <v>891</v>
      </c>
    </row>
    <row r="342">
      <c r="A342" s="12"/>
      <c r="B342" s="241">
        <f>IFERROR(__xludf.DUMMYFUNCTION("""COMPUTED_VALUE"""),46228.0)</f>
        <v>46228</v>
      </c>
      <c r="C342" s="12" t="str">
        <f>IFERROR(__xludf.DUMMYFUNCTION("""COMPUTED_VALUE"""),"427899465")</f>
        <v>427899465</v>
      </c>
      <c r="D342" s="12" t="str">
        <f>IFERROR(__xludf.DUMMYFUNCTION("""COMPUTED_VALUE"""),"Nguyễn Phương Linh")</f>
        <v>Nguyễn Phương Linh</v>
      </c>
      <c r="E342" s="102" t="str">
        <f>IFERROR(__xludf.DUMMYFUNCTION("""COMPUTED_VALUE"""),"bạn đã kết bạn zl rồi ạ")</f>
        <v>bạn đã kết bạn zl rồi ạ</v>
      </c>
      <c r="F342" s="12" t="str">
        <f>IFERROR(__xludf.DUMMYFUNCTION("""COMPUTED_VALUE"""),"CVHT01")</f>
        <v>CVHT01</v>
      </c>
      <c r="G342" s="86" t="s">
        <v>891</v>
      </c>
    </row>
    <row r="343">
      <c r="A343" s="12"/>
      <c r="B343" s="241">
        <f>IFERROR(__xludf.DUMMYFUNCTION("""COMPUTED_VALUE"""),46228.0)</f>
        <v>46228</v>
      </c>
      <c r="C343" s="12" t="str">
        <f>IFERROR(__xludf.DUMMYFUNCTION("""COMPUTED_VALUE"""),"420288659")</f>
        <v>420288659</v>
      </c>
      <c r="D343" s="12" t="str">
        <f>IFERROR(__xludf.DUMMYFUNCTION("""COMPUTED_VALUE"""),"Nguyễn Việt Tân")</f>
        <v>Nguyễn Việt Tân</v>
      </c>
      <c r="E343" s="102" t="str">
        <f>IFERROR(__xludf.DUMMYFUNCTION("""COMPUTED_VALUE"""),"Dạ e về Việt Nam r ạ, E thôi học ss ạ")</f>
        <v>Dạ e về Việt Nam r ạ, E thôi học ss ạ</v>
      </c>
      <c r="F343" s="12" t="str">
        <f>IFERROR(__xludf.DUMMYFUNCTION("""COMPUTED_VALUE"""),"CVHT01")</f>
        <v>CVHT01</v>
      </c>
      <c r="G343" s="86" t="s">
        <v>891</v>
      </c>
    </row>
    <row r="344">
      <c r="A344" s="12"/>
      <c r="B344" s="241">
        <f>IFERROR(__xludf.DUMMYFUNCTION("""COMPUTED_VALUE"""),46228.0)</f>
        <v>46228</v>
      </c>
      <c r="C344" s="12" t="str">
        <f>IFERROR(__xludf.DUMMYFUNCTION("""COMPUTED_VALUE"""),"427896190")</f>
        <v>427896190</v>
      </c>
      <c r="D344" s="12" t="str">
        <f>IFERROR(__xludf.DUMMYFUNCTION("""COMPUTED_VALUE"""),"Trần Thị Thúy")</f>
        <v>Trần Thị Thúy</v>
      </c>
      <c r="E344" s="102" t="str">
        <f>IFERROR(__xludf.DUMMYFUNCTION("""COMPUTED_VALUE"""),"SS ơi bài 26 e ko thấy có fine nghe")</f>
        <v>SS ơi bài 26 e ko thấy có fine nghe</v>
      </c>
      <c r="F344" s="12" t="str">
        <f>IFERROR(__xludf.DUMMYFUNCTION("""COMPUTED_VALUE"""),"CVHT01")</f>
        <v>CVHT01</v>
      </c>
      <c r="G344" s="86" t="s">
        <v>891</v>
      </c>
    </row>
    <row r="345">
      <c r="A345" s="12"/>
      <c r="B345" s="241">
        <f>IFERROR(__xludf.DUMMYFUNCTION("""COMPUTED_VALUE"""),46230.0)</f>
        <v>46230</v>
      </c>
      <c r="C345" s="12" t="str">
        <f>IFERROR(__xludf.DUMMYFUNCTION("""COMPUTED_VALUE"""),"GV505 ")</f>
        <v>GV505 </v>
      </c>
      <c r="D345" s="12" t="str">
        <f>IFERROR(__xludf.DUMMYFUNCTION("""COMPUTED_VALUE""")," Đoàn Quang Dũng Kaiwa 2")</f>
        <v> Đoàn Quang Dũng Kaiwa 2</v>
      </c>
      <c r="E345" s="102" t="str">
        <f>IFERROR(__xludf.DUMMYFUNCTION("""COMPUTED_VALUE"""),"""dạ vâng vậy em nhận ca này ạ""")</f>
        <v>"dạ vâng vậy em nhận ca này ạ"</v>
      </c>
      <c r="F345" s="12" t="str">
        <f>IFERROR(__xludf.DUMMYFUNCTION("""COMPUTED_VALUE"""),"CVHT01")</f>
        <v>CVHT01</v>
      </c>
      <c r="G345" s="86" t="s">
        <v>891</v>
      </c>
    </row>
    <row r="346">
      <c r="A346" s="12"/>
      <c r="B346" s="241">
        <f>IFERROR(__xludf.DUMMYFUNCTION("""COMPUTED_VALUE"""),46230.0)</f>
        <v>46230</v>
      </c>
      <c r="C346" s="12" t="str">
        <f>IFERROR(__xludf.DUMMYFUNCTION("""COMPUTED_VALUE"""),"10056257 ")</f>
        <v>10056257 </v>
      </c>
      <c r="D346" s="12" t="str">
        <f>IFERROR(__xludf.DUMMYFUNCTION("""COMPUTED_VALUE"""),"Nguyễn Minh Hiếu JLPT N2")</f>
        <v>Nguyễn Minh Hiếu JLPT N2</v>
      </c>
      <c r="E346" s="102" t="str">
        <f>IFERROR(__xludf.DUMMYFUNCTION("""COMPUTED_VALUE"""),"""Ss ơi file từ vựng và chữ hán đâu ạ""")</f>
        <v>"Ss ơi file từ vựng và chữ hán đâu ạ"</v>
      </c>
      <c r="F346" s="12" t="str">
        <f>IFERROR(__xludf.DUMMYFUNCTION("""COMPUTED_VALUE"""),"CVHT01")</f>
        <v>CVHT01</v>
      </c>
      <c r="G346" s="86" t="s">
        <v>891</v>
      </c>
    </row>
    <row r="347">
      <c r="A347" s="12"/>
      <c r="B347" s="241">
        <f>IFERROR(__xludf.DUMMYFUNCTION("""COMPUTED_VALUE"""),46230.0)</f>
        <v>46230</v>
      </c>
      <c r="C347" s="12" t="str">
        <f>IFERROR(__xludf.DUMMYFUNCTION("""COMPUTED_VALUE"""),"427899445")</f>
        <v>427899445</v>
      </c>
      <c r="D347" s="12" t="str">
        <f>IFERROR(__xludf.DUMMYFUNCTION("""COMPUTED_VALUE"""),"Phạm Thị Hoài Thương")</f>
        <v>Phạm Thị Hoài Thương</v>
      </c>
      <c r="E347" s="102" t="str">
        <f>IFERROR(__xludf.DUMMYFUNCTION("""COMPUTED_VALUE"""),"Em mới xác nhận lịch học tháng tới với bạn ạ, chị tìm gv cho bạn ạ. Chị xem trong tin nhắn nhé ạ")</f>
        <v>Em mới xác nhận lịch học tháng tới với bạn ạ, chị tìm gv cho bạn ạ. Chị xem trong tin nhắn nhé ạ</v>
      </c>
      <c r="F347" s="12" t="str">
        <f>IFERROR(__xludf.DUMMYFUNCTION("""COMPUTED_VALUE"""),"CVHT01")</f>
        <v>CVHT01</v>
      </c>
      <c r="G347" s="86" t="s">
        <v>891</v>
      </c>
    </row>
    <row r="348">
      <c r="A348" s="12"/>
      <c r="B348" s="241">
        <f>IFERROR(__xludf.DUMMYFUNCTION("""COMPUTED_VALUE"""),46230.0)</f>
        <v>46230</v>
      </c>
      <c r="C348" s="12" t="str">
        <f>IFERROR(__xludf.DUMMYFUNCTION("""COMPUTED_VALUE"""),"GV123 ")</f>
        <v>GV123 </v>
      </c>
      <c r="D348" s="12" t="str">
        <f>IFERROR(__xludf.DUMMYFUNCTION("""COMPUTED_VALUE"""),"Nguyễn Thị Bảo Trang K3")</f>
        <v>Nguyễn Thị Bảo Trang K3</v>
      </c>
      <c r="E348" s="102" t="str">
        <f>IFERROR(__xludf.DUMMYFUNCTION("""COMPUTED_VALUE"""),"""19h tối thì e ok ạ. Chiều thì e khó :3""")</f>
        <v>"19h tối thì e ok ạ. Chiều thì e khó :3"</v>
      </c>
      <c r="F348" s="12" t="str">
        <f>IFERROR(__xludf.DUMMYFUNCTION("""COMPUTED_VALUE"""),"CVHT01")</f>
        <v>CVHT01</v>
      </c>
      <c r="G348" s="86" t="s">
        <v>891</v>
      </c>
    </row>
    <row r="349">
      <c r="A349" s="12"/>
      <c r="B349" s="241">
        <f>IFERROR(__xludf.DUMMYFUNCTION("""COMPUTED_VALUE"""),46230.0)</f>
        <v>46230</v>
      </c>
      <c r="C349" s="12" t="str">
        <f>IFERROR(__xludf.DUMMYFUNCTION("""COMPUTED_VALUE"""),"427899445")</f>
        <v>427899445</v>
      </c>
      <c r="D349" s="12" t="str">
        <f>IFERROR(__xludf.DUMMYFUNCTION("""COMPUTED_VALUE"""),"Phạm Thị Hoài Thương")</f>
        <v>Phạm Thị Hoài Thương</v>
      </c>
      <c r="E349" s="102" t="str">
        <f>IFERROR(__xludf.DUMMYFUNCTION("""COMPUTED_VALUE"""),"""Sensei ơi hình như em được tặng kèm thêm khóa video jlpt n2 đúng ko ạ""")</f>
        <v>"Sensei ơi hình như em được tặng kèm thêm khóa video jlpt n2 đúng ko ạ"</v>
      </c>
      <c r="F349" s="12" t="str">
        <f>IFERROR(__xludf.DUMMYFUNCTION("""COMPUTED_VALUE"""),"CVHT01")</f>
        <v>CVHT01</v>
      </c>
      <c r="G349" s="86" t="s">
        <v>891</v>
      </c>
    </row>
    <row r="350">
      <c r="A350" s="12"/>
      <c r="B350" s="241">
        <f>IFERROR(__xludf.DUMMYFUNCTION("""COMPUTED_VALUE"""),46231.0)</f>
        <v>46231</v>
      </c>
      <c r="C350" s="12" t="str">
        <f>IFERROR(__xludf.DUMMYFUNCTION("""COMPUTED_VALUE"""),"GV385 ")</f>
        <v>GV385 </v>
      </c>
      <c r="D350" s="12" t="str">
        <f>IFERROR(__xludf.DUMMYFUNCTION("""COMPUTED_VALUE"""),"Lê Nữ Trang Nhung K3")</f>
        <v>Lê Nữ Trang Nhung K3</v>
      </c>
      <c r="E350" s="102" t="str">
        <f>IFERROR(__xludf.DUMMYFUNCTION("""COMPUTED_VALUE"""),"""@Aiko Sensei giờ này sớm quá, mình còn phải cơm nước nữa :-((""")</f>
        <v>"@Aiko Sensei giờ này sớm quá, mình còn phải cơm nước nữa :-(("</v>
      </c>
      <c r="F350" s="12" t="str">
        <f>IFERROR(__xludf.DUMMYFUNCTION("""COMPUTED_VALUE"""),"CVHT01")</f>
        <v>CVHT01</v>
      </c>
      <c r="G350" s="86" t="s">
        <v>891</v>
      </c>
    </row>
    <row r="351">
      <c r="A351" s="12"/>
      <c r="B351" s="241">
        <f>IFERROR(__xludf.DUMMYFUNCTION("""COMPUTED_VALUE"""),46231.0)</f>
        <v>46231</v>
      </c>
      <c r="C351" s="12" t="str">
        <f>IFERROR(__xludf.DUMMYFUNCTION("""COMPUTED_VALUE"""),"GV442 ")</f>
        <v>GV442 </v>
      </c>
      <c r="D351" s="12" t="str">
        <f>IFERROR(__xludf.DUMMYFUNCTION("""COMPUTED_VALUE"""),"Nguyễn Thị Huyền K2")</f>
        <v>Nguyễn Thị Huyền K2</v>
      </c>
      <c r="E351" s="102" t="str">
        <f>IFERROR(__xludf.DUMMYFUNCTION("""COMPUTED_VALUE"""),"""Dạ đợt này em thấy hệ thống bị lỗi khá nhiều về camera chị ạ, bị mất cả 2 hoặc mất 1 phía chỉ nghe được giọng thôi ạ.""")</f>
        <v>"Dạ đợt này em thấy hệ thống bị lỗi khá nhiều về camera chị ạ, bị mất cả 2 hoặc mất 1 phía chỉ nghe được giọng thôi ạ."</v>
      </c>
      <c r="F351" s="12" t="str">
        <f>IFERROR(__xludf.DUMMYFUNCTION("""COMPUTED_VALUE"""),"CVHT01")</f>
        <v>CVHT01</v>
      </c>
      <c r="G351" s="86" t="s">
        <v>891</v>
      </c>
    </row>
    <row r="352">
      <c r="A352" s="12"/>
      <c r="B352" s="241">
        <f>IFERROR(__xludf.DUMMYFUNCTION("""COMPUTED_VALUE"""),46231.0)</f>
        <v>46231</v>
      </c>
      <c r="C352" s="12" t="str">
        <f>IFERROR(__xludf.DUMMYFUNCTION("""COMPUTED_VALUE"""),"GV490 ")</f>
        <v>GV490 </v>
      </c>
      <c r="D352" s="12" t="str">
        <f>IFERROR(__xludf.DUMMYFUNCTION("""COMPUTED_VALUE"""),"Nguyễn Việt Hà K3")</f>
        <v>Nguyễn Việt Hà K3</v>
      </c>
      <c r="E352" s="102" t="str">
        <f>IFERROR(__xludf.DUMMYFUNCTION("""COMPUTED_VALUE"""),"""Hôm nay bạn Thuý học xong bài 27 rồi c nhé. Vào buổi 30 mình sẽ test nội dung gì vậy c?""")</f>
        <v>"Hôm nay bạn Thuý học xong bài 27 rồi c nhé. Vào buổi 30 mình sẽ test nội dung gì vậy c?"</v>
      </c>
      <c r="F352" s="12" t="str">
        <f>IFERROR(__xludf.DUMMYFUNCTION("""COMPUTED_VALUE"""),"CVHT01")</f>
        <v>CVHT01</v>
      </c>
      <c r="G352" s="86" t="s">
        <v>891</v>
      </c>
    </row>
    <row r="353">
      <c r="A353" s="12"/>
      <c r="B353" s="241">
        <f>IFERROR(__xludf.DUMMYFUNCTION("""COMPUTED_VALUE"""),46232.0)</f>
        <v>46232</v>
      </c>
      <c r="C353" s="12" t="str">
        <f>IFERROR(__xludf.DUMMYFUNCTION("""COMPUTED_VALUE"""),"427895447")</f>
        <v>427895447</v>
      </c>
      <c r="D353" s="12" t="str">
        <f>IFERROR(__xludf.DUMMYFUNCTION("""COMPUTED_VALUE"""),"Nguyễn Thị Như Ý  N3")</f>
        <v>Nguyễn Thị Như Ý  N3</v>
      </c>
      <c r="E353" s="102" t="str">
        <f>IFERROR(__xludf.DUMMYFUNCTION("""COMPUTED_VALUE"""),"""Cô ơi ví dụ như e ko thi n3 nx mà e cx mới học thôi giờ e mà muốn đổi sang học kaiwa đc ko cô""")</f>
        <v>"Cô ơi ví dụ như e ko thi n3 nx mà e cx mới học thôi giờ e mà muốn đổi sang học kaiwa đc ko cô"</v>
      </c>
      <c r="F353" s="12" t="str">
        <f>IFERROR(__xludf.DUMMYFUNCTION("""COMPUTED_VALUE"""),"CVHT01")</f>
        <v>CVHT01</v>
      </c>
      <c r="G353" s="86" t="s">
        <v>891</v>
      </c>
    </row>
    <row r="354">
      <c r="A354" s="12"/>
      <c r="B354" s="241">
        <f>IFERROR(__xludf.DUMMYFUNCTION("""COMPUTED_VALUE"""),46232.0)</f>
        <v>46232</v>
      </c>
      <c r="C354" s="12" t="str">
        <f>IFERROR(__xludf.DUMMYFUNCTION("""COMPUTED_VALUE"""),"GV348  ")</f>
        <v>GV348  </v>
      </c>
      <c r="D354" s="12" t="str">
        <f>IFERROR(__xludf.DUMMYFUNCTION("""COMPUTED_VALUE""")," Tạ Thị Thắm K2")</f>
        <v> Tạ Thị Thắm K2</v>
      </c>
      <c r="E354" s="102" t="str">
        <f>IFERROR(__xludf.DUMMYFUNCTION("""COMPUTED_VALUE"""),"""Chị ơi bạn Hiệp em thâyd có 13 buổi thì nay buổi 13 rồi là xong đúng không ạ""")</f>
        <v>"Chị ơi bạn Hiệp em thâyd có 13 buổi thì nay buổi 13 rồi là xong đúng không ạ"</v>
      </c>
      <c r="F354" s="12" t="str">
        <f>IFERROR(__xludf.DUMMYFUNCTION("""COMPUTED_VALUE"""),"CVHT01")</f>
        <v>CVHT01</v>
      </c>
      <c r="G354" s="86" t="s">
        <v>891</v>
      </c>
    </row>
    <row r="355">
      <c r="A355" s="12"/>
      <c r="B355" s="241">
        <f>IFERROR(__xludf.DUMMYFUNCTION("""COMPUTED_VALUE"""),46232.0)</f>
        <v>46232</v>
      </c>
      <c r="C355" s="12" t="str">
        <f>IFERROR(__xludf.DUMMYFUNCTION("""COMPUTED_VALUE"""),"GV511 ")</f>
        <v>GV511 </v>
      </c>
      <c r="D355" s="12" t="str">
        <f>IFERROR(__xludf.DUMMYFUNCTION("""COMPUTED_VALUE"""),"Nguyễn Thị Lan Anh K2")</f>
        <v>Nguyễn Thị Lan Anh K2</v>
      </c>
      <c r="E355" s="102" t="str">
        <f>IFERROR(__xludf.DUMMYFUNCTION("""COMPUTED_VALUE"""),"""cho em hỏi ạ , link kaiwa 2 là kaiwa 2 new rồi đúng không ạ""
""phần đánh giá buổi học kia em ghi sau mỗi buổi học ạ""")</f>
        <v>"cho em hỏi ạ , link kaiwa 2 là kaiwa 2 new rồi đúng không ạ"
"phần đánh giá buổi học kia em ghi sau mỗi buổi học ạ"</v>
      </c>
      <c r="F355" s="12" t="str">
        <f>IFERROR(__xludf.DUMMYFUNCTION("""COMPUTED_VALUE"""),"CVHT01")</f>
        <v>CVHT01</v>
      </c>
      <c r="G355" s="86" t="s">
        <v>891</v>
      </c>
    </row>
    <row r="356">
      <c r="A356" s="12"/>
      <c r="B356" s="241">
        <f>IFERROR(__xludf.DUMMYFUNCTION("""COMPUTED_VALUE"""),46232.0)</f>
        <v>46232</v>
      </c>
      <c r="C356" s="12" t="str">
        <f>IFERROR(__xludf.DUMMYFUNCTION("""COMPUTED_VALUE"""),"427898831")</f>
        <v>427898831</v>
      </c>
      <c r="D356" s="12" t="str">
        <f>IFERROR(__xludf.DUMMYFUNCTION("""COMPUTED_VALUE"""),"Ngô Nguyễn Bích Trân")</f>
        <v>Ngô Nguyễn Bích Trân</v>
      </c>
      <c r="E356" s="102" t="str">
        <f>IFERROR(__xludf.DUMMYFUNCTION("""COMPUTED_VALUE"""),"Bạn ấy viết feedback trên zalo dài lắm chị ui, chị trao đổi với bạn nhé:(((")</f>
        <v>Bạn ấy viết feedback trên zalo dài lắm chị ui, chị trao đổi với bạn nhé:(((</v>
      </c>
      <c r="F356" s="12" t="str">
        <f>IFERROR(__xludf.DUMMYFUNCTION("""COMPUTED_VALUE"""),"CVHT01")</f>
        <v>CVHT01</v>
      </c>
      <c r="G356" s="86" t="s">
        <v>891</v>
      </c>
    </row>
    <row r="357">
      <c r="A357" s="12"/>
      <c r="B357" s="241">
        <f>IFERROR(__xludf.DUMMYFUNCTION("""COMPUTED_VALUE"""),46232.0)</f>
        <v>46232</v>
      </c>
      <c r="C357" s="12" t="str">
        <f>IFERROR(__xludf.DUMMYFUNCTION("""COMPUTED_VALUE"""),"GV425 ")</f>
        <v>GV425 </v>
      </c>
      <c r="D357" s="12" t="str">
        <f>IFERROR(__xludf.DUMMYFUNCTION("""COMPUTED_VALUE"""),"Trần Thị Ngọc Thủy K2")</f>
        <v>Trần Thị Ngọc Thủy K2</v>
      </c>
      <c r="E357" s="102" t="str">
        <f>IFERROR(__xludf.DUMMYFUNCTION("""COMPUTED_VALUE"""),"""c ơi, Thúy san hc k2 e thấy hơi cao quá, mà k1 thì thấp quá""
Cô nhắn vậy chị trao đổi với bạn nhé ạ.
420287770 - Nguyễn Thị Thúy")</f>
        <v>"c ơi, Thúy san hc k2 e thấy hơi cao quá, mà k1 thì thấp quá"
Cô nhắn vậy chị trao đổi với bạn nhé ạ.
420287770 - Nguyễn Thị Thúy</v>
      </c>
      <c r="F357" s="12" t="str">
        <f>IFERROR(__xludf.DUMMYFUNCTION("""COMPUTED_VALUE"""),"CVHT01")</f>
        <v>CVHT01</v>
      </c>
      <c r="G357" s="86" t="s">
        <v>891</v>
      </c>
    </row>
    <row r="358">
      <c r="A358" s="12"/>
      <c r="B358" s="241">
        <f>IFERROR(__xludf.DUMMYFUNCTION("""COMPUTED_VALUE"""),46233.0)</f>
        <v>46233</v>
      </c>
      <c r="C358" s="12" t="str">
        <f>IFERROR(__xludf.DUMMYFUNCTION("""COMPUTED_VALUE"""),"427897275")</f>
        <v>427897275</v>
      </c>
      <c r="D358" s="12" t="str">
        <f>IFERROR(__xludf.DUMMYFUNCTION("""COMPUTED_VALUE"""),"Võ Thị Vi")</f>
        <v>Võ Thị Vi</v>
      </c>
      <c r="E358" s="102" t="str">
        <f>IFERROR(__xludf.DUMMYFUNCTION("""COMPUTED_VALUE"""),"Vẫn giữ nguyên hk ạ")</f>
        <v>Vẫn giữ nguyên hk ạ</v>
      </c>
      <c r="F358" s="12" t="str">
        <f>IFERROR(__xludf.DUMMYFUNCTION("""COMPUTED_VALUE"""),"CVHT01")</f>
        <v>CVHT01</v>
      </c>
      <c r="G358" s="86" t="s">
        <v>891</v>
      </c>
    </row>
    <row r="359">
      <c r="A359" s="12"/>
      <c r="B359" s="241">
        <f>IFERROR(__xludf.DUMMYFUNCTION("""COMPUTED_VALUE"""),46233.0)</f>
        <v>46233</v>
      </c>
      <c r="C359" s="12" t="str">
        <f>IFERROR(__xludf.DUMMYFUNCTION("""COMPUTED_VALUE"""),"420291231")</f>
        <v>420291231</v>
      </c>
      <c r="D359" s="12" t="str">
        <f>IFERROR(__xludf.DUMMYFUNCTION("""COMPUTED_VALUE"""),"Hồ Ngọc Lưu")</f>
        <v>Hồ Ngọc Lưu</v>
      </c>
      <c r="E359" s="102" t="str">
        <f>IFERROR(__xludf.DUMMYFUNCTION("""COMPUTED_VALUE"""),"Bạn quay lại học được và học được theo lịch  cũ ạ")</f>
        <v>Bạn quay lại học được và học được theo lịch  cũ ạ</v>
      </c>
      <c r="F359" s="12" t="str">
        <f>IFERROR(__xludf.DUMMYFUNCTION("""COMPUTED_VALUE"""),"CVHT01")</f>
        <v>CVHT01</v>
      </c>
      <c r="G359" s="86" t="s">
        <v>891</v>
      </c>
    </row>
    <row r="360">
      <c r="A360" s="12"/>
      <c r="B360" s="241">
        <f>IFERROR(__xludf.DUMMYFUNCTION("""COMPUTED_VALUE"""),46233.0)</f>
        <v>46233</v>
      </c>
      <c r="C360" s="12" t="str">
        <f>IFERROR(__xludf.DUMMYFUNCTION("""COMPUTED_VALUE"""),"GV348  ")</f>
        <v>GV348  </v>
      </c>
      <c r="D360" s="12" t="str">
        <f>IFERROR(__xludf.DUMMYFUNCTION("""COMPUTED_VALUE"""),"Tạ Thị Thắm K2")</f>
        <v>Tạ Thị Thắm K2</v>
      </c>
      <c r="E360" s="102" t="str">
        <f>IFERROR(__xludf.DUMMYFUNCTION("""COMPUTED_VALUE"""),"Chị ơi bạn Hiệp em thâyd có 13 buổi thì nay buổi 13 rồi là xong đúng không ạ")</f>
        <v>Chị ơi bạn Hiệp em thâyd có 13 buổi thì nay buổi 13 rồi là xong đúng không ạ</v>
      </c>
      <c r="F360" s="12" t="str">
        <f>IFERROR(__xludf.DUMMYFUNCTION("""COMPUTED_VALUE"""),"CVHT01")</f>
        <v>CVHT01</v>
      </c>
      <c r="G360" s="86" t="s">
        <v>891</v>
      </c>
    </row>
    <row r="361">
      <c r="A361" s="12"/>
      <c r="B361" s="241">
        <f>IFERROR(__xludf.DUMMYFUNCTION("""COMPUTED_VALUE"""),46233.0)</f>
        <v>46233</v>
      </c>
      <c r="C361" s="12" t="str">
        <f>IFERROR(__xludf.DUMMYFUNCTION("""COMPUTED_VALUE"""),"GV511 ")</f>
        <v>GV511 </v>
      </c>
      <c r="D361" s="12" t="str">
        <f>IFERROR(__xludf.DUMMYFUNCTION("""COMPUTED_VALUE"""),"Nguyễn Thị Lan Anh K2")</f>
        <v>Nguyễn Thị Lan Anh K2</v>
      </c>
      <c r="E361" s="102" t="str">
        <f>IFERROR(__xludf.DUMMYFUNCTION("""COMPUTED_VALUE"""),"tin nhắn zalo ạ")</f>
        <v>tin nhắn zalo ạ</v>
      </c>
      <c r="F361" s="12" t="str">
        <f>IFERROR(__xludf.DUMMYFUNCTION("""COMPUTED_VALUE"""),"CVHT01")</f>
        <v>CVHT01</v>
      </c>
      <c r="G361" s="86" t="s">
        <v>891</v>
      </c>
    </row>
    <row r="362">
      <c r="A362" s="12"/>
      <c r="B362" s="241">
        <f>IFERROR(__xludf.DUMMYFUNCTION("""COMPUTED_VALUE"""),46234.0)</f>
        <v>46234</v>
      </c>
      <c r="C362" s="12" t="str">
        <f>IFERROR(__xludf.DUMMYFUNCTION("""COMPUTED_VALUE"""),"427897585")</f>
        <v>427897585</v>
      </c>
      <c r="D362" s="12" t="str">
        <f>IFERROR(__xludf.DUMMYFUNCTION("""COMPUTED_VALUE"""),"Nguyễn Tấn Bình")</f>
        <v>Nguyễn Tấn Bình</v>
      </c>
      <c r="E362" s="102" t="str">
        <f>IFERROR(__xludf.DUMMYFUNCTION("""COMPUTED_VALUE"""),"Nay em test hệ thống với bạn, em share băng nghe thì bạn nghe bình thường ạ. 
Bạn bảo khi cô bật file nghe lên thì bạn nghe bị rè, ko rõ giống như là cô bật file nghe từ thiết bị khác xong cho bạn nghe chứ ko phải share trực tiếp trên hệ thống như nay tes"&amp;"t ạ. Nên chị hỏi lại cô nhé ạ.
")</f>
        <v>Nay em test hệ thống với bạn, em share băng nghe thì bạn nghe bình thường ạ. 
Bạn bảo khi cô bật file nghe lên thì bạn nghe bị rè, ko rõ giống như là cô bật file nghe từ thiết bị khác xong cho bạn nghe chứ ko phải share trực tiếp trên hệ thống như nay test ạ. Nên chị hỏi lại cô nhé ạ.
</v>
      </c>
      <c r="F362" s="12" t="str">
        <f>IFERROR(__xludf.DUMMYFUNCTION("""COMPUTED_VALUE"""),"CVHT01")</f>
        <v>CVHT01</v>
      </c>
      <c r="G362" s="86" t="s">
        <v>891</v>
      </c>
    </row>
    <row r="363">
      <c r="A363" s="12"/>
      <c r="B363" s="241">
        <f>IFERROR(__xludf.DUMMYFUNCTION("""COMPUTED_VALUE"""),46234.0)</f>
        <v>46234</v>
      </c>
      <c r="C363" s="12" t="str">
        <f>IFERROR(__xludf.DUMMYFUNCTION("""COMPUTED_VALUE"""),"GV462 ")</f>
        <v>GV462 </v>
      </c>
      <c r="D363" s="12" t="str">
        <f>IFERROR(__xludf.DUMMYFUNCTION("""COMPUTED_VALUE""")," Nguyễn Thị Thanh K3")</f>
        <v> Nguyễn Thị Thanh K3</v>
      </c>
      <c r="E363" s="102" t="str">
        <f>IFERROR(__xludf.DUMMYFUNCTION("""COMPUTED_VALUE"""),"""tạm đến tháng 10 cho em nhận lịch đó ạ""""sang tháng 11 rảnh hơn em lại quay lại nhận ạ""")</f>
        <v>"tạm đến tháng 10 cho em nhận lịch đó ạ""sang tháng 11 rảnh hơn em lại quay lại nhận ạ"</v>
      </c>
      <c r="F363" s="12" t="str">
        <f>IFERROR(__xludf.DUMMYFUNCTION("""COMPUTED_VALUE"""),"CVHT01")</f>
        <v>CVHT01</v>
      </c>
      <c r="G363" s="86" t="s">
        <v>891</v>
      </c>
    </row>
    <row r="364">
      <c r="A364" s="12"/>
      <c r="B364" s="241">
        <f>IFERROR(__xludf.DUMMYFUNCTION("""COMPUTED_VALUE"""),46234.0)</f>
        <v>46234</v>
      </c>
      <c r="C364" s="12" t="str">
        <f>IFERROR(__xludf.DUMMYFUNCTION("""COMPUTED_VALUE"""),"10055102 ")</f>
        <v>10055102 </v>
      </c>
      <c r="D364" s="12" t="str">
        <f>IFERROR(__xludf.DUMMYFUNCTION("""COMPUTED_VALUE""")," Trần Tuệ Ân JLPTN3")</f>
        <v> Trần Tuệ Ân JLPTN3</v>
      </c>
      <c r="E364" s="102" t="str">
        <f>IFERROR(__xludf.DUMMYFUNCTION("""COMPUTED_VALUE"""),"""Nên e muốn đổi qua lớp n3 khác ấy ạ""")</f>
        <v>"Nên e muốn đổi qua lớp n3 khác ấy ạ"</v>
      </c>
      <c r="F364" s="12" t="str">
        <f>IFERROR(__xludf.DUMMYFUNCTION("""COMPUTED_VALUE"""),"CVHT01")</f>
        <v>CVHT01</v>
      </c>
      <c r="G364" s="86" t="s">
        <v>891</v>
      </c>
    </row>
    <row r="365">
      <c r="A365" s="12"/>
      <c r="B365" s="241">
        <f>IFERROR(__xludf.DUMMYFUNCTION("""COMPUTED_VALUE"""),46235.0)</f>
        <v>46235</v>
      </c>
      <c r="C365" s="12" t="str">
        <f>IFERROR(__xludf.DUMMYFUNCTION("""COMPUTED_VALUE"""),"10054789")</f>
        <v>10054789</v>
      </c>
      <c r="D365" s="12" t="str">
        <f>IFERROR(__xludf.DUMMYFUNCTION("""COMPUTED_VALUE"""),"Nguyễn Thị Nhung Em N3CBCS")</f>
        <v>Nguyễn Thị Nhung Em N3CBCS</v>
      </c>
      <c r="E365" s="102" t="str">
        <f>IFERROR(__xludf.DUMMYFUNCTION("""COMPUTED_VALUE"""),"""dạ ss ghi tên e vào lớp luyện đề t246 lúc 21hnb -23hnb . e cam on ss""")</f>
        <v>"dạ ss ghi tên e vào lớp luyện đề t246 lúc 21hnb -23hnb . e cam on ss"</v>
      </c>
      <c r="F365" s="12" t="str">
        <f>IFERROR(__xludf.DUMMYFUNCTION("""COMPUTED_VALUE"""),"CVHT01")</f>
        <v>CVHT01</v>
      </c>
      <c r="G365" s="86" t="s">
        <v>891</v>
      </c>
    </row>
    <row r="366">
      <c r="A366" s="12"/>
      <c r="B366" s="241">
        <f>IFERROR(__xludf.DUMMYFUNCTION("""COMPUTED_VALUE"""),46235.0)</f>
        <v>46235</v>
      </c>
      <c r="C366" s="12" t="str">
        <f>IFERROR(__xludf.DUMMYFUNCTION("""COMPUTED_VALUE"""),"427898592")</f>
        <v>427898592</v>
      </c>
      <c r="D366" s="12" t="str">
        <f>IFERROR(__xludf.DUMMYFUNCTION("""COMPUTED_VALUE"""),"Nguyễn Hồng Thu Trúc")</f>
        <v>Nguyễn Hồng Thu Trúc</v>
      </c>
      <c r="E366" s="102" t="str">
        <f>IFERROR(__xludf.DUMMYFUNCTION("""COMPUTED_VALUE"""),"Bạn vẫn muốn học 1 tuần 6 buổi chị ạ.")</f>
        <v>Bạn vẫn muốn học 1 tuần 6 buổi chị ạ.</v>
      </c>
      <c r="F366" s="12" t="str">
        <f>IFERROR(__xludf.DUMMYFUNCTION("""COMPUTED_VALUE"""),"CVHT01")</f>
        <v>CVHT01</v>
      </c>
      <c r="G366" s="86" t="s">
        <v>891</v>
      </c>
    </row>
    <row r="367">
      <c r="A367" s="12"/>
      <c r="B367" s="241">
        <f>IFERROR(__xludf.DUMMYFUNCTION("""COMPUTED_VALUE"""),46235.0)</f>
        <v>46235</v>
      </c>
      <c r="C367" s="12" t="str">
        <f>IFERROR(__xludf.DUMMYFUNCTION("""COMPUTED_VALUE"""),"GV490 ")</f>
        <v>GV490 </v>
      </c>
      <c r="D367" s="12" t="str">
        <f>IFERROR(__xludf.DUMMYFUNCTION("""COMPUTED_VALUE"""),"Nguyễn Việt Hà K3")</f>
        <v>Nguyễn Việt Hà K3</v>
      </c>
      <c r="E367" s="102" t="str">
        <f>IFERROR(__xludf.DUMMYFUNCTION("""COMPUTED_VALUE"""),"""Chị ơi, nội dung buổi 30 e có k hiểu 1 chút ạ. Mondai 4 nội dung kaiwa hình như không khớp""")</f>
        <v>"Chị ơi, nội dung buổi 30 e có k hiểu 1 chút ạ. Mondai 4 nội dung kaiwa hình như không khớp"</v>
      </c>
      <c r="F367" s="12" t="str">
        <f>IFERROR(__xludf.DUMMYFUNCTION("""COMPUTED_VALUE"""),"CVHT01")</f>
        <v>CVHT01</v>
      </c>
      <c r="G367" s="86" t="s">
        <v>891</v>
      </c>
    </row>
    <row r="368">
      <c r="A368" s="12"/>
      <c r="B368" s="241">
        <f>IFERROR(__xludf.DUMMYFUNCTION("""COMPUTED_VALUE"""),46089.0)</f>
        <v>46089</v>
      </c>
      <c r="C368" s="12" t="str">
        <f>IFERROR(__xludf.DUMMYFUNCTION("""COMPUTED_VALUE"""),"420290679")</f>
        <v>420290679</v>
      </c>
      <c r="D368" s="12" t="str">
        <f>IFERROR(__xludf.DUMMYFUNCTION("""COMPUTED_VALUE"""),"Nguyễn Văn Cường")</f>
        <v>Nguyễn Văn Cường</v>
      </c>
      <c r="E368" s="102" t="str">
        <f>IFERROR(__xludf.DUMMYFUNCTION("""COMPUTED_VALUE"""),"tuần sau e quay lại hok đk ạ")</f>
        <v>tuần sau e quay lại hok đk ạ</v>
      </c>
      <c r="F368" s="12" t="str">
        <f>IFERROR(__xludf.DUMMYFUNCTION("""COMPUTED_VALUE"""),"CVHT01")</f>
        <v>CVHT01</v>
      </c>
      <c r="G368" s="86" t="s">
        <v>891</v>
      </c>
    </row>
    <row r="369">
      <c r="A369" s="12"/>
      <c r="B369" s="241">
        <f>IFERROR(__xludf.DUMMYFUNCTION("""COMPUTED_VALUE"""),46089.0)</f>
        <v>46089</v>
      </c>
      <c r="C369" s="12" t="str">
        <f>IFERROR(__xludf.DUMMYFUNCTION("""COMPUTED_VALUE"""),"427897932")</f>
        <v>427897932</v>
      </c>
      <c r="D369" s="12" t="str">
        <f>IFERROR(__xludf.DUMMYFUNCTION("""COMPUTED_VALUE"""),"Trần Thị Thúy Ngần")</f>
        <v>Trần Thị Thúy Ngần</v>
      </c>
      <c r="E369" s="102" t="str">
        <f>IFERROR(__xludf.DUMMYFUNCTION("""COMPUTED_VALUE"""),"""Sau mỗi buổi học có video record lại k ss""")</f>
        <v>"Sau mỗi buổi học có video record lại k ss"</v>
      </c>
      <c r="F369" s="12" t="str">
        <f>IFERROR(__xludf.DUMMYFUNCTION("""COMPUTED_VALUE"""),"CVHT01")</f>
        <v>CVHT01</v>
      </c>
      <c r="G369" s="86" t="s">
        <v>891</v>
      </c>
    </row>
    <row r="370">
      <c r="A370" s="12"/>
      <c r="B370" s="241">
        <f>IFERROR(__xludf.DUMMYFUNCTION("""COMPUTED_VALUE"""),46089.0)</f>
        <v>46089</v>
      </c>
      <c r="C370" s="12" t="str">
        <f>IFERROR(__xludf.DUMMYFUNCTION("""COMPUTED_VALUE"""),"427892897")</f>
        <v>427892897</v>
      </c>
      <c r="D370" s="12" t="str">
        <f>IFERROR(__xludf.DUMMYFUNCTION("""COMPUTED_VALUE"""),"Nguyễn Thị Thanh")</f>
        <v>Nguyễn Thị Thanh</v>
      </c>
      <c r="E370" s="102" t="str">
        <f>IFERROR(__xludf.DUMMYFUNCTION("""COMPUTED_VALUE"""),"""Ss ơi.giờ e muốn hạ cập độ thì như nào ạ""")</f>
        <v>"Ss ơi.giờ e muốn hạ cập độ thì như nào ạ"</v>
      </c>
      <c r="F370" s="12" t="str">
        <f>IFERROR(__xludf.DUMMYFUNCTION("""COMPUTED_VALUE"""),"CVHT01")</f>
        <v>CVHT01</v>
      </c>
      <c r="G370" s="86" t="s">
        <v>891</v>
      </c>
    </row>
    <row r="371">
      <c r="A371" s="12"/>
      <c r="B371" s="241">
        <f>IFERROR(__xludf.DUMMYFUNCTION("""COMPUTED_VALUE"""),46089.0)</f>
        <v>46089</v>
      </c>
      <c r="C371" s="12" t="str">
        <f>IFERROR(__xludf.DUMMYFUNCTION("""COMPUTED_VALUE"""),"10054870")</f>
        <v>10054870</v>
      </c>
      <c r="D371" s="12" t="str">
        <f>IFERROR(__xludf.DUMMYFUNCTION("""COMPUTED_VALUE"""),"Nguyễn Văn Trường  N4N3")</f>
        <v>Nguyễn Văn Trường  N4N3</v>
      </c>
      <c r="E371" s="102" t="str">
        <f>IFERROR(__xludf.DUMMYFUNCTION("""COMPUTED_VALUE"""),"""Lớp học N3 khi nào bắt đầu vậy ạ""")</f>
        <v>"Lớp học N3 khi nào bắt đầu vậy ạ"</v>
      </c>
      <c r="F371" s="12" t="str">
        <f>IFERROR(__xludf.DUMMYFUNCTION("""COMPUTED_VALUE"""),"CVHT01")</f>
        <v>CVHT01</v>
      </c>
      <c r="G371" s="86" t="s">
        <v>891</v>
      </c>
    </row>
    <row r="372">
      <c r="A372" s="12"/>
      <c r="B372" s="241">
        <f>IFERROR(__xludf.DUMMYFUNCTION("""COMPUTED_VALUE"""),46089.0)</f>
        <v>46089</v>
      </c>
      <c r="C372" s="12" t="str">
        <f>IFERROR(__xludf.DUMMYFUNCTION("""COMPUTED_VALUE"""),"427898768")</f>
        <v>427898768</v>
      </c>
      <c r="D372" s="12" t="str">
        <f>IFERROR(__xludf.DUMMYFUNCTION("""COMPUTED_VALUE"""),"Nguyễn Trần Phượng Vi N5CB")</f>
        <v>Nguyễn Trần Phượng Vi N5CB</v>
      </c>
      <c r="E372" s="102" t="str">
        <f>IFERROR(__xludf.DUMMYFUNCTION("""COMPUTED_VALUE"""),"Chị gửi link record cho bạn nhé.")</f>
        <v>Chị gửi link record cho bạn nhé.</v>
      </c>
      <c r="F372" s="12" t="str">
        <f>IFERROR(__xludf.DUMMYFUNCTION("""COMPUTED_VALUE"""),"CVHT01")</f>
        <v>CVHT01</v>
      </c>
      <c r="G372" s="86" t="s">
        <v>891</v>
      </c>
    </row>
    <row r="373">
      <c r="A373" s="12"/>
      <c r="B373" s="241">
        <f>IFERROR(__xludf.DUMMYFUNCTION("""COMPUTED_VALUE"""),46089.0)</f>
        <v>46089</v>
      </c>
      <c r="C373" s="12" t="str">
        <f>IFERROR(__xludf.DUMMYFUNCTION("""COMPUTED_VALUE"""),"10055102 ")</f>
        <v>10055102 </v>
      </c>
      <c r="D373" s="12" t="str">
        <f>IFERROR(__xludf.DUMMYFUNCTION("""COMPUTED_VALUE"""),"Trần Tuệ Ân JLPTN3")</f>
        <v>Trần Tuệ Ân JLPTN3</v>
      </c>
      <c r="E373" s="102" t="str">
        <f>IFERROR(__xludf.DUMMYFUNCTION("""COMPUTED_VALUE"""),"""Dạ lớp 246 ạ""")</f>
        <v>"Dạ lớp 246 ạ"</v>
      </c>
      <c r="F373" s="12" t="str">
        <f>IFERROR(__xludf.DUMMYFUNCTION("""COMPUTED_VALUE"""),"CVHT01")</f>
        <v>CVHT01</v>
      </c>
      <c r="G373" s="86" t="s">
        <v>891</v>
      </c>
    </row>
    <row r="374">
      <c r="A374" s="12"/>
      <c r="B374" s="241">
        <f>IFERROR(__xludf.DUMMYFUNCTION("""COMPUTED_VALUE"""),46089.0)</f>
        <v>46089</v>
      </c>
      <c r="C374" s="12" t="str">
        <f>IFERROR(__xludf.DUMMYFUNCTION("""COMPUTED_VALUE"""),"GV454 ")</f>
        <v>GV454 </v>
      </c>
      <c r="D374" s="12" t="str">
        <f>IFERROR(__xludf.DUMMYFUNCTION("""COMPUTED_VALUE"""),"Đặng Ngọc Mai  K2")</f>
        <v>Đặng Ngọc Mai  K2</v>
      </c>
      <c r="E374" s="102" t="str">
        <f>IFERROR(__xludf.DUMMYFUNCTION("""COMPUTED_VALUE"""),"""Em chào các chị ạ. Em xin phép hỏi các chị về một số vấn đề được không ạ? Trong thời gian tới em có một số dự định và định hướng cá nhân nên em muốn xin nghỉ ở trung tâm Edura ạ. Tuy nhiên em vẫn còn lớp của bạn Thùy chưa hoàn thành xong ạ. Em có cần ph"&amp;"ải dạy đủ các buổi còn lại cho bạn Thùy không ạ hay bạn Thùy có thể đổi được sang giáo viên khác ạ? Em mong các chị giải đáp giúp em ạ. Em cảm ơn các chị ạ.""
Em chưa báo bạn Thùy các chị nhé.")</f>
        <v>"Em chào các chị ạ. Em xin phép hỏi các chị về một số vấn đề được không ạ? Trong thời gian tới em có một số dự định và định hướng cá nhân nên em muốn xin nghỉ ở trung tâm Edura ạ. Tuy nhiên em vẫn còn lớp của bạn Thùy chưa hoàn thành xong ạ. Em có cần phải dạy đủ các buổi còn lại cho bạn Thùy không ạ hay bạn Thùy có thể đổi được sang giáo viên khác ạ? Em mong các chị giải đáp giúp em ạ. Em cảm ơn các chị ạ."
Em chưa báo bạn Thùy các chị nhé.</v>
      </c>
      <c r="F374" s="12" t="str">
        <f>IFERROR(__xludf.DUMMYFUNCTION("""COMPUTED_VALUE"""),"CVHT01")</f>
        <v>CVHT01</v>
      </c>
      <c r="G374" s="86" t="s">
        <v>891</v>
      </c>
    </row>
    <row r="375">
      <c r="A375" s="12"/>
      <c r="B375" s="241">
        <f>IFERROR(__xludf.DUMMYFUNCTION("""COMPUTED_VALUE"""),46089.0)</f>
        <v>46089</v>
      </c>
      <c r="C375" s="12" t="str">
        <f>IFERROR(__xludf.DUMMYFUNCTION("""COMPUTED_VALUE"""),"GV492 ")</f>
        <v>GV492 </v>
      </c>
      <c r="D375" s="12" t="str">
        <f>IFERROR(__xludf.DUMMYFUNCTION("""COMPUTED_VALUE"""),"Phùng Thị Thuý Hằng K2")</f>
        <v>Phùng Thị Thuý Hằng K2</v>
      </c>
      <c r="E375" s="102" t="str">
        <f>IFERROR(__xludf.DUMMYFUNCTION("""COMPUTED_VALUE"""),"""@Phòng Đào Tạo Edura Gv Chuyên Môn chị ơi, em xin ko dạy bạn Tài nữa được không ạ, chứ e ko dạy nổi, nay em dạy gần 1 tiếng bài K1L4 
Có 2 cấu trúc thôi, hỏi bạn hiểu không, bạn kêu hiểu mà ko nói được 1 câu nào
Trong khi chỉ đơn giản là thay danh từ, t"&amp;"ính từ vào thôi""")</f>
        <v>"@Phòng Đào Tạo Edura Gv Chuyên Môn chị ơi, em xin ko dạy bạn Tài nữa được không ạ, chứ e ko dạy nổi, nay em dạy gần 1 tiếng bài K1L4 
Có 2 cấu trúc thôi, hỏi bạn hiểu không, bạn kêu hiểu mà ko nói được 1 câu nào
Trong khi chỉ đơn giản là thay danh từ, tính từ vào thôi"</v>
      </c>
      <c r="F375" s="12" t="str">
        <f>IFERROR(__xludf.DUMMYFUNCTION("""COMPUTED_VALUE"""),"CVHT01")</f>
        <v>CVHT01</v>
      </c>
      <c r="G375" s="86" t="s">
        <v>891</v>
      </c>
    </row>
    <row r="376">
      <c r="A376" s="12"/>
      <c r="B376" s="241">
        <f>IFERROR(__xludf.DUMMYFUNCTION("""COMPUTED_VALUE"""),46120.0)</f>
        <v>46120</v>
      </c>
      <c r="C376" s="12" t="str">
        <f>IFERROR(__xludf.DUMMYFUNCTION("""COMPUTED_VALUE"""),"427898150")</f>
        <v>427898150</v>
      </c>
      <c r="D376" s="12" t="str">
        <f>IFERROR(__xludf.DUMMYFUNCTION("""COMPUTED_VALUE"""),"Bùi Thị Tiến Lộc")</f>
        <v>Bùi Thị Tiến Lộc</v>
      </c>
      <c r="E376" s="102" t="str">
        <f>IFERROR(__xludf.DUMMYFUNCTION("""COMPUTED_VALUE"""),"tin nhắn bên line ạ")</f>
        <v>tin nhắn bên line ạ</v>
      </c>
      <c r="F376" s="12" t="str">
        <f>IFERROR(__xludf.DUMMYFUNCTION("""COMPUTED_VALUE"""),"CVHT01")</f>
        <v>CVHT01</v>
      </c>
      <c r="G376" s="86" t="s">
        <v>891</v>
      </c>
    </row>
    <row r="377">
      <c r="A377" s="12"/>
      <c r="B377" s="241">
        <f>IFERROR(__xludf.DUMMYFUNCTION("""COMPUTED_VALUE"""),46120.0)</f>
        <v>46120</v>
      </c>
      <c r="C377" s="12" t="str">
        <f>IFERROR(__xludf.DUMMYFUNCTION("""COMPUTED_VALUE"""),"427897525")</f>
        <v>427897525</v>
      </c>
      <c r="D377" s="12" t="str">
        <f>IFERROR(__xludf.DUMMYFUNCTION("""COMPUTED_VALUE"""),"Đặng Thị Thu Vân N5 ( 1:1)")</f>
        <v>Đặng Thị Thu Vân N5 ( 1:1)</v>
      </c>
      <c r="E377" s="102" t="str">
        <f>IFERROR(__xludf.DUMMYFUNCTION("""COMPUTED_VALUE"""),"Sensei xem giúp e úng dụng hay bị lỗi chữ như hình e gửi ạ")</f>
        <v>Sensei xem giúp e úng dụng hay bị lỗi chữ như hình e gửi ạ</v>
      </c>
      <c r="F377" s="12" t="str">
        <f>IFERROR(__xludf.DUMMYFUNCTION("""COMPUTED_VALUE"""),"CVHT01")</f>
        <v>CVHT01</v>
      </c>
      <c r="G377" s="86" t="s">
        <v>891</v>
      </c>
    </row>
    <row r="378">
      <c r="A378" s="12"/>
      <c r="B378" s="241">
        <f>IFERROR(__xludf.DUMMYFUNCTION("""COMPUTED_VALUE"""),46239.0)</f>
        <v>46239</v>
      </c>
      <c r="C378" s="12" t="str">
        <f>IFERROR(__xludf.DUMMYFUNCTION("""COMPUTED_VALUE"""),"427898453")</f>
        <v>427898453</v>
      </c>
      <c r="D378" s="12" t="str">
        <f>IFERROR(__xludf.DUMMYFUNCTION("""COMPUTED_VALUE"""),"Trần Văn Hoàng")</f>
        <v>Trần Văn Hoàng</v>
      </c>
      <c r="E378" s="102" t="str">
        <f>IFERROR(__xludf.DUMMYFUNCTION("""COMPUTED_VALUE"""),"""Cho e hỏi chút là lúc đăng ký có phần video jlpt n3 và n2 ý ""
Chị add 2 khóa này cho bạn nhé.")</f>
        <v>"Cho e hỏi chút là lúc đăng ký có phần video jlpt n3 và n2 ý "
Chị add 2 khóa này cho bạn nhé.</v>
      </c>
      <c r="F378" s="12" t="str">
        <f>IFERROR(__xludf.DUMMYFUNCTION("""COMPUTED_VALUE"""),"CVHT01")</f>
        <v>CVHT01</v>
      </c>
      <c r="G378" s="86" t="s">
        <v>891</v>
      </c>
    </row>
    <row r="379">
      <c r="A379" s="12"/>
      <c r="B379" s="241">
        <f>IFERROR(__xludf.DUMMYFUNCTION("""COMPUTED_VALUE"""),46240.0)</f>
        <v>46240</v>
      </c>
      <c r="C379" s="12" t="str">
        <f>IFERROR(__xludf.DUMMYFUNCTION("""COMPUTED_VALUE"""),"427898667")</f>
        <v>427898667</v>
      </c>
      <c r="D379" s="12" t="str">
        <f>IFERROR(__xludf.DUMMYFUNCTION("""COMPUTED_VALUE"""),"Phạm Thị Thiên Nhi")</f>
        <v>Phạm Thị Thiên Nhi</v>
      </c>
      <c r="E379" s="102" t="str">
        <f>IFERROR(__xludf.DUMMYFUNCTION("""COMPUTED_VALUE"""),"Bạn vào app nhưng ko thấy tài liệu học ạ")</f>
        <v>Bạn vào app nhưng ko thấy tài liệu học ạ</v>
      </c>
      <c r="F379" s="12" t="str">
        <f>IFERROR(__xludf.DUMMYFUNCTION("""COMPUTED_VALUE"""),"CVHT01")</f>
        <v>CVHT01</v>
      </c>
      <c r="G379" s="86" t="s">
        <v>891</v>
      </c>
    </row>
    <row r="380">
      <c r="A380" s="12"/>
      <c r="B380" s="241">
        <f>IFERROR(__xludf.DUMMYFUNCTION("""COMPUTED_VALUE"""),46240.0)</f>
        <v>46240</v>
      </c>
      <c r="C380" s="12" t="str">
        <f>IFERROR(__xludf.DUMMYFUNCTION("""COMPUTED_VALUE"""),"GV513 ")</f>
        <v>GV513 </v>
      </c>
      <c r="D380" s="12" t="str">
        <f>IFERROR(__xludf.DUMMYFUNCTION("""COMPUTED_VALUE"""),"Nguyễn Thị Phương Linh K3")</f>
        <v>Nguyễn Thị Phương Linh K3</v>
      </c>
      <c r="E380" s="102" t="str">
        <f>IFERROR(__xludf.DUMMYFUNCTION("""COMPUTED_VALUE"""),"tin nhắn zalo ạ")</f>
        <v>tin nhắn zalo ạ</v>
      </c>
      <c r="F380" s="12" t="str">
        <f>IFERROR(__xludf.DUMMYFUNCTION("""COMPUTED_VALUE"""),"CVHT01")</f>
        <v>CVHT01</v>
      </c>
      <c r="G380" s="86" t="s">
        <v>891</v>
      </c>
    </row>
    <row r="381">
      <c r="A381" s="12"/>
      <c r="B381" s="241">
        <f>IFERROR(__xludf.DUMMYFUNCTION("""COMPUTED_VALUE"""),46240.0)</f>
        <v>46240</v>
      </c>
      <c r="C381" s="12" t="str">
        <f>IFERROR(__xludf.DUMMYFUNCTION("""COMPUTED_VALUE"""),"GV370 ")</f>
        <v>GV370 </v>
      </c>
      <c r="D381" s="12" t="str">
        <f>IFERROR(__xludf.DUMMYFUNCTION("""COMPUTED_VALUE"""),"Tăng Thị Bích Ngọc K3")</f>
        <v>Tăng Thị Bích Ngọc K3</v>
      </c>
      <c r="E381" s="102" t="str">
        <f>IFERROR(__xludf.DUMMYFUNCTION("""COMPUTED_VALUE"""),"Nay em dạy bạn Hiền xong rồi. 
 Em muốn dạy thêm 1 bạn nữa vào khung giờ 17:00 (vn) 
T357 (17h là 19h NB nên khi sang Nhật e vẫn dạy đc) 
Nếu có chị em giới thiệu em với nha. 
Đợi mãi kh có Coe 😭
")</f>
        <v>Nay em dạy bạn Hiền xong rồi. 
 Em muốn dạy thêm 1 bạn nữa vào khung giờ 17:00 (vn) 
T357 (17h là 19h NB nên khi sang Nhật e vẫn dạy đc) 
Nếu có chị em giới thiệu em với nha. 
Đợi mãi kh có Coe 😭
</v>
      </c>
      <c r="F381" s="12" t="str">
        <f>IFERROR(__xludf.DUMMYFUNCTION("""COMPUTED_VALUE"""),"CVHT01")</f>
        <v>CVHT01</v>
      </c>
      <c r="G381" s="86" t="s">
        <v>891</v>
      </c>
    </row>
    <row r="382">
      <c r="A382" s="12"/>
      <c r="B382" s="241">
        <f>IFERROR(__xludf.DUMMYFUNCTION("""COMPUTED_VALUE"""),46241.0)</f>
        <v>46241</v>
      </c>
      <c r="C382" s="12" t="str">
        <f>IFERROR(__xludf.DUMMYFUNCTION("""COMPUTED_VALUE"""),"427899475")</f>
        <v>427899475</v>
      </c>
      <c r="D382" s="12" t="str">
        <f>IFERROR(__xludf.DUMMYFUNCTION("""COMPUTED_VALUE"""),"Mai Phương")</f>
        <v>Mai Phương</v>
      </c>
      <c r="E382" s="102" t="str">
        <f>IFERROR(__xludf.DUMMYFUNCTION("""COMPUTED_VALUE"""),"""Dạ trong khoá đăng kí có tặng video jlpt thì mình xem ở đâu ạ""")</f>
        <v>"Dạ trong khoá đăng kí có tặng video jlpt thì mình xem ở đâu ạ"</v>
      </c>
      <c r="F382" s="12" t="str">
        <f>IFERROR(__xludf.DUMMYFUNCTION("""COMPUTED_VALUE"""),"CVHT01")</f>
        <v>CVHT01</v>
      </c>
      <c r="G382" s="86" t="s">
        <v>891</v>
      </c>
    </row>
    <row r="383">
      <c r="A383" s="12"/>
      <c r="B383" s="241">
        <f>IFERROR(__xludf.DUMMYFUNCTION("""COMPUTED_VALUE"""),46241.0)</f>
        <v>46241</v>
      </c>
      <c r="C383" s="12" t="str">
        <f>IFERROR(__xludf.DUMMYFUNCTION("""COMPUTED_VALUE"""),"GV425 ")</f>
        <v>GV425 </v>
      </c>
      <c r="D383" s="12" t="str">
        <f>IFERROR(__xludf.DUMMYFUNCTION("""COMPUTED_VALUE"""),"Trần Thị Ngọc Thủy K2")</f>
        <v>Trần Thị Ngọc Thủy K2</v>
      </c>
      <c r="E383" s="102" t="str">
        <f>IFERROR(__xludf.DUMMYFUNCTION("""COMPUTED_VALUE"""),"""c ơi, c gửi lại file Những câu hỏi pv cho e đc k ạ""")</f>
        <v>"c ơi, c gửi lại file Những câu hỏi pv cho e đc k ạ"</v>
      </c>
      <c r="F383" s="12" t="str">
        <f>IFERROR(__xludf.DUMMYFUNCTION("""COMPUTED_VALUE"""),"CVHT01")</f>
        <v>CVHT01</v>
      </c>
      <c r="G383" s="86" t="s">
        <v>891</v>
      </c>
    </row>
    <row r="384">
      <c r="A384" s="12"/>
      <c r="B384" s="241">
        <f>IFERROR(__xludf.DUMMYFUNCTION("""COMPUTED_VALUE"""),46241.0)</f>
        <v>46241</v>
      </c>
      <c r="C384" s="12" t="str">
        <f>IFERROR(__xludf.DUMMYFUNCTION("""COMPUTED_VALUE"""),"427896213")</f>
        <v>427896213</v>
      </c>
      <c r="D384" s="12" t="str">
        <f>IFERROR(__xludf.DUMMYFUNCTION("""COMPUTED_VALUE"""),"Lê Văn Hoài N4N3")</f>
        <v>Lê Văn Hoài N4N3</v>
      </c>
      <c r="E384" s="102" t="str">
        <f>IFERROR(__xludf.DUMMYFUNCTION("""COMPUTED_VALUE"""),"""em muốn học 357 ss ạ""")</f>
        <v>"em muốn học 357 ss ạ"</v>
      </c>
      <c r="F384" s="12" t="str">
        <f>IFERROR(__xludf.DUMMYFUNCTION("""COMPUTED_VALUE"""),"CVHT01")</f>
        <v>CVHT01</v>
      </c>
      <c r="G384" s="86" t="s">
        <v>891</v>
      </c>
    </row>
    <row r="385">
      <c r="A385" s="12"/>
      <c r="B385" s="241">
        <f>IFERROR(__xludf.DUMMYFUNCTION("""COMPUTED_VALUE"""),46241.0)</f>
        <v>46241</v>
      </c>
      <c r="C385" s="12" t="str">
        <f>IFERROR(__xludf.DUMMYFUNCTION("""COMPUTED_VALUE"""),"GV439 ")</f>
        <v>GV439 </v>
      </c>
      <c r="D385" s="12" t="str">
        <f>IFERROR(__xludf.DUMMYFUNCTION("""COMPUTED_VALUE"""),"Phạm Thị Trang K2")</f>
        <v>Phạm Thị Trang K2</v>
      </c>
      <c r="E385" s="102" t="str">
        <f>IFERROR(__xludf.DUMMYFUNCTION("""COMPUTED_VALUE"""),"""hnay bạn học bài 4 ạ""")</f>
        <v>"hnay bạn học bài 4 ạ"</v>
      </c>
      <c r="F385" s="12" t="str">
        <f>IFERROR(__xludf.DUMMYFUNCTION("""COMPUTED_VALUE"""),"CVHT01")</f>
        <v>CVHT01</v>
      </c>
      <c r="G385" s="86" t="s">
        <v>891</v>
      </c>
    </row>
    <row r="386">
      <c r="A386" s="12"/>
      <c r="B386" s="241">
        <f>IFERROR(__xludf.DUMMYFUNCTION("""COMPUTED_VALUE"""),46241.0)</f>
        <v>46241</v>
      </c>
      <c r="C386" s="12" t="str">
        <f>IFERROR(__xludf.DUMMYFUNCTION("""COMPUTED_VALUE"""),"GV385 ")</f>
        <v>GV385 </v>
      </c>
      <c r="D386" s="12" t="str">
        <f>IFERROR(__xludf.DUMMYFUNCTION("""COMPUTED_VALUE"""),"Lê Nữ Trang Nhung K3")</f>
        <v>Lê Nữ Trang Nhung K3</v>
      </c>
      <c r="E386" s="102" t="str">
        <f>IFERROR(__xludf.DUMMYFUNCTION("""COMPUTED_VALUE"""),"""Không được ạ
Giờ này mới cơm nước dọn dẹp xong
Chỉ kịp ca 19h thôi bạn 😭""")</f>
        <v>"Không được ạ
Giờ này mới cơm nước dọn dẹp xong
Chỉ kịp ca 19h thôi bạn 😭"</v>
      </c>
      <c r="F386" s="12" t="str">
        <f>IFERROR(__xludf.DUMMYFUNCTION("""COMPUTED_VALUE"""),"CVHT01")</f>
        <v>CVHT01</v>
      </c>
      <c r="G386" s="86" t="s">
        <v>891</v>
      </c>
    </row>
    <row r="387">
      <c r="A387" s="12"/>
      <c r="B387" s="241">
        <f>IFERROR(__xludf.DUMMYFUNCTION("""COMPUTED_VALUE"""),46241.0)</f>
        <v>46241</v>
      </c>
      <c r="C387" s="12" t="str">
        <f>IFERROR(__xludf.DUMMYFUNCTION("""COMPUTED_VALUE"""),"GV490 ")</f>
        <v>GV490 </v>
      </c>
      <c r="D387" s="12" t="str">
        <f>IFERROR(__xludf.DUMMYFUNCTION("""COMPUTED_VALUE"""),"Nguyễn Việt Hà K3")</f>
        <v>Nguyễn Việt Hà K3</v>
      </c>
      <c r="E387" s="102" t="str">
        <f>IFERROR(__xludf.DUMMYFUNCTION("""COMPUTED_VALUE"""),"""Dạ ok c, dạy 2 ca liên tiếp e vào trễ 1 chút nha""")</f>
        <v>"Dạ ok c, dạy 2 ca liên tiếp e vào trễ 1 chút nha"</v>
      </c>
      <c r="F387" s="12" t="str">
        <f>IFERROR(__xludf.DUMMYFUNCTION("""COMPUTED_VALUE"""),"CVHT01")</f>
        <v>CVHT01</v>
      </c>
      <c r="G387" s="86" t="s">
        <v>891</v>
      </c>
    </row>
    <row r="388">
      <c r="A388" s="12"/>
      <c r="B388" s="241">
        <f>IFERROR(__xludf.DUMMYFUNCTION("""COMPUTED_VALUE"""),46244.0)</f>
        <v>46244</v>
      </c>
      <c r="C388" s="12" t="str">
        <f>IFERROR(__xludf.DUMMYFUNCTION("""COMPUTED_VALUE"""),"420281163")</f>
        <v>420281163</v>
      </c>
      <c r="D388" s="12" t="str">
        <f>IFERROR(__xludf.DUMMYFUNCTION("""COMPUTED_VALUE"""),"Nguyễn Ngọc Tuyết Nhi")</f>
        <v>Nguyễn Ngọc Tuyết Nhi</v>
      </c>
      <c r="E388" s="102" t="str">
        <f>IFERROR(__xludf.DUMMYFUNCTION("""COMPUTED_VALUE"""),"Em hẹn bạn mai test hệ thống lúc 17hvn ạ, em có để nhắc hẹn trên zalo rồi ạ
Bạn ko bật được cam (bên em xem nó cứ hiện đang tải ạ) và lúc cuối giờ học bạn không xem được hết slide bài ạ (bạn có quay màn hình trong zalo ạ)")</f>
        <v>Em hẹn bạn mai test hệ thống lúc 17hvn ạ, em có để nhắc hẹn trên zalo rồi ạ
Bạn ko bật được cam (bên em xem nó cứ hiện đang tải ạ) và lúc cuối giờ học bạn không xem được hết slide bài ạ (bạn có quay màn hình trong zalo ạ)</v>
      </c>
      <c r="F388" s="12" t="str">
        <f>IFERROR(__xludf.DUMMYFUNCTION("""COMPUTED_VALUE"""),"CVHT01")</f>
        <v>CVHT01</v>
      </c>
      <c r="G388" s="86" t="s">
        <v>891</v>
      </c>
    </row>
    <row r="389">
      <c r="A389" s="12"/>
      <c r="B389" s="241">
        <f>IFERROR(__xludf.DUMMYFUNCTION("""COMPUTED_VALUE"""),46244.0)</f>
        <v>46244</v>
      </c>
      <c r="C389" s="12" t="str">
        <f>IFERROR(__xludf.DUMMYFUNCTION("""COMPUTED_VALUE"""),"427899030 ")</f>
        <v>427899030 </v>
      </c>
      <c r="D389" s="12" t="str">
        <f>IFERROR(__xludf.DUMMYFUNCTION("""COMPUTED_VALUE"""),"Đào Thiện Tâm N5")</f>
        <v>Đào Thiện Tâm N5</v>
      </c>
      <c r="E389" s="102" t="str">
        <f>IFERROR(__xludf.DUMMYFUNCTION("""COMPUTED_VALUE"""),"Bạn có nhu cầu muốn học lớp kaiwa sau khi hết khoá n5  ạ. Chị tư vấn cho bạn sau nhé.")</f>
        <v>Bạn có nhu cầu muốn học lớp kaiwa sau khi hết khoá n5  ạ. Chị tư vấn cho bạn sau nhé.</v>
      </c>
      <c r="F389" s="12" t="str">
        <f>IFERROR(__xludf.DUMMYFUNCTION("""COMPUTED_VALUE"""),"CVHT01")</f>
        <v>CVHT01</v>
      </c>
      <c r="G389" s="86" t="s">
        <v>891</v>
      </c>
    </row>
    <row r="390">
      <c r="A390" s="12"/>
      <c r="B390" s="241">
        <f>IFERROR(__xludf.DUMMYFUNCTION("""COMPUTED_VALUE"""),46334.0)</f>
        <v>46334</v>
      </c>
      <c r="C390" s="12" t="str">
        <f>IFERROR(__xludf.DUMMYFUNCTION("""COMPUTED_VALUE"""),"GV489 ")</f>
        <v>GV489 </v>
      </c>
      <c r="D390" s="12" t="str">
        <f>IFERROR(__xludf.DUMMYFUNCTION("""COMPUTED_VALUE"""),"Bùi Hoa Xuân K2")</f>
        <v>Bùi Hoa Xuân K2</v>
      </c>
      <c r="E390" s="102" t="str">
        <f>IFERROR(__xludf.DUMMYFUNCTION("""COMPUTED_VALUE"""),"vâng chị, vậy em điền A hay C ạ")</f>
        <v>vâng chị, vậy em điền A hay C ạ</v>
      </c>
      <c r="F390" s="12" t="str">
        <f>IFERROR(__xludf.DUMMYFUNCTION("""COMPUTED_VALUE"""),"CVHT01")</f>
        <v>CVHT01</v>
      </c>
      <c r="G390" s="86" t="s">
        <v>891</v>
      </c>
    </row>
    <row r="391">
      <c r="A391" s="12"/>
      <c r="B391" s="241">
        <f>IFERROR(__xludf.DUMMYFUNCTION("""COMPUTED_VALUE"""),46334.0)</f>
        <v>46334</v>
      </c>
      <c r="C391" s="12" t="str">
        <f>IFERROR(__xludf.DUMMYFUNCTION("""COMPUTED_VALUE"""),"10055628")</f>
        <v>10055628</v>
      </c>
      <c r="D391" s="12" t="str">
        <f>IFERROR(__xludf.DUMMYFUNCTION("""COMPUTED_VALUE"""),"Võ Ngọc Bích Sen ComboN4N3CB")</f>
        <v>Võ Ngọc Bích Sen ComboN4N3CB</v>
      </c>
      <c r="E391" s="102" t="str">
        <f>IFERROR(__xludf.DUMMYFUNCTION("""COMPUTED_VALUE""")," cô ơi theo như lộ tình n4 e đnag học thì cuối tháng 9 là học hết cô nhỉ
")</f>
        <v> cô ơi theo như lộ tình n4 e đnag học thì cuối tháng 9 là học hết cô nhỉ
</v>
      </c>
      <c r="F391" s="12" t="str">
        <f>IFERROR(__xludf.DUMMYFUNCTION("""COMPUTED_VALUE"""),"CVHT01")</f>
        <v>CVHT01</v>
      </c>
      <c r="G391" s="86" t="s">
        <v>891</v>
      </c>
    </row>
    <row r="392">
      <c r="A392" s="12"/>
      <c r="B392" s="241">
        <f>IFERROR(__xludf.DUMMYFUNCTION("""COMPUTED_VALUE"""),46246.0)</f>
        <v>46246</v>
      </c>
      <c r="C392" s="12" t="str">
        <f>IFERROR(__xludf.DUMMYFUNCTION("""COMPUTED_VALUE"""),"10054932 ")</f>
        <v>10054932 </v>
      </c>
      <c r="D392" s="12" t="str">
        <f>IFERROR(__xludf.DUMMYFUNCTION("""COMPUTED_VALUE""")," Đào Vân Anh")</f>
        <v> Đào Vân Anh</v>
      </c>
      <c r="E392" s="102" t="str">
        <f>IFERROR(__xludf.DUMMYFUNCTION("""COMPUTED_VALUE"""),"Nay bạn chưa khai giảng được ạ. Lý do trong zalo chị nhé:((")</f>
        <v>Nay bạn chưa khai giảng được ạ. Lý do trong zalo chị nhé:((</v>
      </c>
      <c r="F392" s="12" t="str">
        <f>IFERROR(__xludf.DUMMYFUNCTION("""COMPUTED_VALUE"""),"CVHT01")</f>
        <v>CVHT01</v>
      </c>
      <c r="G392" s="86" t="s">
        <v>891</v>
      </c>
    </row>
    <row r="393">
      <c r="A393" s="12"/>
      <c r="B393" s="241">
        <f>IFERROR(__xludf.DUMMYFUNCTION("""COMPUTED_VALUE"""),46246.0)</f>
        <v>46246</v>
      </c>
      <c r="C393" s="12" t="str">
        <f>IFERROR(__xludf.DUMMYFUNCTION("""COMPUTED_VALUE"""),"GV361 ")</f>
        <v>GV361 </v>
      </c>
      <c r="D393" s="12" t="str">
        <f>IFERROR(__xludf.DUMMYFUNCTION("""COMPUTED_VALUE"""),"Nguyễn Thị Nụ K3")</f>
        <v>Nguyễn Thị Nụ K3</v>
      </c>
      <c r="E393" s="102" t="str">
        <f>IFERROR(__xludf.DUMMYFUNCTION("""COMPUTED_VALUE"""),"Chị đọc zalo nhé ạ")</f>
        <v>Chị đọc zalo nhé ạ</v>
      </c>
      <c r="F393" s="12" t="str">
        <f>IFERROR(__xludf.DUMMYFUNCTION("""COMPUTED_VALUE"""),"CVHT01")</f>
        <v>CVHT01</v>
      </c>
      <c r="G393" s="86" t="s">
        <v>891</v>
      </c>
    </row>
    <row r="394">
      <c r="A394" s="12"/>
      <c r="B394" s="241">
        <f>IFERROR(__xludf.DUMMYFUNCTION("""COMPUTED_VALUE"""),46247.0)</f>
        <v>46247</v>
      </c>
      <c r="C394" s="12" t="str">
        <f>IFERROR(__xludf.DUMMYFUNCTION("""COMPUTED_VALUE"""),"GV471 ")</f>
        <v>GV471 </v>
      </c>
      <c r="D394" s="12" t="str">
        <f>IFERROR(__xludf.DUMMYFUNCTION("""COMPUTED_VALUE"""),"Nguyễn Huyền Trang K2")</f>
        <v>Nguyễn Huyền Trang K2</v>
      </c>
      <c r="E394" s="102" t="str">
        <f>IFERROR(__xludf.DUMMYFUNCTION("""COMPUTED_VALUE"""),"À chị ơi, mình forward bài tập của bạn Thiên cho em với")</f>
        <v>À chị ơi, mình forward bài tập của bạn Thiên cho em với</v>
      </c>
      <c r="F394" s="12" t="str">
        <f>IFERROR(__xludf.DUMMYFUNCTION("""COMPUTED_VALUE"""),"CVHT01")</f>
        <v>CVHT01</v>
      </c>
      <c r="G394" s="86" t="s">
        <v>891</v>
      </c>
    </row>
    <row r="395">
      <c r="A395" s="12"/>
      <c r="B395" s="241">
        <f>IFERROR(__xludf.DUMMYFUNCTION("""COMPUTED_VALUE"""),46247.0)</f>
        <v>46247</v>
      </c>
      <c r="C395" s="12" t="str">
        <f>IFERROR(__xludf.DUMMYFUNCTION("""COMPUTED_VALUE"""),"GV361 ")</f>
        <v>GV361 </v>
      </c>
      <c r="D395" s="12" t="str">
        <f>IFERROR(__xludf.DUMMYFUNCTION("""COMPUTED_VALUE"""),"Nguyễn Thị Nụ K3")</f>
        <v>Nguyễn Thị Nụ K3</v>
      </c>
      <c r="E395" s="102" t="str">
        <f>IFERROR(__xludf.DUMMYFUNCTION("""COMPUTED_VALUE"""),"tn zl ạ")</f>
        <v>tn zl ạ</v>
      </c>
      <c r="F395" s="12" t="str">
        <f>IFERROR(__xludf.DUMMYFUNCTION("""COMPUTED_VALUE"""),"CVHT01")</f>
        <v>CVHT01</v>
      </c>
      <c r="G395" s="86" t="s">
        <v>891</v>
      </c>
    </row>
    <row r="396">
      <c r="A396" s="12"/>
      <c r="B396" s="241">
        <f>IFERROR(__xludf.DUMMYFUNCTION("""COMPUTED_VALUE"""),46247.0)</f>
        <v>46247</v>
      </c>
      <c r="C396" s="12" t="str">
        <f>IFERROR(__xludf.DUMMYFUNCTION("""COMPUTED_VALUE"""),"427894491")</f>
        <v>427894491</v>
      </c>
      <c r="D396" s="12" t="str">
        <f>IFERROR(__xludf.DUMMYFUNCTION("""COMPUTED_VALUE"""),"Phạm Văn Quyền  N3")</f>
        <v>Phạm Văn Quyền  N3</v>
      </c>
      <c r="E396" s="102" t="str">
        <f>IFERROR(__xludf.DUMMYFUNCTION("""COMPUTED_VALUE"""),"Dạ ss có thể tóm tắt những ngữ pháp đã học từ bài 5 cho em được k ạ")</f>
        <v>Dạ ss có thể tóm tắt những ngữ pháp đã học từ bài 5 cho em được k ạ</v>
      </c>
      <c r="F396" s="12" t="str">
        <f>IFERROR(__xludf.DUMMYFUNCTION("""COMPUTED_VALUE"""),"CVHT01")</f>
        <v>CVHT01</v>
      </c>
      <c r="G396" s="86" t="s">
        <v>891</v>
      </c>
    </row>
    <row r="397">
      <c r="A397" s="12"/>
      <c r="B397" s="241">
        <f>IFERROR(__xludf.DUMMYFUNCTION("""COMPUTED_VALUE"""),46248.0)</f>
        <v>46248</v>
      </c>
      <c r="C397" s="12" t="str">
        <f>IFERROR(__xludf.DUMMYFUNCTION("""COMPUTED_VALUE"""),"10054313")</f>
        <v>10054313</v>
      </c>
      <c r="D397" s="12" t="str">
        <f>IFERROR(__xludf.DUMMYFUNCTION("""COMPUTED_VALUE"""),"Bùi Thúy Nga JLPT N3")</f>
        <v>Bùi Thúy Nga JLPT N3</v>
      </c>
      <c r="E397" s="102" t="str">
        <f>IFERROR(__xludf.DUMMYFUNCTION("""COMPUTED_VALUE"""),"""Dạ em thi N3 ạ""")</f>
        <v>"Dạ em thi N3 ạ"</v>
      </c>
      <c r="F397" s="12" t="str">
        <f>IFERROR(__xludf.DUMMYFUNCTION("""COMPUTED_VALUE"""),"CVHT01")</f>
        <v>CVHT01</v>
      </c>
      <c r="G397" s="86" t="s">
        <v>891</v>
      </c>
    </row>
    <row r="398">
      <c r="A398" s="12"/>
      <c r="B398" s="241">
        <f>IFERROR(__xludf.DUMMYFUNCTION("""COMPUTED_VALUE"""),46248.0)</f>
        <v>46248</v>
      </c>
      <c r="C398" s="12" t="str">
        <f>IFERROR(__xludf.DUMMYFUNCTION("""COMPUTED_VALUE"""),"427894522")</f>
        <v>427894522</v>
      </c>
      <c r="D398" s="12" t="str">
        <f>IFERROR(__xludf.DUMMYFUNCTION("""COMPUTED_VALUE"""),"Phạm Thị Tho JLPT N5N4")</f>
        <v>Phạm Thị Tho JLPT N5N4</v>
      </c>
      <c r="E398" s="102" t="str">
        <f>IFERROR(__xludf.DUMMYFUNCTION("""COMPUTED_VALUE"""),"""Dạ ss gởi video cho e cn e nghỉ e xem lại ạ""")</f>
        <v>"Dạ ss gởi video cho e cn e nghỉ e xem lại ạ"</v>
      </c>
      <c r="F398" s="12" t="str">
        <f>IFERROR(__xludf.DUMMYFUNCTION("""COMPUTED_VALUE"""),"CVHT01")</f>
        <v>CVHT01</v>
      </c>
      <c r="G398" s="86" t="s">
        <v>891</v>
      </c>
    </row>
    <row r="399">
      <c r="A399" s="12"/>
      <c r="B399" s="241">
        <f>IFERROR(__xludf.DUMMYFUNCTION("""COMPUTED_VALUE"""),46248.0)</f>
        <v>46248</v>
      </c>
      <c r="C399" s="12" t="str">
        <f>IFERROR(__xludf.DUMMYFUNCTION("""COMPUTED_VALUE"""),"GV439 ")</f>
        <v>GV439 </v>
      </c>
      <c r="D399" s="12" t="str">
        <f>IFERROR(__xludf.DUMMYFUNCTION("""COMPUTED_VALUE"""),"Phạm Thị Trang K2")</f>
        <v>Phạm Thị Trang K2</v>
      </c>
      <c r="E399" s="102" t="str">
        <f>IFERROR(__xludf.DUMMYFUNCTION("""COMPUTED_VALUE"""),"""@All chị ơi phần này bị sai, thiếu so với audio""")</f>
        <v>"@All chị ơi phần này bị sai, thiếu so với audio"</v>
      </c>
      <c r="F399" s="12" t="str">
        <f>IFERROR(__xludf.DUMMYFUNCTION("""COMPUTED_VALUE"""),"CVHT01")</f>
        <v>CVHT01</v>
      </c>
      <c r="G399" s="86" t="s">
        <v>891</v>
      </c>
    </row>
    <row r="400">
      <c r="A400" s="12"/>
      <c r="B400" s="241">
        <f>IFERROR(__xludf.DUMMYFUNCTION("""COMPUTED_VALUE"""),46249.0)</f>
        <v>46249</v>
      </c>
      <c r="C400" s="12" t="str">
        <f>IFERROR(__xludf.DUMMYFUNCTION("""COMPUTED_VALUE"""),"427897525")</f>
        <v>427897525</v>
      </c>
      <c r="D400" s="12" t="str">
        <f>IFERROR(__xludf.DUMMYFUNCTION("""COMPUTED_VALUE"""),"Đặng Thị Thu Vân N5 ( 1:1)")</f>
        <v>Đặng Thị Thu Vân N5 ( 1:1)</v>
      </c>
      <c r="E400" s="102" t="str">
        <f>IFERROR(__xludf.DUMMYFUNCTION("""COMPUTED_VALUE"""),"Dạ Sensei cập nhật giúp e thêm các file  bài giảng ạ, e cảm ơn Sensei ạ")</f>
        <v>Dạ Sensei cập nhật giúp e thêm các file  bài giảng ạ, e cảm ơn Sensei ạ</v>
      </c>
      <c r="F400" s="12" t="str">
        <f>IFERROR(__xludf.DUMMYFUNCTION("""COMPUTED_VALUE"""),"CVHT01")</f>
        <v>CVHT01</v>
      </c>
      <c r="G400" s="86" t="s">
        <v>891</v>
      </c>
    </row>
    <row r="401">
      <c r="A401" s="12"/>
      <c r="B401" s="241">
        <f>IFERROR(__xludf.DUMMYFUNCTION("""COMPUTED_VALUE"""),46249.0)</f>
        <v>46249</v>
      </c>
      <c r="C401" s="12" t="str">
        <f>IFERROR(__xludf.DUMMYFUNCTION("""COMPUTED_VALUE"""),"427900083")</f>
        <v>427900083</v>
      </c>
      <c r="D401" s="12" t="str">
        <f>IFERROR(__xludf.DUMMYFUNCTION("""COMPUTED_VALUE"""),"Đỗ Thị Vân Anh")</f>
        <v>Đỗ Thị Vân Anh</v>
      </c>
      <c r="E401" s="102" t="str">
        <f>IFERROR(__xludf.DUMMYFUNCTION("""COMPUTED_VALUE"""),"Cô ơi tuần sau em học thứ 3 thứ 7 tầm 8h-8h30 rồi từ tuần sau nx lịch cố định của em là thứ 2 với thứ 6 từ 8h-8h30 đc ko ạ")</f>
        <v>Cô ơi tuần sau em học thứ 3 thứ 7 tầm 8h-8h30 rồi từ tuần sau nx lịch cố định của em là thứ 2 với thứ 6 từ 8h-8h30 đc ko ạ</v>
      </c>
      <c r="F401" s="12" t="str">
        <f>IFERROR(__xludf.DUMMYFUNCTION("""COMPUTED_VALUE"""),"CVHT01")</f>
        <v>CVHT01</v>
      </c>
      <c r="G401" s="86" t="s">
        <v>891</v>
      </c>
    </row>
    <row r="402">
      <c r="A402" s="12"/>
      <c r="B402" s="241">
        <f>IFERROR(__xludf.DUMMYFUNCTION("""COMPUTED_VALUE"""),46251.0)</f>
        <v>46251</v>
      </c>
      <c r="C402" s="12" t="str">
        <f>IFERROR(__xludf.DUMMYFUNCTION("""COMPUTED_VALUE"""),"10054873")</f>
        <v>10054873</v>
      </c>
      <c r="D402" s="12" t="str">
        <f>IFERROR(__xludf.DUMMYFUNCTION("""COMPUTED_VALUE"""),"Bùi Quốc Kiệt N4N3")</f>
        <v>Bùi Quốc Kiệt N4N3</v>
      </c>
      <c r="E402" s="102" t="str">
        <f>IFERROR(__xludf.DUMMYFUNCTION("""COMPUTED_VALUE"""),"""0384414780 zalo của em ạ "" Chị kết bạn zalo với bạn nhé.")</f>
        <v>"0384414780 zalo của em ạ " Chị kết bạn zalo với bạn nhé.</v>
      </c>
      <c r="F402" s="12" t="str">
        <f>IFERROR(__xludf.DUMMYFUNCTION("""COMPUTED_VALUE"""),"CVHT01")</f>
        <v>CVHT01</v>
      </c>
      <c r="G402" s="86" t="s">
        <v>891</v>
      </c>
    </row>
    <row r="403">
      <c r="A403" s="12"/>
      <c r="B403" s="241">
        <f>IFERROR(__xludf.DUMMYFUNCTION("""COMPUTED_VALUE"""),46251.0)</f>
        <v>46251</v>
      </c>
      <c r="C403" s="12" t="str">
        <f>IFERROR(__xludf.DUMMYFUNCTION("""COMPUTED_VALUE"""),"10054395")</f>
        <v>10054395</v>
      </c>
      <c r="D403" s="12" t="str">
        <f>IFERROR(__xludf.DUMMYFUNCTION("""COMPUTED_VALUE"""),"Nguyễn Thị Hồng  N4N3")</f>
        <v>Nguyễn Thị Hồng  N4N3</v>
      </c>
      <c r="E403" s="102" t="str">
        <f>IFERROR(__xludf.DUMMYFUNCTION("""COMPUTED_VALUE"""),"""Đợt này cvc e bận quá. E cũng có chút việc riêng . E báo ss vs trung tâm là e xin phép nghỉ học ạ""")</f>
        <v>"Đợt này cvc e bận quá. E cũng có chút việc riêng . E báo ss vs trung tâm là e xin phép nghỉ học ạ"</v>
      </c>
      <c r="F403" s="12" t="str">
        <f>IFERROR(__xludf.DUMMYFUNCTION("""COMPUTED_VALUE"""),"CVHT01")</f>
        <v>CVHT01</v>
      </c>
      <c r="G403" s="86" t="s">
        <v>891</v>
      </c>
    </row>
    <row r="404">
      <c r="A404" s="12"/>
      <c r="B404" s="241">
        <f>IFERROR(__xludf.DUMMYFUNCTION("""COMPUTED_VALUE"""),46251.0)</f>
        <v>46251</v>
      </c>
      <c r="C404" s="12" t="str">
        <f>IFERROR(__xludf.DUMMYFUNCTION("""COMPUTED_VALUE"""),"420291025")</f>
        <v>420291025</v>
      </c>
      <c r="D404" s="12" t="str">
        <f>IFERROR(__xludf.DUMMYFUNCTION("""COMPUTED_VALUE"""),"Huỳnh Thị Thúy Lan")</f>
        <v>Huỳnh Thị Thúy Lan</v>
      </c>
      <c r="E404" s="102" t="str">
        <f>IFERROR(__xludf.DUMMYFUNCTION("""COMPUTED_VALUE"""),"Bạn này học nhóm 1:2 nhưng mà hiện tại bạn phải tăng ca nên không học được giờ cũ và muốn đổi giờ lên muộn hơn 1 tiếng. 
Mà bạn còn lại thì cũng không đổi lịch học muộn được ạ")</f>
        <v>Bạn này học nhóm 1:2 nhưng mà hiện tại bạn phải tăng ca nên không học được giờ cũ và muốn đổi giờ lên muộn hơn 1 tiếng. 
Mà bạn còn lại thì cũng không đổi lịch học muộn được ạ</v>
      </c>
      <c r="F404" s="12" t="str">
        <f>IFERROR(__xludf.DUMMYFUNCTION("""COMPUTED_VALUE"""),"CVHT01")</f>
        <v>CVHT01</v>
      </c>
      <c r="G404" s="86" t="s">
        <v>891</v>
      </c>
    </row>
    <row r="405">
      <c r="A405" s="12"/>
      <c r="B405" s="241">
        <f>IFERROR(__xludf.DUMMYFUNCTION("""COMPUTED_VALUE"""),46251.0)</f>
        <v>46251</v>
      </c>
      <c r="C405" s="12" t="str">
        <f>IFERROR(__xludf.DUMMYFUNCTION("""COMPUTED_VALUE"""),"GV445 ")</f>
        <v>GV445 </v>
      </c>
      <c r="D405" s="12" t="str">
        <f>IFERROR(__xludf.DUMMYFUNCTION("""COMPUTED_VALUE"""),"Đỗ Thị Thúy Ngần K2")</f>
        <v>Đỗ Thị Thúy Ngần K2</v>
      </c>
      <c r="E405" s="102" t="str">
        <f>IFERROR(__xludf.DUMMYFUNCTION("""COMPUTED_VALUE"""),"""chiều mai học 3 tiết thì e chấm bạn mai ntn hả c""")</f>
        <v>"chiều mai học 3 tiết thì e chấm bạn mai ntn hả c"</v>
      </c>
      <c r="F405" s="12" t="str">
        <f>IFERROR(__xludf.DUMMYFUNCTION("""COMPUTED_VALUE"""),"CVHT01")</f>
        <v>CVHT01</v>
      </c>
      <c r="G405" s="86" t="s">
        <v>891</v>
      </c>
    </row>
    <row r="406">
      <c r="A406" s="12"/>
      <c r="B406" s="241">
        <f>IFERROR(__xludf.DUMMYFUNCTION("""COMPUTED_VALUE"""),46252.0)</f>
        <v>46252</v>
      </c>
      <c r="C406" s="12" t="str">
        <f>IFERROR(__xludf.DUMMYFUNCTION("""COMPUTED_VALUE"""),"427896140  ")</f>
        <v>427896140  </v>
      </c>
      <c r="D406" s="12" t="str">
        <f>IFERROR(__xludf.DUMMYFUNCTION("""COMPUTED_VALUE"""),"  Lường Tuyết Ngân")</f>
        <v>  Lường Tuyết Ngân</v>
      </c>
      <c r="E406" s="102" t="str">
        <f>IFERROR(__xludf.DUMMYFUNCTION("""COMPUTED_VALUE"""),"""Cho e xin thi xong senmon học lại dc k ạ""")</f>
        <v>"Cho e xin thi xong senmon học lại dc k ạ"</v>
      </c>
      <c r="F406" s="12" t="str">
        <f>IFERROR(__xludf.DUMMYFUNCTION("""COMPUTED_VALUE"""),"CVHT01")</f>
        <v>CVHT01</v>
      </c>
      <c r="G406" s="86" t="s">
        <v>891</v>
      </c>
    </row>
    <row r="407">
      <c r="A407" s="12"/>
      <c r="B407" s="241">
        <f>IFERROR(__xludf.DUMMYFUNCTION("""COMPUTED_VALUE"""),46252.0)</f>
        <v>46252</v>
      </c>
      <c r="C407" s="12" t="str">
        <f>IFERROR(__xludf.DUMMYFUNCTION("""COMPUTED_VALUE"""),"10054870")</f>
        <v>10054870</v>
      </c>
      <c r="D407" s="12" t="str">
        <f>IFERROR(__xludf.DUMMYFUNCTION("""COMPUTED_VALUE"""),"Nguyễn Văn Trường  N4N3")</f>
        <v>Nguyễn Văn Trường  N4N3</v>
      </c>
      <c r="E407" s="102" t="str">
        <f>IFERROR(__xludf.DUMMYFUNCTION("""COMPUTED_VALUE"""),"""Hôm nay vẫn chưa có lịch học ạ ss""")</f>
        <v>"Hôm nay vẫn chưa có lịch học ạ ss"</v>
      </c>
      <c r="F407" s="12" t="str">
        <f>IFERROR(__xludf.DUMMYFUNCTION("""COMPUTED_VALUE"""),"CVHT01")</f>
        <v>CVHT01</v>
      </c>
      <c r="G407" s="86" t="s">
        <v>891</v>
      </c>
    </row>
    <row r="408">
      <c r="A408" s="12"/>
      <c r="B408" s="241">
        <f>IFERROR(__xludf.DUMMYFUNCTION("""COMPUTED_VALUE"""),46253.0)</f>
        <v>46253</v>
      </c>
      <c r="C408" s="12" t="str">
        <f>IFERROR(__xludf.DUMMYFUNCTION("""COMPUTED_VALUE"""),"10054547")</f>
        <v>10054547</v>
      </c>
      <c r="D408" s="12" t="str">
        <f>IFERROR(__xludf.DUMMYFUNCTION("""COMPUTED_VALUE"""),"Nguyễn Văn Tuấn N3")</f>
        <v>Nguyễn Văn Tuấn N3</v>
      </c>
      <c r="E408" s="102" t="str">
        <f>IFERROR(__xludf.DUMMYFUNCTION("""COMPUTED_VALUE"""),"""Cho em hỏi sắp tới có lớp nào n2 học tháng 12 thi không ss""")</f>
        <v>"Cho em hỏi sắp tới có lớp nào n2 học tháng 12 thi không ss"</v>
      </c>
      <c r="F408" s="12" t="str">
        <f>IFERROR(__xludf.DUMMYFUNCTION("""COMPUTED_VALUE"""),"CVHT01")</f>
        <v>CVHT01</v>
      </c>
      <c r="G408" s="86" t="s">
        <v>891</v>
      </c>
    </row>
    <row r="409">
      <c r="A409" s="12"/>
      <c r="B409" s="241">
        <f>IFERROR(__xludf.DUMMYFUNCTION("""COMPUTED_VALUE"""),46253.0)</f>
        <v>46253</v>
      </c>
      <c r="C409" s="12" t="str">
        <f>IFERROR(__xludf.DUMMYFUNCTION("""COMPUTED_VALUE"""),"427897568")</f>
        <v>427897568</v>
      </c>
      <c r="D409" s="12" t="str">
        <f>IFERROR(__xludf.DUMMYFUNCTION("""COMPUTED_VALUE"""),"Hồ Lý Tường Vy")</f>
        <v>Hồ Lý Tường Vy</v>
      </c>
      <c r="E409" s="102" t="str">
        <f>IFERROR(__xludf.DUMMYFUNCTION("""COMPUTED_VALUE"""),"Bạn quyết định dừng học luôn chị nhé.")</f>
        <v>Bạn quyết định dừng học luôn chị nhé.</v>
      </c>
      <c r="F409" s="12" t="str">
        <f>IFERROR(__xludf.DUMMYFUNCTION("""COMPUTED_VALUE"""),"CVHT01")</f>
        <v>CVHT01</v>
      </c>
      <c r="G409" s="86" t="s">
        <v>891</v>
      </c>
    </row>
    <row r="410">
      <c r="A410" s="12"/>
      <c r="B410" s="241">
        <f>IFERROR(__xludf.DUMMYFUNCTION("""COMPUTED_VALUE"""),46254.0)</f>
        <v>46254</v>
      </c>
      <c r="C410" s="12" t="str">
        <f>IFERROR(__xludf.DUMMYFUNCTION("""COMPUTED_VALUE"""),"GV331 ")</f>
        <v>GV331 </v>
      </c>
      <c r="D410" s="12" t="str">
        <f>IFERROR(__xludf.DUMMYFUNCTION("""COMPUTED_VALUE"""),"Lê Thị La Vang K2 - JLPT N4")</f>
        <v>Lê Thị La Vang K2 - JLPT N4</v>
      </c>
      <c r="E410" s="102" t="str">
        <f>IFERROR(__xludf.DUMMYFUNCTION("""COMPUTED_VALUE"""),"""Mấy tháng nay e toàn thấy thông tin lớp jlpt ko thấy lớp kaiwa nữa. Ko biết có phải nay mỗi gv chuyên 1 hướng thôi phải ko ạ""")</f>
        <v>"Mấy tháng nay e toàn thấy thông tin lớp jlpt ko thấy lớp kaiwa nữa. Ko biết có phải nay mỗi gv chuyên 1 hướng thôi phải ko ạ"</v>
      </c>
      <c r="F410" s="12" t="str">
        <f>IFERROR(__xludf.DUMMYFUNCTION("""COMPUTED_VALUE"""),"CVHT01")</f>
        <v>CVHT01</v>
      </c>
      <c r="G410" s="86" t="s">
        <v>891</v>
      </c>
    </row>
    <row r="411">
      <c r="A411" s="12"/>
      <c r="B411" s="241">
        <f>IFERROR(__xludf.DUMMYFUNCTION("""COMPUTED_VALUE"""),46254.0)</f>
        <v>46254</v>
      </c>
      <c r="C411" s="12" t="str">
        <f>IFERROR(__xludf.DUMMYFUNCTION("""COMPUTED_VALUE"""),"427896161")</f>
        <v>427896161</v>
      </c>
      <c r="D411" s="12" t="str">
        <f>IFERROR(__xludf.DUMMYFUNCTION("""COMPUTED_VALUE"""),"Lê Thị Hương")</f>
        <v>Lê Thị Hương</v>
      </c>
      <c r="E411" s="102" t="str">
        <f>IFERROR(__xludf.DUMMYFUNCTION("""COMPUTED_VALUE"""),"""vậy khoá này thì thgian học như nào v ss""")</f>
        <v>"vậy khoá này thì thgian học như nào v ss"</v>
      </c>
      <c r="F411" s="12" t="str">
        <f>IFERROR(__xludf.DUMMYFUNCTION("""COMPUTED_VALUE"""),"CVHT01")</f>
        <v>CVHT01</v>
      </c>
      <c r="G411" s="86" t="s">
        <v>891</v>
      </c>
    </row>
    <row r="412">
      <c r="A412" s="12"/>
      <c r="B412" s="241">
        <f>IFERROR(__xludf.DUMMYFUNCTION("""COMPUTED_VALUE"""),46254.0)</f>
        <v>46254</v>
      </c>
      <c r="C412" s="12" t="str">
        <f>IFERROR(__xludf.DUMMYFUNCTION("""COMPUTED_VALUE"""),"427894548")</f>
        <v>427894548</v>
      </c>
      <c r="D412" s="12" t="str">
        <f>IFERROR(__xludf.DUMMYFUNCTION("""COMPUTED_VALUE"""),"Trần Thị Thùy Dương")</f>
        <v>Trần Thị Thùy Dương</v>
      </c>
      <c r="E412" s="102" t="str">
        <f>IFERROR(__xludf.DUMMYFUNCTION("""COMPUTED_VALUE"""),"""dạ xin chào ss, hiện tại thì em học năm 4 nên thời gian bận quá ạ. Vì năm 2 sẽ đi thực tập nên tất cả các môn đều dồn về cùng học kỳ 1, ngoài ra thì em cũng đang ôn thi jlpt nên thời gian không có nhiều. Em biết là em đã xin trung tâm bảo lưu một lần, n"&amp;"hưng lịch học của em cũng đang làm em hơi ngộp ạ. Em có thể xin trung tâm hỗ trợ cho em bảo lưu thêm 1 kỳ nưa được không ạ? sau khi thi jlpt xong em sẽ chú tâm vào học giao tiếp ạ :(((""
Bạn nhắn riêng cho nick phòng đào tạo ạ")</f>
        <v>"dạ xin chào ss, hiện tại thì em học năm 4 nên thời gian bận quá ạ. Vì năm 2 sẽ đi thực tập nên tất cả các môn đều dồn về cùng học kỳ 1, ngoài ra thì em cũng đang ôn thi jlpt nên thời gian không có nhiều. Em biết là em đã xin trung tâm bảo lưu một lần, nhưng lịch học của em cũng đang làm em hơi ngộp ạ. Em có thể xin trung tâm hỗ trợ cho em bảo lưu thêm 1 kỳ nưa được không ạ? sau khi thi jlpt xong em sẽ chú tâm vào học giao tiếp ạ :((("
Bạn nhắn riêng cho nick phòng đào tạo ạ</v>
      </c>
      <c r="F412" s="12" t="str">
        <f>IFERROR(__xludf.DUMMYFUNCTION("""COMPUTED_VALUE"""),"CVHT01")</f>
        <v>CVHT01</v>
      </c>
      <c r="G412" s="86" t="s">
        <v>891</v>
      </c>
    </row>
    <row r="413">
      <c r="A413" s="12"/>
      <c r="B413" s="241">
        <f>IFERROR(__xludf.DUMMYFUNCTION("""COMPUTED_VALUE"""),46254.0)</f>
        <v>46254</v>
      </c>
      <c r="C413" s="12" t="str">
        <f>IFERROR(__xludf.DUMMYFUNCTION("""COMPUTED_VALUE"""),"GV123 ")</f>
        <v>GV123 </v>
      </c>
      <c r="D413" s="12" t="str">
        <f>IFERROR(__xludf.DUMMYFUNCTION("""COMPUTED_VALUE"""),"Nguyễn Thị Bảo Trang K3")</f>
        <v>Nguyễn Thị Bảo Trang K3</v>
      </c>
      <c r="E413" s="102" t="str">
        <f>IFERROR(__xludf.DUMMYFUNCTION("""COMPUTED_VALUE"""),"""Cái app Edura giáo viên k đăng nhập đc ạv""")</f>
        <v>"Cái app Edura giáo viên k đăng nhập đc ạv"</v>
      </c>
      <c r="F413" s="12" t="str">
        <f>IFERROR(__xludf.DUMMYFUNCTION("""COMPUTED_VALUE"""),"CVHT01")</f>
        <v>CVHT01</v>
      </c>
      <c r="G413" s="86" t="s">
        <v>891</v>
      </c>
    </row>
    <row r="414">
      <c r="A414" s="12"/>
      <c r="B414" s="241">
        <f>IFERROR(__xludf.DUMMYFUNCTION("""COMPUTED_VALUE"""),46255.0)</f>
        <v>46255</v>
      </c>
      <c r="C414" s="12" t="str">
        <f>IFERROR(__xludf.DUMMYFUNCTION("""COMPUTED_VALUE"""),"427896161")</f>
        <v>427896161</v>
      </c>
      <c r="D414" s="12" t="str">
        <f>IFERROR(__xludf.DUMMYFUNCTION("""COMPUTED_VALUE"""),"Lê Thị Hương")</f>
        <v>Lê Thị Hương</v>
      </c>
      <c r="E414" s="102" t="str">
        <f>IFERROR(__xludf.DUMMYFUNCTION("""COMPUTED_VALUE"""),"""hay khi nào mng vào bài1 em vào đuoc k ạ""
chi phí học khoá này và sau khi kết thúc qay lại kaiwa thì như nào ạ")</f>
        <v>"hay khi nào mng vào bài1 em vào đuoc k ạ"
chi phí học khoá này và sau khi kết thúc qay lại kaiwa thì như nào ạ</v>
      </c>
      <c r="F414" s="12" t="str">
        <f>IFERROR(__xludf.DUMMYFUNCTION("""COMPUTED_VALUE"""),"CVHT01")</f>
        <v>CVHT01</v>
      </c>
      <c r="G414" s="86" t="s">
        <v>891</v>
      </c>
    </row>
    <row r="415">
      <c r="A415" s="12"/>
      <c r="B415" s="241">
        <f>IFERROR(__xludf.DUMMYFUNCTION("""COMPUTED_VALUE"""),46255.0)</f>
        <v>46255</v>
      </c>
      <c r="C415" s="12" t="str">
        <f>IFERROR(__xludf.DUMMYFUNCTION("""COMPUTED_VALUE"""),"427894491")</f>
        <v>427894491</v>
      </c>
      <c r="D415" s="12" t="str">
        <f>IFERROR(__xludf.DUMMYFUNCTION("""COMPUTED_VALUE"""),"Phạm Văn Quyền  N3")</f>
        <v>Phạm Văn Quyền  N3</v>
      </c>
      <c r="E415" s="102" t="str">
        <f>IFERROR(__xludf.DUMMYFUNCTION("""COMPUTED_VALUE"""),"""Ss giúp em đăng ký bên nhật với ạ""")</f>
        <v>"Ss giúp em đăng ký bên nhật với ạ"</v>
      </c>
      <c r="F415" s="12" t="str">
        <f>IFERROR(__xludf.DUMMYFUNCTION("""COMPUTED_VALUE"""),"CVHT01")</f>
        <v>CVHT01</v>
      </c>
      <c r="G415" s="86" t="s">
        <v>891</v>
      </c>
    </row>
    <row r="416">
      <c r="A416" s="12"/>
      <c r="B416" s="241">
        <f>IFERROR(__xludf.DUMMYFUNCTION("""COMPUTED_VALUE"""),46255.0)</f>
        <v>46255</v>
      </c>
      <c r="C416" s="12" t="str">
        <f>IFERROR(__xludf.DUMMYFUNCTION("""COMPUTED_VALUE"""),"427894548")</f>
        <v>427894548</v>
      </c>
      <c r="D416" s="12" t="str">
        <f>IFERROR(__xludf.DUMMYFUNCTION("""COMPUTED_VALUE"""),"Trần Thị Thùy Dương")</f>
        <v>Trần Thị Thùy Dương</v>
      </c>
      <c r="E416" s="102" t="str">
        <f>IFERROR(__xludf.DUMMYFUNCTION("""COMPUTED_VALUE"""),"""dạ vậy ss cho em xin stk ạ""")</f>
        <v>"dạ vậy ss cho em xin stk ạ"</v>
      </c>
      <c r="F416" s="12" t="str">
        <f>IFERROR(__xludf.DUMMYFUNCTION("""COMPUTED_VALUE"""),"CVHT01")</f>
        <v>CVHT01</v>
      </c>
      <c r="G416" s="86" t="s">
        <v>891</v>
      </c>
    </row>
    <row r="417">
      <c r="A417" s="12"/>
      <c r="B417" s="241">
        <f>IFERROR(__xludf.DUMMYFUNCTION("""COMPUTED_VALUE"""),46255.0)</f>
        <v>46255</v>
      </c>
      <c r="C417" s="12" t="str">
        <f>IFERROR(__xludf.DUMMYFUNCTION("""COMPUTED_VALUE"""),"427898514")</f>
        <v>427898514</v>
      </c>
      <c r="D417" s="12" t="str">
        <f>IFERROR(__xludf.DUMMYFUNCTION("""COMPUTED_VALUE"""),"Phan Thị Phương Dung")</f>
        <v>Phan Thị Phương Dung</v>
      </c>
      <c r="E417" s="102" t="str">
        <f>IFERROR(__xludf.DUMMYFUNCTION("""COMPUTED_VALUE"""),"""Ss cho e hỏi cái khoá video và luyện thi N3 được tặng kèm khoá học là vô thời hạn hay hết khoá kaiwa là cũng hết hạn vậy ạ""")</f>
        <v>"Ss cho e hỏi cái khoá video và luyện thi N3 được tặng kèm khoá học là vô thời hạn hay hết khoá kaiwa là cũng hết hạn vậy ạ"</v>
      </c>
      <c r="F417" s="12" t="str">
        <f>IFERROR(__xludf.DUMMYFUNCTION("""COMPUTED_VALUE"""),"CVHT01")</f>
        <v>CVHT01</v>
      </c>
      <c r="G417" s="86" t="s">
        <v>891</v>
      </c>
    </row>
    <row r="418">
      <c r="A418" s="12"/>
      <c r="B418" s="241">
        <f>IFERROR(__xludf.DUMMYFUNCTION("""COMPUTED_VALUE"""),46256.0)</f>
        <v>46256</v>
      </c>
      <c r="C418" s="12" t="str">
        <f>IFERROR(__xludf.DUMMYFUNCTION("""COMPUTED_VALUE"""),"GV171")</f>
        <v>GV171</v>
      </c>
      <c r="D418" s="12" t="str">
        <f>IFERROR(__xludf.DUMMYFUNCTION("""COMPUTED_VALUE"""),"Chiaki Midorikawa　先生")</f>
        <v>Chiaki Midorikawa　先生</v>
      </c>
      <c r="E418" s="102" t="str">
        <f>IFERROR(__xludf.DUMMYFUNCTION("""COMPUTED_VALUE"""),"火曜日は午前中私用が入っていてお受けできないのですが、
月、水曜日なら午前中可能です。
もし月、水で大丈夫でしたら他の生徒さんと重ならない時間帯でしたらレッスン可能です。
ご検討どうぞよろしくお願いいたします。")</f>
        <v>火曜日は午前中私用が入っていてお受けできないのですが、
月、水曜日なら午前中可能です。
もし月、水で大丈夫でしたら他の生徒さんと重ならない時間帯でしたらレッスン可能です。
ご検討どうぞよろしくお願いいたします。</v>
      </c>
      <c r="F418" s="12" t="str">
        <f>IFERROR(__xludf.DUMMYFUNCTION("""COMPUTED_VALUE"""),"CVHT01")</f>
        <v>CVHT01</v>
      </c>
      <c r="G418" s="86" t="s">
        <v>891</v>
      </c>
    </row>
    <row r="419">
      <c r="A419" s="12"/>
      <c r="B419" s="241">
        <f>IFERROR(__xludf.DUMMYFUNCTION("""COMPUTED_VALUE"""),46256.0)</f>
        <v>46256</v>
      </c>
      <c r="C419" s="12" t="str">
        <f>IFERROR(__xludf.DUMMYFUNCTION("""COMPUTED_VALUE"""),"427898222")</f>
        <v>427898222</v>
      </c>
      <c r="D419" s="12" t="str">
        <f>IFERROR(__xludf.DUMMYFUNCTION("""COMPUTED_VALUE"""),"Nguyễn Thị Lan Hương")</f>
        <v>Nguyễn Thị Lan Hương</v>
      </c>
      <c r="E419" s="102" t="str">
        <f>IFERROR(__xludf.DUMMYFUNCTION("""COMPUTED_VALUE"""),"Ss ơi dạo này em làm ca đêm nhiều em xin bảo lưu lớp 2 tháng đc k ạ")</f>
        <v>Ss ơi dạo này em làm ca đêm nhiều em xin bảo lưu lớp 2 tháng đc k ạ</v>
      </c>
      <c r="F419" s="12" t="str">
        <f>IFERROR(__xludf.DUMMYFUNCTION("""COMPUTED_VALUE"""),"CVHT01")</f>
        <v>CVHT01</v>
      </c>
      <c r="G419" s="86" t="s">
        <v>891</v>
      </c>
    </row>
    <row r="420">
      <c r="A420" s="12"/>
      <c r="B420" s="241">
        <f>IFERROR(__xludf.DUMMYFUNCTION("""COMPUTED_VALUE"""),46256.0)</f>
        <v>46256</v>
      </c>
      <c r="C420" s="12" t="str">
        <f>IFERROR(__xludf.DUMMYFUNCTION("""COMPUTED_VALUE"""),"GV348  ")</f>
        <v>GV348  </v>
      </c>
      <c r="D420" s="12" t="str">
        <f>IFERROR(__xludf.DUMMYFUNCTION("""COMPUTED_VALUE"""),"Tạ Thị Thắm K2")</f>
        <v>Tạ Thị Thắm K2</v>
      </c>
      <c r="E420" s="102" t="str">
        <f>IFERROR(__xludf.DUMMYFUNCTION("""COMPUTED_VALUE"""),"Chị ơi sáng mai em bận nên nay em với bạn Trịnh học 1h ạ đnag học được nửa tiếng thì máy ổng có vấn đề nên chuyển qua meet")</f>
        <v>Chị ơi sáng mai em bận nên nay em với bạn Trịnh học 1h ạ đnag học được nửa tiếng thì máy ổng có vấn đề nên chuyển qua meet</v>
      </c>
      <c r="F420" s="12" t="str">
        <f>IFERROR(__xludf.DUMMYFUNCTION("""COMPUTED_VALUE"""),"CVHT01")</f>
        <v>CVHT01</v>
      </c>
      <c r="G420" s="86" t="s">
        <v>891</v>
      </c>
    </row>
    <row r="421">
      <c r="A421" s="12"/>
      <c r="B421" s="241">
        <f>IFERROR(__xludf.DUMMYFUNCTION("""COMPUTED_VALUE"""),46258.0)</f>
        <v>46258</v>
      </c>
      <c r="C421" s="12" t="str">
        <f>IFERROR(__xludf.DUMMYFUNCTION("""COMPUTED_VALUE"""),"427900107")</f>
        <v>427900107</v>
      </c>
      <c r="D421" s="12" t="str">
        <f>IFERROR(__xludf.DUMMYFUNCTION("""COMPUTED_VALUE"""),"Trần Thị Tuyền N4CS 1-1")</f>
        <v>Trần Thị Tuyền N4CS 1-1</v>
      </c>
      <c r="E421" s="102" t="str">
        <f>IFERROR(__xludf.DUMMYFUNCTION("""COMPUTED_VALUE"""),"""dạ e hiểu rồi á ss , ss dừng khoá học giúp em nha""")</f>
        <v>"dạ e hiểu rồi á ss , ss dừng khoá học giúp em nha"</v>
      </c>
      <c r="F421" s="12" t="str">
        <f>IFERROR(__xludf.DUMMYFUNCTION("""COMPUTED_VALUE"""),"CVHT01")</f>
        <v>CVHT01</v>
      </c>
      <c r="G421" s="86" t="s">
        <v>891</v>
      </c>
    </row>
    <row r="422">
      <c r="A422" s="12"/>
      <c r="B422" s="241">
        <f>IFERROR(__xludf.DUMMYFUNCTION("""COMPUTED_VALUE"""),46258.0)</f>
        <v>46258</v>
      </c>
      <c r="C422" s="12" t="str">
        <f>IFERROR(__xludf.DUMMYFUNCTION("""COMPUTED_VALUE"""),"427895793")</f>
        <v>427895793</v>
      </c>
      <c r="D422" s="12" t="str">
        <f>IFERROR(__xludf.DUMMYFUNCTION("""COMPUTED_VALUE"""),"Nguyễn Công Kỳ")</f>
        <v>Nguyễn Công Kỳ</v>
      </c>
      <c r="E422" s="102" t="str">
        <f>IFERROR(__xludf.DUMMYFUNCTION("""COMPUTED_VALUE"""),"""Em chưa có dự định ạ""")</f>
        <v>"Em chưa có dự định ạ"</v>
      </c>
      <c r="F422" s="12" t="str">
        <f>IFERROR(__xludf.DUMMYFUNCTION("""COMPUTED_VALUE"""),"CVHT01")</f>
        <v>CVHT01</v>
      </c>
      <c r="G422" s="86" t="s">
        <v>891</v>
      </c>
    </row>
    <row r="423">
      <c r="A423" s="12"/>
      <c r="B423" s="241">
        <f>IFERROR(__xludf.DUMMYFUNCTION("""COMPUTED_VALUE"""),46258.0)</f>
        <v>46258</v>
      </c>
      <c r="C423" s="12" t="str">
        <f>IFERROR(__xludf.DUMMYFUNCTION("""COMPUTED_VALUE"""),"10055534 ")</f>
        <v>10055534 </v>
      </c>
      <c r="D423" s="12" t="str">
        <f>IFERROR(__xludf.DUMMYFUNCTION("""COMPUTED_VALUE"""),"Hoàng Văn Hòa N4N3")</f>
        <v>Hoàng Văn Hòa N4N3</v>
      </c>
      <c r="E423" s="102" t="str">
        <f>IFERROR(__xludf.DUMMYFUNCTION("""COMPUTED_VALUE"""),"""dạ em học được SS ạ""")</f>
        <v>"dạ em học được SS ạ"</v>
      </c>
      <c r="F423" s="12" t="str">
        <f>IFERROR(__xludf.DUMMYFUNCTION("""COMPUTED_VALUE"""),"CVHT01")</f>
        <v>CVHT01</v>
      </c>
      <c r="G423" s="86" t="s">
        <v>891</v>
      </c>
    </row>
    <row r="424">
      <c r="A424" s="12"/>
      <c r="B424" s="241">
        <f>IFERROR(__xludf.DUMMYFUNCTION("""COMPUTED_VALUE"""),46259.0)</f>
        <v>46259</v>
      </c>
      <c r="C424" s="12" t="str">
        <f>IFERROR(__xludf.DUMMYFUNCTION("""COMPUTED_VALUE"""),"427898936")</f>
        <v>427898936</v>
      </c>
      <c r="D424" s="12" t="str">
        <f>IFERROR(__xludf.DUMMYFUNCTION("""COMPUTED_VALUE"""),"Trần Thị Lan")</f>
        <v>Trần Thị Lan</v>
      </c>
      <c r="E424" s="102" t="str">
        <f>IFERROR(__xludf.DUMMYFUNCTION("""COMPUTED_VALUE"""),"Ss ơi có thể cho e đến ngày 11 tháng sau đóng nốt học phí còn lại đc không ạ tầm đó e ms nhận lương huhu🥹")</f>
        <v>Ss ơi có thể cho e đến ngày 11 tháng sau đóng nốt học phí còn lại đc không ạ tầm đó e ms nhận lương huhu🥹</v>
      </c>
      <c r="F424" s="12" t="str">
        <f>IFERROR(__xludf.DUMMYFUNCTION("""COMPUTED_VALUE"""),"CVHT01")</f>
        <v>CVHT01</v>
      </c>
      <c r="G424" s="86" t="s">
        <v>891</v>
      </c>
    </row>
    <row r="425">
      <c r="A425" s="12"/>
      <c r="B425" s="241">
        <f>IFERROR(__xludf.DUMMYFUNCTION("""COMPUTED_VALUE"""),46259.0)</f>
        <v>46259</v>
      </c>
      <c r="C425" s="12" t="str">
        <f>IFERROR(__xludf.DUMMYFUNCTION("""COMPUTED_VALUE"""),"GV501 ")</f>
        <v>GV501 </v>
      </c>
      <c r="D425" s="12" t="str">
        <f>IFERROR(__xludf.DUMMYFUNCTION("""COMPUTED_VALUE"""),"Nguyễn Thị Ngọc Hiền K2")</f>
        <v>Nguyễn Thị Ngọc Hiền K2</v>
      </c>
      <c r="E425" s="102" t="str">
        <f>IFERROR(__xludf.DUMMYFUNCTION("""COMPUTED_VALUE"""),"Sa ơi bài 17 của kw1 không có file của gg sheet nên k có phần của link nghe ý ạ. Em có báo cáo 1 lần r nhưng dạy lại vẫn chưa được cập nhật")</f>
        <v>Sa ơi bài 17 của kw1 không có file của gg sheet nên k có phần của link nghe ý ạ. Em có báo cáo 1 lần r nhưng dạy lại vẫn chưa được cập nhật</v>
      </c>
      <c r="F425" s="12" t="str">
        <f>IFERROR(__xludf.DUMMYFUNCTION("""COMPUTED_VALUE"""),"CVHT01")</f>
        <v>CVHT01</v>
      </c>
      <c r="G425" s="86" t="s">
        <v>891</v>
      </c>
    </row>
    <row r="426">
      <c r="A426" s="12"/>
      <c r="B426" s="241">
        <f>IFERROR(__xludf.DUMMYFUNCTION("""COMPUTED_VALUE"""),46259.0)</f>
        <v>46259</v>
      </c>
      <c r="C426" s="12" t="str">
        <f>IFERROR(__xludf.DUMMYFUNCTION("""COMPUTED_VALUE"""),"10055534")</f>
        <v>10055534</v>
      </c>
      <c r="D426" s="12" t="str">
        <f>IFERROR(__xludf.DUMMYFUNCTION("""COMPUTED_VALUE"""),"Hoàng Văn Hòa N4N3")</f>
        <v>Hoàng Văn Hòa N4N3</v>
      </c>
      <c r="E426" s="102" t="str">
        <f>IFERROR(__xludf.DUMMYFUNCTION("""COMPUTED_VALUE"""),"Dạ em được SS ạ")</f>
        <v>Dạ em được SS ạ</v>
      </c>
      <c r="F426" s="12" t="str">
        <f>IFERROR(__xludf.DUMMYFUNCTION("""COMPUTED_VALUE"""),"CVHT01")</f>
        <v>CVHT01</v>
      </c>
      <c r="G426" s="86" t="s">
        <v>891</v>
      </c>
    </row>
    <row r="427">
      <c r="A427" s="12"/>
      <c r="B427" s="241">
        <f>IFERROR(__xludf.DUMMYFUNCTION("""COMPUTED_VALUE"""),46259.0)</f>
        <v>46259</v>
      </c>
      <c r="C427" s="12" t="str">
        <f>IFERROR(__xludf.DUMMYFUNCTION("""COMPUTED_VALUE"""),"GV385")</f>
        <v>GV385</v>
      </c>
      <c r="D427" s="12" t="str">
        <f>IFERROR(__xludf.DUMMYFUNCTION("""COMPUTED_VALUE""")," Lê Nữ Trang Nhung K3")</f>
        <v> Lê Nữ Trang Nhung K3</v>
      </c>
      <c r="E427" s="102" t="str">
        <f>IFERROR(__xludf.DUMMYFUNCTION("""COMPUTED_VALUE"""),"bạn Thương đã xong K2 ạ
Nhờ mọi người mở giúp bạn K3 để bạn chuẩn bị bài.
Từ mai thì bạn Thương học lúc 19:30 giờ vn đúng không ạ?")</f>
        <v>bạn Thương đã xong K2 ạ
Nhờ mọi người mở giúp bạn K3 để bạn chuẩn bị bài.
Từ mai thì bạn Thương học lúc 19:30 giờ vn đúng không ạ?</v>
      </c>
      <c r="F427" s="12" t="str">
        <f>IFERROR(__xludf.DUMMYFUNCTION("""COMPUTED_VALUE"""),"CVHT01")</f>
        <v>CVHT01</v>
      </c>
      <c r="G427" s="86" t="s">
        <v>891</v>
      </c>
    </row>
    <row r="428">
      <c r="A428" s="12"/>
      <c r="B428" s="241">
        <f>IFERROR(__xludf.DUMMYFUNCTION("""COMPUTED_VALUE"""),46259.0)</f>
        <v>46259</v>
      </c>
      <c r="C428" s="12" t="str">
        <f>IFERROR(__xludf.DUMMYFUNCTION("""COMPUTED_VALUE"""),"GV123 ")</f>
        <v>GV123 </v>
      </c>
      <c r="D428" s="12" t="str">
        <f>IFERROR(__xludf.DUMMYFUNCTION("""COMPUTED_VALUE"""),"Nguyễn Thị Bảo Trang K3")</f>
        <v>Nguyễn Thị Bảo Trang K3</v>
      </c>
      <c r="E428" s="102" t="str">
        <f>IFERROR(__xludf.DUMMYFUNCTION("""COMPUTED_VALUE"""),"n mà nhờ các chị bỏ lớp này ra giúp e với nha, để e đỡ nhầm + đỡ bùn ạ")</f>
        <v>n mà nhờ các chị bỏ lớp này ra giúp e với nha, để e đỡ nhầm + đỡ bùn ạ</v>
      </c>
      <c r="F428" s="12" t="str">
        <f>IFERROR(__xludf.DUMMYFUNCTION("""COMPUTED_VALUE"""),"CVHT01")</f>
        <v>CVHT01</v>
      </c>
      <c r="G428" s="86" t="s">
        <v>891</v>
      </c>
    </row>
    <row r="429">
      <c r="A429" s="12"/>
      <c r="B429" s="241">
        <f>IFERROR(__xludf.DUMMYFUNCTION("""COMPUTED_VALUE"""),46260.0)</f>
        <v>46260</v>
      </c>
      <c r="C429" s="12" t="str">
        <f>IFERROR(__xludf.DUMMYFUNCTION("""COMPUTED_VALUE"""),"427893377")</f>
        <v>427893377</v>
      </c>
      <c r="D429" s="12" t="str">
        <f>IFERROR(__xludf.DUMMYFUNCTION("""COMPUTED_VALUE"""),"Nguyễn Quang Sơn")</f>
        <v>Nguyễn Quang Sơn</v>
      </c>
      <c r="E429" s="102" t="str">
        <f>IFERROR(__xludf.DUMMYFUNCTION("""COMPUTED_VALUE"""),"""Ss cho em bảo lưu khoá học đc ko ạ""")</f>
        <v>"Ss cho em bảo lưu khoá học đc ko ạ"</v>
      </c>
      <c r="F429" s="12" t="str">
        <f>IFERROR(__xludf.DUMMYFUNCTION("""COMPUTED_VALUE"""),"CVHT01")</f>
        <v>CVHT01</v>
      </c>
      <c r="G429" s="86" t="s">
        <v>891</v>
      </c>
    </row>
    <row r="430">
      <c r="A430" s="12"/>
      <c r="B430" s="241">
        <f>IFERROR(__xludf.DUMMYFUNCTION("""COMPUTED_VALUE"""),46260.0)</f>
        <v>46260</v>
      </c>
      <c r="C430" s="12" t="str">
        <f>IFERROR(__xludf.DUMMYFUNCTION("""COMPUTED_VALUE"""),"427897801 ")</f>
        <v>427897801 </v>
      </c>
      <c r="D430" s="12" t="str">
        <f>IFERROR(__xludf.DUMMYFUNCTION("""COMPUTED_VALUE"""),"Lê Xiêm JLPT N4")</f>
        <v>Lê Xiêm JLPT N4</v>
      </c>
      <c r="E430" s="102" t="str">
        <f>IFERROR(__xludf.DUMMYFUNCTION("""COMPUTED_VALUE"""),"""Dạ ss ơi , từ câu 36 đến câu 40 không có bài đọc ạ""")</f>
        <v>"Dạ ss ơi , từ câu 36 đến câu 40 không có bài đọc ạ"</v>
      </c>
      <c r="F430" s="12" t="str">
        <f>IFERROR(__xludf.DUMMYFUNCTION("""COMPUTED_VALUE"""),"CVHT01")</f>
        <v>CVHT01</v>
      </c>
      <c r="G430" s="86" t="s">
        <v>891</v>
      </c>
    </row>
    <row r="431">
      <c r="A431" s="12"/>
      <c r="B431" s="241">
        <f>IFERROR(__xludf.DUMMYFUNCTION("""COMPUTED_VALUE"""),46260.0)</f>
        <v>46260</v>
      </c>
      <c r="C431" s="12" t="str">
        <f>IFERROR(__xludf.DUMMYFUNCTION("""COMPUTED_VALUE"""),"10056329 ")</f>
        <v>10056329 </v>
      </c>
      <c r="D431" s="12" t="str">
        <f>IFERROR(__xludf.DUMMYFUNCTION("""COMPUTED_VALUE"""),"Tạ Bích Loan JLPT N3")</f>
        <v>Tạ Bích Loan JLPT N3</v>
      </c>
      <c r="E431" s="102" t="str">
        <f>IFERROR(__xludf.DUMMYFUNCTION("""COMPUTED_VALUE"""),"""@Chika Sensei trên web em chọn đáp án đó thì web chấm là sai ạ""")</f>
        <v>"@Chika Sensei trên web em chọn đáp án đó thì web chấm là sai ạ"</v>
      </c>
      <c r="F431" s="12" t="str">
        <f>IFERROR(__xludf.DUMMYFUNCTION("""COMPUTED_VALUE"""),"CVHT01")</f>
        <v>CVHT01</v>
      </c>
      <c r="G431" s="86" t="s">
        <v>891</v>
      </c>
    </row>
    <row r="432">
      <c r="A432" s="12"/>
      <c r="B432" s="241">
        <f>IFERROR(__xludf.DUMMYFUNCTION("""COMPUTED_VALUE"""),46260.0)</f>
        <v>46260</v>
      </c>
      <c r="C432" s="12" t="str">
        <f>IFERROR(__xludf.DUMMYFUNCTION("""COMPUTED_VALUE"""),"GV445 ")</f>
        <v>GV445 </v>
      </c>
      <c r="D432" s="12" t="str">
        <f>IFERROR(__xludf.DUMMYFUNCTION("""COMPUTED_VALUE"""),"Đỗ Thị Thúy Ngần K2")</f>
        <v>Đỗ Thị Thúy Ngần K2</v>
      </c>
      <c r="E432" s="102" t="str">
        <f>IFERROR(__xludf.DUMMYFUNCTION("""COMPUTED_VALUE"""),"""b còn bn buổi ta""")</f>
        <v>"b còn bn buổi ta"</v>
      </c>
      <c r="F432" s="12" t="str">
        <f>IFERROR(__xludf.DUMMYFUNCTION("""COMPUTED_VALUE"""),"CVHT01")</f>
        <v>CVHT01</v>
      </c>
      <c r="G432" s="86" t="s">
        <v>891</v>
      </c>
    </row>
    <row r="433">
      <c r="A433" s="12"/>
      <c r="B433" s="241">
        <f>IFERROR(__xludf.DUMMYFUNCTION("""COMPUTED_VALUE"""),46262.0)</f>
        <v>46262</v>
      </c>
      <c r="C433" s="12" t="str">
        <f>IFERROR(__xludf.DUMMYFUNCTION("""COMPUTED_VALUE"""),"GV462")</f>
        <v>GV462</v>
      </c>
      <c r="D433" s="12" t="str">
        <f>IFERROR(__xludf.DUMMYFUNCTION("""COMPUTED_VALUE"""),"Nguyễn Thị Thanh K3")</f>
        <v>Nguyễn Thị Thanh K3</v>
      </c>
      <c r="E433" s="102" t="str">
        <f>IFERROR(__xludf.DUMMYFUNCTION("""COMPUTED_VALUE"""),"""@Aiko Sensei dạ ok ạ""")</f>
        <v>"@Aiko Sensei dạ ok ạ"</v>
      </c>
      <c r="F433" s="12" t="str">
        <f>IFERROR(__xludf.DUMMYFUNCTION("""COMPUTED_VALUE"""),"CVHT01")</f>
        <v>CVHT01</v>
      </c>
      <c r="G433" s="86" t="s">
        <v>891</v>
      </c>
    </row>
    <row r="434">
      <c r="A434" s="12"/>
      <c r="B434" s="241">
        <f>IFERROR(__xludf.DUMMYFUNCTION("""COMPUTED_VALUE"""),46262.0)</f>
        <v>46262</v>
      </c>
      <c r="C434" s="12" t="str">
        <f>IFERROR(__xludf.DUMMYFUNCTION("""COMPUTED_VALUE"""),"427896516")</f>
        <v>427896516</v>
      </c>
      <c r="D434" s="12" t="str">
        <f>IFERROR(__xludf.DUMMYFUNCTION("""COMPUTED_VALUE"""),"Nguyễn Thị Sự")</f>
        <v>Nguyễn Thị Sự</v>
      </c>
      <c r="E434" s="102" t="str">
        <f>IFERROR(__xludf.DUMMYFUNCTION("""COMPUTED_VALUE"""),"Thời gian vừa qua e tham gia khóa học bên mình nhưng e cảm thấy ko phù hợp với em về cả nội dung và lộ trình ạ. Vì vậy em muốn được nghỉ học để tìm hiểu khoá học khác phù hợp hơn. ")</f>
        <v>Thời gian vừa qua e tham gia khóa học bên mình nhưng e cảm thấy ko phù hợp với em về cả nội dung và lộ trình ạ. Vì vậy em muốn được nghỉ học để tìm hiểu khoá học khác phù hợp hơn. </v>
      </c>
      <c r="F434" s="12" t="str">
        <f>IFERROR(__xludf.DUMMYFUNCTION("""COMPUTED_VALUE"""),"CVHT01")</f>
        <v>CVHT01</v>
      </c>
      <c r="G434" s="86" t="s">
        <v>891</v>
      </c>
    </row>
    <row r="435">
      <c r="A435" s="12"/>
      <c r="B435" s="241">
        <f>IFERROR(__xludf.DUMMYFUNCTION("""COMPUTED_VALUE"""),46262.0)</f>
        <v>46262</v>
      </c>
      <c r="C435" s="12" t="str">
        <f>IFERROR(__xludf.DUMMYFUNCTION("""COMPUTED_VALUE"""),"10055690")</f>
        <v>10055690</v>
      </c>
      <c r="D435" s="12" t="str">
        <f>IFERROR(__xludf.DUMMYFUNCTION("""COMPUTED_VALUE"""),"Đinh Thị Cẩm Tiên JLPT N2")</f>
        <v>Đinh Thị Cẩm Tiên JLPT N2</v>
      </c>
      <c r="E435" s="102" t="str">
        <f>IFERROR(__xludf.DUMMYFUNCTION("""COMPUTED_VALUE"""),"Chị giải thích mấy câu bạn hỏi trên line giúp em ạ")</f>
        <v>Chị giải thích mấy câu bạn hỏi trên line giúp em ạ</v>
      </c>
      <c r="F435" s="12" t="str">
        <f>IFERROR(__xludf.DUMMYFUNCTION("""COMPUTED_VALUE"""),"CVHT01")</f>
        <v>CVHT01</v>
      </c>
      <c r="G435" s="86" t="s">
        <v>891</v>
      </c>
    </row>
    <row r="436">
      <c r="A436" s="12"/>
      <c r="B436" s="241">
        <f>IFERROR(__xludf.DUMMYFUNCTION("""COMPUTED_VALUE"""),46262.0)</f>
        <v>46262</v>
      </c>
      <c r="C436" s="12" t="str">
        <f>IFERROR(__xludf.DUMMYFUNCTION("""COMPUTED_VALUE"""),"427900107")</f>
        <v>427900107</v>
      </c>
      <c r="D436" s="12" t="str">
        <f>IFERROR(__xludf.DUMMYFUNCTION("""COMPUTED_VALUE"""),"Trần Thị Tuyền N4CS 1-1")</f>
        <v>Trần Thị Tuyền N4CS 1-1</v>
      </c>
      <c r="E436" s="102" t="str">
        <f>IFERROR(__xludf.DUMMYFUNCTION("""COMPUTED_VALUE"""),"""ss cho e hỏi khoá này mình bảo lưu được tới khi nào an""")</f>
        <v>"ss cho e hỏi khoá này mình bảo lưu được tới khi nào an"</v>
      </c>
      <c r="F436" s="12" t="str">
        <f>IFERROR(__xludf.DUMMYFUNCTION("""COMPUTED_VALUE"""),"CVHT01")</f>
        <v>CVHT01</v>
      </c>
      <c r="G436" s="86" t="s">
        <v>891</v>
      </c>
    </row>
    <row r="437">
      <c r="A437" s="12"/>
      <c r="B437" s="241">
        <f>IFERROR(__xludf.DUMMYFUNCTION("""COMPUTED_VALUE"""),46262.0)</f>
        <v>46262</v>
      </c>
      <c r="C437" s="12" t="str">
        <f>IFERROR(__xludf.DUMMYFUNCTION("""COMPUTED_VALUE"""),"GV32")</f>
        <v>GV32</v>
      </c>
      <c r="D437" s="12" t="str">
        <f>IFERROR(__xludf.DUMMYFUNCTION("""COMPUTED_VALUE"""),"Joji Kurodo")</f>
        <v>Joji Kurodo</v>
      </c>
      <c r="E437" s="102" t="str">
        <f>IFERROR(__xludf.DUMMYFUNCTION("""COMPUTED_VALUE"""),"""それから、スケジュール表の残日数が2日になっていますので、修正してください。""")</f>
        <v>"それから、スケジュール表の残日数が2日になっていますので、修正してください。"</v>
      </c>
      <c r="F437" s="12" t="str">
        <f>IFERROR(__xludf.DUMMYFUNCTION("""COMPUTED_VALUE"""),"CVHT01")</f>
        <v>CVHT01</v>
      </c>
      <c r="G437" s="86" t="s">
        <v>891</v>
      </c>
    </row>
    <row r="438">
      <c r="A438" s="12"/>
      <c r="B438" s="241">
        <f>IFERROR(__xludf.DUMMYFUNCTION("""COMPUTED_VALUE"""),46262.0)</f>
        <v>46262</v>
      </c>
      <c r="C438" s="12" t="str">
        <f>IFERROR(__xludf.DUMMYFUNCTION("""COMPUTED_VALUE"""),"GV398")</f>
        <v>GV398</v>
      </c>
      <c r="D438" s="12" t="str">
        <f>IFERROR(__xludf.DUMMYFUNCTION("""COMPUTED_VALUE"""),"Nguyễn Thuỳ Dung K2")</f>
        <v>Nguyễn Thuỳ Dung K2</v>
      </c>
      <c r="E438" s="102" t="str">
        <f>IFERROR(__xludf.DUMMYFUNCTION("""COMPUTED_VALUE"""),"Cô không dạy được lịch đổi của bạn Vân Anh ạ, chị xem có đổi giáo viên cho bạn không ạ")</f>
        <v>Cô không dạy được lịch đổi của bạn Vân Anh ạ, chị xem có đổi giáo viên cho bạn không ạ</v>
      </c>
      <c r="F438" s="12" t="str">
        <f>IFERROR(__xludf.DUMMYFUNCTION("""COMPUTED_VALUE"""),"CVHT01")</f>
        <v>CVHT01</v>
      </c>
      <c r="G438" s="86" t="s">
        <v>891</v>
      </c>
    </row>
    <row r="439">
      <c r="A439" s="12"/>
      <c r="B439" s="241">
        <f>IFERROR(__xludf.DUMMYFUNCTION("""COMPUTED_VALUE"""),46262.0)</f>
        <v>46262</v>
      </c>
      <c r="C439" s="12" t="str">
        <f>IFERROR(__xludf.DUMMYFUNCTION("""COMPUTED_VALUE"""),"427893377")</f>
        <v>427893377</v>
      </c>
      <c r="D439" s="12" t="str">
        <f>IFERROR(__xludf.DUMMYFUNCTION("""COMPUTED_VALUE"""),"Nguyễn Quang Sơn")</f>
        <v>Nguyễn Quang Sơn</v>
      </c>
      <c r="E439" s="102" t="str">
        <f>IFERROR(__xludf.DUMMYFUNCTION("""COMPUTED_VALUE"""),"Bạn đồng ý bảo lưu ạ")</f>
        <v>Bạn đồng ý bảo lưu ạ</v>
      </c>
      <c r="F439" s="12" t="str">
        <f>IFERROR(__xludf.DUMMYFUNCTION("""COMPUTED_VALUE"""),"CVHT01")</f>
        <v>CVHT01</v>
      </c>
      <c r="G439" s="86" t="s">
        <v>891</v>
      </c>
    </row>
    <row r="440">
      <c r="A440" s="12"/>
      <c r="B440" s="241">
        <f>IFERROR(__xludf.DUMMYFUNCTION("""COMPUTED_VALUE"""),46262.0)</f>
        <v>46262</v>
      </c>
      <c r="C440" s="12" t="str">
        <f>IFERROR(__xludf.DUMMYFUNCTION("""COMPUTED_VALUE"""),"420282490")</f>
        <v>420282490</v>
      </c>
      <c r="D440" s="12" t="str">
        <f>IFERROR(__xludf.DUMMYFUNCTION("""COMPUTED_VALUE"""),"Huỳnh Thị Kim Sen")</f>
        <v>Huỳnh Thị Kim Sen</v>
      </c>
      <c r="E440" s="102" t="str">
        <f>IFERROR(__xludf.DUMMYFUNCTION("""COMPUTED_VALUE"""),"""Lịch học k cố định ạ""
""Thi cũng vậy , khi nào thầy cô báo thì tụi e thi , báo trươc tầm 2 tuần""
""Nên chắc e tháng 7 thi , giờ e tập chung học kaiwa cho xong , tới đó học cho nhàn ạ""")</f>
        <v>"Lịch học k cố định ạ"
"Thi cũng vậy , khi nào thầy cô báo thì tụi e thi , báo trươc tầm 2 tuần"
"Nên chắc e tháng 7 thi , giờ e tập chung học kaiwa cho xong , tới đó học cho nhàn ạ"</v>
      </c>
      <c r="F440" s="12" t="str">
        <f>IFERROR(__xludf.DUMMYFUNCTION("""COMPUTED_VALUE"""),"CVHT01")</f>
        <v>CVHT01</v>
      </c>
      <c r="G440" s="86" t="s">
        <v>891</v>
      </c>
    </row>
    <row r="441">
      <c r="A441" s="12"/>
      <c r="B441" s="241">
        <f>IFERROR(__xludf.DUMMYFUNCTION("""COMPUTED_VALUE"""),46262.0)</f>
        <v>46262</v>
      </c>
      <c r="C441" s="12" t="str">
        <f>IFERROR(__xludf.DUMMYFUNCTION("""COMPUTED_VALUE"""),"GV521")</f>
        <v>GV521</v>
      </c>
      <c r="D441" s="12" t="str">
        <f>IFERROR(__xludf.DUMMYFUNCTION("""COMPUTED_VALUE"""),"Hồ Thị Kim Anh K2")</f>
        <v>Hồ Thị Kim Anh K2</v>
      </c>
      <c r="E441" s="102" t="str">
        <f>IFERROR(__xludf.DUMMYFUNCTION("""COMPUTED_VALUE"""),"""@Phòng Đào Tạo Edura Gv Chuyên Môn dạ vâng , vậy trên lịch em ghi như thế nào vậy ạ""")</f>
        <v>"@Phòng Đào Tạo Edura Gv Chuyên Môn dạ vâng , vậy trên lịch em ghi như thế nào vậy ạ"</v>
      </c>
      <c r="F441" s="12" t="str">
        <f>IFERROR(__xludf.DUMMYFUNCTION("""COMPUTED_VALUE"""),"CVHT01")</f>
        <v>CVHT01</v>
      </c>
      <c r="G441" s="86" t="s">
        <v>891</v>
      </c>
    </row>
    <row r="442">
      <c r="A442" s="12"/>
      <c r="B442" s="241">
        <f>IFERROR(__xludf.DUMMYFUNCTION("""COMPUTED_VALUE"""),46262.0)</f>
        <v>46262</v>
      </c>
      <c r="C442" s="12" t="str">
        <f>IFERROR(__xludf.DUMMYFUNCTION("""COMPUTED_VALUE"""),"10055534")</f>
        <v>10055534</v>
      </c>
      <c r="D442" s="12" t="str">
        <f>IFERROR(__xludf.DUMMYFUNCTION("""COMPUTED_VALUE"""),"Hoàng Văn Hòa N4N3")</f>
        <v>Hoàng Văn Hòa N4N3</v>
      </c>
      <c r="E442" s="102" t="str">
        <f>IFERROR(__xludf.DUMMYFUNCTION("""COMPUTED_VALUE"""),"""dạ vâng ạ""")</f>
        <v>"dạ vâng ạ"</v>
      </c>
      <c r="F442" s="12" t="str">
        <f>IFERROR(__xludf.DUMMYFUNCTION("""COMPUTED_VALUE"""),"CVHT01")</f>
        <v>CVHT01</v>
      </c>
      <c r="G442" s="86" t="s">
        <v>891</v>
      </c>
    </row>
    <row r="443">
      <c r="A443" s="12"/>
      <c r="B443" s="241">
        <f>IFERROR(__xludf.DUMMYFUNCTION("""COMPUTED_VALUE"""),46263.0)</f>
        <v>46263</v>
      </c>
      <c r="C443" s="12" t="str">
        <f>IFERROR(__xludf.DUMMYFUNCTION("""COMPUTED_VALUE"""),"427898162")</f>
        <v>427898162</v>
      </c>
      <c r="D443" s="12" t="str">
        <f>IFERROR(__xludf.DUMMYFUNCTION("""COMPUTED_VALUE"""),"Trần Thị Kim Thoa N5")</f>
        <v>Trần Thị Kim Thoa N5</v>
      </c>
      <c r="E443" s="102" t="str">
        <f>IFERROR(__xludf.DUMMYFUNCTION("""COMPUTED_VALUE"""),"Ss ơi e chưa thấy có bản record buổi học hôm qua ạ, e muốn nghe lại vì phần ngữ pháp e chưa hiểu ạ.")</f>
        <v>Ss ơi e chưa thấy có bản record buổi học hôm qua ạ, e muốn nghe lại vì phần ngữ pháp e chưa hiểu ạ.</v>
      </c>
      <c r="F443" s="12" t="str">
        <f>IFERROR(__xludf.DUMMYFUNCTION("""COMPUTED_VALUE"""),"CVHT01")</f>
        <v>CVHT01</v>
      </c>
      <c r="G443" s="86" t="s">
        <v>891</v>
      </c>
    </row>
    <row r="444">
      <c r="A444" s="12"/>
      <c r="B444" s="241">
        <f>IFERROR(__xludf.DUMMYFUNCTION("""COMPUTED_VALUE"""),46263.0)</f>
        <v>46263</v>
      </c>
      <c r="C444" s="12" t="str">
        <f>IFERROR(__xludf.DUMMYFUNCTION("""COMPUTED_VALUE"""),"427896516")</f>
        <v>427896516</v>
      </c>
      <c r="D444" s="12" t="str">
        <f>IFERROR(__xludf.DUMMYFUNCTION("""COMPUTED_VALUE"""),"Nguyễn Thị Sự")</f>
        <v>Nguyễn Thị Sự</v>
      </c>
      <c r="E444" s="102" t="str">
        <f>IFERROR(__xludf.DUMMYFUNCTION("""COMPUTED_VALUE"""),"Ss nghĩ em cầm tấm bằng N2 gần 3 năm nay mà giờ đưa chương trình hiện tại đang dậy cho em là hợp lí à?")</f>
        <v>Ss nghĩ em cầm tấm bằng N2 gần 3 năm nay mà giờ đưa chương trình hiện tại đang dậy cho em là hợp lí à?</v>
      </c>
      <c r="F444" s="12" t="str">
        <f>IFERROR(__xludf.DUMMYFUNCTION("""COMPUTED_VALUE"""),"CVHT01")</f>
        <v>CVHT01</v>
      </c>
      <c r="G444" s="86" t="s">
        <v>891</v>
      </c>
    </row>
    <row r="445">
      <c r="A445" s="12"/>
      <c r="B445" s="241">
        <f>IFERROR(__xludf.DUMMYFUNCTION("""COMPUTED_VALUE"""),46263.0)</f>
        <v>46263</v>
      </c>
      <c r="C445" s="12" t="str">
        <f>IFERROR(__xludf.DUMMYFUNCTION("""COMPUTED_VALUE"""),"GV348")</f>
        <v>GV348</v>
      </c>
      <c r="D445" s="12" t="str">
        <f>IFERROR(__xludf.DUMMYFUNCTION("""COMPUTED_VALUE"""),"Tạ Thị Thắm K2")</f>
        <v>Tạ Thị Thắm K2</v>
      </c>
      <c r="E445" s="102" t="str">
        <f>IFERROR(__xludf.DUMMYFUNCTION("""COMPUTED_VALUE"""),"Em chả hiểu sao nói mọi người nghe được mà ông cứ nói loa nhỏchị cứ hướng dẫn ông giúp em nha (427898957 - Bùi Hưng Thịnh) ")</f>
        <v>Em chả hiểu sao nói mọi người nghe được mà ông cứ nói loa nhỏchị cứ hướng dẫn ông giúp em nha (427898957 - Bùi Hưng Thịnh) </v>
      </c>
      <c r="F445" s="12" t="str">
        <f>IFERROR(__xludf.DUMMYFUNCTION("""COMPUTED_VALUE"""),"CVHT01")</f>
        <v>CVHT01</v>
      </c>
      <c r="G445" s="86" t="s">
        <v>891</v>
      </c>
    </row>
    <row r="446">
      <c r="A446" s="12"/>
      <c r="B446" s="241">
        <f>IFERROR(__xludf.DUMMYFUNCTION("""COMPUTED_VALUE"""),46263.0)</f>
        <v>46263</v>
      </c>
      <c r="C446" s="12" t="str">
        <f>IFERROR(__xludf.DUMMYFUNCTION("""COMPUTED_VALUE"""),"420292058 ")</f>
        <v>420292058 </v>
      </c>
      <c r="D446" s="12" t="str">
        <f>IFERROR(__xludf.DUMMYFUNCTION("""COMPUTED_VALUE""")," Vũ Thị Phượng")</f>
        <v> Vũ Thị Phượng</v>
      </c>
      <c r="E446" s="102" t="str">
        <f>IFERROR(__xludf.DUMMYFUNCTION("""COMPUTED_VALUE"""),"E đang làm công việc đóng gói thuốc ạ ss thông cảm e mạng e dạo này k tốt k nhận đc tin nhắn ạ")</f>
        <v>E đang làm công việc đóng gói thuốc ạ ss thông cảm e mạng e dạo này k tốt k nhận đc tin nhắn ạ</v>
      </c>
      <c r="F446" s="12" t="str">
        <f>IFERROR(__xludf.DUMMYFUNCTION("""COMPUTED_VALUE"""),"CVHT01")</f>
        <v>CVHT01</v>
      </c>
      <c r="G446" s="86" t="s">
        <v>891</v>
      </c>
    </row>
    <row r="447">
      <c r="A447" s="12"/>
      <c r="B447" s="241">
        <f>IFERROR(__xludf.DUMMYFUNCTION("""COMPUTED_VALUE"""),46090.0)</f>
        <v>46090</v>
      </c>
      <c r="C447" s="12" t="str">
        <f>IFERROR(__xludf.DUMMYFUNCTION("""COMPUTED_VALUE"""),"GV480")</f>
        <v>GV480</v>
      </c>
      <c r="D447" s="12" t="str">
        <f>IFERROR(__xludf.DUMMYFUNCTION("""COMPUTED_VALUE""")," Nguyễn Thị Châm K3")</f>
        <v> Nguyễn Thị Châm K3</v>
      </c>
      <c r="E447" s="102" t="str">
        <f>IFERROR(__xludf.DUMMYFUNCTION("""COMPUTED_VALUE"""),"E đổi giờ làm ko có dạy đc thêm trong tuần nữa c . Bạn có học mỗi thứ 7 cn ko c .")</f>
        <v>E đổi giờ làm ko có dạy đc thêm trong tuần nữa c . Bạn có học mỗi thứ 7 cn ko c .</v>
      </c>
      <c r="F447" s="12" t="str">
        <f>IFERROR(__xludf.DUMMYFUNCTION("""COMPUTED_VALUE"""),"CVHT01")</f>
        <v>CVHT01</v>
      </c>
      <c r="G447" s="86" t="s">
        <v>891</v>
      </c>
    </row>
    <row r="448">
      <c r="A448" s="12"/>
      <c r="B448" s="241">
        <f>IFERROR(__xludf.DUMMYFUNCTION("""COMPUTED_VALUE"""),46090.0)</f>
        <v>46090</v>
      </c>
      <c r="C448" s="12" t="str">
        <f>IFERROR(__xludf.DUMMYFUNCTION("""COMPUTED_VALUE"""),"10056219")</f>
        <v>10056219</v>
      </c>
      <c r="D448" s="12" t="str">
        <f>IFERROR(__xludf.DUMMYFUNCTION("""COMPUTED_VALUE"""),"Mai Xuân Phương JLPT N5")</f>
        <v>Mai Xuân Phương JLPT N5</v>
      </c>
      <c r="E448" s="102" t="str">
        <f>IFERROR(__xludf.DUMMYFUNCTION("""COMPUTED_VALUE"""),"Mùng 6/10 e ra trường để đi thi bằng lái xe mất khoảng 20 ngày để e tập trung ôn lấy bằng ạ ss cho e nghĩ nhé, Chập thì tầm 25 hôm ạ")</f>
        <v>Mùng 6/10 e ra trường để đi thi bằng lái xe mất khoảng 20 ngày để e tập trung ôn lấy bằng ạ ss cho e nghĩ nhé, Chập thì tầm 25 hôm ạ</v>
      </c>
      <c r="F448" s="12" t="str">
        <f>IFERROR(__xludf.DUMMYFUNCTION("""COMPUTED_VALUE"""),"CVHT01")</f>
        <v>CVHT01</v>
      </c>
      <c r="G448" s="86" t="s">
        <v>891</v>
      </c>
    </row>
    <row r="449">
      <c r="A449" s="12"/>
      <c r="B449" s="241">
        <f>IFERROR(__xludf.DUMMYFUNCTION("""COMPUTED_VALUE"""),46090.0)</f>
        <v>46090</v>
      </c>
      <c r="C449" s="12" t="str">
        <f>IFERROR(__xludf.DUMMYFUNCTION("""COMPUTED_VALUE"""),"GV425")</f>
        <v>GV425</v>
      </c>
      <c r="D449" s="12" t="str">
        <f>IFERROR(__xludf.DUMMYFUNCTION("""COMPUTED_VALUE""")," Trần Thị Ngọc Thủy K2")</f>
        <v> Trần Thị Ngọc Thủy K2</v>
      </c>
      <c r="E449" s="102" t="str">
        <f>IFERROR(__xludf.DUMMYFUNCTION("""COMPUTED_VALUE"""),"tin nhắn zl ạ")</f>
        <v>tin nhắn zl ạ</v>
      </c>
      <c r="F449" s="12" t="str">
        <f>IFERROR(__xludf.DUMMYFUNCTION("""COMPUTED_VALUE"""),"CVHT01")</f>
        <v>CVHT01</v>
      </c>
      <c r="G449" s="86" t="s">
        <v>891</v>
      </c>
    </row>
    <row r="450">
      <c r="A450" s="12"/>
      <c r="B450" s="241">
        <f>IFERROR(__xludf.DUMMYFUNCTION("""COMPUTED_VALUE"""),46090.0)</f>
        <v>46090</v>
      </c>
      <c r="C450" s="12" t="str">
        <f>IFERROR(__xludf.DUMMYFUNCTION("""COMPUTED_VALUE"""),"GV382 ")</f>
        <v>GV382 </v>
      </c>
      <c r="D450" s="12" t="str">
        <f>IFERROR(__xludf.DUMMYFUNCTION("""COMPUTED_VALUE"""),"Tạ Thị Hiền K3")</f>
        <v>Tạ Thị Hiền K3</v>
      </c>
      <c r="E450" s="102" t="str">
        <f>IFERROR(__xludf.DUMMYFUNCTION("""COMPUTED_VALUE"""),"21h 2-4-6 hôm trước c bảo có ca b Linh 4/9 học đúng k c")</f>
        <v>21h 2-4-6 hôm trước c bảo có ca b Linh 4/9 học đúng k c</v>
      </c>
      <c r="F450" s="12" t="str">
        <f>IFERROR(__xludf.DUMMYFUNCTION("""COMPUTED_VALUE"""),"CVHT01")</f>
        <v>CVHT01</v>
      </c>
      <c r="G450" s="86" t="s">
        <v>891</v>
      </c>
    </row>
    <row r="451">
      <c r="A451" s="12"/>
      <c r="B451" s="241">
        <f>IFERROR(__xludf.DUMMYFUNCTION("""COMPUTED_VALUE"""),46269.0)</f>
        <v>46269</v>
      </c>
      <c r="C451" s="12" t="str">
        <f>IFERROR(__xludf.DUMMYFUNCTION("""COMPUTED_VALUE"""),"420290398")</f>
        <v>420290398</v>
      </c>
      <c r="D451" s="12" t="str">
        <f>IFERROR(__xludf.DUMMYFUNCTION("""COMPUTED_VALUE"""),"Lê Thị Trà My")</f>
        <v>Lê Thị Trà My</v>
      </c>
      <c r="E451" s="102" t="str">
        <f>IFERROR(__xludf.DUMMYFUNCTION("""COMPUTED_VALUE"""),"""Ss cho em xin phép nghỉ luôn được không ạ""")</f>
        <v>"Ss cho em xin phép nghỉ luôn được không ạ"</v>
      </c>
      <c r="F451" s="12" t="str">
        <f>IFERROR(__xludf.DUMMYFUNCTION("""COMPUTED_VALUE"""),"CVHT01")</f>
        <v>CVHT01</v>
      </c>
      <c r="G451" s="86" t="s">
        <v>891</v>
      </c>
    </row>
    <row r="452">
      <c r="A452" s="12"/>
      <c r="B452" s="241">
        <f>IFERROR(__xludf.DUMMYFUNCTION("""COMPUTED_VALUE"""),46269.0)</f>
        <v>46269</v>
      </c>
      <c r="C452" s="12" t="str">
        <f>IFERROR(__xludf.DUMMYFUNCTION("""COMPUTED_VALUE"""),"420284976")</f>
        <v>420284976</v>
      </c>
      <c r="D452" s="12" t="str">
        <f>IFERROR(__xludf.DUMMYFUNCTION("""COMPUTED_VALUE"""),"Nguyễn Thiên Kim")</f>
        <v>Nguyễn Thiên Kim</v>
      </c>
      <c r="E452" s="102" t="str">
        <f>IFERROR(__xludf.DUMMYFUNCTION("""COMPUTED_VALUE"""),"""SS ơi chuyển khóa học của Tuyền qua cho em nhe SS""")</f>
        <v>"SS ơi chuyển khóa học của Tuyền qua cho em nhe SS"</v>
      </c>
      <c r="F452" s="12" t="str">
        <f>IFERROR(__xludf.DUMMYFUNCTION("""COMPUTED_VALUE"""),"CVHT01")</f>
        <v>CVHT01</v>
      </c>
      <c r="G452" s="86" t="s">
        <v>891</v>
      </c>
    </row>
    <row r="453">
      <c r="A453" s="12"/>
      <c r="B453" s="241">
        <f>IFERROR(__xludf.DUMMYFUNCTION("""COMPUTED_VALUE"""),46269.0)</f>
        <v>46269</v>
      </c>
      <c r="C453" s="12" t="str">
        <f>IFERROR(__xludf.DUMMYFUNCTION("""COMPUTED_VALUE"""),"420282490")</f>
        <v>420282490</v>
      </c>
      <c r="D453" s="12" t="str">
        <f>IFERROR(__xludf.DUMMYFUNCTION("""COMPUTED_VALUE"""),"Huỳnh Thị Kim Sen")</f>
        <v>Huỳnh Thị Kim Sen</v>
      </c>
      <c r="E453" s="102" t="str">
        <f>IFERROR(__xludf.DUMMYFUNCTION("""COMPUTED_VALUE"""),"""Dạ k được ạ , e chỉ học được k 246 thôi ạ""
chị tìm gv Nhật khác cho bạn nhé.")</f>
        <v>"Dạ k được ạ , e chỉ học được k 246 thôi ạ"
chị tìm gv Nhật khác cho bạn nhé.</v>
      </c>
      <c r="F453" s="12" t="str">
        <f>IFERROR(__xludf.DUMMYFUNCTION("""COMPUTED_VALUE"""),"CVHT01")</f>
        <v>CVHT01</v>
      </c>
      <c r="G453" s="86" t="s">
        <v>891</v>
      </c>
    </row>
    <row r="454">
      <c r="A454" s="12"/>
      <c r="B454" s="241">
        <f>IFERROR(__xludf.DUMMYFUNCTION("""COMPUTED_VALUE"""),46269.0)</f>
        <v>46269</v>
      </c>
      <c r="C454" s="12" t="str">
        <f>IFERROR(__xludf.DUMMYFUNCTION("""COMPUTED_VALUE"""),"GV501 ")</f>
        <v>GV501 </v>
      </c>
      <c r="D454" s="12" t="str">
        <f>IFERROR(__xludf.DUMMYFUNCTION("""COMPUTED_VALUE"""),"Nguyễn Thị Ngọc Hiền K2")</f>
        <v>Nguyễn Thị Ngọc Hiền K2</v>
      </c>
      <c r="E454" s="102" t="str">
        <f>IFERROR(__xludf.DUMMYFUNCTION("""COMPUTED_VALUE"""),"""Tại sau em vô học lại thì k kịp dạy ca 17h cơ""")</f>
        <v>"Tại sau em vô học lại thì k kịp dạy ca 17h cơ"</v>
      </c>
      <c r="F454" s="12" t="str">
        <f>IFERROR(__xludf.DUMMYFUNCTION("""COMPUTED_VALUE"""),"CVHT01")</f>
        <v>CVHT01</v>
      </c>
      <c r="G454" s="86" t="s">
        <v>891</v>
      </c>
    </row>
    <row r="455">
      <c r="A455" s="12"/>
      <c r="B455" s="241">
        <f>IFERROR(__xludf.DUMMYFUNCTION("""COMPUTED_VALUE"""),46151.0)</f>
        <v>46151</v>
      </c>
      <c r="C455" s="12" t="str">
        <f>IFERROR(__xludf.DUMMYFUNCTION("""COMPUTED_VALUE"""),"427895423")</f>
        <v>427895423</v>
      </c>
      <c r="D455" s="12" t="str">
        <f>IFERROR(__xludf.DUMMYFUNCTION("""COMPUTED_VALUE"""),"Hoàng Hoa Phượng")</f>
        <v>Hoàng Hoa Phượng</v>
      </c>
      <c r="E455" s="102" t="str">
        <f>IFERROR(__xludf.DUMMYFUNCTION("""COMPUTED_VALUE"""),"dạ. hôm trước em cũng có trao đổi với cả sato ss rồi là tới em có training của công ty ấy nhưng mà nguyện vọng của em thì vẫn muốn tiếp tục học tiếp nên là em đang cố gắng để sắp xếp lại thời gian thì trước mắt thì có thể cho em cái lịch Trình và cái phí "&amp;"học tiếp theo được không ạ")</f>
        <v>dạ. hôm trước em cũng có trao đổi với cả sato ss rồi là tới em có training của công ty ấy nhưng mà nguyện vọng của em thì vẫn muốn tiếp tục học tiếp nên là em đang cố gắng để sắp xếp lại thời gian thì trước mắt thì có thể cho em cái lịch Trình và cái phí học tiếp theo được không ạ</v>
      </c>
      <c r="F455" s="12" t="str">
        <f>IFERROR(__xludf.DUMMYFUNCTION("""COMPUTED_VALUE"""),"CVHT01")</f>
        <v>CVHT01</v>
      </c>
      <c r="G455" s="86" t="s">
        <v>891</v>
      </c>
    </row>
    <row r="456">
      <c r="A456" s="12"/>
      <c r="B456" s="241">
        <f>IFERROR(__xludf.DUMMYFUNCTION("""COMPUTED_VALUE"""),46151.0)</f>
        <v>46151</v>
      </c>
      <c r="C456" s="12" t="str">
        <f>IFERROR(__xludf.DUMMYFUNCTION("""COMPUTED_VALUE"""),"427899231")</f>
        <v>427899231</v>
      </c>
      <c r="D456" s="12" t="str">
        <f>IFERROR(__xludf.DUMMYFUNCTION("""COMPUTED_VALUE"""),"Hoàng Nguyễn Hải Ly")</f>
        <v>Hoàng Nguyễn Hải Ly</v>
      </c>
      <c r="E456" s="102" t="str">
        <f>IFERROR(__xludf.DUMMYFUNCTION("""COMPUTED_VALUE"""),"E thấy kaiwa hơi ít ko nói đc mấy ấy ạ")</f>
        <v>E thấy kaiwa hơi ít ko nói đc mấy ấy ạ</v>
      </c>
      <c r="F456" s="12" t="str">
        <f>IFERROR(__xludf.DUMMYFUNCTION("""COMPUTED_VALUE"""),"CVHT01")</f>
        <v>CVHT01</v>
      </c>
    </row>
    <row r="457">
      <c r="A457" s="12"/>
      <c r="B457" s="241">
        <f>IFERROR(__xludf.DUMMYFUNCTION("""COMPUTED_VALUE"""),46272.0)</f>
        <v>46272</v>
      </c>
      <c r="C457" s="12" t="str">
        <f>IFERROR(__xludf.DUMMYFUNCTION("""COMPUTED_VALUE"""),"GV522 ")</f>
        <v>GV522 </v>
      </c>
      <c r="D457" s="12" t="str">
        <f>IFERROR(__xludf.DUMMYFUNCTION("""COMPUTED_VALUE"""),"Đỗ Thị Oanh K2")</f>
        <v>Đỗ Thị Oanh K2</v>
      </c>
      <c r="E457" s="102" t="str">
        <f>IFERROR(__xludf.DUMMYFUNCTION("""COMPUTED_VALUE"""),"""K2 là học xong 50 bài minna rồi chị nhỉ""")</f>
        <v>"K2 là học xong 50 bài minna rồi chị nhỉ"</v>
      </c>
      <c r="F457" s="12" t="str">
        <f>IFERROR(__xludf.DUMMYFUNCTION("""COMPUTED_VALUE"""),"CVHT01")</f>
        <v>CVHT01</v>
      </c>
    </row>
    <row r="458">
      <c r="A458" s="12"/>
      <c r="B458" s="241">
        <f>IFERROR(__xludf.DUMMYFUNCTION("""COMPUTED_VALUE"""),46272.0)</f>
        <v>46272</v>
      </c>
      <c r="C458" s="12" t="str">
        <f>IFERROR(__xludf.DUMMYFUNCTION("""COMPUTED_VALUE"""),"427894180 ")</f>
        <v>427894180 </v>
      </c>
      <c r="D458" s="12" t="str">
        <f>IFERROR(__xludf.DUMMYFUNCTION("""COMPUTED_VALUE"""),"Nguyễn Thị Phương")</f>
        <v>Nguyễn Thị Phương</v>
      </c>
      <c r="E458" s="102" t="str">
        <f>IFERROR(__xludf.DUMMYFUNCTION("""COMPUTED_VALUE"""),"""Ss oi khi nào học cũng đc ạk""")</f>
        <v>"Ss oi khi nào học cũng đc ạk"</v>
      </c>
      <c r="F458" s="12" t="str">
        <f>IFERROR(__xludf.DUMMYFUNCTION("""COMPUTED_VALUE"""),"CVHT01")</f>
        <v>CVHT01</v>
      </c>
    </row>
    <row r="459">
      <c r="A459" s="12"/>
      <c r="B459" s="241">
        <f>IFERROR(__xludf.DUMMYFUNCTION("""COMPUTED_VALUE"""),46272.0)</f>
        <v>46272</v>
      </c>
      <c r="C459" s="12" t="str">
        <f>IFERROR(__xludf.DUMMYFUNCTION("""COMPUTED_VALUE"""),"427897682")</f>
        <v>427897682</v>
      </c>
      <c r="D459" s="12" t="str">
        <f>IFERROR(__xludf.DUMMYFUNCTION("""COMPUTED_VALUE"""),"Cao Trần Anh Quân")</f>
        <v>Cao Trần Anh Quân</v>
      </c>
      <c r="E459" s="102" t="str">
        <f>IFERROR(__xludf.DUMMYFUNCTION("""COMPUTED_VALUE"""),"Bạn nhắn lại lịch học, c xếp gv cho bạn ạ")</f>
        <v>Bạn nhắn lại lịch học, c xếp gv cho bạn ạ</v>
      </c>
      <c r="F459" s="12" t="str">
        <f>IFERROR(__xludf.DUMMYFUNCTION("""COMPUTED_VALUE"""),"CVHT01")</f>
        <v>CVHT01</v>
      </c>
    </row>
    <row r="460">
      <c r="A460" s="12"/>
      <c r="B460" s="241">
        <f>IFERROR(__xludf.DUMMYFUNCTION("""COMPUTED_VALUE"""),46272.0)</f>
        <v>46272</v>
      </c>
      <c r="C460" s="12" t="str">
        <f>IFERROR(__xludf.DUMMYFUNCTION("""COMPUTED_VALUE"""),"GV410 ")</f>
        <v>GV410 </v>
      </c>
      <c r="D460" s="12" t="str">
        <f>IFERROR(__xludf.DUMMYFUNCTION("""COMPUTED_VALUE"""),"Nguyễn Thị Anh K3 _ JLPT N3")</f>
        <v>Nguyễn Thị Anh K3 _ JLPT N3</v>
      </c>
      <c r="E460" s="102" t="str">
        <f>IFERROR(__xludf.DUMMYFUNCTION("""COMPUTED_VALUE"""),"""@Aiko Sensei lớp này bao giờ học ạ""")</f>
        <v>"@Aiko Sensei lớp này bao giờ học ạ"</v>
      </c>
      <c r="F460" s="12" t="str">
        <f>IFERROR(__xludf.DUMMYFUNCTION("""COMPUTED_VALUE"""),"CVHT01")</f>
        <v>CVHT01</v>
      </c>
    </row>
    <row r="461">
      <c r="A461" s="12"/>
      <c r="B461" s="241">
        <f>IFERROR(__xludf.DUMMYFUNCTION("""COMPUTED_VALUE"""),46272.0)</f>
        <v>46272</v>
      </c>
      <c r="C461" s="12" t="str">
        <f>IFERROR(__xludf.DUMMYFUNCTION("""COMPUTED_VALUE"""),"427897275")</f>
        <v>427897275</v>
      </c>
      <c r="D461" s="12" t="str">
        <f>IFERROR(__xludf.DUMMYFUNCTION("""COMPUTED_VALUE"""),"Võ Thị Vi")</f>
        <v>Võ Thị Vi</v>
      </c>
      <c r="E461" s="102" t="str">
        <f>IFERROR(__xludf.DUMMYFUNCTION("""COMPUTED_VALUE"""),"""Dạ e hk vẫn chưa thấy cải thiện nhiều""""Khả năng nói phản xạ của e còn chậm""")</f>
        <v>"Dạ e hk vẫn chưa thấy cải thiện nhiều""Khả năng nói phản xạ của e còn chậm"</v>
      </c>
      <c r="F461" s="12" t="str">
        <f>IFERROR(__xludf.DUMMYFUNCTION("""COMPUTED_VALUE"""),"CVHT01")</f>
        <v>CVHT01</v>
      </c>
    </row>
    <row r="462">
      <c r="A462" s="12"/>
      <c r="B462" s="241">
        <f>IFERROR(__xludf.DUMMYFUNCTION("""COMPUTED_VALUE"""),46272.0)</f>
        <v>46272</v>
      </c>
      <c r="C462" s="12" t="str">
        <f>IFERROR(__xludf.DUMMYFUNCTION("""COMPUTED_VALUE"""),"427894180")</f>
        <v>427894180</v>
      </c>
      <c r="D462" s="12" t="str">
        <f>IFERROR(__xludf.DUMMYFUNCTION("""COMPUTED_VALUE"""),"Nguyễn Thị Phương")</f>
        <v>Nguyễn Thị Phương</v>
      </c>
      <c r="E462" s="102" t="str">
        <f>IFERROR(__xludf.DUMMYFUNCTION("""COMPUTED_VALUE"""),"Bạn học lại được rồi ạ, chị set lịch nhé.")</f>
        <v>Bạn học lại được rồi ạ, chị set lịch nhé.</v>
      </c>
      <c r="F462" s="12" t="str">
        <f>IFERROR(__xludf.DUMMYFUNCTION("""COMPUTED_VALUE"""),"CVHT01")</f>
        <v>CVHT01</v>
      </c>
    </row>
    <row r="463">
      <c r="A463" s="12"/>
      <c r="B463" s="241">
        <f>IFERROR(__xludf.DUMMYFUNCTION("""COMPUTED_VALUE"""),46273.0)</f>
        <v>46273</v>
      </c>
      <c r="C463" s="12" t="str">
        <f>IFERROR(__xludf.DUMMYFUNCTION("""COMPUTED_VALUE"""),"GV304 ")</f>
        <v>GV304 </v>
      </c>
      <c r="D463" s="12" t="str">
        <f>IFERROR(__xludf.DUMMYFUNCTION("""COMPUTED_VALUE"""),"Nguyễn Thị Thảo Nguyên K2")</f>
        <v>Nguyễn Thị Thảo Nguyên K2</v>
      </c>
      <c r="E463" s="102" t="str">
        <f>IFERROR(__xludf.DUMMYFUNCTION("""COMPUTED_VALUE"""),"""@Aiko Sensei ai xếp bạn vinh kaiwa 2 vại c nhỉ""
e nghĩ trình độ cuả bạn yếu hơn kaiwa 2 nhiều á")</f>
        <v>"@Aiko Sensei ai xếp bạn vinh kaiwa 2 vại c nhỉ"
e nghĩ trình độ cuả bạn yếu hơn kaiwa 2 nhiều á</v>
      </c>
      <c r="F463" s="12" t="str">
        <f>IFERROR(__xludf.DUMMYFUNCTION("""COMPUTED_VALUE"""),"CVHT01")</f>
        <v>CVHT01</v>
      </c>
    </row>
    <row r="464">
      <c r="A464" s="12"/>
      <c r="B464" s="241">
        <f>IFERROR(__xludf.DUMMYFUNCTION("""COMPUTED_VALUE"""),46273.0)</f>
        <v>46273</v>
      </c>
      <c r="C464" s="12" t="str">
        <f>IFERROR(__xludf.DUMMYFUNCTION("""COMPUTED_VALUE"""),"427899272")</f>
        <v>427899272</v>
      </c>
      <c r="D464" s="12" t="str">
        <f>IFERROR(__xludf.DUMMYFUNCTION("""COMPUTED_VALUE"""),"Lê Bảo Thạch")</f>
        <v>Lê Bảo Thạch</v>
      </c>
      <c r="E464" s="102" t="str">
        <f>IFERROR(__xludf.DUMMYFUNCTION("""COMPUTED_VALUE"""),"Bạn chuyển học phí ạ")</f>
        <v>Bạn chuyển học phí ạ</v>
      </c>
      <c r="F464" s="12" t="str">
        <f>IFERROR(__xludf.DUMMYFUNCTION("""COMPUTED_VALUE"""),"CVHT01")</f>
        <v>CVHT01</v>
      </c>
    </row>
    <row r="465">
      <c r="A465" s="12"/>
      <c r="B465" s="241">
        <f>IFERROR(__xludf.DUMMYFUNCTION("""COMPUTED_VALUE"""),46273.0)</f>
        <v>46273</v>
      </c>
      <c r="C465" s="12" t="str">
        <f>IFERROR(__xludf.DUMMYFUNCTION("""COMPUTED_VALUE"""),"GV348  ")</f>
        <v>GV348  </v>
      </c>
      <c r="D465" s="12" t="str">
        <f>IFERROR(__xludf.DUMMYFUNCTION("""COMPUTED_VALUE"""),"Tạ Thị Thắm K2")</f>
        <v>Tạ Thị Thắm K2</v>
      </c>
      <c r="E465" s="102" t="str">
        <f>IFERROR(__xludf.DUMMYFUNCTION("""COMPUTED_VALUE"""),"""Chị cho em caid nhóm với ông đi""
Cô muốn lập nhóm riêng với bạn Thịnh ạ")</f>
        <v>"Chị cho em caid nhóm với ông đi"
Cô muốn lập nhóm riêng với bạn Thịnh ạ</v>
      </c>
      <c r="F465" s="12" t="str">
        <f>IFERROR(__xludf.DUMMYFUNCTION("""COMPUTED_VALUE"""),"CVHT01")</f>
        <v>CVHT01</v>
      </c>
    </row>
    <row r="466">
      <c r="A466" s="12"/>
      <c r="B466" s="241">
        <f>IFERROR(__xludf.DUMMYFUNCTION("""COMPUTED_VALUE"""),46273.0)</f>
        <v>46273</v>
      </c>
      <c r="C466" s="12" t="str">
        <f>IFERROR(__xludf.DUMMYFUNCTION("""COMPUTED_VALUE"""),"GV522 ")</f>
        <v>GV522 </v>
      </c>
      <c r="D466" s="12" t="str">
        <f>IFERROR(__xludf.DUMMYFUNCTION("""COMPUTED_VALUE"""),"Đỗ Thị Oanh K2")</f>
        <v>Đỗ Thị Oanh K2</v>
      </c>
      <c r="E466" s="102" t="str">
        <f>IFERROR(__xludf.DUMMYFUNCTION("""COMPUTED_VALUE"""),"""BTVN của học viên thì xem và chấm ở đâu vậy chị nhỉ""")</f>
        <v>"BTVN của học viên thì xem và chấm ở đâu vậy chị nhỉ"</v>
      </c>
      <c r="F466" s="12" t="str">
        <f>IFERROR(__xludf.DUMMYFUNCTION("""COMPUTED_VALUE"""),"CVHT01")</f>
        <v>CVHT01</v>
      </c>
    </row>
    <row r="467">
      <c r="A467" s="12"/>
      <c r="B467" s="241">
        <f>IFERROR(__xludf.DUMMYFUNCTION("""COMPUTED_VALUE"""),46273.0)</f>
        <v>46273</v>
      </c>
      <c r="C467" s="12" t="str">
        <f>IFERROR(__xludf.DUMMYFUNCTION("""COMPUTED_VALUE"""),"GV410 ")</f>
        <v>GV410 </v>
      </c>
      <c r="D467" s="12" t="str">
        <f>IFERROR(__xludf.DUMMYFUNCTION("""COMPUTED_VALUE"""),"Nguyễn Thị Anh K3 _ JLPT N3")</f>
        <v>Nguyễn Thị Anh K3 _ JLPT N3</v>
      </c>
      <c r="E467" s="102" t="str">
        <f>IFERROR(__xludf.DUMMYFUNCTION("""COMPUTED_VALUE"""),"""Lớp của Minh đã kết thúc hôm thứ 6 , em đã làm báo cáo rồi ạ. Chị xóa lớp trên hệ thống giúp em""")</f>
        <v>"Lớp của Minh đã kết thúc hôm thứ 6 , em đã làm báo cáo rồi ạ. Chị xóa lớp trên hệ thống giúp em"</v>
      </c>
      <c r="F467" s="12" t="str">
        <f>IFERROR(__xludf.DUMMYFUNCTION("""COMPUTED_VALUE"""),"CVHT01")</f>
        <v>CVHT01</v>
      </c>
    </row>
    <row r="468">
      <c r="A468" s="12"/>
      <c r="B468" s="241">
        <f>IFERROR(__xludf.DUMMYFUNCTION("""COMPUTED_VALUE"""),46273.0)</f>
        <v>46273</v>
      </c>
      <c r="C468" s="12" t="str">
        <f>IFERROR(__xludf.DUMMYFUNCTION("""COMPUTED_VALUE"""),"10054156")</f>
        <v>10054156</v>
      </c>
      <c r="D468" s="12" t="str">
        <f>IFERROR(__xludf.DUMMYFUNCTION("""COMPUTED_VALUE"""),"Phan Văn Hoàng  JLPT N4")</f>
        <v>Phan Văn Hoàng  JLPT N4</v>
      </c>
      <c r="E468" s="102" t="str">
        <f>IFERROR(__xludf.DUMMYFUNCTION("""COMPUTED_VALUE"""),"""khi nào bắt đầu học v ss""")</f>
        <v>"khi nào bắt đầu học v ss"</v>
      </c>
      <c r="F468" s="12" t="str">
        <f>IFERROR(__xludf.DUMMYFUNCTION("""COMPUTED_VALUE"""),"CVHT01")</f>
        <v>CVHT01</v>
      </c>
    </row>
    <row r="469">
      <c r="A469" s="12"/>
      <c r="B469" s="241">
        <f>IFERROR(__xludf.DUMMYFUNCTION("""COMPUTED_VALUE"""),46273.0)</f>
        <v>46273</v>
      </c>
      <c r="C469" s="12" t="str">
        <f>IFERROR(__xludf.DUMMYFUNCTION("""COMPUTED_VALUE"""),"420290910")</f>
        <v>420290910</v>
      </c>
      <c r="D469" s="12" t="str">
        <f>IFERROR(__xludf.DUMMYFUNCTION("""COMPUTED_VALUE"""),"Phạm Nguyễn Mỹ Dung")</f>
        <v>Phạm Nguyễn Mỹ Dung</v>
      </c>
      <c r="E469" s="102" t="str">
        <f>IFERROR(__xludf.DUMMYFUNCTION("""COMPUTED_VALUE"""),"""Dạ 28/11 ạ""")</f>
        <v>"Dạ 28/11 ạ"</v>
      </c>
      <c r="F469" s="12" t="str">
        <f>IFERROR(__xludf.DUMMYFUNCTION("""COMPUTED_VALUE"""),"CVHT01")</f>
        <v>CVHT01</v>
      </c>
    </row>
    <row r="470">
      <c r="A470" s="12"/>
      <c r="B470" s="241">
        <f>IFERROR(__xludf.DUMMYFUNCTION("""COMPUTED_VALUE"""),46273.0)</f>
        <v>46273</v>
      </c>
      <c r="C470" s="12" t="str">
        <f>IFERROR(__xludf.DUMMYFUNCTION("""COMPUTED_VALUE"""),"GV522 ")</f>
        <v>GV522 </v>
      </c>
      <c r="D470" s="12" t="str">
        <f>IFERROR(__xludf.DUMMYFUNCTION("""COMPUTED_VALUE"""),"Đỗ Thị Oanh K2")</f>
        <v>Đỗ Thị Oanh K2</v>
      </c>
      <c r="E470" s="102" t="str">
        <f>IFERROR(__xludf.DUMMYFUNCTION("""COMPUTED_VALUE"""),"""chị xem lại giúp e nội dung bài K1L16 với .
Em thấy nội dung bài kaiwa nó không có nội dung cho lắm
cụ thể cái phần 兄も行きますから、一緒に行きましょう。
ý là đi đâu ấy?
rồi trong file excel hướng dẫn thì lại đặt câu hỏi: 弟さんも展覧会に行きますか？trong khi file nghe thì chẳng có c"&amp;"âu nào nhắc đến 展覧会 hết")</f>
        <v>"chị xem lại giúp e nội dung bài K1L16 với .
Em thấy nội dung bài kaiwa nó không có nội dung cho lắm
cụ thể cái phần 兄も行きますから、一緒に行きましょう。
ý là đi đâu ấy?
rồi trong file excel hướng dẫn thì lại đặt câu hỏi: 弟さんも展覧会に行きますか？trong khi file nghe thì chẳng có câu nào nhắc đến 展覧会 hết</v>
      </c>
      <c r="F470" s="12" t="str">
        <f>IFERROR(__xludf.DUMMYFUNCTION("""COMPUTED_VALUE"""),"CVHT01")</f>
        <v>CVHT01</v>
      </c>
    </row>
    <row r="471">
      <c r="A471" s="12"/>
      <c r="B471" s="241">
        <f>IFERROR(__xludf.DUMMYFUNCTION("""COMPUTED_VALUE"""),46274.0)</f>
        <v>46274</v>
      </c>
      <c r="C471" s="12" t="str">
        <f>IFERROR(__xludf.DUMMYFUNCTION("""COMPUTED_VALUE"""),"GV382")</f>
        <v>GV382</v>
      </c>
      <c r="D471" s="12" t="str">
        <f>IFERROR(__xludf.DUMMYFUNCTION("""COMPUTED_VALUE""")," Tạ Thị Hiền")</f>
        <v> Tạ Thị Hiền</v>
      </c>
      <c r="E471" s="102" t="str">
        <f>IFERROR(__xludf.DUMMYFUNCTION("""COMPUTED_VALUE"""),"GV nhờ check lại lịch dạy và muốn nhận lớp mới")</f>
        <v>GV nhờ check lại lịch dạy và muốn nhận lớp mới</v>
      </c>
      <c r="F471" s="12" t="str">
        <f>IFERROR(__xludf.DUMMYFUNCTION("""COMPUTED_VALUE"""),"CVHT01")</f>
        <v>CVHT01</v>
      </c>
    </row>
    <row r="472">
      <c r="A472" s="12"/>
      <c r="B472" s="241">
        <f>IFERROR(__xludf.DUMMYFUNCTION("""COMPUTED_VALUE"""),46274.0)</f>
        <v>46274</v>
      </c>
      <c r="C472" s="12" t="str">
        <f>IFERROR(__xludf.DUMMYFUNCTION("""COMPUTED_VALUE"""),"GV513")</f>
        <v>GV513</v>
      </c>
      <c r="D472" s="12" t="str">
        <f>IFERROR(__xludf.DUMMYFUNCTION("""COMPUTED_VALUE"""),"Nguyễn Thị Phương Linh")</f>
        <v>Nguyễn Thị Phương Linh</v>
      </c>
      <c r="E472" s="102" t="str">
        <f>IFERROR(__xludf.DUMMYFUNCTION("""COMPUTED_VALUE"""),"GV hỏi về lịch học bù")</f>
        <v>GV hỏi về lịch học bù</v>
      </c>
      <c r="F472" s="12" t="str">
        <f>IFERROR(__xludf.DUMMYFUNCTION("""COMPUTED_VALUE"""),"CVHT01")</f>
        <v>CVHT01</v>
      </c>
    </row>
    <row r="473">
      <c r="A473" s="12"/>
      <c r="B473" s="241">
        <f>IFERROR(__xludf.DUMMYFUNCTION("""COMPUTED_VALUE"""),46304.0)</f>
        <v>46304</v>
      </c>
      <c r="C473" s="12" t="str">
        <f>IFERROR(__xludf.DUMMYFUNCTION("""COMPUTED_VALUE"""),"GV522")</f>
        <v>GV522</v>
      </c>
      <c r="D473" s="12" t="str">
        <f>IFERROR(__xludf.DUMMYFUNCTION("""COMPUTED_VALUE"""),"Đỗ Thị Oanh K2")</f>
        <v>Đỗ Thị Oanh K2</v>
      </c>
      <c r="E473" s="102" t="str">
        <f>IFERROR(__xludf.DUMMYFUNCTION("""COMPUTED_VALUE"""),"GV báo HV Vy mạng rất kém")</f>
        <v>GV báo HV Vy mạng rất kém</v>
      </c>
      <c r="F473" s="12" t="str">
        <f>IFERROR(__xludf.DUMMYFUNCTION("""COMPUTED_VALUE"""),"CVHT01")</f>
        <v>CVHT01</v>
      </c>
    </row>
    <row r="474">
      <c r="A474" s="12"/>
      <c r="B474" s="241">
        <f>IFERROR(__xludf.DUMMYFUNCTION("""COMPUTED_VALUE"""),46304.0)</f>
        <v>46304</v>
      </c>
      <c r="C474" s="12" t="str">
        <f>IFERROR(__xludf.DUMMYFUNCTION("""COMPUTED_VALUE"""),"GV471")</f>
        <v>GV471</v>
      </c>
      <c r="D474" s="12" t="str">
        <f>IFERROR(__xludf.DUMMYFUNCTION("""COMPUTED_VALUE"""),"Nguyễn Huyền Trang")</f>
        <v>Nguyễn Huyền Trang</v>
      </c>
      <c r="E474" s="102" t="str">
        <f>IFERROR(__xludf.DUMMYFUNCTION("""COMPUTED_VALUE"""),"GV nhờ check lại số buổi còn lại của Nam")</f>
        <v>GV nhờ check lại số buổi còn lại của Nam</v>
      </c>
      <c r="F474" s="12" t="str">
        <f>IFERROR(__xludf.DUMMYFUNCTION("""COMPUTED_VALUE"""),"CVHT01")</f>
        <v>CVHT01</v>
      </c>
    </row>
    <row r="475">
      <c r="A475" s="12"/>
      <c r="B475" s="241">
        <f>IFERROR(__xludf.DUMMYFUNCTION("""COMPUTED_VALUE"""),46304.0)</f>
        <v>46304</v>
      </c>
      <c r="C475" s="12" t="str">
        <f>IFERROR(__xludf.DUMMYFUNCTION("""COMPUTED_VALUE"""),"427900799")</f>
        <v>427900799</v>
      </c>
      <c r="D475" s="12" t="str">
        <f>IFERROR(__xludf.DUMMYFUNCTION("""COMPUTED_VALUE"""),"Nguyễn Xuân Huy")</f>
        <v>Nguyễn Xuân Huy</v>
      </c>
      <c r="E475" s="102" t="str">
        <f>IFERROR(__xludf.DUMMYFUNCTION("""COMPUTED_VALUE"""),"HV xin record")</f>
        <v>HV xin record</v>
      </c>
      <c r="F475" s="12" t="str">
        <f>IFERROR(__xludf.DUMMYFUNCTION("""COMPUTED_VALUE"""),"CVHT01")</f>
        <v>CVHT01</v>
      </c>
    </row>
    <row r="476">
      <c r="A476" s="12"/>
      <c r="B476" s="241">
        <f>IFERROR(__xludf.DUMMYFUNCTION("""COMPUTED_VALUE"""),46304.0)</f>
        <v>46304</v>
      </c>
      <c r="C476" s="12" t="str">
        <f>IFERROR(__xludf.DUMMYFUNCTION("""COMPUTED_VALUE"""),"10054053")</f>
        <v>10054053</v>
      </c>
      <c r="D476" s="12" t="str">
        <f>IFERROR(__xludf.DUMMYFUNCTION("""COMPUTED_VALUE"""),"Lê Sỹ Thành")</f>
        <v>Lê Sỹ Thành</v>
      </c>
      <c r="E476" s="102" t="str">
        <f>IFERROR(__xludf.DUMMYFUNCTION("""COMPUTED_VALUE"""),"HV báo chưa thấy video youtube 7/9")</f>
        <v>HV báo chưa thấy video youtube 7/9</v>
      </c>
      <c r="F476" s="12" t="str">
        <f>IFERROR(__xludf.DUMMYFUNCTION("""COMPUTED_VALUE"""),"CVHT01")</f>
        <v>CVHT01</v>
      </c>
    </row>
    <row r="477">
      <c r="A477" s="12"/>
      <c r="B477" s="241">
        <f>IFERROR(__xludf.DUMMYFUNCTION("""COMPUTED_VALUE"""),46304.0)</f>
        <v>46304</v>
      </c>
      <c r="C477" s="12" t="str">
        <f>IFERROR(__xludf.DUMMYFUNCTION("""COMPUTED_VALUE"""),"420282841")</f>
        <v>420282841</v>
      </c>
      <c r="D477" s="12" t="str">
        <f>IFERROR(__xludf.DUMMYFUNCTION("""COMPUTED_VALUE"""),"Dương Thị Thủy")</f>
        <v>Dương Thị Thủy</v>
      </c>
      <c r="E477" s="102" t="str">
        <f>IFERROR(__xludf.DUMMYFUNCTION("""COMPUTED_VALUE"""),"HV báo giờ học")</f>
        <v>HV báo giờ học</v>
      </c>
      <c r="F477" s="12" t="str">
        <f>IFERROR(__xludf.DUMMYFUNCTION("""COMPUTED_VALUE"""),"CVHT01")</f>
        <v>CVHT01</v>
      </c>
    </row>
    <row r="478">
      <c r="A478" s="12"/>
      <c r="B478" s="241">
        <f>IFERROR(__xludf.DUMMYFUNCTION("""COMPUTED_VALUE"""),46304.0)</f>
        <v>46304</v>
      </c>
      <c r="C478" s="12" t="str">
        <f>IFERROR(__xludf.DUMMYFUNCTION("""COMPUTED_VALUE"""),"GV171")</f>
        <v>GV171</v>
      </c>
      <c r="D478" s="12" t="str">
        <f>IFERROR(__xludf.DUMMYFUNCTION("""COMPUTED_VALUE"""),"Midorikawa Chiaki")</f>
        <v>Midorikawa Chiaki</v>
      </c>
      <c r="E478" s="102" t="str">
        <f>IFERROR(__xludf.DUMMYFUNCTION("""COMPUTED_VALUE"""),"GV báo không nhận được lớp")</f>
        <v>GV báo không nhận được lớp</v>
      </c>
      <c r="F478" s="12" t="str">
        <f>IFERROR(__xludf.DUMMYFUNCTION("""COMPUTED_VALUE"""),"CVHT01")</f>
        <v>CVHT01</v>
      </c>
    </row>
    <row r="479">
      <c r="A479" s="12"/>
      <c r="B479" s="241">
        <f>IFERROR(__xludf.DUMMYFUNCTION("""COMPUTED_VALUE"""),46276.0)</f>
        <v>46276</v>
      </c>
      <c r="C479" s="12" t="str">
        <f>IFERROR(__xludf.DUMMYFUNCTION("""COMPUTED_VALUE"""),"427894936")</f>
        <v>427894936</v>
      </c>
      <c r="D479" s="12" t="str">
        <f>IFERROR(__xludf.DUMMYFUNCTION("""COMPUTED_VALUE"""),"Lê Thị Mỹ Duyên")</f>
        <v>Lê Thị Mỹ Duyên</v>
      </c>
      <c r="E479" s="102" t="str">
        <f>IFERROR(__xludf.DUMMYFUNCTION("""COMPUTED_VALUE"""),"""E thấy vẫn vậy""")</f>
        <v>"E thấy vẫn vậy"</v>
      </c>
      <c r="F479" s="12" t="str">
        <f>IFERROR(__xludf.DUMMYFUNCTION("""COMPUTED_VALUE"""),"CVHT01")</f>
        <v>CVHT01</v>
      </c>
    </row>
    <row r="480">
      <c r="A480" s="12"/>
      <c r="B480" s="241">
        <f>IFERROR(__xludf.DUMMYFUNCTION("""COMPUTED_VALUE"""),46276.0)</f>
        <v>46276</v>
      </c>
      <c r="C480" s="12" t="str">
        <f>IFERROR(__xludf.DUMMYFUNCTION("""COMPUTED_VALUE"""),"427895423")</f>
        <v>427895423</v>
      </c>
      <c r="D480" s="12" t="str">
        <f>IFERROR(__xludf.DUMMYFUNCTION("""COMPUTED_VALUE"""),"Hoàng Hoa Phượng")</f>
        <v>Hoàng Hoa Phượng</v>
      </c>
      <c r="E480" s="102" t="str">
        <f>IFERROR(__xludf.DUMMYFUNCTION("""COMPUTED_VALUE"""),"""vâng. e hiểu ạ. mà hiện tại e chưa xắp xếp được công việc nên chưa nhắn lại sa""")</f>
        <v>"vâng. e hiểu ạ. mà hiện tại e chưa xắp xếp được công việc nên chưa nhắn lại sa"</v>
      </c>
      <c r="F480" s="12" t="str">
        <f>IFERROR(__xludf.DUMMYFUNCTION("""COMPUTED_VALUE"""),"CVHT01")</f>
        <v>CVHT01</v>
      </c>
    </row>
    <row r="481">
      <c r="A481" s="12"/>
      <c r="B481" s="241">
        <f>IFERROR(__xludf.DUMMYFUNCTION("""COMPUTED_VALUE"""),46276.0)</f>
        <v>46276</v>
      </c>
      <c r="C481" s="12" t="str">
        <f>IFERROR(__xludf.DUMMYFUNCTION("""COMPUTED_VALUE"""),"427898796")</f>
        <v>427898796</v>
      </c>
      <c r="D481" s="12" t="str">
        <f>IFERROR(__xludf.DUMMYFUNCTION("""COMPUTED_VALUE"""),"Nguyễn Thị Anh Phương")</f>
        <v>Nguyễn Thị Anh Phương</v>
      </c>
      <c r="E481" s="102" t="str">
        <f>IFERROR(__xludf.DUMMYFUNCTION("""COMPUTED_VALUE"""),"""E thi n1 ạ""")</f>
        <v>"E thi n1 ạ"</v>
      </c>
      <c r="F481" s="12" t="str">
        <f>IFERROR(__xludf.DUMMYFUNCTION("""COMPUTED_VALUE"""),"CVHT01")</f>
        <v>CVHT01</v>
      </c>
    </row>
    <row r="482">
      <c r="A482" s="12"/>
      <c r="B482" s="241">
        <f>IFERROR(__xludf.DUMMYFUNCTION("""COMPUTED_VALUE"""),46276.0)</f>
        <v>46276</v>
      </c>
      <c r="C482" s="12" t="str">
        <f>IFERROR(__xludf.DUMMYFUNCTION("""COMPUTED_VALUE"""),"GV396 ")</f>
        <v>GV396 </v>
      </c>
      <c r="D482" s="12" t="str">
        <f>IFERROR(__xludf.DUMMYFUNCTION("""COMPUTED_VALUE""")," Trần Nguyệt Quyên K3")</f>
        <v> Trần Nguyệt Quyên K3</v>
      </c>
      <c r="E482" s="102" t="str">
        <f>IFERROR(__xludf.DUMMYFUNCTION("""COMPUTED_VALUE"""),"""Chị ơi, tuần này bạn Lê Xuân Trường test xong K2 rồi ạ, chị mở K3 cho bạn giúp e với ạ""")</f>
        <v>"Chị ơi, tuần này bạn Lê Xuân Trường test xong K2 rồi ạ, chị mở K3 cho bạn giúp e với ạ"</v>
      </c>
      <c r="F482" s="12" t="str">
        <f>IFERROR(__xludf.DUMMYFUNCTION("""COMPUTED_VALUE"""),"CVHT01")</f>
        <v>CVHT01</v>
      </c>
    </row>
    <row r="483">
      <c r="A483" s="12"/>
      <c r="B483" s="241">
        <f>IFERROR(__xludf.DUMMYFUNCTION("""COMPUTED_VALUE"""),46276.0)</f>
        <v>46276</v>
      </c>
      <c r="C483" s="12" t="str">
        <f>IFERROR(__xludf.DUMMYFUNCTION("""COMPUTED_VALUE"""),"GV507 ")</f>
        <v>GV507 </v>
      </c>
      <c r="D483" s="12" t="str">
        <f>IFERROR(__xludf.DUMMYFUNCTION("""COMPUTED_VALUE"""),"Nguyễn Thị Hoài K2")</f>
        <v>Nguyễn Thị Hoài K2</v>
      </c>
      <c r="E483" s="102" t="str">
        <f>IFERROR(__xludf.DUMMYFUNCTION("""COMPUTED_VALUE"""),"""@Phòng Đào Tạo Edura Gv Chuyên Môn Hôm trước Kiên bảo là buổi cuối mà em thấy trên lịch bạn còn 6b, cho em xin xác nhận lại với ạ""")</f>
        <v>"@Phòng Đào Tạo Edura Gv Chuyên Môn Hôm trước Kiên bảo là buổi cuối mà em thấy trên lịch bạn còn 6b, cho em xin xác nhận lại với ạ"</v>
      </c>
      <c r="F483" s="12" t="str">
        <f>IFERROR(__xludf.DUMMYFUNCTION("""COMPUTED_VALUE"""),"CVHT01")</f>
        <v>CVHT01</v>
      </c>
    </row>
    <row r="484">
      <c r="A484" s="12"/>
      <c r="B484" s="241">
        <f>IFERROR(__xludf.DUMMYFUNCTION("""COMPUTED_VALUE"""),46276.0)</f>
        <v>46276</v>
      </c>
      <c r="C484" s="12" t="str">
        <f>IFERROR(__xludf.DUMMYFUNCTION("""COMPUTED_VALUE"""),"GV471 ")</f>
        <v>GV471 </v>
      </c>
      <c r="D484" s="12" t="str">
        <f>IFERROR(__xludf.DUMMYFUNCTION("""COMPUTED_VALUE"""),"Nguyễn Huyền Trang K2")</f>
        <v>Nguyễn Huyền Trang K2</v>
      </c>
      <c r="E484" s="102" t="str">
        <f>IFERROR(__xludf.DUMMYFUNCTION("""COMPUTED_VALUE"""),"""Bạn chuẩn bị rồi nhưng không kĩ á chị, bạn bị chậm phần ví dụ, với nói vấp khá nhiều, buổi đầu phải sửa hơi nhiều nên chậm chút ạ""")</f>
        <v>"Bạn chuẩn bị rồi nhưng không kĩ á chị, bạn bị chậm phần ví dụ, với nói vấp khá nhiều, buổi đầu phải sửa hơi nhiều nên chậm chút ạ"</v>
      </c>
      <c r="F484" s="12" t="str">
        <f>IFERROR(__xludf.DUMMYFUNCTION("""COMPUTED_VALUE"""),"CVHT01")</f>
        <v>CVHT01</v>
      </c>
    </row>
    <row r="485">
      <c r="A485" s="12"/>
      <c r="B485" s="241">
        <f>IFERROR(__xludf.DUMMYFUNCTION("""COMPUTED_VALUE"""),46276.0)</f>
        <v>46276</v>
      </c>
      <c r="C485" s="12" t="str">
        <f>IFERROR(__xludf.DUMMYFUNCTION("""COMPUTED_VALUE"""),"427899741")</f>
        <v>427899741</v>
      </c>
      <c r="D485" s="12" t="str">
        <f>IFERROR(__xludf.DUMMYFUNCTION("""COMPUTED_VALUE"""),"Phan Thị Kiều Oanh")</f>
        <v>Phan Thị Kiều Oanh</v>
      </c>
      <c r="E485" s="102" t="str">
        <f>IFERROR(__xludf.DUMMYFUNCTION("""COMPUTED_VALUE"""),"""Dạ, e vẫn chưa bắt đc nhịp bài học nữa ss""")</f>
        <v>"Dạ, e vẫn chưa bắt đc nhịp bài học nữa ss"</v>
      </c>
      <c r="F485" s="12" t="str">
        <f>IFERROR(__xludf.DUMMYFUNCTION("""COMPUTED_VALUE"""),"CVHT01")</f>
        <v>CVHT01</v>
      </c>
    </row>
    <row r="486">
      <c r="A486" s="12"/>
      <c r="B486" s="241">
        <f>IFERROR(__xludf.DUMMYFUNCTION("""COMPUTED_VALUE"""),46276.0)</f>
        <v>46276</v>
      </c>
      <c r="C486" s="12" t="str">
        <f>IFERROR(__xludf.DUMMYFUNCTION("""COMPUTED_VALUE"""),"420282841")</f>
        <v>420282841</v>
      </c>
      <c r="D486" s="12" t="str">
        <f>IFERROR(__xludf.DUMMYFUNCTION("""COMPUTED_VALUE"""),"Dương Thị Thủy")</f>
        <v>Dương Thị Thủy</v>
      </c>
      <c r="E486" s="102" t="str">
        <f>IFERROR(__xludf.DUMMYFUNCTION("""COMPUTED_VALUE"""),"Bạn nhắn lại lịch học ạ
C xếp gv cho bạn ạ")</f>
        <v>Bạn nhắn lại lịch học ạ
C xếp gv cho bạn ạ</v>
      </c>
      <c r="F486" s="12" t="str">
        <f>IFERROR(__xludf.DUMMYFUNCTION("""COMPUTED_VALUE"""),"CVHT01")</f>
        <v>CVHT01</v>
      </c>
    </row>
    <row r="487">
      <c r="A487" s="12"/>
      <c r="B487" s="241">
        <f>IFERROR(__xludf.DUMMYFUNCTION("""COMPUTED_VALUE"""),46276.0)</f>
        <v>46276</v>
      </c>
      <c r="C487" s="12" t="str">
        <f>IFERROR(__xludf.DUMMYFUNCTION("""COMPUTED_VALUE"""),"GV496 ")</f>
        <v>GV496 </v>
      </c>
      <c r="D487" s="12" t="str">
        <f>IFERROR(__xludf.DUMMYFUNCTION("""COMPUTED_VALUE"""),"Võ Thị Thanh Lam K2")</f>
        <v>Võ Thị Thanh Lam K2</v>
      </c>
      <c r="E487" s="102" t="str">
        <f>IFERROR(__xludf.DUMMYFUNCTION("""COMPUTED_VALUE"""),"""@Chika Sensei thế c cho e nhận ca này a""")</f>
        <v>"@Chika Sensei thế c cho e nhận ca này a"</v>
      </c>
      <c r="F487" s="12" t="str">
        <f>IFERROR(__xludf.DUMMYFUNCTION("""COMPUTED_VALUE"""),"CVHT01")</f>
        <v>CVHT01</v>
      </c>
    </row>
    <row r="488">
      <c r="A488" s="12"/>
      <c r="B488" s="241">
        <f>IFERROR(__xludf.DUMMYFUNCTION("""COMPUTED_VALUE"""),46276.0)</f>
        <v>46276</v>
      </c>
      <c r="C488" s="12" t="str">
        <f>IFERROR(__xludf.DUMMYFUNCTION("""COMPUTED_VALUE"""),"GV394 ")</f>
        <v>GV394 </v>
      </c>
      <c r="D488" s="12" t="str">
        <f>IFERROR(__xludf.DUMMYFUNCTION("""COMPUTED_VALUE"""),"Nguyễn Thị Diễm My K3")</f>
        <v>Nguyễn Thị Diễm My K3</v>
      </c>
      <c r="E488" s="102" t="str">
        <f>IFERROR(__xludf.DUMMYFUNCTION("""COMPUTED_VALUE"""),"""À chị ơi, nhờ chị gửi giáo trình K2 cho bạn Anh ạ""
Chị mở khóa K2 cho bạn 427899057 - Văn Tuấn Anh nhé c")</f>
        <v>"À chị ơi, nhờ chị gửi giáo trình K2 cho bạn Anh ạ"
Chị mở khóa K2 cho bạn 427899057 - Văn Tuấn Anh nhé c</v>
      </c>
      <c r="F488" s="12" t="str">
        <f>IFERROR(__xludf.DUMMYFUNCTION("""COMPUTED_VALUE"""),"CVHT01")</f>
        <v>CVHT01</v>
      </c>
    </row>
    <row r="489">
      <c r="A489" s="12"/>
      <c r="B489" s="241">
        <f>IFERROR(__xludf.DUMMYFUNCTION("""COMPUTED_VALUE"""),46277.0)</f>
        <v>46277</v>
      </c>
      <c r="C489" s="12" t="str">
        <f>IFERROR(__xludf.DUMMYFUNCTION("""COMPUTED_VALUE"""),"GV382")</f>
        <v>GV382</v>
      </c>
      <c r="D489" s="12" t="str">
        <f>IFERROR(__xludf.DUMMYFUNCTION("""COMPUTED_VALUE"""),"Tạ Thị Hiền ")</f>
        <v>Tạ Thị Hiền </v>
      </c>
      <c r="E489" s="102" t="str">
        <f>IFERROR(__xludf.DUMMYFUNCTION("""COMPUTED_VALUE"""),"GV báo chấm buổi của HV Như")</f>
        <v>GV báo chấm buổi của HV Như</v>
      </c>
      <c r="F489" s="12" t="str">
        <f>IFERROR(__xludf.DUMMYFUNCTION("""COMPUTED_VALUE"""),"CVHT01")</f>
        <v>CVHT01</v>
      </c>
    </row>
    <row r="490">
      <c r="A490" s="12"/>
      <c r="B490" s="241">
        <f>IFERROR(__xludf.DUMMYFUNCTION("""COMPUTED_VALUE"""),46277.0)</f>
        <v>46277</v>
      </c>
      <c r="C490" s="12" t="str">
        <f>IFERROR(__xludf.DUMMYFUNCTION("""COMPUTED_VALUE"""),"GV331")</f>
        <v>GV331</v>
      </c>
      <c r="D490" s="12" t="str">
        <f>IFERROR(__xludf.DUMMYFUNCTION("""COMPUTED_VALUE""")," Lê Thị La Vang ")</f>
        <v> Lê Thị La Vang </v>
      </c>
      <c r="E490" s="102" t="str">
        <f>IFERROR(__xludf.DUMMYFUNCTION("""COMPUTED_VALUE"""),"GV fb về lớp N4")</f>
        <v>GV fb về lớp N4</v>
      </c>
      <c r="F490" s="12" t="str">
        <f>IFERROR(__xludf.DUMMYFUNCTION("""COMPUTED_VALUE"""),"CVHT01")</f>
        <v>CVHT01</v>
      </c>
    </row>
    <row r="491">
      <c r="A491" s="12"/>
      <c r="B491" s="241">
        <f>IFERROR(__xludf.DUMMYFUNCTION("""COMPUTED_VALUE"""),46277.0)</f>
        <v>46277</v>
      </c>
      <c r="C491" s="12" t="str">
        <f>IFERROR(__xludf.DUMMYFUNCTION("""COMPUTED_VALUE"""),"10056439")</f>
        <v>10056439</v>
      </c>
      <c r="D491" s="12" t="str">
        <f>IFERROR(__xludf.DUMMYFUNCTION("""COMPUTED_VALUE"""),"Lê Thị Kim Xuân")</f>
        <v>Lê Thị Kim Xuân</v>
      </c>
      <c r="E491" s="102" t="str">
        <f>IFERROR(__xludf.DUMMYFUNCTION("""COMPUTED_VALUE"""),"HV báo giờ học muốn học")</f>
        <v>HV báo giờ học muốn học</v>
      </c>
      <c r="F491" s="12" t="str">
        <f>IFERROR(__xludf.DUMMYFUNCTION("""COMPUTED_VALUE"""),"CVHT01")</f>
        <v>CVHT01</v>
      </c>
    </row>
    <row r="492">
      <c r="A492" s="12"/>
      <c r="B492" s="241">
        <f>IFERROR(__xludf.DUMMYFUNCTION("""COMPUTED_VALUE"""),46277.0)</f>
        <v>46277</v>
      </c>
      <c r="C492" s="12" t="str">
        <f>IFERROR(__xludf.DUMMYFUNCTION("""COMPUTED_VALUE"""),"10055045")</f>
        <v>10055045</v>
      </c>
      <c r="D492" s="12" t="str">
        <f>IFERROR(__xludf.DUMMYFUNCTION("""COMPUTED_VALUE"""),"Mai Văn Hải ")</f>
        <v>Mai Văn Hải </v>
      </c>
      <c r="E492" s="102" t="str">
        <f>IFERROR(__xludf.DUMMYFUNCTION("""COMPUTED_VALUE"""),"Bài tập này 2.0 câu như xuất hiện có 16 thôi . Nó bị lỗi sao đó ss")</f>
        <v>Bài tập này 2.0 câu như xuất hiện có 16 thôi . Nó bị lỗi sao đó ss</v>
      </c>
      <c r="F492" s="12" t="str">
        <f>IFERROR(__xludf.DUMMYFUNCTION("""COMPUTED_VALUE"""),"CVHT01")</f>
        <v>CVHT01</v>
      </c>
    </row>
    <row r="493">
      <c r="A493" s="12"/>
      <c r="B493" s="241">
        <f>IFERROR(__xludf.DUMMYFUNCTION("""COMPUTED_VALUE"""),46277.0)</f>
        <v>46277</v>
      </c>
      <c r="C493" s="12" t="str">
        <f>IFERROR(__xludf.DUMMYFUNCTION("""COMPUTED_VALUE"""),"10056755")</f>
        <v>10056755</v>
      </c>
      <c r="D493" s="12" t="str">
        <f>IFERROR(__xludf.DUMMYFUNCTION("""COMPUTED_VALUE"""),"Hoàng Minh Bình ")</f>
        <v>Hoàng Minh Bình </v>
      </c>
      <c r="E493" s="102" t="str">
        <f>IFERROR(__xludf.DUMMYFUNCTION("""COMPUTED_VALUE"""),"Hôm bữa em học mic cứ bị vọng với lỗi ạ")</f>
        <v>Hôm bữa em học mic cứ bị vọng với lỗi ạ</v>
      </c>
      <c r="F493" s="12" t="str">
        <f>IFERROR(__xludf.DUMMYFUNCTION("""COMPUTED_VALUE"""),"CVHT01")</f>
        <v>CVHT01</v>
      </c>
    </row>
    <row r="494">
      <c r="A494" s="12"/>
      <c r="B494" s="241">
        <f>IFERROR(__xludf.DUMMYFUNCTION("""COMPUTED_VALUE"""),46279.0)</f>
        <v>46279</v>
      </c>
      <c r="C494" s="12" t="str">
        <f>IFERROR(__xludf.DUMMYFUNCTION("""COMPUTED_VALUE"""),"GV439")</f>
        <v>GV439</v>
      </c>
      <c r="D494" s="12" t="str">
        <f>IFERROR(__xludf.DUMMYFUNCTION("""COMPUTED_VALUE""")," Phạm Thị Trang ")</f>
        <v> Phạm Thị Trang </v>
      </c>
      <c r="E494" s="102" t="str">
        <f>IFERROR(__xludf.DUMMYFUNCTION("""COMPUTED_VALUE"""),"GV báo HV Diệu còn 1b, muốn nhận thêm lớp")</f>
        <v>GV báo HV Diệu còn 1b, muốn nhận thêm lớp</v>
      </c>
      <c r="F494" s="12" t="str">
        <f>IFERROR(__xludf.DUMMYFUNCTION("""COMPUTED_VALUE"""),"CVHT01")</f>
        <v>CVHT01</v>
      </c>
    </row>
    <row r="495">
      <c r="A495" s="12"/>
      <c r="B495" s="241">
        <f>IFERROR(__xludf.DUMMYFUNCTION("""COMPUTED_VALUE"""),46279.0)</f>
        <v>46279</v>
      </c>
      <c r="C495" s="12" t="str">
        <f>IFERROR(__xludf.DUMMYFUNCTION("""COMPUTED_VALUE"""),"GV522")</f>
        <v>GV522</v>
      </c>
      <c r="D495" s="12" t="str">
        <f>IFERROR(__xludf.DUMMYFUNCTION("""COMPUTED_VALUE"""),"Đỗ Thị Oanh ")</f>
        <v>Đỗ Thị Oanh </v>
      </c>
      <c r="E495" s="102" t="str">
        <f>IFERROR(__xludf.DUMMYFUNCTION("""COMPUTED_VALUE"""),"GV báo HV Vy, Hương không làm BTVN ")</f>
        <v>GV báo HV Vy, Hương không làm BTVN </v>
      </c>
      <c r="F495" s="12" t="str">
        <f>IFERROR(__xludf.DUMMYFUNCTION("""COMPUTED_VALUE"""),"CVHT01")</f>
        <v>CVHT01</v>
      </c>
    </row>
    <row r="496">
      <c r="A496" s="12"/>
      <c r="B496" s="241">
        <f>IFERROR(__xludf.DUMMYFUNCTION("""COMPUTED_VALUE"""),46279.0)</f>
        <v>46279</v>
      </c>
      <c r="C496" s="12" t="str">
        <f>IFERROR(__xludf.DUMMYFUNCTION("""COMPUTED_VALUE"""),"427900083")</f>
        <v>427900083</v>
      </c>
      <c r="D496" s="12" t="str">
        <f>IFERROR(__xludf.DUMMYFUNCTION("""COMPUTED_VALUE"""),"Đỗ Thị Vân Anh")</f>
        <v>Đỗ Thị Vân Anh</v>
      </c>
      <c r="E496" s="102" t="str">
        <f>IFERROR(__xludf.DUMMYFUNCTION("""COMPUTED_VALUE"""),"PH HV xin đánh giá")</f>
        <v>PH HV xin đánh giá</v>
      </c>
      <c r="F496" s="12" t="str">
        <f>IFERROR(__xludf.DUMMYFUNCTION("""COMPUTED_VALUE"""),"CVHT01")</f>
        <v>CVHT01</v>
      </c>
    </row>
    <row r="497">
      <c r="A497" s="12"/>
      <c r="B497" s="241">
        <f>IFERROR(__xludf.DUMMYFUNCTION("""COMPUTED_VALUE"""),46279.0)</f>
        <v>46279</v>
      </c>
      <c r="C497" s="12" t="str">
        <f>IFERROR(__xludf.DUMMYFUNCTION("""COMPUTED_VALUE"""),"427899475")</f>
        <v>427899475</v>
      </c>
      <c r="D497" s="12" t="str">
        <f>IFERROR(__xludf.DUMMYFUNCTION("""COMPUTED_VALUE"""),"Mai Phương")</f>
        <v>Mai Phương</v>
      </c>
      <c r="E497" s="102" t="str">
        <f>IFERROR(__xludf.DUMMYFUNCTION("""COMPUTED_VALUE"""),"HV báo không nghe được")</f>
        <v>HV báo không nghe được</v>
      </c>
      <c r="F497" s="12" t="str">
        <f>IFERROR(__xludf.DUMMYFUNCTION("""COMPUTED_VALUE"""),"CVHT01")</f>
        <v>CVHT01</v>
      </c>
    </row>
    <row r="498">
      <c r="A498" s="12"/>
      <c r="B498" s="241">
        <f>IFERROR(__xludf.DUMMYFUNCTION("""COMPUTED_VALUE"""),46279.0)</f>
        <v>46279</v>
      </c>
      <c r="C498" s="12" t="str">
        <f>IFERROR(__xludf.DUMMYFUNCTION("""COMPUTED_VALUE"""),"427897525")</f>
        <v>427897525</v>
      </c>
      <c r="D498" s="12" t="str">
        <f>IFERROR(__xludf.DUMMYFUNCTION("""COMPUTED_VALUE"""),"Đặng Thị Thu Vân")</f>
        <v>Đặng Thị Thu Vân</v>
      </c>
      <c r="E498" s="102" t="str">
        <f>IFERROR(__xludf.DUMMYFUNCTION("""COMPUTED_VALUE"""),"HV nhờ xóa BTVN ")</f>
        <v>HV nhờ xóa BTVN </v>
      </c>
      <c r="F498" s="12" t="str">
        <f>IFERROR(__xludf.DUMMYFUNCTION("""COMPUTED_VALUE"""),"CVHT01")</f>
        <v>CVHT01</v>
      </c>
    </row>
    <row r="499">
      <c r="A499" s="12"/>
      <c r="B499" s="241">
        <f>IFERROR(__xludf.DUMMYFUNCTION("""COMPUTED_VALUE"""),46279.0)</f>
        <v>46279</v>
      </c>
      <c r="C499" s="12" t="str">
        <f>IFERROR(__xludf.DUMMYFUNCTION("""COMPUTED_VALUE"""),"427900324")</f>
        <v>427900324</v>
      </c>
      <c r="D499" s="12" t="str">
        <f>IFERROR(__xludf.DUMMYFUNCTION("""COMPUTED_VALUE"""),"Nguyễn Yến Nhi")</f>
        <v>Nguyễn Yến Nhi</v>
      </c>
      <c r="E499" s="102" t="str">
        <f>IFERROR(__xludf.DUMMYFUNCTION("""COMPUTED_VALUE"""),"HV muốn lùi giờ học")</f>
        <v>HV muốn lùi giờ học</v>
      </c>
      <c r="F499" s="12" t="str">
        <f>IFERROR(__xludf.DUMMYFUNCTION("""COMPUTED_VALUE"""),"CVHT01")</f>
        <v>CVHT01</v>
      </c>
    </row>
    <row r="500">
      <c r="A500" s="12"/>
      <c r="B500" s="241">
        <f>IFERROR(__xludf.DUMMYFUNCTION("""COMPUTED_VALUE"""),46280.0)</f>
        <v>46280</v>
      </c>
      <c r="C500" s="12" t="str">
        <f>IFERROR(__xludf.DUMMYFUNCTION("""COMPUTED_VALUE"""),"GV439 ")</f>
        <v>GV439 </v>
      </c>
      <c r="D500" s="12" t="str">
        <f>IFERROR(__xludf.DUMMYFUNCTION("""COMPUTED_VALUE"""),"Phạm Thị Trang K2")</f>
        <v>Phạm Thị Trang K2</v>
      </c>
      <c r="E500" s="102" t="str">
        <f>IFERROR(__xludf.DUMMYFUNCTION("""COMPUTED_VALUE"""),"""@Chika Sensei 
18h 23456
cả ngày th7,cn ạ""")</f>
        <v>"@Chika Sensei 
18h 23456
cả ngày th7,cn ạ"</v>
      </c>
      <c r="F500" s="12" t="str">
        <f>IFERROR(__xludf.DUMMYFUNCTION("""COMPUTED_VALUE"""),"CVHT01")</f>
        <v>CVHT01</v>
      </c>
    </row>
    <row r="501">
      <c r="A501" s="12"/>
      <c r="B501" s="241">
        <f>IFERROR(__xludf.DUMMYFUNCTION("""COMPUTED_VALUE"""),46280.0)</f>
        <v>46280</v>
      </c>
      <c r="C501" s="12" t="str">
        <f>IFERROR(__xludf.DUMMYFUNCTION("""COMPUTED_VALUE"""),"427900719")</f>
        <v>427900719</v>
      </c>
      <c r="D501" s="12" t="str">
        <f>IFERROR(__xludf.DUMMYFUNCTION("""COMPUTED_VALUE"""),"Võ Thị Tâm")</f>
        <v>Võ Thị Tâm</v>
      </c>
      <c r="E501" s="102" t="str">
        <f>IFERROR(__xludf.DUMMYFUNCTION("""COMPUTED_VALUE"""),"Bạn tuần này học sáng tuần sau  học tối ạ")</f>
        <v>Bạn tuần này học sáng tuần sau  học tối ạ</v>
      </c>
      <c r="F501" s="12" t="str">
        <f>IFERROR(__xludf.DUMMYFUNCTION("""COMPUTED_VALUE"""),"CVHT01")</f>
        <v>CVHT01</v>
      </c>
    </row>
    <row r="502">
      <c r="A502" s="12"/>
      <c r="B502" s="241">
        <f>IFERROR(__xludf.DUMMYFUNCTION("""COMPUTED_VALUE"""),46280.0)</f>
        <v>46280</v>
      </c>
      <c r="C502" s="12" t="str">
        <f>IFERROR(__xludf.DUMMYFUNCTION("""COMPUTED_VALUE"""),"427899741")</f>
        <v>427899741</v>
      </c>
      <c r="D502" s="12" t="str">
        <f>IFERROR(__xludf.DUMMYFUNCTION("""COMPUTED_VALUE"""),"Phan Thị Kiều Oanh")</f>
        <v>Phan Thị Kiều Oanh</v>
      </c>
      <c r="E502" s="102" t="str">
        <f>IFERROR(__xludf.DUMMYFUNCTION("""COMPUTED_VALUE"""),"""Ss ơi, cứ lấy những bài này học nha ss. ""
Bạn oke học K4 từ bài 1 ạ")</f>
        <v>"Ss ơi, cứ lấy những bài này học nha ss. "
Bạn oke học K4 từ bài 1 ạ</v>
      </c>
      <c r="F502" s="12" t="str">
        <f>IFERROR(__xludf.DUMMYFUNCTION("""COMPUTED_VALUE"""),"CVHT01")</f>
        <v>CVHT01</v>
      </c>
    </row>
    <row r="503">
      <c r="A503" s="12"/>
      <c r="B503" s="241">
        <f>IFERROR(__xludf.DUMMYFUNCTION("""COMPUTED_VALUE"""),46280.0)</f>
        <v>46280</v>
      </c>
      <c r="C503" s="12" t="str">
        <f>IFERROR(__xludf.DUMMYFUNCTION("""COMPUTED_VALUE"""),"GV517 ")</f>
        <v>GV517 </v>
      </c>
      <c r="D503" s="12" t="str">
        <f>IFERROR(__xludf.DUMMYFUNCTION("""COMPUTED_VALUE"""),"Mai Hà Linh K2")</f>
        <v>Mai Hà Linh K2</v>
      </c>
      <c r="E503" s="102" t="str">
        <f>IFERROR(__xludf.DUMMYFUNCTION("""COMPUTED_VALUE"""),"""dạ chị ơi, bài tập về nhà của các bạn được gắn ở đâu vậy ạ""
Chị hướng dẫn cô nhé")</f>
        <v>"dạ chị ơi, bài tập về nhà của các bạn được gắn ở đâu vậy ạ"
Chị hướng dẫn cô nhé</v>
      </c>
      <c r="F503" s="12" t="str">
        <f>IFERROR(__xludf.DUMMYFUNCTION("""COMPUTED_VALUE"""),"CVHT01")</f>
        <v>CVHT01</v>
      </c>
    </row>
    <row r="504">
      <c r="A504" s="12"/>
      <c r="B504" s="241">
        <f>IFERROR(__xludf.DUMMYFUNCTION("""COMPUTED_VALUE"""),46280.0)</f>
        <v>46280</v>
      </c>
      <c r="C504" s="12" t="str">
        <f>IFERROR(__xludf.DUMMYFUNCTION("""COMPUTED_VALUE"""),"GV496 ")</f>
        <v>GV496 </v>
      </c>
      <c r="D504" s="12" t="str">
        <f>IFERROR(__xludf.DUMMYFUNCTION("""COMPUTED_VALUE"""),"Võ Thị Thanh Lam K2")</f>
        <v>Võ Thị Thanh Lam K2</v>
      </c>
      <c r="E504" s="102" t="str">
        <f>IFERROR(__xludf.DUMMYFUNCTION("""COMPUTED_VALUE"""),"""C ơi c lành đọc hiragana chưa rõ c oi""
""Nên e sợ nếu c ấy k thực sự cố gắng thì sợ là học xong thì sợ k nâng trình được bao nhiêu ý ạ""")</f>
        <v>"C ơi c lành đọc hiragana chưa rõ c oi"
"Nên e sợ nếu c ấy k thực sự cố gắng thì sợ là học xong thì sợ k nâng trình được bao nhiêu ý ạ"</v>
      </c>
      <c r="F504" s="12" t="str">
        <f>IFERROR(__xludf.DUMMYFUNCTION("""COMPUTED_VALUE"""),"CVHT01")</f>
        <v>CVHT01</v>
      </c>
    </row>
    <row r="505">
      <c r="A505" s="12"/>
      <c r="B505" s="241">
        <f>IFERROR(__xludf.DUMMYFUNCTION("""COMPUTED_VALUE"""),46281.0)</f>
        <v>46281</v>
      </c>
      <c r="C505" s="12" t="str">
        <f>IFERROR(__xludf.DUMMYFUNCTION("""COMPUTED_VALUE"""),"427895902 ")</f>
        <v>427895902 </v>
      </c>
      <c r="D505" s="12" t="str">
        <f>IFERROR(__xludf.DUMMYFUNCTION("""COMPUTED_VALUE""")," Nguyễn Nhật Trịnh")</f>
        <v> Nguyễn Nhật Trịnh</v>
      </c>
      <c r="E505" s="102" t="str">
        <f>IFERROR(__xludf.DUMMYFUNCTION("""COMPUTED_VALUE"""),"HV muốn bảo lưu")</f>
        <v>HV muốn bảo lưu</v>
      </c>
      <c r="F505" s="12" t="str">
        <f>IFERROR(__xludf.DUMMYFUNCTION("""COMPUTED_VALUE"""),"CVHT01")</f>
        <v>CVHT01</v>
      </c>
    </row>
    <row r="506">
      <c r="A506" s="12"/>
      <c r="B506" s="241">
        <f>IFERROR(__xludf.DUMMYFUNCTION("""COMPUTED_VALUE"""),46281.0)</f>
        <v>46281</v>
      </c>
      <c r="C506" s="12" t="str">
        <f>IFERROR(__xludf.DUMMYFUNCTION("""COMPUTED_VALUE"""),"10055806")</f>
        <v>10055806</v>
      </c>
      <c r="D506" s="12" t="str">
        <f>IFERROR(__xludf.DUMMYFUNCTION("""COMPUTED_VALUE"""),"Trần Thị Lê")</f>
        <v>Trần Thị Lê</v>
      </c>
      <c r="E506" s="102" t="str">
        <f>IFERROR(__xludf.DUMMYFUNCTION("""COMPUTED_VALUE"""),"HV báo về VN, thời gian tới không học")</f>
        <v>HV báo về VN, thời gian tới không học</v>
      </c>
      <c r="F506" s="12" t="str">
        <f>IFERROR(__xludf.DUMMYFUNCTION("""COMPUTED_VALUE"""),"CVHT01")</f>
        <v>CVHT01</v>
      </c>
    </row>
    <row r="507">
      <c r="A507" s="12"/>
      <c r="B507" s="241">
        <f>IFERROR(__xludf.DUMMYFUNCTION("""COMPUTED_VALUE"""),46281.0)</f>
        <v>46281</v>
      </c>
      <c r="C507" s="12" t="str">
        <f>IFERROR(__xludf.DUMMYFUNCTION("""COMPUTED_VALUE"""),"427900324")</f>
        <v>427900324</v>
      </c>
      <c r="D507" s="12" t="str">
        <f>IFERROR(__xludf.DUMMYFUNCTION("""COMPUTED_VALUE"""),"Nguyễn Yến Nhi")</f>
        <v>Nguyễn Yến Nhi</v>
      </c>
      <c r="E507" s="102" t="str">
        <f>IFERROR(__xludf.DUMMYFUNCTION("""COMPUTED_VALUE"""),"HV báo không theo kịp")</f>
        <v>HV báo không theo kịp</v>
      </c>
      <c r="F507" s="12" t="str">
        <f>IFERROR(__xludf.DUMMYFUNCTION("""COMPUTED_VALUE"""),"CVHT01")</f>
        <v>CVHT01</v>
      </c>
    </row>
    <row r="508">
      <c r="A508" s="12"/>
      <c r="B508" s="241">
        <f>IFERROR(__xludf.DUMMYFUNCTION("""COMPUTED_VALUE"""),46281.0)</f>
        <v>46281</v>
      </c>
      <c r="C508" s="12" t="str">
        <f>IFERROR(__xludf.DUMMYFUNCTION("""COMPUTED_VALUE"""),"GV151")</f>
        <v>GV151</v>
      </c>
      <c r="D508" s="12" t="str">
        <f>IFERROR(__xludf.DUMMYFUNCTION("""COMPUTED_VALUE"""),"Kutami Nobutomo")</f>
        <v>Kutami Nobutomo</v>
      </c>
      <c r="E508" s="102" t="str">
        <f>IFERROR(__xludf.DUMMYFUNCTION("""COMPUTED_VALUE"""),"GV báo không nhận lớp")</f>
        <v>GV báo không nhận lớp</v>
      </c>
      <c r="F508" s="12" t="str">
        <f>IFERROR(__xludf.DUMMYFUNCTION("""COMPUTED_VALUE"""),"CVHT01")</f>
        <v>CVHT01</v>
      </c>
    </row>
    <row r="509">
      <c r="A509" s="12"/>
      <c r="B509" s="241">
        <f>IFERROR(__xludf.DUMMYFUNCTION("""COMPUTED_VALUE"""),46282.0)</f>
        <v>46282</v>
      </c>
      <c r="C509" s="12" t="str">
        <f>IFERROR(__xludf.DUMMYFUNCTION("""COMPUTED_VALUE"""),"GV408")</f>
        <v>GV408</v>
      </c>
      <c r="D509" s="12" t="str">
        <f>IFERROR(__xludf.DUMMYFUNCTION("""COMPUTED_VALUE""")," Lê Thị Linh")</f>
        <v> Lê Thị Linh</v>
      </c>
      <c r="E509" s="102" t="str">
        <f>IFERROR(__xludf.DUMMYFUNCTION("""COMPUTED_VALUE"""),"Dạ chị xem lại giúp em số h học tháng trc với ạ ngày 21/8 em dạy bạn Hưng 1 tiếng (19h-20h) không phải 30 phút ạ")</f>
        <v>Dạ chị xem lại giúp em số h học tháng trc với ạ ngày 21/8 em dạy bạn Hưng 1 tiếng (19h-20h) không phải 30 phút ạ</v>
      </c>
      <c r="F509" s="12" t="str">
        <f>IFERROR(__xludf.DUMMYFUNCTION("""COMPUTED_VALUE"""),"CVHT01")</f>
        <v>CVHT01</v>
      </c>
    </row>
    <row r="510">
      <c r="A510" s="12"/>
      <c r="B510" s="241">
        <f>IFERROR(__xludf.DUMMYFUNCTION("""COMPUTED_VALUE"""),46282.0)</f>
        <v>46282</v>
      </c>
      <c r="C510" s="12" t="str">
        <f>IFERROR(__xludf.DUMMYFUNCTION("""COMPUTED_VALUE"""),"10055230 ")</f>
        <v>10055230 </v>
      </c>
      <c r="D510" s="12" t="str">
        <f>IFERROR(__xludf.DUMMYFUNCTION("""COMPUTED_VALUE"""),"Nguyễn Văn Sang")</f>
        <v>Nguyễn Văn Sang</v>
      </c>
      <c r="E510" s="102" t="str">
        <f>IFERROR(__xludf.DUMMYFUNCTION("""COMPUTED_VALUE"""),"E xin nghỉ nha e cãi nhau vs cty giờ đang về việt nam a")</f>
        <v>E xin nghỉ nha e cãi nhau vs cty giờ đang về việt nam a</v>
      </c>
      <c r="F510" s="12" t="str">
        <f>IFERROR(__xludf.DUMMYFUNCTION("""COMPUTED_VALUE"""),"CVHT01")</f>
        <v>CVHT01</v>
      </c>
    </row>
    <row r="511">
      <c r="A511" s="12"/>
      <c r="B511" s="241">
        <f>IFERROR(__xludf.DUMMYFUNCTION("""COMPUTED_VALUE"""),46282.0)</f>
        <v>46282</v>
      </c>
      <c r="C511" s="12" t="str">
        <f>IFERROR(__xludf.DUMMYFUNCTION("""COMPUTED_VALUE"""),"427899272")</f>
        <v>427899272</v>
      </c>
      <c r="D511" s="12" t="str">
        <f>IFERROR(__xludf.DUMMYFUNCTION("""COMPUTED_VALUE"""),"Lê Bảo Thạch")</f>
        <v>Lê Bảo Thạch</v>
      </c>
      <c r="E511" s="102" t="str">
        <f>IFERROR(__xludf.DUMMYFUNCTION("""COMPUTED_VALUE"""),"HV báo học 21h")</f>
        <v>HV báo học 21h</v>
      </c>
      <c r="F511" s="12" t="str">
        <f>IFERROR(__xludf.DUMMYFUNCTION("""COMPUTED_VALUE"""),"CVHT01")</f>
        <v>CVHT01</v>
      </c>
    </row>
    <row r="512">
      <c r="E512" s="102"/>
    </row>
    <row r="513">
      <c r="E513" s="102"/>
    </row>
    <row r="514">
      <c r="E514" s="102"/>
    </row>
    <row r="515">
      <c r="E515" s="102"/>
    </row>
    <row r="516">
      <c r="E516" s="102"/>
    </row>
    <row r="517">
      <c r="E517" s="102"/>
    </row>
    <row r="518">
      <c r="E518" s="102"/>
    </row>
    <row r="519">
      <c r="E519" s="102"/>
    </row>
    <row r="520">
      <c r="E520" s="102"/>
    </row>
    <row r="521">
      <c r="E521" s="102"/>
    </row>
    <row r="522">
      <c r="E522" s="102"/>
    </row>
    <row r="523">
      <c r="E523" s="102"/>
    </row>
    <row r="524">
      <c r="E524" s="102"/>
    </row>
    <row r="525">
      <c r="E525" s="102"/>
    </row>
    <row r="526">
      <c r="E526" s="102"/>
    </row>
    <row r="527">
      <c r="E527" s="102"/>
    </row>
    <row r="528">
      <c r="E528" s="102"/>
    </row>
    <row r="529">
      <c r="E529" s="102"/>
    </row>
    <row r="530">
      <c r="E530" s="102"/>
    </row>
    <row r="531">
      <c r="E531" s="102"/>
    </row>
    <row r="532">
      <c r="E532" s="102"/>
    </row>
    <row r="533">
      <c r="E533" s="102"/>
    </row>
    <row r="534">
      <c r="E534" s="102"/>
    </row>
    <row r="535">
      <c r="E535" s="102"/>
    </row>
    <row r="536">
      <c r="E536" s="102"/>
    </row>
    <row r="537">
      <c r="E537" s="102"/>
    </row>
    <row r="538">
      <c r="E538" s="102"/>
    </row>
    <row r="539">
      <c r="E539" s="102"/>
    </row>
    <row r="540">
      <c r="E540" s="102"/>
    </row>
    <row r="541">
      <c r="E541" s="102"/>
    </row>
    <row r="542">
      <c r="E542" s="102"/>
    </row>
    <row r="543">
      <c r="E543" s="102"/>
    </row>
    <row r="544">
      <c r="E544" s="102"/>
    </row>
    <row r="545">
      <c r="E545" s="102"/>
    </row>
    <row r="546">
      <c r="E546" s="102"/>
    </row>
    <row r="547">
      <c r="E547" s="102"/>
    </row>
    <row r="548">
      <c r="E548" s="102"/>
    </row>
    <row r="549">
      <c r="E549" s="102"/>
    </row>
    <row r="550">
      <c r="E550" s="102"/>
    </row>
    <row r="551">
      <c r="E551" s="102"/>
    </row>
    <row r="552">
      <c r="E552" s="102"/>
    </row>
    <row r="553">
      <c r="E553" s="102"/>
    </row>
    <row r="554">
      <c r="E554" s="102"/>
    </row>
    <row r="555">
      <c r="E555" s="102"/>
    </row>
    <row r="556">
      <c r="E556" s="102"/>
    </row>
    <row r="557">
      <c r="E557" s="102"/>
    </row>
    <row r="558">
      <c r="E558" s="102"/>
    </row>
    <row r="559">
      <c r="E559" s="102"/>
    </row>
    <row r="560">
      <c r="E560" s="102"/>
    </row>
    <row r="561">
      <c r="E561" s="102"/>
    </row>
    <row r="562">
      <c r="E562" s="102"/>
    </row>
    <row r="563">
      <c r="E563" s="102"/>
    </row>
    <row r="564">
      <c r="E564" s="102"/>
    </row>
    <row r="565">
      <c r="E565" s="102"/>
    </row>
    <row r="566">
      <c r="E566" s="102"/>
    </row>
    <row r="567">
      <c r="E567" s="102"/>
    </row>
    <row r="568">
      <c r="E568" s="102"/>
    </row>
    <row r="569">
      <c r="E569" s="102"/>
    </row>
    <row r="570">
      <c r="E570" s="102"/>
    </row>
    <row r="571">
      <c r="E571" s="102"/>
    </row>
    <row r="572">
      <c r="E572" s="102"/>
    </row>
    <row r="573">
      <c r="E573" s="102"/>
    </row>
    <row r="574">
      <c r="E574" s="102"/>
    </row>
    <row r="575">
      <c r="E575" s="102"/>
    </row>
    <row r="576">
      <c r="E576" s="102"/>
    </row>
    <row r="577">
      <c r="E577" s="102"/>
    </row>
    <row r="578">
      <c r="E578" s="102"/>
    </row>
    <row r="579">
      <c r="E579" s="102"/>
    </row>
    <row r="580">
      <c r="E580" s="102"/>
    </row>
    <row r="581">
      <c r="E581" s="102"/>
    </row>
    <row r="582">
      <c r="E582" s="102"/>
    </row>
    <row r="583">
      <c r="E583" s="102"/>
    </row>
    <row r="584">
      <c r="E584" s="102"/>
    </row>
    <row r="585">
      <c r="E585" s="102"/>
    </row>
    <row r="586">
      <c r="E586" s="102"/>
    </row>
    <row r="587">
      <c r="E587" s="102"/>
    </row>
    <row r="588">
      <c r="E588" s="102"/>
    </row>
    <row r="589">
      <c r="E589" s="102"/>
    </row>
    <row r="590">
      <c r="E590" s="102"/>
    </row>
    <row r="591">
      <c r="E591" s="102"/>
    </row>
    <row r="592">
      <c r="E592" s="102"/>
    </row>
    <row r="593">
      <c r="E593" s="102"/>
    </row>
    <row r="594">
      <c r="E594" s="102"/>
    </row>
    <row r="595">
      <c r="E595" s="102"/>
    </row>
    <row r="596">
      <c r="E596" s="102"/>
    </row>
    <row r="597">
      <c r="E597" s="102"/>
    </row>
    <row r="598">
      <c r="E598" s="102"/>
    </row>
    <row r="599">
      <c r="E599" s="102"/>
    </row>
    <row r="600">
      <c r="E600" s="102"/>
    </row>
    <row r="601">
      <c r="E601" s="102"/>
    </row>
    <row r="602">
      <c r="E602" s="102"/>
    </row>
    <row r="603">
      <c r="E603" s="102"/>
    </row>
    <row r="604">
      <c r="E604" s="102"/>
    </row>
    <row r="605">
      <c r="E605" s="102"/>
    </row>
    <row r="606">
      <c r="E606" s="102"/>
    </row>
    <row r="607">
      <c r="E607" s="102"/>
    </row>
    <row r="608">
      <c r="E608" s="102"/>
    </row>
    <row r="609">
      <c r="E609" s="102"/>
    </row>
    <row r="610">
      <c r="E610" s="102"/>
    </row>
    <row r="611">
      <c r="E611" s="102"/>
    </row>
    <row r="612">
      <c r="E612" s="102"/>
    </row>
    <row r="613">
      <c r="E613" s="102"/>
    </row>
    <row r="614">
      <c r="E614" s="102"/>
    </row>
    <row r="615">
      <c r="E615" s="102"/>
    </row>
    <row r="616">
      <c r="E616" s="102"/>
    </row>
    <row r="617">
      <c r="E617" s="102"/>
    </row>
    <row r="618">
      <c r="E618" s="102"/>
    </row>
    <row r="619">
      <c r="E619" s="102"/>
    </row>
    <row r="620">
      <c r="E620" s="102"/>
    </row>
    <row r="621">
      <c r="E621" s="102"/>
    </row>
    <row r="622">
      <c r="E622" s="102"/>
    </row>
    <row r="623">
      <c r="E623" s="102"/>
    </row>
    <row r="624">
      <c r="E624" s="102"/>
    </row>
    <row r="625">
      <c r="E625" s="102"/>
    </row>
    <row r="626">
      <c r="E626" s="102"/>
    </row>
    <row r="627">
      <c r="E627" s="102"/>
    </row>
    <row r="628">
      <c r="E628" s="102"/>
    </row>
    <row r="629">
      <c r="E629" s="102"/>
    </row>
    <row r="630">
      <c r="E630" s="102"/>
    </row>
    <row r="631">
      <c r="E631" s="102"/>
    </row>
    <row r="632">
      <c r="E632" s="102"/>
    </row>
    <row r="633">
      <c r="E633" s="102"/>
    </row>
    <row r="634">
      <c r="E634" s="102"/>
    </row>
    <row r="635">
      <c r="E635" s="102"/>
    </row>
    <row r="636">
      <c r="E636" s="102"/>
    </row>
    <row r="637">
      <c r="E637" s="102"/>
    </row>
    <row r="638">
      <c r="E638" s="102"/>
    </row>
    <row r="639">
      <c r="E639" s="102"/>
    </row>
    <row r="640">
      <c r="E640" s="102"/>
    </row>
    <row r="641">
      <c r="E641" s="102"/>
    </row>
    <row r="642">
      <c r="E642" s="102"/>
    </row>
    <row r="643">
      <c r="E643" s="102"/>
    </row>
    <row r="644">
      <c r="E644" s="102"/>
    </row>
    <row r="645">
      <c r="E645" s="102"/>
    </row>
    <row r="646">
      <c r="E646" s="102"/>
    </row>
    <row r="647">
      <c r="E647" s="102"/>
    </row>
    <row r="648">
      <c r="E648" s="102"/>
    </row>
    <row r="649">
      <c r="E649" s="102"/>
    </row>
    <row r="650">
      <c r="E650" s="102"/>
    </row>
    <row r="651">
      <c r="E651" s="102"/>
    </row>
    <row r="652">
      <c r="E652" s="102"/>
    </row>
    <row r="653">
      <c r="E653" s="102"/>
    </row>
    <row r="654">
      <c r="E654" s="102"/>
    </row>
    <row r="655">
      <c r="E655" s="102"/>
    </row>
    <row r="656">
      <c r="E656" s="102"/>
    </row>
    <row r="657">
      <c r="E657" s="102"/>
    </row>
    <row r="658">
      <c r="E658" s="102"/>
    </row>
    <row r="659">
      <c r="E659" s="102"/>
    </row>
    <row r="660">
      <c r="E660" s="102"/>
    </row>
    <row r="661">
      <c r="E661" s="102"/>
    </row>
    <row r="662">
      <c r="E662" s="102"/>
    </row>
    <row r="663">
      <c r="E663" s="102"/>
    </row>
    <row r="664">
      <c r="E664" s="102"/>
    </row>
    <row r="665">
      <c r="E665" s="102"/>
    </row>
    <row r="666">
      <c r="E666" s="102"/>
    </row>
    <row r="667">
      <c r="E667" s="102"/>
    </row>
    <row r="668">
      <c r="E668" s="102"/>
    </row>
    <row r="669">
      <c r="E669" s="102"/>
    </row>
    <row r="670">
      <c r="E670" s="102"/>
    </row>
    <row r="671">
      <c r="E671" s="102"/>
    </row>
    <row r="672">
      <c r="E672" s="102"/>
    </row>
    <row r="673">
      <c r="E673" s="102"/>
    </row>
    <row r="674">
      <c r="E674" s="102"/>
    </row>
    <row r="675">
      <c r="E675" s="102"/>
    </row>
    <row r="676">
      <c r="E676" s="102"/>
    </row>
    <row r="677">
      <c r="E677" s="102"/>
    </row>
    <row r="678">
      <c r="E678" s="102"/>
    </row>
    <row r="679">
      <c r="E679" s="102"/>
    </row>
    <row r="680">
      <c r="E680" s="102"/>
    </row>
    <row r="681">
      <c r="E681" s="102"/>
    </row>
    <row r="682">
      <c r="E682" s="102"/>
    </row>
    <row r="683">
      <c r="E683" s="102"/>
    </row>
    <row r="684">
      <c r="E684" s="102"/>
    </row>
    <row r="685">
      <c r="E685" s="102"/>
    </row>
    <row r="686">
      <c r="E686" s="102"/>
    </row>
    <row r="687">
      <c r="E687" s="102"/>
    </row>
    <row r="688">
      <c r="E688" s="102"/>
    </row>
    <row r="689">
      <c r="E689" s="102"/>
    </row>
    <row r="690">
      <c r="E690" s="102"/>
    </row>
    <row r="691">
      <c r="E691" s="102"/>
    </row>
    <row r="692">
      <c r="E692" s="102"/>
    </row>
    <row r="693">
      <c r="E693" s="102"/>
    </row>
    <row r="694">
      <c r="E694" s="102"/>
    </row>
    <row r="695">
      <c r="E695" s="102"/>
    </row>
    <row r="696">
      <c r="E696" s="102"/>
    </row>
    <row r="697">
      <c r="E697" s="102"/>
    </row>
    <row r="698">
      <c r="E698" s="102"/>
    </row>
    <row r="699">
      <c r="E699" s="102"/>
    </row>
    <row r="700">
      <c r="E700" s="102"/>
    </row>
    <row r="701">
      <c r="E701" s="102"/>
    </row>
    <row r="702">
      <c r="E702" s="102"/>
    </row>
    <row r="703">
      <c r="E703" s="102"/>
    </row>
    <row r="704">
      <c r="E704" s="102"/>
    </row>
    <row r="705">
      <c r="E705" s="102"/>
    </row>
    <row r="706">
      <c r="E706" s="102"/>
    </row>
    <row r="707">
      <c r="E707" s="102"/>
    </row>
    <row r="708">
      <c r="E708" s="102"/>
    </row>
    <row r="709">
      <c r="E709" s="102"/>
    </row>
    <row r="710">
      <c r="E710" s="102"/>
    </row>
    <row r="711">
      <c r="E711" s="102"/>
    </row>
    <row r="712">
      <c r="E712" s="102"/>
    </row>
    <row r="713">
      <c r="E713" s="102"/>
    </row>
    <row r="714">
      <c r="E714" s="102"/>
    </row>
    <row r="715">
      <c r="E715" s="102"/>
    </row>
    <row r="716">
      <c r="E716" s="102"/>
    </row>
    <row r="717">
      <c r="E717" s="102"/>
    </row>
    <row r="718">
      <c r="E718" s="102"/>
    </row>
    <row r="719">
      <c r="E719" s="102"/>
    </row>
    <row r="720">
      <c r="E720" s="102"/>
    </row>
    <row r="721">
      <c r="E721" s="102"/>
    </row>
    <row r="722">
      <c r="E722" s="102"/>
    </row>
    <row r="723">
      <c r="E723" s="102"/>
    </row>
    <row r="724">
      <c r="E724" s="102"/>
    </row>
    <row r="725">
      <c r="E725" s="102"/>
    </row>
    <row r="726">
      <c r="E726" s="102"/>
    </row>
    <row r="727">
      <c r="E727" s="102"/>
    </row>
    <row r="728">
      <c r="E728" s="102"/>
    </row>
    <row r="729">
      <c r="E729" s="102"/>
    </row>
    <row r="730">
      <c r="E730" s="102"/>
    </row>
    <row r="731">
      <c r="E731" s="102"/>
    </row>
    <row r="732">
      <c r="E732" s="102"/>
    </row>
    <row r="733">
      <c r="E733" s="102"/>
    </row>
    <row r="734">
      <c r="E734" s="102"/>
    </row>
    <row r="735">
      <c r="E735" s="102"/>
    </row>
    <row r="736">
      <c r="E736" s="102"/>
    </row>
    <row r="737">
      <c r="E737" s="102"/>
    </row>
    <row r="738">
      <c r="E738" s="102"/>
    </row>
    <row r="739">
      <c r="E739" s="102"/>
    </row>
    <row r="740">
      <c r="E740" s="102"/>
    </row>
    <row r="741">
      <c r="E741" s="102"/>
    </row>
    <row r="742">
      <c r="E742" s="102"/>
    </row>
    <row r="743">
      <c r="E743" s="102"/>
    </row>
    <row r="744">
      <c r="E744" s="102"/>
    </row>
    <row r="745">
      <c r="E745" s="102"/>
    </row>
    <row r="746">
      <c r="E746" s="102"/>
    </row>
    <row r="747">
      <c r="E747" s="102"/>
    </row>
    <row r="748">
      <c r="E748" s="102"/>
    </row>
    <row r="749">
      <c r="E749" s="102"/>
    </row>
    <row r="750">
      <c r="E750" s="102"/>
    </row>
    <row r="751">
      <c r="E751" s="102"/>
    </row>
    <row r="752">
      <c r="E752" s="102"/>
    </row>
    <row r="753">
      <c r="E753" s="102"/>
    </row>
    <row r="754">
      <c r="E754" s="102"/>
    </row>
    <row r="755">
      <c r="E755" s="102"/>
    </row>
    <row r="756">
      <c r="E756" s="102"/>
    </row>
    <row r="757">
      <c r="E757" s="102"/>
    </row>
    <row r="758">
      <c r="E758" s="102"/>
    </row>
    <row r="759">
      <c r="E759" s="102"/>
    </row>
    <row r="760">
      <c r="E760" s="102"/>
    </row>
    <row r="761">
      <c r="E761" s="102"/>
    </row>
    <row r="762">
      <c r="E762" s="102"/>
    </row>
    <row r="763">
      <c r="E763" s="102"/>
    </row>
    <row r="764">
      <c r="E764" s="102"/>
    </row>
    <row r="765">
      <c r="E765" s="102"/>
    </row>
    <row r="766">
      <c r="E766" s="102"/>
    </row>
    <row r="767">
      <c r="E767" s="102"/>
    </row>
    <row r="768">
      <c r="E768" s="102"/>
    </row>
    <row r="769">
      <c r="E769" s="102"/>
    </row>
    <row r="770">
      <c r="E770" s="102"/>
    </row>
    <row r="771">
      <c r="E771" s="102"/>
    </row>
    <row r="772">
      <c r="E772" s="102"/>
    </row>
    <row r="773">
      <c r="E773" s="102"/>
    </row>
    <row r="774">
      <c r="E774" s="102"/>
    </row>
    <row r="775">
      <c r="E775" s="102"/>
    </row>
    <row r="776">
      <c r="E776" s="102"/>
    </row>
    <row r="777">
      <c r="E777" s="102"/>
    </row>
    <row r="778">
      <c r="E778" s="102"/>
    </row>
    <row r="779">
      <c r="E779" s="102"/>
    </row>
    <row r="780">
      <c r="E780" s="102"/>
    </row>
    <row r="781">
      <c r="E781" s="102"/>
    </row>
    <row r="782">
      <c r="E782" s="102"/>
    </row>
    <row r="783">
      <c r="E783" s="102"/>
    </row>
    <row r="784">
      <c r="E784" s="102"/>
    </row>
    <row r="785">
      <c r="E785" s="102"/>
    </row>
    <row r="786">
      <c r="E786" s="102"/>
    </row>
    <row r="787">
      <c r="E787" s="102"/>
    </row>
    <row r="788">
      <c r="E788" s="102"/>
    </row>
    <row r="789">
      <c r="E789" s="102"/>
    </row>
    <row r="790">
      <c r="E790" s="102"/>
    </row>
    <row r="791">
      <c r="E791" s="102"/>
    </row>
    <row r="792">
      <c r="E792" s="102"/>
    </row>
    <row r="793">
      <c r="E793" s="102"/>
    </row>
    <row r="794">
      <c r="E794" s="102"/>
    </row>
    <row r="795">
      <c r="E795" s="102"/>
    </row>
    <row r="796">
      <c r="E796" s="102"/>
    </row>
    <row r="797">
      <c r="E797" s="102"/>
    </row>
    <row r="798">
      <c r="E798" s="102"/>
    </row>
    <row r="799">
      <c r="E799" s="102"/>
    </row>
    <row r="800">
      <c r="E800" s="102"/>
    </row>
    <row r="801">
      <c r="E801" s="102"/>
    </row>
    <row r="802">
      <c r="E802" s="102"/>
    </row>
    <row r="803">
      <c r="E803" s="102"/>
    </row>
    <row r="804">
      <c r="E804" s="102"/>
    </row>
    <row r="805">
      <c r="E805" s="102"/>
    </row>
    <row r="806">
      <c r="E806" s="102"/>
    </row>
    <row r="807">
      <c r="E807" s="102"/>
    </row>
    <row r="808">
      <c r="E808" s="102"/>
    </row>
    <row r="809">
      <c r="E809" s="102"/>
    </row>
    <row r="810">
      <c r="E810" s="102"/>
    </row>
    <row r="811">
      <c r="E811" s="102"/>
    </row>
    <row r="812">
      <c r="E812" s="102"/>
    </row>
    <row r="813">
      <c r="E813" s="102"/>
    </row>
    <row r="814">
      <c r="E814" s="102"/>
    </row>
    <row r="815">
      <c r="E815" s="102"/>
    </row>
    <row r="816">
      <c r="E816" s="102"/>
    </row>
    <row r="817">
      <c r="E817" s="102"/>
    </row>
    <row r="818">
      <c r="E818" s="102"/>
    </row>
    <row r="819">
      <c r="E819" s="102"/>
    </row>
    <row r="820">
      <c r="E820" s="102"/>
    </row>
    <row r="821">
      <c r="E821" s="102"/>
    </row>
    <row r="822">
      <c r="E822" s="102"/>
    </row>
    <row r="823">
      <c r="E823" s="102"/>
    </row>
    <row r="824">
      <c r="E824" s="102"/>
    </row>
    <row r="825">
      <c r="E825" s="102"/>
    </row>
    <row r="826">
      <c r="E826" s="102"/>
    </row>
    <row r="827">
      <c r="E827" s="102"/>
    </row>
    <row r="828">
      <c r="E828" s="102"/>
    </row>
    <row r="829">
      <c r="E829" s="102"/>
    </row>
    <row r="830">
      <c r="E830" s="102"/>
    </row>
    <row r="831">
      <c r="E831" s="102"/>
    </row>
    <row r="832">
      <c r="E832" s="102"/>
    </row>
    <row r="833">
      <c r="E833" s="102"/>
    </row>
    <row r="834">
      <c r="E834" s="102"/>
    </row>
    <row r="835">
      <c r="E835" s="102"/>
    </row>
    <row r="836">
      <c r="E836" s="102"/>
    </row>
    <row r="837">
      <c r="E837" s="102"/>
    </row>
    <row r="838">
      <c r="E838" s="102"/>
    </row>
    <row r="839">
      <c r="E839" s="102"/>
    </row>
    <row r="840">
      <c r="E840" s="102"/>
    </row>
    <row r="841">
      <c r="E841" s="102"/>
    </row>
    <row r="842">
      <c r="E842" s="102"/>
    </row>
    <row r="843">
      <c r="E843" s="102"/>
    </row>
    <row r="844">
      <c r="E844" s="102"/>
    </row>
    <row r="845">
      <c r="E845" s="102"/>
    </row>
    <row r="846">
      <c r="E846" s="102"/>
    </row>
    <row r="847">
      <c r="E847" s="102"/>
    </row>
    <row r="848">
      <c r="E848" s="102"/>
    </row>
    <row r="849">
      <c r="E849" s="102"/>
    </row>
    <row r="850">
      <c r="E850" s="102"/>
    </row>
    <row r="851">
      <c r="E851" s="102"/>
    </row>
    <row r="852">
      <c r="E852" s="102"/>
    </row>
    <row r="853">
      <c r="E853" s="102"/>
    </row>
    <row r="854">
      <c r="E854" s="102"/>
    </row>
    <row r="855">
      <c r="E855" s="102"/>
    </row>
    <row r="856">
      <c r="E856" s="102"/>
    </row>
    <row r="857">
      <c r="E857" s="102"/>
    </row>
    <row r="858">
      <c r="E858" s="102"/>
    </row>
    <row r="859">
      <c r="E859" s="102"/>
    </row>
    <row r="860">
      <c r="E860" s="102"/>
    </row>
    <row r="861">
      <c r="E861" s="102"/>
    </row>
    <row r="862">
      <c r="E862" s="102"/>
    </row>
    <row r="863">
      <c r="E863" s="102"/>
    </row>
    <row r="864">
      <c r="E864" s="102"/>
    </row>
    <row r="865">
      <c r="E865" s="102"/>
    </row>
    <row r="866">
      <c r="E866" s="102"/>
    </row>
    <row r="867">
      <c r="E867" s="102"/>
    </row>
    <row r="868">
      <c r="E868" s="102"/>
    </row>
    <row r="869">
      <c r="E869" s="102"/>
    </row>
    <row r="870">
      <c r="E870" s="102"/>
    </row>
    <row r="871">
      <c r="E871" s="102"/>
    </row>
    <row r="872">
      <c r="E872" s="102"/>
    </row>
    <row r="873">
      <c r="E873" s="102"/>
    </row>
    <row r="874">
      <c r="E874" s="102"/>
    </row>
    <row r="875">
      <c r="E875" s="102"/>
    </row>
    <row r="876">
      <c r="E876" s="102"/>
    </row>
    <row r="877">
      <c r="E877" s="102"/>
    </row>
    <row r="878">
      <c r="E878" s="102"/>
    </row>
    <row r="879">
      <c r="E879" s="102"/>
    </row>
    <row r="880">
      <c r="E880" s="102"/>
    </row>
    <row r="881">
      <c r="E881" s="102"/>
    </row>
    <row r="882">
      <c r="E882" s="102"/>
    </row>
    <row r="883">
      <c r="E883" s="102"/>
    </row>
    <row r="884">
      <c r="E884" s="102"/>
    </row>
    <row r="885">
      <c r="E885" s="102"/>
    </row>
    <row r="886">
      <c r="E886" s="102"/>
    </row>
    <row r="887">
      <c r="E887" s="102"/>
    </row>
    <row r="888">
      <c r="E888" s="102"/>
    </row>
    <row r="889">
      <c r="E889" s="102"/>
    </row>
    <row r="890">
      <c r="E890" s="102"/>
    </row>
    <row r="891">
      <c r="E891" s="102"/>
    </row>
    <row r="892">
      <c r="E892" s="102"/>
    </row>
    <row r="893">
      <c r="E893" s="102"/>
    </row>
    <row r="894">
      <c r="E894" s="102"/>
    </row>
    <row r="895">
      <c r="E895" s="102"/>
    </row>
    <row r="896">
      <c r="E896" s="102"/>
    </row>
    <row r="897">
      <c r="E897" s="102"/>
    </row>
    <row r="898">
      <c r="E898" s="102"/>
    </row>
    <row r="899">
      <c r="E899" s="102"/>
    </row>
    <row r="900">
      <c r="E900" s="102"/>
    </row>
    <row r="901">
      <c r="E901" s="102"/>
    </row>
    <row r="902">
      <c r="E902" s="102"/>
    </row>
    <row r="903">
      <c r="E903" s="102"/>
    </row>
    <row r="904">
      <c r="E904" s="102"/>
    </row>
    <row r="905">
      <c r="E905" s="102"/>
    </row>
    <row r="906">
      <c r="E906" s="102"/>
    </row>
    <row r="907">
      <c r="E907" s="102"/>
    </row>
    <row r="908">
      <c r="E908" s="102"/>
    </row>
    <row r="909">
      <c r="E909" s="102"/>
    </row>
    <row r="910">
      <c r="E910" s="102"/>
    </row>
    <row r="911">
      <c r="E911" s="102"/>
    </row>
    <row r="912">
      <c r="E912" s="102"/>
    </row>
    <row r="913">
      <c r="E913" s="102"/>
    </row>
    <row r="914">
      <c r="E914" s="102"/>
    </row>
    <row r="915">
      <c r="E915" s="102"/>
    </row>
    <row r="916">
      <c r="E916" s="102"/>
    </row>
    <row r="917">
      <c r="E917" s="102"/>
    </row>
    <row r="918">
      <c r="E918" s="102"/>
    </row>
    <row r="919">
      <c r="E919" s="102"/>
    </row>
    <row r="920">
      <c r="E920" s="102"/>
    </row>
    <row r="921">
      <c r="E921" s="102"/>
    </row>
    <row r="922">
      <c r="E922" s="102"/>
    </row>
    <row r="923">
      <c r="E923" s="102"/>
    </row>
    <row r="924">
      <c r="E924" s="102"/>
    </row>
    <row r="925">
      <c r="E925" s="102"/>
    </row>
    <row r="926">
      <c r="E926" s="102"/>
    </row>
    <row r="927">
      <c r="E927" s="102"/>
    </row>
    <row r="928">
      <c r="E928" s="102"/>
    </row>
    <row r="929">
      <c r="E929" s="102"/>
    </row>
    <row r="930">
      <c r="E930" s="102"/>
    </row>
    <row r="931">
      <c r="E931" s="102"/>
    </row>
    <row r="932">
      <c r="E932" s="102"/>
    </row>
    <row r="933">
      <c r="E933" s="102"/>
    </row>
    <row r="934">
      <c r="E934" s="102"/>
    </row>
    <row r="935">
      <c r="E935" s="102"/>
    </row>
    <row r="936">
      <c r="E936" s="102"/>
    </row>
    <row r="937">
      <c r="E937" s="102"/>
    </row>
    <row r="938">
      <c r="E938" s="102"/>
    </row>
    <row r="939">
      <c r="E939" s="102"/>
    </row>
    <row r="940">
      <c r="E940" s="102"/>
    </row>
    <row r="941">
      <c r="E941" s="102"/>
    </row>
    <row r="942">
      <c r="E942" s="102"/>
    </row>
    <row r="943">
      <c r="E943" s="102"/>
    </row>
    <row r="944">
      <c r="E944" s="102"/>
    </row>
    <row r="945">
      <c r="E945" s="102"/>
    </row>
    <row r="946">
      <c r="E946" s="102"/>
    </row>
    <row r="947">
      <c r="E947" s="102"/>
    </row>
    <row r="948">
      <c r="E948" s="102"/>
    </row>
    <row r="949">
      <c r="E949" s="102"/>
    </row>
    <row r="950">
      <c r="E950" s="102"/>
    </row>
    <row r="951">
      <c r="E951" s="102"/>
    </row>
    <row r="952">
      <c r="E952" s="102"/>
    </row>
    <row r="953">
      <c r="E953" s="102"/>
    </row>
    <row r="954">
      <c r="E954" s="102"/>
    </row>
    <row r="955">
      <c r="E955" s="102"/>
    </row>
    <row r="956">
      <c r="E956" s="102"/>
    </row>
    <row r="957">
      <c r="E957" s="102"/>
    </row>
    <row r="958">
      <c r="E958" s="102"/>
    </row>
    <row r="959">
      <c r="E959" s="102"/>
    </row>
    <row r="960">
      <c r="E960" s="102"/>
    </row>
    <row r="961">
      <c r="E961" s="102"/>
    </row>
    <row r="962">
      <c r="E962" s="102"/>
    </row>
    <row r="963">
      <c r="E963" s="102"/>
    </row>
    <row r="964">
      <c r="E964" s="102"/>
    </row>
    <row r="965">
      <c r="E965" s="102"/>
    </row>
    <row r="966">
      <c r="E966" s="102"/>
    </row>
    <row r="967">
      <c r="E967" s="102"/>
    </row>
    <row r="968">
      <c r="E968" s="102"/>
    </row>
    <row r="969">
      <c r="E969" s="102"/>
    </row>
    <row r="970">
      <c r="E970" s="102"/>
    </row>
    <row r="971">
      <c r="E971" s="102"/>
    </row>
    <row r="972">
      <c r="E972" s="102"/>
    </row>
    <row r="973">
      <c r="E973" s="102"/>
    </row>
    <row r="974">
      <c r="E974" s="102"/>
    </row>
    <row r="975">
      <c r="E975" s="102"/>
    </row>
    <row r="976">
      <c r="E976" s="102"/>
    </row>
    <row r="977">
      <c r="E977" s="102"/>
    </row>
    <row r="978">
      <c r="E978" s="102"/>
    </row>
    <row r="979">
      <c r="E979" s="102"/>
    </row>
    <row r="980">
      <c r="E980" s="102"/>
    </row>
    <row r="981">
      <c r="E981" s="102"/>
    </row>
    <row r="982">
      <c r="E982" s="102"/>
    </row>
    <row r="983">
      <c r="E983" s="102"/>
    </row>
    <row r="984">
      <c r="E984" s="102"/>
    </row>
    <row r="985">
      <c r="E985" s="102"/>
    </row>
    <row r="986">
      <c r="E986" s="102"/>
    </row>
    <row r="987">
      <c r="E987" s="102"/>
    </row>
    <row r="988">
      <c r="E988" s="102"/>
    </row>
    <row r="989">
      <c r="E989" s="102"/>
    </row>
    <row r="990">
      <c r="E990" s="102"/>
    </row>
    <row r="991">
      <c r="E991" s="102"/>
    </row>
    <row r="992">
      <c r="E992" s="102"/>
    </row>
    <row r="993">
      <c r="E993" s="102"/>
    </row>
    <row r="994">
      <c r="E994" s="102"/>
    </row>
    <row r="995">
      <c r="E995" s="102"/>
    </row>
    <row r="996">
      <c r="E996" s="102"/>
    </row>
    <row r="997">
      <c r="E997" s="102"/>
    </row>
    <row r="998">
      <c r="E998" s="102"/>
    </row>
    <row r="999">
      <c r="E999" s="102"/>
    </row>
    <row r="1000">
      <c r="E1000" s="102"/>
    </row>
    <row r="1001">
      <c r="E1001" s="102"/>
    </row>
    <row r="1002">
      <c r="E1002" s="102"/>
    </row>
    <row r="1003">
      <c r="E1003" s="102"/>
    </row>
    <row r="1004">
      <c r="E1004" s="102"/>
    </row>
    <row r="1005">
      <c r="E1005" s="102"/>
    </row>
    <row r="1006">
      <c r="E1006" s="102"/>
    </row>
    <row r="1007">
      <c r="E1007" s="102"/>
    </row>
    <row r="1008">
      <c r="E1008" s="102"/>
    </row>
    <row r="1009">
      <c r="E1009" s="102"/>
    </row>
    <row r="1010">
      <c r="E1010" s="102"/>
    </row>
    <row r="1011">
      <c r="E1011" s="102"/>
    </row>
    <row r="1012">
      <c r="E1012" s="102"/>
    </row>
    <row r="1013">
      <c r="E1013" s="102"/>
    </row>
    <row r="1014">
      <c r="E1014" s="102"/>
    </row>
    <row r="1015">
      <c r="E1015" s="102"/>
    </row>
    <row r="1016">
      <c r="E1016" s="102"/>
    </row>
    <row r="1017">
      <c r="E1017" s="102"/>
    </row>
    <row r="1018">
      <c r="E1018" s="102"/>
    </row>
    <row r="1019">
      <c r="E1019" s="102"/>
    </row>
    <row r="1020">
      <c r="E1020" s="102"/>
    </row>
    <row r="1021">
      <c r="E1021" s="102"/>
    </row>
    <row r="1022">
      <c r="E1022" s="102"/>
    </row>
    <row r="1023">
      <c r="E1023" s="102"/>
    </row>
    <row r="1024">
      <c r="E1024" s="102"/>
    </row>
    <row r="1025">
      <c r="E1025" s="102"/>
    </row>
    <row r="1026">
      <c r="E1026" s="102"/>
    </row>
    <row r="1027">
      <c r="E1027" s="102"/>
    </row>
    <row r="1028">
      <c r="E1028" s="102"/>
    </row>
    <row r="1029">
      <c r="E1029" s="102"/>
    </row>
    <row r="1030">
      <c r="E1030" s="102"/>
    </row>
    <row r="1031">
      <c r="E1031" s="102"/>
    </row>
    <row r="1032">
      <c r="E1032" s="102"/>
    </row>
    <row r="1033">
      <c r="E1033" s="102"/>
    </row>
    <row r="1034">
      <c r="E1034" s="102"/>
    </row>
    <row r="1035">
      <c r="E1035" s="102"/>
    </row>
    <row r="1036">
      <c r="E1036" s="102"/>
    </row>
    <row r="1037">
      <c r="E1037" s="102"/>
    </row>
    <row r="1038">
      <c r="E1038" s="102"/>
    </row>
    <row r="1039">
      <c r="E1039" s="102"/>
    </row>
    <row r="1040">
      <c r="E1040" s="102"/>
    </row>
    <row r="1041">
      <c r="E1041" s="102"/>
    </row>
    <row r="1042">
      <c r="E1042" s="102"/>
    </row>
    <row r="1043">
      <c r="E1043" s="102"/>
    </row>
    <row r="1044">
      <c r="E1044" s="102"/>
    </row>
    <row r="1045">
      <c r="E1045" s="102"/>
    </row>
    <row r="1046">
      <c r="E1046" s="102"/>
    </row>
    <row r="1047">
      <c r="E1047" s="102"/>
    </row>
    <row r="1048">
      <c r="E1048" s="102"/>
    </row>
    <row r="1049">
      <c r="E1049" s="102"/>
    </row>
    <row r="1050">
      <c r="E1050" s="102"/>
    </row>
    <row r="1051">
      <c r="E1051" s="102"/>
    </row>
    <row r="1052">
      <c r="E1052" s="102"/>
    </row>
    <row r="1053">
      <c r="E1053" s="102"/>
    </row>
    <row r="1054">
      <c r="E1054" s="102"/>
    </row>
    <row r="1055">
      <c r="E1055" s="102"/>
    </row>
    <row r="1056">
      <c r="E1056" s="102"/>
    </row>
    <row r="1057">
      <c r="E1057" s="102"/>
    </row>
    <row r="1058">
      <c r="E1058" s="102"/>
    </row>
    <row r="1059">
      <c r="E1059" s="102"/>
    </row>
    <row r="1060">
      <c r="E1060" s="102"/>
    </row>
    <row r="1061">
      <c r="E1061" s="102"/>
    </row>
    <row r="1062">
      <c r="E1062" s="102"/>
    </row>
    <row r="1063">
      <c r="E1063" s="102"/>
    </row>
    <row r="1064">
      <c r="E1064" s="102"/>
    </row>
    <row r="1065">
      <c r="E1065" s="102"/>
    </row>
    <row r="1066">
      <c r="E1066" s="102"/>
    </row>
    <row r="1067">
      <c r="E1067" s="102"/>
    </row>
    <row r="1068">
      <c r="E1068" s="102"/>
    </row>
    <row r="1069">
      <c r="E1069" s="102"/>
    </row>
    <row r="1070">
      <c r="E1070" s="102"/>
    </row>
    <row r="1071">
      <c r="E1071" s="102"/>
    </row>
    <row r="1072">
      <c r="E1072" s="102"/>
    </row>
    <row r="1073">
      <c r="E1073" s="102"/>
    </row>
    <row r="1074">
      <c r="E1074" s="102"/>
    </row>
    <row r="1075">
      <c r="E1075" s="102"/>
    </row>
    <row r="1076">
      <c r="E1076" s="102"/>
    </row>
    <row r="1077">
      <c r="E1077" s="102"/>
    </row>
    <row r="1078">
      <c r="E1078" s="102"/>
    </row>
    <row r="1079">
      <c r="E1079" s="102"/>
    </row>
    <row r="1080">
      <c r="E1080" s="102"/>
    </row>
    <row r="1081">
      <c r="E1081" s="102"/>
    </row>
    <row r="1082">
      <c r="E1082" s="102"/>
    </row>
    <row r="1083">
      <c r="E1083" s="102"/>
    </row>
    <row r="1084">
      <c r="E1084" s="102"/>
    </row>
    <row r="1085">
      <c r="E1085" s="102"/>
    </row>
    <row r="1086">
      <c r="E1086" s="102"/>
    </row>
    <row r="1087">
      <c r="E1087" s="102"/>
    </row>
    <row r="1088">
      <c r="E1088" s="102"/>
    </row>
    <row r="1089">
      <c r="E1089" s="102"/>
    </row>
    <row r="1090">
      <c r="E1090" s="102"/>
    </row>
    <row r="1091">
      <c r="E1091" s="102"/>
    </row>
    <row r="1092">
      <c r="E1092" s="102"/>
    </row>
    <row r="1093">
      <c r="E1093" s="102"/>
    </row>
    <row r="1094">
      <c r="E1094" s="102"/>
    </row>
    <row r="1095">
      <c r="E1095" s="102"/>
    </row>
    <row r="1096">
      <c r="E1096" s="102"/>
    </row>
    <row r="1097">
      <c r="E1097" s="102"/>
    </row>
    <row r="1098">
      <c r="E1098" s="102"/>
    </row>
    <row r="1099">
      <c r="E1099" s="102"/>
    </row>
    <row r="1100">
      <c r="E1100" s="102"/>
    </row>
    <row r="1101">
      <c r="E1101" s="102"/>
    </row>
    <row r="1102">
      <c r="E1102" s="102"/>
    </row>
    <row r="1103">
      <c r="E1103" s="102"/>
    </row>
    <row r="1104">
      <c r="E1104" s="102"/>
    </row>
    <row r="1105">
      <c r="E1105" s="102"/>
    </row>
    <row r="1106">
      <c r="E1106" s="102"/>
    </row>
    <row r="1107">
      <c r="E1107" s="102"/>
    </row>
    <row r="1108">
      <c r="E1108" s="102"/>
    </row>
    <row r="1109">
      <c r="E1109" s="102"/>
    </row>
    <row r="1110">
      <c r="E1110" s="102"/>
    </row>
    <row r="1111">
      <c r="E1111" s="102"/>
    </row>
    <row r="1112">
      <c r="E1112" s="102"/>
    </row>
    <row r="1113">
      <c r="E1113" s="102"/>
    </row>
    <row r="1114">
      <c r="E1114" s="102"/>
    </row>
    <row r="1115">
      <c r="E1115" s="102"/>
    </row>
    <row r="1116">
      <c r="E1116" s="102"/>
    </row>
    <row r="1117">
      <c r="E1117" s="102"/>
    </row>
    <row r="1118">
      <c r="E1118" s="102"/>
    </row>
    <row r="1119">
      <c r="E1119" s="102"/>
    </row>
    <row r="1120">
      <c r="E1120" s="102"/>
    </row>
    <row r="1121">
      <c r="E1121" s="102"/>
    </row>
    <row r="1122">
      <c r="E1122" s="102"/>
    </row>
    <row r="1123">
      <c r="E1123" s="102"/>
    </row>
    <row r="1124">
      <c r="E1124" s="102"/>
    </row>
    <row r="1125">
      <c r="E1125" s="102"/>
    </row>
    <row r="1126">
      <c r="E1126" s="102"/>
    </row>
    <row r="1127">
      <c r="E1127" s="102"/>
    </row>
    <row r="1128">
      <c r="E1128" s="102"/>
    </row>
    <row r="1129">
      <c r="E1129" s="102"/>
    </row>
    <row r="1130">
      <c r="E1130" s="102"/>
    </row>
    <row r="1131">
      <c r="E1131" s="102"/>
    </row>
    <row r="1132">
      <c r="E1132" s="102"/>
    </row>
    <row r="1133">
      <c r="E1133" s="102"/>
    </row>
    <row r="1134">
      <c r="E1134" s="102"/>
    </row>
    <row r="1135">
      <c r="E1135" s="102"/>
    </row>
    <row r="1136">
      <c r="E1136" s="102"/>
    </row>
    <row r="1137">
      <c r="E1137" s="102"/>
    </row>
    <row r="1138">
      <c r="E1138" s="102"/>
    </row>
    <row r="1139">
      <c r="E1139" s="102"/>
    </row>
    <row r="1140">
      <c r="E1140" s="102"/>
    </row>
    <row r="1141">
      <c r="E1141" s="102"/>
    </row>
    <row r="1142">
      <c r="E1142" s="102"/>
    </row>
    <row r="1143">
      <c r="E1143" s="102"/>
    </row>
    <row r="1144">
      <c r="E1144" s="102"/>
    </row>
    <row r="1145">
      <c r="E1145" s="102"/>
    </row>
    <row r="1146">
      <c r="E1146" s="102"/>
    </row>
    <row r="1147">
      <c r="E1147" s="102"/>
    </row>
    <row r="1148">
      <c r="E1148" s="102"/>
    </row>
    <row r="1149">
      <c r="E1149" s="102"/>
    </row>
    <row r="1150">
      <c r="E1150" s="102"/>
    </row>
    <row r="1151">
      <c r="E1151" s="102"/>
    </row>
    <row r="1152">
      <c r="E1152" s="102"/>
    </row>
    <row r="1153">
      <c r="E1153" s="102"/>
    </row>
    <row r="1154">
      <c r="E1154" s="102"/>
    </row>
    <row r="1155">
      <c r="E1155" s="102"/>
    </row>
    <row r="1156">
      <c r="E1156" s="102"/>
    </row>
    <row r="1157">
      <c r="E1157" s="102"/>
    </row>
    <row r="1158">
      <c r="E1158" s="102"/>
    </row>
    <row r="1159">
      <c r="E1159" s="102"/>
    </row>
    <row r="1160">
      <c r="E1160" s="102"/>
    </row>
    <row r="1161">
      <c r="E1161" s="102"/>
    </row>
    <row r="1162">
      <c r="E1162" s="102"/>
    </row>
    <row r="1163">
      <c r="E1163" s="102"/>
    </row>
    <row r="1164">
      <c r="E1164" s="102"/>
    </row>
    <row r="1165">
      <c r="E1165" s="102"/>
    </row>
    <row r="1166">
      <c r="E1166" s="102"/>
    </row>
    <row r="1167">
      <c r="E1167" s="102"/>
    </row>
    <row r="1168">
      <c r="E1168" s="102"/>
    </row>
    <row r="1169">
      <c r="E1169" s="102"/>
    </row>
    <row r="1170">
      <c r="E1170" s="102"/>
    </row>
    <row r="1171">
      <c r="E1171" s="102"/>
    </row>
    <row r="1172">
      <c r="E1172" s="102"/>
    </row>
    <row r="1173">
      <c r="E1173" s="102"/>
    </row>
    <row r="1174">
      <c r="E1174" s="102"/>
    </row>
    <row r="1175">
      <c r="E1175" s="102"/>
    </row>
    <row r="1176">
      <c r="E1176" s="102"/>
    </row>
    <row r="1177">
      <c r="E1177" s="102"/>
    </row>
    <row r="1178">
      <c r="E1178" s="102"/>
    </row>
    <row r="1179">
      <c r="E1179" s="102"/>
    </row>
    <row r="1180">
      <c r="E1180" s="102"/>
    </row>
    <row r="1181">
      <c r="E1181" s="102"/>
    </row>
    <row r="1182">
      <c r="E1182" s="102"/>
    </row>
    <row r="1183">
      <c r="E1183" s="102"/>
    </row>
    <row r="1184">
      <c r="E1184" s="102"/>
    </row>
    <row r="1185">
      <c r="E1185" s="102"/>
    </row>
    <row r="1186">
      <c r="E1186" s="102"/>
    </row>
    <row r="1187">
      <c r="E1187" s="102"/>
    </row>
    <row r="1188">
      <c r="E1188" s="102"/>
    </row>
    <row r="1189">
      <c r="E1189" s="102"/>
    </row>
    <row r="1190">
      <c r="E1190" s="102"/>
    </row>
    <row r="1191">
      <c r="E1191" s="102"/>
    </row>
    <row r="1192">
      <c r="E1192" s="102"/>
    </row>
    <row r="1193">
      <c r="E1193" s="102"/>
    </row>
    <row r="1194">
      <c r="E1194" s="102"/>
    </row>
    <row r="1195">
      <c r="E1195" s="102"/>
    </row>
    <row r="1196">
      <c r="E1196" s="102"/>
    </row>
    <row r="1197">
      <c r="E1197" s="102"/>
    </row>
    <row r="1198">
      <c r="E1198" s="102"/>
    </row>
    <row r="1199">
      <c r="E1199" s="102"/>
    </row>
    <row r="1200">
      <c r="E1200" s="102"/>
    </row>
    <row r="1201">
      <c r="E1201" s="102"/>
    </row>
    <row r="1202">
      <c r="E1202" s="102"/>
    </row>
    <row r="1203">
      <c r="E1203" s="102"/>
    </row>
    <row r="1204">
      <c r="E1204" s="102"/>
    </row>
    <row r="1205">
      <c r="E1205" s="102"/>
    </row>
    <row r="1206">
      <c r="E1206" s="102"/>
    </row>
    <row r="1207">
      <c r="E1207" s="102"/>
    </row>
    <row r="1208">
      <c r="E1208" s="102"/>
    </row>
    <row r="1209">
      <c r="E1209" s="102"/>
    </row>
    <row r="1210">
      <c r="E1210" s="102"/>
    </row>
    <row r="1211">
      <c r="E1211" s="102"/>
    </row>
    <row r="1212">
      <c r="E1212" s="102"/>
    </row>
    <row r="1213">
      <c r="E1213" s="102"/>
    </row>
    <row r="1214">
      <c r="E1214" s="102"/>
    </row>
    <row r="1215">
      <c r="E1215" s="102"/>
    </row>
    <row r="1216">
      <c r="E1216" s="102"/>
    </row>
    <row r="1217">
      <c r="E1217" s="102"/>
    </row>
    <row r="1218">
      <c r="E1218" s="102"/>
    </row>
    <row r="1219">
      <c r="E1219" s="102"/>
    </row>
    <row r="1220">
      <c r="E1220" s="102"/>
    </row>
    <row r="1221">
      <c r="E1221" s="102"/>
    </row>
    <row r="1222">
      <c r="E1222" s="102"/>
    </row>
    <row r="1223">
      <c r="E1223" s="102"/>
    </row>
    <row r="1224">
      <c r="E1224" s="102"/>
    </row>
    <row r="1225">
      <c r="E1225" s="102"/>
    </row>
    <row r="1226">
      <c r="E1226" s="102"/>
    </row>
    <row r="1227">
      <c r="E1227" s="102"/>
    </row>
    <row r="1228">
      <c r="E1228" s="102"/>
    </row>
    <row r="1229">
      <c r="E1229" s="102"/>
    </row>
    <row r="1230">
      <c r="E1230" s="102"/>
    </row>
    <row r="1231">
      <c r="E1231" s="102"/>
    </row>
    <row r="1232">
      <c r="E1232" s="102"/>
    </row>
    <row r="1233">
      <c r="E1233" s="102"/>
    </row>
    <row r="1234">
      <c r="E1234" s="102"/>
    </row>
    <row r="1235">
      <c r="E1235" s="102"/>
    </row>
    <row r="1236">
      <c r="E1236" s="102"/>
    </row>
    <row r="1237">
      <c r="E1237" s="102"/>
    </row>
    <row r="1238">
      <c r="E1238" s="102"/>
    </row>
    <row r="1239">
      <c r="E1239" s="102"/>
    </row>
    <row r="1240">
      <c r="E1240" s="102"/>
    </row>
    <row r="1241">
      <c r="E1241" s="102"/>
    </row>
    <row r="1242">
      <c r="E1242" s="102"/>
    </row>
    <row r="1243">
      <c r="E1243" s="102"/>
    </row>
    <row r="1244">
      <c r="E1244" s="102"/>
    </row>
    <row r="1245">
      <c r="E1245" s="102"/>
    </row>
    <row r="1246">
      <c r="E1246" s="102"/>
    </row>
    <row r="1247">
      <c r="E1247" s="102"/>
    </row>
    <row r="1248">
      <c r="E1248" s="102"/>
    </row>
    <row r="1249">
      <c r="E1249" s="102"/>
    </row>
    <row r="1250">
      <c r="E1250" s="102"/>
    </row>
    <row r="1251">
      <c r="E1251" s="102"/>
    </row>
    <row r="1252">
      <c r="E1252" s="102"/>
    </row>
    <row r="1253">
      <c r="E1253" s="102"/>
    </row>
    <row r="1254">
      <c r="E1254" s="102"/>
    </row>
    <row r="1255">
      <c r="E1255" s="102"/>
    </row>
    <row r="1256">
      <c r="E1256" s="102"/>
    </row>
    <row r="1257">
      <c r="E1257" s="102"/>
    </row>
    <row r="1258">
      <c r="E1258" s="102"/>
    </row>
    <row r="1259">
      <c r="E1259" s="102"/>
    </row>
    <row r="1260">
      <c r="E1260" s="102"/>
    </row>
    <row r="1261">
      <c r="E1261" s="102"/>
    </row>
    <row r="1262">
      <c r="E1262" s="102"/>
    </row>
    <row r="1263">
      <c r="E1263" s="102"/>
    </row>
    <row r="1264">
      <c r="E1264" s="102"/>
    </row>
    <row r="1265">
      <c r="E1265" s="102"/>
    </row>
    <row r="1266">
      <c r="E1266" s="102"/>
    </row>
    <row r="1267">
      <c r="E1267" s="102"/>
    </row>
    <row r="1268">
      <c r="E1268" s="102"/>
    </row>
    <row r="1269">
      <c r="E1269" s="102"/>
    </row>
    <row r="1270">
      <c r="E1270" s="102"/>
    </row>
    <row r="1271">
      <c r="E1271" s="102"/>
    </row>
    <row r="1272">
      <c r="E1272" s="102"/>
    </row>
    <row r="1273">
      <c r="E1273" s="102"/>
    </row>
    <row r="1274">
      <c r="E1274" s="102"/>
    </row>
    <row r="1275">
      <c r="E1275" s="102"/>
    </row>
    <row r="1276">
      <c r="E1276" s="102"/>
    </row>
    <row r="1277">
      <c r="E1277" s="102"/>
    </row>
    <row r="1278">
      <c r="E1278" s="102"/>
    </row>
    <row r="1279">
      <c r="E1279" s="102"/>
    </row>
    <row r="1280">
      <c r="E1280" s="102"/>
    </row>
    <row r="1281">
      <c r="E1281" s="102"/>
    </row>
    <row r="1282">
      <c r="E1282" s="102"/>
    </row>
    <row r="1283">
      <c r="E1283" s="102"/>
    </row>
    <row r="1284">
      <c r="E1284" s="102"/>
    </row>
    <row r="1285">
      <c r="E1285" s="102"/>
    </row>
    <row r="1286">
      <c r="E1286" s="102"/>
    </row>
    <row r="1287">
      <c r="E1287" s="102"/>
    </row>
    <row r="1288">
      <c r="E1288" s="102"/>
    </row>
    <row r="1289">
      <c r="E1289" s="102"/>
    </row>
    <row r="1290">
      <c r="E1290" s="102"/>
    </row>
    <row r="1291">
      <c r="E1291" s="102"/>
    </row>
    <row r="1292">
      <c r="E1292" s="102"/>
    </row>
    <row r="1293">
      <c r="E1293" s="102"/>
    </row>
    <row r="1294">
      <c r="E1294" s="102"/>
    </row>
    <row r="1295">
      <c r="E1295" s="102"/>
    </row>
    <row r="1296">
      <c r="E1296" s="102"/>
    </row>
    <row r="1297">
      <c r="E1297" s="102"/>
    </row>
    <row r="1298">
      <c r="E1298" s="102"/>
    </row>
    <row r="1299">
      <c r="E1299" s="102"/>
    </row>
    <row r="1300">
      <c r="E1300" s="102"/>
    </row>
    <row r="1301">
      <c r="E1301" s="102"/>
    </row>
    <row r="1302">
      <c r="E1302" s="102"/>
    </row>
    <row r="1303">
      <c r="E1303" s="102"/>
    </row>
    <row r="1304">
      <c r="E1304" s="102"/>
    </row>
    <row r="1305">
      <c r="E1305" s="102"/>
    </row>
    <row r="1306">
      <c r="E1306" s="102"/>
    </row>
    <row r="1307">
      <c r="E1307" s="102"/>
    </row>
    <row r="1308">
      <c r="E1308" s="102"/>
    </row>
    <row r="1309">
      <c r="E1309" s="102"/>
    </row>
    <row r="1310">
      <c r="E1310" s="102"/>
    </row>
    <row r="1311">
      <c r="E1311" s="102"/>
    </row>
    <row r="1312">
      <c r="E1312" s="102"/>
    </row>
    <row r="1313">
      <c r="E1313" s="102"/>
    </row>
    <row r="1314">
      <c r="E1314" s="102"/>
    </row>
    <row r="1315">
      <c r="E1315" s="102"/>
    </row>
    <row r="1316">
      <c r="E1316" s="102"/>
    </row>
    <row r="1317">
      <c r="E1317" s="102"/>
    </row>
    <row r="1318">
      <c r="E1318" s="102"/>
    </row>
    <row r="1319">
      <c r="E1319" s="102"/>
    </row>
    <row r="1320">
      <c r="E1320" s="102"/>
    </row>
    <row r="1321">
      <c r="E1321" s="102"/>
    </row>
    <row r="1322">
      <c r="E1322" s="102"/>
    </row>
    <row r="1323">
      <c r="E1323" s="102"/>
    </row>
    <row r="1324">
      <c r="E1324" s="102"/>
    </row>
    <row r="1325">
      <c r="E1325" s="102"/>
    </row>
    <row r="1326">
      <c r="E1326" s="102"/>
    </row>
    <row r="1327">
      <c r="E1327" s="102"/>
    </row>
    <row r="1328">
      <c r="E1328" s="102"/>
    </row>
    <row r="1329">
      <c r="E1329" s="102"/>
    </row>
    <row r="1330">
      <c r="E1330" s="102"/>
    </row>
    <row r="1331">
      <c r="E1331" s="102"/>
    </row>
    <row r="1332">
      <c r="E1332" s="102"/>
    </row>
    <row r="1333">
      <c r="E1333" s="102"/>
    </row>
    <row r="1334">
      <c r="E1334" s="102"/>
    </row>
    <row r="1335">
      <c r="E1335" s="102"/>
    </row>
    <row r="1336">
      <c r="E1336" s="102"/>
    </row>
    <row r="1337">
      <c r="E1337" s="102"/>
    </row>
    <row r="1338">
      <c r="E1338" s="102"/>
    </row>
    <row r="1339">
      <c r="E1339" s="102"/>
    </row>
    <row r="1340">
      <c r="E1340" s="102"/>
    </row>
    <row r="1341">
      <c r="E1341" s="102"/>
    </row>
    <row r="1342">
      <c r="E1342" s="102"/>
    </row>
    <row r="1343">
      <c r="E1343" s="102"/>
    </row>
    <row r="1344">
      <c r="E1344" s="102"/>
    </row>
    <row r="1345">
      <c r="E1345" s="102"/>
    </row>
    <row r="1346">
      <c r="E1346" s="102"/>
    </row>
    <row r="1347">
      <c r="E1347" s="102"/>
    </row>
    <row r="1348">
      <c r="E1348" s="102"/>
    </row>
    <row r="1349">
      <c r="E1349" s="102"/>
    </row>
    <row r="1350">
      <c r="E1350" s="102"/>
    </row>
    <row r="1351">
      <c r="E1351" s="102"/>
    </row>
    <row r="1352">
      <c r="E1352" s="102"/>
    </row>
    <row r="1353">
      <c r="E1353" s="102"/>
    </row>
    <row r="1354">
      <c r="E1354" s="102"/>
    </row>
    <row r="1355">
      <c r="E1355" s="102"/>
    </row>
    <row r="1356">
      <c r="E1356" s="102"/>
    </row>
    <row r="1357">
      <c r="E1357" s="102"/>
    </row>
    <row r="1358">
      <c r="E1358" s="102"/>
    </row>
    <row r="1359">
      <c r="E1359" s="102"/>
    </row>
    <row r="1360">
      <c r="E1360" s="102"/>
    </row>
    <row r="1361">
      <c r="E1361" s="102"/>
    </row>
    <row r="1362">
      <c r="E1362" s="102"/>
    </row>
    <row r="1363">
      <c r="E1363" s="102"/>
    </row>
    <row r="1364">
      <c r="E1364" s="102"/>
    </row>
    <row r="1365">
      <c r="E1365" s="102"/>
    </row>
    <row r="1366">
      <c r="E1366" s="102"/>
    </row>
    <row r="1367">
      <c r="E1367" s="102"/>
    </row>
    <row r="1368">
      <c r="E1368" s="102"/>
    </row>
    <row r="1369">
      <c r="E1369" s="102"/>
    </row>
    <row r="1370">
      <c r="E1370" s="102"/>
    </row>
    <row r="1371">
      <c r="E1371" s="102"/>
    </row>
    <row r="1372">
      <c r="E1372" s="102"/>
    </row>
    <row r="1373">
      <c r="E1373" s="102"/>
    </row>
    <row r="1374">
      <c r="E1374" s="102"/>
    </row>
    <row r="1375">
      <c r="E1375" s="102"/>
    </row>
    <row r="1376">
      <c r="E1376" s="102"/>
    </row>
    <row r="1377">
      <c r="E1377" s="102"/>
    </row>
    <row r="1378">
      <c r="E1378" s="102"/>
    </row>
    <row r="1379">
      <c r="E1379" s="102"/>
    </row>
    <row r="1380">
      <c r="E1380" s="102"/>
    </row>
    <row r="1381">
      <c r="E1381" s="102"/>
    </row>
    <row r="1382">
      <c r="E1382" s="102"/>
    </row>
    <row r="1383">
      <c r="E1383" s="102"/>
    </row>
    <row r="1384">
      <c r="E1384" s="102"/>
    </row>
    <row r="1385">
      <c r="E1385" s="102"/>
    </row>
    <row r="1386">
      <c r="E1386" s="102"/>
    </row>
    <row r="1387">
      <c r="E1387" s="102"/>
    </row>
    <row r="1388">
      <c r="E1388" s="102"/>
    </row>
    <row r="1389">
      <c r="E1389" s="102"/>
    </row>
    <row r="1390">
      <c r="E1390" s="102"/>
    </row>
    <row r="1391">
      <c r="E1391" s="102"/>
    </row>
    <row r="1392">
      <c r="E1392" s="102"/>
    </row>
    <row r="1393">
      <c r="E1393" s="102"/>
    </row>
    <row r="1394">
      <c r="E1394" s="102"/>
    </row>
    <row r="1395">
      <c r="E1395" s="102"/>
    </row>
    <row r="1396">
      <c r="E1396" s="102"/>
    </row>
    <row r="1397">
      <c r="E1397" s="102"/>
    </row>
    <row r="1398">
      <c r="E1398" s="102"/>
    </row>
    <row r="1399">
      <c r="E1399" s="102"/>
    </row>
    <row r="1400">
      <c r="E1400" s="102"/>
    </row>
    <row r="1401">
      <c r="E1401" s="102"/>
    </row>
    <row r="1402">
      <c r="E1402" s="102"/>
    </row>
    <row r="1403">
      <c r="E1403" s="102"/>
    </row>
    <row r="1404">
      <c r="E1404" s="102"/>
    </row>
    <row r="1405">
      <c r="E1405" s="102"/>
    </row>
    <row r="1406">
      <c r="E1406" s="102"/>
    </row>
    <row r="1407">
      <c r="E1407" s="102"/>
    </row>
    <row r="1408">
      <c r="E1408" s="102"/>
    </row>
    <row r="1409">
      <c r="E1409" s="102"/>
    </row>
    <row r="1410">
      <c r="E1410" s="102"/>
    </row>
    <row r="1411">
      <c r="E1411" s="102"/>
    </row>
    <row r="1412">
      <c r="E1412" s="102"/>
    </row>
    <row r="1413">
      <c r="E1413" s="102"/>
    </row>
    <row r="1414">
      <c r="E1414" s="102"/>
    </row>
    <row r="1415">
      <c r="E1415" s="102"/>
    </row>
    <row r="1416">
      <c r="E1416" s="102"/>
    </row>
    <row r="1417">
      <c r="E1417" s="102"/>
    </row>
    <row r="1418">
      <c r="E1418" s="102"/>
    </row>
    <row r="1419">
      <c r="E1419" s="102"/>
    </row>
    <row r="1420">
      <c r="E1420" s="102"/>
    </row>
    <row r="1421">
      <c r="E1421" s="102"/>
    </row>
    <row r="1422">
      <c r="E1422" s="102"/>
    </row>
    <row r="1423">
      <c r="E1423" s="102"/>
    </row>
    <row r="1424">
      <c r="E1424" s="102"/>
    </row>
    <row r="1425">
      <c r="E1425" s="102"/>
    </row>
    <row r="1426">
      <c r="E1426" s="102"/>
    </row>
    <row r="1427">
      <c r="E1427" s="102"/>
    </row>
    <row r="1428">
      <c r="E1428" s="102"/>
    </row>
    <row r="1429">
      <c r="E1429" s="102"/>
    </row>
    <row r="1430">
      <c r="E1430" s="102"/>
    </row>
    <row r="1431">
      <c r="E1431" s="102"/>
    </row>
    <row r="1432">
      <c r="E1432" s="102"/>
    </row>
    <row r="1433">
      <c r="E1433" s="102"/>
    </row>
    <row r="1434">
      <c r="E1434" s="102"/>
    </row>
    <row r="1435">
      <c r="E1435" s="102"/>
    </row>
    <row r="1436">
      <c r="E1436" s="102"/>
    </row>
    <row r="1437">
      <c r="E1437" s="102"/>
    </row>
    <row r="1438">
      <c r="E1438" s="102"/>
    </row>
    <row r="1439">
      <c r="E1439" s="102"/>
    </row>
    <row r="1440">
      <c r="E1440" s="102"/>
    </row>
    <row r="1441">
      <c r="E1441" s="102"/>
    </row>
    <row r="1442">
      <c r="E1442" s="102"/>
    </row>
    <row r="1443">
      <c r="E1443" s="102"/>
    </row>
    <row r="1444">
      <c r="E1444" s="102"/>
    </row>
    <row r="1445">
      <c r="E1445" s="102"/>
    </row>
    <row r="1446">
      <c r="E1446" s="102"/>
    </row>
    <row r="1447">
      <c r="E1447" s="102"/>
    </row>
    <row r="1448">
      <c r="E1448" s="102"/>
    </row>
    <row r="1449">
      <c r="E1449" s="102"/>
    </row>
    <row r="1450">
      <c r="E1450" s="102"/>
    </row>
    <row r="1451">
      <c r="E1451" s="102"/>
    </row>
    <row r="1452">
      <c r="E1452" s="102"/>
    </row>
    <row r="1453">
      <c r="E1453" s="102"/>
    </row>
    <row r="1454">
      <c r="E1454" s="102"/>
    </row>
    <row r="1455">
      <c r="E1455" s="102"/>
    </row>
    <row r="1456">
      <c r="E1456" s="102"/>
    </row>
    <row r="1457">
      <c r="E1457" s="102"/>
    </row>
    <row r="1458">
      <c r="E1458" s="102"/>
    </row>
    <row r="1459">
      <c r="E1459" s="102"/>
    </row>
    <row r="1460">
      <c r="E1460" s="102"/>
    </row>
    <row r="1461">
      <c r="E1461" s="102"/>
    </row>
    <row r="1462">
      <c r="E1462" s="102"/>
    </row>
    <row r="1463">
      <c r="E1463" s="102"/>
    </row>
    <row r="1464">
      <c r="E1464" s="102"/>
    </row>
    <row r="1465">
      <c r="E1465" s="102"/>
    </row>
    <row r="1466">
      <c r="E1466" s="102"/>
    </row>
    <row r="1467">
      <c r="E1467" s="102"/>
    </row>
    <row r="1468">
      <c r="E1468" s="102"/>
    </row>
    <row r="1469">
      <c r="E1469" s="102"/>
    </row>
    <row r="1470">
      <c r="E1470" s="102"/>
    </row>
    <row r="1471">
      <c r="E1471" s="102"/>
    </row>
    <row r="1472">
      <c r="E1472" s="102"/>
    </row>
    <row r="1473">
      <c r="E1473" s="102"/>
    </row>
    <row r="1474">
      <c r="E1474" s="102"/>
    </row>
    <row r="1475">
      <c r="E1475" s="102"/>
    </row>
    <row r="1476">
      <c r="E1476" s="102"/>
    </row>
    <row r="1477">
      <c r="E1477" s="102"/>
    </row>
    <row r="1478">
      <c r="E1478" s="102"/>
    </row>
    <row r="1479">
      <c r="E1479" s="102"/>
    </row>
    <row r="1480">
      <c r="E1480" s="102"/>
    </row>
    <row r="1481">
      <c r="E1481" s="102"/>
    </row>
    <row r="1482">
      <c r="E1482" s="102"/>
    </row>
    <row r="1483">
      <c r="E1483" s="102"/>
    </row>
    <row r="1484">
      <c r="E1484" s="102"/>
    </row>
    <row r="1485">
      <c r="E1485" s="102"/>
    </row>
    <row r="1486">
      <c r="E1486" s="102"/>
    </row>
    <row r="1487">
      <c r="E1487" s="102"/>
    </row>
    <row r="1488">
      <c r="E1488" s="102"/>
    </row>
    <row r="1489">
      <c r="E1489" s="102"/>
    </row>
    <row r="1490">
      <c r="E1490" s="102"/>
    </row>
    <row r="1491">
      <c r="E1491" s="102"/>
    </row>
    <row r="1492">
      <c r="E1492" s="102"/>
    </row>
    <row r="1493">
      <c r="E1493" s="102"/>
    </row>
    <row r="1494">
      <c r="E1494" s="102"/>
    </row>
    <row r="1495">
      <c r="E1495" s="102"/>
    </row>
    <row r="1496">
      <c r="E1496" s="102"/>
    </row>
    <row r="1497">
      <c r="E1497" s="102"/>
    </row>
    <row r="1498">
      <c r="E1498" s="102"/>
    </row>
    <row r="1499">
      <c r="E1499" s="102"/>
    </row>
    <row r="1500">
      <c r="E1500" s="102"/>
    </row>
    <row r="1501">
      <c r="E1501" s="102"/>
    </row>
    <row r="1502">
      <c r="E1502" s="102"/>
    </row>
    <row r="1503">
      <c r="E1503" s="102"/>
    </row>
    <row r="1504">
      <c r="E1504" s="102"/>
    </row>
    <row r="1505">
      <c r="E1505" s="102"/>
    </row>
    <row r="1506">
      <c r="E1506" s="102"/>
    </row>
    <row r="1507">
      <c r="E1507" s="102"/>
    </row>
    <row r="1508">
      <c r="E1508" s="102"/>
    </row>
    <row r="1509">
      <c r="E1509" s="102"/>
    </row>
    <row r="1510">
      <c r="E1510" s="102"/>
    </row>
    <row r="1511">
      <c r="E1511" s="102"/>
    </row>
    <row r="1512">
      <c r="E1512" s="102"/>
    </row>
    <row r="1513">
      <c r="E1513" s="102"/>
    </row>
    <row r="1514">
      <c r="E1514" s="102"/>
    </row>
    <row r="1515">
      <c r="E1515" s="102"/>
    </row>
    <row r="1516">
      <c r="E1516" s="102"/>
    </row>
    <row r="1517">
      <c r="E1517" s="102"/>
    </row>
    <row r="1518">
      <c r="E1518" s="102"/>
    </row>
    <row r="1519">
      <c r="E1519" s="102"/>
    </row>
    <row r="1520">
      <c r="E1520" s="102"/>
    </row>
    <row r="1521">
      <c r="E1521" s="102"/>
    </row>
    <row r="1522">
      <c r="E1522" s="102"/>
    </row>
    <row r="1523">
      <c r="E1523" s="102"/>
    </row>
    <row r="1524">
      <c r="E1524" s="102"/>
    </row>
    <row r="1525">
      <c r="E1525" s="102"/>
    </row>
    <row r="1526">
      <c r="E1526" s="102"/>
    </row>
    <row r="1527">
      <c r="E1527" s="102"/>
    </row>
    <row r="1528">
      <c r="E1528" s="102"/>
    </row>
    <row r="1529">
      <c r="E1529" s="102"/>
    </row>
    <row r="1530">
      <c r="E1530" s="102"/>
    </row>
    <row r="1531">
      <c r="E1531" s="102"/>
    </row>
    <row r="1532">
      <c r="E1532" s="102"/>
    </row>
    <row r="1533">
      <c r="E1533" s="102"/>
    </row>
    <row r="1534">
      <c r="E1534" s="102"/>
    </row>
    <row r="1535">
      <c r="E1535" s="102"/>
    </row>
    <row r="1536">
      <c r="E1536" s="102"/>
    </row>
    <row r="1537">
      <c r="E1537" s="102"/>
    </row>
    <row r="1538">
      <c r="E1538" s="102"/>
    </row>
    <row r="1539">
      <c r="E1539" s="102"/>
    </row>
    <row r="1540">
      <c r="E1540" s="102"/>
    </row>
    <row r="1541">
      <c r="E1541" s="102"/>
    </row>
    <row r="1542">
      <c r="E1542" s="102"/>
    </row>
    <row r="1543">
      <c r="E1543" s="102"/>
    </row>
    <row r="1544">
      <c r="E1544" s="102"/>
    </row>
    <row r="1545">
      <c r="E1545" s="102"/>
    </row>
    <row r="1546">
      <c r="E1546" s="102"/>
    </row>
    <row r="1547">
      <c r="E1547" s="102"/>
    </row>
    <row r="1548">
      <c r="E1548" s="102"/>
    </row>
    <row r="1549">
      <c r="E1549" s="102"/>
    </row>
    <row r="1550">
      <c r="E1550" s="102"/>
    </row>
    <row r="1551">
      <c r="E1551" s="102"/>
    </row>
    <row r="1552">
      <c r="E1552" s="102"/>
    </row>
    <row r="1553">
      <c r="E1553" s="102"/>
    </row>
    <row r="1554">
      <c r="E1554" s="102"/>
    </row>
    <row r="1555">
      <c r="E1555" s="102"/>
    </row>
    <row r="1556">
      <c r="E1556" s="102"/>
    </row>
    <row r="1557">
      <c r="E1557" s="102"/>
    </row>
    <row r="1558">
      <c r="E1558" s="102"/>
    </row>
    <row r="1559">
      <c r="E1559" s="102"/>
    </row>
    <row r="1560">
      <c r="E1560" s="102"/>
    </row>
    <row r="1561">
      <c r="E1561" s="102"/>
    </row>
    <row r="1562">
      <c r="E1562" s="102"/>
    </row>
    <row r="1563">
      <c r="E1563" s="102"/>
    </row>
    <row r="1564">
      <c r="E1564" s="102"/>
    </row>
    <row r="1565">
      <c r="E1565" s="102"/>
    </row>
    <row r="1566">
      <c r="E1566" s="102"/>
    </row>
    <row r="1567">
      <c r="E1567" s="102"/>
    </row>
    <row r="1568">
      <c r="E1568" s="102"/>
    </row>
    <row r="1569">
      <c r="E1569" s="102"/>
    </row>
    <row r="1570">
      <c r="E1570" s="102"/>
    </row>
    <row r="1571">
      <c r="E1571" s="102"/>
    </row>
    <row r="1572">
      <c r="E1572" s="102"/>
    </row>
    <row r="1573">
      <c r="E1573" s="102"/>
    </row>
    <row r="1574">
      <c r="E1574" s="102"/>
    </row>
    <row r="1575">
      <c r="E1575" s="102"/>
    </row>
    <row r="1576">
      <c r="E1576" s="102"/>
    </row>
    <row r="1577">
      <c r="E1577" s="102"/>
    </row>
    <row r="1578">
      <c r="E1578" s="102"/>
    </row>
    <row r="1579">
      <c r="E1579" s="102"/>
    </row>
    <row r="1580">
      <c r="E1580" s="102"/>
    </row>
    <row r="1581">
      <c r="E1581" s="102"/>
    </row>
    <row r="1582">
      <c r="E1582" s="102"/>
    </row>
    <row r="1583">
      <c r="E1583" s="102"/>
    </row>
    <row r="1584">
      <c r="E1584" s="102"/>
    </row>
    <row r="1585">
      <c r="E1585" s="102"/>
    </row>
    <row r="1586">
      <c r="E1586" s="102"/>
    </row>
    <row r="1587">
      <c r="E1587" s="102"/>
    </row>
    <row r="1588">
      <c r="E1588" s="102"/>
    </row>
    <row r="1589">
      <c r="E1589" s="102"/>
    </row>
    <row r="1590">
      <c r="E1590" s="102"/>
    </row>
    <row r="1591">
      <c r="E1591" s="102"/>
    </row>
    <row r="1592">
      <c r="E1592" s="102"/>
    </row>
    <row r="1593">
      <c r="E1593" s="102"/>
    </row>
    <row r="1594">
      <c r="E1594" s="102"/>
    </row>
    <row r="1595">
      <c r="E1595" s="102"/>
    </row>
    <row r="1596">
      <c r="E1596" s="102"/>
    </row>
    <row r="1597">
      <c r="E1597" s="102"/>
    </row>
    <row r="1598">
      <c r="E1598" s="102"/>
    </row>
    <row r="1599">
      <c r="E1599" s="102"/>
    </row>
    <row r="1600">
      <c r="E1600" s="102"/>
    </row>
    <row r="1601">
      <c r="E1601" s="102"/>
    </row>
    <row r="1602">
      <c r="E1602" s="102"/>
    </row>
    <row r="1603">
      <c r="E1603" s="102"/>
    </row>
    <row r="1604">
      <c r="E1604" s="102"/>
    </row>
    <row r="1605">
      <c r="E1605" s="102"/>
    </row>
    <row r="1606">
      <c r="E1606" s="102"/>
    </row>
    <row r="1607">
      <c r="E1607" s="102"/>
    </row>
    <row r="1608">
      <c r="E1608" s="102"/>
    </row>
    <row r="1609">
      <c r="E1609" s="102"/>
    </row>
    <row r="1610">
      <c r="E1610" s="102"/>
    </row>
    <row r="1611">
      <c r="E1611" s="102"/>
    </row>
    <row r="1612">
      <c r="E1612" s="102"/>
    </row>
    <row r="1613">
      <c r="E1613" s="102"/>
    </row>
    <row r="1614">
      <c r="E1614" s="102"/>
    </row>
    <row r="1615">
      <c r="E1615" s="102"/>
    </row>
    <row r="1616">
      <c r="E1616" s="102"/>
    </row>
    <row r="1617">
      <c r="E1617" s="102"/>
    </row>
    <row r="1618">
      <c r="E1618" s="102"/>
    </row>
    <row r="1619">
      <c r="E1619" s="102"/>
    </row>
    <row r="1620">
      <c r="E1620" s="102"/>
    </row>
    <row r="1621">
      <c r="E1621" s="102"/>
    </row>
    <row r="1622">
      <c r="E1622" s="102"/>
    </row>
    <row r="1623">
      <c r="E1623" s="102"/>
    </row>
    <row r="1624">
      <c r="E1624" s="102"/>
    </row>
    <row r="1625">
      <c r="E1625" s="102"/>
    </row>
    <row r="1626">
      <c r="E1626" s="102"/>
    </row>
    <row r="1627">
      <c r="E1627" s="102"/>
    </row>
    <row r="1628">
      <c r="E1628" s="102"/>
    </row>
    <row r="1629">
      <c r="E1629" s="102"/>
    </row>
    <row r="1630">
      <c r="E1630" s="102"/>
    </row>
    <row r="1631">
      <c r="E1631" s="102"/>
    </row>
    <row r="1632">
      <c r="E1632" s="102"/>
    </row>
    <row r="1633">
      <c r="E1633" s="102"/>
    </row>
    <row r="1634">
      <c r="E1634" s="102"/>
    </row>
    <row r="1635">
      <c r="E1635" s="102"/>
    </row>
    <row r="1636">
      <c r="E1636" s="102"/>
    </row>
    <row r="1637">
      <c r="E1637" s="102"/>
    </row>
    <row r="1638">
      <c r="E1638" s="102"/>
    </row>
    <row r="1639">
      <c r="E1639" s="102"/>
    </row>
    <row r="1640">
      <c r="E1640" s="102"/>
    </row>
    <row r="1641">
      <c r="E1641" s="102"/>
    </row>
    <row r="1642">
      <c r="E1642" s="102"/>
    </row>
    <row r="1643">
      <c r="E1643" s="102"/>
    </row>
    <row r="1644">
      <c r="E1644" s="102"/>
    </row>
    <row r="1645">
      <c r="E1645" s="102"/>
    </row>
    <row r="1646">
      <c r="E1646" s="102"/>
    </row>
    <row r="1647">
      <c r="E1647" s="102"/>
    </row>
    <row r="1648">
      <c r="E1648" s="102"/>
    </row>
    <row r="1649">
      <c r="E1649" s="102"/>
    </row>
    <row r="1650">
      <c r="E1650" s="102"/>
    </row>
    <row r="1651">
      <c r="E1651" s="102"/>
    </row>
    <row r="1652">
      <c r="E1652" s="102"/>
    </row>
    <row r="1653">
      <c r="E1653" s="102"/>
    </row>
    <row r="1654">
      <c r="E1654" s="102"/>
    </row>
    <row r="1655">
      <c r="E1655" s="102"/>
    </row>
    <row r="1656">
      <c r="E1656" s="102"/>
    </row>
    <row r="1657">
      <c r="E1657" s="102"/>
    </row>
    <row r="1658">
      <c r="E1658" s="102"/>
    </row>
    <row r="1659">
      <c r="E1659" s="102"/>
    </row>
    <row r="1660">
      <c r="E1660" s="102"/>
    </row>
    <row r="1661">
      <c r="E1661" s="102"/>
    </row>
    <row r="1662">
      <c r="E1662" s="102"/>
    </row>
    <row r="1663">
      <c r="E1663" s="102"/>
    </row>
    <row r="1664">
      <c r="E1664" s="102"/>
    </row>
    <row r="1665">
      <c r="E1665" s="102"/>
    </row>
    <row r="1666">
      <c r="E1666" s="102"/>
    </row>
    <row r="1667">
      <c r="E1667" s="102"/>
    </row>
    <row r="1668">
      <c r="E1668" s="102"/>
    </row>
    <row r="1669">
      <c r="E1669" s="102"/>
    </row>
    <row r="1670">
      <c r="E1670" s="102"/>
    </row>
    <row r="1671">
      <c r="E1671" s="102"/>
    </row>
    <row r="1672">
      <c r="E1672" s="102"/>
    </row>
    <row r="1673">
      <c r="E1673" s="102"/>
    </row>
    <row r="1674">
      <c r="E1674" s="102"/>
    </row>
    <row r="1675">
      <c r="E1675" s="102"/>
    </row>
    <row r="1676">
      <c r="E1676" s="102"/>
    </row>
    <row r="1677">
      <c r="E1677" s="102"/>
    </row>
    <row r="1678">
      <c r="E1678" s="102"/>
    </row>
    <row r="1679">
      <c r="E1679" s="102"/>
    </row>
    <row r="1680">
      <c r="E1680" s="102"/>
    </row>
    <row r="1681">
      <c r="E1681" s="102"/>
    </row>
    <row r="1682">
      <c r="E1682" s="102"/>
    </row>
    <row r="1683">
      <c r="E1683" s="102"/>
    </row>
    <row r="1684">
      <c r="E1684" s="102"/>
    </row>
    <row r="1685">
      <c r="E1685" s="102"/>
    </row>
    <row r="1686">
      <c r="E1686" s="102"/>
    </row>
    <row r="1687">
      <c r="E1687" s="102"/>
    </row>
    <row r="1688">
      <c r="E1688" s="102"/>
    </row>
    <row r="1689">
      <c r="E1689" s="102"/>
    </row>
    <row r="1690">
      <c r="E1690" s="102"/>
    </row>
    <row r="1691">
      <c r="E1691" s="102"/>
    </row>
    <row r="1692">
      <c r="E1692" s="102"/>
    </row>
    <row r="1693">
      <c r="E1693" s="102"/>
    </row>
    <row r="1694">
      <c r="E1694" s="102"/>
    </row>
    <row r="1695">
      <c r="E1695" s="102"/>
    </row>
    <row r="1696">
      <c r="E1696" s="102"/>
    </row>
    <row r="1697">
      <c r="E1697" s="102"/>
    </row>
    <row r="1698">
      <c r="E1698" s="102"/>
    </row>
    <row r="1699">
      <c r="E1699" s="102"/>
    </row>
    <row r="1700">
      <c r="E1700" s="102"/>
    </row>
    <row r="1701">
      <c r="E1701" s="102"/>
    </row>
    <row r="1702">
      <c r="E1702" s="102"/>
    </row>
    <row r="1703">
      <c r="E1703" s="102"/>
    </row>
    <row r="1704">
      <c r="E1704" s="102"/>
    </row>
    <row r="1705">
      <c r="E1705" s="102"/>
    </row>
    <row r="1706">
      <c r="E1706" s="102"/>
    </row>
    <row r="1707">
      <c r="E1707" s="102"/>
    </row>
    <row r="1708">
      <c r="E1708" s="102"/>
    </row>
    <row r="1709">
      <c r="E1709" s="102"/>
    </row>
    <row r="1710">
      <c r="E1710" s="102"/>
    </row>
    <row r="1711">
      <c r="E1711" s="102"/>
    </row>
    <row r="1712">
      <c r="E1712" s="102"/>
    </row>
    <row r="1713">
      <c r="E1713" s="102"/>
    </row>
    <row r="1714">
      <c r="E1714" s="102"/>
    </row>
    <row r="1715">
      <c r="E1715" s="102"/>
    </row>
    <row r="1716">
      <c r="E1716" s="102"/>
    </row>
    <row r="1717">
      <c r="E1717" s="102"/>
    </row>
    <row r="1718">
      <c r="E1718" s="102"/>
    </row>
    <row r="1719">
      <c r="E1719" s="102"/>
    </row>
    <row r="1720">
      <c r="E1720" s="102"/>
    </row>
    <row r="1721">
      <c r="E1721" s="102"/>
    </row>
    <row r="1722">
      <c r="E1722" s="102"/>
    </row>
    <row r="1723">
      <c r="E1723" s="102"/>
    </row>
    <row r="1724">
      <c r="E1724" s="102"/>
    </row>
    <row r="1725">
      <c r="E1725" s="102"/>
    </row>
    <row r="1726">
      <c r="E1726" s="102"/>
    </row>
    <row r="1727">
      <c r="E1727" s="102"/>
    </row>
    <row r="1728">
      <c r="E1728" s="102"/>
    </row>
    <row r="1729">
      <c r="E1729" s="102"/>
    </row>
    <row r="1730">
      <c r="E1730" s="102"/>
    </row>
    <row r="1731">
      <c r="E1731" s="102"/>
    </row>
    <row r="1732">
      <c r="E1732" s="102"/>
    </row>
    <row r="1733">
      <c r="E1733" s="102"/>
    </row>
    <row r="1734">
      <c r="E1734" s="102"/>
    </row>
    <row r="1735">
      <c r="E1735" s="102"/>
    </row>
    <row r="1736">
      <c r="E1736" s="102"/>
    </row>
    <row r="1737">
      <c r="E1737" s="102"/>
    </row>
    <row r="1738">
      <c r="E1738" s="102"/>
    </row>
    <row r="1739">
      <c r="E1739" s="102"/>
    </row>
    <row r="1740">
      <c r="E1740" s="102"/>
    </row>
    <row r="1741">
      <c r="E1741" s="102"/>
    </row>
    <row r="1742">
      <c r="E1742" s="102"/>
    </row>
    <row r="1743">
      <c r="E1743" s="102"/>
    </row>
    <row r="1744">
      <c r="E1744" s="102"/>
    </row>
    <row r="1745">
      <c r="E1745" s="102"/>
    </row>
    <row r="1746">
      <c r="E1746" s="102"/>
    </row>
    <row r="1747">
      <c r="E1747" s="102"/>
    </row>
    <row r="1748">
      <c r="E1748" s="102"/>
    </row>
    <row r="1749">
      <c r="E1749" s="102"/>
    </row>
    <row r="1750">
      <c r="E1750" s="102"/>
    </row>
    <row r="1751">
      <c r="E1751" s="102"/>
    </row>
    <row r="1752">
      <c r="E1752" s="102"/>
    </row>
    <row r="1753">
      <c r="E1753" s="102"/>
    </row>
    <row r="1754">
      <c r="E1754" s="102"/>
    </row>
    <row r="1755">
      <c r="E1755" s="102"/>
    </row>
    <row r="1756">
      <c r="E1756" s="102"/>
    </row>
    <row r="1757">
      <c r="E1757" s="102"/>
    </row>
    <row r="1758">
      <c r="E1758" s="102"/>
    </row>
    <row r="1759">
      <c r="E1759" s="102"/>
    </row>
    <row r="1760">
      <c r="E1760" s="102"/>
    </row>
    <row r="1761">
      <c r="E1761" s="102"/>
    </row>
    <row r="1762">
      <c r="E1762" s="102"/>
    </row>
    <row r="1763">
      <c r="E1763" s="102"/>
    </row>
    <row r="1764">
      <c r="E1764" s="102"/>
    </row>
    <row r="1765">
      <c r="E1765" s="102"/>
    </row>
    <row r="1766">
      <c r="E1766" s="102"/>
    </row>
    <row r="1767">
      <c r="E1767" s="102"/>
    </row>
    <row r="1768">
      <c r="E1768" s="102"/>
    </row>
    <row r="1769">
      <c r="E1769" s="102"/>
    </row>
    <row r="1770">
      <c r="E1770" s="102"/>
    </row>
    <row r="1771">
      <c r="E1771" s="102"/>
    </row>
    <row r="1772">
      <c r="E1772" s="102"/>
    </row>
    <row r="1773">
      <c r="E1773" s="102"/>
    </row>
    <row r="1774">
      <c r="E1774" s="102"/>
    </row>
    <row r="1775">
      <c r="E1775" s="102"/>
    </row>
    <row r="1776">
      <c r="E1776" s="102"/>
    </row>
    <row r="1777">
      <c r="E1777" s="102"/>
    </row>
    <row r="1778">
      <c r="E1778" s="102"/>
    </row>
    <row r="1779">
      <c r="E1779" s="102"/>
    </row>
    <row r="1780">
      <c r="E1780" s="102"/>
    </row>
    <row r="1781">
      <c r="E1781" s="102"/>
    </row>
    <row r="1782">
      <c r="E1782" s="102"/>
    </row>
    <row r="1783">
      <c r="E1783" s="102"/>
    </row>
    <row r="1784">
      <c r="E1784" s="102"/>
    </row>
    <row r="1785">
      <c r="E1785" s="102"/>
    </row>
    <row r="1786">
      <c r="E1786" s="102"/>
    </row>
    <row r="1787">
      <c r="E1787" s="102"/>
    </row>
    <row r="1788">
      <c r="E1788" s="102"/>
    </row>
    <row r="1789">
      <c r="E1789" s="102"/>
    </row>
    <row r="1790">
      <c r="E1790" s="102"/>
    </row>
    <row r="1791">
      <c r="E1791" s="102"/>
    </row>
    <row r="1792">
      <c r="E1792" s="102"/>
    </row>
    <row r="1793">
      <c r="E1793" s="102"/>
    </row>
    <row r="1794">
      <c r="E1794" s="102"/>
    </row>
    <row r="1795">
      <c r="E1795" s="102"/>
    </row>
    <row r="1796">
      <c r="E1796" s="102"/>
    </row>
    <row r="1797">
      <c r="E1797" s="102"/>
    </row>
    <row r="1798">
      <c r="E1798" s="102"/>
    </row>
    <row r="1799">
      <c r="E1799" s="102"/>
    </row>
    <row r="1800">
      <c r="E1800" s="102"/>
    </row>
    <row r="1801">
      <c r="E1801" s="102"/>
    </row>
    <row r="1802">
      <c r="E1802" s="102"/>
    </row>
    <row r="1803">
      <c r="E1803" s="102"/>
    </row>
    <row r="1804">
      <c r="E1804" s="102"/>
    </row>
    <row r="1805">
      <c r="E1805" s="102"/>
    </row>
    <row r="1806">
      <c r="E1806" s="102"/>
    </row>
    <row r="1807">
      <c r="E1807" s="102"/>
    </row>
    <row r="1808">
      <c r="E1808" s="102"/>
    </row>
    <row r="1809">
      <c r="E1809" s="102"/>
    </row>
    <row r="1810">
      <c r="E1810" s="102"/>
    </row>
    <row r="1811">
      <c r="E1811" s="102"/>
    </row>
    <row r="1812">
      <c r="E1812" s="102"/>
    </row>
    <row r="1813">
      <c r="E1813" s="102"/>
    </row>
    <row r="1814">
      <c r="E1814" s="102"/>
    </row>
    <row r="1815">
      <c r="E1815" s="102"/>
    </row>
    <row r="1816">
      <c r="E1816" s="102"/>
    </row>
    <row r="1817">
      <c r="E1817" s="102"/>
    </row>
    <row r="1818">
      <c r="E1818" s="102"/>
    </row>
    <row r="1819">
      <c r="E1819" s="102"/>
    </row>
    <row r="1820">
      <c r="E1820" s="102"/>
    </row>
    <row r="1821">
      <c r="E1821" s="102"/>
    </row>
    <row r="1822">
      <c r="E1822" s="102"/>
    </row>
    <row r="1823">
      <c r="E1823" s="102"/>
    </row>
    <row r="1824">
      <c r="E1824" s="102"/>
    </row>
    <row r="1825">
      <c r="E1825" s="102"/>
    </row>
    <row r="1826">
      <c r="E1826" s="102"/>
    </row>
    <row r="1827">
      <c r="E1827" s="102"/>
    </row>
    <row r="1828">
      <c r="E1828" s="102"/>
    </row>
    <row r="1829">
      <c r="E1829" s="102"/>
    </row>
    <row r="1830">
      <c r="E1830" s="102"/>
    </row>
    <row r="1831">
      <c r="E1831" s="102"/>
    </row>
    <row r="1832">
      <c r="E1832" s="102"/>
    </row>
    <row r="1833">
      <c r="E1833" s="102"/>
    </row>
    <row r="1834">
      <c r="E1834" s="102"/>
    </row>
    <row r="1835">
      <c r="E1835" s="102"/>
    </row>
    <row r="1836">
      <c r="E1836" s="102"/>
    </row>
    <row r="1837">
      <c r="E1837" s="102"/>
    </row>
    <row r="1838">
      <c r="E1838" s="102"/>
    </row>
    <row r="1839">
      <c r="E1839" s="102"/>
    </row>
    <row r="1840">
      <c r="E1840" s="102"/>
    </row>
    <row r="1841">
      <c r="E1841" s="102"/>
    </row>
    <row r="1842">
      <c r="E1842" s="102"/>
    </row>
    <row r="1843">
      <c r="E1843" s="102"/>
    </row>
    <row r="1844">
      <c r="E1844" s="102"/>
    </row>
    <row r="1845">
      <c r="E1845" s="102"/>
    </row>
    <row r="1846">
      <c r="E1846" s="102"/>
    </row>
    <row r="1847">
      <c r="E1847" s="102"/>
    </row>
    <row r="1848">
      <c r="E1848" s="102"/>
    </row>
    <row r="1849">
      <c r="E1849" s="102"/>
    </row>
    <row r="1850">
      <c r="E1850" s="102"/>
    </row>
    <row r="1851">
      <c r="E1851" s="102"/>
    </row>
    <row r="1852">
      <c r="E1852" s="102"/>
    </row>
    <row r="1853">
      <c r="E1853" s="102"/>
    </row>
    <row r="1854">
      <c r="E1854" s="102"/>
    </row>
    <row r="1855">
      <c r="E1855" s="102"/>
    </row>
    <row r="1856">
      <c r="E1856" s="102"/>
    </row>
    <row r="1857">
      <c r="E1857" s="102"/>
    </row>
    <row r="1858">
      <c r="E1858" s="102"/>
    </row>
    <row r="1859">
      <c r="E1859" s="102"/>
    </row>
    <row r="1860">
      <c r="E1860" s="102"/>
    </row>
    <row r="1861">
      <c r="E1861" s="102"/>
    </row>
    <row r="1862">
      <c r="E1862" s="102"/>
    </row>
    <row r="1863">
      <c r="E1863" s="102"/>
    </row>
    <row r="1864">
      <c r="E1864" s="102"/>
    </row>
    <row r="1865">
      <c r="E1865" s="102"/>
    </row>
    <row r="1866">
      <c r="E1866" s="102"/>
    </row>
    <row r="1867">
      <c r="E1867" s="102"/>
    </row>
    <row r="1868">
      <c r="E1868" s="102"/>
    </row>
    <row r="1869">
      <c r="E1869" s="102"/>
    </row>
    <row r="1870">
      <c r="E1870" s="102"/>
    </row>
    <row r="1871">
      <c r="E1871" s="102"/>
    </row>
    <row r="1872">
      <c r="E1872" s="102"/>
    </row>
    <row r="1873">
      <c r="E1873" s="102"/>
    </row>
    <row r="1874">
      <c r="E1874" s="102"/>
    </row>
    <row r="1875">
      <c r="E1875" s="102"/>
    </row>
    <row r="1876">
      <c r="E1876" s="102"/>
    </row>
    <row r="1877">
      <c r="E1877" s="102"/>
    </row>
    <row r="1878">
      <c r="E1878" s="102"/>
    </row>
    <row r="1879">
      <c r="E1879" s="102"/>
    </row>
    <row r="1880">
      <c r="E1880" s="102"/>
    </row>
    <row r="1881">
      <c r="E1881" s="102"/>
    </row>
    <row r="1882">
      <c r="E1882" s="102"/>
    </row>
    <row r="1883">
      <c r="E1883" s="102"/>
    </row>
    <row r="1884">
      <c r="E1884" s="102"/>
    </row>
    <row r="1885">
      <c r="E1885" s="102"/>
    </row>
    <row r="1886">
      <c r="E1886" s="102"/>
    </row>
    <row r="1887">
      <c r="E1887" s="102"/>
    </row>
    <row r="1888">
      <c r="E1888" s="102"/>
    </row>
    <row r="1889">
      <c r="E1889" s="102"/>
    </row>
    <row r="1890">
      <c r="E1890" s="102"/>
    </row>
    <row r="1891">
      <c r="E1891" s="102"/>
    </row>
    <row r="1892">
      <c r="E1892" s="102"/>
    </row>
    <row r="1893">
      <c r="E1893" s="102"/>
    </row>
    <row r="1894">
      <c r="E1894" s="102"/>
    </row>
    <row r="1895">
      <c r="E1895" s="102"/>
    </row>
    <row r="1896">
      <c r="E1896" s="102"/>
    </row>
    <row r="1897">
      <c r="E1897" s="102"/>
    </row>
    <row r="1898">
      <c r="E1898" s="102"/>
    </row>
    <row r="1899">
      <c r="E1899" s="102"/>
    </row>
    <row r="1900">
      <c r="E1900" s="102"/>
    </row>
    <row r="1901">
      <c r="E1901" s="102"/>
    </row>
    <row r="1902">
      <c r="E1902" s="102"/>
    </row>
    <row r="1903">
      <c r="E1903" s="102"/>
    </row>
    <row r="1904">
      <c r="E1904" s="102"/>
    </row>
    <row r="1905">
      <c r="E1905" s="102"/>
    </row>
    <row r="1906">
      <c r="E1906" s="102"/>
    </row>
    <row r="1907">
      <c r="E1907" s="102"/>
    </row>
    <row r="1908">
      <c r="E1908" s="102"/>
    </row>
    <row r="1909">
      <c r="E1909" s="102"/>
    </row>
    <row r="1910">
      <c r="E1910" s="102"/>
    </row>
    <row r="1911">
      <c r="E1911" s="102"/>
    </row>
    <row r="1912">
      <c r="E1912" s="102"/>
    </row>
    <row r="1913">
      <c r="E1913" s="102"/>
    </row>
    <row r="1914">
      <c r="E1914" s="102"/>
    </row>
    <row r="1915">
      <c r="E1915" s="102"/>
    </row>
    <row r="1916">
      <c r="E1916" s="102"/>
    </row>
    <row r="1917">
      <c r="E1917" s="102"/>
    </row>
    <row r="1918">
      <c r="E1918" s="102"/>
    </row>
    <row r="1919">
      <c r="E1919" s="102"/>
    </row>
    <row r="1920">
      <c r="E1920" s="102"/>
    </row>
    <row r="1921">
      <c r="E1921" s="102"/>
    </row>
    <row r="1922">
      <c r="E1922" s="102"/>
    </row>
    <row r="1923">
      <c r="E1923" s="102"/>
    </row>
    <row r="1924">
      <c r="E1924" s="102"/>
    </row>
    <row r="1925">
      <c r="E1925" s="102"/>
    </row>
    <row r="1926">
      <c r="E1926" s="102"/>
    </row>
    <row r="1927">
      <c r="E1927" s="102"/>
    </row>
    <row r="1928">
      <c r="E1928" s="102"/>
    </row>
    <row r="1929">
      <c r="E1929" s="102"/>
    </row>
    <row r="1930">
      <c r="E1930" s="102"/>
    </row>
    <row r="1931">
      <c r="E1931" s="102"/>
    </row>
    <row r="1932">
      <c r="E1932" s="102"/>
    </row>
    <row r="1933">
      <c r="E1933" s="102"/>
    </row>
    <row r="1934">
      <c r="E1934" s="102"/>
    </row>
    <row r="1935">
      <c r="E1935" s="102"/>
    </row>
    <row r="1936">
      <c r="E1936" s="102"/>
    </row>
    <row r="1937">
      <c r="E1937" s="102"/>
    </row>
    <row r="1938">
      <c r="E1938" s="102"/>
    </row>
    <row r="1939">
      <c r="E1939" s="102"/>
    </row>
    <row r="1940">
      <c r="E1940" s="102"/>
    </row>
    <row r="1941">
      <c r="E1941" s="102"/>
    </row>
    <row r="1942">
      <c r="E1942" s="102"/>
    </row>
    <row r="1943">
      <c r="E1943" s="102"/>
    </row>
    <row r="1944">
      <c r="E1944" s="102"/>
    </row>
    <row r="1945">
      <c r="E1945" s="102"/>
    </row>
    <row r="1946">
      <c r="E1946" s="102"/>
    </row>
    <row r="1947">
      <c r="E1947" s="102"/>
    </row>
    <row r="1948">
      <c r="E1948" s="102"/>
    </row>
    <row r="1949">
      <c r="E1949" s="102"/>
    </row>
    <row r="1950">
      <c r="E1950" s="102"/>
    </row>
    <row r="1951">
      <c r="E1951" s="102"/>
    </row>
    <row r="1952">
      <c r="E1952" s="102"/>
    </row>
    <row r="1953">
      <c r="E1953" s="102"/>
    </row>
    <row r="1954">
      <c r="E1954" s="102"/>
    </row>
    <row r="1955">
      <c r="E1955" s="102"/>
    </row>
    <row r="1956">
      <c r="E1956" s="102"/>
    </row>
    <row r="1957">
      <c r="E1957" s="102"/>
    </row>
    <row r="1958">
      <c r="E1958" s="102"/>
    </row>
    <row r="1959">
      <c r="E1959" s="102"/>
    </row>
    <row r="1960">
      <c r="E1960" s="102"/>
    </row>
    <row r="1961">
      <c r="E1961" s="102"/>
    </row>
    <row r="1962">
      <c r="E1962" s="102"/>
    </row>
    <row r="1963">
      <c r="E1963" s="102"/>
    </row>
    <row r="1964">
      <c r="E1964" s="102"/>
    </row>
    <row r="1965">
      <c r="E1965" s="102"/>
    </row>
    <row r="1966">
      <c r="E1966" s="102"/>
    </row>
    <row r="1967">
      <c r="E1967" s="102"/>
    </row>
    <row r="1968">
      <c r="E1968" s="102"/>
    </row>
    <row r="1969">
      <c r="E1969" s="102"/>
    </row>
    <row r="1970">
      <c r="E1970" s="102"/>
    </row>
    <row r="1971">
      <c r="E1971" s="102"/>
    </row>
    <row r="1972">
      <c r="E1972" s="102"/>
    </row>
    <row r="1973">
      <c r="E1973" s="102"/>
    </row>
    <row r="1974">
      <c r="E1974" s="102"/>
    </row>
    <row r="1975">
      <c r="E1975" s="102"/>
    </row>
    <row r="1976">
      <c r="E1976" s="102"/>
    </row>
    <row r="1977">
      <c r="E1977" s="102"/>
    </row>
    <row r="1978">
      <c r="E1978" s="102"/>
    </row>
    <row r="1979">
      <c r="E1979" s="102"/>
    </row>
    <row r="1980">
      <c r="E1980" s="102"/>
    </row>
    <row r="1981">
      <c r="E1981" s="102"/>
    </row>
    <row r="1982">
      <c r="E1982" s="102"/>
    </row>
    <row r="1983">
      <c r="E1983" s="102"/>
    </row>
    <row r="1984">
      <c r="E1984" s="102"/>
    </row>
    <row r="1985">
      <c r="E1985" s="102"/>
    </row>
    <row r="1986">
      <c r="E1986" s="102"/>
    </row>
    <row r="1987">
      <c r="E1987" s="102"/>
    </row>
    <row r="1988">
      <c r="E1988" s="102"/>
    </row>
    <row r="1989">
      <c r="E1989" s="102"/>
    </row>
    <row r="1990">
      <c r="E1990" s="102"/>
    </row>
    <row r="1991">
      <c r="E1991" s="102"/>
    </row>
    <row r="1992">
      <c r="E1992" s="102"/>
    </row>
    <row r="1993">
      <c r="E1993" s="102"/>
    </row>
    <row r="1994">
      <c r="E1994" s="102"/>
    </row>
    <row r="1995">
      <c r="E1995" s="102"/>
    </row>
    <row r="1996">
      <c r="E1996" s="102"/>
    </row>
    <row r="1997">
      <c r="E1997" s="102"/>
    </row>
    <row r="1998">
      <c r="E1998" s="102"/>
    </row>
    <row r="1999">
      <c r="E1999" s="102"/>
    </row>
    <row r="2000">
      <c r="E2000" s="102"/>
    </row>
    <row r="2001">
      <c r="E2001" s="102"/>
    </row>
    <row r="2002">
      <c r="E2002" s="102"/>
    </row>
    <row r="2003">
      <c r="E2003" s="102"/>
    </row>
    <row r="2004">
      <c r="E2004" s="102"/>
    </row>
    <row r="2005">
      <c r="E2005" s="102"/>
    </row>
    <row r="2006">
      <c r="E2006" s="102"/>
    </row>
    <row r="2007">
      <c r="E2007" s="102"/>
    </row>
    <row r="2008">
      <c r="E2008" s="102"/>
    </row>
    <row r="2009">
      <c r="E2009" s="102"/>
    </row>
    <row r="2010">
      <c r="E2010" s="102"/>
    </row>
    <row r="2011">
      <c r="E2011" s="102"/>
    </row>
    <row r="2012">
      <c r="E2012" s="102"/>
    </row>
    <row r="2013">
      <c r="E2013" s="102"/>
    </row>
    <row r="2014">
      <c r="E2014" s="102"/>
    </row>
    <row r="2015">
      <c r="E2015" s="102"/>
    </row>
    <row r="2016">
      <c r="E2016" s="102"/>
    </row>
    <row r="2017">
      <c r="E2017" s="102"/>
    </row>
    <row r="2018">
      <c r="E2018" s="102"/>
    </row>
    <row r="2019">
      <c r="E2019" s="102"/>
    </row>
    <row r="2020">
      <c r="E2020" s="102"/>
    </row>
    <row r="2021">
      <c r="E2021" s="102"/>
    </row>
    <row r="2022">
      <c r="E2022" s="102"/>
    </row>
    <row r="2023">
      <c r="E2023" s="102"/>
    </row>
    <row r="2024">
      <c r="E2024" s="102"/>
    </row>
    <row r="2025">
      <c r="E2025" s="102"/>
    </row>
    <row r="2026">
      <c r="E2026" s="102"/>
    </row>
    <row r="2027">
      <c r="E2027" s="102"/>
    </row>
    <row r="2028">
      <c r="E2028" s="102"/>
    </row>
    <row r="2029">
      <c r="E2029" s="102"/>
    </row>
    <row r="2030">
      <c r="E2030" s="102"/>
    </row>
    <row r="2031">
      <c r="E2031" s="102"/>
    </row>
    <row r="2032">
      <c r="E2032" s="102"/>
    </row>
    <row r="2033">
      <c r="E2033" s="102"/>
    </row>
    <row r="2034">
      <c r="E2034" s="102"/>
    </row>
    <row r="2035">
      <c r="E2035" s="102"/>
    </row>
    <row r="2036">
      <c r="E2036" s="102"/>
    </row>
    <row r="2037">
      <c r="E2037" s="102"/>
    </row>
    <row r="2038">
      <c r="E2038" s="102"/>
    </row>
    <row r="2039">
      <c r="E2039" s="102"/>
    </row>
    <row r="2040">
      <c r="E2040" s="102"/>
    </row>
    <row r="2041">
      <c r="E2041" s="102"/>
    </row>
    <row r="2042">
      <c r="E2042" s="102"/>
    </row>
    <row r="2043">
      <c r="E2043" s="102"/>
    </row>
    <row r="2044">
      <c r="E2044" s="102"/>
    </row>
    <row r="2045">
      <c r="E2045" s="102"/>
    </row>
    <row r="2046">
      <c r="E2046" s="102"/>
    </row>
    <row r="2047">
      <c r="E2047" s="102"/>
    </row>
    <row r="2048">
      <c r="E2048" s="102"/>
    </row>
    <row r="2049">
      <c r="E2049" s="102"/>
    </row>
    <row r="2050">
      <c r="E2050" s="102"/>
    </row>
    <row r="2051">
      <c r="E2051" s="102"/>
    </row>
    <row r="2052">
      <c r="E2052" s="102"/>
    </row>
    <row r="2053">
      <c r="E2053" s="102"/>
    </row>
    <row r="2054">
      <c r="E2054" s="102"/>
    </row>
    <row r="2055">
      <c r="E2055" s="102"/>
    </row>
    <row r="2056">
      <c r="E2056" s="102"/>
    </row>
    <row r="2057">
      <c r="E2057" s="102"/>
    </row>
    <row r="2058">
      <c r="E2058" s="102"/>
    </row>
    <row r="2059">
      <c r="E2059" s="102"/>
    </row>
    <row r="2060">
      <c r="E2060" s="102"/>
    </row>
    <row r="2061">
      <c r="E2061" s="102"/>
    </row>
    <row r="2062">
      <c r="E2062" s="102"/>
    </row>
    <row r="2063">
      <c r="E2063" s="102"/>
    </row>
    <row r="2064">
      <c r="E2064" s="102"/>
    </row>
    <row r="2065">
      <c r="E2065" s="102"/>
    </row>
    <row r="2066">
      <c r="E2066" s="102"/>
    </row>
    <row r="2067">
      <c r="E2067" s="102"/>
    </row>
    <row r="2068">
      <c r="E2068" s="102"/>
    </row>
    <row r="2069">
      <c r="E2069" s="102"/>
    </row>
    <row r="2070">
      <c r="E2070" s="102"/>
    </row>
    <row r="2071">
      <c r="E2071" s="102"/>
    </row>
    <row r="2072">
      <c r="E2072" s="102"/>
    </row>
    <row r="2073">
      <c r="E2073" s="102"/>
    </row>
    <row r="2074">
      <c r="E2074" s="102"/>
    </row>
    <row r="2075">
      <c r="E2075" s="102"/>
    </row>
    <row r="2076">
      <c r="E2076" s="102"/>
    </row>
    <row r="2077">
      <c r="E2077" s="102"/>
    </row>
    <row r="2078">
      <c r="E2078" s="102"/>
    </row>
    <row r="2079">
      <c r="E2079" s="102"/>
    </row>
    <row r="2080">
      <c r="E2080" s="102"/>
    </row>
    <row r="2081">
      <c r="E2081" s="102"/>
    </row>
    <row r="2082">
      <c r="E2082" s="102"/>
    </row>
    <row r="2083">
      <c r="E2083" s="102"/>
    </row>
    <row r="2084">
      <c r="E2084" s="102"/>
    </row>
    <row r="2085">
      <c r="E2085" s="102"/>
    </row>
    <row r="2086">
      <c r="E2086" s="102"/>
    </row>
    <row r="2087">
      <c r="E2087" s="102"/>
    </row>
    <row r="2088">
      <c r="E2088" s="102"/>
    </row>
    <row r="2089">
      <c r="E2089" s="102"/>
    </row>
    <row r="2090">
      <c r="E2090" s="102"/>
    </row>
    <row r="2091">
      <c r="E2091" s="102"/>
    </row>
    <row r="2092">
      <c r="E2092" s="102"/>
    </row>
    <row r="2093">
      <c r="E2093" s="102"/>
    </row>
    <row r="2094">
      <c r="E2094" s="102"/>
    </row>
    <row r="2095">
      <c r="E2095" s="102"/>
    </row>
    <row r="2096">
      <c r="E2096" s="102"/>
    </row>
    <row r="2097">
      <c r="E2097" s="102"/>
    </row>
    <row r="2098">
      <c r="E2098" s="102"/>
    </row>
    <row r="2099">
      <c r="E2099" s="102"/>
    </row>
    <row r="2100">
      <c r="E2100" s="102"/>
    </row>
    <row r="2101">
      <c r="E2101" s="102"/>
    </row>
    <row r="2102">
      <c r="E2102" s="102"/>
    </row>
    <row r="2103">
      <c r="E2103" s="102"/>
    </row>
    <row r="2104">
      <c r="E2104" s="102"/>
    </row>
    <row r="2105">
      <c r="E2105" s="102"/>
    </row>
    <row r="2106">
      <c r="E2106" s="102"/>
    </row>
    <row r="2107">
      <c r="E2107" s="102"/>
    </row>
    <row r="2108">
      <c r="E2108" s="102"/>
    </row>
    <row r="2109">
      <c r="E2109" s="102"/>
    </row>
    <row r="2110">
      <c r="E2110" s="102"/>
    </row>
    <row r="2111">
      <c r="E2111" s="102"/>
    </row>
    <row r="2112">
      <c r="E2112" s="102"/>
    </row>
    <row r="2113">
      <c r="E2113" s="102"/>
    </row>
    <row r="2114">
      <c r="E2114" s="102"/>
    </row>
    <row r="2115">
      <c r="E2115" s="102"/>
    </row>
    <row r="2116">
      <c r="E2116" s="102"/>
    </row>
    <row r="2117">
      <c r="E2117" s="102"/>
    </row>
    <row r="2118">
      <c r="E2118" s="102"/>
    </row>
    <row r="2119">
      <c r="E2119" s="102"/>
    </row>
    <row r="2120">
      <c r="E2120" s="102"/>
    </row>
    <row r="2121">
      <c r="E2121" s="102"/>
    </row>
    <row r="2122">
      <c r="E2122" s="102"/>
    </row>
    <row r="2123">
      <c r="E2123" s="102"/>
    </row>
    <row r="2124">
      <c r="E2124" s="102"/>
    </row>
    <row r="2125">
      <c r="E2125" s="102"/>
    </row>
    <row r="2126">
      <c r="E2126" s="102"/>
    </row>
    <row r="2127">
      <c r="E2127" s="102"/>
    </row>
    <row r="2128">
      <c r="E2128" s="102"/>
    </row>
    <row r="2129">
      <c r="E2129" s="102"/>
    </row>
    <row r="2130">
      <c r="E2130" s="102"/>
    </row>
    <row r="2131">
      <c r="E2131" s="102"/>
    </row>
    <row r="2132">
      <c r="E2132" s="102"/>
    </row>
    <row r="2133">
      <c r="E2133" s="102"/>
    </row>
    <row r="2134">
      <c r="E2134" s="102"/>
    </row>
    <row r="2135">
      <c r="E2135" s="102"/>
    </row>
    <row r="2136">
      <c r="E2136" s="102"/>
    </row>
    <row r="2137">
      <c r="E2137" s="102"/>
    </row>
    <row r="2138">
      <c r="E2138" s="102"/>
    </row>
    <row r="2139">
      <c r="E2139" s="102"/>
    </row>
    <row r="2140">
      <c r="E2140" s="102"/>
    </row>
    <row r="2141">
      <c r="E2141" s="102"/>
    </row>
    <row r="2142">
      <c r="E2142" s="102"/>
    </row>
    <row r="2143">
      <c r="E2143" s="102"/>
    </row>
    <row r="2144">
      <c r="E2144" s="102"/>
    </row>
    <row r="2145">
      <c r="E2145" s="102"/>
    </row>
    <row r="2146">
      <c r="E2146" s="102"/>
    </row>
    <row r="2147">
      <c r="E2147" s="102"/>
    </row>
    <row r="2148">
      <c r="E2148" s="102"/>
    </row>
    <row r="2149">
      <c r="E2149" s="102"/>
    </row>
    <row r="2150">
      <c r="E2150" s="102"/>
    </row>
    <row r="2151">
      <c r="E2151" s="102"/>
    </row>
    <row r="2152">
      <c r="E2152" s="102"/>
    </row>
    <row r="2153">
      <c r="E2153" s="102"/>
    </row>
    <row r="2154">
      <c r="E2154" s="102"/>
    </row>
    <row r="2155">
      <c r="E2155" s="102"/>
    </row>
    <row r="2156">
      <c r="E2156" s="102"/>
    </row>
    <row r="2157">
      <c r="E2157" s="102"/>
    </row>
    <row r="2158">
      <c r="E2158" s="102"/>
    </row>
    <row r="2159">
      <c r="E2159" s="102"/>
    </row>
    <row r="2160">
      <c r="E2160" s="102"/>
    </row>
    <row r="2161">
      <c r="E2161" s="102"/>
    </row>
    <row r="2162">
      <c r="E2162" s="102"/>
    </row>
    <row r="2163">
      <c r="E2163" s="102"/>
    </row>
    <row r="2164">
      <c r="E2164" s="102"/>
    </row>
    <row r="2165">
      <c r="E2165" s="102"/>
    </row>
    <row r="2166">
      <c r="E2166" s="102"/>
    </row>
    <row r="2167">
      <c r="E2167" s="102"/>
    </row>
    <row r="2168">
      <c r="E2168" s="102"/>
    </row>
    <row r="2169">
      <c r="E2169" s="102"/>
    </row>
    <row r="2170">
      <c r="E2170" s="102"/>
    </row>
    <row r="2171">
      <c r="E2171" s="102"/>
    </row>
    <row r="2172">
      <c r="E2172" s="102"/>
    </row>
    <row r="2173">
      <c r="E2173" s="102"/>
    </row>
    <row r="2174">
      <c r="E2174" s="102"/>
    </row>
    <row r="2175">
      <c r="E2175" s="102"/>
    </row>
    <row r="2176">
      <c r="E2176" s="102"/>
    </row>
    <row r="2177">
      <c r="E2177" s="102"/>
    </row>
    <row r="2178">
      <c r="E2178" s="102"/>
    </row>
    <row r="2179">
      <c r="E2179" s="102"/>
    </row>
    <row r="2180">
      <c r="E2180" s="102"/>
    </row>
    <row r="2181">
      <c r="E2181" s="102"/>
    </row>
    <row r="2182">
      <c r="E2182" s="102"/>
    </row>
    <row r="2183">
      <c r="E2183" s="102"/>
    </row>
    <row r="2184">
      <c r="E2184" s="102"/>
    </row>
    <row r="2185">
      <c r="E2185" s="102"/>
    </row>
    <row r="2186">
      <c r="E2186" s="102"/>
    </row>
    <row r="2187">
      <c r="E2187" s="102"/>
    </row>
    <row r="2188">
      <c r="E2188" s="102"/>
    </row>
    <row r="2189">
      <c r="E2189" s="102"/>
    </row>
    <row r="2190">
      <c r="E2190" s="102"/>
    </row>
    <row r="2191">
      <c r="E2191" s="102"/>
    </row>
    <row r="2192">
      <c r="E2192" s="102"/>
    </row>
    <row r="2193">
      <c r="E2193" s="102"/>
    </row>
    <row r="2194">
      <c r="E2194" s="102"/>
    </row>
    <row r="2195">
      <c r="E2195" s="102"/>
    </row>
    <row r="2196">
      <c r="E2196" s="102"/>
    </row>
    <row r="2197">
      <c r="E2197" s="102"/>
    </row>
    <row r="2198">
      <c r="E2198" s="102"/>
    </row>
    <row r="2199">
      <c r="E2199" s="102"/>
    </row>
    <row r="2200">
      <c r="E2200" s="102"/>
    </row>
    <row r="2201">
      <c r="E2201" s="102"/>
    </row>
    <row r="2202">
      <c r="E2202" s="102"/>
    </row>
    <row r="2203">
      <c r="E2203" s="102"/>
    </row>
    <row r="2204">
      <c r="E2204" s="102"/>
    </row>
    <row r="2205">
      <c r="E2205" s="102"/>
    </row>
    <row r="2206">
      <c r="E2206" s="102"/>
    </row>
    <row r="2207">
      <c r="E2207" s="102"/>
    </row>
    <row r="2208">
      <c r="E2208" s="102"/>
    </row>
    <row r="2209">
      <c r="E2209" s="102"/>
    </row>
    <row r="2210">
      <c r="E2210" s="102"/>
    </row>
    <row r="2211">
      <c r="E2211" s="102"/>
    </row>
    <row r="2212">
      <c r="E2212" s="102"/>
    </row>
    <row r="2213">
      <c r="E2213" s="102"/>
    </row>
    <row r="2214">
      <c r="E2214" s="102"/>
    </row>
    <row r="2215">
      <c r="E2215" s="102"/>
    </row>
    <row r="2216">
      <c r="E2216" s="102"/>
    </row>
    <row r="2217">
      <c r="E2217" s="102"/>
    </row>
    <row r="2218">
      <c r="E2218" s="102"/>
    </row>
    <row r="2219">
      <c r="E2219" s="102"/>
    </row>
    <row r="2220">
      <c r="E2220" s="102"/>
    </row>
    <row r="2221">
      <c r="E2221" s="102"/>
    </row>
    <row r="2222">
      <c r="E2222" s="102"/>
    </row>
    <row r="2223">
      <c r="E2223" s="102"/>
    </row>
    <row r="2224">
      <c r="E2224" s="102"/>
    </row>
    <row r="2225">
      <c r="E2225" s="102"/>
    </row>
    <row r="2226">
      <c r="E2226" s="102"/>
    </row>
    <row r="2227">
      <c r="E2227" s="102"/>
    </row>
    <row r="2228">
      <c r="E2228" s="102"/>
    </row>
    <row r="2229">
      <c r="E2229" s="102"/>
    </row>
    <row r="2230">
      <c r="E2230" s="102"/>
    </row>
    <row r="2231">
      <c r="E2231" s="102"/>
    </row>
    <row r="2232">
      <c r="E2232" s="102"/>
    </row>
    <row r="2233">
      <c r="E2233" s="102"/>
    </row>
    <row r="2234">
      <c r="E2234" s="102"/>
    </row>
    <row r="2235">
      <c r="E2235" s="102"/>
    </row>
    <row r="2236">
      <c r="E2236" s="102"/>
    </row>
    <row r="2237">
      <c r="E2237" s="102"/>
    </row>
    <row r="2238">
      <c r="E2238" s="102"/>
    </row>
    <row r="2239">
      <c r="E2239" s="102"/>
    </row>
    <row r="2240">
      <c r="E2240" s="102"/>
    </row>
    <row r="2241">
      <c r="E2241" s="102"/>
    </row>
    <row r="2242">
      <c r="E2242" s="102"/>
    </row>
    <row r="2243">
      <c r="E2243" s="102"/>
    </row>
    <row r="2244">
      <c r="E2244" s="102"/>
    </row>
    <row r="2245">
      <c r="E2245" s="102"/>
    </row>
    <row r="2246">
      <c r="E2246" s="102"/>
    </row>
    <row r="2247">
      <c r="E2247" s="102"/>
    </row>
    <row r="2248">
      <c r="E2248" s="102"/>
    </row>
    <row r="2249">
      <c r="E2249" s="102"/>
    </row>
    <row r="2250">
      <c r="E2250" s="102"/>
    </row>
    <row r="2251">
      <c r="E2251" s="102"/>
    </row>
    <row r="2252">
      <c r="E2252" s="102"/>
    </row>
    <row r="2253">
      <c r="E2253" s="102"/>
    </row>
    <row r="2254">
      <c r="E2254" s="102"/>
    </row>
    <row r="2255">
      <c r="E2255" s="102"/>
    </row>
    <row r="2256">
      <c r="E2256" s="102"/>
    </row>
    <row r="2257">
      <c r="E2257" s="102"/>
    </row>
    <row r="2258">
      <c r="E2258" s="102"/>
    </row>
    <row r="2259">
      <c r="E2259" s="102"/>
    </row>
    <row r="2260">
      <c r="E2260" s="102"/>
    </row>
    <row r="2261">
      <c r="E2261" s="102"/>
    </row>
    <row r="2262">
      <c r="E2262" s="102"/>
    </row>
    <row r="2263">
      <c r="E2263" s="102"/>
    </row>
    <row r="2264">
      <c r="E2264" s="102"/>
    </row>
    <row r="2265">
      <c r="E2265" s="102"/>
    </row>
    <row r="2266">
      <c r="E2266" s="102"/>
    </row>
    <row r="2267">
      <c r="E2267" s="102"/>
    </row>
    <row r="2268">
      <c r="E2268" s="102"/>
    </row>
    <row r="2269">
      <c r="E2269" s="102"/>
    </row>
    <row r="2270">
      <c r="E2270" s="102"/>
    </row>
    <row r="2271">
      <c r="E2271" s="102"/>
    </row>
    <row r="2272">
      <c r="E2272" s="102"/>
    </row>
    <row r="2273">
      <c r="E2273" s="102"/>
    </row>
    <row r="2274">
      <c r="E2274" s="102"/>
    </row>
    <row r="2275">
      <c r="E2275" s="102"/>
    </row>
    <row r="2276">
      <c r="E2276" s="102"/>
    </row>
    <row r="2277">
      <c r="E2277" s="102"/>
    </row>
    <row r="2278">
      <c r="E2278" s="102"/>
    </row>
    <row r="2279">
      <c r="E2279" s="102"/>
    </row>
    <row r="2280">
      <c r="E2280" s="102"/>
    </row>
    <row r="2281">
      <c r="E2281" s="102"/>
    </row>
    <row r="2282">
      <c r="E2282" s="102"/>
    </row>
    <row r="2283">
      <c r="E2283" s="102"/>
    </row>
    <row r="2284">
      <c r="E2284" s="102"/>
    </row>
    <row r="2285">
      <c r="E2285" s="102"/>
    </row>
    <row r="2286">
      <c r="E2286" s="102"/>
    </row>
    <row r="2287">
      <c r="E2287" s="102"/>
    </row>
    <row r="2288">
      <c r="E2288" s="102"/>
    </row>
    <row r="2289">
      <c r="E2289" s="102"/>
    </row>
    <row r="2290">
      <c r="E2290" s="102"/>
    </row>
    <row r="2291">
      <c r="E2291" s="102"/>
    </row>
    <row r="2292">
      <c r="E2292" s="102"/>
    </row>
    <row r="2293">
      <c r="E2293" s="102"/>
    </row>
    <row r="2294">
      <c r="E2294" s="102"/>
    </row>
    <row r="2295">
      <c r="E2295" s="102"/>
    </row>
    <row r="2296">
      <c r="E2296" s="102"/>
    </row>
    <row r="2297">
      <c r="E2297" s="102"/>
    </row>
    <row r="2298">
      <c r="E2298" s="102"/>
    </row>
    <row r="2299">
      <c r="E2299" s="102"/>
    </row>
    <row r="2300">
      <c r="E2300" s="102"/>
    </row>
    <row r="2301">
      <c r="E2301" s="102"/>
    </row>
    <row r="2302">
      <c r="E2302" s="102"/>
    </row>
    <row r="2303">
      <c r="E2303" s="102"/>
    </row>
    <row r="2304">
      <c r="E2304" s="102"/>
    </row>
    <row r="2305">
      <c r="E2305" s="102"/>
    </row>
    <row r="2306">
      <c r="E2306" s="102"/>
    </row>
    <row r="2307">
      <c r="E2307" s="102"/>
    </row>
    <row r="2308">
      <c r="E2308" s="102"/>
    </row>
    <row r="2309">
      <c r="E2309" s="102"/>
    </row>
    <row r="2310">
      <c r="E2310" s="102"/>
    </row>
    <row r="2311">
      <c r="E2311" s="102"/>
    </row>
    <row r="2312">
      <c r="E2312" s="102"/>
    </row>
    <row r="2313">
      <c r="E2313" s="102"/>
    </row>
    <row r="2314">
      <c r="E2314" s="102"/>
    </row>
    <row r="2315">
      <c r="E2315" s="102"/>
    </row>
    <row r="2316">
      <c r="E2316" s="102"/>
    </row>
    <row r="2317">
      <c r="E2317" s="102"/>
    </row>
    <row r="2318">
      <c r="E2318" s="102"/>
    </row>
    <row r="2319">
      <c r="E2319" s="102"/>
    </row>
    <row r="2320">
      <c r="E2320" s="102"/>
    </row>
    <row r="2321">
      <c r="E2321" s="102"/>
    </row>
    <row r="2322">
      <c r="E2322" s="102"/>
    </row>
    <row r="2323">
      <c r="E2323" s="102"/>
    </row>
    <row r="2324">
      <c r="E2324" s="102"/>
    </row>
    <row r="2325">
      <c r="E2325" s="102"/>
    </row>
    <row r="2326">
      <c r="E2326" s="102"/>
    </row>
    <row r="2327">
      <c r="E2327" s="102"/>
    </row>
    <row r="2328">
      <c r="E2328" s="102"/>
    </row>
    <row r="2329">
      <c r="E2329" s="102"/>
    </row>
    <row r="2330">
      <c r="E2330" s="102"/>
    </row>
    <row r="2331">
      <c r="E2331" s="102"/>
    </row>
    <row r="2332">
      <c r="E2332" s="102"/>
    </row>
    <row r="2333">
      <c r="E2333" s="102"/>
    </row>
    <row r="2334">
      <c r="E2334" s="102"/>
    </row>
    <row r="2335">
      <c r="E2335" s="102"/>
    </row>
    <row r="2336">
      <c r="E2336" s="102"/>
    </row>
    <row r="2337">
      <c r="E2337" s="102"/>
    </row>
    <row r="2338">
      <c r="E2338" s="102"/>
    </row>
    <row r="2339">
      <c r="E2339" s="102"/>
    </row>
    <row r="2340">
      <c r="E2340" s="102"/>
    </row>
    <row r="2341">
      <c r="E2341" s="102"/>
    </row>
    <row r="2342">
      <c r="E2342" s="102"/>
    </row>
    <row r="2343">
      <c r="E2343" s="102"/>
    </row>
    <row r="2344">
      <c r="E2344" s="102"/>
    </row>
    <row r="2345">
      <c r="E2345" s="102"/>
    </row>
    <row r="2346">
      <c r="E2346" s="102"/>
    </row>
    <row r="2347">
      <c r="E2347" s="102"/>
    </row>
    <row r="2348">
      <c r="E2348" s="102"/>
    </row>
    <row r="2349">
      <c r="E2349" s="102"/>
    </row>
    <row r="2350">
      <c r="E2350" s="102"/>
    </row>
    <row r="2351">
      <c r="E2351" s="102"/>
    </row>
    <row r="2352">
      <c r="E2352" s="102"/>
    </row>
    <row r="2353">
      <c r="E2353" s="102"/>
    </row>
    <row r="2354">
      <c r="E2354" s="102"/>
    </row>
    <row r="2355">
      <c r="E2355" s="102"/>
    </row>
    <row r="2356">
      <c r="E2356" s="102"/>
    </row>
    <row r="2357">
      <c r="E2357" s="102"/>
    </row>
    <row r="2358">
      <c r="E2358" s="102"/>
    </row>
    <row r="2359">
      <c r="E2359" s="102"/>
    </row>
    <row r="2360">
      <c r="E2360" s="102"/>
    </row>
    <row r="2361">
      <c r="E2361" s="102"/>
    </row>
    <row r="2362">
      <c r="E2362" s="102"/>
    </row>
    <row r="2363">
      <c r="E2363" s="102"/>
    </row>
    <row r="2364">
      <c r="E2364" s="102"/>
    </row>
    <row r="2365">
      <c r="E2365" s="102"/>
    </row>
    <row r="2366">
      <c r="E2366" s="102"/>
    </row>
    <row r="2367">
      <c r="E2367" s="102"/>
    </row>
    <row r="2368">
      <c r="E2368" s="102"/>
    </row>
    <row r="2369">
      <c r="E2369" s="102"/>
    </row>
    <row r="2370">
      <c r="E2370" s="102"/>
    </row>
    <row r="2371">
      <c r="E2371" s="102"/>
    </row>
    <row r="2372">
      <c r="E2372" s="102"/>
    </row>
    <row r="2373">
      <c r="E2373" s="102"/>
    </row>
    <row r="2374">
      <c r="E2374" s="102"/>
    </row>
    <row r="2375">
      <c r="E2375" s="102"/>
    </row>
    <row r="2376">
      <c r="E2376" s="102"/>
    </row>
    <row r="2377">
      <c r="E2377" s="102"/>
    </row>
    <row r="2378">
      <c r="E2378" s="102"/>
    </row>
    <row r="2379">
      <c r="E2379" s="102"/>
    </row>
    <row r="2380">
      <c r="E2380" s="102"/>
    </row>
    <row r="2381">
      <c r="E2381" s="102"/>
    </row>
    <row r="2382">
      <c r="E2382" s="102"/>
    </row>
    <row r="2383">
      <c r="E2383" s="102"/>
    </row>
    <row r="2384">
      <c r="E2384" s="102"/>
    </row>
    <row r="2385">
      <c r="E2385" s="102"/>
    </row>
    <row r="2386">
      <c r="E2386" s="102"/>
    </row>
    <row r="2387">
      <c r="E2387" s="102"/>
    </row>
    <row r="2388">
      <c r="E2388" s="102"/>
    </row>
    <row r="2389">
      <c r="E2389" s="102"/>
    </row>
    <row r="2390">
      <c r="E2390" s="102"/>
    </row>
    <row r="2391">
      <c r="E2391" s="102"/>
    </row>
    <row r="2392">
      <c r="E2392" s="102"/>
    </row>
    <row r="2393">
      <c r="E2393" s="102"/>
    </row>
    <row r="2394">
      <c r="E2394" s="102"/>
    </row>
    <row r="2395">
      <c r="E2395" s="102"/>
    </row>
    <row r="2396">
      <c r="E2396" s="102"/>
    </row>
    <row r="2397">
      <c r="E2397" s="102"/>
    </row>
    <row r="2398">
      <c r="E2398" s="102"/>
    </row>
    <row r="2399">
      <c r="E2399" s="102"/>
    </row>
    <row r="2400">
      <c r="E2400" s="102"/>
    </row>
    <row r="2401">
      <c r="E2401" s="102"/>
    </row>
    <row r="2402">
      <c r="E2402" s="102"/>
    </row>
    <row r="2403">
      <c r="E2403" s="102"/>
    </row>
    <row r="2404">
      <c r="E2404" s="102"/>
    </row>
    <row r="2405">
      <c r="E2405" s="102"/>
    </row>
    <row r="2406">
      <c r="E2406" s="102"/>
    </row>
    <row r="2407">
      <c r="E2407" s="102"/>
    </row>
    <row r="2408">
      <c r="E2408" s="102"/>
    </row>
    <row r="2409">
      <c r="E2409" s="102"/>
    </row>
    <row r="2410">
      <c r="E2410" s="102"/>
    </row>
    <row r="2411">
      <c r="E2411" s="102"/>
    </row>
    <row r="2412">
      <c r="E2412" s="102"/>
    </row>
    <row r="2413">
      <c r="E2413" s="102"/>
    </row>
    <row r="2414">
      <c r="E2414" s="102"/>
    </row>
    <row r="2415">
      <c r="E2415" s="102"/>
    </row>
    <row r="2416">
      <c r="E2416" s="102"/>
    </row>
    <row r="2417">
      <c r="E2417" s="102"/>
    </row>
    <row r="2418">
      <c r="E2418" s="102"/>
    </row>
    <row r="2419">
      <c r="E2419" s="102"/>
    </row>
    <row r="2420">
      <c r="E2420" s="102"/>
    </row>
    <row r="2421">
      <c r="E2421" s="102"/>
    </row>
    <row r="2422">
      <c r="E2422" s="102"/>
    </row>
    <row r="2423">
      <c r="E2423" s="102"/>
    </row>
    <row r="2424">
      <c r="E2424" s="102"/>
    </row>
    <row r="2425">
      <c r="E2425" s="102"/>
    </row>
    <row r="2426">
      <c r="E2426" s="102"/>
    </row>
    <row r="2427">
      <c r="E2427" s="102"/>
    </row>
    <row r="2428">
      <c r="E2428" s="102"/>
    </row>
    <row r="2429">
      <c r="E2429" s="102"/>
    </row>
    <row r="2430">
      <c r="E2430" s="102"/>
    </row>
    <row r="2431">
      <c r="E2431" s="102"/>
    </row>
    <row r="2432">
      <c r="E2432" s="102"/>
    </row>
    <row r="2433">
      <c r="E2433" s="102"/>
    </row>
    <row r="2434">
      <c r="E2434" s="102"/>
    </row>
    <row r="2435">
      <c r="E2435" s="102"/>
    </row>
    <row r="2436">
      <c r="E2436" s="102"/>
    </row>
    <row r="2437">
      <c r="E2437" s="102"/>
    </row>
    <row r="2438">
      <c r="E2438" s="102"/>
    </row>
    <row r="2439">
      <c r="E2439" s="102"/>
    </row>
    <row r="2440">
      <c r="E2440" s="102"/>
    </row>
    <row r="2441">
      <c r="E2441" s="102"/>
    </row>
    <row r="2442">
      <c r="E2442" s="102"/>
    </row>
    <row r="2443">
      <c r="E2443" s="102"/>
    </row>
    <row r="2444">
      <c r="E2444" s="102"/>
    </row>
    <row r="2445">
      <c r="E2445" s="102"/>
    </row>
    <row r="2446">
      <c r="E2446" s="102"/>
    </row>
    <row r="2447">
      <c r="E2447" s="102"/>
    </row>
    <row r="2448">
      <c r="E2448" s="102"/>
    </row>
    <row r="2449">
      <c r="E2449" s="102"/>
    </row>
    <row r="2450">
      <c r="E2450" s="102"/>
    </row>
    <row r="2451">
      <c r="E2451" s="102"/>
    </row>
    <row r="2452">
      <c r="E2452" s="102"/>
    </row>
    <row r="2453">
      <c r="E2453" s="102"/>
    </row>
    <row r="2454">
      <c r="E2454" s="102"/>
    </row>
    <row r="2455">
      <c r="E2455" s="102"/>
    </row>
    <row r="2456">
      <c r="E2456" s="102"/>
    </row>
    <row r="2457">
      <c r="E2457" s="102"/>
    </row>
    <row r="2458">
      <c r="E2458" s="102"/>
    </row>
    <row r="2459">
      <c r="E2459" s="102"/>
    </row>
    <row r="2460">
      <c r="E2460" s="102"/>
    </row>
    <row r="2461">
      <c r="E2461" s="102"/>
    </row>
    <row r="2462">
      <c r="E2462" s="102"/>
    </row>
    <row r="2463">
      <c r="E2463" s="102"/>
    </row>
    <row r="2464">
      <c r="E2464" s="102"/>
    </row>
    <row r="2465">
      <c r="E2465" s="102"/>
    </row>
    <row r="2466">
      <c r="E2466" s="102"/>
    </row>
    <row r="2467">
      <c r="E2467" s="102"/>
    </row>
    <row r="2468">
      <c r="E2468" s="102"/>
    </row>
    <row r="2469">
      <c r="E2469" s="102"/>
    </row>
    <row r="2470">
      <c r="E2470" s="102"/>
    </row>
    <row r="2471">
      <c r="E2471" s="102"/>
    </row>
    <row r="2472">
      <c r="E2472" s="102"/>
    </row>
    <row r="2473">
      <c r="E2473" s="102"/>
    </row>
    <row r="2474">
      <c r="E2474" s="102"/>
    </row>
    <row r="2475">
      <c r="E2475" s="102"/>
    </row>
    <row r="2476">
      <c r="E2476" s="102"/>
    </row>
    <row r="2477">
      <c r="E2477" s="102"/>
    </row>
    <row r="2478">
      <c r="E2478" s="102"/>
    </row>
    <row r="2479">
      <c r="E2479" s="102"/>
    </row>
    <row r="2480">
      <c r="E2480" s="102"/>
    </row>
    <row r="2481">
      <c r="E2481" s="102"/>
    </row>
    <row r="2482">
      <c r="E2482" s="102"/>
    </row>
    <row r="2483">
      <c r="E2483" s="102"/>
    </row>
    <row r="2484">
      <c r="E2484" s="102"/>
    </row>
    <row r="2485">
      <c r="E2485" s="102"/>
    </row>
    <row r="2486">
      <c r="E2486" s="102"/>
    </row>
    <row r="2487">
      <c r="E2487" s="102"/>
    </row>
    <row r="2488">
      <c r="E2488" s="102"/>
    </row>
    <row r="2489">
      <c r="E2489" s="102"/>
    </row>
    <row r="2490">
      <c r="E2490" s="102"/>
    </row>
    <row r="2491">
      <c r="E2491" s="102"/>
    </row>
    <row r="2492">
      <c r="E2492" s="102"/>
    </row>
    <row r="2493">
      <c r="E2493" s="102"/>
    </row>
    <row r="2494">
      <c r="E2494" s="102"/>
    </row>
    <row r="2495">
      <c r="E2495" s="102"/>
    </row>
    <row r="2496">
      <c r="E2496" s="102"/>
    </row>
    <row r="2497">
      <c r="E2497" s="102"/>
    </row>
    <row r="2498">
      <c r="E2498" s="102"/>
    </row>
    <row r="2499">
      <c r="E2499" s="102"/>
    </row>
    <row r="2500">
      <c r="E2500" s="102"/>
    </row>
    <row r="2501">
      <c r="E2501" s="102"/>
    </row>
    <row r="2502">
      <c r="E2502" s="102"/>
    </row>
    <row r="2503">
      <c r="E2503" s="102"/>
    </row>
    <row r="2504">
      <c r="E2504" s="102"/>
    </row>
    <row r="2505">
      <c r="E2505" s="102"/>
    </row>
    <row r="2506">
      <c r="E2506" s="102"/>
    </row>
    <row r="2507">
      <c r="E2507" s="102"/>
    </row>
    <row r="2508">
      <c r="E2508" s="102"/>
    </row>
    <row r="2509">
      <c r="E2509" s="102"/>
    </row>
    <row r="2510">
      <c r="E2510" s="102"/>
    </row>
    <row r="2511">
      <c r="E2511" s="102"/>
    </row>
    <row r="2512">
      <c r="E2512" s="102"/>
    </row>
    <row r="2513">
      <c r="E2513" s="102"/>
    </row>
    <row r="2514">
      <c r="E2514" s="102"/>
    </row>
    <row r="2515">
      <c r="E2515" s="102"/>
    </row>
    <row r="2516">
      <c r="E2516" s="102"/>
    </row>
    <row r="2517">
      <c r="E2517" s="102"/>
    </row>
    <row r="2518">
      <c r="E2518" s="102"/>
    </row>
    <row r="2519">
      <c r="E2519" s="102"/>
    </row>
    <row r="2520">
      <c r="E2520" s="102"/>
    </row>
    <row r="2521">
      <c r="E2521" s="102"/>
    </row>
    <row r="2522">
      <c r="E2522" s="102"/>
    </row>
    <row r="2523">
      <c r="E2523" s="102"/>
    </row>
    <row r="2524">
      <c r="E2524" s="102"/>
    </row>
    <row r="2525">
      <c r="E2525" s="102"/>
    </row>
    <row r="2526">
      <c r="E2526" s="102"/>
    </row>
    <row r="2527">
      <c r="E2527" s="102"/>
    </row>
    <row r="2528">
      <c r="E2528" s="102"/>
    </row>
    <row r="2529">
      <c r="E2529" s="102"/>
    </row>
    <row r="2530">
      <c r="E2530" s="102"/>
    </row>
    <row r="2531">
      <c r="E2531" s="102"/>
    </row>
    <row r="2532">
      <c r="E2532" s="102"/>
    </row>
    <row r="2533">
      <c r="E2533" s="102"/>
    </row>
    <row r="2534">
      <c r="E2534" s="102"/>
    </row>
    <row r="2535">
      <c r="E2535" s="102"/>
    </row>
    <row r="2536">
      <c r="E2536" s="102"/>
    </row>
    <row r="2537">
      <c r="E2537" s="102"/>
    </row>
    <row r="2538">
      <c r="E2538" s="102"/>
    </row>
    <row r="2539">
      <c r="E2539" s="102"/>
    </row>
    <row r="2540">
      <c r="E2540" s="102"/>
    </row>
    <row r="2541">
      <c r="E2541" s="102"/>
    </row>
    <row r="2542">
      <c r="E2542" s="102"/>
    </row>
    <row r="2543">
      <c r="E2543" s="102"/>
    </row>
    <row r="2544">
      <c r="E2544" s="102"/>
    </row>
    <row r="2545">
      <c r="E2545" s="102"/>
    </row>
    <row r="2546">
      <c r="E2546" s="102"/>
    </row>
    <row r="2547">
      <c r="E2547" s="102"/>
    </row>
    <row r="2548">
      <c r="E2548" s="102"/>
    </row>
    <row r="2549">
      <c r="E2549" s="102"/>
    </row>
    <row r="2550">
      <c r="E2550" s="102"/>
    </row>
    <row r="2551">
      <c r="E2551" s="102"/>
    </row>
    <row r="2552">
      <c r="E2552" s="102"/>
    </row>
    <row r="2553">
      <c r="E2553" s="102"/>
    </row>
    <row r="2554">
      <c r="E2554" s="102"/>
    </row>
    <row r="2555">
      <c r="E2555" s="102"/>
    </row>
    <row r="2556">
      <c r="E2556" s="102"/>
    </row>
    <row r="2557">
      <c r="E2557" s="102"/>
    </row>
    <row r="2558">
      <c r="E2558" s="102"/>
    </row>
    <row r="2559">
      <c r="E2559" s="102"/>
    </row>
    <row r="2560">
      <c r="E2560" s="102"/>
    </row>
    <row r="2561">
      <c r="E2561" s="102"/>
    </row>
    <row r="2562">
      <c r="E2562" s="102"/>
    </row>
    <row r="2563">
      <c r="E2563" s="102"/>
    </row>
    <row r="2564">
      <c r="E2564" s="102"/>
    </row>
    <row r="2565">
      <c r="E2565" s="102"/>
    </row>
    <row r="2566">
      <c r="E2566" s="102"/>
    </row>
    <row r="2567">
      <c r="E2567" s="102"/>
    </row>
    <row r="2568">
      <c r="E2568" s="102"/>
    </row>
    <row r="2569">
      <c r="E2569" s="102"/>
    </row>
    <row r="2570">
      <c r="E2570" s="102"/>
    </row>
    <row r="2571">
      <c r="E2571" s="102"/>
    </row>
    <row r="2572">
      <c r="E2572" s="102"/>
    </row>
    <row r="2573">
      <c r="E2573" s="102"/>
    </row>
    <row r="2574">
      <c r="E2574" s="102"/>
    </row>
    <row r="2575">
      <c r="E2575" s="102"/>
    </row>
    <row r="2576">
      <c r="E2576" s="102"/>
    </row>
    <row r="2577">
      <c r="E2577" s="102"/>
    </row>
    <row r="2578">
      <c r="E2578" s="102"/>
    </row>
    <row r="2579">
      <c r="E2579" s="102"/>
    </row>
    <row r="2580">
      <c r="E2580" s="102"/>
    </row>
    <row r="2581">
      <c r="E2581" s="102"/>
    </row>
    <row r="2582">
      <c r="E2582" s="102"/>
    </row>
    <row r="2583">
      <c r="E2583" s="102"/>
    </row>
    <row r="2584">
      <c r="E2584" s="102"/>
    </row>
    <row r="2585">
      <c r="E2585" s="102"/>
    </row>
    <row r="2586">
      <c r="E2586" s="102"/>
    </row>
    <row r="2587">
      <c r="E2587" s="102"/>
    </row>
    <row r="2588">
      <c r="E2588" s="102"/>
    </row>
    <row r="2589">
      <c r="E2589" s="102"/>
    </row>
    <row r="2590">
      <c r="E2590" s="102"/>
    </row>
    <row r="2591">
      <c r="E2591" s="102"/>
    </row>
    <row r="2592">
      <c r="E2592" s="102"/>
    </row>
    <row r="2593">
      <c r="E2593" s="102"/>
    </row>
    <row r="2594">
      <c r="E2594" s="102"/>
    </row>
    <row r="2595">
      <c r="E2595" s="102"/>
    </row>
    <row r="2596">
      <c r="E2596" s="102"/>
    </row>
    <row r="2597">
      <c r="E2597" s="102"/>
    </row>
    <row r="2598">
      <c r="E2598" s="102"/>
    </row>
    <row r="2599">
      <c r="E2599" s="102"/>
    </row>
    <row r="2600">
      <c r="E2600" s="102"/>
    </row>
    <row r="2601">
      <c r="E2601" s="102"/>
    </row>
    <row r="2602">
      <c r="E2602" s="102"/>
    </row>
    <row r="2603">
      <c r="E2603" s="102"/>
    </row>
    <row r="2604">
      <c r="E2604" s="102"/>
    </row>
    <row r="2605">
      <c r="E2605" s="102"/>
    </row>
    <row r="2606">
      <c r="E2606" s="102"/>
    </row>
    <row r="2607">
      <c r="E2607" s="102"/>
    </row>
    <row r="2608">
      <c r="E2608" s="102"/>
    </row>
    <row r="2609">
      <c r="E2609" s="102"/>
    </row>
    <row r="2610">
      <c r="E2610" s="102"/>
    </row>
    <row r="2611">
      <c r="E2611" s="102"/>
    </row>
    <row r="2612">
      <c r="E2612" s="102"/>
    </row>
    <row r="2613">
      <c r="E2613" s="102"/>
    </row>
    <row r="2614">
      <c r="E2614" s="102"/>
    </row>
    <row r="2615">
      <c r="E2615" s="102"/>
    </row>
    <row r="2616">
      <c r="E2616" s="102"/>
    </row>
    <row r="2617">
      <c r="E2617" s="102"/>
    </row>
    <row r="2618">
      <c r="E2618" s="102"/>
    </row>
    <row r="2619">
      <c r="E2619" s="102"/>
    </row>
    <row r="2620">
      <c r="E2620" s="102"/>
    </row>
    <row r="2621">
      <c r="E2621" s="102"/>
    </row>
    <row r="2622">
      <c r="E2622" s="102"/>
    </row>
    <row r="2623">
      <c r="E2623" s="102"/>
    </row>
    <row r="2624">
      <c r="E2624" s="102"/>
    </row>
    <row r="2625">
      <c r="E2625" s="102"/>
    </row>
    <row r="2626">
      <c r="E2626" s="102"/>
    </row>
    <row r="2627">
      <c r="E2627" s="102"/>
    </row>
    <row r="2628">
      <c r="E2628" s="102"/>
    </row>
    <row r="2629">
      <c r="E2629" s="102"/>
    </row>
    <row r="2630">
      <c r="E2630" s="102"/>
    </row>
    <row r="2631">
      <c r="E2631" s="102"/>
    </row>
    <row r="2632">
      <c r="E2632" s="102"/>
    </row>
    <row r="2633">
      <c r="E2633" s="102"/>
    </row>
    <row r="2634">
      <c r="E2634" s="102"/>
    </row>
    <row r="2635">
      <c r="E2635" s="102"/>
    </row>
    <row r="2636">
      <c r="E2636" s="102"/>
    </row>
    <row r="2637">
      <c r="E2637" s="102"/>
    </row>
    <row r="2638">
      <c r="E2638" s="102"/>
    </row>
    <row r="2639">
      <c r="E2639" s="102"/>
    </row>
    <row r="2640">
      <c r="E2640" s="102"/>
    </row>
    <row r="2641">
      <c r="E2641" s="102"/>
    </row>
    <row r="2642">
      <c r="E2642" s="102"/>
    </row>
    <row r="2643">
      <c r="E2643" s="102"/>
    </row>
    <row r="2644">
      <c r="E2644" s="102"/>
    </row>
    <row r="2645">
      <c r="E2645" s="102"/>
    </row>
    <row r="2646">
      <c r="E2646" s="102"/>
    </row>
    <row r="2647">
      <c r="E2647" s="102"/>
    </row>
    <row r="2648">
      <c r="E2648" s="102"/>
    </row>
    <row r="2649">
      <c r="E2649" s="102"/>
    </row>
    <row r="2650">
      <c r="E2650" s="102"/>
    </row>
    <row r="2651">
      <c r="E2651" s="102"/>
    </row>
    <row r="2652">
      <c r="E2652" s="102"/>
    </row>
    <row r="2653">
      <c r="E2653" s="102"/>
    </row>
    <row r="2654">
      <c r="E2654" s="102"/>
    </row>
    <row r="2655">
      <c r="E2655" s="102"/>
    </row>
    <row r="2656">
      <c r="E2656" s="102"/>
    </row>
    <row r="2657">
      <c r="E2657" s="102"/>
    </row>
    <row r="2658">
      <c r="E2658" s="102"/>
    </row>
    <row r="2659">
      <c r="E2659" s="102"/>
    </row>
    <row r="2660">
      <c r="E2660" s="102"/>
    </row>
    <row r="2661">
      <c r="E2661" s="102"/>
    </row>
    <row r="2662">
      <c r="E2662" s="102"/>
    </row>
    <row r="2663">
      <c r="E2663" s="102"/>
    </row>
    <row r="2664">
      <c r="E2664" s="102"/>
    </row>
    <row r="2665">
      <c r="E2665" s="102"/>
    </row>
    <row r="2666">
      <c r="E2666" s="102"/>
    </row>
    <row r="2667">
      <c r="E2667" s="102"/>
    </row>
    <row r="2668">
      <c r="E2668" s="102"/>
    </row>
    <row r="2669">
      <c r="E2669" s="102"/>
    </row>
    <row r="2670">
      <c r="E2670" s="102"/>
    </row>
    <row r="2671">
      <c r="E2671" s="102"/>
    </row>
    <row r="2672">
      <c r="E2672" s="102"/>
    </row>
    <row r="2673">
      <c r="E2673" s="102"/>
    </row>
    <row r="2674">
      <c r="E2674" s="102"/>
    </row>
    <row r="2675">
      <c r="E2675" s="102"/>
    </row>
    <row r="2676">
      <c r="E2676" s="102"/>
    </row>
    <row r="2677">
      <c r="E2677" s="102"/>
    </row>
    <row r="2678">
      <c r="E2678" s="102"/>
    </row>
    <row r="2679">
      <c r="E2679" s="102"/>
    </row>
    <row r="2680">
      <c r="E2680" s="102"/>
    </row>
    <row r="2681">
      <c r="E2681" s="102"/>
    </row>
    <row r="2682">
      <c r="E2682" s="102"/>
    </row>
    <row r="2683">
      <c r="E2683" s="102"/>
    </row>
    <row r="2684">
      <c r="E2684" s="102"/>
    </row>
    <row r="2685">
      <c r="E2685" s="102"/>
    </row>
    <row r="2686">
      <c r="E2686" s="102"/>
    </row>
    <row r="2687">
      <c r="E2687" s="102"/>
    </row>
    <row r="2688">
      <c r="E2688" s="102"/>
    </row>
    <row r="2689">
      <c r="E2689" s="102"/>
    </row>
    <row r="2690">
      <c r="E2690" s="102"/>
    </row>
    <row r="2691">
      <c r="E2691" s="102"/>
    </row>
    <row r="2692">
      <c r="E2692" s="102"/>
    </row>
    <row r="2693">
      <c r="E2693" s="102"/>
    </row>
    <row r="2694">
      <c r="E2694" s="102"/>
    </row>
    <row r="2695">
      <c r="E2695" s="102"/>
    </row>
    <row r="2696">
      <c r="E2696" s="102"/>
    </row>
    <row r="2697">
      <c r="E2697" s="102"/>
    </row>
    <row r="2698">
      <c r="E2698" s="102"/>
    </row>
    <row r="2699">
      <c r="E2699" s="102"/>
    </row>
    <row r="2700">
      <c r="E2700" s="102"/>
    </row>
    <row r="2701">
      <c r="E2701" s="102"/>
    </row>
    <row r="2702">
      <c r="E2702" s="102"/>
    </row>
    <row r="2703">
      <c r="E2703" s="102"/>
    </row>
    <row r="2704">
      <c r="E2704" s="102"/>
    </row>
    <row r="2705">
      <c r="E2705" s="102"/>
    </row>
    <row r="2706">
      <c r="E2706" s="102"/>
    </row>
    <row r="2707">
      <c r="E2707" s="102"/>
    </row>
    <row r="2708">
      <c r="E2708" s="102"/>
    </row>
    <row r="2709">
      <c r="E2709" s="102"/>
    </row>
    <row r="2710">
      <c r="E2710" s="102"/>
    </row>
    <row r="2711">
      <c r="E2711" s="102"/>
    </row>
    <row r="2712">
      <c r="E2712" s="102"/>
    </row>
    <row r="2713">
      <c r="E2713" s="102"/>
    </row>
    <row r="2714">
      <c r="E2714" s="102"/>
    </row>
    <row r="2715">
      <c r="E2715" s="102"/>
    </row>
    <row r="2716">
      <c r="E2716" s="102"/>
    </row>
    <row r="2717">
      <c r="E2717" s="102"/>
    </row>
    <row r="2718">
      <c r="E2718" s="102"/>
    </row>
    <row r="2719">
      <c r="E2719" s="102"/>
    </row>
    <row r="2720">
      <c r="E2720" s="102"/>
    </row>
    <row r="2721">
      <c r="E2721" s="102"/>
    </row>
    <row r="2722">
      <c r="E2722" s="102"/>
    </row>
    <row r="2723">
      <c r="E2723" s="102"/>
    </row>
    <row r="2724">
      <c r="E2724" s="102"/>
    </row>
    <row r="2725">
      <c r="E2725" s="102"/>
    </row>
    <row r="2726">
      <c r="E2726" s="102"/>
    </row>
    <row r="2727">
      <c r="E2727" s="102"/>
    </row>
    <row r="2728">
      <c r="E2728" s="102"/>
    </row>
    <row r="2729">
      <c r="E2729" s="102"/>
    </row>
    <row r="2730">
      <c r="E2730" s="102"/>
    </row>
    <row r="2731">
      <c r="E2731" s="102"/>
    </row>
    <row r="2732">
      <c r="E2732" s="102"/>
    </row>
    <row r="2733">
      <c r="E2733" s="102"/>
    </row>
    <row r="2734">
      <c r="E2734" s="102"/>
    </row>
    <row r="2735">
      <c r="E2735" s="102"/>
    </row>
    <row r="2736">
      <c r="E2736" s="102"/>
    </row>
    <row r="2737">
      <c r="E2737" s="102"/>
    </row>
    <row r="2738">
      <c r="E2738" s="102"/>
    </row>
    <row r="2739">
      <c r="E2739" s="102"/>
    </row>
    <row r="2740">
      <c r="E2740" s="102"/>
    </row>
    <row r="2741">
      <c r="E2741" s="102"/>
    </row>
    <row r="2742">
      <c r="E2742" s="102"/>
    </row>
    <row r="2743">
      <c r="E2743" s="102"/>
    </row>
    <row r="2744">
      <c r="E2744" s="102"/>
    </row>
    <row r="2745">
      <c r="E2745" s="102"/>
    </row>
    <row r="2746">
      <c r="E2746" s="102"/>
    </row>
    <row r="2747">
      <c r="E2747" s="102"/>
    </row>
    <row r="2748">
      <c r="E2748" s="102"/>
    </row>
    <row r="2749">
      <c r="E2749" s="102"/>
    </row>
    <row r="2750">
      <c r="E2750" s="102"/>
    </row>
    <row r="2751">
      <c r="E2751" s="102"/>
    </row>
    <row r="2752">
      <c r="E2752" s="102"/>
    </row>
    <row r="2753">
      <c r="E2753" s="102"/>
    </row>
    <row r="2754">
      <c r="E2754" s="102"/>
    </row>
    <row r="2755">
      <c r="E2755" s="102"/>
    </row>
    <row r="2756">
      <c r="E2756" s="102"/>
    </row>
    <row r="2757">
      <c r="E2757" s="102"/>
    </row>
    <row r="2758">
      <c r="E2758" s="102"/>
    </row>
    <row r="2759">
      <c r="E2759" s="102"/>
    </row>
    <row r="2760">
      <c r="E2760" s="102"/>
    </row>
    <row r="2761">
      <c r="E2761" s="102"/>
    </row>
    <row r="2762">
      <c r="E2762" s="102"/>
    </row>
    <row r="2763">
      <c r="E2763" s="102"/>
    </row>
    <row r="2764">
      <c r="E2764" s="102"/>
    </row>
    <row r="2765">
      <c r="E2765" s="102"/>
    </row>
    <row r="2766">
      <c r="E2766" s="102"/>
    </row>
    <row r="2767">
      <c r="E2767" s="102"/>
    </row>
    <row r="2768">
      <c r="E2768" s="102"/>
    </row>
    <row r="2769">
      <c r="E2769" s="102"/>
    </row>
    <row r="2770">
      <c r="E2770" s="102"/>
    </row>
    <row r="2771">
      <c r="E2771" s="102"/>
    </row>
    <row r="2772">
      <c r="E2772" s="102"/>
    </row>
    <row r="2773">
      <c r="E2773" s="102"/>
    </row>
    <row r="2774">
      <c r="E2774" s="102"/>
    </row>
    <row r="2775">
      <c r="E2775" s="102"/>
    </row>
    <row r="2776">
      <c r="E2776" s="102"/>
    </row>
    <row r="2777">
      <c r="E2777" s="102"/>
    </row>
    <row r="2778">
      <c r="E2778" s="102"/>
    </row>
    <row r="2779">
      <c r="E2779" s="102"/>
    </row>
    <row r="2780">
      <c r="E2780" s="102"/>
    </row>
    <row r="2781">
      <c r="E2781" s="102"/>
    </row>
    <row r="2782">
      <c r="E2782" s="102"/>
    </row>
    <row r="2783">
      <c r="E2783" s="102"/>
    </row>
    <row r="2784">
      <c r="E2784" s="102"/>
    </row>
    <row r="2785">
      <c r="E2785" s="102"/>
    </row>
    <row r="2786">
      <c r="E2786" s="102"/>
    </row>
    <row r="2787">
      <c r="E2787" s="102"/>
    </row>
    <row r="2788">
      <c r="E2788" s="102"/>
    </row>
    <row r="2789">
      <c r="E2789" s="102"/>
    </row>
    <row r="2790">
      <c r="E2790" s="102"/>
    </row>
    <row r="2791">
      <c r="E2791" s="102"/>
    </row>
    <row r="2792">
      <c r="E2792" s="102"/>
    </row>
    <row r="2793">
      <c r="E2793" s="102"/>
    </row>
    <row r="2794">
      <c r="E2794" s="102"/>
    </row>
    <row r="2795">
      <c r="E2795" s="102"/>
    </row>
    <row r="2796">
      <c r="E2796" s="102"/>
    </row>
    <row r="2797">
      <c r="E2797" s="102"/>
    </row>
    <row r="2798">
      <c r="E2798" s="102"/>
    </row>
    <row r="2799">
      <c r="E2799" s="102"/>
    </row>
    <row r="2800">
      <c r="E2800" s="102"/>
    </row>
    <row r="2801">
      <c r="E2801" s="102"/>
    </row>
    <row r="2802">
      <c r="E2802" s="102"/>
    </row>
    <row r="2803">
      <c r="E2803" s="102"/>
    </row>
    <row r="2804">
      <c r="E2804" s="102"/>
    </row>
    <row r="2805">
      <c r="E2805" s="102"/>
    </row>
    <row r="2806">
      <c r="E2806" s="102"/>
    </row>
    <row r="2807">
      <c r="E2807" s="102"/>
    </row>
    <row r="2808">
      <c r="E2808" s="102"/>
    </row>
    <row r="2809">
      <c r="E2809" s="102"/>
    </row>
    <row r="2810">
      <c r="E2810" s="102"/>
    </row>
    <row r="2811">
      <c r="E2811" s="102"/>
    </row>
    <row r="2812">
      <c r="E2812" s="102"/>
    </row>
    <row r="2813">
      <c r="E2813" s="102"/>
    </row>
    <row r="2814">
      <c r="E2814" s="102"/>
    </row>
    <row r="2815">
      <c r="E2815" s="102"/>
    </row>
    <row r="2816">
      <c r="E2816" s="102"/>
    </row>
    <row r="2817">
      <c r="E2817" s="102"/>
    </row>
    <row r="2818">
      <c r="E2818" s="102"/>
    </row>
    <row r="2819">
      <c r="E2819" s="102"/>
    </row>
    <row r="2820">
      <c r="E2820" s="102"/>
    </row>
    <row r="2821">
      <c r="E2821" s="102"/>
    </row>
    <row r="2822">
      <c r="E2822" s="102"/>
    </row>
    <row r="2823">
      <c r="E2823" s="102"/>
    </row>
    <row r="2824">
      <c r="E2824" s="102"/>
    </row>
    <row r="2825">
      <c r="E2825" s="102"/>
    </row>
    <row r="2826">
      <c r="E2826" s="102"/>
    </row>
    <row r="2827">
      <c r="E2827" s="102"/>
    </row>
    <row r="2828">
      <c r="E2828" s="102"/>
    </row>
    <row r="2829">
      <c r="E2829" s="102"/>
    </row>
    <row r="2830">
      <c r="E2830" s="102"/>
    </row>
    <row r="2831">
      <c r="E2831" s="102"/>
    </row>
    <row r="2832">
      <c r="E2832" s="102"/>
    </row>
    <row r="2833">
      <c r="E2833" s="102"/>
    </row>
    <row r="2834">
      <c r="E2834" s="102"/>
    </row>
    <row r="2835">
      <c r="E2835" s="102"/>
    </row>
    <row r="2836">
      <c r="E2836" s="102"/>
    </row>
    <row r="2837">
      <c r="E2837" s="102"/>
    </row>
    <row r="2838">
      <c r="E2838" s="102"/>
    </row>
    <row r="2839">
      <c r="E2839" s="102"/>
    </row>
    <row r="2840">
      <c r="E2840" s="102"/>
    </row>
    <row r="2841">
      <c r="E2841" s="102"/>
    </row>
    <row r="2842">
      <c r="E2842" s="102"/>
    </row>
    <row r="2843">
      <c r="E2843" s="102"/>
    </row>
    <row r="2844">
      <c r="E2844" s="102"/>
    </row>
    <row r="2845">
      <c r="E2845" s="102"/>
    </row>
    <row r="2846">
      <c r="E2846" s="102"/>
    </row>
    <row r="2847">
      <c r="E2847" s="102"/>
    </row>
    <row r="2848">
      <c r="E2848" s="102"/>
    </row>
    <row r="2849">
      <c r="E2849" s="102"/>
    </row>
    <row r="2850">
      <c r="E2850" s="102"/>
    </row>
    <row r="2851">
      <c r="E2851" s="102"/>
    </row>
    <row r="2852">
      <c r="E2852" s="102"/>
    </row>
    <row r="2853">
      <c r="E2853" s="102"/>
    </row>
    <row r="2854">
      <c r="E2854" s="102"/>
    </row>
    <row r="2855">
      <c r="E2855" s="102"/>
    </row>
    <row r="2856">
      <c r="E2856" s="102"/>
    </row>
    <row r="2857">
      <c r="E2857" s="102"/>
    </row>
    <row r="2858">
      <c r="E2858" s="102"/>
    </row>
    <row r="2859">
      <c r="E2859" s="102"/>
    </row>
    <row r="2860">
      <c r="E2860" s="102"/>
    </row>
    <row r="2861">
      <c r="E2861" s="102"/>
    </row>
    <row r="2862">
      <c r="E2862" s="102"/>
    </row>
    <row r="2863">
      <c r="E2863" s="102"/>
    </row>
    <row r="2864">
      <c r="E2864" s="102"/>
    </row>
    <row r="2865">
      <c r="E2865" s="102"/>
    </row>
    <row r="2866">
      <c r="E2866" s="102"/>
    </row>
    <row r="2867">
      <c r="E2867" s="102"/>
    </row>
    <row r="2868">
      <c r="E2868" s="102"/>
    </row>
    <row r="2869">
      <c r="E2869" s="102"/>
    </row>
    <row r="2870">
      <c r="E2870" s="102"/>
    </row>
    <row r="2871">
      <c r="E2871" s="102"/>
    </row>
    <row r="2872">
      <c r="E2872" s="102"/>
    </row>
    <row r="2873">
      <c r="E2873" s="102"/>
    </row>
    <row r="2874">
      <c r="E2874" s="102"/>
    </row>
    <row r="2875">
      <c r="E2875" s="102"/>
    </row>
    <row r="2876">
      <c r="E2876" s="102"/>
    </row>
    <row r="2877">
      <c r="E2877" s="102"/>
    </row>
    <row r="2878">
      <c r="E2878" s="102"/>
    </row>
    <row r="2879">
      <c r="E2879" s="102"/>
    </row>
    <row r="2880">
      <c r="E2880" s="102"/>
    </row>
    <row r="2881">
      <c r="E2881" s="102"/>
    </row>
    <row r="2882">
      <c r="E2882" s="102"/>
    </row>
    <row r="2883">
      <c r="E2883" s="102"/>
    </row>
    <row r="2884">
      <c r="E2884" s="102"/>
    </row>
    <row r="2885">
      <c r="E2885" s="102"/>
    </row>
    <row r="2886">
      <c r="E2886" s="102"/>
    </row>
    <row r="2887">
      <c r="E2887" s="102"/>
    </row>
    <row r="2888">
      <c r="E2888" s="102"/>
    </row>
    <row r="2889">
      <c r="E2889" s="102"/>
    </row>
    <row r="2890">
      <c r="E2890" s="102"/>
    </row>
    <row r="2891">
      <c r="E2891" s="102"/>
    </row>
    <row r="2892">
      <c r="E2892" s="102"/>
    </row>
    <row r="2893">
      <c r="E2893" s="102"/>
    </row>
    <row r="2894">
      <c r="E2894" s="102"/>
    </row>
    <row r="2895">
      <c r="E2895" s="102"/>
    </row>
    <row r="2896">
      <c r="E2896" s="102"/>
    </row>
    <row r="2897">
      <c r="E2897" s="102"/>
    </row>
    <row r="2898">
      <c r="E2898" s="102"/>
    </row>
    <row r="2899">
      <c r="E2899" s="102"/>
    </row>
    <row r="2900">
      <c r="E2900" s="102"/>
    </row>
    <row r="2901">
      <c r="E2901" s="102"/>
    </row>
    <row r="2902">
      <c r="E2902" s="102"/>
    </row>
    <row r="2903">
      <c r="E2903" s="102"/>
    </row>
    <row r="2904">
      <c r="E2904" s="102"/>
    </row>
    <row r="2905">
      <c r="E2905" s="102"/>
    </row>
    <row r="2906">
      <c r="E2906" s="102"/>
    </row>
    <row r="2907">
      <c r="E2907" s="102"/>
    </row>
    <row r="2908">
      <c r="E2908" s="102"/>
    </row>
    <row r="2909">
      <c r="E2909" s="102"/>
    </row>
    <row r="2910">
      <c r="E2910" s="102"/>
    </row>
    <row r="2911">
      <c r="E2911" s="102"/>
    </row>
    <row r="2912">
      <c r="E2912" s="102"/>
    </row>
    <row r="2913">
      <c r="E2913" s="102"/>
    </row>
    <row r="2914">
      <c r="E2914" s="102"/>
    </row>
    <row r="2915">
      <c r="E2915" s="102"/>
    </row>
    <row r="2916">
      <c r="E2916" s="102"/>
    </row>
    <row r="2917">
      <c r="E2917" s="102"/>
    </row>
    <row r="2918">
      <c r="E2918" s="102"/>
    </row>
    <row r="2919">
      <c r="E2919" s="102"/>
    </row>
    <row r="2920">
      <c r="E2920" s="102"/>
    </row>
    <row r="2921">
      <c r="E2921" s="102"/>
    </row>
    <row r="2922">
      <c r="E2922" s="102"/>
    </row>
    <row r="2923">
      <c r="E2923" s="102"/>
    </row>
    <row r="2924">
      <c r="E2924" s="102"/>
    </row>
    <row r="2925">
      <c r="E2925" s="102"/>
    </row>
    <row r="2926">
      <c r="E2926" s="102"/>
    </row>
    <row r="2927">
      <c r="E2927" s="102"/>
    </row>
    <row r="2928">
      <c r="E2928" s="102"/>
    </row>
    <row r="2929">
      <c r="E2929" s="102"/>
    </row>
    <row r="2930">
      <c r="E2930" s="102"/>
    </row>
    <row r="2931">
      <c r="E2931" s="102"/>
    </row>
    <row r="2932">
      <c r="E2932" s="102"/>
    </row>
    <row r="2933">
      <c r="E2933" s="102"/>
    </row>
    <row r="2934">
      <c r="E2934" s="102"/>
    </row>
    <row r="2935">
      <c r="E2935" s="102"/>
    </row>
    <row r="2936">
      <c r="E2936" s="102"/>
    </row>
    <row r="2937">
      <c r="E2937" s="102"/>
    </row>
    <row r="2938">
      <c r="E2938" s="102"/>
    </row>
    <row r="2939">
      <c r="E2939" s="102"/>
    </row>
    <row r="2940">
      <c r="E2940" s="102"/>
    </row>
    <row r="2941">
      <c r="E2941" s="102"/>
    </row>
    <row r="2942">
      <c r="E2942" s="102"/>
    </row>
    <row r="2943">
      <c r="E2943" s="102"/>
    </row>
    <row r="2944">
      <c r="E2944" s="102"/>
    </row>
    <row r="2945">
      <c r="E2945" s="102"/>
    </row>
    <row r="2946">
      <c r="E2946" s="102"/>
    </row>
    <row r="2947">
      <c r="E2947" s="102"/>
    </row>
    <row r="2948">
      <c r="E2948" s="102"/>
    </row>
    <row r="2949">
      <c r="E2949" s="102"/>
    </row>
    <row r="2950">
      <c r="E2950" s="102"/>
    </row>
    <row r="2951">
      <c r="E2951" s="102"/>
    </row>
    <row r="2952">
      <c r="E2952" s="102"/>
    </row>
    <row r="2953">
      <c r="E2953" s="102"/>
    </row>
    <row r="2954">
      <c r="E2954" s="102"/>
    </row>
    <row r="2955">
      <c r="E2955" s="102"/>
    </row>
    <row r="2956">
      <c r="E2956" s="102"/>
    </row>
    <row r="2957">
      <c r="E2957" s="102"/>
    </row>
    <row r="2958">
      <c r="E2958" s="102"/>
    </row>
    <row r="2959">
      <c r="E2959" s="102"/>
    </row>
    <row r="2960">
      <c r="E2960" s="102"/>
    </row>
    <row r="2961">
      <c r="E2961" s="102"/>
    </row>
    <row r="2962">
      <c r="E2962" s="102"/>
    </row>
    <row r="2963">
      <c r="E2963" s="102"/>
    </row>
    <row r="2964">
      <c r="E2964" s="102"/>
    </row>
    <row r="2965">
      <c r="E2965" s="102"/>
    </row>
    <row r="2966">
      <c r="E2966" s="102"/>
    </row>
    <row r="2967">
      <c r="E2967" s="102"/>
    </row>
    <row r="2968">
      <c r="E2968" s="102"/>
    </row>
    <row r="2969">
      <c r="E2969" s="102"/>
    </row>
    <row r="2970">
      <c r="E2970" s="102"/>
    </row>
    <row r="2971">
      <c r="E2971" s="102"/>
    </row>
    <row r="2972">
      <c r="E2972" s="102"/>
    </row>
    <row r="2973">
      <c r="E2973" s="102"/>
    </row>
    <row r="2974">
      <c r="E2974" s="102"/>
    </row>
    <row r="2975">
      <c r="E2975" s="102"/>
    </row>
    <row r="2976">
      <c r="E2976" s="102"/>
    </row>
    <row r="2977">
      <c r="E2977" s="102"/>
    </row>
    <row r="2978">
      <c r="E2978" s="102"/>
    </row>
    <row r="2979">
      <c r="E2979" s="102"/>
    </row>
    <row r="2980">
      <c r="E2980" s="102"/>
    </row>
    <row r="2981">
      <c r="E2981" s="102"/>
    </row>
    <row r="2982">
      <c r="E2982" s="102"/>
    </row>
    <row r="2983">
      <c r="E2983" s="102"/>
    </row>
    <row r="2984">
      <c r="E2984" s="102"/>
    </row>
    <row r="2985">
      <c r="E2985" s="102"/>
    </row>
    <row r="2986">
      <c r="E2986" s="102"/>
    </row>
    <row r="2987">
      <c r="E2987" s="102"/>
    </row>
    <row r="2988">
      <c r="E2988" s="102"/>
    </row>
    <row r="2989">
      <c r="E2989" s="102"/>
    </row>
    <row r="2990">
      <c r="E2990" s="102"/>
    </row>
    <row r="2991">
      <c r="E2991" s="102"/>
    </row>
    <row r="2992">
      <c r="E2992" s="102"/>
    </row>
    <row r="2993">
      <c r="E2993" s="102"/>
    </row>
    <row r="2994">
      <c r="E2994" s="102"/>
    </row>
    <row r="2995">
      <c r="E2995" s="102"/>
    </row>
    <row r="2996">
      <c r="E2996" s="102"/>
    </row>
    <row r="2997">
      <c r="E2997" s="102"/>
    </row>
    <row r="2998">
      <c r="E2998" s="102"/>
    </row>
    <row r="2999">
      <c r="E2999" s="102"/>
    </row>
    <row r="3000">
      <c r="E3000" s="102"/>
    </row>
    <row r="3001">
      <c r="E3001" s="102"/>
    </row>
    <row r="3002">
      <c r="E3002" s="102"/>
    </row>
    <row r="3003">
      <c r="E3003" s="102"/>
    </row>
    <row r="3004">
      <c r="E3004" s="102"/>
    </row>
    <row r="3005">
      <c r="E3005" s="102"/>
    </row>
    <row r="3006">
      <c r="E3006" s="102"/>
    </row>
    <row r="3007">
      <c r="E3007" s="102"/>
    </row>
    <row r="3008">
      <c r="E3008" s="102"/>
    </row>
    <row r="3009">
      <c r="E3009" s="102"/>
    </row>
    <row r="3010">
      <c r="E3010" s="102"/>
    </row>
    <row r="3011">
      <c r="E3011" s="102"/>
    </row>
    <row r="3012">
      <c r="E3012" s="102"/>
    </row>
    <row r="3013">
      <c r="E3013" s="102"/>
    </row>
    <row r="3014">
      <c r="E3014" s="102"/>
    </row>
    <row r="3015">
      <c r="E3015" s="102"/>
    </row>
    <row r="3016">
      <c r="E3016" s="102"/>
    </row>
    <row r="3017">
      <c r="E3017" s="102"/>
    </row>
    <row r="3018">
      <c r="E3018" s="102"/>
    </row>
    <row r="3019">
      <c r="E3019" s="102"/>
    </row>
    <row r="3020">
      <c r="E3020" s="102"/>
    </row>
    <row r="3021">
      <c r="E3021" s="102"/>
    </row>
    <row r="3022">
      <c r="E3022" s="102"/>
    </row>
    <row r="3023">
      <c r="E3023" s="102"/>
    </row>
    <row r="3024">
      <c r="E3024" s="102"/>
    </row>
    <row r="3025">
      <c r="E3025" s="102"/>
    </row>
    <row r="3026">
      <c r="E3026" s="102"/>
    </row>
    <row r="3027">
      <c r="E3027" s="102"/>
    </row>
    <row r="3028">
      <c r="E3028" s="102"/>
    </row>
    <row r="3029">
      <c r="E3029" s="102"/>
    </row>
    <row r="3030">
      <c r="E3030" s="102"/>
    </row>
    <row r="3031">
      <c r="E3031" s="102"/>
    </row>
    <row r="3032">
      <c r="E3032" s="102"/>
    </row>
    <row r="3033">
      <c r="E3033" s="102"/>
    </row>
    <row r="3034">
      <c r="E3034" s="102"/>
    </row>
    <row r="3035">
      <c r="E3035" s="102"/>
    </row>
    <row r="3036">
      <c r="E3036" s="102"/>
    </row>
    <row r="3037">
      <c r="E3037" s="102"/>
    </row>
    <row r="3038">
      <c r="E3038" s="102"/>
    </row>
    <row r="3039">
      <c r="E3039" s="102"/>
    </row>
    <row r="3040">
      <c r="E3040" s="102"/>
    </row>
    <row r="3041">
      <c r="E3041" s="102"/>
    </row>
    <row r="3042">
      <c r="E3042" s="102"/>
    </row>
    <row r="3043">
      <c r="E3043" s="102"/>
    </row>
    <row r="3044">
      <c r="E3044" s="102"/>
    </row>
    <row r="3045">
      <c r="E3045" s="102"/>
    </row>
    <row r="3046">
      <c r="E3046" s="102"/>
    </row>
    <row r="3047">
      <c r="E3047" s="102"/>
    </row>
    <row r="3048">
      <c r="E3048" s="102"/>
    </row>
    <row r="3049">
      <c r="E3049" s="102"/>
    </row>
    <row r="3050">
      <c r="E3050" s="102"/>
    </row>
    <row r="3051">
      <c r="E3051" s="102"/>
    </row>
    <row r="3052">
      <c r="E3052" s="102"/>
    </row>
    <row r="3053">
      <c r="E3053" s="102"/>
    </row>
    <row r="3054">
      <c r="E3054" s="102"/>
    </row>
    <row r="3055">
      <c r="E3055" s="102"/>
    </row>
    <row r="3056">
      <c r="E3056" s="102"/>
    </row>
    <row r="3057">
      <c r="E3057" s="102"/>
    </row>
    <row r="3058">
      <c r="E3058" s="102"/>
    </row>
    <row r="3059">
      <c r="E3059" s="102"/>
    </row>
    <row r="3060">
      <c r="E3060" s="102"/>
    </row>
    <row r="3061">
      <c r="E3061" s="102"/>
    </row>
    <row r="3062">
      <c r="E3062" s="102"/>
    </row>
    <row r="3063">
      <c r="E3063" s="102"/>
    </row>
    <row r="3064">
      <c r="E3064" s="102"/>
    </row>
    <row r="3065">
      <c r="E3065" s="102"/>
    </row>
    <row r="3066">
      <c r="E3066" s="102"/>
    </row>
    <row r="3067">
      <c r="E3067" s="102"/>
    </row>
    <row r="3068">
      <c r="E3068" s="102"/>
    </row>
    <row r="3069">
      <c r="E3069" s="102"/>
    </row>
    <row r="3070">
      <c r="E3070" s="102"/>
    </row>
    <row r="3071">
      <c r="E3071" s="102"/>
    </row>
    <row r="3072">
      <c r="E3072" s="102"/>
    </row>
    <row r="3073">
      <c r="E3073" s="102"/>
    </row>
    <row r="3074">
      <c r="E3074" s="102"/>
    </row>
    <row r="3075">
      <c r="E3075" s="102"/>
    </row>
    <row r="3076">
      <c r="E3076" s="102"/>
    </row>
    <row r="3077">
      <c r="E3077" s="102"/>
    </row>
    <row r="3078">
      <c r="E3078" s="102"/>
    </row>
    <row r="3079">
      <c r="E3079" s="102"/>
    </row>
    <row r="3080">
      <c r="E3080" s="102"/>
    </row>
    <row r="3081">
      <c r="E3081" s="102"/>
    </row>
    <row r="3082">
      <c r="E3082" s="102"/>
    </row>
    <row r="3083">
      <c r="E3083" s="102"/>
    </row>
    <row r="3084">
      <c r="E3084" s="102"/>
    </row>
    <row r="3085">
      <c r="E3085" s="102"/>
    </row>
    <row r="3086">
      <c r="E3086" s="102"/>
    </row>
    <row r="3087">
      <c r="E3087" s="102"/>
    </row>
    <row r="3088">
      <c r="E3088" s="102"/>
    </row>
    <row r="3089">
      <c r="E3089" s="102"/>
    </row>
    <row r="3090">
      <c r="E3090" s="102"/>
    </row>
    <row r="3091">
      <c r="E3091" s="102"/>
    </row>
    <row r="3092">
      <c r="E3092" s="102"/>
    </row>
    <row r="3093">
      <c r="E3093" s="102"/>
    </row>
    <row r="3094">
      <c r="E3094" s="102"/>
    </row>
    <row r="3095">
      <c r="E3095" s="102"/>
    </row>
    <row r="3096">
      <c r="E3096" s="102"/>
    </row>
    <row r="3097">
      <c r="E3097" s="102"/>
    </row>
    <row r="3098">
      <c r="E3098" s="102"/>
    </row>
    <row r="3099">
      <c r="E3099" s="102"/>
    </row>
    <row r="3100">
      <c r="E3100" s="102"/>
    </row>
    <row r="3101">
      <c r="E3101" s="102"/>
    </row>
    <row r="3102">
      <c r="E3102" s="102"/>
    </row>
    <row r="3103">
      <c r="E3103" s="102"/>
    </row>
    <row r="3104">
      <c r="E3104" s="102"/>
    </row>
    <row r="3105">
      <c r="E3105" s="102"/>
    </row>
    <row r="3106">
      <c r="E3106" s="102"/>
    </row>
    <row r="3107">
      <c r="E3107" s="102"/>
    </row>
    <row r="3108">
      <c r="E3108" s="102"/>
    </row>
    <row r="3109">
      <c r="E3109" s="102"/>
    </row>
    <row r="3110">
      <c r="E3110" s="102"/>
    </row>
    <row r="3111">
      <c r="E3111" s="102"/>
    </row>
    <row r="3112">
      <c r="E3112" s="102"/>
    </row>
    <row r="3113">
      <c r="E3113" s="102"/>
    </row>
    <row r="3114">
      <c r="E3114" s="102"/>
    </row>
    <row r="3115">
      <c r="E3115" s="102"/>
    </row>
    <row r="3116">
      <c r="E3116" s="102"/>
    </row>
    <row r="3117">
      <c r="E3117" s="102"/>
    </row>
    <row r="3118">
      <c r="E3118" s="102"/>
    </row>
    <row r="3119">
      <c r="E3119" s="102"/>
    </row>
    <row r="3120">
      <c r="E3120" s="102"/>
    </row>
    <row r="3121">
      <c r="E3121" s="102"/>
    </row>
    <row r="3122">
      <c r="E3122" s="102"/>
    </row>
    <row r="3123">
      <c r="E3123" s="102"/>
    </row>
    <row r="3124">
      <c r="E3124" s="102"/>
    </row>
    <row r="3125">
      <c r="E3125" s="102"/>
    </row>
    <row r="3126">
      <c r="E3126" s="102"/>
    </row>
    <row r="3127">
      <c r="E3127" s="102"/>
    </row>
    <row r="3128">
      <c r="E3128" s="102"/>
    </row>
    <row r="3129">
      <c r="E3129" s="102"/>
    </row>
    <row r="3130">
      <c r="E3130" s="102"/>
    </row>
    <row r="3131">
      <c r="E3131" s="102"/>
    </row>
    <row r="3132">
      <c r="E3132" s="102"/>
    </row>
    <row r="3133">
      <c r="E3133" s="102"/>
    </row>
    <row r="3134">
      <c r="E3134" s="102"/>
    </row>
    <row r="3135">
      <c r="E3135" s="102"/>
    </row>
    <row r="3136">
      <c r="E3136" s="102"/>
    </row>
    <row r="3137">
      <c r="E3137" s="102"/>
    </row>
    <row r="3138">
      <c r="E3138" s="102"/>
    </row>
    <row r="3139">
      <c r="E3139" s="102"/>
    </row>
    <row r="3140">
      <c r="E3140" s="102"/>
    </row>
    <row r="3141">
      <c r="E3141" s="102"/>
    </row>
    <row r="3142">
      <c r="E3142" s="102"/>
    </row>
    <row r="3143">
      <c r="E3143" s="102"/>
    </row>
    <row r="3144">
      <c r="E3144" s="102"/>
    </row>
    <row r="3145">
      <c r="E3145" s="102"/>
    </row>
    <row r="3146">
      <c r="E3146" s="102"/>
    </row>
    <row r="3147">
      <c r="E3147" s="102"/>
    </row>
    <row r="3148">
      <c r="E3148" s="102"/>
    </row>
    <row r="3149">
      <c r="E3149" s="102"/>
    </row>
    <row r="3150">
      <c r="E3150" s="102"/>
    </row>
    <row r="3151">
      <c r="E3151" s="102"/>
    </row>
    <row r="3152">
      <c r="E3152" s="102"/>
    </row>
    <row r="3153">
      <c r="E3153" s="102"/>
    </row>
    <row r="3154">
      <c r="E3154" s="102"/>
    </row>
    <row r="3155">
      <c r="E3155" s="102"/>
    </row>
    <row r="3156">
      <c r="E3156" s="102"/>
    </row>
    <row r="3157">
      <c r="E3157" s="102"/>
    </row>
    <row r="3158">
      <c r="E3158" s="102"/>
    </row>
    <row r="3159">
      <c r="E3159" s="102"/>
    </row>
    <row r="3160">
      <c r="E3160" s="102"/>
    </row>
    <row r="3161">
      <c r="E3161" s="102"/>
    </row>
    <row r="3162">
      <c r="E3162" s="102"/>
    </row>
    <row r="3163">
      <c r="E3163" s="102"/>
    </row>
    <row r="3164">
      <c r="E3164" s="102"/>
    </row>
    <row r="3165">
      <c r="E3165" s="102"/>
    </row>
    <row r="3166">
      <c r="E3166" s="102"/>
    </row>
    <row r="3167">
      <c r="E3167" s="102"/>
    </row>
    <row r="3168">
      <c r="E3168" s="102"/>
    </row>
    <row r="3169">
      <c r="E3169" s="102"/>
    </row>
    <row r="3170">
      <c r="E3170" s="102"/>
    </row>
    <row r="3171">
      <c r="E3171" s="102"/>
    </row>
    <row r="3172">
      <c r="E3172" s="102"/>
    </row>
    <row r="3173">
      <c r="E3173" s="102"/>
    </row>
    <row r="3174">
      <c r="E3174" s="102"/>
    </row>
    <row r="3175">
      <c r="E3175" s="102"/>
    </row>
    <row r="3176">
      <c r="E3176" s="102"/>
    </row>
    <row r="3177">
      <c r="E3177" s="102"/>
    </row>
    <row r="3178">
      <c r="E3178" s="102"/>
    </row>
    <row r="3179">
      <c r="E3179" s="102"/>
    </row>
    <row r="3180">
      <c r="E3180" s="102"/>
    </row>
    <row r="3181">
      <c r="E3181" s="102"/>
    </row>
    <row r="3182">
      <c r="E3182" s="102"/>
    </row>
    <row r="3183">
      <c r="E3183" s="102"/>
    </row>
    <row r="3184">
      <c r="E3184" s="102"/>
    </row>
    <row r="3185">
      <c r="E3185" s="102"/>
    </row>
    <row r="3186">
      <c r="E3186" s="102"/>
    </row>
    <row r="3187">
      <c r="E3187" s="102"/>
    </row>
    <row r="3188">
      <c r="E3188" s="102"/>
    </row>
    <row r="3189">
      <c r="E3189" s="102"/>
    </row>
    <row r="3190">
      <c r="E3190" s="102"/>
    </row>
    <row r="3191">
      <c r="E3191" s="102"/>
    </row>
    <row r="3192">
      <c r="E3192" s="102"/>
    </row>
    <row r="3193">
      <c r="E3193" s="102"/>
    </row>
    <row r="3194">
      <c r="E3194" s="102"/>
    </row>
    <row r="3195">
      <c r="E3195" s="102"/>
    </row>
    <row r="3196">
      <c r="E3196" s="102"/>
    </row>
    <row r="3197">
      <c r="E3197" s="102"/>
    </row>
    <row r="3198">
      <c r="E3198" s="102"/>
    </row>
    <row r="3199">
      <c r="E3199" s="102"/>
    </row>
    <row r="3200">
      <c r="E3200" s="102"/>
    </row>
    <row r="3201">
      <c r="E3201" s="102"/>
    </row>
    <row r="3202">
      <c r="E3202" s="102"/>
    </row>
    <row r="3203">
      <c r="E3203" s="102"/>
    </row>
    <row r="3204">
      <c r="E3204" s="102"/>
    </row>
    <row r="3205">
      <c r="E3205" s="102"/>
    </row>
    <row r="3206">
      <c r="E3206" s="102"/>
    </row>
    <row r="3207">
      <c r="E3207" s="102"/>
    </row>
    <row r="3208">
      <c r="E3208" s="102"/>
    </row>
    <row r="3209">
      <c r="E3209" s="102"/>
    </row>
    <row r="3210">
      <c r="E3210" s="102"/>
    </row>
    <row r="3211">
      <c r="E3211" s="102"/>
    </row>
    <row r="3212">
      <c r="E3212" s="102"/>
    </row>
    <row r="3213">
      <c r="E3213" s="102"/>
    </row>
    <row r="3214">
      <c r="E3214" s="102"/>
    </row>
    <row r="3215">
      <c r="E3215" s="102"/>
    </row>
    <row r="3216">
      <c r="E3216" s="102"/>
    </row>
    <row r="3217">
      <c r="E3217" s="102"/>
    </row>
    <row r="3218">
      <c r="E3218" s="102"/>
    </row>
    <row r="3219">
      <c r="E3219" s="102"/>
    </row>
    <row r="3220">
      <c r="E3220" s="102"/>
    </row>
    <row r="3221">
      <c r="E3221" s="102"/>
    </row>
    <row r="3222">
      <c r="E3222" s="102"/>
    </row>
    <row r="3223">
      <c r="E3223" s="102"/>
    </row>
    <row r="3224">
      <c r="E3224" s="102"/>
    </row>
    <row r="3225">
      <c r="E3225" s="102"/>
    </row>
    <row r="3226">
      <c r="E3226" s="102"/>
    </row>
    <row r="3227">
      <c r="E3227" s="102"/>
    </row>
    <row r="3228">
      <c r="E3228" s="102"/>
    </row>
    <row r="3229">
      <c r="E3229" s="102"/>
    </row>
    <row r="3230">
      <c r="E3230" s="102"/>
    </row>
    <row r="3231">
      <c r="E3231" s="102"/>
    </row>
    <row r="3232">
      <c r="E3232" s="102"/>
    </row>
    <row r="3233">
      <c r="E3233" s="102"/>
    </row>
    <row r="3234">
      <c r="E3234" s="102"/>
    </row>
    <row r="3235">
      <c r="E3235" s="102"/>
    </row>
    <row r="3236">
      <c r="E3236" s="102"/>
    </row>
    <row r="3237">
      <c r="E3237" s="102"/>
    </row>
    <row r="3238">
      <c r="E3238" s="102"/>
    </row>
    <row r="3239">
      <c r="E3239" s="102"/>
    </row>
    <row r="3240">
      <c r="E3240" s="102"/>
    </row>
    <row r="3241">
      <c r="E3241" s="102"/>
    </row>
    <row r="3242">
      <c r="E3242" s="102"/>
    </row>
    <row r="3243">
      <c r="E3243" s="102"/>
    </row>
    <row r="3244">
      <c r="E3244" s="102"/>
    </row>
    <row r="3245">
      <c r="E3245" s="102"/>
    </row>
    <row r="3246">
      <c r="E3246" s="102"/>
    </row>
    <row r="3247">
      <c r="E3247" s="102"/>
    </row>
    <row r="3248">
      <c r="E3248" s="102"/>
    </row>
    <row r="3249">
      <c r="E3249" s="102"/>
    </row>
    <row r="3250">
      <c r="E3250" s="102"/>
    </row>
    <row r="3251">
      <c r="E3251" s="102"/>
    </row>
    <row r="3252">
      <c r="E3252" s="102"/>
    </row>
    <row r="3253">
      <c r="E3253" s="102"/>
    </row>
    <row r="3254">
      <c r="E3254" s="102"/>
    </row>
    <row r="3255">
      <c r="E3255" s="102"/>
    </row>
    <row r="3256">
      <c r="E3256" s="102"/>
    </row>
    <row r="3257">
      <c r="E3257" s="102"/>
    </row>
    <row r="3258">
      <c r="E3258" s="102"/>
    </row>
    <row r="3259">
      <c r="E3259" s="102"/>
    </row>
    <row r="3260">
      <c r="E3260" s="102"/>
    </row>
    <row r="3261">
      <c r="E3261" s="102"/>
    </row>
    <row r="3262">
      <c r="E3262" s="102"/>
    </row>
    <row r="3263">
      <c r="E3263" s="102"/>
    </row>
    <row r="3264">
      <c r="E3264" s="102"/>
    </row>
    <row r="3265">
      <c r="E3265" s="102"/>
    </row>
    <row r="3266">
      <c r="E3266" s="102"/>
    </row>
    <row r="3267">
      <c r="E3267" s="102"/>
    </row>
    <row r="3268">
      <c r="E3268" s="102"/>
    </row>
    <row r="3269">
      <c r="E3269" s="102"/>
    </row>
    <row r="3270">
      <c r="E3270" s="102"/>
    </row>
    <row r="3271">
      <c r="E3271" s="102"/>
    </row>
    <row r="3272">
      <c r="E3272" s="102"/>
    </row>
    <row r="3273">
      <c r="E3273" s="102"/>
    </row>
    <row r="3274">
      <c r="E3274" s="102"/>
    </row>
    <row r="3275">
      <c r="E3275" s="102"/>
    </row>
    <row r="3276">
      <c r="E3276" s="102"/>
    </row>
    <row r="3277">
      <c r="E3277" s="102"/>
    </row>
    <row r="3278">
      <c r="E3278" s="102"/>
    </row>
    <row r="3279">
      <c r="E3279" s="102"/>
    </row>
    <row r="3280">
      <c r="E3280" s="102"/>
    </row>
    <row r="3281">
      <c r="E3281" s="102"/>
    </row>
    <row r="3282">
      <c r="E3282" s="102"/>
    </row>
    <row r="3283">
      <c r="E3283" s="102"/>
    </row>
    <row r="3284">
      <c r="E3284" s="102"/>
    </row>
    <row r="3285">
      <c r="E3285" s="102"/>
    </row>
    <row r="3286">
      <c r="E3286" s="102"/>
    </row>
    <row r="3287">
      <c r="E3287" s="102"/>
    </row>
    <row r="3288">
      <c r="E3288" s="102"/>
    </row>
    <row r="3289">
      <c r="E3289" s="102"/>
    </row>
    <row r="3290">
      <c r="E3290" s="102"/>
    </row>
    <row r="3291">
      <c r="E3291" s="102"/>
    </row>
    <row r="3292">
      <c r="E3292" s="102"/>
    </row>
    <row r="3293">
      <c r="E3293" s="102"/>
    </row>
    <row r="3294">
      <c r="E3294" s="102"/>
    </row>
    <row r="3295">
      <c r="E3295" s="102"/>
    </row>
    <row r="3296">
      <c r="E3296" s="102"/>
    </row>
    <row r="3297">
      <c r="E3297" s="102"/>
    </row>
    <row r="3298">
      <c r="E3298" s="102"/>
    </row>
    <row r="3299">
      <c r="E3299" s="102"/>
    </row>
    <row r="3300">
      <c r="E3300" s="102"/>
    </row>
    <row r="3301">
      <c r="E3301" s="102"/>
    </row>
    <row r="3302">
      <c r="E3302" s="102"/>
    </row>
    <row r="3303">
      <c r="E3303" s="102"/>
    </row>
    <row r="3304">
      <c r="E3304" s="102"/>
    </row>
    <row r="3305">
      <c r="E3305" s="102"/>
    </row>
    <row r="3306">
      <c r="E3306" s="102"/>
    </row>
    <row r="3307">
      <c r="E3307" s="102"/>
    </row>
    <row r="3308">
      <c r="E3308" s="102"/>
    </row>
    <row r="3309">
      <c r="E3309" s="102"/>
    </row>
    <row r="3310">
      <c r="E3310" s="102"/>
    </row>
    <row r="3311">
      <c r="E3311" s="102"/>
    </row>
    <row r="3312">
      <c r="E3312" s="102"/>
    </row>
    <row r="3313">
      <c r="E3313" s="102"/>
    </row>
    <row r="3314">
      <c r="E3314" s="102"/>
    </row>
    <row r="3315">
      <c r="E3315" s="102"/>
    </row>
    <row r="3316">
      <c r="E3316" s="102"/>
    </row>
    <row r="3317">
      <c r="E3317" s="102"/>
    </row>
    <row r="3318">
      <c r="E3318" s="102"/>
    </row>
    <row r="3319">
      <c r="E3319" s="102"/>
    </row>
    <row r="3320">
      <c r="E3320" s="102"/>
    </row>
    <row r="3321">
      <c r="E3321" s="102"/>
    </row>
    <row r="3322">
      <c r="E3322" s="102"/>
    </row>
    <row r="3323">
      <c r="E3323" s="102"/>
    </row>
    <row r="3324">
      <c r="E3324" s="102"/>
    </row>
    <row r="3325">
      <c r="E3325" s="102"/>
    </row>
    <row r="3326">
      <c r="E3326" s="102"/>
    </row>
    <row r="3327">
      <c r="E3327" s="102"/>
    </row>
    <row r="3328">
      <c r="E3328" s="102"/>
    </row>
    <row r="3329">
      <c r="E3329" s="102"/>
    </row>
    <row r="3330">
      <c r="E3330" s="102"/>
    </row>
    <row r="3331">
      <c r="E3331" s="102"/>
    </row>
    <row r="3332">
      <c r="E3332" s="102"/>
    </row>
    <row r="3333">
      <c r="E3333" s="102"/>
    </row>
    <row r="3334">
      <c r="E3334" s="102"/>
    </row>
    <row r="3335">
      <c r="E3335" s="102"/>
    </row>
    <row r="3336">
      <c r="E3336" s="102"/>
    </row>
    <row r="3337">
      <c r="E3337" s="102"/>
    </row>
    <row r="3338">
      <c r="E3338" s="102"/>
    </row>
    <row r="3339">
      <c r="E3339" s="102"/>
    </row>
    <row r="3340">
      <c r="E3340" s="102"/>
    </row>
    <row r="3341">
      <c r="E3341" s="102"/>
    </row>
    <row r="3342">
      <c r="E3342" s="102"/>
    </row>
    <row r="3343">
      <c r="E3343" s="102"/>
    </row>
    <row r="3344">
      <c r="E3344" s="102"/>
    </row>
    <row r="3345">
      <c r="E3345" s="102"/>
    </row>
    <row r="3346">
      <c r="E3346" s="102"/>
    </row>
    <row r="3347">
      <c r="E3347" s="102"/>
    </row>
    <row r="3348">
      <c r="E3348" s="102"/>
    </row>
    <row r="3349">
      <c r="E3349" s="102"/>
    </row>
    <row r="3350">
      <c r="E3350" s="102"/>
    </row>
    <row r="3351">
      <c r="E3351" s="102"/>
    </row>
    <row r="3352">
      <c r="E3352" s="102"/>
    </row>
    <row r="3353">
      <c r="E3353" s="102"/>
    </row>
    <row r="3354">
      <c r="E3354" s="102"/>
    </row>
    <row r="3355">
      <c r="E3355" s="102"/>
    </row>
    <row r="3356">
      <c r="E3356" s="102"/>
    </row>
    <row r="3357">
      <c r="E3357" s="102"/>
    </row>
    <row r="3358">
      <c r="E3358" s="102"/>
    </row>
    <row r="3359">
      <c r="E3359" s="102"/>
    </row>
    <row r="3360">
      <c r="E3360" s="102"/>
    </row>
    <row r="3361">
      <c r="E3361" s="102"/>
    </row>
    <row r="3362">
      <c r="E3362" s="102"/>
    </row>
    <row r="3363">
      <c r="E3363" s="102"/>
    </row>
    <row r="3364">
      <c r="E3364" s="102"/>
    </row>
    <row r="3365">
      <c r="E3365" s="102"/>
    </row>
    <row r="3366">
      <c r="E3366" s="102"/>
    </row>
    <row r="3367">
      <c r="E3367" s="102"/>
    </row>
    <row r="3368">
      <c r="E3368" s="102"/>
    </row>
    <row r="3369">
      <c r="E3369" s="102"/>
    </row>
    <row r="3370">
      <c r="E3370" s="102"/>
    </row>
    <row r="3371">
      <c r="E3371" s="102"/>
    </row>
    <row r="3372">
      <c r="E3372" s="102"/>
    </row>
    <row r="3373">
      <c r="E3373" s="102"/>
    </row>
    <row r="3374">
      <c r="E3374" s="102"/>
    </row>
    <row r="3375">
      <c r="E3375" s="102"/>
    </row>
    <row r="3376">
      <c r="E3376" s="102"/>
    </row>
    <row r="3377">
      <c r="E3377" s="102"/>
    </row>
    <row r="3378">
      <c r="E3378" s="102"/>
    </row>
    <row r="3379">
      <c r="E3379" s="102"/>
    </row>
    <row r="3380">
      <c r="E3380" s="102"/>
    </row>
    <row r="3381">
      <c r="E3381" s="102"/>
    </row>
    <row r="3382">
      <c r="E3382" s="102"/>
    </row>
    <row r="3383">
      <c r="E3383" s="102"/>
    </row>
    <row r="3384">
      <c r="E3384" s="102"/>
    </row>
    <row r="3385">
      <c r="E3385" s="102"/>
    </row>
    <row r="3386">
      <c r="E3386" s="102"/>
    </row>
    <row r="3387">
      <c r="E3387" s="102"/>
    </row>
    <row r="3388">
      <c r="E3388" s="102"/>
    </row>
    <row r="3389">
      <c r="E3389" s="102"/>
    </row>
    <row r="3390">
      <c r="E3390" s="102"/>
    </row>
    <row r="3391">
      <c r="E3391" s="102"/>
    </row>
    <row r="3392">
      <c r="E3392" s="102"/>
    </row>
    <row r="3393">
      <c r="E3393" s="102"/>
    </row>
    <row r="3394">
      <c r="E3394" s="102"/>
    </row>
    <row r="3395">
      <c r="E3395" s="102"/>
    </row>
    <row r="3396">
      <c r="E3396" s="102"/>
    </row>
    <row r="3397">
      <c r="E3397" s="102"/>
    </row>
    <row r="3398">
      <c r="E3398" s="102"/>
    </row>
    <row r="3399">
      <c r="E3399" s="102"/>
    </row>
    <row r="3400">
      <c r="E3400" s="102"/>
    </row>
    <row r="3401">
      <c r="E3401" s="102"/>
    </row>
    <row r="3402">
      <c r="E3402" s="102"/>
    </row>
    <row r="3403">
      <c r="E3403" s="102"/>
    </row>
    <row r="3404">
      <c r="E3404" s="102"/>
    </row>
    <row r="3405">
      <c r="E3405" s="102"/>
    </row>
    <row r="3406">
      <c r="E3406" s="102"/>
    </row>
    <row r="3407">
      <c r="E3407" s="102"/>
    </row>
    <row r="3408">
      <c r="E3408" s="102"/>
    </row>
    <row r="3409">
      <c r="E3409" s="102"/>
    </row>
    <row r="3410">
      <c r="E3410" s="102"/>
    </row>
    <row r="3411">
      <c r="E3411" s="102"/>
    </row>
    <row r="3412">
      <c r="E3412" s="102"/>
    </row>
    <row r="3413">
      <c r="E3413" s="102"/>
    </row>
    <row r="3414">
      <c r="E3414" s="102"/>
    </row>
    <row r="3415">
      <c r="E3415" s="102"/>
    </row>
    <row r="3416">
      <c r="E3416" s="102"/>
    </row>
    <row r="3417">
      <c r="E3417" s="102"/>
    </row>
    <row r="3418">
      <c r="E3418" s="102"/>
    </row>
    <row r="3419">
      <c r="E3419" s="102"/>
    </row>
    <row r="3420">
      <c r="E3420" s="102"/>
    </row>
    <row r="3421">
      <c r="E3421" s="102"/>
    </row>
    <row r="3422">
      <c r="E3422" s="102"/>
    </row>
    <row r="3423">
      <c r="E3423" s="102"/>
    </row>
    <row r="3424">
      <c r="E3424" s="102"/>
    </row>
    <row r="3425">
      <c r="E3425" s="102"/>
    </row>
    <row r="3426">
      <c r="E3426" s="102"/>
    </row>
    <row r="3427">
      <c r="E3427" s="102"/>
    </row>
    <row r="3428">
      <c r="E3428" s="102"/>
    </row>
    <row r="3429">
      <c r="E3429" s="102"/>
    </row>
    <row r="3430">
      <c r="E3430" s="102"/>
    </row>
    <row r="3431">
      <c r="E3431" s="102"/>
    </row>
    <row r="3432">
      <c r="E3432" s="102"/>
    </row>
    <row r="3433">
      <c r="E3433" s="102"/>
    </row>
    <row r="3434">
      <c r="E3434" s="102"/>
    </row>
    <row r="3435">
      <c r="E3435" s="102"/>
    </row>
    <row r="3436">
      <c r="E3436" s="102"/>
    </row>
    <row r="3437">
      <c r="E3437" s="102"/>
    </row>
    <row r="3438">
      <c r="E3438" s="102"/>
    </row>
    <row r="3439">
      <c r="E3439" s="102"/>
    </row>
    <row r="3440">
      <c r="E3440" s="102"/>
    </row>
    <row r="3441">
      <c r="E3441" s="102"/>
    </row>
    <row r="3442">
      <c r="E3442" s="102"/>
    </row>
    <row r="3443">
      <c r="E3443" s="102"/>
    </row>
    <row r="3444">
      <c r="E3444" s="102"/>
    </row>
    <row r="3445">
      <c r="E3445" s="102"/>
    </row>
    <row r="3446">
      <c r="E3446" s="102"/>
    </row>
    <row r="3447">
      <c r="E3447" s="102"/>
    </row>
    <row r="3448">
      <c r="E3448" s="102"/>
    </row>
    <row r="3449">
      <c r="E3449" s="102"/>
    </row>
    <row r="3450">
      <c r="E3450" s="102"/>
    </row>
    <row r="3451">
      <c r="E3451" s="102"/>
    </row>
    <row r="3452">
      <c r="E3452" s="102"/>
    </row>
    <row r="3453">
      <c r="E3453" s="102"/>
    </row>
    <row r="3454">
      <c r="E3454" s="102"/>
    </row>
    <row r="3455">
      <c r="E3455" s="102"/>
    </row>
    <row r="3456">
      <c r="E3456" s="102"/>
    </row>
    <row r="3457">
      <c r="E3457" s="102"/>
    </row>
    <row r="3458">
      <c r="E3458" s="102"/>
    </row>
    <row r="3459">
      <c r="E3459" s="102"/>
    </row>
    <row r="3460">
      <c r="E3460" s="102"/>
    </row>
    <row r="3461">
      <c r="E3461" s="102"/>
    </row>
    <row r="3462">
      <c r="E3462" s="102"/>
    </row>
    <row r="3463">
      <c r="E3463" s="102"/>
    </row>
    <row r="3464">
      <c r="E3464" s="102"/>
    </row>
    <row r="3465">
      <c r="E3465" s="102"/>
    </row>
    <row r="3466">
      <c r="E3466" s="102"/>
    </row>
    <row r="3467">
      <c r="E3467" s="102"/>
    </row>
    <row r="3468">
      <c r="E3468" s="102"/>
    </row>
    <row r="3469">
      <c r="E3469" s="102"/>
    </row>
    <row r="3470">
      <c r="E3470" s="102"/>
    </row>
    <row r="3471">
      <c r="E3471" s="102"/>
    </row>
    <row r="3472">
      <c r="E3472" s="102"/>
    </row>
    <row r="3473">
      <c r="E3473" s="102"/>
    </row>
    <row r="3474">
      <c r="E3474" s="102"/>
    </row>
    <row r="3475">
      <c r="E3475" s="102"/>
    </row>
    <row r="3476">
      <c r="E3476" s="102"/>
    </row>
    <row r="3477">
      <c r="E3477" s="102"/>
    </row>
    <row r="3478">
      <c r="E3478" s="102"/>
    </row>
    <row r="3479">
      <c r="E3479" s="102"/>
    </row>
    <row r="3480">
      <c r="E3480" s="102"/>
    </row>
    <row r="3481">
      <c r="E3481" s="102"/>
    </row>
    <row r="3482">
      <c r="E3482" s="102"/>
    </row>
    <row r="3483">
      <c r="E3483" s="102"/>
    </row>
    <row r="3484">
      <c r="E3484" s="102"/>
    </row>
    <row r="3485">
      <c r="E3485" s="102"/>
    </row>
    <row r="3486">
      <c r="E3486" s="102"/>
    </row>
    <row r="3487">
      <c r="E3487" s="102"/>
    </row>
    <row r="3488">
      <c r="E3488" s="102"/>
    </row>
    <row r="3489">
      <c r="E3489" s="102"/>
    </row>
    <row r="3490">
      <c r="E3490" s="102"/>
    </row>
    <row r="3491">
      <c r="E3491" s="102"/>
    </row>
    <row r="3492">
      <c r="E3492" s="102"/>
    </row>
    <row r="3493">
      <c r="E3493" s="102"/>
    </row>
    <row r="3494">
      <c r="E3494" s="102"/>
    </row>
    <row r="3495">
      <c r="E3495" s="102"/>
    </row>
    <row r="3496">
      <c r="E3496" s="102"/>
    </row>
    <row r="3497">
      <c r="E3497" s="102"/>
    </row>
    <row r="3498">
      <c r="E3498" s="102"/>
    </row>
    <row r="3499">
      <c r="E3499" s="102"/>
    </row>
    <row r="3500">
      <c r="E3500" s="102"/>
    </row>
    <row r="3501">
      <c r="E3501" s="102"/>
    </row>
    <row r="3502">
      <c r="E3502" s="102"/>
    </row>
    <row r="3503">
      <c r="E3503" s="102"/>
    </row>
    <row r="3504">
      <c r="E3504" s="102"/>
    </row>
    <row r="3505">
      <c r="E3505" s="102"/>
    </row>
    <row r="3506">
      <c r="E3506" s="102"/>
    </row>
    <row r="3507">
      <c r="E3507" s="102"/>
    </row>
    <row r="3508">
      <c r="E3508" s="102"/>
    </row>
    <row r="3509">
      <c r="E3509" s="102"/>
    </row>
    <row r="3510">
      <c r="E3510" s="102"/>
    </row>
    <row r="3511">
      <c r="E3511" s="102"/>
    </row>
    <row r="3512">
      <c r="E3512" s="102"/>
    </row>
    <row r="3513">
      <c r="E3513" s="102"/>
    </row>
    <row r="3514">
      <c r="E3514" s="102"/>
    </row>
    <row r="3515">
      <c r="E3515" s="102"/>
    </row>
    <row r="3516">
      <c r="E3516" s="102"/>
    </row>
    <row r="3517">
      <c r="E3517" s="102"/>
    </row>
    <row r="3518">
      <c r="E3518" s="102"/>
    </row>
    <row r="3519">
      <c r="E3519" s="102"/>
    </row>
    <row r="3520">
      <c r="E3520" s="102"/>
    </row>
    <row r="3521">
      <c r="E3521" s="102"/>
    </row>
    <row r="3522">
      <c r="E3522" s="102"/>
    </row>
    <row r="3523">
      <c r="E3523" s="102"/>
    </row>
    <row r="3524">
      <c r="E3524" s="102"/>
    </row>
    <row r="3525">
      <c r="E3525" s="102"/>
    </row>
    <row r="3526">
      <c r="E3526" s="102"/>
    </row>
    <row r="3527">
      <c r="E3527" s="102"/>
    </row>
    <row r="3528">
      <c r="E3528" s="102"/>
    </row>
    <row r="3529">
      <c r="E3529" s="102"/>
    </row>
    <row r="3530">
      <c r="E3530" s="102"/>
    </row>
    <row r="3531">
      <c r="E3531" s="102"/>
    </row>
    <row r="3532">
      <c r="E3532" s="102"/>
    </row>
    <row r="3533">
      <c r="E3533" s="102"/>
    </row>
    <row r="3534">
      <c r="E3534" s="102"/>
    </row>
    <row r="3535">
      <c r="E3535" s="102"/>
    </row>
    <row r="3536">
      <c r="E3536" s="102"/>
    </row>
    <row r="3537">
      <c r="E3537" s="102"/>
    </row>
    <row r="3538">
      <c r="E3538" s="102"/>
    </row>
    <row r="3539">
      <c r="E3539" s="102"/>
    </row>
    <row r="3540">
      <c r="E3540" s="102"/>
    </row>
    <row r="3541">
      <c r="E3541" s="102"/>
    </row>
    <row r="3542">
      <c r="E3542" s="102"/>
    </row>
    <row r="3543">
      <c r="E3543" s="102"/>
    </row>
    <row r="3544">
      <c r="E3544" s="102"/>
    </row>
    <row r="3545">
      <c r="E3545" s="102"/>
    </row>
    <row r="3546">
      <c r="E3546" s="102"/>
    </row>
    <row r="3547">
      <c r="E3547" s="102"/>
    </row>
    <row r="3548">
      <c r="E3548" s="102"/>
    </row>
    <row r="3549">
      <c r="E3549" s="102"/>
    </row>
    <row r="3550">
      <c r="E3550" s="102"/>
    </row>
    <row r="3551">
      <c r="E3551" s="102"/>
    </row>
    <row r="3552">
      <c r="E3552" s="102"/>
    </row>
    <row r="3553">
      <c r="E3553" s="102"/>
    </row>
    <row r="3554">
      <c r="E3554" s="102"/>
    </row>
    <row r="3555">
      <c r="E3555" s="102"/>
    </row>
    <row r="3556">
      <c r="E3556" s="102"/>
    </row>
    <row r="3557">
      <c r="E3557" s="102"/>
    </row>
    <row r="3558">
      <c r="E3558" s="102"/>
    </row>
    <row r="3559">
      <c r="E3559" s="102"/>
    </row>
    <row r="3560">
      <c r="E3560" s="102"/>
    </row>
    <row r="3561">
      <c r="E3561" s="102"/>
    </row>
    <row r="3562">
      <c r="E3562" s="102"/>
    </row>
    <row r="3563">
      <c r="E3563" s="102"/>
    </row>
    <row r="3564">
      <c r="E3564" s="102"/>
    </row>
    <row r="3565">
      <c r="E3565" s="102"/>
    </row>
    <row r="3566">
      <c r="E3566" s="102"/>
    </row>
    <row r="3567">
      <c r="E3567" s="102"/>
    </row>
    <row r="3568">
      <c r="E3568" s="102"/>
    </row>
    <row r="3569">
      <c r="E3569" s="102"/>
    </row>
    <row r="3570">
      <c r="E3570" s="102"/>
    </row>
    <row r="3571">
      <c r="E3571" s="102"/>
    </row>
    <row r="3572">
      <c r="E3572" s="102"/>
    </row>
    <row r="3573">
      <c r="E3573" s="102"/>
    </row>
    <row r="3574">
      <c r="E3574" s="102"/>
    </row>
    <row r="3575">
      <c r="E3575" s="102"/>
    </row>
    <row r="3576">
      <c r="E3576" s="102"/>
    </row>
    <row r="3577">
      <c r="E3577" s="102"/>
    </row>
    <row r="3578">
      <c r="E3578" s="102"/>
    </row>
    <row r="3579">
      <c r="E3579" s="102"/>
    </row>
    <row r="3580">
      <c r="E3580" s="102"/>
    </row>
    <row r="3581">
      <c r="E3581" s="102"/>
    </row>
    <row r="3582">
      <c r="E3582" s="102"/>
    </row>
    <row r="3583">
      <c r="E3583" s="102"/>
    </row>
    <row r="3584">
      <c r="E3584" s="102"/>
    </row>
    <row r="3585">
      <c r="E3585" s="102"/>
    </row>
    <row r="3586">
      <c r="E3586" s="102"/>
    </row>
    <row r="3587">
      <c r="E3587" s="102"/>
    </row>
    <row r="3588">
      <c r="E3588" s="102"/>
    </row>
    <row r="3589">
      <c r="E3589" s="102"/>
    </row>
    <row r="3590">
      <c r="E3590" s="102"/>
    </row>
    <row r="3591">
      <c r="E3591" s="102"/>
    </row>
    <row r="3592">
      <c r="E3592" s="102"/>
    </row>
    <row r="3593">
      <c r="E3593" s="102"/>
    </row>
    <row r="3594">
      <c r="E3594" s="102"/>
    </row>
    <row r="3595">
      <c r="E3595" s="102"/>
    </row>
    <row r="3596">
      <c r="E3596" s="102"/>
    </row>
    <row r="3597">
      <c r="E3597" s="102"/>
    </row>
    <row r="3598">
      <c r="E3598" s="102"/>
    </row>
    <row r="3599">
      <c r="E3599" s="102"/>
    </row>
    <row r="3600">
      <c r="E3600" s="102"/>
    </row>
    <row r="3601">
      <c r="E3601" s="102"/>
    </row>
    <row r="3602">
      <c r="E3602" s="102"/>
    </row>
    <row r="3603">
      <c r="E3603" s="102"/>
    </row>
    <row r="3604">
      <c r="E3604" s="102"/>
    </row>
    <row r="3605">
      <c r="E3605" s="102"/>
    </row>
    <row r="3606">
      <c r="E3606" s="102"/>
    </row>
    <row r="3607">
      <c r="E3607" s="102"/>
    </row>
    <row r="3608">
      <c r="E3608" s="102"/>
    </row>
    <row r="3609">
      <c r="E3609" s="102"/>
    </row>
    <row r="3610">
      <c r="E3610" s="102"/>
    </row>
    <row r="3611">
      <c r="E3611" s="102"/>
    </row>
    <row r="3612">
      <c r="E3612" s="102"/>
    </row>
    <row r="3613">
      <c r="E3613" s="102"/>
    </row>
    <row r="3614">
      <c r="E3614" s="102"/>
    </row>
    <row r="3615">
      <c r="E3615" s="102"/>
    </row>
    <row r="3616">
      <c r="E3616" s="102"/>
    </row>
    <row r="3617">
      <c r="E3617" s="102"/>
    </row>
    <row r="3618">
      <c r="E3618" s="102"/>
    </row>
    <row r="3619">
      <c r="E3619" s="102"/>
    </row>
    <row r="3620">
      <c r="E3620" s="102"/>
    </row>
    <row r="3621">
      <c r="E3621" s="102"/>
    </row>
    <row r="3622">
      <c r="E3622" s="102"/>
    </row>
    <row r="3623">
      <c r="E3623" s="102"/>
    </row>
    <row r="3624">
      <c r="E3624" s="102"/>
    </row>
    <row r="3625">
      <c r="E3625" s="102"/>
    </row>
    <row r="3626">
      <c r="E3626" s="102"/>
    </row>
    <row r="3627">
      <c r="E3627" s="102"/>
    </row>
    <row r="3628">
      <c r="E3628" s="102"/>
    </row>
    <row r="3629">
      <c r="E3629" s="102"/>
    </row>
    <row r="3630">
      <c r="E3630" s="102"/>
    </row>
    <row r="3631">
      <c r="E3631" s="102"/>
    </row>
    <row r="3632">
      <c r="E3632" s="102"/>
    </row>
    <row r="3633">
      <c r="E3633" s="102"/>
    </row>
    <row r="3634">
      <c r="E3634" s="102"/>
    </row>
    <row r="3635">
      <c r="E3635" s="102"/>
    </row>
    <row r="3636">
      <c r="E3636" s="102"/>
    </row>
    <row r="3637">
      <c r="E3637" s="102"/>
    </row>
    <row r="3638">
      <c r="E3638" s="102"/>
    </row>
    <row r="3639">
      <c r="E3639" s="102"/>
    </row>
    <row r="3640">
      <c r="E3640" s="102"/>
    </row>
    <row r="3641">
      <c r="E3641" s="102"/>
    </row>
    <row r="3642">
      <c r="E3642" s="102"/>
    </row>
    <row r="3643">
      <c r="E3643" s="102"/>
    </row>
    <row r="3644">
      <c r="E3644" s="102"/>
    </row>
    <row r="3645">
      <c r="E3645" s="102"/>
    </row>
    <row r="3646">
      <c r="E3646" s="102"/>
    </row>
    <row r="3647">
      <c r="E3647" s="102"/>
    </row>
    <row r="3648">
      <c r="E3648" s="102"/>
    </row>
    <row r="3649">
      <c r="E3649" s="102"/>
    </row>
    <row r="3650">
      <c r="E3650" s="102"/>
    </row>
    <row r="3651">
      <c r="E3651" s="102"/>
    </row>
    <row r="3652">
      <c r="E3652" s="102"/>
    </row>
    <row r="3653">
      <c r="E3653" s="102"/>
    </row>
    <row r="3654">
      <c r="E3654" s="102"/>
    </row>
    <row r="3655">
      <c r="E3655" s="102"/>
    </row>
    <row r="3656">
      <c r="E3656" s="102"/>
    </row>
    <row r="3657">
      <c r="E3657" s="102"/>
    </row>
    <row r="3658">
      <c r="E3658" s="102"/>
    </row>
    <row r="3659">
      <c r="E3659" s="102"/>
    </row>
    <row r="3660">
      <c r="E3660" s="102"/>
    </row>
    <row r="3661">
      <c r="E3661" s="102"/>
    </row>
    <row r="3662">
      <c r="E3662" s="102"/>
    </row>
    <row r="3663">
      <c r="E3663" s="102"/>
    </row>
    <row r="3664">
      <c r="E3664" s="102"/>
    </row>
    <row r="3665">
      <c r="E3665" s="102"/>
    </row>
    <row r="3666">
      <c r="E3666" s="102"/>
    </row>
    <row r="3667">
      <c r="E3667" s="102"/>
    </row>
    <row r="3668">
      <c r="E3668" s="102"/>
    </row>
    <row r="3669">
      <c r="E3669" s="102"/>
    </row>
    <row r="3670">
      <c r="E3670" s="102"/>
    </row>
    <row r="3671">
      <c r="E3671" s="102"/>
    </row>
    <row r="3672">
      <c r="E3672" s="102"/>
    </row>
    <row r="3673">
      <c r="E3673" s="102"/>
    </row>
    <row r="3674">
      <c r="E3674" s="102"/>
    </row>
    <row r="3675">
      <c r="E3675" s="102"/>
    </row>
    <row r="3676">
      <c r="E3676" s="102"/>
    </row>
    <row r="3677">
      <c r="E3677" s="102"/>
    </row>
    <row r="3678">
      <c r="E3678" s="102"/>
    </row>
    <row r="3679">
      <c r="E3679" s="102"/>
    </row>
    <row r="3680">
      <c r="E3680" s="102"/>
    </row>
    <row r="3681">
      <c r="E3681" s="102"/>
    </row>
    <row r="3682">
      <c r="E3682" s="102"/>
    </row>
    <row r="3683">
      <c r="E3683" s="102"/>
    </row>
    <row r="3684">
      <c r="E3684" s="102"/>
    </row>
    <row r="3685">
      <c r="E3685" s="102"/>
    </row>
    <row r="3686">
      <c r="E3686" s="102"/>
    </row>
    <row r="3687">
      <c r="E3687" s="102"/>
    </row>
    <row r="3688">
      <c r="E3688" s="102"/>
    </row>
    <row r="3689">
      <c r="E3689" s="102"/>
    </row>
    <row r="3690">
      <c r="E3690" s="102"/>
    </row>
    <row r="3691">
      <c r="E3691" s="102"/>
    </row>
    <row r="3692">
      <c r="E3692" s="102"/>
    </row>
    <row r="3693">
      <c r="E3693" s="102"/>
    </row>
    <row r="3694">
      <c r="E3694" s="102"/>
    </row>
    <row r="3695">
      <c r="E3695" s="102"/>
    </row>
    <row r="3696">
      <c r="E3696" s="102"/>
    </row>
    <row r="3697">
      <c r="E3697" s="102"/>
    </row>
    <row r="3698">
      <c r="E3698" s="102"/>
    </row>
    <row r="3699">
      <c r="E3699" s="102"/>
    </row>
    <row r="3700">
      <c r="E3700" s="102"/>
    </row>
    <row r="3701">
      <c r="E3701" s="102"/>
    </row>
    <row r="3702">
      <c r="E3702" s="102"/>
    </row>
    <row r="3703">
      <c r="E3703" s="102"/>
    </row>
    <row r="3704">
      <c r="E3704" s="102"/>
    </row>
    <row r="3705">
      <c r="E3705" s="102"/>
    </row>
    <row r="3706">
      <c r="E3706" s="102"/>
    </row>
    <row r="3707">
      <c r="E3707" s="102"/>
    </row>
    <row r="3708">
      <c r="E3708" s="102"/>
    </row>
    <row r="3709">
      <c r="E3709" s="102"/>
    </row>
    <row r="3710">
      <c r="E3710" s="102"/>
    </row>
    <row r="3711">
      <c r="E3711" s="102"/>
    </row>
    <row r="3712">
      <c r="E3712" s="102"/>
    </row>
    <row r="3713">
      <c r="E3713" s="102"/>
    </row>
    <row r="3714">
      <c r="E3714" s="102"/>
    </row>
    <row r="3715">
      <c r="E3715" s="102"/>
    </row>
    <row r="3716">
      <c r="E3716" s="102"/>
    </row>
    <row r="3717">
      <c r="E3717" s="102"/>
    </row>
    <row r="3718">
      <c r="E3718" s="102"/>
    </row>
    <row r="3719">
      <c r="E3719" s="102"/>
    </row>
    <row r="3720">
      <c r="E3720" s="102"/>
    </row>
    <row r="3721">
      <c r="E3721" s="102"/>
    </row>
    <row r="3722">
      <c r="E3722" s="102"/>
    </row>
    <row r="3723">
      <c r="E3723" s="102"/>
    </row>
    <row r="3724">
      <c r="E3724" s="102"/>
    </row>
    <row r="3725">
      <c r="E3725" s="102"/>
    </row>
    <row r="3726">
      <c r="E3726" s="102"/>
    </row>
    <row r="3727">
      <c r="E3727" s="102"/>
    </row>
    <row r="3728">
      <c r="E3728" s="102"/>
    </row>
    <row r="3729">
      <c r="E3729" s="102"/>
    </row>
    <row r="3730">
      <c r="E3730" s="102"/>
    </row>
    <row r="3731">
      <c r="E3731" s="102"/>
    </row>
    <row r="3732">
      <c r="E3732" s="102"/>
    </row>
    <row r="3733">
      <c r="E3733" s="102"/>
    </row>
    <row r="3734">
      <c r="E3734" s="102"/>
    </row>
    <row r="3735">
      <c r="E3735" s="102"/>
    </row>
    <row r="3736">
      <c r="E3736" s="102"/>
    </row>
    <row r="3737">
      <c r="E3737" s="102"/>
    </row>
    <row r="3738">
      <c r="E3738" s="102"/>
    </row>
    <row r="3739">
      <c r="E3739" s="102"/>
    </row>
    <row r="3740">
      <c r="E3740" s="102"/>
    </row>
    <row r="3741">
      <c r="E3741" s="102"/>
    </row>
    <row r="3742">
      <c r="E3742" s="102"/>
    </row>
    <row r="3743">
      <c r="E3743" s="102"/>
    </row>
    <row r="3744">
      <c r="E3744" s="102"/>
    </row>
    <row r="3745">
      <c r="E3745" s="102"/>
    </row>
    <row r="3746">
      <c r="E3746" s="102"/>
    </row>
    <row r="3747">
      <c r="E3747" s="102"/>
    </row>
    <row r="3748">
      <c r="E3748" s="102"/>
    </row>
    <row r="3749">
      <c r="E3749" s="102"/>
    </row>
    <row r="3750">
      <c r="E3750" s="102"/>
    </row>
    <row r="3751">
      <c r="E3751" s="102"/>
    </row>
    <row r="3752">
      <c r="E3752" s="102"/>
    </row>
    <row r="3753">
      <c r="E3753" s="102"/>
    </row>
    <row r="3754">
      <c r="E3754" s="102"/>
    </row>
    <row r="3755">
      <c r="E3755" s="102"/>
    </row>
    <row r="3756">
      <c r="E3756" s="102"/>
    </row>
    <row r="3757">
      <c r="E3757" s="102"/>
    </row>
    <row r="3758">
      <c r="E3758" s="102"/>
    </row>
    <row r="3759">
      <c r="E3759" s="102"/>
    </row>
    <row r="3760">
      <c r="E3760" s="102"/>
    </row>
    <row r="3761">
      <c r="E3761" s="102"/>
    </row>
    <row r="3762">
      <c r="E3762" s="102"/>
    </row>
    <row r="3763">
      <c r="E3763" s="102"/>
    </row>
    <row r="3764">
      <c r="E3764" s="102"/>
    </row>
    <row r="3765">
      <c r="E3765" s="102"/>
    </row>
    <row r="3766">
      <c r="E3766" s="102"/>
    </row>
    <row r="3767">
      <c r="E3767" s="102"/>
    </row>
    <row r="3768">
      <c r="E3768" s="102"/>
    </row>
    <row r="3769">
      <c r="E3769" s="102"/>
    </row>
    <row r="3770">
      <c r="E3770" s="102"/>
    </row>
    <row r="3771">
      <c r="E3771" s="102"/>
    </row>
    <row r="3772">
      <c r="E3772" s="102"/>
    </row>
    <row r="3773">
      <c r="E3773" s="102"/>
    </row>
    <row r="3774">
      <c r="E3774" s="102"/>
    </row>
    <row r="3775">
      <c r="E3775" s="102"/>
    </row>
    <row r="3776">
      <c r="E3776" s="102"/>
    </row>
    <row r="3777">
      <c r="E3777" s="102"/>
    </row>
    <row r="3778">
      <c r="E3778" s="102"/>
    </row>
    <row r="3779">
      <c r="E3779" s="102"/>
    </row>
    <row r="3780">
      <c r="E3780" s="102"/>
    </row>
    <row r="3781">
      <c r="E3781" s="102"/>
    </row>
    <row r="3782">
      <c r="E3782" s="102"/>
    </row>
    <row r="3783">
      <c r="E3783" s="102"/>
    </row>
    <row r="3784">
      <c r="E3784" s="102"/>
    </row>
    <row r="3785">
      <c r="E3785" s="102"/>
    </row>
    <row r="3786">
      <c r="E3786" s="102"/>
    </row>
    <row r="3787">
      <c r="E3787" s="102"/>
    </row>
    <row r="3788">
      <c r="E3788" s="102"/>
    </row>
    <row r="3789">
      <c r="E3789" s="102"/>
    </row>
    <row r="3790">
      <c r="E3790" s="102"/>
    </row>
    <row r="3791">
      <c r="E3791" s="102"/>
    </row>
    <row r="3792">
      <c r="E3792" s="102"/>
    </row>
    <row r="3793">
      <c r="E3793" s="102"/>
    </row>
    <row r="3794">
      <c r="E3794" s="102"/>
    </row>
    <row r="3795">
      <c r="E3795" s="102"/>
    </row>
    <row r="3796">
      <c r="E3796" s="102"/>
    </row>
    <row r="3797">
      <c r="E3797" s="102"/>
    </row>
    <row r="3798">
      <c r="E3798" s="102"/>
    </row>
    <row r="3799">
      <c r="E3799" s="102"/>
    </row>
    <row r="3800">
      <c r="E3800" s="102"/>
    </row>
    <row r="3801">
      <c r="E3801" s="102"/>
    </row>
    <row r="3802">
      <c r="E3802" s="102"/>
    </row>
    <row r="3803">
      <c r="E3803" s="102"/>
    </row>
    <row r="3804">
      <c r="E3804" s="102"/>
    </row>
    <row r="3805">
      <c r="E3805" s="102"/>
    </row>
    <row r="3806">
      <c r="E3806" s="102"/>
    </row>
    <row r="3807">
      <c r="E3807" s="102"/>
    </row>
    <row r="3808">
      <c r="E3808" s="102"/>
    </row>
    <row r="3809">
      <c r="E3809" s="102"/>
    </row>
    <row r="3810">
      <c r="E3810" s="102"/>
    </row>
    <row r="3811">
      <c r="E3811" s="102"/>
    </row>
    <row r="3812">
      <c r="E3812" s="102"/>
    </row>
    <row r="3813">
      <c r="E3813" s="102"/>
    </row>
    <row r="3814">
      <c r="E3814" s="102"/>
    </row>
    <row r="3815">
      <c r="E3815" s="102"/>
    </row>
    <row r="3816">
      <c r="E3816" s="102"/>
    </row>
    <row r="3817">
      <c r="E3817" s="102"/>
    </row>
    <row r="3818">
      <c r="E3818" s="102"/>
    </row>
    <row r="3819">
      <c r="E3819" s="102"/>
    </row>
    <row r="3820">
      <c r="E3820" s="102"/>
    </row>
    <row r="3821">
      <c r="E3821" s="102"/>
    </row>
    <row r="3822">
      <c r="E3822" s="102"/>
    </row>
    <row r="3823">
      <c r="E3823" s="102"/>
    </row>
    <row r="3824">
      <c r="E3824" s="102"/>
    </row>
    <row r="3825">
      <c r="E3825" s="102"/>
    </row>
    <row r="3826">
      <c r="E3826" s="102"/>
    </row>
    <row r="3827">
      <c r="E3827" s="102"/>
    </row>
    <row r="3828">
      <c r="E3828" s="102"/>
    </row>
    <row r="3829">
      <c r="E3829" s="102"/>
    </row>
    <row r="3830">
      <c r="E3830" s="102"/>
    </row>
    <row r="3831">
      <c r="E3831" s="102"/>
    </row>
    <row r="3832">
      <c r="E3832" s="102"/>
    </row>
    <row r="3833">
      <c r="E3833" s="102"/>
    </row>
    <row r="3834">
      <c r="E3834" s="102"/>
    </row>
    <row r="3835">
      <c r="E3835" s="102"/>
    </row>
    <row r="3836">
      <c r="E3836" s="102"/>
    </row>
    <row r="3837">
      <c r="E3837" s="102"/>
    </row>
    <row r="3838">
      <c r="E3838" s="102"/>
    </row>
    <row r="3839">
      <c r="E3839" s="102"/>
    </row>
    <row r="3840">
      <c r="E3840" s="102"/>
    </row>
    <row r="3841">
      <c r="E3841" s="102"/>
    </row>
    <row r="3842">
      <c r="E3842" s="102"/>
    </row>
    <row r="3843">
      <c r="E3843" s="102"/>
    </row>
    <row r="3844">
      <c r="E3844" s="102"/>
    </row>
    <row r="3845">
      <c r="E3845" s="102"/>
    </row>
    <row r="3846">
      <c r="E3846" s="102"/>
    </row>
    <row r="3847">
      <c r="E3847" s="102"/>
    </row>
    <row r="3848">
      <c r="E3848" s="102"/>
    </row>
    <row r="3849">
      <c r="E3849" s="102"/>
    </row>
    <row r="3850">
      <c r="E3850" s="102"/>
    </row>
    <row r="3851">
      <c r="E3851" s="102"/>
    </row>
    <row r="3852">
      <c r="E3852" s="102"/>
    </row>
    <row r="3853">
      <c r="E3853" s="102"/>
    </row>
    <row r="3854">
      <c r="E3854" s="102"/>
    </row>
    <row r="3855">
      <c r="E3855" s="102"/>
    </row>
    <row r="3856">
      <c r="E3856" s="102"/>
    </row>
    <row r="3857">
      <c r="E3857" s="102"/>
    </row>
    <row r="3858">
      <c r="E3858" s="102"/>
    </row>
    <row r="3859">
      <c r="E3859" s="102"/>
    </row>
    <row r="3860">
      <c r="E3860" s="102"/>
    </row>
    <row r="3861">
      <c r="E3861" s="102"/>
    </row>
    <row r="3862">
      <c r="E3862" s="102"/>
    </row>
    <row r="3863">
      <c r="E3863" s="102"/>
    </row>
    <row r="3864">
      <c r="E3864" s="102"/>
    </row>
    <row r="3865">
      <c r="E3865" s="102"/>
    </row>
    <row r="3866">
      <c r="E3866" s="102"/>
    </row>
    <row r="3867">
      <c r="E3867" s="102"/>
    </row>
    <row r="3868">
      <c r="E3868" s="102"/>
    </row>
    <row r="3869">
      <c r="E3869" s="102"/>
    </row>
    <row r="3870">
      <c r="E3870" s="102"/>
    </row>
    <row r="3871">
      <c r="E3871" s="102"/>
    </row>
    <row r="3872">
      <c r="E3872" s="102"/>
    </row>
    <row r="3873">
      <c r="E3873" s="102"/>
    </row>
    <row r="3874">
      <c r="E3874" s="102"/>
    </row>
    <row r="3875">
      <c r="E3875" s="102"/>
    </row>
    <row r="3876">
      <c r="E3876" s="102"/>
    </row>
    <row r="3877">
      <c r="E3877" s="102"/>
    </row>
    <row r="3878">
      <c r="E3878" s="102"/>
    </row>
    <row r="3879">
      <c r="E3879" s="102"/>
    </row>
    <row r="3880">
      <c r="E3880" s="102"/>
    </row>
    <row r="3881">
      <c r="E3881" s="102"/>
    </row>
    <row r="3882">
      <c r="E3882" s="102"/>
    </row>
    <row r="3883">
      <c r="E3883" s="102"/>
    </row>
    <row r="3884">
      <c r="E3884" s="102"/>
    </row>
    <row r="3885">
      <c r="E3885" s="102"/>
    </row>
    <row r="3886">
      <c r="E3886" s="102"/>
    </row>
    <row r="3887">
      <c r="E3887" s="102"/>
    </row>
    <row r="3888">
      <c r="E3888" s="102"/>
    </row>
    <row r="3889">
      <c r="E3889" s="102"/>
    </row>
    <row r="3890">
      <c r="E3890" s="102"/>
    </row>
    <row r="3891">
      <c r="E3891" s="102"/>
    </row>
    <row r="3892">
      <c r="E3892" s="102"/>
    </row>
    <row r="3893">
      <c r="E3893" s="102"/>
    </row>
    <row r="3894">
      <c r="E3894" s="102"/>
    </row>
    <row r="3895">
      <c r="E3895" s="102"/>
    </row>
    <row r="3896">
      <c r="E3896" s="102"/>
    </row>
    <row r="3897">
      <c r="E3897" s="102"/>
    </row>
    <row r="3898">
      <c r="E3898" s="102"/>
    </row>
    <row r="3899">
      <c r="E3899" s="102"/>
    </row>
    <row r="3900">
      <c r="E3900" s="102"/>
    </row>
    <row r="3901">
      <c r="E3901" s="102"/>
    </row>
    <row r="3902">
      <c r="E3902" s="102"/>
    </row>
    <row r="3903">
      <c r="E3903" s="102"/>
    </row>
    <row r="3904">
      <c r="E3904" s="102"/>
    </row>
    <row r="3905">
      <c r="E3905" s="102"/>
    </row>
    <row r="3906">
      <c r="E3906" s="102"/>
    </row>
    <row r="3907">
      <c r="E3907" s="102"/>
    </row>
    <row r="3908">
      <c r="E3908" s="102"/>
    </row>
    <row r="3909">
      <c r="E3909" s="102"/>
    </row>
    <row r="3910">
      <c r="E3910" s="102"/>
    </row>
    <row r="3911">
      <c r="E3911" s="102"/>
    </row>
    <row r="3912">
      <c r="E3912" s="102"/>
    </row>
    <row r="3913">
      <c r="E3913" s="102"/>
    </row>
    <row r="3914">
      <c r="E3914" s="102"/>
    </row>
    <row r="3915">
      <c r="E3915" s="102"/>
    </row>
    <row r="3916">
      <c r="E3916" s="102"/>
    </row>
    <row r="3917">
      <c r="E3917" s="102"/>
    </row>
    <row r="3918">
      <c r="E3918" s="102"/>
    </row>
    <row r="3919">
      <c r="E3919" s="102"/>
    </row>
    <row r="3920">
      <c r="E3920" s="102"/>
    </row>
    <row r="3921">
      <c r="E3921" s="102"/>
    </row>
    <row r="3922">
      <c r="E3922" s="102"/>
    </row>
    <row r="3923">
      <c r="E3923" s="102"/>
    </row>
    <row r="3924">
      <c r="E3924" s="102"/>
    </row>
    <row r="3925">
      <c r="E3925" s="102"/>
    </row>
    <row r="3926">
      <c r="E3926" s="102"/>
    </row>
    <row r="3927">
      <c r="E3927" s="102"/>
    </row>
    <row r="3928">
      <c r="E3928" s="102"/>
    </row>
    <row r="3929">
      <c r="E3929" s="102"/>
    </row>
    <row r="3930">
      <c r="E3930" s="102"/>
    </row>
    <row r="3931">
      <c r="E3931" s="102"/>
    </row>
    <row r="3932">
      <c r="E3932" s="102"/>
    </row>
    <row r="3933">
      <c r="E3933" s="102"/>
    </row>
    <row r="3934">
      <c r="E3934" s="102"/>
    </row>
    <row r="3935">
      <c r="E3935" s="102"/>
    </row>
    <row r="3936">
      <c r="E3936" s="102"/>
    </row>
    <row r="3937">
      <c r="E3937" s="102"/>
    </row>
    <row r="3938">
      <c r="E3938" s="102"/>
    </row>
    <row r="3939">
      <c r="E3939" s="102"/>
    </row>
    <row r="3940">
      <c r="E3940" s="102"/>
    </row>
    <row r="3941">
      <c r="E3941" s="102"/>
    </row>
    <row r="3942">
      <c r="E3942" s="102"/>
    </row>
    <row r="3943">
      <c r="E3943" s="102"/>
    </row>
    <row r="3944">
      <c r="E3944" s="102"/>
    </row>
    <row r="3945">
      <c r="E3945" s="102"/>
    </row>
    <row r="3946">
      <c r="E3946" s="102"/>
    </row>
    <row r="3947">
      <c r="E3947" s="102"/>
    </row>
    <row r="3948">
      <c r="E3948" s="102"/>
    </row>
    <row r="3949">
      <c r="E3949" s="102"/>
    </row>
    <row r="3950">
      <c r="E3950" s="102"/>
    </row>
    <row r="3951">
      <c r="E3951" s="102"/>
    </row>
    <row r="3952">
      <c r="E3952" s="102"/>
    </row>
    <row r="3953">
      <c r="E3953" s="102"/>
    </row>
    <row r="3954">
      <c r="E3954" s="102"/>
    </row>
    <row r="3955">
      <c r="E3955" s="102"/>
    </row>
    <row r="3956">
      <c r="E3956" s="102"/>
    </row>
    <row r="3957">
      <c r="E3957" s="102"/>
    </row>
    <row r="3958">
      <c r="E3958" s="102"/>
    </row>
    <row r="3959">
      <c r="E3959" s="102"/>
    </row>
    <row r="3960">
      <c r="E3960" s="102"/>
    </row>
    <row r="3961">
      <c r="E3961" s="102"/>
    </row>
    <row r="3962">
      <c r="E3962" s="102"/>
    </row>
    <row r="3963">
      <c r="E3963" s="102"/>
    </row>
    <row r="3964">
      <c r="E3964" s="102"/>
    </row>
    <row r="3965">
      <c r="E3965" s="102"/>
    </row>
    <row r="3966">
      <c r="E3966" s="102"/>
    </row>
    <row r="3967">
      <c r="E3967" s="102"/>
    </row>
    <row r="3968">
      <c r="E3968" s="102"/>
    </row>
    <row r="3969">
      <c r="E3969" s="102"/>
    </row>
    <row r="3970">
      <c r="E3970" s="102"/>
    </row>
    <row r="3971">
      <c r="E3971" s="102"/>
    </row>
    <row r="3972">
      <c r="E3972" s="102"/>
    </row>
    <row r="3973">
      <c r="E3973" s="102"/>
    </row>
    <row r="3974">
      <c r="E3974" s="102"/>
    </row>
    <row r="3975">
      <c r="E3975" s="102"/>
    </row>
    <row r="3976">
      <c r="E3976" s="102"/>
    </row>
    <row r="3977">
      <c r="E3977" s="102"/>
    </row>
    <row r="3978">
      <c r="E3978" s="102"/>
    </row>
    <row r="3979">
      <c r="E3979" s="102"/>
    </row>
    <row r="3980">
      <c r="E3980" s="102"/>
    </row>
    <row r="3981">
      <c r="E3981" s="102"/>
    </row>
    <row r="3982">
      <c r="E3982" s="102"/>
    </row>
    <row r="3983">
      <c r="E3983" s="102"/>
    </row>
    <row r="3984">
      <c r="E3984" s="102"/>
    </row>
    <row r="3985">
      <c r="E3985" s="102"/>
    </row>
    <row r="3986">
      <c r="E3986" s="102"/>
    </row>
    <row r="3987">
      <c r="E3987" s="102"/>
    </row>
    <row r="3988">
      <c r="E3988" s="102"/>
    </row>
    <row r="3989">
      <c r="E3989" s="102"/>
    </row>
    <row r="3990">
      <c r="E3990" s="102"/>
    </row>
    <row r="3991">
      <c r="E3991" s="102"/>
    </row>
    <row r="3992">
      <c r="E3992" s="102"/>
    </row>
    <row r="3993">
      <c r="E3993" s="102"/>
    </row>
    <row r="3994">
      <c r="E3994" s="102"/>
    </row>
    <row r="3995">
      <c r="E3995" s="102"/>
    </row>
    <row r="3996">
      <c r="E3996" s="102"/>
    </row>
    <row r="3997">
      <c r="E3997" s="102"/>
    </row>
    <row r="3998">
      <c r="E3998" s="102"/>
    </row>
    <row r="3999">
      <c r="E3999" s="102"/>
    </row>
    <row r="4000">
      <c r="E4000" s="102"/>
    </row>
    <row r="4001">
      <c r="E4001" s="102"/>
    </row>
    <row r="4002">
      <c r="E4002" s="102"/>
    </row>
    <row r="4003">
      <c r="E4003" s="102"/>
    </row>
    <row r="4004">
      <c r="E4004" s="102"/>
    </row>
    <row r="4005">
      <c r="E4005" s="102"/>
    </row>
    <row r="4006">
      <c r="E4006" s="102"/>
    </row>
    <row r="4007">
      <c r="E4007" s="102"/>
    </row>
    <row r="4008">
      <c r="E4008" s="102"/>
    </row>
    <row r="4009">
      <c r="E4009" s="102"/>
    </row>
    <row r="4010">
      <c r="E4010" s="102"/>
    </row>
    <row r="4011">
      <c r="E4011" s="102"/>
    </row>
    <row r="4012">
      <c r="E4012" s="102"/>
    </row>
    <row r="4013">
      <c r="E4013" s="102"/>
    </row>
    <row r="4014">
      <c r="E4014" s="102"/>
    </row>
    <row r="4015">
      <c r="E4015" s="102"/>
    </row>
    <row r="4016">
      <c r="E4016" s="102"/>
    </row>
    <row r="4017">
      <c r="E4017" s="102"/>
    </row>
    <row r="4018">
      <c r="E4018" s="102"/>
    </row>
    <row r="4019">
      <c r="E4019" s="102"/>
    </row>
    <row r="4020">
      <c r="E4020" s="102"/>
    </row>
    <row r="4021">
      <c r="E4021" s="102"/>
    </row>
    <row r="4022">
      <c r="E4022" s="102"/>
    </row>
    <row r="4023">
      <c r="E4023" s="102"/>
    </row>
    <row r="4024">
      <c r="E4024" s="102"/>
    </row>
    <row r="4025">
      <c r="E4025" s="102"/>
    </row>
    <row r="4026">
      <c r="E4026" s="102"/>
    </row>
    <row r="4027">
      <c r="E4027" s="102"/>
    </row>
    <row r="4028">
      <c r="E4028" s="102"/>
    </row>
    <row r="4029">
      <c r="E4029" s="102"/>
    </row>
    <row r="4030">
      <c r="E4030" s="102"/>
    </row>
    <row r="4031">
      <c r="E4031" s="102"/>
    </row>
    <row r="4032">
      <c r="E4032" s="102"/>
    </row>
    <row r="4033">
      <c r="E4033" s="102"/>
    </row>
    <row r="4034">
      <c r="E4034" s="102"/>
    </row>
    <row r="4035">
      <c r="E4035" s="102"/>
    </row>
    <row r="4036">
      <c r="E4036" s="102"/>
    </row>
    <row r="4037">
      <c r="E4037" s="102"/>
    </row>
    <row r="4038">
      <c r="E4038" s="102"/>
    </row>
    <row r="4039">
      <c r="E4039" s="102"/>
    </row>
    <row r="4040">
      <c r="E4040" s="102"/>
    </row>
    <row r="4041">
      <c r="E4041" s="102"/>
    </row>
    <row r="4042">
      <c r="E4042" s="102"/>
    </row>
    <row r="4043">
      <c r="E4043" s="102"/>
    </row>
    <row r="4044">
      <c r="E4044" s="102"/>
    </row>
    <row r="4045">
      <c r="E4045" s="102"/>
    </row>
    <row r="4046">
      <c r="E4046" s="102"/>
    </row>
    <row r="4047">
      <c r="E4047" s="102"/>
    </row>
    <row r="4048">
      <c r="E4048" s="102"/>
    </row>
    <row r="4049">
      <c r="E4049" s="102"/>
    </row>
    <row r="4050">
      <c r="E4050" s="102"/>
    </row>
    <row r="4051">
      <c r="E4051" s="102"/>
    </row>
    <row r="4052">
      <c r="E4052" s="102"/>
    </row>
    <row r="4053">
      <c r="E4053" s="102"/>
    </row>
    <row r="4054">
      <c r="E4054" s="102"/>
    </row>
    <row r="4055">
      <c r="E4055" s="102"/>
    </row>
    <row r="4056">
      <c r="E4056" s="102"/>
    </row>
    <row r="4057">
      <c r="E4057" s="102"/>
    </row>
    <row r="4058">
      <c r="E4058" s="102"/>
    </row>
    <row r="4059">
      <c r="E4059" s="102"/>
    </row>
    <row r="4060">
      <c r="E4060" s="102"/>
    </row>
    <row r="4061">
      <c r="E4061" s="102"/>
    </row>
    <row r="4062">
      <c r="E4062" s="102"/>
    </row>
    <row r="4063">
      <c r="E4063" s="102"/>
    </row>
    <row r="4064">
      <c r="E4064" s="102"/>
    </row>
    <row r="4065">
      <c r="E4065" s="102"/>
    </row>
    <row r="4066">
      <c r="E4066" s="102"/>
    </row>
    <row r="4067">
      <c r="E4067" s="102"/>
    </row>
    <row r="4068">
      <c r="E4068" s="102"/>
    </row>
    <row r="4069">
      <c r="E4069" s="102"/>
    </row>
    <row r="4070">
      <c r="E4070" s="102"/>
    </row>
    <row r="4071">
      <c r="E4071" s="102"/>
    </row>
    <row r="4072">
      <c r="E4072" s="102"/>
    </row>
    <row r="4073">
      <c r="E4073" s="102"/>
    </row>
    <row r="4074">
      <c r="E4074" s="102"/>
    </row>
    <row r="4075">
      <c r="E4075" s="102"/>
    </row>
    <row r="4076">
      <c r="E4076" s="102"/>
    </row>
    <row r="4077">
      <c r="E4077" s="102"/>
    </row>
    <row r="4078">
      <c r="E4078" s="102"/>
    </row>
    <row r="4079">
      <c r="E4079" s="102"/>
    </row>
    <row r="4080">
      <c r="E4080" s="102"/>
    </row>
    <row r="4081">
      <c r="E4081" s="102"/>
    </row>
    <row r="4082">
      <c r="E4082" s="102"/>
    </row>
    <row r="4083">
      <c r="E4083" s="102"/>
    </row>
    <row r="4084">
      <c r="E4084" s="102"/>
    </row>
    <row r="4085">
      <c r="E4085" s="102"/>
    </row>
    <row r="4086">
      <c r="E4086" s="102"/>
    </row>
    <row r="4087">
      <c r="E4087" s="102"/>
    </row>
    <row r="4088">
      <c r="E4088" s="102"/>
    </row>
    <row r="4089">
      <c r="E4089" s="102"/>
    </row>
    <row r="4090">
      <c r="E4090" s="102"/>
    </row>
    <row r="4091">
      <c r="E4091" s="102"/>
    </row>
    <row r="4092">
      <c r="E4092" s="102"/>
    </row>
    <row r="4093">
      <c r="E4093" s="102"/>
    </row>
    <row r="4094">
      <c r="E4094" s="102"/>
    </row>
    <row r="4095">
      <c r="E4095" s="102"/>
    </row>
    <row r="4096">
      <c r="E4096" s="102"/>
    </row>
    <row r="4097">
      <c r="E4097" s="102"/>
    </row>
    <row r="4098">
      <c r="E4098" s="102"/>
    </row>
    <row r="4099">
      <c r="E4099" s="102"/>
    </row>
    <row r="4100">
      <c r="E4100" s="102"/>
    </row>
    <row r="4101">
      <c r="E4101" s="102"/>
    </row>
    <row r="4102">
      <c r="E4102" s="102"/>
    </row>
    <row r="4103">
      <c r="E4103" s="102"/>
    </row>
    <row r="4104">
      <c r="E4104" s="102"/>
    </row>
    <row r="4105">
      <c r="E4105" s="102"/>
    </row>
    <row r="4106">
      <c r="E4106" s="102"/>
    </row>
    <row r="4107">
      <c r="E4107" s="102"/>
    </row>
    <row r="4108">
      <c r="E4108" s="102"/>
    </row>
    <row r="4109">
      <c r="E4109" s="102"/>
    </row>
    <row r="4110">
      <c r="E4110" s="102"/>
    </row>
    <row r="4111">
      <c r="E4111" s="102"/>
    </row>
    <row r="4112">
      <c r="E4112" s="102"/>
    </row>
    <row r="4113">
      <c r="E4113" s="102"/>
    </row>
    <row r="4114">
      <c r="E4114" s="102"/>
    </row>
    <row r="4115">
      <c r="E4115" s="102"/>
    </row>
    <row r="4116">
      <c r="E4116" s="102"/>
    </row>
    <row r="4117">
      <c r="E4117" s="102"/>
    </row>
    <row r="4118">
      <c r="E4118" s="102"/>
    </row>
    <row r="4119">
      <c r="E4119" s="102"/>
    </row>
    <row r="4120">
      <c r="E4120" s="102"/>
    </row>
    <row r="4121">
      <c r="E4121" s="102"/>
    </row>
    <row r="4122">
      <c r="E4122" s="102"/>
    </row>
    <row r="4123">
      <c r="E4123" s="102"/>
    </row>
    <row r="4124">
      <c r="E4124" s="102"/>
    </row>
    <row r="4125">
      <c r="E4125" s="102"/>
    </row>
    <row r="4126">
      <c r="E4126" s="102"/>
    </row>
    <row r="4127">
      <c r="E4127" s="102"/>
    </row>
    <row r="4128">
      <c r="E4128" s="102"/>
    </row>
    <row r="4129">
      <c r="E4129" s="102"/>
    </row>
    <row r="4130">
      <c r="E4130" s="102"/>
    </row>
    <row r="4131">
      <c r="E4131" s="102"/>
    </row>
    <row r="4132">
      <c r="E4132" s="102"/>
    </row>
    <row r="4133">
      <c r="E4133" s="102"/>
    </row>
    <row r="4134">
      <c r="E4134" s="102"/>
    </row>
    <row r="4135">
      <c r="E4135" s="102"/>
    </row>
    <row r="4136">
      <c r="E4136" s="102"/>
    </row>
    <row r="4137">
      <c r="E4137" s="102"/>
    </row>
    <row r="4138">
      <c r="E4138" s="102"/>
    </row>
    <row r="4139">
      <c r="E4139" s="102"/>
    </row>
    <row r="4140">
      <c r="E4140" s="102"/>
    </row>
    <row r="4141">
      <c r="E4141" s="102"/>
    </row>
    <row r="4142">
      <c r="E4142" s="102"/>
    </row>
    <row r="4143">
      <c r="E4143" s="102"/>
    </row>
  </sheetData>
  <dataValidations>
    <dataValidation type="list" allowBlank="1" sqref="G2:G188 G195 G197:G455">
      <formula1>"Đã xử lý,Đang xử lý"</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4.38"/>
    <col customWidth="1" min="2" max="2" width="27.13"/>
    <col customWidth="1" min="3" max="3" width="37.75"/>
    <col customWidth="1" min="4" max="4" width="23.0"/>
  </cols>
  <sheetData>
    <row r="1">
      <c r="A1" s="271" t="s">
        <v>1347</v>
      </c>
      <c r="B1" s="271" t="s">
        <v>1349</v>
      </c>
      <c r="C1" s="272" t="s">
        <v>1350</v>
      </c>
      <c r="D1" s="273" t="s">
        <v>1351</v>
      </c>
      <c r="E1" s="21"/>
      <c r="F1" s="21"/>
      <c r="G1" s="21"/>
      <c r="H1" s="21"/>
      <c r="I1" s="21"/>
      <c r="J1" s="21"/>
      <c r="K1" s="21"/>
      <c r="L1" s="21"/>
      <c r="M1" s="21"/>
      <c r="N1" s="21"/>
      <c r="O1" s="21"/>
      <c r="P1" s="21"/>
      <c r="Q1" s="21"/>
      <c r="R1" s="21"/>
      <c r="S1" s="21"/>
      <c r="T1" s="21"/>
      <c r="U1" s="21"/>
      <c r="V1" s="21"/>
      <c r="W1" s="21"/>
      <c r="X1" s="21"/>
      <c r="Y1" s="21"/>
      <c r="Z1" s="21"/>
    </row>
    <row r="2">
      <c r="A2" s="274" t="s">
        <v>1353</v>
      </c>
      <c r="B2" s="275"/>
      <c r="C2" s="275"/>
      <c r="D2" s="275"/>
      <c r="E2" s="21"/>
      <c r="F2" s="21"/>
      <c r="G2" s="21"/>
      <c r="H2" s="21"/>
      <c r="I2" s="21"/>
      <c r="J2" s="21"/>
      <c r="K2" s="21"/>
      <c r="L2" s="21"/>
      <c r="M2" s="21"/>
      <c r="N2" s="21"/>
      <c r="O2" s="21"/>
      <c r="P2" s="21"/>
      <c r="Q2" s="21"/>
      <c r="R2" s="21"/>
      <c r="S2" s="21"/>
      <c r="T2" s="21"/>
      <c r="U2" s="21"/>
      <c r="V2" s="21"/>
      <c r="W2" s="21"/>
      <c r="X2" s="21"/>
      <c r="Y2" s="21"/>
      <c r="Z2" s="21"/>
    </row>
    <row r="3">
      <c r="A3" s="276" t="s">
        <v>1357</v>
      </c>
      <c r="B3" s="276" t="s">
        <v>1358</v>
      </c>
      <c r="C3" s="276" t="s">
        <v>1359</v>
      </c>
      <c r="D3" s="277"/>
      <c r="E3" s="21"/>
      <c r="F3" s="21"/>
      <c r="G3" s="21"/>
      <c r="H3" s="21"/>
      <c r="I3" s="21"/>
      <c r="J3" s="21"/>
      <c r="K3" s="21"/>
      <c r="L3" s="21"/>
      <c r="M3" s="21"/>
      <c r="N3" s="21"/>
      <c r="O3" s="21"/>
      <c r="P3" s="21"/>
      <c r="Q3" s="21"/>
      <c r="R3" s="21"/>
      <c r="S3" s="21"/>
      <c r="T3" s="21"/>
      <c r="U3" s="21"/>
      <c r="V3" s="21"/>
      <c r="W3" s="21"/>
      <c r="X3" s="21"/>
      <c r="Y3" s="21"/>
      <c r="Z3" s="21"/>
    </row>
    <row r="4">
      <c r="A4" s="276" t="s">
        <v>1361</v>
      </c>
      <c r="B4" s="276" t="s">
        <v>1363</v>
      </c>
      <c r="C4" s="276" t="s">
        <v>1364</v>
      </c>
      <c r="D4" s="276" t="s">
        <v>1365</v>
      </c>
      <c r="E4" s="21"/>
      <c r="F4" s="21"/>
      <c r="G4" s="21"/>
      <c r="H4" s="21"/>
      <c r="I4" s="21"/>
      <c r="J4" s="21"/>
      <c r="K4" s="21"/>
      <c r="L4" s="21"/>
      <c r="M4" s="21"/>
      <c r="N4" s="21"/>
      <c r="O4" s="21"/>
      <c r="P4" s="21"/>
      <c r="Q4" s="21"/>
      <c r="R4" s="21"/>
      <c r="S4" s="21"/>
      <c r="T4" s="21"/>
      <c r="U4" s="21"/>
      <c r="V4" s="21"/>
      <c r="W4" s="21"/>
      <c r="X4" s="21"/>
      <c r="Y4" s="21"/>
      <c r="Z4" s="21"/>
    </row>
    <row r="5">
      <c r="A5" s="276" t="s">
        <v>1367</v>
      </c>
      <c r="B5" s="276" t="s">
        <v>1368</v>
      </c>
      <c r="C5" s="276" t="s">
        <v>1369</v>
      </c>
      <c r="D5" s="277"/>
      <c r="E5" s="21"/>
      <c r="F5" s="21"/>
      <c r="G5" s="21"/>
      <c r="H5" s="21"/>
      <c r="I5" s="21"/>
      <c r="J5" s="21"/>
      <c r="K5" s="21"/>
      <c r="L5" s="21"/>
      <c r="M5" s="21"/>
      <c r="N5" s="21"/>
      <c r="O5" s="21"/>
      <c r="P5" s="21"/>
      <c r="Q5" s="21"/>
      <c r="R5" s="21"/>
      <c r="S5" s="21"/>
      <c r="T5" s="21"/>
      <c r="U5" s="21"/>
      <c r="V5" s="21"/>
      <c r="W5" s="21"/>
      <c r="X5" s="21"/>
      <c r="Y5" s="21"/>
      <c r="Z5" s="21"/>
    </row>
    <row r="6">
      <c r="A6" s="278" t="s">
        <v>1371</v>
      </c>
      <c r="B6" s="276" t="s">
        <v>1372</v>
      </c>
      <c r="C6" s="276" t="s">
        <v>1373</v>
      </c>
      <c r="D6" s="277"/>
      <c r="E6" s="21"/>
      <c r="F6" s="21"/>
      <c r="G6" s="21"/>
      <c r="H6" s="21"/>
      <c r="I6" s="21"/>
      <c r="J6" s="21"/>
      <c r="K6" s="21"/>
      <c r="L6" s="21"/>
      <c r="M6" s="21"/>
      <c r="N6" s="21"/>
      <c r="O6" s="21"/>
      <c r="P6" s="21"/>
      <c r="Q6" s="21"/>
      <c r="R6" s="21"/>
      <c r="S6" s="21"/>
      <c r="T6" s="21"/>
      <c r="U6" s="21"/>
      <c r="V6" s="21"/>
      <c r="W6" s="21"/>
      <c r="X6" s="21"/>
      <c r="Y6" s="21"/>
      <c r="Z6" s="21"/>
    </row>
    <row r="7">
      <c r="A7" s="276" t="s">
        <v>1374</v>
      </c>
      <c r="B7" s="278" t="s">
        <v>1375</v>
      </c>
      <c r="C7" s="277"/>
      <c r="D7" s="277"/>
      <c r="E7" s="21"/>
      <c r="F7" s="21"/>
      <c r="G7" s="21"/>
      <c r="H7" s="21"/>
      <c r="I7" s="21"/>
      <c r="J7" s="21"/>
      <c r="K7" s="21"/>
      <c r="L7" s="21"/>
      <c r="M7" s="21"/>
      <c r="N7" s="21"/>
      <c r="O7" s="21"/>
      <c r="P7" s="21"/>
      <c r="Q7" s="21"/>
      <c r="R7" s="21"/>
      <c r="S7" s="21"/>
      <c r="T7" s="21"/>
      <c r="U7" s="21"/>
      <c r="V7" s="21"/>
      <c r="W7" s="21"/>
      <c r="X7" s="21"/>
      <c r="Y7" s="21"/>
      <c r="Z7" s="21"/>
    </row>
    <row r="8">
      <c r="A8" s="278" t="s">
        <v>1378</v>
      </c>
      <c r="B8" s="276" t="s">
        <v>1379</v>
      </c>
      <c r="C8" s="277"/>
      <c r="D8" s="277"/>
      <c r="E8" s="21"/>
      <c r="F8" s="21"/>
      <c r="G8" s="21"/>
      <c r="H8" s="21"/>
      <c r="I8" s="21"/>
      <c r="J8" s="21"/>
      <c r="K8" s="21"/>
      <c r="L8" s="21"/>
      <c r="M8" s="21"/>
      <c r="N8" s="21"/>
      <c r="O8" s="21"/>
      <c r="P8" s="21"/>
      <c r="Q8" s="21"/>
      <c r="R8" s="21"/>
      <c r="S8" s="21"/>
      <c r="T8" s="21"/>
      <c r="U8" s="21"/>
      <c r="V8" s="21"/>
      <c r="W8" s="21"/>
      <c r="X8" s="21"/>
      <c r="Y8" s="21"/>
      <c r="Z8" s="21"/>
    </row>
    <row r="9">
      <c r="A9" s="279" t="s">
        <v>1381</v>
      </c>
      <c r="B9" s="280"/>
      <c r="C9" s="275"/>
      <c r="D9" s="275"/>
      <c r="E9" s="21"/>
      <c r="F9" s="21"/>
      <c r="G9" s="21"/>
      <c r="H9" s="21"/>
      <c r="I9" s="21"/>
      <c r="J9" s="21"/>
      <c r="K9" s="21"/>
      <c r="L9" s="21"/>
      <c r="M9" s="21"/>
      <c r="N9" s="21"/>
      <c r="O9" s="21"/>
      <c r="P9" s="21"/>
      <c r="Q9" s="21"/>
      <c r="R9" s="21"/>
      <c r="S9" s="21"/>
      <c r="T9" s="21"/>
      <c r="U9" s="21"/>
      <c r="V9" s="21"/>
      <c r="W9" s="21"/>
      <c r="X9" s="21"/>
      <c r="Y9" s="21"/>
      <c r="Z9" s="21"/>
    </row>
    <row r="10">
      <c r="A10" s="276" t="s">
        <v>1382</v>
      </c>
      <c r="B10" s="276" t="s">
        <v>1383</v>
      </c>
      <c r="C10" s="276" t="s">
        <v>1384</v>
      </c>
      <c r="D10" s="277"/>
      <c r="E10" s="21"/>
      <c r="F10" s="21"/>
      <c r="G10" s="21"/>
      <c r="H10" s="21"/>
      <c r="I10" s="21"/>
      <c r="J10" s="21"/>
      <c r="K10" s="21"/>
      <c r="L10" s="21"/>
      <c r="M10" s="21"/>
      <c r="N10" s="21"/>
      <c r="O10" s="21"/>
      <c r="P10" s="21"/>
      <c r="Q10" s="21"/>
      <c r="R10" s="21"/>
      <c r="S10" s="21"/>
      <c r="T10" s="21"/>
      <c r="U10" s="21"/>
      <c r="V10" s="21"/>
      <c r="W10" s="21"/>
      <c r="X10" s="21"/>
      <c r="Y10" s="21"/>
      <c r="Z10" s="21"/>
    </row>
    <row r="11">
      <c r="A11" s="276" t="s">
        <v>1387</v>
      </c>
      <c r="B11" s="276" t="s">
        <v>1389</v>
      </c>
      <c r="C11" s="276" t="s">
        <v>1390</v>
      </c>
      <c r="D11" s="277"/>
      <c r="E11" s="21"/>
      <c r="F11" s="21"/>
      <c r="G11" s="21"/>
      <c r="H11" s="21"/>
      <c r="I11" s="21"/>
      <c r="J11" s="21"/>
      <c r="K11" s="21"/>
      <c r="L11" s="21"/>
      <c r="M11" s="21"/>
      <c r="N11" s="21"/>
      <c r="O11" s="21"/>
      <c r="P11" s="21"/>
      <c r="Q11" s="21"/>
      <c r="R11" s="21"/>
      <c r="S11" s="21"/>
      <c r="T11" s="21"/>
      <c r="U11" s="21"/>
      <c r="V11" s="21"/>
      <c r="W11" s="21"/>
      <c r="X11" s="21"/>
      <c r="Y11" s="21"/>
      <c r="Z11" s="21"/>
    </row>
    <row r="12">
      <c r="A12" s="276" t="s">
        <v>1393</v>
      </c>
      <c r="B12" s="276" t="s">
        <v>1395</v>
      </c>
      <c r="C12" s="276" t="s">
        <v>1396</v>
      </c>
      <c r="D12" s="276" t="s">
        <v>1397</v>
      </c>
      <c r="E12" s="21"/>
      <c r="F12" s="21"/>
      <c r="G12" s="21"/>
      <c r="H12" s="21"/>
      <c r="I12" s="21"/>
      <c r="J12" s="21"/>
      <c r="K12" s="21"/>
      <c r="L12" s="21"/>
      <c r="M12" s="21"/>
      <c r="N12" s="21"/>
      <c r="O12" s="21"/>
      <c r="P12" s="21"/>
      <c r="Q12" s="21"/>
      <c r="R12" s="21"/>
      <c r="S12" s="21"/>
      <c r="T12" s="21"/>
      <c r="U12" s="21"/>
      <c r="V12" s="21"/>
      <c r="W12" s="21"/>
      <c r="X12" s="21"/>
      <c r="Y12" s="21"/>
      <c r="Z12" s="21"/>
    </row>
    <row r="13">
      <c r="A13" s="276" t="s">
        <v>1398</v>
      </c>
      <c r="B13" s="276" t="s">
        <v>1399</v>
      </c>
      <c r="C13" s="276" t="s">
        <v>1400</v>
      </c>
      <c r="D13" s="277"/>
      <c r="E13" s="21"/>
      <c r="F13" s="21"/>
      <c r="G13" s="21"/>
      <c r="H13" s="21"/>
      <c r="I13" s="21"/>
      <c r="J13" s="21"/>
      <c r="K13" s="21"/>
      <c r="L13" s="21"/>
      <c r="M13" s="21"/>
      <c r="N13" s="21"/>
      <c r="O13" s="21"/>
      <c r="P13" s="21"/>
      <c r="Q13" s="21"/>
      <c r="R13" s="21"/>
      <c r="S13" s="21"/>
      <c r="T13" s="21"/>
      <c r="U13" s="21"/>
      <c r="V13" s="21"/>
      <c r="W13" s="21"/>
      <c r="X13" s="21"/>
      <c r="Y13" s="21"/>
      <c r="Z13" s="21"/>
    </row>
    <row r="14">
      <c r="A14" s="276" t="s">
        <v>1401</v>
      </c>
      <c r="B14" s="276" t="s">
        <v>1402</v>
      </c>
      <c r="C14" s="276" t="s">
        <v>1403</v>
      </c>
      <c r="D14" s="277"/>
      <c r="E14" s="21"/>
      <c r="F14" s="21"/>
      <c r="G14" s="21"/>
      <c r="H14" s="21"/>
      <c r="I14" s="21"/>
      <c r="J14" s="21"/>
      <c r="K14" s="21"/>
      <c r="L14" s="21"/>
      <c r="M14" s="21"/>
      <c r="N14" s="21"/>
      <c r="O14" s="21"/>
      <c r="P14" s="21"/>
      <c r="Q14" s="21"/>
      <c r="R14" s="21"/>
      <c r="S14" s="21"/>
      <c r="T14" s="21"/>
      <c r="U14" s="21"/>
      <c r="V14" s="21"/>
      <c r="W14" s="21"/>
      <c r="X14" s="21"/>
      <c r="Y14" s="21"/>
      <c r="Z14" s="21"/>
    </row>
    <row r="15">
      <c r="A15" s="276" t="s">
        <v>1405</v>
      </c>
      <c r="B15" s="278" t="s">
        <v>1406</v>
      </c>
      <c r="C15" s="276" t="s">
        <v>1407</v>
      </c>
      <c r="D15" s="277"/>
      <c r="E15" s="21"/>
      <c r="F15" s="21"/>
      <c r="G15" s="21"/>
      <c r="H15" s="21"/>
      <c r="I15" s="21"/>
      <c r="J15" s="21"/>
      <c r="K15" s="21"/>
      <c r="L15" s="21"/>
      <c r="M15" s="21"/>
      <c r="N15" s="21"/>
      <c r="O15" s="21"/>
      <c r="P15" s="21"/>
      <c r="Q15" s="21"/>
      <c r="R15" s="21"/>
      <c r="S15" s="21"/>
      <c r="T15" s="21"/>
      <c r="U15" s="21"/>
      <c r="V15" s="21"/>
      <c r="W15" s="21"/>
      <c r="X15" s="21"/>
      <c r="Y15" s="21"/>
      <c r="Z15" s="21"/>
    </row>
    <row r="16">
      <c r="A16" s="276" t="s">
        <v>1409</v>
      </c>
      <c r="B16" s="278" t="s">
        <v>1410</v>
      </c>
      <c r="C16" s="276" t="s">
        <v>1411</v>
      </c>
      <c r="D16" s="277"/>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1">
    <mergeCell ref="A9:B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Row="1"/>
  <sheetData>
    <row r="1">
      <c r="A1" s="249" t="s">
        <v>150</v>
      </c>
      <c r="C1" s="249" t="s">
        <v>2178</v>
      </c>
      <c r="E1" s="249" t="s">
        <v>2179</v>
      </c>
      <c r="G1" s="249" t="s">
        <v>2180</v>
      </c>
      <c r="I1" s="249" t="s">
        <v>2181</v>
      </c>
      <c r="K1" s="332" t="s">
        <v>2182</v>
      </c>
    </row>
    <row r="2">
      <c r="A2" s="86" t="s">
        <v>2184</v>
      </c>
      <c r="C2" s="86" t="s">
        <v>2186</v>
      </c>
      <c r="E2" s="86" t="s">
        <v>2187</v>
      </c>
      <c r="G2" s="21" t="s">
        <v>2189</v>
      </c>
      <c r="I2" s="86" t="s">
        <v>2190</v>
      </c>
      <c r="K2" s="21" t="s">
        <v>120</v>
      </c>
    </row>
    <row r="3">
      <c r="A3" s="86" t="s">
        <v>48</v>
      </c>
      <c r="C3" s="86" t="s">
        <v>2191</v>
      </c>
      <c r="E3" s="86" t="s">
        <v>2192</v>
      </c>
      <c r="G3" s="21" t="s">
        <v>2193</v>
      </c>
      <c r="I3" s="86" t="s">
        <v>2194</v>
      </c>
      <c r="K3" s="21" t="s">
        <v>122</v>
      </c>
    </row>
    <row r="4">
      <c r="A4" s="86" t="s">
        <v>53</v>
      </c>
      <c r="C4" s="86" t="s">
        <v>2197</v>
      </c>
      <c r="E4" s="86" t="s">
        <v>2198</v>
      </c>
      <c r="G4" s="21" t="s">
        <v>2199</v>
      </c>
      <c r="I4" s="86" t="s">
        <v>2200</v>
      </c>
      <c r="K4" s="21" t="s">
        <v>123</v>
      </c>
    </row>
    <row r="5">
      <c r="A5" s="86" t="s">
        <v>61</v>
      </c>
      <c r="E5" s="86" t="s">
        <v>2201</v>
      </c>
      <c r="G5" s="21" t="s">
        <v>2202</v>
      </c>
      <c r="I5" s="86" t="s">
        <v>2203</v>
      </c>
      <c r="K5" s="21" t="s">
        <v>124</v>
      </c>
    </row>
    <row r="6">
      <c r="A6" s="86" t="s">
        <v>31</v>
      </c>
      <c r="E6" s="86" t="s">
        <v>2204</v>
      </c>
      <c r="I6" s="86" t="s">
        <v>129</v>
      </c>
      <c r="K6" s="21" t="s">
        <v>126</v>
      </c>
    </row>
    <row r="7">
      <c r="A7" s="86" t="s">
        <v>42</v>
      </c>
      <c r="E7" s="86" t="s">
        <v>2206</v>
      </c>
      <c r="K7" s="21" t="s">
        <v>127</v>
      </c>
    </row>
    <row r="8">
      <c r="E8" s="86" t="s">
        <v>2207</v>
      </c>
      <c r="K8" s="21" t="s">
        <v>128</v>
      </c>
    </row>
    <row r="9">
      <c r="E9" s="86" t="s">
        <v>2208</v>
      </c>
      <c r="K9" s="21" t="s">
        <v>129</v>
      </c>
    </row>
    <row r="10">
      <c r="E10" s="86" t="s">
        <v>2209</v>
      </c>
      <c r="K10" s="21"/>
    </row>
    <row r="11">
      <c r="E11" s="86" t="s">
        <v>2210</v>
      </c>
      <c r="K11" s="21"/>
    </row>
    <row r="12">
      <c r="E12" s="86" t="s">
        <v>2211</v>
      </c>
      <c r="K12" s="21"/>
    </row>
    <row r="13">
      <c r="K13" s="2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sheetData>
    <row r="1">
      <c r="A1" s="333"/>
      <c r="B1" s="334">
        <v>44440.0</v>
      </c>
      <c r="C1" s="335"/>
      <c r="D1" s="335"/>
      <c r="E1" s="336" t="s">
        <v>2250</v>
      </c>
      <c r="F1" s="336">
        <v>3.0</v>
      </c>
      <c r="G1" s="335"/>
      <c r="H1" s="335"/>
      <c r="I1" s="335"/>
    </row>
    <row r="2">
      <c r="A2" s="337" t="s">
        <v>2251</v>
      </c>
      <c r="B2" s="334">
        <v>45792.0</v>
      </c>
      <c r="C2" s="335"/>
      <c r="D2" s="335"/>
      <c r="E2" s="335"/>
      <c r="F2" s="335"/>
      <c r="G2" s="335"/>
      <c r="H2" s="335"/>
      <c r="I2" s="335"/>
    </row>
    <row r="3">
      <c r="A3" s="335"/>
      <c r="B3" s="335"/>
      <c r="C3" s="335"/>
      <c r="D3" s="335"/>
      <c r="E3" s="336" t="s">
        <v>2252</v>
      </c>
      <c r="F3" s="335"/>
      <c r="G3" s="336" t="s">
        <v>2253</v>
      </c>
      <c r="H3" s="336" t="s">
        <v>2254</v>
      </c>
      <c r="I3" s="336" t="s">
        <v>2255</v>
      </c>
    </row>
    <row r="4">
      <c r="A4" s="338" t="s">
        <v>2256</v>
      </c>
      <c r="B4" s="341">
        <f>COUNTIFS('1.Chăm sóc'!$CO:$CO,"&gt;=" &amp;$B$1,'1.Chăm sóc'!$CO:$CO,"&lt;=" &amp;$B$2)</f>
        <v>0</v>
      </c>
      <c r="C4" s="341"/>
      <c r="D4" s="335"/>
      <c r="E4" s="336" t="s">
        <v>2260</v>
      </c>
      <c r="F4" s="335">
        <f>countifs('4.Tái tục '!$F:$F,$E4,'4.Tái tục '!$A:$A,"3")</f>
        <v>0</v>
      </c>
      <c r="G4" s="336">
        <v>0.0</v>
      </c>
      <c r="H4" s="336">
        <v>0.0</v>
      </c>
      <c r="I4" s="345">
        <f t="shared" ref="I4:I6" si="1">IFERROR(G4/F4,0)</f>
        <v>0</v>
      </c>
    </row>
    <row r="5">
      <c r="A5" s="338" t="s">
        <v>48</v>
      </c>
      <c r="B5" s="341" t="str">
        <f>COUNTIFS('1.Chăm sóc'!$CO:$CO,"&gt;=" &amp;$B$1,'1.Chăm sóc'!$CO:$CO,"&lt;=" &amp;$B$2,'1.Chăm sóc'!$U:$U,A5)</f>
        <v>#VALUE!</v>
      </c>
      <c r="C5" s="349" t="str">
        <f t="shared" ref="C5:C10" si="2">B5/$B$4</f>
        <v>#VALUE!</v>
      </c>
      <c r="D5" s="335"/>
      <c r="E5" s="336" t="s">
        <v>766</v>
      </c>
      <c r="F5" s="335">
        <f>countifs('4.Tái tục '!$F:$F,$E5,'4.Tái tục '!$A:$A,"3")</f>
        <v>0</v>
      </c>
      <c r="G5" s="336">
        <v>2.0</v>
      </c>
      <c r="H5" s="335"/>
      <c r="I5" s="345">
        <f t="shared" si="1"/>
        <v>0</v>
      </c>
    </row>
    <row r="6">
      <c r="A6" s="338" t="s">
        <v>42</v>
      </c>
      <c r="B6" s="341" t="str">
        <f>COUNTIFS('1.Chăm sóc'!$CO:$CO,"&gt;=" &amp;$B$1,'1.Chăm sóc'!$CO:$CO,"&lt;=" &amp;$B$2,'1.Chăm sóc'!$U:$U,A6)</f>
        <v>#VALUE!</v>
      </c>
      <c r="C6" s="349" t="str">
        <f t="shared" si="2"/>
        <v>#VALUE!</v>
      </c>
      <c r="D6" s="335"/>
      <c r="E6" s="336" t="s">
        <v>2301</v>
      </c>
      <c r="F6" s="335">
        <f>countifs('4.Tái tục '!$F:$F,$E6,'4.Tái tục '!$A:$A,"3")</f>
        <v>0</v>
      </c>
      <c r="G6" s="336">
        <v>0.0</v>
      </c>
      <c r="H6" s="335"/>
      <c r="I6" s="345">
        <f t="shared" si="1"/>
        <v>0</v>
      </c>
    </row>
    <row r="7">
      <c r="A7" s="338" t="s">
        <v>2184</v>
      </c>
      <c r="B7" s="341" t="str">
        <f>COUNTIFS('1.Chăm sóc'!$CO:$CO,"&gt;=" &amp;$B$1,'1.Chăm sóc'!$CO:$CO,"&lt;=" &amp;$B$2,'1.Chăm sóc'!$U:$U,A7)</f>
        <v>#VALUE!</v>
      </c>
      <c r="C7" s="349" t="str">
        <f t="shared" si="2"/>
        <v>#VALUE!</v>
      </c>
      <c r="D7" s="335"/>
      <c r="E7" s="335"/>
      <c r="F7" s="335">
        <f>countifs('4.Tái tục '!$F:$F,E$4,'4.Tái tục '!$A:$A,"3")</f>
        <v>0</v>
      </c>
      <c r="G7" s="335"/>
      <c r="H7" s="335"/>
      <c r="I7" s="335"/>
    </row>
    <row r="8">
      <c r="A8" s="338" t="s">
        <v>31</v>
      </c>
      <c r="B8" s="341" t="str">
        <f>COUNTIFS('1.Chăm sóc'!$CO:$CO,"&gt;=" &amp;$B$1,'1.Chăm sóc'!$CO:$CO,"&lt;=" &amp;$B$2,'1.Chăm sóc'!$U:$U,A8)</f>
        <v>#VALUE!</v>
      </c>
      <c r="C8" s="349" t="str">
        <f t="shared" si="2"/>
        <v>#VALUE!</v>
      </c>
      <c r="D8" s="335"/>
      <c r="E8" s="336" t="s">
        <v>2308</v>
      </c>
      <c r="F8" s="336">
        <v>2.0</v>
      </c>
      <c r="G8" s="335"/>
      <c r="H8" s="335"/>
      <c r="I8" s="335"/>
    </row>
    <row r="9">
      <c r="A9" s="338" t="s">
        <v>53</v>
      </c>
      <c r="B9" s="341" t="str">
        <f>COUNTIFS('1.Chăm sóc'!$CO:$CO,"&gt;=" &amp;$B$1,'1.Chăm sóc'!$CO:$CO,"&lt;=" &amp;$B$2,'1.Chăm sóc'!$U:$U,A9)</f>
        <v>#VALUE!</v>
      </c>
      <c r="C9" s="349" t="str">
        <f t="shared" si="2"/>
        <v>#VALUE!</v>
      </c>
      <c r="D9" s="335"/>
      <c r="E9" s="336" t="s">
        <v>2254</v>
      </c>
      <c r="F9" s="336">
        <v>0.0</v>
      </c>
      <c r="G9" s="335"/>
      <c r="H9" s="335"/>
      <c r="I9" s="335"/>
    </row>
    <row r="10">
      <c r="A10" s="358" t="s">
        <v>61</v>
      </c>
      <c r="B10" s="341" t="str">
        <f>COUNTIFS('1.Chăm sóc'!$CO:$CO,"&gt;=" &amp;$B$1,'1.Chăm sóc'!$CO:$CO,"&lt;=" &amp;$B$2,'1.Chăm sóc'!$U:$U,A10)</f>
        <v>#VALUE!</v>
      </c>
      <c r="C10" s="349" t="str">
        <f t="shared" si="2"/>
        <v>#VALUE!</v>
      </c>
      <c r="D10" s="335"/>
      <c r="E10" s="335"/>
      <c r="F10" s="335"/>
      <c r="G10" s="335"/>
      <c r="H10" s="335"/>
      <c r="I10" s="335"/>
    </row>
    <row r="11">
      <c r="A11" s="336"/>
      <c r="B11" s="335"/>
      <c r="C11" s="335"/>
      <c r="D11" s="335"/>
      <c r="E11" s="335"/>
      <c r="F11" s="335"/>
      <c r="G11" s="335"/>
      <c r="H11" s="335"/>
      <c r="I11" s="335"/>
    </row>
    <row r="12">
      <c r="A12" s="360"/>
      <c r="B12" s="335"/>
      <c r="C12" s="335"/>
      <c r="D12" s="335"/>
      <c r="E12" s="335"/>
      <c r="F12" s="335"/>
      <c r="G12" s="335"/>
      <c r="H12" s="335"/>
      <c r="I12" s="361"/>
    </row>
    <row r="13">
      <c r="A13" s="362" t="s">
        <v>2317</v>
      </c>
      <c r="B13" s="117" t="s">
        <v>281</v>
      </c>
      <c r="C13" s="117" t="s">
        <v>282</v>
      </c>
      <c r="D13" s="117" t="s">
        <v>284</v>
      </c>
      <c r="E13" s="117" t="s">
        <v>285</v>
      </c>
      <c r="F13" s="117" t="s">
        <v>286</v>
      </c>
      <c r="G13" s="117" t="s">
        <v>287</v>
      </c>
      <c r="H13" s="363"/>
      <c r="I13" s="25"/>
    </row>
    <row r="14">
      <c r="A14" s="360" t="s">
        <v>218</v>
      </c>
      <c r="B14" s="364">
        <f>SUMIF('3.Chấm buổi'!$F$16:$F1016,$A$14,'3.Chấm buổi'!TU$16:TU1016)</f>
        <v>0</v>
      </c>
      <c r="C14" s="364">
        <f>SUMIF('3.Chấm buổi'!$F$16:$F1016,$A$14,'3.Chấm buổi'!TV$16:TV1016)</f>
        <v>0</v>
      </c>
      <c r="D14" s="364">
        <f>SUMIF('3.Chấm buổi'!$F$16:$F1016,$A$14,'3.Chấm buổi'!TW$16:TW1016)</f>
        <v>0</v>
      </c>
      <c r="E14" s="364">
        <f>SUMIF('3.Chấm buổi'!$F$16:$F1016,$A$14,'3.Chấm buổi'!TX$16:TX1016)</f>
        <v>0</v>
      </c>
      <c r="F14" s="364">
        <f>SUMIF('3.Chấm buổi'!$F$16:$F1016,$A$14,'3.Chấm buổi'!TY$16:TY1016)</f>
        <v>0</v>
      </c>
      <c r="G14" s="364">
        <f>SUMIF('3.Chấm buổi'!$F$16:$F1016,$A$14,'3.Chấm buổi'!TZ$16:TZ1016)</f>
        <v>0</v>
      </c>
      <c r="H14" s="365"/>
      <c r="I14" s="365"/>
    </row>
    <row r="15">
      <c r="A15" s="360" t="s">
        <v>396</v>
      </c>
      <c r="B15" s="335">
        <f>SUMIF('3.Chấm buổi'!$F$16:$F1016,$A$15,'3.Chấm buổi'!TU$16:TU1016)</f>
        <v>0</v>
      </c>
      <c r="C15" s="335">
        <f>SUMIF('3.Chấm buổi'!$F$16:$F1016,$A$15,'3.Chấm buổi'!TV$16:TV1016)</f>
        <v>0</v>
      </c>
      <c r="D15" s="335">
        <f>SUMIF('3.Chấm buổi'!$F$16:$F1016,$A$15,'3.Chấm buổi'!TW$16:TW1016)</f>
        <v>0</v>
      </c>
      <c r="E15" s="335">
        <f>SUMIF('3.Chấm buổi'!$F$16:$F1016,$A$15,'3.Chấm buổi'!TX$16:TX1016)</f>
        <v>0</v>
      </c>
      <c r="F15" s="335">
        <f>SUMIF('3.Chấm buổi'!$F$16:$F1016,$A$15,'3.Chấm buổi'!TY$16:TY1016)</f>
        <v>0</v>
      </c>
      <c r="G15" s="335">
        <f>SUMIF('3.Chấm buổi'!$F$16:$F1016,$A$15,'3.Chấm buổi'!TZ$16:TZ1016)</f>
        <v>0</v>
      </c>
      <c r="H15" s="367"/>
      <c r="I15" s="367"/>
    </row>
    <row r="16">
      <c r="A16" s="362" t="s">
        <v>2341</v>
      </c>
      <c r="B16" s="117" t="s">
        <v>281</v>
      </c>
      <c r="C16" s="117" t="s">
        <v>282</v>
      </c>
      <c r="D16" s="117" t="s">
        <v>284</v>
      </c>
      <c r="E16" s="117" t="s">
        <v>285</v>
      </c>
      <c r="F16" s="117" t="s">
        <v>286</v>
      </c>
      <c r="G16" s="117" t="s">
        <v>287</v>
      </c>
      <c r="H16" s="368"/>
      <c r="I16" s="368"/>
    </row>
    <row r="17">
      <c r="A17" s="360" t="s">
        <v>218</v>
      </c>
      <c r="B17" s="364">
        <f>SUMIF('3.Chấm buổi'!$F$16:$F1016,$A$14,'3.Chấm buổi'!SM$16:SM1016)</f>
        <v>0</v>
      </c>
      <c r="C17" s="364">
        <f>SUMIF('3.Chấm buổi'!$F$16:$F1016,$A$14,'3.Chấm buổi'!SN$16:SN1016)</f>
        <v>0</v>
      </c>
      <c r="D17" s="364">
        <f>SUMIF('3.Chấm buổi'!$F$16:$F1016,$A$14,'3.Chấm buổi'!SO$16:SO1016)</f>
        <v>0</v>
      </c>
      <c r="E17" s="364">
        <f>SUMIF('3.Chấm buổi'!$F$16:$F1016,$A$14,'3.Chấm buổi'!SP$16:SP1016)</f>
        <v>0</v>
      </c>
      <c r="F17" s="364">
        <f>SUMIF('3.Chấm buổi'!$F$16:$F1016,$A$14,'3.Chấm buổi'!SQ$16:SQ1016)</f>
        <v>0</v>
      </c>
      <c r="G17" s="364">
        <f>SUMIF('3.Chấm buổi'!$F$16:$F1016,$A$14,'3.Chấm buổi'!SR$16:SR1016)</f>
        <v>0</v>
      </c>
      <c r="H17" s="365"/>
      <c r="I17" s="365"/>
    </row>
    <row r="18">
      <c r="A18" s="360" t="s">
        <v>396</v>
      </c>
      <c r="B18" s="335">
        <f>SUMIF('3.Chấm buổi'!$F$16:$F1016,$A$15,'3.Chấm buổi'!SM$16:SM1016)</f>
        <v>0</v>
      </c>
      <c r="C18" s="335">
        <f>SUMIF('3.Chấm buổi'!$F$16:$F1016,$A$15,'3.Chấm buổi'!SN$16:SN1016)</f>
        <v>0</v>
      </c>
      <c r="D18" s="335">
        <f>SUMIF('3.Chấm buổi'!$F$16:$F1016,$A$15,'3.Chấm buổi'!SO$16:SO1016)</f>
        <v>0</v>
      </c>
      <c r="E18" s="335">
        <f>SUMIF('3.Chấm buổi'!$F$16:$F1016,$A$15,'3.Chấm buổi'!SP$16:SP1016)</f>
        <v>0</v>
      </c>
      <c r="F18" s="335">
        <f>SUMIF('3.Chấm buổi'!$F$16:$F1016,$A$15,'3.Chấm buổi'!SQ$16:SQ1016)</f>
        <v>0</v>
      </c>
      <c r="G18" s="335">
        <f>SUMIF('3.Chấm buổi'!$F$16:$F1016,$A$15,'3.Chấm buổi'!SR$16:SR1016)</f>
        <v>0</v>
      </c>
      <c r="H18" s="364"/>
      <c r="I18" s="364"/>
    </row>
    <row r="19">
      <c r="A19" s="362" t="s">
        <v>2357</v>
      </c>
      <c r="B19" s="117" t="s">
        <v>281</v>
      </c>
      <c r="C19" s="117" t="s">
        <v>282</v>
      </c>
      <c r="D19" s="117" t="s">
        <v>284</v>
      </c>
      <c r="E19" s="117" t="s">
        <v>285</v>
      </c>
      <c r="F19" s="117" t="s">
        <v>286</v>
      </c>
      <c r="G19" s="117" t="s">
        <v>287</v>
      </c>
      <c r="H19" s="364"/>
      <c r="I19" s="364"/>
    </row>
    <row r="20">
      <c r="A20" s="360" t="s">
        <v>218</v>
      </c>
      <c r="B20" s="364">
        <f>SUMIF('3.Chấm buổi'!$F$16:$F1016,$A$14,'3.Chấm buổi'!RB$16:RB1016)</f>
        <v>0</v>
      </c>
      <c r="C20" s="364">
        <f>SUMIF('3.Chấm buổi'!$F$16:$F1016,$A$14,'3.Chấm buổi'!RC$16:RC1016)</f>
        <v>0</v>
      </c>
      <c r="D20" s="364">
        <f>SUMIF('3.Chấm buổi'!$F$16:$F1016,$A$14,'3.Chấm buổi'!RD$16:RD1016)</f>
        <v>0</v>
      </c>
      <c r="E20" s="364">
        <f>SUMIF('3.Chấm buổi'!$F$16:$F1016,$A$14,'3.Chấm buổi'!RE$16:RE1016)</f>
        <v>0</v>
      </c>
      <c r="F20" s="364">
        <f>SUMIF('3.Chấm buổi'!$F$16:$F1016,$A$14,'3.Chấm buổi'!RF$16:RF1016)</f>
        <v>0</v>
      </c>
      <c r="G20" s="364">
        <f>SUMIF('3.Chấm buổi'!$F$16:$F1016,$A$14,'3.Chấm buổi'!RG$16:RG1016)</f>
        <v>0</v>
      </c>
      <c r="H20" s="364"/>
      <c r="I20" s="364"/>
    </row>
    <row r="21">
      <c r="A21" s="360" t="s">
        <v>396</v>
      </c>
      <c r="B21" s="335">
        <f>SUMIF('3.Chấm buổi'!$F$16:$F1016,$A$15,'3.Chấm buổi'!RB$16:RB1016)</f>
        <v>0</v>
      </c>
      <c r="C21" s="335">
        <f>SUMIF('3.Chấm buổi'!$F$16:$F1016,$A$15,'3.Chấm buổi'!RC$16:RC1016)</f>
        <v>0</v>
      </c>
      <c r="D21" s="335">
        <f>SUMIF('3.Chấm buổi'!$F$16:$F1016,$A$15,'3.Chấm buổi'!RD$16:RD1016)</f>
        <v>0</v>
      </c>
      <c r="E21" s="335">
        <f>SUMIF('3.Chấm buổi'!$F$16:$F1016,$A$15,'3.Chấm buổi'!RE$16:RE1016)</f>
        <v>0</v>
      </c>
      <c r="F21" s="335">
        <f>SUMIF('3.Chấm buổi'!$F$16:$F1016,$A$15,'3.Chấm buổi'!RF$16:RF1016)</f>
        <v>0</v>
      </c>
      <c r="G21" s="335">
        <f>SUMIF('3.Chấm buổi'!$F$16:$F1016,$A$15,'3.Chấm buổi'!RG$16:RG1016)</f>
        <v>0</v>
      </c>
      <c r="H21" s="364"/>
      <c r="I21" s="364"/>
    </row>
    <row r="22">
      <c r="A22" s="374"/>
      <c r="B22" s="364"/>
      <c r="C22" s="364"/>
      <c r="D22" s="364"/>
      <c r="E22" s="364"/>
      <c r="F22" s="364"/>
      <c r="G22" s="364"/>
      <c r="H22" s="364"/>
      <c r="I22" s="364"/>
    </row>
    <row r="23">
      <c r="A23" s="335"/>
      <c r="B23" s="335"/>
      <c r="C23" s="335"/>
      <c r="D23" s="335"/>
      <c r="E23" s="335"/>
      <c r="F23" s="335"/>
      <c r="G23" s="335"/>
      <c r="H23" s="335"/>
      <c r="I23" s="335"/>
    </row>
    <row r="24">
      <c r="A24" s="335"/>
      <c r="B24" s="335"/>
      <c r="C24" s="335"/>
      <c r="D24" s="335"/>
      <c r="E24" s="335"/>
      <c r="F24" s="335"/>
      <c r="G24" s="335"/>
      <c r="H24" s="335"/>
      <c r="I24" s="335"/>
    </row>
    <row r="25">
      <c r="A25" s="335"/>
      <c r="B25" s="335"/>
      <c r="C25" s="335"/>
      <c r="D25" s="335"/>
      <c r="E25" s="335"/>
      <c r="F25" s="335"/>
      <c r="G25" s="335"/>
      <c r="H25" s="335"/>
      <c r="I25" s="335"/>
    </row>
    <row r="26">
      <c r="A26" s="335"/>
      <c r="B26" s="335"/>
      <c r="C26" s="335"/>
      <c r="D26" s="335"/>
      <c r="E26" s="335"/>
      <c r="F26" s="335"/>
      <c r="G26" s="335"/>
      <c r="H26" s="335"/>
      <c r="I26" s="335"/>
    </row>
    <row r="27">
      <c r="A27" s="335"/>
      <c r="B27" s="335"/>
      <c r="C27" s="335"/>
      <c r="D27" s="335"/>
      <c r="E27" s="335"/>
      <c r="F27" s="335"/>
      <c r="G27" s="335"/>
      <c r="H27" s="335"/>
      <c r="I27" s="335"/>
    </row>
    <row r="28">
      <c r="A28" s="335"/>
      <c r="B28" s="335"/>
      <c r="C28" s="335"/>
      <c r="D28" s="335"/>
      <c r="E28" s="335"/>
      <c r="F28" s="335"/>
      <c r="G28" s="335"/>
      <c r="H28" s="335"/>
      <c r="I28" s="335"/>
    </row>
    <row r="29">
      <c r="A29" s="335"/>
      <c r="B29" s="335"/>
      <c r="C29" s="335"/>
      <c r="D29" s="335"/>
      <c r="E29" s="335"/>
      <c r="F29" s="335"/>
      <c r="G29" s="335"/>
      <c r="H29" s="335"/>
      <c r="I29" s="335"/>
    </row>
    <row r="30">
      <c r="A30" s="335"/>
      <c r="B30" s="335"/>
      <c r="C30" s="335"/>
      <c r="D30" s="335"/>
      <c r="E30" s="335"/>
      <c r="F30" s="335"/>
      <c r="G30" s="335"/>
      <c r="H30" s="335"/>
      <c r="I30" s="335"/>
    </row>
    <row r="31">
      <c r="A31" s="335"/>
      <c r="B31" s="335"/>
      <c r="C31" s="335"/>
      <c r="D31" s="335"/>
      <c r="E31" s="335"/>
      <c r="F31" s="335"/>
      <c r="G31" s="335"/>
      <c r="H31" s="335"/>
      <c r="I31" s="335"/>
    </row>
    <row r="32">
      <c r="A32" s="335"/>
      <c r="B32" s="335"/>
      <c r="C32" s="335"/>
      <c r="D32" s="335"/>
      <c r="E32" s="335"/>
      <c r="F32" s="335"/>
      <c r="G32" s="335"/>
      <c r="H32" s="335"/>
      <c r="I32" s="335"/>
    </row>
    <row r="33">
      <c r="A33" s="335"/>
      <c r="B33" s="335"/>
      <c r="C33" s="335"/>
      <c r="D33" s="335"/>
      <c r="E33" s="335"/>
      <c r="F33" s="335"/>
      <c r="G33" s="335"/>
      <c r="H33" s="335"/>
      <c r="I33" s="335"/>
    </row>
    <row r="34">
      <c r="A34" s="335"/>
      <c r="B34" s="335"/>
      <c r="C34" s="335"/>
      <c r="D34" s="335"/>
      <c r="E34" s="335"/>
      <c r="F34" s="335"/>
      <c r="G34" s="335"/>
      <c r="H34" s="335"/>
      <c r="I34" s="335"/>
    </row>
    <row r="35">
      <c r="A35" s="335"/>
      <c r="B35" s="335"/>
      <c r="C35" s="335"/>
      <c r="D35" s="335"/>
      <c r="E35" s="335"/>
      <c r="F35" s="335"/>
      <c r="G35" s="335"/>
      <c r="H35" s="335"/>
      <c r="I35" s="335"/>
    </row>
    <row r="36">
      <c r="A36" s="335"/>
      <c r="B36" s="335"/>
      <c r="C36" s="335"/>
      <c r="D36" s="335"/>
      <c r="E36" s="335"/>
      <c r="F36" s="335"/>
      <c r="G36" s="335"/>
      <c r="H36" s="335"/>
      <c r="I36" s="335"/>
    </row>
    <row r="37">
      <c r="A37" s="335"/>
      <c r="B37" s="335"/>
      <c r="C37" s="335"/>
      <c r="D37" s="335"/>
      <c r="E37" s="335"/>
      <c r="F37" s="335"/>
      <c r="G37" s="335"/>
      <c r="H37" s="335"/>
      <c r="I37" s="335"/>
    </row>
    <row r="38">
      <c r="A38" s="335"/>
      <c r="B38" s="335"/>
      <c r="C38" s="335"/>
      <c r="D38" s="335"/>
      <c r="E38" s="335"/>
      <c r="F38" s="335"/>
      <c r="G38" s="335"/>
      <c r="H38" s="335"/>
      <c r="I38" s="335"/>
    </row>
    <row r="39">
      <c r="A39" s="335"/>
      <c r="B39" s="335"/>
      <c r="C39" s="335"/>
      <c r="D39" s="335"/>
      <c r="E39" s="335"/>
      <c r="F39" s="335"/>
      <c r="G39" s="335"/>
      <c r="H39" s="335"/>
      <c r="I39" s="335"/>
    </row>
    <row r="40">
      <c r="A40" s="335"/>
      <c r="B40" s="335"/>
      <c r="C40" s="335"/>
      <c r="D40" s="335"/>
      <c r="E40" s="335"/>
      <c r="F40" s="335"/>
      <c r="G40" s="335"/>
      <c r="H40" s="335"/>
      <c r="I40" s="335"/>
    </row>
    <row r="41">
      <c r="A41" s="335"/>
      <c r="B41" s="335"/>
      <c r="C41" s="335"/>
      <c r="D41" s="335"/>
      <c r="E41" s="335"/>
      <c r="F41" s="335"/>
      <c r="G41" s="335"/>
      <c r="H41" s="335"/>
      <c r="I41" s="335"/>
    </row>
    <row r="42">
      <c r="A42" s="335"/>
      <c r="B42" s="335"/>
      <c r="C42" s="335"/>
      <c r="D42" s="335"/>
      <c r="E42" s="335"/>
      <c r="F42" s="335"/>
      <c r="G42" s="335"/>
      <c r="H42" s="335"/>
      <c r="I42" s="335"/>
    </row>
    <row r="43">
      <c r="A43" s="335"/>
      <c r="B43" s="335"/>
      <c r="C43" s="335"/>
      <c r="D43" s="335"/>
      <c r="E43" s="335"/>
      <c r="F43" s="335"/>
      <c r="G43" s="335"/>
      <c r="H43" s="335"/>
      <c r="I43" s="335"/>
    </row>
    <row r="44">
      <c r="A44" s="335"/>
      <c r="B44" s="335"/>
      <c r="C44" s="335"/>
      <c r="D44" s="335"/>
      <c r="E44" s="335"/>
      <c r="F44" s="335"/>
      <c r="G44" s="335"/>
      <c r="H44" s="335"/>
      <c r="I44" s="335"/>
    </row>
    <row r="45">
      <c r="A45" s="335"/>
      <c r="B45" s="335"/>
      <c r="C45" s="335"/>
      <c r="D45" s="335"/>
      <c r="E45" s="335"/>
      <c r="F45" s="335"/>
      <c r="G45" s="335"/>
      <c r="H45" s="335"/>
      <c r="I45" s="335"/>
    </row>
    <row r="46">
      <c r="A46" s="335"/>
      <c r="B46" s="335"/>
      <c r="C46" s="335"/>
      <c r="D46" s="335"/>
      <c r="E46" s="335"/>
      <c r="F46" s="335"/>
      <c r="G46" s="335"/>
      <c r="H46" s="335"/>
      <c r="I46" s="335"/>
    </row>
    <row r="47">
      <c r="A47" s="335"/>
      <c r="B47" s="335"/>
      <c r="C47" s="335"/>
      <c r="D47" s="335"/>
      <c r="E47" s="335"/>
      <c r="F47" s="335"/>
      <c r="G47" s="335"/>
      <c r="H47" s="335"/>
      <c r="I47" s="335"/>
    </row>
    <row r="48">
      <c r="A48" s="335"/>
      <c r="B48" s="335"/>
      <c r="C48" s="335"/>
      <c r="D48" s="335"/>
      <c r="E48" s="335"/>
      <c r="F48" s="335"/>
      <c r="G48" s="335"/>
      <c r="H48" s="335"/>
      <c r="I48" s="335"/>
    </row>
    <row r="49">
      <c r="A49" s="335"/>
      <c r="B49" s="335"/>
      <c r="C49" s="335"/>
      <c r="D49" s="335"/>
      <c r="E49" s="335"/>
      <c r="F49" s="335"/>
      <c r="G49" s="335"/>
      <c r="H49" s="335"/>
      <c r="I49" s="335"/>
    </row>
    <row r="50">
      <c r="A50" s="335"/>
      <c r="B50" s="335"/>
      <c r="C50" s="335"/>
      <c r="D50" s="335"/>
      <c r="E50" s="335"/>
      <c r="F50" s="335"/>
      <c r="G50" s="335"/>
      <c r="H50" s="335"/>
      <c r="I50" s="335"/>
    </row>
    <row r="51">
      <c r="A51" s="335"/>
      <c r="B51" s="335"/>
      <c r="C51" s="335"/>
      <c r="D51" s="335"/>
      <c r="E51" s="335"/>
      <c r="F51" s="335"/>
      <c r="G51" s="335"/>
      <c r="H51" s="335"/>
      <c r="I51" s="335"/>
    </row>
    <row r="52">
      <c r="A52" s="335"/>
      <c r="B52" s="335"/>
      <c r="C52" s="335"/>
      <c r="D52" s="335"/>
      <c r="E52" s="335"/>
      <c r="F52" s="335"/>
      <c r="G52" s="335"/>
      <c r="H52" s="335"/>
      <c r="I52" s="335"/>
    </row>
    <row r="53">
      <c r="A53" s="335"/>
      <c r="B53" s="335"/>
      <c r="C53" s="335"/>
      <c r="D53" s="335"/>
      <c r="E53" s="335"/>
      <c r="F53" s="335"/>
      <c r="G53" s="335"/>
      <c r="H53" s="335"/>
      <c r="I53" s="335"/>
    </row>
    <row r="54">
      <c r="A54" s="335"/>
      <c r="B54" s="335"/>
      <c r="C54" s="335"/>
      <c r="D54" s="335"/>
      <c r="E54" s="335"/>
      <c r="F54" s="335"/>
      <c r="G54" s="335"/>
      <c r="H54" s="335"/>
      <c r="I54" s="335"/>
    </row>
    <row r="55">
      <c r="A55" s="335"/>
      <c r="B55" s="335"/>
      <c r="C55" s="335"/>
      <c r="D55" s="335"/>
      <c r="E55" s="335"/>
      <c r="F55" s="335"/>
      <c r="G55" s="335"/>
      <c r="H55" s="335"/>
      <c r="I55" s="335"/>
    </row>
    <row r="56">
      <c r="A56" s="335"/>
      <c r="B56" s="335"/>
      <c r="C56" s="335"/>
      <c r="D56" s="335"/>
      <c r="E56" s="335"/>
      <c r="F56" s="335"/>
      <c r="G56" s="335"/>
      <c r="H56" s="335"/>
      <c r="I56" s="335"/>
    </row>
    <row r="57">
      <c r="A57" s="335"/>
      <c r="B57" s="335"/>
      <c r="C57" s="335"/>
      <c r="D57" s="335"/>
      <c r="E57" s="335"/>
      <c r="F57" s="335"/>
      <c r="G57" s="335"/>
      <c r="H57" s="335"/>
      <c r="I57" s="335"/>
    </row>
    <row r="58">
      <c r="A58" s="335"/>
      <c r="B58" s="335"/>
      <c r="C58" s="335"/>
      <c r="D58" s="335"/>
      <c r="E58" s="335"/>
      <c r="F58" s="335"/>
      <c r="G58" s="335"/>
      <c r="H58" s="335"/>
      <c r="I58" s="335"/>
    </row>
    <row r="59">
      <c r="A59" s="335"/>
      <c r="B59" s="335"/>
      <c r="C59" s="335"/>
      <c r="D59" s="335"/>
      <c r="E59" s="335"/>
      <c r="F59" s="335"/>
      <c r="G59" s="335"/>
      <c r="H59" s="335"/>
      <c r="I59" s="335"/>
    </row>
    <row r="60">
      <c r="A60" s="335"/>
      <c r="B60" s="335"/>
      <c r="C60" s="335"/>
      <c r="D60" s="335"/>
      <c r="E60" s="335"/>
      <c r="F60" s="335"/>
      <c r="G60" s="335"/>
      <c r="H60" s="335"/>
      <c r="I60" s="335"/>
    </row>
    <row r="61">
      <c r="A61" s="335"/>
      <c r="B61" s="335"/>
      <c r="C61" s="335"/>
      <c r="D61" s="335"/>
      <c r="E61" s="335"/>
      <c r="F61" s="335"/>
      <c r="G61" s="335"/>
      <c r="H61" s="335"/>
      <c r="I61" s="335"/>
    </row>
    <row r="62">
      <c r="A62" s="335"/>
      <c r="B62" s="335"/>
      <c r="C62" s="335"/>
      <c r="D62" s="335"/>
      <c r="E62" s="335"/>
      <c r="F62" s="335"/>
      <c r="G62" s="335"/>
      <c r="H62" s="335"/>
      <c r="I62" s="335"/>
    </row>
    <row r="63">
      <c r="A63" s="335"/>
      <c r="B63" s="335"/>
      <c r="C63" s="335"/>
      <c r="D63" s="335"/>
      <c r="E63" s="335"/>
      <c r="F63" s="335"/>
      <c r="G63" s="335"/>
      <c r="H63" s="335"/>
      <c r="I63" s="335"/>
    </row>
    <row r="64">
      <c r="A64" s="335"/>
      <c r="B64" s="335"/>
      <c r="C64" s="335"/>
      <c r="D64" s="335"/>
      <c r="E64" s="335"/>
      <c r="F64" s="335"/>
      <c r="G64" s="335"/>
      <c r="H64" s="335"/>
      <c r="I64" s="335"/>
    </row>
    <row r="65">
      <c r="A65" s="335"/>
      <c r="B65" s="335"/>
      <c r="C65" s="335"/>
      <c r="D65" s="335"/>
      <c r="E65" s="335"/>
      <c r="F65" s="335"/>
      <c r="G65" s="335"/>
      <c r="H65" s="335"/>
      <c r="I65" s="335"/>
    </row>
    <row r="66">
      <c r="A66" s="335"/>
      <c r="B66" s="335"/>
      <c r="C66" s="335"/>
      <c r="D66" s="335"/>
      <c r="E66" s="335"/>
      <c r="F66" s="335"/>
      <c r="G66" s="335"/>
      <c r="H66" s="335"/>
      <c r="I66" s="335"/>
    </row>
    <row r="67">
      <c r="A67" s="335"/>
      <c r="B67" s="335"/>
      <c r="C67" s="335"/>
      <c r="D67" s="335"/>
      <c r="E67" s="335"/>
      <c r="F67" s="335"/>
      <c r="G67" s="335"/>
      <c r="H67" s="335"/>
      <c r="I67" s="335"/>
    </row>
    <row r="68">
      <c r="A68" s="335"/>
      <c r="B68" s="335"/>
      <c r="C68" s="335"/>
      <c r="D68" s="335"/>
      <c r="E68" s="335"/>
      <c r="F68" s="335"/>
      <c r="G68" s="335"/>
      <c r="H68" s="335"/>
      <c r="I68" s="335"/>
    </row>
    <row r="69">
      <c r="A69" s="335"/>
      <c r="B69" s="335"/>
      <c r="C69" s="335"/>
      <c r="D69" s="335"/>
      <c r="E69" s="335"/>
      <c r="F69" s="335"/>
      <c r="G69" s="335"/>
      <c r="H69" s="335"/>
      <c r="I69" s="335"/>
    </row>
    <row r="70">
      <c r="A70" s="335"/>
      <c r="B70" s="335"/>
      <c r="C70" s="335"/>
      <c r="D70" s="335"/>
      <c r="E70" s="335"/>
      <c r="F70" s="335"/>
      <c r="G70" s="335"/>
      <c r="H70" s="335"/>
      <c r="I70" s="335"/>
    </row>
    <row r="71">
      <c r="A71" s="335"/>
      <c r="B71" s="335"/>
      <c r="C71" s="335"/>
      <c r="D71" s="335"/>
      <c r="E71" s="335"/>
      <c r="F71" s="335"/>
      <c r="G71" s="335"/>
      <c r="H71" s="335"/>
      <c r="I71" s="335"/>
    </row>
    <row r="72">
      <c r="A72" s="335"/>
      <c r="B72" s="335"/>
      <c r="C72" s="335"/>
      <c r="D72" s="335"/>
      <c r="E72" s="335"/>
      <c r="F72" s="335"/>
      <c r="G72" s="335"/>
      <c r="H72" s="335"/>
      <c r="I72" s="335"/>
    </row>
    <row r="73">
      <c r="A73" s="335"/>
      <c r="B73" s="335"/>
      <c r="C73" s="335"/>
      <c r="D73" s="335"/>
      <c r="E73" s="335"/>
      <c r="F73" s="335"/>
      <c r="G73" s="335"/>
      <c r="H73" s="335"/>
      <c r="I73" s="335"/>
    </row>
    <row r="74">
      <c r="A74" s="335"/>
      <c r="B74" s="335"/>
      <c r="C74" s="335"/>
      <c r="D74" s="335"/>
      <c r="E74" s="335"/>
      <c r="F74" s="335"/>
      <c r="G74" s="335"/>
      <c r="H74" s="335"/>
      <c r="I74" s="335"/>
    </row>
    <row r="75">
      <c r="A75" s="335"/>
      <c r="B75" s="335"/>
      <c r="C75" s="335"/>
      <c r="D75" s="335"/>
      <c r="E75" s="335"/>
      <c r="F75" s="335"/>
      <c r="G75" s="335"/>
      <c r="H75" s="335"/>
      <c r="I75" s="335"/>
    </row>
    <row r="76">
      <c r="A76" s="335"/>
      <c r="B76" s="335"/>
      <c r="C76" s="335"/>
      <c r="D76" s="335"/>
      <c r="E76" s="335"/>
      <c r="F76" s="335"/>
      <c r="G76" s="335"/>
      <c r="H76" s="335"/>
      <c r="I76" s="335"/>
    </row>
    <row r="77">
      <c r="A77" s="335"/>
      <c r="B77" s="335"/>
      <c r="C77" s="335"/>
      <c r="D77" s="335"/>
      <c r="E77" s="335"/>
      <c r="F77" s="335"/>
      <c r="G77" s="335"/>
      <c r="H77" s="335"/>
      <c r="I77" s="335"/>
    </row>
    <row r="78">
      <c r="A78" s="335"/>
      <c r="B78" s="335"/>
      <c r="C78" s="335"/>
      <c r="D78" s="335"/>
      <c r="E78" s="335"/>
      <c r="F78" s="335"/>
      <c r="G78" s="335"/>
      <c r="H78" s="335"/>
      <c r="I78" s="335"/>
    </row>
    <row r="79">
      <c r="A79" s="335"/>
      <c r="B79" s="335"/>
      <c r="C79" s="335"/>
      <c r="D79" s="335"/>
      <c r="E79" s="335"/>
      <c r="F79" s="335"/>
      <c r="G79" s="335"/>
      <c r="H79" s="335"/>
      <c r="I79" s="335"/>
    </row>
    <row r="80">
      <c r="A80" s="335"/>
      <c r="B80" s="335"/>
      <c r="C80" s="335"/>
      <c r="D80" s="335"/>
      <c r="E80" s="335"/>
      <c r="F80" s="335"/>
      <c r="G80" s="335"/>
      <c r="H80" s="335"/>
      <c r="I80" s="335"/>
    </row>
    <row r="81">
      <c r="A81" s="335"/>
      <c r="B81" s="335"/>
      <c r="C81" s="335"/>
      <c r="D81" s="335"/>
      <c r="E81" s="335"/>
      <c r="F81" s="335"/>
      <c r="G81" s="335"/>
      <c r="H81" s="335"/>
      <c r="I81" s="335"/>
    </row>
    <row r="82">
      <c r="A82" s="335"/>
      <c r="B82" s="335"/>
      <c r="C82" s="335"/>
      <c r="D82" s="335"/>
      <c r="E82" s="335"/>
      <c r="F82" s="335"/>
      <c r="G82" s="335"/>
      <c r="H82" s="335"/>
      <c r="I82" s="335"/>
    </row>
    <row r="83">
      <c r="A83" s="335"/>
      <c r="B83" s="335"/>
      <c r="C83" s="335"/>
      <c r="D83" s="335"/>
      <c r="E83" s="335"/>
      <c r="F83" s="335"/>
      <c r="G83" s="335"/>
      <c r="H83" s="335"/>
      <c r="I83" s="335"/>
    </row>
    <row r="84">
      <c r="A84" s="335"/>
      <c r="B84" s="335"/>
      <c r="C84" s="335"/>
      <c r="D84" s="335"/>
      <c r="E84" s="335"/>
      <c r="F84" s="335"/>
      <c r="G84" s="335"/>
      <c r="H84" s="335"/>
      <c r="I84" s="335"/>
    </row>
    <row r="85">
      <c r="A85" s="335"/>
      <c r="B85" s="335"/>
      <c r="C85" s="335"/>
      <c r="D85" s="335"/>
      <c r="E85" s="335"/>
      <c r="F85" s="335"/>
      <c r="G85" s="335"/>
      <c r="H85" s="335"/>
      <c r="I85" s="335"/>
    </row>
    <row r="86">
      <c r="A86" s="335"/>
      <c r="B86" s="335"/>
      <c r="C86" s="335"/>
      <c r="D86" s="335"/>
      <c r="E86" s="335"/>
      <c r="F86" s="335"/>
      <c r="G86" s="335"/>
      <c r="H86" s="335"/>
      <c r="I86" s="335"/>
    </row>
    <row r="87">
      <c r="A87" s="335"/>
      <c r="B87" s="335"/>
      <c r="C87" s="335"/>
      <c r="D87" s="335"/>
      <c r="E87" s="335"/>
      <c r="F87" s="335"/>
      <c r="G87" s="335"/>
      <c r="H87" s="335"/>
      <c r="I87" s="335"/>
    </row>
    <row r="88">
      <c r="A88" s="335"/>
      <c r="B88" s="335"/>
      <c r="C88" s="335"/>
      <c r="D88" s="335"/>
      <c r="E88" s="335"/>
      <c r="F88" s="335"/>
      <c r="G88" s="335"/>
      <c r="H88" s="335"/>
      <c r="I88" s="335"/>
    </row>
    <row r="89">
      <c r="A89" s="335"/>
      <c r="B89" s="335"/>
      <c r="C89" s="335"/>
      <c r="D89" s="335"/>
      <c r="E89" s="335"/>
      <c r="F89" s="335"/>
      <c r="G89" s="335"/>
      <c r="H89" s="335"/>
      <c r="I89" s="335"/>
    </row>
    <row r="90">
      <c r="A90" s="335"/>
      <c r="B90" s="335"/>
      <c r="C90" s="335"/>
      <c r="D90" s="335"/>
      <c r="E90" s="335"/>
      <c r="F90" s="335"/>
      <c r="G90" s="335"/>
      <c r="H90" s="335"/>
      <c r="I90" s="335"/>
    </row>
    <row r="91">
      <c r="A91" s="335"/>
      <c r="B91" s="335"/>
      <c r="C91" s="335"/>
      <c r="D91" s="335"/>
      <c r="E91" s="335"/>
      <c r="F91" s="335"/>
      <c r="G91" s="335"/>
      <c r="H91" s="335"/>
      <c r="I91" s="335"/>
    </row>
    <row r="92">
      <c r="A92" s="335"/>
      <c r="B92" s="335"/>
      <c r="C92" s="335"/>
      <c r="D92" s="335"/>
      <c r="E92" s="335"/>
      <c r="F92" s="335"/>
      <c r="G92" s="335"/>
      <c r="H92" s="335"/>
      <c r="I92" s="335"/>
    </row>
    <row r="93">
      <c r="A93" s="335"/>
      <c r="B93" s="335"/>
      <c r="C93" s="335"/>
      <c r="D93" s="335"/>
      <c r="E93" s="335"/>
      <c r="F93" s="335"/>
      <c r="G93" s="335"/>
      <c r="H93" s="335"/>
      <c r="I93" s="335"/>
    </row>
    <row r="94">
      <c r="A94" s="335"/>
      <c r="B94" s="335"/>
      <c r="C94" s="335"/>
      <c r="D94" s="335"/>
      <c r="E94" s="335"/>
      <c r="F94" s="335"/>
      <c r="G94" s="335"/>
      <c r="H94" s="335"/>
      <c r="I94" s="335"/>
    </row>
    <row r="95">
      <c r="A95" s="335"/>
      <c r="B95" s="335"/>
      <c r="C95" s="335"/>
      <c r="D95" s="335"/>
      <c r="E95" s="335"/>
      <c r="F95" s="335"/>
      <c r="G95" s="335"/>
      <c r="H95" s="335"/>
      <c r="I95" s="335"/>
    </row>
    <row r="96">
      <c r="A96" s="335"/>
      <c r="B96" s="335"/>
      <c r="C96" s="335"/>
      <c r="D96" s="335"/>
      <c r="E96" s="335"/>
      <c r="F96" s="335"/>
      <c r="G96" s="335"/>
      <c r="H96" s="335"/>
      <c r="I96" s="335"/>
    </row>
    <row r="97">
      <c r="A97" s="335"/>
      <c r="B97" s="335"/>
      <c r="C97" s="335"/>
      <c r="D97" s="335"/>
      <c r="E97" s="335"/>
      <c r="F97" s="335"/>
      <c r="G97" s="335"/>
      <c r="H97" s="335"/>
      <c r="I97" s="335"/>
    </row>
    <row r="98">
      <c r="A98" s="335"/>
      <c r="B98" s="335"/>
      <c r="C98" s="335"/>
      <c r="D98" s="335"/>
      <c r="E98" s="335"/>
      <c r="F98" s="335"/>
      <c r="G98" s="335"/>
      <c r="H98" s="335"/>
      <c r="I98" s="335"/>
    </row>
    <row r="99">
      <c r="A99" s="335"/>
      <c r="B99" s="335"/>
      <c r="C99" s="335"/>
      <c r="D99" s="335"/>
      <c r="E99" s="335"/>
      <c r="F99" s="335"/>
      <c r="G99" s="335"/>
      <c r="H99" s="335"/>
      <c r="I99" s="335"/>
    </row>
    <row r="100">
      <c r="A100" s="335"/>
      <c r="B100" s="335"/>
      <c r="C100" s="335"/>
      <c r="D100" s="335"/>
      <c r="E100" s="335"/>
      <c r="F100" s="335"/>
      <c r="G100" s="335"/>
      <c r="H100" s="335"/>
      <c r="I100" s="335"/>
    </row>
    <row r="101">
      <c r="A101" s="335"/>
      <c r="B101" s="335"/>
      <c r="C101" s="335"/>
      <c r="D101" s="335"/>
      <c r="E101" s="335"/>
      <c r="F101" s="335"/>
      <c r="G101" s="335"/>
      <c r="H101" s="335"/>
      <c r="I101" s="335"/>
    </row>
    <row r="102">
      <c r="A102" s="335"/>
      <c r="B102" s="335"/>
      <c r="C102" s="335"/>
      <c r="D102" s="335"/>
      <c r="E102" s="335"/>
      <c r="F102" s="335"/>
      <c r="G102" s="335"/>
      <c r="H102" s="335"/>
      <c r="I102" s="335"/>
    </row>
    <row r="103">
      <c r="A103" s="335"/>
      <c r="B103" s="335"/>
      <c r="C103" s="335"/>
      <c r="D103" s="335"/>
      <c r="E103" s="335"/>
      <c r="F103" s="335"/>
      <c r="G103" s="335"/>
      <c r="H103" s="335"/>
      <c r="I103" s="335"/>
    </row>
    <row r="104">
      <c r="A104" s="335"/>
      <c r="B104" s="335"/>
      <c r="C104" s="335"/>
      <c r="D104" s="335"/>
      <c r="E104" s="335"/>
      <c r="F104" s="335"/>
      <c r="G104" s="335"/>
      <c r="H104" s="335"/>
      <c r="I104" s="335"/>
    </row>
    <row r="105">
      <c r="A105" s="335"/>
      <c r="B105" s="335"/>
      <c r="C105" s="335"/>
      <c r="D105" s="335"/>
      <c r="E105" s="335"/>
      <c r="F105" s="335"/>
      <c r="G105" s="335"/>
      <c r="H105" s="335"/>
      <c r="I105" s="335"/>
    </row>
    <row r="106">
      <c r="A106" s="335"/>
      <c r="B106" s="335"/>
      <c r="C106" s="335"/>
      <c r="D106" s="335"/>
      <c r="E106" s="335"/>
      <c r="F106" s="335"/>
      <c r="G106" s="335"/>
      <c r="H106" s="335"/>
      <c r="I106" s="335"/>
    </row>
    <row r="107">
      <c r="A107" s="335"/>
      <c r="B107" s="335"/>
      <c r="C107" s="335"/>
      <c r="D107" s="335"/>
      <c r="E107" s="335"/>
      <c r="F107" s="335"/>
      <c r="G107" s="335"/>
      <c r="H107" s="335"/>
      <c r="I107" s="335"/>
    </row>
    <row r="108">
      <c r="A108" s="335"/>
      <c r="B108" s="335"/>
      <c r="C108" s="335"/>
      <c r="D108" s="335"/>
      <c r="E108" s="335"/>
      <c r="F108" s="335"/>
      <c r="G108" s="335"/>
      <c r="H108" s="335"/>
      <c r="I108" s="335"/>
    </row>
    <row r="109">
      <c r="A109" s="335"/>
      <c r="B109" s="335"/>
      <c r="C109" s="335"/>
      <c r="D109" s="335"/>
      <c r="E109" s="335"/>
      <c r="F109" s="335"/>
      <c r="G109" s="335"/>
      <c r="H109" s="335"/>
      <c r="I109" s="335"/>
    </row>
    <row r="110">
      <c r="A110" s="335"/>
      <c r="B110" s="335"/>
      <c r="C110" s="335"/>
      <c r="D110" s="335"/>
      <c r="E110" s="335"/>
      <c r="F110" s="335"/>
      <c r="G110" s="335"/>
      <c r="H110" s="335"/>
      <c r="I110" s="335"/>
    </row>
    <row r="111">
      <c r="A111" s="335"/>
      <c r="B111" s="335"/>
      <c r="C111" s="335"/>
      <c r="D111" s="335"/>
      <c r="E111" s="335"/>
      <c r="F111" s="335"/>
      <c r="G111" s="335"/>
      <c r="H111" s="335"/>
      <c r="I111" s="335"/>
    </row>
    <row r="112">
      <c r="A112" s="335"/>
      <c r="B112" s="335"/>
      <c r="C112" s="335"/>
      <c r="D112" s="335"/>
      <c r="E112" s="335"/>
      <c r="F112" s="335"/>
      <c r="G112" s="335"/>
      <c r="H112" s="335"/>
      <c r="I112" s="335"/>
    </row>
    <row r="113">
      <c r="A113" s="335"/>
      <c r="B113" s="335"/>
      <c r="C113" s="335"/>
      <c r="D113" s="335"/>
      <c r="E113" s="335"/>
      <c r="F113" s="335"/>
      <c r="G113" s="335"/>
      <c r="H113" s="335"/>
      <c r="I113" s="335"/>
    </row>
    <row r="114">
      <c r="A114" s="335"/>
      <c r="B114" s="335"/>
      <c r="C114" s="335"/>
      <c r="D114" s="335"/>
      <c r="E114" s="335"/>
      <c r="F114" s="335"/>
      <c r="G114" s="335"/>
      <c r="H114" s="335"/>
      <c r="I114" s="335"/>
    </row>
    <row r="115">
      <c r="A115" s="335"/>
      <c r="B115" s="335"/>
      <c r="C115" s="335"/>
      <c r="D115" s="335"/>
      <c r="E115" s="335"/>
      <c r="F115" s="335"/>
      <c r="G115" s="335"/>
      <c r="H115" s="335"/>
      <c r="I115" s="335"/>
    </row>
    <row r="116">
      <c r="A116" s="335"/>
      <c r="B116" s="335"/>
      <c r="C116" s="335"/>
      <c r="D116" s="335"/>
      <c r="E116" s="335"/>
      <c r="F116" s="335"/>
      <c r="G116" s="335"/>
      <c r="H116" s="335"/>
      <c r="I116" s="335"/>
    </row>
    <row r="117">
      <c r="A117" s="335"/>
      <c r="B117" s="335"/>
      <c r="C117" s="335"/>
      <c r="D117" s="335"/>
      <c r="E117" s="335"/>
      <c r="F117" s="335"/>
      <c r="G117" s="335"/>
      <c r="H117" s="335"/>
      <c r="I117" s="335"/>
    </row>
    <row r="118">
      <c r="A118" s="335"/>
      <c r="B118" s="335"/>
      <c r="C118" s="335"/>
      <c r="D118" s="335"/>
      <c r="E118" s="335"/>
      <c r="F118" s="335"/>
      <c r="G118" s="335"/>
      <c r="H118" s="335"/>
      <c r="I118" s="335"/>
    </row>
    <row r="119">
      <c r="A119" s="335"/>
      <c r="B119" s="335"/>
      <c r="C119" s="335"/>
      <c r="D119" s="335"/>
      <c r="E119" s="335"/>
      <c r="F119" s="335"/>
      <c r="G119" s="335"/>
      <c r="H119" s="335"/>
      <c r="I119" s="335"/>
    </row>
    <row r="120">
      <c r="A120" s="335"/>
      <c r="B120" s="335"/>
      <c r="C120" s="335"/>
      <c r="D120" s="335"/>
      <c r="E120" s="335"/>
      <c r="F120" s="335"/>
      <c r="G120" s="335"/>
      <c r="H120" s="335"/>
      <c r="I120" s="335"/>
    </row>
    <row r="121">
      <c r="A121" s="335"/>
      <c r="B121" s="335"/>
      <c r="C121" s="335"/>
      <c r="D121" s="335"/>
      <c r="E121" s="335"/>
      <c r="F121" s="335"/>
      <c r="G121" s="335"/>
      <c r="H121" s="335"/>
      <c r="I121" s="335"/>
    </row>
    <row r="122">
      <c r="A122" s="335"/>
      <c r="B122" s="335"/>
      <c r="C122" s="335"/>
      <c r="D122" s="335"/>
      <c r="E122" s="335"/>
      <c r="F122" s="335"/>
      <c r="G122" s="335"/>
      <c r="H122" s="335"/>
      <c r="I122" s="335"/>
    </row>
    <row r="123">
      <c r="A123" s="335"/>
      <c r="B123" s="335"/>
      <c r="C123" s="335"/>
      <c r="D123" s="335"/>
      <c r="E123" s="335"/>
      <c r="F123" s="335"/>
      <c r="G123" s="335"/>
      <c r="H123" s="335"/>
      <c r="I123" s="335"/>
    </row>
    <row r="124">
      <c r="A124" s="335"/>
      <c r="B124" s="335"/>
      <c r="C124" s="335"/>
      <c r="D124" s="335"/>
      <c r="E124" s="335"/>
      <c r="F124" s="335"/>
      <c r="G124" s="335"/>
      <c r="H124" s="335"/>
      <c r="I124" s="335"/>
    </row>
    <row r="125">
      <c r="A125" s="335"/>
      <c r="B125" s="335"/>
      <c r="C125" s="335"/>
      <c r="D125" s="335"/>
      <c r="E125" s="335"/>
      <c r="F125" s="335"/>
      <c r="G125" s="335"/>
      <c r="H125" s="335"/>
      <c r="I125" s="335"/>
    </row>
    <row r="126">
      <c r="A126" s="335"/>
      <c r="B126" s="335"/>
      <c r="C126" s="335"/>
      <c r="D126" s="335"/>
      <c r="E126" s="335"/>
      <c r="F126" s="335"/>
      <c r="G126" s="335"/>
      <c r="H126" s="335"/>
      <c r="I126" s="335"/>
    </row>
    <row r="127">
      <c r="A127" s="335"/>
      <c r="B127" s="335"/>
      <c r="C127" s="335"/>
      <c r="D127" s="335"/>
      <c r="E127" s="335"/>
      <c r="F127" s="335"/>
      <c r="G127" s="335"/>
      <c r="H127" s="335"/>
      <c r="I127" s="335"/>
    </row>
    <row r="128">
      <c r="A128" s="335"/>
      <c r="B128" s="335"/>
      <c r="C128" s="335"/>
      <c r="D128" s="335"/>
      <c r="E128" s="335"/>
      <c r="F128" s="335"/>
      <c r="G128" s="335"/>
      <c r="H128" s="335"/>
      <c r="I128" s="335"/>
    </row>
    <row r="129">
      <c r="A129" s="335"/>
      <c r="B129" s="335"/>
      <c r="C129" s="335"/>
      <c r="D129" s="335"/>
      <c r="E129" s="335"/>
      <c r="F129" s="335"/>
      <c r="G129" s="335"/>
      <c r="H129" s="335"/>
      <c r="I129" s="335"/>
    </row>
    <row r="130">
      <c r="A130" s="335"/>
      <c r="B130" s="335"/>
      <c r="C130" s="335"/>
      <c r="D130" s="335"/>
      <c r="E130" s="335"/>
      <c r="F130" s="335"/>
      <c r="G130" s="335"/>
      <c r="H130" s="335"/>
      <c r="I130" s="335"/>
    </row>
    <row r="131">
      <c r="A131" s="335"/>
      <c r="B131" s="335"/>
      <c r="C131" s="335"/>
      <c r="D131" s="335"/>
      <c r="E131" s="335"/>
      <c r="F131" s="335"/>
      <c r="G131" s="335"/>
      <c r="H131" s="335"/>
      <c r="I131" s="335"/>
    </row>
    <row r="132">
      <c r="A132" s="335"/>
      <c r="B132" s="335"/>
      <c r="C132" s="335"/>
      <c r="D132" s="335"/>
      <c r="E132" s="335"/>
      <c r="F132" s="335"/>
      <c r="G132" s="335"/>
      <c r="H132" s="335"/>
      <c r="I132" s="335"/>
    </row>
    <row r="133">
      <c r="A133" s="335"/>
      <c r="B133" s="335"/>
      <c r="C133" s="335"/>
      <c r="D133" s="335"/>
      <c r="E133" s="335"/>
      <c r="F133" s="335"/>
      <c r="G133" s="335"/>
      <c r="H133" s="335"/>
      <c r="I133" s="335"/>
    </row>
    <row r="134">
      <c r="A134" s="335"/>
      <c r="B134" s="335"/>
      <c r="C134" s="335"/>
      <c r="D134" s="335"/>
      <c r="E134" s="335"/>
      <c r="F134" s="335"/>
      <c r="G134" s="335"/>
      <c r="H134" s="335"/>
      <c r="I134" s="335"/>
    </row>
    <row r="135">
      <c r="A135" s="335"/>
      <c r="B135" s="335"/>
      <c r="C135" s="335"/>
      <c r="D135" s="335"/>
      <c r="E135" s="335"/>
      <c r="F135" s="335"/>
      <c r="G135" s="335"/>
      <c r="H135" s="335"/>
      <c r="I135" s="335"/>
    </row>
    <row r="136">
      <c r="A136" s="335"/>
      <c r="B136" s="335"/>
      <c r="C136" s="335"/>
      <c r="D136" s="335"/>
      <c r="E136" s="335"/>
      <c r="F136" s="335"/>
      <c r="G136" s="335"/>
      <c r="H136" s="335"/>
      <c r="I136" s="335"/>
    </row>
    <row r="137">
      <c r="A137" s="335"/>
      <c r="B137" s="335"/>
      <c r="C137" s="335"/>
      <c r="D137" s="335"/>
      <c r="E137" s="335"/>
      <c r="F137" s="335"/>
      <c r="G137" s="335"/>
      <c r="H137" s="335"/>
      <c r="I137" s="335"/>
    </row>
    <row r="138">
      <c r="A138" s="335"/>
      <c r="B138" s="335"/>
      <c r="C138" s="335"/>
      <c r="D138" s="335"/>
      <c r="E138" s="335"/>
      <c r="F138" s="335"/>
      <c r="G138" s="335"/>
      <c r="H138" s="335"/>
      <c r="I138" s="335"/>
    </row>
    <row r="139">
      <c r="A139" s="335"/>
      <c r="B139" s="335"/>
      <c r="C139" s="335"/>
      <c r="D139" s="335"/>
      <c r="E139" s="335"/>
      <c r="F139" s="335"/>
      <c r="G139" s="335"/>
      <c r="H139" s="335"/>
      <c r="I139" s="335"/>
    </row>
    <row r="140">
      <c r="A140" s="335"/>
      <c r="B140" s="335"/>
      <c r="C140" s="335"/>
      <c r="D140" s="335"/>
      <c r="E140" s="335"/>
      <c r="F140" s="335"/>
      <c r="G140" s="335"/>
      <c r="H140" s="335"/>
      <c r="I140" s="335"/>
    </row>
    <row r="141">
      <c r="A141" s="335"/>
      <c r="B141" s="335"/>
      <c r="C141" s="335"/>
      <c r="D141" s="335"/>
      <c r="E141" s="335"/>
      <c r="F141" s="335"/>
      <c r="G141" s="335"/>
      <c r="H141" s="335"/>
      <c r="I141" s="335"/>
    </row>
    <row r="142">
      <c r="A142" s="335"/>
      <c r="B142" s="335"/>
      <c r="C142" s="335"/>
      <c r="D142" s="335"/>
      <c r="E142" s="335"/>
      <c r="F142" s="335"/>
      <c r="G142" s="335"/>
      <c r="H142" s="335"/>
      <c r="I142" s="335"/>
    </row>
    <row r="143">
      <c r="A143" s="335"/>
      <c r="B143" s="335"/>
      <c r="C143" s="335"/>
      <c r="D143" s="335"/>
      <c r="E143" s="335"/>
      <c r="F143" s="335"/>
      <c r="G143" s="335"/>
      <c r="H143" s="335"/>
      <c r="I143" s="335"/>
    </row>
    <row r="144">
      <c r="A144" s="335"/>
      <c r="B144" s="335"/>
      <c r="C144" s="335"/>
      <c r="D144" s="335"/>
      <c r="E144" s="335"/>
      <c r="F144" s="335"/>
      <c r="G144" s="335"/>
      <c r="H144" s="335"/>
      <c r="I144" s="335"/>
    </row>
    <row r="145">
      <c r="A145" s="335"/>
      <c r="B145" s="335"/>
      <c r="C145" s="335"/>
      <c r="D145" s="335"/>
      <c r="E145" s="335"/>
      <c r="F145" s="335"/>
      <c r="G145" s="335"/>
      <c r="H145" s="335"/>
      <c r="I145" s="335"/>
    </row>
    <row r="146">
      <c r="A146" s="335"/>
      <c r="B146" s="335"/>
      <c r="C146" s="335"/>
      <c r="D146" s="335"/>
      <c r="E146" s="335"/>
      <c r="F146" s="335"/>
      <c r="G146" s="335"/>
      <c r="H146" s="335"/>
      <c r="I146" s="335"/>
    </row>
    <row r="147">
      <c r="A147" s="335"/>
      <c r="B147" s="335"/>
      <c r="C147" s="335"/>
      <c r="D147" s="335"/>
      <c r="E147" s="335"/>
      <c r="F147" s="335"/>
      <c r="G147" s="335"/>
      <c r="H147" s="335"/>
      <c r="I147" s="335"/>
    </row>
    <row r="148">
      <c r="A148" s="335"/>
      <c r="B148" s="335"/>
      <c r="C148" s="335"/>
      <c r="D148" s="335"/>
      <c r="E148" s="335"/>
      <c r="F148" s="335"/>
      <c r="G148" s="335"/>
      <c r="H148" s="335"/>
      <c r="I148" s="335"/>
    </row>
    <row r="149">
      <c r="A149" s="335"/>
      <c r="B149" s="335"/>
      <c r="C149" s="335"/>
      <c r="D149" s="335"/>
      <c r="E149" s="335"/>
      <c r="F149" s="335"/>
      <c r="G149" s="335"/>
      <c r="H149" s="335"/>
      <c r="I149" s="335"/>
    </row>
    <row r="150">
      <c r="A150" s="335"/>
      <c r="B150" s="335"/>
      <c r="C150" s="335"/>
      <c r="D150" s="335"/>
      <c r="E150" s="335"/>
      <c r="F150" s="335"/>
      <c r="G150" s="335"/>
      <c r="H150" s="335"/>
      <c r="I150" s="335"/>
    </row>
    <row r="151">
      <c r="A151" s="335"/>
      <c r="B151" s="335"/>
      <c r="C151" s="335"/>
      <c r="D151" s="335"/>
      <c r="E151" s="335"/>
      <c r="F151" s="335"/>
      <c r="G151" s="335"/>
      <c r="H151" s="335"/>
      <c r="I151" s="335"/>
    </row>
    <row r="152">
      <c r="A152" s="335"/>
      <c r="B152" s="335"/>
      <c r="C152" s="335"/>
      <c r="D152" s="335"/>
      <c r="E152" s="335"/>
      <c r="F152" s="335"/>
      <c r="G152" s="335"/>
      <c r="H152" s="335"/>
      <c r="I152" s="335"/>
    </row>
    <row r="153">
      <c r="A153" s="335"/>
      <c r="B153" s="335"/>
      <c r="C153" s="335"/>
      <c r="D153" s="335"/>
      <c r="E153" s="335"/>
      <c r="F153" s="335"/>
      <c r="G153" s="335"/>
      <c r="H153" s="335"/>
      <c r="I153" s="335"/>
    </row>
    <row r="154">
      <c r="A154" s="335"/>
      <c r="B154" s="335"/>
      <c r="C154" s="335"/>
      <c r="D154" s="335"/>
      <c r="E154" s="335"/>
      <c r="F154" s="335"/>
      <c r="G154" s="335"/>
      <c r="H154" s="335"/>
      <c r="I154" s="335"/>
    </row>
    <row r="155">
      <c r="A155" s="335"/>
      <c r="B155" s="335"/>
      <c r="C155" s="335"/>
      <c r="D155" s="335"/>
      <c r="E155" s="335"/>
      <c r="F155" s="335"/>
      <c r="G155" s="335"/>
      <c r="H155" s="335"/>
      <c r="I155" s="335"/>
    </row>
    <row r="156">
      <c r="A156" s="335"/>
      <c r="B156" s="335"/>
      <c r="C156" s="335"/>
      <c r="D156" s="335"/>
      <c r="E156" s="335"/>
      <c r="F156" s="335"/>
      <c r="G156" s="335"/>
      <c r="H156" s="335"/>
      <c r="I156" s="335"/>
    </row>
    <row r="157">
      <c r="A157" s="335"/>
      <c r="B157" s="335"/>
      <c r="C157" s="335"/>
      <c r="D157" s="335"/>
      <c r="E157" s="335"/>
      <c r="F157" s="335"/>
      <c r="G157" s="335"/>
      <c r="H157" s="335"/>
      <c r="I157" s="335"/>
    </row>
    <row r="158">
      <c r="A158" s="335"/>
      <c r="B158" s="335"/>
      <c r="C158" s="335"/>
      <c r="D158" s="335"/>
      <c r="E158" s="335"/>
      <c r="F158" s="335"/>
      <c r="G158" s="335"/>
      <c r="H158" s="335"/>
      <c r="I158" s="335"/>
    </row>
    <row r="159">
      <c r="A159" s="335"/>
      <c r="B159" s="335"/>
      <c r="C159" s="335"/>
      <c r="D159" s="335"/>
      <c r="E159" s="335"/>
      <c r="F159" s="335"/>
      <c r="G159" s="335"/>
      <c r="H159" s="335"/>
      <c r="I159" s="335"/>
    </row>
    <row r="160">
      <c r="A160" s="335"/>
      <c r="B160" s="335"/>
      <c r="C160" s="335"/>
      <c r="D160" s="335"/>
      <c r="E160" s="335"/>
      <c r="F160" s="335"/>
      <c r="G160" s="335"/>
      <c r="H160" s="335"/>
      <c r="I160" s="335"/>
    </row>
    <row r="161">
      <c r="A161" s="335"/>
      <c r="B161" s="335"/>
      <c r="C161" s="335"/>
      <c r="D161" s="335"/>
      <c r="E161" s="335"/>
      <c r="F161" s="335"/>
      <c r="G161" s="335"/>
      <c r="H161" s="335"/>
      <c r="I161" s="335"/>
    </row>
    <row r="162">
      <c r="A162" s="335"/>
      <c r="B162" s="335"/>
      <c r="C162" s="335"/>
      <c r="D162" s="335"/>
      <c r="E162" s="335"/>
      <c r="F162" s="335"/>
      <c r="G162" s="335"/>
      <c r="H162" s="335"/>
      <c r="I162" s="335"/>
    </row>
    <row r="163">
      <c r="A163" s="335"/>
      <c r="B163" s="335"/>
      <c r="C163" s="335"/>
      <c r="D163" s="335"/>
      <c r="E163" s="335"/>
      <c r="F163" s="335"/>
      <c r="G163" s="335"/>
      <c r="H163" s="335"/>
      <c r="I163" s="335"/>
    </row>
    <row r="164">
      <c r="A164" s="335"/>
      <c r="B164" s="335"/>
      <c r="C164" s="335"/>
      <c r="D164" s="335"/>
      <c r="E164" s="335"/>
      <c r="F164" s="335"/>
      <c r="G164" s="335"/>
      <c r="H164" s="335"/>
      <c r="I164" s="335"/>
    </row>
    <row r="165">
      <c r="A165" s="335"/>
      <c r="B165" s="335"/>
      <c r="C165" s="335"/>
      <c r="D165" s="335"/>
      <c r="E165" s="335"/>
      <c r="F165" s="335"/>
      <c r="G165" s="335"/>
      <c r="H165" s="335"/>
      <c r="I165" s="335"/>
    </row>
    <row r="166">
      <c r="A166" s="335"/>
      <c r="B166" s="335"/>
      <c r="C166" s="335"/>
      <c r="D166" s="335"/>
      <c r="E166" s="335"/>
      <c r="F166" s="335"/>
      <c r="G166" s="335"/>
      <c r="H166" s="335"/>
      <c r="I166" s="335"/>
    </row>
    <row r="167">
      <c r="A167" s="335"/>
      <c r="B167" s="335"/>
      <c r="C167" s="335"/>
      <c r="D167" s="335"/>
      <c r="E167" s="335"/>
      <c r="F167" s="335"/>
      <c r="G167" s="335"/>
      <c r="H167" s="335"/>
      <c r="I167" s="335"/>
    </row>
    <row r="168">
      <c r="A168" s="335"/>
      <c r="B168" s="335"/>
      <c r="C168" s="335"/>
      <c r="D168" s="335"/>
      <c r="E168" s="335"/>
      <c r="F168" s="335"/>
      <c r="G168" s="335"/>
      <c r="H168" s="335"/>
      <c r="I168" s="335"/>
    </row>
    <row r="169">
      <c r="A169" s="335"/>
      <c r="B169" s="335"/>
      <c r="C169" s="335"/>
      <c r="D169" s="335"/>
      <c r="E169" s="335"/>
      <c r="F169" s="335"/>
      <c r="G169" s="335"/>
      <c r="H169" s="335"/>
      <c r="I169" s="335"/>
    </row>
    <row r="170">
      <c r="A170" s="335"/>
      <c r="B170" s="335"/>
      <c r="C170" s="335"/>
      <c r="D170" s="335"/>
      <c r="E170" s="335"/>
      <c r="F170" s="335"/>
      <c r="G170" s="335"/>
      <c r="H170" s="335"/>
      <c r="I170" s="335"/>
    </row>
    <row r="171">
      <c r="A171" s="335"/>
      <c r="B171" s="335"/>
      <c r="C171" s="335"/>
      <c r="D171" s="335"/>
      <c r="E171" s="335"/>
      <c r="F171" s="335"/>
      <c r="G171" s="335"/>
      <c r="H171" s="335"/>
      <c r="I171" s="335"/>
    </row>
    <row r="172">
      <c r="A172" s="335"/>
      <c r="B172" s="335"/>
      <c r="C172" s="335"/>
      <c r="D172" s="335"/>
      <c r="E172" s="335"/>
      <c r="F172" s="335"/>
      <c r="G172" s="335"/>
      <c r="H172" s="335"/>
      <c r="I172" s="335"/>
    </row>
    <row r="173">
      <c r="A173" s="335"/>
      <c r="B173" s="335"/>
      <c r="C173" s="335"/>
      <c r="D173" s="335"/>
      <c r="E173" s="335"/>
      <c r="F173" s="335"/>
      <c r="G173" s="335"/>
      <c r="H173" s="335"/>
      <c r="I173" s="335"/>
    </row>
    <row r="174">
      <c r="A174" s="335"/>
      <c r="B174" s="335"/>
      <c r="C174" s="335"/>
      <c r="D174" s="335"/>
      <c r="E174" s="335"/>
      <c r="F174" s="335"/>
      <c r="G174" s="335"/>
      <c r="H174" s="335"/>
      <c r="I174" s="335"/>
    </row>
    <row r="175">
      <c r="A175" s="335"/>
      <c r="B175" s="335"/>
      <c r="C175" s="335"/>
      <c r="D175" s="335"/>
      <c r="E175" s="335"/>
      <c r="F175" s="335"/>
      <c r="G175" s="335"/>
      <c r="H175" s="335"/>
      <c r="I175" s="335"/>
    </row>
    <row r="176">
      <c r="A176" s="335"/>
      <c r="B176" s="335"/>
      <c r="C176" s="335"/>
      <c r="D176" s="335"/>
      <c r="E176" s="335"/>
      <c r="F176" s="335"/>
      <c r="G176" s="335"/>
      <c r="H176" s="335"/>
      <c r="I176" s="335"/>
    </row>
    <row r="177">
      <c r="A177" s="335"/>
      <c r="B177" s="335"/>
      <c r="C177" s="335"/>
      <c r="D177" s="335"/>
      <c r="E177" s="335"/>
      <c r="F177" s="335"/>
      <c r="G177" s="335"/>
      <c r="H177" s="335"/>
      <c r="I177" s="335"/>
    </row>
    <row r="178">
      <c r="A178" s="335"/>
      <c r="B178" s="335"/>
      <c r="C178" s="335"/>
      <c r="D178" s="335"/>
      <c r="E178" s="335"/>
      <c r="F178" s="335"/>
      <c r="G178" s="335"/>
      <c r="H178" s="335"/>
      <c r="I178" s="335"/>
    </row>
    <row r="179">
      <c r="A179" s="335"/>
      <c r="B179" s="335"/>
      <c r="C179" s="335"/>
      <c r="D179" s="335"/>
      <c r="E179" s="335"/>
      <c r="F179" s="335"/>
      <c r="G179" s="335"/>
      <c r="H179" s="335"/>
      <c r="I179" s="335"/>
    </row>
    <row r="180">
      <c r="A180" s="335"/>
      <c r="B180" s="335"/>
      <c r="C180" s="335"/>
      <c r="D180" s="335"/>
      <c r="E180" s="335"/>
      <c r="F180" s="335"/>
      <c r="G180" s="335"/>
      <c r="H180" s="335"/>
      <c r="I180" s="335"/>
    </row>
    <row r="181">
      <c r="A181" s="335"/>
      <c r="B181" s="335"/>
      <c r="C181" s="335"/>
      <c r="D181" s="335"/>
      <c r="E181" s="335"/>
      <c r="F181" s="335"/>
      <c r="G181" s="335"/>
      <c r="H181" s="335"/>
      <c r="I181" s="335"/>
    </row>
    <row r="182">
      <c r="A182" s="335"/>
      <c r="B182" s="335"/>
      <c r="C182" s="335"/>
      <c r="D182" s="335"/>
      <c r="E182" s="335"/>
      <c r="F182" s="335"/>
      <c r="G182" s="335"/>
      <c r="H182" s="335"/>
      <c r="I182" s="335"/>
    </row>
    <row r="183">
      <c r="A183" s="335"/>
      <c r="B183" s="335"/>
      <c r="C183" s="335"/>
      <c r="D183" s="335"/>
      <c r="E183" s="335"/>
      <c r="F183" s="335"/>
      <c r="G183" s="335"/>
      <c r="H183" s="335"/>
      <c r="I183" s="335"/>
    </row>
    <row r="184">
      <c r="A184" s="335"/>
      <c r="B184" s="335"/>
      <c r="C184" s="335"/>
      <c r="D184" s="335"/>
      <c r="E184" s="335"/>
      <c r="F184" s="335"/>
      <c r="G184" s="335"/>
      <c r="H184" s="335"/>
      <c r="I184" s="335"/>
    </row>
    <row r="185">
      <c r="A185" s="335"/>
      <c r="B185" s="335"/>
      <c r="C185" s="335"/>
      <c r="D185" s="335"/>
      <c r="E185" s="335"/>
      <c r="F185" s="335"/>
      <c r="G185" s="335"/>
      <c r="H185" s="335"/>
      <c r="I185" s="335"/>
    </row>
    <row r="186">
      <c r="A186" s="335"/>
      <c r="B186" s="335"/>
      <c r="C186" s="335"/>
      <c r="D186" s="335"/>
      <c r="E186" s="335"/>
      <c r="F186" s="335"/>
      <c r="G186" s="335"/>
      <c r="H186" s="335"/>
      <c r="I186" s="335"/>
    </row>
    <row r="187">
      <c r="A187" s="335"/>
      <c r="B187" s="335"/>
      <c r="C187" s="335"/>
      <c r="D187" s="335"/>
      <c r="E187" s="335"/>
      <c r="F187" s="335"/>
      <c r="G187" s="335"/>
      <c r="H187" s="335"/>
      <c r="I187" s="335"/>
    </row>
    <row r="188">
      <c r="A188" s="335"/>
      <c r="B188" s="335"/>
      <c r="C188" s="335"/>
      <c r="D188" s="335"/>
      <c r="E188" s="335"/>
      <c r="F188" s="335"/>
      <c r="G188" s="335"/>
      <c r="H188" s="335"/>
      <c r="I188" s="335"/>
    </row>
    <row r="189">
      <c r="A189" s="335"/>
      <c r="B189" s="335"/>
      <c r="C189" s="335"/>
      <c r="D189" s="335"/>
      <c r="E189" s="335"/>
      <c r="F189" s="335"/>
      <c r="G189" s="335"/>
      <c r="H189" s="335"/>
      <c r="I189" s="335"/>
    </row>
    <row r="190">
      <c r="A190" s="335"/>
      <c r="B190" s="335"/>
      <c r="C190" s="335"/>
      <c r="D190" s="335"/>
      <c r="E190" s="335"/>
      <c r="F190" s="335"/>
      <c r="G190" s="335"/>
      <c r="H190" s="335"/>
      <c r="I190" s="335"/>
    </row>
    <row r="191">
      <c r="A191" s="335"/>
      <c r="B191" s="335"/>
      <c r="C191" s="335"/>
      <c r="D191" s="335"/>
      <c r="E191" s="335"/>
      <c r="F191" s="335"/>
      <c r="G191" s="335"/>
      <c r="H191" s="335"/>
      <c r="I191" s="335"/>
    </row>
    <row r="192">
      <c r="A192" s="335"/>
      <c r="B192" s="335"/>
      <c r="C192" s="335"/>
      <c r="D192" s="335"/>
      <c r="E192" s="335"/>
      <c r="F192" s="335"/>
      <c r="G192" s="335"/>
      <c r="H192" s="335"/>
      <c r="I192" s="335"/>
    </row>
    <row r="193">
      <c r="A193" s="335"/>
      <c r="B193" s="335"/>
      <c r="C193" s="335"/>
      <c r="D193" s="335"/>
      <c r="E193" s="335"/>
      <c r="F193" s="335"/>
      <c r="G193" s="335"/>
      <c r="H193" s="335"/>
      <c r="I193" s="335"/>
    </row>
    <row r="194">
      <c r="A194" s="335"/>
      <c r="B194" s="335"/>
      <c r="C194" s="335"/>
      <c r="D194" s="335"/>
      <c r="E194" s="335"/>
      <c r="F194" s="335"/>
      <c r="G194" s="335"/>
      <c r="H194" s="335"/>
      <c r="I194" s="335"/>
    </row>
    <row r="195">
      <c r="A195" s="335"/>
      <c r="B195" s="335"/>
      <c r="C195" s="335"/>
      <c r="D195" s="335"/>
      <c r="E195" s="335"/>
      <c r="F195" s="335"/>
      <c r="G195" s="335"/>
      <c r="H195" s="335"/>
      <c r="I195" s="335"/>
    </row>
    <row r="196">
      <c r="A196" s="335"/>
      <c r="B196" s="335"/>
      <c r="C196" s="335"/>
      <c r="D196" s="335"/>
      <c r="E196" s="335"/>
      <c r="F196" s="335"/>
      <c r="G196" s="335"/>
      <c r="H196" s="335"/>
      <c r="I196" s="335"/>
    </row>
    <row r="197">
      <c r="A197" s="335"/>
      <c r="B197" s="335"/>
      <c r="C197" s="335"/>
      <c r="D197" s="335"/>
      <c r="E197" s="335"/>
      <c r="F197" s="335"/>
      <c r="G197" s="335"/>
      <c r="H197" s="335"/>
      <c r="I197" s="335"/>
    </row>
    <row r="198">
      <c r="A198" s="335"/>
      <c r="B198" s="335"/>
      <c r="C198" s="335"/>
      <c r="D198" s="335"/>
      <c r="E198" s="335"/>
      <c r="F198" s="335"/>
      <c r="G198" s="335"/>
      <c r="H198" s="335"/>
      <c r="I198" s="335"/>
    </row>
    <row r="199">
      <c r="A199" s="335"/>
      <c r="B199" s="335"/>
      <c r="C199" s="335"/>
      <c r="D199" s="335"/>
      <c r="E199" s="335"/>
      <c r="F199" s="335"/>
      <c r="G199" s="335"/>
      <c r="H199" s="335"/>
      <c r="I199" s="335"/>
    </row>
    <row r="200">
      <c r="A200" s="335"/>
      <c r="B200" s="335"/>
      <c r="C200" s="335"/>
      <c r="D200" s="335"/>
      <c r="E200" s="335"/>
      <c r="F200" s="335"/>
      <c r="G200" s="335"/>
      <c r="H200" s="335"/>
      <c r="I200" s="335"/>
    </row>
    <row r="201">
      <c r="A201" s="335"/>
      <c r="B201" s="335"/>
      <c r="C201" s="335"/>
      <c r="D201" s="335"/>
      <c r="E201" s="335"/>
      <c r="F201" s="335"/>
      <c r="G201" s="335"/>
      <c r="H201" s="335"/>
      <c r="I201" s="335"/>
    </row>
    <row r="202">
      <c r="A202" s="335"/>
      <c r="B202" s="335"/>
      <c r="C202" s="335"/>
      <c r="D202" s="335"/>
      <c r="E202" s="335"/>
      <c r="F202" s="335"/>
      <c r="G202" s="335"/>
      <c r="H202" s="335"/>
      <c r="I202" s="335"/>
    </row>
    <row r="203">
      <c r="A203" s="335"/>
      <c r="B203" s="335"/>
      <c r="C203" s="335"/>
      <c r="D203" s="335"/>
      <c r="E203" s="335"/>
      <c r="F203" s="335"/>
      <c r="G203" s="335"/>
      <c r="H203" s="335"/>
      <c r="I203" s="335"/>
    </row>
    <row r="204">
      <c r="A204" s="335"/>
      <c r="B204" s="335"/>
      <c r="C204" s="335"/>
      <c r="D204" s="335"/>
      <c r="E204" s="335"/>
      <c r="F204" s="335"/>
      <c r="G204" s="335"/>
      <c r="H204" s="335"/>
      <c r="I204" s="335"/>
    </row>
    <row r="205">
      <c r="A205" s="335"/>
      <c r="B205" s="335"/>
      <c r="C205" s="335"/>
      <c r="D205" s="335"/>
      <c r="E205" s="335"/>
      <c r="F205" s="335"/>
      <c r="G205" s="335"/>
      <c r="H205" s="335"/>
      <c r="I205" s="335"/>
    </row>
    <row r="206">
      <c r="A206" s="335"/>
      <c r="B206" s="335"/>
      <c r="C206" s="335"/>
      <c r="D206" s="335"/>
      <c r="E206" s="335"/>
      <c r="F206" s="335"/>
      <c r="G206" s="335"/>
      <c r="H206" s="335"/>
      <c r="I206" s="335"/>
    </row>
    <row r="207">
      <c r="A207" s="335"/>
      <c r="B207" s="335"/>
      <c r="C207" s="335"/>
      <c r="D207" s="335"/>
      <c r="E207" s="335"/>
      <c r="F207" s="335"/>
      <c r="G207" s="335"/>
      <c r="H207" s="335"/>
      <c r="I207" s="335"/>
    </row>
    <row r="208">
      <c r="A208" s="335"/>
      <c r="B208" s="335"/>
      <c r="C208" s="335"/>
      <c r="D208" s="335"/>
      <c r="E208" s="335"/>
      <c r="F208" s="335"/>
      <c r="G208" s="335"/>
      <c r="H208" s="335"/>
      <c r="I208" s="335"/>
    </row>
    <row r="209">
      <c r="A209" s="335"/>
      <c r="B209" s="335"/>
      <c r="C209" s="335"/>
      <c r="D209" s="335"/>
      <c r="E209" s="335"/>
      <c r="F209" s="335"/>
      <c r="G209" s="335"/>
      <c r="H209" s="335"/>
      <c r="I209" s="335"/>
    </row>
    <row r="210">
      <c r="A210" s="335"/>
      <c r="B210" s="335"/>
      <c r="C210" s="335"/>
      <c r="D210" s="335"/>
      <c r="E210" s="335"/>
      <c r="F210" s="335"/>
      <c r="G210" s="335"/>
      <c r="H210" s="335"/>
      <c r="I210" s="335"/>
    </row>
    <row r="211">
      <c r="A211" s="335"/>
      <c r="B211" s="335"/>
      <c r="C211" s="335"/>
      <c r="D211" s="335"/>
      <c r="E211" s="335"/>
      <c r="F211" s="335"/>
      <c r="G211" s="335"/>
      <c r="H211" s="335"/>
      <c r="I211" s="335"/>
    </row>
    <row r="212">
      <c r="A212" s="335"/>
      <c r="B212" s="335"/>
      <c r="C212" s="335"/>
      <c r="D212" s="335"/>
      <c r="E212" s="335"/>
      <c r="F212" s="335"/>
      <c r="G212" s="335"/>
      <c r="H212" s="335"/>
      <c r="I212" s="335"/>
    </row>
    <row r="213">
      <c r="A213" s="335"/>
      <c r="B213" s="335"/>
      <c r="C213" s="335"/>
      <c r="D213" s="335"/>
      <c r="E213" s="335"/>
      <c r="F213" s="335"/>
      <c r="G213" s="335"/>
      <c r="H213" s="335"/>
      <c r="I213" s="335"/>
    </row>
    <row r="214">
      <c r="A214" s="335"/>
      <c r="B214" s="335"/>
      <c r="C214" s="335"/>
      <c r="D214" s="335"/>
      <c r="E214" s="335"/>
      <c r="F214" s="335"/>
      <c r="G214" s="335"/>
      <c r="H214" s="335"/>
      <c r="I214" s="335"/>
    </row>
    <row r="215">
      <c r="A215" s="335"/>
      <c r="B215" s="335"/>
      <c r="C215" s="335"/>
      <c r="D215" s="335"/>
      <c r="E215" s="335"/>
      <c r="F215" s="335"/>
      <c r="G215" s="335"/>
      <c r="H215" s="335"/>
      <c r="I215" s="335"/>
    </row>
    <row r="216">
      <c r="A216" s="335"/>
      <c r="B216" s="335"/>
      <c r="C216" s="335"/>
      <c r="D216" s="335"/>
      <c r="E216" s="335"/>
      <c r="F216" s="335"/>
      <c r="G216" s="335"/>
      <c r="H216" s="335"/>
      <c r="I216" s="335"/>
    </row>
    <row r="217">
      <c r="A217" s="335"/>
      <c r="B217" s="335"/>
      <c r="C217" s="335"/>
      <c r="D217" s="335"/>
      <c r="E217" s="335"/>
      <c r="F217" s="335"/>
      <c r="G217" s="335"/>
      <c r="H217" s="335"/>
      <c r="I217" s="335"/>
    </row>
    <row r="218">
      <c r="A218" s="335"/>
      <c r="B218" s="335"/>
      <c r="C218" s="335"/>
      <c r="D218" s="335"/>
      <c r="E218" s="335"/>
      <c r="F218" s="335"/>
      <c r="G218" s="335"/>
      <c r="H218" s="335"/>
      <c r="I218" s="335"/>
    </row>
    <row r="219">
      <c r="A219" s="335"/>
      <c r="B219" s="335"/>
      <c r="C219" s="335"/>
      <c r="D219" s="335"/>
      <c r="E219" s="335"/>
      <c r="F219" s="335"/>
      <c r="G219" s="335"/>
      <c r="H219" s="335"/>
      <c r="I219" s="335"/>
    </row>
    <row r="220">
      <c r="A220" s="335"/>
      <c r="B220" s="335"/>
      <c r="C220" s="335"/>
      <c r="D220" s="335"/>
      <c r="E220" s="335"/>
      <c r="F220" s="335"/>
      <c r="G220" s="335"/>
      <c r="H220" s="335"/>
      <c r="I220" s="335"/>
    </row>
    <row r="221">
      <c r="A221" s="335"/>
      <c r="B221" s="335"/>
      <c r="C221" s="335"/>
      <c r="D221" s="335"/>
      <c r="E221" s="335"/>
      <c r="F221" s="335"/>
      <c r="G221" s="335"/>
      <c r="H221" s="335"/>
      <c r="I221" s="335"/>
    </row>
    <row r="222">
      <c r="A222" s="335"/>
      <c r="B222" s="335"/>
      <c r="C222" s="335"/>
      <c r="D222" s="335"/>
      <c r="E222" s="335"/>
      <c r="F222" s="335"/>
      <c r="G222" s="335"/>
      <c r="H222" s="335"/>
      <c r="I222" s="335"/>
    </row>
    <row r="223">
      <c r="A223" s="335"/>
      <c r="B223" s="335"/>
      <c r="C223" s="335"/>
      <c r="D223" s="335"/>
      <c r="E223" s="335"/>
      <c r="F223" s="335"/>
      <c r="G223" s="335"/>
      <c r="H223" s="335"/>
      <c r="I223" s="335"/>
    </row>
    <row r="224">
      <c r="A224" s="335"/>
      <c r="B224" s="335"/>
      <c r="C224" s="335"/>
      <c r="D224" s="335"/>
      <c r="E224" s="335"/>
      <c r="F224" s="335"/>
      <c r="G224" s="335"/>
      <c r="H224" s="335"/>
      <c r="I224" s="335"/>
    </row>
    <row r="225">
      <c r="A225" s="335"/>
      <c r="B225" s="335"/>
      <c r="C225" s="335"/>
      <c r="D225" s="335"/>
      <c r="E225" s="335"/>
      <c r="F225" s="335"/>
      <c r="G225" s="335"/>
      <c r="H225" s="335"/>
      <c r="I225" s="335"/>
    </row>
    <row r="226">
      <c r="A226" s="335"/>
      <c r="B226" s="335"/>
      <c r="C226" s="335"/>
      <c r="D226" s="335"/>
      <c r="E226" s="335"/>
      <c r="F226" s="335"/>
      <c r="G226" s="335"/>
      <c r="H226" s="335"/>
      <c r="I226" s="335"/>
    </row>
    <row r="227">
      <c r="A227" s="335"/>
      <c r="B227" s="335"/>
      <c r="C227" s="335"/>
      <c r="D227" s="335"/>
      <c r="E227" s="335"/>
      <c r="F227" s="335"/>
      <c r="G227" s="335"/>
      <c r="H227" s="335"/>
      <c r="I227" s="335"/>
    </row>
    <row r="228">
      <c r="A228" s="335"/>
      <c r="B228" s="335"/>
      <c r="C228" s="335"/>
      <c r="D228" s="335"/>
      <c r="E228" s="335"/>
      <c r="F228" s="335"/>
      <c r="G228" s="335"/>
      <c r="H228" s="335"/>
      <c r="I228" s="335"/>
    </row>
    <row r="229">
      <c r="A229" s="335"/>
      <c r="B229" s="335"/>
      <c r="C229" s="335"/>
      <c r="D229" s="335"/>
      <c r="E229" s="335"/>
      <c r="F229" s="335"/>
      <c r="G229" s="335"/>
      <c r="H229" s="335"/>
      <c r="I229" s="335"/>
    </row>
    <row r="230">
      <c r="A230" s="335"/>
      <c r="B230" s="335"/>
      <c r="C230" s="335"/>
      <c r="D230" s="335"/>
      <c r="E230" s="335"/>
      <c r="F230" s="335"/>
      <c r="G230" s="335"/>
      <c r="H230" s="335"/>
      <c r="I230" s="335"/>
    </row>
    <row r="231">
      <c r="A231" s="335"/>
      <c r="B231" s="335"/>
      <c r="C231" s="335"/>
      <c r="D231" s="335"/>
      <c r="E231" s="335"/>
      <c r="F231" s="335"/>
      <c r="G231" s="335"/>
      <c r="H231" s="335"/>
      <c r="I231" s="335"/>
    </row>
    <row r="232">
      <c r="A232" s="335"/>
      <c r="B232" s="335"/>
      <c r="C232" s="335"/>
      <c r="D232" s="335"/>
      <c r="E232" s="335"/>
      <c r="F232" s="335"/>
      <c r="G232" s="335"/>
      <c r="H232" s="335"/>
      <c r="I232" s="335"/>
    </row>
    <row r="233">
      <c r="A233" s="335"/>
      <c r="B233" s="335"/>
      <c r="C233" s="335"/>
      <c r="D233" s="335"/>
      <c r="E233" s="335"/>
      <c r="F233" s="335"/>
      <c r="G233" s="335"/>
      <c r="H233" s="335"/>
      <c r="I233" s="335"/>
    </row>
    <row r="234">
      <c r="A234" s="335"/>
      <c r="B234" s="335"/>
      <c r="C234" s="335"/>
      <c r="D234" s="335"/>
      <c r="E234" s="335"/>
      <c r="F234" s="335"/>
      <c r="G234" s="335"/>
      <c r="H234" s="335"/>
      <c r="I234" s="335"/>
    </row>
    <row r="235">
      <c r="A235" s="335"/>
      <c r="B235" s="335"/>
      <c r="C235" s="335"/>
      <c r="D235" s="335"/>
      <c r="E235" s="335"/>
      <c r="F235" s="335"/>
      <c r="G235" s="335"/>
      <c r="H235" s="335"/>
      <c r="I235" s="335"/>
    </row>
    <row r="236">
      <c r="A236" s="335"/>
      <c r="B236" s="335"/>
      <c r="C236" s="335"/>
      <c r="D236" s="335"/>
      <c r="E236" s="335"/>
      <c r="F236" s="335"/>
      <c r="G236" s="335"/>
      <c r="H236" s="335"/>
      <c r="I236" s="335"/>
    </row>
    <row r="237">
      <c r="A237" s="335"/>
      <c r="B237" s="335"/>
      <c r="C237" s="335"/>
      <c r="D237" s="335"/>
      <c r="E237" s="335"/>
      <c r="F237" s="335"/>
      <c r="G237" s="335"/>
      <c r="H237" s="335"/>
      <c r="I237" s="335"/>
    </row>
    <row r="238">
      <c r="A238" s="335"/>
      <c r="B238" s="335"/>
      <c r="C238" s="335"/>
      <c r="D238" s="335"/>
      <c r="E238" s="335"/>
      <c r="F238" s="335"/>
      <c r="G238" s="335"/>
      <c r="H238" s="335"/>
      <c r="I238" s="335"/>
    </row>
    <row r="239">
      <c r="A239" s="335"/>
      <c r="B239" s="335"/>
      <c r="C239" s="335"/>
      <c r="D239" s="335"/>
      <c r="E239" s="335"/>
      <c r="F239" s="335"/>
      <c r="G239" s="335"/>
      <c r="H239" s="335"/>
      <c r="I239" s="335"/>
    </row>
    <row r="240">
      <c r="A240" s="335"/>
      <c r="B240" s="335"/>
      <c r="C240" s="335"/>
      <c r="D240" s="335"/>
      <c r="E240" s="335"/>
      <c r="F240" s="335"/>
      <c r="G240" s="335"/>
      <c r="H240" s="335"/>
      <c r="I240" s="335"/>
    </row>
    <row r="241">
      <c r="A241" s="335"/>
      <c r="B241" s="335"/>
      <c r="C241" s="335"/>
      <c r="D241" s="335"/>
      <c r="E241" s="335"/>
      <c r="F241" s="335"/>
      <c r="G241" s="335"/>
      <c r="H241" s="335"/>
      <c r="I241" s="335"/>
    </row>
    <row r="242">
      <c r="A242" s="335"/>
      <c r="B242" s="335"/>
      <c r="C242" s="335"/>
      <c r="D242" s="335"/>
      <c r="E242" s="335"/>
      <c r="F242" s="335"/>
      <c r="G242" s="335"/>
      <c r="H242" s="335"/>
      <c r="I242" s="335"/>
    </row>
    <row r="243">
      <c r="A243" s="335"/>
      <c r="B243" s="335"/>
      <c r="C243" s="335"/>
      <c r="D243" s="335"/>
      <c r="E243" s="335"/>
      <c r="F243" s="335"/>
      <c r="G243" s="335"/>
      <c r="H243" s="335"/>
      <c r="I243" s="335"/>
    </row>
    <row r="244">
      <c r="A244" s="335"/>
      <c r="B244" s="335"/>
      <c r="C244" s="335"/>
      <c r="D244" s="335"/>
      <c r="E244" s="335"/>
      <c r="F244" s="335"/>
      <c r="G244" s="335"/>
      <c r="H244" s="335"/>
      <c r="I244" s="335"/>
    </row>
    <row r="245">
      <c r="A245" s="335"/>
      <c r="B245" s="335"/>
      <c r="C245" s="335"/>
      <c r="D245" s="335"/>
      <c r="E245" s="335"/>
      <c r="F245" s="335"/>
      <c r="G245" s="335"/>
      <c r="H245" s="335"/>
      <c r="I245" s="335"/>
    </row>
    <row r="246">
      <c r="A246" s="335"/>
      <c r="B246" s="335"/>
      <c r="C246" s="335"/>
      <c r="D246" s="335"/>
      <c r="E246" s="335"/>
      <c r="F246" s="335"/>
      <c r="G246" s="335"/>
      <c r="H246" s="335"/>
      <c r="I246" s="335"/>
    </row>
    <row r="247">
      <c r="A247" s="335"/>
      <c r="B247" s="335"/>
      <c r="C247" s="335"/>
      <c r="D247" s="335"/>
      <c r="E247" s="335"/>
      <c r="F247" s="335"/>
      <c r="G247" s="335"/>
      <c r="H247" s="335"/>
      <c r="I247" s="335"/>
    </row>
    <row r="248">
      <c r="A248" s="335"/>
      <c r="B248" s="335"/>
      <c r="C248" s="335"/>
      <c r="D248" s="335"/>
      <c r="E248" s="335"/>
      <c r="F248" s="335"/>
      <c r="G248" s="335"/>
      <c r="H248" s="335"/>
      <c r="I248" s="335"/>
    </row>
    <row r="249">
      <c r="A249" s="335"/>
      <c r="B249" s="335"/>
      <c r="C249" s="335"/>
      <c r="D249" s="335"/>
      <c r="E249" s="335"/>
      <c r="F249" s="335"/>
      <c r="G249" s="335"/>
      <c r="H249" s="335"/>
      <c r="I249" s="335"/>
    </row>
    <row r="250">
      <c r="A250" s="335"/>
      <c r="B250" s="335"/>
      <c r="C250" s="335"/>
      <c r="D250" s="335"/>
      <c r="E250" s="335"/>
      <c r="F250" s="335"/>
      <c r="G250" s="335"/>
      <c r="H250" s="335"/>
      <c r="I250" s="335"/>
    </row>
    <row r="251">
      <c r="A251" s="335"/>
      <c r="B251" s="335"/>
      <c r="C251" s="335"/>
      <c r="D251" s="335"/>
      <c r="E251" s="335"/>
      <c r="F251" s="335"/>
      <c r="G251" s="335"/>
      <c r="H251" s="335"/>
      <c r="I251" s="335"/>
    </row>
    <row r="252">
      <c r="A252" s="335"/>
      <c r="B252" s="335"/>
      <c r="C252" s="335"/>
      <c r="D252" s="335"/>
      <c r="E252" s="335"/>
      <c r="F252" s="335"/>
      <c r="G252" s="335"/>
      <c r="H252" s="335"/>
      <c r="I252" s="335"/>
    </row>
    <row r="253">
      <c r="A253" s="335"/>
      <c r="B253" s="335"/>
      <c r="C253" s="335"/>
      <c r="D253" s="335"/>
      <c r="E253" s="335"/>
      <c r="F253" s="335"/>
      <c r="G253" s="335"/>
      <c r="H253" s="335"/>
      <c r="I253" s="335"/>
    </row>
    <row r="254">
      <c r="A254" s="335"/>
      <c r="B254" s="335"/>
      <c r="C254" s="335"/>
      <c r="D254" s="335"/>
      <c r="E254" s="335"/>
      <c r="F254" s="335"/>
      <c r="G254" s="335"/>
      <c r="H254" s="335"/>
      <c r="I254" s="335"/>
    </row>
    <row r="255">
      <c r="A255" s="335"/>
      <c r="B255" s="335"/>
      <c r="C255" s="335"/>
      <c r="D255" s="335"/>
      <c r="E255" s="335"/>
      <c r="F255" s="335"/>
      <c r="G255" s="335"/>
      <c r="H255" s="335"/>
      <c r="I255" s="335"/>
    </row>
    <row r="256">
      <c r="A256" s="335"/>
      <c r="B256" s="335"/>
      <c r="C256" s="335"/>
      <c r="D256" s="335"/>
      <c r="E256" s="335"/>
      <c r="F256" s="335"/>
      <c r="G256" s="335"/>
      <c r="H256" s="335"/>
      <c r="I256" s="335"/>
    </row>
    <row r="257">
      <c r="A257" s="335"/>
      <c r="B257" s="335"/>
      <c r="C257" s="335"/>
      <c r="D257" s="335"/>
      <c r="E257" s="335"/>
      <c r="F257" s="335"/>
      <c r="G257" s="335"/>
      <c r="H257" s="335"/>
      <c r="I257" s="335"/>
    </row>
    <row r="258">
      <c r="A258" s="335"/>
      <c r="B258" s="335"/>
      <c r="C258" s="335"/>
      <c r="D258" s="335"/>
      <c r="E258" s="335"/>
      <c r="F258" s="335"/>
      <c r="G258" s="335"/>
      <c r="H258" s="335"/>
      <c r="I258" s="335"/>
    </row>
    <row r="259">
      <c r="A259" s="335"/>
      <c r="B259" s="335"/>
      <c r="C259" s="335"/>
      <c r="D259" s="335"/>
      <c r="E259" s="335"/>
      <c r="F259" s="335"/>
      <c r="G259" s="335"/>
      <c r="H259" s="335"/>
      <c r="I259" s="335"/>
    </row>
    <row r="260">
      <c r="A260" s="335"/>
      <c r="B260" s="335"/>
      <c r="C260" s="335"/>
      <c r="D260" s="335"/>
      <c r="E260" s="335"/>
      <c r="F260" s="335"/>
      <c r="G260" s="335"/>
      <c r="H260" s="335"/>
      <c r="I260" s="335"/>
    </row>
    <row r="261">
      <c r="A261" s="335"/>
      <c r="B261" s="335"/>
      <c r="C261" s="335"/>
      <c r="D261" s="335"/>
      <c r="E261" s="335"/>
      <c r="F261" s="335"/>
      <c r="G261" s="335"/>
      <c r="H261" s="335"/>
      <c r="I261" s="335"/>
    </row>
    <row r="262">
      <c r="A262" s="335"/>
      <c r="B262" s="335"/>
      <c r="C262" s="335"/>
      <c r="D262" s="335"/>
      <c r="E262" s="335"/>
      <c r="F262" s="335"/>
      <c r="G262" s="335"/>
      <c r="H262" s="335"/>
      <c r="I262" s="335"/>
    </row>
    <row r="263">
      <c r="A263" s="335"/>
      <c r="B263" s="335"/>
      <c r="C263" s="335"/>
      <c r="D263" s="335"/>
      <c r="E263" s="335"/>
      <c r="F263" s="335"/>
      <c r="G263" s="335"/>
      <c r="H263" s="335"/>
      <c r="I263" s="335"/>
    </row>
    <row r="264">
      <c r="A264" s="335"/>
      <c r="B264" s="335"/>
      <c r="C264" s="335"/>
      <c r="D264" s="335"/>
      <c r="E264" s="335"/>
      <c r="F264" s="335"/>
      <c r="G264" s="335"/>
      <c r="H264" s="335"/>
      <c r="I264" s="335"/>
    </row>
    <row r="265">
      <c r="A265" s="335"/>
      <c r="B265" s="335"/>
      <c r="C265" s="335"/>
      <c r="D265" s="335"/>
      <c r="E265" s="335"/>
      <c r="F265" s="335"/>
      <c r="G265" s="335"/>
      <c r="H265" s="335"/>
      <c r="I265" s="335"/>
    </row>
    <row r="266">
      <c r="A266" s="335"/>
      <c r="B266" s="335"/>
      <c r="C266" s="335"/>
      <c r="D266" s="335"/>
      <c r="E266" s="335"/>
      <c r="F266" s="335"/>
      <c r="G266" s="335"/>
      <c r="H266" s="335"/>
      <c r="I266" s="335"/>
    </row>
    <row r="267">
      <c r="A267" s="335"/>
      <c r="B267" s="335"/>
      <c r="C267" s="335"/>
      <c r="D267" s="335"/>
      <c r="E267" s="335"/>
      <c r="F267" s="335"/>
      <c r="G267" s="335"/>
      <c r="H267" s="335"/>
      <c r="I267" s="335"/>
    </row>
    <row r="268">
      <c r="A268" s="335"/>
      <c r="B268" s="335"/>
      <c r="C268" s="335"/>
      <c r="D268" s="335"/>
      <c r="E268" s="335"/>
      <c r="F268" s="335"/>
      <c r="G268" s="335"/>
      <c r="H268" s="335"/>
      <c r="I268" s="335"/>
    </row>
    <row r="269">
      <c r="A269" s="335"/>
      <c r="B269" s="335"/>
      <c r="C269" s="335"/>
      <c r="D269" s="335"/>
      <c r="E269" s="335"/>
      <c r="F269" s="335"/>
      <c r="G269" s="335"/>
      <c r="H269" s="335"/>
      <c r="I269" s="335"/>
    </row>
    <row r="270">
      <c r="A270" s="335"/>
      <c r="B270" s="335"/>
      <c r="C270" s="335"/>
      <c r="D270" s="335"/>
      <c r="E270" s="335"/>
      <c r="F270" s="335"/>
      <c r="G270" s="335"/>
      <c r="H270" s="335"/>
      <c r="I270" s="335"/>
    </row>
    <row r="271">
      <c r="A271" s="335"/>
      <c r="B271" s="335"/>
      <c r="C271" s="335"/>
      <c r="D271" s="335"/>
      <c r="E271" s="335"/>
      <c r="F271" s="335"/>
      <c r="G271" s="335"/>
      <c r="H271" s="335"/>
      <c r="I271" s="335"/>
    </row>
    <row r="272">
      <c r="A272" s="335"/>
      <c r="B272" s="335"/>
      <c r="C272" s="335"/>
      <c r="D272" s="335"/>
      <c r="E272" s="335"/>
      <c r="F272" s="335"/>
      <c r="G272" s="335"/>
      <c r="H272" s="335"/>
      <c r="I272" s="335"/>
    </row>
    <row r="273">
      <c r="A273" s="335"/>
      <c r="B273" s="335"/>
      <c r="C273" s="335"/>
      <c r="D273" s="335"/>
      <c r="E273" s="335"/>
      <c r="F273" s="335"/>
      <c r="G273" s="335"/>
      <c r="H273" s="335"/>
      <c r="I273" s="335"/>
    </row>
    <row r="274">
      <c r="A274" s="335"/>
      <c r="B274" s="335"/>
      <c r="C274" s="335"/>
      <c r="D274" s="335"/>
      <c r="E274" s="335"/>
      <c r="F274" s="335"/>
      <c r="G274" s="335"/>
      <c r="H274" s="335"/>
      <c r="I274" s="335"/>
    </row>
    <row r="275">
      <c r="A275" s="335"/>
      <c r="B275" s="335"/>
      <c r="C275" s="335"/>
      <c r="D275" s="335"/>
      <c r="E275" s="335"/>
      <c r="F275" s="335"/>
      <c r="G275" s="335"/>
      <c r="H275" s="335"/>
      <c r="I275" s="335"/>
    </row>
    <row r="276">
      <c r="A276" s="335"/>
      <c r="B276" s="335"/>
      <c r="C276" s="335"/>
      <c r="D276" s="335"/>
      <c r="E276" s="335"/>
      <c r="F276" s="335"/>
      <c r="G276" s="335"/>
      <c r="H276" s="335"/>
      <c r="I276" s="335"/>
    </row>
    <row r="277">
      <c r="A277" s="335"/>
      <c r="B277" s="335"/>
      <c r="C277" s="335"/>
      <c r="D277" s="335"/>
      <c r="E277" s="335"/>
      <c r="F277" s="335"/>
      <c r="G277" s="335"/>
      <c r="H277" s="335"/>
      <c r="I277" s="335"/>
    </row>
    <row r="278">
      <c r="A278" s="335"/>
      <c r="B278" s="335"/>
      <c r="C278" s="335"/>
      <c r="D278" s="335"/>
      <c r="E278" s="335"/>
      <c r="F278" s="335"/>
      <c r="G278" s="335"/>
      <c r="H278" s="335"/>
      <c r="I278" s="335"/>
    </row>
    <row r="279">
      <c r="A279" s="335"/>
      <c r="B279" s="335"/>
      <c r="C279" s="335"/>
      <c r="D279" s="335"/>
      <c r="E279" s="335"/>
      <c r="F279" s="335"/>
      <c r="G279" s="335"/>
      <c r="H279" s="335"/>
      <c r="I279" s="335"/>
    </row>
    <row r="280">
      <c r="A280" s="335"/>
      <c r="B280" s="335"/>
      <c r="C280" s="335"/>
      <c r="D280" s="335"/>
      <c r="E280" s="335"/>
      <c r="F280" s="335"/>
      <c r="G280" s="335"/>
      <c r="H280" s="335"/>
      <c r="I280" s="335"/>
    </row>
    <row r="281">
      <c r="A281" s="335"/>
      <c r="B281" s="335"/>
      <c r="C281" s="335"/>
      <c r="D281" s="335"/>
      <c r="E281" s="335"/>
      <c r="F281" s="335"/>
      <c r="G281" s="335"/>
      <c r="H281" s="335"/>
      <c r="I281" s="335"/>
    </row>
    <row r="282">
      <c r="A282" s="335"/>
      <c r="B282" s="335"/>
      <c r="C282" s="335"/>
      <c r="D282" s="335"/>
      <c r="E282" s="335"/>
      <c r="F282" s="335"/>
      <c r="G282" s="335"/>
      <c r="H282" s="335"/>
      <c r="I282" s="335"/>
    </row>
    <row r="283">
      <c r="A283" s="335"/>
      <c r="B283" s="335"/>
      <c r="C283" s="335"/>
      <c r="D283" s="335"/>
      <c r="E283" s="335"/>
      <c r="F283" s="335"/>
      <c r="G283" s="335"/>
      <c r="H283" s="335"/>
      <c r="I283" s="335"/>
    </row>
    <row r="284">
      <c r="A284" s="335"/>
      <c r="B284" s="335"/>
      <c r="C284" s="335"/>
      <c r="D284" s="335"/>
      <c r="E284" s="335"/>
      <c r="F284" s="335"/>
      <c r="G284" s="335"/>
      <c r="H284" s="335"/>
      <c r="I284" s="335"/>
    </row>
    <row r="285">
      <c r="A285" s="335"/>
      <c r="B285" s="335"/>
      <c r="C285" s="335"/>
      <c r="D285" s="335"/>
      <c r="E285" s="335"/>
      <c r="F285" s="335"/>
      <c r="G285" s="335"/>
      <c r="H285" s="335"/>
      <c r="I285" s="335"/>
    </row>
    <row r="286">
      <c r="A286" s="335"/>
      <c r="B286" s="335"/>
      <c r="C286" s="335"/>
      <c r="D286" s="335"/>
      <c r="E286" s="335"/>
      <c r="F286" s="335"/>
      <c r="G286" s="335"/>
      <c r="H286" s="335"/>
      <c r="I286" s="335"/>
    </row>
    <row r="287">
      <c r="A287" s="335"/>
      <c r="B287" s="335"/>
      <c r="C287" s="335"/>
      <c r="D287" s="335"/>
      <c r="E287" s="335"/>
      <c r="F287" s="335"/>
      <c r="G287" s="335"/>
      <c r="H287" s="335"/>
      <c r="I287" s="335"/>
    </row>
    <row r="288">
      <c r="A288" s="335"/>
      <c r="B288" s="335"/>
      <c r="C288" s="335"/>
      <c r="D288" s="335"/>
      <c r="E288" s="335"/>
      <c r="F288" s="335"/>
      <c r="G288" s="335"/>
      <c r="H288" s="335"/>
      <c r="I288" s="335"/>
    </row>
    <row r="289">
      <c r="A289" s="335"/>
      <c r="B289" s="335"/>
      <c r="C289" s="335"/>
      <c r="D289" s="335"/>
      <c r="E289" s="335"/>
      <c r="F289" s="335"/>
      <c r="G289" s="335"/>
      <c r="H289" s="335"/>
      <c r="I289" s="335"/>
    </row>
    <row r="290">
      <c r="A290" s="335"/>
      <c r="B290" s="335"/>
      <c r="C290" s="335"/>
      <c r="D290" s="335"/>
      <c r="E290" s="335"/>
      <c r="F290" s="335"/>
      <c r="G290" s="335"/>
      <c r="H290" s="335"/>
      <c r="I290" s="335"/>
    </row>
    <row r="291">
      <c r="A291" s="335"/>
      <c r="B291" s="335"/>
      <c r="C291" s="335"/>
      <c r="D291" s="335"/>
      <c r="E291" s="335"/>
      <c r="F291" s="335"/>
      <c r="G291" s="335"/>
      <c r="H291" s="335"/>
      <c r="I291" s="335"/>
    </row>
    <row r="292">
      <c r="A292" s="335"/>
      <c r="B292" s="335"/>
      <c r="C292" s="335"/>
      <c r="D292" s="335"/>
      <c r="E292" s="335"/>
      <c r="F292" s="335"/>
      <c r="G292" s="335"/>
      <c r="H292" s="335"/>
      <c r="I292" s="335"/>
    </row>
    <row r="293">
      <c r="A293" s="335"/>
      <c r="B293" s="335"/>
      <c r="C293" s="335"/>
      <c r="D293" s="335"/>
      <c r="E293" s="335"/>
      <c r="F293" s="335"/>
      <c r="G293" s="335"/>
      <c r="H293" s="335"/>
      <c r="I293" s="335"/>
    </row>
    <row r="294">
      <c r="A294" s="335"/>
      <c r="B294" s="335"/>
      <c r="C294" s="335"/>
      <c r="D294" s="335"/>
      <c r="E294" s="335"/>
      <c r="F294" s="335"/>
      <c r="G294" s="335"/>
      <c r="H294" s="335"/>
      <c r="I294" s="335"/>
    </row>
    <row r="295">
      <c r="A295" s="335"/>
      <c r="B295" s="335"/>
      <c r="C295" s="335"/>
      <c r="D295" s="335"/>
      <c r="E295" s="335"/>
      <c r="F295" s="335"/>
      <c r="G295" s="335"/>
      <c r="H295" s="335"/>
      <c r="I295" s="335"/>
    </row>
    <row r="296">
      <c r="A296" s="335"/>
      <c r="B296" s="335"/>
      <c r="C296" s="335"/>
      <c r="D296" s="335"/>
      <c r="E296" s="335"/>
      <c r="F296" s="335"/>
      <c r="G296" s="335"/>
      <c r="H296" s="335"/>
      <c r="I296" s="335"/>
    </row>
    <row r="297">
      <c r="A297" s="335"/>
      <c r="B297" s="335"/>
      <c r="C297" s="335"/>
      <c r="D297" s="335"/>
      <c r="E297" s="335"/>
      <c r="F297" s="335"/>
      <c r="G297" s="335"/>
      <c r="H297" s="335"/>
      <c r="I297" s="335"/>
    </row>
    <row r="298">
      <c r="A298" s="335"/>
      <c r="B298" s="335"/>
      <c r="C298" s="335"/>
      <c r="D298" s="335"/>
      <c r="E298" s="335"/>
      <c r="F298" s="335"/>
      <c r="G298" s="335"/>
      <c r="H298" s="335"/>
      <c r="I298" s="335"/>
    </row>
    <row r="299">
      <c r="A299" s="335"/>
      <c r="B299" s="335"/>
      <c r="C299" s="335"/>
      <c r="D299" s="335"/>
      <c r="E299" s="335"/>
      <c r="F299" s="335"/>
      <c r="G299" s="335"/>
      <c r="H299" s="335"/>
      <c r="I299" s="335"/>
    </row>
    <row r="300">
      <c r="A300" s="335"/>
      <c r="B300" s="335"/>
      <c r="C300" s="335"/>
      <c r="D300" s="335"/>
      <c r="E300" s="335"/>
      <c r="F300" s="335"/>
      <c r="G300" s="335"/>
      <c r="H300" s="335"/>
      <c r="I300" s="335"/>
    </row>
    <row r="301">
      <c r="A301" s="335"/>
      <c r="B301" s="335"/>
      <c r="C301" s="335"/>
      <c r="D301" s="335"/>
      <c r="E301" s="335"/>
      <c r="F301" s="335"/>
      <c r="G301" s="335"/>
      <c r="H301" s="335"/>
      <c r="I301" s="335"/>
    </row>
    <row r="302">
      <c r="A302" s="335"/>
      <c r="B302" s="335"/>
      <c r="C302" s="335"/>
      <c r="D302" s="335"/>
      <c r="E302" s="335"/>
      <c r="F302" s="335"/>
      <c r="G302" s="335"/>
      <c r="H302" s="335"/>
      <c r="I302" s="335"/>
    </row>
    <row r="303">
      <c r="A303" s="335"/>
      <c r="B303" s="335"/>
      <c r="C303" s="335"/>
      <c r="D303" s="335"/>
      <c r="E303" s="335"/>
      <c r="F303" s="335"/>
      <c r="G303" s="335"/>
      <c r="H303" s="335"/>
      <c r="I303" s="335"/>
    </row>
    <row r="304">
      <c r="A304" s="335"/>
      <c r="B304" s="335"/>
      <c r="C304" s="335"/>
      <c r="D304" s="335"/>
      <c r="E304" s="335"/>
      <c r="F304" s="335"/>
      <c r="G304" s="335"/>
      <c r="H304" s="335"/>
      <c r="I304" s="335"/>
    </row>
    <row r="305">
      <c r="A305" s="335"/>
      <c r="B305" s="335"/>
      <c r="C305" s="335"/>
      <c r="D305" s="335"/>
      <c r="E305" s="335"/>
      <c r="F305" s="335"/>
      <c r="G305" s="335"/>
      <c r="H305" s="335"/>
      <c r="I305" s="335"/>
    </row>
    <row r="306">
      <c r="A306" s="335"/>
      <c r="B306" s="335"/>
      <c r="C306" s="335"/>
      <c r="D306" s="335"/>
      <c r="E306" s="335"/>
      <c r="F306" s="335"/>
      <c r="G306" s="335"/>
      <c r="H306" s="335"/>
      <c r="I306" s="335"/>
    </row>
    <row r="307">
      <c r="A307" s="335"/>
      <c r="B307" s="335"/>
      <c r="C307" s="335"/>
      <c r="D307" s="335"/>
      <c r="E307" s="335"/>
      <c r="F307" s="335"/>
      <c r="G307" s="335"/>
      <c r="H307" s="335"/>
      <c r="I307" s="335"/>
    </row>
    <row r="308">
      <c r="A308" s="335"/>
      <c r="B308" s="335"/>
      <c r="C308" s="335"/>
      <c r="D308" s="335"/>
      <c r="E308" s="335"/>
      <c r="F308" s="335"/>
      <c r="G308" s="335"/>
      <c r="H308" s="335"/>
      <c r="I308" s="335"/>
    </row>
    <row r="309">
      <c r="A309" s="335"/>
      <c r="B309" s="335"/>
      <c r="C309" s="335"/>
      <c r="D309" s="335"/>
      <c r="E309" s="335"/>
      <c r="F309" s="335"/>
      <c r="G309" s="335"/>
      <c r="H309" s="335"/>
      <c r="I309" s="335"/>
    </row>
    <row r="310">
      <c r="A310" s="335"/>
      <c r="B310" s="335"/>
      <c r="C310" s="335"/>
      <c r="D310" s="335"/>
      <c r="E310" s="335"/>
      <c r="F310" s="335"/>
      <c r="G310" s="335"/>
      <c r="H310" s="335"/>
      <c r="I310" s="335"/>
    </row>
    <row r="311">
      <c r="A311" s="335"/>
      <c r="B311" s="335"/>
      <c r="C311" s="335"/>
      <c r="D311" s="335"/>
      <c r="E311" s="335"/>
      <c r="F311" s="335"/>
      <c r="G311" s="335"/>
      <c r="H311" s="335"/>
      <c r="I311" s="335"/>
    </row>
    <row r="312">
      <c r="A312" s="335"/>
      <c r="B312" s="335"/>
      <c r="C312" s="335"/>
      <c r="D312" s="335"/>
      <c r="E312" s="335"/>
      <c r="F312" s="335"/>
      <c r="G312" s="335"/>
      <c r="H312" s="335"/>
      <c r="I312" s="335"/>
    </row>
    <row r="313">
      <c r="A313" s="335"/>
      <c r="B313" s="335"/>
      <c r="C313" s="335"/>
      <c r="D313" s="335"/>
      <c r="E313" s="335"/>
      <c r="F313" s="335"/>
      <c r="G313" s="335"/>
      <c r="H313" s="335"/>
      <c r="I313" s="335"/>
    </row>
    <row r="314">
      <c r="A314" s="335"/>
      <c r="B314" s="335"/>
      <c r="C314" s="335"/>
      <c r="D314" s="335"/>
      <c r="E314" s="335"/>
      <c r="F314" s="335"/>
      <c r="G314" s="335"/>
      <c r="H314" s="335"/>
      <c r="I314" s="335"/>
    </row>
    <row r="315">
      <c r="A315" s="335"/>
      <c r="B315" s="335"/>
      <c r="C315" s="335"/>
      <c r="D315" s="335"/>
      <c r="E315" s="335"/>
      <c r="F315" s="335"/>
      <c r="G315" s="335"/>
      <c r="H315" s="335"/>
      <c r="I315" s="335"/>
    </row>
    <row r="316">
      <c r="A316" s="335"/>
      <c r="B316" s="335"/>
      <c r="C316" s="335"/>
      <c r="D316" s="335"/>
      <c r="E316" s="335"/>
      <c r="F316" s="335"/>
      <c r="G316" s="335"/>
      <c r="H316" s="335"/>
      <c r="I316" s="335"/>
    </row>
    <row r="317">
      <c r="A317" s="335"/>
      <c r="B317" s="335"/>
      <c r="C317" s="335"/>
      <c r="D317" s="335"/>
      <c r="E317" s="335"/>
      <c r="F317" s="335"/>
      <c r="G317" s="335"/>
      <c r="H317" s="335"/>
      <c r="I317" s="335"/>
    </row>
    <row r="318">
      <c r="A318" s="335"/>
      <c r="B318" s="335"/>
      <c r="C318" s="335"/>
      <c r="D318" s="335"/>
      <c r="E318" s="335"/>
      <c r="F318" s="335"/>
      <c r="G318" s="335"/>
      <c r="H318" s="335"/>
      <c r="I318" s="335"/>
    </row>
    <row r="319">
      <c r="A319" s="335"/>
      <c r="B319" s="335"/>
      <c r="C319" s="335"/>
      <c r="D319" s="335"/>
      <c r="E319" s="335"/>
      <c r="F319" s="335"/>
      <c r="G319" s="335"/>
      <c r="H319" s="335"/>
      <c r="I319" s="335"/>
    </row>
    <row r="320">
      <c r="A320" s="335"/>
      <c r="B320" s="335"/>
      <c r="C320" s="335"/>
      <c r="D320" s="335"/>
      <c r="E320" s="335"/>
      <c r="F320" s="335"/>
      <c r="G320" s="335"/>
      <c r="H320" s="335"/>
      <c r="I320" s="335"/>
    </row>
    <row r="321">
      <c r="A321" s="335"/>
      <c r="B321" s="335"/>
      <c r="C321" s="335"/>
      <c r="D321" s="335"/>
      <c r="E321" s="335"/>
      <c r="F321" s="335"/>
      <c r="G321" s="335"/>
      <c r="H321" s="335"/>
      <c r="I321" s="335"/>
    </row>
    <row r="322">
      <c r="A322" s="335"/>
      <c r="B322" s="335"/>
      <c r="C322" s="335"/>
      <c r="D322" s="335"/>
      <c r="E322" s="335"/>
      <c r="F322" s="335"/>
      <c r="G322" s="335"/>
      <c r="H322" s="335"/>
      <c r="I322" s="335"/>
    </row>
    <row r="323">
      <c r="A323" s="335"/>
      <c r="B323" s="335"/>
      <c r="C323" s="335"/>
      <c r="D323" s="335"/>
      <c r="E323" s="335"/>
      <c r="F323" s="335"/>
      <c r="G323" s="335"/>
      <c r="H323" s="335"/>
      <c r="I323" s="335"/>
    </row>
    <row r="324">
      <c r="A324" s="335"/>
      <c r="B324" s="335"/>
      <c r="C324" s="335"/>
      <c r="D324" s="335"/>
      <c r="E324" s="335"/>
      <c r="F324" s="335"/>
      <c r="G324" s="335"/>
      <c r="H324" s="335"/>
      <c r="I324" s="335"/>
    </row>
    <row r="325">
      <c r="A325" s="335"/>
      <c r="B325" s="335"/>
      <c r="C325" s="335"/>
      <c r="D325" s="335"/>
      <c r="E325" s="335"/>
      <c r="F325" s="335"/>
      <c r="G325" s="335"/>
      <c r="H325" s="335"/>
      <c r="I325" s="335"/>
    </row>
    <row r="326">
      <c r="A326" s="335"/>
      <c r="B326" s="335"/>
      <c r="C326" s="335"/>
      <c r="D326" s="335"/>
      <c r="E326" s="335"/>
      <c r="F326" s="335"/>
      <c r="G326" s="335"/>
      <c r="H326" s="335"/>
      <c r="I326" s="335"/>
    </row>
    <row r="327">
      <c r="A327" s="335"/>
      <c r="B327" s="335"/>
      <c r="C327" s="335"/>
      <c r="D327" s="335"/>
      <c r="E327" s="335"/>
      <c r="F327" s="335"/>
      <c r="G327" s="335"/>
      <c r="H327" s="335"/>
      <c r="I327" s="335"/>
    </row>
    <row r="328">
      <c r="A328" s="335"/>
      <c r="B328" s="335"/>
      <c r="C328" s="335"/>
      <c r="D328" s="335"/>
      <c r="E328" s="335"/>
      <c r="F328" s="335"/>
      <c r="G328" s="335"/>
      <c r="H328" s="335"/>
      <c r="I328" s="335"/>
    </row>
    <row r="329">
      <c r="A329" s="335"/>
      <c r="B329" s="335"/>
      <c r="C329" s="335"/>
      <c r="D329" s="335"/>
      <c r="E329" s="335"/>
      <c r="F329" s="335"/>
      <c r="G329" s="335"/>
      <c r="H329" s="335"/>
      <c r="I329" s="335"/>
    </row>
    <row r="330">
      <c r="A330" s="335"/>
      <c r="B330" s="335"/>
      <c r="C330" s="335"/>
      <c r="D330" s="335"/>
      <c r="E330" s="335"/>
      <c r="F330" s="335"/>
      <c r="G330" s="335"/>
      <c r="H330" s="335"/>
      <c r="I330" s="335"/>
    </row>
    <row r="331">
      <c r="A331" s="335"/>
      <c r="B331" s="335"/>
      <c r="C331" s="335"/>
      <c r="D331" s="335"/>
      <c r="E331" s="335"/>
      <c r="F331" s="335"/>
      <c r="G331" s="335"/>
      <c r="H331" s="335"/>
      <c r="I331" s="335"/>
    </row>
    <row r="332">
      <c r="A332" s="335"/>
      <c r="B332" s="335"/>
      <c r="C332" s="335"/>
      <c r="D332" s="335"/>
      <c r="E332" s="335"/>
      <c r="F332" s="335"/>
      <c r="G332" s="335"/>
      <c r="H332" s="335"/>
      <c r="I332" s="335"/>
    </row>
    <row r="333">
      <c r="A333" s="335"/>
      <c r="B333" s="335"/>
      <c r="C333" s="335"/>
      <c r="D333" s="335"/>
      <c r="E333" s="335"/>
      <c r="F333" s="335"/>
      <c r="G333" s="335"/>
      <c r="H333" s="335"/>
      <c r="I333" s="335"/>
    </row>
    <row r="334">
      <c r="A334" s="335"/>
      <c r="B334" s="335"/>
      <c r="C334" s="335"/>
      <c r="D334" s="335"/>
      <c r="E334" s="335"/>
      <c r="F334" s="335"/>
      <c r="G334" s="335"/>
      <c r="H334" s="335"/>
      <c r="I334" s="335"/>
    </row>
    <row r="335">
      <c r="A335" s="335"/>
      <c r="B335" s="335"/>
      <c r="C335" s="335"/>
      <c r="D335" s="335"/>
      <c r="E335" s="335"/>
      <c r="F335" s="335"/>
      <c r="G335" s="335"/>
      <c r="H335" s="335"/>
      <c r="I335" s="335"/>
    </row>
    <row r="336">
      <c r="A336" s="335"/>
      <c r="B336" s="335"/>
      <c r="C336" s="335"/>
      <c r="D336" s="335"/>
      <c r="E336" s="335"/>
      <c r="F336" s="335"/>
      <c r="G336" s="335"/>
      <c r="H336" s="335"/>
      <c r="I336" s="335"/>
    </row>
    <row r="337">
      <c r="A337" s="335"/>
      <c r="B337" s="335"/>
      <c r="C337" s="335"/>
      <c r="D337" s="335"/>
      <c r="E337" s="335"/>
      <c r="F337" s="335"/>
      <c r="G337" s="335"/>
      <c r="H337" s="335"/>
      <c r="I337" s="335"/>
    </row>
    <row r="338">
      <c r="A338" s="335"/>
      <c r="B338" s="335"/>
      <c r="C338" s="335"/>
      <c r="D338" s="335"/>
      <c r="E338" s="335"/>
      <c r="F338" s="335"/>
      <c r="G338" s="335"/>
      <c r="H338" s="335"/>
      <c r="I338" s="335"/>
    </row>
    <row r="339">
      <c r="A339" s="335"/>
      <c r="B339" s="335"/>
      <c r="C339" s="335"/>
      <c r="D339" s="335"/>
      <c r="E339" s="335"/>
      <c r="F339" s="335"/>
      <c r="G339" s="335"/>
      <c r="H339" s="335"/>
      <c r="I339" s="335"/>
    </row>
    <row r="340">
      <c r="A340" s="335"/>
      <c r="B340" s="335"/>
      <c r="C340" s="335"/>
      <c r="D340" s="335"/>
      <c r="E340" s="335"/>
      <c r="F340" s="335"/>
      <c r="G340" s="335"/>
      <c r="H340" s="335"/>
      <c r="I340" s="335"/>
    </row>
    <row r="341">
      <c r="A341" s="335"/>
      <c r="B341" s="335"/>
      <c r="C341" s="335"/>
      <c r="D341" s="335"/>
      <c r="E341" s="335"/>
      <c r="F341" s="335"/>
      <c r="G341" s="335"/>
      <c r="H341" s="335"/>
      <c r="I341" s="335"/>
    </row>
    <row r="342">
      <c r="A342" s="335"/>
      <c r="B342" s="335"/>
      <c r="C342" s="335"/>
      <c r="D342" s="335"/>
      <c r="E342" s="335"/>
      <c r="F342" s="335"/>
      <c r="G342" s="335"/>
      <c r="H342" s="335"/>
      <c r="I342" s="335"/>
    </row>
    <row r="343">
      <c r="A343" s="335"/>
      <c r="B343" s="335"/>
      <c r="C343" s="335"/>
      <c r="D343" s="335"/>
      <c r="E343" s="335"/>
      <c r="F343" s="335"/>
      <c r="G343" s="335"/>
      <c r="H343" s="335"/>
      <c r="I343" s="335"/>
    </row>
    <row r="344">
      <c r="A344" s="335"/>
      <c r="B344" s="335"/>
      <c r="C344" s="335"/>
      <c r="D344" s="335"/>
      <c r="E344" s="335"/>
      <c r="F344" s="335"/>
      <c r="G344" s="335"/>
      <c r="H344" s="335"/>
      <c r="I344" s="335"/>
    </row>
    <row r="345">
      <c r="A345" s="335"/>
      <c r="B345" s="335"/>
      <c r="C345" s="335"/>
      <c r="D345" s="335"/>
      <c r="E345" s="335"/>
      <c r="F345" s="335"/>
      <c r="G345" s="335"/>
      <c r="H345" s="335"/>
      <c r="I345" s="335"/>
    </row>
    <row r="346">
      <c r="A346" s="335"/>
      <c r="B346" s="335"/>
      <c r="C346" s="335"/>
      <c r="D346" s="335"/>
      <c r="E346" s="335"/>
      <c r="F346" s="335"/>
      <c r="G346" s="335"/>
      <c r="H346" s="335"/>
      <c r="I346" s="335"/>
    </row>
    <row r="347">
      <c r="A347" s="335"/>
      <c r="B347" s="335"/>
      <c r="C347" s="335"/>
      <c r="D347" s="335"/>
      <c r="E347" s="335"/>
      <c r="F347" s="335"/>
      <c r="G347" s="335"/>
      <c r="H347" s="335"/>
      <c r="I347" s="335"/>
    </row>
    <row r="348">
      <c r="A348" s="335"/>
      <c r="B348" s="335"/>
      <c r="C348" s="335"/>
      <c r="D348" s="335"/>
      <c r="E348" s="335"/>
      <c r="F348" s="335"/>
      <c r="G348" s="335"/>
      <c r="H348" s="335"/>
      <c r="I348" s="335"/>
    </row>
    <row r="349">
      <c r="A349" s="335"/>
      <c r="B349" s="335"/>
      <c r="C349" s="335"/>
      <c r="D349" s="335"/>
      <c r="E349" s="335"/>
      <c r="F349" s="335"/>
      <c r="G349" s="335"/>
      <c r="H349" s="335"/>
      <c r="I349" s="335"/>
    </row>
    <row r="350">
      <c r="A350" s="335"/>
      <c r="B350" s="335"/>
      <c r="C350" s="335"/>
      <c r="D350" s="335"/>
      <c r="E350" s="335"/>
      <c r="F350" s="335"/>
      <c r="G350" s="335"/>
      <c r="H350" s="335"/>
      <c r="I350" s="335"/>
    </row>
    <row r="351">
      <c r="A351" s="335"/>
      <c r="B351" s="335"/>
      <c r="C351" s="335"/>
      <c r="D351" s="335"/>
      <c r="E351" s="335"/>
      <c r="F351" s="335"/>
      <c r="G351" s="335"/>
      <c r="H351" s="335"/>
      <c r="I351" s="335"/>
    </row>
    <row r="352">
      <c r="A352" s="335"/>
      <c r="B352" s="335"/>
      <c r="C352" s="335"/>
      <c r="D352" s="335"/>
      <c r="E352" s="335"/>
      <c r="F352" s="335"/>
      <c r="G352" s="335"/>
      <c r="H352" s="335"/>
      <c r="I352" s="335"/>
    </row>
    <row r="353">
      <c r="A353" s="335"/>
      <c r="B353" s="335"/>
      <c r="C353" s="335"/>
      <c r="D353" s="335"/>
      <c r="E353" s="335"/>
      <c r="F353" s="335"/>
      <c r="G353" s="335"/>
      <c r="H353" s="335"/>
      <c r="I353" s="335"/>
    </row>
    <row r="354">
      <c r="A354" s="335"/>
      <c r="B354" s="335"/>
      <c r="C354" s="335"/>
      <c r="D354" s="335"/>
      <c r="E354" s="335"/>
      <c r="F354" s="335"/>
      <c r="G354" s="335"/>
      <c r="H354" s="335"/>
      <c r="I354" s="335"/>
    </row>
    <row r="355">
      <c r="A355" s="335"/>
      <c r="B355" s="335"/>
      <c r="C355" s="335"/>
      <c r="D355" s="335"/>
      <c r="E355" s="335"/>
      <c r="F355" s="335"/>
      <c r="G355" s="335"/>
      <c r="H355" s="335"/>
      <c r="I355" s="335"/>
    </row>
    <row r="356">
      <c r="A356" s="335"/>
      <c r="B356" s="335"/>
      <c r="C356" s="335"/>
      <c r="D356" s="335"/>
      <c r="E356" s="335"/>
      <c r="F356" s="335"/>
      <c r="G356" s="335"/>
      <c r="H356" s="335"/>
      <c r="I356" s="335"/>
    </row>
    <row r="357">
      <c r="A357" s="335"/>
      <c r="B357" s="335"/>
      <c r="C357" s="335"/>
      <c r="D357" s="335"/>
      <c r="E357" s="335"/>
      <c r="F357" s="335"/>
      <c r="G357" s="335"/>
      <c r="H357" s="335"/>
      <c r="I357" s="335"/>
    </row>
    <row r="358">
      <c r="A358" s="335"/>
      <c r="B358" s="335"/>
      <c r="C358" s="335"/>
      <c r="D358" s="335"/>
      <c r="E358" s="335"/>
      <c r="F358" s="335"/>
      <c r="G358" s="335"/>
      <c r="H358" s="335"/>
      <c r="I358" s="335"/>
    </row>
    <row r="359">
      <c r="A359" s="335"/>
      <c r="B359" s="335"/>
      <c r="C359" s="335"/>
      <c r="D359" s="335"/>
      <c r="E359" s="335"/>
      <c r="F359" s="335"/>
      <c r="G359" s="335"/>
      <c r="H359" s="335"/>
      <c r="I359" s="335"/>
    </row>
    <row r="360">
      <c r="A360" s="335"/>
      <c r="B360" s="335"/>
      <c r="C360" s="335"/>
      <c r="D360" s="335"/>
      <c r="E360" s="335"/>
      <c r="F360" s="335"/>
      <c r="G360" s="335"/>
      <c r="H360" s="335"/>
      <c r="I360" s="335"/>
    </row>
    <row r="361">
      <c r="A361" s="335"/>
      <c r="B361" s="335"/>
      <c r="C361" s="335"/>
      <c r="D361" s="335"/>
      <c r="E361" s="335"/>
      <c r="F361" s="335"/>
      <c r="G361" s="335"/>
      <c r="H361" s="335"/>
      <c r="I361" s="335"/>
    </row>
    <row r="362">
      <c r="A362" s="335"/>
      <c r="B362" s="335"/>
      <c r="C362" s="335"/>
      <c r="D362" s="335"/>
      <c r="E362" s="335"/>
      <c r="F362" s="335"/>
      <c r="G362" s="335"/>
      <c r="H362" s="335"/>
      <c r="I362" s="335"/>
    </row>
    <row r="363">
      <c r="A363" s="335"/>
      <c r="B363" s="335"/>
      <c r="C363" s="335"/>
      <c r="D363" s="335"/>
      <c r="E363" s="335"/>
      <c r="F363" s="335"/>
      <c r="G363" s="335"/>
      <c r="H363" s="335"/>
      <c r="I363" s="335"/>
    </row>
    <row r="364">
      <c r="A364" s="335"/>
      <c r="B364" s="335"/>
      <c r="C364" s="335"/>
      <c r="D364" s="335"/>
      <c r="E364" s="335"/>
      <c r="F364" s="335"/>
      <c r="G364" s="335"/>
      <c r="H364" s="335"/>
      <c r="I364" s="335"/>
    </row>
    <row r="365">
      <c r="A365" s="335"/>
      <c r="B365" s="335"/>
      <c r="C365" s="335"/>
      <c r="D365" s="335"/>
      <c r="E365" s="335"/>
      <c r="F365" s="335"/>
      <c r="G365" s="335"/>
      <c r="H365" s="335"/>
      <c r="I365" s="335"/>
    </row>
    <row r="366">
      <c r="A366" s="335"/>
      <c r="B366" s="335"/>
      <c r="C366" s="335"/>
      <c r="D366" s="335"/>
      <c r="E366" s="335"/>
      <c r="F366" s="335"/>
      <c r="G366" s="335"/>
      <c r="H366" s="335"/>
      <c r="I366" s="335"/>
    </row>
    <row r="367">
      <c r="A367" s="335"/>
      <c r="B367" s="335"/>
      <c r="C367" s="335"/>
      <c r="D367" s="335"/>
      <c r="E367" s="335"/>
      <c r="F367" s="335"/>
      <c r="G367" s="335"/>
      <c r="H367" s="335"/>
      <c r="I367" s="335"/>
    </row>
    <row r="368">
      <c r="A368" s="335"/>
      <c r="B368" s="335"/>
      <c r="C368" s="335"/>
      <c r="D368" s="335"/>
      <c r="E368" s="335"/>
      <c r="F368" s="335"/>
      <c r="G368" s="335"/>
      <c r="H368" s="335"/>
      <c r="I368" s="335"/>
    </row>
    <row r="369">
      <c r="A369" s="335"/>
      <c r="B369" s="335"/>
      <c r="C369" s="335"/>
      <c r="D369" s="335"/>
      <c r="E369" s="335"/>
      <c r="F369" s="335"/>
      <c r="G369" s="335"/>
      <c r="H369" s="335"/>
      <c r="I369" s="335"/>
    </row>
    <row r="370">
      <c r="A370" s="335"/>
      <c r="B370" s="335"/>
      <c r="C370" s="335"/>
      <c r="D370" s="335"/>
      <c r="E370" s="335"/>
      <c r="F370" s="335"/>
      <c r="G370" s="335"/>
      <c r="H370" s="335"/>
      <c r="I370" s="335"/>
    </row>
    <row r="371">
      <c r="A371" s="335"/>
      <c r="B371" s="335"/>
      <c r="C371" s="335"/>
      <c r="D371" s="335"/>
      <c r="E371" s="335"/>
      <c r="F371" s="335"/>
      <c r="G371" s="335"/>
      <c r="H371" s="335"/>
      <c r="I371" s="335"/>
    </row>
    <row r="372">
      <c r="A372" s="335"/>
      <c r="B372" s="335"/>
      <c r="C372" s="335"/>
      <c r="D372" s="335"/>
      <c r="E372" s="335"/>
      <c r="F372" s="335"/>
      <c r="G372" s="335"/>
      <c r="H372" s="335"/>
      <c r="I372" s="335"/>
    </row>
    <row r="373">
      <c r="A373" s="335"/>
      <c r="B373" s="335"/>
      <c r="C373" s="335"/>
      <c r="D373" s="335"/>
      <c r="E373" s="335"/>
      <c r="F373" s="335"/>
      <c r="G373" s="335"/>
      <c r="H373" s="335"/>
      <c r="I373" s="335"/>
    </row>
    <row r="374">
      <c r="A374" s="335"/>
      <c r="B374" s="335"/>
      <c r="C374" s="335"/>
      <c r="D374" s="335"/>
      <c r="E374" s="335"/>
      <c r="F374" s="335"/>
      <c r="G374" s="335"/>
      <c r="H374" s="335"/>
      <c r="I374" s="335"/>
    </row>
    <row r="375">
      <c r="A375" s="335"/>
      <c r="B375" s="335"/>
      <c r="C375" s="335"/>
      <c r="D375" s="335"/>
      <c r="E375" s="335"/>
      <c r="F375" s="335"/>
      <c r="G375" s="335"/>
      <c r="H375" s="335"/>
      <c r="I375" s="335"/>
    </row>
    <row r="376">
      <c r="A376" s="335"/>
      <c r="B376" s="335"/>
      <c r="C376" s="335"/>
      <c r="D376" s="335"/>
      <c r="E376" s="335"/>
      <c r="F376" s="335"/>
      <c r="G376" s="335"/>
      <c r="H376" s="335"/>
      <c r="I376" s="335"/>
    </row>
    <row r="377">
      <c r="A377" s="335"/>
      <c r="B377" s="335"/>
      <c r="C377" s="335"/>
      <c r="D377" s="335"/>
      <c r="E377" s="335"/>
      <c r="F377" s="335"/>
      <c r="G377" s="335"/>
      <c r="H377" s="335"/>
      <c r="I377" s="335"/>
    </row>
    <row r="378">
      <c r="A378" s="335"/>
      <c r="B378" s="335"/>
      <c r="C378" s="335"/>
      <c r="D378" s="335"/>
      <c r="E378" s="335"/>
      <c r="F378" s="335"/>
      <c r="G378" s="335"/>
      <c r="H378" s="335"/>
      <c r="I378" s="335"/>
    </row>
    <row r="379">
      <c r="A379" s="335"/>
      <c r="B379" s="335"/>
      <c r="C379" s="335"/>
      <c r="D379" s="335"/>
      <c r="E379" s="335"/>
      <c r="F379" s="335"/>
      <c r="G379" s="335"/>
      <c r="H379" s="335"/>
      <c r="I379" s="335"/>
    </row>
    <row r="380">
      <c r="A380" s="335"/>
      <c r="B380" s="335"/>
      <c r="C380" s="335"/>
      <c r="D380" s="335"/>
      <c r="E380" s="335"/>
      <c r="F380" s="335"/>
      <c r="G380" s="335"/>
      <c r="H380" s="335"/>
      <c r="I380" s="335"/>
    </row>
    <row r="381">
      <c r="A381" s="335"/>
      <c r="B381" s="335"/>
      <c r="C381" s="335"/>
      <c r="D381" s="335"/>
      <c r="E381" s="335"/>
      <c r="F381" s="335"/>
      <c r="G381" s="335"/>
      <c r="H381" s="335"/>
      <c r="I381" s="335"/>
    </row>
    <row r="382">
      <c r="A382" s="335"/>
      <c r="B382" s="335"/>
      <c r="C382" s="335"/>
      <c r="D382" s="335"/>
      <c r="E382" s="335"/>
      <c r="F382" s="335"/>
      <c r="G382" s="335"/>
      <c r="H382" s="335"/>
      <c r="I382" s="335"/>
    </row>
    <row r="383">
      <c r="A383" s="335"/>
      <c r="B383" s="335"/>
      <c r="C383" s="335"/>
      <c r="D383" s="335"/>
      <c r="E383" s="335"/>
      <c r="F383" s="335"/>
      <c r="G383" s="335"/>
      <c r="H383" s="335"/>
      <c r="I383" s="335"/>
    </row>
    <row r="384">
      <c r="A384" s="335"/>
      <c r="B384" s="335"/>
      <c r="C384" s="335"/>
      <c r="D384" s="335"/>
      <c r="E384" s="335"/>
      <c r="F384" s="335"/>
      <c r="G384" s="335"/>
      <c r="H384" s="335"/>
      <c r="I384" s="335"/>
    </row>
    <row r="385">
      <c r="A385" s="335"/>
      <c r="B385" s="335"/>
      <c r="C385" s="335"/>
      <c r="D385" s="335"/>
      <c r="E385" s="335"/>
      <c r="F385" s="335"/>
      <c r="G385" s="335"/>
      <c r="H385" s="335"/>
      <c r="I385" s="335"/>
    </row>
    <row r="386">
      <c r="A386" s="335"/>
      <c r="B386" s="335"/>
      <c r="C386" s="335"/>
      <c r="D386" s="335"/>
      <c r="E386" s="335"/>
      <c r="F386" s="335"/>
      <c r="G386" s="335"/>
      <c r="H386" s="335"/>
      <c r="I386" s="335"/>
    </row>
    <row r="387">
      <c r="A387" s="335"/>
      <c r="B387" s="335"/>
      <c r="C387" s="335"/>
      <c r="D387" s="335"/>
      <c r="E387" s="335"/>
      <c r="F387" s="335"/>
      <c r="G387" s="335"/>
      <c r="H387" s="335"/>
      <c r="I387" s="335"/>
    </row>
    <row r="388">
      <c r="A388" s="335"/>
      <c r="B388" s="335"/>
      <c r="C388" s="335"/>
      <c r="D388" s="335"/>
      <c r="E388" s="335"/>
      <c r="F388" s="335"/>
      <c r="G388" s="335"/>
      <c r="H388" s="335"/>
      <c r="I388" s="335"/>
    </row>
    <row r="389">
      <c r="A389" s="335"/>
      <c r="B389" s="335"/>
      <c r="C389" s="335"/>
      <c r="D389" s="335"/>
      <c r="E389" s="335"/>
      <c r="F389" s="335"/>
      <c r="G389" s="335"/>
      <c r="H389" s="335"/>
      <c r="I389" s="335"/>
    </row>
    <row r="390">
      <c r="A390" s="335"/>
      <c r="B390" s="335"/>
      <c r="C390" s="335"/>
      <c r="D390" s="335"/>
      <c r="E390" s="335"/>
      <c r="F390" s="335"/>
      <c r="G390" s="335"/>
      <c r="H390" s="335"/>
      <c r="I390" s="335"/>
    </row>
    <row r="391">
      <c r="A391" s="335"/>
      <c r="B391" s="335"/>
      <c r="C391" s="335"/>
      <c r="D391" s="335"/>
      <c r="E391" s="335"/>
      <c r="F391" s="335"/>
      <c r="G391" s="335"/>
      <c r="H391" s="335"/>
      <c r="I391" s="335"/>
    </row>
    <row r="392">
      <c r="A392" s="335"/>
      <c r="B392" s="335"/>
      <c r="C392" s="335"/>
      <c r="D392" s="335"/>
      <c r="E392" s="335"/>
      <c r="F392" s="335"/>
      <c r="G392" s="335"/>
      <c r="H392" s="335"/>
      <c r="I392" s="335"/>
    </row>
    <row r="393">
      <c r="A393" s="335"/>
      <c r="B393" s="335"/>
      <c r="C393" s="335"/>
      <c r="D393" s="335"/>
      <c r="E393" s="335"/>
      <c r="F393" s="335"/>
      <c r="G393" s="335"/>
      <c r="H393" s="335"/>
      <c r="I393" s="335"/>
    </row>
    <row r="394">
      <c r="A394" s="335"/>
      <c r="B394" s="335"/>
      <c r="C394" s="335"/>
      <c r="D394" s="335"/>
      <c r="E394" s="335"/>
      <c r="F394" s="335"/>
      <c r="G394" s="335"/>
      <c r="H394" s="335"/>
      <c r="I394" s="335"/>
    </row>
    <row r="395">
      <c r="A395" s="335"/>
      <c r="B395" s="335"/>
      <c r="C395" s="335"/>
      <c r="D395" s="335"/>
      <c r="E395" s="335"/>
      <c r="F395" s="335"/>
      <c r="G395" s="335"/>
      <c r="H395" s="335"/>
      <c r="I395" s="335"/>
    </row>
    <row r="396">
      <c r="A396" s="335"/>
      <c r="B396" s="335"/>
      <c r="C396" s="335"/>
      <c r="D396" s="335"/>
      <c r="E396" s="335"/>
      <c r="F396" s="335"/>
      <c r="G396" s="335"/>
      <c r="H396" s="335"/>
      <c r="I396" s="335"/>
    </row>
    <row r="397">
      <c r="A397" s="335"/>
      <c r="B397" s="335"/>
      <c r="C397" s="335"/>
      <c r="D397" s="335"/>
      <c r="E397" s="335"/>
      <c r="F397" s="335"/>
      <c r="G397" s="335"/>
      <c r="H397" s="335"/>
      <c r="I397" s="335"/>
    </row>
    <row r="398">
      <c r="A398" s="335"/>
      <c r="B398" s="335"/>
      <c r="C398" s="335"/>
      <c r="D398" s="335"/>
      <c r="E398" s="335"/>
      <c r="F398" s="335"/>
      <c r="G398" s="335"/>
      <c r="H398" s="335"/>
      <c r="I398" s="335"/>
    </row>
    <row r="399">
      <c r="A399" s="335"/>
      <c r="B399" s="335"/>
      <c r="C399" s="335"/>
      <c r="D399" s="335"/>
      <c r="E399" s="335"/>
      <c r="F399" s="335"/>
      <c r="G399" s="335"/>
      <c r="H399" s="335"/>
      <c r="I399" s="335"/>
    </row>
    <row r="400">
      <c r="A400" s="335"/>
      <c r="B400" s="335"/>
      <c r="C400" s="335"/>
      <c r="D400" s="335"/>
      <c r="E400" s="335"/>
      <c r="F400" s="335"/>
      <c r="G400" s="335"/>
      <c r="H400" s="335"/>
      <c r="I400" s="335"/>
    </row>
    <row r="401">
      <c r="A401" s="335"/>
      <c r="B401" s="335"/>
      <c r="C401" s="335"/>
      <c r="D401" s="335"/>
      <c r="E401" s="335"/>
      <c r="F401" s="335"/>
      <c r="G401" s="335"/>
      <c r="H401" s="335"/>
      <c r="I401" s="335"/>
    </row>
    <row r="402">
      <c r="A402" s="335"/>
      <c r="B402" s="335"/>
      <c r="C402" s="335"/>
      <c r="D402" s="335"/>
      <c r="E402" s="335"/>
      <c r="F402" s="335"/>
      <c r="G402" s="335"/>
      <c r="H402" s="335"/>
      <c r="I402" s="335"/>
    </row>
    <row r="403">
      <c r="A403" s="335"/>
      <c r="B403" s="335"/>
      <c r="C403" s="335"/>
      <c r="D403" s="335"/>
      <c r="E403" s="335"/>
      <c r="F403" s="335"/>
      <c r="G403" s="335"/>
      <c r="H403" s="335"/>
      <c r="I403" s="335"/>
    </row>
    <row r="404">
      <c r="A404" s="335"/>
      <c r="B404" s="335"/>
      <c r="C404" s="335"/>
      <c r="D404" s="335"/>
      <c r="E404" s="335"/>
      <c r="F404" s="335"/>
      <c r="G404" s="335"/>
      <c r="H404" s="335"/>
      <c r="I404" s="335"/>
    </row>
    <row r="405">
      <c r="A405" s="335"/>
      <c r="B405" s="335"/>
      <c r="C405" s="335"/>
      <c r="D405" s="335"/>
      <c r="E405" s="335"/>
      <c r="F405" s="335"/>
      <c r="G405" s="335"/>
      <c r="H405" s="335"/>
      <c r="I405" s="335"/>
    </row>
    <row r="406">
      <c r="A406" s="335"/>
      <c r="B406" s="335"/>
      <c r="C406" s="335"/>
      <c r="D406" s="335"/>
      <c r="E406" s="335"/>
      <c r="F406" s="335"/>
      <c r="G406" s="335"/>
      <c r="H406" s="335"/>
      <c r="I406" s="335"/>
    </row>
    <row r="407">
      <c r="A407" s="335"/>
      <c r="B407" s="335"/>
      <c r="C407" s="335"/>
      <c r="D407" s="335"/>
      <c r="E407" s="335"/>
      <c r="F407" s="335"/>
      <c r="G407" s="335"/>
      <c r="H407" s="335"/>
      <c r="I407" s="335"/>
    </row>
    <row r="408">
      <c r="A408" s="335"/>
      <c r="B408" s="335"/>
      <c r="C408" s="335"/>
      <c r="D408" s="335"/>
      <c r="E408" s="335"/>
      <c r="F408" s="335"/>
      <c r="G408" s="335"/>
      <c r="H408" s="335"/>
      <c r="I408" s="335"/>
    </row>
    <row r="409">
      <c r="A409" s="335"/>
      <c r="B409" s="335"/>
      <c r="C409" s="335"/>
      <c r="D409" s="335"/>
      <c r="E409" s="335"/>
      <c r="F409" s="335"/>
      <c r="G409" s="335"/>
      <c r="H409" s="335"/>
      <c r="I409" s="335"/>
    </row>
    <row r="410">
      <c r="A410" s="335"/>
      <c r="B410" s="335"/>
      <c r="C410" s="335"/>
      <c r="D410" s="335"/>
      <c r="E410" s="335"/>
      <c r="F410" s="335"/>
      <c r="G410" s="335"/>
      <c r="H410" s="335"/>
      <c r="I410" s="335"/>
    </row>
    <row r="411">
      <c r="A411" s="335"/>
      <c r="B411" s="335"/>
      <c r="C411" s="335"/>
      <c r="D411" s="335"/>
      <c r="E411" s="335"/>
      <c r="F411" s="335"/>
      <c r="G411" s="335"/>
      <c r="H411" s="335"/>
      <c r="I411" s="335"/>
    </row>
    <row r="412">
      <c r="A412" s="335"/>
      <c r="B412" s="335"/>
      <c r="C412" s="335"/>
      <c r="D412" s="335"/>
      <c r="E412" s="335"/>
      <c r="F412" s="335"/>
      <c r="G412" s="335"/>
      <c r="H412" s="335"/>
      <c r="I412" s="335"/>
    </row>
    <row r="413">
      <c r="A413" s="335"/>
      <c r="B413" s="335"/>
      <c r="C413" s="335"/>
      <c r="D413" s="335"/>
      <c r="E413" s="335"/>
      <c r="F413" s="335"/>
      <c r="G413" s="335"/>
      <c r="H413" s="335"/>
      <c r="I413" s="335"/>
    </row>
    <row r="414">
      <c r="A414" s="335"/>
      <c r="B414" s="335"/>
      <c r="C414" s="335"/>
      <c r="D414" s="335"/>
      <c r="E414" s="335"/>
      <c r="F414" s="335"/>
      <c r="G414" s="335"/>
      <c r="H414" s="335"/>
      <c r="I414" s="335"/>
    </row>
    <row r="415">
      <c r="A415" s="335"/>
      <c r="B415" s="335"/>
      <c r="C415" s="335"/>
      <c r="D415" s="335"/>
      <c r="E415" s="335"/>
      <c r="F415" s="335"/>
      <c r="G415" s="335"/>
      <c r="H415" s="335"/>
      <c r="I415" s="335"/>
    </row>
    <row r="416">
      <c r="A416" s="335"/>
      <c r="B416" s="335"/>
      <c r="C416" s="335"/>
      <c r="D416" s="335"/>
      <c r="E416" s="335"/>
      <c r="F416" s="335"/>
      <c r="G416" s="335"/>
      <c r="H416" s="335"/>
      <c r="I416" s="335"/>
    </row>
    <row r="417">
      <c r="A417" s="335"/>
      <c r="B417" s="335"/>
      <c r="C417" s="335"/>
      <c r="D417" s="335"/>
      <c r="E417" s="335"/>
      <c r="F417" s="335"/>
      <c r="G417" s="335"/>
      <c r="H417" s="335"/>
      <c r="I417" s="335"/>
    </row>
    <row r="418">
      <c r="A418" s="335"/>
      <c r="B418" s="335"/>
      <c r="C418" s="335"/>
      <c r="D418" s="335"/>
      <c r="E418" s="335"/>
      <c r="F418" s="335"/>
      <c r="G418" s="335"/>
      <c r="H418" s="335"/>
      <c r="I418" s="335"/>
    </row>
    <row r="419">
      <c r="A419" s="335"/>
      <c r="B419" s="335"/>
      <c r="C419" s="335"/>
      <c r="D419" s="335"/>
      <c r="E419" s="335"/>
      <c r="F419" s="335"/>
      <c r="G419" s="335"/>
      <c r="H419" s="335"/>
      <c r="I419" s="335"/>
    </row>
    <row r="420">
      <c r="A420" s="335"/>
      <c r="B420" s="335"/>
      <c r="C420" s="335"/>
      <c r="D420" s="335"/>
      <c r="E420" s="335"/>
      <c r="F420" s="335"/>
      <c r="G420" s="335"/>
      <c r="H420" s="335"/>
      <c r="I420" s="335"/>
    </row>
    <row r="421">
      <c r="A421" s="335"/>
      <c r="B421" s="335"/>
      <c r="C421" s="335"/>
      <c r="D421" s="335"/>
      <c r="E421" s="335"/>
      <c r="F421" s="335"/>
      <c r="G421" s="335"/>
      <c r="H421" s="335"/>
      <c r="I421" s="335"/>
    </row>
    <row r="422">
      <c r="A422" s="335"/>
      <c r="B422" s="335"/>
      <c r="C422" s="335"/>
      <c r="D422" s="335"/>
      <c r="E422" s="335"/>
      <c r="F422" s="335"/>
      <c r="G422" s="335"/>
      <c r="H422" s="335"/>
      <c r="I422" s="335"/>
    </row>
    <row r="423">
      <c r="A423" s="335"/>
      <c r="B423" s="335"/>
      <c r="C423" s="335"/>
      <c r="D423" s="335"/>
      <c r="E423" s="335"/>
      <c r="F423" s="335"/>
      <c r="G423" s="335"/>
      <c r="H423" s="335"/>
      <c r="I423" s="335"/>
    </row>
    <row r="424">
      <c r="A424" s="335"/>
      <c r="B424" s="335"/>
      <c r="C424" s="335"/>
      <c r="D424" s="335"/>
      <c r="E424" s="335"/>
      <c r="F424" s="335"/>
      <c r="G424" s="335"/>
      <c r="H424" s="335"/>
      <c r="I424" s="335"/>
    </row>
    <row r="425">
      <c r="A425" s="335"/>
      <c r="B425" s="335"/>
      <c r="C425" s="335"/>
      <c r="D425" s="335"/>
      <c r="E425" s="335"/>
      <c r="F425" s="335"/>
      <c r="G425" s="335"/>
      <c r="H425" s="335"/>
      <c r="I425" s="335"/>
    </row>
    <row r="426">
      <c r="A426" s="335"/>
      <c r="B426" s="335"/>
      <c r="C426" s="335"/>
      <c r="D426" s="335"/>
      <c r="E426" s="335"/>
      <c r="F426" s="335"/>
      <c r="G426" s="335"/>
      <c r="H426" s="335"/>
      <c r="I426" s="335"/>
    </row>
    <row r="427">
      <c r="A427" s="335"/>
      <c r="B427" s="335"/>
      <c r="C427" s="335"/>
      <c r="D427" s="335"/>
      <c r="E427" s="335"/>
      <c r="F427" s="335"/>
      <c r="G427" s="335"/>
      <c r="H427" s="335"/>
      <c r="I427" s="335"/>
    </row>
    <row r="428">
      <c r="A428" s="335"/>
      <c r="B428" s="335"/>
      <c r="C428" s="335"/>
      <c r="D428" s="335"/>
      <c r="E428" s="335"/>
      <c r="F428" s="335"/>
      <c r="G428" s="335"/>
      <c r="H428" s="335"/>
      <c r="I428" s="335"/>
    </row>
    <row r="429">
      <c r="A429" s="335"/>
      <c r="B429" s="335"/>
      <c r="C429" s="335"/>
      <c r="D429" s="335"/>
      <c r="E429" s="335"/>
      <c r="F429" s="335"/>
      <c r="G429" s="335"/>
      <c r="H429" s="335"/>
      <c r="I429" s="335"/>
    </row>
    <row r="430">
      <c r="A430" s="335"/>
      <c r="B430" s="335"/>
      <c r="C430" s="335"/>
      <c r="D430" s="335"/>
      <c r="E430" s="335"/>
      <c r="F430" s="335"/>
      <c r="G430" s="335"/>
      <c r="H430" s="335"/>
      <c r="I430" s="335"/>
    </row>
    <row r="431">
      <c r="A431" s="335"/>
      <c r="B431" s="335"/>
      <c r="C431" s="335"/>
      <c r="D431" s="335"/>
      <c r="E431" s="335"/>
      <c r="F431" s="335"/>
      <c r="G431" s="335"/>
      <c r="H431" s="335"/>
      <c r="I431" s="335"/>
    </row>
    <row r="432">
      <c r="A432" s="335"/>
      <c r="B432" s="335"/>
      <c r="C432" s="335"/>
      <c r="D432" s="335"/>
      <c r="E432" s="335"/>
      <c r="F432" s="335"/>
      <c r="G432" s="335"/>
      <c r="H432" s="335"/>
      <c r="I432" s="335"/>
    </row>
    <row r="433">
      <c r="A433" s="335"/>
      <c r="B433" s="335"/>
      <c r="C433" s="335"/>
      <c r="D433" s="335"/>
      <c r="E433" s="335"/>
      <c r="F433" s="335"/>
      <c r="G433" s="335"/>
      <c r="H433" s="335"/>
      <c r="I433" s="335"/>
    </row>
    <row r="434">
      <c r="A434" s="335"/>
      <c r="B434" s="335"/>
      <c r="C434" s="335"/>
      <c r="D434" s="335"/>
      <c r="E434" s="335"/>
      <c r="F434" s="335"/>
      <c r="G434" s="335"/>
      <c r="H434" s="335"/>
      <c r="I434" s="335"/>
    </row>
    <row r="435">
      <c r="A435" s="335"/>
      <c r="B435" s="335"/>
      <c r="C435" s="335"/>
      <c r="D435" s="335"/>
      <c r="E435" s="335"/>
      <c r="F435" s="335"/>
      <c r="G435" s="335"/>
      <c r="H435" s="335"/>
      <c r="I435" s="335"/>
    </row>
    <row r="436">
      <c r="A436" s="335"/>
      <c r="B436" s="335"/>
      <c r="C436" s="335"/>
      <c r="D436" s="335"/>
      <c r="E436" s="335"/>
      <c r="F436" s="335"/>
      <c r="G436" s="335"/>
      <c r="H436" s="335"/>
      <c r="I436" s="335"/>
    </row>
    <row r="437">
      <c r="A437" s="335"/>
      <c r="B437" s="335"/>
      <c r="C437" s="335"/>
      <c r="D437" s="335"/>
      <c r="E437" s="335"/>
      <c r="F437" s="335"/>
      <c r="G437" s="335"/>
      <c r="H437" s="335"/>
      <c r="I437" s="335"/>
    </row>
    <row r="438">
      <c r="A438" s="335"/>
      <c r="B438" s="335"/>
      <c r="C438" s="335"/>
      <c r="D438" s="335"/>
      <c r="E438" s="335"/>
      <c r="F438" s="335"/>
      <c r="G438" s="335"/>
      <c r="H438" s="335"/>
      <c r="I438" s="335"/>
    </row>
    <row r="439">
      <c r="A439" s="335"/>
      <c r="B439" s="335"/>
      <c r="C439" s="335"/>
      <c r="D439" s="335"/>
      <c r="E439" s="335"/>
      <c r="F439" s="335"/>
      <c r="G439" s="335"/>
      <c r="H439" s="335"/>
      <c r="I439" s="335"/>
    </row>
    <row r="440">
      <c r="A440" s="335"/>
      <c r="B440" s="335"/>
      <c r="C440" s="335"/>
      <c r="D440" s="335"/>
      <c r="E440" s="335"/>
      <c r="F440" s="335"/>
      <c r="G440" s="335"/>
      <c r="H440" s="335"/>
      <c r="I440" s="335"/>
    </row>
    <row r="441">
      <c r="A441" s="335"/>
      <c r="B441" s="335"/>
      <c r="C441" s="335"/>
      <c r="D441" s="335"/>
      <c r="E441" s="335"/>
      <c r="F441" s="335"/>
      <c r="G441" s="335"/>
      <c r="H441" s="335"/>
      <c r="I441" s="335"/>
    </row>
    <row r="442">
      <c r="A442" s="335"/>
      <c r="B442" s="335"/>
      <c r="C442" s="335"/>
      <c r="D442" s="335"/>
      <c r="E442" s="335"/>
      <c r="F442" s="335"/>
      <c r="G442" s="335"/>
      <c r="H442" s="335"/>
      <c r="I442" s="335"/>
    </row>
    <row r="443">
      <c r="A443" s="335"/>
      <c r="B443" s="335"/>
      <c r="C443" s="335"/>
      <c r="D443" s="335"/>
      <c r="E443" s="335"/>
      <c r="F443" s="335"/>
      <c r="G443" s="335"/>
      <c r="H443" s="335"/>
      <c r="I443" s="335"/>
    </row>
    <row r="444">
      <c r="A444" s="335"/>
      <c r="B444" s="335"/>
      <c r="C444" s="335"/>
      <c r="D444" s="335"/>
      <c r="E444" s="335"/>
      <c r="F444" s="335"/>
      <c r="G444" s="335"/>
      <c r="H444" s="335"/>
      <c r="I444" s="335"/>
    </row>
    <row r="445">
      <c r="A445" s="335"/>
      <c r="B445" s="335"/>
      <c r="C445" s="335"/>
      <c r="D445" s="335"/>
      <c r="E445" s="335"/>
      <c r="F445" s="335"/>
      <c r="G445" s="335"/>
      <c r="H445" s="335"/>
      <c r="I445" s="335"/>
    </row>
    <row r="446">
      <c r="A446" s="335"/>
      <c r="B446" s="335"/>
      <c r="C446" s="335"/>
      <c r="D446" s="335"/>
      <c r="E446" s="335"/>
      <c r="F446" s="335"/>
      <c r="G446" s="335"/>
      <c r="H446" s="335"/>
      <c r="I446" s="335"/>
    </row>
    <row r="447">
      <c r="A447" s="335"/>
      <c r="B447" s="335"/>
      <c r="C447" s="335"/>
      <c r="D447" s="335"/>
      <c r="E447" s="335"/>
      <c r="F447" s="335"/>
      <c r="G447" s="335"/>
      <c r="H447" s="335"/>
      <c r="I447" s="335"/>
    </row>
    <row r="448">
      <c r="A448" s="335"/>
      <c r="B448" s="335"/>
      <c r="C448" s="335"/>
      <c r="D448" s="335"/>
      <c r="E448" s="335"/>
      <c r="F448" s="335"/>
      <c r="G448" s="335"/>
      <c r="H448" s="335"/>
      <c r="I448" s="335"/>
    </row>
    <row r="449">
      <c r="A449" s="335"/>
      <c r="B449" s="335"/>
      <c r="C449" s="335"/>
      <c r="D449" s="335"/>
      <c r="E449" s="335"/>
      <c r="F449" s="335"/>
      <c r="G449" s="335"/>
      <c r="H449" s="335"/>
      <c r="I449" s="335"/>
    </row>
    <row r="450">
      <c r="A450" s="335"/>
      <c r="B450" s="335"/>
      <c r="C450" s="335"/>
      <c r="D450" s="335"/>
      <c r="E450" s="335"/>
      <c r="F450" s="335"/>
      <c r="G450" s="335"/>
      <c r="H450" s="335"/>
      <c r="I450" s="335"/>
    </row>
    <row r="451">
      <c r="A451" s="335"/>
      <c r="B451" s="335"/>
      <c r="C451" s="335"/>
      <c r="D451" s="335"/>
      <c r="E451" s="335"/>
      <c r="F451" s="335"/>
      <c r="G451" s="335"/>
      <c r="H451" s="335"/>
      <c r="I451" s="335"/>
    </row>
    <row r="452">
      <c r="A452" s="335"/>
      <c r="B452" s="335"/>
      <c r="C452" s="335"/>
      <c r="D452" s="335"/>
      <c r="E452" s="335"/>
      <c r="F452" s="335"/>
      <c r="G452" s="335"/>
      <c r="H452" s="335"/>
      <c r="I452" s="335"/>
    </row>
    <row r="453">
      <c r="A453" s="335"/>
      <c r="B453" s="335"/>
      <c r="C453" s="335"/>
      <c r="D453" s="335"/>
      <c r="E453" s="335"/>
      <c r="F453" s="335"/>
      <c r="G453" s="335"/>
      <c r="H453" s="335"/>
      <c r="I453" s="335"/>
    </row>
    <row r="454">
      <c r="A454" s="335"/>
      <c r="B454" s="335"/>
      <c r="C454" s="335"/>
      <c r="D454" s="335"/>
      <c r="E454" s="335"/>
      <c r="F454" s="335"/>
      <c r="G454" s="335"/>
      <c r="H454" s="335"/>
      <c r="I454" s="335"/>
    </row>
    <row r="455">
      <c r="A455" s="335"/>
      <c r="B455" s="335"/>
      <c r="C455" s="335"/>
      <c r="D455" s="335"/>
      <c r="E455" s="335"/>
      <c r="F455" s="335"/>
      <c r="G455" s="335"/>
      <c r="H455" s="335"/>
      <c r="I455" s="335"/>
    </row>
    <row r="456">
      <c r="A456" s="335"/>
      <c r="B456" s="335"/>
      <c r="C456" s="335"/>
      <c r="D456" s="335"/>
      <c r="E456" s="335"/>
      <c r="F456" s="335"/>
      <c r="G456" s="335"/>
      <c r="H456" s="335"/>
      <c r="I456" s="335"/>
    </row>
    <row r="457">
      <c r="A457" s="335"/>
      <c r="B457" s="335"/>
      <c r="C457" s="335"/>
      <c r="D457" s="335"/>
      <c r="E457" s="335"/>
      <c r="F457" s="335"/>
      <c r="G457" s="335"/>
      <c r="H457" s="335"/>
      <c r="I457" s="335"/>
    </row>
    <row r="458">
      <c r="A458" s="335"/>
      <c r="B458" s="335"/>
      <c r="C458" s="335"/>
      <c r="D458" s="335"/>
      <c r="E458" s="335"/>
      <c r="F458" s="335"/>
      <c r="G458" s="335"/>
      <c r="H458" s="335"/>
      <c r="I458" s="335"/>
    </row>
    <row r="459">
      <c r="A459" s="335"/>
      <c r="B459" s="335"/>
      <c r="C459" s="335"/>
      <c r="D459" s="335"/>
      <c r="E459" s="335"/>
      <c r="F459" s="335"/>
      <c r="G459" s="335"/>
      <c r="H459" s="335"/>
      <c r="I459" s="335"/>
    </row>
    <row r="460">
      <c r="A460" s="335"/>
      <c r="B460" s="335"/>
      <c r="C460" s="335"/>
      <c r="D460" s="335"/>
      <c r="E460" s="335"/>
      <c r="F460" s="335"/>
      <c r="G460" s="335"/>
      <c r="H460" s="335"/>
      <c r="I460" s="335"/>
    </row>
    <row r="461">
      <c r="A461" s="335"/>
      <c r="B461" s="335"/>
      <c r="C461" s="335"/>
      <c r="D461" s="335"/>
      <c r="E461" s="335"/>
      <c r="F461" s="335"/>
      <c r="G461" s="335"/>
      <c r="H461" s="335"/>
      <c r="I461" s="335"/>
    </row>
    <row r="462">
      <c r="A462" s="335"/>
      <c r="B462" s="335"/>
      <c r="C462" s="335"/>
      <c r="D462" s="335"/>
      <c r="E462" s="335"/>
      <c r="F462" s="335"/>
      <c r="G462" s="335"/>
      <c r="H462" s="335"/>
      <c r="I462" s="335"/>
    </row>
    <row r="463">
      <c r="A463" s="335"/>
      <c r="B463" s="335"/>
      <c r="C463" s="335"/>
      <c r="D463" s="335"/>
      <c r="E463" s="335"/>
      <c r="F463" s="335"/>
      <c r="G463" s="335"/>
      <c r="H463" s="335"/>
      <c r="I463" s="335"/>
    </row>
    <row r="464">
      <c r="A464" s="335"/>
      <c r="B464" s="335"/>
      <c r="C464" s="335"/>
      <c r="D464" s="335"/>
      <c r="E464" s="335"/>
      <c r="F464" s="335"/>
      <c r="G464" s="335"/>
      <c r="H464" s="335"/>
      <c r="I464" s="335"/>
    </row>
    <row r="465">
      <c r="A465" s="335"/>
      <c r="B465" s="335"/>
      <c r="C465" s="335"/>
      <c r="D465" s="335"/>
      <c r="E465" s="335"/>
      <c r="F465" s="335"/>
      <c r="G465" s="335"/>
      <c r="H465" s="335"/>
      <c r="I465" s="335"/>
    </row>
    <row r="466">
      <c r="A466" s="335"/>
      <c r="B466" s="335"/>
      <c r="C466" s="335"/>
      <c r="D466" s="335"/>
      <c r="E466" s="335"/>
      <c r="F466" s="335"/>
      <c r="G466" s="335"/>
      <c r="H466" s="335"/>
      <c r="I466" s="335"/>
    </row>
    <row r="467">
      <c r="A467" s="335"/>
      <c r="B467" s="335"/>
      <c r="C467" s="335"/>
      <c r="D467" s="335"/>
      <c r="E467" s="335"/>
      <c r="F467" s="335"/>
      <c r="G467" s="335"/>
      <c r="H467" s="335"/>
      <c r="I467" s="335"/>
    </row>
    <row r="468">
      <c r="A468" s="335"/>
      <c r="B468" s="335"/>
      <c r="C468" s="335"/>
      <c r="D468" s="335"/>
      <c r="E468" s="335"/>
      <c r="F468" s="335"/>
      <c r="G468" s="335"/>
      <c r="H468" s="335"/>
      <c r="I468" s="335"/>
    </row>
    <row r="469">
      <c r="A469" s="335"/>
      <c r="B469" s="335"/>
      <c r="C469" s="335"/>
      <c r="D469" s="335"/>
      <c r="E469" s="335"/>
      <c r="F469" s="335"/>
      <c r="G469" s="335"/>
      <c r="H469" s="335"/>
      <c r="I469" s="335"/>
    </row>
    <row r="470">
      <c r="A470" s="335"/>
      <c r="B470" s="335"/>
      <c r="C470" s="335"/>
      <c r="D470" s="335"/>
      <c r="E470" s="335"/>
      <c r="F470" s="335"/>
      <c r="G470" s="335"/>
      <c r="H470" s="335"/>
      <c r="I470" s="335"/>
    </row>
    <row r="471">
      <c r="A471" s="335"/>
      <c r="B471" s="335"/>
      <c r="C471" s="335"/>
      <c r="D471" s="335"/>
      <c r="E471" s="335"/>
      <c r="F471" s="335"/>
      <c r="G471" s="335"/>
      <c r="H471" s="335"/>
      <c r="I471" s="335"/>
    </row>
    <row r="472">
      <c r="A472" s="335"/>
      <c r="B472" s="335"/>
      <c r="C472" s="335"/>
      <c r="D472" s="335"/>
      <c r="E472" s="335"/>
      <c r="F472" s="335"/>
      <c r="G472" s="335"/>
      <c r="H472" s="335"/>
      <c r="I472" s="335"/>
    </row>
    <row r="473">
      <c r="A473" s="335"/>
      <c r="B473" s="335"/>
      <c r="C473" s="335"/>
      <c r="D473" s="335"/>
      <c r="E473" s="335"/>
      <c r="F473" s="335"/>
      <c r="G473" s="335"/>
      <c r="H473" s="335"/>
      <c r="I473" s="335"/>
    </row>
    <row r="474">
      <c r="A474" s="335"/>
      <c r="B474" s="335"/>
      <c r="C474" s="335"/>
      <c r="D474" s="335"/>
      <c r="E474" s="335"/>
      <c r="F474" s="335"/>
      <c r="G474" s="335"/>
      <c r="H474" s="335"/>
      <c r="I474" s="335"/>
    </row>
    <row r="475">
      <c r="A475" s="335"/>
      <c r="B475" s="335"/>
      <c r="C475" s="335"/>
      <c r="D475" s="335"/>
      <c r="E475" s="335"/>
      <c r="F475" s="335"/>
      <c r="G475" s="335"/>
      <c r="H475" s="335"/>
      <c r="I475" s="335"/>
    </row>
    <row r="476">
      <c r="A476" s="335"/>
      <c r="B476" s="335"/>
      <c r="C476" s="335"/>
      <c r="D476" s="335"/>
      <c r="E476" s="335"/>
      <c r="F476" s="335"/>
      <c r="G476" s="335"/>
      <c r="H476" s="335"/>
      <c r="I476" s="335"/>
    </row>
    <row r="477">
      <c r="A477" s="335"/>
      <c r="B477" s="335"/>
      <c r="C477" s="335"/>
      <c r="D477" s="335"/>
      <c r="E477" s="335"/>
      <c r="F477" s="335"/>
      <c r="G477" s="335"/>
      <c r="H477" s="335"/>
      <c r="I477" s="335"/>
    </row>
    <row r="478">
      <c r="A478" s="335"/>
      <c r="B478" s="335"/>
      <c r="C478" s="335"/>
      <c r="D478" s="335"/>
      <c r="E478" s="335"/>
      <c r="F478" s="335"/>
      <c r="G478" s="335"/>
      <c r="H478" s="335"/>
      <c r="I478" s="335"/>
    </row>
    <row r="479">
      <c r="A479" s="335"/>
      <c r="B479" s="335"/>
      <c r="C479" s="335"/>
      <c r="D479" s="335"/>
      <c r="E479" s="335"/>
      <c r="F479" s="335"/>
      <c r="G479" s="335"/>
      <c r="H479" s="335"/>
      <c r="I479" s="335"/>
    </row>
    <row r="480">
      <c r="A480" s="335"/>
      <c r="B480" s="335"/>
      <c r="C480" s="335"/>
      <c r="D480" s="335"/>
      <c r="E480" s="335"/>
      <c r="F480" s="335"/>
      <c r="G480" s="335"/>
      <c r="H480" s="335"/>
      <c r="I480" s="335"/>
    </row>
    <row r="481">
      <c r="A481" s="335"/>
      <c r="B481" s="335"/>
      <c r="C481" s="335"/>
      <c r="D481" s="335"/>
      <c r="E481" s="335"/>
      <c r="F481" s="335"/>
      <c r="G481" s="335"/>
      <c r="H481" s="335"/>
      <c r="I481" s="335"/>
    </row>
    <row r="482">
      <c r="A482" s="335"/>
      <c r="B482" s="335"/>
      <c r="C482" s="335"/>
      <c r="D482" s="335"/>
      <c r="E482" s="335"/>
      <c r="F482" s="335"/>
      <c r="G482" s="335"/>
      <c r="H482" s="335"/>
      <c r="I482" s="335"/>
    </row>
    <row r="483">
      <c r="A483" s="335"/>
      <c r="B483" s="335"/>
      <c r="C483" s="335"/>
      <c r="D483" s="335"/>
      <c r="E483" s="335"/>
      <c r="F483" s="335"/>
      <c r="G483" s="335"/>
      <c r="H483" s="335"/>
      <c r="I483" s="335"/>
    </row>
    <row r="484">
      <c r="A484" s="335"/>
      <c r="B484" s="335"/>
      <c r="C484" s="335"/>
      <c r="D484" s="335"/>
      <c r="E484" s="335"/>
      <c r="F484" s="335"/>
      <c r="G484" s="335"/>
      <c r="H484" s="335"/>
      <c r="I484" s="335"/>
    </row>
    <row r="485">
      <c r="A485" s="335"/>
      <c r="B485" s="335"/>
      <c r="C485" s="335"/>
      <c r="D485" s="335"/>
      <c r="E485" s="335"/>
      <c r="F485" s="335"/>
      <c r="G485" s="335"/>
      <c r="H485" s="335"/>
      <c r="I485" s="335"/>
    </row>
    <row r="486">
      <c r="A486" s="335"/>
      <c r="B486" s="335"/>
      <c r="C486" s="335"/>
      <c r="D486" s="335"/>
      <c r="E486" s="335"/>
      <c r="F486" s="335"/>
      <c r="G486" s="335"/>
      <c r="H486" s="335"/>
      <c r="I486" s="335"/>
    </row>
    <row r="487">
      <c r="A487" s="335"/>
      <c r="B487" s="335"/>
      <c r="C487" s="335"/>
      <c r="D487" s="335"/>
      <c r="E487" s="335"/>
      <c r="F487" s="335"/>
      <c r="G487" s="335"/>
      <c r="H487" s="335"/>
      <c r="I487" s="335"/>
    </row>
    <row r="488">
      <c r="A488" s="335"/>
      <c r="B488" s="335"/>
      <c r="C488" s="335"/>
      <c r="D488" s="335"/>
      <c r="E488" s="335"/>
      <c r="F488" s="335"/>
      <c r="G488" s="335"/>
      <c r="H488" s="335"/>
      <c r="I488" s="335"/>
    </row>
    <row r="489">
      <c r="A489" s="335"/>
      <c r="B489" s="335"/>
      <c r="C489" s="335"/>
      <c r="D489" s="335"/>
      <c r="E489" s="335"/>
      <c r="F489" s="335"/>
      <c r="G489" s="335"/>
      <c r="H489" s="335"/>
      <c r="I489" s="335"/>
    </row>
    <row r="490">
      <c r="A490" s="335"/>
      <c r="B490" s="335"/>
      <c r="C490" s="335"/>
      <c r="D490" s="335"/>
      <c r="E490" s="335"/>
      <c r="F490" s="335"/>
      <c r="G490" s="335"/>
      <c r="H490" s="335"/>
      <c r="I490" s="335"/>
    </row>
    <row r="491">
      <c r="A491" s="335"/>
      <c r="B491" s="335"/>
      <c r="C491" s="335"/>
      <c r="D491" s="335"/>
      <c r="E491" s="335"/>
      <c r="F491" s="335"/>
      <c r="G491" s="335"/>
      <c r="H491" s="335"/>
      <c r="I491" s="335"/>
    </row>
    <row r="492">
      <c r="A492" s="335"/>
      <c r="B492" s="335"/>
      <c r="C492" s="335"/>
      <c r="D492" s="335"/>
      <c r="E492" s="335"/>
      <c r="F492" s="335"/>
      <c r="G492" s="335"/>
      <c r="H492" s="335"/>
      <c r="I492" s="335"/>
    </row>
    <row r="493">
      <c r="A493" s="335"/>
      <c r="B493" s="335"/>
      <c r="C493" s="335"/>
      <c r="D493" s="335"/>
      <c r="E493" s="335"/>
      <c r="F493" s="335"/>
      <c r="G493" s="335"/>
      <c r="H493" s="335"/>
      <c r="I493" s="335"/>
    </row>
    <row r="494">
      <c r="A494" s="335"/>
      <c r="B494" s="335"/>
      <c r="C494" s="335"/>
      <c r="D494" s="335"/>
      <c r="E494" s="335"/>
      <c r="F494" s="335"/>
      <c r="G494" s="335"/>
      <c r="H494" s="335"/>
      <c r="I494" s="335"/>
    </row>
    <row r="495">
      <c r="A495" s="335"/>
      <c r="B495" s="335"/>
      <c r="C495" s="335"/>
      <c r="D495" s="335"/>
      <c r="E495" s="335"/>
      <c r="F495" s="335"/>
      <c r="G495" s="335"/>
      <c r="H495" s="335"/>
      <c r="I495" s="335"/>
    </row>
    <row r="496">
      <c r="A496" s="335"/>
      <c r="B496" s="335"/>
      <c r="C496" s="335"/>
      <c r="D496" s="335"/>
      <c r="E496" s="335"/>
      <c r="F496" s="335"/>
      <c r="G496" s="335"/>
      <c r="H496" s="335"/>
      <c r="I496" s="335"/>
    </row>
    <row r="497">
      <c r="A497" s="335"/>
      <c r="B497" s="335"/>
      <c r="C497" s="335"/>
      <c r="D497" s="335"/>
      <c r="E497" s="335"/>
      <c r="F497" s="335"/>
      <c r="G497" s="335"/>
      <c r="H497" s="335"/>
      <c r="I497" s="335"/>
    </row>
    <row r="498">
      <c r="A498" s="335"/>
      <c r="B498" s="335"/>
      <c r="C498" s="335"/>
      <c r="D498" s="335"/>
      <c r="E498" s="335"/>
      <c r="F498" s="335"/>
      <c r="G498" s="335"/>
      <c r="H498" s="335"/>
      <c r="I498" s="335"/>
    </row>
    <row r="499">
      <c r="A499" s="335"/>
      <c r="B499" s="335"/>
      <c r="C499" s="335"/>
      <c r="D499" s="335"/>
      <c r="E499" s="335"/>
      <c r="F499" s="335"/>
      <c r="G499" s="335"/>
      <c r="H499" s="335"/>
      <c r="I499" s="335"/>
    </row>
    <row r="500">
      <c r="A500" s="335"/>
      <c r="B500" s="335"/>
      <c r="C500" s="335"/>
      <c r="D500" s="335"/>
      <c r="E500" s="335"/>
      <c r="F500" s="335"/>
      <c r="G500" s="335"/>
      <c r="H500" s="335"/>
      <c r="I500" s="335"/>
    </row>
    <row r="501">
      <c r="A501" s="335"/>
      <c r="B501" s="335"/>
      <c r="C501" s="335"/>
      <c r="D501" s="335"/>
      <c r="E501" s="335"/>
      <c r="F501" s="335"/>
      <c r="G501" s="335"/>
      <c r="H501" s="335"/>
      <c r="I501" s="335"/>
    </row>
    <row r="502">
      <c r="A502" s="335"/>
      <c r="B502" s="335"/>
      <c r="C502" s="335"/>
      <c r="D502" s="335"/>
      <c r="E502" s="335"/>
      <c r="F502" s="335"/>
      <c r="G502" s="335"/>
      <c r="H502" s="335"/>
      <c r="I502" s="335"/>
    </row>
    <row r="503">
      <c r="A503" s="335"/>
      <c r="B503" s="335"/>
      <c r="C503" s="335"/>
      <c r="D503" s="335"/>
      <c r="E503" s="335"/>
      <c r="F503" s="335"/>
      <c r="G503" s="335"/>
      <c r="H503" s="335"/>
      <c r="I503" s="335"/>
    </row>
    <row r="504">
      <c r="A504" s="335"/>
      <c r="B504" s="335"/>
      <c r="C504" s="335"/>
      <c r="D504" s="335"/>
      <c r="E504" s="335"/>
      <c r="F504" s="335"/>
      <c r="G504" s="335"/>
      <c r="H504" s="335"/>
      <c r="I504" s="335"/>
    </row>
    <row r="505">
      <c r="A505" s="335"/>
      <c r="B505" s="335"/>
      <c r="C505" s="335"/>
      <c r="D505" s="335"/>
      <c r="E505" s="335"/>
      <c r="F505" s="335"/>
      <c r="G505" s="335"/>
      <c r="H505" s="335"/>
      <c r="I505" s="335"/>
    </row>
    <row r="506">
      <c r="A506" s="335"/>
      <c r="B506" s="335"/>
      <c r="C506" s="335"/>
      <c r="D506" s="335"/>
      <c r="E506" s="335"/>
      <c r="F506" s="335"/>
      <c r="G506" s="335"/>
      <c r="H506" s="335"/>
      <c r="I506" s="335"/>
    </row>
    <row r="507">
      <c r="A507" s="335"/>
      <c r="B507" s="335"/>
      <c r="C507" s="335"/>
      <c r="D507" s="335"/>
      <c r="E507" s="335"/>
      <c r="F507" s="335"/>
      <c r="G507" s="335"/>
      <c r="H507" s="335"/>
      <c r="I507" s="335"/>
    </row>
    <row r="508">
      <c r="A508" s="335"/>
      <c r="B508" s="335"/>
      <c r="C508" s="335"/>
      <c r="D508" s="335"/>
      <c r="E508" s="335"/>
      <c r="F508" s="335"/>
      <c r="G508" s="335"/>
      <c r="H508" s="335"/>
      <c r="I508" s="335"/>
    </row>
    <row r="509">
      <c r="A509" s="335"/>
      <c r="B509" s="335"/>
      <c r="C509" s="335"/>
      <c r="D509" s="335"/>
      <c r="E509" s="335"/>
      <c r="F509" s="335"/>
      <c r="G509" s="335"/>
      <c r="H509" s="335"/>
      <c r="I509" s="335"/>
    </row>
    <row r="510">
      <c r="A510" s="335"/>
      <c r="B510" s="335"/>
      <c r="C510" s="335"/>
      <c r="D510" s="335"/>
      <c r="E510" s="335"/>
      <c r="F510" s="335"/>
      <c r="G510" s="335"/>
      <c r="H510" s="335"/>
      <c r="I510" s="335"/>
    </row>
    <row r="511">
      <c r="A511" s="335"/>
      <c r="B511" s="335"/>
      <c r="C511" s="335"/>
      <c r="D511" s="335"/>
      <c r="E511" s="335"/>
      <c r="F511" s="335"/>
      <c r="G511" s="335"/>
      <c r="H511" s="335"/>
      <c r="I511" s="335"/>
    </row>
    <row r="512">
      <c r="A512" s="335"/>
      <c r="B512" s="335"/>
      <c r="C512" s="335"/>
      <c r="D512" s="335"/>
      <c r="E512" s="335"/>
      <c r="F512" s="335"/>
      <c r="G512" s="335"/>
      <c r="H512" s="335"/>
      <c r="I512" s="335"/>
    </row>
    <row r="513">
      <c r="A513" s="335"/>
      <c r="B513" s="335"/>
      <c r="C513" s="335"/>
      <c r="D513" s="335"/>
      <c r="E513" s="335"/>
      <c r="F513" s="335"/>
      <c r="G513" s="335"/>
      <c r="H513" s="335"/>
      <c r="I513" s="335"/>
    </row>
    <row r="514">
      <c r="A514" s="335"/>
      <c r="B514" s="335"/>
      <c r="C514" s="335"/>
      <c r="D514" s="335"/>
      <c r="E514" s="335"/>
      <c r="F514" s="335"/>
      <c r="G514" s="335"/>
      <c r="H514" s="335"/>
      <c r="I514" s="335"/>
    </row>
    <row r="515">
      <c r="A515" s="335"/>
      <c r="B515" s="335"/>
      <c r="C515" s="335"/>
      <c r="D515" s="335"/>
      <c r="E515" s="335"/>
      <c r="F515" s="335"/>
      <c r="G515" s="335"/>
      <c r="H515" s="335"/>
      <c r="I515" s="335"/>
    </row>
    <row r="516">
      <c r="A516" s="335"/>
      <c r="B516" s="335"/>
      <c r="C516" s="335"/>
      <c r="D516" s="335"/>
      <c r="E516" s="335"/>
      <c r="F516" s="335"/>
      <c r="G516" s="335"/>
      <c r="H516" s="335"/>
      <c r="I516" s="335"/>
    </row>
    <row r="517">
      <c r="A517" s="335"/>
      <c r="B517" s="335"/>
      <c r="C517" s="335"/>
      <c r="D517" s="335"/>
      <c r="E517" s="335"/>
      <c r="F517" s="335"/>
      <c r="G517" s="335"/>
      <c r="H517" s="335"/>
      <c r="I517" s="335"/>
    </row>
    <row r="518">
      <c r="A518" s="335"/>
      <c r="B518" s="335"/>
      <c r="C518" s="335"/>
      <c r="D518" s="335"/>
      <c r="E518" s="335"/>
      <c r="F518" s="335"/>
      <c r="G518" s="335"/>
      <c r="H518" s="335"/>
      <c r="I518" s="335"/>
    </row>
    <row r="519">
      <c r="A519" s="335"/>
      <c r="B519" s="335"/>
      <c r="C519" s="335"/>
      <c r="D519" s="335"/>
      <c r="E519" s="335"/>
      <c r="F519" s="335"/>
      <c r="G519" s="335"/>
      <c r="H519" s="335"/>
      <c r="I519" s="335"/>
    </row>
    <row r="520">
      <c r="A520" s="335"/>
      <c r="B520" s="335"/>
      <c r="C520" s="335"/>
      <c r="D520" s="335"/>
      <c r="E520" s="335"/>
      <c r="F520" s="335"/>
      <c r="G520" s="335"/>
      <c r="H520" s="335"/>
      <c r="I520" s="335"/>
    </row>
    <row r="521">
      <c r="A521" s="335"/>
      <c r="B521" s="335"/>
      <c r="C521" s="335"/>
      <c r="D521" s="335"/>
      <c r="E521" s="335"/>
      <c r="F521" s="335"/>
      <c r="G521" s="335"/>
      <c r="H521" s="335"/>
      <c r="I521" s="335"/>
    </row>
    <row r="522">
      <c r="A522" s="335"/>
      <c r="B522" s="335"/>
      <c r="C522" s="335"/>
      <c r="D522" s="335"/>
      <c r="E522" s="335"/>
      <c r="F522" s="335"/>
      <c r="G522" s="335"/>
      <c r="H522" s="335"/>
      <c r="I522" s="335"/>
    </row>
    <row r="523">
      <c r="A523" s="335"/>
      <c r="B523" s="335"/>
      <c r="C523" s="335"/>
      <c r="D523" s="335"/>
      <c r="E523" s="335"/>
      <c r="F523" s="335"/>
      <c r="G523" s="335"/>
      <c r="H523" s="335"/>
      <c r="I523" s="335"/>
    </row>
    <row r="524">
      <c r="A524" s="335"/>
      <c r="B524" s="335"/>
      <c r="C524" s="335"/>
      <c r="D524" s="335"/>
      <c r="E524" s="335"/>
      <c r="F524" s="335"/>
      <c r="G524" s="335"/>
      <c r="H524" s="335"/>
      <c r="I524" s="335"/>
    </row>
    <row r="525">
      <c r="A525" s="335"/>
      <c r="B525" s="335"/>
      <c r="C525" s="335"/>
      <c r="D525" s="335"/>
      <c r="E525" s="335"/>
      <c r="F525" s="335"/>
      <c r="G525" s="335"/>
      <c r="H525" s="335"/>
      <c r="I525" s="335"/>
    </row>
    <row r="526">
      <c r="A526" s="335"/>
      <c r="B526" s="335"/>
      <c r="C526" s="335"/>
      <c r="D526" s="335"/>
      <c r="E526" s="335"/>
      <c r="F526" s="335"/>
      <c r="G526" s="335"/>
      <c r="H526" s="335"/>
      <c r="I526" s="335"/>
    </row>
    <row r="527">
      <c r="A527" s="335"/>
      <c r="B527" s="335"/>
      <c r="C527" s="335"/>
      <c r="D527" s="335"/>
      <c r="E527" s="335"/>
      <c r="F527" s="335"/>
      <c r="G527" s="335"/>
      <c r="H527" s="335"/>
      <c r="I527" s="335"/>
    </row>
    <row r="528">
      <c r="A528" s="335"/>
      <c r="B528" s="335"/>
      <c r="C528" s="335"/>
      <c r="D528" s="335"/>
      <c r="E528" s="335"/>
      <c r="F528" s="335"/>
      <c r="G528" s="335"/>
      <c r="H528" s="335"/>
      <c r="I528" s="335"/>
    </row>
    <row r="529">
      <c r="A529" s="335"/>
      <c r="B529" s="335"/>
      <c r="C529" s="335"/>
      <c r="D529" s="335"/>
      <c r="E529" s="335"/>
      <c r="F529" s="335"/>
      <c r="G529" s="335"/>
      <c r="H529" s="335"/>
      <c r="I529" s="335"/>
    </row>
    <row r="530">
      <c r="A530" s="335"/>
      <c r="B530" s="335"/>
      <c r="C530" s="335"/>
      <c r="D530" s="335"/>
      <c r="E530" s="335"/>
      <c r="F530" s="335"/>
      <c r="G530" s="335"/>
      <c r="H530" s="335"/>
      <c r="I530" s="335"/>
    </row>
    <row r="531">
      <c r="A531" s="335"/>
      <c r="B531" s="335"/>
      <c r="C531" s="335"/>
      <c r="D531" s="335"/>
      <c r="E531" s="335"/>
      <c r="F531" s="335"/>
      <c r="G531" s="335"/>
      <c r="H531" s="335"/>
      <c r="I531" s="335"/>
    </row>
    <row r="532">
      <c r="A532" s="335"/>
      <c r="B532" s="335"/>
      <c r="C532" s="335"/>
      <c r="D532" s="335"/>
      <c r="E532" s="335"/>
      <c r="F532" s="335"/>
      <c r="G532" s="335"/>
      <c r="H532" s="335"/>
      <c r="I532" s="335"/>
    </row>
    <row r="533">
      <c r="A533" s="335"/>
      <c r="B533" s="335"/>
      <c r="C533" s="335"/>
      <c r="D533" s="335"/>
      <c r="E533" s="335"/>
      <c r="F533" s="335"/>
      <c r="G533" s="335"/>
      <c r="H533" s="335"/>
      <c r="I533" s="335"/>
    </row>
    <row r="534">
      <c r="A534" s="335"/>
      <c r="B534" s="335"/>
      <c r="C534" s="335"/>
      <c r="D534" s="335"/>
      <c r="E534" s="335"/>
      <c r="F534" s="335"/>
      <c r="G534" s="335"/>
      <c r="H534" s="335"/>
      <c r="I534" s="335"/>
    </row>
    <row r="535">
      <c r="A535" s="335"/>
      <c r="B535" s="335"/>
      <c r="C535" s="335"/>
      <c r="D535" s="335"/>
      <c r="E535" s="335"/>
      <c r="F535" s="335"/>
      <c r="G535" s="335"/>
      <c r="H535" s="335"/>
      <c r="I535" s="335"/>
    </row>
    <row r="536">
      <c r="A536" s="335"/>
      <c r="B536" s="335"/>
      <c r="C536" s="335"/>
      <c r="D536" s="335"/>
      <c r="E536" s="335"/>
      <c r="F536" s="335"/>
      <c r="G536" s="335"/>
      <c r="H536" s="335"/>
      <c r="I536" s="335"/>
    </row>
    <row r="537">
      <c r="A537" s="335"/>
      <c r="B537" s="335"/>
      <c r="C537" s="335"/>
      <c r="D537" s="335"/>
      <c r="E537" s="335"/>
      <c r="F537" s="335"/>
      <c r="G537" s="335"/>
      <c r="H537" s="335"/>
      <c r="I537" s="335"/>
    </row>
    <row r="538">
      <c r="A538" s="335"/>
      <c r="B538" s="335"/>
      <c r="C538" s="335"/>
      <c r="D538" s="335"/>
      <c r="E538" s="335"/>
      <c r="F538" s="335"/>
      <c r="G538" s="335"/>
      <c r="H538" s="335"/>
      <c r="I538" s="335"/>
    </row>
    <row r="539">
      <c r="A539" s="335"/>
      <c r="B539" s="335"/>
      <c r="C539" s="335"/>
      <c r="D539" s="335"/>
      <c r="E539" s="335"/>
      <c r="F539" s="335"/>
      <c r="G539" s="335"/>
      <c r="H539" s="335"/>
      <c r="I539" s="335"/>
    </row>
    <row r="540">
      <c r="A540" s="335"/>
      <c r="B540" s="335"/>
      <c r="C540" s="335"/>
      <c r="D540" s="335"/>
      <c r="E540" s="335"/>
      <c r="F540" s="335"/>
      <c r="G540" s="335"/>
      <c r="H540" s="335"/>
      <c r="I540" s="335"/>
    </row>
    <row r="541">
      <c r="A541" s="335"/>
      <c r="B541" s="335"/>
      <c r="C541" s="335"/>
      <c r="D541" s="335"/>
      <c r="E541" s="335"/>
      <c r="F541" s="335"/>
      <c r="G541" s="335"/>
      <c r="H541" s="335"/>
      <c r="I541" s="335"/>
    </row>
    <row r="542">
      <c r="A542" s="335"/>
      <c r="B542" s="335"/>
      <c r="C542" s="335"/>
      <c r="D542" s="335"/>
      <c r="E542" s="335"/>
      <c r="F542" s="335"/>
      <c r="G542" s="335"/>
      <c r="H542" s="335"/>
      <c r="I542" s="335"/>
    </row>
    <row r="543">
      <c r="A543" s="335"/>
      <c r="B543" s="335"/>
      <c r="C543" s="335"/>
      <c r="D543" s="335"/>
      <c r="E543" s="335"/>
      <c r="F543" s="335"/>
      <c r="G543" s="335"/>
      <c r="H543" s="335"/>
      <c r="I543" s="335"/>
    </row>
    <row r="544">
      <c r="A544" s="335"/>
      <c r="B544" s="335"/>
      <c r="C544" s="335"/>
      <c r="D544" s="335"/>
      <c r="E544" s="335"/>
      <c r="F544" s="335"/>
      <c r="G544" s="335"/>
      <c r="H544" s="335"/>
      <c r="I544" s="335"/>
    </row>
    <row r="545">
      <c r="A545" s="335"/>
      <c r="B545" s="335"/>
      <c r="C545" s="335"/>
      <c r="D545" s="335"/>
      <c r="E545" s="335"/>
      <c r="F545" s="335"/>
      <c r="G545" s="335"/>
      <c r="H545" s="335"/>
      <c r="I545" s="335"/>
    </row>
    <row r="546">
      <c r="A546" s="335"/>
      <c r="B546" s="335"/>
      <c r="C546" s="335"/>
      <c r="D546" s="335"/>
      <c r="E546" s="335"/>
      <c r="F546" s="335"/>
      <c r="G546" s="335"/>
      <c r="H546" s="335"/>
      <c r="I546" s="335"/>
    </row>
    <row r="547">
      <c r="A547" s="335"/>
      <c r="B547" s="335"/>
      <c r="C547" s="335"/>
      <c r="D547" s="335"/>
      <c r="E547" s="335"/>
      <c r="F547" s="335"/>
      <c r="G547" s="335"/>
      <c r="H547" s="335"/>
      <c r="I547" s="335"/>
    </row>
    <row r="548">
      <c r="A548" s="335"/>
      <c r="B548" s="335"/>
      <c r="C548" s="335"/>
      <c r="D548" s="335"/>
      <c r="E548" s="335"/>
      <c r="F548" s="335"/>
      <c r="G548" s="335"/>
      <c r="H548" s="335"/>
      <c r="I548" s="335"/>
    </row>
    <row r="549">
      <c r="A549" s="335"/>
      <c r="B549" s="335"/>
      <c r="C549" s="335"/>
      <c r="D549" s="335"/>
      <c r="E549" s="335"/>
      <c r="F549" s="335"/>
      <c r="G549" s="335"/>
      <c r="H549" s="335"/>
      <c r="I549" s="335"/>
    </row>
    <row r="550">
      <c r="A550" s="335"/>
      <c r="B550" s="335"/>
      <c r="C550" s="335"/>
      <c r="D550" s="335"/>
      <c r="E550" s="335"/>
      <c r="F550" s="335"/>
      <c r="G550" s="335"/>
      <c r="H550" s="335"/>
      <c r="I550" s="335"/>
    </row>
    <row r="551">
      <c r="A551" s="335"/>
      <c r="B551" s="335"/>
      <c r="C551" s="335"/>
      <c r="D551" s="335"/>
      <c r="E551" s="335"/>
      <c r="F551" s="335"/>
      <c r="G551" s="335"/>
      <c r="H551" s="335"/>
      <c r="I551" s="335"/>
    </row>
    <row r="552">
      <c r="A552" s="335"/>
      <c r="B552" s="335"/>
      <c r="C552" s="335"/>
      <c r="D552" s="335"/>
      <c r="E552" s="335"/>
      <c r="F552" s="335"/>
      <c r="G552" s="335"/>
      <c r="H552" s="335"/>
      <c r="I552" s="335"/>
    </row>
    <row r="553">
      <c r="A553" s="335"/>
      <c r="B553" s="335"/>
      <c r="C553" s="335"/>
      <c r="D553" s="335"/>
      <c r="E553" s="335"/>
      <c r="F553" s="335"/>
      <c r="G553" s="335"/>
      <c r="H553" s="335"/>
      <c r="I553" s="335"/>
    </row>
    <row r="554">
      <c r="A554" s="335"/>
      <c r="B554" s="335"/>
      <c r="C554" s="335"/>
      <c r="D554" s="335"/>
      <c r="E554" s="335"/>
      <c r="F554" s="335"/>
      <c r="G554" s="335"/>
      <c r="H554" s="335"/>
      <c r="I554" s="335"/>
    </row>
    <row r="555">
      <c r="A555" s="335"/>
      <c r="B555" s="335"/>
      <c r="C555" s="335"/>
      <c r="D555" s="335"/>
      <c r="E555" s="335"/>
      <c r="F555" s="335"/>
      <c r="G555" s="335"/>
      <c r="H555" s="335"/>
      <c r="I555" s="335"/>
    </row>
    <row r="556">
      <c r="A556" s="335"/>
      <c r="B556" s="335"/>
      <c r="C556" s="335"/>
      <c r="D556" s="335"/>
      <c r="E556" s="335"/>
      <c r="F556" s="335"/>
      <c r="G556" s="335"/>
      <c r="H556" s="335"/>
      <c r="I556" s="335"/>
    </row>
    <row r="557">
      <c r="A557" s="335"/>
      <c r="B557" s="335"/>
      <c r="C557" s="335"/>
      <c r="D557" s="335"/>
      <c r="E557" s="335"/>
      <c r="F557" s="335"/>
      <c r="G557" s="335"/>
      <c r="H557" s="335"/>
      <c r="I557" s="335"/>
    </row>
    <row r="558">
      <c r="A558" s="335"/>
      <c r="B558" s="335"/>
      <c r="C558" s="335"/>
      <c r="D558" s="335"/>
      <c r="E558" s="335"/>
      <c r="F558" s="335"/>
      <c r="G558" s="335"/>
      <c r="H558" s="335"/>
      <c r="I558" s="335"/>
    </row>
    <row r="559">
      <c r="A559" s="335"/>
      <c r="B559" s="335"/>
      <c r="C559" s="335"/>
      <c r="D559" s="335"/>
      <c r="E559" s="335"/>
      <c r="F559" s="335"/>
      <c r="G559" s="335"/>
      <c r="H559" s="335"/>
      <c r="I559" s="335"/>
    </row>
    <row r="560">
      <c r="A560" s="335"/>
      <c r="B560" s="335"/>
      <c r="C560" s="335"/>
      <c r="D560" s="335"/>
      <c r="E560" s="335"/>
      <c r="F560" s="335"/>
      <c r="G560" s="335"/>
      <c r="H560" s="335"/>
      <c r="I560" s="335"/>
    </row>
    <row r="561">
      <c r="A561" s="335"/>
      <c r="B561" s="335"/>
      <c r="C561" s="335"/>
      <c r="D561" s="335"/>
      <c r="E561" s="335"/>
      <c r="F561" s="335"/>
      <c r="G561" s="335"/>
      <c r="H561" s="335"/>
      <c r="I561" s="335"/>
    </row>
    <row r="562">
      <c r="A562" s="335"/>
      <c r="B562" s="335"/>
      <c r="C562" s="335"/>
      <c r="D562" s="335"/>
      <c r="E562" s="335"/>
      <c r="F562" s="335"/>
      <c r="G562" s="335"/>
      <c r="H562" s="335"/>
      <c r="I562" s="335"/>
    </row>
    <row r="563">
      <c r="A563" s="335"/>
      <c r="B563" s="335"/>
      <c r="C563" s="335"/>
      <c r="D563" s="335"/>
      <c r="E563" s="335"/>
      <c r="F563" s="335"/>
      <c r="G563" s="335"/>
      <c r="H563" s="335"/>
      <c r="I563" s="335"/>
    </row>
    <row r="564">
      <c r="A564" s="335"/>
      <c r="B564" s="335"/>
      <c r="C564" s="335"/>
      <c r="D564" s="335"/>
      <c r="E564" s="335"/>
      <c r="F564" s="335"/>
      <c r="G564" s="335"/>
      <c r="H564" s="335"/>
      <c r="I564" s="335"/>
    </row>
    <row r="565">
      <c r="A565" s="335"/>
      <c r="B565" s="335"/>
      <c r="C565" s="335"/>
      <c r="D565" s="335"/>
      <c r="E565" s="335"/>
      <c r="F565" s="335"/>
      <c r="G565" s="335"/>
      <c r="H565" s="335"/>
      <c r="I565" s="335"/>
    </row>
    <row r="566">
      <c r="A566" s="335"/>
      <c r="B566" s="335"/>
      <c r="C566" s="335"/>
      <c r="D566" s="335"/>
      <c r="E566" s="335"/>
      <c r="F566" s="335"/>
      <c r="G566" s="335"/>
      <c r="H566" s="335"/>
      <c r="I566" s="335"/>
    </row>
    <row r="567">
      <c r="A567" s="335"/>
      <c r="B567" s="335"/>
      <c r="C567" s="335"/>
      <c r="D567" s="335"/>
      <c r="E567" s="335"/>
      <c r="F567" s="335"/>
      <c r="G567" s="335"/>
      <c r="H567" s="335"/>
      <c r="I567" s="335"/>
    </row>
    <row r="568">
      <c r="A568" s="335"/>
      <c r="B568" s="335"/>
      <c r="C568" s="335"/>
      <c r="D568" s="335"/>
      <c r="E568" s="335"/>
      <c r="F568" s="335"/>
      <c r="G568" s="335"/>
      <c r="H568" s="335"/>
      <c r="I568" s="335"/>
    </row>
    <row r="569">
      <c r="A569" s="335"/>
      <c r="B569" s="335"/>
      <c r="C569" s="335"/>
      <c r="D569" s="335"/>
      <c r="E569" s="335"/>
      <c r="F569" s="335"/>
      <c r="G569" s="335"/>
      <c r="H569" s="335"/>
      <c r="I569" s="335"/>
    </row>
    <row r="570">
      <c r="A570" s="335"/>
      <c r="B570" s="335"/>
      <c r="C570" s="335"/>
      <c r="D570" s="335"/>
      <c r="E570" s="335"/>
      <c r="F570" s="335"/>
      <c r="G570" s="335"/>
      <c r="H570" s="335"/>
      <c r="I570" s="335"/>
    </row>
    <row r="571">
      <c r="A571" s="335"/>
      <c r="B571" s="335"/>
      <c r="C571" s="335"/>
      <c r="D571" s="335"/>
      <c r="E571" s="335"/>
      <c r="F571" s="335"/>
      <c r="G571" s="335"/>
      <c r="H571" s="335"/>
      <c r="I571" s="335"/>
    </row>
    <row r="572">
      <c r="A572" s="335"/>
      <c r="B572" s="335"/>
      <c r="C572" s="335"/>
      <c r="D572" s="335"/>
      <c r="E572" s="335"/>
      <c r="F572" s="335"/>
      <c r="G572" s="335"/>
      <c r="H572" s="335"/>
      <c r="I572" s="335"/>
    </row>
    <row r="573">
      <c r="A573" s="335"/>
      <c r="B573" s="335"/>
      <c r="C573" s="335"/>
      <c r="D573" s="335"/>
      <c r="E573" s="335"/>
      <c r="F573" s="335"/>
      <c r="G573" s="335"/>
      <c r="H573" s="335"/>
      <c r="I573" s="335"/>
    </row>
    <row r="574">
      <c r="A574" s="335"/>
      <c r="B574" s="335"/>
      <c r="C574" s="335"/>
      <c r="D574" s="335"/>
      <c r="E574" s="335"/>
      <c r="F574" s="335"/>
      <c r="G574" s="335"/>
      <c r="H574" s="335"/>
      <c r="I574" s="335"/>
    </row>
    <row r="575">
      <c r="A575" s="335"/>
      <c r="B575" s="335"/>
      <c r="C575" s="335"/>
      <c r="D575" s="335"/>
      <c r="E575" s="335"/>
      <c r="F575" s="335"/>
      <c r="G575" s="335"/>
      <c r="H575" s="335"/>
      <c r="I575" s="335"/>
    </row>
    <row r="576">
      <c r="A576" s="335"/>
      <c r="B576" s="335"/>
      <c r="C576" s="335"/>
      <c r="D576" s="335"/>
      <c r="E576" s="335"/>
      <c r="F576" s="335"/>
      <c r="G576" s="335"/>
      <c r="H576" s="335"/>
      <c r="I576" s="335"/>
    </row>
    <row r="577">
      <c r="A577" s="335"/>
      <c r="B577" s="335"/>
      <c r="C577" s="335"/>
      <c r="D577" s="335"/>
      <c r="E577" s="335"/>
      <c r="F577" s="335"/>
      <c r="G577" s="335"/>
      <c r="H577" s="335"/>
      <c r="I577" s="335"/>
    </row>
    <row r="578">
      <c r="A578" s="335"/>
      <c r="B578" s="335"/>
      <c r="C578" s="335"/>
      <c r="D578" s="335"/>
      <c r="E578" s="335"/>
      <c r="F578" s="335"/>
      <c r="G578" s="335"/>
      <c r="H578" s="335"/>
      <c r="I578" s="335"/>
    </row>
    <row r="579">
      <c r="A579" s="335"/>
      <c r="B579" s="335"/>
      <c r="C579" s="335"/>
      <c r="D579" s="335"/>
      <c r="E579" s="335"/>
      <c r="F579" s="335"/>
      <c r="G579" s="335"/>
      <c r="H579" s="335"/>
      <c r="I579" s="335"/>
    </row>
    <row r="580">
      <c r="A580" s="335"/>
      <c r="B580" s="335"/>
      <c r="C580" s="335"/>
      <c r="D580" s="335"/>
      <c r="E580" s="335"/>
      <c r="F580" s="335"/>
      <c r="G580" s="335"/>
      <c r="H580" s="335"/>
      <c r="I580" s="335"/>
    </row>
    <row r="581">
      <c r="A581" s="335"/>
      <c r="B581" s="335"/>
      <c r="C581" s="335"/>
      <c r="D581" s="335"/>
      <c r="E581" s="335"/>
      <c r="F581" s="335"/>
      <c r="G581" s="335"/>
      <c r="H581" s="335"/>
      <c r="I581" s="335"/>
    </row>
    <row r="582">
      <c r="A582" s="335"/>
      <c r="B582" s="335"/>
      <c r="C582" s="335"/>
      <c r="D582" s="335"/>
      <c r="E582" s="335"/>
      <c r="F582" s="335"/>
      <c r="G582" s="335"/>
      <c r="H582" s="335"/>
      <c r="I582" s="335"/>
    </row>
    <row r="583">
      <c r="A583" s="335"/>
      <c r="B583" s="335"/>
      <c r="C583" s="335"/>
      <c r="D583" s="335"/>
      <c r="E583" s="335"/>
      <c r="F583" s="335"/>
      <c r="G583" s="335"/>
      <c r="H583" s="335"/>
      <c r="I583" s="335"/>
    </row>
    <row r="584">
      <c r="A584" s="335"/>
      <c r="B584" s="335"/>
      <c r="C584" s="335"/>
      <c r="D584" s="335"/>
      <c r="E584" s="335"/>
      <c r="F584" s="335"/>
      <c r="G584" s="335"/>
      <c r="H584" s="335"/>
      <c r="I584" s="335"/>
    </row>
    <row r="585">
      <c r="A585" s="335"/>
      <c r="B585" s="335"/>
      <c r="C585" s="335"/>
      <c r="D585" s="335"/>
      <c r="E585" s="335"/>
      <c r="F585" s="335"/>
      <c r="G585" s="335"/>
      <c r="H585" s="335"/>
      <c r="I585" s="335"/>
    </row>
    <row r="586">
      <c r="A586" s="335"/>
      <c r="B586" s="335"/>
      <c r="C586" s="335"/>
      <c r="D586" s="335"/>
      <c r="E586" s="335"/>
      <c r="F586" s="335"/>
      <c r="G586" s="335"/>
      <c r="H586" s="335"/>
      <c r="I586" s="335"/>
    </row>
    <row r="587">
      <c r="A587" s="335"/>
      <c r="B587" s="335"/>
      <c r="C587" s="335"/>
      <c r="D587" s="335"/>
      <c r="E587" s="335"/>
      <c r="F587" s="335"/>
      <c r="G587" s="335"/>
      <c r="H587" s="335"/>
      <c r="I587" s="335"/>
    </row>
    <row r="588">
      <c r="A588" s="335"/>
      <c r="B588" s="335"/>
      <c r="C588" s="335"/>
      <c r="D588" s="335"/>
      <c r="E588" s="335"/>
      <c r="F588" s="335"/>
      <c r="G588" s="335"/>
      <c r="H588" s="335"/>
      <c r="I588" s="335"/>
    </row>
    <row r="589">
      <c r="A589" s="335"/>
      <c r="B589" s="335"/>
      <c r="C589" s="335"/>
      <c r="D589" s="335"/>
      <c r="E589" s="335"/>
      <c r="F589" s="335"/>
      <c r="G589" s="335"/>
      <c r="H589" s="335"/>
      <c r="I589" s="335"/>
    </row>
    <row r="590">
      <c r="A590" s="335"/>
      <c r="B590" s="335"/>
      <c r="C590" s="335"/>
      <c r="D590" s="335"/>
      <c r="E590" s="335"/>
      <c r="F590" s="335"/>
      <c r="G590" s="335"/>
      <c r="H590" s="335"/>
      <c r="I590" s="335"/>
    </row>
    <row r="591">
      <c r="A591" s="335"/>
      <c r="B591" s="335"/>
      <c r="C591" s="335"/>
      <c r="D591" s="335"/>
      <c r="E591" s="335"/>
      <c r="F591" s="335"/>
      <c r="G591" s="335"/>
      <c r="H591" s="335"/>
      <c r="I591" s="335"/>
    </row>
    <row r="592">
      <c r="A592" s="335"/>
      <c r="B592" s="335"/>
      <c r="C592" s="335"/>
      <c r="D592" s="335"/>
      <c r="E592" s="335"/>
      <c r="F592" s="335"/>
      <c r="G592" s="335"/>
      <c r="H592" s="335"/>
      <c r="I592" s="335"/>
    </row>
    <row r="593">
      <c r="A593" s="335"/>
      <c r="B593" s="335"/>
      <c r="C593" s="335"/>
      <c r="D593" s="335"/>
      <c r="E593" s="335"/>
      <c r="F593" s="335"/>
      <c r="G593" s="335"/>
      <c r="H593" s="335"/>
      <c r="I593" s="335"/>
    </row>
    <row r="594">
      <c r="A594" s="335"/>
      <c r="B594" s="335"/>
      <c r="C594" s="335"/>
      <c r="D594" s="335"/>
      <c r="E594" s="335"/>
      <c r="F594" s="335"/>
      <c r="G594" s="335"/>
      <c r="H594" s="335"/>
      <c r="I594" s="335"/>
    </row>
    <row r="595">
      <c r="A595" s="335"/>
      <c r="B595" s="335"/>
      <c r="C595" s="335"/>
      <c r="D595" s="335"/>
      <c r="E595" s="335"/>
      <c r="F595" s="335"/>
      <c r="G595" s="335"/>
      <c r="H595" s="335"/>
      <c r="I595" s="335"/>
    </row>
    <row r="596">
      <c r="A596" s="335"/>
      <c r="B596" s="335"/>
      <c r="C596" s="335"/>
      <c r="D596" s="335"/>
      <c r="E596" s="335"/>
      <c r="F596" s="335"/>
      <c r="G596" s="335"/>
      <c r="H596" s="335"/>
      <c r="I596" s="335"/>
    </row>
    <row r="597">
      <c r="A597" s="335"/>
      <c r="B597" s="335"/>
      <c r="C597" s="335"/>
      <c r="D597" s="335"/>
      <c r="E597" s="335"/>
      <c r="F597" s="335"/>
      <c r="G597" s="335"/>
      <c r="H597" s="335"/>
      <c r="I597" s="335"/>
    </row>
    <row r="598">
      <c r="A598" s="335"/>
      <c r="B598" s="335"/>
      <c r="C598" s="335"/>
      <c r="D598" s="335"/>
      <c r="E598" s="335"/>
      <c r="F598" s="335"/>
      <c r="G598" s="335"/>
      <c r="H598" s="335"/>
      <c r="I598" s="335"/>
    </row>
    <row r="599">
      <c r="A599" s="335"/>
      <c r="B599" s="335"/>
      <c r="C599" s="335"/>
      <c r="D599" s="335"/>
      <c r="E599" s="335"/>
      <c r="F599" s="335"/>
      <c r="G599" s="335"/>
      <c r="H599" s="335"/>
      <c r="I599" s="335"/>
    </row>
    <row r="600">
      <c r="A600" s="335"/>
      <c r="B600" s="335"/>
      <c r="C600" s="335"/>
      <c r="D600" s="335"/>
      <c r="E600" s="335"/>
      <c r="F600" s="335"/>
      <c r="G600" s="335"/>
      <c r="H600" s="335"/>
      <c r="I600" s="335"/>
    </row>
    <row r="601">
      <c r="A601" s="335"/>
      <c r="B601" s="335"/>
      <c r="C601" s="335"/>
      <c r="D601" s="335"/>
      <c r="E601" s="335"/>
      <c r="F601" s="335"/>
      <c r="G601" s="335"/>
      <c r="H601" s="335"/>
      <c r="I601" s="335"/>
    </row>
    <row r="602">
      <c r="A602" s="335"/>
      <c r="B602" s="335"/>
      <c r="C602" s="335"/>
      <c r="D602" s="335"/>
      <c r="E602" s="335"/>
      <c r="F602" s="335"/>
      <c r="G602" s="335"/>
      <c r="H602" s="335"/>
      <c r="I602" s="335"/>
    </row>
    <row r="603">
      <c r="A603" s="335"/>
      <c r="B603" s="335"/>
      <c r="C603" s="335"/>
      <c r="D603" s="335"/>
      <c r="E603" s="335"/>
      <c r="F603" s="335"/>
      <c r="G603" s="335"/>
      <c r="H603" s="335"/>
      <c r="I603" s="335"/>
    </row>
    <row r="604">
      <c r="A604" s="335"/>
      <c r="B604" s="335"/>
      <c r="C604" s="335"/>
      <c r="D604" s="335"/>
      <c r="E604" s="335"/>
      <c r="F604" s="335"/>
      <c r="G604" s="335"/>
      <c r="H604" s="335"/>
      <c r="I604" s="335"/>
    </row>
    <row r="605">
      <c r="A605" s="335"/>
      <c r="B605" s="335"/>
      <c r="C605" s="335"/>
      <c r="D605" s="335"/>
      <c r="E605" s="335"/>
      <c r="F605" s="335"/>
      <c r="G605" s="335"/>
      <c r="H605" s="335"/>
      <c r="I605" s="335"/>
    </row>
    <row r="606">
      <c r="A606" s="335"/>
      <c r="B606" s="335"/>
      <c r="C606" s="335"/>
      <c r="D606" s="335"/>
      <c r="E606" s="335"/>
      <c r="F606" s="335"/>
      <c r="G606" s="335"/>
      <c r="H606" s="335"/>
      <c r="I606" s="335"/>
    </row>
    <row r="607">
      <c r="A607" s="335"/>
      <c r="B607" s="335"/>
      <c r="C607" s="335"/>
      <c r="D607" s="335"/>
      <c r="E607" s="335"/>
      <c r="F607" s="335"/>
      <c r="G607" s="335"/>
      <c r="H607" s="335"/>
      <c r="I607" s="335"/>
    </row>
    <row r="608">
      <c r="A608" s="335"/>
      <c r="B608" s="335"/>
      <c r="C608" s="335"/>
      <c r="D608" s="335"/>
      <c r="E608" s="335"/>
      <c r="F608" s="335"/>
      <c r="G608" s="335"/>
      <c r="H608" s="335"/>
      <c r="I608" s="335"/>
    </row>
    <row r="609">
      <c r="A609" s="335"/>
      <c r="B609" s="335"/>
      <c r="C609" s="335"/>
      <c r="D609" s="335"/>
      <c r="E609" s="335"/>
      <c r="F609" s="335"/>
      <c r="G609" s="335"/>
      <c r="H609" s="335"/>
      <c r="I609" s="335"/>
    </row>
    <row r="610">
      <c r="A610" s="335"/>
      <c r="B610" s="335"/>
      <c r="C610" s="335"/>
      <c r="D610" s="335"/>
      <c r="E610" s="335"/>
      <c r="F610" s="335"/>
      <c r="G610" s="335"/>
      <c r="H610" s="335"/>
      <c r="I610" s="335"/>
    </row>
    <row r="611">
      <c r="A611" s="335"/>
      <c r="B611" s="335"/>
      <c r="C611" s="335"/>
      <c r="D611" s="335"/>
      <c r="E611" s="335"/>
      <c r="F611" s="335"/>
      <c r="G611" s="335"/>
      <c r="H611" s="335"/>
      <c r="I611" s="335"/>
    </row>
    <row r="612">
      <c r="A612" s="335"/>
      <c r="B612" s="335"/>
      <c r="C612" s="335"/>
      <c r="D612" s="335"/>
      <c r="E612" s="335"/>
      <c r="F612" s="335"/>
      <c r="G612" s="335"/>
      <c r="H612" s="335"/>
      <c r="I612" s="335"/>
    </row>
    <row r="613">
      <c r="A613" s="335"/>
      <c r="B613" s="335"/>
      <c r="C613" s="335"/>
      <c r="D613" s="335"/>
      <c r="E613" s="335"/>
      <c r="F613" s="335"/>
      <c r="G613" s="335"/>
      <c r="H613" s="335"/>
      <c r="I613" s="335"/>
    </row>
    <row r="614">
      <c r="A614" s="335"/>
      <c r="B614" s="335"/>
      <c r="C614" s="335"/>
      <c r="D614" s="335"/>
      <c r="E614" s="335"/>
      <c r="F614" s="335"/>
      <c r="G614" s="335"/>
      <c r="H614" s="335"/>
      <c r="I614" s="335"/>
    </row>
    <row r="615">
      <c r="A615" s="335"/>
      <c r="B615" s="335"/>
      <c r="C615" s="335"/>
      <c r="D615" s="335"/>
      <c r="E615" s="335"/>
      <c r="F615" s="335"/>
      <c r="G615" s="335"/>
      <c r="H615" s="335"/>
      <c r="I615" s="335"/>
    </row>
    <row r="616">
      <c r="A616" s="335"/>
      <c r="B616" s="335"/>
      <c r="C616" s="335"/>
      <c r="D616" s="335"/>
      <c r="E616" s="335"/>
      <c r="F616" s="335"/>
      <c r="G616" s="335"/>
      <c r="H616" s="335"/>
      <c r="I616" s="335"/>
    </row>
    <row r="617">
      <c r="A617" s="335"/>
      <c r="B617" s="335"/>
      <c r="C617" s="335"/>
      <c r="D617" s="335"/>
      <c r="E617" s="335"/>
      <c r="F617" s="335"/>
      <c r="G617" s="335"/>
      <c r="H617" s="335"/>
      <c r="I617" s="335"/>
    </row>
    <row r="618">
      <c r="A618" s="335"/>
      <c r="B618" s="335"/>
      <c r="C618" s="335"/>
      <c r="D618" s="335"/>
      <c r="E618" s="335"/>
      <c r="F618" s="335"/>
      <c r="G618" s="335"/>
      <c r="H618" s="335"/>
      <c r="I618" s="335"/>
    </row>
    <row r="619">
      <c r="A619" s="335"/>
      <c r="B619" s="335"/>
      <c r="C619" s="335"/>
      <c r="D619" s="335"/>
      <c r="E619" s="335"/>
      <c r="F619" s="335"/>
      <c r="G619" s="335"/>
      <c r="H619" s="335"/>
      <c r="I619" s="335"/>
    </row>
    <row r="620">
      <c r="A620" s="335"/>
      <c r="B620" s="335"/>
      <c r="C620" s="335"/>
      <c r="D620" s="335"/>
      <c r="E620" s="335"/>
      <c r="F620" s="335"/>
      <c r="G620" s="335"/>
      <c r="H620" s="335"/>
      <c r="I620" s="335"/>
    </row>
    <row r="621">
      <c r="A621" s="335"/>
      <c r="B621" s="335"/>
      <c r="C621" s="335"/>
      <c r="D621" s="335"/>
      <c r="E621" s="335"/>
      <c r="F621" s="335"/>
      <c r="G621" s="335"/>
      <c r="H621" s="335"/>
      <c r="I621" s="335"/>
    </row>
    <row r="622">
      <c r="A622" s="335"/>
      <c r="B622" s="335"/>
      <c r="C622" s="335"/>
      <c r="D622" s="335"/>
      <c r="E622" s="335"/>
      <c r="F622" s="335"/>
      <c r="G622" s="335"/>
      <c r="H622" s="335"/>
      <c r="I622" s="335"/>
    </row>
    <row r="623">
      <c r="A623" s="335"/>
      <c r="B623" s="335"/>
      <c r="C623" s="335"/>
      <c r="D623" s="335"/>
      <c r="E623" s="335"/>
      <c r="F623" s="335"/>
      <c r="G623" s="335"/>
      <c r="H623" s="335"/>
      <c r="I623" s="335"/>
    </row>
    <row r="624">
      <c r="A624" s="335"/>
      <c r="B624" s="335"/>
      <c r="C624" s="335"/>
      <c r="D624" s="335"/>
      <c r="E624" s="335"/>
      <c r="F624" s="335"/>
      <c r="G624" s="335"/>
      <c r="H624" s="335"/>
      <c r="I624" s="335"/>
    </row>
    <row r="625">
      <c r="A625" s="335"/>
      <c r="B625" s="335"/>
      <c r="C625" s="335"/>
      <c r="D625" s="335"/>
      <c r="E625" s="335"/>
      <c r="F625" s="335"/>
      <c r="G625" s="335"/>
      <c r="H625" s="335"/>
      <c r="I625" s="335"/>
    </row>
    <row r="626">
      <c r="A626" s="335"/>
      <c r="B626" s="335"/>
      <c r="C626" s="335"/>
      <c r="D626" s="335"/>
      <c r="E626" s="335"/>
      <c r="F626" s="335"/>
      <c r="G626" s="335"/>
      <c r="H626" s="335"/>
      <c r="I626" s="335"/>
    </row>
    <row r="627">
      <c r="A627" s="335"/>
      <c r="B627" s="335"/>
      <c r="C627" s="335"/>
      <c r="D627" s="335"/>
      <c r="E627" s="335"/>
      <c r="F627" s="335"/>
      <c r="G627" s="335"/>
      <c r="H627" s="335"/>
      <c r="I627" s="335"/>
    </row>
    <row r="628">
      <c r="A628" s="335"/>
      <c r="B628" s="335"/>
      <c r="C628" s="335"/>
      <c r="D628" s="335"/>
      <c r="E628" s="335"/>
      <c r="F628" s="335"/>
      <c r="G628" s="335"/>
      <c r="H628" s="335"/>
      <c r="I628" s="335"/>
    </row>
    <row r="629">
      <c r="A629" s="335"/>
      <c r="B629" s="335"/>
      <c r="C629" s="335"/>
      <c r="D629" s="335"/>
      <c r="E629" s="335"/>
      <c r="F629" s="335"/>
      <c r="G629" s="335"/>
      <c r="H629" s="335"/>
      <c r="I629" s="335"/>
    </row>
    <row r="630">
      <c r="A630" s="335"/>
      <c r="B630" s="335"/>
      <c r="C630" s="335"/>
      <c r="D630" s="335"/>
      <c r="E630" s="335"/>
      <c r="F630" s="335"/>
      <c r="G630" s="335"/>
      <c r="H630" s="335"/>
      <c r="I630" s="335"/>
    </row>
    <row r="631">
      <c r="A631" s="335"/>
      <c r="B631" s="335"/>
      <c r="C631" s="335"/>
      <c r="D631" s="335"/>
      <c r="E631" s="335"/>
      <c r="F631" s="335"/>
      <c r="G631" s="335"/>
      <c r="H631" s="335"/>
      <c r="I631" s="335"/>
    </row>
    <row r="632">
      <c r="A632" s="335"/>
      <c r="B632" s="335"/>
      <c r="C632" s="335"/>
      <c r="D632" s="335"/>
      <c r="E632" s="335"/>
      <c r="F632" s="335"/>
      <c r="G632" s="335"/>
      <c r="H632" s="335"/>
      <c r="I632" s="335"/>
    </row>
    <row r="633">
      <c r="A633" s="335"/>
      <c r="B633" s="335"/>
      <c r="C633" s="335"/>
      <c r="D633" s="335"/>
      <c r="E633" s="335"/>
      <c r="F633" s="335"/>
      <c r="G633" s="335"/>
      <c r="H633" s="335"/>
      <c r="I633" s="335"/>
    </row>
    <row r="634">
      <c r="A634" s="335"/>
      <c r="B634" s="335"/>
      <c r="C634" s="335"/>
      <c r="D634" s="335"/>
      <c r="E634" s="335"/>
      <c r="F634" s="335"/>
      <c r="G634" s="335"/>
      <c r="H634" s="335"/>
      <c r="I634" s="335"/>
    </row>
    <row r="635">
      <c r="A635" s="335"/>
      <c r="B635" s="335"/>
      <c r="C635" s="335"/>
      <c r="D635" s="335"/>
      <c r="E635" s="335"/>
      <c r="F635" s="335"/>
      <c r="G635" s="335"/>
      <c r="H635" s="335"/>
      <c r="I635" s="335"/>
    </row>
    <row r="636">
      <c r="A636" s="335"/>
      <c r="B636" s="335"/>
      <c r="C636" s="335"/>
      <c r="D636" s="335"/>
      <c r="E636" s="335"/>
      <c r="F636" s="335"/>
      <c r="G636" s="335"/>
      <c r="H636" s="335"/>
      <c r="I636" s="335"/>
    </row>
    <row r="637">
      <c r="A637" s="335"/>
      <c r="B637" s="335"/>
      <c r="C637" s="335"/>
      <c r="D637" s="335"/>
      <c r="E637" s="335"/>
      <c r="F637" s="335"/>
      <c r="G637" s="335"/>
      <c r="H637" s="335"/>
      <c r="I637" s="335"/>
    </row>
    <row r="638">
      <c r="A638" s="335"/>
      <c r="B638" s="335"/>
      <c r="C638" s="335"/>
      <c r="D638" s="335"/>
      <c r="E638" s="335"/>
      <c r="F638" s="335"/>
      <c r="G638" s="335"/>
      <c r="H638" s="335"/>
      <c r="I638" s="335"/>
    </row>
    <row r="639">
      <c r="A639" s="335"/>
      <c r="B639" s="335"/>
      <c r="C639" s="335"/>
      <c r="D639" s="335"/>
      <c r="E639" s="335"/>
      <c r="F639" s="335"/>
      <c r="G639" s="335"/>
      <c r="H639" s="335"/>
      <c r="I639" s="335"/>
    </row>
    <row r="640">
      <c r="A640" s="335"/>
      <c r="B640" s="335"/>
      <c r="C640" s="335"/>
      <c r="D640" s="335"/>
      <c r="E640" s="335"/>
      <c r="F640" s="335"/>
      <c r="G640" s="335"/>
      <c r="H640" s="335"/>
      <c r="I640" s="335"/>
    </row>
    <row r="641">
      <c r="A641" s="335"/>
      <c r="B641" s="335"/>
      <c r="C641" s="335"/>
      <c r="D641" s="335"/>
      <c r="E641" s="335"/>
      <c r="F641" s="335"/>
      <c r="G641" s="335"/>
      <c r="H641" s="335"/>
      <c r="I641" s="335"/>
    </row>
    <row r="642">
      <c r="A642" s="335"/>
      <c r="B642" s="335"/>
      <c r="C642" s="335"/>
      <c r="D642" s="335"/>
      <c r="E642" s="335"/>
      <c r="F642" s="335"/>
      <c r="G642" s="335"/>
      <c r="H642" s="335"/>
      <c r="I642" s="335"/>
    </row>
    <row r="643">
      <c r="A643" s="335"/>
      <c r="B643" s="335"/>
      <c r="C643" s="335"/>
      <c r="D643" s="335"/>
      <c r="E643" s="335"/>
      <c r="F643" s="335"/>
      <c r="G643" s="335"/>
      <c r="H643" s="335"/>
      <c r="I643" s="335"/>
    </row>
    <row r="644">
      <c r="A644" s="335"/>
      <c r="B644" s="335"/>
      <c r="C644" s="335"/>
      <c r="D644" s="335"/>
      <c r="E644" s="335"/>
      <c r="F644" s="335"/>
      <c r="G644" s="335"/>
      <c r="H644" s="335"/>
      <c r="I644" s="335"/>
    </row>
    <row r="645">
      <c r="A645" s="335"/>
      <c r="B645" s="335"/>
      <c r="C645" s="335"/>
      <c r="D645" s="335"/>
      <c r="E645" s="335"/>
      <c r="F645" s="335"/>
      <c r="G645" s="335"/>
      <c r="H645" s="335"/>
      <c r="I645" s="335"/>
    </row>
    <row r="646">
      <c r="A646" s="335"/>
      <c r="B646" s="335"/>
      <c r="C646" s="335"/>
      <c r="D646" s="335"/>
      <c r="E646" s="335"/>
      <c r="F646" s="335"/>
      <c r="G646" s="335"/>
      <c r="H646" s="335"/>
      <c r="I646" s="335"/>
    </row>
    <row r="647">
      <c r="A647" s="335"/>
      <c r="B647" s="335"/>
      <c r="C647" s="335"/>
      <c r="D647" s="335"/>
      <c r="E647" s="335"/>
      <c r="F647" s="335"/>
      <c r="G647" s="335"/>
      <c r="H647" s="335"/>
      <c r="I647" s="335"/>
    </row>
    <row r="648">
      <c r="A648" s="335"/>
      <c r="B648" s="335"/>
      <c r="C648" s="335"/>
      <c r="D648" s="335"/>
      <c r="E648" s="335"/>
      <c r="F648" s="335"/>
      <c r="G648" s="335"/>
      <c r="H648" s="335"/>
      <c r="I648" s="335"/>
    </row>
    <row r="649">
      <c r="A649" s="335"/>
      <c r="B649" s="335"/>
      <c r="C649" s="335"/>
      <c r="D649" s="335"/>
      <c r="E649" s="335"/>
      <c r="F649" s="335"/>
      <c r="G649" s="335"/>
      <c r="H649" s="335"/>
      <c r="I649" s="335"/>
    </row>
    <row r="650">
      <c r="A650" s="335"/>
      <c r="B650" s="335"/>
      <c r="C650" s="335"/>
      <c r="D650" s="335"/>
      <c r="E650" s="335"/>
      <c r="F650" s="335"/>
      <c r="G650" s="335"/>
      <c r="H650" s="335"/>
      <c r="I650" s="335"/>
    </row>
    <row r="651">
      <c r="A651" s="335"/>
      <c r="B651" s="335"/>
      <c r="C651" s="335"/>
      <c r="D651" s="335"/>
      <c r="E651" s="335"/>
      <c r="F651" s="335"/>
      <c r="G651" s="335"/>
      <c r="H651" s="335"/>
      <c r="I651" s="335"/>
    </row>
    <row r="652">
      <c r="A652" s="335"/>
      <c r="B652" s="335"/>
      <c r="C652" s="335"/>
      <c r="D652" s="335"/>
      <c r="E652" s="335"/>
      <c r="F652" s="335"/>
      <c r="G652" s="335"/>
      <c r="H652" s="335"/>
      <c r="I652" s="335"/>
    </row>
    <row r="653">
      <c r="A653" s="335"/>
      <c r="B653" s="335"/>
      <c r="C653" s="335"/>
      <c r="D653" s="335"/>
      <c r="E653" s="335"/>
      <c r="F653" s="335"/>
      <c r="G653" s="335"/>
      <c r="H653" s="335"/>
      <c r="I653" s="335"/>
    </row>
    <row r="654">
      <c r="A654" s="335"/>
      <c r="B654" s="335"/>
      <c r="C654" s="335"/>
      <c r="D654" s="335"/>
      <c r="E654" s="335"/>
      <c r="F654" s="335"/>
      <c r="G654" s="335"/>
      <c r="H654" s="335"/>
      <c r="I654" s="335"/>
    </row>
    <row r="655">
      <c r="A655" s="335"/>
      <c r="B655" s="335"/>
      <c r="C655" s="335"/>
      <c r="D655" s="335"/>
      <c r="E655" s="335"/>
      <c r="F655" s="335"/>
      <c r="G655" s="335"/>
      <c r="H655" s="335"/>
      <c r="I655" s="335"/>
    </row>
    <row r="656">
      <c r="A656" s="335"/>
      <c r="B656" s="335"/>
      <c r="C656" s="335"/>
      <c r="D656" s="335"/>
      <c r="E656" s="335"/>
      <c r="F656" s="335"/>
      <c r="G656" s="335"/>
      <c r="H656" s="335"/>
      <c r="I656" s="335"/>
    </row>
    <row r="657">
      <c r="A657" s="335"/>
      <c r="B657" s="335"/>
      <c r="C657" s="335"/>
      <c r="D657" s="335"/>
      <c r="E657" s="335"/>
      <c r="F657" s="335"/>
      <c r="G657" s="335"/>
      <c r="H657" s="335"/>
      <c r="I657" s="335"/>
    </row>
    <row r="658">
      <c r="A658" s="335"/>
      <c r="B658" s="335"/>
      <c r="C658" s="335"/>
      <c r="D658" s="335"/>
      <c r="E658" s="335"/>
      <c r="F658" s="335"/>
      <c r="G658" s="335"/>
      <c r="H658" s="335"/>
      <c r="I658" s="335"/>
    </row>
    <row r="659">
      <c r="A659" s="335"/>
      <c r="B659" s="335"/>
      <c r="C659" s="335"/>
      <c r="D659" s="335"/>
      <c r="E659" s="335"/>
      <c r="F659" s="335"/>
      <c r="G659" s="335"/>
      <c r="H659" s="335"/>
      <c r="I659" s="335"/>
    </row>
    <row r="660">
      <c r="A660" s="335"/>
      <c r="B660" s="335"/>
      <c r="C660" s="335"/>
      <c r="D660" s="335"/>
      <c r="E660" s="335"/>
      <c r="F660" s="335"/>
      <c r="G660" s="335"/>
      <c r="H660" s="335"/>
      <c r="I660" s="335"/>
    </row>
    <row r="661">
      <c r="A661" s="335"/>
      <c r="B661" s="335"/>
      <c r="C661" s="335"/>
      <c r="D661" s="335"/>
      <c r="E661" s="335"/>
      <c r="F661" s="335"/>
      <c r="G661" s="335"/>
      <c r="H661" s="335"/>
      <c r="I661" s="335"/>
    </row>
    <row r="662">
      <c r="A662" s="335"/>
      <c r="B662" s="335"/>
      <c r="C662" s="335"/>
      <c r="D662" s="335"/>
      <c r="E662" s="335"/>
      <c r="F662" s="335"/>
      <c r="G662" s="335"/>
      <c r="H662" s="335"/>
      <c r="I662" s="335"/>
    </row>
    <row r="663">
      <c r="A663" s="335"/>
      <c r="B663" s="335"/>
      <c r="C663" s="335"/>
      <c r="D663" s="335"/>
      <c r="E663" s="335"/>
      <c r="F663" s="335"/>
      <c r="G663" s="335"/>
      <c r="H663" s="335"/>
      <c r="I663" s="335"/>
    </row>
    <row r="664">
      <c r="A664" s="335"/>
      <c r="B664" s="335"/>
      <c r="C664" s="335"/>
      <c r="D664" s="335"/>
      <c r="E664" s="335"/>
      <c r="F664" s="335"/>
      <c r="G664" s="335"/>
      <c r="H664" s="335"/>
      <c r="I664" s="335"/>
    </row>
    <row r="665">
      <c r="A665" s="335"/>
      <c r="B665" s="335"/>
      <c r="C665" s="335"/>
      <c r="D665" s="335"/>
      <c r="E665" s="335"/>
      <c r="F665" s="335"/>
      <c r="G665" s="335"/>
      <c r="H665" s="335"/>
      <c r="I665" s="335"/>
    </row>
    <row r="666">
      <c r="A666" s="335"/>
      <c r="B666" s="335"/>
      <c r="C666" s="335"/>
      <c r="D666" s="335"/>
      <c r="E666" s="335"/>
      <c r="F666" s="335"/>
      <c r="G666" s="335"/>
      <c r="H666" s="335"/>
      <c r="I666" s="335"/>
    </row>
    <row r="667">
      <c r="A667" s="335"/>
      <c r="B667" s="335"/>
      <c r="C667" s="335"/>
      <c r="D667" s="335"/>
      <c r="E667" s="335"/>
      <c r="F667" s="335"/>
      <c r="G667" s="335"/>
      <c r="H667" s="335"/>
      <c r="I667" s="335"/>
    </row>
    <row r="668">
      <c r="A668" s="335"/>
      <c r="B668" s="335"/>
      <c r="C668" s="335"/>
      <c r="D668" s="335"/>
      <c r="E668" s="335"/>
      <c r="F668" s="335"/>
      <c r="G668" s="335"/>
      <c r="H668" s="335"/>
      <c r="I668" s="335"/>
    </row>
    <row r="669">
      <c r="A669" s="335"/>
      <c r="B669" s="335"/>
      <c r="C669" s="335"/>
      <c r="D669" s="335"/>
      <c r="E669" s="335"/>
      <c r="F669" s="335"/>
      <c r="G669" s="335"/>
      <c r="H669" s="335"/>
      <c r="I669" s="335"/>
    </row>
    <row r="670">
      <c r="A670" s="335"/>
      <c r="B670" s="335"/>
      <c r="C670" s="335"/>
      <c r="D670" s="335"/>
      <c r="E670" s="335"/>
      <c r="F670" s="335"/>
      <c r="G670" s="335"/>
      <c r="H670" s="335"/>
      <c r="I670" s="335"/>
    </row>
    <row r="671">
      <c r="A671" s="335"/>
      <c r="B671" s="335"/>
      <c r="C671" s="335"/>
      <c r="D671" s="335"/>
      <c r="E671" s="335"/>
      <c r="F671" s="335"/>
      <c r="G671" s="335"/>
      <c r="H671" s="335"/>
      <c r="I671" s="335"/>
    </row>
    <row r="672">
      <c r="A672" s="335"/>
      <c r="B672" s="335"/>
      <c r="C672" s="335"/>
      <c r="D672" s="335"/>
      <c r="E672" s="335"/>
      <c r="F672" s="335"/>
      <c r="G672" s="335"/>
      <c r="H672" s="335"/>
      <c r="I672" s="335"/>
    </row>
    <row r="673">
      <c r="A673" s="335"/>
      <c r="B673" s="335"/>
      <c r="C673" s="335"/>
      <c r="D673" s="335"/>
      <c r="E673" s="335"/>
      <c r="F673" s="335"/>
      <c r="G673" s="335"/>
      <c r="H673" s="335"/>
      <c r="I673" s="335"/>
    </row>
    <row r="674">
      <c r="A674" s="335"/>
      <c r="B674" s="335"/>
      <c r="C674" s="335"/>
      <c r="D674" s="335"/>
      <c r="E674" s="335"/>
      <c r="F674" s="335"/>
      <c r="G674" s="335"/>
      <c r="H674" s="335"/>
      <c r="I674" s="335"/>
    </row>
    <row r="675">
      <c r="A675" s="335"/>
      <c r="B675" s="335"/>
      <c r="C675" s="335"/>
      <c r="D675" s="335"/>
      <c r="E675" s="335"/>
      <c r="F675" s="335"/>
      <c r="G675" s="335"/>
      <c r="H675" s="335"/>
      <c r="I675" s="335"/>
    </row>
    <row r="676">
      <c r="A676" s="335"/>
      <c r="B676" s="335"/>
      <c r="C676" s="335"/>
      <c r="D676" s="335"/>
      <c r="E676" s="335"/>
      <c r="F676" s="335"/>
      <c r="G676" s="335"/>
      <c r="H676" s="335"/>
      <c r="I676" s="335"/>
    </row>
    <row r="677">
      <c r="A677" s="335"/>
      <c r="B677" s="335"/>
      <c r="C677" s="335"/>
      <c r="D677" s="335"/>
      <c r="E677" s="335"/>
      <c r="F677" s="335"/>
      <c r="G677" s="335"/>
      <c r="H677" s="335"/>
      <c r="I677" s="335"/>
    </row>
    <row r="678">
      <c r="A678" s="335"/>
      <c r="B678" s="335"/>
      <c r="C678" s="335"/>
      <c r="D678" s="335"/>
      <c r="E678" s="335"/>
      <c r="F678" s="335"/>
      <c r="G678" s="335"/>
      <c r="H678" s="335"/>
      <c r="I678" s="335"/>
    </row>
    <row r="679">
      <c r="A679" s="335"/>
      <c r="B679" s="335"/>
      <c r="C679" s="335"/>
      <c r="D679" s="335"/>
      <c r="E679" s="335"/>
      <c r="F679" s="335"/>
      <c r="G679" s="335"/>
      <c r="H679" s="335"/>
      <c r="I679" s="335"/>
    </row>
    <row r="680">
      <c r="A680" s="335"/>
      <c r="B680" s="335"/>
      <c r="C680" s="335"/>
      <c r="D680" s="335"/>
      <c r="E680" s="335"/>
      <c r="F680" s="335"/>
      <c r="G680" s="335"/>
      <c r="H680" s="335"/>
      <c r="I680" s="335"/>
    </row>
    <row r="681">
      <c r="A681" s="335"/>
      <c r="B681" s="335"/>
      <c r="C681" s="335"/>
      <c r="D681" s="335"/>
      <c r="E681" s="335"/>
      <c r="F681" s="335"/>
      <c r="G681" s="335"/>
      <c r="H681" s="335"/>
      <c r="I681" s="335"/>
    </row>
    <row r="682">
      <c r="A682" s="335"/>
      <c r="B682" s="335"/>
      <c r="C682" s="335"/>
      <c r="D682" s="335"/>
      <c r="E682" s="335"/>
      <c r="F682" s="335"/>
      <c r="G682" s="335"/>
      <c r="H682" s="335"/>
      <c r="I682" s="335"/>
    </row>
    <row r="683">
      <c r="A683" s="335"/>
      <c r="B683" s="335"/>
      <c r="C683" s="335"/>
      <c r="D683" s="335"/>
      <c r="E683" s="335"/>
      <c r="F683" s="335"/>
      <c r="G683" s="335"/>
      <c r="H683" s="335"/>
      <c r="I683" s="335"/>
    </row>
    <row r="684">
      <c r="A684" s="335"/>
      <c r="B684" s="335"/>
      <c r="C684" s="335"/>
      <c r="D684" s="335"/>
      <c r="E684" s="335"/>
      <c r="F684" s="335"/>
      <c r="G684" s="335"/>
      <c r="H684" s="335"/>
      <c r="I684" s="335"/>
    </row>
    <row r="685">
      <c r="A685" s="335"/>
      <c r="B685" s="335"/>
      <c r="C685" s="335"/>
      <c r="D685" s="335"/>
      <c r="E685" s="335"/>
      <c r="F685" s="335"/>
      <c r="G685" s="335"/>
      <c r="H685" s="335"/>
      <c r="I685" s="335"/>
    </row>
    <row r="686">
      <c r="A686" s="335"/>
      <c r="B686" s="335"/>
      <c r="C686" s="335"/>
      <c r="D686" s="335"/>
      <c r="E686" s="335"/>
      <c r="F686" s="335"/>
      <c r="G686" s="335"/>
      <c r="H686" s="335"/>
      <c r="I686" s="335"/>
    </row>
    <row r="687">
      <c r="A687" s="335"/>
      <c r="B687" s="335"/>
      <c r="C687" s="335"/>
      <c r="D687" s="335"/>
      <c r="E687" s="335"/>
      <c r="F687" s="335"/>
      <c r="G687" s="335"/>
      <c r="H687" s="335"/>
      <c r="I687" s="335"/>
    </row>
    <row r="688">
      <c r="A688" s="335"/>
      <c r="B688" s="335"/>
      <c r="C688" s="335"/>
      <c r="D688" s="335"/>
      <c r="E688" s="335"/>
      <c r="F688" s="335"/>
      <c r="G688" s="335"/>
      <c r="H688" s="335"/>
      <c r="I688" s="335"/>
    </row>
    <row r="689">
      <c r="A689" s="335"/>
      <c r="B689" s="335"/>
      <c r="C689" s="335"/>
      <c r="D689" s="335"/>
      <c r="E689" s="335"/>
      <c r="F689" s="335"/>
      <c r="G689" s="335"/>
      <c r="H689" s="335"/>
      <c r="I689" s="335"/>
    </row>
    <row r="690">
      <c r="A690" s="335"/>
      <c r="B690" s="335"/>
      <c r="C690" s="335"/>
      <c r="D690" s="335"/>
      <c r="E690" s="335"/>
      <c r="F690" s="335"/>
      <c r="G690" s="335"/>
      <c r="H690" s="335"/>
      <c r="I690" s="335"/>
    </row>
    <row r="691">
      <c r="A691" s="335"/>
      <c r="B691" s="335"/>
      <c r="C691" s="335"/>
      <c r="D691" s="335"/>
      <c r="E691" s="335"/>
      <c r="F691" s="335"/>
      <c r="G691" s="335"/>
      <c r="H691" s="335"/>
      <c r="I691" s="335"/>
    </row>
    <row r="692">
      <c r="A692" s="335"/>
      <c r="B692" s="335"/>
      <c r="C692" s="335"/>
      <c r="D692" s="335"/>
      <c r="E692" s="335"/>
      <c r="F692" s="335"/>
      <c r="G692" s="335"/>
      <c r="H692" s="335"/>
      <c r="I692" s="335"/>
    </row>
    <row r="693">
      <c r="A693" s="335"/>
      <c r="B693" s="335"/>
      <c r="C693" s="335"/>
      <c r="D693" s="335"/>
      <c r="E693" s="335"/>
      <c r="F693" s="335"/>
      <c r="G693" s="335"/>
      <c r="H693" s="335"/>
      <c r="I693" s="335"/>
    </row>
    <row r="694">
      <c r="A694" s="335"/>
      <c r="B694" s="335"/>
      <c r="C694" s="335"/>
      <c r="D694" s="335"/>
      <c r="E694" s="335"/>
      <c r="F694" s="335"/>
      <c r="G694" s="335"/>
      <c r="H694" s="335"/>
      <c r="I694" s="335"/>
    </row>
    <row r="695">
      <c r="A695" s="335"/>
      <c r="B695" s="335"/>
      <c r="C695" s="335"/>
      <c r="D695" s="335"/>
      <c r="E695" s="335"/>
      <c r="F695" s="335"/>
      <c r="G695" s="335"/>
      <c r="H695" s="335"/>
      <c r="I695" s="335"/>
    </row>
    <row r="696">
      <c r="A696" s="335"/>
      <c r="B696" s="335"/>
      <c r="C696" s="335"/>
      <c r="D696" s="335"/>
      <c r="E696" s="335"/>
      <c r="F696" s="335"/>
      <c r="G696" s="335"/>
      <c r="H696" s="335"/>
      <c r="I696" s="335"/>
    </row>
    <row r="697">
      <c r="A697" s="335"/>
      <c r="B697" s="335"/>
      <c r="C697" s="335"/>
      <c r="D697" s="335"/>
      <c r="E697" s="335"/>
      <c r="F697" s="335"/>
      <c r="G697" s="335"/>
      <c r="H697" s="335"/>
      <c r="I697" s="335"/>
    </row>
    <row r="698">
      <c r="A698" s="335"/>
      <c r="B698" s="335"/>
      <c r="C698" s="335"/>
      <c r="D698" s="335"/>
      <c r="E698" s="335"/>
      <c r="F698" s="335"/>
      <c r="G698" s="335"/>
      <c r="H698" s="335"/>
      <c r="I698" s="335"/>
    </row>
    <row r="699">
      <c r="A699" s="335"/>
      <c r="B699" s="335"/>
      <c r="C699" s="335"/>
      <c r="D699" s="335"/>
      <c r="E699" s="335"/>
      <c r="F699" s="335"/>
      <c r="G699" s="335"/>
      <c r="H699" s="335"/>
      <c r="I699" s="335"/>
    </row>
    <row r="700">
      <c r="A700" s="335"/>
      <c r="B700" s="335"/>
      <c r="C700" s="335"/>
      <c r="D700" s="335"/>
      <c r="E700" s="335"/>
      <c r="F700" s="335"/>
      <c r="G700" s="335"/>
      <c r="H700" s="335"/>
      <c r="I700" s="335"/>
    </row>
    <row r="701">
      <c r="A701" s="335"/>
      <c r="B701" s="335"/>
      <c r="C701" s="335"/>
      <c r="D701" s="335"/>
      <c r="E701" s="335"/>
      <c r="F701" s="335"/>
      <c r="G701" s="335"/>
      <c r="H701" s="335"/>
      <c r="I701" s="335"/>
    </row>
    <row r="702">
      <c r="A702" s="335"/>
      <c r="B702" s="335"/>
      <c r="C702" s="335"/>
      <c r="D702" s="335"/>
      <c r="E702" s="335"/>
      <c r="F702" s="335"/>
      <c r="G702" s="335"/>
      <c r="H702" s="335"/>
      <c r="I702" s="335"/>
    </row>
    <row r="703">
      <c r="A703" s="335"/>
      <c r="B703" s="335"/>
      <c r="C703" s="335"/>
      <c r="D703" s="335"/>
      <c r="E703" s="335"/>
      <c r="F703" s="335"/>
      <c r="G703" s="335"/>
      <c r="H703" s="335"/>
      <c r="I703" s="335"/>
    </row>
    <row r="704">
      <c r="A704" s="335"/>
      <c r="B704" s="335"/>
      <c r="C704" s="335"/>
      <c r="D704" s="335"/>
      <c r="E704" s="335"/>
      <c r="F704" s="335"/>
      <c r="G704" s="335"/>
      <c r="H704" s="335"/>
      <c r="I704" s="335"/>
    </row>
    <row r="705">
      <c r="A705" s="335"/>
      <c r="B705" s="335"/>
      <c r="C705" s="335"/>
      <c r="D705" s="335"/>
      <c r="E705" s="335"/>
      <c r="F705" s="335"/>
      <c r="G705" s="335"/>
      <c r="H705" s="335"/>
      <c r="I705" s="335"/>
    </row>
    <row r="706">
      <c r="A706" s="335"/>
      <c r="B706" s="335"/>
      <c r="C706" s="335"/>
      <c r="D706" s="335"/>
      <c r="E706" s="335"/>
      <c r="F706" s="335"/>
      <c r="G706" s="335"/>
      <c r="H706" s="335"/>
      <c r="I706" s="335"/>
    </row>
    <row r="707">
      <c r="A707" s="335"/>
      <c r="B707" s="335"/>
      <c r="C707" s="335"/>
      <c r="D707" s="335"/>
      <c r="E707" s="335"/>
      <c r="F707" s="335"/>
      <c r="G707" s="335"/>
      <c r="H707" s="335"/>
      <c r="I707" s="335"/>
    </row>
    <row r="708">
      <c r="A708" s="335"/>
      <c r="B708" s="335"/>
      <c r="C708" s="335"/>
      <c r="D708" s="335"/>
      <c r="E708" s="335"/>
      <c r="F708" s="335"/>
      <c r="G708" s="335"/>
      <c r="H708" s="335"/>
      <c r="I708" s="335"/>
    </row>
    <row r="709">
      <c r="A709" s="335"/>
      <c r="B709" s="335"/>
      <c r="C709" s="335"/>
      <c r="D709" s="335"/>
      <c r="E709" s="335"/>
      <c r="F709" s="335"/>
      <c r="G709" s="335"/>
      <c r="H709" s="335"/>
      <c r="I709" s="335"/>
    </row>
    <row r="710">
      <c r="A710" s="335"/>
      <c r="B710" s="335"/>
      <c r="C710" s="335"/>
      <c r="D710" s="335"/>
      <c r="E710" s="335"/>
      <c r="F710" s="335"/>
      <c r="G710" s="335"/>
      <c r="H710" s="335"/>
      <c r="I710" s="335"/>
    </row>
    <row r="711">
      <c r="A711" s="335"/>
      <c r="B711" s="335"/>
      <c r="C711" s="335"/>
      <c r="D711" s="335"/>
      <c r="E711" s="335"/>
      <c r="F711" s="335"/>
      <c r="G711" s="335"/>
      <c r="H711" s="335"/>
      <c r="I711" s="335"/>
    </row>
    <row r="712">
      <c r="A712" s="335"/>
      <c r="B712" s="335"/>
      <c r="C712" s="335"/>
      <c r="D712" s="335"/>
      <c r="E712" s="335"/>
      <c r="F712" s="335"/>
      <c r="G712" s="335"/>
      <c r="H712" s="335"/>
      <c r="I712" s="335"/>
    </row>
    <row r="713">
      <c r="A713" s="335"/>
      <c r="B713" s="335"/>
      <c r="C713" s="335"/>
      <c r="D713" s="335"/>
      <c r="E713" s="335"/>
      <c r="F713" s="335"/>
      <c r="G713" s="335"/>
      <c r="H713" s="335"/>
      <c r="I713" s="335"/>
    </row>
    <row r="714">
      <c r="A714" s="335"/>
      <c r="B714" s="335"/>
      <c r="C714" s="335"/>
      <c r="D714" s="335"/>
      <c r="E714" s="335"/>
      <c r="F714" s="335"/>
      <c r="G714" s="335"/>
      <c r="H714" s="335"/>
      <c r="I714" s="335"/>
    </row>
    <row r="715">
      <c r="A715" s="335"/>
      <c r="B715" s="335"/>
      <c r="C715" s="335"/>
      <c r="D715" s="335"/>
      <c r="E715" s="335"/>
      <c r="F715" s="335"/>
      <c r="G715" s="335"/>
      <c r="H715" s="335"/>
      <c r="I715" s="335"/>
    </row>
    <row r="716">
      <c r="A716" s="335"/>
      <c r="B716" s="335"/>
      <c r="C716" s="335"/>
      <c r="D716" s="335"/>
      <c r="E716" s="335"/>
      <c r="F716" s="335"/>
      <c r="G716" s="335"/>
      <c r="H716" s="335"/>
      <c r="I716" s="335"/>
    </row>
    <row r="717">
      <c r="A717" s="335"/>
      <c r="B717" s="335"/>
      <c r="C717" s="335"/>
      <c r="D717" s="335"/>
      <c r="E717" s="335"/>
      <c r="F717" s="335"/>
      <c r="G717" s="335"/>
      <c r="H717" s="335"/>
      <c r="I717" s="335"/>
    </row>
    <row r="718">
      <c r="A718" s="335"/>
      <c r="B718" s="335"/>
      <c r="C718" s="335"/>
      <c r="D718" s="335"/>
      <c r="E718" s="335"/>
      <c r="F718" s="335"/>
      <c r="G718" s="335"/>
      <c r="H718" s="335"/>
      <c r="I718" s="335"/>
    </row>
    <row r="719">
      <c r="A719" s="335"/>
      <c r="B719" s="335"/>
      <c r="C719" s="335"/>
      <c r="D719" s="335"/>
      <c r="E719" s="335"/>
      <c r="F719" s="335"/>
      <c r="G719" s="335"/>
      <c r="H719" s="335"/>
      <c r="I719" s="335"/>
    </row>
    <row r="720">
      <c r="A720" s="335"/>
      <c r="B720" s="335"/>
      <c r="C720" s="335"/>
      <c r="D720" s="335"/>
      <c r="E720" s="335"/>
      <c r="F720" s="335"/>
      <c r="G720" s="335"/>
      <c r="H720" s="335"/>
      <c r="I720" s="335"/>
    </row>
    <row r="721">
      <c r="A721" s="335"/>
      <c r="B721" s="335"/>
      <c r="C721" s="335"/>
      <c r="D721" s="335"/>
      <c r="E721" s="335"/>
      <c r="F721" s="335"/>
      <c r="G721" s="335"/>
      <c r="H721" s="335"/>
      <c r="I721" s="335"/>
    </row>
    <row r="722">
      <c r="A722" s="335"/>
      <c r="B722" s="335"/>
      <c r="C722" s="335"/>
      <c r="D722" s="335"/>
      <c r="E722" s="335"/>
      <c r="F722" s="335"/>
      <c r="G722" s="335"/>
      <c r="H722" s="335"/>
      <c r="I722" s="335"/>
    </row>
    <row r="723">
      <c r="A723" s="335"/>
      <c r="B723" s="335"/>
      <c r="C723" s="335"/>
      <c r="D723" s="335"/>
      <c r="E723" s="335"/>
      <c r="F723" s="335"/>
      <c r="G723" s="335"/>
      <c r="H723" s="335"/>
      <c r="I723" s="335"/>
    </row>
    <row r="724">
      <c r="A724" s="335"/>
      <c r="B724" s="335"/>
      <c r="C724" s="335"/>
      <c r="D724" s="335"/>
      <c r="E724" s="335"/>
      <c r="F724" s="335"/>
      <c r="G724" s="335"/>
      <c r="H724" s="335"/>
      <c r="I724" s="335"/>
    </row>
    <row r="725">
      <c r="A725" s="335"/>
      <c r="B725" s="335"/>
      <c r="C725" s="335"/>
      <c r="D725" s="335"/>
      <c r="E725" s="335"/>
      <c r="F725" s="335"/>
      <c r="G725" s="335"/>
      <c r="H725" s="335"/>
      <c r="I725" s="335"/>
    </row>
    <row r="726">
      <c r="A726" s="335"/>
      <c r="B726" s="335"/>
      <c r="C726" s="335"/>
      <c r="D726" s="335"/>
      <c r="E726" s="335"/>
      <c r="F726" s="335"/>
      <c r="G726" s="335"/>
      <c r="H726" s="335"/>
      <c r="I726" s="335"/>
    </row>
    <row r="727">
      <c r="A727" s="335"/>
      <c r="B727" s="335"/>
      <c r="C727" s="335"/>
      <c r="D727" s="335"/>
      <c r="E727" s="335"/>
      <c r="F727" s="335"/>
      <c r="G727" s="335"/>
      <c r="H727" s="335"/>
      <c r="I727" s="335"/>
    </row>
    <row r="728">
      <c r="A728" s="335"/>
      <c r="B728" s="335"/>
      <c r="C728" s="335"/>
      <c r="D728" s="335"/>
      <c r="E728" s="335"/>
      <c r="F728" s="335"/>
      <c r="G728" s="335"/>
      <c r="H728" s="335"/>
      <c r="I728" s="335"/>
    </row>
    <row r="729">
      <c r="A729" s="335"/>
      <c r="B729" s="335"/>
      <c r="C729" s="335"/>
      <c r="D729" s="335"/>
      <c r="E729" s="335"/>
      <c r="F729" s="335"/>
      <c r="G729" s="335"/>
      <c r="H729" s="335"/>
      <c r="I729" s="335"/>
    </row>
    <row r="730">
      <c r="A730" s="335"/>
      <c r="B730" s="335"/>
      <c r="C730" s="335"/>
      <c r="D730" s="335"/>
      <c r="E730" s="335"/>
      <c r="F730" s="335"/>
      <c r="G730" s="335"/>
      <c r="H730" s="335"/>
      <c r="I730" s="335"/>
    </row>
    <row r="731">
      <c r="A731" s="335"/>
      <c r="B731" s="335"/>
      <c r="C731" s="335"/>
      <c r="D731" s="335"/>
      <c r="E731" s="335"/>
      <c r="F731" s="335"/>
      <c r="G731" s="335"/>
      <c r="H731" s="335"/>
      <c r="I731" s="335"/>
    </row>
    <row r="732">
      <c r="A732" s="335"/>
      <c r="B732" s="335"/>
      <c r="C732" s="335"/>
      <c r="D732" s="335"/>
      <c r="E732" s="335"/>
      <c r="F732" s="335"/>
      <c r="G732" s="335"/>
      <c r="H732" s="335"/>
      <c r="I732" s="335"/>
    </row>
    <row r="733">
      <c r="A733" s="335"/>
      <c r="B733" s="335"/>
      <c r="C733" s="335"/>
      <c r="D733" s="335"/>
      <c r="E733" s="335"/>
      <c r="F733" s="335"/>
      <c r="G733" s="335"/>
      <c r="H733" s="335"/>
      <c r="I733" s="335"/>
    </row>
    <row r="734">
      <c r="A734" s="335"/>
      <c r="B734" s="335"/>
      <c r="C734" s="335"/>
      <c r="D734" s="335"/>
      <c r="E734" s="335"/>
      <c r="F734" s="335"/>
      <c r="G734" s="335"/>
      <c r="H734" s="335"/>
      <c r="I734" s="335"/>
    </row>
    <row r="735">
      <c r="A735" s="335"/>
      <c r="B735" s="335"/>
      <c r="C735" s="335"/>
      <c r="D735" s="335"/>
      <c r="E735" s="335"/>
      <c r="F735" s="335"/>
      <c r="G735" s="335"/>
      <c r="H735" s="335"/>
      <c r="I735" s="335"/>
    </row>
    <row r="736">
      <c r="A736" s="335"/>
      <c r="B736" s="335"/>
      <c r="C736" s="335"/>
      <c r="D736" s="335"/>
      <c r="E736" s="335"/>
      <c r="F736" s="335"/>
      <c r="G736" s="335"/>
      <c r="H736" s="335"/>
      <c r="I736" s="335"/>
    </row>
    <row r="737">
      <c r="A737" s="335"/>
      <c r="B737" s="335"/>
      <c r="C737" s="335"/>
      <c r="D737" s="335"/>
      <c r="E737" s="335"/>
      <c r="F737" s="335"/>
      <c r="G737" s="335"/>
      <c r="H737" s="335"/>
      <c r="I737" s="335"/>
    </row>
    <row r="738">
      <c r="A738" s="335"/>
      <c r="B738" s="335"/>
      <c r="C738" s="335"/>
      <c r="D738" s="335"/>
      <c r="E738" s="335"/>
      <c r="F738" s="335"/>
      <c r="G738" s="335"/>
      <c r="H738" s="335"/>
      <c r="I738" s="335"/>
    </row>
    <row r="739">
      <c r="A739" s="335"/>
      <c r="B739" s="335"/>
      <c r="C739" s="335"/>
      <c r="D739" s="335"/>
      <c r="E739" s="335"/>
      <c r="F739" s="335"/>
      <c r="G739" s="335"/>
      <c r="H739" s="335"/>
      <c r="I739" s="335"/>
    </row>
    <row r="740">
      <c r="A740" s="335"/>
      <c r="B740" s="335"/>
      <c r="C740" s="335"/>
      <c r="D740" s="335"/>
      <c r="E740" s="335"/>
      <c r="F740" s="335"/>
      <c r="G740" s="335"/>
      <c r="H740" s="335"/>
      <c r="I740" s="335"/>
    </row>
    <row r="741">
      <c r="A741" s="335"/>
      <c r="B741" s="335"/>
      <c r="C741" s="335"/>
      <c r="D741" s="335"/>
      <c r="E741" s="335"/>
      <c r="F741" s="335"/>
      <c r="G741" s="335"/>
      <c r="H741" s="335"/>
      <c r="I741" s="335"/>
    </row>
    <row r="742">
      <c r="A742" s="335"/>
      <c r="B742" s="335"/>
      <c r="C742" s="335"/>
      <c r="D742" s="335"/>
      <c r="E742" s="335"/>
      <c r="F742" s="335"/>
      <c r="G742" s="335"/>
      <c r="H742" s="335"/>
      <c r="I742" s="335"/>
    </row>
    <row r="743">
      <c r="A743" s="335"/>
      <c r="B743" s="335"/>
      <c r="C743" s="335"/>
      <c r="D743" s="335"/>
      <c r="E743" s="335"/>
      <c r="F743" s="335"/>
      <c r="G743" s="335"/>
      <c r="H743" s="335"/>
      <c r="I743" s="335"/>
    </row>
    <row r="744">
      <c r="A744" s="335"/>
      <c r="B744" s="335"/>
      <c r="C744" s="335"/>
      <c r="D744" s="335"/>
      <c r="E744" s="335"/>
      <c r="F744" s="335"/>
      <c r="G744" s="335"/>
      <c r="H744" s="335"/>
      <c r="I744" s="335"/>
    </row>
    <row r="745">
      <c r="A745" s="335"/>
      <c r="B745" s="335"/>
      <c r="C745" s="335"/>
      <c r="D745" s="335"/>
      <c r="E745" s="335"/>
      <c r="F745" s="335"/>
      <c r="G745" s="335"/>
      <c r="H745" s="335"/>
      <c r="I745" s="335"/>
    </row>
    <row r="746">
      <c r="A746" s="335"/>
      <c r="B746" s="335"/>
      <c r="C746" s="335"/>
      <c r="D746" s="335"/>
      <c r="E746" s="335"/>
      <c r="F746" s="335"/>
      <c r="G746" s="335"/>
      <c r="H746" s="335"/>
      <c r="I746" s="335"/>
    </row>
    <row r="747">
      <c r="A747" s="335"/>
      <c r="B747" s="335"/>
      <c r="C747" s="335"/>
      <c r="D747" s="335"/>
      <c r="E747" s="335"/>
      <c r="F747" s="335"/>
      <c r="G747" s="335"/>
      <c r="H747" s="335"/>
      <c r="I747" s="335"/>
    </row>
    <row r="748">
      <c r="A748" s="335"/>
      <c r="B748" s="335"/>
      <c r="C748" s="335"/>
      <c r="D748" s="335"/>
      <c r="E748" s="335"/>
      <c r="F748" s="335"/>
      <c r="G748" s="335"/>
      <c r="H748" s="335"/>
      <c r="I748" s="335"/>
    </row>
    <row r="749">
      <c r="A749" s="335"/>
      <c r="B749" s="335"/>
      <c r="C749" s="335"/>
      <c r="D749" s="335"/>
      <c r="E749" s="335"/>
      <c r="F749" s="335"/>
      <c r="G749" s="335"/>
      <c r="H749" s="335"/>
      <c r="I749" s="335"/>
    </row>
    <row r="750">
      <c r="A750" s="335"/>
      <c r="B750" s="335"/>
      <c r="C750" s="335"/>
      <c r="D750" s="335"/>
      <c r="E750" s="335"/>
      <c r="F750" s="335"/>
      <c r="G750" s="335"/>
      <c r="H750" s="335"/>
      <c r="I750" s="335"/>
    </row>
    <row r="751">
      <c r="A751" s="335"/>
      <c r="B751" s="335"/>
      <c r="C751" s="335"/>
      <c r="D751" s="335"/>
      <c r="E751" s="335"/>
      <c r="F751" s="335"/>
      <c r="G751" s="335"/>
      <c r="H751" s="335"/>
      <c r="I751" s="335"/>
    </row>
    <row r="752">
      <c r="A752" s="335"/>
      <c r="B752" s="335"/>
      <c r="C752" s="335"/>
      <c r="D752" s="335"/>
      <c r="E752" s="335"/>
      <c r="F752" s="335"/>
      <c r="G752" s="335"/>
      <c r="H752" s="335"/>
      <c r="I752" s="335"/>
    </row>
    <row r="753">
      <c r="A753" s="335"/>
      <c r="B753" s="335"/>
      <c r="C753" s="335"/>
      <c r="D753" s="335"/>
      <c r="E753" s="335"/>
      <c r="F753" s="335"/>
      <c r="G753" s="335"/>
      <c r="H753" s="335"/>
      <c r="I753" s="335"/>
    </row>
    <row r="754">
      <c r="A754" s="335"/>
      <c r="B754" s="335"/>
      <c r="C754" s="335"/>
      <c r="D754" s="335"/>
      <c r="E754" s="335"/>
      <c r="F754" s="335"/>
      <c r="G754" s="335"/>
      <c r="H754" s="335"/>
      <c r="I754" s="335"/>
    </row>
    <row r="755">
      <c r="A755" s="335"/>
      <c r="B755" s="335"/>
      <c r="C755" s="335"/>
      <c r="D755" s="335"/>
      <c r="E755" s="335"/>
      <c r="F755" s="335"/>
      <c r="G755" s="335"/>
      <c r="H755" s="335"/>
      <c r="I755" s="335"/>
    </row>
    <row r="756">
      <c r="A756" s="335"/>
      <c r="B756" s="335"/>
      <c r="C756" s="335"/>
      <c r="D756" s="335"/>
      <c r="E756" s="335"/>
      <c r="F756" s="335"/>
      <c r="G756" s="335"/>
      <c r="H756" s="335"/>
      <c r="I756" s="335"/>
    </row>
    <row r="757">
      <c r="A757" s="335"/>
      <c r="B757" s="335"/>
      <c r="C757" s="335"/>
      <c r="D757" s="335"/>
      <c r="E757" s="335"/>
      <c r="F757" s="335"/>
      <c r="G757" s="335"/>
      <c r="H757" s="335"/>
      <c r="I757" s="335"/>
    </row>
    <row r="758">
      <c r="A758" s="335"/>
      <c r="B758" s="335"/>
      <c r="C758" s="335"/>
      <c r="D758" s="335"/>
      <c r="E758" s="335"/>
      <c r="F758" s="335"/>
      <c r="G758" s="335"/>
      <c r="H758" s="335"/>
      <c r="I758" s="335"/>
    </row>
    <row r="759">
      <c r="A759" s="335"/>
      <c r="B759" s="335"/>
      <c r="C759" s="335"/>
      <c r="D759" s="335"/>
      <c r="E759" s="335"/>
      <c r="F759" s="335"/>
      <c r="G759" s="335"/>
      <c r="H759" s="335"/>
      <c r="I759" s="335"/>
    </row>
    <row r="760">
      <c r="A760" s="335"/>
      <c r="B760" s="335"/>
      <c r="C760" s="335"/>
      <c r="D760" s="335"/>
      <c r="E760" s="335"/>
      <c r="F760" s="335"/>
      <c r="G760" s="335"/>
      <c r="H760" s="335"/>
      <c r="I760" s="335"/>
    </row>
    <row r="761">
      <c r="A761" s="335"/>
      <c r="B761" s="335"/>
      <c r="C761" s="335"/>
      <c r="D761" s="335"/>
      <c r="E761" s="335"/>
      <c r="F761" s="335"/>
      <c r="G761" s="335"/>
      <c r="H761" s="335"/>
      <c r="I761" s="335"/>
    </row>
    <row r="762">
      <c r="A762" s="335"/>
      <c r="B762" s="335"/>
      <c r="C762" s="335"/>
      <c r="D762" s="335"/>
      <c r="E762" s="335"/>
      <c r="F762" s="335"/>
      <c r="G762" s="335"/>
      <c r="H762" s="335"/>
      <c r="I762" s="335"/>
    </row>
    <row r="763">
      <c r="A763" s="335"/>
      <c r="B763" s="335"/>
      <c r="C763" s="335"/>
      <c r="D763" s="335"/>
      <c r="E763" s="335"/>
      <c r="F763" s="335"/>
      <c r="G763" s="335"/>
      <c r="H763" s="335"/>
      <c r="I763" s="335"/>
    </row>
    <row r="764">
      <c r="A764" s="335"/>
      <c r="B764" s="335"/>
      <c r="C764" s="335"/>
      <c r="D764" s="335"/>
      <c r="E764" s="335"/>
      <c r="F764" s="335"/>
      <c r="G764" s="335"/>
      <c r="H764" s="335"/>
      <c r="I764" s="335"/>
    </row>
    <row r="765">
      <c r="A765" s="335"/>
      <c r="B765" s="335"/>
      <c r="C765" s="335"/>
      <c r="D765" s="335"/>
      <c r="E765" s="335"/>
      <c r="F765" s="335"/>
      <c r="G765" s="335"/>
      <c r="H765" s="335"/>
      <c r="I765" s="335"/>
    </row>
    <row r="766">
      <c r="A766" s="335"/>
      <c r="B766" s="335"/>
      <c r="C766" s="335"/>
      <c r="D766" s="335"/>
      <c r="E766" s="335"/>
      <c r="F766" s="335"/>
      <c r="G766" s="335"/>
      <c r="H766" s="335"/>
      <c r="I766" s="335"/>
    </row>
    <row r="767">
      <c r="A767" s="335"/>
      <c r="B767" s="335"/>
      <c r="C767" s="335"/>
      <c r="D767" s="335"/>
      <c r="E767" s="335"/>
      <c r="F767" s="335"/>
      <c r="G767" s="335"/>
      <c r="H767" s="335"/>
      <c r="I767" s="335"/>
    </row>
    <row r="768">
      <c r="A768" s="335"/>
      <c r="B768" s="335"/>
      <c r="C768" s="335"/>
      <c r="D768" s="335"/>
      <c r="E768" s="335"/>
      <c r="F768" s="335"/>
      <c r="G768" s="335"/>
      <c r="H768" s="335"/>
      <c r="I768" s="335"/>
    </row>
    <row r="769">
      <c r="A769" s="335"/>
      <c r="B769" s="335"/>
      <c r="C769" s="335"/>
      <c r="D769" s="335"/>
      <c r="E769" s="335"/>
      <c r="F769" s="335"/>
      <c r="G769" s="335"/>
      <c r="H769" s="335"/>
      <c r="I769" s="335"/>
    </row>
    <row r="770">
      <c r="A770" s="335"/>
      <c r="B770" s="335"/>
      <c r="C770" s="335"/>
      <c r="D770" s="335"/>
      <c r="E770" s="335"/>
      <c r="F770" s="335"/>
      <c r="G770" s="335"/>
      <c r="H770" s="335"/>
      <c r="I770" s="335"/>
    </row>
    <row r="771">
      <c r="A771" s="335"/>
      <c r="B771" s="335"/>
      <c r="C771" s="335"/>
      <c r="D771" s="335"/>
      <c r="E771" s="335"/>
      <c r="F771" s="335"/>
      <c r="G771" s="335"/>
      <c r="H771" s="335"/>
      <c r="I771" s="335"/>
    </row>
    <row r="772">
      <c r="A772" s="335"/>
      <c r="B772" s="335"/>
      <c r="C772" s="335"/>
      <c r="D772" s="335"/>
      <c r="E772" s="335"/>
      <c r="F772" s="335"/>
      <c r="G772" s="335"/>
      <c r="H772" s="335"/>
      <c r="I772" s="335"/>
    </row>
    <row r="773">
      <c r="A773" s="335"/>
      <c r="B773" s="335"/>
      <c r="C773" s="335"/>
      <c r="D773" s="335"/>
      <c r="E773" s="335"/>
      <c r="F773" s="335"/>
      <c r="G773" s="335"/>
      <c r="H773" s="335"/>
      <c r="I773" s="335"/>
    </row>
    <row r="774">
      <c r="A774" s="335"/>
      <c r="B774" s="335"/>
      <c r="C774" s="335"/>
      <c r="D774" s="335"/>
      <c r="E774" s="335"/>
      <c r="F774" s="335"/>
      <c r="G774" s="335"/>
      <c r="H774" s="335"/>
      <c r="I774" s="335"/>
    </row>
    <row r="775">
      <c r="A775" s="335"/>
      <c r="B775" s="335"/>
      <c r="C775" s="335"/>
      <c r="D775" s="335"/>
      <c r="E775" s="335"/>
      <c r="F775" s="335"/>
      <c r="G775" s="335"/>
      <c r="H775" s="335"/>
      <c r="I775" s="335"/>
    </row>
    <row r="776">
      <c r="A776" s="335"/>
      <c r="B776" s="335"/>
      <c r="C776" s="335"/>
      <c r="D776" s="335"/>
      <c r="E776" s="335"/>
      <c r="F776" s="335"/>
      <c r="G776" s="335"/>
      <c r="H776" s="335"/>
      <c r="I776" s="335"/>
    </row>
    <row r="777">
      <c r="A777" s="335"/>
      <c r="B777" s="335"/>
      <c r="C777" s="335"/>
      <c r="D777" s="335"/>
      <c r="E777" s="335"/>
      <c r="F777" s="335"/>
      <c r="G777" s="335"/>
      <c r="H777" s="335"/>
      <c r="I777" s="335"/>
    </row>
    <row r="778">
      <c r="A778" s="335"/>
      <c r="B778" s="335"/>
      <c r="C778" s="335"/>
      <c r="D778" s="335"/>
      <c r="E778" s="335"/>
      <c r="F778" s="335"/>
      <c r="G778" s="335"/>
      <c r="H778" s="335"/>
      <c r="I778" s="335"/>
    </row>
    <row r="779">
      <c r="A779" s="335"/>
      <c r="B779" s="335"/>
      <c r="C779" s="335"/>
      <c r="D779" s="335"/>
      <c r="E779" s="335"/>
      <c r="F779" s="335"/>
      <c r="G779" s="335"/>
      <c r="H779" s="335"/>
      <c r="I779" s="335"/>
    </row>
    <row r="780">
      <c r="A780" s="335"/>
      <c r="B780" s="335"/>
      <c r="C780" s="335"/>
      <c r="D780" s="335"/>
      <c r="E780" s="335"/>
      <c r="F780" s="335"/>
      <c r="G780" s="335"/>
      <c r="H780" s="335"/>
      <c r="I780" s="335"/>
    </row>
    <row r="781">
      <c r="A781" s="335"/>
      <c r="B781" s="335"/>
      <c r="C781" s="335"/>
      <c r="D781" s="335"/>
      <c r="E781" s="335"/>
      <c r="F781" s="335"/>
      <c r="G781" s="335"/>
      <c r="H781" s="335"/>
      <c r="I781" s="335"/>
    </row>
    <row r="782">
      <c r="A782" s="335"/>
      <c r="B782" s="335"/>
      <c r="C782" s="335"/>
      <c r="D782" s="335"/>
      <c r="E782" s="335"/>
      <c r="F782" s="335"/>
      <c r="G782" s="335"/>
      <c r="H782" s="335"/>
      <c r="I782" s="335"/>
    </row>
    <row r="783">
      <c r="A783" s="335"/>
      <c r="B783" s="335"/>
      <c r="C783" s="335"/>
      <c r="D783" s="335"/>
      <c r="E783" s="335"/>
      <c r="F783" s="335"/>
      <c r="G783" s="335"/>
      <c r="H783" s="335"/>
      <c r="I783" s="335"/>
    </row>
    <row r="784">
      <c r="A784" s="335"/>
      <c r="B784" s="335"/>
      <c r="C784" s="335"/>
      <c r="D784" s="335"/>
      <c r="E784" s="335"/>
      <c r="F784" s="335"/>
      <c r="G784" s="335"/>
      <c r="H784" s="335"/>
      <c r="I784" s="335"/>
    </row>
    <row r="785">
      <c r="A785" s="335"/>
      <c r="B785" s="335"/>
      <c r="C785" s="335"/>
      <c r="D785" s="335"/>
      <c r="E785" s="335"/>
      <c r="F785" s="335"/>
      <c r="G785" s="335"/>
      <c r="H785" s="335"/>
      <c r="I785" s="335"/>
    </row>
    <row r="786">
      <c r="A786" s="335"/>
      <c r="B786" s="335"/>
      <c r="C786" s="335"/>
      <c r="D786" s="335"/>
      <c r="E786" s="335"/>
      <c r="F786" s="335"/>
      <c r="G786" s="335"/>
      <c r="H786" s="335"/>
      <c r="I786" s="335"/>
    </row>
    <row r="787">
      <c r="A787" s="335"/>
      <c r="B787" s="335"/>
      <c r="C787" s="335"/>
      <c r="D787" s="335"/>
      <c r="E787" s="335"/>
      <c r="F787" s="335"/>
      <c r="G787" s="335"/>
      <c r="H787" s="335"/>
      <c r="I787" s="335"/>
    </row>
    <row r="788">
      <c r="A788" s="335"/>
      <c r="B788" s="335"/>
      <c r="C788" s="335"/>
      <c r="D788" s="335"/>
      <c r="E788" s="335"/>
      <c r="F788" s="335"/>
      <c r="G788" s="335"/>
      <c r="H788" s="335"/>
      <c r="I788" s="335"/>
    </row>
    <row r="789">
      <c r="A789" s="335"/>
      <c r="B789" s="335"/>
      <c r="C789" s="335"/>
      <c r="D789" s="335"/>
      <c r="E789" s="335"/>
      <c r="F789" s="335"/>
      <c r="G789" s="335"/>
      <c r="H789" s="335"/>
      <c r="I789" s="335"/>
    </row>
    <row r="790">
      <c r="A790" s="335"/>
      <c r="B790" s="335"/>
      <c r="C790" s="335"/>
      <c r="D790" s="335"/>
      <c r="E790" s="335"/>
      <c r="F790" s="335"/>
      <c r="G790" s="335"/>
      <c r="H790" s="335"/>
      <c r="I790" s="335"/>
    </row>
    <row r="791">
      <c r="A791" s="335"/>
      <c r="B791" s="335"/>
      <c r="C791" s="335"/>
      <c r="D791" s="335"/>
      <c r="E791" s="335"/>
      <c r="F791" s="335"/>
      <c r="G791" s="335"/>
      <c r="H791" s="335"/>
      <c r="I791" s="335"/>
    </row>
    <row r="792">
      <c r="A792" s="335"/>
      <c r="B792" s="335"/>
      <c r="C792" s="335"/>
      <c r="D792" s="335"/>
      <c r="E792" s="335"/>
      <c r="F792" s="335"/>
      <c r="G792" s="335"/>
      <c r="H792" s="335"/>
      <c r="I792" s="335"/>
    </row>
    <row r="793">
      <c r="A793" s="335"/>
      <c r="B793" s="335"/>
      <c r="C793" s="335"/>
      <c r="D793" s="335"/>
      <c r="E793" s="335"/>
      <c r="F793" s="335"/>
      <c r="G793" s="335"/>
      <c r="H793" s="335"/>
      <c r="I793" s="335"/>
    </row>
    <row r="794">
      <c r="A794" s="335"/>
      <c r="B794" s="335"/>
      <c r="C794" s="335"/>
      <c r="D794" s="335"/>
      <c r="E794" s="335"/>
      <c r="F794" s="335"/>
      <c r="G794" s="335"/>
      <c r="H794" s="335"/>
      <c r="I794" s="335"/>
    </row>
    <row r="795">
      <c r="A795" s="335"/>
      <c r="B795" s="335"/>
      <c r="C795" s="335"/>
      <c r="D795" s="335"/>
      <c r="E795" s="335"/>
      <c r="F795" s="335"/>
      <c r="G795" s="335"/>
      <c r="H795" s="335"/>
      <c r="I795" s="335"/>
    </row>
    <row r="796">
      <c r="A796" s="335"/>
      <c r="B796" s="335"/>
      <c r="C796" s="335"/>
      <c r="D796" s="335"/>
      <c r="E796" s="335"/>
      <c r="F796" s="335"/>
      <c r="G796" s="335"/>
      <c r="H796" s="335"/>
      <c r="I796" s="335"/>
    </row>
    <row r="797">
      <c r="A797" s="335"/>
      <c r="B797" s="335"/>
      <c r="C797" s="335"/>
      <c r="D797" s="335"/>
      <c r="E797" s="335"/>
      <c r="F797" s="335"/>
      <c r="G797" s="335"/>
      <c r="H797" s="335"/>
      <c r="I797" s="335"/>
    </row>
    <row r="798">
      <c r="A798" s="335"/>
      <c r="B798" s="335"/>
      <c r="C798" s="335"/>
      <c r="D798" s="335"/>
      <c r="E798" s="335"/>
      <c r="F798" s="335"/>
      <c r="G798" s="335"/>
      <c r="H798" s="335"/>
      <c r="I798" s="335"/>
    </row>
    <row r="799">
      <c r="A799" s="335"/>
      <c r="B799" s="335"/>
      <c r="C799" s="335"/>
      <c r="D799" s="335"/>
      <c r="E799" s="335"/>
      <c r="F799" s="335"/>
      <c r="G799" s="335"/>
      <c r="H799" s="335"/>
      <c r="I799" s="335"/>
    </row>
    <row r="800">
      <c r="A800" s="335"/>
      <c r="B800" s="335"/>
      <c r="C800" s="335"/>
      <c r="D800" s="335"/>
      <c r="E800" s="335"/>
      <c r="F800" s="335"/>
      <c r="G800" s="335"/>
      <c r="H800" s="335"/>
      <c r="I800" s="335"/>
    </row>
    <row r="801">
      <c r="A801" s="335"/>
      <c r="B801" s="335"/>
      <c r="C801" s="335"/>
      <c r="D801" s="335"/>
      <c r="E801" s="335"/>
      <c r="F801" s="335"/>
      <c r="G801" s="335"/>
      <c r="H801" s="335"/>
      <c r="I801" s="335"/>
    </row>
    <row r="802">
      <c r="A802" s="335"/>
      <c r="B802" s="335"/>
      <c r="C802" s="335"/>
      <c r="D802" s="335"/>
      <c r="E802" s="335"/>
      <c r="F802" s="335"/>
      <c r="G802" s="335"/>
      <c r="H802" s="335"/>
      <c r="I802" s="335"/>
    </row>
    <row r="803">
      <c r="A803" s="335"/>
      <c r="B803" s="335"/>
      <c r="C803" s="335"/>
      <c r="D803" s="335"/>
      <c r="E803" s="335"/>
      <c r="F803" s="335"/>
      <c r="G803" s="335"/>
      <c r="H803" s="335"/>
      <c r="I803" s="335"/>
    </row>
    <row r="804">
      <c r="A804" s="335"/>
      <c r="B804" s="335"/>
      <c r="C804" s="335"/>
      <c r="D804" s="335"/>
      <c r="E804" s="335"/>
      <c r="F804" s="335"/>
      <c r="G804" s="335"/>
      <c r="H804" s="335"/>
      <c r="I804" s="335"/>
    </row>
    <row r="805">
      <c r="A805" s="335"/>
      <c r="B805" s="335"/>
      <c r="C805" s="335"/>
      <c r="D805" s="335"/>
      <c r="E805" s="335"/>
      <c r="F805" s="335"/>
      <c r="G805" s="335"/>
      <c r="H805" s="335"/>
      <c r="I805" s="335"/>
    </row>
    <row r="806">
      <c r="A806" s="335"/>
      <c r="B806" s="335"/>
      <c r="C806" s="335"/>
      <c r="D806" s="335"/>
      <c r="E806" s="335"/>
      <c r="F806" s="335"/>
      <c r="G806" s="335"/>
      <c r="H806" s="335"/>
      <c r="I806" s="335"/>
    </row>
    <row r="807">
      <c r="A807" s="335"/>
      <c r="B807" s="335"/>
      <c r="C807" s="335"/>
      <c r="D807" s="335"/>
      <c r="E807" s="335"/>
      <c r="F807" s="335"/>
      <c r="G807" s="335"/>
      <c r="H807" s="335"/>
      <c r="I807" s="335"/>
    </row>
    <row r="808">
      <c r="A808" s="335"/>
      <c r="B808" s="335"/>
      <c r="C808" s="335"/>
      <c r="D808" s="335"/>
      <c r="E808" s="335"/>
      <c r="F808" s="335"/>
      <c r="G808" s="335"/>
      <c r="H808" s="335"/>
      <c r="I808" s="335"/>
    </row>
    <row r="809">
      <c r="A809" s="335"/>
      <c r="B809" s="335"/>
      <c r="C809" s="335"/>
      <c r="D809" s="335"/>
      <c r="E809" s="335"/>
      <c r="F809" s="335"/>
      <c r="G809" s="335"/>
      <c r="H809" s="335"/>
      <c r="I809" s="335"/>
    </row>
    <row r="810">
      <c r="A810" s="335"/>
      <c r="B810" s="335"/>
      <c r="C810" s="335"/>
      <c r="D810" s="335"/>
      <c r="E810" s="335"/>
      <c r="F810" s="335"/>
      <c r="G810" s="335"/>
      <c r="H810" s="335"/>
      <c r="I810" s="335"/>
    </row>
    <row r="811">
      <c r="A811" s="335"/>
      <c r="B811" s="335"/>
      <c r="C811" s="335"/>
      <c r="D811" s="335"/>
      <c r="E811" s="335"/>
      <c r="F811" s="335"/>
      <c r="G811" s="335"/>
      <c r="H811" s="335"/>
      <c r="I811" s="335"/>
    </row>
    <row r="812">
      <c r="A812" s="335"/>
      <c r="B812" s="335"/>
      <c r="C812" s="335"/>
      <c r="D812" s="335"/>
      <c r="E812" s="335"/>
      <c r="F812" s="335"/>
      <c r="G812" s="335"/>
      <c r="H812" s="335"/>
      <c r="I812" s="335"/>
    </row>
    <row r="813">
      <c r="A813" s="335"/>
      <c r="B813" s="335"/>
      <c r="C813" s="335"/>
      <c r="D813" s="335"/>
      <c r="E813" s="335"/>
      <c r="F813" s="335"/>
      <c r="G813" s="335"/>
      <c r="H813" s="335"/>
      <c r="I813" s="335"/>
    </row>
    <row r="814">
      <c r="A814" s="335"/>
      <c r="B814" s="335"/>
      <c r="C814" s="335"/>
      <c r="D814" s="335"/>
      <c r="E814" s="335"/>
      <c r="F814" s="335"/>
      <c r="G814" s="335"/>
      <c r="H814" s="335"/>
      <c r="I814" s="335"/>
    </row>
    <row r="815">
      <c r="A815" s="335"/>
      <c r="B815" s="335"/>
      <c r="C815" s="335"/>
      <c r="D815" s="335"/>
      <c r="E815" s="335"/>
      <c r="F815" s="335"/>
      <c r="G815" s="335"/>
      <c r="H815" s="335"/>
      <c r="I815" s="335"/>
    </row>
    <row r="816">
      <c r="A816" s="335"/>
      <c r="B816" s="335"/>
      <c r="C816" s="335"/>
      <c r="D816" s="335"/>
      <c r="E816" s="335"/>
      <c r="F816" s="335"/>
      <c r="G816" s="335"/>
      <c r="H816" s="335"/>
      <c r="I816" s="335"/>
    </row>
    <row r="817">
      <c r="A817" s="335"/>
      <c r="B817" s="335"/>
      <c r="C817" s="335"/>
      <c r="D817" s="335"/>
      <c r="E817" s="335"/>
      <c r="F817" s="335"/>
      <c r="G817" s="335"/>
      <c r="H817" s="335"/>
      <c r="I817" s="335"/>
    </row>
    <row r="818">
      <c r="A818" s="335"/>
      <c r="B818" s="335"/>
      <c r="C818" s="335"/>
      <c r="D818" s="335"/>
      <c r="E818" s="335"/>
      <c r="F818" s="335"/>
      <c r="G818" s="335"/>
      <c r="H818" s="335"/>
      <c r="I818" s="335"/>
    </row>
    <row r="819">
      <c r="A819" s="335"/>
      <c r="B819" s="335"/>
      <c r="C819" s="335"/>
      <c r="D819" s="335"/>
      <c r="E819" s="335"/>
      <c r="F819" s="335"/>
      <c r="G819" s="335"/>
      <c r="H819" s="335"/>
      <c r="I819" s="335"/>
    </row>
    <row r="820">
      <c r="A820" s="335"/>
      <c r="B820" s="335"/>
      <c r="C820" s="335"/>
      <c r="D820" s="335"/>
      <c r="E820" s="335"/>
      <c r="F820" s="335"/>
      <c r="G820" s="335"/>
      <c r="H820" s="335"/>
      <c r="I820" s="335"/>
    </row>
    <row r="821">
      <c r="A821" s="335"/>
      <c r="B821" s="335"/>
      <c r="C821" s="335"/>
      <c r="D821" s="335"/>
      <c r="E821" s="335"/>
      <c r="F821" s="335"/>
      <c r="G821" s="335"/>
      <c r="H821" s="335"/>
      <c r="I821" s="335"/>
    </row>
    <row r="822">
      <c r="A822" s="335"/>
      <c r="B822" s="335"/>
      <c r="C822" s="335"/>
      <c r="D822" s="335"/>
      <c r="E822" s="335"/>
      <c r="F822" s="335"/>
      <c r="G822" s="335"/>
      <c r="H822" s="335"/>
      <c r="I822" s="335"/>
    </row>
    <row r="823">
      <c r="A823" s="335"/>
      <c r="B823" s="335"/>
      <c r="C823" s="335"/>
      <c r="D823" s="335"/>
      <c r="E823" s="335"/>
      <c r="F823" s="335"/>
      <c r="G823" s="335"/>
      <c r="H823" s="335"/>
      <c r="I823" s="335"/>
    </row>
    <row r="824">
      <c r="A824" s="335"/>
      <c r="B824" s="335"/>
      <c r="C824" s="335"/>
      <c r="D824" s="335"/>
      <c r="E824" s="335"/>
      <c r="F824" s="335"/>
      <c r="G824" s="335"/>
      <c r="H824" s="335"/>
      <c r="I824" s="335"/>
    </row>
    <row r="825">
      <c r="A825" s="335"/>
      <c r="B825" s="335"/>
      <c r="C825" s="335"/>
      <c r="D825" s="335"/>
      <c r="E825" s="335"/>
      <c r="F825" s="335"/>
      <c r="G825" s="335"/>
      <c r="H825" s="335"/>
      <c r="I825" s="335"/>
    </row>
    <row r="826">
      <c r="A826" s="335"/>
      <c r="B826" s="335"/>
      <c r="C826" s="335"/>
      <c r="D826" s="335"/>
      <c r="E826" s="335"/>
      <c r="F826" s="335"/>
      <c r="G826" s="335"/>
      <c r="H826" s="335"/>
      <c r="I826" s="335"/>
    </row>
    <row r="827">
      <c r="A827" s="335"/>
      <c r="B827" s="335"/>
      <c r="C827" s="335"/>
      <c r="D827" s="335"/>
      <c r="E827" s="335"/>
      <c r="F827" s="335"/>
      <c r="G827" s="335"/>
      <c r="H827" s="335"/>
      <c r="I827" s="335"/>
    </row>
    <row r="828">
      <c r="A828" s="335"/>
      <c r="B828" s="335"/>
      <c r="C828" s="335"/>
      <c r="D828" s="335"/>
      <c r="E828" s="335"/>
      <c r="F828" s="335"/>
      <c r="G828" s="335"/>
      <c r="H828" s="335"/>
      <c r="I828" s="335"/>
    </row>
    <row r="829">
      <c r="A829" s="335"/>
      <c r="B829" s="335"/>
      <c r="C829" s="335"/>
      <c r="D829" s="335"/>
      <c r="E829" s="335"/>
      <c r="F829" s="335"/>
      <c r="G829" s="335"/>
      <c r="H829" s="335"/>
      <c r="I829" s="335"/>
    </row>
    <row r="830">
      <c r="A830" s="335"/>
      <c r="B830" s="335"/>
      <c r="C830" s="335"/>
      <c r="D830" s="335"/>
      <c r="E830" s="335"/>
      <c r="F830" s="335"/>
      <c r="G830" s="335"/>
      <c r="H830" s="335"/>
      <c r="I830" s="335"/>
    </row>
    <row r="831">
      <c r="A831" s="335"/>
      <c r="B831" s="335"/>
      <c r="C831" s="335"/>
      <c r="D831" s="335"/>
      <c r="E831" s="335"/>
      <c r="F831" s="335"/>
      <c r="G831" s="335"/>
      <c r="H831" s="335"/>
      <c r="I831" s="335"/>
    </row>
    <row r="832">
      <c r="A832" s="335"/>
      <c r="B832" s="335"/>
      <c r="C832" s="335"/>
      <c r="D832" s="335"/>
      <c r="E832" s="335"/>
      <c r="F832" s="335"/>
      <c r="G832" s="335"/>
      <c r="H832" s="335"/>
      <c r="I832" s="335"/>
    </row>
    <row r="833">
      <c r="A833" s="335"/>
      <c r="B833" s="335"/>
      <c r="C833" s="335"/>
      <c r="D833" s="335"/>
      <c r="E833" s="335"/>
      <c r="F833" s="335"/>
      <c r="G833" s="335"/>
      <c r="H833" s="335"/>
      <c r="I833" s="335"/>
    </row>
    <row r="834">
      <c r="A834" s="335"/>
      <c r="B834" s="335"/>
      <c r="C834" s="335"/>
      <c r="D834" s="335"/>
      <c r="E834" s="335"/>
      <c r="F834" s="335"/>
      <c r="G834" s="335"/>
      <c r="H834" s="335"/>
      <c r="I834" s="335"/>
    </row>
    <row r="835">
      <c r="A835" s="335"/>
      <c r="B835" s="335"/>
      <c r="C835" s="335"/>
      <c r="D835" s="335"/>
      <c r="E835" s="335"/>
      <c r="F835" s="335"/>
      <c r="G835" s="335"/>
      <c r="H835" s="335"/>
      <c r="I835" s="335"/>
    </row>
    <row r="836">
      <c r="A836" s="335"/>
      <c r="B836" s="335"/>
      <c r="C836" s="335"/>
      <c r="D836" s="335"/>
      <c r="E836" s="335"/>
      <c r="F836" s="335"/>
      <c r="G836" s="335"/>
      <c r="H836" s="335"/>
      <c r="I836" s="335"/>
    </row>
    <row r="837">
      <c r="A837" s="335"/>
      <c r="B837" s="335"/>
      <c r="C837" s="335"/>
      <c r="D837" s="335"/>
      <c r="E837" s="335"/>
      <c r="F837" s="335"/>
      <c r="G837" s="335"/>
      <c r="H837" s="335"/>
      <c r="I837" s="335"/>
    </row>
    <row r="838">
      <c r="A838" s="335"/>
      <c r="B838" s="335"/>
      <c r="C838" s="335"/>
      <c r="D838" s="335"/>
      <c r="E838" s="335"/>
      <c r="F838" s="335"/>
      <c r="G838" s="335"/>
      <c r="H838" s="335"/>
      <c r="I838" s="335"/>
    </row>
    <row r="839">
      <c r="A839" s="335"/>
      <c r="B839" s="335"/>
      <c r="C839" s="335"/>
      <c r="D839" s="335"/>
      <c r="E839" s="335"/>
      <c r="F839" s="335"/>
      <c r="G839" s="335"/>
      <c r="H839" s="335"/>
      <c r="I839" s="335"/>
    </row>
    <row r="840">
      <c r="A840" s="335"/>
      <c r="B840" s="335"/>
      <c r="C840" s="335"/>
      <c r="D840" s="335"/>
      <c r="E840" s="335"/>
      <c r="F840" s="335"/>
      <c r="G840" s="335"/>
      <c r="H840" s="335"/>
      <c r="I840" s="335"/>
    </row>
    <row r="841">
      <c r="A841" s="335"/>
      <c r="B841" s="335"/>
      <c r="C841" s="335"/>
      <c r="D841" s="335"/>
      <c r="E841" s="335"/>
      <c r="F841" s="335"/>
      <c r="G841" s="335"/>
      <c r="H841" s="335"/>
      <c r="I841" s="335"/>
    </row>
    <row r="842">
      <c r="A842" s="335"/>
      <c r="B842" s="335"/>
      <c r="C842" s="335"/>
      <c r="D842" s="335"/>
      <c r="E842" s="335"/>
      <c r="F842" s="335"/>
      <c r="G842" s="335"/>
      <c r="H842" s="335"/>
      <c r="I842" s="335"/>
    </row>
    <row r="843">
      <c r="A843" s="335"/>
      <c r="B843" s="335"/>
      <c r="C843" s="335"/>
      <c r="D843" s="335"/>
      <c r="E843" s="335"/>
      <c r="F843" s="335"/>
      <c r="G843" s="335"/>
      <c r="H843" s="335"/>
      <c r="I843" s="335"/>
    </row>
    <row r="844">
      <c r="A844" s="335"/>
      <c r="B844" s="335"/>
      <c r="C844" s="335"/>
      <c r="D844" s="335"/>
      <c r="E844" s="335"/>
      <c r="F844" s="335"/>
      <c r="G844" s="335"/>
      <c r="H844" s="335"/>
      <c r="I844" s="335"/>
    </row>
    <row r="845">
      <c r="A845" s="335"/>
      <c r="B845" s="335"/>
      <c r="C845" s="335"/>
      <c r="D845" s="335"/>
      <c r="E845" s="335"/>
      <c r="F845" s="335"/>
      <c r="G845" s="335"/>
      <c r="H845" s="335"/>
      <c r="I845" s="335"/>
    </row>
    <row r="846">
      <c r="A846" s="335"/>
      <c r="B846" s="335"/>
      <c r="C846" s="335"/>
      <c r="D846" s="335"/>
      <c r="E846" s="335"/>
      <c r="F846" s="335"/>
      <c r="G846" s="335"/>
      <c r="H846" s="335"/>
      <c r="I846" s="335"/>
    </row>
    <row r="847">
      <c r="A847" s="335"/>
      <c r="B847" s="335"/>
      <c r="C847" s="335"/>
      <c r="D847" s="335"/>
      <c r="E847" s="335"/>
      <c r="F847" s="335"/>
      <c r="G847" s="335"/>
      <c r="H847" s="335"/>
      <c r="I847" s="335"/>
    </row>
    <row r="848">
      <c r="A848" s="335"/>
      <c r="B848" s="335"/>
      <c r="C848" s="335"/>
      <c r="D848" s="335"/>
      <c r="E848" s="335"/>
      <c r="F848" s="335"/>
      <c r="G848" s="335"/>
      <c r="H848" s="335"/>
      <c r="I848" s="335"/>
    </row>
    <row r="849">
      <c r="A849" s="335"/>
      <c r="B849" s="335"/>
      <c r="C849" s="335"/>
      <c r="D849" s="335"/>
      <c r="E849" s="335"/>
      <c r="F849" s="335"/>
      <c r="G849" s="335"/>
      <c r="H849" s="335"/>
      <c r="I849" s="335"/>
    </row>
    <row r="850">
      <c r="A850" s="335"/>
      <c r="B850" s="335"/>
      <c r="C850" s="335"/>
      <c r="D850" s="335"/>
      <c r="E850" s="335"/>
      <c r="F850" s="335"/>
      <c r="G850" s="335"/>
      <c r="H850" s="335"/>
      <c r="I850" s="335"/>
    </row>
    <row r="851">
      <c r="A851" s="335"/>
      <c r="B851" s="335"/>
      <c r="C851" s="335"/>
      <c r="D851" s="335"/>
      <c r="E851" s="335"/>
      <c r="F851" s="335"/>
      <c r="G851" s="335"/>
      <c r="H851" s="335"/>
      <c r="I851" s="335"/>
    </row>
    <row r="852">
      <c r="A852" s="335"/>
      <c r="B852" s="335"/>
      <c r="C852" s="335"/>
      <c r="D852" s="335"/>
      <c r="E852" s="335"/>
      <c r="F852" s="335"/>
      <c r="G852" s="335"/>
      <c r="H852" s="335"/>
      <c r="I852" s="335"/>
    </row>
    <row r="853">
      <c r="A853" s="335"/>
      <c r="B853" s="335"/>
      <c r="C853" s="335"/>
      <c r="D853" s="335"/>
      <c r="E853" s="335"/>
      <c r="F853" s="335"/>
      <c r="G853" s="335"/>
      <c r="H853" s="335"/>
      <c r="I853" s="335"/>
    </row>
    <row r="854">
      <c r="A854" s="335"/>
      <c r="B854" s="335"/>
      <c r="C854" s="335"/>
      <c r="D854" s="335"/>
      <c r="E854" s="335"/>
      <c r="F854" s="335"/>
      <c r="G854" s="335"/>
      <c r="H854" s="335"/>
      <c r="I854" s="335"/>
    </row>
    <row r="855">
      <c r="A855" s="335"/>
      <c r="B855" s="335"/>
      <c r="C855" s="335"/>
      <c r="D855" s="335"/>
      <c r="E855" s="335"/>
      <c r="F855" s="335"/>
      <c r="G855" s="335"/>
      <c r="H855" s="335"/>
      <c r="I855" s="335"/>
    </row>
    <row r="856">
      <c r="A856" s="335"/>
      <c r="B856" s="335"/>
      <c r="C856" s="335"/>
      <c r="D856" s="335"/>
      <c r="E856" s="335"/>
      <c r="F856" s="335"/>
      <c r="G856" s="335"/>
      <c r="H856" s="335"/>
      <c r="I856" s="335"/>
    </row>
    <row r="857">
      <c r="A857" s="335"/>
      <c r="B857" s="335"/>
      <c r="C857" s="335"/>
      <c r="D857" s="335"/>
      <c r="E857" s="335"/>
      <c r="F857" s="335"/>
      <c r="G857" s="335"/>
      <c r="H857" s="335"/>
      <c r="I857" s="335"/>
    </row>
    <row r="858">
      <c r="A858" s="335"/>
      <c r="B858" s="335"/>
      <c r="C858" s="335"/>
      <c r="D858" s="335"/>
      <c r="E858" s="335"/>
      <c r="F858" s="335"/>
      <c r="G858" s="335"/>
      <c r="H858" s="335"/>
      <c r="I858" s="335"/>
    </row>
    <row r="859">
      <c r="A859" s="335"/>
      <c r="B859" s="335"/>
      <c r="C859" s="335"/>
      <c r="D859" s="335"/>
      <c r="E859" s="335"/>
      <c r="F859" s="335"/>
      <c r="G859" s="335"/>
      <c r="H859" s="335"/>
      <c r="I859" s="335"/>
    </row>
    <row r="860">
      <c r="A860" s="335"/>
      <c r="B860" s="335"/>
      <c r="C860" s="335"/>
      <c r="D860" s="335"/>
      <c r="E860" s="335"/>
      <c r="F860" s="335"/>
      <c r="G860" s="335"/>
      <c r="H860" s="335"/>
      <c r="I860" s="335"/>
    </row>
    <row r="861">
      <c r="A861" s="335"/>
      <c r="B861" s="335"/>
      <c r="C861" s="335"/>
      <c r="D861" s="335"/>
      <c r="E861" s="335"/>
      <c r="F861" s="335"/>
      <c r="G861" s="335"/>
      <c r="H861" s="335"/>
      <c r="I861" s="335"/>
    </row>
    <row r="862">
      <c r="A862" s="335"/>
      <c r="B862" s="335"/>
      <c r="C862" s="335"/>
      <c r="D862" s="335"/>
      <c r="E862" s="335"/>
      <c r="F862" s="335"/>
      <c r="G862" s="335"/>
      <c r="H862" s="335"/>
      <c r="I862" s="335"/>
    </row>
    <row r="863">
      <c r="A863" s="335"/>
      <c r="B863" s="335"/>
      <c r="C863" s="335"/>
      <c r="D863" s="335"/>
      <c r="E863" s="335"/>
      <c r="F863" s="335"/>
      <c r="G863" s="335"/>
      <c r="H863" s="335"/>
      <c r="I863" s="335"/>
    </row>
    <row r="864">
      <c r="A864" s="335"/>
      <c r="B864" s="335"/>
      <c r="C864" s="335"/>
      <c r="D864" s="335"/>
      <c r="E864" s="335"/>
      <c r="F864" s="335"/>
      <c r="G864" s="335"/>
      <c r="H864" s="335"/>
      <c r="I864" s="335"/>
    </row>
    <row r="865">
      <c r="A865" s="335"/>
      <c r="B865" s="335"/>
      <c r="C865" s="335"/>
      <c r="D865" s="335"/>
      <c r="E865" s="335"/>
      <c r="F865" s="335"/>
      <c r="G865" s="335"/>
      <c r="H865" s="335"/>
      <c r="I865" s="335"/>
    </row>
    <row r="866">
      <c r="A866" s="335"/>
      <c r="B866" s="335"/>
      <c r="C866" s="335"/>
      <c r="D866" s="335"/>
      <c r="E866" s="335"/>
      <c r="F866" s="335"/>
      <c r="G866" s="335"/>
      <c r="H866" s="335"/>
      <c r="I866" s="335"/>
    </row>
    <row r="867">
      <c r="A867" s="335"/>
      <c r="B867" s="335"/>
      <c r="C867" s="335"/>
      <c r="D867" s="335"/>
      <c r="E867" s="335"/>
      <c r="F867" s="335"/>
      <c r="G867" s="335"/>
      <c r="H867" s="335"/>
      <c r="I867" s="335"/>
    </row>
    <row r="868">
      <c r="A868" s="335"/>
      <c r="B868" s="335"/>
      <c r="C868" s="335"/>
      <c r="D868" s="335"/>
      <c r="E868" s="335"/>
      <c r="F868" s="335"/>
      <c r="G868" s="335"/>
      <c r="H868" s="335"/>
      <c r="I868" s="335"/>
    </row>
    <row r="869">
      <c r="A869" s="335"/>
      <c r="B869" s="335"/>
      <c r="C869" s="335"/>
      <c r="D869" s="335"/>
      <c r="E869" s="335"/>
      <c r="F869" s="335"/>
      <c r="G869" s="335"/>
      <c r="H869" s="335"/>
      <c r="I869" s="335"/>
    </row>
    <row r="870">
      <c r="A870" s="335"/>
      <c r="B870" s="335"/>
      <c r="C870" s="335"/>
      <c r="D870" s="335"/>
      <c r="E870" s="335"/>
      <c r="F870" s="335"/>
      <c r="G870" s="335"/>
      <c r="H870" s="335"/>
      <c r="I870" s="335"/>
    </row>
    <row r="871">
      <c r="A871" s="335"/>
      <c r="B871" s="335"/>
      <c r="C871" s="335"/>
      <c r="D871" s="335"/>
      <c r="E871" s="335"/>
      <c r="F871" s="335"/>
      <c r="G871" s="335"/>
      <c r="H871" s="335"/>
      <c r="I871" s="335"/>
    </row>
    <row r="872">
      <c r="A872" s="335"/>
      <c r="B872" s="335"/>
      <c r="C872" s="335"/>
      <c r="D872" s="335"/>
      <c r="E872" s="335"/>
      <c r="F872" s="335"/>
      <c r="G872" s="335"/>
      <c r="H872" s="335"/>
      <c r="I872" s="335"/>
    </row>
    <row r="873">
      <c r="A873" s="335"/>
      <c r="B873" s="335"/>
      <c r="C873" s="335"/>
      <c r="D873" s="335"/>
      <c r="E873" s="335"/>
      <c r="F873" s="335"/>
      <c r="G873" s="335"/>
      <c r="H873" s="335"/>
      <c r="I873" s="335"/>
    </row>
    <row r="874">
      <c r="A874" s="335"/>
      <c r="B874" s="335"/>
      <c r="C874" s="335"/>
      <c r="D874" s="335"/>
      <c r="E874" s="335"/>
      <c r="F874" s="335"/>
      <c r="G874" s="335"/>
      <c r="H874" s="335"/>
      <c r="I874" s="335"/>
    </row>
    <row r="875">
      <c r="A875" s="335"/>
      <c r="B875" s="335"/>
      <c r="C875" s="335"/>
      <c r="D875" s="335"/>
      <c r="E875" s="335"/>
      <c r="F875" s="335"/>
      <c r="G875" s="335"/>
      <c r="H875" s="335"/>
      <c r="I875" s="335"/>
    </row>
    <row r="876">
      <c r="A876" s="335"/>
      <c r="B876" s="335"/>
      <c r="C876" s="335"/>
      <c r="D876" s="335"/>
      <c r="E876" s="335"/>
      <c r="F876" s="335"/>
      <c r="G876" s="335"/>
      <c r="H876" s="335"/>
      <c r="I876" s="335"/>
    </row>
    <row r="877">
      <c r="A877" s="335"/>
      <c r="B877" s="335"/>
      <c r="C877" s="335"/>
      <c r="D877" s="335"/>
      <c r="E877" s="335"/>
      <c r="F877" s="335"/>
      <c r="G877" s="335"/>
      <c r="H877" s="335"/>
      <c r="I877" s="335"/>
    </row>
    <row r="878">
      <c r="A878" s="335"/>
      <c r="B878" s="335"/>
      <c r="C878" s="335"/>
      <c r="D878" s="335"/>
      <c r="E878" s="335"/>
      <c r="F878" s="335"/>
      <c r="G878" s="335"/>
      <c r="H878" s="335"/>
      <c r="I878" s="335"/>
    </row>
    <row r="879">
      <c r="A879" s="335"/>
      <c r="B879" s="335"/>
      <c r="C879" s="335"/>
      <c r="D879" s="335"/>
      <c r="E879" s="335"/>
      <c r="F879" s="335"/>
      <c r="G879" s="335"/>
      <c r="H879" s="335"/>
      <c r="I879" s="335"/>
    </row>
    <row r="880">
      <c r="A880" s="335"/>
      <c r="B880" s="335"/>
      <c r="C880" s="335"/>
      <c r="D880" s="335"/>
      <c r="E880" s="335"/>
      <c r="F880" s="335"/>
      <c r="G880" s="335"/>
      <c r="H880" s="335"/>
      <c r="I880" s="335"/>
    </row>
    <row r="881">
      <c r="A881" s="335"/>
      <c r="B881" s="335"/>
      <c r="C881" s="335"/>
      <c r="D881" s="335"/>
      <c r="E881" s="335"/>
      <c r="F881" s="335"/>
      <c r="G881" s="335"/>
      <c r="H881" s="335"/>
      <c r="I881" s="335"/>
    </row>
    <row r="882">
      <c r="A882" s="335"/>
      <c r="B882" s="335"/>
      <c r="C882" s="335"/>
      <c r="D882" s="335"/>
      <c r="E882" s="335"/>
      <c r="F882" s="335"/>
      <c r="G882" s="335"/>
      <c r="H882" s="335"/>
      <c r="I882" s="335"/>
    </row>
    <row r="883">
      <c r="A883" s="335"/>
      <c r="B883" s="335"/>
      <c r="C883" s="335"/>
      <c r="D883" s="335"/>
      <c r="E883" s="335"/>
      <c r="F883" s="335"/>
      <c r="G883" s="335"/>
      <c r="H883" s="335"/>
      <c r="I883" s="335"/>
    </row>
    <row r="884">
      <c r="A884" s="335"/>
      <c r="B884" s="335"/>
      <c r="C884" s="335"/>
      <c r="D884" s="335"/>
      <c r="E884" s="335"/>
      <c r="F884" s="335"/>
      <c r="G884" s="335"/>
      <c r="H884" s="335"/>
      <c r="I884" s="335"/>
    </row>
    <row r="885">
      <c r="A885" s="335"/>
      <c r="B885" s="335"/>
      <c r="C885" s="335"/>
      <c r="D885" s="335"/>
      <c r="E885" s="335"/>
      <c r="F885" s="335"/>
      <c r="G885" s="335"/>
      <c r="H885" s="335"/>
      <c r="I885" s="335"/>
    </row>
    <row r="886">
      <c r="A886" s="335"/>
      <c r="B886" s="335"/>
      <c r="C886" s="335"/>
      <c r="D886" s="335"/>
      <c r="E886" s="335"/>
      <c r="F886" s="335"/>
      <c r="G886" s="335"/>
      <c r="H886" s="335"/>
      <c r="I886" s="335"/>
    </row>
    <row r="887">
      <c r="A887" s="335"/>
      <c r="B887" s="335"/>
      <c r="C887" s="335"/>
      <c r="D887" s="335"/>
      <c r="E887" s="335"/>
      <c r="F887" s="335"/>
      <c r="G887" s="335"/>
      <c r="H887" s="335"/>
      <c r="I887" s="335"/>
    </row>
    <row r="888">
      <c r="A888" s="335"/>
      <c r="B888" s="335"/>
      <c r="C888" s="335"/>
      <c r="D888" s="335"/>
      <c r="E888" s="335"/>
      <c r="F888" s="335"/>
      <c r="G888" s="335"/>
      <c r="H888" s="335"/>
      <c r="I888" s="335"/>
    </row>
    <row r="889">
      <c r="A889" s="335"/>
      <c r="B889" s="335"/>
      <c r="C889" s="335"/>
      <c r="D889" s="335"/>
      <c r="E889" s="335"/>
      <c r="F889" s="335"/>
      <c r="G889" s="335"/>
      <c r="H889" s="335"/>
      <c r="I889" s="335"/>
    </row>
    <row r="890">
      <c r="A890" s="335"/>
      <c r="B890" s="335"/>
      <c r="C890" s="335"/>
      <c r="D890" s="335"/>
      <c r="E890" s="335"/>
      <c r="F890" s="335"/>
      <c r="G890" s="335"/>
      <c r="H890" s="335"/>
      <c r="I890" s="335"/>
    </row>
    <row r="891">
      <c r="A891" s="335"/>
      <c r="B891" s="335"/>
      <c r="C891" s="335"/>
      <c r="D891" s="335"/>
      <c r="E891" s="335"/>
      <c r="F891" s="335"/>
      <c r="G891" s="335"/>
      <c r="H891" s="335"/>
      <c r="I891" s="335"/>
    </row>
    <row r="892">
      <c r="A892" s="335"/>
      <c r="B892" s="335"/>
      <c r="C892" s="335"/>
      <c r="D892" s="335"/>
      <c r="E892" s="335"/>
      <c r="F892" s="335"/>
      <c r="G892" s="335"/>
      <c r="H892" s="335"/>
      <c r="I892" s="335"/>
    </row>
    <row r="893">
      <c r="A893" s="335"/>
      <c r="B893" s="335"/>
      <c r="C893" s="335"/>
      <c r="D893" s="335"/>
      <c r="E893" s="335"/>
      <c r="F893" s="335"/>
      <c r="G893" s="335"/>
      <c r="H893" s="335"/>
      <c r="I893" s="335"/>
    </row>
    <row r="894">
      <c r="A894" s="335"/>
      <c r="B894" s="335"/>
      <c r="C894" s="335"/>
      <c r="D894" s="335"/>
      <c r="E894" s="335"/>
      <c r="F894" s="335"/>
      <c r="G894" s="335"/>
      <c r="H894" s="335"/>
      <c r="I894" s="335"/>
    </row>
    <row r="895">
      <c r="A895" s="335"/>
      <c r="B895" s="335"/>
      <c r="C895" s="335"/>
      <c r="D895" s="335"/>
      <c r="E895" s="335"/>
      <c r="F895" s="335"/>
      <c r="G895" s="335"/>
      <c r="H895" s="335"/>
      <c r="I895" s="335"/>
    </row>
    <row r="896">
      <c r="A896" s="335"/>
      <c r="B896" s="335"/>
      <c r="C896" s="335"/>
      <c r="D896" s="335"/>
      <c r="E896" s="335"/>
      <c r="F896" s="335"/>
      <c r="G896" s="335"/>
      <c r="H896" s="335"/>
      <c r="I896" s="335"/>
    </row>
    <row r="897">
      <c r="A897" s="335"/>
      <c r="B897" s="335"/>
      <c r="C897" s="335"/>
      <c r="D897" s="335"/>
      <c r="E897" s="335"/>
      <c r="F897" s="335"/>
      <c r="G897" s="335"/>
      <c r="H897" s="335"/>
      <c r="I897" s="335"/>
    </row>
    <row r="898">
      <c r="A898" s="335"/>
      <c r="B898" s="335"/>
      <c r="C898" s="335"/>
      <c r="D898" s="335"/>
      <c r="E898" s="335"/>
      <c r="F898" s="335"/>
      <c r="G898" s="335"/>
      <c r="H898" s="335"/>
      <c r="I898" s="335"/>
    </row>
    <row r="899">
      <c r="A899" s="335"/>
      <c r="B899" s="335"/>
      <c r="C899" s="335"/>
      <c r="D899" s="335"/>
      <c r="E899" s="335"/>
      <c r="F899" s="335"/>
      <c r="G899" s="335"/>
      <c r="H899" s="335"/>
      <c r="I899" s="335"/>
    </row>
    <row r="900">
      <c r="A900" s="335"/>
      <c r="B900" s="335"/>
      <c r="C900" s="335"/>
      <c r="D900" s="335"/>
      <c r="E900" s="335"/>
      <c r="F900" s="335"/>
      <c r="G900" s="335"/>
      <c r="H900" s="335"/>
      <c r="I900" s="335"/>
    </row>
    <row r="901">
      <c r="A901" s="335"/>
      <c r="B901" s="335"/>
      <c r="C901" s="335"/>
      <c r="D901" s="335"/>
      <c r="E901" s="335"/>
      <c r="F901" s="335"/>
      <c r="G901" s="335"/>
      <c r="H901" s="335"/>
      <c r="I901" s="335"/>
    </row>
    <row r="902">
      <c r="A902" s="335"/>
      <c r="B902" s="335"/>
      <c r="C902" s="335"/>
      <c r="D902" s="335"/>
      <c r="E902" s="335"/>
      <c r="F902" s="335"/>
      <c r="G902" s="335"/>
      <c r="H902" s="335"/>
      <c r="I902" s="335"/>
    </row>
    <row r="903">
      <c r="A903" s="335"/>
      <c r="B903" s="335"/>
      <c r="C903" s="335"/>
      <c r="D903" s="335"/>
      <c r="E903" s="335"/>
      <c r="F903" s="335"/>
      <c r="G903" s="335"/>
      <c r="H903" s="335"/>
      <c r="I903" s="335"/>
    </row>
    <row r="904">
      <c r="A904" s="335"/>
      <c r="B904" s="335"/>
      <c r="C904" s="335"/>
      <c r="D904" s="335"/>
      <c r="E904" s="335"/>
      <c r="F904" s="335"/>
      <c r="G904" s="335"/>
      <c r="H904" s="335"/>
      <c r="I904" s="335"/>
    </row>
    <row r="905">
      <c r="A905" s="335"/>
      <c r="B905" s="335"/>
      <c r="C905" s="335"/>
      <c r="D905" s="335"/>
      <c r="E905" s="335"/>
      <c r="F905" s="335"/>
      <c r="G905" s="335"/>
      <c r="H905" s="335"/>
      <c r="I905" s="335"/>
    </row>
    <row r="906">
      <c r="A906" s="335"/>
      <c r="B906" s="335"/>
      <c r="C906" s="335"/>
      <c r="D906" s="335"/>
      <c r="E906" s="335"/>
      <c r="F906" s="335"/>
      <c r="G906" s="335"/>
      <c r="H906" s="335"/>
      <c r="I906" s="335"/>
    </row>
    <row r="907">
      <c r="A907" s="335"/>
      <c r="B907" s="335"/>
      <c r="C907" s="335"/>
      <c r="D907" s="335"/>
      <c r="E907" s="335"/>
      <c r="F907" s="335"/>
      <c r="G907" s="335"/>
      <c r="H907" s="335"/>
      <c r="I907" s="335"/>
    </row>
    <row r="908">
      <c r="A908" s="335"/>
      <c r="B908" s="335"/>
      <c r="C908" s="335"/>
      <c r="D908" s="335"/>
      <c r="E908" s="335"/>
      <c r="F908" s="335"/>
      <c r="G908" s="335"/>
      <c r="H908" s="335"/>
      <c r="I908" s="335"/>
    </row>
    <row r="909">
      <c r="A909" s="335"/>
      <c r="B909" s="335"/>
      <c r="C909" s="335"/>
      <c r="D909" s="335"/>
      <c r="E909" s="335"/>
      <c r="F909" s="335"/>
      <c r="G909" s="335"/>
      <c r="H909" s="335"/>
      <c r="I909" s="335"/>
    </row>
    <row r="910">
      <c r="A910" s="335"/>
      <c r="B910" s="335"/>
      <c r="C910" s="335"/>
      <c r="D910" s="335"/>
      <c r="E910" s="335"/>
      <c r="F910" s="335"/>
      <c r="G910" s="335"/>
      <c r="H910" s="335"/>
      <c r="I910" s="335"/>
    </row>
    <row r="911">
      <c r="A911" s="335"/>
      <c r="B911" s="335"/>
      <c r="C911" s="335"/>
      <c r="D911" s="335"/>
      <c r="E911" s="335"/>
      <c r="F911" s="335"/>
      <c r="G911" s="335"/>
      <c r="H911" s="335"/>
      <c r="I911" s="335"/>
    </row>
    <row r="912">
      <c r="A912" s="335"/>
      <c r="B912" s="335"/>
      <c r="C912" s="335"/>
      <c r="D912" s="335"/>
      <c r="E912" s="335"/>
      <c r="F912" s="335"/>
      <c r="G912" s="335"/>
      <c r="H912" s="335"/>
      <c r="I912" s="335"/>
    </row>
    <row r="913">
      <c r="A913" s="335"/>
      <c r="B913" s="335"/>
      <c r="C913" s="335"/>
      <c r="D913" s="335"/>
      <c r="E913" s="335"/>
      <c r="F913" s="335"/>
      <c r="G913" s="335"/>
      <c r="H913" s="335"/>
      <c r="I913" s="335"/>
    </row>
    <row r="914">
      <c r="A914" s="335"/>
      <c r="B914" s="335"/>
      <c r="C914" s="335"/>
      <c r="D914" s="335"/>
      <c r="E914" s="335"/>
      <c r="F914" s="335"/>
      <c r="G914" s="335"/>
      <c r="H914" s="335"/>
      <c r="I914" s="335"/>
    </row>
    <row r="915">
      <c r="A915" s="335"/>
      <c r="B915" s="335"/>
      <c r="C915" s="335"/>
      <c r="D915" s="335"/>
      <c r="E915" s="335"/>
      <c r="F915" s="335"/>
      <c r="G915" s="335"/>
      <c r="H915" s="335"/>
      <c r="I915" s="335"/>
    </row>
    <row r="916">
      <c r="A916" s="335"/>
      <c r="B916" s="335"/>
      <c r="C916" s="335"/>
      <c r="D916" s="335"/>
      <c r="E916" s="335"/>
      <c r="F916" s="335"/>
      <c r="G916" s="335"/>
      <c r="H916" s="335"/>
      <c r="I916" s="335"/>
    </row>
    <row r="917">
      <c r="A917" s="335"/>
      <c r="B917" s="335"/>
      <c r="C917" s="335"/>
      <c r="D917" s="335"/>
      <c r="E917" s="335"/>
      <c r="F917" s="335"/>
      <c r="G917" s="335"/>
      <c r="H917" s="335"/>
      <c r="I917" s="335"/>
    </row>
    <row r="918">
      <c r="A918" s="335"/>
      <c r="B918" s="335"/>
      <c r="C918" s="335"/>
      <c r="D918" s="335"/>
      <c r="E918" s="335"/>
      <c r="F918" s="335"/>
      <c r="G918" s="335"/>
      <c r="H918" s="335"/>
      <c r="I918" s="335"/>
    </row>
    <row r="919">
      <c r="A919" s="335"/>
      <c r="B919" s="335"/>
      <c r="C919" s="335"/>
      <c r="D919" s="335"/>
      <c r="E919" s="335"/>
      <c r="F919" s="335"/>
      <c r="G919" s="335"/>
      <c r="H919" s="335"/>
      <c r="I919" s="335"/>
    </row>
    <row r="920">
      <c r="A920" s="335"/>
      <c r="B920" s="335"/>
      <c r="C920" s="335"/>
      <c r="D920" s="335"/>
      <c r="E920" s="335"/>
      <c r="F920" s="335"/>
      <c r="G920" s="335"/>
      <c r="H920" s="335"/>
      <c r="I920" s="335"/>
    </row>
    <row r="921">
      <c r="A921" s="335"/>
      <c r="B921" s="335"/>
      <c r="C921" s="335"/>
      <c r="D921" s="335"/>
      <c r="E921" s="335"/>
      <c r="F921" s="335"/>
      <c r="G921" s="335"/>
      <c r="H921" s="335"/>
      <c r="I921" s="335"/>
    </row>
    <row r="922">
      <c r="A922" s="335"/>
      <c r="B922" s="335"/>
      <c r="C922" s="335"/>
      <c r="D922" s="335"/>
      <c r="E922" s="335"/>
      <c r="F922" s="335"/>
      <c r="G922" s="335"/>
      <c r="H922" s="335"/>
      <c r="I922" s="335"/>
    </row>
    <row r="923">
      <c r="A923" s="335"/>
      <c r="B923" s="335"/>
      <c r="C923" s="335"/>
      <c r="D923" s="335"/>
      <c r="E923" s="335"/>
      <c r="F923" s="335"/>
      <c r="G923" s="335"/>
      <c r="H923" s="335"/>
      <c r="I923" s="335"/>
    </row>
    <row r="924">
      <c r="A924" s="335"/>
      <c r="B924" s="335"/>
      <c r="C924" s="335"/>
      <c r="D924" s="335"/>
      <c r="E924" s="335"/>
      <c r="F924" s="335"/>
      <c r="G924" s="335"/>
      <c r="H924" s="335"/>
      <c r="I924" s="335"/>
    </row>
    <row r="925">
      <c r="A925" s="335"/>
      <c r="B925" s="335"/>
      <c r="C925" s="335"/>
      <c r="D925" s="335"/>
      <c r="E925" s="335"/>
      <c r="F925" s="335"/>
      <c r="G925" s="335"/>
      <c r="H925" s="335"/>
      <c r="I925" s="335"/>
    </row>
    <row r="926">
      <c r="A926" s="335"/>
      <c r="B926" s="335"/>
      <c r="C926" s="335"/>
      <c r="D926" s="335"/>
      <c r="E926" s="335"/>
      <c r="F926" s="335"/>
      <c r="G926" s="335"/>
      <c r="H926" s="335"/>
      <c r="I926" s="335"/>
    </row>
    <row r="927">
      <c r="A927" s="335"/>
      <c r="B927" s="335"/>
      <c r="C927" s="335"/>
      <c r="D927" s="335"/>
      <c r="E927" s="335"/>
      <c r="F927" s="335"/>
      <c r="G927" s="335"/>
      <c r="H927" s="335"/>
      <c r="I927" s="335"/>
    </row>
    <row r="928">
      <c r="A928" s="335"/>
      <c r="B928" s="335"/>
      <c r="C928" s="335"/>
      <c r="D928" s="335"/>
      <c r="E928" s="335"/>
      <c r="F928" s="335"/>
      <c r="G928" s="335"/>
      <c r="H928" s="335"/>
      <c r="I928" s="335"/>
    </row>
    <row r="929">
      <c r="A929" s="335"/>
      <c r="B929" s="335"/>
      <c r="C929" s="335"/>
      <c r="D929" s="335"/>
      <c r="E929" s="335"/>
      <c r="F929" s="335"/>
      <c r="G929" s="335"/>
      <c r="H929" s="335"/>
      <c r="I929" s="335"/>
    </row>
    <row r="930">
      <c r="A930" s="335"/>
      <c r="B930" s="335"/>
      <c r="C930" s="335"/>
      <c r="D930" s="335"/>
      <c r="E930" s="335"/>
      <c r="F930" s="335"/>
      <c r="G930" s="335"/>
      <c r="H930" s="335"/>
      <c r="I930" s="335"/>
    </row>
    <row r="931">
      <c r="A931" s="335"/>
      <c r="B931" s="335"/>
      <c r="C931" s="335"/>
      <c r="D931" s="335"/>
      <c r="E931" s="335"/>
      <c r="F931" s="335"/>
      <c r="G931" s="335"/>
      <c r="H931" s="335"/>
      <c r="I931" s="335"/>
    </row>
    <row r="932">
      <c r="A932" s="335"/>
      <c r="B932" s="335"/>
      <c r="C932" s="335"/>
      <c r="D932" s="335"/>
      <c r="E932" s="335"/>
      <c r="F932" s="335"/>
      <c r="G932" s="335"/>
      <c r="H932" s="335"/>
      <c r="I932" s="335"/>
    </row>
    <row r="933">
      <c r="A933" s="335"/>
      <c r="B933" s="335"/>
      <c r="C933" s="335"/>
      <c r="D933" s="335"/>
      <c r="E933" s="335"/>
      <c r="F933" s="335"/>
      <c r="G933" s="335"/>
      <c r="H933" s="335"/>
      <c r="I933" s="335"/>
    </row>
    <row r="934">
      <c r="A934" s="335"/>
      <c r="B934" s="335"/>
      <c r="C934" s="335"/>
      <c r="D934" s="335"/>
      <c r="E934" s="335"/>
      <c r="F934" s="335"/>
      <c r="G934" s="335"/>
      <c r="H934" s="335"/>
      <c r="I934" s="335"/>
    </row>
    <row r="935">
      <c r="A935" s="335"/>
      <c r="B935" s="335"/>
      <c r="C935" s="335"/>
      <c r="D935" s="335"/>
      <c r="E935" s="335"/>
      <c r="F935" s="335"/>
      <c r="G935" s="335"/>
      <c r="H935" s="335"/>
      <c r="I935" s="335"/>
    </row>
    <row r="936">
      <c r="A936" s="335"/>
      <c r="B936" s="335"/>
      <c r="C936" s="335"/>
      <c r="D936" s="335"/>
      <c r="E936" s="335"/>
      <c r="F936" s="335"/>
      <c r="G936" s="335"/>
      <c r="H936" s="335"/>
      <c r="I936" s="335"/>
    </row>
    <row r="937">
      <c r="A937" s="335"/>
      <c r="B937" s="335"/>
      <c r="C937" s="335"/>
      <c r="D937" s="335"/>
      <c r="E937" s="335"/>
      <c r="F937" s="335"/>
      <c r="G937" s="335"/>
      <c r="H937" s="335"/>
      <c r="I937" s="335"/>
    </row>
    <row r="938">
      <c r="A938" s="335"/>
      <c r="B938" s="335"/>
      <c r="C938" s="335"/>
      <c r="D938" s="335"/>
      <c r="E938" s="335"/>
      <c r="F938" s="335"/>
      <c r="G938" s="335"/>
      <c r="H938" s="335"/>
      <c r="I938" s="335"/>
    </row>
    <row r="939">
      <c r="A939" s="335"/>
      <c r="B939" s="335"/>
      <c r="C939" s="335"/>
      <c r="D939" s="335"/>
      <c r="E939" s="335"/>
      <c r="F939" s="335"/>
      <c r="G939" s="335"/>
      <c r="H939" s="335"/>
      <c r="I939" s="335"/>
    </row>
    <row r="940">
      <c r="A940" s="335"/>
      <c r="B940" s="335"/>
      <c r="C940" s="335"/>
      <c r="D940" s="335"/>
      <c r="E940" s="335"/>
      <c r="F940" s="335"/>
      <c r="G940" s="335"/>
      <c r="H940" s="335"/>
      <c r="I940" s="335"/>
    </row>
    <row r="941">
      <c r="A941" s="335"/>
      <c r="B941" s="335"/>
      <c r="C941" s="335"/>
      <c r="D941" s="335"/>
      <c r="E941" s="335"/>
      <c r="F941" s="335"/>
      <c r="G941" s="335"/>
      <c r="H941" s="335"/>
      <c r="I941" s="335"/>
    </row>
    <row r="942">
      <c r="A942" s="335"/>
      <c r="B942" s="335"/>
      <c r="C942" s="335"/>
      <c r="D942" s="335"/>
      <c r="E942" s="335"/>
      <c r="F942" s="335"/>
      <c r="G942" s="335"/>
      <c r="H942" s="335"/>
      <c r="I942" s="335"/>
    </row>
    <row r="943">
      <c r="A943" s="335"/>
      <c r="B943" s="335"/>
      <c r="C943" s="335"/>
      <c r="D943" s="335"/>
      <c r="E943" s="335"/>
      <c r="F943" s="335"/>
      <c r="G943" s="335"/>
      <c r="H943" s="335"/>
      <c r="I943" s="335"/>
    </row>
    <row r="944">
      <c r="A944" s="335"/>
      <c r="B944" s="335"/>
      <c r="C944" s="335"/>
      <c r="D944" s="335"/>
      <c r="E944" s="335"/>
      <c r="F944" s="335"/>
      <c r="G944" s="335"/>
      <c r="H944" s="335"/>
      <c r="I944" s="335"/>
    </row>
    <row r="945">
      <c r="A945" s="335"/>
      <c r="B945" s="335"/>
      <c r="C945" s="335"/>
      <c r="D945" s="335"/>
      <c r="E945" s="335"/>
      <c r="F945" s="335"/>
      <c r="G945" s="335"/>
      <c r="H945" s="335"/>
      <c r="I945" s="335"/>
    </row>
    <row r="946">
      <c r="A946" s="335"/>
      <c r="B946" s="335"/>
      <c r="C946" s="335"/>
      <c r="D946" s="335"/>
      <c r="E946" s="335"/>
      <c r="F946" s="335"/>
      <c r="G946" s="335"/>
      <c r="H946" s="335"/>
      <c r="I946" s="335"/>
    </row>
    <row r="947">
      <c r="A947" s="335"/>
      <c r="B947" s="335"/>
      <c r="C947" s="335"/>
      <c r="D947" s="335"/>
      <c r="E947" s="335"/>
      <c r="F947" s="335"/>
      <c r="G947" s="335"/>
      <c r="H947" s="335"/>
      <c r="I947" s="335"/>
    </row>
    <row r="948">
      <c r="A948" s="335"/>
      <c r="B948" s="335"/>
      <c r="C948" s="335"/>
      <c r="D948" s="335"/>
      <c r="E948" s="335"/>
      <c r="F948" s="335"/>
      <c r="G948" s="335"/>
      <c r="H948" s="335"/>
      <c r="I948" s="335"/>
    </row>
    <row r="949">
      <c r="A949" s="335"/>
      <c r="B949" s="335"/>
      <c r="C949" s="335"/>
      <c r="D949" s="335"/>
      <c r="E949" s="335"/>
      <c r="F949" s="335"/>
      <c r="G949" s="335"/>
      <c r="H949" s="335"/>
      <c r="I949" s="335"/>
    </row>
    <row r="950">
      <c r="A950" s="335"/>
      <c r="B950" s="335"/>
      <c r="C950" s="335"/>
      <c r="D950" s="335"/>
      <c r="E950" s="335"/>
      <c r="F950" s="335"/>
      <c r="G950" s="335"/>
      <c r="H950" s="335"/>
      <c r="I950" s="335"/>
    </row>
    <row r="951">
      <c r="A951" s="335"/>
      <c r="B951" s="335"/>
      <c r="C951" s="335"/>
      <c r="D951" s="335"/>
      <c r="E951" s="335"/>
      <c r="F951" s="335"/>
      <c r="G951" s="335"/>
      <c r="H951" s="335"/>
      <c r="I951" s="335"/>
    </row>
    <row r="952">
      <c r="A952" s="335"/>
      <c r="B952" s="335"/>
      <c r="C952" s="335"/>
      <c r="D952" s="335"/>
      <c r="E952" s="335"/>
      <c r="F952" s="335"/>
      <c r="G952" s="335"/>
      <c r="H952" s="335"/>
      <c r="I952" s="335"/>
    </row>
    <row r="953">
      <c r="A953" s="335"/>
      <c r="B953" s="335"/>
      <c r="C953" s="335"/>
      <c r="D953" s="335"/>
      <c r="E953" s="335"/>
      <c r="F953" s="335"/>
      <c r="G953" s="335"/>
      <c r="H953" s="335"/>
      <c r="I953" s="335"/>
    </row>
    <row r="954">
      <c r="A954" s="335"/>
      <c r="B954" s="335"/>
      <c r="C954" s="335"/>
      <c r="D954" s="335"/>
      <c r="E954" s="335"/>
      <c r="F954" s="335"/>
      <c r="G954" s="335"/>
      <c r="H954" s="335"/>
      <c r="I954" s="335"/>
    </row>
    <row r="955">
      <c r="A955" s="335"/>
      <c r="B955" s="335"/>
      <c r="C955" s="335"/>
      <c r="D955" s="335"/>
      <c r="E955" s="335"/>
      <c r="F955" s="335"/>
      <c r="G955" s="335"/>
      <c r="H955" s="335"/>
      <c r="I955" s="335"/>
    </row>
    <row r="956">
      <c r="A956" s="335"/>
      <c r="B956" s="335"/>
      <c r="C956" s="335"/>
      <c r="D956" s="335"/>
      <c r="E956" s="335"/>
      <c r="F956" s="335"/>
      <c r="G956" s="335"/>
      <c r="H956" s="335"/>
      <c r="I956" s="335"/>
    </row>
    <row r="957">
      <c r="A957" s="335"/>
      <c r="B957" s="335"/>
      <c r="C957" s="335"/>
      <c r="D957" s="335"/>
      <c r="E957" s="335"/>
      <c r="F957" s="335"/>
      <c r="G957" s="335"/>
      <c r="H957" s="335"/>
      <c r="I957" s="335"/>
    </row>
    <row r="958">
      <c r="A958" s="335"/>
      <c r="B958" s="335"/>
      <c r="C958" s="335"/>
      <c r="D958" s="335"/>
      <c r="E958" s="335"/>
      <c r="F958" s="335"/>
      <c r="G958" s="335"/>
      <c r="H958" s="335"/>
      <c r="I958" s="335"/>
    </row>
    <row r="959">
      <c r="A959" s="335"/>
      <c r="B959" s="335"/>
      <c r="C959" s="335"/>
      <c r="D959" s="335"/>
      <c r="E959" s="335"/>
      <c r="F959" s="335"/>
      <c r="G959" s="335"/>
      <c r="H959" s="335"/>
      <c r="I959" s="335"/>
    </row>
    <row r="960">
      <c r="A960" s="335"/>
      <c r="B960" s="335"/>
      <c r="C960" s="335"/>
      <c r="D960" s="335"/>
      <c r="E960" s="335"/>
      <c r="F960" s="335"/>
      <c r="G960" s="335"/>
      <c r="H960" s="335"/>
      <c r="I960" s="335"/>
    </row>
    <row r="961">
      <c r="A961" s="335"/>
      <c r="B961" s="335"/>
      <c r="C961" s="335"/>
      <c r="D961" s="335"/>
      <c r="E961" s="335"/>
      <c r="F961" s="335"/>
      <c r="G961" s="335"/>
      <c r="H961" s="335"/>
      <c r="I961" s="335"/>
    </row>
    <row r="962">
      <c r="A962" s="335"/>
      <c r="B962" s="335"/>
      <c r="C962" s="335"/>
      <c r="D962" s="335"/>
      <c r="E962" s="335"/>
      <c r="F962" s="335"/>
      <c r="G962" s="335"/>
      <c r="H962" s="335"/>
      <c r="I962" s="335"/>
    </row>
    <row r="963">
      <c r="A963" s="335"/>
      <c r="B963" s="335"/>
      <c r="C963" s="335"/>
      <c r="D963" s="335"/>
      <c r="E963" s="335"/>
      <c r="F963" s="335"/>
      <c r="G963" s="335"/>
      <c r="H963" s="335"/>
      <c r="I963" s="335"/>
    </row>
    <row r="964">
      <c r="A964" s="335"/>
      <c r="B964" s="335"/>
      <c r="C964" s="335"/>
      <c r="D964" s="335"/>
      <c r="E964" s="335"/>
      <c r="F964" s="335"/>
      <c r="G964" s="335"/>
      <c r="H964" s="335"/>
      <c r="I964" s="335"/>
    </row>
    <row r="965">
      <c r="A965" s="335"/>
      <c r="B965" s="335"/>
      <c r="C965" s="335"/>
      <c r="D965" s="335"/>
      <c r="E965" s="335"/>
      <c r="F965" s="335"/>
      <c r="G965" s="335"/>
      <c r="H965" s="335"/>
      <c r="I965" s="335"/>
    </row>
    <row r="966">
      <c r="A966" s="335"/>
      <c r="B966" s="335"/>
      <c r="C966" s="335"/>
      <c r="D966" s="335"/>
      <c r="E966" s="335"/>
      <c r="F966" s="335"/>
      <c r="G966" s="335"/>
      <c r="H966" s="335"/>
      <c r="I966" s="335"/>
    </row>
    <row r="967">
      <c r="A967" s="335"/>
      <c r="B967" s="335"/>
      <c r="C967" s="335"/>
      <c r="D967" s="335"/>
      <c r="E967" s="335"/>
      <c r="F967" s="335"/>
      <c r="G967" s="335"/>
      <c r="H967" s="335"/>
      <c r="I967" s="335"/>
    </row>
    <row r="968">
      <c r="A968" s="335"/>
      <c r="B968" s="335"/>
      <c r="C968" s="335"/>
      <c r="D968" s="335"/>
      <c r="E968" s="335"/>
      <c r="F968" s="335"/>
      <c r="G968" s="335"/>
      <c r="H968" s="335"/>
      <c r="I968" s="335"/>
    </row>
    <row r="969">
      <c r="A969" s="335"/>
      <c r="B969" s="335"/>
      <c r="C969" s="335"/>
      <c r="D969" s="335"/>
      <c r="E969" s="335"/>
      <c r="F969" s="335"/>
      <c r="G969" s="335"/>
      <c r="H969" s="335"/>
      <c r="I969" s="335"/>
    </row>
    <row r="970">
      <c r="A970" s="335"/>
      <c r="B970" s="335"/>
      <c r="C970" s="335"/>
      <c r="D970" s="335"/>
      <c r="E970" s="335"/>
      <c r="F970" s="335"/>
      <c r="G970" s="335"/>
      <c r="H970" s="335"/>
      <c r="I970" s="335"/>
    </row>
    <row r="971">
      <c r="A971" s="335"/>
      <c r="B971" s="335"/>
      <c r="C971" s="335"/>
      <c r="D971" s="335"/>
      <c r="E971" s="335"/>
      <c r="F971" s="335"/>
      <c r="G971" s="335"/>
      <c r="H971" s="335"/>
      <c r="I971" s="335"/>
    </row>
    <row r="972">
      <c r="A972" s="335"/>
      <c r="B972" s="335"/>
      <c r="C972" s="335"/>
      <c r="D972" s="335"/>
      <c r="E972" s="335"/>
      <c r="F972" s="335"/>
      <c r="G972" s="335"/>
      <c r="H972" s="335"/>
      <c r="I972" s="335"/>
    </row>
    <row r="973">
      <c r="A973" s="335"/>
      <c r="B973" s="335"/>
      <c r="C973" s="335"/>
      <c r="D973" s="335"/>
      <c r="E973" s="335"/>
      <c r="F973" s="335"/>
      <c r="G973" s="335"/>
      <c r="H973" s="335"/>
      <c r="I973" s="335"/>
    </row>
    <row r="974">
      <c r="A974" s="335"/>
      <c r="B974" s="335"/>
      <c r="C974" s="335"/>
      <c r="D974" s="335"/>
      <c r="E974" s="335"/>
      <c r="F974" s="335"/>
      <c r="G974" s="335"/>
      <c r="H974" s="335"/>
      <c r="I974" s="335"/>
    </row>
    <row r="975">
      <c r="A975" s="335"/>
      <c r="B975" s="335"/>
      <c r="C975" s="335"/>
      <c r="D975" s="335"/>
      <c r="E975" s="335"/>
      <c r="F975" s="335"/>
      <c r="G975" s="335"/>
      <c r="H975" s="335"/>
      <c r="I975" s="335"/>
    </row>
    <row r="976">
      <c r="A976" s="335"/>
      <c r="B976" s="335"/>
      <c r="C976" s="335"/>
      <c r="D976" s="335"/>
      <c r="E976" s="335"/>
      <c r="F976" s="335"/>
      <c r="G976" s="335"/>
      <c r="H976" s="335"/>
      <c r="I976" s="335"/>
    </row>
    <row r="977">
      <c r="A977" s="335"/>
      <c r="B977" s="335"/>
      <c r="C977" s="335"/>
      <c r="D977" s="335"/>
      <c r="E977" s="335"/>
      <c r="F977" s="335"/>
      <c r="G977" s="335"/>
      <c r="H977" s="335"/>
      <c r="I977" s="335"/>
    </row>
    <row r="978">
      <c r="A978" s="335"/>
      <c r="B978" s="335"/>
      <c r="C978" s="335"/>
      <c r="D978" s="335"/>
      <c r="E978" s="335"/>
      <c r="F978" s="335"/>
      <c r="G978" s="335"/>
      <c r="H978" s="335"/>
      <c r="I978" s="335"/>
    </row>
    <row r="979">
      <c r="A979" s="335"/>
      <c r="B979" s="335"/>
      <c r="C979" s="335"/>
      <c r="D979" s="335"/>
      <c r="E979" s="335"/>
      <c r="F979" s="335"/>
      <c r="G979" s="335"/>
      <c r="H979" s="335"/>
      <c r="I979" s="335"/>
    </row>
    <row r="980">
      <c r="A980" s="335"/>
      <c r="B980" s="335"/>
      <c r="C980" s="335"/>
      <c r="D980" s="335"/>
      <c r="E980" s="335"/>
      <c r="F980" s="335"/>
      <c r="G980" s="335"/>
      <c r="H980" s="335"/>
      <c r="I980" s="335"/>
    </row>
    <row r="981">
      <c r="A981" s="335"/>
      <c r="B981" s="335"/>
      <c r="C981" s="335"/>
      <c r="D981" s="335"/>
      <c r="E981" s="335"/>
      <c r="F981" s="335"/>
      <c r="G981" s="335"/>
      <c r="H981" s="335"/>
      <c r="I981" s="335"/>
    </row>
    <row r="982">
      <c r="A982" s="335"/>
      <c r="B982" s="335"/>
      <c r="C982" s="335"/>
      <c r="D982" s="335"/>
      <c r="E982" s="335"/>
      <c r="F982" s="335"/>
      <c r="G982" s="335"/>
      <c r="H982" s="335"/>
      <c r="I982" s="335"/>
    </row>
    <row r="983">
      <c r="A983" s="335"/>
      <c r="B983" s="335"/>
      <c r="C983" s="335"/>
      <c r="D983" s="335"/>
      <c r="E983" s="335"/>
      <c r="F983" s="335"/>
      <c r="G983" s="335"/>
      <c r="H983" s="335"/>
      <c r="I983" s="335"/>
    </row>
    <row r="984">
      <c r="A984" s="335"/>
      <c r="B984" s="335"/>
      <c r="C984" s="335"/>
      <c r="D984" s="335"/>
      <c r="E984" s="335"/>
      <c r="F984" s="335"/>
      <c r="G984" s="335"/>
      <c r="H984" s="335"/>
      <c r="I984" s="335"/>
    </row>
    <row r="985">
      <c r="A985" s="335"/>
      <c r="B985" s="335"/>
      <c r="C985" s="335"/>
      <c r="D985" s="335"/>
      <c r="E985" s="335"/>
      <c r="F985" s="335"/>
      <c r="G985" s="335"/>
      <c r="H985" s="335"/>
      <c r="I985" s="335"/>
    </row>
    <row r="986">
      <c r="A986" s="335"/>
      <c r="B986" s="335"/>
      <c r="C986" s="335"/>
      <c r="D986" s="335"/>
      <c r="E986" s="335"/>
      <c r="F986" s="335"/>
      <c r="G986" s="335"/>
      <c r="H986" s="335"/>
      <c r="I986" s="335"/>
    </row>
    <row r="987">
      <c r="A987" s="335"/>
      <c r="B987" s="335"/>
      <c r="C987" s="335"/>
      <c r="D987" s="335"/>
      <c r="E987" s="335"/>
      <c r="F987" s="335"/>
      <c r="G987" s="335"/>
      <c r="H987" s="335"/>
      <c r="I987" s="335"/>
    </row>
    <row r="988">
      <c r="A988" s="335"/>
      <c r="B988" s="335"/>
      <c r="C988" s="335"/>
      <c r="D988" s="335"/>
      <c r="E988" s="335"/>
      <c r="F988" s="335"/>
      <c r="G988" s="335"/>
      <c r="H988" s="335"/>
      <c r="I988" s="335"/>
    </row>
    <row r="989">
      <c r="A989" s="335"/>
      <c r="B989" s="335"/>
      <c r="C989" s="335"/>
      <c r="D989" s="335"/>
      <c r="E989" s="335"/>
      <c r="F989" s="335"/>
      <c r="G989" s="335"/>
      <c r="H989" s="335"/>
      <c r="I989" s="335"/>
    </row>
    <row r="990">
      <c r="A990" s="335"/>
      <c r="B990" s="335"/>
      <c r="C990" s="335"/>
      <c r="D990" s="335"/>
      <c r="E990" s="335"/>
      <c r="F990" s="335"/>
      <c r="G990" s="335"/>
      <c r="H990" s="335"/>
      <c r="I990" s="335"/>
    </row>
    <row r="991">
      <c r="A991" s="335"/>
      <c r="B991" s="335"/>
      <c r="C991" s="335"/>
      <c r="D991" s="335"/>
      <c r="E991" s="335"/>
      <c r="F991" s="335"/>
      <c r="G991" s="335"/>
      <c r="H991" s="335"/>
      <c r="I991" s="335"/>
    </row>
    <row r="992">
      <c r="A992" s="335"/>
      <c r="B992" s="335"/>
      <c r="C992" s="335"/>
      <c r="D992" s="335"/>
      <c r="E992" s="335"/>
      <c r="F992" s="335"/>
      <c r="G992" s="335"/>
      <c r="H992" s="335"/>
      <c r="I992" s="335"/>
    </row>
    <row r="993">
      <c r="A993" s="335"/>
      <c r="B993" s="335"/>
      <c r="C993" s="335"/>
      <c r="D993" s="335"/>
      <c r="E993" s="335"/>
      <c r="F993" s="335"/>
      <c r="G993" s="335"/>
      <c r="H993" s="335"/>
      <c r="I993" s="335"/>
    </row>
  </sheetData>
  <dataValidations>
    <dataValidation type="custom" allowBlank="1" showDropDown="1" sqref="B1:B2">
      <formula1>OR(NOT(ISERROR(DATEVALUE(B1))), AND(ISNUMBER(B1), LEFT(CELL("format", B1))="D"))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75"/>
    <col customWidth="1" min="2" max="2" width="6.13"/>
    <col customWidth="1" min="3" max="3" width="9.38"/>
  </cols>
  <sheetData>
    <row r="1">
      <c r="A1" s="26"/>
      <c r="B1" s="26"/>
      <c r="C1" s="26"/>
      <c r="D1" s="26"/>
      <c r="E1" s="26"/>
      <c r="F1" s="26"/>
      <c r="G1" s="26"/>
      <c r="H1" s="26"/>
      <c r="I1" s="26"/>
      <c r="J1" s="26"/>
      <c r="K1" s="26"/>
      <c r="L1" s="26"/>
      <c r="M1" s="26"/>
      <c r="N1" s="26"/>
      <c r="O1" s="26"/>
      <c r="P1" s="21"/>
      <c r="Q1" s="339"/>
      <c r="R1" s="339"/>
      <c r="S1" s="339"/>
      <c r="T1" s="339"/>
      <c r="U1" s="340" t="s">
        <v>2258</v>
      </c>
      <c r="V1" s="342" t="s">
        <v>2259</v>
      </c>
      <c r="W1" s="342" t="s">
        <v>2264</v>
      </c>
      <c r="X1" s="343" t="s">
        <v>2265</v>
      </c>
      <c r="AA1" s="343" t="s">
        <v>2266</v>
      </c>
      <c r="AD1" s="343" t="s">
        <v>2267</v>
      </c>
      <c r="AG1" s="343" t="s">
        <v>2268</v>
      </c>
      <c r="AJ1" s="343" t="s">
        <v>2269</v>
      </c>
      <c r="AM1" s="343" t="s">
        <v>2270</v>
      </c>
      <c r="AP1" s="343" t="s">
        <v>2271</v>
      </c>
      <c r="AS1" s="343" t="s">
        <v>2272</v>
      </c>
    </row>
    <row r="2">
      <c r="A2" s="344"/>
      <c r="B2" s="346" t="s">
        <v>2273</v>
      </c>
      <c r="C2" s="346" t="s">
        <v>2278</v>
      </c>
      <c r="D2" s="346" t="s">
        <v>2280</v>
      </c>
      <c r="E2" s="346" t="s">
        <v>2282</v>
      </c>
      <c r="F2" s="347" t="s">
        <v>121</v>
      </c>
      <c r="G2" s="346" t="s">
        <v>118</v>
      </c>
      <c r="H2" s="346" t="s">
        <v>2284</v>
      </c>
      <c r="I2" s="346" t="s">
        <v>2285</v>
      </c>
      <c r="J2" s="346" t="s">
        <v>2287</v>
      </c>
      <c r="K2" s="346" t="s">
        <v>0</v>
      </c>
      <c r="L2" s="346" t="s">
        <v>2288</v>
      </c>
      <c r="M2" s="346" t="s">
        <v>2289</v>
      </c>
      <c r="N2" s="347" t="s">
        <v>2290</v>
      </c>
      <c r="O2" s="348" t="s">
        <v>5</v>
      </c>
      <c r="P2" s="350" t="s">
        <v>2292</v>
      </c>
      <c r="Q2" s="351" t="s">
        <v>2294</v>
      </c>
      <c r="R2" s="351" t="s">
        <v>2295</v>
      </c>
      <c r="S2" s="351" t="s">
        <v>2296</v>
      </c>
      <c r="T2" s="351" t="s">
        <v>2297</v>
      </c>
      <c r="X2" s="59" t="s">
        <v>2298</v>
      </c>
      <c r="Y2" s="59" t="s">
        <v>2299</v>
      </c>
      <c r="Z2" s="59" t="s">
        <v>2300</v>
      </c>
      <c r="AA2" s="59" t="s">
        <v>2298</v>
      </c>
      <c r="AB2" s="59" t="s">
        <v>2299</v>
      </c>
      <c r="AC2" s="59" t="s">
        <v>2300</v>
      </c>
      <c r="AD2" s="59" t="s">
        <v>2298</v>
      </c>
      <c r="AE2" s="59" t="s">
        <v>2299</v>
      </c>
      <c r="AF2" s="59" t="s">
        <v>2300</v>
      </c>
      <c r="AG2" s="59" t="s">
        <v>2298</v>
      </c>
      <c r="AH2" s="59" t="s">
        <v>2299</v>
      </c>
      <c r="AI2" s="59" t="s">
        <v>2300</v>
      </c>
      <c r="AJ2" s="59" t="s">
        <v>2298</v>
      </c>
      <c r="AK2" s="59" t="s">
        <v>2299</v>
      </c>
      <c r="AL2" s="59" t="s">
        <v>2300</v>
      </c>
      <c r="AM2" s="59" t="s">
        <v>2298</v>
      </c>
      <c r="AN2" s="59" t="s">
        <v>2299</v>
      </c>
      <c r="AO2" s="59" t="s">
        <v>2300</v>
      </c>
      <c r="AP2" s="59" t="s">
        <v>2298</v>
      </c>
      <c r="AQ2" s="59" t="s">
        <v>2299</v>
      </c>
      <c r="AR2" s="59" t="s">
        <v>2300</v>
      </c>
      <c r="AS2" s="59" t="s">
        <v>2298</v>
      </c>
      <c r="AT2" s="59" t="s">
        <v>2299</v>
      </c>
      <c r="AU2" s="59" t="s">
        <v>2300</v>
      </c>
    </row>
    <row r="3">
      <c r="A3" s="352" t="str">
        <f>IFERROR(__xludf.DUMMYFUNCTION("FILTER(IMPORTRANGE(""https://docs.google.com/spreadsheets/d/1ZJGsPqIFEYnArTBgT1rdNN3naUEaLYATNQGNjXzwkwQ/edit?ts=5e65fedc&amp;pli=1#gid=554222218"",""Tổng 2021!A:O""),Index(IMPORTRANGE(""https://docs.google.com/spreadsheets/d/1ZJGsPqIFEYnArTBgT1rdNN3naUEaLYAT"&amp;"NQGNjXzwkwQ/edit?ts=5e65fedc&amp;pli=1#gid=554222218"",""Tổng 2021!A:O""),0,15)=""CVHT01"")"),"#REF!")</f>
        <v>#REF!</v>
      </c>
      <c r="B3" s="53"/>
      <c r="C3" s="21"/>
      <c r="D3" s="53"/>
      <c r="E3" s="353"/>
      <c r="F3" s="223"/>
      <c r="G3" s="53"/>
      <c r="H3" s="53"/>
      <c r="I3" s="21"/>
      <c r="J3" s="352"/>
      <c r="K3" s="223"/>
      <c r="L3" s="21"/>
      <c r="M3" s="53"/>
      <c r="N3" s="354"/>
      <c r="O3" s="53"/>
      <c r="P3" s="21" t="s">
        <v>2193</v>
      </c>
      <c r="Q3" s="355">
        <v>43684.0</v>
      </c>
      <c r="R3" s="356"/>
      <c r="S3" s="356" t="str">
        <f>IFERROR(__xludf.DUMMYFUNCTION("IMPORTRANGE(N3,""Infoー情報!B14"")"),"#N/A")</f>
        <v>#N/A</v>
      </c>
      <c r="T3" s="357" t="str">
        <f t="shared" ref="T3:T64" si="1">J3</f>
        <v/>
      </c>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row>
    <row r="4">
      <c r="A4" s="45"/>
      <c r="B4" s="21"/>
      <c r="C4" s="21"/>
      <c r="D4" s="359"/>
      <c r="E4" s="223"/>
      <c r="F4" s="223"/>
      <c r="G4" s="21"/>
      <c r="H4" s="21"/>
      <c r="I4" s="21"/>
      <c r="J4" s="45"/>
      <c r="K4" s="21"/>
      <c r="L4" s="21"/>
      <c r="M4" s="21"/>
      <c r="N4" s="354"/>
      <c r="O4" s="21"/>
      <c r="P4" s="21" t="s">
        <v>2193</v>
      </c>
      <c r="Q4" s="355">
        <v>43718.0</v>
      </c>
      <c r="R4" s="356"/>
      <c r="S4" s="356" t="str">
        <f>IFERROR(__xludf.DUMMYFUNCTION("IMPORTRANGE(N4,""Infoー情報!B14"")"),"#N/A")</f>
        <v>#N/A</v>
      </c>
      <c r="T4" s="357" t="str">
        <f t="shared" si="1"/>
        <v/>
      </c>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row>
    <row r="5">
      <c r="A5" s="45"/>
      <c r="B5" s="21"/>
      <c r="C5" s="21"/>
      <c r="D5" s="21"/>
      <c r="E5" s="353"/>
      <c r="F5" s="223"/>
      <c r="G5" s="21"/>
      <c r="H5" s="21"/>
      <c r="I5" s="21"/>
      <c r="J5" s="45"/>
      <c r="K5" s="21"/>
      <c r="L5" s="21"/>
      <c r="M5" s="21"/>
      <c r="N5" s="354"/>
      <c r="O5" s="21"/>
      <c r="P5" s="21" t="s">
        <v>2193</v>
      </c>
      <c r="Q5" s="355">
        <v>43740.0</v>
      </c>
      <c r="R5" s="356"/>
      <c r="S5" s="356" t="str">
        <f>IFERROR(__xludf.DUMMYFUNCTION("IMPORTRANGE(N5,""Infoー情報!B14"")"),"#N/A")</f>
        <v>#N/A</v>
      </c>
      <c r="T5" s="357" t="str">
        <f t="shared" si="1"/>
        <v/>
      </c>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row>
    <row r="6">
      <c r="A6" s="45"/>
      <c r="B6" s="21"/>
      <c r="C6" s="21"/>
      <c r="D6" s="26"/>
      <c r="E6" s="353"/>
      <c r="F6" s="223"/>
      <c r="G6" s="21"/>
      <c r="H6" s="21"/>
      <c r="I6" s="21"/>
      <c r="J6" s="45"/>
      <c r="K6" s="21"/>
      <c r="L6" s="21"/>
      <c r="M6" s="21"/>
      <c r="N6" s="354"/>
      <c r="O6" s="21"/>
      <c r="P6" s="21" t="s">
        <v>2193</v>
      </c>
      <c r="Q6" s="355" t="s">
        <v>2327</v>
      </c>
      <c r="R6" s="356"/>
      <c r="S6" s="356" t="str">
        <f>IFERROR(__xludf.DUMMYFUNCTION("IMPORTRANGE(N6,""Infoー情報!B14"")"),"#N/A")</f>
        <v>#N/A</v>
      </c>
      <c r="T6" s="357" t="str">
        <f t="shared" si="1"/>
        <v/>
      </c>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row>
    <row r="7">
      <c r="A7" s="45"/>
      <c r="B7" s="21"/>
      <c r="C7" s="21"/>
      <c r="D7" s="21"/>
      <c r="E7" s="353"/>
      <c r="F7" s="223"/>
      <c r="G7" s="21"/>
      <c r="H7" s="21"/>
      <c r="I7" s="21"/>
      <c r="J7" s="45"/>
      <c r="K7" s="21"/>
      <c r="L7" s="21"/>
      <c r="M7" s="21"/>
      <c r="N7" s="354"/>
      <c r="O7" s="21"/>
      <c r="P7" s="21" t="s">
        <v>2193</v>
      </c>
      <c r="Q7" s="355">
        <v>43776.0</v>
      </c>
      <c r="R7" s="21" t="s">
        <v>2331</v>
      </c>
      <c r="S7" s="356" t="str">
        <f>IFERROR(__xludf.DUMMYFUNCTION("IMPORTRANGE(N7,""Infoー情報!B14"")"),"#N/A")</f>
        <v>#N/A</v>
      </c>
      <c r="T7" s="357" t="str">
        <f t="shared" si="1"/>
        <v/>
      </c>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row>
    <row r="8">
      <c r="A8" s="45"/>
      <c r="B8" s="21"/>
      <c r="C8" s="21"/>
      <c r="D8" s="21"/>
      <c r="E8" s="353"/>
      <c r="F8" s="223"/>
      <c r="G8" s="21"/>
      <c r="H8" s="21"/>
      <c r="I8" s="21"/>
      <c r="J8" s="45"/>
      <c r="K8" s="21"/>
      <c r="L8" s="21"/>
      <c r="M8" s="21"/>
      <c r="N8" s="354"/>
      <c r="O8" s="21"/>
      <c r="P8" s="21" t="s">
        <v>2193</v>
      </c>
      <c r="Q8" s="355">
        <v>43803.0</v>
      </c>
      <c r="R8" s="356"/>
      <c r="S8" s="356" t="str">
        <f>IFERROR(__xludf.DUMMYFUNCTION("IMPORTRANGE(N8,""Infoー情報!B14"")"),"#N/A")</f>
        <v>#N/A</v>
      </c>
      <c r="T8" s="357" t="str">
        <f t="shared" si="1"/>
        <v/>
      </c>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row>
    <row r="9">
      <c r="A9" s="45"/>
      <c r="B9" s="21"/>
      <c r="C9" s="21"/>
      <c r="D9" s="26"/>
      <c r="E9" s="21"/>
      <c r="F9" s="223"/>
      <c r="G9" s="21"/>
      <c r="H9" s="21"/>
      <c r="I9" s="21"/>
      <c r="J9" s="45"/>
      <c r="K9" s="21"/>
      <c r="L9" s="223"/>
      <c r="M9" s="21"/>
      <c r="N9" s="354"/>
      <c r="O9" s="21"/>
      <c r="P9" s="21" t="s">
        <v>2193</v>
      </c>
      <c r="Q9" s="356"/>
      <c r="R9" s="356"/>
      <c r="S9" s="356" t="str">
        <f>IFERROR(__xludf.DUMMYFUNCTION("IMPORTRANGE(N9,""Infoー情報!B14"")"),"#N/A")</f>
        <v>#N/A</v>
      </c>
      <c r="T9" s="357" t="str">
        <f t="shared" si="1"/>
        <v/>
      </c>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row>
    <row r="10">
      <c r="A10" s="45"/>
      <c r="B10" s="21"/>
      <c r="C10" s="21"/>
      <c r="D10" s="21"/>
      <c r="E10" s="21"/>
      <c r="F10" s="223"/>
      <c r="G10" s="21"/>
      <c r="H10" s="21"/>
      <c r="I10" s="21"/>
      <c r="J10" s="45"/>
      <c r="K10" s="21"/>
      <c r="L10" s="223"/>
      <c r="M10" s="21"/>
      <c r="N10" s="223"/>
      <c r="O10" s="21"/>
      <c r="P10" s="21" t="s">
        <v>2193</v>
      </c>
      <c r="Q10" s="355">
        <v>43880.0</v>
      </c>
      <c r="R10" s="356"/>
      <c r="S10" s="355" t="str">
        <f>IFERROR(__xludf.DUMMYFUNCTION("IMPORTRANGE(N10,""Infoー情報!B14"")"),"#N/A")</f>
        <v>#N/A</v>
      </c>
      <c r="T10" s="357" t="str">
        <f t="shared" si="1"/>
        <v/>
      </c>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row>
    <row r="11">
      <c r="A11" s="45"/>
      <c r="B11" s="21"/>
      <c r="C11" s="21"/>
      <c r="D11" s="21"/>
      <c r="E11" s="21"/>
      <c r="F11" s="223"/>
      <c r="G11" s="21"/>
      <c r="H11" s="21"/>
      <c r="I11" s="21"/>
      <c r="J11" s="45"/>
      <c r="K11" s="21"/>
      <c r="L11" s="223"/>
      <c r="M11" s="21"/>
      <c r="N11" s="354"/>
      <c r="O11" s="21"/>
      <c r="P11" s="21" t="s">
        <v>2193</v>
      </c>
      <c r="Q11" s="355">
        <v>43866.0</v>
      </c>
      <c r="R11" s="366">
        <v>44287.0</v>
      </c>
      <c r="S11" s="355" t="str">
        <f>IFERROR(__xludf.DUMMYFUNCTION("IMPORTRANGE(N11,""Infoー情報!B14"")"),"#N/A")</f>
        <v>#N/A</v>
      </c>
      <c r="T11" s="357" t="str">
        <f t="shared" si="1"/>
        <v/>
      </c>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row>
    <row r="12">
      <c r="A12" s="45"/>
      <c r="B12" s="21"/>
      <c r="C12" s="21"/>
      <c r="D12" s="26"/>
      <c r="E12" s="21"/>
      <c r="F12" s="223"/>
      <c r="G12" s="21"/>
      <c r="H12" s="21"/>
      <c r="I12" s="21"/>
      <c r="J12" s="45"/>
      <c r="K12" s="21"/>
      <c r="L12" s="223"/>
      <c r="M12" s="21"/>
      <c r="N12" s="354"/>
      <c r="O12" s="21"/>
      <c r="P12" s="21" t="s">
        <v>2193</v>
      </c>
      <c r="Q12" s="355" t="s">
        <v>2345</v>
      </c>
      <c r="R12" s="356"/>
      <c r="S12" s="356" t="str">
        <f>IFERROR(__xludf.DUMMYFUNCTION("IMPORTRANGE(N12,""Infoー情報!B14"")"),"#N/A")</f>
        <v>#N/A</v>
      </c>
      <c r="T12" s="357" t="str">
        <f t="shared" si="1"/>
        <v/>
      </c>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row>
    <row r="13">
      <c r="A13" s="45"/>
      <c r="B13" s="21"/>
      <c r="C13" s="21"/>
      <c r="D13" s="21"/>
      <c r="E13" s="21"/>
      <c r="F13" s="223"/>
      <c r="G13" s="21"/>
      <c r="H13" s="21"/>
      <c r="I13" s="21"/>
      <c r="J13" s="45"/>
      <c r="K13" s="21"/>
      <c r="L13" s="223"/>
      <c r="M13" s="21"/>
      <c r="N13" s="354"/>
      <c r="O13" s="21"/>
      <c r="P13" s="21" t="s">
        <v>2193</v>
      </c>
      <c r="Q13" s="355">
        <v>43985.0</v>
      </c>
      <c r="R13" s="366">
        <v>44737.0</v>
      </c>
      <c r="S13" s="355" t="str">
        <f>IFERROR(__xludf.DUMMYFUNCTION("IMPORTRANGE(N13,""Infoー情報!B14"")"),"#N/A")</f>
        <v>#N/A</v>
      </c>
      <c r="T13" s="357" t="str">
        <f t="shared" si="1"/>
        <v/>
      </c>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row>
    <row r="14">
      <c r="A14" s="45"/>
      <c r="B14" s="21"/>
      <c r="C14" s="21"/>
      <c r="D14" s="21"/>
      <c r="E14" s="21"/>
      <c r="F14" s="223"/>
      <c r="G14" s="21"/>
      <c r="H14" s="21"/>
      <c r="I14" s="21"/>
      <c r="J14" s="45"/>
      <c r="K14" s="21"/>
      <c r="L14" s="223"/>
      <c r="M14" s="21"/>
      <c r="N14" s="354"/>
      <c r="O14" s="21"/>
      <c r="P14" s="21" t="s">
        <v>2193</v>
      </c>
      <c r="Q14" s="355">
        <v>43883.0</v>
      </c>
      <c r="R14" s="366">
        <v>44859.0</v>
      </c>
      <c r="S14" s="355" t="str">
        <f>IFERROR(__xludf.DUMMYFUNCTION("IMPORTRANGE(N14,""Infoー情報!B14"")"),"#N/A")</f>
        <v>#N/A</v>
      </c>
      <c r="T14" s="357" t="str">
        <f t="shared" si="1"/>
        <v/>
      </c>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row>
    <row r="15">
      <c r="A15" s="45"/>
      <c r="B15" s="21"/>
      <c r="C15" s="21"/>
      <c r="D15" s="359"/>
      <c r="E15" s="21"/>
      <c r="F15" s="223"/>
      <c r="G15" s="21"/>
      <c r="H15" s="21"/>
      <c r="I15" s="21"/>
      <c r="J15" s="45"/>
      <c r="K15" s="21"/>
      <c r="L15" s="223"/>
      <c r="M15" s="21"/>
      <c r="N15" s="354"/>
      <c r="O15" s="21"/>
      <c r="P15" s="21" t="s">
        <v>2193</v>
      </c>
      <c r="Q15" s="356"/>
      <c r="R15" s="356"/>
      <c r="S15" s="356" t="str">
        <f>IFERROR(__xludf.DUMMYFUNCTION("IMPORTRANGE(N15,""Infoー情報!B14"")"),"#N/A")</f>
        <v>#N/A</v>
      </c>
      <c r="T15" s="357" t="str">
        <f t="shared" si="1"/>
        <v/>
      </c>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row>
    <row r="16">
      <c r="A16" s="45"/>
      <c r="B16" s="21"/>
      <c r="C16" s="21"/>
      <c r="D16" s="21"/>
      <c r="E16" s="21"/>
      <c r="F16" s="223"/>
      <c r="G16" s="21"/>
      <c r="H16" s="21"/>
      <c r="I16" s="21"/>
      <c r="J16" s="45"/>
      <c r="K16" s="21"/>
      <c r="L16" s="223"/>
      <c r="M16" s="21"/>
      <c r="N16" s="354"/>
      <c r="O16" s="21"/>
      <c r="P16" s="21" t="s">
        <v>2193</v>
      </c>
      <c r="Q16" s="355">
        <v>43906.0</v>
      </c>
      <c r="R16" s="356"/>
      <c r="S16" s="356" t="str">
        <f>IFERROR(__xludf.DUMMYFUNCTION("IMPORTRANGE(N16,""Infoー情報!B14"")"),"#N/A")</f>
        <v>#N/A</v>
      </c>
      <c r="T16" s="357" t="str">
        <f t="shared" si="1"/>
        <v/>
      </c>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row>
    <row r="17">
      <c r="A17" s="45"/>
      <c r="B17" s="21"/>
      <c r="C17" s="21"/>
      <c r="D17" s="21"/>
      <c r="E17" s="21"/>
      <c r="F17" s="21"/>
      <c r="G17" s="21"/>
      <c r="H17" s="21"/>
      <c r="I17" s="21"/>
      <c r="J17" s="45"/>
      <c r="K17" s="21"/>
      <c r="L17" s="21"/>
      <c r="M17" s="21"/>
      <c r="N17" s="354"/>
      <c r="O17" s="21"/>
      <c r="P17" s="21" t="s">
        <v>2193</v>
      </c>
      <c r="Q17" s="355">
        <v>43906.0</v>
      </c>
      <c r="R17" s="356"/>
      <c r="S17" s="355" t="str">
        <f>IFERROR(__xludf.DUMMYFUNCTION("IMPORTRANGE(N17,""Infoー情報!B14"")"),"#N/A")</f>
        <v>#N/A</v>
      </c>
      <c r="T17" s="357" t="str">
        <f t="shared" si="1"/>
        <v/>
      </c>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row>
    <row r="18">
      <c r="A18" s="45"/>
      <c r="B18" s="21"/>
      <c r="C18" s="21"/>
      <c r="D18" s="359"/>
      <c r="E18" s="21"/>
      <c r="F18" s="223"/>
      <c r="G18" s="21"/>
      <c r="H18" s="21"/>
      <c r="I18" s="21"/>
      <c r="J18" s="45"/>
      <c r="K18" s="21"/>
      <c r="L18" s="21"/>
      <c r="M18" s="21"/>
      <c r="N18" s="354"/>
      <c r="O18" s="21"/>
      <c r="P18" s="21" t="s">
        <v>2193</v>
      </c>
      <c r="Q18" s="356"/>
      <c r="R18" s="356"/>
      <c r="S18" s="356" t="str">
        <f>IFERROR(__xludf.DUMMYFUNCTION("IMPORTRANGE(N18,""Infoー情報!B14"")"),"#N/A")</f>
        <v>#N/A</v>
      </c>
      <c r="T18" s="357" t="str">
        <f t="shared" si="1"/>
        <v/>
      </c>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row>
    <row r="19">
      <c r="A19" s="45"/>
      <c r="B19" s="21"/>
      <c r="C19" s="21"/>
      <c r="D19" s="359"/>
      <c r="E19" s="353"/>
      <c r="F19" s="223"/>
      <c r="G19" s="21"/>
      <c r="H19" s="21"/>
      <c r="I19" s="21"/>
      <c r="J19" s="45"/>
      <c r="K19" s="21"/>
      <c r="L19" s="21"/>
      <c r="M19" s="21"/>
      <c r="N19" s="354"/>
      <c r="O19" s="21"/>
      <c r="P19" s="21" t="s">
        <v>2193</v>
      </c>
      <c r="Q19" s="355" t="s">
        <v>2355</v>
      </c>
      <c r="R19" s="356"/>
      <c r="S19" s="356" t="str">
        <f>IFERROR(__xludf.DUMMYFUNCTION("IMPORTRANGE(N19,""Infoー情報!B14"")"),"#N/A")</f>
        <v>#N/A</v>
      </c>
      <c r="T19" s="357" t="str">
        <f t="shared" si="1"/>
        <v/>
      </c>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row>
    <row r="20">
      <c r="A20" s="45"/>
      <c r="B20" s="21"/>
      <c r="C20" s="21"/>
      <c r="D20" s="21"/>
      <c r="E20" s="21"/>
      <c r="F20" s="223"/>
      <c r="G20" s="21"/>
      <c r="H20" s="21"/>
      <c r="I20" s="21"/>
      <c r="J20" s="357"/>
      <c r="K20" s="370"/>
      <c r="L20" s="223"/>
      <c r="M20" s="21"/>
      <c r="N20" s="354"/>
      <c r="O20" s="21"/>
      <c r="P20" s="371" t="s">
        <v>2189</v>
      </c>
      <c r="Q20" s="372">
        <v>43907.0</v>
      </c>
      <c r="R20" s="373">
        <v>44896.0</v>
      </c>
      <c r="S20" s="356" t="str">
        <f>IFERROR(__xludf.DUMMYFUNCTION("IMPORTRANGE(N20,""Infoー情報!B14"")"),"#N/A")</f>
        <v>#N/A</v>
      </c>
      <c r="T20" s="357" t="str">
        <f t="shared" si="1"/>
        <v/>
      </c>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row>
    <row r="21">
      <c r="A21" s="45"/>
      <c r="B21" s="21"/>
      <c r="C21" s="21"/>
      <c r="D21" s="21"/>
      <c r="E21" s="223"/>
      <c r="F21" s="223"/>
      <c r="G21" s="21"/>
      <c r="H21" s="21"/>
      <c r="I21" s="21"/>
      <c r="J21" s="357"/>
      <c r="K21" s="370"/>
      <c r="L21" s="223"/>
      <c r="M21" s="21"/>
      <c r="N21" s="354"/>
      <c r="O21" s="21"/>
      <c r="P21" s="21" t="s">
        <v>2193</v>
      </c>
      <c r="Q21" s="355" t="s">
        <v>2361</v>
      </c>
      <c r="R21" s="356"/>
      <c r="S21" s="356" t="str">
        <f>IFERROR(__xludf.DUMMYFUNCTION("IMPORTRANGE(N21,""Infoー情報!B14"")"),"#N/A")</f>
        <v>#N/A</v>
      </c>
      <c r="T21" s="357" t="str">
        <f t="shared" si="1"/>
        <v/>
      </c>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row>
    <row r="22">
      <c r="A22" s="45"/>
      <c r="B22" s="21"/>
      <c r="C22" s="21"/>
      <c r="D22" s="21"/>
      <c r="E22" s="21"/>
      <c r="F22" s="223"/>
      <c r="G22" s="21"/>
      <c r="H22" s="21"/>
      <c r="I22" s="21"/>
      <c r="J22" s="357"/>
      <c r="K22" s="370"/>
      <c r="L22" s="223"/>
      <c r="M22" s="21"/>
      <c r="N22" s="354"/>
      <c r="O22" s="21"/>
      <c r="P22" s="21" t="s">
        <v>2193</v>
      </c>
      <c r="Q22" s="366">
        <v>43920.0</v>
      </c>
      <c r="R22" s="356"/>
      <c r="S22" s="356" t="str">
        <f>IFERROR(__xludf.DUMMYFUNCTION("IMPORTRANGE(N22,""Infoー情報!B14"")"),"#N/A")</f>
        <v>#N/A</v>
      </c>
      <c r="T22" s="357" t="str">
        <f t="shared" si="1"/>
        <v/>
      </c>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row>
    <row r="23">
      <c r="A23" s="45"/>
      <c r="B23" s="21"/>
      <c r="C23" s="21"/>
      <c r="D23" s="359"/>
      <c r="E23" s="223"/>
      <c r="F23" s="223"/>
      <c r="G23" s="21"/>
      <c r="H23" s="21"/>
      <c r="I23" s="21"/>
      <c r="J23" s="357"/>
      <c r="K23" s="370"/>
      <c r="L23" s="223"/>
      <c r="M23" s="21"/>
      <c r="N23" s="354"/>
      <c r="O23" s="21"/>
      <c r="P23" s="21" t="s">
        <v>2193</v>
      </c>
      <c r="Q23" s="366">
        <v>43927.0</v>
      </c>
      <c r="R23" s="356"/>
      <c r="S23" s="356" t="str">
        <f>IFERROR(__xludf.DUMMYFUNCTION("IMPORTRANGE(N23,""Infoー情報!B14"")"),"#N/A")</f>
        <v>#N/A</v>
      </c>
      <c r="T23" s="357" t="str">
        <f t="shared" si="1"/>
        <v/>
      </c>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row>
    <row r="24">
      <c r="A24" s="45"/>
      <c r="B24" s="21"/>
      <c r="C24" s="21"/>
      <c r="D24" s="21"/>
      <c r="E24" s="21"/>
      <c r="F24" s="223"/>
      <c r="G24" s="21"/>
      <c r="H24" s="21"/>
      <c r="I24" s="21"/>
      <c r="J24" s="357"/>
      <c r="K24" s="370"/>
      <c r="L24" s="223"/>
      <c r="M24" s="21"/>
      <c r="N24" s="354"/>
      <c r="O24" s="21"/>
      <c r="P24" s="21" t="s">
        <v>2193</v>
      </c>
      <c r="Q24" s="366">
        <v>43927.0</v>
      </c>
      <c r="R24" s="366">
        <v>44562.0</v>
      </c>
      <c r="S24" s="356" t="str">
        <f>IFERROR(__xludf.DUMMYFUNCTION("IMPORTRANGE(N24,""Infoー情報!B14"")"),"#N/A")</f>
        <v>#N/A</v>
      </c>
      <c r="T24" s="357" t="str">
        <f t="shared" si="1"/>
        <v/>
      </c>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row>
    <row r="25">
      <c r="A25" s="45"/>
      <c r="B25" s="21"/>
      <c r="C25" s="21"/>
      <c r="D25" s="21"/>
      <c r="E25" s="21"/>
      <c r="F25" s="223"/>
      <c r="G25" s="21"/>
      <c r="H25" s="21"/>
      <c r="I25" s="21"/>
      <c r="J25" s="357"/>
      <c r="K25" s="370"/>
      <c r="L25" s="223"/>
      <c r="M25" s="21"/>
      <c r="N25" s="223"/>
      <c r="O25" s="21"/>
      <c r="P25" s="21" t="s">
        <v>2193</v>
      </c>
      <c r="Q25" s="366">
        <v>43934.0</v>
      </c>
      <c r="R25" s="366">
        <v>44320.0</v>
      </c>
      <c r="S25" s="355" t="str">
        <f>IFERROR(__xludf.DUMMYFUNCTION("IMPORTRANGE(N25,""Infoー情報!B14"")"),"#N/A")</f>
        <v>#N/A</v>
      </c>
      <c r="T25" s="357" t="str">
        <f t="shared" si="1"/>
        <v/>
      </c>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row>
    <row r="26">
      <c r="A26" s="45"/>
      <c r="B26" s="21"/>
      <c r="C26" s="21"/>
      <c r="D26" s="21"/>
      <c r="E26" s="21"/>
      <c r="F26" s="223"/>
      <c r="G26" s="21"/>
      <c r="H26" s="21"/>
      <c r="I26" s="21"/>
      <c r="J26" s="357"/>
      <c r="K26" s="370"/>
      <c r="L26" s="223"/>
      <c r="M26" s="21"/>
      <c r="N26" s="354"/>
      <c r="O26" s="21"/>
      <c r="P26" s="21" t="s">
        <v>2193</v>
      </c>
      <c r="Q26" s="366">
        <v>43957.0</v>
      </c>
      <c r="R26" s="356"/>
      <c r="S26" s="356" t="str">
        <f>IFERROR(__xludf.DUMMYFUNCTION("IMPORTRANGE(N26,""Infoー情報!B14"")"),"#N/A")</f>
        <v>#N/A</v>
      </c>
      <c r="T26" s="357" t="str">
        <f t="shared" si="1"/>
        <v/>
      </c>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row>
    <row r="27">
      <c r="A27" s="45"/>
      <c r="B27" s="21"/>
      <c r="C27" s="21"/>
      <c r="D27" s="21"/>
      <c r="E27" s="21"/>
      <c r="F27" s="223"/>
      <c r="G27" s="21"/>
      <c r="H27" s="21"/>
      <c r="I27" s="21"/>
      <c r="J27" s="357"/>
      <c r="K27" s="370"/>
      <c r="L27" s="223"/>
      <c r="M27" s="21"/>
      <c r="N27" s="223"/>
      <c r="O27" s="21"/>
      <c r="P27" s="21" t="s">
        <v>2193</v>
      </c>
      <c r="Q27" s="366">
        <v>43948.0</v>
      </c>
      <c r="R27" s="366">
        <v>44303.0</v>
      </c>
      <c r="S27" s="355" t="str">
        <f>IFERROR(__xludf.DUMMYFUNCTION("IMPORTRANGE(N27,""Infoー情報!B14"")"),"#N/A")</f>
        <v>#N/A</v>
      </c>
      <c r="T27" s="357" t="str">
        <f t="shared" si="1"/>
        <v/>
      </c>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row>
    <row r="28">
      <c r="A28" s="45"/>
      <c r="B28" s="21"/>
      <c r="C28" s="21"/>
      <c r="D28" s="21"/>
      <c r="E28" s="223"/>
      <c r="F28" s="223"/>
      <c r="G28" s="21"/>
      <c r="H28" s="21"/>
      <c r="I28" s="21"/>
      <c r="J28" s="357"/>
      <c r="K28" s="370"/>
      <c r="L28" s="223"/>
      <c r="M28" s="21"/>
      <c r="N28" s="354"/>
      <c r="O28" s="21"/>
      <c r="P28" s="21" t="s">
        <v>2193</v>
      </c>
      <c r="Q28" s="366">
        <v>43970.0</v>
      </c>
      <c r="R28" s="356"/>
      <c r="S28" s="356" t="str">
        <f>IFERROR(__xludf.DUMMYFUNCTION("IMPORTRANGE(N28,""Infoー情報!B14"")"),"#N/A")</f>
        <v>#N/A</v>
      </c>
      <c r="T28" s="357" t="str">
        <f t="shared" si="1"/>
        <v/>
      </c>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row>
    <row r="29">
      <c r="A29" s="45"/>
      <c r="B29" s="21"/>
      <c r="C29" s="21"/>
      <c r="D29" s="26"/>
      <c r="E29" s="21"/>
      <c r="F29" s="223"/>
      <c r="G29" s="21"/>
      <c r="H29" s="21"/>
      <c r="I29" s="21"/>
      <c r="J29" s="357"/>
      <c r="K29" s="370"/>
      <c r="L29" s="223"/>
      <c r="M29" s="21"/>
      <c r="N29" s="354"/>
      <c r="O29" s="21"/>
      <c r="P29" s="21" t="s">
        <v>2193</v>
      </c>
      <c r="Q29" s="366">
        <v>43978.0</v>
      </c>
      <c r="R29" s="366">
        <v>45169.0</v>
      </c>
      <c r="S29" s="355" t="str">
        <f>IFERROR(__xludf.DUMMYFUNCTION("IMPORTRANGE(N29,""Infoー情報!B14"")"),"#N/A")</f>
        <v>#N/A</v>
      </c>
      <c r="T29" s="357" t="str">
        <f t="shared" si="1"/>
        <v/>
      </c>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row>
    <row r="30">
      <c r="A30" s="45"/>
      <c r="B30" s="21"/>
      <c r="C30" s="21"/>
      <c r="D30" s="26"/>
      <c r="E30" s="21"/>
      <c r="F30" s="223"/>
      <c r="G30" s="21"/>
      <c r="H30" s="21"/>
      <c r="I30" s="21"/>
      <c r="J30" s="357"/>
      <c r="K30" s="370"/>
      <c r="L30" s="223"/>
      <c r="M30" s="21"/>
      <c r="N30" s="354"/>
      <c r="O30" s="21"/>
      <c r="P30" s="21" t="s">
        <v>2193</v>
      </c>
      <c r="Q30" s="366">
        <v>43990.0</v>
      </c>
      <c r="R30" s="356"/>
      <c r="S30" s="355" t="str">
        <f>IFERROR(__xludf.DUMMYFUNCTION("IMPORTRANGE(N30,""Infoー情報!B14"")"),"#N/A")</f>
        <v>#N/A</v>
      </c>
      <c r="T30" s="357" t="str">
        <f t="shared" si="1"/>
        <v/>
      </c>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row>
    <row r="31">
      <c r="A31" s="45"/>
      <c r="B31" s="21"/>
      <c r="C31" s="21"/>
      <c r="D31" s="359"/>
      <c r="E31" s="223"/>
      <c r="F31" s="223"/>
      <c r="G31" s="21"/>
      <c r="H31" s="21"/>
      <c r="I31" s="21"/>
      <c r="J31" s="357"/>
      <c r="K31" s="370"/>
      <c r="L31" s="223"/>
      <c r="M31" s="21"/>
      <c r="N31" s="354"/>
      <c r="O31" s="21"/>
      <c r="P31" s="21" t="s">
        <v>2193</v>
      </c>
      <c r="Q31" s="366">
        <v>43998.0</v>
      </c>
      <c r="R31" s="356"/>
      <c r="S31" s="355" t="str">
        <f>IFERROR(__xludf.DUMMYFUNCTION("IMPORTRANGE(N31,""Infoー情報!B14"")"),"#N/A")</f>
        <v>#N/A</v>
      </c>
      <c r="T31" s="357" t="str">
        <f t="shared" si="1"/>
        <v/>
      </c>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row>
    <row r="32">
      <c r="A32" s="45"/>
      <c r="B32" s="21"/>
      <c r="C32" s="21"/>
      <c r="D32" s="359"/>
      <c r="E32" s="223"/>
      <c r="F32" s="223"/>
      <c r="G32" s="21"/>
      <c r="H32" s="21"/>
      <c r="I32" s="21"/>
      <c r="J32" s="357"/>
      <c r="K32" s="370"/>
      <c r="L32" s="223"/>
      <c r="M32" s="21"/>
      <c r="N32" s="354"/>
      <c r="O32" s="21"/>
      <c r="P32" s="21" t="s">
        <v>2193</v>
      </c>
      <c r="Q32" s="366">
        <v>43999.0</v>
      </c>
      <c r="R32" s="356"/>
      <c r="S32" s="355" t="str">
        <f>IFERROR(__xludf.DUMMYFUNCTION("IMPORTRANGE(N32,""Infoー情報!B14"")"),"#N/A")</f>
        <v>#N/A</v>
      </c>
      <c r="T32" s="357" t="str">
        <f t="shared" si="1"/>
        <v/>
      </c>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row>
    <row r="33">
      <c r="A33" s="45"/>
      <c r="B33" s="21"/>
      <c r="C33" s="21"/>
      <c r="D33" s="21"/>
      <c r="E33" s="21"/>
      <c r="F33" s="223"/>
      <c r="G33" s="21"/>
      <c r="H33" s="21"/>
      <c r="I33" s="21"/>
      <c r="J33" s="357"/>
      <c r="K33" s="370"/>
      <c r="L33" s="21"/>
      <c r="M33" s="21"/>
      <c r="N33" s="354"/>
      <c r="O33" s="21"/>
      <c r="P33" s="21" t="s">
        <v>2193</v>
      </c>
      <c r="Q33" s="366">
        <v>44019.0</v>
      </c>
      <c r="R33" s="366">
        <v>44287.0</v>
      </c>
      <c r="S33" s="356" t="str">
        <f>IFERROR(__xludf.DUMMYFUNCTION("IMPORTRANGE(N33,""Infoー情報!B14"")"),"#N/A")</f>
        <v>#N/A</v>
      </c>
      <c r="T33" s="357" t="str">
        <f t="shared" si="1"/>
        <v/>
      </c>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row>
    <row r="34">
      <c r="A34" s="45"/>
      <c r="B34" s="21"/>
      <c r="C34" s="21"/>
      <c r="D34" s="21"/>
      <c r="E34" s="21"/>
      <c r="F34" s="223"/>
      <c r="G34" s="21"/>
      <c r="H34" s="21"/>
      <c r="I34" s="21"/>
      <c r="J34" s="357"/>
      <c r="K34" s="370"/>
      <c r="L34" s="21"/>
      <c r="M34" s="21"/>
      <c r="N34" s="354"/>
      <c r="O34" s="21"/>
      <c r="P34" s="21" t="s">
        <v>2193</v>
      </c>
      <c r="Q34" s="356"/>
      <c r="R34" s="366">
        <v>44310.0</v>
      </c>
      <c r="S34" s="356" t="str">
        <f>IFERROR(__xludf.DUMMYFUNCTION("IMPORTRANGE(N34,""Infoー情報!B14"")"),"#N/A")</f>
        <v>#N/A</v>
      </c>
      <c r="T34" s="357" t="str">
        <f t="shared" si="1"/>
        <v/>
      </c>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row>
    <row r="35">
      <c r="A35" s="45"/>
      <c r="B35" s="21"/>
      <c r="C35" s="21"/>
      <c r="D35" s="21"/>
      <c r="E35" s="21"/>
      <c r="F35" s="223"/>
      <c r="G35" s="21"/>
      <c r="H35" s="21"/>
      <c r="I35" s="21"/>
      <c r="J35" s="357"/>
      <c r="K35" s="370"/>
      <c r="L35" s="223"/>
      <c r="M35" s="21"/>
      <c r="N35" s="354"/>
      <c r="O35" s="21"/>
      <c r="P35" s="21" t="s">
        <v>2193</v>
      </c>
      <c r="Q35" s="356"/>
      <c r="R35" s="356"/>
      <c r="S35" s="355" t="str">
        <f>IFERROR(__xludf.DUMMYFUNCTION("IMPORTRANGE(N35,""Infoー情報!B14"")"),"#N/A")</f>
        <v>#N/A</v>
      </c>
      <c r="T35" s="357" t="str">
        <f t="shared" si="1"/>
        <v/>
      </c>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row>
    <row r="36">
      <c r="A36" s="45"/>
      <c r="B36" s="21"/>
      <c r="C36" s="21"/>
      <c r="D36" s="359"/>
      <c r="E36" s="223"/>
      <c r="F36" s="223"/>
      <c r="G36" s="21"/>
      <c r="H36" s="21"/>
      <c r="I36" s="21"/>
      <c r="J36" s="357"/>
      <c r="K36" s="370"/>
      <c r="L36" s="223"/>
      <c r="M36" s="21"/>
      <c r="N36" s="354"/>
      <c r="O36" s="21"/>
      <c r="P36" s="21" t="s">
        <v>2193</v>
      </c>
      <c r="Q36" s="356"/>
      <c r="R36" s="356"/>
      <c r="S36" s="355" t="str">
        <f>IFERROR(__xludf.DUMMYFUNCTION("IMPORTRANGE(N36,""Infoー情報!B14"")"),"#N/A")</f>
        <v>#N/A</v>
      </c>
      <c r="T36" s="357" t="str">
        <f t="shared" si="1"/>
        <v/>
      </c>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row>
    <row r="37">
      <c r="A37" s="45"/>
      <c r="B37" s="21"/>
      <c r="C37" s="21"/>
      <c r="D37" s="26"/>
      <c r="E37" s="223"/>
      <c r="F37" s="223"/>
      <c r="G37" s="21"/>
      <c r="H37" s="21"/>
      <c r="I37" s="21"/>
      <c r="J37" s="357"/>
      <c r="K37" s="370"/>
      <c r="L37" s="21"/>
      <c r="M37" s="21"/>
      <c r="N37" s="354"/>
      <c r="O37" s="21"/>
      <c r="P37" s="21" t="s">
        <v>2193</v>
      </c>
      <c r="Q37" s="356"/>
      <c r="R37" s="356"/>
      <c r="S37" s="356" t="str">
        <f>IFERROR(__xludf.DUMMYFUNCTION("IMPORTRANGE(N37,""Infoー情報!B14"")"),"#N/A")</f>
        <v>#N/A</v>
      </c>
      <c r="T37" s="357" t="str">
        <f t="shared" si="1"/>
        <v/>
      </c>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row>
    <row r="38">
      <c r="A38" s="45"/>
      <c r="B38" s="21"/>
      <c r="C38" s="21"/>
      <c r="D38" s="21"/>
      <c r="E38" s="21"/>
      <c r="F38" s="223"/>
      <c r="G38" s="21"/>
      <c r="H38" s="21"/>
      <c r="I38" s="21"/>
      <c r="J38" s="357"/>
      <c r="K38" s="370"/>
      <c r="L38" s="21"/>
      <c r="M38" s="21"/>
      <c r="N38" s="354"/>
      <c r="O38" s="21"/>
      <c r="P38" s="21" t="s">
        <v>2193</v>
      </c>
      <c r="Q38" s="356"/>
      <c r="R38" s="366">
        <v>45169.0</v>
      </c>
      <c r="S38" s="355" t="str">
        <f>IFERROR(__xludf.DUMMYFUNCTION("IMPORTRANGE(N38,""Infoー情報!B14"")"),"#N/A")</f>
        <v>#N/A</v>
      </c>
      <c r="T38" s="357" t="str">
        <f t="shared" si="1"/>
        <v/>
      </c>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row>
    <row r="39">
      <c r="A39" s="45"/>
      <c r="B39" s="21"/>
      <c r="C39" s="21"/>
      <c r="D39" s="21"/>
      <c r="E39" s="21"/>
      <c r="F39" s="223"/>
      <c r="G39" s="21"/>
      <c r="H39" s="21"/>
      <c r="I39" s="21"/>
      <c r="J39" s="357"/>
      <c r="K39" s="370"/>
      <c r="L39" s="21"/>
      <c r="M39" s="21"/>
      <c r="N39" s="354"/>
      <c r="O39" s="21"/>
      <c r="P39" s="21" t="s">
        <v>2193</v>
      </c>
      <c r="Q39" s="356"/>
      <c r="R39" s="356"/>
      <c r="S39" s="356" t="str">
        <f>IFERROR(__xludf.DUMMYFUNCTION("IMPORTRANGE(N39,""Infoー情報!B14"")"),"#N/A")</f>
        <v>#N/A</v>
      </c>
      <c r="T39" s="357" t="str">
        <f t="shared" si="1"/>
        <v/>
      </c>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row>
    <row r="40">
      <c r="A40" s="45"/>
      <c r="B40" s="21"/>
      <c r="C40" s="21"/>
      <c r="D40" s="26"/>
      <c r="E40" s="21"/>
      <c r="F40" s="223"/>
      <c r="G40" s="21"/>
      <c r="H40" s="21"/>
      <c r="I40" s="21"/>
      <c r="J40" s="357"/>
      <c r="K40" s="370"/>
      <c r="L40" s="21"/>
      <c r="M40" s="21"/>
      <c r="N40" s="354"/>
      <c r="O40" s="21"/>
      <c r="P40" s="21" t="s">
        <v>2193</v>
      </c>
      <c r="Q40" s="356"/>
      <c r="R40" s="356"/>
      <c r="S40" s="356" t="str">
        <f>IFERROR(__xludf.DUMMYFUNCTION("IMPORTRANGE(N40,""Infoー情報!B14"")"),"#N/A")</f>
        <v>#N/A</v>
      </c>
      <c r="T40" s="357" t="str">
        <f t="shared" si="1"/>
        <v/>
      </c>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row>
    <row r="41">
      <c r="A41" s="45"/>
      <c r="B41" s="21"/>
      <c r="C41" s="21"/>
      <c r="D41" s="21"/>
      <c r="E41" s="21"/>
      <c r="F41" s="223"/>
      <c r="G41" s="21"/>
      <c r="H41" s="21"/>
      <c r="I41" s="21"/>
      <c r="J41" s="357"/>
      <c r="K41" s="370"/>
      <c r="L41" s="21"/>
      <c r="M41" s="21"/>
      <c r="N41" s="354"/>
      <c r="O41" s="21"/>
      <c r="P41" s="21" t="s">
        <v>2193</v>
      </c>
      <c r="Q41" s="366">
        <v>44078.0</v>
      </c>
      <c r="R41" s="356"/>
      <c r="S41" s="356" t="str">
        <f>IFERROR(__xludf.DUMMYFUNCTION("IMPORTRANGE(N41,""Infoー情報!B14"")"),"#N/A")</f>
        <v>#N/A</v>
      </c>
      <c r="T41" s="357" t="str">
        <f t="shared" si="1"/>
        <v/>
      </c>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row>
    <row r="42">
      <c r="A42" s="45"/>
      <c r="B42" s="21"/>
      <c r="C42" s="21"/>
      <c r="D42" s="26"/>
      <c r="E42" s="21"/>
      <c r="F42" s="223"/>
      <c r="G42" s="21"/>
      <c r="H42" s="21"/>
      <c r="I42" s="21"/>
      <c r="J42" s="357"/>
      <c r="K42" s="370"/>
      <c r="L42" s="21"/>
      <c r="M42" s="21"/>
      <c r="N42" s="354"/>
      <c r="O42" s="21"/>
      <c r="P42" s="21" t="s">
        <v>2193</v>
      </c>
      <c r="Q42" s="356"/>
      <c r="R42" s="356"/>
      <c r="S42" s="356" t="str">
        <f>IFERROR(__xludf.DUMMYFUNCTION("IMPORTRANGE(N42,""Infoー情報!B14"")"),"#N/A")</f>
        <v>#N/A</v>
      </c>
      <c r="T42" s="357" t="str">
        <f t="shared" si="1"/>
        <v/>
      </c>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row>
    <row r="43">
      <c r="A43" s="45"/>
      <c r="B43" s="21"/>
      <c r="C43" s="21"/>
      <c r="D43" s="359"/>
      <c r="E43" s="21"/>
      <c r="F43" s="223"/>
      <c r="G43" s="21"/>
      <c r="H43" s="21"/>
      <c r="I43" s="21"/>
      <c r="J43" s="357"/>
      <c r="K43" s="370"/>
      <c r="L43" s="21"/>
      <c r="M43" s="21"/>
      <c r="N43" s="354"/>
      <c r="O43" s="21"/>
      <c r="P43" s="21" t="s">
        <v>2193</v>
      </c>
      <c r="Q43" s="366">
        <v>44174.0</v>
      </c>
      <c r="R43" s="356"/>
      <c r="S43" s="356" t="str">
        <f>IFERROR(__xludf.DUMMYFUNCTION("IMPORTRANGE(N43,""Infoー情報!B14"")"),"#N/A")</f>
        <v>#N/A</v>
      </c>
      <c r="T43" s="357" t="str">
        <f t="shared" si="1"/>
        <v/>
      </c>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row>
    <row r="44">
      <c r="A44" s="45"/>
      <c r="B44" s="21"/>
      <c r="C44" s="21"/>
      <c r="D44" s="21"/>
      <c r="E44" s="21"/>
      <c r="F44" s="223"/>
      <c r="G44" s="21"/>
      <c r="H44" s="21"/>
      <c r="I44" s="21"/>
      <c r="J44" s="357"/>
      <c r="K44" s="370"/>
      <c r="L44" s="21"/>
      <c r="M44" s="21"/>
      <c r="N44" s="354"/>
      <c r="O44" s="21"/>
      <c r="P44" s="21" t="s">
        <v>2193</v>
      </c>
      <c r="Q44" s="366">
        <v>43946.0</v>
      </c>
      <c r="R44" s="356"/>
      <c r="S44" s="356" t="str">
        <f>IFERROR(__xludf.DUMMYFUNCTION("IMPORTRANGE(N44,""Infoー情報!B14"")"),"#N/A")</f>
        <v>#N/A</v>
      </c>
      <c r="T44" s="357" t="str">
        <f t="shared" si="1"/>
        <v/>
      </c>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row>
    <row r="45">
      <c r="A45" s="45"/>
      <c r="B45" s="21"/>
      <c r="C45" s="21"/>
      <c r="D45" s="359"/>
      <c r="E45" s="21"/>
      <c r="F45" s="223"/>
      <c r="G45" s="21"/>
      <c r="H45" s="21"/>
      <c r="I45" s="21"/>
      <c r="J45" s="357"/>
      <c r="K45" s="370"/>
      <c r="L45" s="21"/>
      <c r="M45" s="21"/>
      <c r="N45" s="354"/>
      <c r="O45" s="21"/>
      <c r="P45" s="21" t="s">
        <v>2193</v>
      </c>
      <c r="Q45" s="356"/>
      <c r="R45" s="356"/>
      <c r="S45" s="356" t="str">
        <f>IFERROR(__xludf.DUMMYFUNCTION("IMPORTRANGE(N45,""Infoー情報!B14"")"),"#N/A")</f>
        <v>#N/A</v>
      </c>
      <c r="T45" s="357" t="str">
        <f t="shared" si="1"/>
        <v/>
      </c>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row>
    <row r="46">
      <c r="A46" s="45"/>
      <c r="B46" s="21"/>
      <c r="C46" s="21"/>
      <c r="D46" s="26"/>
      <c r="E46" s="21"/>
      <c r="F46" s="223"/>
      <c r="G46" s="21"/>
      <c r="H46" s="21"/>
      <c r="I46" s="21"/>
      <c r="J46" s="357"/>
      <c r="K46" s="370"/>
      <c r="L46" s="223"/>
      <c r="M46" s="21"/>
      <c r="N46" s="354"/>
      <c r="O46" s="21"/>
      <c r="P46" s="21" t="s">
        <v>2193</v>
      </c>
      <c r="Q46" s="366">
        <v>44098.0</v>
      </c>
      <c r="R46" s="356"/>
      <c r="S46" s="356" t="str">
        <f>IFERROR(__xludf.DUMMYFUNCTION("IMPORTRANGE(N46,""Infoー情報!B14"")"),"#N/A")</f>
        <v>#N/A</v>
      </c>
      <c r="T46" s="357" t="str">
        <f t="shared" si="1"/>
        <v/>
      </c>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row>
    <row r="47">
      <c r="A47" s="45"/>
      <c r="B47" s="21"/>
      <c r="C47" s="21"/>
      <c r="D47" s="377"/>
      <c r="E47" s="21"/>
      <c r="F47" s="223"/>
      <c r="G47" s="21"/>
      <c r="H47" s="21"/>
      <c r="I47" s="21"/>
      <c r="J47" s="357"/>
      <c r="K47" s="370"/>
      <c r="L47" s="21"/>
      <c r="M47" s="21"/>
      <c r="N47" s="354"/>
      <c r="O47" s="21"/>
      <c r="P47" s="21" t="s">
        <v>2193</v>
      </c>
      <c r="Q47" s="366">
        <v>44107.0</v>
      </c>
      <c r="R47" s="356"/>
      <c r="S47" s="356" t="str">
        <f>IFERROR(__xludf.DUMMYFUNCTION("IMPORTRANGE(N47,""Infoー情報!B14"")"),"#N/A")</f>
        <v>#N/A</v>
      </c>
      <c r="T47" s="357" t="str">
        <f t="shared" si="1"/>
        <v/>
      </c>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row>
    <row r="48">
      <c r="A48" s="45"/>
      <c r="B48" s="21"/>
      <c r="C48" s="21"/>
      <c r="D48" s="26"/>
      <c r="E48" s="21"/>
      <c r="F48" s="223"/>
      <c r="G48" s="21"/>
      <c r="H48" s="21"/>
      <c r="I48" s="21"/>
      <c r="J48" s="357"/>
      <c r="K48" s="370"/>
      <c r="L48" s="21"/>
      <c r="M48" s="21"/>
      <c r="N48" s="354"/>
      <c r="O48" s="21"/>
      <c r="P48" s="21" t="s">
        <v>2193</v>
      </c>
      <c r="Q48" s="366">
        <v>44111.0</v>
      </c>
      <c r="R48" s="356"/>
      <c r="S48" s="356" t="str">
        <f>IFERROR(__xludf.DUMMYFUNCTION("IMPORTRANGE(N48,""Infoー情報!B14"")"),"#N/A")</f>
        <v>#N/A</v>
      </c>
      <c r="T48" s="357" t="str">
        <f t="shared" si="1"/>
        <v/>
      </c>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row>
    <row r="49">
      <c r="A49" s="45"/>
      <c r="B49" s="21"/>
      <c r="C49" s="21"/>
      <c r="D49" s="21"/>
      <c r="E49" s="21"/>
      <c r="F49" s="223"/>
      <c r="G49" s="21"/>
      <c r="H49" s="21"/>
      <c r="I49" s="21"/>
      <c r="J49" s="357"/>
      <c r="K49" s="370"/>
      <c r="L49" s="223"/>
      <c r="M49" s="21"/>
      <c r="N49" s="354"/>
      <c r="O49" s="21"/>
      <c r="P49" s="21" t="s">
        <v>2193</v>
      </c>
      <c r="Q49" s="366">
        <v>44114.0</v>
      </c>
      <c r="R49" s="366">
        <v>44774.0</v>
      </c>
      <c r="S49" s="356" t="str">
        <f>IFERROR(__xludf.DUMMYFUNCTION("IMPORTRANGE(N49,""Infoー情報!B14"")"),"#N/A")</f>
        <v>#N/A</v>
      </c>
      <c r="T49" s="357" t="str">
        <f t="shared" si="1"/>
        <v/>
      </c>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row>
    <row r="50">
      <c r="A50" s="45"/>
      <c r="B50" s="21"/>
      <c r="C50" s="21"/>
      <c r="D50" s="26"/>
      <c r="E50" s="21"/>
      <c r="F50" s="223"/>
      <c r="G50" s="21"/>
      <c r="H50" s="21"/>
      <c r="I50" s="21"/>
      <c r="J50" s="357"/>
      <c r="K50" s="370"/>
      <c r="L50" s="21"/>
      <c r="M50" s="21"/>
      <c r="N50" s="354"/>
      <c r="O50" s="21"/>
      <c r="P50" s="21" t="s">
        <v>2193</v>
      </c>
      <c r="Q50" s="366">
        <v>44124.0</v>
      </c>
      <c r="R50" s="356"/>
      <c r="S50" s="356" t="str">
        <f>IFERROR(__xludf.DUMMYFUNCTION("IMPORTRANGE(N50,""Infoー情報!B14"")"),"#N/A")</f>
        <v>#N/A</v>
      </c>
      <c r="T50" s="357" t="str">
        <f t="shared" si="1"/>
        <v/>
      </c>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row>
    <row r="51">
      <c r="A51" s="45"/>
      <c r="B51" s="21"/>
      <c r="C51" s="21"/>
      <c r="D51" s="57"/>
      <c r="E51" s="21"/>
      <c r="F51" s="223"/>
      <c r="G51" s="21"/>
      <c r="H51" s="21"/>
      <c r="I51" s="21"/>
      <c r="J51" s="357"/>
      <c r="K51" s="370"/>
      <c r="L51" s="21"/>
      <c r="M51" s="21"/>
      <c r="N51" s="354"/>
      <c r="O51" s="21"/>
      <c r="P51" s="21" t="s">
        <v>2193</v>
      </c>
      <c r="Q51" s="366">
        <v>44132.0</v>
      </c>
      <c r="R51" s="366">
        <v>44153.0</v>
      </c>
      <c r="S51" s="356" t="str">
        <f>IFERROR(__xludf.DUMMYFUNCTION("IMPORTRANGE(N51,""Infoー情報!B14"")"),"#N/A")</f>
        <v>#N/A</v>
      </c>
      <c r="T51" s="357" t="str">
        <f t="shared" si="1"/>
        <v/>
      </c>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row>
    <row r="52">
      <c r="A52" s="45"/>
      <c r="B52" s="21"/>
      <c r="C52" s="21"/>
      <c r="D52" s="26"/>
      <c r="E52" s="21"/>
      <c r="F52" s="223"/>
      <c r="G52" s="21"/>
      <c r="H52" s="21"/>
      <c r="I52" s="21"/>
      <c r="J52" s="357"/>
      <c r="K52" s="370"/>
      <c r="L52" s="223"/>
      <c r="M52" s="21"/>
      <c r="N52" s="354"/>
      <c r="O52" s="21"/>
      <c r="P52" s="21" t="s">
        <v>2193</v>
      </c>
      <c r="Q52" s="366">
        <v>44151.0</v>
      </c>
      <c r="R52" s="366">
        <v>44286.0</v>
      </c>
      <c r="S52" s="356" t="str">
        <f>IFERROR(__xludf.DUMMYFUNCTION("IMPORTRANGE(N52,""Infoー情報!B14"")"),"#N/A")</f>
        <v>#N/A</v>
      </c>
      <c r="T52" s="357" t="str">
        <f t="shared" si="1"/>
        <v/>
      </c>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row>
    <row r="53">
      <c r="A53" s="45"/>
      <c r="B53" s="21"/>
      <c r="C53" s="21"/>
      <c r="D53" s="21"/>
      <c r="E53" s="21"/>
      <c r="F53" s="223"/>
      <c r="G53" s="21"/>
      <c r="H53" s="21"/>
      <c r="I53" s="21"/>
      <c r="J53" s="357"/>
      <c r="K53" s="370"/>
      <c r="L53" s="21"/>
      <c r="M53" s="21"/>
      <c r="N53" s="354"/>
      <c r="O53" s="21"/>
      <c r="P53" s="21" t="s">
        <v>2193</v>
      </c>
      <c r="Q53" s="366">
        <v>44153.0</v>
      </c>
      <c r="R53" s="356"/>
      <c r="S53" s="356" t="str">
        <f>IFERROR(__xludf.DUMMYFUNCTION("IMPORTRANGE(N53,""Infoー情報!B14"")"),"#N/A")</f>
        <v>#N/A</v>
      </c>
      <c r="T53" s="357" t="str">
        <f t="shared" si="1"/>
        <v/>
      </c>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row>
    <row r="54">
      <c r="A54" s="45"/>
      <c r="B54" s="21"/>
      <c r="C54" s="21"/>
      <c r="D54" s="21"/>
      <c r="E54" s="21"/>
      <c r="F54" s="223"/>
      <c r="G54" s="21"/>
      <c r="H54" s="21"/>
      <c r="I54" s="21"/>
      <c r="J54" s="357"/>
      <c r="K54" s="370"/>
      <c r="L54" s="21"/>
      <c r="M54" s="21"/>
      <c r="N54" s="354"/>
      <c r="O54" s="21"/>
      <c r="P54" s="21" t="s">
        <v>2193</v>
      </c>
      <c r="Q54" s="366">
        <v>44162.0</v>
      </c>
      <c r="R54" s="356"/>
      <c r="S54" s="356" t="str">
        <f>IFERROR(__xludf.DUMMYFUNCTION("IMPORTRANGE(N54,""Infoー情報!B14"")"),"#N/A")</f>
        <v>#N/A</v>
      </c>
      <c r="T54" s="357" t="str">
        <f t="shared" si="1"/>
        <v/>
      </c>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row>
    <row r="55">
      <c r="A55" s="45"/>
      <c r="B55" s="21"/>
      <c r="C55" s="21"/>
      <c r="D55" s="21"/>
      <c r="E55" s="21"/>
      <c r="F55" s="223"/>
      <c r="G55" s="21"/>
      <c r="H55" s="21"/>
      <c r="I55" s="21"/>
      <c r="J55" s="357"/>
      <c r="K55" s="370"/>
      <c r="L55" s="21"/>
      <c r="M55" s="21"/>
      <c r="N55" s="354"/>
      <c r="O55" s="21"/>
      <c r="P55" s="21" t="s">
        <v>2193</v>
      </c>
      <c r="Q55" s="366">
        <v>44154.0</v>
      </c>
      <c r="R55" s="366">
        <v>44469.0</v>
      </c>
      <c r="S55" s="356" t="str">
        <f>IFERROR(__xludf.DUMMYFUNCTION("IMPORTRANGE(N55,""Infoー情報!B14"")"),"#N/A")</f>
        <v>#N/A</v>
      </c>
      <c r="T55" s="357" t="str">
        <f t="shared" si="1"/>
        <v/>
      </c>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row>
    <row r="56">
      <c r="A56" s="45"/>
      <c r="B56" s="21"/>
      <c r="C56" s="21"/>
      <c r="D56" s="21"/>
      <c r="E56" s="21"/>
      <c r="F56" s="223"/>
      <c r="G56" s="21"/>
      <c r="H56" s="21"/>
      <c r="I56" s="21"/>
      <c r="J56" s="357"/>
      <c r="K56" s="370"/>
      <c r="L56" s="21"/>
      <c r="M56" s="21"/>
      <c r="N56" s="354"/>
      <c r="O56" s="21"/>
      <c r="P56" s="21" t="s">
        <v>2193</v>
      </c>
      <c r="Q56" s="366">
        <v>44158.0</v>
      </c>
      <c r="R56" s="356"/>
      <c r="S56" s="356" t="str">
        <f>IFERROR(__xludf.DUMMYFUNCTION("IMPORTRANGE(N56,""Infoー情報!B14"")"),"#N/A")</f>
        <v>#N/A</v>
      </c>
      <c r="T56" s="357" t="str">
        <f t="shared" si="1"/>
        <v/>
      </c>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row>
    <row r="57">
      <c r="A57" s="45"/>
      <c r="B57" s="21"/>
      <c r="C57" s="21"/>
      <c r="D57" s="26"/>
      <c r="E57" s="21"/>
      <c r="F57" s="223"/>
      <c r="G57" s="21"/>
      <c r="H57" s="21"/>
      <c r="I57" s="21"/>
      <c r="J57" s="357"/>
      <c r="K57" s="370"/>
      <c r="L57" s="21"/>
      <c r="M57" s="21"/>
      <c r="N57" s="354"/>
      <c r="O57" s="21"/>
      <c r="P57" s="21" t="s">
        <v>2193</v>
      </c>
      <c r="Q57" s="366">
        <v>44158.0</v>
      </c>
      <c r="R57" s="366">
        <v>44322.0</v>
      </c>
      <c r="S57" s="356" t="str">
        <f>IFERROR(__xludf.DUMMYFUNCTION("IMPORTRANGE(N57,""Infoー情報!B14"")"),"#N/A")</f>
        <v>#N/A</v>
      </c>
      <c r="T57" s="357" t="str">
        <f t="shared" si="1"/>
        <v/>
      </c>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row>
    <row r="58">
      <c r="A58" s="45"/>
      <c r="B58" s="21"/>
      <c r="C58" s="21"/>
      <c r="D58" s="21"/>
      <c r="E58" s="21"/>
      <c r="F58" s="223"/>
      <c r="G58" s="21"/>
      <c r="H58" s="21"/>
      <c r="I58" s="21"/>
      <c r="J58" s="357"/>
      <c r="K58" s="370"/>
      <c r="L58" s="21"/>
      <c r="M58" s="21"/>
      <c r="N58" s="354"/>
      <c r="O58" s="21"/>
      <c r="P58" s="21" t="s">
        <v>2193</v>
      </c>
      <c r="Q58" s="366">
        <v>44158.0</v>
      </c>
      <c r="R58" s="366">
        <v>44523.0</v>
      </c>
      <c r="S58" s="356" t="str">
        <f>IFERROR(__xludf.DUMMYFUNCTION("IMPORTRANGE(N58,""Infoー情報!B14"")"),"#N/A")</f>
        <v>#N/A</v>
      </c>
      <c r="T58" s="357" t="str">
        <f t="shared" si="1"/>
        <v/>
      </c>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row>
    <row r="59">
      <c r="A59" s="45"/>
      <c r="B59" s="21"/>
      <c r="C59" s="21"/>
      <c r="D59" s="21"/>
      <c r="E59" s="21"/>
      <c r="F59" s="223"/>
      <c r="G59" s="21"/>
      <c r="H59" s="21"/>
      <c r="I59" s="21"/>
      <c r="J59" s="357"/>
      <c r="K59" s="370"/>
      <c r="L59" s="21"/>
      <c r="M59" s="21"/>
      <c r="N59" s="354"/>
      <c r="O59" s="21"/>
      <c r="P59" s="21" t="s">
        <v>2193</v>
      </c>
      <c r="Q59" s="366">
        <v>44186.0</v>
      </c>
      <c r="R59" s="366">
        <v>44712.0</v>
      </c>
      <c r="S59" s="356" t="str">
        <f>IFERROR(__xludf.DUMMYFUNCTION("IMPORTRANGE(N59,""Infoー情報!B14"")"),"#N/A")</f>
        <v>#N/A</v>
      </c>
      <c r="T59" s="357" t="str">
        <f t="shared" si="1"/>
        <v/>
      </c>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row>
    <row r="60">
      <c r="A60" s="45"/>
      <c r="B60" s="21"/>
      <c r="C60" s="21"/>
      <c r="D60" s="21"/>
      <c r="E60" s="21"/>
      <c r="F60" s="223"/>
      <c r="G60" s="21"/>
      <c r="H60" s="21"/>
      <c r="I60" s="21"/>
      <c r="J60" s="357"/>
      <c r="K60" s="370"/>
      <c r="L60" s="21"/>
      <c r="M60" s="21"/>
      <c r="N60" s="354"/>
      <c r="O60" s="21"/>
      <c r="P60" s="21" t="s">
        <v>2193</v>
      </c>
      <c r="Q60" s="366">
        <v>44186.0</v>
      </c>
      <c r="R60" s="356"/>
      <c r="S60" s="355" t="str">
        <f>IFERROR(__xludf.DUMMYFUNCTION("IMPORTRANGE(N60,""Infoー情報!B14"")"),"#N/A")</f>
        <v>#N/A</v>
      </c>
      <c r="T60" s="357" t="str">
        <f t="shared" si="1"/>
        <v/>
      </c>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row>
    <row r="61">
      <c r="A61" s="45"/>
      <c r="B61" s="21"/>
      <c r="C61" s="21"/>
      <c r="D61" s="21"/>
      <c r="E61" s="21"/>
      <c r="F61" s="223"/>
      <c r="G61" s="21"/>
      <c r="H61" s="21"/>
      <c r="I61" s="21"/>
      <c r="J61" s="357"/>
      <c r="K61" s="370"/>
      <c r="L61" s="21"/>
      <c r="M61" s="21"/>
      <c r="N61" s="354"/>
      <c r="O61" s="21"/>
      <c r="P61" s="21" t="s">
        <v>2193</v>
      </c>
      <c r="Q61" s="366">
        <v>44192.0</v>
      </c>
      <c r="R61" s="356"/>
      <c r="S61" s="355" t="str">
        <f>IFERROR(__xludf.DUMMYFUNCTION("IMPORTRANGE(N61,""Infoー情報!B14"")"),"#N/A")</f>
        <v>#N/A</v>
      </c>
      <c r="T61" s="357" t="str">
        <f t="shared" si="1"/>
        <v/>
      </c>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row>
    <row r="62">
      <c r="A62" s="45"/>
      <c r="B62" s="21"/>
      <c r="C62" s="21"/>
      <c r="D62" s="21"/>
      <c r="E62" s="21"/>
      <c r="F62" s="223"/>
      <c r="G62" s="21"/>
      <c r="H62" s="21"/>
      <c r="I62" s="21"/>
      <c r="J62" s="357"/>
      <c r="K62" s="370"/>
      <c r="L62" s="21"/>
      <c r="M62" s="21"/>
      <c r="N62" s="354"/>
      <c r="O62" s="21"/>
      <c r="P62" s="21" t="s">
        <v>2193</v>
      </c>
      <c r="Q62" s="366">
        <v>44215.0</v>
      </c>
      <c r="R62" s="366">
        <v>44298.0</v>
      </c>
      <c r="S62" s="355" t="str">
        <f>IFERROR(__xludf.DUMMYFUNCTION("IMPORTRANGE(N62,""Infoー情報!B14"")"),"#N/A")</f>
        <v>#N/A</v>
      </c>
      <c r="T62" s="357" t="str">
        <f t="shared" si="1"/>
        <v/>
      </c>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row>
    <row r="63">
      <c r="A63" s="45"/>
      <c r="B63" s="21"/>
      <c r="C63" s="21"/>
      <c r="D63" s="21"/>
      <c r="E63" s="21"/>
      <c r="F63" s="223"/>
      <c r="G63" s="21"/>
      <c r="H63" s="21"/>
      <c r="I63" s="21"/>
      <c r="J63" s="357"/>
      <c r="K63" s="370"/>
      <c r="L63" s="21"/>
      <c r="M63" s="21"/>
      <c r="N63" s="354"/>
      <c r="O63" s="21"/>
      <c r="P63" s="21" t="s">
        <v>2193</v>
      </c>
      <c r="Q63" s="366">
        <v>44859.0</v>
      </c>
      <c r="R63" s="356"/>
      <c r="S63" s="355" t="str">
        <f>IFERROR(__xludf.DUMMYFUNCTION("IMPORTRANGE(N63,""Infoー情報!B14"")"),"#N/A")</f>
        <v>#N/A</v>
      </c>
      <c r="T63" s="357" t="str">
        <f t="shared" si="1"/>
        <v/>
      </c>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row>
    <row r="64">
      <c r="A64" s="45"/>
      <c r="B64" s="21"/>
      <c r="C64" s="21"/>
      <c r="D64" s="26"/>
      <c r="E64" s="21"/>
      <c r="F64" s="223"/>
      <c r="G64" s="21"/>
      <c r="H64" s="21"/>
      <c r="I64" s="21"/>
      <c r="J64" s="357"/>
      <c r="K64" s="370"/>
      <c r="L64" s="21"/>
      <c r="M64" s="21"/>
      <c r="N64" s="354"/>
      <c r="O64" s="21"/>
      <c r="P64" s="21" t="s">
        <v>2193</v>
      </c>
      <c r="Q64" s="366">
        <v>44215.0</v>
      </c>
      <c r="R64" s="366">
        <v>44695.0</v>
      </c>
      <c r="S64" s="355" t="str">
        <f>IFERROR(__xludf.DUMMYFUNCTION("IMPORTRANGE(N64,""Infoー情報!B14"")"),"#N/A")</f>
        <v>#N/A</v>
      </c>
      <c r="T64" s="357" t="str">
        <f t="shared" si="1"/>
        <v/>
      </c>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row>
    <row r="65">
      <c r="A65" s="45"/>
      <c r="B65" s="21"/>
      <c r="C65" s="21"/>
      <c r="D65" s="26"/>
      <c r="E65" s="21"/>
      <c r="F65" s="223"/>
      <c r="G65" s="21"/>
      <c r="H65" s="21"/>
      <c r="I65" s="21"/>
      <c r="J65" s="357"/>
      <c r="K65" s="370"/>
      <c r="L65" s="21"/>
      <c r="M65" s="21"/>
      <c r="N65" s="354"/>
      <c r="O65" s="21"/>
      <c r="P65" s="21" t="s">
        <v>2193</v>
      </c>
      <c r="Q65" s="366">
        <v>44218.0</v>
      </c>
      <c r="R65" s="21" t="s">
        <v>2438</v>
      </c>
      <c r="S65" s="355" t="str">
        <f>IFERROR(__xludf.DUMMYFUNCTION("IMPORTRANGE(N65,""Infoー情報!B14"")"),"#N/A")</f>
        <v>#N/A</v>
      </c>
      <c r="T65" s="357">
        <v>110000.0</v>
      </c>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row>
    <row r="66">
      <c r="A66" s="45"/>
      <c r="B66" s="21"/>
      <c r="C66" s="21"/>
      <c r="D66" s="21"/>
      <c r="E66" s="21"/>
      <c r="F66" s="223"/>
      <c r="G66" s="21"/>
      <c r="H66" s="21"/>
      <c r="I66" s="21"/>
      <c r="J66" s="357"/>
      <c r="K66" s="370"/>
      <c r="L66" s="21"/>
      <c r="M66" s="21"/>
      <c r="N66" s="354"/>
      <c r="O66" s="21"/>
      <c r="P66" s="21" t="s">
        <v>2193</v>
      </c>
      <c r="Q66" s="366">
        <v>44229.0</v>
      </c>
      <c r="R66" s="366">
        <v>44561.0</v>
      </c>
      <c r="S66" s="355" t="str">
        <f>IFERROR(__xludf.DUMMYFUNCTION("IMPORTRANGE(N66,""Infoー情報!B14"")"),"#N/A")</f>
        <v>#N/A</v>
      </c>
      <c r="T66" s="357" t="str">
        <f t="shared" ref="T66:T76" si="2">J66</f>
        <v/>
      </c>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row>
    <row r="67">
      <c r="A67" s="45"/>
      <c r="B67" s="21"/>
      <c r="C67" s="21"/>
      <c r="D67" s="21"/>
      <c r="E67" s="21"/>
      <c r="F67" s="223"/>
      <c r="G67" s="21"/>
      <c r="H67" s="21"/>
      <c r="I67" s="21"/>
      <c r="J67" s="357"/>
      <c r="K67" s="370"/>
      <c r="L67" s="223"/>
      <c r="M67" s="21"/>
      <c r="N67" s="354"/>
      <c r="O67" s="21"/>
      <c r="P67" s="21" t="s">
        <v>2193</v>
      </c>
      <c r="Q67" s="366">
        <v>44198.0</v>
      </c>
      <c r="R67" s="366">
        <v>44316.0</v>
      </c>
      <c r="S67" s="356" t="str">
        <f>IFERROR(__xludf.DUMMYFUNCTION("IMPORTRANGE(N67,""Infoー情報!B14"")"),"#N/A")</f>
        <v>#N/A</v>
      </c>
      <c r="T67" s="357" t="str">
        <f t="shared" si="2"/>
        <v/>
      </c>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row>
    <row r="68">
      <c r="A68" s="45"/>
      <c r="B68" s="21"/>
      <c r="C68" s="21"/>
      <c r="D68" s="26"/>
      <c r="E68" s="21"/>
      <c r="F68" s="223"/>
      <c r="G68" s="21"/>
      <c r="H68" s="21"/>
      <c r="I68" s="21"/>
      <c r="J68" s="357"/>
      <c r="K68" s="370"/>
      <c r="L68" s="21"/>
      <c r="M68" s="21"/>
      <c r="N68" s="354"/>
      <c r="O68" s="21"/>
      <c r="P68" s="21" t="s">
        <v>2193</v>
      </c>
      <c r="Q68" s="366">
        <v>44223.0</v>
      </c>
      <c r="R68" s="366">
        <v>44774.0</v>
      </c>
      <c r="S68" s="355" t="str">
        <f>IFERROR(__xludf.DUMMYFUNCTION("IMPORTRANGE(N68,""Infoー情報!B14"")"),"#N/A")</f>
        <v>#N/A</v>
      </c>
      <c r="T68" s="357" t="str">
        <f t="shared" si="2"/>
        <v/>
      </c>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row>
    <row r="69">
      <c r="A69" s="45"/>
      <c r="B69" s="21"/>
      <c r="C69" s="21"/>
      <c r="D69" s="21"/>
      <c r="E69" s="21"/>
      <c r="F69" s="223"/>
      <c r="G69" s="21"/>
      <c r="H69" s="21"/>
      <c r="I69" s="21"/>
      <c r="J69" s="357"/>
      <c r="K69" s="370"/>
      <c r="L69" s="21"/>
      <c r="M69" s="21"/>
      <c r="N69" s="354"/>
      <c r="O69" s="21"/>
      <c r="P69" s="21" t="s">
        <v>2193</v>
      </c>
      <c r="Q69" s="366">
        <v>44232.0</v>
      </c>
      <c r="R69" s="356"/>
      <c r="S69" s="356" t="str">
        <f>IFERROR(__xludf.DUMMYFUNCTION("IMPORTRANGE(N69,""Infoー情報!B14"")"),"#N/A")</f>
        <v>#N/A</v>
      </c>
      <c r="T69" s="357" t="str">
        <f t="shared" si="2"/>
        <v/>
      </c>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row>
    <row r="70">
      <c r="A70" s="45"/>
      <c r="B70" s="21"/>
      <c r="C70" s="21"/>
      <c r="D70" s="21"/>
      <c r="E70" s="21"/>
      <c r="F70" s="223"/>
      <c r="G70" s="21"/>
      <c r="H70" s="21"/>
      <c r="I70" s="21"/>
      <c r="J70" s="357"/>
      <c r="K70" s="370"/>
      <c r="L70" s="21"/>
      <c r="M70" s="21"/>
      <c r="N70" s="354"/>
      <c r="O70" s="21"/>
      <c r="P70" s="21" t="s">
        <v>2193</v>
      </c>
      <c r="Q70" s="366">
        <v>44226.0</v>
      </c>
      <c r="R70" s="366">
        <v>44569.0</v>
      </c>
      <c r="S70" s="356" t="str">
        <f>IFERROR(__xludf.DUMMYFUNCTION("IMPORTRANGE(N70,""Infoー情報!B14"")"),"#N/A")</f>
        <v>#N/A</v>
      </c>
      <c r="T70" s="357" t="str">
        <f t="shared" si="2"/>
        <v/>
      </c>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row>
    <row r="71">
      <c r="A71" s="45"/>
      <c r="B71" s="21"/>
      <c r="C71" s="21"/>
      <c r="D71" s="21"/>
      <c r="E71" s="21"/>
      <c r="F71" s="223"/>
      <c r="G71" s="21"/>
      <c r="H71" s="21"/>
      <c r="I71" s="21"/>
      <c r="J71" s="357"/>
      <c r="K71" s="370"/>
      <c r="L71" s="21"/>
      <c r="M71" s="21"/>
      <c r="N71" s="354"/>
      <c r="O71" s="21"/>
      <c r="P71" s="21" t="s">
        <v>2189</v>
      </c>
      <c r="Q71" s="366">
        <v>44288.0</v>
      </c>
      <c r="R71" s="356"/>
      <c r="S71" s="356" t="str">
        <f>IFERROR(__xludf.DUMMYFUNCTION("IMPORTRANGE(N71,""Infoー情報!B14"")"),"#N/A")</f>
        <v>#N/A</v>
      </c>
      <c r="T71" s="357" t="str">
        <f t="shared" si="2"/>
        <v/>
      </c>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row>
    <row r="72">
      <c r="A72" s="45"/>
      <c r="B72" s="21"/>
      <c r="C72" s="21"/>
      <c r="D72" s="21"/>
      <c r="E72" s="223"/>
      <c r="F72" s="223"/>
      <c r="G72" s="21"/>
      <c r="H72" s="21"/>
      <c r="I72" s="21"/>
      <c r="J72" s="357"/>
      <c r="K72" s="370"/>
      <c r="L72" s="21"/>
      <c r="M72" s="21"/>
      <c r="N72" s="354"/>
      <c r="O72" s="21"/>
      <c r="P72" s="21" t="s">
        <v>2193</v>
      </c>
      <c r="Q72" s="366">
        <v>44230.0</v>
      </c>
      <c r="R72" s="356"/>
      <c r="S72" s="356" t="str">
        <f>IFERROR(__xludf.DUMMYFUNCTION("IMPORTRANGE(N72,""Infoー情報!B14"")"),"#N/A")</f>
        <v>#N/A</v>
      </c>
      <c r="T72" s="357" t="str">
        <f t="shared" si="2"/>
        <v/>
      </c>
      <c r="U72" s="21" t="s">
        <v>2458</v>
      </c>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row>
    <row r="73">
      <c r="A73" s="45"/>
      <c r="B73" s="21"/>
      <c r="C73" s="21"/>
      <c r="D73" s="21"/>
      <c r="E73" s="21"/>
      <c r="F73" s="223"/>
      <c r="G73" s="21"/>
      <c r="H73" s="21"/>
      <c r="I73" s="21"/>
      <c r="J73" s="357"/>
      <c r="K73" s="370"/>
      <c r="L73" s="21"/>
      <c r="M73" s="21"/>
      <c r="N73" s="354"/>
      <c r="O73" s="21"/>
      <c r="P73" s="21" t="s">
        <v>2193</v>
      </c>
      <c r="Q73" s="366">
        <v>44245.0</v>
      </c>
      <c r="R73" s="366">
        <v>44708.0</v>
      </c>
      <c r="S73" s="356" t="str">
        <f>IFERROR(__xludf.DUMMYFUNCTION("IMPORTRANGE(N73,""Infoー情報!B14"")"),"#N/A")</f>
        <v>#N/A</v>
      </c>
      <c r="T73" s="357" t="str">
        <f t="shared" si="2"/>
        <v/>
      </c>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row>
    <row r="74">
      <c r="A74" s="45"/>
      <c r="B74" s="21"/>
      <c r="C74" s="21"/>
      <c r="D74" s="21"/>
      <c r="E74" s="21"/>
      <c r="F74" s="223"/>
      <c r="G74" s="21"/>
      <c r="H74" s="21"/>
      <c r="I74" s="21"/>
      <c r="J74" s="357"/>
      <c r="K74" s="370"/>
      <c r="L74" s="21"/>
      <c r="M74" s="21"/>
      <c r="N74" s="354"/>
      <c r="O74" s="21"/>
      <c r="P74" s="21" t="s">
        <v>2193</v>
      </c>
      <c r="Q74" s="366">
        <v>44244.0</v>
      </c>
      <c r="R74" s="366">
        <v>44328.0</v>
      </c>
      <c r="S74" s="356" t="str">
        <f>IFERROR(__xludf.DUMMYFUNCTION("IMPORTRANGE(N74,""Infoー情報!B14"")"),"#N/A")</f>
        <v>#N/A</v>
      </c>
      <c r="T74" s="357" t="str">
        <f t="shared" si="2"/>
        <v/>
      </c>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row>
    <row r="75">
      <c r="A75" s="45"/>
      <c r="B75" s="21"/>
      <c r="C75" s="21"/>
      <c r="D75" s="21"/>
      <c r="E75" s="21"/>
      <c r="F75" s="223"/>
      <c r="G75" s="21"/>
      <c r="H75" s="21"/>
      <c r="I75" s="21"/>
      <c r="J75" s="357"/>
      <c r="K75" s="370"/>
      <c r="L75" s="21"/>
      <c r="M75" s="21"/>
      <c r="N75" s="354"/>
      <c r="O75" s="21"/>
      <c r="P75" s="21" t="s">
        <v>2193</v>
      </c>
      <c r="Q75" s="366">
        <v>44244.0</v>
      </c>
      <c r="R75" s="356"/>
      <c r="S75" s="355" t="str">
        <f>IFERROR(__xludf.DUMMYFUNCTION("IMPORTRANGE(N75,""Infoー情報!B14"")"),"#N/A")</f>
        <v>#N/A</v>
      </c>
      <c r="T75" s="357" t="str">
        <f t="shared" si="2"/>
        <v/>
      </c>
      <c r="U75" s="21" t="s">
        <v>2466</v>
      </c>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row>
    <row r="76">
      <c r="A76" s="45"/>
      <c r="B76" s="21"/>
      <c r="C76" s="21"/>
      <c r="D76" s="21"/>
      <c r="E76" s="21"/>
      <c r="F76" s="223"/>
      <c r="G76" s="21"/>
      <c r="H76" s="21"/>
      <c r="I76" s="21"/>
      <c r="J76" s="357"/>
      <c r="K76" s="370"/>
      <c r="L76" s="21"/>
      <c r="M76" s="21"/>
      <c r="N76" s="354"/>
      <c r="O76" s="21"/>
      <c r="P76" s="21" t="s">
        <v>2193</v>
      </c>
      <c r="Q76" s="366">
        <v>44249.0</v>
      </c>
      <c r="R76" s="366">
        <v>44712.0</v>
      </c>
      <c r="S76" s="356" t="str">
        <f>IFERROR(__xludf.DUMMYFUNCTION("IMPORTRANGE(N76,""Infoー情報!B14"")"),"#N/A")</f>
        <v>#N/A</v>
      </c>
      <c r="T76" s="357" t="str">
        <f t="shared" si="2"/>
        <v/>
      </c>
      <c r="U76" s="21"/>
      <c r="V76" s="21"/>
      <c r="W76" s="21"/>
      <c r="X76" s="21"/>
      <c r="Y76" s="21"/>
      <c r="Z76" s="21"/>
      <c r="AA76" s="380">
        <v>44258.0</v>
      </c>
      <c r="AB76" s="21"/>
      <c r="AC76" s="21"/>
      <c r="AD76" s="21"/>
      <c r="AE76" s="21"/>
      <c r="AF76" s="21"/>
      <c r="AG76" s="21"/>
      <c r="AH76" s="21"/>
      <c r="AI76" s="21"/>
      <c r="AJ76" s="21"/>
      <c r="AK76" s="21"/>
      <c r="AL76" s="21"/>
      <c r="AM76" s="21"/>
      <c r="AN76" s="21"/>
      <c r="AO76" s="21"/>
      <c r="AP76" s="21"/>
      <c r="AQ76" s="21"/>
      <c r="AR76" s="21"/>
      <c r="AS76" s="21"/>
      <c r="AT76" s="21"/>
      <c r="AU76" s="21"/>
    </row>
    <row r="77">
      <c r="A77" s="45"/>
      <c r="B77" s="21"/>
      <c r="C77" s="21"/>
      <c r="D77" s="21"/>
      <c r="E77" s="21"/>
      <c r="F77" s="223"/>
      <c r="G77" s="21"/>
      <c r="H77" s="21"/>
      <c r="I77" s="21"/>
      <c r="J77" s="357"/>
      <c r="K77" s="370"/>
      <c r="L77" s="21"/>
      <c r="M77" s="21"/>
      <c r="N77" s="354"/>
      <c r="O77" s="21"/>
      <c r="P77" s="21" t="s">
        <v>2193</v>
      </c>
      <c r="Q77" s="366">
        <v>44254.0</v>
      </c>
      <c r="R77" s="356"/>
      <c r="S77" s="356" t="str">
        <f>IFERROR(__xludf.DUMMYFUNCTION("IMPORTRANGE(N77,""Infoー情報!B14"")"),"#N/A")</f>
        <v>#N/A</v>
      </c>
      <c r="T77" s="357">
        <v>110000.0</v>
      </c>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row>
    <row r="78">
      <c r="A78" s="45"/>
      <c r="B78" s="21"/>
      <c r="C78" s="21"/>
      <c r="D78" s="21"/>
      <c r="E78" s="21"/>
      <c r="F78" s="223"/>
      <c r="G78" s="21"/>
      <c r="H78" s="21"/>
      <c r="I78" s="21"/>
      <c r="J78" s="357"/>
      <c r="K78" s="370"/>
      <c r="L78" s="223"/>
      <c r="M78" s="21"/>
      <c r="N78" s="354"/>
      <c r="O78" s="21"/>
      <c r="P78" s="21" t="s">
        <v>2189</v>
      </c>
      <c r="Q78" s="366">
        <v>44259.0</v>
      </c>
      <c r="R78" s="366">
        <v>44620.0</v>
      </c>
      <c r="S78" s="356" t="str">
        <f>IFERROR(__xludf.DUMMYFUNCTION("IMPORTRANGE(N78,""Infoー情報!B14"")"),"#N/A")</f>
        <v>#N/A</v>
      </c>
      <c r="T78" s="357" t="str">
        <f t="shared" ref="T78:T93" si="3">J78</f>
        <v/>
      </c>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row>
    <row r="79">
      <c r="A79" s="45"/>
      <c r="B79" s="21"/>
      <c r="C79" s="21"/>
      <c r="D79" s="21"/>
      <c r="E79" s="21"/>
      <c r="F79" s="223"/>
      <c r="G79" s="21"/>
      <c r="H79" s="21"/>
      <c r="I79" s="21"/>
      <c r="J79" s="357"/>
      <c r="K79" s="370"/>
      <c r="L79" s="21"/>
      <c r="M79" s="21"/>
      <c r="N79" s="354"/>
      <c r="O79" s="21"/>
      <c r="P79" s="21" t="s">
        <v>2193</v>
      </c>
      <c r="Q79" s="366">
        <v>44258.0</v>
      </c>
      <c r="R79" s="356"/>
      <c r="S79" s="355" t="str">
        <f>IFERROR(__xludf.DUMMYFUNCTION("IMPORTRANGE(N79,""Infoー情報!B14"")"),"#N/A")</f>
        <v>#N/A</v>
      </c>
      <c r="T79" s="357" t="str">
        <f t="shared" si="3"/>
        <v/>
      </c>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row>
    <row r="80">
      <c r="A80" s="45"/>
      <c r="B80" s="21"/>
      <c r="C80" s="21"/>
      <c r="D80" s="21"/>
      <c r="E80" s="21"/>
      <c r="F80" s="223"/>
      <c r="G80" s="21"/>
      <c r="H80" s="21"/>
      <c r="I80" s="21"/>
      <c r="J80" s="357"/>
      <c r="K80" s="370"/>
      <c r="L80" s="21"/>
      <c r="M80" s="21"/>
      <c r="N80" s="354"/>
      <c r="O80" s="21"/>
      <c r="P80" s="21" t="s">
        <v>2193</v>
      </c>
      <c r="Q80" s="366">
        <v>44263.0</v>
      </c>
      <c r="R80" s="366">
        <v>44496.0</v>
      </c>
      <c r="S80" s="356" t="str">
        <f>IFERROR(__xludf.DUMMYFUNCTION("IMPORTRANGE(N80,""Infoー情報!B14"")"),"#N/A")</f>
        <v>#N/A</v>
      </c>
      <c r="T80" s="357" t="str">
        <f t="shared" si="3"/>
        <v/>
      </c>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row>
    <row r="81">
      <c r="A81" s="45"/>
      <c r="B81" s="21"/>
      <c r="C81" s="21"/>
      <c r="D81" s="21"/>
      <c r="E81" s="21"/>
      <c r="F81" s="223"/>
      <c r="G81" s="21"/>
      <c r="H81" s="21"/>
      <c r="I81" s="21"/>
      <c r="J81" s="357"/>
      <c r="K81" s="370"/>
      <c r="L81" s="21"/>
      <c r="M81" s="21"/>
      <c r="N81" s="354"/>
      <c r="O81" s="21"/>
      <c r="P81" s="21" t="s">
        <v>2193</v>
      </c>
      <c r="Q81" s="366">
        <v>44306.0</v>
      </c>
      <c r="R81" s="366">
        <v>44688.0</v>
      </c>
      <c r="S81" s="355" t="str">
        <f>IFERROR(__xludf.DUMMYFUNCTION("IMPORTRANGE(N81,""Infoー情報!B14"")"),"#N/A")</f>
        <v>#N/A</v>
      </c>
      <c r="T81" s="357" t="str">
        <f t="shared" si="3"/>
        <v/>
      </c>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row>
    <row r="82">
      <c r="A82" s="45"/>
      <c r="B82" s="21"/>
      <c r="C82" s="21"/>
      <c r="D82" s="21"/>
      <c r="E82" s="21"/>
      <c r="F82" s="223"/>
      <c r="G82" s="21"/>
      <c r="H82" s="21"/>
      <c r="I82" s="21"/>
      <c r="J82" s="357"/>
      <c r="K82" s="370"/>
      <c r="L82" s="21"/>
      <c r="M82" s="21"/>
      <c r="N82" s="354"/>
      <c r="O82" s="21"/>
      <c r="P82" s="21" t="s">
        <v>2193</v>
      </c>
      <c r="Q82" s="366">
        <v>44245.0</v>
      </c>
      <c r="R82" s="356"/>
      <c r="S82" s="356" t="str">
        <f>IFERROR(__xludf.DUMMYFUNCTION("IMPORTRANGE(N82,""Infoー情報!B14"")"),"#N/A")</f>
        <v>#N/A</v>
      </c>
      <c r="T82" s="357" t="str">
        <f t="shared" si="3"/>
        <v/>
      </c>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c r="A83" s="45"/>
      <c r="B83" s="21"/>
      <c r="C83" s="21"/>
      <c r="D83" s="21"/>
      <c r="E83" s="21"/>
      <c r="F83" s="223"/>
      <c r="G83" s="21"/>
      <c r="H83" s="21"/>
      <c r="I83" s="21"/>
      <c r="J83" s="357"/>
      <c r="K83" s="370"/>
      <c r="L83" s="21"/>
      <c r="M83" s="21"/>
      <c r="N83" s="354"/>
      <c r="O83" s="21"/>
      <c r="P83" s="21" t="s">
        <v>2193</v>
      </c>
      <c r="Q83" s="366">
        <v>44274.0</v>
      </c>
      <c r="R83" s="356"/>
      <c r="S83" s="356" t="str">
        <f>IFERROR(__xludf.DUMMYFUNCTION("IMPORTRANGE(N83,""Infoー情報!B14"")"),"#N/A")</f>
        <v>#N/A</v>
      </c>
      <c r="T83" s="357" t="str">
        <f t="shared" si="3"/>
        <v/>
      </c>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c r="A84" s="45"/>
      <c r="B84" s="21"/>
      <c r="C84" s="21"/>
      <c r="D84" s="21"/>
      <c r="E84" s="223"/>
      <c r="F84" s="223"/>
      <c r="G84" s="21"/>
      <c r="H84" s="21"/>
      <c r="I84" s="21"/>
      <c r="J84" s="357"/>
      <c r="K84" s="370"/>
      <c r="L84" s="21"/>
      <c r="M84" s="21"/>
      <c r="N84" s="354"/>
      <c r="O84" s="21"/>
      <c r="P84" s="21" t="s">
        <v>2193</v>
      </c>
      <c r="Q84" s="366">
        <v>44303.0</v>
      </c>
      <c r="R84" s="366">
        <v>45169.0</v>
      </c>
      <c r="S84" s="356" t="str">
        <f>IFERROR(__xludf.DUMMYFUNCTION("IMPORTRANGE(N84,""Infoー情報!B14"")"),"#N/A")</f>
        <v>#N/A</v>
      </c>
      <c r="T84" s="357" t="str">
        <f t="shared" si="3"/>
        <v/>
      </c>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c r="A85" s="45"/>
      <c r="B85" s="21"/>
      <c r="C85" s="21"/>
      <c r="D85" s="21"/>
      <c r="E85" s="21"/>
      <c r="F85" s="223"/>
      <c r="G85" s="21"/>
      <c r="H85" s="21"/>
      <c r="I85" s="21"/>
      <c r="J85" s="357"/>
      <c r="K85" s="370"/>
      <c r="L85" s="21"/>
      <c r="M85" s="21"/>
      <c r="N85" s="354"/>
      <c r="O85" s="21"/>
      <c r="P85" s="21" t="s">
        <v>2189</v>
      </c>
      <c r="Q85" s="366">
        <v>44443.0</v>
      </c>
      <c r="R85" s="366">
        <v>44859.0</v>
      </c>
      <c r="S85" s="355" t="str">
        <f>IFERROR(__xludf.DUMMYFUNCTION("IMPORTRANGE(N85,""Infoー情報!B14"")"),"#N/A")</f>
        <v>#N/A</v>
      </c>
      <c r="T85" s="357" t="str">
        <f t="shared" si="3"/>
        <v/>
      </c>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c r="A86" s="45"/>
      <c r="B86" s="21"/>
      <c r="C86" s="21"/>
      <c r="D86" s="21"/>
      <c r="E86" s="21"/>
      <c r="F86" s="223"/>
      <c r="G86" s="21"/>
      <c r="H86" s="21"/>
      <c r="I86" s="21"/>
      <c r="J86" s="357"/>
      <c r="K86" s="370"/>
      <c r="L86" s="21"/>
      <c r="M86" s="21"/>
      <c r="N86" s="354"/>
      <c r="O86" s="21"/>
      <c r="P86" s="21" t="s">
        <v>2193</v>
      </c>
      <c r="Q86" s="366">
        <v>44294.0</v>
      </c>
      <c r="R86" s="366">
        <v>44531.0</v>
      </c>
      <c r="S86" s="355" t="str">
        <f>IFERROR(__xludf.DUMMYFUNCTION("IMPORTRANGE(N86,""Infoー情報!B14"")"),"#N/A")</f>
        <v>#N/A</v>
      </c>
      <c r="T86" s="357" t="str">
        <f t="shared" si="3"/>
        <v/>
      </c>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c r="A87" s="45"/>
      <c r="B87" s="21"/>
      <c r="C87" s="21"/>
      <c r="D87" s="21"/>
      <c r="E87" s="21"/>
      <c r="F87" s="223"/>
      <c r="G87" s="21"/>
      <c r="H87" s="21"/>
      <c r="I87" s="21"/>
      <c r="J87" s="357"/>
      <c r="K87" s="370"/>
      <c r="L87" s="21"/>
      <c r="M87" s="21"/>
      <c r="N87" s="354"/>
      <c r="O87" s="21"/>
      <c r="P87" s="21" t="s">
        <v>2193</v>
      </c>
      <c r="Q87" s="366">
        <v>44356.0</v>
      </c>
      <c r="R87" s="366">
        <v>44620.0</v>
      </c>
      <c r="S87" s="355" t="str">
        <f>IFERROR(__xludf.DUMMYFUNCTION("IMPORTRANGE(N87,""Infoー情報!B14"")"),"#N/A")</f>
        <v>#N/A</v>
      </c>
      <c r="T87" s="357" t="str">
        <f t="shared" si="3"/>
        <v/>
      </c>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c r="A88" s="45"/>
      <c r="B88" s="21"/>
      <c r="C88" s="21"/>
      <c r="D88" s="21"/>
      <c r="E88" s="21"/>
      <c r="F88" s="223"/>
      <c r="G88" s="21"/>
      <c r="H88" s="21"/>
      <c r="I88" s="21"/>
      <c r="J88" s="357"/>
      <c r="K88" s="370"/>
      <c r="L88" s="21"/>
      <c r="M88" s="21"/>
      <c r="N88" s="354"/>
      <c r="O88" s="21"/>
      <c r="P88" s="21" t="s">
        <v>2193</v>
      </c>
      <c r="Q88" s="366">
        <v>44367.0</v>
      </c>
      <c r="R88" s="366">
        <v>44500.0</v>
      </c>
      <c r="S88" s="355" t="str">
        <f>IFERROR(__xludf.DUMMYFUNCTION("IMPORTRANGE(N88,""Infoー情報!B14"")"),"#N/A")</f>
        <v>#N/A</v>
      </c>
      <c r="T88" s="357" t="str">
        <f t="shared" si="3"/>
        <v/>
      </c>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c r="A89" s="45"/>
      <c r="B89" s="21"/>
      <c r="C89" s="21"/>
      <c r="D89" s="21"/>
      <c r="E89" s="21"/>
      <c r="F89" s="21"/>
      <c r="G89" s="21"/>
      <c r="H89" s="21"/>
      <c r="I89" s="21"/>
      <c r="J89" s="357"/>
      <c r="K89" s="370"/>
      <c r="L89" s="21"/>
      <c r="M89" s="21"/>
      <c r="N89" s="21"/>
      <c r="O89" s="21"/>
      <c r="P89" s="21" t="s">
        <v>2193</v>
      </c>
      <c r="Q89" s="356"/>
      <c r="R89" s="356"/>
      <c r="S89" s="355" t="str">
        <f>IFERROR(__xludf.DUMMYFUNCTION("IMPORTRANGE(N89,""Infoー情報!B14"")"),"#N/A")</f>
        <v>#N/A</v>
      </c>
      <c r="T89" s="357" t="str">
        <f t="shared" si="3"/>
        <v/>
      </c>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c r="A90" s="45"/>
      <c r="B90" s="21"/>
      <c r="C90" s="21"/>
      <c r="D90" s="21"/>
      <c r="E90" s="21"/>
      <c r="F90" s="21"/>
      <c r="G90" s="21"/>
      <c r="H90" s="21"/>
      <c r="I90" s="21"/>
      <c r="J90" s="357"/>
      <c r="K90" s="370"/>
      <c r="L90" s="21"/>
      <c r="M90" s="21"/>
      <c r="N90" s="21"/>
      <c r="O90" s="21"/>
      <c r="P90" s="21" t="s">
        <v>2193</v>
      </c>
      <c r="Q90" s="366">
        <v>44365.0</v>
      </c>
      <c r="R90" s="366">
        <v>45169.0</v>
      </c>
      <c r="S90" s="355" t="str">
        <f>IFERROR(__xludf.DUMMYFUNCTION("IMPORTRANGE(N90,""Infoー情報!B14"")"),"#N/A")</f>
        <v>#N/A</v>
      </c>
      <c r="T90" s="357" t="str">
        <f t="shared" si="3"/>
        <v/>
      </c>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c r="A91" s="45"/>
      <c r="B91" s="21"/>
      <c r="C91" s="21"/>
      <c r="D91" s="21"/>
      <c r="E91" s="21"/>
      <c r="F91" s="223"/>
      <c r="G91" s="21"/>
      <c r="H91" s="21"/>
      <c r="I91" s="21"/>
      <c r="J91" s="357"/>
      <c r="K91" s="370"/>
      <c r="L91" s="21"/>
      <c r="M91" s="21"/>
      <c r="N91" s="354"/>
      <c r="O91" s="21"/>
      <c r="P91" s="21" t="s">
        <v>2193</v>
      </c>
      <c r="Q91" s="356"/>
      <c r="R91" s="356"/>
      <c r="S91" s="356" t="str">
        <f>IFERROR(__xludf.DUMMYFUNCTION("IMPORTRANGE(N91,""Infoー情報!B14"")"),"#N/A")</f>
        <v>#N/A</v>
      </c>
      <c r="T91" s="357" t="str">
        <f t="shared" si="3"/>
        <v/>
      </c>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c r="A92" s="45"/>
      <c r="B92" s="21"/>
      <c r="C92" s="21"/>
      <c r="D92" s="21"/>
      <c r="E92" s="21"/>
      <c r="F92" s="223"/>
      <c r="G92" s="21"/>
      <c r="H92" s="21"/>
      <c r="I92" s="21"/>
      <c r="J92" s="357"/>
      <c r="K92" s="370"/>
      <c r="L92" s="21"/>
      <c r="M92" s="21"/>
      <c r="N92" s="354"/>
      <c r="O92" s="21"/>
      <c r="P92" s="21" t="s">
        <v>2193</v>
      </c>
      <c r="Q92" s="366">
        <v>44398.0</v>
      </c>
      <c r="R92" s="366">
        <v>44723.0</v>
      </c>
      <c r="S92" s="355" t="str">
        <f>IFERROR(__xludf.DUMMYFUNCTION("IMPORTRANGE(N92,""Infoー情報!B14"")"),"#N/A")</f>
        <v>#N/A</v>
      </c>
      <c r="T92" s="357" t="str">
        <f t="shared" si="3"/>
        <v/>
      </c>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c r="A93" s="45"/>
      <c r="B93" s="21"/>
      <c r="C93" s="21"/>
      <c r="D93" s="21"/>
      <c r="E93" s="21"/>
      <c r="F93" s="223"/>
      <c r="G93" s="21"/>
      <c r="H93" s="21"/>
      <c r="I93" s="21"/>
      <c r="J93" s="357"/>
      <c r="K93" s="370"/>
      <c r="L93" s="21"/>
      <c r="M93" s="21"/>
      <c r="N93" s="354"/>
      <c r="O93" s="21"/>
      <c r="P93" s="21" t="s">
        <v>2193</v>
      </c>
      <c r="Q93" s="366">
        <v>44409.0</v>
      </c>
      <c r="R93" s="366">
        <v>44516.0</v>
      </c>
      <c r="S93" s="355" t="str">
        <f>IFERROR(__xludf.DUMMYFUNCTION("IMPORTRANGE(N93,""Infoー情報!B14"")"),"#N/A")</f>
        <v>#N/A</v>
      </c>
      <c r="T93" s="357" t="str">
        <f t="shared" si="3"/>
        <v/>
      </c>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c r="A94" s="45"/>
      <c r="B94" s="21"/>
      <c r="C94" s="21"/>
      <c r="D94" s="21"/>
      <c r="E94" s="21"/>
      <c r="F94" s="223"/>
      <c r="G94" s="21"/>
      <c r="H94" s="21"/>
      <c r="I94" s="21"/>
      <c r="J94" s="357"/>
      <c r="K94" s="370"/>
      <c r="L94" s="21"/>
      <c r="M94" s="21"/>
      <c r="N94" s="354"/>
      <c r="O94" s="21"/>
      <c r="P94" s="21" t="s">
        <v>2193</v>
      </c>
      <c r="Q94" s="366">
        <v>44453.0</v>
      </c>
      <c r="R94" s="356"/>
      <c r="S94" s="355" t="str">
        <f>IFERROR(__xludf.DUMMYFUNCTION("IMPORTRANGE(N94,""Infoー情報!B14"")"),"#N/A")</f>
        <v>#N/A</v>
      </c>
      <c r="T94" s="357">
        <v>110000.0</v>
      </c>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c r="A95" s="45"/>
      <c r="B95" s="21"/>
      <c r="C95" s="21"/>
      <c r="D95" s="21"/>
      <c r="E95" s="21"/>
      <c r="F95" s="223"/>
      <c r="G95" s="21"/>
      <c r="H95" s="21"/>
      <c r="I95" s="21"/>
      <c r="J95" s="357"/>
      <c r="K95" s="370"/>
      <c r="L95" s="21"/>
      <c r="M95" s="21"/>
      <c r="N95" s="354"/>
      <c r="O95" s="21"/>
      <c r="P95" s="21" t="s">
        <v>2193</v>
      </c>
      <c r="Q95" s="366">
        <v>44447.0</v>
      </c>
      <c r="R95" s="366">
        <v>44561.0</v>
      </c>
      <c r="S95" s="355" t="str">
        <f>IFERROR(__xludf.DUMMYFUNCTION("IMPORTRANGE(N95,""Infoー情報!B14"")"),"#N/A")</f>
        <v>#N/A</v>
      </c>
      <c r="T95" s="357" t="str">
        <f t="shared" ref="T95:T107" si="4">J95</f>
        <v/>
      </c>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c r="A96" s="45"/>
      <c r="B96" s="21"/>
      <c r="C96" s="21"/>
      <c r="D96" s="21"/>
      <c r="E96" s="21"/>
      <c r="F96" s="223"/>
      <c r="G96" s="21"/>
      <c r="H96" s="21"/>
      <c r="I96" s="21"/>
      <c r="J96" s="357"/>
      <c r="K96" s="370"/>
      <c r="L96" s="21"/>
      <c r="M96" s="21"/>
      <c r="N96" s="354"/>
      <c r="O96" s="21"/>
      <c r="P96" s="21" t="s">
        <v>2193</v>
      </c>
      <c r="Q96" s="366">
        <v>44476.0</v>
      </c>
      <c r="R96" s="356"/>
      <c r="S96" s="355" t="str">
        <f>IFERROR(__xludf.DUMMYFUNCTION("IMPORTRANGE(N96,""Infoー情報!B14"")"),"#N/A")</f>
        <v>#N/A</v>
      </c>
      <c r="T96" s="357" t="str">
        <f t="shared" si="4"/>
        <v/>
      </c>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c r="A97" s="45"/>
      <c r="B97" s="21"/>
      <c r="C97" s="21"/>
      <c r="D97" s="21"/>
      <c r="E97" s="21"/>
      <c r="F97" s="223"/>
      <c r="G97" s="21"/>
      <c r="H97" s="21"/>
      <c r="I97" s="21"/>
      <c r="J97" s="357"/>
      <c r="K97" s="370"/>
      <c r="L97" s="21"/>
      <c r="M97" s="21"/>
      <c r="N97" s="354"/>
      <c r="O97" s="21"/>
      <c r="P97" s="21" t="s">
        <v>2193</v>
      </c>
      <c r="Q97" s="366">
        <v>44476.0</v>
      </c>
      <c r="R97" s="366">
        <v>44547.0</v>
      </c>
      <c r="S97" s="355" t="str">
        <f>IFERROR(__xludf.DUMMYFUNCTION("IMPORTRANGE(N97,""Infoー情報!B14"")"),"#N/A")</f>
        <v>#N/A</v>
      </c>
      <c r="T97" s="357" t="str">
        <f t="shared" si="4"/>
        <v/>
      </c>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c r="A98" s="45"/>
      <c r="B98" s="21"/>
      <c r="C98" s="21"/>
      <c r="D98" s="21"/>
      <c r="E98" s="21"/>
      <c r="F98" s="223"/>
      <c r="G98" s="21"/>
      <c r="H98" s="21"/>
      <c r="I98" s="21"/>
      <c r="J98" s="357"/>
      <c r="K98" s="370"/>
      <c r="L98" s="21"/>
      <c r="M98" s="21"/>
      <c r="N98" s="354"/>
      <c r="O98" s="21"/>
      <c r="P98" s="21" t="s">
        <v>2193</v>
      </c>
      <c r="Q98" s="366">
        <v>44476.0</v>
      </c>
      <c r="R98" s="356"/>
      <c r="S98" s="355" t="str">
        <f>IFERROR(__xludf.DUMMYFUNCTION("IMPORTRANGE(N98,""Infoー情報!B14"")"),"#N/A")</f>
        <v>#N/A</v>
      </c>
      <c r="T98" s="357" t="str">
        <f t="shared" si="4"/>
        <v/>
      </c>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row>
    <row r="99">
      <c r="A99" s="45"/>
      <c r="B99" s="21"/>
      <c r="C99" s="21"/>
      <c r="D99" s="21"/>
      <c r="E99" s="21"/>
      <c r="F99" s="223"/>
      <c r="G99" s="21"/>
      <c r="H99" s="21"/>
      <c r="I99" s="21"/>
      <c r="J99" s="357"/>
      <c r="K99" s="370"/>
      <c r="L99" s="21"/>
      <c r="M99" s="21"/>
      <c r="N99" s="354"/>
      <c r="O99" s="21"/>
      <c r="P99" s="21" t="s">
        <v>2193</v>
      </c>
      <c r="Q99" s="366">
        <v>44476.0</v>
      </c>
      <c r="R99" s="366">
        <v>44774.0</v>
      </c>
      <c r="S99" s="355" t="str">
        <f>IFERROR(__xludf.DUMMYFUNCTION("IMPORTRANGE(N99,""Infoー情報!B14"")"),"#N/A")</f>
        <v>#N/A</v>
      </c>
      <c r="T99" s="357" t="str">
        <f t="shared" si="4"/>
        <v/>
      </c>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row>
    <row r="100">
      <c r="A100" s="45"/>
      <c r="B100" s="21"/>
      <c r="C100" s="21"/>
      <c r="D100" s="21"/>
      <c r="E100" s="21"/>
      <c r="F100" s="223"/>
      <c r="G100" s="21"/>
      <c r="H100" s="21"/>
      <c r="I100" s="21"/>
      <c r="J100" s="357"/>
      <c r="K100" s="370"/>
      <c r="L100" s="21"/>
      <c r="M100" s="21"/>
      <c r="N100" s="354"/>
      <c r="O100" s="21"/>
      <c r="P100" s="21" t="s">
        <v>2193</v>
      </c>
      <c r="Q100" s="366">
        <v>44501.0</v>
      </c>
      <c r="R100" s="366">
        <v>44827.0</v>
      </c>
      <c r="S100" s="355" t="str">
        <f>IFERROR(__xludf.DUMMYFUNCTION("IMPORTRANGE(N100,""Infoー情報!B14"")"),"#N/A")</f>
        <v>#N/A</v>
      </c>
      <c r="T100" s="357" t="str">
        <f t="shared" si="4"/>
        <v/>
      </c>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row>
    <row r="101">
      <c r="A101" s="45"/>
      <c r="B101" s="21"/>
      <c r="C101" s="21"/>
      <c r="D101" s="21"/>
      <c r="E101" s="21"/>
      <c r="F101" s="223"/>
      <c r="G101" s="21"/>
      <c r="H101" s="21"/>
      <c r="I101" s="21"/>
      <c r="J101" s="357"/>
      <c r="K101" s="370"/>
      <c r="L101" s="21"/>
      <c r="M101" s="21"/>
      <c r="N101" s="354"/>
      <c r="O101" s="21"/>
      <c r="P101" s="21" t="s">
        <v>2193</v>
      </c>
      <c r="Q101" s="366">
        <v>44510.0</v>
      </c>
      <c r="R101" s="366">
        <v>44859.0</v>
      </c>
      <c r="S101" s="355" t="str">
        <f>IFERROR(__xludf.DUMMYFUNCTION("IMPORTRANGE(N101,""Infoー情報!B14"")"),"#N/A")</f>
        <v>#N/A</v>
      </c>
      <c r="T101" s="357" t="str">
        <f t="shared" si="4"/>
        <v/>
      </c>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row>
    <row r="102">
      <c r="A102" s="45"/>
      <c r="B102" s="21"/>
      <c r="C102" s="21"/>
      <c r="D102" s="21"/>
      <c r="E102" s="21"/>
      <c r="F102" s="223"/>
      <c r="G102" s="21"/>
      <c r="H102" s="21"/>
      <c r="I102" s="21"/>
      <c r="J102" s="357"/>
      <c r="K102" s="370"/>
      <c r="L102" s="21"/>
      <c r="M102" s="21"/>
      <c r="N102" s="354"/>
      <c r="O102" s="21"/>
      <c r="P102" s="21" t="s">
        <v>2193</v>
      </c>
      <c r="Q102" s="366">
        <v>44534.0</v>
      </c>
      <c r="R102" s="366">
        <v>44723.0</v>
      </c>
      <c r="S102" s="355" t="str">
        <f>IFERROR(__xludf.DUMMYFUNCTION("IMPORTRANGE(N102,""Infoー情報!B14"")"),"#N/A")</f>
        <v>#N/A</v>
      </c>
      <c r="T102" s="357" t="str">
        <f t="shared" si="4"/>
        <v/>
      </c>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row>
    <row r="103">
      <c r="A103" s="45"/>
      <c r="B103" s="21"/>
      <c r="C103" s="21"/>
      <c r="D103" s="21"/>
      <c r="E103" s="21"/>
      <c r="F103" s="223"/>
      <c r="G103" s="21"/>
      <c r="H103" s="21"/>
      <c r="I103" s="21"/>
      <c r="J103" s="357"/>
      <c r="K103" s="370"/>
      <c r="L103" s="21"/>
      <c r="M103" s="21"/>
      <c r="N103" s="354"/>
      <c r="O103" s="21"/>
      <c r="P103" s="21" t="s">
        <v>2193</v>
      </c>
      <c r="Q103" s="366">
        <v>44543.0</v>
      </c>
      <c r="R103" s="366">
        <v>44648.0</v>
      </c>
      <c r="S103" s="356" t="str">
        <f>IFERROR(__xludf.DUMMYFUNCTION("IMPORTRANGE(N103,""Infoー情報!B14"")"),"#N/A")</f>
        <v>#N/A</v>
      </c>
      <c r="T103" s="357" t="str">
        <f t="shared" si="4"/>
        <v/>
      </c>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row>
    <row r="104">
      <c r="A104" s="45"/>
      <c r="B104" s="21"/>
      <c r="C104" s="21"/>
      <c r="D104" s="21"/>
      <c r="E104" s="21"/>
      <c r="F104" s="223"/>
      <c r="G104" s="21"/>
      <c r="H104" s="21"/>
      <c r="I104" s="21"/>
      <c r="J104" s="357"/>
      <c r="K104" s="370"/>
      <c r="L104" s="21"/>
      <c r="M104" s="21"/>
      <c r="N104" s="354"/>
      <c r="O104" s="21"/>
      <c r="P104" s="21" t="s">
        <v>2193</v>
      </c>
      <c r="Q104" s="366">
        <v>44552.0</v>
      </c>
      <c r="R104" s="366">
        <v>44564.0</v>
      </c>
      <c r="S104" s="355" t="str">
        <f>IFERROR(__xludf.DUMMYFUNCTION("IMPORTRANGE(N104,""Infoー情報!B14"")"),"#N/A")</f>
        <v>#N/A</v>
      </c>
      <c r="T104" s="357" t="str">
        <f t="shared" si="4"/>
        <v/>
      </c>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row>
    <row r="105">
      <c r="A105" s="45"/>
      <c r="B105" s="21"/>
      <c r="C105" s="21"/>
      <c r="D105" s="21"/>
      <c r="E105" s="21"/>
      <c r="F105" s="223"/>
      <c r="G105" s="21"/>
      <c r="H105" s="21"/>
      <c r="I105" s="21"/>
      <c r="J105" s="357"/>
      <c r="K105" s="370"/>
      <c r="L105" s="21"/>
      <c r="M105" s="21"/>
      <c r="N105" s="354"/>
      <c r="O105" s="21"/>
      <c r="P105" s="21" t="s">
        <v>2193</v>
      </c>
      <c r="Q105" s="366">
        <v>44560.0</v>
      </c>
      <c r="R105" s="366">
        <v>44863.0</v>
      </c>
      <c r="S105" s="355" t="str">
        <f>IFERROR(__xludf.DUMMYFUNCTION("IMPORTRANGE(N105,""Infoー情報!B14"")"),"#N/A")</f>
        <v>#N/A</v>
      </c>
      <c r="T105" s="357" t="str">
        <f t="shared" si="4"/>
        <v/>
      </c>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row>
    <row r="106">
      <c r="A106" s="45"/>
      <c r="B106" s="21"/>
      <c r="C106" s="21"/>
      <c r="D106" s="21"/>
      <c r="E106" s="21"/>
      <c r="F106" s="223"/>
      <c r="G106" s="21"/>
      <c r="H106" s="21"/>
      <c r="I106" s="21"/>
      <c r="J106" s="357"/>
      <c r="K106" s="370"/>
      <c r="L106" s="21"/>
      <c r="M106" s="21"/>
      <c r="N106" s="354"/>
      <c r="O106" s="21"/>
      <c r="P106" s="21" t="s">
        <v>2189</v>
      </c>
      <c r="Q106" s="366">
        <v>44582.0</v>
      </c>
      <c r="R106" s="366">
        <v>44558.0</v>
      </c>
      <c r="S106" s="355" t="str">
        <f>IFERROR(__xludf.DUMMYFUNCTION("IMPORTRANGE(N106,""Infoー情報!B14"")"),"#N/A")</f>
        <v>#N/A</v>
      </c>
      <c r="T106" s="357" t="str">
        <f t="shared" si="4"/>
        <v/>
      </c>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row>
    <row r="107">
      <c r="A107" s="45"/>
      <c r="B107" s="21"/>
      <c r="C107" s="21"/>
      <c r="D107" s="21"/>
      <c r="E107" s="21"/>
      <c r="F107" s="223"/>
      <c r="G107" s="21"/>
      <c r="H107" s="21"/>
      <c r="I107" s="21"/>
      <c r="J107" s="357"/>
      <c r="K107" s="370"/>
      <c r="L107" s="21"/>
      <c r="M107" s="21"/>
      <c r="N107" s="354"/>
      <c r="O107" s="21"/>
      <c r="P107" s="21" t="s">
        <v>2193</v>
      </c>
      <c r="Q107" s="366">
        <v>44599.0</v>
      </c>
      <c r="R107" s="356"/>
      <c r="S107" s="355" t="str">
        <f>IFERROR(__xludf.DUMMYFUNCTION("IMPORTRANGE(N107,""Infoー情報!B14"")"),"#N/A")</f>
        <v>#N/A</v>
      </c>
      <c r="T107" s="357" t="str">
        <f t="shared" si="4"/>
        <v/>
      </c>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row>
    <row r="108">
      <c r="A108" s="45"/>
      <c r="B108" s="21"/>
      <c r="C108" s="21"/>
      <c r="D108" s="21"/>
      <c r="E108" s="21"/>
      <c r="F108" s="223"/>
      <c r="G108" s="21"/>
      <c r="H108" s="21"/>
      <c r="I108" s="21"/>
      <c r="J108" s="357"/>
      <c r="K108" s="370"/>
      <c r="L108" s="21"/>
      <c r="M108" s="21"/>
      <c r="N108" s="354"/>
      <c r="O108" s="21"/>
      <c r="P108" s="21" t="s">
        <v>2193</v>
      </c>
      <c r="Q108" s="366">
        <v>44608.0</v>
      </c>
      <c r="R108" s="356"/>
      <c r="S108" s="356" t="str">
        <f>IFERROR(__xludf.DUMMYFUNCTION("IMPORTRANGE(N108,""Infoー情報!B14"")"),"#N/A")</f>
        <v>#N/A</v>
      </c>
      <c r="T108" s="357">
        <v>110000.0</v>
      </c>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row>
    <row r="109">
      <c r="A109" s="45"/>
      <c r="B109" s="21"/>
      <c r="C109" s="21"/>
      <c r="D109" s="21"/>
      <c r="E109" s="21"/>
      <c r="F109" s="223"/>
      <c r="G109" s="21"/>
      <c r="H109" s="21"/>
      <c r="I109" s="21"/>
      <c r="J109" s="357"/>
      <c r="K109" s="370"/>
      <c r="L109" s="21"/>
      <c r="M109" s="21"/>
      <c r="N109" s="354"/>
      <c r="O109" s="21"/>
      <c r="P109" s="21" t="s">
        <v>2193</v>
      </c>
      <c r="Q109" s="366">
        <v>44625.0</v>
      </c>
      <c r="R109" s="356"/>
      <c r="S109" s="355" t="str">
        <f>IFERROR(__xludf.DUMMYFUNCTION("IMPORTRANGE(N109,""Infoー情報!B14"")"),"#N/A")</f>
        <v>#N/A</v>
      </c>
      <c r="T109" s="357" t="str">
        <f t="shared" ref="T109:T230" si="5">J109</f>
        <v/>
      </c>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row>
    <row r="110">
      <c r="A110" s="45"/>
      <c r="B110" s="21"/>
      <c r="C110" s="21"/>
      <c r="D110" s="21"/>
      <c r="E110" s="21"/>
      <c r="F110" s="223"/>
      <c r="G110" s="21"/>
      <c r="H110" s="21"/>
      <c r="I110" s="21"/>
      <c r="J110" s="357"/>
      <c r="K110" s="370"/>
      <c r="L110" s="21"/>
      <c r="M110" s="21"/>
      <c r="N110" s="354"/>
      <c r="O110" s="21"/>
      <c r="P110" s="21" t="s">
        <v>2193</v>
      </c>
      <c r="Q110" s="366">
        <v>44623.0</v>
      </c>
      <c r="R110" s="366">
        <v>44830.0</v>
      </c>
      <c r="S110" s="355" t="str">
        <f>IFERROR(__xludf.DUMMYFUNCTION("IMPORTRANGE(N110,""Infoー情報!B14"")"),"#N/A")</f>
        <v>#N/A</v>
      </c>
      <c r="T110" s="357" t="str">
        <f t="shared" si="5"/>
        <v/>
      </c>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row>
    <row r="111">
      <c r="A111" s="45"/>
      <c r="B111" s="21"/>
      <c r="C111" s="21"/>
      <c r="D111" s="21"/>
      <c r="E111" s="21"/>
      <c r="F111" s="223"/>
      <c r="G111" s="21"/>
      <c r="H111" s="21"/>
      <c r="I111" s="21"/>
      <c r="J111" s="357"/>
      <c r="K111" s="370"/>
      <c r="L111" s="21"/>
      <c r="M111" s="21"/>
      <c r="N111" s="354"/>
      <c r="O111" s="21"/>
      <c r="P111" s="21" t="s">
        <v>2193</v>
      </c>
      <c r="Q111" s="366">
        <v>44621.0</v>
      </c>
      <c r="R111" s="366">
        <v>44856.0</v>
      </c>
      <c r="S111" s="355" t="str">
        <f>IFERROR(__xludf.DUMMYFUNCTION("IMPORTRANGE(N111,""Infoー情報!B14"")"),"#N/A")</f>
        <v>#N/A</v>
      </c>
      <c r="T111" s="357" t="str">
        <f t="shared" si="5"/>
        <v/>
      </c>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row>
    <row r="112">
      <c r="A112" s="45"/>
      <c r="B112" s="21"/>
      <c r="C112" s="21"/>
      <c r="D112" s="21"/>
      <c r="E112" s="21"/>
      <c r="F112" s="223"/>
      <c r="G112" s="21"/>
      <c r="H112" s="21"/>
      <c r="I112" s="21"/>
      <c r="J112" s="357"/>
      <c r="K112" s="370"/>
      <c r="L112" s="21"/>
      <c r="M112" s="21"/>
      <c r="N112" s="354"/>
      <c r="O112" s="21"/>
      <c r="P112" s="53" t="s">
        <v>2193</v>
      </c>
      <c r="Q112" s="383">
        <v>44662.0</v>
      </c>
      <c r="R112" s="383">
        <v>44659.0</v>
      </c>
      <c r="S112" s="355" t="str">
        <f>IFERROR(__xludf.DUMMYFUNCTION("IMPORTRANGE(N112,""Infoー情報!B14"")"),"#N/A")</f>
        <v>#N/A</v>
      </c>
      <c r="T112" s="357" t="str">
        <f t="shared" si="5"/>
        <v/>
      </c>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row>
    <row r="113">
      <c r="A113" s="45"/>
      <c r="B113" s="21"/>
      <c r="C113" s="21"/>
      <c r="D113" s="21"/>
      <c r="E113" s="21"/>
      <c r="F113" s="223"/>
      <c r="G113" s="21"/>
      <c r="H113" s="21"/>
      <c r="I113" s="21"/>
      <c r="J113" s="357"/>
      <c r="K113" s="370"/>
      <c r="L113" s="21"/>
      <c r="M113" s="21"/>
      <c r="N113" s="354"/>
      <c r="O113" s="21"/>
      <c r="P113" s="53" t="s">
        <v>2193</v>
      </c>
      <c r="Q113" s="383">
        <v>44662.0</v>
      </c>
      <c r="R113" s="383">
        <v>44774.0</v>
      </c>
      <c r="S113" s="355" t="str">
        <f>IFERROR(__xludf.DUMMYFUNCTION("IMPORTRANGE(N113,""Infoー情報!B14"")"),"#N/A")</f>
        <v>#N/A</v>
      </c>
      <c r="T113" s="357" t="str">
        <f t="shared" si="5"/>
        <v/>
      </c>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row>
    <row r="114">
      <c r="A114" s="45"/>
      <c r="B114" s="21"/>
      <c r="C114" s="21"/>
      <c r="D114" s="21"/>
      <c r="E114" s="21"/>
      <c r="F114" s="223"/>
      <c r="G114" s="21"/>
      <c r="H114" s="21"/>
      <c r="I114" s="21"/>
      <c r="J114" s="357"/>
      <c r="K114" s="370"/>
      <c r="L114" s="21"/>
      <c r="M114" s="21"/>
      <c r="N114" s="354"/>
      <c r="O114" s="21"/>
      <c r="P114" s="53" t="s">
        <v>2193</v>
      </c>
      <c r="Q114" s="383">
        <v>44669.0</v>
      </c>
      <c r="R114" s="383">
        <v>44743.0</v>
      </c>
      <c r="S114" s="355" t="str">
        <f>IFERROR(__xludf.DUMMYFUNCTION("IMPORTRANGE(N114,""Infoー情報!B14"")"),"#N/A")</f>
        <v>#N/A</v>
      </c>
      <c r="T114" s="357" t="str">
        <f t="shared" si="5"/>
        <v/>
      </c>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row>
    <row r="115">
      <c r="A115" s="45"/>
      <c r="B115" s="21"/>
      <c r="C115" s="21"/>
      <c r="D115" s="21"/>
      <c r="E115" s="21"/>
      <c r="F115" s="223"/>
      <c r="G115" s="21"/>
      <c r="H115" s="21"/>
      <c r="I115" s="21"/>
      <c r="J115" s="357"/>
      <c r="K115" s="370"/>
      <c r="L115" s="21"/>
      <c r="M115" s="21"/>
      <c r="N115" s="354"/>
      <c r="O115" s="21"/>
      <c r="P115" s="53" t="s">
        <v>2193</v>
      </c>
      <c r="Q115" s="383">
        <v>44700.0</v>
      </c>
      <c r="R115" s="383">
        <v>44742.0</v>
      </c>
      <c r="S115" s="355" t="str">
        <f>IFERROR(__xludf.DUMMYFUNCTION("IMPORTRANGE(N115,""Infoー情報!B14"")"),"#N/A")</f>
        <v>#N/A</v>
      </c>
      <c r="T115" s="357" t="str">
        <f t="shared" si="5"/>
        <v/>
      </c>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row>
    <row r="116">
      <c r="A116" s="45"/>
      <c r="B116" s="21"/>
      <c r="C116" s="21"/>
      <c r="D116" s="21"/>
      <c r="E116" s="21"/>
      <c r="F116" s="223"/>
      <c r="G116" s="21"/>
      <c r="H116" s="21"/>
      <c r="I116" s="21"/>
      <c r="J116" s="357"/>
      <c r="K116" s="370"/>
      <c r="L116" s="21"/>
      <c r="M116" s="21"/>
      <c r="N116" s="354"/>
      <c r="O116" s="21"/>
      <c r="P116" s="53" t="s">
        <v>2193</v>
      </c>
      <c r="Q116" s="383">
        <v>44713.0</v>
      </c>
      <c r="R116" s="383">
        <v>44827.0</v>
      </c>
      <c r="S116" s="355" t="str">
        <f>IFERROR(__xludf.DUMMYFUNCTION("IMPORTRANGE(N116,""Infoー情報!B14"")"),"#N/A")</f>
        <v>#N/A</v>
      </c>
      <c r="T116" s="357" t="str">
        <f t="shared" si="5"/>
        <v/>
      </c>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row>
    <row r="117">
      <c r="A117" s="45"/>
      <c r="B117" s="21"/>
      <c r="C117" s="21"/>
      <c r="D117" s="21"/>
      <c r="E117" s="21"/>
      <c r="F117" s="223"/>
      <c r="G117" s="21"/>
      <c r="H117" s="21"/>
      <c r="I117" s="21"/>
      <c r="J117" s="357"/>
      <c r="K117" s="370"/>
      <c r="L117" s="21"/>
      <c r="M117" s="21"/>
      <c r="N117" s="354"/>
      <c r="O117" s="21"/>
      <c r="P117" s="53" t="s">
        <v>2193</v>
      </c>
      <c r="Q117" s="383">
        <v>44714.0</v>
      </c>
      <c r="R117" s="383">
        <v>44958.0</v>
      </c>
      <c r="S117" s="355" t="str">
        <f>IFERROR(__xludf.DUMMYFUNCTION("IMPORTRANGE(N117,""Infoー情報!B14"")"),"#N/A")</f>
        <v>#N/A</v>
      </c>
      <c r="T117" s="357" t="str">
        <f t="shared" si="5"/>
        <v/>
      </c>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row>
    <row r="118">
      <c r="A118" s="45"/>
      <c r="B118" s="21"/>
      <c r="C118" s="21"/>
      <c r="D118" s="21"/>
      <c r="E118" s="21"/>
      <c r="F118" s="223"/>
      <c r="G118" s="21"/>
      <c r="H118" s="21"/>
      <c r="I118" s="21"/>
      <c r="J118" s="357"/>
      <c r="K118" s="370"/>
      <c r="L118" s="223"/>
      <c r="M118" s="21"/>
      <c r="N118" s="354"/>
      <c r="O118" s="21"/>
      <c r="P118" s="53" t="s">
        <v>2189</v>
      </c>
      <c r="Q118" s="383">
        <v>44719.0</v>
      </c>
      <c r="R118" s="383">
        <v>44958.0</v>
      </c>
      <c r="S118" s="355" t="str">
        <f>IFERROR(__xludf.DUMMYFUNCTION("IMPORTRANGE(N118,""Infoー情報!B14"")"),"#N/A")</f>
        <v>#N/A</v>
      </c>
      <c r="T118" s="357" t="str">
        <f t="shared" si="5"/>
        <v/>
      </c>
      <c r="U118" s="21"/>
      <c r="V118" s="21"/>
      <c r="W118" s="21"/>
      <c r="X118" s="21"/>
      <c r="Y118" s="21"/>
      <c r="Z118" s="21"/>
      <c r="AA118" s="21"/>
      <c r="AB118" s="21" t="s">
        <v>776</v>
      </c>
      <c r="AC118" s="21"/>
      <c r="AD118" s="21"/>
      <c r="AE118" s="21"/>
      <c r="AF118" s="21"/>
      <c r="AG118" s="21"/>
      <c r="AH118" s="21"/>
      <c r="AI118" s="21"/>
      <c r="AJ118" s="21"/>
      <c r="AK118" s="21"/>
      <c r="AL118" s="21"/>
      <c r="AM118" s="21"/>
      <c r="AN118" s="21"/>
      <c r="AO118" s="21"/>
      <c r="AP118" s="21"/>
      <c r="AQ118" s="21"/>
      <c r="AR118" s="21"/>
      <c r="AS118" s="21"/>
      <c r="AT118" s="21"/>
      <c r="AU118" s="21"/>
    </row>
    <row r="119">
      <c r="A119" s="45"/>
      <c r="B119" s="21"/>
      <c r="C119" s="21"/>
      <c r="D119" s="21"/>
      <c r="E119" s="21"/>
      <c r="F119" s="223"/>
      <c r="G119" s="21"/>
      <c r="H119" s="21"/>
      <c r="I119" s="21"/>
      <c r="J119" s="357"/>
      <c r="K119" s="370"/>
      <c r="L119" s="21"/>
      <c r="M119" s="21"/>
      <c r="N119" s="354"/>
      <c r="O119" s="21"/>
      <c r="P119" s="53" t="s">
        <v>2193</v>
      </c>
      <c r="Q119" s="383">
        <v>44741.0</v>
      </c>
      <c r="R119" s="383">
        <v>45169.0</v>
      </c>
      <c r="S119" s="355" t="str">
        <f>IFERROR(__xludf.DUMMYFUNCTION("IMPORTRANGE(N119,""Infoー情報!B14"")"),"#N/A")</f>
        <v>#N/A</v>
      </c>
      <c r="T119" s="357" t="str">
        <f t="shared" si="5"/>
        <v/>
      </c>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row>
    <row r="120">
      <c r="A120" s="45"/>
      <c r="B120" s="21"/>
      <c r="C120" s="21"/>
      <c r="D120" s="21"/>
      <c r="E120" s="21"/>
      <c r="F120" s="223"/>
      <c r="G120" s="21"/>
      <c r="H120" s="21"/>
      <c r="I120" s="21"/>
      <c r="J120" s="357"/>
      <c r="K120" s="370"/>
      <c r="L120" s="21"/>
      <c r="M120" s="21"/>
      <c r="N120" s="354"/>
      <c r="O120" s="21"/>
      <c r="P120" s="53" t="s">
        <v>2193</v>
      </c>
      <c r="Q120" s="383">
        <v>44757.0</v>
      </c>
      <c r="R120" s="383">
        <v>45162.0</v>
      </c>
      <c r="S120" s="355" t="str">
        <f>IFERROR(__xludf.DUMMYFUNCTION("IMPORTRANGE(N120,""Infoー情報!B14"")"),"#N/A")</f>
        <v>#N/A</v>
      </c>
      <c r="T120" s="357" t="str">
        <f t="shared" si="5"/>
        <v/>
      </c>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row>
    <row r="121">
      <c r="A121" s="45"/>
      <c r="B121" s="21"/>
      <c r="C121" s="21"/>
      <c r="D121" s="21"/>
      <c r="E121" s="21"/>
      <c r="F121" s="223"/>
      <c r="G121" s="21"/>
      <c r="H121" s="21"/>
      <c r="I121" s="21"/>
      <c r="J121" s="357"/>
      <c r="K121" s="370"/>
      <c r="L121" s="21"/>
      <c r="M121" s="21"/>
      <c r="N121" s="354"/>
      <c r="O121" s="21"/>
      <c r="P121" s="53" t="s">
        <v>2193</v>
      </c>
      <c r="Q121" s="383">
        <v>44774.0</v>
      </c>
      <c r="R121" s="383">
        <v>44870.0</v>
      </c>
      <c r="S121" s="355" t="str">
        <f>IFERROR(__xludf.DUMMYFUNCTION("IMPORTRANGE(N121,""Infoー情報!B14"")"),"#N/A")</f>
        <v>#N/A</v>
      </c>
      <c r="T121" s="357" t="str">
        <f t="shared" si="5"/>
        <v/>
      </c>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row>
    <row r="122">
      <c r="A122" s="45"/>
      <c r="B122" s="21"/>
      <c r="C122" s="21"/>
      <c r="D122" s="21"/>
      <c r="E122" s="21"/>
      <c r="F122" s="223"/>
      <c r="G122" s="21"/>
      <c r="H122" s="21"/>
      <c r="I122" s="21"/>
      <c r="J122" s="357"/>
      <c r="K122" s="370"/>
      <c r="L122" s="21"/>
      <c r="M122" s="21"/>
      <c r="N122" s="354"/>
      <c r="O122" s="21"/>
      <c r="P122" s="21" t="s">
        <v>2193</v>
      </c>
      <c r="Q122" s="383">
        <v>44795.0</v>
      </c>
      <c r="R122" s="356"/>
      <c r="S122" s="355" t="str">
        <f>IFERROR(__xludf.DUMMYFUNCTION("IMPORTRANGE(N122,""Infoー情報!B14"")"),"#N/A")</f>
        <v>#N/A</v>
      </c>
      <c r="T122" s="357" t="str">
        <f t="shared" si="5"/>
        <v/>
      </c>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row>
    <row r="123">
      <c r="A123" s="45"/>
      <c r="B123" s="21"/>
      <c r="C123" s="21"/>
      <c r="D123" s="21"/>
      <c r="E123" s="21"/>
      <c r="F123" s="223"/>
      <c r="G123" s="21"/>
      <c r="H123" s="21"/>
      <c r="I123" s="21"/>
      <c r="J123" s="357"/>
      <c r="K123" s="370"/>
      <c r="L123" s="21"/>
      <c r="M123" s="21"/>
      <c r="N123" s="354"/>
      <c r="O123" s="21"/>
      <c r="P123" s="53" t="s">
        <v>2193</v>
      </c>
      <c r="Q123" s="383">
        <v>44811.0</v>
      </c>
      <c r="R123" s="383">
        <v>44986.0</v>
      </c>
      <c r="S123" s="355" t="str">
        <f>IFERROR(__xludf.DUMMYFUNCTION("IMPORTRANGE(N123,""Infoー情報!B14"")"),"#N/A")</f>
        <v>#N/A</v>
      </c>
      <c r="T123" s="357" t="str">
        <f t="shared" si="5"/>
        <v/>
      </c>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row>
    <row r="124">
      <c r="A124" s="45"/>
      <c r="B124" s="21"/>
      <c r="C124" s="21"/>
      <c r="D124" s="21"/>
      <c r="E124" s="21"/>
      <c r="F124" s="223"/>
      <c r="G124" s="21"/>
      <c r="H124" s="21"/>
      <c r="I124" s="21"/>
      <c r="J124" s="357"/>
      <c r="K124" s="370"/>
      <c r="L124" s="21"/>
      <c r="M124" s="21"/>
      <c r="N124" s="354"/>
      <c r="O124" s="21"/>
      <c r="P124" s="53" t="s">
        <v>2193</v>
      </c>
      <c r="Q124" s="383">
        <v>44819.0</v>
      </c>
      <c r="R124" s="383">
        <v>45139.0</v>
      </c>
      <c r="S124" s="355" t="str">
        <f>IFERROR(__xludf.DUMMYFUNCTION("IMPORTRANGE(N124,""Infoー情報!B14"")"),"#N/A")</f>
        <v>#N/A</v>
      </c>
      <c r="T124" s="357" t="str">
        <f t="shared" si="5"/>
        <v/>
      </c>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row>
    <row r="125">
      <c r="A125" s="45"/>
      <c r="B125" s="21"/>
      <c r="C125" s="21"/>
      <c r="D125" s="21"/>
      <c r="E125" s="21"/>
      <c r="F125" s="223"/>
      <c r="G125" s="21"/>
      <c r="H125" s="21"/>
      <c r="I125" s="21"/>
      <c r="J125" s="357"/>
      <c r="K125" s="370"/>
      <c r="L125" s="21"/>
      <c r="M125" s="21"/>
      <c r="N125" s="354"/>
      <c r="O125" s="21"/>
      <c r="P125" s="53" t="s">
        <v>2193</v>
      </c>
      <c r="Q125" s="383">
        <v>44842.0</v>
      </c>
      <c r="R125" s="383">
        <v>45008.0</v>
      </c>
      <c r="S125" s="355" t="str">
        <f>IFERROR(__xludf.DUMMYFUNCTION("IMPORTRANGE(N125,""Infoー情報!B14"")"),"#N/A")</f>
        <v>#N/A</v>
      </c>
      <c r="T125" s="357" t="str">
        <f t="shared" si="5"/>
        <v/>
      </c>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row>
    <row r="126">
      <c r="A126" s="45"/>
      <c r="B126" s="21"/>
      <c r="C126" s="21"/>
      <c r="D126" s="21"/>
      <c r="E126" s="21"/>
      <c r="F126" s="223"/>
      <c r="G126" s="21"/>
      <c r="H126" s="21"/>
      <c r="I126" s="21"/>
      <c r="J126" s="357"/>
      <c r="K126" s="370"/>
      <c r="L126" s="21"/>
      <c r="M126" s="21"/>
      <c r="N126" s="354"/>
      <c r="O126" s="21"/>
      <c r="P126" s="53" t="s">
        <v>2193</v>
      </c>
      <c r="Q126" s="383">
        <v>44844.0</v>
      </c>
      <c r="R126" s="383">
        <v>44986.0</v>
      </c>
      <c r="S126" s="355" t="str">
        <f>IFERROR(__xludf.DUMMYFUNCTION("IMPORTRANGE(N126,""Infoー情報!B14"")"),"#N/A")</f>
        <v>#N/A</v>
      </c>
      <c r="T126" s="357" t="str">
        <f t="shared" si="5"/>
        <v/>
      </c>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row>
    <row r="127">
      <c r="A127" s="45"/>
      <c r="B127" s="21"/>
      <c r="C127" s="21"/>
      <c r="D127" s="21"/>
      <c r="E127" s="21"/>
      <c r="F127" s="223"/>
      <c r="G127" s="21"/>
      <c r="H127" s="21"/>
      <c r="I127" s="21"/>
      <c r="J127" s="357"/>
      <c r="K127" s="370"/>
      <c r="L127" s="21"/>
      <c r="M127" s="21"/>
      <c r="N127" s="354"/>
      <c r="O127" s="21"/>
      <c r="P127" s="53" t="s">
        <v>2193</v>
      </c>
      <c r="Q127" s="383">
        <v>44847.0</v>
      </c>
      <c r="R127" s="383">
        <v>45008.0</v>
      </c>
      <c r="S127" s="355" t="str">
        <f>IFERROR(__xludf.DUMMYFUNCTION("IMPORTRANGE(N127,""Infoー情報!B14"")"),"#N/A")</f>
        <v>#N/A</v>
      </c>
      <c r="T127" s="357" t="str">
        <f t="shared" si="5"/>
        <v/>
      </c>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row>
    <row r="128">
      <c r="A128" s="45"/>
      <c r="B128" s="21"/>
      <c r="C128" s="21"/>
      <c r="D128" s="21"/>
      <c r="E128" s="21"/>
      <c r="F128" s="223"/>
      <c r="G128" s="21"/>
      <c r="H128" s="21"/>
      <c r="I128" s="21"/>
      <c r="J128" s="357"/>
      <c r="K128" s="370"/>
      <c r="L128" s="21"/>
      <c r="M128" s="21"/>
      <c r="N128" s="354"/>
      <c r="O128" s="21"/>
      <c r="P128" s="21" t="s">
        <v>2193</v>
      </c>
      <c r="Q128" s="383">
        <v>44866.0</v>
      </c>
      <c r="R128" s="356"/>
      <c r="S128" s="355" t="str">
        <f>IFERROR(__xludf.DUMMYFUNCTION("IMPORTRANGE(N128,""Infoー情報!B14"")"),"#N/A")</f>
        <v>#N/A</v>
      </c>
      <c r="T128" s="357" t="str">
        <f t="shared" si="5"/>
        <v/>
      </c>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row>
    <row r="129">
      <c r="A129" s="45"/>
      <c r="B129" s="21"/>
      <c r="C129" s="21"/>
      <c r="D129" s="21"/>
      <c r="E129" s="21"/>
      <c r="F129" s="223"/>
      <c r="G129" s="21"/>
      <c r="H129" s="21"/>
      <c r="I129" s="21"/>
      <c r="J129" s="357"/>
      <c r="K129" s="370"/>
      <c r="L129" s="21"/>
      <c r="M129" s="21"/>
      <c r="N129" s="354"/>
      <c r="O129" s="21"/>
      <c r="P129" s="53" t="s">
        <v>2193</v>
      </c>
      <c r="Q129" s="383">
        <v>44866.0</v>
      </c>
      <c r="R129" s="356"/>
      <c r="S129" s="355" t="str">
        <f>IFERROR(__xludf.DUMMYFUNCTION("IMPORTRANGE(N129,""Infoー情報!B14"")"),"#N/A")</f>
        <v>#N/A</v>
      </c>
      <c r="T129" s="357" t="str">
        <f t="shared" si="5"/>
        <v/>
      </c>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row>
    <row r="130">
      <c r="A130" s="45"/>
      <c r="B130" s="21"/>
      <c r="C130" s="21"/>
      <c r="D130" s="21"/>
      <c r="E130" s="21"/>
      <c r="F130" s="223"/>
      <c r="G130" s="21"/>
      <c r="H130" s="21"/>
      <c r="I130" s="21"/>
      <c r="J130" s="357"/>
      <c r="K130" s="370"/>
      <c r="L130" s="21"/>
      <c r="M130" s="21"/>
      <c r="N130" s="354"/>
      <c r="O130" s="21"/>
      <c r="P130" s="53" t="s">
        <v>2189</v>
      </c>
      <c r="Q130" s="53" t="s">
        <v>2572</v>
      </c>
      <c r="R130" s="383">
        <v>44986.0</v>
      </c>
      <c r="S130" s="355" t="str">
        <f>IFERROR(__xludf.DUMMYFUNCTION("IMPORTRANGE(N130,""Infoー情報!B14"")"),"#N/A")</f>
        <v>#N/A</v>
      </c>
      <c r="T130" s="357" t="str">
        <f t="shared" si="5"/>
        <v/>
      </c>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row>
    <row r="131">
      <c r="A131" s="45"/>
      <c r="B131" s="21"/>
      <c r="C131" s="21"/>
      <c r="D131" s="21"/>
      <c r="E131" s="21"/>
      <c r="F131" s="223"/>
      <c r="G131" s="21"/>
      <c r="H131" s="21"/>
      <c r="I131" s="21"/>
      <c r="J131" s="357"/>
      <c r="K131" s="370"/>
      <c r="L131" s="223"/>
      <c r="M131" s="21"/>
      <c r="N131" s="354"/>
      <c r="O131" s="21"/>
      <c r="P131" s="53" t="s">
        <v>2193</v>
      </c>
      <c r="Q131" s="383">
        <v>44874.0</v>
      </c>
      <c r="R131" s="356"/>
      <c r="S131" s="355" t="str">
        <f>IFERROR(__xludf.DUMMYFUNCTION("IMPORTRANGE(N131,""Infoー情報!B14"")"),"#N/A")</f>
        <v>#N/A</v>
      </c>
      <c r="T131" s="357" t="str">
        <f t="shared" si="5"/>
        <v/>
      </c>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row>
    <row r="132">
      <c r="A132" s="45"/>
      <c r="B132" s="21"/>
      <c r="C132" s="21"/>
      <c r="D132" s="21"/>
      <c r="E132" s="21"/>
      <c r="F132" s="223"/>
      <c r="G132" s="21"/>
      <c r="H132" s="21"/>
      <c r="I132" s="21"/>
      <c r="J132" s="357"/>
      <c r="K132" s="370"/>
      <c r="L132" s="21"/>
      <c r="M132" s="21"/>
      <c r="N132" s="354"/>
      <c r="O132" s="21"/>
      <c r="P132" s="53" t="s">
        <v>2193</v>
      </c>
      <c r="Q132" s="356"/>
      <c r="R132" s="383">
        <v>45008.0</v>
      </c>
      <c r="S132" s="355" t="str">
        <f>IFERROR(__xludf.DUMMYFUNCTION("IMPORTRANGE(N132,""Infoー情報!B14"")"),"#N/A")</f>
        <v>#N/A</v>
      </c>
      <c r="T132" s="357" t="str">
        <f t="shared" si="5"/>
        <v/>
      </c>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row>
    <row r="133">
      <c r="A133" s="45"/>
      <c r="B133" s="21"/>
      <c r="C133" s="21"/>
      <c r="D133" s="21"/>
      <c r="E133" s="21"/>
      <c r="F133" s="223"/>
      <c r="G133" s="21"/>
      <c r="H133" s="21"/>
      <c r="I133" s="21"/>
      <c r="J133" s="357"/>
      <c r="K133" s="370"/>
      <c r="L133" s="21"/>
      <c r="M133" s="21"/>
      <c r="N133" s="354"/>
      <c r="O133" s="21"/>
      <c r="P133" s="53" t="s">
        <v>2193</v>
      </c>
      <c r="Q133" s="356"/>
      <c r="R133" s="356"/>
      <c r="S133" s="355" t="str">
        <f>IFERROR(__xludf.DUMMYFUNCTION("IMPORTRANGE(N133,""Infoー情報!B14"")"),"#N/A")</f>
        <v>#N/A</v>
      </c>
      <c r="T133" s="357" t="str">
        <f t="shared" si="5"/>
        <v/>
      </c>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row>
    <row r="134">
      <c r="A134" s="45"/>
      <c r="B134" s="21"/>
      <c r="C134" s="21"/>
      <c r="D134" s="21"/>
      <c r="E134" s="21"/>
      <c r="F134" s="223"/>
      <c r="G134" s="21"/>
      <c r="H134" s="21"/>
      <c r="I134" s="21"/>
      <c r="J134" s="357"/>
      <c r="K134" s="370"/>
      <c r="L134" s="21"/>
      <c r="M134" s="21"/>
      <c r="N134" s="354"/>
      <c r="O134" s="21"/>
      <c r="P134" s="21" t="s">
        <v>2193</v>
      </c>
      <c r="Q134" s="356"/>
      <c r="R134" s="356"/>
      <c r="S134" s="355" t="str">
        <f>IFERROR(__xludf.DUMMYFUNCTION("IMPORTRANGE(N134,""Infoー情報!B14"")"),"#N/A")</f>
        <v>#N/A</v>
      </c>
      <c r="T134" s="357" t="str">
        <f t="shared" si="5"/>
        <v/>
      </c>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row>
    <row r="135">
      <c r="A135" s="45"/>
      <c r="B135" s="21"/>
      <c r="C135" s="21"/>
      <c r="D135" s="21"/>
      <c r="E135" s="21"/>
      <c r="F135" s="223"/>
      <c r="G135" s="21"/>
      <c r="H135" s="21"/>
      <c r="I135" s="21"/>
      <c r="J135" s="357"/>
      <c r="K135" s="370"/>
      <c r="L135" s="21"/>
      <c r="M135" s="21"/>
      <c r="N135" s="354"/>
      <c r="O135" s="21"/>
      <c r="P135" s="53" t="s">
        <v>2193</v>
      </c>
      <c r="Q135" s="356"/>
      <c r="R135" s="356"/>
      <c r="S135" s="355" t="str">
        <f>IFERROR(__xludf.DUMMYFUNCTION("IMPORTRANGE(N135,""Infoー情報!B14"")"),"#N/A")</f>
        <v>#N/A</v>
      </c>
      <c r="T135" s="357" t="str">
        <f t="shared" si="5"/>
        <v/>
      </c>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row>
    <row r="136">
      <c r="A136" s="45"/>
      <c r="B136" s="21"/>
      <c r="C136" s="21"/>
      <c r="D136" s="21"/>
      <c r="E136" s="21"/>
      <c r="F136" s="223"/>
      <c r="G136" s="21"/>
      <c r="H136" s="21"/>
      <c r="I136" s="21"/>
      <c r="J136" s="357"/>
      <c r="K136" s="370"/>
      <c r="L136" s="21"/>
      <c r="M136" s="21"/>
      <c r="N136" s="354"/>
      <c r="O136" s="21"/>
      <c r="P136" s="53" t="s">
        <v>2189</v>
      </c>
      <c r="Q136" s="356"/>
      <c r="R136" s="356"/>
      <c r="S136" s="355" t="str">
        <f>IFERROR(__xludf.DUMMYFUNCTION("IMPORTRANGE(N136,""Infoー情報!B14"")"),"#N/A")</f>
        <v>#N/A</v>
      </c>
      <c r="T136" s="357" t="str">
        <f t="shared" si="5"/>
        <v/>
      </c>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row>
    <row r="137">
      <c r="A137" s="45"/>
      <c r="B137" s="21"/>
      <c r="C137" s="21"/>
      <c r="D137" s="21"/>
      <c r="E137" s="21"/>
      <c r="F137" s="223"/>
      <c r="G137" s="21"/>
      <c r="H137" s="21"/>
      <c r="I137" s="21"/>
      <c r="J137" s="357"/>
      <c r="K137" s="370"/>
      <c r="L137" s="21"/>
      <c r="M137" s="21"/>
      <c r="N137" s="354"/>
      <c r="O137" s="21"/>
      <c r="P137" s="53" t="s">
        <v>2193</v>
      </c>
      <c r="Q137" s="356"/>
      <c r="R137" s="356"/>
      <c r="S137" s="355" t="str">
        <f>IFERROR(__xludf.DUMMYFUNCTION("IMPORTRANGE(N137,""Infoー情報!B14"")"),"#N/A")</f>
        <v>#N/A</v>
      </c>
      <c r="T137" s="357" t="str">
        <f t="shared" si="5"/>
        <v/>
      </c>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row>
    <row r="138">
      <c r="A138" s="45"/>
      <c r="B138" s="21"/>
      <c r="C138" s="21"/>
      <c r="D138" s="21"/>
      <c r="E138" s="21"/>
      <c r="F138" s="223"/>
      <c r="G138" s="21"/>
      <c r="H138" s="21"/>
      <c r="I138" s="21"/>
      <c r="J138" s="357"/>
      <c r="K138" s="370"/>
      <c r="L138" s="21"/>
      <c r="M138" s="21"/>
      <c r="N138" s="354"/>
      <c r="O138" s="21"/>
      <c r="P138" s="21" t="s">
        <v>2193</v>
      </c>
      <c r="Q138" s="356"/>
      <c r="R138" s="356"/>
      <c r="S138" s="355" t="str">
        <f>IFERROR(__xludf.DUMMYFUNCTION("IMPORTRANGE(N138,""Infoー情報!B14"")"),"#N/A")</f>
        <v>#N/A</v>
      </c>
      <c r="T138" s="357" t="str">
        <f t="shared" si="5"/>
        <v/>
      </c>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row>
    <row r="139">
      <c r="A139" s="45"/>
      <c r="B139" s="21"/>
      <c r="C139" s="21"/>
      <c r="D139" s="21"/>
      <c r="E139" s="21"/>
      <c r="F139" s="223"/>
      <c r="G139" s="21"/>
      <c r="H139" s="21"/>
      <c r="I139" s="21"/>
      <c r="J139" s="357"/>
      <c r="K139" s="370"/>
      <c r="L139" s="21"/>
      <c r="M139" s="21"/>
      <c r="N139" s="354"/>
      <c r="O139" s="21"/>
      <c r="P139" s="53" t="s">
        <v>2199</v>
      </c>
      <c r="Q139" s="356"/>
      <c r="R139" s="356"/>
      <c r="S139" s="355" t="str">
        <f>IFERROR(__xludf.DUMMYFUNCTION("IMPORTRANGE(N139,""Infoー情報!B14"")"),"#N/A")</f>
        <v>#N/A</v>
      </c>
      <c r="T139" s="357" t="str">
        <f t="shared" si="5"/>
        <v/>
      </c>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row>
    <row r="140">
      <c r="A140" s="45"/>
      <c r="B140" s="21"/>
      <c r="C140" s="21"/>
      <c r="D140" s="21"/>
      <c r="E140" s="223"/>
      <c r="F140" s="223"/>
      <c r="G140" s="21"/>
      <c r="H140" s="21"/>
      <c r="I140" s="21"/>
      <c r="J140" s="357"/>
      <c r="K140" s="370"/>
      <c r="L140" s="21"/>
      <c r="M140" s="21"/>
      <c r="N140" s="354"/>
      <c r="O140" s="21"/>
      <c r="P140" s="53" t="s">
        <v>2193</v>
      </c>
      <c r="Q140" s="356"/>
      <c r="R140" s="356"/>
      <c r="S140" s="355" t="str">
        <f>IFERROR(__xludf.DUMMYFUNCTION("IMPORTRANGE(N140,""Infoー情報!B14"")"),"#N/A")</f>
        <v>#N/A</v>
      </c>
      <c r="T140" s="357" t="str">
        <f t="shared" si="5"/>
        <v/>
      </c>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row>
    <row r="141">
      <c r="A141" s="45"/>
      <c r="B141" s="21"/>
      <c r="C141" s="21"/>
      <c r="D141" s="21"/>
      <c r="E141" s="223"/>
      <c r="F141" s="223"/>
      <c r="G141" s="21"/>
      <c r="H141" s="21"/>
      <c r="I141" s="21"/>
      <c r="J141" s="357"/>
      <c r="K141" s="370"/>
      <c r="L141" s="21"/>
      <c r="M141" s="21"/>
      <c r="N141" s="354"/>
      <c r="O141" s="21"/>
      <c r="P141" s="53" t="s">
        <v>2193</v>
      </c>
      <c r="Q141" s="383">
        <v>45018.0</v>
      </c>
      <c r="R141" s="356"/>
      <c r="S141" s="355" t="str">
        <f>IFERROR(__xludf.DUMMYFUNCTION("IMPORTRANGE(N141,""Infoー情報!B14"")"),"#N/A")</f>
        <v>#N/A</v>
      </c>
      <c r="T141" s="357" t="str">
        <f t="shared" si="5"/>
        <v/>
      </c>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row>
    <row r="142">
      <c r="A142" s="45"/>
      <c r="B142" s="21"/>
      <c r="C142" s="21"/>
      <c r="D142" s="21"/>
      <c r="E142" s="223"/>
      <c r="F142" s="223"/>
      <c r="G142" s="21"/>
      <c r="H142" s="21"/>
      <c r="I142" s="21"/>
      <c r="J142" s="357"/>
      <c r="K142" s="370"/>
      <c r="L142" s="21"/>
      <c r="M142" s="21"/>
      <c r="N142" s="354"/>
      <c r="O142" s="21"/>
      <c r="P142" s="139" t="s">
        <v>2189</v>
      </c>
      <c r="Q142" s="356"/>
      <c r="R142" s="356"/>
      <c r="S142" s="355" t="str">
        <f>IFERROR(__xludf.DUMMYFUNCTION("IMPORTRANGE(N142,""Infoー情報!B14"")"),"#N/A")</f>
        <v>#N/A</v>
      </c>
      <c r="T142" s="357" t="str">
        <f t="shared" si="5"/>
        <v/>
      </c>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row>
    <row r="143">
      <c r="A143" s="45"/>
      <c r="B143" s="21"/>
      <c r="C143" s="21"/>
      <c r="D143" s="21"/>
      <c r="E143" s="223"/>
      <c r="F143" s="223"/>
      <c r="G143" s="21"/>
      <c r="H143" s="21"/>
      <c r="I143" s="21"/>
      <c r="J143" s="357"/>
      <c r="K143" s="370"/>
      <c r="L143" s="21"/>
      <c r="M143" s="21"/>
      <c r="N143" s="354"/>
      <c r="O143" s="21"/>
      <c r="P143" s="21" t="s">
        <v>2193</v>
      </c>
      <c r="Q143" s="356"/>
      <c r="R143" s="356"/>
      <c r="S143" s="355" t="str">
        <f>IFERROR(__xludf.DUMMYFUNCTION("IMPORTRANGE(N143,""Infoー情報!B14"")"),"#N/A")</f>
        <v>#N/A</v>
      </c>
      <c r="T143" s="357" t="str">
        <f t="shared" si="5"/>
        <v/>
      </c>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row>
    <row r="144">
      <c r="A144" s="45"/>
      <c r="B144" s="21"/>
      <c r="C144" s="21"/>
      <c r="D144" s="21"/>
      <c r="E144" s="223"/>
      <c r="F144" s="223"/>
      <c r="G144" s="21"/>
      <c r="H144" s="21"/>
      <c r="I144" s="21"/>
      <c r="J144" s="357"/>
      <c r="K144" s="370"/>
      <c r="L144" s="21"/>
      <c r="M144" s="21"/>
      <c r="N144" s="354"/>
      <c r="O144" s="21"/>
      <c r="P144" s="53" t="s">
        <v>2193</v>
      </c>
      <c r="Q144" s="356"/>
      <c r="R144" s="356"/>
      <c r="S144" s="355" t="str">
        <f>IFERROR(__xludf.DUMMYFUNCTION("IMPORTRANGE(N144,""Infoー情報!B14"")"),"#N/A")</f>
        <v>#N/A</v>
      </c>
      <c r="T144" s="357" t="str">
        <f t="shared" si="5"/>
        <v/>
      </c>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row>
    <row r="145">
      <c r="A145" s="45"/>
      <c r="B145" s="21"/>
      <c r="C145" s="21"/>
      <c r="D145" s="21"/>
      <c r="E145" s="223"/>
      <c r="F145" s="223"/>
      <c r="G145" s="21"/>
      <c r="H145" s="21"/>
      <c r="I145" s="21"/>
      <c r="J145" s="357"/>
      <c r="K145" s="370"/>
      <c r="L145" s="21"/>
      <c r="M145" s="21"/>
      <c r="N145" s="354"/>
      <c r="O145" s="21"/>
      <c r="P145" s="53" t="s">
        <v>2193</v>
      </c>
      <c r="Q145" s="356"/>
      <c r="R145" s="356"/>
      <c r="S145" s="355" t="str">
        <f>IFERROR(__xludf.DUMMYFUNCTION("IMPORTRANGE(N145,""Infoー情報!B14"")"),"#N/A")</f>
        <v>#N/A</v>
      </c>
      <c r="T145" s="357" t="str">
        <f t="shared" si="5"/>
        <v/>
      </c>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row>
    <row r="146">
      <c r="A146" s="45"/>
      <c r="B146" s="21"/>
      <c r="C146" s="21"/>
      <c r="D146" s="21"/>
      <c r="E146" s="223"/>
      <c r="F146" s="223"/>
      <c r="G146" s="21"/>
      <c r="H146" s="21"/>
      <c r="I146" s="21"/>
      <c r="J146" s="357"/>
      <c r="K146" s="370"/>
      <c r="L146" s="21"/>
      <c r="M146" s="21"/>
      <c r="N146" s="354"/>
      <c r="O146" s="21"/>
      <c r="P146" s="21" t="s">
        <v>2193</v>
      </c>
      <c r="Q146" s="356"/>
      <c r="R146" s="356"/>
      <c r="S146" s="355" t="str">
        <f>IFERROR(__xludf.DUMMYFUNCTION("IMPORTRANGE(N146,""Infoー情報!B14"")"),"#N/A")</f>
        <v>#N/A</v>
      </c>
      <c r="T146" s="357" t="str">
        <f t="shared" si="5"/>
        <v/>
      </c>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row>
    <row r="147">
      <c r="A147" s="45"/>
      <c r="B147" s="21"/>
      <c r="C147" s="21"/>
      <c r="D147" s="21"/>
      <c r="E147" s="223"/>
      <c r="F147" s="223"/>
      <c r="G147" s="21"/>
      <c r="H147" s="21"/>
      <c r="I147" s="21"/>
      <c r="J147" s="357"/>
      <c r="K147" s="370"/>
      <c r="L147" s="21"/>
      <c r="M147" s="21"/>
      <c r="N147" s="354"/>
      <c r="O147" s="21"/>
      <c r="P147" s="53" t="s">
        <v>2189</v>
      </c>
      <c r="Q147" s="356"/>
      <c r="R147" s="356"/>
      <c r="S147" s="355" t="str">
        <f>IFERROR(__xludf.DUMMYFUNCTION("IMPORTRANGE(N147,""Infoー情報!B14"")"),"#N/A")</f>
        <v>#N/A</v>
      </c>
      <c r="T147" s="357" t="str">
        <f t="shared" si="5"/>
        <v/>
      </c>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row>
    <row r="148">
      <c r="A148" s="45"/>
      <c r="B148" s="21"/>
      <c r="C148" s="21"/>
      <c r="D148" s="21"/>
      <c r="E148" s="223"/>
      <c r="F148" s="223"/>
      <c r="G148" s="21"/>
      <c r="H148" s="21"/>
      <c r="I148" s="21"/>
      <c r="J148" s="357"/>
      <c r="K148" s="370"/>
      <c r="L148" s="21"/>
      <c r="M148" s="21"/>
      <c r="N148" s="354"/>
      <c r="O148" s="21"/>
      <c r="P148" s="53" t="s">
        <v>2189</v>
      </c>
      <c r="Q148" s="356"/>
      <c r="R148" s="356"/>
      <c r="S148" s="355" t="str">
        <f>IFERROR(__xludf.DUMMYFUNCTION("IMPORTRANGE(N148,""Infoー情報!B14"")"),"#N/A")</f>
        <v>#N/A</v>
      </c>
      <c r="T148" s="357" t="str">
        <f t="shared" si="5"/>
        <v/>
      </c>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row>
    <row r="149">
      <c r="A149" s="45"/>
      <c r="B149" s="21"/>
      <c r="C149" s="21"/>
      <c r="D149" s="21"/>
      <c r="E149" s="223"/>
      <c r="F149" s="223"/>
      <c r="G149" s="21"/>
      <c r="H149" s="21"/>
      <c r="I149" s="21"/>
      <c r="J149" s="357"/>
      <c r="K149" s="370"/>
      <c r="L149" s="21"/>
      <c r="M149" s="21"/>
      <c r="N149" s="354"/>
      <c r="O149" s="21"/>
      <c r="P149" s="21" t="s">
        <v>2193</v>
      </c>
      <c r="Q149" s="356"/>
      <c r="R149" s="356"/>
      <c r="S149" s="355" t="str">
        <f>IFERROR(__xludf.DUMMYFUNCTION("IMPORTRANGE(N149,""Infoー情報!B14"")"),"#N/A")</f>
        <v>#N/A</v>
      </c>
      <c r="T149" s="357" t="str">
        <f t="shared" si="5"/>
        <v/>
      </c>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row>
    <row r="150">
      <c r="A150" s="45"/>
      <c r="B150" s="21"/>
      <c r="C150" s="21"/>
      <c r="D150" s="21"/>
      <c r="E150" s="223"/>
      <c r="F150" s="223"/>
      <c r="G150" s="21"/>
      <c r="H150" s="21"/>
      <c r="I150" s="21"/>
      <c r="J150" s="357"/>
      <c r="K150" s="370"/>
      <c r="L150" s="21"/>
      <c r="M150" s="21"/>
      <c r="N150" s="354"/>
      <c r="O150" s="21"/>
      <c r="P150" s="53" t="s">
        <v>2193</v>
      </c>
      <c r="Q150" s="356"/>
      <c r="R150" s="356"/>
      <c r="S150" s="355" t="str">
        <f>IFERROR(__xludf.DUMMYFUNCTION("IMPORTRANGE(N150,""Infoー情報!B14"")"),"#N/A")</f>
        <v>#N/A</v>
      </c>
      <c r="T150" s="357" t="str">
        <f t="shared" si="5"/>
        <v/>
      </c>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row>
    <row r="151">
      <c r="A151" s="45"/>
      <c r="B151" s="21"/>
      <c r="C151" s="21"/>
      <c r="D151" s="21"/>
      <c r="E151" s="223"/>
      <c r="F151" s="223"/>
      <c r="G151" s="21"/>
      <c r="H151" s="21"/>
      <c r="I151" s="21"/>
      <c r="J151" s="357"/>
      <c r="K151" s="370"/>
      <c r="L151" s="21"/>
      <c r="M151" s="21"/>
      <c r="N151" s="354"/>
      <c r="O151" s="21"/>
      <c r="P151" s="53" t="s">
        <v>2189</v>
      </c>
      <c r="Q151" s="356"/>
      <c r="R151" s="356"/>
      <c r="S151" s="355" t="str">
        <f>IFERROR(__xludf.DUMMYFUNCTION("IMPORTRANGE(N151,""Infoー情報!B14"")"),"#N/A")</f>
        <v>#N/A</v>
      </c>
      <c r="T151" s="357" t="str">
        <f t="shared" si="5"/>
        <v/>
      </c>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row>
    <row r="152">
      <c r="A152" s="45"/>
      <c r="B152" s="21"/>
      <c r="C152" s="21"/>
      <c r="D152" s="21"/>
      <c r="E152" s="223"/>
      <c r="F152" s="223"/>
      <c r="G152" s="21"/>
      <c r="H152" s="21"/>
      <c r="I152" s="21"/>
      <c r="J152" s="357"/>
      <c r="K152" s="370"/>
      <c r="L152" s="21"/>
      <c r="M152" s="21"/>
      <c r="N152" s="354"/>
      <c r="O152" s="21"/>
      <c r="P152" s="53" t="s">
        <v>2189</v>
      </c>
      <c r="Q152" s="356"/>
      <c r="R152" s="356"/>
      <c r="S152" s="356" t="str">
        <f>IFERROR(__xludf.DUMMYFUNCTION("IMPORTRANGE(N152,""Infoー情報!B14"")"),"#N/A")</f>
        <v>#N/A</v>
      </c>
      <c r="T152" s="357" t="str">
        <f t="shared" si="5"/>
        <v/>
      </c>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row>
    <row r="153">
      <c r="A153" s="45"/>
      <c r="B153" s="21"/>
      <c r="C153" s="21"/>
      <c r="D153" s="21"/>
      <c r="E153" s="223"/>
      <c r="F153" s="223"/>
      <c r="G153" s="21"/>
      <c r="H153" s="21"/>
      <c r="I153" s="21"/>
      <c r="J153" s="357"/>
      <c r="K153" s="370"/>
      <c r="L153" s="21"/>
      <c r="M153" s="21"/>
      <c r="N153" s="354"/>
      <c r="O153" s="21"/>
      <c r="P153" s="21" t="s">
        <v>2193</v>
      </c>
      <c r="Q153" s="356"/>
      <c r="R153" s="356"/>
      <c r="S153" s="355" t="str">
        <f>IFERROR(__xludf.DUMMYFUNCTION("IMPORTRANGE(N153,""Infoー情報!B14"")"),"#N/A")</f>
        <v>#N/A</v>
      </c>
      <c r="T153" s="357" t="str">
        <f t="shared" si="5"/>
        <v/>
      </c>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row>
    <row r="154">
      <c r="A154" s="45"/>
      <c r="B154" s="21"/>
      <c r="C154" s="21"/>
      <c r="D154" s="21"/>
      <c r="E154" s="223"/>
      <c r="F154" s="223"/>
      <c r="G154" s="21"/>
      <c r="H154" s="21"/>
      <c r="I154" s="21"/>
      <c r="J154" s="357"/>
      <c r="K154" s="370"/>
      <c r="L154" s="21"/>
      <c r="M154" s="21"/>
      <c r="N154" s="354"/>
      <c r="O154" s="21"/>
      <c r="P154" s="53" t="s">
        <v>2189</v>
      </c>
      <c r="Q154" s="356"/>
      <c r="R154" s="356"/>
      <c r="S154" s="355" t="str">
        <f>IFERROR(__xludf.DUMMYFUNCTION("IMPORTRANGE(N154,""Infoー情報!B14"")"),"#N/A")</f>
        <v>#N/A</v>
      </c>
      <c r="T154" s="357" t="str">
        <f t="shared" si="5"/>
        <v/>
      </c>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row>
    <row r="155">
      <c r="A155" s="45"/>
      <c r="B155" s="21"/>
      <c r="C155" s="21"/>
      <c r="D155" s="21"/>
      <c r="E155" s="223"/>
      <c r="F155" s="223"/>
      <c r="G155" s="21"/>
      <c r="H155" s="21"/>
      <c r="I155" s="21"/>
      <c r="J155" s="357"/>
      <c r="K155" s="370"/>
      <c r="L155" s="21"/>
      <c r="M155" s="21"/>
      <c r="N155" s="21"/>
      <c r="O155" s="21"/>
      <c r="P155" s="53" t="s">
        <v>2189</v>
      </c>
      <c r="Q155" s="356"/>
      <c r="R155" s="356"/>
      <c r="S155" s="355" t="str">
        <f>IFERROR(__xludf.DUMMYFUNCTION("IMPORTRANGE(N155,""Infoー情報!B14"")"),"#N/A")</f>
        <v>#N/A</v>
      </c>
      <c r="T155" s="357" t="str">
        <f t="shared" si="5"/>
        <v/>
      </c>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row>
    <row r="156">
      <c r="A156" s="45"/>
      <c r="B156" s="21"/>
      <c r="C156" s="21"/>
      <c r="D156" s="21"/>
      <c r="E156" s="223"/>
      <c r="F156" s="223"/>
      <c r="G156" s="21"/>
      <c r="H156" s="21"/>
      <c r="I156" s="21"/>
      <c r="J156" s="21"/>
      <c r="K156" s="370"/>
      <c r="L156" s="21"/>
      <c r="M156" s="21"/>
      <c r="N156" s="21"/>
      <c r="O156" s="21"/>
      <c r="P156" s="21" t="s">
        <v>2193</v>
      </c>
      <c r="Q156" s="356"/>
      <c r="R156" s="356"/>
      <c r="S156" s="355" t="str">
        <f>IFERROR(__xludf.DUMMYFUNCTION("IMPORTRANGE(N156,""Infoー情報!B14"")"),"#N/A")</f>
        <v>#N/A</v>
      </c>
      <c r="T156" s="55" t="str">
        <f t="shared" si="5"/>
        <v/>
      </c>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row>
    <row r="157">
      <c r="A157" s="45"/>
      <c r="B157" s="21"/>
      <c r="C157" s="21"/>
      <c r="D157" s="21"/>
      <c r="E157" s="223"/>
      <c r="F157" s="223"/>
      <c r="G157" s="21"/>
      <c r="H157" s="21"/>
      <c r="I157" s="21"/>
      <c r="J157" s="357"/>
      <c r="K157" s="370"/>
      <c r="L157" s="21"/>
      <c r="M157" s="21"/>
      <c r="N157" s="21"/>
      <c r="O157" s="21"/>
      <c r="P157" s="53" t="s">
        <v>2199</v>
      </c>
      <c r="Q157" s="356"/>
      <c r="R157" s="356"/>
      <c r="S157" s="355" t="str">
        <f>IFERROR(__xludf.DUMMYFUNCTION("IMPORTRANGE(N157,""Infoー情報!B14"")"),"#N/A")</f>
        <v>#N/A</v>
      </c>
      <c r="T157" s="357" t="str">
        <f t="shared" si="5"/>
        <v/>
      </c>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row>
    <row r="158">
      <c r="A158" s="45"/>
      <c r="B158" s="21"/>
      <c r="C158" s="21"/>
      <c r="D158" s="21"/>
      <c r="E158" s="223"/>
      <c r="F158" s="223"/>
      <c r="G158" s="21"/>
      <c r="H158" s="21"/>
      <c r="I158" s="21"/>
      <c r="J158" s="357"/>
      <c r="K158" s="370"/>
      <c r="L158" s="21"/>
      <c r="M158" s="21"/>
      <c r="N158" s="21"/>
      <c r="O158" s="21"/>
      <c r="P158" s="53" t="s">
        <v>2193</v>
      </c>
      <c r="Q158" s="356"/>
      <c r="R158" s="356"/>
      <c r="S158" s="355" t="str">
        <f>IFERROR(__xludf.DUMMYFUNCTION("IMPORTRANGE(N158,""Infoー情報!B14"")"),"#N/A")</f>
        <v>#N/A</v>
      </c>
      <c r="T158" s="357" t="str">
        <f t="shared" si="5"/>
        <v/>
      </c>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row>
    <row r="159">
      <c r="A159" s="45"/>
      <c r="B159" s="21"/>
      <c r="C159" s="21"/>
      <c r="D159" s="21"/>
      <c r="E159" s="223"/>
      <c r="F159" s="223"/>
      <c r="G159" s="21"/>
      <c r="H159" s="21"/>
      <c r="I159" s="21"/>
      <c r="J159" s="357"/>
      <c r="K159" s="370"/>
      <c r="L159" s="21"/>
      <c r="M159" s="21"/>
      <c r="N159" s="21"/>
      <c r="O159" s="21"/>
      <c r="P159" s="21" t="s">
        <v>2193</v>
      </c>
      <c r="Q159" s="356"/>
      <c r="R159" s="356"/>
      <c r="S159" s="355" t="str">
        <f>IFERROR(__xludf.DUMMYFUNCTION("IMPORTRANGE(N159,""Infoー情報!B14"")"),"#N/A")</f>
        <v>#N/A</v>
      </c>
      <c r="T159" s="357" t="str">
        <f t="shared" si="5"/>
        <v/>
      </c>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row>
    <row r="160">
      <c r="A160" s="45"/>
      <c r="B160" s="21"/>
      <c r="C160" s="21"/>
      <c r="D160" s="21"/>
      <c r="E160" s="223"/>
      <c r="F160" s="223"/>
      <c r="G160" s="21"/>
      <c r="H160" s="21"/>
      <c r="I160" s="21"/>
      <c r="J160" s="357"/>
      <c r="K160" s="370"/>
      <c r="L160" s="21"/>
      <c r="M160" s="21"/>
      <c r="N160" s="21"/>
      <c r="O160" s="21"/>
      <c r="P160" s="53" t="s">
        <v>2189</v>
      </c>
      <c r="Q160" s="356"/>
      <c r="R160" s="356"/>
      <c r="S160" s="355" t="str">
        <f>IFERROR(__xludf.DUMMYFUNCTION("IMPORTRANGE(N160,""Infoー情報!B14"")"),"#N/A")</f>
        <v>#N/A</v>
      </c>
      <c r="T160" s="357" t="str">
        <f t="shared" si="5"/>
        <v/>
      </c>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row>
    <row r="161">
      <c r="A161" s="45"/>
      <c r="B161" s="21"/>
      <c r="C161" s="21"/>
      <c r="D161" s="21"/>
      <c r="E161" s="223"/>
      <c r="F161" s="223"/>
      <c r="G161" s="21"/>
      <c r="H161" s="21"/>
      <c r="I161" s="21"/>
      <c r="J161" s="357"/>
      <c r="K161" s="370"/>
      <c r="L161" s="223"/>
      <c r="M161" s="21"/>
      <c r="N161" s="21"/>
      <c r="O161" s="21"/>
      <c r="P161" s="53" t="s">
        <v>2189</v>
      </c>
      <c r="Q161" s="356"/>
      <c r="R161" s="356"/>
      <c r="S161" s="355" t="str">
        <f>IFERROR(__xludf.DUMMYFUNCTION("IMPORTRANGE(N161,""Infoー情報!B14"")"),"#N/A")</f>
        <v>#N/A</v>
      </c>
      <c r="T161" s="357" t="str">
        <f t="shared" si="5"/>
        <v/>
      </c>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row>
    <row r="162">
      <c r="A162" s="45"/>
      <c r="B162" s="21"/>
      <c r="C162" s="21"/>
      <c r="D162" s="21"/>
      <c r="E162" s="223"/>
      <c r="F162" s="223"/>
      <c r="G162" s="21"/>
      <c r="H162" s="21"/>
      <c r="I162" s="21"/>
      <c r="J162" s="357"/>
      <c r="K162" s="370"/>
      <c r="L162" s="21"/>
      <c r="M162" s="21"/>
      <c r="N162" s="21"/>
      <c r="O162" s="21"/>
      <c r="P162" s="53" t="s">
        <v>2189</v>
      </c>
      <c r="Q162" s="356"/>
      <c r="R162" s="356"/>
      <c r="S162" s="355" t="str">
        <f>IFERROR(__xludf.DUMMYFUNCTION("IMPORTRANGE(N162,""Infoー情報!B14"")"),"#N/A")</f>
        <v>#N/A</v>
      </c>
      <c r="T162" s="357" t="str">
        <f t="shared" si="5"/>
        <v/>
      </c>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row>
    <row r="163">
      <c r="A163" s="45"/>
      <c r="B163" s="21"/>
      <c r="C163" s="21"/>
      <c r="D163" s="21"/>
      <c r="E163" s="223"/>
      <c r="F163" s="223"/>
      <c r="G163" s="21"/>
      <c r="H163" s="21"/>
      <c r="I163" s="21"/>
      <c r="J163" s="357"/>
      <c r="K163" s="370"/>
      <c r="L163" s="21"/>
      <c r="M163" s="21"/>
      <c r="N163" s="21"/>
      <c r="O163" s="21"/>
      <c r="P163" s="53" t="s">
        <v>2189</v>
      </c>
      <c r="Q163" s="356"/>
      <c r="R163" s="356"/>
      <c r="S163" s="355" t="str">
        <f>IFERROR(__xludf.DUMMYFUNCTION("IMPORTRANGE(N163,""Infoー情報!B14"")"),"#N/A")</f>
        <v>#N/A</v>
      </c>
      <c r="T163" s="357" t="str">
        <f t="shared" si="5"/>
        <v/>
      </c>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row>
    <row r="164">
      <c r="A164" s="45"/>
      <c r="B164" s="21"/>
      <c r="C164" s="21"/>
      <c r="D164" s="21"/>
      <c r="E164" s="223"/>
      <c r="F164" s="223"/>
      <c r="G164" s="21"/>
      <c r="H164" s="21"/>
      <c r="I164" s="21"/>
      <c r="J164" s="357"/>
      <c r="K164" s="370"/>
      <c r="L164" s="21"/>
      <c r="M164" s="21"/>
      <c r="N164" s="21"/>
      <c r="O164" s="21"/>
      <c r="P164" s="21" t="s">
        <v>2189</v>
      </c>
      <c r="Q164" s="356"/>
      <c r="R164" s="356"/>
      <c r="S164" s="355" t="str">
        <f>IFERROR(__xludf.DUMMYFUNCTION("IMPORTRANGE(N164,""Infoー情報!B14"")"),"#N/A")</f>
        <v>#N/A</v>
      </c>
      <c r="T164" s="357" t="str">
        <f t="shared" si="5"/>
        <v/>
      </c>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row>
    <row r="165">
      <c r="A165" s="45"/>
      <c r="B165" s="21"/>
      <c r="C165" s="21"/>
      <c r="D165" s="21"/>
      <c r="E165" s="223"/>
      <c r="F165" s="223"/>
      <c r="G165" s="21"/>
      <c r="H165" s="21"/>
      <c r="I165" s="21"/>
      <c r="J165" s="357"/>
      <c r="K165" s="370"/>
      <c r="L165" s="21"/>
      <c r="M165" s="21"/>
      <c r="N165" s="21"/>
      <c r="O165" s="21"/>
      <c r="P165" s="53" t="s">
        <v>2189</v>
      </c>
      <c r="Q165" s="356"/>
      <c r="R165" s="356"/>
      <c r="S165" s="355" t="str">
        <f>IFERROR(__xludf.DUMMYFUNCTION("IMPORTRANGE(N165,""Infoー情報!B14"")"),"#N/A")</f>
        <v>#N/A</v>
      </c>
      <c r="T165" s="357" t="str">
        <f t="shared" si="5"/>
        <v/>
      </c>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row>
    <row r="166">
      <c r="A166" s="45"/>
      <c r="B166" s="21"/>
      <c r="C166" s="21"/>
      <c r="D166" s="21"/>
      <c r="E166" s="223"/>
      <c r="F166" s="223"/>
      <c r="G166" s="21"/>
      <c r="H166" s="21"/>
      <c r="I166" s="21"/>
      <c r="J166" s="357"/>
      <c r="K166" s="370"/>
      <c r="L166" s="21"/>
      <c r="M166" s="21"/>
      <c r="N166" s="21"/>
      <c r="O166" s="21"/>
      <c r="P166" s="53" t="s">
        <v>2199</v>
      </c>
      <c r="Q166" s="356"/>
      <c r="R166" s="356"/>
      <c r="S166" s="355" t="str">
        <f>IFERROR(__xludf.DUMMYFUNCTION("IMPORTRANGE(N166,""Infoー情報!B14"")"),"#N/A")</f>
        <v>#N/A</v>
      </c>
      <c r="T166" s="357" t="str">
        <f t="shared" si="5"/>
        <v/>
      </c>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row>
    <row r="167">
      <c r="A167" s="45"/>
      <c r="B167" s="21"/>
      <c r="C167" s="21"/>
      <c r="D167" s="21"/>
      <c r="E167" s="223"/>
      <c r="F167" s="223"/>
      <c r="G167" s="21"/>
      <c r="H167" s="21"/>
      <c r="I167" s="21"/>
      <c r="J167" s="357"/>
      <c r="K167" s="370"/>
      <c r="L167" s="21"/>
      <c r="M167" s="21"/>
      <c r="N167" s="21"/>
      <c r="O167" s="21"/>
      <c r="P167" s="21" t="s">
        <v>2193</v>
      </c>
      <c r="Q167" s="356"/>
      <c r="R167" s="356"/>
      <c r="S167" s="355" t="str">
        <f>IFERROR(__xludf.DUMMYFUNCTION("IMPORTRANGE(N167,""Infoー情報!B14"")"),"#N/A")</f>
        <v>#N/A</v>
      </c>
      <c r="T167" s="357" t="str">
        <f t="shared" si="5"/>
        <v/>
      </c>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row>
    <row r="168">
      <c r="A168" s="45"/>
      <c r="B168" s="21"/>
      <c r="C168" s="21"/>
      <c r="D168" s="21"/>
      <c r="E168" s="223"/>
      <c r="F168" s="223"/>
      <c r="G168" s="21"/>
      <c r="H168" s="21"/>
      <c r="I168" s="21"/>
      <c r="J168" s="357"/>
      <c r="K168" s="370"/>
      <c r="L168" s="21"/>
      <c r="M168" s="21"/>
      <c r="N168" s="21"/>
      <c r="O168" s="21"/>
      <c r="P168" s="53" t="s">
        <v>2189</v>
      </c>
      <c r="Q168" s="356"/>
      <c r="R168" s="356"/>
      <c r="S168" s="355" t="str">
        <f>IFERROR(__xludf.DUMMYFUNCTION("IMPORTRANGE(N168,""Infoー情報!B14"")"),"#N/A")</f>
        <v>#N/A</v>
      </c>
      <c r="T168" s="357" t="str">
        <f t="shared" si="5"/>
        <v/>
      </c>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row>
    <row r="169">
      <c r="A169" s="45"/>
      <c r="B169" s="21"/>
      <c r="C169" s="21"/>
      <c r="D169" s="21"/>
      <c r="E169" s="223"/>
      <c r="F169" s="223"/>
      <c r="G169" s="21"/>
      <c r="H169" s="21"/>
      <c r="I169" s="21"/>
      <c r="J169" s="357"/>
      <c r="K169" s="370"/>
      <c r="L169" s="21"/>
      <c r="M169" s="21"/>
      <c r="N169" s="21"/>
      <c r="O169" s="21"/>
      <c r="P169" s="53" t="s">
        <v>2193</v>
      </c>
      <c r="Q169" s="356"/>
      <c r="R169" s="356"/>
      <c r="S169" s="355" t="str">
        <f>IFERROR(__xludf.DUMMYFUNCTION("IMPORTRANGE(N169,""Infoー情報!B14"")"),"#N/A")</f>
        <v>#N/A</v>
      </c>
      <c r="T169" s="357" t="str">
        <f t="shared" si="5"/>
        <v/>
      </c>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row>
    <row r="170">
      <c r="A170" s="45"/>
      <c r="B170" s="21"/>
      <c r="C170" s="21"/>
      <c r="D170" s="21"/>
      <c r="E170" s="223"/>
      <c r="F170" s="223"/>
      <c r="G170" s="21"/>
      <c r="H170" s="21"/>
      <c r="I170" s="21"/>
      <c r="J170" s="357"/>
      <c r="K170" s="370"/>
      <c r="L170" s="21"/>
      <c r="M170" s="21"/>
      <c r="N170" s="21"/>
      <c r="O170" s="21"/>
      <c r="P170" s="53" t="s">
        <v>2193</v>
      </c>
      <c r="Q170" s="356"/>
      <c r="R170" s="356"/>
      <c r="S170" s="355" t="str">
        <f>IFERROR(__xludf.DUMMYFUNCTION("IMPORTRANGE(N170,""Infoー情報!B14"")"),"#N/A")</f>
        <v>#N/A</v>
      </c>
      <c r="T170" s="357" t="str">
        <f t="shared" si="5"/>
        <v/>
      </c>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row>
    <row r="171">
      <c r="A171" s="45"/>
      <c r="B171" s="21"/>
      <c r="C171" s="21"/>
      <c r="D171" s="21"/>
      <c r="E171" s="223"/>
      <c r="F171" s="223"/>
      <c r="G171" s="21"/>
      <c r="H171" s="21"/>
      <c r="I171" s="21"/>
      <c r="J171" s="357"/>
      <c r="K171" s="370"/>
      <c r="L171" s="21"/>
      <c r="M171" s="21"/>
      <c r="N171" s="21"/>
      <c r="O171" s="21"/>
      <c r="P171" s="53" t="s">
        <v>2193</v>
      </c>
      <c r="Q171" s="356"/>
      <c r="R171" s="356"/>
      <c r="S171" s="355" t="str">
        <f>IFERROR(__xludf.DUMMYFUNCTION("IMPORTRANGE(N171,""Infoー情報!B14"")"),"#N/A")</f>
        <v>#N/A</v>
      </c>
      <c r="T171" s="357" t="str">
        <f t="shared" si="5"/>
        <v/>
      </c>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row>
    <row r="172">
      <c r="A172" s="45"/>
      <c r="B172" s="21"/>
      <c r="C172" s="21"/>
      <c r="D172" s="21"/>
      <c r="E172" s="223"/>
      <c r="F172" s="223"/>
      <c r="G172" s="21"/>
      <c r="H172" s="21"/>
      <c r="I172" s="21"/>
      <c r="J172" s="357"/>
      <c r="K172" s="370"/>
      <c r="L172" s="21"/>
      <c r="M172" s="21"/>
      <c r="N172" s="21"/>
      <c r="O172" s="21"/>
      <c r="P172" s="53" t="s">
        <v>2193</v>
      </c>
      <c r="Q172" s="356"/>
      <c r="R172" s="356"/>
      <c r="S172" s="355" t="str">
        <f>IFERROR(__xludf.DUMMYFUNCTION("IMPORTRANGE(N172,""Infoー情報!B14"")"),"#N/A")</f>
        <v>#N/A</v>
      </c>
      <c r="T172" s="357" t="str">
        <f t="shared" si="5"/>
        <v/>
      </c>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row>
    <row r="173">
      <c r="A173" s="45"/>
      <c r="B173" s="21"/>
      <c r="C173" s="21"/>
      <c r="D173" s="21"/>
      <c r="E173" s="223"/>
      <c r="F173" s="223"/>
      <c r="G173" s="21"/>
      <c r="H173" s="21"/>
      <c r="I173" s="21"/>
      <c r="J173" s="357"/>
      <c r="K173" s="370"/>
      <c r="L173" s="223"/>
      <c r="M173" s="21"/>
      <c r="N173" s="21"/>
      <c r="O173" s="21"/>
      <c r="P173" s="53" t="s">
        <v>2189</v>
      </c>
      <c r="Q173" s="356"/>
      <c r="R173" s="356"/>
      <c r="S173" s="355" t="str">
        <f>IFERROR(__xludf.DUMMYFUNCTION("IMPORTRANGE(N173,""Infoー情報!B14"")"),"#N/A")</f>
        <v>#N/A</v>
      </c>
      <c r="T173" s="357" t="str">
        <f t="shared" si="5"/>
        <v/>
      </c>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row>
    <row r="174">
      <c r="A174" s="45"/>
      <c r="B174" s="21"/>
      <c r="C174" s="21"/>
      <c r="D174" s="21"/>
      <c r="E174" s="223"/>
      <c r="F174" s="223"/>
      <c r="G174" s="21"/>
      <c r="H174" s="21"/>
      <c r="I174" s="21"/>
      <c r="J174" s="357"/>
      <c r="K174" s="370"/>
      <c r="L174" s="21"/>
      <c r="M174" s="21"/>
      <c r="N174" s="21"/>
      <c r="O174" s="21"/>
      <c r="P174" s="53" t="s">
        <v>2193</v>
      </c>
      <c r="Q174" s="356"/>
      <c r="R174" s="356"/>
      <c r="S174" s="355" t="str">
        <f>IFERROR(__xludf.DUMMYFUNCTION("IMPORTRANGE(N174,""Infoー情報!B14"")"),"#N/A")</f>
        <v>#N/A</v>
      </c>
      <c r="T174" s="357" t="str">
        <f t="shared" si="5"/>
        <v/>
      </c>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row>
    <row r="175">
      <c r="A175" s="45"/>
      <c r="B175" s="21"/>
      <c r="C175" s="21"/>
      <c r="D175" s="21"/>
      <c r="E175" s="223"/>
      <c r="F175" s="223"/>
      <c r="G175" s="21"/>
      <c r="H175" s="21"/>
      <c r="I175" s="21"/>
      <c r="J175" s="357"/>
      <c r="K175" s="370"/>
      <c r="L175" s="21"/>
      <c r="M175" s="21"/>
      <c r="N175" s="21"/>
      <c r="O175" s="21"/>
      <c r="P175" s="53" t="s">
        <v>2193</v>
      </c>
      <c r="Q175" s="356"/>
      <c r="R175" s="356"/>
      <c r="S175" s="355" t="str">
        <f>IFERROR(__xludf.DUMMYFUNCTION("IMPORTRANGE(N175,""Infoー情報!B14"")"),"#N/A")</f>
        <v>#N/A</v>
      </c>
      <c r="T175" s="357" t="str">
        <f t="shared" si="5"/>
        <v/>
      </c>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row>
    <row r="176">
      <c r="A176" s="45"/>
      <c r="B176" s="21"/>
      <c r="C176" s="21"/>
      <c r="D176" s="21"/>
      <c r="E176" s="223"/>
      <c r="F176" s="223"/>
      <c r="G176" s="21"/>
      <c r="H176" s="21"/>
      <c r="I176" s="21"/>
      <c r="J176" s="357"/>
      <c r="K176" s="370"/>
      <c r="L176" s="21"/>
      <c r="M176" s="21"/>
      <c r="N176" s="21"/>
      <c r="O176" s="21"/>
      <c r="P176" s="53" t="s">
        <v>2189</v>
      </c>
      <c r="Q176" s="356"/>
      <c r="R176" s="356"/>
      <c r="S176" s="355" t="str">
        <f>IFERROR(__xludf.DUMMYFUNCTION("IMPORTRANGE(N176,""Infoー情報!B14"")"),"#N/A")</f>
        <v>#N/A</v>
      </c>
      <c r="T176" s="357" t="str">
        <f t="shared" si="5"/>
        <v/>
      </c>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row>
    <row r="177">
      <c r="A177" s="45"/>
      <c r="B177" s="21"/>
      <c r="C177" s="21"/>
      <c r="D177" s="21"/>
      <c r="E177" s="223"/>
      <c r="F177" s="223"/>
      <c r="G177" s="21"/>
      <c r="H177" s="21"/>
      <c r="I177" s="21"/>
      <c r="J177" s="357"/>
      <c r="K177" s="370"/>
      <c r="L177" s="21"/>
      <c r="M177" s="21"/>
      <c r="N177" s="21"/>
      <c r="O177" s="21"/>
      <c r="P177" s="53" t="s">
        <v>2193</v>
      </c>
      <c r="Q177" s="356"/>
      <c r="R177" s="356"/>
      <c r="S177" s="355" t="str">
        <f>IFERROR(__xludf.DUMMYFUNCTION("IMPORTRANGE(N177,""Infoー情報!B14"")"),"#N/A")</f>
        <v>#N/A</v>
      </c>
      <c r="T177" s="357" t="str">
        <f t="shared" si="5"/>
        <v/>
      </c>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row>
    <row r="178">
      <c r="A178" s="45"/>
      <c r="B178" s="21"/>
      <c r="C178" s="21"/>
      <c r="D178" s="21"/>
      <c r="E178" s="223"/>
      <c r="F178" s="223"/>
      <c r="G178" s="21"/>
      <c r="H178" s="21"/>
      <c r="I178" s="21"/>
      <c r="J178" s="357"/>
      <c r="K178" s="370"/>
      <c r="L178" s="21"/>
      <c r="M178" s="21"/>
      <c r="N178" s="21"/>
      <c r="O178" s="21"/>
      <c r="P178" s="53" t="s">
        <v>2189</v>
      </c>
      <c r="Q178" s="356"/>
      <c r="R178" s="356"/>
      <c r="S178" s="355" t="str">
        <f>IFERROR(__xludf.DUMMYFUNCTION("IMPORTRANGE(N178,""Infoー情報!B14"")"),"#N/A")</f>
        <v>#N/A</v>
      </c>
      <c r="T178" s="357" t="str">
        <f t="shared" si="5"/>
        <v/>
      </c>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row>
    <row r="179">
      <c r="A179" s="45"/>
      <c r="B179" s="21"/>
      <c r="C179" s="21"/>
      <c r="D179" s="21"/>
      <c r="E179" s="223"/>
      <c r="F179" s="223"/>
      <c r="G179" s="21"/>
      <c r="H179" s="21"/>
      <c r="I179" s="21"/>
      <c r="J179" s="357"/>
      <c r="K179" s="370"/>
      <c r="L179" s="21"/>
      <c r="M179" s="21"/>
      <c r="N179" s="21"/>
      <c r="O179" s="21"/>
      <c r="P179" s="53" t="s">
        <v>2189</v>
      </c>
      <c r="Q179" s="356"/>
      <c r="R179" s="356"/>
      <c r="S179" s="355" t="str">
        <f>IFERROR(__xludf.DUMMYFUNCTION("IMPORTRANGE(N179,""Infoー情報!B14"")"),"#N/A")</f>
        <v>#N/A</v>
      </c>
      <c r="T179" s="357" t="str">
        <f t="shared" si="5"/>
        <v/>
      </c>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row>
    <row r="180">
      <c r="A180" s="45"/>
      <c r="B180" s="21"/>
      <c r="C180" s="21"/>
      <c r="D180" s="21"/>
      <c r="E180" s="223"/>
      <c r="F180" s="223"/>
      <c r="G180" s="21"/>
      <c r="H180" s="21"/>
      <c r="I180" s="21"/>
      <c r="J180" s="357"/>
      <c r="K180" s="370"/>
      <c r="L180" s="21"/>
      <c r="M180" s="21"/>
      <c r="N180" s="21"/>
      <c r="O180" s="21"/>
      <c r="P180" s="53" t="s">
        <v>2193</v>
      </c>
      <c r="Q180" s="356"/>
      <c r="R180" s="356"/>
      <c r="S180" s="355" t="str">
        <f>IFERROR(__xludf.DUMMYFUNCTION("IMPORTRANGE(N180,""Infoー情報!B14"")"),"#N/A")</f>
        <v>#N/A</v>
      </c>
      <c r="T180" s="357" t="str">
        <f t="shared" si="5"/>
        <v/>
      </c>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row>
    <row r="181">
      <c r="A181" s="45"/>
      <c r="B181" s="21"/>
      <c r="C181" s="21"/>
      <c r="D181" s="21"/>
      <c r="E181" s="223"/>
      <c r="F181" s="223"/>
      <c r="G181" s="21"/>
      <c r="H181" s="21"/>
      <c r="I181" s="21"/>
      <c r="J181" s="357"/>
      <c r="K181" s="370"/>
      <c r="L181" s="21"/>
      <c r="M181" s="21"/>
      <c r="N181" s="21"/>
      <c r="O181" s="21"/>
      <c r="P181" s="53" t="s">
        <v>2193</v>
      </c>
      <c r="Q181" s="356"/>
      <c r="R181" s="356"/>
      <c r="S181" s="355" t="str">
        <f>IFERROR(__xludf.DUMMYFUNCTION("IMPORTRANGE(N181,""Infoー情報!B14"")"),"#N/A")</f>
        <v>#N/A</v>
      </c>
      <c r="T181" s="357" t="str">
        <f t="shared" si="5"/>
        <v/>
      </c>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row>
    <row r="182">
      <c r="A182" s="45"/>
      <c r="B182" s="21"/>
      <c r="C182" s="21"/>
      <c r="D182" s="21"/>
      <c r="E182" s="223"/>
      <c r="F182" s="223"/>
      <c r="G182" s="21"/>
      <c r="H182" s="21"/>
      <c r="I182" s="21"/>
      <c r="J182" s="357"/>
      <c r="K182" s="370"/>
      <c r="L182" s="21"/>
      <c r="M182" s="21"/>
      <c r="N182" s="21"/>
      <c r="O182" s="21"/>
      <c r="P182" s="53" t="s">
        <v>2189</v>
      </c>
      <c r="Q182" s="356"/>
      <c r="R182" s="356"/>
      <c r="S182" s="355" t="str">
        <f>IFERROR(__xludf.DUMMYFUNCTION("IMPORTRANGE(N182,""Infoー情報!B14"")"),"#N/A")</f>
        <v>#N/A</v>
      </c>
      <c r="T182" s="357" t="str">
        <f t="shared" si="5"/>
        <v/>
      </c>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row>
    <row r="183">
      <c r="A183" s="45"/>
      <c r="B183" s="21"/>
      <c r="C183" s="21"/>
      <c r="D183" s="21"/>
      <c r="E183" s="223"/>
      <c r="F183" s="223"/>
      <c r="G183" s="21"/>
      <c r="H183" s="21"/>
      <c r="I183" s="21"/>
      <c r="J183" s="357"/>
      <c r="K183" s="370"/>
      <c r="L183" s="21"/>
      <c r="M183" s="21"/>
      <c r="N183" s="21"/>
      <c r="O183" s="21"/>
      <c r="P183" s="53" t="s">
        <v>2189</v>
      </c>
      <c r="Q183" s="356"/>
      <c r="R183" s="356"/>
      <c r="S183" s="355" t="str">
        <f>IFERROR(__xludf.DUMMYFUNCTION("IMPORTRANGE(N183,""Infoー情報!B14"")"),"#N/A")</f>
        <v>#N/A</v>
      </c>
      <c r="T183" s="357" t="str">
        <f t="shared" si="5"/>
        <v/>
      </c>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row>
    <row r="184">
      <c r="A184" s="45"/>
      <c r="B184" s="21"/>
      <c r="C184" s="21"/>
      <c r="D184" s="21"/>
      <c r="E184" s="223"/>
      <c r="F184" s="223"/>
      <c r="G184" s="21"/>
      <c r="H184" s="21"/>
      <c r="I184" s="21"/>
      <c r="J184" s="357"/>
      <c r="K184" s="370"/>
      <c r="L184" s="223"/>
      <c r="M184" s="21"/>
      <c r="N184" s="21"/>
      <c r="O184" s="21"/>
      <c r="P184" s="53" t="s">
        <v>2189</v>
      </c>
      <c r="Q184" s="356"/>
      <c r="R184" s="356"/>
      <c r="S184" s="355" t="str">
        <f>IFERROR(__xludf.DUMMYFUNCTION("IMPORTRANGE(N184,""Infoー情報!B14"")"),"#N/A")</f>
        <v>#N/A</v>
      </c>
      <c r="T184" s="357" t="str">
        <f t="shared" si="5"/>
        <v/>
      </c>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row>
    <row r="185">
      <c r="A185" s="45"/>
      <c r="B185" s="21"/>
      <c r="C185" s="21"/>
      <c r="D185" s="21"/>
      <c r="E185" s="223"/>
      <c r="F185" s="223"/>
      <c r="G185" s="21"/>
      <c r="H185" s="21"/>
      <c r="I185" s="21"/>
      <c r="J185" s="357"/>
      <c r="K185" s="370"/>
      <c r="L185" s="21"/>
      <c r="M185" s="21"/>
      <c r="N185" s="21"/>
      <c r="O185" s="21"/>
      <c r="P185" s="53" t="s">
        <v>2189</v>
      </c>
      <c r="Q185" s="356"/>
      <c r="R185" s="356"/>
      <c r="S185" s="355" t="str">
        <f>IFERROR(__xludf.DUMMYFUNCTION("IMPORTRANGE(N185,""Infoー情報!B14"")"),"#N/A")</f>
        <v>#N/A</v>
      </c>
      <c r="T185" s="357" t="str">
        <f t="shared" si="5"/>
        <v/>
      </c>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row>
    <row r="186">
      <c r="A186" s="45"/>
      <c r="B186" s="21"/>
      <c r="C186" s="21"/>
      <c r="D186" s="21"/>
      <c r="E186" s="223"/>
      <c r="F186" s="223"/>
      <c r="G186" s="21"/>
      <c r="H186" s="21"/>
      <c r="I186" s="21"/>
      <c r="J186" s="357"/>
      <c r="K186" s="370"/>
      <c r="L186" s="21"/>
      <c r="M186" s="21"/>
      <c r="N186" s="21"/>
      <c r="O186" s="21"/>
      <c r="P186" s="53" t="s">
        <v>2189</v>
      </c>
      <c r="Q186" s="356"/>
      <c r="R186" s="356"/>
      <c r="S186" s="355" t="str">
        <f>IFERROR(__xludf.DUMMYFUNCTION("IMPORTRANGE(N186,""Infoー情報!B14"")"),"#N/A")</f>
        <v>#N/A</v>
      </c>
      <c r="T186" s="357" t="str">
        <f t="shared" si="5"/>
        <v/>
      </c>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row>
    <row r="187">
      <c r="A187" s="45"/>
      <c r="B187" s="21"/>
      <c r="C187" s="21"/>
      <c r="D187" s="21"/>
      <c r="E187" s="223"/>
      <c r="F187" s="223"/>
      <c r="G187" s="21"/>
      <c r="H187" s="21"/>
      <c r="I187" s="21"/>
      <c r="J187" s="357"/>
      <c r="K187" s="370"/>
      <c r="L187" s="21"/>
      <c r="M187" s="21"/>
      <c r="N187" s="21"/>
      <c r="O187" s="21"/>
      <c r="P187" s="53" t="s">
        <v>2189</v>
      </c>
      <c r="Q187" s="356"/>
      <c r="R187" s="356"/>
      <c r="S187" s="355" t="str">
        <f>IFERROR(__xludf.DUMMYFUNCTION("IMPORTRANGE(N187,""Infoー情報!B14"")"),"#N/A")</f>
        <v>#N/A</v>
      </c>
      <c r="T187" s="357" t="str">
        <f t="shared" si="5"/>
        <v/>
      </c>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row>
    <row r="188">
      <c r="A188" s="45"/>
      <c r="B188" s="21"/>
      <c r="C188" s="21"/>
      <c r="D188" s="21"/>
      <c r="E188" s="223"/>
      <c r="F188" s="223"/>
      <c r="G188" s="21"/>
      <c r="H188" s="21"/>
      <c r="I188" s="21"/>
      <c r="J188" s="357"/>
      <c r="K188" s="370"/>
      <c r="L188" s="21"/>
      <c r="M188" s="21"/>
      <c r="N188" s="21"/>
      <c r="O188" s="21"/>
      <c r="P188" s="53" t="s">
        <v>2189</v>
      </c>
      <c r="Q188" s="356"/>
      <c r="R188" s="356"/>
      <c r="S188" s="355" t="str">
        <f>IFERROR(__xludf.DUMMYFUNCTION("IMPORTRANGE(N188,""Infoー情報!B14"")"),"#N/A")</f>
        <v>#N/A</v>
      </c>
      <c r="T188" s="357" t="str">
        <f t="shared" si="5"/>
        <v/>
      </c>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row>
    <row r="189">
      <c r="A189" s="45"/>
      <c r="B189" s="21"/>
      <c r="C189" s="21"/>
      <c r="D189" s="21"/>
      <c r="E189" s="223"/>
      <c r="F189" s="223"/>
      <c r="G189" s="21"/>
      <c r="H189" s="21"/>
      <c r="I189" s="21"/>
      <c r="J189" s="357"/>
      <c r="K189" s="370"/>
      <c r="L189" s="21"/>
      <c r="M189" s="21"/>
      <c r="N189" s="21"/>
      <c r="O189" s="21"/>
      <c r="P189" s="53" t="s">
        <v>2189</v>
      </c>
      <c r="Q189" s="356"/>
      <c r="R189" s="356"/>
      <c r="S189" s="355" t="str">
        <f>IFERROR(__xludf.DUMMYFUNCTION("IMPORTRANGE(N189,""Infoー情報!B14"")"),"#N/A")</f>
        <v>#N/A</v>
      </c>
      <c r="T189" s="357" t="str">
        <f t="shared" si="5"/>
        <v/>
      </c>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row>
    <row r="190">
      <c r="A190" s="45"/>
      <c r="B190" s="21"/>
      <c r="C190" s="21"/>
      <c r="D190" s="21"/>
      <c r="E190" s="223"/>
      <c r="F190" s="223"/>
      <c r="G190" s="21"/>
      <c r="H190" s="21"/>
      <c r="I190" s="21"/>
      <c r="J190" s="357"/>
      <c r="K190" s="370"/>
      <c r="L190" s="21"/>
      <c r="M190" s="21"/>
      <c r="N190" s="21"/>
      <c r="O190" s="21"/>
      <c r="P190" s="53" t="s">
        <v>2189</v>
      </c>
      <c r="Q190" s="356"/>
      <c r="R190" s="356"/>
      <c r="S190" s="355" t="str">
        <f>IFERROR(__xludf.DUMMYFUNCTION("IMPORTRANGE(N190,""Infoー情報!B14"")"),"#N/A")</f>
        <v>#N/A</v>
      </c>
      <c r="T190" s="357" t="str">
        <f t="shared" si="5"/>
        <v/>
      </c>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row>
    <row r="191">
      <c r="A191" s="45"/>
      <c r="B191" s="21"/>
      <c r="C191" s="21"/>
      <c r="D191" s="21"/>
      <c r="E191" s="223"/>
      <c r="F191" s="223"/>
      <c r="G191" s="21"/>
      <c r="H191" s="21"/>
      <c r="I191" s="21"/>
      <c r="J191" s="357"/>
      <c r="K191" s="370"/>
      <c r="L191" s="21"/>
      <c r="M191" s="21"/>
      <c r="N191" s="21"/>
      <c r="O191" s="21"/>
      <c r="P191" s="53" t="s">
        <v>2189</v>
      </c>
      <c r="Q191" s="356"/>
      <c r="R191" s="356"/>
      <c r="S191" s="355" t="str">
        <f>IFERROR(__xludf.DUMMYFUNCTION("IMPORTRANGE(N191,""Infoー情報!B14"")"),"#N/A")</f>
        <v>#N/A</v>
      </c>
      <c r="T191" s="357" t="str">
        <f t="shared" si="5"/>
        <v/>
      </c>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row>
    <row r="192">
      <c r="A192" s="45"/>
      <c r="B192" s="21"/>
      <c r="C192" s="21"/>
      <c r="D192" s="21"/>
      <c r="E192" s="223"/>
      <c r="F192" s="223"/>
      <c r="G192" s="21"/>
      <c r="H192" s="21"/>
      <c r="I192" s="21"/>
      <c r="J192" s="357"/>
      <c r="K192" s="370"/>
      <c r="L192" s="21"/>
      <c r="M192" s="21"/>
      <c r="N192" s="21"/>
      <c r="O192" s="21"/>
      <c r="P192" s="53" t="s">
        <v>2189</v>
      </c>
      <c r="Q192" s="356"/>
      <c r="R192" s="356"/>
      <c r="S192" s="355" t="str">
        <f>IFERROR(__xludf.DUMMYFUNCTION("IMPORTRANGE(N192,""Infoー情報!B14"")"),"#N/A")</f>
        <v>#N/A</v>
      </c>
      <c r="T192" s="357" t="str">
        <f t="shared" si="5"/>
        <v/>
      </c>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row>
    <row r="193">
      <c r="A193" s="45"/>
      <c r="B193" s="21"/>
      <c r="C193" s="21"/>
      <c r="D193" s="21"/>
      <c r="E193" s="223"/>
      <c r="F193" s="223"/>
      <c r="G193" s="21"/>
      <c r="H193" s="21"/>
      <c r="I193" s="21"/>
      <c r="J193" s="357"/>
      <c r="K193" s="370"/>
      <c r="L193" s="21"/>
      <c r="M193" s="21"/>
      <c r="N193" s="21"/>
      <c r="O193" s="21"/>
      <c r="P193" s="53" t="s">
        <v>2189</v>
      </c>
      <c r="Q193" s="356"/>
      <c r="R193" s="356"/>
      <c r="S193" s="355" t="str">
        <f>IFERROR(__xludf.DUMMYFUNCTION("IMPORTRANGE(N193,""Infoー情報!B14"")"),"#N/A")</f>
        <v>#N/A</v>
      </c>
      <c r="T193" s="357" t="str">
        <f t="shared" si="5"/>
        <v/>
      </c>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row>
    <row r="194">
      <c r="A194" s="45"/>
      <c r="B194" s="21"/>
      <c r="C194" s="21"/>
      <c r="D194" s="21"/>
      <c r="E194" s="21"/>
      <c r="F194" s="223"/>
      <c r="G194" s="21"/>
      <c r="H194" s="21"/>
      <c r="I194" s="21"/>
      <c r="J194" s="357"/>
      <c r="K194" s="370"/>
      <c r="L194" s="21"/>
      <c r="M194" s="21"/>
      <c r="N194" s="21"/>
      <c r="O194" s="21"/>
      <c r="P194" s="53" t="s">
        <v>2189</v>
      </c>
      <c r="Q194" s="356"/>
      <c r="R194" s="356"/>
      <c r="S194" s="355" t="str">
        <f>IFERROR(__xludf.DUMMYFUNCTION("IMPORTRANGE(N194,""Infoー情報!B14"")"),"#N/A")</f>
        <v>#N/A</v>
      </c>
      <c r="T194" s="357" t="str">
        <f t="shared" si="5"/>
        <v/>
      </c>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row>
    <row r="195">
      <c r="A195" s="45"/>
      <c r="B195" s="21"/>
      <c r="C195" s="21"/>
      <c r="D195" s="21"/>
      <c r="E195" s="223"/>
      <c r="F195" s="223"/>
      <c r="G195" s="21"/>
      <c r="H195" s="21"/>
      <c r="I195" s="21"/>
      <c r="J195" s="357"/>
      <c r="K195" s="370"/>
      <c r="L195" s="21"/>
      <c r="M195" s="21"/>
      <c r="N195" s="21"/>
      <c r="O195" s="21"/>
      <c r="P195" s="53" t="s">
        <v>2189</v>
      </c>
      <c r="Q195" s="356"/>
      <c r="R195" s="356"/>
      <c r="S195" s="355" t="str">
        <f>IFERROR(__xludf.DUMMYFUNCTION("IMPORTRANGE(N195,""Infoー情報!B14"")"),"#N/A")</f>
        <v>#N/A</v>
      </c>
      <c r="T195" s="357" t="str">
        <f t="shared" si="5"/>
        <v/>
      </c>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row>
    <row r="196">
      <c r="A196" s="45"/>
      <c r="B196" s="21"/>
      <c r="C196" s="21"/>
      <c r="D196" s="21"/>
      <c r="E196" s="223"/>
      <c r="F196" s="223"/>
      <c r="G196" s="21"/>
      <c r="H196" s="21"/>
      <c r="I196" s="21"/>
      <c r="J196" s="357"/>
      <c r="K196" s="370"/>
      <c r="L196" s="21"/>
      <c r="M196" s="21"/>
      <c r="N196" s="21"/>
      <c r="O196" s="21"/>
      <c r="P196" s="53" t="s">
        <v>2189</v>
      </c>
      <c r="Q196" s="356"/>
      <c r="R196" s="356"/>
      <c r="S196" s="355" t="str">
        <f>IFERROR(__xludf.DUMMYFUNCTION("IMPORTRANGE(N196,""Infoー情報!B14"")"),"#N/A")</f>
        <v>#N/A</v>
      </c>
      <c r="T196" s="357" t="str">
        <f t="shared" si="5"/>
        <v/>
      </c>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row>
    <row r="197">
      <c r="A197" s="45"/>
      <c r="B197" s="21"/>
      <c r="C197" s="21"/>
      <c r="D197" s="21"/>
      <c r="E197" s="21"/>
      <c r="F197" s="223"/>
      <c r="G197" s="21"/>
      <c r="H197" s="21"/>
      <c r="I197" s="21"/>
      <c r="J197" s="357"/>
      <c r="K197" s="370"/>
      <c r="L197" s="21"/>
      <c r="M197" s="21"/>
      <c r="N197" s="21"/>
      <c r="O197" s="21"/>
      <c r="P197" s="53" t="s">
        <v>2189</v>
      </c>
      <c r="Q197" s="356"/>
      <c r="R197" s="356"/>
      <c r="S197" s="355" t="str">
        <f>IFERROR(__xludf.DUMMYFUNCTION("IMPORTRANGE(N197,""Infoー情報!B14"")"),"#N/A")</f>
        <v>#N/A</v>
      </c>
      <c r="T197" s="357" t="str">
        <f t="shared" si="5"/>
        <v/>
      </c>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row>
    <row r="198">
      <c r="A198" s="45"/>
      <c r="B198" s="21"/>
      <c r="C198" s="21"/>
      <c r="D198" s="21"/>
      <c r="E198" s="223"/>
      <c r="F198" s="223"/>
      <c r="G198" s="21"/>
      <c r="H198" s="21"/>
      <c r="I198" s="21"/>
      <c r="J198" s="357"/>
      <c r="K198" s="370"/>
      <c r="L198" s="21"/>
      <c r="M198" s="21"/>
      <c r="N198" s="21"/>
      <c r="O198" s="21"/>
      <c r="P198" s="53" t="s">
        <v>2189</v>
      </c>
      <c r="Q198" s="356"/>
      <c r="R198" s="356"/>
      <c r="S198" s="355" t="str">
        <f>IFERROR(__xludf.DUMMYFUNCTION("IMPORTRANGE(N198,""Infoー情報!B14"")"),"#N/A")</f>
        <v>#N/A</v>
      </c>
      <c r="T198" s="357" t="str">
        <f t="shared" si="5"/>
        <v/>
      </c>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row>
    <row r="199">
      <c r="A199" s="45"/>
      <c r="B199" s="21"/>
      <c r="C199" s="21"/>
      <c r="D199" s="21"/>
      <c r="E199" s="223"/>
      <c r="F199" s="223"/>
      <c r="G199" s="21"/>
      <c r="H199" s="21"/>
      <c r="I199" s="21"/>
      <c r="J199" s="357"/>
      <c r="K199" s="370"/>
      <c r="L199" s="21"/>
      <c r="M199" s="21"/>
      <c r="N199" s="21"/>
      <c r="O199" s="21"/>
      <c r="P199" s="53" t="s">
        <v>2189</v>
      </c>
      <c r="Q199" s="356"/>
      <c r="R199" s="356"/>
      <c r="S199" s="355" t="str">
        <f>IFERROR(__xludf.DUMMYFUNCTION("IMPORTRANGE(N199,""Infoー情報!B14"")"),"#N/A")</f>
        <v>#N/A</v>
      </c>
      <c r="T199" s="357" t="str">
        <f t="shared" si="5"/>
        <v/>
      </c>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row>
    <row r="200">
      <c r="A200" s="45"/>
      <c r="B200" s="21"/>
      <c r="C200" s="21"/>
      <c r="D200" s="21"/>
      <c r="E200" s="223"/>
      <c r="F200" s="223"/>
      <c r="G200" s="21"/>
      <c r="H200" s="21"/>
      <c r="I200" s="21"/>
      <c r="J200" s="357"/>
      <c r="K200" s="370"/>
      <c r="L200" s="21"/>
      <c r="M200" s="21"/>
      <c r="N200" s="21"/>
      <c r="O200" s="21"/>
      <c r="P200" s="53" t="s">
        <v>2189</v>
      </c>
      <c r="Q200" s="356"/>
      <c r="R200" s="356"/>
      <c r="S200" s="355" t="str">
        <f>IFERROR(__xludf.DUMMYFUNCTION("IMPORTRANGE(N200,""Infoー情報!B14"")"),"#N/A")</f>
        <v>#N/A</v>
      </c>
      <c r="T200" s="357" t="str">
        <f t="shared" si="5"/>
        <v/>
      </c>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row>
    <row r="201">
      <c r="A201" s="45"/>
      <c r="B201" s="21"/>
      <c r="C201" s="21"/>
      <c r="D201" s="21"/>
      <c r="E201" s="223"/>
      <c r="F201" s="223"/>
      <c r="G201" s="21"/>
      <c r="H201" s="21"/>
      <c r="I201" s="21"/>
      <c r="J201" s="357"/>
      <c r="K201" s="370"/>
      <c r="L201" s="21"/>
      <c r="M201" s="21"/>
      <c r="N201" s="21"/>
      <c r="O201" s="21"/>
      <c r="P201" s="53" t="s">
        <v>2189</v>
      </c>
      <c r="Q201" s="356"/>
      <c r="R201" s="356"/>
      <c r="S201" s="355" t="str">
        <f>IFERROR(__xludf.DUMMYFUNCTION("IMPORTRANGE(N201,""Infoー情報!B14"")"),"#N/A")</f>
        <v>#N/A</v>
      </c>
      <c r="T201" s="357" t="str">
        <f t="shared" si="5"/>
        <v/>
      </c>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row>
    <row r="202">
      <c r="A202" s="45"/>
      <c r="B202" s="21"/>
      <c r="C202" s="21"/>
      <c r="D202" s="21"/>
      <c r="E202" s="223"/>
      <c r="F202" s="223"/>
      <c r="G202" s="21"/>
      <c r="H202" s="21"/>
      <c r="I202" s="21"/>
      <c r="J202" s="357"/>
      <c r="K202" s="370"/>
      <c r="L202" s="21"/>
      <c r="M202" s="21"/>
      <c r="N202" s="21"/>
      <c r="O202" s="21"/>
      <c r="P202" s="53" t="s">
        <v>2189</v>
      </c>
      <c r="Q202" s="356"/>
      <c r="R202" s="356"/>
      <c r="S202" s="355" t="str">
        <f>IFERROR(__xludf.DUMMYFUNCTION("IMPORTRANGE(N202,""Infoー情報!B14"")"),"#N/A")</f>
        <v>#N/A</v>
      </c>
      <c r="T202" s="357" t="str">
        <f t="shared" si="5"/>
        <v/>
      </c>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row>
    <row r="203">
      <c r="A203" s="45"/>
      <c r="B203" s="21"/>
      <c r="C203" s="21"/>
      <c r="D203" s="21"/>
      <c r="E203" s="223"/>
      <c r="F203" s="223"/>
      <c r="G203" s="21"/>
      <c r="H203" s="21"/>
      <c r="I203" s="21"/>
      <c r="J203" s="357"/>
      <c r="K203" s="370"/>
      <c r="L203" s="21"/>
      <c r="M203" s="21"/>
      <c r="N203" s="21"/>
      <c r="O203" s="21"/>
      <c r="P203" s="53" t="s">
        <v>2189</v>
      </c>
      <c r="Q203" s="356"/>
      <c r="R203" s="356"/>
      <c r="S203" s="355" t="str">
        <f>IFERROR(__xludf.DUMMYFUNCTION("IMPORTRANGE(N203,""Infoー情報!B14"")"),"#N/A")</f>
        <v>#N/A</v>
      </c>
      <c r="T203" s="357" t="str">
        <f t="shared" si="5"/>
        <v/>
      </c>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row>
    <row r="204">
      <c r="A204" s="45"/>
      <c r="B204" s="21"/>
      <c r="C204" s="21"/>
      <c r="D204" s="21"/>
      <c r="E204" s="223"/>
      <c r="F204" s="223"/>
      <c r="G204" s="21"/>
      <c r="H204" s="21"/>
      <c r="I204" s="21"/>
      <c r="J204" s="357"/>
      <c r="K204" s="370"/>
      <c r="L204" s="21"/>
      <c r="M204" s="21"/>
      <c r="N204" s="21"/>
      <c r="O204" s="21"/>
      <c r="P204" s="53" t="s">
        <v>2189</v>
      </c>
      <c r="Q204" s="356"/>
      <c r="R204" s="356"/>
      <c r="S204" s="355" t="str">
        <f>IFERROR(__xludf.DUMMYFUNCTION("IMPORTRANGE(N204,""Infoー情報!B14"")"),"#N/A")</f>
        <v>#N/A</v>
      </c>
      <c r="T204" s="357" t="str">
        <f t="shared" si="5"/>
        <v/>
      </c>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row>
    <row r="205">
      <c r="A205" s="45"/>
      <c r="B205" s="21"/>
      <c r="C205" s="21"/>
      <c r="D205" s="21"/>
      <c r="E205" s="223"/>
      <c r="F205" s="223"/>
      <c r="G205" s="21"/>
      <c r="H205" s="21"/>
      <c r="I205" s="21"/>
      <c r="J205" s="357"/>
      <c r="K205" s="370"/>
      <c r="L205" s="21"/>
      <c r="M205" s="21"/>
      <c r="N205" s="21"/>
      <c r="O205" s="21"/>
      <c r="P205" s="53" t="s">
        <v>2189</v>
      </c>
      <c r="Q205" s="356"/>
      <c r="R205" s="356"/>
      <c r="S205" s="355" t="str">
        <f>IFERROR(__xludf.DUMMYFUNCTION("IMPORTRANGE(N205,""Infoー情報!B14"")"),"#N/A")</f>
        <v>#N/A</v>
      </c>
      <c r="T205" s="357" t="str">
        <f t="shared" si="5"/>
        <v/>
      </c>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row>
    <row r="206">
      <c r="A206" s="45"/>
      <c r="B206" s="21"/>
      <c r="C206" s="21"/>
      <c r="D206" s="21"/>
      <c r="E206" s="223"/>
      <c r="F206" s="223"/>
      <c r="G206" s="21"/>
      <c r="H206" s="21"/>
      <c r="I206" s="21"/>
      <c r="J206" s="357"/>
      <c r="K206" s="370"/>
      <c r="L206" s="21"/>
      <c r="M206" s="21"/>
      <c r="N206" s="21"/>
      <c r="O206" s="21"/>
      <c r="P206" s="53" t="s">
        <v>2189</v>
      </c>
      <c r="Q206" s="356"/>
      <c r="R206" s="356"/>
      <c r="S206" s="355" t="str">
        <f>IFERROR(__xludf.DUMMYFUNCTION("IMPORTRANGE(N206,""Infoー情報!B14"")"),"#N/A")</f>
        <v>#N/A</v>
      </c>
      <c r="T206" s="357" t="str">
        <f t="shared" si="5"/>
        <v/>
      </c>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row>
    <row r="207">
      <c r="A207" s="45"/>
      <c r="B207" s="21"/>
      <c r="C207" s="21"/>
      <c r="D207" s="21"/>
      <c r="E207" s="223"/>
      <c r="F207" s="223"/>
      <c r="G207" s="21"/>
      <c r="H207" s="21"/>
      <c r="I207" s="21"/>
      <c r="J207" s="357"/>
      <c r="K207" s="370"/>
      <c r="L207" s="21"/>
      <c r="M207" s="21"/>
      <c r="N207" s="21"/>
      <c r="O207" s="21"/>
      <c r="P207" s="53" t="s">
        <v>2189</v>
      </c>
      <c r="Q207" s="356"/>
      <c r="R207" s="356"/>
      <c r="S207" s="355" t="str">
        <f>IFERROR(__xludf.DUMMYFUNCTION("IMPORTRANGE(N207,""Infoー情報!B14"")"),"#N/A")</f>
        <v>#N/A</v>
      </c>
      <c r="T207" s="357" t="str">
        <f t="shared" si="5"/>
        <v/>
      </c>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row>
    <row r="208">
      <c r="A208" s="45"/>
      <c r="B208" s="21"/>
      <c r="C208" s="21"/>
      <c r="D208" s="21"/>
      <c r="E208" s="223"/>
      <c r="F208" s="223"/>
      <c r="G208" s="21"/>
      <c r="H208" s="21"/>
      <c r="I208" s="21"/>
      <c r="J208" s="357"/>
      <c r="K208" s="370"/>
      <c r="L208" s="21"/>
      <c r="M208" s="21"/>
      <c r="N208" s="21"/>
      <c r="O208" s="21"/>
      <c r="P208" s="53" t="s">
        <v>2189</v>
      </c>
      <c r="Q208" s="356"/>
      <c r="R208" s="356"/>
      <c r="S208" s="355" t="str">
        <f>IFERROR(__xludf.DUMMYFUNCTION("IMPORTRANGE(N208,""Infoー情報!B14"")"),"#N/A")</f>
        <v>#N/A</v>
      </c>
      <c r="T208" s="357" t="str">
        <f t="shared" si="5"/>
        <v/>
      </c>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row>
    <row r="209">
      <c r="A209" s="45"/>
      <c r="B209" s="21"/>
      <c r="C209" s="21"/>
      <c r="D209" s="21"/>
      <c r="E209" s="223"/>
      <c r="F209" s="223"/>
      <c r="G209" s="21"/>
      <c r="H209" s="21"/>
      <c r="I209" s="21"/>
      <c r="J209" s="357"/>
      <c r="K209" s="370"/>
      <c r="L209" s="21"/>
      <c r="M209" s="21"/>
      <c r="N209" s="21"/>
      <c r="O209" s="21"/>
      <c r="P209" s="53" t="s">
        <v>2189</v>
      </c>
      <c r="Q209" s="356"/>
      <c r="R209" s="356"/>
      <c r="S209" s="355" t="str">
        <f>IFERROR(__xludf.DUMMYFUNCTION("IMPORTRANGE(N209,""Infoー情報!B14"")"),"#N/A")</f>
        <v>#N/A</v>
      </c>
      <c r="T209" s="357" t="str">
        <f t="shared" si="5"/>
        <v/>
      </c>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row>
    <row r="210">
      <c r="A210" s="45"/>
      <c r="B210" s="21"/>
      <c r="C210" s="21"/>
      <c r="D210" s="21"/>
      <c r="E210" s="223"/>
      <c r="F210" s="223"/>
      <c r="G210" s="21"/>
      <c r="H210" s="21"/>
      <c r="I210" s="21"/>
      <c r="J210" s="357"/>
      <c r="K210" s="370"/>
      <c r="L210" s="21"/>
      <c r="M210" s="21"/>
      <c r="N210" s="21"/>
      <c r="O210" s="21"/>
      <c r="P210" s="53" t="s">
        <v>2189</v>
      </c>
      <c r="Q210" s="356"/>
      <c r="R210" s="356"/>
      <c r="S210" s="355" t="str">
        <f>IFERROR(__xludf.DUMMYFUNCTION("IMPORTRANGE(N210,""Infoー情報!B14"")"),"#N/A")</f>
        <v>#N/A</v>
      </c>
      <c r="T210" s="357" t="str">
        <f t="shared" si="5"/>
        <v/>
      </c>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row>
    <row r="211">
      <c r="A211" s="45"/>
      <c r="B211" s="21"/>
      <c r="C211" s="21"/>
      <c r="D211" s="21"/>
      <c r="E211" s="223"/>
      <c r="F211" s="223"/>
      <c r="G211" s="21"/>
      <c r="H211" s="21"/>
      <c r="I211" s="21"/>
      <c r="J211" s="357"/>
      <c r="K211" s="370"/>
      <c r="L211" s="21"/>
      <c r="M211" s="21"/>
      <c r="N211" s="21"/>
      <c r="O211" s="21"/>
      <c r="P211" s="53" t="s">
        <v>2189</v>
      </c>
      <c r="Q211" s="356"/>
      <c r="R211" s="356"/>
      <c r="S211" s="355" t="str">
        <f>IFERROR(__xludf.DUMMYFUNCTION("IMPORTRANGE(N211,""Infoー情報!B14"")"),"#N/A")</f>
        <v>#N/A</v>
      </c>
      <c r="T211" s="357" t="str">
        <f t="shared" si="5"/>
        <v/>
      </c>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row>
    <row r="212">
      <c r="A212" s="45"/>
      <c r="B212" s="21"/>
      <c r="C212" s="21"/>
      <c r="D212" s="21"/>
      <c r="E212" s="223"/>
      <c r="F212" s="223"/>
      <c r="G212" s="21"/>
      <c r="H212" s="21"/>
      <c r="I212" s="21"/>
      <c r="J212" s="357"/>
      <c r="K212" s="370"/>
      <c r="L212" s="21"/>
      <c r="M212" s="21"/>
      <c r="N212" s="21"/>
      <c r="O212" s="21"/>
      <c r="P212" s="53" t="s">
        <v>2189</v>
      </c>
      <c r="Q212" s="356"/>
      <c r="R212" s="356"/>
      <c r="S212" s="355" t="str">
        <f>IFERROR(__xludf.DUMMYFUNCTION("IMPORTRANGE(N212,""Infoー情報!B14"")"),"#N/A")</f>
        <v>#N/A</v>
      </c>
      <c r="T212" s="357" t="str">
        <f t="shared" si="5"/>
        <v/>
      </c>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row>
    <row r="213">
      <c r="A213" s="45"/>
      <c r="B213" s="21"/>
      <c r="C213" s="21"/>
      <c r="D213" s="21"/>
      <c r="E213" s="21"/>
      <c r="F213" s="21"/>
      <c r="G213" s="21"/>
      <c r="H213" s="21"/>
      <c r="I213" s="21"/>
      <c r="J213" s="21"/>
      <c r="K213" s="21"/>
      <c r="L213" s="21"/>
      <c r="M213" s="21"/>
      <c r="N213" s="21"/>
      <c r="O213" s="21"/>
      <c r="P213" s="53" t="s">
        <v>2189</v>
      </c>
      <c r="Q213" s="356"/>
      <c r="R213" s="356"/>
      <c r="S213" s="355" t="str">
        <f>IFERROR(__xludf.DUMMYFUNCTION("IMPORTRANGE(N213,""Infoー情報!B14"")"),"#N/A")</f>
        <v>#N/A</v>
      </c>
      <c r="T213" s="55" t="str">
        <f t="shared" si="5"/>
        <v/>
      </c>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row>
    <row r="214">
      <c r="A214" s="45"/>
      <c r="B214" s="420"/>
      <c r="C214" s="21"/>
      <c r="D214" s="21"/>
      <c r="E214" s="21"/>
      <c r="F214" s="21"/>
      <c r="G214" s="21"/>
      <c r="H214" s="21"/>
      <c r="I214" s="21"/>
      <c r="J214" s="21"/>
      <c r="K214" s="21"/>
      <c r="L214" s="21"/>
      <c r="M214" s="21"/>
      <c r="N214" s="21"/>
      <c r="O214" s="21"/>
      <c r="P214" s="53" t="s">
        <v>2189</v>
      </c>
      <c r="Q214" s="356"/>
      <c r="R214" s="356"/>
      <c r="S214" s="355" t="str">
        <f>IFERROR(__xludf.DUMMYFUNCTION("IMPORTRANGE(N214,""Infoー情報!B14"")"),"#N/A")</f>
        <v>#N/A</v>
      </c>
      <c r="T214" s="55" t="str">
        <f t="shared" si="5"/>
        <v/>
      </c>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row>
    <row r="215">
      <c r="A215" s="45"/>
      <c r="B215" s="21"/>
      <c r="C215" s="21"/>
      <c r="D215" s="21"/>
      <c r="E215" s="21"/>
      <c r="F215" s="21"/>
      <c r="G215" s="21"/>
      <c r="H215" s="21"/>
      <c r="I215" s="21"/>
      <c r="J215" s="21"/>
      <c r="K215" s="21"/>
      <c r="L215" s="21"/>
      <c r="M215" s="21"/>
      <c r="N215" s="21"/>
      <c r="O215" s="21"/>
      <c r="P215" s="53" t="s">
        <v>2189</v>
      </c>
      <c r="Q215" s="356"/>
      <c r="R215" s="356"/>
      <c r="S215" s="355" t="str">
        <f>IFERROR(__xludf.DUMMYFUNCTION("IMPORTRANGE(N215,""Infoー情報!B14"")"),"#N/A")</f>
        <v>#N/A</v>
      </c>
      <c r="T215" s="55" t="str">
        <f t="shared" si="5"/>
        <v/>
      </c>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row>
    <row r="216">
      <c r="A216" s="45"/>
      <c r="B216" s="21"/>
      <c r="C216" s="21"/>
      <c r="D216" s="21"/>
      <c r="E216" s="21"/>
      <c r="F216" s="21"/>
      <c r="G216" s="21"/>
      <c r="H216" s="21"/>
      <c r="I216" s="21"/>
      <c r="J216" s="21"/>
      <c r="K216" s="21"/>
      <c r="L216" s="21"/>
      <c r="M216" s="21"/>
      <c r="N216" s="21"/>
      <c r="O216" s="21"/>
      <c r="P216" s="53" t="s">
        <v>2189</v>
      </c>
      <c r="Q216" s="356"/>
      <c r="R216" s="356"/>
      <c r="S216" s="355" t="str">
        <f>IFERROR(__xludf.DUMMYFUNCTION("IMPORTRANGE(N216,""Infoー情報!B14"")"),"#N/A")</f>
        <v>#N/A</v>
      </c>
      <c r="T216" s="55" t="str">
        <f t="shared" si="5"/>
        <v/>
      </c>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row>
    <row r="217">
      <c r="A217" s="45"/>
      <c r="B217" s="21"/>
      <c r="C217" s="21"/>
      <c r="D217" s="21"/>
      <c r="E217" s="21"/>
      <c r="F217" s="21"/>
      <c r="G217" s="21"/>
      <c r="H217" s="21"/>
      <c r="I217" s="21"/>
      <c r="J217" s="21"/>
      <c r="K217" s="21"/>
      <c r="L217" s="21"/>
      <c r="M217" s="21"/>
      <c r="N217" s="21"/>
      <c r="O217" s="21"/>
      <c r="P217" s="53" t="s">
        <v>2189</v>
      </c>
      <c r="Q217" s="356"/>
      <c r="R217" s="356"/>
      <c r="S217" s="355" t="str">
        <f>IFERROR(__xludf.DUMMYFUNCTION("IMPORTRANGE(N217,""Infoー情報!B14"")"),"#N/A")</f>
        <v>#N/A</v>
      </c>
      <c r="T217" s="55" t="str">
        <f t="shared" si="5"/>
        <v/>
      </c>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row>
    <row r="218">
      <c r="A218" s="45"/>
      <c r="B218" s="21"/>
      <c r="C218" s="21"/>
      <c r="D218" s="21"/>
      <c r="E218" s="21"/>
      <c r="F218" s="21"/>
      <c r="G218" s="21"/>
      <c r="H218" s="21"/>
      <c r="I218" s="21"/>
      <c r="J218" s="21"/>
      <c r="K218" s="21"/>
      <c r="L218" s="21"/>
      <c r="M218" s="21"/>
      <c r="N218" s="21"/>
      <c r="O218" s="21"/>
      <c r="P218" s="53" t="s">
        <v>2189</v>
      </c>
      <c r="Q218" s="356"/>
      <c r="R218" s="356"/>
      <c r="S218" s="355" t="str">
        <f>IFERROR(__xludf.DUMMYFUNCTION("IMPORTRANGE(N218,""Infoー情報!B14"")"),"#N/A")</f>
        <v>#N/A</v>
      </c>
      <c r="T218" s="55" t="str">
        <f t="shared" si="5"/>
        <v/>
      </c>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row>
    <row r="219">
      <c r="A219" s="45"/>
      <c r="B219" s="21"/>
      <c r="C219" s="21"/>
      <c r="D219" s="21"/>
      <c r="E219" s="21"/>
      <c r="F219" s="21"/>
      <c r="G219" s="21"/>
      <c r="H219" s="21"/>
      <c r="I219" s="21"/>
      <c r="J219" s="21"/>
      <c r="K219" s="21"/>
      <c r="L219" s="21"/>
      <c r="M219" s="21"/>
      <c r="N219" s="21"/>
      <c r="O219" s="21"/>
      <c r="P219" s="53" t="s">
        <v>2189</v>
      </c>
      <c r="Q219" s="356"/>
      <c r="R219" s="356"/>
      <c r="S219" s="355" t="str">
        <f>IFERROR(__xludf.DUMMYFUNCTION("IMPORTRANGE(N219,""Infoー情報!B14"")"),"#N/A")</f>
        <v>#N/A</v>
      </c>
      <c r="T219" s="55" t="str">
        <f t="shared" si="5"/>
        <v/>
      </c>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row>
    <row r="220">
      <c r="A220" s="45"/>
      <c r="B220" s="21"/>
      <c r="C220" s="21"/>
      <c r="D220" s="21"/>
      <c r="E220" s="21"/>
      <c r="F220" s="21"/>
      <c r="G220" s="21"/>
      <c r="H220" s="21"/>
      <c r="I220" s="21"/>
      <c r="J220" s="21"/>
      <c r="K220" s="21"/>
      <c r="L220" s="21"/>
      <c r="M220" s="21"/>
      <c r="N220" s="21"/>
      <c r="O220" s="21"/>
      <c r="P220" s="53" t="s">
        <v>2189</v>
      </c>
      <c r="Q220" s="356"/>
      <c r="R220" s="356"/>
      <c r="S220" s="355" t="str">
        <f>IFERROR(__xludf.DUMMYFUNCTION("IMPORTRANGE(N220,""Infoー情報!B14"")"),"#N/A")</f>
        <v>#N/A</v>
      </c>
      <c r="T220" s="55" t="str">
        <f t="shared" si="5"/>
        <v/>
      </c>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row>
    <row r="221">
      <c r="A221" s="45"/>
      <c r="B221" s="21"/>
      <c r="C221" s="21"/>
      <c r="D221" s="21"/>
      <c r="E221" s="21"/>
      <c r="F221" s="21"/>
      <c r="G221" s="21"/>
      <c r="H221" s="21"/>
      <c r="I221" s="21"/>
      <c r="J221" s="21"/>
      <c r="K221" s="21"/>
      <c r="L221" s="21"/>
      <c r="M221" s="21"/>
      <c r="N221" s="21"/>
      <c r="O221" s="21"/>
      <c r="P221" s="53" t="s">
        <v>2189</v>
      </c>
      <c r="Q221" s="356"/>
      <c r="R221" s="356"/>
      <c r="S221" s="355" t="str">
        <f>IFERROR(__xludf.DUMMYFUNCTION("IMPORTRANGE(N221,""Infoー情報!B14"")"),"#N/A")</f>
        <v>#N/A</v>
      </c>
      <c r="T221" s="55" t="str">
        <f t="shared" si="5"/>
        <v/>
      </c>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row>
    <row r="222">
      <c r="A222" s="45"/>
      <c r="B222" s="21"/>
      <c r="C222" s="21"/>
      <c r="D222" s="21"/>
      <c r="E222" s="21"/>
      <c r="F222" s="21"/>
      <c r="G222" s="21"/>
      <c r="H222" s="21"/>
      <c r="I222" s="21"/>
      <c r="J222" s="21"/>
      <c r="K222" s="21"/>
      <c r="L222" s="21"/>
      <c r="M222" s="21"/>
      <c r="N222" s="21"/>
      <c r="O222" s="21"/>
      <c r="P222" s="53" t="s">
        <v>2189</v>
      </c>
      <c r="Q222" s="356"/>
      <c r="R222" s="356"/>
      <c r="S222" s="355" t="str">
        <f>IFERROR(__xludf.DUMMYFUNCTION("IMPORTRANGE(N222,""Infoー情報!B14"")"),"#N/A")</f>
        <v>#N/A</v>
      </c>
      <c r="T222" s="55" t="str">
        <f t="shared" si="5"/>
        <v/>
      </c>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row>
    <row r="223">
      <c r="A223" s="45"/>
      <c r="B223" s="21"/>
      <c r="C223" s="21"/>
      <c r="D223" s="21"/>
      <c r="E223" s="21"/>
      <c r="F223" s="21"/>
      <c r="G223" s="21"/>
      <c r="H223" s="21"/>
      <c r="I223" s="21"/>
      <c r="J223" s="21"/>
      <c r="K223" s="21"/>
      <c r="L223" s="21"/>
      <c r="M223" s="21"/>
      <c r="N223" s="21"/>
      <c r="O223" s="21"/>
      <c r="P223" s="53" t="s">
        <v>2189</v>
      </c>
      <c r="Q223" s="356"/>
      <c r="R223" s="356"/>
      <c r="S223" s="355" t="str">
        <f>IFERROR(__xludf.DUMMYFUNCTION("IMPORTRANGE(N223,""Infoー情報!B14"")"),"#N/A")</f>
        <v>#N/A</v>
      </c>
      <c r="T223" s="55" t="str">
        <f t="shared" si="5"/>
        <v/>
      </c>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row>
    <row r="224">
      <c r="A224" s="45"/>
      <c r="B224" s="21"/>
      <c r="C224" s="21"/>
      <c r="D224" s="21"/>
      <c r="E224" s="21"/>
      <c r="F224" s="21"/>
      <c r="G224" s="21"/>
      <c r="H224" s="21"/>
      <c r="I224" s="21"/>
      <c r="J224" s="21"/>
      <c r="K224" s="21"/>
      <c r="L224" s="21"/>
      <c r="M224" s="21"/>
      <c r="N224" s="21"/>
      <c r="O224" s="21"/>
      <c r="P224" s="53" t="s">
        <v>2189</v>
      </c>
      <c r="Q224" s="356"/>
      <c r="R224" s="356"/>
      <c r="S224" s="355" t="str">
        <f>IFERROR(__xludf.DUMMYFUNCTION("IMPORTRANGE(N224,""Infoー情報!B14"")"),"#N/A")</f>
        <v>#N/A</v>
      </c>
      <c r="T224" s="55" t="str">
        <f t="shared" si="5"/>
        <v/>
      </c>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row>
    <row r="225">
      <c r="A225" s="45"/>
      <c r="B225" s="21"/>
      <c r="C225" s="21"/>
      <c r="D225" s="21"/>
      <c r="E225" s="21"/>
      <c r="F225" s="21"/>
      <c r="G225" s="21"/>
      <c r="H225" s="21"/>
      <c r="I225" s="21"/>
      <c r="J225" s="21"/>
      <c r="K225" s="21"/>
      <c r="L225" s="21"/>
      <c r="M225" s="21"/>
      <c r="N225" s="21"/>
      <c r="O225" s="21"/>
      <c r="P225" s="53" t="s">
        <v>2189</v>
      </c>
      <c r="Q225" s="356"/>
      <c r="R225" s="356"/>
      <c r="S225" s="355" t="str">
        <f>IFERROR(__xludf.DUMMYFUNCTION("IMPORTRANGE(N225,""Infoー情報!B14"")"),"#N/A")</f>
        <v>#N/A</v>
      </c>
      <c r="T225" s="55" t="str">
        <f t="shared" si="5"/>
        <v/>
      </c>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row>
    <row r="226">
      <c r="A226" s="45"/>
      <c r="B226" s="21"/>
      <c r="C226" s="21"/>
      <c r="D226" s="21"/>
      <c r="E226" s="21"/>
      <c r="F226" s="21"/>
      <c r="G226" s="21"/>
      <c r="H226" s="21"/>
      <c r="I226" s="21"/>
      <c r="J226" s="21"/>
      <c r="K226" s="21"/>
      <c r="L226" s="21"/>
      <c r="M226" s="21"/>
      <c r="N226" s="21"/>
      <c r="O226" s="21"/>
      <c r="P226" s="53" t="s">
        <v>2189</v>
      </c>
      <c r="Q226" s="356"/>
      <c r="R226" s="356"/>
      <c r="S226" s="355" t="str">
        <f>IFERROR(__xludf.DUMMYFUNCTION("IMPORTRANGE(N226,""Infoー情報!B14"")"),"#N/A")</f>
        <v>#N/A</v>
      </c>
      <c r="T226" s="55" t="str">
        <f t="shared" si="5"/>
        <v/>
      </c>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row>
    <row r="227">
      <c r="A227" s="45"/>
      <c r="B227" s="21"/>
      <c r="C227" s="21"/>
      <c r="D227" s="21"/>
      <c r="E227" s="21"/>
      <c r="F227" s="21"/>
      <c r="G227" s="21"/>
      <c r="H227" s="21"/>
      <c r="I227" s="21"/>
      <c r="J227" s="21"/>
      <c r="K227" s="21"/>
      <c r="L227" s="21"/>
      <c r="M227" s="21"/>
      <c r="N227" s="21"/>
      <c r="O227" s="21"/>
      <c r="P227" s="53" t="s">
        <v>2189</v>
      </c>
      <c r="Q227" s="356"/>
      <c r="R227" s="356"/>
      <c r="S227" s="355" t="str">
        <f>IFERROR(__xludf.DUMMYFUNCTION("IMPORTRANGE(N227,""Infoー情報!B14"")"),"#N/A")</f>
        <v>#N/A</v>
      </c>
      <c r="T227" s="55" t="str">
        <f t="shared" si="5"/>
        <v/>
      </c>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row>
    <row r="228">
      <c r="A228" s="45"/>
      <c r="B228" s="21"/>
      <c r="C228" s="21"/>
      <c r="D228" s="21"/>
      <c r="E228" s="21"/>
      <c r="F228" s="21"/>
      <c r="G228" s="21"/>
      <c r="H228" s="21"/>
      <c r="I228" s="21"/>
      <c r="J228" s="21"/>
      <c r="K228" s="21"/>
      <c r="L228" s="21"/>
      <c r="M228" s="21"/>
      <c r="N228" s="21"/>
      <c r="O228" s="21"/>
      <c r="P228" s="53" t="s">
        <v>2189</v>
      </c>
      <c r="Q228" s="356"/>
      <c r="R228" s="356"/>
      <c r="S228" s="355" t="str">
        <f>IFERROR(__xludf.DUMMYFUNCTION("IMPORTRANGE(N228,""Infoー情報!B14"")"),"#N/A")</f>
        <v>#N/A</v>
      </c>
      <c r="T228" s="55" t="str">
        <f t="shared" si="5"/>
        <v/>
      </c>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row>
    <row r="229">
      <c r="A229" s="45"/>
      <c r="B229" s="20"/>
      <c r="C229" s="21"/>
      <c r="D229" s="21"/>
      <c r="E229" s="21"/>
      <c r="F229" s="21"/>
      <c r="G229" s="21"/>
      <c r="H229" s="21"/>
      <c r="I229" s="21"/>
      <c r="J229" s="21"/>
      <c r="K229" s="21"/>
      <c r="L229" s="21"/>
      <c r="M229" s="21"/>
      <c r="N229" s="21"/>
      <c r="O229" s="21"/>
      <c r="P229" s="53" t="s">
        <v>2189</v>
      </c>
      <c r="Q229" s="356"/>
      <c r="R229" s="356"/>
      <c r="S229" s="355" t="str">
        <f>IFERROR(__xludf.DUMMYFUNCTION("IMPORTRANGE(N229,""Infoー情報!B14"")"),"#N/A")</f>
        <v>#N/A</v>
      </c>
      <c r="T229" s="55" t="str">
        <f t="shared" si="5"/>
        <v/>
      </c>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row>
    <row r="230">
      <c r="A230" s="45"/>
      <c r="B230" s="21"/>
      <c r="C230" s="21"/>
      <c r="D230" s="21"/>
      <c r="E230" s="21"/>
      <c r="F230" s="21"/>
      <c r="G230" s="21"/>
      <c r="H230" s="21"/>
      <c r="I230" s="21"/>
      <c r="J230" s="21"/>
      <c r="K230" s="21"/>
      <c r="L230" s="21"/>
      <c r="M230" s="21"/>
      <c r="N230" s="21"/>
      <c r="O230" s="21"/>
      <c r="P230" s="53" t="s">
        <v>2189</v>
      </c>
      <c r="Q230" s="356"/>
      <c r="R230" s="356"/>
      <c r="S230" s="355" t="str">
        <f>IFERROR(__xludf.DUMMYFUNCTION("IMPORTRANGE(N230,""Infoー情報!B14"")"),"#N/A")</f>
        <v>#N/A</v>
      </c>
      <c r="T230" s="55" t="str">
        <f t="shared" si="5"/>
        <v/>
      </c>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row>
    <row r="231">
      <c r="P231" s="53" t="s">
        <v>2189</v>
      </c>
    </row>
  </sheetData>
  <mergeCells count="11">
    <mergeCell ref="AJ1:AL1"/>
    <mergeCell ref="AM1:AO1"/>
    <mergeCell ref="AP1:AR1"/>
    <mergeCell ref="AS1:AU1"/>
    <mergeCell ref="U1:U2"/>
    <mergeCell ref="V1:V2"/>
    <mergeCell ref="W1:W2"/>
    <mergeCell ref="X1:Z1"/>
    <mergeCell ref="AA1:AC1"/>
    <mergeCell ref="AD1:AF1"/>
    <mergeCell ref="AG1:AI1"/>
  </mergeCells>
  <dataValidations>
    <dataValidation type="list" allowBlank="1" sqref="P2:P231">
      <formula1>Setting!$G$2:$G$18</formula1>
    </dataValidation>
    <dataValidation type="custom" allowBlank="1" showDropDown="1" sqref="Q2:R230">
      <formula1>OR(NOT(ISERROR(DATEVALUE(Q2))), AND(ISNUMBER(Q2), LEFT(CELL("format", Q2))="D"))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23.25"/>
  </cols>
  <sheetData>
    <row r="1">
      <c r="A1" s="86" t="s">
        <v>2636</v>
      </c>
      <c r="C1" s="392" t="s">
        <v>2637</v>
      </c>
    </row>
    <row r="2">
      <c r="A2" s="86" t="s">
        <v>2639</v>
      </c>
      <c r="C2" s="392" t="s">
        <v>2637</v>
      </c>
    </row>
    <row r="3">
      <c r="A3" s="86" t="s">
        <v>2642</v>
      </c>
      <c r="C3" s="392" t="s">
        <v>2637</v>
      </c>
    </row>
    <row r="4">
      <c r="A4" s="86" t="s">
        <v>2643</v>
      </c>
      <c r="C4" s="392" t="s">
        <v>2637</v>
      </c>
    </row>
    <row r="5">
      <c r="A5" s="86" t="s">
        <v>2644</v>
      </c>
      <c r="C5" s="392" t="s">
        <v>2637</v>
      </c>
      <c r="D5" s="86" t="s">
        <v>2646</v>
      </c>
      <c r="E5" s="393" t="s">
        <v>2647</v>
      </c>
    </row>
    <row r="6">
      <c r="A6" s="86" t="s">
        <v>2648</v>
      </c>
      <c r="C6" s="392" t="s">
        <v>2637</v>
      </c>
    </row>
    <row r="7">
      <c r="A7" s="86" t="s">
        <v>2650</v>
      </c>
      <c r="C7" s="393" t="s">
        <v>2637</v>
      </c>
    </row>
    <row r="8">
      <c r="A8" s="86" t="s">
        <v>2652</v>
      </c>
      <c r="C8" s="393" t="s">
        <v>2637</v>
      </c>
    </row>
    <row r="9">
      <c r="A9" s="86" t="s">
        <v>2653</v>
      </c>
      <c r="C9" s="393" t="s">
        <v>2637</v>
      </c>
    </row>
    <row r="10">
      <c r="A10" s="86" t="s">
        <v>2655</v>
      </c>
      <c r="C10" s="393" t="s">
        <v>2637</v>
      </c>
    </row>
    <row r="11">
      <c r="A11" s="86" t="s">
        <v>2660</v>
      </c>
      <c r="C11" s="393" t="s">
        <v>2637</v>
      </c>
    </row>
    <row r="12">
      <c r="A12" s="86" t="s">
        <v>2661</v>
      </c>
      <c r="C12" s="393" t="s">
        <v>2637</v>
      </c>
    </row>
    <row r="13">
      <c r="A13" s="86" t="s">
        <v>2663</v>
      </c>
      <c r="C13" s="393" t="s">
        <v>2637</v>
      </c>
    </row>
    <row r="14">
      <c r="A14" s="86" t="s">
        <v>2664</v>
      </c>
      <c r="C14" s="393" t="s">
        <v>2637</v>
      </c>
    </row>
    <row r="15">
      <c r="A15" s="86" t="s">
        <v>2666</v>
      </c>
      <c r="C15" s="393" t="s">
        <v>2637</v>
      </c>
    </row>
    <row r="16">
      <c r="A16" s="86" t="s">
        <v>2668</v>
      </c>
      <c r="C16" s="393" t="s">
        <v>2637</v>
      </c>
    </row>
  </sheetData>
  <hyperlinks>
    <hyperlink r:id="rId1" location="gid=0" ref="C1"/>
    <hyperlink r:id="rId2" location="gid=984539866" ref="C2"/>
    <hyperlink r:id="rId3" location="gid=0" ref="C3"/>
    <hyperlink r:id="rId4" ref="C4"/>
    <hyperlink r:id="rId5" location="gid=120906238" ref="C5"/>
    <hyperlink r:id="rId6" ref="E5"/>
    <hyperlink r:id="rId7" location="gid=0" ref="C6"/>
    <hyperlink r:id="rId8" ref="C7"/>
    <hyperlink r:id="rId9" location="gid=0" ref="C8"/>
    <hyperlink r:id="rId10" location="gid=514020921" ref="C9"/>
    <hyperlink r:id="rId11" ref="C10"/>
    <hyperlink r:id="rId12" ref="C11"/>
    <hyperlink r:id="rId13" ref="C12"/>
    <hyperlink r:id="rId14" location="gid=1754970921" ref="C13"/>
    <hyperlink r:id="rId15" location="gid=1072495818" ref="C14"/>
    <hyperlink r:id="rId16" ref="C15"/>
    <hyperlink r:id="rId17" ref="C16"/>
  </hyperlinks>
  <drawing r:id="rId1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6" max="16" width="20.5"/>
  </cols>
  <sheetData>
    <row r="1">
      <c r="A1" s="397" t="s">
        <v>2677</v>
      </c>
      <c r="B1" s="398"/>
      <c r="C1" s="399"/>
      <c r="D1" s="399"/>
      <c r="E1" s="399"/>
      <c r="F1" s="399"/>
      <c r="G1" s="399"/>
      <c r="H1" s="399"/>
      <c r="I1" s="400"/>
      <c r="J1" s="399"/>
      <c r="K1" s="399"/>
      <c r="L1" s="399"/>
      <c r="M1" s="399"/>
      <c r="N1" s="401"/>
      <c r="O1" s="399"/>
      <c r="P1" s="402" t="s">
        <v>2679</v>
      </c>
      <c r="Q1" s="403"/>
      <c r="R1" s="403"/>
      <c r="S1" s="403"/>
      <c r="T1" s="403"/>
      <c r="U1" s="404"/>
    </row>
    <row r="2">
      <c r="A2" s="405" t="s">
        <v>96</v>
      </c>
      <c r="B2" s="406" t="s">
        <v>109</v>
      </c>
      <c r="C2" s="405" t="s">
        <v>114</v>
      </c>
      <c r="D2" s="405" t="s">
        <v>116</v>
      </c>
      <c r="E2" s="405" t="s">
        <v>117</v>
      </c>
      <c r="F2" s="405" t="s">
        <v>118</v>
      </c>
      <c r="G2" s="405" t="s">
        <v>119</v>
      </c>
      <c r="H2" s="405" t="s">
        <v>121</v>
      </c>
      <c r="I2" s="407" t="s">
        <v>125</v>
      </c>
      <c r="J2" s="405" t="s">
        <v>131</v>
      </c>
      <c r="K2" s="405" t="s">
        <v>134</v>
      </c>
      <c r="L2" s="405" t="s">
        <v>135</v>
      </c>
      <c r="M2" s="405" t="s">
        <v>136</v>
      </c>
      <c r="N2" s="408" t="s">
        <v>275</v>
      </c>
      <c r="O2" s="405" t="s">
        <v>139</v>
      </c>
      <c r="P2" s="409" t="s">
        <v>2680</v>
      </c>
      <c r="Q2" s="409" t="s">
        <v>2682</v>
      </c>
      <c r="R2" s="410" t="s">
        <v>2299</v>
      </c>
      <c r="S2" s="411" t="s">
        <v>2682</v>
      </c>
      <c r="T2" s="412" t="s">
        <v>2300</v>
      </c>
      <c r="U2" s="413" t="s">
        <v>2682</v>
      </c>
    </row>
    <row r="3">
      <c r="A3" s="414"/>
      <c r="B3" s="414"/>
      <c r="C3" s="414"/>
      <c r="D3" s="414"/>
      <c r="E3" s="414"/>
      <c r="F3" s="414"/>
      <c r="G3" s="414"/>
      <c r="H3" s="414"/>
      <c r="I3" s="414"/>
      <c r="J3" s="414"/>
      <c r="K3" s="414"/>
      <c r="L3" s="414"/>
      <c r="M3" s="414"/>
      <c r="N3" s="414"/>
      <c r="O3" s="414"/>
      <c r="P3" s="414"/>
      <c r="Q3" s="414"/>
      <c r="R3" s="414"/>
      <c r="S3" s="414"/>
      <c r="T3" s="414"/>
      <c r="U3" s="414"/>
    </row>
    <row r="4">
      <c r="A4" s="414"/>
      <c r="B4" s="414"/>
      <c r="C4" s="414"/>
      <c r="D4" s="414"/>
      <c r="E4" s="414"/>
      <c r="F4" s="414"/>
      <c r="G4" s="414"/>
      <c r="H4" s="414"/>
      <c r="I4" s="414"/>
      <c r="J4" s="414"/>
      <c r="K4" s="414"/>
      <c r="L4" s="414"/>
      <c r="M4" s="414"/>
      <c r="N4" s="414"/>
      <c r="O4" s="414"/>
      <c r="P4" s="414"/>
      <c r="Q4" s="414"/>
      <c r="R4" s="414"/>
      <c r="S4" s="414"/>
      <c r="T4" s="414"/>
      <c r="U4" s="414"/>
    </row>
    <row r="5">
      <c r="A5" s="414"/>
      <c r="B5" s="414"/>
      <c r="C5" s="414"/>
      <c r="D5" s="414"/>
      <c r="E5" s="414"/>
      <c r="F5" s="414"/>
      <c r="G5" s="414"/>
      <c r="H5" s="414"/>
      <c r="I5" s="414"/>
      <c r="J5" s="414"/>
      <c r="K5" s="414"/>
      <c r="L5" s="414"/>
      <c r="M5" s="414"/>
      <c r="N5" s="414"/>
      <c r="O5" s="414"/>
      <c r="P5" s="414"/>
      <c r="Q5" s="414"/>
      <c r="R5" s="414"/>
      <c r="S5" s="414"/>
      <c r="T5" s="414"/>
      <c r="U5" s="414"/>
    </row>
    <row r="6">
      <c r="A6" s="414"/>
      <c r="B6" s="414"/>
      <c r="C6" s="414"/>
      <c r="D6" s="414"/>
      <c r="E6" s="414"/>
      <c r="F6" s="414"/>
      <c r="G6" s="414"/>
      <c r="H6" s="414"/>
      <c r="I6" s="414"/>
      <c r="J6" s="414"/>
      <c r="K6" s="414"/>
      <c r="L6" s="414"/>
      <c r="M6" s="414"/>
      <c r="N6" s="414"/>
      <c r="O6" s="414"/>
      <c r="P6" s="414"/>
      <c r="Q6" s="414"/>
      <c r="R6" s="414"/>
      <c r="S6" s="414"/>
      <c r="T6" s="414"/>
      <c r="U6" s="414"/>
    </row>
    <row r="7">
      <c r="A7" s="414"/>
      <c r="B7" s="414"/>
      <c r="C7" s="414"/>
      <c r="D7" s="414"/>
      <c r="E7" s="414"/>
      <c r="F7" s="414"/>
      <c r="G7" s="414"/>
      <c r="H7" s="414"/>
      <c r="I7" s="414"/>
      <c r="J7" s="414"/>
      <c r="K7" s="414"/>
      <c r="L7" s="414"/>
      <c r="M7" s="414"/>
      <c r="N7" s="414"/>
      <c r="O7" s="414"/>
      <c r="P7" s="414"/>
      <c r="Q7" s="414"/>
      <c r="R7" s="414"/>
      <c r="S7" s="414"/>
      <c r="T7" s="414"/>
      <c r="U7" s="414"/>
    </row>
    <row r="8">
      <c r="A8" s="414"/>
      <c r="B8" s="414"/>
      <c r="C8" s="414"/>
      <c r="D8" s="414"/>
      <c r="E8" s="414"/>
      <c r="F8" s="414"/>
      <c r="G8" s="414"/>
      <c r="H8" s="414"/>
      <c r="I8" s="414"/>
      <c r="J8" s="414"/>
      <c r="K8" s="414"/>
      <c r="L8" s="414"/>
      <c r="M8" s="414"/>
      <c r="N8" s="414"/>
      <c r="O8" s="414"/>
      <c r="P8" s="414"/>
      <c r="Q8" s="414"/>
      <c r="R8" s="414"/>
      <c r="S8" s="414"/>
      <c r="T8" s="414"/>
      <c r="U8" s="414"/>
    </row>
    <row r="9">
      <c r="A9" s="414"/>
      <c r="B9" s="414"/>
      <c r="C9" s="414"/>
      <c r="D9" s="414"/>
      <c r="E9" s="414"/>
      <c r="F9" s="414"/>
      <c r="G9" s="414"/>
      <c r="H9" s="414"/>
      <c r="I9" s="414"/>
      <c r="J9" s="414"/>
      <c r="K9" s="414"/>
      <c r="L9" s="414"/>
      <c r="M9" s="414"/>
      <c r="N9" s="414"/>
      <c r="O9" s="414"/>
      <c r="P9" s="414"/>
      <c r="Q9" s="414"/>
      <c r="R9" s="414"/>
      <c r="S9" s="414"/>
      <c r="T9" s="414"/>
      <c r="U9" s="414"/>
    </row>
    <row r="10">
      <c r="A10" s="414"/>
      <c r="B10" s="414"/>
      <c r="C10" s="414"/>
      <c r="D10" s="414"/>
      <c r="E10" s="414"/>
      <c r="F10" s="414"/>
      <c r="G10" s="414"/>
      <c r="H10" s="414"/>
      <c r="I10" s="414"/>
      <c r="J10" s="414"/>
      <c r="K10" s="414"/>
      <c r="L10" s="414"/>
      <c r="M10" s="414"/>
      <c r="N10" s="414"/>
      <c r="O10" s="414"/>
      <c r="P10" s="414"/>
      <c r="Q10" s="414"/>
      <c r="R10" s="414"/>
      <c r="S10" s="414"/>
      <c r="T10" s="414"/>
      <c r="U10" s="414"/>
    </row>
    <row r="11">
      <c r="A11" s="414"/>
      <c r="B11" s="414"/>
      <c r="C11" s="414"/>
      <c r="D11" s="414"/>
      <c r="E11" s="414"/>
      <c r="F11" s="414"/>
      <c r="G11" s="414"/>
      <c r="H11" s="414"/>
      <c r="I11" s="414"/>
      <c r="J11" s="414"/>
      <c r="K11" s="414"/>
      <c r="L11" s="414"/>
      <c r="M11" s="414"/>
      <c r="N11" s="414"/>
      <c r="O11" s="414"/>
      <c r="P11" s="414"/>
      <c r="Q11" s="414"/>
      <c r="R11" s="414"/>
      <c r="S11" s="414"/>
      <c r="T11" s="414"/>
      <c r="U11" s="414"/>
    </row>
    <row r="12">
      <c r="A12" s="414"/>
      <c r="B12" s="414"/>
      <c r="C12" s="414"/>
      <c r="D12" s="414"/>
      <c r="E12" s="414"/>
      <c r="F12" s="414"/>
      <c r="G12" s="414"/>
      <c r="H12" s="414"/>
      <c r="I12" s="414"/>
      <c r="J12" s="414"/>
      <c r="K12" s="414"/>
      <c r="L12" s="414"/>
      <c r="M12" s="414"/>
      <c r="N12" s="414"/>
      <c r="O12" s="414"/>
      <c r="P12" s="414"/>
      <c r="Q12" s="414"/>
      <c r="R12" s="414"/>
      <c r="S12" s="414"/>
      <c r="T12" s="414"/>
      <c r="U12" s="414"/>
    </row>
    <row r="13">
      <c r="A13" s="414"/>
      <c r="B13" s="414"/>
      <c r="C13" s="414"/>
      <c r="D13" s="414"/>
      <c r="E13" s="414"/>
      <c r="F13" s="414"/>
      <c r="G13" s="414"/>
      <c r="H13" s="414"/>
      <c r="I13" s="414"/>
      <c r="J13" s="414"/>
      <c r="K13" s="414"/>
      <c r="L13" s="414"/>
      <c r="M13" s="414"/>
      <c r="N13" s="414"/>
      <c r="O13" s="414"/>
      <c r="P13" s="414"/>
      <c r="Q13" s="414"/>
      <c r="R13" s="414"/>
      <c r="S13" s="414"/>
      <c r="T13" s="414"/>
      <c r="U13" s="414"/>
    </row>
    <row r="14">
      <c r="A14" s="414"/>
      <c r="B14" s="414"/>
      <c r="C14" s="414"/>
      <c r="D14" s="414"/>
      <c r="E14" s="414"/>
      <c r="F14" s="414"/>
      <c r="G14" s="414"/>
      <c r="H14" s="414"/>
      <c r="I14" s="414"/>
      <c r="J14" s="414"/>
      <c r="K14" s="414"/>
      <c r="L14" s="414"/>
      <c r="M14" s="414"/>
      <c r="N14" s="414"/>
      <c r="O14" s="414"/>
      <c r="P14" s="414"/>
      <c r="Q14" s="414"/>
      <c r="R14" s="414"/>
      <c r="S14" s="414"/>
      <c r="T14" s="414"/>
      <c r="U14" s="414"/>
    </row>
    <row r="15">
      <c r="A15" s="414"/>
      <c r="B15" s="414"/>
      <c r="C15" s="414"/>
      <c r="D15" s="414"/>
      <c r="E15" s="414"/>
      <c r="F15" s="414"/>
      <c r="G15" s="414"/>
      <c r="H15" s="414"/>
      <c r="I15" s="414"/>
      <c r="J15" s="414"/>
      <c r="K15" s="414"/>
      <c r="L15" s="414"/>
      <c r="M15" s="414"/>
      <c r="N15" s="414"/>
      <c r="O15" s="414"/>
      <c r="P15" s="414"/>
      <c r="Q15" s="414"/>
      <c r="R15" s="414"/>
      <c r="S15" s="414"/>
      <c r="T15" s="414"/>
      <c r="U15" s="414"/>
    </row>
    <row r="16">
      <c r="A16" s="414"/>
      <c r="B16" s="414"/>
      <c r="C16" s="414"/>
      <c r="D16" s="414"/>
      <c r="E16" s="414"/>
      <c r="F16" s="414"/>
      <c r="G16" s="414"/>
      <c r="H16" s="414"/>
      <c r="I16" s="414"/>
      <c r="J16" s="414"/>
      <c r="K16" s="414"/>
      <c r="L16" s="414"/>
      <c r="M16" s="414"/>
      <c r="N16" s="414"/>
      <c r="O16" s="414"/>
      <c r="P16" s="414"/>
      <c r="Q16" s="414"/>
      <c r="R16" s="414"/>
      <c r="S16" s="414"/>
      <c r="T16" s="414"/>
      <c r="U16" s="414"/>
    </row>
    <row r="17">
      <c r="A17" s="414"/>
      <c r="B17" s="414"/>
      <c r="C17" s="414"/>
      <c r="D17" s="414"/>
      <c r="E17" s="414"/>
      <c r="F17" s="414"/>
      <c r="G17" s="414"/>
      <c r="H17" s="414"/>
      <c r="I17" s="414"/>
      <c r="J17" s="414"/>
      <c r="K17" s="414"/>
      <c r="L17" s="414"/>
      <c r="M17" s="414"/>
      <c r="N17" s="414"/>
      <c r="O17" s="414"/>
      <c r="P17" s="414"/>
      <c r="Q17" s="414"/>
      <c r="R17" s="414"/>
      <c r="S17" s="414"/>
      <c r="T17" s="414"/>
      <c r="U17" s="414"/>
    </row>
    <row r="18">
      <c r="A18" s="414"/>
      <c r="B18" s="414"/>
      <c r="C18" s="414"/>
      <c r="D18" s="414"/>
      <c r="E18" s="414"/>
      <c r="F18" s="414"/>
      <c r="G18" s="414"/>
      <c r="H18" s="414"/>
      <c r="I18" s="414"/>
      <c r="J18" s="414"/>
      <c r="K18" s="414"/>
      <c r="L18" s="414"/>
      <c r="M18" s="414"/>
      <c r="N18" s="414"/>
      <c r="O18" s="414"/>
      <c r="P18" s="414"/>
      <c r="Q18" s="414"/>
      <c r="R18" s="414"/>
      <c r="S18" s="414"/>
      <c r="T18" s="414"/>
      <c r="U18" s="414"/>
    </row>
    <row r="19">
      <c r="A19" s="414"/>
      <c r="B19" s="414"/>
      <c r="C19" s="414"/>
      <c r="D19" s="414"/>
      <c r="E19" s="414"/>
      <c r="F19" s="414"/>
      <c r="G19" s="414"/>
      <c r="H19" s="414"/>
      <c r="I19" s="414"/>
      <c r="J19" s="414"/>
      <c r="K19" s="414"/>
      <c r="L19" s="414"/>
      <c r="M19" s="414"/>
      <c r="N19" s="414"/>
      <c r="O19" s="414"/>
      <c r="P19" s="414"/>
      <c r="Q19" s="414"/>
      <c r="R19" s="414"/>
      <c r="S19" s="414"/>
      <c r="T19" s="414"/>
      <c r="U19" s="414"/>
    </row>
    <row r="20">
      <c r="A20" s="414"/>
      <c r="B20" s="414"/>
      <c r="C20" s="414"/>
      <c r="D20" s="414"/>
      <c r="E20" s="414"/>
      <c r="F20" s="414"/>
      <c r="G20" s="414"/>
      <c r="H20" s="414"/>
      <c r="I20" s="414"/>
      <c r="J20" s="414"/>
      <c r="K20" s="414"/>
      <c r="L20" s="414"/>
      <c r="M20" s="414"/>
      <c r="N20" s="414"/>
      <c r="O20" s="414"/>
      <c r="P20" s="414"/>
      <c r="Q20" s="414"/>
      <c r="R20" s="414"/>
      <c r="S20" s="414"/>
      <c r="T20" s="414"/>
      <c r="U20" s="414"/>
    </row>
    <row r="21">
      <c r="A21" s="414"/>
      <c r="B21" s="414"/>
      <c r="C21" s="414"/>
      <c r="D21" s="414"/>
      <c r="E21" s="414"/>
      <c r="F21" s="414"/>
      <c r="G21" s="414"/>
      <c r="H21" s="414"/>
      <c r="I21" s="414"/>
      <c r="J21" s="414"/>
      <c r="K21" s="414"/>
      <c r="L21" s="414"/>
      <c r="M21" s="414"/>
      <c r="N21" s="414"/>
      <c r="O21" s="414"/>
      <c r="P21" s="414"/>
      <c r="Q21" s="414"/>
      <c r="R21" s="414"/>
      <c r="S21" s="414"/>
      <c r="T21" s="414"/>
      <c r="U21" s="414"/>
    </row>
    <row r="22">
      <c r="A22" s="414"/>
      <c r="B22" s="414"/>
      <c r="C22" s="414"/>
      <c r="D22" s="414"/>
      <c r="E22" s="414"/>
      <c r="F22" s="414"/>
      <c r="G22" s="414"/>
      <c r="H22" s="414"/>
      <c r="I22" s="414"/>
      <c r="J22" s="414"/>
      <c r="K22" s="414"/>
      <c r="L22" s="414"/>
      <c r="M22" s="414"/>
      <c r="N22" s="414"/>
      <c r="O22" s="414"/>
      <c r="P22" s="414"/>
      <c r="Q22" s="414"/>
      <c r="R22" s="414"/>
      <c r="S22" s="414"/>
      <c r="T22" s="414"/>
      <c r="U22" s="414"/>
    </row>
    <row r="23">
      <c r="A23" s="414"/>
      <c r="B23" s="414"/>
      <c r="C23" s="414"/>
      <c r="D23" s="414"/>
      <c r="E23" s="414"/>
      <c r="F23" s="414"/>
      <c r="G23" s="414"/>
      <c r="H23" s="414"/>
      <c r="I23" s="414"/>
      <c r="J23" s="414"/>
      <c r="K23" s="414"/>
      <c r="L23" s="414"/>
      <c r="M23" s="414"/>
      <c r="N23" s="414"/>
      <c r="O23" s="414"/>
      <c r="P23" s="414"/>
      <c r="Q23" s="414"/>
      <c r="R23" s="414"/>
      <c r="S23" s="414"/>
      <c r="T23" s="414"/>
      <c r="U23" s="414"/>
    </row>
    <row r="24">
      <c r="A24" s="414"/>
      <c r="B24" s="414"/>
      <c r="C24" s="414"/>
      <c r="D24" s="414"/>
      <c r="E24" s="414"/>
      <c r="F24" s="414"/>
      <c r="G24" s="414"/>
      <c r="H24" s="414"/>
      <c r="I24" s="414"/>
      <c r="J24" s="414"/>
      <c r="K24" s="414"/>
      <c r="L24" s="414"/>
      <c r="M24" s="414"/>
      <c r="N24" s="414"/>
      <c r="O24" s="414"/>
      <c r="P24" s="414"/>
      <c r="Q24" s="414"/>
      <c r="R24" s="414"/>
      <c r="S24" s="414"/>
      <c r="T24" s="414"/>
      <c r="U24" s="414"/>
    </row>
    <row r="25">
      <c r="A25" s="414"/>
      <c r="B25" s="414"/>
      <c r="C25" s="414"/>
      <c r="D25" s="414"/>
      <c r="E25" s="414"/>
      <c r="F25" s="414"/>
      <c r="G25" s="414"/>
      <c r="H25" s="414"/>
      <c r="I25" s="414"/>
      <c r="J25" s="414"/>
      <c r="K25" s="414"/>
      <c r="L25" s="414"/>
      <c r="M25" s="414"/>
      <c r="N25" s="414"/>
      <c r="O25" s="414"/>
      <c r="P25" s="414"/>
      <c r="Q25" s="414"/>
      <c r="R25" s="414"/>
      <c r="S25" s="414"/>
      <c r="T25" s="414"/>
      <c r="U25" s="414"/>
    </row>
    <row r="26">
      <c r="A26" s="414"/>
      <c r="B26" s="414"/>
      <c r="C26" s="414"/>
      <c r="D26" s="414"/>
      <c r="E26" s="414"/>
      <c r="F26" s="414"/>
      <c r="G26" s="414"/>
      <c r="H26" s="414"/>
      <c r="I26" s="414"/>
      <c r="J26" s="414"/>
      <c r="K26" s="414"/>
      <c r="L26" s="414"/>
      <c r="M26" s="414"/>
      <c r="N26" s="414"/>
      <c r="O26" s="414"/>
      <c r="P26" s="414"/>
      <c r="Q26" s="414"/>
      <c r="R26" s="414"/>
      <c r="S26" s="414"/>
      <c r="T26" s="414"/>
      <c r="U26" s="414"/>
    </row>
    <row r="27">
      <c r="A27" s="414"/>
      <c r="B27" s="414"/>
      <c r="C27" s="414"/>
      <c r="D27" s="414"/>
      <c r="E27" s="414"/>
      <c r="F27" s="414"/>
      <c r="G27" s="414"/>
      <c r="H27" s="414"/>
      <c r="I27" s="414"/>
      <c r="J27" s="414"/>
      <c r="K27" s="414"/>
      <c r="L27" s="414"/>
      <c r="M27" s="414"/>
      <c r="N27" s="414"/>
      <c r="O27" s="414"/>
      <c r="P27" s="414"/>
      <c r="Q27" s="414"/>
      <c r="R27" s="414"/>
      <c r="S27" s="414"/>
      <c r="T27" s="414"/>
      <c r="U27" s="414"/>
    </row>
    <row r="28">
      <c r="A28" s="414"/>
      <c r="B28" s="414"/>
      <c r="C28" s="414"/>
      <c r="D28" s="414"/>
      <c r="E28" s="414"/>
      <c r="F28" s="414"/>
      <c r="G28" s="414"/>
      <c r="H28" s="414"/>
      <c r="I28" s="414"/>
      <c r="J28" s="414"/>
      <c r="K28" s="414"/>
      <c r="L28" s="414"/>
      <c r="M28" s="414"/>
      <c r="N28" s="414"/>
      <c r="O28" s="414"/>
      <c r="P28" s="414"/>
      <c r="Q28" s="414"/>
      <c r="R28" s="414"/>
      <c r="S28" s="414"/>
      <c r="T28" s="414"/>
      <c r="U28" s="414"/>
    </row>
    <row r="29">
      <c r="A29" s="414"/>
      <c r="B29" s="414"/>
      <c r="C29" s="414"/>
      <c r="D29" s="414"/>
      <c r="E29" s="414"/>
      <c r="F29" s="414"/>
      <c r="G29" s="414"/>
      <c r="H29" s="414"/>
      <c r="I29" s="414"/>
      <c r="J29" s="414"/>
      <c r="K29" s="414"/>
      <c r="L29" s="414"/>
      <c r="M29" s="414"/>
      <c r="N29" s="414"/>
      <c r="O29" s="414"/>
      <c r="P29" s="414"/>
      <c r="Q29" s="414"/>
      <c r="R29" s="414"/>
      <c r="S29" s="414"/>
      <c r="T29" s="414"/>
      <c r="U29" s="414"/>
    </row>
    <row r="30">
      <c r="A30" s="414"/>
      <c r="B30" s="414"/>
      <c r="C30" s="414"/>
      <c r="D30" s="414"/>
      <c r="E30" s="414"/>
      <c r="F30" s="414"/>
      <c r="G30" s="414"/>
      <c r="H30" s="414"/>
      <c r="I30" s="414"/>
      <c r="J30" s="414"/>
      <c r="K30" s="414"/>
      <c r="L30" s="414"/>
      <c r="M30" s="414"/>
      <c r="N30" s="414"/>
      <c r="O30" s="414"/>
      <c r="P30" s="414"/>
      <c r="Q30" s="414"/>
      <c r="R30" s="414"/>
      <c r="S30" s="414"/>
      <c r="T30" s="414"/>
      <c r="U30" s="414"/>
    </row>
    <row r="31">
      <c r="A31" s="414"/>
      <c r="B31" s="414"/>
      <c r="C31" s="414"/>
      <c r="D31" s="414"/>
      <c r="E31" s="414"/>
      <c r="F31" s="414"/>
      <c r="G31" s="414"/>
      <c r="H31" s="414"/>
      <c r="I31" s="414"/>
      <c r="J31" s="414"/>
      <c r="K31" s="414"/>
      <c r="L31" s="414"/>
      <c r="M31" s="414"/>
      <c r="N31" s="414"/>
      <c r="O31" s="414"/>
      <c r="P31" s="414"/>
      <c r="Q31" s="414"/>
      <c r="R31" s="414"/>
      <c r="S31" s="414"/>
      <c r="T31" s="414"/>
      <c r="U31" s="414"/>
    </row>
    <row r="32">
      <c r="A32" s="414"/>
      <c r="B32" s="414"/>
      <c r="C32" s="414"/>
      <c r="D32" s="414"/>
      <c r="E32" s="414"/>
      <c r="F32" s="414"/>
      <c r="G32" s="414"/>
      <c r="H32" s="414"/>
      <c r="I32" s="414"/>
      <c r="J32" s="414"/>
      <c r="K32" s="414"/>
      <c r="L32" s="414"/>
      <c r="M32" s="414"/>
      <c r="N32" s="414"/>
      <c r="O32" s="414"/>
      <c r="P32" s="414"/>
      <c r="Q32" s="414"/>
      <c r="R32" s="414"/>
      <c r="S32" s="414"/>
      <c r="T32" s="414"/>
      <c r="U32" s="414"/>
    </row>
    <row r="33">
      <c r="A33" s="414"/>
      <c r="B33" s="414"/>
      <c r="C33" s="414"/>
      <c r="D33" s="414"/>
      <c r="E33" s="414"/>
      <c r="F33" s="414"/>
      <c r="G33" s="414"/>
      <c r="H33" s="414"/>
      <c r="I33" s="414"/>
      <c r="J33" s="414"/>
      <c r="K33" s="414"/>
      <c r="L33" s="414"/>
      <c r="M33" s="414"/>
      <c r="N33" s="414"/>
      <c r="O33" s="414"/>
      <c r="P33" s="414"/>
      <c r="Q33" s="414"/>
      <c r="R33" s="414"/>
      <c r="S33" s="414"/>
      <c r="T33" s="414"/>
      <c r="U33" s="414"/>
    </row>
    <row r="34">
      <c r="A34" s="414"/>
      <c r="B34" s="414"/>
      <c r="C34" s="414"/>
      <c r="D34" s="414"/>
      <c r="E34" s="414"/>
      <c r="F34" s="414"/>
      <c r="G34" s="414"/>
      <c r="H34" s="414"/>
      <c r="I34" s="414"/>
      <c r="J34" s="414"/>
      <c r="K34" s="414"/>
      <c r="L34" s="414"/>
      <c r="M34" s="414"/>
      <c r="N34" s="414"/>
      <c r="O34" s="414"/>
      <c r="P34" s="414"/>
      <c r="Q34" s="414"/>
      <c r="R34" s="414"/>
      <c r="S34" s="414"/>
      <c r="T34" s="414"/>
      <c r="U34" s="414"/>
    </row>
    <row r="35">
      <c r="A35" s="414"/>
      <c r="B35" s="414"/>
      <c r="C35" s="414"/>
      <c r="D35" s="414"/>
      <c r="E35" s="414"/>
      <c r="F35" s="414"/>
      <c r="G35" s="414"/>
      <c r="H35" s="414"/>
      <c r="I35" s="414"/>
      <c r="J35" s="414"/>
      <c r="K35" s="414"/>
      <c r="L35" s="414"/>
      <c r="M35" s="414"/>
      <c r="N35" s="414"/>
      <c r="O35" s="414"/>
      <c r="P35" s="414"/>
      <c r="Q35" s="414"/>
      <c r="R35" s="414"/>
      <c r="S35" s="414"/>
      <c r="T35" s="414"/>
      <c r="U35" s="414"/>
    </row>
    <row r="36">
      <c r="A36" s="414"/>
      <c r="B36" s="414"/>
      <c r="C36" s="414"/>
      <c r="D36" s="414"/>
      <c r="E36" s="414"/>
      <c r="F36" s="414"/>
      <c r="G36" s="414"/>
      <c r="H36" s="414"/>
      <c r="I36" s="414"/>
      <c r="J36" s="414"/>
      <c r="K36" s="414"/>
      <c r="L36" s="414"/>
      <c r="M36" s="414"/>
      <c r="N36" s="414"/>
      <c r="O36" s="414"/>
      <c r="P36" s="414"/>
      <c r="Q36" s="414"/>
      <c r="R36" s="414"/>
      <c r="S36" s="414"/>
      <c r="T36" s="414"/>
      <c r="U36" s="414"/>
    </row>
    <row r="37">
      <c r="A37" s="414"/>
      <c r="B37" s="414"/>
      <c r="C37" s="414"/>
      <c r="D37" s="414"/>
      <c r="E37" s="414"/>
      <c r="F37" s="414"/>
      <c r="G37" s="414"/>
      <c r="H37" s="414"/>
      <c r="I37" s="414"/>
      <c r="J37" s="414"/>
      <c r="K37" s="414"/>
      <c r="L37" s="414"/>
      <c r="M37" s="414"/>
      <c r="N37" s="414"/>
      <c r="O37" s="414"/>
      <c r="P37" s="414"/>
      <c r="Q37" s="414"/>
      <c r="R37" s="414"/>
      <c r="S37" s="414"/>
      <c r="T37" s="414"/>
      <c r="U37" s="414"/>
    </row>
    <row r="38">
      <c r="A38" s="414"/>
      <c r="B38" s="414"/>
      <c r="C38" s="414"/>
      <c r="D38" s="414"/>
      <c r="E38" s="414"/>
      <c r="F38" s="414"/>
      <c r="G38" s="414"/>
      <c r="H38" s="414"/>
      <c r="I38" s="414"/>
      <c r="J38" s="414"/>
      <c r="K38" s="414"/>
      <c r="L38" s="414"/>
      <c r="M38" s="414"/>
      <c r="N38" s="414"/>
      <c r="O38" s="414"/>
      <c r="P38" s="414"/>
      <c r="Q38" s="414"/>
      <c r="R38" s="414"/>
      <c r="S38" s="414"/>
      <c r="T38" s="414"/>
      <c r="U38" s="414"/>
    </row>
    <row r="39">
      <c r="A39" s="414"/>
      <c r="B39" s="414"/>
      <c r="C39" s="414"/>
      <c r="D39" s="414"/>
      <c r="E39" s="414"/>
      <c r="F39" s="414"/>
      <c r="G39" s="414"/>
      <c r="H39" s="414"/>
      <c r="I39" s="414"/>
      <c r="J39" s="414"/>
      <c r="K39" s="414"/>
      <c r="L39" s="414"/>
      <c r="M39" s="414"/>
      <c r="N39" s="414"/>
      <c r="O39" s="414"/>
      <c r="P39" s="414"/>
      <c r="Q39" s="414"/>
      <c r="R39" s="414"/>
      <c r="S39" s="414"/>
      <c r="T39" s="414"/>
      <c r="U39" s="414"/>
    </row>
    <row r="40">
      <c r="A40" s="414"/>
      <c r="B40" s="414"/>
      <c r="C40" s="414"/>
      <c r="D40" s="414"/>
      <c r="E40" s="414"/>
      <c r="F40" s="414"/>
      <c r="G40" s="414"/>
      <c r="H40" s="414"/>
      <c r="I40" s="414"/>
      <c r="J40" s="414"/>
      <c r="K40" s="414"/>
      <c r="L40" s="414"/>
      <c r="M40" s="414"/>
      <c r="N40" s="414"/>
      <c r="O40" s="414"/>
      <c r="P40" s="414"/>
      <c r="Q40" s="414"/>
      <c r="R40" s="414"/>
      <c r="S40" s="414"/>
      <c r="T40" s="414"/>
      <c r="U40" s="414"/>
    </row>
    <row r="41">
      <c r="A41" s="414"/>
      <c r="B41" s="414"/>
      <c r="C41" s="414"/>
      <c r="D41" s="414"/>
      <c r="E41" s="414"/>
      <c r="F41" s="414"/>
      <c r="G41" s="414"/>
      <c r="H41" s="414"/>
      <c r="I41" s="414"/>
      <c r="J41" s="414"/>
      <c r="K41" s="414"/>
      <c r="L41" s="414"/>
      <c r="M41" s="414"/>
      <c r="N41" s="414"/>
      <c r="O41" s="414"/>
      <c r="P41" s="414"/>
      <c r="Q41" s="414"/>
      <c r="R41" s="414"/>
      <c r="S41" s="414"/>
      <c r="T41" s="414"/>
      <c r="U41" s="414"/>
    </row>
    <row r="42">
      <c r="A42" s="414"/>
      <c r="B42" s="414"/>
      <c r="C42" s="414"/>
      <c r="D42" s="414"/>
      <c r="E42" s="414"/>
      <c r="F42" s="414"/>
      <c r="G42" s="414"/>
      <c r="H42" s="414"/>
      <c r="I42" s="414"/>
      <c r="J42" s="414"/>
      <c r="K42" s="414"/>
      <c r="L42" s="414"/>
      <c r="M42" s="414"/>
      <c r="N42" s="414"/>
      <c r="O42" s="414"/>
      <c r="P42" s="414"/>
      <c r="Q42" s="414"/>
      <c r="R42" s="414"/>
      <c r="S42" s="414"/>
      <c r="T42" s="414"/>
      <c r="U42" s="414"/>
    </row>
    <row r="43">
      <c r="A43" s="414"/>
      <c r="B43" s="414"/>
      <c r="C43" s="414"/>
      <c r="D43" s="414"/>
      <c r="E43" s="414"/>
      <c r="F43" s="414"/>
      <c r="G43" s="414"/>
      <c r="H43" s="414"/>
      <c r="I43" s="414"/>
      <c r="J43" s="414"/>
      <c r="K43" s="414"/>
      <c r="L43" s="414"/>
      <c r="M43" s="414"/>
      <c r="N43" s="414"/>
      <c r="O43" s="414"/>
      <c r="P43" s="414"/>
      <c r="Q43" s="414"/>
      <c r="R43" s="414"/>
      <c r="S43" s="414"/>
      <c r="T43" s="414"/>
      <c r="U43" s="414"/>
    </row>
    <row r="44">
      <c r="A44" s="414"/>
      <c r="B44" s="414"/>
      <c r="C44" s="414"/>
      <c r="D44" s="414"/>
      <c r="E44" s="414"/>
      <c r="F44" s="414"/>
      <c r="G44" s="414"/>
      <c r="H44" s="414"/>
      <c r="I44" s="414"/>
      <c r="J44" s="414"/>
      <c r="K44" s="414"/>
      <c r="L44" s="414"/>
      <c r="M44" s="414"/>
      <c r="N44" s="414"/>
      <c r="O44" s="414"/>
      <c r="P44" s="414"/>
      <c r="Q44" s="414"/>
      <c r="R44" s="414"/>
      <c r="S44" s="414"/>
      <c r="T44" s="414"/>
      <c r="U44" s="414"/>
    </row>
    <row r="45">
      <c r="A45" s="414"/>
      <c r="B45" s="414"/>
      <c r="C45" s="414"/>
      <c r="D45" s="414"/>
      <c r="E45" s="414"/>
      <c r="F45" s="414"/>
      <c r="G45" s="414"/>
      <c r="H45" s="414"/>
      <c r="I45" s="414"/>
      <c r="J45" s="414"/>
      <c r="K45" s="414"/>
      <c r="L45" s="414"/>
      <c r="M45" s="414"/>
      <c r="N45" s="414"/>
      <c r="O45" s="414"/>
      <c r="P45" s="414"/>
      <c r="Q45" s="414"/>
      <c r="R45" s="414"/>
      <c r="S45" s="414"/>
      <c r="T45" s="414"/>
      <c r="U45" s="414"/>
    </row>
    <row r="46">
      <c r="A46" s="414"/>
      <c r="B46" s="414"/>
      <c r="C46" s="414"/>
      <c r="D46" s="414"/>
      <c r="E46" s="414"/>
      <c r="F46" s="414"/>
      <c r="G46" s="414"/>
      <c r="H46" s="414"/>
      <c r="I46" s="414"/>
      <c r="J46" s="414"/>
      <c r="K46" s="414"/>
      <c r="L46" s="414"/>
      <c r="M46" s="414"/>
      <c r="N46" s="414"/>
      <c r="O46" s="414"/>
      <c r="P46" s="414"/>
      <c r="Q46" s="414"/>
      <c r="R46" s="414"/>
      <c r="S46" s="414"/>
      <c r="T46" s="414"/>
      <c r="U46" s="414"/>
    </row>
    <row r="47">
      <c r="A47" s="414"/>
      <c r="B47" s="414"/>
      <c r="C47" s="414"/>
      <c r="D47" s="414"/>
      <c r="E47" s="414"/>
      <c r="F47" s="414"/>
      <c r="G47" s="414"/>
      <c r="H47" s="414"/>
      <c r="I47" s="414"/>
      <c r="J47" s="414"/>
      <c r="K47" s="414"/>
      <c r="L47" s="414"/>
      <c r="M47" s="414"/>
      <c r="N47" s="414"/>
      <c r="O47" s="414"/>
      <c r="P47" s="414"/>
      <c r="Q47" s="414"/>
      <c r="R47" s="414"/>
      <c r="S47" s="414"/>
      <c r="T47" s="414"/>
      <c r="U47" s="414"/>
    </row>
    <row r="48">
      <c r="A48" s="414"/>
      <c r="B48" s="414"/>
      <c r="C48" s="414"/>
      <c r="D48" s="414"/>
      <c r="E48" s="414"/>
      <c r="F48" s="414"/>
      <c r="G48" s="414"/>
      <c r="H48" s="414"/>
      <c r="I48" s="414"/>
      <c r="J48" s="414"/>
      <c r="K48" s="414"/>
      <c r="L48" s="414"/>
      <c r="M48" s="414"/>
      <c r="N48" s="414"/>
      <c r="O48" s="414"/>
      <c r="P48" s="414"/>
      <c r="Q48" s="414"/>
      <c r="R48" s="414"/>
      <c r="S48" s="414"/>
      <c r="T48" s="414"/>
      <c r="U48" s="414"/>
    </row>
    <row r="49">
      <c r="A49" s="414"/>
      <c r="B49" s="414"/>
      <c r="C49" s="414"/>
      <c r="D49" s="414"/>
      <c r="E49" s="414"/>
      <c r="F49" s="414"/>
      <c r="G49" s="414"/>
      <c r="H49" s="414"/>
      <c r="I49" s="414"/>
      <c r="J49" s="414"/>
      <c r="K49" s="414"/>
      <c r="L49" s="414"/>
      <c r="M49" s="414"/>
      <c r="N49" s="414"/>
      <c r="O49" s="414"/>
      <c r="P49" s="414"/>
      <c r="Q49" s="414"/>
      <c r="R49" s="414"/>
      <c r="S49" s="414"/>
      <c r="T49" s="414"/>
      <c r="U49" s="414"/>
    </row>
    <row r="50">
      <c r="A50" s="414"/>
      <c r="B50" s="414"/>
      <c r="C50" s="414"/>
      <c r="D50" s="414"/>
      <c r="E50" s="414"/>
      <c r="F50" s="414"/>
      <c r="G50" s="414"/>
      <c r="H50" s="414"/>
      <c r="I50" s="414"/>
      <c r="J50" s="414"/>
      <c r="K50" s="414"/>
      <c r="L50" s="414"/>
      <c r="M50" s="414"/>
      <c r="N50" s="414"/>
      <c r="O50" s="414"/>
      <c r="P50" s="414"/>
      <c r="Q50" s="414"/>
      <c r="R50" s="414"/>
      <c r="S50" s="414"/>
      <c r="T50" s="414"/>
      <c r="U50" s="414"/>
    </row>
    <row r="51">
      <c r="A51" s="414"/>
      <c r="B51" s="414"/>
      <c r="C51" s="414"/>
      <c r="D51" s="414"/>
      <c r="E51" s="414"/>
      <c r="F51" s="414"/>
      <c r="G51" s="414"/>
      <c r="H51" s="414"/>
      <c r="I51" s="414"/>
      <c r="J51" s="414"/>
      <c r="K51" s="414"/>
      <c r="L51" s="414"/>
      <c r="M51" s="414"/>
      <c r="N51" s="414"/>
      <c r="O51" s="414"/>
      <c r="P51" s="414"/>
      <c r="Q51" s="414"/>
      <c r="R51" s="414"/>
      <c r="S51" s="414"/>
      <c r="T51" s="414"/>
      <c r="U51" s="414"/>
    </row>
    <row r="52">
      <c r="A52" s="414"/>
      <c r="B52" s="414"/>
      <c r="C52" s="414"/>
      <c r="D52" s="414"/>
      <c r="E52" s="414"/>
      <c r="F52" s="414"/>
      <c r="G52" s="414"/>
      <c r="H52" s="414"/>
      <c r="I52" s="414"/>
      <c r="J52" s="414"/>
      <c r="K52" s="414"/>
      <c r="L52" s="414"/>
      <c r="M52" s="414"/>
      <c r="N52" s="414"/>
      <c r="O52" s="414"/>
      <c r="P52" s="414"/>
      <c r="Q52" s="414"/>
      <c r="R52" s="414"/>
      <c r="S52" s="414"/>
      <c r="T52" s="414"/>
      <c r="U52" s="414"/>
    </row>
    <row r="53">
      <c r="A53" s="414"/>
      <c r="B53" s="414"/>
      <c r="C53" s="414"/>
      <c r="D53" s="414"/>
      <c r="E53" s="414"/>
      <c r="F53" s="414"/>
      <c r="G53" s="414"/>
      <c r="H53" s="414"/>
      <c r="I53" s="414"/>
      <c r="J53" s="414"/>
      <c r="K53" s="414"/>
      <c r="L53" s="414"/>
      <c r="M53" s="414"/>
      <c r="N53" s="414"/>
      <c r="O53" s="414"/>
      <c r="P53" s="414"/>
      <c r="Q53" s="414"/>
      <c r="R53" s="414"/>
      <c r="S53" s="414"/>
      <c r="T53" s="414"/>
      <c r="U53" s="414"/>
    </row>
    <row r="54">
      <c r="A54" s="414"/>
      <c r="B54" s="414"/>
      <c r="C54" s="414"/>
      <c r="D54" s="414"/>
      <c r="E54" s="414"/>
      <c r="F54" s="414"/>
      <c r="G54" s="414"/>
      <c r="H54" s="414"/>
      <c r="I54" s="414"/>
      <c r="J54" s="414"/>
      <c r="K54" s="414"/>
      <c r="L54" s="414"/>
      <c r="M54" s="414"/>
      <c r="N54" s="414"/>
      <c r="O54" s="414"/>
      <c r="P54" s="414"/>
      <c r="Q54" s="414"/>
      <c r="R54" s="414"/>
      <c r="S54" s="414"/>
      <c r="T54" s="414"/>
      <c r="U54" s="414"/>
    </row>
    <row r="55">
      <c r="A55" s="414"/>
      <c r="B55" s="414"/>
      <c r="C55" s="414"/>
      <c r="D55" s="414"/>
      <c r="E55" s="414"/>
      <c r="F55" s="414"/>
      <c r="G55" s="414"/>
      <c r="H55" s="414"/>
      <c r="I55" s="414"/>
      <c r="J55" s="414"/>
      <c r="K55" s="414"/>
      <c r="L55" s="414"/>
      <c r="M55" s="414"/>
      <c r="N55" s="414"/>
      <c r="O55" s="414"/>
      <c r="P55" s="414"/>
      <c r="Q55" s="414"/>
      <c r="R55" s="414"/>
      <c r="S55" s="414"/>
      <c r="T55" s="414"/>
      <c r="U55" s="414"/>
    </row>
    <row r="56">
      <c r="A56" s="414"/>
      <c r="B56" s="414"/>
      <c r="C56" s="414"/>
      <c r="D56" s="414"/>
      <c r="E56" s="414"/>
      <c r="F56" s="414"/>
      <c r="G56" s="414"/>
      <c r="H56" s="414"/>
      <c r="I56" s="414"/>
      <c r="J56" s="414"/>
      <c r="K56" s="414"/>
      <c r="L56" s="414"/>
      <c r="M56" s="414"/>
      <c r="N56" s="414"/>
      <c r="O56" s="414"/>
      <c r="P56" s="414"/>
      <c r="Q56" s="414"/>
      <c r="R56" s="414"/>
      <c r="S56" s="414"/>
      <c r="T56" s="414"/>
      <c r="U56" s="414"/>
    </row>
    <row r="57">
      <c r="A57" s="414"/>
      <c r="B57" s="414"/>
      <c r="C57" s="414"/>
      <c r="D57" s="414"/>
      <c r="E57" s="414"/>
      <c r="F57" s="414"/>
      <c r="G57" s="414"/>
      <c r="H57" s="414"/>
      <c r="I57" s="414"/>
      <c r="J57" s="414"/>
      <c r="K57" s="414"/>
      <c r="L57" s="414"/>
      <c r="M57" s="414"/>
      <c r="N57" s="414"/>
      <c r="O57" s="414"/>
      <c r="P57" s="414"/>
      <c r="Q57" s="414"/>
      <c r="R57" s="414"/>
      <c r="S57" s="414"/>
      <c r="T57" s="414"/>
      <c r="U57" s="414"/>
    </row>
    <row r="58">
      <c r="A58" s="414"/>
      <c r="B58" s="414"/>
      <c r="C58" s="414"/>
      <c r="D58" s="414"/>
      <c r="E58" s="414"/>
      <c r="F58" s="414"/>
      <c r="G58" s="414"/>
      <c r="H58" s="414"/>
      <c r="I58" s="414"/>
      <c r="J58" s="414"/>
      <c r="K58" s="414"/>
      <c r="L58" s="414"/>
      <c r="M58" s="414"/>
      <c r="N58" s="414"/>
      <c r="O58" s="414"/>
      <c r="P58" s="414"/>
      <c r="Q58" s="414"/>
      <c r="R58" s="414"/>
      <c r="S58" s="414"/>
      <c r="T58" s="414"/>
      <c r="U58" s="414"/>
    </row>
    <row r="59">
      <c r="A59" s="414"/>
      <c r="B59" s="414"/>
      <c r="C59" s="414"/>
      <c r="D59" s="414"/>
      <c r="E59" s="414"/>
      <c r="F59" s="414"/>
      <c r="G59" s="414"/>
      <c r="H59" s="414"/>
      <c r="I59" s="414"/>
      <c r="J59" s="414"/>
      <c r="K59" s="414"/>
      <c r="L59" s="414"/>
      <c r="M59" s="414"/>
      <c r="N59" s="414"/>
      <c r="O59" s="414"/>
      <c r="P59" s="414"/>
      <c r="Q59" s="414"/>
      <c r="R59" s="414"/>
      <c r="S59" s="414"/>
      <c r="T59" s="414"/>
      <c r="U59" s="414"/>
    </row>
    <row r="60">
      <c r="A60" s="414"/>
      <c r="B60" s="414"/>
      <c r="C60" s="414"/>
      <c r="D60" s="414"/>
      <c r="E60" s="414"/>
      <c r="F60" s="414"/>
      <c r="G60" s="414"/>
      <c r="H60" s="414"/>
      <c r="I60" s="414"/>
      <c r="J60" s="414"/>
      <c r="K60" s="414"/>
      <c r="L60" s="414"/>
      <c r="M60" s="414"/>
      <c r="N60" s="414"/>
      <c r="O60" s="414"/>
      <c r="P60" s="414"/>
      <c r="Q60" s="414"/>
      <c r="R60" s="414"/>
      <c r="S60" s="414"/>
      <c r="T60" s="414"/>
      <c r="U60" s="414"/>
    </row>
    <row r="61">
      <c r="A61" s="414"/>
      <c r="B61" s="414"/>
      <c r="C61" s="414"/>
      <c r="D61" s="414"/>
      <c r="E61" s="414"/>
      <c r="F61" s="414"/>
      <c r="G61" s="414"/>
      <c r="H61" s="414"/>
      <c r="I61" s="414"/>
      <c r="J61" s="414"/>
      <c r="K61" s="414"/>
      <c r="L61" s="414"/>
      <c r="M61" s="414"/>
      <c r="N61" s="414"/>
      <c r="O61" s="414"/>
      <c r="P61" s="414"/>
      <c r="Q61" s="414"/>
      <c r="R61" s="414"/>
      <c r="S61" s="414"/>
      <c r="T61" s="414"/>
      <c r="U61" s="414"/>
    </row>
    <row r="62">
      <c r="A62" s="414"/>
      <c r="B62" s="414"/>
      <c r="C62" s="414"/>
      <c r="D62" s="414"/>
      <c r="E62" s="414"/>
      <c r="F62" s="414"/>
      <c r="G62" s="414"/>
      <c r="H62" s="414"/>
      <c r="I62" s="414"/>
      <c r="J62" s="414"/>
      <c r="K62" s="414"/>
      <c r="L62" s="414"/>
      <c r="M62" s="414"/>
      <c r="N62" s="414"/>
      <c r="O62" s="414"/>
      <c r="P62" s="414"/>
      <c r="Q62" s="414"/>
      <c r="R62" s="414"/>
      <c r="S62" s="414"/>
      <c r="T62" s="414"/>
      <c r="U62" s="414"/>
    </row>
    <row r="63">
      <c r="A63" s="414"/>
      <c r="B63" s="414"/>
      <c r="C63" s="414"/>
      <c r="D63" s="414"/>
      <c r="E63" s="414"/>
      <c r="F63" s="414"/>
      <c r="G63" s="414"/>
      <c r="H63" s="414"/>
      <c r="I63" s="414"/>
      <c r="J63" s="414"/>
      <c r="K63" s="414"/>
      <c r="L63" s="414"/>
      <c r="M63" s="414"/>
      <c r="N63" s="414"/>
      <c r="O63" s="414"/>
      <c r="P63" s="414"/>
      <c r="Q63" s="414"/>
      <c r="R63" s="414"/>
      <c r="S63" s="414"/>
      <c r="T63" s="414"/>
      <c r="U63" s="414"/>
    </row>
    <row r="64">
      <c r="A64" s="414"/>
      <c r="B64" s="414"/>
      <c r="C64" s="414"/>
      <c r="D64" s="414"/>
      <c r="E64" s="414"/>
      <c r="F64" s="414"/>
      <c r="G64" s="414"/>
      <c r="H64" s="414"/>
      <c r="I64" s="414"/>
      <c r="J64" s="414"/>
      <c r="K64" s="414"/>
      <c r="L64" s="414"/>
      <c r="M64" s="414"/>
      <c r="N64" s="414"/>
      <c r="O64" s="414"/>
      <c r="P64" s="414"/>
      <c r="Q64" s="414"/>
      <c r="R64" s="414"/>
      <c r="S64" s="414"/>
      <c r="T64" s="414"/>
      <c r="U64" s="414"/>
    </row>
    <row r="65">
      <c r="A65" s="414"/>
      <c r="B65" s="414"/>
      <c r="C65" s="414"/>
      <c r="D65" s="414"/>
      <c r="E65" s="414"/>
      <c r="F65" s="414"/>
      <c r="G65" s="414"/>
      <c r="H65" s="414"/>
      <c r="I65" s="414"/>
      <c r="J65" s="414"/>
      <c r="K65" s="414"/>
      <c r="L65" s="414"/>
      <c r="M65" s="414"/>
      <c r="N65" s="414"/>
      <c r="O65" s="414"/>
      <c r="P65" s="414"/>
      <c r="Q65" s="414"/>
      <c r="R65" s="414"/>
      <c r="S65" s="414"/>
      <c r="T65" s="414"/>
      <c r="U65" s="414"/>
    </row>
    <row r="66">
      <c r="A66" s="414"/>
      <c r="B66" s="414"/>
      <c r="C66" s="414"/>
      <c r="D66" s="414"/>
      <c r="E66" s="414"/>
      <c r="F66" s="414"/>
      <c r="G66" s="414"/>
      <c r="H66" s="414"/>
      <c r="I66" s="414"/>
      <c r="J66" s="414"/>
      <c r="K66" s="414"/>
      <c r="L66" s="414"/>
      <c r="M66" s="414"/>
      <c r="N66" s="414"/>
      <c r="O66" s="414"/>
      <c r="P66" s="414"/>
      <c r="Q66" s="414"/>
      <c r="R66" s="414"/>
      <c r="S66" s="414"/>
      <c r="T66" s="414"/>
      <c r="U66" s="414"/>
    </row>
    <row r="67">
      <c r="A67" s="414"/>
      <c r="B67" s="414"/>
      <c r="C67" s="414"/>
      <c r="D67" s="414"/>
      <c r="E67" s="414"/>
      <c r="F67" s="414"/>
      <c r="G67" s="414"/>
      <c r="H67" s="414"/>
      <c r="I67" s="414"/>
      <c r="J67" s="414"/>
      <c r="K67" s="414"/>
      <c r="L67" s="414"/>
      <c r="M67" s="414"/>
      <c r="N67" s="414"/>
      <c r="O67" s="414"/>
      <c r="P67" s="414"/>
      <c r="Q67" s="414"/>
      <c r="R67" s="414"/>
      <c r="S67" s="414"/>
      <c r="T67" s="414"/>
      <c r="U67" s="414"/>
    </row>
    <row r="68">
      <c r="A68" s="414"/>
      <c r="B68" s="414"/>
      <c r="C68" s="414"/>
      <c r="D68" s="414"/>
      <c r="E68" s="414"/>
      <c r="F68" s="414"/>
      <c r="G68" s="414"/>
      <c r="H68" s="414"/>
      <c r="I68" s="414"/>
      <c r="J68" s="414"/>
      <c r="K68" s="414"/>
      <c r="L68" s="414"/>
      <c r="M68" s="414"/>
      <c r="N68" s="414"/>
      <c r="O68" s="414"/>
      <c r="P68" s="414"/>
      <c r="Q68" s="414"/>
      <c r="R68" s="414"/>
      <c r="S68" s="414"/>
      <c r="T68" s="414"/>
      <c r="U68" s="414"/>
    </row>
    <row r="69">
      <c r="A69" s="414"/>
      <c r="B69" s="414"/>
      <c r="C69" s="414"/>
      <c r="D69" s="414"/>
      <c r="E69" s="414"/>
      <c r="F69" s="414"/>
      <c r="G69" s="414"/>
      <c r="H69" s="414"/>
      <c r="I69" s="414"/>
      <c r="J69" s="414"/>
      <c r="K69" s="414"/>
      <c r="L69" s="414"/>
      <c r="M69" s="414"/>
      <c r="N69" s="414"/>
      <c r="O69" s="414"/>
      <c r="P69" s="414"/>
      <c r="Q69" s="414"/>
      <c r="R69" s="414"/>
      <c r="S69" s="414"/>
      <c r="T69" s="414"/>
      <c r="U69" s="414"/>
    </row>
    <row r="70">
      <c r="A70" s="414"/>
      <c r="B70" s="414"/>
      <c r="C70" s="414"/>
      <c r="D70" s="414"/>
      <c r="E70" s="414"/>
      <c r="F70" s="414"/>
      <c r="G70" s="414"/>
      <c r="H70" s="414"/>
      <c r="I70" s="414"/>
      <c r="J70" s="414"/>
      <c r="K70" s="414"/>
      <c r="L70" s="414"/>
      <c r="M70" s="414"/>
      <c r="N70" s="414"/>
      <c r="O70" s="414"/>
      <c r="P70" s="414"/>
      <c r="Q70" s="414"/>
      <c r="R70" s="414"/>
      <c r="S70" s="414"/>
      <c r="T70" s="414"/>
      <c r="U70" s="414"/>
    </row>
    <row r="71">
      <c r="A71" s="414"/>
      <c r="B71" s="414"/>
      <c r="C71" s="414"/>
      <c r="D71" s="414"/>
      <c r="E71" s="414"/>
      <c r="F71" s="414"/>
      <c r="G71" s="414"/>
      <c r="H71" s="414"/>
      <c r="I71" s="414"/>
      <c r="J71" s="414"/>
      <c r="K71" s="414"/>
      <c r="L71" s="414"/>
      <c r="M71" s="414"/>
      <c r="N71" s="414"/>
      <c r="O71" s="414"/>
      <c r="P71" s="414"/>
      <c r="Q71" s="414"/>
      <c r="R71" s="414"/>
      <c r="S71" s="414"/>
      <c r="T71" s="414"/>
      <c r="U71" s="414"/>
    </row>
    <row r="72">
      <c r="A72" s="414"/>
      <c r="B72" s="414"/>
      <c r="C72" s="414"/>
      <c r="D72" s="414"/>
      <c r="E72" s="414"/>
      <c r="F72" s="414"/>
      <c r="G72" s="414"/>
      <c r="H72" s="414"/>
      <c r="I72" s="414"/>
      <c r="J72" s="414"/>
      <c r="K72" s="414"/>
      <c r="L72" s="414"/>
      <c r="M72" s="414"/>
      <c r="N72" s="414"/>
      <c r="O72" s="414"/>
      <c r="P72" s="414"/>
      <c r="Q72" s="414"/>
      <c r="R72" s="414"/>
      <c r="S72" s="414"/>
      <c r="T72" s="414"/>
      <c r="U72" s="414"/>
    </row>
    <row r="73">
      <c r="A73" s="414"/>
      <c r="B73" s="414"/>
      <c r="C73" s="414"/>
      <c r="D73" s="414"/>
      <c r="E73" s="414"/>
      <c r="F73" s="414"/>
      <c r="G73" s="414"/>
      <c r="H73" s="414"/>
      <c r="I73" s="414"/>
      <c r="J73" s="414"/>
      <c r="K73" s="414"/>
      <c r="L73" s="414"/>
      <c r="M73" s="414"/>
      <c r="N73" s="414"/>
      <c r="O73" s="414"/>
      <c r="P73" s="414"/>
      <c r="Q73" s="414"/>
      <c r="R73" s="414"/>
      <c r="S73" s="414"/>
      <c r="T73" s="414"/>
      <c r="U73" s="414"/>
    </row>
    <row r="74">
      <c r="A74" s="414"/>
      <c r="B74" s="414"/>
      <c r="C74" s="414"/>
      <c r="D74" s="414"/>
      <c r="E74" s="414"/>
      <c r="F74" s="414"/>
      <c r="G74" s="414"/>
      <c r="H74" s="414"/>
      <c r="I74" s="414"/>
      <c r="J74" s="414"/>
      <c r="K74" s="414"/>
      <c r="L74" s="414"/>
      <c r="M74" s="414"/>
      <c r="N74" s="414"/>
      <c r="O74" s="414"/>
      <c r="P74" s="414"/>
      <c r="Q74" s="414"/>
      <c r="R74" s="414"/>
      <c r="S74" s="414"/>
      <c r="T74" s="414"/>
      <c r="U74" s="414"/>
    </row>
    <row r="75">
      <c r="A75" s="414"/>
      <c r="B75" s="414"/>
      <c r="C75" s="414"/>
      <c r="D75" s="414"/>
      <c r="E75" s="414"/>
      <c r="F75" s="414"/>
      <c r="G75" s="414"/>
      <c r="H75" s="414"/>
      <c r="I75" s="414"/>
      <c r="J75" s="414"/>
      <c r="K75" s="414"/>
      <c r="L75" s="414"/>
      <c r="M75" s="414"/>
      <c r="N75" s="414"/>
      <c r="O75" s="414"/>
      <c r="P75" s="414"/>
      <c r="Q75" s="414"/>
      <c r="R75" s="414"/>
      <c r="S75" s="414"/>
      <c r="T75" s="414"/>
      <c r="U75" s="414"/>
    </row>
    <row r="76">
      <c r="A76" s="414"/>
      <c r="B76" s="414"/>
      <c r="C76" s="414"/>
      <c r="D76" s="414"/>
      <c r="E76" s="414"/>
      <c r="F76" s="414"/>
      <c r="G76" s="414"/>
      <c r="H76" s="414"/>
      <c r="I76" s="414"/>
      <c r="J76" s="414"/>
      <c r="K76" s="414"/>
      <c r="L76" s="414"/>
      <c r="M76" s="414"/>
      <c r="N76" s="414"/>
      <c r="O76" s="414"/>
      <c r="P76" s="414"/>
      <c r="Q76" s="414"/>
      <c r="R76" s="414"/>
      <c r="S76" s="414"/>
      <c r="T76" s="414"/>
      <c r="U76" s="414"/>
    </row>
    <row r="77">
      <c r="A77" s="414"/>
      <c r="B77" s="414"/>
      <c r="C77" s="414"/>
      <c r="D77" s="414"/>
      <c r="E77" s="414"/>
      <c r="F77" s="414"/>
      <c r="G77" s="414"/>
      <c r="H77" s="414"/>
      <c r="I77" s="414"/>
      <c r="J77" s="414"/>
      <c r="K77" s="414"/>
      <c r="L77" s="414"/>
      <c r="M77" s="414"/>
      <c r="N77" s="414"/>
      <c r="O77" s="414"/>
      <c r="P77" s="414"/>
      <c r="Q77" s="414"/>
      <c r="R77" s="414"/>
      <c r="S77" s="414"/>
      <c r="T77" s="414"/>
      <c r="U77" s="414"/>
    </row>
    <row r="78">
      <c r="A78" s="414"/>
      <c r="B78" s="414"/>
      <c r="C78" s="414"/>
      <c r="D78" s="414"/>
      <c r="E78" s="414"/>
      <c r="F78" s="414"/>
      <c r="G78" s="414"/>
      <c r="H78" s="414"/>
      <c r="I78" s="414"/>
      <c r="J78" s="414"/>
      <c r="K78" s="414"/>
      <c r="L78" s="414"/>
      <c r="M78" s="414"/>
      <c r="N78" s="414"/>
      <c r="O78" s="414"/>
      <c r="P78" s="414"/>
      <c r="Q78" s="414"/>
      <c r="R78" s="414"/>
      <c r="S78" s="414"/>
      <c r="T78" s="414"/>
      <c r="U78" s="414"/>
    </row>
    <row r="79">
      <c r="A79" s="414"/>
      <c r="B79" s="414"/>
      <c r="C79" s="414"/>
      <c r="D79" s="414"/>
      <c r="E79" s="414"/>
      <c r="F79" s="414"/>
      <c r="G79" s="414"/>
      <c r="H79" s="414"/>
      <c r="I79" s="414"/>
      <c r="J79" s="414"/>
      <c r="K79" s="414"/>
      <c r="L79" s="414"/>
      <c r="M79" s="414"/>
      <c r="N79" s="414"/>
      <c r="O79" s="414"/>
      <c r="P79" s="414"/>
      <c r="Q79" s="414"/>
      <c r="R79" s="414"/>
      <c r="S79" s="414"/>
      <c r="T79" s="414"/>
      <c r="U79" s="414"/>
    </row>
    <row r="80">
      <c r="A80" s="414"/>
      <c r="B80" s="414"/>
      <c r="C80" s="414"/>
      <c r="D80" s="414"/>
      <c r="E80" s="414"/>
      <c r="F80" s="414"/>
      <c r="G80" s="414"/>
      <c r="H80" s="414"/>
      <c r="I80" s="414"/>
      <c r="J80" s="414"/>
      <c r="K80" s="414"/>
      <c r="L80" s="414"/>
      <c r="M80" s="414"/>
      <c r="N80" s="414"/>
      <c r="O80" s="414"/>
      <c r="P80" s="414"/>
      <c r="Q80" s="414"/>
      <c r="R80" s="414"/>
      <c r="S80" s="414"/>
      <c r="T80" s="414"/>
      <c r="U80" s="414"/>
    </row>
    <row r="81">
      <c r="A81" s="414"/>
      <c r="B81" s="414"/>
      <c r="C81" s="414"/>
      <c r="D81" s="414"/>
      <c r="E81" s="414"/>
      <c r="F81" s="414"/>
      <c r="G81" s="414"/>
      <c r="H81" s="414"/>
      <c r="I81" s="414"/>
      <c r="J81" s="414"/>
      <c r="K81" s="414"/>
      <c r="L81" s="414"/>
      <c r="M81" s="414"/>
      <c r="N81" s="414"/>
      <c r="O81" s="414"/>
      <c r="P81" s="414"/>
      <c r="Q81" s="414"/>
      <c r="R81" s="414"/>
      <c r="S81" s="414"/>
      <c r="T81" s="414"/>
      <c r="U81" s="414"/>
    </row>
    <row r="82">
      <c r="A82" s="414"/>
      <c r="B82" s="414"/>
      <c r="C82" s="414"/>
      <c r="D82" s="414"/>
      <c r="E82" s="414"/>
      <c r="F82" s="414"/>
      <c r="G82" s="414"/>
      <c r="H82" s="414"/>
      <c r="I82" s="414"/>
      <c r="J82" s="414"/>
      <c r="K82" s="414"/>
      <c r="L82" s="414"/>
      <c r="M82" s="414"/>
      <c r="N82" s="414"/>
      <c r="O82" s="414"/>
      <c r="P82" s="414"/>
      <c r="Q82" s="414"/>
      <c r="R82" s="414"/>
      <c r="S82" s="414"/>
      <c r="T82" s="414"/>
      <c r="U82" s="414"/>
    </row>
    <row r="83">
      <c r="A83" s="414"/>
      <c r="B83" s="414"/>
      <c r="C83" s="414"/>
      <c r="D83" s="414"/>
      <c r="E83" s="414"/>
      <c r="F83" s="414"/>
      <c r="G83" s="414"/>
      <c r="H83" s="414"/>
      <c r="I83" s="414"/>
      <c r="J83" s="414"/>
      <c r="K83" s="414"/>
      <c r="L83" s="414"/>
      <c r="M83" s="414"/>
      <c r="N83" s="414"/>
      <c r="O83" s="414"/>
      <c r="P83" s="414"/>
      <c r="Q83" s="414"/>
      <c r="R83" s="414"/>
      <c r="S83" s="414"/>
      <c r="T83" s="414"/>
      <c r="U83" s="414"/>
    </row>
    <row r="84">
      <c r="A84" s="414"/>
      <c r="B84" s="414"/>
      <c r="C84" s="414"/>
      <c r="D84" s="414"/>
      <c r="E84" s="414"/>
      <c r="F84" s="414"/>
      <c r="G84" s="414"/>
      <c r="H84" s="414"/>
      <c r="I84" s="414"/>
      <c r="J84" s="414"/>
      <c r="K84" s="414"/>
      <c r="L84" s="414"/>
      <c r="M84" s="414"/>
      <c r="N84" s="414"/>
      <c r="O84" s="414"/>
      <c r="P84" s="414"/>
      <c r="Q84" s="414"/>
      <c r="R84" s="414"/>
      <c r="S84" s="414"/>
      <c r="T84" s="414"/>
      <c r="U84" s="414"/>
    </row>
    <row r="85">
      <c r="A85" s="414"/>
      <c r="B85" s="414"/>
      <c r="C85" s="414"/>
      <c r="D85" s="414"/>
      <c r="E85" s="414"/>
      <c r="F85" s="414"/>
      <c r="G85" s="414"/>
      <c r="H85" s="414"/>
      <c r="I85" s="414"/>
      <c r="J85" s="414"/>
      <c r="K85" s="414"/>
      <c r="L85" s="414"/>
      <c r="M85" s="414"/>
      <c r="N85" s="414"/>
      <c r="O85" s="414"/>
      <c r="P85" s="414"/>
      <c r="Q85" s="414"/>
      <c r="R85" s="414"/>
      <c r="S85" s="414"/>
      <c r="T85" s="414"/>
      <c r="U85" s="414"/>
    </row>
    <row r="86">
      <c r="A86" s="414"/>
      <c r="B86" s="414"/>
      <c r="C86" s="414"/>
      <c r="D86" s="414"/>
      <c r="E86" s="414"/>
      <c r="F86" s="414"/>
      <c r="G86" s="414"/>
      <c r="H86" s="414"/>
      <c r="I86" s="414"/>
      <c r="J86" s="414"/>
      <c r="K86" s="414"/>
      <c r="L86" s="414"/>
      <c r="M86" s="414"/>
      <c r="N86" s="414"/>
      <c r="O86" s="414"/>
      <c r="P86" s="414"/>
      <c r="Q86" s="414"/>
      <c r="R86" s="414"/>
      <c r="S86" s="414"/>
      <c r="T86" s="414"/>
      <c r="U86" s="414"/>
    </row>
    <row r="87">
      <c r="A87" s="414"/>
      <c r="B87" s="414"/>
      <c r="C87" s="414"/>
      <c r="D87" s="414"/>
      <c r="E87" s="414"/>
      <c r="F87" s="414"/>
      <c r="G87" s="414"/>
      <c r="H87" s="414"/>
      <c r="I87" s="414"/>
      <c r="J87" s="414"/>
      <c r="K87" s="414"/>
      <c r="L87" s="414"/>
      <c r="M87" s="414"/>
      <c r="N87" s="414"/>
      <c r="O87" s="414"/>
      <c r="P87" s="414"/>
      <c r="Q87" s="414"/>
      <c r="R87" s="414"/>
      <c r="S87" s="414"/>
      <c r="T87" s="414"/>
      <c r="U87" s="414"/>
    </row>
    <row r="88">
      <c r="A88" s="414"/>
      <c r="B88" s="414"/>
      <c r="C88" s="414"/>
      <c r="D88" s="414"/>
      <c r="E88" s="414"/>
      <c r="F88" s="414"/>
      <c r="G88" s="414"/>
      <c r="H88" s="414"/>
      <c r="I88" s="414"/>
      <c r="J88" s="414"/>
      <c r="K88" s="414"/>
      <c r="L88" s="414"/>
      <c r="M88" s="414"/>
      <c r="N88" s="414"/>
      <c r="O88" s="414"/>
      <c r="P88" s="414"/>
      <c r="Q88" s="414"/>
      <c r="R88" s="414"/>
      <c r="S88" s="414"/>
      <c r="T88" s="414"/>
      <c r="U88" s="414"/>
    </row>
    <row r="89">
      <c r="A89" s="414"/>
      <c r="B89" s="414"/>
      <c r="C89" s="414"/>
      <c r="D89" s="414"/>
      <c r="E89" s="414"/>
      <c r="F89" s="414"/>
      <c r="G89" s="414"/>
      <c r="H89" s="414"/>
      <c r="I89" s="414"/>
      <c r="J89" s="414"/>
      <c r="K89" s="414"/>
      <c r="L89" s="414"/>
      <c r="M89" s="414"/>
      <c r="N89" s="414"/>
      <c r="O89" s="414"/>
      <c r="P89" s="414"/>
      <c r="Q89" s="414"/>
      <c r="R89" s="414"/>
      <c r="S89" s="414"/>
      <c r="T89" s="414"/>
      <c r="U89" s="414"/>
    </row>
    <row r="90">
      <c r="A90" s="414"/>
      <c r="B90" s="414"/>
      <c r="C90" s="414"/>
      <c r="D90" s="414"/>
      <c r="E90" s="414"/>
      <c r="F90" s="414"/>
      <c r="G90" s="414"/>
      <c r="H90" s="414"/>
      <c r="I90" s="414"/>
      <c r="J90" s="414"/>
      <c r="K90" s="414"/>
      <c r="L90" s="414"/>
      <c r="M90" s="414"/>
      <c r="N90" s="414"/>
      <c r="O90" s="414"/>
      <c r="P90" s="414"/>
      <c r="Q90" s="414"/>
      <c r="R90" s="414"/>
      <c r="S90" s="414"/>
      <c r="T90" s="414"/>
      <c r="U90" s="414"/>
    </row>
    <row r="91">
      <c r="A91" s="414"/>
      <c r="B91" s="414"/>
      <c r="C91" s="414"/>
      <c r="D91" s="414"/>
      <c r="E91" s="414"/>
      <c r="F91" s="414"/>
      <c r="G91" s="414"/>
      <c r="H91" s="414"/>
      <c r="I91" s="414"/>
      <c r="J91" s="414"/>
      <c r="K91" s="414"/>
      <c r="L91" s="414"/>
      <c r="M91" s="414"/>
      <c r="N91" s="414"/>
      <c r="O91" s="414"/>
      <c r="P91" s="414"/>
      <c r="Q91" s="414"/>
      <c r="R91" s="414"/>
      <c r="S91" s="414"/>
      <c r="T91" s="414"/>
      <c r="U91" s="414"/>
    </row>
    <row r="92">
      <c r="A92" s="414"/>
      <c r="B92" s="414"/>
      <c r="C92" s="414"/>
      <c r="D92" s="414"/>
      <c r="E92" s="414"/>
      <c r="F92" s="414"/>
      <c r="G92" s="414"/>
      <c r="H92" s="414"/>
      <c r="I92" s="414"/>
      <c r="J92" s="414"/>
      <c r="K92" s="414"/>
      <c r="L92" s="414"/>
      <c r="M92" s="414"/>
      <c r="N92" s="414"/>
      <c r="O92" s="414"/>
      <c r="P92" s="414"/>
      <c r="Q92" s="414"/>
      <c r="R92" s="414"/>
      <c r="S92" s="414"/>
      <c r="T92" s="414"/>
      <c r="U92" s="414"/>
    </row>
    <row r="93">
      <c r="A93" s="414"/>
      <c r="B93" s="414"/>
      <c r="C93" s="414"/>
      <c r="D93" s="414"/>
      <c r="E93" s="414"/>
      <c r="F93" s="414"/>
      <c r="G93" s="414"/>
      <c r="H93" s="414"/>
      <c r="I93" s="414"/>
      <c r="J93" s="414"/>
      <c r="K93" s="414"/>
      <c r="L93" s="414"/>
      <c r="M93" s="414"/>
      <c r="N93" s="414"/>
      <c r="O93" s="414"/>
      <c r="P93" s="414"/>
      <c r="Q93" s="414"/>
      <c r="R93" s="414"/>
      <c r="S93" s="414"/>
      <c r="T93" s="414"/>
      <c r="U93" s="414"/>
    </row>
    <row r="94">
      <c r="A94" s="414"/>
      <c r="B94" s="414"/>
      <c r="C94" s="414"/>
      <c r="D94" s="414"/>
      <c r="E94" s="414"/>
      <c r="F94" s="414"/>
      <c r="G94" s="414"/>
      <c r="H94" s="414"/>
      <c r="I94" s="414"/>
      <c r="J94" s="414"/>
      <c r="K94" s="414"/>
      <c r="L94" s="414"/>
      <c r="M94" s="414"/>
      <c r="N94" s="414"/>
      <c r="O94" s="414"/>
      <c r="P94" s="414"/>
      <c r="Q94" s="414"/>
      <c r="R94" s="414"/>
      <c r="S94" s="414"/>
      <c r="T94" s="414"/>
      <c r="U94" s="414"/>
    </row>
    <row r="95">
      <c r="A95" s="414"/>
      <c r="B95" s="414"/>
      <c r="C95" s="414"/>
      <c r="D95" s="414"/>
      <c r="E95" s="414"/>
      <c r="F95" s="414"/>
      <c r="G95" s="414"/>
      <c r="H95" s="414"/>
      <c r="I95" s="414"/>
      <c r="J95" s="414"/>
      <c r="K95" s="414"/>
      <c r="L95" s="414"/>
      <c r="M95" s="414"/>
      <c r="N95" s="414"/>
      <c r="O95" s="414"/>
      <c r="P95" s="414"/>
      <c r="Q95" s="414"/>
      <c r="R95" s="414"/>
      <c r="S95" s="414"/>
      <c r="T95" s="414"/>
      <c r="U95" s="414"/>
    </row>
    <row r="96">
      <c r="A96" s="414"/>
      <c r="B96" s="414"/>
      <c r="C96" s="414"/>
      <c r="D96" s="414"/>
      <c r="E96" s="414"/>
      <c r="F96" s="414"/>
      <c r="G96" s="414"/>
      <c r="H96" s="414"/>
      <c r="I96" s="414"/>
      <c r="J96" s="414"/>
      <c r="K96" s="414"/>
      <c r="L96" s="414"/>
      <c r="M96" s="414"/>
      <c r="N96" s="414"/>
      <c r="O96" s="414"/>
      <c r="P96" s="414"/>
      <c r="Q96" s="414"/>
      <c r="R96" s="414"/>
      <c r="S96" s="414"/>
      <c r="T96" s="414"/>
      <c r="U96" s="414"/>
    </row>
    <row r="97">
      <c r="A97" s="414"/>
      <c r="B97" s="414"/>
      <c r="C97" s="414"/>
      <c r="D97" s="414"/>
      <c r="E97" s="414"/>
      <c r="F97" s="414"/>
      <c r="G97" s="414"/>
      <c r="H97" s="414"/>
      <c r="I97" s="414"/>
      <c r="J97" s="414"/>
      <c r="K97" s="414"/>
      <c r="L97" s="414"/>
      <c r="M97" s="414"/>
      <c r="N97" s="414"/>
      <c r="O97" s="414"/>
      <c r="P97" s="414"/>
      <c r="Q97" s="414"/>
      <c r="R97" s="414"/>
      <c r="S97" s="414"/>
      <c r="T97" s="414"/>
      <c r="U97" s="414"/>
    </row>
    <row r="98">
      <c r="A98" s="414"/>
      <c r="B98" s="414"/>
      <c r="C98" s="414"/>
      <c r="D98" s="414"/>
      <c r="E98" s="414"/>
      <c r="F98" s="414"/>
      <c r="G98" s="414"/>
      <c r="H98" s="414"/>
      <c r="I98" s="414"/>
      <c r="J98" s="414"/>
      <c r="K98" s="414"/>
      <c r="L98" s="414"/>
      <c r="M98" s="414"/>
      <c r="N98" s="414"/>
      <c r="O98" s="414"/>
      <c r="P98" s="414"/>
      <c r="Q98" s="414"/>
      <c r="R98" s="414"/>
      <c r="S98" s="414"/>
      <c r="T98" s="414"/>
      <c r="U98" s="414"/>
    </row>
    <row r="99">
      <c r="A99" s="414"/>
      <c r="B99" s="414"/>
      <c r="C99" s="414"/>
      <c r="D99" s="414"/>
      <c r="E99" s="414"/>
      <c r="F99" s="414"/>
      <c r="G99" s="414"/>
      <c r="H99" s="414"/>
      <c r="I99" s="414"/>
      <c r="J99" s="414"/>
      <c r="K99" s="414"/>
      <c r="L99" s="414"/>
      <c r="M99" s="414"/>
      <c r="N99" s="414"/>
      <c r="O99" s="414"/>
      <c r="P99" s="414"/>
      <c r="Q99" s="414"/>
      <c r="R99" s="414"/>
      <c r="S99" s="414"/>
      <c r="T99" s="414"/>
      <c r="U99" s="414"/>
    </row>
    <row r="100">
      <c r="A100" s="414"/>
      <c r="B100" s="414"/>
      <c r="C100" s="414"/>
      <c r="D100" s="414"/>
      <c r="E100" s="414"/>
      <c r="F100" s="414"/>
      <c r="G100" s="414"/>
      <c r="H100" s="414"/>
      <c r="I100" s="414"/>
      <c r="J100" s="414"/>
      <c r="K100" s="414"/>
      <c r="L100" s="414"/>
      <c r="M100" s="414"/>
      <c r="N100" s="414"/>
      <c r="O100" s="414"/>
      <c r="P100" s="414"/>
      <c r="Q100" s="414"/>
      <c r="R100" s="414"/>
      <c r="S100" s="414"/>
      <c r="T100" s="414"/>
      <c r="U100" s="414"/>
    </row>
    <row r="101">
      <c r="A101" s="414"/>
      <c r="B101" s="414"/>
      <c r="C101" s="414"/>
      <c r="D101" s="414"/>
      <c r="E101" s="414"/>
      <c r="F101" s="414"/>
      <c r="G101" s="414"/>
      <c r="H101" s="414"/>
      <c r="I101" s="414"/>
      <c r="J101" s="414"/>
      <c r="K101" s="414"/>
      <c r="L101" s="414"/>
      <c r="M101" s="414"/>
      <c r="N101" s="414"/>
      <c r="O101" s="414"/>
      <c r="P101" s="414"/>
      <c r="Q101" s="414"/>
      <c r="R101" s="414"/>
      <c r="S101" s="414"/>
      <c r="T101" s="414"/>
      <c r="U101" s="414"/>
    </row>
    <row r="102">
      <c r="A102" s="414"/>
      <c r="B102" s="414"/>
      <c r="C102" s="414"/>
      <c r="D102" s="414"/>
      <c r="E102" s="414"/>
      <c r="F102" s="414"/>
      <c r="G102" s="414"/>
      <c r="H102" s="414"/>
      <c r="I102" s="414"/>
      <c r="J102" s="414"/>
      <c r="K102" s="414"/>
      <c r="L102" s="414"/>
      <c r="M102" s="414"/>
      <c r="N102" s="414"/>
      <c r="O102" s="414"/>
      <c r="P102" s="414"/>
      <c r="Q102" s="414"/>
      <c r="R102" s="414"/>
      <c r="S102" s="414"/>
      <c r="T102" s="414"/>
      <c r="U102" s="414"/>
    </row>
    <row r="103">
      <c r="A103" s="414"/>
      <c r="B103" s="414"/>
      <c r="C103" s="414"/>
      <c r="D103" s="414"/>
      <c r="E103" s="414"/>
      <c r="F103" s="414"/>
      <c r="G103" s="414"/>
      <c r="H103" s="414"/>
      <c r="I103" s="414"/>
      <c r="J103" s="414"/>
      <c r="K103" s="414"/>
      <c r="L103" s="414"/>
      <c r="M103" s="414"/>
      <c r="N103" s="414"/>
      <c r="O103" s="414"/>
      <c r="P103" s="414"/>
      <c r="Q103" s="414"/>
      <c r="R103" s="414"/>
      <c r="S103" s="414"/>
      <c r="T103" s="414"/>
      <c r="U103" s="414"/>
    </row>
    <row r="104">
      <c r="A104" s="414"/>
      <c r="B104" s="414"/>
      <c r="C104" s="414"/>
      <c r="D104" s="414"/>
      <c r="E104" s="414"/>
      <c r="F104" s="414"/>
      <c r="G104" s="414"/>
      <c r="H104" s="414"/>
      <c r="I104" s="414"/>
      <c r="J104" s="414"/>
      <c r="K104" s="414"/>
      <c r="L104" s="414"/>
      <c r="M104" s="414"/>
      <c r="N104" s="414"/>
      <c r="O104" s="414"/>
      <c r="P104" s="414"/>
      <c r="Q104" s="414"/>
      <c r="R104" s="414"/>
      <c r="S104" s="414"/>
      <c r="T104" s="414"/>
      <c r="U104" s="414"/>
    </row>
    <row r="105">
      <c r="A105" s="414"/>
      <c r="B105" s="414"/>
      <c r="C105" s="414"/>
      <c r="D105" s="414"/>
      <c r="E105" s="414"/>
      <c r="F105" s="414"/>
      <c r="G105" s="414"/>
      <c r="H105" s="414"/>
      <c r="I105" s="414"/>
      <c r="J105" s="414"/>
      <c r="K105" s="414"/>
      <c r="L105" s="414"/>
      <c r="M105" s="414"/>
      <c r="N105" s="414"/>
      <c r="O105" s="414"/>
      <c r="P105" s="414"/>
      <c r="Q105" s="414"/>
      <c r="R105" s="414"/>
      <c r="S105" s="414"/>
      <c r="T105" s="414"/>
      <c r="U105" s="414"/>
    </row>
    <row r="106">
      <c r="A106" s="414"/>
      <c r="B106" s="414"/>
      <c r="C106" s="414"/>
      <c r="D106" s="414"/>
      <c r="E106" s="414"/>
      <c r="F106" s="414"/>
      <c r="G106" s="414"/>
      <c r="H106" s="414"/>
      <c r="I106" s="414"/>
      <c r="J106" s="414"/>
      <c r="K106" s="414"/>
      <c r="L106" s="414"/>
      <c r="M106" s="414"/>
      <c r="N106" s="414"/>
      <c r="O106" s="414"/>
      <c r="P106" s="414"/>
      <c r="Q106" s="414"/>
      <c r="R106" s="414"/>
      <c r="S106" s="414"/>
      <c r="T106" s="414"/>
      <c r="U106" s="414"/>
    </row>
    <row r="107">
      <c r="A107" s="414"/>
      <c r="B107" s="414"/>
      <c r="C107" s="414"/>
      <c r="D107" s="414"/>
      <c r="E107" s="414"/>
      <c r="F107" s="414"/>
      <c r="G107" s="414"/>
      <c r="H107" s="414"/>
      <c r="I107" s="414"/>
      <c r="J107" s="414"/>
      <c r="K107" s="414"/>
      <c r="L107" s="414"/>
      <c r="M107" s="414"/>
      <c r="N107" s="414"/>
      <c r="O107" s="414"/>
      <c r="P107" s="414"/>
      <c r="Q107" s="414"/>
      <c r="R107" s="414"/>
      <c r="S107" s="414"/>
      <c r="T107" s="414"/>
      <c r="U107" s="414"/>
    </row>
    <row r="108">
      <c r="A108" s="414"/>
      <c r="B108" s="414"/>
      <c r="C108" s="414"/>
      <c r="D108" s="414"/>
      <c r="E108" s="414"/>
      <c r="F108" s="414"/>
      <c r="G108" s="414"/>
      <c r="H108" s="414"/>
      <c r="I108" s="414"/>
      <c r="J108" s="414"/>
      <c r="K108" s="414"/>
      <c r="L108" s="414"/>
      <c r="M108" s="414"/>
      <c r="N108" s="414"/>
      <c r="O108" s="414"/>
      <c r="P108" s="414"/>
      <c r="Q108" s="414"/>
      <c r="R108" s="414"/>
      <c r="S108" s="414"/>
      <c r="T108" s="414"/>
      <c r="U108" s="414"/>
    </row>
    <row r="109">
      <c r="A109" s="414"/>
      <c r="B109" s="414"/>
      <c r="C109" s="414"/>
      <c r="D109" s="414"/>
      <c r="E109" s="414"/>
      <c r="F109" s="414"/>
      <c r="G109" s="414"/>
      <c r="H109" s="414"/>
      <c r="I109" s="414"/>
      <c r="J109" s="414"/>
      <c r="K109" s="414"/>
      <c r="L109" s="414"/>
      <c r="M109" s="414"/>
      <c r="N109" s="414"/>
      <c r="O109" s="414"/>
      <c r="P109" s="414"/>
      <c r="Q109" s="414"/>
      <c r="R109" s="414"/>
      <c r="S109" s="414"/>
      <c r="T109" s="414"/>
      <c r="U109" s="414"/>
    </row>
    <row r="110">
      <c r="A110" s="414"/>
      <c r="B110" s="414"/>
      <c r="C110" s="414"/>
      <c r="D110" s="414"/>
      <c r="E110" s="414"/>
      <c r="F110" s="414"/>
      <c r="G110" s="414"/>
      <c r="H110" s="414"/>
      <c r="I110" s="414"/>
      <c r="J110" s="414"/>
      <c r="K110" s="414"/>
      <c r="L110" s="414"/>
      <c r="M110" s="414"/>
      <c r="N110" s="414"/>
      <c r="O110" s="414"/>
      <c r="P110" s="414"/>
      <c r="Q110" s="414"/>
      <c r="R110" s="414"/>
      <c r="S110" s="414"/>
      <c r="T110" s="414"/>
      <c r="U110" s="414"/>
    </row>
    <row r="111">
      <c r="A111" s="414"/>
      <c r="B111" s="414"/>
      <c r="C111" s="414"/>
      <c r="D111" s="414"/>
      <c r="E111" s="414"/>
      <c r="F111" s="414"/>
      <c r="G111" s="414"/>
      <c r="H111" s="414"/>
      <c r="I111" s="414"/>
      <c r="J111" s="414"/>
      <c r="K111" s="414"/>
      <c r="L111" s="414"/>
      <c r="M111" s="414"/>
      <c r="N111" s="414"/>
      <c r="O111" s="414"/>
      <c r="P111" s="414"/>
      <c r="Q111" s="414"/>
      <c r="R111" s="414"/>
      <c r="S111" s="414"/>
      <c r="T111" s="414"/>
      <c r="U111" s="414"/>
    </row>
    <row r="112">
      <c r="A112" s="414"/>
      <c r="B112" s="414"/>
      <c r="C112" s="414"/>
      <c r="D112" s="414"/>
      <c r="E112" s="414"/>
      <c r="F112" s="414"/>
      <c r="G112" s="414"/>
      <c r="H112" s="414"/>
      <c r="I112" s="414"/>
      <c r="J112" s="414"/>
      <c r="K112" s="414"/>
      <c r="L112" s="414"/>
      <c r="M112" s="414"/>
      <c r="N112" s="414"/>
      <c r="O112" s="414"/>
      <c r="P112" s="414"/>
      <c r="Q112" s="414"/>
      <c r="R112" s="414"/>
      <c r="S112" s="414"/>
      <c r="T112" s="414"/>
      <c r="U112" s="414"/>
    </row>
    <row r="113">
      <c r="A113" s="414"/>
      <c r="B113" s="414"/>
      <c r="C113" s="414"/>
      <c r="D113" s="414"/>
      <c r="E113" s="414"/>
      <c r="F113" s="414"/>
      <c r="G113" s="414"/>
      <c r="H113" s="414"/>
      <c r="I113" s="414"/>
      <c r="J113" s="414"/>
      <c r="K113" s="414"/>
      <c r="L113" s="414"/>
      <c r="M113" s="414"/>
      <c r="N113" s="414"/>
      <c r="O113" s="414"/>
      <c r="P113" s="414"/>
      <c r="Q113" s="414"/>
      <c r="R113" s="414"/>
      <c r="S113" s="414"/>
      <c r="T113" s="414"/>
      <c r="U113" s="414"/>
    </row>
    <row r="114">
      <c r="A114" s="414"/>
      <c r="B114" s="414"/>
      <c r="C114" s="414"/>
      <c r="D114" s="414"/>
      <c r="E114" s="414"/>
      <c r="F114" s="414"/>
      <c r="G114" s="414"/>
      <c r="H114" s="414"/>
      <c r="I114" s="414"/>
      <c r="J114" s="414"/>
      <c r="K114" s="414"/>
      <c r="L114" s="414"/>
      <c r="M114" s="414"/>
      <c r="N114" s="414"/>
      <c r="O114" s="414"/>
      <c r="P114" s="414"/>
      <c r="Q114" s="414"/>
      <c r="R114" s="414"/>
      <c r="S114" s="414"/>
      <c r="T114" s="414"/>
      <c r="U114" s="414"/>
    </row>
    <row r="115">
      <c r="A115" s="414"/>
      <c r="B115" s="414"/>
      <c r="C115" s="414"/>
      <c r="D115" s="414"/>
      <c r="E115" s="414"/>
      <c r="F115" s="414"/>
      <c r="G115" s="414"/>
      <c r="H115" s="414"/>
      <c r="I115" s="414"/>
      <c r="J115" s="414"/>
      <c r="K115" s="414"/>
      <c r="L115" s="414"/>
      <c r="M115" s="414"/>
      <c r="N115" s="414"/>
      <c r="O115" s="414"/>
      <c r="P115" s="414"/>
      <c r="Q115" s="414"/>
      <c r="R115" s="414"/>
      <c r="S115" s="414"/>
      <c r="T115" s="414"/>
      <c r="U115" s="414"/>
    </row>
    <row r="116">
      <c r="A116" s="414"/>
      <c r="B116" s="414"/>
      <c r="C116" s="414"/>
      <c r="D116" s="414"/>
      <c r="E116" s="414"/>
      <c r="F116" s="414"/>
      <c r="G116" s="414"/>
      <c r="H116" s="414"/>
      <c r="I116" s="414"/>
      <c r="J116" s="414"/>
      <c r="K116" s="414"/>
      <c r="L116" s="414"/>
      <c r="M116" s="414"/>
      <c r="N116" s="414"/>
      <c r="O116" s="414"/>
      <c r="P116" s="414"/>
      <c r="Q116" s="414"/>
      <c r="R116" s="414"/>
      <c r="S116" s="414"/>
      <c r="T116" s="414"/>
      <c r="U116" s="414"/>
    </row>
    <row r="117">
      <c r="A117" s="414"/>
      <c r="B117" s="414"/>
      <c r="C117" s="414"/>
      <c r="D117" s="414"/>
      <c r="E117" s="414"/>
      <c r="F117" s="414"/>
      <c r="G117" s="414"/>
      <c r="H117" s="414"/>
      <c r="I117" s="414"/>
      <c r="J117" s="414"/>
      <c r="K117" s="414"/>
      <c r="L117" s="414"/>
      <c r="M117" s="414"/>
      <c r="N117" s="414"/>
      <c r="O117" s="414"/>
      <c r="P117" s="414"/>
      <c r="Q117" s="414"/>
      <c r="R117" s="414"/>
      <c r="S117" s="414"/>
      <c r="T117" s="414"/>
      <c r="U117" s="414"/>
    </row>
    <row r="118">
      <c r="A118" s="414"/>
      <c r="B118" s="414"/>
      <c r="C118" s="414"/>
      <c r="D118" s="414"/>
      <c r="E118" s="414"/>
      <c r="F118" s="414"/>
      <c r="G118" s="414"/>
      <c r="H118" s="414"/>
      <c r="I118" s="414"/>
      <c r="J118" s="414"/>
      <c r="K118" s="414"/>
      <c r="L118" s="414"/>
      <c r="M118" s="414"/>
      <c r="N118" s="414"/>
      <c r="O118" s="414"/>
      <c r="P118" s="414"/>
      <c r="Q118" s="414"/>
      <c r="R118" s="414"/>
      <c r="S118" s="414"/>
      <c r="T118" s="414"/>
      <c r="U118" s="414"/>
    </row>
    <row r="119">
      <c r="A119" s="414"/>
      <c r="B119" s="414"/>
      <c r="C119" s="414"/>
      <c r="D119" s="414"/>
      <c r="E119" s="414"/>
      <c r="F119" s="414"/>
      <c r="G119" s="414"/>
      <c r="H119" s="414"/>
      <c r="I119" s="414"/>
      <c r="J119" s="414"/>
      <c r="K119" s="414"/>
      <c r="L119" s="414"/>
      <c r="M119" s="414"/>
      <c r="N119" s="414"/>
      <c r="O119" s="414"/>
      <c r="P119" s="414"/>
      <c r="Q119" s="414"/>
      <c r="R119" s="414"/>
      <c r="S119" s="414"/>
      <c r="T119" s="414"/>
      <c r="U119" s="414"/>
    </row>
    <row r="120">
      <c r="A120" s="414"/>
      <c r="B120" s="414"/>
      <c r="C120" s="414"/>
      <c r="D120" s="414"/>
      <c r="E120" s="414"/>
      <c r="F120" s="414"/>
      <c r="G120" s="414"/>
      <c r="H120" s="414"/>
      <c r="I120" s="414"/>
      <c r="J120" s="414"/>
      <c r="K120" s="414"/>
      <c r="L120" s="414"/>
      <c r="M120" s="414"/>
      <c r="N120" s="414"/>
      <c r="O120" s="414"/>
      <c r="P120" s="414"/>
      <c r="Q120" s="414"/>
      <c r="R120" s="414"/>
      <c r="S120" s="414"/>
      <c r="T120" s="414"/>
      <c r="U120" s="414"/>
    </row>
    <row r="121">
      <c r="A121" s="414"/>
      <c r="B121" s="414"/>
      <c r="C121" s="414"/>
      <c r="D121" s="414"/>
      <c r="E121" s="414"/>
      <c r="F121" s="414"/>
      <c r="G121" s="414"/>
      <c r="H121" s="414"/>
      <c r="I121" s="414"/>
      <c r="J121" s="414"/>
      <c r="K121" s="414"/>
      <c r="L121" s="414"/>
      <c r="M121" s="414"/>
      <c r="N121" s="414"/>
      <c r="O121" s="414"/>
      <c r="P121" s="414"/>
      <c r="Q121" s="414"/>
      <c r="R121" s="414"/>
      <c r="S121" s="414"/>
      <c r="T121" s="414"/>
      <c r="U121" s="414"/>
    </row>
    <row r="122">
      <c r="A122" s="414"/>
      <c r="B122" s="414"/>
      <c r="C122" s="414"/>
      <c r="D122" s="414"/>
      <c r="E122" s="414"/>
      <c r="F122" s="414"/>
      <c r="G122" s="414"/>
      <c r="H122" s="414"/>
      <c r="I122" s="414"/>
      <c r="J122" s="414"/>
      <c r="K122" s="414"/>
      <c r="L122" s="414"/>
      <c r="M122" s="414"/>
      <c r="N122" s="414"/>
      <c r="O122" s="414"/>
      <c r="P122" s="414"/>
      <c r="Q122" s="414"/>
      <c r="R122" s="414"/>
      <c r="S122" s="414"/>
      <c r="T122" s="414"/>
      <c r="U122" s="414"/>
    </row>
    <row r="123">
      <c r="A123" s="414"/>
      <c r="B123" s="414"/>
      <c r="C123" s="414"/>
      <c r="D123" s="414"/>
      <c r="E123" s="414"/>
      <c r="F123" s="414"/>
      <c r="G123" s="414"/>
      <c r="H123" s="414"/>
      <c r="I123" s="414"/>
      <c r="J123" s="414"/>
      <c r="K123" s="414"/>
      <c r="L123" s="414"/>
      <c r="M123" s="414"/>
      <c r="N123" s="414"/>
      <c r="O123" s="414"/>
      <c r="P123" s="414"/>
      <c r="Q123" s="414"/>
      <c r="R123" s="414"/>
      <c r="S123" s="414"/>
      <c r="T123" s="414"/>
      <c r="U123" s="414"/>
    </row>
    <row r="124">
      <c r="A124" s="414"/>
      <c r="B124" s="414"/>
      <c r="C124" s="414"/>
      <c r="D124" s="414"/>
      <c r="E124" s="414"/>
      <c r="F124" s="414"/>
      <c r="G124" s="414"/>
      <c r="H124" s="414"/>
      <c r="I124" s="414"/>
      <c r="J124" s="414"/>
      <c r="K124" s="414"/>
      <c r="L124" s="414"/>
      <c r="M124" s="414"/>
      <c r="N124" s="414"/>
      <c r="O124" s="414"/>
      <c r="P124" s="414"/>
      <c r="Q124" s="414"/>
      <c r="R124" s="414"/>
      <c r="S124" s="414"/>
      <c r="T124" s="414"/>
      <c r="U124" s="414"/>
    </row>
    <row r="125">
      <c r="A125" s="414"/>
      <c r="B125" s="414"/>
      <c r="C125" s="414"/>
      <c r="D125" s="414"/>
      <c r="E125" s="414"/>
      <c r="F125" s="414"/>
      <c r="G125" s="414"/>
      <c r="H125" s="414"/>
      <c r="I125" s="414"/>
      <c r="J125" s="414"/>
      <c r="K125" s="414"/>
      <c r="L125" s="414"/>
      <c r="M125" s="414"/>
      <c r="N125" s="414"/>
      <c r="O125" s="414"/>
      <c r="P125" s="414"/>
      <c r="Q125" s="414"/>
      <c r="R125" s="414"/>
      <c r="S125" s="414"/>
      <c r="T125" s="414"/>
      <c r="U125" s="414"/>
    </row>
    <row r="126">
      <c r="A126" s="414"/>
      <c r="B126" s="414"/>
      <c r="C126" s="414"/>
      <c r="D126" s="414"/>
      <c r="E126" s="414"/>
      <c r="F126" s="414"/>
      <c r="G126" s="414"/>
      <c r="H126" s="414"/>
      <c r="I126" s="414"/>
      <c r="J126" s="414"/>
      <c r="K126" s="414"/>
      <c r="L126" s="414"/>
      <c r="M126" s="414"/>
      <c r="N126" s="414"/>
      <c r="O126" s="414"/>
      <c r="P126" s="414"/>
      <c r="Q126" s="414"/>
      <c r="R126" s="414"/>
      <c r="S126" s="414"/>
      <c r="T126" s="414"/>
      <c r="U126" s="414"/>
    </row>
    <row r="127">
      <c r="A127" s="414"/>
      <c r="B127" s="414"/>
      <c r="C127" s="414"/>
      <c r="D127" s="414"/>
      <c r="E127" s="414"/>
      <c r="F127" s="414"/>
      <c r="G127" s="414"/>
      <c r="H127" s="414"/>
      <c r="I127" s="414"/>
      <c r="J127" s="414"/>
      <c r="K127" s="414"/>
      <c r="L127" s="414"/>
      <c r="M127" s="414"/>
      <c r="N127" s="414"/>
      <c r="O127" s="414"/>
      <c r="P127" s="414"/>
      <c r="Q127" s="414"/>
      <c r="R127" s="414"/>
      <c r="S127" s="414"/>
      <c r="T127" s="414"/>
      <c r="U127" s="414"/>
    </row>
    <row r="128">
      <c r="A128" s="414"/>
      <c r="B128" s="414"/>
      <c r="C128" s="414"/>
      <c r="D128" s="414"/>
      <c r="E128" s="414"/>
      <c r="F128" s="414"/>
      <c r="G128" s="414"/>
      <c r="H128" s="414"/>
      <c r="I128" s="414"/>
      <c r="J128" s="414"/>
      <c r="K128" s="414"/>
      <c r="L128" s="414"/>
      <c r="M128" s="414"/>
      <c r="N128" s="414"/>
      <c r="O128" s="414"/>
      <c r="P128" s="414"/>
      <c r="Q128" s="414"/>
      <c r="R128" s="414"/>
      <c r="S128" s="414"/>
      <c r="T128" s="414"/>
      <c r="U128" s="414"/>
    </row>
    <row r="129">
      <c r="A129" s="414"/>
      <c r="B129" s="414"/>
      <c r="C129" s="414"/>
      <c r="D129" s="414"/>
      <c r="E129" s="414"/>
      <c r="F129" s="414"/>
      <c r="G129" s="414"/>
      <c r="H129" s="414"/>
      <c r="I129" s="414"/>
      <c r="J129" s="414"/>
      <c r="K129" s="414"/>
      <c r="L129" s="414"/>
      <c r="M129" s="414"/>
      <c r="N129" s="414"/>
      <c r="O129" s="414"/>
      <c r="P129" s="414"/>
      <c r="Q129" s="414"/>
      <c r="R129" s="414"/>
      <c r="S129" s="414"/>
      <c r="T129" s="414"/>
      <c r="U129" s="414"/>
    </row>
    <row r="130">
      <c r="A130" s="414"/>
      <c r="B130" s="414"/>
      <c r="C130" s="414"/>
      <c r="D130" s="414"/>
      <c r="E130" s="414"/>
      <c r="F130" s="414"/>
      <c r="G130" s="414"/>
      <c r="H130" s="414"/>
      <c r="I130" s="414"/>
      <c r="J130" s="414"/>
      <c r="K130" s="414"/>
      <c r="L130" s="414"/>
      <c r="M130" s="414"/>
      <c r="N130" s="414"/>
      <c r="O130" s="414"/>
      <c r="P130" s="414"/>
      <c r="Q130" s="414"/>
      <c r="R130" s="414"/>
      <c r="S130" s="414"/>
      <c r="T130" s="414"/>
      <c r="U130" s="414"/>
    </row>
    <row r="131">
      <c r="A131" s="414"/>
      <c r="B131" s="414"/>
      <c r="C131" s="414"/>
      <c r="D131" s="414"/>
      <c r="E131" s="414"/>
      <c r="F131" s="414"/>
      <c r="G131" s="414"/>
      <c r="H131" s="414"/>
      <c r="I131" s="414"/>
      <c r="J131" s="414"/>
      <c r="K131" s="414"/>
      <c r="L131" s="414"/>
      <c r="M131" s="414"/>
      <c r="N131" s="414"/>
      <c r="O131" s="414"/>
      <c r="P131" s="414"/>
      <c r="Q131" s="414"/>
      <c r="R131" s="414"/>
      <c r="S131" s="414"/>
      <c r="T131" s="414"/>
      <c r="U131" s="414"/>
    </row>
    <row r="132">
      <c r="A132" s="414"/>
      <c r="B132" s="414"/>
      <c r="C132" s="414"/>
      <c r="D132" s="414"/>
      <c r="E132" s="414"/>
      <c r="F132" s="414"/>
      <c r="G132" s="414"/>
      <c r="H132" s="414"/>
      <c r="I132" s="414"/>
      <c r="J132" s="414"/>
      <c r="K132" s="414"/>
      <c r="L132" s="414"/>
      <c r="M132" s="414"/>
      <c r="N132" s="414"/>
      <c r="O132" s="414"/>
      <c r="P132" s="414"/>
      <c r="Q132" s="414"/>
      <c r="R132" s="414"/>
      <c r="S132" s="414"/>
      <c r="T132" s="414"/>
      <c r="U132" s="414"/>
    </row>
    <row r="133">
      <c r="A133" s="414"/>
      <c r="B133" s="414"/>
      <c r="C133" s="414"/>
      <c r="D133" s="414"/>
      <c r="E133" s="414"/>
      <c r="F133" s="414"/>
      <c r="G133" s="414"/>
      <c r="H133" s="414"/>
      <c r="I133" s="414"/>
      <c r="J133" s="414"/>
      <c r="K133" s="414"/>
      <c r="L133" s="414"/>
      <c r="M133" s="414"/>
      <c r="N133" s="414"/>
      <c r="O133" s="414"/>
      <c r="P133" s="414"/>
      <c r="Q133" s="414"/>
      <c r="R133" s="414"/>
      <c r="S133" s="414"/>
      <c r="T133" s="414"/>
      <c r="U133" s="414"/>
    </row>
    <row r="134">
      <c r="A134" s="414"/>
      <c r="B134" s="414"/>
      <c r="C134" s="414"/>
      <c r="D134" s="414"/>
      <c r="E134" s="414"/>
      <c r="F134" s="414"/>
      <c r="G134" s="414"/>
      <c r="H134" s="414"/>
      <c r="I134" s="414"/>
      <c r="J134" s="414"/>
      <c r="K134" s="414"/>
      <c r="L134" s="414"/>
      <c r="M134" s="414"/>
      <c r="N134" s="414"/>
      <c r="O134" s="414"/>
      <c r="P134" s="414"/>
      <c r="Q134" s="414"/>
      <c r="R134" s="414"/>
      <c r="S134" s="414"/>
      <c r="T134" s="414"/>
      <c r="U134" s="414"/>
    </row>
    <row r="135">
      <c r="A135" s="414"/>
      <c r="B135" s="414"/>
      <c r="C135" s="414"/>
      <c r="D135" s="414"/>
      <c r="E135" s="414"/>
      <c r="F135" s="414"/>
      <c r="G135" s="414"/>
      <c r="H135" s="414"/>
      <c r="I135" s="414"/>
      <c r="J135" s="414"/>
      <c r="K135" s="414"/>
      <c r="L135" s="414"/>
      <c r="M135" s="414"/>
      <c r="N135" s="414"/>
      <c r="O135" s="414"/>
      <c r="P135" s="414"/>
      <c r="Q135" s="414"/>
      <c r="R135" s="414"/>
      <c r="S135" s="414"/>
      <c r="T135" s="414"/>
      <c r="U135" s="414"/>
    </row>
    <row r="136">
      <c r="A136" s="414"/>
      <c r="B136" s="414"/>
      <c r="C136" s="414"/>
      <c r="D136" s="414"/>
      <c r="E136" s="414"/>
      <c r="F136" s="414"/>
      <c r="G136" s="414"/>
      <c r="H136" s="414"/>
      <c r="I136" s="414"/>
      <c r="J136" s="414"/>
      <c r="K136" s="414"/>
      <c r="L136" s="414"/>
      <c r="M136" s="414"/>
      <c r="N136" s="414"/>
      <c r="O136" s="414"/>
      <c r="P136" s="414"/>
      <c r="Q136" s="414"/>
      <c r="R136" s="414"/>
      <c r="S136" s="414"/>
      <c r="T136" s="414"/>
      <c r="U136" s="414"/>
    </row>
    <row r="137">
      <c r="A137" s="414"/>
      <c r="B137" s="414"/>
      <c r="C137" s="414"/>
      <c r="D137" s="414"/>
      <c r="E137" s="414"/>
      <c r="F137" s="414"/>
      <c r="G137" s="414"/>
      <c r="H137" s="414"/>
      <c r="I137" s="414"/>
      <c r="J137" s="414"/>
      <c r="K137" s="414"/>
      <c r="L137" s="414"/>
      <c r="M137" s="414"/>
      <c r="N137" s="414"/>
      <c r="O137" s="414"/>
      <c r="P137" s="414"/>
      <c r="Q137" s="414"/>
      <c r="R137" s="414"/>
      <c r="S137" s="414"/>
      <c r="T137" s="414"/>
      <c r="U137" s="414"/>
    </row>
    <row r="138">
      <c r="A138" s="414"/>
      <c r="B138" s="414"/>
      <c r="C138" s="414"/>
      <c r="D138" s="414"/>
      <c r="E138" s="414"/>
      <c r="F138" s="414"/>
      <c r="G138" s="414"/>
      <c r="H138" s="414"/>
      <c r="I138" s="414"/>
      <c r="J138" s="414"/>
      <c r="K138" s="414"/>
      <c r="L138" s="414"/>
      <c r="M138" s="414"/>
      <c r="N138" s="414"/>
      <c r="O138" s="414"/>
      <c r="P138" s="414"/>
      <c r="Q138" s="414"/>
      <c r="R138" s="414"/>
      <c r="S138" s="414"/>
      <c r="T138" s="414"/>
      <c r="U138" s="414"/>
    </row>
    <row r="139">
      <c r="A139" s="414"/>
      <c r="B139" s="414"/>
      <c r="C139" s="414"/>
      <c r="D139" s="414"/>
      <c r="E139" s="414"/>
      <c r="F139" s="414"/>
      <c r="G139" s="414"/>
      <c r="H139" s="414"/>
      <c r="I139" s="414"/>
      <c r="J139" s="414"/>
      <c r="K139" s="414"/>
      <c r="L139" s="414"/>
      <c r="M139" s="414"/>
      <c r="N139" s="414"/>
      <c r="O139" s="414"/>
      <c r="P139" s="414"/>
      <c r="Q139" s="414"/>
      <c r="R139" s="414"/>
      <c r="S139" s="414"/>
      <c r="T139" s="414"/>
      <c r="U139" s="414"/>
    </row>
    <row r="140">
      <c r="A140" s="414"/>
      <c r="B140" s="414"/>
      <c r="C140" s="414"/>
      <c r="D140" s="414"/>
      <c r="E140" s="414"/>
      <c r="F140" s="414"/>
      <c r="G140" s="414"/>
      <c r="H140" s="414"/>
      <c r="I140" s="414"/>
      <c r="J140" s="414"/>
      <c r="K140" s="414"/>
      <c r="L140" s="414"/>
      <c r="M140" s="414"/>
      <c r="N140" s="414"/>
      <c r="O140" s="414"/>
      <c r="P140" s="414"/>
      <c r="Q140" s="414"/>
      <c r="R140" s="414"/>
      <c r="S140" s="414"/>
      <c r="T140" s="414"/>
      <c r="U140" s="414"/>
    </row>
    <row r="141">
      <c r="A141" s="414"/>
      <c r="B141" s="414"/>
      <c r="C141" s="414"/>
      <c r="D141" s="414"/>
      <c r="E141" s="414"/>
      <c r="F141" s="414"/>
      <c r="G141" s="414"/>
      <c r="H141" s="414"/>
      <c r="I141" s="414"/>
      <c r="J141" s="414"/>
      <c r="K141" s="414"/>
      <c r="L141" s="414"/>
      <c r="M141" s="414"/>
      <c r="N141" s="414"/>
      <c r="O141" s="414"/>
      <c r="P141" s="414"/>
      <c r="Q141" s="414"/>
      <c r="R141" s="414"/>
      <c r="S141" s="414"/>
      <c r="T141" s="414"/>
      <c r="U141" s="414"/>
    </row>
    <row r="142">
      <c r="A142" s="414"/>
      <c r="B142" s="414"/>
      <c r="C142" s="414"/>
      <c r="D142" s="414"/>
      <c r="E142" s="414"/>
      <c r="F142" s="414"/>
      <c r="G142" s="414"/>
      <c r="H142" s="414"/>
      <c r="I142" s="414"/>
      <c r="J142" s="414"/>
      <c r="K142" s="414"/>
      <c r="L142" s="414"/>
      <c r="M142" s="414"/>
      <c r="N142" s="414"/>
      <c r="O142" s="414"/>
      <c r="P142" s="414"/>
      <c r="Q142" s="414"/>
      <c r="R142" s="414"/>
      <c r="S142" s="414"/>
      <c r="T142" s="414"/>
      <c r="U142" s="414"/>
    </row>
    <row r="143">
      <c r="A143" s="414"/>
      <c r="B143" s="414"/>
      <c r="C143" s="414"/>
      <c r="D143" s="414"/>
      <c r="E143" s="414"/>
      <c r="F143" s="414"/>
      <c r="G143" s="414"/>
      <c r="H143" s="414"/>
      <c r="I143" s="414"/>
      <c r="J143" s="414"/>
      <c r="K143" s="414"/>
      <c r="L143" s="414"/>
      <c r="M143" s="414"/>
      <c r="N143" s="414"/>
      <c r="O143" s="414"/>
      <c r="P143" s="414"/>
      <c r="Q143" s="414"/>
      <c r="R143" s="414"/>
      <c r="S143" s="414"/>
      <c r="T143" s="414"/>
      <c r="U143" s="414"/>
    </row>
    <row r="144">
      <c r="A144" s="414"/>
      <c r="B144" s="414"/>
      <c r="C144" s="414"/>
      <c r="D144" s="414"/>
      <c r="E144" s="414"/>
      <c r="F144" s="414"/>
      <c r="G144" s="414"/>
      <c r="H144" s="414"/>
      <c r="I144" s="414"/>
      <c r="J144" s="414"/>
      <c r="K144" s="414"/>
      <c r="L144" s="414"/>
      <c r="M144" s="414"/>
      <c r="N144" s="414"/>
      <c r="O144" s="414"/>
      <c r="P144" s="414"/>
      <c r="Q144" s="414"/>
      <c r="R144" s="414"/>
      <c r="S144" s="414"/>
      <c r="T144" s="414"/>
      <c r="U144" s="414"/>
    </row>
    <row r="145">
      <c r="A145" s="414"/>
      <c r="B145" s="414"/>
      <c r="C145" s="414"/>
      <c r="D145" s="414"/>
      <c r="E145" s="414"/>
      <c r="F145" s="414"/>
      <c r="G145" s="414"/>
      <c r="H145" s="414"/>
      <c r="I145" s="414"/>
      <c r="J145" s="414"/>
      <c r="K145" s="414"/>
      <c r="L145" s="414"/>
      <c r="M145" s="414"/>
      <c r="N145" s="414"/>
      <c r="O145" s="414"/>
      <c r="P145" s="414"/>
      <c r="Q145" s="414"/>
      <c r="R145" s="414"/>
      <c r="S145" s="414"/>
      <c r="T145" s="414"/>
      <c r="U145" s="414"/>
    </row>
    <row r="146">
      <c r="A146" s="414"/>
      <c r="B146" s="414"/>
      <c r="C146" s="414"/>
      <c r="D146" s="414"/>
      <c r="E146" s="414"/>
      <c r="F146" s="414"/>
      <c r="G146" s="414"/>
      <c r="H146" s="414"/>
      <c r="I146" s="414"/>
      <c r="J146" s="414"/>
      <c r="K146" s="414"/>
      <c r="L146" s="414"/>
      <c r="M146" s="414"/>
      <c r="N146" s="414"/>
      <c r="O146" s="414"/>
      <c r="P146" s="414"/>
      <c r="Q146" s="414"/>
      <c r="R146" s="414"/>
      <c r="S146" s="414"/>
      <c r="T146" s="414"/>
      <c r="U146" s="414"/>
    </row>
    <row r="147">
      <c r="A147" s="414"/>
      <c r="B147" s="414"/>
      <c r="C147" s="414"/>
      <c r="D147" s="414"/>
      <c r="E147" s="414"/>
      <c r="F147" s="414"/>
      <c r="G147" s="414"/>
      <c r="H147" s="414"/>
      <c r="I147" s="414"/>
      <c r="J147" s="414"/>
      <c r="K147" s="414"/>
      <c r="L147" s="414"/>
      <c r="M147" s="414"/>
      <c r="N147" s="414"/>
      <c r="O147" s="414"/>
      <c r="P147" s="414"/>
      <c r="Q147" s="414"/>
      <c r="R147" s="414"/>
      <c r="S147" s="414"/>
      <c r="T147" s="414"/>
      <c r="U147" s="414"/>
    </row>
    <row r="148">
      <c r="A148" s="414"/>
      <c r="B148" s="414"/>
      <c r="C148" s="414"/>
      <c r="D148" s="414"/>
      <c r="E148" s="414"/>
      <c r="F148" s="414"/>
      <c r="G148" s="414"/>
      <c r="H148" s="414"/>
      <c r="I148" s="414"/>
      <c r="J148" s="414"/>
      <c r="K148" s="414"/>
      <c r="L148" s="414"/>
      <c r="M148" s="414"/>
      <c r="N148" s="414"/>
      <c r="O148" s="414"/>
      <c r="P148" s="414"/>
      <c r="Q148" s="414"/>
      <c r="R148" s="414"/>
      <c r="S148" s="414"/>
      <c r="T148" s="414"/>
      <c r="U148" s="414"/>
    </row>
    <row r="149">
      <c r="A149" s="414"/>
      <c r="B149" s="414"/>
      <c r="C149" s="414"/>
      <c r="D149" s="414"/>
      <c r="E149" s="414"/>
      <c r="F149" s="414"/>
      <c r="G149" s="414"/>
      <c r="H149" s="414"/>
      <c r="I149" s="414"/>
      <c r="J149" s="414"/>
      <c r="K149" s="414"/>
      <c r="L149" s="414"/>
      <c r="M149" s="414"/>
      <c r="N149" s="414"/>
      <c r="O149" s="414"/>
      <c r="P149" s="414"/>
      <c r="Q149" s="414"/>
      <c r="R149" s="414"/>
      <c r="S149" s="414"/>
      <c r="T149" s="414"/>
      <c r="U149" s="414"/>
    </row>
    <row r="150">
      <c r="A150" s="414"/>
      <c r="B150" s="414"/>
      <c r="C150" s="414"/>
      <c r="D150" s="414"/>
      <c r="E150" s="414"/>
      <c r="F150" s="414"/>
      <c r="G150" s="414"/>
      <c r="H150" s="414"/>
      <c r="I150" s="414"/>
      <c r="J150" s="414"/>
      <c r="K150" s="414"/>
      <c r="L150" s="414"/>
      <c r="M150" s="414"/>
      <c r="N150" s="414"/>
      <c r="O150" s="414"/>
      <c r="P150" s="414"/>
      <c r="Q150" s="414"/>
      <c r="R150" s="414"/>
      <c r="S150" s="414"/>
      <c r="T150" s="414"/>
      <c r="U150" s="414"/>
    </row>
    <row r="151">
      <c r="A151" s="414"/>
      <c r="B151" s="414"/>
      <c r="C151" s="414"/>
      <c r="D151" s="414"/>
      <c r="E151" s="414"/>
      <c r="F151" s="414"/>
      <c r="G151" s="414"/>
      <c r="H151" s="414"/>
      <c r="I151" s="414"/>
      <c r="J151" s="414"/>
      <c r="K151" s="414"/>
      <c r="L151" s="414"/>
      <c r="M151" s="414"/>
      <c r="N151" s="414"/>
      <c r="O151" s="414"/>
      <c r="P151" s="414"/>
      <c r="Q151" s="414"/>
      <c r="R151" s="414"/>
      <c r="S151" s="414"/>
      <c r="T151" s="414"/>
      <c r="U151" s="414"/>
    </row>
    <row r="152">
      <c r="A152" s="414"/>
      <c r="B152" s="414"/>
      <c r="C152" s="414"/>
      <c r="D152" s="414"/>
      <c r="E152" s="414"/>
      <c r="F152" s="414"/>
      <c r="G152" s="414"/>
      <c r="H152" s="414"/>
      <c r="I152" s="414"/>
      <c r="J152" s="414"/>
      <c r="K152" s="414"/>
      <c r="L152" s="414"/>
      <c r="M152" s="414"/>
      <c r="N152" s="414"/>
      <c r="O152" s="414"/>
      <c r="P152" s="414"/>
      <c r="Q152" s="414"/>
      <c r="R152" s="414"/>
      <c r="S152" s="414"/>
      <c r="T152" s="414"/>
      <c r="U152" s="414"/>
    </row>
    <row r="153">
      <c r="A153" s="414"/>
      <c r="B153" s="414"/>
      <c r="C153" s="414"/>
      <c r="D153" s="414"/>
      <c r="E153" s="414"/>
      <c r="F153" s="414"/>
      <c r="G153" s="414"/>
      <c r="H153" s="414"/>
      <c r="I153" s="414"/>
      <c r="J153" s="414"/>
      <c r="K153" s="414"/>
      <c r="L153" s="414"/>
      <c r="M153" s="414"/>
      <c r="N153" s="414"/>
      <c r="O153" s="414"/>
      <c r="P153" s="414"/>
      <c r="Q153" s="414"/>
      <c r="R153" s="414"/>
      <c r="S153" s="414"/>
      <c r="T153" s="414"/>
      <c r="U153" s="414"/>
    </row>
    <row r="154">
      <c r="A154" s="414"/>
      <c r="B154" s="414"/>
      <c r="C154" s="414"/>
      <c r="D154" s="414"/>
      <c r="E154" s="414"/>
      <c r="F154" s="414"/>
      <c r="G154" s="414"/>
      <c r="H154" s="414"/>
      <c r="I154" s="414"/>
      <c r="J154" s="414"/>
      <c r="K154" s="414"/>
      <c r="L154" s="414"/>
      <c r="M154" s="414"/>
      <c r="N154" s="414"/>
      <c r="O154" s="414"/>
      <c r="P154" s="414"/>
      <c r="Q154" s="414"/>
      <c r="R154" s="414"/>
      <c r="S154" s="414"/>
      <c r="T154" s="414"/>
      <c r="U154" s="414"/>
    </row>
    <row r="155">
      <c r="A155" s="414"/>
      <c r="B155" s="414"/>
      <c r="C155" s="414"/>
      <c r="D155" s="414"/>
      <c r="E155" s="414"/>
      <c r="F155" s="414"/>
      <c r="G155" s="414"/>
      <c r="H155" s="414"/>
      <c r="I155" s="414"/>
      <c r="J155" s="414"/>
      <c r="K155" s="414"/>
      <c r="L155" s="414"/>
      <c r="M155" s="414"/>
      <c r="N155" s="414"/>
      <c r="O155" s="414"/>
      <c r="P155" s="414"/>
      <c r="Q155" s="414"/>
      <c r="R155" s="414"/>
      <c r="S155" s="414"/>
      <c r="T155" s="414"/>
      <c r="U155" s="414"/>
    </row>
    <row r="156">
      <c r="A156" s="414"/>
      <c r="B156" s="414"/>
      <c r="C156" s="414"/>
      <c r="D156" s="414"/>
      <c r="E156" s="414"/>
      <c r="F156" s="414"/>
      <c r="G156" s="414"/>
      <c r="H156" s="414"/>
      <c r="I156" s="414"/>
      <c r="J156" s="414"/>
      <c r="K156" s="414"/>
      <c r="L156" s="414"/>
      <c r="M156" s="414"/>
      <c r="N156" s="414"/>
      <c r="O156" s="414"/>
      <c r="P156" s="414"/>
      <c r="Q156" s="414"/>
      <c r="R156" s="414"/>
      <c r="S156" s="414"/>
      <c r="T156" s="414"/>
      <c r="U156" s="414"/>
    </row>
    <row r="157">
      <c r="A157" s="414"/>
      <c r="B157" s="414"/>
      <c r="C157" s="414"/>
      <c r="D157" s="414"/>
      <c r="E157" s="414"/>
      <c r="F157" s="414"/>
      <c r="G157" s="414"/>
      <c r="H157" s="414"/>
      <c r="I157" s="414"/>
      <c r="J157" s="414"/>
      <c r="K157" s="414"/>
      <c r="L157" s="414"/>
      <c r="M157" s="414"/>
      <c r="N157" s="414"/>
      <c r="O157" s="414"/>
      <c r="P157" s="414"/>
      <c r="Q157" s="414"/>
      <c r="R157" s="414"/>
      <c r="S157" s="414"/>
      <c r="T157" s="414"/>
      <c r="U157" s="414"/>
    </row>
    <row r="158">
      <c r="A158" s="414"/>
      <c r="B158" s="414"/>
      <c r="C158" s="414"/>
      <c r="D158" s="414"/>
      <c r="E158" s="414"/>
      <c r="F158" s="414"/>
      <c r="G158" s="414"/>
      <c r="H158" s="414"/>
      <c r="I158" s="414"/>
      <c r="J158" s="414"/>
      <c r="K158" s="414"/>
      <c r="L158" s="414"/>
      <c r="M158" s="414"/>
      <c r="N158" s="414"/>
      <c r="O158" s="414"/>
      <c r="P158" s="414"/>
      <c r="Q158" s="414"/>
      <c r="R158" s="414"/>
      <c r="S158" s="414"/>
      <c r="T158" s="414"/>
      <c r="U158" s="414"/>
    </row>
    <row r="159">
      <c r="A159" s="414"/>
      <c r="B159" s="414"/>
      <c r="C159" s="414"/>
      <c r="D159" s="414"/>
      <c r="E159" s="414"/>
      <c r="F159" s="414"/>
      <c r="G159" s="414"/>
      <c r="H159" s="414"/>
      <c r="I159" s="414"/>
      <c r="J159" s="414"/>
      <c r="K159" s="414"/>
      <c r="L159" s="414"/>
      <c r="M159" s="414"/>
      <c r="N159" s="414"/>
      <c r="O159" s="414"/>
      <c r="P159" s="414"/>
      <c r="Q159" s="414"/>
      <c r="R159" s="414"/>
      <c r="S159" s="414"/>
      <c r="T159" s="414"/>
      <c r="U159" s="414"/>
    </row>
    <row r="160">
      <c r="A160" s="414"/>
      <c r="B160" s="414"/>
      <c r="C160" s="414"/>
      <c r="D160" s="414"/>
      <c r="E160" s="414"/>
      <c r="F160" s="414"/>
      <c r="G160" s="414"/>
      <c r="H160" s="414"/>
      <c r="I160" s="414"/>
      <c r="J160" s="414"/>
      <c r="K160" s="414"/>
      <c r="L160" s="414"/>
      <c r="M160" s="414"/>
      <c r="N160" s="414"/>
      <c r="O160" s="414"/>
      <c r="P160" s="414"/>
      <c r="Q160" s="414"/>
      <c r="R160" s="414"/>
      <c r="S160" s="414"/>
      <c r="T160" s="414"/>
      <c r="U160" s="414"/>
    </row>
    <row r="161">
      <c r="A161" s="414"/>
      <c r="B161" s="414"/>
      <c r="C161" s="414"/>
      <c r="D161" s="414"/>
      <c r="E161" s="414"/>
      <c r="F161" s="414"/>
      <c r="G161" s="414"/>
      <c r="H161" s="414"/>
      <c r="I161" s="414"/>
      <c r="J161" s="414"/>
      <c r="K161" s="414"/>
      <c r="L161" s="414"/>
      <c r="M161" s="414"/>
      <c r="N161" s="414"/>
      <c r="O161" s="414"/>
      <c r="P161" s="414"/>
      <c r="Q161" s="414"/>
      <c r="R161" s="414"/>
      <c r="S161" s="414"/>
      <c r="T161" s="414"/>
      <c r="U161" s="414"/>
    </row>
    <row r="162">
      <c r="A162" s="414"/>
      <c r="B162" s="414"/>
      <c r="C162" s="414"/>
      <c r="D162" s="414"/>
      <c r="E162" s="414"/>
      <c r="F162" s="414"/>
      <c r="G162" s="414"/>
      <c r="H162" s="414"/>
      <c r="I162" s="414"/>
      <c r="J162" s="414"/>
      <c r="K162" s="414"/>
      <c r="L162" s="414"/>
      <c r="M162" s="414"/>
      <c r="N162" s="414"/>
      <c r="O162" s="414"/>
      <c r="P162" s="414"/>
      <c r="Q162" s="414"/>
      <c r="R162" s="414"/>
      <c r="S162" s="414"/>
      <c r="T162" s="414"/>
      <c r="U162" s="414"/>
    </row>
    <row r="163">
      <c r="A163" s="414"/>
      <c r="B163" s="414"/>
      <c r="C163" s="414"/>
      <c r="D163" s="414"/>
      <c r="E163" s="414"/>
      <c r="F163" s="414"/>
      <c r="G163" s="414"/>
      <c r="H163" s="414"/>
      <c r="I163" s="414"/>
      <c r="J163" s="414"/>
      <c r="K163" s="414"/>
      <c r="L163" s="414"/>
      <c r="M163" s="414"/>
      <c r="N163" s="414"/>
      <c r="O163" s="414"/>
      <c r="P163" s="414"/>
      <c r="Q163" s="414"/>
      <c r="R163" s="414"/>
      <c r="S163" s="414"/>
      <c r="T163" s="414"/>
      <c r="U163" s="414"/>
    </row>
    <row r="164">
      <c r="A164" s="414"/>
      <c r="B164" s="414"/>
      <c r="C164" s="414"/>
      <c r="D164" s="414"/>
      <c r="E164" s="414"/>
      <c r="F164" s="414"/>
      <c r="G164" s="414"/>
      <c r="H164" s="414"/>
      <c r="I164" s="414"/>
      <c r="J164" s="414"/>
      <c r="K164" s="414"/>
      <c r="L164" s="414"/>
      <c r="M164" s="414"/>
      <c r="N164" s="414"/>
      <c r="O164" s="414"/>
      <c r="P164" s="414"/>
      <c r="Q164" s="414"/>
      <c r="R164" s="414"/>
      <c r="S164" s="414"/>
      <c r="T164" s="414"/>
      <c r="U164" s="414"/>
    </row>
    <row r="165">
      <c r="A165" s="414"/>
      <c r="B165" s="414"/>
      <c r="C165" s="414"/>
      <c r="D165" s="414"/>
      <c r="E165" s="414"/>
      <c r="F165" s="414"/>
      <c r="G165" s="414"/>
      <c r="H165" s="414"/>
      <c r="I165" s="414"/>
      <c r="J165" s="414"/>
      <c r="K165" s="414"/>
      <c r="L165" s="414"/>
      <c r="M165" s="414"/>
      <c r="N165" s="414"/>
      <c r="O165" s="414"/>
      <c r="P165" s="414"/>
      <c r="Q165" s="414"/>
      <c r="R165" s="414"/>
      <c r="S165" s="414"/>
      <c r="T165" s="414"/>
      <c r="U165" s="414"/>
    </row>
    <row r="166">
      <c r="A166" s="414"/>
      <c r="B166" s="414"/>
      <c r="C166" s="414"/>
      <c r="D166" s="414"/>
      <c r="E166" s="414"/>
      <c r="F166" s="414"/>
      <c r="G166" s="414"/>
      <c r="H166" s="414"/>
      <c r="I166" s="414"/>
      <c r="J166" s="414"/>
      <c r="K166" s="414"/>
      <c r="L166" s="414"/>
      <c r="M166" s="414"/>
      <c r="N166" s="414"/>
      <c r="O166" s="414"/>
      <c r="P166" s="414"/>
      <c r="Q166" s="414"/>
      <c r="R166" s="414"/>
      <c r="S166" s="414"/>
      <c r="T166" s="414"/>
      <c r="U166" s="414"/>
    </row>
    <row r="167">
      <c r="A167" s="414"/>
      <c r="B167" s="414"/>
      <c r="C167" s="414"/>
      <c r="D167" s="414"/>
      <c r="E167" s="414"/>
      <c r="F167" s="414"/>
      <c r="G167" s="414"/>
      <c r="H167" s="414"/>
      <c r="I167" s="414"/>
      <c r="J167" s="414"/>
      <c r="K167" s="414"/>
      <c r="L167" s="414"/>
      <c r="M167" s="414"/>
      <c r="N167" s="414"/>
      <c r="O167" s="414"/>
      <c r="P167" s="414"/>
      <c r="Q167" s="414"/>
      <c r="R167" s="414"/>
      <c r="S167" s="414"/>
      <c r="T167" s="414"/>
      <c r="U167" s="414"/>
    </row>
    <row r="168">
      <c r="A168" s="414"/>
      <c r="B168" s="414"/>
      <c r="C168" s="414"/>
      <c r="D168" s="414"/>
      <c r="E168" s="414"/>
      <c r="F168" s="414"/>
      <c r="G168" s="414"/>
      <c r="H168" s="414"/>
      <c r="I168" s="414"/>
      <c r="J168" s="414"/>
      <c r="K168" s="414"/>
      <c r="L168" s="414"/>
      <c r="M168" s="414"/>
      <c r="N168" s="414"/>
      <c r="O168" s="414"/>
      <c r="P168" s="414"/>
      <c r="Q168" s="414"/>
      <c r="R168" s="414"/>
      <c r="S168" s="414"/>
      <c r="T168" s="414"/>
      <c r="U168" s="414"/>
    </row>
    <row r="169">
      <c r="A169" s="414"/>
      <c r="B169" s="414"/>
      <c r="C169" s="414"/>
      <c r="D169" s="414"/>
      <c r="E169" s="414"/>
      <c r="F169" s="414"/>
      <c r="G169" s="414"/>
      <c r="H169" s="414"/>
      <c r="I169" s="414"/>
      <c r="J169" s="414"/>
      <c r="K169" s="414"/>
      <c r="L169" s="414"/>
      <c r="M169" s="414"/>
      <c r="N169" s="414"/>
      <c r="O169" s="414"/>
      <c r="P169" s="414"/>
      <c r="Q169" s="414"/>
      <c r="R169" s="414"/>
      <c r="S169" s="414"/>
      <c r="T169" s="414"/>
      <c r="U169" s="414"/>
    </row>
    <row r="170">
      <c r="A170" s="414"/>
      <c r="B170" s="414"/>
      <c r="C170" s="414"/>
      <c r="D170" s="414"/>
      <c r="E170" s="414"/>
      <c r="F170" s="414"/>
      <c r="G170" s="414"/>
      <c r="H170" s="414"/>
      <c r="I170" s="414"/>
      <c r="J170" s="414"/>
      <c r="K170" s="414"/>
      <c r="L170" s="414"/>
      <c r="M170" s="414"/>
      <c r="N170" s="414"/>
      <c r="O170" s="414"/>
      <c r="P170" s="414"/>
      <c r="Q170" s="414"/>
      <c r="R170" s="414"/>
      <c r="S170" s="414"/>
      <c r="T170" s="414"/>
      <c r="U170" s="414"/>
    </row>
    <row r="171">
      <c r="A171" s="414"/>
      <c r="B171" s="414"/>
      <c r="C171" s="414"/>
      <c r="D171" s="414"/>
      <c r="E171" s="414"/>
      <c r="F171" s="414"/>
      <c r="G171" s="414"/>
      <c r="H171" s="414"/>
      <c r="I171" s="414"/>
      <c r="J171" s="414"/>
      <c r="K171" s="414"/>
      <c r="L171" s="414"/>
      <c r="M171" s="414"/>
      <c r="N171" s="414"/>
      <c r="O171" s="414"/>
      <c r="P171" s="414"/>
      <c r="Q171" s="414"/>
      <c r="R171" s="414"/>
      <c r="S171" s="414"/>
      <c r="T171" s="414"/>
      <c r="U171" s="414"/>
    </row>
    <row r="172">
      <c r="A172" s="414"/>
      <c r="B172" s="414"/>
      <c r="C172" s="414"/>
      <c r="D172" s="414"/>
      <c r="E172" s="414"/>
      <c r="F172" s="414"/>
      <c r="G172" s="414"/>
      <c r="H172" s="414"/>
      <c r="I172" s="414"/>
      <c r="J172" s="414"/>
      <c r="K172" s="414"/>
      <c r="L172" s="414"/>
      <c r="M172" s="414"/>
      <c r="N172" s="414"/>
      <c r="O172" s="414"/>
      <c r="P172" s="414"/>
      <c r="Q172" s="414"/>
      <c r="R172" s="414"/>
      <c r="S172" s="414"/>
      <c r="T172" s="414"/>
      <c r="U172" s="414"/>
    </row>
    <row r="173">
      <c r="A173" s="414"/>
      <c r="B173" s="414"/>
      <c r="C173" s="414"/>
      <c r="D173" s="414"/>
      <c r="E173" s="414"/>
      <c r="F173" s="414"/>
      <c r="G173" s="414"/>
      <c r="H173" s="414"/>
      <c r="I173" s="414"/>
      <c r="J173" s="414"/>
      <c r="K173" s="414"/>
      <c r="L173" s="414"/>
      <c r="M173" s="414"/>
      <c r="N173" s="414"/>
      <c r="O173" s="414"/>
      <c r="P173" s="414"/>
      <c r="Q173" s="414"/>
      <c r="R173" s="414"/>
      <c r="S173" s="414"/>
      <c r="T173" s="414"/>
      <c r="U173" s="414"/>
    </row>
    <row r="174">
      <c r="A174" s="414"/>
      <c r="B174" s="414"/>
      <c r="C174" s="414"/>
      <c r="D174" s="414"/>
      <c r="E174" s="414"/>
      <c r="F174" s="414"/>
      <c r="G174" s="414"/>
      <c r="H174" s="414"/>
      <c r="I174" s="414"/>
      <c r="J174" s="414"/>
      <c r="K174" s="414"/>
      <c r="L174" s="414"/>
      <c r="M174" s="414"/>
      <c r="N174" s="414"/>
      <c r="O174" s="414"/>
      <c r="P174" s="414"/>
      <c r="Q174" s="414"/>
      <c r="R174" s="414"/>
      <c r="S174" s="414"/>
      <c r="T174" s="414"/>
      <c r="U174" s="414"/>
    </row>
    <row r="175">
      <c r="A175" s="414"/>
      <c r="B175" s="414"/>
      <c r="C175" s="414"/>
      <c r="D175" s="414"/>
      <c r="E175" s="414"/>
      <c r="F175" s="414"/>
      <c r="G175" s="414"/>
      <c r="H175" s="414"/>
      <c r="I175" s="414"/>
      <c r="J175" s="414"/>
      <c r="K175" s="414"/>
      <c r="L175" s="414"/>
      <c r="M175" s="414"/>
      <c r="N175" s="414"/>
      <c r="O175" s="414"/>
      <c r="P175" s="414"/>
      <c r="Q175" s="414"/>
      <c r="R175" s="414"/>
      <c r="S175" s="414"/>
      <c r="T175" s="414"/>
      <c r="U175" s="414"/>
    </row>
    <row r="176">
      <c r="A176" s="414"/>
      <c r="B176" s="414"/>
      <c r="C176" s="414"/>
      <c r="D176" s="414"/>
      <c r="E176" s="414"/>
      <c r="F176" s="414"/>
      <c r="G176" s="414"/>
      <c r="H176" s="414"/>
      <c r="I176" s="414"/>
      <c r="J176" s="414"/>
      <c r="K176" s="414"/>
      <c r="L176" s="414"/>
      <c r="M176" s="414"/>
      <c r="N176" s="414"/>
      <c r="O176" s="414"/>
      <c r="P176" s="414"/>
      <c r="Q176" s="414"/>
      <c r="R176" s="414"/>
      <c r="S176" s="414"/>
      <c r="T176" s="414"/>
      <c r="U176" s="414"/>
    </row>
    <row r="177">
      <c r="A177" s="414"/>
      <c r="B177" s="414"/>
      <c r="C177" s="414"/>
      <c r="D177" s="414"/>
      <c r="E177" s="414"/>
      <c r="F177" s="414"/>
      <c r="G177" s="414"/>
      <c r="H177" s="414"/>
      <c r="I177" s="414"/>
      <c r="J177" s="414"/>
      <c r="K177" s="414"/>
      <c r="L177" s="414"/>
      <c r="M177" s="414"/>
      <c r="N177" s="414"/>
      <c r="O177" s="414"/>
      <c r="P177" s="414"/>
      <c r="Q177" s="414"/>
      <c r="R177" s="414"/>
      <c r="S177" s="414"/>
      <c r="T177" s="414"/>
      <c r="U177" s="414"/>
    </row>
    <row r="178">
      <c r="A178" s="414"/>
      <c r="B178" s="414"/>
      <c r="C178" s="414"/>
      <c r="D178" s="414"/>
      <c r="E178" s="414"/>
      <c r="F178" s="414"/>
      <c r="G178" s="414"/>
      <c r="H178" s="414"/>
      <c r="I178" s="414"/>
      <c r="J178" s="414"/>
      <c r="K178" s="414"/>
      <c r="L178" s="414"/>
      <c r="M178" s="414"/>
      <c r="N178" s="414"/>
      <c r="O178" s="414"/>
      <c r="P178" s="414"/>
      <c r="Q178" s="414"/>
      <c r="R178" s="414"/>
      <c r="S178" s="414"/>
      <c r="T178" s="414"/>
      <c r="U178" s="414"/>
    </row>
    <row r="179">
      <c r="A179" s="414"/>
      <c r="B179" s="414"/>
      <c r="C179" s="414"/>
      <c r="D179" s="414"/>
      <c r="E179" s="414"/>
      <c r="F179" s="414"/>
      <c r="G179" s="414"/>
      <c r="H179" s="414"/>
      <c r="I179" s="414"/>
      <c r="J179" s="414"/>
      <c r="K179" s="414"/>
      <c r="L179" s="414"/>
      <c r="M179" s="414"/>
      <c r="N179" s="414"/>
      <c r="O179" s="414"/>
      <c r="P179" s="414"/>
      <c r="Q179" s="414"/>
      <c r="R179" s="414"/>
      <c r="S179" s="414"/>
      <c r="T179" s="414"/>
      <c r="U179" s="414"/>
    </row>
    <row r="180">
      <c r="A180" s="414"/>
      <c r="B180" s="414"/>
      <c r="C180" s="414"/>
      <c r="D180" s="414"/>
      <c r="E180" s="414"/>
      <c r="F180" s="414"/>
      <c r="G180" s="414"/>
      <c r="H180" s="414"/>
      <c r="I180" s="414"/>
      <c r="J180" s="414"/>
      <c r="K180" s="414"/>
      <c r="L180" s="414"/>
      <c r="M180" s="414"/>
      <c r="N180" s="414"/>
      <c r="O180" s="414"/>
      <c r="P180" s="414"/>
      <c r="Q180" s="414"/>
      <c r="R180" s="414"/>
      <c r="S180" s="414"/>
      <c r="T180" s="414"/>
      <c r="U180" s="414"/>
    </row>
    <row r="181">
      <c r="A181" s="414"/>
      <c r="B181" s="414"/>
      <c r="C181" s="414"/>
      <c r="D181" s="414"/>
      <c r="E181" s="414"/>
      <c r="F181" s="414"/>
      <c r="G181" s="414"/>
      <c r="H181" s="414"/>
      <c r="I181" s="414"/>
      <c r="J181" s="414"/>
      <c r="K181" s="414"/>
      <c r="L181" s="414"/>
      <c r="M181" s="414"/>
      <c r="N181" s="414"/>
      <c r="O181" s="414"/>
      <c r="P181" s="414"/>
      <c r="Q181" s="414"/>
      <c r="R181" s="414"/>
      <c r="S181" s="414"/>
      <c r="T181" s="414"/>
      <c r="U181" s="414"/>
    </row>
    <row r="182">
      <c r="A182" s="414"/>
      <c r="B182" s="414"/>
      <c r="C182" s="414"/>
      <c r="D182" s="414"/>
      <c r="E182" s="414"/>
      <c r="F182" s="414"/>
      <c r="G182" s="414"/>
      <c r="H182" s="414"/>
      <c r="I182" s="414"/>
      <c r="J182" s="414"/>
      <c r="K182" s="414"/>
      <c r="L182" s="414"/>
      <c r="M182" s="414"/>
      <c r="N182" s="414"/>
      <c r="O182" s="414"/>
      <c r="P182" s="414"/>
      <c r="Q182" s="414"/>
      <c r="R182" s="414"/>
      <c r="S182" s="414"/>
      <c r="T182" s="414"/>
      <c r="U182" s="414"/>
    </row>
    <row r="183">
      <c r="A183" s="414"/>
      <c r="B183" s="414"/>
      <c r="C183" s="414"/>
      <c r="D183" s="414"/>
      <c r="E183" s="414"/>
      <c r="F183" s="414"/>
      <c r="G183" s="414"/>
      <c r="H183" s="414"/>
      <c r="I183" s="414"/>
      <c r="J183" s="414"/>
      <c r="K183" s="414"/>
      <c r="L183" s="414"/>
      <c r="M183" s="414"/>
      <c r="N183" s="414"/>
      <c r="O183" s="414"/>
      <c r="P183" s="414"/>
      <c r="Q183" s="414"/>
      <c r="R183" s="414"/>
      <c r="S183" s="414"/>
      <c r="T183" s="414"/>
      <c r="U183" s="414"/>
    </row>
    <row r="184">
      <c r="A184" s="414"/>
      <c r="B184" s="414"/>
      <c r="C184" s="414"/>
      <c r="D184" s="414"/>
      <c r="E184" s="414"/>
      <c r="F184" s="414"/>
      <c r="G184" s="414"/>
      <c r="H184" s="414"/>
      <c r="I184" s="414"/>
      <c r="J184" s="414"/>
      <c r="K184" s="414"/>
      <c r="L184" s="414"/>
      <c r="M184" s="414"/>
      <c r="N184" s="414"/>
      <c r="O184" s="414"/>
      <c r="P184" s="414"/>
      <c r="Q184" s="414"/>
      <c r="R184" s="414"/>
      <c r="S184" s="414"/>
      <c r="T184" s="414"/>
      <c r="U184" s="414"/>
    </row>
    <row r="185">
      <c r="A185" s="414"/>
      <c r="B185" s="414"/>
      <c r="C185" s="414"/>
      <c r="D185" s="414"/>
      <c r="E185" s="414"/>
      <c r="F185" s="414"/>
      <c r="G185" s="414"/>
      <c r="H185" s="414"/>
      <c r="I185" s="414"/>
      <c r="J185" s="414"/>
      <c r="K185" s="414"/>
      <c r="L185" s="414"/>
      <c r="M185" s="414"/>
      <c r="N185" s="414"/>
      <c r="O185" s="414"/>
      <c r="P185" s="414"/>
      <c r="Q185" s="414"/>
      <c r="R185" s="414"/>
      <c r="S185" s="414"/>
      <c r="T185" s="414"/>
      <c r="U185" s="414"/>
    </row>
    <row r="186">
      <c r="A186" s="414"/>
      <c r="B186" s="414"/>
      <c r="C186" s="414"/>
      <c r="D186" s="414"/>
      <c r="E186" s="414"/>
      <c r="F186" s="414"/>
      <c r="G186" s="414"/>
      <c r="H186" s="414"/>
      <c r="I186" s="414"/>
      <c r="J186" s="414"/>
      <c r="K186" s="414"/>
      <c r="L186" s="414"/>
      <c r="M186" s="414"/>
      <c r="N186" s="414"/>
      <c r="O186" s="414"/>
      <c r="P186" s="414"/>
      <c r="Q186" s="414"/>
      <c r="R186" s="414"/>
      <c r="S186" s="414"/>
      <c r="T186" s="414"/>
      <c r="U186" s="414"/>
    </row>
    <row r="187">
      <c r="A187" s="414"/>
      <c r="B187" s="414"/>
      <c r="C187" s="414"/>
      <c r="D187" s="414"/>
      <c r="E187" s="414"/>
      <c r="F187" s="414"/>
      <c r="G187" s="414"/>
      <c r="H187" s="414"/>
      <c r="I187" s="414"/>
      <c r="J187" s="414"/>
      <c r="K187" s="414"/>
      <c r="L187" s="414"/>
      <c r="M187" s="414"/>
      <c r="N187" s="414"/>
      <c r="O187" s="414"/>
      <c r="P187" s="414"/>
      <c r="Q187" s="414"/>
      <c r="R187" s="414"/>
      <c r="S187" s="414"/>
      <c r="T187" s="414"/>
      <c r="U187" s="414"/>
    </row>
    <row r="188">
      <c r="A188" s="414"/>
      <c r="B188" s="414"/>
      <c r="C188" s="414"/>
      <c r="D188" s="414"/>
      <c r="E188" s="414"/>
      <c r="F188" s="414"/>
      <c r="G188" s="414"/>
      <c r="H188" s="414"/>
      <c r="I188" s="414"/>
      <c r="J188" s="414"/>
      <c r="K188" s="414"/>
      <c r="L188" s="414"/>
      <c r="M188" s="414"/>
      <c r="N188" s="414"/>
      <c r="O188" s="414"/>
      <c r="P188" s="414"/>
      <c r="Q188" s="414"/>
      <c r="R188" s="414"/>
      <c r="S188" s="414"/>
      <c r="T188" s="414"/>
      <c r="U188" s="414"/>
    </row>
    <row r="189">
      <c r="A189" s="414"/>
      <c r="B189" s="414"/>
      <c r="C189" s="414"/>
      <c r="D189" s="414"/>
      <c r="E189" s="414"/>
      <c r="F189" s="414"/>
      <c r="G189" s="414"/>
      <c r="H189" s="414"/>
      <c r="I189" s="414"/>
      <c r="J189" s="414"/>
      <c r="K189" s="414"/>
      <c r="L189" s="414"/>
      <c r="M189" s="414"/>
      <c r="N189" s="414"/>
      <c r="O189" s="414"/>
      <c r="P189" s="414"/>
      <c r="Q189" s="414"/>
      <c r="R189" s="414"/>
      <c r="S189" s="414"/>
      <c r="T189" s="414"/>
      <c r="U189" s="414"/>
    </row>
    <row r="190">
      <c r="A190" s="414"/>
      <c r="B190" s="414"/>
      <c r="C190" s="414"/>
      <c r="D190" s="414"/>
      <c r="E190" s="414"/>
      <c r="F190" s="414"/>
      <c r="G190" s="414"/>
      <c r="H190" s="414"/>
      <c r="I190" s="414"/>
      <c r="J190" s="414"/>
      <c r="K190" s="414"/>
      <c r="L190" s="414"/>
      <c r="M190" s="414"/>
      <c r="N190" s="414"/>
      <c r="O190" s="414"/>
      <c r="P190" s="414"/>
      <c r="Q190" s="414"/>
      <c r="R190" s="414"/>
      <c r="S190" s="414"/>
      <c r="T190" s="414"/>
      <c r="U190" s="414"/>
    </row>
    <row r="191">
      <c r="A191" s="414"/>
      <c r="B191" s="414"/>
      <c r="C191" s="414"/>
      <c r="D191" s="414"/>
      <c r="E191" s="414"/>
      <c r="F191" s="414"/>
      <c r="G191" s="414"/>
      <c r="H191" s="414"/>
      <c r="I191" s="414"/>
      <c r="J191" s="414"/>
      <c r="K191" s="414"/>
      <c r="L191" s="414"/>
      <c r="M191" s="414"/>
      <c r="N191" s="414"/>
      <c r="O191" s="414"/>
      <c r="P191" s="414"/>
      <c r="Q191" s="414"/>
      <c r="R191" s="414"/>
      <c r="S191" s="414"/>
      <c r="T191" s="414"/>
      <c r="U191" s="414"/>
    </row>
    <row r="192">
      <c r="A192" s="414"/>
      <c r="B192" s="414"/>
      <c r="C192" s="414"/>
      <c r="D192" s="414"/>
      <c r="E192" s="414"/>
      <c r="F192" s="414"/>
      <c r="G192" s="414"/>
      <c r="H192" s="414"/>
      <c r="I192" s="414"/>
      <c r="J192" s="414"/>
      <c r="K192" s="414"/>
      <c r="L192" s="414"/>
      <c r="M192" s="414"/>
      <c r="N192" s="414"/>
      <c r="O192" s="414"/>
      <c r="P192" s="414"/>
      <c r="Q192" s="414"/>
      <c r="R192" s="414"/>
      <c r="S192" s="414"/>
      <c r="T192" s="414"/>
      <c r="U192" s="414"/>
    </row>
    <row r="193">
      <c r="A193" s="414"/>
      <c r="B193" s="414"/>
      <c r="C193" s="414"/>
      <c r="D193" s="414"/>
      <c r="E193" s="414"/>
      <c r="F193" s="414"/>
      <c r="G193" s="414"/>
      <c r="H193" s="414"/>
      <c r="I193" s="414"/>
      <c r="J193" s="414"/>
      <c r="K193" s="414"/>
      <c r="L193" s="414"/>
      <c r="M193" s="414"/>
      <c r="N193" s="414"/>
      <c r="O193" s="414"/>
      <c r="P193" s="414"/>
      <c r="Q193" s="414"/>
      <c r="R193" s="414"/>
      <c r="S193" s="414"/>
      <c r="T193" s="414"/>
      <c r="U193" s="414"/>
    </row>
    <row r="194">
      <c r="A194" s="414"/>
      <c r="B194" s="414"/>
      <c r="C194" s="414"/>
      <c r="D194" s="414"/>
      <c r="E194" s="414"/>
      <c r="F194" s="414"/>
      <c r="G194" s="414"/>
      <c r="H194" s="414"/>
      <c r="I194" s="414"/>
      <c r="J194" s="414"/>
      <c r="K194" s="414"/>
      <c r="L194" s="414"/>
      <c r="M194" s="414"/>
      <c r="N194" s="414"/>
      <c r="O194" s="414"/>
      <c r="P194" s="414"/>
      <c r="Q194" s="414"/>
      <c r="R194" s="414"/>
      <c r="S194" s="414"/>
      <c r="T194" s="414"/>
      <c r="U194" s="414"/>
    </row>
    <row r="195">
      <c r="A195" s="414"/>
      <c r="B195" s="414"/>
      <c r="C195" s="414"/>
      <c r="D195" s="414"/>
      <c r="E195" s="414"/>
      <c r="F195" s="414"/>
      <c r="G195" s="414"/>
      <c r="H195" s="414"/>
      <c r="I195" s="414"/>
      <c r="J195" s="414"/>
      <c r="K195" s="414"/>
      <c r="L195" s="414"/>
      <c r="M195" s="414"/>
      <c r="N195" s="414"/>
      <c r="O195" s="414"/>
      <c r="P195" s="414"/>
      <c r="Q195" s="414"/>
      <c r="R195" s="414"/>
      <c r="S195" s="414"/>
      <c r="T195" s="414"/>
      <c r="U195" s="414"/>
    </row>
    <row r="196">
      <c r="A196" s="414"/>
      <c r="B196" s="414"/>
      <c r="C196" s="414"/>
      <c r="D196" s="414"/>
      <c r="E196" s="414"/>
      <c r="F196" s="414"/>
      <c r="G196" s="414"/>
      <c r="H196" s="414"/>
      <c r="I196" s="414"/>
      <c r="J196" s="414"/>
      <c r="K196" s="414"/>
      <c r="L196" s="414"/>
      <c r="M196" s="414"/>
      <c r="N196" s="414"/>
      <c r="O196" s="414"/>
      <c r="P196" s="414"/>
      <c r="Q196" s="414"/>
      <c r="R196" s="414"/>
      <c r="S196" s="414"/>
      <c r="T196" s="414"/>
      <c r="U196" s="414"/>
    </row>
    <row r="197">
      <c r="A197" s="414"/>
      <c r="B197" s="414"/>
      <c r="C197" s="414"/>
      <c r="D197" s="414"/>
      <c r="E197" s="414"/>
      <c r="F197" s="414"/>
      <c r="G197" s="414"/>
      <c r="H197" s="414"/>
      <c r="I197" s="414"/>
      <c r="J197" s="414"/>
      <c r="K197" s="414"/>
      <c r="L197" s="414"/>
      <c r="M197" s="414"/>
      <c r="N197" s="414"/>
      <c r="O197" s="414"/>
      <c r="P197" s="414"/>
      <c r="Q197" s="414"/>
      <c r="R197" s="414"/>
      <c r="S197" s="414"/>
      <c r="T197" s="414"/>
      <c r="U197" s="414"/>
    </row>
    <row r="198">
      <c r="A198" s="414"/>
      <c r="B198" s="414"/>
      <c r="C198" s="414"/>
      <c r="D198" s="414"/>
      <c r="E198" s="414"/>
      <c r="F198" s="414"/>
      <c r="G198" s="414"/>
      <c r="H198" s="414"/>
      <c r="I198" s="414"/>
      <c r="J198" s="414"/>
      <c r="K198" s="414"/>
      <c r="L198" s="414"/>
      <c r="M198" s="414"/>
      <c r="N198" s="414"/>
      <c r="O198" s="414"/>
      <c r="P198" s="414"/>
      <c r="Q198" s="414"/>
      <c r="R198" s="414"/>
      <c r="S198" s="414"/>
      <c r="T198" s="414"/>
      <c r="U198" s="414"/>
    </row>
    <row r="199">
      <c r="A199" s="414"/>
      <c r="B199" s="414"/>
      <c r="C199" s="414"/>
      <c r="D199" s="414"/>
      <c r="E199" s="414"/>
      <c r="F199" s="414"/>
      <c r="G199" s="414"/>
      <c r="H199" s="414"/>
      <c r="I199" s="414"/>
      <c r="J199" s="414"/>
      <c r="K199" s="414"/>
      <c r="L199" s="414"/>
      <c r="M199" s="414"/>
      <c r="N199" s="414"/>
      <c r="O199" s="414"/>
      <c r="P199" s="414"/>
      <c r="Q199" s="414"/>
      <c r="R199" s="414"/>
      <c r="S199" s="414"/>
      <c r="T199" s="414"/>
      <c r="U199" s="414"/>
    </row>
    <row r="200">
      <c r="A200" s="414"/>
      <c r="B200" s="414"/>
      <c r="C200" s="414"/>
      <c r="D200" s="414"/>
      <c r="E200" s="414"/>
      <c r="F200" s="414"/>
      <c r="G200" s="414"/>
      <c r="H200" s="414"/>
      <c r="I200" s="414"/>
      <c r="J200" s="414"/>
      <c r="K200" s="414"/>
      <c r="L200" s="414"/>
      <c r="M200" s="414"/>
      <c r="N200" s="414"/>
      <c r="O200" s="414"/>
      <c r="P200" s="414"/>
      <c r="Q200" s="414"/>
      <c r="R200" s="414"/>
      <c r="S200" s="414"/>
      <c r="T200" s="414"/>
      <c r="U200" s="414"/>
    </row>
    <row r="201">
      <c r="A201" s="414"/>
      <c r="B201" s="414"/>
      <c r="C201" s="414"/>
      <c r="D201" s="414"/>
      <c r="E201" s="414"/>
      <c r="F201" s="414"/>
      <c r="G201" s="414"/>
      <c r="H201" s="414"/>
      <c r="I201" s="414"/>
      <c r="J201" s="414"/>
      <c r="K201" s="414"/>
      <c r="L201" s="414"/>
      <c r="M201" s="414"/>
      <c r="N201" s="414"/>
      <c r="O201" s="414"/>
      <c r="P201" s="414"/>
      <c r="Q201" s="414"/>
      <c r="R201" s="414"/>
      <c r="S201" s="414"/>
      <c r="T201" s="414"/>
      <c r="U201" s="414"/>
    </row>
    <row r="202">
      <c r="A202" s="414"/>
      <c r="B202" s="414"/>
      <c r="C202" s="414"/>
      <c r="D202" s="414"/>
      <c r="E202" s="414"/>
      <c r="F202" s="414"/>
      <c r="G202" s="414"/>
      <c r="H202" s="414"/>
      <c r="I202" s="414"/>
      <c r="J202" s="414"/>
      <c r="K202" s="414"/>
      <c r="L202" s="414"/>
      <c r="M202" s="414"/>
      <c r="N202" s="414"/>
      <c r="O202" s="414"/>
      <c r="P202" s="414"/>
      <c r="Q202" s="414"/>
      <c r="R202" s="414"/>
      <c r="S202" s="414"/>
      <c r="T202" s="414"/>
      <c r="U202" s="414"/>
    </row>
    <row r="203">
      <c r="A203" s="414"/>
      <c r="B203" s="414"/>
      <c r="C203" s="414"/>
      <c r="D203" s="414"/>
      <c r="E203" s="414"/>
      <c r="F203" s="414"/>
      <c r="G203" s="414"/>
      <c r="H203" s="414"/>
      <c r="I203" s="414"/>
      <c r="J203" s="414"/>
      <c r="K203" s="414"/>
      <c r="L203" s="414"/>
      <c r="M203" s="414"/>
      <c r="N203" s="414"/>
      <c r="O203" s="414"/>
      <c r="P203" s="414"/>
      <c r="Q203" s="414"/>
      <c r="R203" s="414"/>
      <c r="S203" s="414"/>
      <c r="T203" s="414"/>
      <c r="U203" s="414"/>
    </row>
    <row r="204">
      <c r="A204" s="414"/>
      <c r="B204" s="414"/>
      <c r="C204" s="414"/>
      <c r="D204" s="414"/>
      <c r="E204" s="414"/>
      <c r="F204" s="414"/>
      <c r="G204" s="414"/>
      <c r="H204" s="414"/>
      <c r="I204" s="414"/>
      <c r="J204" s="414"/>
      <c r="K204" s="414"/>
      <c r="L204" s="414"/>
      <c r="M204" s="414"/>
      <c r="N204" s="414"/>
      <c r="O204" s="414"/>
      <c r="P204" s="414"/>
      <c r="Q204" s="414"/>
      <c r="R204" s="414"/>
      <c r="S204" s="414"/>
      <c r="T204" s="414"/>
      <c r="U204" s="414"/>
    </row>
    <row r="205">
      <c r="A205" s="414"/>
      <c r="B205" s="414"/>
      <c r="C205" s="414"/>
      <c r="D205" s="414"/>
      <c r="E205" s="414"/>
      <c r="F205" s="414"/>
      <c r="G205" s="414"/>
      <c r="H205" s="414"/>
      <c r="I205" s="414"/>
      <c r="J205" s="414"/>
      <c r="K205" s="414"/>
      <c r="L205" s="414"/>
      <c r="M205" s="414"/>
      <c r="N205" s="414"/>
      <c r="O205" s="414"/>
      <c r="P205" s="414"/>
      <c r="Q205" s="414"/>
      <c r="R205" s="414"/>
      <c r="S205" s="414"/>
      <c r="T205" s="414"/>
      <c r="U205" s="414"/>
    </row>
    <row r="206">
      <c r="A206" s="414"/>
      <c r="B206" s="414"/>
      <c r="C206" s="414"/>
      <c r="D206" s="414"/>
      <c r="E206" s="414"/>
      <c r="F206" s="414"/>
      <c r="G206" s="414"/>
      <c r="H206" s="414"/>
      <c r="I206" s="414"/>
      <c r="J206" s="414"/>
      <c r="K206" s="414"/>
      <c r="L206" s="414"/>
      <c r="M206" s="414"/>
      <c r="N206" s="414"/>
      <c r="O206" s="414"/>
      <c r="P206" s="414"/>
      <c r="Q206" s="414"/>
      <c r="R206" s="414"/>
      <c r="S206" s="414"/>
      <c r="T206" s="414"/>
      <c r="U206" s="414"/>
    </row>
    <row r="207">
      <c r="A207" s="414"/>
      <c r="B207" s="414"/>
      <c r="C207" s="414"/>
      <c r="D207" s="414"/>
      <c r="E207" s="414"/>
      <c r="F207" s="414"/>
      <c r="G207" s="414"/>
      <c r="H207" s="414"/>
      <c r="I207" s="414"/>
      <c r="J207" s="414"/>
      <c r="K207" s="414"/>
      <c r="L207" s="414"/>
      <c r="M207" s="414"/>
      <c r="N207" s="414"/>
      <c r="O207" s="414"/>
      <c r="P207" s="414"/>
      <c r="Q207" s="414"/>
      <c r="R207" s="414"/>
      <c r="S207" s="414"/>
      <c r="T207" s="414"/>
      <c r="U207" s="414"/>
    </row>
    <row r="208">
      <c r="A208" s="414"/>
      <c r="B208" s="414"/>
      <c r="C208" s="414"/>
      <c r="D208" s="414"/>
      <c r="E208" s="414"/>
      <c r="F208" s="414"/>
      <c r="G208" s="414"/>
      <c r="H208" s="414"/>
      <c r="I208" s="414"/>
      <c r="J208" s="414"/>
      <c r="K208" s="414"/>
      <c r="L208" s="414"/>
      <c r="M208" s="414"/>
      <c r="N208" s="414"/>
      <c r="O208" s="414"/>
      <c r="P208" s="414"/>
      <c r="Q208" s="414"/>
      <c r="R208" s="414"/>
      <c r="S208" s="414"/>
      <c r="T208" s="414"/>
      <c r="U208" s="414"/>
    </row>
    <row r="209">
      <c r="A209" s="414"/>
      <c r="B209" s="414"/>
      <c r="C209" s="414"/>
      <c r="D209" s="414"/>
      <c r="E209" s="414"/>
      <c r="F209" s="414"/>
      <c r="G209" s="414"/>
      <c r="H209" s="414"/>
      <c r="I209" s="414"/>
      <c r="J209" s="414"/>
      <c r="K209" s="414"/>
      <c r="L209" s="414"/>
      <c r="M209" s="414"/>
      <c r="N209" s="414"/>
      <c r="O209" s="414"/>
      <c r="P209" s="414"/>
      <c r="Q209" s="414"/>
      <c r="R209" s="414"/>
      <c r="S209" s="414"/>
      <c r="T209" s="414"/>
      <c r="U209" s="414"/>
    </row>
    <row r="210">
      <c r="A210" s="414"/>
      <c r="B210" s="414"/>
      <c r="C210" s="414"/>
      <c r="D210" s="414"/>
      <c r="E210" s="414"/>
      <c r="F210" s="414"/>
      <c r="G210" s="414"/>
      <c r="H210" s="414"/>
      <c r="I210" s="414"/>
      <c r="J210" s="414"/>
      <c r="K210" s="414"/>
      <c r="L210" s="414"/>
      <c r="M210" s="414"/>
      <c r="N210" s="414"/>
      <c r="O210" s="414"/>
      <c r="P210" s="414"/>
      <c r="Q210" s="414"/>
      <c r="R210" s="414"/>
      <c r="S210" s="414"/>
      <c r="T210" s="414"/>
      <c r="U210" s="414"/>
    </row>
    <row r="211">
      <c r="A211" s="414"/>
      <c r="B211" s="414"/>
      <c r="C211" s="414"/>
      <c r="D211" s="414"/>
      <c r="E211" s="414"/>
      <c r="F211" s="414"/>
      <c r="G211" s="414"/>
      <c r="H211" s="414"/>
      <c r="I211" s="414"/>
      <c r="J211" s="414"/>
      <c r="K211" s="414"/>
      <c r="L211" s="414"/>
      <c r="M211" s="414"/>
      <c r="N211" s="414"/>
      <c r="O211" s="414"/>
      <c r="P211" s="414"/>
      <c r="Q211" s="414"/>
      <c r="R211" s="414"/>
      <c r="S211" s="414"/>
      <c r="T211" s="414"/>
      <c r="U211" s="414"/>
    </row>
    <row r="212">
      <c r="A212" s="414"/>
      <c r="B212" s="414"/>
      <c r="C212" s="414"/>
      <c r="D212" s="414"/>
      <c r="E212" s="414"/>
      <c r="F212" s="414"/>
      <c r="G212" s="414"/>
      <c r="H212" s="414"/>
      <c r="I212" s="414"/>
      <c r="J212" s="414"/>
      <c r="K212" s="414"/>
      <c r="L212" s="414"/>
      <c r="M212" s="414"/>
      <c r="N212" s="414"/>
      <c r="O212" s="414"/>
      <c r="P212" s="414"/>
      <c r="Q212" s="414"/>
      <c r="R212" s="414"/>
      <c r="S212" s="414"/>
      <c r="T212" s="414"/>
      <c r="U212" s="414"/>
    </row>
    <row r="213">
      <c r="A213" s="414"/>
      <c r="B213" s="414"/>
      <c r="C213" s="414"/>
      <c r="D213" s="414"/>
      <c r="E213" s="414"/>
      <c r="F213" s="414"/>
      <c r="G213" s="414"/>
      <c r="H213" s="414"/>
      <c r="I213" s="414"/>
      <c r="J213" s="414"/>
      <c r="K213" s="414"/>
      <c r="L213" s="414"/>
      <c r="M213" s="414"/>
      <c r="N213" s="414"/>
      <c r="O213" s="414"/>
      <c r="P213" s="414"/>
      <c r="Q213" s="414"/>
      <c r="R213" s="414"/>
      <c r="S213" s="414"/>
      <c r="T213" s="414"/>
      <c r="U213" s="414"/>
    </row>
    <row r="214">
      <c r="A214" s="414"/>
      <c r="B214" s="414"/>
      <c r="C214" s="414"/>
      <c r="D214" s="414"/>
      <c r="E214" s="414"/>
      <c r="F214" s="414"/>
      <c r="G214" s="414"/>
      <c r="H214" s="414"/>
      <c r="I214" s="414"/>
      <c r="J214" s="414"/>
      <c r="K214" s="414"/>
      <c r="L214" s="414"/>
      <c r="M214" s="414"/>
      <c r="N214" s="414"/>
      <c r="O214" s="414"/>
      <c r="P214" s="414"/>
      <c r="Q214" s="414"/>
      <c r="R214" s="414"/>
      <c r="S214" s="414"/>
      <c r="T214" s="414"/>
      <c r="U214" s="414"/>
    </row>
    <row r="215">
      <c r="A215" s="414"/>
      <c r="B215" s="414"/>
      <c r="C215" s="414"/>
      <c r="D215" s="414"/>
      <c r="E215" s="414"/>
      <c r="F215" s="414"/>
      <c r="G215" s="414"/>
      <c r="H215" s="414"/>
      <c r="I215" s="414"/>
      <c r="J215" s="414"/>
      <c r="K215" s="414"/>
      <c r="L215" s="414"/>
      <c r="M215" s="414"/>
      <c r="N215" s="414"/>
      <c r="O215" s="414"/>
      <c r="P215" s="414"/>
      <c r="Q215" s="414"/>
      <c r="R215" s="414"/>
      <c r="S215" s="414"/>
      <c r="T215" s="414"/>
      <c r="U215" s="414"/>
    </row>
    <row r="216">
      <c r="A216" s="414"/>
      <c r="B216" s="414"/>
      <c r="C216" s="414"/>
      <c r="D216" s="414"/>
      <c r="E216" s="414"/>
      <c r="F216" s="414"/>
      <c r="G216" s="414"/>
      <c r="H216" s="414"/>
      <c r="I216" s="414"/>
      <c r="J216" s="414"/>
      <c r="K216" s="414"/>
      <c r="L216" s="414"/>
      <c r="M216" s="414"/>
      <c r="N216" s="414"/>
      <c r="O216" s="414"/>
      <c r="P216" s="414"/>
      <c r="Q216" s="414"/>
      <c r="R216" s="414"/>
      <c r="S216" s="414"/>
      <c r="T216" s="414"/>
      <c r="U216" s="414"/>
    </row>
    <row r="217">
      <c r="A217" s="414"/>
      <c r="B217" s="414"/>
      <c r="C217" s="414"/>
      <c r="D217" s="414"/>
      <c r="E217" s="414"/>
      <c r="F217" s="414"/>
      <c r="G217" s="414"/>
      <c r="H217" s="414"/>
      <c r="I217" s="414"/>
      <c r="J217" s="414"/>
      <c r="K217" s="414"/>
      <c r="L217" s="414"/>
      <c r="M217" s="414"/>
      <c r="N217" s="414"/>
      <c r="O217" s="414"/>
      <c r="P217" s="414"/>
      <c r="Q217" s="414"/>
      <c r="R217" s="414"/>
      <c r="S217" s="414"/>
      <c r="T217" s="414"/>
      <c r="U217" s="414"/>
    </row>
    <row r="218">
      <c r="A218" s="414"/>
      <c r="B218" s="414"/>
      <c r="C218" s="414"/>
      <c r="D218" s="414"/>
      <c r="E218" s="414"/>
      <c r="F218" s="414"/>
      <c r="G218" s="414"/>
      <c r="H218" s="414"/>
      <c r="I218" s="414"/>
      <c r="J218" s="414"/>
      <c r="K218" s="414"/>
      <c r="L218" s="414"/>
      <c r="M218" s="414"/>
      <c r="N218" s="414"/>
      <c r="O218" s="414"/>
      <c r="P218" s="414"/>
      <c r="Q218" s="414"/>
      <c r="R218" s="414"/>
      <c r="S218" s="414"/>
      <c r="T218" s="414"/>
      <c r="U218" s="414"/>
    </row>
    <row r="219">
      <c r="A219" s="414"/>
      <c r="B219" s="414"/>
      <c r="C219" s="414"/>
      <c r="D219" s="414"/>
      <c r="E219" s="414"/>
      <c r="F219" s="414"/>
      <c r="G219" s="414"/>
      <c r="H219" s="414"/>
      <c r="I219" s="414"/>
      <c r="J219" s="414"/>
      <c r="K219" s="414"/>
      <c r="L219" s="414"/>
      <c r="M219" s="414"/>
      <c r="N219" s="414"/>
      <c r="O219" s="414"/>
      <c r="P219" s="414"/>
      <c r="Q219" s="414"/>
      <c r="R219" s="414"/>
      <c r="S219" s="414"/>
      <c r="T219" s="414"/>
      <c r="U219" s="414"/>
    </row>
    <row r="220">
      <c r="A220" s="414"/>
      <c r="B220" s="414"/>
      <c r="C220" s="414"/>
      <c r="D220" s="414"/>
      <c r="E220" s="414"/>
      <c r="F220" s="414"/>
      <c r="G220" s="414"/>
      <c r="H220" s="414"/>
      <c r="I220" s="414"/>
      <c r="J220" s="414"/>
      <c r="K220" s="414"/>
      <c r="L220" s="414"/>
      <c r="M220" s="414"/>
      <c r="N220" s="414"/>
      <c r="O220" s="414"/>
      <c r="P220" s="414"/>
      <c r="Q220" s="414"/>
      <c r="R220" s="414"/>
      <c r="S220" s="414"/>
      <c r="T220" s="414"/>
      <c r="U220" s="414"/>
    </row>
    <row r="221">
      <c r="A221" s="414"/>
      <c r="B221" s="414"/>
      <c r="C221" s="414"/>
      <c r="D221" s="414"/>
      <c r="E221" s="414"/>
      <c r="F221" s="414"/>
      <c r="G221" s="414"/>
      <c r="H221" s="414"/>
      <c r="I221" s="414"/>
      <c r="J221" s="414"/>
      <c r="K221" s="414"/>
      <c r="L221" s="414"/>
      <c r="M221" s="414"/>
      <c r="N221" s="414"/>
      <c r="O221" s="414"/>
      <c r="P221" s="414"/>
      <c r="Q221" s="414"/>
      <c r="R221" s="414"/>
      <c r="S221" s="414"/>
      <c r="T221" s="414"/>
      <c r="U221" s="414"/>
    </row>
    <row r="222">
      <c r="A222" s="414"/>
      <c r="B222" s="414"/>
      <c r="C222" s="414"/>
      <c r="D222" s="414"/>
      <c r="E222" s="414"/>
      <c r="F222" s="414"/>
      <c r="G222" s="414"/>
      <c r="H222" s="414"/>
      <c r="I222" s="414"/>
      <c r="J222" s="414"/>
      <c r="K222" s="414"/>
      <c r="L222" s="414"/>
      <c r="M222" s="414"/>
      <c r="N222" s="414"/>
      <c r="O222" s="414"/>
      <c r="P222" s="414"/>
      <c r="Q222" s="414"/>
      <c r="R222" s="414"/>
      <c r="S222" s="414"/>
      <c r="T222" s="414"/>
      <c r="U222" s="414"/>
    </row>
    <row r="223">
      <c r="A223" s="414"/>
      <c r="B223" s="414"/>
      <c r="C223" s="414"/>
      <c r="D223" s="414"/>
      <c r="E223" s="414"/>
      <c r="F223" s="414"/>
      <c r="G223" s="414"/>
      <c r="H223" s="414"/>
      <c r="I223" s="414"/>
      <c r="J223" s="414"/>
      <c r="K223" s="414"/>
      <c r="L223" s="414"/>
      <c r="M223" s="414"/>
      <c r="N223" s="414"/>
      <c r="O223" s="414"/>
      <c r="P223" s="414"/>
      <c r="Q223" s="414"/>
      <c r="R223" s="414"/>
      <c r="S223" s="414"/>
      <c r="T223" s="414"/>
      <c r="U223" s="414"/>
    </row>
    <row r="224">
      <c r="A224" s="414"/>
      <c r="B224" s="414"/>
      <c r="C224" s="414"/>
      <c r="D224" s="414"/>
      <c r="E224" s="414"/>
      <c r="F224" s="414"/>
      <c r="G224" s="414"/>
      <c r="H224" s="414"/>
      <c r="I224" s="414"/>
      <c r="J224" s="414"/>
      <c r="K224" s="414"/>
      <c r="L224" s="414"/>
      <c r="M224" s="414"/>
      <c r="N224" s="414"/>
      <c r="O224" s="414"/>
      <c r="P224" s="414"/>
      <c r="Q224" s="414"/>
      <c r="R224" s="414"/>
      <c r="S224" s="414"/>
      <c r="T224" s="414"/>
      <c r="U224" s="414"/>
    </row>
    <row r="225">
      <c r="A225" s="414"/>
      <c r="B225" s="414"/>
      <c r="C225" s="414"/>
      <c r="D225" s="414"/>
      <c r="E225" s="414"/>
      <c r="F225" s="414"/>
      <c r="G225" s="414"/>
      <c r="H225" s="414"/>
      <c r="I225" s="414"/>
      <c r="J225" s="414"/>
      <c r="K225" s="414"/>
      <c r="L225" s="414"/>
      <c r="M225" s="414"/>
      <c r="N225" s="414"/>
      <c r="O225" s="414"/>
      <c r="P225" s="414"/>
      <c r="Q225" s="414"/>
      <c r="R225" s="414"/>
      <c r="S225" s="414"/>
      <c r="T225" s="414"/>
      <c r="U225" s="414"/>
    </row>
    <row r="226">
      <c r="A226" s="414"/>
      <c r="B226" s="414"/>
      <c r="C226" s="414"/>
      <c r="D226" s="414"/>
      <c r="E226" s="414"/>
      <c r="F226" s="414"/>
      <c r="G226" s="414"/>
      <c r="H226" s="414"/>
      <c r="I226" s="414"/>
      <c r="J226" s="414"/>
      <c r="K226" s="414"/>
      <c r="L226" s="414"/>
      <c r="M226" s="414"/>
      <c r="N226" s="414"/>
      <c r="O226" s="414"/>
      <c r="P226" s="414"/>
      <c r="Q226" s="414"/>
      <c r="R226" s="414"/>
      <c r="S226" s="414"/>
      <c r="T226" s="414"/>
      <c r="U226" s="414"/>
    </row>
    <row r="227">
      <c r="A227" s="414"/>
      <c r="B227" s="414"/>
      <c r="C227" s="414"/>
      <c r="D227" s="414"/>
      <c r="E227" s="414"/>
      <c r="F227" s="414"/>
      <c r="G227" s="414"/>
      <c r="H227" s="414"/>
      <c r="I227" s="414"/>
      <c r="J227" s="414"/>
      <c r="K227" s="414"/>
      <c r="L227" s="414"/>
      <c r="M227" s="414"/>
      <c r="N227" s="414"/>
      <c r="O227" s="414"/>
      <c r="P227" s="414"/>
      <c r="Q227" s="414"/>
      <c r="R227" s="414"/>
      <c r="S227" s="414"/>
      <c r="T227" s="414"/>
      <c r="U227" s="414"/>
    </row>
    <row r="228">
      <c r="A228" s="414"/>
      <c r="B228" s="414"/>
      <c r="C228" s="414"/>
      <c r="D228" s="414"/>
      <c r="E228" s="414"/>
      <c r="F228" s="414"/>
      <c r="G228" s="414"/>
      <c r="H228" s="414"/>
      <c r="I228" s="414"/>
      <c r="J228" s="414"/>
      <c r="K228" s="414"/>
      <c r="L228" s="414"/>
      <c r="M228" s="414"/>
      <c r="N228" s="414"/>
      <c r="O228" s="414"/>
      <c r="P228" s="414"/>
      <c r="Q228" s="414"/>
      <c r="R228" s="414"/>
      <c r="S228" s="414"/>
      <c r="T228" s="414"/>
      <c r="U228" s="414"/>
    </row>
    <row r="229">
      <c r="A229" s="414"/>
      <c r="B229" s="414"/>
      <c r="C229" s="414"/>
      <c r="D229" s="414"/>
      <c r="E229" s="414"/>
      <c r="F229" s="414"/>
      <c r="G229" s="414"/>
      <c r="H229" s="414"/>
      <c r="I229" s="414"/>
      <c r="J229" s="414"/>
      <c r="K229" s="414"/>
      <c r="L229" s="414"/>
      <c r="M229" s="414"/>
      <c r="N229" s="414"/>
      <c r="O229" s="414"/>
      <c r="P229" s="414"/>
      <c r="Q229" s="414"/>
      <c r="R229" s="414"/>
      <c r="S229" s="414"/>
      <c r="T229" s="414"/>
      <c r="U229" s="414"/>
    </row>
    <row r="230">
      <c r="A230" s="414"/>
      <c r="B230" s="414"/>
      <c r="C230" s="414"/>
      <c r="D230" s="414"/>
      <c r="E230" s="414"/>
      <c r="F230" s="414"/>
      <c r="G230" s="414"/>
      <c r="H230" s="414"/>
      <c r="I230" s="414"/>
      <c r="J230" s="414"/>
      <c r="K230" s="414"/>
      <c r="L230" s="414"/>
      <c r="M230" s="414"/>
      <c r="N230" s="414"/>
      <c r="O230" s="414"/>
      <c r="P230" s="414"/>
      <c r="Q230" s="414"/>
      <c r="R230" s="414"/>
      <c r="S230" s="414"/>
      <c r="T230" s="414"/>
      <c r="U230" s="414"/>
    </row>
    <row r="231">
      <c r="A231" s="414"/>
      <c r="B231" s="414"/>
      <c r="C231" s="414"/>
      <c r="D231" s="414"/>
      <c r="E231" s="414"/>
      <c r="F231" s="414"/>
      <c r="G231" s="414"/>
      <c r="H231" s="414"/>
      <c r="I231" s="414"/>
      <c r="J231" s="414"/>
      <c r="K231" s="414"/>
      <c r="L231" s="414"/>
      <c r="M231" s="414"/>
      <c r="N231" s="414"/>
      <c r="O231" s="414"/>
      <c r="P231" s="414"/>
      <c r="Q231" s="414"/>
      <c r="R231" s="414"/>
      <c r="S231" s="414"/>
      <c r="T231" s="414"/>
      <c r="U231" s="414"/>
    </row>
    <row r="232">
      <c r="A232" s="414"/>
      <c r="B232" s="414"/>
      <c r="C232" s="414"/>
      <c r="D232" s="414"/>
      <c r="E232" s="414"/>
      <c r="F232" s="414"/>
      <c r="G232" s="414"/>
      <c r="H232" s="414"/>
      <c r="I232" s="414"/>
      <c r="J232" s="414"/>
      <c r="K232" s="414"/>
      <c r="L232" s="414"/>
      <c r="M232" s="414"/>
      <c r="N232" s="414"/>
      <c r="O232" s="414"/>
      <c r="P232" s="414"/>
      <c r="Q232" s="414"/>
      <c r="R232" s="414"/>
      <c r="S232" s="414"/>
      <c r="T232" s="414"/>
      <c r="U232" s="414"/>
    </row>
    <row r="233">
      <c r="A233" s="414"/>
      <c r="B233" s="414"/>
      <c r="C233" s="414"/>
      <c r="D233" s="414"/>
      <c r="E233" s="414"/>
      <c r="F233" s="414"/>
      <c r="G233" s="414"/>
      <c r="H233" s="414"/>
      <c r="I233" s="414"/>
      <c r="J233" s="414"/>
      <c r="K233" s="414"/>
      <c r="L233" s="414"/>
      <c r="M233" s="414"/>
      <c r="N233" s="414"/>
      <c r="O233" s="414"/>
      <c r="P233" s="414"/>
      <c r="Q233" s="414"/>
      <c r="R233" s="414"/>
      <c r="S233" s="414"/>
      <c r="T233" s="414"/>
      <c r="U233" s="414"/>
    </row>
    <row r="234">
      <c r="A234" s="414"/>
      <c r="B234" s="414"/>
      <c r="C234" s="414"/>
      <c r="D234" s="414"/>
      <c r="E234" s="414"/>
      <c r="F234" s="414"/>
      <c r="G234" s="414"/>
      <c r="H234" s="414"/>
      <c r="I234" s="414"/>
      <c r="J234" s="414"/>
      <c r="K234" s="414"/>
      <c r="L234" s="414"/>
      <c r="M234" s="414"/>
      <c r="N234" s="414"/>
      <c r="O234" s="414"/>
      <c r="P234" s="414"/>
      <c r="Q234" s="414"/>
      <c r="R234" s="414"/>
      <c r="S234" s="414"/>
      <c r="T234" s="414"/>
      <c r="U234" s="414"/>
    </row>
    <row r="235">
      <c r="A235" s="414"/>
      <c r="B235" s="414"/>
      <c r="C235" s="414"/>
      <c r="D235" s="414"/>
      <c r="E235" s="414"/>
      <c r="F235" s="414"/>
      <c r="G235" s="414"/>
      <c r="H235" s="414"/>
      <c r="I235" s="414"/>
      <c r="J235" s="414"/>
      <c r="K235" s="414"/>
      <c r="L235" s="414"/>
      <c r="M235" s="414"/>
      <c r="N235" s="414"/>
      <c r="O235" s="414"/>
      <c r="P235" s="414"/>
      <c r="Q235" s="414"/>
      <c r="R235" s="414"/>
      <c r="S235" s="414"/>
      <c r="T235" s="414"/>
      <c r="U235" s="414"/>
    </row>
    <row r="236">
      <c r="A236" s="414"/>
      <c r="B236" s="414"/>
      <c r="C236" s="414"/>
      <c r="D236" s="414"/>
      <c r="E236" s="414"/>
      <c r="F236" s="414"/>
      <c r="G236" s="414"/>
      <c r="H236" s="414"/>
      <c r="I236" s="414"/>
      <c r="J236" s="414"/>
      <c r="K236" s="414"/>
      <c r="L236" s="414"/>
      <c r="M236" s="414"/>
      <c r="N236" s="414"/>
      <c r="O236" s="414"/>
      <c r="P236" s="414"/>
      <c r="Q236" s="414"/>
      <c r="R236" s="414"/>
      <c r="S236" s="414"/>
      <c r="T236" s="414"/>
      <c r="U236" s="414"/>
    </row>
    <row r="237">
      <c r="A237" s="414"/>
      <c r="B237" s="414"/>
      <c r="C237" s="414"/>
      <c r="D237" s="414"/>
      <c r="E237" s="414"/>
      <c r="F237" s="414"/>
      <c r="G237" s="414"/>
      <c r="H237" s="414"/>
      <c r="I237" s="414"/>
      <c r="J237" s="414"/>
      <c r="K237" s="414"/>
      <c r="L237" s="414"/>
      <c r="M237" s="414"/>
      <c r="N237" s="414"/>
      <c r="O237" s="414"/>
      <c r="P237" s="414"/>
      <c r="Q237" s="414"/>
      <c r="R237" s="414"/>
      <c r="S237" s="414"/>
      <c r="T237" s="414"/>
      <c r="U237" s="414"/>
    </row>
    <row r="238">
      <c r="A238" s="414"/>
      <c r="B238" s="414"/>
      <c r="C238" s="414"/>
      <c r="D238" s="414"/>
      <c r="E238" s="414"/>
      <c r="F238" s="414"/>
      <c r="G238" s="414"/>
      <c r="H238" s="414"/>
      <c r="I238" s="414"/>
      <c r="J238" s="414"/>
      <c r="K238" s="414"/>
      <c r="L238" s="414"/>
      <c r="M238" s="414"/>
      <c r="N238" s="414"/>
      <c r="O238" s="414"/>
      <c r="P238" s="414"/>
      <c r="Q238" s="414"/>
      <c r="R238" s="414"/>
      <c r="S238" s="414"/>
      <c r="T238" s="414"/>
      <c r="U238" s="414"/>
    </row>
    <row r="239">
      <c r="A239" s="414"/>
      <c r="B239" s="414"/>
      <c r="C239" s="414"/>
      <c r="D239" s="414"/>
      <c r="E239" s="414"/>
      <c r="F239" s="414"/>
      <c r="G239" s="414"/>
      <c r="H239" s="414"/>
      <c r="I239" s="414"/>
      <c r="J239" s="414"/>
      <c r="K239" s="414"/>
      <c r="L239" s="414"/>
      <c r="M239" s="414"/>
      <c r="N239" s="414"/>
      <c r="O239" s="414"/>
      <c r="P239" s="414"/>
      <c r="Q239" s="414"/>
      <c r="R239" s="414"/>
      <c r="S239" s="414"/>
      <c r="T239" s="414"/>
      <c r="U239" s="414"/>
    </row>
    <row r="240">
      <c r="A240" s="414"/>
      <c r="B240" s="414"/>
      <c r="C240" s="414"/>
      <c r="D240" s="414"/>
      <c r="E240" s="414"/>
      <c r="F240" s="414"/>
      <c r="G240" s="414"/>
      <c r="H240" s="414"/>
      <c r="I240" s="414"/>
      <c r="J240" s="414"/>
      <c r="K240" s="414"/>
      <c r="L240" s="414"/>
      <c r="M240" s="414"/>
      <c r="N240" s="414"/>
      <c r="O240" s="414"/>
      <c r="P240" s="414"/>
      <c r="Q240" s="414"/>
      <c r="R240" s="414"/>
      <c r="S240" s="414"/>
      <c r="T240" s="414"/>
      <c r="U240" s="414"/>
    </row>
    <row r="241">
      <c r="A241" s="414"/>
      <c r="B241" s="414"/>
      <c r="C241" s="414"/>
      <c r="D241" s="414"/>
      <c r="E241" s="414"/>
      <c r="F241" s="414"/>
      <c r="G241" s="414"/>
      <c r="H241" s="414"/>
      <c r="I241" s="414"/>
      <c r="J241" s="414"/>
      <c r="K241" s="414"/>
      <c r="L241" s="414"/>
      <c r="M241" s="414"/>
      <c r="N241" s="414"/>
      <c r="O241" s="414"/>
      <c r="P241" s="414"/>
      <c r="Q241" s="414"/>
      <c r="R241" s="414"/>
      <c r="S241" s="414"/>
      <c r="T241" s="414"/>
      <c r="U241" s="414"/>
    </row>
    <row r="242">
      <c r="A242" s="414"/>
      <c r="B242" s="414"/>
      <c r="C242" s="414"/>
      <c r="D242" s="414"/>
      <c r="E242" s="414"/>
      <c r="F242" s="414"/>
      <c r="G242" s="414"/>
      <c r="H242" s="414"/>
      <c r="I242" s="414"/>
      <c r="J242" s="414"/>
      <c r="K242" s="414"/>
      <c r="L242" s="414"/>
      <c r="M242" s="414"/>
      <c r="N242" s="414"/>
      <c r="O242" s="414"/>
      <c r="P242" s="414"/>
      <c r="Q242" s="414"/>
      <c r="R242" s="414"/>
      <c r="S242" s="414"/>
      <c r="T242" s="414"/>
      <c r="U242" s="414"/>
    </row>
    <row r="243">
      <c r="A243" s="414"/>
      <c r="B243" s="414"/>
      <c r="C243" s="414"/>
      <c r="D243" s="414"/>
      <c r="E243" s="414"/>
      <c r="F243" s="414"/>
      <c r="G243" s="414"/>
      <c r="H243" s="414"/>
      <c r="I243" s="414"/>
      <c r="J243" s="414"/>
      <c r="K243" s="414"/>
      <c r="L243" s="414"/>
      <c r="M243" s="414"/>
      <c r="N243" s="414"/>
      <c r="O243" s="414"/>
      <c r="P243" s="414"/>
      <c r="Q243" s="414"/>
      <c r="R243" s="414"/>
      <c r="S243" s="414"/>
      <c r="T243" s="414"/>
      <c r="U243" s="414"/>
    </row>
    <row r="244">
      <c r="A244" s="414"/>
      <c r="B244" s="414"/>
      <c r="C244" s="414"/>
      <c r="D244" s="414"/>
      <c r="E244" s="414"/>
      <c r="F244" s="414"/>
      <c r="G244" s="414"/>
      <c r="H244" s="414"/>
      <c r="I244" s="414"/>
      <c r="J244" s="414"/>
      <c r="K244" s="414"/>
      <c r="L244" s="414"/>
      <c r="M244" s="414"/>
      <c r="N244" s="414"/>
      <c r="O244" s="414"/>
      <c r="P244" s="414"/>
      <c r="Q244" s="414"/>
      <c r="R244" s="414"/>
      <c r="S244" s="414"/>
      <c r="T244" s="414"/>
      <c r="U244" s="414"/>
    </row>
    <row r="245">
      <c r="A245" s="414"/>
      <c r="B245" s="414"/>
      <c r="C245" s="414"/>
      <c r="D245" s="414"/>
      <c r="E245" s="414"/>
      <c r="F245" s="414"/>
      <c r="G245" s="414"/>
      <c r="H245" s="414"/>
      <c r="I245" s="414"/>
      <c r="J245" s="414"/>
      <c r="K245" s="414"/>
      <c r="L245" s="414"/>
      <c r="M245" s="414"/>
      <c r="N245" s="414"/>
      <c r="O245" s="414"/>
      <c r="P245" s="414"/>
      <c r="Q245" s="414"/>
      <c r="R245" s="414"/>
      <c r="S245" s="414"/>
      <c r="T245" s="414"/>
      <c r="U245" s="414"/>
    </row>
    <row r="246">
      <c r="A246" s="414"/>
      <c r="B246" s="414"/>
      <c r="C246" s="414"/>
      <c r="D246" s="414"/>
      <c r="E246" s="414"/>
      <c r="F246" s="414"/>
      <c r="G246" s="414"/>
      <c r="H246" s="414"/>
      <c r="I246" s="414"/>
      <c r="J246" s="414"/>
      <c r="K246" s="414"/>
      <c r="L246" s="414"/>
      <c r="M246" s="414"/>
      <c r="N246" s="414"/>
      <c r="O246" s="414"/>
      <c r="P246" s="414"/>
      <c r="Q246" s="414"/>
      <c r="R246" s="414"/>
      <c r="S246" s="414"/>
      <c r="T246" s="414"/>
      <c r="U246" s="414"/>
    </row>
    <row r="247">
      <c r="A247" s="414"/>
      <c r="B247" s="414"/>
      <c r="C247" s="414"/>
      <c r="D247" s="414"/>
      <c r="E247" s="414"/>
      <c r="F247" s="414"/>
      <c r="G247" s="414"/>
      <c r="H247" s="414"/>
      <c r="I247" s="414"/>
      <c r="J247" s="414"/>
      <c r="K247" s="414"/>
      <c r="L247" s="414"/>
      <c r="M247" s="414"/>
      <c r="N247" s="414"/>
      <c r="O247" s="414"/>
      <c r="P247" s="414"/>
      <c r="Q247" s="414"/>
      <c r="R247" s="414"/>
      <c r="S247" s="414"/>
      <c r="T247" s="414"/>
      <c r="U247" s="414"/>
    </row>
    <row r="248">
      <c r="A248" s="414"/>
      <c r="B248" s="414"/>
      <c r="C248" s="414"/>
      <c r="D248" s="414"/>
      <c r="E248" s="414"/>
      <c r="F248" s="414"/>
      <c r="G248" s="414"/>
      <c r="H248" s="414"/>
      <c r="I248" s="414"/>
      <c r="J248" s="414"/>
      <c r="K248" s="414"/>
      <c r="L248" s="414"/>
      <c r="M248" s="414"/>
      <c r="N248" s="414"/>
      <c r="O248" s="414"/>
      <c r="P248" s="414"/>
      <c r="Q248" s="414"/>
      <c r="R248" s="414"/>
      <c r="S248" s="414"/>
      <c r="T248" s="414"/>
      <c r="U248" s="414"/>
    </row>
    <row r="249">
      <c r="A249" s="414"/>
      <c r="B249" s="414"/>
      <c r="C249" s="414"/>
      <c r="D249" s="414"/>
      <c r="E249" s="414"/>
      <c r="F249" s="414"/>
      <c r="G249" s="414"/>
      <c r="H249" s="414"/>
      <c r="I249" s="414"/>
      <c r="J249" s="414"/>
      <c r="K249" s="414"/>
      <c r="L249" s="414"/>
      <c r="M249" s="414"/>
      <c r="N249" s="414"/>
      <c r="O249" s="414"/>
      <c r="P249" s="414"/>
      <c r="Q249" s="414"/>
      <c r="R249" s="414"/>
      <c r="S249" s="414"/>
      <c r="T249" s="414"/>
      <c r="U249" s="414"/>
    </row>
    <row r="250">
      <c r="A250" s="414"/>
      <c r="B250" s="414"/>
      <c r="C250" s="414"/>
      <c r="D250" s="414"/>
      <c r="E250" s="414"/>
      <c r="F250" s="414"/>
      <c r="G250" s="414"/>
      <c r="H250" s="414"/>
      <c r="I250" s="414"/>
      <c r="J250" s="414"/>
      <c r="K250" s="414"/>
      <c r="L250" s="414"/>
      <c r="M250" s="414"/>
      <c r="N250" s="414"/>
      <c r="O250" s="414"/>
      <c r="P250" s="414"/>
      <c r="Q250" s="414"/>
      <c r="R250" s="414"/>
      <c r="S250" s="414"/>
      <c r="T250" s="414"/>
      <c r="U250" s="414"/>
    </row>
    <row r="251">
      <c r="A251" s="414"/>
      <c r="B251" s="414"/>
      <c r="C251" s="414"/>
      <c r="D251" s="414"/>
      <c r="E251" s="414"/>
      <c r="F251" s="414"/>
      <c r="G251" s="414"/>
      <c r="H251" s="414"/>
      <c r="I251" s="414"/>
      <c r="J251" s="414"/>
      <c r="K251" s="414"/>
      <c r="L251" s="414"/>
      <c r="M251" s="414"/>
      <c r="N251" s="414"/>
      <c r="O251" s="414"/>
      <c r="P251" s="414"/>
      <c r="Q251" s="414"/>
      <c r="R251" s="414"/>
      <c r="S251" s="414"/>
      <c r="T251" s="414"/>
      <c r="U251" s="414"/>
    </row>
    <row r="252">
      <c r="A252" s="414"/>
      <c r="B252" s="414"/>
      <c r="C252" s="414"/>
      <c r="D252" s="414"/>
      <c r="E252" s="414"/>
      <c r="F252" s="414"/>
      <c r="G252" s="414"/>
      <c r="H252" s="414"/>
      <c r="I252" s="414"/>
      <c r="J252" s="414"/>
      <c r="K252" s="414"/>
      <c r="L252" s="414"/>
      <c r="M252" s="414"/>
      <c r="N252" s="414"/>
      <c r="O252" s="414"/>
      <c r="P252" s="414"/>
      <c r="Q252" s="414"/>
      <c r="R252" s="414"/>
      <c r="S252" s="414"/>
      <c r="T252" s="414"/>
      <c r="U252" s="414"/>
    </row>
    <row r="253">
      <c r="A253" s="414"/>
      <c r="B253" s="414"/>
      <c r="C253" s="414"/>
      <c r="D253" s="414"/>
      <c r="E253" s="414"/>
      <c r="F253" s="414"/>
      <c r="G253" s="414"/>
      <c r="H253" s="414"/>
      <c r="I253" s="414"/>
      <c r="J253" s="414"/>
      <c r="K253" s="414"/>
      <c r="L253" s="414"/>
      <c r="M253" s="414"/>
      <c r="N253" s="414"/>
      <c r="O253" s="414"/>
      <c r="P253" s="414"/>
      <c r="Q253" s="414"/>
      <c r="R253" s="414"/>
      <c r="S253" s="414"/>
      <c r="T253" s="414"/>
      <c r="U253" s="414"/>
    </row>
    <row r="254">
      <c r="A254" s="414"/>
      <c r="B254" s="414"/>
      <c r="C254" s="414"/>
      <c r="D254" s="414"/>
      <c r="E254" s="414"/>
      <c r="F254" s="414"/>
      <c r="G254" s="414"/>
      <c r="H254" s="414"/>
      <c r="I254" s="414"/>
      <c r="J254" s="414"/>
      <c r="K254" s="414"/>
      <c r="L254" s="414"/>
      <c r="M254" s="414"/>
      <c r="N254" s="414"/>
      <c r="O254" s="414"/>
      <c r="P254" s="414"/>
      <c r="Q254" s="414"/>
      <c r="R254" s="414"/>
      <c r="S254" s="414"/>
      <c r="T254" s="414"/>
      <c r="U254" s="414"/>
    </row>
    <row r="255">
      <c r="A255" s="414"/>
      <c r="B255" s="414"/>
      <c r="C255" s="414"/>
      <c r="D255" s="414"/>
      <c r="E255" s="414"/>
      <c r="F255" s="414"/>
      <c r="G255" s="414"/>
      <c r="H255" s="414"/>
      <c r="I255" s="414"/>
      <c r="J255" s="414"/>
      <c r="K255" s="414"/>
      <c r="L255" s="414"/>
      <c r="M255" s="414"/>
      <c r="N255" s="414"/>
      <c r="O255" s="414"/>
      <c r="P255" s="414"/>
      <c r="Q255" s="414"/>
      <c r="R255" s="414"/>
      <c r="S255" s="414"/>
      <c r="T255" s="414"/>
      <c r="U255" s="414"/>
    </row>
    <row r="256">
      <c r="A256" s="414"/>
      <c r="B256" s="414"/>
      <c r="C256" s="414"/>
      <c r="D256" s="414"/>
      <c r="E256" s="414"/>
      <c r="F256" s="414"/>
      <c r="G256" s="414"/>
      <c r="H256" s="414"/>
      <c r="I256" s="414"/>
      <c r="J256" s="414"/>
      <c r="K256" s="414"/>
      <c r="L256" s="414"/>
      <c r="M256" s="414"/>
      <c r="N256" s="414"/>
      <c r="O256" s="414"/>
      <c r="P256" s="414"/>
      <c r="Q256" s="414"/>
      <c r="R256" s="414"/>
      <c r="S256" s="414"/>
      <c r="T256" s="414"/>
      <c r="U256" s="414"/>
    </row>
    <row r="257">
      <c r="A257" s="414"/>
      <c r="B257" s="414"/>
      <c r="C257" s="414"/>
      <c r="D257" s="414"/>
      <c r="E257" s="414"/>
      <c r="F257" s="414"/>
      <c r="G257" s="414"/>
      <c r="H257" s="414"/>
      <c r="I257" s="414"/>
      <c r="J257" s="414"/>
      <c r="K257" s="414"/>
      <c r="L257" s="414"/>
      <c r="M257" s="414"/>
      <c r="N257" s="414"/>
      <c r="O257" s="414"/>
      <c r="P257" s="414"/>
      <c r="Q257" s="414"/>
      <c r="R257" s="414"/>
      <c r="S257" s="414"/>
      <c r="T257" s="414"/>
      <c r="U257" s="414"/>
    </row>
    <row r="258">
      <c r="A258" s="414"/>
      <c r="B258" s="414"/>
      <c r="C258" s="414"/>
      <c r="D258" s="414"/>
      <c r="E258" s="414"/>
      <c r="F258" s="414"/>
      <c r="G258" s="414"/>
      <c r="H258" s="414"/>
      <c r="I258" s="414"/>
      <c r="J258" s="414"/>
      <c r="K258" s="414"/>
      <c r="L258" s="414"/>
      <c r="M258" s="414"/>
      <c r="N258" s="414"/>
      <c r="O258" s="414"/>
      <c r="P258" s="414"/>
      <c r="Q258" s="414"/>
      <c r="R258" s="414"/>
      <c r="S258" s="414"/>
      <c r="T258" s="414"/>
      <c r="U258" s="414"/>
    </row>
    <row r="259">
      <c r="A259" s="414"/>
      <c r="B259" s="414"/>
      <c r="C259" s="414"/>
      <c r="D259" s="414"/>
      <c r="E259" s="414"/>
      <c r="F259" s="414"/>
      <c r="G259" s="414"/>
      <c r="H259" s="414"/>
      <c r="I259" s="414"/>
      <c r="J259" s="414"/>
      <c r="K259" s="414"/>
      <c r="L259" s="414"/>
      <c r="M259" s="414"/>
      <c r="N259" s="414"/>
      <c r="O259" s="414"/>
      <c r="P259" s="414"/>
      <c r="Q259" s="414"/>
      <c r="R259" s="414"/>
      <c r="S259" s="414"/>
      <c r="T259" s="414"/>
      <c r="U259" s="414"/>
    </row>
    <row r="260">
      <c r="A260" s="414"/>
      <c r="B260" s="414"/>
      <c r="C260" s="414"/>
      <c r="D260" s="414"/>
      <c r="E260" s="414"/>
      <c r="F260" s="414"/>
      <c r="G260" s="414"/>
      <c r="H260" s="414"/>
      <c r="I260" s="414"/>
      <c r="J260" s="414"/>
      <c r="K260" s="414"/>
      <c r="L260" s="414"/>
      <c r="M260" s="414"/>
      <c r="N260" s="414"/>
      <c r="O260" s="414"/>
      <c r="P260" s="414"/>
      <c r="Q260" s="414"/>
      <c r="R260" s="414"/>
      <c r="S260" s="414"/>
      <c r="T260" s="414"/>
      <c r="U260" s="414"/>
    </row>
    <row r="261">
      <c r="A261" s="414"/>
      <c r="B261" s="414"/>
      <c r="C261" s="414"/>
      <c r="D261" s="414"/>
      <c r="E261" s="414"/>
      <c r="F261" s="414"/>
      <c r="G261" s="414"/>
      <c r="H261" s="414"/>
      <c r="I261" s="414"/>
      <c r="J261" s="414"/>
      <c r="K261" s="414"/>
      <c r="L261" s="414"/>
      <c r="M261" s="414"/>
      <c r="N261" s="414"/>
      <c r="O261" s="414"/>
      <c r="P261" s="414"/>
      <c r="Q261" s="414"/>
      <c r="R261" s="414"/>
      <c r="S261" s="414"/>
      <c r="T261" s="414"/>
      <c r="U261" s="414"/>
    </row>
    <row r="262">
      <c r="A262" s="414"/>
      <c r="B262" s="414"/>
      <c r="C262" s="414"/>
      <c r="D262" s="414"/>
      <c r="E262" s="414"/>
      <c r="F262" s="414"/>
      <c r="G262" s="414"/>
      <c r="H262" s="414"/>
      <c r="I262" s="414"/>
      <c r="J262" s="414"/>
      <c r="K262" s="414"/>
      <c r="L262" s="414"/>
      <c r="M262" s="414"/>
      <c r="N262" s="414"/>
      <c r="O262" s="414"/>
      <c r="P262" s="414"/>
      <c r="Q262" s="414"/>
      <c r="R262" s="414"/>
      <c r="S262" s="414"/>
      <c r="T262" s="414"/>
      <c r="U262" s="414"/>
    </row>
    <row r="263">
      <c r="A263" s="414"/>
      <c r="B263" s="414"/>
      <c r="C263" s="414"/>
      <c r="D263" s="414"/>
      <c r="E263" s="414"/>
      <c r="F263" s="414"/>
      <c r="G263" s="414"/>
      <c r="H263" s="414"/>
      <c r="I263" s="414"/>
      <c r="J263" s="414"/>
      <c r="K263" s="414"/>
      <c r="L263" s="414"/>
      <c r="M263" s="414"/>
      <c r="N263" s="414"/>
      <c r="O263" s="414"/>
      <c r="P263" s="414"/>
      <c r="Q263" s="414"/>
      <c r="R263" s="414"/>
      <c r="S263" s="414"/>
      <c r="T263" s="414"/>
      <c r="U263" s="414"/>
    </row>
    <row r="264">
      <c r="A264" s="414"/>
      <c r="B264" s="414"/>
      <c r="C264" s="414"/>
      <c r="D264" s="414"/>
      <c r="E264" s="414"/>
      <c r="F264" s="414"/>
      <c r="G264" s="414"/>
      <c r="H264" s="414"/>
      <c r="I264" s="414"/>
      <c r="J264" s="414"/>
      <c r="K264" s="414"/>
      <c r="L264" s="414"/>
      <c r="M264" s="414"/>
      <c r="N264" s="414"/>
      <c r="O264" s="414"/>
      <c r="P264" s="414"/>
      <c r="Q264" s="414"/>
      <c r="R264" s="414"/>
      <c r="S264" s="414"/>
      <c r="T264" s="414"/>
      <c r="U264" s="414"/>
    </row>
    <row r="265">
      <c r="A265" s="414"/>
      <c r="B265" s="414"/>
      <c r="C265" s="414"/>
      <c r="D265" s="414"/>
      <c r="E265" s="414"/>
      <c r="F265" s="414"/>
      <c r="G265" s="414"/>
      <c r="H265" s="414"/>
      <c r="I265" s="414"/>
      <c r="J265" s="414"/>
      <c r="K265" s="414"/>
      <c r="L265" s="414"/>
      <c r="M265" s="414"/>
      <c r="N265" s="414"/>
      <c r="O265" s="414"/>
      <c r="P265" s="414"/>
      <c r="Q265" s="414"/>
      <c r="R265" s="414"/>
      <c r="S265" s="414"/>
      <c r="T265" s="414"/>
      <c r="U265" s="414"/>
    </row>
    <row r="266">
      <c r="A266" s="414"/>
      <c r="B266" s="414"/>
      <c r="C266" s="414"/>
      <c r="D266" s="414"/>
      <c r="E266" s="414"/>
      <c r="F266" s="414"/>
      <c r="G266" s="414"/>
      <c r="H266" s="414"/>
      <c r="I266" s="414"/>
      <c r="J266" s="414"/>
      <c r="K266" s="414"/>
      <c r="L266" s="414"/>
      <c r="M266" s="414"/>
      <c r="N266" s="414"/>
      <c r="O266" s="414"/>
      <c r="P266" s="414"/>
      <c r="Q266" s="414"/>
      <c r="R266" s="414"/>
      <c r="S266" s="414"/>
      <c r="T266" s="414"/>
      <c r="U266" s="414"/>
    </row>
    <row r="267">
      <c r="A267" s="414"/>
      <c r="B267" s="414"/>
      <c r="C267" s="414"/>
      <c r="D267" s="414"/>
      <c r="E267" s="414"/>
      <c r="F267" s="414"/>
      <c r="G267" s="414"/>
      <c r="H267" s="414"/>
      <c r="I267" s="414"/>
      <c r="J267" s="414"/>
      <c r="K267" s="414"/>
      <c r="L267" s="414"/>
      <c r="M267" s="414"/>
      <c r="N267" s="414"/>
      <c r="O267" s="414"/>
      <c r="P267" s="414"/>
      <c r="Q267" s="414"/>
      <c r="R267" s="414"/>
      <c r="S267" s="414"/>
      <c r="T267" s="414"/>
      <c r="U267" s="414"/>
    </row>
    <row r="268">
      <c r="A268" s="414"/>
      <c r="B268" s="414"/>
      <c r="C268" s="414"/>
      <c r="D268" s="414"/>
      <c r="E268" s="414"/>
      <c r="F268" s="414"/>
      <c r="G268" s="414"/>
      <c r="H268" s="414"/>
      <c r="I268" s="414"/>
      <c r="J268" s="414"/>
      <c r="K268" s="414"/>
      <c r="L268" s="414"/>
      <c r="M268" s="414"/>
      <c r="N268" s="414"/>
      <c r="O268" s="414"/>
      <c r="P268" s="414"/>
      <c r="Q268" s="414"/>
      <c r="R268" s="414"/>
      <c r="S268" s="414"/>
      <c r="T268" s="414"/>
      <c r="U268" s="414"/>
    </row>
    <row r="269">
      <c r="A269" s="414"/>
      <c r="B269" s="414"/>
      <c r="C269" s="414"/>
      <c r="D269" s="414"/>
      <c r="E269" s="414"/>
      <c r="F269" s="414"/>
      <c r="G269" s="414"/>
      <c r="H269" s="414"/>
      <c r="I269" s="414"/>
      <c r="J269" s="414"/>
      <c r="K269" s="414"/>
      <c r="L269" s="414"/>
      <c r="M269" s="414"/>
      <c r="N269" s="414"/>
      <c r="O269" s="414"/>
      <c r="P269" s="414"/>
      <c r="Q269" s="414"/>
      <c r="R269" s="414"/>
      <c r="S269" s="414"/>
      <c r="T269" s="414"/>
      <c r="U269" s="414"/>
    </row>
    <row r="270">
      <c r="A270" s="414"/>
      <c r="B270" s="414"/>
      <c r="C270" s="414"/>
      <c r="D270" s="414"/>
      <c r="E270" s="414"/>
      <c r="F270" s="414"/>
      <c r="G270" s="414"/>
      <c r="H270" s="414"/>
      <c r="I270" s="414"/>
      <c r="J270" s="414"/>
      <c r="K270" s="414"/>
      <c r="L270" s="414"/>
      <c r="M270" s="414"/>
      <c r="N270" s="414"/>
      <c r="O270" s="414"/>
      <c r="P270" s="414"/>
      <c r="Q270" s="414"/>
      <c r="R270" s="414"/>
      <c r="S270" s="414"/>
      <c r="T270" s="414"/>
      <c r="U270" s="414"/>
    </row>
    <row r="271">
      <c r="A271" s="414"/>
      <c r="B271" s="414"/>
      <c r="C271" s="414"/>
      <c r="D271" s="414"/>
      <c r="E271" s="414"/>
      <c r="F271" s="414"/>
      <c r="G271" s="414"/>
      <c r="H271" s="414"/>
      <c r="I271" s="414"/>
      <c r="J271" s="414"/>
      <c r="K271" s="414"/>
      <c r="L271" s="414"/>
      <c r="M271" s="414"/>
      <c r="N271" s="414"/>
      <c r="O271" s="414"/>
      <c r="P271" s="414"/>
      <c r="Q271" s="414"/>
      <c r="R271" s="414"/>
      <c r="S271" s="414"/>
      <c r="T271" s="414"/>
      <c r="U271" s="414"/>
    </row>
    <row r="272">
      <c r="A272" s="414"/>
      <c r="B272" s="414"/>
      <c r="C272" s="414"/>
      <c r="D272" s="414"/>
      <c r="E272" s="414"/>
      <c r="F272" s="414"/>
      <c r="G272" s="414"/>
      <c r="H272" s="414"/>
      <c r="I272" s="414"/>
      <c r="J272" s="414"/>
      <c r="K272" s="414"/>
      <c r="L272" s="414"/>
      <c r="M272" s="414"/>
      <c r="N272" s="414"/>
      <c r="O272" s="414"/>
      <c r="P272" s="414"/>
      <c r="Q272" s="414"/>
      <c r="R272" s="414"/>
      <c r="S272" s="414"/>
      <c r="T272" s="414"/>
      <c r="U272" s="414"/>
    </row>
    <row r="273">
      <c r="A273" s="414"/>
      <c r="B273" s="414"/>
      <c r="C273" s="414"/>
      <c r="D273" s="414"/>
      <c r="E273" s="414"/>
      <c r="F273" s="414"/>
      <c r="G273" s="414"/>
      <c r="H273" s="414"/>
      <c r="I273" s="414"/>
      <c r="J273" s="414"/>
      <c r="K273" s="414"/>
      <c r="L273" s="414"/>
      <c r="M273" s="414"/>
      <c r="N273" s="414"/>
      <c r="O273" s="414"/>
      <c r="P273" s="414"/>
      <c r="Q273" s="414"/>
      <c r="R273" s="414"/>
      <c r="S273" s="414"/>
      <c r="T273" s="414"/>
      <c r="U273" s="414"/>
    </row>
    <row r="274">
      <c r="A274" s="414"/>
      <c r="B274" s="414"/>
      <c r="C274" s="414"/>
      <c r="D274" s="414"/>
      <c r="E274" s="414"/>
      <c r="F274" s="414"/>
      <c r="G274" s="414"/>
      <c r="H274" s="414"/>
      <c r="I274" s="414"/>
      <c r="J274" s="414"/>
      <c r="K274" s="414"/>
      <c r="L274" s="414"/>
      <c r="M274" s="414"/>
      <c r="N274" s="414"/>
      <c r="O274" s="414"/>
      <c r="P274" s="414"/>
      <c r="Q274" s="414"/>
      <c r="R274" s="414"/>
      <c r="S274" s="414"/>
      <c r="T274" s="414"/>
      <c r="U274" s="414"/>
    </row>
    <row r="275">
      <c r="A275" s="414"/>
      <c r="B275" s="414"/>
      <c r="C275" s="414"/>
      <c r="D275" s="414"/>
      <c r="E275" s="414"/>
      <c r="F275" s="414"/>
      <c r="G275" s="414"/>
      <c r="H275" s="414"/>
      <c r="I275" s="414"/>
      <c r="J275" s="414"/>
      <c r="K275" s="414"/>
      <c r="L275" s="414"/>
      <c r="M275" s="414"/>
      <c r="N275" s="414"/>
      <c r="O275" s="414"/>
      <c r="P275" s="414"/>
      <c r="Q275" s="414"/>
      <c r="R275" s="414"/>
      <c r="S275" s="414"/>
      <c r="T275" s="414"/>
      <c r="U275" s="414"/>
    </row>
    <row r="276">
      <c r="A276" s="414"/>
      <c r="B276" s="414"/>
      <c r="C276" s="414"/>
      <c r="D276" s="414"/>
      <c r="E276" s="414"/>
      <c r="F276" s="414"/>
      <c r="G276" s="414"/>
      <c r="H276" s="414"/>
      <c r="I276" s="414"/>
      <c r="J276" s="414"/>
      <c r="K276" s="414"/>
      <c r="L276" s="414"/>
      <c r="M276" s="414"/>
      <c r="N276" s="414"/>
      <c r="O276" s="414"/>
      <c r="P276" s="414"/>
      <c r="Q276" s="414"/>
      <c r="R276" s="414"/>
      <c r="S276" s="414"/>
      <c r="T276" s="414"/>
      <c r="U276" s="414"/>
    </row>
    <row r="277">
      <c r="A277" s="414"/>
      <c r="B277" s="414"/>
      <c r="C277" s="414"/>
      <c r="D277" s="414"/>
      <c r="E277" s="414"/>
      <c r="F277" s="414"/>
      <c r="G277" s="414"/>
      <c r="H277" s="414"/>
      <c r="I277" s="414"/>
      <c r="J277" s="414"/>
      <c r="K277" s="414"/>
      <c r="L277" s="414"/>
      <c r="M277" s="414"/>
      <c r="N277" s="414"/>
      <c r="O277" s="414"/>
      <c r="P277" s="414"/>
      <c r="Q277" s="414"/>
      <c r="R277" s="414"/>
      <c r="S277" s="414"/>
      <c r="T277" s="414"/>
      <c r="U277" s="414"/>
    </row>
    <row r="278">
      <c r="A278" s="414"/>
      <c r="B278" s="414"/>
      <c r="C278" s="414"/>
      <c r="D278" s="414"/>
      <c r="E278" s="414"/>
      <c r="F278" s="414"/>
      <c r="G278" s="414"/>
      <c r="H278" s="414"/>
      <c r="I278" s="414"/>
      <c r="J278" s="414"/>
      <c r="K278" s="414"/>
      <c r="L278" s="414"/>
      <c r="M278" s="414"/>
      <c r="N278" s="414"/>
      <c r="O278" s="414"/>
      <c r="P278" s="414"/>
      <c r="Q278" s="414"/>
      <c r="R278" s="414"/>
      <c r="S278" s="414"/>
      <c r="T278" s="414"/>
      <c r="U278" s="414"/>
    </row>
    <row r="279">
      <c r="A279" s="414"/>
      <c r="B279" s="414"/>
      <c r="C279" s="414"/>
      <c r="D279" s="414"/>
      <c r="E279" s="414"/>
      <c r="F279" s="414"/>
      <c r="G279" s="414"/>
      <c r="H279" s="414"/>
      <c r="I279" s="414"/>
      <c r="J279" s="414"/>
      <c r="K279" s="414"/>
      <c r="L279" s="414"/>
      <c r="M279" s="414"/>
      <c r="N279" s="414"/>
      <c r="O279" s="414"/>
      <c r="P279" s="414"/>
      <c r="Q279" s="414"/>
      <c r="R279" s="414"/>
      <c r="S279" s="414"/>
      <c r="T279" s="414"/>
      <c r="U279" s="414"/>
    </row>
    <row r="280">
      <c r="A280" s="414"/>
      <c r="B280" s="414"/>
      <c r="C280" s="414"/>
      <c r="D280" s="414"/>
      <c r="E280" s="414"/>
      <c r="F280" s="414"/>
      <c r="G280" s="414"/>
      <c r="H280" s="414"/>
      <c r="I280" s="414"/>
      <c r="J280" s="414"/>
      <c r="K280" s="414"/>
      <c r="L280" s="414"/>
      <c r="M280" s="414"/>
      <c r="N280" s="414"/>
      <c r="O280" s="414"/>
      <c r="P280" s="414"/>
      <c r="Q280" s="414"/>
      <c r="R280" s="414"/>
      <c r="S280" s="414"/>
      <c r="T280" s="414"/>
      <c r="U280" s="414"/>
    </row>
    <row r="281">
      <c r="A281" s="414"/>
      <c r="B281" s="414"/>
      <c r="C281" s="414"/>
      <c r="D281" s="414"/>
      <c r="E281" s="414"/>
      <c r="F281" s="414"/>
      <c r="G281" s="414"/>
      <c r="H281" s="414"/>
      <c r="I281" s="414"/>
      <c r="J281" s="414"/>
      <c r="K281" s="414"/>
      <c r="L281" s="414"/>
      <c r="M281" s="414"/>
      <c r="N281" s="414"/>
      <c r="O281" s="414"/>
      <c r="P281" s="414"/>
      <c r="Q281" s="414"/>
      <c r="R281" s="414"/>
      <c r="S281" s="414"/>
      <c r="T281" s="414"/>
      <c r="U281" s="414"/>
    </row>
    <row r="282">
      <c r="A282" s="414"/>
      <c r="B282" s="414"/>
      <c r="C282" s="414"/>
      <c r="D282" s="414"/>
      <c r="E282" s="414"/>
      <c r="F282" s="414"/>
      <c r="G282" s="414"/>
      <c r="H282" s="414"/>
      <c r="I282" s="414"/>
      <c r="J282" s="414"/>
      <c r="K282" s="414"/>
      <c r="L282" s="414"/>
      <c r="M282" s="414"/>
      <c r="N282" s="414"/>
      <c r="O282" s="414"/>
      <c r="P282" s="414"/>
      <c r="Q282" s="414"/>
      <c r="R282" s="414"/>
      <c r="S282" s="414"/>
      <c r="T282" s="414"/>
      <c r="U282" s="414"/>
    </row>
    <row r="283">
      <c r="A283" s="414"/>
      <c r="B283" s="414"/>
      <c r="C283" s="414"/>
      <c r="D283" s="414"/>
      <c r="E283" s="414"/>
      <c r="F283" s="414"/>
      <c r="G283" s="414"/>
      <c r="H283" s="414"/>
      <c r="I283" s="414"/>
      <c r="J283" s="414"/>
      <c r="K283" s="414"/>
      <c r="L283" s="414"/>
      <c r="M283" s="414"/>
      <c r="N283" s="414"/>
      <c r="O283" s="414"/>
      <c r="P283" s="414"/>
      <c r="Q283" s="414"/>
      <c r="R283" s="414"/>
      <c r="S283" s="414"/>
      <c r="T283" s="414"/>
      <c r="U283" s="414"/>
    </row>
    <row r="284">
      <c r="A284" s="414"/>
      <c r="B284" s="414"/>
      <c r="C284" s="414"/>
      <c r="D284" s="414"/>
      <c r="E284" s="414"/>
      <c r="F284" s="414"/>
      <c r="G284" s="414"/>
      <c r="H284" s="414"/>
      <c r="I284" s="414"/>
      <c r="J284" s="414"/>
      <c r="K284" s="414"/>
      <c r="L284" s="414"/>
      <c r="M284" s="414"/>
      <c r="N284" s="414"/>
      <c r="O284" s="414"/>
      <c r="P284" s="414"/>
      <c r="Q284" s="414"/>
      <c r="R284" s="414"/>
      <c r="S284" s="414"/>
      <c r="T284" s="414"/>
      <c r="U284" s="414"/>
    </row>
    <row r="285">
      <c r="A285" s="414"/>
      <c r="B285" s="414"/>
      <c r="C285" s="414"/>
      <c r="D285" s="414"/>
      <c r="E285" s="414"/>
      <c r="F285" s="414"/>
      <c r="G285" s="414"/>
      <c r="H285" s="414"/>
      <c r="I285" s="414"/>
      <c r="J285" s="414"/>
      <c r="K285" s="414"/>
      <c r="L285" s="414"/>
      <c r="M285" s="414"/>
      <c r="N285" s="414"/>
      <c r="O285" s="414"/>
      <c r="P285" s="414"/>
      <c r="Q285" s="414"/>
      <c r="R285" s="414"/>
      <c r="S285" s="414"/>
      <c r="T285" s="414"/>
      <c r="U285" s="414"/>
    </row>
    <row r="286">
      <c r="A286" s="414"/>
      <c r="B286" s="414"/>
      <c r="C286" s="414"/>
      <c r="D286" s="414"/>
      <c r="E286" s="414"/>
      <c r="F286" s="414"/>
      <c r="G286" s="414"/>
      <c r="H286" s="414"/>
      <c r="I286" s="414"/>
      <c r="J286" s="414"/>
      <c r="K286" s="414"/>
      <c r="L286" s="414"/>
      <c r="M286" s="414"/>
      <c r="N286" s="414"/>
      <c r="O286" s="414"/>
      <c r="P286" s="414"/>
      <c r="Q286" s="414"/>
      <c r="R286" s="414"/>
      <c r="S286" s="414"/>
      <c r="T286" s="414"/>
      <c r="U286" s="414"/>
    </row>
    <row r="287">
      <c r="A287" s="414"/>
      <c r="B287" s="414"/>
      <c r="C287" s="414"/>
      <c r="D287" s="414"/>
      <c r="E287" s="414"/>
      <c r="F287" s="414"/>
      <c r="G287" s="414"/>
      <c r="H287" s="414"/>
      <c r="I287" s="414"/>
      <c r="J287" s="414"/>
      <c r="K287" s="414"/>
      <c r="L287" s="414"/>
      <c r="M287" s="414"/>
      <c r="N287" s="414"/>
      <c r="O287" s="414"/>
      <c r="P287" s="414"/>
      <c r="Q287" s="414"/>
      <c r="R287" s="414"/>
      <c r="S287" s="414"/>
      <c r="T287" s="414"/>
      <c r="U287" s="414"/>
    </row>
    <row r="288">
      <c r="A288" s="414"/>
      <c r="B288" s="414"/>
      <c r="C288" s="414"/>
      <c r="D288" s="414"/>
      <c r="E288" s="414"/>
      <c r="F288" s="414"/>
      <c r="G288" s="414"/>
      <c r="H288" s="414"/>
      <c r="I288" s="414"/>
      <c r="J288" s="414"/>
      <c r="K288" s="414"/>
      <c r="L288" s="414"/>
      <c r="M288" s="414"/>
      <c r="N288" s="414"/>
      <c r="O288" s="414"/>
      <c r="P288" s="414"/>
      <c r="Q288" s="414"/>
      <c r="R288" s="414"/>
      <c r="S288" s="414"/>
      <c r="T288" s="414"/>
      <c r="U288" s="414"/>
    </row>
    <row r="289">
      <c r="A289" s="414"/>
      <c r="B289" s="414"/>
      <c r="C289" s="414"/>
      <c r="D289" s="414"/>
      <c r="E289" s="414"/>
      <c r="F289" s="414"/>
      <c r="G289" s="414"/>
      <c r="H289" s="414"/>
      <c r="I289" s="414"/>
      <c r="J289" s="414"/>
      <c r="K289" s="414"/>
      <c r="L289" s="414"/>
      <c r="M289" s="414"/>
      <c r="N289" s="414"/>
      <c r="O289" s="414"/>
      <c r="P289" s="414"/>
      <c r="Q289" s="414"/>
      <c r="R289" s="414"/>
      <c r="S289" s="414"/>
      <c r="T289" s="414"/>
      <c r="U289" s="414"/>
    </row>
    <row r="290">
      <c r="A290" s="414"/>
      <c r="B290" s="414"/>
      <c r="C290" s="414"/>
      <c r="D290" s="414"/>
      <c r="E290" s="414"/>
      <c r="F290" s="414"/>
      <c r="G290" s="414"/>
      <c r="H290" s="414"/>
      <c r="I290" s="414"/>
      <c r="J290" s="414"/>
      <c r="K290" s="414"/>
      <c r="L290" s="414"/>
      <c r="M290" s="414"/>
      <c r="N290" s="414"/>
      <c r="O290" s="414"/>
      <c r="P290" s="414"/>
      <c r="Q290" s="414"/>
      <c r="R290" s="414"/>
      <c r="S290" s="414"/>
      <c r="T290" s="414"/>
      <c r="U290" s="414"/>
    </row>
    <row r="291">
      <c r="A291" s="414"/>
      <c r="B291" s="414"/>
      <c r="C291" s="414"/>
      <c r="D291" s="414"/>
      <c r="E291" s="414"/>
      <c r="F291" s="414"/>
      <c r="G291" s="414"/>
      <c r="H291" s="414"/>
      <c r="I291" s="414"/>
      <c r="J291" s="414"/>
      <c r="K291" s="414"/>
      <c r="L291" s="414"/>
      <c r="M291" s="414"/>
      <c r="N291" s="414"/>
      <c r="O291" s="414"/>
      <c r="P291" s="414"/>
      <c r="Q291" s="414"/>
      <c r="R291" s="414"/>
      <c r="S291" s="414"/>
      <c r="T291" s="414"/>
      <c r="U291" s="414"/>
    </row>
    <row r="292">
      <c r="A292" s="414"/>
      <c r="B292" s="414"/>
      <c r="C292" s="414"/>
      <c r="D292" s="414"/>
      <c r="E292" s="414"/>
      <c r="F292" s="414"/>
      <c r="G292" s="414"/>
      <c r="H292" s="414"/>
      <c r="I292" s="414"/>
      <c r="J292" s="414"/>
      <c r="K292" s="414"/>
      <c r="L292" s="414"/>
      <c r="M292" s="414"/>
      <c r="N292" s="414"/>
      <c r="O292" s="414"/>
      <c r="P292" s="414"/>
      <c r="Q292" s="414"/>
      <c r="R292" s="414"/>
      <c r="S292" s="414"/>
      <c r="T292" s="414"/>
      <c r="U292" s="414"/>
    </row>
    <row r="293">
      <c r="A293" s="414"/>
      <c r="B293" s="414"/>
      <c r="C293" s="414"/>
      <c r="D293" s="414"/>
      <c r="E293" s="414"/>
      <c r="F293" s="414"/>
      <c r="G293" s="414"/>
      <c r="H293" s="414"/>
      <c r="I293" s="414"/>
      <c r="J293" s="414"/>
      <c r="K293" s="414"/>
      <c r="L293" s="414"/>
      <c r="M293" s="414"/>
      <c r="N293" s="414"/>
      <c r="O293" s="414"/>
      <c r="P293" s="414"/>
      <c r="Q293" s="414"/>
      <c r="R293" s="414"/>
      <c r="S293" s="414"/>
      <c r="T293" s="414"/>
      <c r="U293" s="414"/>
    </row>
    <row r="294">
      <c r="A294" s="414"/>
      <c r="B294" s="414"/>
      <c r="C294" s="414"/>
      <c r="D294" s="414"/>
      <c r="E294" s="414"/>
      <c r="F294" s="414"/>
      <c r="G294" s="414"/>
      <c r="H294" s="414"/>
      <c r="I294" s="414"/>
      <c r="J294" s="414"/>
      <c r="K294" s="414"/>
      <c r="L294" s="414"/>
      <c r="M294" s="414"/>
      <c r="N294" s="414"/>
      <c r="O294" s="414"/>
      <c r="P294" s="414"/>
      <c r="Q294" s="414"/>
      <c r="R294" s="414"/>
      <c r="S294" s="414"/>
      <c r="T294" s="414"/>
      <c r="U294" s="414"/>
    </row>
    <row r="295">
      <c r="A295" s="414"/>
      <c r="B295" s="414"/>
      <c r="C295" s="414"/>
      <c r="D295" s="414"/>
      <c r="E295" s="414"/>
      <c r="F295" s="414"/>
      <c r="G295" s="414"/>
      <c r="H295" s="414"/>
      <c r="I295" s="414"/>
      <c r="J295" s="414"/>
      <c r="K295" s="414"/>
      <c r="L295" s="414"/>
      <c r="M295" s="414"/>
      <c r="N295" s="414"/>
      <c r="O295" s="414"/>
      <c r="P295" s="414"/>
      <c r="Q295" s="414"/>
      <c r="R295" s="414"/>
      <c r="S295" s="414"/>
      <c r="T295" s="414"/>
      <c r="U295" s="414"/>
    </row>
    <row r="296">
      <c r="A296" s="414"/>
      <c r="B296" s="414"/>
      <c r="C296" s="414"/>
      <c r="D296" s="414"/>
      <c r="E296" s="414"/>
      <c r="F296" s="414"/>
      <c r="G296" s="414"/>
      <c r="H296" s="414"/>
      <c r="I296" s="414"/>
      <c r="J296" s="414"/>
      <c r="K296" s="414"/>
      <c r="L296" s="414"/>
      <c r="M296" s="414"/>
      <c r="N296" s="414"/>
      <c r="O296" s="414"/>
      <c r="P296" s="414"/>
      <c r="Q296" s="414"/>
      <c r="R296" s="414"/>
      <c r="S296" s="414"/>
      <c r="T296" s="414"/>
      <c r="U296" s="414"/>
    </row>
    <row r="297">
      <c r="A297" s="414"/>
      <c r="B297" s="414"/>
      <c r="C297" s="414"/>
      <c r="D297" s="414"/>
      <c r="E297" s="414"/>
      <c r="F297" s="414"/>
      <c r="G297" s="414"/>
      <c r="H297" s="414"/>
      <c r="I297" s="414"/>
      <c r="J297" s="414"/>
      <c r="K297" s="414"/>
      <c r="L297" s="414"/>
      <c r="M297" s="414"/>
      <c r="N297" s="414"/>
      <c r="O297" s="414"/>
      <c r="P297" s="414"/>
      <c r="Q297" s="414"/>
      <c r="R297" s="414"/>
      <c r="S297" s="414"/>
      <c r="T297" s="414"/>
      <c r="U297" s="414"/>
    </row>
    <row r="298">
      <c r="A298" s="414"/>
      <c r="B298" s="414"/>
      <c r="C298" s="414"/>
      <c r="D298" s="414"/>
      <c r="E298" s="414"/>
      <c r="F298" s="414"/>
      <c r="G298" s="414"/>
      <c r="H298" s="414"/>
      <c r="I298" s="414"/>
      <c r="J298" s="414"/>
      <c r="K298" s="414"/>
      <c r="L298" s="414"/>
      <c r="M298" s="414"/>
      <c r="N298" s="414"/>
      <c r="O298" s="414"/>
      <c r="P298" s="414"/>
      <c r="Q298" s="414"/>
      <c r="R298" s="414"/>
      <c r="S298" s="414"/>
      <c r="T298" s="414"/>
      <c r="U298" s="414"/>
    </row>
    <row r="299">
      <c r="A299" s="414"/>
      <c r="B299" s="414"/>
      <c r="C299" s="414"/>
      <c r="D299" s="414"/>
      <c r="E299" s="414"/>
      <c r="F299" s="414"/>
      <c r="G299" s="414"/>
      <c r="H299" s="414"/>
      <c r="I299" s="414"/>
      <c r="J299" s="414"/>
      <c r="K299" s="414"/>
      <c r="L299" s="414"/>
      <c r="M299" s="414"/>
      <c r="N299" s="414"/>
      <c r="O299" s="414"/>
      <c r="P299" s="414"/>
      <c r="Q299" s="414"/>
      <c r="R299" s="414"/>
      <c r="S299" s="414"/>
      <c r="T299" s="414"/>
      <c r="U299" s="414"/>
    </row>
    <row r="300">
      <c r="A300" s="414"/>
      <c r="B300" s="414"/>
      <c r="C300" s="414"/>
      <c r="D300" s="414"/>
      <c r="E300" s="414"/>
      <c r="F300" s="414"/>
      <c r="G300" s="414"/>
      <c r="H300" s="414"/>
      <c r="I300" s="414"/>
      <c r="J300" s="414"/>
      <c r="K300" s="414"/>
      <c r="L300" s="414"/>
      <c r="M300" s="414"/>
      <c r="N300" s="414"/>
      <c r="O300" s="414"/>
      <c r="P300" s="414"/>
      <c r="Q300" s="414"/>
      <c r="R300" s="414"/>
      <c r="S300" s="414"/>
      <c r="T300" s="414"/>
      <c r="U300" s="414"/>
    </row>
    <row r="301">
      <c r="A301" s="414"/>
      <c r="B301" s="414"/>
      <c r="C301" s="414"/>
      <c r="D301" s="414"/>
      <c r="E301" s="414"/>
      <c r="F301" s="414"/>
      <c r="G301" s="414"/>
      <c r="H301" s="414"/>
      <c r="I301" s="414"/>
      <c r="J301" s="414"/>
      <c r="K301" s="414"/>
      <c r="L301" s="414"/>
      <c r="M301" s="414"/>
      <c r="N301" s="414"/>
      <c r="O301" s="414"/>
      <c r="P301" s="414"/>
      <c r="Q301" s="414"/>
      <c r="R301" s="414"/>
      <c r="S301" s="414"/>
      <c r="T301" s="414"/>
      <c r="U301" s="414"/>
    </row>
    <row r="302">
      <c r="A302" s="414"/>
      <c r="B302" s="414"/>
      <c r="C302" s="414"/>
      <c r="D302" s="414"/>
      <c r="E302" s="414"/>
      <c r="F302" s="414"/>
      <c r="G302" s="414"/>
      <c r="H302" s="414"/>
      <c r="I302" s="414"/>
      <c r="J302" s="414"/>
      <c r="K302" s="414"/>
      <c r="L302" s="414"/>
      <c r="M302" s="414"/>
      <c r="N302" s="414"/>
      <c r="O302" s="414"/>
      <c r="P302" s="414"/>
      <c r="Q302" s="414"/>
      <c r="R302" s="414"/>
      <c r="S302" s="414"/>
      <c r="T302" s="414"/>
      <c r="U302" s="414"/>
    </row>
    <row r="303">
      <c r="A303" s="414"/>
      <c r="B303" s="414"/>
      <c r="C303" s="414"/>
      <c r="D303" s="414"/>
      <c r="E303" s="414"/>
      <c r="F303" s="414"/>
      <c r="G303" s="414"/>
      <c r="H303" s="414"/>
      <c r="I303" s="414"/>
      <c r="J303" s="414"/>
      <c r="K303" s="414"/>
      <c r="L303" s="414"/>
      <c r="M303" s="414"/>
      <c r="N303" s="414"/>
      <c r="O303" s="414"/>
      <c r="P303" s="414"/>
      <c r="Q303" s="414"/>
      <c r="R303" s="414"/>
      <c r="S303" s="414"/>
      <c r="T303" s="414"/>
      <c r="U303" s="414"/>
    </row>
    <row r="304">
      <c r="A304" s="414"/>
      <c r="B304" s="414"/>
      <c r="C304" s="414"/>
      <c r="D304" s="414"/>
      <c r="E304" s="414"/>
      <c r="F304" s="414"/>
      <c r="G304" s="414"/>
      <c r="H304" s="414"/>
      <c r="I304" s="414"/>
      <c r="J304" s="414"/>
      <c r="K304" s="414"/>
      <c r="L304" s="414"/>
      <c r="M304" s="414"/>
      <c r="N304" s="414"/>
      <c r="O304" s="414"/>
      <c r="P304" s="414"/>
      <c r="Q304" s="414"/>
      <c r="R304" s="414"/>
      <c r="S304" s="414"/>
      <c r="T304" s="414"/>
      <c r="U304" s="414"/>
    </row>
    <row r="305">
      <c r="A305" s="414"/>
      <c r="B305" s="414"/>
      <c r="C305" s="414"/>
      <c r="D305" s="414"/>
      <c r="E305" s="414"/>
      <c r="F305" s="414"/>
      <c r="G305" s="414"/>
      <c r="H305" s="414"/>
      <c r="I305" s="414"/>
      <c r="J305" s="414"/>
      <c r="K305" s="414"/>
      <c r="L305" s="414"/>
      <c r="M305" s="414"/>
      <c r="N305" s="414"/>
      <c r="O305" s="414"/>
      <c r="P305" s="414"/>
      <c r="Q305" s="414"/>
      <c r="R305" s="414"/>
      <c r="S305" s="414"/>
      <c r="T305" s="414"/>
      <c r="U305" s="414"/>
    </row>
    <row r="306">
      <c r="A306" s="414"/>
      <c r="B306" s="414"/>
      <c r="C306" s="414"/>
      <c r="D306" s="414"/>
      <c r="E306" s="414"/>
      <c r="F306" s="414"/>
      <c r="G306" s="414"/>
      <c r="H306" s="414"/>
      <c r="I306" s="414"/>
      <c r="J306" s="414"/>
      <c r="K306" s="414"/>
      <c r="L306" s="414"/>
      <c r="M306" s="414"/>
      <c r="N306" s="414"/>
      <c r="O306" s="414"/>
      <c r="P306" s="414"/>
      <c r="Q306" s="414"/>
      <c r="R306" s="414"/>
      <c r="S306" s="414"/>
      <c r="T306" s="414"/>
      <c r="U306" s="414"/>
    </row>
    <row r="307">
      <c r="A307" s="414"/>
      <c r="B307" s="414"/>
      <c r="C307" s="414"/>
      <c r="D307" s="414"/>
      <c r="E307" s="414"/>
      <c r="F307" s="414"/>
      <c r="G307" s="414"/>
      <c r="H307" s="414"/>
      <c r="I307" s="414"/>
      <c r="J307" s="414"/>
      <c r="K307" s="414"/>
      <c r="L307" s="414"/>
      <c r="M307" s="414"/>
      <c r="N307" s="414"/>
      <c r="O307" s="414"/>
      <c r="P307" s="414"/>
      <c r="Q307" s="414"/>
      <c r="R307" s="414"/>
      <c r="S307" s="414"/>
      <c r="T307" s="414"/>
      <c r="U307" s="414"/>
    </row>
    <row r="308">
      <c r="A308" s="414"/>
      <c r="B308" s="414"/>
      <c r="C308" s="414"/>
      <c r="D308" s="414"/>
      <c r="E308" s="414"/>
      <c r="F308" s="414"/>
      <c r="G308" s="414"/>
      <c r="H308" s="414"/>
      <c r="I308" s="414"/>
      <c r="J308" s="414"/>
      <c r="K308" s="414"/>
      <c r="L308" s="414"/>
      <c r="M308" s="414"/>
      <c r="N308" s="414"/>
      <c r="O308" s="414"/>
      <c r="P308" s="414"/>
      <c r="Q308" s="414"/>
      <c r="R308" s="414"/>
      <c r="S308" s="414"/>
      <c r="T308" s="414"/>
      <c r="U308" s="414"/>
    </row>
    <row r="309">
      <c r="A309" s="414"/>
      <c r="B309" s="414"/>
      <c r="C309" s="414"/>
      <c r="D309" s="414"/>
      <c r="E309" s="414"/>
      <c r="F309" s="414"/>
      <c r="G309" s="414"/>
      <c r="H309" s="414"/>
      <c r="I309" s="414"/>
      <c r="J309" s="414"/>
      <c r="K309" s="414"/>
      <c r="L309" s="414"/>
      <c r="M309" s="414"/>
      <c r="N309" s="414"/>
      <c r="O309" s="414"/>
      <c r="P309" s="414"/>
      <c r="Q309" s="414"/>
      <c r="R309" s="414"/>
      <c r="S309" s="414"/>
      <c r="T309" s="414"/>
      <c r="U309" s="414"/>
    </row>
    <row r="310">
      <c r="A310" s="414"/>
      <c r="B310" s="414"/>
      <c r="C310" s="414"/>
      <c r="D310" s="414"/>
      <c r="E310" s="414"/>
      <c r="F310" s="414"/>
      <c r="G310" s="414"/>
      <c r="H310" s="414"/>
      <c r="I310" s="414"/>
      <c r="J310" s="414"/>
      <c r="K310" s="414"/>
      <c r="L310" s="414"/>
      <c r="M310" s="414"/>
      <c r="N310" s="414"/>
      <c r="O310" s="414"/>
      <c r="P310" s="414"/>
      <c r="Q310" s="414"/>
      <c r="R310" s="414"/>
      <c r="S310" s="414"/>
      <c r="T310" s="414"/>
      <c r="U310" s="414"/>
    </row>
    <row r="311">
      <c r="A311" s="414"/>
      <c r="B311" s="414"/>
      <c r="C311" s="414"/>
      <c r="D311" s="414"/>
      <c r="E311" s="414"/>
      <c r="F311" s="414"/>
      <c r="G311" s="414"/>
      <c r="H311" s="414"/>
      <c r="I311" s="414"/>
      <c r="J311" s="414"/>
      <c r="K311" s="414"/>
      <c r="L311" s="414"/>
      <c r="M311" s="414"/>
      <c r="N311" s="414"/>
      <c r="O311" s="414"/>
      <c r="P311" s="414"/>
      <c r="Q311" s="414"/>
      <c r="R311" s="414"/>
      <c r="S311" s="414"/>
      <c r="T311" s="414"/>
      <c r="U311" s="414"/>
    </row>
    <row r="312">
      <c r="A312" s="414"/>
      <c r="B312" s="414"/>
      <c r="C312" s="414"/>
      <c r="D312" s="414"/>
      <c r="E312" s="414"/>
      <c r="F312" s="414"/>
      <c r="G312" s="414"/>
      <c r="H312" s="414"/>
      <c r="I312" s="414"/>
      <c r="J312" s="414"/>
      <c r="K312" s="414"/>
      <c r="L312" s="414"/>
      <c r="M312" s="414"/>
      <c r="N312" s="414"/>
      <c r="O312" s="414"/>
      <c r="P312" s="414"/>
      <c r="Q312" s="414"/>
      <c r="R312" s="414"/>
      <c r="S312" s="414"/>
      <c r="T312" s="414"/>
      <c r="U312" s="414"/>
    </row>
    <row r="313">
      <c r="A313" s="414"/>
      <c r="B313" s="414"/>
      <c r="C313" s="414"/>
      <c r="D313" s="414"/>
      <c r="E313" s="414"/>
      <c r="F313" s="414"/>
      <c r="G313" s="414"/>
      <c r="H313" s="414"/>
      <c r="I313" s="414"/>
      <c r="J313" s="414"/>
      <c r="K313" s="414"/>
      <c r="L313" s="414"/>
      <c r="M313" s="414"/>
      <c r="N313" s="414"/>
      <c r="O313" s="414"/>
      <c r="P313" s="414"/>
      <c r="Q313" s="414"/>
      <c r="R313" s="414"/>
      <c r="S313" s="414"/>
      <c r="T313" s="414"/>
      <c r="U313" s="414"/>
    </row>
    <row r="314">
      <c r="A314" s="414"/>
      <c r="B314" s="414"/>
      <c r="C314" s="414"/>
      <c r="D314" s="414"/>
      <c r="E314" s="414"/>
      <c r="F314" s="414"/>
      <c r="G314" s="414"/>
      <c r="H314" s="414"/>
      <c r="I314" s="414"/>
      <c r="J314" s="414"/>
      <c r="K314" s="414"/>
      <c r="L314" s="414"/>
      <c r="M314" s="414"/>
      <c r="N314" s="414"/>
      <c r="O314" s="414"/>
      <c r="P314" s="414"/>
      <c r="Q314" s="414"/>
      <c r="R314" s="414"/>
      <c r="S314" s="414"/>
      <c r="T314" s="414"/>
      <c r="U314" s="414"/>
    </row>
    <row r="315">
      <c r="A315" s="414"/>
      <c r="B315" s="414"/>
      <c r="C315" s="414"/>
      <c r="D315" s="414"/>
      <c r="E315" s="414"/>
      <c r="F315" s="414"/>
      <c r="G315" s="414"/>
      <c r="H315" s="414"/>
      <c r="I315" s="414"/>
      <c r="J315" s="414"/>
      <c r="K315" s="414"/>
      <c r="L315" s="414"/>
      <c r="M315" s="414"/>
      <c r="N315" s="414"/>
      <c r="O315" s="414"/>
      <c r="P315" s="414"/>
      <c r="Q315" s="414"/>
      <c r="R315" s="414"/>
      <c r="S315" s="414"/>
      <c r="T315" s="414"/>
      <c r="U315" s="414"/>
    </row>
    <row r="316">
      <c r="A316" s="414"/>
      <c r="B316" s="414"/>
      <c r="C316" s="414"/>
      <c r="D316" s="414"/>
      <c r="E316" s="414"/>
      <c r="F316" s="414"/>
      <c r="G316" s="414"/>
      <c r="H316" s="414"/>
      <c r="I316" s="414"/>
      <c r="J316" s="414"/>
      <c r="K316" s="414"/>
      <c r="L316" s="414"/>
      <c r="M316" s="414"/>
      <c r="N316" s="414"/>
      <c r="O316" s="414"/>
      <c r="P316" s="414"/>
      <c r="Q316" s="414"/>
      <c r="R316" s="414"/>
      <c r="S316" s="414"/>
      <c r="T316" s="414"/>
      <c r="U316" s="414"/>
    </row>
    <row r="317">
      <c r="A317" s="414"/>
      <c r="B317" s="414"/>
      <c r="C317" s="414"/>
      <c r="D317" s="414"/>
      <c r="E317" s="414"/>
      <c r="F317" s="414"/>
      <c r="G317" s="414"/>
      <c r="H317" s="414"/>
      <c r="I317" s="414"/>
      <c r="J317" s="414"/>
      <c r="K317" s="414"/>
      <c r="L317" s="414"/>
      <c r="M317" s="414"/>
      <c r="N317" s="414"/>
      <c r="O317" s="414"/>
      <c r="P317" s="414"/>
      <c r="Q317" s="414"/>
      <c r="R317" s="414"/>
      <c r="S317" s="414"/>
      <c r="T317" s="414"/>
      <c r="U317" s="414"/>
    </row>
    <row r="318">
      <c r="A318" s="414"/>
      <c r="B318" s="414"/>
      <c r="C318" s="414"/>
      <c r="D318" s="414"/>
      <c r="E318" s="414"/>
      <c r="F318" s="414"/>
      <c r="G318" s="414"/>
      <c r="H318" s="414"/>
      <c r="I318" s="414"/>
      <c r="J318" s="414"/>
      <c r="K318" s="414"/>
      <c r="L318" s="414"/>
      <c r="M318" s="414"/>
      <c r="N318" s="414"/>
      <c r="O318" s="414"/>
      <c r="P318" s="414"/>
      <c r="Q318" s="414"/>
      <c r="R318" s="414"/>
      <c r="S318" s="414"/>
      <c r="T318" s="414"/>
      <c r="U318" s="414"/>
    </row>
    <row r="319">
      <c r="A319" s="414"/>
      <c r="B319" s="414"/>
      <c r="C319" s="414"/>
      <c r="D319" s="414"/>
      <c r="E319" s="414"/>
      <c r="F319" s="414"/>
      <c r="G319" s="414"/>
      <c r="H319" s="414"/>
      <c r="I319" s="414"/>
      <c r="J319" s="414"/>
      <c r="K319" s="414"/>
      <c r="L319" s="414"/>
      <c r="M319" s="414"/>
      <c r="N319" s="414"/>
      <c r="O319" s="414"/>
      <c r="P319" s="414"/>
      <c r="Q319" s="414"/>
      <c r="R319" s="414"/>
      <c r="S319" s="414"/>
      <c r="T319" s="414"/>
      <c r="U319" s="414"/>
    </row>
    <row r="320">
      <c r="A320" s="414"/>
      <c r="B320" s="414"/>
      <c r="C320" s="414"/>
      <c r="D320" s="414"/>
      <c r="E320" s="414"/>
      <c r="F320" s="414"/>
      <c r="G320" s="414"/>
      <c r="H320" s="414"/>
      <c r="I320" s="414"/>
      <c r="J320" s="414"/>
      <c r="K320" s="414"/>
      <c r="L320" s="414"/>
      <c r="M320" s="414"/>
      <c r="N320" s="414"/>
      <c r="O320" s="414"/>
      <c r="P320" s="414"/>
      <c r="Q320" s="414"/>
      <c r="R320" s="414"/>
      <c r="S320" s="414"/>
      <c r="T320" s="414"/>
      <c r="U320" s="414"/>
    </row>
    <row r="321">
      <c r="A321" s="414"/>
      <c r="B321" s="414"/>
      <c r="C321" s="414"/>
      <c r="D321" s="414"/>
      <c r="E321" s="414"/>
      <c r="F321" s="414"/>
      <c r="G321" s="414"/>
      <c r="H321" s="414"/>
      <c r="I321" s="414"/>
      <c r="J321" s="414"/>
      <c r="K321" s="414"/>
      <c r="L321" s="414"/>
      <c r="M321" s="414"/>
      <c r="N321" s="414"/>
      <c r="O321" s="414"/>
      <c r="P321" s="414"/>
      <c r="Q321" s="414"/>
      <c r="R321" s="414"/>
      <c r="S321" s="414"/>
      <c r="T321" s="414"/>
      <c r="U321" s="414"/>
    </row>
    <row r="322">
      <c r="A322" s="414"/>
      <c r="B322" s="414"/>
      <c r="C322" s="414"/>
      <c r="D322" s="414"/>
      <c r="E322" s="414"/>
      <c r="F322" s="414"/>
      <c r="G322" s="414"/>
      <c r="H322" s="414"/>
      <c r="I322" s="414"/>
      <c r="J322" s="414"/>
      <c r="K322" s="414"/>
      <c r="L322" s="414"/>
      <c r="M322" s="414"/>
      <c r="N322" s="414"/>
      <c r="O322" s="414"/>
      <c r="P322" s="414"/>
      <c r="Q322" s="414"/>
      <c r="R322" s="414"/>
      <c r="S322" s="414"/>
      <c r="T322" s="414"/>
      <c r="U322" s="414"/>
    </row>
    <row r="323">
      <c r="A323" s="414"/>
      <c r="B323" s="414"/>
      <c r="C323" s="414"/>
      <c r="D323" s="414"/>
      <c r="E323" s="414"/>
      <c r="F323" s="414"/>
      <c r="G323" s="414"/>
      <c r="H323" s="414"/>
      <c r="I323" s="414"/>
      <c r="J323" s="414"/>
      <c r="K323" s="414"/>
      <c r="L323" s="414"/>
      <c r="M323" s="414"/>
      <c r="N323" s="414"/>
      <c r="O323" s="414"/>
      <c r="P323" s="414"/>
      <c r="Q323" s="414"/>
      <c r="R323" s="414"/>
      <c r="S323" s="414"/>
      <c r="T323" s="414"/>
      <c r="U323" s="414"/>
    </row>
    <row r="324">
      <c r="A324" s="414"/>
      <c r="B324" s="414"/>
      <c r="C324" s="414"/>
      <c r="D324" s="414"/>
      <c r="E324" s="414"/>
      <c r="F324" s="414"/>
      <c r="G324" s="414"/>
      <c r="H324" s="414"/>
      <c r="I324" s="414"/>
      <c r="J324" s="414"/>
      <c r="K324" s="414"/>
      <c r="L324" s="414"/>
      <c r="M324" s="414"/>
      <c r="N324" s="414"/>
      <c r="O324" s="414"/>
      <c r="P324" s="414"/>
      <c r="Q324" s="414"/>
      <c r="R324" s="414"/>
      <c r="S324" s="414"/>
      <c r="T324" s="414"/>
      <c r="U324" s="414"/>
    </row>
    <row r="325">
      <c r="A325" s="414"/>
      <c r="B325" s="414"/>
      <c r="C325" s="414"/>
      <c r="D325" s="414"/>
      <c r="E325" s="414"/>
      <c r="F325" s="414"/>
      <c r="G325" s="414"/>
      <c r="H325" s="414"/>
      <c r="I325" s="414"/>
      <c r="J325" s="414"/>
      <c r="K325" s="414"/>
      <c r="L325" s="414"/>
      <c r="M325" s="414"/>
      <c r="N325" s="414"/>
      <c r="O325" s="414"/>
      <c r="P325" s="414"/>
      <c r="Q325" s="414"/>
      <c r="R325" s="414"/>
      <c r="S325" s="414"/>
      <c r="T325" s="414"/>
      <c r="U325" s="414"/>
    </row>
    <row r="326">
      <c r="A326" s="414"/>
      <c r="B326" s="414"/>
      <c r="C326" s="414"/>
      <c r="D326" s="414"/>
      <c r="E326" s="414"/>
      <c r="F326" s="414"/>
      <c r="G326" s="414"/>
      <c r="H326" s="414"/>
      <c r="I326" s="414"/>
      <c r="J326" s="414"/>
      <c r="K326" s="414"/>
      <c r="L326" s="414"/>
      <c r="M326" s="414"/>
      <c r="N326" s="414"/>
      <c r="O326" s="414"/>
      <c r="P326" s="414"/>
      <c r="Q326" s="414"/>
      <c r="R326" s="414"/>
      <c r="S326" s="414"/>
      <c r="T326" s="414"/>
      <c r="U326" s="414"/>
    </row>
    <row r="327">
      <c r="A327" s="414"/>
      <c r="B327" s="414"/>
      <c r="C327" s="414"/>
      <c r="D327" s="414"/>
      <c r="E327" s="414"/>
      <c r="F327" s="414"/>
      <c r="G327" s="414"/>
      <c r="H327" s="414"/>
      <c r="I327" s="414"/>
      <c r="J327" s="414"/>
      <c r="K327" s="414"/>
      <c r="L327" s="414"/>
      <c r="M327" s="414"/>
      <c r="N327" s="414"/>
      <c r="O327" s="414"/>
      <c r="P327" s="414"/>
      <c r="Q327" s="414"/>
      <c r="R327" s="414"/>
      <c r="S327" s="414"/>
      <c r="T327" s="414"/>
      <c r="U327" s="414"/>
    </row>
    <row r="328">
      <c r="A328" s="414"/>
      <c r="B328" s="414"/>
      <c r="C328" s="414"/>
      <c r="D328" s="414"/>
      <c r="E328" s="414"/>
      <c r="F328" s="414"/>
      <c r="G328" s="414"/>
      <c r="H328" s="414"/>
      <c r="I328" s="414"/>
      <c r="J328" s="414"/>
      <c r="K328" s="414"/>
      <c r="L328" s="414"/>
      <c r="M328" s="414"/>
      <c r="N328" s="414"/>
      <c r="O328" s="414"/>
      <c r="P328" s="414"/>
      <c r="Q328" s="414"/>
      <c r="R328" s="414"/>
      <c r="S328" s="414"/>
      <c r="T328" s="414"/>
      <c r="U328" s="414"/>
    </row>
    <row r="329">
      <c r="A329" s="414"/>
      <c r="B329" s="414"/>
      <c r="C329" s="414"/>
      <c r="D329" s="414"/>
      <c r="E329" s="414"/>
      <c r="F329" s="414"/>
      <c r="G329" s="414"/>
      <c r="H329" s="414"/>
      <c r="I329" s="414"/>
      <c r="J329" s="414"/>
      <c r="K329" s="414"/>
      <c r="L329" s="414"/>
      <c r="M329" s="414"/>
      <c r="N329" s="414"/>
      <c r="O329" s="414"/>
      <c r="P329" s="414"/>
      <c r="Q329" s="414"/>
      <c r="R329" s="414"/>
      <c r="S329" s="414"/>
      <c r="T329" s="414"/>
      <c r="U329" s="414"/>
    </row>
    <row r="330">
      <c r="A330" s="414"/>
      <c r="B330" s="414"/>
      <c r="C330" s="414"/>
      <c r="D330" s="414"/>
      <c r="E330" s="414"/>
      <c r="F330" s="414"/>
      <c r="G330" s="414"/>
      <c r="H330" s="414"/>
      <c r="I330" s="414"/>
      <c r="J330" s="414"/>
      <c r="K330" s="414"/>
      <c r="L330" s="414"/>
      <c r="M330" s="414"/>
      <c r="N330" s="414"/>
      <c r="O330" s="414"/>
      <c r="P330" s="414"/>
      <c r="Q330" s="414"/>
      <c r="R330" s="414"/>
      <c r="S330" s="414"/>
      <c r="T330" s="414"/>
      <c r="U330" s="414"/>
    </row>
    <row r="331">
      <c r="A331" s="414"/>
      <c r="B331" s="414"/>
      <c r="C331" s="414"/>
      <c r="D331" s="414"/>
      <c r="E331" s="414"/>
      <c r="F331" s="414"/>
      <c r="G331" s="414"/>
      <c r="H331" s="414"/>
      <c r="I331" s="414"/>
      <c r="J331" s="414"/>
      <c r="K331" s="414"/>
      <c r="L331" s="414"/>
      <c r="M331" s="414"/>
      <c r="N331" s="414"/>
      <c r="O331" s="414"/>
      <c r="P331" s="414"/>
      <c r="Q331" s="414"/>
      <c r="R331" s="414"/>
      <c r="S331" s="414"/>
      <c r="T331" s="414"/>
      <c r="U331" s="414"/>
    </row>
    <row r="332">
      <c r="A332" s="414"/>
      <c r="B332" s="414"/>
      <c r="C332" s="414"/>
      <c r="D332" s="414"/>
      <c r="E332" s="414"/>
      <c r="F332" s="414"/>
      <c r="G332" s="414"/>
      <c r="H332" s="414"/>
      <c r="I332" s="414"/>
      <c r="J332" s="414"/>
      <c r="K332" s="414"/>
      <c r="L332" s="414"/>
      <c r="M332" s="414"/>
      <c r="N332" s="414"/>
      <c r="O332" s="414"/>
      <c r="P332" s="414"/>
      <c r="Q332" s="414"/>
      <c r="R332" s="414"/>
      <c r="S332" s="414"/>
      <c r="T332" s="414"/>
      <c r="U332" s="414"/>
    </row>
    <row r="333">
      <c r="A333" s="414"/>
      <c r="B333" s="414"/>
      <c r="C333" s="414"/>
      <c r="D333" s="414"/>
      <c r="E333" s="414"/>
      <c r="F333" s="414"/>
      <c r="G333" s="414"/>
      <c r="H333" s="414"/>
      <c r="I333" s="414"/>
      <c r="J333" s="414"/>
      <c r="K333" s="414"/>
      <c r="L333" s="414"/>
      <c r="M333" s="414"/>
      <c r="N333" s="414"/>
      <c r="O333" s="414"/>
      <c r="P333" s="414"/>
      <c r="Q333" s="414"/>
      <c r="R333" s="414"/>
      <c r="S333" s="414"/>
      <c r="T333" s="414"/>
      <c r="U333" s="414"/>
    </row>
    <row r="334">
      <c r="A334" s="414"/>
      <c r="B334" s="414"/>
      <c r="C334" s="414"/>
      <c r="D334" s="414"/>
      <c r="E334" s="414"/>
      <c r="F334" s="414"/>
      <c r="G334" s="414"/>
      <c r="H334" s="414"/>
      <c r="I334" s="414"/>
      <c r="J334" s="414"/>
      <c r="K334" s="414"/>
      <c r="L334" s="414"/>
      <c r="M334" s="414"/>
      <c r="N334" s="414"/>
      <c r="O334" s="414"/>
      <c r="P334" s="414"/>
      <c r="Q334" s="414"/>
      <c r="R334" s="414"/>
      <c r="S334" s="414"/>
      <c r="T334" s="414"/>
      <c r="U334" s="414"/>
    </row>
    <row r="335">
      <c r="A335" s="414"/>
      <c r="B335" s="414"/>
      <c r="C335" s="414"/>
      <c r="D335" s="414"/>
      <c r="E335" s="414"/>
      <c r="F335" s="414"/>
      <c r="G335" s="414"/>
      <c r="H335" s="414"/>
      <c r="I335" s="414"/>
      <c r="J335" s="414"/>
      <c r="K335" s="414"/>
      <c r="L335" s="414"/>
      <c r="M335" s="414"/>
      <c r="N335" s="414"/>
      <c r="O335" s="414"/>
      <c r="P335" s="414"/>
      <c r="Q335" s="414"/>
      <c r="R335" s="414"/>
      <c r="S335" s="414"/>
      <c r="T335" s="414"/>
      <c r="U335" s="414"/>
    </row>
    <row r="336">
      <c r="A336" s="414"/>
      <c r="B336" s="414"/>
      <c r="C336" s="414"/>
      <c r="D336" s="414"/>
      <c r="E336" s="414"/>
      <c r="F336" s="414"/>
      <c r="G336" s="414"/>
      <c r="H336" s="414"/>
      <c r="I336" s="414"/>
      <c r="J336" s="414"/>
      <c r="K336" s="414"/>
      <c r="L336" s="414"/>
      <c r="M336" s="414"/>
      <c r="N336" s="414"/>
      <c r="O336" s="414"/>
      <c r="P336" s="414"/>
      <c r="Q336" s="414"/>
      <c r="R336" s="414"/>
      <c r="S336" s="414"/>
      <c r="T336" s="414"/>
      <c r="U336" s="414"/>
    </row>
    <row r="337">
      <c r="A337" s="414"/>
      <c r="B337" s="414"/>
      <c r="C337" s="414"/>
      <c r="D337" s="414"/>
      <c r="E337" s="414"/>
      <c r="F337" s="414"/>
      <c r="G337" s="414"/>
      <c r="H337" s="414"/>
      <c r="I337" s="414"/>
      <c r="J337" s="414"/>
      <c r="K337" s="414"/>
      <c r="L337" s="414"/>
      <c r="M337" s="414"/>
      <c r="N337" s="414"/>
      <c r="O337" s="414"/>
      <c r="P337" s="414"/>
      <c r="Q337" s="414"/>
      <c r="R337" s="414"/>
      <c r="S337" s="414"/>
      <c r="T337" s="414"/>
      <c r="U337" s="414"/>
    </row>
    <row r="338">
      <c r="A338" s="414"/>
      <c r="B338" s="414"/>
      <c r="C338" s="414"/>
      <c r="D338" s="414"/>
      <c r="E338" s="414"/>
      <c r="F338" s="414"/>
      <c r="G338" s="414"/>
      <c r="H338" s="414"/>
      <c r="I338" s="414"/>
      <c r="J338" s="414"/>
      <c r="K338" s="414"/>
      <c r="L338" s="414"/>
      <c r="M338" s="414"/>
      <c r="N338" s="414"/>
      <c r="O338" s="414"/>
      <c r="P338" s="414"/>
      <c r="Q338" s="414"/>
      <c r="R338" s="414"/>
      <c r="S338" s="414"/>
      <c r="T338" s="414"/>
      <c r="U338" s="414"/>
    </row>
    <row r="339">
      <c r="A339" s="414"/>
      <c r="B339" s="414"/>
      <c r="C339" s="414"/>
      <c r="D339" s="414"/>
      <c r="E339" s="414"/>
      <c r="F339" s="414"/>
      <c r="G339" s="414"/>
      <c r="H339" s="414"/>
      <c r="I339" s="414"/>
      <c r="J339" s="414"/>
      <c r="K339" s="414"/>
      <c r="L339" s="414"/>
      <c r="M339" s="414"/>
      <c r="N339" s="414"/>
      <c r="O339" s="414"/>
      <c r="P339" s="414"/>
      <c r="Q339" s="414"/>
      <c r="R339" s="414"/>
      <c r="S339" s="414"/>
      <c r="T339" s="414"/>
      <c r="U339" s="414"/>
    </row>
    <row r="340">
      <c r="A340" s="414"/>
      <c r="B340" s="414"/>
      <c r="C340" s="414"/>
      <c r="D340" s="414"/>
      <c r="E340" s="414"/>
      <c r="F340" s="414"/>
      <c r="G340" s="414"/>
      <c r="H340" s="414"/>
      <c r="I340" s="414"/>
      <c r="J340" s="414"/>
      <c r="K340" s="414"/>
      <c r="L340" s="414"/>
      <c r="M340" s="414"/>
      <c r="N340" s="414"/>
      <c r="O340" s="414"/>
      <c r="P340" s="414"/>
      <c r="Q340" s="414"/>
      <c r="R340" s="414"/>
      <c r="S340" s="414"/>
      <c r="T340" s="414"/>
      <c r="U340" s="414"/>
    </row>
    <row r="341">
      <c r="A341" s="414"/>
      <c r="B341" s="414"/>
      <c r="C341" s="414"/>
      <c r="D341" s="414"/>
      <c r="E341" s="414"/>
      <c r="F341" s="414"/>
      <c r="G341" s="414"/>
      <c r="H341" s="414"/>
      <c r="I341" s="414"/>
      <c r="J341" s="414"/>
      <c r="K341" s="414"/>
      <c r="L341" s="414"/>
      <c r="M341" s="414"/>
      <c r="N341" s="414"/>
      <c r="O341" s="414"/>
      <c r="P341" s="414"/>
      <c r="Q341" s="414"/>
      <c r="R341" s="414"/>
      <c r="S341" s="414"/>
      <c r="T341" s="414"/>
      <c r="U341" s="414"/>
    </row>
    <row r="342">
      <c r="A342" s="414"/>
      <c r="B342" s="414"/>
      <c r="C342" s="414"/>
      <c r="D342" s="414"/>
      <c r="E342" s="414"/>
      <c r="F342" s="414"/>
      <c r="G342" s="414"/>
      <c r="H342" s="414"/>
      <c r="I342" s="414"/>
      <c r="J342" s="414"/>
      <c r="K342" s="414"/>
      <c r="L342" s="414"/>
      <c r="M342" s="414"/>
      <c r="N342" s="414"/>
      <c r="O342" s="414"/>
      <c r="P342" s="414"/>
      <c r="Q342" s="414"/>
      <c r="R342" s="414"/>
      <c r="S342" s="414"/>
      <c r="T342" s="414"/>
      <c r="U342" s="414"/>
    </row>
    <row r="343">
      <c r="A343" s="414"/>
      <c r="B343" s="414"/>
      <c r="C343" s="414"/>
      <c r="D343" s="414"/>
      <c r="E343" s="414"/>
      <c r="F343" s="414"/>
      <c r="G343" s="414"/>
      <c r="H343" s="414"/>
      <c r="I343" s="414"/>
      <c r="J343" s="414"/>
      <c r="K343" s="414"/>
      <c r="L343" s="414"/>
      <c r="M343" s="414"/>
      <c r="N343" s="414"/>
      <c r="O343" s="414"/>
      <c r="P343" s="414"/>
      <c r="Q343" s="414"/>
      <c r="R343" s="414"/>
      <c r="S343" s="414"/>
      <c r="T343" s="414"/>
      <c r="U343" s="414"/>
    </row>
    <row r="344">
      <c r="A344" s="414"/>
      <c r="B344" s="414"/>
      <c r="C344" s="414"/>
      <c r="D344" s="414"/>
      <c r="E344" s="414"/>
      <c r="F344" s="414"/>
      <c r="G344" s="414"/>
      <c r="H344" s="414"/>
      <c r="I344" s="414"/>
      <c r="J344" s="414"/>
      <c r="K344" s="414"/>
      <c r="L344" s="414"/>
      <c r="M344" s="414"/>
      <c r="N344" s="414"/>
      <c r="O344" s="414"/>
      <c r="P344" s="414"/>
      <c r="Q344" s="414"/>
      <c r="R344" s="414"/>
      <c r="S344" s="414"/>
      <c r="T344" s="414"/>
      <c r="U344" s="414"/>
    </row>
    <row r="345">
      <c r="A345" s="414"/>
      <c r="B345" s="414"/>
      <c r="C345" s="414"/>
      <c r="D345" s="414"/>
      <c r="E345" s="414"/>
      <c r="F345" s="414"/>
      <c r="G345" s="414"/>
      <c r="H345" s="414"/>
      <c r="I345" s="414"/>
      <c r="J345" s="414"/>
      <c r="K345" s="414"/>
      <c r="L345" s="414"/>
      <c r="M345" s="414"/>
      <c r="N345" s="414"/>
      <c r="O345" s="414"/>
      <c r="P345" s="414"/>
      <c r="Q345" s="414"/>
      <c r="R345" s="414"/>
      <c r="S345" s="414"/>
      <c r="T345" s="414"/>
      <c r="U345" s="414"/>
    </row>
    <row r="346">
      <c r="A346" s="414"/>
      <c r="B346" s="414"/>
      <c r="C346" s="414"/>
      <c r="D346" s="414"/>
      <c r="E346" s="414"/>
      <c r="F346" s="414"/>
      <c r="G346" s="414"/>
      <c r="H346" s="414"/>
      <c r="I346" s="414"/>
      <c r="J346" s="414"/>
      <c r="K346" s="414"/>
      <c r="L346" s="414"/>
      <c r="M346" s="414"/>
      <c r="N346" s="414"/>
      <c r="O346" s="414"/>
      <c r="P346" s="414"/>
      <c r="Q346" s="414"/>
      <c r="R346" s="414"/>
      <c r="S346" s="414"/>
      <c r="T346" s="414"/>
      <c r="U346" s="414"/>
    </row>
    <row r="347">
      <c r="A347" s="414"/>
      <c r="B347" s="414"/>
      <c r="C347" s="414"/>
      <c r="D347" s="414"/>
      <c r="E347" s="414"/>
      <c r="F347" s="414"/>
      <c r="G347" s="414"/>
      <c r="H347" s="414"/>
      <c r="I347" s="414"/>
      <c r="J347" s="414"/>
      <c r="K347" s="414"/>
      <c r="L347" s="414"/>
      <c r="M347" s="414"/>
      <c r="N347" s="414"/>
      <c r="O347" s="414"/>
      <c r="P347" s="414"/>
      <c r="Q347" s="414"/>
      <c r="R347" s="414"/>
      <c r="S347" s="414"/>
      <c r="T347" s="414"/>
      <c r="U347" s="414"/>
    </row>
    <row r="348">
      <c r="A348" s="414"/>
      <c r="B348" s="414"/>
      <c r="C348" s="414"/>
      <c r="D348" s="414"/>
      <c r="E348" s="414"/>
      <c r="F348" s="414"/>
      <c r="G348" s="414"/>
      <c r="H348" s="414"/>
      <c r="I348" s="414"/>
      <c r="J348" s="414"/>
      <c r="K348" s="414"/>
      <c r="L348" s="414"/>
      <c r="M348" s="414"/>
      <c r="N348" s="414"/>
      <c r="O348" s="414"/>
      <c r="P348" s="414"/>
      <c r="Q348" s="414"/>
      <c r="R348" s="414"/>
      <c r="S348" s="414"/>
      <c r="T348" s="414"/>
      <c r="U348" s="414"/>
    </row>
    <row r="349">
      <c r="A349" s="414"/>
      <c r="B349" s="414"/>
      <c r="C349" s="414"/>
      <c r="D349" s="414"/>
      <c r="E349" s="414"/>
      <c r="F349" s="414"/>
      <c r="G349" s="414"/>
      <c r="H349" s="414"/>
      <c r="I349" s="414"/>
      <c r="J349" s="414"/>
      <c r="K349" s="414"/>
      <c r="L349" s="414"/>
      <c r="M349" s="414"/>
      <c r="N349" s="414"/>
      <c r="O349" s="414"/>
      <c r="P349" s="414"/>
      <c r="Q349" s="414"/>
      <c r="R349" s="414"/>
      <c r="S349" s="414"/>
      <c r="T349" s="414"/>
      <c r="U349" s="414"/>
    </row>
    <row r="350">
      <c r="A350" s="414"/>
      <c r="B350" s="414"/>
      <c r="C350" s="414"/>
      <c r="D350" s="414"/>
      <c r="E350" s="414"/>
      <c r="F350" s="414"/>
      <c r="G350" s="414"/>
      <c r="H350" s="414"/>
      <c r="I350" s="414"/>
      <c r="J350" s="414"/>
      <c r="K350" s="414"/>
      <c r="L350" s="414"/>
      <c r="M350" s="414"/>
      <c r="N350" s="414"/>
      <c r="O350" s="414"/>
      <c r="P350" s="414"/>
      <c r="Q350" s="414"/>
      <c r="R350" s="414"/>
      <c r="S350" s="414"/>
      <c r="T350" s="414"/>
      <c r="U350" s="414"/>
    </row>
    <row r="351">
      <c r="A351" s="414"/>
      <c r="B351" s="414"/>
      <c r="C351" s="414"/>
      <c r="D351" s="414"/>
      <c r="E351" s="414"/>
      <c r="F351" s="414"/>
      <c r="G351" s="414"/>
      <c r="H351" s="414"/>
      <c r="I351" s="414"/>
      <c r="J351" s="414"/>
      <c r="K351" s="414"/>
      <c r="L351" s="414"/>
      <c r="M351" s="414"/>
      <c r="N351" s="414"/>
      <c r="O351" s="414"/>
      <c r="P351" s="414"/>
      <c r="Q351" s="414"/>
      <c r="R351" s="414"/>
      <c r="S351" s="414"/>
      <c r="T351" s="414"/>
      <c r="U351" s="414"/>
    </row>
    <row r="352">
      <c r="A352" s="414"/>
      <c r="B352" s="414"/>
      <c r="C352" s="414"/>
      <c r="D352" s="414"/>
      <c r="E352" s="414"/>
      <c r="F352" s="414"/>
      <c r="G352" s="414"/>
      <c r="H352" s="414"/>
      <c r="I352" s="414"/>
      <c r="J352" s="414"/>
      <c r="K352" s="414"/>
      <c r="L352" s="414"/>
      <c r="M352" s="414"/>
      <c r="N352" s="414"/>
      <c r="O352" s="414"/>
      <c r="P352" s="414"/>
      <c r="Q352" s="414"/>
      <c r="R352" s="414"/>
      <c r="S352" s="414"/>
      <c r="T352" s="414"/>
      <c r="U352" s="414"/>
    </row>
    <row r="353">
      <c r="A353" s="414"/>
      <c r="B353" s="414"/>
      <c r="C353" s="414"/>
      <c r="D353" s="414"/>
      <c r="E353" s="414"/>
      <c r="F353" s="414"/>
      <c r="G353" s="414"/>
      <c r="H353" s="414"/>
      <c r="I353" s="414"/>
      <c r="J353" s="414"/>
      <c r="K353" s="414"/>
      <c r="L353" s="414"/>
      <c r="M353" s="414"/>
      <c r="N353" s="414"/>
      <c r="O353" s="414"/>
      <c r="P353" s="414"/>
      <c r="Q353" s="414"/>
      <c r="R353" s="414"/>
      <c r="S353" s="414"/>
      <c r="T353" s="414"/>
      <c r="U353" s="414"/>
    </row>
    <row r="354">
      <c r="A354" s="414"/>
      <c r="B354" s="414"/>
      <c r="C354" s="414"/>
      <c r="D354" s="414"/>
      <c r="E354" s="414"/>
      <c r="F354" s="414"/>
      <c r="G354" s="414"/>
      <c r="H354" s="414"/>
      <c r="I354" s="414"/>
      <c r="J354" s="414"/>
      <c r="K354" s="414"/>
      <c r="L354" s="414"/>
      <c r="M354" s="414"/>
      <c r="N354" s="414"/>
      <c r="O354" s="414"/>
      <c r="P354" s="414"/>
      <c r="Q354" s="414"/>
      <c r="R354" s="414"/>
      <c r="S354" s="414"/>
      <c r="T354" s="414"/>
      <c r="U354" s="414"/>
    </row>
    <row r="355">
      <c r="A355" s="414"/>
      <c r="B355" s="414"/>
      <c r="C355" s="414"/>
      <c r="D355" s="414"/>
      <c r="E355" s="414"/>
      <c r="F355" s="414"/>
      <c r="G355" s="414"/>
      <c r="H355" s="414"/>
      <c r="I355" s="414"/>
      <c r="J355" s="414"/>
      <c r="K355" s="414"/>
      <c r="L355" s="414"/>
      <c r="M355" s="414"/>
      <c r="N355" s="414"/>
      <c r="O355" s="414"/>
      <c r="P355" s="414"/>
      <c r="Q355" s="414"/>
      <c r="R355" s="414"/>
      <c r="S355" s="414"/>
      <c r="T355" s="414"/>
      <c r="U355" s="414"/>
    </row>
    <row r="356">
      <c r="A356" s="414"/>
      <c r="B356" s="414"/>
      <c r="C356" s="414"/>
      <c r="D356" s="414"/>
      <c r="E356" s="414"/>
      <c r="F356" s="414"/>
      <c r="G356" s="414"/>
      <c r="H356" s="414"/>
      <c r="I356" s="414"/>
      <c r="J356" s="414"/>
      <c r="K356" s="414"/>
      <c r="L356" s="414"/>
      <c r="M356" s="414"/>
      <c r="N356" s="414"/>
      <c r="O356" s="414"/>
      <c r="P356" s="414"/>
      <c r="Q356" s="414"/>
      <c r="R356" s="414"/>
      <c r="S356" s="414"/>
      <c r="T356" s="414"/>
      <c r="U356" s="414"/>
    </row>
    <row r="357">
      <c r="A357" s="414"/>
      <c r="B357" s="414"/>
      <c r="C357" s="414"/>
      <c r="D357" s="414"/>
      <c r="E357" s="414"/>
      <c r="F357" s="414"/>
      <c r="G357" s="414"/>
      <c r="H357" s="414"/>
      <c r="I357" s="414"/>
      <c r="J357" s="414"/>
      <c r="K357" s="414"/>
      <c r="L357" s="414"/>
      <c r="M357" s="414"/>
      <c r="N357" s="414"/>
      <c r="O357" s="414"/>
      <c r="P357" s="414"/>
      <c r="Q357" s="414"/>
      <c r="R357" s="414"/>
      <c r="S357" s="414"/>
      <c r="T357" s="414"/>
      <c r="U357" s="414"/>
    </row>
    <row r="358">
      <c r="A358" s="414"/>
      <c r="B358" s="414"/>
      <c r="C358" s="414"/>
      <c r="D358" s="414"/>
      <c r="E358" s="414"/>
      <c r="F358" s="414"/>
      <c r="G358" s="414"/>
      <c r="H358" s="414"/>
      <c r="I358" s="414"/>
      <c r="J358" s="414"/>
      <c r="K358" s="414"/>
      <c r="L358" s="414"/>
      <c r="M358" s="414"/>
      <c r="N358" s="414"/>
      <c r="O358" s="414"/>
      <c r="P358" s="414"/>
      <c r="Q358" s="414"/>
      <c r="R358" s="414"/>
      <c r="S358" s="414"/>
      <c r="T358" s="414"/>
      <c r="U358" s="414"/>
    </row>
    <row r="359">
      <c r="A359" s="414"/>
      <c r="B359" s="414"/>
      <c r="C359" s="414"/>
      <c r="D359" s="414"/>
      <c r="E359" s="414"/>
      <c r="F359" s="414"/>
      <c r="G359" s="414"/>
      <c r="H359" s="414"/>
      <c r="I359" s="414"/>
      <c r="J359" s="414"/>
      <c r="K359" s="414"/>
      <c r="L359" s="414"/>
      <c r="M359" s="414"/>
      <c r="N359" s="414"/>
      <c r="O359" s="414"/>
      <c r="P359" s="414"/>
      <c r="Q359" s="414"/>
      <c r="R359" s="414"/>
      <c r="S359" s="414"/>
      <c r="T359" s="414"/>
      <c r="U359" s="414"/>
    </row>
    <row r="360">
      <c r="A360" s="414"/>
      <c r="B360" s="414"/>
      <c r="C360" s="414"/>
      <c r="D360" s="414"/>
      <c r="E360" s="414"/>
      <c r="F360" s="414"/>
      <c r="G360" s="414"/>
      <c r="H360" s="414"/>
      <c r="I360" s="414"/>
      <c r="J360" s="414"/>
      <c r="K360" s="414"/>
      <c r="L360" s="414"/>
      <c r="M360" s="414"/>
      <c r="N360" s="414"/>
      <c r="O360" s="414"/>
      <c r="P360" s="414"/>
      <c r="Q360" s="414"/>
      <c r="R360" s="414"/>
      <c r="S360" s="414"/>
      <c r="T360" s="414"/>
      <c r="U360" s="414"/>
    </row>
    <row r="361">
      <c r="A361" s="414"/>
      <c r="B361" s="414"/>
      <c r="C361" s="414"/>
      <c r="D361" s="414"/>
      <c r="E361" s="414"/>
      <c r="F361" s="414"/>
      <c r="G361" s="414"/>
      <c r="H361" s="414"/>
      <c r="I361" s="414"/>
      <c r="J361" s="414"/>
      <c r="K361" s="414"/>
      <c r="L361" s="414"/>
      <c r="M361" s="414"/>
      <c r="N361" s="414"/>
      <c r="O361" s="414"/>
      <c r="P361" s="414"/>
      <c r="Q361" s="414"/>
      <c r="R361" s="414"/>
      <c r="S361" s="414"/>
      <c r="T361" s="414"/>
      <c r="U361" s="414"/>
    </row>
    <row r="362">
      <c r="A362" s="414"/>
      <c r="B362" s="414"/>
      <c r="C362" s="414"/>
      <c r="D362" s="414"/>
      <c r="E362" s="414"/>
      <c r="F362" s="414"/>
      <c r="G362" s="414"/>
      <c r="H362" s="414"/>
      <c r="I362" s="414"/>
      <c r="J362" s="414"/>
      <c r="K362" s="414"/>
      <c r="L362" s="414"/>
      <c r="M362" s="414"/>
      <c r="N362" s="414"/>
      <c r="O362" s="414"/>
      <c r="P362" s="414"/>
      <c r="Q362" s="414"/>
      <c r="R362" s="414"/>
      <c r="S362" s="414"/>
      <c r="T362" s="414"/>
      <c r="U362" s="414"/>
    </row>
    <row r="363">
      <c r="A363" s="414"/>
      <c r="B363" s="414"/>
      <c r="C363" s="414"/>
      <c r="D363" s="414"/>
      <c r="E363" s="414"/>
      <c r="F363" s="414"/>
      <c r="G363" s="414"/>
      <c r="H363" s="414"/>
      <c r="I363" s="414"/>
      <c r="J363" s="414"/>
      <c r="K363" s="414"/>
      <c r="L363" s="414"/>
      <c r="M363" s="414"/>
      <c r="N363" s="414"/>
      <c r="O363" s="414"/>
      <c r="P363" s="414"/>
      <c r="Q363" s="414"/>
      <c r="R363" s="414"/>
      <c r="S363" s="414"/>
      <c r="T363" s="414"/>
      <c r="U363" s="414"/>
    </row>
    <row r="364">
      <c r="A364" s="414"/>
      <c r="B364" s="414"/>
      <c r="C364" s="414"/>
      <c r="D364" s="414"/>
      <c r="E364" s="414"/>
      <c r="F364" s="414"/>
      <c r="G364" s="414"/>
      <c r="H364" s="414"/>
      <c r="I364" s="414"/>
      <c r="J364" s="414"/>
      <c r="K364" s="414"/>
      <c r="L364" s="414"/>
      <c r="M364" s="414"/>
      <c r="N364" s="414"/>
      <c r="O364" s="414"/>
      <c r="P364" s="414"/>
      <c r="Q364" s="414"/>
      <c r="R364" s="414"/>
      <c r="S364" s="414"/>
      <c r="T364" s="414"/>
      <c r="U364" s="414"/>
    </row>
    <row r="365">
      <c r="A365" s="414"/>
      <c r="B365" s="414"/>
      <c r="C365" s="414"/>
      <c r="D365" s="414"/>
      <c r="E365" s="414"/>
      <c r="F365" s="414"/>
      <c r="G365" s="414"/>
      <c r="H365" s="414"/>
      <c r="I365" s="414"/>
      <c r="J365" s="414"/>
      <c r="K365" s="414"/>
      <c r="L365" s="414"/>
      <c r="M365" s="414"/>
      <c r="N365" s="414"/>
      <c r="O365" s="414"/>
      <c r="P365" s="414"/>
      <c r="Q365" s="414"/>
      <c r="R365" s="414"/>
      <c r="S365" s="414"/>
      <c r="T365" s="414"/>
      <c r="U365" s="414"/>
    </row>
    <row r="366">
      <c r="A366" s="414"/>
      <c r="B366" s="414"/>
      <c r="C366" s="414"/>
      <c r="D366" s="414"/>
      <c r="E366" s="414"/>
      <c r="F366" s="414"/>
      <c r="G366" s="414"/>
      <c r="H366" s="414"/>
      <c r="I366" s="414"/>
      <c r="J366" s="414"/>
      <c r="K366" s="414"/>
      <c r="L366" s="414"/>
      <c r="M366" s="414"/>
      <c r="N366" s="414"/>
      <c r="O366" s="414"/>
      <c r="P366" s="414"/>
      <c r="Q366" s="414"/>
      <c r="R366" s="414"/>
      <c r="S366" s="414"/>
      <c r="T366" s="414"/>
      <c r="U366" s="414"/>
    </row>
    <row r="367">
      <c r="A367" s="414"/>
      <c r="B367" s="414"/>
      <c r="C367" s="414"/>
      <c r="D367" s="414"/>
      <c r="E367" s="414"/>
      <c r="F367" s="414"/>
      <c r="G367" s="414"/>
      <c r="H367" s="414"/>
      <c r="I367" s="414"/>
      <c r="J367" s="414"/>
      <c r="K367" s="414"/>
      <c r="L367" s="414"/>
      <c r="M367" s="414"/>
      <c r="N367" s="414"/>
      <c r="O367" s="414"/>
      <c r="P367" s="414"/>
      <c r="Q367" s="414"/>
      <c r="R367" s="414"/>
      <c r="S367" s="414"/>
      <c r="T367" s="414"/>
      <c r="U367" s="414"/>
    </row>
    <row r="368">
      <c r="A368" s="414"/>
      <c r="B368" s="414"/>
      <c r="C368" s="414"/>
      <c r="D368" s="414"/>
      <c r="E368" s="414"/>
      <c r="F368" s="414"/>
      <c r="G368" s="414"/>
      <c r="H368" s="414"/>
      <c r="I368" s="414"/>
      <c r="J368" s="414"/>
      <c r="K368" s="414"/>
      <c r="L368" s="414"/>
      <c r="M368" s="414"/>
      <c r="N368" s="414"/>
      <c r="O368" s="414"/>
      <c r="P368" s="414"/>
      <c r="Q368" s="414"/>
      <c r="R368" s="414"/>
      <c r="S368" s="414"/>
      <c r="T368" s="414"/>
      <c r="U368" s="414"/>
    </row>
    <row r="369">
      <c r="A369" s="414"/>
      <c r="B369" s="414"/>
      <c r="C369" s="414"/>
      <c r="D369" s="414"/>
      <c r="E369" s="414"/>
      <c r="F369" s="414"/>
      <c r="G369" s="414"/>
      <c r="H369" s="414"/>
      <c r="I369" s="414"/>
      <c r="J369" s="414"/>
      <c r="K369" s="414"/>
      <c r="L369" s="414"/>
      <c r="M369" s="414"/>
      <c r="N369" s="414"/>
      <c r="O369" s="414"/>
      <c r="P369" s="414"/>
      <c r="Q369" s="414"/>
      <c r="R369" s="414"/>
      <c r="S369" s="414"/>
      <c r="T369" s="414"/>
      <c r="U369" s="414"/>
    </row>
    <row r="370">
      <c r="A370" s="414"/>
      <c r="B370" s="414"/>
      <c r="C370" s="414"/>
      <c r="D370" s="414"/>
      <c r="E370" s="414"/>
      <c r="F370" s="414"/>
      <c r="G370" s="414"/>
      <c r="H370" s="414"/>
      <c r="I370" s="414"/>
      <c r="J370" s="414"/>
      <c r="K370" s="414"/>
      <c r="L370" s="414"/>
      <c r="M370" s="414"/>
      <c r="N370" s="414"/>
      <c r="O370" s="414"/>
      <c r="P370" s="414"/>
      <c r="Q370" s="414"/>
      <c r="R370" s="414"/>
      <c r="S370" s="414"/>
      <c r="T370" s="414"/>
      <c r="U370" s="414"/>
    </row>
    <row r="371">
      <c r="A371" s="414"/>
      <c r="B371" s="414"/>
      <c r="C371" s="414"/>
      <c r="D371" s="414"/>
      <c r="E371" s="414"/>
      <c r="F371" s="414"/>
      <c r="G371" s="414"/>
      <c r="H371" s="414"/>
      <c r="I371" s="414"/>
      <c r="J371" s="414"/>
      <c r="K371" s="414"/>
      <c r="L371" s="414"/>
      <c r="M371" s="414"/>
      <c r="N371" s="414"/>
      <c r="O371" s="414"/>
      <c r="P371" s="414"/>
      <c r="Q371" s="414"/>
      <c r="R371" s="414"/>
      <c r="S371" s="414"/>
      <c r="T371" s="414"/>
      <c r="U371" s="414"/>
    </row>
    <row r="372">
      <c r="A372" s="414"/>
      <c r="B372" s="414"/>
      <c r="C372" s="414"/>
      <c r="D372" s="414"/>
      <c r="E372" s="414"/>
      <c r="F372" s="414"/>
      <c r="G372" s="414"/>
      <c r="H372" s="414"/>
      <c r="I372" s="414"/>
      <c r="J372" s="414"/>
      <c r="K372" s="414"/>
      <c r="L372" s="414"/>
      <c r="M372" s="414"/>
      <c r="N372" s="414"/>
      <c r="O372" s="414"/>
      <c r="P372" s="414"/>
      <c r="Q372" s="414"/>
      <c r="R372" s="414"/>
      <c r="S372" s="414"/>
      <c r="T372" s="414"/>
      <c r="U372" s="414"/>
    </row>
    <row r="373">
      <c r="A373" s="414"/>
      <c r="B373" s="414"/>
      <c r="C373" s="414"/>
      <c r="D373" s="414"/>
      <c r="E373" s="414"/>
      <c r="F373" s="414"/>
      <c r="G373" s="414"/>
      <c r="H373" s="414"/>
      <c r="I373" s="414"/>
      <c r="J373" s="414"/>
      <c r="K373" s="414"/>
      <c r="L373" s="414"/>
      <c r="M373" s="414"/>
      <c r="N373" s="414"/>
      <c r="O373" s="414"/>
      <c r="P373" s="414"/>
      <c r="Q373" s="414"/>
      <c r="R373" s="414"/>
      <c r="S373" s="414"/>
      <c r="T373" s="414"/>
      <c r="U373" s="414"/>
    </row>
    <row r="374">
      <c r="A374" s="414"/>
      <c r="B374" s="414"/>
      <c r="C374" s="414"/>
      <c r="D374" s="414"/>
      <c r="E374" s="414"/>
      <c r="F374" s="414"/>
      <c r="G374" s="414"/>
      <c r="H374" s="414"/>
      <c r="I374" s="414"/>
      <c r="J374" s="414"/>
      <c r="K374" s="414"/>
      <c r="L374" s="414"/>
      <c r="M374" s="414"/>
      <c r="N374" s="414"/>
      <c r="O374" s="414"/>
      <c r="P374" s="414"/>
      <c r="Q374" s="414"/>
      <c r="R374" s="414"/>
      <c r="S374" s="414"/>
      <c r="T374" s="414"/>
      <c r="U374" s="414"/>
    </row>
    <row r="375">
      <c r="A375" s="414"/>
      <c r="B375" s="414"/>
      <c r="C375" s="414"/>
      <c r="D375" s="414"/>
      <c r="E375" s="414"/>
      <c r="F375" s="414"/>
      <c r="G375" s="414"/>
      <c r="H375" s="414"/>
      <c r="I375" s="414"/>
      <c r="J375" s="414"/>
      <c r="K375" s="414"/>
      <c r="L375" s="414"/>
      <c r="M375" s="414"/>
      <c r="N375" s="414"/>
      <c r="O375" s="414"/>
      <c r="P375" s="414"/>
      <c r="Q375" s="414"/>
      <c r="R375" s="414"/>
      <c r="S375" s="414"/>
      <c r="T375" s="414"/>
      <c r="U375" s="414"/>
    </row>
    <row r="376">
      <c r="A376" s="414"/>
      <c r="B376" s="414"/>
      <c r="C376" s="414"/>
      <c r="D376" s="414"/>
      <c r="E376" s="414"/>
      <c r="F376" s="414"/>
      <c r="G376" s="414"/>
      <c r="H376" s="414"/>
      <c r="I376" s="414"/>
      <c r="J376" s="414"/>
      <c r="K376" s="414"/>
      <c r="L376" s="414"/>
      <c r="M376" s="414"/>
      <c r="N376" s="414"/>
      <c r="O376" s="414"/>
      <c r="P376" s="414"/>
      <c r="Q376" s="414"/>
      <c r="R376" s="414"/>
      <c r="S376" s="414"/>
      <c r="T376" s="414"/>
      <c r="U376" s="414"/>
    </row>
    <row r="377">
      <c r="A377" s="414"/>
      <c r="B377" s="414"/>
      <c r="C377" s="414"/>
      <c r="D377" s="414"/>
      <c r="E377" s="414"/>
      <c r="F377" s="414"/>
      <c r="G377" s="414"/>
      <c r="H377" s="414"/>
      <c r="I377" s="414"/>
      <c r="J377" s="414"/>
      <c r="K377" s="414"/>
      <c r="L377" s="414"/>
      <c r="M377" s="414"/>
      <c r="N377" s="414"/>
      <c r="O377" s="414"/>
      <c r="P377" s="414"/>
      <c r="Q377" s="414"/>
      <c r="R377" s="414"/>
      <c r="S377" s="414"/>
      <c r="T377" s="414"/>
      <c r="U377" s="414"/>
    </row>
    <row r="378">
      <c r="A378" s="414"/>
      <c r="B378" s="414"/>
      <c r="C378" s="414"/>
      <c r="D378" s="414"/>
      <c r="E378" s="414"/>
      <c r="F378" s="414"/>
      <c r="G378" s="414"/>
      <c r="H378" s="414"/>
      <c r="I378" s="414"/>
      <c r="J378" s="414"/>
      <c r="K378" s="414"/>
      <c r="L378" s="414"/>
      <c r="M378" s="414"/>
      <c r="N378" s="414"/>
      <c r="O378" s="414"/>
      <c r="P378" s="414"/>
      <c r="Q378" s="414"/>
      <c r="R378" s="414"/>
      <c r="S378" s="414"/>
      <c r="T378" s="414"/>
      <c r="U378" s="414"/>
    </row>
    <row r="379">
      <c r="A379" s="414"/>
      <c r="B379" s="414"/>
      <c r="C379" s="414"/>
      <c r="D379" s="414"/>
      <c r="E379" s="414"/>
      <c r="F379" s="414"/>
      <c r="G379" s="414"/>
      <c r="H379" s="414"/>
      <c r="I379" s="414"/>
      <c r="J379" s="414"/>
      <c r="K379" s="414"/>
      <c r="L379" s="414"/>
      <c r="M379" s="414"/>
      <c r="N379" s="414"/>
      <c r="O379" s="414"/>
      <c r="P379" s="414"/>
      <c r="Q379" s="414"/>
      <c r="R379" s="414"/>
      <c r="S379" s="414"/>
      <c r="T379" s="414"/>
      <c r="U379" s="414"/>
    </row>
    <row r="380">
      <c r="A380" s="414"/>
      <c r="B380" s="414"/>
      <c r="C380" s="414"/>
      <c r="D380" s="414"/>
      <c r="E380" s="414"/>
      <c r="F380" s="414"/>
      <c r="G380" s="414"/>
      <c r="H380" s="414"/>
      <c r="I380" s="414"/>
      <c r="J380" s="414"/>
      <c r="K380" s="414"/>
      <c r="L380" s="414"/>
      <c r="M380" s="414"/>
      <c r="N380" s="414"/>
      <c r="O380" s="414"/>
      <c r="P380" s="414"/>
      <c r="Q380" s="414"/>
      <c r="R380" s="414"/>
      <c r="S380" s="414"/>
      <c r="T380" s="414"/>
      <c r="U380" s="414"/>
    </row>
    <row r="381">
      <c r="A381" s="414"/>
      <c r="B381" s="414"/>
      <c r="C381" s="414"/>
      <c r="D381" s="414"/>
      <c r="E381" s="414"/>
      <c r="F381" s="414"/>
      <c r="G381" s="414"/>
      <c r="H381" s="414"/>
      <c r="I381" s="414"/>
      <c r="J381" s="414"/>
      <c r="K381" s="414"/>
      <c r="L381" s="414"/>
      <c r="M381" s="414"/>
      <c r="N381" s="414"/>
      <c r="O381" s="414"/>
      <c r="P381" s="414"/>
      <c r="Q381" s="414"/>
      <c r="R381" s="414"/>
      <c r="S381" s="414"/>
      <c r="T381" s="414"/>
      <c r="U381" s="414"/>
    </row>
    <row r="382">
      <c r="A382" s="414"/>
      <c r="B382" s="414"/>
      <c r="C382" s="414"/>
      <c r="D382" s="414"/>
      <c r="E382" s="414"/>
      <c r="F382" s="414"/>
      <c r="G382" s="414"/>
      <c r="H382" s="414"/>
      <c r="I382" s="414"/>
      <c r="J382" s="414"/>
      <c r="K382" s="414"/>
      <c r="L382" s="414"/>
      <c r="M382" s="414"/>
      <c r="N382" s="414"/>
      <c r="O382" s="414"/>
      <c r="P382" s="414"/>
      <c r="Q382" s="414"/>
      <c r="R382" s="414"/>
      <c r="S382" s="414"/>
      <c r="T382" s="414"/>
      <c r="U382" s="414"/>
    </row>
    <row r="383">
      <c r="A383" s="414"/>
      <c r="B383" s="414"/>
      <c r="C383" s="414"/>
      <c r="D383" s="414"/>
      <c r="E383" s="414"/>
      <c r="F383" s="414"/>
      <c r="G383" s="414"/>
      <c r="H383" s="414"/>
      <c r="I383" s="414"/>
      <c r="J383" s="414"/>
      <c r="K383" s="414"/>
      <c r="L383" s="414"/>
      <c r="M383" s="414"/>
      <c r="N383" s="414"/>
      <c r="O383" s="414"/>
      <c r="P383" s="414"/>
      <c r="Q383" s="414"/>
      <c r="R383" s="414"/>
      <c r="S383" s="414"/>
      <c r="T383" s="414"/>
      <c r="U383" s="414"/>
    </row>
    <row r="384">
      <c r="A384" s="414"/>
      <c r="B384" s="414"/>
      <c r="C384" s="414"/>
      <c r="D384" s="414"/>
      <c r="E384" s="414"/>
      <c r="F384" s="414"/>
      <c r="G384" s="414"/>
      <c r="H384" s="414"/>
      <c r="I384" s="414"/>
      <c r="J384" s="414"/>
      <c r="K384" s="414"/>
      <c r="L384" s="414"/>
      <c r="M384" s="414"/>
      <c r="N384" s="414"/>
      <c r="O384" s="414"/>
      <c r="P384" s="414"/>
      <c r="Q384" s="414"/>
      <c r="R384" s="414"/>
      <c r="S384" s="414"/>
      <c r="T384" s="414"/>
      <c r="U384" s="414"/>
    </row>
    <row r="385">
      <c r="A385" s="414"/>
      <c r="B385" s="414"/>
      <c r="C385" s="414"/>
      <c r="D385" s="414"/>
      <c r="E385" s="414"/>
      <c r="F385" s="414"/>
      <c r="G385" s="414"/>
      <c r="H385" s="414"/>
      <c r="I385" s="414"/>
      <c r="J385" s="414"/>
      <c r="K385" s="414"/>
      <c r="L385" s="414"/>
      <c r="M385" s="414"/>
      <c r="N385" s="414"/>
      <c r="O385" s="414"/>
      <c r="P385" s="414"/>
      <c r="Q385" s="414"/>
      <c r="R385" s="414"/>
      <c r="S385" s="414"/>
      <c r="T385" s="414"/>
      <c r="U385" s="414"/>
    </row>
    <row r="386">
      <c r="A386" s="414"/>
      <c r="B386" s="414"/>
      <c r="C386" s="414"/>
      <c r="D386" s="414"/>
      <c r="E386" s="414"/>
      <c r="F386" s="414"/>
      <c r="G386" s="414"/>
      <c r="H386" s="414"/>
      <c r="I386" s="414"/>
      <c r="J386" s="414"/>
      <c r="K386" s="414"/>
      <c r="L386" s="414"/>
      <c r="M386" s="414"/>
      <c r="N386" s="414"/>
      <c r="O386" s="414"/>
      <c r="P386" s="414"/>
      <c r="Q386" s="414"/>
      <c r="R386" s="414"/>
      <c r="S386" s="414"/>
      <c r="T386" s="414"/>
      <c r="U386" s="414"/>
    </row>
    <row r="387">
      <c r="A387" s="414"/>
      <c r="B387" s="414"/>
      <c r="C387" s="414"/>
      <c r="D387" s="414"/>
      <c r="E387" s="414"/>
      <c r="F387" s="414"/>
      <c r="G387" s="414"/>
      <c r="H387" s="414"/>
      <c r="I387" s="414"/>
      <c r="J387" s="414"/>
      <c r="K387" s="414"/>
      <c r="L387" s="414"/>
      <c r="M387" s="414"/>
      <c r="N387" s="414"/>
      <c r="O387" s="414"/>
      <c r="P387" s="414"/>
      <c r="Q387" s="414"/>
      <c r="R387" s="414"/>
      <c r="S387" s="414"/>
      <c r="T387" s="414"/>
      <c r="U387" s="414"/>
    </row>
    <row r="388">
      <c r="A388" s="414"/>
      <c r="B388" s="414"/>
      <c r="C388" s="414"/>
      <c r="D388" s="414"/>
      <c r="E388" s="414"/>
      <c r="F388" s="414"/>
      <c r="G388" s="414"/>
      <c r="H388" s="414"/>
      <c r="I388" s="414"/>
      <c r="J388" s="414"/>
      <c r="K388" s="414"/>
      <c r="L388" s="414"/>
      <c r="M388" s="414"/>
      <c r="N388" s="414"/>
      <c r="O388" s="414"/>
      <c r="P388" s="414"/>
      <c r="Q388" s="414"/>
      <c r="R388" s="414"/>
      <c r="S388" s="414"/>
      <c r="T388" s="414"/>
      <c r="U388" s="414"/>
    </row>
    <row r="389">
      <c r="A389" s="414"/>
      <c r="B389" s="414"/>
      <c r="C389" s="414"/>
      <c r="D389" s="414"/>
      <c r="E389" s="414"/>
      <c r="F389" s="414"/>
      <c r="G389" s="414"/>
      <c r="H389" s="414"/>
      <c r="I389" s="414"/>
      <c r="J389" s="414"/>
      <c r="K389" s="414"/>
      <c r="L389" s="414"/>
      <c r="M389" s="414"/>
      <c r="N389" s="414"/>
      <c r="O389" s="414"/>
      <c r="P389" s="414"/>
      <c r="Q389" s="414"/>
      <c r="R389" s="414"/>
      <c r="S389" s="414"/>
      <c r="T389" s="414"/>
      <c r="U389" s="414"/>
    </row>
    <row r="390">
      <c r="A390" s="414"/>
      <c r="B390" s="414"/>
      <c r="C390" s="414"/>
      <c r="D390" s="414"/>
      <c r="E390" s="414"/>
      <c r="F390" s="414"/>
      <c r="G390" s="414"/>
      <c r="H390" s="414"/>
      <c r="I390" s="414"/>
      <c r="J390" s="414"/>
      <c r="K390" s="414"/>
      <c r="L390" s="414"/>
      <c r="M390" s="414"/>
      <c r="N390" s="414"/>
      <c r="O390" s="414"/>
      <c r="P390" s="414"/>
      <c r="Q390" s="414"/>
      <c r="R390" s="414"/>
      <c r="S390" s="414"/>
      <c r="T390" s="414"/>
      <c r="U390" s="414"/>
    </row>
    <row r="391">
      <c r="A391" s="414"/>
      <c r="B391" s="414"/>
      <c r="C391" s="414"/>
      <c r="D391" s="414"/>
      <c r="E391" s="414"/>
      <c r="F391" s="414"/>
      <c r="G391" s="414"/>
      <c r="H391" s="414"/>
      <c r="I391" s="414"/>
      <c r="J391" s="414"/>
      <c r="K391" s="414"/>
      <c r="L391" s="414"/>
      <c r="M391" s="414"/>
      <c r="N391" s="414"/>
      <c r="O391" s="414"/>
      <c r="P391" s="414"/>
      <c r="Q391" s="414"/>
      <c r="R391" s="414"/>
      <c r="S391" s="414"/>
      <c r="T391" s="414"/>
      <c r="U391" s="414"/>
    </row>
    <row r="392">
      <c r="A392" s="414"/>
      <c r="B392" s="414"/>
      <c r="C392" s="414"/>
      <c r="D392" s="414"/>
      <c r="E392" s="414"/>
      <c r="F392" s="414"/>
      <c r="G392" s="414"/>
      <c r="H392" s="414"/>
      <c r="I392" s="414"/>
      <c r="J392" s="414"/>
      <c r="K392" s="414"/>
      <c r="L392" s="414"/>
      <c r="M392" s="414"/>
      <c r="N392" s="414"/>
      <c r="O392" s="414"/>
      <c r="P392" s="414"/>
      <c r="Q392" s="414"/>
      <c r="R392" s="414"/>
      <c r="S392" s="414"/>
      <c r="T392" s="414"/>
      <c r="U392" s="414"/>
    </row>
    <row r="393">
      <c r="A393" s="414"/>
      <c r="B393" s="414"/>
      <c r="C393" s="414"/>
      <c r="D393" s="414"/>
      <c r="E393" s="414"/>
      <c r="F393" s="414"/>
      <c r="G393" s="414"/>
      <c r="H393" s="414"/>
      <c r="I393" s="414"/>
      <c r="J393" s="414"/>
      <c r="K393" s="414"/>
      <c r="L393" s="414"/>
      <c r="M393" s="414"/>
      <c r="N393" s="414"/>
      <c r="O393" s="414"/>
      <c r="P393" s="414"/>
      <c r="Q393" s="414"/>
      <c r="R393" s="414"/>
      <c r="S393" s="414"/>
      <c r="T393" s="414"/>
      <c r="U393" s="414"/>
    </row>
    <row r="394">
      <c r="A394" s="414"/>
      <c r="B394" s="414"/>
      <c r="C394" s="414"/>
      <c r="D394" s="414"/>
      <c r="E394" s="414"/>
      <c r="F394" s="414"/>
      <c r="G394" s="414"/>
      <c r="H394" s="414"/>
      <c r="I394" s="414"/>
      <c r="J394" s="414"/>
      <c r="K394" s="414"/>
      <c r="L394" s="414"/>
      <c r="M394" s="414"/>
      <c r="N394" s="414"/>
      <c r="O394" s="414"/>
      <c r="P394" s="414"/>
      <c r="Q394" s="414"/>
      <c r="R394" s="414"/>
      <c r="S394" s="414"/>
      <c r="T394" s="414"/>
      <c r="U394" s="414"/>
    </row>
    <row r="395">
      <c r="A395" s="414"/>
      <c r="B395" s="414"/>
      <c r="C395" s="414"/>
      <c r="D395" s="414"/>
      <c r="E395" s="414"/>
      <c r="F395" s="414"/>
      <c r="G395" s="414"/>
      <c r="H395" s="414"/>
      <c r="I395" s="414"/>
      <c r="J395" s="414"/>
      <c r="K395" s="414"/>
      <c r="L395" s="414"/>
      <c r="M395" s="414"/>
      <c r="N395" s="414"/>
      <c r="O395" s="414"/>
      <c r="P395" s="414"/>
      <c r="Q395" s="414"/>
      <c r="R395" s="414"/>
      <c r="S395" s="414"/>
      <c r="T395" s="414"/>
      <c r="U395" s="414"/>
    </row>
    <row r="396">
      <c r="A396" s="414"/>
      <c r="B396" s="414"/>
      <c r="C396" s="414"/>
      <c r="D396" s="414"/>
      <c r="E396" s="414"/>
      <c r="F396" s="414"/>
      <c r="G396" s="414"/>
      <c r="H396" s="414"/>
      <c r="I396" s="414"/>
      <c r="J396" s="414"/>
      <c r="K396" s="414"/>
      <c r="L396" s="414"/>
      <c r="M396" s="414"/>
      <c r="N396" s="414"/>
      <c r="O396" s="414"/>
      <c r="P396" s="414"/>
      <c r="Q396" s="414"/>
      <c r="R396" s="414"/>
      <c r="S396" s="414"/>
      <c r="T396" s="414"/>
      <c r="U396" s="414"/>
    </row>
    <row r="397">
      <c r="A397" s="414"/>
      <c r="B397" s="414"/>
      <c r="C397" s="414"/>
      <c r="D397" s="414"/>
      <c r="E397" s="414"/>
      <c r="F397" s="414"/>
      <c r="G397" s="414"/>
      <c r="H397" s="414"/>
      <c r="I397" s="414"/>
      <c r="J397" s="414"/>
      <c r="K397" s="414"/>
      <c r="L397" s="414"/>
      <c r="M397" s="414"/>
      <c r="N397" s="414"/>
      <c r="O397" s="414"/>
      <c r="P397" s="414"/>
      <c r="Q397" s="414"/>
      <c r="R397" s="414"/>
      <c r="S397" s="414"/>
      <c r="T397" s="414"/>
      <c r="U397" s="414"/>
    </row>
    <row r="398">
      <c r="A398" s="414"/>
      <c r="B398" s="414"/>
      <c r="C398" s="414"/>
      <c r="D398" s="414"/>
      <c r="E398" s="414"/>
      <c r="F398" s="414"/>
      <c r="G398" s="414"/>
      <c r="H398" s="414"/>
      <c r="I398" s="414"/>
      <c r="J398" s="414"/>
      <c r="K398" s="414"/>
      <c r="L398" s="414"/>
      <c r="M398" s="414"/>
      <c r="N398" s="414"/>
      <c r="O398" s="414"/>
      <c r="P398" s="414"/>
      <c r="Q398" s="414"/>
      <c r="R398" s="414"/>
      <c r="S398" s="414"/>
      <c r="T398" s="414"/>
      <c r="U398" s="414"/>
    </row>
    <row r="399">
      <c r="A399" s="414"/>
      <c r="B399" s="414"/>
      <c r="C399" s="414"/>
      <c r="D399" s="414"/>
      <c r="E399" s="414"/>
      <c r="F399" s="414"/>
      <c r="G399" s="414"/>
      <c r="H399" s="414"/>
      <c r="I399" s="414"/>
      <c r="J399" s="414"/>
      <c r="K399" s="414"/>
      <c r="L399" s="414"/>
      <c r="M399" s="414"/>
      <c r="N399" s="414"/>
      <c r="O399" s="414"/>
      <c r="P399" s="414"/>
      <c r="Q399" s="414"/>
      <c r="R399" s="414"/>
      <c r="S399" s="414"/>
      <c r="T399" s="414"/>
      <c r="U399" s="414"/>
    </row>
    <row r="400">
      <c r="A400" s="414"/>
      <c r="B400" s="414"/>
      <c r="C400" s="414"/>
      <c r="D400" s="414"/>
      <c r="E400" s="414"/>
      <c r="F400" s="414"/>
      <c r="G400" s="414"/>
      <c r="H400" s="414"/>
      <c r="I400" s="414"/>
      <c r="J400" s="414"/>
      <c r="K400" s="414"/>
      <c r="L400" s="414"/>
      <c r="M400" s="414"/>
      <c r="N400" s="414"/>
      <c r="O400" s="414"/>
      <c r="P400" s="414"/>
      <c r="Q400" s="414"/>
      <c r="R400" s="414"/>
      <c r="S400" s="414"/>
      <c r="T400" s="414"/>
      <c r="U400" s="414"/>
    </row>
    <row r="401">
      <c r="A401" s="414"/>
      <c r="B401" s="414"/>
      <c r="C401" s="414"/>
      <c r="D401" s="414"/>
      <c r="E401" s="414"/>
      <c r="F401" s="414"/>
      <c r="G401" s="414"/>
      <c r="H401" s="414"/>
      <c r="I401" s="414"/>
      <c r="J401" s="414"/>
      <c r="K401" s="414"/>
      <c r="L401" s="414"/>
      <c r="M401" s="414"/>
      <c r="N401" s="414"/>
      <c r="O401" s="414"/>
      <c r="P401" s="414"/>
      <c r="Q401" s="414"/>
      <c r="R401" s="414"/>
      <c r="S401" s="414"/>
      <c r="T401" s="414"/>
      <c r="U401" s="414"/>
    </row>
    <row r="402">
      <c r="A402" s="414"/>
      <c r="B402" s="414"/>
      <c r="C402" s="414"/>
      <c r="D402" s="414"/>
      <c r="E402" s="414"/>
      <c r="F402" s="414"/>
      <c r="G402" s="414"/>
      <c r="H402" s="414"/>
      <c r="I402" s="414"/>
      <c r="J402" s="414"/>
      <c r="K402" s="414"/>
      <c r="L402" s="414"/>
      <c r="M402" s="414"/>
      <c r="N402" s="414"/>
      <c r="O402" s="414"/>
      <c r="P402" s="414"/>
      <c r="Q402" s="414"/>
      <c r="R402" s="414"/>
      <c r="S402" s="414"/>
      <c r="T402" s="414"/>
      <c r="U402" s="414"/>
    </row>
    <row r="403">
      <c r="A403" s="414"/>
      <c r="B403" s="414"/>
      <c r="C403" s="414"/>
      <c r="D403" s="414"/>
      <c r="E403" s="414"/>
      <c r="F403" s="414"/>
      <c r="G403" s="414"/>
      <c r="H403" s="414"/>
      <c r="I403" s="414"/>
      <c r="J403" s="414"/>
      <c r="K403" s="414"/>
      <c r="L403" s="414"/>
      <c r="M403" s="414"/>
      <c r="N403" s="414"/>
      <c r="O403" s="414"/>
      <c r="P403" s="414"/>
      <c r="Q403" s="414"/>
      <c r="R403" s="414"/>
      <c r="S403" s="414"/>
      <c r="T403" s="414"/>
      <c r="U403" s="414"/>
    </row>
    <row r="404">
      <c r="A404" s="414"/>
      <c r="B404" s="414"/>
      <c r="C404" s="414"/>
      <c r="D404" s="414"/>
      <c r="E404" s="414"/>
      <c r="F404" s="414"/>
      <c r="G404" s="414"/>
      <c r="H404" s="414"/>
      <c r="I404" s="414"/>
      <c r="J404" s="414"/>
      <c r="K404" s="414"/>
      <c r="L404" s="414"/>
      <c r="M404" s="414"/>
      <c r="N404" s="414"/>
      <c r="O404" s="414"/>
      <c r="P404" s="414"/>
      <c r="Q404" s="414"/>
      <c r="R404" s="414"/>
      <c r="S404" s="414"/>
      <c r="T404" s="414"/>
      <c r="U404" s="414"/>
    </row>
    <row r="405">
      <c r="A405" s="414"/>
      <c r="B405" s="414"/>
      <c r="C405" s="414"/>
      <c r="D405" s="414"/>
      <c r="E405" s="414"/>
      <c r="F405" s="414"/>
      <c r="G405" s="414"/>
      <c r="H405" s="414"/>
      <c r="I405" s="414"/>
      <c r="J405" s="414"/>
      <c r="K405" s="414"/>
      <c r="L405" s="414"/>
      <c r="M405" s="414"/>
      <c r="N405" s="414"/>
      <c r="O405" s="414"/>
      <c r="P405" s="414"/>
      <c r="Q405" s="414"/>
      <c r="R405" s="414"/>
      <c r="S405" s="414"/>
      <c r="T405" s="414"/>
      <c r="U405" s="414"/>
    </row>
    <row r="406">
      <c r="A406" s="414"/>
      <c r="B406" s="414"/>
      <c r="C406" s="414"/>
      <c r="D406" s="414"/>
      <c r="E406" s="414"/>
      <c r="F406" s="414"/>
      <c r="G406" s="414"/>
      <c r="H406" s="414"/>
      <c r="I406" s="414"/>
      <c r="J406" s="414"/>
      <c r="K406" s="414"/>
      <c r="L406" s="414"/>
      <c r="M406" s="414"/>
      <c r="N406" s="414"/>
      <c r="O406" s="414"/>
      <c r="P406" s="414"/>
      <c r="Q406" s="414"/>
      <c r="R406" s="414"/>
      <c r="S406" s="414"/>
      <c r="T406" s="414"/>
      <c r="U406" s="414"/>
    </row>
    <row r="407">
      <c r="A407" s="414"/>
      <c r="B407" s="414"/>
      <c r="C407" s="414"/>
      <c r="D407" s="414"/>
      <c r="E407" s="414"/>
      <c r="F407" s="414"/>
      <c r="G407" s="414"/>
      <c r="H407" s="414"/>
      <c r="I407" s="414"/>
      <c r="J407" s="414"/>
      <c r="K407" s="414"/>
      <c r="L407" s="414"/>
      <c r="M407" s="414"/>
      <c r="N407" s="414"/>
      <c r="O407" s="414"/>
      <c r="P407" s="414"/>
      <c r="Q407" s="414"/>
      <c r="R407" s="414"/>
      <c r="S407" s="414"/>
      <c r="T407" s="414"/>
      <c r="U407" s="414"/>
    </row>
    <row r="408">
      <c r="A408" s="414"/>
      <c r="B408" s="414"/>
      <c r="C408" s="414"/>
      <c r="D408" s="414"/>
      <c r="E408" s="414"/>
      <c r="F408" s="414"/>
      <c r="G408" s="414"/>
      <c r="H408" s="414"/>
      <c r="I408" s="414"/>
      <c r="J408" s="414"/>
      <c r="K408" s="414"/>
      <c r="L408" s="414"/>
      <c r="M408" s="414"/>
      <c r="N408" s="414"/>
      <c r="O408" s="414"/>
      <c r="P408" s="414"/>
      <c r="Q408" s="414"/>
      <c r="R408" s="414"/>
      <c r="S408" s="414"/>
      <c r="T408" s="414"/>
      <c r="U408" s="414"/>
    </row>
    <row r="409">
      <c r="A409" s="414"/>
      <c r="B409" s="414"/>
      <c r="C409" s="414"/>
      <c r="D409" s="414"/>
      <c r="E409" s="414"/>
      <c r="F409" s="414"/>
      <c r="G409" s="414"/>
      <c r="H409" s="414"/>
      <c r="I409" s="414"/>
      <c r="J409" s="414"/>
      <c r="K409" s="414"/>
      <c r="L409" s="414"/>
      <c r="M409" s="414"/>
      <c r="N409" s="414"/>
      <c r="O409" s="414"/>
      <c r="P409" s="414"/>
      <c r="Q409" s="414"/>
      <c r="R409" s="414"/>
      <c r="S409" s="414"/>
      <c r="T409" s="414"/>
      <c r="U409" s="414"/>
    </row>
    <row r="410">
      <c r="A410" s="414"/>
      <c r="B410" s="414"/>
      <c r="C410" s="414"/>
      <c r="D410" s="414"/>
      <c r="E410" s="414"/>
      <c r="F410" s="414"/>
      <c r="G410" s="414"/>
      <c r="H410" s="414"/>
      <c r="I410" s="414"/>
      <c r="J410" s="414"/>
      <c r="K410" s="414"/>
      <c r="L410" s="414"/>
      <c r="M410" s="414"/>
      <c r="N410" s="414"/>
      <c r="O410" s="414"/>
      <c r="P410" s="414"/>
      <c r="Q410" s="414"/>
      <c r="R410" s="414"/>
      <c r="S410" s="414"/>
      <c r="T410" s="414"/>
      <c r="U410" s="414"/>
    </row>
    <row r="411">
      <c r="A411" s="414"/>
      <c r="B411" s="414"/>
      <c r="C411" s="414"/>
      <c r="D411" s="414"/>
      <c r="E411" s="414"/>
      <c r="F411" s="414"/>
      <c r="G411" s="414"/>
      <c r="H411" s="414"/>
      <c r="I411" s="414"/>
      <c r="J411" s="414"/>
      <c r="K411" s="414"/>
      <c r="L411" s="414"/>
      <c r="M411" s="414"/>
      <c r="N411" s="414"/>
      <c r="O411" s="414"/>
      <c r="P411" s="414"/>
      <c r="Q411" s="414"/>
      <c r="R411" s="414"/>
      <c r="S411" s="414"/>
      <c r="T411" s="414"/>
      <c r="U411" s="414"/>
    </row>
    <row r="412">
      <c r="A412" s="414"/>
      <c r="B412" s="414"/>
      <c r="C412" s="414"/>
      <c r="D412" s="414"/>
      <c r="E412" s="414"/>
      <c r="F412" s="414"/>
      <c r="G412" s="414"/>
      <c r="H412" s="414"/>
      <c r="I412" s="414"/>
      <c r="J412" s="414"/>
      <c r="K412" s="414"/>
      <c r="L412" s="414"/>
      <c r="M412" s="414"/>
      <c r="N412" s="414"/>
      <c r="O412" s="414"/>
      <c r="P412" s="414"/>
      <c r="Q412" s="414"/>
      <c r="R412" s="414"/>
      <c r="S412" s="414"/>
      <c r="T412" s="414"/>
      <c r="U412" s="414"/>
    </row>
    <row r="413">
      <c r="A413" s="414"/>
      <c r="B413" s="414"/>
      <c r="C413" s="414"/>
      <c r="D413" s="414"/>
      <c r="E413" s="414"/>
      <c r="F413" s="414"/>
      <c r="G413" s="414"/>
      <c r="H413" s="414"/>
      <c r="I413" s="414"/>
      <c r="J413" s="414"/>
      <c r="K413" s="414"/>
      <c r="L413" s="414"/>
      <c r="M413" s="414"/>
      <c r="N413" s="414"/>
      <c r="O413" s="414"/>
      <c r="P413" s="414"/>
      <c r="Q413" s="414"/>
      <c r="R413" s="414"/>
      <c r="S413" s="414"/>
      <c r="T413" s="414"/>
      <c r="U413" s="414"/>
    </row>
    <row r="414">
      <c r="A414" s="414"/>
      <c r="B414" s="414"/>
      <c r="C414" s="414"/>
      <c r="D414" s="414"/>
      <c r="E414" s="414"/>
      <c r="F414" s="414"/>
      <c r="G414" s="414"/>
      <c r="H414" s="414"/>
      <c r="I414" s="414"/>
      <c r="J414" s="414"/>
      <c r="K414" s="414"/>
      <c r="L414" s="414"/>
      <c r="M414" s="414"/>
      <c r="N414" s="414"/>
      <c r="O414" s="414"/>
      <c r="P414" s="414"/>
      <c r="Q414" s="414"/>
      <c r="R414" s="414"/>
      <c r="S414" s="414"/>
      <c r="T414" s="414"/>
      <c r="U414" s="414"/>
    </row>
    <row r="415">
      <c r="A415" s="414"/>
      <c r="B415" s="414"/>
      <c r="C415" s="414"/>
      <c r="D415" s="414"/>
      <c r="E415" s="414"/>
      <c r="F415" s="414"/>
      <c r="G415" s="414"/>
      <c r="H415" s="414"/>
      <c r="I415" s="414"/>
      <c r="J415" s="414"/>
      <c r="K415" s="414"/>
      <c r="L415" s="414"/>
      <c r="M415" s="414"/>
      <c r="N415" s="414"/>
      <c r="O415" s="414"/>
      <c r="P415" s="414"/>
      <c r="Q415" s="414"/>
      <c r="R415" s="414"/>
      <c r="S415" s="414"/>
      <c r="T415" s="414"/>
      <c r="U415" s="414"/>
    </row>
    <row r="416">
      <c r="A416" s="414"/>
      <c r="B416" s="414"/>
      <c r="C416" s="414"/>
      <c r="D416" s="414"/>
      <c r="E416" s="414"/>
      <c r="F416" s="414"/>
      <c r="G416" s="414"/>
      <c r="H416" s="414"/>
      <c r="I416" s="414"/>
      <c r="J416" s="414"/>
      <c r="K416" s="414"/>
      <c r="L416" s="414"/>
      <c r="M416" s="414"/>
      <c r="N416" s="414"/>
      <c r="O416" s="414"/>
      <c r="P416" s="414"/>
      <c r="Q416" s="414"/>
      <c r="R416" s="414"/>
      <c r="S416" s="414"/>
      <c r="T416" s="414"/>
      <c r="U416" s="414"/>
    </row>
    <row r="417">
      <c r="A417" s="414"/>
      <c r="B417" s="414"/>
      <c r="C417" s="414"/>
      <c r="D417" s="414"/>
      <c r="E417" s="414"/>
      <c r="F417" s="414"/>
      <c r="G417" s="414"/>
      <c r="H417" s="414"/>
      <c r="I417" s="414"/>
      <c r="J417" s="414"/>
      <c r="K417" s="414"/>
      <c r="L417" s="414"/>
      <c r="M417" s="414"/>
      <c r="N417" s="414"/>
      <c r="O417" s="414"/>
      <c r="P417" s="414"/>
      <c r="Q417" s="414"/>
      <c r="R417" s="414"/>
      <c r="S417" s="414"/>
      <c r="T417" s="414"/>
      <c r="U417" s="414"/>
    </row>
    <row r="418">
      <c r="A418" s="414"/>
      <c r="B418" s="414"/>
      <c r="C418" s="414"/>
      <c r="D418" s="414"/>
      <c r="E418" s="414"/>
      <c r="F418" s="414"/>
      <c r="G418" s="414"/>
      <c r="H418" s="414"/>
      <c r="I418" s="414"/>
      <c r="J418" s="414"/>
      <c r="K418" s="414"/>
      <c r="L418" s="414"/>
      <c r="M418" s="414"/>
      <c r="N418" s="414"/>
      <c r="O418" s="414"/>
      <c r="P418" s="414"/>
      <c r="Q418" s="414"/>
      <c r="R418" s="414"/>
      <c r="S418" s="414"/>
      <c r="T418" s="414"/>
      <c r="U418" s="414"/>
    </row>
    <row r="419">
      <c r="A419" s="414"/>
      <c r="B419" s="414"/>
      <c r="C419" s="414"/>
      <c r="D419" s="414"/>
      <c r="E419" s="414"/>
      <c r="F419" s="414"/>
      <c r="G419" s="414"/>
      <c r="H419" s="414"/>
      <c r="I419" s="414"/>
      <c r="J419" s="414"/>
      <c r="K419" s="414"/>
      <c r="L419" s="414"/>
      <c r="M419" s="414"/>
      <c r="N419" s="414"/>
      <c r="O419" s="414"/>
      <c r="P419" s="414"/>
      <c r="Q419" s="414"/>
      <c r="R419" s="414"/>
      <c r="S419" s="414"/>
      <c r="T419" s="414"/>
      <c r="U419" s="414"/>
    </row>
    <row r="420">
      <c r="A420" s="414"/>
      <c r="B420" s="414"/>
      <c r="C420" s="414"/>
      <c r="D420" s="414"/>
      <c r="E420" s="414"/>
      <c r="F420" s="414"/>
      <c r="G420" s="414"/>
      <c r="H420" s="414"/>
      <c r="I420" s="414"/>
      <c r="J420" s="414"/>
      <c r="K420" s="414"/>
      <c r="L420" s="414"/>
      <c r="M420" s="414"/>
      <c r="N420" s="414"/>
      <c r="O420" s="414"/>
      <c r="P420" s="414"/>
      <c r="Q420" s="414"/>
      <c r="R420" s="414"/>
      <c r="S420" s="414"/>
      <c r="T420" s="414"/>
      <c r="U420" s="414"/>
    </row>
    <row r="421">
      <c r="A421" s="414"/>
      <c r="B421" s="414"/>
      <c r="C421" s="414"/>
      <c r="D421" s="414"/>
      <c r="E421" s="414"/>
      <c r="F421" s="414"/>
      <c r="G421" s="414"/>
      <c r="H421" s="414"/>
      <c r="I421" s="414"/>
      <c r="J421" s="414"/>
      <c r="K421" s="414"/>
      <c r="L421" s="414"/>
      <c r="M421" s="414"/>
      <c r="N421" s="414"/>
      <c r="O421" s="414"/>
      <c r="P421" s="414"/>
      <c r="Q421" s="414"/>
      <c r="R421" s="414"/>
      <c r="S421" s="414"/>
      <c r="T421" s="414"/>
      <c r="U421" s="414"/>
    </row>
    <row r="422">
      <c r="A422" s="414"/>
      <c r="B422" s="414"/>
      <c r="C422" s="414"/>
      <c r="D422" s="414"/>
      <c r="E422" s="414"/>
      <c r="F422" s="414"/>
      <c r="G422" s="414"/>
      <c r="H422" s="414"/>
      <c r="I422" s="414"/>
      <c r="J422" s="414"/>
      <c r="K422" s="414"/>
      <c r="L422" s="414"/>
      <c r="M422" s="414"/>
      <c r="N422" s="414"/>
      <c r="O422" s="414"/>
      <c r="P422" s="414"/>
      <c r="Q422" s="414"/>
      <c r="R422" s="414"/>
      <c r="S422" s="414"/>
      <c r="T422" s="414"/>
      <c r="U422" s="414"/>
    </row>
    <row r="423">
      <c r="A423" s="414"/>
      <c r="B423" s="414"/>
      <c r="C423" s="414"/>
      <c r="D423" s="414"/>
      <c r="E423" s="414"/>
      <c r="F423" s="414"/>
      <c r="G423" s="414"/>
      <c r="H423" s="414"/>
      <c r="I423" s="414"/>
      <c r="J423" s="414"/>
      <c r="K423" s="414"/>
      <c r="L423" s="414"/>
      <c r="M423" s="414"/>
      <c r="N423" s="414"/>
      <c r="O423" s="414"/>
      <c r="P423" s="414"/>
      <c r="Q423" s="414"/>
      <c r="R423" s="414"/>
      <c r="S423" s="414"/>
      <c r="T423" s="414"/>
      <c r="U423" s="414"/>
    </row>
    <row r="424">
      <c r="A424" s="414"/>
      <c r="B424" s="414"/>
      <c r="C424" s="414"/>
      <c r="D424" s="414"/>
      <c r="E424" s="414"/>
      <c r="F424" s="414"/>
      <c r="G424" s="414"/>
      <c r="H424" s="414"/>
      <c r="I424" s="414"/>
      <c r="J424" s="414"/>
      <c r="K424" s="414"/>
      <c r="L424" s="414"/>
      <c r="M424" s="414"/>
      <c r="N424" s="414"/>
      <c r="O424" s="414"/>
      <c r="P424" s="414"/>
      <c r="Q424" s="414"/>
      <c r="R424" s="414"/>
      <c r="S424" s="414"/>
      <c r="T424" s="414"/>
      <c r="U424" s="414"/>
    </row>
    <row r="425">
      <c r="A425" s="414"/>
      <c r="B425" s="414"/>
      <c r="C425" s="414"/>
      <c r="D425" s="414"/>
      <c r="E425" s="414"/>
      <c r="F425" s="414"/>
      <c r="G425" s="414"/>
      <c r="H425" s="414"/>
      <c r="I425" s="414"/>
      <c r="J425" s="414"/>
      <c r="K425" s="414"/>
      <c r="L425" s="414"/>
      <c r="M425" s="414"/>
      <c r="N425" s="414"/>
      <c r="O425" s="414"/>
      <c r="P425" s="414"/>
      <c r="Q425" s="414"/>
      <c r="R425" s="414"/>
      <c r="S425" s="414"/>
      <c r="T425" s="414"/>
      <c r="U425" s="414"/>
    </row>
    <row r="426">
      <c r="A426" s="414"/>
      <c r="B426" s="414"/>
      <c r="C426" s="414"/>
      <c r="D426" s="414"/>
      <c r="E426" s="414"/>
      <c r="F426" s="414"/>
      <c r="G426" s="414"/>
      <c r="H426" s="414"/>
      <c r="I426" s="414"/>
      <c r="J426" s="414"/>
      <c r="K426" s="414"/>
      <c r="L426" s="414"/>
      <c r="M426" s="414"/>
      <c r="N426" s="414"/>
      <c r="O426" s="414"/>
      <c r="P426" s="414"/>
      <c r="Q426" s="414"/>
      <c r="R426" s="414"/>
      <c r="S426" s="414"/>
      <c r="T426" s="414"/>
      <c r="U426" s="414"/>
    </row>
    <row r="427">
      <c r="A427" s="414"/>
      <c r="B427" s="414"/>
      <c r="C427" s="414"/>
      <c r="D427" s="414"/>
      <c r="E427" s="414"/>
      <c r="F427" s="414"/>
      <c r="G427" s="414"/>
      <c r="H427" s="414"/>
      <c r="I427" s="414"/>
      <c r="J427" s="414"/>
      <c r="K427" s="414"/>
      <c r="L427" s="414"/>
      <c r="M427" s="414"/>
      <c r="N427" s="414"/>
      <c r="O427" s="414"/>
      <c r="P427" s="414"/>
      <c r="Q427" s="414"/>
      <c r="R427" s="414"/>
      <c r="S427" s="414"/>
      <c r="T427" s="414"/>
      <c r="U427" s="414"/>
    </row>
    <row r="428">
      <c r="A428" s="414"/>
      <c r="B428" s="414"/>
      <c r="C428" s="414"/>
      <c r="D428" s="414"/>
      <c r="E428" s="414"/>
      <c r="F428" s="414"/>
      <c r="G428" s="414"/>
      <c r="H428" s="414"/>
      <c r="I428" s="414"/>
      <c r="J428" s="414"/>
      <c r="K428" s="414"/>
      <c r="L428" s="414"/>
      <c r="M428" s="414"/>
      <c r="N428" s="414"/>
      <c r="O428" s="414"/>
      <c r="P428" s="414"/>
      <c r="Q428" s="414"/>
      <c r="R428" s="414"/>
      <c r="S428" s="414"/>
      <c r="T428" s="414"/>
      <c r="U428" s="414"/>
    </row>
    <row r="429">
      <c r="A429" s="414"/>
      <c r="B429" s="414"/>
      <c r="C429" s="414"/>
      <c r="D429" s="414"/>
      <c r="E429" s="414"/>
      <c r="F429" s="414"/>
      <c r="G429" s="414"/>
      <c r="H429" s="414"/>
      <c r="I429" s="414"/>
      <c r="J429" s="414"/>
      <c r="K429" s="414"/>
      <c r="L429" s="414"/>
      <c r="M429" s="414"/>
      <c r="N429" s="414"/>
      <c r="O429" s="414"/>
      <c r="P429" s="414"/>
      <c r="Q429" s="414"/>
      <c r="R429" s="414"/>
      <c r="S429" s="414"/>
      <c r="T429" s="414"/>
      <c r="U429" s="414"/>
    </row>
    <row r="430">
      <c r="A430" s="414"/>
      <c r="B430" s="414"/>
      <c r="C430" s="414"/>
      <c r="D430" s="414"/>
      <c r="E430" s="414"/>
      <c r="F430" s="414"/>
      <c r="G430" s="414"/>
      <c r="H430" s="414"/>
      <c r="I430" s="414"/>
      <c r="J430" s="414"/>
      <c r="K430" s="414"/>
      <c r="L430" s="414"/>
      <c r="M430" s="414"/>
      <c r="N430" s="414"/>
      <c r="O430" s="414"/>
      <c r="P430" s="414"/>
      <c r="Q430" s="414"/>
      <c r="R430" s="414"/>
      <c r="S430" s="414"/>
      <c r="T430" s="414"/>
      <c r="U430" s="414"/>
    </row>
    <row r="431">
      <c r="A431" s="414"/>
      <c r="B431" s="414"/>
      <c r="C431" s="414"/>
      <c r="D431" s="414"/>
      <c r="E431" s="414"/>
      <c r="F431" s="414"/>
      <c r="G431" s="414"/>
      <c r="H431" s="414"/>
      <c r="I431" s="414"/>
      <c r="J431" s="414"/>
      <c r="K431" s="414"/>
      <c r="L431" s="414"/>
      <c r="M431" s="414"/>
      <c r="N431" s="414"/>
      <c r="O431" s="414"/>
      <c r="P431" s="414"/>
      <c r="Q431" s="414"/>
      <c r="R431" s="414"/>
      <c r="S431" s="414"/>
      <c r="T431" s="414"/>
      <c r="U431" s="414"/>
    </row>
    <row r="432">
      <c r="A432" s="414"/>
      <c r="B432" s="414"/>
      <c r="C432" s="414"/>
      <c r="D432" s="414"/>
      <c r="E432" s="414"/>
      <c r="F432" s="414"/>
      <c r="G432" s="414"/>
      <c r="H432" s="414"/>
      <c r="I432" s="414"/>
      <c r="J432" s="414"/>
      <c r="K432" s="414"/>
      <c r="L432" s="414"/>
      <c r="M432" s="414"/>
      <c r="N432" s="414"/>
      <c r="O432" s="414"/>
      <c r="P432" s="414"/>
      <c r="Q432" s="414"/>
      <c r="R432" s="414"/>
      <c r="S432" s="414"/>
      <c r="T432" s="414"/>
      <c r="U432" s="414"/>
    </row>
    <row r="433">
      <c r="A433" s="414"/>
      <c r="B433" s="414"/>
      <c r="C433" s="414"/>
      <c r="D433" s="414"/>
      <c r="E433" s="414"/>
      <c r="F433" s="414"/>
      <c r="G433" s="414"/>
      <c r="H433" s="414"/>
      <c r="I433" s="414"/>
      <c r="J433" s="414"/>
      <c r="K433" s="414"/>
      <c r="L433" s="414"/>
      <c r="M433" s="414"/>
      <c r="N433" s="414"/>
      <c r="O433" s="414"/>
      <c r="P433" s="414"/>
      <c r="Q433" s="414"/>
      <c r="R433" s="414"/>
      <c r="S433" s="414"/>
      <c r="T433" s="414"/>
      <c r="U433" s="414"/>
    </row>
    <row r="434">
      <c r="A434" s="414"/>
      <c r="B434" s="414"/>
      <c r="C434" s="414"/>
      <c r="D434" s="414"/>
      <c r="E434" s="414"/>
      <c r="F434" s="414"/>
      <c r="G434" s="414"/>
      <c r="H434" s="414"/>
      <c r="I434" s="414"/>
      <c r="J434" s="414"/>
      <c r="K434" s="414"/>
      <c r="L434" s="414"/>
      <c r="M434" s="414"/>
      <c r="N434" s="414"/>
      <c r="O434" s="414"/>
      <c r="P434" s="414"/>
      <c r="Q434" s="414"/>
      <c r="R434" s="414"/>
      <c r="S434" s="414"/>
      <c r="T434" s="414"/>
      <c r="U434" s="414"/>
    </row>
    <row r="435">
      <c r="A435" s="414"/>
      <c r="B435" s="414"/>
      <c r="C435" s="414"/>
      <c r="D435" s="414"/>
      <c r="E435" s="414"/>
      <c r="F435" s="414"/>
      <c r="G435" s="414"/>
      <c r="H435" s="414"/>
      <c r="I435" s="414"/>
      <c r="J435" s="414"/>
      <c r="K435" s="414"/>
      <c r="L435" s="414"/>
      <c r="M435" s="414"/>
      <c r="N435" s="414"/>
      <c r="O435" s="414"/>
      <c r="P435" s="414"/>
      <c r="Q435" s="414"/>
      <c r="R435" s="414"/>
      <c r="S435" s="414"/>
      <c r="T435" s="414"/>
      <c r="U435" s="414"/>
    </row>
    <row r="436">
      <c r="A436" s="414"/>
      <c r="B436" s="414"/>
      <c r="C436" s="414"/>
      <c r="D436" s="414"/>
      <c r="E436" s="414"/>
      <c r="F436" s="414"/>
      <c r="G436" s="414"/>
      <c r="H436" s="414"/>
      <c r="I436" s="414"/>
      <c r="J436" s="414"/>
      <c r="K436" s="414"/>
      <c r="L436" s="414"/>
      <c r="M436" s="414"/>
      <c r="N436" s="414"/>
      <c r="O436" s="414"/>
      <c r="P436" s="414"/>
      <c r="Q436" s="414"/>
      <c r="R436" s="414"/>
      <c r="S436" s="414"/>
      <c r="T436" s="414"/>
      <c r="U436" s="414"/>
    </row>
    <row r="437">
      <c r="A437" s="414"/>
      <c r="B437" s="414"/>
      <c r="C437" s="414"/>
      <c r="D437" s="414"/>
      <c r="E437" s="414"/>
      <c r="F437" s="414"/>
      <c r="G437" s="414"/>
      <c r="H437" s="414"/>
      <c r="I437" s="414"/>
      <c r="J437" s="414"/>
      <c r="K437" s="414"/>
      <c r="L437" s="414"/>
      <c r="M437" s="414"/>
      <c r="N437" s="414"/>
      <c r="O437" s="414"/>
      <c r="P437" s="414"/>
      <c r="Q437" s="414"/>
      <c r="R437" s="414"/>
      <c r="S437" s="414"/>
      <c r="T437" s="414"/>
      <c r="U437" s="414"/>
    </row>
    <row r="438">
      <c r="A438" s="414"/>
      <c r="B438" s="414"/>
      <c r="C438" s="414"/>
      <c r="D438" s="414"/>
      <c r="E438" s="414"/>
      <c r="F438" s="414"/>
      <c r="G438" s="414"/>
      <c r="H438" s="414"/>
      <c r="I438" s="414"/>
      <c r="J438" s="414"/>
      <c r="K438" s="414"/>
      <c r="L438" s="414"/>
      <c r="M438" s="414"/>
      <c r="N438" s="414"/>
      <c r="O438" s="414"/>
      <c r="P438" s="414"/>
      <c r="Q438" s="414"/>
      <c r="R438" s="414"/>
      <c r="S438" s="414"/>
      <c r="T438" s="414"/>
      <c r="U438" s="414"/>
    </row>
    <row r="439">
      <c r="A439" s="414"/>
      <c r="B439" s="414"/>
      <c r="C439" s="414"/>
      <c r="D439" s="414"/>
      <c r="E439" s="414"/>
      <c r="F439" s="414"/>
      <c r="G439" s="414"/>
      <c r="H439" s="414"/>
      <c r="I439" s="414"/>
      <c r="J439" s="414"/>
      <c r="K439" s="414"/>
      <c r="L439" s="414"/>
      <c r="M439" s="414"/>
      <c r="N439" s="414"/>
      <c r="O439" s="414"/>
      <c r="P439" s="414"/>
      <c r="Q439" s="414"/>
      <c r="R439" s="414"/>
      <c r="S439" s="414"/>
      <c r="T439" s="414"/>
      <c r="U439" s="414"/>
    </row>
    <row r="440">
      <c r="A440" s="414"/>
      <c r="B440" s="414"/>
      <c r="C440" s="414"/>
      <c r="D440" s="414"/>
      <c r="E440" s="414"/>
      <c r="F440" s="414"/>
      <c r="G440" s="414"/>
      <c r="H440" s="414"/>
      <c r="I440" s="414"/>
      <c r="J440" s="414"/>
      <c r="K440" s="414"/>
      <c r="L440" s="414"/>
      <c r="M440" s="414"/>
      <c r="N440" s="414"/>
      <c r="O440" s="414"/>
      <c r="P440" s="414"/>
      <c r="Q440" s="414"/>
      <c r="R440" s="414"/>
      <c r="S440" s="414"/>
      <c r="T440" s="414"/>
      <c r="U440" s="414"/>
    </row>
    <row r="441">
      <c r="A441" s="414"/>
      <c r="B441" s="414"/>
      <c r="C441" s="414"/>
      <c r="D441" s="414"/>
      <c r="E441" s="414"/>
      <c r="F441" s="414"/>
      <c r="G441" s="414"/>
      <c r="H441" s="414"/>
      <c r="I441" s="414"/>
      <c r="J441" s="414"/>
      <c r="K441" s="414"/>
      <c r="L441" s="414"/>
      <c r="M441" s="414"/>
      <c r="N441" s="414"/>
      <c r="O441" s="414"/>
      <c r="P441" s="414"/>
      <c r="Q441" s="414"/>
      <c r="R441" s="414"/>
      <c r="S441" s="414"/>
      <c r="T441" s="414"/>
      <c r="U441" s="414"/>
    </row>
    <row r="442">
      <c r="A442" s="414"/>
      <c r="B442" s="414"/>
      <c r="C442" s="414"/>
      <c r="D442" s="414"/>
      <c r="E442" s="414"/>
      <c r="F442" s="414"/>
      <c r="G442" s="414"/>
      <c r="H442" s="414"/>
      <c r="I442" s="414"/>
      <c r="J442" s="414"/>
      <c r="K442" s="414"/>
      <c r="L442" s="414"/>
      <c r="M442" s="414"/>
      <c r="N442" s="414"/>
      <c r="O442" s="414"/>
      <c r="P442" s="414"/>
      <c r="Q442" s="414"/>
      <c r="R442" s="414"/>
      <c r="S442" s="414"/>
      <c r="T442" s="414"/>
      <c r="U442" s="414"/>
    </row>
    <row r="443">
      <c r="A443" s="414"/>
      <c r="B443" s="414"/>
      <c r="C443" s="414"/>
      <c r="D443" s="414"/>
      <c r="E443" s="414"/>
      <c r="F443" s="414"/>
      <c r="G443" s="414"/>
      <c r="H443" s="414"/>
      <c r="I443" s="414"/>
      <c r="J443" s="414"/>
      <c r="K443" s="414"/>
      <c r="L443" s="414"/>
      <c r="M443" s="414"/>
      <c r="N443" s="414"/>
      <c r="O443" s="414"/>
      <c r="P443" s="414"/>
      <c r="Q443" s="414"/>
      <c r="R443" s="414"/>
      <c r="S443" s="414"/>
      <c r="T443" s="414"/>
      <c r="U443" s="414"/>
    </row>
    <row r="444">
      <c r="A444" s="414"/>
      <c r="B444" s="414"/>
      <c r="C444" s="414"/>
      <c r="D444" s="414"/>
      <c r="E444" s="414"/>
      <c r="F444" s="414"/>
      <c r="G444" s="414"/>
      <c r="H444" s="414"/>
      <c r="I444" s="414"/>
      <c r="J444" s="414"/>
      <c r="K444" s="414"/>
      <c r="L444" s="414"/>
      <c r="M444" s="414"/>
      <c r="N444" s="414"/>
      <c r="O444" s="414"/>
      <c r="P444" s="414"/>
      <c r="Q444" s="414"/>
      <c r="R444" s="414"/>
      <c r="S444" s="414"/>
      <c r="T444" s="414"/>
      <c r="U444" s="414"/>
    </row>
    <row r="445">
      <c r="A445" s="414"/>
      <c r="B445" s="414"/>
      <c r="C445" s="414"/>
      <c r="D445" s="414"/>
      <c r="E445" s="414"/>
      <c r="F445" s="414"/>
      <c r="G445" s="414"/>
      <c r="H445" s="414"/>
      <c r="I445" s="414"/>
      <c r="J445" s="414"/>
      <c r="K445" s="414"/>
      <c r="L445" s="414"/>
      <c r="M445" s="414"/>
      <c r="N445" s="414"/>
      <c r="O445" s="414"/>
      <c r="P445" s="414"/>
      <c r="Q445" s="414"/>
      <c r="R445" s="414"/>
      <c r="S445" s="414"/>
      <c r="T445" s="414"/>
      <c r="U445" s="414"/>
    </row>
    <row r="446">
      <c r="A446" s="414"/>
      <c r="B446" s="414"/>
      <c r="C446" s="414"/>
      <c r="D446" s="414"/>
      <c r="E446" s="414"/>
      <c r="F446" s="414"/>
      <c r="G446" s="414"/>
      <c r="H446" s="414"/>
      <c r="I446" s="414"/>
      <c r="J446" s="414"/>
      <c r="K446" s="414"/>
      <c r="L446" s="414"/>
      <c r="M446" s="414"/>
      <c r="N446" s="414"/>
      <c r="O446" s="414"/>
      <c r="P446" s="414"/>
      <c r="Q446" s="414"/>
      <c r="R446" s="414"/>
      <c r="S446" s="414"/>
      <c r="T446" s="414"/>
      <c r="U446" s="414"/>
    </row>
    <row r="447">
      <c r="A447" s="414"/>
      <c r="B447" s="414"/>
      <c r="C447" s="414"/>
      <c r="D447" s="414"/>
      <c r="E447" s="414"/>
      <c r="F447" s="414"/>
      <c r="G447" s="414"/>
      <c r="H447" s="414"/>
      <c r="I447" s="414"/>
      <c r="J447" s="414"/>
      <c r="K447" s="414"/>
      <c r="L447" s="414"/>
      <c r="M447" s="414"/>
      <c r="N447" s="414"/>
      <c r="O447" s="414"/>
      <c r="P447" s="414"/>
      <c r="Q447" s="414"/>
      <c r="R447" s="414"/>
      <c r="S447" s="414"/>
      <c r="T447" s="414"/>
      <c r="U447" s="414"/>
    </row>
    <row r="448">
      <c r="A448" s="414"/>
      <c r="B448" s="414"/>
      <c r="C448" s="414"/>
      <c r="D448" s="414"/>
      <c r="E448" s="414"/>
      <c r="F448" s="414"/>
      <c r="G448" s="414"/>
      <c r="H448" s="414"/>
      <c r="I448" s="414"/>
      <c r="J448" s="414"/>
      <c r="K448" s="414"/>
      <c r="L448" s="414"/>
      <c r="M448" s="414"/>
      <c r="N448" s="414"/>
      <c r="O448" s="414"/>
      <c r="P448" s="414"/>
      <c r="Q448" s="414"/>
      <c r="R448" s="414"/>
      <c r="S448" s="414"/>
      <c r="T448" s="414"/>
      <c r="U448" s="414"/>
    </row>
    <row r="449">
      <c r="A449" s="414"/>
      <c r="B449" s="414"/>
      <c r="C449" s="414"/>
      <c r="D449" s="414"/>
      <c r="E449" s="414"/>
      <c r="F449" s="414"/>
      <c r="G449" s="414"/>
      <c r="H449" s="414"/>
      <c r="I449" s="414"/>
      <c r="J449" s="414"/>
      <c r="K449" s="414"/>
      <c r="L449" s="414"/>
      <c r="M449" s="414"/>
      <c r="N449" s="414"/>
      <c r="O449" s="414"/>
      <c r="P449" s="414"/>
      <c r="Q449" s="414"/>
      <c r="R449" s="414"/>
      <c r="S449" s="414"/>
      <c r="T449" s="414"/>
      <c r="U449" s="414"/>
    </row>
    <row r="450">
      <c r="A450" s="414"/>
      <c r="B450" s="414"/>
      <c r="C450" s="414"/>
      <c r="D450" s="414"/>
      <c r="E450" s="414"/>
      <c r="F450" s="414"/>
      <c r="G450" s="414"/>
      <c r="H450" s="414"/>
      <c r="I450" s="414"/>
      <c r="J450" s="414"/>
      <c r="K450" s="414"/>
      <c r="L450" s="414"/>
      <c r="M450" s="414"/>
      <c r="N450" s="414"/>
      <c r="O450" s="414"/>
      <c r="P450" s="414"/>
      <c r="Q450" s="414"/>
      <c r="R450" s="414"/>
      <c r="S450" s="414"/>
      <c r="T450" s="414"/>
      <c r="U450" s="414"/>
    </row>
    <row r="451">
      <c r="A451" s="414"/>
      <c r="B451" s="414"/>
      <c r="C451" s="414"/>
      <c r="D451" s="414"/>
      <c r="E451" s="414"/>
      <c r="F451" s="414"/>
      <c r="G451" s="414"/>
      <c r="H451" s="414"/>
      <c r="I451" s="414"/>
      <c r="J451" s="414"/>
      <c r="K451" s="414"/>
      <c r="L451" s="414"/>
      <c r="M451" s="414"/>
      <c r="N451" s="414"/>
      <c r="O451" s="414"/>
      <c r="P451" s="414"/>
      <c r="Q451" s="414"/>
      <c r="R451" s="414"/>
      <c r="S451" s="414"/>
      <c r="T451" s="414"/>
      <c r="U451" s="414"/>
    </row>
    <row r="452">
      <c r="A452" s="414"/>
      <c r="B452" s="414"/>
      <c r="C452" s="414"/>
      <c r="D452" s="414"/>
      <c r="E452" s="414"/>
      <c r="F452" s="414"/>
      <c r="G452" s="414"/>
      <c r="H452" s="414"/>
      <c r="I452" s="414"/>
      <c r="J452" s="414"/>
      <c r="K452" s="414"/>
      <c r="L452" s="414"/>
      <c r="M452" s="414"/>
      <c r="N452" s="414"/>
      <c r="O452" s="414"/>
      <c r="P452" s="414"/>
      <c r="Q452" s="414"/>
      <c r="R452" s="414"/>
      <c r="S452" s="414"/>
      <c r="T452" s="414"/>
      <c r="U452" s="414"/>
    </row>
    <row r="453">
      <c r="A453" s="414"/>
      <c r="B453" s="414"/>
      <c r="C453" s="414"/>
      <c r="D453" s="414"/>
      <c r="E453" s="414"/>
      <c r="F453" s="414"/>
      <c r="G453" s="414"/>
      <c r="H453" s="414"/>
      <c r="I453" s="414"/>
      <c r="J453" s="414"/>
      <c r="K453" s="414"/>
      <c r="L453" s="414"/>
      <c r="M453" s="414"/>
      <c r="N453" s="414"/>
      <c r="O453" s="414"/>
      <c r="P453" s="414"/>
      <c r="Q453" s="414"/>
      <c r="R453" s="414"/>
      <c r="S453" s="414"/>
      <c r="T453" s="414"/>
      <c r="U453" s="414"/>
    </row>
    <row r="454">
      <c r="A454" s="414"/>
      <c r="B454" s="414"/>
      <c r="C454" s="414"/>
      <c r="D454" s="414"/>
      <c r="E454" s="414"/>
      <c r="F454" s="414"/>
      <c r="G454" s="414"/>
      <c r="H454" s="414"/>
      <c r="I454" s="414"/>
      <c r="J454" s="414"/>
      <c r="K454" s="414"/>
      <c r="L454" s="414"/>
      <c r="M454" s="414"/>
      <c r="N454" s="414"/>
      <c r="O454" s="414"/>
      <c r="P454" s="414"/>
      <c r="Q454" s="414"/>
      <c r="R454" s="414"/>
      <c r="S454" s="414"/>
      <c r="T454" s="414"/>
      <c r="U454" s="414"/>
    </row>
    <row r="455">
      <c r="A455" s="414"/>
      <c r="B455" s="414"/>
      <c r="C455" s="414"/>
      <c r="D455" s="414"/>
      <c r="E455" s="414"/>
      <c r="F455" s="414"/>
      <c r="G455" s="414"/>
      <c r="H455" s="414"/>
      <c r="I455" s="414"/>
      <c r="J455" s="414"/>
      <c r="K455" s="414"/>
      <c r="L455" s="414"/>
      <c r="M455" s="414"/>
      <c r="N455" s="414"/>
      <c r="O455" s="414"/>
      <c r="P455" s="414"/>
      <c r="Q455" s="414"/>
      <c r="R455" s="414"/>
      <c r="S455" s="414"/>
      <c r="T455" s="414"/>
      <c r="U455" s="414"/>
    </row>
    <row r="456">
      <c r="A456" s="414"/>
      <c r="B456" s="414"/>
      <c r="C456" s="414"/>
      <c r="D456" s="414"/>
      <c r="E456" s="414"/>
      <c r="F456" s="414"/>
      <c r="G456" s="414"/>
      <c r="H456" s="414"/>
      <c r="I456" s="414"/>
      <c r="J456" s="414"/>
      <c r="K456" s="414"/>
      <c r="L456" s="414"/>
      <c r="M456" s="414"/>
      <c r="N456" s="414"/>
      <c r="O456" s="414"/>
      <c r="P456" s="414"/>
      <c r="Q456" s="414"/>
      <c r="R456" s="414"/>
      <c r="S456" s="414"/>
      <c r="T456" s="414"/>
      <c r="U456" s="414"/>
    </row>
    <row r="457">
      <c r="A457" s="414"/>
      <c r="B457" s="414"/>
      <c r="C457" s="414"/>
      <c r="D457" s="414"/>
      <c r="E457" s="414"/>
      <c r="F457" s="414"/>
      <c r="G457" s="414"/>
      <c r="H457" s="414"/>
      <c r="I457" s="414"/>
      <c r="J457" s="414"/>
      <c r="K457" s="414"/>
      <c r="L457" s="414"/>
      <c r="M457" s="414"/>
      <c r="N457" s="414"/>
      <c r="O457" s="414"/>
      <c r="P457" s="414"/>
      <c r="Q457" s="414"/>
      <c r="R457" s="414"/>
      <c r="S457" s="414"/>
      <c r="T457" s="414"/>
      <c r="U457" s="414"/>
    </row>
    <row r="458">
      <c r="A458" s="414"/>
      <c r="B458" s="414"/>
      <c r="C458" s="414"/>
      <c r="D458" s="414"/>
      <c r="E458" s="414"/>
      <c r="F458" s="414"/>
      <c r="G458" s="414"/>
      <c r="H458" s="414"/>
      <c r="I458" s="414"/>
      <c r="J458" s="414"/>
      <c r="K458" s="414"/>
      <c r="L458" s="414"/>
      <c r="M458" s="414"/>
      <c r="N458" s="414"/>
      <c r="O458" s="414"/>
      <c r="P458" s="414"/>
      <c r="Q458" s="414"/>
      <c r="R458" s="414"/>
      <c r="S458" s="414"/>
      <c r="T458" s="414"/>
      <c r="U458" s="414"/>
    </row>
    <row r="459">
      <c r="A459" s="414"/>
      <c r="B459" s="414"/>
      <c r="C459" s="414"/>
      <c r="D459" s="414"/>
      <c r="E459" s="414"/>
      <c r="F459" s="414"/>
      <c r="G459" s="414"/>
      <c r="H459" s="414"/>
      <c r="I459" s="414"/>
      <c r="J459" s="414"/>
      <c r="K459" s="414"/>
      <c r="L459" s="414"/>
      <c r="M459" s="414"/>
      <c r="N459" s="414"/>
      <c r="O459" s="414"/>
      <c r="P459" s="414"/>
      <c r="Q459" s="414"/>
      <c r="R459" s="414"/>
      <c r="S459" s="414"/>
      <c r="T459" s="414"/>
      <c r="U459" s="414"/>
    </row>
    <row r="460">
      <c r="A460" s="414"/>
      <c r="B460" s="414"/>
      <c r="C460" s="414"/>
      <c r="D460" s="414"/>
      <c r="E460" s="414"/>
      <c r="F460" s="414"/>
      <c r="G460" s="414"/>
      <c r="H460" s="414"/>
      <c r="I460" s="414"/>
      <c r="J460" s="414"/>
      <c r="K460" s="414"/>
      <c r="L460" s="414"/>
      <c r="M460" s="414"/>
      <c r="N460" s="414"/>
      <c r="O460" s="414"/>
      <c r="P460" s="414"/>
      <c r="Q460" s="414"/>
      <c r="R460" s="414"/>
      <c r="S460" s="414"/>
      <c r="T460" s="414"/>
      <c r="U460" s="414"/>
    </row>
    <row r="461">
      <c r="A461" s="414"/>
      <c r="B461" s="414"/>
      <c r="C461" s="414"/>
      <c r="D461" s="414"/>
      <c r="E461" s="414"/>
      <c r="F461" s="414"/>
      <c r="G461" s="414"/>
      <c r="H461" s="414"/>
      <c r="I461" s="414"/>
      <c r="J461" s="414"/>
      <c r="K461" s="414"/>
      <c r="L461" s="414"/>
      <c r="M461" s="414"/>
      <c r="N461" s="414"/>
      <c r="O461" s="414"/>
      <c r="P461" s="414"/>
      <c r="Q461" s="414"/>
      <c r="R461" s="414"/>
      <c r="S461" s="414"/>
      <c r="T461" s="414"/>
      <c r="U461" s="414"/>
    </row>
    <row r="462">
      <c r="A462" s="414"/>
      <c r="B462" s="414"/>
      <c r="C462" s="414"/>
      <c r="D462" s="414"/>
      <c r="E462" s="414"/>
      <c r="F462" s="414"/>
      <c r="G462" s="414"/>
      <c r="H462" s="414"/>
      <c r="I462" s="414"/>
      <c r="J462" s="414"/>
      <c r="K462" s="414"/>
      <c r="L462" s="414"/>
      <c r="M462" s="414"/>
      <c r="N462" s="414"/>
      <c r="O462" s="414"/>
      <c r="P462" s="414"/>
      <c r="Q462" s="414"/>
      <c r="R462" s="414"/>
      <c r="S462" s="414"/>
      <c r="T462" s="414"/>
      <c r="U462" s="414"/>
    </row>
    <row r="463">
      <c r="A463" s="414"/>
      <c r="B463" s="414"/>
      <c r="C463" s="414"/>
      <c r="D463" s="414"/>
      <c r="E463" s="414"/>
      <c r="F463" s="414"/>
      <c r="G463" s="414"/>
      <c r="H463" s="414"/>
      <c r="I463" s="414"/>
      <c r="J463" s="414"/>
      <c r="K463" s="414"/>
      <c r="L463" s="414"/>
      <c r="M463" s="414"/>
      <c r="N463" s="414"/>
      <c r="O463" s="414"/>
      <c r="P463" s="414"/>
      <c r="Q463" s="414"/>
      <c r="R463" s="414"/>
      <c r="S463" s="414"/>
      <c r="T463" s="414"/>
      <c r="U463" s="414"/>
    </row>
    <row r="464">
      <c r="A464" s="414"/>
      <c r="B464" s="414"/>
      <c r="C464" s="414"/>
      <c r="D464" s="414"/>
      <c r="E464" s="414"/>
      <c r="F464" s="414"/>
      <c r="G464" s="414"/>
      <c r="H464" s="414"/>
      <c r="I464" s="414"/>
      <c r="J464" s="414"/>
      <c r="K464" s="414"/>
      <c r="L464" s="414"/>
      <c r="M464" s="414"/>
      <c r="N464" s="414"/>
      <c r="O464" s="414"/>
      <c r="P464" s="414"/>
      <c r="Q464" s="414"/>
      <c r="R464" s="414"/>
      <c r="S464" s="414"/>
      <c r="T464" s="414"/>
      <c r="U464" s="414"/>
    </row>
    <row r="465">
      <c r="A465" s="414"/>
      <c r="B465" s="414"/>
      <c r="C465" s="414"/>
      <c r="D465" s="414"/>
      <c r="E465" s="414"/>
      <c r="F465" s="414"/>
      <c r="G465" s="414"/>
      <c r="H465" s="414"/>
      <c r="I465" s="414"/>
      <c r="J465" s="414"/>
      <c r="K465" s="414"/>
      <c r="L465" s="414"/>
      <c r="M465" s="414"/>
      <c r="N465" s="414"/>
      <c r="O465" s="414"/>
      <c r="P465" s="414"/>
      <c r="Q465" s="414"/>
      <c r="R465" s="414"/>
      <c r="S465" s="414"/>
      <c r="T465" s="414"/>
      <c r="U465" s="414"/>
    </row>
    <row r="466">
      <c r="A466" s="414"/>
      <c r="B466" s="414"/>
      <c r="C466" s="414"/>
      <c r="D466" s="414"/>
      <c r="E466" s="414"/>
      <c r="F466" s="414"/>
      <c r="G466" s="414"/>
      <c r="H466" s="414"/>
      <c r="I466" s="414"/>
      <c r="J466" s="414"/>
      <c r="K466" s="414"/>
      <c r="L466" s="414"/>
      <c r="M466" s="414"/>
      <c r="N466" s="414"/>
      <c r="O466" s="414"/>
      <c r="P466" s="414"/>
      <c r="Q466" s="414"/>
      <c r="R466" s="414"/>
      <c r="S466" s="414"/>
      <c r="T466" s="414"/>
      <c r="U466" s="414"/>
    </row>
    <row r="467">
      <c r="A467" s="414"/>
      <c r="B467" s="414"/>
      <c r="C467" s="414"/>
      <c r="D467" s="414"/>
      <c r="E467" s="414"/>
      <c r="F467" s="414"/>
      <c r="G467" s="414"/>
      <c r="H467" s="414"/>
      <c r="I467" s="414"/>
      <c r="J467" s="414"/>
      <c r="K467" s="414"/>
      <c r="L467" s="414"/>
      <c r="M467" s="414"/>
      <c r="N467" s="414"/>
      <c r="O467" s="414"/>
      <c r="P467" s="414"/>
      <c r="Q467" s="414"/>
      <c r="R467" s="414"/>
      <c r="S467" s="414"/>
      <c r="T467" s="414"/>
      <c r="U467" s="414"/>
    </row>
    <row r="468">
      <c r="A468" s="414"/>
      <c r="B468" s="414"/>
      <c r="C468" s="414"/>
      <c r="D468" s="414"/>
      <c r="E468" s="414"/>
      <c r="F468" s="414"/>
      <c r="G468" s="414"/>
      <c r="H468" s="414"/>
      <c r="I468" s="414"/>
      <c r="J468" s="414"/>
      <c r="K468" s="414"/>
      <c r="L468" s="414"/>
      <c r="M468" s="414"/>
      <c r="N468" s="414"/>
      <c r="O468" s="414"/>
      <c r="P468" s="414"/>
      <c r="Q468" s="414"/>
      <c r="R468" s="414"/>
      <c r="S468" s="414"/>
      <c r="T468" s="414"/>
      <c r="U468" s="414"/>
    </row>
    <row r="469">
      <c r="A469" s="414"/>
      <c r="B469" s="414"/>
      <c r="C469" s="414"/>
      <c r="D469" s="414"/>
      <c r="E469" s="414"/>
      <c r="F469" s="414"/>
      <c r="G469" s="414"/>
      <c r="H469" s="414"/>
      <c r="I469" s="414"/>
      <c r="J469" s="414"/>
      <c r="K469" s="414"/>
      <c r="L469" s="414"/>
      <c r="M469" s="414"/>
      <c r="N469" s="414"/>
      <c r="O469" s="414"/>
      <c r="P469" s="414"/>
      <c r="Q469" s="414"/>
      <c r="R469" s="414"/>
      <c r="S469" s="414"/>
      <c r="T469" s="414"/>
      <c r="U469" s="414"/>
    </row>
    <row r="470">
      <c r="A470" s="414"/>
      <c r="B470" s="414"/>
      <c r="C470" s="414"/>
      <c r="D470" s="414"/>
      <c r="E470" s="414"/>
      <c r="F470" s="414"/>
      <c r="G470" s="414"/>
      <c r="H470" s="414"/>
      <c r="I470" s="414"/>
      <c r="J470" s="414"/>
      <c r="K470" s="414"/>
      <c r="L470" s="414"/>
      <c r="M470" s="414"/>
      <c r="N470" s="414"/>
      <c r="O470" s="414"/>
      <c r="P470" s="414"/>
      <c r="Q470" s="414"/>
      <c r="R470" s="414"/>
      <c r="S470" s="414"/>
      <c r="T470" s="414"/>
      <c r="U470" s="414"/>
    </row>
    <row r="471">
      <c r="A471" s="414"/>
      <c r="B471" s="414"/>
      <c r="C471" s="414"/>
      <c r="D471" s="414"/>
      <c r="E471" s="414"/>
      <c r="F471" s="414"/>
      <c r="G471" s="414"/>
      <c r="H471" s="414"/>
      <c r="I471" s="414"/>
      <c r="J471" s="414"/>
      <c r="K471" s="414"/>
      <c r="L471" s="414"/>
      <c r="M471" s="414"/>
      <c r="N471" s="414"/>
      <c r="O471" s="414"/>
      <c r="P471" s="414"/>
      <c r="Q471" s="414"/>
      <c r="R471" s="414"/>
      <c r="S471" s="414"/>
      <c r="T471" s="414"/>
      <c r="U471" s="414"/>
    </row>
    <row r="472">
      <c r="A472" s="414"/>
      <c r="B472" s="414"/>
      <c r="C472" s="414"/>
      <c r="D472" s="414"/>
      <c r="E472" s="414"/>
      <c r="F472" s="414"/>
      <c r="G472" s="414"/>
      <c r="H472" s="414"/>
      <c r="I472" s="414"/>
      <c r="J472" s="414"/>
      <c r="K472" s="414"/>
      <c r="L472" s="414"/>
      <c r="M472" s="414"/>
      <c r="N472" s="414"/>
      <c r="O472" s="414"/>
      <c r="P472" s="414"/>
      <c r="Q472" s="414"/>
      <c r="R472" s="414"/>
      <c r="S472" s="414"/>
      <c r="T472" s="414"/>
      <c r="U472" s="414"/>
    </row>
    <row r="473">
      <c r="A473" s="414"/>
      <c r="B473" s="414"/>
      <c r="C473" s="414"/>
      <c r="D473" s="414"/>
      <c r="E473" s="414"/>
      <c r="F473" s="414"/>
      <c r="G473" s="414"/>
      <c r="H473" s="414"/>
      <c r="I473" s="414"/>
      <c r="J473" s="414"/>
      <c r="K473" s="414"/>
      <c r="L473" s="414"/>
      <c r="M473" s="414"/>
      <c r="N473" s="414"/>
      <c r="O473" s="414"/>
      <c r="P473" s="414"/>
      <c r="Q473" s="414"/>
      <c r="R473" s="414"/>
      <c r="S473" s="414"/>
      <c r="T473" s="414"/>
      <c r="U473" s="414"/>
    </row>
    <row r="474">
      <c r="A474" s="414"/>
      <c r="B474" s="414"/>
      <c r="C474" s="414"/>
      <c r="D474" s="414"/>
      <c r="E474" s="414"/>
      <c r="F474" s="414"/>
      <c r="G474" s="414"/>
      <c r="H474" s="414"/>
      <c r="I474" s="414"/>
      <c r="J474" s="414"/>
      <c r="K474" s="414"/>
      <c r="L474" s="414"/>
      <c r="M474" s="414"/>
      <c r="N474" s="414"/>
      <c r="O474" s="414"/>
      <c r="P474" s="414"/>
      <c r="Q474" s="414"/>
      <c r="R474" s="414"/>
      <c r="S474" s="414"/>
      <c r="T474" s="414"/>
      <c r="U474" s="414"/>
    </row>
    <row r="475">
      <c r="A475" s="414"/>
      <c r="B475" s="414"/>
      <c r="C475" s="414"/>
      <c r="D475" s="414"/>
      <c r="E475" s="414"/>
      <c r="F475" s="414"/>
      <c r="G475" s="414"/>
      <c r="H475" s="414"/>
      <c r="I475" s="414"/>
      <c r="J475" s="414"/>
      <c r="K475" s="414"/>
      <c r="L475" s="414"/>
      <c r="M475" s="414"/>
      <c r="N475" s="414"/>
      <c r="O475" s="414"/>
      <c r="P475" s="414"/>
      <c r="Q475" s="414"/>
      <c r="R475" s="414"/>
      <c r="S475" s="414"/>
      <c r="T475" s="414"/>
      <c r="U475" s="414"/>
    </row>
    <row r="476">
      <c r="A476" s="414"/>
      <c r="B476" s="414"/>
      <c r="C476" s="414"/>
      <c r="D476" s="414"/>
      <c r="E476" s="414"/>
      <c r="F476" s="414"/>
      <c r="G476" s="414"/>
      <c r="H476" s="414"/>
      <c r="I476" s="414"/>
      <c r="J476" s="414"/>
      <c r="K476" s="414"/>
      <c r="L476" s="414"/>
      <c r="M476" s="414"/>
      <c r="N476" s="414"/>
      <c r="O476" s="414"/>
      <c r="P476" s="414"/>
      <c r="Q476" s="414"/>
      <c r="R476" s="414"/>
      <c r="S476" s="414"/>
      <c r="T476" s="414"/>
      <c r="U476" s="414"/>
    </row>
    <row r="477">
      <c r="A477" s="414"/>
      <c r="B477" s="414"/>
      <c r="C477" s="414"/>
      <c r="D477" s="414"/>
      <c r="E477" s="414"/>
      <c r="F477" s="414"/>
      <c r="G477" s="414"/>
      <c r="H477" s="414"/>
      <c r="I477" s="414"/>
      <c r="J477" s="414"/>
      <c r="K477" s="414"/>
      <c r="L477" s="414"/>
      <c r="M477" s="414"/>
      <c r="N477" s="414"/>
      <c r="O477" s="414"/>
      <c r="P477" s="414"/>
      <c r="Q477" s="414"/>
      <c r="R477" s="414"/>
      <c r="S477" s="414"/>
      <c r="T477" s="414"/>
      <c r="U477" s="414"/>
    </row>
    <row r="478">
      <c r="A478" s="414"/>
      <c r="B478" s="414"/>
      <c r="C478" s="414"/>
      <c r="D478" s="414"/>
      <c r="E478" s="414"/>
      <c r="F478" s="414"/>
      <c r="G478" s="414"/>
      <c r="H478" s="414"/>
      <c r="I478" s="414"/>
      <c r="J478" s="414"/>
      <c r="K478" s="414"/>
      <c r="L478" s="414"/>
      <c r="M478" s="414"/>
      <c r="N478" s="414"/>
      <c r="O478" s="414"/>
      <c r="P478" s="414"/>
      <c r="Q478" s="414"/>
      <c r="R478" s="414"/>
      <c r="S478" s="414"/>
      <c r="T478" s="414"/>
      <c r="U478" s="414"/>
    </row>
    <row r="479">
      <c r="A479" s="414"/>
      <c r="B479" s="414"/>
      <c r="C479" s="414"/>
      <c r="D479" s="414"/>
      <c r="E479" s="414"/>
      <c r="F479" s="414"/>
      <c r="G479" s="414"/>
      <c r="H479" s="414"/>
      <c r="I479" s="414"/>
      <c r="J479" s="414"/>
      <c r="K479" s="414"/>
      <c r="L479" s="414"/>
      <c r="M479" s="414"/>
      <c r="N479" s="414"/>
      <c r="O479" s="414"/>
      <c r="P479" s="414"/>
      <c r="Q479" s="414"/>
      <c r="R479" s="414"/>
      <c r="S479" s="414"/>
      <c r="T479" s="414"/>
      <c r="U479" s="414"/>
    </row>
    <row r="480">
      <c r="A480" s="414"/>
      <c r="B480" s="414"/>
      <c r="C480" s="414"/>
      <c r="D480" s="414"/>
      <c r="E480" s="414"/>
      <c r="F480" s="414"/>
      <c r="G480" s="414"/>
      <c r="H480" s="414"/>
      <c r="I480" s="414"/>
      <c r="J480" s="414"/>
      <c r="K480" s="414"/>
      <c r="L480" s="414"/>
      <c r="M480" s="414"/>
      <c r="N480" s="414"/>
      <c r="O480" s="414"/>
      <c r="P480" s="414"/>
      <c r="Q480" s="414"/>
      <c r="R480" s="414"/>
      <c r="S480" s="414"/>
      <c r="T480" s="414"/>
      <c r="U480" s="414"/>
    </row>
    <row r="481">
      <c r="A481" s="414"/>
      <c r="B481" s="414"/>
      <c r="C481" s="414"/>
      <c r="D481" s="414"/>
      <c r="E481" s="414"/>
      <c r="F481" s="414"/>
      <c r="G481" s="414"/>
      <c r="H481" s="414"/>
      <c r="I481" s="414"/>
      <c r="J481" s="414"/>
      <c r="K481" s="414"/>
      <c r="L481" s="414"/>
      <c r="M481" s="414"/>
      <c r="N481" s="414"/>
      <c r="O481" s="414"/>
      <c r="P481" s="414"/>
      <c r="Q481" s="414"/>
      <c r="R481" s="414"/>
      <c r="S481" s="414"/>
      <c r="T481" s="414"/>
      <c r="U481" s="414"/>
    </row>
    <row r="482">
      <c r="A482" s="414"/>
      <c r="B482" s="414"/>
      <c r="C482" s="414"/>
      <c r="D482" s="414"/>
      <c r="E482" s="414"/>
      <c r="F482" s="414"/>
      <c r="G482" s="414"/>
      <c r="H482" s="414"/>
      <c r="I482" s="414"/>
      <c r="J482" s="414"/>
      <c r="K482" s="414"/>
      <c r="L482" s="414"/>
      <c r="M482" s="414"/>
      <c r="N482" s="414"/>
      <c r="O482" s="414"/>
      <c r="P482" s="414"/>
      <c r="Q482" s="414"/>
      <c r="R482" s="414"/>
      <c r="S482" s="414"/>
      <c r="T482" s="414"/>
      <c r="U482" s="414"/>
    </row>
    <row r="483">
      <c r="A483" s="414"/>
      <c r="B483" s="414"/>
      <c r="C483" s="414"/>
      <c r="D483" s="414"/>
      <c r="E483" s="414"/>
      <c r="F483" s="414"/>
      <c r="G483" s="414"/>
      <c r="H483" s="414"/>
      <c r="I483" s="414"/>
      <c r="J483" s="414"/>
      <c r="K483" s="414"/>
      <c r="L483" s="414"/>
      <c r="M483" s="414"/>
      <c r="N483" s="414"/>
      <c r="O483" s="414"/>
      <c r="P483" s="414"/>
      <c r="Q483" s="414"/>
      <c r="R483" s="414"/>
      <c r="S483" s="414"/>
      <c r="T483" s="414"/>
      <c r="U483" s="414"/>
    </row>
    <row r="484">
      <c r="A484" s="414"/>
      <c r="B484" s="414"/>
      <c r="C484" s="414"/>
      <c r="D484" s="414"/>
      <c r="E484" s="414"/>
      <c r="F484" s="414"/>
      <c r="G484" s="414"/>
      <c r="H484" s="414"/>
      <c r="I484" s="414"/>
      <c r="J484" s="414"/>
      <c r="K484" s="414"/>
      <c r="L484" s="414"/>
      <c r="M484" s="414"/>
      <c r="N484" s="414"/>
      <c r="O484" s="414"/>
      <c r="P484" s="414"/>
      <c r="Q484" s="414"/>
      <c r="R484" s="414"/>
      <c r="S484" s="414"/>
      <c r="T484" s="414"/>
      <c r="U484" s="414"/>
    </row>
    <row r="485">
      <c r="A485" s="414"/>
      <c r="B485" s="414"/>
      <c r="C485" s="414"/>
      <c r="D485" s="414"/>
      <c r="E485" s="414"/>
      <c r="F485" s="414"/>
      <c r="G485" s="414"/>
      <c r="H485" s="414"/>
      <c r="I485" s="414"/>
      <c r="J485" s="414"/>
      <c r="K485" s="414"/>
      <c r="L485" s="414"/>
      <c r="M485" s="414"/>
      <c r="N485" s="414"/>
      <c r="O485" s="414"/>
      <c r="P485" s="414"/>
      <c r="Q485" s="414"/>
      <c r="R485" s="414"/>
      <c r="S485" s="414"/>
      <c r="T485" s="414"/>
      <c r="U485" s="414"/>
    </row>
    <row r="486">
      <c r="A486" s="414"/>
      <c r="B486" s="414"/>
      <c r="C486" s="414"/>
      <c r="D486" s="414"/>
      <c r="E486" s="414"/>
      <c r="F486" s="414"/>
      <c r="G486" s="414"/>
      <c r="H486" s="414"/>
      <c r="I486" s="414"/>
      <c r="J486" s="414"/>
      <c r="K486" s="414"/>
      <c r="L486" s="414"/>
      <c r="M486" s="414"/>
      <c r="N486" s="414"/>
      <c r="O486" s="414"/>
      <c r="P486" s="414"/>
      <c r="Q486" s="414"/>
      <c r="R486" s="414"/>
      <c r="S486" s="414"/>
      <c r="T486" s="414"/>
      <c r="U486" s="414"/>
    </row>
    <row r="487">
      <c r="A487" s="414"/>
      <c r="B487" s="414"/>
      <c r="C487" s="414"/>
      <c r="D487" s="414"/>
      <c r="E487" s="414"/>
      <c r="F487" s="414"/>
      <c r="G487" s="414"/>
      <c r="H487" s="414"/>
      <c r="I487" s="414"/>
      <c r="J487" s="414"/>
      <c r="K487" s="414"/>
      <c r="L487" s="414"/>
      <c r="M487" s="414"/>
      <c r="N487" s="414"/>
      <c r="O487" s="414"/>
      <c r="P487" s="414"/>
      <c r="Q487" s="414"/>
      <c r="R487" s="414"/>
      <c r="S487" s="414"/>
      <c r="T487" s="414"/>
      <c r="U487" s="414"/>
    </row>
    <row r="488">
      <c r="A488" s="414"/>
      <c r="B488" s="414"/>
      <c r="C488" s="414"/>
      <c r="D488" s="414"/>
      <c r="E488" s="414"/>
      <c r="F488" s="414"/>
      <c r="G488" s="414"/>
      <c r="H488" s="414"/>
      <c r="I488" s="414"/>
      <c r="J488" s="414"/>
      <c r="K488" s="414"/>
      <c r="L488" s="414"/>
      <c r="M488" s="414"/>
      <c r="N488" s="414"/>
      <c r="O488" s="414"/>
      <c r="P488" s="414"/>
      <c r="Q488" s="414"/>
      <c r="R488" s="414"/>
      <c r="S488" s="414"/>
      <c r="T488" s="414"/>
      <c r="U488" s="414"/>
    </row>
    <row r="489">
      <c r="A489" s="414"/>
      <c r="B489" s="414"/>
      <c r="C489" s="414"/>
      <c r="D489" s="414"/>
      <c r="E489" s="414"/>
      <c r="F489" s="414"/>
      <c r="G489" s="414"/>
      <c r="H489" s="414"/>
      <c r="I489" s="414"/>
      <c r="J489" s="414"/>
      <c r="K489" s="414"/>
      <c r="L489" s="414"/>
      <c r="M489" s="414"/>
      <c r="N489" s="414"/>
      <c r="O489" s="414"/>
      <c r="P489" s="414"/>
      <c r="Q489" s="414"/>
      <c r="R489" s="414"/>
      <c r="S489" s="414"/>
      <c r="T489" s="414"/>
      <c r="U489" s="414"/>
    </row>
    <row r="490">
      <c r="A490" s="414"/>
      <c r="B490" s="414"/>
      <c r="C490" s="414"/>
      <c r="D490" s="414"/>
      <c r="E490" s="414"/>
      <c r="F490" s="414"/>
      <c r="G490" s="414"/>
      <c r="H490" s="414"/>
      <c r="I490" s="414"/>
      <c r="J490" s="414"/>
      <c r="K490" s="414"/>
      <c r="L490" s="414"/>
      <c r="M490" s="414"/>
      <c r="N490" s="414"/>
      <c r="O490" s="414"/>
      <c r="P490" s="414"/>
      <c r="Q490" s="414"/>
      <c r="R490" s="414"/>
      <c r="S490" s="414"/>
      <c r="T490" s="414"/>
      <c r="U490" s="414"/>
    </row>
    <row r="491">
      <c r="A491" s="414"/>
      <c r="B491" s="414"/>
      <c r="C491" s="414"/>
      <c r="D491" s="414"/>
      <c r="E491" s="414"/>
      <c r="F491" s="414"/>
      <c r="G491" s="414"/>
      <c r="H491" s="414"/>
      <c r="I491" s="414"/>
      <c r="J491" s="414"/>
      <c r="K491" s="414"/>
      <c r="L491" s="414"/>
      <c r="M491" s="414"/>
      <c r="N491" s="414"/>
      <c r="O491" s="414"/>
      <c r="P491" s="414"/>
      <c r="Q491" s="414"/>
      <c r="R491" s="414"/>
      <c r="S491" s="414"/>
      <c r="T491" s="414"/>
      <c r="U491" s="414"/>
    </row>
    <row r="492">
      <c r="A492" s="414"/>
      <c r="B492" s="414"/>
      <c r="C492" s="414"/>
      <c r="D492" s="414"/>
      <c r="E492" s="414"/>
      <c r="F492" s="414"/>
      <c r="G492" s="414"/>
      <c r="H492" s="414"/>
      <c r="I492" s="414"/>
      <c r="J492" s="414"/>
      <c r="K492" s="414"/>
      <c r="L492" s="414"/>
      <c r="M492" s="414"/>
      <c r="N492" s="414"/>
      <c r="O492" s="414"/>
      <c r="P492" s="414"/>
      <c r="Q492" s="414"/>
      <c r="R492" s="414"/>
      <c r="S492" s="414"/>
      <c r="T492" s="414"/>
      <c r="U492" s="414"/>
    </row>
    <row r="493">
      <c r="A493" s="414"/>
      <c r="B493" s="414"/>
      <c r="C493" s="414"/>
      <c r="D493" s="414"/>
      <c r="E493" s="414"/>
      <c r="F493" s="414"/>
      <c r="G493" s="414"/>
      <c r="H493" s="414"/>
      <c r="I493" s="414"/>
      <c r="J493" s="414"/>
      <c r="K493" s="414"/>
      <c r="L493" s="414"/>
      <c r="M493" s="414"/>
      <c r="N493" s="414"/>
      <c r="O493" s="414"/>
      <c r="P493" s="414"/>
      <c r="Q493" s="414"/>
      <c r="R493" s="414"/>
      <c r="S493" s="414"/>
      <c r="T493" s="414"/>
      <c r="U493" s="414"/>
    </row>
    <row r="494">
      <c r="A494" s="414"/>
      <c r="B494" s="414"/>
      <c r="C494" s="414"/>
      <c r="D494" s="414"/>
      <c r="E494" s="414"/>
      <c r="F494" s="414"/>
      <c r="G494" s="414"/>
      <c r="H494" s="414"/>
      <c r="I494" s="414"/>
      <c r="J494" s="414"/>
      <c r="K494" s="414"/>
      <c r="L494" s="414"/>
      <c r="M494" s="414"/>
      <c r="N494" s="414"/>
      <c r="O494" s="414"/>
      <c r="P494" s="414"/>
      <c r="Q494" s="414"/>
      <c r="R494" s="414"/>
      <c r="S494" s="414"/>
      <c r="T494" s="414"/>
      <c r="U494" s="414"/>
    </row>
    <row r="495">
      <c r="A495" s="414"/>
      <c r="B495" s="414"/>
      <c r="C495" s="414"/>
      <c r="D495" s="414"/>
      <c r="E495" s="414"/>
      <c r="F495" s="414"/>
      <c r="G495" s="414"/>
      <c r="H495" s="414"/>
      <c r="I495" s="414"/>
      <c r="J495" s="414"/>
      <c r="K495" s="414"/>
      <c r="L495" s="414"/>
      <c r="M495" s="414"/>
      <c r="N495" s="414"/>
      <c r="O495" s="414"/>
      <c r="P495" s="414"/>
      <c r="Q495" s="414"/>
      <c r="R495" s="414"/>
      <c r="S495" s="414"/>
      <c r="T495" s="414"/>
      <c r="U495" s="414"/>
    </row>
    <row r="496">
      <c r="A496" s="414"/>
      <c r="B496" s="414"/>
      <c r="C496" s="414"/>
      <c r="D496" s="414"/>
      <c r="E496" s="414"/>
      <c r="F496" s="414"/>
      <c r="G496" s="414"/>
      <c r="H496" s="414"/>
      <c r="I496" s="414"/>
      <c r="J496" s="414"/>
      <c r="K496" s="414"/>
      <c r="L496" s="414"/>
      <c r="M496" s="414"/>
      <c r="N496" s="414"/>
      <c r="O496" s="414"/>
      <c r="P496" s="414"/>
      <c r="Q496" s="414"/>
      <c r="R496" s="414"/>
      <c r="S496" s="414"/>
      <c r="T496" s="414"/>
      <c r="U496" s="414"/>
    </row>
    <row r="497">
      <c r="A497" s="414"/>
      <c r="B497" s="414"/>
      <c r="C497" s="414"/>
      <c r="D497" s="414"/>
      <c r="E497" s="414"/>
      <c r="F497" s="414"/>
      <c r="G497" s="414"/>
      <c r="H497" s="414"/>
      <c r="I497" s="414"/>
      <c r="J497" s="414"/>
      <c r="K497" s="414"/>
      <c r="L497" s="414"/>
      <c r="M497" s="414"/>
      <c r="N497" s="414"/>
      <c r="O497" s="414"/>
      <c r="P497" s="414"/>
      <c r="Q497" s="414"/>
      <c r="R497" s="414"/>
      <c r="S497" s="414"/>
      <c r="T497" s="414"/>
      <c r="U497" s="414"/>
    </row>
    <row r="498">
      <c r="A498" s="414"/>
      <c r="B498" s="414"/>
      <c r="C498" s="414"/>
      <c r="D498" s="414"/>
      <c r="E498" s="414"/>
      <c r="F498" s="414"/>
      <c r="G498" s="414"/>
      <c r="H498" s="414"/>
      <c r="I498" s="414"/>
      <c r="J498" s="414"/>
      <c r="K498" s="414"/>
      <c r="L498" s="414"/>
      <c r="M498" s="414"/>
      <c r="N498" s="414"/>
      <c r="O498" s="414"/>
      <c r="P498" s="414"/>
      <c r="Q498" s="414"/>
      <c r="R498" s="414"/>
      <c r="S498" s="414"/>
      <c r="T498" s="414"/>
      <c r="U498" s="414"/>
    </row>
    <row r="499">
      <c r="A499" s="414"/>
      <c r="B499" s="414"/>
      <c r="C499" s="414"/>
      <c r="D499" s="414"/>
      <c r="E499" s="414"/>
      <c r="F499" s="414"/>
      <c r="G499" s="414"/>
      <c r="H499" s="414"/>
      <c r="I499" s="414"/>
      <c r="J499" s="414"/>
      <c r="K499" s="414"/>
      <c r="L499" s="414"/>
      <c r="M499" s="414"/>
      <c r="N499" s="414"/>
      <c r="O499" s="414"/>
      <c r="P499" s="414"/>
      <c r="Q499" s="414"/>
      <c r="R499" s="414"/>
      <c r="S499" s="414"/>
      <c r="T499" s="414"/>
      <c r="U499" s="414"/>
    </row>
    <row r="500">
      <c r="A500" s="414"/>
      <c r="B500" s="414"/>
      <c r="C500" s="414"/>
      <c r="D500" s="414"/>
      <c r="E500" s="414"/>
      <c r="F500" s="414"/>
      <c r="G500" s="414"/>
      <c r="H500" s="414"/>
      <c r="I500" s="414"/>
      <c r="J500" s="414"/>
      <c r="K500" s="414"/>
      <c r="L500" s="414"/>
      <c r="M500" s="414"/>
      <c r="N500" s="414"/>
      <c r="O500" s="414"/>
      <c r="P500" s="414"/>
      <c r="Q500" s="414"/>
      <c r="R500" s="414"/>
      <c r="S500" s="414"/>
      <c r="T500" s="414"/>
      <c r="U500" s="414"/>
    </row>
    <row r="501">
      <c r="A501" s="414"/>
      <c r="B501" s="414"/>
      <c r="C501" s="414"/>
      <c r="D501" s="414"/>
      <c r="E501" s="414"/>
      <c r="F501" s="414"/>
      <c r="G501" s="414"/>
      <c r="H501" s="414"/>
      <c r="I501" s="414"/>
      <c r="J501" s="414"/>
      <c r="K501" s="414"/>
      <c r="L501" s="414"/>
      <c r="M501" s="414"/>
      <c r="N501" s="414"/>
      <c r="O501" s="414"/>
      <c r="P501" s="414"/>
      <c r="Q501" s="414"/>
      <c r="R501" s="414"/>
      <c r="S501" s="414"/>
      <c r="T501" s="414"/>
      <c r="U501" s="414"/>
    </row>
    <row r="502">
      <c r="A502" s="414"/>
      <c r="B502" s="414"/>
      <c r="C502" s="414"/>
      <c r="D502" s="414"/>
      <c r="E502" s="414"/>
      <c r="F502" s="414"/>
      <c r="G502" s="414"/>
      <c r="H502" s="414"/>
      <c r="I502" s="414"/>
      <c r="J502" s="414"/>
      <c r="K502" s="414"/>
      <c r="L502" s="414"/>
      <c r="M502" s="414"/>
      <c r="N502" s="414"/>
      <c r="O502" s="414"/>
      <c r="P502" s="414"/>
      <c r="Q502" s="414"/>
      <c r="R502" s="414"/>
      <c r="S502" s="414"/>
      <c r="T502" s="414"/>
      <c r="U502" s="414"/>
    </row>
    <row r="503">
      <c r="A503" s="414"/>
      <c r="B503" s="414"/>
      <c r="C503" s="414"/>
      <c r="D503" s="414"/>
      <c r="E503" s="414"/>
      <c r="F503" s="414"/>
      <c r="G503" s="414"/>
      <c r="H503" s="414"/>
      <c r="I503" s="414"/>
      <c r="J503" s="414"/>
      <c r="K503" s="414"/>
      <c r="L503" s="414"/>
      <c r="M503" s="414"/>
      <c r="N503" s="414"/>
      <c r="O503" s="414"/>
      <c r="P503" s="414"/>
      <c r="Q503" s="414"/>
      <c r="R503" s="414"/>
      <c r="S503" s="414"/>
      <c r="T503" s="414"/>
      <c r="U503" s="414"/>
    </row>
    <row r="504">
      <c r="A504" s="414"/>
      <c r="B504" s="414"/>
      <c r="C504" s="414"/>
      <c r="D504" s="414"/>
      <c r="E504" s="414"/>
      <c r="F504" s="414"/>
      <c r="G504" s="414"/>
      <c r="H504" s="414"/>
      <c r="I504" s="414"/>
      <c r="J504" s="414"/>
      <c r="K504" s="414"/>
      <c r="L504" s="414"/>
      <c r="M504" s="414"/>
      <c r="N504" s="414"/>
      <c r="O504" s="414"/>
      <c r="P504" s="414"/>
      <c r="Q504" s="414"/>
      <c r="R504" s="414"/>
      <c r="S504" s="414"/>
      <c r="T504" s="414"/>
      <c r="U504" s="414"/>
    </row>
    <row r="505">
      <c r="A505" s="414"/>
      <c r="B505" s="414"/>
      <c r="C505" s="414"/>
      <c r="D505" s="414"/>
      <c r="E505" s="414"/>
      <c r="F505" s="414"/>
      <c r="G505" s="414"/>
      <c r="H505" s="414"/>
      <c r="I505" s="414"/>
      <c r="J505" s="414"/>
      <c r="K505" s="414"/>
      <c r="L505" s="414"/>
      <c r="M505" s="414"/>
      <c r="N505" s="414"/>
      <c r="O505" s="414"/>
      <c r="P505" s="414"/>
      <c r="Q505" s="414"/>
      <c r="R505" s="414"/>
      <c r="S505" s="414"/>
      <c r="T505" s="414"/>
      <c r="U505" s="414"/>
    </row>
    <row r="506">
      <c r="A506" s="414"/>
      <c r="B506" s="414"/>
      <c r="C506" s="414"/>
      <c r="D506" s="414"/>
      <c r="E506" s="414"/>
      <c r="F506" s="414"/>
      <c r="G506" s="414"/>
      <c r="H506" s="414"/>
      <c r="I506" s="414"/>
      <c r="J506" s="414"/>
      <c r="K506" s="414"/>
      <c r="L506" s="414"/>
      <c r="M506" s="414"/>
      <c r="N506" s="414"/>
      <c r="O506" s="414"/>
      <c r="P506" s="414"/>
      <c r="Q506" s="414"/>
      <c r="R506" s="414"/>
      <c r="S506" s="414"/>
      <c r="T506" s="414"/>
      <c r="U506" s="414"/>
    </row>
    <row r="507">
      <c r="A507" s="414"/>
      <c r="B507" s="414"/>
      <c r="C507" s="414"/>
      <c r="D507" s="414"/>
      <c r="E507" s="414"/>
      <c r="F507" s="414"/>
      <c r="G507" s="414"/>
      <c r="H507" s="414"/>
      <c r="I507" s="414"/>
      <c r="J507" s="414"/>
      <c r="K507" s="414"/>
      <c r="L507" s="414"/>
      <c r="M507" s="414"/>
      <c r="N507" s="414"/>
      <c r="O507" s="414"/>
      <c r="P507" s="414"/>
      <c r="Q507" s="414"/>
      <c r="R507" s="414"/>
      <c r="S507" s="414"/>
      <c r="T507" s="414"/>
      <c r="U507" s="414"/>
    </row>
    <row r="508">
      <c r="A508" s="414"/>
      <c r="B508" s="414"/>
      <c r="C508" s="414"/>
      <c r="D508" s="414"/>
      <c r="E508" s="414"/>
      <c r="F508" s="414"/>
      <c r="G508" s="414"/>
      <c r="H508" s="414"/>
      <c r="I508" s="414"/>
      <c r="J508" s="414"/>
      <c r="K508" s="414"/>
      <c r="L508" s="414"/>
      <c r="M508" s="414"/>
      <c r="N508" s="414"/>
      <c r="O508" s="414"/>
      <c r="P508" s="414"/>
      <c r="Q508" s="414"/>
      <c r="R508" s="414"/>
      <c r="S508" s="414"/>
      <c r="T508" s="414"/>
      <c r="U508" s="414"/>
    </row>
    <row r="509">
      <c r="A509" s="414"/>
      <c r="B509" s="414"/>
      <c r="C509" s="414"/>
      <c r="D509" s="414"/>
      <c r="E509" s="414"/>
      <c r="F509" s="414"/>
      <c r="G509" s="414"/>
      <c r="H509" s="414"/>
      <c r="I509" s="414"/>
      <c r="J509" s="414"/>
      <c r="K509" s="414"/>
      <c r="L509" s="414"/>
      <c r="M509" s="414"/>
      <c r="N509" s="414"/>
      <c r="O509" s="414"/>
      <c r="P509" s="414"/>
      <c r="Q509" s="414"/>
      <c r="R509" s="414"/>
      <c r="S509" s="414"/>
      <c r="T509" s="414"/>
      <c r="U509" s="414"/>
    </row>
    <row r="510">
      <c r="A510" s="414"/>
      <c r="B510" s="414"/>
      <c r="C510" s="414"/>
      <c r="D510" s="414"/>
      <c r="E510" s="414"/>
      <c r="F510" s="414"/>
      <c r="G510" s="414"/>
      <c r="H510" s="414"/>
      <c r="I510" s="414"/>
      <c r="J510" s="414"/>
      <c r="K510" s="414"/>
      <c r="L510" s="414"/>
      <c r="M510" s="414"/>
      <c r="N510" s="414"/>
      <c r="O510" s="414"/>
      <c r="P510" s="414"/>
      <c r="Q510" s="414"/>
      <c r="R510" s="414"/>
      <c r="S510" s="414"/>
      <c r="T510" s="414"/>
      <c r="U510" s="414"/>
    </row>
    <row r="511">
      <c r="A511" s="414"/>
      <c r="B511" s="414"/>
      <c r="C511" s="414"/>
      <c r="D511" s="414"/>
      <c r="E511" s="414"/>
      <c r="F511" s="414"/>
      <c r="G511" s="414"/>
      <c r="H511" s="414"/>
      <c r="I511" s="414"/>
      <c r="J511" s="414"/>
      <c r="K511" s="414"/>
      <c r="L511" s="414"/>
      <c r="M511" s="414"/>
      <c r="N511" s="414"/>
      <c r="O511" s="414"/>
      <c r="P511" s="414"/>
      <c r="Q511" s="414"/>
      <c r="R511" s="414"/>
      <c r="S511" s="414"/>
      <c r="T511" s="414"/>
      <c r="U511" s="414"/>
    </row>
    <row r="512">
      <c r="A512" s="414"/>
      <c r="B512" s="414"/>
      <c r="C512" s="414"/>
      <c r="D512" s="414"/>
      <c r="E512" s="414"/>
      <c r="F512" s="414"/>
      <c r="G512" s="414"/>
      <c r="H512" s="414"/>
      <c r="I512" s="414"/>
      <c r="J512" s="414"/>
      <c r="K512" s="414"/>
      <c r="L512" s="414"/>
      <c r="M512" s="414"/>
      <c r="N512" s="414"/>
      <c r="O512" s="414"/>
      <c r="P512" s="414"/>
      <c r="Q512" s="414"/>
      <c r="R512" s="414"/>
      <c r="S512" s="414"/>
      <c r="T512" s="414"/>
      <c r="U512" s="414"/>
    </row>
    <row r="513">
      <c r="A513" s="414"/>
      <c r="B513" s="414"/>
      <c r="C513" s="414"/>
      <c r="D513" s="414"/>
      <c r="E513" s="414"/>
      <c r="F513" s="414"/>
      <c r="G513" s="414"/>
      <c r="H513" s="414"/>
      <c r="I513" s="414"/>
      <c r="J513" s="414"/>
      <c r="K513" s="414"/>
      <c r="L513" s="414"/>
      <c r="M513" s="414"/>
      <c r="N513" s="414"/>
      <c r="O513" s="414"/>
      <c r="P513" s="414"/>
      <c r="Q513" s="414"/>
      <c r="R513" s="414"/>
      <c r="S513" s="414"/>
      <c r="T513" s="414"/>
      <c r="U513" s="414"/>
    </row>
    <row r="514">
      <c r="A514" s="414"/>
      <c r="B514" s="414"/>
      <c r="C514" s="414"/>
      <c r="D514" s="414"/>
      <c r="E514" s="414"/>
      <c r="F514" s="414"/>
      <c r="G514" s="414"/>
      <c r="H514" s="414"/>
      <c r="I514" s="414"/>
      <c r="J514" s="414"/>
      <c r="K514" s="414"/>
      <c r="L514" s="414"/>
      <c r="M514" s="414"/>
      <c r="N514" s="414"/>
      <c r="O514" s="414"/>
      <c r="P514" s="414"/>
      <c r="Q514" s="414"/>
      <c r="R514" s="414"/>
      <c r="S514" s="414"/>
      <c r="T514" s="414"/>
      <c r="U514" s="414"/>
    </row>
    <row r="515">
      <c r="A515" s="414"/>
      <c r="B515" s="414"/>
      <c r="C515" s="414"/>
      <c r="D515" s="414"/>
      <c r="E515" s="414"/>
      <c r="F515" s="414"/>
      <c r="G515" s="414"/>
      <c r="H515" s="414"/>
      <c r="I515" s="414"/>
      <c r="J515" s="414"/>
      <c r="K515" s="414"/>
      <c r="L515" s="414"/>
      <c r="M515" s="414"/>
      <c r="N515" s="414"/>
      <c r="O515" s="414"/>
      <c r="P515" s="414"/>
      <c r="Q515" s="414"/>
      <c r="R515" s="414"/>
      <c r="S515" s="414"/>
      <c r="T515" s="414"/>
      <c r="U515" s="414"/>
    </row>
    <row r="516">
      <c r="A516" s="414"/>
      <c r="B516" s="414"/>
      <c r="C516" s="414"/>
      <c r="D516" s="414"/>
      <c r="E516" s="414"/>
      <c r="F516" s="414"/>
      <c r="G516" s="414"/>
      <c r="H516" s="414"/>
      <c r="I516" s="414"/>
      <c r="J516" s="414"/>
      <c r="K516" s="414"/>
      <c r="L516" s="414"/>
      <c r="M516" s="414"/>
      <c r="N516" s="414"/>
      <c r="O516" s="414"/>
      <c r="P516" s="414"/>
      <c r="Q516" s="414"/>
      <c r="R516" s="414"/>
      <c r="S516" s="414"/>
      <c r="T516" s="414"/>
      <c r="U516" s="414"/>
    </row>
    <row r="517">
      <c r="A517" s="414"/>
      <c r="B517" s="414"/>
      <c r="C517" s="414"/>
      <c r="D517" s="414"/>
      <c r="E517" s="414"/>
      <c r="F517" s="414"/>
      <c r="G517" s="414"/>
      <c r="H517" s="414"/>
      <c r="I517" s="414"/>
      <c r="J517" s="414"/>
      <c r="K517" s="414"/>
      <c r="L517" s="414"/>
      <c r="M517" s="414"/>
      <c r="N517" s="414"/>
      <c r="O517" s="414"/>
      <c r="P517" s="414"/>
      <c r="Q517" s="414"/>
      <c r="R517" s="414"/>
      <c r="S517" s="414"/>
      <c r="T517" s="414"/>
      <c r="U517" s="414"/>
    </row>
    <row r="518">
      <c r="A518" s="414"/>
      <c r="B518" s="414"/>
      <c r="C518" s="414"/>
      <c r="D518" s="414"/>
      <c r="E518" s="414"/>
      <c r="F518" s="414"/>
      <c r="G518" s="414"/>
      <c r="H518" s="414"/>
      <c r="I518" s="414"/>
      <c r="J518" s="414"/>
      <c r="K518" s="414"/>
      <c r="L518" s="414"/>
      <c r="M518" s="414"/>
      <c r="N518" s="414"/>
      <c r="O518" s="414"/>
      <c r="P518" s="414"/>
      <c r="Q518" s="414"/>
      <c r="R518" s="414"/>
      <c r="S518" s="414"/>
      <c r="T518" s="414"/>
      <c r="U518" s="414"/>
    </row>
    <row r="519">
      <c r="A519" s="414"/>
      <c r="B519" s="414"/>
      <c r="C519" s="414"/>
      <c r="D519" s="414"/>
      <c r="E519" s="414"/>
      <c r="F519" s="414"/>
      <c r="G519" s="414"/>
      <c r="H519" s="414"/>
      <c r="I519" s="414"/>
      <c r="J519" s="414"/>
      <c r="K519" s="414"/>
      <c r="L519" s="414"/>
      <c r="M519" s="414"/>
      <c r="N519" s="414"/>
      <c r="O519" s="414"/>
      <c r="P519" s="414"/>
      <c r="Q519" s="414"/>
      <c r="R519" s="414"/>
      <c r="S519" s="414"/>
      <c r="T519" s="414"/>
      <c r="U519" s="414"/>
    </row>
    <row r="520">
      <c r="A520" s="414"/>
      <c r="B520" s="414"/>
      <c r="C520" s="414"/>
      <c r="D520" s="414"/>
      <c r="E520" s="414"/>
      <c r="F520" s="414"/>
      <c r="G520" s="414"/>
      <c r="H520" s="414"/>
      <c r="I520" s="414"/>
      <c r="J520" s="414"/>
      <c r="K520" s="414"/>
      <c r="L520" s="414"/>
      <c r="M520" s="414"/>
      <c r="N520" s="414"/>
      <c r="O520" s="414"/>
      <c r="P520" s="414"/>
      <c r="Q520" s="414"/>
      <c r="R520" s="414"/>
      <c r="S520" s="414"/>
      <c r="T520" s="414"/>
      <c r="U520" s="414"/>
    </row>
    <row r="521">
      <c r="A521" s="414"/>
      <c r="B521" s="414"/>
      <c r="C521" s="414"/>
      <c r="D521" s="414"/>
      <c r="E521" s="414"/>
      <c r="F521" s="414"/>
      <c r="G521" s="414"/>
      <c r="H521" s="414"/>
      <c r="I521" s="414"/>
      <c r="J521" s="414"/>
      <c r="K521" s="414"/>
      <c r="L521" s="414"/>
      <c r="M521" s="414"/>
      <c r="N521" s="414"/>
      <c r="O521" s="414"/>
      <c r="P521" s="414"/>
      <c r="Q521" s="414"/>
      <c r="R521" s="414"/>
      <c r="S521" s="414"/>
      <c r="T521" s="414"/>
      <c r="U521" s="414"/>
    </row>
    <row r="522">
      <c r="A522" s="414"/>
      <c r="B522" s="414"/>
      <c r="C522" s="414"/>
      <c r="D522" s="414"/>
      <c r="E522" s="414"/>
      <c r="F522" s="414"/>
      <c r="G522" s="414"/>
      <c r="H522" s="414"/>
      <c r="I522" s="414"/>
      <c r="J522" s="414"/>
      <c r="K522" s="414"/>
      <c r="L522" s="414"/>
      <c r="M522" s="414"/>
      <c r="N522" s="414"/>
      <c r="O522" s="414"/>
      <c r="P522" s="414"/>
      <c r="Q522" s="414"/>
      <c r="R522" s="414"/>
      <c r="S522" s="414"/>
      <c r="T522" s="414"/>
      <c r="U522" s="414"/>
    </row>
    <row r="523">
      <c r="A523" s="414"/>
      <c r="B523" s="414"/>
      <c r="C523" s="414"/>
      <c r="D523" s="414"/>
      <c r="E523" s="414"/>
      <c r="F523" s="414"/>
      <c r="G523" s="414"/>
      <c r="H523" s="414"/>
      <c r="I523" s="414"/>
      <c r="J523" s="414"/>
      <c r="K523" s="414"/>
      <c r="L523" s="414"/>
      <c r="M523" s="414"/>
      <c r="N523" s="414"/>
      <c r="O523" s="414"/>
      <c r="P523" s="414"/>
      <c r="Q523" s="414"/>
      <c r="R523" s="414"/>
      <c r="S523" s="414"/>
      <c r="T523" s="414"/>
      <c r="U523" s="414"/>
    </row>
    <row r="524">
      <c r="A524" s="414"/>
      <c r="B524" s="414"/>
      <c r="C524" s="414"/>
      <c r="D524" s="414"/>
      <c r="E524" s="414"/>
      <c r="F524" s="414"/>
      <c r="G524" s="414"/>
      <c r="H524" s="414"/>
      <c r="I524" s="414"/>
      <c r="J524" s="414"/>
      <c r="K524" s="414"/>
      <c r="L524" s="414"/>
      <c r="M524" s="414"/>
      <c r="N524" s="414"/>
      <c r="O524" s="414"/>
      <c r="P524" s="414"/>
      <c r="Q524" s="414"/>
      <c r="R524" s="414"/>
      <c r="S524" s="414"/>
      <c r="T524" s="414"/>
      <c r="U524" s="414"/>
    </row>
    <row r="525">
      <c r="A525" s="414"/>
      <c r="B525" s="414"/>
      <c r="C525" s="414"/>
      <c r="D525" s="414"/>
      <c r="E525" s="414"/>
      <c r="F525" s="414"/>
      <c r="G525" s="414"/>
      <c r="H525" s="414"/>
      <c r="I525" s="414"/>
      <c r="J525" s="414"/>
      <c r="K525" s="414"/>
      <c r="L525" s="414"/>
      <c r="M525" s="414"/>
      <c r="N525" s="414"/>
      <c r="O525" s="414"/>
      <c r="P525" s="414"/>
      <c r="Q525" s="414"/>
      <c r="R525" s="414"/>
      <c r="S525" s="414"/>
      <c r="T525" s="414"/>
      <c r="U525" s="414"/>
    </row>
    <row r="526">
      <c r="A526" s="414"/>
      <c r="B526" s="414"/>
      <c r="C526" s="414"/>
      <c r="D526" s="414"/>
      <c r="E526" s="414"/>
      <c r="F526" s="414"/>
      <c r="G526" s="414"/>
      <c r="H526" s="414"/>
      <c r="I526" s="414"/>
      <c r="J526" s="414"/>
      <c r="K526" s="414"/>
      <c r="L526" s="414"/>
      <c r="M526" s="414"/>
      <c r="N526" s="414"/>
      <c r="O526" s="414"/>
      <c r="P526" s="414"/>
      <c r="Q526" s="414"/>
      <c r="R526" s="414"/>
      <c r="S526" s="414"/>
      <c r="T526" s="414"/>
      <c r="U526" s="414"/>
    </row>
    <row r="527">
      <c r="A527" s="414"/>
      <c r="B527" s="414"/>
      <c r="C527" s="414"/>
      <c r="D527" s="414"/>
      <c r="E527" s="414"/>
      <c r="F527" s="414"/>
      <c r="G527" s="414"/>
      <c r="H527" s="414"/>
      <c r="I527" s="414"/>
      <c r="J527" s="414"/>
      <c r="K527" s="414"/>
      <c r="L527" s="414"/>
      <c r="M527" s="414"/>
      <c r="N527" s="414"/>
      <c r="O527" s="414"/>
      <c r="P527" s="414"/>
      <c r="Q527" s="414"/>
      <c r="R527" s="414"/>
      <c r="S527" s="414"/>
      <c r="T527" s="414"/>
      <c r="U527" s="414"/>
    </row>
    <row r="528">
      <c r="A528" s="414"/>
      <c r="B528" s="414"/>
      <c r="C528" s="414"/>
      <c r="D528" s="414"/>
      <c r="E528" s="414"/>
      <c r="F528" s="414"/>
      <c r="G528" s="414"/>
      <c r="H528" s="414"/>
      <c r="I528" s="414"/>
      <c r="J528" s="414"/>
      <c r="K528" s="414"/>
      <c r="L528" s="414"/>
      <c r="M528" s="414"/>
      <c r="N528" s="414"/>
      <c r="O528" s="414"/>
      <c r="P528" s="414"/>
      <c r="Q528" s="414"/>
      <c r="R528" s="414"/>
      <c r="S528" s="414"/>
      <c r="T528" s="414"/>
      <c r="U528" s="414"/>
    </row>
    <row r="529">
      <c r="A529" s="414"/>
      <c r="B529" s="414"/>
      <c r="C529" s="414"/>
      <c r="D529" s="414"/>
      <c r="E529" s="414"/>
      <c r="F529" s="414"/>
      <c r="G529" s="414"/>
      <c r="H529" s="414"/>
      <c r="I529" s="414"/>
      <c r="J529" s="414"/>
      <c r="K529" s="414"/>
      <c r="L529" s="414"/>
      <c r="M529" s="414"/>
      <c r="N529" s="414"/>
      <c r="O529" s="414"/>
      <c r="P529" s="414"/>
      <c r="Q529" s="414"/>
      <c r="R529" s="414"/>
      <c r="S529" s="414"/>
      <c r="T529" s="414"/>
      <c r="U529" s="414"/>
    </row>
    <row r="530">
      <c r="A530" s="414"/>
      <c r="B530" s="414"/>
      <c r="C530" s="414"/>
      <c r="D530" s="414"/>
      <c r="E530" s="414"/>
      <c r="F530" s="414"/>
      <c r="G530" s="414"/>
      <c r="H530" s="414"/>
      <c r="I530" s="414"/>
      <c r="J530" s="414"/>
      <c r="K530" s="414"/>
      <c r="L530" s="414"/>
      <c r="M530" s="414"/>
      <c r="N530" s="414"/>
      <c r="O530" s="414"/>
      <c r="P530" s="414"/>
      <c r="Q530" s="414"/>
      <c r="R530" s="414"/>
      <c r="S530" s="414"/>
      <c r="T530" s="414"/>
      <c r="U530" s="414"/>
    </row>
    <row r="531">
      <c r="A531" s="414"/>
      <c r="B531" s="414"/>
      <c r="C531" s="414"/>
      <c r="D531" s="414"/>
      <c r="E531" s="414"/>
      <c r="F531" s="414"/>
      <c r="G531" s="414"/>
      <c r="H531" s="414"/>
      <c r="I531" s="414"/>
      <c r="J531" s="414"/>
      <c r="K531" s="414"/>
      <c r="L531" s="414"/>
      <c r="M531" s="414"/>
      <c r="N531" s="414"/>
      <c r="O531" s="414"/>
      <c r="P531" s="414"/>
      <c r="Q531" s="414"/>
      <c r="R531" s="414"/>
      <c r="S531" s="414"/>
      <c r="T531" s="414"/>
      <c r="U531" s="414"/>
    </row>
    <row r="532">
      <c r="A532" s="414"/>
      <c r="B532" s="414"/>
      <c r="C532" s="414"/>
      <c r="D532" s="414"/>
      <c r="E532" s="414"/>
      <c r="F532" s="414"/>
      <c r="G532" s="414"/>
      <c r="H532" s="414"/>
      <c r="I532" s="414"/>
      <c r="J532" s="414"/>
      <c r="K532" s="414"/>
      <c r="L532" s="414"/>
      <c r="M532" s="414"/>
      <c r="N532" s="414"/>
      <c r="O532" s="414"/>
      <c r="P532" s="414"/>
      <c r="Q532" s="414"/>
      <c r="R532" s="414"/>
      <c r="S532" s="414"/>
      <c r="T532" s="414"/>
      <c r="U532" s="414"/>
    </row>
    <row r="533">
      <c r="A533" s="414"/>
      <c r="B533" s="414"/>
      <c r="C533" s="414"/>
      <c r="D533" s="414"/>
      <c r="E533" s="414"/>
      <c r="F533" s="414"/>
      <c r="G533" s="414"/>
      <c r="H533" s="414"/>
      <c r="I533" s="414"/>
      <c r="J533" s="414"/>
      <c r="K533" s="414"/>
      <c r="L533" s="414"/>
      <c r="M533" s="414"/>
      <c r="N533" s="414"/>
      <c r="O533" s="414"/>
      <c r="P533" s="414"/>
      <c r="Q533" s="414"/>
      <c r="R533" s="414"/>
      <c r="S533" s="414"/>
      <c r="T533" s="414"/>
      <c r="U533" s="414"/>
    </row>
    <row r="534">
      <c r="A534" s="414"/>
      <c r="B534" s="414"/>
      <c r="C534" s="414"/>
      <c r="D534" s="414"/>
      <c r="E534" s="414"/>
      <c r="F534" s="414"/>
      <c r="G534" s="414"/>
      <c r="H534" s="414"/>
      <c r="I534" s="414"/>
      <c r="J534" s="414"/>
      <c r="K534" s="414"/>
      <c r="L534" s="414"/>
      <c r="M534" s="414"/>
      <c r="N534" s="414"/>
      <c r="O534" s="414"/>
      <c r="P534" s="414"/>
      <c r="Q534" s="414"/>
      <c r="R534" s="414"/>
      <c r="S534" s="414"/>
      <c r="T534" s="414"/>
      <c r="U534" s="414"/>
    </row>
    <row r="535">
      <c r="A535" s="414"/>
      <c r="B535" s="414"/>
      <c r="C535" s="414"/>
      <c r="D535" s="414"/>
      <c r="E535" s="414"/>
      <c r="F535" s="414"/>
      <c r="G535" s="414"/>
      <c r="H535" s="414"/>
      <c r="I535" s="414"/>
      <c r="J535" s="414"/>
      <c r="K535" s="414"/>
      <c r="L535" s="414"/>
      <c r="M535" s="414"/>
      <c r="N535" s="414"/>
      <c r="O535" s="414"/>
      <c r="P535" s="414"/>
      <c r="Q535" s="414"/>
      <c r="R535" s="414"/>
      <c r="S535" s="414"/>
      <c r="T535" s="414"/>
      <c r="U535" s="414"/>
    </row>
    <row r="536">
      <c r="A536" s="414"/>
      <c r="B536" s="414"/>
      <c r="C536" s="414"/>
      <c r="D536" s="414"/>
      <c r="E536" s="414"/>
      <c r="F536" s="414"/>
      <c r="G536" s="414"/>
      <c r="H536" s="414"/>
      <c r="I536" s="414"/>
      <c r="J536" s="414"/>
      <c r="K536" s="414"/>
      <c r="L536" s="414"/>
      <c r="M536" s="414"/>
      <c r="N536" s="414"/>
      <c r="O536" s="414"/>
      <c r="P536" s="414"/>
      <c r="Q536" s="414"/>
      <c r="R536" s="414"/>
      <c r="S536" s="414"/>
      <c r="T536" s="414"/>
      <c r="U536" s="414"/>
    </row>
    <row r="537">
      <c r="A537" s="414"/>
      <c r="B537" s="414"/>
      <c r="C537" s="414"/>
      <c r="D537" s="414"/>
      <c r="E537" s="414"/>
      <c r="F537" s="414"/>
      <c r="G537" s="414"/>
      <c r="H537" s="414"/>
      <c r="I537" s="414"/>
      <c r="J537" s="414"/>
      <c r="K537" s="414"/>
      <c r="L537" s="414"/>
      <c r="M537" s="414"/>
      <c r="N537" s="414"/>
      <c r="O537" s="414"/>
      <c r="P537" s="414"/>
      <c r="Q537" s="414"/>
      <c r="R537" s="414"/>
      <c r="S537" s="414"/>
      <c r="T537" s="414"/>
      <c r="U537" s="414"/>
    </row>
    <row r="538">
      <c r="A538" s="414"/>
      <c r="B538" s="414"/>
      <c r="C538" s="414"/>
      <c r="D538" s="414"/>
      <c r="E538" s="414"/>
      <c r="F538" s="414"/>
      <c r="G538" s="414"/>
      <c r="H538" s="414"/>
      <c r="I538" s="414"/>
      <c r="J538" s="414"/>
      <c r="K538" s="414"/>
      <c r="L538" s="414"/>
      <c r="M538" s="414"/>
      <c r="N538" s="414"/>
      <c r="O538" s="414"/>
      <c r="P538" s="414"/>
      <c r="Q538" s="414"/>
      <c r="R538" s="414"/>
      <c r="S538" s="414"/>
      <c r="T538" s="414"/>
      <c r="U538" s="414"/>
    </row>
    <row r="539">
      <c r="A539" s="414"/>
      <c r="B539" s="414"/>
      <c r="C539" s="414"/>
      <c r="D539" s="414"/>
      <c r="E539" s="414"/>
      <c r="F539" s="414"/>
      <c r="G539" s="414"/>
      <c r="H539" s="414"/>
      <c r="I539" s="414"/>
      <c r="J539" s="414"/>
      <c r="K539" s="414"/>
      <c r="L539" s="414"/>
      <c r="M539" s="414"/>
      <c r="N539" s="414"/>
      <c r="O539" s="414"/>
      <c r="P539" s="414"/>
      <c r="Q539" s="414"/>
      <c r="R539" s="414"/>
      <c r="S539" s="414"/>
      <c r="T539" s="414"/>
      <c r="U539" s="414"/>
    </row>
    <row r="540">
      <c r="A540" s="414"/>
      <c r="B540" s="414"/>
      <c r="C540" s="414"/>
      <c r="D540" s="414"/>
      <c r="E540" s="414"/>
      <c r="F540" s="414"/>
      <c r="G540" s="414"/>
      <c r="H540" s="414"/>
      <c r="I540" s="414"/>
      <c r="J540" s="414"/>
      <c r="K540" s="414"/>
      <c r="L540" s="414"/>
      <c r="M540" s="414"/>
      <c r="N540" s="414"/>
      <c r="O540" s="414"/>
      <c r="P540" s="414"/>
      <c r="Q540" s="414"/>
      <c r="R540" s="414"/>
      <c r="S540" s="414"/>
      <c r="T540" s="414"/>
      <c r="U540" s="414"/>
    </row>
    <row r="541">
      <c r="A541" s="414"/>
      <c r="B541" s="414"/>
      <c r="C541" s="414"/>
      <c r="D541" s="414"/>
      <c r="E541" s="414"/>
      <c r="F541" s="414"/>
      <c r="G541" s="414"/>
      <c r="H541" s="414"/>
      <c r="I541" s="414"/>
      <c r="J541" s="414"/>
      <c r="K541" s="414"/>
      <c r="L541" s="414"/>
      <c r="M541" s="414"/>
      <c r="N541" s="414"/>
      <c r="O541" s="414"/>
      <c r="P541" s="414"/>
      <c r="Q541" s="414"/>
      <c r="R541" s="414"/>
      <c r="S541" s="414"/>
      <c r="T541" s="414"/>
      <c r="U541" s="414"/>
    </row>
    <row r="542">
      <c r="A542" s="414"/>
      <c r="B542" s="414"/>
      <c r="C542" s="414"/>
      <c r="D542" s="414"/>
      <c r="E542" s="414"/>
      <c r="F542" s="414"/>
      <c r="G542" s="414"/>
      <c r="H542" s="414"/>
      <c r="I542" s="414"/>
      <c r="J542" s="414"/>
      <c r="K542" s="414"/>
      <c r="L542" s="414"/>
      <c r="M542" s="414"/>
      <c r="N542" s="414"/>
      <c r="O542" s="414"/>
      <c r="P542" s="414"/>
      <c r="Q542" s="414"/>
      <c r="R542" s="414"/>
      <c r="S542" s="414"/>
      <c r="T542" s="414"/>
      <c r="U542" s="414"/>
    </row>
    <row r="543">
      <c r="A543" s="414"/>
      <c r="B543" s="414"/>
      <c r="C543" s="414"/>
      <c r="D543" s="414"/>
      <c r="E543" s="414"/>
      <c r="F543" s="414"/>
      <c r="G543" s="414"/>
      <c r="H543" s="414"/>
      <c r="I543" s="414"/>
      <c r="J543" s="414"/>
      <c r="K543" s="414"/>
      <c r="L543" s="414"/>
      <c r="M543" s="414"/>
      <c r="N543" s="414"/>
      <c r="O543" s="414"/>
      <c r="P543" s="414"/>
      <c r="Q543" s="414"/>
      <c r="R543" s="414"/>
      <c r="S543" s="414"/>
      <c r="T543" s="414"/>
      <c r="U543" s="414"/>
    </row>
    <row r="544">
      <c r="A544" s="414"/>
      <c r="B544" s="414"/>
      <c r="C544" s="414"/>
      <c r="D544" s="414"/>
      <c r="E544" s="414"/>
      <c r="F544" s="414"/>
      <c r="G544" s="414"/>
      <c r="H544" s="414"/>
      <c r="I544" s="414"/>
      <c r="J544" s="414"/>
      <c r="K544" s="414"/>
      <c r="L544" s="414"/>
      <c r="M544" s="414"/>
      <c r="N544" s="414"/>
      <c r="O544" s="414"/>
      <c r="P544" s="414"/>
      <c r="Q544" s="414"/>
      <c r="R544" s="414"/>
      <c r="S544" s="414"/>
      <c r="T544" s="414"/>
      <c r="U544" s="414"/>
    </row>
    <row r="545">
      <c r="A545" s="414"/>
      <c r="B545" s="414"/>
      <c r="C545" s="414"/>
      <c r="D545" s="414"/>
      <c r="E545" s="414"/>
      <c r="F545" s="414"/>
      <c r="G545" s="414"/>
      <c r="H545" s="414"/>
      <c r="I545" s="414"/>
      <c r="J545" s="414"/>
      <c r="K545" s="414"/>
      <c r="L545" s="414"/>
      <c r="M545" s="414"/>
      <c r="N545" s="414"/>
      <c r="O545" s="414"/>
      <c r="P545" s="414"/>
      <c r="Q545" s="414"/>
      <c r="R545" s="414"/>
      <c r="S545" s="414"/>
      <c r="T545" s="414"/>
      <c r="U545" s="414"/>
    </row>
    <row r="546">
      <c r="A546" s="414"/>
      <c r="B546" s="414"/>
      <c r="C546" s="414"/>
      <c r="D546" s="414"/>
      <c r="E546" s="414"/>
      <c r="F546" s="414"/>
      <c r="G546" s="414"/>
      <c r="H546" s="414"/>
      <c r="I546" s="414"/>
      <c r="J546" s="414"/>
      <c r="K546" s="414"/>
      <c r="L546" s="414"/>
      <c r="M546" s="414"/>
      <c r="N546" s="414"/>
      <c r="O546" s="414"/>
      <c r="P546" s="414"/>
      <c r="Q546" s="414"/>
      <c r="R546" s="414"/>
      <c r="S546" s="414"/>
      <c r="T546" s="414"/>
      <c r="U546" s="414"/>
    </row>
    <row r="547">
      <c r="A547" s="414"/>
      <c r="B547" s="414"/>
      <c r="C547" s="414"/>
      <c r="D547" s="414"/>
      <c r="E547" s="414"/>
      <c r="F547" s="414"/>
      <c r="G547" s="414"/>
      <c r="H547" s="414"/>
      <c r="I547" s="414"/>
      <c r="J547" s="414"/>
      <c r="K547" s="414"/>
      <c r="L547" s="414"/>
      <c r="M547" s="414"/>
      <c r="N547" s="414"/>
      <c r="O547" s="414"/>
      <c r="P547" s="414"/>
      <c r="Q547" s="414"/>
      <c r="R547" s="414"/>
      <c r="S547" s="414"/>
      <c r="T547" s="414"/>
      <c r="U547" s="414"/>
    </row>
    <row r="548">
      <c r="A548" s="414"/>
      <c r="B548" s="414"/>
      <c r="C548" s="414"/>
      <c r="D548" s="414"/>
      <c r="E548" s="414"/>
      <c r="F548" s="414"/>
      <c r="G548" s="414"/>
      <c r="H548" s="414"/>
      <c r="I548" s="414"/>
      <c r="J548" s="414"/>
      <c r="K548" s="414"/>
      <c r="L548" s="414"/>
      <c r="M548" s="414"/>
      <c r="N548" s="414"/>
      <c r="O548" s="414"/>
      <c r="P548" s="414"/>
      <c r="Q548" s="414"/>
      <c r="R548" s="414"/>
      <c r="S548" s="414"/>
      <c r="T548" s="414"/>
      <c r="U548" s="414"/>
    </row>
    <row r="549">
      <c r="A549" s="414"/>
      <c r="B549" s="414"/>
      <c r="C549" s="414"/>
      <c r="D549" s="414"/>
      <c r="E549" s="414"/>
      <c r="F549" s="414"/>
      <c r="G549" s="414"/>
      <c r="H549" s="414"/>
      <c r="I549" s="414"/>
      <c r="J549" s="414"/>
      <c r="K549" s="414"/>
      <c r="L549" s="414"/>
      <c r="M549" s="414"/>
      <c r="N549" s="414"/>
      <c r="O549" s="414"/>
      <c r="P549" s="414"/>
      <c r="Q549" s="414"/>
      <c r="R549" s="414"/>
      <c r="S549" s="414"/>
      <c r="T549" s="414"/>
      <c r="U549" s="414"/>
    </row>
    <row r="550">
      <c r="A550" s="414"/>
      <c r="B550" s="414"/>
      <c r="C550" s="414"/>
      <c r="D550" s="414"/>
      <c r="E550" s="414"/>
      <c r="F550" s="414"/>
      <c r="G550" s="414"/>
      <c r="H550" s="414"/>
      <c r="I550" s="414"/>
      <c r="J550" s="414"/>
      <c r="K550" s="414"/>
      <c r="L550" s="414"/>
      <c r="M550" s="414"/>
      <c r="N550" s="414"/>
      <c r="O550" s="414"/>
      <c r="P550" s="414"/>
      <c r="Q550" s="414"/>
      <c r="R550" s="414"/>
      <c r="S550" s="414"/>
      <c r="T550" s="414"/>
      <c r="U550" s="414"/>
    </row>
    <row r="551">
      <c r="A551" s="414"/>
      <c r="B551" s="414"/>
      <c r="C551" s="414"/>
      <c r="D551" s="414"/>
      <c r="E551" s="414"/>
      <c r="F551" s="414"/>
      <c r="G551" s="414"/>
      <c r="H551" s="414"/>
      <c r="I551" s="414"/>
      <c r="J551" s="414"/>
      <c r="K551" s="414"/>
      <c r="L551" s="414"/>
      <c r="M551" s="414"/>
      <c r="N551" s="414"/>
      <c r="O551" s="414"/>
      <c r="P551" s="414"/>
      <c r="Q551" s="414"/>
      <c r="R551" s="414"/>
      <c r="S551" s="414"/>
      <c r="T551" s="414"/>
      <c r="U551" s="414"/>
    </row>
    <row r="552">
      <c r="A552" s="414"/>
      <c r="B552" s="414"/>
      <c r="C552" s="414"/>
      <c r="D552" s="414"/>
      <c r="E552" s="414"/>
      <c r="F552" s="414"/>
      <c r="G552" s="414"/>
      <c r="H552" s="414"/>
      <c r="I552" s="414"/>
      <c r="J552" s="414"/>
      <c r="K552" s="414"/>
      <c r="L552" s="414"/>
      <c r="M552" s="414"/>
      <c r="N552" s="414"/>
      <c r="O552" s="414"/>
      <c r="P552" s="414"/>
      <c r="Q552" s="414"/>
      <c r="R552" s="414"/>
      <c r="S552" s="414"/>
      <c r="T552" s="414"/>
      <c r="U552" s="414"/>
    </row>
    <row r="553">
      <c r="A553" s="414"/>
      <c r="B553" s="414"/>
      <c r="C553" s="414"/>
      <c r="D553" s="414"/>
      <c r="E553" s="414"/>
      <c r="F553" s="414"/>
      <c r="G553" s="414"/>
      <c r="H553" s="414"/>
      <c r="I553" s="414"/>
      <c r="J553" s="414"/>
      <c r="K553" s="414"/>
      <c r="L553" s="414"/>
      <c r="M553" s="414"/>
      <c r="N553" s="414"/>
      <c r="O553" s="414"/>
      <c r="P553" s="414"/>
      <c r="Q553" s="414"/>
      <c r="R553" s="414"/>
      <c r="S553" s="414"/>
      <c r="T553" s="414"/>
      <c r="U553" s="414"/>
    </row>
    <row r="554">
      <c r="A554" s="414"/>
      <c r="B554" s="414"/>
      <c r="C554" s="414"/>
      <c r="D554" s="414"/>
      <c r="E554" s="414"/>
      <c r="F554" s="414"/>
      <c r="G554" s="414"/>
      <c r="H554" s="414"/>
      <c r="I554" s="414"/>
      <c r="J554" s="414"/>
      <c r="K554" s="414"/>
      <c r="L554" s="414"/>
      <c r="M554" s="414"/>
      <c r="N554" s="414"/>
      <c r="O554" s="414"/>
      <c r="P554" s="414"/>
      <c r="Q554" s="414"/>
      <c r="R554" s="414"/>
      <c r="S554" s="414"/>
      <c r="T554" s="414"/>
      <c r="U554" s="414"/>
    </row>
    <row r="555">
      <c r="A555" s="414"/>
      <c r="B555" s="414"/>
      <c r="C555" s="414"/>
      <c r="D555" s="414"/>
      <c r="E555" s="414"/>
      <c r="F555" s="414"/>
      <c r="G555" s="414"/>
      <c r="H555" s="414"/>
      <c r="I555" s="414"/>
      <c r="J555" s="414"/>
      <c r="K555" s="414"/>
      <c r="L555" s="414"/>
      <c r="M555" s="414"/>
      <c r="N555" s="414"/>
      <c r="O555" s="414"/>
      <c r="P555" s="414"/>
      <c r="Q555" s="414"/>
      <c r="R555" s="414"/>
      <c r="S555" s="414"/>
      <c r="T555" s="414"/>
      <c r="U555" s="414"/>
    </row>
    <row r="556">
      <c r="A556" s="414"/>
      <c r="B556" s="414"/>
      <c r="C556" s="414"/>
      <c r="D556" s="414"/>
      <c r="E556" s="414"/>
      <c r="F556" s="414"/>
      <c r="G556" s="414"/>
      <c r="H556" s="414"/>
      <c r="I556" s="414"/>
      <c r="J556" s="414"/>
      <c r="K556" s="414"/>
      <c r="L556" s="414"/>
      <c r="M556" s="414"/>
      <c r="N556" s="414"/>
      <c r="O556" s="414"/>
      <c r="P556" s="414"/>
      <c r="Q556" s="414"/>
      <c r="R556" s="414"/>
      <c r="S556" s="414"/>
      <c r="T556" s="414"/>
      <c r="U556" s="414"/>
    </row>
    <row r="557">
      <c r="A557" s="414"/>
      <c r="B557" s="414"/>
      <c r="C557" s="414"/>
      <c r="D557" s="414"/>
      <c r="E557" s="414"/>
      <c r="F557" s="414"/>
      <c r="G557" s="414"/>
      <c r="H557" s="414"/>
      <c r="I557" s="414"/>
      <c r="J557" s="414"/>
      <c r="K557" s="414"/>
      <c r="L557" s="414"/>
      <c r="M557" s="414"/>
      <c r="N557" s="414"/>
      <c r="O557" s="414"/>
      <c r="P557" s="414"/>
      <c r="Q557" s="414"/>
      <c r="R557" s="414"/>
      <c r="S557" s="414"/>
      <c r="T557" s="414"/>
      <c r="U557" s="414"/>
    </row>
    <row r="558">
      <c r="A558" s="414"/>
      <c r="B558" s="414"/>
      <c r="C558" s="414"/>
      <c r="D558" s="414"/>
      <c r="E558" s="414"/>
      <c r="F558" s="414"/>
      <c r="G558" s="414"/>
      <c r="H558" s="414"/>
      <c r="I558" s="414"/>
      <c r="J558" s="414"/>
      <c r="K558" s="414"/>
      <c r="L558" s="414"/>
      <c r="M558" s="414"/>
      <c r="N558" s="414"/>
      <c r="O558" s="414"/>
      <c r="P558" s="414"/>
      <c r="Q558" s="414"/>
      <c r="R558" s="414"/>
      <c r="S558" s="414"/>
      <c r="T558" s="414"/>
      <c r="U558" s="414"/>
    </row>
    <row r="559">
      <c r="A559" s="414"/>
      <c r="B559" s="414"/>
      <c r="C559" s="414"/>
      <c r="D559" s="414"/>
      <c r="E559" s="414"/>
      <c r="F559" s="414"/>
      <c r="G559" s="414"/>
      <c r="H559" s="414"/>
      <c r="I559" s="414"/>
      <c r="J559" s="414"/>
      <c r="K559" s="414"/>
      <c r="L559" s="414"/>
      <c r="M559" s="414"/>
      <c r="N559" s="414"/>
      <c r="O559" s="414"/>
      <c r="P559" s="414"/>
      <c r="Q559" s="414"/>
      <c r="R559" s="414"/>
      <c r="S559" s="414"/>
      <c r="T559" s="414"/>
      <c r="U559" s="414"/>
    </row>
    <row r="560">
      <c r="A560" s="414"/>
      <c r="B560" s="414"/>
      <c r="C560" s="414"/>
      <c r="D560" s="414"/>
      <c r="E560" s="414"/>
      <c r="F560" s="414"/>
      <c r="G560" s="414"/>
      <c r="H560" s="414"/>
      <c r="I560" s="414"/>
      <c r="J560" s="414"/>
      <c r="K560" s="414"/>
      <c r="L560" s="414"/>
      <c r="M560" s="414"/>
      <c r="N560" s="414"/>
      <c r="O560" s="414"/>
      <c r="P560" s="414"/>
      <c r="Q560" s="414"/>
      <c r="R560" s="414"/>
      <c r="S560" s="414"/>
      <c r="T560" s="414"/>
      <c r="U560" s="414"/>
    </row>
    <row r="561">
      <c r="A561" s="414"/>
      <c r="B561" s="414"/>
      <c r="C561" s="414"/>
      <c r="D561" s="414"/>
      <c r="E561" s="414"/>
      <c r="F561" s="414"/>
      <c r="G561" s="414"/>
      <c r="H561" s="414"/>
      <c r="I561" s="414"/>
      <c r="J561" s="414"/>
      <c r="K561" s="414"/>
      <c r="L561" s="414"/>
      <c r="M561" s="414"/>
      <c r="N561" s="414"/>
      <c r="O561" s="414"/>
      <c r="P561" s="414"/>
      <c r="Q561" s="414"/>
      <c r="R561" s="414"/>
      <c r="S561" s="414"/>
      <c r="T561" s="414"/>
      <c r="U561" s="414"/>
    </row>
    <row r="562">
      <c r="A562" s="414"/>
      <c r="B562" s="414"/>
      <c r="C562" s="414"/>
      <c r="D562" s="414"/>
      <c r="E562" s="414"/>
      <c r="F562" s="414"/>
      <c r="G562" s="414"/>
      <c r="H562" s="414"/>
      <c r="I562" s="414"/>
      <c r="J562" s="414"/>
      <c r="K562" s="414"/>
      <c r="L562" s="414"/>
      <c r="M562" s="414"/>
      <c r="N562" s="414"/>
      <c r="O562" s="414"/>
      <c r="P562" s="414"/>
      <c r="Q562" s="414"/>
      <c r="R562" s="414"/>
      <c r="S562" s="414"/>
      <c r="T562" s="414"/>
      <c r="U562" s="414"/>
    </row>
    <row r="563">
      <c r="A563" s="414"/>
      <c r="B563" s="414"/>
      <c r="C563" s="414"/>
      <c r="D563" s="414"/>
      <c r="E563" s="414"/>
      <c r="F563" s="414"/>
      <c r="G563" s="414"/>
      <c r="H563" s="414"/>
      <c r="I563" s="414"/>
      <c r="J563" s="414"/>
      <c r="K563" s="414"/>
      <c r="L563" s="414"/>
      <c r="M563" s="414"/>
      <c r="N563" s="414"/>
      <c r="O563" s="414"/>
      <c r="P563" s="414"/>
      <c r="Q563" s="414"/>
      <c r="R563" s="414"/>
      <c r="S563" s="414"/>
      <c r="T563" s="414"/>
      <c r="U563" s="414"/>
    </row>
    <row r="564">
      <c r="A564" s="414"/>
      <c r="B564" s="414"/>
      <c r="C564" s="414"/>
      <c r="D564" s="414"/>
      <c r="E564" s="414"/>
      <c r="F564" s="414"/>
      <c r="G564" s="414"/>
      <c r="H564" s="414"/>
      <c r="I564" s="414"/>
      <c r="J564" s="414"/>
      <c r="K564" s="414"/>
      <c r="L564" s="414"/>
      <c r="M564" s="414"/>
      <c r="N564" s="414"/>
      <c r="O564" s="414"/>
      <c r="P564" s="414"/>
      <c r="Q564" s="414"/>
      <c r="R564" s="414"/>
      <c r="S564" s="414"/>
      <c r="T564" s="414"/>
      <c r="U564" s="414"/>
    </row>
    <row r="565">
      <c r="A565" s="414"/>
      <c r="B565" s="414"/>
      <c r="C565" s="414"/>
      <c r="D565" s="414"/>
      <c r="E565" s="414"/>
      <c r="F565" s="414"/>
      <c r="G565" s="414"/>
      <c r="H565" s="414"/>
      <c r="I565" s="414"/>
      <c r="J565" s="414"/>
      <c r="K565" s="414"/>
      <c r="L565" s="414"/>
      <c r="M565" s="414"/>
      <c r="N565" s="414"/>
      <c r="O565" s="414"/>
      <c r="P565" s="414"/>
      <c r="Q565" s="414"/>
      <c r="R565" s="414"/>
      <c r="S565" s="414"/>
      <c r="T565" s="414"/>
      <c r="U565" s="414"/>
    </row>
    <row r="566">
      <c r="A566" s="414"/>
      <c r="B566" s="414"/>
      <c r="C566" s="414"/>
      <c r="D566" s="414"/>
      <c r="E566" s="414"/>
      <c r="F566" s="414"/>
      <c r="G566" s="414"/>
      <c r="H566" s="414"/>
      <c r="I566" s="414"/>
      <c r="J566" s="414"/>
      <c r="K566" s="414"/>
      <c r="L566" s="414"/>
      <c r="M566" s="414"/>
      <c r="N566" s="414"/>
      <c r="O566" s="414"/>
      <c r="P566" s="414"/>
      <c r="Q566" s="414"/>
      <c r="R566" s="414"/>
      <c r="S566" s="414"/>
      <c r="T566" s="414"/>
      <c r="U566" s="414"/>
    </row>
    <row r="567">
      <c r="A567" s="414"/>
      <c r="B567" s="414"/>
      <c r="C567" s="414"/>
      <c r="D567" s="414"/>
      <c r="E567" s="414"/>
      <c r="F567" s="414"/>
      <c r="G567" s="414"/>
      <c r="H567" s="414"/>
      <c r="I567" s="414"/>
      <c r="J567" s="414"/>
      <c r="K567" s="414"/>
      <c r="L567" s="414"/>
      <c r="M567" s="414"/>
      <c r="N567" s="414"/>
      <c r="O567" s="414"/>
      <c r="P567" s="414"/>
      <c r="Q567" s="414"/>
      <c r="R567" s="414"/>
      <c r="S567" s="414"/>
      <c r="T567" s="414"/>
      <c r="U567" s="414"/>
    </row>
    <row r="568">
      <c r="A568" s="414"/>
      <c r="B568" s="414"/>
      <c r="C568" s="414"/>
      <c r="D568" s="414"/>
      <c r="E568" s="414"/>
      <c r="F568" s="414"/>
      <c r="G568" s="414"/>
      <c r="H568" s="414"/>
      <c r="I568" s="414"/>
      <c r="J568" s="414"/>
      <c r="K568" s="414"/>
      <c r="L568" s="414"/>
      <c r="M568" s="414"/>
      <c r="N568" s="414"/>
      <c r="O568" s="414"/>
      <c r="P568" s="414"/>
      <c r="Q568" s="414"/>
      <c r="R568" s="414"/>
      <c r="S568" s="414"/>
      <c r="T568" s="414"/>
      <c r="U568" s="414"/>
    </row>
    <row r="569">
      <c r="A569" s="414"/>
      <c r="B569" s="414"/>
      <c r="C569" s="414"/>
      <c r="D569" s="414"/>
      <c r="E569" s="414"/>
      <c r="F569" s="414"/>
      <c r="G569" s="414"/>
      <c r="H569" s="414"/>
      <c r="I569" s="414"/>
      <c r="J569" s="414"/>
      <c r="K569" s="414"/>
      <c r="L569" s="414"/>
      <c r="M569" s="414"/>
      <c r="N569" s="414"/>
      <c r="O569" s="414"/>
      <c r="P569" s="414"/>
      <c r="Q569" s="414"/>
      <c r="R569" s="414"/>
      <c r="S569" s="414"/>
      <c r="T569" s="414"/>
      <c r="U569" s="414"/>
    </row>
    <row r="570">
      <c r="A570" s="414"/>
      <c r="B570" s="414"/>
      <c r="C570" s="414"/>
      <c r="D570" s="414"/>
      <c r="E570" s="414"/>
      <c r="F570" s="414"/>
      <c r="G570" s="414"/>
      <c r="H570" s="414"/>
      <c r="I570" s="414"/>
      <c r="J570" s="414"/>
      <c r="K570" s="414"/>
      <c r="L570" s="414"/>
      <c r="M570" s="414"/>
      <c r="N570" s="414"/>
      <c r="O570" s="414"/>
      <c r="P570" s="414"/>
      <c r="Q570" s="414"/>
      <c r="R570" s="414"/>
      <c r="S570" s="414"/>
      <c r="T570" s="414"/>
      <c r="U570" s="414"/>
    </row>
    <row r="571">
      <c r="A571" s="414"/>
      <c r="B571" s="414"/>
      <c r="C571" s="414"/>
      <c r="D571" s="414"/>
      <c r="E571" s="414"/>
      <c r="F571" s="414"/>
      <c r="G571" s="414"/>
      <c r="H571" s="414"/>
      <c r="I571" s="414"/>
      <c r="J571" s="414"/>
      <c r="K571" s="414"/>
      <c r="L571" s="414"/>
      <c r="M571" s="414"/>
      <c r="N571" s="414"/>
      <c r="O571" s="414"/>
      <c r="P571" s="414"/>
      <c r="Q571" s="414"/>
      <c r="R571" s="414"/>
      <c r="S571" s="414"/>
      <c r="T571" s="414"/>
      <c r="U571" s="414"/>
    </row>
    <row r="572">
      <c r="A572" s="414"/>
      <c r="B572" s="414"/>
      <c r="C572" s="414"/>
      <c r="D572" s="414"/>
      <c r="E572" s="414"/>
      <c r="F572" s="414"/>
      <c r="G572" s="414"/>
      <c r="H572" s="414"/>
      <c r="I572" s="414"/>
      <c r="J572" s="414"/>
      <c r="K572" s="414"/>
      <c r="L572" s="414"/>
      <c r="M572" s="414"/>
      <c r="N572" s="414"/>
      <c r="O572" s="414"/>
      <c r="P572" s="414"/>
      <c r="Q572" s="414"/>
      <c r="R572" s="414"/>
      <c r="S572" s="414"/>
      <c r="T572" s="414"/>
      <c r="U572" s="414"/>
    </row>
    <row r="573">
      <c r="A573" s="414"/>
      <c r="B573" s="414"/>
      <c r="C573" s="414"/>
      <c r="D573" s="414"/>
      <c r="E573" s="414"/>
      <c r="F573" s="414"/>
      <c r="G573" s="414"/>
      <c r="H573" s="414"/>
      <c r="I573" s="414"/>
      <c r="J573" s="414"/>
      <c r="K573" s="414"/>
      <c r="L573" s="414"/>
      <c r="M573" s="414"/>
      <c r="N573" s="414"/>
      <c r="O573" s="414"/>
      <c r="P573" s="414"/>
      <c r="Q573" s="414"/>
      <c r="R573" s="414"/>
      <c r="S573" s="414"/>
      <c r="T573" s="414"/>
      <c r="U573" s="414"/>
    </row>
    <row r="574">
      <c r="A574" s="414"/>
      <c r="B574" s="414"/>
      <c r="C574" s="414"/>
      <c r="D574" s="414"/>
      <c r="E574" s="414"/>
      <c r="F574" s="414"/>
      <c r="G574" s="414"/>
      <c r="H574" s="414"/>
      <c r="I574" s="414"/>
      <c r="J574" s="414"/>
      <c r="K574" s="414"/>
      <c r="L574" s="414"/>
      <c r="M574" s="414"/>
      <c r="N574" s="414"/>
      <c r="O574" s="414"/>
      <c r="P574" s="414"/>
      <c r="Q574" s="414"/>
      <c r="R574" s="414"/>
      <c r="S574" s="414"/>
      <c r="T574" s="414"/>
      <c r="U574" s="414"/>
    </row>
    <row r="575">
      <c r="A575" s="414"/>
      <c r="B575" s="414"/>
      <c r="C575" s="414"/>
      <c r="D575" s="414"/>
      <c r="E575" s="414"/>
      <c r="F575" s="414"/>
      <c r="G575" s="414"/>
      <c r="H575" s="414"/>
      <c r="I575" s="414"/>
      <c r="J575" s="414"/>
      <c r="K575" s="414"/>
      <c r="L575" s="414"/>
      <c r="M575" s="414"/>
      <c r="N575" s="414"/>
      <c r="O575" s="414"/>
      <c r="P575" s="414"/>
      <c r="Q575" s="414"/>
      <c r="R575" s="414"/>
      <c r="S575" s="414"/>
      <c r="T575" s="414"/>
      <c r="U575" s="414"/>
    </row>
    <row r="576">
      <c r="A576" s="414"/>
      <c r="B576" s="414"/>
      <c r="C576" s="414"/>
      <c r="D576" s="414"/>
      <c r="E576" s="414"/>
      <c r="F576" s="414"/>
      <c r="G576" s="414"/>
      <c r="H576" s="414"/>
      <c r="I576" s="414"/>
      <c r="J576" s="414"/>
      <c r="K576" s="414"/>
      <c r="L576" s="414"/>
      <c r="M576" s="414"/>
      <c r="N576" s="414"/>
      <c r="O576" s="414"/>
      <c r="P576" s="414"/>
      <c r="Q576" s="414"/>
      <c r="R576" s="414"/>
      <c r="S576" s="414"/>
      <c r="T576" s="414"/>
      <c r="U576" s="414"/>
    </row>
    <row r="577">
      <c r="A577" s="414"/>
      <c r="B577" s="414"/>
      <c r="C577" s="414"/>
      <c r="D577" s="414"/>
      <c r="E577" s="414"/>
      <c r="F577" s="414"/>
      <c r="G577" s="414"/>
      <c r="H577" s="414"/>
      <c r="I577" s="414"/>
      <c r="J577" s="414"/>
      <c r="K577" s="414"/>
      <c r="L577" s="414"/>
      <c r="M577" s="414"/>
      <c r="N577" s="414"/>
      <c r="O577" s="414"/>
      <c r="P577" s="414"/>
      <c r="Q577" s="414"/>
      <c r="R577" s="414"/>
      <c r="S577" s="414"/>
      <c r="T577" s="414"/>
      <c r="U577" s="414"/>
    </row>
    <row r="578">
      <c r="A578" s="414"/>
      <c r="B578" s="414"/>
      <c r="C578" s="414"/>
      <c r="D578" s="414"/>
      <c r="E578" s="414"/>
      <c r="F578" s="414"/>
      <c r="G578" s="414"/>
      <c r="H578" s="414"/>
      <c r="I578" s="414"/>
      <c r="J578" s="414"/>
      <c r="K578" s="414"/>
      <c r="L578" s="414"/>
      <c r="M578" s="414"/>
      <c r="N578" s="414"/>
      <c r="O578" s="414"/>
      <c r="P578" s="414"/>
      <c r="Q578" s="414"/>
      <c r="R578" s="414"/>
      <c r="S578" s="414"/>
      <c r="T578" s="414"/>
      <c r="U578" s="414"/>
    </row>
    <row r="579">
      <c r="A579" s="414"/>
      <c r="B579" s="414"/>
      <c r="C579" s="414"/>
      <c r="D579" s="414"/>
      <c r="E579" s="414"/>
      <c r="F579" s="414"/>
      <c r="G579" s="414"/>
      <c r="H579" s="414"/>
      <c r="I579" s="414"/>
      <c r="J579" s="414"/>
      <c r="K579" s="414"/>
      <c r="L579" s="414"/>
      <c r="M579" s="414"/>
      <c r="N579" s="414"/>
      <c r="O579" s="414"/>
      <c r="P579" s="414"/>
      <c r="Q579" s="414"/>
      <c r="R579" s="414"/>
      <c r="S579" s="414"/>
      <c r="T579" s="414"/>
      <c r="U579" s="414"/>
    </row>
    <row r="580">
      <c r="A580" s="414"/>
      <c r="B580" s="414"/>
      <c r="C580" s="414"/>
      <c r="D580" s="414"/>
      <c r="E580" s="414"/>
      <c r="F580" s="414"/>
      <c r="G580" s="414"/>
      <c r="H580" s="414"/>
      <c r="I580" s="414"/>
      <c r="J580" s="414"/>
      <c r="K580" s="414"/>
      <c r="L580" s="414"/>
      <c r="M580" s="414"/>
      <c r="N580" s="414"/>
      <c r="O580" s="414"/>
      <c r="P580" s="414"/>
      <c r="Q580" s="414"/>
      <c r="R580" s="414"/>
      <c r="S580" s="414"/>
      <c r="T580" s="414"/>
      <c r="U580" s="414"/>
    </row>
    <row r="581">
      <c r="A581" s="414"/>
      <c r="B581" s="414"/>
      <c r="C581" s="414"/>
      <c r="D581" s="414"/>
      <c r="E581" s="414"/>
      <c r="F581" s="414"/>
      <c r="G581" s="414"/>
      <c r="H581" s="414"/>
      <c r="I581" s="414"/>
      <c r="J581" s="414"/>
      <c r="K581" s="414"/>
      <c r="L581" s="414"/>
      <c r="M581" s="414"/>
      <c r="N581" s="414"/>
      <c r="O581" s="414"/>
      <c r="P581" s="414"/>
      <c r="Q581" s="414"/>
      <c r="R581" s="414"/>
      <c r="S581" s="414"/>
      <c r="T581" s="414"/>
      <c r="U581" s="414"/>
    </row>
    <row r="582">
      <c r="A582" s="414"/>
      <c r="B582" s="414"/>
      <c r="C582" s="414"/>
      <c r="D582" s="414"/>
      <c r="E582" s="414"/>
      <c r="F582" s="414"/>
      <c r="G582" s="414"/>
      <c r="H582" s="414"/>
      <c r="I582" s="414"/>
      <c r="J582" s="414"/>
      <c r="K582" s="414"/>
      <c r="L582" s="414"/>
      <c r="M582" s="414"/>
      <c r="N582" s="414"/>
      <c r="O582" s="414"/>
      <c r="P582" s="414"/>
      <c r="Q582" s="414"/>
      <c r="R582" s="414"/>
      <c r="S582" s="414"/>
      <c r="T582" s="414"/>
      <c r="U582" s="414"/>
    </row>
    <row r="583">
      <c r="A583" s="414"/>
      <c r="B583" s="414"/>
      <c r="C583" s="414"/>
      <c r="D583" s="414"/>
      <c r="E583" s="414"/>
      <c r="F583" s="414"/>
      <c r="G583" s="414"/>
      <c r="H583" s="414"/>
      <c r="I583" s="414"/>
      <c r="J583" s="414"/>
      <c r="K583" s="414"/>
      <c r="L583" s="414"/>
      <c r="M583" s="414"/>
      <c r="N583" s="414"/>
      <c r="O583" s="414"/>
      <c r="P583" s="414"/>
      <c r="Q583" s="414"/>
      <c r="R583" s="414"/>
      <c r="S583" s="414"/>
      <c r="T583" s="414"/>
      <c r="U583" s="414"/>
    </row>
    <row r="584">
      <c r="A584" s="414"/>
      <c r="B584" s="414"/>
      <c r="C584" s="414"/>
      <c r="D584" s="414"/>
      <c r="E584" s="414"/>
      <c r="F584" s="414"/>
      <c r="G584" s="414"/>
      <c r="H584" s="414"/>
      <c r="I584" s="414"/>
      <c r="J584" s="414"/>
      <c r="K584" s="414"/>
      <c r="L584" s="414"/>
      <c r="M584" s="414"/>
      <c r="N584" s="414"/>
      <c r="O584" s="414"/>
      <c r="P584" s="414"/>
      <c r="Q584" s="414"/>
      <c r="R584" s="414"/>
      <c r="S584" s="414"/>
      <c r="T584" s="414"/>
      <c r="U584" s="414"/>
    </row>
    <row r="585">
      <c r="A585" s="414"/>
      <c r="B585" s="414"/>
      <c r="C585" s="414"/>
      <c r="D585" s="414"/>
      <c r="E585" s="414"/>
      <c r="F585" s="414"/>
      <c r="G585" s="414"/>
      <c r="H585" s="414"/>
      <c r="I585" s="414"/>
      <c r="J585" s="414"/>
      <c r="K585" s="414"/>
      <c r="L585" s="414"/>
      <c r="M585" s="414"/>
      <c r="N585" s="414"/>
      <c r="O585" s="414"/>
      <c r="P585" s="414"/>
      <c r="Q585" s="414"/>
      <c r="R585" s="414"/>
      <c r="S585" s="414"/>
      <c r="T585" s="414"/>
      <c r="U585" s="414"/>
    </row>
    <row r="586">
      <c r="A586" s="414"/>
      <c r="B586" s="414"/>
      <c r="C586" s="414"/>
      <c r="D586" s="414"/>
      <c r="E586" s="414"/>
      <c r="F586" s="414"/>
      <c r="G586" s="414"/>
      <c r="H586" s="414"/>
      <c r="I586" s="414"/>
      <c r="J586" s="414"/>
      <c r="K586" s="414"/>
      <c r="L586" s="414"/>
      <c r="M586" s="414"/>
      <c r="N586" s="414"/>
      <c r="O586" s="414"/>
      <c r="P586" s="414"/>
      <c r="Q586" s="414"/>
      <c r="R586" s="414"/>
      <c r="S586" s="414"/>
      <c r="T586" s="414"/>
      <c r="U586" s="414"/>
    </row>
    <row r="587">
      <c r="A587" s="414"/>
      <c r="B587" s="414"/>
      <c r="C587" s="414"/>
      <c r="D587" s="414"/>
      <c r="E587" s="414"/>
      <c r="F587" s="414"/>
      <c r="G587" s="414"/>
      <c r="H587" s="414"/>
      <c r="I587" s="414"/>
      <c r="J587" s="414"/>
      <c r="K587" s="414"/>
      <c r="L587" s="414"/>
      <c r="M587" s="414"/>
      <c r="N587" s="414"/>
      <c r="O587" s="414"/>
      <c r="P587" s="414"/>
      <c r="Q587" s="414"/>
      <c r="R587" s="414"/>
      <c r="S587" s="414"/>
      <c r="T587" s="414"/>
      <c r="U587" s="414"/>
    </row>
    <row r="588">
      <c r="A588" s="414"/>
      <c r="B588" s="414"/>
      <c r="C588" s="414"/>
      <c r="D588" s="414"/>
      <c r="E588" s="414"/>
      <c r="F588" s="414"/>
      <c r="G588" s="414"/>
      <c r="H588" s="414"/>
      <c r="I588" s="414"/>
      <c r="J588" s="414"/>
      <c r="K588" s="414"/>
      <c r="L588" s="414"/>
      <c r="M588" s="414"/>
      <c r="N588" s="414"/>
      <c r="O588" s="414"/>
      <c r="P588" s="414"/>
      <c r="Q588" s="414"/>
      <c r="R588" s="414"/>
      <c r="S588" s="414"/>
      <c r="T588" s="414"/>
      <c r="U588" s="414"/>
    </row>
    <row r="589">
      <c r="A589" s="414"/>
      <c r="B589" s="414"/>
      <c r="C589" s="414"/>
      <c r="D589" s="414"/>
      <c r="E589" s="414"/>
      <c r="F589" s="414"/>
      <c r="G589" s="414"/>
      <c r="H589" s="414"/>
      <c r="I589" s="414"/>
      <c r="J589" s="414"/>
      <c r="K589" s="414"/>
      <c r="L589" s="414"/>
      <c r="M589" s="414"/>
      <c r="N589" s="414"/>
      <c r="O589" s="414"/>
      <c r="P589" s="414"/>
      <c r="Q589" s="414"/>
      <c r="R589" s="414"/>
      <c r="S589" s="414"/>
      <c r="T589" s="414"/>
      <c r="U589" s="414"/>
    </row>
    <row r="590">
      <c r="A590" s="414"/>
      <c r="B590" s="414"/>
      <c r="C590" s="414"/>
      <c r="D590" s="414"/>
      <c r="E590" s="414"/>
      <c r="F590" s="414"/>
      <c r="G590" s="414"/>
      <c r="H590" s="414"/>
      <c r="I590" s="414"/>
      <c r="J590" s="414"/>
      <c r="K590" s="414"/>
      <c r="L590" s="414"/>
      <c r="M590" s="414"/>
      <c r="N590" s="414"/>
      <c r="O590" s="414"/>
      <c r="P590" s="414"/>
      <c r="Q590" s="414"/>
      <c r="R590" s="414"/>
      <c r="S590" s="414"/>
      <c r="T590" s="414"/>
      <c r="U590" s="414"/>
    </row>
    <row r="591">
      <c r="A591" s="414"/>
      <c r="B591" s="414"/>
      <c r="C591" s="414"/>
      <c r="D591" s="414"/>
      <c r="E591" s="414"/>
      <c r="F591" s="414"/>
      <c r="G591" s="414"/>
      <c r="H591" s="414"/>
      <c r="I591" s="414"/>
      <c r="J591" s="414"/>
      <c r="K591" s="414"/>
      <c r="L591" s="414"/>
      <c r="M591" s="414"/>
      <c r="N591" s="414"/>
      <c r="O591" s="414"/>
      <c r="P591" s="414"/>
      <c r="Q591" s="414"/>
      <c r="R591" s="414"/>
      <c r="S591" s="414"/>
      <c r="T591" s="414"/>
      <c r="U591" s="414"/>
    </row>
    <row r="592">
      <c r="A592" s="414"/>
      <c r="B592" s="414"/>
      <c r="C592" s="414"/>
      <c r="D592" s="414"/>
      <c r="E592" s="414"/>
      <c r="F592" s="414"/>
      <c r="G592" s="414"/>
      <c r="H592" s="414"/>
      <c r="I592" s="414"/>
      <c r="J592" s="414"/>
      <c r="K592" s="414"/>
      <c r="L592" s="414"/>
      <c r="M592" s="414"/>
      <c r="N592" s="414"/>
      <c r="O592" s="414"/>
      <c r="P592" s="414"/>
      <c r="Q592" s="414"/>
      <c r="R592" s="414"/>
      <c r="S592" s="414"/>
      <c r="T592" s="414"/>
      <c r="U592" s="414"/>
    </row>
    <row r="593">
      <c r="A593" s="414"/>
      <c r="B593" s="414"/>
      <c r="C593" s="414"/>
      <c r="D593" s="414"/>
      <c r="E593" s="414"/>
      <c r="F593" s="414"/>
      <c r="G593" s="414"/>
      <c r="H593" s="414"/>
      <c r="I593" s="414"/>
      <c r="J593" s="414"/>
      <c r="K593" s="414"/>
      <c r="L593" s="414"/>
      <c r="M593" s="414"/>
      <c r="N593" s="414"/>
      <c r="O593" s="414"/>
      <c r="P593" s="414"/>
      <c r="Q593" s="414"/>
      <c r="R593" s="414"/>
      <c r="S593" s="414"/>
      <c r="T593" s="414"/>
      <c r="U593" s="414"/>
    </row>
    <row r="594">
      <c r="A594" s="414"/>
      <c r="B594" s="414"/>
      <c r="C594" s="414"/>
      <c r="D594" s="414"/>
      <c r="E594" s="414"/>
      <c r="F594" s="414"/>
      <c r="G594" s="414"/>
      <c r="H594" s="414"/>
      <c r="I594" s="414"/>
      <c r="J594" s="414"/>
      <c r="K594" s="414"/>
      <c r="L594" s="414"/>
      <c r="M594" s="414"/>
      <c r="N594" s="414"/>
      <c r="O594" s="414"/>
      <c r="P594" s="414"/>
      <c r="Q594" s="414"/>
      <c r="R594" s="414"/>
      <c r="S594" s="414"/>
      <c r="T594" s="414"/>
      <c r="U594" s="414"/>
    </row>
    <row r="595">
      <c r="A595" s="414"/>
      <c r="B595" s="414"/>
      <c r="C595" s="414"/>
      <c r="D595" s="414"/>
      <c r="E595" s="414"/>
      <c r="F595" s="414"/>
      <c r="G595" s="414"/>
      <c r="H595" s="414"/>
      <c r="I595" s="414"/>
      <c r="J595" s="414"/>
      <c r="K595" s="414"/>
      <c r="L595" s="414"/>
      <c r="M595" s="414"/>
      <c r="N595" s="414"/>
      <c r="O595" s="414"/>
      <c r="P595" s="414"/>
      <c r="Q595" s="414"/>
      <c r="R595" s="414"/>
      <c r="S595" s="414"/>
      <c r="T595" s="414"/>
      <c r="U595" s="414"/>
    </row>
    <row r="596">
      <c r="A596" s="414"/>
      <c r="B596" s="414"/>
      <c r="C596" s="414"/>
      <c r="D596" s="414"/>
      <c r="E596" s="414"/>
      <c r="F596" s="414"/>
      <c r="G596" s="414"/>
      <c r="H596" s="414"/>
      <c r="I596" s="414"/>
      <c r="J596" s="414"/>
      <c r="K596" s="414"/>
      <c r="L596" s="414"/>
      <c r="M596" s="414"/>
      <c r="N596" s="414"/>
      <c r="O596" s="414"/>
      <c r="P596" s="414"/>
      <c r="Q596" s="414"/>
      <c r="R596" s="414"/>
      <c r="S596" s="414"/>
      <c r="T596" s="414"/>
      <c r="U596" s="414"/>
    </row>
    <row r="597">
      <c r="A597" s="414"/>
      <c r="B597" s="414"/>
      <c r="C597" s="414"/>
      <c r="D597" s="414"/>
      <c r="E597" s="414"/>
      <c r="F597" s="414"/>
      <c r="G597" s="414"/>
      <c r="H597" s="414"/>
      <c r="I597" s="414"/>
      <c r="J597" s="414"/>
      <c r="K597" s="414"/>
      <c r="L597" s="414"/>
      <c r="M597" s="414"/>
      <c r="N597" s="414"/>
      <c r="O597" s="414"/>
      <c r="P597" s="414"/>
      <c r="Q597" s="414"/>
      <c r="R597" s="414"/>
      <c r="S597" s="414"/>
      <c r="T597" s="414"/>
      <c r="U597" s="414"/>
    </row>
    <row r="598">
      <c r="A598" s="414"/>
      <c r="B598" s="414"/>
      <c r="C598" s="414"/>
      <c r="D598" s="414"/>
      <c r="E598" s="414"/>
      <c r="F598" s="414"/>
      <c r="G598" s="414"/>
      <c r="H598" s="414"/>
      <c r="I598" s="414"/>
      <c r="J598" s="414"/>
      <c r="K598" s="414"/>
      <c r="L598" s="414"/>
      <c r="M598" s="414"/>
      <c r="N598" s="414"/>
      <c r="O598" s="414"/>
      <c r="P598" s="414"/>
      <c r="Q598" s="414"/>
      <c r="R598" s="414"/>
      <c r="S598" s="414"/>
      <c r="T598" s="414"/>
      <c r="U598" s="414"/>
    </row>
    <row r="599">
      <c r="A599" s="414"/>
      <c r="B599" s="414"/>
      <c r="C599" s="414"/>
      <c r="D599" s="414"/>
      <c r="E599" s="414"/>
      <c r="F599" s="414"/>
      <c r="G599" s="414"/>
      <c r="H599" s="414"/>
      <c r="I599" s="414"/>
      <c r="J599" s="414"/>
      <c r="K599" s="414"/>
      <c r="L599" s="414"/>
      <c r="M599" s="414"/>
      <c r="N599" s="414"/>
      <c r="O599" s="414"/>
      <c r="P599" s="414"/>
      <c r="Q599" s="414"/>
      <c r="R599" s="414"/>
      <c r="S599" s="414"/>
      <c r="T599" s="414"/>
      <c r="U599" s="414"/>
    </row>
    <row r="600">
      <c r="A600" s="414"/>
      <c r="B600" s="414"/>
      <c r="C600" s="414"/>
      <c r="D600" s="414"/>
      <c r="E600" s="414"/>
      <c r="F600" s="414"/>
      <c r="G600" s="414"/>
      <c r="H600" s="414"/>
      <c r="I600" s="414"/>
      <c r="J600" s="414"/>
      <c r="K600" s="414"/>
      <c r="L600" s="414"/>
      <c r="M600" s="414"/>
      <c r="N600" s="414"/>
      <c r="O600" s="414"/>
      <c r="P600" s="414"/>
      <c r="Q600" s="414"/>
      <c r="R600" s="414"/>
      <c r="S600" s="414"/>
      <c r="T600" s="414"/>
      <c r="U600" s="414"/>
    </row>
    <row r="601">
      <c r="A601" s="414"/>
      <c r="B601" s="414"/>
      <c r="C601" s="414"/>
      <c r="D601" s="414"/>
      <c r="E601" s="414"/>
      <c r="F601" s="414"/>
      <c r="G601" s="414"/>
      <c r="H601" s="414"/>
      <c r="I601" s="414"/>
      <c r="J601" s="414"/>
      <c r="K601" s="414"/>
      <c r="L601" s="414"/>
      <c r="M601" s="414"/>
      <c r="N601" s="414"/>
      <c r="O601" s="414"/>
      <c r="P601" s="414"/>
      <c r="Q601" s="414"/>
      <c r="R601" s="414"/>
      <c r="S601" s="414"/>
      <c r="T601" s="414"/>
      <c r="U601" s="414"/>
    </row>
    <row r="602">
      <c r="A602" s="414"/>
      <c r="B602" s="414"/>
      <c r="C602" s="414"/>
      <c r="D602" s="414"/>
      <c r="E602" s="414"/>
      <c r="F602" s="414"/>
      <c r="G602" s="414"/>
      <c r="H602" s="414"/>
      <c r="I602" s="414"/>
      <c r="J602" s="414"/>
      <c r="K602" s="414"/>
      <c r="L602" s="414"/>
      <c r="M602" s="414"/>
      <c r="N602" s="414"/>
      <c r="O602" s="414"/>
      <c r="P602" s="414"/>
      <c r="Q602" s="414"/>
      <c r="R602" s="414"/>
      <c r="S602" s="414"/>
      <c r="T602" s="414"/>
      <c r="U602" s="414"/>
    </row>
    <row r="603">
      <c r="A603" s="414"/>
      <c r="B603" s="414"/>
      <c r="C603" s="414"/>
      <c r="D603" s="414"/>
      <c r="E603" s="414"/>
      <c r="F603" s="414"/>
      <c r="G603" s="414"/>
      <c r="H603" s="414"/>
      <c r="I603" s="414"/>
      <c r="J603" s="414"/>
      <c r="K603" s="414"/>
      <c r="L603" s="414"/>
      <c r="M603" s="414"/>
      <c r="N603" s="414"/>
      <c r="O603" s="414"/>
      <c r="P603" s="414"/>
      <c r="Q603" s="414"/>
      <c r="R603" s="414"/>
      <c r="S603" s="414"/>
      <c r="T603" s="414"/>
      <c r="U603" s="414"/>
    </row>
    <row r="604">
      <c r="A604" s="414"/>
      <c r="B604" s="414"/>
      <c r="C604" s="414"/>
      <c r="D604" s="414"/>
      <c r="E604" s="414"/>
      <c r="F604" s="414"/>
      <c r="G604" s="414"/>
      <c r="H604" s="414"/>
      <c r="I604" s="414"/>
      <c r="J604" s="414"/>
      <c r="K604" s="414"/>
      <c r="L604" s="414"/>
      <c r="M604" s="414"/>
      <c r="N604" s="414"/>
      <c r="O604" s="414"/>
      <c r="P604" s="414"/>
      <c r="Q604" s="414"/>
      <c r="R604" s="414"/>
      <c r="S604" s="414"/>
      <c r="T604" s="414"/>
      <c r="U604" s="414"/>
    </row>
    <row r="605">
      <c r="A605" s="414"/>
      <c r="B605" s="414"/>
      <c r="C605" s="414"/>
      <c r="D605" s="414"/>
      <c r="E605" s="414"/>
      <c r="F605" s="414"/>
      <c r="G605" s="414"/>
      <c r="H605" s="414"/>
      <c r="I605" s="414"/>
      <c r="J605" s="414"/>
      <c r="K605" s="414"/>
      <c r="L605" s="414"/>
      <c r="M605" s="414"/>
      <c r="N605" s="414"/>
      <c r="O605" s="414"/>
      <c r="P605" s="414"/>
      <c r="Q605" s="414"/>
      <c r="R605" s="414"/>
      <c r="S605" s="414"/>
      <c r="T605" s="414"/>
      <c r="U605" s="414"/>
    </row>
    <row r="606">
      <c r="A606" s="414"/>
      <c r="B606" s="414"/>
      <c r="C606" s="414"/>
      <c r="D606" s="414"/>
      <c r="E606" s="414"/>
      <c r="F606" s="414"/>
      <c r="G606" s="414"/>
      <c r="H606" s="414"/>
      <c r="I606" s="414"/>
      <c r="J606" s="414"/>
      <c r="K606" s="414"/>
      <c r="L606" s="414"/>
      <c r="M606" s="414"/>
      <c r="N606" s="414"/>
      <c r="O606" s="414"/>
      <c r="P606" s="414"/>
      <c r="Q606" s="414"/>
      <c r="R606" s="414"/>
      <c r="S606" s="414"/>
      <c r="T606" s="414"/>
      <c r="U606" s="414"/>
    </row>
    <row r="607">
      <c r="A607" s="414"/>
      <c r="B607" s="414"/>
      <c r="C607" s="414"/>
      <c r="D607" s="414"/>
      <c r="E607" s="414"/>
      <c r="F607" s="414"/>
      <c r="G607" s="414"/>
      <c r="H607" s="414"/>
      <c r="I607" s="414"/>
      <c r="J607" s="414"/>
      <c r="K607" s="414"/>
      <c r="L607" s="414"/>
      <c r="M607" s="414"/>
      <c r="N607" s="414"/>
      <c r="O607" s="414"/>
      <c r="P607" s="414"/>
      <c r="Q607" s="414"/>
      <c r="R607" s="414"/>
      <c r="S607" s="414"/>
      <c r="T607" s="414"/>
      <c r="U607" s="414"/>
    </row>
    <row r="608">
      <c r="A608" s="414"/>
      <c r="B608" s="414"/>
      <c r="C608" s="414"/>
      <c r="D608" s="414"/>
      <c r="E608" s="414"/>
      <c r="F608" s="414"/>
      <c r="G608" s="414"/>
      <c r="H608" s="414"/>
      <c r="I608" s="414"/>
      <c r="J608" s="414"/>
      <c r="K608" s="414"/>
      <c r="L608" s="414"/>
      <c r="M608" s="414"/>
      <c r="N608" s="414"/>
      <c r="O608" s="414"/>
      <c r="P608" s="414"/>
      <c r="Q608" s="414"/>
      <c r="R608" s="414"/>
      <c r="S608" s="414"/>
      <c r="T608" s="414"/>
      <c r="U608" s="414"/>
    </row>
    <row r="609">
      <c r="A609" s="414"/>
      <c r="B609" s="414"/>
      <c r="C609" s="414"/>
      <c r="D609" s="414"/>
      <c r="E609" s="414"/>
      <c r="F609" s="414"/>
      <c r="G609" s="414"/>
      <c r="H609" s="414"/>
      <c r="I609" s="414"/>
      <c r="J609" s="414"/>
      <c r="K609" s="414"/>
      <c r="L609" s="414"/>
      <c r="M609" s="414"/>
      <c r="N609" s="414"/>
      <c r="O609" s="414"/>
      <c r="P609" s="414"/>
      <c r="Q609" s="414"/>
      <c r="R609" s="414"/>
      <c r="S609" s="414"/>
      <c r="T609" s="414"/>
      <c r="U609" s="414"/>
    </row>
    <row r="610">
      <c r="A610" s="414"/>
      <c r="B610" s="414"/>
      <c r="C610" s="414"/>
      <c r="D610" s="414"/>
      <c r="E610" s="414"/>
      <c r="F610" s="414"/>
      <c r="G610" s="414"/>
      <c r="H610" s="414"/>
      <c r="I610" s="414"/>
      <c r="J610" s="414"/>
      <c r="K610" s="414"/>
      <c r="L610" s="414"/>
      <c r="M610" s="414"/>
      <c r="N610" s="414"/>
      <c r="O610" s="414"/>
      <c r="P610" s="414"/>
      <c r="Q610" s="414"/>
      <c r="R610" s="414"/>
      <c r="S610" s="414"/>
      <c r="T610" s="414"/>
      <c r="U610" s="414"/>
    </row>
    <row r="611">
      <c r="A611" s="414"/>
      <c r="B611" s="414"/>
      <c r="C611" s="414"/>
      <c r="D611" s="414"/>
      <c r="E611" s="414"/>
      <c r="F611" s="414"/>
      <c r="G611" s="414"/>
      <c r="H611" s="414"/>
      <c r="I611" s="414"/>
      <c r="J611" s="414"/>
      <c r="K611" s="414"/>
      <c r="L611" s="414"/>
      <c r="M611" s="414"/>
      <c r="N611" s="414"/>
      <c r="O611" s="414"/>
      <c r="P611" s="414"/>
      <c r="Q611" s="414"/>
      <c r="R611" s="414"/>
      <c r="S611" s="414"/>
      <c r="T611" s="414"/>
      <c r="U611" s="414"/>
    </row>
    <row r="612">
      <c r="A612" s="414"/>
      <c r="B612" s="414"/>
      <c r="C612" s="414"/>
      <c r="D612" s="414"/>
      <c r="E612" s="414"/>
      <c r="F612" s="414"/>
      <c r="G612" s="414"/>
      <c r="H612" s="414"/>
      <c r="I612" s="414"/>
      <c r="J612" s="414"/>
      <c r="K612" s="414"/>
      <c r="L612" s="414"/>
      <c r="M612" s="414"/>
      <c r="N612" s="414"/>
      <c r="O612" s="414"/>
      <c r="P612" s="414"/>
      <c r="Q612" s="414"/>
      <c r="R612" s="414"/>
      <c r="S612" s="414"/>
      <c r="T612" s="414"/>
      <c r="U612" s="414"/>
    </row>
    <row r="613">
      <c r="A613" s="414"/>
      <c r="B613" s="414"/>
      <c r="C613" s="414"/>
      <c r="D613" s="414"/>
      <c r="E613" s="414"/>
      <c r="F613" s="414"/>
      <c r="G613" s="414"/>
      <c r="H613" s="414"/>
      <c r="I613" s="414"/>
      <c r="J613" s="414"/>
      <c r="K613" s="414"/>
      <c r="L613" s="414"/>
      <c r="M613" s="414"/>
      <c r="N613" s="414"/>
      <c r="O613" s="414"/>
      <c r="P613" s="414"/>
      <c r="Q613" s="414"/>
      <c r="R613" s="414"/>
      <c r="S613" s="414"/>
      <c r="T613" s="414"/>
      <c r="U613" s="414"/>
    </row>
    <row r="614">
      <c r="A614" s="414"/>
      <c r="B614" s="414"/>
      <c r="C614" s="414"/>
      <c r="D614" s="414"/>
      <c r="E614" s="414"/>
      <c r="F614" s="414"/>
      <c r="G614" s="414"/>
      <c r="H614" s="414"/>
      <c r="I614" s="414"/>
      <c r="J614" s="414"/>
      <c r="K614" s="414"/>
      <c r="L614" s="414"/>
      <c r="M614" s="414"/>
      <c r="N614" s="414"/>
      <c r="O614" s="414"/>
      <c r="P614" s="414"/>
      <c r="Q614" s="414"/>
      <c r="R614" s="414"/>
      <c r="S614" s="414"/>
      <c r="T614" s="414"/>
      <c r="U614" s="414"/>
    </row>
    <row r="615">
      <c r="A615" s="414"/>
      <c r="B615" s="414"/>
      <c r="C615" s="414"/>
      <c r="D615" s="414"/>
      <c r="E615" s="414"/>
      <c r="F615" s="414"/>
      <c r="G615" s="414"/>
      <c r="H615" s="414"/>
      <c r="I615" s="414"/>
      <c r="J615" s="414"/>
      <c r="K615" s="414"/>
      <c r="L615" s="414"/>
      <c r="M615" s="414"/>
      <c r="N615" s="414"/>
      <c r="O615" s="414"/>
      <c r="P615" s="414"/>
      <c r="Q615" s="414"/>
      <c r="R615" s="414"/>
      <c r="S615" s="414"/>
      <c r="T615" s="414"/>
      <c r="U615" s="414"/>
    </row>
    <row r="616">
      <c r="A616" s="414"/>
      <c r="B616" s="414"/>
      <c r="C616" s="414"/>
      <c r="D616" s="414"/>
      <c r="E616" s="414"/>
      <c r="F616" s="414"/>
      <c r="G616" s="414"/>
      <c r="H616" s="414"/>
      <c r="I616" s="414"/>
      <c r="J616" s="414"/>
      <c r="K616" s="414"/>
      <c r="L616" s="414"/>
      <c r="M616" s="414"/>
      <c r="N616" s="414"/>
      <c r="O616" s="414"/>
      <c r="P616" s="414"/>
      <c r="Q616" s="414"/>
      <c r="R616" s="414"/>
      <c r="S616" s="414"/>
      <c r="T616" s="414"/>
      <c r="U616" s="414"/>
    </row>
    <row r="617">
      <c r="A617" s="414"/>
      <c r="B617" s="414"/>
      <c r="C617" s="414"/>
      <c r="D617" s="414"/>
      <c r="E617" s="414"/>
      <c r="F617" s="414"/>
      <c r="G617" s="414"/>
      <c r="H617" s="414"/>
      <c r="I617" s="414"/>
      <c r="J617" s="414"/>
      <c r="K617" s="414"/>
      <c r="L617" s="414"/>
      <c r="M617" s="414"/>
      <c r="N617" s="414"/>
      <c r="O617" s="414"/>
      <c r="P617" s="414"/>
      <c r="Q617" s="414"/>
      <c r="R617" s="414"/>
      <c r="S617" s="414"/>
      <c r="T617" s="414"/>
      <c r="U617" s="414"/>
    </row>
    <row r="618">
      <c r="A618" s="414"/>
      <c r="B618" s="414"/>
      <c r="C618" s="414"/>
      <c r="D618" s="414"/>
      <c r="E618" s="414"/>
      <c r="F618" s="414"/>
      <c r="G618" s="414"/>
      <c r="H618" s="414"/>
      <c r="I618" s="414"/>
      <c r="J618" s="414"/>
      <c r="K618" s="414"/>
      <c r="L618" s="414"/>
      <c r="M618" s="414"/>
      <c r="N618" s="414"/>
      <c r="O618" s="414"/>
      <c r="P618" s="414"/>
      <c r="Q618" s="414"/>
      <c r="R618" s="414"/>
      <c r="S618" s="414"/>
      <c r="T618" s="414"/>
      <c r="U618" s="414"/>
    </row>
    <row r="619">
      <c r="A619" s="414"/>
      <c r="B619" s="414"/>
      <c r="C619" s="414"/>
      <c r="D619" s="414"/>
      <c r="E619" s="414"/>
      <c r="F619" s="414"/>
      <c r="G619" s="414"/>
      <c r="H619" s="414"/>
      <c r="I619" s="414"/>
      <c r="J619" s="414"/>
      <c r="K619" s="414"/>
      <c r="L619" s="414"/>
      <c r="M619" s="414"/>
      <c r="N619" s="414"/>
      <c r="O619" s="414"/>
      <c r="P619" s="414"/>
      <c r="Q619" s="414"/>
      <c r="R619" s="414"/>
      <c r="S619" s="414"/>
      <c r="T619" s="414"/>
      <c r="U619" s="414"/>
    </row>
    <row r="620">
      <c r="A620" s="414"/>
      <c r="B620" s="414"/>
      <c r="C620" s="414"/>
      <c r="D620" s="414"/>
      <c r="E620" s="414"/>
      <c r="F620" s="414"/>
      <c r="G620" s="414"/>
      <c r="H620" s="414"/>
      <c r="I620" s="414"/>
      <c r="J620" s="414"/>
      <c r="K620" s="414"/>
      <c r="L620" s="414"/>
      <c r="M620" s="414"/>
      <c r="N620" s="414"/>
      <c r="O620" s="414"/>
      <c r="P620" s="414"/>
      <c r="Q620" s="414"/>
      <c r="R620" s="414"/>
      <c r="S620" s="414"/>
      <c r="T620" s="414"/>
      <c r="U620" s="414"/>
    </row>
    <row r="621">
      <c r="A621" s="414"/>
      <c r="B621" s="414"/>
      <c r="C621" s="414"/>
      <c r="D621" s="414"/>
      <c r="E621" s="414"/>
      <c r="F621" s="414"/>
      <c r="G621" s="414"/>
      <c r="H621" s="414"/>
      <c r="I621" s="414"/>
      <c r="J621" s="414"/>
      <c r="K621" s="414"/>
      <c r="L621" s="414"/>
      <c r="M621" s="414"/>
      <c r="N621" s="414"/>
      <c r="O621" s="414"/>
      <c r="P621" s="414"/>
      <c r="Q621" s="414"/>
      <c r="R621" s="414"/>
      <c r="S621" s="414"/>
      <c r="T621" s="414"/>
      <c r="U621" s="414"/>
    </row>
    <row r="622">
      <c r="A622" s="414"/>
      <c r="B622" s="414"/>
      <c r="C622" s="414"/>
      <c r="D622" s="414"/>
      <c r="E622" s="414"/>
      <c r="F622" s="414"/>
      <c r="G622" s="414"/>
      <c r="H622" s="414"/>
      <c r="I622" s="414"/>
      <c r="J622" s="414"/>
      <c r="K622" s="414"/>
      <c r="L622" s="414"/>
      <c r="M622" s="414"/>
      <c r="N622" s="414"/>
      <c r="O622" s="414"/>
      <c r="P622" s="414"/>
      <c r="Q622" s="414"/>
      <c r="R622" s="414"/>
      <c r="S622" s="414"/>
      <c r="T622" s="414"/>
      <c r="U622" s="414"/>
    </row>
    <row r="623">
      <c r="A623" s="414"/>
      <c r="B623" s="414"/>
      <c r="C623" s="414"/>
      <c r="D623" s="414"/>
      <c r="E623" s="414"/>
      <c r="F623" s="414"/>
      <c r="G623" s="414"/>
      <c r="H623" s="414"/>
      <c r="I623" s="414"/>
      <c r="J623" s="414"/>
      <c r="K623" s="414"/>
      <c r="L623" s="414"/>
      <c r="M623" s="414"/>
      <c r="N623" s="414"/>
      <c r="O623" s="414"/>
      <c r="P623" s="414"/>
      <c r="Q623" s="414"/>
      <c r="R623" s="414"/>
      <c r="S623" s="414"/>
      <c r="T623" s="414"/>
      <c r="U623" s="414"/>
    </row>
    <row r="624">
      <c r="A624" s="414"/>
      <c r="B624" s="414"/>
      <c r="C624" s="414"/>
      <c r="D624" s="414"/>
      <c r="E624" s="414"/>
      <c r="F624" s="414"/>
      <c r="G624" s="414"/>
      <c r="H624" s="414"/>
      <c r="I624" s="414"/>
      <c r="J624" s="414"/>
      <c r="K624" s="414"/>
      <c r="L624" s="414"/>
      <c r="M624" s="414"/>
      <c r="N624" s="414"/>
      <c r="O624" s="414"/>
      <c r="P624" s="414"/>
      <c r="Q624" s="414"/>
      <c r="R624" s="414"/>
      <c r="S624" s="414"/>
      <c r="T624" s="414"/>
      <c r="U624" s="414"/>
    </row>
    <row r="625">
      <c r="A625" s="414"/>
      <c r="B625" s="414"/>
      <c r="C625" s="414"/>
      <c r="D625" s="414"/>
      <c r="E625" s="414"/>
      <c r="F625" s="414"/>
      <c r="G625" s="414"/>
      <c r="H625" s="414"/>
      <c r="I625" s="414"/>
      <c r="J625" s="414"/>
      <c r="K625" s="414"/>
      <c r="L625" s="414"/>
      <c r="M625" s="414"/>
      <c r="N625" s="414"/>
      <c r="O625" s="414"/>
      <c r="P625" s="414"/>
      <c r="Q625" s="414"/>
      <c r="R625" s="414"/>
      <c r="S625" s="414"/>
      <c r="T625" s="414"/>
      <c r="U625" s="414"/>
    </row>
    <row r="626">
      <c r="A626" s="414"/>
      <c r="B626" s="414"/>
      <c r="C626" s="414"/>
      <c r="D626" s="414"/>
      <c r="E626" s="414"/>
      <c r="F626" s="414"/>
      <c r="G626" s="414"/>
      <c r="H626" s="414"/>
      <c r="I626" s="414"/>
      <c r="J626" s="414"/>
      <c r="K626" s="414"/>
      <c r="L626" s="414"/>
      <c r="M626" s="414"/>
      <c r="N626" s="414"/>
      <c r="O626" s="414"/>
      <c r="P626" s="414"/>
      <c r="Q626" s="414"/>
      <c r="R626" s="414"/>
      <c r="S626" s="414"/>
      <c r="T626" s="414"/>
      <c r="U626" s="414"/>
    </row>
    <row r="627">
      <c r="A627" s="414"/>
      <c r="B627" s="414"/>
      <c r="C627" s="414"/>
      <c r="D627" s="414"/>
      <c r="E627" s="414"/>
      <c r="F627" s="414"/>
      <c r="G627" s="414"/>
      <c r="H627" s="414"/>
      <c r="I627" s="414"/>
      <c r="J627" s="414"/>
      <c r="K627" s="414"/>
      <c r="L627" s="414"/>
      <c r="M627" s="414"/>
      <c r="N627" s="414"/>
      <c r="O627" s="414"/>
      <c r="P627" s="414"/>
      <c r="Q627" s="414"/>
      <c r="R627" s="414"/>
      <c r="S627" s="414"/>
      <c r="T627" s="414"/>
      <c r="U627" s="414"/>
    </row>
    <row r="628">
      <c r="A628" s="414"/>
      <c r="B628" s="414"/>
      <c r="C628" s="414"/>
      <c r="D628" s="414"/>
      <c r="E628" s="414"/>
      <c r="F628" s="414"/>
      <c r="G628" s="414"/>
      <c r="H628" s="414"/>
      <c r="I628" s="414"/>
      <c r="J628" s="414"/>
      <c r="K628" s="414"/>
      <c r="L628" s="414"/>
      <c r="M628" s="414"/>
      <c r="N628" s="414"/>
      <c r="O628" s="414"/>
      <c r="P628" s="414"/>
      <c r="Q628" s="414"/>
      <c r="R628" s="414"/>
      <c r="S628" s="414"/>
      <c r="T628" s="414"/>
      <c r="U628" s="414"/>
    </row>
    <row r="629">
      <c r="A629" s="414"/>
      <c r="B629" s="414"/>
      <c r="C629" s="414"/>
      <c r="D629" s="414"/>
      <c r="E629" s="414"/>
      <c r="F629" s="414"/>
      <c r="G629" s="414"/>
      <c r="H629" s="414"/>
      <c r="I629" s="414"/>
      <c r="J629" s="414"/>
      <c r="K629" s="414"/>
      <c r="L629" s="414"/>
      <c r="M629" s="414"/>
      <c r="N629" s="414"/>
      <c r="O629" s="414"/>
      <c r="P629" s="414"/>
      <c r="Q629" s="414"/>
      <c r="R629" s="414"/>
      <c r="S629" s="414"/>
      <c r="T629" s="414"/>
      <c r="U629" s="414"/>
    </row>
    <row r="630">
      <c r="A630" s="414"/>
      <c r="B630" s="414"/>
      <c r="C630" s="414"/>
      <c r="D630" s="414"/>
      <c r="E630" s="414"/>
      <c r="F630" s="414"/>
      <c r="G630" s="414"/>
      <c r="H630" s="414"/>
      <c r="I630" s="414"/>
      <c r="J630" s="414"/>
      <c r="K630" s="414"/>
      <c r="L630" s="414"/>
      <c r="M630" s="414"/>
      <c r="N630" s="414"/>
      <c r="O630" s="414"/>
      <c r="P630" s="414"/>
      <c r="Q630" s="414"/>
      <c r="R630" s="414"/>
      <c r="S630" s="414"/>
      <c r="T630" s="414"/>
      <c r="U630" s="414"/>
    </row>
    <row r="631">
      <c r="A631" s="414"/>
      <c r="B631" s="414"/>
      <c r="C631" s="414"/>
      <c r="D631" s="414"/>
      <c r="E631" s="414"/>
      <c r="F631" s="414"/>
      <c r="G631" s="414"/>
      <c r="H631" s="414"/>
      <c r="I631" s="414"/>
      <c r="J631" s="414"/>
      <c r="K631" s="414"/>
      <c r="L631" s="414"/>
      <c r="M631" s="414"/>
      <c r="N631" s="414"/>
      <c r="O631" s="414"/>
      <c r="P631" s="414"/>
      <c r="Q631" s="414"/>
      <c r="R631" s="414"/>
      <c r="S631" s="414"/>
      <c r="T631" s="414"/>
      <c r="U631" s="414"/>
    </row>
    <row r="632">
      <c r="A632" s="414"/>
      <c r="B632" s="414"/>
      <c r="C632" s="414"/>
      <c r="D632" s="414"/>
      <c r="E632" s="414"/>
      <c r="F632" s="414"/>
      <c r="G632" s="414"/>
      <c r="H632" s="414"/>
      <c r="I632" s="414"/>
      <c r="J632" s="414"/>
      <c r="K632" s="414"/>
      <c r="L632" s="414"/>
      <c r="M632" s="414"/>
      <c r="N632" s="414"/>
      <c r="O632" s="414"/>
      <c r="P632" s="414"/>
      <c r="Q632" s="414"/>
      <c r="R632" s="414"/>
      <c r="S632" s="414"/>
      <c r="T632" s="414"/>
      <c r="U632" s="414"/>
    </row>
    <row r="633">
      <c r="A633" s="414"/>
      <c r="B633" s="414"/>
      <c r="C633" s="414"/>
      <c r="D633" s="414"/>
      <c r="E633" s="414"/>
      <c r="F633" s="414"/>
      <c r="G633" s="414"/>
      <c r="H633" s="414"/>
      <c r="I633" s="414"/>
      <c r="J633" s="414"/>
      <c r="K633" s="414"/>
      <c r="L633" s="414"/>
      <c r="M633" s="414"/>
      <c r="N633" s="414"/>
      <c r="O633" s="414"/>
      <c r="P633" s="414"/>
      <c r="Q633" s="414"/>
      <c r="R633" s="414"/>
      <c r="S633" s="414"/>
      <c r="T633" s="414"/>
      <c r="U633" s="414"/>
    </row>
    <row r="634">
      <c r="A634" s="414"/>
      <c r="B634" s="414"/>
      <c r="C634" s="414"/>
      <c r="D634" s="414"/>
      <c r="E634" s="414"/>
      <c r="F634" s="414"/>
      <c r="G634" s="414"/>
      <c r="H634" s="414"/>
      <c r="I634" s="414"/>
      <c r="J634" s="414"/>
      <c r="K634" s="414"/>
      <c r="L634" s="414"/>
      <c r="M634" s="414"/>
      <c r="N634" s="414"/>
      <c r="O634" s="414"/>
      <c r="P634" s="414"/>
      <c r="Q634" s="414"/>
      <c r="R634" s="414"/>
      <c r="S634" s="414"/>
      <c r="T634" s="414"/>
      <c r="U634" s="414"/>
    </row>
    <row r="635">
      <c r="A635" s="414"/>
      <c r="B635" s="414"/>
      <c r="C635" s="414"/>
      <c r="D635" s="414"/>
      <c r="E635" s="414"/>
      <c r="F635" s="414"/>
      <c r="G635" s="414"/>
      <c r="H635" s="414"/>
      <c r="I635" s="414"/>
      <c r="J635" s="414"/>
      <c r="K635" s="414"/>
      <c r="L635" s="414"/>
      <c r="M635" s="414"/>
      <c r="N635" s="414"/>
      <c r="O635" s="414"/>
      <c r="P635" s="414"/>
      <c r="Q635" s="414"/>
      <c r="R635" s="414"/>
      <c r="S635" s="414"/>
      <c r="T635" s="414"/>
      <c r="U635" s="414"/>
    </row>
    <row r="636">
      <c r="A636" s="414"/>
      <c r="B636" s="414"/>
      <c r="C636" s="414"/>
      <c r="D636" s="414"/>
      <c r="E636" s="414"/>
      <c r="F636" s="414"/>
      <c r="G636" s="414"/>
      <c r="H636" s="414"/>
      <c r="I636" s="414"/>
      <c r="J636" s="414"/>
      <c r="K636" s="414"/>
      <c r="L636" s="414"/>
      <c r="M636" s="414"/>
      <c r="N636" s="414"/>
      <c r="O636" s="414"/>
      <c r="P636" s="414"/>
      <c r="Q636" s="414"/>
      <c r="R636" s="414"/>
      <c r="S636" s="414"/>
      <c r="T636" s="414"/>
      <c r="U636" s="414"/>
    </row>
    <row r="637">
      <c r="A637" s="414"/>
      <c r="B637" s="414"/>
      <c r="C637" s="414"/>
      <c r="D637" s="414"/>
      <c r="E637" s="414"/>
      <c r="F637" s="414"/>
      <c r="G637" s="414"/>
      <c r="H637" s="414"/>
      <c r="I637" s="414"/>
      <c r="J637" s="414"/>
      <c r="K637" s="414"/>
      <c r="L637" s="414"/>
      <c r="M637" s="414"/>
      <c r="N637" s="414"/>
      <c r="O637" s="414"/>
      <c r="P637" s="414"/>
      <c r="Q637" s="414"/>
      <c r="R637" s="414"/>
      <c r="S637" s="414"/>
      <c r="T637" s="414"/>
      <c r="U637" s="414"/>
    </row>
    <row r="638">
      <c r="A638" s="414"/>
      <c r="B638" s="414"/>
      <c r="C638" s="414"/>
      <c r="D638" s="414"/>
      <c r="E638" s="414"/>
      <c r="F638" s="414"/>
      <c r="G638" s="414"/>
      <c r="H638" s="414"/>
      <c r="I638" s="414"/>
      <c r="J638" s="414"/>
      <c r="K638" s="414"/>
      <c r="L638" s="414"/>
      <c r="M638" s="414"/>
      <c r="N638" s="414"/>
      <c r="O638" s="414"/>
      <c r="P638" s="414"/>
      <c r="Q638" s="414"/>
      <c r="R638" s="414"/>
      <c r="S638" s="414"/>
      <c r="T638" s="414"/>
      <c r="U638" s="414"/>
    </row>
    <row r="639">
      <c r="A639" s="414"/>
      <c r="B639" s="414"/>
      <c r="C639" s="414"/>
      <c r="D639" s="414"/>
      <c r="E639" s="414"/>
      <c r="F639" s="414"/>
      <c r="G639" s="414"/>
      <c r="H639" s="414"/>
      <c r="I639" s="414"/>
      <c r="J639" s="414"/>
      <c r="K639" s="414"/>
      <c r="L639" s="414"/>
      <c r="M639" s="414"/>
      <c r="N639" s="414"/>
      <c r="O639" s="414"/>
      <c r="P639" s="414"/>
      <c r="Q639" s="414"/>
      <c r="R639" s="414"/>
      <c r="S639" s="414"/>
      <c r="T639" s="414"/>
      <c r="U639" s="414"/>
    </row>
    <row r="640">
      <c r="A640" s="414"/>
      <c r="B640" s="414"/>
      <c r="C640" s="414"/>
      <c r="D640" s="414"/>
      <c r="E640" s="414"/>
      <c r="F640" s="414"/>
      <c r="G640" s="414"/>
      <c r="H640" s="414"/>
      <c r="I640" s="414"/>
      <c r="J640" s="414"/>
      <c r="K640" s="414"/>
      <c r="L640" s="414"/>
      <c r="M640" s="414"/>
      <c r="N640" s="414"/>
      <c r="O640" s="414"/>
      <c r="P640" s="414"/>
      <c r="Q640" s="414"/>
      <c r="R640" s="414"/>
      <c r="S640" s="414"/>
      <c r="T640" s="414"/>
      <c r="U640" s="414"/>
    </row>
    <row r="641">
      <c r="A641" s="414"/>
      <c r="B641" s="414"/>
      <c r="C641" s="414"/>
      <c r="D641" s="414"/>
      <c r="E641" s="414"/>
      <c r="F641" s="414"/>
      <c r="G641" s="414"/>
      <c r="H641" s="414"/>
      <c r="I641" s="414"/>
      <c r="J641" s="414"/>
      <c r="K641" s="414"/>
      <c r="L641" s="414"/>
      <c r="M641" s="414"/>
      <c r="N641" s="414"/>
      <c r="O641" s="414"/>
      <c r="P641" s="414"/>
      <c r="Q641" s="414"/>
      <c r="R641" s="414"/>
      <c r="S641" s="414"/>
      <c r="T641" s="414"/>
      <c r="U641" s="414"/>
    </row>
    <row r="642">
      <c r="A642" s="414"/>
      <c r="B642" s="414"/>
      <c r="C642" s="414"/>
      <c r="D642" s="414"/>
      <c r="E642" s="414"/>
      <c r="F642" s="414"/>
      <c r="G642" s="414"/>
      <c r="H642" s="414"/>
      <c r="I642" s="414"/>
      <c r="J642" s="414"/>
      <c r="K642" s="414"/>
      <c r="L642" s="414"/>
      <c r="M642" s="414"/>
      <c r="N642" s="414"/>
      <c r="O642" s="414"/>
      <c r="P642" s="414"/>
      <c r="Q642" s="414"/>
      <c r="R642" s="414"/>
      <c r="S642" s="414"/>
      <c r="T642" s="414"/>
      <c r="U642" s="414"/>
    </row>
    <row r="643">
      <c r="A643" s="414"/>
      <c r="B643" s="414"/>
      <c r="C643" s="414"/>
      <c r="D643" s="414"/>
      <c r="E643" s="414"/>
      <c r="F643" s="414"/>
      <c r="G643" s="414"/>
      <c r="H643" s="414"/>
      <c r="I643" s="414"/>
      <c r="J643" s="414"/>
      <c r="K643" s="414"/>
      <c r="L643" s="414"/>
      <c r="M643" s="414"/>
      <c r="N643" s="414"/>
      <c r="O643" s="414"/>
      <c r="P643" s="414"/>
      <c r="Q643" s="414"/>
      <c r="R643" s="414"/>
      <c r="S643" s="414"/>
      <c r="T643" s="414"/>
      <c r="U643" s="414"/>
    </row>
    <row r="644">
      <c r="A644" s="414"/>
      <c r="B644" s="414"/>
      <c r="C644" s="414"/>
      <c r="D644" s="414"/>
      <c r="E644" s="414"/>
      <c r="F644" s="414"/>
      <c r="G644" s="414"/>
      <c r="H644" s="414"/>
      <c r="I644" s="414"/>
      <c r="J644" s="414"/>
      <c r="K644" s="414"/>
      <c r="L644" s="414"/>
      <c r="M644" s="414"/>
      <c r="N644" s="414"/>
      <c r="O644" s="414"/>
      <c r="P644" s="414"/>
      <c r="Q644" s="414"/>
      <c r="R644" s="414"/>
      <c r="S644" s="414"/>
      <c r="T644" s="414"/>
      <c r="U644" s="414"/>
    </row>
    <row r="645">
      <c r="A645" s="414"/>
      <c r="B645" s="414"/>
      <c r="C645" s="414"/>
      <c r="D645" s="414"/>
      <c r="E645" s="414"/>
      <c r="F645" s="414"/>
      <c r="G645" s="414"/>
      <c r="H645" s="414"/>
      <c r="I645" s="414"/>
      <c r="J645" s="414"/>
      <c r="K645" s="414"/>
      <c r="L645" s="414"/>
      <c r="M645" s="414"/>
      <c r="N645" s="414"/>
      <c r="O645" s="414"/>
      <c r="P645" s="414"/>
      <c r="Q645" s="414"/>
      <c r="R645" s="414"/>
      <c r="S645" s="414"/>
      <c r="T645" s="414"/>
      <c r="U645" s="414"/>
    </row>
    <row r="646">
      <c r="A646" s="414"/>
      <c r="B646" s="414"/>
      <c r="C646" s="414"/>
      <c r="D646" s="414"/>
      <c r="E646" s="414"/>
      <c r="F646" s="414"/>
      <c r="G646" s="414"/>
      <c r="H646" s="414"/>
      <c r="I646" s="414"/>
      <c r="J646" s="414"/>
      <c r="K646" s="414"/>
      <c r="L646" s="414"/>
      <c r="M646" s="414"/>
      <c r="N646" s="414"/>
      <c r="O646" s="414"/>
      <c r="P646" s="414"/>
      <c r="Q646" s="414"/>
      <c r="R646" s="414"/>
      <c r="S646" s="414"/>
      <c r="T646" s="414"/>
      <c r="U646" s="414"/>
    </row>
    <row r="647">
      <c r="A647" s="414"/>
      <c r="B647" s="414"/>
      <c r="C647" s="414"/>
      <c r="D647" s="414"/>
      <c r="E647" s="414"/>
      <c r="F647" s="414"/>
      <c r="G647" s="414"/>
      <c r="H647" s="414"/>
      <c r="I647" s="414"/>
      <c r="J647" s="414"/>
      <c r="K647" s="414"/>
      <c r="L647" s="414"/>
      <c r="M647" s="414"/>
      <c r="N647" s="414"/>
      <c r="O647" s="414"/>
      <c r="P647" s="414"/>
      <c r="Q647" s="414"/>
      <c r="R647" s="414"/>
      <c r="S647" s="414"/>
      <c r="T647" s="414"/>
      <c r="U647" s="414"/>
    </row>
    <row r="648">
      <c r="A648" s="414"/>
      <c r="B648" s="414"/>
      <c r="C648" s="414"/>
      <c r="D648" s="414"/>
      <c r="E648" s="414"/>
      <c r="F648" s="414"/>
      <c r="G648" s="414"/>
      <c r="H648" s="414"/>
      <c r="I648" s="414"/>
      <c r="J648" s="414"/>
      <c r="K648" s="414"/>
      <c r="L648" s="414"/>
      <c r="M648" s="414"/>
      <c r="N648" s="414"/>
      <c r="O648" s="414"/>
      <c r="P648" s="414"/>
      <c r="Q648" s="414"/>
      <c r="R648" s="414"/>
      <c r="S648" s="414"/>
      <c r="T648" s="414"/>
      <c r="U648" s="414"/>
    </row>
    <row r="649">
      <c r="A649" s="414"/>
      <c r="B649" s="414"/>
      <c r="C649" s="414"/>
      <c r="D649" s="414"/>
      <c r="E649" s="414"/>
      <c r="F649" s="414"/>
      <c r="G649" s="414"/>
      <c r="H649" s="414"/>
      <c r="I649" s="414"/>
      <c r="J649" s="414"/>
      <c r="K649" s="414"/>
      <c r="L649" s="414"/>
      <c r="M649" s="414"/>
      <c r="N649" s="414"/>
      <c r="O649" s="414"/>
      <c r="P649" s="414"/>
      <c r="Q649" s="414"/>
      <c r="R649" s="414"/>
      <c r="S649" s="414"/>
      <c r="T649" s="414"/>
      <c r="U649" s="414"/>
    </row>
    <row r="650">
      <c r="A650" s="414"/>
      <c r="B650" s="414"/>
      <c r="C650" s="414"/>
      <c r="D650" s="414"/>
      <c r="E650" s="414"/>
      <c r="F650" s="414"/>
      <c r="G650" s="414"/>
      <c r="H650" s="414"/>
      <c r="I650" s="414"/>
      <c r="J650" s="414"/>
      <c r="K650" s="414"/>
      <c r="L650" s="414"/>
      <c r="M650" s="414"/>
      <c r="N650" s="414"/>
      <c r="O650" s="414"/>
      <c r="P650" s="414"/>
      <c r="Q650" s="414"/>
      <c r="R650" s="414"/>
      <c r="S650" s="414"/>
      <c r="T650" s="414"/>
      <c r="U650" s="414"/>
    </row>
    <row r="651">
      <c r="A651" s="414"/>
      <c r="B651" s="414"/>
      <c r="C651" s="414"/>
      <c r="D651" s="414"/>
      <c r="E651" s="414"/>
      <c r="F651" s="414"/>
      <c r="G651" s="414"/>
      <c r="H651" s="414"/>
      <c r="I651" s="414"/>
      <c r="J651" s="414"/>
      <c r="K651" s="414"/>
      <c r="L651" s="414"/>
      <c r="M651" s="414"/>
      <c r="N651" s="414"/>
      <c r="O651" s="414"/>
      <c r="P651" s="414"/>
      <c r="Q651" s="414"/>
      <c r="R651" s="414"/>
      <c r="S651" s="414"/>
      <c r="T651" s="414"/>
      <c r="U651" s="414"/>
    </row>
    <row r="652">
      <c r="A652" s="414"/>
      <c r="B652" s="414"/>
      <c r="C652" s="414"/>
      <c r="D652" s="414"/>
      <c r="E652" s="414"/>
      <c r="F652" s="414"/>
      <c r="G652" s="414"/>
      <c r="H652" s="414"/>
      <c r="I652" s="414"/>
      <c r="J652" s="414"/>
      <c r="K652" s="414"/>
      <c r="L652" s="414"/>
      <c r="M652" s="414"/>
      <c r="N652" s="414"/>
      <c r="O652" s="414"/>
      <c r="P652" s="414"/>
      <c r="Q652" s="414"/>
      <c r="R652" s="414"/>
      <c r="S652" s="414"/>
      <c r="T652" s="414"/>
      <c r="U652" s="414"/>
    </row>
    <row r="653">
      <c r="A653" s="414"/>
      <c r="B653" s="414"/>
      <c r="C653" s="414"/>
      <c r="D653" s="414"/>
      <c r="E653" s="414"/>
      <c r="F653" s="414"/>
      <c r="G653" s="414"/>
      <c r="H653" s="414"/>
      <c r="I653" s="414"/>
      <c r="J653" s="414"/>
      <c r="K653" s="414"/>
      <c r="L653" s="414"/>
      <c r="M653" s="414"/>
      <c r="N653" s="414"/>
      <c r="O653" s="414"/>
      <c r="P653" s="414"/>
      <c r="Q653" s="414"/>
      <c r="R653" s="414"/>
      <c r="S653" s="414"/>
      <c r="T653" s="414"/>
      <c r="U653" s="414"/>
    </row>
    <row r="654">
      <c r="A654" s="414"/>
      <c r="B654" s="414"/>
      <c r="C654" s="414"/>
      <c r="D654" s="414"/>
      <c r="E654" s="414"/>
      <c r="F654" s="414"/>
      <c r="G654" s="414"/>
      <c r="H654" s="414"/>
      <c r="I654" s="414"/>
      <c r="J654" s="414"/>
      <c r="K654" s="414"/>
      <c r="L654" s="414"/>
      <c r="M654" s="414"/>
      <c r="N654" s="414"/>
      <c r="O654" s="414"/>
      <c r="P654" s="414"/>
      <c r="Q654" s="414"/>
      <c r="R654" s="414"/>
      <c r="S654" s="414"/>
      <c r="T654" s="414"/>
      <c r="U654" s="414"/>
    </row>
    <row r="655">
      <c r="A655" s="414"/>
      <c r="B655" s="414"/>
      <c r="C655" s="414"/>
      <c r="D655" s="414"/>
      <c r="E655" s="414"/>
      <c r="F655" s="414"/>
      <c r="G655" s="414"/>
      <c r="H655" s="414"/>
      <c r="I655" s="414"/>
      <c r="J655" s="414"/>
      <c r="K655" s="414"/>
      <c r="L655" s="414"/>
      <c r="M655" s="414"/>
      <c r="N655" s="414"/>
      <c r="O655" s="414"/>
      <c r="P655" s="414"/>
      <c r="Q655" s="414"/>
      <c r="R655" s="414"/>
      <c r="S655" s="414"/>
      <c r="T655" s="414"/>
      <c r="U655" s="414"/>
    </row>
    <row r="656">
      <c r="A656" s="414"/>
      <c r="B656" s="414"/>
      <c r="C656" s="414"/>
      <c r="D656" s="414"/>
      <c r="E656" s="414"/>
      <c r="F656" s="414"/>
      <c r="G656" s="414"/>
      <c r="H656" s="414"/>
      <c r="I656" s="414"/>
      <c r="J656" s="414"/>
      <c r="K656" s="414"/>
      <c r="L656" s="414"/>
      <c r="M656" s="414"/>
      <c r="N656" s="414"/>
      <c r="O656" s="414"/>
      <c r="P656" s="414"/>
      <c r="Q656" s="414"/>
      <c r="R656" s="414"/>
      <c r="S656" s="414"/>
      <c r="T656" s="414"/>
      <c r="U656" s="414"/>
    </row>
    <row r="657">
      <c r="A657" s="414"/>
      <c r="B657" s="414"/>
      <c r="C657" s="414"/>
      <c r="D657" s="414"/>
      <c r="E657" s="414"/>
      <c r="F657" s="414"/>
      <c r="G657" s="414"/>
      <c r="H657" s="414"/>
      <c r="I657" s="414"/>
      <c r="J657" s="414"/>
      <c r="K657" s="414"/>
      <c r="L657" s="414"/>
      <c r="M657" s="414"/>
      <c r="N657" s="414"/>
      <c r="O657" s="414"/>
      <c r="P657" s="414"/>
      <c r="Q657" s="414"/>
      <c r="R657" s="414"/>
      <c r="S657" s="414"/>
      <c r="T657" s="414"/>
      <c r="U657" s="414"/>
    </row>
    <row r="658">
      <c r="A658" s="414"/>
      <c r="B658" s="414"/>
      <c r="C658" s="414"/>
      <c r="D658" s="414"/>
      <c r="E658" s="414"/>
      <c r="F658" s="414"/>
      <c r="G658" s="414"/>
      <c r="H658" s="414"/>
      <c r="I658" s="414"/>
      <c r="J658" s="414"/>
      <c r="K658" s="414"/>
      <c r="L658" s="414"/>
      <c r="M658" s="414"/>
      <c r="N658" s="414"/>
      <c r="O658" s="414"/>
      <c r="P658" s="414"/>
      <c r="Q658" s="414"/>
      <c r="R658" s="414"/>
      <c r="S658" s="414"/>
      <c r="T658" s="414"/>
      <c r="U658" s="414"/>
    </row>
    <row r="659">
      <c r="A659" s="414"/>
      <c r="B659" s="414"/>
      <c r="C659" s="414"/>
      <c r="D659" s="414"/>
      <c r="E659" s="414"/>
      <c r="F659" s="414"/>
      <c r="G659" s="414"/>
      <c r="H659" s="414"/>
      <c r="I659" s="414"/>
      <c r="J659" s="414"/>
      <c r="K659" s="414"/>
      <c r="L659" s="414"/>
      <c r="M659" s="414"/>
      <c r="N659" s="414"/>
      <c r="O659" s="414"/>
      <c r="P659" s="414"/>
      <c r="Q659" s="414"/>
      <c r="R659" s="414"/>
      <c r="S659" s="414"/>
      <c r="T659" s="414"/>
      <c r="U659" s="414"/>
    </row>
    <row r="660">
      <c r="A660" s="414"/>
      <c r="B660" s="414"/>
      <c r="C660" s="414"/>
      <c r="D660" s="414"/>
      <c r="E660" s="414"/>
      <c r="F660" s="414"/>
      <c r="G660" s="414"/>
      <c r="H660" s="414"/>
      <c r="I660" s="414"/>
      <c r="J660" s="414"/>
      <c r="K660" s="414"/>
      <c r="L660" s="414"/>
      <c r="M660" s="414"/>
      <c r="N660" s="414"/>
      <c r="O660" s="414"/>
      <c r="P660" s="414"/>
      <c r="Q660" s="414"/>
      <c r="R660" s="414"/>
      <c r="S660" s="414"/>
      <c r="T660" s="414"/>
      <c r="U660" s="414"/>
    </row>
    <row r="661">
      <c r="A661" s="414"/>
      <c r="B661" s="414"/>
      <c r="C661" s="414"/>
      <c r="D661" s="414"/>
      <c r="E661" s="414"/>
      <c r="F661" s="414"/>
      <c r="G661" s="414"/>
      <c r="H661" s="414"/>
      <c r="I661" s="414"/>
      <c r="J661" s="414"/>
      <c r="K661" s="414"/>
      <c r="L661" s="414"/>
      <c r="M661" s="414"/>
      <c r="N661" s="414"/>
      <c r="O661" s="414"/>
      <c r="P661" s="414"/>
      <c r="Q661" s="414"/>
      <c r="R661" s="414"/>
      <c r="S661" s="414"/>
      <c r="T661" s="414"/>
      <c r="U661" s="414"/>
    </row>
    <row r="662">
      <c r="A662" s="414"/>
      <c r="B662" s="414"/>
      <c r="C662" s="414"/>
      <c r="D662" s="414"/>
      <c r="E662" s="414"/>
      <c r="F662" s="414"/>
      <c r="G662" s="414"/>
      <c r="H662" s="414"/>
      <c r="I662" s="414"/>
      <c r="J662" s="414"/>
      <c r="K662" s="414"/>
      <c r="L662" s="414"/>
      <c r="M662" s="414"/>
      <c r="N662" s="414"/>
      <c r="O662" s="414"/>
      <c r="P662" s="414"/>
      <c r="Q662" s="414"/>
      <c r="R662" s="414"/>
      <c r="S662" s="414"/>
      <c r="T662" s="414"/>
      <c r="U662" s="414"/>
    </row>
    <row r="663">
      <c r="A663" s="414"/>
      <c r="B663" s="414"/>
      <c r="C663" s="414"/>
      <c r="D663" s="414"/>
      <c r="E663" s="414"/>
      <c r="F663" s="414"/>
      <c r="G663" s="414"/>
      <c r="H663" s="414"/>
      <c r="I663" s="414"/>
      <c r="J663" s="414"/>
      <c r="K663" s="414"/>
      <c r="L663" s="414"/>
      <c r="M663" s="414"/>
      <c r="N663" s="414"/>
      <c r="O663" s="414"/>
      <c r="P663" s="414"/>
      <c r="Q663" s="414"/>
      <c r="R663" s="414"/>
      <c r="S663" s="414"/>
      <c r="T663" s="414"/>
      <c r="U663" s="414"/>
    </row>
    <row r="664">
      <c r="A664" s="414"/>
      <c r="B664" s="414"/>
      <c r="C664" s="414"/>
      <c r="D664" s="414"/>
      <c r="E664" s="414"/>
      <c r="F664" s="414"/>
      <c r="G664" s="414"/>
      <c r="H664" s="414"/>
      <c r="I664" s="414"/>
      <c r="J664" s="414"/>
      <c r="K664" s="414"/>
      <c r="L664" s="414"/>
      <c r="M664" s="414"/>
      <c r="N664" s="414"/>
      <c r="O664" s="414"/>
      <c r="P664" s="414"/>
      <c r="Q664" s="414"/>
      <c r="R664" s="414"/>
      <c r="S664" s="414"/>
      <c r="T664" s="414"/>
      <c r="U664" s="414"/>
    </row>
    <row r="665">
      <c r="A665" s="414"/>
      <c r="B665" s="414"/>
      <c r="C665" s="414"/>
      <c r="D665" s="414"/>
      <c r="E665" s="414"/>
      <c r="F665" s="414"/>
      <c r="G665" s="414"/>
      <c r="H665" s="414"/>
      <c r="I665" s="414"/>
      <c r="J665" s="414"/>
      <c r="K665" s="414"/>
      <c r="L665" s="414"/>
      <c r="M665" s="414"/>
      <c r="N665" s="414"/>
      <c r="O665" s="414"/>
      <c r="P665" s="414"/>
      <c r="Q665" s="414"/>
      <c r="R665" s="414"/>
      <c r="S665" s="414"/>
      <c r="T665" s="414"/>
      <c r="U665" s="414"/>
    </row>
    <row r="666">
      <c r="A666" s="414"/>
      <c r="B666" s="414"/>
      <c r="C666" s="414"/>
      <c r="D666" s="414"/>
      <c r="E666" s="414"/>
      <c r="F666" s="414"/>
      <c r="G666" s="414"/>
      <c r="H666" s="414"/>
      <c r="I666" s="414"/>
      <c r="J666" s="414"/>
      <c r="K666" s="414"/>
      <c r="L666" s="414"/>
      <c r="M666" s="414"/>
      <c r="N666" s="414"/>
      <c r="O666" s="414"/>
      <c r="P666" s="414"/>
      <c r="Q666" s="414"/>
      <c r="R666" s="414"/>
      <c r="S666" s="414"/>
      <c r="T666" s="414"/>
      <c r="U666" s="414"/>
    </row>
    <row r="667">
      <c r="A667" s="414"/>
      <c r="B667" s="414"/>
      <c r="C667" s="414"/>
      <c r="D667" s="414"/>
      <c r="E667" s="414"/>
      <c r="F667" s="414"/>
      <c r="G667" s="414"/>
      <c r="H667" s="414"/>
      <c r="I667" s="414"/>
      <c r="J667" s="414"/>
      <c r="K667" s="414"/>
      <c r="L667" s="414"/>
      <c r="M667" s="414"/>
      <c r="N667" s="414"/>
      <c r="O667" s="414"/>
      <c r="P667" s="414"/>
      <c r="Q667" s="414"/>
      <c r="R667" s="414"/>
      <c r="S667" s="414"/>
      <c r="T667" s="414"/>
      <c r="U667" s="414"/>
    </row>
    <row r="668">
      <c r="A668" s="414"/>
      <c r="B668" s="414"/>
      <c r="C668" s="414"/>
      <c r="D668" s="414"/>
      <c r="E668" s="414"/>
      <c r="F668" s="414"/>
      <c r="G668" s="414"/>
      <c r="H668" s="414"/>
      <c r="I668" s="414"/>
      <c r="J668" s="414"/>
      <c r="K668" s="414"/>
      <c r="L668" s="414"/>
      <c r="M668" s="414"/>
      <c r="N668" s="414"/>
      <c r="O668" s="414"/>
      <c r="P668" s="414"/>
      <c r="Q668" s="414"/>
      <c r="R668" s="414"/>
      <c r="S668" s="414"/>
      <c r="T668" s="414"/>
      <c r="U668" s="414"/>
    </row>
    <row r="669">
      <c r="A669" s="414"/>
      <c r="B669" s="414"/>
      <c r="C669" s="414"/>
      <c r="D669" s="414"/>
      <c r="E669" s="414"/>
      <c r="F669" s="414"/>
      <c r="G669" s="414"/>
      <c r="H669" s="414"/>
      <c r="I669" s="414"/>
      <c r="J669" s="414"/>
      <c r="K669" s="414"/>
      <c r="L669" s="414"/>
      <c r="M669" s="414"/>
      <c r="N669" s="414"/>
      <c r="O669" s="414"/>
      <c r="P669" s="414"/>
      <c r="Q669" s="414"/>
      <c r="R669" s="414"/>
      <c r="S669" s="414"/>
      <c r="T669" s="414"/>
      <c r="U669" s="414"/>
    </row>
    <row r="670">
      <c r="A670" s="414"/>
      <c r="B670" s="414"/>
      <c r="C670" s="414"/>
      <c r="D670" s="414"/>
      <c r="E670" s="414"/>
      <c r="F670" s="414"/>
      <c r="G670" s="414"/>
      <c r="H670" s="414"/>
      <c r="I670" s="414"/>
      <c r="J670" s="414"/>
      <c r="K670" s="414"/>
      <c r="L670" s="414"/>
      <c r="M670" s="414"/>
      <c r="N670" s="414"/>
      <c r="O670" s="414"/>
      <c r="P670" s="414"/>
      <c r="Q670" s="414"/>
      <c r="R670" s="414"/>
      <c r="S670" s="414"/>
      <c r="T670" s="414"/>
      <c r="U670" s="414"/>
    </row>
    <row r="671">
      <c r="A671" s="414"/>
      <c r="B671" s="414"/>
      <c r="C671" s="414"/>
      <c r="D671" s="414"/>
      <c r="E671" s="414"/>
      <c r="F671" s="414"/>
      <c r="G671" s="414"/>
      <c r="H671" s="414"/>
      <c r="I671" s="414"/>
      <c r="J671" s="414"/>
      <c r="K671" s="414"/>
      <c r="L671" s="414"/>
      <c r="M671" s="414"/>
      <c r="N671" s="414"/>
      <c r="O671" s="414"/>
      <c r="P671" s="414"/>
      <c r="Q671" s="414"/>
      <c r="R671" s="414"/>
      <c r="S671" s="414"/>
      <c r="T671" s="414"/>
      <c r="U671" s="414"/>
    </row>
    <row r="672">
      <c r="A672" s="414"/>
      <c r="B672" s="414"/>
      <c r="C672" s="414"/>
      <c r="D672" s="414"/>
      <c r="E672" s="414"/>
      <c r="F672" s="414"/>
      <c r="G672" s="414"/>
      <c r="H672" s="414"/>
      <c r="I672" s="414"/>
      <c r="J672" s="414"/>
      <c r="K672" s="414"/>
      <c r="L672" s="414"/>
      <c r="M672" s="414"/>
      <c r="N672" s="414"/>
      <c r="O672" s="414"/>
      <c r="P672" s="414"/>
      <c r="Q672" s="414"/>
      <c r="R672" s="414"/>
      <c r="S672" s="414"/>
      <c r="T672" s="414"/>
      <c r="U672" s="414"/>
    </row>
    <row r="673">
      <c r="A673" s="414"/>
      <c r="B673" s="414"/>
      <c r="C673" s="414"/>
      <c r="D673" s="414"/>
      <c r="E673" s="414"/>
      <c r="F673" s="414"/>
      <c r="G673" s="414"/>
      <c r="H673" s="414"/>
      <c r="I673" s="414"/>
      <c r="J673" s="414"/>
      <c r="K673" s="414"/>
      <c r="L673" s="414"/>
      <c r="M673" s="414"/>
      <c r="N673" s="414"/>
      <c r="O673" s="414"/>
      <c r="P673" s="414"/>
      <c r="Q673" s="414"/>
      <c r="R673" s="414"/>
      <c r="S673" s="414"/>
      <c r="T673" s="414"/>
      <c r="U673" s="414"/>
    </row>
    <row r="674">
      <c r="A674" s="414"/>
      <c r="B674" s="414"/>
      <c r="C674" s="414"/>
      <c r="D674" s="414"/>
      <c r="E674" s="414"/>
      <c r="F674" s="414"/>
      <c r="G674" s="414"/>
      <c r="H674" s="414"/>
      <c r="I674" s="414"/>
      <c r="J674" s="414"/>
      <c r="K674" s="414"/>
      <c r="L674" s="414"/>
      <c r="M674" s="414"/>
      <c r="N674" s="414"/>
      <c r="O674" s="414"/>
      <c r="P674" s="414"/>
      <c r="Q674" s="414"/>
      <c r="R674" s="414"/>
      <c r="S674" s="414"/>
      <c r="T674" s="414"/>
      <c r="U674" s="414"/>
    </row>
    <row r="675">
      <c r="A675" s="414"/>
      <c r="B675" s="414"/>
      <c r="C675" s="414"/>
      <c r="D675" s="414"/>
      <c r="E675" s="414"/>
      <c r="F675" s="414"/>
      <c r="G675" s="414"/>
      <c r="H675" s="414"/>
      <c r="I675" s="414"/>
      <c r="J675" s="414"/>
      <c r="K675" s="414"/>
      <c r="L675" s="414"/>
      <c r="M675" s="414"/>
      <c r="N675" s="414"/>
      <c r="O675" s="414"/>
      <c r="P675" s="414"/>
      <c r="Q675" s="414"/>
      <c r="R675" s="414"/>
      <c r="S675" s="414"/>
      <c r="T675" s="414"/>
      <c r="U675" s="414"/>
    </row>
    <row r="676">
      <c r="A676" s="414"/>
      <c r="B676" s="414"/>
      <c r="C676" s="414"/>
      <c r="D676" s="414"/>
      <c r="E676" s="414"/>
      <c r="F676" s="414"/>
      <c r="G676" s="414"/>
      <c r="H676" s="414"/>
      <c r="I676" s="414"/>
      <c r="J676" s="414"/>
      <c r="K676" s="414"/>
      <c r="L676" s="414"/>
      <c r="M676" s="414"/>
      <c r="N676" s="414"/>
      <c r="O676" s="414"/>
      <c r="P676" s="414"/>
      <c r="Q676" s="414"/>
      <c r="R676" s="414"/>
      <c r="S676" s="414"/>
      <c r="T676" s="414"/>
      <c r="U676" s="414"/>
    </row>
    <row r="677">
      <c r="A677" s="414"/>
      <c r="B677" s="414"/>
      <c r="C677" s="414"/>
      <c r="D677" s="414"/>
      <c r="E677" s="414"/>
      <c r="F677" s="414"/>
      <c r="G677" s="414"/>
      <c r="H677" s="414"/>
      <c r="I677" s="414"/>
      <c r="J677" s="414"/>
      <c r="K677" s="414"/>
      <c r="L677" s="414"/>
      <c r="M677" s="414"/>
      <c r="N677" s="414"/>
      <c r="O677" s="414"/>
      <c r="P677" s="414"/>
      <c r="Q677" s="414"/>
      <c r="R677" s="414"/>
      <c r="S677" s="414"/>
      <c r="T677" s="414"/>
      <c r="U677" s="414"/>
    </row>
    <row r="678">
      <c r="A678" s="414"/>
      <c r="B678" s="414"/>
      <c r="C678" s="414"/>
      <c r="D678" s="414"/>
      <c r="E678" s="414"/>
      <c r="F678" s="414"/>
      <c r="G678" s="414"/>
      <c r="H678" s="414"/>
      <c r="I678" s="414"/>
      <c r="J678" s="414"/>
      <c r="K678" s="414"/>
      <c r="L678" s="414"/>
      <c r="M678" s="414"/>
      <c r="N678" s="414"/>
      <c r="O678" s="414"/>
      <c r="P678" s="414"/>
      <c r="Q678" s="414"/>
      <c r="R678" s="414"/>
      <c r="S678" s="414"/>
      <c r="T678" s="414"/>
      <c r="U678" s="414"/>
    </row>
    <row r="679">
      <c r="A679" s="414"/>
      <c r="B679" s="414"/>
      <c r="C679" s="414"/>
      <c r="D679" s="414"/>
      <c r="E679" s="414"/>
      <c r="F679" s="414"/>
      <c r="G679" s="414"/>
      <c r="H679" s="414"/>
      <c r="I679" s="414"/>
      <c r="J679" s="414"/>
      <c r="K679" s="414"/>
      <c r="L679" s="414"/>
      <c r="M679" s="414"/>
      <c r="N679" s="414"/>
      <c r="O679" s="414"/>
      <c r="P679" s="414"/>
      <c r="Q679" s="414"/>
      <c r="R679" s="414"/>
      <c r="S679" s="414"/>
      <c r="T679" s="414"/>
      <c r="U679" s="414"/>
    </row>
    <row r="680">
      <c r="A680" s="414"/>
      <c r="B680" s="414"/>
      <c r="C680" s="414"/>
      <c r="D680" s="414"/>
      <c r="E680" s="414"/>
      <c r="F680" s="414"/>
      <c r="G680" s="414"/>
      <c r="H680" s="414"/>
      <c r="I680" s="414"/>
      <c r="J680" s="414"/>
      <c r="K680" s="414"/>
      <c r="L680" s="414"/>
      <c r="M680" s="414"/>
      <c r="N680" s="414"/>
      <c r="O680" s="414"/>
      <c r="P680" s="414"/>
      <c r="Q680" s="414"/>
      <c r="R680" s="414"/>
      <c r="S680" s="414"/>
      <c r="T680" s="414"/>
      <c r="U680" s="414"/>
    </row>
    <row r="681">
      <c r="A681" s="414"/>
      <c r="B681" s="414"/>
      <c r="C681" s="414"/>
      <c r="D681" s="414"/>
      <c r="E681" s="414"/>
      <c r="F681" s="414"/>
      <c r="G681" s="414"/>
      <c r="H681" s="414"/>
      <c r="I681" s="414"/>
      <c r="J681" s="414"/>
      <c r="K681" s="414"/>
      <c r="L681" s="414"/>
      <c r="M681" s="414"/>
      <c r="N681" s="414"/>
      <c r="O681" s="414"/>
      <c r="P681" s="414"/>
      <c r="Q681" s="414"/>
      <c r="R681" s="414"/>
      <c r="S681" s="414"/>
      <c r="T681" s="414"/>
      <c r="U681" s="414"/>
    </row>
    <row r="682">
      <c r="A682" s="414"/>
      <c r="B682" s="414"/>
      <c r="C682" s="414"/>
      <c r="D682" s="414"/>
      <c r="E682" s="414"/>
      <c r="F682" s="414"/>
      <c r="G682" s="414"/>
      <c r="H682" s="414"/>
      <c r="I682" s="414"/>
      <c r="J682" s="414"/>
      <c r="K682" s="414"/>
      <c r="L682" s="414"/>
      <c r="M682" s="414"/>
      <c r="N682" s="414"/>
      <c r="O682" s="414"/>
      <c r="P682" s="414"/>
      <c r="Q682" s="414"/>
      <c r="R682" s="414"/>
      <c r="S682" s="414"/>
      <c r="T682" s="414"/>
      <c r="U682" s="414"/>
    </row>
    <row r="683">
      <c r="A683" s="414"/>
      <c r="B683" s="414"/>
      <c r="C683" s="414"/>
      <c r="D683" s="414"/>
      <c r="E683" s="414"/>
      <c r="F683" s="414"/>
      <c r="G683" s="414"/>
      <c r="H683" s="414"/>
      <c r="I683" s="414"/>
      <c r="J683" s="414"/>
      <c r="K683" s="414"/>
      <c r="L683" s="414"/>
      <c r="M683" s="414"/>
      <c r="N683" s="414"/>
      <c r="O683" s="414"/>
      <c r="P683" s="414"/>
      <c r="Q683" s="414"/>
      <c r="R683" s="414"/>
      <c r="S683" s="414"/>
      <c r="T683" s="414"/>
      <c r="U683" s="414"/>
    </row>
    <row r="684">
      <c r="A684" s="414"/>
      <c r="B684" s="414"/>
      <c r="C684" s="414"/>
      <c r="D684" s="414"/>
      <c r="E684" s="414"/>
      <c r="F684" s="414"/>
      <c r="G684" s="414"/>
      <c r="H684" s="414"/>
      <c r="I684" s="414"/>
      <c r="J684" s="414"/>
      <c r="K684" s="414"/>
      <c r="L684" s="414"/>
      <c r="M684" s="414"/>
      <c r="N684" s="414"/>
      <c r="O684" s="414"/>
      <c r="P684" s="414"/>
      <c r="Q684" s="414"/>
      <c r="R684" s="414"/>
      <c r="S684" s="414"/>
      <c r="T684" s="414"/>
      <c r="U684" s="414"/>
    </row>
    <row r="685">
      <c r="A685" s="414"/>
      <c r="B685" s="414"/>
      <c r="C685" s="414"/>
      <c r="D685" s="414"/>
      <c r="E685" s="414"/>
      <c r="F685" s="414"/>
      <c r="G685" s="414"/>
      <c r="H685" s="414"/>
      <c r="I685" s="414"/>
      <c r="J685" s="414"/>
      <c r="K685" s="414"/>
      <c r="L685" s="414"/>
      <c r="M685" s="414"/>
      <c r="N685" s="414"/>
      <c r="O685" s="414"/>
      <c r="P685" s="414"/>
      <c r="Q685" s="414"/>
      <c r="R685" s="414"/>
      <c r="S685" s="414"/>
      <c r="T685" s="414"/>
      <c r="U685" s="414"/>
    </row>
    <row r="686">
      <c r="A686" s="414"/>
      <c r="B686" s="414"/>
      <c r="C686" s="414"/>
      <c r="D686" s="414"/>
      <c r="E686" s="414"/>
      <c r="F686" s="414"/>
      <c r="G686" s="414"/>
      <c r="H686" s="414"/>
      <c r="I686" s="414"/>
      <c r="J686" s="414"/>
      <c r="K686" s="414"/>
      <c r="L686" s="414"/>
      <c r="M686" s="414"/>
      <c r="N686" s="414"/>
      <c r="O686" s="414"/>
      <c r="P686" s="414"/>
      <c r="Q686" s="414"/>
      <c r="R686" s="414"/>
      <c r="S686" s="414"/>
      <c r="T686" s="414"/>
      <c r="U686" s="414"/>
    </row>
    <row r="687">
      <c r="A687" s="414"/>
      <c r="B687" s="414"/>
      <c r="C687" s="414"/>
      <c r="D687" s="414"/>
      <c r="E687" s="414"/>
      <c r="F687" s="414"/>
      <c r="G687" s="414"/>
      <c r="H687" s="414"/>
      <c r="I687" s="414"/>
      <c r="J687" s="414"/>
      <c r="K687" s="414"/>
      <c r="L687" s="414"/>
      <c r="M687" s="414"/>
      <c r="N687" s="414"/>
      <c r="O687" s="414"/>
      <c r="P687" s="414"/>
      <c r="Q687" s="414"/>
      <c r="R687" s="414"/>
      <c r="S687" s="414"/>
      <c r="T687" s="414"/>
      <c r="U687" s="414"/>
    </row>
    <row r="688">
      <c r="A688" s="414"/>
      <c r="B688" s="414"/>
      <c r="C688" s="414"/>
      <c r="D688" s="414"/>
      <c r="E688" s="414"/>
      <c r="F688" s="414"/>
      <c r="G688" s="414"/>
      <c r="H688" s="414"/>
      <c r="I688" s="414"/>
      <c r="J688" s="414"/>
      <c r="K688" s="414"/>
      <c r="L688" s="414"/>
      <c r="M688" s="414"/>
      <c r="N688" s="414"/>
      <c r="O688" s="414"/>
      <c r="P688" s="414"/>
      <c r="Q688" s="414"/>
      <c r="R688" s="414"/>
      <c r="S688" s="414"/>
      <c r="T688" s="414"/>
      <c r="U688" s="414"/>
    </row>
    <row r="689">
      <c r="A689" s="414"/>
      <c r="B689" s="414"/>
      <c r="C689" s="414"/>
      <c r="D689" s="414"/>
      <c r="E689" s="414"/>
      <c r="F689" s="414"/>
      <c r="G689" s="414"/>
      <c r="H689" s="414"/>
      <c r="I689" s="414"/>
      <c r="J689" s="414"/>
      <c r="K689" s="414"/>
      <c r="L689" s="414"/>
      <c r="M689" s="414"/>
      <c r="N689" s="414"/>
      <c r="O689" s="414"/>
      <c r="P689" s="414"/>
      <c r="Q689" s="414"/>
      <c r="R689" s="414"/>
      <c r="S689" s="414"/>
      <c r="T689" s="414"/>
      <c r="U689" s="414"/>
    </row>
    <row r="690">
      <c r="A690" s="414"/>
      <c r="B690" s="414"/>
      <c r="C690" s="414"/>
      <c r="D690" s="414"/>
      <c r="E690" s="414"/>
      <c r="F690" s="414"/>
      <c r="G690" s="414"/>
      <c r="H690" s="414"/>
      <c r="I690" s="414"/>
      <c r="J690" s="414"/>
      <c r="K690" s="414"/>
      <c r="L690" s="414"/>
      <c r="M690" s="414"/>
      <c r="N690" s="414"/>
      <c r="O690" s="414"/>
      <c r="P690" s="414"/>
      <c r="Q690" s="414"/>
      <c r="R690" s="414"/>
      <c r="S690" s="414"/>
      <c r="T690" s="414"/>
      <c r="U690" s="414"/>
    </row>
    <row r="691">
      <c r="A691" s="414"/>
      <c r="B691" s="414"/>
      <c r="C691" s="414"/>
      <c r="D691" s="414"/>
      <c r="E691" s="414"/>
      <c r="F691" s="414"/>
      <c r="G691" s="414"/>
      <c r="H691" s="414"/>
      <c r="I691" s="414"/>
      <c r="J691" s="414"/>
      <c r="K691" s="414"/>
      <c r="L691" s="414"/>
      <c r="M691" s="414"/>
      <c r="N691" s="414"/>
      <c r="O691" s="414"/>
      <c r="P691" s="414"/>
      <c r="Q691" s="414"/>
      <c r="R691" s="414"/>
      <c r="S691" s="414"/>
      <c r="T691" s="414"/>
      <c r="U691" s="414"/>
    </row>
    <row r="692">
      <c r="A692" s="414"/>
      <c r="B692" s="414"/>
      <c r="C692" s="414"/>
      <c r="D692" s="414"/>
      <c r="E692" s="414"/>
      <c r="F692" s="414"/>
      <c r="G692" s="414"/>
      <c r="H692" s="414"/>
      <c r="I692" s="414"/>
      <c r="J692" s="414"/>
      <c r="K692" s="414"/>
      <c r="L692" s="414"/>
      <c r="M692" s="414"/>
      <c r="N692" s="414"/>
      <c r="O692" s="414"/>
      <c r="P692" s="414"/>
      <c r="Q692" s="414"/>
      <c r="R692" s="414"/>
      <c r="S692" s="414"/>
      <c r="T692" s="414"/>
      <c r="U692" s="414"/>
    </row>
    <row r="693">
      <c r="A693" s="414"/>
      <c r="B693" s="414"/>
      <c r="C693" s="414"/>
      <c r="D693" s="414"/>
      <c r="E693" s="414"/>
      <c r="F693" s="414"/>
      <c r="G693" s="414"/>
      <c r="H693" s="414"/>
      <c r="I693" s="414"/>
      <c r="J693" s="414"/>
      <c r="K693" s="414"/>
      <c r="L693" s="414"/>
      <c r="M693" s="414"/>
      <c r="N693" s="414"/>
      <c r="O693" s="414"/>
      <c r="P693" s="414"/>
      <c r="Q693" s="414"/>
      <c r="R693" s="414"/>
      <c r="S693" s="414"/>
      <c r="T693" s="414"/>
      <c r="U693" s="414"/>
    </row>
    <row r="694">
      <c r="A694" s="414"/>
      <c r="B694" s="414"/>
      <c r="C694" s="414"/>
      <c r="D694" s="414"/>
      <c r="E694" s="414"/>
      <c r="F694" s="414"/>
      <c r="G694" s="414"/>
      <c r="H694" s="414"/>
      <c r="I694" s="414"/>
      <c r="J694" s="414"/>
      <c r="K694" s="414"/>
      <c r="L694" s="414"/>
      <c r="M694" s="414"/>
      <c r="N694" s="414"/>
      <c r="O694" s="414"/>
      <c r="P694" s="414"/>
      <c r="Q694" s="414"/>
      <c r="R694" s="414"/>
      <c r="S694" s="414"/>
      <c r="T694" s="414"/>
      <c r="U694" s="414"/>
    </row>
    <row r="695">
      <c r="A695" s="414"/>
      <c r="B695" s="414"/>
      <c r="C695" s="414"/>
      <c r="D695" s="414"/>
      <c r="E695" s="414"/>
      <c r="F695" s="414"/>
      <c r="G695" s="414"/>
      <c r="H695" s="414"/>
      <c r="I695" s="414"/>
      <c r="J695" s="414"/>
      <c r="K695" s="414"/>
      <c r="L695" s="414"/>
      <c r="M695" s="414"/>
      <c r="N695" s="414"/>
      <c r="O695" s="414"/>
      <c r="P695" s="414"/>
      <c r="Q695" s="414"/>
      <c r="R695" s="414"/>
      <c r="S695" s="414"/>
      <c r="T695" s="414"/>
      <c r="U695" s="414"/>
    </row>
    <row r="696">
      <c r="A696" s="414"/>
      <c r="B696" s="414"/>
      <c r="C696" s="414"/>
      <c r="D696" s="414"/>
      <c r="E696" s="414"/>
      <c r="F696" s="414"/>
      <c r="G696" s="414"/>
      <c r="H696" s="414"/>
      <c r="I696" s="414"/>
      <c r="J696" s="414"/>
      <c r="K696" s="414"/>
      <c r="L696" s="414"/>
      <c r="M696" s="414"/>
      <c r="N696" s="414"/>
      <c r="O696" s="414"/>
      <c r="P696" s="414"/>
      <c r="Q696" s="414"/>
      <c r="R696" s="414"/>
      <c r="S696" s="414"/>
      <c r="T696" s="414"/>
      <c r="U696" s="414"/>
    </row>
    <row r="697">
      <c r="A697" s="414"/>
      <c r="B697" s="414"/>
      <c r="C697" s="414"/>
      <c r="D697" s="414"/>
      <c r="E697" s="414"/>
      <c r="F697" s="414"/>
      <c r="G697" s="414"/>
      <c r="H697" s="414"/>
      <c r="I697" s="414"/>
      <c r="J697" s="414"/>
      <c r="K697" s="414"/>
      <c r="L697" s="414"/>
      <c r="M697" s="414"/>
      <c r="N697" s="414"/>
      <c r="O697" s="414"/>
      <c r="P697" s="414"/>
      <c r="Q697" s="414"/>
      <c r="R697" s="414"/>
      <c r="S697" s="414"/>
      <c r="T697" s="414"/>
      <c r="U697" s="414"/>
    </row>
    <row r="698">
      <c r="A698" s="414"/>
      <c r="B698" s="414"/>
      <c r="C698" s="414"/>
      <c r="D698" s="414"/>
      <c r="E698" s="414"/>
      <c r="F698" s="414"/>
      <c r="G698" s="414"/>
      <c r="H698" s="414"/>
      <c r="I698" s="414"/>
      <c r="J698" s="414"/>
      <c r="K698" s="414"/>
      <c r="L698" s="414"/>
      <c r="M698" s="414"/>
      <c r="N698" s="414"/>
      <c r="O698" s="414"/>
      <c r="P698" s="414"/>
      <c r="Q698" s="414"/>
      <c r="R698" s="414"/>
      <c r="S698" s="414"/>
      <c r="T698" s="414"/>
      <c r="U698" s="414"/>
    </row>
    <row r="699">
      <c r="A699" s="414"/>
      <c r="B699" s="414"/>
      <c r="C699" s="414"/>
      <c r="D699" s="414"/>
      <c r="E699" s="414"/>
      <c r="F699" s="414"/>
      <c r="G699" s="414"/>
      <c r="H699" s="414"/>
      <c r="I699" s="414"/>
      <c r="J699" s="414"/>
      <c r="K699" s="414"/>
      <c r="L699" s="414"/>
      <c r="M699" s="414"/>
      <c r="N699" s="414"/>
      <c r="O699" s="414"/>
      <c r="P699" s="414"/>
      <c r="Q699" s="414"/>
      <c r="R699" s="414"/>
      <c r="S699" s="414"/>
      <c r="T699" s="414"/>
      <c r="U699" s="414"/>
    </row>
    <row r="700">
      <c r="A700" s="414"/>
      <c r="B700" s="414"/>
      <c r="C700" s="414"/>
      <c r="D700" s="414"/>
      <c r="E700" s="414"/>
      <c r="F700" s="414"/>
      <c r="G700" s="414"/>
      <c r="H700" s="414"/>
      <c r="I700" s="414"/>
      <c r="J700" s="414"/>
      <c r="K700" s="414"/>
      <c r="L700" s="414"/>
      <c r="M700" s="414"/>
      <c r="N700" s="414"/>
      <c r="O700" s="414"/>
      <c r="P700" s="414"/>
      <c r="Q700" s="414"/>
      <c r="R700" s="414"/>
      <c r="S700" s="414"/>
      <c r="T700" s="414"/>
      <c r="U700" s="414"/>
    </row>
    <row r="701">
      <c r="A701" s="414"/>
      <c r="B701" s="414"/>
      <c r="C701" s="414"/>
      <c r="D701" s="414"/>
      <c r="E701" s="414"/>
      <c r="F701" s="414"/>
      <c r="G701" s="414"/>
      <c r="H701" s="414"/>
      <c r="I701" s="414"/>
      <c r="J701" s="414"/>
      <c r="K701" s="414"/>
      <c r="L701" s="414"/>
      <c r="M701" s="414"/>
      <c r="N701" s="414"/>
      <c r="O701" s="414"/>
      <c r="P701" s="414"/>
      <c r="Q701" s="414"/>
      <c r="R701" s="414"/>
      <c r="S701" s="414"/>
      <c r="T701" s="414"/>
      <c r="U701" s="414"/>
    </row>
    <row r="702">
      <c r="A702" s="414"/>
      <c r="B702" s="414"/>
      <c r="C702" s="414"/>
      <c r="D702" s="414"/>
      <c r="E702" s="414"/>
      <c r="F702" s="414"/>
      <c r="G702" s="414"/>
      <c r="H702" s="414"/>
      <c r="I702" s="414"/>
      <c r="J702" s="414"/>
      <c r="K702" s="414"/>
      <c r="L702" s="414"/>
      <c r="M702" s="414"/>
      <c r="N702" s="414"/>
      <c r="O702" s="414"/>
      <c r="P702" s="414"/>
      <c r="Q702" s="414"/>
      <c r="R702" s="414"/>
      <c r="S702" s="414"/>
      <c r="T702" s="414"/>
      <c r="U702" s="414"/>
    </row>
    <row r="703">
      <c r="A703" s="414"/>
      <c r="B703" s="414"/>
      <c r="C703" s="414"/>
      <c r="D703" s="414"/>
      <c r="E703" s="414"/>
      <c r="F703" s="414"/>
      <c r="G703" s="414"/>
      <c r="H703" s="414"/>
      <c r="I703" s="414"/>
      <c r="J703" s="414"/>
      <c r="K703" s="414"/>
      <c r="L703" s="414"/>
      <c r="M703" s="414"/>
      <c r="N703" s="414"/>
      <c r="O703" s="414"/>
      <c r="P703" s="414"/>
      <c r="Q703" s="414"/>
      <c r="R703" s="414"/>
      <c r="S703" s="414"/>
      <c r="T703" s="414"/>
      <c r="U703" s="414"/>
    </row>
    <row r="704">
      <c r="A704" s="414"/>
      <c r="B704" s="414"/>
      <c r="C704" s="414"/>
      <c r="D704" s="414"/>
      <c r="E704" s="414"/>
      <c r="F704" s="414"/>
      <c r="G704" s="414"/>
      <c r="H704" s="414"/>
      <c r="I704" s="414"/>
      <c r="J704" s="414"/>
      <c r="K704" s="414"/>
      <c r="L704" s="414"/>
      <c r="M704" s="414"/>
      <c r="N704" s="414"/>
      <c r="O704" s="414"/>
      <c r="P704" s="414"/>
      <c r="Q704" s="414"/>
      <c r="R704" s="414"/>
      <c r="S704" s="414"/>
      <c r="T704" s="414"/>
      <c r="U704" s="414"/>
    </row>
    <row r="705">
      <c r="A705" s="414"/>
      <c r="B705" s="414"/>
      <c r="C705" s="414"/>
      <c r="D705" s="414"/>
      <c r="E705" s="414"/>
      <c r="F705" s="414"/>
      <c r="G705" s="414"/>
      <c r="H705" s="414"/>
      <c r="I705" s="414"/>
      <c r="J705" s="414"/>
      <c r="K705" s="414"/>
      <c r="L705" s="414"/>
      <c r="M705" s="414"/>
      <c r="N705" s="414"/>
      <c r="O705" s="414"/>
      <c r="P705" s="414"/>
      <c r="Q705" s="414"/>
      <c r="R705" s="414"/>
      <c r="S705" s="414"/>
      <c r="T705" s="414"/>
      <c r="U705" s="414"/>
    </row>
    <row r="706">
      <c r="A706" s="414"/>
      <c r="B706" s="414"/>
      <c r="C706" s="414"/>
      <c r="D706" s="414"/>
      <c r="E706" s="414"/>
      <c r="F706" s="414"/>
      <c r="G706" s="414"/>
      <c r="H706" s="414"/>
      <c r="I706" s="414"/>
      <c r="J706" s="414"/>
      <c r="K706" s="414"/>
      <c r="L706" s="414"/>
      <c r="M706" s="414"/>
      <c r="N706" s="414"/>
      <c r="O706" s="414"/>
      <c r="P706" s="414"/>
      <c r="Q706" s="414"/>
      <c r="R706" s="414"/>
      <c r="S706" s="414"/>
      <c r="T706" s="414"/>
      <c r="U706" s="414"/>
    </row>
    <row r="707">
      <c r="A707" s="414"/>
      <c r="B707" s="414"/>
      <c r="C707" s="414"/>
      <c r="D707" s="414"/>
      <c r="E707" s="414"/>
      <c r="F707" s="414"/>
      <c r="G707" s="414"/>
      <c r="H707" s="414"/>
      <c r="I707" s="414"/>
      <c r="J707" s="414"/>
      <c r="K707" s="414"/>
      <c r="L707" s="414"/>
      <c r="M707" s="414"/>
      <c r="N707" s="414"/>
      <c r="O707" s="414"/>
      <c r="P707" s="414"/>
      <c r="Q707" s="414"/>
      <c r="R707" s="414"/>
      <c r="S707" s="414"/>
      <c r="T707" s="414"/>
      <c r="U707" s="414"/>
    </row>
    <row r="708">
      <c r="A708" s="414"/>
      <c r="B708" s="414"/>
      <c r="C708" s="414"/>
      <c r="D708" s="414"/>
      <c r="E708" s="414"/>
      <c r="F708" s="414"/>
      <c r="G708" s="414"/>
      <c r="H708" s="414"/>
      <c r="I708" s="414"/>
      <c r="J708" s="414"/>
      <c r="K708" s="414"/>
      <c r="L708" s="414"/>
      <c r="M708" s="414"/>
      <c r="N708" s="414"/>
      <c r="O708" s="414"/>
      <c r="P708" s="414"/>
      <c r="Q708" s="414"/>
      <c r="R708" s="414"/>
      <c r="S708" s="414"/>
      <c r="T708" s="414"/>
      <c r="U708" s="414"/>
    </row>
    <row r="709">
      <c r="A709" s="414"/>
      <c r="B709" s="414"/>
      <c r="C709" s="414"/>
      <c r="D709" s="414"/>
      <c r="E709" s="414"/>
      <c r="F709" s="414"/>
      <c r="G709" s="414"/>
      <c r="H709" s="414"/>
      <c r="I709" s="414"/>
      <c r="J709" s="414"/>
      <c r="K709" s="414"/>
      <c r="L709" s="414"/>
      <c r="M709" s="414"/>
      <c r="N709" s="414"/>
      <c r="O709" s="414"/>
      <c r="P709" s="414"/>
      <c r="Q709" s="414"/>
      <c r="R709" s="414"/>
      <c r="S709" s="414"/>
      <c r="T709" s="414"/>
      <c r="U709" s="414"/>
    </row>
    <row r="710">
      <c r="A710" s="414"/>
      <c r="B710" s="414"/>
      <c r="C710" s="414"/>
      <c r="D710" s="414"/>
      <c r="E710" s="414"/>
      <c r="F710" s="414"/>
      <c r="G710" s="414"/>
      <c r="H710" s="414"/>
      <c r="I710" s="414"/>
      <c r="J710" s="414"/>
      <c r="K710" s="414"/>
      <c r="L710" s="414"/>
      <c r="M710" s="414"/>
      <c r="N710" s="414"/>
      <c r="O710" s="414"/>
      <c r="P710" s="414"/>
      <c r="Q710" s="414"/>
      <c r="R710" s="414"/>
      <c r="S710" s="414"/>
      <c r="T710" s="414"/>
      <c r="U710" s="414"/>
    </row>
    <row r="711">
      <c r="A711" s="414"/>
      <c r="B711" s="414"/>
      <c r="C711" s="414"/>
      <c r="D711" s="414"/>
      <c r="E711" s="414"/>
      <c r="F711" s="414"/>
      <c r="G711" s="414"/>
      <c r="H711" s="414"/>
      <c r="I711" s="414"/>
      <c r="J711" s="414"/>
      <c r="K711" s="414"/>
      <c r="L711" s="414"/>
      <c r="M711" s="414"/>
      <c r="N711" s="414"/>
      <c r="O711" s="414"/>
      <c r="P711" s="414"/>
      <c r="Q711" s="414"/>
      <c r="R711" s="414"/>
      <c r="S711" s="414"/>
      <c r="T711" s="414"/>
      <c r="U711" s="414"/>
    </row>
    <row r="712">
      <c r="A712" s="414"/>
      <c r="B712" s="414"/>
      <c r="C712" s="414"/>
      <c r="D712" s="414"/>
      <c r="E712" s="414"/>
      <c r="F712" s="414"/>
      <c r="G712" s="414"/>
      <c r="H712" s="414"/>
      <c r="I712" s="414"/>
      <c r="J712" s="414"/>
      <c r="K712" s="414"/>
      <c r="L712" s="414"/>
      <c r="M712" s="414"/>
      <c r="N712" s="414"/>
      <c r="O712" s="414"/>
      <c r="P712" s="414"/>
      <c r="Q712" s="414"/>
      <c r="R712" s="414"/>
      <c r="S712" s="414"/>
      <c r="T712" s="414"/>
      <c r="U712" s="414"/>
    </row>
    <row r="713">
      <c r="A713" s="414"/>
      <c r="B713" s="414"/>
      <c r="C713" s="414"/>
      <c r="D713" s="414"/>
      <c r="E713" s="414"/>
      <c r="F713" s="414"/>
      <c r="G713" s="414"/>
      <c r="H713" s="414"/>
      <c r="I713" s="414"/>
      <c r="J713" s="414"/>
      <c r="K713" s="414"/>
      <c r="L713" s="414"/>
      <c r="M713" s="414"/>
      <c r="N713" s="414"/>
      <c r="O713" s="414"/>
      <c r="P713" s="414"/>
      <c r="Q713" s="414"/>
      <c r="R713" s="414"/>
      <c r="S713" s="414"/>
      <c r="T713" s="414"/>
      <c r="U713" s="414"/>
    </row>
    <row r="714">
      <c r="A714" s="414"/>
      <c r="B714" s="414"/>
      <c r="C714" s="414"/>
      <c r="D714" s="414"/>
      <c r="E714" s="414"/>
      <c r="F714" s="414"/>
      <c r="G714" s="414"/>
      <c r="H714" s="414"/>
      <c r="I714" s="414"/>
      <c r="J714" s="414"/>
      <c r="K714" s="414"/>
      <c r="L714" s="414"/>
      <c r="M714" s="414"/>
      <c r="N714" s="414"/>
      <c r="O714" s="414"/>
      <c r="P714" s="414"/>
      <c r="Q714" s="414"/>
      <c r="R714" s="414"/>
      <c r="S714" s="414"/>
      <c r="T714" s="414"/>
      <c r="U714" s="414"/>
    </row>
    <row r="715">
      <c r="A715" s="414"/>
      <c r="B715" s="414"/>
      <c r="C715" s="414"/>
      <c r="D715" s="414"/>
      <c r="E715" s="414"/>
      <c r="F715" s="414"/>
      <c r="G715" s="414"/>
      <c r="H715" s="414"/>
      <c r="I715" s="414"/>
      <c r="J715" s="414"/>
      <c r="K715" s="414"/>
      <c r="L715" s="414"/>
      <c r="M715" s="414"/>
      <c r="N715" s="414"/>
      <c r="O715" s="414"/>
      <c r="P715" s="414"/>
      <c r="Q715" s="414"/>
      <c r="R715" s="414"/>
      <c r="S715" s="414"/>
      <c r="T715" s="414"/>
      <c r="U715" s="414"/>
    </row>
    <row r="716">
      <c r="A716" s="414"/>
      <c r="B716" s="414"/>
      <c r="C716" s="414"/>
      <c r="D716" s="414"/>
      <c r="E716" s="414"/>
      <c r="F716" s="414"/>
      <c r="G716" s="414"/>
      <c r="H716" s="414"/>
      <c r="I716" s="414"/>
      <c r="J716" s="414"/>
      <c r="K716" s="414"/>
      <c r="L716" s="414"/>
      <c r="M716" s="414"/>
      <c r="N716" s="414"/>
      <c r="O716" s="414"/>
      <c r="P716" s="414"/>
      <c r="Q716" s="414"/>
      <c r="R716" s="414"/>
      <c r="S716" s="414"/>
      <c r="T716" s="414"/>
      <c r="U716" s="414"/>
    </row>
    <row r="717">
      <c r="A717" s="414"/>
      <c r="B717" s="414"/>
      <c r="C717" s="414"/>
      <c r="D717" s="414"/>
      <c r="E717" s="414"/>
      <c r="F717" s="414"/>
      <c r="G717" s="414"/>
      <c r="H717" s="414"/>
      <c r="I717" s="414"/>
      <c r="J717" s="414"/>
      <c r="K717" s="414"/>
      <c r="L717" s="414"/>
      <c r="M717" s="414"/>
      <c r="N717" s="414"/>
      <c r="O717" s="414"/>
      <c r="P717" s="414"/>
      <c r="Q717" s="414"/>
      <c r="R717" s="414"/>
      <c r="S717" s="414"/>
      <c r="T717" s="414"/>
      <c r="U717" s="414"/>
    </row>
    <row r="718">
      <c r="A718" s="414"/>
      <c r="B718" s="414"/>
      <c r="C718" s="414"/>
      <c r="D718" s="414"/>
      <c r="E718" s="414"/>
      <c r="F718" s="414"/>
      <c r="G718" s="414"/>
      <c r="H718" s="414"/>
      <c r="I718" s="414"/>
      <c r="J718" s="414"/>
      <c r="K718" s="414"/>
      <c r="L718" s="414"/>
      <c r="M718" s="414"/>
      <c r="N718" s="414"/>
      <c r="O718" s="414"/>
      <c r="P718" s="414"/>
      <c r="Q718" s="414"/>
      <c r="R718" s="414"/>
      <c r="S718" s="414"/>
      <c r="T718" s="414"/>
      <c r="U718" s="414"/>
    </row>
    <row r="719">
      <c r="A719" s="414"/>
      <c r="B719" s="414"/>
      <c r="C719" s="414"/>
      <c r="D719" s="414"/>
      <c r="E719" s="414"/>
      <c r="F719" s="414"/>
      <c r="G719" s="414"/>
      <c r="H719" s="414"/>
      <c r="I719" s="414"/>
      <c r="J719" s="414"/>
      <c r="K719" s="414"/>
      <c r="L719" s="414"/>
      <c r="M719" s="414"/>
      <c r="N719" s="414"/>
      <c r="O719" s="414"/>
      <c r="P719" s="414"/>
      <c r="Q719" s="414"/>
      <c r="R719" s="414"/>
      <c r="S719" s="414"/>
      <c r="T719" s="414"/>
      <c r="U719" s="414"/>
    </row>
    <row r="720">
      <c r="A720" s="414"/>
      <c r="B720" s="414"/>
      <c r="C720" s="414"/>
      <c r="D720" s="414"/>
      <c r="E720" s="414"/>
      <c r="F720" s="414"/>
      <c r="G720" s="414"/>
      <c r="H720" s="414"/>
      <c r="I720" s="414"/>
      <c r="J720" s="414"/>
      <c r="K720" s="414"/>
      <c r="L720" s="414"/>
      <c r="M720" s="414"/>
      <c r="N720" s="414"/>
      <c r="O720" s="414"/>
      <c r="P720" s="414"/>
      <c r="Q720" s="414"/>
      <c r="R720" s="414"/>
      <c r="S720" s="414"/>
      <c r="T720" s="414"/>
      <c r="U720" s="414"/>
    </row>
    <row r="721">
      <c r="A721" s="414"/>
      <c r="B721" s="414"/>
      <c r="C721" s="414"/>
      <c r="D721" s="414"/>
      <c r="E721" s="414"/>
      <c r="F721" s="414"/>
      <c r="G721" s="414"/>
      <c r="H721" s="414"/>
      <c r="I721" s="414"/>
      <c r="J721" s="414"/>
      <c r="K721" s="414"/>
      <c r="L721" s="414"/>
      <c r="M721" s="414"/>
      <c r="N721" s="414"/>
      <c r="O721" s="414"/>
      <c r="P721" s="414"/>
      <c r="Q721" s="414"/>
      <c r="R721" s="414"/>
      <c r="S721" s="414"/>
      <c r="T721" s="414"/>
      <c r="U721" s="414"/>
    </row>
    <row r="722">
      <c r="A722" s="414"/>
      <c r="B722" s="414"/>
      <c r="C722" s="414"/>
      <c r="D722" s="414"/>
      <c r="E722" s="414"/>
      <c r="F722" s="414"/>
      <c r="G722" s="414"/>
      <c r="H722" s="414"/>
      <c r="I722" s="414"/>
      <c r="J722" s="414"/>
      <c r="K722" s="414"/>
      <c r="L722" s="414"/>
      <c r="M722" s="414"/>
      <c r="N722" s="414"/>
      <c r="O722" s="414"/>
      <c r="P722" s="414"/>
      <c r="Q722" s="414"/>
      <c r="R722" s="414"/>
      <c r="S722" s="414"/>
      <c r="T722" s="414"/>
      <c r="U722" s="414"/>
    </row>
    <row r="723">
      <c r="A723" s="414"/>
      <c r="B723" s="414"/>
      <c r="C723" s="414"/>
      <c r="D723" s="414"/>
      <c r="E723" s="414"/>
      <c r="F723" s="414"/>
      <c r="G723" s="414"/>
      <c r="H723" s="414"/>
      <c r="I723" s="414"/>
      <c r="J723" s="414"/>
      <c r="K723" s="414"/>
      <c r="L723" s="414"/>
      <c r="M723" s="414"/>
      <c r="N723" s="414"/>
      <c r="O723" s="414"/>
      <c r="P723" s="414"/>
      <c r="Q723" s="414"/>
      <c r="R723" s="414"/>
      <c r="S723" s="414"/>
      <c r="T723" s="414"/>
      <c r="U723" s="414"/>
    </row>
    <row r="724">
      <c r="A724" s="414"/>
      <c r="B724" s="414"/>
      <c r="C724" s="414"/>
      <c r="D724" s="414"/>
      <c r="E724" s="414"/>
      <c r="F724" s="414"/>
      <c r="G724" s="414"/>
      <c r="H724" s="414"/>
      <c r="I724" s="414"/>
      <c r="J724" s="414"/>
      <c r="K724" s="414"/>
      <c r="L724" s="414"/>
      <c r="M724" s="414"/>
      <c r="N724" s="414"/>
      <c r="O724" s="414"/>
      <c r="P724" s="414"/>
      <c r="Q724" s="414"/>
      <c r="R724" s="414"/>
      <c r="S724" s="414"/>
      <c r="T724" s="414"/>
      <c r="U724" s="414"/>
    </row>
    <row r="725">
      <c r="A725" s="414"/>
      <c r="B725" s="414"/>
      <c r="C725" s="414"/>
      <c r="D725" s="414"/>
      <c r="E725" s="414"/>
      <c r="F725" s="414"/>
      <c r="G725" s="414"/>
      <c r="H725" s="414"/>
      <c r="I725" s="414"/>
      <c r="J725" s="414"/>
      <c r="K725" s="414"/>
      <c r="L725" s="414"/>
      <c r="M725" s="414"/>
      <c r="N725" s="414"/>
      <c r="O725" s="414"/>
      <c r="P725" s="414"/>
      <c r="Q725" s="414"/>
      <c r="R725" s="414"/>
      <c r="S725" s="414"/>
      <c r="T725" s="414"/>
      <c r="U725" s="414"/>
    </row>
    <row r="726">
      <c r="A726" s="414"/>
      <c r="B726" s="414"/>
      <c r="C726" s="414"/>
      <c r="D726" s="414"/>
      <c r="E726" s="414"/>
      <c r="F726" s="414"/>
      <c r="G726" s="414"/>
      <c r="H726" s="414"/>
      <c r="I726" s="414"/>
      <c r="J726" s="414"/>
      <c r="K726" s="414"/>
      <c r="L726" s="414"/>
      <c r="M726" s="414"/>
      <c r="N726" s="414"/>
      <c r="O726" s="414"/>
      <c r="P726" s="414"/>
      <c r="Q726" s="414"/>
      <c r="R726" s="414"/>
      <c r="S726" s="414"/>
      <c r="T726" s="414"/>
      <c r="U726" s="414"/>
    </row>
    <row r="727">
      <c r="A727" s="414"/>
      <c r="B727" s="414"/>
      <c r="C727" s="414"/>
      <c r="D727" s="414"/>
      <c r="E727" s="414"/>
      <c r="F727" s="414"/>
      <c r="G727" s="414"/>
      <c r="H727" s="414"/>
      <c r="I727" s="414"/>
      <c r="J727" s="414"/>
      <c r="K727" s="414"/>
      <c r="L727" s="414"/>
      <c r="M727" s="414"/>
      <c r="N727" s="414"/>
      <c r="O727" s="414"/>
      <c r="P727" s="414"/>
      <c r="Q727" s="414"/>
      <c r="R727" s="414"/>
      <c r="S727" s="414"/>
      <c r="T727" s="414"/>
      <c r="U727" s="414"/>
    </row>
    <row r="728">
      <c r="A728" s="414"/>
      <c r="B728" s="414"/>
      <c r="C728" s="414"/>
      <c r="D728" s="414"/>
      <c r="E728" s="414"/>
      <c r="F728" s="414"/>
      <c r="G728" s="414"/>
      <c r="H728" s="414"/>
      <c r="I728" s="414"/>
      <c r="J728" s="414"/>
      <c r="K728" s="414"/>
      <c r="L728" s="414"/>
      <c r="M728" s="414"/>
      <c r="N728" s="414"/>
      <c r="O728" s="414"/>
      <c r="P728" s="414"/>
      <c r="Q728" s="414"/>
      <c r="R728" s="414"/>
      <c r="S728" s="414"/>
      <c r="T728" s="414"/>
      <c r="U728" s="414"/>
    </row>
    <row r="729">
      <c r="A729" s="414"/>
      <c r="B729" s="414"/>
      <c r="C729" s="414"/>
      <c r="D729" s="414"/>
      <c r="E729" s="414"/>
      <c r="F729" s="414"/>
      <c r="G729" s="414"/>
      <c r="H729" s="414"/>
      <c r="I729" s="414"/>
      <c r="J729" s="414"/>
      <c r="K729" s="414"/>
      <c r="L729" s="414"/>
      <c r="M729" s="414"/>
      <c r="N729" s="414"/>
      <c r="O729" s="414"/>
      <c r="P729" s="414"/>
      <c r="Q729" s="414"/>
      <c r="R729" s="414"/>
      <c r="S729" s="414"/>
      <c r="T729" s="414"/>
      <c r="U729" s="414"/>
    </row>
    <row r="730">
      <c r="A730" s="414"/>
      <c r="B730" s="414"/>
      <c r="C730" s="414"/>
      <c r="D730" s="414"/>
      <c r="E730" s="414"/>
      <c r="F730" s="414"/>
      <c r="G730" s="414"/>
      <c r="H730" s="414"/>
      <c r="I730" s="414"/>
      <c r="J730" s="414"/>
      <c r="K730" s="414"/>
      <c r="L730" s="414"/>
      <c r="M730" s="414"/>
      <c r="N730" s="414"/>
      <c r="O730" s="414"/>
      <c r="P730" s="414"/>
      <c r="Q730" s="414"/>
      <c r="R730" s="414"/>
      <c r="S730" s="414"/>
      <c r="T730" s="414"/>
      <c r="U730" s="414"/>
    </row>
    <row r="731">
      <c r="A731" s="414"/>
      <c r="B731" s="414"/>
      <c r="C731" s="414"/>
      <c r="D731" s="414"/>
      <c r="E731" s="414"/>
      <c r="F731" s="414"/>
      <c r="G731" s="414"/>
      <c r="H731" s="414"/>
      <c r="I731" s="414"/>
      <c r="J731" s="414"/>
      <c r="K731" s="414"/>
      <c r="L731" s="414"/>
      <c r="M731" s="414"/>
      <c r="N731" s="414"/>
      <c r="O731" s="414"/>
      <c r="P731" s="414"/>
      <c r="Q731" s="414"/>
      <c r="R731" s="414"/>
      <c r="S731" s="414"/>
      <c r="T731" s="414"/>
      <c r="U731" s="414"/>
    </row>
    <row r="732">
      <c r="A732" s="414"/>
      <c r="B732" s="414"/>
      <c r="C732" s="414"/>
      <c r="D732" s="414"/>
      <c r="E732" s="414"/>
      <c r="F732" s="414"/>
      <c r="G732" s="414"/>
      <c r="H732" s="414"/>
      <c r="I732" s="414"/>
      <c r="J732" s="414"/>
      <c r="K732" s="414"/>
      <c r="L732" s="414"/>
      <c r="M732" s="414"/>
      <c r="N732" s="414"/>
      <c r="O732" s="414"/>
      <c r="P732" s="414"/>
      <c r="Q732" s="414"/>
      <c r="R732" s="414"/>
      <c r="S732" s="414"/>
      <c r="T732" s="414"/>
      <c r="U732" s="414"/>
    </row>
    <row r="733">
      <c r="A733" s="414"/>
      <c r="B733" s="414"/>
      <c r="C733" s="414"/>
      <c r="D733" s="414"/>
      <c r="E733" s="414"/>
      <c r="F733" s="414"/>
      <c r="G733" s="414"/>
      <c r="H733" s="414"/>
      <c r="I733" s="414"/>
      <c r="J733" s="414"/>
      <c r="K733" s="414"/>
      <c r="L733" s="414"/>
      <c r="M733" s="414"/>
      <c r="N733" s="414"/>
      <c r="O733" s="414"/>
      <c r="P733" s="414"/>
      <c r="Q733" s="414"/>
      <c r="R733" s="414"/>
      <c r="S733" s="414"/>
      <c r="T733" s="414"/>
      <c r="U733" s="414"/>
    </row>
    <row r="734">
      <c r="A734" s="414"/>
      <c r="B734" s="414"/>
      <c r="C734" s="414"/>
      <c r="D734" s="414"/>
      <c r="E734" s="414"/>
      <c r="F734" s="414"/>
      <c r="G734" s="414"/>
      <c r="H734" s="414"/>
      <c r="I734" s="414"/>
      <c r="J734" s="414"/>
      <c r="K734" s="414"/>
      <c r="L734" s="414"/>
      <c r="M734" s="414"/>
      <c r="N734" s="414"/>
      <c r="O734" s="414"/>
      <c r="P734" s="414"/>
      <c r="Q734" s="414"/>
      <c r="R734" s="414"/>
      <c r="S734" s="414"/>
      <c r="T734" s="414"/>
      <c r="U734" s="414"/>
    </row>
    <row r="735">
      <c r="A735" s="414"/>
      <c r="B735" s="414"/>
      <c r="C735" s="414"/>
      <c r="D735" s="414"/>
      <c r="E735" s="414"/>
      <c r="F735" s="414"/>
      <c r="G735" s="414"/>
      <c r="H735" s="414"/>
      <c r="I735" s="414"/>
      <c r="J735" s="414"/>
      <c r="K735" s="414"/>
      <c r="L735" s="414"/>
      <c r="M735" s="414"/>
      <c r="N735" s="414"/>
      <c r="O735" s="414"/>
      <c r="P735" s="414"/>
      <c r="Q735" s="414"/>
      <c r="R735" s="414"/>
      <c r="S735" s="414"/>
      <c r="T735" s="414"/>
      <c r="U735" s="414"/>
    </row>
    <row r="736">
      <c r="A736" s="414"/>
      <c r="B736" s="414"/>
      <c r="C736" s="414"/>
      <c r="D736" s="414"/>
      <c r="E736" s="414"/>
      <c r="F736" s="414"/>
      <c r="G736" s="414"/>
      <c r="H736" s="414"/>
      <c r="I736" s="414"/>
      <c r="J736" s="414"/>
      <c r="K736" s="414"/>
      <c r="L736" s="414"/>
      <c r="M736" s="414"/>
      <c r="N736" s="414"/>
      <c r="O736" s="414"/>
      <c r="P736" s="414"/>
      <c r="Q736" s="414"/>
      <c r="R736" s="414"/>
      <c r="S736" s="414"/>
      <c r="T736" s="414"/>
      <c r="U736" s="414"/>
    </row>
    <row r="737">
      <c r="A737" s="414"/>
      <c r="B737" s="414"/>
      <c r="C737" s="414"/>
      <c r="D737" s="414"/>
      <c r="E737" s="414"/>
      <c r="F737" s="414"/>
      <c r="G737" s="414"/>
      <c r="H737" s="414"/>
      <c r="I737" s="414"/>
      <c r="J737" s="414"/>
      <c r="K737" s="414"/>
      <c r="L737" s="414"/>
      <c r="M737" s="414"/>
      <c r="N737" s="414"/>
      <c r="O737" s="414"/>
      <c r="P737" s="414"/>
      <c r="Q737" s="414"/>
      <c r="R737" s="414"/>
      <c r="S737" s="414"/>
      <c r="T737" s="414"/>
      <c r="U737" s="414"/>
    </row>
    <row r="738">
      <c r="A738" s="414"/>
      <c r="B738" s="414"/>
      <c r="C738" s="414"/>
      <c r="D738" s="414"/>
      <c r="E738" s="414"/>
      <c r="F738" s="414"/>
      <c r="G738" s="414"/>
      <c r="H738" s="414"/>
      <c r="I738" s="414"/>
      <c r="J738" s="414"/>
      <c r="K738" s="414"/>
      <c r="L738" s="414"/>
      <c r="M738" s="414"/>
      <c r="N738" s="414"/>
      <c r="O738" s="414"/>
      <c r="P738" s="414"/>
      <c r="Q738" s="414"/>
      <c r="R738" s="414"/>
      <c r="S738" s="414"/>
      <c r="T738" s="414"/>
      <c r="U738" s="414"/>
    </row>
    <row r="739">
      <c r="A739" s="414"/>
      <c r="B739" s="414"/>
      <c r="C739" s="414"/>
      <c r="D739" s="414"/>
      <c r="E739" s="414"/>
      <c r="F739" s="414"/>
      <c r="G739" s="414"/>
      <c r="H739" s="414"/>
      <c r="I739" s="414"/>
      <c r="J739" s="414"/>
      <c r="K739" s="414"/>
      <c r="L739" s="414"/>
      <c r="M739" s="414"/>
      <c r="N739" s="414"/>
      <c r="O739" s="414"/>
      <c r="P739" s="414"/>
      <c r="Q739" s="414"/>
      <c r="R739" s="414"/>
      <c r="S739" s="414"/>
      <c r="T739" s="414"/>
      <c r="U739" s="414"/>
    </row>
    <row r="740">
      <c r="A740" s="414"/>
      <c r="B740" s="414"/>
      <c r="C740" s="414"/>
      <c r="D740" s="414"/>
      <c r="E740" s="414"/>
      <c r="F740" s="414"/>
      <c r="G740" s="414"/>
      <c r="H740" s="414"/>
      <c r="I740" s="414"/>
      <c r="J740" s="414"/>
      <c r="K740" s="414"/>
      <c r="L740" s="414"/>
      <c r="M740" s="414"/>
      <c r="N740" s="414"/>
      <c r="O740" s="414"/>
      <c r="P740" s="414"/>
      <c r="Q740" s="414"/>
      <c r="R740" s="414"/>
      <c r="S740" s="414"/>
      <c r="T740" s="414"/>
      <c r="U740" s="414"/>
    </row>
    <row r="741">
      <c r="A741" s="414"/>
      <c r="B741" s="414"/>
      <c r="C741" s="414"/>
      <c r="D741" s="414"/>
      <c r="E741" s="414"/>
      <c r="F741" s="414"/>
      <c r="G741" s="414"/>
      <c r="H741" s="414"/>
      <c r="I741" s="414"/>
      <c r="J741" s="414"/>
      <c r="K741" s="414"/>
      <c r="L741" s="414"/>
      <c r="M741" s="414"/>
      <c r="N741" s="414"/>
      <c r="O741" s="414"/>
      <c r="P741" s="414"/>
      <c r="Q741" s="414"/>
      <c r="R741" s="414"/>
      <c r="S741" s="414"/>
      <c r="T741" s="414"/>
      <c r="U741" s="414"/>
    </row>
    <row r="742">
      <c r="A742" s="414"/>
      <c r="B742" s="414"/>
      <c r="C742" s="414"/>
      <c r="D742" s="414"/>
      <c r="E742" s="414"/>
      <c r="F742" s="414"/>
      <c r="G742" s="414"/>
      <c r="H742" s="414"/>
      <c r="I742" s="414"/>
      <c r="J742" s="414"/>
      <c r="K742" s="414"/>
      <c r="L742" s="414"/>
      <c r="M742" s="414"/>
      <c r="N742" s="414"/>
      <c r="O742" s="414"/>
      <c r="P742" s="414"/>
      <c r="Q742" s="414"/>
      <c r="R742" s="414"/>
      <c r="S742" s="414"/>
      <c r="T742" s="414"/>
      <c r="U742" s="414"/>
    </row>
    <row r="743">
      <c r="A743" s="414"/>
      <c r="B743" s="414"/>
      <c r="C743" s="414"/>
      <c r="D743" s="414"/>
      <c r="E743" s="414"/>
      <c r="F743" s="414"/>
      <c r="G743" s="414"/>
      <c r="H743" s="414"/>
      <c r="I743" s="414"/>
      <c r="J743" s="414"/>
      <c r="K743" s="414"/>
      <c r="L743" s="414"/>
      <c r="M743" s="414"/>
      <c r="N743" s="414"/>
      <c r="O743" s="414"/>
      <c r="P743" s="414"/>
      <c r="Q743" s="414"/>
      <c r="R743" s="414"/>
      <c r="S743" s="414"/>
      <c r="T743" s="414"/>
      <c r="U743" s="414"/>
    </row>
    <row r="744">
      <c r="A744" s="414"/>
      <c r="B744" s="414"/>
      <c r="C744" s="414"/>
      <c r="D744" s="414"/>
      <c r="E744" s="414"/>
      <c r="F744" s="414"/>
      <c r="G744" s="414"/>
      <c r="H744" s="414"/>
      <c r="I744" s="414"/>
      <c r="J744" s="414"/>
      <c r="K744" s="414"/>
      <c r="L744" s="414"/>
      <c r="M744" s="414"/>
      <c r="N744" s="414"/>
      <c r="O744" s="414"/>
      <c r="P744" s="414"/>
      <c r="Q744" s="414"/>
      <c r="R744" s="414"/>
      <c r="S744" s="414"/>
      <c r="T744" s="414"/>
      <c r="U744" s="414"/>
    </row>
    <row r="745">
      <c r="A745" s="414"/>
      <c r="B745" s="414"/>
      <c r="C745" s="414"/>
      <c r="D745" s="414"/>
      <c r="E745" s="414"/>
      <c r="F745" s="414"/>
      <c r="G745" s="414"/>
      <c r="H745" s="414"/>
      <c r="I745" s="414"/>
      <c r="J745" s="414"/>
      <c r="K745" s="414"/>
      <c r="L745" s="414"/>
      <c r="M745" s="414"/>
      <c r="N745" s="414"/>
      <c r="O745" s="414"/>
      <c r="P745" s="414"/>
      <c r="Q745" s="414"/>
      <c r="R745" s="414"/>
      <c r="S745" s="414"/>
      <c r="T745" s="414"/>
      <c r="U745" s="414"/>
    </row>
    <row r="746">
      <c r="A746" s="414"/>
      <c r="B746" s="414"/>
      <c r="C746" s="414"/>
      <c r="D746" s="414"/>
      <c r="E746" s="414"/>
      <c r="F746" s="414"/>
      <c r="G746" s="414"/>
      <c r="H746" s="414"/>
      <c r="I746" s="414"/>
      <c r="J746" s="414"/>
      <c r="K746" s="414"/>
      <c r="L746" s="414"/>
      <c r="M746" s="414"/>
      <c r="N746" s="414"/>
      <c r="O746" s="414"/>
      <c r="P746" s="414"/>
      <c r="Q746" s="414"/>
      <c r="R746" s="414"/>
      <c r="S746" s="414"/>
      <c r="T746" s="414"/>
      <c r="U746" s="414"/>
    </row>
    <row r="747">
      <c r="A747" s="414"/>
      <c r="B747" s="414"/>
      <c r="C747" s="414"/>
      <c r="D747" s="414"/>
      <c r="E747" s="414"/>
      <c r="F747" s="414"/>
      <c r="G747" s="414"/>
      <c r="H747" s="414"/>
      <c r="I747" s="414"/>
      <c r="J747" s="414"/>
      <c r="K747" s="414"/>
      <c r="L747" s="414"/>
      <c r="M747" s="414"/>
      <c r="N747" s="414"/>
      <c r="O747" s="414"/>
      <c r="P747" s="414"/>
      <c r="Q747" s="414"/>
      <c r="R747" s="414"/>
      <c r="S747" s="414"/>
      <c r="T747" s="414"/>
      <c r="U747" s="414"/>
    </row>
    <row r="748">
      <c r="A748" s="414"/>
      <c r="B748" s="414"/>
      <c r="C748" s="414"/>
      <c r="D748" s="414"/>
      <c r="E748" s="414"/>
      <c r="F748" s="414"/>
      <c r="G748" s="414"/>
      <c r="H748" s="414"/>
      <c r="I748" s="414"/>
      <c r="J748" s="414"/>
      <c r="K748" s="414"/>
      <c r="L748" s="414"/>
      <c r="M748" s="414"/>
      <c r="N748" s="414"/>
      <c r="O748" s="414"/>
      <c r="P748" s="414"/>
      <c r="Q748" s="414"/>
      <c r="R748" s="414"/>
      <c r="S748" s="414"/>
      <c r="T748" s="414"/>
      <c r="U748" s="414"/>
    </row>
    <row r="749">
      <c r="A749" s="414"/>
      <c r="B749" s="414"/>
      <c r="C749" s="414"/>
      <c r="D749" s="414"/>
      <c r="E749" s="414"/>
      <c r="F749" s="414"/>
      <c r="G749" s="414"/>
      <c r="H749" s="414"/>
      <c r="I749" s="414"/>
      <c r="J749" s="414"/>
      <c r="K749" s="414"/>
      <c r="L749" s="414"/>
      <c r="M749" s="414"/>
      <c r="N749" s="414"/>
      <c r="O749" s="414"/>
      <c r="P749" s="414"/>
      <c r="Q749" s="414"/>
      <c r="R749" s="414"/>
      <c r="S749" s="414"/>
      <c r="T749" s="414"/>
      <c r="U749" s="414"/>
    </row>
    <row r="750">
      <c r="A750" s="414"/>
      <c r="B750" s="414"/>
      <c r="C750" s="414"/>
      <c r="D750" s="414"/>
      <c r="E750" s="414"/>
      <c r="F750" s="414"/>
      <c r="G750" s="414"/>
      <c r="H750" s="414"/>
      <c r="I750" s="414"/>
      <c r="J750" s="414"/>
      <c r="K750" s="414"/>
      <c r="L750" s="414"/>
      <c r="M750" s="414"/>
      <c r="N750" s="414"/>
      <c r="O750" s="414"/>
      <c r="P750" s="414"/>
      <c r="Q750" s="414"/>
      <c r="R750" s="414"/>
      <c r="S750" s="414"/>
      <c r="T750" s="414"/>
      <c r="U750" s="414"/>
    </row>
    <row r="751">
      <c r="A751" s="414"/>
      <c r="B751" s="414"/>
      <c r="C751" s="414"/>
      <c r="D751" s="414"/>
      <c r="E751" s="414"/>
      <c r="F751" s="414"/>
      <c r="G751" s="414"/>
      <c r="H751" s="414"/>
      <c r="I751" s="414"/>
      <c r="J751" s="414"/>
      <c r="K751" s="414"/>
      <c r="L751" s="414"/>
      <c r="M751" s="414"/>
      <c r="N751" s="414"/>
      <c r="O751" s="414"/>
      <c r="P751" s="414"/>
      <c r="Q751" s="414"/>
      <c r="R751" s="414"/>
      <c r="S751" s="414"/>
      <c r="T751" s="414"/>
      <c r="U751" s="414"/>
    </row>
    <row r="752">
      <c r="A752" s="414"/>
      <c r="B752" s="414"/>
      <c r="C752" s="414"/>
      <c r="D752" s="414"/>
      <c r="E752" s="414"/>
      <c r="F752" s="414"/>
      <c r="G752" s="414"/>
      <c r="H752" s="414"/>
      <c r="I752" s="414"/>
      <c r="J752" s="414"/>
      <c r="K752" s="414"/>
      <c r="L752" s="414"/>
      <c r="M752" s="414"/>
      <c r="N752" s="414"/>
      <c r="O752" s="414"/>
      <c r="P752" s="414"/>
      <c r="Q752" s="414"/>
      <c r="R752" s="414"/>
      <c r="S752" s="414"/>
      <c r="T752" s="414"/>
      <c r="U752" s="414"/>
    </row>
    <row r="753">
      <c r="A753" s="414"/>
      <c r="B753" s="414"/>
      <c r="C753" s="414"/>
      <c r="D753" s="414"/>
      <c r="E753" s="414"/>
      <c r="F753" s="414"/>
      <c r="G753" s="414"/>
      <c r="H753" s="414"/>
      <c r="I753" s="414"/>
      <c r="J753" s="414"/>
      <c r="K753" s="414"/>
      <c r="L753" s="414"/>
      <c r="M753" s="414"/>
      <c r="N753" s="414"/>
      <c r="O753" s="414"/>
      <c r="P753" s="414"/>
      <c r="Q753" s="414"/>
      <c r="R753" s="414"/>
      <c r="S753" s="414"/>
      <c r="T753" s="414"/>
      <c r="U753" s="414"/>
    </row>
    <row r="754">
      <c r="A754" s="414"/>
      <c r="B754" s="414"/>
      <c r="C754" s="414"/>
      <c r="D754" s="414"/>
      <c r="E754" s="414"/>
      <c r="F754" s="414"/>
      <c r="G754" s="414"/>
      <c r="H754" s="414"/>
      <c r="I754" s="414"/>
      <c r="J754" s="414"/>
      <c r="K754" s="414"/>
      <c r="L754" s="414"/>
      <c r="M754" s="414"/>
      <c r="N754" s="414"/>
      <c r="O754" s="414"/>
      <c r="P754" s="414"/>
      <c r="Q754" s="414"/>
      <c r="R754" s="414"/>
      <c r="S754" s="414"/>
      <c r="T754" s="414"/>
      <c r="U754" s="414"/>
    </row>
    <row r="755">
      <c r="A755" s="414"/>
      <c r="B755" s="414"/>
      <c r="C755" s="414"/>
      <c r="D755" s="414"/>
      <c r="E755" s="414"/>
      <c r="F755" s="414"/>
      <c r="G755" s="414"/>
      <c r="H755" s="414"/>
      <c r="I755" s="414"/>
      <c r="J755" s="414"/>
      <c r="K755" s="414"/>
      <c r="L755" s="414"/>
      <c r="M755" s="414"/>
      <c r="N755" s="414"/>
      <c r="O755" s="414"/>
      <c r="P755" s="414"/>
      <c r="Q755" s="414"/>
      <c r="R755" s="414"/>
      <c r="S755" s="414"/>
      <c r="T755" s="414"/>
      <c r="U755" s="414"/>
    </row>
    <row r="756">
      <c r="A756" s="414"/>
      <c r="B756" s="414"/>
      <c r="C756" s="414"/>
      <c r="D756" s="414"/>
      <c r="E756" s="414"/>
      <c r="F756" s="414"/>
      <c r="G756" s="414"/>
      <c r="H756" s="414"/>
      <c r="I756" s="414"/>
      <c r="J756" s="414"/>
      <c r="K756" s="414"/>
      <c r="L756" s="414"/>
      <c r="M756" s="414"/>
      <c r="N756" s="414"/>
      <c r="O756" s="414"/>
      <c r="P756" s="414"/>
      <c r="Q756" s="414"/>
      <c r="R756" s="414"/>
      <c r="S756" s="414"/>
      <c r="T756" s="414"/>
      <c r="U756" s="414"/>
    </row>
    <row r="757">
      <c r="A757" s="414"/>
      <c r="B757" s="414"/>
      <c r="C757" s="414"/>
      <c r="D757" s="414"/>
      <c r="E757" s="414"/>
      <c r="F757" s="414"/>
      <c r="G757" s="414"/>
      <c r="H757" s="414"/>
      <c r="I757" s="414"/>
      <c r="J757" s="414"/>
      <c r="K757" s="414"/>
      <c r="L757" s="414"/>
      <c r="M757" s="414"/>
      <c r="N757" s="414"/>
      <c r="O757" s="414"/>
      <c r="P757" s="414"/>
      <c r="Q757" s="414"/>
      <c r="R757" s="414"/>
      <c r="S757" s="414"/>
      <c r="T757" s="414"/>
      <c r="U757" s="414"/>
    </row>
    <row r="758">
      <c r="A758" s="414"/>
      <c r="B758" s="414"/>
      <c r="C758" s="414"/>
      <c r="D758" s="414"/>
      <c r="E758" s="414"/>
      <c r="F758" s="414"/>
      <c r="G758" s="414"/>
      <c r="H758" s="414"/>
      <c r="I758" s="414"/>
      <c r="J758" s="414"/>
      <c r="K758" s="414"/>
      <c r="L758" s="414"/>
      <c r="M758" s="414"/>
      <c r="N758" s="414"/>
      <c r="O758" s="414"/>
      <c r="P758" s="414"/>
      <c r="Q758" s="414"/>
      <c r="R758" s="414"/>
      <c r="S758" s="414"/>
      <c r="T758" s="414"/>
      <c r="U758" s="414"/>
    </row>
    <row r="759">
      <c r="A759" s="414"/>
      <c r="B759" s="414"/>
      <c r="C759" s="414"/>
      <c r="D759" s="414"/>
      <c r="E759" s="414"/>
      <c r="F759" s="414"/>
      <c r="G759" s="414"/>
      <c r="H759" s="414"/>
      <c r="I759" s="414"/>
      <c r="J759" s="414"/>
      <c r="K759" s="414"/>
      <c r="L759" s="414"/>
      <c r="M759" s="414"/>
      <c r="N759" s="414"/>
      <c r="O759" s="414"/>
      <c r="P759" s="414"/>
      <c r="Q759" s="414"/>
      <c r="R759" s="414"/>
      <c r="S759" s="414"/>
      <c r="T759" s="414"/>
      <c r="U759" s="414"/>
    </row>
    <row r="760">
      <c r="A760" s="414"/>
      <c r="B760" s="414"/>
      <c r="C760" s="414"/>
      <c r="D760" s="414"/>
      <c r="E760" s="414"/>
      <c r="F760" s="414"/>
      <c r="G760" s="414"/>
      <c r="H760" s="414"/>
      <c r="I760" s="414"/>
      <c r="J760" s="414"/>
      <c r="K760" s="414"/>
      <c r="L760" s="414"/>
      <c r="M760" s="414"/>
      <c r="N760" s="414"/>
      <c r="O760" s="414"/>
      <c r="P760" s="414"/>
      <c r="Q760" s="414"/>
      <c r="R760" s="414"/>
      <c r="S760" s="414"/>
      <c r="T760" s="414"/>
      <c r="U760" s="414"/>
    </row>
    <row r="761">
      <c r="A761" s="414"/>
      <c r="B761" s="414"/>
      <c r="C761" s="414"/>
      <c r="D761" s="414"/>
      <c r="E761" s="414"/>
      <c r="F761" s="414"/>
      <c r="G761" s="414"/>
      <c r="H761" s="414"/>
      <c r="I761" s="414"/>
      <c r="J761" s="414"/>
      <c r="K761" s="414"/>
      <c r="L761" s="414"/>
      <c r="M761" s="414"/>
      <c r="N761" s="414"/>
      <c r="O761" s="414"/>
      <c r="P761" s="414"/>
      <c r="Q761" s="414"/>
      <c r="R761" s="414"/>
      <c r="S761" s="414"/>
      <c r="T761" s="414"/>
      <c r="U761" s="414"/>
    </row>
    <row r="762">
      <c r="A762" s="414"/>
      <c r="B762" s="414"/>
      <c r="C762" s="414"/>
      <c r="D762" s="414"/>
      <c r="E762" s="414"/>
      <c r="F762" s="414"/>
      <c r="G762" s="414"/>
      <c r="H762" s="414"/>
      <c r="I762" s="414"/>
      <c r="J762" s="414"/>
      <c r="K762" s="414"/>
      <c r="L762" s="414"/>
      <c r="M762" s="414"/>
      <c r="N762" s="414"/>
      <c r="O762" s="414"/>
      <c r="P762" s="414"/>
      <c r="Q762" s="414"/>
      <c r="R762" s="414"/>
      <c r="S762" s="414"/>
      <c r="T762" s="414"/>
      <c r="U762" s="414"/>
    </row>
    <row r="763">
      <c r="A763" s="414"/>
      <c r="B763" s="414"/>
      <c r="C763" s="414"/>
      <c r="D763" s="414"/>
      <c r="E763" s="414"/>
      <c r="F763" s="414"/>
      <c r="G763" s="414"/>
      <c r="H763" s="414"/>
      <c r="I763" s="414"/>
      <c r="J763" s="414"/>
      <c r="K763" s="414"/>
      <c r="L763" s="414"/>
      <c r="M763" s="414"/>
      <c r="N763" s="414"/>
      <c r="O763" s="414"/>
      <c r="P763" s="414"/>
      <c r="Q763" s="414"/>
      <c r="R763" s="414"/>
      <c r="S763" s="414"/>
      <c r="T763" s="414"/>
      <c r="U763" s="414"/>
    </row>
    <row r="764">
      <c r="A764" s="414"/>
      <c r="B764" s="414"/>
      <c r="C764" s="414"/>
      <c r="D764" s="414"/>
      <c r="E764" s="414"/>
      <c r="F764" s="414"/>
      <c r="G764" s="414"/>
      <c r="H764" s="414"/>
      <c r="I764" s="414"/>
      <c r="J764" s="414"/>
      <c r="K764" s="414"/>
      <c r="L764" s="414"/>
      <c r="M764" s="414"/>
      <c r="N764" s="414"/>
      <c r="O764" s="414"/>
      <c r="P764" s="414"/>
      <c r="Q764" s="414"/>
      <c r="R764" s="414"/>
      <c r="S764" s="414"/>
      <c r="T764" s="414"/>
      <c r="U764" s="414"/>
    </row>
    <row r="765">
      <c r="A765" s="414"/>
      <c r="B765" s="414"/>
      <c r="C765" s="414"/>
      <c r="D765" s="414"/>
      <c r="E765" s="414"/>
      <c r="F765" s="414"/>
      <c r="G765" s="414"/>
      <c r="H765" s="414"/>
      <c r="I765" s="414"/>
      <c r="J765" s="414"/>
      <c r="K765" s="414"/>
      <c r="L765" s="414"/>
      <c r="M765" s="414"/>
      <c r="N765" s="414"/>
      <c r="O765" s="414"/>
      <c r="P765" s="414"/>
      <c r="Q765" s="414"/>
      <c r="R765" s="414"/>
      <c r="S765" s="414"/>
      <c r="T765" s="414"/>
      <c r="U765" s="414"/>
    </row>
    <row r="766">
      <c r="A766" s="414"/>
      <c r="B766" s="414"/>
      <c r="C766" s="414"/>
      <c r="D766" s="414"/>
      <c r="E766" s="414"/>
      <c r="F766" s="414"/>
      <c r="G766" s="414"/>
      <c r="H766" s="414"/>
      <c r="I766" s="414"/>
      <c r="J766" s="414"/>
      <c r="K766" s="414"/>
      <c r="L766" s="414"/>
      <c r="M766" s="414"/>
      <c r="N766" s="414"/>
      <c r="O766" s="414"/>
      <c r="P766" s="414"/>
      <c r="Q766" s="414"/>
      <c r="R766" s="414"/>
      <c r="S766" s="414"/>
      <c r="T766" s="414"/>
      <c r="U766" s="414"/>
    </row>
    <row r="767">
      <c r="A767" s="414"/>
      <c r="B767" s="414"/>
      <c r="C767" s="414"/>
      <c r="D767" s="414"/>
      <c r="E767" s="414"/>
      <c r="F767" s="414"/>
      <c r="G767" s="414"/>
      <c r="H767" s="414"/>
      <c r="I767" s="414"/>
      <c r="J767" s="414"/>
      <c r="K767" s="414"/>
      <c r="L767" s="414"/>
      <c r="M767" s="414"/>
      <c r="N767" s="414"/>
      <c r="O767" s="414"/>
      <c r="P767" s="414"/>
      <c r="Q767" s="414"/>
      <c r="R767" s="414"/>
      <c r="S767" s="414"/>
      <c r="T767" s="414"/>
      <c r="U767" s="414"/>
    </row>
    <row r="768">
      <c r="A768" s="414"/>
      <c r="B768" s="414"/>
      <c r="C768" s="414"/>
      <c r="D768" s="414"/>
      <c r="E768" s="414"/>
      <c r="F768" s="414"/>
      <c r="G768" s="414"/>
      <c r="H768" s="414"/>
      <c r="I768" s="414"/>
      <c r="J768" s="414"/>
      <c r="K768" s="414"/>
      <c r="L768" s="414"/>
      <c r="M768" s="414"/>
      <c r="N768" s="414"/>
      <c r="O768" s="414"/>
      <c r="P768" s="414"/>
      <c r="Q768" s="414"/>
      <c r="R768" s="414"/>
      <c r="S768" s="414"/>
      <c r="T768" s="414"/>
      <c r="U768" s="414"/>
    </row>
    <row r="769">
      <c r="A769" s="414"/>
      <c r="B769" s="414"/>
      <c r="C769" s="414"/>
      <c r="D769" s="414"/>
      <c r="E769" s="414"/>
      <c r="F769" s="414"/>
      <c r="G769" s="414"/>
      <c r="H769" s="414"/>
      <c r="I769" s="414"/>
      <c r="J769" s="414"/>
      <c r="K769" s="414"/>
      <c r="L769" s="414"/>
      <c r="M769" s="414"/>
      <c r="N769" s="414"/>
      <c r="O769" s="414"/>
      <c r="P769" s="414"/>
      <c r="Q769" s="414"/>
      <c r="R769" s="414"/>
      <c r="S769" s="414"/>
      <c r="T769" s="414"/>
      <c r="U769" s="414"/>
    </row>
    <row r="770">
      <c r="A770" s="414"/>
      <c r="B770" s="414"/>
      <c r="C770" s="414"/>
      <c r="D770" s="414"/>
      <c r="E770" s="414"/>
      <c r="F770" s="414"/>
      <c r="G770" s="414"/>
      <c r="H770" s="414"/>
      <c r="I770" s="414"/>
      <c r="J770" s="414"/>
      <c r="K770" s="414"/>
      <c r="L770" s="414"/>
      <c r="M770" s="414"/>
      <c r="N770" s="414"/>
      <c r="O770" s="414"/>
      <c r="P770" s="414"/>
      <c r="Q770" s="414"/>
      <c r="R770" s="414"/>
      <c r="S770" s="414"/>
      <c r="T770" s="414"/>
      <c r="U770" s="414"/>
    </row>
    <row r="771">
      <c r="A771" s="414"/>
      <c r="B771" s="414"/>
      <c r="C771" s="414"/>
      <c r="D771" s="414"/>
      <c r="E771" s="414"/>
      <c r="F771" s="414"/>
      <c r="G771" s="414"/>
      <c r="H771" s="414"/>
      <c r="I771" s="414"/>
      <c r="J771" s="414"/>
      <c r="K771" s="414"/>
      <c r="L771" s="414"/>
      <c r="M771" s="414"/>
      <c r="N771" s="414"/>
      <c r="O771" s="414"/>
      <c r="P771" s="414"/>
      <c r="Q771" s="414"/>
      <c r="R771" s="414"/>
      <c r="S771" s="414"/>
      <c r="T771" s="414"/>
      <c r="U771" s="414"/>
    </row>
    <row r="772">
      <c r="A772" s="414"/>
      <c r="B772" s="414"/>
      <c r="C772" s="414"/>
      <c r="D772" s="414"/>
      <c r="E772" s="414"/>
      <c r="F772" s="414"/>
      <c r="G772" s="414"/>
      <c r="H772" s="414"/>
      <c r="I772" s="414"/>
      <c r="J772" s="414"/>
      <c r="K772" s="414"/>
      <c r="L772" s="414"/>
      <c r="M772" s="414"/>
      <c r="N772" s="414"/>
      <c r="O772" s="414"/>
      <c r="P772" s="414"/>
      <c r="Q772" s="414"/>
      <c r="R772" s="414"/>
      <c r="S772" s="414"/>
      <c r="T772" s="414"/>
      <c r="U772" s="414"/>
    </row>
    <row r="773">
      <c r="A773" s="414"/>
      <c r="B773" s="414"/>
      <c r="C773" s="414"/>
      <c r="D773" s="414"/>
      <c r="E773" s="414"/>
      <c r="F773" s="414"/>
      <c r="G773" s="414"/>
      <c r="H773" s="414"/>
      <c r="I773" s="414"/>
      <c r="J773" s="414"/>
      <c r="K773" s="414"/>
      <c r="L773" s="414"/>
      <c r="M773" s="414"/>
      <c r="N773" s="414"/>
      <c r="O773" s="414"/>
      <c r="P773" s="414"/>
      <c r="Q773" s="414"/>
      <c r="R773" s="414"/>
      <c r="S773" s="414"/>
      <c r="T773" s="414"/>
      <c r="U773" s="414"/>
    </row>
    <row r="774">
      <c r="A774" s="414"/>
      <c r="B774" s="414"/>
      <c r="C774" s="414"/>
      <c r="D774" s="414"/>
      <c r="E774" s="414"/>
      <c r="F774" s="414"/>
      <c r="G774" s="414"/>
      <c r="H774" s="414"/>
      <c r="I774" s="414"/>
      <c r="J774" s="414"/>
      <c r="K774" s="414"/>
      <c r="L774" s="414"/>
      <c r="M774" s="414"/>
      <c r="N774" s="414"/>
      <c r="O774" s="414"/>
      <c r="P774" s="414"/>
      <c r="Q774" s="414"/>
      <c r="R774" s="414"/>
      <c r="S774" s="414"/>
      <c r="T774" s="414"/>
      <c r="U774" s="414"/>
    </row>
    <row r="775">
      <c r="A775" s="414"/>
      <c r="B775" s="414"/>
      <c r="C775" s="414"/>
      <c r="D775" s="414"/>
      <c r="E775" s="414"/>
      <c r="F775" s="414"/>
      <c r="G775" s="414"/>
      <c r="H775" s="414"/>
      <c r="I775" s="414"/>
      <c r="J775" s="414"/>
      <c r="K775" s="414"/>
      <c r="L775" s="414"/>
      <c r="M775" s="414"/>
      <c r="N775" s="414"/>
      <c r="O775" s="414"/>
      <c r="P775" s="414"/>
      <c r="Q775" s="414"/>
      <c r="R775" s="414"/>
      <c r="S775" s="414"/>
      <c r="T775" s="414"/>
      <c r="U775" s="414"/>
    </row>
    <row r="776">
      <c r="A776" s="414"/>
      <c r="B776" s="414"/>
      <c r="C776" s="414"/>
      <c r="D776" s="414"/>
      <c r="E776" s="414"/>
      <c r="F776" s="414"/>
      <c r="G776" s="414"/>
      <c r="H776" s="414"/>
      <c r="I776" s="414"/>
      <c r="J776" s="414"/>
      <c r="K776" s="414"/>
      <c r="L776" s="414"/>
      <c r="M776" s="414"/>
      <c r="N776" s="414"/>
      <c r="O776" s="414"/>
      <c r="P776" s="414"/>
      <c r="Q776" s="414"/>
      <c r="R776" s="414"/>
      <c r="S776" s="414"/>
      <c r="T776" s="414"/>
      <c r="U776" s="414"/>
    </row>
    <row r="777">
      <c r="A777" s="414"/>
      <c r="B777" s="414"/>
      <c r="C777" s="414"/>
      <c r="D777" s="414"/>
      <c r="E777" s="414"/>
      <c r="F777" s="414"/>
      <c r="G777" s="414"/>
      <c r="H777" s="414"/>
      <c r="I777" s="414"/>
      <c r="J777" s="414"/>
      <c r="K777" s="414"/>
      <c r="L777" s="414"/>
      <c r="M777" s="414"/>
      <c r="N777" s="414"/>
      <c r="O777" s="414"/>
      <c r="P777" s="414"/>
      <c r="Q777" s="414"/>
      <c r="R777" s="414"/>
      <c r="S777" s="414"/>
      <c r="T777" s="414"/>
      <c r="U777" s="414"/>
    </row>
    <row r="778">
      <c r="A778" s="414"/>
      <c r="B778" s="414"/>
      <c r="C778" s="414"/>
      <c r="D778" s="414"/>
      <c r="E778" s="414"/>
      <c r="F778" s="414"/>
      <c r="G778" s="414"/>
      <c r="H778" s="414"/>
      <c r="I778" s="414"/>
      <c r="J778" s="414"/>
      <c r="K778" s="414"/>
      <c r="L778" s="414"/>
      <c r="M778" s="414"/>
      <c r="N778" s="414"/>
      <c r="O778" s="414"/>
      <c r="P778" s="414"/>
      <c r="Q778" s="414"/>
      <c r="R778" s="414"/>
      <c r="S778" s="414"/>
      <c r="T778" s="414"/>
      <c r="U778" s="414"/>
    </row>
    <row r="779">
      <c r="A779" s="414"/>
      <c r="B779" s="414"/>
      <c r="C779" s="414"/>
      <c r="D779" s="414"/>
      <c r="E779" s="414"/>
      <c r="F779" s="414"/>
      <c r="G779" s="414"/>
      <c r="H779" s="414"/>
      <c r="I779" s="414"/>
      <c r="J779" s="414"/>
      <c r="K779" s="414"/>
      <c r="L779" s="414"/>
      <c r="M779" s="414"/>
      <c r="N779" s="414"/>
      <c r="O779" s="414"/>
      <c r="P779" s="414"/>
      <c r="Q779" s="414"/>
      <c r="R779" s="414"/>
      <c r="S779" s="414"/>
      <c r="T779" s="414"/>
      <c r="U779" s="414"/>
    </row>
    <row r="780">
      <c r="A780" s="414"/>
      <c r="B780" s="414"/>
      <c r="C780" s="414"/>
      <c r="D780" s="414"/>
      <c r="E780" s="414"/>
      <c r="F780" s="414"/>
      <c r="G780" s="414"/>
      <c r="H780" s="414"/>
      <c r="I780" s="414"/>
      <c r="J780" s="414"/>
      <c r="K780" s="414"/>
      <c r="L780" s="414"/>
      <c r="M780" s="414"/>
      <c r="N780" s="414"/>
      <c r="O780" s="414"/>
      <c r="P780" s="414"/>
      <c r="Q780" s="414"/>
      <c r="R780" s="414"/>
      <c r="S780" s="414"/>
      <c r="T780" s="414"/>
      <c r="U780" s="414"/>
    </row>
    <row r="781">
      <c r="A781" s="414"/>
      <c r="B781" s="414"/>
      <c r="C781" s="414"/>
      <c r="D781" s="414"/>
      <c r="E781" s="414"/>
      <c r="F781" s="414"/>
      <c r="G781" s="414"/>
      <c r="H781" s="414"/>
      <c r="I781" s="414"/>
      <c r="J781" s="414"/>
      <c r="K781" s="414"/>
      <c r="L781" s="414"/>
      <c r="M781" s="414"/>
      <c r="N781" s="414"/>
      <c r="O781" s="414"/>
      <c r="P781" s="414"/>
      <c r="Q781" s="414"/>
      <c r="R781" s="414"/>
      <c r="S781" s="414"/>
      <c r="T781" s="414"/>
      <c r="U781" s="414"/>
    </row>
    <row r="782">
      <c r="A782" s="414"/>
      <c r="B782" s="414"/>
      <c r="C782" s="414"/>
      <c r="D782" s="414"/>
      <c r="E782" s="414"/>
      <c r="F782" s="414"/>
      <c r="G782" s="414"/>
      <c r="H782" s="414"/>
      <c r="I782" s="414"/>
      <c r="J782" s="414"/>
      <c r="K782" s="414"/>
      <c r="L782" s="414"/>
      <c r="M782" s="414"/>
      <c r="N782" s="414"/>
      <c r="O782" s="414"/>
      <c r="P782" s="414"/>
      <c r="Q782" s="414"/>
      <c r="R782" s="414"/>
      <c r="S782" s="414"/>
      <c r="T782" s="414"/>
      <c r="U782" s="414"/>
    </row>
    <row r="783">
      <c r="A783" s="414"/>
      <c r="B783" s="414"/>
      <c r="C783" s="414"/>
      <c r="D783" s="414"/>
      <c r="E783" s="414"/>
      <c r="F783" s="414"/>
      <c r="G783" s="414"/>
      <c r="H783" s="414"/>
      <c r="I783" s="414"/>
      <c r="J783" s="414"/>
      <c r="K783" s="414"/>
      <c r="L783" s="414"/>
      <c r="M783" s="414"/>
      <c r="N783" s="414"/>
      <c r="O783" s="414"/>
      <c r="P783" s="414"/>
      <c r="Q783" s="414"/>
      <c r="R783" s="414"/>
      <c r="S783" s="414"/>
      <c r="T783" s="414"/>
      <c r="U783" s="414"/>
    </row>
    <row r="784">
      <c r="A784" s="414"/>
      <c r="B784" s="414"/>
      <c r="C784" s="414"/>
      <c r="D784" s="414"/>
      <c r="E784" s="414"/>
      <c r="F784" s="414"/>
      <c r="G784" s="414"/>
      <c r="H784" s="414"/>
      <c r="I784" s="414"/>
      <c r="J784" s="414"/>
      <c r="K784" s="414"/>
      <c r="L784" s="414"/>
      <c r="M784" s="414"/>
      <c r="N784" s="414"/>
      <c r="O784" s="414"/>
      <c r="P784" s="414"/>
      <c r="Q784" s="414"/>
      <c r="R784" s="414"/>
      <c r="S784" s="414"/>
      <c r="T784" s="414"/>
      <c r="U784" s="414"/>
    </row>
    <row r="785">
      <c r="A785" s="414"/>
      <c r="B785" s="414"/>
      <c r="C785" s="414"/>
      <c r="D785" s="414"/>
      <c r="E785" s="414"/>
      <c r="F785" s="414"/>
      <c r="G785" s="414"/>
      <c r="H785" s="414"/>
      <c r="I785" s="414"/>
      <c r="J785" s="414"/>
      <c r="K785" s="414"/>
      <c r="L785" s="414"/>
      <c r="M785" s="414"/>
      <c r="N785" s="414"/>
      <c r="O785" s="414"/>
      <c r="P785" s="414"/>
      <c r="Q785" s="414"/>
      <c r="R785" s="414"/>
      <c r="S785" s="414"/>
      <c r="T785" s="414"/>
      <c r="U785" s="414"/>
    </row>
    <row r="786">
      <c r="A786" s="414"/>
      <c r="B786" s="414"/>
      <c r="C786" s="414"/>
      <c r="D786" s="414"/>
      <c r="E786" s="414"/>
      <c r="F786" s="414"/>
      <c r="G786" s="414"/>
      <c r="H786" s="414"/>
      <c r="I786" s="414"/>
      <c r="J786" s="414"/>
      <c r="K786" s="414"/>
      <c r="L786" s="414"/>
      <c r="M786" s="414"/>
      <c r="N786" s="414"/>
      <c r="O786" s="414"/>
      <c r="P786" s="414"/>
      <c r="Q786" s="414"/>
      <c r="R786" s="414"/>
      <c r="S786" s="414"/>
      <c r="T786" s="414"/>
      <c r="U786" s="414"/>
    </row>
    <row r="787">
      <c r="A787" s="414"/>
      <c r="B787" s="414"/>
      <c r="C787" s="414"/>
      <c r="D787" s="414"/>
      <c r="E787" s="414"/>
      <c r="F787" s="414"/>
      <c r="G787" s="414"/>
      <c r="H787" s="414"/>
      <c r="I787" s="414"/>
      <c r="J787" s="414"/>
      <c r="K787" s="414"/>
      <c r="L787" s="414"/>
      <c r="M787" s="414"/>
      <c r="N787" s="414"/>
      <c r="O787" s="414"/>
      <c r="P787" s="414"/>
      <c r="Q787" s="414"/>
      <c r="R787" s="414"/>
      <c r="S787" s="414"/>
      <c r="T787" s="414"/>
      <c r="U787" s="414"/>
    </row>
    <row r="788">
      <c r="A788" s="414"/>
      <c r="B788" s="414"/>
      <c r="C788" s="414"/>
      <c r="D788" s="414"/>
      <c r="E788" s="414"/>
      <c r="F788" s="414"/>
      <c r="G788" s="414"/>
      <c r="H788" s="414"/>
      <c r="I788" s="414"/>
      <c r="J788" s="414"/>
      <c r="K788" s="414"/>
      <c r="L788" s="414"/>
      <c r="M788" s="414"/>
      <c r="N788" s="414"/>
      <c r="O788" s="414"/>
      <c r="P788" s="414"/>
      <c r="Q788" s="414"/>
      <c r="R788" s="414"/>
      <c r="S788" s="414"/>
      <c r="T788" s="414"/>
      <c r="U788" s="414"/>
    </row>
    <row r="789">
      <c r="A789" s="414"/>
      <c r="B789" s="414"/>
      <c r="C789" s="414"/>
      <c r="D789" s="414"/>
      <c r="E789" s="414"/>
      <c r="F789" s="414"/>
      <c r="G789" s="414"/>
      <c r="H789" s="414"/>
      <c r="I789" s="414"/>
      <c r="J789" s="414"/>
      <c r="K789" s="414"/>
      <c r="L789" s="414"/>
      <c r="M789" s="414"/>
      <c r="N789" s="414"/>
      <c r="O789" s="414"/>
      <c r="P789" s="414"/>
      <c r="Q789" s="414"/>
      <c r="R789" s="414"/>
      <c r="S789" s="414"/>
      <c r="T789" s="414"/>
      <c r="U789" s="414"/>
    </row>
    <row r="790">
      <c r="A790" s="414"/>
      <c r="B790" s="414"/>
      <c r="C790" s="414"/>
      <c r="D790" s="414"/>
      <c r="E790" s="414"/>
      <c r="F790" s="414"/>
      <c r="G790" s="414"/>
      <c r="H790" s="414"/>
      <c r="I790" s="414"/>
      <c r="J790" s="414"/>
      <c r="K790" s="414"/>
      <c r="L790" s="414"/>
      <c r="M790" s="414"/>
      <c r="N790" s="414"/>
      <c r="O790" s="414"/>
      <c r="P790" s="414"/>
      <c r="Q790" s="414"/>
      <c r="R790" s="414"/>
      <c r="S790" s="414"/>
      <c r="T790" s="414"/>
      <c r="U790" s="414"/>
    </row>
    <row r="791">
      <c r="A791" s="414"/>
      <c r="B791" s="414"/>
      <c r="C791" s="414"/>
      <c r="D791" s="414"/>
      <c r="E791" s="414"/>
      <c r="F791" s="414"/>
      <c r="G791" s="414"/>
      <c r="H791" s="414"/>
      <c r="I791" s="414"/>
      <c r="J791" s="414"/>
      <c r="K791" s="414"/>
      <c r="L791" s="414"/>
      <c r="M791" s="414"/>
      <c r="N791" s="414"/>
      <c r="O791" s="414"/>
      <c r="P791" s="414"/>
      <c r="Q791" s="414"/>
      <c r="R791" s="414"/>
      <c r="S791" s="414"/>
      <c r="T791" s="414"/>
      <c r="U791" s="414"/>
    </row>
    <row r="792">
      <c r="A792" s="414"/>
      <c r="B792" s="414"/>
      <c r="C792" s="414"/>
      <c r="D792" s="414"/>
      <c r="E792" s="414"/>
      <c r="F792" s="414"/>
      <c r="G792" s="414"/>
      <c r="H792" s="414"/>
      <c r="I792" s="414"/>
      <c r="J792" s="414"/>
      <c r="K792" s="414"/>
      <c r="L792" s="414"/>
      <c r="M792" s="414"/>
      <c r="N792" s="414"/>
      <c r="O792" s="414"/>
      <c r="P792" s="414"/>
      <c r="Q792" s="414"/>
      <c r="R792" s="414"/>
      <c r="S792" s="414"/>
      <c r="T792" s="414"/>
      <c r="U792" s="414"/>
    </row>
    <row r="793">
      <c r="A793" s="414"/>
      <c r="B793" s="414"/>
      <c r="C793" s="414"/>
      <c r="D793" s="414"/>
      <c r="E793" s="414"/>
      <c r="F793" s="414"/>
      <c r="G793" s="414"/>
      <c r="H793" s="414"/>
      <c r="I793" s="414"/>
      <c r="J793" s="414"/>
      <c r="K793" s="414"/>
      <c r="L793" s="414"/>
      <c r="M793" s="414"/>
      <c r="N793" s="414"/>
      <c r="O793" s="414"/>
      <c r="P793" s="414"/>
      <c r="Q793" s="414"/>
      <c r="R793" s="414"/>
      <c r="S793" s="414"/>
      <c r="T793" s="414"/>
      <c r="U793" s="414"/>
    </row>
    <row r="794">
      <c r="A794" s="414"/>
      <c r="B794" s="414"/>
      <c r="C794" s="414"/>
      <c r="D794" s="414"/>
      <c r="E794" s="414"/>
      <c r="F794" s="414"/>
      <c r="G794" s="414"/>
      <c r="H794" s="414"/>
      <c r="I794" s="414"/>
      <c r="J794" s="414"/>
      <c r="K794" s="414"/>
      <c r="L794" s="414"/>
      <c r="M794" s="414"/>
      <c r="N794" s="414"/>
      <c r="O794" s="414"/>
      <c r="P794" s="414"/>
      <c r="Q794" s="414"/>
      <c r="R794" s="414"/>
      <c r="S794" s="414"/>
      <c r="T794" s="414"/>
      <c r="U794" s="414"/>
    </row>
    <row r="795">
      <c r="A795" s="414"/>
      <c r="B795" s="414"/>
      <c r="C795" s="414"/>
      <c r="D795" s="414"/>
      <c r="E795" s="414"/>
      <c r="F795" s="414"/>
      <c r="G795" s="414"/>
      <c r="H795" s="414"/>
      <c r="I795" s="414"/>
      <c r="J795" s="414"/>
      <c r="K795" s="414"/>
      <c r="L795" s="414"/>
      <c r="M795" s="414"/>
      <c r="N795" s="414"/>
      <c r="O795" s="414"/>
      <c r="P795" s="414"/>
      <c r="Q795" s="414"/>
      <c r="R795" s="414"/>
      <c r="S795" s="414"/>
      <c r="T795" s="414"/>
      <c r="U795" s="414"/>
    </row>
    <row r="796">
      <c r="A796" s="414"/>
      <c r="B796" s="414"/>
      <c r="C796" s="414"/>
      <c r="D796" s="414"/>
      <c r="E796" s="414"/>
      <c r="F796" s="414"/>
      <c r="G796" s="414"/>
      <c r="H796" s="414"/>
      <c r="I796" s="414"/>
      <c r="J796" s="414"/>
      <c r="K796" s="414"/>
      <c r="L796" s="414"/>
      <c r="M796" s="414"/>
      <c r="N796" s="414"/>
      <c r="O796" s="414"/>
      <c r="P796" s="414"/>
      <c r="Q796" s="414"/>
      <c r="R796" s="414"/>
      <c r="S796" s="414"/>
      <c r="T796" s="414"/>
      <c r="U796" s="414"/>
    </row>
    <row r="797">
      <c r="A797" s="414"/>
      <c r="B797" s="414"/>
      <c r="C797" s="414"/>
      <c r="D797" s="414"/>
      <c r="E797" s="414"/>
      <c r="F797" s="414"/>
      <c r="G797" s="414"/>
      <c r="H797" s="414"/>
      <c r="I797" s="414"/>
      <c r="J797" s="414"/>
      <c r="K797" s="414"/>
      <c r="L797" s="414"/>
      <c r="M797" s="414"/>
      <c r="N797" s="414"/>
      <c r="O797" s="414"/>
      <c r="P797" s="414"/>
      <c r="Q797" s="414"/>
      <c r="R797" s="414"/>
      <c r="S797" s="414"/>
      <c r="T797" s="414"/>
      <c r="U797" s="414"/>
    </row>
    <row r="798">
      <c r="A798" s="414"/>
      <c r="B798" s="414"/>
      <c r="C798" s="414"/>
      <c r="D798" s="414"/>
      <c r="E798" s="414"/>
      <c r="F798" s="414"/>
      <c r="G798" s="414"/>
      <c r="H798" s="414"/>
      <c r="I798" s="414"/>
      <c r="J798" s="414"/>
      <c r="K798" s="414"/>
      <c r="L798" s="414"/>
      <c r="M798" s="414"/>
      <c r="N798" s="414"/>
      <c r="O798" s="414"/>
      <c r="P798" s="414"/>
      <c r="Q798" s="414"/>
      <c r="R798" s="414"/>
      <c r="S798" s="414"/>
      <c r="T798" s="414"/>
      <c r="U798" s="414"/>
    </row>
    <row r="799">
      <c r="A799" s="414"/>
      <c r="B799" s="414"/>
      <c r="C799" s="414"/>
      <c r="D799" s="414"/>
      <c r="E799" s="414"/>
      <c r="F799" s="414"/>
      <c r="G799" s="414"/>
      <c r="H799" s="414"/>
      <c r="I799" s="414"/>
      <c r="J799" s="414"/>
      <c r="K799" s="414"/>
      <c r="L799" s="414"/>
      <c r="M799" s="414"/>
      <c r="N799" s="414"/>
      <c r="O799" s="414"/>
      <c r="P799" s="414"/>
      <c r="Q799" s="414"/>
      <c r="R799" s="414"/>
      <c r="S799" s="414"/>
      <c r="T799" s="414"/>
      <c r="U799" s="414"/>
    </row>
    <row r="800">
      <c r="A800" s="414"/>
      <c r="B800" s="414"/>
      <c r="C800" s="414"/>
      <c r="D800" s="414"/>
      <c r="E800" s="414"/>
      <c r="F800" s="414"/>
      <c r="G800" s="414"/>
      <c r="H800" s="414"/>
      <c r="I800" s="414"/>
      <c r="J800" s="414"/>
      <c r="K800" s="414"/>
      <c r="L800" s="414"/>
      <c r="M800" s="414"/>
      <c r="N800" s="414"/>
      <c r="O800" s="414"/>
      <c r="P800" s="414"/>
      <c r="Q800" s="414"/>
      <c r="R800" s="414"/>
      <c r="S800" s="414"/>
      <c r="T800" s="414"/>
      <c r="U800" s="414"/>
    </row>
    <row r="801">
      <c r="A801" s="414"/>
      <c r="B801" s="414"/>
      <c r="C801" s="414"/>
      <c r="D801" s="414"/>
      <c r="E801" s="414"/>
      <c r="F801" s="414"/>
      <c r="G801" s="414"/>
      <c r="H801" s="414"/>
      <c r="I801" s="414"/>
      <c r="J801" s="414"/>
      <c r="K801" s="414"/>
      <c r="L801" s="414"/>
      <c r="M801" s="414"/>
      <c r="N801" s="414"/>
      <c r="O801" s="414"/>
      <c r="P801" s="414"/>
      <c r="Q801" s="414"/>
      <c r="R801" s="414"/>
      <c r="S801" s="414"/>
      <c r="T801" s="414"/>
      <c r="U801" s="414"/>
    </row>
    <row r="802">
      <c r="A802" s="414"/>
      <c r="B802" s="414"/>
      <c r="C802" s="414"/>
      <c r="D802" s="414"/>
      <c r="E802" s="414"/>
      <c r="F802" s="414"/>
      <c r="G802" s="414"/>
      <c r="H802" s="414"/>
      <c r="I802" s="414"/>
      <c r="J802" s="414"/>
      <c r="K802" s="414"/>
      <c r="L802" s="414"/>
      <c r="M802" s="414"/>
      <c r="N802" s="414"/>
      <c r="O802" s="414"/>
      <c r="P802" s="414"/>
      <c r="Q802" s="414"/>
      <c r="R802" s="414"/>
      <c r="S802" s="414"/>
      <c r="T802" s="414"/>
      <c r="U802" s="414"/>
    </row>
    <row r="803">
      <c r="A803" s="414"/>
      <c r="B803" s="414"/>
      <c r="C803" s="414"/>
      <c r="D803" s="414"/>
      <c r="E803" s="414"/>
      <c r="F803" s="414"/>
      <c r="G803" s="414"/>
      <c r="H803" s="414"/>
      <c r="I803" s="414"/>
      <c r="J803" s="414"/>
      <c r="K803" s="414"/>
      <c r="L803" s="414"/>
      <c r="M803" s="414"/>
      <c r="N803" s="414"/>
      <c r="O803" s="414"/>
      <c r="P803" s="414"/>
      <c r="Q803" s="414"/>
      <c r="R803" s="414"/>
      <c r="S803" s="414"/>
      <c r="T803" s="414"/>
      <c r="U803" s="414"/>
    </row>
    <row r="804">
      <c r="A804" s="414"/>
      <c r="B804" s="414"/>
      <c r="C804" s="414"/>
      <c r="D804" s="414"/>
      <c r="E804" s="414"/>
      <c r="F804" s="414"/>
      <c r="G804" s="414"/>
      <c r="H804" s="414"/>
      <c r="I804" s="414"/>
      <c r="J804" s="414"/>
      <c r="K804" s="414"/>
      <c r="L804" s="414"/>
      <c r="M804" s="414"/>
      <c r="N804" s="414"/>
      <c r="O804" s="414"/>
      <c r="P804" s="414"/>
      <c r="Q804" s="414"/>
      <c r="R804" s="414"/>
      <c r="S804" s="414"/>
      <c r="T804" s="414"/>
      <c r="U804" s="414"/>
    </row>
    <row r="805">
      <c r="A805" s="414"/>
      <c r="B805" s="414"/>
      <c r="C805" s="414"/>
      <c r="D805" s="414"/>
      <c r="E805" s="414"/>
      <c r="F805" s="414"/>
      <c r="G805" s="414"/>
      <c r="H805" s="414"/>
      <c r="I805" s="414"/>
      <c r="J805" s="414"/>
      <c r="K805" s="414"/>
      <c r="L805" s="414"/>
      <c r="M805" s="414"/>
      <c r="N805" s="414"/>
      <c r="O805" s="414"/>
      <c r="P805" s="414"/>
      <c r="Q805" s="414"/>
      <c r="R805" s="414"/>
      <c r="S805" s="414"/>
      <c r="T805" s="414"/>
      <c r="U805" s="414"/>
    </row>
    <row r="806">
      <c r="A806" s="414"/>
      <c r="B806" s="414"/>
      <c r="C806" s="414"/>
      <c r="D806" s="414"/>
      <c r="E806" s="414"/>
      <c r="F806" s="414"/>
      <c r="G806" s="414"/>
      <c r="H806" s="414"/>
      <c r="I806" s="414"/>
      <c r="J806" s="414"/>
      <c r="K806" s="414"/>
      <c r="L806" s="414"/>
      <c r="M806" s="414"/>
      <c r="N806" s="414"/>
      <c r="O806" s="414"/>
      <c r="P806" s="414"/>
      <c r="Q806" s="414"/>
      <c r="R806" s="414"/>
      <c r="S806" s="414"/>
      <c r="T806" s="414"/>
      <c r="U806" s="414"/>
    </row>
    <row r="807">
      <c r="A807" s="414"/>
      <c r="B807" s="414"/>
      <c r="C807" s="414"/>
      <c r="D807" s="414"/>
      <c r="E807" s="414"/>
      <c r="F807" s="414"/>
      <c r="G807" s="414"/>
      <c r="H807" s="414"/>
      <c r="I807" s="414"/>
      <c r="J807" s="414"/>
      <c r="K807" s="414"/>
      <c r="L807" s="414"/>
      <c r="M807" s="414"/>
      <c r="N807" s="414"/>
      <c r="O807" s="414"/>
      <c r="P807" s="414"/>
      <c r="Q807" s="414"/>
      <c r="R807" s="414"/>
      <c r="S807" s="414"/>
      <c r="T807" s="414"/>
      <c r="U807" s="414"/>
    </row>
    <row r="808">
      <c r="A808" s="414"/>
      <c r="B808" s="414"/>
      <c r="C808" s="414"/>
      <c r="D808" s="414"/>
      <c r="E808" s="414"/>
      <c r="F808" s="414"/>
      <c r="G808" s="414"/>
      <c r="H808" s="414"/>
      <c r="I808" s="414"/>
      <c r="J808" s="414"/>
      <c r="K808" s="414"/>
      <c r="L808" s="414"/>
      <c r="M808" s="414"/>
      <c r="N808" s="414"/>
      <c r="O808" s="414"/>
      <c r="P808" s="414"/>
      <c r="Q808" s="414"/>
      <c r="R808" s="414"/>
      <c r="S808" s="414"/>
      <c r="T808" s="414"/>
      <c r="U808" s="414"/>
    </row>
    <row r="809">
      <c r="A809" s="414"/>
      <c r="B809" s="414"/>
      <c r="C809" s="414"/>
      <c r="D809" s="414"/>
      <c r="E809" s="414"/>
      <c r="F809" s="414"/>
      <c r="G809" s="414"/>
      <c r="H809" s="414"/>
      <c r="I809" s="414"/>
      <c r="J809" s="414"/>
      <c r="K809" s="414"/>
      <c r="L809" s="414"/>
      <c r="M809" s="414"/>
      <c r="N809" s="414"/>
      <c r="O809" s="414"/>
      <c r="P809" s="414"/>
      <c r="Q809" s="414"/>
      <c r="R809" s="414"/>
      <c r="S809" s="414"/>
      <c r="T809" s="414"/>
      <c r="U809" s="414"/>
    </row>
    <row r="810">
      <c r="A810" s="414"/>
      <c r="B810" s="414"/>
      <c r="C810" s="414"/>
      <c r="D810" s="414"/>
      <c r="E810" s="414"/>
      <c r="F810" s="414"/>
      <c r="G810" s="414"/>
      <c r="H810" s="414"/>
      <c r="I810" s="414"/>
      <c r="J810" s="414"/>
      <c r="K810" s="414"/>
      <c r="L810" s="414"/>
      <c r="M810" s="414"/>
      <c r="N810" s="414"/>
      <c r="O810" s="414"/>
      <c r="P810" s="414"/>
      <c r="Q810" s="414"/>
      <c r="R810" s="414"/>
      <c r="S810" s="414"/>
      <c r="T810" s="414"/>
      <c r="U810" s="414"/>
    </row>
    <row r="811">
      <c r="A811" s="414"/>
      <c r="B811" s="414"/>
      <c r="C811" s="414"/>
      <c r="D811" s="414"/>
      <c r="E811" s="414"/>
      <c r="F811" s="414"/>
      <c r="G811" s="414"/>
      <c r="H811" s="414"/>
      <c r="I811" s="414"/>
      <c r="J811" s="414"/>
      <c r="K811" s="414"/>
      <c r="L811" s="414"/>
      <c r="M811" s="414"/>
      <c r="N811" s="414"/>
      <c r="O811" s="414"/>
      <c r="P811" s="414"/>
      <c r="Q811" s="414"/>
      <c r="R811" s="414"/>
      <c r="S811" s="414"/>
      <c r="T811" s="414"/>
      <c r="U811" s="414"/>
    </row>
    <row r="812">
      <c r="A812" s="414"/>
      <c r="B812" s="414"/>
      <c r="C812" s="414"/>
      <c r="D812" s="414"/>
      <c r="E812" s="414"/>
      <c r="F812" s="414"/>
      <c r="G812" s="414"/>
      <c r="H812" s="414"/>
      <c r="I812" s="414"/>
      <c r="J812" s="414"/>
      <c r="K812" s="414"/>
      <c r="L812" s="414"/>
      <c r="M812" s="414"/>
      <c r="N812" s="414"/>
      <c r="O812" s="414"/>
      <c r="P812" s="414"/>
      <c r="Q812" s="414"/>
      <c r="R812" s="414"/>
      <c r="S812" s="414"/>
      <c r="T812" s="414"/>
      <c r="U812" s="414"/>
    </row>
    <row r="813">
      <c r="A813" s="414"/>
      <c r="B813" s="414"/>
      <c r="C813" s="414"/>
      <c r="D813" s="414"/>
      <c r="E813" s="414"/>
      <c r="F813" s="414"/>
      <c r="G813" s="414"/>
      <c r="H813" s="414"/>
      <c r="I813" s="414"/>
      <c r="J813" s="414"/>
      <c r="K813" s="414"/>
      <c r="L813" s="414"/>
      <c r="M813" s="414"/>
      <c r="N813" s="414"/>
      <c r="O813" s="414"/>
      <c r="P813" s="414"/>
      <c r="Q813" s="414"/>
      <c r="R813" s="414"/>
      <c r="S813" s="414"/>
      <c r="T813" s="414"/>
      <c r="U813" s="414"/>
    </row>
    <row r="814">
      <c r="A814" s="414"/>
      <c r="B814" s="414"/>
      <c r="C814" s="414"/>
      <c r="D814" s="414"/>
      <c r="E814" s="414"/>
      <c r="F814" s="414"/>
      <c r="G814" s="414"/>
      <c r="H814" s="414"/>
      <c r="I814" s="414"/>
      <c r="J814" s="414"/>
      <c r="K814" s="414"/>
      <c r="L814" s="414"/>
      <c r="M814" s="414"/>
      <c r="N814" s="414"/>
      <c r="O814" s="414"/>
      <c r="P814" s="414"/>
      <c r="Q814" s="414"/>
      <c r="R814" s="414"/>
      <c r="S814" s="414"/>
      <c r="T814" s="414"/>
      <c r="U814" s="414"/>
    </row>
    <row r="815">
      <c r="A815" s="414"/>
      <c r="B815" s="414"/>
      <c r="C815" s="414"/>
      <c r="D815" s="414"/>
      <c r="E815" s="414"/>
      <c r="F815" s="414"/>
      <c r="G815" s="414"/>
      <c r="H815" s="414"/>
      <c r="I815" s="414"/>
      <c r="J815" s="414"/>
      <c r="K815" s="414"/>
      <c r="L815" s="414"/>
      <c r="M815" s="414"/>
      <c r="N815" s="414"/>
      <c r="O815" s="414"/>
      <c r="P815" s="414"/>
      <c r="Q815" s="414"/>
      <c r="R815" s="414"/>
      <c r="S815" s="414"/>
      <c r="T815" s="414"/>
      <c r="U815" s="414"/>
    </row>
    <row r="816">
      <c r="A816" s="414"/>
      <c r="B816" s="414"/>
      <c r="C816" s="414"/>
      <c r="D816" s="414"/>
      <c r="E816" s="414"/>
      <c r="F816" s="414"/>
      <c r="G816" s="414"/>
      <c r="H816" s="414"/>
      <c r="I816" s="414"/>
      <c r="J816" s="414"/>
      <c r="K816" s="414"/>
      <c r="L816" s="414"/>
      <c r="M816" s="414"/>
      <c r="N816" s="414"/>
      <c r="O816" s="414"/>
      <c r="P816" s="414"/>
      <c r="Q816" s="414"/>
      <c r="R816" s="414"/>
      <c r="S816" s="414"/>
      <c r="T816" s="414"/>
      <c r="U816" s="414"/>
    </row>
    <row r="817">
      <c r="A817" s="414"/>
      <c r="B817" s="414"/>
      <c r="C817" s="414"/>
      <c r="D817" s="414"/>
      <c r="E817" s="414"/>
      <c r="F817" s="414"/>
      <c r="G817" s="414"/>
      <c r="H817" s="414"/>
      <c r="I817" s="414"/>
      <c r="J817" s="414"/>
      <c r="K817" s="414"/>
      <c r="L817" s="414"/>
      <c r="M817" s="414"/>
      <c r="N817" s="414"/>
      <c r="O817" s="414"/>
      <c r="P817" s="414"/>
      <c r="Q817" s="414"/>
      <c r="R817" s="414"/>
      <c r="S817" s="414"/>
      <c r="T817" s="414"/>
      <c r="U817" s="414"/>
    </row>
    <row r="818">
      <c r="A818" s="414"/>
      <c r="B818" s="414"/>
      <c r="C818" s="414"/>
      <c r="D818" s="414"/>
      <c r="E818" s="414"/>
      <c r="F818" s="414"/>
      <c r="G818" s="414"/>
      <c r="H818" s="414"/>
      <c r="I818" s="414"/>
      <c r="J818" s="414"/>
      <c r="K818" s="414"/>
      <c r="L818" s="414"/>
      <c r="M818" s="414"/>
      <c r="N818" s="414"/>
      <c r="O818" s="414"/>
      <c r="P818" s="414"/>
      <c r="Q818" s="414"/>
      <c r="R818" s="414"/>
      <c r="S818" s="414"/>
      <c r="T818" s="414"/>
      <c r="U818" s="414"/>
    </row>
    <row r="819">
      <c r="A819" s="414"/>
      <c r="B819" s="414"/>
      <c r="C819" s="414"/>
      <c r="D819" s="414"/>
      <c r="E819" s="414"/>
      <c r="F819" s="414"/>
      <c r="G819" s="414"/>
      <c r="H819" s="414"/>
      <c r="I819" s="414"/>
      <c r="J819" s="414"/>
      <c r="K819" s="414"/>
      <c r="L819" s="414"/>
      <c r="M819" s="414"/>
      <c r="N819" s="414"/>
      <c r="O819" s="414"/>
      <c r="P819" s="414"/>
      <c r="Q819" s="414"/>
      <c r="R819" s="414"/>
      <c r="S819" s="414"/>
      <c r="T819" s="414"/>
      <c r="U819" s="414"/>
    </row>
    <row r="820">
      <c r="A820" s="414"/>
      <c r="B820" s="414"/>
      <c r="C820" s="414"/>
      <c r="D820" s="414"/>
      <c r="E820" s="414"/>
      <c r="F820" s="414"/>
      <c r="G820" s="414"/>
      <c r="H820" s="414"/>
      <c r="I820" s="414"/>
      <c r="J820" s="414"/>
      <c r="K820" s="414"/>
      <c r="L820" s="414"/>
      <c r="M820" s="414"/>
      <c r="N820" s="414"/>
      <c r="O820" s="414"/>
      <c r="P820" s="414"/>
      <c r="Q820" s="414"/>
      <c r="R820" s="414"/>
      <c r="S820" s="414"/>
      <c r="T820" s="414"/>
      <c r="U820" s="414"/>
    </row>
    <row r="821">
      <c r="A821" s="414"/>
      <c r="B821" s="414"/>
      <c r="C821" s="414"/>
      <c r="D821" s="414"/>
      <c r="E821" s="414"/>
      <c r="F821" s="414"/>
      <c r="G821" s="414"/>
      <c r="H821" s="414"/>
      <c r="I821" s="414"/>
      <c r="J821" s="414"/>
      <c r="K821" s="414"/>
      <c r="L821" s="414"/>
      <c r="M821" s="414"/>
      <c r="N821" s="414"/>
      <c r="O821" s="414"/>
      <c r="P821" s="414"/>
      <c r="Q821" s="414"/>
      <c r="R821" s="414"/>
      <c r="S821" s="414"/>
      <c r="T821" s="414"/>
      <c r="U821" s="414"/>
    </row>
    <row r="822">
      <c r="A822" s="414"/>
      <c r="B822" s="414"/>
      <c r="C822" s="414"/>
      <c r="D822" s="414"/>
      <c r="E822" s="414"/>
      <c r="F822" s="414"/>
      <c r="G822" s="414"/>
      <c r="H822" s="414"/>
      <c r="I822" s="414"/>
      <c r="J822" s="414"/>
      <c r="K822" s="414"/>
      <c r="L822" s="414"/>
      <c r="M822" s="414"/>
      <c r="N822" s="414"/>
      <c r="O822" s="414"/>
      <c r="P822" s="414"/>
      <c r="Q822" s="414"/>
      <c r="R822" s="414"/>
      <c r="S822" s="414"/>
      <c r="T822" s="414"/>
      <c r="U822" s="414"/>
    </row>
    <row r="823">
      <c r="A823" s="414"/>
      <c r="B823" s="414"/>
      <c r="C823" s="414"/>
      <c r="D823" s="414"/>
      <c r="E823" s="414"/>
      <c r="F823" s="414"/>
      <c r="G823" s="414"/>
      <c r="H823" s="414"/>
      <c r="I823" s="414"/>
      <c r="J823" s="414"/>
      <c r="K823" s="414"/>
      <c r="L823" s="414"/>
      <c r="M823" s="414"/>
      <c r="N823" s="414"/>
      <c r="O823" s="414"/>
      <c r="P823" s="414"/>
      <c r="Q823" s="414"/>
      <c r="R823" s="414"/>
      <c r="S823" s="414"/>
      <c r="T823" s="414"/>
      <c r="U823" s="414"/>
    </row>
    <row r="824">
      <c r="A824" s="414"/>
      <c r="B824" s="414"/>
      <c r="C824" s="414"/>
      <c r="D824" s="414"/>
      <c r="E824" s="414"/>
      <c r="F824" s="414"/>
      <c r="G824" s="414"/>
      <c r="H824" s="414"/>
      <c r="I824" s="414"/>
      <c r="J824" s="414"/>
      <c r="K824" s="414"/>
      <c r="L824" s="414"/>
      <c r="M824" s="414"/>
      <c r="N824" s="414"/>
      <c r="O824" s="414"/>
      <c r="P824" s="414"/>
      <c r="Q824" s="414"/>
      <c r="R824" s="414"/>
      <c r="S824" s="414"/>
      <c r="T824" s="414"/>
      <c r="U824" s="414"/>
    </row>
    <row r="825">
      <c r="A825" s="414"/>
      <c r="B825" s="414"/>
      <c r="C825" s="414"/>
      <c r="D825" s="414"/>
      <c r="E825" s="414"/>
      <c r="F825" s="414"/>
      <c r="G825" s="414"/>
      <c r="H825" s="414"/>
      <c r="I825" s="414"/>
      <c r="J825" s="414"/>
      <c r="K825" s="414"/>
      <c r="L825" s="414"/>
      <c r="M825" s="414"/>
      <c r="N825" s="414"/>
      <c r="O825" s="414"/>
      <c r="P825" s="414"/>
      <c r="Q825" s="414"/>
      <c r="R825" s="414"/>
      <c r="S825" s="414"/>
      <c r="T825" s="414"/>
      <c r="U825" s="414"/>
    </row>
    <row r="826">
      <c r="A826" s="414"/>
      <c r="B826" s="414"/>
      <c r="C826" s="414"/>
      <c r="D826" s="414"/>
      <c r="E826" s="414"/>
      <c r="F826" s="414"/>
      <c r="G826" s="414"/>
      <c r="H826" s="414"/>
      <c r="I826" s="414"/>
      <c r="J826" s="414"/>
      <c r="K826" s="414"/>
      <c r="L826" s="414"/>
      <c r="M826" s="414"/>
      <c r="N826" s="414"/>
      <c r="O826" s="414"/>
      <c r="P826" s="414"/>
      <c r="Q826" s="414"/>
      <c r="R826" s="414"/>
      <c r="S826" s="414"/>
      <c r="T826" s="414"/>
      <c r="U826" s="414"/>
    </row>
    <row r="827">
      <c r="A827" s="414"/>
      <c r="B827" s="414"/>
      <c r="C827" s="414"/>
      <c r="D827" s="414"/>
      <c r="E827" s="414"/>
      <c r="F827" s="414"/>
      <c r="G827" s="414"/>
      <c r="H827" s="414"/>
      <c r="I827" s="414"/>
      <c r="J827" s="414"/>
      <c r="K827" s="414"/>
      <c r="L827" s="414"/>
      <c r="M827" s="414"/>
      <c r="N827" s="414"/>
      <c r="O827" s="414"/>
      <c r="P827" s="414"/>
      <c r="Q827" s="414"/>
      <c r="R827" s="414"/>
      <c r="S827" s="414"/>
      <c r="T827" s="414"/>
      <c r="U827" s="414"/>
    </row>
    <row r="828">
      <c r="A828" s="414"/>
      <c r="B828" s="414"/>
      <c r="C828" s="414"/>
      <c r="D828" s="414"/>
      <c r="E828" s="414"/>
      <c r="F828" s="414"/>
      <c r="G828" s="414"/>
      <c r="H828" s="414"/>
      <c r="I828" s="414"/>
      <c r="J828" s="414"/>
      <c r="K828" s="414"/>
      <c r="L828" s="414"/>
      <c r="M828" s="414"/>
      <c r="N828" s="414"/>
      <c r="O828" s="414"/>
      <c r="P828" s="414"/>
      <c r="Q828" s="414"/>
      <c r="R828" s="414"/>
      <c r="S828" s="414"/>
      <c r="T828" s="414"/>
      <c r="U828" s="414"/>
    </row>
    <row r="829">
      <c r="A829" s="414"/>
      <c r="B829" s="414"/>
      <c r="C829" s="414"/>
      <c r="D829" s="414"/>
      <c r="E829" s="414"/>
      <c r="F829" s="414"/>
      <c r="G829" s="414"/>
      <c r="H829" s="414"/>
      <c r="I829" s="414"/>
      <c r="J829" s="414"/>
      <c r="K829" s="414"/>
      <c r="L829" s="414"/>
      <c r="M829" s="414"/>
      <c r="N829" s="414"/>
      <c r="O829" s="414"/>
      <c r="P829" s="414"/>
      <c r="Q829" s="414"/>
      <c r="R829" s="414"/>
      <c r="S829" s="414"/>
      <c r="T829" s="414"/>
      <c r="U829" s="414"/>
    </row>
    <row r="830">
      <c r="A830" s="414"/>
      <c r="B830" s="414"/>
      <c r="C830" s="414"/>
      <c r="D830" s="414"/>
      <c r="E830" s="414"/>
      <c r="F830" s="414"/>
      <c r="G830" s="414"/>
      <c r="H830" s="414"/>
      <c r="I830" s="414"/>
      <c r="J830" s="414"/>
      <c r="K830" s="414"/>
      <c r="L830" s="414"/>
      <c r="M830" s="414"/>
      <c r="N830" s="414"/>
      <c r="O830" s="414"/>
      <c r="P830" s="414"/>
      <c r="Q830" s="414"/>
      <c r="R830" s="414"/>
      <c r="S830" s="414"/>
      <c r="T830" s="414"/>
      <c r="U830" s="414"/>
    </row>
    <row r="831">
      <c r="A831" s="414"/>
      <c r="B831" s="414"/>
      <c r="C831" s="414"/>
      <c r="D831" s="414"/>
      <c r="E831" s="414"/>
      <c r="F831" s="414"/>
      <c r="G831" s="414"/>
      <c r="H831" s="414"/>
      <c r="I831" s="414"/>
      <c r="J831" s="414"/>
      <c r="K831" s="414"/>
      <c r="L831" s="414"/>
      <c r="M831" s="414"/>
      <c r="N831" s="414"/>
      <c r="O831" s="414"/>
      <c r="P831" s="414"/>
      <c r="Q831" s="414"/>
      <c r="R831" s="414"/>
      <c r="S831" s="414"/>
      <c r="T831" s="414"/>
      <c r="U831" s="414"/>
    </row>
    <row r="832">
      <c r="A832" s="414"/>
      <c r="B832" s="414"/>
      <c r="C832" s="414"/>
      <c r="D832" s="414"/>
      <c r="E832" s="414"/>
      <c r="F832" s="414"/>
      <c r="G832" s="414"/>
      <c r="H832" s="414"/>
      <c r="I832" s="414"/>
      <c r="J832" s="414"/>
      <c r="K832" s="414"/>
      <c r="L832" s="414"/>
      <c r="M832" s="414"/>
      <c r="N832" s="414"/>
      <c r="O832" s="414"/>
      <c r="P832" s="414"/>
      <c r="Q832" s="414"/>
      <c r="R832" s="414"/>
      <c r="S832" s="414"/>
      <c r="T832" s="414"/>
      <c r="U832" s="414"/>
    </row>
    <row r="833">
      <c r="A833" s="414"/>
      <c r="B833" s="414"/>
      <c r="C833" s="414"/>
      <c r="D833" s="414"/>
      <c r="E833" s="414"/>
      <c r="F833" s="414"/>
      <c r="G833" s="414"/>
      <c r="H833" s="414"/>
      <c r="I833" s="414"/>
      <c r="J833" s="414"/>
      <c r="K833" s="414"/>
      <c r="L833" s="414"/>
      <c r="M833" s="414"/>
      <c r="N833" s="414"/>
      <c r="O833" s="414"/>
      <c r="P833" s="414"/>
      <c r="Q833" s="414"/>
      <c r="R833" s="414"/>
      <c r="S833" s="414"/>
      <c r="T833" s="414"/>
      <c r="U833" s="414"/>
    </row>
    <row r="834">
      <c r="A834" s="414"/>
      <c r="B834" s="414"/>
      <c r="C834" s="414"/>
      <c r="D834" s="414"/>
      <c r="E834" s="414"/>
      <c r="F834" s="414"/>
      <c r="G834" s="414"/>
      <c r="H834" s="414"/>
      <c r="I834" s="414"/>
      <c r="J834" s="414"/>
      <c r="K834" s="414"/>
      <c r="L834" s="414"/>
      <c r="M834" s="414"/>
      <c r="N834" s="414"/>
      <c r="O834" s="414"/>
      <c r="P834" s="414"/>
      <c r="Q834" s="414"/>
      <c r="R834" s="414"/>
      <c r="S834" s="414"/>
      <c r="T834" s="414"/>
      <c r="U834" s="414"/>
    </row>
    <row r="835">
      <c r="A835" s="414"/>
      <c r="B835" s="414"/>
      <c r="C835" s="414"/>
      <c r="D835" s="414"/>
      <c r="E835" s="414"/>
      <c r="F835" s="414"/>
      <c r="G835" s="414"/>
      <c r="H835" s="414"/>
      <c r="I835" s="414"/>
      <c r="J835" s="414"/>
      <c r="K835" s="414"/>
      <c r="L835" s="414"/>
      <c r="M835" s="414"/>
      <c r="N835" s="414"/>
      <c r="O835" s="414"/>
      <c r="P835" s="414"/>
      <c r="Q835" s="414"/>
      <c r="R835" s="414"/>
      <c r="S835" s="414"/>
      <c r="T835" s="414"/>
      <c r="U835" s="414"/>
    </row>
    <row r="836">
      <c r="A836" s="414"/>
      <c r="B836" s="414"/>
      <c r="C836" s="414"/>
      <c r="D836" s="414"/>
      <c r="E836" s="414"/>
      <c r="F836" s="414"/>
      <c r="G836" s="414"/>
      <c r="H836" s="414"/>
      <c r="I836" s="414"/>
      <c r="J836" s="414"/>
      <c r="K836" s="414"/>
      <c r="L836" s="414"/>
      <c r="M836" s="414"/>
      <c r="N836" s="414"/>
      <c r="O836" s="414"/>
      <c r="P836" s="414"/>
      <c r="Q836" s="414"/>
      <c r="R836" s="414"/>
      <c r="S836" s="414"/>
      <c r="T836" s="414"/>
      <c r="U836" s="414"/>
    </row>
    <row r="837">
      <c r="A837" s="414"/>
      <c r="B837" s="414"/>
      <c r="C837" s="414"/>
      <c r="D837" s="414"/>
      <c r="E837" s="414"/>
      <c r="F837" s="414"/>
      <c r="G837" s="414"/>
      <c r="H837" s="414"/>
      <c r="I837" s="414"/>
      <c r="J837" s="414"/>
      <c r="K837" s="414"/>
      <c r="L837" s="414"/>
      <c r="M837" s="414"/>
      <c r="N837" s="414"/>
      <c r="O837" s="414"/>
      <c r="P837" s="414"/>
      <c r="Q837" s="414"/>
      <c r="R837" s="414"/>
      <c r="S837" s="414"/>
      <c r="T837" s="414"/>
      <c r="U837" s="414"/>
    </row>
    <row r="838">
      <c r="A838" s="414"/>
      <c r="B838" s="414"/>
      <c r="C838" s="414"/>
      <c r="D838" s="414"/>
      <c r="E838" s="414"/>
      <c r="F838" s="414"/>
      <c r="G838" s="414"/>
      <c r="H838" s="414"/>
      <c r="I838" s="414"/>
      <c r="J838" s="414"/>
      <c r="K838" s="414"/>
      <c r="L838" s="414"/>
      <c r="M838" s="414"/>
      <c r="N838" s="414"/>
      <c r="O838" s="414"/>
      <c r="P838" s="414"/>
      <c r="Q838" s="414"/>
      <c r="R838" s="414"/>
      <c r="S838" s="414"/>
      <c r="T838" s="414"/>
      <c r="U838" s="414"/>
    </row>
    <row r="839">
      <c r="A839" s="414"/>
      <c r="B839" s="414"/>
      <c r="C839" s="414"/>
      <c r="D839" s="414"/>
      <c r="E839" s="414"/>
      <c r="F839" s="414"/>
      <c r="G839" s="414"/>
      <c r="H839" s="414"/>
      <c r="I839" s="414"/>
      <c r="J839" s="414"/>
      <c r="K839" s="414"/>
      <c r="L839" s="414"/>
      <c r="M839" s="414"/>
      <c r="N839" s="414"/>
      <c r="O839" s="414"/>
      <c r="P839" s="414"/>
      <c r="Q839" s="414"/>
      <c r="R839" s="414"/>
      <c r="S839" s="414"/>
      <c r="T839" s="414"/>
      <c r="U839" s="414"/>
    </row>
    <row r="840">
      <c r="A840" s="414"/>
      <c r="B840" s="414"/>
      <c r="C840" s="414"/>
      <c r="D840" s="414"/>
      <c r="E840" s="414"/>
      <c r="F840" s="414"/>
      <c r="G840" s="414"/>
      <c r="H840" s="414"/>
      <c r="I840" s="414"/>
      <c r="J840" s="414"/>
      <c r="K840" s="414"/>
      <c r="L840" s="414"/>
      <c r="M840" s="414"/>
      <c r="N840" s="414"/>
      <c r="O840" s="414"/>
      <c r="P840" s="414"/>
      <c r="Q840" s="414"/>
      <c r="R840" s="414"/>
      <c r="S840" s="414"/>
      <c r="T840" s="414"/>
      <c r="U840" s="414"/>
    </row>
    <row r="841">
      <c r="A841" s="414"/>
      <c r="B841" s="414"/>
      <c r="C841" s="414"/>
      <c r="D841" s="414"/>
      <c r="E841" s="414"/>
      <c r="F841" s="414"/>
      <c r="G841" s="414"/>
      <c r="H841" s="414"/>
      <c r="I841" s="414"/>
      <c r="J841" s="414"/>
      <c r="K841" s="414"/>
      <c r="L841" s="414"/>
      <c r="M841" s="414"/>
      <c r="N841" s="414"/>
      <c r="O841" s="414"/>
      <c r="P841" s="414"/>
      <c r="Q841" s="414"/>
      <c r="R841" s="414"/>
      <c r="S841" s="414"/>
      <c r="T841" s="414"/>
      <c r="U841" s="414"/>
    </row>
    <row r="842">
      <c r="A842" s="414"/>
      <c r="B842" s="414"/>
      <c r="C842" s="414"/>
      <c r="D842" s="414"/>
      <c r="E842" s="414"/>
      <c r="F842" s="414"/>
      <c r="G842" s="414"/>
      <c r="H842" s="414"/>
      <c r="I842" s="414"/>
      <c r="J842" s="414"/>
      <c r="K842" s="414"/>
      <c r="L842" s="414"/>
      <c r="M842" s="414"/>
      <c r="N842" s="414"/>
      <c r="O842" s="414"/>
      <c r="P842" s="414"/>
      <c r="Q842" s="414"/>
      <c r="R842" s="414"/>
      <c r="S842" s="414"/>
      <c r="T842" s="414"/>
      <c r="U842" s="414"/>
    </row>
    <row r="843">
      <c r="A843" s="414"/>
      <c r="B843" s="414"/>
      <c r="C843" s="414"/>
      <c r="D843" s="414"/>
      <c r="E843" s="414"/>
      <c r="F843" s="414"/>
      <c r="G843" s="414"/>
      <c r="H843" s="414"/>
      <c r="I843" s="414"/>
      <c r="J843" s="414"/>
      <c r="K843" s="414"/>
      <c r="L843" s="414"/>
      <c r="M843" s="414"/>
      <c r="N843" s="414"/>
      <c r="O843" s="414"/>
      <c r="P843" s="414"/>
      <c r="Q843" s="414"/>
      <c r="R843" s="414"/>
      <c r="S843" s="414"/>
      <c r="T843" s="414"/>
      <c r="U843" s="414"/>
    </row>
    <row r="844">
      <c r="A844" s="414"/>
      <c r="B844" s="414"/>
      <c r="C844" s="414"/>
      <c r="D844" s="414"/>
      <c r="E844" s="414"/>
      <c r="F844" s="414"/>
      <c r="G844" s="414"/>
      <c r="H844" s="414"/>
      <c r="I844" s="414"/>
      <c r="J844" s="414"/>
      <c r="K844" s="414"/>
      <c r="L844" s="414"/>
      <c r="M844" s="414"/>
      <c r="N844" s="414"/>
      <c r="O844" s="414"/>
      <c r="P844" s="414"/>
      <c r="Q844" s="414"/>
      <c r="R844" s="414"/>
      <c r="S844" s="414"/>
      <c r="T844" s="414"/>
      <c r="U844" s="414"/>
    </row>
    <row r="845">
      <c r="A845" s="414"/>
      <c r="B845" s="414"/>
      <c r="C845" s="414"/>
      <c r="D845" s="414"/>
      <c r="E845" s="414"/>
      <c r="F845" s="414"/>
      <c r="G845" s="414"/>
      <c r="H845" s="414"/>
      <c r="I845" s="414"/>
      <c r="J845" s="414"/>
      <c r="K845" s="414"/>
      <c r="L845" s="414"/>
      <c r="M845" s="414"/>
      <c r="N845" s="414"/>
      <c r="O845" s="414"/>
      <c r="P845" s="414"/>
      <c r="Q845" s="414"/>
      <c r="R845" s="414"/>
      <c r="S845" s="414"/>
      <c r="T845" s="414"/>
      <c r="U845" s="414"/>
    </row>
    <row r="846">
      <c r="A846" s="414"/>
      <c r="B846" s="414"/>
      <c r="C846" s="414"/>
      <c r="D846" s="414"/>
      <c r="E846" s="414"/>
      <c r="F846" s="414"/>
      <c r="G846" s="414"/>
      <c r="H846" s="414"/>
      <c r="I846" s="414"/>
      <c r="J846" s="414"/>
      <c r="K846" s="414"/>
      <c r="L846" s="414"/>
      <c r="M846" s="414"/>
      <c r="N846" s="414"/>
      <c r="O846" s="414"/>
      <c r="P846" s="414"/>
      <c r="Q846" s="414"/>
      <c r="R846" s="414"/>
      <c r="S846" s="414"/>
      <c r="T846" s="414"/>
      <c r="U846" s="414"/>
    </row>
    <row r="847">
      <c r="A847" s="414"/>
      <c r="B847" s="414"/>
      <c r="C847" s="414"/>
      <c r="D847" s="414"/>
      <c r="E847" s="414"/>
      <c r="F847" s="414"/>
      <c r="G847" s="414"/>
      <c r="H847" s="414"/>
      <c r="I847" s="414"/>
      <c r="J847" s="414"/>
      <c r="K847" s="414"/>
      <c r="L847" s="414"/>
      <c r="M847" s="414"/>
      <c r="N847" s="414"/>
      <c r="O847" s="414"/>
      <c r="P847" s="414"/>
      <c r="Q847" s="414"/>
      <c r="R847" s="414"/>
      <c r="S847" s="414"/>
      <c r="T847" s="414"/>
      <c r="U847" s="414"/>
    </row>
    <row r="848">
      <c r="A848" s="414"/>
      <c r="B848" s="414"/>
      <c r="C848" s="414"/>
      <c r="D848" s="414"/>
      <c r="E848" s="414"/>
      <c r="F848" s="414"/>
      <c r="G848" s="414"/>
      <c r="H848" s="414"/>
      <c r="I848" s="414"/>
      <c r="J848" s="414"/>
      <c r="K848" s="414"/>
      <c r="L848" s="414"/>
      <c r="M848" s="414"/>
      <c r="N848" s="414"/>
      <c r="O848" s="414"/>
      <c r="P848" s="414"/>
      <c r="Q848" s="414"/>
      <c r="R848" s="414"/>
      <c r="S848" s="414"/>
      <c r="T848" s="414"/>
      <c r="U848" s="414"/>
    </row>
    <row r="849">
      <c r="A849" s="414"/>
      <c r="B849" s="414"/>
      <c r="C849" s="414"/>
      <c r="D849" s="414"/>
      <c r="E849" s="414"/>
      <c r="F849" s="414"/>
      <c r="G849" s="414"/>
      <c r="H849" s="414"/>
      <c r="I849" s="414"/>
      <c r="J849" s="414"/>
      <c r="K849" s="414"/>
      <c r="L849" s="414"/>
      <c r="M849" s="414"/>
      <c r="N849" s="414"/>
      <c r="O849" s="414"/>
      <c r="P849" s="414"/>
      <c r="Q849" s="414"/>
      <c r="R849" s="414"/>
      <c r="S849" s="414"/>
      <c r="T849" s="414"/>
      <c r="U849" s="414"/>
    </row>
    <row r="850">
      <c r="A850" s="414"/>
      <c r="B850" s="414"/>
      <c r="C850" s="414"/>
      <c r="D850" s="414"/>
      <c r="E850" s="414"/>
      <c r="F850" s="414"/>
      <c r="G850" s="414"/>
      <c r="H850" s="414"/>
      <c r="I850" s="414"/>
      <c r="J850" s="414"/>
      <c r="K850" s="414"/>
      <c r="L850" s="414"/>
      <c r="M850" s="414"/>
      <c r="N850" s="414"/>
      <c r="O850" s="414"/>
      <c r="P850" s="414"/>
      <c r="Q850" s="414"/>
      <c r="R850" s="414"/>
      <c r="S850" s="414"/>
      <c r="T850" s="414"/>
      <c r="U850" s="414"/>
    </row>
    <row r="851">
      <c r="A851" s="414"/>
      <c r="B851" s="414"/>
      <c r="C851" s="414"/>
      <c r="D851" s="414"/>
      <c r="E851" s="414"/>
      <c r="F851" s="414"/>
      <c r="G851" s="414"/>
      <c r="H851" s="414"/>
      <c r="I851" s="414"/>
      <c r="J851" s="414"/>
      <c r="K851" s="414"/>
      <c r="L851" s="414"/>
      <c r="M851" s="414"/>
      <c r="N851" s="414"/>
      <c r="O851" s="414"/>
      <c r="P851" s="414"/>
      <c r="Q851" s="414"/>
      <c r="R851" s="414"/>
      <c r="S851" s="414"/>
      <c r="T851" s="414"/>
      <c r="U851" s="414"/>
    </row>
    <row r="852">
      <c r="A852" s="414"/>
      <c r="B852" s="414"/>
      <c r="C852" s="414"/>
      <c r="D852" s="414"/>
      <c r="E852" s="414"/>
      <c r="F852" s="414"/>
      <c r="G852" s="414"/>
      <c r="H852" s="414"/>
      <c r="I852" s="414"/>
      <c r="J852" s="414"/>
      <c r="K852" s="414"/>
      <c r="L852" s="414"/>
      <c r="M852" s="414"/>
      <c r="N852" s="414"/>
      <c r="O852" s="414"/>
      <c r="P852" s="414"/>
      <c r="Q852" s="414"/>
      <c r="R852" s="414"/>
      <c r="S852" s="414"/>
      <c r="T852" s="414"/>
      <c r="U852" s="414"/>
    </row>
    <row r="853">
      <c r="A853" s="414"/>
      <c r="B853" s="414"/>
      <c r="C853" s="414"/>
      <c r="D853" s="414"/>
      <c r="E853" s="414"/>
      <c r="F853" s="414"/>
      <c r="G853" s="414"/>
      <c r="H853" s="414"/>
      <c r="I853" s="414"/>
      <c r="J853" s="414"/>
      <c r="K853" s="414"/>
      <c r="L853" s="414"/>
      <c r="M853" s="414"/>
      <c r="N853" s="414"/>
      <c r="O853" s="414"/>
      <c r="P853" s="414"/>
      <c r="Q853" s="414"/>
      <c r="R853" s="414"/>
      <c r="S853" s="414"/>
      <c r="T853" s="414"/>
      <c r="U853" s="414"/>
    </row>
    <row r="854">
      <c r="A854" s="414"/>
      <c r="B854" s="414"/>
      <c r="C854" s="414"/>
      <c r="D854" s="414"/>
      <c r="E854" s="414"/>
      <c r="F854" s="414"/>
      <c r="G854" s="414"/>
      <c r="H854" s="414"/>
      <c r="I854" s="414"/>
      <c r="J854" s="414"/>
      <c r="K854" s="414"/>
      <c r="L854" s="414"/>
      <c r="M854" s="414"/>
      <c r="N854" s="414"/>
      <c r="O854" s="414"/>
      <c r="P854" s="414"/>
      <c r="Q854" s="414"/>
      <c r="R854" s="414"/>
      <c r="S854" s="414"/>
      <c r="T854" s="414"/>
      <c r="U854" s="414"/>
    </row>
    <row r="855">
      <c r="A855" s="414"/>
      <c r="B855" s="414"/>
      <c r="C855" s="414"/>
      <c r="D855" s="414"/>
      <c r="E855" s="414"/>
      <c r="F855" s="414"/>
      <c r="G855" s="414"/>
      <c r="H855" s="414"/>
      <c r="I855" s="414"/>
      <c r="J855" s="414"/>
      <c r="K855" s="414"/>
      <c r="L855" s="414"/>
      <c r="M855" s="414"/>
      <c r="N855" s="414"/>
      <c r="O855" s="414"/>
      <c r="P855" s="414"/>
      <c r="Q855" s="414"/>
      <c r="R855" s="414"/>
      <c r="S855" s="414"/>
      <c r="T855" s="414"/>
      <c r="U855" s="414"/>
    </row>
    <row r="856">
      <c r="A856" s="414"/>
      <c r="B856" s="414"/>
      <c r="C856" s="414"/>
      <c r="D856" s="414"/>
      <c r="E856" s="414"/>
      <c r="F856" s="414"/>
      <c r="G856" s="414"/>
      <c r="H856" s="414"/>
      <c r="I856" s="414"/>
      <c r="J856" s="414"/>
      <c r="K856" s="414"/>
      <c r="L856" s="414"/>
      <c r="M856" s="414"/>
      <c r="N856" s="414"/>
      <c r="O856" s="414"/>
      <c r="P856" s="414"/>
      <c r="Q856" s="414"/>
      <c r="R856" s="414"/>
      <c r="S856" s="414"/>
      <c r="T856" s="414"/>
      <c r="U856" s="414"/>
    </row>
    <row r="857">
      <c r="A857" s="414"/>
      <c r="B857" s="414"/>
      <c r="C857" s="414"/>
      <c r="D857" s="414"/>
      <c r="E857" s="414"/>
      <c r="F857" s="414"/>
      <c r="G857" s="414"/>
      <c r="H857" s="414"/>
      <c r="I857" s="414"/>
      <c r="J857" s="414"/>
      <c r="K857" s="414"/>
      <c r="L857" s="414"/>
      <c r="M857" s="414"/>
      <c r="N857" s="414"/>
      <c r="O857" s="414"/>
      <c r="P857" s="414"/>
      <c r="Q857" s="414"/>
      <c r="R857" s="414"/>
      <c r="S857" s="414"/>
      <c r="T857" s="414"/>
      <c r="U857" s="414"/>
    </row>
    <row r="858">
      <c r="A858" s="414"/>
      <c r="B858" s="414"/>
      <c r="C858" s="414"/>
      <c r="D858" s="414"/>
      <c r="E858" s="414"/>
      <c r="F858" s="414"/>
      <c r="G858" s="414"/>
      <c r="H858" s="414"/>
      <c r="I858" s="414"/>
      <c r="J858" s="414"/>
      <c r="K858" s="414"/>
      <c r="L858" s="414"/>
      <c r="M858" s="414"/>
      <c r="N858" s="414"/>
      <c r="O858" s="414"/>
      <c r="P858" s="414"/>
      <c r="Q858" s="414"/>
      <c r="R858" s="414"/>
      <c r="S858" s="414"/>
      <c r="T858" s="414"/>
      <c r="U858" s="414"/>
    </row>
    <row r="859">
      <c r="A859" s="414"/>
      <c r="B859" s="414"/>
      <c r="C859" s="414"/>
      <c r="D859" s="414"/>
      <c r="E859" s="414"/>
      <c r="F859" s="414"/>
      <c r="G859" s="414"/>
      <c r="H859" s="414"/>
      <c r="I859" s="414"/>
      <c r="J859" s="414"/>
      <c r="K859" s="414"/>
      <c r="L859" s="414"/>
      <c r="M859" s="414"/>
      <c r="N859" s="414"/>
      <c r="O859" s="414"/>
      <c r="P859" s="414"/>
      <c r="Q859" s="414"/>
      <c r="R859" s="414"/>
      <c r="S859" s="414"/>
      <c r="T859" s="414"/>
      <c r="U859" s="414"/>
    </row>
    <row r="860">
      <c r="A860" s="414"/>
      <c r="B860" s="414"/>
      <c r="C860" s="414"/>
      <c r="D860" s="414"/>
      <c r="E860" s="414"/>
      <c r="F860" s="414"/>
      <c r="G860" s="414"/>
      <c r="H860" s="414"/>
      <c r="I860" s="414"/>
      <c r="J860" s="414"/>
      <c r="K860" s="414"/>
      <c r="L860" s="414"/>
      <c r="M860" s="414"/>
      <c r="N860" s="414"/>
      <c r="O860" s="414"/>
      <c r="P860" s="414"/>
      <c r="Q860" s="414"/>
      <c r="R860" s="414"/>
      <c r="S860" s="414"/>
      <c r="T860" s="414"/>
      <c r="U860" s="414"/>
    </row>
    <row r="861">
      <c r="A861" s="414"/>
      <c r="B861" s="414"/>
      <c r="C861" s="414"/>
      <c r="D861" s="414"/>
      <c r="E861" s="414"/>
      <c r="F861" s="414"/>
      <c r="G861" s="414"/>
      <c r="H861" s="414"/>
      <c r="I861" s="414"/>
      <c r="J861" s="414"/>
      <c r="K861" s="414"/>
      <c r="L861" s="414"/>
      <c r="M861" s="414"/>
      <c r="N861" s="414"/>
      <c r="O861" s="414"/>
      <c r="P861" s="414"/>
      <c r="Q861" s="414"/>
      <c r="R861" s="414"/>
      <c r="S861" s="414"/>
      <c r="T861" s="414"/>
      <c r="U861" s="414"/>
    </row>
    <row r="862">
      <c r="A862" s="414"/>
      <c r="B862" s="414"/>
      <c r="C862" s="414"/>
      <c r="D862" s="414"/>
      <c r="E862" s="414"/>
      <c r="F862" s="414"/>
      <c r="G862" s="414"/>
      <c r="H862" s="414"/>
      <c r="I862" s="414"/>
      <c r="J862" s="414"/>
      <c r="K862" s="414"/>
      <c r="L862" s="414"/>
      <c r="M862" s="414"/>
      <c r="N862" s="414"/>
      <c r="O862" s="414"/>
      <c r="P862" s="414"/>
      <c r="Q862" s="414"/>
      <c r="R862" s="414"/>
      <c r="S862" s="414"/>
      <c r="T862" s="414"/>
      <c r="U862" s="414"/>
    </row>
    <row r="863">
      <c r="A863" s="414"/>
      <c r="B863" s="414"/>
      <c r="C863" s="414"/>
      <c r="D863" s="414"/>
      <c r="E863" s="414"/>
      <c r="F863" s="414"/>
      <c r="G863" s="414"/>
      <c r="H863" s="414"/>
      <c r="I863" s="414"/>
      <c r="J863" s="414"/>
      <c r="K863" s="414"/>
      <c r="L863" s="414"/>
      <c r="M863" s="414"/>
      <c r="N863" s="414"/>
      <c r="O863" s="414"/>
      <c r="P863" s="414"/>
      <c r="Q863" s="414"/>
      <c r="R863" s="414"/>
      <c r="S863" s="414"/>
      <c r="T863" s="414"/>
      <c r="U863" s="414"/>
    </row>
    <row r="864">
      <c r="A864" s="414"/>
      <c r="B864" s="414"/>
      <c r="C864" s="414"/>
      <c r="D864" s="414"/>
      <c r="E864" s="414"/>
      <c r="F864" s="414"/>
      <c r="G864" s="414"/>
      <c r="H864" s="414"/>
      <c r="I864" s="414"/>
      <c r="J864" s="414"/>
      <c r="K864" s="414"/>
      <c r="L864" s="414"/>
      <c r="M864" s="414"/>
      <c r="N864" s="414"/>
      <c r="O864" s="414"/>
      <c r="P864" s="414"/>
      <c r="Q864" s="414"/>
      <c r="R864" s="414"/>
      <c r="S864" s="414"/>
      <c r="T864" s="414"/>
      <c r="U864" s="414"/>
    </row>
    <row r="865">
      <c r="A865" s="414"/>
      <c r="B865" s="414"/>
      <c r="C865" s="414"/>
      <c r="D865" s="414"/>
      <c r="E865" s="414"/>
      <c r="F865" s="414"/>
      <c r="G865" s="414"/>
      <c r="H865" s="414"/>
      <c r="I865" s="414"/>
      <c r="J865" s="414"/>
      <c r="K865" s="414"/>
      <c r="L865" s="414"/>
      <c r="M865" s="414"/>
      <c r="N865" s="414"/>
      <c r="O865" s="414"/>
      <c r="P865" s="414"/>
      <c r="Q865" s="414"/>
      <c r="R865" s="414"/>
      <c r="S865" s="414"/>
      <c r="T865" s="414"/>
      <c r="U865" s="414"/>
    </row>
    <row r="866">
      <c r="A866" s="414"/>
      <c r="B866" s="414"/>
      <c r="C866" s="414"/>
      <c r="D866" s="414"/>
      <c r="E866" s="414"/>
      <c r="F866" s="414"/>
      <c r="G866" s="414"/>
      <c r="H866" s="414"/>
      <c r="I866" s="414"/>
      <c r="J866" s="414"/>
      <c r="K866" s="414"/>
      <c r="L866" s="414"/>
      <c r="M866" s="414"/>
      <c r="N866" s="414"/>
      <c r="O866" s="414"/>
      <c r="P866" s="414"/>
      <c r="Q866" s="414"/>
      <c r="R866" s="414"/>
      <c r="S866" s="414"/>
      <c r="T866" s="414"/>
      <c r="U866" s="414"/>
    </row>
    <row r="867">
      <c r="A867" s="414"/>
      <c r="B867" s="414"/>
      <c r="C867" s="414"/>
      <c r="D867" s="414"/>
      <c r="E867" s="414"/>
      <c r="F867" s="414"/>
      <c r="G867" s="414"/>
      <c r="H867" s="414"/>
      <c r="I867" s="414"/>
      <c r="J867" s="414"/>
      <c r="K867" s="414"/>
      <c r="L867" s="414"/>
      <c r="M867" s="414"/>
      <c r="N867" s="414"/>
      <c r="O867" s="414"/>
      <c r="P867" s="414"/>
      <c r="Q867" s="414"/>
      <c r="R867" s="414"/>
      <c r="S867" s="414"/>
      <c r="T867" s="414"/>
      <c r="U867" s="414"/>
    </row>
    <row r="868">
      <c r="A868" s="414"/>
      <c r="B868" s="414"/>
      <c r="C868" s="414"/>
      <c r="D868" s="414"/>
      <c r="E868" s="414"/>
      <c r="F868" s="414"/>
      <c r="G868" s="414"/>
      <c r="H868" s="414"/>
      <c r="I868" s="414"/>
      <c r="J868" s="414"/>
      <c r="K868" s="414"/>
      <c r="L868" s="414"/>
      <c r="M868" s="414"/>
      <c r="N868" s="414"/>
      <c r="O868" s="414"/>
      <c r="P868" s="414"/>
      <c r="Q868" s="414"/>
      <c r="R868" s="414"/>
      <c r="S868" s="414"/>
      <c r="T868" s="414"/>
      <c r="U868" s="414"/>
    </row>
    <row r="869">
      <c r="A869" s="414"/>
      <c r="B869" s="414"/>
      <c r="C869" s="414"/>
      <c r="D869" s="414"/>
      <c r="E869" s="414"/>
      <c r="F869" s="414"/>
      <c r="G869" s="414"/>
      <c r="H869" s="414"/>
      <c r="I869" s="414"/>
      <c r="J869" s="414"/>
      <c r="K869" s="414"/>
      <c r="L869" s="414"/>
      <c r="M869" s="414"/>
      <c r="N869" s="414"/>
      <c r="O869" s="414"/>
      <c r="P869" s="414"/>
      <c r="Q869" s="414"/>
      <c r="R869" s="414"/>
      <c r="S869" s="414"/>
      <c r="T869" s="414"/>
      <c r="U869" s="414"/>
    </row>
    <row r="870">
      <c r="A870" s="414"/>
      <c r="B870" s="414"/>
      <c r="C870" s="414"/>
      <c r="D870" s="414"/>
      <c r="E870" s="414"/>
      <c r="F870" s="414"/>
      <c r="G870" s="414"/>
      <c r="H870" s="414"/>
      <c r="I870" s="414"/>
      <c r="J870" s="414"/>
      <c r="K870" s="414"/>
      <c r="L870" s="414"/>
      <c r="M870" s="414"/>
      <c r="N870" s="414"/>
      <c r="O870" s="414"/>
      <c r="P870" s="414"/>
      <c r="Q870" s="414"/>
      <c r="R870" s="414"/>
      <c r="S870" s="414"/>
      <c r="T870" s="414"/>
      <c r="U870" s="414"/>
    </row>
    <row r="871">
      <c r="A871" s="414"/>
      <c r="B871" s="414"/>
      <c r="C871" s="414"/>
      <c r="D871" s="414"/>
      <c r="E871" s="414"/>
      <c r="F871" s="414"/>
      <c r="G871" s="414"/>
      <c r="H871" s="414"/>
      <c r="I871" s="414"/>
      <c r="J871" s="414"/>
      <c r="K871" s="414"/>
      <c r="L871" s="414"/>
      <c r="M871" s="414"/>
      <c r="N871" s="414"/>
      <c r="O871" s="414"/>
      <c r="P871" s="414"/>
      <c r="Q871" s="414"/>
      <c r="R871" s="414"/>
      <c r="S871" s="414"/>
      <c r="T871" s="414"/>
      <c r="U871" s="414"/>
    </row>
    <row r="872">
      <c r="A872" s="414"/>
      <c r="B872" s="414"/>
      <c r="C872" s="414"/>
      <c r="D872" s="414"/>
      <c r="E872" s="414"/>
      <c r="F872" s="414"/>
      <c r="G872" s="414"/>
      <c r="H872" s="414"/>
      <c r="I872" s="414"/>
      <c r="J872" s="414"/>
      <c r="K872" s="414"/>
      <c r="L872" s="414"/>
      <c r="M872" s="414"/>
      <c r="N872" s="414"/>
      <c r="O872" s="414"/>
      <c r="P872" s="414"/>
      <c r="Q872" s="414"/>
      <c r="R872" s="414"/>
      <c r="S872" s="414"/>
      <c r="T872" s="414"/>
      <c r="U872" s="414"/>
    </row>
    <row r="873">
      <c r="A873" s="414"/>
      <c r="B873" s="414"/>
      <c r="C873" s="414"/>
      <c r="D873" s="414"/>
      <c r="E873" s="414"/>
      <c r="F873" s="414"/>
      <c r="G873" s="414"/>
      <c r="H873" s="414"/>
      <c r="I873" s="414"/>
      <c r="J873" s="414"/>
      <c r="K873" s="414"/>
      <c r="L873" s="414"/>
      <c r="M873" s="414"/>
      <c r="N873" s="414"/>
      <c r="O873" s="414"/>
      <c r="P873" s="414"/>
      <c r="Q873" s="414"/>
      <c r="R873" s="414"/>
      <c r="S873" s="414"/>
      <c r="T873" s="414"/>
      <c r="U873" s="414"/>
    </row>
    <row r="874">
      <c r="A874" s="414"/>
      <c r="B874" s="414"/>
      <c r="C874" s="414"/>
      <c r="D874" s="414"/>
      <c r="E874" s="414"/>
      <c r="F874" s="414"/>
      <c r="G874" s="414"/>
      <c r="H874" s="414"/>
      <c r="I874" s="414"/>
      <c r="J874" s="414"/>
      <c r="K874" s="414"/>
      <c r="L874" s="414"/>
      <c r="M874" s="414"/>
      <c r="N874" s="414"/>
      <c r="O874" s="414"/>
      <c r="P874" s="414"/>
      <c r="Q874" s="414"/>
      <c r="R874" s="414"/>
      <c r="S874" s="414"/>
      <c r="T874" s="414"/>
      <c r="U874" s="414"/>
    </row>
    <row r="875">
      <c r="A875" s="414"/>
      <c r="B875" s="414"/>
      <c r="C875" s="414"/>
      <c r="D875" s="414"/>
      <c r="E875" s="414"/>
      <c r="F875" s="414"/>
      <c r="G875" s="414"/>
      <c r="H875" s="414"/>
      <c r="I875" s="414"/>
      <c r="J875" s="414"/>
      <c r="K875" s="414"/>
      <c r="L875" s="414"/>
      <c r="M875" s="414"/>
      <c r="N875" s="414"/>
      <c r="O875" s="414"/>
      <c r="P875" s="414"/>
      <c r="Q875" s="414"/>
      <c r="R875" s="414"/>
      <c r="S875" s="414"/>
      <c r="T875" s="414"/>
      <c r="U875" s="414"/>
    </row>
    <row r="876">
      <c r="A876" s="414"/>
      <c r="B876" s="414"/>
      <c r="C876" s="414"/>
      <c r="D876" s="414"/>
      <c r="E876" s="414"/>
      <c r="F876" s="414"/>
      <c r="G876" s="414"/>
      <c r="H876" s="414"/>
      <c r="I876" s="414"/>
      <c r="J876" s="414"/>
      <c r="K876" s="414"/>
      <c r="L876" s="414"/>
      <c r="M876" s="414"/>
      <c r="N876" s="414"/>
      <c r="O876" s="414"/>
      <c r="P876" s="414"/>
      <c r="Q876" s="414"/>
      <c r="R876" s="414"/>
      <c r="S876" s="414"/>
      <c r="T876" s="414"/>
      <c r="U876" s="414"/>
    </row>
    <row r="877">
      <c r="A877" s="414"/>
      <c r="B877" s="414"/>
      <c r="C877" s="414"/>
      <c r="D877" s="414"/>
      <c r="E877" s="414"/>
      <c r="F877" s="414"/>
      <c r="G877" s="414"/>
      <c r="H877" s="414"/>
      <c r="I877" s="414"/>
      <c r="J877" s="414"/>
      <c r="K877" s="414"/>
      <c r="L877" s="414"/>
      <c r="M877" s="414"/>
      <c r="N877" s="414"/>
      <c r="O877" s="414"/>
      <c r="P877" s="414"/>
      <c r="Q877" s="414"/>
      <c r="R877" s="414"/>
      <c r="S877" s="414"/>
      <c r="T877" s="414"/>
      <c r="U877" s="414"/>
    </row>
    <row r="878">
      <c r="A878" s="414"/>
      <c r="B878" s="414"/>
      <c r="C878" s="414"/>
      <c r="D878" s="414"/>
      <c r="E878" s="414"/>
      <c r="F878" s="414"/>
      <c r="G878" s="414"/>
      <c r="H878" s="414"/>
      <c r="I878" s="414"/>
      <c r="J878" s="414"/>
      <c r="K878" s="414"/>
      <c r="L878" s="414"/>
      <c r="M878" s="414"/>
      <c r="N878" s="414"/>
      <c r="O878" s="414"/>
      <c r="P878" s="414"/>
      <c r="Q878" s="414"/>
      <c r="R878" s="414"/>
      <c r="S878" s="414"/>
      <c r="T878" s="414"/>
      <c r="U878" s="414"/>
    </row>
    <row r="879">
      <c r="A879" s="414"/>
      <c r="B879" s="414"/>
      <c r="C879" s="414"/>
      <c r="D879" s="414"/>
      <c r="E879" s="414"/>
      <c r="F879" s="414"/>
      <c r="G879" s="414"/>
      <c r="H879" s="414"/>
      <c r="I879" s="414"/>
      <c r="J879" s="414"/>
      <c r="K879" s="414"/>
      <c r="L879" s="414"/>
      <c r="M879" s="414"/>
      <c r="N879" s="414"/>
      <c r="O879" s="414"/>
      <c r="P879" s="414"/>
      <c r="Q879" s="414"/>
      <c r="R879" s="414"/>
      <c r="S879" s="414"/>
      <c r="T879" s="414"/>
      <c r="U879" s="414"/>
    </row>
    <row r="880">
      <c r="A880" s="414"/>
      <c r="B880" s="414"/>
      <c r="C880" s="414"/>
      <c r="D880" s="414"/>
      <c r="E880" s="414"/>
      <c r="F880" s="414"/>
      <c r="G880" s="414"/>
      <c r="H880" s="414"/>
      <c r="I880" s="414"/>
      <c r="J880" s="414"/>
      <c r="K880" s="414"/>
      <c r="L880" s="414"/>
      <c r="M880" s="414"/>
      <c r="N880" s="414"/>
      <c r="O880" s="414"/>
      <c r="P880" s="414"/>
      <c r="Q880" s="414"/>
      <c r="R880" s="414"/>
      <c r="S880" s="414"/>
      <c r="T880" s="414"/>
      <c r="U880" s="414"/>
    </row>
    <row r="881">
      <c r="A881" s="414"/>
      <c r="B881" s="414"/>
      <c r="C881" s="414"/>
      <c r="D881" s="414"/>
      <c r="E881" s="414"/>
      <c r="F881" s="414"/>
      <c r="G881" s="414"/>
      <c r="H881" s="414"/>
      <c r="I881" s="414"/>
      <c r="J881" s="414"/>
      <c r="K881" s="414"/>
      <c r="L881" s="414"/>
      <c r="M881" s="414"/>
      <c r="N881" s="414"/>
      <c r="O881" s="414"/>
      <c r="P881" s="414"/>
      <c r="Q881" s="414"/>
      <c r="R881" s="414"/>
      <c r="S881" s="414"/>
      <c r="T881" s="414"/>
      <c r="U881" s="414"/>
    </row>
    <row r="882">
      <c r="A882" s="414"/>
      <c r="B882" s="414"/>
      <c r="C882" s="414"/>
      <c r="D882" s="414"/>
      <c r="E882" s="414"/>
      <c r="F882" s="414"/>
      <c r="G882" s="414"/>
      <c r="H882" s="414"/>
      <c r="I882" s="414"/>
      <c r="J882" s="414"/>
      <c r="K882" s="414"/>
      <c r="L882" s="414"/>
      <c r="M882" s="414"/>
      <c r="N882" s="414"/>
      <c r="O882" s="414"/>
      <c r="P882" s="414"/>
      <c r="Q882" s="414"/>
      <c r="R882" s="414"/>
      <c r="S882" s="414"/>
      <c r="T882" s="414"/>
      <c r="U882" s="414"/>
    </row>
    <row r="883">
      <c r="A883" s="414"/>
      <c r="B883" s="414"/>
      <c r="C883" s="414"/>
      <c r="D883" s="414"/>
      <c r="E883" s="414"/>
      <c r="F883" s="414"/>
      <c r="G883" s="414"/>
      <c r="H883" s="414"/>
      <c r="I883" s="414"/>
      <c r="J883" s="414"/>
      <c r="K883" s="414"/>
      <c r="L883" s="414"/>
      <c r="M883" s="414"/>
      <c r="N883" s="414"/>
      <c r="O883" s="414"/>
      <c r="P883" s="414"/>
      <c r="Q883" s="414"/>
      <c r="R883" s="414"/>
      <c r="S883" s="414"/>
      <c r="T883" s="414"/>
      <c r="U883" s="414"/>
    </row>
    <row r="884">
      <c r="A884" s="414"/>
      <c r="B884" s="414"/>
      <c r="C884" s="414"/>
      <c r="D884" s="414"/>
      <c r="E884" s="414"/>
      <c r="F884" s="414"/>
      <c r="G884" s="414"/>
      <c r="H884" s="414"/>
      <c r="I884" s="414"/>
      <c r="J884" s="414"/>
      <c r="K884" s="414"/>
      <c r="L884" s="414"/>
      <c r="M884" s="414"/>
      <c r="N884" s="414"/>
      <c r="O884" s="414"/>
      <c r="P884" s="414"/>
      <c r="Q884" s="414"/>
      <c r="R884" s="414"/>
      <c r="S884" s="414"/>
      <c r="T884" s="414"/>
      <c r="U884" s="414"/>
    </row>
    <row r="885">
      <c r="A885" s="414"/>
      <c r="B885" s="414"/>
      <c r="C885" s="414"/>
      <c r="D885" s="414"/>
      <c r="E885" s="414"/>
      <c r="F885" s="414"/>
      <c r="G885" s="414"/>
      <c r="H885" s="414"/>
      <c r="I885" s="414"/>
      <c r="J885" s="414"/>
      <c r="K885" s="414"/>
      <c r="L885" s="414"/>
      <c r="M885" s="414"/>
      <c r="N885" s="414"/>
      <c r="O885" s="414"/>
      <c r="P885" s="414"/>
      <c r="Q885" s="414"/>
      <c r="R885" s="414"/>
      <c r="S885" s="414"/>
      <c r="T885" s="414"/>
      <c r="U885" s="414"/>
    </row>
    <row r="886">
      <c r="A886" s="414"/>
      <c r="B886" s="414"/>
      <c r="C886" s="414"/>
      <c r="D886" s="414"/>
      <c r="E886" s="414"/>
      <c r="F886" s="414"/>
      <c r="G886" s="414"/>
      <c r="H886" s="414"/>
      <c r="I886" s="414"/>
      <c r="J886" s="414"/>
      <c r="K886" s="414"/>
      <c r="L886" s="414"/>
      <c r="M886" s="414"/>
      <c r="N886" s="414"/>
      <c r="O886" s="414"/>
      <c r="P886" s="414"/>
      <c r="Q886" s="414"/>
      <c r="R886" s="414"/>
      <c r="S886" s="414"/>
      <c r="T886" s="414"/>
      <c r="U886" s="414"/>
    </row>
    <row r="887">
      <c r="A887" s="414"/>
      <c r="B887" s="414"/>
      <c r="C887" s="414"/>
      <c r="D887" s="414"/>
      <c r="E887" s="414"/>
      <c r="F887" s="414"/>
      <c r="G887" s="414"/>
      <c r="H887" s="414"/>
      <c r="I887" s="414"/>
      <c r="J887" s="414"/>
      <c r="K887" s="414"/>
      <c r="L887" s="414"/>
      <c r="M887" s="414"/>
      <c r="N887" s="414"/>
      <c r="O887" s="414"/>
      <c r="P887" s="414"/>
      <c r="Q887" s="414"/>
      <c r="R887" s="414"/>
      <c r="S887" s="414"/>
      <c r="T887" s="414"/>
      <c r="U887" s="414"/>
    </row>
    <row r="888">
      <c r="A888" s="414"/>
      <c r="B888" s="414"/>
      <c r="C888" s="414"/>
      <c r="D888" s="414"/>
      <c r="E888" s="414"/>
      <c r="F888" s="414"/>
      <c r="G888" s="414"/>
      <c r="H888" s="414"/>
      <c r="I888" s="414"/>
      <c r="J888" s="414"/>
      <c r="K888" s="414"/>
      <c r="L888" s="414"/>
      <c r="M888" s="414"/>
      <c r="N888" s="414"/>
      <c r="O888" s="414"/>
      <c r="P888" s="414"/>
      <c r="Q888" s="414"/>
      <c r="R888" s="414"/>
      <c r="S888" s="414"/>
      <c r="T888" s="414"/>
      <c r="U888" s="414"/>
    </row>
    <row r="889">
      <c r="A889" s="414"/>
      <c r="B889" s="414"/>
      <c r="C889" s="414"/>
      <c r="D889" s="414"/>
      <c r="E889" s="414"/>
      <c r="F889" s="414"/>
      <c r="G889" s="414"/>
      <c r="H889" s="414"/>
      <c r="I889" s="414"/>
      <c r="J889" s="414"/>
      <c r="K889" s="414"/>
      <c r="L889" s="414"/>
      <c r="M889" s="414"/>
      <c r="N889" s="414"/>
      <c r="O889" s="414"/>
      <c r="P889" s="414"/>
      <c r="Q889" s="414"/>
      <c r="R889" s="414"/>
      <c r="S889" s="414"/>
      <c r="T889" s="414"/>
      <c r="U889" s="414"/>
    </row>
    <row r="890">
      <c r="A890" s="414"/>
      <c r="B890" s="414"/>
      <c r="C890" s="414"/>
      <c r="D890" s="414"/>
      <c r="E890" s="414"/>
      <c r="F890" s="414"/>
      <c r="G890" s="414"/>
      <c r="H890" s="414"/>
      <c r="I890" s="414"/>
      <c r="J890" s="414"/>
      <c r="K890" s="414"/>
      <c r="L890" s="414"/>
      <c r="M890" s="414"/>
      <c r="N890" s="414"/>
      <c r="O890" s="414"/>
      <c r="P890" s="414"/>
      <c r="Q890" s="414"/>
      <c r="R890" s="414"/>
      <c r="S890" s="414"/>
      <c r="T890" s="414"/>
      <c r="U890" s="414"/>
    </row>
    <row r="891">
      <c r="A891" s="414"/>
      <c r="B891" s="414"/>
      <c r="C891" s="414"/>
      <c r="D891" s="414"/>
      <c r="E891" s="414"/>
      <c r="F891" s="414"/>
      <c r="G891" s="414"/>
      <c r="H891" s="414"/>
      <c r="I891" s="414"/>
      <c r="J891" s="414"/>
      <c r="K891" s="414"/>
      <c r="L891" s="414"/>
      <c r="M891" s="414"/>
      <c r="N891" s="414"/>
      <c r="O891" s="414"/>
      <c r="P891" s="414"/>
      <c r="Q891" s="414"/>
      <c r="R891" s="414"/>
      <c r="S891" s="414"/>
      <c r="T891" s="414"/>
      <c r="U891" s="414"/>
    </row>
    <row r="892">
      <c r="A892" s="414"/>
      <c r="B892" s="414"/>
      <c r="C892" s="414"/>
      <c r="D892" s="414"/>
      <c r="E892" s="414"/>
      <c r="F892" s="414"/>
      <c r="G892" s="414"/>
      <c r="H892" s="414"/>
      <c r="I892" s="414"/>
      <c r="J892" s="414"/>
      <c r="K892" s="414"/>
      <c r="L892" s="414"/>
      <c r="M892" s="414"/>
      <c r="N892" s="414"/>
      <c r="O892" s="414"/>
      <c r="P892" s="414"/>
      <c r="Q892" s="414"/>
      <c r="R892" s="414"/>
      <c r="S892" s="414"/>
      <c r="T892" s="414"/>
      <c r="U892" s="414"/>
    </row>
    <row r="893">
      <c r="A893" s="414"/>
      <c r="B893" s="414"/>
      <c r="C893" s="414"/>
      <c r="D893" s="414"/>
      <c r="E893" s="414"/>
      <c r="F893" s="414"/>
      <c r="G893" s="414"/>
      <c r="H893" s="414"/>
      <c r="I893" s="414"/>
      <c r="J893" s="414"/>
      <c r="K893" s="414"/>
      <c r="L893" s="414"/>
      <c r="M893" s="414"/>
      <c r="N893" s="414"/>
      <c r="O893" s="414"/>
      <c r="P893" s="414"/>
      <c r="Q893" s="414"/>
      <c r="R893" s="414"/>
      <c r="S893" s="414"/>
      <c r="T893" s="414"/>
      <c r="U893" s="414"/>
    </row>
    <row r="894">
      <c r="A894" s="414"/>
      <c r="B894" s="414"/>
      <c r="C894" s="414"/>
      <c r="D894" s="414"/>
      <c r="E894" s="414"/>
      <c r="F894" s="414"/>
      <c r="G894" s="414"/>
      <c r="H894" s="414"/>
      <c r="I894" s="414"/>
      <c r="J894" s="414"/>
      <c r="K894" s="414"/>
      <c r="L894" s="414"/>
      <c r="M894" s="414"/>
      <c r="N894" s="414"/>
      <c r="O894" s="414"/>
      <c r="P894" s="414"/>
      <c r="Q894" s="414"/>
      <c r="R894" s="414"/>
      <c r="S894" s="414"/>
      <c r="T894" s="414"/>
      <c r="U894" s="414"/>
    </row>
    <row r="895">
      <c r="A895" s="414"/>
      <c r="B895" s="414"/>
      <c r="C895" s="414"/>
      <c r="D895" s="414"/>
      <c r="E895" s="414"/>
      <c r="F895" s="414"/>
      <c r="G895" s="414"/>
      <c r="H895" s="414"/>
      <c r="I895" s="414"/>
      <c r="J895" s="414"/>
      <c r="K895" s="414"/>
      <c r="L895" s="414"/>
      <c r="M895" s="414"/>
      <c r="N895" s="414"/>
      <c r="O895" s="414"/>
      <c r="P895" s="414"/>
      <c r="Q895" s="414"/>
      <c r="R895" s="414"/>
      <c r="S895" s="414"/>
      <c r="T895" s="414"/>
      <c r="U895" s="414"/>
    </row>
    <row r="896">
      <c r="A896" s="414"/>
      <c r="B896" s="414"/>
      <c r="C896" s="414"/>
      <c r="D896" s="414"/>
      <c r="E896" s="414"/>
      <c r="F896" s="414"/>
      <c r="G896" s="414"/>
      <c r="H896" s="414"/>
      <c r="I896" s="414"/>
      <c r="J896" s="414"/>
      <c r="K896" s="414"/>
      <c r="L896" s="414"/>
      <c r="M896" s="414"/>
      <c r="N896" s="414"/>
      <c r="O896" s="414"/>
      <c r="P896" s="414"/>
      <c r="Q896" s="414"/>
      <c r="R896" s="414"/>
      <c r="S896" s="414"/>
      <c r="T896" s="414"/>
      <c r="U896" s="414"/>
    </row>
    <row r="897">
      <c r="A897" s="414"/>
      <c r="B897" s="414"/>
      <c r="C897" s="414"/>
      <c r="D897" s="414"/>
      <c r="E897" s="414"/>
      <c r="F897" s="414"/>
      <c r="G897" s="414"/>
      <c r="H897" s="414"/>
      <c r="I897" s="414"/>
      <c r="J897" s="414"/>
      <c r="K897" s="414"/>
      <c r="L897" s="414"/>
      <c r="M897" s="414"/>
      <c r="N897" s="414"/>
      <c r="O897" s="414"/>
      <c r="P897" s="414"/>
      <c r="Q897" s="414"/>
      <c r="R897" s="414"/>
      <c r="S897" s="414"/>
      <c r="T897" s="414"/>
      <c r="U897" s="414"/>
    </row>
    <row r="898">
      <c r="A898" s="414"/>
      <c r="B898" s="414"/>
      <c r="C898" s="414"/>
      <c r="D898" s="414"/>
      <c r="E898" s="414"/>
      <c r="F898" s="414"/>
      <c r="G898" s="414"/>
      <c r="H898" s="414"/>
      <c r="I898" s="414"/>
      <c r="J898" s="414"/>
      <c r="K898" s="414"/>
      <c r="L898" s="414"/>
      <c r="M898" s="414"/>
      <c r="N898" s="414"/>
      <c r="O898" s="414"/>
      <c r="P898" s="414"/>
      <c r="Q898" s="414"/>
      <c r="R898" s="414"/>
      <c r="S898" s="414"/>
      <c r="T898" s="414"/>
      <c r="U898" s="414"/>
    </row>
    <row r="899">
      <c r="A899" s="414"/>
      <c r="B899" s="414"/>
      <c r="C899" s="414"/>
      <c r="D899" s="414"/>
      <c r="E899" s="414"/>
      <c r="F899" s="414"/>
      <c r="G899" s="414"/>
      <c r="H899" s="414"/>
      <c r="I899" s="414"/>
      <c r="J899" s="414"/>
      <c r="K899" s="414"/>
      <c r="L899" s="414"/>
      <c r="M899" s="414"/>
      <c r="N899" s="414"/>
      <c r="O899" s="414"/>
      <c r="P899" s="414"/>
      <c r="Q899" s="414"/>
      <c r="R899" s="414"/>
      <c r="S899" s="414"/>
      <c r="T899" s="414"/>
      <c r="U899" s="414"/>
    </row>
    <row r="900">
      <c r="A900" s="414"/>
      <c r="B900" s="414"/>
      <c r="C900" s="414"/>
      <c r="D900" s="414"/>
      <c r="E900" s="414"/>
      <c r="F900" s="414"/>
      <c r="G900" s="414"/>
      <c r="H900" s="414"/>
      <c r="I900" s="414"/>
      <c r="J900" s="414"/>
      <c r="K900" s="414"/>
      <c r="L900" s="414"/>
      <c r="M900" s="414"/>
      <c r="N900" s="414"/>
      <c r="O900" s="414"/>
      <c r="P900" s="414"/>
      <c r="Q900" s="414"/>
      <c r="R900" s="414"/>
      <c r="S900" s="414"/>
      <c r="T900" s="414"/>
      <c r="U900" s="414"/>
    </row>
    <row r="901">
      <c r="A901" s="414"/>
      <c r="B901" s="414"/>
      <c r="C901" s="414"/>
      <c r="D901" s="414"/>
      <c r="E901" s="414"/>
      <c r="F901" s="414"/>
      <c r="G901" s="414"/>
      <c r="H901" s="414"/>
      <c r="I901" s="414"/>
      <c r="J901" s="414"/>
      <c r="K901" s="414"/>
      <c r="L901" s="414"/>
      <c r="M901" s="414"/>
      <c r="N901" s="414"/>
      <c r="O901" s="414"/>
      <c r="P901" s="414"/>
      <c r="Q901" s="414"/>
      <c r="R901" s="414"/>
      <c r="S901" s="414"/>
      <c r="T901" s="414"/>
      <c r="U901" s="414"/>
    </row>
    <row r="902">
      <c r="A902" s="414"/>
      <c r="B902" s="414"/>
      <c r="C902" s="414"/>
      <c r="D902" s="414"/>
      <c r="E902" s="414"/>
      <c r="F902" s="414"/>
      <c r="G902" s="414"/>
      <c r="H902" s="414"/>
      <c r="I902" s="414"/>
      <c r="J902" s="414"/>
      <c r="K902" s="414"/>
      <c r="L902" s="414"/>
      <c r="M902" s="414"/>
      <c r="N902" s="414"/>
      <c r="O902" s="414"/>
      <c r="P902" s="414"/>
      <c r="Q902" s="414"/>
      <c r="R902" s="414"/>
      <c r="S902" s="414"/>
      <c r="T902" s="414"/>
      <c r="U902" s="414"/>
    </row>
    <row r="903">
      <c r="A903" s="414"/>
      <c r="B903" s="414"/>
      <c r="C903" s="414"/>
      <c r="D903" s="414"/>
      <c r="E903" s="414"/>
      <c r="F903" s="414"/>
      <c r="G903" s="414"/>
      <c r="H903" s="414"/>
      <c r="I903" s="414"/>
      <c r="J903" s="414"/>
      <c r="K903" s="414"/>
      <c r="L903" s="414"/>
      <c r="M903" s="414"/>
      <c r="N903" s="414"/>
      <c r="O903" s="414"/>
      <c r="P903" s="414"/>
      <c r="Q903" s="414"/>
      <c r="R903" s="414"/>
      <c r="S903" s="414"/>
      <c r="T903" s="414"/>
      <c r="U903" s="414"/>
    </row>
    <row r="904">
      <c r="A904" s="414"/>
      <c r="B904" s="414"/>
      <c r="C904" s="414"/>
      <c r="D904" s="414"/>
      <c r="E904" s="414"/>
      <c r="F904" s="414"/>
      <c r="G904" s="414"/>
      <c r="H904" s="414"/>
      <c r="I904" s="414"/>
      <c r="J904" s="414"/>
      <c r="K904" s="414"/>
      <c r="L904" s="414"/>
      <c r="M904" s="414"/>
      <c r="N904" s="414"/>
      <c r="O904" s="414"/>
      <c r="P904" s="414"/>
      <c r="Q904" s="414"/>
      <c r="R904" s="414"/>
      <c r="S904" s="414"/>
      <c r="T904" s="414"/>
      <c r="U904" s="414"/>
    </row>
    <row r="905">
      <c r="A905" s="414"/>
      <c r="B905" s="414"/>
      <c r="C905" s="414"/>
      <c r="D905" s="414"/>
      <c r="E905" s="414"/>
      <c r="F905" s="414"/>
      <c r="G905" s="414"/>
      <c r="H905" s="414"/>
      <c r="I905" s="414"/>
      <c r="J905" s="414"/>
      <c r="K905" s="414"/>
      <c r="L905" s="414"/>
      <c r="M905" s="414"/>
      <c r="N905" s="414"/>
      <c r="O905" s="414"/>
      <c r="P905" s="414"/>
      <c r="Q905" s="414"/>
      <c r="R905" s="414"/>
      <c r="S905" s="414"/>
      <c r="T905" s="414"/>
      <c r="U905" s="414"/>
    </row>
    <row r="906">
      <c r="A906" s="414"/>
      <c r="B906" s="414"/>
      <c r="C906" s="414"/>
      <c r="D906" s="414"/>
      <c r="E906" s="414"/>
      <c r="F906" s="414"/>
      <c r="G906" s="414"/>
      <c r="H906" s="414"/>
      <c r="I906" s="414"/>
      <c r="J906" s="414"/>
      <c r="K906" s="414"/>
      <c r="L906" s="414"/>
      <c r="M906" s="414"/>
      <c r="N906" s="414"/>
      <c r="O906" s="414"/>
      <c r="P906" s="414"/>
      <c r="Q906" s="414"/>
      <c r="R906" s="414"/>
      <c r="S906" s="414"/>
      <c r="T906" s="414"/>
      <c r="U906" s="414"/>
    </row>
    <row r="907">
      <c r="A907" s="414"/>
      <c r="B907" s="414"/>
      <c r="C907" s="414"/>
      <c r="D907" s="414"/>
      <c r="E907" s="414"/>
      <c r="F907" s="414"/>
      <c r="G907" s="414"/>
      <c r="H907" s="414"/>
      <c r="I907" s="414"/>
      <c r="J907" s="414"/>
      <c r="K907" s="414"/>
      <c r="L907" s="414"/>
      <c r="M907" s="414"/>
      <c r="N907" s="414"/>
      <c r="O907" s="414"/>
      <c r="P907" s="414"/>
      <c r="Q907" s="414"/>
      <c r="R907" s="414"/>
      <c r="S907" s="414"/>
      <c r="T907" s="414"/>
      <c r="U907" s="414"/>
    </row>
    <row r="908">
      <c r="A908" s="414"/>
      <c r="B908" s="414"/>
      <c r="C908" s="414"/>
      <c r="D908" s="414"/>
      <c r="E908" s="414"/>
      <c r="F908" s="414"/>
      <c r="G908" s="414"/>
      <c r="H908" s="414"/>
      <c r="I908" s="414"/>
      <c r="J908" s="414"/>
      <c r="K908" s="414"/>
      <c r="L908" s="414"/>
      <c r="M908" s="414"/>
      <c r="N908" s="414"/>
      <c r="O908" s="414"/>
      <c r="P908" s="414"/>
      <c r="Q908" s="414"/>
      <c r="R908" s="414"/>
      <c r="S908" s="414"/>
      <c r="T908" s="414"/>
      <c r="U908" s="414"/>
    </row>
    <row r="909">
      <c r="A909" s="414"/>
      <c r="B909" s="414"/>
      <c r="C909" s="414"/>
      <c r="D909" s="414"/>
      <c r="E909" s="414"/>
      <c r="F909" s="414"/>
      <c r="G909" s="414"/>
      <c r="H909" s="414"/>
      <c r="I909" s="414"/>
      <c r="J909" s="414"/>
      <c r="K909" s="414"/>
      <c r="L909" s="414"/>
      <c r="M909" s="414"/>
      <c r="N909" s="414"/>
      <c r="O909" s="414"/>
      <c r="P909" s="414"/>
      <c r="Q909" s="414"/>
      <c r="R909" s="414"/>
      <c r="S909" s="414"/>
      <c r="T909" s="414"/>
      <c r="U909" s="414"/>
    </row>
    <row r="910">
      <c r="A910" s="414"/>
      <c r="B910" s="414"/>
      <c r="C910" s="414"/>
      <c r="D910" s="414"/>
      <c r="E910" s="414"/>
      <c r="F910" s="414"/>
      <c r="G910" s="414"/>
      <c r="H910" s="414"/>
      <c r="I910" s="414"/>
      <c r="J910" s="414"/>
      <c r="K910" s="414"/>
      <c r="L910" s="414"/>
      <c r="M910" s="414"/>
      <c r="N910" s="414"/>
      <c r="O910" s="414"/>
      <c r="P910" s="414"/>
      <c r="Q910" s="414"/>
      <c r="R910" s="414"/>
      <c r="S910" s="414"/>
      <c r="T910" s="414"/>
      <c r="U910" s="414"/>
    </row>
    <row r="911">
      <c r="A911" s="414"/>
      <c r="B911" s="414"/>
      <c r="C911" s="414"/>
      <c r="D911" s="414"/>
      <c r="E911" s="414"/>
      <c r="F911" s="414"/>
      <c r="G911" s="414"/>
      <c r="H911" s="414"/>
      <c r="I911" s="414"/>
      <c r="J911" s="414"/>
      <c r="K911" s="414"/>
      <c r="L911" s="414"/>
      <c r="M911" s="414"/>
      <c r="N911" s="414"/>
      <c r="O911" s="414"/>
      <c r="P911" s="414"/>
      <c r="Q911" s="414"/>
      <c r="R911" s="414"/>
      <c r="S911" s="414"/>
      <c r="T911" s="414"/>
      <c r="U911" s="414"/>
    </row>
    <row r="912">
      <c r="A912" s="414"/>
      <c r="B912" s="414"/>
      <c r="C912" s="414"/>
      <c r="D912" s="414"/>
      <c r="E912" s="414"/>
      <c r="F912" s="414"/>
      <c r="G912" s="414"/>
      <c r="H912" s="414"/>
      <c r="I912" s="414"/>
      <c r="J912" s="414"/>
      <c r="K912" s="414"/>
      <c r="L912" s="414"/>
      <c r="M912" s="414"/>
      <c r="N912" s="414"/>
      <c r="O912" s="414"/>
      <c r="P912" s="414"/>
      <c r="Q912" s="414"/>
      <c r="R912" s="414"/>
      <c r="S912" s="414"/>
      <c r="T912" s="414"/>
      <c r="U912" s="414"/>
    </row>
    <row r="913">
      <c r="A913" s="414"/>
      <c r="B913" s="414"/>
      <c r="C913" s="414"/>
      <c r="D913" s="414"/>
      <c r="E913" s="414"/>
      <c r="F913" s="414"/>
      <c r="G913" s="414"/>
      <c r="H913" s="414"/>
      <c r="I913" s="414"/>
      <c r="J913" s="414"/>
      <c r="K913" s="414"/>
      <c r="L913" s="414"/>
      <c r="M913" s="414"/>
      <c r="N913" s="414"/>
      <c r="O913" s="414"/>
      <c r="P913" s="414"/>
      <c r="Q913" s="414"/>
      <c r="R913" s="414"/>
      <c r="S913" s="414"/>
      <c r="T913" s="414"/>
      <c r="U913" s="414"/>
    </row>
    <row r="914">
      <c r="A914" s="414"/>
      <c r="B914" s="414"/>
      <c r="C914" s="414"/>
      <c r="D914" s="414"/>
      <c r="E914" s="414"/>
      <c r="F914" s="414"/>
      <c r="G914" s="414"/>
      <c r="H914" s="414"/>
      <c r="I914" s="414"/>
      <c r="J914" s="414"/>
      <c r="K914" s="414"/>
      <c r="L914" s="414"/>
      <c r="M914" s="414"/>
      <c r="N914" s="414"/>
      <c r="O914" s="414"/>
      <c r="P914" s="414"/>
      <c r="Q914" s="414"/>
      <c r="R914" s="414"/>
      <c r="S914" s="414"/>
      <c r="T914" s="414"/>
      <c r="U914" s="414"/>
    </row>
    <row r="915">
      <c r="A915" s="414"/>
      <c r="B915" s="414"/>
      <c r="C915" s="414"/>
      <c r="D915" s="414"/>
      <c r="E915" s="414"/>
      <c r="F915" s="414"/>
      <c r="G915" s="414"/>
      <c r="H915" s="414"/>
      <c r="I915" s="414"/>
      <c r="J915" s="414"/>
      <c r="K915" s="414"/>
      <c r="L915" s="414"/>
      <c r="M915" s="414"/>
      <c r="N915" s="414"/>
      <c r="O915" s="414"/>
      <c r="P915" s="414"/>
      <c r="Q915" s="414"/>
      <c r="R915" s="414"/>
      <c r="S915" s="414"/>
      <c r="T915" s="414"/>
      <c r="U915" s="414"/>
    </row>
    <row r="916">
      <c r="A916" s="414"/>
      <c r="B916" s="414"/>
      <c r="C916" s="414"/>
      <c r="D916" s="414"/>
      <c r="E916" s="414"/>
      <c r="F916" s="414"/>
      <c r="G916" s="414"/>
      <c r="H916" s="414"/>
      <c r="I916" s="414"/>
      <c r="J916" s="414"/>
      <c r="K916" s="414"/>
      <c r="L916" s="414"/>
      <c r="M916" s="414"/>
      <c r="N916" s="414"/>
      <c r="O916" s="414"/>
      <c r="P916" s="414"/>
      <c r="Q916" s="414"/>
      <c r="R916" s="414"/>
      <c r="S916" s="414"/>
      <c r="T916" s="414"/>
      <c r="U916" s="414"/>
    </row>
    <row r="917">
      <c r="A917" s="414"/>
      <c r="B917" s="414"/>
      <c r="C917" s="414"/>
      <c r="D917" s="414"/>
      <c r="E917" s="414"/>
      <c r="F917" s="414"/>
      <c r="G917" s="414"/>
      <c r="H917" s="414"/>
      <c r="I917" s="414"/>
      <c r="J917" s="414"/>
      <c r="K917" s="414"/>
      <c r="L917" s="414"/>
      <c r="M917" s="414"/>
      <c r="N917" s="414"/>
      <c r="O917" s="414"/>
      <c r="P917" s="414"/>
      <c r="Q917" s="414"/>
      <c r="R917" s="414"/>
      <c r="S917" s="414"/>
      <c r="T917" s="414"/>
      <c r="U917" s="414"/>
    </row>
    <row r="918">
      <c r="A918" s="414"/>
      <c r="B918" s="414"/>
      <c r="C918" s="414"/>
      <c r="D918" s="414"/>
      <c r="E918" s="414"/>
      <c r="F918" s="414"/>
      <c r="G918" s="414"/>
      <c r="H918" s="414"/>
      <c r="I918" s="414"/>
      <c r="J918" s="414"/>
      <c r="K918" s="414"/>
      <c r="L918" s="414"/>
      <c r="M918" s="414"/>
      <c r="N918" s="414"/>
      <c r="O918" s="414"/>
      <c r="P918" s="414"/>
      <c r="Q918" s="414"/>
      <c r="R918" s="414"/>
      <c r="S918" s="414"/>
      <c r="T918" s="414"/>
      <c r="U918" s="414"/>
    </row>
    <row r="919">
      <c r="A919" s="414"/>
      <c r="B919" s="414"/>
      <c r="C919" s="414"/>
      <c r="D919" s="414"/>
      <c r="E919" s="414"/>
      <c r="F919" s="414"/>
      <c r="G919" s="414"/>
      <c r="H919" s="414"/>
      <c r="I919" s="414"/>
      <c r="J919" s="414"/>
      <c r="K919" s="414"/>
      <c r="L919" s="414"/>
      <c r="M919" s="414"/>
      <c r="N919" s="414"/>
      <c r="O919" s="414"/>
      <c r="P919" s="414"/>
      <c r="Q919" s="414"/>
      <c r="R919" s="414"/>
      <c r="S919" s="414"/>
      <c r="T919" s="414"/>
      <c r="U919" s="414"/>
    </row>
    <row r="920">
      <c r="A920" s="414"/>
      <c r="B920" s="414"/>
      <c r="C920" s="414"/>
      <c r="D920" s="414"/>
      <c r="E920" s="414"/>
      <c r="F920" s="414"/>
      <c r="G920" s="414"/>
      <c r="H920" s="414"/>
      <c r="I920" s="414"/>
      <c r="J920" s="414"/>
      <c r="K920" s="414"/>
      <c r="L920" s="414"/>
      <c r="M920" s="414"/>
      <c r="N920" s="414"/>
      <c r="O920" s="414"/>
      <c r="P920" s="414"/>
      <c r="Q920" s="414"/>
      <c r="R920" s="414"/>
      <c r="S920" s="414"/>
      <c r="T920" s="414"/>
      <c r="U920" s="414"/>
    </row>
    <row r="921">
      <c r="A921" s="414"/>
      <c r="B921" s="414"/>
      <c r="C921" s="414"/>
      <c r="D921" s="414"/>
      <c r="E921" s="414"/>
      <c r="F921" s="414"/>
      <c r="G921" s="414"/>
      <c r="H921" s="414"/>
      <c r="I921" s="414"/>
      <c r="J921" s="414"/>
      <c r="K921" s="414"/>
      <c r="L921" s="414"/>
      <c r="M921" s="414"/>
      <c r="N921" s="414"/>
      <c r="O921" s="414"/>
      <c r="P921" s="414"/>
      <c r="Q921" s="414"/>
      <c r="R921" s="414"/>
      <c r="S921" s="414"/>
      <c r="T921" s="414"/>
      <c r="U921" s="414"/>
    </row>
    <row r="922">
      <c r="A922" s="414"/>
      <c r="B922" s="414"/>
      <c r="C922" s="414"/>
      <c r="D922" s="414"/>
      <c r="E922" s="414"/>
      <c r="F922" s="414"/>
      <c r="G922" s="414"/>
      <c r="H922" s="414"/>
      <c r="I922" s="414"/>
      <c r="J922" s="414"/>
      <c r="K922" s="414"/>
      <c r="L922" s="414"/>
      <c r="M922" s="414"/>
      <c r="N922" s="414"/>
      <c r="O922" s="414"/>
      <c r="P922" s="414"/>
      <c r="Q922" s="414"/>
      <c r="R922" s="414"/>
      <c r="S922" s="414"/>
      <c r="T922" s="414"/>
      <c r="U922" s="414"/>
    </row>
    <row r="923">
      <c r="A923" s="414"/>
      <c r="B923" s="414"/>
      <c r="C923" s="414"/>
      <c r="D923" s="414"/>
      <c r="E923" s="414"/>
      <c r="F923" s="414"/>
      <c r="G923" s="414"/>
      <c r="H923" s="414"/>
      <c r="I923" s="414"/>
      <c r="J923" s="414"/>
      <c r="K923" s="414"/>
      <c r="L923" s="414"/>
      <c r="M923" s="414"/>
      <c r="N923" s="414"/>
      <c r="O923" s="414"/>
      <c r="P923" s="414"/>
      <c r="Q923" s="414"/>
      <c r="R923" s="414"/>
      <c r="S923" s="414"/>
      <c r="T923" s="414"/>
      <c r="U923" s="414"/>
    </row>
    <row r="924">
      <c r="A924" s="414"/>
      <c r="B924" s="414"/>
      <c r="C924" s="414"/>
      <c r="D924" s="414"/>
      <c r="E924" s="414"/>
      <c r="F924" s="414"/>
      <c r="G924" s="414"/>
      <c r="H924" s="414"/>
      <c r="I924" s="414"/>
      <c r="J924" s="414"/>
      <c r="K924" s="414"/>
      <c r="L924" s="414"/>
      <c r="M924" s="414"/>
      <c r="N924" s="414"/>
      <c r="O924" s="414"/>
      <c r="P924" s="414"/>
      <c r="Q924" s="414"/>
      <c r="R924" s="414"/>
      <c r="S924" s="414"/>
      <c r="T924" s="414"/>
      <c r="U924" s="414"/>
    </row>
    <row r="925">
      <c r="A925" s="414"/>
      <c r="B925" s="414"/>
      <c r="C925" s="414"/>
      <c r="D925" s="414"/>
      <c r="E925" s="414"/>
      <c r="F925" s="414"/>
      <c r="G925" s="414"/>
      <c r="H925" s="414"/>
      <c r="I925" s="414"/>
      <c r="J925" s="414"/>
      <c r="K925" s="414"/>
      <c r="L925" s="414"/>
      <c r="M925" s="414"/>
      <c r="N925" s="414"/>
      <c r="O925" s="414"/>
      <c r="P925" s="414"/>
      <c r="Q925" s="414"/>
      <c r="R925" s="414"/>
      <c r="S925" s="414"/>
      <c r="T925" s="414"/>
      <c r="U925" s="414"/>
    </row>
    <row r="926">
      <c r="A926" s="414"/>
      <c r="B926" s="414"/>
      <c r="C926" s="414"/>
      <c r="D926" s="414"/>
      <c r="E926" s="414"/>
      <c r="F926" s="414"/>
      <c r="G926" s="414"/>
      <c r="H926" s="414"/>
      <c r="I926" s="414"/>
      <c r="J926" s="414"/>
      <c r="K926" s="414"/>
      <c r="L926" s="414"/>
      <c r="M926" s="414"/>
      <c r="N926" s="414"/>
      <c r="O926" s="414"/>
      <c r="P926" s="414"/>
      <c r="Q926" s="414"/>
      <c r="R926" s="414"/>
      <c r="S926" s="414"/>
      <c r="T926" s="414"/>
      <c r="U926" s="414"/>
    </row>
    <row r="927">
      <c r="A927" s="414"/>
      <c r="B927" s="414"/>
      <c r="C927" s="414"/>
      <c r="D927" s="414"/>
      <c r="E927" s="414"/>
      <c r="F927" s="414"/>
      <c r="G927" s="414"/>
      <c r="H927" s="414"/>
      <c r="I927" s="414"/>
      <c r="J927" s="414"/>
      <c r="K927" s="414"/>
      <c r="L927" s="414"/>
      <c r="M927" s="414"/>
      <c r="N927" s="414"/>
      <c r="O927" s="414"/>
      <c r="P927" s="414"/>
      <c r="Q927" s="414"/>
      <c r="R927" s="414"/>
      <c r="S927" s="414"/>
      <c r="T927" s="414"/>
      <c r="U927" s="414"/>
    </row>
    <row r="928">
      <c r="A928" s="414"/>
      <c r="B928" s="414"/>
      <c r="C928" s="414"/>
      <c r="D928" s="414"/>
      <c r="E928" s="414"/>
      <c r="F928" s="414"/>
      <c r="G928" s="414"/>
      <c r="H928" s="414"/>
      <c r="I928" s="414"/>
      <c r="J928" s="414"/>
      <c r="K928" s="414"/>
      <c r="L928" s="414"/>
      <c r="M928" s="414"/>
      <c r="N928" s="414"/>
      <c r="O928" s="414"/>
      <c r="P928" s="414"/>
      <c r="Q928" s="414"/>
      <c r="R928" s="414"/>
      <c r="S928" s="414"/>
      <c r="T928" s="414"/>
      <c r="U928" s="414"/>
    </row>
    <row r="929">
      <c r="A929" s="414"/>
      <c r="B929" s="414"/>
      <c r="C929" s="414"/>
      <c r="D929" s="414"/>
      <c r="E929" s="414"/>
      <c r="F929" s="414"/>
      <c r="G929" s="414"/>
      <c r="H929" s="414"/>
      <c r="I929" s="414"/>
      <c r="J929" s="414"/>
      <c r="K929" s="414"/>
      <c r="L929" s="414"/>
      <c r="M929" s="414"/>
      <c r="N929" s="414"/>
      <c r="O929" s="414"/>
      <c r="P929" s="414"/>
      <c r="Q929" s="414"/>
      <c r="R929" s="414"/>
      <c r="S929" s="414"/>
      <c r="T929" s="414"/>
      <c r="U929" s="414"/>
    </row>
    <row r="930">
      <c r="A930" s="414"/>
      <c r="B930" s="414"/>
      <c r="C930" s="414"/>
      <c r="D930" s="414"/>
      <c r="E930" s="414"/>
      <c r="F930" s="414"/>
      <c r="G930" s="414"/>
      <c r="H930" s="414"/>
      <c r="I930" s="414"/>
      <c r="J930" s="414"/>
      <c r="K930" s="414"/>
      <c r="L930" s="414"/>
      <c r="M930" s="414"/>
      <c r="N930" s="414"/>
      <c r="O930" s="414"/>
      <c r="P930" s="414"/>
      <c r="Q930" s="414"/>
      <c r="R930" s="414"/>
      <c r="S930" s="414"/>
      <c r="T930" s="414"/>
      <c r="U930" s="414"/>
    </row>
    <row r="931">
      <c r="A931" s="414"/>
      <c r="B931" s="414"/>
      <c r="C931" s="414"/>
      <c r="D931" s="414"/>
      <c r="E931" s="414"/>
      <c r="F931" s="414"/>
      <c r="G931" s="414"/>
      <c r="H931" s="414"/>
      <c r="I931" s="414"/>
      <c r="J931" s="414"/>
      <c r="K931" s="414"/>
      <c r="L931" s="414"/>
      <c r="M931" s="414"/>
      <c r="N931" s="414"/>
      <c r="O931" s="414"/>
      <c r="P931" s="414"/>
      <c r="Q931" s="414"/>
      <c r="R931" s="414"/>
      <c r="S931" s="414"/>
      <c r="T931" s="414"/>
      <c r="U931" s="414"/>
    </row>
    <row r="932">
      <c r="A932" s="414"/>
      <c r="B932" s="414"/>
      <c r="C932" s="414"/>
      <c r="D932" s="414"/>
      <c r="E932" s="414"/>
      <c r="F932" s="414"/>
      <c r="G932" s="414"/>
      <c r="H932" s="414"/>
      <c r="I932" s="414"/>
      <c r="J932" s="414"/>
      <c r="K932" s="414"/>
      <c r="L932" s="414"/>
      <c r="M932" s="414"/>
      <c r="N932" s="414"/>
      <c r="O932" s="414"/>
      <c r="P932" s="414"/>
      <c r="Q932" s="414"/>
      <c r="R932" s="414"/>
      <c r="S932" s="414"/>
      <c r="T932" s="414"/>
      <c r="U932" s="414"/>
    </row>
    <row r="933">
      <c r="A933" s="414"/>
      <c r="B933" s="414"/>
      <c r="C933" s="414"/>
      <c r="D933" s="414"/>
      <c r="E933" s="414"/>
      <c r="F933" s="414"/>
      <c r="G933" s="414"/>
      <c r="H933" s="414"/>
      <c r="I933" s="414"/>
      <c r="J933" s="414"/>
      <c r="K933" s="414"/>
      <c r="L933" s="414"/>
      <c r="M933" s="414"/>
      <c r="N933" s="414"/>
      <c r="O933" s="414"/>
      <c r="P933" s="414"/>
      <c r="Q933" s="414"/>
      <c r="R933" s="414"/>
      <c r="S933" s="414"/>
      <c r="T933" s="414"/>
      <c r="U933" s="414"/>
    </row>
    <row r="934">
      <c r="A934" s="414"/>
      <c r="B934" s="414"/>
      <c r="C934" s="414"/>
      <c r="D934" s="414"/>
      <c r="E934" s="414"/>
      <c r="F934" s="414"/>
      <c r="G934" s="414"/>
      <c r="H934" s="414"/>
      <c r="I934" s="414"/>
      <c r="J934" s="414"/>
      <c r="K934" s="414"/>
      <c r="L934" s="414"/>
      <c r="M934" s="414"/>
      <c r="N934" s="414"/>
      <c r="O934" s="414"/>
      <c r="P934" s="414"/>
      <c r="Q934" s="414"/>
      <c r="R934" s="414"/>
      <c r="S934" s="414"/>
      <c r="T934" s="414"/>
      <c r="U934" s="414"/>
    </row>
    <row r="935">
      <c r="A935" s="414"/>
      <c r="B935" s="414"/>
      <c r="C935" s="414"/>
      <c r="D935" s="414"/>
      <c r="E935" s="414"/>
      <c r="F935" s="414"/>
      <c r="G935" s="414"/>
      <c r="H935" s="414"/>
      <c r="I935" s="414"/>
      <c r="J935" s="414"/>
      <c r="K935" s="414"/>
      <c r="L935" s="414"/>
      <c r="M935" s="414"/>
      <c r="N935" s="414"/>
      <c r="O935" s="414"/>
      <c r="P935" s="414"/>
      <c r="Q935" s="414"/>
      <c r="R935" s="414"/>
      <c r="S935" s="414"/>
      <c r="T935" s="414"/>
      <c r="U935" s="414"/>
    </row>
    <row r="936">
      <c r="A936" s="414"/>
      <c r="B936" s="414"/>
      <c r="C936" s="414"/>
      <c r="D936" s="414"/>
      <c r="E936" s="414"/>
      <c r="F936" s="414"/>
      <c r="G936" s="414"/>
      <c r="H936" s="414"/>
      <c r="I936" s="414"/>
      <c r="J936" s="414"/>
      <c r="K936" s="414"/>
      <c r="L936" s="414"/>
      <c r="M936" s="414"/>
      <c r="N936" s="414"/>
      <c r="O936" s="414"/>
      <c r="P936" s="414"/>
      <c r="Q936" s="414"/>
      <c r="R936" s="414"/>
      <c r="S936" s="414"/>
      <c r="T936" s="414"/>
      <c r="U936" s="414"/>
    </row>
    <row r="937">
      <c r="A937" s="414"/>
      <c r="B937" s="414"/>
      <c r="C937" s="414"/>
      <c r="D937" s="414"/>
      <c r="E937" s="414"/>
      <c r="F937" s="414"/>
      <c r="G937" s="414"/>
      <c r="H937" s="414"/>
      <c r="I937" s="414"/>
      <c r="J937" s="414"/>
      <c r="K937" s="414"/>
      <c r="L937" s="414"/>
      <c r="M937" s="414"/>
      <c r="N937" s="414"/>
      <c r="O937" s="414"/>
      <c r="P937" s="414"/>
      <c r="Q937" s="414"/>
      <c r="R937" s="414"/>
      <c r="S937" s="414"/>
      <c r="T937" s="414"/>
      <c r="U937" s="414"/>
    </row>
    <row r="938">
      <c r="A938" s="414"/>
      <c r="B938" s="414"/>
      <c r="C938" s="414"/>
      <c r="D938" s="414"/>
      <c r="E938" s="414"/>
      <c r="F938" s="414"/>
      <c r="G938" s="414"/>
      <c r="H938" s="414"/>
      <c r="I938" s="414"/>
      <c r="J938" s="414"/>
      <c r="K938" s="414"/>
      <c r="L938" s="414"/>
      <c r="M938" s="414"/>
      <c r="N938" s="414"/>
      <c r="O938" s="414"/>
      <c r="P938" s="414"/>
      <c r="Q938" s="414"/>
      <c r="R938" s="414"/>
      <c r="S938" s="414"/>
      <c r="T938" s="414"/>
      <c r="U938" s="414"/>
    </row>
    <row r="939">
      <c r="A939" s="414"/>
      <c r="B939" s="414"/>
      <c r="C939" s="414"/>
      <c r="D939" s="414"/>
      <c r="E939" s="414"/>
      <c r="F939" s="414"/>
      <c r="G939" s="414"/>
      <c r="H939" s="414"/>
      <c r="I939" s="414"/>
      <c r="J939" s="414"/>
      <c r="K939" s="414"/>
      <c r="L939" s="414"/>
      <c r="M939" s="414"/>
      <c r="N939" s="414"/>
      <c r="O939" s="414"/>
      <c r="P939" s="414"/>
      <c r="Q939" s="414"/>
      <c r="R939" s="414"/>
      <c r="S939" s="414"/>
      <c r="T939" s="414"/>
      <c r="U939" s="414"/>
    </row>
    <row r="940">
      <c r="A940" s="414"/>
      <c r="B940" s="414"/>
      <c r="C940" s="414"/>
      <c r="D940" s="414"/>
      <c r="E940" s="414"/>
      <c r="F940" s="414"/>
      <c r="G940" s="414"/>
      <c r="H940" s="414"/>
      <c r="I940" s="414"/>
      <c r="J940" s="414"/>
      <c r="K940" s="414"/>
      <c r="L940" s="414"/>
      <c r="M940" s="414"/>
      <c r="N940" s="414"/>
      <c r="O940" s="414"/>
      <c r="P940" s="414"/>
      <c r="Q940" s="414"/>
      <c r="R940" s="414"/>
      <c r="S940" s="414"/>
      <c r="T940" s="414"/>
      <c r="U940" s="414"/>
    </row>
    <row r="941">
      <c r="A941" s="414"/>
      <c r="B941" s="414"/>
      <c r="C941" s="414"/>
      <c r="D941" s="414"/>
      <c r="E941" s="414"/>
      <c r="F941" s="414"/>
      <c r="G941" s="414"/>
      <c r="H941" s="414"/>
      <c r="I941" s="414"/>
      <c r="J941" s="414"/>
      <c r="K941" s="414"/>
      <c r="L941" s="414"/>
      <c r="M941" s="414"/>
      <c r="N941" s="414"/>
      <c r="O941" s="414"/>
      <c r="P941" s="414"/>
      <c r="Q941" s="414"/>
      <c r="R941" s="414"/>
      <c r="S941" s="414"/>
      <c r="T941" s="414"/>
      <c r="U941" s="414"/>
    </row>
    <row r="942">
      <c r="A942" s="414"/>
      <c r="B942" s="414"/>
      <c r="C942" s="414"/>
      <c r="D942" s="414"/>
      <c r="E942" s="414"/>
      <c r="F942" s="414"/>
      <c r="G942" s="414"/>
      <c r="H942" s="414"/>
      <c r="I942" s="414"/>
      <c r="J942" s="414"/>
      <c r="K942" s="414"/>
      <c r="L942" s="414"/>
      <c r="M942" s="414"/>
      <c r="N942" s="414"/>
      <c r="O942" s="414"/>
      <c r="P942" s="414"/>
      <c r="Q942" s="414"/>
      <c r="R942" s="414"/>
      <c r="S942" s="414"/>
      <c r="T942" s="414"/>
      <c r="U942" s="414"/>
    </row>
    <row r="943">
      <c r="A943" s="414"/>
      <c r="B943" s="414"/>
      <c r="C943" s="414"/>
      <c r="D943" s="414"/>
      <c r="E943" s="414"/>
      <c r="F943" s="414"/>
      <c r="G943" s="414"/>
      <c r="H943" s="414"/>
      <c r="I943" s="414"/>
      <c r="J943" s="414"/>
      <c r="K943" s="414"/>
      <c r="L943" s="414"/>
      <c r="M943" s="414"/>
      <c r="N943" s="414"/>
      <c r="O943" s="414"/>
      <c r="P943" s="414"/>
      <c r="Q943" s="414"/>
      <c r="R943" s="414"/>
      <c r="S943" s="414"/>
      <c r="T943" s="414"/>
      <c r="U943" s="414"/>
    </row>
    <row r="944">
      <c r="A944" s="414"/>
      <c r="B944" s="414"/>
      <c r="C944" s="414"/>
      <c r="D944" s="414"/>
      <c r="E944" s="414"/>
      <c r="F944" s="414"/>
      <c r="G944" s="414"/>
      <c r="H944" s="414"/>
      <c r="I944" s="414"/>
      <c r="J944" s="414"/>
      <c r="K944" s="414"/>
      <c r="L944" s="414"/>
      <c r="M944" s="414"/>
      <c r="N944" s="414"/>
      <c r="O944" s="414"/>
      <c r="P944" s="414"/>
      <c r="Q944" s="414"/>
      <c r="R944" s="414"/>
      <c r="S944" s="414"/>
      <c r="T944" s="414"/>
      <c r="U944" s="414"/>
    </row>
    <row r="945">
      <c r="A945" s="414"/>
      <c r="B945" s="414"/>
      <c r="C945" s="414"/>
      <c r="D945" s="414"/>
      <c r="E945" s="414"/>
      <c r="F945" s="414"/>
      <c r="G945" s="414"/>
      <c r="H945" s="414"/>
      <c r="I945" s="414"/>
      <c r="J945" s="414"/>
      <c r="K945" s="414"/>
      <c r="L945" s="414"/>
      <c r="M945" s="414"/>
      <c r="N945" s="414"/>
      <c r="O945" s="414"/>
      <c r="P945" s="414"/>
      <c r="Q945" s="414"/>
      <c r="R945" s="414"/>
      <c r="S945" s="414"/>
      <c r="T945" s="414"/>
      <c r="U945" s="414"/>
    </row>
    <row r="946">
      <c r="A946" s="414"/>
      <c r="B946" s="414"/>
      <c r="C946" s="414"/>
      <c r="D946" s="414"/>
      <c r="E946" s="414"/>
      <c r="F946" s="414"/>
      <c r="G946" s="414"/>
      <c r="H946" s="414"/>
      <c r="I946" s="414"/>
      <c r="J946" s="414"/>
      <c r="K946" s="414"/>
      <c r="L946" s="414"/>
      <c r="M946" s="414"/>
      <c r="N946" s="414"/>
      <c r="O946" s="414"/>
      <c r="P946" s="414"/>
      <c r="Q946" s="414"/>
      <c r="R946" s="414"/>
      <c r="S946" s="414"/>
      <c r="T946" s="414"/>
      <c r="U946" s="414"/>
    </row>
    <row r="947">
      <c r="A947" s="414"/>
      <c r="B947" s="414"/>
      <c r="C947" s="414"/>
      <c r="D947" s="414"/>
      <c r="E947" s="414"/>
      <c r="F947" s="414"/>
      <c r="G947" s="414"/>
      <c r="H947" s="414"/>
      <c r="I947" s="414"/>
      <c r="J947" s="414"/>
      <c r="K947" s="414"/>
      <c r="L947" s="414"/>
      <c r="M947" s="414"/>
      <c r="N947" s="414"/>
      <c r="O947" s="414"/>
      <c r="P947" s="414"/>
      <c r="Q947" s="414"/>
      <c r="R947" s="414"/>
      <c r="S947" s="414"/>
      <c r="T947" s="414"/>
      <c r="U947" s="414"/>
    </row>
    <row r="948">
      <c r="A948" s="414"/>
      <c r="B948" s="414"/>
      <c r="C948" s="414"/>
      <c r="D948" s="414"/>
      <c r="E948" s="414"/>
      <c r="F948" s="414"/>
      <c r="G948" s="414"/>
      <c r="H948" s="414"/>
      <c r="I948" s="414"/>
      <c r="J948" s="414"/>
      <c r="K948" s="414"/>
      <c r="L948" s="414"/>
      <c r="M948" s="414"/>
      <c r="N948" s="414"/>
      <c r="O948" s="414"/>
      <c r="P948" s="414"/>
      <c r="Q948" s="414"/>
      <c r="R948" s="414"/>
      <c r="S948" s="414"/>
      <c r="T948" s="414"/>
      <c r="U948" s="414"/>
    </row>
    <row r="949">
      <c r="A949" s="414"/>
      <c r="B949" s="414"/>
      <c r="C949" s="414"/>
      <c r="D949" s="414"/>
      <c r="E949" s="414"/>
      <c r="F949" s="414"/>
      <c r="G949" s="414"/>
      <c r="H949" s="414"/>
      <c r="I949" s="414"/>
      <c r="J949" s="414"/>
      <c r="K949" s="414"/>
      <c r="L949" s="414"/>
      <c r="M949" s="414"/>
      <c r="N949" s="414"/>
      <c r="O949" s="414"/>
      <c r="P949" s="414"/>
      <c r="Q949" s="414"/>
      <c r="R949" s="414"/>
      <c r="S949" s="414"/>
      <c r="T949" s="414"/>
      <c r="U949" s="414"/>
    </row>
    <row r="950">
      <c r="A950" s="414"/>
      <c r="B950" s="414"/>
      <c r="C950" s="414"/>
      <c r="D950" s="414"/>
      <c r="E950" s="414"/>
      <c r="F950" s="414"/>
      <c r="G950" s="414"/>
      <c r="H950" s="414"/>
      <c r="I950" s="414"/>
      <c r="J950" s="414"/>
      <c r="K950" s="414"/>
      <c r="L950" s="414"/>
      <c r="M950" s="414"/>
      <c r="N950" s="414"/>
      <c r="O950" s="414"/>
      <c r="P950" s="414"/>
      <c r="Q950" s="414"/>
      <c r="R950" s="414"/>
      <c r="S950" s="414"/>
      <c r="T950" s="414"/>
      <c r="U950" s="414"/>
    </row>
    <row r="951">
      <c r="A951" s="414"/>
      <c r="B951" s="414"/>
      <c r="C951" s="414"/>
      <c r="D951" s="414"/>
      <c r="E951" s="414"/>
      <c r="F951" s="414"/>
      <c r="G951" s="414"/>
      <c r="H951" s="414"/>
      <c r="I951" s="414"/>
      <c r="J951" s="414"/>
      <c r="K951" s="414"/>
      <c r="L951" s="414"/>
      <c r="M951" s="414"/>
      <c r="N951" s="414"/>
      <c r="O951" s="414"/>
      <c r="P951" s="414"/>
      <c r="Q951" s="414"/>
      <c r="R951" s="414"/>
      <c r="S951" s="414"/>
      <c r="T951" s="414"/>
      <c r="U951" s="414"/>
    </row>
    <row r="952">
      <c r="A952" s="414"/>
      <c r="B952" s="414"/>
      <c r="C952" s="414"/>
      <c r="D952" s="414"/>
      <c r="E952" s="414"/>
      <c r="F952" s="414"/>
      <c r="G952" s="414"/>
      <c r="H952" s="414"/>
      <c r="I952" s="414"/>
      <c r="J952" s="414"/>
      <c r="K952" s="414"/>
      <c r="L952" s="414"/>
      <c r="M952" s="414"/>
      <c r="N952" s="414"/>
      <c r="O952" s="414"/>
      <c r="P952" s="414"/>
      <c r="Q952" s="414"/>
      <c r="R952" s="414"/>
      <c r="S952" s="414"/>
      <c r="T952" s="414"/>
      <c r="U952" s="414"/>
    </row>
    <row r="953">
      <c r="A953" s="414"/>
      <c r="B953" s="414"/>
      <c r="C953" s="414"/>
      <c r="D953" s="414"/>
      <c r="E953" s="414"/>
      <c r="F953" s="414"/>
      <c r="G953" s="414"/>
      <c r="H953" s="414"/>
      <c r="I953" s="414"/>
      <c r="J953" s="414"/>
      <c r="K953" s="414"/>
      <c r="L953" s="414"/>
      <c r="M953" s="414"/>
      <c r="N953" s="414"/>
      <c r="O953" s="414"/>
      <c r="P953" s="414"/>
      <c r="Q953" s="414"/>
      <c r="R953" s="414"/>
      <c r="S953" s="414"/>
      <c r="T953" s="414"/>
      <c r="U953" s="414"/>
    </row>
    <row r="954">
      <c r="A954" s="414"/>
      <c r="B954" s="414"/>
      <c r="C954" s="414"/>
      <c r="D954" s="414"/>
      <c r="E954" s="414"/>
      <c r="F954" s="414"/>
      <c r="G954" s="414"/>
      <c r="H954" s="414"/>
      <c r="I954" s="414"/>
      <c r="J954" s="414"/>
      <c r="K954" s="414"/>
      <c r="L954" s="414"/>
      <c r="M954" s="414"/>
      <c r="N954" s="414"/>
      <c r="O954" s="414"/>
      <c r="P954" s="414"/>
      <c r="Q954" s="414"/>
      <c r="R954" s="414"/>
      <c r="S954" s="414"/>
      <c r="T954" s="414"/>
      <c r="U954" s="414"/>
    </row>
    <row r="955">
      <c r="A955" s="414"/>
      <c r="B955" s="414"/>
      <c r="C955" s="414"/>
      <c r="D955" s="414"/>
      <c r="E955" s="414"/>
      <c r="F955" s="414"/>
      <c r="G955" s="414"/>
      <c r="H955" s="414"/>
      <c r="I955" s="414"/>
      <c r="J955" s="414"/>
      <c r="K955" s="414"/>
      <c r="L955" s="414"/>
      <c r="M955" s="414"/>
      <c r="N955" s="414"/>
      <c r="O955" s="414"/>
      <c r="P955" s="414"/>
      <c r="Q955" s="414"/>
      <c r="R955" s="414"/>
      <c r="S955" s="414"/>
      <c r="T955" s="414"/>
      <c r="U955" s="414"/>
    </row>
    <row r="956">
      <c r="A956" s="414"/>
      <c r="B956" s="414"/>
      <c r="C956" s="414"/>
      <c r="D956" s="414"/>
      <c r="E956" s="414"/>
      <c r="F956" s="414"/>
      <c r="G956" s="414"/>
      <c r="H956" s="414"/>
      <c r="I956" s="414"/>
      <c r="J956" s="414"/>
      <c r="K956" s="414"/>
      <c r="L956" s="414"/>
      <c r="M956" s="414"/>
      <c r="N956" s="414"/>
      <c r="O956" s="414"/>
      <c r="P956" s="414"/>
      <c r="Q956" s="414"/>
      <c r="R956" s="414"/>
      <c r="S956" s="414"/>
      <c r="T956" s="414"/>
      <c r="U956" s="414"/>
    </row>
    <row r="957">
      <c r="A957" s="414"/>
      <c r="B957" s="414"/>
      <c r="C957" s="414"/>
      <c r="D957" s="414"/>
      <c r="E957" s="414"/>
      <c r="F957" s="414"/>
      <c r="G957" s="414"/>
      <c r="H957" s="414"/>
      <c r="I957" s="414"/>
      <c r="J957" s="414"/>
      <c r="K957" s="414"/>
      <c r="L957" s="414"/>
      <c r="M957" s="414"/>
      <c r="N957" s="414"/>
      <c r="O957" s="414"/>
      <c r="P957" s="414"/>
      <c r="Q957" s="414"/>
      <c r="R957" s="414"/>
      <c r="S957" s="414"/>
      <c r="T957" s="414"/>
      <c r="U957" s="414"/>
    </row>
    <row r="958">
      <c r="A958" s="414"/>
      <c r="B958" s="414"/>
      <c r="C958" s="414"/>
      <c r="D958" s="414"/>
      <c r="E958" s="414"/>
      <c r="F958" s="414"/>
      <c r="G958" s="414"/>
      <c r="H958" s="414"/>
      <c r="I958" s="414"/>
      <c r="J958" s="414"/>
      <c r="K958" s="414"/>
      <c r="L958" s="414"/>
      <c r="M958" s="414"/>
      <c r="N958" s="414"/>
      <c r="O958" s="414"/>
      <c r="P958" s="414"/>
      <c r="Q958" s="414"/>
      <c r="R958" s="414"/>
      <c r="S958" s="414"/>
      <c r="T958" s="414"/>
      <c r="U958" s="414"/>
    </row>
    <row r="959">
      <c r="A959" s="414"/>
      <c r="B959" s="414"/>
      <c r="C959" s="414"/>
      <c r="D959" s="414"/>
      <c r="E959" s="414"/>
      <c r="F959" s="414"/>
      <c r="G959" s="414"/>
      <c r="H959" s="414"/>
      <c r="I959" s="414"/>
      <c r="J959" s="414"/>
      <c r="K959" s="414"/>
      <c r="L959" s="414"/>
      <c r="M959" s="414"/>
      <c r="N959" s="414"/>
      <c r="O959" s="414"/>
      <c r="P959" s="414"/>
      <c r="Q959" s="414"/>
      <c r="R959" s="414"/>
      <c r="S959" s="414"/>
      <c r="T959" s="414"/>
      <c r="U959" s="414"/>
    </row>
    <row r="960">
      <c r="A960" s="414"/>
      <c r="B960" s="414"/>
      <c r="C960" s="414"/>
      <c r="D960" s="414"/>
      <c r="E960" s="414"/>
      <c r="F960" s="414"/>
      <c r="G960" s="414"/>
      <c r="H960" s="414"/>
      <c r="I960" s="414"/>
      <c r="J960" s="414"/>
      <c r="K960" s="414"/>
      <c r="L960" s="414"/>
      <c r="M960" s="414"/>
      <c r="N960" s="414"/>
      <c r="O960" s="414"/>
      <c r="P960" s="414"/>
      <c r="Q960" s="414"/>
      <c r="R960" s="414"/>
      <c r="S960" s="414"/>
      <c r="T960" s="414"/>
      <c r="U960" s="414"/>
    </row>
    <row r="961">
      <c r="A961" s="414"/>
      <c r="B961" s="414"/>
      <c r="C961" s="414"/>
      <c r="D961" s="414"/>
      <c r="E961" s="414"/>
      <c r="F961" s="414"/>
      <c r="G961" s="414"/>
      <c r="H961" s="414"/>
      <c r="I961" s="414"/>
      <c r="J961" s="414"/>
      <c r="K961" s="414"/>
      <c r="L961" s="414"/>
      <c r="M961" s="414"/>
      <c r="N961" s="414"/>
      <c r="O961" s="414"/>
      <c r="P961" s="414"/>
      <c r="Q961" s="414"/>
      <c r="R961" s="414"/>
      <c r="S961" s="414"/>
      <c r="T961" s="414"/>
      <c r="U961" s="414"/>
    </row>
    <row r="962">
      <c r="A962" s="414"/>
      <c r="B962" s="414"/>
      <c r="C962" s="414"/>
      <c r="D962" s="414"/>
      <c r="E962" s="414"/>
      <c r="F962" s="414"/>
      <c r="G962" s="414"/>
      <c r="H962" s="414"/>
      <c r="I962" s="414"/>
      <c r="J962" s="414"/>
      <c r="K962" s="414"/>
      <c r="L962" s="414"/>
      <c r="M962" s="414"/>
      <c r="N962" s="414"/>
      <c r="O962" s="414"/>
      <c r="P962" s="414"/>
      <c r="Q962" s="414"/>
      <c r="R962" s="414"/>
      <c r="S962" s="414"/>
      <c r="T962" s="414"/>
      <c r="U962" s="414"/>
    </row>
    <row r="963">
      <c r="A963" s="414"/>
      <c r="B963" s="414"/>
      <c r="C963" s="414"/>
      <c r="D963" s="414"/>
      <c r="E963" s="414"/>
      <c r="F963" s="414"/>
      <c r="G963" s="414"/>
      <c r="H963" s="414"/>
      <c r="I963" s="414"/>
      <c r="J963" s="414"/>
      <c r="K963" s="414"/>
      <c r="L963" s="414"/>
      <c r="M963" s="414"/>
      <c r="N963" s="414"/>
      <c r="O963" s="414"/>
      <c r="P963" s="414"/>
      <c r="Q963" s="414"/>
      <c r="R963" s="414"/>
      <c r="S963" s="414"/>
      <c r="T963" s="414"/>
      <c r="U963" s="414"/>
    </row>
    <row r="964">
      <c r="A964" s="414"/>
      <c r="B964" s="414"/>
      <c r="C964" s="414"/>
      <c r="D964" s="414"/>
      <c r="E964" s="414"/>
      <c r="F964" s="414"/>
      <c r="G964" s="414"/>
      <c r="H964" s="414"/>
      <c r="I964" s="414"/>
      <c r="J964" s="414"/>
      <c r="K964" s="414"/>
      <c r="L964" s="414"/>
      <c r="M964" s="414"/>
      <c r="N964" s="414"/>
      <c r="O964" s="414"/>
      <c r="P964" s="414"/>
      <c r="Q964" s="414"/>
      <c r="R964" s="414"/>
      <c r="S964" s="414"/>
      <c r="T964" s="414"/>
      <c r="U964" s="414"/>
    </row>
    <row r="965">
      <c r="A965" s="414"/>
      <c r="B965" s="414"/>
      <c r="C965" s="414"/>
      <c r="D965" s="414"/>
      <c r="E965" s="414"/>
      <c r="F965" s="414"/>
      <c r="G965" s="414"/>
      <c r="H965" s="414"/>
      <c r="I965" s="414"/>
      <c r="J965" s="414"/>
      <c r="K965" s="414"/>
      <c r="L965" s="414"/>
      <c r="M965" s="414"/>
      <c r="N965" s="414"/>
      <c r="O965" s="414"/>
      <c r="P965" s="414"/>
      <c r="Q965" s="414"/>
      <c r="R965" s="414"/>
      <c r="S965" s="414"/>
      <c r="T965" s="414"/>
      <c r="U965" s="414"/>
    </row>
    <row r="966">
      <c r="A966" s="414"/>
      <c r="B966" s="414"/>
      <c r="C966" s="414"/>
      <c r="D966" s="414"/>
      <c r="E966" s="414"/>
      <c r="F966" s="414"/>
      <c r="G966" s="414"/>
      <c r="H966" s="414"/>
      <c r="I966" s="414"/>
      <c r="J966" s="414"/>
      <c r="K966" s="414"/>
      <c r="L966" s="414"/>
      <c r="M966" s="414"/>
      <c r="N966" s="414"/>
      <c r="O966" s="414"/>
      <c r="P966" s="414"/>
      <c r="Q966" s="414"/>
      <c r="R966" s="414"/>
      <c r="S966" s="414"/>
      <c r="T966" s="414"/>
      <c r="U966" s="414"/>
    </row>
    <row r="967">
      <c r="A967" s="414"/>
      <c r="B967" s="414"/>
      <c r="C967" s="414"/>
      <c r="D967" s="414"/>
      <c r="E967" s="414"/>
      <c r="F967" s="414"/>
      <c r="G967" s="414"/>
      <c r="H967" s="414"/>
      <c r="I967" s="414"/>
      <c r="J967" s="414"/>
      <c r="K967" s="414"/>
      <c r="L967" s="414"/>
      <c r="M967" s="414"/>
      <c r="N967" s="414"/>
      <c r="O967" s="414"/>
      <c r="P967" s="414"/>
      <c r="Q967" s="414"/>
      <c r="R967" s="414"/>
      <c r="S967" s="414"/>
      <c r="T967" s="414"/>
      <c r="U967" s="414"/>
    </row>
    <row r="968">
      <c r="A968" s="414"/>
      <c r="B968" s="414"/>
      <c r="C968" s="414"/>
      <c r="D968" s="414"/>
      <c r="E968" s="414"/>
      <c r="F968" s="414"/>
      <c r="G968" s="414"/>
      <c r="H968" s="414"/>
      <c r="I968" s="414"/>
      <c r="J968" s="414"/>
      <c r="K968" s="414"/>
      <c r="L968" s="414"/>
      <c r="M968" s="414"/>
      <c r="N968" s="414"/>
      <c r="O968" s="414"/>
      <c r="P968" s="414"/>
      <c r="Q968" s="414"/>
      <c r="R968" s="414"/>
      <c r="S968" s="414"/>
      <c r="T968" s="414"/>
      <c r="U968" s="414"/>
    </row>
    <row r="969">
      <c r="A969" s="414"/>
      <c r="B969" s="414"/>
      <c r="C969" s="414"/>
      <c r="D969" s="414"/>
      <c r="E969" s="414"/>
      <c r="F969" s="414"/>
      <c r="G969" s="414"/>
      <c r="H969" s="414"/>
      <c r="I969" s="414"/>
      <c r="J969" s="414"/>
      <c r="K969" s="414"/>
      <c r="L969" s="414"/>
      <c r="M969" s="414"/>
      <c r="N969" s="414"/>
      <c r="O969" s="414"/>
      <c r="P969" s="414"/>
      <c r="Q969" s="414"/>
      <c r="R969" s="414"/>
      <c r="S969" s="414"/>
      <c r="T969" s="414"/>
      <c r="U969" s="414"/>
    </row>
    <row r="970">
      <c r="A970" s="414"/>
      <c r="B970" s="414"/>
      <c r="C970" s="414"/>
      <c r="D970" s="414"/>
      <c r="E970" s="414"/>
      <c r="F970" s="414"/>
      <c r="G970" s="414"/>
      <c r="H970" s="414"/>
      <c r="I970" s="414"/>
      <c r="J970" s="414"/>
      <c r="K970" s="414"/>
      <c r="L970" s="414"/>
      <c r="M970" s="414"/>
      <c r="N970" s="414"/>
      <c r="O970" s="414"/>
      <c r="P970" s="414"/>
      <c r="Q970" s="414"/>
      <c r="R970" s="414"/>
      <c r="S970" s="414"/>
      <c r="T970" s="414"/>
      <c r="U970" s="414"/>
    </row>
    <row r="971">
      <c r="A971" s="414"/>
      <c r="B971" s="414"/>
      <c r="C971" s="414"/>
      <c r="D971" s="414"/>
      <c r="E971" s="414"/>
      <c r="F971" s="414"/>
      <c r="G971" s="414"/>
      <c r="H971" s="414"/>
      <c r="I971" s="414"/>
      <c r="J971" s="414"/>
      <c r="K971" s="414"/>
      <c r="L971" s="414"/>
      <c r="M971" s="414"/>
      <c r="N971" s="414"/>
      <c r="O971" s="414"/>
      <c r="P971" s="414"/>
      <c r="Q971" s="414"/>
      <c r="R971" s="414"/>
      <c r="S971" s="414"/>
      <c r="T971" s="414"/>
      <c r="U971" s="414"/>
    </row>
    <row r="972">
      <c r="A972" s="414"/>
      <c r="B972" s="414"/>
      <c r="C972" s="414"/>
      <c r="D972" s="414"/>
      <c r="E972" s="414"/>
      <c r="F972" s="414"/>
      <c r="G972" s="414"/>
      <c r="H972" s="414"/>
      <c r="I972" s="414"/>
      <c r="J972" s="414"/>
      <c r="K972" s="414"/>
      <c r="L972" s="414"/>
      <c r="M972" s="414"/>
      <c r="N972" s="414"/>
      <c r="O972" s="414"/>
      <c r="P972" s="414"/>
      <c r="Q972" s="414"/>
      <c r="R972" s="414"/>
      <c r="S972" s="414"/>
      <c r="T972" s="414"/>
      <c r="U972" s="414"/>
    </row>
    <row r="973">
      <c r="A973" s="414"/>
      <c r="B973" s="414"/>
      <c r="C973" s="414"/>
      <c r="D973" s="414"/>
      <c r="E973" s="414"/>
      <c r="F973" s="414"/>
      <c r="G973" s="414"/>
      <c r="H973" s="414"/>
      <c r="I973" s="414"/>
      <c r="J973" s="414"/>
      <c r="K973" s="414"/>
      <c r="L973" s="414"/>
      <c r="M973" s="414"/>
      <c r="N973" s="414"/>
      <c r="O973" s="414"/>
      <c r="P973" s="414"/>
      <c r="Q973" s="414"/>
      <c r="R973" s="414"/>
      <c r="S973" s="414"/>
      <c r="T973" s="414"/>
      <c r="U973" s="414"/>
    </row>
    <row r="974">
      <c r="A974" s="414"/>
      <c r="B974" s="414"/>
      <c r="C974" s="414"/>
      <c r="D974" s="414"/>
      <c r="E974" s="414"/>
      <c r="F974" s="414"/>
      <c r="G974" s="414"/>
      <c r="H974" s="414"/>
      <c r="I974" s="414"/>
      <c r="J974" s="414"/>
      <c r="K974" s="414"/>
      <c r="L974" s="414"/>
      <c r="M974" s="414"/>
      <c r="N974" s="414"/>
      <c r="O974" s="414"/>
      <c r="P974" s="414"/>
      <c r="Q974" s="414"/>
      <c r="R974" s="414"/>
      <c r="S974" s="414"/>
      <c r="T974" s="414"/>
      <c r="U974" s="414"/>
    </row>
    <row r="975">
      <c r="A975" s="414"/>
      <c r="B975" s="414"/>
      <c r="C975" s="414"/>
      <c r="D975" s="414"/>
      <c r="E975" s="414"/>
      <c r="F975" s="414"/>
      <c r="G975" s="414"/>
      <c r="H975" s="414"/>
      <c r="I975" s="414"/>
      <c r="J975" s="414"/>
      <c r="K975" s="414"/>
      <c r="L975" s="414"/>
      <c r="M975" s="414"/>
      <c r="N975" s="414"/>
      <c r="O975" s="414"/>
      <c r="P975" s="414"/>
      <c r="Q975" s="414"/>
      <c r="R975" s="414"/>
      <c r="S975" s="414"/>
      <c r="T975" s="414"/>
      <c r="U975" s="414"/>
    </row>
    <row r="976">
      <c r="A976" s="414"/>
      <c r="B976" s="414"/>
      <c r="C976" s="414"/>
      <c r="D976" s="414"/>
      <c r="E976" s="414"/>
      <c r="F976" s="414"/>
      <c r="G976" s="414"/>
      <c r="H976" s="414"/>
      <c r="I976" s="414"/>
      <c r="J976" s="414"/>
      <c r="K976" s="414"/>
      <c r="L976" s="414"/>
      <c r="M976" s="414"/>
      <c r="N976" s="414"/>
      <c r="O976" s="414"/>
      <c r="P976" s="414"/>
      <c r="Q976" s="414"/>
      <c r="R976" s="414"/>
      <c r="S976" s="414"/>
      <c r="T976" s="414"/>
      <c r="U976" s="414"/>
    </row>
    <row r="977">
      <c r="A977" s="414"/>
      <c r="B977" s="414"/>
      <c r="C977" s="414"/>
      <c r="D977" s="414"/>
      <c r="E977" s="414"/>
      <c r="F977" s="414"/>
      <c r="G977" s="414"/>
      <c r="H977" s="414"/>
      <c r="I977" s="414"/>
      <c r="J977" s="414"/>
      <c r="K977" s="414"/>
      <c r="L977" s="414"/>
      <c r="M977" s="414"/>
      <c r="N977" s="414"/>
      <c r="O977" s="414"/>
      <c r="P977" s="414"/>
      <c r="Q977" s="414"/>
      <c r="R977" s="414"/>
      <c r="S977" s="414"/>
      <c r="T977" s="414"/>
      <c r="U977" s="414"/>
    </row>
    <row r="978">
      <c r="A978" s="414"/>
      <c r="B978" s="414"/>
      <c r="C978" s="414"/>
      <c r="D978" s="414"/>
      <c r="E978" s="414"/>
      <c r="F978" s="414"/>
      <c r="G978" s="414"/>
      <c r="H978" s="414"/>
      <c r="I978" s="414"/>
      <c r="J978" s="414"/>
      <c r="K978" s="414"/>
      <c r="L978" s="414"/>
      <c r="M978" s="414"/>
      <c r="N978" s="414"/>
      <c r="O978" s="414"/>
      <c r="P978" s="414"/>
      <c r="Q978" s="414"/>
      <c r="R978" s="414"/>
      <c r="S978" s="414"/>
      <c r="T978" s="414"/>
      <c r="U978" s="414"/>
    </row>
    <row r="979">
      <c r="A979" s="414"/>
      <c r="B979" s="414"/>
      <c r="C979" s="414"/>
      <c r="D979" s="414"/>
      <c r="E979" s="414"/>
      <c r="F979" s="414"/>
      <c r="G979" s="414"/>
      <c r="H979" s="414"/>
      <c r="I979" s="414"/>
      <c r="J979" s="414"/>
      <c r="K979" s="414"/>
      <c r="L979" s="414"/>
      <c r="M979" s="414"/>
      <c r="N979" s="414"/>
      <c r="O979" s="414"/>
      <c r="P979" s="414"/>
      <c r="Q979" s="414"/>
      <c r="R979" s="414"/>
      <c r="S979" s="414"/>
      <c r="T979" s="414"/>
      <c r="U979" s="414"/>
    </row>
    <row r="980">
      <c r="A980" s="414"/>
      <c r="B980" s="414"/>
      <c r="C980" s="414"/>
      <c r="D980" s="414"/>
      <c r="E980" s="414"/>
      <c r="F980" s="414"/>
      <c r="G980" s="414"/>
      <c r="H980" s="414"/>
      <c r="I980" s="414"/>
      <c r="J980" s="414"/>
      <c r="K980" s="414"/>
      <c r="L980" s="414"/>
      <c r="M980" s="414"/>
      <c r="N980" s="414"/>
      <c r="O980" s="414"/>
      <c r="P980" s="414"/>
      <c r="Q980" s="414"/>
      <c r="R980" s="414"/>
      <c r="S980" s="414"/>
      <c r="T980" s="414"/>
      <c r="U980" s="414"/>
    </row>
    <row r="981">
      <c r="A981" s="414"/>
      <c r="B981" s="414"/>
      <c r="C981" s="414"/>
      <c r="D981" s="414"/>
      <c r="E981" s="414"/>
      <c r="F981" s="414"/>
      <c r="G981" s="414"/>
      <c r="H981" s="414"/>
      <c r="I981" s="414"/>
      <c r="J981" s="414"/>
      <c r="K981" s="414"/>
      <c r="L981" s="414"/>
      <c r="M981" s="414"/>
      <c r="N981" s="414"/>
      <c r="O981" s="414"/>
      <c r="P981" s="414"/>
      <c r="Q981" s="414"/>
      <c r="R981" s="414"/>
      <c r="S981" s="414"/>
      <c r="T981" s="414"/>
      <c r="U981" s="414"/>
    </row>
    <row r="982">
      <c r="A982" s="414"/>
      <c r="B982" s="414"/>
      <c r="C982" s="414"/>
      <c r="D982" s="414"/>
      <c r="E982" s="414"/>
      <c r="F982" s="414"/>
      <c r="G982" s="414"/>
      <c r="H982" s="414"/>
      <c r="I982" s="414"/>
      <c r="J982" s="414"/>
      <c r="K982" s="414"/>
      <c r="L982" s="414"/>
      <c r="M982" s="414"/>
      <c r="N982" s="414"/>
      <c r="O982" s="414"/>
      <c r="P982" s="414"/>
      <c r="Q982" s="414"/>
      <c r="R982" s="414"/>
      <c r="S982" s="414"/>
      <c r="T982" s="414"/>
      <c r="U982" s="414"/>
    </row>
    <row r="983">
      <c r="A983" s="414"/>
      <c r="B983" s="414"/>
      <c r="C983" s="414"/>
      <c r="D983" s="414"/>
      <c r="E983" s="414"/>
      <c r="F983" s="414"/>
      <c r="G983" s="414"/>
      <c r="H983" s="414"/>
      <c r="I983" s="414"/>
      <c r="J983" s="414"/>
      <c r="K983" s="414"/>
      <c r="L983" s="414"/>
      <c r="M983" s="414"/>
      <c r="N983" s="414"/>
      <c r="O983" s="414"/>
      <c r="P983" s="414"/>
      <c r="Q983" s="414"/>
      <c r="R983" s="414"/>
      <c r="S983" s="414"/>
      <c r="T983" s="414"/>
      <c r="U983" s="414"/>
    </row>
    <row r="984">
      <c r="A984" s="414"/>
      <c r="B984" s="414"/>
      <c r="C984" s="414"/>
      <c r="D984" s="414"/>
      <c r="E984" s="414"/>
      <c r="F984" s="414"/>
      <c r="G984" s="414"/>
      <c r="H984" s="414"/>
      <c r="I984" s="414"/>
      <c r="J984" s="414"/>
      <c r="K984" s="414"/>
      <c r="L984" s="414"/>
      <c r="M984" s="414"/>
      <c r="N984" s="414"/>
      <c r="O984" s="414"/>
      <c r="P984" s="414"/>
      <c r="Q984" s="414"/>
      <c r="R984" s="414"/>
      <c r="S984" s="414"/>
      <c r="T984" s="414"/>
      <c r="U984" s="414"/>
    </row>
    <row r="985">
      <c r="A985" s="414"/>
      <c r="B985" s="414"/>
      <c r="C985" s="414"/>
      <c r="D985" s="414"/>
      <c r="E985" s="414"/>
      <c r="F985" s="414"/>
      <c r="G985" s="414"/>
      <c r="H985" s="414"/>
      <c r="I985" s="414"/>
      <c r="J985" s="414"/>
      <c r="K985" s="414"/>
      <c r="L985" s="414"/>
      <c r="M985" s="414"/>
      <c r="N985" s="414"/>
      <c r="O985" s="414"/>
      <c r="P985" s="414"/>
      <c r="Q985" s="414"/>
      <c r="R985" s="414"/>
      <c r="S985" s="414"/>
      <c r="T985" s="414"/>
      <c r="U985" s="414"/>
    </row>
    <row r="986">
      <c r="A986" s="414"/>
      <c r="B986" s="414"/>
      <c r="C986" s="414"/>
      <c r="D986" s="414"/>
      <c r="E986" s="414"/>
      <c r="F986" s="414"/>
      <c r="G986" s="414"/>
      <c r="H986" s="414"/>
      <c r="I986" s="414"/>
      <c r="J986" s="414"/>
      <c r="K986" s="414"/>
      <c r="L986" s="414"/>
      <c r="M986" s="414"/>
      <c r="N986" s="414"/>
      <c r="O986" s="414"/>
      <c r="P986" s="414"/>
      <c r="Q986" s="414"/>
      <c r="R986" s="414"/>
      <c r="S986" s="414"/>
      <c r="T986" s="414"/>
      <c r="U986" s="414"/>
    </row>
    <row r="987">
      <c r="A987" s="414"/>
      <c r="B987" s="414"/>
      <c r="C987" s="414"/>
      <c r="D987" s="414"/>
      <c r="E987" s="414"/>
      <c r="F987" s="414"/>
      <c r="G987" s="414"/>
      <c r="H987" s="414"/>
      <c r="I987" s="414"/>
      <c r="J987" s="414"/>
      <c r="K987" s="414"/>
      <c r="L987" s="414"/>
      <c r="M987" s="414"/>
      <c r="N987" s="414"/>
      <c r="O987" s="414"/>
      <c r="P987" s="414"/>
      <c r="Q987" s="414"/>
      <c r="R987" s="414"/>
      <c r="S987" s="414"/>
      <c r="T987" s="414"/>
      <c r="U987" s="414"/>
    </row>
    <row r="988">
      <c r="A988" s="414"/>
      <c r="B988" s="414"/>
      <c r="C988" s="414"/>
      <c r="D988" s="414"/>
      <c r="E988" s="414"/>
      <c r="F988" s="414"/>
      <c r="G988" s="414"/>
      <c r="H988" s="414"/>
      <c r="I988" s="414"/>
      <c r="J988" s="414"/>
      <c r="K988" s="414"/>
      <c r="L988" s="414"/>
      <c r="M988" s="414"/>
      <c r="N988" s="414"/>
      <c r="O988" s="414"/>
      <c r="P988" s="414"/>
      <c r="Q988" s="414"/>
      <c r="R988" s="414"/>
      <c r="S988" s="414"/>
      <c r="T988" s="414"/>
      <c r="U988" s="414"/>
    </row>
    <row r="989">
      <c r="A989" s="414"/>
      <c r="B989" s="414"/>
      <c r="C989" s="414"/>
      <c r="D989" s="414"/>
      <c r="E989" s="414"/>
      <c r="F989" s="414"/>
      <c r="G989" s="414"/>
      <c r="H989" s="414"/>
      <c r="I989" s="414"/>
      <c r="J989" s="414"/>
      <c r="K989" s="414"/>
      <c r="L989" s="414"/>
      <c r="M989" s="414"/>
      <c r="N989" s="414"/>
      <c r="O989" s="414"/>
      <c r="P989" s="414"/>
      <c r="Q989" s="414"/>
      <c r="R989" s="414"/>
      <c r="S989" s="414"/>
      <c r="T989" s="414"/>
      <c r="U989" s="414"/>
    </row>
    <row r="990">
      <c r="A990" s="414"/>
      <c r="B990" s="414"/>
      <c r="C990" s="414"/>
      <c r="D990" s="414"/>
      <c r="E990" s="414"/>
      <c r="F990" s="414"/>
      <c r="G990" s="414"/>
      <c r="H990" s="414"/>
      <c r="I990" s="414"/>
      <c r="J990" s="414"/>
      <c r="K990" s="414"/>
      <c r="L990" s="414"/>
      <c r="M990" s="414"/>
      <c r="N990" s="414"/>
      <c r="O990" s="414"/>
      <c r="P990" s="414"/>
      <c r="Q990" s="414"/>
      <c r="R990" s="414"/>
      <c r="S990" s="414"/>
      <c r="T990" s="414"/>
      <c r="U990" s="414"/>
    </row>
    <row r="991">
      <c r="A991" s="414"/>
      <c r="B991" s="414"/>
      <c r="C991" s="414"/>
      <c r="D991" s="414"/>
      <c r="E991" s="414"/>
      <c r="F991" s="414"/>
      <c r="G991" s="414"/>
      <c r="H991" s="414"/>
      <c r="I991" s="414"/>
      <c r="J991" s="414"/>
      <c r="K991" s="414"/>
      <c r="L991" s="414"/>
      <c r="M991" s="414"/>
      <c r="N991" s="414"/>
      <c r="O991" s="414"/>
      <c r="P991" s="414"/>
      <c r="Q991" s="414"/>
      <c r="R991" s="414"/>
      <c r="S991" s="414"/>
      <c r="T991" s="414"/>
      <c r="U991" s="414"/>
    </row>
    <row r="992">
      <c r="A992" s="414"/>
      <c r="B992" s="414"/>
      <c r="C992" s="414"/>
      <c r="D992" s="414"/>
      <c r="E992" s="414"/>
      <c r="F992" s="414"/>
      <c r="G992" s="414"/>
      <c r="H992" s="414"/>
      <c r="I992" s="414"/>
      <c r="J992" s="414"/>
      <c r="K992" s="414"/>
      <c r="L992" s="414"/>
      <c r="M992" s="414"/>
      <c r="N992" s="414"/>
      <c r="O992" s="414"/>
      <c r="P992" s="414"/>
      <c r="Q992" s="414"/>
      <c r="R992" s="414"/>
      <c r="S992" s="414"/>
      <c r="T992" s="414"/>
      <c r="U992" s="414"/>
    </row>
    <row r="993">
      <c r="A993" s="414"/>
      <c r="B993" s="414"/>
      <c r="C993" s="414"/>
      <c r="D993" s="414"/>
      <c r="E993" s="414"/>
      <c r="F993" s="414"/>
      <c r="G993" s="414"/>
      <c r="H993" s="414"/>
      <c r="I993" s="414"/>
      <c r="J993" s="414"/>
      <c r="K993" s="414"/>
      <c r="L993" s="414"/>
      <c r="M993" s="414"/>
      <c r="N993" s="414"/>
      <c r="O993" s="414"/>
      <c r="P993" s="414"/>
      <c r="Q993" s="414"/>
      <c r="R993" s="414"/>
      <c r="S993" s="414"/>
      <c r="T993" s="414"/>
      <c r="U993" s="414"/>
    </row>
    <row r="994">
      <c r="A994" s="414"/>
      <c r="B994" s="414"/>
      <c r="C994" s="414"/>
      <c r="D994" s="414"/>
      <c r="E994" s="414"/>
      <c r="F994" s="414"/>
      <c r="G994" s="414"/>
      <c r="H994" s="414"/>
      <c r="I994" s="414"/>
      <c r="J994" s="414"/>
      <c r="K994" s="414"/>
      <c r="L994" s="414"/>
      <c r="M994" s="414"/>
      <c r="N994" s="414"/>
      <c r="O994" s="414"/>
      <c r="P994" s="414"/>
      <c r="Q994" s="414"/>
      <c r="R994" s="414"/>
      <c r="S994" s="414"/>
      <c r="T994" s="414"/>
      <c r="U994" s="414"/>
    </row>
    <row r="995">
      <c r="A995" s="414"/>
      <c r="B995" s="414"/>
      <c r="C995" s="414"/>
      <c r="D995" s="414"/>
      <c r="E995" s="414"/>
      <c r="F995" s="414"/>
      <c r="G995" s="414"/>
      <c r="H995" s="414"/>
      <c r="I995" s="414"/>
      <c r="J995" s="414"/>
      <c r="K995" s="414"/>
      <c r="L995" s="414"/>
      <c r="M995" s="414"/>
      <c r="N995" s="414"/>
      <c r="O995" s="414"/>
      <c r="P995" s="414"/>
      <c r="Q995" s="414"/>
      <c r="R995" s="414"/>
      <c r="S995" s="414"/>
      <c r="T995" s="414"/>
      <c r="U995" s="414"/>
    </row>
    <row r="996">
      <c r="A996" s="414"/>
      <c r="B996" s="414"/>
      <c r="C996" s="414"/>
      <c r="D996" s="414"/>
      <c r="E996" s="414"/>
      <c r="F996" s="414"/>
      <c r="G996" s="414"/>
      <c r="H996" s="414"/>
      <c r="I996" s="414"/>
      <c r="J996" s="414"/>
      <c r="K996" s="414"/>
      <c r="L996" s="414"/>
      <c r="M996" s="414"/>
      <c r="N996" s="414"/>
      <c r="O996" s="414"/>
      <c r="P996" s="414"/>
      <c r="Q996" s="414"/>
      <c r="R996" s="414"/>
      <c r="S996" s="414"/>
      <c r="T996" s="414"/>
      <c r="U996" s="414"/>
    </row>
    <row r="997">
      <c r="A997" s="414"/>
      <c r="B997" s="414"/>
      <c r="C997" s="414"/>
      <c r="D997" s="414"/>
      <c r="E997" s="414"/>
      <c r="F997" s="414"/>
      <c r="G997" s="414"/>
      <c r="H997" s="414"/>
      <c r="I997" s="414"/>
      <c r="J997" s="414"/>
      <c r="K997" s="414"/>
      <c r="L997" s="414"/>
      <c r="M997" s="414"/>
      <c r="N997" s="414"/>
      <c r="O997" s="414"/>
      <c r="P997" s="414"/>
      <c r="Q997" s="414"/>
      <c r="R997" s="414"/>
      <c r="S997" s="414"/>
      <c r="T997" s="414"/>
      <c r="U997" s="414"/>
    </row>
    <row r="998">
      <c r="A998" s="414"/>
      <c r="B998" s="414"/>
      <c r="C998" s="414"/>
      <c r="D998" s="414"/>
      <c r="E998" s="414"/>
      <c r="F998" s="414"/>
      <c r="G998" s="414"/>
      <c r="H998" s="414"/>
      <c r="I998" s="414"/>
      <c r="J998" s="414"/>
      <c r="K998" s="414"/>
      <c r="L998" s="414"/>
      <c r="M998" s="414"/>
      <c r="N998" s="414"/>
      <c r="O998" s="414"/>
      <c r="P998" s="414"/>
      <c r="Q998" s="414"/>
      <c r="R998" s="414"/>
      <c r="S998" s="414"/>
      <c r="T998" s="414"/>
      <c r="U998" s="414"/>
    </row>
    <row r="999">
      <c r="A999" s="414"/>
      <c r="B999" s="414"/>
      <c r="C999" s="414"/>
      <c r="D999" s="414"/>
      <c r="E999" s="414"/>
      <c r="F999" s="414"/>
      <c r="G999" s="414"/>
      <c r="H999" s="414"/>
      <c r="I999" s="414"/>
      <c r="J999" s="414"/>
      <c r="K999" s="414"/>
      <c r="L999" s="414"/>
      <c r="M999" s="414"/>
      <c r="N999" s="414"/>
      <c r="O999" s="414"/>
      <c r="P999" s="414"/>
      <c r="Q999" s="414"/>
      <c r="R999" s="414"/>
      <c r="S999" s="414"/>
      <c r="T999" s="414"/>
      <c r="U999" s="414"/>
    </row>
    <row r="1000">
      <c r="A1000" s="414"/>
      <c r="B1000" s="414"/>
      <c r="C1000" s="414"/>
      <c r="D1000" s="414"/>
      <c r="E1000" s="414"/>
      <c r="F1000" s="414"/>
      <c r="G1000" s="414"/>
      <c r="H1000" s="414"/>
      <c r="I1000" s="414"/>
      <c r="J1000" s="414"/>
      <c r="K1000" s="414"/>
      <c r="L1000" s="414"/>
      <c r="M1000" s="414"/>
      <c r="N1000" s="414"/>
      <c r="O1000" s="414"/>
      <c r="P1000" s="414"/>
      <c r="Q1000" s="414"/>
      <c r="R1000" s="414"/>
      <c r="S1000" s="414"/>
      <c r="T1000" s="414"/>
      <c r="U1000" s="414"/>
    </row>
    <row r="1001">
      <c r="A1001" s="414"/>
      <c r="B1001" s="414"/>
      <c r="C1001" s="414"/>
      <c r="D1001" s="414"/>
      <c r="E1001" s="414"/>
      <c r="F1001" s="414"/>
      <c r="G1001" s="414"/>
      <c r="H1001" s="414"/>
      <c r="I1001" s="414"/>
      <c r="J1001" s="414"/>
      <c r="K1001" s="414"/>
      <c r="L1001" s="414"/>
      <c r="M1001" s="414"/>
      <c r="N1001" s="414"/>
      <c r="O1001" s="414"/>
      <c r="P1001" s="414"/>
      <c r="Q1001" s="414"/>
      <c r="R1001" s="414"/>
      <c r="S1001" s="414"/>
      <c r="T1001" s="414"/>
      <c r="U1001" s="414"/>
    </row>
  </sheetData>
  <mergeCells count="1">
    <mergeCell ref="P1:U1"/>
  </mergeCells>
  <drawing r:id="rId1"/>
</worksheet>
</file>